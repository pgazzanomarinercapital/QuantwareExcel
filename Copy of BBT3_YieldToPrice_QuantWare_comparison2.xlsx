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volatileDependencies.xml" ContentType="application/vnd.openxmlformats-officedocument.spreadsheetml.volatileDependenc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marinercapital-my.sharepoint.com/personal/pgazzano_marinercapital_com/Documents/Attachments/"/>
    </mc:Choice>
  </mc:AlternateContent>
  <xr:revisionPtr revIDLastSave="2029" documentId="8_{7B55EE7E-9CA5-4DFE-8D5D-A92542E1DB21}" xr6:coauthVersionLast="47" xr6:coauthVersionMax="47" xr10:uidLastSave="{D3B3BC62-810E-417B-A939-4A7CFEFB3963}"/>
  <bookViews>
    <workbookView xWindow="-110" yWindow="-110" windowWidth="19420" windowHeight="12220" xr2:uid="{AEC8D8B6-90F9-4419-8005-4C9ECD038162}"/>
  </bookViews>
  <sheets>
    <sheet name="Batch" sheetId="7" r:id="rId1"/>
    <sheet name="BBT3" sheetId="2" r:id="rId2"/>
    <sheet name="CloseDL - PriceSaverBBT3" sheetId="5" r:id="rId3"/>
    <sheet name="Close - PriceSaver" sheetId="3" r:id="rId4"/>
    <sheet name="Bond Comparaison" sheetId="1" r:id="rId5"/>
    <sheet name="Sheet1" sheetId="9" r:id="rId6"/>
    <sheet name="BondFuture" sheetId="8" r:id="rId7"/>
  </sheets>
  <definedNames>
    <definedName name="_xlnm._FilterDatabase" localSheetId="4" hidden="1">'Bond Comparaison'!$A$1:$M$2035</definedName>
    <definedName name="ExternalData_1" localSheetId="1" hidden="1">'BBT3'!$A$1:$M$2545</definedName>
    <definedName name="ExternalData_1" localSheetId="6" hidden="1">BondFuture!$A$1:$A$39</definedName>
    <definedName name="ExternalData_1" localSheetId="3" hidden="1">'Close - PriceSaver'!$A$1:$J$1759</definedName>
    <definedName name="ExternalData_1" localSheetId="2" hidden="1">'CloseDL - PriceSaverBBT3'!$A$1:$J$1389</definedName>
    <definedName name="TheDate">'Bond Comparaison'!$R$1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9" l="1" a="1"/>
  <c r="H9" i="9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C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D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" i="1"/>
  <c r="R1" i="1" a="1"/>
  <c r="R1" i="1"/>
  <c r="X369" i="1" l="1"/>
  <c r="X378" i="1"/>
  <c r="X388" i="1"/>
  <c r="X396" i="1"/>
  <c r="X405" i="1"/>
  <c r="X418" i="1"/>
  <c r="X426" i="1"/>
  <c r="X436" i="1"/>
  <c r="X442" i="1"/>
  <c r="X451" i="1"/>
  <c r="X464" i="1"/>
  <c r="X475" i="1"/>
  <c r="X484" i="1"/>
  <c r="X499" i="1"/>
  <c r="X513" i="1"/>
  <c r="X527" i="1"/>
  <c r="X540" i="1"/>
  <c r="X554" i="1"/>
  <c r="X568" i="1"/>
  <c r="X579" i="1"/>
  <c r="X595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Q1" i="1" l="1" a="1"/>
  <c r="Q1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K658" i="1" l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B658" i="1"/>
  <c r="C658" i="1"/>
  <c r="D658" i="1"/>
  <c r="E658" i="1"/>
  <c r="F658" i="1"/>
  <c r="H658" i="1"/>
  <c r="I658" i="1" a="1"/>
  <c r="I658" i="1"/>
  <c r="J658" i="1"/>
  <c r="B659" i="1"/>
  <c r="C659" i="1"/>
  <c r="D659" i="1"/>
  <c r="E659" i="1"/>
  <c r="F659" i="1"/>
  <c r="H659" i="1"/>
  <c r="I659" i="1" a="1"/>
  <c r="I659" i="1"/>
  <c r="J659" i="1"/>
  <c r="B660" i="1"/>
  <c r="C660" i="1"/>
  <c r="D660" i="1"/>
  <c r="E660" i="1"/>
  <c r="F660" i="1"/>
  <c r="H660" i="1"/>
  <c r="I660" i="1" a="1"/>
  <c r="I660" i="1"/>
  <c r="J660" i="1"/>
  <c r="B661" i="1"/>
  <c r="C661" i="1"/>
  <c r="D661" i="1"/>
  <c r="E661" i="1"/>
  <c r="F661" i="1"/>
  <c r="H661" i="1"/>
  <c r="I661" i="1" a="1"/>
  <c r="I661" i="1"/>
  <c r="J661" i="1"/>
  <c r="B662" i="1"/>
  <c r="C662" i="1"/>
  <c r="D662" i="1"/>
  <c r="E662" i="1"/>
  <c r="F662" i="1"/>
  <c r="H662" i="1"/>
  <c r="I662" i="1" a="1"/>
  <c r="I662" i="1"/>
  <c r="J662" i="1"/>
  <c r="B663" i="1"/>
  <c r="C663" i="1"/>
  <c r="D663" i="1"/>
  <c r="E663" i="1"/>
  <c r="F663" i="1"/>
  <c r="H663" i="1"/>
  <c r="I663" i="1" a="1"/>
  <c r="I663" i="1"/>
  <c r="J663" i="1"/>
  <c r="B664" i="1"/>
  <c r="C664" i="1"/>
  <c r="D664" i="1"/>
  <c r="E664" i="1"/>
  <c r="F664" i="1"/>
  <c r="H664" i="1"/>
  <c r="I664" i="1" a="1"/>
  <c r="I664" i="1"/>
  <c r="J664" i="1"/>
  <c r="B665" i="1"/>
  <c r="C665" i="1"/>
  <c r="D665" i="1"/>
  <c r="E665" i="1"/>
  <c r="F665" i="1"/>
  <c r="H665" i="1"/>
  <c r="I665" i="1" a="1"/>
  <c r="I665" i="1"/>
  <c r="J665" i="1"/>
  <c r="B666" i="1"/>
  <c r="C666" i="1"/>
  <c r="D666" i="1"/>
  <c r="E666" i="1"/>
  <c r="F666" i="1"/>
  <c r="H666" i="1"/>
  <c r="I666" i="1" a="1"/>
  <c r="I666" i="1"/>
  <c r="J666" i="1"/>
  <c r="B667" i="1"/>
  <c r="C667" i="1"/>
  <c r="D667" i="1"/>
  <c r="E667" i="1"/>
  <c r="F667" i="1"/>
  <c r="H667" i="1"/>
  <c r="I667" i="1" a="1"/>
  <c r="I667" i="1"/>
  <c r="J667" i="1"/>
  <c r="B668" i="1"/>
  <c r="C668" i="1"/>
  <c r="D668" i="1"/>
  <c r="E668" i="1"/>
  <c r="F668" i="1"/>
  <c r="H668" i="1"/>
  <c r="I668" i="1" a="1"/>
  <c r="I668" i="1"/>
  <c r="J668" i="1"/>
  <c r="B669" i="1"/>
  <c r="C669" i="1"/>
  <c r="D669" i="1"/>
  <c r="E669" i="1"/>
  <c r="F669" i="1"/>
  <c r="H669" i="1"/>
  <c r="I669" i="1" a="1"/>
  <c r="I669" i="1"/>
  <c r="J669" i="1"/>
  <c r="B670" i="1"/>
  <c r="C670" i="1"/>
  <c r="D670" i="1"/>
  <c r="E670" i="1"/>
  <c r="F670" i="1"/>
  <c r="H670" i="1"/>
  <c r="I670" i="1" a="1"/>
  <c r="I670" i="1"/>
  <c r="J670" i="1"/>
  <c r="B671" i="1"/>
  <c r="C671" i="1"/>
  <c r="D671" i="1"/>
  <c r="E671" i="1"/>
  <c r="F671" i="1"/>
  <c r="H671" i="1"/>
  <c r="I671" i="1" a="1"/>
  <c r="I671" i="1"/>
  <c r="J671" i="1"/>
  <c r="B672" i="1"/>
  <c r="C672" i="1"/>
  <c r="D672" i="1"/>
  <c r="E672" i="1"/>
  <c r="F672" i="1"/>
  <c r="H672" i="1"/>
  <c r="I672" i="1" a="1"/>
  <c r="I672" i="1"/>
  <c r="J672" i="1"/>
  <c r="B673" i="1"/>
  <c r="C673" i="1"/>
  <c r="D673" i="1"/>
  <c r="E673" i="1"/>
  <c r="F673" i="1"/>
  <c r="H673" i="1"/>
  <c r="I673" i="1" a="1"/>
  <c r="I673" i="1"/>
  <c r="J673" i="1"/>
  <c r="B674" i="1"/>
  <c r="C674" i="1"/>
  <c r="D674" i="1"/>
  <c r="E674" i="1"/>
  <c r="F674" i="1"/>
  <c r="H674" i="1"/>
  <c r="I674" i="1" a="1"/>
  <c r="I674" i="1"/>
  <c r="J674" i="1"/>
  <c r="B675" i="1"/>
  <c r="C675" i="1"/>
  <c r="D675" i="1"/>
  <c r="E675" i="1"/>
  <c r="F675" i="1"/>
  <c r="H675" i="1"/>
  <c r="I675" i="1" a="1"/>
  <c r="I675" i="1"/>
  <c r="J675" i="1"/>
  <c r="B676" i="1"/>
  <c r="C676" i="1"/>
  <c r="D676" i="1"/>
  <c r="E676" i="1"/>
  <c r="F676" i="1"/>
  <c r="H676" i="1"/>
  <c r="I676" i="1" a="1"/>
  <c r="I676" i="1"/>
  <c r="J676" i="1"/>
  <c r="B677" i="1"/>
  <c r="C677" i="1"/>
  <c r="D677" i="1"/>
  <c r="E677" i="1"/>
  <c r="F677" i="1"/>
  <c r="H677" i="1"/>
  <c r="I677" i="1" a="1"/>
  <c r="I677" i="1"/>
  <c r="J677" i="1"/>
  <c r="B678" i="1"/>
  <c r="C678" i="1"/>
  <c r="D678" i="1"/>
  <c r="E678" i="1"/>
  <c r="F678" i="1"/>
  <c r="H678" i="1"/>
  <c r="I678" i="1" a="1"/>
  <c r="I678" i="1"/>
  <c r="J678" i="1"/>
  <c r="B679" i="1"/>
  <c r="C679" i="1"/>
  <c r="D679" i="1"/>
  <c r="E679" i="1"/>
  <c r="F679" i="1"/>
  <c r="H679" i="1"/>
  <c r="I679" i="1" a="1"/>
  <c r="I679" i="1"/>
  <c r="J679" i="1"/>
  <c r="B680" i="1"/>
  <c r="C680" i="1"/>
  <c r="D680" i="1"/>
  <c r="E680" i="1"/>
  <c r="F680" i="1"/>
  <c r="H680" i="1"/>
  <c r="I680" i="1" a="1"/>
  <c r="I680" i="1"/>
  <c r="J680" i="1"/>
  <c r="B681" i="1"/>
  <c r="C681" i="1"/>
  <c r="D681" i="1"/>
  <c r="E681" i="1"/>
  <c r="F681" i="1"/>
  <c r="H681" i="1"/>
  <c r="I681" i="1" a="1"/>
  <c r="I681" i="1"/>
  <c r="J681" i="1"/>
  <c r="B682" i="1"/>
  <c r="C682" i="1"/>
  <c r="D682" i="1"/>
  <c r="E682" i="1"/>
  <c r="F682" i="1"/>
  <c r="H682" i="1"/>
  <c r="I682" i="1" a="1"/>
  <c r="I682" i="1"/>
  <c r="J682" i="1"/>
  <c r="B683" i="1"/>
  <c r="C683" i="1"/>
  <c r="D683" i="1"/>
  <c r="E683" i="1"/>
  <c r="F683" i="1"/>
  <c r="H683" i="1"/>
  <c r="I683" i="1" a="1"/>
  <c r="I683" i="1"/>
  <c r="J683" i="1"/>
  <c r="B684" i="1"/>
  <c r="C684" i="1"/>
  <c r="D684" i="1"/>
  <c r="E684" i="1"/>
  <c r="F684" i="1"/>
  <c r="H684" i="1"/>
  <c r="I684" i="1" a="1"/>
  <c r="I684" i="1"/>
  <c r="J684" i="1"/>
  <c r="B685" i="1"/>
  <c r="C685" i="1"/>
  <c r="D685" i="1"/>
  <c r="E685" i="1"/>
  <c r="F685" i="1"/>
  <c r="H685" i="1"/>
  <c r="I685" i="1" a="1"/>
  <c r="I685" i="1"/>
  <c r="J685" i="1"/>
  <c r="B686" i="1"/>
  <c r="C686" i="1"/>
  <c r="D686" i="1"/>
  <c r="E686" i="1"/>
  <c r="F686" i="1"/>
  <c r="H686" i="1"/>
  <c r="I686" i="1" a="1"/>
  <c r="I686" i="1"/>
  <c r="J686" i="1"/>
  <c r="B687" i="1"/>
  <c r="C687" i="1"/>
  <c r="D687" i="1"/>
  <c r="E687" i="1"/>
  <c r="F687" i="1"/>
  <c r="H687" i="1"/>
  <c r="I687" i="1" a="1"/>
  <c r="I687" i="1"/>
  <c r="J687" i="1"/>
  <c r="B688" i="1"/>
  <c r="C688" i="1"/>
  <c r="D688" i="1"/>
  <c r="E688" i="1"/>
  <c r="F688" i="1"/>
  <c r="H688" i="1"/>
  <c r="I688" i="1" a="1"/>
  <c r="I688" i="1"/>
  <c r="J688" i="1"/>
  <c r="B689" i="1"/>
  <c r="C689" i="1"/>
  <c r="D689" i="1"/>
  <c r="E689" i="1"/>
  <c r="F689" i="1"/>
  <c r="H689" i="1"/>
  <c r="I689" i="1" a="1"/>
  <c r="I689" i="1"/>
  <c r="J689" i="1"/>
  <c r="B690" i="1"/>
  <c r="C690" i="1"/>
  <c r="D690" i="1"/>
  <c r="E690" i="1"/>
  <c r="F690" i="1"/>
  <c r="H690" i="1"/>
  <c r="I690" i="1" a="1"/>
  <c r="I690" i="1"/>
  <c r="J690" i="1"/>
  <c r="B691" i="1"/>
  <c r="C691" i="1"/>
  <c r="D691" i="1"/>
  <c r="E691" i="1"/>
  <c r="F691" i="1"/>
  <c r="H691" i="1"/>
  <c r="I691" i="1" a="1"/>
  <c r="I691" i="1"/>
  <c r="J691" i="1"/>
  <c r="B692" i="1"/>
  <c r="C692" i="1"/>
  <c r="D692" i="1"/>
  <c r="E692" i="1"/>
  <c r="F692" i="1"/>
  <c r="H692" i="1"/>
  <c r="I692" i="1" a="1"/>
  <c r="I692" i="1"/>
  <c r="J692" i="1"/>
  <c r="B693" i="1"/>
  <c r="C693" i="1"/>
  <c r="D693" i="1"/>
  <c r="E693" i="1"/>
  <c r="F693" i="1"/>
  <c r="H693" i="1"/>
  <c r="I693" i="1" a="1"/>
  <c r="I693" i="1"/>
  <c r="J693" i="1"/>
  <c r="B694" i="1"/>
  <c r="C694" i="1"/>
  <c r="D694" i="1"/>
  <c r="E694" i="1"/>
  <c r="F694" i="1"/>
  <c r="H694" i="1"/>
  <c r="I694" i="1" a="1"/>
  <c r="I694" i="1"/>
  <c r="J694" i="1"/>
  <c r="B695" i="1"/>
  <c r="C695" i="1"/>
  <c r="D695" i="1"/>
  <c r="E695" i="1"/>
  <c r="F695" i="1"/>
  <c r="H695" i="1"/>
  <c r="I695" i="1" a="1"/>
  <c r="I695" i="1"/>
  <c r="J695" i="1"/>
  <c r="B696" i="1"/>
  <c r="C696" i="1"/>
  <c r="D696" i="1"/>
  <c r="E696" i="1"/>
  <c r="F696" i="1"/>
  <c r="H696" i="1"/>
  <c r="I696" i="1" a="1"/>
  <c r="I696" i="1"/>
  <c r="J696" i="1"/>
  <c r="B697" i="1"/>
  <c r="C697" i="1"/>
  <c r="D697" i="1"/>
  <c r="E697" i="1"/>
  <c r="F697" i="1"/>
  <c r="H697" i="1"/>
  <c r="I697" i="1" a="1"/>
  <c r="I697" i="1"/>
  <c r="J697" i="1"/>
  <c r="B698" i="1"/>
  <c r="C698" i="1"/>
  <c r="D698" i="1"/>
  <c r="E698" i="1"/>
  <c r="F698" i="1"/>
  <c r="H698" i="1"/>
  <c r="I698" i="1" a="1"/>
  <c r="I698" i="1"/>
  <c r="J698" i="1"/>
  <c r="B699" i="1"/>
  <c r="C699" i="1"/>
  <c r="D699" i="1"/>
  <c r="E699" i="1"/>
  <c r="F699" i="1"/>
  <c r="H699" i="1"/>
  <c r="I699" i="1" a="1"/>
  <c r="I699" i="1"/>
  <c r="J699" i="1"/>
  <c r="B700" i="1"/>
  <c r="C700" i="1"/>
  <c r="D700" i="1"/>
  <c r="E700" i="1"/>
  <c r="F700" i="1"/>
  <c r="H700" i="1"/>
  <c r="I700" i="1" a="1"/>
  <c r="I700" i="1"/>
  <c r="J700" i="1"/>
  <c r="B701" i="1"/>
  <c r="C701" i="1"/>
  <c r="D701" i="1"/>
  <c r="E701" i="1"/>
  <c r="F701" i="1"/>
  <c r="H701" i="1"/>
  <c r="I701" i="1" a="1"/>
  <c r="I701" i="1"/>
  <c r="J701" i="1"/>
  <c r="B702" i="1"/>
  <c r="C702" i="1"/>
  <c r="D702" i="1"/>
  <c r="E702" i="1"/>
  <c r="F702" i="1"/>
  <c r="H702" i="1"/>
  <c r="I702" i="1" a="1"/>
  <c r="I702" i="1"/>
  <c r="J702" i="1"/>
  <c r="B703" i="1"/>
  <c r="C703" i="1"/>
  <c r="D703" i="1"/>
  <c r="E703" i="1"/>
  <c r="F703" i="1"/>
  <c r="H703" i="1"/>
  <c r="I703" i="1" a="1"/>
  <c r="I703" i="1"/>
  <c r="J703" i="1"/>
  <c r="B704" i="1"/>
  <c r="C704" i="1"/>
  <c r="D704" i="1"/>
  <c r="E704" i="1"/>
  <c r="F704" i="1"/>
  <c r="H704" i="1"/>
  <c r="I704" i="1" a="1"/>
  <c r="I704" i="1"/>
  <c r="J704" i="1"/>
  <c r="B705" i="1"/>
  <c r="C705" i="1"/>
  <c r="D705" i="1"/>
  <c r="E705" i="1"/>
  <c r="F705" i="1"/>
  <c r="H705" i="1"/>
  <c r="I705" i="1" a="1"/>
  <c r="I705" i="1"/>
  <c r="J705" i="1"/>
  <c r="B706" i="1"/>
  <c r="C706" i="1"/>
  <c r="D706" i="1"/>
  <c r="E706" i="1"/>
  <c r="F706" i="1"/>
  <c r="H706" i="1"/>
  <c r="I706" i="1" a="1"/>
  <c r="I706" i="1"/>
  <c r="J706" i="1"/>
  <c r="B707" i="1"/>
  <c r="C707" i="1"/>
  <c r="D707" i="1"/>
  <c r="E707" i="1"/>
  <c r="F707" i="1"/>
  <c r="H707" i="1"/>
  <c r="I707" i="1" a="1"/>
  <c r="I707" i="1"/>
  <c r="J707" i="1"/>
  <c r="B708" i="1"/>
  <c r="C708" i="1"/>
  <c r="D708" i="1"/>
  <c r="E708" i="1"/>
  <c r="F708" i="1"/>
  <c r="H708" i="1"/>
  <c r="I708" i="1" a="1"/>
  <c r="I708" i="1"/>
  <c r="J708" i="1"/>
  <c r="B709" i="1"/>
  <c r="C709" i="1"/>
  <c r="D709" i="1"/>
  <c r="E709" i="1"/>
  <c r="F709" i="1"/>
  <c r="H709" i="1"/>
  <c r="I709" i="1" a="1"/>
  <c r="I709" i="1"/>
  <c r="J709" i="1"/>
  <c r="B710" i="1"/>
  <c r="C710" i="1"/>
  <c r="D710" i="1"/>
  <c r="E710" i="1"/>
  <c r="F710" i="1"/>
  <c r="H710" i="1"/>
  <c r="I710" i="1" a="1"/>
  <c r="I710" i="1"/>
  <c r="J710" i="1"/>
  <c r="B711" i="1"/>
  <c r="C711" i="1"/>
  <c r="D711" i="1"/>
  <c r="E711" i="1"/>
  <c r="F711" i="1"/>
  <c r="H711" i="1"/>
  <c r="I711" i="1" a="1"/>
  <c r="I711" i="1"/>
  <c r="J711" i="1"/>
  <c r="B712" i="1"/>
  <c r="C712" i="1"/>
  <c r="D712" i="1"/>
  <c r="E712" i="1"/>
  <c r="F712" i="1"/>
  <c r="H712" i="1"/>
  <c r="I712" i="1" a="1"/>
  <c r="I712" i="1"/>
  <c r="J712" i="1"/>
  <c r="B713" i="1"/>
  <c r="C713" i="1"/>
  <c r="D713" i="1"/>
  <c r="E713" i="1"/>
  <c r="F713" i="1"/>
  <c r="H713" i="1"/>
  <c r="I713" i="1" a="1"/>
  <c r="I713" i="1"/>
  <c r="J713" i="1"/>
  <c r="B714" i="1"/>
  <c r="C714" i="1"/>
  <c r="D714" i="1"/>
  <c r="E714" i="1"/>
  <c r="F714" i="1"/>
  <c r="H714" i="1"/>
  <c r="I714" i="1" a="1"/>
  <c r="I714" i="1"/>
  <c r="J714" i="1"/>
  <c r="B715" i="1"/>
  <c r="C715" i="1"/>
  <c r="D715" i="1"/>
  <c r="E715" i="1"/>
  <c r="F715" i="1"/>
  <c r="H715" i="1"/>
  <c r="I715" i="1" a="1"/>
  <c r="I715" i="1"/>
  <c r="J715" i="1"/>
  <c r="B716" i="1"/>
  <c r="C716" i="1"/>
  <c r="D716" i="1"/>
  <c r="E716" i="1"/>
  <c r="F716" i="1"/>
  <c r="H716" i="1"/>
  <c r="I716" i="1" a="1"/>
  <c r="I716" i="1"/>
  <c r="J716" i="1"/>
  <c r="B717" i="1"/>
  <c r="C717" i="1"/>
  <c r="D717" i="1"/>
  <c r="E717" i="1"/>
  <c r="F717" i="1"/>
  <c r="H717" i="1"/>
  <c r="I717" i="1" a="1"/>
  <c r="I717" i="1"/>
  <c r="J717" i="1"/>
  <c r="B718" i="1"/>
  <c r="C718" i="1"/>
  <c r="D718" i="1"/>
  <c r="E718" i="1"/>
  <c r="F718" i="1"/>
  <c r="H718" i="1"/>
  <c r="I718" i="1" a="1"/>
  <c r="I718" i="1"/>
  <c r="J718" i="1"/>
  <c r="B719" i="1"/>
  <c r="C719" i="1"/>
  <c r="D719" i="1"/>
  <c r="E719" i="1"/>
  <c r="F719" i="1"/>
  <c r="H719" i="1"/>
  <c r="I719" i="1" a="1"/>
  <c r="I719" i="1"/>
  <c r="J719" i="1"/>
  <c r="B720" i="1"/>
  <c r="C720" i="1"/>
  <c r="D720" i="1"/>
  <c r="E720" i="1"/>
  <c r="F720" i="1"/>
  <c r="H720" i="1"/>
  <c r="I720" i="1" a="1"/>
  <c r="I720" i="1"/>
  <c r="J720" i="1"/>
  <c r="B721" i="1"/>
  <c r="C721" i="1"/>
  <c r="D721" i="1"/>
  <c r="E721" i="1"/>
  <c r="F721" i="1"/>
  <c r="H721" i="1"/>
  <c r="I721" i="1" a="1"/>
  <c r="I721" i="1"/>
  <c r="J721" i="1"/>
  <c r="B722" i="1"/>
  <c r="C722" i="1"/>
  <c r="D722" i="1"/>
  <c r="E722" i="1"/>
  <c r="F722" i="1"/>
  <c r="H722" i="1"/>
  <c r="I722" i="1" a="1"/>
  <c r="I722" i="1"/>
  <c r="J722" i="1"/>
  <c r="B723" i="1"/>
  <c r="C723" i="1"/>
  <c r="D723" i="1"/>
  <c r="E723" i="1"/>
  <c r="F723" i="1"/>
  <c r="H723" i="1"/>
  <c r="I723" i="1" a="1"/>
  <c r="I723" i="1"/>
  <c r="J723" i="1"/>
  <c r="B724" i="1"/>
  <c r="C724" i="1"/>
  <c r="D724" i="1"/>
  <c r="E724" i="1"/>
  <c r="F724" i="1"/>
  <c r="H724" i="1"/>
  <c r="I724" i="1" a="1"/>
  <c r="I724" i="1"/>
  <c r="J724" i="1"/>
  <c r="B725" i="1"/>
  <c r="C725" i="1"/>
  <c r="D725" i="1"/>
  <c r="E725" i="1"/>
  <c r="F725" i="1"/>
  <c r="H725" i="1"/>
  <c r="I725" i="1" a="1"/>
  <c r="I725" i="1"/>
  <c r="J725" i="1"/>
  <c r="B726" i="1"/>
  <c r="C726" i="1"/>
  <c r="D726" i="1"/>
  <c r="E726" i="1"/>
  <c r="F726" i="1"/>
  <c r="H726" i="1"/>
  <c r="I726" i="1" a="1"/>
  <c r="I726" i="1"/>
  <c r="J726" i="1"/>
  <c r="B727" i="1"/>
  <c r="C727" i="1"/>
  <c r="D727" i="1"/>
  <c r="E727" i="1"/>
  <c r="F727" i="1"/>
  <c r="H727" i="1"/>
  <c r="I727" i="1" a="1"/>
  <c r="I727" i="1"/>
  <c r="J727" i="1"/>
  <c r="B728" i="1"/>
  <c r="C728" i="1"/>
  <c r="D728" i="1"/>
  <c r="E728" i="1"/>
  <c r="F728" i="1"/>
  <c r="H728" i="1"/>
  <c r="I728" i="1" a="1"/>
  <c r="I728" i="1"/>
  <c r="J728" i="1"/>
  <c r="B729" i="1"/>
  <c r="C729" i="1"/>
  <c r="D729" i="1"/>
  <c r="E729" i="1"/>
  <c r="F729" i="1"/>
  <c r="H729" i="1"/>
  <c r="I729" i="1" a="1"/>
  <c r="I729" i="1"/>
  <c r="J729" i="1"/>
  <c r="B730" i="1"/>
  <c r="C730" i="1"/>
  <c r="D730" i="1"/>
  <c r="E730" i="1"/>
  <c r="F730" i="1"/>
  <c r="H730" i="1"/>
  <c r="I730" i="1" a="1"/>
  <c r="I730" i="1"/>
  <c r="J730" i="1"/>
  <c r="B731" i="1"/>
  <c r="C731" i="1"/>
  <c r="D731" i="1"/>
  <c r="E731" i="1"/>
  <c r="F731" i="1"/>
  <c r="H731" i="1"/>
  <c r="I731" i="1" a="1"/>
  <c r="I731" i="1"/>
  <c r="J731" i="1"/>
  <c r="B732" i="1"/>
  <c r="C732" i="1"/>
  <c r="D732" i="1"/>
  <c r="E732" i="1"/>
  <c r="F732" i="1"/>
  <c r="H732" i="1"/>
  <c r="I732" i="1" a="1"/>
  <c r="I732" i="1"/>
  <c r="J732" i="1"/>
  <c r="B733" i="1"/>
  <c r="C733" i="1"/>
  <c r="D733" i="1"/>
  <c r="E733" i="1"/>
  <c r="F733" i="1"/>
  <c r="H733" i="1"/>
  <c r="I733" i="1" a="1"/>
  <c r="I733" i="1"/>
  <c r="J733" i="1"/>
  <c r="B734" i="1"/>
  <c r="C734" i="1"/>
  <c r="D734" i="1"/>
  <c r="E734" i="1"/>
  <c r="F734" i="1"/>
  <c r="H734" i="1"/>
  <c r="I734" i="1" a="1"/>
  <c r="I734" i="1"/>
  <c r="J734" i="1"/>
  <c r="B735" i="1"/>
  <c r="C735" i="1"/>
  <c r="D735" i="1"/>
  <c r="E735" i="1"/>
  <c r="F735" i="1"/>
  <c r="H735" i="1"/>
  <c r="I735" i="1" a="1"/>
  <c r="I735" i="1"/>
  <c r="J735" i="1"/>
  <c r="B736" i="1"/>
  <c r="C736" i="1"/>
  <c r="D736" i="1"/>
  <c r="E736" i="1"/>
  <c r="F736" i="1"/>
  <c r="H736" i="1"/>
  <c r="I736" i="1" a="1"/>
  <c r="I736" i="1"/>
  <c r="J736" i="1"/>
  <c r="B737" i="1"/>
  <c r="C737" i="1"/>
  <c r="D737" i="1"/>
  <c r="E737" i="1"/>
  <c r="F737" i="1"/>
  <c r="H737" i="1"/>
  <c r="I737" i="1" a="1"/>
  <c r="I737" i="1"/>
  <c r="J737" i="1"/>
  <c r="B738" i="1"/>
  <c r="C738" i="1"/>
  <c r="D738" i="1"/>
  <c r="E738" i="1"/>
  <c r="F738" i="1"/>
  <c r="H738" i="1"/>
  <c r="I738" i="1" a="1"/>
  <c r="I738" i="1"/>
  <c r="J738" i="1"/>
  <c r="B739" i="1"/>
  <c r="C739" i="1"/>
  <c r="D739" i="1"/>
  <c r="E739" i="1"/>
  <c r="F739" i="1"/>
  <c r="H739" i="1"/>
  <c r="I739" i="1" a="1"/>
  <c r="I739" i="1"/>
  <c r="J739" i="1"/>
  <c r="B740" i="1"/>
  <c r="C740" i="1"/>
  <c r="D740" i="1"/>
  <c r="E740" i="1"/>
  <c r="F740" i="1"/>
  <c r="H740" i="1"/>
  <c r="I740" i="1" a="1"/>
  <c r="I740" i="1"/>
  <c r="J740" i="1"/>
  <c r="B741" i="1"/>
  <c r="C741" i="1"/>
  <c r="D741" i="1"/>
  <c r="E741" i="1"/>
  <c r="F741" i="1"/>
  <c r="H741" i="1"/>
  <c r="I741" i="1" a="1"/>
  <c r="I741" i="1"/>
  <c r="J741" i="1"/>
  <c r="B742" i="1"/>
  <c r="C742" i="1"/>
  <c r="D742" i="1"/>
  <c r="E742" i="1"/>
  <c r="F742" i="1"/>
  <c r="H742" i="1"/>
  <c r="I742" i="1" a="1"/>
  <c r="I742" i="1"/>
  <c r="J742" i="1"/>
  <c r="B743" i="1"/>
  <c r="C743" i="1"/>
  <c r="D743" i="1"/>
  <c r="E743" i="1"/>
  <c r="F743" i="1"/>
  <c r="H743" i="1"/>
  <c r="I743" i="1" a="1"/>
  <c r="I743" i="1"/>
  <c r="J743" i="1"/>
  <c r="B744" i="1"/>
  <c r="C744" i="1"/>
  <c r="D744" i="1"/>
  <c r="E744" i="1"/>
  <c r="F744" i="1"/>
  <c r="H744" i="1"/>
  <c r="I744" i="1" a="1"/>
  <c r="I744" i="1"/>
  <c r="J744" i="1"/>
  <c r="B745" i="1"/>
  <c r="C745" i="1"/>
  <c r="D745" i="1"/>
  <c r="E745" i="1"/>
  <c r="F745" i="1"/>
  <c r="H745" i="1"/>
  <c r="I745" i="1" a="1"/>
  <c r="I745" i="1"/>
  <c r="J745" i="1"/>
  <c r="B746" i="1"/>
  <c r="C746" i="1"/>
  <c r="D746" i="1"/>
  <c r="E746" i="1"/>
  <c r="F746" i="1"/>
  <c r="H746" i="1"/>
  <c r="I746" i="1" a="1"/>
  <c r="I746" i="1"/>
  <c r="J746" i="1"/>
  <c r="B747" i="1"/>
  <c r="C747" i="1"/>
  <c r="D747" i="1"/>
  <c r="E747" i="1"/>
  <c r="F747" i="1"/>
  <c r="H747" i="1"/>
  <c r="I747" i="1" a="1"/>
  <c r="I747" i="1"/>
  <c r="J747" i="1"/>
  <c r="B748" i="1"/>
  <c r="C748" i="1"/>
  <c r="D748" i="1"/>
  <c r="E748" i="1"/>
  <c r="F748" i="1"/>
  <c r="H748" i="1"/>
  <c r="I748" i="1" a="1"/>
  <c r="I748" i="1"/>
  <c r="J748" i="1"/>
  <c r="B749" i="1"/>
  <c r="C749" i="1"/>
  <c r="D749" i="1"/>
  <c r="E749" i="1"/>
  <c r="F749" i="1"/>
  <c r="H749" i="1"/>
  <c r="I749" i="1" a="1"/>
  <c r="I749" i="1"/>
  <c r="J749" i="1"/>
  <c r="B750" i="1"/>
  <c r="C750" i="1"/>
  <c r="D750" i="1"/>
  <c r="E750" i="1"/>
  <c r="F750" i="1"/>
  <c r="H750" i="1"/>
  <c r="I750" i="1" a="1"/>
  <c r="I750" i="1"/>
  <c r="J750" i="1"/>
  <c r="B751" i="1"/>
  <c r="C751" i="1"/>
  <c r="D751" i="1"/>
  <c r="E751" i="1"/>
  <c r="F751" i="1"/>
  <c r="H751" i="1"/>
  <c r="I751" i="1" a="1"/>
  <c r="I751" i="1"/>
  <c r="J751" i="1"/>
  <c r="B752" i="1"/>
  <c r="C752" i="1"/>
  <c r="D752" i="1"/>
  <c r="E752" i="1"/>
  <c r="F752" i="1"/>
  <c r="H752" i="1"/>
  <c r="I752" i="1" a="1"/>
  <c r="I752" i="1"/>
  <c r="J752" i="1"/>
  <c r="B753" i="1"/>
  <c r="C753" i="1"/>
  <c r="D753" i="1"/>
  <c r="E753" i="1"/>
  <c r="F753" i="1"/>
  <c r="H753" i="1"/>
  <c r="I753" i="1" a="1"/>
  <c r="I753" i="1"/>
  <c r="J753" i="1"/>
  <c r="B754" i="1"/>
  <c r="C754" i="1"/>
  <c r="D754" i="1"/>
  <c r="E754" i="1"/>
  <c r="F754" i="1"/>
  <c r="H754" i="1"/>
  <c r="I754" i="1" a="1"/>
  <c r="I754" i="1"/>
  <c r="J754" i="1"/>
  <c r="B755" i="1"/>
  <c r="C755" i="1"/>
  <c r="D755" i="1"/>
  <c r="E755" i="1"/>
  <c r="F755" i="1"/>
  <c r="H755" i="1"/>
  <c r="I755" i="1" a="1"/>
  <c r="I755" i="1"/>
  <c r="J755" i="1"/>
  <c r="B756" i="1"/>
  <c r="C756" i="1"/>
  <c r="D756" i="1"/>
  <c r="E756" i="1"/>
  <c r="F756" i="1"/>
  <c r="H756" i="1"/>
  <c r="I756" i="1" a="1"/>
  <c r="I756" i="1"/>
  <c r="J756" i="1"/>
  <c r="B757" i="1"/>
  <c r="C757" i="1"/>
  <c r="D757" i="1"/>
  <c r="E757" i="1"/>
  <c r="F757" i="1"/>
  <c r="H757" i="1"/>
  <c r="I757" i="1" a="1"/>
  <c r="I757" i="1"/>
  <c r="J757" i="1"/>
  <c r="B758" i="1"/>
  <c r="C758" i="1"/>
  <c r="D758" i="1"/>
  <c r="E758" i="1"/>
  <c r="F758" i="1"/>
  <c r="H758" i="1"/>
  <c r="I758" i="1" a="1"/>
  <c r="I758" i="1"/>
  <c r="J758" i="1"/>
  <c r="B759" i="1"/>
  <c r="C759" i="1"/>
  <c r="D759" i="1"/>
  <c r="E759" i="1"/>
  <c r="F759" i="1"/>
  <c r="H759" i="1"/>
  <c r="I759" i="1" a="1"/>
  <c r="I759" i="1"/>
  <c r="J759" i="1"/>
  <c r="B760" i="1"/>
  <c r="C760" i="1"/>
  <c r="D760" i="1"/>
  <c r="E760" i="1"/>
  <c r="F760" i="1"/>
  <c r="H760" i="1"/>
  <c r="I760" i="1" a="1"/>
  <c r="I760" i="1"/>
  <c r="J760" i="1"/>
  <c r="B761" i="1"/>
  <c r="C761" i="1"/>
  <c r="D761" i="1"/>
  <c r="E761" i="1"/>
  <c r="F761" i="1"/>
  <c r="H761" i="1"/>
  <c r="I761" i="1" a="1"/>
  <c r="I761" i="1"/>
  <c r="J761" i="1"/>
  <c r="B762" i="1"/>
  <c r="C762" i="1"/>
  <c r="D762" i="1"/>
  <c r="E762" i="1"/>
  <c r="F762" i="1"/>
  <c r="H762" i="1"/>
  <c r="I762" i="1" a="1"/>
  <c r="I762" i="1"/>
  <c r="J762" i="1"/>
  <c r="B763" i="1"/>
  <c r="C763" i="1"/>
  <c r="D763" i="1"/>
  <c r="E763" i="1"/>
  <c r="F763" i="1"/>
  <c r="H763" i="1"/>
  <c r="I763" i="1" a="1"/>
  <c r="I763" i="1"/>
  <c r="J763" i="1"/>
  <c r="B764" i="1"/>
  <c r="C764" i="1"/>
  <c r="D764" i="1"/>
  <c r="E764" i="1"/>
  <c r="F764" i="1"/>
  <c r="H764" i="1"/>
  <c r="I764" i="1" a="1"/>
  <c r="I764" i="1"/>
  <c r="J764" i="1"/>
  <c r="B765" i="1"/>
  <c r="C765" i="1"/>
  <c r="D765" i="1"/>
  <c r="E765" i="1"/>
  <c r="F765" i="1"/>
  <c r="H765" i="1"/>
  <c r="I765" i="1" a="1"/>
  <c r="I765" i="1"/>
  <c r="J765" i="1"/>
  <c r="B766" i="1"/>
  <c r="C766" i="1"/>
  <c r="D766" i="1"/>
  <c r="E766" i="1"/>
  <c r="F766" i="1"/>
  <c r="H766" i="1"/>
  <c r="I766" i="1" a="1"/>
  <c r="I766" i="1"/>
  <c r="J766" i="1"/>
  <c r="B767" i="1"/>
  <c r="C767" i="1"/>
  <c r="D767" i="1"/>
  <c r="E767" i="1"/>
  <c r="F767" i="1"/>
  <c r="H767" i="1"/>
  <c r="I767" i="1" a="1"/>
  <c r="I767" i="1"/>
  <c r="J767" i="1"/>
  <c r="B768" i="1"/>
  <c r="C768" i="1"/>
  <c r="D768" i="1"/>
  <c r="E768" i="1"/>
  <c r="F768" i="1"/>
  <c r="H768" i="1"/>
  <c r="I768" i="1" a="1"/>
  <c r="I768" i="1"/>
  <c r="J768" i="1"/>
  <c r="B769" i="1"/>
  <c r="C769" i="1"/>
  <c r="D769" i="1"/>
  <c r="E769" i="1"/>
  <c r="F769" i="1"/>
  <c r="H769" i="1"/>
  <c r="I769" i="1" a="1"/>
  <c r="I769" i="1"/>
  <c r="J769" i="1"/>
  <c r="B770" i="1"/>
  <c r="C770" i="1"/>
  <c r="D770" i="1"/>
  <c r="E770" i="1"/>
  <c r="F770" i="1"/>
  <c r="H770" i="1"/>
  <c r="I770" i="1" a="1"/>
  <c r="I770" i="1"/>
  <c r="J770" i="1"/>
  <c r="B771" i="1"/>
  <c r="C771" i="1"/>
  <c r="D771" i="1"/>
  <c r="E771" i="1"/>
  <c r="F771" i="1"/>
  <c r="H771" i="1"/>
  <c r="I771" i="1" a="1"/>
  <c r="I771" i="1"/>
  <c r="J771" i="1"/>
  <c r="B772" i="1"/>
  <c r="C772" i="1"/>
  <c r="D772" i="1"/>
  <c r="E772" i="1"/>
  <c r="F772" i="1"/>
  <c r="H772" i="1"/>
  <c r="I772" i="1" a="1"/>
  <c r="I772" i="1"/>
  <c r="J772" i="1"/>
  <c r="B773" i="1"/>
  <c r="C773" i="1"/>
  <c r="D773" i="1"/>
  <c r="E773" i="1"/>
  <c r="F773" i="1"/>
  <c r="H773" i="1"/>
  <c r="I773" i="1" a="1"/>
  <c r="I773" i="1"/>
  <c r="J773" i="1"/>
  <c r="B774" i="1"/>
  <c r="C774" i="1"/>
  <c r="D774" i="1"/>
  <c r="E774" i="1"/>
  <c r="F774" i="1"/>
  <c r="H774" i="1"/>
  <c r="I774" i="1" a="1"/>
  <c r="I774" i="1"/>
  <c r="J774" i="1"/>
  <c r="B775" i="1"/>
  <c r="C775" i="1"/>
  <c r="D775" i="1"/>
  <c r="E775" i="1"/>
  <c r="F775" i="1"/>
  <c r="H775" i="1"/>
  <c r="I775" i="1" a="1"/>
  <c r="I775" i="1"/>
  <c r="J775" i="1"/>
  <c r="B776" i="1"/>
  <c r="C776" i="1"/>
  <c r="D776" i="1"/>
  <c r="E776" i="1"/>
  <c r="F776" i="1"/>
  <c r="H776" i="1"/>
  <c r="I776" i="1" a="1"/>
  <c r="I776" i="1"/>
  <c r="J776" i="1"/>
  <c r="B777" i="1"/>
  <c r="C777" i="1"/>
  <c r="D777" i="1"/>
  <c r="E777" i="1"/>
  <c r="F777" i="1"/>
  <c r="H777" i="1"/>
  <c r="I777" i="1" a="1"/>
  <c r="I777" i="1"/>
  <c r="J777" i="1"/>
  <c r="B778" i="1"/>
  <c r="C778" i="1"/>
  <c r="D778" i="1"/>
  <c r="E778" i="1"/>
  <c r="F778" i="1"/>
  <c r="H778" i="1"/>
  <c r="I778" i="1" a="1"/>
  <c r="I778" i="1"/>
  <c r="J778" i="1"/>
  <c r="B779" i="1"/>
  <c r="C779" i="1"/>
  <c r="D779" i="1"/>
  <c r="E779" i="1"/>
  <c r="F779" i="1"/>
  <c r="H779" i="1"/>
  <c r="I779" i="1" a="1"/>
  <c r="I779" i="1"/>
  <c r="J779" i="1"/>
  <c r="B780" i="1"/>
  <c r="C780" i="1"/>
  <c r="D780" i="1"/>
  <c r="E780" i="1"/>
  <c r="F780" i="1"/>
  <c r="H780" i="1"/>
  <c r="I780" i="1" a="1"/>
  <c r="I780" i="1"/>
  <c r="J780" i="1"/>
  <c r="B781" i="1"/>
  <c r="C781" i="1"/>
  <c r="D781" i="1"/>
  <c r="E781" i="1"/>
  <c r="F781" i="1"/>
  <c r="H781" i="1"/>
  <c r="I781" i="1" a="1"/>
  <c r="I781" i="1"/>
  <c r="J781" i="1"/>
  <c r="B782" i="1"/>
  <c r="C782" i="1"/>
  <c r="D782" i="1"/>
  <c r="E782" i="1"/>
  <c r="F782" i="1"/>
  <c r="H782" i="1"/>
  <c r="I782" i="1" a="1"/>
  <c r="I782" i="1"/>
  <c r="J782" i="1"/>
  <c r="B783" i="1"/>
  <c r="C783" i="1"/>
  <c r="D783" i="1"/>
  <c r="E783" i="1"/>
  <c r="F783" i="1"/>
  <c r="H783" i="1"/>
  <c r="I783" i="1" a="1"/>
  <c r="I783" i="1"/>
  <c r="J783" i="1"/>
  <c r="B784" i="1"/>
  <c r="C784" i="1"/>
  <c r="D784" i="1"/>
  <c r="E784" i="1"/>
  <c r="F784" i="1"/>
  <c r="H784" i="1"/>
  <c r="I784" i="1" a="1"/>
  <c r="I784" i="1"/>
  <c r="J784" i="1"/>
  <c r="B785" i="1"/>
  <c r="C785" i="1"/>
  <c r="D785" i="1"/>
  <c r="E785" i="1"/>
  <c r="F785" i="1"/>
  <c r="H785" i="1"/>
  <c r="I785" i="1" a="1"/>
  <c r="I785" i="1"/>
  <c r="J785" i="1"/>
  <c r="B786" i="1"/>
  <c r="C786" i="1"/>
  <c r="D786" i="1"/>
  <c r="E786" i="1"/>
  <c r="F786" i="1"/>
  <c r="H786" i="1"/>
  <c r="I786" i="1" a="1"/>
  <c r="I786" i="1"/>
  <c r="J786" i="1"/>
  <c r="B787" i="1"/>
  <c r="C787" i="1"/>
  <c r="D787" i="1"/>
  <c r="E787" i="1"/>
  <c r="F787" i="1"/>
  <c r="H787" i="1"/>
  <c r="I787" i="1" a="1"/>
  <c r="I787" i="1"/>
  <c r="J787" i="1"/>
  <c r="B788" i="1"/>
  <c r="C788" i="1"/>
  <c r="D788" i="1"/>
  <c r="E788" i="1"/>
  <c r="F788" i="1"/>
  <c r="H788" i="1"/>
  <c r="I788" i="1" a="1"/>
  <c r="I788" i="1"/>
  <c r="J788" i="1"/>
  <c r="B789" i="1"/>
  <c r="C789" i="1"/>
  <c r="D789" i="1"/>
  <c r="E789" i="1"/>
  <c r="F789" i="1"/>
  <c r="H789" i="1"/>
  <c r="I789" i="1" a="1"/>
  <c r="I789" i="1"/>
  <c r="J789" i="1"/>
  <c r="B790" i="1"/>
  <c r="C790" i="1"/>
  <c r="D790" i="1"/>
  <c r="E790" i="1"/>
  <c r="F790" i="1"/>
  <c r="H790" i="1"/>
  <c r="I790" i="1" a="1"/>
  <c r="I790" i="1"/>
  <c r="J790" i="1"/>
  <c r="B791" i="1"/>
  <c r="C791" i="1"/>
  <c r="D791" i="1"/>
  <c r="E791" i="1"/>
  <c r="F791" i="1"/>
  <c r="H791" i="1"/>
  <c r="I791" i="1" a="1"/>
  <c r="I791" i="1"/>
  <c r="J791" i="1"/>
  <c r="B792" i="1"/>
  <c r="C792" i="1"/>
  <c r="D792" i="1"/>
  <c r="E792" i="1"/>
  <c r="F792" i="1"/>
  <c r="H792" i="1"/>
  <c r="I792" i="1" a="1"/>
  <c r="I792" i="1"/>
  <c r="J792" i="1"/>
  <c r="B793" i="1"/>
  <c r="C793" i="1"/>
  <c r="D793" i="1"/>
  <c r="E793" i="1"/>
  <c r="F793" i="1"/>
  <c r="H793" i="1"/>
  <c r="I793" i="1" a="1"/>
  <c r="I793" i="1"/>
  <c r="J793" i="1"/>
  <c r="B794" i="1"/>
  <c r="C794" i="1"/>
  <c r="D794" i="1"/>
  <c r="E794" i="1"/>
  <c r="F794" i="1"/>
  <c r="H794" i="1"/>
  <c r="I794" i="1" a="1"/>
  <c r="I794" i="1"/>
  <c r="J794" i="1"/>
  <c r="B795" i="1"/>
  <c r="C795" i="1"/>
  <c r="D795" i="1"/>
  <c r="E795" i="1"/>
  <c r="F795" i="1"/>
  <c r="H795" i="1"/>
  <c r="I795" i="1" a="1"/>
  <c r="I795" i="1"/>
  <c r="J795" i="1"/>
  <c r="B796" i="1"/>
  <c r="C796" i="1"/>
  <c r="D796" i="1"/>
  <c r="E796" i="1"/>
  <c r="F796" i="1"/>
  <c r="H796" i="1"/>
  <c r="I796" i="1" a="1"/>
  <c r="I796" i="1"/>
  <c r="J796" i="1"/>
  <c r="B797" i="1"/>
  <c r="C797" i="1"/>
  <c r="D797" i="1"/>
  <c r="E797" i="1"/>
  <c r="F797" i="1"/>
  <c r="H797" i="1"/>
  <c r="I797" i="1" a="1"/>
  <c r="I797" i="1"/>
  <c r="J797" i="1"/>
  <c r="B798" i="1"/>
  <c r="C798" i="1"/>
  <c r="D798" i="1"/>
  <c r="E798" i="1"/>
  <c r="F798" i="1"/>
  <c r="H798" i="1"/>
  <c r="I798" i="1" a="1"/>
  <c r="I798" i="1"/>
  <c r="J798" i="1"/>
  <c r="B799" i="1"/>
  <c r="C799" i="1"/>
  <c r="D799" i="1"/>
  <c r="E799" i="1"/>
  <c r="F799" i="1"/>
  <c r="H799" i="1"/>
  <c r="I799" i="1" a="1"/>
  <c r="I799" i="1"/>
  <c r="J799" i="1"/>
  <c r="B800" i="1"/>
  <c r="C800" i="1"/>
  <c r="D800" i="1"/>
  <c r="E800" i="1"/>
  <c r="F800" i="1"/>
  <c r="H800" i="1"/>
  <c r="I800" i="1" a="1"/>
  <c r="I800" i="1"/>
  <c r="J800" i="1"/>
  <c r="B801" i="1"/>
  <c r="C801" i="1"/>
  <c r="D801" i="1"/>
  <c r="E801" i="1"/>
  <c r="F801" i="1"/>
  <c r="H801" i="1"/>
  <c r="I801" i="1" a="1"/>
  <c r="I801" i="1"/>
  <c r="J801" i="1"/>
  <c r="B802" i="1"/>
  <c r="C802" i="1"/>
  <c r="D802" i="1"/>
  <c r="E802" i="1"/>
  <c r="F802" i="1"/>
  <c r="H802" i="1"/>
  <c r="I802" i="1" a="1"/>
  <c r="I802" i="1"/>
  <c r="J802" i="1"/>
  <c r="B803" i="1"/>
  <c r="C803" i="1"/>
  <c r="D803" i="1"/>
  <c r="E803" i="1"/>
  <c r="F803" i="1"/>
  <c r="H803" i="1"/>
  <c r="I803" i="1" a="1"/>
  <c r="I803" i="1"/>
  <c r="J803" i="1"/>
  <c r="B804" i="1"/>
  <c r="C804" i="1"/>
  <c r="D804" i="1"/>
  <c r="E804" i="1"/>
  <c r="F804" i="1"/>
  <c r="H804" i="1"/>
  <c r="I804" i="1" a="1"/>
  <c r="I804" i="1"/>
  <c r="J804" i="1"/>
  <c r="B805" i="1"/>
  <c r="C805" i="1"/>
  <c r="D805" i="1"/>
  <c r="E805" i="1"/>
  <c r="F805" i="1"/>
  <c r="H805" i="1"/>
  <c r="I805" i="1" a="1"/>
  <c r="I805" i="1"/>
  <c r="J805" i="1"/>
  <c r="B806" i="1"/>
  <c r="C806" i="1"/>
  <c r="D806" i="1"/>
  <c r="E806" i="1"/>
  <c r="F806" i="1"/>
  <c r="H806" i="1"/>
  <c r="I806" i="1" a="1"/>
  <c r="I806" i="1"/>
  <c r="J806" i="1"/>
  <c r="B807" i="1"/>
  <c r="C807" i="1"/>
  <c r="D807" i="1"/>
  <c r="E807" i="1"/>
  <c r="F807" i="1"/>
  <c r="H807" i="1"/>
  <c r="I807" i="1" a="1"/>
  <c r="I807" i="1"/>
  <c r="J807" i="1"/>
  <c r="B808" i="1"/>
  <c r="C808" i="1"/>
  <c r="D808" i="1"/>
  <c r="E808" i="1"/>
  <c r="F808" i="1"/>
  <c r="H808" i="1"/>
  <c r="I808" i="1" a="1"/>
  <c r="I808" i="1"/>
  <c r="J808" i="1"/>
  <c r="B809" i="1"/>
  <c r="C809" i="1"/>
  <c r="D809" i="1"/>
  <c r="E809" i="1"/>
  <c r="F809" i="1"/>
  <c r="H809" i="1"/>
  <c r="I809" i="1" a="1"/>
  <c r="I809" i="1"/>
  <c r="J809" i="1"/>
  <c r="B810" i="1"/>
  <c r="C810" i="1"/>
  <c r="D810" i="1"/>
  <c r="E810" i="1"/>
  <c r="F810" i="1"/>
  <c r="H810" i="1"/>
  <c r="I810" i="1" a="1"/>
  <c r="I810" i="1"/>
  <c r="J810" i="1"/>
  <c r="B811" i="1"/>
  <c r="C811" i="1"/>
  <c r="D811" i="1"/>
  <c r="E811" i="1"/>
  <c r="F811" i="1"/>
  <c r="H811" i="1"/>
  <c r="I811" i="1" a="1"/>
  <c r="I811" i="1"/>
  <c r="J811" i="1"/>
  <c r="B812" i="1"/>
  <c r="C812" i="1"/>
  <c r="D812" i="1"/>
  <c r="E812" i="1"/>
  <c r="F812" i="1"/>
  <c r="H812" i="1"/>
  <c r="I812" i="1" a="1"/>
  <c r="I812" i="1"/>
  <c r="J812" i="1"/>
  <c r="B813" i="1"/>
  <c r="C813" i="1"/>
  <c r="D813" i="1"/>
  <c r="E813" i="1"/>
  <c r="F813" i="1"/>
  <c r="H813" i="1"/>
  <c r="I813" i="1" a="1"/>
  <c r="I813" i="1"/>
  <c r="J813" i="1"/>
  <c r="B814" i="1"/>
  <c r="C814" i="1"/>
  <c r="D814" i="1"/>
  <c r="E814" i="1"/>
  <c r="F814" i="1"/>
  <c r="H814" i="1"/>
  <c r="I814" i="1" a="1"/>
  <c r="I814" i="1"/>
  <c r="J814" i="1"/>
  <c r="B815" i="1"/>
  <c r="C815" i="1"/>
  <c r="D815" i="1"/>
  <c r="E815" i="1"/>
  <c r="F815" i="1"/>
  <c r="H815" i="1"/>
  <c r="I815" i="1" a="1"/>
  <c r="I815" i="1"/>
  <c r="J815" i="1"/>
  <c r="B816" i="1"/>
  <c r="C816" i="1"/>
  <c r="D816" i="1"/>
  <c r="E816" i="1"/>
  <c r="F816" i="1"/>
  <c r="H816" i="1"/>
  <c r="I816" i="1" a="1"/>
  <c r="I816" i="1"/>
  <c r="J816" i="1"/>
  <c r="B817" i="1"/>
  <c r="C817" i="1"/>
  <c r="D817" i="1"/>
  <c r="E817" i="1"/>
  <c r="F817" i="1"/>
  <c r="H817" i="1"/>
  <c r="I817" i="1" a="1"/>
  <c r="I817" i="1"/>
  <c r="J817" i="1"/>
  <c r="B818" i="1"/>
  <c r="C818" i="1"/>
  <c r="D818" i="1"/>
  <c r="E818" i="1"/>
  <c r="F818" i="1"/>
  <c r="H818" i="1"/>
  <c r="I818" i="1" a="1"/>
  <c r="I818" i="1"/>
  <c r="J818" i="1"/>
  <c r="B819" i="1"/>
  <c r="C819" i="1"/>
  <c r="D819" i="1"/>
  <c r="E819" i="1"/>
  <c r="F819" i="1"/>
  <c r="H819" i="1"/>
  <c r="I819" i="1" a="1"/>
  <c r="I819" i="1"/>
  <c r="J819" i="1"/>
  <c r="B820" i="1"/>
  <c r="C820" i="1"/>
  <c r="D820" i="1"/>
  <c r="E820" i="1"/>
  <c r="F820" i="1"/>
  <c r="H820" i="1"/>
  <c r="I820" i="1" a="1"/>
  <c r="I820" i="1"/>
  <c r="J820" i="1"/>
  <c r="B821" i="1"/>
  <c r="C821" i="1"/>
  <c r="D821" i="1"/>
  <c r="E821" i="1"/>
  <c r="F821" i="1"/>
  <c r="H821" i="1"/>
  <c r="I821" i="1" a="1"/>
  <c r="I821" i="1"/>
  <c r="J821" i="1"/>
  <c r="B822" i="1"/>
  <c r="C822" i="1"/>
  <c r="D822" i="1"/>
  <c r="E822" i="1"/>
  <c r="F822" i="1"/>
  <c r="H822" i="1"/>
  <c r="I822" i="1" a="1"/>
  <c r="I822" i="1"/>
  <c r="J822" i="1"/>
  <c r="B823" i="1"/>
  <c r="C823" i="1"/>
  <c r="D823" i="1"/>
  <c r="E823" i="1"/>
  <c r="F823" i="1"/>
  <c r="H823" i="1"/>
  <c r="I823" i="1" a="1"/>
  <c r="I823" i="1"/>
  <c r="J823" i="1"/>
  <c r="B824" i="1"/>
  <c r="C824" i="1"/>
  <c r="D824" i="1"/>
  <c r="E824" i="1"/>
  <c r="F824" i="1"/>
  <c r="H824" i="1"/>
  <c r="I824" i="1" a="1"/>
  <c r="I824" i="1"/>
  <c r="J824" i="1"/>
  <c r="B825" i="1"/>
  <c r="C825" i="1"/>
  <c r="D825" i="1"/>
  <c r="E825" i="1"/>
  <c r="F825" i="1"/>
  <c r="H825" i="1"/>
  <c r="I825" i="1" a="1"/>
  <c r="I825" i="1"/>
  <c r="J825" i="1"/>
  <c r="B826" i="1"/>
  <c r="C826" i="1"/>
  <c r="D826" i="1"/>
  <c r="E826" i="1"/>
  <c r="F826" i="1"/>
  <c r="H826" i="1"/>
  <c r="I826" i="1" a="1"/>
  <c r="I826" i="1"/>
  <c r="J826" i="1"/>
  <c r="B827" i="1"/>
  <c r="C827" i="1"/>
  <c r="D827" i="1"/>
  <c r="E827" i="1"/>
  <c r="F827" i="1"/>
  <c r="H827" i="1"/>
  <c r="I827" i="1" a="1"/>
  <c r="I827" i="1"/>
  <c r="J827" i="1"/>
  <c r="B828" i="1"/>
  <c r="C828" i="1"/>
  <c r="D828" i="1"/>
  <c r="E828" i="1"/>
  <c r="F828" i="1"/>
  <c r="H828" i="1"/>
  <c r="I828" i="1" a="1"/>
  <c r="I828" i="1"/>
  <c r="J828" i="1"/>
  <c r="B829" i="1"/>
  <c r="C829" i="1"/>
  <c r="D829" i="1"/>
  <c r="E829" i="1"/>
  <c r="F829" i="1"/>
  <c r="H829" i="1"/>
  <c r="I829" i="1" a="1"/>
  <c r="I829" i="1"/>
  <c r="J829" i="1"/>
  <c r="B830" i="1"/>
  <c r="C830" i="1"/>
  <c r="D830" i="1"/>
  <c r="E830" i="1"/>
  <c r="F830" i="1"/>
  <c r="H830" i="1"/>
  <c r="I830" i="1" a="1"/>
  <c r="I830" i="1"/>
  <c r="J830" i="1"/>
  <c r="B831" i="1"/>
  <c r="C831" i="1"/>
  <c r="D831" i="1"/>
  <c r="E831" i="1"/>
  <c r="F831" i="1"/>
  <c r="H831" i="1"/>
  <c r="I831" i="1" a="1"/>
  <c r="I831" i="1"/>
  <c r="J831" i="1"/>
  <c r="B832" i="1"/>
  <c r="C832" i="1"/>
  <c r="D832" i="1"/>
  <c r="E832" i="1"/>
  <c r="F832" i="1"/>
  <c r="H832" i="1"/>
  <c r="I832" i="1" a="1"/>
  <c r="I832" i="1"/>
  <c r="J832" i="1"/>
  <c r="B833" i="1"/>
  <c r="C833" i="1"/>
  <c r="D833" i="1"/>
  <c r="E833" i="1"/>
  <c r="F833" i="1"/>
  <c r="H833" i="1"/>
  <c r="I833" i="1" a="1"/>
  <c r="I833" i="1"/>
  <c r="J833" i="1"/>
  <c r="B834" i="1"/>
  <c r="C834" i="1"/>
  <c r="D834" i="1"/>
  <c r="E834" i="1"/>
  <c r="F834" i="1"/>
  <c r="H834" i="1"/>
  <c r="I834" i="1" a="1"/>
  <c r="I834" i="1"/>
  <c r="J834" i="1"/>
  <c r="B835" i="1"/>
  <c r="C835" i="1"/>
  <c r="D835" i="1"/>
  <c r="E835" i="1"/>
  <c r="F835" i="1"/>
  <c r="H835" i="1"/>
  <c r="I835" i="1" a="1"/>
  <c r="I835" i="1"/>
  <c r="J835" i="1"/>
  <c r="B836" i="1"/>
  <c r="C836" i="1"/>
  <c r="D836" i="1"/>
  <c r="E836" i="1"/>
  <c r="F836" i="1"/>
  <c r="H836" i="1"/>
  <c r="I836" i="1" a="1"/>
  <c r="I836" i="1"/>
  <c r="J836" i="1"/>
  <c r="B837" i="1"/>
  <c r="C837" i="1"/>
  <c r="D837" i="1"/>
  <c r="E837" i="1"/>
  <c r="F837" i="1"/>
  <c r="H837" i="1"/>
  <c r="I837" i="1" a="1"/>
  <c r="I837" i="1"/>
  <c r="J837" i="1"/>
  <c r="B838" i="1"/>
  <c r="C838" i="1"/>
  <c r="D838" i="1"/>
  <c r="E838" i="1"/>
  <c r="F838" i="1"/>
  <c r="H838" i="1"/>
  <c r="I838" i="1" a="1"/>
  <c r="I838" i="1"/>
  <c r="J838" i="1"/>
  <c r="B839" i="1"/>
  <c r="C839" i="1"/>
  <c r="D839" i="1"/>
  <c r="E839" i="1"/>
  <c r="F839" i="1"/>
  <c r="H839" i="1"/>
  <c r="I839" i="1" a="1"/>
  <c r="I839" i="1"/>
  <c r="J839" i="1"/>
  <c r="B840" i="1"/>
  <c r="C840" i="1"/>
  <c r="D840" i="1"/>
  <c r="E840" i="1"/>
  <c r="F840" i="1"/>
  <c r="H840" i="1"/>
  <c r="I840" i="1" a="1"/>
  <c r="I840" i="1"/>
  <c r="J840" i="1"/>
  <c r="B841" i="1"/>
  <c r="C841" i="1"/>
  <c r="D841" i="1"/>
  <c r="E841" i="1"/>
  <c r="F841" i="1"/>
  <c r="H841" i="1"/>
  <c r="I841" i="1" a="1"/>
  <c r="I841" i="1"/>
  <c r="J841" i="1"/>
  <c r="B842" i="1"/>
  <c r="C842" i="1"/>
  <c r="D842" i="1"/>
  <c r="E842" i="1"/>
  <c r="F842" i="1"/>
  <c r="H842" i="1"/>
  <c r="I842" i="1" a="1"/>
  <c r="I842" i="1"/>
  <c r="J842" i="1"/>
  <c r="B843" i="1"/>
  <c r="C843" i="1"/>
  <c r="D843" i="1"/>
  <c r="E843" i="1"/>
  <c r="F843" i="1"/>
  <c r="H843" i="1"/>
  <c r="I843" i="1" a="1"/>
  <c r="I843" i="1"/>
  <c r="J843" i="1"/>
  <c r="B844" i="1"/>
  <c r="C844" i="1"/>
  <c r="D844" i="1"/>
  <c r="E844" i="1"/>
  <c r="F844" i="1"/>
  <c r="H844" i="1"/>
  <c r="I844" i="1" a="1"/>
  <c r="I844" i="1"/>
  <c r="J844" i="1"/>
  <c r="B845" i="1"/>
  <c r="C845" i="1"/>
  <c r="D845" i="1"/>
  <c r="E845" i="1"/>
  <c r="F845" i="1"/>
  <c r="H845" i="1"/>
  <c r="I845" i="1" a="1"/>
  <c r="I845" i="1"/>
  <c r="J845" i="1"/>
  <c r="B846" i="1"/>
  <c r="C846" i="1"/>
  <c r="D846" i="1"/>
  <c r="E846" i="1"/>
  <c r="F846" i="1"/>
  <c r="H846" i="1"/>
  <c r="I846" i="1" a="1"/>
  <c r="I846" i="1"/>
  <c r="J846" i="1"/>
  <c r="B847" i="1"/>
  <c r="C847" i="1"/>
  <c r="D847" i="1"/>
  <c r="E847" i="1"/>
  <c r="F847" i="1"/>
  <c r="H847" i="1"/>
  <c r="I847" i="1" a="1"/>
  <c r="I847" i="1"/>
  <c r="J847" i="1"/>
  <c r="B848" i="1"/>
  <c r="C848" i="1"/>
  <c r="D848" i="1"/>
  <c r="E848" i="1"/>
  <c r="F848" i="1"/>
  <c r="H848" i="1"/>
  <c r="I848" i="1" a="1"/>
  <c r="I848" i="1"/>
  <c r="J848" i="1"/>
  <c r="B849" i="1"/>
  <c r="C849" i="1"/>
  <c r="D849" i="1"/>
  <c r="E849" i="1"/>
  <c r="F849" i="1"/>
  <c r="H849" i="1"/>
  <c r="I849" i="1" a="1"/>
  <c r="I849" i="1"/>
  <c r="J849" i="1"/>
  <c r="B850" i="1"/>
  <c r="C850" i="1"/>
  <c r="D850" i="1"/>
  <c r="E850" i="1"/>
  <c r="F850" i="1"/>
  <c r="H850" i="1"/>
  <c r="I850" i="1" a="1"/>
  <c r="I850" i="1"/>
  <c r="J850" i="1"/>
  <c r="B851" i="1"/>
  <c r="C851" i="1"/>
  <c r="D851" i="1"/>
  <c r="E851" i="1"/>
  <c r="F851" i="1"/>
  <c r="H851" i="1"/>
  <c r="I851" i="1" a="1"/>
  <c r="I851" i="1"/>
  <c r="J851" i="1"/>
  <c r="B852" i="1"/>
  <c r="C852" i="1"/>
  <c r="D852" i="1"/>
  <c r="E852" i="1"/>
  <c r="F852" i="1"/>
  <c r="H852" i="1"/>
  <c r="I852" i="1" a="1"/>
  <c r="I852" i="1"/>
  <c r="J852" i="1"/>
  <c r="B853" i="1"/>
  <c r="C853" i="1"/>
  <c r="D853" i="1"/>
  <c r="E853" i="1"/>
  <c r="F853" i="1"/>
  <c r="H853" i="1"/>
  <c r="I853" i="1" a="1"/>
  <c r="I853" i="1"/>
  <c r="J853" i="1"/>
  <c r="B854" i="1"/>
  <c r="C854" i="1"/>
  <c r="D854" i="1"/>
  <c r="E854" i="1"/>
  <c r="F854" i="1"/>
  <c r="H854" i="1"/>
  <c r="I854" i="1" a="1"/>
  <c r="I854" i="1"/>
  <c r="J854" i="1"/>
  <c r="B855" i="1"/>
  <c r="C855" i="1"/>
  <c r="D855" i="1"/>
  <c r="E855" i="1"/>
  <c r="F855" i="1"/>
  <c r="H855" i="1"/>
  <c r="I855" i="1" a="1"/>
  <c r="I855" i="1"/>
  <c r="J855" i="1"/>
  <c r="B856" i="1"/>
  <c r="C856" i="1"/>
  <c r="D856" i="1"/>
  <c r="E856" i="1"/>
  <c r="F856" i="1"/>
  <c r="H856" i="1"/>
  <c r="I856" i="1" a="1"/>
  <c r="I856" i="1"/>
  <c r="J856" i="1"/>
  <c r="B857" i="1"/>
  <c r="C857" i="1"/>
  <c r="D857" i="1"/>
  <c r="E857" i="1"/>
  <c r="F857" i="1"/>
  <c r="H857" i="1"/>
  <c r="I857" i="1" a="1"/>
  <c r="I857" i="1"/>
  <c r="J857" i="1"/>
  <c r="B858" i="1"/>
  <c r="C858" i="1"/>
  <c r="D858" i="1"/>
  <c r="E858" i="1"/>
  <c r="F858" i="1"/>
  <c r="H858" i="1"/>
  <c r="I858" i="1" a="1"/>
  <c r="I858" i="1"/>
  <c r="J858" i="1"/>
  <c r="B859" i="1"/>
  <c r="C859" i="1"/>
  <c r="D859" i="1"/>
  <c r="E859" i="1"/>
  <c r="F859" i="1"/>
  <c r="H859" i="1"/>
  <c r="I859" i="1" a="1"/>
  <c r="I859" i="1"/>
  <c r="J859" i="1"/>
  <c r="B860" i="1"/>
  <c r="C860" i="1"/>
  <c r="D860" i="1"/>
  <c r="E860" i="1"/>
  <c r="F860" i="1"/>
  <c r="H860" i="1"/>
  <c r="I860" i="1" a="1"/>
  <c r="I860" i="1"/>
  <c r="J860" i="1"/>
  <c r="B861" i="1"/>
  <c r="C861" i="1"/>
  <c r="D861" i="1"/>
  <c r="E861" i="1"/>
  <c r="F861" i="1"/>
  <c r="H861" i="1"/>
  <c r="I861" i="1" a="1"/>
  <c r="I861" i="1"/>
  <c r="J861" i="1"/>
  <c r="B862" i="1"/>
  <c r="C862" i="1"/>
  <c r="D862" i="1"/>
  <c r="E862" i="1"/>
  <c r="F862" i="1"/>
  <c r="H862" i="1"/>
  <c r="I862" i="1" a="1"/>
  <c r="I862" i="1"/>
  <c r="J862" i="1"/>
  <c r="B863" i="1"/>
  <c r="C863" i="1"/>
  <c r="D863" i="1"/>
  <c r="E863" i="1"/>
  <c r="F863" i="1"/>
  <c r="H863" i="1"/>
  <c r="I863" i="1" a="1"/>
  <c r="I863" i="1"/>
  <c r="J863" i="1"/>
  <c r="B864" i="1"/>
  <c r="C864" i="1"/>
  <c r="D864" i="1"/>
  <c r="E864" i="1"/>
  <c r="F864" i="1"/>
  <c r="H864" i="1"/>
  <c r="I864" i="1" a="1"/>
  <c r="I864" i="1"/>
  <c r="J864" i="1"/>
  <c r="B865" i="1"/>
  <c r="C865" i="1"/>
  <c r="D865" i="1"/>
  <c r="E865" i="1"/>
  <c r="F865" i="1"/>
  <c r="H865" i="1"/>
  <c r="I865" i="1" a="1"/>
  <c r="I865" i="1"/>
  <c r="J865" i="1"/>
  <c r="B866" i="1"/>
  <c r="C866" i="1"/>
  <c r="D866" i="1"/>
  <c r="E866" i="1"/>
  <c r="F866" i="1"/>
  <c r="H866" i="1"/>
  <c r="I866" i="1" a="1"/>
  <c r="I866" i="1"/>
  <c r="J866" i="1"/>
  <c r="B867" i="1"/>
  <c r="C867" i="1"/>
  <c r="D867" i="1"/>
  <c r="E867" i="1"/>
  <c r="F867" i="1"/>
  <c r="H867" i="1"/>
  <c r="I867" i="1" a="1"/>
  <c r="I867" i="1"/>
  <c r="J867" i="1"/>
  <c r="B868" i="1"/>
  <c r="C868" i="1"/>
  <c r="D868" i="1"/>
  <c r="E868" i="1"/>
  <c r="F868" i="1"/>
  <c r="H868" i="1"/>
  <c r="I868" i="1" a="1"/>
  <c r="I868" i="1"/>
  <c r="J868" i="1"/>
  <c r="B869" i="1"/>
  <c r="C869" i="1"/>
  <c r="D869" i="1"/>
  <c r="E869" i="1"/>
  <c r="F869" i="1"/>
  <c r="H869" i="1"/>
  <c r="I869" i="1" a="1"/>
  <c r="I869" i="1"/>
  <c r="J869" i="1"/>
  <c r="B870" i="1"/>
  <c r="C870" i="1"/>
  <c r="D870" i="1"/>
  <c r="E870" i="1"/>
  <c r="F870" i="1"/>
  <c r="H870" i="1"/>
  <c r="I870" i="1" a="1"/>
  <c r="I870" i="1"/>
  <c r="J870" i="1"/>
  <c r="B871" i="1"/>
  <c r="C871" i="1"/>
  <c r="D871" i="1"/>
  <c r="E871" i="1"/>
  <c r="F871" i="1"/>
  <c r="H871" i="1"/>
  <c r="I871" i="1" a="1"/>
  <c r="I871" i="1"/>
  <c r="J871" i="1"/>
  <c r="B872" i="1"/>
  <c r="C872" i="1"/>
  <c r="D872" i="1"/>
  <c r="E872" i="1"/>
  <c r="F872" i="1"/>
  <c r="H872" i="1"/>
  <c r="I872" i="1" a="1"/>
  <c r="I872" i="1"/>
  <c r="J872" i="1"/>
  <c r="B873" i="1"/>
  <c r="C873" i="1"/>
  <c r="D873" i="1"/>
  <c r="E873" i="1"/>
  <c r="F873" i="1"/>
  <c r="H873" i="1"/>
  <c r="I873" i="1" a="1"/>
  <c r="I873" i="1"/>
  <c r="J873" i="1"/>
  <c r="B874" i="1"/>
  <c r="C874" i="1"/>
  <c r="D874" i="1"/>
  <c r="E874" i="1"/>
  <c r="F874" i="1"/>
  <c r="H874" i="1"/>
  <c r="I874" i="1" a="1"/>
  <c r="I874" i="1"/>
  <c r="J874" i="1"/>
  <c r="B875" i="1"/>
  <c r="C875" i="1"/>
  <c r="D875" i="1"/>
  <c r="E875" i="1"/>
  <c r="F875" i="1"/>
  <c r="H875" i="1"/>
  <c r="I875" i="1" a="1"/>
  <c r="I875" i="1"/>
  <c r="J875" i="1"/>
  <c r="B876" i="1"/>
  <c r="C876" i="1"/>
  <c r="D876" i="1"/>
  <c r="E876" i="1"/>
  <c r="F876" i="1"/>
  <c r="H876" i="1"/>
  <c r="I876" i="1" a="1"/>
  <c r="I876" i="1"/>
  <c r="J876" i="1"/>
  <c r="B877" i="1"/>
  <c r="C877" i="1"/>
  <c r="D877" i="1"/>
  <c r="E877" i="1"/>
  <c r="F877" i="1"/>
  <c r="H877" i="1"/>
  <c r="I877" i="1" a="1"/>
  <c r="I877" i="1"/>
  <c r="J877" i="1"/>
  <c r="B878" i="1"/>
  <c r="C878" i="1"/>
  <c r="D878" i="1"/>
  <c r="E878" i="1"/>
  <c r="F878" i="1"/>
  <c r="H878" i="1"/>
  <c r="I878" i="1" a="1"/>
  <c r="I878" i="1"/>
  <c r="J878" i="1"/>
  <c r="B879" i="1"/>
  <c r="C879" i="1"/>
  <c r="D879" i="1"/>
  <c r="E879" i="1"/>
  <c r="F879" i="1"/>
  <c r="H879" i="1"/>
  <c r="I879" i="1" a="1"/>
  <c r="I879" i="1"/>
  <c r="J879" i="1"/>
  <c r="B880" i="1"/>
  <c r="C880" i="1"/>
  <c r="D880" i="1"/>
  <c r="E880" i="1"/>
  <c r="F880" i="1"/>
  <c r="H880" i="1"/>
  <c r="I880" i="1" a="1"/>
  <c r="I880" i="1"/>
  <c r="J880" i="1"/>
  <c r="B881" i="1"/>
  <c r="C881" i="1"/>
  <c r="D881" i="1"/>
  <c r="E881" i="1"/>
  <c r="F881" i="1"/>
  <c r="H881" i="1"/>
  <c r="I881" i="1" a="1"/>
  <c r="I881" i="1"/>
  <c r="J881" i="1"/>
  <c r="B882" i="1"/>
  <c r="C882" i="1"/>
  <c r="D882" i="1"/>
  <c r="E882" i="1"/>
  <c r="F882" i="1"/>
  <c r="H882" i="1"/>
  <c r="I882" i="1" a="1"/>
  <c r="I882" i="1"/>
  <c r="J882" i="1"/>
  <c r="B883" i="1"/>
  <c r="C883" i="1"/>
  <c r="D883" i="1"/>
  <c r="E883" i="1"/>
  <c r="F883" i="1"/>
  <c r="H883" i="1"/>
  <c r="I883" i="1" a="1"/>
  <c r="I883" i="1"/>
  <c r="J883" i="1"/>
  <c r="B884" i="1"/>
  <c r="C884" i="1"/>
  <c r="D884" i="1"/>
  <c r="E884" i="1"/>
  <c r="F884" i="1"/>
  <c r="H884" i="1"/>
  <c r="I884" i="1" a="1"/>
  <c r="I884" i="1"/>
  <c r="J884" i="1"/>
  <c r="B885" i="1"/>
  <c r="C885" i="1"/>
  <c r="D885" i="1"/>
  <c r="E885" i="1"/>
  <c r="F885" i="1"/>
  <c r="H885" i="1"/>
  <c r="I885" i="1" a="1"/>
  <c r="I885" i="1"/>
  <c r="J885" i="1"/>
  <c r="B886" i="1"/>
  <c r="C886" i="1"/>
  <c r="D886" i="1"/>
  <c r="E886" i="1"/>
  <c r="F886" i="1"/>
  <c r="H886" i="1"/>
  <c r="I886" i="1" a="1"/>
  <c r="I886" i="1"/>
  <c r="J886" i="1"/>
  <c r="B887" i="1"/>
  <c r="C887" i="1"/>
  <c r="D887" i="1"/>
  <c r="E887" i="1"/>
  <c r="F887" i="1"/>
  <c r="H887" i="1"/>
  <c r="I887" i="1" a="1"/>
  <c r="I887" i="1"/>
  <c r="J887" i="1"/>
  <c r="B888" i="1"/>
  <c r="C888" i="1"/>
  <c r="D888" i="1"/>
  <c r="E888" i="1"/>
  <c r="F888" i="1"/>
  <c r="H888" i="1"/>
  <c r="I888" i="1" a="1"/>
  <c r="I888" i="1"/>
  <c r="J888" i="1"/>
  <c r="B889" i="1"/>
  <c r="C889" i="1"/>
  <c r="D889" i="1"/>
  <c r="E889" i="1"/>
  <c r="F889" i="1"/>
  <c r="H889" i="1"/>
  <c r="I889" i="1" a="1"/>
  <c r="I889" i="1"/>
  <c r="J889" i="1"/>
  <c r="B890" i="1"/>
  <c r="C890" i="1"/>
  <c r="D890" i="1"/>
  <c r="E890" i="1"/>
  <c r="F890" i="1"/>
  <c r="H890" i="1"/>
  <c r="I890" i="1" a="1"/>
  <c r="I890" i="1"/>
  <c r="J890" i="1"/>
  <c r="B891" i="1"/>
  <c r="C891" i="1"/>
  <c r="D891" i="1"/>
  <c r="E891" i="1"/>
  <c r="F891" i="1"/>
  <c r="H891" i="1"/>
  <c r="I891" i="1" a="1"/>
  <c r="I891" i="1"/>
  <c r="J891" i="1"/>
  <c r="B892" i="1"/>
  <c r="C892" i="1"/>
  <c r="D892" i="1"/>
  <c r="E892" i="1"/>
  <c r="F892" i="1"/>
  <c r="H892" i="1"/>
  <c r="I892" i="1" a="1"/>
  <c r="I892" i="1"/>
  <c r="J892" i="1"/>
  <c r="B893" i="1"/>
  <c r="C893" i="1"/>
  <c r="D893" i="1"/>
  <c r="E893" i="1"/>
  <c r="F893" i="1"/>
  <c r="H893" i="1"/>
  <c r="I893" i="1" a="1"/>
  <c r="I893" i="1"/>
  <c r="J893" i="1"/>
  <c r="B894" i="1"/>
  <c r="C894" i="1"/>
  <c r="D894" i="1"/>
  <c r="E894" i="1"/>
  <c r="F894" i="1"/>
  <c r="H894" i="1"/>
  <c r="I894" i="1" a="1"/>
  <c r="I894" i="1"/>
  <c r="J894" i="1"/>
  <c r="B895" i="1"/>
  <c r="C895" i="1"/>
  <c r="D895" i="1"/>
  <c r="E895" i="1"/>
  <c r="F895" i="1"/>
  <c r="H895" i="1"/>
  <c r="I895" i="1" a="1"/>
  <c r="I895" i="1"/>
  <c r="J895" i="1"/>
  <c r="B896" i="1"/>
  <c r="C896" i="1"/>
  <c r="D896" i="1"/>
  <c r="E896" i="1"/>
  <c r="F896" i="1"/>
  <c r="H896" i="1"/>
  <c r="I896" i="1" a="1"/>
  <c r="I896" i="1"/>
  <c r="J896" i="1"/>
  <c r="B897" i="1"/>
  <c r="C897" i="1"/>
  <c r="D897" i="1"/>
  <c r="E897" i="1"/>
  <c r="F897" i="1"/>
  <c r="H897" i="1"/>
  <c r="I897" i="1" a="1"/>
  <c r="I897" i="1"/>
  <c r="J897" i="1"/>
  <c r="B898" i="1"/>
  <c r="C898" i="1"/>
  <c r="D898" i="1"/>
  <c r="E898" i="1"/>
  <c r="F898" i="1"/>
  <c r="H898" i="1"/>
  <c r="I898" i="1" a="1"/>
  <c r="I898" i="1"/>
  <c r="J898" i="1"/>
  <c r="B899" i="1"/>
  <c r="C899" i="1"/>
  <c r="D899" i="1"/>
  <c r="E899" i="1"/>
  <c r="F899" i="1"/>
  <c r="H899" i="1"/>
  <c r="I899" i="1" a="1"/>
  <c r="I899" i="1"/>
  <c r="J899" i="1"/>
  <c r="B900" i="1"/>
  <c r="C900" i="1"/>
  <c r="D900" i="1"/>
  <c r="E900" i="1"/>
  <c r="F900" i="1"/>
  <c r="H900" i="1"/>
  <c r="I900" i="1" a="1"/>
  <c r="I900" i="1"/>
  <c r="J900" i="1"/>
  <c r="B901" i="1"/>
  <c r="C901" i="1"/>
  <c r="D901" i="1"/>
  <c r="E901" i="1"/>
  <c r="F901" i="1"/>
  <c r="H901" i="1"/>
  <c r="I901" i="1" a="1"/>
  <c r="I901" i="1"/>
  <c r="J901" i="1"/>
  <c r="B902" i="1"/>
  <c r="C902" i="1"/>
  <c r="D902" i="1"/>
  <c r="E902" i="1"/>
  <c r="F902" i="1"/>
  <c r="H902" i="1"/>
  <c r="I902" i="1" a="1"/>
  <c r="I902" i="1"/>
  <c r="J902" i="1"/>
  <c r="B903" i="1"/>
  <c r="C903" i="1"/>
  <c r="D903" i="1"/>
  <c r="E903" i="1"/>
  <c r="F903" i="1"/>
  <c r="H903" i="1"/>
  <c r="I903" i="1" a="1"/>
  <c r="I903" i="1"/>
  <c r="J903" i="1"/>
  <c r="B904" i="1"/>
  <c r="C904" i="1"/>
  <c r="D904" i="1"/>
  <c r="E904" i="1"/>
  <c r="F904" i="1"/>
  <c r="H904" i="1"/>
  <c r="I904" i="1" a="1"/>
  <c r="I904" i="1"/>
  <c r="J904" i="1"/>
  <c r="B905" i="1"/>
  <c r="C905" i="1"/>
  <c r="D905" i="1"/>
  <c r="E905" i="1"/>
  <c r="F905" i="1"/>
  <c r="H905" i="1"/>
  <c r="I905" i="1" a="1"/>
  <c r="I905" i="1"/>
  <c r="J905" i="1"/>
  <c r="B906" i="1"/>
  <c r="C906" i="1"/>
  <c r="D906" i="1"/>
  <c r="E906" i="1"/>
  <c r="F906" i="1"/>
  <c r="H906" i="1"/>
  <c r="I906" i="1" a="1"/>
  <c r="I906" i="1"/>
  <c r="J906" i="1"/>
  <c r="B907" i="1"/>
  <c r="C907" i="1"/>
  <c r="D907" i="1"/>
  <c r="E907" i="1"/>
  <c r="F907" i="1"/>
  <c r="H907" i="1"/>
  <c r="I907" i="1" a="1"/>
  <c r="I907" i="1"/>
  <c r="J907" i="1"/>
  <c r="B908" i="1"/>
  <c r="C908" i="1"/>
  <c r="D908" i="1"/>
  <c r="E908" i="1"/>
  <c r="F908" i="1"/>
  <c r="H908" i="1"/>
  <c r="I908" i="1" a="1"/>
  <c r="I908" i="1"/>
  <c r="J908" i="1"/>
  <c r="B909" i="1"/>
  <c r="C909" i="1"/>
  <c r="D909" i="1"/>
  <c r="E909" i="1"/>
  <c r="F909" i="1"/>
  <c r="H909" i="1"/>
  <c r="I909" i="1" a="1"/>
  <c r="I909" i="1"/>
  <c r="J909" i="1"/>
  <c r="B910" i="1"/>
  <c r="C910" i="1"/>
  <c r="D910" i="1"/>
  <c r="E910" i="1"/>
  <c r="F910" i="1"/>
  <c r="H910" i="1"/>
  <c r="I910" i="1" a="1"/>
  <c r="I910" i="1"/>
  <c r="J910" i="1"/>
  <c r="B911" i="1"/>
  <c r="C911" i="1"/>
  <c r="D911" i="1"/>
  <c r="E911" i="1"/>
  <c r="F911" i="1"/>
  <c r="H911" i="1"/>
  <c r="I911" i="1" a="1"/>
  <c r="I911" i="1"/>
  <c r="J911" i="1"/>
  <c r="B912" i="1"/>
  <c r="C912" i="1"/>
  <c r="D912" i="1"/>
  <c r="E912" i="1"/>
  <c r="F912" i="1"/>
  <c r="H912" i="1"/>
  <c r="I912" i="1" a="1"/>
  <c r="I912" i="1"/>
  <c r="J912" i="1"/>
  <c r="B913" i="1"/>
  <c r="C913" i="1"/>
  <c r="D913" i="1"/>
  <c r="E913" i="1"/>
  <c r="F913" i="1"/>
  <c r="H913" i="1"/>
  <c r="I913" i="1" a="1"/>
  <c r="I913" i="1"/>
  <c r="J913" i="1"/>
  <c r="B914" i="1"/>
  <c r="C914" i="1"/>
  <c r="D914" i="1"/>
  <c r="E914" i="1"/>
  <c r="F914" i="1"/>
  <c r="H914" i="1"/>
  <c r="I914" i="1" a="1"/>
  <c r="I914" i="1"/>
  <c r="J914" i="1"/>
  <c r="B915" i="1"/>
  <c r="C915" i="1"/>
  <c r="D915" i="1"/>
  <c r="E915" i="1"/>
  <c r="F915" i="1"/>
  <c r="H915" i="1"/>
  <c r="I915" i="1" a="1"/>
  <c r="I915" i="1"/>
  <c r="J915" i="1"/>
  <c r="B916" i="1"/>
  <c r="C916" i="1"/>
  <c r="D916" i="1"/>
  <c r="E916" i="1"/>
  <c r="F916" i="1"/>
  <c r="H916" i="1"/>
  <c r="I916" i="1" a="1"/>
  <c r="I916" i="1"/>
  <c r="J916" i="1"/>
  <c r="B917" i="1"/>
  <c r="C917" i="1"/>
  <c r="D917" i="1"/>
  <c r="E917" i="1"/>
  <c r="F917" i="1"/>
  <c r="H917" i="1"/>
  <c r="I917" i="1" a="1"/>
  <c r="I917" i="1"/>
  <c r="J917" i="1"/>
  <c r="B918" i="1"/>
  <c r="C918" i="1"/>
  <c r="D918" i="1"/>
  <c r="E918" i="1"/>
  <c r="F918" i="1"/>
  <c r="H918" i="1"/>
  <c r="I918" i="1" a="1"/>
  <c r="I918" i="1"/>
  <c r="J918" i="1"/>
  <c r="B919" i="1"/>
  <c r="C919" i="1"/>
  <c r="D919" i="1"/>
  <c r="E919" i="1"/>
  <c r="F919" i="1"/>
  <c r="H919" i="1"/>
  <c r="I919" i="1" a="1"/>
  <c r="I919" i="1"/>
  <c r="J919" i="1"/>
  <c r="B920" i="1"/>
  <c r="C920" i="1"/>
  <c r="D920" i="1"/>
  <c r="E920" i="1"/>
  <c r="F920" i="1"/>
  <c r="H920" i="1"/>
  <c r="I920" i="1" a="1"/>
  <c r="I920" i="1"/>
  <c r="J920" i="1"/>
  <c r="B921" i="1"/>
  <c r="C921" i="1"/>
  <c r="D921" i="1"/>
  <c r="E921" i="1"/>
  <c r="F921" i="1"/>
  <c r="H921" i="1"/>
  <c r="I921" i="1" a="1"/>
  <c r="I921" i="1"/>
  <c r="J921" i="1"/>
  <c r="B922" i="1"/>
  <c r="C922" i="1"/>
  <c r="D922" i="1"/>
  <c r="E922" i="1"/>
  <c r="F922" i="1"/>
  <c r="H922" i="1"/>
  <c r="I922" i="1" a="1"/>
  <c r="I922" i="1"/>
  <c r="J922" i="1"/>
  <c r="B923" i="1"/>
  <c r="C923" i="1"/>
  <c r="D923" i="1"/>
  <c r="E923" i="1"/>
  <c r="F923" i="1"/>
  <c r="H923" i="1"/>
  <c r="I923" i="1" a="1"/>
  <c r="I923" i="1"/>
  <c r="J923" i="1"/>
  <c r="B924" i="1"/>
  <c r="C924" i="1"/>
  <c r="D924" i="1"/>
  <c r="E924" i="1"/>
  <c r="F924" i="1"/>
  <c r="H924" i="1"/>
  <c r="I924" i="1" a="1"/>
  <c r="I924" i="1"/>
  <c r="J924" i="1"/>
  <c r="B925" i="1"/>
  <c r="C925" i="1"/>
  <c r="D925" i="1"/>
  <c r="E925" i="1"/>
  <c r="F925" i="1"/>
  <c r="H925" i="1"/>
  <c r="I925" i="1" a="1"/>
  <c r="I925" i="1"/>
  <c r="J925" i="1"/>
  <c r="B926" i="1"/>
  <c r="C926" i="1"/>
  <c r="D926" i="1"/>
  <c r="E926" i="1"/>
  <c r="F926" i="1"/>
  <c r="H926" i="1"/>
  <c r="I926" i="1" a="1"/>
  <c r="I926" i="1"/>
  <c r="J926" i="1"/>
  <c r="B927" i="1"/>
  <c r="C927" i="1"/>
  <c r="D927" i="1"/>
  <c r="E927" i="1"/>
  <c r="F927" i="1"/>
  <c r="H927" i="1"/>
  <c r="I927" i="1" a="1"/>
  <c r="I927" i="1"/>
  <c r="J927" i="1"/>
  <c r="B928" i="1"/>
  <c r="C928" i="1"/>
  <c r="D928" i="1"/>
  <c r="E928" i="1"/>
  <c r="F928" i="1"/>
  <c r="H928" i="1"/>
  <c r="I928" i="1" a="1"/>
  <c r="I928" i="1"/>
  <c r="J928" i="1"/>
  <c r="B929" i="1"/>
  <c r="C929" i="1"/>
  <c r="D929" i="1"/>
  <c r="E929" i="1"/>
  <c r="F929" i="1"/>
  <c r="H929" i="1"/>
  <c r="I929" i="1" a="1"/>
  <c r="I929" i="1"/>
  <c r="J929" i="1"/>
  <c r="B930" i="1"/>
  <c r="C930" i="1"/>
  <c r="D930" i="1"/>
  <c r="E930" i="1"/>
  <c r="F930" i="1"/>
  <c r="H930" i="1"/>
  <c r="I930" i="1" a="1"/>
  <c r="I930" i="1"/>
  <c r="J930" i="1"/>
  <c r="B931" i="1"/>
  <c r="C931" i="1"/>
  <c r="D931" i="1"/>
  <c r="E931" i="1"/>
  <c r="F931" i="1"/>
  <c r="H931" i="1"/>
  <c r="I931" i="1" a="1"/>
  <c r="I931" i="1"/>
  <c r="J931" i="1"/>
  <c r="B932" i="1"/>
  <c r="C932" i="1"/>
  <c r="D932" i="1"/>
  <c r="E932" i="1"/>
  <c r="F932" i="1"/>
  <c r="H932" i="1"/>
  <c r="I932" i="1" a="1"/>
  <c r="I932" i="1"/>
  <c r="J932" i="1"/>
  <c r="B933" i="1"/>
  <c r="C933" i="1"/>
  <c r="D933" i="1"/>
  <c r="E933" i="1"/>
  <c r="F933" i="1"/>
  <c r="H933" i="1"/>
  <c r="I933" i="1" a="1"/>
  <c r="I933" i="1"/>
  <c r="J933" i="1"/>
  <c r="B934" i="1"/>
  <c r="C934" i="1"/>
  <c r="D934" i="1"/>
  <c r="E934" i="1"/>
  <c r="F934" i="1"/>
  <c r="H934" i="1"/>
  <c r="I934" i="1" a="1"/>
  <c r="I934" i="1"/>
  <c r="J934" i="1"/>
  <c r="B935" i="1"/>
  <c r="C935" i="1"/>
  <c r="D935" i="1"/>
  <c r="E935" i="1"/>
  <c r="F935" i="1"/>
  <c r="H935" i="1"/>
  <c r="I935" i="1" a="1"/>
  <c r="I935" i="1"/>
  <c r="J935" i="1"/>
  <c r="B936" i="1"/>
  <c r="C936" i="1"/>
  <c r="D936" i="1"/>
  <c r="E936" i="1"/>
  <c r="F936" i="1"/>
  <c r="H936" i="1"/>
  <c r="I936" i="1" a="1"/>
  <c r="I936" i="1"/>
  <c r="J936" i="1"/>
  <c r="B937" i="1"/>
  <c r="C937" i="1"/>
  <c r="D937" i="1"/>
  <c r="E937" i="1"/>
  <c r="F937" i="1"/>
  <c r="H937" i="1"/>
  <c r="I937" i="1" a="1"/>
  <c r="I937" i="1"/>
  <c r="J937" i="1"/>
  <c r="B938" i="1"/>
  <c r="C938" i="1"/>
  <c r="D938" i="1"/>
  <c r="E938" i="1"/>
  <c r="F938" i="1"/>
  <c r="H938" i="1"/>
  <c r="I938" i="1" a="1"/>
  <c r="I938" i="1"/>
  <c r="J938" i="1"/>
  <c r="B939" i="1"/>
  <c r="C939" i="1"/>
  <c r="D939" i="1"/>
  <c r="E939" i="1"/>
  <c r="F939" i="1"/>
  <c r="H939" i="1"/>
  <c r="I939" i="1" a="1"/>
  <c r="I939" i="1"/>
  <c r="J939" i="1"/>
  <c r="B940" i="1"/>
  <c r="C940" i="1"/>
  <c r="D940" i="1"/>
  <c r="E940" i="1"/>
  <c r="F940" i="1"/>
  <c r="H940" i="1"/>
  <c r="I940" i="1" a="1"/>
  <c r="I940" i="1"/>
  <c r="J940" i="1"/>
  <c r="B941" i="1"/>
  <c r="C941" i="1"/>
  <c r="D941" i="1"/>
  <c r="E941" i="1"/>
  <c r="F941" i="1"/>
  <c r="H941" i="1"/>
  <c r="I941" i="1" a="1"/>
  <c r="I941" i="1"/>
  <c r="J941" i="1"/>
  <c r="B942" i="1"/>
  <c r="C942" i="1"/>
  <c r="D942" i="1"/>
  <c r="E942" i="1"/>
  <c r="F942" i="1"/>
  <c r="H942" i="1"/>
  <c r="I942" i="1" a="1"/>
  <c r="I942" i="1"/>
  <c r="J942" i="1"/>
  <c r="B943" i="1"/>
  <c r="C943" i="1"/>
  <c r="D943" i="1"/>
  <c r="E943" i="1"/>
  <c r="F943" i="1"/>
  <c r="H943" i="1"/>
  <c r="I943" i="1" a="1"/>
  <c r="I943" i="1"/>
  <c r="J943" i="1"/>
  <c r="B944" i="1"/>
  <c r="C944" i="1"/>
  <c r="D944" i="1"/>
  <c r="E944" i="1"/>
  <c r="F944" i="1"/>
  <c r="H944" i="1"/>
  <c r="I944" i="1" a="1"/>
  <c r="I944" i="1"/>
  <c r="J944" i="1"/>
  <c r="B945" i="1"/>
  <c r="C945" i="1"/>
  <c r="D945" i="1"/>
  <c r="E945" i="1"/>
  <c r="F945" i="1"/>
  <c r="H945" i="1"/>
  <c r="I945" i="1" a="1"/>
  <c r="I945" i="1"/>
  <c r="J945" i="1"/>
  <c r="B946" i="1"/>
  <c r="C946" i="1"/>
  <c r="D946" i="1"/>
  <c r="E946" i="1"/>
  <c r="F946" i="1"/>
  <c r="H946" i="1"/>
  <c r="I946" i="1" a="1"/>
  <c r="I946" i="1"/>
  <c r="J946" i="1"/>
  <c r="B947" i="1"/>
  <c r="C947" i="1"/>
  <c r="D947" i="1"/>
  <c r="E947" i="1"/>
  <c r="F947" i="1"/>
  <c r="H947" i="1"/>
  <c r="I947" i="1" a="1"/>
  <c r="I947" i="1"/>
  <c r="J947" i="1"/>
  <c r="B948" i="1"/>
  <c r="C948" i="1"/>
  <c r="D948" i="1"/>
  <c r="E948" i="1"/>
  <c r="F948" i="1"/>
  <c r="H948" i="1"/>
  <c r="I948" i="1" a="1"/>
  <c r="I948" i="1"/>
  <c r="J948" i="1"/>
  <c r="B949" i="1"/>
  <c r="C949" i="1"/>
  <c r="D949" i="1"/>
  <c r="E949" i="1"/>
  <c r="F949" i="1"/>
  <c r="H949" i="1"/>
  <c r="I949" i="1" a="1"/>
  <c r="I949" i="1"/>
  <c r="J949" i="1"/>
  <c r="B950" i="1"/>
  <c r="C950" i="1"/>
  <c r="D950" i="1"/>
  <c r="E950" i="1"/>
  <c r="F950" i="1"/>
  <c r="H950" i="1"/>
  <c r="I950" i="1" a="1"/>
  <c r="I950" i="1"/>
  <c r="J950" i="1"/>
  <c r="B951" i="1"/>
  <c r="C951" i="1"/>
  <c r="D951" i="1"/>
  <c r="E951" i="1"/>
  <c r="F951" i="1"/>
  <c r="H951" i="1"/>
  <c r="I951" i="1" a="1"/>
  <c r="I951" i="1"/>
  <c r="J951" i="1"/>
  <c r="B952" i="1"/>
  <c r="C952" i="1"/>
  <c r="D952" i="1"/>
  <c r="E952" i="1"/>
  <c r="F952" i="1"/>
  <c r="H952" i="1"/>
  <c r="I952" i="1" a="1"/>
  <c r="I952" i="1"/>
  <c r="J952" i="1"/>
  <c r="B953" i="1"/>
  <c r="C953" i="1"/>
  <c r="D953" i="1"/>
  <c r="E953" i="1"/>
  <c r="F953" i="1"/>
  <c r="H953" i="1"/>
  <c r="I953" i="1" a="1"/>
  <c r="I953" i="1"/>
  <c r="J953" i="1"/>
  <c r="B954" i="1"/>
  <c r="C954" i="1"/>
  <c r="D954" i="1"/>
  <c r="E954" i="1"/>
  <c r="F954" i="1"/>
  <c r="H954" i="1"/>
  <c r="I954" i="1" a="1"/>
  <c r="I954" i="1"/>
  <c r="J954" i="1"/>
  <c r="B955" i="1"/>
  <c r="C955" i="1"/>
  <c r="D955" i="1"/>
  <c r="E955" i="1"/>
  <c r="F955" i="1"/>
  <c r="H955" i="1"/>
  <c r="I955" i="1" a="1"/>
  <c r="I955" i="1"/>
  <c r="J955" i="1"/>
  <c r="B956" i="1"/>
  <c r="C956" i="1"/>
  <c r="D956" i="1"/>
  <c r="E956" i="1"/>
  <c r="F956" i="1"/>
  <c r="H956" i="1"/>
  <c r="I956" i="1" a="1"/>
  <c r="I956" i="1"/>
  <c r="J956" i="1"/>
  <c r="B957" i="1"/>
  <c r="C957" i="1"/>
  <c r="D957" i="1"/>
  <c r="E957" i="1"/>
  <c r="F957" i="1"/>
  <c r="H957" i="1"/>
  <c r="I957" i="1" a="1"/>
  <c r="I957" i="1"/>
  <c r="J957" i="1"/>
  <c r="B958" i="1"/>
  <c r="C958" i="1"/>
  <c r="D958" i="1"/>
  <c r="E958" i="1"/>
  <c r="F958" i="1"/>
  <c r="H958" i="1"/>
  <c r="I958" i="1" a="1"/>
  <c r="I958" i="1"/>
  <c r="J958" i="1"/>
  <c r="B959" i="1"/>
  <c r="C959" i="1"/>
  <c r="D959" i="1"/>
  <c r="E959" i="1"/>
  <c r="F959" i="1"/>
  <c r="H959" i="1"/>
  <c r="I959" i="1" a="1"/>
  <c r="I959" i="1"/>
  <c r="J959" i="1"/>
  <c r="B960" i="1"/>
  <c r="C960" i="1"/>
  <c r="D960" i="1"/>
  <c r="E960" i="1"/>
  <c r="F960" i="1"/>
  <c r="H960" i="1"/>
  <c r="I960" i="1" a="1"/>
  <c r="I960" i="1"/>
  <c r="J960" i="1"/>
  <c r="B961" i="1"/>
  <c r="C961" i="1"/>
  <c r="D961" i="1"/>
  <c r="E961" i="1"/>
  <c r="F961" i="1"/>
  <c r="H961" i="1"/>
  <c r="I961" i="1" a="1"/>
  <c r="I961" i="1"/>
  <c r="J961" i="1"/>
  <c r="B962" i="1"/>
  <c r="C962" i="1"/>
  <c r="D962" i="1"/>
  <c r="E962" i="1"/>
  <c r="F962" i="1"/>
  <c r="H962" i="1"/>
  <c r="I962" i="1" a="1"/>
  <c r="I962" i="1"/>
  <c r="J962" i="1"/>
  <c r="B963" i="1"/>
  <c r="C963" i="1"/>
  <c r="D963" i="1"/>
  <c r="E963" i="1"/>
  <c r="F963" i="1"/>
  <c r="H963" i="1"/>
  <c r="I963" i="1" a="1"/>
  <c r="I963" i="1"/>
  <c r="J963" i="1"/>
  <c r="B964" i="1"/>
  <c r="C964" i="1"/>
  <c r="D964" i="1"/>
  <c r="E964" i="1"/>
  <c r="F964" i="1"/>
  <c r="H964" i="1"/>
  <c r="I964" i="1" a="1"/>
  <c r="I964" i="1"/>
  <c r="J964" i="1"/>
  <c r="B965" i="1"/>
  <c r="C965" i="1"/>
  <c r="D965" i="1"/>
  <c r="E965" i="1"/>
  <c r="F965" i="1"/>
  <c r="H965" i="1"/>
  <c r="I965" i="1" a="1"/>
  <c r="I965" i="1"/>
  <c r="J965" i="1"/>
  <c r="B966" i="1"/>
  <c r="C966" i="1"/>
  <c r="D966" i="1"/>
  <c r="E966" i="1"/>
  <c r="F966" i="1"/>
  <c r="H966" i="1"/>
  <c r="I966" i="1" a="1"/>
  <c r="I966" i="1"/>
  <c r="J966" i="1"/>
  <c r="B967" i="1"/>
  <c r="C967" i="1"/>
  <c r="D967" i="1"/>
  <c r="E967" i="1"/>
  <c r="F967" i="1"/>
  <c r="H967" i="1"/>
  <c r="I967" i="1" a="1"/>
  <c r="I967" i="1"/>
  <c r="J967" i="1"/>
  <c r="B968" i="1"/>
  <c r="C968" i="1"/>
  <c r="D968" i="1"/>
  <c r="E968" i="1"/>
  <c r="F968" i="1"/>
  <c r="H968" i="1"/>
  <c r="I968" i="1" a="1"/>
  <c r="I968" i="1"/>
  <c r="J968" i="1"/>
  <c r="B969" i="1"/>
  <c r="C969" i="1"/>
  <c r="D969" i="1"/>
  <c r="E969" i="1"/>
  <c r="F969" i="1"/>
  <c r="H969" i="1"/>
  <c r="I969" i="1" a="1"/>
  <c r="I969" i="1"/>
  <c r="J969" i="1"/>
  <c r="B970" i="1"/>
  <c r="C970" i="1"/>
  <c r="D970" i="1"/>
  <c r="E970" i="1"/>
  <c r="F970" i="1"/>
  <c r="H970" i="1"/>
  <c r="I970" i="1" a="1"/>
  <c r="I970" i="1"/>
  <c r="J970" i="1"/>
  <c r="B971" i="1"/>
  <c r="C971" i="1"/>
  <c r="D971" i="1"/>
  <c r="E971" i="1"/>
  <c r="F971" i="1"/>
  <c r="H971" i="1"/>
  <c r="I971" i="1" a="1"/>
  <c r="I971" i="1"/>
  <c r="J971" i="1"/>
  <c r="B972" i="1"/>
  <c r="C972" i="1"/>
  <c r="D972" i="1"/>
  <c r="E972" i="1"/>
  <c r="F972" i="1"/>
  <c r="H972" i="1"/>
  <c r="I972" i="1" a="1"/>
  <c r="I972" i="1"/>
  <c r="J972" i="1"/>
  <c r="B973" i="1"/>
  <c r="C973" i="1"/>
  <c r="D973" i="1"/>
  <c r="E973" i="1"/>
  <c r="F973" i="1"/>
  <c r="H973" i="1"/>
  <c r="I973" i="1" a="1"/>
  <c r="I973" i="1"/>
  <c r="J973" i="1"/>
  <c r="B974" i="1"/>
  <c r="C974" i="1"/>
  <c r="D974" i="1"/>
  <c r="E974" i="1"/>
  <c r="F974" i="1"/>
  <c r="H974" i="1"/>
  <c r="I974" i="1" a="1"/>
  <c r="I974" i="1"/>
  <c r="J974" i="1"/>
  <c r="B975" i="1"/>
  <c r="C975" i="1"/>
  <c r="D975" i="1"/>
  <c r="E975" i="1"/>
  <c r="F975" i="1"/>
  <c r="H975" i="1"/>
  <c r="I975" i="1" a="1"/>
  <c r="I975" i="1"/>
  <c r="J975" i="1"/>
  <c r="B976" i="1"/>
  <c r="C976" i="1"/>
  <c r="D976" i="1"/>
  <c r="E976" i="1"/>
  <c r="F976" i="1"/>
  <c r="H976" i="1"/>
  <c r="I976" i="1" a="1"/>
  <c r="I976" i="1"/>
  <c r="J976" i="1"/>
  <c r="B977" i="1"/>
  <c r="C977" i="1"/>
  <c r="D977" i="1"/>
  <c r="E977" i="1"/>
  <c r="F977" i="1"/>
  <c r="H977" i="1"/>
  <c r="I977" i="1" a="1"/>
  <c r="I977" i="1"/>
  <c r="J977" i="1"/>
  <c r="B978" i="1"/>
  <c r="C978" i="1"/>
  <c r="D978" i="1"/>
  <c r="E978" i="1"/>
  <c r="F978" i="1"/>
  <c r="H978" i="1"/>
  <c r="I978" i="1" a="1"/>
  <c r="I978" i="1"/>
  <c r="J978" i="1"/>
  <c r="B979" i="1"/>
  <c r="C979" i="1"/>
  <c r="D979" i="1"/>
  <c r="E979" i="1"/>
  <c r="F979" i="1"/>
  <c r="H979" i="1"/>
  <c r="I979" i="1" a="1"/>
  <c r="I979" i="1"/>
  <c r="J979" i="1"/>
  <c r="B980" i="1"/>
  <c r="C980" i="1"/>
  <c r="D980" i="1"/>
  <c r="E980" i="1"/>
  <c r="F980" i="1"/>
  <c r="H980" i="1"/>
  <c r="I980" i="1" a="1"/>
  <c r="I980" i="1"/>
  <c r="J980" i="1"/>
  <c r="B981" i="1"/>
  <c r="C981" i="1"/>
  <c r="D981" i="1"/>
  <c r="E981" i="1"/>
  <c r="F981" i="1"/>
  <c r="H981" i="1"/>
  <c r="I981" i="1" a="1"/>
  <c r="I981" i="1"/>
  <c r="J981" i="1"/>
  <c r="B982" i="1"/>
  <c r="C982" i="1"/>
  <c r="D982" i="1"/>
  <c r="E982" i="1"/>
  <c r="F982" i="1"/>
  <c r="H982" i="1"/>
  <c r="I982" i="1" a="1"/>
  <c r="I982" i="1"/>
  <c r="J982" i="1"/>
  <c r="B983" i="1"/>
  <c r="C983" i="1"/>
  <c r="D983" i="1"/>
  <c r="E983" i="1"/>
  <c r="F983" i="1"/>
  <c r="H983" i="1"/>
  <c r="I983" i="1" a="1"/>
  <c r="I983" i="1"/>
  <c r="J983" i="1"/>
  <c r="B984" i="1"/>
  <c r="C984" i="1"/>
  <c r="D984" i="1"/>
  <c r="E984" i="1"/>
  <c r="F984" i="1"/>
  <c r="H984" i="1"/>
  <c r="I984" i="1" a="1"/>
  <c r="I984" i="1"/>
  <c r="J984" i="1"/>
  <c r="B985" i="1"/>
  <c r="C985" i="1"/>
  <c r="D985" i="1"/>
  <c r="E985" i="1"/>
  <c r="F985" i="1"/>
  <c r="H985" i="1"/>
  <c r="I985" i="1" a="1"/>
  <c r="I985" i="1"/>
  <c r="J985" i="1"/>
  <c r="B986" i="1"/>
  <c r="C986" i="1"/>
  <c r="D986" i="1"/>
  <c r="E986" i="1"/>
  <c r="F986" i="1"/>
  <c r="H986" i="1"/>
  <c r="I986" i="1" a="1"/>
  <c r="I986" i="1"/>
  <c r="J986" i="1"/>
  <c r="B987" i="1"/>
  <c r="C987" i="1"/>
  <c r="D987" i="1"/>
  <c r="E987" i="1"/>
  <c r="F987" i="1"/>
  <c r="H987" i="1"/>
  <c r="I987" i="1" a="1"/>
  <c r="I987" i="1"/>
  <c r="J987" i="1"/>
  <c r="B988" i="1"/>
  <c r="C988" i="1"/>
  <c r="D988" i="1"/>
  <c r="E988" i="1"/>
  <c r="F988" i="1"/>
  <c r="H988" i="1"/>
  <c r="I988" i="1" a="1"/>
  <c r="I988" i="1"/>
  <c r="J988" i="1"/>
  <c r="B989" i="1"/>
  <c r="C989" i="1"/>
  <c r="D989" i="1"/>
  <c r="E989" i="1"/>
  <c r="F989" i="1"/>
  <c r="H989" i="1"/>
  <c r="I989" i="1" a="1"/>
  <c r="I989" i="1"/>
  <c r="J989" i="1"/>
  <c r="B990" i="1"/>
  <c r="C990" i="1"/>
  <c r="D990" i="1"/>
  <c r="E990" i="1"/>
  <c r="F990" i="1"/>
  <c r="H990" i="1"/>
  <c r="I990" i="1" a="1"/>
  <c r="I990" i="1"/>
  <c r="J990" i="1"/>
  <c r="B991" i="1"/>
  <c r="C991" i="1"/>
  <c r="D991" i="1"/>
  <c r="E991" i="1"/>
  <c r="F991" i="1"/>
  <c r="H991" i="1"/>
  <c r="I991" i="1" a="1"/>
  <c r="I991" i="1"/>
  <c r="J991" i="1"/>
  <c r="B992" i="1"/>
  <c r="C992" i="1"/>
  <c r="D992" i="1"/>
  <c r="E992" i="1"/>
  <c r="F992" i="1"/>
  <c r="H992" i="1"/>
  <c r="I992" i="1" a="1"/>
  <c r="I992" i="1"/>
  <c r="J992" i="1"/>
  <c r="B993" i="1"/>
  <c r="C993" i="1"/>
  <c r="D993" i="1"/>
  <c r="E993" i="1"/>
  <c r="F993" i="1"/>
  <c r="H993" i="1"/>
  <c r="I993" i="1" a="1"/>
  <c r="I993" i="1"/>
  <c r="J993" i="1"/>
  <c r="B994" i="1"/>
  <c r="C994" i="1"/>
  <c r="D994" i="1"/>
  <c r="E994" i="1"/>
  <c r="F994" i="1"/>
  <c r="H994" i="1"/>
  <c r="I994" i="1" a="1"/>
  <c r="I994" i="1"/>
  <c r="J994" i="1"/>
  <c r="B995" i="1"/>
  <c r="C995" i="1"/>
  <c r="D995" i="1"/>
  <c r="E995" i="1"/>
  <c r="F995" i="1"/>
  <c r="H995" i="1"/>
  <c r="I995" i="1" a="1"/>
  <c r="I995" i="1"/>
  <c r="J995" i="1"/>
  <c r="B996" i="1"/>
  <c r="C996" i="1"/>
  <c r="D996" i="1"/>
  <c r="E996" i="1"/>
  <c r="F996" i="1"/>
  <c r="H996" i="1"/>
  <c r="I996" i="1" a="1"/>
  <c r="I996" i="1"/>
  <c r="J996" i="1"/>
  <c r="B997" i="1"/>
  <c r="C997" i="1"/>
  <c r="D997" i="1"/>
  <c r="E997" i="1"/>
  <c r="F997" i="1"/>
  <c r="H997" i="1"/>
  <c r="I997" i="1" a="1"/>
  <c r="I997" i="1"/>
  <c r="J997" i="1"/>
  <c r="B998" i="1"/>
  <c r="C998" i="1"/>
  <c r="D998" i="1"/>
  <c r="E998" i="1"/>
  <c r="F998" i="1"/>
  <c r="H998" i="1"/>
  <c r="I998" i="1" a="1"/>
  <c r="I998" i="1"/>
  <c r="J998" i="1"/>
  <c r="B999" i="1"/>
  <c r="C999" i="1"/>
  <c r="D999" i="1"/>
  <c r="E999" i="1"/>
  <c r="F999" i="1"/>
  <c r="H999" i="1"/>
  <c r="I999" i="1" a="1"/>
  <c r="I999" i="1"/>
  <c r="J999" i="1"/>
  <c r="B1000" i="1"/>
  <c r="C1000" i="1"/>
  <c r="D1000" i="1"/>
  <c r="E1000" i="1"/>
  <c r="F1000" i="1"/>
  <c r="H1000" i="1"/>
  <c r="I1000" i="1" a="1"/>
  <c r="I1000" i="1"/>
  <c r="J1000" i="1"/>
  <c r="B1001" i="1"/>
  <c r="C1001" i="1"/>
  <c r="D1001" i="1"/>
  <c r="E1001" i="1"/>
  <c r="F1001" i="1"/>
  <c r="H1001" i="1"/>
  <c r="I1001" i="1" a="1"/>
  <c r="I1001" i="1"/>
  <c r="J1001" i="1"/>
  <c r="B1002" i="1"/>
  <c r="C1002" i="1"/>
  <c r="D1002" i="1"/>
  <c r="E1002" i="1"/>
  <c r="F1002" i="1"/>
  <c r="H1002" i="1"/>
  <c r="I1002" i="1" a="1"/>
  <c r="I1002" i="1"/>
  <c r="J1002" i="1"/>
  <c r="B1003" i="1"/>
  <c r="C1003" i="1"/>
  <c r="D1003" i="1"/>
  <c r="E1003" i="1"/>
  <c r="F1003" i="1"/>
  <c r="H1003" i="1"/>
  <c r="I1003" i="1" a="1"/>
  <c r="I1003" i="1"/>
  <c r="J1003" i="1"/>
  <c r="B1004" i="1"/>
  <c r="C1004" i="1"/>
  <c r="D1004" i="1"/>
  <c r="E1004" i="1"/>
  <c r="F1004" i="1"/>
  <c r="H1004" i="1"/>
  <c r="I1004" i="1" a="1"/>
  <c r="I1004" i="1"/>
  <c r="J1004" i="1"/>
  <c r="B1005" i="1"/>
  <c r="C1005" i="1"/>
  <c r="D1005" i="1"/>
  <c r="E1005" i="1"/>
  <c r="F1005" i="1"/>
  <c r="H1005" i="1"/>
  <c r="I1005" i="1" a="1"/>
  <c r="I1005" i="1"/>
  <c r="J1005" i="1"/>
  <c r="B1006" i="1"/>
  <c r="C1006" i="1"/>
  <c r="D1006" i="1"/>
  <c r="E1006" i="1"/>
  <c r="F1006" i="1"/>
  <c r="H1006" i="1"/>
  <c r="I1006" i="1" a="1"/>
  <c r="I1006" i="1"/>
  <c r="J1006" i="1"/>
  <c r="B1007" i="1"/>
  <c r="C1007" i="1"/>
  <c r="D1007" i="1"/>
  <c r="E1007" i="1"/>
  <c r="F1007" i="1"/>
  <c r="H1007" i="1"/>
  <c r="I1007" i="1" a="1"/>
  <c r="I1007" i="1"/>
  <c r="J1007" i="1"/>
  <c r="B1008" i="1"/>
  <c r="C1008" i="1"/>
  <c r="D1008" i="1"/>
  <c r="E1008" i="1"/>
  <c r="F1008" i="1"/>
  <c r="H1008" i="1"/>
  <c r="I1008" i="1" a="1"/>
  <c r="I1008" i="1"/>
  <c r="J1008" i="1"/>
  <c r="B1009" i="1"/>
  <c r="C1009" i="1"/>
  <c r="D1009" i="1"/>
  <c r="E1009" i="1"/>
  <c r="F1009" i="1"/>
  <c r="H1009" i="1"/>
  <c r="I1009" i="1" a="1"/>
  <c r="I1009" i="1"/>
  <c r="J1009" i="1"/>
  <c r="B1010" i="1"/>
  <c r="C1010" i="1"/>
  <c r="D1010" i="1"/>
  <c r="E1010" i="1"/>
  <c r="F1010" i="1"/>
  <c r="H1010" i="1"/>
  <c r="I1010" i="1" a="1"/>
  <c r="I1010" i="1"/>
  <c r="J1010" i="1"/>
  <c r="B1011" i="1"/>
  <c r="C1011" i="1"/>
  <c r="D1011" i="1"/>
  <c r="E1011" i="1"/>
  <c r="F1011" i="1"/>
  <c r="H1011" i="1"/>
  <c r="I1011" i="1" a="1"/>
  <c r="I1011" i="1"/>
  <c r="J1011" i="1"/>
  <c r="B1012" i="1"/>
  <c r="C1012" i="1"/>
  <c r="D1012" i="1"/>
  <c r="E1012" i="1"/>
  <c r="F1012" i="1"/>
  <c r="H1012" i="1"/>
  <c r="I1012" i="1" a="1"/>
  <c r="I1012" i="1"/>
  <c r="J1012" i="1"/>
  <c r="B1013" i="1"/>
  <c r="C1013" i="1"/>
  <c r="D1013" i="1"/>
  <c r="E1013" i="1"/>
  <c r="F1013" i="1"/>
  <c r="H1013" i="1"/>
  <c r="I1013" i="1" a="1"/>
  <c r="I1013" i="1"/>
  <c r="J1013" i="1"/>
  <c r="B1014" i="1"/>
  <c r="C1014" i="1"/>
  <c r="D1014" i="1"/>
  <c r="E1014" i="1"/>
  <c r="F1014" i="1"/>
  <c r="H1014" i="1"/>
  <c r="I1014" i="1" a="1"/>
  <c r="I1014" i="1"/>
  <c r="J1014" i="1"/>
  <c r="B1015" i="1"/>
  <c r="C1015" i="1"/>
  <c r="D1015" i="1"/>
  <c r="E1015" i="1"/>
  <c r="F1015" i="1"/>
  <c r="H1015" i="1"/>
  <c r="I1015" i="1" a="1"/>
  <c r="I1015" i="1"/>
  <c r="J1015" i="1"/>
  <c r="B1016" i="1"/>
  <c r="C1016" i="1"/>
  <c r="D1016" i="1"/>
  <c r="E1016" i="1"/>
  <c r="F1016" i="1"/>
  <c r="H1016" i="1"/>
  <c r="I1016" i="1" a="1"/>
  <c r="I1016" i="1"/>
  <c r="J1016" i="1"/>
  <c r="B1017" i="1"/>
  <c r="C1017" i="1"/>
  <c r="D1017" i="1"/>
  <c r="E1017" i="1"/>
  <c r="F1017" i="1"/>
  <c r="H1017" i="1"/>
  <c r="I1017" i="1" a="1"/>
  <c r="I1017" i="1"/>
  <c r="J1017" i="1"/>
  <c r="B1018" i="1"/>
  <c r="C1018" i="1"/>
  <c r="D1018" i="1"/>
  <c r="E1018" i="1"/>
  <c r="F1018" i="1"/>
  <c r="H1018" i="1"/>
  <c r="I1018" i="1" a="1"/>
  <c r="I1018" i="1"/>
  <c r="J1018" i="1"/>
  <c r="B1019" i="1"/>
  <c r="C1019" i="1"/>
  <c r="D1019" i="1"/>
  <c r="E1019" i="1"/>
  <c r="F1019" i="1"/>
  <c r="H1019" i="1"/>
  <c r="I1019" i="1" a="1"/>
  <c r="I1019" i="1"/>
  <c r="J1019" i="1"/>
  <c r="B1020" i="1"/>
  <c r="C1020" i="1"/>
  <c r="D1020" i="1"/>
  <c r="E1020" i="1"/>
  <c r="F1020" i="1"/>
  <c r="H1020" i="1"/>
  <c r="I1020" i="1" a="1"/>
  <c r="I1020" i="1"/>
  <c r="J1020" i="1"/>
  <c r="B1021" i="1"/>
  <c r="C1021" i="1"/>
  <c r="D1021" i="1"/>
  <c r="E1021" i="1"/>
  <c r="F1021" i="1"/>
  <c r="H1021" i="1"/>
  <c r="I1021" i="1" a="1"/>
  <c r="I1021" i="1"/>
  <c r="J1021" i="1"/>
  <c r="B1022" i="1"/>
  <c r="C1022" i="1"/>
  <c r="D1022" i="1"/>
  <c r="E1022" i="1"/>
  <c r="F1022" i="1"/>
  <c r="H1022" i="1"/>
  <c r="I1022" i="1" a="1"/>
  <c r="I1022" i="1"/>
  <c r="J1022" i="1"/>
  <c r="B1023" i="1"/>
  <c r="C1023" i="1"/>
  <c r="D1023" i="1"/>
  <c r="E1023" i="1"/>
  <c r="F1023" i="1"/>
  <c r="H1023" i="1"/>
  <c r="I1023" i="1" a="1"/>
  <c r="I1023" i="1"/>
  <c r="J1023" i="1"/>
  <c r="B1024" i="1"/>
  <c r="C1024" i="1"/>
  <c r="D1024" i="1"/>
  <c r="E1024" i="1"/>
  <c r="F1024" i="1"/>
  <c r="H1024" i="1"/>
  <c r="I1024" i="1" a="1"/>
  <c r="I1024" i="1"/>
  <c r="J1024" i="1"/>
  <c r="B1025" i="1"/>
  <c r="C1025" i="1"/>
  <c r="D1025" i="1"/>
  <c r="E1025" i="1"/>
  <c r="F1025" i="1"/>
  <c r="H1025" i="1"/>
  <c r="I1025" i="1" a="1"/>
  <c r="I1025" i="1"/>
  <c r="J1025" i="1"/>
  <c r="B1026" i="1"/>
  <c r="C1026" i="1"/>
  <c r="D1026" i="1"/>
  <c r="E1026" i="1"/>
  <c r="F1026" i="1"/>
  <c r="H1026" i="1"/>
  <c r="I1026" i="1" a="1"/>
  <c r="I1026" i="1"/>
  <c r="J1026" i="1"/>
  <c r="B1027" i="1"/>
  <c r="C1027" i="1"/>
  <c r="D1027" i="1"/>
  <c r="E1027" i="1"/>
  <c r="F1027" i="1"/>
  <c r="H1027" i="1"/>
  <c r="I1027" i="1" a="1"/>
  <c r="I1027" i="1"/>
  <c r="J1027" i="1"/>
  <c r="B1028" i="1"/>
  <c r="C1028" i="1"/>
  <c r="D1028" i="1"/>
  <c r="E1028" i="1"/>
  <c r="F1028" i="1"/>
  <c r="H1028" i="1"/>
  <c r="I1028" i="1" a="1"/>
  <c r="I1028" i="1"/>
  <c r="J1028" i="1"/>
  <c r="B1029" i="1"/>
  <c r="C1029" i="1"/>
  <c r="D1029" i="1"/>
  <c r="E1029" i="1"/>
  <c r="F1029" i="1"/>
  <c r="H1029" i="1"/>
  <c r="I1029" i="1" a="1"/>
  <c r="I1029" i="1"/>
  <c r="J1029" i="1"/>
  <c r="B1030" i="1"/>
  <c r="C1030" i="1"/>
  <c r="D1030" i="1"/>
  <c r="E1030" i="1"/>
  <c r="F1030" i="1"/>
  <c r="H1030" i="1"/>
  <c r="I1030" i="1" a="1"/>
  <c r="I1030" i="1"/>
  <c r="J1030" i="1"/>
  <c r="B1031" i="1"/>
  <c r="C1031" i="1"/>
  <c r="D1031" i="1"/>
  <c r="E1031" i="1"/>
  <c r="F1031" i="1"/>
  <c r="H1031" i="1"/>
  <c r="I1031" i="1" a="1"/>
  <c r="I1031" i="1"/>
  <c r="J1031" i="1"/>
  <c r="B1032" i="1"/>
  <c r="C1032" i="1"/>
  <c r="D1032" i="1"/>
  <c r="E1032" i="1"/>
  <c r="F1032" i="1"/>
  <c r="H1032" i="1"/>
  <c r="I1032" i="1" a="1"/>
  <c r="I1032" i="1"/>
  <c r="J1032" i="1"/>
  <c r="B1033" i="1"/>
  <c r="C1033" i="1"/>
  <c r="D1033" i="1"/>
  <c r="E1033" i="1"/>
  <c r="F1033" i="1"/>
  <c r="H1033" i="1"/>
  <c r="I1033" i="1" a="1"/>
  <c r="I1033" i="1"/>
  <c r="J1033" i="1"/>
  <c r="B1034" i="1"/>
  <c r="C1034" i="1"/>
  <c r="D1034" i="1"/>
  <c r="E1034" i="1"/>
  <c r="F1034" i="1"/>
  <c r="H1034" i="1"/>
  <c r="I1034" i="1" a="1"/>
  <c r="I1034" i="1"/>
  <c r="J1034" i="1"/>
  <c r="B1035" i="1"/>
  <c r="C1035" i="1"/>
  <c r="D1035" i="1"/>
  <c r="E1035" i="1"/>
  <c r="F1035" i="1"/>
  <c r="H1035" i="1"/>
  <c r="I1035" i="1" a="1"/>
  <c r="I1035" i="1"/>
  <c r="J1035" i="1"/>
  <c r="B1036" i="1"/>
  <c r="C1036" i="1"/>
  <c r="D1036" i="1"/>
  <c r="E1036" i="1"/>
  <c r="F1036" i="1"/>
  <c r="H1036" i="1"/>
  <c r="I1036" i="1" a="1"/>
  <c r="I1036" i="1"/>
  <c r="J1036" i="1"/>
  <c r="B1037" i="1"/>
  <c r="C1037" i="1"/>
  <c r="D1037" i="1"/>
  <c r="E1037" i="1"/>
  <c r="F1037" i="1"/>
  <c r="H1037" i="1"/>
  <c r="I1037" i="1" a="1"/>
  <c r="I1037" i="1"/>
  <c r="J1037" i="1"/>
  <c r="B1038" i="1"/>
  <c r="C1038" i="1"/>
  <c r="D1038" i="1"/>
  <c r="E1038" i="1"/>
  <c r="F1038" i="1"/>
  <c r="H1038" i="1"/>
  <c r="I1038" i="1" a="1"/>
  <c r="I1038" i="1"/>
  <c r="J1038" i="1"/>
  <c r="B1039" i="1"/>
  <c r="C1039" i="1"/>
  <c r="D1039" i="1"/>
  <c r="E1039" i="1"/>
  <c r="F1039" i="1"/>
  <c r="H1039" i="1"/>
  <c r="I1039" i="1" a="1"/>
  <c r="I1039" i="1"/>
  <c r="J1039" i="1"/>
  <c r="B1040" i="1"/>
  <c r="C1040" i="1"/>
  <c r="D1040" i="1"/>
  <c r="E1040" i="1"/>
  <c r="F1040" i="1"/>
  <c r="H1040" i="1"/>
  <c r="I1040" i="1" a="1"/>
  <c r="I1040" i="1"/>
  <c r="J1040" i="1"/>
  <c r="B1041" i="1"/>
  <c r="C1041" i="1"/>
  <c r="D1041" i="1"/>
  <c r="E1041" i="1"/>
  <c r="F1041" i="1"/>
  <c r="H1041" i="1"/>
  <c r="I1041" i="1" a="1"/>
  <c r="I1041" i="1"/>
  <c r="J1041" i="1"/>
  <c r="B1042" i="1"/>
  <c r="C1042" i="1"/>
  <c r="D1042" i="1"/>
  <c r="E1042" i="1"/>
  <c r="F1042" i="1"/>
  <c r="H1042" i="1"/>
  <c r="I1042" i="1" a="1"/>
  <c r="I1042" i="1"/>
  <c r="J1042" i="1"/>
  <c r="B1043" i="1"/>
  <c r="C1043" i="1"/>
  <c r="D1043" i="1"/>
  <c r="E1043" i="1"/>
  <c r="F1043" i="1"/>
  <c r="H1043" i="1"/>
  <c r="I1043" i="1" a="1"/>
  <c r="I1043" i="1"/>
  <c r="J1043" i="1"/>
  <c r="B1044" i="1"/>
  <c r="C1044" i="1"/>
  <c r="D1044" i="1"/>
  <c r="E1044" i="1"/>
  <c r="F1044" i="1"/>
  <c r="H1044" i="1"/>
  <c r="I1044" i="1" a="1"/>
  <c r="I1044" i="1"/>
  <c r="J1044" i="1"/>
  <c r="B1045" i="1"/>
  <c r="C1045" i="1"/>
  <c r="D1045" i="1"/>
  <c r="E1045" i="1"/>
  <c r="F1045" i="1"/>
  <c r="H1045" i="1"/>
  <c r="I1045" i="1" a="1"/>
  <c r="I1045" i="1"/>
  <c r="J1045" i="1"/>
  <c r="B1046" i="1"/>
  <c r="C1046" i="1"/>
  <c r="D1046" i="1"/>
  <c r="E1046" i="1"/>
  <c r="F1046" i="1"/>
  <c r="H1046" i="1"/>
  <c r="I1046" i="1" a="1"/>
  <c r="I1046" i="1"/>
  <c r="J1046" i="1"/>
  <c r="B1047" i="1"/>
  <c r="C1047" i="1"/>
  <c r="D1047" i="1"/>
  <c r="E1047" i="1"/>
  <c r="F1047" i="1"/>
  <c r="H1047" i="1"/>
  <c r="I1047" i="1" a="1"/>
  <c r="I1047" i="1"/>
  <c r="J1047" i="1"/>
  <c r="B1048" i="1"/>
  <c r="C1048" i="1"/>
  <c r="D1048" i="1"/>
  <c r="E1048" i="1"/>
  <c r="F1048" i="1"/>
  <c r="H1048" i="1"/>
  <c r="I1048" i="1" a="1"/>
  <c r="I1048" i="1"/>
  <c r="J1048" i="1"/>
  <c r="B1049" i="1"/>
  <c r="C1049" i="1"/>
  <c r="D1049" i="1"/>
  <c r="E1049" i="1"/>
  <c r="F1049" i="1"/>
  <c r="H1049" i="1"/>
  <c r="I1049" i="1" a="1"/>
  <c r="I1049" i="1"/>
  <c r="J1049" i="1"/>
  <c r="B1050" i="1"/>
  <c r="C1050" i="1"/>
  <c r="D1050" i="1"/>
  <c r="E1050" i="1"/>
  <c r="F1050" i="1"/>
  <c r="H1050" i="1"/>
  <c r="I1050" i="1" a="1"/>
  <c r="I1050" i="1"/>
  <c r="J1050" i="1"/>
  <c r="B1051" i="1"/>
  <c r="C1051" i="1"/>
  <c r="D1051" i="1"/>
  <c r="E1051" i="1"/>
  <c r="F1051" i="1"/>
  <c r="H1051" i="1"/>
  <c r="I1051" i="1" a="1"/>
  <c r="I1051" i="1"/>
  <c r="J1051" i="1"/>
  <c r="B1052" i="1"/>
  <c r="C1052" i="1"/>
  <c r="D1052" i="1"/>
  <c r="E1052" i="1"/>
  <c r="F1052" i="1"/>
  <c r="H1052" i="1"/>
  <c r="I1052" i="1" a="1"/>
  <c r="I1052" i="1"/>
  <c r="J1052" i="1"/>
  <c r="B1053" i="1"/>
  <c r="C1053" i="1"/>
  <c r="D1053" i="1"/>
  <c r="E1053" i="1"/>
  <c r="F1053" i="1"/>
  <c r="H1053" i="1"/>
  <c r="I1053" i="1" a="1"/>
  <c r="I1053" i="1"/>
  <c r="J1053" i="1"/>
  <c r="B1054" i="1"/>
  <c r="C1054" i="1"/>
  <c r="D1054" i="1"/>
  <c r="E1054" i="1"/>
  <c r="F1054" i="1"/>
  <c r="H1054" i="1"/>
  <c r="I1054" i="1" a="1"/>
  <c r="I1054" i="1"/>
  <c r="J1054" i="1"/>
  <c r="B1055" i="1"/>
  <c r="C1055" i="1"/>
  <c r="D1055" i="1"/>
  <c r="E1055" i="1"/>
  <c r="F1055" i="1"/>
  <c r="H1055" i="1"/>
  <c r="I1055" i="1" a="1"/>
  <c r="I1055" i="1"/>
  <c r="J1055" i="1"/>
  <c r="B1056" i="1"/>
  <c r="C1056" i="1"/>
  <c r="D1056" i="1"/>
  <c r="E1056" i="1"/>
  <c r="F1056" i="1"/>
  <c r="H1056" i="1"/>
  <c r="I1056" i="1" a="1"/>
  <c r="I1056" i="1"/>
  <c r="J1056" i="1"/>
  <c r="B1057" i="1"/>
  <c r="C1057" i="1"/>
  <c r="D1057" i="1"/>
  <c r="E1057" i="1"/>
  <c r="F1057" i="1"/>
  <c r="H1057" i="1"/>
  <c r="I1057" i="1" a="1"/>
  <c r="I1057" i="1"/>
  <c r="J1057" i="1"/>
  <c r="B1058" i="1"/>
  <c r="C1058" i="1"/>
  <c r="D1058" i="1"/>
  <c r="E1058" i="1"/>
  <c r="F1058" i="1"/>
  <c r="H1058" i="1"/>
  <c r="I1058" i="1" a="1"/>
  <c r="I1058" i="1"/>
  <c r="J1058" i="1"/>
  <c r="B1059" i="1"/>
  <c r="C1059" i="1"/>
  <c r="D1059" i="1"/>
  <c r="E1059" i="1"/>
  <c r="F1059" i="1"/>
  <c r="H1059" i="1"/>
  <c r="I1059" i="1" a="1"/>
  <c r="I1059" i="1"/>
  <c r="J1059" i="1"/>
  <c r="B1060" i="1"/>
  <c r="C1060" i="1"/>
  <c r="D1060" i="1"/>
  <c r="E1060" i="1"/>
  <c r="F1060" i="1"/>
  <c r="H1060" i="1"/>
  <c r="I1060" i="1" a="1"/>
  <c r="I1060" i="1"/>
  <c r="J1060" i="1"/>
  <c r="B1061" i="1"/>
  <c r="C1061" i="1"/>
  <c r="D1061" i="1"/>
  <c r="E1061" i="1"/>
  <c r="F1061" i="1"/>
  <c r="H1061" i="1"/>
  <c r="I1061" i="1" a="1"/>
  <c r="I1061" i="1"/>
  <c r="J1061" i="1"/>
  <c r="B1062" i="1"/>
  <c r="C1062" i="1"/>
  <c r="D1062" i="1"/>
  <c r="E1062" i="1"/>
  <c r="F1062" i="1"/>
  <c r="H1062" i="1"/>
  <c r="I1062" i="1" a="1"/>
  <c r="I1062" i="1"/>
  <c r="J1062" i="1"/>
  <c r="B1063" i="1"/>
  <c r="C1063" i="1"/>
  <c r="D1063" i="1"/>
  <c r="E1063" i="1"/>
  <c r="F1063" i="1"/>
  <c r="H1063" i="1"/>
  <c r="I1063" i="1" a="1"/>
  <c r="I1063" i="1"/>
  <c r="J1063" i="1"/>
  <c r="B1064" i="1"/>
  <c r="C1064" i="1"/>
  <c r="D1064" i="1"/>
  <c r="E1064" i="1"/>
  <c r="F1064" i="1"/>
  <c r="H1064" i="1"/>
  <c r="I1064" i="1" a="1"/>
  <c r="I1064" i="1"/>
  <c r="J1064" i="1"/>
  <c r="B1065" i="1"/>
  <c r="C1065" i="1"/>
  <c r="D1065" i="1"/>
  <c r="E1065" i="1"/>
  <c r="F1065" i="1"/>
  <c r="H1065" i="1"/>
  <c r="I1065" i="1" a="1"/>
  <c r="I1065" i="1"/>
  <c r="J1065" i="1"/>
  <c r="B1066" i="1"/>
  <c r="C1066" i="1"/>
  <c r="D1066" i="1"/>
  <c r="E1066" i="1"/>
  <c r="F1066" i="1"/>
  <c r="H1066" i="1"/>
  <c r="I1066" i="1" a="1"/>
  <c r="I1066" i="1"/>
  <c r="J1066" i="1"/>
  <c r="B1067" i="1"/>
  <c r="C1067" i="1"/>
  <c r="D1067" i="1"/>
  <c r="E1067" i="1"/>
  <c r="F1067" i="1"/>
  <c r="H1067" i="1"/>
  <c r="I1067" i="1" a="1"/>
  <c r="I1067" i="1"/>
  <c r="J1067" i="1"/>
  <c r="B1068" i="1"/>
  <c r="C1068" i="1"/>
  <c r="D1068" i="1"/>
  <c r="E1068" i="1"/>
  <c r="F1068" i="1"/>
  <c r="H1068" i="1"/>
  <c r="I1068" i="1" a="1"/>
  <c r="I1068" i="1"/>
  <c r="J1068" i="1"/>
  <c r="B1069" i="1"/>
  <c r="C1069" i="1"/>
  <c r="D1069" i="1"/>
  <c r="E1069" i="1"/>
  <c r="F1069" i="1"/>
  <c r="H1069" i="1"/>
  <c r="I1069" i="1" a="1"/>
  <c r="I1069" i="1"/>
  <c r="J1069" i="1"/>
  <c r="B1070" i="1"/>
  <c r="C1070" i="1"/>
  <c r="D1070" i="1"/>
  <c r="E1070" i="1"/>
  <c r="F1070" i="1"/>
  <c r="H1070" i="1"/>
  <c r="I1070" i="1" a="1"/>
  <c r="I1070" i="1"/>
  <c r="J1070" i="1"/>
  <c r="B1071" i="1"/>
  <c r="C1071" i="1"/>
  <c r="D1071" i="1"/>
  <c r="E1071" i="1"/>
  <c r="F1071" i="1"/>
  <c r="H1071" i="1"/>
  <c r="I1071" i="1" a="1"/>
  <c r="I1071" i="1"/>
  <c r="J1071" i="1"/>
  <c r="B1072" i="1"/>
  <c r="C1072" i="1"/>
  <c r="D1072" i="1"/>
  <c r="E1072" i="1"/>
  <c r="F1072" i="1"/>
  <c r="H1072" i="1"/>
  <c r="I1072" i="1" a="1"/>
  <c r="I1072" i="1"/>
  <c r="J1072" i="1"/>
  <c r="B1073" i="1"/>
  <c r="C1073" i="1"/>
  <c r="D1073" i="1"/>
  <c r="E1073" i="1"/>
  <c r="F1073" i="1"/>
  <c r="H1073" i="1"/>
  <c r="I1073" i="1" a="1"/>
  <c r="I1073" i="1"/>
  <c r="J1073" i="1"/>
  <c r="B1074" i="1"/>
  <c r="C1074" i="1"/>
  <c r="D1074" i="1"/>
  <c r="E1074" i="1"/>
  <c r="F1074" i="1"/>
  <c r="H1074" i="1"/>
  <c r="I1074" i="1" a="1"/>
  <c r="I1074" i="1"/>
  <c r="J1074" i="1"/>
  <c r="B1075" i="1"/>
  <c r="C1075" i="1"/>
  <c r="D1075" i="1"/>
  <c r="E1075" i="1"/>
  <c r="F1075" i="1"/>
  <c r="H1075" i="1"/>
  <c r="I1075" i="1" a="1"/>
  <c r="I1075" i="1"/>
  <c r="J1075" i="1"/>
  <c r="B1076" i="1"/>
  <c r="C1076" i="1"/>
  <c r="D1076" i="1"/>
  <c r="E1076" i="1"/>
  <c r="F1076" i="1"/>
  <c r="H1076" i="1"/>
  <c r="I1076" i="1" a="1"/>
  <c r="I1076" i="1"/>
  <c r="J1076" i="1"/>
  <c r="B1077" i="1"/>
  <c r="C1077" i="1"/>
  <c r="D1077" i="1"/>
  <c r="E1077" i="1"/>
  <c r="F1077" i="1"/>
  <c r="H1077" i="1"/>
  <c r="I1077" i="1" a="1"/>
  <c r="I1077" i="1"/>
  <c r="J1077" i="1"/>
  <c r="B1078" i="1"/>
  <c r="C1078" i="1"/>
  <c r="D1078" i="1"/>
  <c r="E1078" i="1"/>
  <c r="F1078" i="1"/>
  <c r="H1078" i="1"/>
  <c r="I1078" i="1" a="1"/>
  <c r="I1078" i="1"/>
  <c r="J1078" i="1"/>
  <c r="B1079" i="1"/>
  <c r="C1079" i="1"/>
  <c r="D1079" i="1"/>
  <c r="E1079" i="1"/>
  <c r="F1079" i="1"/>
  <c r="H1079" i="1"/>
  <c r="I1079" i="1" a="1"/>
  <c r="I1079" i="1"/>
  <c r="J1079" i="1"/>
  <c r="B1080" i="1"/>
  <c r="C1080" i="1"/>
  <c r="D1080" i="1"/>
  <c r="E1080" i="1"/>
  <c r="F1080" i="1"/>
  <c r="H1080" i="1"/>
  <c r="I1080" i="1" a="1"/>
  <c r="I1080" i="1"/>
  <c r="J1080" i="1"/>
  <c r="B1081" i="1"/>
  <c r="C1081" i="1"/>
  <c r="D1081" i="1"/>
  <c r="E1081" i="1"/>
  <c r="F1081" i="1"/>
  <c r="H1081" i="1"/>
  <c r="I1081" i="1" a="1"/>
  <c r="I1081" i="1"/>
  <c r="J1081" i="1"/>
  <c r="B1082" i="1"/>
  <c r="C1082" i="1"/>
  <c r="D1082" i="1"/>
  <c r="E1082" i="1"/>
  <c r="F1082" i="1"/>
  <c r="H1082" i="1"/>
  <c r="I1082" i="1" a="1"/>
  <c r="I1082" i="1"/>
  <c r="J1082" i="1"/>
  <c r="B1083" i="1"/>
  <c r="C1083" i="1"/>
  <c r="D1083" i="1"/>
  <c r="E1083" i="1"/>
  <c r="F1083" i="1"/>
  <c r="H1083" i="1"/>
  <c r="I1083" i="1" a="1"/>
  <c r="I1083" i="1"/>
  <c r="J1083" i="1"/>
  <c r="B1084" i="1"/>
  <c r="C1084" i="1"/>
  <c r="D1084" i="1"/>
  <c r="E1084" i="1"/>
  <c r="F1084" i="1"/>
  <c r="H1084" i="1"/>
  <c r="I1084" i="1" a="1"/>
  <c r="I1084" i="1"/>
  <c r="J1084" i="1"/>
  <c r="B1085" i="1"/>
  <c r="C1085" i="1"/>
  <c r="D1085" i="1"/>
  <c r="E1085" i="1"/>
  <c r="F1085" i="1"/>
  <c r="H1085" i="1"/>
  <c r="I1085" i="1" a="1"/>
  <c r="I1085" i="1"/>
  <c r="J1085" i="1"/>
  <c r="B1086" i="1"/>
  <c r="C1086" i="1"/>
  <c r="D1086" i="1"/>
  <c r="E1086" i="1"/>
  <c r="F1086" i="1"/>
  <c r="H1086" i="1"/>
  <c r="I1086" i="1" a="1"/>
  <c r="I1086" i="1"/>
  <c r="J1086" i="1"/>
  <c r="B1087" i="1"/>
  <c r="C1087" i="1"/>
  <c r="D1087" i="1"/>
  <c r="E1087" i="1"/>
  <c r="F1087" i="1"/>
  <c r="H1087" i="1"/>
  <c r="I1087" i="1" a="1"/>
  <c r="I1087" i="1"/>
  <c r="J1087" i="1"/>
  <c r="B1088" i="1"/>
  <c r="C1088" i="1"/>
  <c r="D1088" i="1"/>
  <c r="E1088" i="1"/>
  <c r="F1088" i="1"/>
  <c r="H1088" i="1"/>
  <c r="I1088" i="1" a="1"/>
  <c r="I1088" i="1"/>
  <c r="J1088" i="1"/>
  <c r="B1089" i="1"/>
  <c r="C1089" i="1"/>
  <c r="D1089" i="1"/>
  <c r="E1089" i="1"/>
  <c r="F1089" i="1"/>
  <c r="H1089" i="1"/>
  <c r="I1089" i="1" a="1"/>
  <c r="I1089" i="1"/>
  <c r="J1089" i="1"/>
  <c r="B1090" i="1"/>
  <c r="C1090" i="1"/>
  <c r="D1090" i="1"/>
  <c r="E1090" i="1"/>
  <c r="F1090" i="1"/>
  <c r="H1090" i="1"/>
  <c r="I1090" i="1" a="1"/>
  <c r="I1090" i="1"/>
  <c r="J1090" i="1"/>
  <c r="B1091" i="1"/>
  <c r="C1091" i="1"/>
  <c r="D1091" i="1"/>
  <c r="E1091" i="1"/>
  <c r="F1091" i="1"/>
  <c r="H1091" i="1"/>
  <c r="I1091" i="1" a="1"/>
  <c r="I1091" i="1"/>
  <c r="J1091" i="1"/>
  <c r="B1092" i="1"/>
  <c r="C1092" i="1"/>
  <c r="D1092" i="1"/>
  <c r="E1092" i="1"/>
  <c r="F1092" i="1"/>
  <c r="H1092" i="1"/>
  <c r="I1092" i="1" a="1"/>
  <c r="I1092" i="1"/>
  <c r="J1092" i="1"/>
  <c r="B1093" i="1"/>
  <c r="C1093" i="1"/>
  <c r="D1093" i="1"/>
  <c r="E1093" i="1"/>
  <c r="F1093" i="1"/>
  <c r="H1093" i="1"/>
  <c r="I1093" i="1" a="1"/>
  <c r="I1093" i="1"/>
  <c r="J1093" i="1"/>
  <c r="B1094" i="1"/>
  <c r="C1094" i="1"/>
  <c r="D1094" i="1"/>
  <c r="E1094" i="1"/>
  <c r="F1094" i="1"/>
  <c r="H1094" i="1"/>
  <c r="I1094" i="1" a="1"/>
  <c r="I1094" i="1"/>
  <c r="J1094" i="1"/>
  <c r="B1095" i="1"/>
  <c r="C1095" i="1"/>
  <c r="D1095" i="1"/>
  <c r="E1095" i="1"/>
  <c r="F1095" i="1"/>
  <c r="H1095" i="1"/>
  <c r="I1095" i="1" a="1"/>
  <c r="I1095" i="1"/>
  <c r="J1095" i="1"/>
  <c r="B1096" i="1"/>
  <c r="C1096" i="1"/>
  <c r="D1096" i="1"/>
  <c r="E1096" i="1"/>
  <c r="F1096" i="1"/>
  <c r="H1096" i="1"/>
  <c r="I1096" i="1" a="1"/>
  <c r="I1096" i="1"/>
  <c r="J1096" i="1"/>
  <c r="B1097" i="1"/>
  <c r="C1097" i="1"/>
  <c r="D1097" i="1"/>
  <c r="E1097" i="1"/>
  <c r="F1097" i="1"/>
  <c r="H1097" i="1"/>
  <c r="I1097" i="1" a="1"/>
  <c r="I1097" i="1"/>
  <c r="J1097" i="1"/>
  <c r="B1098" i="1"/>
  <c r="C1098" i="1"/>
  <c r="D1098" i="1"/>
  <c r="E1098" i="1"/>
  <c r="F1098" i="1"/>
  <c r="H1098" i="1"/>
  <c r="I1098" i="1" a="1"/>
  <c r="I1098" i="1"/>
  <c r="J1098" i="1"/>
  <c r="B1099" i="1"/>
  <c r="C1099" i="1"/>
  <c r="D1099" i="1"/>
  <c r="E1099" i="1"/>
  <c r="F1099" i="1"/>
  <c r="H1099" i="1"/>
  <c r="I1099" i="1" a="1"/>
  <c r="I1099" i="1"/>
  <c r="J1099" i="1"/>
  <c r="B1100" i="1"/>
  <c r="C1100" i="1"/>
  <c r="D1100" i="1"/>
  <c r="E1100" i="1"/>
  <c r="F1100" i="1"/>
  <c r="H1100" i="1"/>
  <c r="I1100" i="1" a="1"/>
  <c r="I1100" i="1"/>
  <c r="J1100" i="1"/>
  <c r="B1101" i="1"/>
  <c r="C1101" i="1"/>
  <c r="D1101" i="1"/>
  <c r="E1101" i="1"/>
  <c r="F1101" i="1"/>
  <c r="H1101" i="1"/>
  <c r="I1101" i="1" a="1"/>
  <c r="I1101" i="1"/>
  <c r="J1101" i="1"/>
  <c r="B1102" i="1"/>
  <c r="C1102" i="1"/>
  <c r="D1102" i="1"/>
  <c r="E1102" i="1"/>
  <c r="F1102" i="1"/>
  <c r="H1102" i="1"/>
  <c r="I1102" i="1" a="1"/>
  <c r="I1102" i="1"/>
  <c r="J1102" i="1"/>
  <c r="B1103" i="1"/>
  <c r="C1103" i="1"/>
  <c r="D1103" i="1"/>
  <c r="E1103" i="1"/>
  <c r="F1103" i="1"/>
  <c r="H1103" i="1"/>
  <c r="I1103" i="1" a="1"/>
  <c r="I1103" i="1"/>
  <c r="J1103" i="1"/>
  <c r="B1104" i="1"/>
  <c r="C1104" i="1"/>
  <c r="D1104" i="1"/>
  <c r="E1104" i="1"/>
  <c r="F1104" i="1"/>
  <c r="H1104" i="1"/>
  <c r="I1104" i="1" a="1"/>
  <c r="I1104" i="1"/>
  <c r="J1104" i="1"/>
  <c r="B1105" i="1"/>
  <c r="C1105" i="1"/>
  <c r="D1105" i="1"/>
  <c r="E1105" i="1"/>
  <c r="F1105" i="1"/>
  <c r="H1105" i="1"/>
  <c r="I1105" i="1" a="1"/>
  <c r="I1105" i="1"/>
  <c r="J1105" i="1"/>
  <c r="B1106" i="1"/>
  <c r="C1106" i="1"/>
  <c r="D1106" i="1"/>
  <c r="E1106" i="1"/>
  <c r="F1106" i="1"/>
  <c r="H1106" i="1"/>
  <c r="I1106" i="1" a="1"/>
  <c r="I1106" i="1"/>
  <c r="J1106" i="1"/>
  <c r="B1107" i="1"/>
  <c r="C1107" i="1"/>
  <c r="D1107" i="1"/>
  <c r="E1107" i="1"/>
  <c r="F1107" i="1"/>
  <c r="H1107" i="1"/>
  <c r="I1107" i="1" a="1"/>
  <c r="I1107" i="1"/>
  <c r="J1107" i="1"/>
  <c r="B1108" i="1"/>
  <c r="C1108" i="1"/>
  <c r="D1108" i="1"/>
  <c r="E1108" i="1"/>
  <c r="F1108" i="1"/>
  <c r="H1108" i="1"/>
  <c r="I1108" i="1" a="1"/>
  <c r="I1108" i="1"/>
  <c r="J1108" i="1"/>
  <c r="B1109" i="1"/>
  <c r="C1109" i="1"/>
  <c r="D1109" i="1"/>
  <c r="E1109" i="1"/>
  <c r="F1109" i="1"/>
  <c r="H1109" i="1"/>
  <c r="I1109" i="1" a="1"/>
  <c r="I1109" i="1"/>
  <c r="J1109" i="1"/>
  <c r="B1110" i="1"/>
  <c r="C1110" i="1"/>
  <c r="D1110" i="1"/>
  <c r="E1110" i="1"/>
  <c r="F1110" i="1"/>
  <c r="H1110" i="1"/>
  <c r="I1110" i="1" a="1"/>
  <c r="I1110" i="1"/>
  <c r="J1110" i="1"/>
  <c r="B1111" i="1"/>
  <c r="C1111" i="1"/>
  <c r="D1111" i="1"/>
  <c r="E1111" i="1"/>
  <c r="F1111" i="1"/>
  <c r="H1111" i="1"/>
  <c r="I1111" i="1" a="1"/>
  <c r="I1111" i="1"/>
  <c r="J1111" i="1"/>
  <c r="B1112" i="1"/>
  <c r="C1112" i="1"/>
  <c r="D1112" i="1"/>
  <c r="E1112" i="1"/>
  <c r="F1112" i="1"/>
  <c r="H1112" i="1"/>
  <c r="I1112" i="1" a="1"/>
  <c r="I1112" i="1"/>
  <c r="J1112" i="1"/>
  <c r="B1113" i="1"/>
  <c r="C1113" i="1"/>
  <c r="D1113" i="1"/>
  <c r="E1113" i="1"/>
  <c r="F1113" i="1"/>
  <c r="H1113" i="1"/>
  <c r="I1113" i="1" a="1"/>
  <c r="I1113" i="1"/>
  <c r="J1113" i="1"/>
  <c r="B1114" i="1"/>
  <c r="C1114" i="1"/>
  <c r="D1114" i="1"/>
  <c r="E1114" i="1"/>
  <c r="F1114" i="1"/>
  <c r="H1114" i="1"/>
  <c r="I1114" i="1" a="1"/>
  <c r="I1114" i="1"/>
  <c r="J1114" i="1"/>
  <c r="B1115" i="1"/>
  <c r="C1115" i="1"/>
  <c r="D1115" i="1"/>
  <c r="E1115" i="1"/>
  <c r="F1115" i="1"/>
  <c r="H1115" i="1"/>
  <c r="I1115" i="1" a="1"/>
  <c r="I1115" i="1"/>
  <c r="J1115" i="1"/>
  <c r="B1116" i="1"/>
  <c r="C1116" i="1"/>
  <c r="D1116" i="1"/>
  <c r="E1116" i="1"/>
  <c r="F1116" i="1"/>
  <c r="H1116" i="1"/>
  <c r="I1116" i="1" a="1"/>
  <c r="I1116" i="1"/>
  <c r="J1116" i="1"/>
  <c r="B1117" i="1"/>
  <c r="C1117" i="1"/>
  <c r="D1117" i="1"/>
  <c r="E1117" i="1"/>
  <c r="F1117" i="1"/>
  <c r="H1117" i="1"/>
  <c r="I1117" i="1" a="1"/>
  <c r="I1117" i="1"/>
  <c r="J1117" i="1"/>
  <c r="B1118" i="1"/>
  <c r="C1118" i="1"/>
  <c r="D1118" i="1"/>
  <c r="E1118" i="1"/>
  <c r="F1118" i="1"/>
  <c r="H1118" i="1"/>
  <c r="I1118" i="1" a="1"/>
  <c r="I1118" i="1"/>
  <c r="J1118" i="1"/>
  <c r="B1119" i="1"/>
  <c r="C1119" i="1"/>
  <c r="D1119" i="1"/>
  <c r="E1119" i="1"/>
  <c r="F1119" i="1"/>
  <c r="H1119" i="1"/>
  <c r="I1119" i="1" a="1"/>
  <c r="I1119" i="1"/>
  <c r="J1119" i="1"/>
  <c r="B1120" i="1"/>
  <c r="C1120" i="1"/>
  <c r="D1120" i="1"/>
  <c r="E1120" i="1"/>
  <c r="F1120" i="1"/>
  <c r="H1120" i="1"/>
  <c r="I1120" i="1" a="1"/>
  <c r="I1120" i="1"/>
  <c r="J1120" i="1"/>
  <c r="B1121" i="1"/>
  <c r="C1121" i="1"/>
  <c r="D1121" i="1"/>
  <c r="E1121" i="1"/>
  <c r="F1121" i="1"/>
  <c r="H1121" i="1"/>
  <c r="I1121" i="1" a="1"/>
  <c r="I1121" i="1"/>
  <c r="J1121" i="1"/>
  <c r="B1122" i="1"/>
  <c r="C1122" i="1"/>
  <c r="D1122" i="1"/>
  <c r="E1122" i="1"/>
  <c r="F1122" i="1"/>
  <c r="H1122" i="1"/>
  <c r="I1122" i="1" a="1"/>
  <c r="I1122" i="1"/>
  <c r="J1122" i="1"/>
  <c r="B1123" i="1"/>
  <c r="C1123" i="1"/>
  <c r="D1123" i="1"/>
  <c r="E1123" i="1"/>
  <c r="F1123" i="1"/>
  <c r="H1123" i="1"/>
  <c r="I1123" i="1" a="1"/>
  <c r="I1123" i="1"/>
  <c r="J1123" i="1"/>
  <c r="B1124" i="1"/>
  <c r="C1124" i="1"/>
  <c r="D1124" i="1"/>
  <c r="E1124" i="1"/>
  <c r="F1124" i="1"/>
  <c r="H1124" i="1"/>
  <c r="I1124" i="1" a="1"/>
  <c r="I1124" i="1"/>
  <c r="J1124" i="1"/>
  <c r="B1125" i="1"/>
  <c r="C1125" i="1"/>
  <c r="D1125" i="1"/>
  <c r="E1125" i="1"/>
  <c r="F1125" i="1"/>
  <c r="H1125" i="1"/>
  <c r="I1125" i="1" a="1"/>
  <c r="I1125" i="1"/>
  <c r="J1125" i="1"/>
  <c r="B1126" i="1"/>
  <c r="C1126" i="1"/>
  <c r="D1126" i="1"/>
  <c r="E1126" i="1"/>
  <c r="F1126" i="1"/>
  <c r="H1126" i="1"/>
  <c r="I1126" i="1" a="1"/>
  <c r="I1126" i="1"/>
  <c r="J1126" i="1"/>
  <c r="B1127" i="1"/>
  <c r="C1127" i="1"/>
  <c r="D1127" i="1"/>
  <c r="E1127" i="1"/>
  <c r="F1127" i="1"/>
  <c r="H1127" i="1"/>
  <c r="I1127" i="1" a="1"/>
  <c r="I1127" i="1"/>
  <c r="J1127" i="1"/>
  <c r="B1128" i="1"/>
  <c r="C1128" i="1"/>
  <c r="D1128" i="1"/>
  <c r="E1128" i="1"/>
  <c r="F1128" i="1"/>
  <c r="H1128" i="1"/>
  <c r="I1128" i="1" a="1"/>
  <c r="I1128" i="1"/>
  <c r="J1128" i="1"/>
  <c r="B1129" i="1"/>
  <c r="C1129" i="1"/>
  <c r="D1129" i="1"/>
  <c r="E1129" i="1"/>
  <c r="F1129" i="1"/>
  <c r="H1129" i="1"/>
  <c r="I1129" i="1" a="1"/>
  <c r="I1129" i="1"/>
  <c r="J1129" i="1"/>
  <c r="B1130" i="1"/>
  <c r="C1130" i="1"/>
  <c r="D1130" i="1"/>
  <c r="E1130" i="1"/>
  <c r="F1130" i="1"/>
  <c r="H1130" i="1"/>
  <c r="I1130" i="1" a="1"/>
  <c r="I1130" i="1"/>
  <c r="J1130" i="1"/>
  <c r="B1131" i="1"/>
  <c r="C1131" i="1"/>
  <c r="D1131" i="1"/>
  <c r="E1131" i="1"/>
  <c r="F1131" i="1"/>
  <c r="H1131" i="1"/>
  <c r="I1131" i="1" a="1"/>
  <c r="I1131" i="1"/>
  <c r="J1131" i="1"/>
  <c r="B1132" i="1"/>
  <c r="C1132" i="1"/>
  <c r="D1132" i="1"/>
  <c r="E1132" i="1"/>
  <c r="F1132" i="1"/>
  <c r="H1132" i="1"/>
  <c r="I1132" i="1" a="1"/>
  <c r="I1132" i="1"/>
  <c r="J1132" i="1"/>
  <c r="B1133" i="1"/>
  <c r="C1133" i="1"/>
  <c r="D1133" i="1"/>
  <c r="E1133" i="1"/>
  <c r="F1133" i="1"/>
  <c r="H1133" i="1"/>
  <c r="I1133" i="1" a="1"/>
  <c r="I1133" i="1"/>
  <c r="J1133" i="1"/>
  <c r="B1134" i="1"/>
  <c r="C1134" i="1"/>
  <c r="D1134" i="1"/>
  <c r="E1134" i="1"/>
  <c r="F1134" i="1"/>
  <c r="H1134" i="1"/>
  <c r="I1134" i="1" a="1"/>
  <c r="I1134" i="1"/>
  <c r="J1134" i="1"/>
  <c r="B1135" i="1"/>
  <c r="C1135" i="1"/>
  <c r="D1135" i="1"/>
  <c r="E1135" i="1"/>
  <c r="F1135" i="1"/>
  <c r="H1135" i="1"/>
  <c r="I1135" i="1" a="1"/>
  <c r="I1135" i="1"/>
  <c r="J1135" i="1"/>
  <c r="B1136" i="1"/>
  <c r="C1136" i="1"/>
  <c r="D1136" i="1"/>
  <c r="E1136" i="1"/>
  <c r="F1136" i="1"/>
  <c r="H1136" i="1"/>
  <c r="I1136" i="1" a="1"/>
  <c r="I1136" i="1"/>
  <c r="J1136" i="1"/>
  <c r="B1137" i="1"/>
  <c r="C1137" i="1"/>
  <c r="D1137" i="1"/>
  <c r="E1137" i="1"/>
  <c r="F1137" i="1"/>
  <c r="H1137" i="1"/>
  <c r="I1137" i="1" a="1"/>
  <c r="I1137" i="1"/>
  <c r="J1137" i="1"/>
  <c r="B1138" i="1"/>
  <c r="C1138" i="1"/>
  <c r="D1138" i="1"/>
  <c r="E1138" i="1"/>
  <c r="F1138" i="1"/>
  <c r="H1138" i="1"/>
  <c r="I1138" i="1" a="1"/>
  <c r="I1138" i="1"/>
  <c r="J1138" i="1"/>
  <c r="B1139" i="1"/>
  <c r="C1139" i="1"/>
  <c r="D1139" i="1"/>
  <c r="E1139" i="1"/>
  <c r="F1139" i="1"/>
  <c r="H1139" i="1"/>
  <c r="I1139" i="1" a="1"/>
  <c r="I1139" i="1"/>
  <c r="J1139" i="1"/>
  <c r="B1140" i="1"/>
  <c r="C1140" i="1"/>
  <c r="D1140" i="1"/>
  <c r="E1140" i="1"/>
  <c r="F1140" i="1"/>
  <c r="H1140" i="1"/>
  <c r="I1140" i="1" a="1"/>
  <c r="I1140" i="1"/>
  <c r="J1140" i="1"/>
  <c r="B1141" i="1"/>
  <c r="C1141" i="1"/>
  <c r="D1141" i="1"/>
  <c r="E1141" i="1"/>
  <c r="F1141" i="1"/>
  <c r="H1141" i="1"/>
  <c r="I1141" i="1" a="1"/>
  <c r="I1141" i="1"/>
  <c r="J1141" i="1"/>
  <c r="B1142" i="1"/>
  <c r="C1142" i="1"/>
  <c r="D1142" i="1"/>
  <c r="E1142" i="1"/>
  <c r="F1142" i="1"/>
  <c r="H1142" i="1"/>
  <c r="I1142" i="1" a="1"/>
  <c r="I1142" i="1"/>
  <c r="J1142" i="1"/>
  <c r="B1143" i="1"/>
  <c r="C1143" i="1"/>
  <c r="D1143" i="1"/>
  <c r="E1143" i="1"/>
  <c r="F1143" i="1"/>
  <c r="H1143" i="1"/>
  <c r="I1143" i="1" a="1"/>
  <c r="I1143" i="1"/>
  <c r="J1143" i="1"/>
  <c r="B1144" i="1"/>
  <c r="C1144" i="1"/>
  <c r="D1144" i="1"/>
  <c r="E1144" i="1"/>
  <c r="F1144" i="1"/>
  <c r="H1144" i="1"/>
  <c r="I1144" i="1" a="1"/>
  <c r="I1144" i="1"/>
  <c r="J1144" i="1"/>
  <c r="B1145" i="1"/>
  <c r="C1145" i="1"/>
  <c r="D1145" i="1"/>
  <c r="E1145" i="1"/>
  <c r="F1145" i="1"/>
  <c r="H1145" i="1"/>
  <c r="I1145" i="1" a="1"/>
  <c r="I1145" i="1"/>
  <c r="J1145" i="1"/>
  <c r="B1146" i="1"/>
  <c r="C1146" i="1"/>
  <c r="D1146" i="1"/>
  <c r="E1146" i="1"/>
  <c r="F1146" i="1"/>
  <c r="H1146" i="1"/>
  <c r="I1146" i="1" a="1"/>
  <c r="I1146" i="1"/>
  <c r="J1146" i="1"/>
  <c r="B1147" i="1"/>
  <c r="C1147" i="1"/>
  <c r="D1147" i="1"/>
  <c r="E1147" i="1"/>
  <c r="F1147" i="1"/>
  <c r="H1147" i="1"/>
  <c r="I1147" i="1" a="1"/>
  <c r="I1147" i="1"/>
  <c r="J1147" i="1"/>
  <c r="B1148" i="1"/>
  <c r="C1148" i="1"/>
  <c r="D1148" i="1"/>
  <c r="E1148" i="1"/>
  <c r="F1148" i="1"/>
  <c r="H1148" i="1"/>
  <c r="I1148" i="1" a="1"/>
  <c r="I1148" i="1"/>
  <c r="J1148" i="1"/>
  <c r="B1149" i="1"/>
  <c r="C1149" i="1"/>
  <c r="D1149" i="1"/>
  <c r="E1149" i="1"/>
  <c r="F1149" i="1"/>
  <c r="H1149" i="1"/>
  <c r="I1149" i="1" a="1"/>
  <c r="I1149" i="1"/>
  <c r="J1149" i="1"/>
  <c r="B1150" i="1"/>
  <c r="C1150" i="1"/>
  <c r="D1150" i="1"/>
  <c r="E1150" i="1"/>
  <c r="F1150" i="1"/>
  <c r="H1150" i="1"/>
  <c r="I1150" i="1" a="1"/>
  <c r="I1150" i="1"/>
  <c r="J1150" i="1"/>
  <c r="B1151" i="1"/>
  <c r="C1151" i="1"/>
  <c r="D1151" i="1"/>
  <c r="E1151" i="1"/>
  <c r="F1151" i="1"/>
  <c r="H1151" i="1"/>
  <c r="I1151" i="1" a="1"/>
  <c r="I1151" i="1"/>
  <c r="J1151" i="1"/>
  <c r="B1152" i="1"/>
  <c r="C1152" i="1"/>
  <c r="D1152" i="1"/>
  <c r="E1152" i="1"/>
  <c r="F1152" i="1"/>
  <c r="H1152" i="1"/>
  <c r="I1152" i="1" a="1"/>
  <c r="I1152" i="1"/>
  <c r="J1152" i="1"/>
  <c r="B1153" i="1"/>
  <c r="C1153" i="1"/>
  <c r="D1153" i="1"/>
  <c r="E1153" i="1"/>
  <c r="F1153" i="1"/>
  <c r="H1153" i="1"/>
  <c r="I1153" i="1" a="1"/>
  <c r="I1153" i="1"/>
  <c r="J1153" i="1"/>
  <c r="B1154" i="1"/>
  <c r="C1154" i="1"/>
  <c r="D1154" i="1"/>
  <c r="E1154" i="1"/>
  <c r="F1154" i="1"/>
  <c r="H1154" i="1"/>
  <c r="I1154" i="1" a="1"/>
  <c r="I1154" i="1"/>
  <c r="J1154" i="1"/>
  <c r="B1155" i="1"/>
  <c r="C1155" i="1"/>
  <c r="D1155" i="1"/>
  <c r="E1155" i="1"/>
  <c r="F1155" i="1"/>
  <c r="H1155" i="1"/>
  <c r="I1155" i="1" a="1"/>
  <c r="I1155" i="1"/>
  <c r="J1155" i="1"/>
  <c r="B1156" i="1"/>
  <c r="C1156" i="1"/>
  <c r="D1156" i="1"/>
  <c r="E1156" i="1"/>
  <c r="F1156" i="1"/>
  <c r="H1156" i="1"/>
  <c r="I1156" i="1" a="1"/>
  <c r="I1156" i="1"/>
  <c r="J1156" i="1"/>
  <c r="B1157" i="1"/>
  <c r="C1157" i="1"/>
  <c r="D1157" i="1"/>
  <c r="E1157" i="1"/>
  <c r="F1157" i="1"/>
  <c r="H1157" i="1"/>
  <c r="I1157" i="1" a="1"/>
  <c r="I1157" i="1"/>
  <c r="J1157" i="1"/>
  <c r="B1158" i="1"/>
  <c r="C1158" i="1"/>
  <c r="D1158" i="1"/>
  <c r="E1158" i="1"/>
  <c r="F1158" i="1"/>
  <c r="H1158" i="1"/>
  <c r="I1158" i="1" a="1"/>
  <c r="I1158" i="1"/>
  <c r="J1158" i="1"/>
  <c r="B1159" i="1"/>
  <c r="C1159" i="1"/>
  <c r="D1159" i="1"/>
  <c r="E1159" i="1"/>
  <c r="F1159" i="1"/>
  <c r="H1159" i="1"/>
  <c r="I1159" i="1" a="1"/>
  <c r="I1159" i="1"/>
  <c r="J1159" i="1"/>
  <c r="B1160" i="1"/>
  <c r="C1160" i="1"/>
  <c r="D1160" i="1"/>
  <c r="E1160" i="1"/>
  <c r="F1160" i="1"/>
  <c r="H1160" i="1"/>
  <c r="I1160" i="1" a="1"/>
  <c r="I1160" i="1"/>
  <c r="J1160" i="1"/>
  <c r="B1161" i="1"/>
  <c r="C1161" i="1"/>
  <c r="D1161" i="1"/>
  <c r="E1161" i="1"/>
  <c r="F1161" i="1"/>
  <c r="H1161" i="1"/>
  <c r="I1161" i="1" a="1"/>
  <c r="I1161" i="1"/>
  <c r="J1161" i="1"/>
  <c r="B1162" i="1"/>
  <c r="C1162" i="1"/>
  <c r="D1162" i="1"/>
  <c r="E1162" i="1"/>
  <c r="F1162" i="1"/>
  <c r="H1162" i="1"/>
  <c r="I1162" i="1" a="1"/>
  <c r="I1162" i="1"/>
  <c r="J1162" i="1"/>
  <c r="B1163" i="1"/>
  <c r="C1163" i="1"/>
  <c r="D1163" i="1"/>
  <c r="E1163" i="1"/>
  <c r="F1163" i="1"/>
  <c r="H1163" i="1"/>
  <c r="I1163" i="1" a="1"/>
  <c r="I1163" i="1"/>
  <c r="J1163" i="1"/>
  <c r="B1164" i="1"/>
  <c r="C1164" i="1"/>
  <c r="D1164" i="1"/>
  <c r="E1164" i="1"/>
  <c r="F1164" i="1"/>
  <c r="H1164" i="1"/>
  <c r="I1164" i="1" a="1"/>
  <c r="I1164" i="1"/>
  <c r="J1164" i="1"/>
  <c r="B1165" i="1"/>
  <c r="C1165" i="1"/>
  <c r="D1165" i="1"/>
  <c r="E1165" i="1"/>
  <c r="F1165" i="1"/>
  <c r="H1165" i="1"/>
  <c r="I1165" i="1" a="1"/>
  <c r="I1165" i="1"/>
  <c r="J1165" i="1"/>
  <c r="B1166" i="1"/>
  <c r="C1166" i="1"/>
  <c r="D1166" i="1"/>
  <c r="E1166" i="1"/>
  <c r="F1166" i="1"/>
  <c r="H1166" i="1"/>
  <c r="I1166" i="1" a="1"/>
  <c r="I1166" i="1"/>
  <c r="J1166" i="1"/>
  <c r="B1167" i="1"/>
  <c r="C1167" i="1"/>
  <c r="D1167" i="1"/>
  <c r="E1167" i="1"/>
  <c r="F1167" i="1"/>
  <c r="H1167" i="1"/>
  <c r="I1167" i="1" a="1"/>
  <c r="I1167" i="1"/>
  <c r="J1167" i="1"/>
  <c r="B1168" i="1"/>
  <c r="C1168" i="1"/>
  <c r="D1168" i="1"/>
  <c r="E1168" i="1"/>
  <c r="F1168" i="1"/>
  <c r="H1168" i="1"/>
  <c r="I1168" i="1" a="1"/>
  <c r="I1168" i="1"/>
  <c r="J1168" i="1"/>
  <c r="B1169" i="1"/>
  <c r="C1169" i="1"/>
  <c r="D1169" i="1"/>
  <c r="E1169" i="1"/>
  <c r="F1169" i="1"/>
  <c r="H1169" i="1"/>
  <c r="I1169" i="1" a="1"/>
  <c r="I1169" i="1"/>
  <c r="J1169" i="1"/>
  <c r="B1170" i="1"/>
  <c r="C1170" i="1"/>
  <c r="D1170" i="1"/>
  <c r="E1170" i="1"/>
  <c r="F1170" i="1"/>
  <c r="H1170" i="1"/>
  <c r="I1170" i="1" a="1"/>
  <c r="I1170" i="1"/>
  <c r="J1170" i="1"/>
  <c r="B1171" i="1"/>
  <c r="C1171" i="1"/>
  <c r="D1171" i="1"/>
  <c r="E1171" i="1"/>
  <c r="F1171" i="1"/>
  <c r="H1171" i="1"/>
  <c r="I1171" i="1" a="1"/>
  <c r="I1171" i="1"/>
  <c r="J1171" i="1"/>
  <c r="B1172" i="1"/>
  <c r="C1172" i="1"/>
  <c r="D1172" i="1"/>
  <c r="E1172" i="1"/>
  <c r="F1172" i="1"/>
  <c r="H1172" i="1"/>
  <c r="I1172" i="1" a="1"/>
  <c r="I1172" i="1"/>
  <c r="J1172" i="1"/>
  <c r="B1173" i="1"/>
  <c r="C1173" i="1"/>
  <c r="D1173" i="1"/>
  <c r="E1173" i="1"/>
  <c r="F1173" i="1"/>
  <c r="H1173" i="1"/>
  <c r="I1173" i="1" a="1"/>
  <c r="I1173" i="1"/>
  <c r="J1173" i="1"/>
  <c r="B1174" i="1"/>
  <c r="C1174" i="1"/>
  <c r="D1174" i="1"/>
  <c r="E1174" i="1"/>
  <c r="F1174" i="1"/>
  <c r="H1174" i="1"/>
  <c r="I1174" i="1" a="1"/>
  <c r="I1174" i="1"/>
  <c r="J1174" i="1"/>
  <c r="B1175" i="1"/>
  <c r="C1175" i="1"/>
  <c r="D1175" i="1"/>
  <c r="E1175" i="1"/>
  <c r="F1175" i="1"/>
  <c r="H1175" i="1"/>
  <c r="I1175" i="1" a="1"/>
  <c r="I1175" i="1"/>
  <c r="J1175" i="1"/>
  <c r="B1176" i="1"/>
  <c r="C1176" i="1"/>
  <c r="D1176" i="1"/>
  <c r="E1176" i="1"/>
  <c r="F1176" i="1"/>
  <c r="H1176" i="1"/>
  <c r="I1176" i="1" a="1"/>
  <c r="I1176" i="1"/>
  <c r="J1176" i="1"/>
  <c r="B1177" i="1"/>
  <c r="C1177" i="1"/>
  <c r="D1177" i="1"/>
  <c r="E1177" i="1"/>
  <c r="F1177" i="1"/>
  <c r="H1177" i="1"/>
  <c r="I1177" i="1" a="1"/>
  <c r="I1177" i="1"/>
  <c r="J1177" i="1"/>
  <c r="B1178" i="1"/>
  <c r="C1178" i="1"/>
  <c r="D1178" i="1"/>
  <c r="E1178" i="1"/>
  <c r="F1178" i="1"/>
  <c r="H1178" i="1"/>
  <c r="I1178" i="1" a="1"/>
  <c r="I1178" i="1"/>
  <c r="J1178" i="1"/>
  <c r="B1179" i="1"/>
  <c r="C1179" i="1"/>
  <c r="D1179" i="1"/>
  <c r="E1179" i="1"/>
  <c r="F1179" i="1"/>
  <c r="H1179" i="1"/>
  <c r="I1179" i="1" a="1"/>
  <c r="I1179" i="1"/>
  <c r="J1179" i="1"/>
  <c r="B1180" i="1"/>
  <c r="C1180" i="1"/>
  <c r="D1180" i="1"/>
  <c r="E1180" i="1"/>
  <c r="F1180" i="1"/>
  <c r="H1180" i="1"/>
  <c r="I1180" i="1" a="1"/>
  <c r="I1180" i="1"/>
  <c r="J1180" i="1"/>
  <c r="B1181" i="1"/>
  <c r="C1181" i="1"/>
  <c r="D1181" i="1"/>
  <c r="E1181" i="1"/>
  <c r="F1181" i="1"/>
  <c r="H1181" i="1"/>
  <c r="I1181" i="1" a="1"/>
  <c r="I1181" i="1"/>
  <c r="J1181" i="1"/>
  <c r="B1182" i="1"/>
  <c r="C1182" i="1"/>
  <c r="D1182" i="1"/>
  <c r="E1182" i="1"/>
  <c r="F1182" i="1"/>
  <c r="H1182" i="1"/>
  <c r="I1182" i="1" a="1"/>
  <c r="I1182" i="1"/>
  <c r="J1182" i="1"/>
  <c r="B1183" i="1"/>
  <c r="C1183" i="1"/>
  <c r="D1183" i="1"/>
  <c r="E1183" i="1"/>
  <c r="F1183" i="1"/>
  <c r="H1183" i="1"/>
  <c r="I1183" i="1" a="1"/>
  <c r="I1183" i="1"/>
  <c r="J1183" i="1"/>
  <c r="B1184" i="1"/>
  <c r="C1184" i="1"/>
  <c r="D1184" i="1"/>
  <c r="E1184" i="1"/>
  <c r="F1184" i="1"/>
  <c r="H1184" i="1"/>
  <c r="I1184" i="1" a="1"/>
  <c r="I1184" i="1"/>
  <c r="J1184" i="1"/>
  <c r="B1185" i="1"/>
  <c r="C1185" i="1"/>
  <c r="D1185" i="1"/>
  <c r="E1185" i="1"/>
  <c r="F1185" i="1"/>
  <c r="H1185" i="1"/>
  <c r="I1185" i="1" a="1"/>
  <c r="I1185" i="1"/>
  <c r="J1185" i="1"/>
  <c r="B1186" i="1"/>
  <c r="C1186" i="1"/>
  <c r="D1186" i="1"/>
  <c r="E1186" i="1"/>
  <c r="F1186" i="1"/>
  <c r="H1186" i="1"/>
  <c r="I1186" i="1" a="1"/>
  <c r="I1186" i="1"/>
  <c r="J1186" i="1"/>
  <c r="B1187" i="1"/>
  <c r="C1187" i="1"/>
  <c r="D1187" i="1"/>
  <c r="E1187" i="1"/>
  <c r="F1187" i="1"/>
  <c r="H1187" i="1"/>
  <c r="I1187" i="1" a="1"/>
  <c r="I1187" i="1"/>
  <c r="J1187" i="1"/>
  <c r="B1188" i="1"/>
  <c r="C1188" i="1"/>
  <c r="D1188" i="1"/>
  <c r="E1188" i="1"/>
  <c r="F1188" i="1"/>
  <c r="H1188" i="1"/>
  <c r="I1188" i="1" a="1"/>
  <c r="I1188" i="1"/>
  <c r="J1188" i="1"/>
  <c r="B1189" i="1"/>
  <c r="C1189" i="1"/>
  <c r="D1189" i="1"/>
  <c r="E1189" i="1"/>
  <c r="F1189" i="1"/>
  <c r="H1189" i="1"/>
  <c r="I1189" i="1" a="1"/>
  <c r="I1189" i="1"/>
  <c r="J1189" i="1"/>
  <c r="B1190" i="1"/>
  <c r="C1190" i="1"/>
  <c r="D1190" i="1"/>
  <c r="E1190" i="1"/>
  <c r="F1190" i="1"/>
  <c r="H1190" i="1"/>
  <c r="I1190" i="1" a="1"/>
  <c r="I1190" i="1"/>
  <c r="J1190" i="1"/>
  <c r="B1191" i="1"/>
  <c r="C1191" i="1"/>
  <c r="D1191" i="1"/>
  <c r="E1191" i="1"/>
  <c r="F1191" i="1"/>
  <c r="H1191" i="1"/>
  <c r="I1191" i="1" a="1"/>
  <c r="I1191" i="1"/>
  <c r="J1191" i="1"/>
  <c r="B1192" i="1"/>
  <c r="C1192" i="1"/>
  <c r="D1192" i="1"/>
  <c r="E1192" i="1"/>
  <c r="F1192" i="1"/>
  <c r="H1192" i="1"/>
  <c r="I1192" i="1" a="1"/>
  <c r="I1192" i="1"/>
  <c r="J1192" i="1"/>
  <c r="B1193" i="1"/>
  <c r="C1193" i="1"/>
  <c r="D1193" i="1"/>
  <c r="E1193" i="1"/>
  <c r="F1193" i="1"/>
  <c r="H1193" i="1"/>
  <c r="I1193" i="1" a="1"/>
  <c r="I1193" i="1"/>
  <c r="J1193" i="1"/>
  <c r="B1194" i="1"/>
  <c r="C1194" i="1"/>
  <c r="D1194" i="1"/>
  <c r="E1194" i="1"/>
  <c r="F1194" i="1"/>
  <c r="H1194" i="1"/>
  <c r="I1194" i="1" a="1"/>
  <c r="I1194" i="1"/>
  <c r="J1194" i="1"/>
  <c r="B1195" i="1"/>
  <c r="C1195" i="1"/>
  <c r="D1195" i="1"/>
  <c r="E1195" i="1"/>
  <c r="F1195" i="1"/>
  <c r="H1195" i="1"/>
  <c r="I1195" i="1" a="1"/>
  <c r="I1195" i="1"/>
  <c r="J1195" i="1"/>
  <c r="B1196" i="1"/>
  <c r="C1196" i="1"/>
  <c r="D1196" i="1"/>
  <c r="E1196" i="1"/>
  <c r="F1196" i="1"/>
  <c r="H1196" i="1"/>
  <c r="I1196" i="1" a="1"/>
  <c r="I1196" i="1"/>
  <c r="J1196" i="1"/>
  <c r="B1197" i="1"/>
  <c r="C1197" i="1"/>
  <c r="D1197" i="1"/>
  <c r="E1197" i="1"/>
  <c r="F1197" i="1"/>
  <c r="H1197" i="1"/>
  <c r="I1197" i="1" a="1"/>
  <c r="I1197" i="1"/>
  <c r="J1197" i="1"/>
  <c r="B1198" i="1"/>
  <c r="C1198" i="1"/>
  <c r="D1198" i="1"/>
  <c r="E1198" i="1"/>
  <c r="F1198" i="1"/>
  <c r="H1198" i="1"/>
  <c r="I1198" i="1" a="1"/>
  <c r="I1198" i="1"/>
  <c r="J1198" i="1"/>
  <c r="B1199" i="1"/>
  <c r="C1199" i="1"/>
  <c r="D1199" i="1"/>
  <c r="E1199" i="1"/>
  <c r="F1199" i="1"/>
  <c r="H1199" i="1"/>
  <c r="I1199" i="1" a="1"/>
  <c r="I1199" i="1"/>
  <c r="J1199" i="1"/>
  <c r="B1200" i="1"/>
  <c r="C1200" i="1"/>
  <c r="D1200" i="1"/>
  <c r="E1200" i="1"/>
  <c r="F1200" i="1"/>
  <c r="H1200" i="1"/>
  <c r="I1200" i="1" a="1"/>
  <c r="I1200" i="1"/>
  <c r="J1200" i="1"/>
  <c r="B1201" i="1"/>
  <c r="C1201" i="1"/>
  <c r="D1201" i="1"/>
  <c r="E1201" i="1"/>
  <c r="F1201" i="1"/>
  <c r="H1201" i="1"/>
  <c r="I1201" i="1" a="1"/>
  <c r="I1201" i="1"/>
  <c r="J1201" i="1"/>
  <c r="B1202" i="1"/>
  <c r="C1202" i="1"/>
  <c r="D1202" i="1"/>
  <c r="E1202" i="1"/>
  <c r="F1202" i="1"/>
  <c r="H1202" i="1"/>
  <c r="I1202" i="1" a="1"/>
  <c r="I1202" i="1"/>
  <c r="J1202" i="1"/>
  <c r="B1203" i="1"/>
  <c r="C1203" i="1"/>
  <c r="D1203" i="1"/>
  <c r="E1203" i="1"/>
  <c r="F1203" i="1"/>
  <c r="H1203" i="1"/>
  <c r="I1203" i="1" a="1"/>
  <c r="I1203" i="1"/>
  <c r="J1203" i="1"/>
  <c r="B1204" i="1"/>
  <c r="C1204" i="1"/>
  <c r="D1204" i="1"/>
  <c r="E1204" i="1"/>
  <c r="F1204" i="1"/>
  <c r="H1204" i="1"/>
  <c r="I1204" i="1" a="1"/>
  <c r="I1204" i="1"/>
  <c r="J1204" i="1"/>
  <c r="B1205" i="1"/>
  <c r="C1205" i="1"/>
  <c r="D1205" i="1"/>
  <c r="E1205" i="1"/>
  <c r="F1205" i="1"/>
  <c r="H1205" i="1"/>
  <c r="I1205" i="1" a="1"/>
  <c r="I1205" i="1"/>
  <c r="J1205" i="1"/>
  <c r="B1206" i="1"/>
  <c r="C1206" i="1"/>
  <c r="D1206" i="1"/>
  <c r="E1206" i="1"/>
  <c r="F1206" i="1"/>
  <c r="H1206" i="1"/>
  <c r="I1206" i="1" a="1"/>
  <c r="I1206" i="1"/>
  <c r="J1206" i="1"/>
  <c r="B1207" i="1"/>
  <c r="C1207" i="1"/>
  <c r="D1207" i="1"/>
  <c r="E1207" i="1"/>
  <c r="F1207" i="1"/>
  <c r="H1207" i="1"/>
  <c r="I1207" i="1" a="1"/>
  <c r="I1207" i="1"/>
  <c r="J1207" i="1"/>
  <c r="B1208" i="1"/>
  <c r="C1208" i="1"/>
  <c r="D1208" i="1"/>
  <c r="E1208" i="1"/>
  <c r="F1208" i="1"/>
  <c r="H1208" i="1"/>
  <c r="I1208" i="1" a="1"/>
  <c r="I1208" i="1"/>
  <c r="J1208" i="1"/>
  <c r="B1209" i="1"/>
  <c r="C1209" i="1"/>
  <c r="D1209" i="1"/>
  <c r="E1209" i="1"/>
  <c r="F1209" i="1"/>
  <c r="H1209" i="1"/>
  <c r="I1209" i="1" a="1"/>
  <c r="I1209" i="1"/>
  <c r="J1209" i="1"/>
  <c r="B1210" i="1"/>
  <c r="C1210" i="1"/>
  <c r="D1210" i="1"/>
  <c r="E1210" i="1"/>
  <c r="F1210" i="1"/>
  <c r="H1210" i="1"/>
  <c r="I1210" i="1" a="1"/>
  <c r="I1210" i="1"/>
  <c r="J1210" i="1"/>
  <c r="B1211" i="1"/>
  <c r="C1211" i="1"/>
  <c r="D1211" i="1"/>
  <c r="E1211" i="1"/>
  <c r="F1211" i="1"/>
  <c r="H1211" i="1"/>
  <c r="I1211" i="1" a="1"/>
  <c r="I1211" i="1"/>
  <c r="J1211" i="1"/>
  <c r="B1212" i="1"/>
  <c r="C1212" i="1"/>
  <c r="D1212" i="1"/>
  <c r="E1212" i="1"/>
  <c r="F1212" i="1"/>
  <c r="H1212" i="1"/>
  <c r="I1212" i="1" a="1"/>
  <c r="I1212" i="1"/>
  <c r="J1212" i="1"/>
  <c r="B1213" i="1"/>
  <c r="C1213" i="1"/>
  <c r="D1213" i="1"/>
  <c r="E1213" i="1"/>
  <c r="F1213" i="1"/>
  <c r="H1213" i="1"/>
  <c r="I1213" i="1" a="1"/>
  <c r="I1213" i="1"/>
  <c r="J1213" i="1"/>
  <c r="B1214" i="1"/>
  <c r="C1214" i="1"/>
  <c r="D1214" i="1"/>
  <c r="E1214" i="1"/>
  <c r="F1214" i="1"/>
  <c r="H1214" i="1"/>
  <c r="I1214" i="1" a="1"/>
  <c r="I1214" i="1"/>
  <c r="J1214" i="1"/>
  <c r="B1215" i="1"/>
  <c r="C1215" i="1"/>
  <c r="D1215" i="1"/>
  <c r="E1215" i="1"/>
  <c r="F1215" i="1"/>
  <c r="H1215" i="1"/>
  <c r="I1215" i="1" a="1"/>
  <c r="I1215" i="1"/>
  <c r="J1215" i="1"/>
  <c r="B1216" i="1"/>
  <c r="C1216" i="1"/>
  <c r="D1216" i="1"/>
  <c r="E1216" i="1"/>
  <c r="F1216" i="1"/>
  <c r="H1216" i="1"/>
  <c r="I1216" i="1" a="1"/>
  <c r="I1216" i="1"/>
  <c r="J1216" i="1"/>
  <c r="B1217" i="1"/>
  <c r="C1217" i="1"/>
  <c r="D1217" i="1"/>
  <c r="E1217" i="1"/>
  <c r="F1217" i="1"/>
  <c r="H1217" i="1"/>
  <c r="I1217" i="1" a="1"/>
  <c r="I1217" i="1"/>
  <c r="J1217" i="1"/>
  <c r="B1218" i="1"/>
  <c r="C1218" i="1"/>
  <c r="D1218" i="1"/>
  <c r="E1218" i="1"/>
  <c r="F1218" i="1"/>
  <c r="H1218" i="1"/>
  <c r="I1218" i="1" a="1"/>
  <c r="I1218" i="1"/>
  <c r="J1218" i="1"/>
  <c r="B1219" i="1"/>
  <c r="C1219" i="1"/>
  <c r="D1219" i="1"/>
  <c r="E1219" i="1"/>
  <c r="F1219" i="1"/>
  <c r="H1219" i="1"/>
  <c r="I1219" i="1" a="1"/>
  <c r="I1219" i="1"/>
  <c r="J1219" i="1"/>
  <c r="B1220" i="1"/>
  <c r="C1220" i="1"/>
  <c r="D1220" i="1"/>
  <c r="E1220" i="1"/>
  <c r="F1220" i="1"/>
  <c r="H1220" i="1"/>
  <c r="I1220" i="1" a="1"/>
  <c r="I1220" i="1"/>
  <c r="J1220" i="1"/>
  <c r="B1221" i="1"/>
  <c r="C1221" i="1"/>
  <c r="D1221" i="1"/>
  <c r="E1221" i="1"/>
  <c r="F1221" i="1"/>
  <c r="H1221" i="1"/>
  <c r="I1221" i="1" a="1"/>
  <c r="I1221" i="1"/>
  <c r="J1221" i="1"/>
  <c r="B1222" i="1"/>
  <c r="C1222" i="1"/>
  <c r="D1222" i="1"/>
  <c r="E1222" i="1"/>
  <c r="F1222" i="1"/>
  <c r="H1222" i="1"/>
  <c r="I1222" i="1" a="1"/>
  <c r="I1222" i="1"/>
  <c r="J1222" i="1"/>
  <c r="B1223" i="1"/>
  <c r="C1223" i="1"/>
  <c r="D1223" i="1"/>
  <c r="E1223" i="1"/>
  <c r="F1223" i="1"/>
  <c r="H1223" i="1"/>
  <c r="I1223" i="1" a="1"/>
  <c r="I1223" i="1"/>
  <c r="J1223" i="1"/>
  <c r="B1224" i="1"/>
  <c r="C1224" i="1"/>
  <c r="D1224" i="1"/>
  <c r="E1224" i="1"/>
  <c r="F1224" i="1"/>
  <c r="H1224" i="1"/>
  <c r="I1224" i="1" a="1"/>
  <c r="I1224" i="1"/>
  <c r="J1224" i="1"/>
  <c r="B1225" i="1"/>
  <c r="C1225" i="1"/>
  <c r="D1225" i="1"/>
  <c r="E1225" i="1"/>
  <c r="F1225" i="1"/>
  <c r="H1225" i="1"/>
  <c r="I1225" i="1" a="1"/>
  <c r="I1225" i="1"/>
  <c r="J1225" i="1"/>
  <c r="B1226" i="1"/>
  <c r="C1226" i="1"/>
  <c r="D1226" i="1"/>
  <c r="E1226" i="1"/>
  <c r="F1226" i="1"/>
  <c r="H1226" i="1"/>
  <c r="I1226" i="1" a="1"/>
  <c r="I1226" i="1"/>
  <c r="J1226" i="1"/>
  <c r="B1227" i="1"/>
  <c r="C1227" i="1"/>
  <c r="D1227" i="1"/>
  <c r="E1227" i="1"/>
  <c r="F1227" i="1"/>
  <c r="H1227" i="1"/>
  <c r="I1227" i="1" a="1"/>
  <c r="I1227" i="1"/>
  <c r="J1227" i="1"/>
  <c r="B1228" i="1"/>
  <c r="C1228" i="1"/>
  <c r="D1228" i="1"/>
  <c r="E1228" i="1"/>
  <c r="F1228" i="1"/>
  <c r="H1228" i="1"/>
  <c r="I1228" i="1" a="1"/>
  <c r="I1228" i="1"/>
  <c r="J1228" i="1"/>
  <c r="B1229" i="1"/>
  <c r="C1229" i="1"/>
  <c r="D1229" i="1"/>
  <c r="E1229" i="1"/>
  <c r="F1229" i="1"/>
  <c r="H1229" i="1"/>
  <c r="I1229" i="1" a="1"/>
  <c r="I1229" i="1"/>
  <c r="J1229" i="1"/>
  <c r="B1230" i="1"/>
  <c r="C1230" i="1"/>
  <c r="D1230" i="1"/>
  <c r="E1230" i="1"/>
  <c r="F1230" i="1"/>
  <c r="H1230" i="1"/>
  <c r="I1230" i="1" a="1"/>
  <c r="I1230" i="1"/>
  <c r="J1230" i="1"/>
  <c r="B1231" i="1"/>
  <c r="C1231" i="1"/>
  <c r="D1231" i="1"/>
  <c r="E1231" i="1"/>
  <c r="F1231" i="1"/>
  <c r="H1231" i="1"/>
  <c r="I1231" i="1" a="1"/>
  <c r="I1231" i="1"/>
  <c r="J1231" i="1"/>
  <c r="B1232" i="1"/>
  <c r="C1232" i="1"/>
  <c r="D1232" i="1"/>
  <c r="E1232" i="1"/>
  <c r="F1232" i="1"/>
  <c r="H1232" i="1"/>
  <c r="I1232" i="1" a="1"/>
  <c r="I1232" i="1"/>
  <c r="J1232" i="1"/>
  <c r="B1233" i="1"/>
  <c r="C1233" i="1"/>
  <c r="D1233" i="1"/>
  <c r="E1233" i="1"/>
  <c r="F1233" i="1"/>
  <c r="H1233" i="1"/>
  <c r="I1233" i="1" a="1"/>
  <c r="I1233" i="1"/>
  <c r="J1233" i="1"/>
  <c r="B1234" i="1"/>
  <c r="C1234" i="1"/>
  <c r="D1234" i="1"/>
  <c r="E1234" i="1"/>
  <c r="F1234" i="1"/>
  <c r="H1234" i="1"/>
  <c r="I1234" i="1" a="1"/>
  <c r="I1234" i="1"/>
  <c r="J1234" i="1"/>
  <c r="B1235" i="1"/>
  <c r="C1235" i="1"/>
  <c r="D1235" i="1"/>
  <c r="E1235" i="1"/>
  <c r="F1235" i="1"/>
  <c r="H1235" i="1"/>
  <c r="I1235" i="1" a="1"/>
  <c r="I1235" i="1"/>
  <c r="J1235" i="1"/>
  <c r="B1236" i="1"/>
  <c r="C1236" i="1"/>
  <c r="D1236" i="1"/>
  <c r="E1236" i="1"/>
  <c r="F1236" i="1"/>
  <c r="H1236" i="1"/>
  <c r="I1236" i="1" a="1"/>
  <c r="I1236" i="1"/>
  <c r="J1236" i="1"/>
  <c r="B1237" i="1"/>
  <c r="C1237" i="1"/>
  <c r="D1237" i="1"/>
  <c r="E1237" i="1"/>
  <c r="F1237" i="1"/>
  <c r="H1237" i="1"/>
  <c r="I1237" i="1" a="1"/>
  <c r="I1237" i="1"/>
  <c r="J1237" i="1"/>
  <c r="B1238" i="1"/>
  <c r="C1238" i="1"/>
  <c r="D1238" i="1"/>
  <c r="E1238" i="1"/>
  <c r="F1238" i="1"/>
  <c r="H1238" i="1"/>
  <c r="I1238" i="1" a="1"/>
  <c r="I1238" i="1"/>
  <c r="J1238" i="1"/>
  <c r="B1239" i="1"/>
  <c r="C1239" i="1"/>
  <c r="D1239" i="1"/>
  <c r="E1239" i="1"/>
  <c r="F1239" i="1"/>
  <c r="H1239" i="1"/>
  <c r="I1239" i="1" a="1"/>
  <c r="I1239" i="1"/>
  <c r="J1239" i="1"/>
  <c r="B1240" i="1"/>
  <c r="C1240" i="1"/>
  <c r="D1240" i="1"/>
  <c r="E1240" i="1"/>
  <c r="F1240" i="1"/>
  <c r="H1240" i="1"/>
  <c r="I1240" i="1" a="1"/>
  <c r="I1240" i="1"/>
  <c r="J1240" i="1"/>
  <c r="B1241" i="1"/>
  <c r="C1241" i="1"/>
  <c r="D1241" i="1"/>
  <c r="E1241" i="1"/>
  <c r="F1241" i="1"/>
  <c r="H1241" i="1"/>
  <c r="I1241" i="1" a="1"/>
  <c r="I1241" i="1"/>
  <c r="J1241" i="1"/>
  <c r="B1242" i="1"/>
  <c r="C1242" i="1"/>
  <c r="D1242" i="1"/>
  <c r="E1242" i="1"/>
  <c r="F1242" i="1"/>
  <c r="H1242" i="1"/>
  <c r="I1242" i="1" a="1"/>
  <c r="I1242" i="1"/>
  <c r="J1242" i="1"/>
  <c r="B1243" i="1"/>
  <c r="C1243" i="1"/>
  <c r="D1243" i="1"/>
  <c r="E1243" i="1"/>
  <c r="F1243" i="1"/>
  <c r="H1243" i="1"/>
  <c r="I1243" i="1" a="1"/>
  <c r="I1243" i="1"/>
  <c r="J1243" i="1"/>
  <c r="B1244" i="1"/>
  <c r="C1244" i="1"/>
  <c r="D1244" i="1"/>
  <c r="E1244" i="1"/>
  <c r="F1244" i="1"/>
  <c r="H1244" i="1"/>
  <c r="I1244" i="1" a="1"/>
  <c r="I1244" i="1"/>
  <c r="J1244" i="1"/>
  <c r="B1245" i="1"/>
  <c r="C1245" i="1"/>
  <c r="D1245" i="1"/>
  <c r="E1245" i="1"/>
  <c r="F1245" i="1"/>
  <c r="H1245" i="1"/>
  <c r="I1245" i="1" a="1"/>
  <c r="I1245" i="1"/>
  <c r="J1245" i="1"/>
  <c r="B1246" i="1"/>
  <c r="C1246" i="1"/>
  <c r="D1246" i="1"/>
  <c r="E1246" i="1"/>
  <c r="F1246" i="1"/>
  <c r="H1246" i="1"/>
  <c r="I1246" i="1" a="1"/>
  <c r="I1246" i="1"/>
  <c r="J1246" i="1"/>
  <c r="B1247" i="1"/>
  <c r="C1247" i="1"/>
  <c r="D1247" i="1"/>
  <c r="E1247" i="1"/>
  <c r="F1247" i="1"/>
  <c r="H1247" i="1"/>
  <c r="I1247" i="1" a="1"/>
  <c r="I1247" i="1"/>
  <c r="J1247" i="1"/>
  <c r="B1248" i="1"/>
  <c r="C1248" i="1"/>
  <c r="D1248" i="1"/>
  <c r="E1248" i="1"/>
  <c r="F1248" i="1"/>
  <c r="H1248" i="1"/>
  <c r="I1248" i="1" a="1"/>
  <c r="I1248" i="1"/>
  <c r="J1248" i="1"/>
  <c r="B1249" i="1"/>
  <c r="C1249" i="1"/>
  <c r="D1249" i="1"/>
  <c r="E1249" i="1"/>
  <c r="F1249" i="1"/>
  <c r="H1249" i="1"/>
  <c r="I1249" i="1" a="1"/>
  <c r="I1249" i="1"/>
  <c r="J1249" i="1"/>
  <c r="B1250" i="1"/>
  <c r="C1250" i="1"/>
  <c r="D1250" i="1"/>
  <c r="E1250" i="1"/>
  <c r="F1250" i="1"/>
  <c r="H1250" i="1"/>
  <c r="I1250" i="1" a="1"/>
  <c r="I1250" i="1"/>
  <c r="J1250" i="1"/>
  <c r="B1251" i="1"/>
  <c r="C1251" i="1"/>
  <c r="D1251" i="1"/>
  <c r="E1251" i="1"/>
  <c r="F1251" i="1"/>
  <c r="H1251" i="1"/>
  <c r="I1251" i="1" a="1"/>
  <c r="I1251" i="1"/>
  <c r="J1251" i="1"/>
  <c r="B1252" i="1"/>
  <c r="C1252" i="1"/>
  <c r="D1252" i="1"/>
  <c r="E1252" i="1"/>
  <c r="F1252" i="1"/>
  <c r="H1252" i="1"/>
  <c r="I1252" i="1" a="1"/>
  <c r="I1252" i="1"/>
  <c r="J1252" i="1"/>
  <c r="B1253" i="1"/>
  <c r="C1253" i="1"/>
  <c r="D1253" i="1"/>
  <c r="E1253" i="1"/>
  <c r="F1253" i="1"/>
  <c r="H1253" i="1"/>
  <c r="I1253" i="1" a="1"/>
  <c r="I1253" i="1"/>
  <c r="J1253" i="1"/>
  <c r="B1254" i="1"/>
  <c r="C1254" i="1"/>
  <c r="D1254" i="1"/>
  <c r="E1254" i="1"/>
  <c r="F1254" i="1"/>
  <c r="H1254" i="1"/>
  <c r="I1254" i="1" a="1"/>
  <c r="I1254" i="1"/>
  <c r="J1254" i="1"/>
  <c r="B1255" i="1"/>
  <c r="C1255" i="1"/>
  <c r="D1255" i="1"/>
  <c r="E1255" i="1"/>
  <c r="F1255" i="1"/>
  <c r="H1255" i="1"/>
  <c r="I1255" i="1" a="1"/>
  <c r="I1255" i="1"/>
  <c r="J1255" i="1"/>
  <c r="B1256" i="1"/>
  <c r="C1256" i="1"/>
  <c r="D1256" i="1"/>
  <c r="E1256" i="1"/>
  <c r="F1256" i="1"/>
  <c r="H1256" i="1"/>
  <c r="I1256" i="1" a="1"/>
  <c r="I1256" i="1"/>
  <c r="J1256" i="1"/>
  <c r="B1257" i="1"/>
  <c r="C1257" i="1"/>
  <c r="D1257" i="1"/>
  <c r="E1257" i="1"/>
  <c r="F1257" i="1"/>
  <c r="H1257" i="1"/>
  <c r="I1257" i="1" a="1"/>
  <c r="I1257" i="1"/>
  <c r="J1257" i="1"/>
  <c r="B1258" i="1"/>
  <c r="C1258" i="1"/>
  <c r="D1258" i="1"/>
  <c r="E1258" i="1"/>
  <c r="F1258" i="1"/>
  <c r="H1258" i="1"/>
  <c r="I1258" i="1" a="1"/>
  <c r="I1258" i="1"/>
  <c r="J1258" i="1"/>
  <c r="B1259" i="1"/>
  <c r="C1259" i="1"/>
  <c r="D1259" i="1"/>
  <c r="E1259" i="1"/>
  <c r="F1259" i="1"/>
  <c r="H1259" i="1"/>
  <c r="I1259" i="1" a="1"/>
  <c r="I1259" i="1"/>
  <c r="J1259" i="1"/>
  <c r="B1260" i="1"/>
  <c r="C1260" i="1"/>
  <c r="D1260" i="1"/>
  <c r="E1260" i="1"/>
  <c r="F1260" i="1"/>
  <c r="H1260" i="1"/>
  <c r="I1260" i="1" a="1"/>
  <c r="I1260" i="1"/>
  <c r="J1260" i="1"/>
  <c r="B1261" i="1"/>
  <c r="C1261" i="1"/>
  <c r="D1261" i="1"/>
  <c r="E1261" i="1"/>
  <c r="F1261" i="1"/>
  <c r="H1261" i="1"/>
  <c r="I1261" i="1" a="1"/>
  <c r="I1261" i="1"/>
  <c r="J1261" i="1"/>
  <c r="B1262" i="1"/>
  <c r="C1262" i="1"/>
  <c r="D1262" i="1"/>
  <c r="E1262" i="1"/>
  <c r="F1262" i="1"/>
  <c r="H1262" i="1"/>
  <c r="I1262" i="1" a="1"/>
  <c r="I1262" i="1"/>
  <c r="J1262" i="1"/>
  <c r="B1263" i="1"/>
  <c r="C1263" i="1"/>
  <c r="D1263" i="1"/>
  <c r="E1263" i="1"/>
  <c r="F1263" i="1"/>
  <c r="H1263" i="1"/>
  <c r="I1263" i="1" a="1"/>
  <c r="I1263" i="1"/>
  <c r="J1263" i="1"/>
  <c r="B1264" i="1"/>
  <c r="C1264" i="1"/>
  <c r="D1264" i="1"/>
  <c r="E1264" i="1"/>
  <c r="F1264" i="1"/>
  <c r="H1264" i="1"/>
  <c r="I1264" i="1" a="1"/>
  <c r="I1264" i="1"/>
  <c r="J1264" i="1"/>
  <c r="B1265" i="1"/>
  <c r="C1265" i="1"/>
  <c r="D1265" i="1"/>
  <c r="E1265" i="1"/>
  <c r="F1265" i="1"/>
  <c r="H1265" i="1"/>
  <c r="I1265" i="1" a="1"/>
  <c r="I1265" i="1"/>
  <c r="J1265" i="1"/>
  <c r="B1266" i="1"/>
  <c r="C1266" i="1"/>
  <c r="D1266" i="1"/>
  <c r="E1266" i="1"/>
  <c r="F1266" i="1"/>
  <c r="H1266" i="1"/>
  <c r="I1266" i="1" a="1"/>
  <c r="I1266" i="1"/>
  <c r="J1266" i="1"/>
  <c r="B1267" i="1"/>
  <c r="C1267" i="1"/>
  <c r="D1267" i="1"/>
  <c r="E1267" i="1"/>
  <c r="F1267" i="1"/>
  <c r="H1267" i="1"/>
  <c r="I1267" i="1" a="1"/>
  <c r="I1267" i="1"/>
  <c r="J1267" i="1"/>
  <c r="B1268" i="1"/>
  <c r="C1268" i="1"/>
  <c r="D1268" i="1"/>
  <c r="E1268" i="1"/>
  <c r="F1268" i="1"/>
  <c r="H1268" i="1"/>
  <c r="I1268" i="1" a="1"/>
  <c r="I1268" i="1"/>
  <c r="J1268" i="1"/>
  <c r="B1269" i="1"/>
  <c r="C1269" i="1"/>
  <c r="D1269" i="1"/>
  <c r="E1269" i="1"/>
  <c r="F1269" i="1"/>
  <c r="H1269" i="1"/>
  <c r="I1269" i="1" a="1"/>
  <c r="I1269" i="1"/>
  <c r="J1269" i="1"/>
  <c r="B1270" i="1"/>
  <c r="C1270" i="1"/>
  <c r="D1270" i="1"/>
  <c r="E1270" i="1"/>
  <c r="F1270" i="1"/>
  <c r="H1270" i="1"/>
  <c r="I1270" i="1" a="1"/>
  <c r="I1270" i="1"/>
  <c r="J1270" i="1"/>
  <c r="B1271" i="1"/>
  <c r="C1271" i="1"/>
  <c r="D1271" i="1"/>
  <c r="E1271" i="1"/>
  <c r="F1271" i="1"/>
  <c r="H1271" i="1"/>
  <c r="I1271" i="1" a="1"/>
  <c r="I1271" i="1"/>
  <c r="J1271" i="1"/>
  <c r="B1272" i="1"/>
  <c r="C1272" i="1"/>
  <c r="D1272" i="1"/>
  <c r="E1272" i="1"/>
  <c r="F1272" i="1"/>
  <c r="H1272" i="1"/>
  <c r="I1272" i="1" a="1"/>
  <c r="I1272" i="1"/>
  <c r="J1272" i="1"/>
  <c r="B1273" i="1"/>
  <c r="C1273" i="1"/>
  <c r="D1273" i="1"/>
  <c r="E1273" i="1"/>
  <c r="F1273" i="1"/>
  <c r="H1273" i="1"/>
  <c r="I1273" i="1" a="1"/>
  <c r="I1273" i="1"/>
  <c r="J1273" i="1"/>
  <c r="B1274" i="1"/>
  <c r="C1274" i="1"/>
  <c r="D1274" i="1"/>
  <c r="E1274" i="1"/>
  <c r="F1274" i="1"/>
  <c r="H1274" i="1"/>
  <c r="I1274" i="1" a="1"/>
  <c r="I1274" i="1"/>
  <c r="J1274" i="1"/>
  <c r="B1275" i="1"/>
  <c r="C1275" i="1"/>
  <c r="D1275" i="1"/>
  <c r="E1275" i="1"/>
  <c r="F1275" i="1"/>
  <c r="H1275" i="1"/>
  <c r="I1275" i="1" a="1"/>
  <c r="I1275" i="1"/>
  <c r="J1275" i="1"/>
  <c r="B1276" i="1"/>
  <c r="C1276" i="1"/>
  <c r="D1276" i="1"/>
  <c r="E1276" i="1"/>
  <c r="F1276" i="1"/>
  <c r="H1276" i="1"/>
  <c r="I1276" i="1" a="1"/>
  <c r="I1276" i="1"/>
  <c r="J1276" i="1"/>
  <c r="B1277" i="1"/>
  <c r="C1277" i="1"/>
  <c r="D1277" i="1"/>
  <c r="E1277" i="1"/>
  <c r="F1277" i="1"/>
  <c r="H1277" i="1"/>
  <c r="I1277" i="1" a="1"/>
  <c r="I1277" i="1"/>
  <c r="J1277" i="1"/>
  <c r="B1278" i="1"/>
  <c r="C1278" i="1"/>
  <c r="D1278" i="1"/>
  <c r="E1278" i="1"/>
  <c r="F1278" i="1"/>
  <c r="H1278" i="1"/>
  <c r="I1278" i="1" a="1"/>
  <c r="I1278" i="1"/>
  <c r="J1278" i="1"/>
  <c r="B1279" i="1"/>
  <c r="C1279" i="1"/>
  <c r="D1279" i="1"/>
  <c r="E1279" i="1"/>
  <c r="F1279" i="1"/>
  <c r="H1279" i="1"/>
  <c r="I1279" i="1" a="1"/>
  <c r="I1279" i="1"/>
  <c r="J1279" i="1"/>
  <c r="B1280" i="1"/>
  <c r="C1280" i="1"/>
  <c r="D1280" i="1"/>
  <c r="E1280" i="1"/>
  <c r="F1280" i="1"/>
  <c r="H1280" i="1"/>
  <c r="I1280" i="1" a="1"/>
  <c r="I1280" i="1"/>
  <c r="J1280" i="1"/>
  <c r="B1281" i="1"/>
  <c r="C1281" i="1"/>
  <c r="D1281" i="1"/>
  <c r="E1281" i="1"/>
  <c r="F1281" i="1"/>
  <c r="H1281" i="1"/>
  <c r="I1281" i="1" a="1"/>
  <c r="I1281" i="1"/>
  <c r="J1281" i="1"/>
  <c r="B1282" i="1"/>
  <c r="C1282" i="1"/>
  <c r="D1282" i="1"/>
  <c r="E1282" i="1"/>
  <c r="F1282" i="1"/>
  <c r="H1282" i="1"/>
  <c r="I1282" i="1" a="1"/>
  <c r="I1282" i="1"/>
  <c r="J1282" i="1"/>
  <c r="B1283" i="1"/>
  <c r="C1283" i="1"/>
  <c r="D1283" i="1"/>
  <c r="E1283" i="1"/>
  <c r="F1283" i="1"/>
  <c r="H1283" i="1"/>
  <c r="I1283" i="1" a="1"/>
  <c r="I1283" i="1"/>
  <c r="J1283" i="1"/>
  <c r="B1284" i="1"/>
  <c r="C1284" i="1"/>
  <c r="D1284" i="1"/>
  <c r="E1284" i="1"/>
  <c r="F1284" i="1"/>
  <c r="H1284" i="1"/>
  <c r="I1284" i="1" a="1"/>
  <c r="I1284" i="1"/>
  <c r="J1284" i="1"/>
  <c r="B1285" i="1"/>
  <c r="C1285" i="1"/>
  <c r="D1285" i="1"/>
  <c r="E1285" i="1"/>
  <c r="F1285" i="1"/>
  <c r="H1285" i="1"/>
  <c r="I1285" i="1" a="1"/>
  <c r="I1285" i="1"/>
  <c r="J1285" i="1"/>
  <c r="B1286" i="1"/>
  <c r="C1286" i="1"/>
  <c r="D1286" i="1"/>
  <c r="E1286" i="1"/>
  <c r="F1286" i="1"/>
  <c r="H1286" i="1"/>
  <c r="I1286" i="1" a="1"/>
  <c r="I1286" i="1"/>
  <c r="J1286" i="1"/>
  <c r="B1287" i="1"/>
  <c r="C1287" i="1"/>
  <c r="D1287" i="1"/>
  <c r="E1287" i="1"/>
  <c r="F1287" i="1"/>
  <c r="H1287" i="1"/>
  <c r="I1287" i="1" a="1"/>
  <c r="I1287" i="1"/>
  <c r="J1287" i="1"/>
  <c r="B1288" i="1"/>
  <c r="C1288" i="1"/>
  <c r="D1288" i="1"/>
  <c r="E1288" i="1"/>
  <c r="F1288" i="1"/>
  <c r="H1288" i="1"/>
  <c r="I1288" i="1" a="1"/>
  <c r="I1288" i="1"/>
  <c r="J1288" i="1"/>
  <c r="B1289" i="1"/>
  <c r="C1289" i="1"/>
  <c r="D1289" i="1"/>
  <c r="E1289" i="1"/>
  <c r="F1289" i="1"/>
  <c r="H1289" i="1"/>
  <c r="I1289" i="1" a="1"/>
  <c r="I1289" i="1"/>
  <c r="J1289" i="1"/>
  <c r="B1290" i="1"/>
  <c r="C1290" i="1"/>
  <c r="D1290" i="1"/>
  <c r="E1290" i="1"/>
  <c r="F1290" i="1"/>
  <c r="H1290" i="1"/>
  <c r="I1290" i="1" a="1"/>
  <c r="I1290" i="1"/>
  <c r="J1290" i="1"/>
  <c r="B1291" i="1"/>
  <c r="C1291" i="1"/>
  <c r="D1291" i="1"/>
  <c r="E1291" i="1"/>
  <c r="F1291" i="1"/>
  <c r="H1291" i="1"/>
  <c r="I1291" i="1" a="1"/>
  <c r="I1291" i="1"/>
  <c r="J1291" i="1"/>
  <c r="B1292" i="1"/>
  <c r="C1292" i="1"/>
  <c r="D1292" i="1"/>
  <c r="E1292" i="1"/>
  <c r="F1292" i="1"/>
  <c r="H1292" i="1"/>
  <c r="I1292" i="1" a="1"/>
  <c r="I1292" i="1"/>
  <c r="J1292" i="1"/>
  <c r="B1293" i="1"/>
  <c r="C1293" i="1"/>
  <c r="D1293" i="1"/>
  <c r="E1293" i="1"/>
  <c r="F1293" i="1"/>
  <c r="H1293" i="1"/>
  <c r="I1293" i="1" a="1"/>
  <c r="I1293" i="1"/>
  <c r="J1293" i="1"/>
  <c r="B1294" i="1"/>
  <c r="C1294" i="1"/>
  <c r="D1294" i="1"/>
  <c r="E1294" i="1"/>
  <c r="F1294" i="1"/>
  <c r="H1294" i="1"/>
  <c r="I1294" i="1" a="1"/>
  <c r="I1294" i="1"/>
  <c r="J1294" i="1"/>
  <c r="B1295" i="1"/>
  <c r="C1295" i="1"/>
  <c r="D1295" i="1"/>
  <c r="E1295" i="1"/>
  <c r="F1295" i="1"/>
  <c r="H1295" i="1"/>
  <c r="I1295" i="1" a="1"/>
  <c r="I1295" i="1"/>
  <c r="J1295" i="1"/>
  <c r="B1296" i="1"/>
  <c r="C1296" i="1"/>
  <c r="D1296" i="1"/>
  <c r="E1296" i="1"/>
  <c r="F1296" i="1"/>
  <c r="H1296" i="1"/>
  <c r="I1296" i="1" a="1"/>
  <c r="I1296" i="1"/>
  <c r="J1296" i="1"/>
  <c r="B1297" i="1"/>
  <c r="C1297" i="1"/>
  <c r="D1297" i="1"/>
  <c r="E1297" i="1"/>
  <c r="F1297" i="1"/>
  <c r="H1297" i="1"/>
  <c r="I1297" i="1" a="1"/>
  <c r="I1297" i="1"/>
  <c r="J1297" i="1"/>
  <c r="B1298" i="1"/>
  <c r="C1298" i="1"/>
  <c r="D1298" i="1"/>
  <c r="E1298" i="1"/>
  <c r="F1298" i="1"/>
  <c r="H1298" i="1"/>
  <c r="I1298" i="1" a="1"/>
  <c r="I1298" i="1"/>
  <c r="J1298" i="1"/>
  <c r="B1299" i="1"/>
  <c r="C1299" i="1"/>
  <c r="D1299" i="1"/>
  <c r="E1299" i="1"/>
  <c r="F1299" i="1"/>
  <c r="H1299" i="1"/>
  <c r="I1299" i="1" a="1"/>
  <c r="I1299" i="1"/>
  <c r="J1299" i="1"/>
  <c r="B1300" i="1"/>
  <c r="C1300" i="1"/>
  <c r="D1300" i="1"/>
  <c r="E1300" i="1"/>
  <c r="F1300" i="1"/>
  <c r="H1300" i="1"/>
  <c r="I1300" i="1" a="1"/>
  <c r="I1300" i="1"/>
  <c r="J1300" i="1"/>
  <c r="B1301" i="1"/>
  <c r="C1301" i="1"/>
  <c r="D1301" i="1"/>
  <c r="E1301" i="1"/>
  <c r="F1301" i="1"/>
  <c r="H1301" i="1"/>
  <c r="I1301" i="1" a="1"/>
  <c r="I1301" i="1"/>
  <c r="J1301" i="1"/>
  <c r="B1302" i="1"/>
  <c r="C1302" i="1"/>
  <c r="D1302" i="1"/>
  <c r="E1302" i="1"/>
  <c r="F1302" i="1"/>
  <c r="H1302" i="1"/>
  <c r="I1302" i="1" a="1"/>
  <c r="I1302" i="1"/>
  <c r="J1302" i="1"/>
  <c r="B1303" i="1"/>
  <c r="C1303" i="1"/>
  <c r="D1303" i="1"/>
  <c r="E1303" i="1"/>
  <c r="F1303" i="1"/>
  <c r="H1303" i="1"/>
  <c r="I1303" i="1" a="1"/>
  <c r="I1303" i="1"/>
  <c r="J1303" i="1"/>
  <c r="B1304" i="1"/>
  <c r="C1304" i="1"/>
  <c r="D1304" i="1"/>
  <c r="E1304" i="1"/>
  <c r="F1304" i="1"/>
  <c r="H1304" i="1"/>
  <c r="I1304" i="1" a="1"/>
  <c r="I1304" i="1"/>
  <c r="J1304" i="1"/>
  <c r="B1305" i="1"/>
  <c r="C1305" i="1"/>
  <c r="D1305" i="1"/>
  <c r="E1305" i="1"/>
  <c r="F1305" i="1"/>
  <c r="H1305" i="1"/>
  <c r="I1305" i="1" a="1"/>
  <c r="I1305" i="1"/>
  <c r="J1305" i="1"/>
  <c r="B1306" i="1"/>
  <c r="C1306" i="1"/>
  <c r="D1306" i="1"/>
  <c r="E1306" i="1"/>
  <c r="F1306" i="1"/>
  <c r="H1306" i="1"/>
  <c r="I1306" i="1" a="1"/>
  <c r="I1306" i="1"/>
  <c r="J1306" i="1"/>
  <c r="B1307" i="1"/>
  <c r="C1307" i="1"/>
  <c r="D1307" i="1"/>
  <c r="E1307" i="1"/>
  <c r="F1307" i="1"/>
  <c r="H1307" i="1"/>
  <c r="I1307" i="1" a="1"/>
  <c r="I1307" i="1"/>
  <c r="J1307" i="1"/>
  <c r="B1308" i="1"/>
  <c r="C1308" i="1"/>
  <c r="D1308" i="1"/>
  <c r="E1308" i="1"/>
  <c r="F1308" i="1"/>
  <c r="H1308" i="1"/>
  <c r="I1308" i="1" a="1"/>
  <c r="I1308" i="1"/>
  <c r="J1308" i="1"/>
  <c r="B1309" i="1"/>
  <c r="C1309" i="1"/>
  <c r="D1309" i="1"/>
  <c r="E1309" i="1"/>
  <c r="F1309" i="1"/>
  <c r="H1309" i="1"/>
  <c r="I1309" i="1" a="1"/>
  <c r="I1309" i="1"/>
  <c r="J1309" i="1"/>
  <c r="B1310" i="1"/>
  <c r="C1310" i="1"/>
  <c r="D1310" i="1"/>
  <c r="E1310" i="1"/>
  <c r="F1310" i="1"/>
  <c r="H1310" i="1"/>
  <c r="I1310" i="1" a="1"/>
  <c r="I1310" i="1"/>
  <c r="J1310" i="1"/>
  <c r="B1311" i="1"/>
  <c r="C1311" i="1"/>
  <c r="D1311" i="1"/>
  <c r="E1311" i="1"/>
  <c r="F1311" i="1"/>
  <c r="H1311" i="1"/>
  <c r="I1311" i="1" a="1"/>
  <c r="I1311" i="1"/>
  <c r="J1311" i="1"/>
  <c r="B1312" i="1"/>
  <c r="C1312" i="1"/>
  <c r="D1312" i="1"/>
  <c r="E1312" i="1"/>
  <c r="F1312" i="1"/>
  <c r="H1312" i="1"/>
  <c r="I1312" i="1" a="1"/>
  <c r="I1312" i="1"/>
  <c r="J1312" i="1"/>
  <c r="B1313" i="1"/>
  <c r="C1313" i="1"/>
  <c r="D1313" i="1"/>
  <c r="E1313" i="1"/>
  <c r="F1313" i="1"/>
  <c r="H1313" i="1"/>
  <c r="I1313" i="1" a="1"/>
  <c r="I1313" i="1"/>
  <c r="J1313" i="1"/>
  <c r="B1314" i="1"/>
  <c r="C1314" i="1"/>
  <c r="D1314" i="1"/>
  <c r="E1314" i="1"/>
  <c r="F1314" i="1"/>
  <c r="H1314" i="1"/>
  <c r="I1314" i="1" a="1"/>
  <c r="I1314" i="1"/>
  <c r="J1314" i="1"/>
  <c r="B1315" i="1"/>
  <c r="C1315" i="1"/>
  <c r="D1315" i="1"/>
  <c r="E1315" i="1"/>
  <c r="F1315" i="1"/>
  <c r="H1315" i="1"/>
  <c r="I1315" i="1" a="1"/>
  <c r="I1315" i="1"/>
  <c r="J1315" i="1"/>
  <c r="B1316" i="1"/>
  <c r="C1316" i="1"/>
  <c r="D1316" i="1"/>
  <c r="E1316" i="1"/>
  <c r="F1316" i="1"/>
  <c r="H1316" i="1"/>
  <c r="I1316" i="1" a="1"/>
  <c r="I1316" i="1"/>
  <c r="J1316" i="1"/>
  <c r="B1317" i="1"/>
  <c r="C1317" i="1"/>
  <c r="D1317" i="1"/>
  <c r="E1317" i="1"/>
  <c r="F1317" i="1"/>
  <c r="H1317" i="1"/>
  <c r="I1317" i="1" a="1"/>
  <c r="I1317" i="1"/>
  <c r="J1317" i="1"/>
  <c r="B1318" i="1"/>
  <c r="C1318" i="1"/>
  <c r="D1318" i="1"/>
  <c r="E1318" i="1"/>
  <c r="F1318" i="1"/>
  <c r="H1318" i="1"/>
  <c r="I1318" i="1" a="1"/>
  <c r="I1318" i="1"/>
  <c r="J1318" i="1"/>
  <c r="B1319" i="1"/>
  <c r="C1319" i="1"/>
  <c r="D1319" i="1"/>
  <c r="E1319" i="1"/>
  <c r="F1319" i="1"/>
  <c r="H1319" i="1"/>
  <c r="I1319" i="1" a="1"/>
  <c r="I1319" i="1"/>
  <c r="J1319" i="1"/>
  <c r="B1320" i="1"/>
  <c r="C1320" i="1"/>
  <c r="D1320" i="1"/>
  <c r="E1320" i="1"/>
  <c r="F1320" i="1"/>
  <c r="H1320" i="1"/>
  <c r="I1320" i="1" a="1"/>
  <c r="I1320" i="1"/>
  <c r="J1320" i="1"/>
  <c r="B1321" i="1"/>
  <c r="C1321" i="1"/>
  <c r="D1321" i="1"/>
  <c r="E1321" i="1"/>
  <c r="F1321" i="1"/>
  <c r="H1321" i="1"/>
  <c r="I1321" i="1" a="1"/>
  <c r="I1321" i="1"/>
  <c r="J1321" i="1"/>
  <c r="B1322" i="1"/>
  <c r="C1322" i="1"/>
  <c r="D1322" i="1"/>
  <c r="E1322" i="1"/>
  <c r="F1322" i="1"/>
  <c r="H1322" i="1"/>
  <c r="I1322" i="1" a="1"/>
  <c r="I1322" i="1"/>
  <c r="J1322" i="1"/>
  <c r="B1323" i="1"/>
  <c r="C1323" i="1"/>
  <c r="D1323" i="1"/>
  <c r="E1323" i="1"/>
  <c r="F1323" i="1"/>
  <c r="H1323" i="1"/>
  <c r="I1323" i="1" a="1"/>
  <c r="I1323" i="1"/>
  <c r="J1323" i="1"/>
  <c r="B1324" i="1"/>
  <c r="C1324" i="1"/>
  <c r="D1324" i="1"/>
  <c r="E1324" i="1"/>
  <c r="F1324" i="1"/>
  <c r="H1324" i="1"/>
  <c r="I1324" i="1" a="1"/>
  <c r="I1324" i="1"/>
  <c r="J1324" i="1"/>
  <c r="B1325" i="1"/>
  <c r="C1325" i="1"/>
  <c r="D1325" i="1"/>
  <c r="E1325" i="1"/>
  <c r="F1325" i="1"/>
  <c r="H1325" i="1"/>
  <c r="I1325" i="1" a="1"/>
  <c r="I1325" i="1"/>
  <c r="J1325" i="1"/>
  <c r="B1326" i="1"/>
  <c r="C1326" i="1"/>
  <c r="D1326" i="1"/>
  <c r="E1326" i="1"/>
  <c r="F1326" i="1"/>
  <c r="H1326" i="1"/>
  <c r="I1326" i="1" a="1"/>
  <c r="I1326" i="1"/>
  <c r="J1326" i="1"/>
  <c r="B1327" i="1"/>
  <c r="C1327" i="1"/>
  <c r="D1327" i="1"/>
  <c r="E1327" i="1"/>
  <c r="F1327" i="1"/>
  <c r="H1327" i="1"/>
  <c r="I1327" i="1" a="1"/>
  <c r="I1327" i="1"/>
  <c r="J1327" i="1"/>
  <c r="B1328" i="1"/>
  <c r="C1328" i="1"/>
  <c r="D1328" i="1"/>
  <c r="E1328" i="1"/>
  <c r="F1328" i="1"/>
  <c r="H1328" i="1"/>
  <c r="I1328" i="1" a="1"/>
  <c r="I1328" i="1"/>
  <c r="J1328" i="1"/>
  <c r="B1329" i="1"/>
  <c r="C1329" i="1"/>
  <c r="D1329" i="1"/>
  <c r="E1329" i="1"/>
  <c r="F1329" i="1"/>
  <c r="H1329" i="1"/>
  <c r="I1329" i="1" a="1"/>
  <c r="I1329" i="1"/>
  <c r="J1329" i="1"/>
  <c r="B1330" i="1"/>
  <c r="C1330" i="1"/>
  <c r="D1330" i="1"/>
  <c r="E1330" i="1"/>
  <c r="F1330" i="1"/>
  <c r="H1330" i="1"/>
  <c r="I1330" i="1" a="1"/>
  <c r="I1330" i="1"/>
  <c r="J1330" i="1"/>
  <c r="B1331" i="1"/>
  <c r="C1331" i="1"/>
  <c r="D1331" i="1"/>
  <c r="E1331" i="1"/>
  <c r="F1331" i="1"/>
  <c r="H1331" i="1"/>
  <c r="I1331" i="1" a="1"/>
  <c r="I1331" i="1"/>
  <c r="J1331" i="1"/>
  <c r="B1332" i="1"/>
  <c r="C1332" i="1"/>
  <c r="D1332" i="1"/>
  <c r="E1332" i="1"/>
  <c r="F1332" i="1"/>
  <c r="H1332" i="1"/>
  <c r="I1332" i="1" a="1"/>
  <c r="I1332" i="1"/>
  <c r="J1332" i="1"/>
  <c r="B1333" i="1"/>
  <c r="C1333" i="1"/>
  <c r="D1333" i="1"/>
  <c r="E1333" i="1"/>
  <c r="F1333" i="1"/>
  <c r="H1333" i="1"/>
  <c r="I1333" i="1" a="1"/>
  <c r="I1333" i="1"/>
  <c r="J1333" i="1"/>
  <c r="B1334" i="1"/>
  <c r="C1334" i="1"/>
  <c r="D1334" i="1"/>
  <c r="E1334" i="1"/>
  <c r="F1334" i="1"/>
  <c r="H1334" i="1"/>
  <c r="I1334" i="1" a="1"/>
  <c r="I1334" i="1"/>
  <c r="J1334" i="1"/>
  <c r="B1335" i="1"/>
  <c r="C1335" i="1"/>
  <c r="D1335" i="1"/>
  <c r="E1335" i="1"/>
  <c r="F1335" i="1"/>
  <c r="H1335" i="1"/>
  <c r="I1335" i="1" a="1"/>
  <c r="I1335" i="1"/>
  <c r="J1335" i="1"/>
  <c r="B1336" i="1"/>
  <c r="C1336" i="1"/>
  <c r="D1336" i="1"/>
  <c r="E1336" i="1"/>
  <c r="F1336" i="1"/>
  <c r="H1336" i="1"/>
  <c r="I1336" i="1" a="1"/>
  <c r="I1336" i="1"/>
  <c r="J1336" i="1"/>
  <c r="B1337" i="1"/>
  <c r="C1337" i="1"/>
  <c r="D1337" i="1"/>
  <c r="E1337" i="1"/>
  <c r="F1337" i="1"/>
  <c r="H1337" i="1"/>
  <c r="I1337" i="1" a="1"/>
  <c r="I1337" i="1"/>
  <c r="J1337" i="1"/>
  <c r="B1338" i="1"/>
  <c r="C1338" i="1"/>
  <c r="D1338" i="1"/>
  <c r="E1338" i="1"/>
  <c r="F1338" i="1"/>
  <c r="H1338" i="1"/>
  <c r="I1338" i="1" a="1"/>
  <c r="I1338" i="1"/>
  <c r="J1338" i="1"/>
  <c r="B1339" i="1"/>
  <c r="C1339" i="1"/>
  <c r="D1339" i="1"/>
  <c r="E1339" i="1"/>
  <c r="F1339" i="1"/>
  <c r="H1339" i="1"/>
  <c r="I1339" i="1" a="1"/>
  <c r="I1339" i="1"/>
  <c r="J1339" i="1"/>
  <c r="B1340" i="1"/>
  <c r="C1340" i="1"/>
  <c r="D1340" i="1"/>
  <c r="E1340" i="1"/>
  <c r="F1340" i="1"/>
  <c r="H1340" i="1"/>
  <c r="I1340" i="1" a="1"/>
  <c r="I1340" i="1"/>
  <c r="J1340" i="1"/>
  <c r="B1341" i="1"/>
  <c r="C1341" i="1"/>
  <c r="D1341" i="1"/>
  <c r="E1341" i="1"/>
  <c r="F1341" i="1"/>
  <c r="H1341" i="1"/>
  <c r="I1341" i="1" a="1"/>
  <c r="I1341" i="1"/>
  <c r="J1341" i="1"/>
  <c r="B1342" i="1"/>
  <c r="C1342" i="1"/>
  <c r="D1342" i="1"/>
  <c r="E1342" i="1"/>
  <c r="F1342" i="1"/>
  <c r="H1342" i="1"/>
  <c r="I1342" i="1" a="1"/>
  <c r="I1342" i="1"/>
  <c r="J1342" i="1"/>
  <c r="B1343" i="1"/>
  <c r="C1343" i="1"/>
  <c r="D1343" i="1"/>
  <c r="E1343" i="1"/>
  <c r="F1343" i="1"/>
  <c r="H1343" i="1"/>
  <c r="I1343" i="1" a="1"/>
  <c r="I1343" i="1"/>
  <c r="J1343" i="1"/>
  <c r="B1344" i="1"/>
  <c r="C1344" i="1"/>
  <c r="D1344" i="1"/>
  <c r="E1344" i="1"/>
  <c r="F1344" i="1"/>
  <c r="H1344" i="1"/>
  <c r="I1344" i="1" a="1"/>
  <c r="I1344" i="1"/>
  <c r="J1344" i="1"/>
  <c r="B1345" i="1"/>
  <c r="C1345" i="1"/>
  <c r="D1345" i="1"/>
  <c r="E1345" i="1"/>
  <c r="F1345" i="1"/>
  <c r="H1345" i="1"/>
  <c r="I1345" i="1" a="1"/>
  <c r="I1345" i="1"/>
  <c r="J1345" i="1"/>
  <c r="B1346" i="1"/>
  <c r="C1346" i="1"/>
  <c r="D1346" i="1"/>
  <c r="E1346" i="1"/>
  <c r="F1346" i="1"/>
  <c r="H1346" i="1"/>
  <c r="I1346" i="1" a="1"/>
  <c r="I1346" i="1"/>
  <c r="J1346" i="1"/>
  <c r="B1347" i="1"/>
  <c r="C1347" i="1"/>
  <c r="D1347" i="1"/>
  <c r="E1347" i="1"/>
  <c r="F1347" i="1"/>
  <c r="H1347" i="1"/>
  <c r="I1347" i="1" a="1"/>
  <c r="I1347" i="1"/>
  <c r="J1347" i="1"/>
  <c r="B1348" i="1"/>
  <c r="C1348" i="1"/>
  <c r="D1348" i="1"/>
  <c r="E1348" i="1"/>
  <c r="F1348" i="1"/>
  <c r="H1348" i="1"/>
  <c r="I1348" i="1" a="1"/>
  <c r="I1348" i="1"/>
  <c r="J1348" i="1"/>
  <c r="B1349" i="1"/>
  <c r="C1349" i="1"/>
  <c r="D1349" i="1"/>
  <c r="E1349" i="1"/>
  <c r="F1349" i="1"/>
  <c r="H1349" i="1"/>
  <c r="I1349" i="1" a="1"/>
  <c r="I1349" i="1"/>
  <c r="J1349" i="1"/>
  <c r="B1350" i="1"/>
  <c r="C1350" i="1"/>
  <c r="D1350" i="1"/>
  <c r="E1350" i="1"/>
  <c r="F1350" i="1"/>
  <c r="H1350" i="1"/>
  <c r="I1350" i="1" a="1"/>
  <c r="I1350" i="1"/>
  <c r="J1350" i="1"/>
  <c r="B1351" i="1"/>
  <c r="C1351" i="1"/>
  <c r="D1351" i="1"/>
  <c r="E1351" i="1"/>
  <c r="F1351" i="1"/>
  <c r="H1351" i="1"/>
  <c r="I1351" i="1" a="1"/>
  <c r="I1351" i="1"/>
  <c r="J1351" i="1"/>
  <c r="B1352" i="1"/>
  <c r="C1352" i="1"/>
  <c r="D1352" i="1"/>
  <c r="E1352" i="1"/>
  <c r="F1352" i="1"/>
  <c r="H1352" i="1"/>
  <c r="I1352" i="1" a="1"/>
  <c r="I1352" i="1"/>
  <c r="J1352" i="1"/>
  <c r="B1353" i="1"/>
  <c r="C1353" i="1"/>
  <c r="D1353" i="1"/>
  <c r="E1353" i="1"/>
  <c r="F1353" i="1"/>
  <c r="H1353" i="1"/>
  <c r="I1353" i="1" a="1"/>
  <c r="I1353" i="1"/>
  <c r="J1353" i="1"/>
  <c r="B1354" i="1"/>
  <c r="C1354" i="1"/>
  <c r="D1354" i="1"/>
  <c r="E1354" i="1"/>
  <c r="F1354" i="1"/>
  <c r="H1354" i="1"/>
  <c r="I1354" i="1" a="1"/>
  <c r="I1354" i="1"/>
  <c r="J1354" i="1"/>
  <c r="B1355" i="1"/>
  <c r="C1355" i="1"/>
  <c r="D1355" i="1"/>
  <c r="E1355" i="1"/>
  <c r="F1355" i="1"/>
  <c r="H1355" i="1"/>
  <c r="I1355" i="1" a="1"/>
  <c r="I1355" i="1"/>
  <c r="J1355" i="1"/>
  <c r="B1356" i="1"/>
  <c r="C1356" i="1"/>
  <c r="D1356" i="1"/>
  <c r="E1356" i="1"/>
  <c r="F1356" i="1"/>
  <c r="H1356" i="1"/>
  <c r="I1356" i="1" a="1"/>
  <c r="I1356" i="1"/>
  <c r="J1356" i="1"/>
  <c r="B1357" i="1"/>
  <c r="C1357" i="1"/>
  <c r="D1357" i="1"/>
  <c r="E1357" i="1"/>
  <c r="F1357" i="1"/>
  <c r="H1357" i="1"/>
  <c r="I1357" i="1" a="1"/>
  <c r="I1357" i="1"/>
  <c r="J1357" i="1"/>
  <c r="B1358" i="1"/>
  <c r="C1358" i="1"/>
  <c r="D1358" i="1"/>
  <c r="E1358" i="1"/>
  <c r="F1358" i="1"/>
  <c r="H1358" i="1"/>
  <c r="I1358" i="1" a="1"/>
  <c r="I1358" i="1"/>
  <c r="J1358" i="1"/>
  <c r="B1359" i="1"/>
  <c r="C1359" i="1"/>
  <c r="D1359" i="1"/>
  <c r="E1359" i="1"/>
  <c r="F1359" i="1"/>
  <c r="H1359" i="1"/>
  <c r="I1359" i="1" a="1"/>
  <c r="I1359" i="1"/>
  <c r="J1359" i="1"/>
  <c r="B1360" i="1"/>
  <c r="C1360" i="1"/>
  <c r="D1360" i="1"/>
  <c r="E1360" i="1"/>
  <c r="F1360" i="1"/>
  <c r="H1360" i="1"/>
  <c r="I1360" i="1" a="1"/>
  <c r="I1360" i="1"/>
  <c r="J1360" i="1"/>
  <c r="B1361" i="1"/>
  <c r="C1361" i="1"/>
  <c r="D1361" i="1"/>
  <c r="E1361" i="1"/>
  <c r="F1361" i="1"/>
  <c r="H1361" i="1"/>
  <c r="I1361" i="1" a="1"/>
  <c r="I1361" i="1"/>
  <c r="J1361" i="1"/>
  <c r="B1362" i="1"/>
  <c r="C1362" i="1"/>
  <c r="D1362" i="1"/>
  <c r="E1362" i="1"/>
  <c r="F1362" i="1"/>
  <c r="H1362" i="1"/>
  <c r="I1362" i="1" a="1"/>
  <c r="I1362" i="1"/>
  <c r="J1362" i="1"/>
  <c r="B1363" i="1"/>
  <c r="C1363" i="1"/>
  <c r="D1363" i="1"/>
  <c r="E1363" i="1"/>
  <c r="F1363" i="1"/>
  <c r="H1363" i="1"/>
  <c r="I1363" i="1" a="1"/>
  <c r="I1363" i="1"/>
  <c r="J1363" i="1"/>
  <c r="B1364" i="1"/>
  <c r="C1364" i="1"/>
  <c r="D1364" i="1"/>
  <c r="E1364" i="1"/>
  <c r="F1364" i="1"/>
  <c r="H1364" i="1"/>
  <c r="I1364" i="1" a="1"/>
  <c r="I1364" i="1"/>
  <c r="J1364" i="1"/>
  <c r="B1365" i="1"/>
  <c r="C1365" i="1"/>
  <c r="D1365" i="1"/>
  <c r="E1365" i="1"/>
  <c r="F1365" i="1"/>
  <c r="H1365" i="1"/>
  <c r="I1365" i="1" a="1"/>
  <c r="I1365" i="1"/>
  <c r="J1365" i="1"/>
  <c r="B1366" i="1"/>
  <c r="C1366" i="1"/>
  <c r="D1366" i="1"/>
  <c r="E1366" i="1"/>
  <c r="F1366" i="1"/>
  <c r="H1366" i="1"/>
  <c r="I1366" i="1" a="1"/>
  <c r="I1366" i="1"/>
  <c r="J1366" i="1"/>
  <c r="B1367" i="1"/>
  <c r="C1367" i="1"/>
  <c r="D1367" i="1"/>
  <c r="E1367" i="1"/>
  <c r="F1367" i="1"/>
  <c r="H1367" i="1"/>
  <c r="I1367" i="1" a="1"/>
  <c r="I1367" i="1"/>
  <c r="J1367" i="1"/>
  <c r="B1368" i="1"/>
  <c r="C1368" i="1"/>
  <c r="D1368" i="1"/>
  <c r="E1368" i="1"/>
  <c r="F1368" i="1"/>
  <c r="H1368" i="1"/>
  <c r="I1368" i="1" a="1"/>
  <c r="I1368" i="1"/>
  <c r="J1368" i="1"/>
  <c r="B1369" i="1"/>
  <c r="C1369" i="1"/>
  <c r="D1369" i="1"/>
  <c r="E1369" i="1"/>
  <c r="F1369" i="1"/>
  <c r="H1369" i="1"/>
  <c r="I1369" i="1" a="1"/>
  <c r="I1369" i="1"/>
  <c r="J1369" i="1"/>
  <c r="B1370" i="1"/>
  <c r="C1370" i="1"/>
  <c r="D1370" i="1"/>
  <c r="E1370" i="1"/>
  <c r="F1370" i="1"/>
  <c r="H1370" i="1"/>
  <c r="I1370" i="1" a="1"/>
  <c r="I1370" i="1"/>
  <c r="J1370" i="1"/>
  <c r="B1371" i="1"/>
  <c r="C1371" i="1"/>
  <c r="D1371" i="1"/>
  <c r="E1371" i="1"/>
  <c r="F1371" i="1"/>
  <c r="H1371" i="1"/>
  <c r="I1371" i="1" a="1"/>
  <c r="I1371" i="1"/>
  <c r="J1371" i="1"/>
  <c r="B1372" i="1"/>
  <c r="C1372" i="1"/>
  <c r="D1372" i="1"/>
  <c r="E1372" i="1"/>
  <c r="F1372" i="1"/>
  <c r="H1372" i="1"/>
  <c r="I1372" i="1" a="1"/>
  <c r="I1372" i="1"/>
  <c r="J1372" i="1"/>
  <c r="B1373" i="1"/>
  <c r="C1373" i="1"/>
  <c r="D1373" i="1"/>
  <c r="E1373" i="1"/>
  <c r="F1373" i="1"/>
  <c r="H1373" i="1"/>
  <c r="I1373" i="1" a="1"/>
  <c r="I1373" i="1"/>
  <c r="J1373" i="1"/>
  <c r="B1374" i="1"/>
  <c r="C1374" i="1"/>
  <c r="D1374" i="1"/>
  <c r="E1374" i="1"/>
  <c r="F1374" i="1"/>
  <c r="H1374" i="1"/>
  <c r="I1374" i="1" a="1"/>
  <c r="I1374" i="1"/>
  <c r="J1374" i="1"/>
  <c r="B1375" i="1"/>
  <c r="C1375" i="1"/>
  <c r="D1375" i="1"/>
  <c r="E1375" i="1"/>
  <c r="F1375" i="1"/>
  <c r="H1375" i="1"/>
  <c r="I1375" i="1" a="1"/>
  <c r="I1375" i="1"/>
  <c r="J1375" i="1"/>
  <c r="B1376" i="1"/>
  <c r="C1376" i="1"/>
  <c r="D1376" i="1"/>
  <c r="E1376" i="1"/>
  <c r="F1376" i="1"/>
  <c r="H1376" i="1"/>
  <c r="I1376" i="1" a="1"/>
  <c r="I1376" i="1"/>
  <c r="J1376" i="1"/>
  <c r="B1377" i="1"/>
  <c r="C1377" i="1"/>
  <c r="D1377" i="1"/>
  <c r="E1377" i="1"/>
  <c r="F1377" i="1"/>
  <c r="H1377" i="1"/>
  <c r="I1377" i="1" a="1"/>
  <c r="I1377" i="1"/>
  <c r="J1377" i="1"/>
  <c r="B1378" i="1"/>
  <c r="C1378" i="1"/>
  <c r="D1378" i="1"/>
  <c r="E1378" i="1"/>
  <c r="F1378" i="1"/>
  <c r="H1378" i="1"/>
  <c r="I1378" i="1" a="1"/>
  <c r="I1378" i="1"/>
  <c r="J1378" i="1"/>
  <c r="B1379" i="1"/>
  <c r="C1379" i="1"/>
  <c r="D1379" i="1"/>
  <c r="E1379" i="1"/>
  <c r="F1379" i="1"/>
  <c r="H1379" i="1"/>
  <c r="I1379" i="1" a="1"/>
  <c r="I1379" i="1"/>
  <c r="J1379" i="1"/>
  <c r="B1380" i="1"/>
  <c r="C1380" i="1"/>
  <c r="D1380" i="1"/>
  <c r="E1380" i="1"/>
  <c r="F1380" i="1"/>
  <c r="H1380" i="1"/>
  <c r="I1380" i="1" a="1"/>
  <c r="I1380" i="1"/>
  <c r="J1380" i="1"/>
  <c r="B1381" i="1"/>
  <c r="C1381" i="1"/>
  <c r="D1381" i="1"/>
  <c r="E1381" i="1"/>
  <c r="F1381" i="1"/>
  <c r="H1381" i="1"/>
  <c r="I1381" i="1" a="1"/>
  <c r="I1381" i="1"/>
  <c r="J1381" i="1"/>
  <c r="B1382" i="1"/>
  <c r="C1382" i="1"/>
  <c r="D1382" i="1"/>
  <c r="E1382" i="1"/>
  <c r="F1382" i="1"/>
  <c r="H1382" i="1"/>
  <c r="I1382" i="1" a="1"/>
  <c r="I1382" i="1"/>
  <c r="J1382" i="1"/>
  <c r="B1383" i="1"/>
  <c r="C1383" i="1"/>
  <c r="D1383" i="1"/>
  <c r="E1383" i="1"/>
  <c r="F1383" i="1"/>
  <c r="H1383" i="1"/>
  <c r="I1383" i="1" a="1"/>
  <c r="I1383" i="1"/>
  <c r="J1383" i="1"/>
  <c r="B1384" i="1"/>
  <c r="C1384" i="1"/>
  <c r="D1384" i="1"/>
  <c r="E1384" i="1"/>
  <c r="F1384" i="1"/>
  <c r="H1384" i="1"/>
  <c r="I1384" i="1" a="1"/>
  <c r="I1384" i="1"/>
  <c r="J1384" i="1"/>
  <c r="B1385" i="1"/>
  <c r="C1385" i="1"/>
  <c r="D1385" i="1"/>
  <c r="E1385" i="1"/>
  <c r="F1385" i="1"/>
  <c r="H1385" i="1"/>
  <c r="I1385" i="1" a="1"/>
  <c r="I1385" i="1"/>
  <c r="J1385" i="1"/>
  <c r="B1386" i="1"/>
  <c r="C1386" i="1"/>
  <c r="D1386" i="1"/>
  <c r="E1386" i="1"/>
  <c r="F1386" i="1"/>
  <c r="H1386" i="1"/>
  <c r="I1386" i="1" a="1"/>
  <c r="I1386" i="1"/>
  <c r="J1386" i="1"/>
  <c r="B1387" i="1"/>
  <c r="C1387" i="1"/>
  <c r="D1387" i="1"/>
  <c r="E1387" i="1"/>
  <c r="F1387" i="1"/>
  <c r="H1387" i="1"/>
  <c r="I1387" i="1" a="1"/>
  <c r="I1387" i="1"/>
  <c r="J1387" i="1"/>
  <c r="B1388" i="1"/>
  <c r="C1388" i="1"/>
  <c r="D1388" i="1"/>
  <c r="E1388" i="1"/>
  <c r="F1388" i="1"/>
  <c r="H1388" i="1"/>
  <c r="I1388" i="1" a="1"/>
  <c r="I1388" i="1"/>
  <c r="J1388" i="1"/>
  <c r="B1389" i="1"/>
  <c r="C1389" i="1"/>
  <c r="D1389" i="1"/>
  <c r="E1389" i="1"/>
  <c r="F1389" i="1"/>
  <c r="H1389" i="1"/>
  <c r="I1389" i="1" a="1"/>
  <c r="I1389" i="1"/>
  <c r="J1389" i="1"/>
  <c r="B1390" i="1"/>
  <c r="C1390" i="1"/>
  <c r="D1390" i="1"/>
  <c r="E1390" i="1"/>
  <c r="F1390" i="1"/>
  <c r="H1390" i="1"/>
  <c r="I1390" i="1" a="1"/>
  <c r="I1390" i="1"/>
  <c r="J1390" i="1"/>
  <c r="B1391" i="1"/>
  <c r="C1391" i="1"/>
  <c r="D1391" i="1"/>
  <c r="E1391" i="1"/>
  <c r="F1391" i="1"/>
  <c r="H1391" i="1"/>
  <c r="I1391" i="1" a="1"/>
  <c r="I1391" i="1"/>
  <c r="J1391" i="1"/>
  <c r="B1392" i="1"/>
  <c r="C1392" i="1"/>
  <c r="D1392" i="1"/>
  <c r="E1392" i="1"/>
  <c r="F1392" i="1"/>
  <c r="H1392" i="1"/>
  <c r="I1392" i="1" a="1"/>
  <c r="I1392" i="1"/>
  <c r="J1392" i="1"/>
  <c r="B1393" i="1"/>
  <c r="C1393" i="1"/>
  <c r="D1393" i="1"/>
  <c r="E1393" i="1"/>
  <c r="F1393" i="1"/>
  <c r="H1393" i="1"/>
  <c r="I1393" i="1" a="1"/>
  <c r="I1393" i="1"/>
  <c r="J1393" i="1"/>
  <c r="B1394" i="1"/>
  <c r="C1394" i="1"/>
  <c r="D1394" i="1"/>
  <c r="E1394" i="1"/>
  <c r="F1394" i="1"/>
  <c r="H1394" i="1"/>
  <c r="I1394" i="1" a="1"/>
  <c r="I1394" i="1"/>
  <c r="J1394" i="1"/>
  <c r="B1395" i="1"/>
  <c r="C1395" i="1"/>
  <c r="D1395" i="1"/>
  <c r="E1395" i="1"/>
  <c r="F1395" i="1"/>
  <c r="H1395" i="1"/>
  <c r="I1395" i="1" a="1"/>
  <c r="I1395" i="1"/>
  <c r="J1395" i="1"/>
  <c r="B1396" i="1"/>
  <c r="C1396" i="1"/>
  <c r="D1396" i="1"/>
  <c r="E1396" i="1"/>
  <c r="F1396" i="1"/>
  <c r="H1396" i="1"/>
  <c r="I1396" i="1" a="1"/>
  <c r="I1396" i="1"/>
  <c r="J1396" i="1"/>
  <c r="B1397" i="1"/>
  <c r="C1397" i="1"/>
  <c r="D1397" i="1"/>
  <c r="E1397" i="1"/>
  <c r="F1397" i="1"/>
  <c r="H1397" i="1"/>
  <c r="I1397" i="1" a="1"/>
  <c r="I1397" i="1"/>
  <c r="J1397" i="1"/>
  <c r="B1398" i="1"/>
  <c r="C1398" i="1"/>
  <c r="D1398" i="1"/>
  <c r="E1398" i="1"/>
  <c r="F1398" i="1"/>
  <c r="H1398" i="1"/>
  <c r="I1398" i="1" a="1"/>
  <c r="I1398" i="1"/>
  <c r="J1398" i="1"/>
  <c r="B1399" i="1"/>
  <c r="C1399" i="1"/>
  <c r="D1399" i="1"/>
  <c r="E1399" i="1"/>
  <c r="F1399" i="1"/>
  <c r="H1399" i="1"/>
  <c r="I1399" i="1" a="1"/>
  <c r="I1399" i="1"/>
  <c r="J1399" i="1"/>
  <c r="B1400" i="1"/>
  <c r="C1400" i="1"/>
  <c r="D1400" i="1"/>
  <c r="E1400" i="1"/>
  <c r="F1400" i="1"/>
  <c r="H1400" i="1"/>
  <c r="I1400" i="1" a="1"/>
  <c r="I1400" i="1"/>
  <c r="J1400" i="1"/>
  <c r="B1401" i="1"/>
  <c r="C1401" i="1"/>
  <c r="D1401" i="1"/>
  <c r="E1401" i="1"/>
  <c r="F1401" i="1"/>
  <c r="H1401" i="1"/>
  <c r="I1401" i="1" a="1"/>
  <c r="I1401" i="1"/>
  <c r="J1401" i="1"/>
  <c r="B1402" i="1"/>
  <c r="C1402" i="1"/>
  <c r="D1402" i="1"/>
  <c r="E1402" i="1"/>
  <c r="F1402" i="1"/>
  <c r="H1402" i="1"/>
  <c r="I1402" i="1" a="1"/>
  <c r="I1402" i="1"/>
  <c r="J1402" i="1"/>
  <c r="B1403" i="1"/>
  <c r="C1403" i="1"/>
  <c r="D1403" i="1"/>
  <c r="E1403" i="1"/>
  <c r="F1403" i="1"/>
  <c r="H1403" i="1"/>
  <c r="I1403" i="1" a="1"/>
  <c r="I1403" i="1"/>
  <c r="J1403" i="1"/>
  <c r="B1404" i="1"/>
  <c r="C1404" i="1"/>
  <c r="D1404" i="1"/>
  <c r="E1404" i="1"/>
  <c r="F1404" i="1"/>
  <c r="H1404" i="1"/>
  <c r="I1404" i="1" a="1"/>
  <c r="I1404" i="1"/>
  <c r="J1404" i="1"/>
  <c r="B1405" i="1"/>
  <c r="C1405" i="1"/>
  <c r="D1405" i="1"/>
  <c r="E1405" i="1"/>
  <c r="F1405" i="1"/>
  <c r="H1405" i="1"/>
  <c r="I1405" i="1" a="1"/>
  <c r="I1405" i="1"/>
  <c r="J1405" i="1"/>
  <c r="B1406" i="1"/>
  <c r="C1406" i="1"/>
  <c r="D1406" i="1"/>
  <c r="E1406" i="1"/>
  <c r="F1406" i="1"/>
  <c r="H1406" i="1"/>
  <c r="I1406" i="1" a="1"/>
  <c r="I1406" i="1"/>
  <c r="J1406" i="1"/>
  <c r="B1407" i="1"/>
  <c r="C1407" i="1"/>
  <c r="D1407" i="1"/>
  <c r="E1407" i="1"/>
  <c r="F1407" i="1"/>
  <c r="H1407" i="1"/>
  <c r="I1407" i="1" a="1"/>
  <c r="I1407" i="1"/>
  <c r="J1407" i="1"/>
  <c r="B1408" i="1"/>
  <c r="C1408" i="1"/>
  <c r="D1408" i="1"/>
  <c r="E1408" i="1"/>
  <c r="F1408" i="1"/>
  <c r="H1408" i="1"/>
  <c r="I1408" i="1" a="1"/>
  <c r="I1408" i="1"/>
  <c r="J1408" i="1"/>
  <c r="B1409" i="1"/>
  <c r="C1409" i="1"/>
  <c r="D1409" i="1"/>
  <c r="E1409" i="1"/>
  <c r="F1409" i="1"/>
  <c r="H1409" i="1"/>
  <c r="I1409" i="1" a="1"/>
  <c r="I1409" i="1"/>
  <c r="J1409" i="1"/>
  <c r="B1410" i="1"/>
  <c r="C1410" i="1"/>
  <c r="D1410" i="1"/>
  <c r="E1410" i="1"/>
  <c r="F1410" i="1"/>
  <c r="H1410" i="1"/>
  <c r="I1410" i="1" a="1"/>
  <c r="I1410" i="1"/>
  <c r="J1410" i="1"/>
  <c r="B1411" i="1"/>
  <c r="C1411" i="1"/>
  <c r="D1411" i="1"/>
  <c r="E1411" i="1"/>
  <c r="F1411" i="1"/>
  <c r="H1411" i="1"/>
  <c r="I1411" i="1" a="1"/>
  <c r="I1411" i="1"/>
  <c r="J1411" i="1"/>
  <c r="B1412" i="1"/>
  <c r="C1412" i="1"/>
  <c r="D1412" i="1"/>
  <c r="E1412" i="1"/>
  <c r="F1412" i="1"/>
  <c r="H1412" i="1"/>
  <c r="I1412" i="1" a="1"/>
  <c r="I1412" i="1"/>
  <c r="J1412" i="1"/>
  <c r="B1413" i="1"/>
  <c r="C1413" i="1"/>
  <c r="D1413" i="1"/>
  <c r="E1413" i="1"/>
  <c r="F1413" i="1"/>
  <c r="H1413" i="1"/>
  <c r="I1413" i="1" a="1"/>
  <c r="I1413" i="1"/>
  <c r="J1413" i="1"/>
  <c r="B1414" i="1"/>
  <c r="C1414" i="1"/>
  <c r="D1414" i="1"/>
  <c r="E1414" i="1"/>
  <c r="F1414" i="1"/>
  <c r="H1414" i="1"/>
  <c r="I1414" i="1" a="1"/>
  <c r="I1414" i="1"/>
  <c r="J1414" i="1"/>
  <c r="B1415" i="1"/>
  <c r="C1415" i="1"/>
  <c r="D1415" i="1"/>
  <c r="E1415" i="1"/>
  <c r="F1415" i="1"/>
  <c r="H1415" i="1"/>
  <c r="I1415" i="1" a="1"/>
  <c r="I1415" i="1"/>
  <c r="J1415" i="1"/>
  <c r="B1416" i="1"/>
  <c r="C1416" i="1"/>
  <c r="D1416" i="1"/>
  <c r="E1416" i="1"/>
  <c r="F1416" i="1"/>
  <c r="H1416" i="1"/>
  <c r="I1416" i="1" a="1"/>
  <c r="I1416" i="1"/>
  <c r="J1416" i="1"/>
  <c r="B1417" i="1"/>
  <c r="C1417" i="1"/>
  <c r="D1417" i="1"/>
  <c r="E1417" i="1"/>
  <c r="F1417" i="1"/>
  <c r="H1417" i="1"/>
  <c r="I1417" i="1" a="1"/>
  <c r="I1417" i="1"/>
  <c r="J1417" i="1"/>
  <c r="B1418" i="1"/>
  <c r="C1418" i="1"/>
  <c r="D1418" i="1"/>
  <c r="E1418" i="1"/>
  <c r="F1418" i="1"/>
  <c r="H1418" i="1"/>
  <c r="I1418" i="1" a="1"/>
  <c r="I1418" i="1"/>
  <c r="J1418" i="1"/>
  <c r="B1419" i="1"/>
  <c r="C1419" i="1"/>
  <c r="D1419" i="1"/>
  <c r="E1419" i="1"/>
  <c r="F1419" i="1"/>
  <c r="H1419" i="1"/>
  <c r="I1419" i="1" a="1"/>
  <c r="I1419" i="1"/>
  <c r="J1419" i="1"/>
  <c r="B1420" i="1"/>
  <c r="C1420" i="1"/>
  <c r="D1420" i="1"/>
  <c r="E1420" i="1"/>
  <c r="F1420" i="1"/>
  <c r="H1420" i="1"/>
  <c r="I1420" i="1" a="1"/>
  <c r="I1420" i="1"/>
  <c r="J1420" i="1"/>
  <c r="B1421" i="1"/>
  <c r="C1421" i="1"/>
  <c r="D1421" i="1"/>
  <c r="E1421" i="1"/>
  <c r="F1421" i="1"/>
  <c r="H1421" i="1"/>
  <c r="I1421" i="1" a="1"/>
  <c r="I1421" i="1"/>
  <c r="J1421" i="1"/>
  <c r="B1422" i="1"/>
  <c r="C1422" i="1"/>
  <c r="D1422" i="1"/>
  <c r="E1422" i="1"/>
  <c r="F1422" i="1"/>
  <c r="H1422" i="1"/>
  <c r="I1422" i="1" a="1"/>
  <c r="I1422" i="1"/>
  <c r="J1422" i="1"/>
  <c r="B1423" i="1"/>
  <c r="C1423" i="1"/>
  <c r="D1423" i="1"/>
  <c r="E1423" i="1"/>
  <c r="F1423" i="1"/>
  <c r="H1423" i="1"/>
  <c r="I1423" i="1" a="1"/>
  <c r="I1423" i="1"/>
  <c r="J1423" i="1"/>
  <c r="B1424" i="1"/>
  <c r="C1424" i="1"/>
  <c r="D1424" i="1"/>
  <c r="E1424" i="1"/>
  <c r="F1424" i="1"/>
  <c r="H1424" i="1"/>
  <c r="I1424" i="1" a="1"/>
  <c r="I1424" i="1"/>
  <c r="J1424" i="1"/>
  <c r="B1425" i="1"/>
  <c r="C1425" i="1"/>
  <c r="D1425" i="1"/>
  <c r="E1425" i="1"/>
  <c r="F1425" i="1"/>
  <c r="H1425" i="1"/>
  <c r="I1425" i="1" a="1"/>
  <c r="I1425" i="1"/>
  <c r="J1425" i="1"/>
  <c r="B1426" i="1"/>
  <c r="C1426" i="1"/>
  <c r="D1426" i="1"/>
  <c r="E1426" i="1"/>
  <c r="F1426" i="1"/>
  <c r="H1426" i="1"/>
  <c r="I1426" i="1" a="1"/>
  <c r="I1426" i="1"/>
  <c r="J1426" i="1"/>
  <c r="B1427" i="1"/>
  <c r="C1427" i="1"/>
  <c r="D1427" i="1"/>
  <c r="E1427" i="1"/>
  <c r="F1427" i="1"/>
  <c r="H1427" i="1"/>
  <c r="I1427" i="1" a="1"/>
  <c r="I1427" i="1"/>
  <c r="J1427" i="1"/>
  <c r="B1428" i="1"/>
  <c r="C1428" i="1"/>
  <c r="D1428" i="1"/>
  <c r="E1428" i="1"/>
  <c r="F1428" i="1"/>
  <c r="H1428" i="1"/>
  <c r="I1428" i="1" a="1"/>
  <c r="I1428" i="1"/>
  <c r="J1428" i="1"/>
  <c r="B1429" i="1"/>
  <c r="C1429" i="1"/>
  <c r="D1429" i="1"/>
  <c r="E1429" i="1"/>
  <c r="F1429" i="1"/>
  <c r="H1429" i="1"/>
  <c r="I1429" i="1" a="1"/>
  <c r="I1429" i="1"/>
  <c r="J1429" i="1"/>
  <c r="B1430" i="1"/>
  <c r="C1430" i="1"/>
  <c r="D1430" i="1"/>
  <c r="E1430" i="1"/>
  <c r="F1430" i="1"/>
  <c r="H1430" i="1"/>
  <c r="I1430" i="1" a="1"/>
  <c r="I1430" i="1"/>
  <c r="J1430" i="1"/>
  <c r="B1431" i="1"/>
  <c r="C1431" i="1"/>
  <c r="D1431" i="1"/>
  <c r="E1431" i="1"/>
  <c r="F1431" i="1"/>
  <c r="H1431" i="1"/>
  <c r="I1431" i="1" a="1"/>
  <c r="I1431" i="1"/>
  <c r="J1431" i="1"/>
  <c r="B1432" i="1"/>
  <c r="C1432" i="1"/>
  <c r="D1432" i="1"/>
  <c r="E1432" i="1"/>
  <c r="F1432" i="1"/>
  <c r="H1432" i="1"/>
  <c r="I1432" i="1" a="1"/>
  <c r="I1432" i="1"/>
  <c r="J1432" i="1"/>
  <c r="B1433" i="1"/>
  <c r="C1433" i="1"/>
  <c r="D1433" i="1"/>
  <c r="E1433" i="1"/>
  <c r="F1433" i="1"/>
  <c r="H1433" i="1"/>
  <c r="I1433" i="1" a="1"/>
  <c r="I1433" i="1"/>
  <c r="J1433" i="1"/>
  <c r="B1434" i="1"/>
  <c r="C1434" i="1"/>
  <c r="D1434" i="1"/>
  <c r="E1434" i="1"/>
  <c r="F1434" i="1"/>
  <c r="H1434" i="1"/>
  <c r="I1434" i="1" a="1"/>
  <c r="I1434" i="1"/>
  <c r="J1434" i="1"/>
  <c r="B1435" i="1"/>
  <c r="C1435" i="1"/>
  <c r="D1435" i="1"/>
  <c r="E1435" i="1"/>
  <c r="F1435" i="1"/>
  <c r="H1435" i="1"/>
  <c r="I1435" i="1" a="1"/>
  <c r="I1435" i="1"/>
  <c r="J1435" i="1"/>
  <c r="B1436" i="1"/>
  <c r="C1436" i="1"/>
  <c r="D1436" i="1"/>
  <c r="E1436" i="1"/>
  <c r="F1436" i="1"/>
  <c r="H1436" i="1"/>
  <c r="I1436" i="1" a="1"/>
  <c r="I1436" i="1"/>
  <c r="J1436" i="1"/>
  <c r="B1437" i="1"/>
  <c r="C1437" i="1"/>
  <c r="D1437" i="1"/>
  <c r="E1437" i="1"/>
  <c r="F1437" i="1"/>
  <c r="H1437" i="1"/>
  <c r="I1437" i="1" a="1"/>
  <c r="I1437" i="1"/>
  <c r="J1437" i="1"/>
  <c r="B1438" i="1"/>
  <c r="C1438" i="1"/>
  <c r="D1438" i="1"/>
  <c r="E1438" i="1"/>
  <c r="F1438" i="1"/>
  <c r="H1438" i="1"/>
  <c r="I1438" i="1" a="1"/>
  <c r="I1438" i="1"/>
  <c r="J1438" i="1"/>
  <c r="B1439" i="1"/>
  <c r="C1439" i="1"/>
  <c r="D1439" i="1"/>
  <c r="E1439" i="1"/>
  <c r="F1439" i="1"/>
  <c r="H1439" i="1"/>
  <c r="I1439" i="1" a="1"/>
  <c r="I1439" i="1"/>
  <c r="J1439" i="1"/>
  <c r="B1440" i="1"/>
  <c r="C1440" i="1"/>
  <c r="D1440" i="1"/>
  <c r="E1440" i="1"/>
  <c r="F1440" i="1"/>
  <c r="H1440" i="1"/>
  <c r="I1440" i="1" a="1"/>
  <c r="I1440" i="1"/>
  <c r="J1440" i="1"/>
  <c r="B1441" i="1"/>
  <c r="C1441" i="1"/>
  <c r="D1441" i="1"/>
  <c r="E1441" i="1"/>
  <c r="F1441" i="1"/>
  <c r="H1441" i="1"/>
  <c r="I1441" i="1" a="1"/>
  <c r="I1441" i="1"/>
  <c r="J1441" i="1"/>
  <c r="B1442" i="1"/>
  <c r="C1442" i="1"/>
  <c r="D1442" i="1"/>
  <c r="E1442" i="1"/>
  <c r="F1442" i="1"/>
  <c r="H1442" i="1"/>
  <c r="I1442" i="1" a="1"/>
  <c r="I1442" i="1"/>
  <c r="J1442" i="1"/>
  <c r="B1443" i="1"/>
  <c r="C1443" i="1"/>
  <c r="D1443" i="1"/>
  <c r="E1443" i="1"/>
  <c r="F1443" i="1"/>
  <c r="H1443" i="1"/>
  <c r="I1443" i="1" a="1"/>
  <c r="I1443" i="1"/>
  <c r="J1443" i="1"/>
  <c r="B1444" i="1"/>
  <c r="C1444" i="1"/>
  <c r="D1444" i="1"/>
  <c r="E1444" i="1"/>
  <c r="F1444" i="1"/>
  <c r="H1444" i="1"/>
  <c r="I1444" i="1" a="1"/>
  <c r="I1444" i="1"/>
  <c r="J1444" i="1"/>
  <c r="B1445" i="1"/>
  <c r="C1445" i="1"/>
  <c r="D1445" i="1"/>
  <c r="E1445" i="1"/>
  <c r="F1445" i="1"/>
  <c r="H1445" i="1"/>
  <c r="I1445" i="1" a="1"/>
  <c r="I1445" i="1"/>
  <c r="J1445" i="1"/>
  <c r="B1446" i="1"/>
  <c r="C1446" i="1"/>
  <c r="D1446" i="1"/>
  <c r="E1446" i="1"/>
  <c r="F1446" i="1"/>
  <c r="H1446" i="1"/>
  <c r="I1446" i="1" a="1"/>
  <c r="I1446" i="1"/>
  <c r="J1446" i="1"/>
  <c r="B1447" i="1"/>
  <c r="C1447" i="1"/>
  <c r="D1447" i="1"/>
  <c r="E1447" i="1"/>
  <c r="F1447" i="1"/>
  <c r="H1447" i="1"/>
  <c r="I1447" i="1" a="1"/>
  <c r="I1447" i="1"/>
  <c r="J1447" i="1"/>
  <c r="B1448" i="1"/>
  <c r="C1448" i="1"/>
  <c r="D1448" i="1"/>
  <c r="E1448" i="1"/>
  <c r="F1448" i="1"/>
  <c r="H1448" i="1"/>
  <c r="I1448" i="1" a="1"/>
  <c r="I1448" i="1"/>
  <c r="J1448" i="1"/>
  <c r="B1449" i="1"/>
  <c r="C1449" i="1"/>
  <c r="D1449" i="1"/>
  <c r="E1449" i="1"/>
  <c r="F1449" i="1"/>
  <c r="H1449" i="1"/>
  <c r="I1449" i="1" a="1"/>
  <c r="I1449" i="1"/>
  <c r="J1449" i="1"/>
  <c r="B1450" i="1"/>
  <c r="C1450" i="1"/>
  <c r="D1450" i="1"/>
  <c r="E1450" i="1"/>
  <c r="F1450" i="1"/>
  <c r="H1450" i="1"/>
  <c r="I1450" i="1" a="1"/>
  <c r="I1450" i="1"/>
  <c r="J1450" i="1"/>
  <c r="B1451" i="1"/>
  <c r="C1451" i="1"/>
  <c r="D1451" i="1"/>
  <c r="E1451" i="1"/>
  <c r="F1451" i="1"/>
  <c r="H1451" i="1"/>
  <c r="I1451" i="1" a="1"/>
  <c r="I1451" i="1"/>
  <c r="J1451" i="1"/>
  <c r="B1452" i="1"/>
  <c r="C1452" i="1"/>
  <c r="D1452" i="1"/>
  <c r="E1452" i="1"/>
  <c r="F1452" i="1"/>
  <c r="H1452" i="1"/>
  <c r="I1452" i="1" a="1"/>
  <c r="I1452" i="1"/>
  <c r="J1452" i="1"/>
  <c r="B1453" i="1"/>
  <c r="C1453" i="1"/>
  <c r="D1453" i="1"/>
  <c r="E1453" i="1"/>
  <c r="F1453" i="1"/>
  <c r="H1453" i="1"/>
  <c r="I1453" i="1" a="1"/>
  <c r="I1453" i="1"/>
  <c r="J1453" i="1"/>
  <c r="B1454" i="1"/>
  <c r="C1454" i="1"/>
  <c r="D1454" i="1"/>
  <c r="E1454" i="1"/>
  <c r="F1454" i="1"/>
  <c r="H1454" i="1"/>
  <c r="I1454" i="1" a="1"/>
  <c r="I1454" i="1"/>
  <c r="J1454" i="1"/>
  <c r="B1455" i="1"/>
  <c r="C1455" i="1"/>
  <c r="D1455" i="1"/>
  <c r="E1455" i="1"/>
  <c r="F1455" i="1"/>
  <c r="H1455" i="1"/>
  <c r="I1455" i="1" a="1"/>
  <c r="I1455" i="1"/>
  <c r="J1455" i="1"/>
  <c r="B1456" i="1"/>
  <c r="C1456" i="1"/>
  <c r="D1456" i="1"/>
  <c r="E1456" i="1"/>
  <c r="F1456" i="1"/>
  <c r="H1456" i="1"/>
  <c r="I1456" i="1" a="1"/>
  <c r="I1456" i="1"/>
  <c r="J1456" i="1"/>
  <c r="B1457" i="1"/>
  <c r="C1457" i="1"/>
  <c r="D1457" i="1"/>
  <c r="E1457" i="1"/>
  <c r="F1457" i="1"/>
  <c r="H1457" i="1"/>
  <c r="I1457" i="1" a="1"/>
  <c r="I1457" i="1"/>
  <c r="J1457" i="1"/>
  <c r="B1458" i="1"/>
  <c r="C1458" i="1"/>
  <c r="D1458" i="1"/>
  <c r="E1458" i="1"/>
  <c r="F1458" i="1"/>
  <c r="H1458" i="1"/>
  <c r="I1458" i="1" a="1"/>
  <c r="I1458" i="1"/>
  <c r="J1458" i="1"/>
  <c r="B1459" i="1"/>
  <c r="C1459" i="1"/>
  <c r="D1459" i="1"/>
  <c r="E1459" i="1"/>
  <c r="F1459" i="1"/>
  <c r="H1459" i="1"/>
  <c r="I1459" i="1" a="1"/>
  <c r="I1459" i="1"/>
  <c r="J1459" i="1"/>
  <c r="B1460" i="1"/>
  <c r="C1460" i="1"/>
  <c r="D1460" i="1"/>
  <c r="E1460" i="1"/>
  <c r="F1460" i="1"/>
  <c r="H1460" i="1"/>
  <c r="I1460" i="1" a="1"/>
  <c r="I1460" i="1"/>
  <c r="J1460" i="1"/>
  <c r="B1461" i="1"/>
  <c r="C1461" i="1"/>
  <c r="D1461" i="1"/>
  <c r="E1461" i="1"/>
  <c r="F1461" i="1"/>
  <c r="H1461" i="1"/>
  <c r="I1461" i="1" a="1"/>
  <c r="I1461" i="1"/>
  <c r="J1461" i="1"/>
  <c r="B1462" i="1"/>
  <c r="C1462" i="1"/>
  <c r="D1462" i="1"/>
  <c r="E1462" i="1"/>
  <c r="F1462" i="1"/>
  <c r="H1462" i="1"/>
  <c r="I1462" i="1" a="1"/>
  <c r="I1462" i="1"/>
  <c r="J1462" i="1"/>
  <c r="B1463" i="1"/>
  <c r="C1463" i="1"/>
  <c r="D1463" i="1"/>
  <c r="E1463" i="1"/>
  <c r="F1463" i="1"/>
  <c r="H1463" i="1"/>
  <c r="I1463" i="1" a="1"/>
  <c r="I1463" i="1"/>
  <c r="J1463" i="1"/>
  <c r="B1464" i="1"/>
  <c r="C1464" i="1"/>
  <c r="D1464" i="1"/>
  <c r="E1464" i="1"/>
  <c r="F1464" i="1"/>
  <c r="H1464" i="1"/>
  <c r="I1464" i="1" a="1"/>
  <c r="I1464" i="1"/>
  <c r="J1464" i="1"/>
  <c r="B1465" i="1"/>
  <c r="C1465" i="1"/>
  <c r="D1465" i="1"/>
  <c r="E1465" i="1"/>
  <c r="F1465" i="1"/>
  <c r="H1465" i="1"/>
  <c r="I1465" i="1" a="1"/>
  <c r="I1465" i="1"/>
  <c r="J1465" i="1"/>
  <c r="B1466" i="1"/>
  <c r="C1466" i="1"/>
  <c r="D1466" i="1"/>
  <c r="E1466" i="1"/>
  <c r="F1466" i="1"/>
  <c r="H1466" i="1"/>
  <c r="I1466" i="1" a="1"/>
  <c r="I1466" i="1"/>
  <c r="J1466" i="1"/>
  <c r="B1467" i="1"/>
  <c r="C1467" i="1"/>
  <c r="D1467" i="1"/>
  <c r="E1467" i="1"/>
  <c r="F1467" i="1"/>
  <c r="H1467" i="1"/>
  <c r="I1467" i="1" a="1"/>
  <c r="I1467" i="1"/>
  <c r="J1467" i="1"/>
  <c r="B1468" i="1"/>
  <c r="C1468" i="1"/>
  <c r="D1468" i="1"/>
  <c r="E1468" i="1"/>
  <c r="F1468" i="1"/>
  <c r="H1468" i="1"/>
  <c r="I1468" i="1" a="1"/>
  <c r="I1468" i="1"/>
  <c r="J1468" i="1"/>
  <c r="B1469" i="1"/>
  <c r="C1469" i="1"/>
  <c r="D1469" i="1"/>
  <c r="E1469" i="1"/>
  <c r="F1469" i="1"/>
  <c r="H1469" i="1"/>
  <c r="I1469" i="1" a="1"/>
  <c r="I1469" i="1"/>
  <c r="J1469" i="1"/>
  <c r="B1470" i="1"/>
  <c r="C1470" i="1"/>
  <c r="D1470" i="1"/>
  <c r="E1470" i="1"/>
  <c r="F1470" i="1"/>
  <c r="H1470" i="1"/>
  <c r="I1470" i="1" a="1"/>
  <c r="I1470" i="1"/>
  <c r="J1470" i="1"/>
  <c r="B1471" i="1"/>
  <c r="C1471" i="1"/>
  <c r="D1471" i="1"/>
  <c r="E1471" i="1"/>
  <c r="F1471" i="1"/>
  <c r="H1471" i="1"/>
  <c r="I1471" i="1" a="1"/>
  <c r="I1471" i="1"/>
  <c r="J1471" i="1"/>
  <c r="B1472" i="1"/>
  <c r="C1472" i="1"/>
  <c r="D1472" i="1"/>
  <c r="E1472" i="1"/>
  <c r="F1472" i="1"/>
  <c r="H1472" i="1"/>
  <c r="I1472" i="1" a="1"/>
  <c r="I1472" i="1"/>
  <c r="J1472" i="1"/>
  <c r="B1473" i="1"/>
  <c r="C1473" i="1"/>
  <c r="D1473" i="1"/>
  <c r="E1473" i="1"/>
  <c r="F1473" i="1"/>
  <c r="H1473" i="1"/>
  <c r="I1473" i="1" a="1"/>
  <c r="I1473" i="1"/>
  <c r="J1473" i="1"/>
  <c r="B1474" i="1"/>
  <c r="C1474" i="1"/>
  <c r="D1474" i="1"/>
  <c r="E1474" i="1"/>
  <c r="F1474" i="1"/>
  <c r="H1474" i="1"/>
  <c r="I1474" i="1" a="1"/>
  <c r="I1474" i="1"/>
  <c r="J1474" i="1"/>
  <c r="B1475" i="1"/>
  <c r="C1475" i="1"/>
  <c r="D1475" i="1"/>
  <c r="E1475" i="1"/>
  <c r="F1475" i="1"/>
  <c r="H1475" i="1"/>
  <c r="I1475" i="1" a="1"/>
  <c r="I1475" i="1"/>
  <c r="J1475" i="1"/>
  <c r="B1476" i="1"/>
  <c r="C1476" i="1"/>
  <c r="D1476" i="1"/>
  <c r="E1476" i="1"/>
  <c r="F1476" i="1"/>
  <c r="H1476" i="1"/>
  <c r="I1476" i="1" a="1"/>
  <c r="I1476" i="1"/>
  <c r="J1476" i="1"/>
  <c r="B1477" i="1"/>
  <c r="C1477" i="1"/>
  <c r="D1477" i="1"/>
  <c r="E1477" i="1"/>
  <c r="F1477" i="1"/>
  <c r="H1477" i="1"/>
  <c r="I1477" i="1" a="1"/>
  <c r="I1477" i="1"/>
  <c r="J1477" i="1"/>
  <c r="B1478" i="1"/>
  <c r="C1478" i="1"/>
  <c r="D1478" i="1"/>
  <c r="E1478" i="1"/>
  <c r="F1478" i="1"/>
  <c r="H1478" i="1"/>
  <c r="I1478" i="1" a="1"/>
  <c r="I1478" i="1"/>
  <c r="J1478" i="1"/>
  <c r="B1479" i="1"/>
  <c r="C1479" i="1"/>
  <c r="D1479" i="1"/>
  <c r="E1479" i="1"/>
  <c r="F1479" i="1"/>
  <c r="H1479" i="1"/>
  <c r="I1479" i="1" a="1"/>
  <c r="I1479" i="1"/>
  <c r="J1479" i="1"/>
  <c r="B1480" i="1"/>
  <c r="C1480" i="1"/>
  <c r="D1480" i="1"/>
  <c r="E1480" i="1"/>
  <c r="F1480" i="1"/>
  <c r="H1480" i="1"/>
  <c r="I1480" i="1" a="1"/>
  <c r="I1480" i="1"/>
  <c r="J1480" i="1"/>
  <c r="B1481" i="1"/>
  <c r="C1481" i="1"/>
  <c r="D1481" i="1"/>
  <c r="E1481" i="1"/>
  <c r="F1481" i="1"/>
  <c r="H1481" i="1"/>
  <c r="I1481" i="1" a="1"/>
  <c r="I1481" i="1"/>
  <c r="J1481" i="1"/>
  <c r="B1482" i="1"/>
  <c r="C1482" i="1"/>
  <c r="D1482" i="1"/>
  <c r="E1482" i="1"/>
  <c r="F1482" i="1"/>
  <c r="H1482" i="1"/>
  <c r="I1482" i="1" a="1"/>
  <c r="I1482" i="1"/>
  <c r="J1482" i="1"/>
  <c r="B1483" i="1"/>
  <c r="C1483" i="1"/>
  <c r="D1483" i="1"/>
  <c r="E1483" i="1"/>
  <c r="F1483" i="1"/>
  <c r="H1483" i="1"/>
  <c r="I1483" i="1" a="1"/>
  <c r="I1483" i="1"/>
  <c r="J1483" i="1"/>
  <c r="B1484" i="1"/>
  <c r="C1484" i="1"/>
  <c r="D1484" i="1"/>
  <c r="E1484" i="1"/>
  <c r="F1484" i="1"/>
  <c r="H1484" i="1"/>
  <c r="I1484" i="1" a="1"/>
  <c r="I1484" i="1"/>
  <c r="J1484" i="1"/>
  <c r="B1485" i="1"/>
  <c r="C1485" i="1"/>
  <c r="D1485" i="1"/>
  <c r="E1485" i="1"/>
  <c r="F1485" i="1"/>
  <c r="H1485" i="1"/>
  <c r="I1485" i="1" a="1"/>
  <c r="I1485" i="1"/>
  <c r="J1485" i="1"/>
  <c r="B1486" i="1"/>
  <c r="C1486" i="1"/>
  <c r="D1486" i="1"/>
  <c r="E1486" i="1"/>
  <c r="F1486" i="1"/>
  <c r="H1486" i="1"/>
  <c r="I1486" i="1" a="1"/>
  <c r="I1486" i="1"/>
  <c r="J1486" i="1"/>
  <c r="B1487" i="1"/>
  <c r="C1487" i="1"/>
  <c r="D1487" i="1"/>
  <c r="E1487" i="1"/>
  <c r="F1487" i="1"/>
  <c r="H1487" i="1"/>
  <c r="I1487" i="1" a="1"/>
  <c r="I1487" i="1"/>
  <c r="J1487" i="1"/>
  <c r="B1488" i="1"/>
  <c r="C1488" i="1"/>
  <c r="D1488" i="1"/>
  <c r="E1488" i="1"/>
  <c r="F1488" i="1"/>
  <c r="H1488" i="1"/>
  <c r="I1488" i="1" a="1"/>
  <c r="I1488" i="1"/>
  <c r="J1488" i="1"/>
  <c r="B1489" i="1"/>
  <c r="C1489" i="1"/>
  <c r="D1489" i="1"/>
  <c r="E1489" i="1"/>
  <c r="F1489" i="1"/>
  <c r="H1489" i="1"/>
  <c r="I1489" i="1" a="1"/>
  <c r="I1489" i="1"/>
  <c r="J1489" i="1"/>
  <c r="B1490" i="1"/>
  <c r="C1490" i="1"/>
  <c r="D1490" i="1"/>
  <c r="E1490" i="1"/>
  <c r="F1490" i="1"/>
  <c r="H1490" i="1"/>
  <c r="I1490" i="1" a="1"/>
  <c r="I1490" i="1"/>
  <c r="J1490" i="1"/>
  <c r="B1491" i="1"/>
  <c r="C1491" i="1"/>
  <c r="D1491" i="1"/>
  <c r="E1491" i="1"/>
  <c r="F1491" i="1"/>
  <c r="H1491" i="1"/>
  <c r="I1491" i="1" a="1"/>
  <c r="I1491" i="1"/>
  <c r="J1491" i="1"/>
  <c r="B1492" i="1"/>
  <c r="C1492" i="1"/>
  <c r="D1492" i="1"/>
  <c r="E1492" i="1"/>
  <c r="F1492" i="1"/>
  <c r="H1492" i="1"/>
  <c r="I1492" i="1" a="1"/>
  <c r="I1492" i="1"/>
  <c r="J1492" i="1"/>
  <c r="B1493" i="1"/>
  <c r="C1493" i="1"/>
  <c r="D1493" i="1"/>
  <c r="E1493" i="1"/>
  <c r="F1493" i="1"/>
  <c r="H1493" i="1"/>
  <c r="I1493" i="1" a="1"/>
  <c r="I1493" i="1"/>
  <c r="J1493" i="1"/>
  <c r="B1494" i="1"/>
  <c r="C1494" i="1"/>
  <c r="D1494" i="1"/>
  <c r="E1494" i="1"/>
  <c r="F1494" i="1"/>
  <c r="H1494" i="1"/>
  <c r="I1494" i="1" a="1"/>
  <c r="I1494" i="1"/>
  <c r="J1494" i="1"/>
  <c r="B1495" i="1"/>
  <c r="C1495" i="1"/>
  <c r="D1495" i="1"/>
  <c r="E1495" i="1"/>
  <c r="F1495" i="1"/>
  <c r="H1495" i="1"/>
  <c r="I1495" i="1" a="1"/>
  <c r="I1495" i="1"/>
  <c r="J1495" i="1"/>
  <c r="B1496" i="1"/>
  <c r="C1496" i="1"/>
  <c r="D1496" i="1"/>
  <c r="E1496" i="1"/>
  <c r="F1496" i="1"/>
  <c r="H1496" i="1"/>
  <c r="I1496" i="1" a="1"/>
  <c r="I1496" i="1"/>
  <c r="J1496" i="1"/>
  <c r="B1497" i="1"/>
  <c r="C1497" i="1"/>
  <c r="D1497" i="1"/>
  <c r="E1497" i="1"/>
  <c r="F1497" i="1"/>
  <c r="H1497" i="1"/>
  <c r="I1497" i="1" a="1"/>
  <c r="I1497" i="1"/>
  <c r="J1497" i="1"/>
  <c r="B1498" i="1"/>
  <c r="C1498" i="1"/>
  <c r="D1498" i="1"/>
  <c r="E1498" i="1"/>
  <c r="F1498" i="1"/>
  <c r="H1498" i="1"/>
  <c r="I1498" i="1" a="1"/>
  <c r="I1498" i="1"/>
  <c r="J1498" i="1"/>
  <c r="B1499" i="1"/>
  <c r="C1499" i="1"/>
  <c r="D1499" i="1"/>
  <c r="E1499" i="1"/>
  <c r="F1499" i="1"/>
  <c r="H1499" i="1"/>
  <c r="I1499" i="1" a="1"/>
  <c r="I1499" i="1"/>
  <c r="J1499" i="1"/>
  <c r="B1500" i="1"/>
  <c r="C1500" i="1"/>
  <c r="D1500" i="1"/>
  <c r="E1500" i="1"/>
  <c r="F1500" i="1"/>
  <c r="H1500" i="1"/>
  <c r="I1500" i="1" a="1"/>
  <c r="I1500" i="1"/>
  <c r="J1500" i="1"/>
  <c r="B1501" i="1"/>
  <c r="C1501" i="1"/>
  <c r="D1501" i="1"/>
  <c r="E1501" i="1"/>
  <c r="F1501" i="1"/>
  <c r="H1501" i="1"/>
  <c r="I1501" i="1" a="1"/>
  <c r="I1501" i="1"/>
  <c r="J1501" i="1"/>
  <c r="B1502" i="1"/>
  <c r="C1502" i="1"/>
  <c r="D1502" i="1"/>
  <c r="E1502" i="1"/>
  <c r="F1502" i="1"/>
  <c r="H1502" i="1"/>
  <c r="I1502" i="1" a="1"/>
  <c r="I1502" i="1"/>
  <c r="J1502" i="1"/>
  <c r="B1503" i="1"/>
  <c r="C1503" i="1"/>
  <c r="D1503" i="1"/>
  <c r="E1503" i="1"/>
  <c r="F1503" i="1"/>
  <c r="H1503" i="1"/>
  <c r="I1503" i="1" a="1"/>
  <c r="I1503" i="1"/>
  <c r="J1503" i="1"/>
  <c r="B1504" i="1"/>
  <c r="C1504" i="1"/>
  <c r="D1504" i="1"/>
  <c r="E1504" i="1"/>
  <c r="F1504" i="1"/>
  <c r="H1504" i="1"/>
  <c r="I1504" i="1" a="1"/>
  <c r="I1504" i="1"/>
  <c r="J1504" i="1"/>
  <c r="B1505" i="1"/>
  <c r="C1505" i="1"/>
  <c r="D1505" i="1"/>
  <c r="E1505" i="1"/>
  <c r="F1505" i="1"/>
  <c r="H1505" i="1"/>
  <c r="I1505" i="1" a="1"/>
  <c r="I1505" i="1"/>
  <c r="J1505" i="1"/>
  <c r="B1506" i="1"/>
  <c r="C1506" i="1"/>
  <c r="D1506" i="1"/>
  <c r="E1506" i="1"/>
  <c r="F1506" i="1"/>
  <c r="H1506" i="1"/>
  <c r="I1506" i="1" a="1"/>
  <c r="I1506" i="1"/>
  <c r="J1506" i="1"/>
  <c r="B1507" i="1"/>
  <c r="C1507" i="1"/>
  <c r="D1507" i="1"/>
  <c r="E1507" i="1"/>
  <c r="F1507" i="1"/>
  <c r="H1507" i="1"/>
  <c r="I1507" i="1" a="1"/>
  <c r="I1507" i="1"/>
  <c r="J1507" i="1"/>
  <c r="B1508" i="1"/>
  <c r="C1508" i="1"/>
  <c r="D1508" i="1"/>
  <c r="E1508" i="1"/>
  <c r="F1508" i="1"/>
  <c r="H1508" i="1"/>
  <c r="I1508" i="1" a="1"/>
  <c r="I1508" i="1"/>
  <c r="J1508" i="1"/>
  <c r="B1509" i="1"/>
  <c r="C1509" i="1"/>
  <c r="D1509" i="1"/>
  <c r="E1509" i="1"/>
  <c r="F1509" i="1"/>
  <c r="H1509" i="1"/>
  <c r="I1509" i="1" a="1"/>
  <c r="I1509" i="1"/>
  <c r="J1509" i="1"/>
  <c r="B1510" i="1"/>
  <c r="C1510" i="1"/>
  <c r="D1510" i="1"/>
  <c r="E1510" i="1"/>
  <c r="F1510" i="1"/>
  <c r="H1510" i="1"/>
  <c r="I1510" i="1" a="1"/>
  <c r="I1510" i="1"/>
  <c r="J1510" i="1"/>
  <c r="B1511" i="1"/>
  <c r="C1511" i="1"/>
  <c r="D1511" i="1"/>
  <c r="E1511" i="1"/>
  <c r="F1511" i="1"/>
  <c r="H1511" i="1"/>
  <c r="I1511" i="1" a="1"/>
  <c r="I1511" i="1"/>
  <c r="J1511" i="1"/>
  <c r="B1512" i="1"/>
  <c r="C1512" i="1"/>
  <c r="D1512" i="1"/>
  <c r="E1512" i="1"/>
  <c r="F1512" i="1"/>
  <c r="H1512" i="1"/>
  <c r="I1512" i="1" a="1"/>
  <c r="I1512" i="1"/>
  <c r="J1512" i="1"/>
  <c r="B1513" i="1"/>
  <c r="C1513" i="1"/>
  <c r="D1513" i="1"/>
  <c r="E1513" i="1"/>
  <c r="F1513" i="1"/>
  <c r="H1513" i="1"/>
  <c r="I1513" i="1" a="1"/>
  <c r="I1513" i="1"/>
  <c r="J1513" i="1"/>
  <c r="B1514" i="1"/>
  <c r="C1514" i="1"/>
  <c r="D1514" i="1"/>
  <c r="E1514" i="1"/>
  <c r="F1514" i="1"/>
  <c r="H1514" i="1"/>
  <c r="I1514" i="1" a="1"/>
  <c r="I1514" i="1"/>
  <c r="J1514" i="1"/>
  <c r="B1515" i="1"/>
  <c r="C1515" i="1"/>
  <c r="D1515" i="1"/>
  <c r="E1515" i="1"/>
  <c r="F1515" i="1"/>
  <c r="H1515" i="1"/>
  <c r="I1515" i="1" a="1"/>
  <c r="I1515" i="1"/>
  <c r="J1515" i="1"/>
  <c r="B1516" i="1"/>
  <c r="C1516" i="1"/>
  <c r="D1516" i="1"/>
  <c r="E1516" i="1"/>
  <c r="F1516" i="1"/>
  <c r="H1516" i="1"/>
  <c r="I1516" i="1" a="1"/>
  <c r="I1516" i="1"/>
  <c r="J1516" i="1"/>
  <c r="B1517" i="1"/>
  <c r="C1517" i="1"/>
  <c r="D1517" i="1"/>
  <c r="E1517" i="1"/>
  <c r="F1517" i="1"/>
  <c r="H1517" i="1"/>
  <c r="I1517" i="1" a="1"/>
  <c r="I1517" i="1"/>
  <c r="J1517" i="1"/>
  <c r="B1518" i="1"/>
  <c r="C1518" i="1"/>
  <c r="D1518" i="1"/>
  <c r="E1518" i="1"/>
  <c r="F1518" i="1"/>
  <c r="H1518" i="1"/>
  <c r="I1518" i="1" a="1"/>
  <c r="I1518" i="1"/>
  <c r="J1518" i="1"/>
  <c r="B1519" i="1"/>
  <c r="C1519" i="1"/>
  <c r="D1519" i="1"/>
  <c r="E1519" i="1"/>
  <c r="F1519" i="1"/>
  <c r="H1519" i="1"/>
  <c r="I1519" i="1" a="1"/>
  <c r="I1519" i="1"/>
  <c r="J1519" i="1"/>
  <c r="B1520" i="1"/>
  <c r="C1520" i="1"/>
  <c r="D1520" i="1"/>
  <c r="E1520" i="1"/>
  <c r="F1520" i="1"/>
  <c r="H1520" i="1"/>
  <c r="I1520" i="1" a="1"/>
  <c r="I1520" i="1"/>
  <c r="J1520" i="1"/>
  <c r="B1521" i="1"/>
  <c r="C1521" i="1"/>
  <c r="D1521" i="1"/>
  <c r="E1521" i="1"/>
  <c r="F1521" i="1"/>
  <c r="H1521" i="1"/>
  <c r="I1521" i="1" a="1"/>
  <c r="I1521" i="1"/>
  <c r="J1521" i="1"/>
  <c r="B1522" i="1"/>
  <c r="C1522" i="1"/>
  <c r="D1522" i="1"/>
  <c r="E1522" i="1"/>
  <c r="F1522" i="1"/>
  <c r="H1522" i="1"/>
  <c r="I1522" i="1" a="1"/>
  <c r="I1522" i="1"/>
  <c r="J1522" i="1"/>
  <c r="B1523" i="1"/>
  <c r="C1523" i="1"/>
  <c r="D1523" i="1"/>
  <c r="E1523" i="1"/>
  <c r="F1523" i="1"/>
  <c r="H1523" i="1"/>
  <c r="I1523" i="1" a="1"/>
  <c r="I1523" i="1"/>
  <c r="J1523" i="1"/>
  <c r="B1524" i="1"/>
  <c r="C1524" i="1"/>
  <c r="D1524" i="1"/>
  <c r="E1524" i="1"/>
  <c r="F1524" i="1"/>
  <c r="H1524" i="1"/>
  <c r="I1524" i="1" a="1"/>
  <c r="I1524" i="1"/>
  <c r="J1524" i="1"/>
  <c r="B1525" i="1"/>
  <c r="C1525" i="1"/>
  <c r="D1525" i="1"/>
  <c r="E1525" i="1"/>
  <c r="F1525" i="1"/>
  <c r="H1525" i="1"/>
  <c r="I1525" i="1" a="1"/>
  <c r="I1525" i="1"/>
  <c r="J1525" i="1"/>
  <c r="B1526" i="1"/>
  <c r="C1526" i="1"/>
  <c r="D1526" i="1"/>
  <c r="E1526" i="1"/>
  <c r="F1526" i="1"/>
  <c r="H1526" i="1"/>
  <c r="I1526" i="1" a="1"/>
  <c r="I1526" i="1"/>
  <c r="J1526" i="1"/>
  <c r="B1527" i="1"/>
  <c r="C1527" i="1"/>
  <c r="D1527" i="1"/>
  <c r="E1527" i="1"/>
  <c r="F1527" i="1"/>
  <c r="H1527" i="1"/>
  <c r="I1527" i="1" a="1"/>
  <c r="I1527" i="1"/>
  <c r="J1527" i="1"/>
  <c r="B1528" i="1"/>
  <c r="C1528" i="1"/>
  <c r="D1528" i="1"/>
  <c r="E1528" i="1"/>
  <c r="F1528" i="1"/>
  <c r="H1528" i="1"/>
  <c r="I1528" i="1" a="1"/>
  <c r="I1528" i="1"/>
  <c r="J1528" i="1"/>
  <c r="B1529" i="1"/>
  <c r="C1529" i="1"/>
  <c r="D1529" i="1"/>
  <c r="E1529" i="1"/>
  <c r="F1529" i="1"/>
  <c r="H1529" i="1"/>
  <c r="I1529" i="1" a="1"/>
  <c r="I1529" i="1"/>
  <c r="J1529" i="1"/>
  <c r="B1530" i="1"/>
  <c r="C1530" i="1"/>
  <c r="D1530" i="1"/>
  <c r="E1530" i="1"/>
  <c r="F1530" i="1"/>
  <c r="H1530" i="1"/>
  <c r="I1530" i="1" a="1"/>
  <c r="I1530" i="1"/>
  <c r="J1530" i="1"/>
  <c r="B1531" i="1"/>
  <c r="C1531" i="1"/>
  <c r="D1531" i="1"/>
  <c r="E1531" i="1"/>
  <c r="F1531" i="1"/>
  <c r="H1531" i="1"/>
  <c r="I1531" i="1" a="1"/>
  <c r="I1531" i="1"/>
  <c r="J1531" i="1"/>
  <c r="B1532" i="1"/>
  <c r="C1532" i="1"/>
  <c r="D1532" i="1"/>
  <c r="E1532" i="1"/>
  <c r="F1532" i="1"/>
  <c r="H1532" i="1"/>
  <c r="I1532" i="1" a="1"/>
  <c r="I1532" i="1"/>
  <c r="J1532" i="1"/>
  <c r="B1533" i="1"/>
  <c r="C1533" i="1"/>
  <c r="D1533" i="1"/>
  <c r="E1533" i="1"/>
  <c r="F1533" i="1"/>
  <c r="H1533" i="1"/>
  <c r="I1533" i="1" a="1"/>
  <c r="I1533" i="1"/>
  <c r="J1533" i="1"/>
  <c r="B1534" i="1"/>
  <c r="C1534" i="1"/>
  <c r="D1534" i="1"/>
  <c r="E1534" i="1"/>
  <c r="F1534" i="1"/>
  <c r="H1534" i="1"/>
  <c r="I1534" i="1" a="1"/>
  <c r="I1534" i="1"/>
  <c r="J1534" i="1"/>
  <c r="B1535" i="1"/>
  <c r="C1535" i="1"/>
  <c r="D1535" i="1"/>
  <c r="E1535" i="1"/>
  <c r="F1535" i="1"/>
  <c r="H1535" i="1"/>
  <c r="I1535" i="1" a="1"/>
  <c r="I1535" i="1"/>
  <c r="J1535" i="1"/>
  <c r="B1536" i="1"/>
  <c r="C1536" i="1"/>
  <c r="D1536" i="1"/>
  <c r="E1536" i="1"/>
  <c r="F1536" i="1"/>
  <c r="H1536" i="1"/>
  <c r="I1536" i="1" a="1"/>
  <c r="I1536" i="1"/>
  <c r="J1536" i="1"/>
  <c r="B1537" i="1"/>
  <c r="C1537" i="1"/>
  <c r="D1537" i="1"/>
  <c r="E1537" i="1"/>
  <c r="F1537" i="1"/>
  <c r="H1537" i="1"/>
  <c r="I1537" i="1" a="1"/>
  <c r="I1537" i="1"/>
  <c r="J1537" i="1"/>
  <c r="B1538" i="1"/>
  <c r="C1538" i="1"/>
  <c r="D1538" i="1"/>
  <c r="E1538" i="1"/>
  <c r="F1538" i="1"/>
  <c r="H1538" i="1"/>
  <c r="I1538" i="1" a="1"/>
  <c r="I1538" i="1"/>
  <c r="J1538" i="1"/>
  <c r="B1539" i="1"/>
  <c r="C1539" i="1"/>
  <c r="D1539" i="1"/>
  <c r="E1539" i="1"/>
  <c r="F1539" i="1"/>
  <c r="H1539" i="1"/>
  <c r="I1539" i="1" a="1"/>
  <c r="I1539" i="1"/>
  <c r="J1539" i="1"/>
  <c r="B1540" i="1"/>
  <c r="C1540" i="1"/>
  <c r="D1540" i="1"/>
  <c r="E1540" i="1"/>
  <c r="F1540" i="1"/>
  <c r="H1540" i="1"/>
  <c r="I1540" i="1" a="1"/>
  <c r="I1540" i="1"/>
  <c r="J1540" i="1"/>
  <c r="B1541" i="1"/>
  <c r="C1541" i="1"/>
  <c r="D1541" i="1"/>
  <c r="E1541" i="1"/>
  <c r="F1541" i="1"/>
  <c r="H1541" i="1"/>
  <c r="I1541" i="1" a="1"/>
  <c r="I1541" i="1"/>
  <c r="J1541" i="1"/>
  <c r="B1542" i="1"/>
  <c r="C1542" i="1"/>
  <c r="D1542" i="1"/>
  <c r="E1542" i="1"/>
  <c r="F1542" i="1"/>
  <c r="H1542" i="1"/>
  <c r="I1542" i="1" a="1"/>
  <c r="I1542" i="1"/>
  <c r="J1542" i="1"/>
  <c r="B1543" i="1"/>
  <c r="C1543" i="1"/>
  <c r="D1543" i="1"/>
  <c r="E1543" i="1"/>
  <c r="F1543" i="1"/>
  <c r="H1543" i="1"/>
  <c r="I1543" i="1" a="1"/>
  <c r="I1543" i="1"/>
  <c r="J1543" i="1"/>
  <c r="B1544" i="1"/>
  <c r="C1544" i="1"/>
  <c r="D1544" i="1"/>
  <c r="E1544" i="1"/>
  <c r="F1544" i="1"/>
  <c r="H1544" i="1"/>
  <c r="I1544" i="1" a="1"/>
  <c r="I1544" i="1"/>
  <c r="J1544" i="1"/>
  <c r="B1545" i="1"/>
  <c r="C1545" i="1"/>
  <c r="D1545" i="1"/>
  <c r="E1545" i="1"/>
  <c r="F1545" i="1"/>
  <c r="H1545" i="1"/>
  <c r="I1545" i="1" a="1"/>
  <c r="I1545" i="1"/>
  <c r="J1545" i="1"/>
  <c r="B1546" i="1"/>
  <c r="C1546" i="1"/>
  <c r="D1546" i="1"/>
  <c r="E1546" i="1"/>
  <c r="F1546" i="1"/>
  <c r="H1546" i="1"/>
  <c r="I1546" i="1" a="1"/>
  <c r="I1546" i="1"/>
  <c r="J1546" i="1"/>
  <c r="B1547" i="1"/>
  <c r="C1547" i="1"/>
  <c r="D1547" i="1"/>
  <c r="E1547" i="1"/>
  <c r="F1547" i="1"/>
  <c r="H1547" i="1"/>
  <c r="I1547" i="1" a="1"/>
  <c r="I1547" i="1"/>
  <c r="J1547" i="1"/>
  <c r="B1548" i="1"/>
  <c r="C1548" i="1"/>
  <c r="D1548" i="1"/>
  <c r="E1548" i="1"/>
  <c r="F1548" i="1"/>
  <c r="H1548" i="1"/>
  <c r="I1548" i="1" a="1"/>
  <c r="I1548" i="1"/>
  <c r="J1548" i="1"/>
  <c r="B1549" i="1"/>
  <c r="C1549" i="1"/>
  <c r="D1549" i="1"/>
  <c r="E1549" i="1"/>
  <c r="F1549" i="1"/>
  <c r="H1549" i="1"/>
  <c r="I1549" i="1" a="1"/>
  <c r="I1549" i="1"/>
  <c r="J1549" i="1"/>
  <c r="B1550" i="1"/>
  <c r="C1550" i="1"/>
  <c r="D1550" i="1"/>
  <c r="E1550" i="1"/>
  <c r="F1550" i="1"/>
  <c r="H1550" i="1"/>
  <c r="I1550" i="1" a="1"/>
  <c r="I1550" i="1"/>
  <c r="J1550" i="1"/>
  <c r="B1551" i="1"/>
  <c r="C1551" i="1"/>
  <c r="D1551" i="1"/>
  <c r="E1551" i="1"/>
  <c r="F1551" i="1"/>
  <c r="H1551" i="1"/>
  <c r="I1551" i="1" a="1"/>
  <c r="I1551" i="1"/>
  <c r="J1551" i="1"/>
  <c r="B1552" i="1"/>
  <c r="C1552" i="1"/>
  <c r="D1552" i="1"/>
  <c r="E1552" i="1"/>
  <c r="F1552" i="1"/>
  <c r="H1552" i="1"/>
  <c r="I1552" i="1" a="1"/>
  <c r="I1552" i="1"/>
  <c r="J1552" i="1"/>
  <c r="B1553" i="1"/>
  <c r="C1553" i="1"/>
  <c r="D1553" i="1"/>
  <c r="E1553" i="1"/>
  <c r="F1553" i="1"/>
  <c r="H1553" i="1"/>
  <c r="I1553" i="1" a="1"/>
  <c r="I1553" i="1"/>
  <c r="J1553" i="1"/>
  <c r="B1554" i="1"/>
  <c r="C1554" i="1"/>
  <c r="D1554" i="1"/>
  <c r="E1554" i="1"/>
  <c r="F1554" i="1"/>
  <c r="H1554" i="1"/>
  <c r="I1554" i="1" a="1"/>
  <c r="I1554" i="1"/>
  <c r="J1554" i="1"/>
  <c r="B1555" i="1"/>
  <c r="C1555" i="1"/>
  <c r="D1555" i="1"/>
  <c r="E1555" i="1"/>
  <c r="F1555" i="1"/>
  <c r="H1555" i="1"/>
  <c r="I1555" i="1" a="1"/>
  <c r="I1555" i="1"/>
  <c r="J1555" i="1"/>
  <c r="B1556" i="1"/>
  <c r="C1556" i="1"/>
  <c r="D1556" i="1"/>
  <c r="E1556" i="1"/>
  <c r="F1556" i="1"/>
  <c r="H1556" i="1"/>
  <c r="I1556" i="1" a="1"/>
  <c r="I1556" i="1"/>
  <c r="J1556" i="1"/>
  <c r="B1557" i="1"/>
  <c r="C1557" i="1"/>
  <c r="D1557" i="1"/>
  <c r="E1557" i="1"/>
  <c r="F1557" i="1"/>
  <c r="H1557" i="1"/>
  <c r="I1557" i="1" a="1"/>
  <c r="I1557" i="1"/>
  <c r="J1557" i="1"/>
  <c r="B1558" i="1"/>
  <c r="C1558" i="1"/>
  <c r="D1558" i="1"/>
  <c r="E1558" i="1"/>
  <c r="F1558" i="1"/>
  <c r="H1558" i="1"/>
  <c r="I1558" i="1" a="1"/>
  <c r="I1558" i="1"/>
  <c r="J1558" i="1"/>
  <c r="B1559" i="1"/>
  <c r="C1559" i="1"/>
  <c r="D1559" i="1"/>
  <c r="E1559" i="1"/>
  <c r="F1559" i="1"/>
  <c r="H1559" i="1"/>
  <c r="I1559" i="1" a="1"/>
  <c r="I1559" i="1"/>
  <c r="J1559" i="1"/>
  <c r="B1560" i="1"/>
  <c r="C1560" i="1"/>
  <c r="D1560" i="1"/>
  <c r="E1560" i="1"/>
  <c r="F1560" i="1"/>
  <c r="H1560" i="1"/>
  <c r="I1560" i="1" a="1"/>
  <c r="I1560" i="1"/>
  <c r="J1560" i="1"/>
  <c r="B1561" i="1"/>
  <c r="C1561" i="1"/>
  <c r="D1561" i="1"/>
  <c r="E1561" i="1"/>
  <c r="F1561" i="1"/>
  <c r="H1561" i="1"/>
  <c r="I1561" i="1" a="1"/>
  <c r="I1561" i="1"/>
  <c r="J1561" i="1"/>
  <c r="B1562" i="1"/>
  <c r="C1562" i="1"/>
  <c r="D1562" i="1"/>
  <c r="E1562" i="1"/>
  <c r="F1562" i="1"/>
  <c r="H1562" i="1"/>
  <c r="I1562" i="1" a="1"/>
  <c r="I1562" i="1"/>
  <c r="J1562" i="1"/>
  <c r="B1563" i="1"/>
  <c r="C1563" i="1"/>
  <c r="D1563" i="1"/>
  <c r="E1563" i="1"/>
  <c r="F1563" i="1"/>
  <c r="H1563" i="1"/>
  <c r="I1563" i="1" a="1"/>
  <c r="I1563" i="1"/>
  <c r="J1563" i="1"/>
  <c r="B1564" i="1"/>
  <c r="C1564" i="1"/>
  <c r="D1564" i="1"/>
  <c r="E1564" i="1"/>
  <c r="F1564" i="1"/>
  <c r="H1564" i="1"/>
  <c r="I1564" i="1" a="1"/>
  <c r="I1564" i="1"/>
  <c r="J1564" i="1"/>
  <c r="B1565" i="1"/>
  <c r="C1565" i="1"/>
  <c r="D1565" i="1"/>
  <c r="E1565" i="1"/>
  <c r="F1565" i="1"/>
  <c r="H1565" i="1"/>
  <c r="I1565" i="1" a="1"/>
  <c r="I1565" i="1"/>
  <c r="J1565" i="1"/>
  <c r="B1566" i="1"/>
  <c r="C1566" i="1"/>
  <c r="D1566" i="1"/>
  <c r="E1566" i="1"/>
  <c r="F1566" i="1"/>
  <c r="H1566" i="1"/>
  <c r="I1566" i="1" a="1"/>
  <c r="I1566" i="1"/>
  <c r="J1566" i="1"/>
  <c r="B1567" i="1"/>
  <c r="C1567" i="1"/>
  <c r="D1567" i="1"/>
  <c r="E1567" i="1"/>
  <c r="F1567" i="1"/>
  <c r="H1567" i="1"/>
  <c r="I1567" i="1" a="1"/>
  <c r="I1567" i="1"/>
  <c r="J1567" i="1"/>
  <c r="B1568" i="1"/>
  <c r="C1568" i="1"/>
  <c r="D1568" i="1"/>
  <c r="E1568" i="1"/>
  <c r="F1568" i="1"/>
  <c r="H1568" i="1"/>
  <c r="I1568" i="1" a="1"/>
  <c r="I1568" i="1"/>
  <c r="J1568" i="1"/>
  <c r="B1569" i="1"/>
  <c r="C1569" i="1"/>
  <c r="D1569" i="1"/>
  <c r="E1569" i="1"/>
  <c r="F1569" i="1"/>
  <c r="H1569" i="1"/>
  <c r="I1569" i="1" a="1"/>
  <c r="I1569" i="1"/>
  <c r="J1569" i="1"/>
  <c r="B1570" i="1"/>
  <c r="C1570" i="1"/>
  <c r="D1570" i="1"/>
  <c r="E1570" i="1"/>
  <c r="F1570" i="1"/>
  <c r="H1570" i="1"/>
  <c r="I1570" i="1" a="1"/>
  <c r="I1570" i="1"/>
  <c r="J1570" i="1"/>
  <c r="B1571" i="1"/>
  <c r="C1571" i="1"/>
  <c r="D1571" i="1"/>
  <c r="E1571" i="1"/>
  <c r="F1571" i="1"/>
  <c r="H1571" i="1"/>
  <c r="I1571" i="1" a="1"/>
  <c r="I1571" i="1"/>
  <c r="J1571" i="1"/>
  <c r="B1572" i="1"/>
  <c r="C1572" i="1"/>
  <c r="D1572" i="1"/>
  <c r="E1572" i="1"/>
  <c r="F1572" i="1"/>
  <c r="H1572" i="1"/>
  <c r="I1572" i="1" a="1"/>
  <c r="I1572" i="1"/>
  <c r="J1572" i="1"/>
  <c r="B1573" i="1"/>
  <c r="C1573" i="1"/>
  <c r="D1573" i="1"/>
  <c r="E1573" i="1"/>
  <c r="F1573" i="1"/>
  <c r="H1573" i="1"/>
  <c r="I1573" i="1" a="1"/>
  <c r="I1573" i="1"/>
  <c r="J1573" i="1"/>
  <c r="B1574" i="1"/>
  <c r="C1574" i="1"/>
  <c r="D1574" i="1"/>
  <c r="E1574" i="1"/>
  <c r="F1574" i="1"/>
  <c r="H1574" i="1"/>
  <c r="I1574" i="1" a="1"/>
  <c r="I1574" i="1"/>
  <c r="J1574" i="1"/>
  <c r="B1575" i="1"/>
  <c r="C1575" i="1"/>
  <c r="D1575" i="1"/>
  <c r="E1575" i="1"/>
  <c r="F1575" i="1"/>
  <c r="H1575" i="1"/>
  <c r="I1575" i="1" a="1"/>
  <c r="I1575" i="1"/>
  <c r="J1575" i="1"/>
  <c r="B1576" i="1"/>
  <c r="C1576" i="1"/>
  <c r="D1576" i="1"/>
  <c r="E1576" i="1"/>
  <c r="F1576" i="1"/>
  <c r="H1576" i="1"/>
  <c r="I1576" i="1" a="1"/>
  <c r="I1576" i="1"/>
  <c r="J1576" i="1"/>
  <c r="B1577" i="1"/>
  <c r="C1577" i="1"/>
  <c r="D1577" i="1"/>
  <c r="E1577" i="1"/>
  <c r="F1577" i="1"/>
  <c r="H1577" i="1"/>
  <c r="I1577" i="1" a="1"/>
  <c r="I1577" i="1"/>
  <c r="J1577" i="1"/>
  <c r="B1578" i="1"/>
  <c r="C1578" i="1"/>
  <c r="D1578" i="1"/>
  <c r="E1578" i="1"/>
  <c r="F1578" i="1"/>
  <c r="H1578" i="1"/>
  <c r="I1578" i="1" a="1"/>
  <c r="I1578" i="1"/>
  <c r="J1578" i="1"/>
  <c r="B1579" i="1"/>
  <c r="C1579" i="1"/>
  <c r="D1579" i="1"/>
  <c r="E1579" i="1"/>
  <c r="F1579" i="1"/>
  <c r="H1579" i="1"/>
  <c r="I1579" i="1" a="1"/>
  <c r="I1579" i="1"/>
  <c r="J1579" i="1"/>
  <c r="B1580" i="1"/>
  <c r="C1580" i="1"/>
  <c r="D1580" i="1"/>
  <c r="E1580" i="1"/>
  <c r="F1580" i="1"/>
  <c r="H1580" i="1"/>
  <c r="I1580" i="1" a="1"/>
  <c r="I1580" i="1"/>
  <c r="J1580" i="1"/>
  <c r="B1581" i="1"/>
  <c r="C1581" i="1"/>
  <c r="D1581" i="1"/>
  <c r="E1581" i="1"/>
  <c r="F1581" i="1"/>
  <c r="H1581" i="1"/>
  <c r="I1581" i="1" a="1"/>
  <c r="I1581" i="1"/>
  <c r="J1581" i="1"/>
  <c r="B1582" i="1"/>
  <c r="C1582" i="1"/>
  <c r="D1582" i="1"/>
  <c r="E1582" i="1"/>
  <c r="F1582" i="1"/>
  <c r="H1582" i="1"/>
  <c r="I1582" i="1" a="1"/>
  <c r="I1582" i="1"/>
  <c r="J1582" i="1"/>
  <c r="B1583" i="1"/>
  <c r="C1583" i="1"/>
  <c r="D1583" i="1"/>
  <c r="E1583" i="1"/>
  <c r="F1583" i="1"/>
  <c r="H1583" i="1"/>
  <c r="I1583" i="1" a="1"/>
  <c r="I1583" i="1"/>
  <c r="J1583" i="1"/>
  <c r="B1584" i="1"/>
  <c r="C1584" i="1"/>
  <c r="D1584" i="1"/>
  <c r="E1584" i="1"/>
  <c r="F1584" i="1"/>
  <c r="H1584" i="1"/>
  <c r="I1584" i="1" a="1"/>
  <c r="I1584" i="1"/>
  <c r="J1584" i="1"/>
  <c r="B1585" i="1"/>
  <c r="C1585" i="1"/>
  <c r="D1585" i="1"/>
  <c r="E1585" i="1"/>
  <c r="F1585" i="1"/>
  <c r="H1585" i="1"/>
  <c r="I1585" i="1" a="1"/>
  <c r="I1585" i="1"/>
  <c r="J1585" i="1"/>
  <c r="B1586" i="1"/>
  <c r="C1586" i="1"/>
  <c r="D1586" i="1"/>
  <c r="E1586" i="1"/>
  <c r="F1586" i="1"/>
  <c r="H1586" i="1"/>
  <c r="I1586" i="1" a="1"/>
  <c r="I1586" i="1"/>
  <c r="J1586" i="1"/>
  <c r="B1587" i="1"/>
  <c r="C1587" i="1"/>
  <c r="D1587" i="1"/>
  <c r="E1587" i="1"/>
  <c r="F1587" i="1"/>
  <c r="H1587" i="1"/>
  <c r="I1587" i="1" a="1"/>
  <c r="I1587" i="1"/>
  <c r="J1587" i="1"/>
  <c r="B1588" i="1"/>
  <c r="C1588" i="1"/>
  <c r="D1588" i="1"/>
  <c r="E1588" i="1"/>
  <c r="F1588" i="1"/>
  <c r="H1588" i="1"/>
  <c r="I1588" i="1" a="1"/>
  <c r="I1588" i="1"/>
  <c r="J1588" i="1"/>
  <c r="B1589" i="1"/>
  <c r="C1589" i="1"/>
  <c r="D1589" i="1"/>
  <c r="E1589" i="1"/>
  <c r="F1589" i="1"/>
  <c r="H1589" i="1"/>
  <c r="I1589" i="1" a="1"/>
  <c r="I1589" i="1"/>
  <c r="J1589" i="1"/>
  <c r="B1590" i="1"/>
  <c r="C1590" i="1"/>
  <c r="D1590" i="1"/>
  <c r="E1590" i="1"/>
  <c r="F1590" i="1"/>
  <c r="H1590" i="1"/>
  <c r="I1590" i="1" a="1"/>
  <c r="I1590" i="1"/>
  <c r="J1590" i="1"/>
  <c r="B1591" i="1"/>
  <c r="C1591" i="1"/>
  <c r="D1591" i="1"/>
  <c r="E1591" i="1"/>
  <c r="F1591" i="1"/>
  <c r="H1591" i="1"/>
  <c r="I1591" i="1" a="1"/>
  <c r="I1591" i="1"/>
  <c r="J1591" i="1"/>
  <c r="B1592" i="1"/>
  <c r="C1592" i="1"/>
  <c r="D1592" i="1"/>
  <c r="E1592" i="1"/>
  <c r="F1592" i="1"/>
  <c r="H1592" i="1"/>
  <c r="I1592" i="1" a="1"/>
  <c r="I1592" i="1"/>
  <c r="J1592" i="1"/>
  <c r="B1593" i="1"/>
  <c r="C1593" i="1"/>
  <c r="D1593" i="1"/>
  <c r="E1593" i="1"/>
  <c r="F1593" i="1"/>
  <c r="H1593" i="1"/>
  <c r="I1593" i="1" a="1"/>
  <c r="I1593" i="1"/>
  <c r="J1593" i="1"/>
  <c r="B1594" i="1"/>
  <c r="C1594" i="1"/>
  <c r="D1594" i="1"/>
  <c r="E1594" i="1"/>
  <c r="F1594" i="1"/>
  <c r="H1594" i="1"/>
  <c r="I1594" i="1" a="1"/>
  <c r="I1594" i="1"/>
  <c r="J1594" i="1"/>
  <c r="B1595" i="1"/>
  <c r="C1595" i="1"/>
  <c r="D1595" i="1"/>
  <c r="E1595" i="1"/>
  <c r="F1595" i="1"/>
  <c r="H1595" i="1"/>
  <c r="I1595" i="1" a="1"/>
  <c r="I1595" i="1"/>
  <c r="J1595" i="1"/>
  <c r="B1596" i="1"/>
  <c r="C1596" i="1"/>
  <c r="D1596" i="1"/>
  <c r="E1596" i="1"/>
  <c r="F1596" i="1"/>
  <c r="H1596" i="1"/>
  <c r="I1596" i="1" a="1"/>
  <c r="I1596" i="1"/>
  <c r="J1596" i="1"/>
  <c r="B1597" i="1"/>
  <c r="C1597" i="1"/>
  <c r="D1597" i="1"/>
  <c r="E1597" i="1"/>
  <c r="F1597" i="1"/>
  <c r="H1597" i="1"/>
  <c r="I1597" i="1" a="1"/>
  <c r="I1597" i="1"/>
  <c r="J1597" i="1"/>
  <c r="B1598" i="1"/>
  <c r="C1598" i="1"/>
  <c r="D1598" i="1"/>
  <c r="E1598" i="1"/>
  <c r="F1598" i="1"/>
  <c r="H1598" i="1"/>
  <c r="I1598" i="1" a="1"/>
  <c r="I1598" i="1"/>
  <c r="J1598" i="1"/>
  <c r="B1599" i="1"/>
  <c r="C1599" i="1"/>
  <c r="D1599" i="1"/>
  <c r="E1599" i="1"/>
  <c r="F1599" i="1"/>
  <c r="H1599" i="1"/>
  <c r="I1599" i="1" a="1"/>
  <c r="I1599" i="1"/>
  <c r="J1599" i="1"/>
  <c r="B1600" i="1"/>
  <c r="C1600" i="1"/>
  <c r="D1600" i="1"/>
  <c r="E1600" i="1"/>
  <c r="F1600" i="1"/>
  <c r="H1600" i="1"/>
  <c r="I1600" i="1" a="1"/>
  <c r="I1600" i="1"/>
  <c r="J1600" i="1"/>
  <c r="B1601" i="1"/>
  <c r="C1601" i="1"/>
  <c r="D1601" i="1"/>
  <c r="E1601" i="1"/>
  <c r="F1601" i="1"/>
  <c r="H1601" i="1"/>
  <c r="I1601" i="1" a="1"/>
  <c r="I1601" i="1"/>
  <c r="J1601" i="1"/>
  <c r="B1602" i="1"/>
  <c r="C1602" i="1"/>
  <c r="D1602" i="1"/>
  <c r="E1602" i="1"/>
  <c r="F1602" i="1"/>
  <c r="H1602" i="1"/>
  <c r="I1602" i="1" a="1"/>
  <c r="I1602" i="1"/>
  <c r="J1602" i="1"/>
  <c r="B1603" i="1"/>
  <c r="C1603" i="1"/>
  <c r="D1603" i="1"/>
  <c r="E1603" i="1"/>
  <c r="F1603" i="1"/>
  <c r="H1603" i="1"/>
  <c r="I1603" i="1" a="1"/>
  <c r="I1603" i="1"/>
  <c r="J1603" i="1"/>
  <c r="B1604" i="1"/>
  <c r="C1604" i="1"/>
  <c r="D1604" i="1"/>
  <c r="E1604" i="1"/>
  <c r="F1604" i="1"/>
  <c r="H1604" i="1"/>
  <c r="I1604" i="1" a="1"/>
  <c r="I1604" i="1"/>
  <c r="J1604" i="1"/>
  <c r="B1605" i="1"/>
  <c r="C1605" i="1"/>
  <c r="D1605" i="1"/>
  <c r="E1605" i="1"/>
  <c r="F1605" i="1"/>
  <c r="H1605" i="1"/>
  <c r="I1605" i="1" a="1"/>
  <c r="I1605" i="1"/>
  <c r="J1605" i="1"/>
  <c r="B1606" i="1"/>
  <c r="C1606" i="1"/>
  <c r="D1606" i="1"/>
  <c r="E1606" i="1"/>
  <c r="F1606" i="1"/>
  <c r="H1606" i="1"/>
  <c r="I1606" i="1" a="1"/>
  <c r="I1606" i="1"/>
  <c r="J1606" i="1"/>
  <c r="B1607" i="1"/>
  <c r="C1607" i="1"/>
  <c r="D1607" i="1"/>
  <c r="E1607" i="1"/>
  <c r="F1607" i="1"/>
  <c r="H1607" i="1"/>
  <c r="I1607" i="1" a="1"/>
  <c r="I1607" i="1"/>
  <c r="J1607" i="1"/>
  <c r="B1608" i="1"/>
  <c r="C1608" i="1"/>
  <c r="D1608" i="1"/>
  <c r="E1608" i="1"/>
  <c r="F1608" i="1"/>
  <c r="H1608" i="1"/>
  <c r="I1608" i="1" a="1"/>
  <c r="I1608" i="1"/>
  <c r="J1608" i="1"/>
  <c r="B1609" i="1"/>
  <c r="C1609" i="1"/>
  <c r="D1609" i="1"/>
  <c r="E1609" i="1"/>
  <c r="F1609" i="1"/>
  <c r="H1609" i="1"/>
  <c r="I1609" i="1" a="1"/>
  <c r="I1609" i="1"/>
  <c r="J1609" i="1"/>
  <c r="B1610" i="1"/>
  <c r="C1610" i="1"/>
  <c r="D1610" i="1"/>
  <c r="E1610" i="1"/>
  <c r="F1610" i="1"/>
  <c r="H1610" i="1"/>
  <c r="I1610" i="1" a="1"/>
  <c r="I1610" i="1"/>
  <c r="J1610" i="1"/>
  <c r="B1611" i="1"/>
  <c r="C1611" i="1"/>
  <c r="D1611" i="1"/>
  <c r="E1611" i="1"/>
  <c r="F1611" i="1"/>
  <c r="H1611" i="1"/>
  <c r="I1611" i="1" a="1"/>
  <c r="I1611" i="1"/>
  <c r="J1611" i="1"/>
  <c r="B1612" i="1"/>
  <c r="C1612" i="1"/>
  <c r="D1612" i="1"/>
  <c r="E1612" i="1"/>
  <c r="F1612" i="1"/>
  <c r="H1612" i="1"/>
  <c r="I1612" i="1" a="1"/>
  <c r="I1612" i="1"/>
  <c r="J1612" i="1"/>
  <c r="B1613" i="1"/>
  <c r="C1613" i="1"/>
  <c r="D1613" i="1"/>
  <c r="E1613" i="1"/>
  <c r="F1613" i="1"/>
  <c r="H1613" i="1"/>
  <c r="I1613" i="1" a="1"/>
  <c r="I1613" i="1"/>
  <c r="J1613" i="1"/>
  <c r="B1614" i="1"/>
  <c r="C1614" i="1"/>
  <c r="D1614" i="1"/>
  <c r="E1614" i="1"/>
  <c r="F1614" i="1"/>
  <c r="H1614" i="1"/>
  <c r="I1614" i="1" a="1"/>
  <c r="I1614" i="1"/>
  <c r="J1614" i="1"/>
  <c r="B1615" i="1"/>
  <c r="C1615" i="1"/>
  <c r="D1615" i="1"/>
  <c r="E1615" i="1"/>
  <c r="F1615" i="1"/>
  <c r="H1615" i="1"/>
  <c r="I1615" i="1" a="1"/>
  <c r="I1615" i="1"/>
  <c r="J1615" i="1"/>
  <c r="B1616" i="1"/>
  <c r="C1616" i="1"/>
  <c r="D1616" i="1"/>
  <c r="E1616" i="1"/>
  <c r="F1616" i="1"/>
  <c r="H1616" i="1"/>
  <c r="I1616" i="1" a="1"/>
  <c r="I1616" i="1"/>
  <c r="J1616" i="1"/>
  <c r="B1617" i="1"/>
  <c r="C1617" i="1"/>
  <c r="D1617" i="1"/>
  <c r="E1617" i="1"/>
  <c r="F1617" i="1"/>
  <c r="H1617" i="1"/>
  <c r="I1617" i="1" a="1"/>
  <c r="I1617" i="1"/>
  <c r="J1617" i="1"/>
  <c r="B1618" i="1"/>
  <c r="C1618" i="1"/>
  <c r="D1618" i="1"/>
  <c r="E1618" i="1"/>
  <c r="F1618" i="1"/>
  <c r="H1618" i="1"/>
  <c r="I1618" i="1" a="1"/>
  <c r="I1618" i="1"/>
  <c r="J1618" i="1"/>
  <c r="B1619" i="1"/>
  <c r="C1619" i="1"/>
  <c r="D1619" i="1"/>
  <c r="E1619" i="1"/>
  <c r="F1619" i="1"/>
  <c r="H1619" i="1"/>
  <c r="I1619" i="1" a="1"/>
  <c r="I1619" i="1"/>
  <c r="J1619" i="1"/>
  <c r="B1620" i="1"/>
  <c r="C1620" i="1"/>
  <c r="D1620" i="1"/>
  <c r="E1620" i="1"/>
  <c r="F1620" i="1"/>
  <c r="H1620" i="1"/>
  <c r="I1620" i="1" a="1"/>
  <c r="I1620" i="1"/>
  <c r="J1620" i="1"/>
  <c r="B1621" i="1"/>
  <c r="C1621" i="1"/>
  <c r="D1621" i="1"/>
  <c r="E1621" i="1"/>
  <c r="F1621" i="1"/>
  <c r="H1621" i="1"/>
  <c r="I1621" i="1" a="1"/>
  <c r="I1621" i="1"/>
  <c r="J1621" i="1"/>
  <c r="B1622" i="1"/>
  <c r="C1622" i="1"/>
  <c r="D1622" i="1"/>
  <c r="E1622" i="1"/>
  <c r="F1622" i="1"/>
  <c r="H1622" i="1"/>
  <c r="I1622" i="1" a="1"/>
  <c r="I1622" i="1"/>
  <c r="J1622" i="1"/>
  <c r="B1623" i="1"/>
  <c r="C1623" i="1"/>
  <c r="D1623" i="1"/>
  <c r="E1623" i="1"/>
  <c r="F1623" i="1"/>
  <c r="H1623" i="1"/>
  <c r="I1623" i="1" a="1"/>
  <c r="I1623" i="1"/>
  <c r="J1623" i="1"/>
  <c r="B1624" i="1"/>
  <c r="C1624" i="1"/>
  <c r="D1624" i="1"/>
  <c r="E1624" i="1"/>
  <c r="F1624" i="1"/>
  <c r="H1624" i="1"/>
  <c r="I1624" i="1" a="1"/>
  <c r="I1624" i="1"/>
  <c r="J1624" i="1"/>
  <c r="B1625" i="1"/>
  <c r="C1625" i="1"/>
  <c r="D1625" i="1"/>
  <c r="E1625" i="1"/>
  <c r="F1625" i="1"/>
  <c r="H1625" i="1"/>
  <c r="I1625" i="1" a="1"/>
  <c r="I1625" i="1"/>
  <c r="J1625" i="1"/>
  <c r="B1626" i="1"/>
  <c r="C1626" i="1"/>
  <c r="D1626" i="1"/>
  <c r="E1626" i="1"/>
  <c r="F1626" i="1"/>
  <c r="H1626" i="1"/>
  <c r="I1626" i="1" a="1"/>
  <c r="I1626" i="1"/>
  <c r="J1626" i="1"/>
  <c r="B1627" i="1"/>
  <c r="C1627" i="1"/>
  <c r="D1627" i="1"/>
  <c r="E1627" i="1"/>
  <c r="F1627" i="1"/>
  <c r="H1627" i="1"/>
  <c r="I1627" i="1" a="1"/>
  <c r="I1627" i="1"/>
  <c r="J1627" i="1"/>
  <c r="B1628" i="1"/>
  <c r="C1628" i="1"/>
  <c r="D1628" i="1"/>
  <c r="E1628" i="1"/>
  <c r="F1628" i="1"/>
  <c r="H1628" i="1"/>
  <c r="I1628" i="1" a="1"/>
  <c r="I1628" i="1"/>
  <c r="J1628" i="1"/>
  <c r="B1629" i="1"/>
  <c r="C1629" i="1"/>
  <c r="D1629" i="1"/>
  <c r="E1629" i="1"/>
  <c r="F1629" i="1"/>
  <c r="H1629" i="1"/>
  <c r="I1629" i="1" a="1"/>
  <c r="I1629" i="1"/>
  <c r="J1629" i="1"/>
  <c r="B1630" i="1"/>
  <c r="C1630" i="1"/>
  <c r="D1630" i="1"/>
  <c r="E1630" i="1"/>
  <c r="F1630" i="1"/>
  <c r="H1630" i="1"/>
  <c r="I1630" i="1" a="1"/>
  <c r="I1630" i="1"/>
  <c r="J1630" i="1"/>
  <c r="B1631" i="1"/>
  <c r="C1631" i="1"/>
  <c r="D1631" i="1"/>
  <c r="E1631" i="1"/>
  <c r="F1631" i="1"/>
  <c r="H1631" i="1"/>
  <c r="I1631" i="1" a="1"/>
  <c r="I1631" i="1"/>
  <c r="J1631" i="1"/>
  <c r="B1632" i="1"/>
  <c r="C1632" i="1"/>
  <c r="D1632" i="1"/>
  <c r="E1632" i="1"/>
  <c r="F1632" i="1"/>
  <c r="H1632" i="1"/>
  <c r="I1632" i="1" a="1"/>
  <c r="I1632" i="1"/>
  <c r="J1632" i="1"/>
  <c r="B1633" i="1"/>
  <c r="C1633" i="1"/>
  <c r="D1633" i="1"/>
  <c r="E1633" i="1"/>
  <c r="F1633" i="1"/>
  <c r="H1633" i="1"/>
  <c r="I1633" i="1" a="1"/>
  <c r="I1633" i="1"/>
  <c r="J1633" i="1"/>
  <c r="B1634" i="1"/>
  <c r="C1634" i="1"/>
  <c r="D1634" i="1"/>
  <c r="E1634" i="1"/>
  <c r="F1634" i="1"/>
  <c r="H1634" i="1"/>
  <c r="I1634" i="1" a="1"/>
  <c r="I1634" i="1"/>
  <c r="J1634" i="1"/>
  <c r="B1635" i="1"/>
  <c r="C1635" i="1"/>
  <c r="D1635" i="1"/>
  <c r="E1635" i="1"/>
  <c r="F1635" i="1"/>
  <c r="H1635" i="1"/>
  <c r="I1635" i="1" a="1"/>
  <c r="I1635" i="1"/>
  <c r="J1635" i="1"/>
  <c r="B1636" i="1"/>
  <c r="C1636" i="1"/>
  <c r="D1636" i="1"/>
  <c r="E1636" i="1"/>
  <c r="F1636" i="1"/>
  <c r="H1636" i="1"/>
  <c r="I1636" i="1" a="1"/>
  <c r="I1636" i="1"/>
  <c r="J1636" i="1"/>
  <c r="B1637" i="1"/>
  <c r="C1637" i="1"/>
  <c r="D1637" i="1"/>
  <c r="E1637" i="1"/>
  <c r="F1637" i="1"/>
  <c r="H1637" i="1"/>
  <c r="I1637" i="1" a="1"/>
  <c r="I1637" i="1"/>
  <c r="J1637" i="1"/>
  <c r="B1638" i="1"/>
  <c r="C1638" i="1"/>
  <c r="D1638" i="1"/>
  <c r="E1638" i="1"/>
  <c r="F1638" i="1"/>
  <c r="H1638" i="1"/>
  <c r="I1638" i="1" a="1"/>
  <c r="I1638" i="1"/>
  <c r="J1638" i="1"/>
  <c r="B1639" i="1"/>
  <c r="C1639" i="1"/>
  <c r="D1639" i="1"/>
  <c r="E1639" i="1"/>
  <c r="F1639" i="1"/>
  <c r="H1639" i="1"/>
  <c r="I1639" i="1" a="1"/>
  <c r="I1639" i="1"/>
  <c r="J1639" i="1"/>
  <c r="B1640" i="1"/>
  <c r="C1640" i="1"/>
  <c r="D1640" i="1"/>
  <c r="E1640" i="1"/>
  <c r="F1640" i="1"/>
  <c r="H1640" i="1"/>
  <c r="I1640" i="1" a="1"/>
  <c r="I1640" i="1"/>
  <c r="J1640" i="1"/>
  <c r="B1641" i="1"/>
  <c r="C1641" i="1"/>
  <c r="D1641" i="1"/>
  <c r="E1641" i="1"/>
  <c r="F1641" i="1"/>
  <c r="H1641" i="1"/>
  <c r="I1641" i="1" a="1"/>
  <c r="I1641" i="1"/>
  <c r="J1641" i="1"/>
  <c r="B1642" i="1"/>
  <c r="C1642" i="1"/>
  <c r="D1642" i="1"/>
  <c r="E1642" i="1"/>
  <c r="F1642" i="1"/>
  <c r="H1642" i="1"/>
  <c r="I1642" i="1" a="1"/>
  <c r="I1642" i="1"/>
  <c r="J1642" i="1"/>
  <c r="B1643" i="1"/>
  <c r="C1643" i="1"/>
  <c r="D1643" i="1"/>
  <c r="E1643" i="1"/>
  <c r="F1643" i="1"/>
  <c r="H1643" i="1"/>
  <c r="I1643" i="1" a="1"/>
  <c r="I1643" i="1"/>
  <c r="J1643" i="1"/>
  <c r="B1644" i="1"/>
  <c r="C1644" i="1"/>
  <c r="D1644" i="1"/>
  <c r="E1644" i="1"/>
  <c r="F1644" i="1"/>
  <c r="H1644" i="1"/>
  <c r="I1644" i="1" a="1"/>
  <c r="I1644" i="1"/>
  <c r="J1644" i="1"/>
  <c r="B1645" i="1"/>
  <c r="C1645" i="1"/>
  <c r="D1645" i="1"/>
  <c r="E1645" i="1"/>
  <c r="F1645" i="1"/>
  <c r="H1645" i="1"/>
  <c r="I1645" i="1" a="1"/>
  <c r="I1645" i="1"/>
  <c r="J1645" i="1"/>
  <c r="B1646" i="1"/>
  <c r="C1646" i="1"/>
  <c r="D1646" i="1"/>
  <c r="E1646" i="1"/>
  <c r="F1646" i="1"/>
  <c r="H1646" i="1"/>
  <c r="I1646" i="1" a="1"/>
  <c r="I1646" i="1"/>
  <c r="J1646" i="1"/>
  <c r="B1647" i="1"/>
  <c r="C1647" i="1"/>
  <c r="D1647" i="1"/>
  <c r="E1647" i="1"/>
  <c r="F1647" i="1"/>
  <c r="H1647" i="1"/>
  <c r="I1647" i="1" a="1"/>
  <c r="I1647" i="1"/>
  <c r="J1647" i="1"/>
  <c r="B1648" i="1"/>
  <c r="C1648" i="1"/>
  <c r="D1648" i="1"/>
  <c r="E1648" i="1"/>
  <c r="F1648" i="1"/>
  <c r="H1648" i="1"/>
  <c r="I1648" i="1" a="1"/>
  <c r="I1648" i="1"/>
  <c r="J1648" i="1"/>
  <c r="B1649" i="1"/>
  <c r="C1649" i="1"/>
  <c r="D1649" i="1"/>
  <c r="E1649" i="1"/>
  <c r="F1649" i="1"/>
  <c r="H1649" i="1"/>
  <c r="I1649" i="1" a="1"/>
  <c r="I1649" i="1"/>
  <c r="J1649" i="1"/>
  <c r="B1650" i="1"/>
  <c r="C1650" i="1"/>
  <c r="D1650" i="1"/>
  <c r="E1650" i="1"/>
  <c r="F1650" i="1"/>
  <c r="H1650" i="1"/>
  <c r="I1650" i="1" a="1"/>
  <c r="I1650" i="1"/>
  <c r="J1650" i="1"/>
  <c r="B1651" i="1"/>
  <c r="C1651" i="1"/>
  <c r="D1651" i="1"/>
  <c r="E1651" i="1"/>
  <c r="F1651" i="1"/>
  <c r="H1651" i="1"/>
  <c r="I1651" i="1" a="1"/>
  <c r="I1651" i="1"/>
  <c r="J1651" i="1"/>
  <c r="B1652" i="1"/>
  <c r="C1652" i="1"/>
  <c r="D1652" i="1"/>
  <c r="E1652" i="1"/>
  <c r="F1652" i="1"/>
  <c r="H1652" i="1"/>
  <c r="I1652" i="1" a="1"/>
  <c r="I1652" i="1"/>
  <c r="J1652" i="1"/>
  <c r="B1653" i="1"/>
  <c r="C1653" i="1"/>
  <c r="D1653" i="1"/>
  <c r="E1653" i="1"/>
  <c r="F1653" i="1"/>
  <c r="H1653" i="1"/>
  <c r="I1653" i="1" a="1"/>
  <c r="I1653" i="1"/>
  <c r="J1653" i="1"/>
  <c r="B1654" i="1"/>
  <c r="C1654" i="1"/>
  <c r="D1654" i="1"/>
  <c r="E1654" i="1"/>
  <c r="F1654" i="1"/>
  <c r="H1654" i="1"/>
  <c r="I1654" i="1" a="1"/>
  <c r="I1654" i="1"/>
  <c r="J1654" i="1"/>
  <c r="B1655" i="1"/>
  <c r="C1655" i="1"/>
  <c r="D1655" i="1"/>
  <c r="E1655" i="1"/>
  <c r="F1655" i="1"/>
  <c r="H1655" i="1"/>
  <c r="I1655" i="1" a="1"/>
  <c r="I1655" i="1"/>
  <c r="J1655" i="1"/>
  <c r="B1656" i="1"/>
  <c r="C1656" i="1"/>
  <c r="D1656" i="1"/>
  <c r="E1656" i="1"/>
  <c r="F1656" i="1"/>
  <c r="H1656" i="1"/>
  <c r="I1656" i="1" a="1"/>
  <c r="I1656" i="1"/>
  <c r="J1656" i="1"/>
  <c r="B1657" i="1"/>
  <c r="C1657" i="1"/>
  <c r="D1657" i="1"/>
  <c r="E1657" i="1"/>
  <c r="F1657" i="1"/>
  <c r="H1657" i="1"/>
  <c r="I1657" i="1" a="1"/>
  <c r="I1657" i="1"/>
  <c r="J1657" i="1"/>
  <c r="B1658" i="1"/>
  <c r="C1658" i="1"/>
  <c r="D1658" i="1"/>
  <c r="E1658" i="1"/>
  <c r="F1658" i="1"/>
  <c r="H1658" i="1"/>
  <c r="I1658" i="1" a="1"/>
  <c r="I1658" i="1"/>
  <c r="J1658" i="1"/>
  <c r="B1659" i="1"/>
  <c r="C1659" i="1"/>
  <c r="D1659" i="1"/>
  <c r="E1659" i="1"/>
  <c r="F1659" i="1"/>
  <c r="H1659" i="1"/>
  <c r="I1659" i="1" a="1"/>
  <c r="I1659" i="1"/>
  <c r="J1659" i="1"/>
  <c r="B1660" i="1"/>
  <c r="C1660" i="1"/>
  <c r="D1660" i="1"/>
  <c r="E1660" i="1"/>
  <c r="F1660" i="1"/>
  <c r="H1660" i="1"/>
  <c r="I1660" i="1" a="1"/>
  <c r="I1660" i="1"/>
  <c r="J1660" i="1"/>
  <c r="B1661" i="1"/>
  <c r="C1661" i="1"/>
  <c r="D1661" i="1"/>
  <c r="E1661" i="1"/>
  <c r="F1661" i="1"/>
  <c r="H1661" i="1"/>
  <c r="I1661" i="1" a="1"/>
  <c r="I1661" i="1"/>
  <c r="J1661" i="1"/>
  <c r="B1662" i="1"/>
  <c r="C1662" i="1"/>
  <c r="D1662" i="1"/>
  <c r="E1662" i="1"/>
  <c r="F1662" i="1"/>
  <c r="H1662" i="1"/>
  <c r="I1662" i="1" a="1"/>
  <c r="I1662" i="1"/>
  <c r="J1662" i="1"/>
  <c r="B1663" i="1"/>
  <c r="C1663" i="1"/>
  <c r="D1663" i="1"/>
  <c r="E1663" i="1"/>
  <c r="F1663" i="1"/>
  <c r="H1663" i="1"/>
  <c r="I1663" i="1" a="1"/>
  <c r="I1663" i="1"/>
  <c r="J1663" i="1"/>
  <c r="B1664" i="1"/>
  <c r="C1664" i="1"/>
  <c r="D1664" i="1"/>
  <c r="E1664" i="1"/>
  <c r="F1664" i="1"/>
  <c r="H1664" i="1"/>
  <c r="I1664" i="1" a="1"/>
  <c r="I1664" i="1"/>
  <c r="J1664" i="1"/>
  <c r="B1665" i="1"/>
  <c r="C1665" i="1"/>
  <c r="D1665" i="1"/>
  <c r="E1665" i="1"/>
  <c r="F1665" i="1"/>
  <c r="H1665" i="1"/>
  <c r="I1665" i="1" a="1"/>
  <c r="I1665" i="1"/>
  <c r="J1665" i="1"/>
  <c r="B1666" i="1"/>
  <c r="C1666" i="1"/>
  <c r="D1666" i="1"/>
  <c r="E1666" i="1"/>
  <c r="F1666" i="1"/>
  <c r="H1666" i="1"/>
  <c r="I1666" i="1" a="1"/>
  <c r="I1666" i="1"/>
  <c r="J1666" i="1"/>
  <c r="B1667" i="1"/>
  <c r="C1667" i="1"/>
  <c r="D1667" i="1"/>
  <c r="E1667" i="1"/>
  <c r="F1667" i="1"/>
  <c r="H1667" i="1"/>
  <c r="I1667" i="1" a="1"/>
  <c r="I1667" i="1"/>
  <c r="J1667" i="1"/>
  <c r="B1668" i="1"/>
  <c r="C1668" i="1"/>
  <c r="D1668" i="1"/>
  <c r="E1668" i="1"/>
  <c r="F1668" i="1"/>
  <c r="H1668" i="1"/>
  <c r="I1668" i="1" a="1"/>
  <c r="I1668" i="1"/>
  <c r="J1668" i="1"/>
  <c r="B1669" i="1"/>
  <c r="C1669" i="1"/>
  <c r="D1669" i="1"/>
  <c r="E1669" i="1"/>
  <c r="F1669" i="1"/>
  <c r="H1669" i="1"/>
  <c r="I1669" i="1" a="1"/>
  <c r="I1669" i="1"/>
  <c r="J1669" i="1"/>
  <c r="B1670" i="1"/>
  <c r="C1670" i="1"/>
  <c r="D1670" i="1"/>
  <c r="E1670" i="1"/>
  <c r="F1670" i="1"/>
  <c r="H1670" i="1"/>
  <c r="I1670" i="1" a="1"/>
  <c r="I1670" i="1"/>
  <c r="J1670" i="1"/>
  <c r="B1671" i="1"/>
  <c r="C1671" i="1"/>
  <c r="D1671" i="1"/>
  <c r="E1671" i="1"/>
  <c r="F1671" i="1"/>
  <c r="H1671" i="1"/>
  <c r="I1671" i="1" a="1"/>
  <c r="I1671" i="1"/>
  <c r="J1671" i="1"/>
  <c r="B1672" i="1"/>
  <c r="C1672" i="1"/>
  <c r="D1672" i="1"/>
  <c r="E1672" i="1"/>
  <c r="F1672" i="1"/>
  <c r="H1672" i="1"/>
  <c r="I1672" i="1" a="1"/>
  <c r="I1672" i="1"/>
  <c r="J1672" i="1"/>
  <c r="B1673" i="1"/>
  <c r="C1673" i="1"/>
  <c r="D1673" i="1"/>
  <c r="E1673" i="1"/>
  <c r="F1673" i="1"/>
  <c r="H1673" i="1"/>
  <c r="I1673" i="1" a="1"/>
  <c r="I1673" i="1"/>
  <c r="J1673" i="1"/>
  <c r="B1674" i="1"/>
  <c r="C1674" i="1"/>
  <c r="D1674" i="1"/>
  <c r="E1674" i="1"/>
  <c r="F1674" i="1"/>
  <c r="H1674" i="1"/>
  <c r="I1674" i="1" a="1"/>
  <c r="I1674" i="1"/>
  <c r="J1674" i="1"/>
  <c r="B1675" i="1"/>
  <c r="C1675" i="1"/>
  <c r="D1675" i="1"/>
  <c r="E1675" i="1"/>
  <c r="F1675" i="1"/>
  <c r="H1675" i="1"/>
  <c r="I1675" i="1" a="1"/>
  <c r="I1675" i="1"/>
  <c r="J1675" i="1"/>
  <c r="B1676" i="1"/>
  <c r="C1676" i="1"/>
  <c r="D1676" i="1"/>
  <c r="E1676" i="1"/>
  <c r="F1676" i="1"/>
  <c r="H1676" i="1"/>
  <c r="I1676" i="1" a="1"/>
  <c r="I1676" i="1"/>
  <c r="J1676" i="1"/>
  <c r="B1677" i="1"/>
  <c r="C1677" i="1"/>
  <c r="D1677" i="1"/>
  <c r="E1677" i="1"/>
  <c r="F1677" i="1"/>
  <c r="H1677" i="1"/>
  <c r="I1677" i="1" a="1"/>
  <c r="I1677" i="1"/>
  <c r="J1677" i="1"/>
  <c r="B1678" i="1"/>
  <c r="C1678" i="1"/>
  <c r="D1678" i="1"/>
  <c r="E1678" i="1"/>
  <c r="F1678" i="1"/>
  <c r="H1678" i="1"/>
  <c r="I1678" i="1" a="1"/>
  <c r="I1678" i="1"/>
  <c r="J1678" i="1"/>
  <c r="B1679" i="1"/>
  <c r="C1679" i="1"/>
  <c r="D1679" i="1"/>
  <c r="E1679" i="1"/>
  <c r="F1679" i="1"/>
  <c r="H1679" i="1"/>
  <c r="I1679" i="1" a="1"/>
  <c r="I1679" i="1"/>
  <c r="J1679" i="1"/>
  <c r="B1680" i="1"/>
  <c r="C1680" i="1"/>
  <c r="D1680" i="1"/>
  <c r="E1680" i="1"/>
  <c r="F1680" i="1"/>
  <c r="H1680" i="1"/>
  <c r="I1680" i="1" a="1"/>
  <c r="I1680" i="1"/>
  <c r="J1680" i="1"/>
  <c r="B1681" i="1"/>
  <c r="C1681" i="1"/>
  <c r="D1681" i="1"/>
  <c r="E1681" i="1"/>
  <c r="F1681" i="1"/>
  <c r="H1681" i="1"/>
  <c r="I1681" i="1" a="1"/>
  <c r="I1681" i="1"/>
  <c r="J1681" i="1"/>
  <c r="B1682" i="1"/>
  <c r="C1682" i="1"/>
  <c r="D1682" i="1"/>
  <c r="E1682" i="1"/>
  <c r="F1682" i="1"/>
  <c r="H1682" i="1"/>
  <c r="I1682" i="1" a="1"/>
  <c r="I1682" i="1"/>
  <c r="J1682" i="1"/>
  <c r="B1683" i="1"/>
  <c r="C1683" i="1"/>
  <c r="D1683" i="1"/>
  <c r="E1683" i="1"/>
  <c r="F1683" i="1"/>
  <c r="H1683" i="1"/>
  <c r="I1683" i="1" a="1"/>
  <c r="I1683" i="1"/>
  <c r="J1683" i="1"/>
  <c r="B1684" i="1"/>
  <c r="C1684" i="1"/>
  <c r="D1684" i="1"/>
  <c r="E1684" i="1"/>
  <c r="F1684" i="1"/>
  <c r="H1684" i="1"/>
  <c r="I1684" i="1" a="1"/>
  <c r="I1684" i="1"/>
  <c r="J1684" i="1"/>
  <c r="B1685" i="1"/>
  <c r="C1685" i="1"/>
  <c r="D1685" i="1"/>
  <c r="E1685" i="1"/>
  <c r="F1685" i="1"/>
  <c r="H1685" i="1"/>
  <c r="I1685" i="1" a="1"/>
  <c r="I1685" i="1"/>
  <c r="J1685" i="1"/>
  <c r="B1686" i="1"/>
  <c r="C1686" i="1"/>
  <c r="D1686" i="1"/>
  <c r="E1686" i="1"/>
  <c r="F1686" i="1"/>
  <c r="H1686" i="1"/>
  <c r="I1686" i="1" a="1"/>
  <c r="I1686" i="1"/>
  <c r="J1686" i="1"/>
  <c r="B1687" i="1"/>
  <c r="C1687" i="1"/>
  <c r="D1687" i="1"/>
  <c r="E1687" i="1"/>
  <c r="F1687" i="1"/>
  <c r="H1687" i="1"/>
  <c r="I1687" i="1" a="1"/>
  <c r="I1687" i="1"/>
  <c r="J1687" i="1"/>
  <c r="B1688" i="1"/>
  <c r="C1688" i="1"/>
  <c r="D1688" i="1"/>
  <c r="E1688" i="1"/>
  <c r="F1688" i="1"/>
  <c r="H1688" i="1"/>
  <c r="I1688" i="1" a="1"/>
  <c r="I1688" i="1"/>
  <c r="J1688" i="1"/>
  <c r="B1689" i="1"/>
  <c r="C1689" i="1"/>
  <c r="D1689" i="1"/>
  <c r="E1689" i="1"/>
  <c r="F1689" i="1"/>
  <c r="H1689" i="1"/>
  <c r="I1689" i="1" a="1"/>
  <c r="I1689" i="1"/>
  <c r="J1689" i="1"/>
  <c r="B1690" i="1"/>
  <c r="C1690" i="1"/>
  <c r="D1690" i="1"/>
  <c r="E1690" i="1"/>
  <c r="F1690" i="1"/>
  <c r="H1690" i="1"/>
  <c r="I1690" i="1" a="1"/>
  <c r="I1690" i="1"/>
  <c r="J1690" i="1"/>
  <c r="B1691" i="1"/>
  <c r="C1691" i="1"/>
  <c r="D1691" i="1"/>
  <c r="E1691" i="1"/>
  <c r="F1691" i="1"/>
  <c r="H1691" i="1"/>
  <c r="I1691" i="1" a="1"/>
  <c r="I1691" i="1"/>
  <c r="J1691" i="1"/>
  <c r="B1692" i="1"/>
  <c r="C1692" i="1"/>
  <c r="D1692" i="1"/>
  <c r="E1692" i="1"/>
  <c r="F1692" i="1"/>
  <c r="H1692" i="1"/>
  <c r="I1692" i="1" a="1"/>
  <c r="I1692" i="1"/>
  <c r="J1692" i="1"/>
  <c r="B1693" i="1"/>
  <c r="C1693" i="1"/>
  <c r="D1693" i="1"/>
  <c r="E1693" i="1"/>
  <c r="F1693" i="1"/>
  <c r="H1693" i="1"/>
  <c r="I1693" i="1" a="1"/>
  <c r="I1693" i="1"/>
  <c r="J1693" i="1"/>
  <c r="B1694" i="1"/>
  <c r="C1694" i="1"/>
  <c r="D1694" i="1"/>
  <c r="E1694" i="1"/>
  <c r="F1694" i="1"/>
  <c r="H1694" i="1"/>
  <c r="I1694" i="1" a="1"/>
  <c r="I1694" i="1"/>
  <c r="J1694" i="1"/>
  <c r="B1695" i="1"/>
  <c r="C1695" i="1"/>
  <c r="D1695" i="1"/>
  <c r="E1695" i="1"/>
  <c r="F1695" i="1"/>
  <c r="H1695" i="1"/>
  <c r="I1695" i="1" a="1"/>
  <c r="I1695" i="1"/>
  <c r="J1695" i="1"/>
  <c r="B1696" i="1"/>
  <c r="C1696" i="1"/>
  <c r="D1696" i="1"/>
  <c r="E1696" i="1"/>
  <c r="F1696" i="1"/>
  <c r="H1696" i="1"/>
  <c r="I1696" i="1" a="1"/>
  <c r="I1696" i="1"/>
  <c r="J1696" i="1"/>
  <c r="B1697" i="1"/>
  <c r="C1697" i="1"/>
  <c r="D1697" i="1"/>
  <c r="E1697" i="1"/>
  <c r="F1697" i="1"/>
  <c r="H1697" i="1"/>
  <c r="I1697" i="1" a="1"/>
  <c r="I1697" i="1"/>
  <c r="J1697" i="1"/>
  <c r="B1698" i="1"/>
  <c r="C1698" i="1"/>
  <c r="D1698" i="1"/>
  <c r="E1698" i="1"/>
  <c r="F1698" i="1"/>
  <c r="H1698" i="1"/>
  <c r="I1698" i="1" a="1"/>
  <c r="I1698" i="1"/>
  <c r="J1698" i="1"/>
  <c r="B1699" i="1"/>
  <c r="C1699" i="1"/>
  <c r="D1699" i="1"/>
  <c r="E1699" i="1"/>
  <c r="F1699" i="1"/>
  <c r="H1699" i="1"/>
  <c r="I1699" i="1" a="1"/>
  <c r="I1699" i="1"/>
  <c r="J1699" i="1"/>
  <c r="B1700" i="1"/>
  <c r="C1700" i="1"/>
  <c r="D1700" i="1"/>
  <c r="E1700" i="1"/>
  <c r="F1700" i="1"/>
  <c r="H1700" i="1"/>
  <c r="I1700" i="1" a="1"/>
  <c r="I1700" i="1"/>
  <c r="J1700" i="1"/>
  <c r="B1701" i="1"/>
  <c r="C1701" i="1"/>
  <c r="D1701" i="1"/>
  <c r="E1701" i="1"/>
  <c r="F1701" i="1"/>
  <c r="H1701" i="1"/>
  <c r="I1701" i="1" a="1"/>
  <c r="I1701" i="1"/>
  <c r="J1701" i="1"/>
  <c r="B1702" i="1"/>
  <c r="C1702" i="1"/>
  <c r="D1702" i="1"/>
  <c r="E1702" i="1"/>
  <c r="F1702" i="1"/>
  <c r="H1702" i="1"/>
  <c r="I1702" i="1" a="1"/>
  <c r="I1702" i="1"/>
  <c r="J1702" i="1"/>
  <c r="B1703" i="1"/>
  <c r="C1703" i="1"/>
  <c r="D1703" i="1"/>
  <c r="E1703" i="1"/>
  <c r="F1703" i="1"/>
  <c r="H1703" i="1"/>
  <c r="I1703" i="1" a="1"/>
  <c r="I1703" i="1"/>
  <c r="J1703" i="1"/>
  <c r="B1704" i="1"/>
  <c r="C1704" i="1"/>
  <c r="D1704" i="1"/>
  <c r="E1704" i="1"/>
  <c r="F1704" i="1"/>
  <c r="H1704" i="1"/>
  <c r="I1704" i="1" a="1"/>
  <c r="I1704" i="1"/>
  <c r="J1704" i="1"/>
  <c r="B1705" i="1"/>
  <c r="C1705" i="1"/>
  <c r="D1705" i="1"/>
  <c r="E1705" i="1"/>
  <c r="F1705" i="1"/>
  <c r="H1705" i="1"/>
  <c r="I1705" i="1" a="1"/>
  <c r="I1705" i="1"/>
  <c r="J1705" i="1"/>
  <c r="B1706" i="1"/>
  <c r="C1706" i="1"/>
  <c r="D1706" i="1"/>
  <c r="E1706" i="1"/>
  <c r="F1706" i="1"/>
  <c r="H1706" i="1"/>
  <c r="I1706" i="1" a="1"/>
  <c r="I1706" i="1"/>
  <c r="J1706" i="1"/>
  <c r="B1707" i="1"/>
  <c r="C1707" i="1"/>
  <c r="D1707" i="1"/>
  <c r="E1707" i="1"/>
  <c r="F1707" i="1"/>
  <c r="H1707" i="1"/>
  <c r="I1707" i="1" a="1"/>
  <c r="I1707" i="1"/>
  <c r="J1707" i="1"/>
  <c r="B1708" i="1"/>
  <c r="C1708" i="1"/>
  <c r="D1708" i="1"/>
  <c r="E1708" i="1"/>
  <c r="F1708" i="1"/>
  <c r="H1708" i="1"/>
  <c r="I1708" i="1" a="1"/>
  <c r="I1708" i="1"/>
  <c r="J1708" i="1"/>
  <c r="B1709" i="1"/>
  <c r="C1709" i="1"/>
  <c r="D1709" i="1"/>
  <c r="E1709" i="1"/>
  <c r="F1709" i="1"/>
  <c r="H1709" i="1"/>
  <c r="I1709" i="1" a="1"/>
  <c r="I1709" i="1"/>
  <c r="J1709" i="1"/>
  <c r="B1710" i="1"/>
  <c r="C1710" i="1"/>
  <c r="D1710" i="1"/>
  <c r="E1710" i="1"/>
  <c r="F1710" i="1"/>
  <c r="H1710" i="1"/>
  <c r="I1710" i="1" a="1"/>
  <c r="I1710" i="1"/>
  <c r="J1710" i="1"/>
  <c r="B1711" i="1"/>
  <c r="C1711" i="1"/>
  <c r="D1711" i="1"/>
  <c r="E1711" i="1"/>
  <c r="F1711" i="1"/>
  <c r="H1711" i="1"/>
  <c r="I1711" i="1" a="1"/>
  <c r="I1711" i="1"/>
  <c r="J1711" i="1"/>
  <c r="B1712" i="1"/>
  <c r="C1712" i="1"/>
  <c r="D1712" i="1"/>
  <c r="E1712" i="1"/>
  <c r="F1712" i="1"/>
  <c r="H1712" i="1"/>
  <c r="I1712" i="1" a="1"/>
  <c r="I1712" i="1"/>
  <c r="J1712" i="1"/>
  <c r="B1713" i="1"/>
  <c r="C1713" i="1"/>
  <c r="D1713" i="1"/>
  <c r="E1713" i="1"/>
  <c r="F1713" i="1"/>
  <c r="H1713" i="1"/>
  <c r="I1713" i="1" a="1"/>
  <c r="I1713" i="1"/>
  <c r="J1713" i="1"/>
  <c r="B1714" i="1"/>
  <c r="C1714" i="1"/>
  <c r="D1714" i="1"/>
  <c r="E1714" i="1"/>
  <c r="F1714" i="1"/>
  <c r="H1714" i="1"/>
  <c r="I1714" i="1" a="1"/>
  <c r="I1714" i="1"/>
  <c r="J1714" i="1"/>
  <c r="B1715" i="1"/>
  <c r="C1715" i="1"/>
  <c r="D1715" i="1"/>
  <c r="E1715" i="1"/>
  <c r="F1715" i="1"/>
  <c r="H1715" i="1"/>
  <c r="I1715" i="1" a="1"/>
  <c r="I1715" i="1"/>
  <c r="J1715" i="1"/>
  <c r="B1716" i="1"/>
  <c r="C1716" i="1"/>
  <c r="D1716" i="1"/>
  <c r="E1716" i="1"/>
  <c r="F1716" i="1"/>
  <c r="H1716" i="1"/>
  <c r="I1716" i="1" a="1"/>
  <c r="I1716" i="1"/>
  <c r="J1716" i="1"/>
  <c r="B1717" i="1"/>
  <c r="C1717" i="1"/>
  <c r="D1717" i="1"/>
  <c r="E1717" i="1"/>
  <c r="F1717" i="1"/>
  <c r="H1717" i="1"/>
  <c r="I1717" i="1" a="1"/>
  <c r="I1717" i="1"/>
  <c r="J1717" i="1"/>
  <c r="B1718" i="1"/>
  <c r="C1718" i="1"/>
  <c r="D1718" i="1"/>
  <c r="E1718" i="1"/>
  <c r="F1718" i="1"/>
  <c r="H1718" i="1"/>
  <c r="I1718" i="1" a="1"/>
  <c r="I1718" i="1"/>
  <c r="J1718" i="1"/>
  <c r="B1719" i="1"/>
  <c r="C1719" i="1"/>
  <c r="D1719" i="1"/>
  <c r="E1719" i="1"/>
  <c r="F1719" i="1"/>
  <c r="H1719" i="1"/>
  <c r="I1719" i="1" a="1"/>
  <c r="I1719" i="1"/>
  <c r="J1719" i="1"/>
  <c r="B1720" i="1"/>
  <c r="C1720" i="1"/>
  <c r="D1720" i="1"/>
  <c r="E1720" i="1"/>
  <c r="F1720" i="1"/>
  <c r="H1720" i="1"/>
  <c r="I1720" i="1" a="1"/>
  <c r="I1720" i="1"/>
  <c r="J1720" i="1"/>
  <c r="B1721" i="1"/>
  <c r="C1721" i="1"/>
  <c r="D1721" i="1"/>
  <c r="E1721" i="1"/>
  <c r="F1721" i="1"/>
  <c r="H1721" i="1"/>
  <c r="I1721" i="1" a="1"/>
  <c r="I1721" i="1"/>
  <c r="J1721" i="1"/>
  <c r="B1722" i="1"/>
  <c r="C1722" i="1"/>
  <c r="D1722" i="1"/>
  <c r="E1722" i="1"/>
  <c r="F1722" i="1"/>
  <c r="H1722" i="1"/>
  <c r="I1722" i="1" a="1"/>
  <c r="I1722" i="1"/>
  <c r="J1722" i="1"/>
  <c r="B1723" i="1"/>
  <c r="C1723" i="1"/>
  <c r="D1723" i="1"/>
  <c r="E1723" i="1"/>
  <c r="F1723" i="1"/>
  <c r="H1723" i="1"/>
  <c r="I1723" i="1" a="1"/>
  <c r="I1723" i="1"/>
  <c r="J1723" i="1"/>
  <c r="B1724" i="1"/>
  <c r="C1724" i="1"/>
  <c r="D1724" i="1"/>
  <c r="E1724" i="1"/>
  <c r="F1724" i="1"/>
  <c r="H1724" i="1"/>
  <c r="I1724" i="1" a="1"/>
  <c r="I1724" i="1"/>
  <c r="J1724" i="1"/>
  <c r="B1725" i="1"/>
  <c r="C1725" i="1"/>
  <c r="D1725" i="1"/>
  <c r="E1725" i="1"/>
  <c r="F1725" i="1"/>
  <c r="H1725" i="1"/>
  <c r="I1725" i="1" a="1"/>
  <c r="I1725" i="1"/>
  <c r="J1725" i="1"/>
  <c r="B1726" i="1"/>
  <c r="C1726" i="1"/>
  <c r="D1726" i="1"/>
  <c r="E1726" i="1"/>
  <c r="F1726" i="1"/>
  <c r="H1726" i="1"/>
  <c r="I1726" i="1" a="1"/>
  <c r="I1726" i="1"/>
  <c r="J1726" i="1"/>
  <c r="B1727" i="1"/>
  <c r="C1727" i="1"/>
  <c r="D1727" i="1"/>
  <c r="E1727" i="1"/>
  <c r="F1727" i="1"/>
  <c r="H1727" i="1"/>
  <c r="I1727" i="1" a="1"/>
  <c r="I1727" i="1"/>
  <c r="J1727" i="1"/>
  <c r="B1728" i="1"/>
  <c r="C1728" i="1"/>
  <c r="D1728" i="1"/>
  <c r="E1728" i="1"/>
  <c r="F1728" i="1"/>
  <c r="H1728" i="1"/>
  <c r="I1728" i="1" a="1"/>
  <c r="I1728" i="1"/>
  <c r="J1728" i="1"/>
  <c r="B1729" i="1"/>
  <c r="C1729" i="1"/>
  <c r="D1729" i="1"/>
  <c r="E1729" i="1"/>
  <c r="F1729" i="1"/>
  <c r="H1729" i="1"/>
  <c r="I1729" i="1" a="1"/>
  <c r="I1729" i="1"/>
  <c r="J1729" i="1"/>
  <c r="B1730" i="1"/>
  <c r="C1730" i="1"/>
  <c r="D1730" i="1"/>
  <c r="E1730" i="1"/>
  <c r="F1730" i="1"/>
  <c r="H1730" i="1"/>
  <c r="I1730" i="1" a="1"/>
  <c r="I1730" i="1"/>
  <c r="J1730" i="1"/>
  <c r="B1731" i="1"/>
  <c r="C1731" i="1"/>
  <c r="D1731" i="1"/>
  <c r="E1731" i="1"/>
  <c r="F1731" i="1"/>
  <c r="H1731" i="1"/>
  <c r="I1731" i="1" a="1"/>
  <c r="I1731" i="1"/>
  <c r="J1731" i="1"/>
  <c r="B1732" i="1"/>
  <c r="C1732" i="1"/>
  <c r="D1732" i="1"/>
  <c r="E1732" i="1"/>
  <c r="F1732" i="1"/>
  <c r="H1732" i="1"/>
  <c r="I1732" i="1" a="1"/>
  <c r="I1732" i="1"/>
  <c r="J1732" i="1"/>
  <c r="B1733" i="1"/>
  <c r="C1733" i="1"/>
  <c r="D1733" i="1"/>
  <c r="E1733" i="1"/>
  <c r="F1733" i="1"/>
  <c r="H1733" i="1"/>
  <c r="I1733" i="1" a="1"/>
  <c r="I1733" i="1"/>
  <c r="J1733" i="1"/>
  <c r="B1734" i="1"/>
  <c r="C1734" i="1"/>
  <c r="D1734" i="1"/>
  <c r="E1734" i="1"/>
  <c r="F1734" i="1"/>
  <c r="H1734" i="1"/>
  <c r="I1734" i="1" a="1"/>
  <c r="I1734" i="1"/>
  <c r="J1734" i="1"/>
  <c r="B1735" i="1"/>
  <c r="C1735" i="1"/>
  <c r="D1735" i="1"/>
  <c r="E1735" i="1"/>
  <c r="F1735" i="1"/>
  <c r="H1735" i="1"/>
  <c r="I1735" i="1" a="1"/>
  <c r="I1735" i="1"/>
  <c r="J1735" i="1"/>
  <c r="B1736" i="1"/>
  <c r="C1736" i="1"/>
  <c r="D1736" i="1"/>
  <c r="E1736" i="1"/>
  <c r="F1736" i="1"/>
  <c r="H1736" i="1"/>
  <c r="I1736" i="1" a="1"/>
  <c r="I1736" i="1"/>
  <c r="J1736" i="1"/>
  <c r="B1737" i="1"/>
  <c r="C1737" i="1"/>
  <c r="D1737" i="1"/>
  <c r="E1737" i="1"/>
  <c r="F1737" i="1"/>
  <c r="H1737" i="1"/>
  <c r="I1737" i="1" a="1"/>
  <c r="I1737" i="1"/>
  <c r="J1737" i="1"/>
  <c r="B1738" i="1"/>
  <c r="C1738" i="1"/>
  <c r="D1738" i="1"/>
  <c r="E1738" i="1"/>
  <c r="F1738" i="1"/>
  <c r="H1738" i="1"/>
  <c r="I1738" i="1" a="1"/>
  <c r="I1738" i="1"/>
  <c r="J1738" i="1"/>
  <c r="B1739" i="1"/>
  <c r="C1739" i="1"/>
  <c r="D1739" i="1"/>
  <c r="E1739" i="1"/>
  <c r="F1739" i="1"/>
  <c r="H1739" i="1"/>
  <c r="I1739" i="1" a="1"/>
  <c r="I1739" i="1"/>
  <c r="J1739" i="1"/>
  <c r="B1740" i="1"/>
  <c r="C1740" i="1"/>
  <c r="D1740" i="1"/>
  <c r="E1740" i="1"/>
  <c r="F1740" i="1"/>
  <c r="H1740" i="1"/>
  <c r="I1740" i="1" a="1"/>
  <c r="I1740" i="1"/>
  <c r="J1740" i="1"/>
  <c r="B1741" i="1"/>
  <c r="C1741" i="1"/>
  <c r="D1741" i="1"/>
  <c r="E1741" i="1"/>
  <c r="F1741" i="1"/>
  <c r="H1741" i="1"/>
  <c r="I1741" i="1" a="1"/>
  <c r="I1741" i="1"/>
  <c r="J1741" i="1"/>
  <c r="B1742" i="1"/>
  <c r="C1742" i="1"/>
  <c r="D1742" i="1"/>
  <c r="E1742" i="1"/>
  <c r="F1742" i="1"/>
  <c r="H1742" i="1"/>
  <c r="I1742" i="1" a="1"/>
  <c r="I1742" i="1"/>
  <c r="J1742" i="1"/>
  <c r="B1743" i="1"/>
  <c r="C1743" i="1"/>
  <c r="D1743" i="1"/>
  <c r="E1743" i="1"/>
  <c r="F1743" i="1"/>
  <c r="H1743" i="1"/>
  <c r="I1743" i="1" a="1"/>
  <c r="I1743" i="1"/>
  <c r="J1743" i="1"/>
  <c r="B1744" i="1"/>
  <c r="C1744" i="1"/>
  <c r="D1744" i="1"/>
  <c r="E1744" i="1"/>
  <c r="F1744" i="1"/>
  <c r="H1744" i="1"/>
  <c r="I1744" i="1" a="1"/>
  <c r="I1744" i="1"/>
  <c r="J1744" i="1"/>
  <c r="B1745" i="1"/>
  <c r="C1745" i="1"/>
  <c r="D1745" i="1"/>
  <c r="E1745" i="1"/>
  <c r="F1745" i="1"/>
  <c r="H1745" i="1"/>
  <c r="I1745" i="1" a="1"/>
  <c r="I1745" i="1"/>
  <c r="J1745" i="1"/>
  <c r="B1746" i="1"/>
  <c r="C1746" i="1"/>
  <c r="D1746" i="1"/>
  <c r="E1746" i="1"/>
  <c r="F1746" i="1"/>
  <c r="H1746" i="1"/>
  <c r="I1746" i="1" a="1"/>
  <c r="I1746" i="1"/>
  <c r="J1746" i="1"/>
  <c r="B1747" i="1"/>
  <c r="C1747" i="1"/>
  <c r="D1747" i="1"/>
  <c r="E1747" i="1"/>
  <c r="F1747" i="1"/>
  <c r="H1747" i="1"/>
  <c r="I1747" i="1" a="1"/>
  <c r="I1747" i="1"/>
  <c r="J1747" i="1"/>
  <c r="B1748" i="1"/>
  <c r="C1748" i="1"/>
  <c r="D1748" i="1"/>
  <c r="E1748" i="1"/>
  <c r="F1748" i="1"/>
  <c r="H1748" i="1"/>
  <c r="I1748" i="1" a="1"/>
  <c r="I1748" i="1"/>
  <c r="J1748" i="1"/>
  <c r="B1749" i="1"/>
  <c r="C1749" i="1"/>
  <c r="D1749" i="1"/>
  <c r="E1749" i="1"/>
  <c r="F1749" i="1"/>
  <c r="H1749" i="1"/>
  <c r="I1749" i="1" a="1"/>
  <c r="I1749" i="1"/>
  <c r="J1749" i="1"/>
  <c r="B1750" i="1"/>
  <c r="C1750" i="1"/>
  <c r="D1750" i="1"/>
  <c r="E1750" i="1"/>
  <c r="F1750" i="1"/>
  <c r="H1750" i="1"/>
  <c r="I1750" i="1" a="1"/>
  <c r="I1750" i="1"/>
  <c r="J1750" i="1"/>
  <c r="B1751" i="1"/>
  <c r="C1751" i="1"/>
  <c r="D1751" i="1"/>
  <c r="E1751" i="1"/>
  <c r="F1751" i="1"/>
  <c r="H1751" i="1"/>
  <c r="I1751" i="1" a="1"/>
  <c r="I1751" i="1"/>
  <c r="J1751" i="1"/>
  <c r="B1752" i="1"/>
  <c r="C1752" i="1"/>
  <c r="D1752" i="1"/>
  <c r="E1752" i="1"/>
  <c r="F1752" i="1"/>
  <c r="H1752" i="1"/>
  <c r="I1752" i="1" a="1"/>
  <c r="I1752" i="1"/>
  <c r="J1752" i="1"/>
  <c r="B1753" i="1"/>
  <c r="C1753" i="1"/>
  <c r="D1753" i="1"/>
  <c r="E1753" i="1"/>
  <c r="F1753" i="1"/>
  <c r="H1753" i="1"/>
  <c r="I1753" i="1" a="1"/>
  <c r="I1753" i="1"/>
  <c r="J1753" i="1"/>
  <c r="B1754" i="1"/>
  <c r="C1754" i="1"/>
  <c r="D1754" i="1"/>
  <c r="E1754" i="1"/>
  <c r="F1754" i="1"/>
  <c r="H1754" i="1"/>
  <c r="I1754" i="1" a="1"/>
  <c r="I1754" i="1"/>
  <c r="J1754" i="1"/>
  <c r="B1755" i="1"/>
  <c r="C1755" i="1"/>
  <c r="D1755" i="1"/>
  <c r="E1755" i="1"/>
  <c r="F1755" i="1"/>
  <c r="H1755" i="1"/>
  <c r="I1755" i="1" a="1"/>
  <c r="I1755" i="1"/>
  <c r="J1755" i="1"/>
  <c r="B1756" i="1"/>
  <c r="C1756" i="1"/>
  <c r="D1756" i="1"/>
  <c r="E1756" i="1"/>
  <c r="F1756" i="1"/>
  <c r="H1756" i="1"/>
  <c r="I1756" i="1" a="1"/>
  <c r="I1756" i="1"/>
  <c r="J1756" i="1"/>
  <c r="B1757" i="1"/>
  <c r="C1757" i="1"/>
  <c r="D1757" i="1"/>
  <c r="E1757" i="1"/>
  <c r="F1757" i="1"/>
  <c r="H1757" i="1"/>
  <c r="I1757" i="1" a="1"/>
  <c r="I1757" i="1"/>
  <c r="J1757" i="1"/>
  <c r="B1758" i="1"/>
  <c r="C1758" i="1"/>
  <c r="D1758" i="1"/>
  <c r="E1758" i="1"/>
  <c r="F1758" i="1"/>
  <c r="H1758" i="1"/>
  <c r="I1758" i="1" a="1"/>
  <c r="I1758" i="1"/>
  <c r="J1758" i="1"/>
  <c r="B1759" i="1"/>
  <c r="C1759" i="1"/>
  <c r="D1759" i="1"/>
  <c r="E1759" i="1"/>
  <c r="F1759" i="1"/>
  <c r="H1759" i="1"/>
  <c r="I1759" i="1" a="1"/>
  <c r="I1759" i="1"/>
  <c r="J1759" i="1"/>
  <c r="B1760" i="1"/>
  <c r="C1760" i="1"/>
  <c r="D1760" i="1"/>
  <c r="E1760" i="1"/>
  <c r="F1760" i="1"/>
  <c r="H1760" i="1"/>
  <c r="I1760" i="1" a="1"/>
  <c r="I1760" i="1"/>
  <c r="J1760" i="1"/>
  <c r="B1761" i="1"/>
  <c r="C1761" i="1"/>
  <c r="D1761" i="1"/>
  <c r="E1761" i="1"/>
  <c r="F1761" i="1"/>
  <c r="H1761" i="1"/>
  <c r="I1761" i="1" a="1"/>
  <c r="I1761" i="1"/>
  <c r="J1761" i="1"/>
  <c r="B1762" i="1"/>
  <c r="C1762" i="1"/>
  <c r="D1762" i="1"/>
  <c r="E1762" i="1"/>
  <c r="F1762" i="1"/>
  <c r="H1762" i="1"/>
  <c r="I1762" i="1" a="1"/>
  <c r="I1762" i="1"/>
  <c r="J1762" i="1"/>
  <c r="B1763" i="1"/>
  <c r="C1763" i="1"/>
  <c r="D1763" i="1"/>
  <c r="E1763" i="1"/>
  <c r="F1763" i="1"/>
  <c r="H1763" i="1"/>
  <c r="I1763" i="1" a="1"/>
  <c r="I1763" i="1"/>
  <c r="J1763" i="1"/>
  <c r="B1764" i="1"/>
  <c r="C1764" i="1"/>
  <c r="D1764" i="1"/>
  <c r="E1764" i="1"/>
  <c r="F1764" i="1"/>
  <c r="H1764" i="1"/>
  <c r="I1764" i="1" a="1"/>
  <c r="I1764" i="1"/>
  <c r="J1764" i="1"/>
  <c r="B1765" i="1"/>
  <c r="C1765" i="1"/>
  <c r="D1765" i="1"/>
  <c r="E1765" i="1"/>
  <c r="F1765" i="1"/>
  <c r="H1765" i="1"/>
  <c r="I1765" i="1" a="1"/>
  <c r="I1765" i="1"/>
  <c r="J1765" i="1"/>
  <c r="B1766" i="1"/>
  <c r="C1766" i="1"/>
  <c r="D1766" i="1"/>
  <c r="E1766" i="1"/>
  <c r="F1766" i="1"/>
  <c r="H1766" i="1"/>
  <c r="I1766" i="1" a="1"/>
  <c r="I1766" i="1"/>
  <c r="J1766" i="1"/>
  <c r="B1767" i="1"/>
  <c r="C1767" i="1"/>
  <c r="D1767" i="1"/>
  <c r="E1767" i="1"/>
  <c r="F1767" i="1"/>
  <c r="H1767" i="1"/>
  <c r="I1767" i="1" a="1"/>
  <c r="I1767" i="1"/>
  <c r="J1767" i="1"/>
  <c r="B1768" i="1"/>
  <c r="C1768" i="1"/>
  <c r="D1768" i="1"/>
  <c r="E1768" i="1"/>
  <c r="F1768" i="1"/>
  <c r="H1768" i="1"/>
  <c r="I1768" i="1" a="1"/>
  <c r="I1768" i="1"/>
  <c r="J1768" i="1"/>
  <c r="B1769" i="1"/>
  <c r="C1769" i="1"/>
  <c r="D1769" i="1"/>
  <c r="E1769" i="1"/>
  <c r="F1769" i="1"/>
  <c r="H1769" i="1"/>
  <c r="I1769" i="1" a="1"/>
  <c r="I1769" i="1"/>
  <c r="J1769" i="1"/>
  <c r="B1770" i="1"/>
  <c r="C1770" i="1"/>
  <c r="D1770" i="1"/>
  <c r="E1770" i="1"/>
  <c r="F1770" i="1"/>
  <c r="H1770" i="1"/>
  <c r="I1770" i="1" a="1"/>
  <c r="I1770" i="1"/>
  <c r="J1770" i="1"/>
  <c r="B1771" i="1"/>
  <c r="C1771" i="1"/>
  <c r="D1771" i="1"/>
  <c r="E1771" i="1"/>
  <c r="F1771" i="1"/>
  <c r="H1771" i="1"/>
  <c r="I1771" i="1" a="1"/>
  <c r="I1771" i="1"/>
  <c r="J1771" i="1"/>
  <c r="B1772" i="1"/>
  <c r="C1772" i="1"/>
  <c r="D1772" i="1"/>
  <c r="E1772" i="1"/>
  <c r="F1772" i="1"/>
  <c r="H1772" i="1"/>
  <c r="I1772" i="1" a="1"/>
  <c r="I1772" i="1"/>
  <c r="J1772" i="1"/>
  <c r="B1773" i="1"/>
  <c r="C1773" i="1"/>
  <c r="D1773" i="1"/>
  <c r="E1773" i="1"/>
  <c r="F1773" i="1"/>
  <c r="H1773" i="1"/>
  <c r="I1773" i="1" a="1"/>
  <c r="I1773" i="1"/>
  <c r="J1773" i="1"/>
  <c r="B1774" i="1"/>
  <c r="C1774" i="1"/>
  <c r="D1774" i="1"/>
  <c r="E1774" i="1"/>
  <c r="F1774" i="1"/>
  <c r="H1774" i="1"/>
  <c r="I1774" i="1" a="1"/>
  <c r="I1774" i="1"/>
  <c r="J1774" i="1"/>
  <c r="B1775" i="1"/>
  <c r="C1775" i="1"/>
  <c r="D1775" i="1"/>
  <c r="E1775" i="1"/>
  <c r="F1775" i="1"/>
  <c r="H1775" i="1"/>
  <c r="I1775" i="1" a="1"/>
  <c r="I1775" i="1"/>
  <c r="J1775" i="1"/>
  <c r="B1776" i="1"/>
  <c r="C1776" i="1"/>
  <c r="D1776" i="1"/>
  <c r="E1776" i="1"/>
  <c r="F1776" i="1"/>
  <c r="H1776" i="1"/>
  <c r="I1776" i="1" a="1"/>
  <c r="I1776" i="1"/>
  <c r="J1776" i="1"/>
  <c r="B1777" i="1"/>
  <c r="C1777" i="1"/>
  <c r="D1777" i="1"/>
  <c r="E1777" i="1"/>
  <c r="F1777" i="1"/>
  <c r="H1777" i="1"/>
  <c r="I1777" i="1" a="1"/>
  <c r="I1777" i="1"/>
  <c r="J1777" i="1"/>
  <c r="B1778" i="1"/>
  <c r="C1778" i="1"/>
  <c r="D1778" i="1"/>
  <c r="E1778" i="1"/>
  <c r="F1778" i="1"/>
  <c r="H1778" i="1"/>
  <c r="I1778" i="1" a="1"/>
  <c r="I1778" i="1"/>
  <c r="J1778" i="1"/>
  <c r="B1779" i="1"/>
  <c r="C1779" i="1"/>
  <c r="D1779" i="1"/>
  <c r="E1779" i="1"/>
  <c r="F1779" i="1"/>
  <c r="H1779" i="1"/>
  <c r="I1779" i="1" a="1"/>
  <c r="I1779" i="1"/>
  <c r="J1779" i="1"/>
  <c r="B1780" i="1"/>
  <c r="C1780" i="1"/>
  <c r="D1780" i="1"/>
  <c r="E1780" i="1"/>
  <c r="F1780" i="1"/>
  <c r="H1780" i="1"/>
  <c r="I1780" i="1" a="1"/>
  <c r="I1780" i="1"/>
  <c r="J1780" i="1"/>
  <c r="B1781" i="1"/>
  <c r="C1781" i="1"/>
  <c r="D1781" i="1"/>
  <c r="E1781" i="1"/>
  <c r="F1781" i="1"/>
  <c r="H1781" i="1"/>
  <c r="I1781" i="1" a="1"/>
  <c r="I1781" i="1"/>
  <c r="J1781" i="1"/>
  <c r="B1782" i="1"/>
  <c r="C1782" i="1"/>
  <c r="D1782" i="1"/>
  <c r="E1782" i="1"/>
  <c r="F1782" i="1"/>
  <c r="H1782" i="1"/>
  <c r="I1782" i="1" a="1"/>
  <c r="I1782" i="1"/>
  <c r="J1782" i="1"/>
  <c r="B1783" i="1"/>
  <c r="C1783" i="1"/>
  <c r="D1783" i="1"/>
  <c r="E1783" i="1"/>
  <c r="F1783" i="1"/>
  <c r="H1783" i="1"/>
  <c r="I1783" i="1" a="1"/>
  <c r="I1783" i="1"/>
  <c r="J1783" i="1"/>
  <c r="B1784" i="1"/>
  <c r="C1784" i="1"/>
  <c r="D1784" i="1"/>
  <c r="E1784" i="1"/>
  <c r="F1784" i="1"/>
  <c r="H1784" i="1"/>
  <c r="I1784" i="1" a="1"/>
  <c r="I1784" i="1"/>
  <c r="J1784" i="1"/>
  <c r="B1785" i="1"/>
  <c r="C1785" i="1"/>
  <c r="D1785" i="1"/>
  <c r="E1785" i="1"/>
  <c r="F1785" i="1"/>
  <c r="H1785" i="1"/>
  <c r="I1785" i="1" a="1"/>
  <c r="I1785" i="1"/>
  <c r="J1785" i="1"/>
  <c r="B1786" i="1"/>
  <c r="C1786" i="1"/>
  <c r="D1786" i="1"/>
  <c r="E1786" i="1"/>
  <c r="F1786" i="1"/>
  <c r="H1786" i="1"/>
  <c r="I1786" i="1" a="1"/>
  <c r="I1786" i="1"/>
  <c r="J1786" i="1"/>
  <c r="B1787" i="1"/>
  <c r="C1787" i="1"/>
  <c r="D1787" i="1"/>
  <c r="E1787" i="1"/>
  <c r="F1787" i="1"/>
  <c r="H1787" i="1"/>
  <c r="I1787" i="1" a="1"/>
  <c r="I1787" i="1"/>
  <c r="J1787" i="1"/>
  <c r="B1788" i="1"/>
  <c r="C1788" i="1"/>
  <c r="D1788" i="1"/>
  <c r="E1788" i="1"/>
  <c r="F1788" i="1"/>
  <c r="H1788" i="1"/>
  <c r="I1788" i="1" a="1"/>
  <c r="I1788" i="1"/>
  <c r="J1788" i="1"/>
  <c r="B1789" i="1"/>
  <c r="C1789" i="1"/>
  <c r="D1789" i="1"/>
  <c r="E1789" i="1"/>
  <c r="F1789" i="1"/>
  <c r="H1789" i="1"/>
  <c r="I1789" i="1" a="1"/>
  <c r="I1789" i="1"/>
  <c r="J1789" i="1"/>
  <c r="B1790" i="1"/>
  <c r="C1790" i="1"/>
  <c r="D1790" i="1"/>
  <c r="E1790" i="1"/>
  <c r="F1790" i="1"/>
  <c r="H1790" i="1"/>
  <c r="I1790" i="1" a="1"/>
  <c r="I1790" i="1"/>
  <c r="J1790" i="1"/>
  <c r="B1791" i="1"/>
  <c r="C1791" i="1"/>
  <c r="D1791" i="1"/>
  <c r="E1791" i="1"/>
  <c r="F1791" i="1"/>
  <c r="H1791" i="1"/>
  <c r="I1791" i="1" a="1"/>
  <c r="I1791" i="1"/>
  <c r="J1791" i="1"/>
  <c r="B1792" i="1"/>
  <c r="C1792" i="1"/>
  <c r="D1792" i="1"/>
  <c r="E1792" i="1"/>
  <c r="F1792" i="1"/>
  <c r="H1792" i="1"/>
  <c r="I1792" i="1" a="1"/>
  <c r="I1792" i="1"/>
  <c r="J1792" i="1"/>
  <c r="B1793" i="1"/>
  <c r="C1793" i="1"/>
  <c r="D1793" i="1"/>
  <c r="E1793" i="1"/>
  <c r="F1793" i="1"/>
  <c r="H1793" i="1"/>
  <c r="I1793" i="1" a="1"/>
  <c r="I1793" i="1"/>
  <c r="J1793" i="1"/>
  <c r="B1794" i="1"/>
  <c r="C1794" i="1"/>
  <c r="D1794" i="1"/>
  <c r="E1794" i="1"/>
  <c r="F1794" i="1"/>
  <c r="H1794" i="1"/>
  <c r="I1794" i="1" a="1"/>
  <c r="I1794" i="1"/>
  <c r="J1794" i="1"/>
  <c r="B1795" i="1"/>
  <c r="C1795" i="1"/>
  <c r="D1795" i="1"/>
  <c r="E1795" i="1"/>
  <c r="F1795" i="1"/>
  <c r="H1795" i="1"/>
  <c r="I1795" i="1" a="1"/>
  <c r="I1795" i="1"/>
  <c r="J1795" i="1"/>
  <c r="B1796" i="1"/>
  <c r="C1796" i="1"/>
  <c r="D1796" i="1"/>
  <c r="E1796" i="1"/>
  <c r="F1796" i="1"/>
  <c r="H1796" i="1"/>
  <c r="I1796" i="1" a="1"/>
  <c r="I1796" i="1"/>
  <c r="J1796" i="1"/>
  <c r="B1797" i="1"/>
  <c r="C1797" i="1"/>
  <c r="D1797" i="1"/>
  <c r="E1797" i="1"/>
  <c r="F1797" i="1"/>
  <c r="H1797" i="1"/>
  <c r="I1797" i="1" a="1"/>
  <c r="I1797" i="1"/>
  <c r="J1797" i="1"/>
  <c r="B1798" i="1"/>
  <c r="C1798" i="1"/>
  <c r="D1798" i="1"/>
  <c r="E1798" i="1"/>
  <c r="F1798" i="1"/>
  <c r="H1798" i="1"/>
  <c r="I1798" i="1" a="1"/>
  <c r="I1798" i="1"/>
  <c r="J1798" i="1"/>
  <c r="B1799" i="1"/>
  <c r="C1799" i="1"/>
  <c r="D1799" i="1"/>
  <c r="E1799" i="1"/>
  <c r="F1799" i="1"/>
  <c r="H1799" i="1"/>
  <c r="I1799" i="1" a="1"/>
  <c r="I1799" i="1"/>
  <c r="J1799" i="1"/>
  <c r="B1800" i="1"/>
  <c r="C1800" i="1"/>
  <c r="D1800" i="1"/>
  <c r="E1800" i="1"/>
  <c r="F1800" i="1"/>
  <c r="H1800" i="1"/>
  <c r="I1800" i="1" a="1"/>
  <c r="I1800" i="1"/>
  <c r="J1800" i="1"/>
  <c r="B1801" i="1"/>
  <c r="C1801" i="1"/>
  <c r="D1801" i="1"/>
  <c r="E1801" i="1"/>
  <c r="F1801" i="1"/>
  <c r="H1801" i="1"/>
  <c r="I1801" i="1" a="1"/>
  <c r="I1801" i="1"/>
  <c r="J1801" i="1"/>
  <c r="B1802" i="1"/>
  <c r="C1802" i="1"/>
  <c r="D1802" i="1"/>
  <c r="E1802" i="1"/>
  <c r="F1802" i="1"/>
  <c r="H1802" i="1"/>
  <c r="I1802" i="1" a="1"/>
  <c r="I1802" i="1"/>
  <c r="J1802" i="1"/>
  <c r="B1803" i="1"/>
  <c r="C1803" i="1"/>
  <c r="D1803" i="1"/>
  <c r="E1803" i="1"/>
  <c r="F1803" i="1"/>
  <c r="H1803" i="1"/>
  <c r="I1803" i="1" a="1"/>
  <c r="I1803" i="1"/>
  <c r="J1803" i="1"/>
  <c r="B1804" i="1"/>
  <c r="C1804" i="1"/>
  <c r="D1804" i="1"/>
  <c r="E1804" i="1"/>
  <c r="F1804" i="1"/>
  <c r="H1804" i="1"/>
  <c r="I1804" i="1" a="1"/>
  <c r="I1804" i="1"/>
  <c r="J1804" i="1"/>
  <c r="B1805" i="1"/>
  <c r="C1805" i="1"/>
  <c r="D1805" i="1"/>
  <c r="E1805" i="1"/>
  <c r="F1805" i="1"/>
  <c r="H1805" i="1"/>
  <c r="I1805" i="1" a="1"/>
  <c r="I1805" i="1"/>
  <c r="J1805" i="1"/>
  <c r="B1806" i="1"/>
  <c r="C1806" i="1"/>
  <c r="D1806" i="1"/>
  <c r="E1806" i="1"/>
  <c r="F1806" i="1"/>
  <c r="H1806" i="1"/>
  <c r="I1806" i="1" a="1"/>
  <c r="I1806" i="1"/>
  <c r="J1806" i="1"/>
  <c r="B1807" i="1"/>
  <c r="C1807" i="1"/>
  <c r="D1807" i="1"/>
  <c r="E1807" i="1"/>
  <c r="F1807" i="1"/>
  <c r="H1807" i="1"/>
  <c r="I1807" i="1" a="1"/>
  <c r="I1807" i="1"/>
  <c r="J1807" i="1"/>
  <c r="B1808" i="1"/>
  <c r="C1808" i="1"/>
  <c r="D1808" i="1"/>
  <c r="E1808" i="1"/>
  <c r="F1808" i="1"/>
  <c r="H1808" i="1"/>
  <c r="I1808" i="1" a="1"/>
  <c r="I1808" i="1"/>
  <c r="J1808" i="1"/>
  <c r="B1809" i="1"/>
  <c r="C1809" i="1"/>
  <c r="D1809" i="1"/>
  <c r="E1809" i="1"/>
  <c r="F1809" i="1"/>
  <c r="H1809" i="1"/>
  <c r="I1809" i="1" a="1"/>
  <c r="I1809" i="1"/>
  <c r="J1809" i="1"/>
  <c r="B1810" i="1"/>
  <c r="C1810" i="1"/>
  <c r="D1810" i="1"/>
  <c r="E1810" i="1"/>
  <c r="F1810" i="1"/>
  <c r="H1810" i="1"/>
  <c r="I1810" i="1" a="1"/>
  <c r="I1810" i="1"/>
  <c r="J1810" i="1"/>
  <c r="B1811" i="1"/>
  <c r="C1811" i="1"/>
  <c r="D1811" i="1"/>
  <c r="E1811" i="1"/>
  <c r="F1811" i="1"/>
  <c r="H1811" i="1"/>
  <c r="I1811" i="1" a="1"/>
  <c r="I1811" i="1"/>
  <c r="J1811" i="1"/>
  <c r="B1812" i="1"/>
  <c r="C1812" i="1"/>
  <c r="D1812" i="1"/>
  <c r="E1812" i="1"/>
  <c r="F1812" i="1"/>
  <c r="H1812" i="1"/>
  <c r="I1812" i="1" a="1"/>
  <c r="I1812" i="1"/>
  <c r="J1812" i="1"/>
  <c r="B1813" i="1"/>
  <c r="C1813" i="1"/>
  <c r="D1813" i="1"/>
  <c r="E1813" i="1"/>
  <c r="F1813" i="1"/>
  <c r="H1813" i="1"/>
  <c r="I1813" i="1" a="1"/>
  <c r="I1813" i="1"/>
  <c r="J1813" i="1"/>
  <c r="B1814" i="1"/>
  <c r="C1814" i="1"/>
  <c r="D1814" i="1"/>
  <c r="E1814" i="1"/>
  <c r="F1814" i="1"/>
  <c r="H1814" i="1"/>
  <c r="I1814" i="1" a="1"/>
  <c r="I1814" i="1"/>
  <c r="J1814" i="1"/>
  <c r="B1815" i="1"/>
  <c r="C1815" i="1"/>
  <c r="D1815" i="1"/>
  <c r="E1815" i="1"/>
  <c r="F1815" i="1"/>
  <c r="H1815" i="1"/>
  <c r="I1815" i="1" a="1"/>
  <c r="I1815" i="1"/>
  <c r="J1815" i="1"/>
  <c r="B1816" i="1"/>
  <c r="C1816" i="1"/>
  <c r="D1816" i="1"/>
  <c r="E1816" i="1"/>
  <c r="F1816" i="1"/>
  <c r="H1816" i="1"/>
  <c r="I1816" i="1" a="1"/>
  <c r="I1816" i="1"/>
  <c r="J1816" i="1"/>
  <c r="B1817" i="1"/>
  <c r="C1817" i="1"/>
  <c r="D1817" i="1"/>
  <c r="E1817" i="1"/>
  <c r="F1817" i="1"/>
  <c r="H1817" i="1"/>
  <c r="I1817" i="1" a="1"/>
  <c r="I1817" i="1"/>
  <c r="J1817" i="1"/>
  <c r="B1818" i="1"/>
  <c r="C1818" i="1"/>
  <c r="D1818" i="1"/>
  <c r="E1818" i="1"/>
  <c r="F1818" i="1"/>
  <c r="H1818" i="1"/>
  <c r="I1818" i="1" a="1"/>
  <c r="I1818" i="1"/>
  <c r="J1818" i="1"/>
  <c r="B1819" i="1"/>
  <c r="C1819" i="1"/>
  <c r="D1819" i="1"/>
  <c r="E1819" i="1"/>
  <c r="F1819" i="1"/>
  <c r="H1819" i="1"/>
  <c r="I1819" i="1" a="1"/>
  <c r="I1819" i="1"/>
  <c r="J1819" i="1"/>
  <c r="B1820" i="1"/>
  <c r="C1820" i="1"/>
  <c r="D1820" i="1"/>
  <c r="E1820" i="1"/>
  <c r="F1820" i="1"/>
  <c r="H1820" i="1"/>
  <c r="I1820" i="1" a="1"/>
  <c r="I1820" i="1"/>
  <c r="J1820" i="1"/>
  <c r="B1821" i="1"/>
  <c r="C1821" i="1"/>
  <c r="D1821" i="1"/>
  <c r="E1821" i="1"/>
  <c r="F1821" i="1"/>
  <c r="H1821" i="1"/>
  <c r="I1821" i="1" a="1"/>
  <c r="I1821" i="1"/>
  <c r="J1821" i="1"/>
  <c r="B1822" i="1"/>
  <c r="C1822" i="1"/>
  <c r="D1822" i="1"/>
  <c r="E1822" i="1"/>
  <c r="F1822" i="1"/>
  <c r="H1822" i="1"/>
  <c r="I1822" i="1" a="1"/>
  <c r="I1822" i="1"/>
  <c r="J1822" i="1"/>
  <c r="B1823" i="1"/>
  <c r="C1823" i="1"/>
  <c r="D1823" i="1"/>
  <c r="E1823" i="1"/>
  <c r="F1823" i="1"/>
  <c r="H1823" i="1"/>
  <c r="I1823" i="1" a="1"/>
  <c r="I1823" i="1"/>
  <c r="J1823" i="1"/>
  <c r="B1824" i="1"/>
  <c r="C1824" i="1"/>
  <c r="D1824" i="1"/>
  <c r="E1824" i="1"/>
  <c r="F1824" i="1"/>
  <c r="H1824" i="1"/>
  <c r="I1824" i="1" a="1"/>
  <c r="I1824" i="1"/>
  <c r="J1824" i="1"/>
  <c r="B1825" i="1"/>
  <c r="C1825" i="1"/>
  <c r="D1825" i="1"/>
  <c r="E1825" i="1"/>
  <c r="F1825" i="1"/>
  <c r="H1825" i="1"/>
  <c r="I1825" i="1" a="1"/>
  <c r="I1825" i="1"/>
  <c r="J1825" i="1"/>
  <c r="B1826" i="1"/>
  <c r="C1826" i="1"/>
  <c r="D1826" i="1"/>
  <c r="E1826" i="1"/>
  <c r="F1826" i="1"/>
  <c r="H1826" i="1"/>
  <c r="I1826" i="1" a="1"/>
  <c r="I1826" i="1"/>
  <c r="J1826" i="1"/>
  <c r="B1827" i="1"/>
  <c r="C1827" i="1"/>
  <c r="D1827" i="1"/>
  <c r="E1827" i="1"/>
  <c r="F1827" i="1"/>
  <c r="H1827" i="1"/>
  <c r="I1827" i="1" a="1"/>
  <c r="I1827" i="1"/>
  <c r="J1827" i="1"/>
  <c r="B1828" i="1"/>
  <c r="C1828" i="1"/>
  <c r="D1828" i="1"/>
  <c r="E1828" i="1"/>
  <c r="F1828" i="1"/>
  <c r="H1828" i="1"/>
  <c r="I1828" i="1" a="1"/>
  <c r="I1828" i="1"/>
  <c r="J1828" i="1"/>
  <c r="B1829" i="1"/>
  <c r="C1829" i="1"/>
  <c r="D1829" i="1"/>
  <c r="E1829" i="1"/>
  <c r="F1829" i="1"/>
  <c r="H1829" i="1"/>
  <c r="I1829" i="1" a="1"/>
  <c r="I1829" i="1"/>
  <c r="J1829" i="1"/>
  <c r="B1830" i="1"/>
  <c r="C1830" i="1"/>
  <c r="D1830" i="1"/>
  <c r="E1830" i="1"/>
  <c r="F1830" i="1"/>
  <c r="H1830" i="1"/>
  <c r="I1830" i="1" a="1"/>
  <c r="I1830" i="1"/>
  <c r="J1830" i="1"/>
  <c r="B1831" i="1"/>
  <c r="C1831" i="1"/>
  <c r="D1831" i="1"/>
  <c r="E1831" i="1"/>
  <c r="F1831" i="1"/>
  <c r="H1831" i="1"/>
  <c r="I1831" i="1" a="1"/>
  <c r="I1831" i="1"/>
  <c r="J1831" i="1"/>
  <c r="B1832" i="1"/>
  <c r="C1832" i="1"/>
  <c r="D1832" i="1"/>
  <c r="E1832" i="1"/>
  <c r="F1832" i="1"/>
  <c r="H1832" i="1"/>
  <c r="I1832" i="1" a="1"/>
  <c r="I1832" i="1"/>
  <c r="J1832" i="1"/>
  <c r="B1833" i="1"/>
  <c r="C1833" i="1"/>
  <c r="D1833" i="1"/>
  <c r="E1833" i="1"/>
  <c r="F1833" i="1"/>
  <c r="H1833" i="1"/>
  <c r="I1833" i="1" a="1"/>
  <c r="I1833" i="1"/>
  <c r="J1833" i="1"/>
  <c r="B1834" i="1"/>
  <c r="C1834" i="1"/>
  <c r="D1834" i="1"/>
  <c r="E1834" i="1"/>
  <c r="F1834" i="1"/>
  <c r="H1834" i="1"/>
  <c r="I1834" i="1" a="1"/>
  <c r="I1834" i="1"/>
  <c r="J1834" i="1"/>
  <c r="B1835" i="1"/>
  <c r="C1835" i="1"/>
  <c r="D1835" i="1"/>
  <c r="E1835" i="1"/>
  <c r="F1835" i="1"/>
  <c r="H1835" i="1"/>
  <c r="I1835" i="1" a="1"/>
  <c r="I1835" i="1"/>
  <c r="J1835" i="1"/>
  <c r="B1836" i="1"/>
  <c r="C1836" i="1"/>
  <c r="D1836" i="1"/>
  <c r="E1836" i="1"/>
  <c r="F1836" i="1"/>
  <c r="H1836" i="1"/>
  <c r="I1836" i="1" a="1"/>
  <c r="I1836" i="1"/>
  <c r="J1836" i="1"/>
  <c r="B1837" i="1"/>
  <c r="C1837" i="1"/>
  <c r="D1837" i="1"/>
  <c r="E1837" i="1"/>
  <c r="F1837" i="1"/>
  <c r="H1837" i="1"/>
  <c r="I1837" i="1" a="1"/>
  <c r="I1837" i="1"/>
  <c r="J1837" i="1"/>
  <c r="B1838" i="1"/>
  <c r="C1838" i="1"/>
  <c r="D1838" i="1"/>
  <c r="E1838" i="1"/>
  <c r="F1838" i="1"/>
  <c r="H1838" i="1"/>
  <c r="I1838" i="1" a="1"/>
  <c r="I1838" i="1"/>
  <c r="J1838" i="1"/>
  <c r="B1839" i="1"/>
  <c r="C1839" i="1"/>
  <c r="D1839" i="1"/>
  <c r="E1839" i="1"/>
  <c r="F1839" i="1"/>
  <c r="H1839" i="1"/>
  <c r="I1839" i="1" a="1"/>
  <c r="I1839" i="1"/>
  <c r="J1839" i="1"/>
  <c r="B1840" i="1"/>
  <c r="C1840" i="1"/>
  <c r="D1840" i="1"/>
  <c r="E1840" i="1"/>
  <c r="F1840" i="1"/>
  <c r="H1840" i="1"/>
  <c r="I1840" i="1" a="1"/>
  <c r="I1840" i="1"/>
  <c r="J1840" i="1"/>
  <c r="B1841" i="1"/>
  <c r="C1841" i="1"/>
  <c r="D1841" i="1"/>
  <c r="E1841" i="1"/>
  <c r="F1841" i="1"/>
  <c r="H1841" i="1"/>
  <c r="I1841" i="1" a="1"/>
  <c r="I1841" i="1"/>
  <c r="J1841" i="1"/>
  <c r="B1842" i="1"/>
  <c r="C1842" i="1"/>
  <c r="D1842" i="1"/>
  <c r="E1842" i="1"/>
  <c r="F1842" i="1"/>
  <c r="H1842" i="1"/>
  <c r="I1842" i="1" a="1"/>
  <c r="I1842" i="1"/>
  <c r="J1842" i="1"/>
  <c r="B1843" i="1"/>
  <c r="C1843" i="1"/>
  <c r="D1843" i="1"/>
  <c r="E1843" i="1"/>
  <c r="F1843" i="1"/>
  <c r="H1843" i="1"/>
  <c r="I1843" i="1" a="1"/>
  <c r="I1843" i="1"/>
  <c r="J1843" i="1"/>
  <c r="B1844" i="1"/>
  <c r="C1844" i="1"/>
  <c r="D1844" i="1"/>
  <c r="E1844" i="1"/>
  <c r="F1844" i="1"/>
  <c r="H1844" i="1"/>
  <c r="I1844" i="1" a="1"/>
  <c r="I1844" i="1"/>
  <c r="J1844" i="1"/>
  <c r="B1845" i="1"/>
  <c r="C1845" i="1"/>
  <c r="D1845" i="1"/>
  <c r="E1845" i="1"/>
  <c r="F1845" i="1"/>
  <c r="H1845" i="1"/>
  <c r="I1845" i="1" a="1"/>
  <c r="I1845" i="1"/>
  <c r="J1845" i="1"/>
  <c r="B1846" i="1"/>
  <c r="C1846" i="1"/>
  <c r="D1846" i="1"/>
  <c r="E1846" i="1"/>
  <c r="F1846" i="1"/>
  <c r="H1846" i="1"/>
  <c r="I1846" i="1" a="1"/>
  <c r="I1846" i="1"/>
  <c r="J1846" i="1"/>
  <c r="B1847" i="1"/>
  <c r="C1847" i="1"/>
  <c r="D1847" i="1"/>
  <c r="E1847" i="1"/>
  <c r="F1847" i="1"/>
  <c r="H1847" i="1"/>
  <c r="I1847" i="1" a="1"/>
  <c r="I1847" i="1"/>
  <c r="J1847" i="1"/>
  <c r="B1848" i="1"/>
  <c r="C1848" i="1"/>
  <c r="D1848" i="1"/>
  <c r="E1848" i="1"/>
  <c r="F1848" i="1"/>
  <c r="H1848" i="1"/>
  <c r="I1848" i="1" a="1"/>
  <c r="I1848" i="1"/>
  <c r="J1848" i="1"/>
  <c r="B1849" i="1"/>
  <c r="C1849" i="1"/>
  <c r="D1849" i="1"/>
  <c r="E1849" i="1"/>
  <c r="F1849" i="1"/>
  <c r="H1849" i="1"/>
  <c r="I1849" i="1" a="1"/>
  <c r="I1849" i="1"/>
  <c r="J1849" i="1"/>
  <c r="B1850" i="1"/>
  <c r="C1850" i="1"/>
  <c r="D1850" i="1"/>
  <c r="E1850" i="1"/>
  <c r="F1850" i="1"/>
  <c r="H1850" i="1"/>
  <c r="I1850" i="1" a="1"/>
  <c r="I1850" i="1"/>
  <c r="J1850" i="1"/>
  <c r="B1851" i="1"/>
  <c r="C1851" i="1"/>
  <c r="D1851" i="1"/>
  <c r="E1851" i="1"/>
  <c r="F1851" i="1"/>
  <c r="H1851" i="1"/>
  <c r="I1851" i="1" a="1"/>
  <c r="I1851" i="1"/>
  <c r="J1851" i="1"/>
  <c r="B1852" i="1"/>
  <c r="C1852" i="1"/>
  <c r="D1852" i="1"/>
  <c r="E1852" i="1"/>
  <c r="F1852" i="1"/>
  <c r="H1852" i="1"/>
  <c r="I1852" i="1" a="1"/>
  <c r="I1852" i="1"/>
  <c r="J1852" i="1"/>
  <c r="B1853" i="1"/>
  <c r="C1853" i="1"/>
  <c r="D1853" i="1"/>
  <c r="E1853" i="1"/>
  <c r="F1853" i="1"/>
  <c r="H1853" i="1"/>
  <c r="I1853" i="1" a="1"/>
  <c r="I1853" i="1"/>
  <c r="J1853" i="1"/>
  <c r="B1854" i="1"/>
  <c r="C1854" i="1"/>
  <c r="D1854" i="1"/>
  <c r="E1854" i="1"/>
  <c r="F1854" i="1"/>
  <c r="H1854" i="1"/>
  <c r="I1854" i="1" a="1"/>
  <c r="I1854" i="1"/>
  <c r="J1854" i="1"/>
  <c r="B1855" i="1"/>
  <c r="C1855" i="1"/>
  <c r="D1855" i="1"/>
  <c r="E1855" i="1"/>
  <c r="F1855" i="1"/>
  <c r="H1855" i="1"/>
  <c r="I1855" i="1" a="1"/>
  <c r="I1855" i="1"/>
  <c r="J1855" i="1"/>
  <c r="B1856" i="1"/>
  <c r="C1856" i="1"/>
  <c r="D1856" i="1"/>
  <c r="E1856" i="1"/>
  <c r="F1856" i="1"/>
  <c r="H1856" i="1"/>
  <c r="I1856" i="1" a="1"/>
  <c r="I1856" i="1"/>
  <c r="J1856" i="1"/>
  <c r="B1857" i="1"/>
  <c r="C1857" i="1"/>
  <c r="D1857" i="1"/>
  <c r="E1857" i="1"/>
  <c r="F1857" i="1"/>
  <c r="H1857" i="1"/>
  <c r="I1857" i="1" a="1"/>
  <c r="I1857" i="1"/>
  <c r="J1857" i="1"/>
  <c r="B1858" i="1"/>
  <c r="C1858" i="1"/>
  <c r="D1858" i="1"/>
  <c r="E1858" i="1"/>
  <c r="F1858" i="1"/>
  <c r="H1858" i="1"/>
  <c r="I1858" i="1" a="1"/>
  <c r="I1858" i="1"/>
  <c r="J1858" i="1"/>
  <c r="B1859" i="1"/>
  <c r="C1859" i="1"/>
  <c r="D1859" i="1"/>
  <c r="E1859" i="1"/>
  <c r="F1859" i="1"/>
  <c r="H1859" i="1"/>
  <c r="I1859" i="1" a="1"/>
  <c r="I1859" i="1"/>
  <c r="J1859" i="1"/>
  <c r="B1860" i="1"/>
  <c r="C1860" i="1"/>
  <c r="D1860" i="1"/>
  <c r="E1860" i="1"/>
  <c r="F1860" i="1"/>
  <c r="H1860" i="1"/>
  <c r="I1860" i="1" a="1"/>
  <c r="I1860" i="1"/>
  <c r="J1860" i="1"/>
  <c r="B1861" i="1"/>
  <c r="C1861" i="1"/>
  <c r="D1861" i="1"/>
  <c r="E1861" i="1"/>
  <c r="F1861" i="1"/>
  <c r="H1861" i="1"/>
  <c r="I1861" i="1" a="1"/>
  <c r="I1861" i="1"/>
  <c r="J1861" i="1"/>
  <c r="B1862" i="1"/>
  <c r="C1862" i="1"/>
  <c r="D1862" i="1"/>
  <c r="E1862" i="1"/>
  <c r="F1862" i="1"/>
  <c r="H1862" i="1"/>
  <c r="I1862" i="1" a="1"/>
  <c r="I1862" i="1"/>
  <c r="J1862" i="1"/>
  <c r="B1863" i="1"/>
  <c r="C1863" i="1"/>
  <c r="D1863" i="1"/>
  <c r="E1863" i="1"/>
  <c r="F1863" i="1"/>
  <c r="H1863" i="1"/>
  <c r="I1863" i="1" a="1"/>
  <c r="I1863" i="1"/>
  <c r="J1863" i="1"/>
  <c r="B1864" i="1"/>
  <c r="C1864" i="1"/>
  <c r="D1864" i="1"/>
  <c r="E1864" i="1"/>
  <c r="F1864" i="1"/>
  <c r="H1864" i="1"/>
  <c r="I1864" i="1" a="1"/>
  <c r="I1864" i="1"/>
  <c r="J1864" i="1"/>
  <c r="B1865" i="1"/>
  <c r="C1865" i="1"/>
  <c r="D1865" i="1"/>
  <c r="E1865" i="1"/>
  <c r="F1865" i="1"/>
  <c r="H1865" i="1"/>
  <c r="I1865" i="1" a="1"/>
  <c r="I1865" i="1"/>
  <c r="J1865" i="1"/>
  <c r="B1866" i="1"/>
  <c r="C1866" i="1"/>
  <c r="D1866" i="1"/>
  <c r="E1866" i="1"/>
  <c r="F1866" i="1"/>
  <c r="H1866" i="1"/>
  <c r="I1866" i="1" a="1"/>
  <c r="I1866" i="1"/>
  <c r="J1866" i="1"/>
  <c r="B1867" i="1"/>
  <c r="C1867" i="1"/>
  <c r="D1867" i="1"/>
  <c r="E1867" i="1"/>
  <c r="F1867" i="1"/>
  <c r="H1867" i="1"/>
  <c r="I1867" i="1" a="1"/>
  <c r="I1867" i="1"/>
  <c r="J1867" i="1"/>
  <c r="B1868" i="1"/>
  <c r="C1868" i="1"/>
  <c r="D1868" i="1"/>
  <c r="E1868" i="1"/>
  <c r="F1868" i="1"/>
  <c r="H1868" i="1"/>
  <c r="I1868" i="1" a="1"/>
  <c r="I1868" i="1"/>
  <c r="J1868" i="1"/>
  <c r="B1869" i="1"/>
  <c r="C1869" i="1"/>
  <c r="D1869" i="1"/>
  <c r="E1869" i="1"/>
  <c r="F1869" i="1"/>
  <c r="H1869" i="1"/>
  <c r="I1869" i="1" a="1"/>
  <c r="I1869" i="1"/>
  <c r="J1869" i="1"/>
  <c r="B1870" i="1"/>
  <c r="C1870" i="1"/>
  <c r="D1870" i="1"/>
  <c r="E1870" i="1"/>
  <c r="F1870" i="1"/>
  <c r="H1870" i="1"/>
  <c r="I1870" i="1" a="1"/>
  <c r="I1870" i="1"/>
  <c r="J1870" i="1"/>
  <c r="B1871" i="1"/>
  <c r="C1871" i="1"/>
  <c r="D1871" i="1"/>
  <c r="E1871" i="1"/>
  <c r="F1871" i="1"/>
  <c r="H1871" i="1"/>
  <c r="I1871" i="1" a="1"/>
  <c r="I1871" i="1"/>
  <c r="J1871" i="1"/>
  <c r="B1872" i="1"/>
  <c r="C1872" i="1"/>
  <c r="D1872" i="1"/>
  <c r="E1872" i="1"/>
  <c r="F1872" i="1"/>
  <c r="H1872" i="1"/>
  <c r="I1872" i="1" a="1"/>
  <c r="I1872" i="1"/>
  <c r="J1872" i="1"/>
  <c r="B1873" i="1"/>
  <c r="C1873" i="1"/>
  <c r="D1873" i="1"/>
  <c r="E1873" i="1"/>
  <c r="F1873" i="1"/>
  <c r="H1873" i="1"/>
  <c r="I1873" i="1" a="1"/>
  <c r="I1873" i="1"/>
  <c r="J1873" i="1"/>
  <c r="B1874" i="1"/>
  <c r="C1874" i="1"/>
  <c r="D1874" i="1"/>
  <c r="E1874" i="1"/>
  <c r="F1874" i="1"/>
  <c r="H1874" i="1"/>
  <c r="I1874" i="1" a="1"/>
  <c r="I1874" i="1"/>
  <c r="J1874" i="1"/>
  <c r="B1875" i="1"/>
  <c r="C1875" i="1"/>
  <c r="D1875" i="1"/>
  <c r="E1875" i="1"/>
  <c r="F1875" i="1"/>
  <c r="H1875" i="1"/>
  <c r="I1875" i="1" a="1"/>
  <c r="I1875" i="1"/>
  <c r="J1875" i="1"/>
  <c r="B1876" i="1"/>
  <c r="C1876" i="1"/>
  <c r="D1876" i="1"/>
  <c r="E1876" i="1"/>
  <c r="F1876" i="1"/>
  <c r="H1876" i="1"/>
  <c r="I1876" i="1" a="1"/>
  <c r="I1876" i="1"/>
  <c r="J1876" i="1"/>
  <c r="B1877" i="1"/>
  <c r="C1877" i="1"/>
  <c r="D1877" i="1"/>
  <c r="E1877" i="1"/>
  <c r="F1877" i="1"/>
  <c r="H1877" i="1"/>
  <c r="I1877" i="1" a="1"/>
  <c r="I1877" i="1"/>
  <c r="J1877" i="1"/>
  <c r="B1878" i="1"/>
  <c r="C1878" i="1"/>
  <c r="D1878" i="1"/>
  <c r="E1878" i="1"/>
  <c r="F1878" i="1"/>
  <c r="H1878" i="1"/>
  <c r="I1878" i="1" a="1"/>
  <c r="I1878" i="1"/>
  <c r="J1878" i="1"/>
  <c r="B1879" i="1"/>
  <c r="C1879" i="1"/>
  <c r="D1879" i="1"/>
  <c r="E1879" i="1"/>
  <c r="F1879" i="1"/>
  <c r="H1879" i="1"/>
  <c r="I1879" i="1" a="1"/>
  <c r="I1879" i="1"/>
  <c r="J1879" i="1"/>
  <c r="B1880" i="1"/>
  <c r="C1880" i="1"/>
  <c r="D1880" i="1"/>
  <c r="E1880" i="1"/>
  <c r="F1880" i="1"/>
  <c r="H1880" i="1"/>
  <c r="I1880" i="1" a="1"/>
  <c r="I1880" i="1"/>
  <c r="J1880" i="1"/>
  <c r="B1881" i="1"/>
  <c r="C1881" i="1"/>
  <c r="D1881" i="1"/>
  <c r="E1881" i="1"/>
  <c r="F1881" i="1"/>
  <c r="H1881" i="1"/>
  <c r="I1881" i="1" a="1"/>
  <c r="I1881" i="1"/>
  <c r="J1881" i="1"/>
  <c r="B1882" i="1"/>
  <c r="C1882" i="1"/>
  <c r="D1882" i="1"/>
  <c r="E1882" i="1"/>
  <c r="F1882" i="1"/>
  <c r="H1882" i="1"/>
  <c r="I1882" i="1" a="1"/>
  <c r="I1882" i="1"/>
  <c r="J1882" i="1"/>
  <c r="B1883" i="1"/>
  <c r="C1883" i="1"/>
  <c r="D1883" i="1"/>
  <c r="E1883" i="1"/>
  <c r="F1883" i="1"/>
  <c r="H1883" i="1"/>
  <c r="I1883" i="1" a="1"/>
  <c r="I1883" i="1"/>
  <c r="J1883" i="1"/>
  <c r="B1884" i="1"/>
  <c r="C1884" i="1"/>
  <c r="D1884" i="1"/>
  <c r="E1884" i="1"/>
  <c r="F1884" i="1"/>
  <c r="H1884" i="1"/>
  <c r="I1884" i="1" a="1"/>
  <c r="I1884" i="1"/>
  <c r="J1884" i="1"/>
  <c r="B1885" i="1"/>
  <c r="C1885" i="1"/>
  <c r="D1885" i="1"/>
  <c r="E1885" i="1"/>
  <c r="F1885" i="1"/>
  <c r="H1885" i="1"/>
  <c r="I1885" i="1" a="1"/>
  <c r="I1885" i="1"/>
  <c r="J1885" i="1"/>
  <c r="B1886" i="1"/>
  <c r="C1886" i="1"/>
  <c r="D1886" i="1"/>
  <c r="E1886" i="1"/>
  <c r="F1886" i="1"/>
  <c r="H1886" i="1"/>
  <c r="I1886" i="1" a="1"/>
  <c r="I1886" i="1"/>
  <c r="J1886" i="1"/>
  <c r="B1887" i="1"/>
  <c r="C1887" i="1"/>
  <c r="D1887" i="1"/>
  <c r="E1887" i="1"/>
  <c r="F1887" i="1"/>
  <c r="H1887" i="1"/>
  <c r="I1887" i="1" a="1"/>
  <c r="I1887" i="1"/>
  <c r="J1887" i="1"/>
  <c r="B1888" i="1"/>
  <c r="C1888" i="1"/>
  <c r="D1888" i="1"/>
  <c r="E1888" i="1"/>
  <c r="F1888" i="1"/>
  <c r="H1888" i="1"/>
  <c r="I1888" i="1" a="1"/>
  <c r="I1888" i="1"/>
  <c r="J1888" i="1"/>
  <c r="B1889" i="1"/>
  <c r="C1889" i="1"/>
  <c r="D1889" i="1"/>
  <c r="E1889" i="1"/>
  <c r="F1889" i="1"/>
  <c r="H1889" i="1"/>
  <c r="I1889" i="1" a="1"/>
  <c r="I1889" i="1"/>
  <c r="J1889" i="1"/>
  <c r="B1890" i="1"/>
  <c r="C1890" i="1"/>
  <c r="D1890" i="1"/>
  <c r="E1890" i="1"/>
  <c r="F1890" i="1"/>
  <c r="H1890" i="1"/>
  <c r="I1890" i="1" a="1"/>
  <c r="I1890" i="1"/>
  <c r="J1890" i="1"/>
  <c r="B1891" i="1"/>
  <c r="C1891" i="1"/>
  <c r="D1891" i="1"/>
  <c r="E1891" i="1"/>
  <c r="F1891" i="1"/>
  <c r="H1891" i="1"/>
  <c r="I1891" i="1" a="1"/>
  <c r="I1891" i="1"/>
  <c r="J1891" i="1"/>
  <c r="B1892" i="1"/>
  <c r="C1892" i="1"/>
  <c r="D1892" i="1"/>
  <c r="E1892" i="1"/>
  <c r="F1892" i="1"/>
  <c r="H1892" i="1"/>
  <c r="I1892" i="1" a="1"/>
  <c r="I1892" i="1"/>
  <c r="J1892" i="1"/>
  <c r="B1893" i="1"/>
  <c r="C1893" i="1"/>
  <c r="D1893" i="1"/>
  <c r="E1893" i="1"/>
  <c r="F1893" i="1"/>
  <c r="H1893" i="1"/>
  <c r="I1893" i="1" a="1"/>
  <c r="I1893" i="1"/>
  <c r="J1893" i="1"/>
  <c r="B1894" i="1"/>
  <c r="C1894" i="1"/>
  <c r="D1894" i="1"/>
  <c r="E1894" i="1"/>
  <c r="F1894" i="1"/>
  <c r="H1894" i="1"/>
  <c r="I1894" i="1" a="1"/>
  <c r="I1894" i="1"/>
  <c r="J1894" i="1"/>
  <c r="B1895" i="1"/>
  <c r="C1895" i="1"/>
  <c r="D1895" i="1"/>
  <c r="E1895" i="1"/>
  <c r="F1895" i="1"/>
  <c r="H1895" i="1"/>
  <c r="I1895" i="1" a="1"/>
  <c r="I1895" i="1"/>
  <c r="J1895" i="1"/>
  <c r="B1896" i="1"/>
  <c r="C1896" i="1"/>
  <c r="D1896" i="1"/>
  <c r="E1896" i="1"/>
  <c r="F1896" i="1"/>
  <c r="H1896" i="1"/>
  <c r="I1896" i="1" a="1"/>
  <c r="I1896" i="1"/>
  <c r="J1896" i="1"/>
  <c r="B1897" i="1"/>
  <c r="C1897" i="1"/>
  <c r="D1897" i="1"/>
  <c r="E1897" i="1"/>
  <c r="F1897" i="1"/>
  <c r="H1897" i="1"/>
  <c r="I1897" i="1" a="1"/>
  <c r="I1897" i="1"/>
  <c r="J1897" i="1"/>
  <c r="B1898" i="1"/>
  <c r="C1898" i="1"/>
  <c r="D1898" i="1"/>
  <c r="E1898" i="1"/>
  <c r="F1898" i="1"/>
  <c r="H1898" i="1"/>
  <c r="I1898" i="1" a="1"/>
  <c r="I1898" i="1"/>
  <c r="J1898" i="1"/>
  <c r="B1899" i="1"/>
  <c r="C1899" i="1"/>
  <c r="D1899" i="1"/>
  <c r="E1899" i="1"/>
  <c r="F1899" i="1"/>
  <c r="H1899" i="1"/>
  <c r="I1899" i="1" a="1"/>
  <c r="I1899" i="1"/>
  <c r="J1899" i="1"/>
  <c r="B1900" i="1"/>
  <c r="C1900" i="1"/>
  <c r="D1900" i="1"/>
  <c r="E1900" i="1"/>
  <c r="F1900" i="1"/>
  <c r="H1900" i="1"/>
  <c r="I1900" i="1" a="1"/>
  <c r="I1900" i="1"/>
  <c r="J1900" i="1"/>
  <c r="B1901" i="1"/>
  <c r="C1901" i="1"/>
  <c r="D1901" i="1"/>
  <c r="E1901" i="1"/>
  <c r="F1901" i="1"/>
  <c r="H1901" i="1"/>
  <c r="I1901" i="1" a="1"/>
  <c r="I1901" i="1"/>
  <c r="J1901" i="1"/>
  <c r="B1902" i="1"/>
  <c r="C1902" i="1"/>
  <c r="D1902" i="1"/>
  <c r="E1902" i="1"/>
  <c r="F1902" i="1"/>
  <c r="H1902" i="1"/>
  <c r="I1902" i="1" a="1"/>
  <c r="I1902" i="1"/>
  <c r="J1902" i="1"/>
  <c r="B1903" i="1"/>
  <c r="C1903" i="1"/>
  <c r="D1903" i="1"/>
  <c r="E1903" i="1"/>
  <c r="F1903" i="1"/>
  <c r="H1903" i="1"/>
  <c r="I1903" i="1" a="1"/>
  <c r="I1903" i="1"/>
  <c r="J1903" i="1"/>
  <c r="B1904" i="1"/>
  <c r="C1904" i="1"/>
  <c r="D1904" i="1"/>
  <c r="E1904" i="1"/>
  <c r="F1904" i="1"/>
  <c r="H1904" i="1"/>
  <c r="I1904" i="1" a="1"/>
  <c r="I1904" i="1"/>
  <c r="J1904" i="1"/>
  <c r="B1905" i="1"/>
  <c r="C1905" i="1"/>
  <c r="D1905" i="1"/>
  <c r="E1905" i="1"/>
  <c r="F1905" i="1"/>
  <c r="H1905" i="1"/>
  <c r="I1905" i="1" a="1"/>
  <c r="I1905" i="1"/>
  <c r="J1905" i="1"/>
  <c r="B1906" i="1"/>
  <c r="C1906" i="1"/>
  <c r="D1906" i="1"/>
  <c r="E1906" i="1"/>
  <c r="F1906" i="1"/>
  <c r="H1906" i="1"/>
  <c r="I1906" i="1" a="1"/>
  <c r="I1906" i="1"/>
  <c r="J1906" i="1"/>
  <c r="B1907" i="1"/>
  <c r="C1907" i="1"/>
  <c r="D1907" i="1"/>
  <c r="E1907" i="1"/>
  <c r="F1907" i="1"/>
  <c r="H1907" i="1"/>
  <c r="I1907" i="1" a="1"/>
  <c r="I1907" i="1"/>
  <c r="J1907" i="1"/>
  <c r="B1908" i="1"/>
  <c r="C1908" i="1"/>
  <c r="D1908" i="1"/>
  <c r="E1908" i="1"/>
  <c r="F1908" i="1"/>
  <c r="H1908" i="1"/>
  <c r="I1908" i="1" a="1"/>
  <c r="I1908" i="1"/>
  <c r="J1908" i="1"/>
  <c r="B1909" i="1"/>
  <c r="C1909" i="1"/>
  <c r="D1909" i="1"/>
  <c r="E1909" i="1"/>
  <c r="F1909" i="1"/>
  <c r="H1909" i="1"/>
  <c r="I1909" i="1" a="1"/>
  <c r="I1909" i="1"/>
  <c r="J1909" i="1"/>
  <c r="B1910" i="1"/>
  <c r="C1910" i="1"/>
  <c r="D1910" i="1"/>
  <c r="E1910" i="1"/>
  <c r="F1910" i="1"/>
  <c r="H1910" i="1"/>
  <c r="I1910" i="1" a="1"/>
  <c r="I1910" i="1"/>
  <c r="J1910" i="1"/>
  <c r="B1911" i="1"/>
  <c r="C1911" i="1"/>
  <c r="D1911" i="1"/>
  <c r="E1911" i="1"/>
  <c r="F1911" i="1"/>
  <c r="H1911" i="1"/>
  <c r="I1911" i="1" a="1"/>
  <c r="I1911" i="1"/>
  <c r="J1911" i="1"/>
  <c r="B1912" i="1"/>
  <c r="C1912" i="1"/>
  <c r="D1912" i="1"/>
  <c r="E1912" i="1"/>
  <c r="F1912" i="1"/>
  <c r="H1912" i="1"/>
  <c r="I1912" i="1" a="1"/>
  <c r="I1912" i="1"/>
  <c r="J1912" i="1"/>
  <c r="B1913" i="1"/>
  <c r="C1913" i="1"/>
  <c r="D1913" i="1"/>
  <c r="E1913" i="1"/>
  <c r="F1913" i="1"/>
  <c r="H1913" i="1"/>
  <c r="I1913" i="1" a="1"/>
  <c r="I1913" i="1"/>
  <c r="J1913" i="1"/>
  <c r="B1914" i="1"/>
  <c r="C1914" i="1"/>
  <c r="D1914" i="1"/>
  <c r="E1914" i="1"/>
  <c r="F1914" i="1"/>
  <c r="H1914" i="1"/>
  <c r="I1914" i="1" a="1"/>
  <c r="I1914" i="1"/>
  <c r="J1914" i="1"/>
  <c r="B1915" i="1"/>
  <c r="C1915" i="1"/>
  <c r="D1915" i="1"/>
  <c r="E1915" i="1"/>
  <c r="F1915" i="1"/>
  <c r="H1915" i="1"/>
  <c r="I1915" i="1" a="1"/>
  <c r="I1915" i="1"/>
  <c r="J1915" i="1"/>
  <c r="B1916" i="1"/>
  <c r="C1916" i="1"/>
  <c r="D1916" i="1"/>
  <c r="E1916" i="1"/>
  <c r="F1916" i="1"/>
  <c r="H1916" i="1"/>
  <c r="I1916" i="1" a="1"/>
  <c r="I1916" i="1"/>
  <c r="J1916" i="1"/>
  <c r="B1917" i="1"/>
  <c r="C1917" i="1"/>
  <c r="D1917" i="1"/>
  <c r="E1917" i="1"/>
  <c r="F1917" i="1"/>
  <c r="H1917" i="1"/>
  <c r="I1917" i="1" a="1"/>
  <c r="I1917" i="1"/>
  <c r="J1917" i="1"/>
  <c r="B1918" i="1"/>
  <c r="C1918" i="1"/>
  <c r="D1918" i="1"/>
  <c r="E1918" i="1"/>
  <c r="F1918" i="1"/>
  <c r="H1918" i="1"/>
  <c r="I1918" i="1" a="1"/>
  <c r="I1918" i="1"/>
  <c r="J1918" i="1"/>
  <c r="B1919" i="1"/>
  <c r="C1919" i="1"/>
  <c r="D1919" i="1"/>
  <c r="E1919" i="1"/>
  <c r="F1919" i="1"/>
  <c r="H1919" i="1"/>
  <c r="I1919" i="1" a="1"/>
  <c r="I1919" i="1"/>
  <c r="J1919" i="1"/>
  <c r="B1920" i="1"/>
  <c r="C1920" i="1"/>
  <c r="D1920" i="1"/>
  <c r="E1920" i="1"/>
  <c r="F1920" i="1"/>
  <c r="H1920" i="1"/>
  <c r="I1920" i="1" a="1"/>
  <c r="I1920" i="1"/>
  <c r="J1920" i="1"/>
  <c r="B1921" i="1"/>
  <c r="C1921" i="1"/>
  <c r="D1921" i="1"/>
  <c r="E1921" i="1"/>
  <c r="F1921" i="1"/>
  <c r="H1921" i="1"/>
  <c r="I1921" i="1" a="1"/>
  <c r="I1921" i="1"/>
  <c r="J1921" i="1"/>
  <c r="B1922" i="1"/>
  <c r="C1922" i="1"/>
  <c r="D1922" i="1"/>
  <c r="E1922" i="1"/>
  <c r="F1922" i="1"/>
  <c r="H1922" i="1"/>
  <c r="I1922" i="1" a="1"/>
  <c r="I1922" i="1"/>
  <c r="J1922" i="1"/>
  <c r="B1923" i="1"/>
  <c r="C1923" i="1"/>
  <c r="D1923" i="1"/>
  <c r="E1923" i="1"/>
  <c r="F1923" i="1"/>
  <c r="H1923" i="1"/>
  <c r="I1923" i="1" a="1"/>
  <c r="I1923" i="1"/>
  <c r="J1923" i="1"/>
  <c r="B1924" i="1"/>
  <c r="C1924" i="1"/>
  <c r="D1924" i="1"/>
  <c r="E1924" i="1"/>
  <c r="F1924" i="1"/>
  <c r="H1924" i="1"/>
  <c r="I1924" i="1" a="1"/>
  <c r="I1924" i="1"/>
  <c r="J1924" i="1"/>
  <c r="B1925" i="1"/>
  <c r="C1925" i="1"/>
  <c r="D1925" i="1"/>
  <c r="E1925" i="1"/>
  <c r="F1925" i="1"/>
  <c r="H1925" i="1"/>
  <c r="I1925" i="1" a="1"/>
  <c r="I1925" i="1"/>
  <c r="J1925" i="1"/>
  <c r="B1926" i="1"/>
  <c r="C1926" i="1"/>
  <c r="D1926" i="1"/>
  <c r="E1926" i="1"/>
  <c r="F1926" i="1"/>
  <c r="H1926" i="1"/>
  <c r="I1926" i="1" a="1"/>
  <c r="I1926" i="1"/>
  <c r="J1926" i="1"/>
  <c r="B1927" i="1"/>
  <c r="C1927" i="1"/>
  <c r="D1927" i="1"/>
  <c r="E1927" i="1"/>
  <c r="F1927" i="1"/>
  <c r="H1927" i="1"/>
  <c r="I1927" i="1" a="1"/>
  <c r="I1927" i="1"/>
  <c r="J1927" i="1"/>
  <c r="B1928" i="1"/>
  <c r="C1928" i="1"/>
  <c r="D1928" i="1"/>
  <c r="E1928" i="1"/>
  <c r="F1928" i="1"/>
  <c r="H1928" i="1"/>
  <c r="I1928" i="1" a="1"/>
  <c r="I1928" i="1"/>
  <c r="J1928" i="1"/>
  <c r="B1929" i="1"/>
  <c r="C1929" i="1"/>
  <c r="D1929" i="1"/>
  <c r="E1929" i="1"/>
  <c r="F1929" i="1"/>
  <c r="H1929" i="1"/>
  <c r="I1929" i="1" a="1"/>
  <c r="I1929" i="1"/>
  <c r="J1929" i="1"/>
  <c r="B1930" i="1"/>
  <c r="C1930" i="1"/>
  <c r="D1930" i="1"/>
  <c r="E1930" i="1"/>
  <c r="F1930" i="1"/>
  <c r="H1930" i="1"/>
  <c r="I1930" i="1" a="1"/>
  <c r="I1930" i="1"/>
  <c r="J1930" i="1"/>
  <c r="B1931" i="1"/>
  <c r="C1931" i="1"/>
  <c r="D1931" i="1"/>
  <c r="E1931" i="1"/>
  <c r="F1931" i="1"/>
  <c r="H1931" i="1"/>
  <c r="I1931" i="1" a="1"/>
  <c r="I1931" i="1"/>
  <c r="J1931" i="1"/>
  <c r="B1932" i="1"/>
  <c r="C1932" i="1"/>
  <c r="D1932" i="1"/>
  <c r="E1932" i="1"/>
  <c r="F1932" i="1"/>
  <c r="H1932" i="1"/>
  <c r="I1932" i="1" a="1"/>
  <c r="I1932" i="1"/>
  <c r="J1932" i="1"/>
  <c r="B1933" i="1"/>
  <c r="C1933" i="1"/>
  <c r="D1933" i="1"/>
  <c r="E1933" i="1"/>
  <c r="F1933" i="1"/>
  <c r="H1933" i="1"/>
  <c r="I1933" i="1" a="1"/>
  <c r="I1933" i="1"/>
  <c r="J1933" i="1"/>
  <c r="B1934" i="1"/>
  <c r="C1934" i="1"/>
  <c r="D1934" i="1"/>
  <c r="E1934" i="1"/>
  <c r="F1934" i="1"/>
  <c r="H1934" i="1"/>
  <c r="I1934" i="1" a="1"/>
  <c r="I1934" i="1"/>
  <c r="J1934" i="1"/>
  <c r="B1935" i="1"/>
  <c r="C1935" i="1"/>
  <c r="D1935" i="1"/>
  <c r="E1935" i="1"/>
  <c r="F1935" i="1"/>
  <c r="H1935" i="1"/>
  <c r="I1935" i="1" a="1"/>
  <c r="I1935" i="1"/>
  <c r="J1935" i="1"/>
  <c r="B1936" i="1"/>
  <c r="C1936" i="1"/>
  <c r="D1936" i="1"/>
  <c r="E1936" i="1"/>
  <c r="F1936" i="1"/>
  <c r="H1936" i="1"/>
  <c r="I1936" i="1" a="1"/>
  <c r="I1936" i="1"/>
  <c r="J1936" i="1"/>
  <c r="B1937" i="1"/>
  <c r="C1937" i="1"/>
  <c r="D1937" i="1"/>
  <c r="E1937" i="1"/>
  <c r="F1937" i="1"/>
  <c r="H1937" i="1"/>
  <c r="I1937" i="1" a="1"/>
  <c r="I1937" i="1"/>
  <c r="J1937" i="1"/>
  <c r="B1938" i="1"/>
  <c r="C1938" i="1"/>
  <c r="D1938" i="1"/>
  <c r="E1938" i="1"/>
  <c r="F1938" i="1"/>
  <c r="H1938" i="1"/>
  <c r="I1938" i="1" a="1"/>
  <c r="I1938" i="1"/>
  <c r="J1938" i="1"/>
  <c r="B1939" i="1"/>
  <c r="C1939" i="1"/>
  <c r="D1939" i="1"/>
  <c r="E1939" i="1"/>
  <c r="F1939" i="1"/>
  <c r="H1939" i="1"/>
  <c r="I1939" i="1" a="1"/>
  <c r="I1939" i="1"/>
  <c r="J1939" i="1"/>
  <c r="B1940" i="1"/>
  <c r="C1940" i="1"/>
  <c r="D1940" i="1"/>
  <c r="E1940" i="1"/>
  <c r="F1940" i="1"/>
  <c r="H1940" i="1"/>
  <c r="I1940" i="1" a="1"/>
  <c r="I1940" i="1"/>
  <c r="J1940" i="1"/>
  <c r="B1941" i="1"/>
  <c r="C1941" i="1"/>
  <c r="D1941" i="1"/>
  <c r="E1941" i="1"/>
  <c r="F1941" i="1"/>
  <c r="H1941" i="1"/>
  <c r="I1941" i="1" a="1"/>
  <c r="I1941" i="1"/>
  <c r="J1941" i="1"/>
  <c r="B1942" i="1"/>
  <c r="C1942" i="1"/>
  <c r="D1942" i="1"/>
  <c r="E1942" i="1"/>
  <c r="F1942" i="1"/>
  <c r="H1942" i="1"/>
  <c r="I1942" i="1" a="1"/>
  <c r="I1942" i="1"/>
  <c r="J1942" i="1"/>
  <c r="B1943" i="1"/>
  <c r="C1943" i="1"/>
  <c r="D1943" i="1"/>
  <c r="E1943" i="1"/>
  <c r="F1943" i="1"/>
  <c r="H1943" i="1"/>
  <c r="I1943" i="1" a="1"/>
  <c r="I1943" i="1"/>
  <c r="J1943" i="1"/>
  <c r="B1944" i="1"/>
  <c r="C1944" i="1"/>
  <c r="D1944" i="1"/>
  <c r="E1944" i="1"/>
  <c r="F1944" i="1"/>
  <c r="H1944" i="1"/>
  <c r="I1944" i="1" a="1"/>
  <c r="I1944" i="1"/>
  <c r="J1944" i="1"/>
  <c r="B1945" i="1"/>
  <c r="C1945" i="1"/>
  <c r="D1945" i="1"/>
  <c r="E1945" i="1"/>
  <c r="F1945" i="1"/>
  <c r="H1945" i="1"/>
  <c r="I1945" i="1" a="1"/>
  <c r="I1945" i="1"/>
  <c r="J1945" i="1"/>
  <c r="B1946" i="1"/>
  <c r="C1946" i="1"/>
  <c r="D1946" i="1"/>
  <c r="E1946" i="1"/>
  <c r="F1946" i="1"/>
  <c r="H1946" i="1"/>
  <c r="I1946" i="1" a="1"/>
  <c r="I1946" i="1"/>
  <c r="J1946" i="1"/>
  <c r="B1947" i="1"/>
  <c r="C1947" i="1"/>
  <c r="D1947" i="1"/>
  <c r="E1947" i="1"/>
  <c r="F1947" i="1"/>
  <c r="H1947" i="1"/>
  <c r="I1947" i="1" a="1"/>
  <c r="I1947" i="1"/>
  <c r="J1947" i="1"/>
  <c r="B1948" i="1"/>
  <c r="C1948" i="1"/>
  <c r="D1948" i="1"/>
  <c r="E1948" i="1"/>
  <c r="F1948" i="1"/>
  <c r="H1948" i="1"/>
  <c r="I1948" i="1" a="1"/>
  <c r="I1948" i="1"/>
  <c r="J1948" i="1"/>
  <c r="B1949" i="1"/>
  <c r="C1949" i="1"/>
  <c r="D1949" i="1"/>
  <c r="E1949" i="1"/>
  <c r="F1949" i="1"/>
  <c r="H1949" i="1"/>
  <c r="I1949" i="1" a="1"/>
  <c r="I1949" i="1"/>
  <c r="J1949" i="1"/>
  <c r="B1950" i="1"/>
  <c r="C1950" i="1"/>
  <c r="D1950" i="1"/>
  <c r="E1950" i="1"/>
  <c r="F1950" i="1"/>
  <c r="H1950" i="1"/>
  <c r="I1950" i="1" a="1"/>
  <c r="I1950" i="1"/>
  <c r="J1950" i="1"/>
  <c r="B1951" i="1"/>
  <c r="C1951" i="1"/>
  <c r="D1951" i="1"/>
  <c r="E1951" i="1"/>
  <c r="F1951" i="1"/>
  <c r="H1951" i="1"/>
  <c r="I1951" i="1" a="1"/>
  <c r="I1951" i="1"/>
  <c r="J1951" i="1"/>
  <c r="B1952" i="1"/>
  <c r="C1952" i="1"/>
  <c r="D1952" i="1"/>
  <c r="E1952" i="1"/>
  <c r="F1952" i="1"/>
  <c r="H1952" i="1"/>
  <c r="I1952" i="1" a="1"/>
  <c r="I1952" i="1"/>
  <c r="J1952" i="1"/>
  <c r="B1953" i="1"/>
  <c r="C1953" i="1"/>
  <c r="D1953" i="1"/>
  <c r="E1953" i="1"/>
  <c r="F1953" i="1"/>
  <c r="H1953" i="1"/>
  <c r="I1953" i="1" a="1"/>
  <c r="I1953" i="1"/>
  <c r="J1953" i="1"/>
  <c r="B1954" i="1"/>
  <c r="C1954" i="1"/>
  <c r="D1954" i="1"/>
  <c r="E1954" i="1"/>
  <c r="F1954" i="1"/>
  <c r="H1954" i="1"/>
  <c r="I1954" i="1" a="1"/>
  <c r="I1954" i="1"/>
  <c r="J1954" i="1"/>
  <c r="B1955" i="1"/>
  <c r="C1955" i="1"/>
  <c r="D1955" i="1"/>
  <c r="E1955" i="1"/>
  <c r="F1955" i="1"/>
  <c r="H1955" i="1"/>
  <c r="I1955" i="1" a="1"/>
  <c r="I1955" i="1"/>
  <c r="J1955" i="1"/>
  <c r="B1956" i="1"/>
  <c r="C1956" i="1"/>
  <c r="D1956" i="1"/>
  <c r="E1956" i="1"/>
  <c r="F1956" i="1"/>
  <c r="H1956" i="1"/>
  <c r="I1956" i="1" a="1"/>
  <c r="I1956" i="1"/>
  <c r="J1956" i="1"/>
  <c r="B1957" i="1"/>
  <c r="C1957" i="1"/>
  <c r="D1957" i="1"/>
  <c r="E1957" i="1"/>
  <c r="F1957" i="1"/>
  <c r="H1957" i="1"/>
  <c r="I1957" i="1" a="1"/>
  <c r="I1957" i="1"/>
  <c r="J1957" i="1"/>
  <c r="B1958" i="1"/>
  <c r="C1958" i="1"/>
  <c r="D1958" i="1"/>
  <c r="E1958" i="1"/>
  <c r="F1958" i="1"/>
  <c r="H1958" i="1"/>
  <c r="I1958" i="1" a="1"/>
  <c r="I1958" i="1"/>
  <c r="J1958" i="1"/>
  <c r="B1959" i="1"/>
  <c r="C1959" i="1"/>
  <c r="D1959" i="1"/>
  <c r="E1959" i="1"/>
  <c r="F1959" i="1"/>
  <c r="H1959" i="1"/>
  <c r="I1959" i="1" a="1"/>
  <c r="I1959" i="1"/>
  <c r="J1959" i="1"/>
  <c r="B1960" i="1"/>
  <c r="C1960" i="1"/>
  <c r="D1960" i="1"/>
  <c r="E1960" i="1"/>
  <c r="F1960" i="1"/>
  <c r="H1960" i="1"/>
  <c r="I1960" i="1" a="1"/>
  <c r="I1960" i="1"/>
  <c r="J1960" i="1"/>
  <c r="B1961" i="1"/>
  <c r="C1961" i="1"/>
  <c r="D1961" i="1"/>
  <c r="E1961" i="1"/>
  <c r="F1961" i="1"/>
  <c r="H1961" i="1"/>
  <c r="I1961" i="1" a="1"/>
  <c r="I1961" i="1"/>
  <c r="J1961" i="1"/>
  <c r="B1962" i="1"/>
  <c r="C1962" i="1"/>
  <c r="D1962" i="1"/>
  <c r="E1962" i="1"/>
  <c r="F1962" i="1"/>
  <c r="H1962" i="1"/>
  <c r="I1962" i="1" a="1"/>
  <c r="I1962" i="1"/>
  <c r="J1962" i="1"/>
  <c r="B1963" i="1"/>
  <c r="C1963" i="1"/>
  <c r="D1963" i="1"/>
  <c r="E1963" i="1"/>
  <c r="F1963" i="1"/>
  <c r="H1963" i="1"/>
  <c r="I1963" i="1" a="1"/>
  <c r="I1963" i="1"/>
  <c r="J1963" i="1"/>
  <c r="B1964" i="1"/>
  <c r="C1964" i="1"/>
  <c r="D1964" i="1"/>
  <c r="E1964" i="1"/>
  <c r="F1964" i="1"/>
  <c r="H1964" i="1"/>
  <c r="I1964" i="1" a="1"/>
  <c r="I1964" i="1"/>
  <c r="J1964" i="1"/>
  <c r="B1965" i="1"/>
  <c r="C1965" i="1"/>
  <c r="D1965" i="1"/>
  <c r="E1965" i="1"/>
  <c r="F1965" i="1"/>
  <c r="H1965" i="1"/>
  <c r="I1965" i="1" a="1"/>
  <c r="I1965" i="1"/>
  <c r="J1965" i="1"/>
  <c r="B1966" i="1"/>
  <c r="C1966" i="1"/>
  <c r="D1966" i="1"/>
  <c r="E1966" i="1"/>
  <c r="F1966" i="1"/>
  <c r="H1966" i="1"/>
  <c r="I1966" i="1" a="1"/>
  <c r="I1966" i="1"/>
  <c r="J1966" i="1"/>
  <c r="B1967" i="1"/>
  <c r="C1967" i="1"/>
  <c r="D1967" i="1"/>
  <c r="E1967" i="1"/>
  <c r="F1967" i="1"/>
  <c r="H1967" i="1"/>
  <c r="I1967" i="1" a="1"/>
  <c r="I1967" i="1"/>
  <c r="J1967" i="1"/>
  <c r="B1968" i="1"/>
  <c r="C1968" i="1"/>
  <c r="D1968" i="1"/>
  <c r="E1968" i="1"/>
  <c r="F1968" i="1"/>
  <c r="H1968" i="1"/>
  <c r="I1968" i="1" a="1"/>
  <c r="I1968" i="1"/>
  <c r="J1968" i="1"/>
  <c r="B1969" i="1"/>
  <c r="C1969" i="1"/>
  <c r="D1969" i="1"/>
  <c r="E1969" i="1"/>
  <c r="F1969" i="1"/>
  <c r="H1969" i="1"/>
  <c r="I1969" i="1" a="1"/>
  <c r="I1969" i="1"/>
  <c r="J1969" i="1"/>
  <c r="B1970" i="1"/>
  <c r="C1970" i="1"/>
  <c r="D1970" i="1"/>
  <c r="E1970" i="1"/>
  <c r="F1970" i="1"/>
  <c r="H1970" i="1"/>
  <c r="I1970" i="1" a="1"/>
  <c r="I1970" i="1"/>
  <c r="J1970" i="1"/>
  <c r="B1971" i="1"/>
  <c r="C1971" i="1"/>
  <c r="D1971" i="1"/>
  <c r="E1971" i="1"/>
  <c r="F1971" i="1"/>
  <c r="H1971" i="1"/>
  <c r="I1971" i="1" a="1"/>
  <c r="I1971" i="1"/>
  <c r="J1971" i="1"/>
  <c r="B1972" i="1"/>
  <c r="C1972" i="1"/>
  <c r="D1972" i="1"/>
  <c r="E1972" i="1"/>
  <c r="F1972" i="1"/>
  <c r="H1972" i="1"/>
  <c r="I1972" i="1" a="1"/>
  <c r="I1972" i="1"/>
  <c r="J1972" i="1"/>
  <c r="B1973" i="1"/>
  <c r="C1973" i="1"/>
  <c r="D1973" i="1"/>
  <c r="E1973" i="1"/>
  <c r="F1973" i="1"/>
  <c r="H1973" i="1"/>
  <c r="I1973" i="1" a="1"/>
  <c r="I1973" i="1"/>
  <c r="J1973" i="1"/>
  <c r="B1974" i="1"/>
  <c r="C1974" i="1"/>
  <c r="D1974" i="1"/>
  <c r="E1974" i="1"/>
  <c r="F1974" i="1"/>
  <c r="H1974" i="1"/>
  <c r="I1974" i="1" a="1"/>
  <c r="I1974" i="1"/>
  <c r="J1974" i="1"/>
  <c r="B1975" i="1"/>
  <c r="C1975" i="1"/>
  <c r="D1975" i="1"/>
  <c r="E1975" i="1"/>
  <c r="F1975" i="1"/>
  <c r="H1975" i="1"/>
  <c r="I1975" i="1" a="1"/>
  <c r="I1975" i="1"/>
  <c r="J1975" i="1"/>
  <c r="B1976" i="1"/>
  <c r="C1976" i="1"/>
  <c r="D1976" i="1"/>
  <c r="E1976" i="1"/>
  <c r="F1976" i="1"/>
  <c r="H1976" i="1"/>
  <c r="I1976" i="1" a="1"/>
  <c r="I1976" i="1"/>
  <c r="J1976" i="1"/>
  <c r="B1977" i="1"/>
  <c r="C1977" i="1"/>
  <c r="D1977" i="1"/>
  <c r="E1977" i="1"/>
  <c r="F1977" i="1"/>
  <c r="H1977" i="1"/>
  <c r="I1977" i="1" a="1"/>
  <c r="I1977" i="1"/>
  <c r="J1977" i="1"/>
  <c r="B1978" i="1"/>
  <c r="C1978" i="1"/>
  <c r="D1978" i="1"/>
  <c r="E1978" i="1"/>
  <c r="F1978" i="1"/>
  <c r="H1978" i="1"/>
  <c r="I1978" i="1" a="1"/>
  <c r="I1978" i="1"/>
  <c r="J1978" i="1"/>
  <c r="B1979" i="1"/>
  <c r="C1979" i="1"/>
  <c r="D1979" i="1"/>
  <c r="E1979" i="1"/>
  <c r="F1979" i="1"/>
  <c r="H1979" i="1"/>
  <c r="I1979" i="1" a="1"/>
  <c r="I1979" i="1"/>
  <c r="J1979" i="1"/>
  <c r="B1980" i="1"/>
  <c r="C1980" i="1"/>
  <c r="D1980" i="1"/>
  <c r="E1980" i="1"/>
  <c r="F1980" i="1"/>
  <c r="H1980" i="1"/>
  <c r="I1980" i="1" a="1"/>
  <c r="I1980" i="1"/>
  <c r="J1980" i="1"/>
  <c r="B1981" i="1"/>
  <c r="C1981" i="1"/>
  <c r="D1981" i="1"/>
  <c r="E1981" i="1"/>
  <c r="F1981" i="1"/>
  <c r="H1981" i="1"/>
  <c r="I1981" i="1" a="1"/>
  <c r="I1981" i="1"/>
  <c r="J1981" i="1"/>
  <c r="B1982" i="1"/>
  <c r="C1982" i="1"/>
  <c r="D1982" i="1"/>
  <c r="E1982" i="1"/>
  <c r="F1982" i="1"/>
  <c r="H1982" i="1"/>
  <c r="I1982" i="1" a="1"/>
  <c r="I1982" i="1"/>
  <c r="J1982" i="1"/>
  <c r="B1983" i="1"/>
  <c r="C1983" i="1"/>
  <c r="D1983" i="1"/>
  <c r="E1983" i="1"/>
  <c r="F1983" i="1"/>
  <c r="H1983" i="1"/>
  <c r="I1983" i="1" a="1"/>
  <c r="I1983" i="1"/>
  <c r="J1983" i="1"/>
  <c r="B1984" i="1"/>
  <c r="C1984" i="1"/>
  <c r="D1984" i="1"/>
  <c r="E1984" i="1"/>
  <c r="F1984" i="1"/>
  <c r="H1984" i="1"/>
  <c r="I1984" i="1" a="1"/>
  <c r="I1984" i="1"/>
  <c r="J1984" i="1"/>
  <c r="B1985" i="1"/>
  <c r="C1985" i="1"/>
  <c r="D1985" i="1"/>
  <c r="E1985" i="1"/>
  <c r="F1985" i="1"/>
  <c r="H1985" i="1"/>
  <c r="I1985" i="1" a="1"/>
  <c r="I1985" i="1"/>
  <c r="J1985" i="1"/>
  <c r="B1986" i="1"/>
  <c r="C1986" i="1"/>
  <c r="D1986" i="1"/>
  <c r="E1986" i="1"/>
  <c r="F1986" i="1"/>
  <c r="H1986" i="1"/>
  <c r="I1986" i="1" a="1"/>
  <c r="I1986" i="1"/>
  <c r="J1986" i="1"/>
  <c r="B1987" i="1"/>
  <c r="C1987" i="1"/>
  <c r="D1987" i="1"/>
  <c r="E1987" i="1"/>
  <c r="F1987" i="1"/>
  <c r="H1987" i="1"/>
  <c r="I1987" i="1" a="1"/>
  <c r="I1987" i="1"/>
  <c r="J1987" i="1"/>
  <c r="B1988" i="1"/>
  <c r="C1988" i="1"/>
  <c r="D1988" i="1"/>
  <c r="E1988" i="1"/>
  <c r="F1988" i="1"/>
  <c r="H1988" i="1"/>
  <c r="I1988" i="1" a="1"/>
  <c r="I1988" i="1"/>
  <c r="J1988" i="1"/>
  <c r="B1989" i="1"/>
  <c r="C1989" i="1"/>
  <c r="D1989" i="1"/>
  <c r="E1989" i="1"/>
  <c r="F1989" i="1"/>
  <c r="H1989" i="1"/>
  <c r="I1989" i="1" a="1"/>
  <c r="I1989" i="1"/>
  <c r="J1989" i="1"/>
  <c r="B1990" i="1"/>
  <c r="C1990" i="1"/>
  <c r="D1990" i="1"/>
  <c r="E1990" i="1"/>
  <c r="F1990" i="1"/>
  <c r="H1990" i="1"/>
  <c r="I1990" i="1" a="1"/>
  <c r="I1990" i="1"/>
  <c r="J1990" i="1"/>
  <c r="B1991" i="1"/>
  <c r="C1991" i="1"/>
  <c r="D1991" i="1"/>
  <c r="E1991" i="1"/>
  <c r="F1991" i="1"/>
  <c r="H1991" i="1"/>
  <c r="I1991" i="1" a="1"/>
  <c r="I1991" i="1"/>
  <c r="J1991" i="1"/>
  <c r="B1992" i="1"/>
  <c r="C1992" i="1"/>
  <c r="D1992" i="1"/>
  <c r="E1992" i="1"/>
  <c r="F1992" i="1"/>
  <c r="H1992" i="1"/>
  <c r="I1992" i="1" a="1"/>
  <c r="I1992" i="1"/>
  <c r="J1992" i="1"/>
  <c r="B1993" i="1"/>
  <c r="C1993" i="1"/>
  <c r="D1993" i="1"/>
  <c r="E1993" i="1"/>
  <c r="F1993" i="1"/>
  <c r="H1993" i="1"/>
  <c r="I1993" i="1" a="1"/>
  <c r="I1993" i="1"/>
  <c r="J1993" i="1"/>
  <c r="B1994" i="1"/>
  <c r="C1994" i="1"/>
  <c r="D1994" i="1"/>
  <c r="E1994" i="1"/>
  <c r="F1994" i="1"/>
  <c r="H1994" i="1"/>
  <c r="I1994" i="1" a="1"/>
  <c r="I1994" i="1"/>
  <c r="J1994" i="1"/>
  <c r="B1995" i="1"/>
  <c r="C1995" i="1"/>
  <c r="D1995" i="1"/>
  <c r="E1995" i="1"/>
  <c r="F1995" i="1"/>
  <c r="H1995" i="1"/>
  <c r="I1995" i="1" a="1"/>
  <c r="I1995" i="1"/>
  <c r="J1995" i="1"/>
  <c r="B1996" i="1"/>
  <c r="C1996" i="1"/>
  <c r="D1996" i="1"/>
  <c r="E1996" i="1"/>
  <c r="F1996" i="1"/>
  <c r="H1996" i="1"/>
  <c r="I1996" i="1" a="1"/>
  <c r="I1996" i="1"/>
  <c r="J1996" i="1"/>
  <c r="B1997" i="1"/>
  <c r="C1997" i="1"/>
  <c r="D1997" i="1"/>
  <c r="E1997" i="1"/>
  <c r="F1997" i="1"/>
  <c r="H1997" i="1"/>
  <c r="I1997" i="1" a="1"/>
  <c r="I1997" i="1"/>
  <c r="J1997" i="1"/>
  <c r="B1998" i="1"/>
  <c r="C1998" i="1"/>
  <c r="D1998" i="1"/>
  <c r="E1998" i="1"/>
  <c r="F1998" i="1"/>
  <c r="H1998" i="1"/>
  <c r="I1998" i="1" a="1"/>
  <c r="I1998" i="1"/>
  <c r="J1998" i="1"/>
  <c r="B1999" i="1"/>
  <c r="C1999" i="1"/>
  <c r="D1999" i="1"/>
  <c r="E1999" i="1"/>
  <c r="F1999" i="1"/>
  <c r="H1999" i="1"/>
  <c r="I1999" i="1" a="1"/>
  <c r="I1999" i="1"/>
  <c r="J1999" i="1"/>
  <c r="B2000" i="1"/>
  <c r="C2000" i="1"/>
  <c r="D2000" i="1"/>
  <c r="E2000" i="1"/>
  <c r="F2000" i="1"/>
  <c r="H2000" i="1"/>
  <c r="I2000" i="1" a="1"/>
  <c r="I2000" i="1"/>
  <c r="J2000" i="1"/>
  <c r="B2001" i="1"/>
  <c r="C2001" i="1"/>
  <c r="D2001" i="1"/>
  <c r="E2001" i="1"/>
  <c r="F2001" i="1"/>
  <c r="H2001" i="1"/>
  <c r="I2001" i="1" a="1"/>
  <c r="I2001" i="1"/>
  <c r="J2001" i="1"/>
  <c r="B2002" i="1"/>
  <c r="C2002" i="1"/>
  <c r="D2002" i="1"/>
  <c r="E2002" i="1"/>
  <c r="F2002" i="1"/>
  <c r="H2002" i="1"/>
  <c r="I2002" i="1" a="1"/>
  <c r="I2002" i="1"/>
  <c r="J2002" i="1"/>
  <c r="B2003" i="1"/>
  <c r="C2003" i="1"/>
  <c r="D2003" i="1"/>
  <c r="E2003" i="1"/>
  <c r="F2003" i="1"/>
  <c r="H2003" i="1"/>
  <c r="I2003" i="1" a="1"/>
  <c r="I2003" i="1"/>
  <c r="J2003" i="1"/>
  <c r="B2004" i="1"/>
  <c r="C2004" i="1"/>
  <c r="D2004" i="1"/>
  <c r="E2004" i="1"/>
  <c r="F2004" i="1"/>
  <c r="H2004" i="1"/>
  <c r="I2004" i="1" a="1"/>
  <c r="I2004" i="1"/>
  <c r="J2004" i="1"/>
  <c r="B2005" i="1"/>
  <c r="C2005" i="1"/>
  <c r="D2005" i="1"/>
  <c r="E2005" i="1"/>
  <c r="F2005" i="1"/>
  <c r="H2005" i="1"/>
  <c r="I2005" i="1" a="1"/>
  <c r="I2005" i="1"/>
  <c r="J2005" i="1"/>
  <c r="B2006" i="1"/>
  <c r="C2006" i="1"/>
  <c r="D2006" i="1"/>
  <c r="E2006" i="1"/>
  <c r="F2006" i="1"/>
  <c r="H2006" i="1"/>
  <c r="I2006" i="1" a="1"/>
  <c r="I2006" i="1"/>
  <c r="J2006" i="1"/>
  <c r="B2007" i="1"/>
  <c r="C2007" i="1"/>
  <c r="D2007" i="1"/>
  <c r="E2007" i="1"/>
  <c r="F2007" i="1"/>
  <c r="H2007" i="1"/>
  <c r="I2007" i="1" a="1"/>
  <c r="I2007" i="1"/>
  <c r="J2007" i="1"/>
  <c r="B2008" i="1"/>
  <c r="C2008" i="1"/>
  <c r="D2008" i="1"/>
  <c r="E2008" i="1"/>
  <c r="F2008" i="1"/>
  <c r="H2008" i="1"/>
  <c r="I2008" i="1" a="1"/>
  <c r="I2008" i="1"/>
  <c r="J2008" i="1"/>
  <c r="B2009" i="1"/>
  <c r="C2009" i="1"/>
  <c r="D2009" i="1"/>
  <c r="E2009" i="1"/>
  <c r="F2009" i="1"/>
  <c r="H2009" i="1"/>
  <c r="I2009" i="1" a="1"/>
  <c r="I2009" i="1"/>
  <c r="J2009" i="1"/>
  <c r="B2010" i="1"/>
  <c r="C2010" i="1"/>
  <c r="D2010" i="1"/>
  <c r="E2010" i="1"/>
  <c r="F2010" i="1"/>
  <c r="H2010" i="1"/>
  <c r="I2010" i="1" a="1"/>
  <c r="I2010" i="1"/>
  <c r="J2010" i="1"/>
  <c r="B2011" i="1"/>
  <c r="C2011" i="1"/>
  <c r="D2011" i="1"/>
  <c r="E2011" i="1"/>
  <c r="F2011" i="1"/>
  <c r="H2011" i="1"/>
  <c r="I2011" i="1" a="1"/>
  <c r="I2011" i="1"/>
  <c r="J2011" i="1"/>
  <c r="B2012" i="1"/>
  <c r="C2012" i="1"/>
  <c r="D2012" i="1"/>
  <c r="E2012" i="1"/>
  <c r="F2012" i="1"/>
  <c r="H2012" i="1"/>
  <c r="I2012" i="1" a="1"/>
  <c r="I2012" i="1"/>
  <c r="J2012" i="1"/>
  <c r="B2013" i="1"/>
  <c r="C2013" i="1"/>
  <c r="D2013" i="1"/>
  <c r="E2013" i="1"/>
  <c r="F2013" i="1"/>
  <c r="H2013" i="1"/>
  <c r="I2013" i="1" a="1"/>
  <c r="I2013" i="1"/>
  <c r="J2013" i="1"/>
  <c r="B2014" i="1"/>
  <c r="C2014" i="1"/>
  <c r="D2014" i="1"/>
  <c r="E2014" i="1"/>
  <c r="F2014" i="1"/>
  <c r="H2014" i="1"/>
  <c r="I2014" i="1" a="1"/>
  <c r="I2014" i="1"/>
  <c r="J2014" i="1"/>
  <c r="B2015" i="1"/>
  <c r="C2015" i="1"/>
  <c r="D2015" i="1"/>
  <c r="E2015" i="1"/>
  <c r="F2015" i="1"/>
  <c r="H2015" i="1"/>
  <c r="I2015" i="1" a="1"/>
  <c r="I2015" i="1"/>
  <c r="J2015" i="1"/>
  <c r="B2016" i="1"/>
  <c r="C2016" i="1"/>
  <c r="D2016" i="1"/>
  <c r="E2016" i="1"/>
  <c r="F2016" i="1"/>
  <c r="H2016" i="1"/>
  <c r="I2016" i="1" a="1"/>
  <c r="I2016" i="1"/>
  <c r="J2016" i="1"/>
  <c r="B2017" i="1"/>
  <c r="C2017" i="1"/>
  <c r="D2017" i="1"/>
  <c r="E2017" i="1"/>
  <c r="F2017" i="1"/>
  <c r="H2017" i="1"/>
  <c r="I2017" i="1" a="1"/>
  <c r="I2017" i="1"/>
  <c r="J2017" i="1"/>
  <c r="B2018" i="1"/>
  <c r="C2018" i="1"/>
  <c r="D2018" i="1"/>
  <c r="E2018" i="1"/>
  <c r="F2018" i="1"/>
  <c r="H2018" i="1"/>
  <c r="I2018" i="1" a="1"/>
  <c r="I2018" i="1"/>
  <c r="J2018" i="1"/>
  <c r="B2019" i="1"/>
  <c r="C2019" i="1"/>
  <c r="D2019" i="1"/>
  <c r="E2019" i="1"/>
  <c r="F2019" i="1"/>
  <c r="H2019" i="1"/>
  <c r="I2019" i="1" a="1"/>
  <c r="I2019" i="1"/>
  <c r="J2019" i="1"/>
  <c r="B2020" i="1"/>
  <c r="C2020" i="1"/>
  <c r="D2020" i="1"/>
  <c r="E2020" i="1"/>
  <c r="F2020" i="1"/>
  <c r="H2020" i="1"/>
  <c r="I2020" i="1" a="1"/>
  <c r="I2020" i="1"/>
  <c r="J2020" i="1"/>
  <c r="B2021" i="1"/>
  <c r="C2021" i="1"/>
  <c r="D2021" i="1"/>
  <c r="E2021" i="1"/>
  <c r="F2021" i="1"/>
  <c r="H2021" i="1"/>
  <c r="I2021" i="1" a="1"/>
  <c r="I2021" i="1"/>
  <c r="J2021" i="1"/>
  <c r="B2022" i="1"/>
  <c r="C2022" i="1"/>
  <c r="D2022" i="1"/>
  <c r="E2022" i="1"/>
  <c r="F2022" i="1"/>
  <c r="H2022" i="1"/>
  <c r="I2022" i="1" a="1"/>
  <c r="I2022" i="1"/>
  <c r="J2022" i="1"/>
  <c r="B2023" i="1"/>
  <c r="C2023" i="1"/>
  <c r="D2023" i="1"/>
  <c r="E2023" i="1"/>
  <c r="F2023" i="1"/>
  <c r="H2023" i="1"/>
  <c r="I2023" i="1" a="1"/>
  <c r="I2023" i="1"/>
  <c r="J2023" i="1"/>
  <c r="B2024" i="1"/>
  <c r="C2024" i="1"/>
  <c r="D2024" i="1"/>
  <c r="E2024" i="1"/>
  <c r="F2024" i="1"/>
  <c r="H2024" i="1"/>
  <c r="I2024" i="1" a="1"/>
  <c r="I2024" i="1"/>
  <c r="J2024" i="1"/>
  <c r="B2025" i="1"/>
  <c r="C2025" i="1"/>
  <c r="D2025" i="1"/>
  <c r="E2025" i="1"/>
  <c r="F2025" i="1"/>
  <c r="H2025" i="1"/>
  <c r="I2025" i="1" a="1"/>
  <c r="I2025" i="1"/>
  <c r="J2025" i="1"/>
  <c r="B2026" i="1"/>
  <c r="C2026" i="1"/>
  <c r="D2026" i="1"/>
  <c r="E2026" i="1"/>
  <c r="F2026" i="1"/>
  <c r="H2026" i="1"/>
  <c r="I2026" i="1" a="1"/>
  <c r="I2026" i="1"/>
  <c r="J2026" i="1"/>
  <c r="B2027" i="1"/>
  <c r="C2027" i="1"/>
  <c r="D2027" i="1"/>
  <c r="E2027" i="1"/>
  <c r="F2027" i="1"/>
  <c r="H2027" i="1"/>
  <c r="I2027" i="1" a="1"/>
  <c r="I2027" i="1"/>
  <c r="J2027" i="1"/>
  <c r="B2028" i="1"/>
  <c r="C2028" i="1"/>
  <c r="D2028" i="1"/>
  <c r="E2028" i="1"/>
  <c r="F2028" i="1"/>
  <c r="H2028" i="1"/>
  <c r="I2028" i="1" a="1"/>
  <c r="I2028" i="1"/>
  <c r="J2028" i="1"/>
  <c r="B2029" i="1"/>
  <c r="C2029" i="1"/>
  <c r="D2029" i="1"/>
  <c r="E2029" i="1"/>
  <c r="F2029" i="1"/>
  <c r="H2029" i="1"/>
  <c r="I2029" i="1" a="1"/>
  <c r="I2029" i="1"/>
  <c r="J2029" i="1"/>
  <c r="B2030" i="1"/>
  <c r="C2030" i="1"/>
  <c r="D2030" i="1"/>
  <c r="E2030" i="1"/>
  <c r="F2030" i="1"/>
  <c r="H2030" i="1"/>
  <c r="I2030" i="1" a="1"/>
  <c r="I2030" i="1"/>
  <c r="J2030" i="1"/>
  <c r="B2031" i="1"/>
  <c r="C2031" i="1"/>
  <c r="D2031" i="1"/>
  <c r="E2031" i="1"/>
  <c r="F2031" i="1"/>
  <c r="H2031" i="1"/>
  <c r="I2031" i="1" a="1"/>
  <c r="I2031" i="1"/>
  <c r="J2031" i="1"/>
  <c r="B2032" i="1"/>
  <c r="C2032" i="1"/>
  <c r="D2032" i="1"/>
  <c r="E2032" i="1"/>
  <c r="F2032" i="1"/>
  <c r="H2032" i="1"/>
  <c r="I2032" i="1" a="1"/>
  <c r="I2032" i="1"/>
  <c r="J2032" i="1"/>
  <c r="B2033" i="1"/>
  <c r="C2033" i="1"/>
  <c r="D2033" i="1"/>
  <c r="E2033" i="1"/>
  <c r="F2033" i="1"/>
  <c r="H2033" i="1"/>
  <c r="I2033" i="1" a="1"/>
  <c r="I2033" i="1"/>
  <c r="J2033" i="1"/>
  <c r="B2034" i="1"/>
  <c r="C2034" i="1"/>
  <c r="D2034" i="1"/>
  <c r="E2034" i="1"/>
  <c r="F2034" i="1"/>
  <c r="H2034" i="1"/>
  <c r="I2034" i="1" a="1"/>
  <c r="I2034" i="1"/>
  <c r="J2034" i="1"/>
  <c r="B2035" i="1"/>
  <c r="J2035" i="1"/>
  <c r="A1" i="1" a="1"/>
  <c r="A1" i="1"/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2" i="1"/>
  <c r="I18" i="1" a="1"/>
  <c r="I18" i="1" s="1"/>
  <c r="Q366" i="1"/>
  <c r="R366" i="1"/>
  <c r="S366" i="1"/>
  <c r="T366" i="1"/>
  <c r="U366" i="1"/>
  <c r="V366" i="1"/>
  <c r="W366" i="1" s="1"/>
  <c r="Q367" i="1"/>
  <c r="R367" i="1"/>
  <c r="S367" i="1"/>
  <c r="T367" i="1"/>
  <c r="U367" i="1"/>
  <c r="V367" i="1"/>
  <c r="W367" i="1" s="1"/>
  <c r="Q368" i="1"/>
  <c r="R368" i="1"/>
  <c r="S368" i="1"/>
  <c r="T368" i="1"/>
  <c r="U368" i="1"/>
  <c r="V368" i="1"/>
  <c r="W368" i="1" s="1"/>
  <c r="Q369" i="1"/>
  <c r="R369" i="1"/>
  <c r="S369" i="1"/>
  <c r="T369" i="1"/>
  <c r="U369" i="1"/>
  <c r="V369" i="1"/>
  <c r="W369" i="1" s="1"/>
  <c r="Q370" i="1"/>
  <c r="R370" i="1"/>
  <c r="S370" i="1"/>
  <c r="T370" i="1"/>
  <c r="U370" i="1"/>
  <c r="V370" i="1"/>
  <c r="W370" i="1" s="1"/>
  <c r="Q371" i="1"/>
  <c r="R371" i="1"/>
  <c r="S371" i="1"/>
  <c r="T371" i="1"/>
  <c r="U371" i="1"/>
  <c r="V371" i="1"/>
  <c r="W371" i="1" s="1"/>
  <c r="Q372" i="1"/>
  <c r="R372" i="1"/>
  <c r="S372" i="1"/>
  <c r="T372" i="1"/>
  <c r="U372" i="1"/>
  <c r="V372" i="1"/>
  <c r="W372" i="1" s="1"/>
  <c r="Q373" i="1"/>
  <c r="R373" i="1"/>
  <c r="S373" i="1"/>
  <c r="T373" i="1"/>
  <c r="U373" i="1"/>
  <c r="V373" i="1"/>
  <c r="W373" i="1" s="1"/>
  <c r="Q374" i="1"/>
  <c r="R374" i="1"/>
  <c r="S374" i="1"/>
  <c r="T374" i="1"/>
  <c r="U374" i="1"/>
  <c r="V374" i="1"/>
  <c r="W374" i="1" s="1"/>
  <c r="Q375" i="1"/>
  <c r="R375" i="1"/>
  <c r="S375" i="1"/>
  <c r="T375" i="1"/>
  <c r="U375" i="1"/>
  <c r="V375" i="1"/>
  <c r="W375" i="1" s="1"/>
  <c r="Q376" i="1"/>
  <c r="R376" i="1"/>
  <c r="S376" i="1"/>
  <c r="T376" i="1"/>
  <c r="U376" i="1"/>
  <c r="V376" i="1"/>
  <c r="W376" i="1" s="1"/>
  <c r="Q377" i="1"/>
  <c r="R377" i="1"/>
  <c r="S377" i="1"/>
  <c r="T377" i="1"/>
  <c r="U377" i="1"/>
  <c r="V377" i="1"/>
  <c r="W377" i="1" s="1"/>
  <c r="Q378" i="1"/>
  <c r="R378" i="1"/>
  <c r="S378" i="1"/>
  <c r="T378" i="1"/>
  <c r="U378" i="1"/>
  <c r="V378" i="1"/>
  <c r="W378" i="1" s="1"/>
  <c r="Q379" i="1"/>
  <c r="R379" i="1"/>
  <c r="S379" i="1"/>
  <c r="T379" i="1"/>
  <c r="U379" i="1"/>
  <c r="V379" i="1"/>
  <c r="W379" i="1" s="1"/>
  <c r="Q380" i="1"/>
  <c r="R380" i="1"/>
  <c r="S380" i="1"/>
  <c r="T380" i="1"/>
  <c r="U380" i="1"/>
  <c r="V380" i="1"/>
  <c r="W380" i="1" s="1"/>
  <c r="Q381" i="1"/>
  <c r="R381" i="1"/>
  <c r="S381" i="1"/>
  <c r="T381" i="1"/>
  <c r="U381" i="1"/>
  <c r="V381" i="1"/>
  <c r="W381" i="1" s="1"/>
  <c r="Q382" i="1"/>
  <c r="R382" i="1"/>
  <c r="S382" i="1"/>
  <c r="T382" i="1"/>
  <c r="U382" i="1"/>
  <c r="V382" i="1"/>
  <c r="W382" i="1" s="1"/>
  <c r="Q383" i="1"/>
  <c r="R383" i="1"/>
  <c r="S383" i="1"/>
  <c r="T383" i="1"/>
  <c r="U383" i="1"/>
  <c r="V383" i="1"/>
  <c r="W383" i="1" s="1"/>
  <c r="Q384" i="1"/>
  <c r="R384" i="1"/>
  <c r="S384" i="1"/>
  <c r="T384" i="1"/>
  <c r="U384" i="1"/>
  <c r="V384" i="1"/>
  <c r="W384" i="1" s="1"/>
  <c r="Q385" i="1"/>
  <c r="R385" i="1"/>
  <c r="S385" i="1"/>
  <c r="T385" i="1"/>
  <c r="U385" i="1"/>
  <c r="V385" i="1"/>
  <c r="W385" i="1" s="1"/>
  <c r="Q386" i="1"/>
  <c r="R386" i="1"/>
  <c r="S386" i="1"/>
  <c r="T386" i="1"/>
  <c r="U386" i="1"/>
  <c r="V386" i="1"/>
  <c r="W386" i="1" s="1"/>
  <c r="Q387" i="1"/>
  <c r="R387" i="1"/>
  <c r="S387" i="1"/>
  <c r="T387" i="1"/>
  <c r="U387" i="1"/>
  <c r="V387" i="1"/>
  <c r="W387" i="1" s="1"/>
  <c r="Q388" i="1"/>
  <c r="R388" i="1"/>
  <c r="S388" i="1"/>
  <c r="T388" i="1"/>
  <c r="U388" i="1"/>
  <c r="V388" i="1"/>
  <c r="W388" i="1" s="1"/>
  <c r="Q389" i="1"/>
  <c r="R389" i="1"/>
  <c r="S389" i="1"/>
  <c r="T389" i="1"/>
  <c r="U389" i="1"/>
  <c r="V389" i="1"/>
  <c r="W389" i="1" s="1"/>
  <c r="Q390" i="1"/>
  <c r="R390" i="1"/>
  <c r="S390" i="1"/>
  <c r="T390" i="1"/>
  <c r="U390" i="1"/>
  <c r="V390" i="1"/>
  <c r="W390" i="1" s="1"/>
  <c r="Q391" i="1"/>
  <c r="R391" i="1"/>
  <c r="S391" i="1"/>
  <c r="T391" i="1"/>
  <c r="U391" i="1"/>
  <c r="V391" i="1"/>
  <c r="W391" i="1" s="1"/>
  <c r="Q392" i="1"/>
  <c r="R392" i="1"/>
  <c r="S392" i="1"/>
  <c r="T392" i="1"/>
  <c r="U392" i="1"/>
  <c r="V392" i="1"/>
  <c r="W392" i="1" s="1"/>
  <c r="Q393" i="1"/>
  <c r="R393" i="1"/>
  <c r="S393" i="1"/>
  <c r="T393" i="1"/>
  <c r="U393" i="1"/>
  <c r="V393" i="1"/>
  <c r="W393" i="1" s="1"/>
  <c r="Q394" i="1"/>
  <c r="R394" i="1"/>
  <c r="S394" i="1"/>
  <c r="T394" i="1"/>
  <c r="U394" i="1"/>
  <c r="V394" i="1"/>
  <c r="W394" i="1" s="1"/>
  <c r="Q395" i="1"/>
  <c r="R395" i="1"/>
  <c r="S395" i="1"/>
  <c r="T395" i="1"/>
  <c r="U395" i="1"/>
  <c r="V395" i="1"/>
  <c r="W395" i="1" s="1"/>
  <c r="Q396" i="1"/>
  <c r="R396" i="1"/>
  <c r="S396" i="1"/>
  <c r="T396" i="1"/>
  <c r="U396" i="1"/>
  <c r="V396" i="1"/>
  <c r="W396" i="1" s="1"/>
  <c r="Q397" i="1"/>
  <c r="R397" i="1"/>
  <c r="S397" i="1"/>
  <c r="T397" i="1"/>
  <c r="U397" i="1"/>
  <c r="V397" i="1"/>
  <c r="W397" i="1" s="1"/>
  <c r="Q398" i="1"/>
  <c r="R398" i="1"/>
  <c r="S398" i="1"/>
  <c r="T398" i="1"/>
  <c r="U398" i="1"/>
  <c r="V398" i="1"/>
  <c r="W398" i="1" s="1"/>
  <c r="Q399" i="1"/>
  <c r="R399" i="1"/>
  <c r="S399" i="1"/>
  <c r="T399" i="1"/>
  <c r="U399" i="1"/>
  <c r="V399" i="1"/>
  <c r="W399" i="1" s="1"/>
  <c r="Q400" i="1"/>
  <c r="R400" i="1"/>
  <c r="S400" i="1"/>
  <c r="T400" i="1"/>
  <c r="U400" i="1"/>
  <c r="V400" i="1"/>
  <c r="W400" i="1" s="1"/>
  <c r="Q401" i="1"/>
  <c r="R401" i="1"/>
  <c r="S401" i="1"/>
  <c r="T401" i="1"/>
  <c r="U401" i="1"/>
  <c r="V401" i="1"/>
  <c r="W401" i="1" s="1"/>
  <c r="Q402" i="1"/>
  <c r="R402" i="1"/>
  <c r="S402" i="1"/>
  <c r="T402" i="1"/>
  <c r="U402" i="1"/>
  <c r="V402" i="1"/>
  <c r="W402" i="1" s="1"/>
  <c r="Q403" i="1"/>
  <c r="R403" i="1"/>
  <c r="S403" i="1"/>
  <c r="T403" i="1"/>
  <c r="U403" i="1"/>
  <c r="V403" i="1"/>
  <c r="W403" i="1" s="1"/>
  <c r="Q404" i="1"/>
  <c r="R404" i="1"/>
  <c r="S404" i="1"/>
  <c r="T404" i="1"/>
  <c r="U404" i="1"/>
  <c r="V404" i="1"/>
  <c r="W404" i="1" s="1"/>
  <c r="Q405" i="1"/>
  <c r="R405" i="1"/>
  <c r="S405" i="1"/>
  <c r="T405" i="1"/>
  <c r="U405" i="1"/>
  <c r="V405" i="1"/>
  <c r="W405" i="1" s="1"/>
  <c r="Q406" i="1"/>
  <c r="R406" i="1"/>
  <c r="S406" i="1"/>
  <c r="T406" i="1"/>
  <c r="U406" i="1"/>
  <c r="V406" i="1"/>
  <c r="W406" i="1" s="1"/>
  <c r="Q407" i="1"/>
  <c r="R407" i="1"/>
  <c r="S407" i="1"/>
  <c r="T407" i="1"/>
  <c r="U407" i="1"/>
  <c r="V407" i="1"/>
  <c r="W407" i="1" s="1"/>
  <c r="Q408" i="1"/>
  <c r="R408" i="1"/>
  <c r="S408" i="1"/>
  <c r="T408" i="1"/>
  <c r="U408" i="1"/>
  <c r="V408" i="1"/>
  <c r="W408" i="1" s="1"/>
  <c r="Q409" i="1"/>
  <c r="R409" i="1"/>
  <c r="S409" i="1"/>
  <c r="T409" i="1"/>
  <c r="U409" i="1"/>
  <c r="V409" i="1"/>
  <c r="W409" i="1" s="1"/>
  <c r="Q410" i="1"/>
  <c r="R410" i="1"/>
  <c r="S410" i="1"/>
  <c r="T410" i="1"/>
  <c r="U410" i="1"/>
  <c r="V410" i="1"/>
  <c r="W410" i="1" s="1"/>
  <c r="Q411" i="1"/>
  <c r="R411" i="1"/>
  <c r="S411" i="1"/>
  <c r="T411" i="1"/>
  <c r="U411" i="1"/>
  <c r="V411" i="1"/>
  <c r="W411" i="1" s="1"/>
  <c r="Q412" i="1"/>
  <c r="R412" i="1"/>
  <c r="S412" i="1"/>
  <c r="T412" i="1"/>
  <c r="U412" i="1"/>
  <c r="V412" i="1"/>
  <c r="W412" i="1" s="1"/>
  <c r="Q413" i="1"/>
  <c r="R413" i="1"/>
  <c r="S413" i="1"/>
  <c r="T413" i="1"/>
  <c r="U413" i="1"/>
  <c r="V413" i="1"/>
  <c r="W413" i="1" s="1"/>
  <c r="Q414" i="1"/>
  <c r="R414" i="1"/>
  <c r="S414" i="1"/>
  <c r="T414" i="1"/>
  <c r="U414" i="1"/>
  <c r="V414" i="1"/>
  <c r="W414" i="1" s="1"/>
  <c r="Q415" i="1"/>
  <c r="R415" i="1"/>
  <c r="S415" i="1"/>
  <c r="T415" i="1"/>
  <c r="U415" i="1"/>
  <c r="V415" i="1"/>
  <c r="W415" i="1" s="1"/>
  <c r="Q416" i="1"/>
  <c r="R416" i="1"/>
  <c r="S416" i="1"/>
  <c r="T416" i="1"/>
  <c r="U416" i="1"/>
  <c r="V416" i="1"/>
  <c r="W416" i="1" s="1"/>
  <c r="Q417" i="1"/>
  <c r="R417" i="1"/>
  <c r="S417" i="1"/>
  <c r="T417" i="1"/>
  <c r="U417" i="1"/>
  <c r="V417" i="1"/>
  <c r="W417" i="1" s="1"/>
  <c r="Q418" i="1"/>
  <c r="R418" i="1"/>
  <c r="S418" i="1"/>
  <c r="T418" i="1"/>
  <c r="U418" i="1"/>
  <c r="V418" i="1"/>
  <c r="W418" i="1" s="1"/>
  <c r="Q419" i="1"/>
  <c r="R419" i="1"/>
  <c r="S419" i="1"/>
  <c r="T419" i="1"/>
  <c r="U419" i="1"/>
  <c r="V419" i="1"/>
  <c r="W419" i="1" s="1"/>
  <c r="Q420" i="1"/>
  <c r="R420" i="1"/>
  <c r="S420" i="1"/>
  <c r="T420" i="1"/>
  <c r="U420" i="1"/>
  <c r="V420" i="1"/>
  <c r="W420" i="1" s="1"/>
  <c r="Q421" i="1"/>
  <c r="R421" i="1"/>
  <c r="S421" i="1"/>
  <c r="T421" i="1"/>
  <c r="U421" i="1"/>
  <c r="V421" i="1"/>
  <c r="W421" i="1" s="1"/>
  <c r="Q422" i="1"/>
  <c r="R422" i="1"/>
  <c r="S422" i="1"/>
  <c r="T422" i="1"/>
  <c r="U422" i="1"/>
  <c r="V422" i="1"/>
  <c r="W422" i="1" s="1"/>
  <c r="Q423" i="1"/>
  <c r="R423" i="1"/>
  <c r="S423" i="1"/>
  <c r="T423" i="1"/>
  <c r="U423" i="1"/>
  <c r="V423" i="1"/>
  <c r="W423" i="1" s="1"/>
  <c r="Q424" i="1"/>
  <c r="R424" i="1"/>
  <c r="S424" i="1"/>
  <c r="T424" i="1"/>
  <c r="U424" i="1"/>
  <c r="V424" i="1"/>
  <c r="W424" i="1" s="1"/>
  <c r="Q425" i="1"/>
  <c r="R425" i="1"/>
  <c r="S425" i="1"/>
  <c r="T425" i="1"/>
  <c r="U425" i="1"/>
  <c r="V425" i="1"/>
  <c r="W425" i="1" s="1"/>
  <c r="Q426" i="1"/>
  <c r="R426" i="1"/>
  <c r="S426" i="1"/>
  <c r="T426" i="1"/>
  <c r="U426" i="1"/>
  <c r="V426" i="1"/>
  <c r="W426" i="1" s="1"/>
  <c r="Q427" i="1"/>
  <c r="R427" i="1"/>
  <c r="S427" i="1"/>
  <c r="T427" i="1"/>
  <c r="U427" i="1"/>
  <c r="V427" i="1"/>
  <c r="W427" i="1" s="1"/>
  <c r="Q428" i="1"/>
  <c r="R428" i="1"/>
  <c r="S428" i="1"/>
  <c r="T428" i="1"/>
  <c r="U428" i="1"/>
  <c r="V428" i="1"/>
  <c r="W428" i="1" s="1"/>
  <c r="Q429" i="1"/>
  <c r="R429" i="1"/>
  <c r="S429" i="1"/>
  <c r="T429" i="1"/>
  <c r="U429" i="1"/>
  <c r="V429" i="1"/>
  <c r="W429" i="1" s="1"/>
  <c r="Q430" i="1"/>
  <c r="R430" i="1"/>
  <c r="S430" i="1"/>
  <c r="T430" i="1"/>
  <c r="U430" i="1"/>
  <c r="V430" i="1"/>
  <c r="W430" i="1" s="1"/>
  <c r="Q431" i="1"/>
  <c r="R431" i="1"/>
  <c r="S431" i="1"/>
  <c r="T431" i="1"/>
  <c r="U431" i="1"/>
  <c r="V431" i="1"/>
  <c r="W431" i="1" s="1"/>
  <c r="Q432" i="1"/>
  <c r="R432" i="1"/>
  <c r="S432" i="1"/>
  <c r="T432" i="1"/>
  <c r="U432" i="1"/>
  <c r="V432" i="1"/>
  <c r="W432" i="1" s="1"/>
  <c r="Q433" i="1"/>
  <c r="R433" i="1"/>
  <c r="S433" i="1"/>
  <c r="T433" i="1"/>
  <c r="U433" i="1"/>
  <c r="V433" i="1"/>
  <c r="W433" i="1" s="1"/>
  <c r="Q434" i="1"/>
  <c r="R434" i="1"/>
  <c r="S434" i="1"/>
  <c r="T434" i="1"/>
  <c r="U434" i="1"/>
  <c r="V434" i="1"/>
  <c r="W434" i="1" s="1"/>
  <c r="Q435" i="1"/>
  <c r="R435" i="1"/>
  <c r="S435" i="1"/>
  <c r="T435" i="1"/>
  <c r="U435" i="1"/>
  <c r="V435" i="1"/>
  <c r="W435" i="1" s="1"/>
  <c r="Q436" i="1"/>
  <c r="R436" i="1"/>
  <c r="S436" i="1"/>
  <c r="T436" i="1"/>
  <c r="U436" i="1"/>
  <c r="V436" i="1"/>
  <c r="W436" i="1" s="1"/>
  <c r="Q437" i="1"/>
  <c r="R437" i="1"/>
  <c r="S437" i="1"/>
  <c r="T437" i="1"/>
  <c r="U437" i="1"/>
  <c r="V437" i="1"/>
  <c r="W437" i="1" s="1"/>
  <c r="Q438" i="1"/>
  <c r="R438" i="1"/>
  <c r="S438" i="1"/>
  <c r="T438" i="1"/>
  <c r="U438" i="1"/>
  <c r="V438" i="1"/>
  <c r="W438" i="1" s="1"/>
  <c r="Q439" i="1"/>
  <c r="R439" i="1"/>
  <c r="S439" i="1"/>
  <c r="T439" i="1"/>
  <c r="U439" i="1"/>
  <c r="V439" i="1"/>
  <c r="W439" i="1" s="1"/>
  <c r="Q440" i="1"/>
  <c r="R440" i="1"/>
  <c r="S440" i="1"/>
  <c r="T440" i="1"/>
  <c r="U440" i="1"/>
  <c r="V440" i="1"/>
  <c r="W440" i="1" s="1"/>
  <c r="Q441" i="1"/>
  <c r="R441" i="1"/>
  <c r="S441" i="1"/>
  <c r="T441" i="1"/>
  <c r="U441" i="1"/>
  <c r="V441" i="1"/>
  <c r="W441" i="1" s="1"/>
  <c r="Q442" i="1"/>
  <c r="R442" i="1"/>
  <c r="S442" i="1"/>
  <c r="T442" i="1"/>
  <c r="U442" i="1"/>
  <c r="V442" i="1"/>
  <c r="W442" i="1" s="1"/>
  <c r="Q443" i="1"/>
  <c r="R443" i="1"/>
  <c r="S443" i="1"/>
  <c r="T443" i="1"/>
  <c r="U443" i="1"/>
  <c r="V443" i="1"/>
  <c r="W443" i="1" s="1"/>
  <c r="Q444" i="1"/>
  <c r="R444" i="1"/>
  <c r="S444" i="1"/>
  <c r="T444" i="1"/>
  <c r="U444" i="1"/>
  <c r="V444" i="1"/>
  <c r="W444" i="1" s="1"/>
  <c r="Q445" i="1"/>
  <c r="R445" i="1"/>
  <c r="S445" i="1"/>
  <c r="T445" i="1"/>
  <c r="U445" i="1"/>
  <c r="V445" i="1"/>
  <c r="W445" i="1" s="1"/>
  <c r="Q446" i="1"/>
  <c r="R446" i="1"/>
  <c r="S446" i="1"/>
  <c r="T446" i="1"/>
  <c r="U446" i="1"/>
  <c r="V446" i="1"/>
  <c r="W446" i="1" s="1"/>
  <c r="Q447" i="1"/>
  <c r="R447" i="1"/>
  <c r="S447" i="1"/>
  <c r="T447" i="1"/>
  <c r="U447" i="1"/>
  <c r="V447" i="1"/>
  <c r="W447" i="1" s="1"/>
  <c r="Q448" i="1"/>
  <c r="R448" i="1"/>
  <c r="S448" i="1"/>
  <c r="T448" i="1"/>
  <c r="U448" i="1"/>
  <c r="V448" i="1"/>
  <c r="W448" i="1" s="1"/>
  <c r="Q449" i="1"/>
  <c r="R449" i="1"/>
  <c r="S449" i="1"/>
  <c r="T449" i="1"/>
  <c r="U449" i="1"/>
  <c r="V449" i="1"/>
  <c r="W449" i="1" s="1"/>
  <c r="Q450" i="1"/>
  <c r="R450" i="1"/>
  <c r="S450" i="1"/>
  <c r="T450" i="1"/>
  <c r="U450" i="1"/>
  <c r="V450" i="1"/>
  <c r="W450" i="1" s="1"/>
  <c r="Q451" i="1"/>
  <c r="R451" i="1"/>
  <c r="S451" i="1"/>
  <c r="T451" i="1"/>
  <c r="U451" i="1"/>
  <c r="V451" i="1"/>
  <c r="W451" i="1" s="1"/>
  <c r="Q452" i="1"/>
  <c r="R452" i="1"/>
  <c r="S452" i="1"/>
  <c r="T452" i="1"/>
  <c r="U452" i="1"/>
  <c r="V452" i="1"/>
  <c r="W452" i="1" s="1"/>
  <c r="Q453" i="1"/>
  <c r="R453" i="1"/>
  <c r="S453" i="1"/>
  <c r="T453" i="1"/>
  <c r="U453" i="1"/>
  <c r="V453" i="1"/>
  <c r="W453" i="1" s="1"/>
  <c r="Q454" i="1"/>
  <c r="R454" i="1"/>
  <c r="S454" i="1"/>
  <c r="T454" i="1"/>
  <c r="U454" i="1"/>
  <c r="V454" i="1"/>
  <c r="W454" i="1" s="1"/>
  <c r="Q455" i="1"/>
  <c r="R455" i="1"/>
  <c r="S455" i="1"/>
  <c r="T455" i="1"/>
  <c r="U455" i="1"/>
  <c r="V455" i="1"/>
  <c r="W455" i="1" s="1"/>
  <c r="Q456" i="1"/>
  <c r="R456" i="1"/>
  <c r="S456" i="1"/>
  <c r="T456" i="1"/>
  <c r="U456" i="1"/>
  <c r="V456" i="1"/>
  <c r="W456" i="1" s="1"/>
  <c r="Q457" i="1"/>
  <c r="R457" i="1"/>
  <c r="S457" i="1"/>
  <c r="T457" i="1"/>
  <c r="U457" i="1"/>
  <c r="V457" i="1"/>
  <c r="W457" i="1" s="1"/>
  <c r="Q458" i="1"/>
  <c r="R458" i="1"/>
  <c r="S458" i="1"/>
  <c r="T458" i="1"/>
  <c r="U458" i="1"/>
  <c r="V458" i="1"/>
  <c r="W458" i="1" s="1"/>
  <c r="Q459" i="1"/>
  <c r="R459" i="1"/>
  <c r="S459" i="1"/>
  <c r="T459" i="1"/>
  <c r="U459" i="1"/>
  <c r="V459" i="1"/>
  <c r="W459" i="1" s="1"/>
  <c r="Q460" i="1"/>
  <c r="R460" i="1"/>
  <c r="S460" i="1"/>
  <c r="T460" i="1"/>
  <c r="U460" i="1"/>
  <c r="V460" i="1"/>
  <c r="W460" i="1" s="1"/>
  <c r="Q461" i="1"/>
  <c r="R461" i="1"/>
  <c r="S461" i="1"/>
  <c r="T461" i="1"/>
  <c r="U461" i="1"/>
  <c r="V461" i="1"/>
  <c r="W461" i="1" s="1"/>
  <c r="Q462" i="1"/>
  <c r="R462" i="1"/>
  <c r="S462" i="1"/>
  <c r="T462" i="1"/>
  <c r="U462" i="1"/>
  <c r="V462" i="1"/>
  <c r="W462" i="1" s="1"/>
  <c r="Q463" i="1"/>
  <c r="R463" i="1"/>
  <c r="S463" i="1"/>
  <c r="T463" i="1"/>
  <c r="U463" i="1"/>
  <c r="V463" i="1"/>
  <c r="W463" i="1" s="1"/>
  <c r="Q464" i="1"/>
  <c r="R464" i="1"/>
  <c r="S464" i="1"/>
  <c r="T464" i="1"/>
  <c r="U464" i="1"/>
  <c r="V464" i="1"/>
  <c r="W464" i="1" s="1"/>
  <c r="Q465" i="1"/>
  <c r="R465" i="1"/>
  <c r="S465" i="1"/>
  <c r="T465" i="1"/>
  <c r="U465" i="1"/>
  <c r="V465" i="1"/>
  <c r="W465" i="1" s="1"/>
  <c r="Q466" i="1"/>
  <c r="R466" i="1"/>
  <c r="S466" i="1"/>
  <c r="T466" i="1"/>
  <c r="U466" i="1"/>
  <c r="V466" i="1"/>
  <c r="W466" i="1" s="1"/>
  <c r="Q467" i="1"/>
  <c r="R467" i="1"/>
  <c r="S467" i="1"/>
  <c r="T467" i="1"/>
  <c r="U467" i="1"/>
  <c r="V467" i="1"/>
  <c r="W467" i="1" s="1"/>
  <c r="Q468" i="1"/>
  <c r="R468" i="1"/>
  <c r="S468" i="1"/>
  <c r="T468" i="1"/>
  <c r="U468" i="1"/>
  <c r="V468" i="1"/>
  <c r="W468" i="1" s="1"/>
  <c r="Q469" i="1"/>
  <c r="R469" i="1"/>
  <c r="S469" i="1"/>
  <c r="T469" i="1"/>
  <c r="U469" i="1"/>
  <c r="V469" i="1"/>
  <c r="W469" i="1" s="1"/>
  <c r="Q470" i="1"/>
  <c r="R470" i="1"/>
  <c r="S470" i="1"/>
  <c r="T470" i="1"/>
  <c r="U470" i="1"/>
  <c r="V470" i="1"/>
  <c r="W470" i="1" s="1"/>
  <c r="Q471" i="1"/>
  <c r="R471" i="1"/>
  <c r="S471" i="1"/>
  <c r="T471" i="1"/>
  <c r="U471" i="1"/>
  <c r="V471" i="1"/>
  <c r="W471" i="1" s="1"/>
  <c r="Q472" i="1"/>
  <c r="R472" i="1"/>
  <c r="S472" i="1"/>
  <c r="T472" i="1"/>
  <c r="U472" i="1"/>
  <c r="V472" i="1"/>
  <c r="W472" i="1" s="1"/>
  <c r="Q473" i="1"/>
  <c r="R473" i="1"/>
  <c r="S473" i="1"/>
  <c r="T473" i="1"/>
  <c r="U473" i="1"/>
  <c r="V473" i="1"/>
  <c r="W473" i="1" s="1"/>
  <c r="Q474" i="1"/>
  <c r="R474" i="1"/>
  <c r="S474" i="1"/>
  <c r="T474" i="1"/>
  <c r="U474" i="1"/>
  <c r="V474" i="1"/>
  <c r="W474" i="1" s="1"/>
  <c r="Q475" i="1"/>
  <c r="R475" i="1"/>
  <c r="S475" i="1"/>
  <c r="T475" i="1"/>
  <c r="U475" i="1"/>
  <c r="V475" i="1"/>
  <c r="W475" i="1" s="1"/>
  <c r="Q476" i="1"/>
  <c r="R476" i="1"/>
  <c r="S476" i="1"/>
  <c r="T476" i="1"/>
  <c r="U476" i="1"/>
  <c r="V476" i="1"/>
  <c r="W476" i="1" s="1"/>
  <c r="Q477" i="1"/>
  <c r="R477" i="1"/>
  <c r="S477" i="1"/>
  <c r="T477" i="1"/>
  <c r="U477" i="1"/>
  <c r="V477" i="1"/>
  <c r="W477" i="1" s="1"/>
  <c r="Q478" i="1"/>
  <c r="R478" i="1"/>
  <c r="S478" i="1"/>
  <c r="T478" i="1"/>
  <c r="U478" i="1"/>
  <c r="V478" i="1"/>
  <c r="W478" i="1" s="1"/>
  <c r="Q479" i="1"/>
  <c r="R479" i="1"/>
  <c r="S479" i="1"/>
  <c r="T479" i="1"/>
  <c r="U479" i="1"/>
  <c r="V479" i="1"/>
  <c r="W479" i="1" s="1"/>
  <c r="Q480" i="1"/>
  <c r="R480" i="1"/>
  <c r="S480" i="1"/>
  <c r="T480" i="1"/>
  <c r="U480" i="1"/>
  <c r="V480" i="1"/>
  <c r="W480" i="1" s="1"/>
  <c r="Q481" i="1"/>
  <c r="R481" i="1"/>
  <c r="S481" i="1"/>
  <c r="T481" i="1"/>
  <c r="U481" i="1"/>
  <c r="V481" i="1"/>
  <c r="W481" i="1" s="1"/>
  <c r="Q482" i="1"/>
  <c r="R482" i="1"/>
  <c r="S482" i="1"/>
  <c r="T482" i="1"/>
  <c r="U482" i="1"/>
  <c r="V482" i="1"/>
  <c r="W482" i="1" s="1"/>
  <c r="Q483" i="1"/>
  <c r="R483" i="1"/>
  <c r="S483" i="1"/>
  <c r="T483" i="1"/>
  <c r="U483" i="1"/>
  <c r="V483" i="1"/>
  <c r="W483" i="1" s="1"/>
  <c r="Q484" i="1"/>
  <c r="R484" i="1"/>
  <c r="S484" i="1"/>
  <c r="T484" i="1"/>
  <c r="U484" i="1"/>
  <c r="V484" i="1"/>
  <c r="W484" i="1" s="1"/>
  <c r="Q485" i="1"/>
  <c r="R485" i="1"/>
  <c r="S485" i="1"/>
  <c r="T485" i="1"/>
  <c r="U485" i="1"/>
  <c r="V485" i="1"/>
  <c r="W485" i="1" s="1"/>
  <c r="Q486" i="1"/>
  <c r="R486" i="1"/>
  <c r="S486" i="1"/>
  <c r="T486" i="1"/>
  <c r="U486" i="1"/>
  <c r="V486" i="1"/>
  <c r="W486" i="1" s="1"/>
  <c r="Q487" i="1"/>
  <c r="R487" i="1"/>
  <c r="S487" i="1"/>
  <c r="T487" i="1"/>
  <c r="U487" i="1"/>
  <c r="V487" i="1"/>
  <c r="W487" i="1" s="1"/>
  <c r="Q488" i="1"/>
  <c r="R488" i="1"/>
  <c r="S488" i="1"/>
  <c r="T488" i="1"/>
  <c r="U488" i="1"/>
  <c r="V488" i="1"/>
  <c r="W488" i="1" s="1"/>
  <c r="Q489" i="1"/>
  <c r="R489" i="1"/>
  <c r="S489" i="1"/>
  <c r="T489" i="1"/>
  <c r="U489" i="1"/>
  <c r="V489" i="1"/>
  <c r="W489" i="1" s="1"/>
  <c r="Q490" i="1"/>
  <c r="R490" i="1"/>
  <c r="S490" i="1"/>
  <c r="T490" i="1"/>
  <c r="U490" i="1"/>
  <c r="V490" i="1"/>
  <c r="W490" i="1" s="1"/>
  <c r="Q491" i="1"/>
  <c r="R491" i="1"/>
  <c r="S491" i="1"/>
  <c r="T491" i="1"/>
  <c r="U491" i="1"/>
  <c r="V491" i="1"/>
  <c r="W491" i="1" s="1"/>
  <c r="Q492" i="1"/>
  <c r="R492" i="1"/>
  <c r="S492" i="1"/>
  <c r="T492" i="1"/>
  <c r="U492" i="1"/>
  <c r="V492" i="1"/>
  <c r="W492" i="1" s="1"/>
  <c r="Q493" i="1"/>
  <c r="R493" i="1"/>
  <c r="S493" i="1"/>
  <c r="T493" i="1"/>
  <c r="U493" i="1"/>
  <c r="V493" i="1"/>
  <c r="W493" i="1" s="1"/>
  <c r="Q494" i="1"/>
  <c r="R494" i="1"/>
  <c r="S494" i="1"/>
  <c r="T494" i="1"/>
  <c r="U494" i="1"/>
  <c r="V494" i="1"/>
  <c r="W494" i="1" s="1"/>
  <c r="Q495" i="1"/>
  <c r="R495" i="1"/>
  <c r="S495" i="1"/>
  <c r="T495" i="1"/>
  <c r="U495" i="1"/>
  <c r="V495" i="1"/>
  <c r="W495" i="1" s="1"/>
  <c r="Q496" i="1"/>
  <c r="R496" i="1"/>
  <c r="S496" i="1"/>
  <c r="T496" i="1"/>
  <c r="U496" i="1"/>
  <c r="V496" i="1"/>
  <c r="W496" i="1" s="1"/>
  <c r="Q497" i="1"/>
  <c r="R497" i="1"/>
  <c r="S497" i="1"/>
  <c r="T497" i="1"/>
  <c r="U497" i="1"/>
  <c r="V497" i="1"/>
  <c r="W497" i="1" s="1"/>
  <c r="Q498" i="1"/>
  <c r="R498" i="1"/>
  <c r="S498" i="1"/>
  <c r="T498" i="1"/>
  <c r="U498" i="1"/>
  <c r="V498" i="1"/>
  <c r="W498" i="1" s="1"/>
  <c r="Q499" i="1"/>
  <c r="R499" i="1"/>
  <c r="S499" i="1"/>
  <c r="T499" i="1"/>
  <c r="U499" i="1"/>
  <c r="V499" i="1"/>
  <c r="W499" i="1" s="1"/>
  <c r="Q500" i="1"/>
  <c r="R500" i="1"/>
  <c r="S500" i="1"/>
  <c r="T500" i="1"/>
  <c r="U500" i="1"/>
  <c r="V500" i="1"/>
  <c r="W500" i="1" s="1"/>
  <c r="Q501" i="1"/>
  <c r="R501" i="1"/>
  <c r="S501" i="1"/>
  <c r="T501" i="1"/>
  <c r="U501" i="1"/>
  <c r="V501" i="1"/>
  <c r="W501" i="1" s="1"/>
  <c r="Q502" i="1"/>
  <c r="R502" i="1"/>
  <c r="S502" i="1"/>
  <c r="T502" i="1"/>
  <c r="U502" i="1"/>
  <c r="V502" i="1"/>
  <c r="W502" i="1" s="1"/>
  <c r="Q503" i="1"/>
  <c r="R503" i="1"/>
  <c r="S503" i="1"/>
  <c r="T503" i="1"/>
  <c r="U503" i="1"/>
  <c r="V503" i="1"/>
  <c r="W503" i="1" s="1"/>
  <c r="Q504" i="1"/>
  <c r="R504" i="1"/>
  <c r="S504" i="1"/>
  <c r="T504" i="1"/>
  <c r="U504" i="1"/>
  <c r="V504" i="1"/>
  <c r="W504" i="1" s="1"/>
  <c r="Q505" i="1"/>
  <c r="R505" i="1"/>
  <c r="S505" i="1"/>
  <c r="T505" i="1"/>
  <c r="U505" i="1"/>
  <c r="V505" i="1"/>
  <c r="W505" i="1" s="1"/>
  <c r="Q506" i="1"/>
  <c r="R506" i="1"/>
  <c r="S506" i="1"/>
  <c r="T506" i="1"/>
  <c r="U506" i="1"/>
  <c r="V506" i="1"/>
  <c r="W506" i="1" s="1"/>
  <c r="Q507" i="1"/>
  <c r="R507" i="1"/>
  <c r="S507" i="1"/>
  <c r="T507" i="1"/>
  <c r="U507" i="1"/>
  <c r="V507" i="1"/>
  <c r="W507" i="1" s="1"/>
  <c r="Q508" i="1"/>
  <c r="R508" i="1"/>
  <c r="S508" i="1"/>
  <c r="T508" i="1"/>
  <c r="U508" i="1"/>
  <c r="V508" i="1"/>
  <c r="W508" i="1" s="1"/>
  <c r="Q509" i="1"/>
  <c r="R509" i="1"/>
  <c r="S509" i="1"/>
  <c r="T509" i="1"/>
  <c r="U509" i="1"/>
  <c r="V509" i="1"/>
  <c r="W509" i="1" s="1"/>
  <c r="Q510" i="1"/>
  <c r="R510" i="1"/>
  <c r="S510" i="1"/>
  <c r="T510" i="1"/>
  <c r="U510" i="1"/>
  <c r="V510" i="1"/>
  <c r="W510" i="1" s="1"/>
  <c r="Q511" i="1"/>
  <c r="R511" i="1"/>
  <c r="S511" i="1"/>
  <c r="T511" i="1"/>
  <c r="U511" i="1"/>
  <c r="V511" i="1"/>
  <c r="W511" i="1" s="1"/>
  <c r="Q512" i="1"/>
  <c r="R512" i="1"/>
  <c r="S512" i="1"/>
  <c r="T512" i="1"/>
  <c r="U512" i="1"/>
  <c r="V512" i="1"/>
  <c r="W512" i="1" s="1"/>
  <c r="Q513" i="1"/>
  <c r="R513" i="1"/>
  <c r="S513" i="1"/>
  <c r="T513" i="1"/>
  <c r="U513" i="1"/>
  <c r="V513" i="1"/>
  <c r="W513" i="1" s="1"/>
  <c r="Q514" i="1"/>
  <c r="R514" i="1"/>
  <c r="S514" i="1"/>
  <c r="T514" i="1"/>
  <c r="U514" i="1"/>
  <c r="V514" i="1"/>
  <c r="W514" i="1" s="1"/>
  <c r="Q515" i="1"/>
  <c r="R515" i="1"/>
  <c r="S515" i="1"/>
  <c r="T515" i="1"/>
  <c r="U515" i="1"/>
  <c r="V515" i="1"/>
  <c r="W515" i="1" s="1"/>
  <c r="Q516" i="1"/>
  <c r="R516" i="1"/>
  <c r="S516" i="1"/>
  <c r="T516" i="1"/>
  <c r="U516" i="1"/>
  <c r="V516" i="1"/>
  <c r="W516" i="1" s="1"/>
  <c r="Q517" i="1"/>
  <c r="R517" i="1"/>
  <c r="S517" i="1"/>
  <c r="T517" i="1"/>
  <c r="U517" i="1"/>
  <c r="V517" i="1"/>
  <c r="W517" i="1" s="1"/>
  <c r="Q518" i="1"/>
  <c r="R518" i="1"/>
  <c r="S518" i="1"/>
  <c r="T518" i="1"/>
  <c r="U518" i="1"/>
  <c r="V518" i="1"/>
  <c r="W518" i="1" s="1"/>
  <c r="Q519" i="1"/>
  <c r="R519" i="1"/>
  <c r="S519" i="1"/>
  <c r="T519" i="1"/>
  <c r="U519" i="1"/>
  <c r="V519" i="1"/>
  <c r="W519" i="1" s="1"/>
  <c r="Q520" i="1"/>
  <c r="R520" i="1"/>
  <c r="S520" i="1"/>
  <c r="T520" i="1"/>
  <c r="U520" i="1"/>
  <c r="V520" i="1"/>
  <c r="W520" i="1" s="1"/>
  <c r="Q521" i="1"/>
  <c r="R521" i="1"/>
  <c r="S521" i="1"/>
  <c r="T521" i="1"/>
  <c r="U521" i="1"/>
  <c r="V521" i="1"/>
  <c r="W521" i="1" s="1"/>
  <c r="Q522" i="1"/>
  <c r="R522" i="1"/>
  <c r="S522" i="1"/>
  <c r="T522" i="1"/>
  <c r="U522" i="1"/>
  <c r="V522" i="1"/>
  <c r="W522" i="1" s="1"/>
  <c r="Q523" i="1"/>
  <c r="R523" i="1"/>
  <c r="S523" i="1"/>
  <c r="T523" i="1"/>
  <c r="U523" i="1"/>
  <c r="V523" i="1"/>
  <c r="W523" i="1" s="1"/>
  <c r="Q524" i="1"/>
  <c r="R524" i="1"/>
  <c r="S524" i="1"/>
  <c r="T524" i="1"/>
  <c r="U524" i="1"/>
  <c r="V524" i="1"/>
  <c r="W524" i="1" s="1"/>
  <c r="Q525" i="1"/>
  <c r="R525" i="1"/>
  <c r="S525" i="1"/>
  <c r="T525" i="1"/>
  <c r="U525" i="1"/>
  <c r="V525" i="1"/>
  <c r="W525" i="1" s="1"/>
  <c r="Q526" i="1"/>
  <c r="R526" i="1"/>
  <c r="S526" i="1"/>
  <c r="T526" i="1"/>
  <c r="U526" i="1"/>
  <c r="V526" i="1"/>
  <c r="W526" i="1" s="1"/>
  <c r="Q527" i="1"/>
  <c r="R527" i="1"/>
  <c r="S527" i="1"/>
  <c r="T527" i="1"/>
  <c r="U527" i="1"/>
  <c r="V527" i="1"/>
  <c r="W527" i="1" s="1"/>
  <c r="Q528" i="1"/>
  <c r="R528" i="1"/>
  <c r="S528" i="1"/>
  <c r="T528" i="1"/>
  <c r="U528" i="1"/>
  <c r="V528" i="1"/>
  <c r="W528" i="1" s="1"/>
  <c r="Q529" i="1"/>
  <c r="R529" i="1"/>
  <c r="S529" i="1"/>
  <c r="T529" i="1"/>
  <c r="U529" i="1"/>
  <c r="V529" i="1"/>
  <c r="W529" i="1" s="1"/>
  <c r="Q530" i="1"/>
  <c r="R530" i="1"/>
  <c r="S530" i="1"/>
  <c r="T530" i="1"/>
  <c r="U530" i="1"/>
  <c r="V530" i="1"/>
  <c r="W530" i="1" s="1"/>
  <c r="Q531" i="1"/>
  <c r="R531" i="1"/>
  <c r="S531" i="1"/>
  <c r="T531" i="1"/>
  <c r="U531" i="1"/>
  <c r="V531" i="1"/>
  <c r="W531" i="1" s="1"/>
  <c r="Q532" i="1"/>
  <c r="R532" i="1"/>
  <c r="S532" i="1"/>
  <c r="T532" i="1"/>
  <c r="U532" i="1"/>
  <c r="V532" i="1"/>
  <c r="W532" i="1" s="1"/>
  <c r="Q533" i="1"/>
  <c r="R533" i="1"/>
  <c r="S533" i="1"/>
  <c r="T533" i="1"/>
  <c r="U533" i="1"/>
  <c r="V533" i="1"/>
  <c r="W533" i="1" s="1"/>
  <c r="Q534" i="1"/>
  <c r="R534" i="1"/>
  <c r="S534" i="1"/>
  <c r="T534" i="1"/>
  <c r="U534" i="1"/>
  <c r="V534" i="1"/>
  <c r="W534" i="1" s="1"/>
  <c r="Q535" i="1"/>
  <c r="R535" i="1"/>
  <c r="S535" i="1"/>
  <c r="T535" i="1"/>
  <c r="U535" i="1"/>
  <c r="V535" i="1"/>
  <c r="W535" i="1" s="1"/>
  <c r="Q536" i="1"/>
  <c r="R536" i="1"/>
  <c r="S536" i="1"/>
  <c r="T536" i="1"/>
  <c r="U536" i="1"/>
  <c r="V536" i="1"/>
  <c r="W536" i="1" s="1"/>
  <c r="Q537" i="1"/>
  <c r="R537" i="1"/>
  <c r="S537" i="1"/>
  <c r="T537" i="1"/>
  <c r="U537" i="1"/>
  <c r="V537" i="1"/>
  <c r="W537" i="1" s="1"/>
  <c r="Q538" i="1"/>
  <c r="R538" i="1"/>
  <c r="S538" i="1"/>
  <c r="T538" i="1"/>
  <c r="U538" i="1"/>
  <c r="V538" i="1"/>
  <c r="W538" i="1" s="1"/>
  <c r="Q539" i="1"/>
  <c r="R539" i="1"/>
  <c r="S539" i="1"/>
  <c r="T539" i="1"/>
  <c r="U539" i="1"/>
  <c r="V539" i="1"/>
  <c r="W539" i="1" s="1"/>
  <c r="Q540" i="1"/>
  <c r="R540" i="1"/>
  <c r="S540" i="1"/>
  <c r="T540" i="1"/>
  <c r="U540" i="1"/>
  <c r="V540" i="1"/>
  <c r="W540" i="1" s="1"/>
  <c r="Q541" i="1"/>
  <c r="R541" i="1"/>
  <c r="S541" i="1"/>
  <c r="T541" i="1"/>
  <c r="U541" i="1"/>
  <c r="V541" i="1"/>
  <c r="W541" i="1" s="1"/>
  <c r="Q542" i="1"/>
  <c r="R542" i="1"/>
  <c r="S542" i="1"/>
  <c r="T542" i="1"/>
  <c r="U542" i="1"/>
  <c r="V542" i="1"/>
  <c r="W542" i="1" s="1"/>
  <c r="Q543" i="1"/>
  <c r="R543" i="1"/>
  <c r="S543" i="1"/>
  <c r="T543" i="1"/>
  <c r="U543" i="1"/>
  <c r="V543" i="1"/>
  <c r="W543" i="1" s="1"/>
  <c r="Q544" i="1"/>
  <c r="R544" i="1"/>
  <c r="S544" i="1"/>
  <c r="T544" i="1"/>
  <c r="U544" i="1"/>
  <c r="V544" i="1"/>
  <c r="W544" i="1" s="1"/>
  <c r="Q545" i="1"/>
  <c r="R545" i="1"/>
  <c r="S545" i="1"/>
  <c r="T545" i="1"/>
  <c r="U545" i="1"/>
  <c r="V545" i="1"/>
  <c r="W545" i="1" s="1"/>
  <c r="Q546" i="1"/>
  <c r="R546" i="1"/>
  <c r="S546" i="1"/>
  <c r="T546" i="1"/>
  <c r="U546" i="1"/>
  <c r="V546" i="1"/>
  <c r="W546" i="1" s="1"/>
  <c r="Q547" i="1"/>
  <c r="R547" i="1"/>
  <c r="S547" i="1"/>
  <c r="T547" i="1"/>
  <c r="U547" i="1"/>
  <c r="V547" i="1"/>
  <c r="W547" i="1" s="1"/>
  <c r="Q548" i="1"/>
  <c r="R548" i="1"/>
  <c r="S548" i="1"/>
  <c r="T548" i="1"/>
  <c r="U548" i="1"/>
  <c r="V548" i="1"/>
  <c r="W548" i="1" s="1"/>
  <c r="Q549" i="1"/>
  <c r="R549" i="1"/>
  <c r="S549" i="1"/>
  <c r="T549" i="1"/>
  <c r="U549" i="1"/>
  <c r="V549" i="1"/>
  <c r="W549" i="1" s="1"/>
  <c r="Q550" i="1"/>
  <c r="R550" i="1"/>
  <c r="S550" i="1"/>
  <c r="T550" i="1"/>
  <c r="U550" i="1"/>
  <c r="V550" i="1"/>
  <c r="W550" i="1" s="1"/>
  <c r="Q551" i="1"/>
  <c r="R551" i="1"/>
  <c r="S551" i="1"/>
  <c r="T551" i="1"/>
  <c r="U551" i="1"/>
  <c r="V551" i="1"/>
  <c r="W551" i="1" s="1"/>
  <c r="Q552" i="1"/>
  <c r="R552" i="1"/>
  <c r="S552" i="1"/>
  <c r="T552" i="1"/>
  <c r="U552" i="1"/>
  <c r="V552" i="1"/>
  <c r="W552" i="1" s="1"/>
  <c r="Q553" i="1"/>
  <c r="R553" i="1"/>
  <c r="S553" i="1"/>
  <c r="T553" i="1"/>
  <c r="U553" i="1"/>
  <c r="V553" i="1"/>
  <c r="W553" i="1" s="1"/>
  <c r="Q554" i="1"/>
  <c r="R554" i="1"/>
  <c r="S554" i="1"/>
  <c r="T554" i="1"/>
  <c r="U554" i="1"/>
  <c r="V554" i="1"/>
  <c r="W554" i="1" s="1"/>
  <c r="Q555" i="1"/>
  <c r="R555" i="1"/>
  <c r="S555" i="1"/>
  <c r="T555" i="1"/>
  <c r="U555" i="1"/>
  <c r="V555" i="1"/>
  <c r="W555" i="1" s="1"/>
  <c r="Q556" i="1"/>
  <c r="R556" i="1"/>
  <c r="S556" i="1"/>
  <c r="T556" i="1"/>
  <c r="U556" i="1"/>
  <c r="V556" i="1"/>
  <c r="W556" i="1" s="1"/>
  <c r="Q557" i="1"/>
  <c r="R557" i="1"/>
  <c r="S557" i="1"/>
  <c r="T557" i="1"/>
  <c r="U557" i="1"/>
  <c r="V557" i="1"/>
  <c r="W557" i="1" s="1"/>
  <c r="Q558" i="1"/>
  <c r="R558" i="1"/>
  <c r="S558" i="1"/>
  <c r="T558" i="1"/>
  <c r="U558" i="1"/>
  <c r="V558" i="1"/>
  <c r="W558" i="1" s="1"/>
  <c r="Q559" i="1"/>
  <c r="R559" i="1"/>
  <c r="S559" i="1"/>
  <c r="T559" i="1"/>
  <c r="U559" i="1"/>
  <c r="V559" i="1"/>
  <c r="W559" i="1" s="1"/>
  <c r="Q560" i="1"/>
  <c r="R560" i="1"/>
  <c r="S560" i="1"/>
  <c r="T560" i="1"/>
  <c r="U560" i="1"/>
  <c r="V560" i="1"/>
  <c r="W560" i="1" s="1"/>
  <c r="Q561" i="1"/>
  <c r="R561" i="1"/>
  <c r="S561" i="1"/>
  <c r="T561" i="1"/>
  <c r="U561" i="1"/>
  <c r="V561" i="1"/>
  <c r="W561" i="1" s="1"/>
  <c r="Q562" i="1"/>
  <c r="R562" i="1"/>
  <c r="S562" i="1"/>
  <c r="T562" i="1"/>
  <c r="U562" i="1"/>
  <c r="V562" i="1"/>
  <c r="W562" i="1" s="1"/>
  <c r="Q563" i="1"/>
  <c r="R563" i="1"/>
  <c r="S563" i="1"/>
  <c r="T563" i="1"/>
  <c r="U563" i="1"/>
  <c r="V563" i="1"/>
  <c r="W563" i="1" s="1"/>
  <c r="Q564" i="1"/>
  <c r="R564" i="1"/>
  <c r="S564" i="1"/>
  <c r="T564" i="1"/>
  <c r="U564" i="1"/>
  <c r="V564" i="1"/>
  <c r="W564" i="1" s="1"/>
  <c r="Q565" i="1"/>
  <c r="R565" i="1"/>
  <c r="S565" i="1"/>
  <c r="T565" i="1"/>
  <c r="U565" i="1"/>
  <c r="V565" i="1"/>
  <c r="W565" i="1" s="1"/>
  <c r="Q566" i="1"/>
  <c r="R566" i="1"/>
  <c r="S566" i="1"/>
  <c r="T566" i="1"/>
  <c r="U566" i="1"/>
  <c r="V566" i="1"/>
  <c r="W566" i="1" s="1"/>
  <c r="Q567" i="1"/>
  <c r="R567" i="1"/>
  <c r="S567" i="1"/>
  <c r="T567" i="1"/>
  <c r="U567" i="1"/>
  <c r="V567" i="1"/>
  <c r="W567" i="1" s="1"/>
  <c r="Q568" i="1"/>
  <c r="R568" i="1"/>
  <c r="S568" i="1"/>
  <c r="T568" i="1"/>
  <c r="U568" i="1"/>
  <c r="V568" i="1"/>
  <c r="W568" i="1" s="1"/>
  <c r="Q569" i="1"/>
  <c r="R569" i="1"/>
  <c r="S569" i="1"/>
  <c r="T569" i="1"/>
  <c r="U569" i="1"/>
  <c r="V569" i="1"/>
  <c r="W569" i="1" s="1"/>
  <c r="Q570" i="1"/>
  <c r="R570" i="1"/>
  <c r="S570" i="1"/>
  <c r="T570" i="1"/>
  <c r="U570" i="1"/>
  <c r="V570" i="1"/>
  <c r="W570" i="1" s="1"/>
  <c r="Q571" i="1"/>
  <c r="R571" i="1"/>
  <c r="S571" i="1"/>
  <c r="T571" i="1"/>
  <c r="U571" i="1"/>
  <c r="V571" i="1"/>
  <c r="W571" i="1" s="1"/>
  <c r="Q572" i="1"/>
  <c r="R572" i="1"/>
  <c r="S572" i="1"/>
  <c r="T572" i="1"/>
  <c r="U572" i="1"/>
  <c r="V572" i="1"/>
  <c r="W572" i="1" s="1"/>
  <c r="Q573" i="1"/>
  <c r="R573" i="1"/>
  <c r="S573" i="1"/>
  <c r="T573" i="1"/>
  <c r="U573" i="1"/>
  <c r="V573" i="1"/>
  <c r="W573" i="1" s="1"/>
  <c r="Q574" i="1"/>
  <c r="R574" i="1"/>
  <c r="S574" i="1"/>
  <c r="T574" i="1"/>
  <c r="U574" i="1"/>
  <c r="V574" i="1"/>
  <c r="W574" i="1" s="1"/>
  <c r="Q575" i="1"/>
  <c r="R575" i="1"/>
  <c r="S575" i="1"/>
  <c r="T575" i="1"/>
  <c r="U575" i="1"/>
  <c r="V575" i="1"/>
  <c r="W575" i="1" s="1"/>
  <c r="Q576" i="1"/>
  <c r="R576" i="1"/>
  <c r="S576" i="1"/>
  <c r="T576" i="1"/>
  <c r="U576" i="1"/>
  <c r="V576" i="1"/>
  <c r="W576" i="1" s="1"/>
  <c r="Q577" i="1"/>
  <c r="R577" i="1"/>
  <c r="S577" i="1"/>
  <c r="T577" i="1"/>
  <c r="U577" i="1"/>
  <c r="V577" i="1"/>
  <c r="W577" i="1" s="1"/>
  <c r="Q578" i="1"/>
  <c r="R578" i="1"/>
  <c r="S578" i="1"/>
  <c r="T578" i="1"/>
  <c r="U578" i="1"/>
  <c r="V578" i="1"/>
  <c r="W578" i="1" s="1"/>
  <c r="Q579" i="1"/>
  <c r="R579" i="1"/>
  <c r="S579" i="1"/>
  <c r="T579" i="1"/>
  <c r="U579" i="1"/>
  <c r="V579" i="1"/>
  <c r="W579" i="1" s="1"/>
  <c r="Q580" i="1"/>
  <c r="R580" i="1"/>
  <c r="S580" i="1"/>
  <c r="T580" i="1"/>
  <c r="U580" i="1"/>
  <c r="V580" i="1"/>
  <c r="W580" i="1" s="1"/>
  <c r="Q581" i="1"/>
  <c r="R581" i="1"/>
  <c r="S581" i="1"/>
  <c r="T581" i="1"/>
  <c r="U581" i="1"/>
  <c r="V581" i="1"/>
  <c r="W581" i="1" s="1"/>
  <c r="Q582" i="1"/>
  <c r="R582" i="1"/>
  <c r="S582" i="1"/>
  <c r="T582" i="1"/>
  <c r="U582" i="1"/>
  <c r="V582" i="1"/>
  <c r="W582" i="1" s="1"/>
  <c r="Q583" i="1"/>
  <c r="R583" i="1"/>
  <c r="S583" i="1"/>
  <c r="T583" i="1"/>
  <c r="U583" i="1"/>
  <c r="V583" i="1"/>
  <c r="W583" i="1" s="1"/>
  <c r="Q584" i="1"/>
  <c r="R584" i="1"/>
  <c r="S584" i="1"/>
  <c r="T584" i="1"/>
  <c r="U584" i="1"/>
  <c r="V584" i="1"/>
  <c r="W584" i="1" s="1"/>
  <c r="Q585" i="1"/>
  <c r="R585" i="1"/>
  <c r="S585" i="1"/>
  <c r="T585" i="1"/>
  <c r="U585" i="1"/>
  <c r="V585" i="1"/>
  <c r="W585" i="1" s="1"/>
  <c r="Q586" i="1"/>
  <c r="R586" i="1"/>
  <c r="S586" i="1"/>
  <c r="T586" i="1"/>
  <c r="U586" i="1"/>
  <c r="V586" i="1"/>
  <c r="W586" i="1" s="1"/>
  <c r="Q587" i="1"/>
  <c r="R587" i="1"/>
  <c r="S587" i="1"/>
  <c r="T587" i="1"/>
  <c r="U587" i="1"/>
  <c r="V587" i="1"/>
  <c r="W587" i="1" s="1"/>
  <c r="Q588" i="1"/>
  <c r="R588" i="1"/>
  <c r="S588" i="1"/>
  <c r="T588" i="1"/>
  <c r="U588" i="1"/>
  <c r="V588" i="1"/>
  <c r="W588" i="1" s="1"/>
  <c r="Q589" i="1"/>
  <c r="R589" i="1"/>
  <c r="S589" i="1"/>
  <c r="T589" i="1"/>
  <c r="U589" i="1"/>
  <c r="V589" i="1"/>
  <c r="W589" i="1" s="1"/>
  <c r="Q590" i="1"/>
  <c r="R590" i="1"/>
  <c r="S590" i="1"/>
  <c r="T590" i="1"/>
  <c r="U590" i="1"/>
  <c r="V590" i="1"/>
  <c r="W590" i="1" s="1"/>
  <c r="Q591" i="1"/>
  <c r="R591" i="1"/>
  <c r="S591" i="1"/>
  <c r="T591" i="1"/>
  <c r="U591" i="1"/>
  <c r="V591" i="1"/>
  <c r="W591" i="1" s="1"/>
  <c r="Q592" i="1"/>
  <c r="R592" i="1"/>
  <c r="S592" i="1"/>
  <c r="T592" i="1"/>
  <c r="U592" i="1"/>
  <c r="V592" i="1"/>
  <c r="W592" i="1" s="1"/>
  <c r="Q593" i="1"/>
  <c r="R593" i="1"/>
  <c r="S593" i="1"/>
  <c r="T593" i="1"/>
  <c r="U593" i="1"/>
  <c r="V593" i="1"/>
  <c r="W593" i="1" s="1"/>
  <c r="Q594" i="1"/>
  <c r="R594" i="1"/>
  <c r="S594" i="1"/>
  <c r="T594" i="1"/>
  <c r="U594" i="1"/>
  <c r="V594" i="1"/>
  <c r="W594" i="1" s="1"/>
  <c r="Q595" i="1"/>
  <c r="R595" i="1"/>
  <c r="S595" i="1"/>
  <c r="T595" i="1"/>
  <c r="U595" i="1"/>
  <c r="V595" i="1"/>
  <c r="W595" i="1" s="1"/>
  <c r="Q596" i="1"/>
  <c r="R596" i="1"/>
  <c r="S596" i="1"/>
  <c r="T596" i="1"/>
  <c r="U596" i="1"/>
  <c r="V596" i="1"/>
  <c r="W596" i="1" s="1"/>
  <c r="Q597" i="1"/>
  <c r="R597" i="1"/>
  <c r="S597" i="1"/>
  <c r="T597" i="1"/>
  <c r="U597" i="1"/>
  <c r="V597" i="1"/>
  <c r="W597" i="1" s="1"/>
  <c r="Q598" i="1"/>
  <c r="R598" i="1"/>
  <c r="S598" i="1"/>
  <c r="T598" i="1"/>
  <c r="U598" i="1"/>
  <c r="V598" i="1"/>
  <c r="W598" i="1" s="1"/>
  <c r="Q599" i="1"/>
  <c r="R599" i="1"/>
  <c r="S599" i="1"/>
  <c r="T599" i="1"/>
  <c r="U599" i="1"/>
  <c r="V599" i="1"/>
  <c r="W599" i="1" s="1"/>
  <c r="Q600" i="1"/>
  <c r="R600" i="1"/>
  <c r="S600" i="1"/>
  <c r="T600" i="1"/>
  <c r="U600" i="1"/>
  <c r="V600" i="1"/>
  <c r="W600" i="1" s="1"/>
  <c r="Q601" i="1"/>
  <c r="R601" i="1"/>
  <c r="S601" i="1"/>
  <c r="T601" i="1"/>
  <c r="U601" i="1"/>
  <c r="V601" i="1"/>
  <c r="W601" i="1" s="1"/>
  <c r="Q602" i="1"/>
  <c r="R602" i="1"/>
  <c r="S602" i="1"/>
  <c r="T602" i="1"/>
  <c r="U602" i="1"/>
  <c r="V602" i="1"/>
  <c r="W602" i="1" s="1"/>
  <c r="Q603" i="1"/>
  <c r="R603" i="1"/>
  <c r="S603" i="1"/>
  <c r="T603" i="1"/>
  <c r="U603" i="1"/>
  <c r="V603" i="1"/>
  <c r="W603" i="1" s="1"/>
  <c r="Q604" i="1"/>
  <c r="R604" i="1"/>
  <c r="S604" i="1"/>
  <c r="T604" i="1"/>
  <c r="U604" i="1"/>
  <c r="V604" i="1"/>
  <c r="W604" i="1" s="1"/>
  <c r="Q605" i="1"/>
  <c r="R605" i="1"/>
  <c r="S605" i="1"/>
  <c r="T605" i="1"/>
  <c r="U605" i="1"/>
  <c r="V605" i="1"/>
  <c r="W605" i="1" s="1"/>
  <c r="Q606" i="1"/>
  <c r="R606" i="1"/>
  <c r="S606" i="1"/>
  <c r="T606" i="1"/>
  <c r="U606" i="1"/>
  <c r="V606" i="1"/>
  <c r="W606" i="1" s="1"/>
  <c r="Q607" i="1"/>
  <c r="R607" i="1"/>
  <c r="S607" i="1"/>
  <c r="T607" i="1"/>
  <c r="U607" i="1"/>
  <c r="V607" i="1"/>
  <c r="W607" i="1" s="1"/>
  <c r="Q608" i="1"/>
  <c r="R608" i="1"/>
  <c r="S608" i="1"/>
  <c r="T608" i="1"/>
  <c r="U608" i="1"/>
  <c r="V608" i="1"/>
  <c r="W608" i="1" s="1"/>
  <c r="Q609" i="1"/>
  <c r="R609" i="1"/>
  <c r="S609" i="1"/>
  <c r="T609" i="1"/>
  <c r="U609" i="1"/>
  <c r="V609" i="1"/>
  <c r="W609" i="1" s="1"/>
  <c r="Q610" i="1"/>
  <c r="R610" i="1"/>
  <c r="S610" i="1"/>
  <c r="T610" i="1"/>
  <c r="U610" i="1"/>
  <c r="V610" i="1"/>
  <c r="W610" i="1" s="1"/>
  <c r="Q611" i="1"/>
  <c r="R611" i="1"/>
  <c r="S611" i="1"/>
  <c r="T611" i="1"/>
  <c r="U611" i="1"/>
  <c r="V611" i="1"/>
  <c r="W611" i="1" s="1"/>
  <c r="Q612" i="1"/>
  <c r="R612" i="1"/>
  <c r="S612" i="1"/>
  <c r="T612" i="1"/>
  <c r="U612" i="1"/>
  <c r="V612" i="1"/>
  <c r="W612" i="1" s="1"/>
  <c r="Q613" i="1"/>
  <c r="R613" i="1"/>
  <c r="S613" i="1"/>
  <c r="T613" i="1"/>
  <c r="U613" i="1"/>
  <c r="V613" i="1"/>
  <c r="W613" i="1" s="1"/>
  <c r="Q614" i="1"/>
  <c r="R614" i="1"/>
  <c r="S614" i="1"/>
  <c r="T614" i="1"/>
  <c r="U614" i="1"/>
  <c r="V614" i="1"/>
  <c r="W614" i="1" s="1"/>
  <c r="Q615" i="1"/>
  <c r="R615" i="1"/>
  <c r="S615" i="1"/>
  <c r="T615" i="1"/>
  <c r="U615" i="1"/>
  <c r="V615" i="1"/>
  <c r="W615" i="1" s="1"/>
  <c r="Q616" i="1"/>
  <c r="R616" i="1"/>
  <c r="S616" i="1"/>
  <c r="T616" i="1"/>
  <c r="U616" i="1"/>
  <c r="V616" i="1"/>
  <c r="W616" i="1" s="1"/>
  <c r="Q617" i="1"/>
  <c r="R617" i="1"/>
  <c r="S617" i="1"/>
  <c r="T617" i="1"/>
  <c r="U617" i="1"/>
  <c r="V617" i="1"/>
  <c r="W617" i="1" s="1"/>
  <c r="Q618" i="1"/>
  <c r="R618" i="1"/>
  <c r="S618" i="1"/>
  <c r="T618" i="1"/>
  <c r="U618" i="1"/>
  <c r="V618" i="1"/>
  <c r="W618" i="1" s="1"/>
  <c r="Q619" i="1"/>
  <c r="R619" i="1"/>
  <c r="S619" i="1"/>
  <c r="T619" i="1"/>
  <c r="U619" i="1"/>
  <c r="V619" i="1"/>
  <c r="W619" i="1" s="1"/>
  <c r="Q620" i="1"/>
  <c r="R620" i="1"/>
  <c r="S620" i="1"/>
  <c r="T620" i="1"/>
  <c r="U620" i="1"/>
  <c r="V620" i="1"/>
  <c r="W620" i="1" s="1"/>
  <c r="Q621" i="1"/>
  <c r="R621" i="1"/>
  <c r="S621" i="1"/>
  <c r="T621" i="1"/>
  <c r="U621" i="1"/>
  <c r="V621" i="1"/>
  <c r="W621" i="1" s="1"/>
  <c r="Q622" i="1"/>
  <c r="R622" i="1"/>
  <c r="S622" i="1"/>
  <c r="T622" i="1"/>
  <c r="U622" i="1"/>
  <c r="V622" i="1"/>
  <c r="W622" i="1" s="1"/>
  <c r="Q623" i="1"/>
  <c r="R623" i="1"/>
  <c r="S623" i="1"/>
  <c r="T623" i="1"/>
  <c r="U623" i="1"/>
  <c r="V623" i="1"/>
  <c r="W623" i="1" s="1"/>
  <c r="Q624" i="1"/>
  <c r="R624" i="1"/>
  <c r="S624" i="1"/>
  <c r="T624" i="1"/>
  <c r="U624" i="1"/>
  <c r="V624" i="1"/>
  <c r="W624" i="1" s="1"/>
  <c r="Q625" i="1"/>
  <c r="R625" i="1"/>
  <c r="S625" i="1"/>
  <c r="T625" i="1"/>
  <c r="U625" i="1"/>
  <c r="V625" i="1"/>
  <c r="W625" i="1" s="1"/>
  <c r="Q626" i="1"/>
  <c r="R626" i="1"/>
  <c r="S626" i="1"/>
  <c r="T626" i="1"/>
  <c r="U626" i="1"/>
  <c r="V626" i="1"/>
  <c r="W626" i="1" s="1"/>
  <c r="Q627" i="1"/>
  <c r="R627" i="1"/>
  <c r="S627" i="1"/>
  <c r="T627" i="1"/>
  <c r="U627" i="1"/>
  <c r="V627" i="1"/>
  <c r="W627" i="1" s="1"/>
  <c r="Q628" i="1"/>
  <c r="R628" i="1"/>
  <c r="S628" i="1"/>
  <c r="T628" i="1"/>
  <c r="U628" i="1"/>
  <c r="V628" i="1"/>
  <c r="W628" i="1" s="1"/>
  <c r="Q629" i="1"/>
  <c r="R629" i="1"/>
  <c r="S629" i="1"/>
  <c r="T629" i="1"/>
  <c r="U629" i="1"/>
  <c r="V629" i="1"/>
  <c r="W629" i="1" s="1"/>
  <c r="Q630" i="1"/>
  <c r="R630" i="1"/>
  <c r="S630" i="1"/>
  <c r="T630" i="1"/>
  <c r="U630" i="1"/>
  <c r="V630" i="1"/>
  <c r="W630" i="1" s="1"/>
  <c r="Q631" i="1"/>
  <c r="R631" i="1"/>
  <c r="S631" i="1"/>
  <c r="T631" i="1"/>
  <c r="U631" i="1"/>
  <c r="V631" i="1"/>
  <c r="W631" i="1" s="1"/>
  <c r="Q632" i="1"/>
  <c r="R632" i="1"/>
  <c r="S632" i="1"/>
  <c r="T632" i="1"/>
  <c r="U632" i="1"/>
  <c r="V632" i="1"/>
  <c r="W632" i="1" s="1"/>
  <c r="Q633" i="1"/>
  <c r="R633" i="1"/>
  <c r="S633" i="1"/>
  <c r="T633" i="1"/>
  <c r="U633" i="1"/>
  <c r="V633" i="1"/>
  <c r="W633" i="1" s="1"/>
  <c r="Q634" i="1"/>
  <c r="R634" i="1"/>
  <c r="S634" i="1"/>
  <c r="T634" i="1"/>
  <c r="U634" i="1"/>
  <c r="V634" i="1"/>
  <c r="W634" i="1" s="1"/>
  <c r="Q635" i="1"/>
  <c r="R635" i="1"/>
  <c r="S635" i="1"/>
  <c r="T635" i="1"/>
  <c r="U635" i="1"/>
  <c r="V635" i="1"/>
  <c r="W635" i="1" s="1"/>
  <c r="Q636" i="1"/>
  <c r="R636" i="1"/>
  <c r="S636" i="1"/>
  <c r="T636" i="1"/>
  <c r="U636" i="1"/>
  <c r="V636" i="1"/>
  <c r="W636" i="1" s="1"/>
  <c r="Q637" i="1"/>
  <c r="R637" i="1"/>
  <c r="S637" i="1"/>
  <c r="T637" i="1"/>
  <c r="U637" i="1"/>
  <c r="V637" i="1"/>
  <c r="W637" i="1" s="1"/>
  <c r="Q638" i="1"/>
  <c r="R638" i="1"/>
  <c r="S638" i="1"/>
  <c r="T638" i="1"/>
  <c r="U638" i="1"/>
  <c r="V638" i="1"/>
  <c r="W638" i="1" s="1"/>
  <c r="Q639" i="1"/>
  <c r="R639" i="1"/>
  <c r="S639" i="1"/>
  <c r="T639" i="1"/>
  <c r="U639" i="1"/>
  <c r="V639" i="1"/>
  <c r="W639" i="1" s="1"/>
  <c r="Q640" i="1"/>
  <c r="R640" i="1"/>
  <c r="S640" i="1"/>
  <c r="T640" i="1"/>
  <c r="U640" i="1"/>
  <c r="V640" i="1"/>
  <c r="W640" i="1" s="1"/>
  <c r="Q641" i="1"/>
  <c r="R641" i="1"/>
  <c r="S641" i="1"/>
  <c r="T641" i="1"/>
  <c r="U641" i="1"/>
  <c r="V641" i="1"/>
  <c r="W641" i="1" s="1"/>
  <c r="Q642" i="1"/>
  <c r="R642" i="1"/>
  <c r="S642" i="1"/>
  <c r="T642" i="1"/>
  <c r="U642" i="1"/>
  <c r="V642" i="1"/>
  <c r="W642" i="1" s="1"/>
  <c r="Q643" i="1"/>
  <c r="R643" i="1"/>
  <c r="S643" i="1"/>
  <c r="T643" i="1"/>
  <c r="U643" i="1"/>
  <c r="V643" i="1"/>
  <c r="W643" i="1" s="1"/>
  <c r="Q644" i="1"/>
  <c r="R644" i="1"/>
  <c r="S644" i="1"/>
  <c r="T644" i="1"/>
  <c r="U644" i="1"/>
  <c r="V644" i="1"/>
  <c r="W644" i="1" s="1"/>
  <c r="Q645" i="1"/>
  <c r="R645" i="1"/>
  <c r="S645" i="1"/>
  <c r="T645" i="1"/>
  <c r="U645" i="1"/>
  <c r="V645" i="1"/>
  <c r="W645" i="1" s="1"/>
  <c r="Q646" i="1"/>
  <c r="R646" i="1"/>
  <c r="S646" i="1"/>
  <c r="T646" i="1"/>
  <c r="U646" i="1"/>
  <c r="V646" i="1"/>
  <c r="W646" i="1" s="1"/>
  <c r="Q647" i="1"/>
  <c r="R647" i="1"/>
  <c r="S647" i="1"/>
  <c r="T647" i="1"/>
  <c r="U647" i="1"/>
  <c r="V647" i="1"/>
  <c r="W647" i="1" s="1"/>
  <c r="Q648" i="1"/>
  <c r="R648" i="1"/>
  <c r="S648" i="1"/>
  <c r="T648" i="1"/>
  <c r="U648" i="1"/>
  <c r="V648" i="1"/>
  <c r="W648" i="1" s="1"/>
  <c r="Q649" i="1"/>
  <c r="R649" i="1"/>
  <c r="S649" i="1"/>
  <c r="T649" i="1"/>
  <c r="U649" i="1"/>
  <c r="V649" i="1"/>
  <c r="W649" i="1" s="1"/>
  <c r="Q650" i="1"/>
  <c r="R650" i="1"/>
  <c r="S650" i="1"/>
  <c r="T650" i="1"/>
  <c r="U650" i="1"/>
  <c r="V650" i="1"/>
  <c r="W650" i="1" s="1"/>
  <c r="Q651" i="1"/>
  <c r="R651" i="1"/>
  <c r="S651" i="1"/>
  <c r="T651" i="1"/>
  <c r="U651" i="1"/>
  <c r="V651" i="1"/>
  <c r="W651" i="1" s="1"/>
  <c r="Q652" i="1"/>
  <c r="R652" i="1"/>
  <c r="S652" i="1"/>
  <c r="T652" i="1"/>
  <c r="U652" i="1"/>
  <c r="V652" i="1"/>
  <c r="W652" i="1" s="1"/>
  <c r="Q653" i="1"/>
  <c r="R653" i="1"/>
  <c r="S653" i="1"/>
  <c r="T653" i="1"/>
  <c r="U653" i="1"/>
  <c r="V653" i="1"/>
  <c r="W653" i="1" s="1"/>
  <c r="Q654" i="1"/>
  <c r="R654" i="1"/>
  <c r="S654" i="1"/>
  <c r="T654" i="1"/>
  <c r="U654" i="1"/>
  <c r="V654" i="1"/>
  <c r="W654" i="1" s="1"/>
  <c r="Q655" i="1"/>
  <c r="R655" i="1"/>
  <c r="S655" i="1"/>
  <c r="T655" i="1"/>
  <c r="U655" i="1"/>
  <c r="V655" i="1"/>
  <c r="W655" i="1" s="1"/>
  <c r="Q656" i="1"/>
  <c r="R656" i="1"/>
  <c r="S656" i="1"/>
  <c r="T656" i="1"/>
  <c r="U656" i="1"/>
  <c r="V656" i="1"/>
  <c r="W656" i="1" s="1"/>
  <c r="Q657" i="1"/>
  <c r="R657" i="1"/>
  <c r="S657" i="1"/>
  <c r="T657" i="1"/>
  <c r="U657" i="1"/>
  <c r="V657" i="1"/>
  <c r="W657" i="1" s="1"/>
  <c r="Q658" i="1"/>
  <c r="R658" i="1"/>
  <c r="S658" i="1"/>
  <c r="T658" i="1"/>
  <c r="U658" i="1"/>
  <c r="V658" i="1"/>
  <c r="W658" i="1" s="1"/>
  <c r="Q659" i="1"/>
  <c r="R659" i="1"/>
  <c r="S659" i="1"/>
  <c r="T659" i="1"/>
  <c r="U659" i="1"/>
  <c r="V659" i="1"/>
  <c r="W659" i="1" s="1"/>
  <c r="Q660" i="1"/>
  <c r="R660" i="1"/>
  <c r="S660" i="1"/>
  <c r="T660" i="1"/>
  <c r="U660" i="1"/>
  <c r="V660" i="1"/>
  <c r="W660" i="1" s="1"/>
  <c r="Q661" i="1"/>
  <c r="R661" i="1"/>
  <c r="S661" i="1"/>
  <c r="T661" i="1"/>
  <c r="U661" i="1"/>
  <c r="V661" i="1"/>
  <c r="W661" i="1" s="1"/>
  <c r="Q662" i="1"/>
  <c r="R662" i="1"/>
  <c r="S662" i="1"/>
  <c r="T662" i="1"/>
  <c r="U662" i="1"/>
  <c r="V662" i="1"/>
  <c r="W662" i="1" s="1"/>
  <c r="Q663" i="1"/>
  <c r="R663" i="1"/>
  <c r="S663" i="1"/>
  <c r="T663" i="1"/>
  <c r="U663" i="1"/>
  <c r="V663" i="1"/>
  <c r="W663" i="1" s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B656" i="1"/>
  <c r="C656" i="1"/>
  <c r="D656" i="1"/>
  <c r="G656" i="1" s="1"/>
  <c r="E656" i="1"/>
  <c r="F656" i="1"/>
  <c r="H656" i="1"/>
  <c r="I656" i="1" a="1"/>
  <c r="I656" i="1" s="1"/>
  <c r="J656" i="1"/>
  <c r="B657" i="1"/>
  <c r="C657" i="1"/>
  <c r="D657" i="1"/>
  <c r="G657" i="1" s="1"/>
  <c r="E657" i="1"/>
  <c r="F657" i="1"/>
  <c r="H657" i="1"/>
  <c r="I657" i="1" a="1"/>
  <c r="I657" i="1" s="1"/>
  <c r="J657" i="1"/>
  <c r="K657" i="1"/>
  <c r="K656" i="1"/>
  <c r="Q1458" i="1"/>
  <c r="Q1457" i="1"/>
  <c r="Q1456" i="1"/>
  <c r="Q1455" i="1"/>
  <c r="Q1454" i="1"/>
  <c r="Q1453" i="1"/>
  <c r="Q1452" i="1"/>
  <c r="Q1451" i="1"/>
  <c r="Q1450" i="1"/>
  <c r="Q1449" i="1"/>
  <c r="Q1448" i="1"/>
  <c r="Q1447" i="1"/>
  <c r="Q1446" i="1"/>
  <c r="Q1445" i="1"/>
  <c r="Q1444" i="1"/>
  <c r="Q1443" i="1"/>
  <c r="Q1442" i="1"/>
  <c r="Q1441" i="1"/>
  <c r="Q1440" i="1"/>
  <c r="Q1439" i="1"/>
  <c r="Q1438" i="1"/>
  <c r="Q1437" i="1"/>
  <c r="Q1436" i="1"/>
  <c r="Q1435" i="1"/>
  <c r="Q1434" i="1"/>
  <c r="Q1433" i="1"/>
  <c r="Q1432" i="1"/>
  <c r="Q1431" i="1"/>
  <c r="Q1430" i="1"/>
  <c r="Q1429" i="1"/>
  <c r="Q1428" i="1"/>
  <c r="Q1427" i="1"/>
  <c r="Q1426" i="1"/>
  <c r="Q1425" i="1"/>
  <c r="Q1424" i="1"/>
  <c r="U1458" i="1"/>
  <c r="U1457" i="1"/>
  <c r="U1456" i="1"/>
  <c r="U1455" i="1"/>
  <c r="U1454" i="1"/>
  <c r="U1453" i="1"/>
  <c r="U1452" i="1"/>
  <c r="U1451" i="1"/>
  <c r="U1450" i="1"/>
  <c r="U1449" i="1"/>
  <c r="U1448" i="1"/>
  <c r="U1447" i="1"/>
  <c r="U1446" i="1"/>
  <c r="U1445" i="1"/>
  <c r="U1444" i="1"/>
  <c r="U1443" i="1"/>
  <c r="U1442" i="1"/>
  <c r="U1441" i="1"/>
  <c r="U1440" i="1"/>
  <c r="U1439" i="1"/>
  <c r="U1438" i="1"/>
  <c r="U1437" i="1"/>
  <c r="U1436" i="1"/>
  <c r="U1435" i="1"/>
  <c r="U1434" i="1"/>
  <c r="U1433" i="1"/>
  <c r="U1432" i="1"/>
  <c r="U1431" i="1"/>
  <c r="U1430" i="1"/>
  <c r="U1429" i="1"/>
  <c r="U1428" i="1"/>
  <c r="U1427" i="1"/>
  <c r="U1426" i="1"/>
  <c r="U1425" i="1"/>
  <c r="U1424" i="1"/>
  <c r="V1424" i="1"/>
  <c r="W1424" i="1" s="1"/>
  <c r="V1425" i="1"/>
  <c r="W1425" i="1" s="1"/>
  <c r="V1426" i="1"/>
  <c r="W1426" i="1" s="1"/>
  <c r="V1427" i="1"/>
  <c r="W1427" i="1" s="1"/>
  <c r="V1428" i="1"/>
  <c r="W1428" i="1" s="1"/>
  <c r="V1429" i="1"/>
  <c r="W1429" i="1" s="1"/>
  <c r="V1430" i="1"/>
  <c r="W1430" i="1" s="1"/>
  <c r="V1431" i="1"/>
  <c r="W1431" i="1" s="1"/>
  <c r="V1432" i="1"/>
  <c r="W1432" i="1" s="1"/>
  <c r="V1433" i="1"/>
  <c r="W1433" i="1" s="1"/>
  <c r="V1434" i="1"/>
  <c r="W1434" i="1" s="1"/>
  <c r="V1435" i="1"/>
  <c r="W1435" i="1" s="1"/>
  <c r="V1436" i="1"/>
  <c r="W1436" i="1" s="1"/>
  <c r="V1437" i="1"/>
  <c r="W1437" i="1" s="1"/>
  <c r="V1438" i="1"/>
  <c r="W1438" i="1" s="1"/>
  <c r="V1439" i="1"/>
  <c r="W1439" i="1" s="1"/>
  <c r="V1440" i="1"/>
  <c r="W1440" i="1" s="1"/>
  <c r="V1441" i="1"/>
  <c r="W1441" i="1" s="1"/>
  <c r="V1442" i="1"/>
  <c r="W1442" i="1" s="1"/>
  <c r="V1443" i="1"/>
  <c r="W1443" i="1" s="1"/>
  <c r="V1444" i="1"/>
  <c r="W1444" i="1" s="1"/>
  <c r="V1445" i="1"/>
  <c r="W1445" i="1" s="1"/>
  <c r="V1446" i="1"/>
  <c r="W1446" i="1" s="1"/>
  <c r="V1447" i="1"/>
  <c r="W1447" i="1" s="1"/>
  <c r="V1448" i="1"/>
  <c r="W1448" i="1" s="1"/>
  <c r="V1449" i="1"/>
  <c r="W1449" i="1" s="1"/>
  <c r="V1450" i="1"/>
  <c r="W1450" i="1" s="1"/>
  <c r="V1451" i="1"/>
  <c r="W1451" i="1" s="1"/>
  <c r="V1452" i="1"/>
  <c r="W1452" i="1" s="1"/>
  <c r="V1453" i="1"/>
  <c r="W1453" i="1" s="1"/>
  <c r="V1454" i="1"/>
  <c r="W1454" i="1" s="1"/>
  <c r="V1455" i="1"/>
  <c r="W1455" i="1" s="1"/>
  <c r="V1456" i="1"/>
  <c r="W1456" i="1" s="1"/>
  <c r="V1457" i="1"/>
  <c r="W1457" i="1" s="1"/>
  <c r="V1458" i="1"/>
  <c r="W1458" i="1" s="1"/>
  <c r="T1452" i="1"/>
  <c r="T1451" i="1"/>
  <c r="T1450" i="1"/>
  <c r="T1449" i="1"/>
  <c r="T1448" i="1"/>
  <c r="T1447" i="1"/>
  <c r="T1446" i="1"/>
  <c r="T1445" i="1"/>
  <c r="T1444" i="1"/>
  <c r="T1443" i="1"/>
  <c r="T1442" i="1"/>
  <c r="T1441" i="1"/>
  <c r="T1440" i="1"/>
  <c r="T1439" i="1"/>
  <c r="T1438" i="1"/>
  <c r="T1437" i="1"/>
  <c r="T1436" i="1"/>
  <c r="T1435" i="1"/>
  <c r="T1434" i="1"/>
  <c r="T1433" i="1"/>
  <c r="T1432" i="1"/>
  <c r="T1431" i="1"/>
  <c r="T1430" i="1"/>
  <c r="T1429" i="1"/>
  <c r="T1428" i="1"/>
  <c r="T1427" i="1"/>
  <c r="T1426" i="1"/>
  <c r="T1425" i="1"/>
  <c r="T1424" i="1"/>
  <c r="B655" i="1"/>
  <c r="C655" i="1"/>
  <c r="D655" i="1"/>
  <c r="G655" i="1" s="1"/>
  <c r="E655" i="1"/>
  <c r="F655" i="1"/>
  <c r="H655" i="1"/>
  <c r="I655" i="1" a="1"/>
  <c r="I655" i="1" s="1"/>
  <c r="J655" i="1"/>
  <c r="K655" i="1"/>
  <c r="B654" i="1"/>
  <c r="C654" i="1"/>
  <c r="D654" i="1"/>
  <c r="G654" i="1" s="1"/>
  <c r="E654" i="1"/>
  <c r="F654" i="1"/>
  <c r="H654" i="1"/>
  <c r="I654" i="1" a="1"/>
  <c r="I654" i="1" s="1"/>
  <c r="J654" i="1"/>
  <c r="K654" i="1"/>
  <c r="H121" i="1"/>
  <c r="B608" i="1"/>
  <c r="C608" i="1"/>
  <c r="D608" i="1"/>
  <c r="G608" i="1" s="1"/>
  <c r="E608" i="1"/>
  <c r="F608" i="1"/>
  <c r="H608" i="1"/>
  <c r="I608" i="1" a="1"/>
  <c r="I608" i="1" s="1"/>
  <c r="J608" i="1"/>
  <c r="B609" i="1"/>
  <c r="C609" i="1"/>
  <c r="D609" i="1"/>
  <c r="G609" i="1" s="1"/>
  <c r="E609" i="1"/>
  <c r="F609" i="1"/>
  <c r="H609" i="1"/>
  <c r="I609" i="1" a="1"/>
  <c r="I609" i="1" s="1"/>
  <c r="J609" i="1"/>
  <c r="B610" i="1"/>
  <c r="C610" i="1"/>
  <c r="D610" i="1"/>
  <c r="G610" i="1" s="1"/>
  <c r="E610" i="1"/>
  <c r="F610" i="1"/>
  <c r="H610" i="1"/>
  <c r="I610" i="1" a="1"/>
  <c r="I610" i="1" s="1"/>
  <c r="J610" i="1"/>
  <c r="B611" i="1"/>
  <c r="C611" i="1"/>
  <c r="D611" i="1"/>
  <c r="G611" i="1" s="1"/>
  <c r="E611" i="1"/>
  <c r="F611" i="1"/>
  <c r="H611" i="1"/>
  <c r="I611" i="1" a="1"/>
  <c r="I611" i="1" s="1"/>
  <c r="J611" i="1"/>
  <c r="B612" i="1"/>
  <c r="C612" i="1"/>
  <c r="D612" i="1"/>
  <c r="G612" i="1" s="1"/>
  <c r="E612" i="1"/>
  <c r="F612" i="1"/>
  <c r="H612" i="1"/>
  <c r="I612" i="1" a="1"/>
  <c r="I612" i="1" s="1"/>
  <c r="J612" i="1"/>
  <c r="B613" i="1"/>
  <c r="C613" i="1"/>
  <c r="D613" i="1"/>
  <c r="G613" i="1" s="1"/>
  <c r="E613" i="1"/>
  <c r="F613" i="1"/>
  <c r="H613" i="1"/>
  <c r="I613" i="1" a="1"/>
  <c r="I613" i="1" s="1"/>
  <c r="J613" i="1"/>
  <c r="B614" i="1"/>
  <c r="C614" i="1"/>
  <c r="D614" i="1"/>
  <c r="G614" i="1" s="1"/>
  <c r="E614" i="1"/>
  <c r="F614" i="1"/>
  <c r="H614" i="1"/>
  <c r="I614" i="1" a="1"/>
  <c r="I614" i="1" s="1"/>
  <c r="J614" i="1"/>
  <c r="B615" i="1"/>
  <c r="C615" i="1"/>
  <c r="D615" i="1"/>
  <c r="G615" i="1" s="1"/>
  <c r="E615" i="1"/>
  <c r="F615" i="1"/>
  <c r="H615" i="1"/>
  <c r="I615" i="1" a="1"/>
  <c r="I615" i="1" s="1"/>
  <c r="J615" i="1"/>
  <c r="B616" i="1"/>
  <c r="C616" i="1"/>
  <c r="D616" i="1"/>
  <c r="G616" i="1" s="1"/>
  <c r="E616" i="1"/>
  <c r="F616" i="1"/>
  <c r="H616" i="1"/>
  <c r="I616" i="1" a="1"/>
  <c r="I616" i="1" s="1"/>
  <c r="J616" i="1"/>
  <c r="B617" i="1"/>
  <c r="C617" i="1"/>
  <c r="D617" i="1"/>
  <c r="G617" i="1" s="1"/>
  <c r="E617" i="1"/>
  <c r="F617" i="1"/>
  <c r="H617" i="1"/>
  <c r="I617" i="1" a="1"/>
  <c r="I617" i="1" s="1"/>
  <c r="J617" i="1"/>
  <c r="B618" i="1"/>
  <c r="C618" i="1"/>
  <c r="D618" i="1"/>
  <c r="G618" i="1" s="1"/>
  <c r="E618" i="1"/>
  <c r="F618" i="1"/>
  <c r="H618" i="1"/>
  <c r="I618" i="1" a="1"/>
  <c r="I618" i="1" s="1"/>
  <c r="J618" i="1"/>
  <c r="B619" i="1"/>
  <c r="C619" i="1"/>
  <c r="D619" i="1"/>
  <c r="G619" i="1" s="1"/>
  <c r="E619" i="1"/>
  <c r="F619" i="1"/>
  <c r="H619" i="1"/>
  <c r="I619" i="1" a="1"/>
  <c r="I619" i="1" s="1"/>
  <c r="J619" i="1"/>
  <c r="B620" i="1"/>
  <c r="C620" i="1"/>
  <c r="D620" i="1"/>
  <c r="G620" i="1" s="1"/>
  <c r="E620" i="1"/>
  <c r="F620" i="1"/>
  <c r="H620" i="1"/>
  <c r="I620" i="1" a="1"/>
  <c r="I620" i="1" s="1"/>
  <c r="J620" i="1"/>
  <c r="B621" i="1"/>
  <c r="C621" i="1"/>
  <c r="D621" i="1"/>
  <c r="G621" i="1" s="1"/>
  <c r="E621" i="1"/>
  <c r="F621" i="1"/>
  <c r="H621" i="1"/>
  <c r="I621" i="1" a="1"/>
  <c r="I621" i="1" s="1"/>
  <c r="J621" i="1"/>
  <c r="B622" i="1"/>
  <c r="C622" i="1"/>
  <c r="D622" i="1"/>
  <c r="G622" i="1" s="1"/>
  <c r="E622" i="1"/>
  <c r="F622" i="1"/>
  <c r="H622" i="1"/>
  <c r="I622" i="1" a="1"/>
  <c r="I622" i="1" s="1"/>
  <c r="J622" i="1"/>
  <c r="B623" i="1"/>
  <c r="C623" i="1"/>
  <c r="D623" i="1"/>
  <c r="G623" i="1" s="1"/>
  <c r="E623" i="1"/>
  <c r="F623" i="1"/>
  <c r="H623" i="1"/>
  <c r="I623" i="1" a="1"/>
  <c r="I623" i="1" s="1"/>
  <c r="J623" i="1"/>
  <c r="B624" i="1"/>
  <c r="C624" i="1"/>
  <c r="D624" i="1"/>
  <c r="G624" i="1" s="1"/>
  <c r="E624" i="1"/>
  <c r="F624" i="1"/>
  <c r="H624" i="1"/>
  <c r="I624" i="1" a="1"/>
  <c r="I624" i="1" s="1"/>
  <c r="J624" i="1"/>
  <c r="B625" i="1"/>
  <c r="C625" i="1"/>
  <c r="D625" i="1"/>
  <c r="G625" i="1" s="1"/>
  <c r="E625" i="1"/>
  <c r="F625" i="1"/>
  <c r="H625" i="1"/>
  <c r="I625" i="1" a="1"/>
  <c r="I625" i="1" s="1"/>
  <c r="J625" i="1"/>
  <c r="B626" i="1"/>
  <c r="C626" i="1"/>
  <c r="D626" i="1"/>
  <c r="G626" i="1" s="1"/>
  <c r="E626" i="1"/>
  <c r="F626" i="1"/>
  <c r="H626" i="1"/>
  <c r="I626" i="1" a="1"/>
  <c r="I626" i="1" s="1"/>
  <c r="J626" i="1"/>
  <c r="B627" i="1"/>
  <c r="C627" i="1"/>
  <c r="D627" i="1"/>
  <c r="G627" i="1" s="1"/>
  <c r="E627" i="1"/>
  <c r="F627" i="1"/>
  <c r="H627" i="1"/>
  <c r="I627" i="1" a="1"/>
  <c r="I627" i="1" s="1"/>
  <c r="J627" i="1"/>
  <c r="B628" i="1"/>
  <c r="C628" i="1"/>
  <c r="D628" i="1"/>
  <c r="G628" i="1" s="1"/>
  <c r="E628" i="1"/>
  <c r="F628" i="1"/>
  <c r="H628" i="1"/>
  <c r="I628" i="1" a="1"/>
  <c r="I628" i="1" s="1"/>
  <c r="J628" i="1"/>
  <c r="B629" i="1"/>
  <c r="C629" i="1"/>
  <c r="D629" i="1"/>
  <c r="G629" i="1" s="1"/>
  <c r="E629" i="1"/>
  <c r="F629" i="1"/>
  <c r="H629" i="1"/>
  <c r="I629" i="1" a="1"/>
  <c r="I629" i="1" s="1"/>
  <c r="J629" i="1"/>
  <c r="B630" i="1"/>
  <c r="C630" i="1"/>
  <c r="D630" i="1"/>
  <c r="G630" i="1" s="1"/>
  <c r="E630" i="1"/>
  <c r="F630" i="1"/>
  <c r="H630" i="1"/>
  <c r="I630" i="1" a="1"/>
  <c r="I630" i="1" s="1"/>
  <c r="J630" i="1"/>
  <c r="B631" i="1"/>
  <c r="C631" i="1"/>
  <c r="D631" i="1"/>
  <c r="G631" i="1" s="1"/>
  <c r="E631" i="1"/>
  <c r="F631" i="1"/>
  <c r="H631" i="1"/>
  <c r="I631" i="1" a="1"/>
  <c r="I631" i="1" s="1"/>
  <c r="J631" i="1"/>
  <c r="B632" i="1"/>
  <c r="C632" i="1"/>
  <c r="D632" i="1"/>
  <c r="G632" i="1" s="1"/>
  <c r="E632" i="1"/>
  <c r="F632" i="1"/>
  <c r="H632" i="1"/>
  <c r="I632" i="1" a="1"/>
  <c r="I632" i="1" s="1"/>
  <c r="J632" i="1"/>
  <c r="B633" i="1"/>
  <c r="C633" i="1"/>
  <c r="D633" i="1"/>
  <c r="G633" i="1" s="1"/>
  <c r="E633" i="1"/>
  <c r="F633" i="1"/>
  <c r="H633" i="1"/>
  <c r="I633" i="1" a="1"/>
  <c r="I633" i="1" s="1"/>
  <c r="J633" i="1"/>
  <c r="B634" i="1"/>
  <c r="C634" i="1"/>
  <c r="D634" i="1"/>
  <c r="G634" i="1" s="1"/>
  <c r="E634" i="1"/>
  <c r="F634" i="1"/>
  <c r="H634" i="1"/>
  <c r="I634" i="1" a="1"/>
  <c r="I634" i="1" s="1"/>
  <c r="J634" i="1"/>
  <c r="B635" i="1"/>
  <c r="C635" i="1"/>
  <c r="D635" i="1"/>
  <c r="G635" i="1" s="1"/>
  <c r="E635" i="1"/>
  <c r="F635" i="1"/>
  <c r="H635" i="1"/>
  <c r="I635" i="1" a="1"/>
  <c r="I635" i="1" s="1"/>
  <c r="J635" i="1"/>
  <c r="B636" i="1"/>
  <c r="C636" i="1"/>
  <c r="D636" i="1"/>
  <c r="G636" i="1" s="1"/>
  <c r="E636" i="1"/>
  <c r="F636" i="1"/>
  <c r="H636" i="1"/>
  <c r="I636" i="1" a="1"/>
  <c r="I636" i="1" s="1"/>
  <c r="J636" i="1"/>
  <c r="B637" i="1"/>
  <c r="C637" i="1"/>
  <c r="D637" i="1"/>
  <c r="G637" i="1" s="1"/>
  <c r="E637" i="1"/>
  <c r="F637" i="1"/>
  <c r="H637" i="1"/>
  <c r="I637" i="1" a="1"/>
  <c r="I637" i="1" s="1"/>
  <c r="J637" i="1"/>
  <c r="B638" i="1"/>
  <c r="C638" i="1"/>
  <c r="D638" i="1"/>
  <c r="G638" i="1" s="1"/>
  <c r="E638" i="1"/>
  <c r="F638" i="1"/>
  <c r="H638" i="1"/>
  <c r="I638" i="1" a="1"/>
  <c r="I638" i="1" s="1"/>
  <c r="J638" i="1"/>
  <c r="B639" i="1"/>
  <c r="C639" i="1"/>
  <c r="D639" i="1"/>
  <c r="G639" i="1" s="1"/>
  <c r="E639" i="1"/>
  <c r="F639" i="1"/>
  <c r="H639" i="1"/>
  <c r="I639" i="1" a="1"/>
  <c r="I639" i="1" s="1"/>
  <c r="J639" i="1"/>
  <c r="B640" i="1"/>
  <c r="C640" i="1"/>
  <c r="D640" i="1"/>
  <c r="G640" i="1" s="1"/>
  <c r="E640" i="1"/>
  <c r="F640" i="1"/>
  <c r="H640" i="1"/>
  <c r="I640" i="1" a="1"/>
  <c r="I640" i="1" s="1"/>
  <c r="J640" i="1"/>
  <c r="B641" i="1"/>
  <c r="C641" i="1"/>
  <c r="D641" i="1"/>
  <c r="G641" i="1" s="1"/>
  <c r="E641" i="1"/>
  <c r="F641" i="1"/>
  <c r="H641" i="1"/>
  <c r="I641" i="1" a="1"/>
  <c r="I641" i="1" s="1"/>
  <c r="J641" i="1"/>
  <c r="B642" i="1"/>
  <c r="C642" i="1"/>
  <c r="D642" i="1"/>
  <c r="G642" i="1" s="1"/>
  <c r="E642" i="1"/>
  <c r="F642" i="1"/>
  <c r="H642" i="1"/>
  <c r="I642" i="1" a="1"/>
  <c r="I642" i="1" s="1"/>
  <c r="J642" i="1"/>
  <c r="B643" i="1"/>
  <c r="C643" i="1"/>
  <c r="D643" i="1"/>
  <c r="G643" i="1" s="1"/>
  <c r="E643" i="1"/>
  <c r="F643" i="1"/>
  <c r="H643" i="1"/>
  <c r="I643" i="1" a="1"/>
  <c r="I643" i="1" s="1"/>
  <c r="J643" i="1"/>
  <c r="B644" i="1"/>
  <c r="C644" i="1"/>
  <c r="D644" i="1"/>
  <c r="G644" i="1" s="1"/>
  <c r="E644" i="1"/>
  <c r="F644" i="1"/>
  <c r="H644" i="1"/>
  <c r="I644" i="1" a="1"/>
  <c r="I644" i="1" s="1"/>
  <c r="J644" i="1"/>
  <c r="B645" i="1"/>
  <c r="C645" i="1"/>
  <c r="D645" i="1"/>
  <c r="G645" i="1" s="1"/>
  <c r="E645" i="1"/>
  <c r="F645" i="1"/>
  <c r="H645" i="1"/>
  <c r="I645" i="1" a="1"/>
  <c r="I645" i="1" s="1"/>
  <c r="J645" i="1"/>
  <c r="B646" i="1"/>
  <c r="C646" i="1"/>
  <c r="D646" i="1"/>
  <c r="G646" i="1" s="1"/>
  <c r="E646" i="1"/>
  <c r="F646" i="1"/>
  <c r="H646" i="1"/>
  <c r="I646" i="1" a="1"/>
  <c r="I646" i="1" s="1"/>
  <c r="J646" i="1"/>
  <c r="B647" i="1"/>
  <c r="C647" i="1"/>
  <c r="D647" i="1"/>
  <c r="G647" i="1" s="1"/>
  <c r="E647" i="1"/>
  <c r="F647" i="1"/>
  <c r="H647" i="1"/>
  <c r="I647" i="1" a="1"/>
  <c r="I647" i="1" s="1"/>
  <c r="J647" i="1"/>
  <c r="B648" i="1"/>
  <c r="C648" i="1"/>
  <c r="D648" i="1"/>
  <c r="G648" i="1" s="1"/>
  <c r="E648" i="1"/>
  <c r="F648" i="1"/>
  <c r="H648" i="1"/>
  <c r="I648" i="1" a="1"/>
  <c r="I648" i="1" s="1"/>
  <c r="J648" i="1"/>
  <c r="B649" i="1"/>
  <c r="C649" i="1"/>
  <c r="D649" i="1"/>
  <c r="G649" i="1" s="1"/>
  <c r="E649" i="1"/>
  <c r="F649" i="1"/>
  <c r="H649" i="1"/>
  <c r="I649" i="1" a="1"/>
  <c r="I649" i="1" s="1"/>
  <c r="J649" i="1"/>
  <c r="B650" i="1"/>
  <c r="C650" i="1"/>
  <c r="D650" i="1"/>
  <c r="G650" i="1" s="1"/>
  <c r="E650" i="1"/>
  <c r="F650" i="1"/>
  <c r="H650" i="1"/>
  <c r="I650" i="1" a="1"/>
  <c r="I650" i="1" s="1"/>
  <c r="J650" i="1"/>
  <c r="B651" i="1"/>
  <c r="C651" i="1"/>
  <c r="D651" i="1"/>
  <c r="G651" i="1" s="1"/>
  <c r="E651" i="1"/>
  <c r="F651" i="1"/>
  <c r="H651" i="1"/>
  <c r="I651" i="1" a="1"/>
  <c r="I651" i="1" s="1"/>
  <c r="J651" i="1"/>
  <c r="B652" i="1"/>
  <c r="C652" i="1"/>
  <c r="D652" i="1"/>
  <c r="G652" i="1" s="1"/>
  <c r="E652" i="1"/>
  <c r="F652" i="1"/>
  <c r="H652" i="1"/>
  <c r="I652" i="1" a="1"/>
  <c r="I652" i="1" s="1"/>
  <c r="J652" i="1"/>
  <c r="B653" i="1"/>
  <c r="C653" i="1"/>
  <c r="D653" i="1"/>
  <c r="G653" i="1" s="1"/>
  <c r="E653" i="1"/>
  <c r="F653" i="1"/>
  <c r="H653" i="1"/>
  <c r="I653" i="1" a="1"/>
  <c r="I653" i="1" s="1"/>
  <c r="J653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2" i="1"/>
  <c r="S2" i="1"/>
  <c r="I2" i="1" a="1"/>
  <c r="I2" i="1" s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2" i="1"/>
  <c r="H2" i="1"/>
  <c r="K2" i="1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2" i="1"/>
  <c r="D3" i="1"/>
  <c r="G3" i="1" s="1"/>
  <c r="D4" i="1"/>
  <c r="G4" i="1" s="1"/>
  <c r="D5" i="1"/>
  <c r="G5" i="1" s="1"/>
  <c r="D6" i="1"/>
  <c r="G6" i="1" s="1"/>
  <c r="D7" i="1"/>
  <c r="G7" i="1" s="1"/>
  <c r="D8" i="1"/>
  <c r="G8" i="1" s="1"/>
  <c r="D9" i="1"/>
  <c r="G9" i="1" s="1"/>
  <c r="D10" i="1"/>
  <c r="G10" i="1" s="1"/>
  <c r="D11" i="1"/>
  <c r="G11" i="1" s="1"/>
  <c r="D12" i="1"/>
  <c r="G12" i="1" s="1"/>
  <c r="D13" i="1"/>
  <c r="G13" i="1" s="1"/>
  <c r="D14" i="1"/>
  <c r="G14" i="1" s="1"/>
  <c r="D15" i="1"/>
  <c r="G15" i="1" s="1"/>
  <c r="D16" i="1"/>
  <c r="G16" i="1" s="1"/>
  <c r="D17" i="1"/>
  <c r="G17" i="1" s="1"/>
  <c r="D18" i="1"/>
  <c r="G18" i="1" s="1"/>
  <c r="D19" i="1"/>
  <c r="G19" i="1" s="1"/>
  <c r="D20" i="1"/>
  <c r="G20" i="1" s="1"/>
  <c r="D21" i="1"/>
  <c r="G21" i="1" s="1"/>
  <c r="D22" i="1"/>
  <c r="G22" i="1" s="1"/>
  <c r="D23" i="1"/>
  <c r="G23" i="1" s="1"/>
  <c r="D24" i="1"/>
  <c r="G24" i="1" s="1"/>
  <c r="D25" i="1"/>
  <c r="G25" i="1" s="1"/>
  <c r="D26" i="1"/>
  <c r="G26" i="1" s="1"/>
  <c r="D27" i="1"/>
  <c r="G27" i="1" s="1"/>
  <c r="D28" i="1"/>
  <c r="G28" i="1" s="1"/>
  <c r="D29" i="1"/>
  <c r="G29" i="1" s="1"/>
  <c r="D30" i="1"/>
  <c r="G30" i="1" s="1"/>
  <c r="D31" i="1"/>
  <c r="G31" i="1" s="1"/>
  <c r="D32" i="1"/>
  <c r="G32" i="1" s="1"/>
  <c r="D33" i="1"/>
  <c r="G33" i="1" s="1"/>
  <c r="D34" i="1"/>
  <c r="G34" i="1" s="1"/>
  <c r="D35" i="1"/>
  <c r="G35" i="1" s="1"/>
  <c r="D36" i="1"/>
  <c r="G36" i="1" s="1"/>
  <c r="D37" i="1"/>
  <c r="G37" i="1" s="1"/>
  <c r="D38" i="1"/>
  <c r="G38" i="1" s="1"/>
  <c r="D39" i="1"/>
  <c r="G39" i="1" s="1"/>
  <c r="D40" i="1"/>
  <c r="G40" i="1" s="1"/>
  <c r="D41" i="1"/>
  <c r="G41" i="1" s="1"/>
  <c r="D42" i="1"/>
  <c r="G42" i="1" s="1"/>
  <c r="D43" i="1"/>
  <c r="G43" i="1" s="1"/>
  <c r="D44" i="1"/>
  <c r="G44" i="1" s="1"/>
  <c r="D45" i="1"/>
  <c r="G45" i="1" s="1"/>
  <c r="D46" i="1"/>
  <c r="G46" i="1" s="1"/>
  <c r="D47" i="1"/>
  <c r="G47" i="1" s="1"/>
  <c r="D48" i="1"/>
  <c r="G48" i="1" s="1"/>
  <c r="D49" i="1"/>
  <c r="G49" i="1" s="1"/>
  <c r="D50" i="1"/>
  <c r="G50" i="1" s="1"/>
  <c r="D51" i="1"/>
  <c r="G51" i="1" s="1"/>
  <c r="D52" i="1"/>
  <c r="G52" i="1" s="1"/>
  <c r="D53" i="1"/>
  <c r="G53" i="1" s="1"/>
  <c r="D54" i="1"/>
  <c r="G54" i="1" s="1"/>
  <c r="D55" i="1"/>
  <c r="G55" i="1" s="1"/>
  <c r="D56" i="1"/>
  <c r="G56" i="1" s="1"/>
  <c r="D57" i="1"/>
  <c r="G57" i="1" s="1"/>
  <c r="D58" i="1"/>
  <c r="G58" i="1" s="1"/>
  <c r="D59" i="1"/>
  <c r="G59" i="1" s="1"/>
  <c r="D60" i="1"/>
  <c r="G60" i="1" s="1"/>
  <c r="D61" i="1"/>
  <c r="G61" i="1" s="1"/>
  <c r="D62" i="1"/>
  <c r="G62" i="1" s="1"/>
  <c r="D63" i="1"/>
  <c r="G63" i="1" s="1"/>
  <c r="D64" i="1"/>
  <c r="G64" i="1" s="1"/>
  <c r="D65" i="1"/>
  <c r="G65" i="1" s="1"/>
  <c r="D66" i="1"/>
  <c r="G66" i="1" s="1"/>
  <c r="D67" i="1"/>
  <c r="G67" i="1" s="1"/>
  <c r="D68" i="1"/>
  <c r="G68" i="1" s="1"/>
  <c r="D69" i="1"/>
  <c r="G69" i="1" s="1"/>
  <c r="D70" i="1"/>
  <c r="G70" i="1" s="1"/>
  <c r="D71" i="1"/>
  <c r="G71" i="1" s="1"/>
  <c r="D72" i="1"/>
  <c r="G72" i="1" s="1"/>
  <c r="D73" i="1"/>
  <c r="G73" i="1" s="1"/>
  <c r="D74" i="1"/>
  <c r="G74" i="1" s="1"/>
  <c r="D75" i="1"/>
  <c r="G75" i="1" s="1"/>
  <c r="D76" i="1"/>
  <c r="G76" i="1" s="1"/>
  <c r="D77" i="1"/>
  <c r="G77" i="1" s="1"/>
  <c r="D78" i="1"/>
  <c r="G78" i="1" s="1"/>
  <c r="D79" i="1"/>
  <c r="G79" i="1" s="1"/>
  <c r="D80" i="1"/>
  <c r="G80" i="1" s="1"/>
  <c r="D81" i="1"/>
  <c r="G81" i="1" s="1"/>
  <c r="D82" i="1"/>
  <c r="G82" i="1" s="1"/>
  <c r="D83" i="1"/>
  <c r="G83" i="1" s="1"/>
  <c r="D84" i="1"/>
  <c r="G84" i="1" s="1"/>
  <c r="D85" i="1"/>
  <c r="G85" i="1" s="1"/>
  <c r="D86" i="1"/>
  <c r="G86" i="1" s="1"/>
  <c r="D87" i="1"/>
  <c r="G87" i="1" s="1"/>
  <c r="D88" i="1"/>
  <c r="G88" i="1" s="1"/>
  <c r="D89" i="1"/>
  <c r="G89" i="1" s="1"/>
  <c r="D90" i="1"/>
  <c r="G90" i="1" s="1"/>
  <c r="D91" i="1"/>
  <c r="G91" i="1" s="1"/>
  <c r="D92" i="1"/>
  <c r="G92" i="1" s="1"/>
  <c r="D93" i="1"/>
  <c r="G93" i="1" s="1"/>
  <c r="D94" i="1"/>
  <c r="G94" i="1" s="1"/>
  <c r="D95" i="1"/>
  <c r="G95" i="1" s="1"/>
  <c r="D96" i="1"/>
  <c r="G96" i="1" s="1"/>
  <c r="D97" i="1"/>
  <c r="G97" i="1" s="1"/>
  <c r="D98" i="1"/>
  <c r="G98" i="1" s="1"/>
  <c r="D99" i="1"/>
  <c r="G99" i="1" s="1"/>
  <c r="D100" i="1"/>
  <c r="G100" i="1" s="1"/>
  <c r="D101" i="1"/>
  <c r="G101" i="1" s="1"/>
  <c r="D102" i="1"/>
  <c r="G102" i="1" s="1"/>
  <c r="D103" i="1"/>
  <c r="G103" i="1" s="1"/>
  <c r="D104" i="1"/>
  <c r="G104" i="1" s="1"/>
  <c r="D105" i="1"/>
  <c r="G105" i="1" s="1"/>
  <c r="D106" i="1"/>
  <c r="G106" i="1" s="1"/>
  <c r="D107" i="1"/>
  <c r="G107" i="1" s="1"/>
  <c r="D108" i="1"/>
  <c r="G108" i="1" s="1"/>
  <c r="D109" i="1"/>
  <c r="G109" i="1" s="1"/>
  <c r="D110" i="1"/>
  <c r="G110" i="1" s="1"/>
  <c r="D111" i="1"/>
  <c r="G111" i="1" s="1"/>
  <c r="D112" i="1"/>
  <c r="G112" i="1" s="1"/>
  <c r="D113" i="1"/>
  <c r="G113" i="1" s="1"/>
  <c r="D114" i="1"/>
  <c r="G114" i="1" s="1"/>
  <c r="D115" i="1"/>
  <c r="G115" i="1" s="1"/>
  <c r="D116" i="1"/>
  <c r="G116" i="1" s="1"/>
  <c r="D117" i="1"/>
  <c r="G117" i="1" s="1"/>
  <c r="D118" i="1"/>
  <c r="G118" i="1" s="1"/>
  <c r="D119" i="1"/>
  <c r="G119" i="1" s="1"/>
  <c r="D120" i="1"/>
  <c r="G120" i="1" s="1"/>
  <c r="D121" i="1"/>
  <c r="G121" i="1" s="1"/>
  <c r="D122" i="1"/>
  <c r="G122" i="1" s="1"/>
  <c r="D123" i="1"/>
  <c r="G123" i="1" s="1"/>
  <c r="D124" i="1"/>
  <c r="G124" i="1" s="1"/>
  <c r="D125" i="1"/>
  <c r="G125" i="1" s="1"/>
  <c r="D126" i="1"/>
  <c r="G126" i="1" s="1"/>
  <c r="D127" i="1"/>
  <c r="G127" i="1" s="1"/>
  <c r="D128" i="1"/>
  <c r="G128" i="1" s="1"/>
  <c r="D129" i="1"/>
  <c r="G129" i="1" s="1"/>
  <c r="D130" i="1"/>
  <c r="G130" i="1" s="1"/>
  <c r="D131" i="1"/>
  <c r="G131" i="1" s="1"/>
  <c r="D132" i="1"/>
  <c r="G132" i="1" s="1"/>
  <c r="D133" i="1"/>
  <c r="G133" i="1" s="1"/>
  <c r="D134" i="1"/>
  <c r="G134" i="1" s="1"/>
  <c r="D135" i="1"/>
  <c r="G135" i="1" s="1"/>
  <c r="D136" i="1"/>
  <c r="G136" i="1" s="1"/>
  <c r="D137" i="1"/>
  <c r="G137" i="1" s="1"/>
  <c r="D138" i="1"/>
  <c r="G138" i="1" s="1"/>
  <c r="D139" i="1"/>
  <c r="G139" i="1" s="1"/>
  <c r="D140" i="1"/>
  <c r="G140" i="1" s="1"/>
  <c r="D141" i="1"/>
  <c r="G141" i="1" s="1"/>
  <c r="D142" i="1"/>
  <c r="G142" i="1" s="1"/>
  <c r="D143" i="1"/>
  <c r="G143" i="1" s="1"/>
  <c r="D144" i="1"/>
  <c r="G144" i="1" s="1"/>
  <c r="D145" i="1"/>
  <c r="G145" i="1" s="1"/>
  <c r="D146" i="1"/>
  <c r="G146" i="1" s="1"/>
  <c r="D147" i="1"/>
  <c r="G147" i="1" s="1"/>
  <c r="D148" i="1"/>
  <c r="G148" i="1" s="1"/>
  <c r="D149" i="1"/>
  <c r="G149" i="1" s="1"/>
  <c r="D150" i="1"/>
  <c r="G150" i="1" s="1"/>
  <c r="D151" i="1"/>
  <c r="G151" i="1" s="1"/>
  <c r="D152" i="1"/>
  <c r="G152" i="1" s="1"/>
  <c r="D153" i="1"/>
  <c r="G153" i="1" s="1"/>
  <c r="D154" i="1"/>
  <c r="G154" i="1" s="1"/>
  <c r="D155" i="1"/>
  <c r="G155" i="1" s="1"/>
  <c r="D156" i="1"/>
  <c r="G156" i="1" s="1"/>
  <c r="D157" i="1"/>
  <c r="G157" i="1" s="1"/>
  <c r="D158" i="1"/>
  <c r="G158" i="1" s="1"/>
  <c r="D159" i="1"/>
  <c r="G159" i="1" s="1"/>
  <c r="D160" i="1"/>
  <c r="G160" i="1" s="1"/>
  <c r="D161" i="1"/>
  <c r="G161" i="1" s="1"/>
  <c r="D162" i="1"/>
  <c r="G162" i="1" s="1"/>
  <c r="D163" i="1"/>
  <c r="G163" i="1" s="1"/>
  <c r="D164" i="1"/>
  <c r="G164" i="1" s="1"/>
  <c r="D165" i="1"/>
  <c r="G165" i="1" s="1"/>
  <c r="D166" i="1"/>
  <c r="G166" i="1" s="1"/>
  <c r="D167" i="1"/>
  <c r="G167" i="1" s="1"/>
  <c r="D168" i="1"/>
  <c r="G168" i="1" s="1"/>
  <c r="D169" i="1"/>
  <c r="G169" i="1" s="1"/>
  <c r="D170" i="1"/>
  <c r="G170" i="1" s="1"/>
  <c r="D171" i="1"/>
  <c r="G171" i="1" s="1"/>
  <c r="D172" i="1"/>
  <c r="G172" i="1" s="1"/>
  <c r="D173" i="1"/>
  <c r="G173" i="1" s="1"/>
  <c r="D174" i="1"/>
  <c r="G174" i="1" s="1"/>
  <c r="D175" i="1"/>
  <c r="G175" i="1" s="1"/>
  <c r="D176" i="1"/>
  <c r="G176" i="1" s="1"/>
  <c r="D177" i="1"/>
  <c r="G177" i="1" s="1"/>
  <c r="D178" i="1"/>
  <c r="G178" i="1" s="1"/>
  <c r="D179" i="1"/>
  <c r="G179" i="1" s="1"/>
  <c r="D180" i="1"/>
  <c r="G180" i="1" s="1"/>
  <c r="D181" i="1"/>
  <c r="G181" i="1" s="1"/>
  <c r="D182" i="1"/>
  <c r="G182" i="1" s="1"/>
  <c r="D183" i="1"/>
  <c r="G183" i="1" s="1"/>
  <c r="D184" i="1"/>
  <c r="G184" i="1" s="1"/>
  <c r="D185" i="1"/>
  <c r="G185" i="1" s="1"/>
  <c r="D186" i="1"/>
  <c r="G186" i="1" s="1"/>
  <c r="D187" i="1"/>
  <c r="G187" i="1" s="1"/>
  <c r="D188" i="1"/>
  <c r="G188" i="1" s="1"/>
  <c r="D189" i="1"/>
  <c r="G189" i="1" s="1"/>
  <c r="D190" i="1"/>
  <c r="G190" i="1" s="1"/>
  <c r="D191" i="1"/>
  <c r="G191" i="1" s="1"/>
  <c r="D192" i="1"/>
  <c r="G192" i="1" s="1"/>
  <c r="D193" i="1"/>
  <c r="G193" i="1" s="1"/>
  <c r="D194" i="1"/>
  <c r="G194" i="1" s="1"/>
  <c r="D195" i="1"/>
  <c r="G195" i="1" s="1"/>
  <c r="D196" i="1"/>
  <c r="G196" i="1" s="1"/>
  <c r="D197" i="1"/>
  <c r="G197" i="1" s="1"/>
  <c r="D198" i="1"/>
  <c r="G198" i="1" s="1"/>
  <c r="D199" i="1"/>
  <c r="G199" i="1" s="1"/>
  <c r="D200" i="1"/>
  <c r="G200" i="1" s="1"/>
  <c r="D201" i="1"/>
  <c r="G201" i="1" s="1"/>
  <c r="D202" i="1"/>
  <c r="G202" i="1" s="1"/>
  <c r="D203" i="1"/>
  <c r="G203" i="1" s="1"/>
  <c r="D204" i="1"/>
  <c r="G204" i="1" s="1"/>
  <c r="D205" i="1"/>
  <c r="G205" i="1" s="1"/>
  <c r="D206" i="1"/>
  <c r="G206" i="1" s="1"/>
  <c r="D207" i="1"/>
  <c r="G207" i="1" s="1"/>
  <c r="D208" i="1"/>
  <c r="G208" i="1" s="1"/>
  <c r="D209" i="1"/>
  <c r="G209" i="1" s="1"/>
  <c r="D210" i="1"/>
  <c r="G210" i="1" s="1"/>
  <c r="D211" i="1"/>
  <c r="G211" i="1" s="1"/>
  <c r="D212" i="1"/>
  <c r="G212" i="1" s="1"/>
  <c r="D213" i="1"/>
  <c r="G213" i="1" s="1"/>
  <c r="D214" i="1"/>
  <c r="G214" i="1" s="1"/>
  <c r="D215" i="1"/>
  <c r="G215" i="1" s="1"/>
  <c r="D216" i="1"/>
  <c r="G216" i="1" s="1"/>
  <c r="D217" i="1"/>
  <c r="G217" i="1" s="1"/>
  <c r="D218" i="1"/>
  <c r="G218" i="1" s="1"/>
  <c r="D219" i="1"/>
  <c r="G219" i="1" s="1"/>
  <c r="D220" i="1"/>
  <c r="G220" i="1" s="1"/>
  <c r="D221" i="1"/>
  <c r="G221" i="1" s="1"/>
  <c r="D222" i="1"/>
  <c r="G222" i="1" s="1"/>
  <c r="D223" i="1"/>
  <c r="G223" i="1" s="1"/>
  <c r="D224" i="1"/>
  <c r="G224" i="1" s="1"/>
  <c r="D225" i="1"/>
  <c r="G225" i="1" s="1"/>
  <c r="D226" i="1"/>
  <c r="G226" i="1" s="1"/>
  <c r="D227" i="1"/>
  <c r="G227" i="1" s="1"/>
  <c r="D228" i="1"/>
  <c r="G228" i="1" s="1"/>
  <c r="D229" i="1"/>
  <c r="G229" i="1" s="1"/>
  <c r="D230" i="1"/>
  <c r="G230" i="1" s="1"/>
  <c r="D231" i="1"/>
  <c r="G231" i="1" s="1"/>
  <c r="D232" i="1"/>
  <c r="G232" i="1" s="1"/>
  <c r="D233" i="1"/>
  <c r="G233" i="1" s="1"/>
  <c r="D234" i="1"/>
  <c r="G234" i="1" s="1"/>
  <c r="D235" i="1"/>
  <c r="G235" i="1" s="1"/>
  <c r="D236" i="1"/>
  <c r="G236" i="1" s="1"/>
  <c r="D237" i="1"/>
  <c r="G237" i="1" s="1"/>
  <c r="D238" i="1"/>
  <c r="G238" i="1" s="1"/>
  <c r="D239" i="1"/>
  <c r="G239" i="1" s="1"/>
  <c r="D240" i="1"/>
  <c r="G240" i="1" s="1"/>
  <c r="D241" i="1"/>
  <c r="G241" i="1" s="1"/>
  <c r="D242" i="1"/>
  <c r="G242" i="1" s="1"/>
  <c r="D243" i="1"/>
  <c r="G243" i="1" s="1"/>
  <c r="D244" i="1"/>
  <c r="G244" i="1" s="1"/>
  <c r="D245" i="1"/>
  <c r="G245" i="1" s="1"/>
  <c r="D246" i="1"/>
  <c r="G246" i="1" s="1"/>
  <c r="D247" i="1"/>
  <c r="G247" i="1" s="1"/>
  <c r="D248" i="1"/>
  <c r="G248" i="1" s="1"/>
  <c r="D249" i="1"/>
  <c r="G249" i="1" s="1"/>
  <c r="D250" i="1"/>
  <c r="G250" i="1" s="1"/>
  <c r="D251" i="1"/>
  <c r="G251" i="1" s="1"/>
  <c r="D252" i="1"/>
  <c r="G252" i="1" s="1"/>
  <c r="D253" i="1"/>
  <c r="G253" i="1" s="1"/>
  <c r="D254" i="1"/>
  <c r="G254" i="1" s="1"/>
  <c r="D255" i="1"/>
  <c r="G255" i="1" s="1"/>
  <c r="D256" i="1"/>
  <c r="G256" i="1" s="1"/>
  <c r="D257" i="1"/>
  <c r="G257" i="1" s="1"/>
  <c r="D258" i="1"/>
  <c r="G258" i="1" s="1"/>
  <c r="D259" i="1"/>
  <c r="G259" i="1" s="1"/>
  <c r="D260" i="1"/>
  <c r="G260" i="1" s="1"/>
  <c r="D261" i="1"/>
  <c r="G261" i="1" s="1"/>
  <c r="D262" i="1"/>
  <c r="G262" i="1" s="1"/>
  <c r="D263" i="1"/>
  <c r="G263" i="1" s="1"/>
  <c r="D264" i="1"/>
  <c r="G264" i="1" s="1"/>
  <c r="D265" i="1"/>
  <c r="G265" i="1" s="1"/>
  <c r="D266" i="1"/>
  <c r="G266" i="1" s="1"/>
  <c r="D267" i="1"/>
  <c r="G267" i="1" s="1"/>
  <c r="D268" i="1"/>
  <c r="G268" i="1" s="1"/>
  <c r="D269" i="1"/>
  <c r="G269" i="1" s="1"/>
  <c r="D270" i="1"/>
  <c r="G270" i="1" s="1"/>
  <c r="D271" i="1"/>
  <c r="G271" i="1" s="1"/>
  <c r="D272" i="1"/>
  <c r="G272" i="1" s="1"/>
  <c r="D273" i="1"/>
  <c r="G273" i="1" s="1"/>
  <c r="D274" i="1"/>
  <c r="G274" i="1" s="1"/>
  <c r="D275" i="1"/>
  <c r="G275" i="1" s="1"/>
  <c r="D276" i="1"/>
  <c r="G276" i="1" s="1"/>
  <c r="D277" i="1"/>
  <c r="G277" i="1" s="1"/>
  <c r="D278" i="1"/>
  <c r="G278" i="1" s="1"/>
  <c r="D279" i="1"/>
  <c r="G279" i="1" s="1"/>
  <c r="D280" i="1"/>
  <c r="G280" i="1" s="1"/>
  <c r="D281" i="1"/>
  <c r="G281" i="1" s="1"/>
  <c r="D282" i="1"/>
  <c r="G282" i="1" s="1"/>
  <c r="D283" i="1"/>
  <c r="G283" i="1" s="1"/>
  <c r="D284" i="1"/>
  <c r="G284" i="1" s="1"/>
  <c r="D285" i="1"/>
  <c r="G285" i="1" s="1"/>
  <c r="D286" i="1"/>
  <c r="G286" i="1" s="1"/>
  <c r="D287" i="1"/>
  <c r="G287" i="1" s="1"/>
  <c r="D288" i="1"/>
  <c r="G288" i="1" s="1"/>
  <c r="D289" i="1"/>
  <c r="G289" i="1" s="1"/>
  <c r="D290" i="1"/>
  <c r="G290" i="1" s="1"/>
  <c r="D291" i="1"/>
  <c r="G291" i="1" s="1"/>
  <c r="D292" i="1"/>
  <c r="G292" i="1" s="1"/>
  <c r="D293" i="1"/>
  <c r="G293" i="1" s="1"/>
  <c r="D294" i="1"/>
  <c r="G294" i="1" s="1"/>
  <c r="D295" i="1"/>
  <c r="G295" i="1" s="1"/>
  <c r="D296" i="1"/>
  <c r="G296" i="1" s="1"/>
  <c r="D297" i="1"/>
  <c r="G297" i="1" s="1"/>
  <c r="D298" i="1"/>
  <c r="G298" i="1" s="1"/>
  <c r="D299" i="1"/>
  <c r="G299" i="1" s="1"/>
  <c r="D300" i="1"/>
  <c r="G300" i="1" s="1"/>
  <c r="D301" i="1"/>
  <c r="G301" i="1" s="1"/>
  <c r="D302" i="1"/>
  <c r="G302" i="1" s="1"/>
  <c r="D303" i="1"/>
  <c r="G303" i="1" s="1"/>
  <c r="D304" i="1"/>
  <c r="G304" i="1" s="1"/>
  <c r="D305" i="1"/>
  <c r="G305" i="1" s="1"/>
  <c r="D306" i="1"/>
  <c r="G306" i="1" s="1"/>
  <c r="D307" i="1"/>
  <c r="G307" i="1" s="1"/>
  <c r="D308" i="1"/>
  <c r="G308" i="1" s="1"/>
  <c r="D309" i="1"/>
  <c r="G309" i="1" s="1"/>
  <c r="D310" i="1"/>
  <c r="G310" i="1" s="1"/>
  <c r="D311" i="1"/>
  <c r="G311" i="1" s="1"/>
  <c r="D312" i="1"/>
  <c r="G312" i="1" s="1"/>
  <c r="D313" i="1"/>
  <c r="G313" i="1" s="1"/>
  <c r="D314" i="1"/>
  <c r="G314" i="1" s="1"/>
  <c r="D315" i="1"/>
  <c r="G315" i="1" s="1"/>
  <c r="D316" i="1"/>
  <c r="G316" i="1" s="1"/>
  <c r="D317" i="1"/>
  <c r="G317" i="1" s="1"/>
  <c r="D318" i="1"/>
  <c r="G318" i="1" s="1"/>
  <c r="D319" i="1"/>
  <c r="G319" i="1" s="1"/>
  <c r="D320" i="1"/>
  <c r="G320" i="1" s="1"/>
  <c r="D321" i="1"/>
  <c r="G321" i="1" s="1"/>
  <c r="D322" i="1"/>
  <c r="G322" i="1" s="1"/>
  <c r="D323" i="1"/>
  <c r="G323" i="1" s="1"/>
  <c r="D324" i="1"/>
  <c r="G324" i="1" s="1"/>
  <c r="D325" i="1"/>
  <c r="G325" i="1" s="1"/>
  <c r="D326" i="1"/>
  <c r="G326" i="1" s="1"/>
  <c r="D327" i="1"/>
  <c r="G327" i="1" s="1"/>
  <c r="D328" i="1"/>
  <c r="G328" i="1" s="1"/>
  <c r="D329" i="1"/>
  <c r="G329" i="1" s="1"/>
  <c r="D330" i="1"/>
  <c r="G330" i="1" s="1"/>
  <c r="D331" i="1"/>
  <c r="G331" i="1" s="1"/>
  <c r="D332" i="1"/>
  <c r="G332" i="1" s="1"/>
  <c r="D333" i="1"/>
  <c r="G333" i="1" s="1"/>
  <c r="D334" i="1"/>
  <c r="G334" i="1" s="1"/>
  <c r="D335" i="1"/>
  <c r="G335" i="1" s="1"/>
  <c r="D336" i="1"/>
  <c r="G336" i="1" s="1"/>
  <c r="D337" i="1"/>
  <c r="G337" i="1" s="1"/>
  <c r="D338" i="1"/>
  <c r="G338" i="1" s="1"/>
  <c r="D339" i="1"/>
  <c r="G339" i="1" s="1"/>
  <c r="D340" i="1"/>
  <c r="G340" i="1" s="1"/>
  <c r="D341" i="1"/>
  <c r="G341" i="1" s="1"/>
  <c r="D342" i="1"/>
  <c r="G342" i="1" s="1"/>
  <c r="D343" i="1"/>
  <c r="G343" i="1" s="1"/>
  <c r="D344" i="1"/>
  <c r="G344" i="1" s="1"/>
  <c r="D345" i="1"/>
  <c r="G345" i="1" s="1"/>
  <c r="D346" i="1"/>
  <c r="G346" i="1" s="1"/>
  <c r="D347" i="1"/>
  <c r="G347" i="1" s="1"/>
  <c r="D348" i="1"/>
  <c r="G348" i="1" s="1"/>
  <c r="D349" i="1"/>
  <c r="G349" i="1" s="1"/>
  <c r="D350" i="1"/>
  <c r="G350" i="1" s="1"/>
  <c r="D351" i="1"/>
  <c r="G351" i="1" s="1"/>
  <c r="D352" i="1"/>
  <c r="G352" i="1" s="1"/>
  <c r="D353" i="1"/>
  <c r="G353" i="1" s="1"/>
  <c r="D354" i="1"/>
  <c r="G354" i="1" s="1"/>
  <c r="D355" i="1"/>
  <c r="G355" i="1" s="1"/>
  <c r="D356" i="1"/>
  <c r="G356" i="1" s="1"/>
  <c r="D357" i="1"/>
  <c r="G357" i="1" s="1"/>
  <c r="D358" i="1"/>
  <c r="G358" i="1" s="1"/>
  <c r="D359" i="1"/>
  <c r="G359" i="1" s="1"/>
  <c r="D360" i="1"/>
  <c r="G360" i="1" s="1"/>
  <c r="D361" i="1"/>
  <c r="G361" i="1" s="1"/>
  <c r="D362" i="1"/>
  <c r="G362" i="1" s="1"/>
  <c r="D363" i="1"/>
  <c r="G363" i="1" s="1"/>
  <c r="D364" i="1"/>
  <c r="G364" i="1" s="1"/>
  <c r="D365" i="1"/>
  <c r="G365" i="1" s="1"/>
  <c r="D366" i="1"/>
  <c r="G366" i="1" s="1"/>
  <c r="D367" i="1"/>
  <c r="G367" i="1" s="1"/>
  <c r="D368" i="1"/>
  <c r="G368" i="1" s="1"/>
  <c r="D369" i="1"/>
  <c r="G369" i="1" s="1"/>
  <c r="D370" i="1"/>
  <c r="G370" i="1" s="1"/>
  <c r="D371" i="1"/>
  <c r="G371" i="1" s="1"/>
  <c r="D372" i="1"/>
  <c r="G372" i="1" s="1"/>
  <c r="D373" i="1"/>
  <c r="G373" i="1" s="1"/>
  <c r="D374" i="1"/>
  <c r="G374" i="1" s="1"/>
  <c r="D375" i="1"/>
  <c r="G375" i="1" s="1"/>
  <c r="D376" i="1"/>
  <c r="G376" i="1" s="1"/>
  <c r="D377" i="1"/>
  <c r="G377" i="1" s="1"/>
  <c r="D378" i="1"/>
  <c r="G378" i="1" s="1"/>
  <c r="D379" i="1"/>
  <c r="G379" i="1" s="1"/>
  <c r="D380" i="1"/>
  <c r="G380" i="1" s="1"/>
  <c r="D381" i="1"/>
  <c r="G381" i="1" s="1"/>
  <c r="D382" i="1"/>
  <c r="G382" i="1" s="1"/>
  <c r="D383" i="1"/>
  <c r="G383" i="1" s="1"/>
  <c r="D384" i="1"/>
  <c r="G384" i="1" s="1"/>
  <c r="D385" i="1"/>
  <c r="G385" i="1" s="1"/>
  <c r="D386" i="1"/>
  <c r="G386" i="1" s="1"/>
  <c r="D387" i="1"/>
  <c r="G387" i="1" s="1"/>
  <c r="D388" i="1"/>
  <c r="G388" i="1" s="1"/>
  <c r="D389" i="1"/>
  <c r="G389" i="1" s="1"/>
  <c r="D390" i="1"/>
  <c r="G390" i="1" s="1"/>
  <c r="D391" i="1"/>
  <c r="G391" i="1" s="1"/>
  <c r="D392" i="1"/>
  <c r="G392" i="1" s="1"/>
  <c r="D393" i="1"/>
  <c r="G393" i="1" s="1"/>
  <c r="D394" i="1"/>
  <c r="G394" i="1" s="1"/>
  <c r="D395" i="1"/>
  <c r="G395" i="1" s="1"/>
  <c r="D396" i="1"/>
  <c r="G396" i="1" s="1"/>
  <c r="D397" i="1"/>
  <c r="G397" i="1" s="1"/>
  <c r="D398" i="1"/>
  <c r="G398" i="1" s="1"/>
  <c r="D399" i="1"/>
  <c r="G399" i="1" s="1"/>
  <c r="D400" i="1"/>
  <c r="G400" i="1" s="1"/>
  <c r="D401" i="1"/>
  <c r="G401" i="1" s="1"/>
  <c r="D402" i="1"/>
  <c r="G402" i="1" s="1"/>
  <c r="D403" i="1"/>
  <c r="G403" i="1" s="1"/>
  <c r="D404" i="1"/>
  <c r="G404" i="1" s="1"/>
  <c r="D405" i="1"/>
  <c r="G405" i="1" s="1"/>
  <c r="D406" i="1"/>
  <c r="G406" i="1" s="1"/>
  <c r="D407" i="1"/>
  <c r="G407" i="1" s="1"/>
  <c r="D408" i="1"/>
  <c r="G408" i="1" s="1"/>
  <c r="D409" i="1"/>
  <c r="G409" i="1" s="1"/>
  <c r="D410" i="1"/>
  <c r="G410" i="1" s="1"/>
  <c r="D411" i="1"/>
  <c r="G411" i="1" s="1"/>
  <c r="D412" i="1"/>
  <c r="G412" i="1" s="1"/>
  <c r="D413" i="1"/>
  <c r="G413" i="1" s="1"/>
  <c r="D414" i="1"/>
  <c r="G414" i="1" s="1"/>
  <c r="D415" i="1"/>
  <c r="G415" i="1" s="1"/>
  <c r="D416" i="1"/>
  <c r="G416" i="1" s="1"/>
  <c r="D417" i="1"/>
  <c r="G417" i="1" s="1"/>
  <c r="D418" i="1"/>
  <c r="G418" i="1" s="1"/>
  <c r="D419" i="1"/>
  <c r="G419" i="1" s="1"/>
  <c r="D420" i="1"/>
  <c r="G420" i="1" s="1"/>
  <c r="D421" i="1"/>
  <c r="G421" i="1" s="1"/>
  <c r="D422" i="1"/>
  <c r="G422" i="1" s="1"/>
  <c r="D423" i="1"/>
  <c r="G423" i="1" s="1"/>
  <c r="D424" i="1"/>
  <c r="G424" i="1" s="1"/>
  <c r="D425" i="1"/>
  <c r="G425" i="1" s="1"/>
  <c r="D426" i="1"/>
  <c r="G426" i="1" s="1"/>
  <c r="D427" i="1"/>
  <c r="G427" i="1" s="1"/>
  <c r="D428" i="1"/>
  <c r="G428" i="1" s="1"/>
  <c r="D429" i="1"/>
  <c r="G429" i="1" s="1"/>
  <c r="D430" i="1"/>
  <c r="G430" i="1" s="1"/>
  <c r="D431" i="1"/>
  <c r="G431" i="1" s="1"/>
  <c r="D432" i="1"/>
  <c r="G432" i="1" s="1"/>
  <c r="D433" i="1"/>
  <c r="G433" i="1" s="1"/>
  <c r="D434" i="1"/>
  <c r="G434" i="1" s="1"/>
  <c r="D435" i="1"/>
  <c r="G435" i="1" s="1"/>
  <c r="D436" i="1"/>
  <c r="G436" i="1" s="1"/>
  <c r="D437" i="1"/>
  <c r="G437" i="1" s="1"/>
  <c r="D438" i="1"/>
  <c r="G438" i="1" s="1"/>
  <c r="D439" i="1"/>
  <c r="G439" i="1" s="1"/>
  <c r="D440" i="1"/>
  <c r="G440" i="1" s="1"/>
  <c r="D441" i="1"/>
  <c r="G441" i="1" s="1"/>
  <c r="D442" i="1"/>
  <c r="G442" i="1" s="1"/>
  <c r="D443" i="1"/>
  <c r="G443" i="1" s="1"/>
  <c r="D444" i="1"/>
  <c r="G444" i="1" s="1"/>
  <c r="D445" i="1"/>
  <c r="G445" i="1" s="1"/>
  <c r="D446" i="1"/>
  <c r="G446" i="1" s="1"/>
  <c r="D447" i="1"/>
  <c r="G447" i="1" s="1"/>
  <c r="D448" i="1"/>
  <c r="G448" i="1" s="1"/>
  <c r="D449" i="1"/>
  <c r="G449" i="1" s="1"/>
  <c r="D450" i="1"/>
  <c r="G450" i="1" s="1"/>
  <c r="D451" i="1"/>
  <c r="G451" i="1" s="1"/>
  <c r="D452" i="1"/>
  <c r="G452" i="1" s="1"/>
  <c r="D453" i="1"/>
  <c r="G453" i="1" s="1"/>
  <c r="D454" i="1"/>
  <c r="G454" i="1" s="1"/>
  <c r="D455" i="1"/>
  <c r="G455" i="1" s="1"/>
  <c r="D456" i="1"/>
  <c r="G456" i="1" s="1"/>
  <c r="D457" i="1"/>
  <c r="G457" i="1" s="1"/>
  <c r="D458" i="1"/>
  <c r="G458" i="1" s="1"/>
  <c r="D459" i="1"/>
  <c r="G459" i="1" s="1"/>
  <c r="D460" i="1"/>
  <c r="G460" i="1" s="1"/>
  <c r="D461" i="1"/>
  <c r="G461" i="1" s="1"/>
  <c r="D462" i="1"/>
  <c r="G462" i="1" s="1"/>
  <c r="D463" i="1"/>
  <c r="G463" i="1" s="1"/>
  <c r="D464" i="1"/>
  <c r="G464" i="1" s="1"/>
  <c r="D465" i="1"/>
  <c r="G465" i="1" s="1"/>
  <c r="D466" i="1"/>
  <c r="G466" i="1" s="1"/>
  <c r="D467" i="1"/>
  <c r="G467" i="1" s="1"/>
  <c r="D468" i="1"/>
  <c r="G468" i="1" s="1"/>
  <c r="D469" i="1"/>
  <c r="G469" i="1" s="1"/>
  <c r="D470" i="1"/>
  <c r="G470" i="1" s="1"/>
  <c r="D471" i="1"/>
  <c r="G471" i="1" s="1"/>
  <c r="D472" i="1"/>
  <c r="G472" i="1" s="1"/>
  <c r="D473" i="1"/>
  <c r="G473" i="1" s="1"/>
  <c r="D474" i="1"/>
  <c r="G474" i="1" s="1"/>
  <c r="D475" i="1"/>
  <c r="G475" i="1" s="1"/>
  <c r="D476" i="1"/>
  <c r="G476" i="1" s="1"/>
  <c r="D477" i="1"/>
  <c r="G477" i="1" s="1"/>
  <c r="D478" i="1"/>
  <c r="G478" i="1" s="1"/>
  <c r="D479" i="1"/>
  <c r="G479" i="1" s="1"/>
  <c r="D480" i="1"/>
  <c r="G480" i="1" s="1"/>
  <c r="D481" i="1"/>
  <c r="G481" i="1" s="1"/>
  <c r="D482" i="1"/>
  <c r="G482" i="1" s="1"/>
  <c r="D483" i="1"/>
  <c r="G483" i="1" s="1"/>
  <c r="D484" i="1"/>
  <c r="G484" i="1" s="1"/>
  <c r="D485" i="1"/>
  <c r="G485" i="1" s="1"/>
  <c r="D486" i="1"/>
  <c r="G486" i="1" s="1"/>
  <c r="D487" i="1"/>
  <c r="G487" i="1" s="1"/>
  <c r="D488" i="1"/>
  <c r="G488" i="1" s="1"/>
  <c r="D489" i="1"/>
  <c r="G489" i="1" s="1"/>
  <c r="D490" i="1"/>
  <c r="G490" i="1" s="1"/>
  <c r="D491" i="1"/>
  <c r="G491" i="1" s="1"/>
  <c r="D492" i="1"/>
  <c r="G492" i="1" s="1"/>
  <c r="D493" i="1"/>
  <c r="G493" i="1" s="1"/>
  <c r="D494" i="1"/>
  <c r="G494" i="1" s="1"/>
  <c r="D495" i="1"/>
  <c r="G495" i="1" s="1"/>
  <c r="D496" i="1"/>
  <c r="G496" i="1" s="1"/>
  <c r="D497" i="1"/>
  <c r="G497" i="1" s="1"/>
  <c r="D498" i="1"/>
  <c r="G498" i="1" s="1"/>
  <c r="D499" i="1"/>
  <c r="G499" i="1" s="1"/>
  <c r="D500" i="1"/>
  <c r="G500" i="1" s="1"/>
  <c r="D501" i="1"/>
  <c r="G501" i="1" s="1"/>
  <c r="D502" i="1"/>
  <c r="G502" i="1" s="1"/>
  <c r="D503" i="1"/>
  <c r="G503" i="1" s="1"/>
  <c r="D504" i="1"/>
  <c r="G504" i="1" s="1"/>
  <c r="D505" i="1"/>
  <c r="G505" i="1" s="1"/>
  <c r="D506" i="1"/>
  <c r="G506" i="1" s="1"/>
  <c r="D507" i="1"/>
  <c r="G507" i="1" s="1"/>
  <c r="D508" i="1"/>
  <c r="G508" i="1" s="1"/>
  <c r="D509" i="1"/>
  <c r="G509" i="1" s="1"/>
  <c r="D510" i="1"/>
  <c r="G510" i="1" s="1"/>
  <c r="D511" i="1"/>
  <c r="G511" i="1" s="1"/>
  <c r="D512" i="1"/>
  <c r="G512" i="1" s="1"/>
  <c r="D513" i="1"/>
  <c r="G513" i="1" s="1"/>
  <c r="D514" i="1"/>
  <c r="G514" i="1" s="1"/>
  <c r="D515" i="1"/>
  <c r="G515" i="1" s="1"/>
  <c r="D516" i="1"/>
  <c r="G516" i="1" s="1"/>
  <c r="D517" i="1"/>
  <c r="G517" i="1" s="1"/>
  <c r="D518" i="1"/>
  <c r="G518" i="1" s="1"/>
  <c r="D519" i="1"/>
  <c r="G519" i="1" s="1"/>
  <c r="D520" i="1"/>
  <c r="G520" i="1" s="1"/>
  <c r="D521" i="1"/>
  <c r="G521" i="1" s="1"/>
  <c r="D522" i="1"/>
  <c r="G522" i="1" s="1"/>
  <c r="D523" i="1"/>
  <c r="G523" i="1" s="1"/>
  <c r="D524" i="1"/>
  <c r="G524" i="1" s="1"/>
  <c r="D525" i="1"/>
  <c r="G525" i="1" s="1"/>
  <c r="D526" i="1"/>
  <c r="G526" i="1" s="1"/>
  <c r="D527" i="1"/>
  <c r="G527" i="1" s="1"/>
  <c r="D528" i="1"/>
  <c r="G528" i="1" s="1"/>
  <c r="D529" i="1"/>
  <c r="G529" i="1" s="1"/>
  <c r="D530" i="1"/>
  <c r="G530" i="1" s="1"/>
  <c r="D531" i="1"/>
  <c r="G531" i="1" s="1"/>
  <c r="D532" i="1"/>
  <c r="G532" i="1" s="1"/>
  <c r="D533" i="1"/>
  <c r="G533" i="1" s="1"/>
  <c r="D534" i="1"/>
  <c r="G534" i="1" s="1"/>
  <c r="D535" i="1"/>
  <c r="G535" i="1" s="1"/>
  <c r="D536" i="1"/>
  <c r="G536" i="1" s="1"/>
  <c r="D537" i="1"/>
  <c r="G537" i="1" s="1"/>
  <c r="D538" i="1"/>
  <c r="G538" i="1" s="1"/>
  <c r="D539" i="1"/>
  <c r="G539" i="1" s="1"/>
  <c r="D540" i="1"/>
  <c r="G540" i="1" s="1"/>
  <c r="D541" i="1"/>
  <c r="G541" i="1" s="1"/>
  <c r="D542" i="1"/>
  <c r="G542" i="1" s="1"/>
  <c r="D543" i="1"/>
  <c r="G543" i="1" s="1"/>
  <c r="D544" i="1"/>
  <c r="G544" i="1" s="1"/>
  <c r="D545" i="1"/>
  <c r="G545" i="1" s="1"/>
  <c r="D546" i="1"/>
  <c r="G546" i="1" s="1"/>
  <c r="D547" i="1"/>
  <c r="G547" i="1" s="1"/>
  <c r="D548" i="1"/>
  <c r="G548" i="1" s="1"/>
  <c r="D549" i="1"/>
  <c r="G549" i="1" s="1"/>
  <c r="D550" i="1"/>
  <c r="G550" i="1" s="1"/>
  <c r="D551" i="1"/>
  <c r="G551" i="1" s="1"/>
  <c r="D552" i="1"/>
  <c r="G552" i="1" s="1"/>
  <c r="D553" i="1"/>
  <c r="G553" i="1" s="1"/>
  <c r="D554" i="1"/>
  <c r="G554" i="1" s="1"/>
  <c r="D555" i="1"/>
  <c r="G555" i="1" s="1"/>
  <c r="D556" i="1"/>
  <c r="G556" i="1" s="1"/>
  <c r="D557" i="1"/>
  <c r="G557" i="1" s="1"/>
  <c r="D558" i="1"/>
  <c r="G558" i="1" s="1"/>
  <c r="D559" i="1"/>
  <c r="G559" i="1" s="1"/>
  <c r="D560" i="1"/>
  <c r="G560" i="1" s="1"/>
  <c r="D561" i="1"/>
  <c r="G561" i="1" s="1"/>
  <c r="D562" i="1"/>
  <c r="G562" i="1" s="1"/>
  <c r="D563" i="1"/>
  <c r="G563" i="1" s="1"/>
  <c r="D564" i="1"/>
  <c r="G564" i="1" s="1"/>
  <c r="D565" i="1"/>
  <c r="G565" i="1" s="1"/>
  <c r="D566" i="1"/>
  <c r="G566" i="1" s="1"/>
  <c r="D567" i="1"/>
  <c r="G567" i="1" s="1"/>
  <c r="D568" i="1"/>
  <c r="G568" i="1" s="1"/>
  <c r="D569" i="1"/>
  <c r="G569" i="1" s="1"/>
  <c r="D570" i="1"/>
  <c r="G570" i="1" s="1"/>
  <c r="D571" i="1"/>
  <c r="G571" i="1" s="1"/>
  <c r="D572" i="1"/>
  <c r="G572" i="1" s="1"/>
  <c r="D573" i="1"/>
  <c r="G573" i="1" s="1"/>
  <c r="D574" i="1"/>
  <c r="G574" i="1" s="1"/>
  <c r="D575" i="1"/>
  <c r="G575" i="1" s="1"/>
  <c r="D576" i="1"/>
  <c r="G576" i="1" s="1"/>
  <c r="D577" i="1"/>
  <c r="G577" i="1" s="1"/>
  <c r="D578" i="1"/>
  <c r="G578" i="1" s="1"/>
  <c r="D579" i="1"/>
  <c r="G579" i="1" s="1"/>
  <c r="D580" i="1"/>
  <c r="G580" i="1" s="1"/>
  <c r="D581" i="1"/>
  <c r="G581" i="1" s="1"/>
  <c r="D582" i="1"/>
  <c r="G582" i="1" s="1"/>
  <c r="D583" i="1"/>
  <c r="G583" i="1" s="1"/>
  <c r="D584" i="1"/>
  <c r="G584" i="1" s="1"/>
  <c r="D585" i="1"/>
  <c r="G585" i="1" s="1"/>
  <c r="D586" i="1"/>
  <c r="G586" i="1" s="1"/>
  <c r="D587" i="1"/>
  <c r="G587" i="1" s="1"/>
  <c r="D588" i="1"/>
  <c r="G588" i="1" s="1"/>
  <c r="D589" i="1"/>
  <c r="G589" i="1" s="1"/>
  <c r="D590" i="1"/>
  <c r="G590" i="1" s="1"/>
  <c r="D591" i="1"/>
  <c r="G591" i="1" s="1"/>
  <c r="D592" i="1"/>
  <c r="G592" i="1" s="1"/>
  <c r="D593" i="1"/>
  <c r="G593" i="1" s="1"/>
  <c r="D594" i="1"/>
  <c r="G594" i="1" s="1"/>
  <c r="D595" i="1"/>
  <c r="G595" i="1" s="1"/>
  <c r="D596" i="1"/>
  <c r="G596" i="1" s="1"/>
  <c r="D597" i="1"/>
  <c r="G597" i="1" s="1"/>
  <c r="D598" i="1"/>
  <c r="G598" i="1" s="1"/>
  <c r="D599" i="1"/>
  <c r="G599" i="1" s="1"/>
  <c r="D600" i="1"/>
  <c r="G600" i="1" s="1"/>
  <c r="D601" i="1"/>
  <c r="G601" i="1" s="1"/>
  <c r="D602" i="1"/>
  <c r="G602" i="1" s="1"/>
  <c r="D603" i="1"/>
  <c r="G603" i="1" s="1"/>
  <c r="D604" i="1"/>
  <c r="G604" i="1" s="1"/>
  <c r="D605" i="1"/>
  <c r="G605" i="1" s="1"/>
  <c r="D606" i="1"/>
  <c r="G606" i="1" s="1"/>
  <c r="D607" i="1"/>
  <c r="G607" i="1" s="1"/>
  <c r="D2" i="1"/>
  <c r="G2" i="1" s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2" i="1"/>
  <c r="I3" i="1" a="1"/>
  <c r="I3" i="1" s="1"/>
  <c r="I4" i="1" a="1"/>
  <c r="I4" i="1" s="1"/>
  <c r="I5" i="1" a="1"/>
  <c r="I5" i="1" s="1"/>
  <c r="I6" i="1" a="1"/>
  <c r="I6" i="1" s="1"/>
  <c r="I7" i="1" a="1"/>
  <c r="I7" i="1" s="1"/>
  <c r="I8" i="1" a="1"/>
  <c r="I8" i="1" s="1"/>
  <c r="I9" i="1" a="1"/>
  <c r="I9" i="1" s="1"/>
  <c r="I10" i="1" a="1"/>
  <c r="I10" i="1" s="1"/>
  <c r="I11" i="1" a="1"/>
  <c r="I11" i="1" s="1"/>
  <c r="I12" i="1" a="1"/>
  <c r="I12" i="1" s="1"/>
  <c r="I13" i="1" a="1"/>
  <c r="I13" i="1" s="1"/>
  <c r="I14" i="1" a="1"/>
  <c r="I14" i="1" s="1"/>
  <c r="I15" i="1" a="1"/>
  <c r="I15" i="1" s="1"/>
  <c r="I16" i="1" a="1"/>
  <c r="I16" i="1" s="1"/>
  <c r="I17" i="1" a="1"/>
  <c r="I17" i="1" s="1"/>
  <c r="I19" i="1" a="1"/>
  <c r="I19" i="1" s="1"/>
  <c r="I20" i="1" a="1"/>
  <c r="I20" i="1" s="1"/>
  <c r="I21" i="1" a="1"/>
  <c r="I21" i="1" s="1"/>
  <c r="I22" i="1" a="1"/>
  <c r="I22" i="1" s="1"/>
  <c r="I23" i="1" a="1"/>
  <c r="I23" i="1" s="1"/>
  <c r="I24" i="1" a="1"/>
  <c r="I24" i="1" s="1"/>
  <c r="I25" i="1" a="1"/>
  <c r="I25" i="1" s="1"/>
  <c r="I26" i="1" a="1"/>
  <c r="I26" i="1" s="1"/>
  <c r="I27" i="1" a="1"/>
  <c r="I27" i="1" s="1"/>
  <c r="I28" i="1" a="1"/>
  <c r="I28" i="1" s="1"/>
  <c r="I29" i="1" a="1"/>
  <c r="I29" i="1" s="1"/>
  <c r="I30" i="1" a="1"/>
  <c r="I30" i="1" s="1"/>
  <c r="I31" i="1" a="1"/>
  <c r="I31" i="1" s="1"/>
  <c r="I32" i="1" a="1"/>
  <c r="I32" i="1" s="1"/>
  <c r="I33" i="1" a="1"/>
  <c r="I33" i="1" s="1"/>
  <c r="I34" i="1" a="1"/>
  <c r="I34" i="1" s="1"/>
  <c r="I35" i="1" a="1"/>
  <c r="I35" i="1" s="1"/>
  <c r="I36" i="1" a="1"/>
  <c r="I36" i="1" s="1"/>
  <c r="I37" i="1" a="1"/>
  <c r="I37" i="1" s="1"/>
  <c r="I38" i="1" a="1"/>
  <c r="I38" i="1" s="1"/>
  <c r="I39" i="1" a="1"/>
  <c r="I39" i="1" s="1"/>
  <c r="I40" i="1" a="1"/>
  <c r="I40" i="1" s="1"/>
  <c r="I41" i="1" a="1"/>
  <c r="I41" i="1" s="1"/>
  <c r="I42" i="1" a="1"/>
  <c r="I42" i="1" s="1"/>
  <c r="I43" i="1" a="1"/>
  <c r="I43" i="1" s="1"/>
  <c r="I44" i="1" a="1"/>
  <c r="I44" i="1" s="1"/>
  <c r="I45" i="1" a="1"/>
  <c r="I45" i="1" s="1"/>
  <c r="I46" i="1" a="1"/>
  <c r="I46" i="1" s="1"/>
  <c r="I47" i="1" a="1"/>
  <c r="I47" i="1" s="1"/>
  <c r="I48" i="1" a="1"/>
  <c r="I48" i="1" s="1"/>
  <c r="I49" i="1" a="1"/>
  <c r="I49" i="1" s="1"/>
  <c r="I50" i="1" a="1"/>
  <c r="I50" i="1" s="1"/>
  <c r="I51" i="1" a="1"/>
  <c r="I51" i="1" s="1"/>
  <c r="I52" i="1" a="1"/>
  <c r="I52" i="1" s="1"/>
  <c r="I53" i="1" a="1"/>
  <c r="I53" i="1" s="1"/>
  <c r="I54" i="1" a="1"/>
  <c r="I54" i="1" s="1"/>
  <c r="I55" i="1" a="1"/>
  <c r="I55" i="1" s="1"/>
  <c r="I56" i="1" a="1"/>
  <c r="I56" i="1" s="1"/>
  <c r="I57" i="1" a="1"/>
  <c r="I57" i="1" s="1"/>
  <c r="I58" i="1" a="1"/>
  <c r="I58" i="1" s="1"/>
  <c r="I59" i="1" a="1"/>
  <c r="I59" i="1" s="1"/>
  <c r="I60" i="1" a="1"/>
  <c r="I60" i="1" s="1"/>
  <c r="I61" i="1" a="1"/>
  <c r="I61" i="1" s="1"/>
  <c r="I62" i="1" a="1"/>
  <c r="I62" i="1" s="1"/>
  <c r="I63" i="1" a="1"/>
  <c r="I63" i="1" s="1"/>
  <c r="I64" i="1" a="1"/>
  <c r="I64" i="1" s="1"/>
  <c r="I65" i="1" a="1"/>
  <c r="I65" i="1" s="1"/>
  <c r="I66" i="1" a="1"/>
  <c r="I66" i="1" s="1"/>
  <c r="I67" i="1" a="1"/>
  <c r="I67" i="1" s="1"/>
  <c r="I68" i="1" a="1"/>
  <c r="I68" i="1" s="1"/>
  <c r="I69" i="1" a="1"/>
  <c r="I69" i="1" s="1"/>
  <c r="I70" i="1" a="1"/>
  <c r="I70" i="1" s="1"/>
  <c r="I71" i="1" a="1"/>
  <c r="I71" i="1" s="1"/>
  <c r="I72" i="1" a="1"/>
  <c r="I72" i="1" s="1"/>
  <c r="I73" i="1" a="1"/>
  <c r="I73" i="1" s="1"/>
  <c r="I74" i="1" a="1"/>
  <c r="I74" i="1" s="1"/>
  <c r="I75" i="1" a="1"/>
  <c r="I75" i="1" s="1"/>
  <c r="I76" i="1" a="1"/>
  <c r="I76" i="1" s="1"/>
  <c r="I77" i="1" a="1"/>
  <c r="I77" i="1" s="1"/>
  <c r="I78" i="1" a="1"/>
  <c r="I78" i="1" s="1"/>
  <c r="I79" i="1" a="1"/>
  <c r="I79" i="1" s="1"/>
  <c r="I80" i="1" a="1"/>
  <c r="I80" i="1" s="1"/>
  <c r="I81" i="1" a="1"/>
  <c r="I81" i="1" s="1"/>
  <c r="I82" i="1" a="1"/>
  <c r="I82" i="1" s="1"/>
  <c r="I83" i="1" a="1"/>
  <c r="I83" i="1" s="1"/>
  <c r="I84" i="1" a="1"/>
  <c r="I84" i="1" s="1"/>
  <c r="I85" i="1" a="1"/>
  <c r="I85" i="1" s="1"/>
  <c r="I86" i="1" a="1"/>
  <c r="I86" i="1" s="1"/>
  <c r="I87" i="1" a="1"/>
  <c r="I87" i="1" s="1"/>
  <c r="I88" i="1" a="1"/>
  <c r="I88" i="1" s="1"/>
  <c r="I89" i="1" a="1"/>
  <c r="I89" i="1" s="1"/>
  <c r="I90" i="1" a="1"/>
  <c r="I90" i="1" s="1"/>
  <c r="I91" i="1" a="1"/>
  <c r="I91" i="1" s="1"/>
  <c r="I92" i="1" a="1"/>
  <c r="I92" i="1" s="1"/>
  <c r="I93" i="1" a="1"/>
  <c r="I93" i="1" s="1"/>
  <c r="I94" i="1" a="1"/>
  <c r="I94" i="1" s="1"/>
  <c r="I95" i="1" a="1"/>
  <c r="I95" i="1" s="1"/>
  <c r="I96" i="1" a="1"/>
  <c r="I96" i="1" s="1"/>
  <c r="I97" i="1" a="1"/>
  <c r="I97" i="1" s="1"/>
  <c r="I98" i="1" a="1"/>
  <c r="I98" i="1" s="1"/>
  <c r="I99" i="1" a="1"/>
  <c r="I99" i="1" s="1"/>
  <c r="I100" i="1" a="1"/>
  <c r="I100" i="1" s="1"/>
  <c r="I101" i="1" a="1"/>
  <c r="I101" i="1" s="1"/>
  <c r="I102" i="1" a="1"/>
  <c r="I102" i="1" s="1"/>
  <c r="I103" i="1" a="1"/>
  <c r="I103" i="1" s="1"/>
  <c r="I104" i="1" a="1"/>
  <c r="I104" i="1" s="1"/>
  <c r="I105" i="1" a="1"/>
  <c r="I105" i="1" s="1"/>
  <c r="I106" i="1" a="1"/>
  <c r="I106" i="1" s="1"/>
  <c r="I107" i="1" a="1"/>
  <c r="I107" i="1" s="1"/>
  <c r="I108" i="1" a="1"/>
  <c r="I108" i="1" s="1"/>
  <c r="I109" i="1" a="1"/>
  <c r="I109" i="1" s="1"/>
  <c r="I110" i="1" a="1"/>
  <c r="I110" i="1" s="1"/>
  <c r="I111" i="1" a="1"/>
  <c r="I111" i="1" s="1"/>
  <c r="I112" i="1" a="1"/>
  <c r="I112" i="1" s="1"/>
  <c r="I113" i="1" a="1"/>
  <c r="I113" i="1" s="1"/>
  <c r="I114" i="1" a="1"/>
  <c r="I114" i="1" s="1"/>
  <c r="I115" i="1" a="1"/>
  <c r="I115" i="1" s="1"/>
  <c r="I116" i="1" a="1"/>
  <c r="I116" i="1" s="1"/>
  <c r="I117" i="1" a="1"/>
  <c r="I117" i="1" s="1"/>
  <c r="I118" i="1" a="1"/>
  <c r="I118" i="1" s="1"/>
  <c r="I119" i="1" a="1"/>
  <c r="I119" i="1" s="1"/>
  <c r="I120" i="1" a="1"/>
  <c r="I120" i="1" s="1"/>
  <c r="I121" i="1" a="1"/>
  <c r="I121" i="1" s="1"/>
  <c r="I122" i="1" a="1"/>
  <c r="I122" i="1" s="1"/>
  <c r="I123" i="1" a="1"/>
  <c r="I123" i="1" s="1"/>
  <c r="I124" i="1" a="1"/>
  <c r="I124" i="1" s="1"/>
  <c r="I125" i="1" a="1"/>
  <c r="I125" i="1" s="1"/>
  <c r="I126" i="1" a="1"/>
  <c r="I126" i="1" s="1"/>
  <c r="I127" i="1" a="1"/>
  <c r="I127" i="1" s="1"/>
  <c r="I128" i="1" a="1"/>
  <c r="I128" i="1" s="1"/>
  <c r="I129" i="1" a="1"/>
  <c r="I129" i="1" s="1"/>
  <c r="I130" i="1" a="1"/>
  <c r="I130" i="1" s="1"/>
  <c r="I131" i="1" a="1"/>
  <c r="I131" i="1" s="1"/>
  <c r="I132" i="1" a="1"/>
  <c r="I132" i="1" s="1"/>
  <c r="I133" i="1" a="1"/>
  <c r="I133" i="1" s="1"/>
  <c r="I134" i="1" a="1"/>
  <c r="I134" i="1" s="1"/>
  <c r="I135" i="1" a="1"/>
  <c r="I135" i="1" s="1"/>
  <c r="I136" i="1" a="1"/>
  <c r="I136" i="1" s="1"/>
  <c r="I137" i="1" a="1"/>
  <c r="I137" i="1" s="1"/>
  <c r="I138" i="1" a="1"/>
  <c r="I138" i="1" s="1"/>
  <c r="I139" i="1" a="1"/>
  <c r="I139" i="1" s="1"/>
  <c r="I140" i="1" a="1"/>
  <c r="I140" i="1" s="1"/>
  <c r="I141" i="1" a="1"/>
  <c r="I141" i="1" s="1"/>
  <c r="I142" i="1" a="1"/>
  <c r="I142" i="1" s="1"/>
  <c r="I143" i="1" a="1"/>
  <c r="I143" i="1" s="1"/>
  <c r="I144" i="1" a="1"/>
  <c r="I144" i="1" s="1"/>
  <c r="I145" i="1" a="1"/>
  <c r="I145" i="1" s="1"/>
  <c r="I146" i="1" a="1"/>
  <c r="I146" i="1" s="1"/>
  <c r="I147" i="1" a="1"/>
  <c r="I147" i="1" s="1"/>
  <c r="I148" i="1" a="1"/>
  <c r="I148" i="1" s="1"/>
  <c r="I149" i="1" a="1"/>
  <c r="I149" i="1" s="1"/>
  <c r="I150" i="1" a="1"/>
  <c r="I150" i="1" s="1"/>
  <c r="I151" i="1" a="1"/>
  <c r="I151" i="1" s="1"/>
  <c r="I152" i="1" a="1"/>
  <c r="I152" i="1" s="1"/>
  <c r="I153" i="1" a="1"/>
  <c r="I153" i="1" s="1"/>
  <c r="I154" i="1" a="1"/>
  <c r="I154" i="1" s="1"/>
  <c r="I155" i="1" a="1"/>
  <c r="I155" i="1" s="1"/>
  <c r="I156" i="1" a="1"/>
  <c r="I156" i="1" s="1"/>
  <c r="I157" i="1" a="1"/>
  <c r="I157" i="1" s="1"/>
  <c r="I158" i="1" a="1"/>
  <c r="I158" i="1" s="1"/>
  <c r="I159" i="1" a="1"/>
  <c r="I159" i="1" s="1"/>
  <c r="I160" i="1" a="1"/>
  <c r="I160" i="1" s="1"/>
  <c r="I161" i="1" a="1"/>
  <c r="I161" i="1" s="1"/>
  <c r="I162" i="1" a="1"/>
  <c r="I162" i="1" s="1"/>
  <c r="I163" i="1" a="1"/>
  <c r="I163" i="1" s="1"/>
  <c r="I164" i="1" a="1"/>
  <c r="I164" i="1" s="1"/>
  <c r="I165" i="1" a="1"/>
  <c r="I165" i="1" s="1"/>
  <c r="I166" i="1" a="1"/>
  <c r="I166" i="1" s="1"/>
  <c r="I167" i="1" a="1"/>
  <c r="I167" i="1" s="1"/>
  <c r="I168" i="1" a="1"/>
  <c r="I168" i="1" s="1"/>
  <c r="I169" i="1" a="1"/>
  <c r="I169" i="1" s="1"/>
  <c r="I170" i="1" a="1"/>
  <c r="I170" i="1" s="1"/>
  <c r="I171" i="1" a="1"/>
  <c r="I171" i="1" s="1"/>
  <c r="I172" i="1" a="1"/>
  <c r="I172" i="1" s="1"/>
  <c r="I173" i="1" a="1"/>
  <c r="I173" i="1" s="1"/>
  <c r="I174" i="1" a="1"/>
  <c r="I174" i="1" s="1"/>
  <c r="I175" i="1" a="1"/>
  <c r="I175" i="1" s="1"/>
  <c r="I176" i="1" a="1"/>
  <c r="I176" i="1" s="1"/>
  <c r="I177" i="1" a="1"/>
  <c r="I177" i="1" s="1"/>
  <c r="I178" i="1" a="1"/>
  <c r="I178" i="1" s="1"/>
  <c r="I179" i="1" a="1"/>
  <c r="I179" i="1" s="1"/>
  <c r="I180" i="1" a="1"/>
  <c r="I180" i="1" s="1"/>
  <c r="I181" i="1" a="1"/>
  <c r="I181" i="1" s="1"/>
  <c r="I182" i="1" a="1"/>
  <c r="I182" i="1" s="1"/>
  <c r="I183" i="1" a="1"/>
  <c r="I183" i="1" s="1"/>
  <c r="I184" i="1" a="1"/>
  <c r="I184" i="1" s="1"/>
  <c r="I185" i="1" a="1"/>
  <c r="I185" i="1" s="1"/>
  <c r="I186" i="1" a="1"/>
  <c r="I186" i="1" s="1"/>
  <c r="I187" i="1" a="1"/>
  <c r="I187" i="1" s="1"/>
  <c r="I188" i="1" a="1"/>
  <c r="I188" i="1" s="1"/>
  <c r="I189" i="1" a="1"/>
  <c r="I189" i="1" s="1"/>
  <c r="I190" i="1" a="1"/>
  <c r="I190" i="1" s="1"/>
  <c r="I191" i="1" a="1"/>
  <c r="I191" i="1" s="1"/>
  <c r="I192" i="1" a="1"/>
  <c r="I192" i="1" s="1"/>
  <c r="I193" i="1" a="1"/>
  <c r="I193" i="1" s="1"/>
  <c r="I194" i="1" a="1"/>
  <c r="I194" i="1" s="1"/>
  <c r="I195" i="1" a="1"/>
  <c r="I195" i="1" s="1"/>
  <c r="I196" i="1" a="1"/>
  <c r="I196" i="1" s="1"/>
  <c r="I197" i="1" a="1"/>
  <c r="I197" i="1" s="1"/>
  <c r="I198" i="1" a="1"/>
  <c r="I198" i="1" s="1"/>
  <c r="I199" i="1" a="1"/>
  <c r="I199" i="1" s="1"/>
  <c r="I200" i="1" a="1"/>
  <c r="I200" i="1" s="1"/>
  <c r="I201" i="1" a="1"/>
  <c r="I201" i="1" s="1"/>
  <c r="I202" i="1" a="1"/>
  <c r="I202" i="1" s="1"/>
  <c r="I203" i="1" a="1"/>
  <c r="I203" i="1" s="1"/>
  <c r="I204" i="1" a="1"/>
  <c r="I204" i="1" s="1"/>
  <c r="I205" i="1" a="1"/>
  <c r="I205" i="1" s="1"/>
  <c r="I206" i="1" a="1"/>
  <c r="I206" i="1" s="1"/>
  <c r="I207" i="1" a="1"/>
  <c r="I207" i="1" s="1"/>
  <c r="I208" i="1" a="1"/>
  <c r="I208" i="1" s="1"/>
  <c r="I209" i="1" a="1"/>
  <c r="I209" i="1" s="1"/>
  <c r="I210" i="1" a="1"/>
  <c r="I210" i="1" s="1"/>
  <c r="I211" i="1" a="1"/>
  <c r="I211" i="1" s="1"/>
  <c r="I212" i="1" a="1"/>
  <c r="I212" i="1" s="1"/>
  <c r="I213" i="1" a="1"/>
  <c r="I213" i="1" s="1"/>
  <c r="I214" i="1" a="1"/>
  <c r="I214" i="1" s="1"/>
  <c r="I215" i="1" a="1"/>
  <c r="I215" i="1" s="1"/>
  <c r="I216" i="1" a="1"/>
  <c r="I216" i="1" s="1"/>
  <c r="I217" i="1" a="1"/>
  <c r="I217" i="1" s="1"/>
  <c r="I218" i="1" a="1"/>
  <c r="I218" i="1" s="1"/>
  <c r="I219" i="1" a="1"/>
  <c r="I219" i="1" s="1"/>
  <c r="I220" i="1" a="1"/>
  <c r="I220" i="1" s="1"/>
  <c r="I221" i="1" a="1"/>
  <c r="I221" i="1" s="1"/>
  <c r="I222" i="1" a="1"/>
  <c r="I222" i="1" s="1"/>
  <c r="I223" i="1" a="1"/>
  <c r="I223" i="1" s="1"/>
  <c r="I224" i="1" a="1"/>
  <c r="I224" i="1" s="1"/>
  <c r="I225" i="1" a="1"/>
  <c r="I225" i="1" s="1"/>
  <c r="I226" i="1" a="1"/>
  <c r="I226" i="1" s="1"/>
  <c r="I227" i="1" a="1"/>
  <c r="I227" i="1" s="1"/>
  <c r="I228" i="1" a="1"/>
  <c r="I228" i="1" s="1"/>
  <c r="I229" i="1" a="1"/>
  <c r="I229" i="1" s="1"/>
  <c r="I230" i="1" a="1"/>
  <c r="I230" i="1" s="1"/>
  <c r="I231" i="1" a="1"/>
  <c r="I231" i="1" s="1"/>
  <c r="I232" i="1" a="1"/>
  <c r="I232" i="1" s="1"/>
  <c r="I233" i="1" a="1"/>
  <c r="I233" i="1" s="1"/>
  <c r="I234" i="1" a="1"/>
  <c r="I234" i="1" s="1"/>
  <c r="I235" i="1" a="1"/>
  <c r="I235" i="1" s="1"/>
  <c r="I236" i="1" a="1"/>
  <c r="I236" i="1" s="1"/>
  <c r="I237" i="1" a="1"/>
  <c r="I237" i="1" s="1"/>
  <c r="I238" i="1" a="1"/>
  <c r="I238" i="1" s="1"/>
  <c r="I239" i="1" a="1"/>
  <c r="I239" i="1" s="1"/>
  <c r="I240" i="1" a="1"/>
  <c r="I240" i="1" s="1"/>
  <c r="I241" i="1" a="1"/>
  <c r="I241" i="1" s="1"/>
  <c r="I242" i="1" a="1"/>
  <c r="I242" i="1" s="1"/>
  <c r="I243" i="1" a="1"/>
  <c r="I243" i="1" s="1"/>
  <c r="I244" i="1" a="1"/>
  <c r="I244" i="1" s="1"/>
  <c r="I245" i="1" a="1"/>
  <c r="I245" i="1" s="1"/>
  <c r="I246" i="1" a="1"/>
  <c r="I246" i="1" s="1"/>
  <c r="I247" i="1" a="1"/>
  <c r="I247" i="1" s="1"/>
  <c r="I248" i="1" a="1"/>
  <c r="I248" i="1" s="1"/>
  <c r="I249" i="1" a="1"/>
  <c r="I249" i="1" s="1"/>
  <c r="I250" i="1" a="1"/>
  <c r="I250" i="1" s="1"/>
  <c r="I251" i="1" a="1"/>
  <c r="I251" i="1" s="1"/>
  <c r="I252" i="1" a="1"/>
  <c r="I252" i="1" s="1"/>
  <c r="I253" i="1" a="1"/>
  <c r="I253" i="1" s="1"/>
  <c r="I254" i="1" a="1"/>
  <c r="I254" i="1" s="1"/>
  <c r="I255" i="1" a="1"/>
  <c r="I255" i="1" s="1"/>
  <c r="I256" i="1" a="1"/>
  <c r="I256" i="1" s="1"/>
  <c r="I257" i="1" a="1"/>
  <c r="I257" i="1" s="1"/>
  <c r="I258" i="1" a="1"/>
  <c r="I258" i="1" s="1"/>
  <c r="I259" i="1" a="1"/>
  <c r="I259" i="1" s="1"/>
  <c r="I260" i="1" a="1"/>
  <c r="I260" i="1" s="1"/>
  <c r="I261" i="1" a="1"/>
  <c r="I261" i="1" s="1"/>
  <c r="I262" i="1" a="1"/>
  <c r="I262" i="1" s="1"/>
  <c r="I263" i="1" a="1"/>
  <c r="I263" i="1" s="1"/>
  <c r="I264" i="1" a="1"/>
  <c r="I264" i="1" s="1"/>
  <c r="I265" i="1" a="1"/>
  <c r="I265" i="1" s="1"/>
  <c r="I266" i="1" a="1"/>
  <c r="I266" i="1" s="1"/>
  <c r="I267" i="1" a="1"/>
  <c r="I267" i="1" s="1"/>
  <c r="I268" i="1" a="1"/>
  <c r="I268" i="1" s="1"/>
  <c r="I269" i="1" a="1"/>
  <c r="I269" i="1" s="1"/>
  <c r="I270" i="1" a="1"/>
  <c r="I270" i="1" s="1"/>
  <c r="I271" i="1" a="1"/>
  <c r="I271" i="1" s="1"/>
  <c r="I272" i="1" a="1"/>
  <c r="I272" i="1" s="1"/>
  <c r="I273" i="1" a="1"/>
  <c r="I273" i="1" s="1"/>
  <c r="I274" i="1" a="1"/>
  <c r="I274" i="1" s="1"/>
  <c r="I275" i="1" a="1"/>
  <c r="I275" i="1" s="1"/>
  <c r="I276" i="1" a="1"/>
  <c r="I276" i="1" s="1"/>
  <c r="I277" i="1" a="1"/>
  <c r="I277" i="1" s="1"/>
  <c r="I278" i="1" a="1"/>
  <c r="I278" i="1" s="1"/>
  <c r="I279" i="1" a="1"/>
  <c r="I279" i="1" s="1"/>
  <c r="I280" i="1" a="1"/>
  <c r="I280" i="1" s="1"/>
  <c r="I281" i="1" a="1"/>
  <c r="I281" i="1" s="1"/>
  <c r="I282" i="1" a="1"/>
  <c r="I282" i="1" s="1"/>
  <c r="I283" i="1" a="1"/>
  <c r="I283" i="1" s="1"/>
  <c r="I284" i="1" a="1"/>
  <c r="I284" i="1" s="1"/>
  <c r="I285" i="1" a="1"/>
  <c r="I285" i="1" s="1"/>
  <c r="I286" i="1" a="1"/>
  <c r="I286" i="1" s="1"/>
  <c r="I287" i="1" a="1"/>
  <c r="I287" i="1" s="1"/>
  <c r="I288" i="1" a="1"/>
  <c r="I288" i="1" s="1"/>
  <c r="I289" i="1" a="1"/>
  <c r="I289" i="1" s="1"/>
  <c r="I290" i="1" a="1"/>
  <c r="I290" i="1" s="1"/>
  <c r="I291" i="1" a="1"/>
  <c r="I291" i="1" s="1"/>
  <c r="I292" i="1" a="1"/>
  <c r="I292" i="1" s="1"/>
  <c r="I293" i="1" a="1"/>
  <c r="I293" i="1" s="1"/>
  <c r="I294" i="1" a="1"/>
  <c r="I294" i="1" s="1"/>
  <c r="I295" i="1" a="1"/>
  <c r="I295" i="1" s="1"/>
  <c r="I296" i="1" a="1"/>
  <c r="I296" i="1" s="1"/>
  <c r="I297" i="1" a="1"/>
  <c r="I297" i="1" s="1"/>
  <c r="I298" i="1" a="1"/>
  <c r="I298" i="1" s="1"/>
  <c r="I299" i="1" a="1"/>
  <c r="I299" i="1" s="1"/>
  <c r="I300" i="1" a="1"/>
  <c r="I300" i="1" s="1"/>
  <c r="I301" i="1" a="1"/>
  <c r="I301" i="1" s="1"/>
  <c r="I302" i="1" a="1"/>
  <c r="I302" i="1" s="1"/>
  <c r="I303" i="1" a="1"/>
  <c r="I303" i="1" s="1"/>
  <c r="I304" i="1" a="1"/>
  <c r="I304" i="1" s="1"/>
  <c r="I305" i="1" a="1"/>
  <c r="I305" i="1" s="1"/>
  <c r="I306" i="1" a="1"/>
  <c r="I306" i="1" s="1"/>
  <c r="I307" i="1" a="1"/>
  <c r="I307" i="1" s="1"/>
  <c r="I308" i="1" a="1"/>
  <c r="I308" i="1" s="1"/>
  <c r="I309" i="1" a="1"/>
  <c r="I309" i="1" s="1"/>
  <c r="I310" i="1" a="1"/>
  <c r="I310" i="1" s="1"/>
  <c r="I311" i="1" a="1"/>
  <c r="I311" i="1" s="1"/>
  <c r="I312" i="1" a="1"/>
  <c r="I312" i="1" s="1"/>
  <c r="I313" i="1" a="1"/>
  <c r="I313" i="1" s="1"/>
  <c r="I314" i="1" a="1"/>
  <c r="I314" i="1" s="1"/>
  <c r="I315" i="1" a="1"/>
  <c r="I315" i="1" s="1"/>
  <c r="I316" i="1" a="1"/>
  <c r="I316" i="1" s="1"/>
  <c r="I317" i="1" a="1"/>
  <c r="I317" i="1" s="1"/>
  <c r="I318" i="1" a="1"/>
  <c r="I318" i="1" s="1"/>
  <c r="I319" i="1" a="1"/>
  <c r="I319" i="1" s="1"/>
  <c r="I320" i="1" a="1"/>
  <c r="I320" i="1" s="1"/>
  <c r="I321" i="1" a="1"/>
  <c r="I321" i="1" s="1"/>
  <c r="I322" i="1" a="1"/>
  <c r="I322" i="1" s="1"/>
  <c r="I323" i="1" a="1"/>
  <c r="I323" i="1" s="1"/>
  <c r="I324" i="1" a="1"/>
  <c r="I324" i="1" s="1"/>
  <c r="I325" i="1" a="1"/>
  <c r="I325" i="1" s="1"/>
  <c r="I326" i="1" a="1"/>
  <c r="I326" i="1" s="1"/>
  <c r="I327" i="1" a="1"/>
  <c r="I327" i="1" s="1"/>
  <c r="I328" i="1" a="1"/>
  <c r="I328" i="1" s="1"/>
  <c r="I329" i="1" a="1"/>
  <c r="I329" i="1" s="1"/>
  <c r="I330" i="1" a="1"/>
  <c r="I330" i="1" s="1"/>
  <c r="I331" i="1" a="1"/>
  <c r="I331" i="1" s="1"/>
  <c r="I332" i="1" a="1"/>
  <c r="I332" i="1" s="1"/>
  <c r="I333" i="1" a="1"/>
  <c r="I333" i="1" s="1"/>
  <c r="I334" i="1" a="1"/>
  <c r="I334" i="1" s="1"/>
  <c r="I335" i="1" a="1"/>
  <c r="I335" i="1" s="1"/>
  <c r="I336" i="1" a="1"/>
  <c r="I336" i="1" s="1"/>
  <c r="I337" i="1" a="1"/>
  <c r="I337" i="1" s="1"/>
  <c r="I338" i="1" a="1"/>
  <c r="I338" i="1" s="1"/>
  <c r="I339" i="1" a="1"/>
  <c r="I339" i="1" s="1"/>
  <c r="I340" i="1" a="1"/>
  <c r="I340" i="1" s="1"/>
  <c r="I341" i="1" a="1"/>
  <c r="I341" i="1" s="1"/>
  <c r="I342" i="1" a="1"/>
  <c r="I342" i="1" s="1"/>
  <c r="I343" i="1" a="1"/>
  <c r="I343" i="1" s="1"/>
  <c r="I344" i="1" a="1"/>
  <c r="I344" i="1" s="1"/>
  <c r="I345" i="1" a="1"/>
  <c r="I345" i="1" s="1"/>
  <c r="I346" i="1" a="1"/>
  <c r="I346" i="1" s="1"/>
  <c r="I347" i="1" a="1"/>
  <c r="I347" i="1" s="1"/>
  <c r="I348" i="1" a="1"/>
  <c r="I348" i="1" s="1"/>
  <c r="I349" i="1" a="1"/>
  <c r="I349" i="1" s="1"/>
  <c r="I350" i="1" a="1"/>
  <c r="I350" i="1" s="1"/>
  <c r="I351" i="1" a="1"/>
  <c r="I351" i="1" s="1"/>
  <c r="I352" i="1" a="1"/>
  <c r="I352" i="1" s="1"/>
  <c r="I353" i="1" a="1"/>
  <c r="I353" i="1" s="1"/>
  <c r="I354" i="1" a="1"/>
  <c r="I354" i="1" s="1"/>
  <c r="I355" i="1" a="1"/>
  <c r="I355" i="1" s="1"/>
  <c r="I356" i="1" a="1"/>
  <c r="I356" i="1" s="1"/>
  <c r="I357" i="1" a="1"/>
  <c r="I357" i="1" s="1"/>
  <c r="I358" i="1" a="1"/>
  <c r="I358" i="1" s="1"/>
  <c r="I359" i="1" a="1"/>
  <c r="I359" i="1" s="1"/>
  <c r="I360" i="1" a="1"/>
  <c r="I360" i="1" s="1"/>
  <c r="I361" i="1" a="1"/>
  <c r="I361" i="1" s="1"/>
  <c r="I362" i="1" a="1"/>
  <c r="I362" i="1" s="1"/>
  <c r="I363" i="1" a="1"/>
  <c r="I363" i="1" s="1"/>
  <c r="I364" i="1" a="1"/>
  <c r="I364" i="1" s="1"/>
  <c r="I365" i="1" a="1"/>
  <c r="I365" i="1" s="1"/>
  <c r="I366" i="1" a="1"/>
  <c r="I366" i="1" s="1"/>
  <c r="I367" i="1" a="1"/>
  <c r="I367" i="1" s="1"/>
  <c r="I368" i="1" a="1"/>
  <c r="I368" i="1" s="1"/>
  <c r="I369" i="1" a="1"/>
  <c r="I369" i="1" s="1"/>
  <c r="I370" i="1" a="1"/>
  <c r="I370" i="1" s="1"/>
  <c r="I371" i="1" a="1"/>
  <c r="I371" i="1" s="1"/>
  <c r="I372" i="1" a="1"/>
  <c r="I372" i="1" s="1"/>
  <c r="I373" i="1" a="1"/>
  <c r="I373" i="1" s="1"/>
  <c r="I374" i="1" a="1"/>
  <c r="I374" i="1" s="1"/>
  <c r="I375" i="1" a="1"/>
  <c r="I375" i="1" s="1"/>
  <c r="I376" i="1" a="1"/>
  <c r="I376" i="1" s="1"/>
  <c r="I377" i="1" a="1"/>
  <c r="I377" i="1" s="1"/>
  <c r="I378" i="1" a="1"/>
  <c r="I378" i="1" s="1"/>
  <c r="I379" i="1" a="1"/>
  <c r="I379" i="1" s="1"/>
  <c r="I380" i="1" a="1"/>
  <c r="I380" i="1" s="1"/>
  <c r="I381" i="1" a="1"/>
  <c r="I381" i="1" s="1"/>
  <c r="I382" i="1" a="1"/>
  <c r="I382" i="1" s="1"/>
  <c r="I383" i="1" a="1"/>
  <c r="I383" i="1" s="1"/>
  <c r="I384" i="1" a="1"/>
  <c r="I384" i="1" s="1"/>
  <c r="I385" i="1" a="1"/>
  <c r="I385" i="1" s="1"/>
  <c r="I386" i="1" a="1"/>
  <c r="I386" i="1" s="1"/>
  <c r="I387" i="1" a="1"/>
  <c r="I387" i="1" s="1"/>
  <c r="I388" i="1" a="1"/>
  <c r="I388" i="1" s="1"/>
  <c r="I389" i="1" a="1"/>
  <c r="I389" i="1" s="1"/>
  <c r="I390" i="1" a="1"/>
  <c r="I390" i="1" s="1"/>
  <c r="I391" i="1" a="1"/>
  <c r="I391" i="1" s="1"/>
  <c r="I392" i="1" a="1"/>
  <c r="I392" i="1" s="1"/>
  <c r="I393" i="1" a="1"/>
  <c r="I393" i="1" s="1"/>
  <c r="I394" i="1" a="1"/>
  <c r="I394" i="1" s="1"/>
  <c r="I395" i="1" a="1"/>
  <c r="I395" i="1" s="1"/>
  <c r="I396" i="1" a="1"/>
  <c r="I396" i="1" s="1"/>
  <c r="I397" i="1" a="1"/>
  <c r="I397" i="1" s="1"/>
  <c r="I398" i="1" a="1"/>
  <c r="I398" i="1" s="1"/>
  <c r="I399" i="1" a="1"/>
  <c r="I399" i="1" s="1"/>
  <c r="I400" i="1" a="1"/>
  <c r="I400" i="1" s="1"/>
  <c r="I401" i="1" a="1"/>
  <c r="I401" i="1" s="1"/>
  <c r="I402" i="1" a="1"/>
  <c r="I402" i="1" s="1"/>
  <c r="I403" i="1" a="1"/>
  <c r="I403" i="1" s="1"/>
  <c r="I404" i="1" a="1"/>
  <c r="I404" i="1" s="1"/>
  <c r="I405" i="1" a="1"/>
  <c r="I405" i="1" s="1"/>
  <c r="I406" i="1" a="1"/>
  <c r="I406" i="1" s="1"/>
  <c r="I407" i="1" a="1"/>
  <c r="I407" i="1" s="1"/>
  <c r="I408" i="1" a="1"/>
  <c r="I408" i="1" s="1"/>
  <c r="I409" i="1" a="1"/>
  <c r="I409" i="1" s="1"/>
  <c r="I410" i="1" a="1"/>
  <c r="I410" i="1" s="1"/>
  <c r="I411" i="1" a="1"/>
  <c r="I411" i="1" s="1"/>
  <c r="I412" i="1" a="1"/>
  <c r="I412" i="1" s="1"/>
  <c r="I413" i="1" a="1"/>
  <c r="I413" i="1" s="1"/>
  <c r="I414" i="1" a="1"/>
  <c r="I414" i="1" s="1"/>
  <c r="I415" i="1" a="1"/>
  <c r="I415" i="1" s="1"/>
  <c r="I416" i="1" a="1"/>
  <c r="I416" i="1" s="1"/>
  <c r="I417" i="1" a="1"/>
  <c r="I417" i="1" s="1"/>
  <c r="I418" i="1" a="1"/>
  <c r="I418" i="1" s="1"/>
  <c r="I419" i="1" a="1"/>
  <c r="I419" i="1" s="1"/>
  <c r="I420" i="1" a="1"/>
  <c r="I420" i="1" s="1"/>
  <c r="I421" i="1" a="1"/>
  <c r="I421" i="1" s="1"/>
  <c r="I422" i="1" a="1"/>
  <c r="I422" i="1" s="1"/>
  <c r="I423" i="1" a="1"/>
  <c r="I423" i="1" s="1"/>
  <c r="I424" i="1" a="1"/>
  <c r="I424" i="1" s="1"/>
  <c r="I425" i="1" a="1"/>
  <c r="I425" i="1" s="1"/>
  <c r="I426" i="1" a="1"/>
  <c r="I426" i="1" s="1"/>
  <c r="I427" i="1" a="1"/>
  <c r="I427" i="1" s="1"/>
  <c r="I428" i="1" a="1"/>
  <c r="I428" i="1" s="1"/>
  <c r="I429" i="1" a="1"/>
  <c r="I429" i="1" s="1"/>
  <c r="I430" i="1" a="1"/>
  <c r="I430" i="1" s="1"/>
  <c r="I431" i="1" a="1"/>
  <c r="I431" i="1" s="1"/>
  <c r="I432" i="1" a="1"/>
  <c r="I432" i="1" s="1"/>
  <c r="I433" i="1" a="1"/>
  <c r="I433" i="1" s="1"/>
  <c r="I434" i="1" a="1"/>
  <c r="I434" i="1" s="1"/>
  <c r="I435" i="1" a="1"/>
  <c r="I435" i="1" s="1"/>
  <c r="I436" i="1" a="1"/>
  <c r="I436" i="1" s="1"/>
  <c r="I437" i="1" a="1"/>
  <c r="I437" i="1" s="1"/>
  <c r="I438" i="1" a="1"/>
  <c r="I438" i="1" s="1"/>
  <c r="I439" i="1" a="1"/>
  <c r="I439" i="1" s="1"/>
  <c r="I440" i="1" a="1"/>
  <c r="I440" i="1" s="1"/>
  <c r="I441" i="1" a="1"/>
  <c r="I441" i="1" s="1"/>
  <c r="I442" i="1" a="1"/>
  <c r="I442" i="1" s="1"/>
  <c r="I443" i="1" a="1"/>
  <c r="I443" i="1" s="1"/>
  <c r="I444" i="1" a="1"/>
  <c r="I444" i="1" s="1"/>
  <c r="I445" i="1" a="1"/>
  <c r="I445" i="1" s="1"/>
  <c r="I446" i="1" a="1"/>
  <c r="I446" i="1" s="1"/>
  <c r="I447" i="1" a="1"/>
  <c r="I447" i="1" s="1"/>
  <c r="I448" i="1" a="1"/>
  <c r="I448" i="1" s="1"/>
  <c r="I449" i="1" a="1"/>
  <c r="I449" i="1" s="1"/>
  <c r="I450" i="1" a="1"/>
  <c r="I450" i="1" s="1"/>
  <c r="I451" i="1" a="1"/>
  <c r="I451" i="1" s="1"/>
  <c r="I452" i="1" a="1"/>
  <c r="I452" i="1" s="1"/>
  <c r="I453" i="1" a="1"/>
  <c r="I453" i="1" s="1"/>
  <c r="I454" i="1" a="1"/>
  <c r="I454" i="1" s="1"/>
  <c r="I455" i="1" a="1"/>
  <c r="I455" i="1" s="1"/>
  <c r="I456" i="1" a="1"/>
  <c r="I456" i="1" s="1"/>
  <c r="I457" i="1" a="1"/>
  <c r="I457" i="1" s="1"/>
  <c r="I458" i="1" a="1"/>
  <c r="I458" i="1" s="1"/>
  <c r="I459" i="1" a="1"/>
  <c r="I459" i="1" s="1"/>
  <c r="I460" i="1" a="1"/>
  <c r="I460" i="1" s="1"/>
  <c r="I461" i="1" a="1"/>
  <c r="I461" i="1" s="1"/>
  <c r="I462" i="1" a="1"/>
  <c r="I462" i="1" s="1"/>
  <c r="I463" i="1" a="1"/>
  <c r="I463" i="1" s="1"/>
  <c r="I464" i="1" a="1"/>
  <c r="I464" i="1" s="1"/>
  <c r="I465" i="1" a="1"/>
  <c r="I465" i="1" s="1"/>
  <c r="I466" i="1" a="1"/>
  <c r="I466" i="1" s="1"/>
  <c r="I467" i="1" a="1"/>
  <c r="I467" i="1" s="1"/>
  <c r="I468" i="1" a="1"/>
  <c r="I468" i="1" s="1"/>
  <c r="I469" i="1" a="1"/>
  <c r="I469" i="1" s="1"/>
  <c r="I470" i="1" a="1"/>
  <c r="I470" i="1" s="1"/>
  <c r="I471" i="1" a="1"/>
  <c r="I471" i="1" s="1"/>
  <c r="I472" i="1" a="1"/>
  <c r="I472" i="1" s="1"/>
  <c r="I473" i="1" a="1"/>
  <c r="I473" i="1" s="1"/>
  <c r="I474" i="1" a="1"/>
  <c r="I474" i="1" s="1"/>
  <c r="I475" i="1" a="1"/>
  <c r="I475" i="1" s="1"/>
  <c r="I476" i="1" a="1"/>
  <c r="I476" i="1" s="1"/>
  <c r="I477" i="1" a="1"/>
  <c r="I477" i="1" s="1"/>
  <c r="I478" i="1" a="1"/>
  <c r="I478" i="1" s="1"/>
  <c r="I479" i="1" a="1"/>
  <c r="I479" i="1" s="1"/>
  <c r="I480" i="1" a="1"/>
  <c r="I480" i="1" s="1"/>
  <c r="I481" i="1" a="1"/>
  <c r="I481" i="1" s="1"/>
  <c r="I482" i="1" a="1"/>
  <c r="I482" i="1" s="1"/>
  <c r="I483" i="1" a="1"/>
  <c r="I483" i="1" s="1"/>
  <c r="I484" i="1" a="1"/>
  <c r="I484" i="1" s="1"/>
  <c r="I485" i="1" a="1"/>
  <c r="I485" i="1" s="1"/>
  <c r="I486" i="1" a="1"/>
  <c r="I486" i="1" s="1"/>
  <c r="I487" i="1" a="1"/>
  <c r="I487" i="1" s="1"/>
  <c r="I488" i="1" a="1"/>
  <c r="I488" i="1" s="1"/>
  <c r="I489" i="1" a="1"/>
  <c r="I489" i="1" s="1"/>
  <c r="I490" i="1" a="1"/>
  <c r="I490" i="1" s="1"/>
  <c r="I491" i="1" a="1"/>
  <c r="I491" i="1" s="1"/>
  <c r="I492" i="1" a="1"/>
  <c r="I492" i="1" s="1"/>
  <c r="I493" i="1" a="1"/>
  <c r="I493" i="1" s="1"/>
  <c r="I494" i="1" a="1"/>
  <c r="I494" i="1" s="1"/>
  <c r="I495" i="1" a="1"/>
  <c r="I495" i="1" s="1"/>
  <c r="I496" i="1" a="1"/>
  <c r="I496" i="1" s="1"/>
  <c r="I497" i="1" a="1"/>
  <c r="I497" i="1" s="1"/>
  <c r="I498" i="1" a="1"/>
  <c r="I498" i="1" s="1"/>
  <c r="I499" i="1" a="1"/>
  <c r="I499" i="1" s="1"/>
  <c r="I500" i="1" a="1"/>
  <c r="I500" i="1" s="1"/>
  <c r="I501" i="1" a="1"/>
  <c r="I501" i="1" s="1"/>
  <c r="I502" i="1" a="1"/>
  <c r="I502" i="1" s="1"/>
  <c r="I503" i="1" a="1"/>
  <c r="I503" i="1" s="1"/>
  <c r="I504" i="1" a="1"/>
  <c r="I504" i="1" s="1"/>
  <c r="I505" i="1" a="1"/>
  <c r="I505" i="1" s="1"/>
  <c r="I506" i="1" a="1"/>
  <c r="I506" i="1" s="1"/>
  <c r="I507" i="1" a="1"/>
  <c r="I507" i="1" s="1"/>
  <c r="I508" i="1" a="1"/>
  <c r="I508" i="1" s="1"/>
  <c r="I509" i="1" a="1"/>
  <c r="I509" i="1" s="1"/>
  <c r="I510" i="1" a="1"/>
  <c r="I510" i="1" s="1"/>
  <c r="I511" i="1" a="1"/>
  <c r="I511" i="1" s="1"/>
  <c r="I512" i="1" a="1"/>
  <c r="I512" i="1" s="1"/>
  <c r="I513" i="1" a="1"/>
  <c r="I513" i="1" s="1"/>
  <c r="I514" i="1" a="1"/>
  <c r="I514" i="1" s="1"/>
  <c r="I515" i="1" a="1"/>
  <c r="I515" i="1" s="1"/>
  <c r="I516" i="1" a="1"/>
  <c r="I516" i="1" s="1"/>
  <c r="I517" i="1" a="1"/>
  <c r="I517" i="1" s="1"/>
  <c r="I518" i="1" a="1"/>
  <c r="I518" i="1" s="1"/>
  <c r="I519" i="1" a="1"/>
  <c r="I519" i="1" s="1"/>
  <c r="I520" i="1" a="1"/>
  <c r="I520" i="1" s="1"/>
  <c r="I521" i="1" a="1"/>
  <c r="I521" i="1" s="1"/>
  <c r="I522" i="1" a="1"/>
  <c r="I522" i="1" s="1"/>
  <c r="I523" i="1" a="1"/>
  <c r="I523" i="1" s="1"/>
  <c r="I524" i="1" a="1"/>
  <c r="I524" i="1" s="1"/>
  <c r="I525" i="1" a="1"/>
  <c r="I525" i="1" s="1"/>
  <c r="I526" i="1" a="1"/>
  <c r="I526" i="1" s="1"/>
  <c r="I527" i="1" a="1"/>
  <c r="I527" i="1" s="1"/>
  <c r="I528" i="1" a="1"/>
  <c r="I528" i="1" s="1"/>
  <c r="I529" i="1" a="1"/>
  <c r="I529" i="1" s="1"/>
  <c r="I530" i="1" a="1"/>
  <c r="I530" i="1" s="1"/>
  <c r="I531" i="1" a="1"/>
  <c r="I531" i="1" s="1"/>
  <c r="I532" i="1" a="1"/>
  <c r="I532" i="1" s="1"/>
  <c r="I533" i="1" a="1"/>
  <c r="I533" i="1" s="1"/>
  <c r="I534" i="1" a="1"/>
  <c r="I534" i="1" s="1"/>
  <c r="I535" i="1" a="1"/>
  <c r="I535" i="1" s="1"/>
  <c r="I536" i="1" a="1"/>
  <c r="I536" i="1" s="1"/>
  <c r="I537" i="1" a="1"/>
  <c r="I537" i="1" s="1"/>
  <c r="I538" i="1" a="1"/>
  <c r="I538" i="1" s="1"/>
  <c r="I539" i="1" a="1"/>
  <c r="I539" i="1" s="1"/>
  <c r="I540" i="1" a="1"/>
  <c r="I540" i="1" s="1"/>
  <c r="I541" i="1" a="1"/>
  <c r="I541" i="1" s="1"/>
  <c r="I542" i="1" a="1"/>
  <c r="I542" i="1" s="1"/>
  <c r="I543" i="1" a="1"/>
  <c r="I543" i="1" s="1"/>
  <c r="I544" i="1" a="1"/>
  <c r="I544" i="1" s="1"/>
  <c r="I545" i="1" a="1"/>
  <c r="I545" i="1" s="1"/>
  <c r="I546" i="1" a="1"/>
  <c r="I546" i="1" s="1"/>
  <c r="I547" i="1" a="1"/>
  <c r="I547" i="1" s="1"/>
  <c r="I548" i="1" a="1"/>
  <c r="I548" i="1" s="1"/>
  <c r="I549" i="1" a="1"/>
  <c r="I549" i="1" s="1"/>
  <c r="I550" i="1" a="1"/>
  <c r="I550" i="1" s="1"/>
  <c r="I551" i="1" a="1"/>
  <c r="I551" i="1" s="1"/>
  <c r="I552" i="1" a="1"/>
  <c r="I552" i="1" s="1"/>
  <c r="I553" i="1" a="1"/>
  <c r="I553" i="1" s="1"/>
  <c r="I554" i="1" a="1"/>
  <c r="I554" i="1" s="1"/>
  <c r="I555" i="1" a="1"/>
  <c r="I555" i="1" s="1"/>
  <c r="I556" i="1" a="1"/>
  <c r="I556" i="1" s="1"/>
  <c r="I557" i="1" a="1"/>
  <c r="I557" i="1" s="1"/>
  <c r="I558" i="1" a="1"/>
  <c r="I558" i="1" s="1"/>
  <c r="I559" i="1" a="1"/>
  <c r="I559" i="1" s="1"/>
  <c r="I560" i="1" a="1"/>
  <c r="I560" i="1" s="1"/>
  <c r="I561" i="1" a="1"/>
  <c r="I561" i="1" s="1"/>
  <c r="I562" i="1" a="1"/>
  <c r="I562" i="1" s="1"/>
  <c r="I563" i="1" a="1"/>
  <c r="I563" i="1" s="1"/>
  <c r="I564" i="1" a="1"/>
  <c r="I564" i="1" s="1"/>
  <c r="I565" i="1" a="1"/>
  <c r="I565" i="1" s="1"/>
  <c r="I566" i="1" a="1"/>
  <c r="I566" i="1" s="1"/>
  <c r="I567" i="1" a="1"/>
  <c r="I567" i="1" s="1"/>
  <c r="I568" i="1" a="1"/>
  <c r="I568" i="1" s="1"/>
  <c r="I569" i="1" a="1"/>
  <c r="I569" i="1" s="1"/>
  <c r="I570" i="1" a="1"/>
  <c r="I570" i="1" s="1"/>
  <c r="I571" i="1" a="1"/>
  <c r="I571" i="1" s="1"/>
  <c r="I572" i="1" a="1"/>
  <c r="I572" i="1" s="1"/>
  <c r="I573" i="1" a="1"/>
  <c r="I573" i="1" s="1"/>
  <c r="I574" i="1" a="1"/>
  <c r="I574" i="1" s="1"/>
  <c r="I575" i="1" a="1"/>
  <c r="I575" i="1" s="1"/>
  <c r="I576" i="1" a="1"/>
  <c r="I576" i="1" s="1"/>
  <c r="I577" i="1" a="1"/>
  <c r="I577" i="1" s="1"/>
  <c r="I578" i="1" a="1"/>
  <c r="I578" i="1" s="1"/>
  <c r="I579" i="1" a="1"/>
  <c r="I579" i="1" s="1"/>
  <c r="I580" i="1" a="1"/>
  <c r="I580" i="1" s="1"/>
  <c r="I581" i="1" a="1"/>
  <c r="I581" i="1" s="1"/>
  <c r="I582" i="1" a="1"/>
  <c r="I582" i="1" s="1"/>
  <c r="I583" i="1" a="1"/>
  <c r="I583" i="1" s="1"/>
  <c r="I584" i="1" a="1"/>
  <c r="I584" i="1" s="1"/>
  <c r="I585" i="1" a="1"/>
  <c r="I585" i="1" s="1"/>
  <c r="I586" i="1" a="1"/>
  <c r="I586" i="1" s="1"/>
  <c r="I587" i="1" a="1"/>
  <c r="I587" i="1" s="1"/>
  <c r="I588" i="1" a="1"/>
  <c r="I588" i="1" s="1"/>
  <c r="I589" i="1" a="1"/>
  <c r="I589" i="1" s="1"/>
  <c r="I590" i="1" a="1"/>
  <c r="I590" i="1" s="1"/>
  <c r="I591" i="1" a="1"/>
  <c r="I591" i="1" s="1"/>
  <c r="I592" i="1" a="1"/>
  <c r="I592" i="1" s="1"/>
  <c r="I593" i="1" a="1"/>
  <c r="I593" i="1" s="1"/>
  <c r="I594" i="1" a="1"/>
  <c r="I594" i="1" s="1"/>
  <c r="I595" i="1" a="1"/>
  <c r="I595" i="1" s="1"/>
  <c r="I596" i="1" a="1"/>
  <c r="I596" i="1" s="1"/>
  <c r="I597" i="1" a="1"/>
  <c r="I597" i="1" s="1"/>
  <c r="I598" i="1" a="1"/>
  <c r="I598" i="1" s="1"/>
  <c r="I599" i="1" a="1"/>
  <c r="I599" i="1" s="1"/>
  <c r="I600" i="1" a="1"/>
  <c r="I600" i="1" s="1"/>
  <c r="I601" i="1" a="1"/>
  <c r="I601" i="1" s="1"/>
  <c r="I602" i="1" a="1"/>
  <c r="I602" i="1" s="1"/>
  <c r="I603" i="1" a="1"/>
  <c r="I603" i="1" s="1"/>
  <c r="I604" i="1" a="1"/>
  <c r="I604" i="1" s="1"/>
  <c r="I605" i="1" a="1"/>
  <c r="I605" i="1" s="1"/>
  <c r="I606" i="1" a="1"/>
  <c r="I606" i="1" s="1"/>
  <c r="I607" i="1" a="1"/>
  <c r="I607" i="1" s="1"/>
  <c r="H3" i="1"/>
  <c r="K3" i="1" s="1"/>
  <c r="H4" i="1"/>
  <c r="K4" i="1" s="1"/>
  <c r="H5" i="1"/>
  <c r="K5" i="1" s="1"/>
  <c r="H6" i="1"/>
  <c r="K6" i="1" s="1"/>
  <c r="H7" i="1"/>
  <c r="K7" i="1" s="1"/>
  <c r="H8" i="1"/>
  <c r="K8" i="1" s="1"/>
  <c r="H9" i="1"/>
  <c r="K9" i="1" s="1"/>
  <c r="H10" i="1"/>
  <c r="K10" i="1" s="1"/>
  <c r="H11" i="1"/>
  <c r="K11" i="1" s="1"/>
  <c r="H12" i="1"/>
  <c r="K12" i="1" s="1"/>
  <c r="H13" i="1"/>
  <c r="K13" i="1" s="1"/>
  <c r="H14" i="1"/>
  <c r="K14" i="1" s="1"/>
  <c r="H15" i="1"/>
  <c r="K15" i="1" s="1"/>
  <c r="H16" i="1"/>
  <c r="K16" i="1" s="1"/>
  <c r="H17" i="1"/>
  <c r="K17" i="1" s="1"/>
  <c r="H18" i="1"/>
  <c r="K18" i="1" s="1"/>
  <c r="H19" i="1"/>
  <c r="K19" i="1" s="1"/>
  <c r="H20" i="1"/>
  <c r="K20" i="1" s="1"/>
  <c r="H21" i="1"/>
  <c r="K21" i="1" s="1"/>
  <c r="H22" i="1"/>
  <c r="K22" i="1" s="1"/>
  <c r="H23" i="1"/>
  <c r="K23" i="1" s="1"/>
  <c r="H24" i="1"/>
  <c r="K24" i="1" s="1"/>
  <c r="H25" i="1"/>
  <c r="K25" i="1" s="1"/>
  <c r="H26" i="1"/>
  <c r="K26" i="1" s="1"/>
  <c r="H27" i="1"/>
  <c r="K27" i="1" s="1"/>
  <c r="H28" i="1"/>
  <c r="K28" i="1" s="1"/>
  <c r="H29" i="1"/>
  <c r="K29" i="1" s="1"/>
  <c r="H30" i="1"/>
  <c r="K30" i="1" s="1"/>
  <c r="H31" i="1"/>
  <c r="K31" i="1" s="1"/>
  <c r="H32" i="1"/>
  <c r="K32" i="1" s="1"/>
  <c r="H33" i="1"/>
  <c r="K33" i="1" s="1"/>
  <c r="H34" i="1"/>
  <c r="K34" i="1" s="1"/>
  <c r="H35" i="1"/>
  <c r="K35" i="1" s="1"/>
  <c r="H36" i="1"/>
  <c r="K36" i="1" s="1"/>
  <c r="H37" i="1"/>
  <c r="K37" i="1" s="1"/>
  <c r="H38" i="1"/>
  <c r="K38" i="1" s="1"/>
  <c r="H39" i="1"/>
  <c r="K39" i="1" s="1"/>
  <c r="H40" i="1"/>
  <c r="K40" i="1" s="1"/>
  <c r="H41" i="1"/>
  <c r="K41" i="1" s="1"/>
  <c r="H42" i="1"/>
  <c r="K42" i="1" s="1"/>
  <c r="H43" i="1"/>
  <c r="K43" i="1" s="1"/>
  <c r="H44" i="1"/>
  <c r="K44" i="1" s="1"/>
  <c r="H45" i="1"/>
  <c r="K45" i="1" s="1"/>
  <c r="H46" i="1"/>
  <c r="K46" i="1" s="1"/>
  <c r="H47" i="1"/>
  <c r="K47" i="1" s="1"/>
  <c r="H48" i="1"/>
  <c r="K48" i="1" s="1"/>
  <c r="H49" i="1"/>
  <c r="K49" i="1" s="1"/>
  <c r="H50" i="1"/>
  <c r="K50" i="1" s="1"/>
  <c r="H51" i="1"/>
  <c r="K51" i="1" s="1"/>
  <c r="H52" i="1"/>
  <c r="K52" i="1" s="1"/>
  <c r="H53" i="1"/>
  <c r="K53" i="1" s="1"/>
  <c r="H54" i="1"/>
  <c r="K54" i="1" s="1"/>
  <c r="H55" i="1"/>
  <c r="K55" i="1" s="1"/>
  <c r="H56" i="1"/>
  <c r="K56" i="1" s="1"/>
  <c r="H57" i="1"/>
  <c r="K57" i="1" s="1"/>
  <c r="H58" i="1"/>
  <c r="K58" i="1" s="1"/>
  <c r="H59" i="1"/>
  <c r="K59" i="1" s="1"/>
  <c r="H60" i="1"/>
  <c r="K60" i="1" s="1"/>
  <c r="H61" i="1"/>
  <c r="K61" i="1" s="1"/>
  <c r="H62" i="1"/>
  <c r="K62" i="1" s="1"/>
  <c r="H63" i="1"/>
  <c r="K63" i="1" s="1"/>
  <c r="H64" i="1"/>
  <c r="K64" i="1" s="1"/>
  <c r="H65" i="1"/>
  <c r="K65" i="1" s="1"/>
  <c r="H66" i="1"/>
  <c r="K66" i="1" s="1"/>
  <c r="H67" i="1"/>
  <c r="K67" i="1" s="1"/>
  <c r="H68" i="1"/>
  <c r="K68" i="1" s="1"/>
  <c r="H69" i="1"/>
  <c r="K69" i="1" s="1"/>
  <c r="H70" i="1"/>
  <c r="K70" i="1" s="1"/>
  <c r="H71" i="1"/>
  <c r="K71" i="1" s="1"/>
  <c r="H72" i="1"/>
  <c r="K72" i="1" s="1"/>
  <c r="H73" i="1"/>
  <c r="K73" i="1" s="1"/>
  <c r="H74" i="1"/>
  <c r="K74" i="1" s="1"/>
  <c r="H75" i="1"/>
  <c r="K75" i="1" s="1"/>
  <c r="H76" i="1"/>
  <c r="K76" i="1" s="1"/>
  <c r="H77" i="1"/>
  <c r="K77" i="1" s="1"/>
  <c r="H78" i="1"/>
  <c r="K78" i="1" s="1"/>
  <c r="H79" i="1"/>
  <c r="K79" i="1" s="1"/>
  <c r="H80" i="1"/>
  <c r="K80" i="1" s="1"/>
  <c r="H81" i="1"/>
  <c r="K81" i="1" s="1"/>
  <c r="H82" i="1"/>
  <c r="K82" i="1" s="1"/>
  <c r="H83" i="1"/>
  <c r="K83" i="1" s="1"/>
  <c r="H84" i="1"/>
  <c r="K84" i="1" s="1"/>
  <c r="H85" i="1"/>
  <c r="K85" i="1" s="1"/>
  <c r="H86" i="1"/>
  <c r="K86" i="1" s="1"/>
  <c r="H87" i="1"/>
  <c r="K87" i="1" s="1"/>
  <c r="H88" i="1"/>
  <c r="K88" i="1" s="1"/>
  <c r="H89" i="1"/>
  <c r="K89" i="1" s="1"/>
  <c r="H90" i="1"/>
  <c r="K90" i="1" s="1"/>
  <c r="H91" i="1"/>
  <c r="K91" i="1" s="1"/>
  <c r="H92" i="1"/>
  <c r="K92" i="1" s="1"/>
  <c r="H93" i="1"/>
  <c r="K93" i="1" s="1"/>
  <c r="H94" i="1"/>
  <c r="K94" i="1" s="1"/>
  <c r="H95" i="1"/>
  <c r="K95" i="1" s="1"/>
  <c r="H96" i="1"/>
  <c r="K96" i="1" s="1"/>
  <c r="H97" i="1"/>
  <c r="K97" i="1" s="1"/>
  <c r="H98" i="1"/>
  <c r="K98" i="1" s="1"/>
  <c r="H99" i="1"/>
  <c r="K99" i="1" s="1"/>
  <c r="H100" i="1"/>
  <c r="K100" i="1" s="1"/>
  <c r="H101" i="1"/>
  <c r="K101" i="1" s="1"/>
  <c r="H102" i="1"/>
  <c r="K102" i="1" s="1"/>
  <c r="H103" i="1"/>
  <c r="K103" i="1" s="1"/>
  <c r="H104" i="1"/>
  <c r="K104" i="1" s="1"/>
  <c r="H105" i="1"/>
  <c r="K105" i="1" s="1"/>
  <c r="H106" i="1"/>
  <c r="K106" i="1" s="1"/>
  <c r="H107" i="1"/>
  <c r="K107" i="1" s="1"/>
  <c r="H108" i="1"/>
  <c r="K108" i="1" s="1"/>
  <c r="H109" i="1"/>
  <c r="K109" i="1" s="1"/>
  <c r="H110" i="1"/>
  <c r="K110" i="1" s="1"/>
  <c r="H111" i="1"/>
  <c r="K111" i="1" s="1"/>
  <c r="H112" i="1"/>
  <c r="K112" i="1" s="1"/>
  <c r="H113" i="1"/>
  <c r="K113" i="1" s="1"/>
  <c r="H114" i="1"/>
  <c r="K114" i="1" s="1"/>
  <c r="H115" i="1"/>
  <c r="K115" i="1" s="1"/>
  <c r="H116" i="1"/>
  <c r="K116" i="1" s="1"/>
  <c r="H117" i="1"/>
  <c r="K117" i="1" s="1"/>
  <c r="H118" i="1"/>
  <c r="K118" i="1" s="1"/>
  <c r="H119" i="1"/>
  <c r="K119" i="1" s="1"/>
  <c r="H120" i="1"/>
  <c r="K120" i="1" s="1"/>
  <c r="K121" i="1"/>
  <c r="H122" i="1"/>
  <c r="K122" i="1" s="1"/>
  <c r="H123" i="1"/>
  <c r="K123" i="1" s="1"/>
  <c r="H124" i="1"/>
  <c r="K124" i="1" s="1"/>
  <c r="H125" i="1"/>
  <c r="K125" i="1" s="1"/>
  <c r="H126" i="1"/>
  <c r="K126" i="1" s="1"/>
  <c r="H127" i="1"/>
  <c r="K127" i="1" s="1"/>
  <c r="H128" i="1"/>
  <c r="K128" i="1" s="1"/>
  <c r="H129" i="1"/>
  <c r="K129" i="1" s="1"/>
  <c r="H130" i="1"/>
  <c r="K130" i="1" s="1"/>
  <c r="H131" i="1"/>
  <c r="K131" i="1" s="1"/>
  <c r="H132" i="1"/>
  <c r="K132" i="1" s="1"/>
  <c r="H133" i="1"/>
  <c r="K133" i="1" s="1"/>
  <c r="H134" i="1"/>
  <c r="K134" i="1" s="1"/>
  <c r="H135" i="1"/>
  <c r="K135" i="1" s="1"/>
  <c r="H136" i="1"/>
  <c r="K136" i="1" s="1"/>
  <c r="H137" i="1"/>
  <c r="K137" i="1" s="1"/>
  <c r="H138" i="1"/>
  <c r="K138" i="1" s="1"/>
  <c r="H139" i="1"/>
  <c r="K139" i="1" s="1"/>
  <c r="H140" i="1"/>
  <c r="K140" i="1" s="1"/>
  <c r="H141" i="1"/>
  <c r="K141" i="1" s="1"/>
  <c r="H142" i="1"/>
  <c r="K142" i="1" s="1"/>
  <c r="H143" i="1"/>
  <c r="K143" i="1" s="1"/>
  <c r="H144" i="1"/>
  <c r="K144" i="1" s="1"/>
  <c r="H145" i="1"/>
  <c r="K145" i="1" s="1"/>
  <c r="H146" i="1"/>
  <c r="K146" i="1" s="1"/>
  <c r="H147" i="1"/>
  <c r="K147" i="1" s="1"/>
  <c r="H148" i="1"/>
  <c r="K148" i="1" s="1"/>
  <c r="H149" i="1"/>
  <c r="K149" i="1" s="1"/>
  <c r="H150" i="1"/>
  <c r="K150" i="1" s="1"/>
  <c r="H151" i="1"/>
  <c r="K151" i="1" s="1"/>
  <c r="H152" i="1"/>
  <c r="K152" i="1" s="1"/>
  <c r="H153" i="1"/>
  <c r="K153" i="1" s="1"/>
  <c r="H154" i="1"/>
  <c r="K154" i="1" s="1"/>
  <c r="H155" i="1"/>
  <c r="K155" i="1" s="1"/>
  <c r="H156" i="1"/>
  <c r="K156" i="1" s="1"/>
  <c r="H157" i="1"/>
  <c r="K157" i="1" s="1"/>
  <c r="H158" i="1"/>
  <c r="K158" i="1" s="1"/>
  <c r="H159" i="1"/>
  <c r="K159" i="1" s="1"/>
  <c r="H160" i="1"/>
  <c r="K160" i="1" s="1"/>
  <c r="H161" i="1"/>
  <c r="K161" i="1" s="1"/>
  <c r="H162" i="1"/>
  <c r="K162" i="1" s="1"/>
  <c r="H163" i="1"/>
  <c r="K163" i="1" s="1"/>
  <c r="H164" i="1"/>
  <c r="K164" i="1" s="1"/>
  <c r="H165" i="1"/>
  <c r="K165" i="1" s="1"/>
  <c r="H166" i="1"/>
  <c r="K166" i="1" s="1"/>
  <c r="H167" i="1"/>
  <c r="K167" i="1" s="1"/>
  <c r="H168" i="1"/>
  <c r="K168" i="1" s="1"/>
  <c r="H169" i="1"/>
  <c r="K169" i="1" s="1"/>
  <c r="H170" i="1"/>
  <c r="K170" i="1" s="1"/>
  <c r="H171" i="1"/>
  <c r="K171" i="1" s="1"/>
  <c r="H172" i="1"/>
  <c r="K172" i="1" s="1"/>
  <c r="H173" i="1"/>
  <c r="K173" i="1" s="1"/>
  <c r="H174" i="1"/>
  <c r="K174" i="1" s="1"/>
  <c r="H175" i="1"/>
  <c r="K175" i="1" s="1"/>
  <c r="H176" i="1"/>
  <c r="K176" i="1" s="1"/>
  <c r="H177" i="1"/>
  <c r="K177" i="1" s="1"/>
  <c r="H178" i="1"/>
  <c r="K178" i="1" s="1"/>
  <c r="H179" i="1"/>
  <c r="K179" i="1" s="1"/>
  <c r="H180" i="1"/>
  <c r="K180" i="1" s="1"/>
  <c r="H181" i="1"/>
  <c r="K181" i="1" s="1"/>
  <c r="H182" i="1"/>
  <c r="K182" i="1" s="1"/>
  <c r="H183" i="1"/>
  <c r="K183" i="1" s="1"/>
  <c r="H184" i="1"/>
  <c r="K184" i="1" s="1"/>
  <c r="H185" i="1"/>
  <c r="K185" i="1" s="1"/>
  <c r="H186" i="1"/>
  <c r="K186" i="1" s="1"/>
  <c r="H187" i="1"/>
  <c r="K187" i="1" s="1"/>
  <c r="H188" i="1"/>
  <c r="K188" i="1" s="1"/>
  <c r="H189" i="1"/>
  <c r="K189" i="1" s="1"/>
  <c r="H190" i="1"/>
  <c r="K190" i="1" s="1"/>
  <c r="H191" i="1"/>
  <c r="K191" i="1" s="1"/>
  <c r="H192" i="1"/>
  <c r="K192" i="1" s="1"/>
  <c r="H193" i="1"/>
  <c r="K193" i="1" s="1"/>
  <c r="H194" i="1"/>
  <c r="K194" i="1" s="1"/>
  <c r="H195" i="1"/>
  <c r="K195" i="1" s="1"/>
  <c r="H196" i="1"/>
  <c r="K196" i="1" s="1"/>
  <c r="H197" i="1"/>
  <c r="K197" i="1" s="1"/>
  <c r="H198" i="1"/>
  <c r="K198" i="1" s="1"/>
  <c r="H199" i="1"/>
  <c r="K199" i="1" s="1"/>
  <c r="H200" i="1"/>
  <c r="K200" i="1" s="1"/>
  <c r="H201" i="1"/>
  <c r="K201" i="1" s="1"/>
  <c r="H202" i="1"/>
  <c r="K202" i="1" s="1"/>
  <c r="H203" i="1"/>
  <c r="K203" i="1" s="1"/>
  <c r="H204" i="1"/>
  <c r="K204" i="1" s="1"/>
  <c r="H205" i="1"/>
  <c r="K205" i="1" s="1"/>
  <c r="H206" i="1"/>
  <c r="K206" i="1" s="1"/>
  <c r="H207" i="1"/>
  <c r="K207" i="1" s="1"/>
  <c r="H208" i="1"/>
  <c r="K208" i="1" s="1"/>
  <c r="H209" i="1"/>
  <c r="K209" i="1" s="1"/>
  <c r="H210" i="1"/>
  <c r="K210" i="1" s="1"/>
  <c r="H211" i="1"/>
  <c r="K211" i="1" s="1"/>
  <c r="H212" i="1"/>
  <c r="K212" i="1" s="1"/>
  <c r="H213" i="1"/>
  <c r="K213" i="1" s="1"/>
  <c r="H214" i="1"/>
  <c r="K214" i="1" s="1"/>
  <c r="H215" i="1"/>
  <c r="K215" i="1" s="1"/>
  <c r="H216" i="1"/>
  <c r="K216" i="1" s="1"/>
  <c r="H217" i="1"/>
  <c r="K217" i="1" s="1"/>
  <c r="H218" i="1"/>
  <c r="K218" i="1" s="1"/>
  <c r="H219" i="1"/>
  <c r="K219" i="1" s="1"/>
  <c r="H220" i="1"/>
  <c r="K220" i="1" s="1"/>
  <c r="H221" i="1"/>
  <c r="K221" i="1" s="1"/>
  <c r="H222" i="1"/>
  <c r="K222" i="1" s="1"/>
  <c r="H223" i="1"/>
  <c r="K223" i="1" s="1"/>
  <c r="H224" i="1"/>
  <c r="K224" i="1" s="1"/>
  <c r="H225" i="1"/>
  <c r="K225" i="1" s="1"/>
  <c r="H226" i="1"/>
  <c r="K226" i="1" s="1"/>
  <c r="H227" i="1"/>
  <c r="K227" i="1" s="1"/>
  <c r="H228" i="1"/>
  <c r="K228" i="1" s="1"/>
  <c r="H229" i="1"/>
  <c r="K229" i="1" s="1"/>
  <c r="H230" i="1"/>
  <c r="K230" i="1" s="1"/>
  <c r="H231" i="1"/>
  <c r="K231" i="1" s="1"/>
  <c r="H232" i="1"/>
  <c r="K232" i="1" s="1"/>
  <c r="H233" i="1"/>
  <c r="K233" i="1" s="1"/>
  <c r="H234" i="1"/>
  <c r="K234" i="1" s="1"/>
  <c r="H235" i="1"/>
  <c r="K235" i="1" s="1"/>
  <c r="H236" i="1"/>
  <c r="K236" i="1" s="1"/>
  <c r="H237" i="1"/>
  <c r="K237" i="1" s="1"/>
  <c r="H238" i="1"/>
  <c r="K238" i="1" s="1"/>
  <c r="H239" i="1"/>
  <c r="K239" i="1" s="1"/>
  <c r="H240" i="1"/>
  <c r="K240" i="1" s="1"/>
  <c r="H241" i="1"/>
  <c r="K241" i="1" s="1"/>
  <c r="H242" i="1"/>
  <c r="K242" i="1" s="1"/>
  <c r="H243" i="1"/>
  <c r="K243" i="1" s="1"/>
  <c r="H244" i="1"/>
  <c r="K244" i="1" s="1"/>
  <c r="H245" i="1"/>
  <c r="K245" i="1" s="1"/>
  <c r="H246" i="1"/>
  <c r="K246" i="1" s="1"/>
  <c r="H247" i="1"/>
  <c r="K247" i="1" s="1"/>
  <c r="H248" i="1"/>
  <c r="K248" i="1" s="1"/>
  <c r="H249" i="1"/>
  <c r="K249" i="1" s="1"/>
  <c r="H250" i="1"/>
  <c r="K250" i="1" s="1"/>
  <c r="H251" i="1"/>
  <c r="K251" i="1" s="1"/>
  <c r="H252" i="1"/>
  <c r="K252" i="1" s="1"/>
  <c r="H253" i="1"/>
  <c r="K253" i="1" s="1"/>
  <c r="H254" i="1"/>
  <c r="K254" i="1" s="1"/>
  <c r="H255" i="1"/>
  <c r="K255" i="1" s="1"/>
  <c r="H256" i="1"/>
  <c r="K256" i="1" s="1"/>
  <c r="H257" i="1"/>
  <c r="K257" i="1" s="1"/>
  <c r="H258" i="1"/>
  <c r="K258" i="1" s="1"/>
  <c r="H259" i="1"/>
  <c r="K259" i="1" s="1"/>
  <c r="H260" i="1"/>
  <c r="K260" i="1" s="1"/>
  <c r="H261" i="1"/>
  <c r="K261" i="1" s="1"/>
  <c r="H262" i="1"/>
  <c r="K262" i="1" s="1"/>
  <c r="H263" i="1"/>
  <c r="K263" i="1" s="1"/>
  <c r="H264" i="1"/>
  <c r="K264" i="1" s="1"/>
  <c r="H265" i="1"/>
  <c r="K265" i="1" s="1"/>
  <c r="H266" i="1"/>
  <c r="K266" i="1" s="1"/>
  <c r="H267" i="1"/>
  <c r="K267" i="1" s="1"/>
  <c r="H268" i="1"/>
  <c r="K268" i="1" s="1"/>
  <c r="H269" i="1"/>
  <c r="K269" i="1" s="1"/>
  <c r="H270" i="1"/>
  <c r="K270" i="1" s="1"/>
  <c r="H271" i="1"/>
  <c r="K271" i="1" s="1"/>
  <c r="H272" i="1"/>
  <c r="K272" i="1" s="1"/>
  <c r="H273" i="1"/>
  <c r="K273" i="1" s="1"/>
  <c r="H274" i="1"/>
  <c r="K274" i="1" s="1"/>
  <c r="H275" i="1"/>
  <c r="K275" i="1" s="1"/>
  <c r="H276" i="1"/>
  <c r="K276" i="1" s="1"/>
  <c r="H277" i="1"/>
  <c r="K277" i="1" s="1"/>
  <c r="H278" i="1"/>
  <c r="K278" i="1" s="1"/>
  <c r="H279" i="1"/>
  <c r="K279" i="1" s="1"/>
  <c r="H280" i="1"/>
  <c r="K280" i="1" s="1"/>
  <c r="H281" i="1"/>
  <c r="K281" i="1" s="1"/>
  <c r="H282" i="1"/>
  <c r="K282" i="1" s="1"/>
  <c r="H283" i="1"/>
  <c r="K283" i="1" s="1"/>
  <c r="H284" i="1"/>
  <c r="K284" i="1" s="1"/>
  <c r="H285" i="1"/>
  <c r="K285" i="1" s="1"/>
  <c r="H286" i="1"/>
  <c r="K286" i="1" s="1"/>
  <c r="H287" i="1"/>
  <c r="K287" i="1" s="1"/>
  <c r="H288" i="1"/>
  <c r="K288" i="1" s="1"/>
  <c r="H289" i="1"/>
  <c r="K289" i="1" s="1"/>
  <c r="H290" i="1"/>
  <c r="K290" i="1" s="1"/>
  <c r="H291" i="1"/>
  <c r="K291" i="1" s="1"/>
  <c r="H292" i="1"/>
  <c r="K292" i="1" s="1"/>
  <c r="H293" i="1"/>
  <c r="K293" i="1" s="1"/>
  <c r="H294" i="1"/>
  <c r="K294" i="1" s="1"/>
  <c r="H295" i="1"/>
  <c r="K295" i="1" s="1"/>
  <c r="H296" i="1"/>
  <c r="K296" i="1" s="1"/>
  <c r="H297" i="1"/>
  <c r="K297" i="1" s="1"/>
  <c r="H298" i="1"/>
  <c r="K298" i="1" s="1"/>
  <c r="H299" i="1"/>
  <c r="K299" i="1" s="1"/>
  <c r="H300" i="1"/>
  <c r="K300" i="1" s="1"/>
  <c r="H301" i="1"/>
  <c r="K301" i="1" s="1"/>
  <c r="H302" i="1"/>
  <c r="K302" i="1" s="1"/>
  <c r="H303" i="1"/>
  <c r="K303" i="1" s="1"/>
  <c r="H304" i="1"/>
  <c r="K304" i="1" s="1"/>
  <c r="H305" i="1"/>
  <c r="K305" i="1" s="1"/>
  <c r="H306" i="1"/>
  <c r="K306" i="1" s="1"/>
  <c r="H307" i="1"/>
  <c r="K307" i="1" s="1"/>
  <c r="H308" i="1"/>
  <c r="K308" i="1" s="1"/>
  <c r="H309" i="1"/>
  <c r="K309" i="1" s="1"/>
  <c r="H310" i="1"/>
  <c r="K310" i="1" s="1"/>
  <c r="H311" i="1"/>
  <c r="K311" i="1" s="1"/>
  <c r="H312" i="1"/>
  <c r="K312" i="1" s="1"/>
  <c r="H313" i="1"/>
  <c r="K313" i="1" s="1"/>
  <c r="H314" i="1"/>
  <c r="K314" i="1" s="1"/>
  <c r="H315" i="1"/>
  <c r="K315" i="1" s="1"/>
  <c r="H316" i="1"/>
  <c r="K316" i="1" s="1"/>
  <c r="H317" i="1"/>
  <c r="K317" i="1" s="1"/>
  <c r="H318" i="1"/>
  <c r="K318" i="1" s="1"/>
  <c r="H319" i="1"/>
  <c r="K319" i="1" s="1"/>
  <c r="H320" i="1"/>
  <c r="K320" i="1" s="1"/>
  <c r="H321" i="1"/>
  <c r="K321" i="1" s="1"/>
  <c r="H322" i="1"/>
  <c r="K322" i="1" s="1"/>
  <c r="H323" i="1"/>
  <c r="K323" i="1" s="1"/>
  <c r="H324" i="1"/>
  <c r="K324" i="1" s="1"/>
  <c r="H325" i="1"/>
  <c r="K325" i="1" s="1"/>
  <c r="H326" i="1"/>
  <c r="K326" i="1" s="1"/>
  <c r="H327" i="1"/>
  <c r="K327" i="1" s="1"/>
  <c r="H328" i="1"/>
  <c r="K328" i="1" s="1"/>
  <c r="H329" i="1"/>
  <c r="K329" i="1" s="1"/>
  <c r="H330" i="1"/>
  <c r="K330" i="1" s="1"/>
  <c r="H331" i="1"/>
  <c r="K331" i="1" s="1"/>
  <c r="H332" i="1"/>
  <c r="K332" i="1" s="1"/>
  <c r="H333" i="1"/>
  <c r="K333" i="1" s="1"/>
  <c r="H334" i="1"/>
  <c r="K334" i="1" s="1"/>
  <c r="H335" i="1"/>
  <c r="K335" i="1" s="1"/>
  <c r="H336" i="1"/>
  <c r="K336" i="1" s="1"/>
  <c r="H337" i="1"/>
  <c r="K337" i="1" s="1"/>
  <c r="H338" i="1"/>
  <c r="K338" i="1" s="1"/>
  <c r="H339" i="1"/>
  <c r="K339" i="1" s="1"/>
  <c r="H340" i="1"/>
  <c r="K340" i="1" s="1"/>
  <c r="H341" i="1"/>
  <c r="K341" i="1" s="1"/>
  <c r="H342" i="1"/>
  <c r="K342" i="1" s="1"/>
  <c r="H343" i="1"/>
  <c r="K343" i="1" s="1"/>
  <c r="H344" i="1"/>
  <c r="K344" i="1" s="1"/>
  <c r="H345" i="1"/>
  <c r="K345" i="1" s="1"/>
  <c r="H346" i="1"/>
  <c r="K346" i="1" s="1"/>
  <c r="H347" i="1"/>
  <c r="K347" i="1" s="1"/>
  <c r="H348" i="1"/>
  <c r="K348" i="1" s="1"/>
  <c r="H349" i="1"/>
  <c r="K349" i="1" s="1"/>
  <c r="H350" i="1"/>
  <c r="K350" i="1" s="1"/>
  <c r="H351" i="1"/>
  <c r="K351" i="1" s="1"/>
  <c r="H352" i="1"/>
  <c r="K352" i="1" s="1"/>
  <c r="H353" i="1"/>
  <c r="K353" i="1" s="1"/>
  <c r="H354" i="1"/>
  <c r="K354" i="1" s="1"/>
  <c r="H355" i="1"/>
  <c r="K355" i="1" s="1"/>
  <c r="H356" i="1"/>
  <c r="K356" i="1" s="1"/>
  <c r="H357" i="1"/>
  <c r="K357" i="1" s="1"/>
  <c r="H358" i="1"/>
  <c r="K358" i="1" s="1"/>
  <c r="H359" i="1"/>
  <c r="K359" i="1" s="1"/>
  <c r="H360" i="1"/>
  <c r="K360" i="1" s="1"/>
  <c r="H361" i="1"/>
  <c r="K361" i="1" s="1"/>
  <c r="H362" i="1"/>
  <c r="K362" i="1" s="1"/>
  <c r="H363" i="1"/>
  <c r="K363" i="1" s="1"/>
  <c r="H364" i="1"/>
  <c r="K364" i="1" s="1"/>
  <c r="H365" i="1"/>
  <c r="K365" i="1" s="1"/>
  <c r="H366" i="1"/>
  <c r="K366" i="1" s="1"/>
  <c r="H367" i="1"/>
  <c r="K367" i="1" s="1"/>
  <c r="H368" i="1"/>
  <c r="K368" i="1" s="1"/>
  <c r="H369" i="1"/>
  <c r="K369" i="1" s="1"/>
  <c r="H370" i="1"/>
  <c r="K370" i="1" s="1"/>
  <c r="H371" i="1"/>
  <c r="K371" i="1" s="1"/>
  <c r="H372" i="1"/>
  <c r="K372" i="1" s="1"/>
  <c r="H373" i="1"/>
  <c r="K373" i="1" s="1"/>
  <c r="H374" i="1"/>
  <c r="K374" i="1" s="1"/>
  <c r="H375" i="1"/>
  <c r="K375" i="1" s="1"/>
  <c r="H376" i="1"/>
  <c r="K376" i="1" s="1"/>
  <c r="H377" i="1"/>
  <c r="K377" i="1" s="1"/>
  <c r="H378" i="1"/>
  <c r="K378" i="1" s="1"/>
  <c r="H379" i="1"/>
  <c r="K379" i="1" s="1"/>
  <c r="H380" i="1"/>
  <c r="K380" i="1" s="1"/>
  <c r="H381" i="1"/>
  <c r="K381" i="1" s="1"/>
  <c r="H382" i="1"/>
  <c r="K382" i="1" s="1"/>
  <c r="H383" i="1"/>
  <c r="K383" i="1" s="1"/>
  <c r="H384" i="1"/>
  <c r="K384" i="1" s="1"/>
  <c r="H385" i="1"/>
  <c r="K385" i="1" s="1"/>
  <c r="H386" i="1"/>
  <c r="K386" i="1" s="1"/>
  <c r="H387" i="1"/>
  <c r="K387" i="1" s="1"/>
  <c r="H388" i="1"/>
  <c r="K388" i="1" s="1"/>
  <c r="H389" i="1"/>
  <c r="K389" i="1" s="1"/>
  <c r="H390" i="1"/>
  <c r="K390" i="1" s="1"/>
  <c r="H391" i="1"/>
  <c r="K391" i="1" s="1"/>
  <c r="H392" i="1"/>
  <c r="K392" i="1" s="1"/>
  <c r="H393" i="1"/>
  <c r="K393" i="1" s="1"/>
  <c r="H394" i="1"/>
  <c r="K394" i="1" s="1"/>
  <c r="H395" i="1"/>
  <c r="K395" i="1" s="1"/>
  <c r="H396" i="1"/>
  <c r="K396" i="1" s="1"/>
  <c r="H397" i="1"/>
  <c r="K397" i="1" s="1"/>
  <c r="H398" i="1"/>
  <c r="K398" i="1" s="1"/>
  <c r="H399" i="1"/>
  <c r="K399" i="1" s="1"/>
  <c r="H400" i="1"/>
  <c r="K400" i="1" s="1"/>
  <c r="H401" i="1"/>
  <c r="K401" i="1" s="1"/>
  <c r="H402" i="1"/>
  <c r="K402" i="1" s="1"/>
  <c r="H403" i="1"/>
  <c r="K403" i="1" s="1"/>
  <c r="H404" i="1"/>
  <c r="K404" i="1" s="1"/>
  <c r="H405" i="1"/>
  <c r="K405" i="1" s="1"/>
  <c r="H406" i="1"/>
  <c r="K406" i="1" s="1"/>
  <c r="H407" i="1"/>
  <c r="K407" i="1" s="1"/>
  <c r="H408" i="1"/>
  <c r="K408" i="1" s="1"/>
  <c r="H409" i="1"/>
  <c r="K409" i="1" s="1"/>
  <c r="H410" i="1"/>
  <c r="K410" i="1" s="1"/>
  <c r="H411" i="1"/>
  <c r="K411" i="1" s="1"/>
  <c r="H412" i="1"/>
  <c r="K412" i="1" s="1"/>
  <c r="H413" i="1"/>
  <c r="K413" i="1" s="1"/>
  <c r="H414" i="1"/>
  <c r="K414" i="1" s="1"/>
  <c r="H415" i="1"/>
  <c r="K415" i="1" s="1"/>
  <c r="H416" i="1"/>
  <c r="K416" i="1" s="1"/>
  <c r="H417" i="1"/>
  <c r="K417" i="1" s="1"/>
  <c r="H418" i="1"/>
  <c r="K418" i="1" s="1"/>
  <c r="H419" i="1"/>
  <c r="K419" i="1" s="1"/>
  <c r="H420" i="1"/>
  <c r="K420" i="1" s="1"/>
  <c r="H421" i="1"/>
  <c r="K421" i="1" s="1"/>
  <c r="H422" i="1"/>
  <c r="K422" i="1" s="1"/>
  <c r="H423" i="1"/>
  <c r="K423" i="1" s="1"/>
  <c r="H424" i="1"/>
  <c r="K424" i="1" s="1"/>
  <c r="H425" i="1"/>
  <c r="K425" i="1" s="1"/>
  <c r="H426" i="1"/>
  <c r="K426" i="1" s="1"/>
  <c r="H427" i="1"/>
  <c r="K427" i="1" s="1"/>
  <c r="H428" i="1"/>
  <c r="K428" i="1" s="1"/>
  <c r="H429" i="1"/>
  <c r="K429" i="1" s="1"/>
  <c r="H430" i="1"/>
  <c r="K430" i="1" s="1"/>
  <c r="H431" i="1"/>
  <c r="K431" i="1" s="1"/>
  <c r="H432" i="1"/>
  <c r="K432" i="1" s="1"/>
  <c r="H433" i="1"/>
  <c r="K433" i="1" s="1"/>
  <c r="H434" i="1"/>
  <c r="K434" i="1" s="1"/>
  <c r="H435" i="1"/>
  <c r="K435" i="1" s="1"/>
  <c r="H436" i="1"/>
  <c r="K436" i="1" s="1"/>
  <c r="H437" i="1"/>
  <c r="K437" i="1" s="1"/>
  <c r="H438" i="1"/>
  <c r="K438" i="1" s="1"/>
  <c r="H439" i="1"/>
  <c r="K439" i="1" s="1"/>
  <c r="H440" i="1"/>
  <c r="K440" i="1" s="1"/>
  <c r="H441" i="1"/>
  <c r="K441" i="1" s="1"/>
  <c r="H442" i="1"/>
  <c r="K442" i="1" s="1"/>
  <c r="H443" i="1"/>
  <c r="K443" i="1" s="1"/>
  <c r="H444" i="1"/>
  <c r="K444" i="1" s="1"/>
  <c r="H445" i="1"/>
  <c r="K445" i="1" s="1"/>
  <c r="H446" i="1"/>
  <c r="K446" i="1" s="1"/>
  <c r="H447" i="1"/>
  <c r="K447" i="1" s="1"/>
  <c r="H448" i="1"/>
  <c r="K448" i="1" s="1"/>
  <c r="H449" i="1"/>
  <c r="K449" i="1" s="1"/>
  <c r="H450" i="1"/>
  <c r="K450" i="1" s="1"/>
  <c r="H451" i="1"/>
  <c r="K451" i="1" s="1"/>
  <c r="H452" i="1"/>
  <c r="K452" i="1" s="1"/>
  <c r="H453" i="1"/>
  <c r="K453" i="1" s="1"/>
  <c r="H454" i="1"/>
  <c r="K454" i="1" s="1"/>
  <c r="H455" i="1"/>
  <c r="K455" i="1" s="1"/>
  <c r="H456" i="1"/>
  <c r="K456" i="1" s="1"/>
  <c r="H457" i="1"/>
  <c r="K457" i="1" s="1"/>
  <c r="H458" i="1"/>
  <c r="K458" i="1" s="1"/>
  <c r="H459" i="1"/>
  <c r="K459" i="1" s="1"/>
  <c r="H460" i="1"/>
  <c r="K460" i="1" s="1"/>
  <c r="H461" i="1"/>
  <c r="K461" i="1" s="1"/>
  <c r="H462" i="1"/>
  <c r="K462" i="1" s="1"/>
  <c r="H463" i="1"/>
  <c r="K463" i="1" s="1"/>
  <c r="H464" i="1"/>
  <c r="K464" i="1" s="1"/>
  <c r="H465" i="1"/>
  <c r="K465" i="1" s="1"/>
  <c r="H466" i="1"/>
  <c r="K466" i="1" s="1"/>
  <c r="H467" i="1"/>
  <c r="K467" i="1" s="1"/>
  <c r="H468" i="1"/>
  <c r="K468" i="1" s="1"/>
  <c r="H469" i="1"/>
  <c r="K469" i="1" s="1"/>
  <c r="H470" i="1"/>
  <c r="K470" i="1" s="1"/>
  <c r="H471" i="1"/>
  <c r="K471" i="1" s="1"/>
  <c r="H472" i="1"/>
  <c r="K472" i="1" s="1"/>
  <c r="H473" i="1"/>
  <c r="K473" i="1" s="1"/>
  <c r="H474" i="1"/>
  <c r="K474" i="1" s="1"/>
  <c r="H475" i="1"/>
  <c r="K475" i="1" s="1"/>
  <c r="H476" i="1"/>
  <c r="K476" i="1" s="1"/>
  <c r="H477" i="1"/>
  <c r="K477" i="1" s="1"/>
  <c r="H478" i="1"/>
  <c r="K478" i="1" s="1"/>
  <c r="H479" i="1"/>
  <c r="K479" i="1" s="1"/>
  <c r="H480" i="1"/>
  <c r="K480" i="1" s="1"/>
  <c r="H481" i="1"/>
  <c r="K481" i="1" s="1"/>
  <c r="H482" i="1"/>
  <c r="K482" i="1" s="1"/>
  <c r="H483" i="1"/>
  <c r="K483" i="1" s="1"/>
  <c r="H484" i="1"/>
  <c r="K484" i="1" s="1"/>
  <c r="H485" i="1"/>
  <c r="K485" i="1" s="1"/>
  <c r="H486" i="1"/>
  <c r="K486" i="1" s="1"/>
  <c r="H487" i="1"/>
  <c r="K487" i="1" s="1"/>
  <c r="H488" i="1"/>
  <c r="K488" i="1" s="1"/>
  <c r="H489" i="1"/>
  <c r="K489" i="1" s="1"/>
  <c r="H490" i="1"/>
  <c r="K490" i="1" s="1"/>
  <c r="H491" i="1"/>
  <c r="K491" i="1" s="1"/>
  <c r="H492" i="1"/>
  <c r="K492" i="1" s="1"/>
  <c r="H493" i="1"/>
  <c r="K493" i="1" s="1"/>
  <c r="H494" i="1"/>
  <c r="K494" i="1" s="1"/>
  <c r="H495" i="1"/>
  <c r="K495" i="1" s="1"/>
  <c r="H496" i="1"/>
  <c r="K496" i="1" s="1"/>
  <c r="H497" i="1"/>
  <c r="K497" i="1" s="1"/>
  <c r="H498" i="1"/>
  <c r="K498" i="1" s="1"/>
  <c r="H499" i="1"/>
  <c r="K499" i="1" s="1"/>
  <c r="H500" i="1"/>
  <c r="K500" i="1" s="1"/>
  <c r="H501" i="1"/>
  <c r="K501" i="1" s="1"/>
  <c r="H502" i="1"/>
  <c r="K502" i="1" s="1"/>
  <c r="H503" i="1"/>
  <c r="K503" i="1" s="1"/>
  <c r="H504" i="1"/>
  <c r="K504" i="1" s="1"/>
  <c r="H505" i="1"/>
  <c r="K505" i="1" s="1"/>
  <c r="H506" i="1"/>
  <c r="K506" i="1" s="1"/>
  <c r="H507" i="1"/>
  <c r="K507" i="1" s="1"/>
  <c r="H508" i="1"/>
  <c r="K508" i="1" s="1"/>
  <c r="H509" i="1"/>
  <c r="K509" i="1" s="1"/>
  <c r="H510" i="1"/>
  <c r="K510" i="1" s="1"/>
  <c r="H511" i="1"/>
  <c r="K511" i="1" s="1"/>
  <c r="H512" i="1"/>
  <c r="K512" i="1" s="1"/>
  <c r="H513" i="1"/>
  <c r="K513" i="1" s="1"/>
  <c r="H514" i="1"/>
  <c r="K514" i="1" s="1"/>
  <c r="H515" i="1"/>
  <c r="K515" i="1" s="1"/>
  <c r="H516" i="1"/>
  <c r="K516" i="1" s="1"/>
  <c r="H517" i="1"/>
  <c r="K517" i="1" s="1"/>
  <c r="H518" i="1"/>
  <c r="K518" i="1" s="1"/>
  <c r="H519" i="1"/>
  <c r="K519" i="1" s="1"/>
  <c r="H520" i="1"/>
  <c r="K520" i="1" s="1"/>
  <c r="H521" i="1"/>
  <c r="K521" i="1" s="1"/>
  <c r="H522" i="1"/>
  <c r="K522" i="1" s="1"/>
  <c r="H523" i="1"/>
  <c r="K523" i="1" s="1"/>
  <c r="H524" i="1"/>
  <c r="K524" i="1" s="1"/>
  <c r="H525" i="1"/>
  <c r="K525" i="1" s="1"/>
  <c r="H526" i="1"/>
  <c r="K526" i="1" s="1"/>
  <c r="H527" i="1"/>
  <c r="K527" i="1" s="1"/>
  <c r="H528" i="1"/>
  <c r="K528" i="1" s="1"/>
  <c r="H529" i="1"/>
  <c r="K529" i="1" s="1"/>
  <c r="H530" i="1"/>
  <c r="K530" i="1" s="1"/>
  <c r="H531" i="1"/>
  <c r="K531" i="1" s="1"/>
  <c r="H532" i="1"/>
  <c r="K532" i="1" s="1"/>
  <c r="H533" i="1"/>
  <c r="K533" i="1" s="1"/>
  <c r="H534" i="1"/>
  <c r="K534" i="1" s="1"/>
  <c r="H535" i="1"/>
  <c r="K535" i="1" s="1"/>
  <c r="H536" i="1"/>
  <c r="K536" i="1" s="1"/>
  <c r="H537" i="1"/>
  <c r="K537" i="1" s="1"/>
  <c r="H538" i="1"/>
  <c r="K538" i="1" s="1"/>
  <c r="H539" i="1"/>
  <c r="K539" i="1" s="1"/>
  <c r="H540" i="1"/>
  <c r="K540" i="1" s="1"/>
  <c r="H541" i="1"/>
  <c r="K541" i="1" s="1"/>
  <c r="H542" i="1"/>
  <c r="K542" i="1" s="1"/>
  <c r="H543" i="1"/>
  <c r="K543" i="1" s="1"/>
  <c r="H544" i="1"/>
  <c r="K544" i="1" s="1"/>
  <c r="H545" i="1"/>
  <c r="K545" i="1" s="1"/>
  <c r="H546" i="1"/>
  <c r="K546" i="1" s="1"/>
  <c r="H547" i="1"/>
  <c r="K547" i="1" s="1"/>
  <c r="H548" i="1"/>
  <c r="K548" i="1" s="1"/>
  <c r="H549" i="1"/>
  <c r="K549" i="1" s="1"/>
  <c r="H550" i="1"/>
  <c r="K550" i="1" s="1"/>
  <c r="H551" i="1"/>
  <c r="K551" i="1" s="1"/>
  <c r="H552" i="1"/>
  <c r="K552" i="1" s="1"/>
  <c r="H553" i="1"/>
  <c r="K553" i="1" s="1"/>
  <c r="H554" i="1"/>
  <c r="K554" i="1" s="1"/>
  <c r="H555" i="1"/>
  <c r="K555" i="1" s="1"/>
  <c r="H556" i="1"/>
  <c r="K556" i="1" s="1"/>
  <c r="H557" i="1"/>
  <c r="K557" i="1" s="1"/>
  <c r="H558" i="1"/>
  <c r="K558" i="1" s="1"/>
  <c r="H559" i="1"/>
  <c r="K559" i="1" s="1"/>
  <c r="H560" i="1"/>
  <c r="K560" i="1" s="1"/>
  <c r="H561" i="1"/>
  <c r="K561" i="1" s="1"/>
  <c r="H562" i="1"/>
  <c r="K562" i="1" s="1"/>
  <c r="H563" i="1"/>
  <c r="K563" i="1" s="1"/>
  <c r="H564" i="1"/>
  <c r="K564" i="1" s="1"/>
  <c r="H565" i="1"/>
  <c r="K565" i="1" s="1"/>
  <c r="H566" i="1"/>
  <c r="K566" i="1" s="1"/>
  <c r="H567" i="1"/>
  <c r="K567" i="1" s="1"/>
  <c r="H568" i="1"/>
  <c r="K568" i="1" s="1"/>
  <c r="H569" i="1"/>
  <c r="K569" i="1" s="1"/>
  <c r="H570" i="1"/>
  <c r="K570" i="1" s="1"/>
  <c r="H571" i="1"/>
  <c r="K571" i="1" s="1"/>
  <c r="H572" i="1"/>
  <c r="K572" i="1" s="1"/>
  <c r="H573" i="1"/>
  <c r="K573" i="1" s="1"/>
  <c r="H574" i="1"/>
  <c r="K574" i="1" s="1"/>
  <c r="H575" i="1"/>
  <c r="K575" i="1" s="1"/>
  <c r="H576" i="1"/>
  <c r="K576" i="1" s="1"/>
  <c r="H577" i="1"/>
  <c r="K577" i="1" s="1"/>
  <c r="H578" i="1"/>
  <c r="K578" i="1" s="1"/>
  <c r="H579" i="1"/>
  <c r="K579" i="1" s="1"/>
  <c r="H580" i="1"/>
  <c r="K580" i="1" s="1"/>
  <c r="H581" i="1"/>
  <c r="K581" i="1" s="1"/>
  <c r="H582" i="1"/>
  <c r="K582" i="1" s="1"/>
  <c r="H583" i="1"/>
  <c r="K583" i="1" s="1"/>
  <c r="H584" i="1"/>
  <c r="K584" i="1" s="1"/>
  <c r="H585" i="1"/>
  <c r="K585" i="1" s="1"/>
  <c r="H586" i="1"/>
  <c r="K586" i="1" s="1"/>
  <c r="H587" i="1"/>
  <c r="K587" i="1" s="1"/>
  <c r="H588" i="1"/>
  <c r="K588" i="1" s="1"/>
  <c r="H589" i="1"/>
  <c r="K589" i="1" s="1"/>
  <c r="H590" i="1"/>
  <c r="K590" i="1" s="1"/>
  <c r="H591" i="1"/>
  <c r="K591" i="1" s="1"/>
  <c r="H592" i="1"/>
  <c r="K592" i="1" s="1"/>
  <c r="H593" i="1"/>
  <c r="K593" i="1" s="1"/>
  <c r="H594" i="1"/>
  <c r="K594" i="1" s="1"/>
  <c r="H595" i="1"/>
  <c r="K595" i="1" s="1"/>
  <c r="H596" i="1"/>
  <c r="K596" i="1" s="1"/>
  <c r="H597" i="1"/>
  <c r="K597" i="1" s="1"/>
  <c r="H598" i="1"/>
  <c r="K598" i="1" s="1"/>
  <c r="H599" i="1"/>
  <c r="K599" i="1" s="1"/>
  <c r="H600" i="1"/>
  <c r="K600" i="1" s="1"/>
  <c r="H601" i="1"/>
  <c r="K601" i="1" s="1"/>
  <c r="H602" i="1"/>
  <c r="K602" i="1" s="1"/>
  <c r="H603" i="1"/>
  <c r="K603" i="1" s="1"/>
  <c r="H604" i="1"/>
  <c r="K604" i="1" s="1"/>
  <c r="H605" i="1"/>
  <c r="K605" i="1" s="1"/>
  <c r="H606" i="1"/>
  <c r="K606" i="1" s="1"/>
  <c r="H607" i="1"/>
  <c r="K607" i="1" s="1"/>
  <c r="S6" i="1" l="1" a="1"/>
  <c r="S6" i="1" s="1"/>
  <c r="S5" i="1" a="1"/>
  <c r="S5" i="1" s="1"/>
  <c r="S4" i="1" a="1"/>
  <c r="S4" i="1" s="1"/>
  <c r="S3" i="1" a="1"/>
  <c r="S3" i="1" s="1"/>
  <c r="P13" i="1" a="1"/>
  <c r="X387" i="1"/>
  <c r="X427" i="1"/>
  <c r="Q117" i="1" l="1"/>
  <c r="R117" i="1"/>
  <c r="S117" i="1"/>
  <c r="T117" i="1"/>
  <c r="U117" i="1"/>
  <c r="V117" i="1"/>
  <c r="W117" i="1" s="1"/>
  <c r="Q118" i="1"/>
  <c r="R118" i="1"/>
  <c r="S118" i="1"/>
  <c r="T118" i="1"/>
  <c r="U118" i="1"/>
  <c r="V118" i="1"/>
  <c r="W118" i="1" s="1"/>
  <c r="Q119" i="1"/>
  <c r="R119" i="1"/>
  <c r="S119" i="1"/>
  <c r="T119" i="1"/>
  <c r="U119" i="1"/>
  <c r="V119" i="1"/>
  <c r="W119" i="1" s="1"/>
  <c r="Q120" i="1"/>
  <c r="R120" i="1"/>
  <c r="S120" i="1"/>
  <c r="T120" i="1"/>
  <c r="U120" i="1"/>
  <c r="V120" i="1"/>
  <c r="W120" i="1" s="1"/>
  <c r="Q121" i="1"/>
  <c r="R121" i="1"/>
  <c r="S121" i="1"/>
  <c r="T121" i="1"/>
  <c r="U121" i="1"/>
  <c r="V121" i="1"/>
  <c r="W121" i="1" s="1"/>
  <c r="Q122" i="1"/>
  <c r="R122" i="1"/>
  <c r="S122" i="1"/>
  <c r="T122" i="1"/>
  <c r="U122" i="1"/>
  <c r="V122" i="1"/>
  <c r="W122" i="1" s="1"/>
  <c r="Q123" i="1"/>
  <c r="R123" i="1"/>
  <c r="S123" i="1"/>
  <c r="T123" i="1"/>
  <c r="U123" i="1"/>
  <c r="V123" i="1"/>
  <c r="W123" i="1" s="1"/>
  <c r="Q124" i="1"/>
  <c r="R124" i="1"/>
  <c r="S124" i="1"/>
  <c r="T124" i="1"/>
  <c r="U124" i="1"/>
  <c r="V124" i="1"/>
  <c r="W124" i="1" s="1"/>
  <c r="Q125" i="1"/>
  <c r="R125" i="1"/>
  <c r="S125" i="1"/>
  <c r="T125" i="1"/>
  <c r="U125" i="1"/>
  <c r="V125" i="1"/>
  <c r="W125" i="1" s="1"/>
  <c r="Q126" i="1"/>
  <c r="R126" i="1"/>
  <c r="S126" i="1"/>
  <c r="T126" i="1"/>
  <c r="U126" i="1"/>
  <c r="V126" i="1"/>
  <c r="W126" i="1" s="1"/>
  <c r="Q127" i="1"/>
  <c r="R127" i="1"/>
  <c r="S127" i="1"/>
  <c r="T127" i="1"/>
  <c r="U127" i="1"/>
  <c r="V127" i="1"/>
  <c r="W127" i="1" s="1"/>
  <c r="Q128" i="1"/>
  <c r="R128" i="1"/>
  <c r="S128" i="1"/>
  <c r="T128" i="1"/>
  <c r="U128" i="1"/>
  <c r="V128" i="1"/>
  <c r="W128" i="1" s="1"/>
  <c r="Q129" i="1"/>
  <c r="R129" i="1"/>
  <c r="S129" i="1"/>
  <c r="T129" i="1"/>
  <c r="U129" i="1"/>
  <c r="V129" i="1"/>
  <c r="W129" i="1" s="1"/>
  <c r="Q130" i="1"/>
  <c r="R130" i="1"/>
  <c r="S130" i="1"/>
  <c r="T130" i="1"/>
  <c r="U130" i="1"/>
  <c r="V130" i="1"/>
  <c r="W130" i="1" s="1"/>
  <c r="Q131" i="1"/>
  <c r="R131" i="1"/>
  <c r="S131" i="1"/>
  <c r="T131" i="1"/>
  <c r="U131" i="1"/>
  <c r="V131" i="1"/>
  <c r="W131" i="1" s="1"/>
  <c r="Q132" i="1"/>
  <c r="R132" i="1"/>
  <c r="S132" i="1"/>
  <c r="T132" i="1"/>
  <c r="U132" i="1"/>
  <c r="V132" i="1"/>
  <c r="W132" i="1" s="1"/>
  <c r="Q133" i="1"/>
  <c r="R133" i="1"/>
  <c r="S133" i="1"/>
  <c r="T133" i="1"/>
  <c r="U133" i="1"/>
  <c r="V133" i="1"/>
  <c r="W133" i="1" s="1"/>
  <c r="Q134" i="1"/>
  <c r="R134" i="1"/>
  <c r="S134" i="1"/>
  <c r="T134" i="1"/>
  <c r="U134" i="1"/>
  <c r="V134" i="1"/>
  <c r="W134" i="1" s="1"/>
  <c r="Q135" i="1"/>
  <c r="R135" i="1"/>
  <c r="S135" i="1"/>
  <c r="T135" i="1"/>
  <c r="U135" i="1"/>
  <c r="V135" i="1"/>
  <c r="W135" i="1" s="1"/>
  <c r="Q136" i="1"/>
  <c r="R136" i="1"/>
  <c r="S136" i="1"/>
  <c r="T136" i="1"/>
  <c r="U136" i="1"/>
  <c r="V136" i="1"/>
  <c r="W136" i="1" s="1"/>
  <c r="Q137" i="1"/>
  <c r="R137" i="1"/>
  <c r="S137" i="1"/>
  <c r="T137" i="1"/>
  <c r="U137" i="1"/>
  <c r="V137" i="1"/>
  <c r="W137" i="1" s="1"/>
  <c r="Q138" i="1"/>
  <c r="R138" i="1"/>
  <c r="S138" i="1"/>
  <c r="T138" i="1"/>
  <c r="U138" i="1"/>
  <c r="V138" i="1"/>
  <c r="W138" i="1" s="1"/>
  <c r="Q139" i="1"/>
  <c r="R139" i="1"/>
  <c r="S139" i="1"/>
  <c r="T139" i="1"/>
  <c r="U139" i="1"/>
  <c r="V139" i="1"/>
  <c r="W139" i="1" s="1"/>
  <c r="Q140" i="1"/>
  <c r="R140" i="1"/>
  <c r="S140" i="1"/>
  <c r="T140" i="1"/>
  <c r="U140" i="1"/>
  <c r="V140" i="1"/>
  <c r="W140" i="1" s="1"/>
  <c r="Q141" i="1"/>
  <c r="R141" i="1"/>
  <c r="S141" i="1"/>
  <c r="T141" i="1"/>
  <c r="U141" i="1"/>
  <c r="V141" i="1"/>
  <c r="W141" i="1" s="1"/>
  <c r="Q142" i="1"/>
  <c r="R142" i="1"/>
  <c r="S142" i="1"/>
  <c r="T142" i="1"/>
  <c r="U142" i="1"/>
  <c r="V142" i="1"/>
  <c r="W142" i="1" s="1"/>
  <c r="Q143" i="1"/>
  <c r="R143" i="1"/>
  <c r="S143" i="1"/>
  <c r="T143" i="1"/>
  <c r="U143" i="1"/>
  <c r="V143" i="1"/>
  <c r="W143" i="1" s="1"/>
  <c r="Q144" i="1"/>
  <c r="R144" i="1"/>
  <c r="S144" i="1"/>
  <c r="T144" i="1"/>
  <c r="U144" i="1"/>
  <c r="V144" i="1"/>
  <c r="W144" i="1" s="1"/>
  <c r="Q145" i="1"/>
  <c r="R145" i="1"/>
  <c r="S145" i="1"/>
  <c r="T145" i="1"/>
  <c r="U145" i="1"/>
  <c r="V145" i="1"/>
  <c r="W145" i="1" s="1"/>
  <c r="Q146" i="1"/>
  <c r="R146" i="1"/>
  <c r="S146" i="1"/>
  <c r="T146" i="1"/>
  <c r="U146" i="1"/>
  <c r="V146" i="1"/>
  <c r="W146" i="1" s="1"/>
  <c r="Q147" i="1"/>
  <c r="R147" i="1"/>
  <c r="S147" i="1"/>
  <c r="T147" i="1"/>
  <c r="U147" i="1"/>
  <c r="V147" i="1"/>
  <c r="W147" i="1" s="1"/>
  <c r="Q148" i="1"/>
  <c r="R148" i="1"/>
  <c r="S148" i="1"/>
  <c r="T148" i="1"/>
  <c r="U148" i="1"/>
  <c r="V148" i="1"/>
  <c r="W148" i="1" s="1"/>
  <c r="Q149" i="1"/>
  <c r="R149" i="1"/>
  <c r="S149" i="1"/>
  <c r="T149" i="1"/>
  <c r="U149" i="1"/>
  <c r="V149" i="1"/>
  <c r="W149" i="1" s="1"/>
  <c r="Q150" i="1"/>
  <c r="R150" i="1"/>
  <c r="S150" i="1"/>
  <c r="T150" i="1"/>
  <c r="U150" i="1"/>
  <c r="V150" i="1"/>
  <c r="W150" i="1" s="1"/>
  <c r="Q151" i="1"/>
  <c r="R151" i="1"/>
  <c r="S151" i="1"/>
  <c r="T151" i="1"/>
  <c r="U151" i="1"/>
  <c r="V151" i="1"/>
  <c r="W151" i="1" s="1"/>
  <c r="Q152" i="1"/>
  <c r="R152" i="1"/>
  <c r="S152" i="1"/>
  <c r="T152" i="1"/>
  <c r="U152" i="1"/>
  <c r="V152" i="1"/>
  <c r="W152" i="1" s="1"/>
  <c r="Q153" i="1"/>
  <c r="R153" i="1"/>
  <c r="S153" i="1"/>
  <c r="T153" i="1"/>
  <c r="U153" i="1"/>
  <c r="V153" i="1"/>
  <c r="W153" i="1" s="1"/>
  <c r="Q154" i="1"/>
  <c r="R154" i="1"/>
  <c r="S154" i="1"/>
  <c r="T154" i="1"/>
  <c r="U154" i="1"/>
  <c r="V154" i="1"/>
  <c r="W154" i="1" s="1"/>
  <c r="Q155" i="1"/>
  <c r="R155" i="1"/>
  <c r="S155" i="1"/>
  <c r="T155" i="1"/>
  <c r="U155" i="1"/>
  <c r="V155" i="1"/>
  <c r="W155" i="1" s="1"/>
  <c r="Q156" i="1"/>
  <c r="R156" i="1"/>
  <c r="S156" i="1"/>
  <c r="T156" i="1"/>
  <c r="U156" i="1"/>
  <c r="V156" i="1"/>
  <c r="W156" i="1" s="1"/>
  <c r="Q157" i="1"/>
  <c r="R157" i="1"/>
  <c r="S157" i="1"/>
  <c r="T157" i="1"/>
  <c r="U157" i="1"/>
  <c r="V157" i="1"/>
  <c r="W157" i="1" s="1"/>
  <c r="Q158" i="1"/>
  <c r="R158" i="1"/>
  <c r="S158" i="1"/>
  <c r="T158" i="1"/>
  <c r="U158" i="1"/>
  <c r="V158" i="1"/>
  <c r="W158" i="1" s="1"/>
  <c r="Q159" i="1"/>
  <c r="R159" i="1"/>
  <c r="S159" i="1"/>
  <c r="T159" i="1"/>
  <c r="U159" i="1"/>
  <c r="V159" i="1"/>
  <c r="W159" i="1" s="1"/>
  <c r="Q160" i="1"/>
  <c r="R160" i="1"/>
  <c r="S160" i="1"/>
  <c r="T160" i="1"/>
  <c r="U160" i="1"/>
  <c r="V160" i="1"/>
  <c r="W160" i="1" s="1"/>
  <c r="Q161" i="1"/>
  <c r="R161" i="1"/>
  <c r="S161" i="1"/>
  <c r="T161" i="1"/>
  <c r="U161" i="1"/>
  <c r="V161" i="1"/>
  <c r="W161" i="1" s="1"/>
  <c r="Q162" i="1"/>
  <c r="R162" i="1"/>
  <c r="S162" i="1"/>
  <c r="T162" i="1"/>
  <c r="U162" i="1"/>
  <c r="V162" i="1"/>
  <c r="W162" i="1" s="1"/>
  <c r="Q163" i="1"/>
  <c r="R163" i="1"/>
  <c r="S163" i="1"/>
  <c r="T163" i="1"/>
  <c r="U163" i="1"/>
  <c r="V163" i="1"/>
  <c r="W163" i="1" s="1"/>
  <c r="Q164" i="1"/>
  <c r="R164" i="1"/>
  <c r="S164" i="1"/>
  <c r="T164" i="1"/>
  <c r="U164" i="1"/>
  <c r="V164" i="1"/>
  <c r="W164" i="1" s="1"/>
  <c r="Q165" i="1"/>
  <c r="R165" i="1"/>
  <c r="S165" i="1"/>
  <c r="T165" i="1"/>
  <c r="U165" i="1"/>
  <c r="V165" i="1"/>
  <c r="W165" i="1" s="1"/>
  <c r="Q166" i="1"/>
  <c r="R166" i="1"/>
  <c r="S166" i="1"/>
  <c r="T166" i="1"/>
  <c r="U166" i="1"/>
  <c r="V166" i="1"/>
  <c r="W166" i="1" s="1"/>
  <c r="Q167" i="1"/>
  <c r="R167" i="1"/>
  <c r="S167" i="1"/>
  <c r="T167" i="1"/>
  <c r="U167" i="1"/>
  <c r="V167" i="1"/>
  <c r="W167" i="1" s="1"/>
  <c r="Q168" i="1"/>
  <c r="R168" i="1"/>
  <c r="S168" i="1"/>
  <c r="T168" i="1"/>
  <c r="U168" i="1"/>
  <c r="V168" i="1"/>
  <c r="W168" i="1" s="1"/>
  <c r="Q169" i="1"/>
  <c r="R169" i="1"/>
  <c r="S169" i="1"/>
  <c r="T169" i="1"/>
  <c r="U169" i="1"/>
  <c r="V169" i="1"/>
  <c r="W169" i="1" s="1"/>
  <c r="Q170" i="1"/>
  <c r="R170" i="1"/>
  <c r="S170" i="1"/>
  <c r="T170" i="1"/>
  <c r="U170" i="1"/>
  <c r="V170" i="1"/>
  <c r="W170" i="1" s="1"/>
  <c r="Q171" i="1"/>
  <c r="R171" i="1"/>
  <c r="S171" i="1"/>
  <c r="T171" i="1"/>
  <c r="U171" i="1"/>
  <c r="V171" i="1"/>
  <c r="W171" i="1" s="1"/>
  <c r="Q172" i="1"/>
  <c r="R172" i="1"/>
  <c r="S172" i="1"/>
  <c r="T172" i="1"/>
  <c r="U172" i="1"/>
  <c r="V172" i="1"/>
  <c r="W172" i="1" s="1"/>
  <c r="Q173" i="1"/>
  <c r="R173" i="1"/>
  <c r="S173" i="1"/>
  <c r="T173" i="1"/>
  <c r="U173" i="1"/>
  <c r="V173" i="1"/>
  <c r="W173" i="1" s="1"/>
  <c r="Q174" i="1"/>
  <c r="R174" i="1"/>
  <c r="S174" i="1"/>
  <c r="T174" i="1"/>
  <c r="U174" i="1"/>
  <c r="V174" i="1"/>
  <c r="W174" i="1" s="1"/>
  <c r="Q175" i="1"/>
  <c r="R175" i="1"/>
  <c r="S175" i="1"/>
  <c r="T175" i="1"/>
  <c r="U175" i="1"/>
  <c r="V175" i="1"/>
  <c r="W175" i="1" s="1"/>
  <c r="Q176" i="1"/>
  <c r="R176" i="1"/>
  <c r="S176" i="1"/>
  <c r="T176" i="1"/>
  <c r="U176" i="1"/>
  <c r="V176" i="1"/>
  <c r="W176" i="1" s="1"/>
  <c r="Q177" i="1"/>
  <c r="R177" i="1"/>
  <c r="S177" i="1"/>
  <c r="T177" i="1"/>
  <c r="U177" i="1"/>
  <c r="V177" i="1"/>
  <c r="W177" i="1" s="1"/>
  <c r="Q178" i="1"/>
  <c r="R178" i="1"/>
  <c r="S178" i="1"/>
  <c r="T178" i="1"/>
  <c r="U178" i="1"/>
  <c r="V178" i="1"/>
  <c r="W178" i="1" s="1"/>
  <c r="Q179" i="1"/>
  <c r="R179" i="1"/>
  <c r="S179" i="1"/>
  <c r="T179" i="1"/>
  <c r="U179" i="1"/>
  <c r="V179" i="1"/>
  <c r="W179" i="1" s="1"/>
  <c r="Q180" i="1"/>
  <c r="R180" i="1"/>
  <c r="S180" i="1"/>
  <c r="T180" i="1"/>
  <c r="U180" i="1"/>
  <c r="V180" i="1"/>
  <c r="W180" i="1" s="1"/>
  <c r="Q181" i="1"/>
  <c r="R181" i="1"/>
  <c r="S181" i="1"/>
  <c r="T181" i="1"/>
  <c r="U181" i="1"/>
  <c r="V181" i="1"/>
  <c r="W181" i="1" s="1"/>
  <c r="Q182" i="1"/>
  <c r="R182" i="1"/>
  <c r="S182" i="1"/>
  <c r="T182" i="1"/>
  <c r="U182" i="1"/>
  <c r="V182" i="1"/>
  <c r="W182" i="1" s="1"/>
  <c r="Q183" i="1"/>
  <c r="R183" i="1"/>
  <c r="S183" i="1"/>
  <c r="T183" i="1"/>
  <c r="U183" i="1"/>
  <c r="V183" i="1"/>
  <c r="W183" i="1" s="1"/>
  <c r="Q184" i="1"/>
  <c r="R184" i="1"/>
  <c r="S184" i="1"/>
  <c r="T184" i="1"/>
  <c r="U184" i="1"/>
  <c r="V184" i="1"/>
  <c r="W184" i="1" s="1"/>
  <c r="Q185" i="1"/>
  <c r="R185" i="1"/>
  <c r="S185" i="1"/>
  <c r="T185" i="1"/>
  <c r="U185" i="1"/>
  <c r="V185" i="1"/>
  <c r="W185" i="1" s="1"/>
  <c r="Q186" i="1"/>
  <c r="R186" i="1"/>
  <c r="S186" i="1"/>
  <c r="T186" i="1"/>
  <c r="U186" i="1"/>
  <c r="V186" i="1"/>
  <c r="W186" i="1" s="1"/>
  <c r="Q187" i="1"/>
  <c r="R187" i="1"/>
  <c r="S187" i="1"/>
  <c r="T187" i="1"/>
  <c r="U187" i="1"/>
  <c r="V187" i="1"/>
  <c r="W187" i="1" s="1"/>
  <c r="Q188" i="1"/>
  <c r="R188" i="1"/>
  <c r="S188" i="1"/>
  <c r="T188" i="1"/>
  <c r="U188" i="1"/>
  <c r="V188" i="1"/>
  <c r="W188" i="1" s="1"/>
  <c r="Q189" i="1"/>
  <c r="R189" i="1"/>
  <c r="S189" i="1"/>
  <c r="T189" i="1"/>
  <c r="U189" i="1"/>
  <c r="V189" i="1"/>
  <c r="W189" i="1" s="1"/>
  <c r="Q190" i="1"/>
  <c r="R190" i="1"/>
  <c r="S190" i="1"/>
  <c r="T190" i="1"/>
  <c r="U190" i="1"/>
  <c r="V190" i="1"/>
  <c r="W190" i="1" s="1"/>
  <c r="Q191" i="1"/>
  <c r="R191" i="1"/>
  <c r="S191" i="1"/>
  <c r="T191" i="1"/>
  <c r="U191" i="1"/>
  <c r="V191" i="1"/>
  <c r="W191" i="1" s="1"/>
  <c r="Q192" i="1"/>
  <c r="R192" i="1"/>
  <c r="S192" i="1"/>
  <c r="T192" i="1"/>
  <c r="U192" i="1"/>
  <c r="V192" i="1"/>
  <c r="W192" i="1" s="1"/>
  <c r="Q193" i="1"/>
  <c r="R193" i="1"/>
  <c r="S193" i="1"/>
  <c r="T193" i="1"/>
  <c r="U193" i="1"/>
  <c r="V193" i="1"/>
  <c r="W193" i="1" s="1"/>
  <c r="Q194" i="1"/>
  <c r="R194" i="1"/>
  <c r="S194" i="1"/>
  <c r="T194" i="1"/>
  <c r="U194" i="1"/>
  <c r="V194" i="1"/>
  <c r="W194" i="1" s="1"/>
  <c r="Q195" i="1"/>
  <c r="R195" i="1"/>
  <c r="S195" i="1"/>
  <c r="T195" i="1"/>
  <c r="U195" i="1"/>
  <c r="V195" i="1"/>
  <c r="W195" i="1" s="1"/>
  <c r="Q196" i="1"/>
  <c r="R196" i="1"/>
  <c r="S196" i="1"/>
  <c r="T196" i="1"/>
  <c r="U196" i="1"/>
  <c r="V196" i="1"/>
  <c r="W196" i="1" s="1"/>
  <c r="Q197" i="1"/>
  <c r="R197" i="1"/>
  <c r="S197" i="1"/>
  <c r="T197" i="1"/>
  <c r="U197" i="1"/>
  <c r="V197" i="1"/>
  <c r="W197" i="1" s="1"/>
  <c r="Q198" i="1"/>
  <c r="R198" i="1"/>
  <c r="S198" i="1"/>
  <c r="T198" i="1"/>
  <c r="U198" i="1"/>
  <c r="V198" i="1"/>
  <c r="W198" i="1" s="1"/>
  <c r="Q199" i="1"/>
  <c r="R199" i="1"/>
  <c r="S199" i="1"/>
  <c r="T199" i="1"/>
  <c r="U199" i="1"/>
  <c r="V199" i="1"/>
  <c r="W199" i="1" s="1"/>
  <c r="Q200" i="1"/>
  <c r="R200" i="1"/>
  <c r="S200" i="1"/>
  <c r="T200" i="1"/>
  <c r="U200" i="1"/>
  <c r="V200" i="1"/>
  <c r="W200" i="1" s="1"/>
  <c r="Q201" i="1"/>
  <c r="R201" i="1"/>
  <c r="S201" i="1"/>
  <c r="T201" i="1"/>
  <c r="U201" i="1"/>
  <c r="V201" i="1"/>
  <c r="W201" i="1" s="1"/>
  <c r="Q202" i="1"/>
  <c r="R202" i="1"/>
  <c r="S202" i="1"/>
  <c r="T202" i="1"/>
  <c r="U202" i="1"/>
  <c r="V202" i="1"/>
  <c r="W202" i="1" s="1"/>
  <c r="Q203" i="1"/>
  <c r="R203" i="1"/>
  <c r="S203" i="1"/>
  <c r="T203" i="1"/>
  <c r="U203" i="1"/>
  <c r="V203" i="1"/>
  <c r="W203" i="1" s="1"/>
  <c r="Q204" i="1"/>
  <c r="R204" i="1"/>
  <c r="S204" i="1"/>
  <c r="T204" i="1"/>
  <c r="U204" i="1"/>
  <c r="V204" i="1"/>
  <c r="W204" i="1" s="1"/>
  <c r="Q205" i="1"/>
  <c r="R205" i="1"/>
  <c r="S205" i="1"/>
  <c r="T205" i="1"/>
  <c r="U205" i="1"/>
  <c r="V205" i="1"/>
  <c r="W205" i="1" s="1"/>
  <c r="Q206" i="1"/>
  <c r="R206" i="1"/>
  <c r="S206" i="1"/>
  <c r="T206" i="1"/>
  <c r="U206" i="1"/>
  <c r="V206" i="1"/>
  <c r="W206" i="1" s="1"/>
  <c r="Q207" i="1"/>
  <c r="R207" i="1"/>
  <c r="S207" i="1"/>
  <c r="T207" i="1"/>
  <c r="U207" i="1"/>
  <c r="V207" i="1"/>
  <c r="W207" i="1" s="1"/>
  <c r="Q208" i="1"/>
  <c r="R208" i="1"/>
  <c r="S208" i="1"/>
  <c r="T208" i="1"/>
  <c r="U208" i="1"/>
  <c r="V208" i="1"/>
  <c r="W208" i="1" s="1"/>
  <c r="Q209" i="1"/>
  <c r="R209" i="1"/>
  <c r="S209" i="1"/>
  <c r="T209" i="1"/>
  <c r="U209" i="1"/>
  <c r="V209" i="1"/>
  <c r="W209" i="1" s="1"/>
  <c r="Q210" i="1"/>
  <c r="R210" i="1"/>
  <c r="S210" i="1"/>
  <c r="T210" i="1"/>
  <c r="U210" i="1"/>
  <c r="V210" i="1"/>
  <c r="W210" i="1" s="1"/>
  <c r="Q211" i="1"/>
  <c r="R211" i="1"/>
  <c r="S211" i="1"/>
  <c r="T211" i="1"/>
  <c r="U211" i="1"/>
  <c r="V211" i="1"/>
  <c r="W211" i="1" s="1"/>
  <c r="Q212" i="1"/>
  <c r="R212" i="1"/>
  <c r="S212" i="1"/>
  <c r="T212" i="1"/>
  <c r="U212" i="1"/>
  <c r="V212" i="1"/>
  <c r="W212" i="1" s="1"/>
  <c r="Q213" i="1"/>
  <c r="R213" i="1"/>
  <c r="S213" i="1"/>
  <c r="T213" i="1"/>
  <c r="U213" i="1"/>
  <c r="V213" i="1"/>
  <c r="W213" i="1" s="1"/>
  <c r="Q214" i="1"/>
  <c r="R214" i="1"/>
  <c r="S214" i="1"/>
  <c r="T214" i="1"/>
  <c r="U214" i="1"/>
  <c r="V214" i="1"/>
  <c r="W214" i="1" s="1"/>
  <c r="Q215" i="1"/>
  <c r="R215" i="1"/>
  <c r="S215" i="1"/>
  <c r="T215" i="1"/>
  <c r="U215" i="1"/>
  <c r="V215" i="1"/>
  <c r="W215" i="1" s="1"/>
  <c r="Q216" i="1"/>
  <c r="R216" i="1"/>
  <c r="S216" i="1"/>
  <c r="T216" i="1"/>
  <c r="U216" i="1"/>
  <c r="V216" i="1"/>
  <c r="W216" i="1" s="1"/>
  <c r="Q217" i="1"/>
  <c r="R217" i="1"/>
  <c r="S217" i="1"/>
  <c r="T217" i="1"/>
  <c r="U217" i="1"/>
  <c r="V217" i="1"/>
  <c r="W217" i="1" s="1"/>
  <c r="Q218" i="1"/>
  <c r="R218" i="1"/>
  <c r="S218" i="1"/>
  <c r="T218" i="1"/>
  <c r="U218" i="1"/>
  <c r="V218" i="1"/>
  <c r="W218" i="1" s="1"/>
  <c r="Q219" i="1"/>
  <c r="R219" i="1"/>
  <c r="S219" i="1"/>
  <c r="T219" i="1"/>
  <c r="U219" i="1"/>
  <c r="V219" i="1"/>
  <c r="W219" i="1" s="1"/>
  <c r="Q220" i="1"/>
  <c r="R220" i="1"/>
  <c r="S220" i="1"/>
  <c r="T220" i="1"/>
  <c r="U220" i="1"/>
  <c r="V220" i="1"/>
  <c r="W220" i="1" s="1"/>
  <c r="Q221" i="1"/>
  <c r="R221" i="1"/>
  <c r="S221" i="1"/>
  <c r="T221" i="1"/>
  <c r="U221" i="1"/>
  <c r="V221" i="1"/>
  <c r="W221" i="1" s="1"/>
  <c r="Q222" i="1"/>
  <c r="R222" i="1"/>
  <c r="S222" i="1"/>
  <c r="T222" i="1"/>
  <c r="U222" i="1"/>
  <c r="V222" i="1"/>
  <c r="W222" i="1" s="1"/>
  <c r="Q223" i="1"/>
  <c r="R223" i="1"/>
  <c r="S223" i="1"/>
  <c r="T223" i="1"/>
  <c r="U223" i="1"/>
  <c r="V223" i="1"/>
  <c r="W223" i="1" s="1"/>
  <c r="Q224" i="1"/>
  <c r="R224" i="1"/>
  <c r="S224" i="1"/>
  <c r="T224" i="1"/>
  <c r="U224" i="1"/>
  <c r="V224" i="1"/>
  <c r="W224" i="1" s="1"/>
  <c r="Q225" i="1"/>
  <c r="R225" i="1"/>
  <c r="S225" i="1"/>
  <c r="T225" i="1"/>
  <c r="U225" i="1"/>
  <c r="V225" i="1"/>
  <c r="W225" i="1" s="1"/>
  <c r="Q226" i="1"/>
  <c r="R226" i="1"/>
  <c r="S226" i="1"/>
  <c r="T226" i="1"/>
  <c r="U226" i="1"/>
  <c r="V226" i="1"/>
  <c r="W226" i="1" s="1"/>
  <c r="Q227" i="1"/>
  <c r="R227" i="1"/>
  <c r="S227" i="1"/>
  <c r="T227" i="1"/>
  <c r="U227" i="1"/>
  <c r="V227" i="1"/>
  <c r="W227" i="1" s="1"/>
  <c r="Q228" i="1"/>
  <c r="R228" i="1"/>
  <c r="S228" i="1"/>
  <c r="T228" i="1"/>
  <c r="U228" i="1"/>
  <c r="V228" i="1"/>
  <c r="W228" i="1" s="1"/>
  <c r="Q229" i="1"/>
  <c r="R229" i="1"/>
  <c r="S229" i="1"/>
  <c r="T229" i="1"/>
  <c r="U229" i="1"/>
  <c r="V229" i="1"/>
  <c r="W229" i="1" s="1"/>
  <c r="Q230" i="1"/>
  <c r="R230" i="1"/>
  <c r="S230" i="1"/>
  <c r="T230" i="1"/>
  <c r="U230" i="1"/>
  <c r="V230" i="1"/>
  <c r="W230" i="1" s="1"/>
  <c r="Q231" i="1"/>
  <c r="R231" i="1"/>
  <c r="S231" i="1"/>
  <c r="T231" i="1"/>
  <c r="U231" i="1"/>
  <c r="V231" i="1"/>
  <c r="W231" i="1" s="1"/>
  <c r="Q232" i="1"/>
  <c r="R232" i="1"/>
  <c r="S232" i="1"/>
  <c r="T232" i="1"/>
  <c r="U232" i="1"/>
  <c r="V232" i="1"/>
  <c r="W232" i="1" s="1"/>
  <c r="Q233" i="1"/>
  <c r="R233" i="1"/>
  <c r="S233" i="1"/>
  <c r="T233" i="1"/>
  <c r="U233" i="1"/>
  <c r="V233" i="1"/>
  <c r="W233" i="1" s="1"/>
  <c r="Q234" i="1"/>
  <c r="R234" i="1"/>
  <c r="S234" i="1"/>
  <c r="T234" i="1"/>
  <c r="U234" i="1"/>
  <c r="V234" i="1"/>
  <c r="W234" i="1" s="1"/>
  <c r="Q235" i="1"/>
  <c r="R235" i="1"/>
  <c r="S235" i="1"/>
  <c r="T235" i="1"/>
  <c r="U235" i="1"/>
  <c r="V235" i="1"/>
  <c r="W235" i="1" s="1"/>
  <c r="Q236" i="1"/>
  <c r="R236" i="1"/>
  <c r="S236" i="1"/>
  <c r="T236" i="1"/>
  <c r="U236" i="1"/>
  <c r="V236" i="1"/>
  <c r="W236" i="1" s="1"/>
  <c r="Q237" i="1"/>
  <c r="R237" i="1"/>
  <c r="S237" i="1"/>
  <c r="T237" i="1"/>
  <c r="U237" i="1"/>
  <c r="V237" i="1"/>
  <c r="W237" i="1" s="1"/>
  <c r="Q238" i="1"/>
  <c r="R238" i="1"/>
  <c r="S238" i="1"/>
  <c r="T238" i="1"/>
  <c r="U238" i="1"/>
  <c r="V238" i="1"/>
  <c r="W238" i="1" s="1"/>
  <c r="Q239" i="1"/>
  <c r="R239" i="1"/>
  <c r="S239" i="1"/>
  <c r="T239" i="1"/>
  <c r="U239" i="1"/>
  <c r="V239" i="1"/>
  <c r="W239" i="1" s="1"/>
  <c r="Q240" i="1"/>
  <c r="R240" i="1"/>
  <c r="S240" i="1"/>
  <c r="T240" i="1"/>
  <c r="U240" i="1"/>
  <c r="V240" i="1"/>
  <c r="W240" i="1" s="1"/>
  <c r="Q241" i="1"/>
  <c r="R241" i="1"/>
  <c r="S241" i="1"/>
  <c r="T241" i="1"/>
  <c r="U241" i="1"/>
  <c r="V241" i="1"/>
  <c r="W241" i="1" s="1"/>
  <c r="Q242" i="1"/>
  <c r="R242" i="1"/>
  <c r="S242" i="1"/>
  <c r="T242" i="1"/>
  <c r="U242" i="1"/>
  <c r="V242" i="1"/>
  <c r="W242" i="1" s="1"/>
  <c r="Q243" i="1"/>
  <c r="R243" i="1"/>
  <c r="S243" i="1"/>
  <c r="T243" i="1"/>
  <c r="U243" i="1"/>
  <c r="V243" i="1"/>
  <c r="W243" i="1" s="1"/>
  <c r="Q244" i="1"/>
  <c r="R244" i="1"/>
  <c r="S244" i="1"/>
  <c r="T244" i="1"/>
  <c r="U244" i="1"/>
  <c r="V244" i="1"/>
  <c r="W244" i="1" s="1"/>
  <c r="Q245" i="1"/>
  <c r="R245" i="1"/>
  <c r="S245" i="1"/>
  <c r="T245" i="1"/>
  <c r="U245" i="1"/>
  <c r="V245" i="1"/>
  <c r="W245" i="1" s="1"/>
  <c r="Q246" i="1"/>
  <c r="R246" i="1"/>
  <c r="S246" i="1"/>
  <c r="T246" i="1"/>
  <c r="U246" i="1"/>
  <c r="V246" i="1"/>
  <c r="W246" i="1" s="1"/>
  <c r="Q247" i="1"/>
  <c r="R247" i="1"/>
  <c r="S247" i="1"/>
  <c r="T247" i="1"/>
  <c r="U247" i="1"/>
  <c r="V247" i="1"/>
  <c r="W247" i="1" s="1"/>
  <c r="Q248" i="1"/>
  <c r="R248" i="1"/>
  <c r="S248" i="1"/>
  <c r="T248" i="1"/>
  <c r="U248" i="1"/>
  <c r="V248" i="1"/>
  <c r="W248" i="1" s="1"/>
  <c r="Q249" i="1"/>
  <c r="R249" i="1"/>
  <c r="S249" i="1"/>
  <c r="T249" i="1"/>
  <c r="U249" i="1"/>
  <c r="V249" i="1"/>
  <c r="W249" i="1" s="1"/>
  <c r="Q250" i="1"/>
  <c r="R250" i="1"/>
  <c r="S250" i="1"/>
  <c r="T250" i="1"/>
  <c r="U250" i="1"/>
  <c r="V250" i="1"/>
  <c r="W250" i="1" s="1"/>
  <c r="Q251" i="1"/>
  <c r="R251" i="1"/>
  <c r="S251" i="1"/>
  <c r="T251" i="1"/>
  <c r="U251" i="1"/>
  <c r="V251" i="1"/>
  <c r="W251" i="1" s="1"/>
  <c r="Q252" i="1"/>
  <c r="R252" i="1"/>
  <c r="S252" i="1"/>
  <c r="T252" i="1"/>
  <c r="U252" i="1"/>
  <c r="V252" i="1"/>
  <c r="W252" i="1" s="1"/>
  <c r="Q253" i="1"/>
  <c r="R253" i="1"/>
  <c r="S253" i="1"/>
  <c r="T253" i="1"/>
  <c r="U253" i="1"/>
  <c r="V253" i="1"/>
  <c r="W253" i="1" s="1"/>
  <c r="Q254" i="1"/>
  <c r="R254" i="1"/>
  <c r="S254" i="1"/>
  <c r="T254" i="1"/>
  <c r="U254" i="1"/>
  <c r="V254" i="1"/>
  <c r="W254" i="1" s="1"/>
  <c r="Q255" i="1"/>
  <c r="R255" i="1"/>
  <c r="S255" i="1"/>
  <c r="T255" i="1"/>
  <c r="U255" i="1"/>
  <c r="V255" i="1"/>
  <c r="W255" i="1" s="1"/>
  <c r="Q256" i="1"/>
  <c r="R256" i="1"/>
  <c r="S256" i="1"/>
  <c r="T256" i="1"/>
  <c r="U256" i="1"/>
  <c r="V256" i="1"/>
  <c r="W256" i="1" s="1"/>
  <c r="Q257" i="1"/>
  <c r="R257" i="1"/>
  <c r="S257" i="1"/>
  <c r="T257" i="1"/>
  <c r="U257" i="1"/>
  <c r="V257" i="1"/>
  <c r="W257" i="1" s="1"/>
  <c r="Q258" i="1"/>
  <c r="R258" i="1"/>
  <c r="S258" i="1"/>
  <c r="T258" i="1"/>
  <c r="U258" i="1"/>
  <c r="V258" i="1"/>
  <c r="W258" i="1" s="1"/>
  <c r="Q259" i="1"/>
  <c r="R259" i="1"/>
  <c r="S259" i="1"/>
  <c r="T259" i="1"/>
  <c r="U259" i="1"/>
  <c r="V259" i="1"/>
  <c r="W259" i="1" s="1"/>
  <c r="Q260" i="1"/>
  <c r="R260" i="1"/>
  <c r="S260" i="1"/>
  <c r="T260" i="1"/>
  <c r="U260" i="1"/>
  <c r="V260" i="1"/>
  <c r="W260" i="1" s="1"/>
  <c r="Q261" i="1"/>
  <c r="R261" i="1"/>
  <c r="S261" i="1"/>
  <c r="T261" i="1"/>
  <c r="U261" i="1"/>
  <c r="V261" i="1"/>
  <c r="W261" i="1" s="1"/>
  <c r="Q262" i="1"/>
  <c r="R262" i="1"/>
  <c r="S262" i="1"/>
  <c r="T262" i="1"/>
  <c r="U262" i="1"/>
  <c r="V262" i="1"/>
  <c r="W262" i="1" s="1"/>
  <c r="Q263" i="1"/>
  <c r="R263" i="1"/>
  <c r="S263" i="1"/>
  <c r="T263" i="1"/>
  <c r="U263" i="1"/>
  <c r="V263" i="1"/>
  <c r="W263" i="1" s="1"/>
  <c r="Q264" i="1"/>
  <c r="R264" i="1"/>
  <c r="S264" i="1"/>
  <c r="T264" i="1"/>
  <c r="U264" i="1"/>
  <c r="V264" i="1"/>
  <c r="W264" i="1" s="1"/>
  <c r="Q265" i="1"/>
  <c r="R265" i="1"/>
  <c r="S265" i="1"/>
  <c r="T265" i="1"/>
  <c r="U265" i="1"/>
  <c r="V265" i="1"/>
  <c r="W265" i="1" s="1"/>
  <c r="Q266" i="1"/>
  <c r="R266" i="1"/>
  <c r="S266" i="1"/>
  <c r="T266" i="1"/>
  <c r="U266" i="1"/>
  <c r="V266" i="1"/>
  <c r="W266" i="1" s="1"/>
  <c r="Q267" i="1"/>
  <c r="R267" i="1"/>
  <c r="S267" i="1"/>
  <c r="T267" i="1"/>
  <c r="U267" i="1"/>
  <c r="V267" i="1"/>
  <c r="W267" i="1" s="1"/>
  <c r="Q268" i="1"/>
  <c r="R268" i="1"/>
  <c r="S268" i="1"/>
  <c r="T268" i="1"/>
  <c r="U268" i="1"/>
  <c r="V268" i="1"/>
  <c r="W268" i="1" s="1"/>
  <c r="Q269" i="1"/>
  <c r="R269" i="1"/>
  <c r="S269" i="1"/>
  <c r="T269" i="1"/>
  <c r="U269" i="1"/>
  <c r="V269" i="1"/>
  <c r="W269" i="1" s="1"/>
  <c r="Q270" i="1"/>
  <c r="R270" i="1"/>
  <c r="S270" i="1"/>
  <c r="T270" i="1"/>
  <c r="U270" i="1"/>
  <c r="V270" i="1"/>
  <c r="W270" i="1" s="1"/>
  <c r="Q271" i="1"/>
  <c r="R271" i="1"/>
  <c r="S271" i="1"/>
  <c r="T271" i="1"/>
  <c r="U271" i="1"/>
  <c r="V271" i="1"/>
  <c r="W271" i="1" s="1"/>
  <c r="Q272" i="1"/>
  <c r="R272" i="1"/>
  <c r="S272" i="1"/>
  <c r="T272" i="1"/>
  <c r="U272" i="1"/>
  <c r="V272" i="1"/>
  <c r="W272" i="1" s="1"/>
  <c r="Q273" i="1"/>
  <c r="R273" i="1"/>
  <c r="S273" i="1"/>
  <c r="T273" i="1"/>
  <c r="U273" i="1"/>
  <c r="V273" i="1"/>
  <c r="W273" i="1" s="1"/>
  <c r="Q274" i="1"/>
  <c r="R274" i="1"/>
  <c r="S274" i="1"/>
  <c r="T274" i="1"/>
  <c r="U274" i="1"/>
  <c r="V274" i="1"/>
  <c r="W274" i="1" s="1"/>
  <c r="Q275" i="1"/>
  <c r="R275" i="1"/>
  <c r="S275" i="1"/>
  <c r="T275" i="1"/>
  <c r="U275" i="1"/>
  <c r="V275" i="1"/>
  <c r="W275" i="1" s="1"/>
  <c r="Q276" i="1"/>
  <c r="R276" i="1"/>
  <c r="S276" i="1"/>
  <c r="T276" i="1"/>
  <c r="U276" i="1"/>
  <c r="V276" i="1"/>
  <c r="W276" i="1" s="1"/>
  <c r="Q277" i="1"/>
  <c r="R277" i="1"/>
  <c r="S277" i="1"/>
  <c r="T277" i="1"/>
  <c r="U277" i="1"/>
  <c r="V277" i="1"/>
  <c r="W277" i="1" s="1"/>
  <c r="Q278" i="1"/>
  <c r="R278" i="1"/>
  <c r="S278" i="1"/>
  <c r="T278" i="1"/>
  <c r="U278" i="1"/>
  <c r="V278" i="1"/>
  <c r="W278" i="1" s="1"/>
  <c r="Q279" i="1"/>
  <c r="R279" i="1"/>
  <c r="S279" i="1"/>
  <c r="T279" i="1"/>
  <c r="U279" i="1"/>
  <c r="V279" i="1"/>
  <c r="W279" i="1" s="1"/>
  <c r="Q280" i="1"/>
  <c r="R280" i="1"/>
  <c r="S280" i="1"/>
  <c r="T280" i="1"/>
  <c r="U280" i="1"/>
  <c r="V280" i="1"/>
  <c r="W280" i="1" s="1"/>
  <c r="Q281" i="1"/>
  <c r="R281" i="1"/>
  <c r="S281" i="1"/>
  <c r="T281" i="1"/>
  <c r="U281" i="1"/>
  <c r="V281" i="1"/>
  <c r="W281" i="1" s="1"/>
  <c r="Q282" i="1"/>
  <c r="R282" i="1"/>
  <c r="S282" i="1"/>
  <c r="T282" i="1"/>
  <c r="U282" i="1"/>
  <c r="V282" i="1"/>
  <c r="W282" i="1" s="1"/>
  <c r="Q283" i="1"/>
  <c r="R283" i="1"/>
  <c r="S283" i="1"/>
  <c r="T283" i="1"/>
  <c r="U283" i="1"/>
  <c r="V283" i="1"/>
  <c r="W283" i="1" s="1"/>
  <c r="Q284" i="1"/>
  <c r="R284" i="1"/>
  <c r="S284" i="1"/>
  <c r="T284" i="1"/>
  <c r="U284" i="1"/>
  <c r="V284" i="1"/>
  <c r="W284" i="1" s="1"/>
  <c r="Q285" i="1"/>
  <c r="R285" i="1"/>
  <c r="S285" i="1"/>
  <c r="T285" i="1"/>
  <c r="U285" i="1"/>
  <c r="V285" i="1"/>
  <c r="W285" i="1" s="1"/>
  <c r="Q286" i="1"/>
  <c r="R286" i="1"/>
  <c r="S286" i="1"/>
  <c r="T286" i="1"/>
  <c r="U286" i="1"/>
  <c r="V286" i="1"/>
  <c r="W286" i="1" s="1"/>
  <c r="Q287" i="1"/>
  <c r="R287" i="1"/>
  <c r="S287" i="1"/>
  <c r="T287" i="1"/>
  <c r="U287" i="1"/>
  <c r="V287" i="1"/>
  <c r="W287" i="1" s="1"/>
  <c r="Q288" i="1"/>
  <c r="R288" i="1"/>
  <c r="S288" i="1"/>
  <c r="T288" i="1"/>
  <c r="U288" i="1"/>
  <c r="V288" i="1"/>
  <c r="W288" i="1" s="1"/>
  <c r="Q289" i="1"/>
  <c r="R289" i="1"/>
  <c r="S289" i="1"/>
  <c r="T289" i="1"/>
  <c r="U289" i="1"/>
  <c r="V289" i="1"/>
  <c r="W289" i="1" s="1"/>
  <c r="Q290" i="1"/>
  <c r="R290" i="1"/>
  <c r="S290" i="1"/>
  <c r="T290" i="1"/>
  <c r="U290" i="1"/>
  <c r="V290" i="1"/>
  <c r="W290" i="1" s="1"/>
  <c r="Q291" i="1"/>
  <c r="R291" i="1"/>
  <c r="S291" i="1"/>
  <c r="T291" i="1"/>
  <c r="U291" i="1"/>
  <c r="V291" i="1"/>
  <c r="W291" i="1" s="1"/>
  <c r="Q292" i="1"/>
  <c r="R292" i="1"/>
  <c r="S292" i="1"/>
  <c r="T292" i="1"/>
  <c r="U292" i="1"/>
  <c r="V292" i="1"/>
  <c r="W292" i="1" s="1"/>
  <c r="Q293" i="1"/>
  <c r="R293" i="1"/>
  <c r="S293" i="1"/>
  <c r="T293" i="1"/>
  <c r="U293" i="1"/>
  <c r="V293" i="1"/>
  <c r="W293" i="1" s="1"/>
  <c r="Q294" i="1"/>
  <c r="R294" i="1"/>
  <c r="S294" i="1"/>
  <c r="T294" i="1"/>
  <c r="U294" i="1"/>
  <c r="V294" i="1"/>
  <c r="W294" i="1" s="1"/>
  <c r="Q295" i="1"/>
  <c r="R295" i="1"/>
  <c r="S295" i="1"/>
  <c r="T295" i="1"/>
  <c r="U295" i="1"/>
  <c r="V295" i="1"/>
  <c r="W295" i="1" s="1"/>
  <c r="Q296" i="1"/>
  <c r="R296" i="1"/>
  <c r="S296" i="1"/>
  <c r="T296" i="1"/>
  <c r="U296" i="1"/>
  <c r="V296" i="1"/>
  <c r="W296" i="1" s="1"/>
  <c r="Q297" i="1"/>
  <c r="R297" i="1"/>
  <c r="S297" i="1"/>
  <c r="T297" i="1"/>
  <c r="U297" i="1"/>
  <c r="V297" i="1"/>
  <c r="W297" i="1" s="1"/>
  <c r="Q298" i="1"/>
  <c r="R298" i="1"/>
  <c r="S298" i="1"/>
  <c r="T298" i="1"/>
  <c r="U298" i="1"/>
  <c r="V298" i="1"/>
  <c r="W298" i="1" s="1"/>
  <c r="Q299" i="1"/>
  <c r="R299" i="1"/>
  <c r="S299" i="1"/>
  <c r="T299" i="1"/>
  <c r="U299" i="1"/>
  <c r="V299" i="1"/>
  <c r="W299" i="1" s="1"/>
  <c r="Q300" i="1"/>
  <c r="R300" i="1"/>
  <c r="S300" i="1"/>
  <c r="T300" i="1"/>
  <c r="U300" i="1"/>
  <c r="V300" i="1"/>
  <c r="W300" i="1" s="1"/>
  <c r="Q301" i="1"/>
  <c r="R301" i="1"/>
  <c r="S301" i="1"/>
  <c r="T301" i="1"/>
  <c r="U301" i="1"/>
  <c r="V301" i="1"/>
  <c r="W301" i="1" s="1"/>
  <c r="Q302" i="1"/>
  <c r="R302" i="1"/>
  <c r="S302" i="1"/>
  <c r="T302" i="1"/>
  <c r="U302" i="1"/>
  <c r="V302" i="1"/>
  <c r="W302" i="1" s="1"/>
  <c r="Q303" i="1"/>
  <c r="R303" i="1"/>
  <c r="S303" i="1"/>
  <c r="T303" i="1"/>
  <c r="U303" i="1"/>
  <c r="V303" i="1"/>
  <c r="W303" i="1" s="1"/>
  <c r="Q304" i="1"/>
  <c r="R304" i="1"/>
  <c r="S304" i="1"/>
  <c r="T304" i="1"/>
  <c r="U304" i="1"/>
  <c r="V304" i="1"/>
  <c r="W304" i="1" s="1"/>
  <c r="Q305" i="1"/>
  <c r="R305" i="1"/>
  <c r="S305" i="1"/>
  <c r="T305" i="1"/>
  <c r="U305" i="1"/>
  <c r="V305" i="1"/>
  <c r="W305" i="1" s="1"/>
  <c r="Q306" i="1"/>
  <c r="R306" i="1"/>
  <c r="S306" i="1"/>
  <c r="T306" i="1"/>
  <c r="U306" i="1"/>
  <c r="V306" i="1"/>
  <c r="W306" i="1" s="1"/>
  <c r="Q307" i="1"/>
  <c r="R307" i="1"/>
  <c r="S307" i="1"/>
  <c r="T307" i="1"/>
  <c r="U307" i="1"/>
  <c r="V307" i="1"/>
  <c r="W307" i="1" s="1"/>
  <c r="Q308" i="1"/>
  <c r="R308" i="1"/>
  <c r="S308" i="1"/>
  <c r="T308" i="1"/>
  <c r="U308" i="1"/>
  <c r="V308" i="1"/>
  <c r="W308" i="1" s="1"/>
  <c r="Q309" i="1"/>
  <c r="R309" i="1"/>
  <c r="S309" i="1"/>
  <c r="T309" i="1"/>
  <c r="U309" i="1"/>
  <c r="V309" i="1"/>
  <c r="W309" i="1" s="1"/>
  <c r="Q310" i="1"/>
  <c r="R310" i="1"/>
  <c r="S310" i="1"/>
  <c r="T310" i="1"/>
  <c r="U310" i="1"/>
  <c r="V310" i="1"/>
  <c r="W310" i="1" s="1"/>
  <c r="Q311" i="1"/>
  <c r="R311" i="1"/>
  <c r="S311" i="1"/>
  <c r="T311" i="1"/>
  <c r="U311" i="1"/>
  <c r="V311" i="1"/>
  <c r="W311" i="1" s="1"/>
  <c r="Q312" i="1"/>
  <c r="R312" i="1"/>
  <c r="S312" i="1"/>
  <c r="T312" i="1"/>
  <c r="U312" i="1"/>
  <c r="V312" i="1"/>
  <c r="W312" i="1" s="1"/>
  <c r="Q313" i="1"/>
  <c r="R313" i="1"/>
  <c r="S313" i="1"/>
  <c r="T313" i="1"/>
  <c r="U313" i="1"/>
  <c r="V313" i="1"/>
  <c r="W313" i="1" s="1"/>
  <c r="Q314" i="1"/>
  <c r="R314" i="1"/>
  <c r="S314" i="1"/>
  <c r="T314" i="1"/>
  <c r="U314" i="1"/>
  <c r="V314" i="1"/>
  <c r="W314" i="1" s="1"/>
  <c r="Q315" i="1"/>
  <c r="R315" i="1"/>
  <c r="S315" i="1"/>
  <c r="T315" i="1"/>
  <c r="U315" i="1"/>
  <c r="V315" i="1"/>
  <c r="W315" i="1" s="1"/>
  <c r="Q316" i="1"/>
  <c r="R316" i="1"/>
  <c r="S316" i="1"/>
  <c r="T316" i="1"/>
  <c r="U316" i="1"/>
  <c r="V316" i="1"/>
  <c r="W316" i="1" s="1"/>
  <c r="Q317" i="1"/>
  <c r="R317" i="1"/>
  <c r="S317" i="1"/>
  <c r="T317" i="1"/>
  <c r="U317" i="1"/>
  <c r="V317" i="1"/>
  <c r="W317" i="1" s="1"/>
  <c r="Q318" i="1"/>
  <c r="R318" i="1"/>
  <c r="S318" i="1"/>
  <c r="T318" i="1"/>
  <c r="U318" i="1"/>
  <c r="V318" i="1"/>
  <c r="W318" i="1" s="1"/>
  <c r="Q319" i="1"/>
  <c r="R319" i="1"/>
  <c r="S319" i="1"/>
  <c r="T319" i="1"/>
  <c r="U319" i="1"/>
  <c r="V319" i="1"/>
  <c r="W319" i="1" s="1"/>
  <c r="Q320" i="1"/>
  <c r="R320" i="1"/>
  <c r="S320" i="1"/>
  <c r="T320" i="1"/>
  <c r="U320" i="1"/>
  <c r="V320" i="1"/>
  <c r="W320" i="1" s="1"/>
  <c r="Q321" i="1"/>
  <c r="R321" i="1"/>
  <c r="S321" i="1"/>
  <c r="T321" i="1"/>
  <c r="U321" i="1"/>
  <c r="V321" i="1"/>
  <c r="W321" i="1" s="1"/>
  <c r="Q322" i="1"/>
  <c r="R322" i="1"/>
  <c r="S322" i="1"/>
  <c r="T322" i="1"/>
  <c r="U322" i="1"/>
  <c r="V322" i="1"/>
  <c r="W322" i="1" s="1"/>
  <c r="Q323" i="1"/>
  <c r="R323" i="1"/>
  <c r="S323" i="1"/>
  <c r="T323" i="1"/>
  <c r="U323" i="1"/>
  <c r="V323" i="1"/>
  <c r="W323" i="1" s="1"/>
  <c r="Q324" i="1"/>
  <c r="R324" i="1"/>
  <c r="S324" i="1"/>
  <c r="T324" i="1"/>
  <c r="U324" i="1"/>
  <c r="V324" i="1"/>
  <c r="W324" i="1" s="1"/>
  <c r="Q325" i="1"/>
  <c r="R325" i="1"/>
  <c r="S325" i="1"/>
  <c r="T325" i="1"/>
  <c r="U325" i="1"/>
  <c r="V325" i="1"/>
  <c r="W325" i="1" s="1"/>
  <c r="Q326" i="1"/>
  <c r="R326" i="1"/>
  <c r="S326" i="1"/>
  <c r="T326" i="1"/>
  <c r="U326" i="1"/>
  <c r="V326" i="1"/>
  <c r="W326" i="1" s="1"/>
  <c r="Q327" i="1"/>
  <c r="R327" i="1"/>
  <c r="S327" i="1"/>
  <c r="T327" i="1"/>
  <c r="U327" i="1"/>
  <c r="V327" i="1"/>
  <c r="W327" i="1" s="1"/>
  <c r="Q328" i="1"/>
  <c r="R328" i="1"/>
  <c r="S328" i="1"/>
  <c r="T328" i="1"/>
  <c r="U328" i="1"/>
  <c r="V328" i="1"/>
  <c r="W328" i="1" s="1"/>
  <c r="Q329" i="1"/>
  <c r="R329" i="1"/>
  <c r="S329" i="1"/>
  <c r="T329" i="1"/>
  <c r="U329" i="1"/>
  <c r="V329" i="1"/>
  <c r="W329" i="1" s="1"/>
  <c r="Q330" i="1"/>
  <c r="R330" i="1"/>
  <c r="S330" i="1"/>
  <c r="T330" i="1"/>
  <c r="U330" i="1"/>
  <c r="V330" i="1"/>
  <c r="W330" i="1" s="1"/>
  <c r="Q331" i="1"/>
  <c r="R331" i="1"/>
  <c r="S331" i="1"/>
  <c r="T331" i="1"/>
  <c r="U331" i="1"/>
  <c r="V331" i="1"/>
  <c r="W331" i="1" s="1"/>
  <c r="Q332" i="1"/>
  <c r="R332" i="1"/>
  <c r="S332" i="1"/>
  <c r="T332" i="1"/>
  <c r="U332" i="1"/>
  <c r="V332" i="1"/>
  <c r="W332" i="1" s="1"/>
  <c r="Q333" i="1"/>
  <c r="R333" i="1"/>
  <c r="S333" i="1"/>
  <c r="T333" i="1"/>
  <c r="U333" i="1"/>
  <c r="V333" i="1"/>
  <c r="W333" i="1" s="1"/>
  <c r="Q334" i="1"/>
  <c r="R334" i="1"/>
  <c r="S334" i="1"/>
  <c r="T334" i="1"/>
  <c r="U334" i="1"/>
  <c r="V334" i="1"/>
  <c r="W334" i="1" s="1"/>
  <c r="Q335" i="1"/>
  <c r="R335" i="1"/>
  <c r="S335" i="1"/>
  <c r="T335" i="1"/>
  <c r="U335" i="1"/>
  <c r="V335" i="1"/>
  <c r="W335" i="1" s="1"/>
  <c r="Q336" i="1"/>
  <c r="R336" i="1"/>
  <c r="S336" i="1"/>
  <c r="T336" i="1"/>
  <c r="U336" i="1"/>
  <c r="V336" i="1"/>
  <c r="W336" i="1" s="1"/>
  <c r="Q337" i="1"/>
  <c r="R337" i="1"/>
  <c r="S337" i="1"/>
  <c r="T337" i="1"/>
  <c r="U337" i="1"/>
  <c r="V337" i="1"/>
  <c r="W337" i="1" s="1"/>
  <c r="Q338" i="1"/>
  <c r="R338" i="1"/>
  <c r="S338" i="1"/>
  <c r="T338" i="1"/>
  <c r="U338" i="1"/>
  <c r="V338" i="1"/>
  <c r="W338" i="1" s="1"/>
  <c r="Q339" i="1"/>
  <c r="R339" i="1"/>
  <c r="S339" i="1"/>
  <c r="T339" i="1"/>
  <c r="U339" i="1"/>
  <c r="V339" i="1"/>
  <c r="W339" i="1" s="1"/>
  <c r="Q340" i="1"/>
  <c r="R340" i="1"/>
  <c r="S340" i="1"/>
  <c r="T340" i="1"/>
  <c r="U340" i="1"/>
  <c r="V340" i="1"/>
  <c r="W340" i="1" s="1"/>
  <c r="Q341" i="1"/>
  <c r="R341" i="1"/>
  <c r="S341" i="1"/>
  <c r="T341" i="1"/>
  <c r="U341" i="1"/>
  <c r="V341" i="1"/>
  <c r="W341" i="1" s="1"/>
  <c r="Q342" i="1"/>
  <c r="R342" i="1"/>
  <c r="S342" i="1"/>
  <c r="T342" i="1"/>
  <c r="U342" i="1"/>
  <c r="V342" i="1"/>
  <c r="W342" i="1" s="1"/>
  <c r="Q343" i="1"/>
  <c r="R343" i="1"/>
  <c r="S343" i="1"/>
  <c r="T343" i="1"/>
  <c r="U343" i="1"/>
  <c r="V343" i="1"/>
  <c r="W343" i="1" s="1"/>
  <c r="Q344" i="1"/>
  <c r="R344" i="1"/>
  <c r="S344" i="1"/>
  <c r="T344" i="1"/>
  <c r="U344" i="1"/>
  <c r="V344" i="1"/>
  <c r="W344" i="1" s="1"/>
  <c r="Q345" i="1"/>
  <c r="R345" i="1"/>
  <c r="S345" i="1"/>
  <c r="T345" i="1"/>
  <c r="U345" i="1"/>
  <c r="V345" i="1"/>
  <c r="W345" i="1" s="1"/>
  <c r="Q346" i="1"/>
  <c r="R346" i="1"/>
  <c r="S346" i="1"/>
  <c r="T346" i="1"/>
  <c r="U346" i="1"/>
  <c r="V346" i="1"/>
  <c r="W346" i="1" s="1"/>
  <c r="Q347" i="1"/>
  <c r="R347" i="1"/>
  <c r="S347" i="1"/>
  <c r="T347" i="1"/>
  <c r="U347" i="1"/>
  <c r="V347" i="1"/>
  <c r="W347" i="1" s="1"/>
  <c r="Q348" i="1"/>
  <c r="R348" i="1"/>
  <c r="S348" i="1"/>
  <c r="T348" i="1"/>
  <c r="U348" i="1"/>
  <c r="V348" i="1"/>
  <c r="W348" i="1" s="1"/>
  <c r="Q349" i="1"/>
  <c r="R349" i="1"/>
  <c r="S349" i="1"/>
  <c r="T349" i="1"/>
  <c r="U349" i="1"/>
  <c r="V349" i="1"/>
  <c r="W349" i="1" s="1"/>
  <c r="Q350" i="1"/>
  <c r="R350" i="1"/>
  <c r="S350" i="1"/>
  <c r="T350" i="1"/>
  <c r="U350" i="1"/>
  <c r="V350" i="1"/>
  <c r="W350" i="1" s="1"/>
  <c r="Q351" i="1"/>
  <c r="R351" i="1"/>
  <c r="S351" i="1"/>
  <c r="T351" i="1"/>
  <c r="U351" i="1"/>
  <c r="V351" i="1"/>
  <c r="W351" i="1" s="1"/>
  <c r="Q352" i="1"/>
  <c r="R352" i="1"/>
  <c r="S352" i="1"/>
  <c r="T352" i="1"/>
  <c r="U352" i="1"/>
  <c r="V352" i="1"/>
  <c r="W352" i="1" s="1"/>
  <c r="Q353" i="1"/>
  <c r="R353" i="1"/>
  <c r="S353" i="1"/>
  <c r="T353" i="1"/>
  <c r="U353" i="1"/>
  <c r="V353" i="1"/>
  <c r="W353" i="1" s="1"/>
  <c r="Q354" i="1"/>
  <c r="R354" i="1"/>
  <c r="S354" i="1"/>
  <c r="T354" i="1"/>
  <c r="U354" i="1"/>
  <c r="V354" i="1"/>
  <c r="W354" i="1" s="1"/>
  <c r="Q355" i="1"/>
  <c r="R355" i="1"/>
  <c r="S355" i="1"/>
  <c r="T355" i="1"/>
  <c r="U355" i="1"/>
  <c r="V355" i="1"/>
  <c r="W355" i="1" s="1"/>
  <c r="Q356" i="1"/>
  <c r="R356" i="1"/>
  <c r="S356" i="1"/>
  <c r="T356" i="1"/>
  <c r="U356" i="1"/>
  <c r="V356" i="1"/>
  <c r="W356" i="1" s="1"/>
  <c r="Q357" i="1"/>
  <c r="R357" i="1"/>
  <c r="S357" i="1"/>
  <c r="T357" i="1"/>
  <c r="U357" i="1"/>
  <c r="V357" i="1"/>
  <c r="W357" i="1" s="1"/>
  <c r="Q358" i="1"/>
  <c r="R358" i="1"/>
  <c r="S358" i="1"/>
  <c r="T358" i="1"/>
  <c r="U358" i="1"/>
  <c r="V358" i="1"/>
  <c r="W358" i="1" s="1"/>
  <c r="Q359" i="1"/>
  <c r="R359" i="1"/>
  <c r="S359" i="1"/>
  <c r="T359" i="1"/>
  <c r="U359" i="1"/>
  <c r="V359" i="1"/>
  <c r="W359" i="1" s="1"/>
  <c r="Q360" i="1"/>
  <c r="R360" i="1"/>
  <c r="S360" i="1"/>
  <c r="T360" i="1"/>
  <c r="U360" i="1"/>
  <c r="V360" i="1"/>
  <c r="W360" i="1" s="1"/>
  <c r="Q361" i="1"/>
  <c r="R361" i="1"/>
  <c r="S361" i="1"/>
  <c r="T361" i="1"/>
  <c r="U361" i="1"/>
  <c r="V361" i="1"/>
  <c r="W361" i="1" s="1"/>
  <c r="Q362" i="1"/>
  <c r="R362" i="1"/>
  <c r="S362" i="1"/>
  <c r="T362" i="1"/>
  <c r="U362" i="1"/>
  <c r="V362" i="1"/>
  <c r="W362" i="1" s="1"/>
  <c r="Q363" i="1"/>
  <c r="R363" i="1"/>
  <c r="S363" i="1"/>
  <c r="T363" i="1"/>
  <c r="U363" i="1"/>
  <c r="V363" i="1"/>
  <c r="W363" i="1" s="1"/>
  <c r="Q364" i="1"/>
  <c r="R364" i="1"/>
  <c r="S364" i="1"/>
  <c r="T364" i="1"/>
  <c r="U364" i="1"/>
  <c r="V364" i="1"/>
  <c r="W364" i="1" s="1"/>
  <c r="Q365" i="1"/>
  <c r="R365" i="1"/>
  <c r="S365" i="1"/>
  <c r="T365" i="1"/>
  <c r="U365" i="1"/>
  <c r="V365" i="1"/>
  <c r="W365" i="1" s="1"/>
  <c r="T25" i="1"/>
  <c r="U25" i="1"/>
  <c r="V25" i="1"/>
  <c r="W25" i="1" s="1"/>
  <c r="T26" i="1"/>
  <c r="U26" i="1"/>
  <c r="V26" i="1"/>
  <c r="W26" i="1" s="1"/>
  <c r="T27" i="1"/>
  <c r="U27" i="1"/>
  <c r="V27" i="1"/>
  <c r="W27" i="1" s="1"/>
  <c r="T28" i="1"/>
  <c r="U28" i="1"/>
  <c r="V28" i="1"/>
  <c r="W28" i="1" s="1"/>
  <c r="T29" i="1"/>
  <c r="U29" i="1"/>
  <c r="V29" i="1"/>
  <c r="W29" i="1" s="1"/>
  <c r="T30" i="1"/>
  <c r="U30" i="1"/>
  <c r="V30" i="1"/>
  <c r="W30" i="1" s="1"/>
  <c r="T31" i="1"/>
  <c r="U31" i="1"/>
  <c r="V31" i="1"/>
  <c r="W31" i="1" s="1"/>
  <c r="T32" i="1"/>
  <c r="U32" i="1"/>
  <c r="V32" i="1"/>
  <c r="W32" i="1" s="1"/>
  <c r="T33" i="1"/>
  <c r="U33" i="1"/>
  <c r="V33" i="1"/>
  <c r="W33" i="1" s="1"/>
  <c r="T34" i="1"/>
  <c r="U34" i="1"/>
  <c r="V34" i="1"/>
  <c r="W34" i="1" s="1"/>
  <c r="T35" i="1"/>
  <c r="U35" i="1"/>
  <c r="V35" i="1"/>
  <c r="W35" i="1" s="1"/>
  <c r="T36" i="1"/>
  <c r="U36" i="1"/>
  <c r="V36" i="1"/>
  <c r="W36" i="1" s="1"/>
  <c r="T37" i="1"/>
  <c r="U37" i="1"/>
  <c r="V37" i="1"/>
  <c r="W37" i="1" s="1"/>
  <c r="T38" i="1"/>
  <c r="U38" i="1"/>
  <c r="V38" i="1"/>
  <c r="W38" i="1" s="1"/>
  <c r="T39" i="1"/>
  <c r="U39" i="1"/>
  <c r="V39" i="1"/>
  <c r="W39" i="1" s="1"/>
  <c r="T40" i="1"/>
  <c r="U40" i="1"/>
  <c r="V40" i="1"/>
  <c r="W40" i="1" s="1"/>
  <c r="T41" i="1"/>
  <c r="U41" i="1"/>
  <c r="V41" i="1"/>
  <c r="W41" i="1" s="1"/>
  <c r="T42" i="1"/>
  <c r="U42" i="1"/>
  <c r="V42" i="1"/>
  <c r="W42" i="1" s="1"/>
  <c r="T43" i="1"/>
  <c r="U43" i="1"/>
  <c r="V43" i="1"/>
  <c r="W43" i="1" s="1"/>
  <c r="T44" i="1"/>
  <c r="U44" i="1"/>
  <c r="V44" i="1"/>
  <c r="W44" i="1" s="1"/>
  <c r="T45" i="1"/>
  <c r="U45" i="1"/>
  <c r="V45" i="1"/>
  <c r="W45" i="1" s="1"/>
  <c r="T46" i="1"/>
  <c r="U46" i="1"/>
  <c r="V46" i="1"/>
  <c r="W46" i="1" s="1"/>
  <c r="T47" i="1"/>
  <c r="U47" i="1"/>
  <c r="V47" i="1"/>
  <c r="W47" i="1" s="1"/>
  <c r="T48" i="1"/>
  <c r="U48" i="1"/>
  <c r="V48" i="1"/>
  <c r="W48" i="1" s="1"/>
  <c r="T49" i="1"/>
  <c r="U49" i="1"/>
  <c r="V49" i="1"/>
  <c r="W49" i="1" s="1"/>
  <c r="T50" i="1"/>
  <c r="U50" i="1"/>
  <c r="V50" i="1"/>
  <c r="W50" i="1" s="1"/>
  <c r="T51" i="1"/>
  <c r="U51" i="1"/>
  <c r="V51" i="1"/>
  <c r="W51" i="1" s="1"/>
  <c r="T52" i="1"/>
  <c r="U52" i="1"/>
  <c r="V52" i="1"/>
  <c r="W52" i="1" s="1"/>
  <c r="T53" i="1"/>
  <c r="U53" i="1"/>
  <c r="V53" i="1"/>
  <c r="W53" i="1" s="1"/>
  <c r="T54" i="1"/>
  <c r="U54" i="1"/>
  <c r="V54" i="1"/>
  <c r="W54" i="1" s="1"/>
  <c r="T55" i="1"/>
  <c r="U55" i="1"/>
  <c r="V55" i="1"/>
  <c r="W55" i="1" s="1"/>
  <c r="T56" i="1"/>
  <c r="U56" i="1"/>
  <c r="V56" i="1"/>
  <c r="W56" i="1" s="1"/>
  <c r="T57" i="1"/>
  <c r="U57" i="1"/>
  <c r="V57" i="1"/>
  <c r="W57" i="1" s="1"/>
  <c r="T58" i="1"/>
  <c r="U58" i="1"/>
  <c r="V58" i="1"/>
  <c r="W58" i="1" s="1"/>
  <c r="T59" i="1"/>
  <c r="U59" i="1"/>
  <c r="V59" i="1"/>
  <c r="W59" i="1" s="1"/>
  <c r="T60" i="1"/>
  <c r="U60" i="1"/>
  <c r="V60" i="1"/>
  <c r="W60" i="1" s="1"/>
  <c r="T61" i="1"/>
  <c r="U61" i="1"/>
  <c r="V61" i="1"/>
  <c r="W61" i="1" s="1"/>
  <c r="T62" i="1"/>
  <c r="U62" i="1"/>
  <c r="V62" i="1"/>
  <c r="W62" i="1" s="1"/>
  <c r="T63" i="1"/>
  <c r="U63" i="1"/>
  <c r="V63" i="1"/>
  <c r="W63" i="1" s="1"/>
  <c r="T64" i="1"/>
  <c r="U64" i="1"/>
  <c r="V64" i="1"/>
  <c r="W64" i="1" s="1"/>
  <c r="T65" i="1"/>
  <c r="U65" i="1"/>
  <c r="V65" i="1"/>
  <c r="W65" i="1" s="1"/>
  <c r="T66" i="1"/>
  <c r="U66" i="1"/>
  <c r="V66" i="1"/>
  <c r="W66" i="1" s="1"/>
  <c r="T67" i="1"/>
  <c r="U67" i="1"/>
  <c r="V67" i="1"/>
  <c r="W67" i="1" s="1"/>
  <c r="T68" i="1"/>
  <c r="U68" i="1"/>
  <c r="V68" i="1"/>
  <c r="W68" i="1" s="1"/>
  <c r="T69" i="1"/>
  <c r="U69" i="1"/>
  <c r="V69" i="1"/>
  <c r="W69" i="1" s="1"/>
  <c r="T70" i="1"/>
  <c r="U70" i="1"/>
  <c r="V70" i="1"/>
  <c r="W70" i="1" s="1"/>
  <c r="T71" i="1"/>
  <c r="U71" i="1"/>
  <c r="V71" i="1"/>
  <c r="W71" i="1" s="1"/>
  <c r="T72" i="1"/>
  <c r="U72" i="1"/>
  <c r="V72" i="1"/>
  <c r="W72" i="1" s="1"/>
  <c r="T73" i="1"/>
  <c r="U73" i="1"/>
  <c r="V73" i="1"/>
  <c r="W73" i="1" s="1"/>
  <c r="T74" i="1"/>
  <c r="U74" i="1"/>
  <c r="V74" i="1"/>
  <c r="W74" i="1" s="1"/>
  <c r="T75" i="1"/>
  <c r="U75" i="1"/>
  <c r="V75" i="1"/>
  <c r="W75" i="1" s="1"/>
  <c r="T76" i="1"/>
  <c r="U76" i="1"/>
  <c r="V76" i="1"/>
  <c r="W76" i="1" s="1"/>
  <c r="T77" i="1"/>
  <c r="U77" i="1"/>
  <c r="V77" i="1"/>
  <c r="W77" i="1" s="1"/>
  <c r="T78" i="1"/>
  <c r="U78" i="1"/>
  <c r="V78" i="1"/>
  <c r="W78" i="1" s="1"/>
  <c r="T79" i="1"/>
  <c r="U79" i="1"/>
  <c r="V79" i="1"/>
  <c r="W79" i="1" s="1"/>
  <c r="T80" i="1"/>
  <c r="U80" i="1"/>
  <c r="V80" i="1"/>
  <c r="W80" i="1" s="1"/>
  <c r="T81" i="1"/>
  <c r="U81" i="1"/>
  <c r="V81" i="1"/>
  <c r="W81" i="1" s="1"/>
  <c r="T82" i="1"/>
  <c r="U82" i="1"/>
  <c r="V82" i="1"/>
  <c r="W82" i="1" s="1"/>
  <c r="T83" i="1"/>
  <c r="U83" i="1"/>
  <c r="V83" i="1"/>
  <c r="W83" i="1" s="1"/>
  <c r="T84" i="1"/>
  <c r="U84" i="1"/>
  <c r="V84" i="1"/>
  <c r="W84" i="1" s="1"/>
  <c r="T85" i="1"/>
  <c r="U85" i="1"/>
  <c r="V85" i="1"/>
  <c r="W85" i="1" s="1"/>
  <c r="T86" i="1"/>
  <c r="U86" i="1"/>
  <c r="V86" i="1"/>
  <c r="W86" i="1" s="1"/>
  <c r="T87" i="1"/>
  <c r="U87" i="1"/>
  <c r="V87" i="1"/>
  <c r="W87" i="1" s="1"/>
  <c r="T88" i="1"/>
  <c r="U88" i="1"/>
  <c r="V88" i="1"/>
  <c r="W88" i="1" s="1"/>
  <c r="T89" i="1"/>
  <c r="U89" i="1"/>
  <c r="V89" i="1"/>
  <c r="W89" i="1" s="1"/>
  <c r="T90" i="1"/>
  <c r="U90" i="1"/>
  <c r="V90" i="1"/>
  <c r="W90" i="1" s="1"/>
  <c r="T91" i="1"/>
  <c r="U91" i="1"/>
  <c r="V91" i="1"/>
  <c r="W91" i="1" s="1"/>
  <c r="T92" i="1"/>
  <c r="U92" i="1"/>
  <c r="V92" i="1"/>
  <c r="W92" i="1" s="1"/>
  <c r="T93" i="1"/>
  <c r="U93" i="1"/>
  <c r="V93" i="1"/>
  <c r="W93" i="1" s="1"/>
  <c r="T94" i="1"/>
  <c r="U94" i="1"/>
  <c r="V94" i="1"/>
  <c r="W94" i="1" s="1"/>
  <c r="T95" i="1"/>
  <c r="U95" i="1"/>
  <c r="V95" i="1"/>
  <c r="W95" i="1" s="1"/>
  <c r="T96" i="1"/>
  <c r="U96" i="1"/>
  <c r="V96" i="1"/>
  <c r="W96" i="1" s="1"/>
  <c r="T97" i="1"/>
  <c r="U97" i="1"/>
  <c r="V97" i="1"/>
  <c r="W97" i="1" s="1"/>
  <c r="T98" i="1"/>
  <c r="U98" i="1"/>
  <c r="V98" i="1"/>
  <c r="W98" i="1" s="1"/>
  <c r="T99" i="1"/>
  <c r="U99" i="1"/>
  <c r="V99" i="1"/>
  <c r="W99" i="1" s="1"/>
  <c r="T100" i="1"/>
  <c r="U100" i="1"/>
  <c r="V100" i="1"/>
  <c r="W100" i="1" s="1"/>
  <c r="T101" i="1"/>
  <c r="U101" i="1"/>
  <c r="V101" i="1"/>
  <c r="W101" i="1" s="1"/>
  <c r="T102" i="1"/>
  <c r="U102" i="1"/>
  <c r="V102" i="1"/>
  <c r="W102" i="1" s="1"/>
  <c r="T103" i="1"/>
  <c r="U103" i="1"/>
  <c r="V103" i="1"/>
  <c r="W103" i="1" s="1"/>
  <c r="T104" i="1"/>
  <c r="U104" i="1"/>
  <c r="V104" i="1"/>
  <c r="W104" i="1" s="1"/>
  <c r="T105" i="1"/>
  <c r="U105" i="1"/>
  <c r="V105" i="1"/>
  <c r="W105" i="1" s="1"/>
  <c r="T106" i="1"/>
  <c r="U106" i="1"/>
  <c r="V106" i="1"/>
  <c r="W106" i="1" s="1"/>
  <c r="T107" i="1"/>
  <c r="U107" i="1"/>
  <c r="V107" i="1"/>
  <c r="W107" i="1" s="1"/>
  <c r="T108" i="1"/>
  <c r="U108" i="1"/>
  <c r="V108" i="1"/>
  <c r="W108" i="1" s="1"/>
  <c r="T109" i="1"/>
  <c r="U109" i="1"/>
  <c r="V109" i="1"/>
  <c r="W109" i="1" s="1"/>
  <c r="T110" i="1"/>
  <c r="U110" i="1"/>
  <c r="V110" i="1"/>
  <c r="W110" i="1" s="1"/>
  <c r="T111" i="1"/>
  <c r="U111" i="1"/>
  <c r="V111" i="1"/>
  <c r="W111" i="1" s="1"/>
  <c r="T112" i="1"/>
  <c r="U112" i="1"/>
  <c r="V112" i="1"/>
  <c r="W112" i="1" s="1"/>
  <c r="T113" i="1"/>
  <c r="U113" i="1"/>
  <c r="V113" i="1"/>
  <c r="W113" i="1" s="1"/>
  <c r="T114" i="1"/>
  <c r="U114" i="1"/>
  <c r="V114" i="1"/>
  <c r="W114" i="1" s="1"/>
  <c r="T115" i="1"/>
  <c r="U115" i="1"/>
  <c r="V115" i="1"/>
  <c r="W115" i="1" s="1"/>
  <c r="T116" i="1"/>
  <c r="U116" i="1"/>
  <c r="V116" i="1"/>
  <c r="W116" i="1" s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X604" i="1"/>
  <c r="X588" i="1"/>
  <c r="X577" i="1"/>
  <c r="X563" i="1"/>
  <c r="X549" i="1"/>
  <c r="X536" i="1"/>
  <c r="X522" i="1"/>
  <c r="X508" i="1"/>
  <c r="X493" i="1"/>
  <c r="X473" i="1"/>
  <c r="X460" i="1"/>
  <c r="X445" i="1"/>
  <c r="X435" i="1"/>
  <c r="X414" i="1"/>
  <c r="X397" i="1"/>
  <c r="P13" i="1"/>
  <c r="X13" i="1" s="1"/>
  <c r="X14" i="1"/>
  <c r="X15" i="1"/>
  <c r="X16" i="1"/>
  <c r="X17" i="1"/>
  <c r="X18" i="1"/>
  <c r="X19" i="1"/>
  <c r="X20" i="1"/>
  <c r="X21" i="1"/>
  <c r="X22" i="1"/>
  <c r="X138" i="1"/>
  <c r="X142" i="1"/>
  <c r="X146" i="1"/>
  <c r="X148" i="1"/>
  <c r="X151" i="1"/>
  <c r="X154" i="1"/>
  <c r="X160" i="1"/>
  <c r="X165" i="1"/>
  <c r="X170" i="1"/>
  <c r="X175" i="1"/>
  <c r="X180" i="1"/>
  <c r="X185" i="1"/>
  <c r="X190" i="1"/>
  <c r="X195" i="1"/>
  <c r="X200" i="1"/>
  <c r="X205" i="1"/>
  <c r="X210" i="1"/>
  <c r="X218" i="1"/>
  <c r="X227" i="1"/>
  <c r="X236" i="1"/>
  <c r="X245" i="1"/>
  <c r="X254" i="1"/>
  <c r="X263" i="1"/>
  <c r="X333" i="1"/>
  <c r="X336" i="1"/>
  <c r="X341" i="1"/>
  <c r="X345" i="1"/>
  <c r="X346" i="1"/>
  <c r="X348" i="1"/>
  <c r="X351" i="1"/>
  <c r="X360" i="1"/>
  <c r="Q22" i="1"/>
  <c r="Q21" i="1"/>
  <c r="Q20" i="1"/>
  <c r="Q19" i="1"/>
  <c r="Q18" i="1"/>
  <c r="Q17" i="1"/>
  <c r="Q16" i="1"/>
  <c r="Q15" i="1"/>
  <c r="Q14" i="1"/>
  <c r="R14" i="1"/>
  <c r="S14" i="1"/>
  <c r="T14" i="1"/>
  <c r="U14" i="1"/>
  <c r="V14" i="1"/>
  <c r="W14" i="1" s="1"/>
  <c r="R15" i="1"/>
  <c r="S15" i="1"/>
  <c r="T15" i="1"/>
  <c r="U15" i="1"/>
  <c r="V15" i="1"/>
  <c r="W15" i="1" s="1"/>
  <c r="R16" i="1"/>
  <c r="S16" i="1"/>
  <c r="T16" i="1"/>
  <c r="U16" i="1"/>
  <c r="V16" i="1"/>
  <c r="W16" i="1" s="1"/>
  <c r="R17" i="1"/>
  <c r="S17" i="1"/>
  <c r="T17" i="1"/>
  <c r="U17" i="1"/>
  <c r="V17" i="1"/>
  <c r="W17" i="1" s="1"/>
  <c r="R18" i="1"/>
  <c r="S18" i="1"/>
  <c r="T18" i="1"/>
  <c r="U18" i="1"/>
  <c r="V18" i="1"/>
  <c r="W18" i="1" s="1"/>
  <c r="R19" i="1"/>
  <c r="S19" i="1"/>
  <c r="T19" i="1"/>
  <c r="U19" i="1"/>
  <c r="V19" i="1"/>
  <c r="W19" i="1" s="1"/>
  <c r="R20" i="1"/>
  <c r="S20" i="1"/>
  <c r="T20" i="1"/>
  <c r="U20" i="1"/>
  <c r="V20" i="1"/>
  <c r="W20" i="1" s="1"/>
  <c r="R21" i="1"/>
  <c r="S21" i="1"/>
  <c r="T21" i="1"/>
  <c r="U21" i="1"/>
  <c r="V21" i="1"/>
  <c r="W21" i="1" s="1"/>
  <c r="R22" i="1"/>
  <c r="S22" i="1"/>
  <c r="T22" i="1"/>
  <c r="U22" i="1"/>
  <c r="V22" i="1"/>
  <c r="W22" i="1" s="1"/>
  <c r="R23" i="1"/>
  <c r="S23" i="1"/>
  <c r="T23" i="1"/>
  <c r="U23" i="1"/>
  <c r="V23" i="1"/>
  <c r="W23" i="1" s="1"/>
  <c r="R24" i="1"/>
  <c r="S24" i="1"/>
  <c r="T24" i="1"/>
  <c r="U24" i="1"/>
  <c r="V24" i="1"/>
  <c r="W24" i="1" s="1"/>
  <c r="T13" i="1"/>
  <c r="S13" i="1"/>
  <c r="R13" i="1"/>
  <c r="X33" i="1" l="1"/>
  <c r="Q33" i="1"/>
  <c r="X32" i="1"/>
  <c r="Q32" i="1"/>
  <c r="X31" i="1"/>
  <c r="Q31" i="1"/>
  <c r="X30" i="1"/>
  <c r="Q30" i="1"/>
  <c r="X29" i="1"/>
  <c r="Q29" i="1"/>
  <c r="X28" i="1"/>
  <c r="Q28" i="1"/>
  <c r="X27" i="1"/>
  <c r="Q27" i="1"/>
  <c r="X26" i="1"/>
  <c r="Q26" i="1"/>
  <c r="X25" i="1"/>
  <c r="Q25" i="1"/>
  <c r="X24" i="1"/>
  <c r="Q24" i="1"/>
  <c r="X23" i="1"/>
  <c r="Q23" i="1"/>
  <c r="X272" i="1"/>
  <c r="X531" i="1"/>
  <c r="X545" i="1"/>
  <c r="X586" i="1"/>
  <c r="X209" i="1"/>
  <c r="X342" i="1"/>
  <c r="V13" i="1"/>
  <c r="Q13" i="1"/>
  <c r="U13" i="1"/>
  <c r="X357" i="1" l="1"/>
  <c r="X355" i="1"/>
  <c r="X354" i="1"/>
  <c r="X350" i="1"/>
  <c r="X219" i="1"/>
  <c r="X214" i="1"/>
  <c r="X204" i="1"/>
  <c r="X199" i="1"/>
  <c r="X194" i="1"/>
  <c r="X189" i="1"/>
  <c r="X184" i="1"/>
  <c r="X179" i="1"/>
  <c r="X174" i="1"/>
  <c r="X169" i="1"/>
  <c r="X163" i="1"/>
  <c r="X157" i="1"/>
  <c r="X155" i="1"/>
  <c r="X147" i="1"/>
  <c r="X613" i="1"/>
  <c r="X597" i="1"/>
  <c r="X572" i="1"/>
  <c r="X558" i="1"/>
  <c r="X517" i="1"/>
  <c r="X502" i="1"/>
  <c r="X482" i="1"/>
  <c r="X469" i="1"/>
  <c r="X454" i="1"/>
  <c r="X444" i="1"/>
  <c r="X423" i="1"/>
  <c r="X406" i="1"/>
  <c r="W13" i="1"/>
  <c r="X42" i="1" l="1"/>
  <c r="Q42" i="1"/>
  <c r="X41" i="1"/>
  <c r="Q41" i="1"/>
  <c r="X40" i="1"/>
  <c r="Q40" i="1"/>
  <c r="X39" i="1"/>
  <c r="Q39" i="1"/>
  <c r="X38" i="1"/>
  <c r="Q38" i="1"/>
  <c r="X37" i="1"/>
  <c r="Q37" i="1"/>
  <c r="X36" i="1"/>
  <c r="Q36" i="1"/>
  <c r="X35" i="1"/>
  <c r="Q35" i="1"/>
  <c r="X34" i="1"/>
  <c r="Q34" i="1"/>
  <c r="X281" i="1"/>
  <c r="X156" i="1"/>
  <c r="X166" i="1"/>
  <c r="X366" i="1" l="1"/>
  <c r="X364" i="1"/>
  <c r="X363" i="1"/>
  <c r="X359" i="1"/>
  <c r="X228" i="1"/>
  <c r="X223" i="1"/>
  <c r="X213" i="1"/>
  <c r="X208" i="1"/>
  <c r="X203" i="1"/>
  <c r="X198" i="1"/>
  <c r="X193" i="1"/>
  <c r="X188" i="1"/>
  <c r="X183" i="1"/>
  <c r="X178" i="1"/>
  <c r="X172" i="1"/>
  <c r="X164" i="1"/>
  <c r="X622" i="1"/>
  <c r="X606" i="1"/>
  <c r="X581" i="1"/>
  <c r="X567" i="1"/>
  <c r="X526" i="1"/>
  <c r="X511" i="1"/>
  <c r="X491" i="1"/>
  <c r="X478" i="1"/>
  <c r="X463" i="1"/>
  <c r="X453" i="1"/>
  <c r="X432" i="1"/>
  <c r="X415" i="1"/>
  <c r="X51" i="1" l="1"/>
  <c r="Q51" i="1"/>
  <c r="X50" i="1"/>
  <c r="Q50" i="1"/>
  <c r="X49" i="1"/>
  <c r="Q49" i="1"/>
  <c r="X48" i="1"/>
  <c r="Q48" i="1"/>
  <c r="X47" i="1"/>
  <c r="Q47" i="1"/>
  <c r="X46" i="1"/>
  <c r="Q46" i="1"/>
  <c r="X45" i="1"/>
  <c r="Q45" i="1"/>
  <c r="X44" i="1"/>
  <c r="Q44" i="1"/>
  <c r="X43" i="1"/>
  <c r="Q43" i="1"/>
  <c r="X290" i="1"/>
  <c r="X181" i="1"/>
  <c r="X375" i="1" l="1"/>
  <c r="X373" i="1"/>
  <c r="X372" i="1"/>
  <c r="X368" i="1"/>
  <c r="X237" i="1"/>
  <c r="X232" i="1"/>
  <c r="X222" i="1"/>
  <c r="X217" i="1"/>
  <c r="X212" i="1"/>
  <c r="X207" i="1"/>
  <c r="X202" i="1"/>
  <c r="X197" i="1"/>
  <c r="X192" i="1"/>
  <c r="X187" i="1"/>
  <c r="X173" i="1"/>
  <c r="X631" i="1"/>
  <c r="X615" i="1"/>
  <c r="X590" i="1"/>
  <c r="X576" i="1"/>
  <c r="X535" i="1"/>
  <c r="X520" i="1"/>
  <c r="X500" i="1"/>
  <c r="X487" i="1"/>
  <c r="X472" i="1"/>
  <c r="X462" i="1"/>
  <c r="X441" i="1"/>
  <c r="X424" i="1"/>
  <c r="X60" i="1" l="1"/>
  <c r="Q60" i="1"/>
  <c r="X59" i="1"/>
  <c r="Q59" i="1"/>
  <c r="X58" i="1"/>
  <c r="Q58" i="1"/>
  <c r="X57" i="1"/>
  <c r="Q57" i="1"/>
  <c r="X56" i="1"/>
  <c r="Q56" i="1"/>
  <c r="X55" i="1"/>
  <c r="Q55" i="1"/>
  <c r="X54" i="1"/>
  <c r="Q54" i="1"/>
  <c r="X53" i="1"/>
  <c r="Q53" i="1"/>
  <c r="X52" i="1"/>
  <c r="Q52" i="1"/>
  <c r="X299" i="1"/>
  <c r="X433" i="1"/>
  <c r="X196" i="1"/>
  <c r="X201" i="1"/>
  <c r="X384" i="1" l="1"/>
  <c r="X382" i="1"/>
  <c r="X381" i="1"/>
  <c r="X377" i="1"/>
  <c r="X246" i="1"/>
  <c r="X241" i="1"/>
  <c r="X231" i="1"/>
  <c r="X226" i="1"/>
  <c r="X221" i="1"/>
  <c r="X216" i="1"/>
  <c r="X211" i="1"/>
  <c r="X206" i="1"/>
  <c r="X182" i="1"/>
  <c r="X640" i="1"/>
  <c r="X624" i="1"/>
  <c r="X599" i="1"/>
  <c r="X585" i="1"/>
  <c r="X544" i="1"/>
  <c r="X529" i="1"/>
  <c r="X509" i="1"/>
  <c r="X496" i="1"/>
  <c r="X481" i="1"/>
  <c r="X471" i="1"/>
  <c r="X450" i="1"/>
  <c r="X69" i="1" l="1"/>
  <c r="Q69" i="1"/>
  <c r="X68" i="1"/>
  <c r="Q68" i="1"/>
  <c r="X67" i="1"/>
  <c r="Q67" i="1"/>
  <c r="X66" i="1"/>
  <c r="Q66" i="1"/>
  <c r="X65" i="1"/>
  <c r="Q65" i="1"/>
  <c r="X64" i="1"/>
  <c r="Q64" i="1"/>
  <c r="X63" i="1"/>
  <c r="Q63" i="1"/>
  <c r="X62" i="1"/>
  <c r="Q62" i="1"/>
  <c r="X61" i="1"/>
  <c r="Q61" i="1"/>
  <c r="X308" i="1"/>
  <c r="X490" i="1"/>
  <c r="X518" i="1"/>
  <c r="X191" i="1"/>
  <c r="X393" i="1" l="1"/>
  <c r="X391" i="1"/>
  <c r="X390" i="1"/>
  <c r="X386" i="1"/>
  <c r="X255" i="1"/>
  <c r="X250" i="1"/>
  <c r="X240" i="1"/>
  <c r="X235" i="1"/>
  <c r="X230" i="1"/>
  <c r="X225" i="1"/>
  <c r="X220" i="1"/>
  <c r="X215" i="1"/>
  <c r="X649" i="1"/>
  <c r="X633" i="1"/>
  <c r="X608" i="1"/>
  <c r="X594" i="1"/>
  <c r="X553" i="1"/>
  <c r="X538" i="1"/>
  <c r="X505" i="1"/>
  <c r="X480" i="1"/>
  <c r="X459" i="1"/>
  <c r="X78" i="1" l="1"/>
  <c r="Q78" i="1"/>
  <c r="X77" i="1"/>
  <c r="Q77" i="1"/>
  <c r="X76" i="1"/>
  <c r="Q76" i="1"/>
  <c r="X75" i="1"/>
  <c r="Q75" i="1"/>
  <c r="X74" i="1"/>
  <c r="Q74" i="1"/>
  <c r="X73" i="1"/>
  <c r="Q73" i="1"/>
  <c r="X72" i="1"/>
  <c r="Q72" i="1"/>
  <c r="X71" i="1"/>
  <c r="Q71" i="1"/>
  <c r="X70" i="1"/>
  <c r="Q70" i="1"/>
  <c r="X317" i="1"/>
  <c r="X402" i="1" l="1"/>
  <c r="X400" i="1"/>
  <c r="X399" i="1"/>
  <c r="X395" i="1"/>
  <c r="X264" i="1"/>
  <c r="X259" i="1"/>
  <c r="X249" i="1"/>
  <c r="X244" i="1"/>
  <c r="X239" i="1"/>
  <c r="X234" i="1"/>
  <c r="X229" i="1"/>
  <c r="X224" i="1"/>
  <c r="X658" i="1"/>
  <c r="X642" i="1"/>
  <c r="X617" i="1"/>
  <c r="X603" i="1"/>
  <c r="X562" i="1"/>
  <c r="X547" i="1"/>
  <c r="X514" i="1"/>
  <c r="X489" i="1"/>
  <c r="X468" i="1"/>
  <c r="X87" i="1" l="1"/>
  <c r="Q87" i="1"/>
  <c r="X86" i="1"/>
  <c r="Q86" i="1"/>
  <c r="X85" i="1"/>
  <c r="Q85" i="1"/>
  <c r="X84" i="1"/>
  <c r="Q84" i="1"/>
  <c r="X83" i="1"/>
  <c r="Q83" i="1"/>
  <c r="X82" i="1"/>
  <c r="Q82" i="1"/>
  <c r="X81" i="1"/>
  <c r="Q81" i="1"/>
  <c r="X80" i="1"/>
  <c r="Q80" i="1"/>
  <c r="X79" i="1"/>
  <c r="Q79" i="1"/>
  <c r="X326" i="1"/>
  <c r="X409" i="1"/>
  <c r="X411" i="1" l="1"/>
  <c r="X408" i="1"/>
  <c r="X404" i="1"/>
  <c r="X273" i="1"/>
  <c r="X268" i="1"/>
  <c r="X258" i="1"/>
  <c r="X253" i="1"/>
  <c r="X248" i="1"/>
  <c r="X243" i="1"/>
  <c r="X238" i="1"/>
  <c r="X233" i="1"/>
  <c r="X667" i="1"/>
  <c r="Q667" i="1"/>
  <c r="X651" i="1"/>
  <c r="X626" i="1"/>
  <c r="X612" i="1"/>
  <c r="X571" i="1"/>
  <c r="X556" i="1"/>
  <c r="X523" i="1"/>
  <c r="X498" i="1"/>
  <c r="X477" i="1"/>
  <c r="X96" i="1" l="1"/>
  <c r="Q96" i="1"/>
  <c r="X95" i="1"/>
  <c r="Q95" i="1"/>
  <c r="X94" i="1"/>
  <c r="Q94" i="1"/>
  <c r="X93" i="1"/>
  <c r="Q93" i="1"/>
  <c r="X92" i="1"/>
  <c r="Q92" i="1"/>
  <c r="X91" i="1"/>
  <c r="Q91" i="1"/>
  <c r="X90" i="1"/>
  <c r="Q90" i="1"/>
  <c r="X89" i="1"/>
  <c r="Q89" i="1"/>
  <c r="X88" i="1"/>
  <c r="Q88" i="1"/>
  <c r="X335" i="1"/>
  <c r="U667" i="1"/>
  <c r="V667" i="1"/>
  <c r="W667" i="1" s="1"/>
  <c r="T667" i="1"/>
  <c r="X417" i="1"/>
  <c r="X420" i="1" l="1"/>
  <c r="X413" i="1"/>
  <c r="X282" i="1"/>
  <c r="X277" i="1"/>
  <c r="X267" i="1"/>
  <c r="X262" i="1"/>
  <c r="X257" i="1"/>
  <c r="X252" i="1"/>
  <c r="X247" i="1"/>
  <c r="X242" i="1"/>
  <c r="X676" i="1"/>
  <c r="Q676" i="1"/>
  <c r="X660" i="1"/>
  <c r="X635" i="1"/>
  <c r="X621" i="1"/>
  <c r="X580" i="1"/>
  <c r="X565" i="1"/>
  <c r="X532" i="1"/>
  <c r="X507" i="1"/>
  <c r="X486" i="1"/>
  <c r="X105" i="1" l="1"/>
  <c r="Q105" i="1"/>
  <c r="X104" i="1"/>
  <c r="Q104" i="1"/>
  <c r="X103" i="1"/>
  <c r="Q103" i="1"/>
  <c r="X102" i="1"/>
  <c r="Q102" i="1"/>
  <c r="X101" i="1"/>
  <c r="Q101" i="1"/>
  <c r="X100" i="1"/>
  <c r="Q100" i="1"/>
  <c r="X99" i="1"/>
  <c r="Q99" i="1"/>
  <c r="X98" i="1"/>
  <c r="Q98" i="1"/>
  <c r="X97" i="1"/>
  <c r="Q97" i="1"/>
  <c r="X344" i="1"/>
  <c r="U676" i="1"/>
  <c r="V676" i="1"/>
  <c r="W676" i="1" s="1"/>
  <c r="T676" i="1"/>
  <c r="X429" i="1" l="1"/>
  <c r="X422" i="1"/>
  <c r="X291" i="1"/>
  <c r="X286" i="1"/>
  <c r="X276" i="1"/>
  <c r="X271" i="1"/>
  <c r="X266" i="1"/>
  <c r="X261" i="1"/>
  <c r="X256" i="1"/>
  <c r="X251" i="1"/>
  <c r="X685" i="1"/>
  <c r="Q685" i="1"/>
  <c r="X669" i="1"/>
  <c r="Q669" i="1"/>
  <c r="X644" i="1"/>
  <c r="X630" i="1"/>
  <c r="X589" i="1"/>
  <c r="X574" i="1"/>
  <c r="X541" i="1"/>
  <c r="X516" i="1"/>
  <c r="X495" i="1"/>
  <c r="X114" i="1" l="1"/>
  <c r="Q114" i="1"/>
  <c r="X113" i="1"/>
  <c r="Q113" i="1"/>
  <c r="X112" i="1"/>
  <c r="Q112" i="1"/>
  <c r="X111" i="1"/>
  <c r="Q111" i="1"/>
  <c r="X110" i="1"/>
  <c r="Q110" i="1"/>
  <c r="X109" i="1"/>
  <c r="Q109" i="1"/>
  <c r="X108" i="1"/>
  <c r="Q108" i="1"/>
  <c r="X107" i="1"/>
  <c r="Q107" i="1"/>
  <c r="X106" i="1"/>
  <c r="Q106" i="1"/>
  <c r="X353" i="1"/>
  <c r="X504" i="1"/>
  <c r="U669" i="1"/>
  <c r="V669" i="1"/>
  <c r="W669" i="1" s="1"/>
  <c r="T669" i="1"/>
  <c r="U685" i="1"/>
  <c r="V685" i="1"/>
  <c r="W685" i="1" s="1"/>
  <c r="T685" i="1"/>
  <c r="X438" i="1" l="1"/>
  <c r="X431" i="1"/>
  <c r="X300" i="1"/>
  <c r="X295" i="1"/>
  <c r="X285" i="1"/>
  <c r="X280" i="1"/>
  <c r="X275" i="1"/>
  <c r="X270" i="1"/>
  <c r="X265" i="1"/>
  <c r="X260" i="1"/>
  <c r="X694" i="1"/>
  <c r="Q694" i="1"/>
  <c r="X678" i="1"/>
  <c r="Q678" i="1"/>
  <c r="X653" i="1"/>
  <c r="X639" i="1"/>
  <c r="X598" i="1"/>
  <c r="X583" i="1"/>
  <c r="X550" i="1"/>
  <c r="X525" i="1"/>
  <c r="X123" i="1" l="1"/>
  <c r="X122" i="1"/>
  <c r="X121" i="1"/>
  <c r="X120" i="1"/>
  <c r="X119" i="1"/>
  <c r="X118" i="1"/>
  <c r="X117" i="1"/>
  <c r="X116" i="1"/>
  <c r="Q116" i="1"/>
  <c r="X115" i="1"/>
  <c r="Q115" i="1"/>
  <c r="X362" i="1"/>
  <c r="X559" i="1"/>
  <c r="U678" i="1"/>
  <c r="V678" i="1"/>
  <c r="W678" i="1" s="1"/>
  <c r="T678" i="1"/>
  <c r="U694" i="1"/>
  <c r="V694" i="1"/>
  <c r="W694" i="1" s="1"/>
  <c r="T694" i="1"/>
  <c r="X447" i="1" l="1"/>
  <c r="X440" i="1"/>
  <c r="X309" i="1"/>
  <c r="X304" i="1"/>
  <c r="X294" i="1"/>
  <c r="X289" i="1"/>
  <c r="X284" i="1"/>
  <c r="X279" i="1"/>
  <c r="X274" i="1"/>
  <c r="X269" i="1"/>
  <c r="X703" i="1"/>
  <c r="Q703" i="1"/>
  <c r="X687" i="1"/>
  <c r="Q687" i="1"/>
  <c r="X662" i="1"/>
  <c r="X648" i="1"/>
  <c r="X607" i="1"/>
  <c r="X592" i="1"/>
  <c r="X534" i="1"/>
  <c r="X129" i="1"/>
  <c r="X132" i="1" l="1"/>
  <c r="X131" i="1"/>
  <c r="X130" i="1"/>
  <c r="X128" i="1"/>
  <c r="X127" i="1"/>
  <c r="X126" i="1"/>
  <c r="X125" i="1"/>
  <c r="X124" i="1"/>
  <c r="X371" i="1"/>
  <c r="U687" i="1"/>
  <c r="V687" i="1"/>
  <c r="W687" i="1" s="1"/>
  <c r="T687" i="1"/>
  <c r="U703" i="1"/>
  <c r="V703" i="1"/>
  <c r="W703" i="1" s="1"/>
  <c r="T703" i="1"/>
  <c r="X456" i="1" l="1"/>
  <c r="X449" i="1"/>
  <c r="X318" i="1"/>
  <c r="X313" i="1"/>
  <c r="X303" i="1"/>
  <c r="X298" i="1"/>
  <c r="X293" i="1"/>
  <c r="X288" i="1"/>
  <c r="X283" i="1"/>
  <c r="X278" i="1"/>
  <c r="X712" i="1"/>
  <c r="Q712" i="1"/>
  <c r="X696" i="1"/>
  <c r="Q696" i="1"/>
  <c r="X671" i="1"/>
  <c r="Q671" i="1"/>
  <c r="X657" i="1"/>
  <c r="X616" i="1"/>
  <c r="X601" i="1"/>
  <c r="X543" i="1"/>
  <c r="X133" i="1"/>
  <c r="X137" i="1"/>
  <c r="X139" i="1"/>
  <c r="X141" i="1" l="1"/>
  <c r="X140" i="1"/>
  <c r="X136" i="1"/>
  <c r="X135" i="1"/>
  <c r="X134" i="1"/>
  <c r="X380" i="1"/>
  <c r="U671" i="1"/>
  <c r="V671" i="1"/>
  <c r="W671" i="1" s="1"/>
  <c r="T671" i="1"/>
  <c r="U696" i="1"/>
  <c r="V696" i="1"/>
  <c r="W696" i="1" s="1"/>
  <c r="T696" i="1"/>
  <c r="U712" i="1"/>
  <c r="V712" i="1"/>
  <c r="W712" i="1" s="1"/>
  <c r="T712" i="1"/>
  <c r="X327" i="1"/>
  <c r="X465" i="1" l="1"/>
  <c r="X458" i="1"/>
  <c r="X322" i="1"/>
  <c r="X312" i="1"/>
  <c r="X307" i="1"/>
  <c r="X302" i="1"/>
  <c r="X297" i="1"/>
  <c r="X292" i="1"/>
  <c r="X287" i="1"/>
  <c r="X721" i="1"/>
  <c r="Q721" i="1"/>
  <c r="X705" i="1"/>
  <c r="Q705" i="1"/>
  <c r="X680" i="1"/>
  <c r="Q680" i="1"/>
  <c r="X666" i="1"/>
  <c r="Q666" i="1"/>
  <c r="X625" i="1"/>
  <c r="X610" i="1"/>
  <c r="X552" i="1"/>
  <c r="X145" i="1"/>
  <c r="X150" i="1" l="1"/>
  <c r="X149" i="1"/>
  <c r="X144" i="1"/>
  <c r="X143" i="1"/>
  <c r="X389" i="1"/>
  <c r="U666" i="1"/>
  <c r="V666" i="1"/>
  <c r="W666" i="1" s="1"/>
  <c r="T666" i="1"/>
  <c r="U680" i="1"/>
  <c r="V680" i="1"/>
  <c r="W680" i="1" s="1"/>
  <c r="T680" i="1"/>
  <c r="U705" i="1"/>
  <c r="V705" i="1"/>
  <c r="W705" i="1" s="1"/>
  <c r="T705" i="1"/>
  <c r="U721" i="1"/>
  <c r="V721" i="1"/>
  <c r="W721" i="1" s="1"/>
  <c r="T721" i="1"/>
  <c r="X474" i="1" l="1"/>
  <c r="X467" i="1"/>
  <c r="X331" i="1"/>
  <c r="X321" i="1"/>
  <c r="X316" i="1"/>
  <c r="X311" i="1"/>
  <c r="X306" i="1"/>
  <c r="X301" i="1"/>
  <c r="X296" i="1"/>
  <c r="X730" i="1"/>
  <c r="Q730" i="1"/>
  <c r="X714" i="1"/>
  <c r="Q714" i="1"/>
  <c r="X689" i="1"/>
  <c r="Q689" i="1"/>
  <c r="X675" i="1"/>
  <c r="Q675" i="1"/>
  <c r="X634" i="1"/>
  <c r="X619" i="1"/>
  <c r="X561" i="1"/>
  <c r="X159" i="1" l="1"/>
  <c r="X158" i="1"/>
  <c r="X153" i="1"/>
  <c r="X152" i="1"/>
  <c r="X398" i="1"/>
  <c r="X570" i="1"/>
  <c r="U675" i="1"/>
  <c r="V675" i="1"/>
  <c r="W675" i="1" s="1"/>
  <c r="T675" i="1"/>
  <c r="U689" i="1"/>
  <c r="V689" i="1"/>
  <c r="W689" i="1" s="1"/>
  <c r="T689" i="1"/>
  <c r="U714" i="1"/>
  <c r="V714" i="1"/>
  <c r="W714" i="1" s="1"/>
  <c r="T714" i="1"/>
  <c r="U730" i="1"/>
  <c r="V730" i="1"/>
  <c r="W730" i="1" s="1"/>
  <c r="T730" i="1"/>
  <c r="X483" i="1" l="1"/>
  <c r="X476" i="1"/>
  <c r="X340" i="1"/>
  <c r="X330" i="1"/>
  <c r="X325" i="1"/>
  <c r="X320" i="1"/>
  <c r="X315" i="1"/>
  <c r="X310" i="1"/>
  <c r="X305" i="1"/>
  <c r="X739" i="1"/>
  <c r="Q739" i="1"/>
  <c r="X723" i="1"/>
  <c r="Q723" i="1"/>
  <c r="X698" i="1"/>
  <c r="Q698" i="1"/>
  <c r="X684" i="1"/>
  <c r="Q684" i="1"/>
  <c r="X643" i="1"/>
  <c r="X628" i="1"/>
  <c r="X161" i="1"/>
  <c r="X168" i="1" l="1"/>
  <c r="X167" i="1"/>
  <c r="X162" i="1"/>
  <c r="X407" i="1"/>
  <c r="U684" i="1"/>
  <c r="V684" i="1"/>
  <c r="W684" i="1" s="1"/>
  <c r="T684" i="1"/>
  <c r="U698" i="1"/>
  <c r="V698" i="1"/>
  <c r="W698" i="1" s="1"/>
  <c r="T698" i="1"/>
  <c r="U723" i="1"/>
  <c r="V723" i="1"/>
  <c r="W723" i="1" s="1"/>
  <c r="T723" i="1"/>
  <c r="U739" i="1"/>
  <c r="V739" i="1"/>
  <c r="W739" i="1" s="1"/>
  <c r="T739" i="1"/>
  <c r="X324" i="1"/>
  <c r="X339" i="1"/>
  <c r="X492" i="1" l="1"/>
  <c r="X485" i="1"/>
  <c r="X349" i="1"/>
  <c r="X334" i="1"/>
  <c r="X329" i="1"/>
  <c r="X319" i="1"/>
  <c r="X314" i="1"/>
  <c r="X748" i="1"/>
  <c r="Q748" i="1"/>
  <c r="X732" i="1"/>
  <c r="Q732" i="1"/>
  <c r="X707" i="1"/>
  <c r="Q707" i="1"/>
  <c r="X693" i="1"/>
  <c r="Q693" i="1"/>
  <c r="X652" i="1"/>
  <c r="X637" i="1"/>
  <c r="X171" i="1"/>
  <c r="X176" i="1"/>
  <c r="X177" i="1" l="1"/>
  <c r="X416" i="1"/>
  <c r="U693" i="1"/>
  <c r="V693" i="1"/>
  <c r="W693" i="1" s="1"/>
  <c r="T693" i="1"/>
  <c r="U707" i="1"/>
  <c r="V707" i="1"/>
  <c r="W707" i="1" s="1"/>
  <c r="T707" i="1"/>
  <c r="U732" i="1"/>
  <c r="V732" i="1"/>
  <c r="W732" i="1" s="1"/>
  <c r="T732" i="1"/>
  <c r="U748" i="1"/>
  <c r="V748" i="1"/>
  <c r="W748" i="1" s="1"/>
  <c r="T748" i="1"/>
  <c r="X501" i="1" l="1"/>
  <c r="X494" i="1"/>
  <c r="X358" i="1"/>
  <c r="X343" i="1"/>
  <c r="X338" i="1"/>
  <c r="X328" i="1"/>
  <c r="X323" i="1"/>
  <c r="X757" i="1"/>
  <c r="Q757" i="1"/>
  <c r="X741" i="1"/>
  <c r="Q741" i="1"/>
  <c r="X716" i="1"/>
  <c r="Q716" i="1"/>
  <c r="X702" i="1"/>
  <c r="Q702" i="1"/>
  <c r="X661" i="1"/>
  <c r="X646" i="1"/>
  <c r="X186" i="1"/>
  <c r="X425" i="1" l="1"/>
  <c r="U702" i="1"/>
  <c r="V702" i="1"/>
  <c r="W702" i="1" s="1"/>
  <c r="T702" i="1"/>
  <c r="U716" i="1"/>
  <c r="V716" i="1"/>
  <c r="W716" i="1" s="1"/>
  <c r="T716" i="1"/>
  <c r="U741" i="1"/>
  <c r="V741" i="1"/>
  <c r="W741" i="1" s="1"/>
  <c r="T741" i="1"/>
  <c r="U757" i="1"/>
  <c r="V757" i="1"/>
  <c r="W757" i="1" s="1"/>
  <c r="T757" i="1"/>
  <c r="X332" i="1"/>
  <c r="X337" i="1"/>
  <c r="X510" i="1" l="1"/>
  <c r="X503" i="1"/>
  <c r="X367" i="1"/>
  <c r="X352" i="1"/>
  <c r="X347" i="1"/>
  <c r="X766" i="1"/>
  <c r="Q766" i="1"/>
  <c r="X750" i="1"/>
  <c r="Q750" i="1"/>
  <c r="X725" i="1"/>
  <c r="Q725" i="1"/>
  <c r="X711" i="1"/>
  <c r="Q711" i="1"/>
  <c r="X670" i="1"/>
  <c r="Q670" i="1"/>
  <c r="X655" i="1"/>
  <c r="X434" i="1" l="1"/>
  <c r="U670" i="1"/>
  <c r="V670" i="1"/>
  <c r="W670" i="1" s="1"/>
  <c r="T670" i="1"/>
  <c r="U711" i="1"/>
  <c r="V711" i="1"/>
  <c r="W711" i="1" s="1"/>
  <c r="T711" i="1"/>
  <c r="U725" i="1"/>
  <c r="V725" i="1"/>
  <c r="W725" i="1" s="1"/>
  <c r="T725" i="1"/>
  <c r="U750" i="1"/>
  <c r="V750" i="1"/>
  <c r="W750" i="1" s="1"/>
  <c r="T750" i="1"/>
  <c r="U766" i="1"/>
  <c r="V766" i="1"/>
  <c r="W766" i="1" s="1"/>
  <c r="T766" i="1"/>
  <c r="X519" i="1" l="1"/>
  <c r="X512" i="1"/>
  <c r="X376" i="1"/>
  <c r="X361" i="1"/>
  <c r="X356" i="1"/>
  <c r="X775" i="1"/>
  <c r="Q775" i="1"/>
  <c r="X759" i="1"/>
  <c r="Q759" i="1"/>
  <c r="X734" i="1"/>
  <c r="Q734" i="1"/>
  <c r="X720" i="1"/>
  <c r="Q720" i="1"/>
  <c r="X679" i="1"/>
  <c r="Q679" i="1"/>
  <c r="X664" i="1"/>
  <c r="Q664" i="1"/>
  <c r="X443" i="1" l="1"/>
  <c r="U664" i="1"/>
  <c r="V664" i="1"/>
  <c r="W664" i="1" s="1"/>
  <c r="T664" i="1"/>
  <c r="U679" i="1"/>
  <c r="V679" i="1"/>
  <c r="W679" i="1" s="1"/>
  <c r="T679" i="1"/>
  <c r="U720" i="1"/>
  <c r="V720" i="1"/>
  <c r="W720" i="1" s="1"/>
  <c r="T720" i="1"/>
  <c r="U734" i="1"/>
  <c r="V734" i="1"/>
  <c r="W734" i="1" s="1"/>
  <c r="T734" i="1"/>
  <c r="U759" i="1"/>
  <c r="V759" i="1"/>
  <c r="W759" i="1" s="1"/>
  <c r="T759" i="1"/>
  <c r="U775" i="1"/>
  <c r="V775" i="1"/>
  <c r="W775" i="1" s="1"/>
  <c r="T775" i="1"/>
  <c r="X528" i="1" l="1"/>
  <c r="X521" i="1"/>
  <c r="X385" i="1"/>
  <c r="X370" i="1"/>
  <c r="X365" i="1"/>
  <c r="X784" i="1"/>
  <c r="Q784" i="1"/>
  <c r="X768" i="1"/>
  <c r="Q768" i="1"/>
  <c r="X743" i="1"/>
  <c r="Q743" i="1"/>
  <c r="X729" i="1"/>
  <c r="Q729" i="1"/>
  <c r="X688" i="1"/>
  <c r="Q688" i="1"/>
  <c r="X673" i="1"/>
  <c r="Q673" i="1"/>
  <c r="X452" i="1" l="1"/>
  <c r="U673" i="1"/>
  <c r="V673" i="1"/>
  <c r="W673" i="1" s="1"/>
  <c r="T673" i="1"/>
  <c r="U688" i="1"/>
  <c r="V688" i="1"/>
  <c r="W688" i="1" s="1"/>
  <c r="T688" i="1"/>
  <c r="U729" i="1"/>
  <c r="V729" i="1"/>
  <c r="W729" i="1" s="1"/>
  <c r="T729" i="1"/>
  <c r="U743" i="1"/>
  <c r="V743" i="1"/>
  <c r="W743" i="1" s="1"/>
  <c r="T743" i="1"/>
  <c r="U768" i="1"/>
  <c r="V768" i="1"/>
  <c r="W768" i="1" s="1"/>
  <c r="T768" i="1"/>
  <c r="U784" i="1"/>
  <c r="V784" i="1"/>
  <c r="W784" i="1" s="1"/>
  <c r="T784" i="1"/>
  <c r="X379" i="1"/>
  <c r="X537" i="1" l="1"/>
  <c r="X530" i="1"/>
  <c r="X394" i="1"/>
  <c r="X374" i="1"/>
  <c r="X793" i="1"/>
  <c r="Q793" i="1"/>
  <c r="X777" i="1"/>
  <c r="Q777" i="1"/>
  <c r="X752" i="1"/>
  <c r="Q752" i="1"/>
  <c r="X738" i="1"/>
  <c r="Q738" i="1"/>
  <c r="X697" i="1"/>
  <c r="Q697" i="1"/>
  <c r="X682" i="1"/>
  <c r="Q682" i="1"/>
  <c r="X461" i="1" l="1"/>
  <c r="U682" i="1"/>
  <c r="V682" i="1"/>
  <c r="W682" i="1" s="1"/>
  <c r="T682" i="1"/>
  <c r="U697" i="1"/>
  <c r="V697" i="1"/>
  <c r="W697" i="1" s="1"/>
  <c r="T697" i="1"/>
  <c r="U738" i="1"/>
  <c r="V738" i="1"/>
  <c r="W738" i="1" s="1"/>
  <c r="T738" i="1"/>
  <c r="U752" i="1"/>
  <c r="V752" i="1"/>
  <c r="W752" i="1" s="1"/>
  <c r="T752" i="1"/>
  <c r="U777" i="1"/>
  <c r="V777" i="1"/>
  <c r="W777" i="1" s="1"/>
  <c r="T777" i="1"/>
  <c r="U793" i="1"/>
  <c r="V793" i="1"/>
  <c r="W793" i="1" s="1"/>
  <c r="T793" i="1"/>
  <c r="X546" i="1" l="1"/>
  <c r="X539" i="1"/>
  <c r="X403" i="1"/>
  <c r="X383" i="1"/>
  <c r="X802" i="1"/>
  <c r="Q802" i="1"/>
  <c r="X786" i="1"/>
  <c r="Q786" i="1"/>
  <c r="X761" i="1"/>
  <c r="Q761" i="1"/>
  <c r="X747" i="1"/>
  <c r="Q747" i="1"/>
  <c r="X706" i="1"/>
  <c r="Q706" i="1"/>
  <c r="X691" i="1"/>
  <c r="Q691" i="1"/>
  <c r="X470" i="1" l="1"/>
  <c r="U691" i="1"/>
  <c r="V691" i="1"/>
  <c r="W691" i="1" s="1"/>
  <c r="T691" i="1"/>
  <c r="U706" i="1"/>
  <c r="V706" i="1"/>
  <c r="W706" i="1" s="1"/>
  <c r="T706" i="1"/>
  <c r="U747" i="1"/>
  <c r="V747" i="1"/>
  <c r="W747" i="1" s="1"/>
  <c r="T747" i="1"/>
  <c r="U761" i="1"/>
  <c r="V761" i="1"/>
  <c r="W761" i="1" s="1"/>
  <c r="T761" i="1"/>
  <c r="U786" i="1"/>
  <c r="V786" i="1"/>
  <c r="W786" i="1" s="1"/>
  <c r="T786" i="1"/>
  <c r="U802" i="1"/>
  <c r="V802" i="1"/>
  <c r="W802" i="1" s="1"/>
  <c r="T802" i="1"/>
  <c r="X555" i="1" l="1"/>
  <c r="X548" i="1"/>
  <c r="X412" i="1"/>
  <c r="X392" i="1"/>
  <c r="X811" i="1"/>
  <c r="Q811" i="1"/>
  <c r="X795" i="1"/>
  <c r="Q795" i="1"/>
  <c r="X770" i="1"/>
  <c r="Q770" i="1"/>
  <c r="X756" i="1"/>
  <c r="Q756" i="1"/>
  <c r="X715" i="1"/>
  <c r="Q715" i="1"/>
  <c r="X700" i="1"/>
  <c r="Q700" i="1"/>
  <c r="X479" i="1" l="1"/>
  <c r="U700" i="1"/>
  <c r="V700" i="1"/>
  <c r="W700" i="1" s="1"/>
  <c r="T700" i="1"/>
  <c r="U715" i="1"/>
  <c r="V715" i="1"/>
  <c r="W715" i="1" s="1"/>
  <c r="T715" i="1"/>
  <c r="U756" i="1"/>
  <c r="V756" i="1"/>
  <c r="W756" i="1" s="1"/>
  <c r="T756" i="1"/>
  <c r="U770" i="1"/>
  <c r="V770" i="1"/>
  <c r="W770" i="1" s="1"/>
  <c r="T770" i="1"/>
  <c r="U795" i="1"/>
  <c r="V795" i="1"/>
  <c r="W795" i="1" s="1"/>
  <c r="T795" i="1"/>
  <c r="U811" i="1"/>
  <c r="V811" i="1"/>
  <c r="W811" i="1" s="1"/>
  <c r="T811" i="1"/>
  <c r="X564" i="1" l="1"/>
  <c r="X557" i="1"/>
  <c r="X421" i="1"/>
  <c r="X401" i="1"/>
  <c r="X820" i="1"/>
  <c r="Q820" i="1"/>
  <c r="X804" i="1"/>
  <c r="Q804" i="1"/>
  <c r="X779" i="1"/>
  <c r="Q779" i="1"/>
  <c r="X765" i="1"/>
  <c r="Q765" i="1"/>
  <c r="X724" i="1"/>
  <c r="Q724" i="1"/>
  <c r="X709" i="1"/>
  <c r="Q709" i="1"/>
  <c r="X488" i="1" l="1"/>
  <c r="U709" i="1"/>
  <c r="V709" i="1"/>
  <c r="W709" i="1" s="1"/>
  <c r="T709" i="1"/>
  <c r="U724" i="1"/>
  <c r="V724" i="1"/>
  <c r="W724" i="1" s="1"/>
  <c r="T724" i="1"/>
  <c r="U765" i="1"/>
  <c r="V765" i="1"/>
  <c r="W765" i="1" s="1"/>
  <c r="T765" i="1"/>
  <c r="U779" i="1"/>
  <c r="V779" i="1"/>
  <c r="W779" i="1" s="1"/>
  <c r="T779" i="1"/>
  <c r="U804" i="1"/>
  <c r="V804" i="1"/>
  <c r="W804" i="1" s="1"/>
  <c r="T804" i="1"/>
  <c r="U820" i="1"/>
  <c r="V820" i="1"/>
  <c r="W820" i="1" s="1"/>
  <c r="T820" i="1"/>
  <c r="X573" i="1" l="1"/>
  <c r="X566" i="1"/>
  <c r="X430" i="1"/>
  <c r="X410" i="1"/>
  <c r="X829" i="1"/>
  <c r="Q829" i="1"/>
  <c r="X813" i="1"/>
  <c r="Q813" i="1"/>
  <c r="X788" i="1"/>
  <c r="Q788" i="1"/>
  <c r="X774" i="1"/>
  <c r="Q774" i="1"/>
  <c r="X733" i="1"/>
  <c r="Q733" i="1"/>
  <c r="X718" i="1"/>
  <c r="Q718" i="1"/>
  <c r="X497" i="1" l="1"/>
  <c r="U718" i="1"/>
  <c r="V718" i="1"/>
  <c r="W718" i="1" s="1"/>
  <c r="T718" i="1"/>
  <c r="U733" i="1"/>
  <c r="V733" i="1"/>
  <c r="W733" i="1" s="1"/>
  <c r="T733" i="1"/>
  <c r="U774" i="1"/>
  <c r="V774" i="1"/>
  <c r="W774" i="1" s="1"/>
  <c r="T774" i="1"/>
  <c r="U788" i="1"/>
  <c r="V788" i="1"/>
  <c r="W788" i="1" s="1"/>
  <c r="T788" i="1"/>
  <c r="U813" i="1"/>
  <c r="V813" i="1"/>
  <c r="W813" i="1" s="1"/>
  <c r="T813" i="1"/>
  <c r="U829" i="1"/>
  <c r="V829" i="1"/>
  <c r="W829" i="1" s="1"/>
  <c r="T829" i="1"/>
  <c r="X582" i="1" l="1"/>
  <c r="X575" i="1"/>
  <c r="X439" i="1"/>
  <c r="X419" i="1"/>
  <c r="X838" i="1"/>
  <c r="Q838" i="1"/>
  <c r="X822" i="1"/>
  <c r="Q822" i="1"/>
  <c r="X797" i="1"/>
  <c r="Q797" i="1"/>
  <c r="X783" i="1"/>
  <c r="Q783" i="1"/>
  <c r="X742" i="1"/>
  <c r="Q742" i="1"/>
  <c r="X727" i="1"/>
  <c r="Q727" i="1"/>
  <c r="X506" i="1" l="1"/>
  <c r="U727" i="1"/>
  <c r="V727" i="1"/>
  <c r="W727" i="1" s="1"/>
  <c r="T727" i="1"/>
  <c r="U742" i="1"/>
  <c r="V742" i="1"/>
  <c r="W742" i="1" s="1"/>
  <c r="T742" i="1"/>
  <c r="U783" i="1"/>
  <c r="V783" i="1"/>
  <c r="W783" i="1" s="1"/>
  <c r="T783" i="1"/>
  <c r="U797" i="1"/>
  <c r="V797" i="1"/>
  <c r="W797" i="1" s="1"/>
  <c r="T797" i="1"/>
  <c r="U822" i="1"/>
  <c r="V822" i="1"/>
  <c r="W822" i="1" s="1"/>
  <c r="T822" i="1"/>
  <c r="U838" i="1"/>
  <c r="V838" i="1"/>
  <c r="W838" i="1" s="1"/>
  <c r="T838" i="1"/>
  <c r="X591" i="1" l="1"/>
  <c r="X584" i="1"/>
  <c r="X448" i="1"/>
  <c r="X428" i="1"/>
  <c r="X847" i="1"/>
  <c r="Q847" i="1"/>
  <c r="X831" i="1"/>
  <c r="Q831" i="1"/>
  <c r="X806" i="1"/>
  <c r="Q806" i="1"/>
  <c r="X792" i="1"/>
  <c r="Q792" i="1"/>
  <c r="X751" i="1"/>
  <c r="Q751" i="1"/>
  <c r="X736" i="1"/>
  <c r="Q736" i="1"/>
  <c r="X515" i="1" l="1"/>
  <c r="U736" i="1"/>
  <c r="V736" i="1"/>
  <c r="W736" i="1" s="1"/>
  <c r="T736" i="1"/>
  <c r="U751" i="1"/>
  <c r="V751" i="1"/>
  <c r="W751" i="1" s="1"/>
  <c r="T751" i="1"/>
  <c r="U792" i="1"/>
  <c r="V792" i="1"/>
  <c r="W792" i="1" s="1"/>
  <c r="T792" i="1"/>
  <c r="U806" i="1"/>
  <c r="V806" i="1"/>
  <c r="W806" i="1" s="1"/>
  <c r="T806" i="1"/>
  <c r="U831" i="1"/>
  <c r="V831" i="1"/>
  <c r="W831" i="1" s="1"/>
  <c r="T831" i="1"/>
  <c r="U847" i="1"/>
  <c r="V847" i="1"/>
  <c r="W847" i="1" s="1"/>
  <c r="T847" i="1"/>
  <c r="X600" i="1" l="1"/>
  <c r="X593" i="1"/>
  <c r="X457" i="1"/>
  <c r="X437" i="1"/>
  <c r="X856" i="1"/>
  <c r="Q856" i="1"/>
  <c r="X840" i="1"/>
  <c r="Q840" i="1"/>
  <c r="X815" i="1"/>
  <c r="Q815" i="1"/>
  <c r="X801" i="1"/>
  <c r="Q801" i="1"/>
  <c r="X760" i="1"/>
  <c r="Q760" i="1"/>
  <c r="X745" i="1"/>
  <c r="Q745" i="1"/>
  <c r="X524" i="1" l="1"/>
  <c r="U745" i="1"/>
  <c r="V745" i="1"/>
  <c r="W745" i="1" s="1"/>
  <c r="T745" i="1"/>
  <c r="U760" i="1"/>
  <c r="V760" i="1"/>
  <c r="W760" i="1" s="1"/>
  <c r="T760" i="1"/>
  <c r="U801" i="1"/>
  <c r="V801" i="1"/>
  <c r="W801" i="1" s="1"/>
  <c r="T801" i="1"/>
  <c r="U815" i="1"/>
  <c r="V815" i="1"/>
  <c r="W815" i="1" s="1"/>
  <c r="T815" i="1"/>
  <c r="U840" i="1"/>
  <c r="V840" i="1"/>
  <c r="W840" i="1" s="1"/>
  <c r="T840" i="1"/>
  <c r="U856" i="1"/>
  <c r="V856" i="1"/>
  <c r="W856" i="1" s="1"/>
  <c r="T856" i="1"/>
  <c r="X466" i="1"/>
  <c r="X609" i="1" l="1"/>
  <c r="X602" i="1"/>
  <c r="X446" i="1"/>
  <c r="X865" i="1"/>
  <c r="Q865" i="1"/>
  <c r="X849" i="1"/>
  <c r="Q849" i="1"/>
  <c r="X824" i="1"/>
  <c r="Q824" i="1"/>
  <c r="X810" i="1"/>
  <c r="Q810" i="1"/>
  <c r="X769" i="1"/>
  <c r="Q769" i="1"/>
  <c r="X754" i="1"/>
  <c r="Q754" i="1"/>
  <c r="X533" i="1" l="1"/>
  <c r="U754" i="1"/>
  <c r="V754" i="1"/>
  <c r="W754" i="1" s="1"/>
  <c r="T754" i="1"/>
  <c r="U769" i="1"/>
  <c r="V769" i="1"/>
  <c r="W769" i="1" s="1"/>
  <c r="T769" i="1"/>
  <c r="U810" i="1"/>
  <c r="V810" i="1"/>
  <c r="W810" i="1" s="1"/>
  <c r="T810" i="1"/>
  <c r="U824" i="1"/>
  <c r="V824" i="1"/>
  <c r="W824" i="1" s="1"/>
  <c r="T824" i="1"/>
  <c r="U849" i="1"/>
  <c r="V849" i="1"/>
  <c r="W849" i="1" s="1"/>
  <c r="T849" i="1"/>
  <c r="U865" i="1"/>
  <c r="V865" i="1"/>
  <c r="W865" i="1" s="1"/>
  <c r="T865" i="1"/>
  <c r="X455" i="1"/>
  <c r="X618" i="1" l="1"/>
  <c r="X611" i="1"/>
  <c r="X874" i="1"/>
  <c r="Q874" i="1"/>
  <c r="X858" i="1"/>
  <c r="Q858" i="1"/>
  <c r="X833" i="1"/>
  <c r="Q833" i="1"/>
  <c r="X819" i="1"/>
  <c r="Q819" i="1"/>
  <c r="X778" i="1"/>
  <c r="Q778" i="1"/>
  <c r="X763" i="1"/>
  <c r="Q763" i="1"/>
  <c r="X542" i="1" l="1"/>
  <c r="U763" i="1"/>
  <c r="V763" i="1"/>
  <c r="W763" i="1" s="1"/>
  <c r="T763" i="1"/>
  <c r="U778" i="1"/>
  <c r="V778" i="1"/>
  <c r="W778" i="1" s="1"/>
  <c r="T778" i="1"/>
  <c r="U819" i="1"/>
  <c r="V819" i="1"/>
  <c r="W819" i="1" s="1"/>
  <c r="T819" i="1"/>
  <c r="U833" i="1"/>
  <c r="V833" i="1"/>
  <c r="W833" i="1" s="1"/>
  <c r="T833" i="1"/>
  <c r="U858" i="1"/>
  <c r="V858" i="1"/>
  <c r="W858" i="1" s="1"/>
  <c r="T858" i="1"/>
  <c r="U874" i="1"/>
  <c r="V874" i="1"/>
  <c r="W874" i="1" s="1"/>
  <c r="T874" i="1"/>
  <c r="X627" i="1" l="1"/>
  <c r="X620" i="1"/>
  <c r="X883" i="1"/>
  <c r="Q883" i="1"/>
  <c r="X867" i="1"/>
  <c r="Q867" i="1"/>
  <c r="X842" i="1"/>
  <c r="Q842" i="1"/>
  <c r="X828" i="1"/>
  <c r="Q828" i="1"/>
  <c r="X787" i="1"/>
  <c r="Q787" i="1"/>
  <c r="X772" i="1"/>
  <c r="Q772" i="1"/>
  <c r="X551" i="1" l="1"/>
  <c r="U772" i="1"/>
  <c r="V772" i="1"/>
  <c r="W772" i="1" s="1"/>
  <c r="T772" i="1"/>
  <c r="U787" i="1"/>
  <c r="V787" i="1"/>
  <c r="W787" i="1" s="1"/>
  <c r="T787" i="1"/>
  <c r="U828" i="1"/>
  <c r="V828" i="1"/>
  <c r="W828" i="1" s="1"/>
  <c r="T828" i="1"/>
  <c r="U842" i="1"/>
  <c r="V842" i="1"/>
  <c r="W842" i="1" s="1"/>
  <c r="T842" i="1"/>
  <c r="U867" i="1"/>
  <c r="V867" i="1"/>
  <c r="W867" i="1" s="1"/>
  <c r="T867" i="1"/>
  <c r="U883" i="1"/>
  <c r="V883" i="1"/>
  <c r="W883" i="1" s="1"/>
  <c r="T883" i="1"/>
  <c r="X636" i="1" l="1"/>
  <c r="X629" i="1"/>
  <c r="X892" i="1"/>
  <c r="Q892" i="1"/>
  <c r="X876" i="1"/>
  <c r="Q876" i="1"/>
  <c r="X851" i="1"/>
  <c r="Q851" i="1"/>
  <c r="X837" i="1"/>
  <c r="Q837" i="1"/>
  <c r="X796" i="1"/>
  <c r="Q796" i="1"/>
  <c r="X781" i="1"/>
  <c r="Q781" i="1"/>
  <c r="X560" i="1" l="1"/>
  <c r="U781" i="1"/>
  <c r="V781" i="1"/>
  <c r="W781" i="1" s="1"/>
  <c r="T781" i="1"/>
  <c r="U796" i="1"/>
  <c r="V796" i="1"/>
  <c r="W796" i="1" s="1"/>
  <c r="T796" i="1"/>
  <c r="U837" i="1"/>
  <c r="V837" i="1"/>
  <c r="W837" i="1" s="1"/>
  <c r="T837" i="1"/>
  <c r="U851" i="1"/>
  <c r="V851" i="1"/>
  <c r="W851" i="1" s="1"/>
  <c r="T851" i="1"/>
  <c r="U876" i="1"/>
  <c r="V876" i="1"/>
  <c r="W876" i="1" s="1"/>
  <c r="T876" i="1"/>
  <c r="U892" i="1"/>
  <c r="V892" i="1"/>
  <c r="W892" i="1" s="1"/>
  <c r="T892" i="1"/>
  <c r="X645" i="1" l="1"/>
  <c r="X638" i="1"/>
  <c r="X901" i="1"/>
  <c r="Q901" i="1"/>
  <c r="X885" i="1"/>
  <c r="Q885" i="1"/>
  <c r="X860" i="1"/>
  <c r="Q860" i="1"/>
  <c r="X846" i="1"/>
  <c r="Q846" i="1"/>
  <c r="X805" i="1"/>
  <c r="Q805" i="1"/>
  <c r="X790" i="1"/>
  <c r="Q790" i="1"/>
  <c r="X569" i="1" l="1"/>
  <c r="U790" i="1"/>
  <c r="V790" i="1"/>
  <c r="W790" i="1" s="1"/>
  <c r="T790" i="1"/>
  <c r="U805" i="1"/>
  <c r="V805" i="1"/>
  <c r="W805" i="1" s="1"/>
  <c r="T805" i="1"/>
  <c r="U846" i="1"/>
  <c r="V846" i="1"/>
  <c r="W846" i="1" s="1"/>
  <c r="T846" i="1"/>
  <c r="U860" i="1"/>
  <c r="V860" i="1"/>
  <c r="W860" i="1" s="1"/>
  <c r="T860" i="1"/>
  <c r="U885" i="1"/>
  <c r="V885" i="1"/>
  <c r="W885" i="1" s="1"/>
  <c r="T885" i="1"/>
  <c r="U901" i="1"/>
  <c r="V901" i="1"/>
  <c r="W901" i="1" s="1"/>
  <c r="T901" i="1"/>
  <c r="X654" i="1" l="1"/>
  <c r="X647" i="1"/>
  <c r="X910" i="1"/>
  <c r="Q910" i="1"/>
  <c r="X894" i="1"/>
  <c r="Q894" i="1"/>
  <c r="X869" i="1"/>
  <c r="Q869" i="1"/>
  <c r="X855" i="1"/>
  <c r="Q855" i="1"/>
  <c r="X814" i="1"/>
  <c r="Q814" i="1"/>
  <c r="X799" i="1"/>
  <c r="Q799" i="1"/>
  <c r="X578" i="1" l="1"/>
  <c r="U799" i="1"/>
  <c r="V799" i="1"/>
  <c r="W799" i="1" s="1"/>
  <c r="T799" i="1"/>
  <c r="U814" i="1"/>
  <c r="V814" i="1"/>
  <c r="W814" i="1" s="1"/>
  <c r="T814" i="1"/>
  <c r="U855" i="1"/>
  <c r="V855" i="1"/>
  <c r="W855" i="1" s="1"/>
  <c r="T855" i="1"/>
  <c r="U869" i="1"/>
  <c r="V869" i="1"/>
  <c r="W869" i="1" s="1"/>
  <c r="T869" i="1"/>
  <c r="U894" i="1"/>
  <c r="V894" i="1"/>
  <c r="W894" i="1" s="1"/>
  <c r="T894" i="1"/>
  <c r="U910" i="1"/>
  <c r="V910" i="1"/>
  <c r="W910" i="1" s="1"/>
  <c r="T910" i="1"/>
  <c r="X663" i="1" l="1"/>
  <c r="X656" i="1"/>
  <c r="X919" i="1"/>
  <c r="Q919" i="1"/>
  <c r="X903" i="1"/>
  <c r="Q903" i="1"/>
  <c r="X878" i="1"/>
  <c r="Q878" i="1"/>
  <c r="X864" i="1"/>
  <c r="Q864" i="1"/>
  <c r="X823" i="1"/>
  <c r="Q823" i="1"/>
  <c r="X808" i="1"/>
  <c r="Q808" i="1"/>
  <c r="X587" i="1" l="1"/>
  <c r="U808" i="1"/>
  <c r="V808" i="1"/>
  <c r="W808" i="1" s="1"/>
  <c r="T808" i="1"/>
  <c r="U823" i="1"/>
  <c r="V823" i="1"/>
  <c r="W823" i="1" s="1"/>
  <c r="T823" i="1"/>
  <c r="U864" i="1"/>
  <c r="V864" i="1"/>
  <c r="W864" i="1" s="1"/>
  <c r="T864" i="1"/>
  <c r="U878" i="1"/>
  <c r="V878" i="1"/>
  <c r="W878" i="1" s="1"/>
  <c r="T878" i="1"/>
  <c r="U903" i="1"/>
  <c r="V903" i="1"/>
  <c r="W903" i="1" s="1"/>
  <c r="T903" i="1"/>
  <c r="U919" i="1"/>
  <c r="V919" i="1"/>
  <c r="W919" i="1" s="1"/>
  <c r="T919" i="1"/>
  <c r="X672" i="1" l="1"/>
  <c r="Q672" i="1"/>
  <c r="X665" i="1"/>
  <c r="Q665" i="1"/>
  <c r="X928" i="1"/>
  <c r="Q928" i="1"/>
  <c r="X912" i="1"/>
  <c r="Q912" i="1"/>
  <c r="X887" i="1"/>
  <c r="Q887" i="1"/>
  <c r="X873" i="1"/>
  <c r="Q873" i="1"/>
  <c r="X832" i="1"/>
  <c r="Q832" i="1"/>
  <c r="X817" i="1"/>
  <c r="Q817" i="1"/>
  <c r="X596" i="1" l="1"/>
  <c r="U817" i="1"/>
  <c r="V817" i="1"/>
  <c r="W817" i="1" s="1"/>
  <c r="T817" i="1"/>
  <c r="U832" i="1"/>
  <c r="V832" i="1"/>
  <c r="W832" i="1" s="1"/>
  <c r="T832" i="1"/>
  <c r="U873" i="1"/>
  <c r="V873" i="1"/>
  <c r="W873" i="1" s="1"/>
  <c r="T873" i="1"/>
  <c r="U887" i="1"/>
  <c r="V887" i="1"/>
  <c r="W887" i="1" s="1"/>
  <c r="T887" i="1"/>
  <c r="U912" i="1"/>
  <c r="V912" i="1"/>
  <c r="W912" i="1" s="1"/>
  <c r="T912" i="1"/>
  <c r="U928" i="1"/>
  <c r="V928" i="1"/>
  <c r="W928" i="1" s="1"/>
  <c r="T928" i="1"/>
  <c r="U665" i="1"/>
  <c r="V665" i="1"/>
  <c r="W665" i="1" s="1"/>
  <c r="T665" i="1"/>
  <c r="U672" i="1"/>
  <c r="V672" i="1"/>
  <c r="W672" i="1" s="1"/>
  <c r="T672" i="1"/>
  <c r="X681" i="1" l="1"/>
  <c r="Q681" i="1"/>
  <c r="X674" i="1"/>
  <c r="Q674" i="1"/>
  <c r="X937" i="1"/>
  <c r="Q937" i="1"/>
  <c r="X921" i="1"/>
  <c r="Q921" i="1"/>
  <c r="X896" i="1"/>
  <c r="Q896" i="1"/>
  <c r="X882" i="1"/>
  <c r="Q882" i="1"/>
  <c r="X841" i="1"/>
  <c r="Q841" i="1"/>
  <c r="X826" i="1"/>
  <c r="Q826" i="1"/>
  <c r="X605" i="1" l="1"/>
  <c r="U826" i="1"/>
  <c r="V826" i="1"/>
  <c r="W826" i="1" s="1"/>
  <c r="T826" i="1"/>
  <c r="U841" i="1"/>
  <c r="V841" i="1"/>
  <c r="W841" i="1" s="1"/>
  <c r="T841" i="1"/>
  <c r="U882" i="1"/>
  <c r="V882" i="1"/>
  <c r="W882" i="1" s="1"/>
  <c r="T882" i="1"/>
  <c r="U896" i="1"/>
  <c r="V896" i="1"/>
  <c r="W896" i="1" s="1"/>
  <c r="T896" i="1"/>
  <c r="U921" i="1"/>
  <c r="V921" i="1"/>
  <c r="W921" i="1" s="1"/>
  <c r="T921" i="1"/>
  <c r="U937" i="1"/>
  <c r="V937" i="1"/>
  <c r="W937" i="1" s="1"/>
  <c r="T937" i="1"/>
  <c r="U674" i="1"/>
  <c r="V674" i="1"/>
  <c r="W674" i="1" s="1"/>
  <c r="T674" i="1"/>
  <c r="U681" i="1"/>
  <c r="V681" i="1"/>
  <c r="W681" i="1" s="1"/>
  <c r="T681" i="1"/>
  <c r="X690" i="1" l="1"/>
  <c r="Q690" i="1"/>
  <c r="X683" i="1"/>
  <c r="Q683" i="1"/>
  <c r="X946" i="1"/>
  <c r="Q946" i="1"/>
  <c r="X930" i="1"/>
  <c r="Q930" i="1"/>
  <c r="X905" i="1"/>
  <c r="Q905" i="1"/>
  <c r="X891" i="1"/>
  <c r="Q891" i="1"/>
  <c r="X850" i="1"/>
  <c r="Q850" i="1"/>
  <c r="X835" i="1"/>
  <c r="Q835" i="1"/>
  <c r="X614" i="1" l="1"/>
  <c r="U835" i="1"/>
  <c r="V835" i="1"/>
  <c r="W835" i="1" s="1"/>
  <c r="T835" i="1"/>
  <c r="U850" i="1"/>
  <c r="V850" i="1"/>
  <c r="W850" i="1" s="1"/>
  <c r="T850" i="1"/>
  <c r="U891" i="1"/>
  <c r="V891" i="1"/>
  <c r="W891" i="1" s="1"/>
  <c r="T891" i="1"/>
  <c r="U905" i="1"/>
  <c r="V905" i="1"/>
  <c r="W905" i="1" s="1"/>
  <c r="T905" i="1"/>
  <c r="U930" i="1"/>
  <c r="V930" i="1"/>
  <c r="W930" i="1" s="1"/>
  <c r="T930" i="1"/>
  <c r="U946" i="1"/>
  <c r="V946" i="1"/>
  <c r="W946" i="1" s="1"/>
  <c r="T946" i="1"/>
  <c r="U683" i="1"/>
  <c r="V683" i="1"/>
  <c r="W683" i="1" s="1"/>
  <c r="T683" i="1"/>
  <c r="U690" i="1"/>
  <c r="V690" i="1"/>
  <c r="W690" i="1" s="1"/>
  <c r="T690" i="1"/>
  <c r="X699" i="1" l="1"/>
  <c r="Q699" i="1"/>
  <c r="X692" i="1"/>
  <c r="Q692" i="1"/>
  <c r="X955" i="1"/>
  <c r="Q955" i="1"/>
  <c r="X939" i="1"/>
  <c r="Q939" i="1"/>
  <c r="X914" i="1"/>
  <c r="Q914" i="1"/>
  <c r="X900" i="1"/>
  <c r="Q900" i="1"/>
  <c r="X859" i="1"/>
  <c r="Q859" i="1"/>
  <c r="X844" i="1"/>
  <c r="Q844" i="1"/>
  <c r="X623" i="1" l="1"/>
  <c r="U844" i="1"/>
  <c r="V844" i="1"/>
  <c r="W844" i="1" s="1"/>
  <c r="T844" i="1"/>
  <c r="U859" i="1"/>
  <c r="V859" i="1"/>
  <c r="W859" i="1" s="1"/>
  <c r="T859" i="1"/>
  <c r="U900" i="1"/>
  <c r="V900" i="1"/>
  <c r="W900" i="1" s="1"/>
  <c r="T900" i="1"/>
  <c r="U914" i="1"/>
  <c r="V914" i="1"/>
  <c r="W914" i="1" s="1"/>
  <c r="T914" i="1"/>
  <c r="U939" i="1"/>
  <c r="V939" i="1"/>
  <c r="W939" i="1" s="1"/>
  <c r="T939" i="1"/>
  <c r="U955" i="1"/>
  <c r="V955" i="1"/>
  <c r="W955" i="1" s="1"/>
  <c r="T955" i="1"/>
  <c r="U692" i="1"/>
  <c r="V692" i="1"/>
  <c r="W692" i="1" s="1"/>
  <c r="T692" i="1"/>
  <c r="U699" i="1"/>
  <c r="V699" i="1"/>
  <c r="W699" i="1" s="1"/>
  <c r="T699" i="1"/>
  <c r="X708" i="1" l="1"/>
  <c r="Q708" i="1"/>
  <c r="X701" i="1"/>
  <c r="Q701" i="1"/>
  <c r="X964" i="1"/>
  <c r="Q964" i="1"/>
  <c r="X948" i="1"/>
  <c r="Q948" i="1"/>
  <c r="X923" i="1"/>
  <c r="Q923" i="1"/>
  <c r="X909" i="1"/>
  <c r="Q909" i="1"/>
  <c r="X868" i="1"/>
  <c r="Q868" i="1"/>
  <c r="X853" i="1"/>
  <c r="Q853" i="1"/>
  <c r="X632" i="1" l="1"/>
  <c r="U853" i="1"/>
  <c r="V853" i="1"/>
  <c r="W853" i="1" s="1"/>
  <c r="T853" i="1"/>
  <c r="U868" i="1"/>
  <c r="V868" i="1"/>
  <c r="W868" i="1" s="1"/>
  <c r="T868" i="1"/>
  <c r="U909" i="1"/>
  <c r="V909" i="1"/>
  <c r="W909" i="1" s="1"/>
  <c r="T909" i="1"/>
  <c r="U923" i="1"/>
  <c r="V923" i="1"/>
  <c r="W923" i="1" s="1"/>
  <c r="T923" i="1"/>
  <c r="U948" i="1"/>
  <c r="V948" i="1"/>
  <c r="W948" i="1" s="1"/>
  <c r="T948" i="1"/>
  <c r="U964" i="1"/>
  <c r="V964" i="1"/>
  <c r="W964" i="1" s="1"/>
  <c r="T964" i="1"/>
  <c r="U701" i="1"/>
  <c r="V701" i="1"/>
  <c r="W701" i="1" s="1"/>
  <c r="T701" i="1"/>
  <c r="U708" i="1"/>
  <c r="V708" i="1"/>
  <c r="W708" i="1" s="1"/>
  <c r="T708" i="1"/>
  <c r="X717" i="1" l="1"/>
  <c r="Q717" i="1"/>
  <c r="X710" i="1"/>
  <c r="Q710" i="1"/>
  <c r="X973" i="1"/>
  <c r="Q973" i="1"/>
  <c r="X957" i="1"/>
  <c r="Q957" i="1"/>
  <c r="X932" i="1"/>
  <c r="Q932" i="1"/>
  <c r="X918" i="1"/>
  <c r="Q918" i="1"/>
  <c r="X877" i="1"/>
  <c r="Q877" i="1"/>
  <c r="X862" i="1"/>
  <c r="Q862" i="1"/>
  <c r="X641" i="1" l="1"/>
  <c r="U862" i="1"/>
  <c r="V862" i="1"/>
  <c r="W862" i="1" s="1"/>
  <c r="T862" i="1"/>
  <c r="U877" i="1"/>
  <c r="V877" i="1"/>
  <c r="W877" i="1" s="1"/>
  <c r="T877" i="1"/>
  <c r="U918" i="1"/>
  <c r="V918" i="1"/>
  <c r="W918" i="1" s="1"/>
  <c r="T918" i="1"/>
  <c r="U932" i="1"/>
  <c r="V932" i="1"/>
  <c r="W932" i="1" s="1"/>
  <c r="T932" i="1"/>
  <c r="U957" i="1"/>
  <c r="V957" i="1"/>
  <c r="W957" i="1" s="1"/>
  <c r="T957" i="1"/>
  <c r="U973" i="1"/>
  <c r="V973" i="1"/>
  <c r="W973" i="1" s="1"/>
  <c r="T973" i="1"/>
  <c r="U710" i="1"/>
  <c r="V710" i="1"/>
  <c r="W710" i="1" s="1"/>
  <c r="T710" i="1"/>
  <c r="U717" i="1"/>
  <c r="V717" i="1"/>
  <c r="W717" i="1" s="1"/>
  <c r="T717" i="1"/>
  <c r="X726" i="1" l="1"/>
  <c r="Q726" i="1"/>
  <c r="X719" i="1"/>
  <c r="Q719" i="1"/>
  <c r="X982" i="1"/>
  <c r="Q982" i="1"/>
  <c r="X966" i="1"/>
  <c r="Q966" i="1"/>
  <c r="X941" i="1"/>
  <c r="Q941" i="1"/>
  <c r="X927" i="1"/>
  <c r="Q927" i="1"/>
  <c r="X886" i="1"/>
  <c r="Q886" i="1"/>
  <c r="X871" i="1"/>
  <c r="Q871" i="1"/>
  <c r="X650" i="1" l="1"/>
  <c r="U871" i="1"/>
  <c r="V871" i="1"/>
  <c r="W871" i="1" s="1"/>
  <c r="T871" i="1"/>
  <c r="U886" i="1"/>
  <c r="V886" i="1"/>
  <c r="W886" i="1" s="1"/>
  <c r="T886" i="1"/>
  <c r="U927" i="1"/>
  <c r="V927" i="1"/>
  <c r="W927" i="1" s="1"/>
  <c r="T927" i="1"/>
  <c r="U941" i="1"/>
  <c r="V941" i="1"/>
  <c r="W941" i="1" s="1"/>
  <c r="T941" i="1"/>
  <c r="U966" i="1"/>
  <c r="V966" i="1"/>
  <c r="W966" i="1" s="1"/>
  <c r="T966" i="1"/>
  <c r="U982" i="1"/>
  <c r="V982" i="1"/>
  <c r="W982" i="1" s="1"/>
  <c r="T982" i="1"/>
  <c r="U719" i="1"/>
  <c r="V719" i="1"/>
  <c r="W719" i="1" s="1"/>
  <c r="T719" i="1"/>
  <c r="U726" i="1"/>
  <c r="V726" i="1"/>
  <c r="W726" i="1" s="1"/>
  <c r="T726" i="1"/>
  <c r="X735" i="1" l="1"/>
  <c r="Q735" i="1"/>
  <c r="X728" i="1"/>
  <c r="Q728" i="1"/>
  <c r="X991" i="1"/>
  <c r="Q991" i="1"/>
  <c r="X975" i="1"/>
  <c r="Q975" i="1"/>
  <c r="X950" i="1"/>
  <c r="Q950" i="1"/>
  <c r="X936" i="1"/>
  <c r="Q936" i="1"/>
  <c r="X895" i="1"/>
  <c r="Q895" i="1"/>
  <c r="X880" i="1"/>
  <c r="Q880" i="1"/>
  <c r="X659" i="1" l="1"/>
  <c r="U880" i="1"/>
  <c r="V880" i="1"/>
  <c r="W880" i="1" s="1"/>
  <c r="T880" i="1"/>
  <c r="U895" i="1"/>
  <c r="V895" i="1"/>
  <c r="W895" i="1" s="1"/>
  <c r="T895" i="1"/>
  <c r="U936" i="1"/>
  <c r="V936" i="1"/>
  <c r="W936" i="1" s="1"/>
  <c r="T936" i="1"/>
  <c r="U950" i="1"/>
  <c r="V950" i="1"/>
  <c r="W950" i="1" s="1"/>
  <c r="T950" i="1"/>
  <c r="U975" i="1"/>
  <c r="V975" i="1"/>
  <c r="W975" i="1" s="1"/>
  <c r="T975" i="1"/>
  <c r="U991" i="1"/>
  <c r="V991" i="1"/>
  <c r="W991" i="1" s="1"/>
  <c r="T991" i="1"/>
  <c r="U728" i="1"/>
  <c r="V728" i="1"/>
  <c r="W728" i="1" s="1"/>
  <c r="T728" i="1"/>
  <c r="U735" i="1"/>
  <c r="V735" i="1"/>
  <c r="W735" i="1" s="1"/>
  <c r="T735" i="1"/>
  <c r="X744" i="1" l="1"/>
  <c r="Q744" i="1"/>
  <c r="X737" i="1"/>
  <c r="Q737" i="1"/>
  <c r="X1000" i="1"/>
  <c r="Q1000" i="1"/>
  <c r="X984" i="1"/>
  <c r="Q984" i="1"/>
  <c r="X959" i="1"/>
  <c r="Q959" i="1"/>
  <c r="X945" i="1"/>
  <c r="Q945" i="1"/>
  <c r="X904" i="1"/>
  <c r="Q904" i="1"/>
  <c r="X889" i="1"/>
  <c r="Q889" i="1"/>
  <c r="X668" i="1" l="1"/>
  <c r="Q668" i="1"/>
  <c r="U889" i="1"/>
  <c r="V889" i="1"/>
  <c r="W889" i="1" s="1"/>
  <c r="T889" i="1"/>
  <c r="U904" i="1"/>
  <c r="V904" i="1"/>
  <c r="W904" i="1" s="1"/>
  <c r="T904" i="1"/>
  <c r="U945" i="1"/>
  <c r="V945" i="1"/>
  <c r="W945" i="1" s="1"/>
  <c r="T945" i="1"/>
  <c r="U959" i="1"/>
  <c r="V959" i="1"/>
  <c r="W959" i="1" s="1"/>
  <c r="T959" i="1"/>
  <c r="U984" i="1"/>
  <c r="V984" i="1"/>
  <c r="W984" i="1" s="1"/>
  <c r="T984" i="1"/>
  <c r="U1000" i="1"/>
  <c r="V1000" i="1"/>
  <c r="W1000" i="1" s="1"/>
  <c r="T1000" i="1"/>
  <c r="U737" i="1"/>
  <c r="V737" i="1"/>
  <c r="W737" i="1" s="1"/>
  <c r="T737" i="1"/>
  <c r="U744" i="1"/>
  <c r="V744" i="1"/>
  <c r="W744" i="1" s="1"/>
  <c r="T744" i="1"/>
  <c r="X753" i="1" l="1"/>
  <c r="Q753" i="1"/>
  <c r="X746" i="1"/>
  <c r="Q746" i="1"/>
  <c r="X1009" i="1"/>
  <c r="Q1009" i="1"/>
  <c r="X993" i="1"/>
  <c r="Q993" i="1"/>
  <c r="X968" i="1"/>
  <c r="Q968" i="1"/>
  <c r="X954" i="1"/>
  <c r="Q954" i="1"/>
  <c r="X913" i="1"/>
  <c r="Q913" i="1"/>
  <c r="X898" i="1"/>
  <c r="Q898" i="1"/>
  <c r="U668" i="1"/>
  <c r="V668" i="1"/>
  <c r="W668" i="1" s="1"/>
  <c r="T668" i="1"/>
  <c r="X677" i="1" l="1"/>
  <c r="Q677" i="1"/>
  <c r="U898" i="1"/>
  <c r="V898" i="1"/>
  <c r="W898" i="1" s="1"/>
  <c r="T898" i="1"/>
  <c r="U913" i="1"/>
  <c r="V913" i="1"/>
  <c r="W913" i="1" s="1"/>
  <c r="T913" i="1"/>
  <c r="U954" i="1"/>
  <c r="V954" i="1"/>
  <c r="W954" i="1" s="1"/>
  <c r="T954" i="1"/>
  <c r="U968" i="1"/>
  <c r="V968" i="1"/>
  <c r="W968" i="1" s="1"/>
  <c r="T968" i="1"/>
  <c r="U993" i="1"/>
  <c r="V993" i="1"/>
  <c r="W993" i="1" s="1"/>
  <c r="T993" i="1"/>
  <c r="U1009" i="1"/>
  <c r="V1009" i="1"/>
  <c r="W1009" i="1" s="1"/>
  <c r="T1009" i="1"/>
  <c r="U746" i="1"/>
  <c r="V746" i="1"/>
  <c r="W746" i="1" s="1"/>
  <c r="T746" i="1"/>
  <c r="U753" i="1"/>
  <c r="V753" i="1"/>
  <c r="W753" i="1" s="1"/>
  <c r="T753" i="1"/>
  <c r="X762" i="1" l="1"/>
  <c r="Q762" i="1"/>
  <c r="X755" i="1"/>
  <c r="Q755" i="1"/>
  <c r="X1018" i="1"/>
  <c r="Q1018" i="1"/>
  <c r="X1002" i="1"/>
  <c r="Q1002" i="1"/>
  <c r="X977" i="1"/>
  <c r="Q977" i="1"/>
  <c r="X963" i="1"/>
  <c r="Q963" i="1"/>
  <c r="X922" i="1"/>
  <c r="Q922" i="1"/>
  <c r="X907" i="1"/>
  <c r="Q907" i="1"/>
  <c r="U677" i="1"/>
  <c r="V677" i="1"/>
  <c r="W677" i="1" s="1"/>
  <c r="T677" i="1"/>
  <c r="X686" i="1" l="1"/>
  <c r="Q686" i="1"/>
  <c r="U907" i="1"/>
  <c r="V907" i="1"/>
  <c r="W907" i="1" s="1"/>
  <c r="T907" i="1"/>
  <c r="U922" i="1"/>
  <c r="V922" i="1"/>
  <c r="W922" i="1" s="1"/>
  <c r="T922" i="1"/>
  <c r="U963" i="1"/>
  <c r="V963" i="1"/>
  <c r="W963" i="1" s="1"/>
  <c r="T963" i="1"/>
  <c r="U977" i="1"/>
  <c r="V977" i="1"/>
  <c r="W977" i="1" s="1"/>
  <c r="T977" i="1"/>
  <c r="U1002" i="1"/>
  <c r="V1002" i="1"/>
  <c r="W1002" i="1" s="1"/>
  <c r="T1002" i="1"/>
  <c r="U1018" i="1"/>
  <c r="V1018" i="1"/>
  <c r="W1018" i="1" s="1"/>
  <c r="T1018" i="1"/>
  <c r="U755" i="1"/>
  <c r="V755" i="1"/>
  <c r="W755" i="1" s="1"/>
  <c r="T755" i="1"/>
  <c r="U762" i="1"/>
  <c r="V762" i="1"/>
  <c r="W762" i="1" s="1"/>
  <c r="T762" i="1"/>
  <c r="X771" i="1" l="1"/>
  <c r="Q771" i="1"/>
  <c r="X764" i="1"/>
  <c r="Q764" i="1"/>
  <c r="X1027" i="1"/>
  <c r="Q1027" i="1"/>
  <c r="X1011" i="1"/>
  <c r="Q1011" i="1"/>
  <c r="X986" i="1"/>
  <c r="Q986" i="1"/>
  <c r="X972" i="1"/>
  <c r="Q972" i="1"/>
  <c r="X931" i="1"/>
  <c r="Q931" i="1"/>
  <c r="X916" i="1"/>
  <c r="Q916" i="1"/>
  <c r="U686" i="1"/>
  <c r="V686" i="1"/>
  <c r="W686" i="1" s="1"/>
  <c r="T686" i="1"/>
  <c r="X695" i="1" l="1"/>
  <c r="Q695" i="1"/>
  <c r="U916" i="1"/>
  <c r="V916" i="1"/>
  <c r="W916" i="1" s="1"/>
  <c r="T916" i="1"/>
  <c r="U931" i="1"/>
  <c r="V931" i="1"/>
  <c r="W931" i="1" s="1"/>
  <c r="T931" i="1"/>
  <c r="U972" i="1"/>
  <c r="V972" i="1"/>
  <c r="W972" i="1" s="1"/>
  <c r="T972" i="1"/>
  <c r="U986" i="1"/>
  <c r="V986" i="1"/>
  <c r="W986" i="1" s="1"/>
  <c r="T986" i="1"/>
  <c r="U1011" i="1"/>
  <c r="V1011" i="1"/>
  <c r="W1011" i="1" s="1"/>
  <c r="T1011" i="1"/>
  <c r="U1027" i="1"/>
  <c r="V1027" i="1"/>
  <c r="W1027" i="1" s="1"/>
  <c r="T1027" i="1"/>
  <c r="U764" i="1"/>
  <c r="V764" i="1"/>
  <c r="W764" i="1" s="1"/>
  <c r="T764" i="1"/>
  <c r="U771" i="1"/>
  <c r="V771" i="1"/>
  <c r="W771" i="1" s="1"/>
  <c r="T771" i="1"/>
  <c r="X780" i="1" l="1"/>
  <c r="Q780" i="1"/>
  <c r="X773" i="1"/>
  <c r="Q773" i="1"/>
  <c r="X1036" i="1"/>
  <c r="Q1036" i="1"/>
  <c r="X1020" i="1"/>
  <c r="Q1020" i="1"/>
  <c r="X995" i="1"/>
  <c r="Q995" i="1"/>
  <c r="X981" i="1"/>
  <c r="Q981" i="1"/>
  <c r="X940" i="1"/>
  <c r="Q940" i="1"/>
  <c r="X925" i="1"/>
  <c r="Q925" i="1"/>
  <c r="U695" i="1"/>
  <c r="V695" i="1"/>
  <c r="W695" i="1" s="1"/>
  <c r="T695" i="1"/>
  <c r="X704" i="1" l="1"/>
  <c r="Q704" i="1"/>
  <c r="U925" i="1"/>
  <c r="V925" i="1"/>
  <c r="W925" i="1" s="1"/>
  <c r="T925" i="1"/>
  <c r="U940" i="1"/>
  <c r="V940" i="1"/>
  <c r="W940" i="1" s="1"/>
  <c r="T940" i="1"/>
  <c r="U981" i="1"/>
  <c r="V981" i="1"/>
  <c r="W981" i="1" s="1"/>
  <c r="T981" i="1"/>
  <c r="U995" i="1"/>
  <c r="V995" i="1"/>
  <c r="W995" i="1" s="1"/>
  <c r="T995" i="1"/>
  <c r="U1020" i="1"/>
  <c r="V1020" i="1"/>
  <c r="W1020" i="1" s="1"/>
  <c r="T1020" i="1"/>
  <c r="U1036" i="1"/>
  <c r="V1036" i="1"/>
  <c r="W1036" i="1" s="1"/>
  <c r="T1036" i="1"/>
  <c r="U773" i="1"/>
  <c r="V773" i="1"/>
  <c r="W773" i="1" s="1"/>
  <c r="T773" i="1"/>
  <c r="U780" i="1"/>
  <c r="V780" i="1"/>
  <c r="W780" i="1" s="1"/>
  <c r="T780" i="1"/>
  <c r="X789" i="1" l="1"/>
  <c r="Q789" i="1"/>
  <c r="X782" i="1"/>
  <c r="Q782" i="1"/>
  <c r="X1045" i="1"/>
  <c r="Q1045" i="1"/>
  <c r="X1029" i="1"/>
  <c r="Q1029" i="1"/>
  <c r="X1004" i="1"/>
  <c r="Q1004" i="1"/>
  <c r="X990" i="1"/>
  <c r="Q990" i="1"/>
  <c r="X949" i="1"/>
  <c r="Q949" i="1"/>
  <c r="X934" i="1"/>
  <c r="Q934" i="1"/>
  <c r="U704" i="1"/>
  <c r="V704" i="1"/>
  <c r="W704" i="1" s="1"/>
  <c r="T704" i="1"/>
  <c r="X713" i="1" l="1"/>
  <c r="Q713" i="1"/>
  <c r="U934" i="1"/>
  <c r="V934" i="1"/>
  <c r="W934" i="1" s="1"/>
  <c r="T934" i="1"/>
  <c r="U949" i="1"/>
  <c r="V949" i="1"/>
  <c r="W949" i="1" s="1"/>
  <c r="T949" i="1"/>
  <c r="U990" i="1"/>
  <c r="V990" i="1"/>
  <c r="W990" i="1" s="1"/>
  <c r="T990" i="1"/>
  <c r="U1004" i="1"/>
  <c r="V1004" i="1"/>
  <c r="W1004" i="1" s="1"/>
  <c r="T1004" i="1"/>
  <c r="U1029" i="1"/>
  <c r="V1029" i="1"/>
  <c r="W1029" i="1" s="1"/>
  <c r="T1029" i="1"/>
  <c r="U1045" i="1"/>
  <c r="V1045" i="1"/>
  <c r="W1045" i="1" s="1"/>
  <c r="T1045" i="1"/>
  <c r="U782" i="1"/>
  <c r="V782" i="1"/>
  <c r="W782" i="1" s="1"/>
  <c r="T782" i="1"/>
  <c r="U789" i="1"/>
  <c r="V789" i="1"/>
  <c r="W789" i="1" s="1"/>
  <c r="T789" i="1"/>
  <c r="X798" i="1" l="1"/>
  <c r="Q798" i="1"/>
  <c r="X791" i="1"/>
  <c r="Q791" i="1"/>
  <c r="X1054" i="1"/>
  <c r="Q1054" i="1"/>
  <c r="X1038" i="1"/>
  <c r="Q1038" i="1"/>
  <c r="X1013" i="1"/>
  <c r="Q1013" i="1"/>
  <c r="X999" i="1"/>
  <c r="Q999" i="1"/>
  <c r="X958" i="1"/>
  <c r="Q958" i="1"/>
  <c r="X943" i="1"/>
  <c r="Q943" i="1"/>
  <c r="U713" i="1"/>
  <c r="V713" i="1"/>
  <c r="W713" i="1" s="1"/>
  <c r="T713" i="1"/>
  <c r="X722" i="1" l="1"/>
  <c r="Q722" i="1"/>
  <c r="U943" i="1"/>
  <c r="V943" i="1"/>
  <c r="W943" i="1" s="1"/>
  <c r="T943" i="1"/>
  <c r="U958" i="1"/>
  <c r="V958" i="1"/>
  <c r="W958" i="1" s="1"/>
  <c r="T958" i="1"/>
  <c r="U999" i="1"/>
  <c r="V999" i="1"/>
  <c r="W999" i="1" s="1"/>
  <c r="T999" i="1"/>
  <c r="U1013" i="1"/>
  <c r="V1013" i="1"/>
  <c r="W1013" i="1" s="1"/>
  <c r="T1013" i="1"/>
  <c r="U1038" i="1"/>
  <c r="V1038" i="1"/>
  <c r="W1038" i="1" s="1"/>
  <c r="T1038" i="1"/>
  <c r="U1054" i="1"/>
  <c r="V1054" i="1"/>
  <c r="W1054" i="1" s="1"/>
  <c r="T1054" i="1"/>
  <c r="U791" i="1"/>
  <c r="V791" i="1"/>
  <c r="W791" i="1" s="1"/>
  <c r="T791" i="1"/>
  <c r="U798" i="1"/>
  <c r="V798" i="1"/>
  <c r="W798" i="1" s="1"/>
  <c r="T798" i="1"/>
  <c r="X807" i="1" l="1"/>
  <c r="Q807" i="1"/>
  <c r="X800" i="1"/>
  <c r="Q800" i="1"/>
  <c r="X1063" i="1"/>
  <c r="Q1063" i="1"/>
  <c r="X1047" i="1"/>
  <c r="Q1047" i="1"/>
  <c r="X1022" i="1"/>
  <c r="Q1022" i="1"/>
  <c r="X1008" i="1"/>
  <c r="Q1008" i="1"/>
  <c r="X967" i="1"/>
  <c r="Q967" i="1"/>
  <c r="X952" i="1"/>
  <c r="Q952" i="1"/>
  <c r="U722" i="1"/>
  <c r="V722" i="1"/>
  <c r="W722" i="1" s="1"/>
  <c r="T722" i="1"/>
  <c r="X731" i="1" l="1"/>
  <c r="Q731" i="1"/>
  <c r="U952" i="1"/>
  <c r="V952" i="1"/>
  <c r="W952" i="1" s="1"/>
  <c r="T952" i="1"/>
  <c r="U967" i="1"/>
  <c r="V967" i="1"/>
  <c r="W967" i="1" s="1"/>
  <c r="T967" i="1"/>
  <c r="U1008" i="1"/>
  <c r="V1008" i="1"/>
  <c r="W1008" i="1" s="1"/>
  <c r="T1008" i="1"/>
  <c r="U1022" i="1"/>
  <c r="V1022" i="1"/>
  <c r="W1022" i="1" s="1"/>
  <c r="T1022" i="1"/>
  <c r="U1047" i="1"/>
  <c r="V1047" i="1"/>
  <c r="W1047" i="1" s="1"/>
  <c r="T1047" i="1"/>
  <c r="U1063" i="1"/>
  <c r="V1063" i="1"/>
  <c r="W1063" i="1" s="1"/>
  <c r="T1063" i="1"/>
  <c r="U800" i="1"/>
  <c r="V800" i="1"/>
  <c r="W800" i="1" s="1"/>
  <c r="T800" i="1"/>
  <c r="U807" i="1"/>
  <c r="V807" i="1"/>
  <c r="W807" i="1" s="1"/>
  <c r="T807" i="1"/>
  <c r="X816" i="1" l="1"/>
  <c r="Q816" i="1"/>
  <c r="X809" i="1"/>
  <c r="Q809" i="1"/>
  <c r="X1072" i="1"/>
  <c r="Q1072" i="1"/>
  <c r="X1056" i="1"/>
  <c r="Q1056" i="1"/>
  <c r="X1031" i="1"/>
  <c r="Q1031" i="1"/>
  <c r="X1017" i="1"/>
  <c r="Q1017" i="1"/>
  <c r="X976" i="1"/>
  <c r="Q976" i="1"/>
  <c r="X961" i="1"/>
  <c r="Q961" i="1"/>
  <c r="U731" i="1"/>
  <c r="V731" i="1"/>
  <c r="W731" i="1" s="1"/>
  <c r="T731" i="1"/>
  <c r="X740" i="1" l="1"/>
  <c r="Q740" i="1"/>
  <c r="U961" i="1"/>
  <c r="V961" i="1"/>
  <c r="W961" i="1" s="1"/>
  <c r="T961" i="1"/>
  <c r="U976" i="1"/>
  <c r="V976" i="1"/>
  <c r="W976" i="1" s="1"/>
  <c r="T976" i="1"/>
  <c r="U1017" i="1"/>
  <c r="V1017" i="1"/>
  <c r="W1017" i="1" s="1"/>
  <c r="T1017" i="1"/>
  <c r="U1031" i="1"/>
  <c r="V1031" i="1"/>
  <c r="W1031" i="1" s="1"/>
  <c r="T1031" i="1"/>
  <c r="U1056" i="1"/>
  <c r="V1056" i="1"/>
  <c r="W1056" i="1" s="1"/>
  <c r="T1056" i="1"/>
  <c r="U1072" i="1"/>
  <c r="V1072" i="1"/>
  <c r="W1072" i="1" s="1"/>
  <c r="T1072" i="1"/>
  <c r="U809" i="1"/>
  <c r="V809" i="1"/>
  <c r="W809" i="1" s="1"/>
  <c r="T809" i="1"/>
  <c r="U816" i="1"/>
  <c r="V816" i="1"/>
  <c r="W816" i="1" s="1"/>
  <c r="T816" i="1"/>
  <c r="X825" i="1" l="1"/>
  <c r="Q825" i="1"/>
  <c r="X818" i="1"/>
  <c r="Q818" i="1"/>
  <c r="X1081" i="1"/>
  <c r="Q1081" i="1"/>
  <c r="X1065" i="1"/>
  <c r="Q1065" i="1"/>
  <c r="X1040" i="1"/>
  <c r="Q1040" i="1"/>
  <c r="X1026" i="1"/>
  <c r="Q1026" i="1"/>
  <c r="X985" i="1"/>
  <c r="Q985" i="1"/>
  <c r="X970" i="1"/>
  <c r="Q970" i="1"/>
  <c r="U740" i="1"/>
  <c r="V740" i="1"/>
  <c r="W740" i="1" s="1"/>
  <c r="T740" i="1"/>
  <c r="X749" i="1" l="1"/>
  <c r="Q749" i="1"/>
  <c r="U970" i="1"/>
  <c r="V970" i="1"/>
  <c r="W970" i="1" s="1"/>
  <c r="T970" i="1"/>
  <c r="U985" i="1"/>
  <c r="V985" i="1"/>
  <c r="W985" i="1" s="1"/>
  <c r="T985" i="1"/>
  <c r="U1026" i="1"/>
  <c r="V1026" i="1"/>
  <c r="W1026" i="1" s="1"/>
  <c r="T1026" i="1"/>
  <c r="U1040" i="1"/>
  <c r="V1040" i="1"/>
  <c r="W1040" i="1" s="1"/>
  <c r="T1040" i="1"/>
  <c r="U1065" i="1"/>
  <c r="V1065" i="1"/>
  <c r="W1065" i="1" s="1"/>
  <c r="T1065" i="1"/>
  <c r="U1081" i="1"/>
  <c r="V1081" i="1"/>
  <c r="W1081" i="1" s="1"/>
  <c r="T1081" i="1"/>
  <c r="U818" i="1"/>
  <c r="V818" i="1"/>
  <c r="W818" i="1" s="1"/>
  <c r="T818" i="1"/>
  <c r="U825" i="1"/>
  <c r="V825" i="1"/>
  <c r="W825" i="1" s="1"/>
  <c r="T825" i="1"/>
  <c r="X834" i="1" l="1"/>
  <c r="Q834" i="1"/>
  <c r="X827" i="1"/>
  <c r="Q827" i="1"/>
  <c r="X1090" i="1"/>
  <c r="Q1090" i="1"/>
  <c r="X1074" i="1"/>
  <c r="Q1074" i="1"/>
  <c r="X1049" i="1"/>
  <c r="Q1049" i="1"/>
  <c r="X1035" i="1"/>
  <c r="Q1035" i="1"/>
  <c r="X994" i="1"/>
  <c r="Q994" i="1"/>
  <c r="X979" i="1"/>
  <c r="Q979" i="1"/>
  <c r="U749" i="1"/>
  <c r="V749" i="1"/>
  <c r="W749" i="1" s="1"/>
  <c r="T749" i="1"/>
  <c r="X758" i="1" l="1"/>
  <c r="Q758" i="1"/>
  <c r="U979" i="1"/>
  <c r="V979" i="1"/>
  <c r="W979" i="1" s="1"/>
  <c r="T979" i="1"/>
  <c r="U994" i="1"/>
  <c r="V994" i="1"/>
  <c r="W994" i="1" s="1"/>
  <c r="T994" i="1"/>
  <c r="U1035" i="1"/>
  <c r="V1035" i="1"/>
  <c r="W1035" i="1" s="1"/>
  <c r="T1035" i="1"/>
  <c r="U1049" i="1"/>
  <c r="V1049" i="1"/>
  <c r="W1049" i="1" s="1"/>
  <c r="T1049" i="1"/>
  <c r="U1074" i="1"/>
  <c r="V1074" i="1"/>
  <c r="W1074" i="1" s="1"/>
  <c r="T1074" i="1"/>
  <c r="U1090" i="1"/>
  <c r="V1090" i="1"/>
  <c r="W1090" i="1" s="1"/>
  <c r="T1090" i="1"/>
  <c r="U827" i="1"/>
  <c r="V827" i="1"/>
  <c r="W827" i="1" s="1"/>
  <c r="T827" i="1"/>
  <c r="U834" i="1"/>
  <c r="V834" i="1"/>
  <c r="W834" i="1" s="1"/>
  <c r="T834" i="1"/>
  <c r="X843" i="1" l="1"/>
  <c r="Q843" i="1"/>
  <c r="X836" i="1"/>
  <c r="Q836" i="1"/>
  <c r="X1099" i="1"/>
  <c r="Q1099" i="1"/>
  <c r="X1083" i="1"/>
  <c r="Q1083" i="1"/>
  <c r="X1058" i="1"/>
  <c r="Q1058" i="1"/>
  <c r="X1044" i="1"/>
  <c r="Q1044" i="1"/>
  <c r="X1003" i="1"/>
  <c r="Q1003" i="1"/>
  <c r="X988" i="1"/>
  <c r="Q988" i="1"/>
  <c r="U758" i="1"/>
  <c r="V758" i="1"/>
  <c r="W758" i="1" s="1"/>
  <c r="T758" i="1"/>
  <c r="X767" i="1" l="1"/>
  <c r="Q767" i="1"/>
  <c r="U988" i="1"/>
  <c r="V988" i="1"/>
  <c r="W988" i="1" s="1"/>
  <c r="T988" i="1"/>
  <c r="U1003" i="1"/>
  <c r="V1003" i="1"/>
  <c r="W1003" i="1" s="1"/>
  <c r="T1003" i="1"/>
  <c r="U1044" i="1"/>
  <c r="V1044" i="1"/>
  <c r="W1044" i="1" s="1"/>
  <c r="T1044" i="1"/>
  <c r="U1058" i="1"/>
  <c r="V1058" i="1"/>
  <c r="W1058" i="1" s="1"/>
  <c r="T1058" i="1"/>
  <c r="U1083" i="1"/>
  <c r="V1083" i="1"/>
  <c r="W1083" i="1" s="1"/>
  <c r="T1083" i="1"/>
  <c r="U1099" i="1"/>
  <c r="V1099" i="1"/>
  <c r="W1099" i="1" s="1"/>
  <c r="T1099" i="1"/>
  <c r="U836" i="1"/>
  <c r="V836" i="1"/>
  <c r="W836" i="1" s="1"/>
  <c r="T836" i="1"/>
  <c r="U843" i="1"/>
  <c r="V843" i="1"/>
  <c r="W843" i="1" s="1"/>
  <c r="T843" i="1"/>
  <c r="X852" i="1" l="1"/>
  <c r="Q852" i="1"/>
  <c r="X845" i="1"/>
  <c r="Q845" i="1"/>
  <c r="X1108" i="1"/>
  <c r="Q1108" i="1"/>
  <c r="X1092" i="1"/>
  <c r="Q1092" i="1"/>
  <c r="X1067" i="1"/>
  <c r="Q1067" i="1"/>
  <c r="X1053" i="1"/>
  <c r="Q1053" i="1"/>
  <c r="X1012" i="1"/>
  <c r="Q1012" i="1"/>
  <c r="X997" i="1"/>
  <c r="Q997" i="1"/>
  <c r="U767" i="1"/>
  <c r="V767" i="1"/>
  <c r="W767" i="1" s="1"/>
  <c r="T767" i="1"/>
  <c r="X776" i="1" l="1"/>
  <c r="Q776" i="1"/>
  <c r="U997" i="1"/>
  <c r="V997" i="1"/>
  <c r="W997" i="1" s="1"/>
  <c r="T997" i="1"/>
  <c r="U1012" i="1"/>
  <c r="V1012" i="1"/>
  <c r="W1012" i="1" s="1"/>
  <c r="T1012" i="1"/>
  <c r="U1053" i="1"/>
  <c r="V1053" i="1"/>
  <c r="W1053" i="1" s="1"/>
  <c r="T1053" i="1"/>
  <c r="U1067" i="1"/>
  <c r="V1067" i="1"/>
  <c r="W1067" i="1" s="1"/>
  <c r="T1067" i="1"/>
  <c r="U1092" i="1"/>
  <c r="V1092" i="1"/>
  <c r="W1092" i="1" s="1"/>
  <c r="T1092" i="1"/>
  <c r="U1108" i="1"/>
  <c r="V1108" i="1"/>
  <c r="W1108" i="1" s="1"/>
  <c r="T1108" i="1"/>
  <c r="U845" i="1"/>
  <c r="V845" i="1"/>
  <c r="W845" i="1" s="1"/>
  <c r="T845" i="1"/>
  <c r="U852" i="1"/>
  <c r="V852" i="1"/>
  <c r="W852" i="1" s="1"/>
  <c r="T852" i="1"/>
  <c r="X861" i="1" l="1"/>
  <c r="Q861" i="1"/>
  <c r="X854" i="1"/>
  <c r="Q854" i="1"/>
  <c r="X1117" i="1"/>
  <c r="Q1117" i="1"/>
  <c r="X1101" i="1"/>
  <c r="Q1101" i="1"/>
  <c r="X1076" i="1"/>
  <c r="Q1076" i="1"/>
  <c r="X1062" i="1"/>
  <c r="Q1062" i="1"/>
  <c r="X1021" i="1"/>
  <c r="Q1021" i="1"/>
  <c r="X1006" i="1"/>
  <c r="Q1006" i="1"/>
  <c r="U776" i="1"/>
  <c r="V776" i="1"/>
  <c r="W776" i="1" s="1"/>
  <c r="T776" i="1"/>
  <c r="X785" i="1" l="1"/>
  <c r="Q785" i="1"/>
  <c r="U1006" i="1"/>
  <c r="V1006" i="1"/>
  <c r="W1006" i="1" s="1"/>
  <c r="T1006" i="1"/>
  <c r="U1021" i="1"/>
  <c r="V1021" i="1"/>
  <c r="W1021" i="1" s="1"/>
  <c r="T1021" i="1"/>
  <c r="U1062" i="1"/>
  <c r="V1062" i="1"/>
  <c r="W1062" i="1" s="1"/>
  <c r="T1062" i="1"/>
  <c r="U1076" i="1"/>
  <c r="V1076" i="1"/>
  <c r="W1076" i="1" s="1"/>
  <c r="T1076" i="1"/>
  <c r="U1101" i="1"/>
  <c r="V1101" i="1"/>
  <c r="W1101" i="1" s="1"/>
  <c r="T1101" i="1"/>
  <c r="U1117" i="1"/>
  <c r="V1117" i="1"/>
  <c r="W1117" i="1" s="1"/>
  <c r="T1117" i="1"/>
  <c r="U854" i="1"/>
  <c r="V854" i="1"/>
  <c r="W854" i="1" s="1"/>
  <c r="T854" i="1"/>
  <c r="U861" i="1"/>
  <c r="V861" i="1"/>
  <c r="W861" i="1" s="1"/>
  <c r="T861" i="1"/>
  <c r="X870" i="1" l="1"/>
  <c r="Q870" i="1"/>
  <c r="X863" i="1"/>
  <c r="Q863" i="1"/>
  <c r="X1126" i="1"/>
  <c r="Q1126" i="1"/>
  <c r="X1110" i="1"/>
  <c r="Q1110" i="1"/>
  <c r="X1085" i="1"/>
  <c r="Q1085" i="1"/>
  <c r="X1071" i="1"/>
  <c r="Q1071" i="1"/>
  <c r="X1030" i="1"/>
  <c r="Q1030" i="1"/>
  <c r="X1015" i="1"/>
  <c r="Q1015" i="1"/>
  <c r="U785" i="1"/>
  <c r="V785" i="1"/>
  <c r="W785" i="1" s="1"/>
  <c r="T785" i="1"/>
  <c r="X794" i="1" l="1"/>
  <c r="Q794" i="1"/>
  <c r="U1015" i="1"/>
  <c r="V1015" i="1"/>
  <c r="W1015" i="1" s="1"/>
  <c r="T1015" i="1"/>
  <c r="U1030" i="1"/>
  <c r="V1030" i="1"/>
  <c r="W1030" i="1" s="1"/>
  <c r="T1030" i="1"/>
  <c r="U1071" i="1"/>
  <c r="V1071" i="1"/>
  <c r="W1071" i="1" s="1"/>
  <c r="T1071" i="1"/>
  <c r="U1085" i="1"/>
  <c r="V1085" i="1"/>
  <c r="W1085" i="1" s="1"/>
  <c r="T1085" i="1"/>
  <c r="U1110" i="1"/>
  <c r="V1110" i="1"/>
  <c r="W1110" i="1" s="1"/>
  <c r="T1110" i="1"/>
  <c r="U1126" i="1"/>
  <c r="V1126" i="1"/>
  <c r="W1126" i="1" s="1"/>
  <c r="T1126" i="1"/>
  <c r="U863" i="1"/>
  <c r="V863" i="1"/>
  <c r="W863" i="1" s="1"/>
  <c r="T863" i="1"/>
  <c r="U870" i="1"/>
  <c r="V870" i="1"/>
  <c r="W870" i="1" s="1"/>
  <c r="T870" i="1"/>
  <c r="X879" i="1" l="1"/>
  <c r="Q879" i="1"/>
  <c r="X872" i="1"/>
  <c r="Q872" i="1"/>
  <c r="X1135" i="1"/>
  <c r="Q1135" i="1"/>
  <c r="X1119" i="1"/>
  <c r="Q1119" i="1"/>
  <c r="X1094" i="1"/>
  <c r="Q1094" i="1"/>
  <c r="X1080" i="1"/>
  <c r="Q1080" i="1"/>
  <c r="X1039" i="1"/>
  <c r="Q1039" i="1"/>
  <c r="X1024" i="1"/>
  <c r="Q1024" i="1"/>
  <c r="U794" i="1"/>
  <c r="V794" i="1"/>
  <c r="W794" i="1" s="1"/>
  <c r="T794" i="1"/>
  <c r="X803" i="1" l="1"/>
  <c r="Q803" i="1"/>
  <c r="U1024" i="1"/>
  <c r="V1024" i="1"/>
  <c r="W1024" i="1" s="1"/>
  <c r="T1024" i="1"/>
  <c r="U1039" i="1"/>
  <c r="V1039" i="1"/>
  <c r="W1039" i="1" s="1"/>
  <c r="T1039" i="1"/>
  <c r="U1080" i="1"/>
  <c r="V1080" i="1"/>
  <c r="W1080" i="1" s="1"/>
  <c r="T1080" i="1"/>
  <c r="U1094" i="1"/>
  <c r="V1094" i="1"/>
  <c r="W1094" i="1" s="1"/>
  <c r="T1094" i="1"/>
  <c r="U1119" i="1"/>
  <c r="V1119" i="1"/>
  <c r="W1119" i="1" s="1"/>
  <c r="T1119" i="1"/>
  <c r="U1135" i="1"/>
  <c r="V1135" i="1"/>
  <c r="W1135" i="1" s="1"/>
  <c r="T1135" i="1"/>
  <c r="U872" i="1"/>
  <c r="V872" i="1"/>
  <c r="W872" i="1" s="1"/>
  <c r="T872" i="1"/>
  <c r="U879" i="1"/>
  <c r="V879" i="1"/>
  <c r="W879" i="1" s="1"/>
  <c r="T879" i="1"/>
  <c r="X888" i="1" l="1"/>
  <c r="Q888" i="1"/>
  <c r="X881" i="1"/>
  <c r="Q881" i="1"/>
  <c r="X1144" i="1"/>
  <c r="Q1144" i="1"/>
  <c r="X1128" i="1"/>
  <c r="Q1128" i="1"/>
  <c r="X1103" i="1"/>
  <c r="Q1103" i="1"/>
  <c r="X1089" i="1"/>
  <c r="Q1089" i="1"/>
  <c r="X1048" i="1"/>
  <c r="Q1048" i="1"/>
  <c r="X1033" i="1"/>
  <c r="Q1033" i="1"/>
  <c r="U803" i="1"/>
  <c r="V803" i="1"/>
  <c r="W803" i="1" s="1"/>
  <c r="T803" i="1"/>
  <c r="X812" i="1" l="1"/>
  <c r="Q812" i="1"/>
  <c r="U1033" i="1"/>
  <c r="V1033" i="1"/>
  <c r="W1033" i="1" s="1"/>
  <c r="T1033" i="1"/>
  <c r="U1048" i="1"/>
  <c r="V1048" i="1"/>
  <c r="W1048" i="1" s="1"/>
  <c r="T1048" i="1"/>
  <c r="U1089" i="1"/>
  <c r="V1089" i="1"/>
  <c r="W1089" i="1" s="1"/>
  <c r="T1089" i="1"/>
  <c r="U1103" i="1"/>
  <c r="V1103" i="1"/>
  <c r="W1103" i="1" s="1"/>
  <c r="T1103" i="1"/>
  <c r="U1128" i="1"/>
  <c r="V1128" i="1"/>
  <c r="W1128" i="1" s="1"/>
  <c r="T1128" i="1"/>
  <c r="U1144" i="1"/>
  <c r="V1144" i="1"/>
  <c r="W1144" i="1" s="1"/>
  <c r="T1144" i="1"/>
  <c r="U881" i="1"/>
  <c r="V881" i="1"/>
  <c r="W881" i="1" s="1"/>
  <c r="T881" i="1"/>
  <c r="U888" i="1"/>
  <c r="V888" i="1"/>
  <c r="W888" i="1" s="1"/>
  <c r="T888" i="1"/>
  <c r="X897" i="1" l="1"/>
  <c r="Q897" i="1"/>
  <c r="X890" i="1"/>
  <c r="Q890" i="1"/>
  <c r="X1153" i="1"/>
  <c r="Q1153" i="1"/>
  <c r="X1137" i="1"/>
  <c r="Q1137" i="1"/>
  <c r="X1112" i="1"/>
  <c r="Q1112" i="1"/>
  <c r="X1098" i="1"/>
  <c r="Q1098" i="1"/>
  <c r="X1057" i="1"/>
  <c r="Q1057" i="1"/>
  <c r="X1042" i="1"/>
  <c r="Q1042" i="1"/>
  <c r="U812" i="1"/>
  <c r="V812" i="1"/>
  <c r="W812" i="1" s="1"/>
  <c r="T812" i="1"/>
  <c r="X821" i="1" l="1"/>
  <c r="Q821" i="1"/>
  <c r="U1042" i="1"/>
  <c r="V1042" i="1"/>
  <c r="W1042" i="1" s="1"/>
  <c r="T1042" i="1"/>
  <c r="U1057" i="1"/>
  <c r="V1057" i="1"/>
  <c r="W1057" i="1" s="1"/>
  <c r="T1057" i="1"/>
  <c r="U1098" i="1"/>
  <c r="V1098" i="1"/>
  <c r="W1098" i="1" s="1"/>
  <c r="T1098" i="1"/>
  <c r="U1112" i="1"/>
  <c r="V1112" i="1"/>
  <c r="W1112" i="1" s="1"/>
  <c r="T1112" i="1"/>
  <c r="U1137" i="1"/>
  <c r="V1137" i="1"/>
  <c r="W1137" i="1" s="1"/>
  <c r="T1137" i="1"/>
  <c r="U1153" i="1"/>
  <c r="V1153" i="1"/>
  <c r="W1153" i="1" s="1"/>
  <c r="T1153" i="1"/>
  <c r="U890" i="1"/>
  <c r="V890" i="1"/>
  <c r="W890" i="1" s="1"/>
  <c r="T890" i="1"/>
  <c r="U897" i="1"/>
  <c r="V897" i="1"/>
  <c r="W897" i="1" s="1"/>
  <c r="T897" i="1"/>
  <c r="X906" i="1" l="1"/>
  <c r="Q906" i="1"/>
  <c r="X899" i="1"/>
  <c r="Q899" i="1"/>
  <c r="X1162" i="1"/>
  <c r="Q1162" i="1"/>
  <c r="X1146" i="1"/>
  <c r="Q1146" i="1"/>
  <c r="X1121" i="1"/>
  <c r="Q1121" i="1"/>
  <c r="X1107" i="1"/>
  <c r="Q1107" i="1"/>
  <c r="X1066" i="1"/>
  <c r="Q1066" i="1"/>
  <c r="X1051" i="1"/>
  <c r="Q1051" i="1"/>
  <c r="U821" i="1"/>
  <c r="V821" i="1"/>
  <c r="W821" i="1" s="1"/>
  <c r="T821" i="1"/>
  <c r="X830" i="1" l="1"/>
  <c r="Q830" i="1"/>
  <c r="U1051" i="1"/>
  <c r="V1051" i="1"/>
  <c r="W1051" i="1" s="1"/>
  <c r="T1051" i="1"/>
  <c r="U1066" i="1"/>
  <c r="V1066" i="1"/>
  <c r="W1066" i="1" s="1"/>
  <c r="T1066" i="1"/>
  <c r="U1107" i="1"/>
  <c r="V1107" i="1"/>
  <c r="W1107" i="1" s="1"/>
  <c r="T1107" i="1"/>
  <c r="U1121" i="1"/>
  <c r="V1121" i="1"/>
  <c r="W1121" i="1" s="1"/>
  <c r="T1121" i="1"/>
  <c r="U1146" i="1"/>
  <c r="V1146" i="1"/>
  <c r="W1146" i="1" s="1"/>
  <c r="T1146" i="1"/>
  <c r="U1162" i="1"/>
  <c r="V1162" i="1"/>
  <c r="W1162" i="1" s="1"/>
  <c r="T1162" i="1"/>
  <c r="U899" i="1"/>
  <c r="V899" i="1"/>
  <c r="W899" i="1" s="1"/>
  <c r="T899" i="1"/>
  <c r="U906" i="1"/>
  <c r="V906" i="1"/>
  <c r="W906" i="1" s="1"/>
  <c r="T906" i="1"/>
  <c r="X915" i="1" l="1"/>
  <c r="Q915" i="1"/>
  <c r="X908" i="1"/>
  <c r="Q908" i="1"/>
  <c r="X1171" i="1"/>
  <c r="Q1171" i="1"/>
  <c r="X1155" i="1"/>
  <c r="Q1155" i="1"/>
  <c r="X1130" i="1"/>
  <c r="Q1130" i="1"/>
  <c r="X1116" i="1"/>
  <c r="Q1116" i="1"/>
  <c r="X1075" i="1"/>
  <c r="Q1075" i="1"/>
  <c r="X1060" i="1"/>
  <c r="Q1060" i="1"/>
  <c r="U830" i="1"/>
  <c r="V830" i="1"/>
  <c r="W830" i="1" s="1"/>
  <c r="T830" i="1"/>
  <c r="X839" i="1" l="1"/>
  <c r="Q839" i="1"/>
  <c r="U1060" i="1"/>
  <c r="V1060" i="1"/>
  <c r="W1060" i="1" s="1"/>
  <c r="T1060" i="1"/>
  <c r="U1075" i="1"/>
  <c r="V1075" i="1"/>
  <c r="W1075" i="1" s="1"/>
  <c r="T1075" i="1"/>
  <c r="U1116" i="1"/>
  <c r="V1116" i="1"/>
  <c r="W1116" i="1" s="1"/>
  <c r="T1116" i="1"/>
  <c r="U1130" i="1"/>
  <c r="V1130" i="1"/>
  <c r="W1130" i="1" s="1"/>
  <c r="T1130" i="1"/>
  <c r="U1155" i="1"/>
  <c r="V1155" i="1"/>
  <c r="W1155" i="1" s="1"/>
  <c r="T1155" i="1"/>
  <c r="U1171" i="1"/>
  <c r="V1171" i="1"/>
  <c r="W1171" i="1" s="1"/>
  <c r="T1171" i="1"/>
  <c r="U908" i="1"/>
  <c r="V908" i="1"/>
  <c r="W908" i="1" s="1"/>
  <c r="T908" i="1"/>
  <c r="U915" i="1"/>
  <c r="V915" i="1"/>
  <c r="W915" i="1" s="1"/>
  <c r="T915" i="1"/>
  <c r="X924" i="1" l="1"/>
  <c r="Q924" i="1"/>
  <c r="X917" i="1"/>
  <c r="Q917" i="1"/>
  <c r="X1180" i="1"/>
  <c r="Q1180" i="1"/>
  <c r="X1164" i="1"/>
  <c r="Q1164" i="1"/>
  <c r="X1139" i="1"/>
  <c r="Q1139" i="1"/>
  <c r="X1125" i="1"/>
  <c r="Q1125" i="1"/>
  <c r="X1084" i="1"/>
  <c r="Q1084" i="1"/>
  <c r="X1069" i="1"/>
  <c r="Q1069" i="1"/>
  <c r="U839" i="1"/>
  <c r="V839" i="1"/>
  <c r="W839" i="1" s="1"/>
  <c r="T839" i="1"/>
  <c r="X848" i="1" l="1"/>
  <c r="Q848" i="1"/>
  <c r="U1069" i="1"/>
  <c r="V1069" i="1"/>
  <c r="W1069" i="1" s="1"/>
  <c r="T1069" i="1"/>
  <c r="U1084" i="1"/>
  <c r="V1084" i="1"/>
  <c r="W1084" i="1" s="1"/>
  <c r="T1084" i="1"/>
  <c r="U1125" i="1"/>
  <c r="V1125" i="1"/>
  <c r="W1125" i="1" s="1"/>
  <c r="T1125" i="1"/>
  <c r="U1139" i="1"/>
  <c r="V1139" i="1"/>
  <c r="W1139" i="1" s="1"/>
  <c r="T1139" i="1"/>
  <c r="U1164" i="1"/>
  <c r="V1164" i="1"/>
  <c r="W1164" i="1" s="1"/>
  <c r="T1164" i="1"/>
  <c r="U1180" i="1"/>
  <c r="V1180" i="1"/>
  <c r="W1180" i="1" s="1"/>
  <c r="T1180" i="1"/>
  <c r="U917" i="1"/>
  <c r="V917" i="1"/>
  <c r="W917" i="1" s="1"/>
  <c r="T917" i="1"/>
  <c r="U924" i="1"/>
  <c r="V924" i="1"/>
  <c r="W924" i="1" s="1"/>
  <c r="T924" i="1"/>
  <c r="X933" i="1" l="1"/>
  <c r="Q933" i="1"/>
  <c r="X926" i="1"/>
  <c r="Q926" i="1"/>
  <c r="X1189" i="1"/>
  <c r="Q1189" i="1"/>
  <c r="X1173" i="1"/>
  <c r="Q1173" i="1"/>
  <c r="X1148" i="1"/>
  <c r="Q1148" i="1"/>
  <c r="X1134" i="1"/>
  <c r="Q1134" i="1"/>
  <c r="X1093" i="1"/>
  <c r="Q1093" i="1"/>
  <c r="X1078" i="1"/>
  <c r="Q1078" i="1"/>
  <c r="U848" i="1"/>
  <c r="V848" i="1"/>
  <c r="W848" i="1" s="1"/>
  <c r="T848" i="1"/>
  <c r="X857" i="1" l="1"/>
  <c r="Q857" i="1"/>
  <c r="U1078" i="1"/>
  <c r="V1078" i="1"/>
  <c r="W1078" i="1" s="1"/>
  <c r="T1078" i="1"/>
  <c r="U1093" i="1"/>
  <c r="V1093" i="1"/>
  <c r="W1093" i="1" s="1"/>
  <c r="T1093" i="1"/>
  <c r="U1134" i="1"/>
  <c r="V1134" i="1"/>
  <c r="W1134" i="1" s="1"/>
  <c r="T1134" i="1"/>
  <c r="U1148" i="1"/>
  <c r="V1148" i="1"/>
  <c r="W1148" i="1" s="1"/>
  <c r="T1148" i="1"/>
  <c r="U1173" i="1"/>
  <c r="V1173" i="1"/>
  <c r="W1173" i="1" s="1"/>
  <c r="T1173" i="1"/>
  <c r="U1189" i="1"/>
  <c r="V1189" i="1"/>
  <c r="W1189" i="1" s="1"/>
  <c r="T1189" i="1"/>
  <c r="U926" i="1"/>
  <c r="V926" i="1"/>
  <c r="W926" i="1" s="1"/>
  <c r="T926" i="1"/>
  <c r="U933" i="1"/>
  <c r="V933" i="1"/>
  <c r="W933" i="1" s="1"/>
  <c r="T933" i="1"/>
  <c r="X942" i="1" l="1"/>
  <c r="Q942" i="1"/>
  <c r="X935" i="1"/>
  <c r="Q935" i="1"/>
  <c r="X1198" i="1"/>
  <c r="Q1198" i="1"/>
  <c r="X1182" i="1"/>
  <c r="Q1182" i="1"/>
  <c r="X1157" i="1"/>
  <c r="Q1157" i="1"/>
  <c r="X1143" i="1"/>
  <c r="Q1143" i="1"/>
  <c r="X1102" i="1"/>
  <c r="Q1102" i="1"/>
  <c r="X1087" i="1"/>
  <c r="Q1087" i="1"/>
  <c r="U857" i="1"/>
  <c r="V857" i="1"/>
  <c r="W857" i="1" s="1"/>
  <c r="T857" i="1"/>
  <c r="X866" i="1" l="1"/>
  <c r="Q866" i="1"/>
  <c r="U1087" i="1"/>
  <c r="V1087" i="1"/>
  <c r="W1087" i="1" s="1"/>
  <c r="T1087" i="1"/>
  <c r="U1102" i="1"/>
  <c r="V1102" i="1"/>
  <c r="W1102" i="1" s="1"/>
  <c r="T1102" i="1"/>
  <c r="U1143" i="1"/>
  <c r="V1143" i="1"/>
  <c r="W1143" i="1" s="1"/>
  <c r="T1143" i="1"/>
  <c r="U1157" i="1"/>
  <c r="V1157" i="1"/>
  <c r="W1157" i="1" s="1"/>
  <c r="T1157" i="1"/>
  <c r="U1182" i="1"/>
  <c r="V1182" i="1"/>
  <c r="W1182" i="1" s="1"/>
  <c r="T1182" i="1"/>
  <c r="U1198" i="1"/>
  <c r="V1198" i="1"/>
  <c r="W1198" i="1" s="1"/>
  <c r="T1198" i="1"/>
  <c r="U935" i="1"/>
  <c r="V935" i="1"/>
  <c r="W935" i="1" s="1"/>
  <c r="T935" i="1"/>
  <c r="U942" i="1"/>
  <c r="V942" i="1"/>
  <c r="W942" i="1" s="1"/>
  <c r="T942" i="1"/>
  <c r="X951" i="1" l="1"/>
  <c r="Q951" i="1"/>
  <c r="X944" i="1"/>
  <c r="Q944" i="1"/>
  <c r="X1207" i="1"/>
  <c r="Q1207" i="1"/>
  <c r="X1191" i="1"/>
  <c r="Q1191" i="1"/>
  <c r="X1166" i="1"/>
  <c r="Q1166" i="1"/>
  <c r="X1152" i="1"/>
  <c r="Q1152" i="1"/>
  <c r="X1111" i="1"/>
  <c r="Q1111" i="1"/>
  <c r="X1096" i="1"/>
  <c r="Q1096" i="1"/>
  <c r="U866" i="1"/>
  <c r="V866" i="1"/>
  <c r="W866" i="1" s="1"/>
  <c r="T866" i="1"/>
  <c r="X875" i="1" l="1"/>
  <c r="Q875" i="1"/>
  <c r="U1096" i="1"/>
  <c r="V1096" i="1"/>
  <c r="W1096" i="1" s="1"/>
  <c r="T1096" i="1"/>
  <c r="U1111" i="1"/>
  <c r="V1111" i="1"/>
  <c r="W1111" i="1" s="1"/>
  <c r="T1111" i="1"/>
  <c r="U1152" i="1"/>
  <c r="V1152" i="1"/>
  <c r="W1152" i="1" s="1"/>
  <c r="T1152" i="1"/>
  <c r="U1166" i="1"/>
  <c r="V1166" i="1"/>
  <c r="W1166" i="1" s="1"/>
  <c r="T1166" i="1"/>
  <c r="U1191" i="1"/>
  <c r="V1191" i="1"/>
  <c r="W1191" i="1" s="1"/>
  <c r="T1191" i="1"/>
  <c r="U1207" i="1"/>
  <c r="V1207" i="1"/>
  <c r="W1207" i="1" s="1"/>
  <c r="T1207" i="1"/>
  <c r="U944" i="1"/>
  <c r="V944" i="1"/>
  <c r="W944" i="1" s="1"/>
  <c r="T944" i="1"/>
  <c r="U951" i="1"/>
  <c r="V951" i="1"/>
  <c r="W951" i="1" s="1"/>
  <c r="T951" i="1"/>
  <c r="X960" i="1" l="1"/>
  <c r="Q960" i="1"/>
  <c r="X953" i="1"/>
  <c r="Q953" i="1"/>
  <c r="X1216" i="1"/>
  <c r="Q1216" i="1"/>
  <c r="X1200" i="1"/>
  <c r="Q1200" i="1"/>
  <c r="X1175" i="1"/>
  <c r="Q1175" i="1"/>
  <c r="X1161" i="1"/>
  <c r="Q1161" i="1"/>
  <c r="X1120" i="1"/>
  <c r="Q1120" i="1"/>
  <c r="X1105" i="1"/>
  <c r="Q1105" i="1"/>
  <c r="U875" i="1"/>
  <c r="V875" i="1"/>
  <c r="W875" i="1" s="1"/>
  <c r="T875" i="1"/>
  <c r="X884" i="1" l="1"/>
  <c r="Q884" i="1"/>
  <c r="U1105" i="1"/>
  <c r="V1105" i="1"/>
  <c r="W1105" i="1" s="1"/>
  <c r="T1105" i="1"/>
  <c r="U1120" i="1"/>
  <c r="V1120" i="1"/>
  <c r="W1120" i="1" s="1"/>
  <c r="T1120" i="1"/>
  <c r="U1161" i="1"/>
  <c r="V1161" i="1"/>
  <c r="W1161" i="1" s="1"/>
  <c r="T1161" i="1"/>
  <c r="U1175" i="1"/>
  <c r="V1175" i="1"/>
  <c r="W1175" i="1" s="1"/>
  <c r="T1175" i="1"/>
  <c r="U1200" i="1"/>
  <c r="V1200" i="1"/>
  <c r="W1200" i="1" s="1"/>
  <c r="T1200" i="1"/>
  <c r="U1216" i="1"/>
  <c r="V1216" i="1"/>
  <c r="W1216" i="1" s="1"/>
  <c r="T1216" i="1"/>
  <c r="U953" i="1"/>
  <c r="V953" i="1"/>
  <c r="W953" i="1" s="1"/>
  <c r="T953" i="1"/>
  <c r="U960" i="1"/>
  <c r="V960" i="1"/>
  <c r="W960" i="1" s="1"/>
  <c r="T960" i="1"/>
  <c r="X969" i="1" l="1"/>
  <c r="Q969" i="1"/>
  <c r="X962" i="1"/>
  <c r="Q962" i="1"/>
  <c r="X1225" i="1"/>
  <c r="Q1225" i="1"/>
  <c r="X1209" i="1"/>
  <c r="Q1209" i="1"/>
  <c r="X1184" i="1"/>
  <c r="Q1184" i="1"/>
  <c r="X1170" i="1"/>
  <c r="Q1170" i="1"/>
  <c r="X1129" i="1"/>
  <c r="Q1129" i="1"/>
  <c r="X1114" i="1"/>
  <c r="Q1114" i="1"/>
  <c r="U884" i="1"/>
  <c r="V884" i="1"/>
  <c r="W884" i="1" s="1"/>
  <c r="T884" i="1"/>
  <c r="X893" i="1" l="1"/>
  <c r="Q893" i="1"/>
  <c r="U1114" i="1"/>
  <c r="V1114" i="1"/>
  <c r="W1114" i="1" s="1"/>
  <c r="T1114" i="1"/>
  <c r="U1129" i="1"/>
  <c r="V1129" i="1"/>
  <c r="W1129" i="1" s="1"/>
  <c r="T1129" i="1"/>
  <c r="U1170" i="1"/>
  <c r="V1170" i="1"/>
  <c r="W1170" i="1" s="1"/>
  <c r="T1170" i="1"/>
  <c r="U1184" i="1"/>
  <c r="V1184" i="1"/>
  <c r="W1184" i="1" s="1"/>
  <c r="T1184" i="1"/>
  <c r="U1209" i="1"/>
  <c r="V1209" i="1"/>
  <c r="W1209" i="1" s="1"/>
  <c r="T1209" i="1"/>
  <c r="U1225" i="1"/>
  <c r="V1225" i="1"/>
  <c r="W1225" i="1" s="1"/>
  <c r="T1225" i="1"/>
  <c r="U962" i="1"/>
  <c r="V962" i="1"/>
  <c r="W962" i="1" s="1"/>
  <c r="T962" i="1"/>
  <c r="U969" i="1"/>
  <c r="V969" i="1"/>
  <c r="W969" i="1" s="1"/>
  <c r="T969" i="1"/>
  <c r="X978" i="1" l="1"/>
  <c r="Q978" i="1"/>
  <c r="X971" i="1"/>
  <c r="Q971" i="1"/>
  <c r="X1234" i="1"/>
  <c r="Q1234" i="1"/>
  <c r="X1218" i="1"/>
  <c r="Q1218" i="1"/>
  <c r="X1193" i="1"/>
  <c r="Q1193" i="1"/>
  <c r="X1179" i="1"/>
  <c r="Q1179" i="1"/>
  <c r="X1138" i="1"/>
  <c r="Q1138" i="1"/>
  <c r="X1123" i="1"/>
  <c r="Q1123" i="1"/>
  <c r="U893" i="1"/>
  <c r="V893" i="1"/>
  <c r="W893" i="1" s="1"/>
  <c r="T893" i="1"/>
  <c r="X902" i="1" l="1"/>
  <c r="Q902" i="1"/>
  <c r="U1123" i="1"/>
  <c r="V1123" i="1"/>
  <c r="W1123" i="1" s="1"/>
  <c r="T1123" i="1"/>
  <c r="U1138" i="1"/>
  <c r="V1138" i="1"/>
  <c r="W1138" i="1" s="1"/>
  <c r="T1138" i="1"/>
  <c r="U1179" i="1"/>
  <c r="V1179" i="1"/>
  <c r="W1179" i="1" s="1"/>
  <c r="T1179" i="1"/>
  <c r="U1193" i="1"/>
  <c r="V1193" i="1"/>
  <c r="W1193" i="1" s="1"/>
  <c r="T1193" i="1"/>
  <c r="U1218" i="1"/>
  <c r="V1218" i="1"/>
  <c r="W1218" i="1" s="1"/>
  <c r="T1218" i="1"/>
  <c r="U1234" i="1"/>
  <c r="V1234" i="1"/>
  <c r="W1234" i="1" s="1"/>
  <c r="T1234" i="1"/>
  <c r="U971" i="1"/>
  <c r="V971" i="1"/>
  <c r="W971" i="1" s="1"/>
  <c r="T971" i="1"/>
  <c r="U978" i="1"/>
  <c r="V978" i="1"/>
  <c r="W978" i="1" s="1"/>
  <c r="T978" i="1"/>
  <c r="X987" i="1" l="1"/>
  <c r="Q987" i="1"/>
  <c r="X980" i="1"/>
  <c r="Q980" i="1"/>
  <c r="X1243" i="1"/>
  <c r="Q1243" i="1"/>
  <c r="X1227" i="1"/>
  <c r="Q1227" i="1"/>
  <c r="X1202" i="1"/>
  <c r="Q1202" i="1"/>
  <c r="X1188" i="1"/>
  <c r="Q1188" i="1"/>
  <c r="X1147" i="1"/>
  <c r="Q1147" i="1"/>
  <c r="X1132" i="1"/>
  <c r="Q1132" i="1"/>
  <c r="U902" i="1"/>
  <c r="V902" i="1"/>
  <c r="W902" i="1" s="1"/>
  <c r="T902" i="1"/>
  <c r="X911" i="1" l="1"/>
  <c r="Q911" i="1"/>
  <c r="U1132" i="1"/>
  <c r="V1132" i="1"/>
  <c r="W1132" i="1" s="1"/>
  <c r="T1132" i="1"/>
  <c r="U1147" i="1"/>
  <c r="V1147" i="1"/>
  <c r="W1147" i="1" s="1"/>
  <c r="T1147" i="1"/>
  <c r="U1188" i="1"/>
  <c r="V1188" i="1"/>
  <c r="W1188" i="1" s="1"/>
  <c r="T1188" i="1"/>
  <c r="U1202" i="1"/>
  <c r="V1202" i="1"/>
  <c r="W1202" i="1" s="1"/>
  <c r="T1202" i="1"/>
  <c r="U1227" i="1"/>
  <c r="V1227" i="1"/>
  <c r="W1227" i="1" s="1"/>
  <c r="T1227" i="1"/>
  <c r="U1243" i="1"/>
  <c r="V1243" i="1"/>
  <c r="W1243" i="1" s="1"/>
  <c r="T1243" i="1"/>
  <c r="U980" i="1"/>
  <c r="V980" i="1"/>
  <c r="W980" i="1" s="1"/>
  <c r="T980" i="1"/>
  <c r="U987" i="1"/>
  <c r="V987" i="1"/>
  <c r="W987" i="1" s="1"/>
  <c r="T987" i="1"/>
  <c r="X996" i="1" l="1"/>
  <c r="Q996" i="1"/>
  <c r="X989" i="1"/>
  <c r="Q989" i="1"/>
  <c r="X1252" i="1"/>
  <c r="Q1252" i="1"/>
  <c r="X1236" i="1"/>
  <c r="Q1236" i="1"/>
  <c r="X1211" i="1"/>
  <c r="Q1211" i="1"/>
  <c r="X1197" i="1"/>
  <c r="Q1197" i="1"/>
  <c r="X1156" i="1"/>
  <c r="Q1156" i="1"/>
  <c r="X1141" i="1"/>
  <c r="Q1141" i="1"/>
  <c r="U911" i="1"/>
  <c r="V911" i="1"/>
  <c r="W911" i="1" s="1"/>
  <c r="T911" i="1"/>
  <c r="X920" i="1" l="1"/>
  <c r="Q920" i="1"/>
  <c r="U1141" i="1"/>
  <c r="V1141" i="1"/>
  <c r="W1141" i="1" s="1"/>
  <c r="T1141" i="1"/>
  <c r="U1156" i="1"/>
  <c r="V1156" i="1"/>
  <c r="W1156" i="1" s="1"/>
  <c r="T1156" i="1"/>
  <c r="U1197" i="1"/>
  <c r="V1197" i="1"/>
  <c r="W1197" i="1" s="1"/>
  <c r="T1197" i="1"/>
  <c r="U1211" i="1"/>
  <c r="V1211" i="1"/>
  <c r="W1211" i="1" s="1"/>
  <c r="T1211" i="1"/>
  <c r="U1236" i="1"/>
  <c r="V1236" i="1"/>
  <c r="W1236" i="1" s="1"/>
  <c r="T1236" i="1"/>
  <c r="U1252" i="1"/>
  <c r="V1252" i="1"/>
  <c r="W1252" i="1" s="1"/>
  <c r="T1252" i="1"/>
  <c r="U989" i="1"/>
  <c r="V989" i="1"/>
  <c r="W989" i="1" s="1"/>
  <c r="T989" i="1"/>
  <c r="U996" i="1"/>
  <c r="V996" i="1"/>
  <c r="W996" i="1" s="1"/>
  <c r="T996" i="1"/>
  <c r="X1005" i="1" l="1"/>
  <c r="Q1005" i="1"/>
  <c r="X998" i="1"/>
  <c r="Q998" i="1"/>
  <c r="X1261" i="1"/>
  <c r="Q1261" i="1"/>
  <c r="X1245" i="1"/>
  <c r="Q1245" i="1"/>
  <c r="X1220" i="1"/>
  <c r="Q1220" i="1"/>
  <c r="X1206" i="1"/>
  <c r="Q1206" i="1"/>
  <c r="X1165" i="1"/>
  <c r="Q1165" i="1"/>
  <c r="X1150" i="1"/>
  <c r="Q1150" i="1"/>
  <c r="U920" i="1"/>
  <c r="V920" i="1"/>
  <c r="W920" i="1" s="1"/>
  <c r="T920" i="1"/>
  <c r="X929" i="1" l="1"/>
  <c r="Q929" i="1"/>
  <c r="U1150" i="1"/>
  <c r="V1150" i="1"/>
  <c r="W1150" i="1" s="1"/>
  <c r="T1150" i="1"/>
  <c r="U1165" i="1"/>
  <c r="V1165" i="1"/>
  <c r="W1165" i="1" s="1"/>
  <c r="T1165" i="1"/>
  <c r="U1206" i="1"/>
  <c r="V1206" i="1"/>
  <c r="W1206" i="1" s="1"/>
  <c r="T1206" i="1"/>
  <c r="U1220" i="1"/>
  <c r="V1220" i="1"/>
  <c r="W1220" i="1" s="1"/>
  <c r="T1220" i="1"/>
  <c r="U1245" i="1"/>
  <c r="V1245" i="1"/>
  <c r="W1245" i="1" s="1"/>
  <c r="T1245" i="1"/>
  <c r="U1261" i="1"/>
  <c r="V1261" i="1"/>
  <c r="W1261" i="1" s="1"/>
  <c r="T1261" i="1"/>
  <c r="U998" i="1"/>
  <c r="V998" i="1"/>
  <c r="W998" i="1" s="1"/>
  <c r="T998" i="1"/>
  <c r="U1005" i="1"/>
  <c r="V1005" i="1"/>
  <c r="W1005" i="1" s="1"/>
  <c r="T1005" i="1"/>
  <c r="X1014" i="1" l="1"/>
  <c r="Q1014" i="1"/>
  <c r="X1007" i="1"/>
  <c r="Q1007" i="1"/>
  <c r="X1270" i="1"/>
  <c r="Q1270" i="1"/>
  <c r="X1254" i="1"/>
  <c r="Q1254" i="1"/>
  <c r="X1229" i="1"/>
  <c r="Q1229" i="1"/>
  <c r="X1215" i="1"/>
  <c r="Q1215" i="1"/>
  <c r="X1174" i="1"/>
  <c r="Q1174" i="1"/>
  <c r="X1159" i="1"/>
  <c r="Q1159" i="1"/>
  <c r="U929" i="1"/>
  <c r="V929" i="1"/>
  <c r="W929" i="1" s="1"/>
  <c r="T929" i="1"/>
  <c r="X938" i="1" l="1"/>
  <c r="Q938" i="1"/>
  <c r="U1159" i="1"/>
  <c r="V1159" i="1"/>
  <c r="W1159" i="1" s="1"/>
  <c r="T1159" i="1"/>
  <c r="U1174" i="1"/>
  <c r="V1174" i="1"/>
  <c r="W1174" i="1" s="1"/>
  <c r="T1174" i="1"/>
  <c r="U1215" i="1"/>
  <c r="V1215" i="1"/>
  <c r="W1215" i="1" s="1"/>
  <c r="T1215" i="1"/>
  <c r="U1229" i="1"/>
  <c r="V1229" i="1"/>
  <c r="W1229" i="1" s="1"/>
  <c r="T1229" i="1"/>
  <c r="U1254" i="1"/>
  <c r="V1254" i="1"/>
  <c r="W1254" i="1" s="1"/>
  <c r="T1254" i="1"/>
  <c r="U1270" i="1"/>
  <c r="V1270" i="1"/>
  <c r="W1270" i="1" s="1"/>
  <c r="T1270" i="1"/>
  <c r="U1007" i="1"/>
  <c r="V1007" i="1"/>
  <c r="W1007" i="1" s="1"/>
  <c r="T1007" i="1"/>
  <c r="U1014" i="1"/>
  <c r="V1014" i="1"/>
  <c r="W1014" i="1" s="1"/>
  <c r="T1014" i="1"/>
  <c r="X1023" i="1" l="1"/>
  <c r="Q1023" i="1"/>
  <c r="X1016" i="1"/>
  <c r="Q1016" i="1"/>
  <c r="X1279" i="1"/>
  <c r="Q1279" i="1"/>
  <c r="X1263" i="1"/>
  <c r="Q1263" i="1"/>
  <c r="X1238" i="1"/>
  <c r="Q1238" i="1"/>
  <c r="X1224" i="1"/>
  <c r="Q1224" i="1"/>
  <c r="X1183" i="1"/>
  <c r="Q1183" i="1"/>
  <c r="X1168" i="1"/>
  <c r="Q1168" i="1"/>
  <c r="U938" i="1"/>
  <c r="V938" i="1"/>
  <c r="W938" i="1" s="1"/>
  <c r="T938" i="1"/>
  <c r="X947" i="1" l="1"/>
  <c r="Q947" i="1"/>
  <c r="U1168" i="1"/>
  <c r="V1168" i="1"/>
  <c r="W1168" i="1" s="1"/>
  <c r="T1168" i="1"/>
  <c r="U1183" i="1"/>
  <c r="V1183" i="1"/>
  <c r="W1183" i="1" s="1"/>
  <c r="T1183" i="1"/>
  <c r="U1224" i="1"/>
  <c r="V1224" i="1"/>
  <c r="W1224" i="1" s="1"/>
  <c r="T1224" i="1"/>
  <c r="U1238" i="1"/>
  <c r="V1238" i="1"/>
  <c r="W1238" i="1" s="1"/>
  <c r="T1238" i="1"/>
  <c r="U1263" i="1"/>
  <c r="V1263" i="1"/>
  <c r="W1263" i="1" s="1"/>
  <c r="T1263" i="1"/>
  <c r="U1279" i="1"/>
  <c r="V1279" i="1"/>
  <c r="W1279" i="1" s="1"/>
  <c r="T1279" i="1"/>
  <c r="U1016" i="1"/>
  <c r="V1016" i="1"/>
  <c r="W1016" i="1" s="1"/>
  <c r="T1016" i="1"/>
  <c r="U1023" i="1"/>
  <c r="V1023" i="1"/>
  <c r="W1023" i="1" s="1"/>
  <c r="T1023" i="1"/>
  <c r="X1032" i="1" l="1"/>
  <c r="Q1032" i="1"/>
  <c r="X1025" i="1"/>
  <c r="Q1025" i="1"/>
  <c r="X1288" i="1"/>
  <c r="Q1288" i="1"/>
  <c r="X1272" i="1"/>
  <c r="Q1272" i="1"/>
  <c r="X1247" i="1"/>
  <c r="Q1247" i="1"/>
  <c r="X1233" i="1"/>
  <c r="Q1233" i="1"/>
  <c r="X1192" i="1"/>
  <c r="Q1192" i="1"/>
  <c r="X1177" i="1"/>
  <c r="Q1177" i="1"/>
  <c r="U947" i="1"/>
  <c r="V947" i="1"/>
  <c r="W947" i="1" s="1"/>
  <c r="T947" i="1"/>
  <c r="X956" i="1" l="1"/>
  <c r="Q956" i="1"/>
  <c r="U1177" i="1"/>
  <c r="V1177" i="1"/>
  <c r="W1177" i="1" s="1"/>
  <c r="T1177" i="1"/>
  <c r="U1192" i="1"/>
  <c r="V1192" i="1"/>
  <c r="W1192" i="1" s="1"/>
  <c r="T1192" i="1"/>
  <c r="U1233" i="1"/>
  <c r="V1233" i="1"/>
  <c r="W1233" i="1" s="1"/>
  <c r="T1233" i="1"/>
  <c r="U1247" i="1"/>
  <c r="V1247" i="1"/>
  <c r="W1247" i="1" s="1"/>
  <c r="T1247" i="1"/>
  <c r="U1272" i="1"/>
  <c r="V1272" i="1"/>
  <c r="W1272" i="1" s="1"/>
  <c r="T1272" i="1"/>
  <c r="U1288" i="1"/>
  <c r="V1288" i="1"/>
  <c r="W1288" i="1" s="1"/>
  <c r="T1288" i="1"/>
  <c r="U1025" i="1"/>
  <c r="V1025" i="1"/>
  <c r="W1025" i="1" s="1"/>
  <c r="T1025" i="1"/>
  <c r="U1032" i="1"/>
  <c r="V1032" i="1"/>
  <c r="W1032" i="1" s="1"/>
  <c r="T1032" i="1"/>
  <c r="X1041" i="1" l="1"/>
  <c r="Q1041" i="1"/>
  <c r="X1034" i="1"/>
  <c r="Q1034" i="1"/>
  <c r="X1297" i="1"/>
  <c r="Q1297" i="1"/>
  <c r="X1281" i="1"/>
  <c r="Q1281" i="1"/>
  <c r="X1256" i="1"/>
  <c r="Q1256" i="1"/>
  <c r="X1242" i="1"/>
  <c r="Q1242" i="1"/>
  <c r="X1201" i="1"/>
  <c r="Q1201" i="1"/>
  <c r="X1186" i="1"/>
  <c r="Q1186" i="1"/>
  <c r="U956" i="1"/>
  <c r="V956" i="1"/>
  <c r="W956" i="1" s="1"/>
  <c r="T956" i="1"/>
  <c r="X965" i="1" l="1"/>
  <c r="Q965" i="1"/>
  <c r="U1186" i="1"/>
  <c r="V1186" i="1"/>
  <c r="W1186" i="1" s="1"/>
  <c r="T1186" i="1"/>
  <c r="U1201" i="1"/>
  <c r="V1201" i="1"/>
  <c r="W1201" i="1" s="1"/>
  <c r="T1201" i="1"/>
  <c r="U1242" i="1"/>
  <c r="V1242" i="1"/>
  <c r="W1242" i="1" s="1"/>
  <c r="T1242" i="1"/>
  <c r="U1256" i="1"/>
  <c r="V1256" i="1"/>
  <c r="W1256" i="1" s="1"/>
  <c r="T1256" i="1"/>
  <c r="U1281" i="1"/>
  <c r="V1281" i="1"/>
  <c r="W1281" i="1" s="1"/>
  <c r="T1281" i="1"/>
  <c r="U1297" i="1"/>
  <c r="V1297" i="1"/>
  <c r="W1297" i="1" s="1"/>
  <c r="T1297" i="1"/>
  <c r="U1034" i="1"/>
  <c r="V1034" i="1"/>
  <c r="W1034" i="1" s="1"/>
  <c r="T1034" i="1"/>
  <c r="U1041" i="1"/>
  <c r="V1041" i="1"/>
  <c r="W1041" i="1" s="1"/>
  <c r="T1041" i="1"/>
  <c r="X1050" i="1" l="1"/>
  <c r="Q1050" i="1"/>
  <c r="X1043" i="1"/>
  <c r="Q1043" i="1"/>
  <c r="X1306" i="1"/>
  <c r="Q1306" i="1"/>
  <c r="X1290" i="1"/>
  <c r="Q1290" i="1"/>
  <c r="X1265" i="1"/>
  <c r="Q1265" i="1"/>
  <c r="X1251" i="1"/>
  <c r="Q1251" i="1"/>
  <c r="X1210" i="1"/>
  <c r="Q1210" i="1"/>
  <c r="X1195" i="1"/>
  <c r="Q1195" i="1"/>
  <c r="U965" i="1"/>
  <c r="V965" i="1"/>
  <c r="W965" i="1" s="1"/>
  <c r="T965" i="1"/>
  <c r="X974" i="1" l="1"/>
  <c r="Q974" i="1"/>
  <c r="U1195" i="1"/>
  <c r="V1195" i="1"/>
  <c r="W1195" i="1" s="1"/>
  <c r="T1195" i="1"/>
  <c r="U1210" i="1"/>
  <c r="V1210" i="1"/>
  <c r="W1210" i="1" s="1"/>
  <c r="T1210" i="1"/>
  <c r="U1251" i="1"/>
  <c r="V1251" i="1"/>
  <c r="W1251" i="1" s="1"/>
  <c r="T1251" i="1"/>
  <c r="U1265" i="1"/>
  <c r="V1265" i="1"/>
  <c r="W1265" i="1" s="1"/>
  <c r="T1265" i="1"/>
  <c r="U1290" i="1"/>
  <c r="V1290" i="1"/>
  <c r="W1290" i="1" s="1"/>
  <c r="T1290" i="1"/>
  <c r="U1306" i="1"/>
  <c r="V1306" i="1"/>
  <c r="W1306" i="1" s="1"/>
  <c r="T1306" i="1"/>
  <c r="U1043" i="1"/>
  <c r="V1043" i="1"/>
  <c r="W1043" i="1" s="1"/>
  <c r="T1043" i="1"/>
  <c r="U1050" i="1"/>
  <c r="V1050" i="1"/>
  <c r="W1050" i="1" s="1"/>
  <c r="T1050" i="1"/>
  <c r="X1059" i="1" l="1"/>
  <c r="Q1059" i="1"/>
  <c r="X1052" i="1"/>
  <c r="Q1052" i="1"/>
  <c r="X1315" i="1"/>
  <c r="Q1315" i="1"/>
  <c r="X1299" i="1"/>
  <c r="Q1299" i="1"/>
  <c r="X1274" i="1"/>
  <c r="Q1274" i="1"/>
  <c r="X1260" i="1"/>
  <c r="Q1260" i="1"/>
  <c r="X1219" i="1"/>
  <c r="Q1219" i="1"/>
  <c r="X1204" i="1"/>
  <c r="Q1204" i="1"/>
  <c r="U974" i="1"/>
  <c r="V974" i="1"/>
  <c r="W974" i="1" s="1"/>
  <c r="T974" i="1"/>
  <c r="X983" i="1" l="1"/>
  <c r="Q983" i="1"/>
  <c r="U1204" i="1"/>
  <c r="V1204" i="1"/>
  <c r="W1204" i="1" s="1"/>
  <c r="T1204" i="1"/>
  <c r="U1219" i="1"/>
  <c r="V1219" i="1"/>
  <c r="W1219" i="1" s="1"/>
  <c r="T1219" i="1"/>
  <c r="U1260" i="1"/>
  <c r="V1260" i="1"/>
  <c r="W1260" i="1" s="1"/>
  <c r="T1260" i="1"/>
  <c r="U1274" i="1"/>
  <c r="V1274" i="1"/>
  <c r="W1274" i="1" s="1"/>
  <c r="T1274" i="1"/>
  <c r="U1299" i="1"/>
  <c r="V1299" i="1"/>
  <c r="W1299" i="1" s="1"/>
  <c r="T1299" i="1"/>
  <c r="U1315" i="1"/>
  <c r="V1315" i="1"/>
  <c r="W1315" i="1" s="1"/>
  <c r="T1315" i="1"/>
  <c r="U1052" i="1"/>
  <c r="V1052" i="1"/>
  <c r="W1052" i="1" s="1"/>
  <c r="T1052" i="1"/>
  <c r="U1059" i="1"/>
  <c r="V1059" i="1"/>
  <c r="W1059" i="1" s="1"/>
  <c r="T1059" i="1"/>
  <c r="X1068" i="1" l="1"/>
  <c r="Q1068" i="1"/>
  <c r="X1061" i="1"/>
  <c r="Q1061" i="1"/>
  <c r="X1324" i="1"/>
  <c r="Q1324" i="1"/>
  <c r="X1308" i="1"/>
  <c r="Q1308" i="1"/>
  <c r="X1283" i="1"/>
  <c r="Q1283" i="1"/>
  <c r="X1269" i="1"/>
  <c r="Q1269" i="1"/>
  <c r="X1228" i="1"/>
  <c r="Q1228" i="1"/>
  <c r="X1213" i="1"/>
  <c r="Q1213" i="1"/>
  <c r="U983" i="1"/>
  <c r="V983" i="1"/>
  <c r="W983" i="1" s="1"/>
  <c r="T983" i="1"/>
  <c r="X992" i="1" l="1"/>
  <c r="Q992" i="1"/>
  <c r="U1213" i="1"/>
  <c r="V1213" i="1"/>
  <c r="W1213" i="1" s="1"/>
  <c r="T1213" i="1"/>
  <c r="U1228" i="1"/>
  <c r="V1228" i="1"/>
  <c r="W1228" i="1" s="1"/>
  <c r="T1228" i="1"/>
  <c r="U1269" i="1"/>
  <c r="V1269" i="1"/>
  <c r="W1269" i="1" s="1"/>
  <c r="T1269" i="1"/>
  <c r="U1283" i="1"/>
  <c r="V1283" i="1"/>
  <c r="W1283" i="1" s="1"/>
  <c r="T1283" i="1"/>
  <c r="U1308" i="1"/>
  <c r="V1308" i="1"/>
  <c r="W1308" i="1" s="1"/>
  <c r="T1308" i="1"/>
  <c r="U1324" i="1"/>
  <c r="V1324" i="1"/>
  <c r="W1324" i="1" s="1"/>
  <c r="T1324" i="1"/>
  <c r="U1061" i="1"/>
  <c r="V1061" i="1"/>
  <c r="W1061" i="1" s="1"/>
  <c r="T1061" i="1"/>
  <c r="U1068" i="1"/>
  <c r="V1068" i="1"/>
  <c r="W1068" i="1" s="1"/>
  <c r="T1068" i="1"/>
  <c r="X1077" i="1" l="1"/>
  <c r="Q1077" i="1"/>
  <c r="X1070" i="1"/>
  <c r="Q1070" i="1"/>
  <c r="X1333" i="1"/>
  <c r="Q1333" i="1"/>
  <c r="X1317" i="1"/>
  <c r="Q1317" i="1"/>
  <c r="X1292" i="1"/>
  <c r="Q1292" i="1"/>
  <c r="X1278" i="1"/>
  <c r="Q1278" i="1"/>
  <c r="X1237" i="1"/>
  <c r="Q1237" i="1"/>
  <c r="X1222" i="1"/>
  <c r="Q1222" i="1"/>
  <c r="U992" i="1"/>
  <c r="V992" i="1"/>
  <c r="W992" i="1" s="1"/>
  <c r="T992" i="1"/>
  <c r="X1001" i="1" l="1"/>
  <c r="Q1001" i="1"/>
  <c r="U1222" i="1"/>
  <c r="V1222" i="1"/>
  <c r="W1222" i="1" s="1"/>
  <c r="T1222" i="1"/>
  <c r="U1237" i="1"/>
  <c r="V1237" i="1"/>
  <c r="W1237" i="1" s="1"/>
  <c r="T1237" i="1"/>
  <c r="U1278" i="1"/>
  <c r="V1278" i="1"/>
  <c r="W1278" i="1" s="1"/>
  <c r="T1278" i="1"/>
  <c r="U1292" i="1"/>
  <c r="V1292" i="1"/>
  <c r="W1292" i="1" s="1"/>
  <c r="T1292" i="1"/>
  <c r="U1317" i="1"/>
  <c r="V1317" i="1"/>
  <c r="W1317" i="1" s="1"/>
  <c r="T1317" i="1"/>
  <c r="U1333" i="1"/>
  <c r="V1333" i="1"/>
  <c r="W1333" i="1" s="1"/>
  <c r="T1333" i="1"/>
  <c r="U1070" i="1"/>
  <c r="V1070" i="1"/>
  <c r="W1070" i="1" s="1"/>
  <c r="T1070" i="1"/>
  <c r="U1077" i="1"/>
  <c r="V1077" i="1"/>
  <c r="W1077" i="1" s="1"/>
  <c r="T1077" i="1"/>
  <c r="X1086" i="1" l="1"/>
  <c r="Q1086" i="1"/>
  <c r="X1079" i="1"/>
  <c r="Q1079" i="1"/>
  <c r="X1342" i="1"/>
  <c r="Q1342" i="1"/>
  <c r="X1326" i="1"/>
  <c r="Q1326" i="1"/>
  <c r="X1301" i="1"/>
  <c r="Q1301" i="1"/>
  <c r="X1287" i="1"/>
  <c r="Q1287" i="1"/>
  <c r="X1246" i="1"/>
  <c r="Q1246" i="1"/>
  <c r="X1231" i="1"/>
  <c r="Q1231" i="1"/>
  <c r="U1001" i="1"/>
  <c r="V1001" i="1"/>
  <c r="W1001" i="1" s="1"/>
  <c r="T1001" i="1"/>
  <c r="X1010" i="1" l="1"/>
  <c r="Q1010" i="1"/>
  <c r="U1231" i="1"/>
  <c r="V1231" i="1"/>
  <c r="W1231" i="1" s="1"/>
  <c r="T1231" i="1"/>
  <c r="U1246" i="1"/>
  <c r="V1246" i="1"/>
  <c r="W1246" i="1" s="1"/>
  <c r="T1246" i="1"/>
  <c r="U1287" i="1"/>
  <c r="V1287" i="1"/>
  <c r="W1287" i="1" s="1"/>
  <c r="T1287" i="1"/>
  <c r="U1301" i="1"/>
  <c r="V1301" i="1"/>
  <c r="W1301" i="1" s="1"/>
  <c r="T1301" i="1"/>
  <c r="U1326" i="1"/>
  <c r="V1326" i="1"/>
  <c r="W1326" i="1" s="1"/>
  <c r="T1326" i="1"/>
  <c r="U1342" i="1"/>
  <c r="V1342" i="1"/>
  <c r="W1342" i="1" s="1"/>
  <c r="T1342" i="1"/>
  <c r="U1079" i="1"/>
  <c r="V1079" i="1"/>
  <c r="W1079" i="1" s="1"/>
  <c r="T1079" i="1"/>
  <c r="U1086" i="1"/>
  <c r="V1086" i="1"/>
  <c r="W1086" i="1" s="1"/>
  <c r="T1086" i="1"/>
  <c r="X1095" i="1" l="1"/>
  <c r="Q1095" i="1"/>
  <c r="X1088" i="1"/>
  <c r="Q1088" i="1"/>
  <c r="X1351" i="1"/>
  <c r="Q1351" i="1"/>
  <c r="X1335" i="1"/>
  <c r="Q1335" i="1"/>
  <c r="X1310" i="1"/>
  <c r="Q1310" i="1"/>
  <c r="X1296" i="1"/>
  <c r="Q1296" i="1"/>
  <c r="X1255" i="1"/>
  <c r="Q1255" i="1"/>
  <c r="X1240" i="1"/>
  <c r="Q1240" i="1"/>
  <c r="U1010" i="1"/>
  <c r="V1010" i="1"/>
  <c r="W1010" i="1" s="1"/>
  <c r="T1010" i="1"/>
  <c r="X1019" i="1" l="1"/>
  <c r="Q1019" i="1"/>
  <c r="U1240" i="1"/>
  <c r="V1240" i="1"/>
  <c r="W1240" i="1" s="1"/>
  <c r="T1240" i="1"/>
  <c r="U1255" i="1"/>
  <c r="V1255" i="1"/>
  <c r="W1255" i="1" s="1"/>
  <c r="T1255" i="1"/>
  <c r="U1296" i="1"/>
  <c r="V1296" i="1"/>
  <c r="W1296" i="1" s="1"/>
  <c r="T1296" i="1"/>
  <c r="U1310" i="1"/>
  <c r="V1310" i="1"/>
  <c r="W1310" i="1" s="1"/>
  <c r="T1310" i="1"/>
  <c r="U1335" i="1"/>
  <c r="V1335" i="1"/>
  <c r="W1335" i="1" s="1"/>
  <c r="T1335" i="1"/>
  <c r="U1351" i="1"/>
  <c r="V1351" i="1"/>
  <c r="W1351" i="1" s="1"/>
  <c r="T1351" i="1"/>
  <c r="U1088" i="1"/>
  <c r="V1088" i="1"/>
  <c r="W1088" i="1" s="1"/>
  <c r="T1088" i="1"/>
  <c r="U1095" i="1"/>
  <c r="V1095" i="1"/>
  <c r="W1095" i="1" s="1"/>
  <c r="T1095" i="1"/>
  <c r="X1104" i="1" l="1"/>
  <c r="Q1104" i="1"/>
  <c r="X1097" i="1"/>
  <c r="Q1097" i="1"/>
  <c r="X1360" i="1"/>
  <c r="Q1360" i="1"/>
  <c r="X1344" i="1"/>
  <c r="Q1344" i="1"/>
  <c r="X1319" i="1"/>
  <c r="Q1319" i="1"/>
  <c r="X1305" i="1"/>
  <c r="Q1305" i="1"/>
  <c r="X1264" i="1"/>
  <c r="Q1264" i="1"/>
  <c r="X1249" i="1"/>
  <c r="Q1249" i="1"/>
  <c r="U1019" i="1"/>
  <c r="V1019" i="1"/>
  <c r="W1019" i="1" s="1"/>
  <c r="T1019" i="1"/>
  <c r="X1028" i="1" l="1"/>
  <c r="Q1028" i="1"/>
  <c r="U1249" i="1"/>
  <c r="V1249" i="1"/>
  <c r="W1249" i="1" s="1"/>
  <c r="T1249" i="1"/>
  <c r="U1264" i="1"/>
  <c r="V1264" i="1"/>
  <c r="W1264" i="1" s="1"/>
  <c r="T1264" i="1"/>
  <c r="U1305" i="1"/>
  <c r="V1305" i="1"/>
  <c r="W1305" i="1" s="1"/>
  <c r="T1305" i="1"/>
  <c r="U1319" i="1"/>
  <c r="V1319" i="1"/>
  <c r="W1319" i="1" s="1"/>
  <c r="T1319" i="1"/>
  <c r="U1344" i="1"/>
  <c r="V1344" i="1"/>
  <c r="W1344" i="1" s="1"/>
  <c r="T1344" i="1"/>
  <c r="U1360" i="1"/>
  <c r="V1360" i="1"/>
  <c r="W1360" i="1" s="1"/>
  <c r="T1360" i="1"/>
  <c r="U1097" i="1"/>
  <c r="V1097" i="1"/>
  <c r="W1097" i="1" s="1"/>
  <c r="T1097" i="1"/>
  <c r="U1104" i="1"/>
  <c r="V1104" i="1"/>
  <c r="W1104" i="1" s="1"/>
  <c r="T1104" i="1"/>
  <c r="X1113" i="1" l="1"/>
  <c r="Q1113" i="1"/>
  <c r="X1106" i="1"/>
  <c r="Q1106" i="1"/>
  <c r="X1369" i="1"/>
  <c r="Q1369" i="1"/>
  <c r="X1353" i="1"/>
  <c r="Q1353" i="1"/>
  <c r="X1328" i="1"/>
  <c r="Q1328" i="1"/>
  <c r="X1314" i="1"/>
  <c r="Q1314" i="1"/>
  <c r="X1273" i="1"/>
  <c r="Q1273" i="1"/>
  <c r="X1258" i="1"/>
  <c r="Q1258" i="1"/>
  <c r="U1028" i="1"/>
  <c r="V1028" i="1"/>
  <c r="W1028" i="1" s="1"/>
  <c r="T1028" i="1"/>
  <c r="X1037" i="1" l="1"/>
  <c r="Q1037" i="1"/>
  <c r="U1258" i="1"/>
  <c r="V1258" i="1"/>
  <c r="W1258" i="1" s="1"/>
  <c r="T1258" i="1"/>
  <c r="U1273" i="1"/>
  <c r="V1273" i="1"/>
  <c r="W1273" i="1" s="1"/>
  <c r="T1273" i="1"/>
  <c r="U1314" i="1"/>
  <c r="V1314" i="1"/>
  <c r="W1314" i="1" s="1"/>
  <c r="T1314" i="1"/>
  <c r="U1328" i="1"/>
  <c r="V1328" i="1"/>
  <c r="W1328" i="1" s="1"/>
  <c r="T1328" i="1"/>
  <c r="U1353" i="1"/>
  <c r="V1353" i="1"/>
  <c r="W1353" i="1" s="1"/>
  <c r="T1353" i="1"/>
  <c r="U1369" i="1"/>
  <c r="V1369" i="1"/>
  <c r="W1369" i="1" s="1"/>
  <c r="T1369" i="1"/>
  <c r="U1106" i="1"/>
  <c r="V1106" i="1"/>
  <c r="W1106" i="1" s="1"/>
  <c r="T1106" i="1"/>
  <c r="U1113" i="1"/>
  <c r="V1113" i="1"/>
  <c r="W1113" i="1" s="1"/>
  <c r="T1113" i="1"/>
  <c r="X1122" i="1" l="1"/>
  <c r="Q1122" i="1"/>
  <c r="X1115" i="1"/>
  <c r="Q1115" i="1"/>
  <c r="X1378" i="1"/>
  <c r="Q1378" i="1"/>
  <c r="X1362" i="1"/>
  <c r="Q1362" i="1"/>
  <c r="X1337" i="1"/>
  <c r="Q1337" i="1"/>
  <c r="X1323" i="1"/>
  <c r="Q1323" i="1"/>
  <c r="X1282" i="1"/>
  <c r="Q1282" i="1"/>
  <c r="X1267" i="1"/>
  <c r="Q1267" i="1"/>
  <c r="U1037" i="1"/>
  <c r="V1037" i="1"/>
  <c r="W1037" i="1" s="1"/>
  <c r="T1037" i="1"/>
  <c r="X1046" i="1" l="1"/>
  <c r="Q1046" i="1"/>
  <c r="U1267" i="1"/>
  <c r="V1267" i="1"/>
  <c r="W1267" i="1" s="1"/>
  <c r="T1267" i="1"/>
  <c r="U1282" i="1"/>
  <c r="V1282" i="1"/>
  <c r="W1282" i="1" s="1"/>
  <c r="T1282" i="1"/>
  <c r="U1323" i="1"/>
  <c r="V1323" i="1"/>
  <c r="W1323" i="1" s="1"/>
  <c r="T1323" i="1"/>
  <c r="U1337" i="1"/>
  <c r="V1337" i="1"/>
  <c r="W1337" i="1" s="1"/>
  <c r="T1337" i="1"/>
  <c r="U1362" i="1"/>
  <c r="V1362" i="1"/>
  <c r="W1362" i="1" s="1"/>
  <c r="T1362" i="1"/>
  <c r="U1378" i="1"/>
  <c r="V1378" i="1"/>
  <c r="W1378" i="1" s="1"/>
  <c r="T1378" i="1"/>
  <c r="U1115" i="1"/>
  <c r="V1115" i="1"/>
  <c r="W1115" i="1" s="1"/>
  <c r="T1115" i="1"/>
  <c r="U1122" i="1"/>
  <c r="V1122" i="1"/>
  <c r="W1122" i="1" s="1"/>
  <c r="T1122" i="1"/>
  <c r="X1131" i="1" l="1"/>
  <c r="Q1131" i="1"/>
  <c r="X1124" i="1"/>
  <c r="Q1124" i="1"/>
  <c r="X1387" i="1"/>
  <c r="Q1387" i="1"/>
  <c r="X1371" i="1"/>
  <c r="Q1371" i="1"/>
  <c r="X1346" i="1"/>
  <c r="Q1346" i="1"/>
  <c r="X1332" i="1"/>
  <c r="Q1332" i="1"/>
  <c r="X1291" i="1"/>
  <c r="Q1291" i="1"/>
  <c r="X1276" i="1"/>
  <c r="Q1276" i="1"/>
  <c r="U1046" i="1"/>
  <c r="V1046" i="1"/>
  <c r="W1046" i="1" s="1"/>
  <c r="T1046" i="1"/>
  <c r="X1055" i="1" l="1"/>
  <c r="Q1055" i="1"/>
  <c r="U1276" i="1"/>
  <c r="V1276" i="1"/>
  <c r="W1276" i="1" s="1"/>
  <c r="T1276" i="1"/>
  <c r="U1291" i="1"/>
  <c r="V1291" i="1"/>
  <c r="W1291" i="1" s="1"/>
  <c r="T1291" i="1"/>
  <c r="U1332" i="1"/>
  <c r="V1332" i="1"/>
  <c r="W1332" i="1" s="1"/>
  <c r="T1332" i="1"/>
  <c r="U1346" i="1"/>
  <c r="V1346" i="1"/>
  <c r="W1346" i="1" s="1"/>
  <c r="T1346" i="1"/>
  <c r="U1371" i="1"/>
  <c r="V1371" i="1"/>
  <c r="W1371" i="1" s="1"/>
  <c r="T1371" i="1"/>
  <c r="U1387" i="1"/>
  <c r="V1387" i="1"/>
  <c r="W1387" i="1" s="1"/>
  <c r="T1387" i="1"/>
  <c r="U1124" i="1"/>
  <c r="V1124" i="1"/>
  <c r="W1124" i="1" s="1"/>
  <c r="T1124" i="1"/>
  <c r="U1131" i="1"/>
  <c r="V1131" i="1"/>
  <c r="W1131" i="1" s="1"/>
  <c r="T1131" i="1"/>
  <c r="X1140" i="1" l="1"/>
  <c r="Q1140" i="1"/>
  <c r="X1133" i="1"/>
  <c r="Q1133" i="1"/>
  <c r="X1396" i="1"/>
  <c r="Q1396" i="1"/>
  <c r="X1380" i="1"/>
  <c r="Q1380" i="1"/>
  <c r="X1355" i="1"/>
  <c r="Q1355" i="1"/>
  <c r="X1341" i="1"/>
  <c r="Q1341" i="1"/>
  <c r="X1300" i="1"/>
  <c r="Q1300" i="1"/>
  <c r="X1285" i="1"/>
  <c r="Q1285" i="1"/>
  <c r="U1055" i="1"/>
  <c r="V1055" i="1"/>
  <c r="W1055" i="1" s="1"/>
  <c r="T1055" i="1"/>
  <c r="X1064" i="1" l="1"/>
  <c r="Q1064" i="1"/>
  <c r="U1285" i="1"/>
  <c r="V1285" i="1"/>
  <c r="W1285" i="1" s="1"/>
  <c r="T1285" i="1"/>
  <c r="U1300" i="1"/>
  <c r="V1300" i="1"/>
  <c r="W1300" i="1" s="1"/>
  <c r="T1300" i="1"/>
  <c r="U1341" i="1"/>
  <c r="V1341" i="1"/>
  <c r="W1341" i="1" s="1"/>
  <c r="T1341" i="1"/>
  <c r="U1355" i="1"/>
  <c r="V1355" i="1"/>
  <c r="W1355" i="1" s="1"/>
  <c r="T1355" i="1"/>
  <c r="U1380" i="1"/>
  <c r="V1380" i="1"/>
  <c r="W1380" i="1" s="1"/>
  <c r="T1380" i="1"/>
  <c r="U1396" i="1"/>
  <c r="V1396" i="1"/>
  <c r="W1396" i="1" s="1"/>
  <c r="T1396" i="1"/>
  <c r="U1133" i="1"/>
  <c r="V1133" i="1"/>
  <c r="W1133" i="1" s="1"/>
  <c r="T1133" i="1"/>
  <c r="U1140" i="1"/>
  <c r="V1140" i="1"/>
  <c r="W1140" i="1" s="1"/>
  <c r="T1140" i="1"/>
  <c r="X1149" i="1" l="1"/>
  <c r="Q1149" i="1"/>
  <c r="X1142" i="1"/>
  <c r="Q1142" i="1"/>
  <c r="X1405" i="1"/>
  <c r="Q1405" i="1"/>
  <c r="X1389" i="1"/>
  <c r="Q1389" i="1"/>
  <c r="X1364" i="1"/>
  <c r="Q1364" i="1"/>
  <c r="X1350" i="1"/>
  <c r="Q1350" i="1"/>
  <c r="X1309" i="1"/>
  <c r="Q1309" i="1"/>
  <c r="X1294" i="1"/>
  <c r="Q1294" i="1"/>
  <c r="U1064" i="1"/>
  <c r="V1064" i="1"/>
  <c r="W1064" i="1" s="1"/>
  <c r="T1064" i="1"/>
  <c r="X1073" i="1" l="1"/>
  <c r="Q1073" i="1"/>
  <c r="U1294" i="1"/>
  <c r="V1294" i="1"/>
  <c r="W1294" i="1" s="1"/>
  <c r="T1294" i="1"/>
  <c r="U1309" i="1"/>
  <c r="V1309" i="1"/>
  <c r="W1309" i="1" s="1"/>
  <c r="T1309" i="1"/>
  <c r="U1350" i="1"/>
  <c r="V1350" i="1"/>
  <c r="W1350" i="1" s="1"/>
  <c r="T1350" i="1"/>
  <c r="U1364" i="1"/>
  <c r="V1364" i="1"/>
  <c r="W1364" i="1" s="1"/>
  <c r="T1364" i="1"/>
  <c r="U1389" i="1"/>
  <c r="V1389" i="1"/>
  <c r="W1389" i="1" s="1"/>
  <c r="T1389" i="1"/>
  <c r="U1405" i="1"/>
  <c r="V1405" i="1"/>
  <c r="W1405" i="1" s="1"/>
  <c r="T1405" i="1"/>
  <c r="U1142" i="1"/>
  <c r="V1142" i="1"/>
  <c r="W1142" i="1" s="1"/>
  <c r="T1142" i="1"/>
  <c r="U1149" i="1"/>
  <c r="V1149" i="1"/>
  <c r="W1149" i="1" s="1"/>
  <c r="T1149" i="1"/>
  <c r="X1158" i="1" l="1"/>
  <c r="Q1158" i="1"/>
  <c r="X1151" i="1"/>
  <c r="Q1151" i="1"/>
  <c r="X1414" i="1"/>
  <c r="Q1414" i="1"/>
  <c r="X1398" i="1"/>
  <c r="Q1398" i="1"/>
  <c r="X1373" i="1"/>
  <c r="Q1373" i="1"/>
  <c r="X1359" i="1"/>
  <c r="Q1359" i="1"/>
  <c r="X1318" i="1"/>
  <c r="Q1318" i="1"/>
  <c r="X1303" i="1"/>
  <c r="Q1303" i="1"/>
  <c r="U1073" i="1"/>
  <c r="V1073" i="1"/>
  <c r="W1073" i="1" s="1"/>
  <c r="T1073" i="1"/>
  <c r="X1082" i="1" l="1"/>
  <c r="Q1082" i="1"/>
  <c r="U1303" i="1"/>
  <c r="V1303" i="1"/>
  <c r="W1303" i="1" s="1"/>
  <c r="T1303" i="1"/>
  <c r="U1318" i="1"/>
  <c r="V1318" i="1"/>
  <c r="W1318" i="1" s="1"/>
  <c r="T1318" i="1"/>
  <c r="U1359" i="1"/>
  <c r="V1359" i="1"/>
  <c r="W1359" i="1" s="1"/>
  <c r="T1359" i="1"/>
  <c r="U1373" i="1"/>
  <c r="V1373" i="1"/>
  <c r="W1373" i="1" s="1"/>
  <c r="T1373" i="1"/>
  <c r="U1398" i="1"/>
  <c r="V1398" i="1"/>
  <c r="W1398" i="1" s="1"/>
  <c r="T1398" i="1"/>
  <c r="U1414" i="1"/>
  <c r="V1414" i="1"/>
  <c r="W1414" i="1" s="1"/>
  <c r="T1414" i="1"/>
  <c r="U1151" i="1"/>
  <c r="V1151" i="1"/>
  <c r="W1151" i="1" s="1"/>
  <c r="T1151" i="1"/>
  <c r="U1158" i="1"/>
  <c r="V1158" i="1"/>
  <c r="W1158" i="1" s="1"/>
  <c r="T1158" i="1"/>
  <c r="X1167" i="1" l="1"/>
  <c r="Q1167" i="1"/>
  <c r="X1160" i="1"/>
  <c r="Q1160" i="1"/>
  <c r="X1423" i="1"/>
  <c r="Q1423" i="1"/>
  <c r="X1407" i="1"/>
  <c r="Q1407" i="1"/>
  <c r="X1382" i="1"/>
  <c r="Q1382" i="1"/>
  <c r="X1368" i="1"/>
  <c r="Q1368" i="1"/>
  <c r="X1327" i="1"/>
  <c r="Q1327" i="1"/>
  <c r="X1312" i="1"/>
  <c r="Q1312" i="1"/>
  <c r="U1082" i="1"/>
  <c r="V1082" i="1"/>
  <c r="W1082" i="1" s="1"/>
  <c r="T1082" i="1"/>
  <c r="X1091" i="1" l="1"/>
  <c r="Q1091" i="1"/>
  <c r="U1312" i="1"/>
  <c r="V1312" i="1"/>
  <c r="W1312" i="1" s="1"/>
  <c r="T1312" i="1"/>
  <c r="U1327" i="1"/>
  <c r="V1327" i="1"/>
  <c r="W1327" i="1" s="1"/>
  <c r="T1327" i="1"/>
  <c r="U1368" i="1"/>
  <c r="V1368" i="1"/>
  <c r="W1368" i="1" s="1"/>
  <c r="T1368" i="1"/>
  <c r="U1382" i="1"/>
  <c r="V1382" i="1"/>
  <c r="W1382" i="1" s="1"/>
  <c r="T1382" i="1"/>
  <c r="U1407" i="1"/>
  <c r="V1407" i="1"/>
  <c r="W1407" i="1" s="1"/>
  <c r="T1407" i="1"/>
  <c r="U1423" i="1"/>
  <c r="V1423" i="1"/>
  <c r="W1423" i="1" s="1"/>
  <c r="T1423" i="1"/>
  <c r="U1160" i="1"/>
  <c r="V1160" i="1"/>
  <c r="W1160" i="1" s="1"/>
  <c r="T1160" i="1"/>
  <c r="U1167" i="1"/>
  <c r="V1167" i="1"/>
  <c r="W1167" i="1" s="1"/>
  <c r="T1167" i="1"/>
  <c r="X1176" i="1" l="1"/>
  <c r="Q1176" i="1"/>
  <c r="X1169" i="1"/>
  <c r="Q1169" i="1"/>
  <c r="X1416" i="1"/>
  <c r="Q1416" i="1"/>
  <c r="X1391" i="1"/>
  <c r="Q1391" i="1"/>
  <c r="X1377" i="1"/>
  <c r="Q1377" i="1"/>
  <c r="X1336" i="1"/>
  <c r="Q1336" i="1"/>
  <c r="X1321" i="1"/>
  <c r="Q1321" i="1"/>
  <c r="U1091" i="1"/>
  <c r="V1091" i="1"/>
  <c r="W1091" i="1" s="1"/>
  <c r="T1091" i="1"/>
  <c r="X1100" i="1" l="1"/>
  <c r="Q1100" i="1"/>
  <c r="U1321" i="1"/>
  <c r="V1321" i="1"/>
  <c r="W1321" i="1" s="1"/>
  <c r="T1321" i="1"/>
  <c r="U1336" i="1"/>
  <c r="V1336" i="1"/>
  <c r="W1336" i="1" s="1"/>
  <c r="T1336" i="1"/>
  <c r="U1377" i="1"/>
  <c r="V1377" i="1"/>
  <c r="W1377" i="1" s="1"/>
  <c r="T1377" i="1"/>
  <c r="U1391" i="1"/>
  <c r="V1391" i="1"/>
  <c r="W1391" i="1" s="1"/>
  <c r="T1391" i="1"/>
  <c r="U1416" i="1"/>
  <c r="V1416" i="1"/>
  <c r="W1416" i="1" s="1"/>
  <c r="T1416" i="1"/>
  <c r="U1169" i="1"/>
  <c r="V1169" i="1"/>
  <c r="W1169" i="1" s="1"/>
  <c r="T1169" i="1"/>
  <c r="U1176" i="1"/>
  <c r="V1176" i="1"/>
  <c r="W1176" i="1" s="1"/>
  <c r="T1176" i="1"/>
  <c r="X1185" i="1" l="1"/>
  <c r="Q1185" i="1"/>
  <c r="X1178" i="1"/>
  <c r="Q1178" i="1"/>
  <c r="X1400" i="1"/>
  <c r="Q1400" i="1"/>
  <c r="X1386" i="1"/>
  <c r="Q1386" i="1"/>
  <c r="X1345" i="1"/>
  <c r="Q1345" i="1"/>
  <c r="X1330" i="1"/>
  <c r="Q1330" i="1"/>
  <c r="U1100" i="1"/>
  <c r="V1100" i="1"/>
  <c r="W1100" i="1" s="1"/>
  <c r="T1100" i="1"/>
  <c r="X1109" i="1" l="1"/>
  <c r="Q1109" i="1"/>
  <c r="U1330" i="1"/>
  <c r="V1330" i="1"/>
  <c r="W1330" i="1" s="1"/>
  <c r="T1330" i="1"/>
  <c r="U1345" i="1"/>
  <c r="V1345" i="1"/>
  <c r="W1345" i="1" s="1"/>
  <c r="T1345" i="1"/>
  <c r="U1386" i="1"/>
  <c r="V1386" i="1"/>
  <c r="W1386" i="1" s="1"/>
  <c r="T1386" i="1"/>
  <c r="U1400" i="1"/>
  <c r="V1400" i="1"/>
  <c r="W1400" i="1" s="1"/>
  <c r="T1400" i="1"/>
  <c r="U1178" i="1"/>
  <c r="V1178" i="1"/>
  <c r="W1178" i="1" s="1"/>
  <c r="T1178" i="1"/>
  <c r="U1185" i="1"/>
  <c r="V1185" i="1"/>
  <c r="W1185" i="1" s="1"/>
  <c r="T1185" i="1"/>
  <c r="X1194" i="1" l="1"/>
  <c r="Q1194" i="1"/>
  <c r="X1187" i="1"/>
  <c r="Q1187" i="1"/>
  <c r="X1409" i="1"/>
  <c r="Q1409" i="1"/>
  <c r="X1395" i="1"/>
  <c r="Q1395" i="1"/>
  <c r="X1354" i="1"/>
  <c r="Q1354" i="1"/>
  <c r="X1339" i="1"/>
  <c r="Q1339" i="1"/>
  <c r="U1109" i="1"/>
  <c r="V1109" i="1"/>
  <c r="W1109" i="1" s="1"/>
  <c r="T1109" i="1"/>
  <c r="X1118" i="1" l="1"/>
  <c r="Q1118" i="1"/>
  <c r="U1339" i="1"/>
  <c r="V1339" i="1"/>
  <c r="W1339" i="1" s="1"/>
  <c r="T1339" i="1"/>
  <c r="U1354" i="1"/>
  <c r="V1354" i="1"/>
  <c r="W1354" i="1" s="1"/>
  <c r="T1354" i="1"/>
  <c r="U1395" i="1"/>
  <c r="V1395" i="1"/>
  <c r="W1395" i="1" s="1"/>
  <c r="T1395" i="1"/>
  <c r="U1409" i="1"/>
  <c r="V1409" i="1"/>
  <c r="W1409" i="1" s="1"/>
  <c r="T1409" i="1"/>
  <c r="U1187" i="1"/>
  <c r="V1187" i="1"/>
  <c r="W1187" i="1" s="1"/>
  <c r="T1187" i="1"/>
  <c r="U1194" i="1"/>
  <c r="V1194" i="1"/>
  <c r="W1194" i="1" s="1"/>
  <c r="T1194" i="1"/>
  <c r="X1203" i="1" l="1"/>
  <c r="Q1203" i="1"/>
  <c r="X1196" i="1"/>
  <c r="Q1196" i="1"/>
  <c r="X1418" i="1"/>
  <c r="Q1418" i="1"/>
  <c r="X1404" i="1"/>
  <c r="Q1404" i="1"/>
  <c r="X1363" i="1"/>
  <c r="Q1363" i="1"/>
  <c r="X1348" i="1"/>
  <c r="Q1348" i="1"/>
  <c r="U1118" i="1"/>
  <c r="V1118" i="1"/>
  <c r="W1118" i="1" s="1"/>
  <c r="T1118" i="1"/>
  <c r="X1127" i="1" l="1"/>
  <c r="Q1127" i="1"/>
  <c r="U1348" i="1"/>
  <c r="V1348" i="1"/>
  <c r="W1348" i="1" s="1"/>
  <c r="T1348" i="1"/>
  <c r="U1363" i="1"/>
  <c r="V1363" i="1"/>
  <c r="W1363" i="1" s="1"/>
  <c r="T1363" i="1"/>
  <c r="U1404" i="1"/>
  <c r="V1404" i="1"/>
  <c r="W1404" i="1" s="1"/>
  <c r="T1404" i="1"/>
  <c r="U1418" i="1"/>
  <c r="V1418" i="1"/>
  <c r="W1418" i="1" s="1"/>
  <c r="T1418" i="1"/>
  <c r="U1196" i="1"/>
  <c r="V1196" i="1"/>
  <c r="W1196" i="1" s="1"/>
  <c r="T1196" i="1"/>
  <c r="U1203" i="1"/>
  <c r="V1203" i="1"/>
  <c r="W1203" i="1" s="1"/>
  <c r="T1203" i="1"/>
  <c r="X1212" i="1" l="1"/>
  <c r="Q1212" i="1"/>
  <c r="X1205" i="1"/>
  <c r="Q1205" i="1"/>
  <c r="X1413" i="1"/>
  <c r="Q1413" i="1"/>
  <c r="X1372" i="1"/>
  <c r="Q1372" i="1"/>
  <c r="X1357" i="1"/>
  <c r="Q1357" i="1"/>
  <c r="U1127" i="1"/>
  <c r="V1127" i="1"/>
  <c r="W1127" i="1" s="1"/>
  <c r="T1127" i="1"/>
  <c r="X1136" i="1" l="1"/>
  <c r="Q1136" i="1"/>
  <c r="U1357" i="1"/>
  <c r="V1357" i="1"/>
  <c r="W1357" i="1" s="1"/>
  <c r="T1357" i="1"/>
  <c r="U1372" i="1"/>
  <c r="V1372" i="1"/>
  <c r="W1372" i="1" s="1"/>
  <c r="T1372" i="1"/>
  <c r="U1413" i="1"/>
  <c r="V1413" i="1"/>
  <c r="W1413" i="1" s="1"/>
  <c r="T1413" i="1"/>
  <c r="U1205" i="1"/>
  <c r="V1205" i="1"/>
  <c r="W1205" i="1" s="1"/>
  <c r="T1205" i="1"/>
  <c r="U1212" i="1"/>
  <c r="V1212" i="1"/>
  <c r="W1212" i="1" s="1"/>
  <c r="T1212" i="1"/>
  <c r="X1221" i="1" l="1"/>
  <c r="Q1221" i="1"/>
  <c r="X1214" i="1"/>
  <c r="Q1214" i="1"/>
  <c r="X1422" i="1"/>
  <c r="Q1422" i="1"/>
  <c r="X1381" i="1"/>
  <c r="Q1381" i="1"/>
  <c r="X1366" i="1"/>
  <c r="Q1366" i="1"/>
  <c r="U1136" i="1"/>
  <c r="V1136" i="1"/>
  <c r="W1136" i="1" s="1"/>
  <c r="T1136" i="1"/>
  <c r="X1145" i="1" l="1"/>
  <c r="Q1145" i="1"/>
  <c r="U1366" i="1"/>
  <c r="V1366" i="1"/>
  <c r="W1366" i="1" s="1"/>
  <c r="T1366" i="1"/>
  <c r="U1381" i="1"/>
  <c r="V1381" i="1"/>
  <c r="W1381" i="1" s="1"/>
  <c r="T1381" i="1"/>
  <c r="U1422" i="1"/>
  <c r="V1422" i="1"/>
  <c r="W1422" i="1" s="1"/>
  <c r="T1422" i="1"/>
  <c r="U1214" i="1"/>
  <c r="V1214" i="1"/>
  <c r="W1214" i="1" s="1"/>
  <c r="T1214" i="1"/>
  <c r="U1221" i="1"/>
  <c r="V1221" i="1"/>
  <c r="W1221" i="1" s="1"/>
  <c r="T1221" i="1"/>
  <c r="X1230" i="1" l="1"/>
  <c r="Q1230" i="1"/>
  <c r="X1223" i="1"/>
  <c r="Q1223" i="1"/>
  <c r="X1390" i="1"/>
  <c r="Q1390" i="1"/>
  <c r="X1375" i="1"/>
  <c r="Q1375" i="1"/>
  <c r="U1145" i="1"/>
  <c r="V1145" i="1"/>
  <c r="W1145" i="1" s="1"/>
  <c r="T1145" i="1"/>
  <c r="X1154" i="1" l="1"/>
  <c r="Q1154" i="1"/>
  <c r="U1375" i="1"/>
  <c r="V1375" i="1"/>
  <c r="W1375" i="1" s="1"/>
  <c r="T1375" i="1"/>
  <c r="U1390" i="1"/>
  <c r="V1390" i="1"/>
  <c r="W1390" i="1" s="1"/>
  <c r="T1390" i="1"/>
  <c r="U1223" i="1"/>
  <c r="V1223" i="1"/>
  <c r="W1223" i="1" s="1"/>
  <c r="T1223" i="1"/>
  <c r="U1230" i="1"/>
  <c r="V1230" i="1"/>
  <c r="W1230" i="1" s="1"/>
  <c r="T1230" i="1"/>
  <c r="X1239" i="1" l="1"/>
  <c r="Q1239" i="1"/>
  <c r="X1232" i="1"/>
  <c r="Q1232" i="1"/>
  <c r="X1399" i="1"/>
  <c r="Q1399" i="1"/>
  <c r="X1384" i="1"/>
  <c r="Q1384" i="1"/>
  <c r="U1154" i="1"/>
  <c r="V1154" i="1"/>
  <c r="W1154" i="1" s="1"/>
  <c r="T1154" i="1"/>
  <c r="X1163" i="1" l="1"/>
  <c r="Q1163" i="1"/>
  <c r="U1384" i="1"/>
  <c r="V1384" i="1"/>
  <c r="W1384" i="1" s="1"/>
  <c r="T1384" i="1"/>
  <c r="U1399" i="1"/>
  <c r="V1399" i="1"/>
  <c r="W1399" i="1" s="1"/>
  <c r="T1399" i="1"/>
  <c r="U1232" i="1"/>
  <c r="V1232" i="1"/>
  <c r="W1232" i="1" s="1"/>
  <c r="T1232" i="1"/>
  <c r="U1239" i="1"/>
  <c r="V1239" i="1"/>
  <c r="W1239" i="1" s="1"/>
  <c r="T1239" i="1"/>
  <c r="X1248" i="1" l="1"/>
  <c r="Q1248" i="1"/>
  <c r="X1241" i="1"/>
  <c r="Q1241" i="1"/>
  <c r="X1408" i="1"/>
  <c r="Q1408" i="1"/>
  <c r="X1393" i="1"/>
  <c r="Q1393" i="1"/>
  <c r="U1163" i="1"/>
  <c r="V1163" i="1"/>
  <c r="W1163" i="1" s="1"/>
  <c r="T1163" i="1"/>
  <c r="X1172" i="1" l="1"/>
  <c r="Q1172" i="1"/>
  <c r="U1393" i="1"/>
  <c r="V1393" i="1"/>
  <c r="W1393" i="1" s="1"/>
  <c r="T1393" i="1"/>
  <c r="U1408" i="1"/>
  <c r="V1408" i="1"/>
  <c r="W1408" i="1" s="1"/>
  <c r="T1408" i="1"/>
  <c r="U1241" i="1"/>
  <c r="V1241" i="1"/>
  <c r="W1241" i="1" s="1"/>
  <c r="T1241" i="1"/>
  <c r="U1248" i="1"/>
  <c r="V1248" i="1"/>
  <c r="W1248" i="1" s="1"/>
  <c r="T1248" i="1"/>
  <c r="X1257" i="1" l="1"/>
  <c r="Q1257" i="1"/>
  <c r="X1250" i="1"/>
  <c r="Q1250" i="1"/>
  <c r="X1417" i="1"/>
  <c r="Q1417" i="1"/>
  <c r="X1402" i="1"/>
  <c r="Q1402" i="1"/>
  <c r="U1172" i="1"/>
  <c r="V1172" i="1"/>
  <c r="W1172" i="1" s="1"/>
  <c r="T1172" i="1"/>
  <c r="X1181" i="1" l="1"/>
  <c r="Q1181" i="1"/>
  <c r="U1402" i="1"/>
  <c r="V1402" i="1"/>
  <c r="W1402" i="1" s="1"/>
  <c r="T1402" i="1"/>
  <c r="U1417" i="1"/>
  <c r="V1417" i="1"/>
  <c r="W1417" i="1" s="1"/>
  <c r="T1417" i="1"/>
  <c r="U1250" i="1"/>
  <c r="V1250" i="1"/>
  <c r="W1250" i="1" s="1"/>
  <c r="T1250" i="1"/>
  <c r="U1257" i="1"/>
  <c r="V1257" i="1"/>
  <c r="W1257" i="1" s="1"/>
  <c r="T1257" i="1"/>
  <c r="X1266" i="1" l="1"/>
  <c r="Q1266" i="1"/>
  <c r="X1259" i="1"/>
  <c r="Q1259" i="1"/>
  <c r="X1411" i="1"/>
  <c r="Q1411" i="1"/>
  <c r="U1181" i="1"/>
  <c r="V1181" i="1"/>
  <c r="W1181" i="1" s="1"/>
  <c r="T1181" i="1"/>
  <c r="X1190" i="1" l="1"/>
  <c r="Q1190" i="1"/>
  <c r="U1411" i="1"/>
  <c r="V1411" i="1"/>
  <c r="W1411" i="1" s="1"/>
  <c r="T1411" i="1"/>
  <c r="U1259" i="1"/>
  <c r="V1259" i="1"/>
  <c r="W1259" i="1" s="1"/>
  <c r="T1259" i="1"/>
  <c r="U1266" i="1"/>
  <c r="V1266" i="1"/>
  <c r="W1266" i="1" s="1"/>
  <c r="T1266" i="1"/>
  <c r="X1275" i="1" l="1"/>
  <c r="Q1275" i="1"/>
  <c r="X1268" i="1"/>
  <c r="Q1268" i="1"/>
  <c r="X1420" i="1"/>
  <c r="Q1420" i="1"/>
  <c r="U1190" i="1"/>
  <c r="V1190" i="1"/>
  <c r="W1190" i="1" s="1"/>
  <c r="T1190" i="1"/>
  <c r="X1199" i="1" l="1"/>
  <c r="Q1199" i="1"/>
  <c r="U1420" i="1"/>
  <c r="V1420" i="1"/>
  <c r="W1420" i="1" s="1"/>
  <c r="T1420" i="1"/>
  <c r="U1268" i="1"/>
  <c r="V1268" i="1"/>
  <c r="W1268" i="1" s="1"/>
  <c r="T1268" i="1"/>
  <c r="U1275" i="1"/>
  <c r="V1275" i="1"/>
  <c r="W1275" i="1" s="1"/>
  <c r="T1275" i="1"/>
  <c r="X1284" i="1" l="1"/>
  <c r="Q1284" i="1"/>
  <c r="X1277" i="1"/>
  <c r="Q1277" i="1"/>
  <c r="U1199" i="1"/>
  <c r="V1199" i="1"/>
  <c r="W1199" i="1" s="1"/>
  <c r="T1199" i="1"/>
  <c r="X1208" i="1" l="1"/>
  <c r="Q1208" i="1"/>
  <c r="U1277" i="1"/>
  <c r="V1277" i="1"/>
  <c r="W1277" i="1" s="1"/>
  <c r="T1277" i="1"/>
  <c r="U1284" i="1"/>
  <c r="V1284" i="1"/>
  <c r="W1284" i="1" s="1"/>
  <c r="T1284" i="1"/>
  <c r="X1293" i="1" l="1"/>
  <c r="Q1293" i="1"/>
  <c r="X1286" i="1"/>
  <c r="Q1286" i="1"/>
  <c r="U1208" i="1"/>
  <c r="V1208" i="1"/>
  <c r="W1208" i="1" s="1"/>
  <c r="T1208" i="1"/>
  <c r="X1217" i="1" l="1"/>
  <c r="Q1217" i="1"/>
  <c r="U1286" i="1"/>
  <c r="V1286" i="1"/>
  <c r="W1286" i="1" s="1"/>
  <c r="T1286" i="1"/>
  <c r="U1293" i="1"/>
  <c r="V1293" i="1"/>
  <c r="W1293" i="1" s="1"/>
  <c r="T1293" i="1"/>
  <c r="X1302" i="1" l="1"/>
  <c r="Q1302" i="1"/>
  <c r="X1295" i="1"/>
  <c r="Q1295" i="1"/>
  <c r="U1217" i="1"/>
  <c r="V1217" i="1"/>
  <c r="W1217" i="1" s="1"/>
  <c r="T1217" i="1"/>
  <c r="X1226" i="1" l="1"/>
  <c r="Q1226" i="1"/>
  <c r="U1295" i="1"/>
  <c r="V1295" i="1"/>
  <c r="W1295" i="1" s="1"/>
  <c r="T1295" i="1"/>
  <c r="U1302" i="1"/>
  <c r="V1302" i="1"/>
  <c r="W1302" i="1" s="1"/>
  <c r="T1302" i="1"/>
  <c r="X1311" i="1" l="1"/>
  <c r="Q1311" i="1"/>
  <c r="X1304" i="1"/>
  <c r="Q1304" i="1"/>
  <c r="U1226" i="1"/>
  <c r="V1226" i="1"/>
  <c r="W1226" i="1" s="1"/>
  <c r="T1226" i="1"/>
  <c r="X1235" i="1" l="1"/>
  <c r="Q1235" i="1"/>
  <c r="U1304" i="1"/>
  <c r="V1304" i="1"/>
  <c r="W1304" i="1" s="1"/>
  <c r="T1304" i="1"/>
  <c r="U1311" i="1"/>
  <c r="V1311" i="1"/>
  <c r="W1311" i="1" s="1"/>
  <c r="T1311" i="1"/>
  <c r="X1320" i="1" l="1"/>
  <c r="Q1320" i="1"/>
  <c r="X1313" i="1"/>
  <c r="Q1313" i="1"/>
  <c r="U1235" i="1"/>
  <c r="V1235" i="1"/>
  <c r="W1235" i="1" s="1"/>
  <c r="T1235" i="1"/>
  <c r="X1244" i="1" l="1"/>
  <c r="Q1244" i="1"/>
  <c r="U1313" i="1"/>
  <c r="V1313" i="1"/>
  <c r="W1313" i="1" s="1"/>
  <c r="T1313" i="1"/>
  <c r="U1320" i="1"/>
  <c r="V1320" i="1"/>
  <c r="W1320" i="1" s="1"/>
  <c r="T1320" i="1"/>
  <c r="X1329" i="1" l="1"/>
  <c r="Q1329" i="1"/>
  <c r="X1322" i="1"/>
  <c r="Q1322" i="1"/>
  <c r="U1244" i="1"/>
  <c r="V1244" i="1"/>
  <c r="W1244" i="1" s="1"/>
  <c r="T1244" i="1"/>
  <c r="X1253" i="1" l="1"/>
  <c r="Q1253" i="1"/>
  <c r="U1322" i="1"/>
  <c r="V1322" i="1"/>
  <c r="W1322" i="1" s="1"/>
  <c r="T1322" i="1"/>
  <c r="U1329" i="1"/>
  <c r="V1329" i="1"/>
  <c r="W1329" i="1" s="1"/>
  <c r="T1329" i="1"/>
  <c r="X1338" i="1" l="1"/>
  <c r="Q1338" i="1"/>
  <c r="X1331" i="1"/>
  <c r="Q1331" i="1"/>
  <c r="U1253" i="1"/>
  <c r="V1253" i="1"/>
  <c r="W1253" i="1" s="1"/>
  <c r="T1253" i="1"/>
  <c r="X1262" i="1" l="1"/>
  <c r="Q1262" i="1"/>
  <c r="U1331" i="1"/>
  <c r="V1331" i="1"/>
  <c r="W1331" i="1" s="1"/>
  <c r="T1331" i="1"/>
  <c r="U1338" i="1"/>
  <c r="V1338" i="1"/>
  <c r="W1338" i="1" s="1"/>
  <c r="T1338" i="1"/>
  <c r="X1347" i="1" l="1"/>
  <c r="Q1347" i="1"/>
  <c r="X1340" i="1"/>
  <c r="Q1340" i="1"/>
  <c r="U1262" i="1"/>
  <c r="V1262" i="1"/>
  <c r="W1262" i="1" s="1"/>
  <c r="T1262" i="1"/>
  <c r="X1271" i="1" l="1"/>
  <c r="Q1271" i="1"/>
  <c r="U1340" i="1"/>
  <c r="V1340" i="1"/>
  <c r="W1340" i="1" s="1"/>
  <c r="T1340" i="1"/>
  <c r="U1347" i="1"/>
  <c r="V1347" i="1"/>
  <c r="W1347" i="1" s="1"/>
  <c r="T1347" i="1"/>
  <c r="X1356" i="1" l="1"/>
  <c r="Q1356" i="1"/>
  <c r="X1349" i="1"/>
  <c r="Q1349" i="1"/>
  <c r="U1271" i="1"/>
  <c r="V1271" i="1"/>
  <c r="W1271" i="1" s="1"/>
  <c r="T1271" i="1"/>
  <c r="X1280" i="1" l="1"/>
  <c r="Q1280" i="1"/>
  <c r="U1349" i="1"/>
  <c r="V1349" i="1"/>
  <c r="W1349" i="1" s="1"/>
  <c r="T1349" i="1"/>
  <c r="U1356" i="1"/>
  <c r="V1356" i="1"/>
  <c r="W1356" i="1" s="1"/>
  <c r="T1356" i="1"/>
  <c r="X1365" i="1" l="1"/>
  <c r="Q1365" i="1"/>
  <c r="X1358" i="1"/>
  <c r="Q1358" i="1"/>
  <c r="U1280" i="1"/>
  <c r="V1280" i="1"/>
  <c r="W1280" i="1" s="1"/>
  <c r="T1280" i="1"/>
  <c r="X1289" i="1" l="1"/>
  <c r="Q1289" i="1"/>
  <c r="U1358" i="1"/>
  <c r="V1358" i="1"/>
  <c r="W1358" i="1" s="1"/>
  <c r="T1358" i="1"/>
  <c r="U1365" i="1"/>
  <c r="V1365" i="1"/>
  <c r="W1365" i="1" s="1"/>
  <c r="T1365" i="1"/>
  <c r="X1374" i="1" l="1"/>
  <c r="Q1374" i="1"/>
  <c r="X1367" i="1"/>
  <c r="Q1367" i="1"/>
  <c r="U1289" i="1"/>
  <c r="V1289" i="1"/>
  <c r="W1289" i="1" s="1"/>
  <c r="T1289" i="1"/>
  <c r="X1298" i="1" l="1"/>
  <c r="Q1298" i="1"/>
  <c r="U1367" i="1"/>
  <c r="V1367" i="1"/>
  <c r="W1367" i="1" s="1"/>
  <c r="T1367" i="1"/>
  <c r="U1374" i="1"/>
  <c r="V1374" i="1"/>
  <c r="W1374" i="1" s="1"/>
  <c r="T1374" i="1"/>
  <c r="X1383" i="1" l="1"/>
  <c r="Q1383" i="1"/>
  <c r="X1376" i="1"/>
  <c r="Q1376" i="1"/>
  <c r="U1298" i="1"/>
  <c r="V1298" i="1"/>
  <c r="W1298" i="1" s="1"/>
  <c r="T1298" i="1"/>
  <c r="X1307" i="1" l="1"/>
  <c r="Q1307" i="1"/>
  <c r="U1376" i="1"/>
  <c r="V1376" i="1"/>
  <c r="W1376" i="1" s="1"/>
  <c r="T1376" i="1"/>
  <c r="U1383" i="1"/>
  <c r="V1383" i="1"/>
  <c r="W1383" i="1" s="1"/>
  <c r="T1383" i="1"/>
  <c r="X1392" i="1" l="1"/>
  <c r="Q1392" i="1"/>
  <c r="X1385" i="1"/>
  <c r="Q1385" i="1"/>
  <c r="U1307" i="1"/>
  <c r="V1307" i="1"/>
  <c r="W1307" i="1" s="1"/>
  <c r="T1307" i="1"/>
  <c r="X1316" i="1" l="1"/>
  <c r="Q1316" i="1"/>
  <c r="U1385" i="1"/>
  <c r="V1385" i="1"/>
  <c r="W1385" i="1" s="1"/>
  <c r="T1385" i="1"/>
  <c r="U1392" i="1"/>
  <c r="V1392" i="1"/>
  <c r="W1392" i="1" s="1"/>
  <c r="T1392" i="1"/>
  <c r="X1401" i="1" l="1"/>
  <c r="Q1401" i="1"/>
  <c r="X1394" i="1"/>
  <c r="Q1394" i="1"/>
  <c r="U1316" i="1"/>
  <c r="V1316" i="1"/>
  <c r="W1316" i="1" s="1"/>
  <c r="T1316" i="1"/>
  <c r="X1325" i="1" l="1"/>
  <c r="Q1325" i="1"/>
  <c r="U1394" i="1"/>
  <c r="V1394" i="1"/>
  <c r="W1394" i="1" s="1"/>
  <c r="T1394" i="1"/>
  <c r="U1401" i="1"/>
  <c r="V1401" i="1"/>
  <c r="W1401" i="1" s="1"/>
  <c r="T1401" i="1"/>
  <c r="X1410" i="1" l="1"/>
  <c r="Q1410" i="1"/>
  <c r="X1403" i="1"/>
  <c r="Q1403" i="1"/>
  <c r="U1325" i="1"/>
  <c r="V1325" i="1"/>
  <c r="W1325" i="1" s="1"/>
  <c r="T1325" i="1"/>
  <c r="X1334" i="1" l="1"/>
  <c r="Q1334" i="1"/>
  <c r="U1403" i="1"/>
  <c r="V1403" i="1"/>
  <c r="W1403" i="1" s="1"/>
  <c r="T1403" i="1"/>
  <c r="U1410" i="1"/>
  <c r="V1410" i="1"/>
  <c r="W1410" i="1" s="1"/>
  <c r="T1410" i="1"/>
  <c r="X1419" i="1" l="1"/>
  <c r="Q1419" i="1"/>
  <c r="X1412" i="1"/>
  <c r="Q1412" i="1"/>
  <c r="U1334" i="1"/>
  <c r="V1334" i="1"/>
  <c r="W1334" i="1" s="1"/>
  <c r="T1334" i="1"/>
  <c r="X1343" i="1" l="1"/>
  <c r="Q1343" i="1"/>
  <c r="U1412" i="1"/>
  <c r="V1412" i="1"/>
  <c r="W1412" i="1" s="1"/>
  <c r="T1412" i="1"/>
  <c r="U1419" i="1"/>
  <c r="V1419" i="1"/>
  <c r="W1419" i="1" s="1"/>
  <c r="T1419" i="1"/>
  <c r="X1421" i="1" l="1"/>
  <c r="Q1421" i="1"/>
  <c r="U1343" i="1"/>
  <c r="V1343" i="1"/>
  <c r="W1343" i="1" s="1"/>
  <c r="T1343" i="1"/>
  <c r="X1352" i="1" l="1"/>
  <c r="Q1352" i="1"/>
  <c r="U1421" i="1"/>
  <c r="V1421" i="1"/>
  <c r="W1421" i="1" s="1"/>
  <c r="T1421" i="1"/>
  <c r="U1352" i="1" l="1"/>
  <c r="V1352" i="1"/>
  <c r="W1352" i="1" s="1"/>
  <c r="T1352" i="1"/>
  <c r="X1361" i="1" l="1"/>
  <c r="Q1361" i="1"/>
  <c r="U1361" i="1" l="1"/>
  <c r="V1361" i="1"/>
  <c r="W1361" i="1" s="1"/>
  <c r="T1361" i="1"/>
  <c r="X1370" i="1" l="1"/>
  <c r="Q1370" i="1"/>
  <c r="U1370" i="1" l="1"/>
  <c r="V1370" i="1"/>
  <c r="W1370" i="1" s="1"/>
  <c r="T1370" i="1"/>
  <c r="X1379" i="1" l="1"/>
  <c r="Q1379" i="1"/>
  <c r="U1379" i="1" l="1"/>
  <c r="V1379" i="1"/>
  <c r="W1379" i="1" s="1"/>
  <c r="T1379" i="1"/>
  <c r="X1388" i="1" l="1"/>
  <c r="Q1388" i="1"/>
  <c r="U1388" i="1" l="1"/>
  <c r="V1388" i="1"/>
  <c r="W1388" i="1" s="1"/>
  <c r="T1388" i="1"/>
  <c r="X1397" i="1" l="1"/>
  <c r="Q1397" i="1"/>
  <c r="U1397" i="1" l="1"/>
  <c r="V1397" i="1"/>
  <c r="W1397" i="1" s="1"/>
  <c r="T1397" i="1"/>
  <c r="X1406" i="1" l="1"/>
  <c r="Q1406" i="1"/>
  <c r="U1406" i="1" l="1"/>
  <c r="V1406" i="1"/>
  <c r="W1406" i="1" s="1"/>
  <c r="T1406" i="1"/>
  <c r="X1415" i="1" l="1"/>
  <c r="Q1415" i="1"/>
  <c r="U1415" i="1" l="1"/>
  <c r="V1415" i="1"/>
  <c r="W1415" i="1" s="1"/>
  <c r="T141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8276E5-19B1-449B-8ECF-CB85728FFAE0}" keepAlive="1" name="Query - bbt3" description="Connection to the 'bbt3' query in the workbook." type="5" refreshedVersion="8" background="1" saveData="1">
    <dbPr connection="Provider=Microsoft.Mashup.OleDb.1;Data Source=$Workbook$;Location=bbt3;Extended Properties=&quot;&quot;" command="SELECT * FROM [bbt3]"/>
  </connection>
  <connection id="2" xr16:uid="{A816067D-5115-4B71-89A2-E9D8125E0044}" keepAlive="1" name="Query - Close" description="Connection to the 'Close' query in the workbook." type="5" refreshedVersion="8" background="1" saveData="1">
    <dbPr connection="Provider=Microsoft.Mashup.OleDb.1;Data Source=$Workbook$;Location=Close;Extended Properties=&quot;&quot;" command="SELECT * FROM [Close]"/>
  </connection>
  <connection id="3" xr16:uid="{53A0F2AC-822E-405A-8798-16286428C26C}" keepAlive="1" name="Query - CloseDL" description="Connection to the 'CloseDL' query in the workbook." type="5" refreshedVersion="8" background="1" saveData="1">
    <dbPr connection="Provider=Microsoft.Mashup.OleDb.1;Data Source=$Workbook$;Location=CloseDL;Extended Properties=&quot;&quot;" command="SELECT * FROM [CloseDL]"/>
  </connection>
  <connection id="4" xr16:uid="{EA64BDB1-7582-474E-9321-1AE7FA51F822}" keepAlive="1" name="Query - Future Close from DAPI" description="Connection to the 'Future Close from DAPI' query in the workbook." type="5" refreshedVersion="8" background="1" saveData="1">
    <dbPr connection="Provider=Microsoft.Mashup.OleDb.1;Data Source=$Workbook$;Location=&quot;Future Close from DAPI&quot;;Extended Properties=&quot;&quot;" command="SELECT * FROM [Future Close from DAPI]"/>
  </connection>
  <connection id="5" xr16:uid="{71FF51A8-D21C-4383-BB8A-301E1628814F}" keepAlive="1" name="Query - TheDate" description="Connection to the 'TheDate' query in the workbook." type="5" refreshedVersion="0" background="1" saveData="1">
    <dbPr connection="Provider=Microsoft.Mashup.OleDb.1;Data Source=$Workbook$;Location=TheDate;Extended Properties=&quot;&quot;" command="SELECT * FROM [TheDate]"/>
  </connection>
  <connection id="6" xr16:uid="{4B0780DA-AE89-4E57-BDE1-1833B8617467}" keepAlive="1" name="Query - ToSaveListBondFuture" description="Connection to the 'ToSaveListBondFuture' query in the workbook." type="5" refreshedVersion="8" background="1" saveData="1">
    <dbPr connection="Provider=Microsoft.Mashup.OleDb.1;Data Source=$Workbook$;Location=ToSaveListBondFuture;Extended Properties=&quot;&quot;" command="SELECT * FROM [ToSaveListBondFuture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<sst xmlns="http://schemas.openxmlformats.org/spreadsheetml/2006/main" count="39362" uniqueCount="5725">
  <si>
    <t>Column1</t>
  </si>
  <si>
    <t>ID</t>
  </si>
  <si>
    <t>ISIN</t>
  </si>
  <si>
    <t>Coupon</t>
  </si>
  <si>
    <t>Maturity</t>
  </si>
  <si>
    <t>InflationLinked</t>
  </si>
  <si>
    <t>MASTER_FIXED_INCOME_INSTRUMENT_ID</t>
  </si>
  <si>
    <t>MASTER_FIXED_INCOME_ID_TYPE</t>
  </si>
  <si>
    <t>DATE</t>
  </si>
  <si>
    <t>METRIC_NAME</t>
  </si>
  <si>
    <t>METRIC_VALUE</t>
  </si>
  <si>
    <t>CR_TIME</t>
  </si>
  <si>
    <t>REPLICA_TIME</t>
  </si>
  <si>
    <t>912803BM4</t>
  </si>
  <si>
    <t>912803BP7</t>
  </si>
  <si>
    <t>912803CK7</t>
  </si>
  <si>
    <t>912803DA8</t>
  </si>
  <si>
    <t>912803DF7</t>
  </si>
  <si>
    <t>912803DT7</t>
  </si>
  <si>
    <t>912803DU4</t>
  </si>
  <si>
    <t>912803DV2</t>
  </si>
  <si>
    <t>912803EL3</t>
  </si>
  <si>
    <t>912803EQ2</t>
  </si>
  <si>
    <t>912803ET6</t>
  </si>
  <si>
    <t>912803FF5</t>
  </si>
  <si>
    <t>912803FG3</t>
  </si>
  <si>
    <t>912803FJ7</t>
  </si>
  <si>
    <t>912803FL2</t>
  </si>
  <si>
    <t>912803FM0</t>
  </si>
  <si>
    <t>912803GC1</t>
  </si>
  <si>
    <t>912803GS6</t>
  </si>
  <si>
    <t>912810EY0</t>
  </si>
  <si>
    <t>912810FB9</t>
  </si>
  <si>
    <t>912810PW2</t>
  </si>
  <si>
    <t>912810QH4</t>
  </si>
  <si>
    <t>912810QP6</t>
  </si>
  <si>
    <t>912810QQ4</t>
  </si>
  <si>
    <t>912810QY7</t>
  </si>
  <si>
    <t>912810RD2</t>
  </si>
  <si>
    <t>912803BJ1</t>
  </si>
  <si>
    <t>912803BL6</t>
  </si>
  <si>
    <t>912803BW2</t>
  </si>
  <si>
    <t>912803DJ9</t>
  </si>
  <si>
    <t>912803DK6</t>
  </si>
  <si>
    <t>912803DN0</t>
  </si>
  <si>
    <t>912803DX8</t>
  </si>
  <si>
    <t>912803DZ3</t>
  </si>
  <si>
    <t>912803ED1</t>
  </si>
  <si>
    <t>912803EY5</t>
  </si>
  <si>
    <t>912803FY4</t>
  </si>
  <si>
    <t>912803GE7</t>
  </si>
  <si>
    <t>912803GM9</t>
  </si>
  <si>
    <t>912810FJ2</t>
  </si>
  <si>
    <t>912810FM5</t>
  </si>
  <si>
    <t>912810PS1</t>
  </si>
  <si>
    <t>912810PZ5</t>
  </si>
  <si>
    <t>912810QC5</t>
  </si>
  <si>
    <t>912810QK7</t>
  </si>
  <si>
    <t>912810QL5</t>
  </si>
  <si>
    <t>912810QT8</t>
  </si>
  <si>
    <t>912810QU5</t>
  </si>
  <si>
    <t>912803BV4</t>
  </si>
  <si>
    <t>912803CX9</t>
  </si>
  <si>
    <t>912803DC4</t>
  </si>
  <si>
    <t>912803DG5</t>
  </si>
  <si>
    <t>912803DH3</t>
  </si>
  <si>
    <t>912803EK5</t>
  </si>
  <si>
    <t>912803ER0</t>
  </si>
  <si>
    <t>912803EU3</t>
  </si>
  <si>
    <t>912803EZ2</t>
  </si>
  <si>
    <t>912803GK3</t>
  </si>
  <si>
    <t>912803GP2</t>
  </si>
  <si>
    <t>912810FA1</t>
  </si>
  <si>
    <t>912810FG8</t>
  </si>
  <si>
    <t>912810FH6</t>
  </si>
  <si>
    <t>912810FP8</t>
  </si>
  <si>
    <t>912810FQ6</t>
  </si>
  <si>
    <t>912810PU6</t>
  </si>
  <si>
    <t>912810QD3</t>
  </si>
  <si>
    <t>912803CH4</t>
  </si>
  <si>
    <t>912803CZ4</t>
  </si>
  <si>
    <t>912803EA7</t>
  </si>
  <si>
    <t>912803EC3</t>
  </si>
  <si>
    <t>912803EE9</t>
  </si>
  <si>
    <t>912803EF6</t>
  </si>
  <si>
    <t>912803EN9</t>
  </si>
  <si>
    <t>912803EP4</t>
  </si>
  <si>
    <t>912803EV1</t>
  </si>
  <si>
    <t>912803EW9</t>
  </si>
  <si>
    <t>912803FB4</t>
  </si>
  <si>
    <t>912803FK4</t>
  </si>
  <si>
    <t>912803FV0</t>
  </si>
  <si>
    <t>912803GH0</t>
  </si>
  <si>
    <t>912810EZ7</t>
  </si>
  <si>
    <t>912810FE3</t>
  </si>
  <si>
    <t>912810FF0</t>
  </si>
  <si>
    <t>912810PT9</t>
  </si>
  <si>
    <t>912810RK6</t>
  </si>
  <si>
    <t>912810RM2</t>
  </si>
  <si>
    <t>912810RR1</t>
  </si>
  <si>
    <t>912810RS9</t>
  </si>
  <si>
    <t>912810SD1</t>
  </si>
  <si>
    <t>912810SK5</t>
  </si>
  <si>
    <t>912810SV1</t>
  </si>
  <si>
    <t>912810TC2</t>
  </si>
  <si>
    <t>912810TV0</t>
  </si>
  <si>
    <t>912810UC0</t>
  </si>
  <si>
    <t>912810UE6</t>
  </si>
  <si>
    <t>912810UG1</t>
  </si>
  <si>
    <t>912810UL0</t>
  </si>
  <si>
    <t>912810UM8</t>
  </si>
  <si>
    <t>912810UP1</t>
  </si>
  <si>
    <t>912810UR7</t>
  </si>
  <si>
    <t>912810UT3</t>
  </si>
  <si>
    <t>912803BK8</t>
  </si>
  <si>
    <t>912803CG6</t>
  </si>
  <si>
    <t>912803DD2</t>
  </si>
  <si>
    <t>912803DS9</t>
  </si>
  <si>
    <t>912803EH2</t>
  </si>
  <si>
    <t>912803EJ8</t>
  </si>
  <si>
    <t>912803FD0</t>
  </si>
  <si>
    <t>912803FP3</t>
  </si>
  <si>
    <t>912810EX2</t>
  </si>
  <si>
    <t>912810FD5</t>
  </si>
  <si>
    <t>912810QA9</t>
  </si>
  <si>
    <t>912810QN1</t>
  </si>
  <si>
    <t>912803DM2</t>
  </si>
  <si>
    <t>912803DP5</t>
  </si>
  <si>
    <t>912803DY6</t>
  </si>
  <si>
    <t>912803FT5</t>
  </si>
  <si>
    <t>912810PV4</t>
  </si>
  <si>
    <t>912810PX0</t>
  </si>
  <si>
    <t>912810QB7</t>
  </si>
  <si>
    <t>912810QF8</t>
  </si>
  <si>
    <t>912810QV3</t>
  </si>
  <si>
    <t>912810QZ4</t>
  </si>
  <si>
    <t>912810RC4</t>
  </si>
  <si>
    <t>912810RE0</t>
  </si>
  <si>
    <t>912803FA6</t>
  </si>
  <si>
    <t>912803FR9</t>
  </si>
  <si>
    <t>912810FT0</t>
  </si>
  <si>
    <t>912810QS0</t>
  </si>
  <si>
    <t>912810RB6</t>
  </si>
  <si>
    <t>912810RT7</t>
  </si>
  <si>
    <t>912810SH2</t>
  </si>
  <si>
    <t>912810SJ8</t>
  </si>
  <si>
    <t>912810SR0</t>
  </si>
  <si>
    <t>912810SZ2</t>
  </si>
  <si>
    <t>912810TA6</t>
  </si>
  <si>
    <t>912810TM0</t>
  </si>
  <si>
    <t>912810TN8</t>
  </si>
  <si>
    <t>912810TP3</t>
  </si>
  <si>
    <t>912810TY4</t>
  </si>
  <si>
    <t>912810UK2</t>
  </si>
  <si>
    <t>912810UN6</t>
  </si>
  <si>
    <t>912810UQ9</t>
  </si>
  <si>
    <t>9128205B9</t>
  </si>
  <si>
    <t>912821DV4</t>
  </si>
  <si>
    <t>912821HY4</t>
  </si>
  <si>
    <t>912821MX0</t>
  </si>
  <si>
    <t>9128282A7</t>
  </si>
  <si>
    <t>912810QE1</t>
  </si>
  <si>
    <t>912810QW1</t>
  </si>
  <si>
    <t>912810QX9</t>
  </si>
  <si>
    <t>912810RA8</t>
  </si>
  <si>
    <t>912810SA7</t>
  </si>
  <si>
    <t>912810SC3</t>
  </si>
  <si>
    <t>912810SF6</t>
  </si>
  <si>
    <t>912810SL3</t>
  </si>
  <si>
    <t>912810SM1</t>
  </si>
  <si>
    <t>912810SP4</t>
  </si>
  <si>
    <t>912810ST6</t>
  </si>
  <si>
    <t>912810SX7</t>
  </si>
  <si>
    <t>912810TB4</t>
  </si>
  <si>
    <t>912810TG3</t>
  </si>
  <si>
    <t>912810TJ7</t>
  </si>
  <si>
    <t>912810TQ1</t>
  </si>
  <si>
    <t>912810TR9</t>
  </si>
  <si>
    <t>912810TW8</t>
  </si>
  <si>
    <t>912810RL4</t>
  </si>
  <si>
    <t>912810RN0</t>
  </si>
  <si>
    <t>912810RP5</t>
  </si>
  <si>
    <t>912810RQ3</t>
  </si>
  <si>
    <t>912810RU4</t>
  </si>
  <si>
    <t>912810RX8</t>
  </si>
  <si>
    <t>912810SB5</t>
  </si>
  <si>
    <t>912810SG4</t>
  </si>
  <si>
    <t>912810TF5</t>
  </si>
  <si>
    <t>912810TK4</t>
  </si>
  <si>
    <t>912810TZ1</t>
  </si>
  <si>
    <t>912810UA4</t>
  </si>
  <si>
    <t>912810UH9</t>
  </si>
  <si>
    <t>912821FP5</t>
  </si>
  <si>
    <t>912821JN6</t>
  </si>
  <si>
    <t>912821LG8</t>
  </si>
  <si>
    <t>912821MH5</t>
  </si>
  <si>
    <t>9128282L3</t>
  </si>
  <si>
    <t>9128282R0</t>
  </si>
  <si>
    <t>9128283F5</t>
  </si>
  <si>
    <t>9128284N7</t>
  </si>
  <si>
    <t>9128284V9</t>
  </si>
  <si>
    <t>9128285M8</t>
  </si>
  <si>
    <t>9128285W6</t>
  </si>
  <si>
    <t>9128286T2</t>
  </si>
  <si>
    <t>9128287D6</t>
  </si>
  <si>
    <t>912828X88</t>
  </si>
  <si>
    <t>912828Y38</t>
  </si>
  <si>
    <t>912828Y95</t>
  </si>
  <si>
    <t>912828YX2</t>
  </si>
  <si>
    <t>912828Z78</t>
  </si>
  <si>
    <t>912810RJ9</t>
  </si>
  <si>
    <t>912810RZ3</t>
  </si>
  <si>
    <t>912810SN9</t>
  </si>
  <si>
    <t>912810SQ2</t>
  </si>
  <si>
    <t>912810TH1</t>
  </si>
  <si>
    <t>912810TL2</t>
  </si>
  <si>
    <t>912810TT5</t>
  </si>
  <si>
    <t>912810TX6</t>
  </si>
  <si>
    <t>912810UB2</t>
  </si>
  <si>
    <t>912810UF3</t>
  </si>
  <si>
    <t>912810US5</t>
  </si>
  <si>
    <t>912810RG5</t>
  </si>
  <si>
    <t>912810RH3</t>
  </si>
  <si>
    <t>912810RV2</t>
  </si>
  <si>
    <t>912810RW0</t>
  </si>
  <si>
    <t>912810RY6</t>
  </si>
  <si>
    <t>912810SE9</t>
  </si>
  <si>
    <t>912810SS8</t>
  </si>
  <si>
    <t>912810SU3</t>
  </si>
  <si>
    <t>912810TS7</t>
  </si>
  <si>
    <t>912810SW9</t>
  </si>
  <si>
    <t>912810TD0</t>
  </si>
  <si>
    <t>912810TE8</t>
  </si>
  <si>
    <t>912810TU2</t>
  </si>
  <si>
    <t>912810UJ5</t>
  </si>
  <si>
    <t>9128207D3</t>
  </si>
  <si>
    <t>9128283R9</t>
  </si>
  <si>
    <t>9128286B1</t>
  </si>
  <si>
    <t>912828U24</t>
  </si>
  <si>
    <t>912828V49</t>
  </si>
  <si>
    <t>912828V98</t>
  </si>
  <si>
    <t>912828YB0</t>
  </si>
  <si>
    <t>912828YG9</t>
  </si>
  <si>
    <t>912828YQ7</t>
  </si>
  <si>
    <t>912828Z94</t>
  </si>
  <si>
    <t>912828ZB9</t>
  </si>
  <si>
    <t>912828ZE3</t>
  </si>
  <si>
    <t>912810UD8</t>
  </si>
  <si>
    <t>912821KC8</t>
  </si>
  <si>
    <t>9128283W8</t>
  </si>
  <si>
    <t>912821KS3</t>
  </si>
  <si>
    <t>912828YS3</t>
  </si>
  <si>
    <t>912828YU8</t>
  </si>
  <si>
    <t>912828ZQ6</t>
  </si>
  <si>
    <t>912828ZS2</t>
  </si>
  <si>
    <t>912828ZZ6</t>
  </si>
  <si>
    <t>91282CAD3</t>
  </si>
  <si>
    <t>91282CAE1</t>
  </si>
  <si>
    <t>91282CAL5</t>
  </si>
  <si>
    <t>91282CBP5</t>
  </si>
  <si>
    <t>91282CCB5</t>
  </si>
  <si>
    <t>91282CCE9</t>
  </si>
  <si>
    <t>91282CCP4</t>
  </si>
  <si>
    <t>91282CCS8</t>
  </si>
  <si>
    <t>91282CCY5</t>
  </si>
  <si>
    <t>91282CCZ2</t>
  </si>
  <si>
    <t>91282CDF5</t>
  </si>
  <si>
    <t>91282CDJ7</t>
  </si>
  <si>
    <t>91282CDK4</t>
  </si>
  <si>
    <t>912821CA1</t>
  </si>
  <si>
    <t>912821EZ4</t>
  </si>
  <si>
    <t>912821HJ7</t>
  </si>
  <si>
    <t>912828YD6</t>
  </si>
  <si>
    <t>9128204M6</t>
  </si>
  <si>
    <t>912821DF9</t>
  </si>
  <si>
    <t>912821GU3</t>
  </si>
  <si>
    <t>912828ZN3</t>
  </si>
  <si>
    <t>91282CAH4</t>
  </si>
  <si>
    <t>91282CAY7</t>
  </si>
  <si>
    <t>91282CDL2</t>
  </si>
  <si>
    <t>91282CDY4</t>
  </si>
  <si>
    <t>91282CEC1</t>
  </si>
  <si>
    <t>91282CEE7</t>
  </si>
  <si>
    <t>91282CEF4</t>
  </si>
  <si>
    <t>91282CEJ6</t>
  </si>
  <si>
    <t>91282CEM9</t>
  </si>
  <si>
    <t>91282CEP2</t>
  </si>
  <si>
    <t>91282CES6</t>
  </si>
  <si>
    <t>91282CEW7</t>
  </si>
  <si>
    <t>91282CFB2</t>
  </si>
  <si>
    <t>91282CFF3</t>
  </si>
  <si>
    <t>91282CFJ5</t>
  </si>
  <si>
    <t>91282CFL0</t>
  </si>
  <si>
    <t>91282CFR7</t>
  </si>
  <si>
    <t>91282CFT3</t>
  </si>
  <si>
    <t>91282CFV8</t>
  </si>
  <si>
    <t>91282CFY2</t>
  </si>
  <si>
    <t>91282CGB1</t>
  </si>
  <si>
    <t>91282CGC9</t>
  </si>
  <si>
    <t>91282CGJ4</t>
  </si>
  <si>
    <t>91282CGK1</t>
  </si>
  <si>
    <t>91282CGM7</t>
  </si>
  <si>
    <t>912828ZV5</t>
  </si>
  <si>
    <t>91282CAU5</t>
  </si>
  <si>
    <t>91282CAV3</t>
  </si>
  <si>
    <t>91282CBB6</t>
  </si>
  <si>
    <t>91282CBF7</t>
  </si>
  <si>
    <t>91282CBL4</t>
  </si>
  <si>
    <t>91282CBS9</t>
  </si>
  <si>
    <t>91282CCH2</t>
  </si>
  <si>
    <t>91282CCV1</t>
  </si>
  <si>
    <t>91282CCW9</t>
  </si>
  <si>
    <t>91282CBZ3</t>
  </si>
  <si>
    <t>91282CCR0</t>
  </si>
  <si>
    <t>91282CDG3</t>
  </si>
  <si>
    <t>91282CDP3</t>
  </si>
  <si>
    <t>91282CDQ1</t>
  </si>
  <si>
    <t>91282CDW8</t>
  </si>
  <si>
    <t>912828Z37</t>
  </si>
  <si>
    <t>91282CBJ9</t>
  </si>
  <si>
    <t>91282CCM1</t>
  </si>
  <si>
    <t>91282CDX6</t>
  </si>
  <si>
    <t>91282CEB3</t>
  </si>
  <si>
    <t>91282CEN7</t>
  </si>
  <si>
    <t>91282CEV9</t>
  </si>
  <si>
    <t>91282CFC0</t>
  </si>
  <si>
    <t>91282CFH9</t>
  </si>
  <si>
    <t>91282CFM8</t>
  </si>
  <si>
    <t>91282CGH8</t>
  </si>
  <si>
    <t>91282CGP0</t>
  </si>
  <si>
    <t>91282CGQ8</t>
  </si>
  <si>
    <t>91282CDC2</t>
  </si>
  <si>
    <t>91282CET4</t>
  </si>
  <si>
    <t>91282CEZ0</t>
  </si>
  <si>
    <t>91282CFU0</t>
  </si>
  <si>
    <t>91282CFZ9</t>
  </si>
  <si>
    <t>91282CGZ8</t>
  </si>
  <si>
    <t>91282CHC8</t>
  </si>
  <si>
    <t>91282CHE4</t>
  </si>
  <si>
    <t>91282CHF1</t>
  </si>
  <si>
    <t>91282CGW5</t>
  </si>
  <si>
    <t>91282CHA2</t>
  </si>
  <si>
    <t>91282CHP9</t>
  </si>
  <si>
    <t>91282CHT1</t>
  </si>
  <si>
    <t>91282CHX2</t>
  </si>
  <si>
    <t>91282CHY0</t>
  </si>
  <si>
    <t>91282CJC6</t>
  </si>
  <si>
    <t>91282CJF9</t>
  </si>
  <si>
    <t>91282CJG7</t>
  </si>
  <si>
    <t>91282CJH5</t>
  </si>
  <si>
    <t>91282CJJ1</t>
  </si>
  <si>
    <t>91282CJK8</t>
  </si>
  <si>
    <t>91282CJN2</t>
  </si>
  <si>
    <t>91282CJP7</t>
  </si>
  <si>
    <t>91282CJQ5</t>
  </si>
  <si>
    <t>91282CJR3</t>
  </si>
  <si>
    <t>91282CJT9</t>
  </si>
  <si>
    <t>91282CHQ7</t>
  </si>
  <si>
    <t>91282CHU8</t>
  </si>
  <si>
    <t>91282CHW4</t>
  </si>
  <si>
    <t>91282CHZ7</t>
  </si>
  <si>
    <t>91282CJA0</t>
  </si>
  <si>
    <t>91282CJW2</t>
  </si>
  <si>
    <t>91282CJX0</t>
  </si>
  <si>
    <t>91282CJY8</t>
  </si>
  <si>
    <t>91282CJZ5</t>
  </si>
  <si>
    <t>91282CKC4</t>
  </si>
  <si>
    <t>91282CKE0</t>
  </si>
  <si>
    <t>91282CKN0</t>
  </si>
  <si>
    <t>91282CKQ3</t>
  </si>
  <si>
    <t>91282CKR1</t>
  </si>
  <si>
    <t>91282CKU4</t>
  </si>
  <si>
    <t>91282CKW0</t>
  </si>
  <si>
    <t>91282CKZ3</t>
  </si>
  <si>
    <t>912803DQ3</t>
  </si>
  <si>
    <t>912803FE8</t>
  </si>
  <si>
    <t>912803GA5</t>
  </si>
  <si>
    <t>91282CGS4</t>
  </si>
  <si>
    <t>91282CGT2</t>
  </si>
  <si>
    <t>91282CHK0</t>
  </si>
  <si>
    <t>91282CJM4</t>
  </si>
  <si>
    <t>91282CHJ3</t>
  </si>
  <si>
    <t>91282CHR5</t>
  </si>
  <si>
    <t>91282CKA8</t>
  </si>
  <si>
    <t>91282CLB5</t>
  </si>
  <si>
    <t>91282CLE9</t>
  </si>
  <si>
    <t>91282CLG4</t>
  </si>
  <si>
    <t>91282CLJ8</t>
  </si>
  <si>
    <t>91282CLN9</t>
  </si>
  <si>
    <t>91282CLP4</t>
  </si>
  <si>
    <t>91282CLQ2</t>
  </si>
  <si>
    <t>91282CLS8</t>
  </si>
  <si>
    <t>91282CMB4</t>
  </si>
  <si>
    <t>91282CMD0</t>
  </si>
  <si>
    <t>91282CME8</t>
  </si>
  <si>
    <t>91282CMF5</t>
  </si>
  <si>
    <t>91282CMG3</t>
  </si>
  <si>
    <t>91282CMH1</t>
  </si>
  <si>
    <t>91282CMK4</t>
  </si>
  <si>
    <t>91282CMM0</t>
  </si>
  <si>
    <t>91282CMN8</t>
  </si>
  <si>
    <t>91282CMP3</t>
  </si>
  <si>
    <t>91282CMS7</t>
  </si>
  <si>
    <t>91282CNA5</t>
  </si>
  <si>
    <t>91282CNB3</t>
  </si>
  <si>
    <t>91282CKD2</t>
  </si>
  <si>
    <t>91282CKF7</t>
  </si>
  <si>
    <t>91282CKP5</t>
  </si>
  <si>
    <t>91282CLC3</t>
  </si>
  <si>
    <t>91282CLL3</t>
  </si>
  <si>
    <t>91282CKG5</t>
  </si>
  <si>
    <t>91282CKJ9</t>
  </si>
  <si>
    <t>91282CKL4</t>
  </si>
  <si>
    <t>91282CKT7</t>
  </si>
  <si>
    <t>91282CKV2</t>
  </si>
  <si>
    <t>91282CKX8</t>
  </si>
  <si>
    <t>91282CLD1</t>
  </si>
  <si>
    <t>91282CLF6</t>
  </si>
  <si>
    <t>91282CLH2</t>
  </si>
  <si>
    <t>91282CLK5</t>
  </si>
  <si>
    <t>91282CLM1</t>
  </si>
  <si>
    <t>91282CLU3</t>
  </si>
  <si>
    <t>91282CLW9</t>
  </si>
  <si>
    <t>91282CMA6</t>
  </si>
  <si>
    <t>91282CMC2</t>
  </si>
  <si>
    <t>91282CLV1</t>
  </si>
  <si>
    <t>91282CLY5</t>
  </si>
  <si>
    <t>91282CLZ2</t>
  </si>
  <si>
    <t>91282CML2</t>
  </si>
  <si>
    <t>91282CMR9</t>
  </si>
  <si>
    <t>91282CMT5</t>
  </si>
  <si>
    <t>91282CMU2</t>
  </si>
  <si>
    <t>91282CMW8</t>
  </si>
  <si>
    <t>91282CNC1</t>
  </si>
  <si>
    <t>91282CNG2</t>
  </si>
  <si>
    <t>91282CLR0</t>
  </si>
  <si>
    <t>91282CLX7</t>
  </si>
  <si>
    <t>91282CMV0</t>
  </si>
  <si>
    <t>91282CMY4</t>
  </si>
  <si>
    <t>91282CMZ1</t>
  </si>
  <si>
    <t>91282CND9</t>
  </si>
  <si>
    <t>91282CNF4</t>
  </si>
  <si>
    <t>91282CNH0</t>
  </si>
  <si>
    <t>91282CNJ6</t>
  </si>
  <si>
    <t>91282CNK3</t>
  </si>
  <si>
    <t>91282CNL1</t>
  </si>
  <si>
    <t>91282CNM9</t>
  </si>
  <si>
    <t>91282CNN7</t>
  </si>
  <si>
    <t>91282CNP2</t>
  </si>
  <si>
    <t>91282CNR8</t>
  </si>
  <si>
    <t>91282CNE7</t>
  </si>
  <si>
    <t>91282CNS6</t>
  </si>
  <si>
    <t>91282CNT4</t>
  </si>
  <si>
    <t>91282CNV9</t>
  </si>
  <si>
    <t>91282CNW7</t>
  </si>
  <si>
    <t>91282CNZ0</t>
  </si>
  <si>
    <t>91282CPA3</t>
  </si>
  <si>
    <t>91282CPB1</t>
  </si>
  <si>
    <t>91282CPC9</t>
  </si>
  <si>
    <t>91282CPJ4</t>
  </si>
  <si>
    <t>91282CPN5</t>
  </si>
  <si>
    <t>91282CNU1</t>
  </si>
  <si>
    <t>91282CNX5</t>
  </si>
  <si>
    <t>91282CPE5</t>
  </si>
  <si>
    <t>91282CPF2</t>
  </si>
  <si>
    <t>91282CPH8</t>
  </si>
  <si>
    <t>91282CPK1</t>
  </si>
  <si>
    <t>91282CPL9</t>
  </si>
  <si>
    <t>91282CPM7</t>
  </si>
  <si>
    <t>91282CPQ8</t>
  </si>
  <si>
    <t>91282CPS4</t>
  </si>
  <si>
    <t>91282CNY3</t>
  </si>
  <si>
    <t>91282CPU9</t>
  </si>
  <si>
    <t>91282CPW5</t>
  </si>
  <si>
    <t>91282CPY1</t>
  </si>
  <si>
    <t>91282CPZ8</t>
  </si>
  <si>
    <t>91282CQB0</t>
  </si>
  <si>
    <t>91282CQD6</t>
  </si>
  <si>
    <t>91282CQF1</t>
  </si>
  <si>
    <t>91282CQH7</t>
  </si>
  <si>
    <t>91282CQN4</t>
  </si>
  <si>
    <t>91282CQA2</t>
  </si>
  <si>
    <t>91282CQG9</t>
  </si>
  <si>
    <t>91282CQJ3</t>
  </si>
  <si>
    <t>91282CQK0</t>
  </si>
  <si>
    <t>9128334S6</t>
  </si>
  <si>
    <t>9128337F1</t>
  </si>
  <si>
    <t>9128337Q7</t>
  </si>
  <si>
    <t>9128337V6</t>
  </si>
  <si>
    <t>912833X96</t>
  </si>
  <si>
    <t>912833Y20</t>
  </si>
  <si>
    <t>912834AT5</t>
  </si>
  <si>
    <t>912834JB5</t>
  </si>
  <si>
    <t>912834JH2</t>
  </si>
  <si>
    <t>9128334Y3</t>
  </si>
  <si>
    <t>9128337R5</t>
  </si>
  <si>
    <t>912833Y46</t>
  </si>
  <si>
    <t>912833Z60</t>
  </si>
  <si>
    <t>912834AE8</t>
  </si>
  <si>
    <t>912834AU2</t>
  </si>
  <si>
    <t>912834EP9</t>
  </si>
  <si>
    <t>912834FB9</t>
  </si>
  <si>
    <t>912834KH0</t>
  </si>
  <si>
    <t>912834NF1</t>
  </si>
  <si>
    <t>912834PT9</t>
  </si>
  <si>
    <t>912834PZ5</t>
  </si>
  <si>
    <t>912834QP6</t>
  </si>
  <si>
    <t>912834QV3</t>
  </si>
  <si>
    <t>91282CPD7</t>
  </si>
  <si>
    <t>91282CPP0</t>
  </si>
  <si>
    <t>91282CPT2</t>
  </si>
  <si>
    <t>91282CQC8</t>
  </si>
  <si>
    <t>91282CQE4</t>
  </si>
  <si>
    <t>912834JP4</t>
  </si>
  <si>
    <t>912834LK2</t>
  </si>
  <si>
    <t>912834QH4</t>
  </si>
  <si>
    <t>91282CPR6</t>
  </si>
  <si>
    <t>91282CQL8</t>
  </si>
  <si>
    <t>9128334U1</t>
  </si>
  <si>
    <t>9128334W7</t>
  </si>
  <si>
    <t>9128334X5</t>
  </si>
  <si>
    <t>9128337S3</t>
  </si>
  <si>
    <t>9128337T1</t>
  </si>
  <si>
    <t>9128337U8</t>
  </si>
  <si>
    <t>912834HV3</t>
  </si>
  <si>
    <t>91282CQP9</t>
  </si>
  <si>
    <t>9128334Z0</t>
  </si>
  <si>
    <t>9128335A4</t>
  </si>
  <si>
    <t>912833X88</t>
  </si>
  <si>
    <t>912834AD0</t>
  </si>
  <si>
    <t>912834KV9</t>
  </si>
  <si>
    <t>9128334V9</t>
  </si>
  <si>
    <t>9128335B2</t>
  </si>
  <si>
    <t>9128337W4</t>
  </si>
  <si>
    <t>912834DU9</t>
  </si>
  <si>
    <t>912834MM7</t>
  </si>
  <si>
    <t>912834MT2</t>
  </si>
  <si>
    <t>912834MZ8</t>
  </si>
  <si>
    <t>912834NP9</t>
  </si>
  <si>
    <t>912834PB8</t>
  </si>
  <si>
    <t>912834PH5</t>
  </si>
  <si>
    <t>912834KB3</t>
  </si>
  <si>
    <t>912834LX4</t>
  </si>
  <si>
    <t>912834NV6</t>
  </si>
  <si>
    <t>912834PM4</t>
  </si>
  <si>
    <t>9128334T4</t>
  </si>
  <si>
    <t>912833Z52</t>
  </si>
  <si>
    <t>912834DV7</t>
  </si>
  <si>
    <t>912834EV6</t>
  </si>
  <si>
    <t>912834KP2</t>
  </si>
  <si>
    <t>912834LB2</t>
  </si>
  <si>
    <t>912834LR7</t>
  </si>
  <si>
    <t>912834MD7</t>
  </si>
  <si>
    <t>912810RF7</t>
  </si>
  <si>
    <t>912810SY5</t>
  </si>
  <si>
    <t>912833Y38</t>
  </si>
  <si>
    <t>912797RS8</t>
  </si>
  <si>
    <t>912797TC1</t>
  </si>
  <si>
    <t>912797TW7</t>
  </si>
  <si>
    <t>912797UD7</t>
  </si>
  <si>
    <t>912797UE5</t>
  </si>
  <si>
    <t>912797UH8</t>
  </si>
  <si>
    <t>912797UJ4</t>
  </si>
  <si>
    <t>912797UK1</t>
  </si>
  <si>
    <t>912797UR6</t>
  </si>
  <si>
    <t>912797RG4</t>
  </si>
  <si>
    <t>912797SA6</t>
  </si>
  <si>
    <t>912797SK4</t>
  </si>
  <si>
    <t>912797SU2</t>
  </si>
  <si>
    <t>912797TM9</t>
  </si>
  <si>
    <t>912797TP2</t>
  </si>
  <si>
    <t>912797TV9</t>
  </si>
  <si>
    <t>912797TX5</t>
  </si>
  <si>
    <t>912797UF2</t>
  </si>
  <si>
    <t>912797UG0</t>
  </si>
  <si>
    <t>912797UL9</t>
  </si>
  <si>
    <t>912797TY3</t>
  </si>
  <si>
    <t>912797UT2</t>
  </si>
  <si>
    <t>912797UU9</t>
  </si>
  <si>
    <t>912797TQ0</t>
  </si>
  <si>
    <t>912797UV7</t>
  </si>
  <si>
    <t>912797US4</t>
  </si>
  <si>
    <t>Date</t>
  </si>
  <si>
    <t>Att</t>
  </si>
  <si>
    <t>Src</t>
  </si>
  <si>
    <t>Value</t>
  </si>
  <si>
    <t>Notes</t>
  </si>
  <si>
    <t>CreatedDate</t>
  </si>
  <si>
    <t>CreatedBy</t>
  </si>
  <si>
    <t>ModifiedTime</t>
  </si>
  <si>
    <t>ModifiedBy</t>
  </si>
  <si>
    <t>Yield</t>
  </si>
  <si>
    <t>QW</t>
  </si>
  <si>
    <t>MARINER\SilverAdm</t>
  </si>
  <si>
    <t>BBT3 Yield</t>
  </si>
  <si>
    <t>.TWI2 7/28</t>
  </si>
  <si>
    <t>.TWI2 8/28</t>
  </si>
  <si>
    <t>.TWI2 9/28</t>
  </si>
  <si>
    <t>.TWI7 7/33</t>
  </si>
  <si>
    <t>.TWI7 8/33</t>
  </si>
  <si>
    <t>Price</t>
  </si>
  <si>
    <t>3YU6</t>
  </si>
  <si>
    <t>3YZ6</t>
  </si>
  <si>
    <t>912803BH5</t>
  </si>
  <si>
    <t>AT0000A0VRQ6</t>
  </si>
  <si>
    <t>AT0000A1VGK0</t>
  </si>
  <si>
    <t>AT0000A1ZGE4</t>
  </si>
  <si>
    <t>AT0000A2CQD2</t>
  </si>
  <si>
    <t>AT0000A2EJ08</t>
  </si>
  <si>
    <t>AT0000A2KQ43</t>
  </si>
  <si>
    <t>AT0000A2NW83</t>
  </si>
  <si>
    <t>AT0000A2T198</t>
  </si>
  <si>
    <t>AT0000A2WSC8</t>
  </si>
  <si>
    <t>AT0000A2Y8G4</t>
  </si>
  <si>
    <t>AT0000A324S8</t>
  </si>
  <si>
    <t>AT0000A33SK7</t>
  </si>
  <si>
    <t>AT0000A38239</t>
  </si>
  <si>
    <t>AT0000A39UW5</t>
  </si>
  <si>
    <t>AT0000A3D3Q8</t>
  </si>
  <si>
    <t>AT0000A3EPP2</t>
  </si>
  <si>
    <t>AU0000075681</t>
  </si>
  <si>
    <t>AU0000101792</t>
  </si>
  <si>
    <t>AU0000106411</t>
  </si>
  <si>
    <t>AU0000143901</t>
  </si>
  <si>
    <t>AU0000217101</t>
  </si>
  <si>
    <t>AU0000274706</t>
  </si>
  <si>
    <t>AU0000345241</t>
  </si>
  <si>
    <t>AU000XCLWAF4</t>
  </si>
  <si>
    <t>AU000XCLWAG2</t>
  </si>
  <si>
    <t>AU000XCLWAM0</t>
  </si>
  <si>
    <t>AU000XCLWAO6</t>
  </si>
  <si>
    <t>AU000XCLWAQ1</t>
  </si>
  <si>
    <t>AU000XCLWAR9</t>
  </si>
  <si>
    <t>AU000XCLWAS7</t>
  </si>
  <si>
    <t>AU000XCLWAU3</t>
  </si>
  <si>
    <t>AU3TB0000135</t>
  </si>
  <si>
    <t>AU3TB0000150</t>
  </si>
  <si>
    <t>AU3TB0000192</t>
  </si>
  <si>
    <t>BE0000291972</t>
  </si>
  <si>
    <t>BE0000304130</t>
  </si>
  <si>
    <t>BE0000320292</t>
  </si>
  <si>
    <t>BE0000326356</t>
  </si>
  <si>
    <t>BE0000331406</t>
  </si>
  <si>
    <t>BE0000333428</t>
  </si>
  <si>
    <t>BE0000335449</t>
  </si>
  <si>
    <t>BE0000336454</t>
  </si>
  <si>
    <t>BE0000338476</t>
  </si>
  <si>
    <t>BE0000340498</t>
  </si>
  <si>
    <t>BE0000341504</t>
  </si>
  <si>
    <t>BE0000343526</t>
  </si>
  <si>
    <t>BE0000344532</t>
  </si>
  <si>
    <t>BE0000345547</t>
  </si>
  <si>
    <t>BE0000346552</t>
  </si>
  <si>
    <t>BE0000347568</t>
  </si>
  <si>
    <t>BE0000348574</t>
  </si>
  <si>
    <t>BE0000349580</t>
  </si>
  <si>
    <t>BE0000350596</t>
  </si>
  <si>
    <t>BE0000351602</t>
  </si>
  <si>
    <t>BE0000352618</t>
  </si>
  <si>
    <t>BE0000353624</t>
  </si>
  <si>
    <t>BE0000354630</t>
  </si>
  <si>
    <t>BE0000355645</t>
  </si>
  <si>
    <t>BE0000356650</t>
  </si>
  <si>
    <t>BE0000357666</t>
  </si>
  <si>
    <t>BE0000358672</t>
  </si>
  <si>
    <t>BE0000359688</t>
  </si>
  <si>
    <t>BE0000360694</t>
  </si>
  <si>
    <t>BE0000361700</t>
  </si>
  <si>
    <t>BE0000362716</t>
  </si>
  <si>
    <t>BE0000363722</t>
  </si>
  <si>
    <t>BE0000365743</t>
  </si>
  <si>
    <t>BE0000366758</t>
  </si>
  <si>
    <t>BE0000367764</t>
  </si>
  <si>
    <t>BPSWS1</t>
  </si>
  <si>
    <t>BPSWS10</t>
  </si>
  <si>
    <t>BPSWS12</t>
  </si>
  <si>
    <t>BPSWS15</t>
  </si>
  <si>
    <t>BPSWS1F</t>
  </si>
  <si>
    <t>BPSWS1Z</t>
  </si>
  <si>
    <t>BPSWS2</t>
  </si>
  <si>
    <t>BPSWS20</t>
  </si>
  <si>
    <t>BPSWS25</t>
  </si>
  <si>
    <t>BPSWS2Z</t>
  </si>
  <si>
    <t>BPSWS3</t>
  </si>
  <si>
    <t>BPSWS30</t>
  </si>
  <si>
    <t>BPSWS4</t>
  </si>
  <si>
    <t>BPSWS40</t>
  </si>
  <si>
    <t>BPSWS5</t>
  </si>
  <si>
    <t>BPSWS50</t>
  </si>
  <si>
    <t>BPSWS6</t>
  </si>
  <si>
    <t>BPSWS7</t>
  </si>
  <si>
    <t>BPSWS8</t>
  </si>
  <si>
    <t>BPSWS9</t>
  </si>
  <si>
    <t>BPSWSA</t>
  </si>
  <si>
    <t>BPSWSB</t>
  </si>
  <si>
    <t>BPSWSC</t>
  </si>
  <si>
    <t>BPSWSD</t>
  </si>
  <si>
    <t>BPSWSE</t>
  </si>
  <si>
    <t>BPSWSF</t>
  </si>
  <si>
    <t>BPSWSG</t>
  </si>
  <si>
    <t>BPSWSH</t>
  </si>
  <si>
    <t>BPSWSI</t>
  </si>
  <si>
    <t>BPSWSJ</t>
  </si>
  <si>
    <t>BPSWSK</t>
  </si>
  <si>
    <t>BTSU6</t>
  </si>
  <si>
    <t>BTSZ6</t>
  </si>
  <si>
    <t>CA013051DY00</t>
  </si>
  <si>
    <t>CA013051ED53</t>
  </si>
  <si>
    <t>CA135087B949</t>
  </si>
  <si>
    <t>CA135087C939</t>
  </si>
  <si>
    <t>CA135087D358</t>
  </si>
  <si>
    <t>CA135087F825</t>
  </si>
  <si>
    <t>CA135087G997</t>
  </si>
  <si>
    <t>CA135087H235</t>
  </si>
  <si>
    <t>CA135087H722</t>
  </si>
  <si>
    <t>CA135087J397</t>
  </si>
  <si>
    <t>CA135087K379</t>
  </si>
  <si>
    <t>CA135087L443</t>
  </si>
  <si>
    <t>CA135087L930</t>
  </si>
  <si>
    <t>CA135087M276</t>
  </si>
  <si>
    <t>CA135087M433</t>
  </si>
  <si>
    <t>CA135087M680</t>
  </si>
  <si>
    <t>CA135087M847</t>
  </si>
  <si>
    <t>CA135087N266</t>
  </si>
  <si>
    <t>CA135087N597</t>
  </si>
  <si>
    <t>CA135087N670</t>
  </si>
  <si>
    <t>CA135087N837</t>
  </si>
  <si>
    <t>CA135087P329</t>
  </si>
  <si>
    <t>CA135087P576</t>
  </si>
  <si>
    <t>CA135087P733</t>
  </si>
  <si>
    <t>CA135087P998</t>
  </si>
  <si>
    <t>CA135087Q236</t>
  </si>
  <si>
    <t>CA135087Q491</t>
  </si>
  <si>
    <t>CA135087Q723</t>
  </si>
  <si>
    <t>CA135087Q988</t>
  </si>
  <si>
    <t>CA135087R481</t>
  </si>
  <si>
    <t>CA135087R713</t>
  </si>
  <si>
    <t>CA135087R895</t>
  </si>
  <si>
    <t>CA135087R978</t>
  </si>
  <si>
    <t>CA135087S216</t>
  </si>
  <si>
    <t>CA135087S398</t>
  </si>
  <si>
    <t>CA135087S471</t>
  </si>
  <si>
    <t>CA135087S547</t>
  </si>
  <si>
    <t>CA135087S620</t>
  </si>
  <si>
    <t>CA135087S703</t>
  </si>
  <si>
    <t>CA135087S885</t>
  </si>
  <si>
    <t>CA135087S968</t>
  </si>
  <si>
    <t>CA135087T388</t>
  </si>
  <si>
    <t>CA135087T461</t>
  </si>
  <si>
    <t>CA135087T537</t>
  </si>
  <si>
    <t>CA135087T610</t>
  </si>
  <si>
    <t>CA135087T792</t>
  </si>
  <si>
    <t>CA135087T875</t>
  </si>
  <si>
    <t>CA135087T958</t>
  </si>
  <si>
    <t>CA135087U287</t>
  </si>
  <si>
    <t>CA135087U360</t>
  </si>
  <si>
    <t>CA135087U444</t>
  </si>
  <si>
    <t>CA135087U691</t>
  </si>
  <si>
    <t>CA135087VS05</t>
  </si>
  <si>
    <t>CA135087VW17</t>
  </si>
  <si>
    <t>CA135087WL43</t>
  </si>
  <si>
    <t>CA135087WV25</t>
  </si>
  <si>
    <t>CA135087XG49</t>
  </si>
  <si>
    <t>CA135087XQ21</t>
  </si>
  <si>
    <t>CA135087XW98</t>
  </si>
  <si>
    <t>CA135087YK42</t>
  </si>
  <si>
    <t>CA135087YQ12</t>
  </si>
  <si>
    <t>CA135087ZH04</t>
  </si>
  <si>
    <t>CA135087ZS68</t>
  </si>
  <si>
    <t>CA13509PFL28</t>
  </si>
  <si>
    <t>CA13509PFX65</t>
  </si>
  <si>
    <t>CA13509PGF41</t>
  </si>
  <si>
    <t>CA13509PGL19</t>
  </si>
  <si>
    <t>CA13509PGS61</t>
  </si>
  <si>
    <t>CA13509PHD83</t>
  </si>
  <si>
    <t>CA13509PHM82</t>
  </si>
  <si>
    <t>CA13509PHQ96</t>
  </si>
  <si>
    <t>CA13509PHS52</t>
  </si>
  <si>
    <t>CA13509PHU09</t>
  </si>
  <si>
    <t>CA13509PHW64</t>
  </si>
  <si>
    <t>CA13509PHX48</t>
  </si>
  <si>
    <t>CA13509PHZ95</t>
  </si>
  <si>
    <t>CA13509PJA27</t>
  </si>
  <si>
    <t>CA13509PJB00</t>
  </si>
  <si>
    <t>CA13509PJC82</t>
  </si>
  <si>
    <t>CA13509PJE49</t>
  </si>
  <si>
    <t>CA13509PJF14</t>
  </si>
  <si>
    <t>CA13509PJK09</t>
  </si>
  <si>
    <t>CA13509PJL81</t>
  </si>
  <si>
    <t>CA13509PJN48</t>
  </si>
  <si>
    <t>CA458182EC20</t>
  </si>
  <si>
    <t>CA45950KCY43</t>
  </si>
  <si>
    <t>CA614853EV72</t>
  </si>
  <si>
    <t>CA683234B984</t>
  </si>
  <si>
    <t>CA683234YD42</t>
  </si>
  <si>
    <t>CA68323ADZ45</t>
  </si>
  <si>
    <t>CA68323AEE07</t>
  </si>
  <si>
    <t>CA68329AAE88</t>
  </si>
  <si>
    <t>CA68329AAF53</t>
  </si>
  <si>
    <t>CA68333ZAC10</t>
  </si>
  <si>
    <t>CA68333ZAE75</t>
  </si>
  <si>
    <t>CA68333ZAG24</t>
  </si>
  <si>
    <t>CA68333ZAH07</t>
  </si>
  <si>
    <t>CA68333ZAL19</t>
  </si>
  <si>
    <t>CA68333ZAT45</t>
  </si>
  <si>
    <t>CA68333ZAU18</t>
  </si>
  <si>
    <t>CA68333ZAV90</t>
  </si>
  <si>
    <t>CA68333ZAY30</t>
  </si>
  <si>
    <t>CA68333ZAZ05</t>
  </si>
  <si>
    <t>CA68333ZBF32</t>
  </si>
  <si>
    <t>CADUSD CURNCY</t>
  </si>
  <si>
    <t>CAONREPO</t>
  </si>
  <si>
    <t>CDSO1</t>
  </si>
  <si>
    <t>CDSO10</t>
  </si>
  <si>
    <t>CDSO12</t>
  </si>
  <si>
    <t>CDSO15</t>
  </si>
  <si>
    <t>CDSO2</t>
  </si>
  <si>
    <t>CDSO20</t>
  </si>
  <si>
    <t>CDSO25</t>
  </si>
  <si>
    <t>CDSO3</t>
  </si>
  <si>
    <t>CDSO30</t>
  </si>
  <si>
    <t>CDSO4</t>
  </si>
  <si>
    <t>CDSO40</t>
  </si>
  <si>
    <t>CDSO5</t>
  </si>
  <si>
    <t>CDSO6</t>
  </si>
  <si>
    <t>CDSO7</t>
  </si>
  <si>
    <t>CDSO8</t>
  </si>
  <si>
    <t>CDSO9</t>
  </si>
  <si>
    <t>CDSOA</t>
  </si>
  <si>
    <t>CDSOB</t>
  </si>
  <si>
    <t>CDSOC</t>
  </si>
  <si>
    <t>CDSOD</t>
  </si>
  <si>
    <t>CDSOE</t>
  </si>
  <si>
    <t>CDSOF</t>
  </si>
  <si>
    <t>CDSOG</t>
  </si>
  <si>
    <t>CDSOH</t>
  </si>
  <si>
    <t>CDSOI</t>
  </si>
  <si>
    <t>CDSOJ</t>
  </si>
  <si>
    <t>CDSOK</t>
  </si>
  <si>
    <t>CORH7</t>
  </si>
  <si>
    <t>CORM6</t>
  </si>
  <si>
    <t>CORM7</t>
  </si>
  <si>
    <t>CORU6</t>
  </si>
  <si>
    <t>CORU7</t>
  </si>
  <si>
    <t>CORZ6</t>
  </si>
  <si>
    <t>CORZ7</t>
  </si>
  <si>
    <t>CVU6</t>
  </si>
  <si>
    <t>DE0001030708</t>
  </si>
  <si>
    <t>DE0001030724</t>
  </si>
  <si>
    <t>DE0001030732</t>
  </si>
  <si>
    <t>DE0001030740</t>
  </si>
  <si>
    <t>DE0001030757</t>
  </si>
  <si>
    <t>DE0001102341</t>
  </si>
  <si>
    <t>DE0001102408</t>
  </si>
  <si>
    <t>DE0001102416</t>
  </si>
  <si>
    <t>DE0001102424</t>
  </si>
  <si>
    <t>DE0001102432</t>
  </si>
  <si>
    <t>DE0001102440</t>
  </si>
  <si>
    <t>DE0001102457</t>
  </si>
  <si>
    <t>DE0001102465</t>
  </si>
  <si>
    <t>DE0001102473</t>
  </si>
  <si>
    <t>DE0001102481</t>
  </si>
  <si>
    <t>DE0001102499</t>
  </si>
  <si>
    <t>DE0001102507</t>
  </si>
  <si>
    <t>DE0001102515</t>
  </si>
  <si>
    <t>DE0001102523</t>
  </si>
  <si>
    <t>DE0001102531</t>
  </si>
  <si>
    <t>DE0001102549</t>
  </si>
  <si>
    <t>DE0001102556</t>
  </si>
  <si>
    <t>DE0001102564</t>
  </si>
  <si>
    <t>DE0001102572</t>
  </si>
  <si>
    <t>DE0001102580</t>
  </si>
  <si>
    <t>DE0001102598</t>
  </si>
  <si>
    <t>DE0001102606</t>
  </si>
  <si>
    <t>DE0001102614</t>
  </si>
  <si>
    <t>DE0001102622</t>
  </si>
  <si>
    <t>DE0001135044</t>
  </si>
  <si>
    <t>DE0001135069</t>
  </si>
  <si>
    <t>DE0001135085</t>
  </si>
  <si>
    <t>DE0001135143</t>
  </si>
  <si>
    <t>DE0001135176</t>
  </si>
  <si>
    <t>DE0001135226</t>
  </si>
  <si>
    <t>DE0001135275</t>
  </si>
  <si>
    <t>DE0001135325</t>
  </si>
  <si>
    <t>DE0001135366</t>
  </si>
  <si>
    <t>DE0001135432</t>
  </si>
  <si>
    <t>DE0001135481</t>
  </si>
  <si>
    <t>DE0001141844</t>
  </si>
  <si>
    <t>DE0001141851</t>
  </si>
  <si>
    <t>DE0001141869</t>
  </si>
  <si>
    <t>DE000A2SBDF7</t>
  </si>
  <si>
    <t>DE000BU22064</t>
  </si>
  <si>
    <t>DE000BU22072</t>
  </si>
  <si>
    <t>DE000BU22080</t>
  </si>
  <si>
    <t>DE000BU22098</t>
  </si>
  <si>
    <t>DE000BU22106</t>
  </si>
  <si>
    <t>DE000BU22114</t>
  </si>
  <si>
    <t>DE000BU22122</t>
  </si>
  <si>
    <t>DE000BU22130</t>
  </si>
  <si>
    <t>DE000BU25000</t>
  </si>
  <si>
    <t>DE000BU25018</t>
  </si>
  <si>
    <t>DE000BU25026</t>
  </si>
  <si>
    <t>DE000BU25034</t>
  </si>
  <si>
    <t>DE000BU25042</t>
  </si>
  <si>
    <t>DE000BU25059</t>
  </si>
  <si>
    <t>DE000BU25067</t>
  </si>
  <si>
    <t>DE000BU27006</t>
  </si>
  <si>
    <t>DE000BU27014</t>
  </si>
  <si>
    <t>DE000BU2D004</t>
  </si>
  <si>
    <t>DE000BU2D012</t>
  </si>
  <si>
    <t>DE000BU2F009</t>
  </si>
  <si>
    <t>DE000BU2T000</t>
  </si>
  <si>
    <t>DE000BU2Z007</t>
  </si>
  <si>
    <t>DE000BU2Z015</t>
  </si>
  <si>
    <t>DE000BU2Z023</t>
  </si>
  <si>
    <t>DE000BU2Z031</t>
  </si>
  <si>
    <t>DE000BU2Z049</t>
  </si>
  <si>
    <t>DE000BU2Z056</t>
  </si>
  <si>
    <t>DE000BU2Z064</t>
  </si>
  <si>
    <t>DE000BU35025</t>
  </si>
  <si>
    <t>DE000BU3F007</t>
  </si>
  <si>
    <t>DE000BU3Z005</t>
  </si>
  <si>
    <t>DE000BU3Z047</t>
  </si>
  <si>
    <t>DUU6</t>
  </si>
  <si>
    <t>DUZ6</t>
  </si>
  <si>
    <t>EESWE1</t>
  </si>
  <si>
    <t>EESWE10</t>
  </si>
  <si>
    <t>EESWE11</t>
  </si>
  <si>
    <t>EESWE12</t>
  </si>
  <si>
    <t>EESWE13</t>
  </si>
  <si>
    <t>EESWE14</t>
  </si>
  <si>
    <t>EESWE15</t>
  </si>
  <si>
    <t>EESWE16</t>
  </si>
  <si>
    <t>EESWE17</t>
  </si>
  <si>
    <t>EESWE18</t>
  </si>
  <si>
    <t>EESWE19</t>
  </si>
  <si>
    <t>EESWE1C</t>
  </si>
  <si>
    <t>EESWE1F</t>
  </si>
  <si>
    <t>EESWE1I</t>
  </si>
  <si>
    <t>EESWE1Z</t>
  </si>
  <si>
    <t>EESWE2</t>
  </si>
  <si>
    <t>EESWE20</t>
  </si>
  <si>
    <t>EESWE25</t>
  </si>
  <si>
    <t>EESWE2Z</t>
  </si>
  <si>
    <t>EESWE3</t>
  </si>
  <si>
    <t>EESWE30</t>
  </si>
  <si>
    <t>EESWE35</t>
  </si>
  <si>
    <t>EESWE3Z</t>
  </si>
  <si>
    <t>EESWE4</t>
  </si>
  <si>
    <t>EESWE40</t>
  </si>
  <si>
    <t>EESWE5</t>
  </si>
  <si>
    <t>EESWE50</t>
  </si>
  <si>
    <t>EESWE6</t>
  </si>
  <si>
    <t>EESWE7</t>
  </si>
  <si>
    <t>EESWE8</t>
  </si>
  <si>
    <t>EESWE9</t>
  </si>
  <si>
    <t>EESWEA</t>
  </si>
  <si>
    <t>EESWEB</t>
  </si>
  <si>
    <t>EESWEC</t>
  </si>
  <si>
    <t>EESWED</t>
  </si>
  <si>
    <t>EESWEE</t>
  </si>
  <si>
    <t>EESWEF</t>
  </si>
  <si>
    <t>EESWEG</t>
  </si>
  <si>
    <t>EESWEH</t>
  </si>
  <si>
    <t>EESWEI</t>
  </si>
  <si>
    <t>EESWEJ</t>
  </si>
  <si>
    <t>EESWEK</t>
  </si>
  <si>
    <t>ERH0</t>
  </si>
  <si>
    <t>ERH1</t>
  </si>
  <si>
    <t>ERH7</t>
  </si>
  <si>
    <t>ERH8</t>
  </si>
  <si>
    <t>ERH9</t>
  </si>
  <si>
    <t>ERM0</t>
  </si>
  <si>
    <t>ERM1</t>
  </si>
  <si>
    <t>ERM7</t>
  </si>
  <si>
    <t>ERM8</t>
  </si>
  <si>
    <t>ERM9</t>
  </si>
  <si>
    <t>ERU0</t>
  </si>
  <si>
    <t>ERU1</t>
  </si>
  <si>
    <t>ERU6</t>
  </si>
  <si>
    <t>ERU7</t>
  </si>
  <si>
    <t>ERU8</t>
  </si>
  <si>
    <t>ERU9</t>
  </si>
  <si>
    <t>ERZ0</t>
  </si>
  <si>
    <t>ERZ1</t>
  </si>
  <si>
    <t>ERZ6</t>
  </si>
  <si>
    <t>ERZ7</t>
  </si>
  <si>
    <t>ERZ8</t>
  </si>
  <si>
    <t>ERZ9</t>
  </si>
  <si>
    <t>ES0000011868</t>
  </si>
  <si>
    <t>ES00000120N0</t>
  </si>
  <si>
    <t>ES00000121S7</t>
  </si>
  <si>
    <t>ES00000123C7</t>
  </si>
  <si>
    <t>ES0000012411</t>
  </si>
  <si>
    <t>ES00000124C5</t>
  </si>
  <si>
    <t>ES00000124H4</t>
  </si>
  <si>
    <t>ES00000127A2</t>
  </si>
  <si>
    <t>ES00000128C6</t>
  </si>
  <si>
    <t>ES00000128E2</t>
  </si>
  <si>
    <t>ES00000128H5</t>
  </si>
  <si>
    <t>ES00000128P8</t>
  </si>
  <si>
    <t>ES00000128Q6</t>
  </si>
  <si>
    <t>ES0000012932</t>
  </si>
  <si>
    <t>ES0000012A89</t>
  </si>
  <si>
    <t>ES0000012B39</t>
  </si>
  <si>
    <t>ES0000012B47</t>
  </si>
  <si>
    <t>ES0000012B88</t>
  </si>
  <si>
    <t>ES0000012E51</t>
  </si>
  <si>
    <t>ES0000012E69</t>
  </si>
  <si>
    <t>ES0000012F43</t>
  </si>
  <si>
    <t>ES0000012F76</t>
  </si>
  <si>
    <t>ES0000012G00</t>
  </si>
  <si>
    <t>ES0000012G26</t>
  </si>
  <si>
    <t>ES0000012G34</t>
  </si>
  <si>
    <t>ES0000012G42</t>
  </si>
  <si>
    <t>ES0000012H41</t>
  </si>
  <si>
    <t>ES0000012H58</t>
  </si>
  <si>
    <t>ES0000012I08</t>
  </si>
  <si>
    <t>ES0000012I24</t>
  </si>
  <si>
    <t>ES0000012I32</t>
  </si>
  <si>
    <t>ES0000012J07</t>
  </si>
  <si>
    <t>ES0000012J15</t>
  </si>
  <si>
    <t>ES0000012K20</t>
  </si>
  <si>
    <t>ES0000012K46</t>
  </si>
  <si>
    <t>ES0000012K53</t>
  </si>
  <si>
    <t>ES0000012K61</t>
  </si>
  <si>
    <t>ES0000012K95</t>
  </si>
  <si>
    <t>ES0000012L52</t>
  </si>
  <si>
    <t>ES0000012L60</t>
  </si>
  <si>
    <t>ES0000012L78</t>
  </si>
  <si>
    <t>ES0000012M51</t>
  </si>
  <si>
    <t>ES0000012M77</t>
  </si>
  <si>
    <t>ES0000012M85</t>
  </si>
  <si>
    <t>ES0000012M93</t>
  </si>
  <si>
    <t>ES0000012N35</t>
  </si>
  <si>
    <t>ES0000012N43</t>
  </si>
  <si>
    <t>ES0000012O00</t>
  </si>
  <si>
    <t>ES0000012O59</t>
  </si>
  <si>
    <t>ES0000012O67</t>
  </si>
  <si>
    <t>ES0000012O75</t>
  </si>
  <si>
    <t>ES0000012P33</t>
  </si>
  <si>
    <t>ES0000012P74</t>
  </si>
  <si>
    <t>ES0000012P90</t>
  </si>
  <si>
    <t>ES0000012Q08</t>
  </si>
  <si>
    <t>ES0000012Q16</t>
  </si>
  <si>
    <t>ES0000012R56</t>
  </si>
  <si>
    <t>EU000A1G1Q17</t>
  </si>
  <si>
    <t>EU000A3K4C42</t>
  </si>
  <si>
    <t>EU000A3K4D41</t>
  </si>
  <si>
    <t>EU000A3K4D74</t>
  </si>
  <si>
    <t>EU000A3K4D82</t>
  </si>
  <si>
    <t>EU000A3K4DD8</t>
  </si>
  <si>
    <t>EU000A3K4DG1</t>
  </si>
  <si>
    <t>EU000A3K4DM9</t>
  </si>
  <si>
    <t>EU000A3K4DS6</t>
  </si>
  <si>
    <t>EU000A3K4DT4</t>
  </si>
  <si>
    <t>EU000A3K4DV0</t>
  </si>
  <si>
    <t>EU000A3K4DW8</t>
  </si>
  <si>
    <t>EU000A3K4DY4</t>
  </si>
  <si>
    <t>EU000A3K4EL9</t>
  </si>
  <si>
    <t>EU000A3K4EN5</t>
  </si>
  <si>
    <t>EU000A3K4ES4</t>
  </si>
  <si>
    <t>EU000A3K4EU0</t>
  </si>
  <si>
    <t>EU000A3K4EW6</t>
  </si>
  <si>
    <t>EU000A3K4EY2</t>
  </si>
  <si>
    <t>EU000A3K7MW2</t>
  </si>
  <si>
    <t>EU000A3KSXE1</t>
  </si>
  <si>
    <t>EU000A3KT6B1</t>
  </si>
  <si>
    <t>EU000A3KTGW6</t>
  </si>
  <si>
    <t>EU000A3KWCF4</t>
  </si>
  <si>
    <t>EU000A3L1CN4</t>
  </si>
  <si>
    <t>EU000A3L1DJ0</t>
  </si>
  <si>
    <t>EU000A3LNF05</t>
  </si>
  <si>
    <t>EU000A3LZ0X9</t>
  </si>
  <si>
    <t>EU000A4D8KD2</t>
  </si>
  <si>
    <t>EU000A4EA8Y7</t>
  </si>
  <si>
    <t>EURUSD CURNCY</t>
  </si>
  <si>
    <t>FFF7</t>
  </si>
  <si>
    <t>FFG7</t>
  </si>
  <si>
    <t>FFH7</t>
  </si>
  <si>
    <t>FFJ7</t>
  </si>
  <si>
    <t>FFK7</t>
  </si>
  <si>
    <t>FFM7</t>
  </si>
  <si>
    <t>FFN6</t>
  </si>
  <si>
    <t>FFN7</t>
  </si>
  <si>
    <t>FFQ6</t>
  </si>
  <si>
    <t>FFQ7</t>
  </si>
  <si>
    <t>FFU6</t>
  </si>
  <si>
    <t>FFV6</t>
  </si>
  <si>
    <t>FFX6</t>
  </si>
  <si>
    <t>FFZ6</t>
  </si>
  <si>
    <t>FI4000348727</t>
  </si>
  <si>
    <t>FI4000415153</t>
  </si>
  <si>
    <t>FI4000546528</t>
  </si>
  <si>
    <t>FR0000186413</t>
  </si>
  <si>
    <t>FR0000187635</t>
  </si>
  <si>
    <t>FR0000188799</t>
  </si>
  <si>
    <t>FR0000571218</t>
  </si>
  <si>
    <t>FR0010070060</t>
  </si>
  <si>
    <t>FR0010171975</t>
  </si>
  <si>
    <t>FR0010371401</t>
  </si>
  <si>
    <t>FR0010447367</t>
  </si>
  <si>
    <t>FR0010773192</t>
  </si>
  <si>
    <t>FR0010870956</t>
  </si>
  <si>
    <t>FR0011008705</t>
  </si>
  <si>
    <t>FR0011317783</t>
  </si>
  <si>
    <t>FR0011461037</t>
  </si>
  <si>
    <t>FR0011883966</t>
  </si>
  <si>
    <t>FR0012993103</t>
  </si>
  <si>
    <t>FR0013154028</t>
  </si>
  <si>
    <t>FR0013154044</t>
  </si>
  <si>
    <t>FR0013154200</t>
  </si>
  <si>
    <t>FR0013200813</t>
  </si>
  <si>
    <t>FR0013209871</t>
  </si>
  <si>
    <t>FR0013234333</t>
  </si>
  <si>
    <t>FR0013238268</t>
  </si>
  <si>
    <t>FR0013250560</t>
  </si>
  <si>
    <t>FR0013257524</t>
  </si>
  <si>
    <t>FR0013286192</t>
  </si>
  <si>
    <t>FR0013313582</t>
  </si>
  <si>
    <t>FR0013341682</t>
  </si>
  <si>
    <t>FR0013404969</t>
  </si>
  <si>
    <t>FR0013407236</t>
  </si>
  <si>
    <t>FR0013451507</t>
  </si>
  <si>
    <t>FR0013480613</t>
  </si>
  <si>
    <t>FR0013515806</t>
  </si>
  <si>
    <t>FR0013516549</t>
  </si>
  <si>
    <t>FR0014001NN8</t>
  </si>
  <si>
    <t>FR0014002JM6</t>
  </si>
  <si>
    <t>FR0014002WK3</t>
  </si>
  <si>
    <t>FR0014003513</t>
  </si>
  <si>
    <t>FR0014003N51</t>
  </si>
  <si>
    <t>FR0014004J31</t>
  </si>
  <si>
    <t>FR0014007L00</t>
  </si>
  <si>
    <t>FR0014009O62</t>
  </si>
  <si>
    <t>FR001400AIN5</t>
  </si>
  <si>
    <t>FR001400BKZ3</t>
  </si>
  <si>
    <t>FR001400CMX2</t>
  </si>
  <si>
    <t>FR001400FTH3</t>
  </si>
  <si>
    <t>FR001400FYQ4</t>
  </si>
  <si>
    <t>FR001400H7V7</t>
  </si>
  <si>
    <t>FR001400HI98</t>
  </si>
  <si>
    <t>FR001400L834</t>
  </si>
  <si>
    <t>FR001400NBC6</t>
  </si>
  <si>
    <t>FR001400NEF3</t>
  </si>
  <si>
    <t>FR001400O9D2</t>
  </si>
  <si>
    <t>FR001400OHF4</t>
  </si>
  <si>
    <t>FR001400PM68</t>
  </si>
  <si>
    <t>FR001400QMF9</t>
  </si>
  <si>
    <t>FR001400WYO4</t>
  </si>
  <si>
    <t>FR001400X8V5</t>
  </si>
  <si>
    <t>FR001400XJJ3</t>
  </si>
  <si>
    <t>FR001400XLW2</t>
  </si>
  <si>
    <t>FR001400Z2L7</t>
  </si>
  <si>
    <t>FR0014012II5</t>
  </si>
  <si>
    <t>FR0014015MU5</t>
  </si>
  <si>
    <t>FR0014016CV2</t>
  </si>
  <si>
    <t>FR0014016G71</t>
  </si>
  <si>
    <t>FVU6</t>
  </si>
  <si>
    <t>FVZ6</t>
  </si>
  <si>
    <t>G U6</t>
  </si>
  <si>
    <t>G Z6</t>
  </si>
  <si>
    <t>GB0002404191</t>
  </si>
  <si>
    <t>GB0004893086</t>
  </si>
  <si>
    <t>GB0008932666</t>
  </si>
  <si>
    <t>GB0031790826</t>
  </si>
  <si>
    <t>GB0032452392</t>
  </si>
  <si>
    <t>GB00B00NY175</t>
  </si>
  <si>
    <t>GB00B06YGN05</t>
  </si>
  <si>
    <t>GB00B0CNHZ09</t>
  </si>
  <si>
    <t>GB00B128DH60</t>
  </si>
  <si>
    <t>GB00B128DP45</t>
  </si>
  <si>
    <t>GB00B16NNR78</t>
  </si>
  <si>
    <t>GB00B1L6W962</t>
  </si>
  <si>
    <t>GB00B1VWPJ53</t>
  </si>
  <si>
    <t>GB00B24FF097</t>
  </si>
  <si>
    <t>GB00B24FFM16</t>
  </si>
  <si>
    <t>GB00B39R3707</t>
  </si>
  <si>
    <t>GB00B3D4VD98</t>
  </si>
  <si>
    <t>GB00B3KJDS62</t>
  </si>
  <si>
    <t>GB00B3LZBF68</t>
  </si>
  <si>
    <t>GB00B3MYD345</t>
  </si>
  <si>
    <t>GB00B3Y1JG82</t>
  </si>
  <si>
    <t>GB00B421JZ66</t>
  </si>
  <si>
    <t>GB00B46CGH68</t>
  </si>
  <si>
    <t>GB00B4PTCY75</t>
  </si>
  <si>
    <t>GB00B52WS153</t>
  </si>
  <si>
    <t>GB00B54QLM75</t>
  </si>
  <si>
    <t>GB00B6460505</t>
  </si>
  <si>
    <t>GB00B6RNH572</t>
  </si>
  <si>
    <t>GB00B73ZYW09</t>
  </si>
  <si>
    <t>GB00B7RN0G65</t>
  </si>
  <si>
    <t>GB00B84Z9V04</t>
  </si>
  <si>
    <t>GB00BBJNQY21</t>
  </si>
  <si>
    <t>GB00BD0XH204</t>
  </si>
  <si>
    <t>GB00BD9MZZ71</t>
  </si>
  <si>
    <t>GB00BDCHBW80</t>
  </si>
  <si>
    <t>GB00BDRHNP05</t>
  </si>
  <si>
    <t>GB00BDX8CX86</t>
  </si>
  <si>
    <t>GB00BFMCN652</t>
  </si>
  <si>
    <t>GB00BFWFPP71</t>
  </si>
  <si>
    <t>GB00BFX0ZL78</t>
  </si>
  <si>
    <t>GB00BJLR0J16</t>
  </si>
  <si>
    <t>GB00BJMHB534</t>
  </si>
  <si>
    <t>GB00BJQWYH73</t>
  </si>
  <si>
    <t>GB00BL68HH02</t>
  </si>
  <si>
    <t>GB00BL6C7720</t>
  </si>
  <si>
    <t>GB00BLBDX619</t>
  </si>
  <si>
    <t>GB00BLH38158</t>
  </si>
  <si>
    <t>GB00BLPK7227</t>
  </si>
  <si>
    <t>GB00BLPK7334</t>
  </si>
  <si>
    <t>GB00BM8Z2S21</t>
  </si>
  <si>
    <t>GB00BM8Z2T38</t>
  </si>
  <si>
    <t>GB00BM8Z2V59</t>
  </si>
  <si>
    <t>GB00BM8Z2W66</t>
  </si>
  <si>
    <t>GB00BMBL1D50</t>
  </si>
  <si>
    <t>GB00BMBL1F74</t>
  </si>
  <si>
    <t>GB00BMBL1G81</t>
  </si>
  <si>
    <t>GB00BMF9LF76</t>
  </si>
  <si>
    <t>GB00BMF9LG83</t>
  </si>
  <si>
    <t>GB00BMGR2809</t>
  </si>
  <si>
    <t>GB00BMGR2916</t>
  </si>
  <si>
    <t>GB00BMV7TC88</t>
  </si>
  <si>
    <t>GB00BN65R313</t>
  </si>
  <si>
    <t>GB00BNNGP551</t>
  </si>
  <si>
    <t>GB00BNNGP668</t>
  </si>
  <si>
    <t>GB00BNNGP775</t>
  </si>
  <si>
    <t>GB00BP9DLZ64</t>
  </si>
  <si>
    <t>GB00BPCJD997</t>
  </si>
  <si>
    <t>GB00BPJJKN53</t>
  </si>
  <si>
    <t>GB00BPJJKP77</t>
  </si>
  <si>
    <t>GB00BPSNB460</t>
  </si>
  <si>
    <t>GB00BPSNBB36</t>
  </si>
  <si>
    <t>GB00BPSNBF73</t>
  </si>
  <si>
    <t>GB00BQC4R999</t>
  </si>
  <si>
    <t>GB00BQC82B83</t>
  </si>
  <si>
    <t>GB00BQC82C90</t>
  </si>
  <si>
    <t>GB00BQC82D08</t>
  </si>
  <si>
    <t>GB00BSQNRC93</t>
  </si>
  <si>
    <t>GB00BSQNRD01</t>
  </si>
  <si>
    <t>GB00BT7J0027</t>
  </si>
  <si>
    <t>GB00BT7J0241</t>
  </si>
  <si>
    <t>GB00BTXS1K06</t>
  </si>
  <si>
    <t>GB00BVP99566</t>
  </si>
  <si>
    <t>GB00BVP99673</t>
  </si>
  <si>
    <t>GB00BVP99780</t>
  </si>
  <si>
    <t>GB00BVP99897</t>
  </si>
  <si>
    <t>GB00BVP99905</t>
  </si>
  <si>
    <t>GB00BWBR1N39</t>
  </si>
  <si>
    <t>GB00BYMWG366</t>
  </si>
  <si>
    <t>GB00BYVP4K94</t>
  </si>
  <si>
    <t>GB00BYYMZX75</t>
  </si>
  <si>
    <t>GB00BYZW3J87</t>
  </si>
  <si>
    <t>GB00BZ13DV40</t>
  </si>
  <si>
    <t>GB00BZB26Y51</t>
  </si>
  <si>
    <t>GBPUSD CURNCY</t>
  </si>
  <si>
    <t>GCFRTSY</t>
  </si>
  <si>
    <t>IE000GVLBXU6</t>
  </si>
  <si>
    <t>IE00BKFVC345</t>
  </si>
  <si>
    <t>IE00BKFVC899</t>
  </si>
  <si>
    <t>IE00BMD03L28</t>
  </si>
  <si>
    <t>IE00BMQ5JL65</t>
  </si>
  <si>
    <t>IE00BMQ5JM72</t>
  </si>
  <si>
    <t>IKU6</t>
  </si>
  <si>
    <t>IT0001086567</t>
  </si>
  <si>
    <t>IT0001174611</t>
  </si>
  <si>
    <t>IT0001278511</t>
  </si>
  <si>
    <t>IT0001444378</t>
  </si>
  <si>
    <t>IT0003256820</t>
  </si>
  <si>
    <t>IT0003535157</t>
  </si>
  <si>
    <t>IT0003745541</t>
  </si>
  <si>
    <t>IT0003934657</t>
  </si>
  <si>
    <t>IT0004286966</t>
  </si>
  <si>
    <t>IT0004532559</t>
  </si>
  <si>
    <t>IT0004545890</t>
  </si>
  <si>
    <t>IT0004735152</t>
  </si>
  <si>
    <t>IT0004889033</t>
  </si>
  <si>
    <t>IT0004923998</t>
  </si>
  <si>
    <t>IT0005024234</t>
  </si>
  <si>
    <t>IT0005083057</t>
  </si>
  <si>
    <t>IT0005094088</t>
  </si>
  <si>
    <t>IT0005138828</t>
  </si>
  <si>
    <t>IT0005162828</t>
  </si>
  <si>
    <t>IT0005177909</t>
  </si>
  <si>
    <t>IT0005210650</t>
  </si>
  <si>
    <t>IT0005217390</t>
  </si>
  <si>
    <t>IT0005240350</t>
  </si>
  <si>
    <t>IT0005240830</t>
  </si>
  <si>
    <t>IT0005273013</t>
  </si>
  <si>
    <t>IT0005274805</t>
  </si>
  <si>
    <t>IT0005321325</t>
  </si>
  <si>
    <t>IT0005323032</t>
  </si>
  <si>
    <t>IT0005340929</t>
  </si>
  <si>
    <t>IT0005358806</t>
  </si>
  <si>
    <t>IT0005363111</t>
  </si>
  <si>
    <t>IT0005365165</t>
  </si>
  <si>
    <t>IT0005377152</t>
  </si>
  <si>
    <t>IT0005383309</t>
  </si>
  <si>
    <t>IT0005390874</t>
  </si>
  <si>
    <t>IT0005398406</t>
  </si>
  <si>
    <t>IT0005402117</t>
  </si>
  <si>
    <t>IT0005403396</t>
  </si>
  <si>
    <t>IT0005413171</t>
  </si>
  <si>
    <t>IT0005416570</t>
  </si>
  <si>
    <t>IT0005421703</t>
  </si>
  <si>
    <t>IT0005422891</t>
  </si>
  <si>
    <t>IT0005425233</t>
  </si>
  <si>
    <t>IT0005433195</t>
  </si>
  <si>
    <t>IT0005433690</t>
  </si>
  <si>
    <t>IT0005436693</t>
  </si>
  <si>
    <t>IT0005436701</t>
  </si>
  <si>
    <t>IT0005438004</t>
  </si>
  <si>
    <t>IT0005441883</t>
  </si>
  <si>
    <t>IT0005445306</t>
  </si>
  <si>
    <t>IT0005449969</t>
  </si>
  <si>
    <t>IT0005454241</t>
  </si>
  <si>
    <t>IT0005466013</t>
  </si>
  <si>
    <t>IT0005467482</t>
  </si>
  <si>
    <t>IT0005480980</t>
  </si>
  <si>
    <t>IT0005484552</t>
  </si>
  <si>
    <t>IT0005494239</t>
  </si>
  <si>
    <t>IT0005495731</t>
  </si>
  <si>
    <t>IT0005496770</t>
  </si>
  <si>
    <t>IT0005500068</t>
  </si>
  <si>
    <t>IT0005508590</t>
  </si>
  <si>
    <t>IT0005518128</t>
  </si>
  <si>
    <t>IT0005519787</t>
  </si>
  <si>
    <t>IT0005521981</t>
  </si>
  <si>
    <t>IT0005530032</t>
  </si>
  <si>
    <t>IT0005534141</t>
  </si>
  <si>
    <t>IT0005542359</t>
  </si>
  <si>
    <t>IT0005542797</t>
  </si>
  <si>
    <t>IT0005543803</t>
  </si>
  <si>
    <t>IT0005544082</t>
  </si>
  <si>
    <t>IT0005548315</t>
  </si>
  <si>
    <t>IT0005556011</t>
  </si>
  <si>
    <t>IT0005560948</t>
  </si>
  <si>
    <t>IT0005561888</t>
  </si>
  <si>
    <t>IT0005566408</t>
  </si>
  <si>
    <t>IT0005580045</t>
  </si>
  <si>
    <t>IT0005580094</t>
  </si>
  <si>
    <t>IT0005582421</t>
  </si>
  <si>
    <t>IT0005584849</t>
  </si>
  <si>
    <t>IT0005584856</t>
  </si>
  <si>
    <t>IT0005595803</t>
  </si>
  <si>
    <t>IT0005596470</t>
  </si>
  <si>
    <t>IT0005599904</t>
  </si>
  <si>
    <t>IT0005607269</t>
  </si>
  <si>
    <t>IT0005607970</t>
  </si>
  <si>
    <t>IT0005611055</t>
  </si>
  <si>
    <t>IT0005611741</t>
  </si>
  <si>
    <t>IT0005619546</t>
  </si>
  <si>
    <t>IT0005622128</t>
  </si>
  <si>
    <t>IT0005631590</t>
  </si>
  <si>
    <t>IT0005631608</t>
  </si>
  <si>
    <t>IT0005633794</t>
  </si>
  <si>
    <t>IT0005635583</t>
  </si>
  <si>
    <t>IT0005637399</t>
  </si>
  <si>
    <t>IT0005641029</t>
  </si>
  <si>
    <t>IT0005647265</t>
  </si>
  <si>
    <t>IT0005647273</t>
  </si>
  <si>
    <t>IT0005648149</t>
  </si>
  <si>
    <t>IT0005654642</t>
  </si>
  <si>
    <t>IT0005657330</t>
  </si>
  <si>
    <t>IT0005660052</t>
  </si>
  <si>
    <t>IT0005668220</t>
  </si>
  <si>
    <t>IT0005668238</t>
  </si>
  <si>
    <t>IT0005671273</t>
  </si>
  <si>
    <t>IT0005676504</t>
  </si>
  <si>
    <t>IT0005689960</t>
  </si>
  <si>
    <t>IT0005689994</t>
  </si>
  <si>
    <t>IT0005692410</t>
  </si>
  <si>
    <t>IT0005694630</t>
  </si>
  <si>
    <t>IT0005704868</t>
  </si>
  <si>
    <t>IT0005706285</t>
  </si>
  <si>
    <t>IT0005706293</t>
  </si>
  <si>
    <t>JP1024821S35</t>
  </si>
  <si>
    <t>JP1024831S41</t>
  </si>
  <si>
    <t>JP1051491MA0</t>
  </si>
  <si>
    <t>JP1051831S10</t>
  </si>
  <si>
    <t>JP1051841S42</t>
  </si>
  <si>
    <t>JP1103441G98</t>
  </si>
  <si>
    <t>JP1103451GC0</t>
  </si>
  <si>
    <t>JP1103461H35</t>
  </si>
  <si>
    <t>JP1103471H66</t>
  </si>
  <si>
    <t>JP1103481H98</t>
  </si>
  <si>
    <t>JP1103491HC4</t>
  </si>
  <si>
    <t>JP1103501J35</t>
  </si>
  <si>
    <t>JP1103511J74</t>
  </si>
  <si>
    <t>JP1103541K42</t>
  </si>
  <si>
    <t>JP1103551K72</t>
  </si>
  <si>
    <t>JP1103561KA2</t>
  </si>
  <si>
    <t>JP1103571L10</t>
  </si>
  <si>
    <t>JP1103581L42</t>
  </si>
  <si>
    <t>JP1103591L73</t>
  </si>
  <si>
    <t>JP1103601LA4</t>
  </si>
  <si>
    <t>JP1103611M11</t>
  </si>
  <si>
    <t>JP1103621M43</t>
  </si>
  <si>
    <t>JP1103631M74</t>
  </si>
  <si>
    <t>JP1103641MA8</t>
  </si>
  <si>
    <t>JP1103741Q44</t>
  </si>
  <si>
    <t>JP1103811S13</t>
  </si>
  <si>
    <t>JP1103821S45</t>
  </si>
  <si>
    <t>JP1200901690</t>
  </si>
  <si>
    <t>JP12009116A6</t>
  </si>
  <si>
    <t>JP12009216C0</t>
  </si>
  <si>
    <t>JP1200931739</t>
  </si>
  <si>
    <t>JP1200941746</t>
  </si>
  <si>
    <t>JP1200951760</t>
  </si>
  <si>
    <t>JP1200961785</t>
  </si>
  <si>
    <t>JP1200971792</t>
  </si>
  <si>
    <t>JP12009817B7</t>
  </si>
  <si>
    <t>JP12009917C3</t>
  </si>
  <si>
    <t>JP1201001839</t>
  </si>
  <si>
    <t>JP1201011853</t>
  </si>
  <si>
    <t>JP1201021860</t>
  </si>
  <si>
    <t>JP1201031877</t>
  </si>
  <si>
    <t>JP1201041884</t>
  </si>
  <si>
    <t>JP1201051891</t>
  </si>
  <si>
    <t>JP12010618A8</t>
  </si>
  <si>
    <t>JP12010718C2</t>
  </si>
  <si>
    <t>JP1201081914</t>
  </si>
  <si>
    <t>JP1201091939</t>
  </si>
  <si>
    <t>JP1201101944</t>
  </si>
  <si>
    <t>JP1201111968</t>
  </si>
  <si>
    <t>JP1201121975</t>
  </si>
  <si>
    <t>JP1201131990</t>
  </si>
  <si>
    <t>JP12011419C6</t>
  </si>
  <si>
    <t>JP1201151A21</t>
  </si>
  <si>
    <t>JP1201161A37</t>
  </si>
  <si>
    <t>JP1201171A43</t>
  </si>
  <si>
    <t>JP1201181A66</t>
  </si>
  <si>
    <t>JP1201191A72</t>
  </si>
  <si>
    <t>JP1201201A88</t>
  </si>
  <si>
    <t>JP1201211A94</t>
  </si>
  <si>
    <t>JP1201221AA5</t>
  </si>
  <si>
    <t>JP1201231AC0</t>
  </si>
  <si>
    <t>JP1201241B22</t>
  </si>
  <si>
    <t>JP1201251B37</t>
  </si>
  <si>
    <t>JP1201261B43</t>
  </si>
  <si>
    <t>JP1201271B58</t>
  </si>
  <si>
    <t>JP1201281B64</t>
  </si>
  <si>
    <t>JP1201291B88</t>
  </si>
  <si>
    <t>JP1201301B94</t>
  </si>
  <si>
    <t>JP1201311BB0</t>
  </si>
  <si>
    <t>JP1201321BC7</t>
  </si>
  <si>
    <t>JP1201331C14</t>
  </si>
  <si>
    <t>JP1201341C38</t>
  </si>
  <si>
    <t>JP1201351C43</t>
  </si>
  <si>
    <t>JP1201361C58</t>
  </si>
  <si>
    <t>JP1201371C64</t>
  </si>
  <si>
    <t>JP1201381C70</t>
  </si>
  <si>
    <t>JP1201391C86</t>
  </si>
  <si>
    <t>JP1201401C92</t>
  </si>
  <si>
    <t>JP1201411CC4</t>
  </si>
  <si>
    <t>JP1201421D22</t>
  </si>
  <si>
    <t>JP1201431D38</t>
  </si>
  <si>
    <t>JP1201441D44</t>
  </si>
  <si>
    <t>JP1201451D66</t>
  </si>
  <si>
    <t>JP1201461D98</t>
  </si>
  <si>
    <t>JP1201471DC6</t>
  </si>
  <si>
    <t>JP1201481E36</t>
  </si>
  <si>
    <t>JP1201491E67</t>
  </si>
  <si>
    <t>JP1201501E99</t>
  </si>
  <si>
    <t>JP1201511EC7</t>
  </si>
  <si>
    <t>JP1201521F37</t>
  </si>
  <si>
    <t>JP1201531F68</t>
  </si>
  <si>
    <t>JP1201541F90</t>
  </si>
  <si>
    <t>JP1201551FC0</t>
  </si>
  <si>
    <t>JP1201561G37</t>
  </si>
  <si>
    <t>JP1201571G68</t>
  </si>
  <si>
    <t>JP1201581G90</t>
  </si>
  <si>
    <t>JP1201591GC4</t>
  </si>
  <si>
    <t>JP1201601H38</t>
  </si>
  <si>
    <t>JP1201611H69</t>
  </si>
  <si>
    <t>JP1201621H91</t>
  </si>
  <si>
    <t>JP1201631HC6</t>
  </si>
  <si>
    <t>JP1201701KA5</t>
  </si>
  <si>
    <t>JP1201771M76</t>
  </si>
  <si>
    <t>JP1201951S15</t>
  </si>
  <si>
    <t>JP1201961S47</t>
  </si>
  <si>
    <t>JP1300011W09</t>
  </si>
  <si>
    <t>JP1300021001</t>
  </si>
  <si>
    <t>JP1300031000</t>
  </si>
  <si>
    <t>JP1300041009</t>
  </si>
  <si>
    <t>JP1300051156</t>
  </si>
  <si>
    <t>JP13000611B1</t>
  </si>
  <si>
    <t>JP1300071253</t>
  </si>
  <si>
    <t>JP1300091319</t>
  </si>
  <si>
    <t>JP1300101357</t>
  </si>
  <si>
    <t>JP1300111372</t>
  </si>
  <si>
    <t>JP13001213B5</t>
  </si>
  <si>
    <t>JP1300131420</t>
  </si>
  <si>
    <t>JP1300141445</t>
  </si>
  <si>
    <t>JP1300151485</t>
  </si>
  <si>
    <t>JP13001614A6</t>
  </si>
  <si>
    <t>JP1300171525</t>
  </si>
  <si>
    <t>JP1300181540</t>
  </si>
  <si>
    <t>JP1300191572</t>
  </si>
  <si>
    <t>JP13002015A5</t>
  </si>
  <si>
    <t>JP1300211610</t>
  </si>
  <si>
    <t>JP1300221643</t>
  </si>
  <si>
    <t>JP1300231675</t>
  </si>
  <si>
    <t>JP13002416A5</t>
  </si>
  <si>
    <t>JP1300251715</t>
  </si>
  <si>
    <t>JP1300261748</t>
  </si>
  <si>
    <t>JP13002717A6</t>
  </si>
  <si>
    <t>JP1300281845</t>
  </si>
  <si>
    <t>JP13002918A0</t>
  </si>
  <si>
    <t>JP1300301940</t>
  </si>
  <si>
    <t>JP13003119A4</t>
  </si>
  <si>
    <t>JP1300321A34</t>
  </si>
  <si>
    <t>JP1300331A99</t>
  </si>
  <si>
    <t>JP1300341B39</t>
  </si>
  <si>
    <t>JP1300351B93</t>
  </si>
  <si>
    <t>JP1300361C33</t>
  </si>
  <si>
    <t>JP1300371C98</t>
  </si>
  <si>
    <t>JP1300381D38</t>
  </si>
  <si>
    <t>JP1300391D69</t>
  </si>
  <si>
    <t>JP1300401D91</t>
  </si>
  <si>
    <t>JP1300411DC2</t>
  </si>
  <si>
    <t>JP1300421E39</t>
  </si>
  <si>
    <t>JP1300431E60</t>
  </si>
  <si>
    <t>JP1300441E92</t>
  </si>
  <si>
    <t>JP1300451EC6</t>
  </si>
  <si>
    <t>JP1300461F39</t>
  </si>
  <si>
    <t>JP1300471F60</t>
  </si>
  <si>
    <t>JP1300481F92</t>
  </si>
  <si>
    <t>JP1300491FC9</t>
  </si>
  <si>
    <t>JP1300501G30</t>
  </si>
  <si>
    <t>JP1300511G61</t>
  </si>
  <si>
    <t>JP1300521G93</t>
  </si>
  <si>
    <t>JP1300531GC0</t>
  </si>
  <si>
    <t>JP1300541H31</t>
  </si>
  <si>
    <t>JP1300551H61</t>
  </si>
  <si>
    <t>JP1300561H93</t>
  </si>
  <si>
    <t>JP1300571HC4</t>
  </si>
  <si>
    <t>JP1300721MA9</t>
  </si>
  <si>
    <t>JP1300891S18</t>
  </si>
  <si>
    <t>JP1300901S40</t>
  </si>
  <si>
    <t>JP14000117B7</t>
  </si>
  <si>
    <t>JP1400021950</t>
  </si>
  <si>
    <t>JP1400031A58</t>
  </si>
  <si>
    <t>JP1400041B55</t>
  </si>
  <si>
    <t>JP1400051C51</t>
  </si>
  <si>
    <t>JP1400061D58</t>
  </si>
  <si>
    <t>JP1400071E55</t>
  </si>
  <si>
    <t>JP1400081F45</t>
  </si>
  <si>
    <t>JP1400091G59</t>
  </si>
  <si>
    <t>JP1400101H56</t>
  </si>
  <si>
    <t>JP1400181R57</t>
  </si>
  <si>
    <t>NL0000102234</t>
  </si>
  <si>
    <t>NL0000102317</t>
  </si>
  <si>
    <t>NL0009446418</t>
  </si>
  <si>
    <t>NL0010071189</t>
  </si>
  <si>
    <t>NL0010721999</t>
  </si>
  <si>
    <t>NL0012171458</t>
  </si>
  <si>
    <t>NL0012818504</t>
  </si>
  <si>
    <t>NL0013332430</t>
  </si>
  <si>
    <t>NL0013552060</t>
  </si>
  <si>
    <t>NL0014555419</t>
  </si>
  <si>
    <t>NL00150006U0</t>
  </si>
  <si>
    <t>NL0015000B11</t>
  </si>
  <si>
    <t>NL0015000LS8</t>
  </si>
  <si>
    <t>NL0015000RP1</t>
  </si>
  <si>
    <t>NL00150012X2</t>
  </si>
  <si>
    <t>NL0015001AM2</t>
  </si>
  <si>
    <t>NL0015001DQ7</t>
  </si>
  <si>
    <t>NL0015001RG8</t>
  </si>
  <si>
    <t>NL0015001XZ6</t>
  </si>
  <si>
    <t>NL0015002F72</t>
  </si>
  <si>
    <t>NL0015002P70</t>
  </si>
  <si>
    <t>NL0015031501</t>
  </si>
  <si>
    <t>NL0015073TQ2</t>
  </si>
  <si>
    <t>NL0015073VV8</t>
  </si>
  <si>
    <t>NL0015614579</t>
  </si>
  <si>
    <t>NO0012837642</t>
  </si>
  <si>
    <t>OEU6</t>
  </si>
  <si>
    <t>OEZ6</t>
  </si>
  <si>
    <t>PTOTEAOE0005</t>
  </si>
  <si>
    <t>PTOTELOE0028</t>
  </si>
  <si>
    <t>PTOTENOE0034</t>
  </si>
  <si>
    <t>PTOTEOOE0033</t>
  </si>
  <si>
    <t>RXU6</t>
  </si>
  <si>
    <t>RXZ6</t>
  </si>
  <si>
    <t>SERF7</t>
  </si>
  <si>
    <t>SERF8</t>
  </si>
  <si>
    <t>SERG7</t>
  </si>
  <si>
    <t>SERG8</t>
  </si>
  <si>
    <t>SERH7</t>
  </si>
  <si>
    <t>SERH8</t>
  </si>
  <si>
    <t>SERJ7</t>
  </si>
  <si>
    <t>SERK7</t>
  </si>
  <si>
    <t>SERM7</t>
  </si>
  <si>
    <t>SERN6</t>
  </si>
  <si>
    <t>SERN7</t>
  </si>
  <si>
    <t>SERQ6</t>
  </si>
  <si>
    <t>SERQ7</t>
  </si>
  <si>
    <t>SERU6</t>
  </si>
  <si>
    <t>SERU7</t>
  </si>
  <si>
    <t>SERV6</t>
  </si>
  <si>
    <t>SERV7</t>
  </si>
  <si>
    <t>SERX6</t>
  </si>
  <si>
    <t>SERX7</t>
  </si>
  <si>
    <t>SERZ6</t>
  </si>
  <si>
    <t>SERZ7</t>
  </si>
  <si>
    <t>SFRH7</t>
  </si>
  <si>
    <t>SFRM6</t>
  </si>
  <si>
    <t>SFRM7</t>
  </si>
  <si>
    <t>SFRU6</t>
  </si>
  <si>
    <t>SFRU7</t>
  </si>
  <si>
    <t>SFRZ6</t>
  </si>
  <si>
    <t>SFRZ7</t>
  </si>
  <si>
    <t>TUU6</t>
  </si>
  <si>
    <t>TUZ6</t>
  </si>
  <si>
    <t>TYU6</t>
  </si>
  <si>
    <t>TYZ6</t>
  </si>
  <si>
    <t>UBU6</t>
  </si>
  <si>
    <t>UBZ6</t>
  </si>
  <si>
    <t>USSO1</t>
  </si>
  <si>
    <t>USSO10</t>
  </si>
  <si>
    <t>USSO12</t>
  </si>
  <si>
    <t>USSO15</t>
  </si>
  <si>
    <t>USSO2</t>
  </si>
  <si>
    <t>USSO20</t>
  </si>
  <si>
    <t>USSO25</t>
  </si>
  <si>
    <t>USSO3</t>
  </si>
  <si>
    <t>USSO30</t>
  </si>
  <si>
    <t>USSO3F</t>
  </si>
  <si>
    <t>USSO4</t>
  </si>
  <si>
    <t>USSO40</t>
  </si>
  <si>
    <t>USSO4F</t>
  </si>
  <si>
    <t>USSO5</t>
  </si>
  <si>
    <t>USSO6</t>
  </si>
  <si>
    <t>USSO7</t>
  </si>
  <si>
    <t>USSO8</t>
  </si>
  <si>
    <t>USSO9</t>
  </si>
  <si>
    <t>USSOA</t>
  </si>
  <si>
    <t>USSOB</t>
  </si>
  <si>
    <t>USSOC</t>
  </si>
  <si>
    <t>USSOD</t>
  </si>
  <si>
    <t>USSOE</t>
  </si>
  <si>
    <t>USSOF</t>
  </si>
  <si>
    <t>USSOG</t>
  </si>
  <si>
    <t>USSOH</t>
  </si>
  <si>
    <t>USSOI</t>
  </si>
  <si>
    <t>USU6</t>
  </si>
  <si>
    <t>USZ6</t>
  </si>
  <si>
    <t>UXYU6</t>
  </si>
  <si>
    <t>WNU6</t>
  </si>
  <si>
    <t>WNZ6</t>
  </si>
  <si>
    <t>XS2289822376</t>
  </si>
  <si>
    <t>Type</t>
  </si>
  <si>
    <t>Total</t>
  </si>
  <si>
    <t>Diff absolue</t>
  </si>
  <si>
    <t>JP1024841S56</t>
  </si>
  <si>
    <t>912797UW5</t>
  </si>
  <si>
    <t>912797UM7</t>
  </si>
  <si>
    <t>912810UU0</t>
  </si>
  <si>
    <t>91282CQQ7</t>
  </si>
  <si>
    <t>91282CQR5</t>
  </si>
  <si>
    <t>912797UX3</t>
  </si>
  <si>
    <t>912797UY1</t>
  </si>
  <si>
    <t>912797VB0</t>
  </si>
  <si>
    <t>912810UV8</t>
  </si>
  <si>
    <t>CA13509PKN29</t>
  </si>
  <si>
    <t>CNU6</t>
  </si>
  <si>
    <t>IT0005415291</t>
  </si>
  <si>
    <t>OATU6</t>
  </si>
  <si>
    <t>UXYZ6</t>
  </si>
  <si>
    <t>XQU6</t>
  </si>
  <si>
    <t>.TWI10 8/36</t>
  </si>
  <si>
    <t>.TWI30 8/56</t>
  </si>
  <si>
    <t>IsZero</t>
  </si>
  <si>
    <t>Coupon Rate</t>
  </si>
  <si>
    <t>Clode Yield</t>
  </si>
  <si>
    <t>CurveDefSaver</t>
  </si>
  <si>
    <t>BlmChecker</t>
  </si>
  <si>
    <t>CurrentsRunner</t>
  </si>
  <si>
    <t>PriceSaverBBT3</t>
  </si>
  <si>
    <t>PriceSaverDLIndexes</t>
  </si>
  <si>
    <t>PriceSaverDLFutures</t>
  </si>
  <si>
    <t>PriceSaverSFBar</t>
  </si>
  <si>
    <t>QW.Security.Batch.Lib.CurveDefRunner.Run</t>
  </si>
  <si>
    <t>Out-Table</t>
  </si>
  <si>
    <t>Runner</t>
  </si>
  <si>
    <t>QW.Security.Batch.Lib.BlmChecker.Run</t>
  </si>
  <si>
    <t>QW.Framework.Translation.Coordinator.Run</t>
  </si>
  <si>
    <t>QW.Security.Batch.Lib.YieldFromPriceSaverDL.Run</t>
  </si>
  <si>
    <t>qwData..ClosesDL</t>
  </si>
  <si>
    <t>QW.Security.Batch.Lib.PriceSaverSnowflake.Run</t>
  </si>
  <si>
    <t>AMBatch.cmd</t>
  </si>
  <si>
    <t>EODBatch.cmd</t>
  </si>
  <si>
    <t>QW.Security.Batch.Lib.BlmChecker</t>
  </si>
  <si>
    <t>PriceSaver</t>
  </si>
  <si>
    <t>PriceSaverB</t>
  </si>
  <si>
    <t>PriceSaverC</t>
  </si>
  <si>
    <t>PriceSaverOPT</t>
  </si>
  <si>
    <t>QW.Security.Batch.Lib.PriceSaver.Run</t>
  </si>
  <si>
    <t>qwData..Closes</t>
  </si>
  <si>
    <t>GC.USD.1,SOFR,SFR3M,EuriborFut,CORFUT</t>
  </si>
  <si>
    <t>FEDL01,SOFRRATE,MUTKCALM</t>
  </si>
  <si>
    <t xml:space="preserve">ParRates  </t>
  </si>
  <si>
    <t>QW.Security.Batch.Lib.CurveRunnerParRates.doRun</t>
  </si>
  <si>
    <t>EuriborSwap,OISSwap,OISCADSwap</t>
  </si>
  <si>
    <t>qwData..Curves</t>
  </si>
  <si>
    <t>select ID from qw..[Option] where Expiration&gt;'2026-06-09' and ID in (select distinct SecID from qwTrading..Positions where SODDate = '2026-06-09' and abs(quantity) &gt; 0
UNION
select distinct SecID from qwTrading..Trades where TradeDate = '2026-06-09')</t>
  </si>
  <si>
    <t>Column2</t>
  </si>
  <si>
    <t>Column3</t>
  </si>
  <si>
    <t>CurveDefRunner.cs</t>
  </si>
  <si>
    <t>Select CurveName from qwData..QWCurveDefList</t>
  </si>
  <si>
    <t>Select * from  qwData..QWCurveDefs order by MasterDate desc</t>
  </si>
  <si>
    <t>CurveRunner.cs</t>
  </si>
  <si>
    <t>PriceSaver.cs</t>
  </si>
  <si>
    <t>YieldFromPriceSaverDL.cs</t>
  </si>
  <si>
    <t>Source file</t>
  </si>
  <si>
    <t>Batch</t>
  </si>
  <si>
    <t>Time</t>
  </si>
  <si>
    <t>CMD</t>
  </si>
  <si>
    <t>Check if licence is up</t>
  </si>
  <si>
    <t>PriceSaverSnowflake.cs</t>
  </si>
  <si>
    <t>CurveRunnerParRates.cs</t>
  </si>
  <si>
    <t>BlmChecker.cs</t>
  </si>
  <si>
    <t>For each indexe in DEV.MART.CANVAS_SB_OVERNIGHT_INDEX, we compute quote from the previous 7 business day and store it in CloseDL</t>
  </si>
  <si>
    <t>Comment</t>
  </si>
  <si>
    <t>Input-Table</t>
  </si>
  <si>
    <t xml:space="preserve">For each curve from the input tab le, we extract benchmark and store all benchmarks information in QWCurveDefs  </t>
  </si>
  <si>
    <t xml:space="preserve">For each foreign bond in dev.mart.canvas_sb_foreign_gov_bid_ask for the current Date, we compute the yield from prices from dev.mart.canvas_sb_foreign_gov_bid_ask  and store it in ClosesDL </t>
  </si>
  <si>
    <t>For each USTreasuries from qw..Bond for the current date, we extract the price from DABPI and qw..Bond and compute the yield and populate Closes</t>
  </si>
  <si>
    <t>Does not seem to do anything</t>
  </si>
  <si>
    <t>For each bondFuture from this query: select ID from qw..BondFuture where LastDelivery&gt;'${TradeDate-ToString('yyyyMMdd')}, we get the price from DAPI and compute the yield and populates Closes</t>
  </si>
  <si>
    <t>For each ST/LT Future in DEV.MART.CANVAS_FUTURES_MASTER for the current date, we extract from CANVAS_FUTURES_MASTER the price and other static data and populate ClosesDL</t>
  </si>
  <si>
    <t>For each swaps in these curves, we compute the swap rate and populate Curves</t>
  </si>
  <si>
    <r>
      <t xml:space="preserve">SELECT cfm.* FROM </t>
    </r>
    <r>
      <rPr>
        <b/>
        <sz val="11"/>
        <color rgb="FFFF0000"/>
        <rFont val="Aptos Narrow"/>
        <family val="2"/>
        <scheme val="minor"/>
      </rPr>
      <t>DEV.MART.CANVAS_SB_OVERNIGHT_INDE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AS cfm WHERE DATE &gt;= DATEADD(day, -7, '06/08/2026'::DATE) AND NOT PX_LAST IS NULL</t>
    </r>
  </si>
  <si>
    <r>
      <t xml:space="preserve">SELECT cfm.* FROM </t>
    </r>
    <r>
      <rPr>
        <b/>
        <sz val="11"/>
        <color rgb="FFFF0000"/>
        <rFont val="Aptos Narrow"/>
        <family val="2"/>
        <scheme val="minor"/>
      </rPr>
      <t>DEV.MART.CANVAS_FUTURES_MASTER</t>
    </r>
    <r>
      <rPr>
        <sz val="11"/>
        <color theme="1"/>
        <rFont val="Aptos Narrow"/>
        <family val="2"/>
        <scheme val="minor"/>
      </rPr>
      <t xml:space="preserve"> AS cfm WHERE DATE = '06/08/2026' AND NOT px_settle IS NULL</t>
    </r>
  </si>
  <si>
    <r>
      <t>select ISIN AS ID, 'PX_BID' as METRIC_NAME, BID as METRIC_VALUE, * from</t>
    </r>
    <r>
      <rPr>
        <b/>
        <sz val="11"/>
        <color rgb="FFFF0000"/>
        <rFont val="Aptos Narrow"/>
        <family val="2"/>
        <scheme val="minor"/>
      </rPr>
      <t xml:space="preserve"> dev.mart.canvas_sb_foreign_gov_bid_ask</t>
    </r>
    <r>
      <rPr>
        <sz val="11"/>
        <color theme="1"/>
        <rFont val="Aptos Narrow"/>
        <family val="2"/>
        <scheme val="minor"/>
      </rPr>
      <t xml:space="preserve"> WHERE PRICE_DATE = '06/08/2026' and not BID is NULL       union        select ISIN AS ID, 'PX_ASK' as METRIC_NAME, ASK as METRIC_VALUE, * from </t>
    </r>
    <r>
      <rPr>
        <b/>
        <sz val="11"/>
        <color rgb="FFFF0000"/>
        <rFont val="Aptos Narrow"/>
        <family val="2"/>
        <scheme val="minor"/>
      </rPr>
      <t>dev.mart.canvas_sb_foreign_gov_bid_ask</t>
    </r>
    <r>
      <rPr>
        <sz val="11"/>
        <color theme="1"/>
        <rFont val="Aptos Narrow"/>
        <family val="2"/>
        <scheme val="minor"/>
      </rPr>
      <t xml:space="preserve"> WHERE PRICE_DATE = '06/08/2026' and not ASK is NULL</t>
    </r>
  </si>
  <si>
    <t>For each indexes, we extract the closing of the current day and populate Closes</t>
  </si>
  <si>
    <t>select ID from qw..Bond where Maturity&gt;'2026-06-09' and FirstCall is null and ISNULL(IsDuplicate,0)=0 and ID not like '.%' and ID not like 'AU%DLV' and ID not in (select ID from qwData..Closes where Date='2026-06-09' and Src='QW')</t>
  </si>
  <si>
    <r>
      <t xml:space="preserve">select bd.ID, bd.ISIN, bbt3.* from qw..Bond bd, </t>
    </r>
    <r>
      <rPr>
        <b/>
        <sz val="11"/>
        <color rgb="FFFF0000"/>
        <rFont val="Aptos Narrow"/>
        <family val="2"/>
        <scheme val="minor"/>
      </rPr>
      <t>qwdata..REFERENCE_BLOOMBERG_WSDL_PRINT_SB_US_GOV_BBT3</t>
    </r>
    <r>
      <rPr>
        <sz val="11"/>
        <color theme="1"/>
        <rFont val="Aptos Narrow"/>
        <family val="2"/>
        <scheme val="minor"/>
      </rPr>
      <t xml:space="preserve"> bbt3 where bbt3.Date='06/08/2026' and bd.ISIN = bbt3.MASTER_FIXED_INCOME_INSTRUMENT_ID union select bl.ID, bl.ISIN, bbt3.* from qw..Bill bl, qwdata..REFERENCE_BLOOMBERG_WSDL_PRINT_SB_US_GOV_BBT3 bbt3 where bbt3.Date='06/08/2026' and bl.ISIN = bbt3.MASTER_FIXED_INCOME_INSTRUMENT_ID   </t>
    </r>
  </si>
  <si>
    <t xml:space="preserve">The table REFERENCE_BLOOMBERG_WSDL_PRINT_SB_US_GOV_BBT3 is refreshed around 6PMFor each USTreasuries in REFERENCE_BLOOMBERG_WSDL_PRINT_SB_US_GOV_BBT3 for the Today Date (le run se lance a 18h30, apres le rollhour qui est de 16h, donc dans DateListAware, on prend la Today Date) , we compute the yield from prices from REFERENCE_BLOOMBERG_WSDL_PRINT_SB_US_GOV_BBT3  and store it in ClosesDL </t>
  </si>
  <si>
    <t>PositionRoller</t>
  </si>
  <si>
    <t>Nb of bonds to compare (Non-infla, non-bill, non-zc)</t>
  </si>
  <si>
    <t>91282CQU8</t>
  </si>
  <si>
    <t>91282CQS3</t>
  </si>
  <si>
    <t>91282CQV6</t>
  </si>
  <si>
    <t>91282CQT1</t>
  </si>
  <si>
    <t>912797UZ8</t>
  </si>
  <si>
    <t>912797VA2</t>
  </si>
  <si>
    <t>912797VF1</t>
  </si>
  <si>
    <t>912797VH7</t>
  </si>
  <si>
    <t>912797VL8</t>
  </si>
  <si>
    <t>912797VC8</t>
  </si>
  <si>
    <t>912797VG9</t>
  </si>
  <si>
    <t>912797VD6</t>
  </si>
  <si>
    <t>912797VE4</t>
  </si>
  <si>
    <t>912797VK0</t>
  </si>
  <si>
    <t>BE0000368770</t>
  </si>
  <si>
    <t>CA135087U774</t>
  </si>
  <si>
    <t>CA13509PKM46</t>
  </si>
  <si>
    <t>CORH8</t>
  </si>
  <si>
    <t>ERH2</t>
  </si>
  <si>
    <t>FFU7</t>
  </si>
  <si>
    <t>FR0014018OI0</t>
  </si>
  <si>
    <t>FR0014018YR0</t>
  </si>
  <si>
    <t>JP1024851S61</t>
  </si>
  <si>
    <t>JP1051851S56</t>
  </si>
  <si>
    <t>JP1400191S54</t>
  </si>
  <si>
    <t>SERJ8</t>
  </si>
  <si>
    <t>SFRH8</t>
  </si>
  <si>
    <t>91282CQY0</t>
  </si>
  <si>
    <t>91282CQW4</t>
  </si>
  <si>
    <t>91282CQX2</t>
  </si>
  <si>
    <t>TYH7</t>
  </si>
  <si>
    <t>USH7</t>
  </si>
  <si>
    <t>WNH7</t>
  </si>
  <si>
    <t>Close DL Yield</t>
  </si>
  <si>
    <t>Clode DL  Yield</t>
  </si>
  <si>
    <t>912797VM6</t>
  </si>
  <si>
    <t>ES0000012S22</t>
  </si>
  <si>
    <t>Diff</t>
  </si>
  <si>
    <t>Contribution in Close</t>
  </si>
  <si>
    <t>Bond Type</t>
  </si>
  <si>
    <t>912797VN4</t>
  </si>
  <si>
    <t>JP1024821S35 GOVT:&lt;YieldBid=0|YieldAsk=0&gt;</t>
  </si>
  <si>
    <t>JP1024831S41 GOVT:&lt;YieldBid=0|YieldAsk=0&gt;</t>
  </si>
  <si>
    <t>JP1024841S56 GOVT:&lt;YieldBid=0|YieldAsk=0&gt;</t>
  </si>
  <si>
    <t>JP1024851S61 GOVT:&lt;YieldBid=0|YieldAsk=0&gt;</t>
  </si>
  <si>
    <t>JP1051491MA0 GOVT:&lt;YieldBid=0|YieldAsk=0&gt;</t>
  </si>
  <si>
    <t>JP1051831S10 GOVT:&lt;YieldBid=0|YieldAsk=0&gt;</t>
  </si>
  <si>
    <t>JP1051841S42 GOVT:&lt;YieldBid=0|YieldAsk=0&gt;</t>
  </si>
  <si>
    <t>JP1051851S56 GOVT:&lt;YieldBid=0|YieldAsk=0&gt;</t>
  </si>
  <si>
    <t>JP1103441G98 GOVT:&lt;YieldBid=0|YieldAsk=0&gt;</t>
  </si>
  <si>
    <t>JP1103451GC0 GOVT:&lt;YieldBid=0|YieldAsk=0&gt;</t>
  </si>
  <si>
    <t>JP1103461H35 GOVT:&lt;YieldBid=0|YieldAsk=0&gt;</t>
  </si>
  <si>
    <t>JP1103471H66 GOVT:&lt;YieldBid=0|YieldAsk=0&gt;</t>
  </si>
  <si>
    <t>JP1103481H98 GOVT:&lt;YieldBid=0|YieldAsk=0&gt;</t>
  </si>
  <si>
    <t>JP1103491HC4 GOVT:&lt;YieldBid=0|YieldAsk=0&gt;</t>
  </si>
  <si>
    <t>JP1103501J35 GOVT:&lt;YieldBid=0|YieldAsk=0&gt;</t>
  </si>
  <si>
    <t>JP1103511J74 GOVT:&lt;YieldBid=0|YieldAsk=0&gt;</t>
  </si>
  <si>
    <t>JP1103541K42 GOVT:&lt;YieldBid=0|YieldAsk=0&gt;</t>
  </si>
  <si>
    <t>JP1103551K72 GOVT:&lt;YieldBid=0|YieldAsk=0&gt;</t>
  </si>
  <si>
    <t>JP1103561KA2 GOVT:&lt;YieldBid=0|YieldAsk=0&gt;</t>
  </si>
  <si>
    <t>JP1103571L10 GOVT:&lt;YieldBid=0|YieldAsk=0&gt;</t>
  </si>
  <si>
    <t>JP1103581L42 GOVT:&lt;YieldBid=0|YieldAsk=0&gt;</t>
  </si>
  <si>
    <t>JP1103591L73 GOVT:&lt;YieldBid=0|YieldAsk=0&gt;</t>
  </si>
  <si>
    <t>JP1103601LA4 GOVT:&lt;YieldBid=0|YieldAsk=0&gt;</t>
  </si>
  <si>
    <t>JP1103611M11 GOVT:&lt;YieldBid=0|YieldAsk=0&gt;</t>
  </si>
  <si>
    <t>JP1103621M43 GOVT:&lt;YieldBid=0|YieldAsk=0&gt;</t>
  </si>
  <si>
    <t>JP1103631M74 GOVT:&lt;YieldBid=0|YieldAsk=0&gt;</t>
  </si>
  <si>
    <t>JP1103641MA8 GOVT:&lt;YieldBid=0|YieldAsk=0&gt;</t>
  </si>
  <si>
    <t>JP1103741Q44 GOVT:&lt;YieldBid=0|YieldAsk=0&gt;</t>
  </si>
  <si>
    <t>JP1103811S13 GOVT:&lt;YieldBid=0|YieldAsk=0&gt;</t>
  </si>
  <si>
    <t>JP1103821S45 GOVT:&lt;YieldBid=0|YieldAsk=0&gt;</t>
  </si>
  <si>
    <t>JP1200901690 GOVT:&lt;YieldBid=0|YieldAsk=0&gt;</t>
  </si>
  <si>
    <t>JP12009116A6 GOVT:&lt;YieldBid=0|YieldAsk=0&gt;</t>
  </si>
  <si>
    <t>JP12009216C0 GOVT:&lt;YieldBid=0|YieldAsk=0&gt;</t>
  </si>
  <si>
    <t>JP1200931739 GOVT:&lt;YieldBid=0|YieldAsk=0&gt;</t>
  </si>
  <si>
    <t>JP1200941746 GOVT:&lt;YieldBid=0|YieldAsk=0&gt;</t>
  </si>
  <si>
    <t>JP1200951760 GOVT:&lt;YieldBid=0|YieldAsk=0&gt;</t>
  </si>
  <si>
    <t>JP1200961785 GOVT:&lt;YieldBid=0|YieldAsk=0&gt;</t>
  </si>
  <si>
    <t>JP1200971792 GOVT:&lt;YieldBid=0|YieldAsk=0&gt;</t>
  </si>
  <si>
    <t>JP12009817B7 GOVT:&lt;YieldBid=0|YieldAsk=0&gt;</t>
  </si>
  <si>
    <t>JP12009917C3 GOVT:&lt;YieldBid=0|YieldAsk=0&gt;</t>
  </si>
  <si>
    <t>JP1201001839 GOVT:&lt;YieldBid=0|YieldAsk=0&gt;</t>
  </si>
  <si>
    <t>JP1201011853 GOVT:&lt;YieldBid=0|YieldAsk=0&gt;</t>
  </si>
  <si>
    <t>JP1201021860 GOVT:&lt;YieldBid=0|YieldAsk=0&gt;</t>
  </si>
  <si>
    <t>JP1201031877 GOVT:&lt;YieldBid=0|YieldAsk=0&gt;</t>
  </si>
  <si>
    <t>JP1201041884 GOVT:&lt;YieldBid=0|YieldAsk=0&gt;</t>
  </si>
  <si>
    <t>JP1201051891 GOVT:&lt;YieldBid=0|YieldAsk=0&gt;</t>
  </si>
  <si>
    <t>JP12010618A8 GOVT:&lt;YieldBid=0|YieldAsk=0&gt;</t>
  </si>
  <si>
    <t>JP12010718C2 GOVT:&lt;YieldBid=0|YieldAsk=0&gt;</t>
  </si>
  <si>
    <t>JP1201081914 GOVT:&lt;YieldBid=0|YieldAsk=0&gt;</t>
  </si>
  <si>
    <t>JP1201091939 GOVT:&lt;YieldBid=0|YieldAsk=0&gt;</t>
  </si>
  <si>
    <t>JP1201101944 GOVT:&lt;YieldBid=0|YieldAsk=0&gt;</t>
  </si>
  <si>
    <t>JP1201111968 GOVT:&lt;YieldBid=0|YieldAsk=0&gt;</t>
  </si>
  <si>
    <t>JP1201121975 GOVT:&lt;YieldBid=0|YieldAsk=0&gt;</t>
  </si>
  <si>
    <t>JP1201131990 GOVT:&lt;YieldBid=0|YieldAsk=0&gt;</t>
  </si>
  <si>
    <t>JP12011419C6 GOVT:&lt;YieldBid=0|YieldAsk=0&gt;</t>
  </si>
  <si>
    <t>JP1201151A21 GOVT:&lt;YieldBid=0|YieldAsk=0&gt;</t>
  </si>
  <si>
    <t>JP1201161A37 GOVT:&lt;YieldBid=0|YieldAsk=0&gt;</t>
  </si>
  <si>
    <t>JP1201171A43 GOVT:&lt;YieldBid=0|YieldAsk=0&gt;</t>
  </si>
  <si>
    <t>JP1201181A66 GOVT:&lt;YieldBid=0|YieldAsk=0&gt;</t>
  </si>
  <si>
    <t>JP1201191A72 GOVT:&lt;YieldBid=0|YieldAsk=0&gt;</t>
  </si>
  <si>
    <t>JP1201201A88 GOVT:&lt;YieldBid=0|YieldAsk=0&gt;</t>
  </si>
  <si>
    <t>JP1201211A94 GOVT:&lt;YieldBid=0|YieldAsk=0&gt;</t>
  </si>
  <si>
    <t>JP1201221AA5 GOVT:&lt;YieldBid=0|YieldAsk=0&gt;</t>
  </si>
  <si>
    <t>JP1201231AC0 GOVT:&lt;YieldBid=0|YieldAsk=0&gt;</t>
  </si>
  <si>
    <t>JP1201241B22 GOVT:&lt;YieldBid=0|YieldAsk=0&gt;</t>
  </si>
  <si>
    <t>JP1201251B37 GOVT:&lt;YieldBid=0|YieldAsk=0&gt;</t>
  </si>
  <si>
    <t>JP1201261B43 GOVT:&lt;YieldBid=0|YieldAsk=0&gt;</t>
  </si>
  <si>
    <t>JP1201271B58 GOVT:&lt;YieldBid=0|YieldAsk=0&gt;</t>
  </si>
  <si>
    <t>JP1201281B64 GOVT:&lt;YieldBid=0|YieldAsk=0&gt;</t>
  </si>
  <si>
    <t>JP1201291B88 GOVT:&lt;YieldBid=0|YieldAsk=0&gt;</t>
  </si>
  <si>
    <t>JP1201301B94 GOVT:&lt;YieldBid=0|YieldAsk=0&gt;</t>
  </si>
  <si>
    <t>JP1201311BB0 GOVT:&lt;YieldBid=0|YieldAsk=0&gt;</t>
  </si>
  <si>
    <t>JP1201321BC7 GOVT:&lt;YieldBid=0|YieldAsk=0&gt;</t>
  </si>
  <si>
    <t>JP1201331C14 GOVT:&lt;YieldBid=0|YieldAsk=0&gt;</t>
  </si>
  <si>
    <t>JP1201341C38 GOVT:&lt;YieldBid=0|YieldAsk=0&gt;</t>
  </si>
  <si>
    <t>JP1201351C43 GOVT:&lt;YieldBid=0|YieldAsk=0&gt;</t>
  </si>
  <si>
    <t>JP1201361C58 GOVT:&lt;YieldBid=0|YieldAsk=0&gt;</t>
  </si>
  <si>
    <t>JP1201371C64 GOVT:&lt;YieldBid=0|YieldAsk=0&gt;</t>
  </si>
  <si>
    <t>JP1201381C70 GOVT:&lt;YieldBid=0|YieldAsk=0&gt;</t>
  </si>
  <si>
    <t>JP1201391C86 GOVT:&lt;YieldBid=0|YieldAsk=0&gt;</t>
  </si>
  <si>
    <t>JP1201401C92 GOVT:&lt;YieldBid=0|YieldAsk=0&gt;</t>
  </si>
  <si>
    <t>JP1201411CC4 GOVT:&lt;YieldBid=0|YieldAsk=0&gt;</t>
  </si>
  <si>
    <t>JP1201421D22 GOVT:&lt;YieldBid=0|YieldAsk=0&gt;</t>
  </si>
  <si>
    <t>JP1201431D38 GOVT:&lt;YieldBid=0|YieldAsk=0&gt;</t>
  </si>
  <si>
    <t>JP1201441D44 GOVT:&lt;YieldBid=0|YieldAsk=0&gt;</t>
  </si>
  <si>
    <t>JP1201451D66 GOVT:&lt;YieldBid=0|YieldAsk=0&gt;</t>
  </si>
  <si>
    <t>JP1201461D98 GOVT:&lt;YieldBid=0|YieldAsk=0&gt;</t>
  </si>
  <si>
    <t>JP1201471DC6 GOVT:&lt;YieldBid=0|YieldAsk=0&gt;</t>
  </si>
  <si>
    <t>JP1201481E36 GOVT:&lt;YieldBid=0|YieldAsk=0&gt;</t>
  </si>
  <si>
    <t>JP1201491E67 GOVT:&lt;YieldBid=0|YieldAsk=0&gt;</t>
  </si>
  <si>
    <t>JP1201501E99 GOVT:&lt;YieldBid=0|YieldAsk=0&gt;</t>
  </si>
  <si>
    <t>JP1201511EC7 GOVT:&lt;YieldBid=0|YieldAsk=0&gt;</t>
  </si>
  <si>
    <t>JP1201521F37 GOVT:&lt;YieldBid=0|YieldAsk=0&gt;</t>
  </si>
  <si>
    <t>JP1201531F68 GOVT:&lt;YieldBid=0|YieldAsk=0&gt;</t>
  </si>
  <si>
    <t>JP1201541F90 GOVT:&lt;YieldBid=0|YieldAsk=0&gt;</t>
  </si>
  <si>
    <t>JP1201551FC0 GOVT:&lt;YieldBid=0|YieldAsk=0&gt;</t>
  </si>
  <si>
    <t>JP1201561G37 GOVT:&lt;YieldBid=0|YieldAsk=0&gt;</t>
  </si>
  <si>
    <t>JP1201571G68 GOVT:&lt;YieldBid=0|YieldAsk=0&gt;</t>
  </si>
  <si>
    <t>JP1201581G90 GOVT:&lt;YieldBid=0|YieldAsk=0&gt;</t>
  </si>
  <si>
    <t>JP1201591GC4 GOVT:&lt;YieldBid=0|YieldAsk=0&gt;</t>
  </si>
  <si>
    <t>JP1201601H38 GOVT:&lt;YieldBid=0|YieldAsk=0&gt;</t>
  </si>
  <si>
    <t>JP1201611H69 GOVT:&lt;YieldBid=0|YieldAsk=0&gt;</t>
  </si>
  <si>
    <t>JP1201621H91 GOVT:&lt;YieldBid=0|YieldAsk=0&gt;</t>
  </si>
  <si>
    <t>JP1201631HC6 GOVT:&lt;YieldBid=0|YieldAsk=0&gt;</t>
  </si>
  <si>
    <t>JP1201701KA5 GOVT:&lt;YieldBid=0|YieldAsk=0&gt;</t>
  </si>
  <si>
    <t>JP1201771M76 GOVT:&lt;YieldBid=0|YieldAsk=0&gt;</t>
  </si>
  <si>
    <t>JP1201951S15 GOVT:&lt;YieldBid=0|YieldAsk=0&gt;</t>
  </si>
  <si>
    <t>JP1201961S47 GOVT:&lt;YieldBid=0|YieldAsk=0&gt;</t>
  </si>
  <si>
    <t>JP1300011W09 GOVT:&lt;YieldBid=0|YieldAsk=0&gt;</t>
  </si>
  <si>
    <t>JP1300021001 GOVT:&lt;YieldBid=0|YieldAsk=0&gt;</t>
  </si>
  <si>
    <t>JP1300031000 GOVT:&lt;YieldBid=0|YieldAsk=0&gt;</t>
  </si>
  <si>
    <t>JP1300041009 GOVT:&lt;YieldBid=0|YieldAsk=0&gt;</t>
  </si>
  <si>
    <t>JP1300051156 GOVT:&lt;YieldBid=0|YieldAsk=0&gt;</t>
  </si>
  <si>
    <t>JP13000611B1 GOVT:&lt;YieldBid=0|YieldAsk=0&gt;</t>
  </si>
  <si>
    <t>JP1300071253 GOVT:&lt;YieldBid=0|YieldAsk=0&gt;</t>
  </si>
  <si>
    <t>JP1300091319 GOVT:&lt;YieldBid=0|YieldAsk=0&gt;</t>
  </si>
  <si>
    <t>JP1300101357 GOVT:&lt;YieldBid=0|YieldAsk=0&gt;</t>
  </si>
  <si>
    <t>JP1300111372 GOVT:&lt;YieldBid=0|YieldAsk=0&gt;</t>
  </si>
  <si>
    <t>JP13001213B5 GOVT:&lt;YieldBid=0|YieldAsk=0&gt;</t>
  </si>
  <si>
    <t>JP1300131420 GOVT:&lt;YieldBid=0|YieldAsk=0&gt;</t>
  </si>
  <si>
    <t>JP1300141445 GOVT:&lt;YieldBid=0|YieldAsk=0&gt;</t>
  </si>
  <si>
    <t>JP1300151485 GOVT:&lt;YieldBid=0|YieldAsk=0&gt;</t>
  </si>
  <si>
    <t>JP13001614A6 GOVT:&lt;YieldBid=0|YieldAsk=0&gt;</t>
  </si>
  <si>
    <t>JP1300171525 GOVT:&lt;YieldBid=0|YieldAsk=0&gt;</t>
  </si>
  <si>
    <t>JP1300181540 GOVT:&lt;YieldBid=0|YieldAsk=0&gt;</t>
  </si>
  <si>
    <t>JP1300191572 GOVT:&lt;YieldBid=0|YieldAsk=0&gt;</t>
  </si>
  <si>
    <t>JP13002015A5 GOVT:&lt;YieldBid=0|YieldAsk=0&gt;</t>
  </si>
  <si>
    <t>JP1300211610 GOVT:&lt;YieldBid=0|YieldAsk=0&gt;</t>
  </si>
  <si>
    <t>JP1300221643 GOVT:&lt;YieldBid=0|YieldAsk=0&gt;</t>
  </si>
  <si>
    <t>JP1300231675 GOVT:&lt;YieldBid=0|YieldAsk=0&gt;</t>
  </si>
  <si>
    <t>JP13002416A5 GOVT:&lt;YieldBid=0|YieldAsk=0&gt;</t>
  </si>
  <si>
    <t>JP1300251715 GOVT:&lt;YieldBid=0|YieldAsk=0&gt;</t>
  </si>
  <si>
    <t>JP1300261748 GOVT:&lt;YieldBid=0|YieldAsk=0&gt;</t>
  </si>
  <si>
    <t>JP13002717A6 GOVT:&lt;YieldBid=0|YieldAsk=0&gt;</t>
  </si>
  <si>
    <t>JP1300281845 GOVT:&lt;YieldBid=0|YieldAsk=0&gt;</t>
  </si>
  <si>
    <t>JP13002918A0 GOVT:&lt;YieldBid=0|YieldAsk=0&gt;</t>
  </si>
  <si>
    <t>JP1300301940 GOVT:&lt;YieldBid=0|YieldAsk=0&gt;</t>
  </si>
  <si>
    <t>JP13003119A4 GOVT:&lt;YieldBid=0|YieldAsk=0&gt;</t>
  </si>
  <si>
    <t>JP1300321A34 GOVT:&lt;YieldBid=0|YieldAsk=0&gt;</t>
  </si>
  <si>
    <t>JP1300331A99 GOVT:&lt;YieldBid=0|YieldAsk=0&gt;</t>
  </si>
  <si>
    <t>JP1300341B39 GOVT:&lt;YieldBid=0|YieldAsk=0&gt;</t>
  </si>
  <si>
    <t>JP1300351B93 GOVT:&lt;YieldBid=0|YieldAsk=0&gt;</t>
  </si>
  <si>
    <t>JP1300361C33 GOVT:&lt;YieldBid=0|YieldAsk=0&gt;</t>
  </si>
  <si>
    <t>JP1300371C98 GOVT:&lt;YieldBid=0|YieldAsk=0&gt;</t>
  </si>
  <si>
    <t>JP1300381D38 GOVT:&lt;YieldBid=0|YieldAsk=0&gt;</t>
  </si>
  <si>
    <t>JP1300391D69 GOVT:&lt;YieldBid=0|YieldAsk=0&gt;</t>
  </si>
  <si>
    <t>JP1300401D91 GOVT:&lt;YieldBid=0|YieldAsk=0&gt;</t>
  </si>
  <si>
    <t>JP1300411DC2 GOVT:&lt;YieldBid=0|YieldAsk=0&gt;</t>
  </si>
  <si>
    <t>JP1300421E39 GOVT:&lt;YieldBid=0|YieldAsk=0&gt;</t>
  </si>
  <si>
    <t>JP1300431E60 GOVT:&lt;YieldBid=0|YieldAsk=0&gt;</t>
  </si>
  <si>
    <t>JP1300441E92 GOVT:&lt;YieldBid=0|YieldAsk=0&gt;</t>
  </si>
  <si>
    <t>JP1300451EC6 GOVT:&lt;YieldBid=0|YieldAsk=0&gt;</t>
  </si>
  <si>
    <t>JP1300461F39 GOVT:&lt;YieldBid=0|YieldAsk=0&gt;</t>
  </si>
  <si>
    <t>JP1300471F60 GOVT:&lt;YieldBid=0|YieldAsk=0&gt;</t>
  </si>
  <si>
    <t>JP1300481F92 GOVT:&lt;YieldBid=0|YieldAsk=0&gt;</t>
  </si>
  <si>
    <t>JP1300491FC9 GOVT:&lt;YieldBid=0|YieldAsk=0&gt;</t>
  </si>
  <si>
    <t>JP1300501G30 GOVT:&lt;YieldBid=0|YieldAsk=0&gt;</t>
  </si>
  <si>
    <t>JP1300511G61 GOVT:&lt;YieldBid=0|YieldAsk=0&gt;</t>
  </si>
  <si>
    <t>JP1300521G93 GOVT:&lt;YieldBid=0|YieldAsk=0&gt;</t>
  </si>
  <si>
    <t>JP1300531GC0 GOVT:&lt;YieldBid=0|YieldAsk=0&gt;</t>
  </si>
  <si>
    <t>JP1300541H31 GOVT:&lt;YieldBid=0|YieldAsk=0&gt;</t>
  </si>
  <si>
    <t>JP1300551H61 GOVT:&lt;YieldBid=0|YieldAsk=0&gt;</t>
  </si>
  <si>
    <t>JP1300561H93 GOVT:&lt;YieldBid=0|YieldAsk=0&gt;</t>
  </si>
  <si>
    <t>JP1300571HC4 GOVT:&lt;YieldBid=0|YieldAsk=0&gt;</t>
  </si>
  <si>
    <t>JP1300721MA9 GOVT:&lt;YieldBid=0|YieldAsk=0&gt;</t>
  </si>
  <si>
    <t>JP1300891S18 GOVT:&lt;YieldBid=0|YieldAsk=0&gt;</t>
  </si>
  <si>
    <t>JP1300901S40 GOVT:&lt;YieldBid=0|YieldAsk=0&gt;</t>
  </si>
  <si>
    <t>JP14000117B7 GOVT:&lt;YieldBid=0|YieldAsk=0&gt;</t>
  </si>
  <si>
    <t>JP1400021950 GOVT:&lt;YieldBid=0|YieldAsk=0&gt;</t>
  </si>
  <si>
    <t>JP1400031A58 GOVT:&lt;YieldBid=0|YieldAsk=0&gt;</t>
  </si>
  <si>
    <t>JP1400041B55 GOVT:&lt;YieldBid=0|YieldAsk=0&gt;</t>
  </si>
  <si>
    <t>JP1400051C51 GOVT:&lt;YieldBid=0|YieldAsk=0&gt;</t>
  </si>
  <si>
    <t>JP1400061D58 GOVT:&lt;YieldBid=0|YieldAsk=0&gt;</t>
  </si>
  <si>
    <t>JP1400071E55 GOVT:&lt;YieldBid=0|YieldAsk=0&gt;</t>
  </si>
  <si>
    <t>JP1400081F45 GOVT:&lt;YieldBid=0|YieldAsk=0&gt;</t>
  </si>
  <si>
    <t>JP1400091G59 GOVT:&lt;YieldBid=0|YieldAsk=0&gt;</t>
  </si>
  <si>
    <t>JP1400101H56 GOVT:&lt;YieldBid=0|YieldAsk=0&gt;</t>
  </si>
  <si>
    <t>JP1400181R57 GOVT:&lt;YieldBid=0|YieldAsk=0&gt;</t>
  </si>
  <si>
    <t>JP1400191S54 GOVT:&lt;YieldBid=0|YieldAsk=0&gt;</t>
  </si>
  <si>
    <t>3YH7</t>
  </si>
  <si>
    <t>FVH7</t>
  </si>
  <si>
    <t>TUH7</t>
  </si>
  <si>
    <t>91282CQZ7</t>
  </si>
  <si>
    <t>912797VS3</t>
  </si>
  <si>
    <t>912797VQ7</t>
  </si>
  <si>
    <t>912797VJ3</t>
  </si>
  <si>
    <t>912797VP9</t>
  </si>
  <si>
    <t>DE000BU2Z072</t>
  </si>
  <si>
    <t>FFV7</t>
  </si>
  <si>
    <t>IE000O6GBYC9</t>
  </si>
  <si>
    <t>IT0005707614</t>
  </si>
  <si>
    <t>JP1024861S77</t>
  </si>
  <si>
    <t>JP1024861S77 GOVT:&lt;YieldBid=0|YieldAsk=0&gt;</t>
  </si>
  <si>
    <t>JP1103831S76</t>
  </si>
  <si>
    <t>JP1103831S76 GOVT:&lt;YieldBid=0|YieldAsk=0&gt;</t>
  </si>
  <si>
    <t>JP1300911S71</t>
  </si>
  <si>
    <t>JP1300911S71 GOVT:&lt;YieldBid=0|YieldAsk=0&gt;</t>
  </si>
  <si>
    <t>SERK8</t>
  </si>
  <si>
    <t>CA45950KCY43 BGN CORP:&lt;PriceBid=99.598|PriceAsk=99.642&gt;</t>
  </si>
  <si>
    <t>912821CP8</t>
  </si>
  <si>
    <t>IT0005722845</t>
  </si>
  <si>
    <t>JP1051861S70</t>
  </si>
  <si>
    <t>JP1051861S70 GOVT:&lt;YieldBid=0|YieldAsk=0&gt;</t>
  </si>
  <si>
    <t>Bond</t>
  </si>
  <si>
    <t>US912803BH54</t>
  </si>
  <si>
    <t>N</t>
  </si>
  <si>
    <t>PX_ASK</t>
  </si>
  <si>
    <t>US912803BV49</t>
  </si>
  <si>
    <t>PX_BID</t>
  </si>
  <si>
    <t>US912803CK74</t>
  </si>
  <si>
    <t>US912803CZ44</t>
  </si>
  <si>
    <t>US912803DD23</t>
  </si>
  <si>
    <t>US912803DN05</t>
  </si>
  <si>
    <t>US912803DS91</t>
  </si>
  <si>
    <t>US912803DV21</t>
  </si>
  <si>
    <t>US912803EL30</t>
  </si>
  <si>
    <t>US912803EQ27</t>
  </si>
  <si>
    <t>US912803EW94</t>
  </si>
  <si>
    <t>US912803EY50</t>
  </si>
  <si>
    <t>US912803FF52</t>
  </si>
  <si>
    <t>US912803FK48</t>
  </si>
  <si>
    <t>US912803FL21</t>
  </si>
  <si>
    <t>US912803FT56</t>
  </si>
  <si>
    <t>US912803FV03</t>
  </si>
  <si>
    <t>US912803GC13</t>
  </si>
  <si>
    <t>US912803GE78</t>
  </si>
  <si>
    <t>US912803GK39</t>
  </si>
  <si>
    <t>US912810EZ76</t>
  </si>
  <si>
    <t>US912810FB99</t>
  </si>
  <si>
    <t>US912810FE39</t>
  </si>
  <si>
    <t>US912810FH69</t>
  </si>
  <si>
    <t>Y</t>
  </si>
  <si>
    <t>US912810FM54</t>
  </si>
  <si>
    <t>US912810PU60</t>
  </si>
  <si>
    <t>US912810PV44</t>
  </si>
  <si>
    <t>US912810QH41</t>
  </si>
  <si>
    <t>95.4375000000</t>
  </si>
  <si>
    <t>US912803BP70</t>
  </si>
  <si>
    <t>US912803BW22</t>
  </si>
  <si>
    <t>US912803CH46</t>
  </si>
  <si>
    <t>US912803DA83</t>
  </si>
  <si>
    <t>US912803DC40</t>
  </si>
  <si>
    <t>US912803DF70</t>
  </si>
  <si>
    <t>US912803DK65</t>
  </si>
  <si>
    <t>US912803DX86</t>
  </si>
  <si>
    <t>US912803EC31</t>
  </si>
  <si>
    <t>US912803ED14</t>
  </si>
  <si>
    <t>US912803EE96</t>
  </si>
  <si>
    <t>US912803EP44</t>
  </si>
  <si>
    <t>US912803ER00</t>
  </si>
  <si>
    <t>US912803EZ26</t>
  </si>
  <si>
    <t>US912803FA65</t>
  </si>
  <si>
    <t>US912803FJ74</t>
  </si>
  <si>
    <t>US912803FP35</t>
  </si>
  <si>
    <t>US912803GS64</t>
  </si>
  <si>
    <t>US912810EY02</t>
  </si>
  <si>
    <t>US912810FF04</t>
  </si>
  <si>
    <t>US912810FT08</t>
  </si>
  <si>
    <t>US912810PS15</t>
  </si>
  <si>
    <t>US912803CG62</t>
  </si>
  <si>
    <t>US912803DQ36</t>
  </si>
  <si>
    <t>US912803EH28</t>
  </si>
  <si>
    <t>US912803EJ83</t>
  </si>
  <si>
    <t>US912803EU39</t>
  </si>
  <si>
    <t>US912803EV12</t>
  </si>
  <si>
    <t>US912803FB49</t>
  </si>
  <si>
    <t>US912803FG36</t>
  </si>
  <si>
    <t>US912803FM04</t>
  </si>
  <si>
    <t>US912803FR90</t>
  </si>
  <si>
    <t>US912803FY42</t>
  </si>
  <si>
    <t>US912803GA56</t>
  </si>
  <si>
    <t>US912803GH00</t>
  </si>
  <si>
    <t>US912810FG86</t>
  </si>
  <si>
    <t>US912810FQ68</t>
  </si>
  <si>
    <t>US912810PW27</t>
  </si>
  <si>
    <t>US912810QE10</t>
  </si>
  <si>
    <t>98.2031250000</t>
  </si>
  <si>
    <t>US912810QK79</t>
  </si>
  <si>
    <t>US912810QN19</t>
  </si>
  <si>
    <t>98.6718750000</t>
  </si>
  <si>
    <t>US912810QQ40</t>
  </si>
  <si>
    <t>YLD_CNV_BID</t>
  </si>
  <si>
    <t>YLD_YTM_BID</t>
  </si>
  <si>
    <t>US912803BL66</t>
  </si>
  <si>
    <t>US912803DG53</t>
  </si>
  <si>
    <t>US912803DH37</t>
  </si>
  <si>
    <t>US912803DP52</t>
  </si>
  <si>
    <t>US912803DT74</t>
  </si>
  <si>
    <t>US912803DU48</t>
  </si>
  <si>
    <t>US912803DY69</t>
  </si>
  <si>
    <t>US912803EF61</t>
  </si>
  <si>
    <t>US912803EN95</t>
  </si>
  <si>
    <t>US912803ET65</t>
  </si>
  <si>
    <t>US912803GM94</t>
  </si>
  <si>
    <t>US912810FP85</t>
  </si>
  <si>
    <t>US912810QC53</t>
  </si>
  <si>
    <t>97.4375000000</t>
  </si>
  <si>
    <t>US912810QL52</t>
  </si>
  <si>
    <t>US912810QP66</t>
  </si>
  <si>
    <t>US912803CX95</t>
  </si>
  <si>
    <t>US912803DJ92</t>
  </si>
  <si>
    <t>US912803DM22</t>
  </si>
  <si>
    <t>US912803DZ35</t>
  </si>
  <si>
    <t>US912803EK56</t>
  </si>
  <si>
    <t>US912803GP26</t>
  </si>
  <si>
    <t>US912810FD55</t>
  </si>
  <si>
    <t>US912810PZ57</t>
  </si>
  <si>
    <t>US912810QU51</t>
  </si>
  <si>
    <t>US912803BJ11</t>
  </si>
  <si>
    <t>US912803EA74</t>
  </si>
  <si>
    <t>US912803FD05</t>
  </si>
  <si>
    <t>US912810QA97</t>
  </si>
  <si>
    <t>US912810QD37</t>
  </si>
  <si>
    <t>98.5625000000</t>
  </si>
  <si>
    <t>US912810QT88</t>
  </si>
  <si>
    <t>US912810QW18</t>
  </si>
  <si>
    <t>US912810RA88</t>
  </si>
  <si>
    <t>US912810RK60</t>
  </si>
  <si>
    <t>US912810RY64</t>
  </si>
  <si>
    <t>US912810RZ30</t>
  </si>
  <si>
    <t>US912810SE91</t>
  </si>
  <si>
    <t>US912810SG40</t>
  </si>
  <si>
    <t>US912810SH23</t>
  </si>
  <si>
    <t>US912810SK51</t>
  </si>
  <si>
    <t>US912810SP49</t>
  </si>
  <si>
    <t>YLD_CNV_ASK</t>
  </si>
  <si>
    <t>US912810QV35</t>
  </si>
  <si>
    <t>US912810RE01</t>
  </si>
  <si>
    <t>US912810RL44</t>
  </si>
  <si>
    <t>US912810RT79</t>
  </si>
  <si>
    <t>US912810RV26</t>
  </si>
  <si>
    <t>US912810RX81</t>
  </si>
  <si>
    <t>US912810SF66</t>
  </si>
  <si>
    <t>US912810SM18</t>
  </si>
  <si>
    <t>US912810SS87</t>
  </si>
  <si>
    <t>US912810ST60</t>
  </si>
  <si>
    <t>US912810SX72</t>
  </si>
  <si>
    <t>US912810SY55</t>
  </si>
  <si>
    <t>US912810TD00</t>
  </si>
  <si>
    <t>US912810TE82</t>
  </si>
  <si>
    <t>US912810TF57</t>
  </si>
  <si>
    <t>US912810TG31</t>
  </si>
  <si>
    <t>US912810TJ79</t>
  </si>
  <si>
    <t>US912810TK43</t>
  </si>
  <si>
    <t>US912810TL26</t>
  </si>
  <si>
    <t>US912810TN81</t>
  </si>
  <si>
    <t>US912810TQ13</t>
  </si>
  <si>
    <t>US912810TS78</t>
  </si>
  <si>
    <t>US912810TW80</t>
  </si>
  <si>
    <t>US912810UA42</t>
  </si>
  <si>
    <t>US912810UB25</t>
  </si>
  <si>
    <t>US912810UE63</t>
  </si>
  <si>
    <t>US912803BK83</t>
  </si>
  <si>
    <t>US912803BM40</t>
  </si>
  <si>
    <t>US912810EX29</t>
  </si>
  <si>
    <t>100.0507812500</t>
  </si>
  <si>
    <t>US912810FJ26</t>
  </si>
  <si>
    <t>US912810PT97</t>
  </si>
  <si>
    <t>US912810PX00</t>
  </si>
  <si>
    <t>US912810QB70</t>
  </si>
  <si>
    <t>US912810QZ49</t>
  </si>
  <si>
    <t>97.2812500000</t>
  </si>
  <si>
    <t>US912810QF84</t>
  </si>
  <si>
    <t>YLD_YTM_ASK</t>
  </si>
  <si>
    <t>US912810QS06</t>
  </si>
  <si>
    <t>US912810QX90</t>
  </si>
  <si>
    <t>US912810QY73</t>
  </si>
  <si>
    <t>US912810RF75</t>
  </si>
  <si>
    <t>US912810RH32</t>
  </si>
  <si>
    <t>US912810RM27</t>
  </si>
  <si>
    <t>US912810RU43</t>
  </si>
  <si>
    <t>US912810SN90</t>
  </si>
  <si>
    <t>US912810SU34</t>
  </si>
  <si>
    <t>US912810SZ21</t>
  </si>
  <si>
    <t>US912810TM09</t>
  </si>
  <si>
    <t>US912810UD80</t>
  </si>
  <si>
    <t>US912810UF39</t>
  </si>
  <si>
    <t>US912810RC45</t>
  </si>
  <si>
    <t>US912810RD28</t>
  </si>
  <si>
    <t>US912810RP57</t>
  </si>
  <si>
    <t>US912810RR14</t>
  </si>
  <si>
    <t>US912810RW09</t>
  </si>
  <si>
    <t>US912810SC36</t>
  </si>
  <si>
    <t>US912810TB44</t>
  </si>
  <si>
    <t>US912810TC27</t>
  </si>
  <si>
    <t>US912810TP30</t>
  </si>
  <si>
    <t>US912810TT51</t>
  </si>
  <si>
    <t>US912810TZ12</t>
  </si>
  <si>
    <t>US912810UC08</t>
  </si>
  <si>
    <t>US912810UG12</t>
  </si>
  <si>
    <t>US912810UH94</t>
  </si>
  <si>
    <t>US912810UJ50</t>
  </si>
  <si>
    <t>US912810UK24</t>
  </si>
  <si>
    <t>US912810UL07</t>
  </si>
  <si>
    <t>US912810UN62</t>
  </si>
  <si>
    <t>US912810RB61</t>
  </si>
  <si>
    <t>US912810RN00</t>
  </si>
  <si>
    <t>US912810SJ88</t>
  </si>
  <si>
    <t>US912810SL35</t>
  </si>
  <si>
    <t>US912810SQ22</t>
  </si>
  <si>
    <t>US912810SR05</t>
  </si>
  <si>
    <t>US912810TH14</t>
  </si>
  <si>
    <t>US912810TV08</t>
  </si>
  <si>
    <t>US912810TX63</t>
  </si>
  <si>
    <t>US912810UM89</t>
  </si>
  <si>
    <t>US912810UP11</t>
  </si>
  <si>
    <t>US912810UQ93</t>
  </si>
  <si>
    <t>US912810UU06</t>
  </si>
  <si>
    <t>US912810UV88</t>
  </si>
  <si>
    <t>US912821CP85</t>
  </si>
  <si>
    <t>912821DT9</t>
  </si>
  <si>
    <t>US912821DT98</t>
  </si>
  <si>
    <t>US912810RG58</t>
  </si>
  <si>
    <t>US912810RJ97</t>
  </si>
  <si>
    <t>US912810RS96</t>
  </si>
  <si>
    <t>US912810SV17</t>
  </si>
  <si>
    <t>US912810SW99</t>
  </si>
  <si>
    <t>US912810TR95</t>
  </si>
  <si>
    <t>93.6562500000</t>
  </si>
  <si>
    <t>US912810UR76</t>
  </si>
  <si>
    <t>US912810UT33</t>
  </si>
  <si>
    <t>US912810TA60</t>
  </si>
  <si>
    <t>US912810TU25</t>
  </si>
  <si>
    <t>US912821DF94</t>
  </si>
  <si>
    <t>US912821DV45</t>
  </si>
  <si>
    <t>4.295</t>
  </si>
  <si>
    <t>912821ES0</t>
  </si>
  <si>
    <t>US912821ES07</t>
  </si>
  <si>
    <t>912821FG5</t>
  </si>
  <si>
    <t>US912821FG59</t>
  </si>
  <si>
    <t>912821GG4</t>
  </si>
  <si>
    <t>US912821GG41</t>
  </si>
  <si>
    <t>912821GS8</t>
  </si>
  <si>
    <t>US912821GS88</t>
  </si>
  <si>
    <t>912821JR7</t>
  </si>
  <si>
    <t>US912821JR78</t>
  </si>
  <si>
    <t>912821KQ7</t>
  </si>
  <si>
    <t>US912821KQ76</t>
  </si>
  <si>
    <t>912821KV6</t>
  </si>
  <si>
    <t>US912821KV61</t>
  </si>
  <si>
    <t>912821LE3</t>
  </si>
  <si>
    <t>US912821LE38</t>
  </si>
  <si>
    <t>US912810US59</t>
  </si>
  <si>
    <t>98.9062500000</t>
  </si>
  <si>
    <t>US9128205B99</t>
  </si>
  <si>
    <t>912821CY9</t>
  </si>
  <si>
    <t>US912821CY92</t>
  </si>
  <si>
    <t>912821DD4</t>
  </si>
  <si>
    <t>US912821DD47</t>
  </si>
  <si>
    <t>912821EC5</t>
  </si>
  <si>
    <t>US912821EC54</t>
  </si>
  <si>
    <t>912821EX9</t>
  </si>
  <si>
    <t>US912821EX91</t>
  </si>
  <si>
    <t>US912821EZ40</t>
  </si>
  <si>
    <t>US912821FP58</t>
  </si>
  <si>
    <t>912821GM1</t>
  </si>
  <si>
    <t>US912821GM19</t>
  </si>
  <si>
    <t>US912821GU35</t>
  </si>
  <si>
    <t>912821HM0</t>
  </si>
  <si>
    <t>US912821HM00</t>
  </si>
  <si>
    <t>912821JF3</t>
  </si>
  <si>
    <t>US912821JF31</t>
  </si>
  <si>
    <t>912821JL0</t>
  </si>
  <si>
    <t>US912821JL09</t>
  </si>
  <si>
    <t>US912821JN64</t>
  </si>
  <si>
    <t>912821JV8</t>
  </si>
  <si>
    <t>US912821JV80</t>
  </si>
  <si>
    <t>US912810RQ31</t>
  </si>
  <si>
    <t>US912810SA79</t>
  </si>
  <si>
    <t>US912810SB52</t>
  </si>
  <si>
    <t>US912810SD19</t>
  </si>
  <si>
    <t>US912810TY47</t>
  </si>
  <si>
    <t>912821DJ1</t>
  </si>
  <si>
    <t>US912821DJ17</t>
  </si>
  <si>
    <t>912821DY8</t>
  </si>
  <si>
    <t>US912821DY83</t>
  </si>
  <si>
    <t>912821EH4</t>
  </si>
  <si>
    <t>US912821EH42</t>
  </si>
  <si>
    <t>98.9218750000</t>
  </si>
  <si>
    <t>US9128204M63</t>
  </si>
  <si>
    <t>912821CU7</t>
  </si>
  <si>
    <t>US912821CU70</t>
  </si>
  <si>
    <t>912821DN2</t>
  </si>
  <si>
    <t>US912821DN29</t>
  </si>
  <si>
    <t>912821HB4</t>
  </si>
  <si>
    <t>US912821HB45</t>
  </si>
  <si>
    <t>912821HW8</t>
  </si>
  <si>
    <t>US912821HW81</t>
  </si>
  <si>
    <t>912821JB2</t>
  </si>
  <si>
    <t>US912821JB27</t>
  </si>
  <si>
    <t>US912821KC80</t>
  </si>
  <si>
    <t>912821KF1</t>
  </si>
  <si>
    <t>US912821KF12</t>
  </si>
  <si>
    <t>912821MA0</t>
  </si>
  <si>
    <t>US912821MA07</t>
  </si>
  <si>
    <t>US912821MH59</t>
  </si>
  <si>
    <t>4.287</t>
  </si>
  <si>
    <t>912821ML6</t>
  </si>
  <si>
    <t>US912821ML61</t>
  </si>
  <si>
    <t>US9128282A70</t>
  </si>
  <si>
    <t>US9128207D38</t>
  </si>
  <si>
    <t>912821EN1</t>
  </si>
  <si>
    <t>US912821EN10</t>
  </si>
  <si>
    <t>912821FW0</t>
  </si>
  <si>
    <t>US912821FW00</t>
  </si>
  <si>
    <t>US912821HJ70</t>
  </si>
  <si>
    <t>912821KK0</t>
  </si>
  <si>
    <t>US912821KK07</t>
  </si>
  <si>
    <t>912821MQ5</t>
  </si>
  <si>
    <t>US912821MQ58</t>
  </si>
  <si>
    <t>US9128282L36</t>
  </si>
  <si>
    <t>98.2734375000</t>
  </si>
  <si>
    <t>US9128282R06</t>
  </si>
  <si>
    <t>97.9687500000</t>
  </si>
  <si>
    <t>US9128283F58</t>
  </si>
  <si>
    <t>US9128283W81</t>
  </si>
  <si>
    <t>912821KA2</t>
  </si>
  <si>
    <t>US912821KA25</t>
  </si>
  <si>
    <t>US912821LG85</t>
  </si>
  <si>
    <t>912821LK9</t>
  </si>
  <si>
    <t>US912821LK97</t>
  </si>
  <si>
    <t>912821MF9</t>
  </si>
  <si>
    <t>US912821MF93</t>
  </si>
  <si>
    <t>912821MV4</t>
  </si>
  <si>
    <t>US912821MV44</t>
  </si>
  <si>
    <t>US912821MX00</t>
  </si>
  <si>
    <t>4.299</t>
  </si>
  <si>
    <t>US9128283R96</t>
  </si>
  <si>
    <t>US9128284V99</t>
  </si>
  <si>
    <t>4.21</t>
  </si>
  <si>
    <t>US9128285M81</t>
  </si>
  <si>
    <t>US9128286B18</t>
  </si>
  <si>
    <t>US9128286T26</t>
  </si>
  <si>
    <t>US912828U246</t>
  </si>
  <si>
    <t>4.219</t>
  </si>
  <si>
    <t>912821FC4</t>
  </si>
  <si>
    <t>US912821FC46</t>
  </si>
  <si>
    <t>912821HG3</t>
  </si>
  <si>
    <t>US912821HG32</t>
  </si>
  <si>
    <t>912821HR9</t>
  </si>
  <si>
    <t>US912821HR96</t>
  </si>
  <si>
    <t>US912821HY48</t>
  </si>
  <si>
    <t>US912821KS33</t>
  </si>
  <si>
    <t>912821KZ7</t>
  </si>
  <si>
    <t>US912821KZ75</t>
  </si>
  <si>
    <t>4.352</t>
  </si>
  <si>
    <t>98.3437500000</t>
  </si>
  <si>
    <t>US9128284N73</t>
  </si>
  <si>
    <t>US9128285W63</t>
  </si>
  <si>
    <t>US9128287D64</t>
  </si>
  <si>
    <t>US912828V491</t>
  </si>
  <si>
    <t>US912828V988</t>
  </si>
  <si>
    <t>US912828Y388</t>
  </si>
  <si>
    <t>97.7187500000</t>
  </si>
  <si>
    <t>US912828YS30</t>
  </si>
  <si>
    <t>4.25</t>
  </si>
  <si>
    <t>US912828YU85</t>
  </si>
  <si>
    <t>US912828YX25</t>
  </si>
  <si>
    <t>US912828Z377</t>
  </si>
  <si>
    <t>US912828Z948</t>
  </si>
  <si>
    <t>US912828ZV59</t>
  </si>
  <si>
    <t>US912828X885</t>
  </si>
  <si>
    <t>US912828YD60</t>
  </si>
  <si>
    <t>US912828YG91</t>
  </si>
  <si>
    <t>US912828YQ73</t>
  </si>
  <si>
    <t>99.1406250000</t>
  </si>
  <si>
    <t>US912828ZB95</t>
  </si>
  <si>
    <t>US912828ZN34</t>
  </si>
  <si>
    <t>912821FM2</t>
  </si>
  <si>
    <t>US912821FM28</t>
  </si>
  <si>
    <t>912821FS9</t>
  </si>
  <si>
    <t>US912821FS97</t>
  </si>
  <si>
    <t>912821GX7</t>
  </si>
  <si>
    <t>US912821GX73</t>
  </si>
  <si>
    <t>912821NA9</t>
  </si>
  <si>
    <t>US912821NA97</t>
  </si>
  <si>
    <t>97.5390625000</t>
  </si>
  <si>
    <t>US912828Y958</t>
  </si>
  <si>
    <t>US912828ZZ63</t>
  </si>
  <si>
    <t>US91282CAE12</t>
  </si>
  <si>
    <t>4.294</t>
  </si>
  <si>
    <t>US91282CAH43</t>
  </si>
  <si>
    <t>US91282CAU53</t>
  </si>
  <si>
    <t>US91282CAY75</t>
  </si>
  <si>
    <t>US91282CBB63</t>
  </si>
  <si>
    <t>US91282CBL46</t>
  </si>
  <si>
    <t>4.273</t>
  </si>
  <si>
    <t>US91282CBS98</t>
  </si>
  <si>
    <t>US91282CBZ32</t>
  </si>
  <si>
    <t>US91282CCH25</t>
  </si>
  <si>
    <t>US91282CCS89</t>
  </si>
  <si>
    <t>4.32</t>
  </si>
  <si>
    <t>US91282CCV19</t>
  </si>
  <si>
    <t>4.235</t>
  </si>
  <si>
    <t>US91282CCW91</t>
  </si>
  <si>
    <t>US91282CDF59</t>
  </si>
  <si>
    <t>US91282CDP32</t>
  </si>
  <si>
    <t>US91282CDW82</t>
  </si>
  <si>
    <t>4.251</t>
  </si>
  <si>
    <t>US91282CDY49</t>
  </si>
  <si>
    <t>US91282CEB37</t>
  </si>
  <si>
    <t>4.24</t>
  </si>
  <si>
    <t>US91282CEC10</t>
  </si>
  <si>
    <t>98.7187500000</t>
  </si>
  <si>
    <t>US912828YB05</t>
  </si>
  <si>
    <t>US912828ZQ64</t>
  </si>
  <si>
    <t>US912828ZS21</t>
  </si>
  <si>
    <t>US91282CAD39</t>
  </si>
  <si>
    <t>US91282CAV37</t>
  </si>
  <si>
    <t>US912828Z781</t>
  </si>
  <si>
    <t>4.267</t>
  </si>
  <si>
    <t>US912828ZE35</t>
  </si>
  <si>
    <t>4.272</t>
  </si>
  <si>
    <t>4.28</t>
  </si>
  <si>
    <t>US91282CAL54</t>
  </si>
  <si>
    <t>US91282CBF77</t>
  </si>
  <si>
    <t>US91282CBP59</t>
  </si>
  <si>
    <t>US91282CCE93</t>
  </si>
  <si>
    <t>4.221</t>
  </si>
  <si>
    <t>US91282CCP41</t>
  </si>
  <si>
    <t>US91282CDC29</t>
  </si>
  <si>
    <t>US91282CDG33</t>
  </si>
  <si>
    <t>3.866</t>
  </si>
  <si>
    <t>US91282CDJ71</t>
  </si>
  <si>
    <t>95.2500000000</t>
  </si>
  <si>
    <t>4.15</t>
  </si>
  <si>
    <t>98.6093750000</t>
  </si>
  <si>
    <t>99.7031250000</t>
  </si>
  <si>
    <t>99.6718750000</t>
  </si>
  <si>
    <t>99.5273437500</t>
  </si>
  <si>
    <t>US91282CBJ99</t>
  </si>
  <si>
    <t>US91282CEM91</t>
  </si>
  <si>
    <t>96.4609375000</t>
  </si>
  <si>
    <t>US91282CEN74</t>
  </si>
  <si>
    <t>US91282CET45</t>
  </si>
  <si>
    <t>US91282CEV90</t>
  </si>
  <si>
    <t>4.252</t>
  </si>
  <si>
    <t>US91282CEW73</t>
  </si>
  <si>
    <t>US91282CFC01</t>
  </si>
  <si>
    <t>4.249</t>
  </si>
  <si>
    <t>US91282CFF32</t>
  </si>
  <si>
    <t>US91282CFJ53</t>
  </si>
  <si>
    <t>US91282CFL00</t>
  </si>
  <si>
    <t>US91282CFT36</t>
  </si>
  <si>
    <t>99.1875000000</t>
  </si>
  <si>
    <t>US91282CFV81</t>
  </si>
  <si>
    <t>98.5000000000</t>
  </si>
  <si>
    <t>US91282CFY21</t>
  </si>
  <si>
    <t>98.7734375000</t>
  </si>
  <si>
    <t>US91282CFZ95</t>
  </si>
  <si>
    <t>US91282CGC91</t>
  </si>
  <si>
    <t>US91282CGH88</t>
  </si>
  <si>
    <t>US91282CGJ45</t>
  </si>
  <si>
    <t>4.276</t>
  </si>
  <si>
    <t>US91282CGP05</t>
  </si>
  <si>
    <t>US91282CGS44</t>
  </si>
  <si>
    <t>US91282CGT27</t>
  </si>
  <si>
    <t>US91282CGZ86</t>
  </si>
  <si>
    <t>4.3</t>
  </si>
  <si>
    <t>4.288</t>
  </si>
  <si>
    <t>US91282CCB54</t>
  </si>
  <si>
    <t>US91282CCY57</t>
  </si>
  <si>
    <t>4.349</t>
  </si>
  <si>
    <t>US91282CDL28</t>
  </si>
  <si>
    <t>93.8906250000</t>
  </si>
  <si>
    <t>US91282CDQ15</t>
  </si>
  <si>
    <t>US91282CEP23</t>
  </si>
  <si>
    <t>4.366</t>
  </si>
  <si>
    <t>US91282CFB28</t>
  </si>
  <si>
    <t>4.286</t>
  </si>
  <si>
    <t>4.134</t>
  </si>
  <si>
    <t>US91282CCZ23</t>
  </si>
  <si>
    <t>US91282CDK45</t>
  </si>
  <si>
    <t>US91282CDX65</t>
  </si>
  <si>
    <t>4.317</t>
  </si>
  <si>
    <t>US91282CCR07</t>
  </si>
  <si>
    <t>4.234</t>
  </si>
  <si>
    <t>US91282CEE75</t>
  </si>
  <si>
    <t>US91282CEF41</t>
  </si>
  <si>
    <t>US91282CES61</t>
  </si>
  <si>
    <t>4.227</t>
  </si>
  <si>
    <t>4.244</t>
  </si>
  <si>
    <t>98.9453125000</t>
  </si>
  <si>
    <t>US91282CEJ62</t>
  </si>
  <si>
    <t>98.5859375000</t>
  </si>
  <si>
    <t>96.7187500000</t>
  </si>
  <si>
    <t>US91282CFM82</t>
  </si>
  <si>
    <t>4.195</t>
  </si>
  <si>
    <t>US91282CHA27</t>
  </si>
  <si>
    <t>US91282CHE49</t>
  </si>
  <si>
    <t>US91282CHP95</t>
  </si>
  <si>
    <t>US91282CHR51</t>
  </si>
  <si>
    <t>98.9687500000</t>
  </si>
  <si>
    <t>US91282CHT18</t>
  </si>
  <si>
    <t>US91282CHU80</t>
  </si>
  <si>
    <t>US91282CHX20</t>
  </si>
  <si>
    <t>US91282CHZ77</t>
  </si>
  <si>
    <t>US91282CJC64</t>
  </si>
  <si>
    <t>US91282CJF95</t>
  </si>
  <si>
    <t>US91282CJH51</t>
  </si>
  <si>
    <t>US91282CJJ18</t>
  </si>
  <si>
    <t>US91282CJK80</t>
  </si>
  <si>
    <t>US91282CJM47</t>
  </si>
  <si>
    <t>US91282CJP77</t>
  </si>
  <si>
    <t>US91282CJQ50</t>
  </si>
  <si>
    <t>US91282CJR34</t>
  </si>
  <si>
    <t>98.8515625000</t>
  </si>
  <si>
    <t>US91282CJT99</t>
  </si>
  <si>
    <t>100.0390625000</t>
  </si>
  <si>
    <t>US91282CJW29</t>
  </si>
  <si>
    <t>99.4062500000</t>
  </si>
  <si>
    <t>US91282CJY84</t>
  </si>
  <si>
    <t>4.231</t>
  </si>
  <si>
    <t>3.821</t>
  </si>
  <si>
    <t>4.363</t>
  </si>
  <si>
    <t>98.9609375000</t>
  </si>
  <si>
    <t>99.1796875000</t>
  </si>
  <si>
    <t>US91282CEZ05</t>
  </si>
  <si>
    <t>US91282CFH97</t>
  </si>
  <si>
    <t>US91282CFR79</t>
  </si>
  <si>
    <t>99.4218750000</t>
  </si>
  <si>
    <t>US91282CFU09</t>
  </si>
  <si>
    <t>US91282CGB19</t>
  </si>
  <si>
    <t>US91282CGK18</t>
  </si>
  <si>
    <t>US91282CGM73</t>
  </si>
  <si>
    <t>US91282CGQ87</t>
  </si>
  <si>
    <t>US91282CGW55</t>
  </si>
  <si>
    <t>98.3125000000</t>
  </si>
  <si>
    <t>US91282CHF14</t>
  </si>
  <si>
    <t>US91282CHJ36</t>
  </si>
  <si>
    <t>US91282CHK09</t>
  </si>
  <si>
    <t>US91282CHQ78</t>
  </si>
  <si>
    <t>4.29</t>
  </si>
  <si>
    <t>95.9687500000</t>
  </si>
  <si>
    <t>4.193</t>
  </si>
  <si>
    <t>4.212</t>
  </si>
  <si>
    <t>4.269</t>
  </si>
  <si>
    <t>US91282CHC82</t>
  </si>
  <si>
    <t>98.0468750000</t>
  </si>
  <si>
    <t>US91282CHW47</t>
  </si>
  <si>
    <t>4.297</t>
  </si>
  <si>
    <t>US91282CJA09</t>
  </si>
  <si>
    <t>98.8750000000</t>
  </si>
  <si>
    <t>4.265</t>
  </si>
  <si>
    <t>99.9140625000</t>
  </si>
  <si>
    <t>4.261</t>
  </si>
  <si>
    <t>US91282CKC46</t>
  </si>
  <si>
    <t>US91282CKD29</t>
  </si>
  <si>
    <t>100.0234375000</t>
  </si>
  <si>
    <t>US91282CKE02</t>
  </si>
  <si>
    <t>US91282CKG59</t>
  </si>
  <si>
    <t>US91282CKJ98</t>
  </si>
  <si>
    <t>US91282CKL45</t>
  </si>
  <si>
    <t>US91282CKP58</t>
  </si>
  <si>
    <t>US91282CKR15</t>
  </si>
  <si>
    <t>4.121</t>
  </si>
  <si>
    <t>US91282CKT70</t>
  </si>
  <si>
    <t>US91282CKU44</t>
  </si>
  <si>
    <t>US91282CKV27</t>
  </si>
  <si>
    <t>US91282CKW00</t>
  </si>
  <si>
    <t>US91282CKX82</t>
  </si>
  <si>
    <t>US91282CKZ31</t>
  </si>
  <si>
    <t>US91282CLF67</t>
  </si>
  <si>
    <t>US91282CLG41</t>
  </si>
  <si>
    <t>US91282CLH24</t>
  </si>
  <si>
    <t>99.9843750000</t>
  </si>
  <si>
    <t>US91282CLJ89</t>
  </si>
  <si>
    <t>US91282CLK52</t>
  </si>
  <si>
    <t>US91282CJG78</t>
  </si>
  <si>
    <t>4.293</t>
  </si>
  <si>
    <t>US91282CJN20</t>
  </si>
  <si>
    <t>100.2968750000</t>
  </si>
  <si>
    <t>US91282CJX02</t>
  </si>
  <si>
    <t>4.311</t>
  </si>
  <si>
    <t>US91282CJZ59</t>
  </si>
  <si>
    <t>4.467</t>
  </si>
  <si>
    <t>US91282CKA89</t>
  </si>
  <si>
    <t>100.1796875000</t>
  </si>
  <si>
    <t>4.315</t>
  </si>
  <si>
    <t>US91282CLB53</t>
  </si>
  <si>
    <t>US91282CLC37</t>
  </si>
  <si>
    <t>US91282CLD10</t>
  </si>
  <si>
    <t>US91282CLL36</t>
  </si>
  <si>
    <t>US91282CLN91</t>
  </si>
  <si>
    <t>98.9296875000</t>
  </si>
  <si>
    <t>99.3828125000</t>
  </si>
  <si>
    <t>US91282CHY03</t>
  </si>
  <si>
    <t>4.247</t>
  </si>
  <si>
    <t>98.7265625000</t>
  </si>
  <si>
    <t>US91282CKN01</t>
  </si>
  <si>
    <t>US91282CKQ32</t>
  </si>
  <si>
    <t>4.256</t>
  </si>
  <si>
    <t>US91282CLP40</t>
  </si>
  <si>
    <t>US91282CLQ23</t>
  </si>
  <si>
    <t>US91282CLR06</t>
  </si>
  <si>
    <t>US91282CLS88</t>
  </si>
  <si>
    <t>US91282CLU35</t>
  </si>
  <si>
    <t>US91282CLV18</t>
  </si>
  <si>
    <t>US91282CLY56</t>
  </si>
  <si>
    <t>US91282CMB45</t>
  </si>
  <si>
    <t>US91282CMD01</t>
  </si>
  <si>
    <t>4.257</t>
  </si>
  <si>
    <t>US91282CMH15</t>
  </si>
  <si>
    <t>US91282CMK44</t>
  </si>
  <si>
    <t>4.346</t>
  </si>
  <si>
    <t>US91282CMM00</t>
  </si>
  <si>
    <t>US91282CMN82</t>
  </si>
  <si>
    <t>US91282CMP31</t>
  </si>
  <si>
    <t>US91282CMS79</t>
  </si>
  <si>
    <t>US91282CMU26</t>
  </si>
  <si>
    <t>4.274</t>
  </si>
  <si>
    <t>US91282CMW81</t>
  </si>
  <si>
    <t>US91282CMY48</t>
  </si>
  <si>
    <t>US91282CNA52</t>
  </si>
  <si>
    <t>4.361</t>
  </si>
  <si>
    <t>US91282CNB36</t>
  </si>
  <si>
    <t>US91282CNC19</t>
  </si>
  <si>
    <t>US91282CND91</t>
  </si>
  <si>
    <t>US91282CNE74</t>
  </si>
  <si>
    <t>US91282CNF40</t>
  </si>
  <si>
    <t>4.303</t>
  </si>
  <si>
    <t>4.309</t>
  </si>
  <si>
    <t>US91282CKF76</t>
  </si>
  <si>
    <t>4.278</t>
  </si>
  <si>
    <t>4.279</t>
  </si>
  <si>
    <t>4.291</t>
  </si>
  <si>
    <t>4.305</t>
  </si>
  <si>
    <t>98.7578125000</t>
  </si>
  <si>
    <t>4.325</t>
  </si>
  <si>
    <t>4.332</t>
  </si>
  <si>
    <t>US91282CNH06</t>
  </si>
  <si>
    <t>US91282CNJ61</t>
  </si>
  <si>
    <t>98.0390625000</t>
  </si>
  <si>
    <t>4.377</t>
  </si>
  <si>
    <t>US91282CNL18</t>
  </si>
  <si>
    <t>4.107</t>
  </si>
  <si>
    <t>US91282CNN73</t>
  </si>
  <si>
    <t>4.282</t>
  </si>
  <si>
    <t>US91282CNP22</t>
  </si>
  <si>
    <t>US91282CNT44</t>
  </si>
  <si>
    <t>US91282CNU17</t>
  </si>
  <si>
    <t>US91282CNW72</t>
  </si>
  <si>
    <t>US91282CNY39</t>
  </si>
  <si>
    <t>US91282CPB18</t>
  </si>
  <si>
    <t>US91282CPC90</t>
  </si>
  <si>
    <t>US91282CPF22</t>
  </si>
  <si>
    <t>4.394</t>
  </si>
  <si>
    <t>US91282CPH87</t>
  </si>
  <si>
    <t>US91282CPJ44</t>
  </si>
  <si>
    <t>US91282CPL99</t>
  </si>
  <si>
    <t>US91282CPN55</t>
  </si>
  <si>
    <t>US91282CPP04</t>
  </si>
  <si>
    <t>4.229</t>
  </si>
  <si>
    <t>US91282CPQ86</t>
  </si>
  <si>
    <t>4.405</t>
  </si>
  <si>
    <t>US91282CPR69</t>
  </si>
  <si>
    <t>US91282CLW90</t>
  </si>
  <si>
    <t>US91282CLX73</t>
  </si>
  <si>
    <t>3.909</t>
  </si>
  <si>
    <t>US91282CMA61</t>
  </si>
  <si>
    <t>US91282CMC28</t>
  </si>
  <si>
    <t>4.339</t>
  </si>
  <si>
    <t>US91282CMF58</t>
  </si>
  <si>
    <t>US91282CMR96</t>
  </si>
  <si>
    <t>4.351</t>
  </si>
  <si>
    <t>US91282CMT52</t>
  </si>
  <si>
    <t>98.8203125000</t>
  </si>
  <si>
    <t>4.355</t>
  </si>
  <si>
    <t>4.359</t>
  </si>
  <si>
    <t>US91282CNG23</t>
  </si>
  <si>
    <t>US91282CNK35</t>
  </si>
  <si>
    <t>US91282CLM19</t>
  </si>
  <si>
    <t>US91282CLZ22</t>
  </si>
  <si>
    <t>4.336</t>
  </si>
  <si>
    <t>US91282CMG32</t>
  </si>
  <si>
    <t>US91282CML27</t>
  </si>
  <si>
    <t>99.1562500000</t>
  </si>
  <si>
    <t>4.347</t>
  </si>
  <si>
    <t>99.0937500000</t>
  </si>
  <si>
    <t>US91282CMV09</t>
  </si>
  <si>
    <t>4.365</t>
  </si>
  <si>
    <t>4.322</t>
  </si>
  <si>
    <t>US91282CLE92</t>
  </si>
  <si>
    <t>98.2187500000</t>
  </si>
  <si>
    <t>US91282CME83</t>
  </si>
  <si>
    <t>99.3125000000</t>
  </si>
  <si>
    <t>4.482</t>
  </si>
  <si>
    <t>100.4531250000</t>
  </si>
  <si>
    <t>US91282CPT26</t>
  </si>
  <si>
    <t>US91282CPU98</t>
  </si>
  <si>
    <t>US91282CPW54</t>
  </si>
  <si>
    <t>US91282CPY11</t>
  </si>
  <si>
    <t>US91282CPZ85</t>
  </si>
  <si>
    <t>US91282CQA26</t>
  </si>
  <si>
    <t>US91282CQC81</t>
  </si>
  <si>
    <t>US91282CQD64</t>
  </si>
  <si>
    <t>96.6875000000</t>
  </si>
  <si>
    <t>US91282CQG95</t>
  </si>
  <si>
    <t>US91282CQH78</t>
  </si>
  <si>
    <t>US91282CQJ35</t>
  </si>
  <si>
    <t>US91282CQN47</t>
  </si>
  <si>
    <t>US91282CQP94</t>
  </si>
  <si>
    <t>US91282CQQ77</t>
  </si>
  <si>
    <t>US91282CQS34</t>
  </si>
  <si>
    <t>US91282CQV62</t>
  </si>
  <si>
    <t>US91282CQW46</t>
  </si>
  <si>
    <t>US91282CQY02</t>
  </si>
  <si>
    <t>US9128334W72</t>
  </si>
  <si>
    <t>US9128334X55</t>
  </si>
  <si>
    <t>US9128335A44</t>
  </si>
  <si>
    <t>US9128335B27</t>
  </si>
  <si>
    <t>4.367</t>
  </si>
  <si>
    <t>4.275</t>
  </si>
  <si>
    <t>4.371</t>
  </si>
  <si>
    <t>US91282CNM90</t>
  </si>
  <si>
    <t>US91282CNR87</t>
  </si>
  <si>
    <t>US91282CNV99</t>
  </si>
  <si>
    <t>US91282CNZ04</t>
  </si>
  <si>
    <t>US91282CPA35</t>
  </si>
  <si>
    <t>US91282CPD73</t>
  </si>
  <si>
    <t>US91282CPM72</t>
  </si>
  <si>
    <t>4.397</t>
  </si>
  <si>
    <t>4.407</t>
  </si>
  <si>
    <t>US91282CNS60</t>
  </si>
  <si>
    <t>4.382</t>
  </si>
  <si>
    <t>US91282CNX55</t>
  </si>
  <si>
    <t>97.5000000000</t>
  </si>
  <si>
    <t>US91282CPE56</t>
  </si>
  <si>
    <t>US91282CPK17</t>
  </si>
  <si>
    <t>4.399</t>
  </si>
  <si>
    <t>US91282CPS43</t>
  </si>
  <si>
    <t>US91282CQB09</t>
  </si>
  <si>
    <t>4.314</t>
  </si>
  <si>
    <t>4.327</t>
  </si>
  <si>
    <t>4.341</t>
  </si>
  <si>
    <t>99.7500000000</t>
  </si>
  <si>
    <t>US91282CQE48</t>
  </si>
  <si>
    <t>US91282CQF13</t>
  </si>
  <si>
    <t>99.0546875000</t>
  </si>
  <si>
    <t>US91282CQK08</t>
  </si>
  <si>
    <t>US91282CQL80</t>
  </si>
  <si>
    <t>US91282CQX29</t>
  </si>
  <si>
    <t>US9128334V99</t>
  </si>
  <si>
    <t>US9128334Y39</t>
  </si>
  <si>
    <t>US9128337T17</t>
  </si>
  <si>
    <t>US912833X885</t>
  </si>
  <si>
    <t>US912833X968</t>
  </si>
  <si>
    <t>US912833Y206</t>
  </si>
  <si>
    <t>US912833Y388</t>
  </si>
  <si>
    <t>US912833Y461</t>
  </si>
  <si>
    <t>US912834DV73</t>
  </si>
  <si>
    <t>US912834EV64</t>
  </si>
  <si>
    <t>US912834FB91</t>
  </si>
  <si>
    <t>US912834KB37</t>
  </si>
  <si>
    <t>98.5468750000</t>
  </si>
  <si>
    <t>4.281</t>
  </si>
  <si>
    <t>4.383</t>
  </si>
  <si>
    <t>97.2578125000</t>
  </si>
  <si>
    <t>4.306</t>
  </si>
  <si>
    <t>4.304</t>
  </si>
  <si>
    <t>US91282CQR50</t>
  </si>
  <si>
    <t>US91282CQT17</t>
  </si>
  <si>
    <t>US91282CQU89</t>
  </si>
  <si>
    <t>US91282CQZ76</t>
  </si>
  <si>
    <t>US9128334U17</t>
  </si>
  <si>
    <t>98.2812500000</t>
  </si>
  <si>
    <t>US9128334S60</t>
  </si>
  <si>
    <t>US9128334T44</t>
  </si>
  <si>
    <t>US9128337U89</t>
  </si>
  <si>
    <t>US912833Z526</t>
  </si>
  <si>
    <t>US912834DU90</t>
  </si>
  <si>
    <t>US912834EP96</t>
  </si>
  <si>
    <t>US912834JH26</t>
  </si>
  <si>
    <t>US912834JP42</t>
  </si>
  <si>
    <t>US912834LX48</t>
  </si>
  <si>
    <t>US912834MD74</t>
  </si>
  <si>
    <t>US912834NV63</t>
  </si>
  <si>
    <t>100.0117187500</t>
  </si>
  <si>
    <t>97.7500000000</t>
  </si>
  <si>
    <t>US9128337F13</t>
  </si>
  <si>
    <t>US9128337S34</t>
  </si>
  <si>
    <t>US912834AT54</t>
  </si>
  <si>
    <t>US912834HV38</t>
  </si>
  <si>
    <t>US912834KV90</t>
  </si>
  <si>
    <t>US912834PT99</t>
  </si>
  <si>
    <t>US912834KH07</t>
  </si>
  <si>
    <t>US912834LR79</t>
  </si>
  <si>
    <t>US912834MT27</t>
  </si>
  <si>
    <t>4.271</t>
  </si>
  <si>
    <t>US91282CMZ13</t>
  </si>
  <si>
    <t>98.6015625000</t>
  </si>
  <si>
    <t>98.1406250000</t>
  </si>
  <si>
    <t>US912834PM47</t>
  </si>
  <si>
    <t>US9128337R50</t>
  </si>
  <si>
    <t>US912834MM73</t>
  </si>
  <si>
    <t>US912834NF14</t>
  </si>
  <si>
    <t>US912834PB81</t>
  </si>
  <si>
    <t>US912834PH51</t>
  </si>
  <si>
    <t>US912834PZ59</t>
  </si>
  <si>
    <t>US912834QP68</t>
  </si>
  <si>
    <t>US912834QV37</t>
  </si>
  <si>
    <t>99.8906250000</t>
  </si>
  <si>
    <t>99.3984375000</t>
  </si>
  <si>
    <t>4.196</t>
  </si>
  <si>
    <t>96.8359375000</t>
  </si>
  <si>
    <t>98.6992187500</t>
  </si>
  <si>
    <t>98.2500000000</t>
  </si>
  <si>
    <t>US9128334Z04</t>
  </si>
  <si>
    <t>US9128337V62</t>
  </si>
  <si>
    <t>US912833Z609</t>
  </si>
  <si>
    <t>US912834JB55</t>
  </si>
  <si>
    <t>US912834KP23</t>
  </si>
  <si>
    <t>US912834LB28</t>
  </si>
  <si>
    <t>US912834QH43</t>
  </si>
  <si>
    <t>US9128337Q77</t>
  </si>
  <si>
    <t>US9128337W46</t>
  </si>
  <si>
    <t>US912834AD03</t>
  </si>
  <si>
    <t>US912834AE85</t>
  </si>
  <si>
    <t>US912834AU28</t>
  </si>
  <si>
    <t>US912834LK27</t>
  </si>
  <si>
    <t>97.5859375000</t>
  </si>
  <si>
    <t>99.9296875000</t>
  </si>
  <si>
    <t>99.9218750000</t>
  </si>
  <si>
    <t>99.5625000000</t>
  </si>
  <si>
    <t>98.2656250000</t>
  </si>
  <si>
    <t>98.9843750000</t>
  </si>
  <si>
    <t>US912834MZ86</t>
  </si>
  <si>
    <t>US912834NP95</t>
  </si>
  <si>
    <t>US912803FE87</t>
  </si>
  <si>
    <t>US912810FA17</t>
  </si>
  <si>
    <t>US912821CA17</t>
  </si>
  <si>
    <t>912821GB5</t>
  </si>
  <si>
    <t>US912821GB53</t>
  </si>
  <si>
    <t>97.1640625000</t>
  </si>
  <si>
    <t>US91282CCM10</t>
  </si>
  <si>
    <t>98.8828125000</t>
  </si>
  <si>
    <t>100.3203125000</t>
  </si>
  <si>
    <t>98.1562500000</t>
  </si>
  <si>
    <t>Bill</t>
  </si>
  <si>
    <t>US912797RG48</t>
  </si>
  <si>
    <t>US912797SA68</t>
  </si>
  <si>
    <t>US912797SK41</t>
  </si>
  <si>
    <t>US912797TP29</t>
  </si>
  <si>
    <t>US912797TV96</t>
  </si>
  <si>
    <t>US912797TW79</t>
  </si>
  <si>
    <t>US912797TX52</t>
  </si>
  <si>
    <t>US912797TY36</t>
  </si>
  <si>
    <t>US912797UD79</t>
  </si>
  <si>
    <t>US912797UE52</t>
  </si>
  <si>
    <t>US912797UH83</t>
  </si>
  <si>
    <t>US912797UK13</t>
  </si>
  <si>
    <t>US912797UL95</t>
  </si>
  <si>
    <t>US912797UR65</t>
  </si>
  <si>
    <t>US912797UU94</t>
  </si>
  <si>
    <t>US912797UX34</t>
  </si>
  <si>
    <t>US912797UZ81</t>
  </si>
  <si>
    <t>US912797VF19</t>
  </si>
  <si>
    <t>US912797VJ31</t>
  </si>
  <si>
    <t>US912797UM78</t>
  </si>
  <si>
    <t>US912797US49</t>
  </si>
  <si>
    <t>US912797UV77</t>
  </si>
  <si>
    <t>US912797UY17</t>
  </si>
  <si>
    <t>US912797VA22</t>
  </si>
  <si>
    <t>US912797VB05</t>
  </si>
  <si>
    <t>US912797VC87</t>
  </si>
  <si>
    <t>US912797VD60</t>
  </si>
  <si>
    <t>US912797VH74</t>
  </si>
  <si>
    <t>US912797VK04</t>
  </si>
  <si>
    <t>US912797VL86</t>
  </si>
  <si>
    <t>US912797SU23</t>
  </si>
  <si>
    <t>US912797TC16</t>
  </si>
  <si>
    <t>US912797TM97</t>
  </si>
  <si>
    <t>US912797TQ02</t>
  </si>
  <si>
    <t>US912797VE44</t>
  </si>
  <si>
    <t>US912797VG91</t>
  </si>
  <si>
    <t>US912797VM69</t>
  </si>
  <si>
    <t>US912797RS85</t>
  </si>
  <si>
    <t>US912797UF28</t>
  </si>
  <si>
    <t>US912797UJ40</t>
  </si>
  <si>
    <t>US912797UG01</t>
  </si>
  <si>
    <t>US912797UT22</t>
  </si>
  <si>
    <t>US912797VP90</t>
  </si>
  <si>
    <t>3.695</t>
  </si>
  <si>
    <t>US912797VQ73</t>
  </si>
  <si>
    <t>US912797VS30</t>
  </si>
  <si>
    <t>US912797VN43</t>
  </si>
  <si>
    <t>97.5937500000</t>
  </si>
  <si>
    <t>76.2968750000</t>
  </si>
  <si>
    <t>92.1562500000</t>
  </si>
  <si>
    <t>4.277</t>
  </si>
  <si>
    <t>98.6328125000</t>
  </si>
  <si>
    <t>99.8671875000</t>
  </si>
  <si>
    <t>4.296</t>
  </si>
  <si>
    <t>4.392</t>
  </si>
  <si>
    <t>4.415</t>
  </si>
  <si>
    <t>98.6875000000</t>
  </si>
  <si>
    <t>94.5156250000</t>
  </si>
  <si>
    <t>4.328</t>
  </si>
  <si>
    <t>97.8906250000</t>
  </si>
  <si>
    <t>3.918</t>
  </si>
  <si>
    <t>4.283</t>
  </si>
  <si>
    <t>100.1718750000</t>
  </si>
  <si>
    <t>99.5468750000</t>
  </si>
  <si>
    <t>4.168</t>
  </si>
  <si>
    <t>4.373</t>
  </si>
  <si>
    <t>4.368</t>
  </si>
  <si>
    <t>4.166</t>
  </si>
  <si>
    <t>100.1132812500</t>
  </si>
  <si>
    <t>4.313</t>
  </si>
  <si>
    <t>4.333</t>
  </si>
  <si>
    <t>97.9140625000</t>
  </si>
  <si>
    <t>4.423</t>
  </si>
  <si>
    <t>99.1484375000</t>
  </si>
  <si>
    <t>98.3046875000</t>
  </si>
  <si>
    <t>4.45</t>
  </si>
  <si>
    <t>4.456</t>
  </si>
  <si>
    <t>4.458</t>
  </si>
  <si>
    <t>4.357</t>
  </si>
  <si>
    <t>98.9140625000</t>
  </si>
  <si>
    <t>4.362</t>
  </si>
  <si>
    <t>99.7460937500</t>
  </si>
  <si>
    <t>99.2656250000</t>
  </si>
  <si>
    <t>101.9765625000</t>
  </si>
  <si>
    <t>102.2812500000</t>
  </si>
  <si>
    <t>93.2968750000</t>
  </si>
  <si>
    <t>71.5156250000</t>
  </si>
  <si>
    <t>86.5468750000</t>
  </si>
  <si>
    <t>87.0468750000</t>
  </si>
  <si>
    <t>93.6796875000</t>
  </si>
  <si>
    <t>3.885</t>
  </si>
  <si>
    <t>4.284</t>
  </si>
  <si>
    <t>4.144</t>
  </si>
  <si>
    <t>4.441</t>
  </si>
  <si>
    <t>99.4570312500</t>
  </si>
  <si>
    <t>4.323</t>
  </si>
  <si>
    <t>4.253</t>
  </si>
  <si>
    <t>97.6171875000</t>
  </si>
  <si>
    <t>4.262</t>
  </si>
  <si>
    <t>97.1015625000</t>
  </si>
  <si>
    <t>100.2109375000</t>
  </si>
  <si>
    <t>3.968</t>
  </si>
  <si>
    <t>99.5859375000</t>
  </si>
  <si>
    <t>4.292</t>
  </si>
  <si>
    <t>4.194</t>
  </si>
  <si>
    <t>100.0429687500</t>
  </si>
  <si>
    <t>98.3515625000</t>
  </si>
  <si>
    <t>4.334</t>
  </si>
  <si>
    <t>4.435</t>
  </si>
  <si>
    <t>4.344</t>
  </si>
  <si>
    <t>97.2421875000</t>
  </si>
  <si>
    <t>98.3281250000</t>
  </si>
  <si>
    <t>4.354</t>
  </si>
  <si>
    <t>4.298</t>
  </si>
  <si>
    <t>98.0234375000</t>
  </si>
  <si>
    <t>97.9453125000</t>
  </si>
  <si>
    <t>99.5156250000</t>
  </si>
  <si>
    <t>4.473</t>
  </si>
  <si>
    <t>67.0000000000</t>
  </si>
  <si>
    <t>69.0625000000</t>
  </si>
  <si>
    <t>93.9531250000</t>
  </si>
  <si>
    <t>93.9218750000</t>
  </si>
  <si>
    <t>4.26</t>
  </si>
  <si>
    <t>97.0937500000</t>
  </si>
  <si>
    <t>3.884</t>
  </si>
  <si>
    <t>3.947</t>
  </si>
  <si>
    <t>4.082</t>
  </si>
  <si>
    <t>95.9609375000</t>
  </si>
  <si>
    <t>88.1875000000</t>
  </si>
  <si>
    <t>99.4843750000</t>
  </si>
  <si>
    <t>98.9023437500</t>
  </si>
  <si>
    <t>97.1250000000</t>
  </si>
  <si>
    <t>98.7968750000</t>
  </si>
  <si>
    <t>96.6015625000</t>
  </si>
  <si>
    <t>98.2265625000</t>
  </si>
  <si>
    <t>99.9960937500</t>
  </si>
  <si>
    <t>3.914</t>
  </si>
  <si>
    <t>97.5781250000</t>
  </si>
  <si>
    <t>99.0078125000</t>
  </si>
  <si>
    <t>4.289</t>
  </si>
  <si>
    <t>96.5000000000</t>
  </si>
  <si>
    <t>94.0312500000</t>
  </si>
  <si>
    <t>98.5937500000</t>
  </si>
  <si>
    <t>97.4531250000</t>
  </si>
  <si>
    <t>4.258</t>
  </si>
  <si>
    <t>99.5000000000</t>
  </si>
  <si>
    <t>1.972</t>
  </si>
  <si>
    <t>98.0156250000</t>
  </si>
  <si>
    <t>97.0546875000</t>
  </si>
  <si>
    <t>4.342</t>
  </si>
  <si>
    <t>99.5234375000</t>
  </si>
  <si>
    <t>77.9843750000</t>
  </si>
  <si>
    <t>4.348</t>
  </si>
  <si>
    <t>4.192</t>
  </si>
  <si>
    <t>86.2343750000</t>
  </si>
  <si>
    <t>3.958</t>
  </si>
  <si>
    <t>3.891</t>
  </si>
  <si>
    <t>95.1406250000</t>
  </si>
  <si>
    <t>4.324</t>
  </si>
  <si>
    <t>97.9531250000</t>
  </si>
  <si>
    <t>97.8515625000</t>
  </si>
  <si>
    <t>2.113</t>
  </si>
  <si>
    <t>100.1328125000</t>
  </si>
  <si>
    <t>100.2929687500</t>
  </si>
  <si>
    <t>99.0585937500</t>
  </si>
  <si>
    <t>99.9335937500</t>
  </si>
  <si>
    <t>97.6875000000</t>
  </si>
  <si>
    <t>99.0820312500</t>
  </si>
  <si>
    <t>4.446</t>
  </si>
  <si>
    <t>4.451</t>
  </si>
  <si>
    <t>98.0625000000</t>
  </si>
  <si>
    <t>4.263</t>
  </si>
  <si>
    <t>71.1718750000</t>
  </si>
  <si>
    <t>87.0312500000</t>
  </si>
  <si>
    <t>2.043</t>
  </si>
  <si>
    <t>97.1875000000</t>
  </si>
  <si>
    <t>98.8710937500</t>
  </si>
  <si>
    <t>93.5390625000</t>
  </si>
  <si>
    <t>94.1250000000</t>
  </si>
  <si>
    <t>79.9375000000</t>
  </si>
  <si>
    <t>69.0468750000</t>
  </si>
  <si>
    <t>50.8593750000</t>
  </si>
  <si>
    <t>98.5312500000</t>
  </si>
  <si>
    <t>97.7109375000</t>
  </si>
  <si>
    <t>97.3046875000</t>
  </si>
  <si>
    <t>96.6171875000</t>
  </si>
  <si>
    <t>3.842</t>
  </si>
  <si>
    <t>4.462</t>
  </si>
  <si>
    <t>99.5390625000</t>
  </si>
  <si>
    <t>4.48</t>
  </si>
  <si>
    <t>99.5976562500</t>
  </si>
  <si>
    <t>93.7109375000</t>
  </si>
  <si>
    <t>4.09</t>
  </si>
  <si>
    <t>99.7343750000</t>
  </si>
  <si>
    <t>95.3125000000</t>
  </si>
  <si>
    <t>100.7265625000</t>
  </si>
  <si>
    <t>4.358</t>
  </si>
  <si>
    <t>99.9023437500</t>
  </si>
  <si>
    <t>4.132</t>
  </si>
  <si>
    <t>4.048</t>
  </si>
  <si>
    <t>98.8671875000</t>
  </si>
  <si>
    <t>97.6953125000</t>
  </si>
  <si>
    <t>98.4062500000</t>
  </si>
  <si>
    <t>4.338</t>
  </si>
  <si>
    <t>4.444</t>
  </si>
  <si>
    <t>96.7812500000</t>
  </si>
  <si>
    <t>97.0703125000</t>
  </si>
  <si>
    <t>99.1210937500</t>
  </si>
  <si>
    <t>101.1015625000</t>
  </si>
  <si>
    <t>99.9726562500</t>
  </si>
  <si>
    <t>99.1171875000</t>
  </si>
  <si>
    <t>97.6562500000</t>
  </si>
  <si>
    <t>4.474</t>
  </si>
  <si>
    <t>3.594</t>
  </si>
  <si>
    <t>3.69</t>
  </si>
  <si>
    <t>3.974</t>
  </si>
  <si>
    <t>3.713</t>
  </si>
  <si>
    <t>3.723</t>
  </si>
  <si>
    <t>3.6348000000</t>
  </si>
  <si>
    <t>3.861</t>
  </si>
  <si>
    <t>3.708</t>
  </si>
  <si>
    <t>3.6462000000</t>
  </si>
  <si>
    <t>3.88</t>
  </si>
  <si>
    <t>3.614</t>
  </si>
  <si>
    <t>3.696</t>
  </si>
  <si>
    <t>3.7325000000</t>
  </si>
  <si>
    <t>3.988</t>
  </si>
  <si>
    <t>4.103</t>
  </si>
  <si>
    <t>3.6180000000</t>
  </si>
  <si>
    <t>DL input prc = 98.51562500  PX_ASK = 98.53125000 PX_BID = 98.50000000</t>
  </si>
  <si>
    <t>DL input prc = 97.60546875  PX_ASK = 97.61718750 PX_BID = 97.59375000</t>
  </si>
  <si>
    <t>DL input prc = 97.93359375  PX_ASK = 97.95312500 PX_BID = 97.91406250</t>
  </si>
  <si>
    <t>DL input prc = 97.87109375  PX_ASK = 97.89062500 PX_BID = 97.85156250</t>
  </si>
  <si>
    <t>DL input prc = 100.00390625  PX_ASK = 100.01171875 PX_BID = 99.99609375</t>
  </si>
  <si>
    <t>DL input prc = 99.90625000  PX_ASK = 99.92187500 PX_BID = 99.89062500</t>
  </si>
  <si>
    <t>DL input prc = 100.30859375  PX_ASK = 100.32031250 PX_BID = 100.29687500</t>
  </si>
  <si>
    <t>DL input prc = 97.29296875  PX_ASK = 97.30468750 PX_BID = 97.28125000</t>
  </si>
  <si>
    <t>DL input prc = 97.25000000  PX_ASK = 97.25781250 PX_BID = 97.24218750</t>
  </si>
  <si>
    <t>DL input prc = 97.17578125  PX_ASK = 97.18750000 PX_BID = 97.16406250</t>
  </si>
  <si>
    <t>DL input prc = 97.06250000  PX_ASK = 97.07031250 PX_BID = 97.05468750</t>
  </si>
  <si>
    <t>DL input prc = 99.54296875  PX_ASK = 99.54687500 PX_BID = 99.53906250</t>
  </si>
  <si>
    <t>DL input prc = 99.51953125  PX_ASK = 99.52343750 PX_BID = 99.51562500</t>
  </si>
  <si>
    <t>912797VW4</t>
  </si>
  <si>
    <t>Computedby SilverAdmin</t>
  </si>
  <si>
    <t>87.7091646300</t>
  </si>
  <si>
    <t>58.5762665700</t>
  </si>
  <si>
    <t>57.6657477600</t>
  </si>
  <si>
    <t>54.0912956500</t>
  </si>
  <si>
    <t>51.5051403400</t>
  </si>
  <si>
    <t>50.8956436000</t>
  </si>
  <si>
    <t>42.1664517400</t>
  </si>
  <si>
    <t>42.0215852600</t>
  </si>
  <si>
    <t>40.8899748600</t>
  </si>
  <si>
    <t>39.5993145500</t>
  </si>
  <si>
    <t>38.9963398600</t>
  </si>
  <si>
    <t>36.8647762800</t>
  </si>
  <si>
    <t>30.9113812200</t>
  </si>
  <si>
    <t>30.6334046400</t>
  </si>
  <si>
    <t>28.4497622400</t>
  </si>
  <si>
    <t>27.6435174800</t>
  </si>
  <si>
    <t>26.8506896700</t>
  </si>
  <si>
    <t>25.3746546000</t>
  </si>
  <si>
    <t>101.3203125000</t>
  </si>
  <si>
    <t>100.8984375000</t>
  </si>
  <si>
    <t>100.8203125000</t>
  </si>
  <si>
    <t>94.7343750000</t>
  </si>
  <si>
    <t>94.8359375000</t>
  </si>
  <si>
    <t>93.5859375000</t>
  </si>
  <si>
    <t>71.0312500000</t>
  </si>
  <si>
    <t>68.1875000000</t>
  </si>
  <si>
    <t>99.7640717500</t>
  </si>
  <si>
    <t>97.8739536400</t>
  </si>
  <si>
    <t>90.7697229900</t>
  </si>
  <si>
    <t>87.8646435400</t>
  </si>
  <si>
    <t>84.8523456100</t>
  </si>
  <si>
    <t>51.6758968600</t>
  </si>
  <si>
    <t>49.1010686100</t>
  </si>
  <si>
    <t>47.7994346000</t>
  </si>
  <si>
    <t>45.5639615900</t>
  </si>
  <si>
    <t>45.4120761800</t>
  </si>
  <si>
    <t>38.4455852600</t>
  </si>
  <si>
    <t>37.5652856700</t>
  </si>
  <si>
    <t>36.3670748700</t>
  </si>
  <si>
    <t>35.9947943700</t>
  </si>
  <si>
    <t>35.5162070700</t>
  </si>
  <si>
    <t>34.9302625100</t>
  </si>
  <si>
    <t>33.6401267600</t>
  </si>
  <si>
    <t>29.1222013500</t>
  </si>
  <si>
    <t>26.6334093000</t>
  </si>
  <si>
    <t>26.2077687500</t>
  </si>
  <si>
    <t>102.4296875000</t>
  </si>
  <si>
    <t>101.1562500000</t>
  </si>
  <si>
    <t>96.8750000000</t>
  </si>
  <si>
    <t>89.4843750000</t>
  </si>
  <si>
    <t>89.3750000000</t>
  </si>
  <si>
    <t>93.0468750000</t>
  </si>
  <si>
    <t>79.8437500000</t>
  </si>
  <si>
    <t>95.7126780500</t>
  </si>
  <si>
    <t>65.3304514600</t>
  </si>
  <si>
    <t>49.2590293600</t>
  </si>
  <si>
    <t>48.4028203300</t>
  </si>
  <si>
    <t>43.9985751400</t>
  </si>
  <si>
    <t>42.6400334000</t>
  </si>
  <si>
    <t>40.2803232900</t>
  </si>
  <si>
    <t>39.1476476900</t>
  </si>
  <si>
    <t>38.0894707700</t>
  </si>
  <si>
    <t>35.8783453300</t>
  </si>
  <si>
    <t>32.6286155600</t>
  </si>
  <si>
    <t>31.0460573200</t>
  </si>
  <si>
    <t>30.1222154800</t>
  </si>
  <si>
    <t>27.9230742200</t>
  </si>
  <si>
    <t>25.1161968100</t>
  </si>
  <si>
    <t>25.0188718700</t>
  </si>
  <si>
    <t>100.5937500000</t>
  </si>
  <si>
    <t>102.8046875000</t>
  </si>
  <si>
    <t>104.1171875000</t>
  </si>
  <si>
    <t>99.6406250000</t>
  </si>
  <si>
    <t>98.4375000000</t>
  </si>
  <si>
    <t>94.8750000000</t>
  </si>
  <si>
    <t>95.3750000000</t>
  </si>
  <si>
    <t>94.7968750000</t>
  </si>
  <si>
    <t>92.9375000000</t>
  </si>
  <si>
    <t>99.7713307200</t>
  </si>
  <si>
    <t>97.9610411400</t>
  </si>
  <si>
    <t>82.1120328300</t>
  </si>
  <si>
    <t>61.0128914700</t>
  </si>
  <si>
    <t>57.8390862200</t>
  </si>
  <si>
    <t>53.1042098300</t>
  </si>
  <si>
    <t>50.7175667500</t>
  </si>
  <si>
    <t>50.0406621900</t>
  </si>
  <si>
    <t>49.8624299500</t>
  </si>
  <si>
    <t>43.3044987500</t>
  </si>
  <si>
    <t>41.3571017400</t>
  </si>
  <si>
    <t>40.1357961200</t>
  </si>
  <si>
    <t>36.4973275300</t>
  </si>
  <si>
    <t>35.3930156500</t>
  </si>
  <si>
    <t>34.5799671500</t>
  </si>
  <si>
    <t>33.1941289400</t>
  </si>
  <si>
    <t>29.4539382900</t>
  </si>
  <si>
    <t>28.3365973600</t>
  </si>
  <si>
    <t>25.5822377000</t>
  </si>
  <si>
    <t>102.6679687500</t>
  </si>
  <si>
    <t>102.1953125000</t>
  </si>
  <si>
    <t>102.1093750000</t>
  </si>
  <si>
    <t>102.6328125000</t>
  </si>
  <si>
    <t>102.3359375000</t>
  </si>
  <si>
    <t>104.5703125000</t>
  </si>
  <si>
    <t>106.8203125000</t>
  </si>
  <si>
    <t>103.4375000000</t>
  </si>
  <si>
    <t>94.6544196400</t>
  </si>
  <si>
    <t>91.7290498900</t>
  </si>
  <si>
    <t>90.0135162700</t>
  </si>
  <si>
    <t>82.3656572600</t>
  </si>
  <si>
    <t>61.8766088500</t>
  </si>
  <si>
    <t>54.2607633600</t>
  </si>
  <si>
    <t>53.2738084400</t>
  </si>
  <si>
    <t>47.6339549500</t>
  </si>
  <si>
    <t>42.7848599700</t>
  </si>
  <si>
    <t>39.7439320600</t>
  </si>
  <si>
    <t>38.5968103000</t>
  </si>
  <si>
    <t>37.4346765100</t>
  </si>
  <si>
    <t>35.0465346400</t>
  </si>
  <si>
    <t>34.4638233200</t>
  </si>
  <si>
    <t>31.8704853700</t>
  </si>
  <si>
    <t>29.8609543300</t>
  </si>
  <si>
    <t>28.0357395200</t>
  </si>
  <si>
    <t>26.3124157200</t>
  </si>
  <si>
    <t>25.8878156200</t>
  </si>
  <si>
    <t>25.2707815000</t>
  </si>
  <si>
    <t>24.8255542200</t>
  </si>
  <si>
    <t>102.5546875000</t>
  </si>
  <si>
    <t>105.0546875000</t>
  </si>
  <si>
    <t>106.8984375000</t>
  </si>
  <si>
    <t>103.2812500000</t>
  </si>
  <si>
    <t>74.0000000000</t>
  </si>
  <si>
    <t>67.0625000000</t>
  </si>
  <si>
    <t>63.3281250000</t>
  </si>
  <si>
    <t>68.2578125000</t>
  </si>
  <si>
    <t>68.1328125000</t>
  </si>
  <si>
    <t>68.7343750000</t>
  </si>
  <si>
    <t>68.9218750000</t>
  </si>
  <si>
    <t>61.2968750000</t>
  </si>
  <si>
    <t>50.5781250000</t>
  </si>
  <si>
    <t>50.5468750000</t>
  </si>
  <si>
    <t>53.7656250000</t>
  </si>
  <si>
    <t>55.1250000000</t>
  </si>
  <si>
    <t>53.1250000000</t>
  </si>
  <si>
    <t>67.6718750000</t>
  </si>
  <si>
    <t>49.7421875000</t>
  </si>
  <si>
    <t>67.0156250000</t>
  </si>
  <si>
    <t>77.5937500000</t>
  </si>
  <si>
    <t>84.5703125000</t>
  </si>
  <si>
    <t>88.2031250000</t>
  </si>
  <si>
    <t>92.1875000000</t>
  </si>
  <si>
    <t>89.0234375000</t>
  </si>
  <si>
    <t>5.145</t>
  </si>
  <si>
    <t>5.13</t>
  </si>
  <si>
    <t>5.142</t>
  </si>
  <si>
    <t>5.144</t>
  </si>
  <si>
    <t>77.8125000000</t>
  </si>
  <si>
    <t>83.2031250000</t>
  </si>
  <si>
    <t>76.2343750000</t>
  </si>
  <si>
    <t>74.4687500000</t>
  </si>
  <si>
    <t>74.0625000000</t>
  </si>
  <si>
    <t>71.2343750000</t>
  </si>
  <si>
    <t>72.1250000000</t>
  </si>
  <si>
    <t>68.5156250000</t>
  </si>
  <si>
    <t>70.8281250000</t>
  </si>
  <si>
    <t>58.2656250000</t>
  </si>
  <si>
    <t>81.5312500000</t>
  </si>
  <si>
    <t>86.3437500000</t>
  </si>
  <si>
    <t>94.3125000000</t>
  </si>
  <si>
    <t>94.2812500000</t>
  </si>
  <si>
    <t>94.0937500000</t>
  </si>
  <si>
    <t>5.147</t>
  </si>
  <si>
    <t>5.14</t>
  </si>
  <si>
    <t>5.134</t>
  </si>
  <si>
    <t>93.5937500000</t>
  </si>
  <si>
    <t>5.131</t>
  </si>
  <si>
    <t>5.141</t>
  </si>
  <si>
    <t>5.143</t>
  </si>
  <si>
    <t>93.5635140700</t>
  </si>
  <si>
    <t>88.8101823200</t>
  </si>
  <si>
    <t>74.2343750000</t>
  </si>
  <si>
    <t>74.5312500000</t>
  </si>
  <si>
    <t>72.1718750000</t>
  </si>
  <si>
    <t>66.7031250000</t>
  </si>
  <si>
    <t>72.1875000000</t>
  </si>
  <si>
    <t>68.0546875000</t>
  </si>
  <si>
    <t>61.8125000000</t>
  </si>
  <si>
    <t>63.1406250000</t>
  </si>
  <si>
    <t>67.7968750000</t>
  </si>
  <si>
    <t>60.5625000000</t>
  </si>
  <si>
    <t>68.7031250000</t>
  </si>
  <si>
    <t>73.4531250000</t>
  </si>
  <si>
    <t>86.2812500000</t>
  </si>
  <si>
    <t>86.5937500000</t>
  </si>
  <si>
    <t>94.0625000000</t>
  </si>
  <si>
    <t>92.2343750000</t>
  </si>
  <si>
    <t>5.129</t>
  </si>
  <si>
    <t>98.8468335000</t>
  </si>
  <si>
    <t>94.7874391800</t>
  </si>
  <si>
    <t>65.1473565000</t>
  </si>
  <si>
    <t>61.6915536300</t>
  </si>
  <si>
    <t>61.1808239100</t>
  </si>
  <si>
    <t>52.4473078600</t>
  </si>
  <si>
    <t>47.0943341000</t>
  </si>
  <si>
    <t>46.1660165600</t>
  </si>
  <si>
    <t>44.7112637800</t>
  </si>
  <si>
    <t>41.5087006300</t>
  </si>
  <si>
    <t>40.7384711400</t>
  </si>
  <si>
    <t>33.9449805200</t>
  </si>
  <si>
    <t>32.7643943400</t>
  </si>
  <si>
    <t>30.2429556300</t>
  </si>
  <si>
    <t>28.7518520000</t>
  </si>
  <si>
    <t>27.1869489200</t>
  </si>
  <si>
    <t>25.9856587400</t>
  </si>
  <si>
    <t>100.4765625000</t>
  </si>
  <si>
    <t>102.1210937500</t>
  </si>
  <si>
    <t>105.4218750000</t>
  </si>
  <si>
    <t>106.5390625000</t>
  </si>
  <si>
    <t>101.2968750000</t>
  </si>
  <si>
    <t>4.962</t>
  </si>
  <si>
    <t>4.971</t>
  </si>
  <si>
    <t>83.1250000000</t>
  </si>
  <si>
    <t>82.6250000000</t>
  </si>
  <si>
    <t>79.5937500000</t>
  </si>
  <si>
    <t>99.0625000000</t>
  </si>
  <si>
    <t>88.4218750000</t>
  </si>
  <si>
    <t>94.6953125000</t>
  </si>
  <si>
    <t>74.6484375000</t>
  </si>
  <si>
    <t>74.1406250000</t>
  </si>
  <si>
    <t>84.3281250000</t>
  </si>
  <si>
    <t>79.5468750000</t>
  </si>
  <si>
    <t>71.0468750000</t>
  </si>
  <si>
    <t>70.9843750000</t>
  </si>
  <si>
    <t>68.4687500000</t>
  </si>
  <si>
    <t>54.3281250000</t>
  </si>
  <si>
    <t>49.6171875000</t>
  </si>
  <si>
    <t>73.3203125000</t>
  </si>
  <si>
    <t>86.5000000000</t>
  </si>
  <si>
    <t>91.7968750000</t>
  </si>
  <si>
    <t>96.0625000000</t>
  </si>
  <si>
    <t>86.6250000000</t>
  </si>
  <si>
    <t>96.8125000000</t>
  </si>
  <si>
    <t>77.7031250000</t>
  </si>
  <si>
    <t>74.6406250000</t>
  </si>
  <si>
    <t>74.8437500000</t>
  </si>
  <si>
    <t>82.6718750000</t>
  </si>
  <si>
    <t>79.4765625000</t>
  </si>
  <si>
    <t>68.2500000000</t>
  </si>
  <si>
    <t>66.7968750000</t>
  </si>
  <si>
    <t>72.3750000000</t>
  </si>
  <si>
    <t>72.3281250000</t>
  </si>
  <si>
    <t>72.9531250000</t>
  </si>
  <si>
    <t>60.2656250000</t>
  </si>
  <si>
    <t>61.7187500000</t>
  </si>
  <si>
    <t>45.9843750000</t>
  </si>
  <si>
    <t>80.3750000000</t>
  </si>
  <si>
    <t>83.0312500000</t>
  </si>
  <si>
    <t>83.0000000000</t>
  </si>
  <si>
    <t>88.1250000000</t>
  </si>
  <si>
    <t>91.8593750000</t>
  </si>
  <si>
    <t>5.139</t>
  </si>
  <si>
    <t>5.151</t>
  </si>
  <si>
    <t>5.148</t>
  </si>
  <si>
    <t>93.6985030800</t>
  </si>
  <si>
    <t>96.7007341700</t>
  </si>
  <si>
    <t>99.5699013200</t>
  </si>
  <si>
    <t>99.2453018500</t>
  </si>
  <si>
    <t>98.9226889100</t>
  </si>
  <si>
    <t>98.9189290000</t>
  </si>
  <si>
    <t>97.2670947700</t>
  </si>
  <si>
    <t>96.9299943400</t>
  </si>
  <si>
    <t>95.2246609100</t>
  </si>
  <si>
    <t>94.2305797700</t>
  </si>
  <si>
    <t>93.5556767400</t>
  </si>
  <si>
    <t>88.6802267600</t>
  </si>
  <si>
    <t>87.1354484500</t>
  </si>
  <si>
    <t>85.5502637900</t>
  </si>
  <si>
    <t>85.5069907000</t>
  </si>
  <si>
    <t>84.8757748700</t>
  </si>
  <si>
    <t>4.241</t>
  </si>
  <si>
    <t>97.4843750000</t>
  </si>
  <si>
    <t>2.136</t>
  </si>
  <si>
    <t>98.6132812500</t>
  </si>
  <si>
    <t>4.089</t>
  </si>
  <si>
    <t>98.2343750000</t>
  </si>
  <si>
    <t>99.2492580000</t>
  </si>
  <si>
    <t>98.5902536500</t>
  </si>
  <si>
    <t>96.5812516400</t>
  </si>
  <si>
    <t>96.2444502600</t>
  </si>
  <si>
    <t>96.2338110900</t>
  </si>
  <si>
    <t>95.8921655100</t>
  </si>
  <si>
    <t>78.4936087900</t>
  </si>
  <si>
    <t>89.6553694000</t>
  </si>
  <si>
    <t>75.7665024800</t>
  </si>
  <si>
    <t>86.4602121300</t>
  </si>
  <si>
    <t>86.1393813200</t>
  </si>
  <si>
    <t>74.6660968100</t>
  </si>
  <si>
    <t>85.8221201000</t>
  </si>
  <si>
    <t>92.2187853800</t>
  </si>
  <si>
    <t>91.5288972300</t>
  </si>
  <si>
    <t>3.779</t>
  </si>
  <si>
    <t>2.155</t>
  </si>
  <si>
    <t>2.212</t>
  </si>
  <si>
    <t>4.163</t>
  </si>
  <si>
    <t>97.5078125000</t>
  </si>
  <si>
    <t>97.2343750000</t>
  </si>
  <si>
    <t>96.9687500000</t>
  </si>
  <si>
    <t>3.804</t>
  </si>
  <si>
    <t>3.145</t>
  </si>
  <si>
    <t>99.9110488100</t>
  </si>
  <si>
    <t>99.5737809200</t>
  </si>
  <si>
    <t>97.8239283500</t>
  </si>
  <si>
    <t>85.7845427900</t>
  </si>
  <si>
    <t>96.9373520000</t>
  </si>
  <si>
    <t>95.2102154300</t>
  </si>
  <si>
    <t>82.9226271700</t>
  </si>
  <si>
    <t>91.2435633200</t>
  </si>
  <si>
    <t>90.2920394900</t>
  </si>
  <si>
    <t>90.2575242800</t>
  </si>
  <si>
    <t>89.9371783300</t>
  </si>
  <si>
    <t>88.9943296800</t>
  </si>
  <si>
    <t>77.5731297300</t>
  </si>
  <si>
    <t>88.3739908900</t>
  </si>
  <si>
    <t>75.6262177700</t>
  </si>
  <si>
    <t>74.8437364900</t>
  </si>
  <si>
    <t>73.9471867400</t>
  </si>
  <si>
    <t>93.2193937800</t>
  </si>
  <si>
    <t>92.8576046300</t>
  </si>
  <si>
    <t>97.9960937500</t>
  </si>
  <si>
    <t>97.4453125000</t>
  </si>
  <si>
    <t>71.5468750000</t>
  </si>
  <si>
    <t>75.9531250000</t>
  </si>
  <si>
    <t>68.9531250000</t>
  </si>
  <si>
    <t>56.4687500000</t>
  </si>
  <si>
    <t>46.0156250000</t>
  </si>
  <si>
    <t>47.4218750000</t>
  </si>
  <si>
    <t>61.9687500000</t>
  </si>
  <si>
    <t>53.8125000000</t>
  </si>
  <si>
    <t>71.3125000000</t>
  </si>
  <si>
    <t>55.0937500000</t>
  </si>
  <si>
    <t>71.2656250000</t>
  </si>
  <si>
    <t>80.4687500000</t>
  </si>
  <si>
    <t>81.4531250000</t>
  </si>
  <si>
    <t>77.5625000000</t>
  </si>
  <si>
    <t>77.5156250000</t>
  </si>
  <si>
    <t>84.7812500000</t>
  </si>
  <si>
    <t>86.5781250000</t>
  </si>
  <si>
    <t>92.9687500000</t>
  </si>
  <si>
    <t>90.3125000000</t>
  </si>
  <si>
    <t>90.2812500000</t>
  </si>
  <si>
    <t>92.2187500000</t>
  </si>
  <si>
    <t>89.1406250000</t>
  </si>
  <si>
    <t>5.132</t>
  </si>
  <si>
    <t>94.2187500000</t>
  </si>
  <si>
    <t>89.1328125000</t>
  </si>
  <si>
    <t>98.8132740600</t>
  </si>
  <si>
    <t>95.8317661000</t>
  </si>
  <si>
    <t>90.6422347200</t>
  </si>
  <si>
    <t>85.0395118500</t>
  </si>
  <si>
    <t>55.2062321700</t>
  </si>
  <si>
    <t>52.2771880100</t>
  </si>
  <si>
    <t>48.5543604900</t>
  </si>
  <si>
    <t>46.3179475000</t>
  </si>
  <si>
    <t>37.9244705100</t>
  </si>
  <si>
    <t>31.7420682100</t>
  </si>
  <si>
    <t>29.7471115900</t>
  </si>
  <si>
    <t>29.3404394700</t>
  </si>
  <si>
    <t>29.0087703100</t>
  </si>
  <si>
    <t>27.5378747500</t>
  </si>
  <si>
    <t>27.2923047500</t>
  </si>
  <si>
    <t>26.5219847400</t>
  </si>
  <si>
    <t>25.6863928000</t>
  </si>
  <si>
    <t>99.9414062500</t>
  </si>
  <si>
    <t>101.8007812500</t>
  </si>
  <si>
    <t>104.4921875000</t>
  </si>
  <si>
    <t>106.8750000000</t>
  </si>
  <si>
    <t>104.4453125000</t>
  </si>
  <si>
    <t>97.6093750000</t>
  </si>
  <si>
    <t>86.9218750000</t>
  </si>
  <si>
    <t>79.4531250000</t>
  </si>
  <si>
    <t>3.729</t>
  </si>
  <si>
    <t>3.725</t>
  </si>
  <si>
    <t>3.985</t>
  </si>
  <si>
    <t>2.058</t>
  </si>
  <si>
    <t>98.2968750000</t>
  </si>
  <si>
    <t>4.003</t>
  </si>
  <si>
    <t>97.3085937500</t>
  </si>
  <si>
    <t>97.2851562500</t>
  </si>
  <si>
    <t>4.188</t>
  </si>
  <si>
    <t>4.217</t>
  </si>
  <si>
    <t>4.246</t>
  </si>
  <si>
    <t>86.7812500000</t>
  </si>
  <si>
    <t>95.1796875000</t>
  </si>
  <si>
    <t>94.9062500000</t>
  </si>
  <si>
    <t>88.2109375000</t>
  </si>
  <si>
    <t>99.9179687500</t>
  </si>
  <si>
    <t>3.288</t>
  </si>
  <si>
    <t>97.5546875000</t>
  </si>
  <si>
    <t>3.828</t>
  </si>
  <si>
    <t>3.898</t>
  </si>
  <si>
    <t>4.029</t>
  </si>
  <si>
    <t>3.99</t>
  </si>
  <si>
    <t>90.7500000000</t>
  </si>
  <si>
    <t>4.038</t>
  </si>
  <si>
    <t>4.096</t>
  </si>
  <si>
    <t>4.154</t>
  </si>
  <si>
    <t>4.128</t>
  </si>
  <si>
    <t>93.0781250000</t>
  </si>
  <si>
    <t>96.0351562500</t>
  </si>
  <si>
    <t>4.23</t>
  </si>
  <si>
    <t>95.3046875000</t>
  </si>
  <si>
    <t>95.0117187500</t>
  </si>
  <si>
    <t>2.016</t>
  </si>
  <si>
    <t>94.8867187500</t>
  </si>
  <si>
    <t>3.916</t>
  </si>
  <si>
    <t>99.6640625000</t>
  </si>
  <si>
    <t>93.7265625000</t>
  </si>
  <si>
    <t>85.8046875000</t>
  </si>
  <si>
    <t>78.0937500000</t>
  </si>
  <si>
    <t>79.4843750000</t>
  </si>
  <si>
    <t>72.2343750000</t>
  </si>
  <si>
    <t>71.3593750000</t>
  </si>
  <si>
    <t>63.3750000000</t>
  </si>
  <si>
    <t>68.6718750000</t>
  </si>
  <si>
    <t>73.0000000000</t>
  </si>
  <si>
    <t>70.7812500000</t>
  </si>
  <si>
    <t>61.7812500000</t>
  </si>
  <si>
    <t>56.4218750000</t>
  </si>
  <si>
    <t>54.2109375000</t>
  </si>
  <si>
    <t>47.3906250000</t>
  </si>
  <si>
    <t>61.1875000000</t>
  </si>
  <si>
    <t>60.5937500000</t>
  </si>
  <si>
    <t>53.1562500000</t>
  </si>
  <si>
    <t>95.4687500000</t>
  </si>
  <si>
    <t>92.7441833900</t>
  </si>
  <si>
    <t>92.5498686900</t>
  </si>
  <si>
    <t>88.6609986400</t>
  </si>
  <si>
    <t>97.5982690500</t>
  </si>
  <si>
    <t>97.2736853900</t>
  </si>
  <si>
    <t>95.8815749700</t>
  </si>
  <si>
    <t>94.8749128400</t>
  </si>
  <si>
    <t>83.1365251300</t>
  </si>
  <si>
    <t>94.2066544100</t>
  </si>
  <si>
    <t>93.5276727000</t>
  </si>
  <si>
    <t>90.8922212600</t>
  </si>
  <si>
    <t>89.0306049200</t>
  </si>
  <si>
    <t>88.7174614700</t>
  </si>
  <si>
    <t>88.4121657100</t>
  </si>
  <si>
    <t>88.0522866100</t>
  </si>
  <si>
    <t>87.4545274700</t>
  </si>
  <si>
    <t>86.8187041800</t>
  </si>
  <si>
    <t>86.5039075600</t>
  </si>
  <si>
    <t>81.1160022400</t>
  </si>
  <si>
    <t>92.5496528000</t>
  </si>
  <si>
    <t>80.1640303800</t>
  </si>
  <si>
    <t>4.412</t>
  </si>
  <si>
    <t>4.19</t>
  </si>
  <si>
    <t>97.4882812500</t>
  </si>
  <si>
    <t>4.216</t>
  </si>
  <si>
    <t>1.938</t>
  </si>
  <si>
    <t>1.955</t>
  </si>
  <si>
    <t>99.6875000000</t>
  </si>
  <si>
    <t>3.807</t>
  </si>
  <si>
    <t>3.919</t>
  </si>
  <si>
    <t>90.0000000000</t>
  </si>
  <si>
    <t>98.7382812500</t>
  </si>
  <si>
    <t>4.075</t>
  </si>
  <si>
    <t>4.105</t>
  </si>
  <si>
    <t>97.1328125000</t>
  </si>
  <si>
    <t>99.3593750000</t>
  </si>
  <si>
    <t>93.9296875000</t>
  </si>
  <si>
    <t>99.6328125000</t>
  </si>
  <si>
    <t>96.8035336000</t>
  </si>
  <si>
    <t>96.5901839000</t>
  </si>
  <si>
    <t>83.8665877300</t>
  </si>
  <si>
    <t>94.8903122800</t>
  </si>
  <si>
    <t>94.5548628100</t>
  </si>
  <si>
    <t>94.5385135700</t>
  </si>
  <si>
    <t>93.8908283200</t>
  </si>
  <si>
    <t>79.4176185400</t>
  </si>
  <si>
    <t>90.6056267200</t>
  </si>
  <si>
    <t>78.3270697000</t>
  </si>
  <si>
    <t>89.3437077900</t>
  </si>
  <si>
    <t>77.4320335600</t>
  </si>
  <si>
    <t>76.6862402700</t>
  </si>
  <si>
    <t>76.4590383100</t>
  </si>
  <si>
    <t>87.7717087200</t>
  </si>
  <si>
    <t>87.4135451900</t>
  </si>
  <si>
    <t>87.0963447600</t>
  </si>
  <si>
    <t>81.2996847400</t>
  </si>
  <si>
    <t>91.8533797200</t>
  </si>
  <si>
    <t>97.3437500000</t>
  </si>
  <si>
    <t>97.5898437500</t>
  </si>
  <si>
    <t>95.0859375000</t>
  </si>
  <si>
    <t>3.312</t>
  </si>
  <si>
    <t>2.949</t>
  </si>
  <si>
    <t>92.2265625000</t>
  </si>
  <si>
    <t>99.2109375000</t>
  </si>
  <si>
    <t>3.851</t>
  </si>
  <si>
    <t>3.912</t>
  </si>
  <si>
    <t>96.9921875000</t>
  </si>
  <si>
    <t>95.4335937500</t>
  </si>
  <si>
    <t>86.4531250000</t>
  </si>
  <si>
    <t>94.8906250000</t>
  </si>
  <si>
    <t>92.2500000000</t>
  </si>
  <si>
    <t>93.6875000000</t>
  </si>
  <si>
    <t>94.1875000000</t>
  </si>
  <si>
    <t>89.0390625000</t>
  </si>
  <si>
    <t>98.5937328100</t>
  </si>
  <si>
    <t>85.9584109000</t>
  </si>
  <si>
    <t>95.5564403300</t>
  </si>
  <si>
    <t>91.2102846400</t>
  </si>
  <si>
    <t>90.9246180200</t>
  </si>
  <si>
    <t>79.2690657300</t>
  </si>
  <si>
    <t>89.6187320200</t>
  </si>
  <si>
    <t>86.1810107200</t>
  </si>
  <si>
    <t>85.1900202200</t>
  </si>
  <si>
    <t>73.7994665000</t>
  </si>
  <si>
    <t>93.1931473400</t>
  </si>
  <si>
    <t>92.1890026600</t>
  </si>
  <si>
    <t>91.8843480500</t>
  </si>
  <si>
    <t>91.5610338600</t>
  </si>
  <si>
    <t>99.8242187500</t>
  </si>
  <si>
    <t>97.7382812500</t>
  </si>
  <si>
    <t>97.0234375000</t>
  </si>
  <si>
    <t>4.002</t>
  </si>
  <si>
    <t>4.037</t>
  </si>
  <si>
    <t>2.015</t>
  </si>
  <si>
    <t>99.7265625000</t>
  </si>
  <si>
    <t>3.592</t>
  </si>
  <si>
    <t>99.3789062500</t>
  </si>
  <si>
    <t>3.983</t>
  </si>
  <si>
    <t>4.03</t>
  </si>
  <si>
    <t>4.065</t>
  </si>
  <si>
    <t>4.197</t>
  </si>
  <si>
    <t>4.167</t>
  </si>
  <si>
    <t>94.6757812500</t>
  </si>
  <si>
    <t>94.4414062500</t>
  </si>
  <si>
    <t>4.39</t>
  </si>
  <si>
    <t>4.38</t>
  </si>
  <si>
    <t>3.724</t>
  </si>
  <si>
    <t>93.7734375000</t>
  </si>
  <si>
    <t>99.2460937500</t>
  </si>
  <si>
    <t>3.865</t>
  </si>
  <si>
    <t>3.91</t>
  </si>
  <si>
    <t>87.5468750000</t>
  </si>
  <si>
    <t>97.9843750000</t>
  </si>
  <si>
    <t>4.301</t>
  </si>
  <si>
    <t>4.436</t>
  </si>
  <si>
    <t>4.453</t>
  </si>
  <si>
    <t>4.16</t>
  </si>
  <si>
    <t>4.189</t>
  </si>
  <si>
    <t>4.205</t>
  </si>
  <si>
    <t>99.9101562500</t>
  </si>
  <si>
    <t>93.8750000000</t>
  </si>
  <si>
    <t>98.6953125000</t>
  </si>
  <si>
    <t>4.492</t>
  </si>
  <si>
    <t>4.27</t>
  </si>
  <si>
    <t>2.122</t>
  </si>
  <si>
    <t>4.499</t>
  </si>
  <si>
    <t>4.504</t>
  </si>
  <si>
    <t>4.12</t>
  </si>
  <si>
    <t>102.0312500000</t>
  </si>
  <si>
    <t>98.8554687500</t>
  </si>
  <si>
    <t>4.331</t>
  </si>
  <si>
    <t>99.7382812500</t>
  </si>
  <si>
    <t>3.714</t>
  </si>
  <si>
    <t>100.2187500000</t>
  </si>
  <si>
    <t>100.6953125000</t>
  </si>
  <si>
    <t>100.1875000000</t>
  </si>
  <si>
    <t>101.2734375000</t>
  </si>
  <si>
    <t>3.827</t>
  </si>
  <si>
    <t>100.0468750000</t>
  </si>
  <si>
    <t>3.987</t>
  </si>
  <si>
    <t>94.9921875000</t>
  </si>
  <si>
    <t>95.1328125000</t>
  </si>
  <si>
    <t>99.4023437500</t>
  </si>
  <si>
    <t>98.6367187500</t>
  </si>
  <si>
    <t>1.987</t>
  </si>
  <si>
    <t>99.9531250000</t>
  </si>
  <si>
    <t>92.4531250000</t>
  </si>
  <si>
    <t>92.4062500000</t>
  </si>
  <si>
    <t>99.7578125000</t>
  </si>
  <si>
    <t>3.797</t>
  </si>
  <si>
    <t>96.6640625000</t>
  </si>
  <si>
    <t>93.0234375000</t>
  </si>
  <si>
    <t>2.04</t>
  </si>
  <si>
    <t>4.508</t>
  </si>
  <si>
    <t>4.513</t>
  </si>
  <si>
    <t>3.871</t>
  </si>
  <si>
    <t>3.811</t>
  </si>
  <si>
    <t>97.5703125000</t>
  </si>
  <si>
    <t>4.369</t>
  </si>
  <si>
    <t>96.6250000000</t>
  </si>
  <si>
    <t>99.8984375000</t>
  </si>
  <si>
    <t>4.537</t>
  </si>
  <si>
    <t>4.376</t>
  </si>
  <si>
    <t>4.381</t>
  </si>
  <si>
    <t>99.8359375000</t>
  </si>
  <si>
    <t>3.838</t>
  </si>
  <si>
    <t>4.187</t>
  </si>
  <si>
    <t>4.385</t>
  </si>
  <si>
    <t>4.209</t>
  </si>
  <si>
    <t>4.312</t>
  </si>
  <si>
    <t>4.568</t>
  </si>
  <si>
    <t>4.398</t>
  </si>
  <si>
    <t>3.924</t>
  </si>
  <si>
    <t>100.0195312500</t>
  </si>
  <si>
    <t>100.0703125000</t>
  </si>
  <si>
    <t>2.285</t>
  </si>
  <si>
    <t>98.5781250000</t>
  </si>
  <si>
    <t>4.408</t>
  </si>
  <si>
    <t>98.5234375000</t>
  </si>
  <si>
    <t>2.099</t>
  </si>
  <si>
    <t>4.589</t>
  </si>
  <si>
    <t>99.1054687500</t>
  </si>
  <si>
    <t>99.8164062500</t>
  </si>
  <si>
    <t>99.7929687500</t>
  </si>
  <si>
    <t>4.118</t>
  </si>
  <si>
    <t>4.345</t>
  </si>
  <si>
    <t>99.6835937500</t>
  </si>
  <si>
    <t>4.596</t>
  </si>
  <si>
    <t>99.3906250000</t>
  </si>
  <si>
    <t>98.1484375000</t>
  </si>
  <si>
    <t>96.8906250000</t>
  </si>
  <si>
    <t>4.203</t>
  </si>
  <si>
    <t>4.225</t>
  </si>
  <si>
    <t>96.1484375000</t>
  </si>
  <si>
    <t>4.455</t>
  </si>
  <si>
    <t>4.46</t>
  </si>
  <si>
    <t>4.465</t>
  </si>
  <si>
    <t>98.8085937500</t>
  </si>
  <si>
    <t>2.348</t>
  </si>
  <si>
    <t>97.3515625000</t>
  </si>
  <si>
    <t>98.0781250000</t>
  </si>
  <si>
    <t>4.236</t>
  </si>
  <si>
    <t>4.472</t>
  </si>
  <si>
    <t>4.41</t>
  </si>
  <si>
    <t>94.1171875000</t>
  </si>
  <si>
    <t>4.058</t>
  </si>
  <si>
    <t>92.0703125000</t>
  </si>
  <si>
    <t>95.2656250000</t>
  </si>
  <si>
    <t>4.182</t>
  </si>
  <si>
    <t>4.321</t>
  </si>
  <si>
    <t>97.6250000000</t>
  </si>
  <si>
    <t>4.259</t>
  </si>
  <si>
    <t>98.0312500000</t>
  </si>
  <si>
    <t>4.626</t>
  </si>
  <si>
    <t>80.0806306000</t>
  </si>
  <si>
    <t>72.7213138500</t>
  </si>
  <si>
    <t>70.9639619100</t>
  </si>
  <si>
    <t>71.8790310400</t>
  </si>
  <si>
    <t>71.6429707100</t>
  </si>
  <si>
    <t>54.4466160800</t>
  </si>
  <si>
    <t>53.1922753500</t>
  </si>
  <si>
    <t>51.6158198100</t>
  </si>
  <si>
    <t>45.9396830000</t>
  </si>
  <si>
    <t>45.2449128700</t>
  </si>
  <si>
    <t>43.1391292700</t>
  </si>
  <si>
    <t>41.8558422300</t>
  </si>
  <si>
    <t>39.9491303100</t>
  </si>
  <si>
    <t>39.0465528100</t>
  </si>
  <si>
    <t>37.3729935800</t>
  </si>
  <si>
    <t>37.1037035300</t>
  </si>
  <si>
    <t>2.129</t>
  </si>
  <si>
    <t>99.7148437500</t>
  </si>
  <si>
    <t>100.1210937500</t>
  </si>
  <si>
    <t>3.764</t>
  </si>
  <si>
    <t>100.0781250000</t>
  </si>
  <si>
    <t>100.2148437500</t>
  </si>
  <si>
    <t>4.043</t>
  </si>
  <si>
    <t>3.972</t>
  </si>
  <si>
    <t>2.145</t>
  </si>
  <si>
    <t>101.0703125000</t>
  </si>
  <si>
    <t>100.5468750000</t>
  </si>
  <si>
    <t>4.379</t>
  </si>
  <si>
    <t>99.9492187500</t>
  </si>
  <si>
    <t>3.887</t>
  </si>
  <si>
    <t>4.402</t>
  </si>
  <si>
    <t>100.1562500000</t>
  </si>
  <si>
    <t>3.905</t>
  </si>
  <si>
    <t>92.1718750000</t>
  </si>
  <si>
    <t>87.0859375000</t>
  </si>
  <si>
    <t>96.2070312500</t>
  </si>
  <si>
    <t>95.4179687500</t>
  </si>
  <si>
    <t>94.9882812500</t>
  </si>
  <si>
    <t>86.8359375000</t>
  </si>
  <si>
    <t>95.2031250000</t>
  </si>
  <si>
    <t>4.024</t>
  </si>
  <si>
    <t>4.573</t>
  </si>
  <si>
    <t>4.576</t>
  </si>
  <si>
    <t>4.034</t>
  </si>
  <si>
    <t>4.413</t>
  </si>
  <si>
    <t>4.329</t>
  </si>
  <si>
    <t>4.013</t>
  </si>
  <si>
    <t>99.1445312500</t>
  </si>
  <si>
    <t>2.279</t>
  </si>
  <si>
    <t>4.598</t>
  </si>
  <si>
    <t>91.9375000000</t>
  </si>
  <si>
    <t>2.027</t>
  </si>
  <si>
    <t>95.1367187500</t>
  </si>
  <si>
    <t>93.7070312500</t>
  </si>
  <si>
    <t>85.9140625000</t>
  </si>
  <si>
    <t>85.7578125000</t>
  </si>
  <si>
    <t>99.0742187500</t>
  </si>
  <si>
    <t>93.3281250000</t>
  </si>
  <si>
    <t>93.9843750000</t>
  </si>
  <si>
    <t>4.015</t>
  </si>
  <si>
    <t>4.364</t>
  </si>
  <si>
    <t>2.163</t>
  </si>
  <si>
    <t>98.9375000000</t>
  </si>
  <si>
    <t>4.54</t>
  </si>
  <si>
    <t>100.5156250000</t>
  </si>
  <si>
    <t>4.115</t>
  </si>
  <si>
    <t>100.1914062500</t>
  </si>
  <si>
    <t>100.0039062500</t>
  </si>
  <si>
    <t>3.66</t>
  </si>
  <si>
    <t>100.0546875000</t>
  </si>
  <si>
    <t>3.83</t>
  </si>
  <si>
    <t>1.966</t>
  </si>
  <si>
    <t>4.566</t>
  </si>
  <si>
    <t>87.5937500000</t>
  </si>
  <si>
    <t>3.991</t>
  </si>
  <si>
    <t>4.031</t>
  </si>
  <si>
    <t>92.1093750000</t>
  </si>
  <si>
    <t>4.147</t>
  </si>
  <si>
    <t>4.485</t>
  </si>
  <si>
    <t>88.1640625000</t>
  </si>
  <si>
    <t>93.7187500000</t>
  </si>
  <si>
    <t>3.819</t>
  </si>
  <si>
    <t>93.7968750000</t>
  </si>
  <si>
    <t>95.8593750000</t>
  </si>
  <si>
    <t>98.7617187500</t>
  </si>
  <si>
    <t>92.0156250000</t>
  </si>
  <si>
    <t>4.165</t>
  </si>
  <si>
    <t>96.0664062500</t>
  </si>
  <si>
    <t>95.6132812500</t>
  </si>
  <si>
    <t>95.1484375000</t>
  </si>
  <si>
    <t>94.6601562500</t>
  </si>
  <si>
    <t>94.4257812500</t>
  </si>
  <si>
    <t>91.3046875000</t>
  </si>
  <si>
    <t>85.8750000000</t>
  </si>
  <si>
    <t>93.7343750000</t>
  </si>
  <si>
    <t>99.2031250000</t>
  </si>
  <si>
    <t>98.8437500000</t>
  </si>
  <si>
    <t>99.6914062500</t>
  </si>
  <si>
    <t>100.1171875000</t>
  </si>
  <si>
    <t>99.8203125000</t>
  </si>
  <si>
    <t>4.42</t>
  </si>
  <si>
    <t>4.43</t>
  </si>
  <si>
    <t>4.34</t>
  </si>
  <si>
    <t>98.7109375000</t>
  </si>
  <si>
    <t>4.172</t>
  </si>
  <si>
    <t>4.454</t>
  </si>
  <si>
    <t>96.5781250000</t>
  </si>
  <si>
    <t>4.242</t>
  </si>
  <si>
    <t>94.4765625000</t>
  </si>
  <si>
    <t>4.33</t>
  </si>
  <si>
    <t>93.5000000000</t>
  </si>
  <si>
    <t>3.749</t>
  </si>
  <si>
    <t>101.2343750000</t>
  </si>
  <si>
    <t>100.7812500000</t>
  </si>
  <si>
    <t>2.353</t>
  </si>
  <si>
    <t>96.2187500000</t>
  </si>
  <si>
    <t>96.2031250000</t>
  </si>
  <si>
    <t>4.618</t>
  </si>
  <si>
    <t>4.478</t>
  </si>
  <si>
    <t>4.484</t>
  </si>
  <si>
    <t>4.487</t>
  </si>
  <si>
    <t>4.49</t>
  </si>
  <si>
    <t>96.2578125000</t>
  </si>
  <si>
    <t>100.1445312500</t>
  </si>
  <si>
    <t>3.63</t>
  </si>
  <si>
    <t>101.9921875000</t>
  </si>
  <si>
    <t>100.2382812500</t>
  </si>
  <si>
    <t>2.204</t>
  </si>
  <si>
    <t>100.8671875000</t>
  </si>
  <si>
    <t>74.3217187600</t>
  </si>
  <si>
    <t>70.7438680700</t>
  </si>
  <si>
    <t>67.5185257100</t>
  </si>
  <si>
    <t>60.6558853500</t>
  </si>
  <si>
    <t>60.3811327200</t>
  </si>
  <si>
    <t>73.4364424200</t>
  </si>
  <si>
    <t>64.9372403900</t>
  </si>
  <si>
    <t>57.0096657300</t>
  </si>
  <si>
    <t>55.2952741400</t>
  </si>
  <si>
    <t>49.1897713400</t>
  </si>
  <si>
    <t>48.1373723300</t>
  </si>
  <si>
    <t>44.1156587600</t>
  </si>
  <si>
    <t>38.2218605500</t>
  </si>
  <si>
    <t>35.5286352100</t>
  </si>
  <si>
    <t>4.611</t>
  </si>
  <si>
    <t>96.1250000000</t>
  </si>
  <si>
    <t>4.62</t>
  </si>
  <si>
    <t>99.1523437500</t>
  </si>
  <si>
    <t>94.0859375000</t>
  </si>
  <si>
    <t>98.9648437500</t>
  </si>
  <si>
    <t>98.9726562500</t>
  </si>
  <si>
    <t>98.8867187500</t>
  </si>
  <si>
    <t>96.5859375000</t>
  </si>
  <si>
    <t>99.2968750000</t>
  </si>
  <si>
    <t>98.1796875000</t>
  </si>
  <si>
    <t>100.8359375000</t>
  </si>
  <si>
    <t>3.824</t>
  </si>
  <si>
    <t>4.552</t>
  </si>
  <si>
    <t>4.555</t>
  </si>
  <si>
    <t>3.829</t>
  </si>
  <si>
    <t>97.8281250000</t>
  </si>
  <si>
    <t>3.986</t>
  </si>
  <si>
    <t>99.9453125000</t>
  </si>
  <si>
    <t>99.2812500000</t>
  </si>
  <si>
    <t>96.8828125000</t>
  </si>
  <si>
    <t>2.211</t>
  </si>
  <si>
    <t>4.531</t>
  </si>
  <si>
    <t>4.526</t>
  </si>
  <si>
    <t>4.119</t>
  </si>
  <si>
    <t>101.0937500000</t>
  </si>
  <si>
    <t>4.084</t>
  </si>
  <si>
    <t>99.4453125000</t>
  </si>
  <si>
    <t>4.173</t>
  </si>
  <si>
    <t>100.0273437500</t>
  </si>
  <si>
    <t>3.208</t>
  </si>
  <si>
    <t>97.6015625000</t>
  </si>
  <si>
    <t>2.199</t>
  </si>
  <si>
    <t>96.4687500000</t>
  </si>
  <si>
    <t>1.981</t>
  </si>
  <si>
    <t>99.6796875000</t>
  </si>
  <si>
    <t>4.254</t>
  </si>
  <si>
    <t>4.425</t>
  </si>
  <si>
    <t>2.142</t>
  </si>
  <si>
    <t>99.6132812500</t>
  </si>
  <si>
    <t>101.0312500000</t>
  </si>
  <si>
    <t>101.0625000000</t>
  </si>
  <si>
    <t>100.4687500000</t>
  </si>
  <si>
    <t>97.8750000000</t>
  </si>
  <si>
    <t>97.7734375000</t>
  </si>
  <si>
    <t>4.442</t>
  </si>
  <si>
    <t>4.607</t>
  </si>
  <si>
    <t>2.086</t>
  </si>
  <si>
    <t>97.5625000000</t>
  </si>
  <si>
    <t>4.586</t>
  </si>
  <si>
    <t>99.6601562500</t>
  </si>
  <si>
    <t>4.437</t>
  </si>
  <si>
    <t>96.7343750000</t>
  </si>
  <si>
    <t>98.7343750000</t>
  </si>
  <si>
    <t>96.1718750000</t>
  </si>
  <si>
    <t>96.0937500000</t>
  </si>
  <si>
    <t>78.1949671700</t>
  </si>
  <si>
    <t>69.2314952900</t>
  </si>
  <si>
    <t>77.2868199900</t>
  </si>
  <si>
    <t>75.4582460300</t>
  </si>
  <si>
    <t>75.2581405900</t>
  </si>
  <si>
    <t>63.0070837600</t>
  </si>
  <si>
    <t>61.2263971700</t>
  </si>
  <si>
    <t>59.5418840300</t>
  </si>
  <si>
    <t>54.0204398600</t>
  </si>
  <si>
    <t>54.7418241600</t>
  </si>
  <si>
    <t>48.4338714800</t>
  </si>
  <si>
    <t>45.5226314400</t>
  </si>
  <si>
    <t>44.8029440200</t>
  </si>
  <si>
    <t>41.5083751700</t>
  </si>
  <si>
    <t>40.2602449000</t>
  </si>
  <si>
    <t>39.3604732200</t>
  </si>
  <si>
    <t>36.3481401100</t>
  </si>
  <si>
    <t>96.0000000000</t>
  </si>
  <si>
    <t>97.9296875000</t>
  </si>
  <si>
    <t>4.248</t>
  </si>
  <si>
    <t>96.2968750000</t>
  </si>
  <si>
    <t>4.628</t>
  </si>
  <si>
    <t>4.483</t>
  </si>
  <si>
    <t>98.5703125000</t>
  </si>
  <si>
    <t>76.3547701700</t>
  </si>
  <si>
    <t>64.0900092800</t>
  </si>
  <si>
    <t>73.6471549400</t>
  </si>
  <si>
    <t>69.8788475600</t>
  </si>
  <si>
    <t>98.6640625000</t>
  </si>
  <si>
    <t>95.9062500000</t>
  </si>
  <si>
    <t>77.9951455900</t>
  </si>
  <si>
    <t>74.5271828900</t>
  </si>
  <si>
    <t>72.5356733900</t>
  </si>
  <si>
    <t>78.9646609800</t>
  </si>
  <si>
    <t>68.3836140000</t>
  </si>
  <si>
    <t>64.6541895800</t>
  </si>
  <si>
    <t>57.7922875000</t>
  </si>
  <si>
    <t>55.5825006100</t>
  </si>
  <si>
    <t>53.7297971800</t>
  </si>
  <si>
    <t>52.4113543900</t>
  </si>
  <si>
    <t>47.3960014700</t>
  </si>
  <si>
    <t>43.8378148000</t>
  </si>
  <si>
    <t>41.2305532400</t>
  </si>
  <si>
    <t>40.5873671600</t>
  </si>
  <si>
    <t>33.9696133600</t>
  </si>
  <si>
    <t>99.4296875000</t>
  </si>
  <si>
    <t>98.8906250000</t>
  </si>
  <si>
    <t>97.8125000000</t>
  </si>
  <si>
    <t>99.8789062500</t>
  </si>
  <si>
    <t>3.969</t>
  </si>
  <si>
    <t>99.8437500000</t>
  </si>
  <si>
    <t>100.3437500000</t>
  </si>
  <si>
    <t>98.4296875000</t>
  </si>
  <si>
    <t>98.4609375000</t>
  </si>
  <si>
    <t>99.2851562500</t>
  </si>
  <si>
    <t>68.1118568900</t>
  </si>
  <si>
    <t>66.6603660400</t>
  </si>
  <si>
    <t>56.0910379600</t>
  </si>
  <si>
    <t>52.1315308500</t>
  </si>
  <si>
    <t>50.5128562000</t>
  </si>
  <si>
    <t>36.6137677500</t>
  </si>
  <si>
    <t>46.9033659000</t>
  </si>
  <si>
    <t>46.6332317500</t>
  </si>
  <si>
    <t>44.5319295700</t>
  </si>
  <si>
    <t>39.6714521900</t>
  </si>
  <si>
    <t>36.0390545900</t>
  </si>
  <si>
    <t>34.8776845600</t>
  </si>
  <si>
    <t>34.4287247000</t>
  </si>
  <si>
    <t>95.4062500000</t>
  </si>
  <si>
    <t>98.2109375000</t>
  </si>
  <si>
    <t>96.7500000000</t>
  </si>
  <si>
    <t>96.7265625000</t>
  </si>
  <si>
    <t>4.468</t>
  </si>
  <si>
    <t>96.3359375000</t>
  </si>
  <si>
    <t>67.2421413000</t>
  </si>
  <si>
    <t>63.8091231000</t>
  </si>
  <si>
    <t>79.1537348300</t>
  </si>
  <si>
    <t>58.9567379300</t>
  </si>
  <si>
    <t>57.3065092500</t>
  </si>
  <si>
    <t>48.9273709900</t>
  </si>
  <si>
    <t>46.2442476500</t>
  </si>
  <si>
    <t>42.1609150600</t>
  </si>
  <si>
    <t>40.8649323800</t>
  </si>
  <si>
    <t>38.7630647500</t>
  </si>
  <si>
    <t>38.5053392100</t>
  </si>
  <si>
    <t>34.5895294800</t>
  </si>
  <si>
    <t>34.1273501100</t>
  </si>
  <si>
    <t>98.0000000000</t>
  </si>
  <si>
    <t>86.7550144600</t>
  </si>
  <si>
    <t>90.5721592900</t>
  </si>
  <si>
    <t>89.9705396500</t>
  </si>
  <si>
    <t>87.7316406800</t>
  </si>
  <si>
    <t>85.2372536400</t>
  </si>
  <si>
    <t>92.5210296700</t>
  </si>
  <si>
    <t>80.3789254700</t>
  </si>
  <si>
    <t>97.7617187500</t>
  </si>
  <si>
    <t>96.0078125000</t>
  </si>
  <si>
    <t>94.9531250000</t>
  </si>
  <si>
    <t>99.4335937500</t>
  </si>
  <si>
    <t>99.0273437500</t>
  </si>
  <si>
    <t>86.2734375000</t>
  </si>
  <si>
    <t>86.4140625000</t>
  </si>
  <si>
    <t>95.2851562500</t>
  </si>
  <si>
    <t>91.8906250000</t>
  </si>
  <si>
    <t>3.626</t>
  </si>
  <si>
    <t>93.8281250000</t>
  </si>
  <si>
    <t>89.9531250000</t>
  </si>
  <si>
    <t>98.7148437500</t>
  </si>
  <si>
    <t>95.1718750000</t>
  </si>
  <si>
    <t>96.3046875000</t>
  </si>
  <si>
    <t>98.9960937500</t>
  </si>
  <si>
    <t>4.428</t>
  </si>
  <si>
    <t>95.8984375000</t>
  </si>
  <si>
    <t>99.0234375000</t>
  </si>
  <si>
    <t>2.133</t>
  </si>
  <si>
    <t>96.6562500000</t>
  </si>
  <si>
    <t>99.5078125000</t>
  </si>
  <si>
    <t>100.3242187500</t>
  </si>
  <si>
    <t>100.4414062500</t>
  </si>
  <si>
    <t>95.4531250000</t>
  </si>
  <si>
    <t>99.5664062500</t>
  </si>
  <si>
    <t>4.198</t>
  </si>
  <si>
    <t>3.727</t>
  </si>
  <si>
    <t>99.8632812500</t>
  </si>
  <si>
    <t>100.3593750000</t>
  </si>
  <si>
    <t>98.8046875000</t>
  </si>
  <si>
    <t>1.962</t>
  </si>
  <si>
    <t>98.8789062500</t>
  </si>
  <si>
    <t>4.461</t>
  </si>
  <si>
    <t>97.3750000000</t>
  </si>
  <si>
    <t>98.0937500000</t>
  </si>
  <si>
    <t>96.4375000000</t>
  </si>
  <si>
    <t>65.8014304700</t>
  </si>
  <si>
    <t>77.0980458800</t>
  </si>
  <si>
    <t>66.3910391900</t>
  </si>
  <si>
    <t>56.3893478600</t>
  </si>
  <si>
    <t>51.3417062800</t>
  </si>
  <si>
    <t>50.7943266600</t>
  </si>
  <si>
    <t>36.9101203500</t>
  </si>
  <si>
    <t>43.4440694100</t>
  </si>
  <si>
    <t>42.7911859200</t>
  </si>
  <si>
    <t>42.4929650900</t>
  </si>
  <si>
    <t>37.9413713000</t>
  </si>
  <si>
    <t>35.3220524200</t>
  </si>
  <si>
    <t>91.5788496900</t>
  </si>
  <si>
    <t>89.8665553100</t>
  </si>
  <si>
    <t>58.7619401200</t>
  </si>
  <si>
    <t>55.3826829100</t>
  </si>
  <si>
    <t>46.9354457700</t>
  </si>
  <si>
    <t>44.8701047300</t>
  </si>
  <si>
    <t>44.1504382400</t>
  </si>
  <si>
    <t>43.4631829400</t>
  </si>
  <si>
    <t>37.0019815400</t>
  </si>
  <si>
    <t>34.0949239600</t>
  </si>
  <si>
    <t>33.4971893000</t>
  </si>
  <si>
    <t>33.0446081700</t>
  </si>
  <si>
    <t>32.2958277600</t>
  </si>
  <si>
    <t>32.1604215000</t>
  </si>
  <si>
    <t>31.4470278700</t>
  </si>
  <si>
    <t>31.3121314400</t>
  </si>
  <si>
    <t>30.5258545400</t>
  </si>
  <si>
    <t>28.8654782600</t>
  </si>
  <si>
    <t>26.9623820600</t>
  </si>
  <si>
    <t>24.7155360700</t>
  </si>
  <si>
    <t>101.0390625000</t>
  </si>
  <si>
    <t>102.2109375000</t>
  </si>
  <si>
    <t>97.5156250000</t>
  </si>
  <si>
    <t>74.5468750000</t>
  </si>
  <si>
    <t>71.1484375000</t>
  </si>
  <si>
    <t>74.9375000000</t>
  </si>
  <si>
    <t>84.3750000000</t>
  </si>
  <si>
    <t>68.9453125000</t>
  </si>
  <si>
    <t>73.5156250000</t>
  </si>
  <si>
    <t>71.1250000000</t>
  </si>
  <si>
    <t>76.0000000000</t>
  </si>
  <si>
    <t>67.9296875000</t>
  </si>
  <si>
    <t>60.3125000000</t>
  </si>
  <si>
    <t>63.2500000000</t>
  </si>
  <si>
    <t>50.7421875000</t>
  </si>
  <si>
    <t>67.8906250000</t>
  </si>
  <si>
    <t>71.2187500000</t>
  </si>
  <si>
    <t>65.5000000000</t>
  </si>
  <si>
    <t>65.4062500000</t>
  </si>
  <si>
    <t>67.5625000000</t>
  </si>
  <si>
    <t>58.2968750000</t>
  </si>
  <si>
    <t>71.1875000000</t>
  </si>
  <si>
    <t>86.5625000000</t>
  </si>
  <si>
    <t>77.4687500000</t>
  </si>
  <si>
    <t>84.7500000000</t>
  </si>
  <si>
    <t>93.9062500000</t>
  </si>
  <si>
    <t>96.0312500000</t>
  </si>
  <si>
    <t>84.4531250000</t>
  </si>
  <si>
    <t>88.2343750000</t>
  </si>
  <si>
    <t>94.1093750000</t>
  </si>
  <si>
    <t>93.5625000000</t>
  </si>
  <si>
    <t>99.9088897200</t>
  </si>
  <si>
    <t>86.9325771800</t>
  </si>
  <si>
    <t>98.2700256300</t>
  </si>
  <si>
    <t>98.2661997200</t>
  </si>
  <si>
    <t>97.9497840800</t>
  </si>
  <si>
    <t>97.6029278900</t>
  </si>
  <si>
    <t>84.0369830800</t>
  </si>
  <si>
    <t>95.5429485600</t>
  </si>
  <si>
    <t>93.8641874400</t>
  </si>
  <si>
    <t>89.3060427100</t>
  </si>
  <si>
    <t>88.0914171300</t>
  </si>
  <si>
    <t>86.7758974800</t>
  </si>
  <si>
    <t>85.8645820300</t>
  </si>
  <si>
    <t>84.9206664900</t>
  </si>
  <si>
    <t>92.8850422000</t>
  </si>
  <si>
    <t>99.8476562500</t>
  </si>
  <si>
    <t>99.5781250000</t>
  </si>
  <si>
    <t>99.0312500000</t>
  </si>
  <si>
    <t>90.7968750000</t>
  </si>
  <si>
    <t>98.2695312500</t>
  </si>
  <si>
    <t>96.2343750000</t>
  </si>
  <si>
    <t>95.5898437500</t>
  </si>
  <si>
    <t>91.2578125000</t>
  </si>
  <si>
    <t>99.4414062500</t>
  </si>
  <si>
    <t>91.0781250000</t>
  </si>
  <si>
    <t>91.0312500000</t>
  </si>
  <si>
    <t>98.8632812500</t>
  </si>
  <si>
    <t>98.5546875000</t>
  </si>
  <si>
    <t>97.3359375000</t>
  </si>
  <si>
    <t>96.2265625000</t>
  </si>
  <si>
    <t>99.1718750000</t>
  </si>
  <si>
    <t>100.0742187500</t>
  </si>
  <si>
    <t>98.9921875000</t>
  </si>
  <si>
    <t>99.5546875000</t>
  </si>
  <si>
    <t>97.6406250000</t>
  </si>
  <si>
    <t>100.4843750000</t>
  </si>
  <si>
    <t>100.1367187500</t>
  </si>
  <si>
    <t>99.4101562500</t>
  </si>
  <si>
    <t>99.2617187500</t>
  </si>
  <si>
    <t>98.1640625000</t>
  </si>
  <si>
    <t>96.9140625000</t>
  </si>
  <si>
    <t>99.1992187500</t>
  </si>
  <si>
    <t>95.9296875000</t>
  </si>
  <si>
    <t>97.8984375000</t>
  </si>
  <si>
    <t>79.8784848900</t>
  </si>
  <si>
    <t>76.1738006900</t>
  </si>
  <si>
    <t>68.9971987200</t>
  </si>
  <si>
    <t>65.5338430900</t>
  </si>
  <si>
    <t>70.1301843000</t>
  </si>
  <si>
    <t>63.2795215900</t>
  </si>
  <si>
    <t>61.4921908100</t>
  </si>
  <si>
    <t>59.8002381900</t>
  </si>
  <si>
    <t>58.6707962100</t>
  </si>
  <si>
    <t>58.0481887200</t>
  </si>
  <si>
    <t>52.8938594300</t>
  </si>
  <si>
    <t>50.0116905600</t>
  </si>
  <si>
    <t>49.7563203300</t>
  </si>
  <si>
    <t>47.6659597900</t>
  </si>
  <si>
    <t>37.6246595100</t>
  </si>
  <si>
    <t>35.8575586100</t>
  </si>
  <si>
    <t>35.0539076700</t>
  </si>
  <si>
    <t>33.6685868400</t>
  </si>
  <si>
    <t>3.6162000000</t>
  </si>
  <si>
    <t>3.755</t>
  </si>
  <si>
    <t>3.7296000000</t>
  </si>
  <si>
    <t>3.949</t>
  </si>
  <si>
    <t>3.8147000000</t>
  </si>
  <si>
    <t>3.577</t>
  </si>
  <si>
    <t>3.5612000000</t>
  </si>
  <si>
    <t>3.6017000000</t>
  </si>
  <si>
    <t>3.679</t>
  </si>
  <si>
    <t>3.6385000000</t>
  </si>
  <si>
    <t>3.7162000000</t>
  </si>
  <si>
    <t>3.805</t>
  </si>
  <si>
    <t>3.834</t>
  </si>
  <si>
    <t>3.5317000000</t>
  </si>
  <si>
    <t>3.7528000000</t>
  </si>
  <si>
    <t>3.7439000000</t>
  </si>
  <si>
    <t>3.6398000000</t>
  </si>
  <si>
    <t>3.718</t>
  </si>
  <si>
    <t>3.722</t>
  </si>
  <si>
    <t>3.6368000000</t>
  </si>
  <si>
    <t>3.8413000000</t>
  </si>
  <si>
    <t>3.999</t>
  </si>
  <si>
    <t>3.7848000000</t>
  </si>
  <si>
    <t>3.6950000000</t>
  </si>
  <si>
    <t>3.5956000000</t>
  </si>
  <si>
    <t>3.705</t>
  </si>
  <si>
    <t>3.6763000000</t>
  </si>
  <si>
    <t>3.832</t>
  </si>
  <si>
    <t>3.8183000000</t>
  </si>
  <si>
    <t>3.8388000000</t>
  </si>
  <si>
    <t>3.7345000000</t>
  </si>
  <si>
    <t>3.7539000000</t>
  </si>
  <si>
    <t>3.93</t>
  </si>
  <si>
    <t>3.721</t>
  </si>
  <si>
    <t>3.6317000000</t>
  </si>
  <si>
    <t>3.785</t>
  </si>
  <si>
    <t>3.635</t>
  </si>
  <si>
    <t>3.697</t>
  </si>
  <si>
    <t>3.681</t>
  </si>
  <si>
    <t>3.929</t>
  </si>
  <si>
    <t>3.7913000000</t>
  </si>
  <si>
    <t>3.8168000000</t>
  </si>
  <si>
    <t>912797VT1</t>
  </si>
  <si>
    <t>US912797VT13</t>
  </si>
  <si>
    <t>3.6381000000</t>
  </si>
  <si>
    <t>3.717</t>
  </si>
  <si>
    <t>3.7621000000</t>
  </si>
  <si>
    <t>3.8306000000</t>
  </si>
  <si>
    <t>3.5423000000</t>
  </si>
  <si>
    <t>3.6336000000</t>
  </si>
  <si>
    <t>3.6419000000</t>
  </si>
  <si>
    <t>3.706</t>
  </si>
  <si>
    <t>3.7910000000</t>
  </si>
  <si>
    <t>3.6399000000</t>
  </si>
  <si>
    <t>3.7106000000</t>
  </si>
  <si>
    <t>3.7176000000</t>
  </si>
  <si>
    <t>3.7401000000</t>
  </si>
  <si>
    <t>3.583</t>
  </si>
  <si>
    <t>3.598</t>
  </si>
  <si>
    <t>3.96</t>
  </si>
  <si>
    <t>3.85</t>
  </si>
  <si>
    <t>3.844</t>
  </si>
  <si>
    <t>3.862</t>
  </si>
  <si>
    <t>3.7835000000</t>
  </si>
  <si>
    <t>3.6427000000</t>
  </si>
  <si>
    <t>3.765</t>
  </si>
  <si>
    <t>3.7403000000</t>
  </si>
  <si>
    <t>3.68</t>
  </si>
  <si>
    <t>3.6318000000</t>
  </si>
  <si>
    <t>3.973</t>
  </si>
  <si>
    <t>3.793</t>
  </si>
  <si>
    <t>3.801</t>
  </si>
  <si>
    <t>3.7329000000</t>
  </si>
  <si>
    <t>3.7218000000</t>
  </si>
  <si>
    <t>3.5466000000</t>
  </si>
  <si>
    <t>3.7967000000</t>
  </si>
  <si>
    <t>3.8546000000</t>
  </si>
  <si>
    <t>3.882</t>
  </si>
  <si>
    <t>3.7077000000</t>
  </si>
  <si>
    <t>3.94</t>
  </si>
  <si>
    <t>3.6867000000</t>
  </si>
  <si>
    <t>3.936</t>
  </si>
  <si>
    <t>3.944</t>
  </si>
  <si>
    <t>3.5278000000</t>
  </si>
  <si>
    <t>3.7796000000</t>
  </si>
  <si>
    <t>3.6179000000</t>
  </si>
  <si>
    <t>3.6515000000</t>
  </si>
  <si>
    <t>3.6478000000</t>
  </si>
  <si>
    <t>3.792</t>
  </si>
  <si>
    <t>3.815</t>
  </si>
  <si>
    <t>3.5982000000</t>
  </si>
  <si>
    <t>3.653</t>
  </si>
  <si>
    <t>3.6243000000</t>
  </si>
  <si>
    <t>3.7832000000</t>
  </si>
  <si>
    <t>3.7613000000</t>
  </si>
  <si>
    <t>3.6429000000</t>
  </si>
  <si>
    <t>3.6212000000</t>
  </si>
  <si>
    <t>3.8064000000</t>
  </si>
  <si>
    <t>3.6857000000</t>
  </si>
  <si>
    <t>3.7421000000</t>
  </si>
  <si>
    <t>3.7587000000</t>
  </si>
  <si>
    <t>3.6501000000</t>
  </si>
  <si>
    <t>3.602</t>
  </si>
  <si>
    <t>3.928</t>
  </si>
  <si>
    <t>3.707</t>
  </si>
  <si>
    <t>3.7356000000</t>
  </si>
  <si>
    <t>3.8495000000</t>
  </si>
  <si>
    <t>3.8269000000</t>
  </si>
  <si>
    <t>3.8303000000</t>
  </si>
  <si>
    <t>3.6211000000</t>
  </si>
  <si>
    <t>3.8314000000</t>
  </si>
  <si>
    <t>3.709</t>
  </si>
  <si>
    <t>3.6471000000</t>
  </si>
  <si>
    <t>3.7035000000</t>
  </si>
  <si>
    <t>3.7070000000</t>
  </si>
  <si>
    <t>3.8120000000</t>
  </si>
  <si>
    <t>3.6511000000</t>
  </si>
  <si>
    <t>3.9009000000</t>
  </si>
  <si>
    <t>3.951</t>
  </si>
  <si>
    <t>US912797VW42</t>
  </si>
  <si>
    <t>3.7597000000</t>
  </si>
  <si>
    <t>3.7793000000</t>
  </si>
  <si>
    <t>3.5521000000</t>
  </si>
  <si>
    <t>3.7938000000</t>
  </si>
  <si>
    <t>3.5807000000</t>
  </si>
  <si>
    <t>3.6369000000</t>
  </si>
  <si>
    <t>3.6273000000</t>
  </si>
  <si>
    <t>3.6490000000</t>
  </si>
  <si>
    <t>3.6504000000</t>
  </si>
  <si>
    <t>3.962</t>
  </si>
  <si>
    <t>4.063</t>
  </si>
  <si>
    <t>4.072</t>
  </si>
  <si>
    <t>3.8400000000</t>
  </si>
  <si>
    <t>3.8401000000</t>
  </si>
  <si>
    <t>3.8924000000</t>
  </si>
  <si>
    <t>912797VX2</t>
  </si>
  <si>
    <t>US912797VX25</t>
  </si>
  <si>
    <t>3.7758000000</t>
  </si>
  <si>
    <t>3.7852000000</t>
  </si>
  <si>
    <t>3.7694000000</t>
  </si>
  <si>
    <t>3.6778000000</t>
  </si>
  <si>
    <t>3.6775000000</t>
  </si>
  <si>
    <t>3.7206000000</t>
  </si>
  <si>
    <t>3.7454000000</t>
  </si>
  <si>
    <t>3.7692000000</t>
  </si>
  <si>
    <t>DL CANVAS_FUTURES_MASTER Date=7/21/2026 PX_SETTLE = no sttl dt</t>
  </si>
  <si>
    <t>DL Bill input Discount = 3.60590000  PX_ASK = 3.59560000 PX_BID = 3.61620000</t>
  </si>
  <si>
    <t>DL Bill input Discount = 3.64410000  PX_ASK = 3.63810000 PX_BID = 3.65010000</t>
  </si>
  <si>
    <t>DL Bill input Discount = 3.68150000  PX_ASK = 3.67630000 PX_BID = 3.68670000</t>
  </si>
  <si>
    <t>DL Bill input Discount = 3.73495000  PX_ASK = 3.72960000 PX_BID = 3.74030000</t>
  </si>
  <si>
    <t>DL Bill input Discount = 3.77070000  PX_ASK = 3.76210000 PX_BID = 3.77930000</t>
  </si>
  <si>
    <t>DL Bill input Discount = 3.82445000  PX_ASK = 3.81830000 PX_BID = 3.83060000</t>
  </si>
  <si>
    <t>DL Bill input Discount = 3.82675000  PX_ASK = 3.81470000 PX_BID = 3.83880000</t>
  </si>
  <si>
    <t>DL Bill input Discount = 3.53995000  PX_ASK = 3.52780000 PX_BID = 3.55210000</t>
  </si>
  <si>
    <t>DL Bill input Discount = 3.55175000  PX_ASK = 3.54230000 PX_BID = 3.56120000</t>
  </si>
  <si>
    <t>DL Bill input Discount = 3.75705000  PX_ASK = 3.73450000 PX_BID = 3.77960000</t>
  </si>
  <si>
    <t>DL Bill input Discount = 3.61140000  PX_ASK = 3.60170000 PX_BID = 3.62110000</t>
  </si>
  <si>
    <t>DL Bill input Discount = 3.62575000  PX_ASK = 3.61790000 PX_BID = 3.63360000</t>
  </si>
  <si>
    <t>DL Bill input Discount = 3.63685000  PX_ASK = 3.63180000 PX_BID = 3.64190000</t>
  </si>
  <si>
    <t>DL Bill input Discount = 3.77385000  PX_ASK = 3.75390000 PX_BID = 3.79380000</t>
  </si>
  <si>
    <t>DL Bill input Discount = 3.81120000  PX_ASK = 3.79100000 PX_BID = 3.83140000</t>
  </si>
  <si>
    <t>DL Bill input Discount = 3.64570000  PX_ASK = 3.63990000 PX_BID = 3.65150000</t>
  </si>
  <si>
    <t>DL Bill input Discount = 3.63940000  PX_ASK = 3.63170000 PX_BID = 3.64710000</t>
  </si>
  <si>
    <t>DL Bill input Discount = 3.64315000  PX_ASK = 3.63850000 PX_BID = 3.64780000</t>
  </si>
  <si>
    <t>DL Bill input Discount = 3.70705000  PX_ASK = 3.70350000 PX_BID = 3.71060000</t>
  </si>
  <si>
    <t>DL Bill input Discount = 3.71160000  PX_ASK = 3.70700000 PX_BID = 3.71620000</t>
  </si>
  <si>
    <t>DL Bill input Discount = 3.72525000  PX_ASK = 3.71760000 PX_BID = 3.73290000</t>
  </si>
  <si>
    <t>DL Bill input Discount = 3.73095000  PX_ASK = 3.72180000 PX_BID = 3.74010000</t>
  </si>
  <si>
    <t>DL Bill input Discount = 3.53915000  PX_ASK = 3.53170000 PX_BID = 3.54660000</t>
  </si>
  <si>
    <t>DL Bill input Discount = 3.58945000  PX_ASK = 3.58070000 PX_BID = 3.59820000</t>
  </si>
  <si>
    <t>DL Bill input Discount = 3.62955000  PX_ASK = 3.62430000 PX_BID = 3.63480000</t>
  </si>
  <si>
    <t>DL Bill input Discount = 3.64155000  PX_ASK = 3.63690000 PX_BID = 3.64620000</t>
  </si>
  <si>
    <t>DL Bill input Discount = 3.62265000  PX_ASK = 3.61800000 PX_BID = 3.62730000</t>
  </si>
  <si>
    <t>DL Bill input Discount = 3.79760000  PX_ASK = 3.78320000 PX_BID = 3.81200000</t>
  </si>
  <si>
    <t>DL Bill input Discount = 3.74420000  PX_ASK = 3.73560000 PX_BID = 3.75280000</t>
  </si>
  <si>
    <t>DL Bill input Discount = 3.75260000  PX_ASK = 3.74390000 PX_BID = 3.76130000</t>
  </si>
  <si>
    <t>DL Bill input Discount = 3.79010000  PX_ASK = 3.78350000 PX_BID = 3.79670000</t>
  </si>
  <si>
    <t>DL Bill input Discount = 3.64440000  PX_ASK = 3.63980000 PX_BID = 3.64900000</t>
  </si>
  <si>
    <t>DL Bill input Discount = 3.64665000  PX_ASK = 3.64290000 PX_BID = 3.65040000</t>
  </si>
  <si>
    <t>DL Bill input Discount = 3.62900000  PX_ASK = 3.62120000 PX_BID = 3.63680000</t>
  </si>
  <si>
    <t>DL Bill input Discount = 3.64690000  PX_ASK = 3.64270000 PX_BID = 3.65110000</t>
  </si>
  <si>
    <t>DL Bill input Discount = 3.84795000  PX_ASK = 3.84130000 PX_BID = 3.85460000</t>
  </si>
  <si>
    <t>DL Bill input Discount = 3.79885000  PX_ASK = 3.79130000 PX_BID = 3.80640000</t>
  </si>
  <si>
    <t>DL Bill input Discount = 3.77710000  PX_ASK = 3.76940000 PX_BID = 3.78480000</t>
  </si>
  <si>
    <t>DL Bill input Discount = 3.84480000  PX_ASK = 3.84010000 PX_BID = 3.84950000</t>
  </si>
  <si>
    <t>DL Bill input Discount = 3.68175000  PX_ASK = 3.67780000 PX_BID = 3.68570000</t>
  </si>
  <si>
    <t>DL Bill input Discount = 3.68625000  PX_ASK = 3.67750000 PX_BID = 3.69500000</t>
  </si>
  <si>
    <t>DL Bill input Discount = 3.71415000  PX_ASK = 3.70770000 PX_BID = 3.72060000</t>
  </si>
  <si>
    <t>DL Bill input Discount = 3.73730000  PX_ASK = 3.73250000 PX_BID = 3.74210000</t>
  </si>
  <si>
    <t>DL Bill input Discount = 3.75205000  PX_ASK = 3.74540000 PX_BID = 3.75870000</t>
  </si>
  <si>
    <t>DL Bill input Discount = 3.89665000  PX_ASK = 3.89240000 PX_BID = 3.90090000</t>
  </si>
  <si>
    <t>DL Bill input Discount = 3.82185000  PX_ASK = 3.81680000 PX_BID = 3.82690000</t>
  </si>
  <si>
    <t>DL Bill input Discount = 3.83515000  PX_ASK = 3.83030000 PX_BID = 3.84000000</t>
  </si>
  <si>
    <t>DL Bill input Discount = 3.76445000  PX_ASK = 3.75970000 PX_BID = 3.76920000</t>
  </si>
  <si>
    <t>DL Bill input Discount = 3.78050000  PX_ASK = 3.77580000 PX_BID = 3.78520000</t>
  </si>
  <si>
    <t>DL input prc = 99.76770124  PX_ASK = 99.77133072 PX_BID = 99.76407175</t>
  </si>
  <si>
    <t>DL input prc = 98.83005378  PX_ASK = 98.84683350 PX_BID = 98.81327406</t>
  </si>
  <si>
    <t>DL input prc = 97.91749739  PX_ASK = 97.96104114 PX_BID = 97.87395364</t>
  </si>
  <si>
    <t>DL input prc = 95.77222208  PX_ASK = 95.83176610 PX_BID = 95.71267805</t>
  </si>
  <si>
    <t>DL input prc = 94.72092941  PX_ASK = 94.78743918 PX_BID = 94.65441964</t>
  </si>
  <si>
    <t>DL input prc = 91.65394979  PX_ASK = 91.72904989 PX_BID = 91.57884969</t>
  </si>
  <si>
    <t>DL input prc = 90.70597886  PX_ASK = 90.76972299 PX_BID = 90.64223472</t>
  </si>
  <si>
    <t>DL input prc = 89.94003579  PX_ASK = 90.01351627 PX_BID = 89.86655531</t>
  </si>
  <si>
    <t>DL input prc = 87.78690409  PX_ASK = 87.86464354 PX_BID = 87.70916463</t>
  </si>
  <si>
    <t>DL input prc = 84.94592873  PX_ASK = 85.03951185 PX_BID = 84.85234561</t>
  </si>
  <si>
    <t>DL input prc = 82.23884505  PX_ASK = 82.36565726 PX_BID = 82.11203283</t>
  </si>
  <si>
    <t>DL input prc = 65.23890398  PX_ASK = 65.33045146 PX_BID = 65.14735650</t>
  </si>
  <si>
    <t>DL input prc = 61.78408124  PX_ASK = 61.87660885 PX_BID = 61.69155363</t>
  </si>
  <si>
    <t>DL input prc = 61.09685769  PX_ASK = 61.18082391 PX_BID = 61.01289147</t>
  </si>
  <si>
    <t>DL input prc = 58.66910335  PX_ASK = 58.76194012 PX_BID = 58.57626657</t>
  </si>
  <si>
    <t>DL input prc = 57.75241699  PX_ASK = 57.83908622 PX_BID = 57.66574776</t>
  </si>
  <si>
    <t>DL input prc = 55.29445754  PX_ASK = 55.38268291 PX_BID = 55.20623217</t>
  </si>
  <si>
    <t>DL input prc = 54.17602951  PX_ASK = 54.26076336 PX_BID = 54.09129565</t>
  </si>
  <si>
    <t>DL input prc = 53.18900914  PX_ASK = 53.27380844 PX_BID = 53.10420983</t>
  </si>
  <si>
    <t>DL input prc = 52.36224794  PX_ASK = 52.44730786 PX_BID = 52.27718801</t>
  </si>
  <si>
    <t>DL input prc = 51.59051860  PX_ASK = 51.67589686 PX_BID = 51.50514034</t>
  </si>
  <si>
    <t>DL input prc = 50.80660518  PX_ASK = 50.89564360 PX_BID = 50.71756675</t>
  </si>
  <si>
    <t>DL input prc = 49.95154607  PX_ASK = 50.04066219 PX_BID = 49.86242995</t>
  </si>
  <si>
    <t>DL input prc = 49.18004899  PX_ASK = 49.25902936 PX_BID = 49.10106861</t>
  </si>
  <si>
    <t>DL input prc = 48.47859041  PX_ASK = 48.55436049 PX_BID = 48.40282033</t>
  </si>
  <si>
    <t>DL input prc = 47.71669478  PX_ASK = 47.79943460 PX_BID = 47.63395495</t>
  </si>
  <si>
    <t>DL input prc = 47.01488994  PX_ASK = 47.09433410 PX_BID = 46.93544577</t>
  </si>
  <si>
    <t>DL input prc = 46.24198203  PX_ASK = 46.31794750 PX_BID = 46.16601656</t>
  </si>
  <si>
    <t>DL input prc = 45.48801889  PX_ASK = 45.56396159 PX_BID = 45.41207618</t>
  </si>
  <si>
    <t>DL input prc = 44.79068426  PX_ASK = 44.87010473 PX_BID = 44.71126378</t>
  </si>
  <si>
    <t>DL input prc = 44.07450669  PX_ASK = 44.15043824 PX_BID = 43.99857514</t>
  </si>
  <si>
    <t>DL input prc = 43.38384085  PX_ASK = 43.46318294 PX_BID = 43.30449875</t>
  </si>
  <si>
    <t>DL input prc = 42.71244669  PX_ASK = 42.78485997 PX_BID = 42.64003340</t>
  </si>
  <si>
    <t>DL input prc = 42.09401850  PX_ASK = 42.16645174 PX_BID = 42.02158526</t>
  </si>
  <si>
    <t>DL input prc = 41.43290119  PX_ASK = 41.50870063 PX_BID = 41.35710174</t>
  </si>
  <si>
    <t>DL input prc = 40.81422300  PX_ASK = 40.88997486 PX_BID = 40.73847114</t>
  </si>
  <si>
    <t>DL input prc = 40.20805971  PX_ASK = 40.28032329 PX_BID = 40.13579612</t>
  </si>
  <si>
    <t>DL input prc = 39.67162331  PX_ASK = 39.74393206 PX_BID = 39.59931455</t>
  </si>
  <si>
    <t>DL input prc = 39.07199378  PX_ASK = 39.14764769 PX_BID = 38.99633986</t>
  </si>
  <si>
    <t>DL input prc = 38.52119778  PX_ASK = 38.59681030 PX_BID = 38.44558526</t>
  </si>
  <si>
    <t>DL input prc = 38.00697064  PX_ASK = 38.08947077 PX_BID = 37.92447051</t>
  </si>
  <si>
    <t>DL input prc = 37.49998109  PX_ASK = 37.56528567 PX_BID = 37.43467651</t>
  </si>
  <si>
    <t>DL input prc = 36.93337891  PX_ASK = 37.00198154 PX_BID = 36.86477628</t>
  </si>
  <si>
    <t>DL input prc = 36.43220120  PX_ASK = 36.49732753 PX_BID = 36.36707487</t>
  </si>
  <si>
    <t>DL input prc = 35.93656985  PX_ASK = 35.99479437 PX_BID = 35.87834533</t>
  </si>
  <si>
    <t>DL input prc = 35.45461136  PX_ASK = 35.51620707 PX_BID = 35.39301565</t>
  </si>
  <si>
    <t>DL input prc = 34.98839858  PX_ASK = 35.04653464 PX_BID = 34.93026251</t>
  </si>
  <si>
    <t>DL input prc = 34.52189524  PX_ASK = 34.57996715 PX_BID = 34.46382332</t>
  </si>
  <si>
    <t>DL input prc = 34.01995224  PX_ASK = 34.09492396 PX_BID = 33.94498052</t>
  </si>
  <si>
    <t>DL input prc = 33.56865803  PX_ASK = 33.64012676 PX_BID = 33.49718930</t>
  </si>
  <si>
    <t>DL input prc = 33.11936856  PX_ASK = 33.19412894 PX_BID = 33.04460817</t>
  </si>
  <si>
    <t>DL input prc = 32.69650495  PX_ASK = 32.76439434 PX_BID = 32.62861556</t>
  </si>
  <si>
    <t>DL input prc = 32.22812463  PX_ASK = 32.29582776 PX_BID = 32.16042150</t>
  </si>
  <si>
    <t>DL input prc = 31.80627679  PX_ASK = 31.87048537 PX_BID = 31.74206821</t>
  </si>
  <si>
    <t>DL input prc = 31.37957966  PX_ASK = 31.44702787 PX_BID = 31.31213144</t>
  </si>
  <si>
    <t>DL input prc = 30.97871927  PX_ASK = 31.04605732 PX_BID = 30.91138122</t>
  </si>
  <si>
    <t>DL input prc = 30.57962959  PX_ASK = 30.63340464 PX_BID = 30.52585454</t>
  </si>
  <si>
    <t>DL input prc = 30.18258556  PX_ASK = 30.24295563 PX_BID = 30.12221548</t>
  </si>
  <si>
    <t>DL input prc = 29.80403296  PX_ASK = 29.86095433 PX_BID = 29.74711159</t>
  </si>
  <si>
    <t>DL input prc = 29.39718888  PX_ASK = 29.45393829 PX_BID = 29.34043947</t>
  </si>
  <si>
    <t>DL input prc = 29.06548583  PX_ASK = 29.12220135 PX_BID = 29.00877031</t>
  </si>
  <si>
    <t>DL input prc = 28.80866513  PX_ASK = 28.86547826 PX_BID = 28.75185200</t>
  </si>
  <si>
    <t>DL input prc = 28.39317980  PX_ASK = 28.44976224 PX_BID = 28.33659736</t>
  </si>
  <si>
    <t>DL input prc = 27.97940687  PX_ASK = 28.03573952 PX_BID = 27.92307422</t>
  </si>
  <si>
    <t>DL input prc = 27.59069612  PX_ASK = 27.64351748 PX_BID = 27.53787475</t>
  </si>
  <si>
    <t>DL input prc = 27.23962684  PX_ASK = 27.29230475 PX_BID = 27.18694892</t>
  </si>
  <si>
    <t>DL input prc = 26.90653587  PX_ASK = 26.96238206 PX_BID = 26.85068967</t>
  </si>
  <si>
    <t>DL input prc = 26.57769702  PX_ASK = 26.63340930 PX_BID = 26.52198474</t>
  </si>
  <si>
    <t>DL input prc = 26.26009224  PX_ASK = 26.31241572 PX_BID = 26.20776875</t>
  </si>
  <si>
    <t>DL input prc = 25.93673718  PX_ASK = 25.98565874 PX_BID = 25.88781562</t>
  </si>
  <si>
    <t>DL input prc = 25.63431525  PX_ASK = 25.68639280 PX_BID = 25.58223770</t>
  </si>
  <si>
    <t>DL input prc = 25.32271805  PX_ASK = 25.37465460 PX_BID = 25.27078150</t>
  </si>
  <si>
    <t>DL input prc = 25.06753434  PX_ASK = 25.11619681 PX_BID = 25.01887187</t>
  </si>
  <si>
    <t>DL input prc = 24.77054515  PX_ASK = 24.82555422 PX_BID = 24.71553607</t>
  </si>
  <si>
    <t>DL input prc = 100.20898438  PX_ASK = 100.47656250 PX_BID = 99.94140625</t>
  </si>
  <si>
    <t>DL input prc = 100.81640625  PX_ASK = 101.03906250 PX_BID = 100.59375000</t>
  </si>
  <si>
    <t>DL input prc = 101.56054688  PX_ASK = 101.80078125 PX_BID = 101.32031250</t>
  </si>
  <si>
    <t>DL input prc = 102.33789063  PX_ASK = 102.55468750 PX_BID = 102.12109375</t>
  </si>
  <si>
    <t>DL input prc = 102.47460938  PX_ASK = 102.66796875 PX_BID = 102.28125000</t>
  </si>
  <si>
    <t>DL input prc = 102.15234375  PX_ASK = 102.19531250 PX_BID = 102.10937500</t>
  </si>
  <si>
    <t>DL input prc = 102.42187500  PX_ASK = 102.63281250 PX_BID = 102.21093750</t>
  </si>
  <si>
    <t>DL input prc = 102.15625000  PX_ASK = 102.33593750 PX_BID = 101.97656250</t>
  </si>
  <si>
    <t>DL input prc = 102.61718750  PX_ASK = 102.80468750 PX_BID = 102.42968750</t>
  </si>
  <si>
    <t>DL input prc = 104.53125000  PX_ASK = 104.57031250 PX_BID = 104.49218750</t>
  </si>
  <si>
    <t>DL input prc = 105.23828125  PX_ASK = 105.42187500 PX_BID = 105.05468750</t>
  </si>
  <si>
    <t>DL input prc = 106.70703125  PX_ASK = 106.87500000 PX_BID = 106.53906250</t>
  </si>
  <si>
    <t>DL input prc = 104.28125000  PX_ASK = 104.44531250 PX_BID = 104.11718750</t>
  </si>
  <si>
    <t>DL input prc = 106.85937500  PX_ASK = 106.89843750 PX_BID = 106.82031250</t>
  </si>
  <si>
    <t>DL input prc = 99.82812500  PX_ASK = 99.98437500 PX_BID = 99.67187500</t>
  </si>
  <si>
    <t>DL input prc = 99.60156250  PX_ASK = 99.64062500 PX_BID = 99.56250000</t>
  </si>
  <si>
    <t>DL input prc = 101.22656250  PX_ASK = 101.29687500 PX_BID = 101.15625000</t>
  </si>
  <si>
    <t>DL input prc = 103.35937500  PX_ASK = 103.43750000 PX_BID = 103.28125000</t>
  </si>
  <si>
    <t>DL input prc = 99.10546875  PX_ASK = 99.14843750 PX_BID = 99.06250000</t>
  </si>
  <si>
    <t>DL input prc = 97.53125000  PX_ASK = 97.60937500 PX_BID = 97.45312500</t>
  </si>
  <si>
    <t>DL input prc = 98.35937500  PX_ASK = 98.43750000 PX_BID = 98.28125000</t>
  </si>
  <si>
    <t>DL input prc = 100.85937500  PX_ASK = 100.89843750 PX_BID = 100.82031250</t>
  </si>
  <si>
    <t>DL input prc = 88.31250000  PX_ASK = 88.42187500 PX_BID = 88.20312500</t>
  </si>
  <si>
    <t>DL input prc = 94.80468750  PX_ASK = 94.87500000 PX_BID = 94.73437500</t>
  </si>
  <si>
    <t>DL input prc = 96.79687500  PX_ASK = 96.87500000 PX_BID = 96.71875000</t>
  </si>
  <si>
    <t>DL input prc = 95.31250000  PX_ASK = 95.37500000 PX_BID = 95.25000000</t>
  </si>
  <si>
    <t>DL input prc = 97.58593750  PX_ASK = 97.65625000 PX_BID = 97.51562500</t>
  </si>
  <si>
    <t>DL input prc = 94.76562500  PX_ASK = 94.83593750 PX_BID = 94.69531250</t>
  </si>
  <si>
    <t>DL input prc = 94.84375000  PX_ASK = 94.89062500 PX_BID = 94.79687500</t>
  </si>
  <si>
    <t>DL input prc = 89.42968750  PX_ASK = 89.48437500 PX_BID = 89.37500000</t>
  </si>
  <si>
    <t>DL input prc = 92.99218750  PX_ASK = 93.04687500 PX_BID = 92.93750000</t>
  </si>
  <si>
    <t>DL input prc = 98.01562500  PX_ASK = 98.06250000 PX_BID = 97.96875000</t>
  </si>
  <si>
    <t>DL input prc = 93.64843750  PX_ASK = 93.71093750 PX_BID = 93.58593750</t>
  </si>
  <si>
    <t>DL input prc = 93.84375000  PX_ASK = 93.89062500 PX_BID = 93.79687500</t>
  </si>
  <si>
    <t>DL input prc = 86.97656250  PX_ASK = 87.03125000 PX_BID = 86.92187500</t>
  </si>
  <si>
    <t>DL input prc = 79.89062500  PX_ASK = 79.93750000 PX_BID = 79.84375000</t>
  </si>
  <si>
    <t>DL input prc = 79.50000000  PX_ASK = 79.54687500 PX_BID = 79.45312500</t>
  </si>
  <si>
    <t>DL input prc = 74.58984375  PX_ASK = 74.64843750 PX_BID = 74.53125000</t>
  </si>
  <si>
    <t>DL input prc = 77.75781250  PX_ASK = 77.81250000 PX_BID = 77.70312500</t>
  </si>
  <si>
    <t>DL input prc = 74.59375000  PX_ASK = 74.64062500 PX_BID = 74.54687500</t>
  </si>
  <si>
    <t>DL input prc = 74.18750000  PX_ASK = 74.23437500 PX_BID = 74.14062500</t>
  </si>
  <si>
    <t>DL input prc = 78.03906250  PX_ASK = 78.09375000 PX_BID = 77.98437500</t>
  </si>
  <si>
    <t>DL input prc = 71.08984375  PX_ASK = 71.14843750 PX_BID = 71.03125000</t>
  </si>
  <si>
    <t>DL input prc = 74.89062500  PX_ASK = 74.93750000 PX_BID = 74.84375000</t>
  </si>
  <si>
    <t>DL input prc = 83.16406250  PX_ASK = 83.20312500 PX_BID = 83.12500000</t>
  </si>
  <si>
    <t>DL input prc = 84.35156250  PX_ASK = 84.37500000 PX_BID = 84.32812500</t>
  </si>
  <si>
    <t>DL input prc = 82.64843750  PX_ASK = 82.67187500 PX_BID = 82.62500000</t>
  </si>
  <si>
    <t>DL input prc = 79.53515625  PX_ASK = 79.59375000 PX_BID = 79.47656250</t>
  </si>
  <si>
    <t>DL input prc = 79.51562500  PX_ASK = 79.54687500 PX_BID = 79.48437500</t>
  </si>
  <si>
    <t>DL input prc = 76.26562500  PX_ASK = 76.29687500 PX_BID = 76.23437500</t>
  </si>
  <si>
    <t>DL input prc = 74.50000000  PX_ASK = 74.53125000 PX_BID = 74.46875000</t>
  </si>
  <si>
    <t>DL input prc = 68.21875000  PX_ASK = 68.25000000 PX_BID = 68.18750000</t>
  </si>
  <si>
    <t>DL input prc = 69.00390625  PX_ASK = 69.06250000 PX_BID = 68.94531250</t>
  </si>
  <si>
    <t>DL input prc = 74.03125000  PX_ASK = 74.06250000 PX_BID = 74.00000000</t>
  </si>
  <si>
    <t>DL input prc = 72.20312500  PX_ASK = 72.23437500 PX_BID = 72.17187500</t>
  </si>
  <si>
    <t>DL input prc = 73.48437500  PX_ASK = 73.51562500 PX_BID = 73.45312500</t>
  </si>
  <si>
    <t>DL input prc = 67.03125000  PX_ASK = 67.06250000 PX_BID = 67.00000000</t>
  </si>
  <si>
    <t>DL input prc = 71.29687500  PX_ASK = 71.35937500 PX_BID = 71.23437500</t>
  </si>
  <si>
    <t>DL input prc = 66.75000000  PX_ASK = 66.79687500 PX_BID = 66.70312500</t>
  </si>
  <si>
    <t>DL input prc = 63.35156250  PX_ASK = 63.37500000 PX_BID = 63.32812500</t>
  </si>
  <si>
    <t>DL input prc = 71.01562500  PX_ASK = 71.04687500 PX_BID = 70.98437500</t>
  </si>
  <si>
    <t>DL input prc = 72.35156250  PX_ASK = 72.37500000 PX_BID = 72.32812500</t>
  </si>
  <si>
    <t>DL input prc = 68.19531250  PX_ASK = 68.25781250 PX_BID = 68.13281250</t>
  </si>
  <si>
    <t>DL input prc = 72.15625000  PX_ASK = 72.18750000 PX_BID = 72.12500000</t>
  </si>
  <si>
    <t>DL input prc = 68.70312500  PX_ASK = 68.73437500 PX_BID = 68.67187500</t>
  </si>
  <si>
    <t>DL input prc = 68.49218750  PX_ASK = 68.51562500 PX_BID = 68.46875000</t>
  </si>
  <si>
    <t>DL input prc = 71.53125000  PX_ASK = 71.54687500 PX_BID = 71.51562500</t>
  </si>
  <si>
    <t>DL input prc = 68.98437500  PX_ASK = 69.04687500 PX_BID = 68.92187500</t>
  </si>
  <si>
    <t>DL input prc = 72.97656250  PX_ASK = 73.00000000 PX_BID = 72.95312500</t>
  </si>
  <si>
    <t>DL input prc = 71.14843750  PX_ASK = 71.17187500 PX_BID = 71.12500000</t>
  </si>
  <si>
    <t>DL input prc = 75.97656250  PX_ASK = 76.00000000 PX_BID = 75.95312500</t>
  </si>
  <si>
    <t>DL input prc = 70.80468750  PX_ASK = 70.82812500 PX_BID = 70.78125000</t>
  </si>
  <si>
    <t>DL input prc = 67.99218750  PX_ASK = 68.05468750 PX_BID = 67.92968750</t>
  </si>
  <si>
    <t>DL input prc = 68.93750000  PX_ASK = 68.95312500 PX_BID = 68.92187500</t>
  </si>
  <si>
    <t>DL input prc = 60.28906250  PX_ASK = 60.31250000 PX_BID = 60.26562500</t>
  </si>
  <si>
    <t>DL input prc = 61.75000000  PX_ASK = 61.78125000 PX_BID = 61.71875000</t>
  </si>
  <si>
    <t>DL input prc = 56.44531250  PX_ASK = 56.46875000 PX_BID = 56.42187500</t>
  </si>
  <si>
    <t>DL input prc = 54.26953125  PX_ASK = 54.32812500 PX_BID = 54.21093750</t>
  </si>
  <si>
    <t>DL input prc = 46.00000000  PX_ASK = 46.01562500 PX_BID = 45.98437500</t>
  </si>
  <si>
    <t>DL input prc = 47.40625000  PX_ASK = 47.42187500 PX_BID = 47.39062500</t>
  </si>
  <si>
    <t>DL input prc = 61.24218750  PX_ASK = 61.29687500 PX_BID = 61.18750000</t>
  </si>
  <si>
    <t>DL input prc = 61.89062500  PX_ASK = 61.96875000 PX_BID = 61.81250000</t>
  </si>
  <si>
    <t>DL input prc = 50.56250000  PX_ASK = 50.57812500 PX_BID = 50.54687500</t>
  </si>
  <si>
    <t>DL input prc = 63.19531250  PX_ASK = 63.25000000 PX_BID = 63.14062500</t>
  </si>
  <si>
    <t>DL input prc = 53.78906250  PX_ASK = 53.81250000 PX_BID = 53.76562500</t>
  </si>
  <si>
    <t>DL input prc = 50.80078125  PX_ASK = 50.85937500 PX_BID = 50.74218750</t>
  </si>
  <si>
    <t>DL input prc = 67.84375000  PX_ASK = 67.89062500 PX_BID = 67.79687500</t>
  </si>
  <si>
    <t>DL input prc = 60.57812500  PX_ASK = 60.59375000 PX_BID = 60.56250000</t>
  </si>
  <si>
    <t>DL input prc = 71.26562500  PX_ASK = 71.31250000 PX_BID = 71.21875000</t>
  </si>
  <si>
    <t>DL input prc = 55.10937500  PX_ASK = 55.12500000 PX_BID = 55.09375000</t>
  </si>
  <si>
    <t>DL input prc = 65.45312500  PX_ASK = 65.50000000 PX_BID = 65.40625000</t>
  </si>
  <si>
    <t>DL input prc = 53.14062500  PX_ASK = 53.15625000 PX_BID = 53.12500000</t>
  </si>
  <si>
    <t>DL input prc = 67.61718750  PX_ASK = 67.67187500 PX_BID = 67.56250000</t>
  </si>
  <si>
    <t>DL input prc = 58.28125000  PX_ASK = 58.29687500 PX_BID = 58.26562500</t>
  </si>
  <si>
    <t>DL input prc = 49.67968750  PX_ASK = 49.74218750 PX_BID = 49.61718750</t>
  </si>
  <si>
    <t>DL input prc = 71.22656250  PX_ASK = 71.26562500 PX_BID = 71.18750000</t>
  </si>
  <si>
    <t>DL input prc = 67.03906250  PX_ASK = 67.06250000 PX_BID = 67.01562500</t>
  </si>
  <si>
    <t>DL input prc = 80.42187500  PX_ASK = 80.46875000 PX_BID = 80.37500000</t>
  </si>
  <si>
    <t>DL input prc = 68.71875000  PX_ASK = 68.73437500 PX_BID = 68.70312500</t>
  </si>
  <si>
    <t>DL input prc = 81.49218750  PX_ASK = 81.53125000 PX_BID = 81.45312500</t>
  </si>
  <si>
    <t>DL input prc = 83.01562500  PX_ASK = 83.03125000 PX_BID = 83.00000000</t>
  </si>
  <si>
    <t>DL input prc = 88.15625000  PX_ASK = 88.18750000 PX_BID = 88.12500000</t>
  </si>
  <si>
    <t>DL input prc = 77.57812500  PX_ASK = 77.59375000 PX_BID = 77.56250000</t>
  </si>
  <si>
    <t>DL input prc = 73.38671875  PX_ASK = 73.45312500 PX_BID = 73.32031250</t>
  </si>
  <si>
    <t>DL input prc = 86.53125000  PX_ASK = 86.56250000 PX_BID = 86.50000000</t>
  </si>
  <si>
    <t>DL input prc = 77.49218750  PX_ASK = 77.51562500 PX_BID = 77.46875000</t>
  </si>
  <si>
    <t>DL input prc = 86.31250000  PX_ASK = 86.34375000 PX_BID = 86.28125000</t>
  </si>
  <si>
    <t>DL input prc = 84.76562500  PX_ASK = 84.78125000 PX_BID = 84.75000000</t>
  </si>
  <si>
    <t>DL input prc = 91.82812500  PX_ASK = 91.85937500 PX_BID = 91.79687500</t>
  </si>
  <si>
    <t>DL input prc = 93.91406250  PX_ASK = 93.92187500 PX_BID = 93.90625000</t>
  </si>
  <si>
    <t>DL input prc = 96.04687500  PX_ASK = 96.06250000 PX_BID = 96.03125000</t>
  </si>
  <si>
    <t>DL input prc = 86.56250000  PX_ASK = 86.57812500 PX_BID = 86.54687500</t>
  </si>
  <si>
    <t>DL input prc = 84.51171875  PX_ASK = 84.57031250 PX_BID = 84.45312500</t>
  </si>
  <si>
    <t>DL input prc = 92.95312500  PX_ASK = 92.96875000 PX_BID = 92.93750000</t>
  </si>
  <si>
    <t>DL input prc = 92.17187500  PX_ASK = 92.18750000 PX_BID = 92.15625000</t>
  </si>
  <si>
    <t>DL input prc = 94.29687500  PX_ASK = 94.31250000 PX_BID = 94.28125000</t>
  </si>
  <si>
    <t>DL input prc = 86.60937500  PX_ASK = 86.62500000 PX_BID = 86.59375000</t>
  </si>
  <si>
    <t>DL input prc = 88.21875000  PX_ASK = 88.23437500 PX_BID = 88.20312500</t>
  </si>
  <si>
    <t>DL input prc = 90.29687500  PX_ASK = 90.31250000 PX_BID = 90.28125000</t>
  </si>
  <si>
    <t>DL input prc = 94.04687500  PX_ASK = 94.06250000 PX_BID = 94.03125000</t>
  </si>
  <si>
    <t>DL input prc = 92.20312500  PX_ASK = 92.21875000 PX_BID = 92.18750000</t>
  </si>
  <si>
    <t>DL input prc = 89.08203125  PX_ASK = 89.14062500 PX_BID = 89.02343750</t>
  </si>
  <si>
    <t>DL input prc = 95.45312500  PX_ASK = 95.46875000 PX_BID = 95.43750000</t>
  </si>
  <si>
    <t>DL input prc = 94.07812500  PX_ASK = 94.09375000 PX_BID = 94.06250000</t>
  </si>
  <si>
    <t>DL input prc = 98.42187500  PX_ASK = 98.43750000 PX_BID = 98.40625000</t>
  </si>
  <si>
    <t>DL input prc = 94.11718750  PX_ASK = 94.12500000 PX_BID = 94.10937500</t>
  </si>
  <si>
    <t>DL input prc = 96.79687500  PX_ASK = 96.81250000 PX_BID = 96.78125000</t>
  </si>
  <si>
    <t>DL input prc = 92.24218750  PX_ASK = 92.25000000 PX_BID = 92.23437500</t>
  </si>
  <si>
    <t>DL input prc = 93.67187500  PX_ASK = 93.68750000 PX_BID = 93.65625000</t>
  </si>
  <si>
    <t>DL input prc = 94.20312500  PX_ASK = 94.21875000 PX_BID = 94.18750000</t>
  </si>
  <si>
    <t>DL input prc = 89.08593750  PX_ASK = 89.13281250 PX_BID = 89.03906250</t>
  </si>
  <si>
    <t>DL input prc = 93.57812500  PX_ASK = 93.59375000 PX_BID = 93.56250000</t>
  </si>
  <si>
    <t>DL input prc = 98.01562500  PX_ASK = 98.03125000 PX_BID = 98.00000000</t>
  </si>
  <si>
    <t>DL input prc = 98.24218750  PX_ASK = 98.25000000 PX_BID = 98.23437500</t>
  </si>
  <si>
    <t>DL input prc = 93.63100858  PX_ASK = 93.69850308 PX_BID = 93.56351407</t>
  </si>
  <si>
    <t>DL input prc = 92.64702604  PX_ASK = 92.74418339 PX_BID = 92.54986869</t>
  </si>
  <si>
    <t>DL input prc = 96.75213389  PX_ASK = 96.80353360 PX_BID = 96.70073417</t>
  </si>
  <si>
    <t>DL input prc = 88.73559048  PX_ASK = 88.81018232 PX_BID = 88.66099864</t>
  </si>
  <si>
    <t>DL input prc = 99.90996927  PX_ASK = 99.91104881 PX_BID = 99.90888972</t>
  </si>
  <si>
    <t>DL input prc = 99.57184112  PX_ASK = 99.57378092 PX_BID = 99.56990132</t>
  </si>
  <si>
    <t>DL input prc = 99.24727993  PX_ASK = 99.24925800 PX_BID = 99.24530185</t>
  </si>
  <si>
    <t>DL input prc = 98.92080896  PX_ASK = 98.92268891 PX_BID = 98.91892900</t>
  </si>
  <si>
    <t>DL input prc = 86.84379582  PX_ASK = 86.93257718 PX_BID = 86.75501446</t>
  </si>
  <si>
    <t>DL input prc = 98.59199323  PX_ASK = 98.59373281 PX_BID = 98.59025365</t>
  </si>
  <si>
    <t>DL input prc = 98.26811268  PX_ASK = 98.27002563 PX_BID = 98.26619972</t>
  </si>
  <si>
    <t>DL input prc = 97.88685622  PX_ASK = 97.94978408 PX_BID = 97.82392835</t>
  </si>
  <si>
    <t>DL input prc = 85.87147685  PX_ASK = 85.95841090 PX_BID = 85.78454279</t>
  </si>
  <si>
    <t>DL input prc = 97.60059847  PX_ASK = 97.60292789 PX_BID = 97.59826905</t>
  </si>
  <si>
    <t>DL input prc = 97.27039008  PX_ASK = 97.27368539 PX_BID = 97.26709477</t>
  </si>
  <si>
    <t>DL input prc = 96.93367317  PX_ASK = 96.93735200 PX_BID = 96.92999434</t>
  </si>
  <si>
    <t>DL input prc = 96.58571777  PX_ASK = 96.59018390 PX_BID = 96.58125164</t>
  </si>
  <si>
    <t>DL input prc = 96.23913068  PX_ASK = 96.24445026 PX_BID = 96.23381109</t>
  </si>
  <si>
    <t>DL input prc = 95.88687024  PX_ASK = 95.89216551 PX_BID = 95.88157497</t>
  </si>
  <si>
    <t>DL input prc = 83.95178541  PX_ASK = 84.03698308 PX_BID = 83.86658773</t>
  </si>
  <si>
    <t>DL input prc = 95.54969445  PX_ASK = 95.55644033 PX_BID = 95.54294856</t>
  </si>
  <si>
    <t>DL input prc = 95.21743817  PX_ASK = 95.22466091 PX_BID = 95.21021543</t>
  </si>
  <si>
    <t>DL input prc = 94.88261256  PX_ASK = 94.89031228 PX_BID = 94.87491284</t>
  </si>
  <si>
    <t>DL input prc = 83.02957615  PX_ASK = 83.13652513 PX_BID = 82.92262717</t>
  </si>
  <si>
    <t>DL input prc = 94.54668819  PX_ASK = 94.55486281 PX_BID = 94.53851357</t>
  </si>
  <si>
    <t>DL input prc = 94.21861709  PX_ASK = 94.23057977 PX_BID = 94.20665441</t>
  </si>
  <si>
    <t>DL input prc = 93.87750788  PX_ASK = 93.89082832 PX_BID = 93.86418744</t>
  </si>
  <si>
    <t>DL input prc = 93.54167472  PX_ASK = 93.55567674 PX_BID = 93.52767270</t>
  </si>
  <si>
    <t>DL input prc = 91.22692398  PX_ASK = 91.24356332 PX_BID = 91.21028464</t>
  </si>
  <si>
    <t>DL input prc = 90.90841964  PX_ASK = 90.92461802 PX_BID = 90.89222126</t>
  </si>
  <si>
    <t>DL input prc = 79.34334214  PX_ASK = 79.41761854 PX_BID = 79.26906573</t>
  </si>
  <si>
    <t>DL input prc = 90.58889301  PX_ASK = 90.60562672 PX_BID = 90.57215929</t>
  </si>
  <si>
    <t>DL input prc = 90.27478189  PX_ASK = 90.29203949 PX_BID = 90.25752428</t>
  </si>
  <si>
    <t>DL input prc = 89.95385899  PX_ASK = 89.97053965 PX_BID = 89.93717833</t>
  </si>
  <si>
    <t>DL input prc = 78.41033925  PX_ASK = 78.49360879 PX_BID = 78.32706970</t>
  </si>
  <si>
    <t>DL input prc = 89.63705071  PX_ASK = 89.65536940 PX_BID = 89.61873202</t>
  </si>
  <si>
    <t>DL input prc = 89.32487525  PX_ASK = 89.34370779 PX_BID = 89.30604271</t>
  </si>
  <si>
    <t>DL input prc = 89.01246730  PX_ASK = 89.03060492 PX_BID = 88.99432968</t>
  </si>
  <si>
    <t>DL input prc = 77.50258165  PX_ASK = 77.57312973 PX_BID = 77.43203356</t>
  </si>
  <si>
    <t>DL input prc = 88.69884412  PX_ASK = 88.71746147 PX_BID = 88.68022676</t>
  </si>
  <si>
    <t>DL input prc = 88.39307830  PX_ASK = 88.41216571 PX_BID = 88.37399089</t>
  </si>
  <si>
    <t>DL input prc = 88.07185187  PX_ASK = 88.09141713 PX_BID = 88.05228661</t>
  </si>
  <si>
    <t>DL input prc = 76.57263929  PX_ASK = 76.68624027 PX_BID = 76.45903831</t>
  </si>
  <si>
    <t>DL input prc = 87.75167470  PX_ASK = 87.77170872 PX_BID = 87.73164068</t>
  </si>
  <si>
    <t>DL input prc = 87.43403633  PX_ASK = 87.45452747 PX_BID = 87.41354519</t>
  </si>
  <si>
    <t>DL input prc = 87.11589661  PX_ASK = 87.13544845 PX_BID = 87.09634476</t>
  </si>
  <si>
    <t>DL input prc = 75.69636013  PX_ASK = 75.76650248 PX_BID = 75.62621777</t>
  </si>
  <si>
    <t>DL input prc = 86.79730083  PX_ASK = 86.81870418 PX_BID = 86.77589748</t>
  </si>
  <si>
    <t>DL input prc = 86.48205985  PX_ASK = 86.50390756 PX_BID = 86.46021213</t>
  </si>
  <si>
    <t>DL input prc = 86.16019602  PX_ASK = 86.18101072 PX_BID = 86.13938132</t>
  </si>
  <si>
    <t>DL input prc = 74.75491665  PX_ASK = 74.84373649 PX_BID = 74.66609681</t>
  </si>
  <si>
    <t>DL input prc = 85.84335107  PX_ASK = 85.86458203 PX_BID = 85.82212010</t>
  </si>
  <si>
    <t>DL input prc = 85.52862725  PX_ASK = 85.55026379 PX_BID = 85.50699070</t>
  </si>
  <si>
    <t>DL input prc = 85.21363693  PX_ASK = 85.23725364 PX_BID = 85.19002022</t>
  </si>
  <si>
    <t>DL input prc = 73.87332662  PX_ASK = 73.94718674 PX_BID = 73.79946650</t>
  </si>
  <si>
    <t>DL input prc = 84.89822068  PX_ASK = 84.92066649 PX_BID = 84.87577487</t>
  </si>
  <si>
    <t>DL input prc = 93.20627056  PX_ASK = 93.21939378 PX_BID = 93.19314734</t>
  </si>
  <si>
    <t>DL input prc = 92.87132342  PX_ASK = 92.88504220 PX_BID = 92.85760463</t>
  </si>
  <si>
    <t>DL input prc = 81.20784349  PX_ASK = 81.29968474 PX_BID = 81.11600224</t>
  </si>
  <si>
    <t>DL input prc = 92.53534124  PX_ASK = 92.54965280 PX_BID = 92.52102967</t>
  </si>
  <si>
    <t>DL input prc = 92.20389402  PX_ASK = 92.21878538 PX_BID = 92.18900266</t>
  </si>
  <si>
    <t>DL input prc = 91.86886389  PX_ASK = 91.88434805 PX_BID = 91.85337972</t>
  </si>
  <si>
    <t>DL input prc = 80.27147793  PX_ASK = 80.37892547 PX_BID = 80.16403038</t>
  </si>
  <si>
    <t>DL input prc = 91.54496555  PX_ASK = 91.56103386 PX_BID = 91.52889723</t>
  </si>
  <si>
    <t>DL input prc = 99.83593750  PX_ASK = 99.84765625 PX_BID = 99.82421875</t>
  </si>
  <si>
    <t>DL input prc = 98.25390625  PX_ASK = 98.28125000 PX_BID = 98.22656250</t>
  </si>
  <si>
    <t>DL input prc = 98.00976563  PX_ASK = 98.02343750 PX_BID = 97.99609375</t>
  </si>
  <si>
    <t>DL input prc = 97.49804688  PX_ASK = 97.50781250 PX_BID = 97.48828125</t>
  </si>
  <si>
    <t>DL input prc = 97.31250000  PX_ASK = 97.34375000 PX_BID = 97.28125000</t>
  </si>
  <si>
    <t>DL input prc = 97.75000000  PX_ASK = 97.76171875 PX_BID = 97.73828125</t>
  </si>
  <si>
    <t>DL input prc = 97.60351563  PX_ASK = 97.61718750 PX_BID = 97.58984375</t>
  </si>
  <si>
    <t>DL input prc = 97.25781250  PX_ASK = 97.28125000 PX_BID = 97.23437500</t>
  </si>
  <si>
    <t>DL input prc = 97.46484375  PX_ASK = 97.48437500 PX_BID = 97.44531250</t>
  </si>
  <si>
    <t>DL input prc = 96.99609375  PX_ASK = 97.02343750 PX_BID = 96.96875000</t>
  </si>
  <si>
    <t>DL input prc = 95.98828125  PX_ASK = 96.00781250 PX_BID = 95.96875000</t>
  </si>
  <si>
    <t>DL input prc = 94.97265625  PX_ASK = 94.99218750 PX_BID = 94.95312500</t>
  </si>
  <si>
    <t>DL input prc = 95.10937500  PX_ASK = 95.13281250 PX_BID = 95.08593750</t>
  </si>
  <si>
    <t>DL input prc = 99.41796875  PX_ASK = 99.43359375 PX_BID = 99.40234375</t>
  </si>
  <si>
    <t>DL input prc = 98.64843750  PX_ASK = 98.68750000 PX_BID = 98.60937500</t>
  </si>
  <si>
    <t>DL input prc = 99.01757813  PX_ASK = 99.02734375 PX_BID = 99.00781250</t>
  </si>
  <si>
    <t>DL input prc = 98.62500000  PX_ASK = 98.63671875 PX_BID = 98.61328125</t>
  </si>
  <si>
    <t>DL input prc = 97.58203125  PX_ASK = 97.60937500 PX_BID = 97.55468750</t>
  </si>
  <si>
    <t>DL input prc = 99.96289063  PX_ASK = 99.97265625 PX_BID = 99.95312500</t>
  </si>
  <si>
    <t>DL input prc = 92.42968750  PX_ASK = 92.45312500 PX_BID = 92.40625000</t>
  </si>
  <si>
    <t>DL input prc = 99.74218750  PX_ASK = 99.75781250 PX_BID = 99.72656250</t>
  </si>
  <si>
    <t>DL input prc = 99.58789063  PX_ASK = 99.59765625 PX_BID = 99.57812500</t>
  </si>
  <si>
    <t>DL input prc = 99.39257813  PX_ASK = 99.40625000 PX_BID = 99.37890625</t>
  </si>
  <si>
    <t>DL input prc = 92.19921875  PX_ASK = 92.22656250 PX_BID = 92.17187500</t>
  </si>
  <si>
    <t>DL input prc = 99.19921875  PX_ASK = 99.21093750 PX_BID = 99.18750000</t>
  </si>
  <si>
    <t>DL input prc = 99.04687500  PX_ASK = 99.06250000 PX_BID = 99.03125000</t>
  </si>
  <si>
    <t>DL input prc = 93.56250000  PX_ASK = 93.58593750 PX_BID = 93.53906250</t>
  </si>
  <si>
    <t>DL input prc = 98.70898438  PX_ASK = 98.71875000 PX_BID = 98.69921875</t>
  </si>
  <si>
    <t>DL input prc = 90.77343750  PX_ASK = 90.79687500 PX_BID = 90.75000000</t>
  </si>
  <si>
    <t>DL input prc = 98.28320313  PX_ASK = 98.29687500 PX_BID = 98.26953125</t>
  </si>
  <si>
    <t>DL input prc = 97.70703125  PX_ASK = 97.71875000 PX_BID = 97.69531250</t>
  </si>
  <si>
    <t>DL input prc = 97.29687500  PX_ASK = 97.30859375 PX_BID = 97.28515625</t>
  </si>
  <si>
    <t>DL input prc = 87.06640625  PX_ASK = 87.08593750 PX_BID = 87.04687500</t>
  </si>
  <si>
    <t>DL input prc = 96.98046875  PX_ASK = 96.99218750 PX_BID = 96.96875000</t>
  </si>
  <si>
    <t>DL input prc = 96.67578125  PX_ASK = 96.68750000 PX_BID = 96.66406250</t>
  </si>
  <si>
    <t>DL input prc = 93.05078125  PX_ASK = 93.07812500 PX_BID = 93.02343750</t>
  </si>
  <si>
    <t>DL input prc = 96.22070313  PX_ASK = 96.23437500 PX_BID = 96.20703125</t>
  </si>
  <si>
    <t>DL input prc = 86.25390625  PX_ASK = 86.27343750 PX_BID = 86.23437500</t>
  </si>
  <si>
    <t>DL input prc = 96.05078125  PX_ASK = 96.06640625 PX_BID = 96.03515625</t>
  </si>
  <si>
    <t>DL input prc = 95.60156250  PX_ASK = 95.61328125 PX_BID = 95.58984375</t>
  </si>
  <si>
    <t>DL input prc = 95.42578125  PX_ASK = 95.43359375 PX_BID = 95.41796875</t>
  </si>
  <si>
    <t>DL input prc = 86.43359375  PX_ASK = 86.45312500 PX_BID = 86.41406250</t>
  </si>
  <si>
    <t>DL input prc = 95.29492188  PX_ASK = 95.30468750 PX_BID = 95.28515625</t>
  </si>
  <si>
    <t>DL input prc = 95.00000000  PX_ASK = 95.01171875 PX_BID = 94.98828125</t>
  </si>
  <si>
    <t>DL input prc = 91.91406250  PX_ASK = 91.93750000 PX_BID = 91.89062500</t>
  </si>
  <si>
    <t>DL input prc = 94.88281250  PX_ASK = 94.89062500 PX_BID = 94.87500000</t>
  </si>
  <si>
    <t>DL input prc = 86.80859375  PX_ASK = 86.83593750 PX_BID = 86.78125000</t>
  </si>
  <si>
    <t>DL input prc = 95.19140625  PX_ASK = 95.20312500 PX_BID = 95.17968750</t>
  </si>
  <si>
    <t>DL input prc = 95.14257813  PX_ASK = 95.14843750 PX_BID = 95.13671875</t>
  </si>
  <si>
    <t>DL input prc = 94.89648438  PX_ASK = 94.90625000 PX_BID = 94.88671875</t>
  </si>
  <si>
    <t>DL input prc = 88.18750000  PX_ASK = 88.21093750 PX_BID = 88.16406250</t>
  </si>
  <si>
    <t>DL input prc = 94.66796875  PX_ASK = 94.67578125 PX_BID = 94.66015625</t>
  </si>
  <si>
    <t>DL input prc = 94.43359375  PX_ASK = 94.44140625 PX_BID = 94.42578125</t>
  </si>
  <si>
    <t>DL input prc = 91.28125000  PX_ASK = 91.30468750 PX_BID = 91.25781250</t>
  </si>
  <si>
    <t>DL input prc = 99.92578125  PX_ASK = 99.93359375 PX_BID = 99.91796875</t>
  </si>
  <si>
    <t>DL input prc = 93.71679688  PX_ASK = 93.72656250 PX_BID = 93.70703125</t>
  </si>
  <si>
    <t>DL input prc = 85.89453125  PX_ASK = 85.91406250 PX_BID = 85.87500000</t>
  </si>
  <si>
    <t>DL input prc = 93.69921875  PX_ASK = 93.71875000 PX_BID = 93.67968750</t>
  </si>
  <si>
    <t>DL input prc = 99.67578125  PX_ASK = 99.68750000 PX_BID = 99.66406250</t>
  </si>
  <si>
    <t>DL input prc = 93.71093750  PX_ASK = 93.73437500 PX_BID = 93.68750000</t>
  </si>
  <si>
    <t>DL input prc = 99.44921875  PX_ASK = 99.45703125 PX_BID = 99.44140625</t>
  </si>
  <si>
    <t>DL input prc = 99.24218750  PX_ASK = 99.28125000 PX_BID = 99.20312500</t>
  </si>
  <si>
    <t>DL input prc = 93.75000000  PX_ASK = 93.77343750 PX_BID = 93.72656250</t>
  </si>
  <si>
    <t>DL input prc = 99.25585938  PX_ASK = 99.26562500 PX_BID = 99.24609375</t>
  </si>
  <si>
    <t>DL input prc = 85.78125000  PX_ASK = 85.80468750 PX_BID = 85.75781250</t>
  </si>
  <si>
    <t>DL input prc = 99.06640625  PX_ASK = 99.07421875 PX_BID = 99.05859375</t>
  </si>
  <si>
    <t>DL input prc = 93.81250000  PX_ASK = 93.82812500 PX_BID = 93.79687500</t>
  </si>
  <si>
    <t>DL input prc = 93.31250000  PX_ASK = 93.32812500 PX_BID = 93.29687500</t>
  </si>
  <si>
    <t>DL input prc = 98.83203125  PX_ASK = 98.84375000 PX_BID = 98.82031250</t>
  </si>
  <si>
    <t>DL input prc = 93.96875000  PX_ASK = 93.98437500 PX_BID = 93.95312500</t>
  </si>
  <si>
    <t>DL input prc = 89.97656250  PX_ASK = 90.00000000 PX_BID = 89.95312500</t>
  </si>
  <si>
    <t>DL input prc = 87.57031250  PX_ASK = 87.59375000 PX_BID = 87.54687500</t>
  </si>
  <si>
    <t>DL input prc = 94.10156250  PX_ASK = 94.11718750 PX_BID = 94.08593750</t>
  </si>
  <si>
    <t>DL input prc = 98.72656250  PX_ASK = 98.73828125 PX_BID = 98.71484375</t>
  </si>
  <si>
    <t>DL input prc = 95.15625000  PX_ASK = 95.17187500 PX_BID = 95.14062500</t>
  </si>
  <si>
    <t>DL input prc = 98.95507813  PX_ASK = 98.96484375 PX_BID = 98.94531250</t>
  </si>
  <si>
    <t>DL input prc = 98.01171875  PX_ASK = 98.03906250 PX_BID = 97.98437500</t>
  </si>
  <si>
    <t>DL input prc = 96.32031250  PX_ASK = 96.33593750 PX_BID = 96.30468750</t>
  </si>
  <si>
    <t>DL input prc = 98.98437500  PX_ASK = 98.99609375 PX_BID = 98.97265625</t>
  </si>
  <si>
    <t>DL input prc = 92.08984375  PX_ASK = 92.10937500 PX_BID = 92.07031250</t>
  </si>
  <si>
    <t>DL input prc = 95.87890625  PX_ASK = 95.89843750 PX_BID = 95.85937500</t>
  </si>
  <si>
    <t>DL input prc = 98.75000000  PX_ASK = 98.76171875 PX_BID = 98.73828125</t>
  </si>
  <si>
    <t>DL input prc = 97.11718750  PX_ASK = 97.13281250 PX_BID = 97.10156250</t>
  </si>
  <si>
    <t>DL input prc = 99.19140625  PX_ASK = 99.20312500 PX_BID = 99.17968750</t>
  </si>
  <si>
    <t>DL input prc = 92.04296875  PX_ASK = 92.07031250 PX_BID = 92.01562500</t>
  </si>
  <si>
    <t>DL input prc = 98.57812500  PX_ASK = 98.59375000 PX_BID = 98.56250000</t>
  </si>
  <si>
    <t>DL input prc = 95.28906250  PX_ASK = 95.31250000 PX_BID = 95.26562500</t>
  </si>
  <si>
    <t>DL input prc = 91.05468750  PX_ASK = 91.07812500 PX_BID = 91.03125000</t>
  </si>
  <si>
    <t>DL input prc = 98.87500000  PX_ASK = 98.88671875 PX_BID = 98.86328125</t>
  </si>
  <si>
    <t>DL input prc = 96.60156250  PX_ASK = 96.61718750 PX_BID = 96.58593750</t>
  </si>
  <si>
    <t>DL input prc = 98.71093750  PX_ASK = 98.72656250 PX_BID = 98.69531250</t>
  </si>
  <si>
    <t>DL input prc = 99.91210938  PX_ASK = 99.92187500 PX_BID = 99.90234375</t>
  </si>
  <si>
    <t>DL input prc = 99.32812500  PX_ASK = 99.35937500 PX_BID = 99.29687500</t>
  </si>
  <si>
    <t>DL input prc = 99.03906250  PX_ASK = 99.05468750 PX_BID = 99.02343750</t>
  </si>
  <si>
    <t>DL input prc = 99.90039063  PX_ASK = 99.91015625 PX_BID = 99.89062500</t>
  </si>
  <si>
    <t>DL input prc = 98.19921875  PX_ASK = 98.21875000 PX_BID = 98.17968750</t>
  </si>
  <si>
    <t>DL input prc = 98.61328125  PX_ASK = 98.63281250 PX_BID = 98.59375000</t>
  </si>
  <si>
    <t>DL input prc = 99.53710938  PX_ASK = 99.54687500 PX_BID = 99.52734375</t>
  </si>
  <si>
    <t>DL input prc = 98.57031250  PX_ASK = 98.58593750 PX_BID = 98.55468750</t>
  </si>
  <si>
    <t>DL input prc = 99.49218750  PX_ASK = 99.50000000 PX_BID = 99.48437500</t>
  </si>
  <si>
    <t>DL input prc = 98.90820313  PX_ASK = 98.91406250 PX_BID = 98.90234375</t>
  </si>
  <si>
    <t>DL input prc = 97.32031250  PX_ASK = 97.33593750 PX_BID = 97.30468750</t>
  </si>
  <si>
    <t>DL input prc = 93.90234375  PX_ASK = 93.92968750 PX_BID = 93.87500000</t>
  </si>
  <si>
    <t>DL input prc = 94.49609375  PX_ASK = 94.51562500 PX_BID = 94.47656250</t>
  </si>
  <si>
    <t>DL input prc = 99.62304688  PX_ASK = 99.63281250 PX_BID = 99.61328125</t>
  </si>
  <si>
    <t>DL input prc = 98.92578125  PX_ASK = 98.93750000 PX_BID = 98.91406250</t>
  </si>
  <si>
    <t>DL input prc = 97.60546875  PX_ASK = 97.62500000 PX_BID = 97.58593750</t>
  </si>
  <si>
    <t>DL input prc = 98.97656250  PX_ASK = 98.98437500 PX_BID = 98.96875000</t>
  </si>
  <si>
    <t>DL input prc = 98.17578125  PX_ASK = 98.20312500 PX_BID = 98.14843750</t>
  </si>
  <si>
    <t>DL input prc = 97.11328125  PX_ASK = 97.13281250 PX_BID = 97.09375000</t>
  </si>
  <si>
    <t>DL input prc = 98.70312500  PX_ASK = 98.71093750 PX_BID = 98.69531250</t>
  </si>
  <si>
    <t>DL input prc = 93.51953125  PX_ASK = 93.53906250 PX_BID = 93.50000000</t>
  </si>
  <si>
    <t>DL input prc = 98.86328125  PX_ASK = 98.87109375 PX_BID = 98.85546875</t>
  </si>
  <si>
    <t>DL input prc = 99.50781250  PX_ASK = 99.51562500 PX_BID = 99.50000000</t>
  </si>
  <si>
    <t>DL input prc = 95.15625000  PX_ASK = 95.17968750 PX_BID = 95.13281250</t>
  </si>
  <si>
    <t>DL input prc = 99.72656250  PX_ASK = 99.73828125 PX_BID = 99.71484375</t>
  </si>
  <si>
    <t>DL input prc = 98.74609375  PX_ASK = 98.75781250 PX_BID = 98.73437500</t>
  </si>
  <si>
    <t>DL input prc = 96.24218750  PX_ASK = 96.25781250 PX_BID = 96.22656250</t>
  </si>
  <si>
    <t>DL input prc = 100.02539063  PX_ASK = 100.03906250 PX_BID = 100.01171875</t>
  </si>
  <si>
    <t>DL input prc = 99.15625000  PX_ASK = 99.17187500 PX_BID = 99.14062500</t>
  </si>
  <si>
    <t>DL input prc = 100.19921875  PX_ASK = 100.21875000 PX_BID = 100.17968750</t>
  </si>
  <si>
    <t>DL input prc = 100.13281250  PX_ASK = 100.14453125 PX_BID = 100.12109375</t>
  </si>
  <si>
    <t>DL input prc = 101.05078125  PX_ASK = 101.07031250 PX_BID = 101.03125000</t>
  </si>
  <si>
    <t>DL input prc = 100.71093750  PX_ASK = 100.72656250 PX_BID = 100.69531250</t>
  </si>
  <si>
    <t>DL input prc = 100.20312500  PX_ASK = 100.21875000 PX_BID = 100.18750000</t>
  </si>
  <si>
    <t>DL input prc = 101.25390625  PX_ASK = 101.27343750 PX_BID = 101.23437500</t>
  </si>
  <si>
    <t>DL input prc = 102.01171875  PX_ASK = 102.03125000 PX_BID = 101.99218750</t>
  </si>
  <si>
    <t>DL input prc = 100.75390625  PX_ASK = 100.78125000 PX_BID = 100.72656250</t>
  </si>
  <si>
    <t>DL input prc = 99.92968750  PX_ASK = 99.94531250 PX_BID = 99.91406250</t>
  </si>
  <si>
    <t>DL input prc = 100.22460938  PX_ASK = 100.23828125 PX_BID = 100.21093750</t>
  </si>
  <si>
    <t>DL input prc = 100.06250000  PX_ASK = 100.07812500 PX_BID = 100.04687500</t>
  </si>
  <si>
    <t>DL input prc = 100.19140625  PX_ASK = 100.21093750 PX_BID = 100.17187500</t>
  </si>
  <si>
    <t>DL input prc = 100.20312500  PX_ASK = 100.21484375 PX_BID = 100.19140625</t>
  </si>
  <si>
    <t>DL input prc = 97.55468750  PX_ASK = 97.57031250 PX_BID = 97.53906250</t>
  </si>
  <si>
    <t>DL input prc = 98.75390625  PX_ASK = 98.77343750 PX_BID = 98.73437500</t>
  </si>
  <si>
    <t>DL input prc = 100.03515625  PX_ASK = 100.04687500 PX_BID = 100.02343750</t>
  </si>
  <si>
    <t>DL input prc = 99.29687500  PX_ASK = 99.31250000 PX_BID = 99.28125000</t>
  </si>
  <si>
    <t>DL input prc = 96.85937500  PX_ASK = 96.88281250 PX_BID = 96.83593750</t>
  </si>
  <si>
    <t>DL input prc = 96.64062500  PX_ASK = 96.65625000 PX_BID = 96.62500000</t>
  </si>
  <si>
    <t>DL input prc = 100.05859375  PX_ASK = 100.07421875 PX_BID = 100.04296875</t>
  </si>
  <si>
    <t>DL input prc = 99.52734375  PX_ASK = 99.54687500 PX_BID = 99.50781250</t>
  </si>
  <si>
    <t>DL input prc = 100.15820313  PX_ASK = 100.17187500 PX_BID = 100.14453125</t>
  </si>
  <si>
    <t>DL input prc = 98.97656250  PX_ASK = 98.99218750 PX_BID = 98.96093750</t>
  </si>
  <si>
    <t>DL input prc = 99.57031250  PX_ASK = 99.58593750 PX_BID = 99.55468750</t>
  </si>
  <si>
    <t>DL input prc = 100.30859375  PX_ASK = 100.32421875 PX_BID = 100.29296875</t>
  </si>
  <si>
    <t>DL input prc = 99.92187500  PX_ASK = 99.94531250 PX_BID = 99.89843750</t>
  </si>
  <si>
    <t>DL input prc = 101.08593750  PX_ASK = 101.10156250 PX_BID = 101.07031250</t>
  </si>
  <si>
    <t>DL input prc = 100.85156250  PX_ASK = 100.86718750 PX_BID = 100.83593750</t>
  </si>
  <si>
    <t>DL input prc = 98.92968750  PX_ASK = 98.93750000 PX_BID = 98.92187500</t>
  </si>
  <si>
    <t>DL input prc = 100.53125000  PX_ASK = 100.54687500 PX_BID = 100.51562500</t>
  </si>
  <si>
    <t>DL input prc = 101.07812500  PX_ASK = 101.09375000 PX_BID = 101.06250000</t>
  </si>
  <si>
    <t>DL input prc = 100.45507813  PX_ASK = 100.46875000 PX_BID = 100.44140625</t>
  </si>
  <si>
    <t>DL input prc = 99.43359375  PX_ASK = 99.44531250 PX_BID = 99.42187500</t>
  </si>
  <si>
    <t>DL input prc = 99.85156250  PX_ASK = 99.86718750 PX_BID = 99.83593750</t>
  </si>
  <si>
    <t>DL input prc = 100.20507813  PX_ASK = 100.21875000 PX_BID = 100.19140625</t>
  </si>
  <si>
    <t>DL input prc = 100.01953125  PX_ASK = 100.02734375 PX_BID = 100.01171875</t>
  </si>
  <si>
    <t>DL input prc = 99.14843750  PX_ASK = 99.15625000 PX_BID = 99.14062500</t>
  </si>
  <si>
    <t>DL input prc = 98.86328125  PX_ASK = 98.87500000 PX_BID = 98.85156250</t>
  </si>
  <si>
    <t>DL input prc = 97.62109375  PX_ASK = 97.64062500 PX_BID = 97.60156250</t>
  </si>
  <si>
    <t>DL input prc = 95.46093750  PX_ASK = 95.46875000 PX_BID = 95.45312500</t>
  </si>
  <si>
    <t>DL input prc = 99.55273438  PX_ASK = 99.56640625 PX_BID = 99.53906250</t>
  </si>
  <si>
    <t>DL input prc = 99.99414063  PX_ASK = 100.00390625 PX_BID = 99.98437500</t>
  </si>
  <si>
    <t>DL input prc = 97.10937500  PX_ASK = 97.12500000 PX_BID = 97.09375000</t>
  </si>
  <si>
    <t>DL input prc = 98.02734375  PX_ASK = 98.03906250 PX_BID = 98.01562500</t>
  </si>
  <si>
    <t>DL input prc = 99.08789063  PX_ASK = 99.09375000 PX_BID = 99.08203125</t>
  </si>
  <si>
    <t>DL input prc = 96.48437500  PX_ASK = 96.50000000 PX_BID = 96.46875000</t>
  </si>
  <si>
    <t>DL input prc = 99.93945313  PX_ASK = 99.94921875 PX_BID = 99.92968750</t>
  </si>
  <si>
    <t>DL input prc = 99.60546875  PX_ASK = 99.61328125 PX_BID = 99.59765625</t>
  </si>
  <si>
    <t>DL input prc = 99.41406250  PX_ASK = 99.42968750 PX_BID = 99.39843750</t>
  </si>
  <si>
    <t>DL input prc = 100.06250000  PX_ASK = 100.07031250 PX_BID = 100.05468750</t>
  </si>
  <si>
    <t>DL input prc = 98.74218750  PX_ASK = 98.75781250 PX_BID = 98.72656250</t>
  </si>
  <si>
    <t>DL input prc = 98.91406250  PX_ASK = 98.93750000 PX_BID = 98.89062500</t>
  </si>
  <si>
    <t>DL input prc = 97.82031250  PX_ASK = 97.82812500 PX_BID = 97.81250000</t>
  </si>
  <si>
    <t>DL input prc = 99.87109375  PX_ASK = 99.87890625 PX_BID = 99.86328125</t>
  </si>
  <si>
    <t>DL input prc = 100.12304688  PX_ASK = 100.13281250 PX_BID = 100.11328125</t>
  </si>
  <si>
    <t>DL input prc = 98.69921875  PX_ASK = 98.71093750 PX_BID = 98.68750000</t>
  </si>
  <si>
    <t>DL input prc = 99.39453125  PX_ASK = 99.40625000 PX_BID = 99.38281250</t>
  </si>
  <si>
    <t>DL input prc = 99.68554688  PX_ASK = 99.69140625 PX_BID = 99.67968750</t>
  </si>
  <si>
    <t>DL input prc = 100.46875000  PX_ASK = 100.48437500 PX_BID = 100.45312500</t>
  </si>
  <si>
    <t>DL input prc = 100.16796875  PX_ASK = 100.17968750 PX_BID = 100.15625000</t>
  </si>
  <si>
    <t>DL input prc = 100.12695313  PX_ASK = 100.13671875 PX_BID = 100.11718750</t>
  </si>
  <si>
    <t>DL input prc = 100.01171875  PX_ASK = 100.01953125 PX_BID = 100.00390625</t>
  </si>
  <si>
    <t>DL input prc = 100.06054688  PX_ASK = 100.07031250 PX_BID = 100.05078125</t>
  </si>
  <si>
    <t>DL input prc = 99.83203125  PX_ASK = 99.84375000 PX_BID = 99.82031250</t>
  </si>
  <si>
    <t>DL input prc = 98.79687500  PX_ASK = 98.82031250 PX_BID = 98.77343750</t>
  </si>
  <si>
    <t>DL input prc = 100.35156250  PX_ASK = 100.35937500 PX_BID = 100.34375000</t>
  </si>
  <si>
    <t>DL input prc = 100.06445313  PX_ASK = 100.07812500 PX_BID = 100.05078125</t>
  </si>
  <si>
    <t>DL input prc = 98.58984375  PX_ASK = 98.60156250 PX_BID = 98.57812500</t>
  </si>
  <si>
    <t>DL input prc = 99.40429688  PX_ASK = 99.41015625 PX_BID = 99.39843750</t>
  </si>
  <si>
    <t>DL input prc = 98.53515625  PX_ASK = 98.54687500 PX_BID = 98.52343750</t>
  </si>
  <si>
    <t>DL input prc = 98.87500000  PX_ASK = 98.88281250 PX_BID = 98.86718750</t>
  </si>
  <si>
    <t>DL input prc = 99.89062500  PX_ASK = 99.90234375 PX_BID = 99.87890625</t>
  </si>
  <si>
    <t>DL input prc = 99.15039063  PX_ASK = 99.15625000 PX_BID = 99.14453125</t>
  </si>
  <si>
    <t>DL input prc = 99.74218750  PX_ASK = 99.75000000 PX_BID = 99.73437500</t>
  </si>
  <si>
    <t>DL input prc = 98.41796875  PX_ASK = 98.42968750 PX_BID = 98.40625000</t>
  </si>
  <si>
    <t>DL input prc = 97.86328125  PX_ASK = 97.87500000 PX_BID = 97.85156250</t>
  </si>
  <si>
    <t>DL input prc = 98.32812500  PX_ASK = 98.35156250 PX_BID = 98.30468750</t>
  </si>
  <si>
    <t>DL input prc = 97.57031250  PX_ASK = 97.57812500 PX_BID = 97.56250000</t>
  </si>
  <si>
    <t>DL input prc = 99.11132813  PX_ASK = 99.11718750 PX_BID = 99.10546875</t>
  </si>
  <si>
    <t>DL input prc = 99.80468750  PX_ASK = 99.81640625 PX_BID = 99.79296875</t>
  </si>
  <si>
    <t>DL input prc = 98.44921875  PX_ASK = 98.46093750 PX_BID = 98.43750000</t>
  </si>
  <si>
    <t>DL input prc = 98.81250000  PX_ASK = 98.82031250 PX_BID = 98.80468750</t>
  </si>
  <si>
    <t>DL input prc = 99.29101563  PX_ASK = 99.29687500 PX_BID = 99.28515625</t>
  </si>
  <si>
    <t>DL input prc = 97.76171875  PX_ASK = 97.77343750 PX_BID = 97.75000000</t>
  </si>
  <si>
    <t>DL input prc = 98.32812500  PX_ASK = 98.34375000 PX_BID = 98.31250000</t>
  </si>
  <si>
    <t>DL input prc = 99.64648438  PX_ASK = 99.66015625 PX_BID = 99.63281250</t>
  </si>
  <si>
    <t>DL input prc = 99.25390625  PX_ASK = 99.26171875 PX_BID = 99.24609375</t>
  </si>
  <si>
    <t>DL input prc = 98.28515625  PX_ASK = 98.29687500 PX_BID = 98.27343750</t>
  </si>
  <si>
    <t>DL input prc = 99.69335938  PX_ASK = 99.70312500 PX_BID = 99.68359375</t>
  </si>
  <si>
    <t>DL input prc = 97.69921875  PX_ASK = 97.71093750 PX_BID = 97.68750000</t>
  </si>
  <si>
    <t>DL input prc = 96.71093750  PX_ASK = 96.73437500 PX_BID = 96.68750000</t>
  </si>
  <si>
    <t>DL input prc = 97.44531250  PX_ASK = 97.45312500 PX_BID = 97.43750000</t>
  </si>
  <si>
    <t>DL input prc = 98.72265625  PX_ASK = 98.73437500 PX_BID = 98.71093750</t>
  </si>
  <si>
    <t>DL input prc = 99.40039063  PX_ASK = 99.41015625 PX_BID = 99.39062500</t>
  </si>
  <si>
    <t>DL input prc = 98.15625000  PX_ASK = 98.16406250 PX_BID = 98.14843750</t>
  </si>
  <si>
    <t>DL input prc = 96.90234375  PX_ASK = 96.91406250 PX_BID = 96.89062500</t>
  </si>
  <si>
    <t>DL input prc = 99.19335938  PX_ASK = 99.19921875 PX_BID = 99.18750000</t>
  </si>
  <si>
    <t>DL input prc = 98.33593750  PX_ASK = 98.34375000 PX_BID = 98.32812500</t>
  </si>
  <si>
    <t>DL input prc = 99.11328125  PX_ASK = 99.12109375 PX_BID = 99.10546875</t>
  </si>
  <si>
    <t>DL input prc = 96.16015625  PX_ASK = 96.17187500 PX_BID = 96.14843750</t>
  </si>
  <si>
    <t>DL input prc = 96.59765625  PX_ASK = 96.61718750 PX_BID = 96.57812500</t>
  </si>
  <si>
    <t>DL input prc = 95.42187500  PX_ASK = 95.43750000 PX_BID = 95.40625000</t>
  </si>
  <si>
    <t>DL input prc = 98.27343750  PX_ASK = 98.28125000 PX_BID = 98.26562500</t>
  </si>
  <si>
    <t>DL input prc = 98.88476563  PX_ASK = 98.89062500 PX_BID = 98.87890625</t>
  </si>
  <si>
    <t>DL input prc = 96.10937500  PX_ASK = 96.12500000 PX_BID = 96.09375000</t>
  </si>
  <si>
    <t>DL input prc = 96.61328125  PX_ASK = 96.62500000 PX_BID = 96.60156250</t>
  </si>
  <si>
    <t>DL input prc = 98.21875000  PX_ASK = 98.22656250 PX_BID = 98.21093750</t>
  </si>
  <si>
    <t>DL input prc = 96.73828125  PX_ASK = 96.75000000 PX_BID = 96.72656250</t>
  </si>
  <si>
    <t>DL input prc = 98.80273438  PX_ASK = 98.80859375 PX_BID = 98.79687500</t>
  </si>
  <si>
    <t>DL input prc = 98.14843750  PX_ASK = 98.15625000 PX_BID = 98.14062500</t>
  </si>
  <si>
    <t>DL input prc = 95.98046875  PX_ASK = 96.00000000 PX_BID = 95.96093750</t>
  </si>
  <si>
    <t>DL input prc = 97.50390625  PX_ASK = 97.50781250 PX_BID = 97.50000000</t>
  </si>
  <si>
    <t>DL input prc = 97.36328125  PX_ASK = 97.37500000 PX_BID = 97.35156250</t>
  </si>
  <si>
    <t>DL input prc = 96.21093750  PX_ASK = 96.21875000 PX_BID = 96.20312500</t>
  </si>
  <si>
    <t>DL input prc = 98.08593750  PX_ASK = 98.09375000 PX_BID = 98.07812500</t>
  </si>
  <si>
    <t>DL input prc = 98.66796875  PX_ASK = 98.67187500 PX_BID = 98.66406250</t>
  </si>
  <si>
    <t>DL input prc = 95.91796875  PX_ASK = 95.92968750 PX_BID = 95.90625000</t>
  </si>
  <si>
    <t>DL input prc = 96.44921875  PX_ASK = 96.46093750 PX_BID = 96.43750000</t>
  </si>
  <si>
    <t>DL input prc = 98.03906250  PX_ASK = 98.04687500 PX_BID = 98.03125000</t>
  </si>
  <si>
    <t>DL input prc = 97.93750000  PX_ASK = 97.94531250 PX_BID = 97.92968750</t>
  </si>
  <si>
    <t>DL input prc = 99.38671875  PX_ASK = 99.39062500 PX_BID = 99.38281250</t>
  </si>
  <si>
    <t>DL input prc = 97.90625000  PX_ASK = 97.91406250 PX_BID = 97.89843750</t>
  </si>
  <si>
    <t>DL input prc = 99.14843750  PX_ASK = 99.15234375 PX_BID = 99.14453125</t>
  </si>
  <si>
    <t>DL input prc = 97.92187500  PX_ASK = 97.92968750 PX_BID = 97.91406250</t>
  </si>
  <si>
    <t>DL input prc = 96.31640625  PX_ASK = 96.33593750 PX_BID = 96.29687500</t>
  </si>
  <si>
    <t>DL input prc = 98.02343750  PX_ASK = 98.03125000 PX_BID = 98.01562500</t>
  </si>
  <si>
    <t>DL input prc = 98.91015625  PX_ASK = 98.91406250 PX_BID = 98.90625000</t>
  </si>
  <si>
    <t>DL input prc = 99.53320313  PX_ASK = 99.53906250 PX_BID = 99.52734375</t>
  </si>
  <si>
    <t>DL input prc = 98.62109375  PX_ASK = 98.63281250 PX_BID = 98.60937500</t>
  </si>
  <si>
    <t>DL input prc = 98.94140625  PX_ASK = 98.94531250 PX_BID = 98.93750000</t>
  </si>
  <si>
    <t>DL input prc = 98.57421875  PX_ASK = 98.57812500 PX_BID = 98.57031250</t>
  </si>
  <si>
    <t>DL input prc = 98.92578125  PX_ASK = 98.92968750 PX_BID = 98.92187500</t>
  </si>
  <si>
    <t>DL input prc = 99.74804688  PX_ASK = 99.75000000 PX_BID = 99.74609375</t>
  </si>
  <si>
    <t>DL input prc = 79.97955775  PX_ASK = 80.08063060 PX_BID = 79.87848489</t>
  </si>
  <si>
    <t>DL input prc = 78.09505638  PX_ASK = 78.19496717 PX_BID = 77.99514559</t>
  </si>
  <si>
    <t>DL input prc = 76.26428543  PX_ASK = 76.35477017 PX_BID = 76.17380069</t>
  </si>
  <si>
    <t>DL input prc = 74.42445083  PX_ASK = 74.52718289 PX_BID = 74.32171876</t>
  </si>
  <si>
    <t>DL input prc = 72.62849362  PX_ASK = 72.72131385 PX_BID = 72.53567339</t>
  </si>
  <si>
    <t>DL input prc = 70.85391499  PX_ASK = 70.96396191 PX_BID = 70.74386807</t>
  </si>
  <si>
    <t>DL input prc = 69.11434701  PX_ASK = 69.23149529 PX_BID = 68.99719872</t>
  </si>
  <si>
    <t>DL input prc = 67.38033351  PX_ASK = 67.51852571 PX_BID = 67.24214130</t>
  </si>
  <si>
    <t>DL input prc = 65.66763678  PX_ASK = 65.80143047 PX_BID = 65.53384309</t>
  </si>
  <si>
    <t>DL input prc = 63.94956619  PX_ASK = 64.09000928 PX_BID = 63.80912310</t>
  </si>
  <si>
    <t>DL input prc = 60.51850904  PX_ASK = 60.65588535 PX_BID = 60.38113272</t>
  </si>
  <si>
    <t>DL input prc = 79.05919791  PX_ASK = 79.15373483 PX_BID = 78.96466098</t>
  </si>
  <si>
    <t>DL input prc = 77.19243294  PX_ASK = 77.28681999 PX_BID = 77.09804588</t>
  </si>
  <si>
    <t>DL input prc = 75.35819331  PX_ASK = 75.45824603 PX_BID = 75.25814059</t>
  </si>
  <si>
    <t>DL input prc = 73.54179868  PX_ASK = 73.64715494 PX_BID = 73.43644242</t>
  </si>
  <si>
    <t>DL input prc = 71.76100088  PX_ASK = 71.87903104 PX_BID = 71.64297071</t>
  </si>
  <si>
    <t>DL input prc = 70.00451593  PX_ASK = 70.13018430 PX_BID = 69.87884756</t>
  </si>
  <si>
    <t>DL input prc = 68.24773545  PX_ASK = 68.38361400 PX_BID = 68.11185689</t>
  </si>
  <si>
    <t>DL input prc = 66.52570262  PX_ASK = 66.66036604 PX_BID = 66.39103919</t>
  </si>
  <si>
    <t>DL input prc = 64.79571499  PX_ASK = 64.93724039 PX_BID = 64.65418958</t>
  </si>
  <si>
    <t>DL input prc = 63.14330268  PX_ASK = 63.27952159 PX_BID = 63.00708376</t>
  </si>
  <si>
    <t>DL input prc = 61.35929399  PX_ASK = 61.49219081 PX_BID = 61.22639717</t>
  </si>
  <si>
    <t>DL input prc = 59.67106111  PX_ASK = 59.80023819 PX_BID = 59.54188403</t>
  </si>
  <si>
    <t>DL input prc = 58.81376707  PX_ASK = 58.95673793 PX_BID = 58.67079621</t>
  </si>
  <si>
    <t>DL input prc = 57.15808749  PX_ASK = 57.30650925 PX_BID = 57.00966573</t>
  </si>
  <si>
    <t>DL input prc = 57.92023811  PX_ASK = 58.04818872 PX_BID = 57.79228750</t>
  </si>
  <si>
    <t>DL input prc = 56.24019291  PX_ASK = 56.38934786 PX_BID = 56.09103796</t>
  </si>
  <si>
    <t>DL input prc = 55.43888738  PX_ASK = 55.58250061 PX_BID = 55.29527414</t>
  </si>
  <si>
    <t>DL input prc = 53.87511852  PX_ASK = 54.02043986 PX_BID = 53.72979718</t>
  </si>
  <si>
    <t>DL input prc = 54.59422012  PX_ASK = 54.74182416 PX_BID = 54.44661608</t>
  </si>
  <si>
    <t>DL input prc = 53.04306739  PX_ASK = 53.19227535 PX_BID = 52.89385943</t>
  </si>
  <si>
    <t>DL input prc = 52.27144262  PX_ASK = 52.41135439 PX_BID = 52.13153085</t>
  </si>
  <si>
    <t>DL input prc = 51.47876305  PX_ASK = 51.61581981 PX_BID = 51.34170628</t>
  </si>
  <si>
    <t>DL input prc = 50.65359143  PX_ASK = 50.79432666 PX_BID = 50.51285620</t>
  </si>
  <si>
    <t>DL input prc = 49.88400545  PX_ASK = 50.01169056 PX_BID = 49.75632033</t>
  </si>
  <si>
    <t>DL input prc = 49.05857117  PX_ASK = 49.18977134 PX_BID = 48.92737099</t>
  </si>
  <si>
    <t>DL input prc = 48.28562191  PX_ASK = 48.43387148 PX_BID = 48.13737233</t>
  </si>
  <si>
    <t>DL input prc = 47.53098063  PX_ASK = 47.66595979 PX_BID = 47.39600147</t>
  </si>
  <si>
    <t>DL input prc = 36.76194405  PX_ASK = 36.91012035 PX_BID = 36.61376775</t>
  </si>
  <si>
    <t>DL input prc = 46.76829883  PX_ASK = 46.90336590 PX_BID = 46.63323175</t>
  </si>
  <si>
    <t>DL input prc = 46.09196533  PX_ASK = 46.24424765 PX_BID = 45.93968300</t>
  </si>
  <si>
    <t>DL input prc = 45.38377216  PX_ASK = 45.52263144 PX_BID = 45.24491287</t>
  </si>
  <si>
    <t>DL input prc = 44.66743680  PX_ASK = 44.80294402 PX_BID = 44.53192957</t>
  </si>
  <si>
    <t>DL input prc = 43.97673678  PX_ASK = 44.11565876 PX_BID = 43.83781480</t>
  </si>
  <si>
    <t>DL input prc = 43.29159934  PX_ASK = 43.44406941 PX_BID = 43.13912927</t>
  </si>
  <si>
    <t>DL input prc = 42.64207551  PX_ASK = 42.79118592 PX_BID = 42.49296509</t>
  </si>
  <si>
    <t>DL input prc = 42.00837865  PX_ASK = 42.16091506 PX_BID = 41.85584223</t>
  </si>
  <si>
    <t>DL input prc = 41.36946421  PX_ASK = 41.50837517 PX_BID = 41.23055324</t>
  </si>
  <si>
    <t>DL input prc = 40.72614977  PX_ASK = 40.86493238 PX_BID = 40.58736716</t>
  </si>
  <si>
    <t>DL input prc = 40.10468761  PX_ASK = 40.26024490 PX_BID = 39.94913031</t>
  </si>
  <si>
    <t>DL input prc = 39.51596271  PX_ASK = 39.67145219 PX_BID = 39.36047322</t>
  </si>
  <si>
    <t>DL input prc = 38.90480878  PX_ASK = 39.04655281 PX_BID = 38.76306475</t>
  </si>
  <si>
    <t>DL input prc = 38.36359988  PX_ASK = 38.50533921 PX_BID = 38.22186055</t>
  </si>
  <si>
    <t>DL input prc = 37.78301541  PX_ASK = 37.94137130 PX_BID = 37.62465951</t>
  </si>
  <si>
    <t>DL input prc = 37.23834856  PX_ASK = 37.37299358 PX_BID = 37.10370353</t>
  </si>
  <si>
    <t>DL input prc = 36.19359735  PX_ASK = 36.34814011 PX_BID = 36.03905459</t>
  </si>
  <si>
    <t>DL input prc = 35.69309691  PX_ASK = 35.85755861 PX_BID = 35.52863521</t>
  </si>
  <si>
    <t>DL input prc = 35.18798005  PX_ASK = 35.32205242 PX_BID = 35.05390767</t>
  </si>
  <si>
    <t>DL input prc = 34.73360702  PX_ASK = 34.87768456 PX_BID = 34.58952948</t>
  </si>
  <si>
    <t>DL input prc = 34.27803741  PX_ASK = 34.42872470 PX_BID = 34.12735011</t>
  </si>
  <si>
    <t>DL input prc = 33.81910010  PX_ASK = 33.96961336 PX_BID = 33.66858684</t>
  </si>
  <si>
    <t>DL input prc = 91.97300000  PX_ASK = 92.00500000 PX_BID = 91.94100000</t>
  </si>
  <si>
    <t>DL input prc = 98.45750000  PX_ASK = 98.49400000 PX_BID = 98.42100000</t>
  </si>
  <si>
    <t>DL input prc = 96.86100000  PX_ASK = 96.89000000 PX_BID = 96.83200000</t>
  </si>
  <si>
    <t>DL input prc = 90.13300000  PX_ASK = 90.15000000 PX_BID = 90.11600000</t>
  </si>
  <si>
    <t>DL input prc = 50.61950000  PX_ASK = 50.65700000 PX_BID = 50.58200000</t>
  </si>
  <si>
    <t>DL input prc = 59.70500000  PX_ASK = 59.73100000 PX_BID = 59.67900000</t>
  </si>
  <si>
    <t>DL input prc = 87.21700000  PX_ASK = 87.23700000 PX_BID = 87.19700000</t>
  </si>
  <si>
    <t>DL input prc = 72.90650000  PX_ASK = 72.93100000 PX_BID = 72.88200000</t>
  </si>
  <si>
    <t>DL input prc = 88.87700000  PX_ASK = 88.89600000 PX_BID = 88.85800000</t>
  </si>
  <si>
    <t>DL input prc = 69.83200000  PX_ASK = 69.86700000 PX_BID = 69.79700000</t>
  </si>
  <si>
    <t>DL input prc = 98.37100000  PX_ASK = 98.38900000 PX_BID = 98.35300000</t>
  </si>
  <si>
    <t>DL input prc = 87.34450000  PX_ASK = 87.41100000 PX_BID = 87.27800000</t>
  </si>
  <si>
    <t>DL input prc = 101.79900000  PX_ASK = 101.81700000 PX_BID = 101.78100000</t>
  </si>
  <si>
    <t>DL input prc = 97.66900000  PX_ASK = 97.68800000 PX_BID = 97.65000000</t>
  </si>
  <si>
    <t>DL input prc = 96.01800000  PX_ASK = 96.07300000 PX_BID = 95.96300000</t>
  </si>
  <si>
    <t>DL input prc = 98.70800000  PX_ASK = 98.72800000 PX_BID = 98.68800000</t>
  </si>
  <si>
    <t>DL input prc = 104.30550000  PX_ASK = 104.32000000 PX_BID = 104.29100000</t>
  </si>
  <si>
    <t>DL input prc = 110.53900000  PX_ASK = 110.56100000 PX_BID = 110.51700000</t>
  </si>
  <si>
    <t>DL input prc = 102.11150000  PX_ASK = 102.14100000 PX_BID = 102.08200000</t>
  </si>
  <si>
    <t>DL input prc = 103.95450000  PX_ASK = 103.97000000 PX_BID = 103.93900000</t>
  </si>
  <si>
    <t>DL input prc = 93.42000000  PX_ASK = 93.44600000 PX_BID = 93.39400000</t>
  </si>
  <si>
    <t>DL input prc = 96.72600000  PX_ASK = 96.74200000 PX_BID = 96.71000000</t>
  </si>
  <si>
    <t>DL input prc = 90.28900000  PX_ASK = 90.30300000 PX_BID = 90.27500000</t>
  </si>
  <si>
    <t>DL input prc = 81.28850000  PX_ASK = 81.31700000 PX_BID = 81.26000000</t>
  </si>
  <si>
    <t>DL input prc = 62.59550000  PX_ASK = 62.63700000 PX_BID = 62.55400000</t>
  </si>
  <si>
    <t>DL input prc = 56.60850000  PX_ASK = 56.65700000 PX_BID = 56.56000000</t>
  </si>
  <si>
    <t>DL input prc = 98.31600000  PX_ASK = 98.33200000 PX_BID = 98.30000000</t>
  </si>
  <si>
    <t>DL input prc = 62.16800000  PX_ASK = 62.21900000 PX_BID = 62.11700000</t>
  </si>
  <si>
    <t>DL input prc = 79.38250000  PX_ASK = 79.40800000 PX_BID = 79.35700000</t>
  </si>
  <si>
    <t>DL input prc = 96.27050000  PX_ASK = 96.28200000 PX_BID = 96.25900000</t>
  </si>
  <si>
    <t>DL input prc = 87.69000000  PX_ASK = 87.70500000 PX_BID = 87.67500000</t>
  </si>
  <si>
    <t>DL input prc = 94.42000000  PX_ASK = 94.43000000 PX_BID = 94.41000000</t>
  </si>
  <si>
    <t>DL input prc = 59.99800000  PX_ASK = 60.04200000 PX_BID = 59.95400000</t>
  </si>
  <si>
    <t>DL input prc = 89.28400000  PX_ASK = 89.29600000 PX_BID = 89.27200000</t>
  </si>
  <si>
    <t>DL input prc = 61.72600000  PX_ASK = 61.75500000 PX_BID = 61.69700000</t>
  </si>
  <si>
    <t>DL input prc = 96.64950000  PX_ASK = 96.66500000 PX_BID = 96.63400000</t>
  </si>
  <si>
    <t>DL input prc = 84.77300000  PX_ASK = 84.78700000 PX_BID = 84.75900000</t>
  </si>
  <si>
    <t>DL input prc = 28.59050000  PX_ASK = 28.63200000 PX_BID = 28.54900000</t>
  </si>
  <si>
    <t>DL input prc = 84.52200000  PX_ASK = 84.53600000 PX_BID = 84.50800000</t>
  </si>
  <si>
    <t>DL input prc = 52.20450000  PX_ASK = 52.24700000 PX_BID = 52.16200000</t>
  </si>
  <si>
    <t>DL input prc = 88.34000000  PX_ASK = 88.37300000 PX_BID = 88.30700000</t>
  </si>
  <si>
    <t>DL input prc = 97.73200000  PX_ASK = 97.74600000 PX_BID = 97.71800000</t>
  </si>
  <si>
    <t>DL input prc = 81.13000000  PX_ASK = 81.16200000 PX_BID = 81.09800000</t>
  </si>
  <si>
    <t>DL input prc = 91.01000000  PX_ASK = 91.04700000 PX_BID = 90.97300000</t>
  </si>
  <si>
    <t>DL input prc = 95.22500000  PX_ASK = 95.24200000 PX_BID = 95.20800000</t>
  </si>
  <si>
    <t>DL input prc = 83.47400000  PX_ASK = 83.50600000 PX_BID = 83.44200000</t>
  </si>
  <si>
    <t>DL input prc = 99.16800000  PX_ASK = 99.18100000 PX_BID = 99.15500000</t>
  </si>
  <si>
    <t>DL input prc = 96.17400000  PX_ASK = 96.19200000 PX_BID = 96.15600000</t>
  </si>
  <si>
    <t>DL input prc = 98.04250000  PX_ASK = 98.05500000 PX_BID = 98.03000000</t>
  </si>
  <si>
    <t>DL input prc = 97.43900000  PX_ASK = 97.45500000 PX_BID = 97.42300000</t>
  </si>
  <si>
    <t>DL input prc = 96.65550000  PX_ASK = 96.69700000 PX_BID = 96.61400000</t>
  </si>
  <si>
    <t>DL input prc = 99.56350000  PX_ASK = 99.57700000 PX_BID = 99.55000000</t>
  </si>
  <si>
    <t>DL input prc = 76.99050000  PX_ASK = 77.07300000 PX_BID = 76.90800000</t>
  </si>
  <si>
    <t>DL input prc = 76.81950000  PX_ASK = 76.89300000 PX_BID = 76.74600000</t>
  </si>
  <si>
    <t>DL input prc = 88.93900000  PX_ASK = 89.14300000 PX_BID = 88.73500000</t>
  </si>
  <si>
    <t>DL input prc = 75.97650000  PX_ASK = 76.02000000 PX_BID = 75.93300000</t>
  </si>
  <si>
    <t>DL input prc = 82.85450000  PX_ASK = 82.88400000 PX_BID = 82.82500000</t>
  </si>
  <si>
    <t>DL input prc = 98.69600000  PX_ASK = 98.70300000 PX_BID = 98.68900000</t>
  </si>
  <si>
    <t>DL input prc = 73.03050000  PX_ASK = 73.24300000 PX_BID = 72.81800000</t>
  </si>
  <si>
    <t>DL input prc = 98.54300000  PX_ASK = 98.54800000 PX_BID = 98.53800000</t>
  </si>
  <si>
    <t>DL input prc = 68.70400000  PX_ASK = 68.73500000 PX_BID = 68.67300000</t>
  </si>
  <si>
    <t>DL input prc = 98.18100000  PX_ASK = 98.18800000 PX_BID = 98.17400000</t>
  </si>
  <si>
    <t>DL input prc = 93.36100000  PX_ASK = 93.36800000 PX_BID = 93.35400000</t>
  </si>
  <si>
    <t>DL input prc = 89.42850000  PX_ASK = 89.43700000 PX_BID = 89.42000000</t>
  </si>
  <si>
    <t>DL input prc = 99.85500000  PX_ASK = 99.86000000 PX_BID = 99.85000000</t>
  </si>
  <si>
    <t>DL input prc = 92.51550000  PX_ASK = 92.52400000 PX_BID = 92.50700000</t>
  </si>
  <si>
    <t>DL input prc = 64.82150000  PX_ASK = 65.06800000 PX_BID = 64.57500000</t>
  </si>
  <si>
    <t>DL input prc = 63.04600000  PX_ASK = 63.07700000 PX_BID = 63.01500000</t>
  </si>
  <si>
    <t>DL input prc = 99.27450000  PX_ASK = 99.27800000 PX_BID = 99.27100000</t>
  </si>
  <si>
    <t>DL input prc = 91.61300000  PX_ASK = 91.62300000 PX_BID = 91.60300000</t>
  </si>
  <si>
    <t>DL input prc = 93.34100000  PX_ASK = 93.35100000 PX_BID = 93.33100000</t>
  </si>
  <si>
    <t>DL input prc = 97.61800000  PX_ASK = 97.62900000 PX_BID = 97.60700000</t>
  </si>
  <si>
    <t>DL input prc = 100.12050000  PX_ASK = 100.12500000 PX_BID = 100.11600000</t>
  </si>
  <si>
    <t>DL input prc = 95.47900000  PX_ASK = 95.48900000 PX_BID = 95.46900000</t>
  </si>
  <si>
    <t>DL input prc = 101.11500000  PX_ASK = 101.12000000 PX_BID = 101.11000000</t>
  </si>
  <si>
    <t>DL input prc = 100.65550000  PX_ASK = 100.66800000 PX_BID = 100.64300000</t>
  </si>
  <si>
    <t>DL input prc = 78.85650000  PX_ASK = 78.88900000 PX_BID = 78.82400000</t>
  </si>
  <si>
    <t>DL input prc = 96.46550000  PX_ASK = 96.47500000 PX_BID = 96.45600000</t>
  </si>
  <si>
    <t>DL input prc = 100.77950000  PX_ASK = 100.78500000 PX_BID = 100.77400000</t>
  </si>
  <si>
    <t>DL input prc = 99.23050000  PX_ASK = 99.24300000 PX_BID = 99.21800000</t>
  </si>
  <si>
    <t>DL input prc = 102.65600000  PX_ASK = 102.66200000 PX_BID = 102.65000000</t>
  </si>
  <si>
    <t>DL input prc = 97.21550000  PX_ASK = 97.22800000 PX_BID = 97.20300000</t>
  </si>
  <si>
    <t>DL input prc = 100.81300000  PX_ASK = 100.83500000 PX_BID = 100.79100000</t>
  </si>
  <si>
    <t>DL input prc = 101.47300000  PX_ASK = 101.48000000 PX_BID = 101.46600000</t>
  </si>
  <si>
    <t>DL input prc = 100.04850000  PX_ASK = 100.05100000 PX_BID = 100.04600000</t>
  </si>
  <si>
    <t>DL input prc = 98.63550000  PX_ASK = 98.64800000 PX_BID = 98.62300000</t>
  </si>
  <si>
    <t>DL input prc = 100.24000000  PX_ASK = 100.24300000 PX_BID = 100.23700000</t>
  </si>
  <si>
    <t>DL input prc = 98.91950000  PX_ASK = 98.92700000 PX_BID = 98.91200000</t>
  </si>
  <si>
    <t>DL input prc = 100.30550000  PX_ASK = 100.30800000 PX_BID = 100.30300000</t>
  </si>
  <si>
    <t>DL input prc = 98.27800000  PX_ASK = 98.29200000 PX_BID = 98.26400000</t>
  </si>
  <si>
    <t>DL input prc = 91.55650000  PX_ASK = 91.59000000 PX_BID = 91.52300000</t>
  </si>
  <si>
    <t>DL input prc = 100.18100000  PX_ASK = 100.18500000 PX_BID = 100.17700000</t>
  </si>
  <si>
    <t>DL input prc = 98.88250000  PX_ASK = 98.89800000 PX_BID = 98.86700000</t>
  </si>
  <si>
    <t>DL input prc = 98.59500000  PX_ASK = 98.60400000 PX_BID = 98.58600000</t>
  </si>
  <si>
    <t>DL input prc = 99.88150000  PX_ASK = 99.88600000 PX_BID = 99.87700000</t>
  </si>
  <si>
    <t>DL input prc = 97.87700000  PX_ASK = 97.89200000 PX_BID = 97.86200000</t>
  </si>
  <si>
    <t>DL input prc = 99.74750000  PX_ASK = 99.75200000 PX_BID = 99.74300000</t>
  </si>
  <si>
    <t>DL input prc = 98.27300000  PX_ASK = 98.28100000 PX_BID = 98.26500000</t>
  </si>
  <si>
    <t>DL input prc = 91.70850000  PX_ASK = 91.74700000 PX_BID = 91.67000000</t>
  </si>
  <si>
    <t>DL input prc = 99.23150000  PX_ASK = 99.23500000 PX_BID = 99.22800000</t>
  </si>
  <si>
    <t>DL input prc = 97.48650000  PX_ASK = 97.50000000 PX_BID = 97.47300000</t>
  </si>
  <si>
    <t>DL input prc = 97.76650000  PX_ASK = 97.78900000 PX_BID = 97.74400000</t>
  </si>
  <si>
    <t>DL input prc = 99.45100000  PX_ASK = 99.45500000 PX_BID = 99.44700000</t>
  </si>
  <si>
    <t>DL input prc = 99.09450000  PX_ASK = 99.10400000 PX_BID = 99.08500000</t>
  </si>
  <si>
    <t>DL input prc = 99.77500000  PX_ASK = 99.78000000 PX_BID = 99.77000000</t>
  </si>
  <si>
    <t>DL input prc = 104.61250000  PX_ASK = 104.63100000 PX_BID = 104.59400000</t>
  </si>
  <si>
    <t>DL input prc = 107.67800000  PX_ASK = 107.69300000 PX_BID = 107.66300000</t>
  </si>
  <si>
    <t>DL input prc = 114.98800000  PX_ASK = 115.12700000 PX_BID = 114.84900000</t>
  </si>
  <si>
    <t>DL input prc = 114.74350000  PX_ASK = 114.76600000 PX_BID = 114.72100000</t>
  </si>
  <si>
    <t>DL input prc = 115.46250000  PX_ASK = 115.69500000 PX_BID = 115.23000000</t>
  </si>
  <si>
    <t>DL input prc = 112.39250000  PX_ASK = 112.41200000 PX_BID = 112.37300000</t>
  </si>
  <si>
    <t>DL input prc = 103.95400000  PX_ASK = 104.15100000 PX_BID = 103.75700000</t>
  </si>
  <si>
    <t>DL input prc = 102.82900000  PX_ASK = 102.85800000 PX_BID = 102.80000000</t>
  </si>
  <si>
    <t>DL input prc = 95.21700000  PX_ASK = 95.41600000 PX_BID = 95.01800000</t>
  </si>
  <si>
    <t>DL input prc = 95.35750000  PX_ASK = 95.38800000 PX_BID = 95.32700000</t>
  </si>
  <si>
    <t>DL input prc = 99.93300000  PX_ASK = 99.93400000 PX_BID = 99.93200000</t>
  </si>
  <si>
    <t>DL input prc = 99.79900000  PX_ASK = 99.80400000 PX_BID = 99.79400000</t>
  </si>
  <si>
    <t>DL input prc = 99.26800000  PX_ASK = 99.27500000 PX_BID = 99.26100000</t>
  </si>
  <si>
    <t>DL input prc = 99.74850000  PX_ASK = 99.75500000 PX_BID = 99.74200000</t>
  </si>
  <si>
    <t>DL input prc = 99.32450000  PX_ASK = 99.33200000 PX_BID = 99.31700000</t>
  </si>
  <si>
    <t>DL input prc = 97.17350000  PX_ASK = 97.18300000 PX_BID = 97.16400000</t>
  </si>
  <si>
    <t>DL input prc = 94.88550000  PX_ASK = 94.89700000 PX_BID = 94.87400000</t>
  </si>
  <si>
    <t>DL input prc = 90.84450000  PX_ASK = 90.85800000 PX_BID = 90.83100000</t>
  </si>
  <si>
    <t>DL input prc = 92.13150000  PX_ASK = 92.14600000 PX_BID = 92.11700000</t>
  </si>
  <si>
    <t>DL input prc = 94.27350000  PX_ASK = 94.28700000 PX_BID = 94.26000000</t>
  </si>
  <si>
    <t>DL input prc = 91.59350000  PX_ASK = 91.60900000 PX_BID = 91.57800000</t>
  </si>
  <si>
    <t>DL input prc = 99.51200000  PX_ASK = 99.51700000 PX_BID = 99.50700000</t>
  </si>
  <si>
    <t>DL input prc = 94.29150000  PX_ASK = 94.30700000 PX_BID = 94.27600000</t>
  </si>
  <si>
    <t>DL input prc = 99.69100000  PX_ASK = 99.69400000 PX_BID = 99.68800000</t>
  </si>
  <si>
    <t>DL input prc = 95.77400000  PX_ASK = 95.79000000 PX_BID = 95.75800000</t>
  </si>
  <si>
    <t>DL input prc = 100.86350000  PX_ASK = 100.87600000 PX_BID = 100.85100000</t>
  </si>
  <si>
    <t>DL input prc = 101.07850000  PX_ASK = 101.08400000 PX_BID = 101.07300000</t>
  </si>
  <si>
    <t>DL input prc = 101.17100000  PX_ASK = 101.17800000 PX_BID = 101.16400000</t>
  </si>
  <si>
    <t>DL input prc = 101.08100000  PX_ASK = 101.10000000 PX_BID = 101.06200000</t>
  </si>
  <si>
    <t>DL input prc = 100.43050000  PX_ASK = 100.43700000 PX_BID = 100.42400000</t>
  </si>
  <si>
    <t>DL input prc = 101.99000000  PX_ASK = 101.99700000 PX_BID = 101.98300000</t>
  </si>
  <si>
    <t>DL input prc = 99.69800000  PX_ASK = 99.71100000 PX_BID = 99.68500000</t>
  </si>
  <si>
    <t>DL input prc = 100.27500000  PX_ASK = 100.29300000 PX_BID = 100.25700000</t>
  </si>
  <si>
    <t>DL input prc = 102.97900000  PX_ASK = 103.03800000 PX_BID = 102.92000000</t>
  </si>
  <si>
    <t>DL input prc = 102.55500000  PX_ASK = 102.60600000 PX_BID = 102.50400000</t>
  </si>
  <si>
    <t>DL input prc = 105.51150000  PX_ASK = 105.54700000 PX_BID = 105.47600000</t>
  </si>
  <si>
    <t>DL input prc = 74.06300000  PX_ASK = 74.11000000 PX_BID = 74.01600000</t>
  </si>
  <si>
    <t>DL input prc = 100.03000000  PX_ASK = 100.04900000 PX_BID = 100.01100000</t>
  </si>
  <si>
    <t>DL input prc = 98.06000000  PX_ASK = 98.08600000 PX_BID = 98.03400000</t>
  </si>
  <si>
    <t>DL input prc = 98.04800000  PX_ASK = 98.08100000 PX_BID = 98.01500000</t>
  </si>
  <si>
    <t>DL input prc = 100.04550000  PX_ASK = 100.05700000 PX_BID = 100.03400000</t>
  </si>
  <si>
    <t>DL input prc = 99.03950000  PX_ASK = 99.08600000 PX_BID = 98.99300000</t>
  </si>
  <si>
    <t>DL input prc = 70.27800000  PX_ASK = 70.32900000 PX_BID = 70.22700000</t>
  </si>
  <si>
    <t>DL input prc = 95.81750000  PX_ASK = 95.83500000 PX_BID = 95.80000000</t>
  </si>
  <si>
    <t>DL input prc = 58.70200000  PX_ASK = 58.74700000 PX_BID = 58.65700000</t>
  </si>
  <si>
    <t>DL input prc = 94.49450000  PX_ASK = 94.57200000 PX_BID = 94.41700000</t>
  </si>
  <si>
    <t>DL input prc = 101.60600000  PX_ASK = 101.70000000 PX_BID = 101.51200000</t>
  </si>
  <si>
    <t>DL input prc = 85.14450000  PX_ASK = 85.20600000 PX_BID = 85.08300000</t>
  </si>
  <si>
    <t>DL input prc = 100.46600000  PX_ASK = 100.57100000 PX_BID = 100.36100000</t>
  </si>
  <si>
    <t>DL input prc = 100.95750000  PX_ASK = 100.99900000 PX_BID = 100.91600000</t>
  </si>
  <si>
    <t>DL input prc = 98.23250000  PX_ASK = 98.28900000 PX_BID = 98.17600000</t>
  </si>
  <si>
    <t>DL input prc = 89.31400000  PX_ASK = 89.32900000 PX_BID = 89.29900000</t>
  </si>
  <si>
    <t>DL input prc = 42.15700000  PX_ASK = 42.18000000 PX_BID = 42.13400000</t>
  </si>
  <si>
    <t>DL input prc = 86.60850000  PX_ASK = 86.62600000 PX_BID = 86.59100000</t>
  </si>
  <si>
    <t>DL input prc = 98.33650000  PX_ASK = 98.36100000 PX_BID = 98.31200000</t>
  </si>
  <si>
    <t>DL input prc = 68.52200000  PX_ASK = 68.54700000 PX_BID = 68.49700000</t>
  </si>
  <si>
    <t>DL input prc = 84.58750000  PX_ASK = 84.61000000 PX_BID = 84.56500000</t>
  </si>
  <si>
    <t>DL input prc = 99.85600000  PX_ASK = 99.87400000 PX_BID = 99.83800000</t>
  </si>
  <si>
    <t>DL input prc = 98.75000000  PX_ASK = 98.76600000 PX_BID = 98.73400000</t>
  </si>
  <si>
    <t>DL input prc = 97.73550000  PX_ASK = 97.75200000 PX_BID = 97.71900000</t>
  </si>
  <si>
    <t>DL input prc = 64.20700000  PX_ASK = 64.23000000 PX_BID = 64.18400000</t>
  </si>
  <si>
    <t>DL input prc = 96.59450000  PX_ASK = 96.60700000 PX_BID = 96.58200000</t>
  </si>
  <si>
    <t>DL input prc = 95.04950000  PX_ASK = 95.06200000 PX_BID = 95.03700000</t>
  </si>
  <si>
    <t>DL input prc = 93.85250000  PX_ASK = 93.86600000 PX_BID = 93.83900000</t>
  </si>
  <si>
    <t>DL input prc = 91.92250000  PX_ASK = 91.93300000 PX_BID = 91.91200000</t>
  </si>
  <si>
    <t>DL input prc = 42.02350000  PX_ASK = 42.04500000 PX_BID = 42.00200000</t>
  </si>
  <si>
    <t>DL input prc = 90.56400000  PX_ASK = 90.57600000 PX_BID = 90.55200000</t>
  </si>
  <si>
    <t>DL input prc = 89.29500000  PX_ASK = 89.30600000 PX_BID = 89.28400000</t>
  </si>
  <si>
    <t>DL input prc = 76.33900000  PX_ASK = 76.35300000 PX_BID = 76.32500000</t>
  </si>
  <si>
    <t>DL input prc = 96.55500000  PX_ASK = 96.56800000 PX_BID = 96.54200000</t>
  </si>
  <si>
    <t>DL input prc = 87.95950000  PX_ASK = 87.96900000 PX_BID = 87.95000000</t>
  </si>
  <si>
    <t>DL input prc = 73.57950000  PX_ASK = 73.60100000 PX_BID = 73.55800000</t>
  </si>
  <si>
    <t>DL input prc = 93.89450000  PX_ASK = 93.90500000 PX_BID = 93.88400000</t>
  </si>
  <si>
    <t>DL input prc = 86.59100000  PX_ASK = 86.60200000 PX_BID = 86.58000000</t>
  </si>
  <si>
    <t>DL input prc = 39.10100000  PX_ASK = 39.12300000 PX_BID = 39.07900000</t>
  </si>
  <si>
    <t>DL input prc = 85.23350000  PX_ASK = 85.24300000 PX_BID = 85.22400000</t>
  </si>
  <si>
    <t>DL input prc = 77.64150000  PX_ASK = 77.65900000 PX_BID = 77.62400000</t>
  </si>
  <si>
    <t>DL input prc = 93.26950000  PX_ASK = 93.28000000 PX_BID = 93.25900000</t>
  </si>
  <si>
    <t>DL input prc = 68.31150000  PX_ASK = 68.33000000 PX_BID = 68.29300000</t>
  </si>
  <si>
    <t>DL input prc = 97.72750000  PX_ASK = 97.73800000 PX_BID = 97.71700000</t>
  </si>
  <si>
    <t>DL input prc = 103.55800000  PX_ASK = 103.58400000 PX_BID = 103.53200000</t>
  </si>
  <si>
    <t>DL input prc = 104.03800000  PX_ASK = 104.06500000 PX_BID = 104.01100000</t>
  </si>
  <si>
    <t>DL input prc = 103.72500000  PX_ASK = 103.75400000 PX_BID = 103.69600000</t>
  </si>
  <si>
    <t>DL input prc = 111.09700000  PX_ASK = 111.12400000 PX_BID = 111.07000000</t>
  </si>
  <si>
    <t>DL input prc = 110.85350000  PX_ASK = 110.88000000 PX_BID = 110.82700000</t>
  </si>
  <si>
    <t>DL input prc = 112.05150000  PX_ASK = 112.07800000 PX_BID = 112.02500000</t>
  </si>
  <si>
    <t>DL input prc = 107.11150000  PX_ASK = 107.12800000 PX_BID = 107.09500000</t>
  </si>
  <si>
    <t>DL input prc = 109.40850000  PX_ASK = 109.42500000 PX_BID = 109.39200000</t>
  </si>
  <si>
    <t>DL input prc = 114.85150000  PX_ASK = 114.87300000 PX_BID = 114.83000000</t>
  </si>
  <si>
    <t>DL input prc = 97.05800000  PX_ASK = 97.07800000 PX_BID = 97.03800000</t>
  </si>
  <si>
    <t>DL input prc = 86.18350000  PX_ASK = 86.20400000 PX_BID = 86.16300000</t>
  </si>
  <si>
    <t>DL input prc = 99.50200000  PX_ASK = 99.51600000 PX_BID = 99.48800000</t>
  </si>
  <si>
    <t>DL input prc = 98.14800000  PX_ASK = 98.16700000 PX_BID = 98.12900000</t>
  </si>
  <si>
    <t>DL input prc = 98.31550000  PX_ASK = 98.33800000 PX_BID = 98.29300000</t>
  </si>
  <si>
    <t>DL input prc = 78.24750000  PX_ASK = 78.52800000 PX_BID = 77.96700000</t>
  </si>
  <si>
    <t>DL input prc = 100.05500000  PX_ASK = 100.06600000 PX_BID = 100.04400000</t>
  </si>
  <si>
    <t>DL input prc = 99.83000000  PX_ASK = 99.84700000 PX_BID = 99.81300000</t>
  </si>
  <si>
    <t>DL input prc = 99.76550000  PX_ASK = 99.78000000 PX_BID = 99.75100000</t>
  </si>
  <si>
    <t>DL input prc = 99.18100000  PX_ASK = 99.19800000 PX_BID = 99.16400000</t>
  </si>
  <si>
    <t>DL input prc = 99.08600000  PX_ASK = 99.09900000 PX_BID = 99.07300000</t>
  </si>
  <si>
    <t>DL input prc = 98.97100000  PX_ASK = 98.98300000 PX_BID = 98.95900000</t>
  </si>
  <si>
    <t>DL input prc = 98.91050000  PX_ASK = 98.91800000 PX_BID = 98.90300000</t>
  </si>
  <si>
    <t>DL input prc = 99.45350000  PX_ASK = 99.46000000 PX_BID = 99.44700000</t>
  </si>
  <si>
    <t>DE000BU22148</t>
  </si>
  <si>
    <t>DL input prc = 99.78350000  PX_ASK = 99.79200000 PX_BID = 99.77500000</t>
  </si>
  <si>
    <t>DL input prc = 99.04150000  PX_ASK = 99.05400000 PX_BID = 99.02900000</t>
  </si>
  <si>
    <t>DL input prc = 99.15300000  PX_ASK = 99.16400000 PX_BID = 99.14200000</t>
  </si>
  <si>
    <t>DL input prc = 98.17550000  PX_ASK = 98.18700000 PX_BID = 98.16400000</t>
  </si>
  <si>
    <t>DL input prc = 99.02300000  PX_ASK = 99.03200000 PX_BID = 99.01400000</t>
  </si>
  <si>
    <t>DL input prc = 98.44200000  PX_ASK = 98.45200000 PX_BID = 98.43200000</t>
  </si>
  <si>
    <t>DL input prc = 97.38900000  PX_ASK = 97.39700000 PX_BID = 97.38100000</t>
  </si>
  <si>
    <t>DL input prc = 98.27700000  PX_ASK = 98.28300000 PX_BID = 98.27100000</t>
  </si>
  <si>
    <t>DL input prc = 98.11250000  PX_ASK = 98.12300000 PX_BID = 98.10200000</t>
  </si>
  <si>
    <t>DL input prc = 97.37150000  PX_ASK = 97.38000000 PX_BID = 97.36300000</t>
  </si>
  <si>
    <t>DL input prc = 79.85150000  PX_ASK = 79.86200000 PX_BID = 79.84100000</t>
  </si>
  <si>
    <t>DL input prc = 86.22500000  PX_ASK = 86.23500000 PX_BID = 86.21500000</t>
  </si>
  <si>
    <t>DL input prc = 90.14200000  PX_ASK = 90.15700000 PX_BID = 90.12700000</t>
  </si>
  <si>
    <t>DL input prc = 97.09300000  PX_ASK = 97.11200000 PX_BID = 97.07400000</t>
  </si>
  <si>
    <t>DL input prc = 95.99700000  PX_ASK = 96.00900000 PX_BID = 95.98500000</t>
  </si>
  <si>
    <t>DL input prc = 97.44250000  PX_ASK = 97.45100000 PX_BID = 97.43400000</t>
  </si>
  <si>
    <t>DL input prc = 94.40950000  PX_ASK = 94.42100000 PX_BID = 94.39800000</t>
  </si>
  <si>
    <t>DL input prc = 96.74400000  PX_ASK = 96.75500000 PX_BID = 96.73300000</t>
  </si>
  <si>
    <t>DL input prc = 95.65150000  PX_ASK = 95.66200000 PX_BID = 95.64100000</t>
  </si>
  <si>
    <t>DL input prc = 96.01300000  PX_ASK = 96.02100000 PX_BID = 96.00500000</t>
  </si>
  <si>
    <t>DL input prc = 98.07200000  PX_ASK = 98.08100000 PX_BID = 98.06300000</t>
  </si>
  <si>
    <t>DL input prc = 98.61350000  PX_ASK = 98.62400000 PX_BID = 98.60300000</t>
  </si>
  <si>
    <t>DL input prc = 98.19950000  PX_ASK = 98.21300000 PX_BID = 98.18600000</t>
  </si>
  <si>
    <t>DL input prc = 90.25800000  PX_ASK = 90.28900000 PX_BID = 90.22700000</t>
  </si>
  <si>
    <t>DL input prc = 96.00150000  PX_ASK = 96.02500000 PX_BID = 95.97800000</t>
  </si>
  <si>
    <t>DL input prc = 95.67350000  PX_ASK = 95.69400000 PX_BID = 95.65300000</t>
  </si>
  <si>
    <t>DL input prc = 107.52650000  PX_ASK = 107.53300000 PX_BID = 107.52000000</t>
  </si>
  <si>
    <t>DL input prc = 110.99150000  PX_ASK = 111.00800000 PX_BID = 110.97500000</t>
  </si>
  <si>
    <t>DL input prc = 108.68800000  PX_ASK = 108.70700000 PX_BID = 108.66900000</t>
  </si>
  <si>
    <t>DL input prc = 100.06700000  PX_ASK = 100.07900000 PX_BID = 100.05500000</t>
  </si>
  <si>
    <t>DL input prc = 113.94900000  PX_ASK = 113.95700000 PX_BID = 113.94100000</t>
  </si>
  <si>
    <t>DL input prc = 104.95600000  PX_ASK = 104.96400000 PX_BID = 104.94800000</t>
  </si>
  <si>
    <t>DL input prc = 114.20750000  PX_ASK = 114.22700000 PX_BID = 114.18800000</t>
  </si>
  <si>
    <t>DL input prc = 96.12650000  PX_ASK = 96.13300000 PX_BID = 96.12000000</t>
  </si>
  <si>
    <t>DL input prc = 83.57600000  PX_ASK = 83.59400000 PX_BID = 83.55800000</t>
  </si>
  <si>
    <t>DL input prc = 84.01050000  PX_ASK = 84.12600000 PX_BID = 83.89500000</t>
  </si>
  <si>
    <t>DL input prc = 99.67950000  PX_ASK = 99.69000000 PX_BID = 99.66900000</t>
  </si>
  <si>
    <t>DL input prc = 99.11950000  PX_ASK = 99.12800000 PX_BID = 99.11100000</t>
  </si>
  <si>
    <t>DL input prc = 94.12950000  PX_ASK = 94.13700000 PX_BID = 94.12200000</t>
  </si>
  <si>
    <t>DL input prc = 104.79450000  PX_ASK = 104.80800000 PX_BID = 104.78100000</t>
  </si>
  <si>
    <t>DL input prc = 98.36050000  PX_ASK = 98.36900000 PX_BID = 98.35200000</t>
  </si>
  <si>
    <t>DL input prc = 97.56350000  PX_ASK = 97.57200000 PX_BID = 97.55500000</t>
  </si>
  <si>
    <t>DL input prc = 79.16200000  PX_ASK = 79.18000000 PX_BID = 79.14400000</t>
  </si>
  <si>
    <t>DL input prc = 97.21950000  PX_ASK = 97.22700000 PX_BID = 97.21200000</t>
  </si>
  <si>
    <t>DL input prc = 96.22500000  PX_ASK = 96.23300000 PX_BID = 96.21700000</t>
  </si>
  <si>
    <t>DL input prc = 87.49600000  PX_ASK = 87.50400000 PX_BID = 87.48800000</t>
  </si>
  <si>
    <t>DL input prc = 92.80400000  PX_ASK = 92.81100000 PX_BID = 92.79700000</t>
  </si>
  <si>
    <t>DL input prc = 91.29950000  PX_ASK = 91.30600000 PX_BID = 91.29300000</t>
  </si>
  <si>
    <t>DL input prc = 51.83750000  PX_ASK = 51.85600000 PX_BID = 51.81900000</t>
  </si>
  <si>
    <t>DL input prc = 98.07850000  PX_ASK = 98.08700000 PX_BID = 98.07000000</t>
  </si>
  <si>
    <t>DL input prc = 93.01800000  PX_ASK = 93.02500000 PX_BID = 93.01100000</t>
  </si>
  <si>
    <t>DL input prc = 70.76600000  PX_ASK = 70.78100000 PX_BID = 70.75100000</t>
  </si>
  <si>
    <t>DL input prc = 87.03600000  PX_ASK = 87.04200000 PX_BID = 87.03000000</t>
  </si>
  <si>
    <t>DL input prc = 44.60950000  PX_ASK = 44.70600000 PX_BID = 44.51300000</t>
  </si>
  <si>
    <t>DL input prc = 95.89400000  PX_ASK = 95.90200000 PX_BID = 95.88600000</t>
  </si>
  <si>
    <t>DL input prc = 74.45300000  PX_ASK = 74.46600000 PX_BID = 74.44000000</t>
  </si>
  <si>
    <t>DL input prc = 87.47950000  PX_ASK = 87.48700000 PX_BID = 87.47200000</t>
  </si>
  <si>
    <t>DL input prc = 64.99700000  PX_ASK = 65.01300000 PX_BID = 64.98100000</t>
  </si>
  <si>
    <t>DL input prc = 98.66400000  PX_ASK = 98.67400000 PX_BID = 98.65400000</t>
  </si>
  <si>
    <t>DL input prc = 87.15650000  PX_ASK = 87.16300000 PX_BID = 87.15000000</t>
  </si>
  <si>
    <t>DL input prc = 63.41700000  PX_ASK = 63.43600000 PX_BID = 63.39800000</t>
  </si>
  <si>
    <t>DL input prc = 93.89150000  PX_ASK = 93.89800000 PX_BID = 93.88500000</t>
  </si>
  <si>
    <t>DL input prc = 96.23800000  PX_ASK = 96.24600000 PX_BID = 96.23000000</t>
  </si>
  <si>
    <t>DL input prc = 92.84250000  PX_ASK = 92.85900000 PX_BID = 92.82600000</t>
  </si>
  <si>
    <t>DL input prc = 99.19100000  PX_ASK = 99.19800000 PX_BID = 99.18400000</t>
  </si>
  <si>
    <t>DL input prc = 100.66650000  PX_ASK = 100.68100000 PX_BID = 100.65200000</t>
  </si>
  <si>
    <t>DL input prc = 101.33650000  PX_ASK = 101.34300000 PX_BID = 101.33000000</t>
  </si>
  <si>
    <t>DL input prc = 101.56550000  PX_ASK = 101.57200000 PX_BID = 101.55900000</t>
  </si>
  <si>
    <t>DL input prc = 99.79400000  PX_ASK = 99.80500000 PX_BID = 99.78300000</t>
  </si>
  <si>
    <t>DL input prc = 99.00900000  PX_ASK = 99.01600000 PX_BID = 99.00200000</t>
  </si>
  <si>
    <t>DL input prc = 95.75650000  PX_ASK = 95.77900000 PX_BID = 95.73400000</t>
  </si>
  <si>
    <t>DL input prc = 100.07450000  PX_ASK = 100.08200000 PX_BID = 100.06700000</t>
  </si>
  <si>
    <t>DL input prc = 100.00500000  PX_ASK = 100.01200000 PX_BID = 99.99800000</t>
  </si>
  <si>
    <t>DL input prc = 99.05450000  PX_ASK = 99.06100000 PX_BID = 99.04800000</t>
  </si>
  <si>
    <t>DL input prc = 99.20500000  PX_ASK = 99.21300000 PX_BID = 99.19700000</t>
  </si>
  <si>
    <t>DL input prc = 97.50700000  PX_ASK = 97.51400000 PX_BID = 97.50000000</t>
  </si>
  <si>
    <t>DL input prc = 95.17850000  PX_ASK = 95.19500000 PX_BID = 95.16200000</t>
  </si>
  <si>
    <t>DL input prc = 97.44150000  PX_ASK = 97.44900000 PX_BID = 97.43400000</t>
  </si>
  <si>
    <t>DL input prc = 98.42650000  PX_ASK = 98.43500000 PX_BID = 98.41800000</t>
  </si>
  <si>
    <t>DL input prc = 98.48700000  PX_ASK = 98.49600000 PX_BID = 98.47800000</t>
  </si>
  <si>
    <t>DL input prc = 97.76900000  PX_ASK = 97.77700000 PX_BID = 97.76100000</t>
  </si>
  <si>
    <t>DL input prc = 97.81550000  PX_ASK = 97.82300000 PX_BID = 97.80800000</t>
  </si>
  <si>
    <t>DL input prc = 94.06250000  PX_ASK = 94.08400000 PX_BID = 94.04100000</t>
  </si>
  <si>
    <t>DL input prc = 98.11550000  PX_ASK = 98.12300000 PX_BID = 98.10800000</t>
  </si>
  <si>
    <t>DL input prc = 100.99400000  PX_ASK = 101.09800000 PX_BID = 100.89000000</t>
  </si>
  <si>
    <t>DL input prc = 72.35700000  PX_ASK = 72.40900000 PX_BID = 72.30500000</t>
  </si>
  <si>
    <t>DL input prc = 99.30100000  PX_ASK = 99.33100000 PX_BID = 99.27100000</t>
  </si>
  <si>
    <t>DL input prc = 96.47200000  PX_ASK = 96.53700000 PX_BID = 96.40700000</t>
  </si>
  <si>
    <t>DL input prc = 100.06350000  PX_ASK = 100.07100000 PX_BID = 100.05600000</t>
  </si>
  <si>
    <t>DL input prc = 88.35800000  PX_ASK = 88.39100000 PX_BID = 88.32500000</t>
  </si>
  <si>
    <t>DL input prc = 67.38550000  PX_ASK = 67.47400000 PX_BID = 67.29700000</t>
  </si>
  <si>
    <t>DL input prc = 78.74250000  PX_ASK = 78.84800000 PX_BID = 78.63700000</t>
  </si>
  <si>
    <t>DL input prc = 99.10550000  PX_ASK = 99.11800000 PX_BID = 99.09300000</t>
  </si>
  <si>
    <t>DL input prc = 72.87700000  PX_ASK = 73.00200000 PX_BID = 72.75200000</t>
  </si>
  <si>
    <t>DL input prc = 92.78450000  PX_ASK = 92.88400000 PX_BID = 92.68500000</t>
  </si>
  <si>
    <t>DL input prc = 97.21900000  PX_ASK = 97.25600000 PX_BID = 97.18200000</t>
  </si>
  <si>
    <t>DL input prc = 80.47650000  PX_ASK = 80.59800000 PX_BID = 80.35500000</t>
  </si>
  <si>
    <t>DL input prc = 99.57850000  PX_ASK = 99.65900000 PX_BID = 99.49800000</t>
  </si>
  <si>
    <t>DL input prc = 100.42850000  PX_ASK = 100.44300000 PX_BID = 100.41400000</t>
  </si>
  <si>
    <t>DL input prc = 97.26450000  PX_ASK = 97.29400000 PX_BID = 97.23500000</t>
  </si>
  <si>
    <t>DL input prc = 86.16650000  PX_ASK = 86.25500000 PX_BID = 86.07800000</t>
  </si>
  <si>
    <t>DL input prc = 100.06950000  PX_ASK = 100.08200000 PX_BID = 100.05700000</t>
  </si>
  <si>
    <t>DL input prc = 85.90950000  PX_ASK = 86.00300000 PX_BID = 85.81600000</t>
  </si>
  <si>
    <t>DL input prc = 95.68350000  PX_ASK = 95.70500000 PX_BID = 95.66200000</t>
  </si>
  <si>
    <t>DL input prc = 86.00000000  PX_ASK = 86.02900000 PX_BID = 85.97100000</t>
  </si>
  <si>
    <t>DL input prc = 61.19400000  PX_ASK = 61.27000000 PX_BID = 61.11800000</t>
  </si>
  <si>
    <t>DL input prc = 47.16800000  PX_ASK = 47.27400000 PX_BID = 47.06200000</t>
  </si>
  <si>
    <t>DL input prc = 93.87150000  PX_ASK = 93.88800000 PX_BID = 93.85500000</t>
  </si>
  <si>
    <t>DL input prc = 99.65700000  PX_ASK = 99.67600000 PX_BID = 99.63800000</t>
  </si>
  <si>
    <t>DL input prc = 96.85700000  PX_ASK = 96.87900000 PX_BID = 96.83500000</t>
  </si>
  <si>
    <t>DL input prc = 100.24550000  PX_ASK = 100.26500000 PX_BID = 100.22600000</t>
  </si>
  <si>
    <t>DL input prc = 95.44600000  PX_ASK = 95.50500000 PX_BID = 95.38700000</t>
  </si>
  <si>
    <t>DL input prc = 99.18750000  PX_ASK = 99.22200000 PX_BID = 99.15300000</t>
  </si>
  <si>
    <t>DL input prc = 95.64950000  PX_ASK = 95.73600000 PX_BID = 95.56300000</t>
  </si>
  <si>
    <t>DL input prc = 95.21350000  PX_ASK = 95.23000000 PX_BID = 95.19700000</t>
  </si>
  <si>
    <t>DL input prc = 72.75650000  PX_ASK = 72.78100000 PX_BID = 72.73200000</t>
  </si>
  <si>
    <t>DL input prc = 92.04450000  PX_ASK = 92.09600000 PX_BID = 91.99300000</t>
  </si>
  <si>
    <t>DL input prc = 105.91500000  PX_ASK = 105.94800000 PX_BID = 105.88200000</t>
  </si>
  <si>
    <t>DL input prc = 112.77650000  PX_ASK = 112.79400000 PX_BID = 112.75900000</t>
  </si>
  <si>
    <t>DL input prc = 111.32450000  PX_ASK = 111.35700000 PX_BID = 111.29200000</t>
  </si>
  <si>
    <t>DL input prc = 106.46850000  PX_ASK = 106.48300000 PX_BID = 106.45400000</t>
  </si>
  <si>
    <t>DL input prc = 107.21100000  PX_ASK = 107.23000000 PX_BID = 107.19200000</t>
  </si>
  <si>
    <t>DL input prc = 89.42200000  PX_ASK = 89.45700000 PX_BID = 89.38700000</t>
  </si>
  <si>
    <t>DL input prc = 99.06750000  PX_ASK = 99.09200000 PX_BID = 99.04300000</t>
  </si>
  <si>
    <t>DL input prc = 97.76800000  PX_ASK = 97.83400000 PX_BID = 97.70200000</t>
  </si>
  <si>
    <t>DL input prc = 102.77400000  PX_ASK = 102.79900000 PX_BID = 102.74900000</t>
  </si>
  <si>
    <t>DL input prc = 87.76900000  PX_ASK = 87.81900000 PX_BID = 87.71900000</t>
  </si>
  <si>
    <t>DL input prc = 101.69650000  PX_ASK = 101.71400000 PX_BID = 101.67900000</t>
  </si>
  <si>
    <t>DL input prc = 99.86250000  PX_ASK = 99.87500000 PX_BID = 99.85000000</t>
  </si>
  <si>
    <t>DL input prc = 85.17900000  PX_ASK = 85.20600000 PX_BID = 85.15200000</t>
  </si>
  <si>
    <t>DL input prc = 97.71400000  PX_ASK = 97.72400000 PX_BID = 97.70400000</t>
  </si>
  <si>
    <t>DL input prc = 92.19300000  PX_ASK = 92.20600000 PX_BID = 92.18000000</t>
  </si>
  <si>
    <t>DL input prc = 47.97600000  PX_ASK = 48.02500000 PX_BID = 47.92700000</t>
  </si>
  <si>
    <t>DL input prc = 78.55500000  PX_ASK = 78.58000000 PX_BID = 78.53000000</t>
  </si>
  <si>
    <t>DL input prc = 26.33700000  PX_ASK = 26.53800000 PX_BID = 26.13600000</t>
  </si>
  <si>
    <t>DL input prc = 99.23500000  PX_ASK = 99.24900000 PX_BID = 99.22100000</t>
  </si>
  <si>
    <t>DL input prc = 64.32950000  PX_ASK = 64.40000000 PX_BID = 64.25900000</t>
  </si>
  <si>
    <t>DL input prc = 76.32350000  PX_ASK = 76.35000000 PX_BID = 76.29700000</t>
  </si>
  <si>
    <t>DL input prc = 97.57150000  PX_ASK = 97.60400000 PX_BID = 97.53900000</t>
  </si>
  <si>
    <t>DL input prc = 98.57000000  PX_ASK = 98.58400000 PX_BID = 98.55600000</t>
  </si>
  <si>
    <t>DL input prc = 65.18750000  PX_ASK = 65.21500000 PX_BID = 65.16000000</t>
  </si>
  <si>
    <t>DL input prc = 96.13450000  PX_ASK = 96.14500000 PX_BID = 96.12400000</t>
  </si>
  <si>
    <t>DL input prc = 83.65950000  PX_ASK = 83.67200000 PX_BID = 83.64700000</t>
  </si>
  <si>
    <t>DL input prc = 95.01050000  PX_ASK = 95.02000000 PX_BID = 95.00100000</t>
  </si>
  <si>
    <t>DL input prc = 55.76100000  PX_ASK = 55.78800000 PX_BID = 55.73400000</t>
  </si>
  <si>
    <t>DL input prc = 93.20800000  PX_ASK = 93.21900000 PX_BID = 93.19700000</t>
  </si>
  <si>
    <t>DL input prc = 90.33900000  PX_ASK = 90.35000000 PX_BID = 90.32800000</t>
  </si>
  <si>
    <t>DL input prc = 42.27900000  PX_ASK = 42.31500000 PX_BID = 42.24300000</t>
  </si>
  <si>
    <t>DL input prc = 61.34300000  PX_ASK = 61.36700000 PX_BID = 61.31900000</t>
  </si>
  <si>
    <t>DL input prc = 87.18850000  PX_ASK = 87.19900000 PX_BID = 87.17800000</t>
  </si>
  <si>
    <t>DL input prc = 24.03350000  PX_ASK = 24.09400000 PX_BID = 23.97300000</t>
  </si>
  <si>
    <t>DL input prc = 52.23500000  PX_ASK = 52.26100000 PX_BID = 52.20900000</t>
  </si>
  <si>
    <t>DL input prc = 83.90050000  PX_ASK = 83.91300000 PX_BID = 83.88800000</t>
  </si>
  <si>
    <t>DL input prc = 98.45900000  PX_ASK = 98.47200000 PX_BID = 98.44600000</t>
  </si>
  <si>
    <t>DL input prc = 91.27600000  PX_ASK = 91.31500000 PX_BID = 91.23700000</t>
  </si>
  <si>
    <t>DL input prc = 40.92450000  PX_ASK = 40.95300000 PX_BID = 40.89600000</t>
  </si>
  <si>
    <t>DL input prc = 82.19750000  PX_ASK = 82.21000000 PX_BID = 82.18500000</t>
  </si>
  <si>
    <t>DL input prc = 73.60000000  PX_ASK = 73.62300000 PX_BID = 73.57700000</t>
  </si>
  <si>
    <t>DL input prc = 96.68550000  PX_ASK = 96.69400000 PX_BID = 96.67700000</t>
  </si>
  <si>
    <t>DL input prc = 91.68200000  PX_ASK = 91.69300000 PX_BID = 91.67100000</t>
  </si>
  <si>
    <t>DL input prc = 77.94700000  PX_ASK = 77.96700000 PX_BID = 77.92700000</t>
  </si>
  <si>
    <t>DL input prc = 74.25350000  PX_ASK = 74.27400000 PX_BID = 74.23300000</t>
  </si>
  <si>
    <t>DL input prc = 100.01550000  PX_ASK = 100.03000000 PX_BID = 100.00100000</t>
  </si>
  <si>
    <t>DL input prc = 96.68950000  PX_ASK = 96.70100000 PX_BID = 96.67800000</t>
  </si>
  <si>
    <t>DL input prc = 99.34200000  PX_ASK = 99.35200000 PX_BID = 99.33200000</t>
  </si>
  <si>
    <t>DL input prc = 99.25500000  PX_ASK = 99.26800000 PX_BID = 99.24200000</t>
  </si>
  <si>
    <t>DL input prc = 99.61150000  PX_ASK = 99.62500000 PX_BID = 99.59800000</t>
  </si>
  <si>
    <t>DL input prc = 78.22950000  PX_ASK = 78.25200000 PX_BID = 78.20700000</t>
  </si>
  <si>
    <t>DL input prc = 100.28350000  PX_ASK = 100.46700000 PX_BID = 100.10000000</t>
  </si>
  <si>
    <t>DL input prc = 77.50150000  PX_ASK = 77.52300000 PX_BID = 77.48000000</t>
  </si>
  <si>
    <t>DL input prc = 98.73350000  PX_ASK = 98.74200000 PX_BID = 98.72500000</t>
  </si>
  <si>
    <t>DL input prc = 94.79650000  PX_ASK = 94.80700000 PX_BID = 94.78600000</t>
  </si>
  <si>
    <t>DL input prc = 91.69550000  PX_ASK = 91.72200000 PX_BID = 91.66900000</t>
  </si>
  <si>
    <t>DL input prc = 95.59800000  PX_ASK = 95.60500000 PX_BID = 95.59100000</t>
  </si>
  <si>
    <t>DL input prc = 84.80600000  PX_ASK = 84.83100000 PX_BID = 84.78100000</t>
  </si>
  <si>
    <t>DL input prc = 98.81450000  PX_ASK = 98.82400000 PX_BID = 98.80500000</t>
  </si>
  <si>
    <t>DL input prc = 97.67650000  PX_ASK = 97.68700000 PX_BID = 97.66600000</t>
  </si>
  <si>
    <t>DL input prc = 97.25450000  PX_ASK = 97.26200000 PX_BID = 97.24700000</t>
  </si>
  <si>
    <t>DL input prc = 95.15750000  PX_ASK = 95.18400000 PX_BID = 95.13100000</t>
  </si>
  <si>
    <t>DL input prc = 94.77250000  PX_ASK = 94.79300000 PX_BID = 94.75200000</t>
  </si>
  <si>
    <t>DL input prc = 97.97900000  PX_ASK = 97.98900000 PX_BID = 97.96900000</t>
  </si>
  <si>
    <t>DL input prc = 99.29800000  PX_ASK = 99.30800000 PX_BID = 99.28800000</t>
  </si>
  <si>
    <t>DL input prc = 97.80100000  PX_ASK = 97.81000000 PX_BID = 97.79200000</t>
  </si>
  <si>
    <t>DL input prc = 103.79200000  PX_ASK = 103.81700000 PX_BID = 103.76700000</t>
  </si>
  <si>
    <t>DL input prc = 98.06950000  PX_ASK = 98.08100000 PX_BID = 98.05800000</t>
  </si>
  <si>
    <t>DL input prc = 341.51100000  PX_ASK = 341.69500000 PX_BID = 341.32700000</t>
  </si>
  <si>
    <t>DL input prc = 240.43300000  PX_ASK = 240.60900000 PX_BID = 240.25700000</t>
  </si>
  <si>
    <t>DL input prc = 93.90700000  PX_ASK = 93.91600000 PX_BID = 93.89800000</t>
  </si>
  <si>
    <t>DL input prc = 95.23150000  PX_ASK = 95.23700000 PX_BID = 95.22600000</t>
  </si>
  <si>
    <t>DL input prc = 79.01000000  PX_ASK = 79.02000000 PX_BID = 79.00000000</t>
  </si>
  <si>
    <t>DL input prc = 74.09750000  PX_ASK = 74.15200000 PX_BID = 74.04300000</t>
  </si>
  <si>
    <t>DL input prc = 101.15500000  PX_ASK = 101.19900000 PX_BID = 101.11100000</t>
  </si>
  <si>
    <t>DL input prc = 83.03150000  PX_ASK = 83.04300000 PX_BID = 83.02000000</t>
  </si>
  <si>
    <t>DL input prc = 99.97350000  PX_ASK = 99.98000000 PX_BID = 99.96700000</t>
  </si>
  <si>
    <t>DL input prc = 91.06750000  PX_ASK = 91.07900000 PX_BID = 91.05600000</t>
  </si>
  <si>
    <t>DL input prc = 89.02650000  PX_ASK = 89.03800000 PX_BID = 89.01500000</t>
  </si>
  <si>
    <t>DL input prc = 101.07000000  PX_ASK = 101.08300000 PX_BID = 101.05700000</t>
  </si>
  <si>
    <t>DL input prc = 71.20450000  PX_ASK = 71.22300000 PX_BID = 71.18600000</t>
  </si>
  <si>
    <t>DL input prc = 81.37400000  PX_ASK = 81.38200000 PX_BID = 81.36600000</t>
  </si>
  <si>
    <t>DL input prc = 99.69100000  PX_ASK = 99.70100000 PX_BID = 99.68100000</t>
  </si>
  <si>
    <t>DL input prc = 89.81450000  PX_ASK = 89.82300000 PX_BID = 89.80600000</t>
  </si>
  <si>
    <t>DL input prc = 80.97600000  PX_ASK = 81.02400000 PX_BID = 80.92800000</t>
  </si>
  <si>
    <t>DL input prc = 76.66350000  PX_ASK = 76.71900000 PX_BID = 76.60800000</t>
  </si>
  <si>
    <t>DL input prc = 98.37200000  PX_ASK = 98.40400000 PX_BID = 98.34000000</t>
  </si>
  <si>
    <t>DL input prc = 63.91000000  PX_ASK = 63.93100000 PX_BID = 63.88900000</t>
  </si>
  <si>
    <t>DL input prc = 93.75800000  PX_ASK = 93.79000000 PX_BID = 93.72600000</t>
  </si>
  <si>
    <t>DL input prc = 51.87500000  PX_ASK = 51.94100000 PX_BID = 51.80900000</t>
  </si>
  <si>
    <t>DL input prc = 97.43750000  PX_ASK = 97.44200000 PX_BID = 97.43300000</t>
  </si>
  <si>
    <t>DL input prc = 74.69450000  PX_ASK = 74.70000000 PX_BID = 74.68900000</t>
  </si>
  <si>
    <t>DL input prc = 88.48150000  PX_ASK = 88.49100000 PX_BID = 88.47200000</t>
  </si>
  <si>
    <t>DL input prc = 73.37600000  PX_ASK = 73.38600000 PX_BID = 73.36600000</t>
  </si>
  <si>
    <t>DL input prc = 57.14650000  PX_ASK = 57.16800000 PX_BID = 57.12500000</t>
  </si>
  <si>
    <t>DL input prc = 66.85000000  PX_ASK = 66.89900000 PX_BID = 66.80100000</t>
  </si>
  <si>
    <t>DL input prc = 73.85900000  PX_ASK = 73.86600000 PX_BID = 73.85200000</t>
  </si>
  <si>
    <t>DL input prc = 65.84150000  PX_ASK = 65.86100000 PX_BID = 65.82200000</t>
  </si>
  <si>
    <t>DL input prc = 42.60700000  PX_ASK = 42.61700000 PX_BID = 42.59700000</t>
  </si>
  <si>
    <t>DL input prc = 43.81100000  PX_ASK = 43.88800000 PX_BID = 43.73400000</t>
  </si>
  <si>
    <t>DL input prc = 48.84000000  PX_ASK = 48.86000000 PX_BID = 48.82000000</t>
  </si>
  <si>
    <t>DL input prc = 97.10250000  PX_ASK = 97.10700000 PX_BID = 97.09800000</t>
  </si>
  <si>
    <t>DL input prc = 42.70500000  PX_ASK = 42.78800000 PX_BID = 42.62200000</t>
  </si>
  <si>
    <t>DL input prc = 36.12950000  PX_ASK = 36.15100000 PX_BID = 36.10800000</t>
  </si>
  <si>
    <t>DL input prc = 50.09300000  PX_ASK = 50.10100000 PX_BID = 50.08500000</t>
  </si>
  <si>
    <t>DL input prc = 94.23000000  PX_ASK = 94.24100000 PX_BID = 94.21900000</t>
  </si>
  <si>
    <t>DL input prc = 42.68150000  PX_ASK = 42.69500000 PX_BID = 42.66800000</t>
  </si>
  <si>
    <t>DL input prc = 89.35450000  PX_ASK = 89.36600000 PX_BID = 89.34300000</t>
  </si>
  <si>
    <t>DL input prc = 56.94500000  PX_ASK = 56.94900000 PX_BID = 56.94100000</t>
  </si>
  <si>
    <t>DL input prc = 84.33150000  PX_ASK = 84.34500000 PX_BID = 84.31800000</t>
  </si>
  <si>
    <t>DL input prc = 100.01250000  PX_ASK = 100.01600000 PX_BID = 100.00900000</t>
  </si>
  <si>
    <t>DL input prc = 27.92350000  PX_ASK = 27.97900000 PX_BID = 27.86800000</t>
  </si>
  <si>
    <t>DL input prc = 40.51600000  PX_ASK = 40.52500000 PX_BID = 40.50700000</t>
  </si>
  <si>
    <t>DL input prc = 90.88000000  PX_ASK = 90.88600000 PX_BID = 90.87400000</t>
  </si>
  <si>
    <t>DL input prc = 62.26350000  PX_ASK = 62.26900000 PX_BID = 62.25800000</t>
  </si>
  <si>
    <t>DL input prc = 76.77200000  PX_ASK = 76.78900000 PX_BID = 76.75500000</t>
  </si>
  <si>
    <t>DL input prc = 82.39900000  PX_ASK = 82.41400000 PX_BID = 82.38400000</t>
  </si>
  <si>
    <t>DL input prc = 41.82400000  PX_ASK = 41.84300000 PX_BID = 41.80500000</t>
  </si>
  <si>
    <t>DL input prc = 43.90950000  PX_ASK = 44.03000000 PX_BID = 43.78900000</t>
  </si>
  <si>
    <t>DL input prc = 22.74150000  PX_ASK = 22.76900000 PX_BID = 22.71400000</t>
  </si>
  <si>
    <t>DL input prc = 33.52800000  PX_ASK = 33.54500000 PX_BID = 33.51100000</t>
  </si>
  <si>
    <t>DL input prc = 94.09500000  PX_ASK = 94.10700000 PX_BID = 94.08300000</t>
  </si>
  <si>
    <t>DL input prc = 73.92300000  PX_ASK = 73.94100000 PX_BID = 73.90500000</t>
  </si>
  <si>
    <t>DL input prc = 100.17550000  PX_ASK = 100.18300000 PX_BID = 100.16800000</t>
  </si>
  <si>
    <t>DL input prc = 81.05350000  PX_ASK = 81.06100000 PX_BID = 81.04600000</t>
  </si>
  <si>
    <t>DL input prc = 68.60150000  PX_ASK = 68.61100000 PX_BID = 68.59200000</t>
  </si>
  <si>
    <t>DL input prc = 91.69900000  PX_ASK = 91.70800000 PX_BID = 91.69000000</t>
  </si>
  <si>
    <t>DL input prc = 75.64950000  PX_ASK = 75.65600000 PX_BID = 75.64300000</t>
  </si>
  <si>
    <t>DL input prc = 95.62450000  PX_ASK = 95.65500000 PX_BID = 95.59400000</t>
  </si>
  <si>
    <t>DL input prc = 99.16550000  PX_ASK = 99.17100000 PX_BID = 99.16000000</t>
  </si>
  <si>
    <t>DL input prc = 43.78350000  PX_ASK = 43.79400000 PX_BID = 43.77300000</t>
  </si>
  <si>
    <t>DL input prc = 49.18950000  PX_ASK = 49.25400000 PX_BID = 49.12500000</t>
  </si>
  <si>
    <t>DL input prc = 72.55300000  PX_ASK = 72.56300000 PX_BID = 72.54300000</t>
  </si>
  <si>
    <t>DL input prc = 98.60050000  PX_ASK = 98.60700000 PX_BID = 98.59400000</t>
  </si>
  <si>
    <t>DL input prc = 90.74600000  PX_ASK = 90.75300000 PX_BID = 90.73900000</t>
  </si>
  <si>
    <t>DL input prc = 99.75350000  PX_ASK = 99.75700000 PX_BID = 99.75000000</t>
  </si>
  <si>
    <t>DL input prc = 80.88250000  PX_ASK = 80.89200000 PX_BID = 80.87300000</t>
  </si>
  <si>
    <t>DL input prc = 97.13500000  PX_ASK = 97.14400000 PX_BID = 97.12600000</t>
  </si>
  <si>
    <t>DL input prc = 87.13850000  PX_ASK = 87.14900000 PX_BID = 87.12800000</t>
  </si>
  <si>
    <t>DL input prc = 99.00550000  PX_ASK = 99.01200000 PX_BID = 98.99900000</t>
  </si>
  <si>
    <t>DL input prc = 95.74850000  PX_ASK = 95.75400000 PX_BID = 95.74300000</t>
  </si>
  <si>
    <t>DL input prc = 90.44650000  PX_ASK = 90.45700000 PX_BID = 90.43600000</t>
  </si>
  <si>
    <t>DL input prc = 99.97900000  PX_ASK = 99.98700000 PX_BID = 99.97100000</t>
  </si>
  <si>
    <t>DL input prc = 99.51650000  PX_ASK = 99.52300000 PX_BID = 99.51000000</t>
  </si>
  <si>
    <t>DL input prc = 96.76350000  PX_ASK = 96.76900000 PX_BID = 96.75800000</t>
  </si>
  <si>
    <t>DL input prc = 94.82050000  PX_ASK = 94.82600000 PX_BID = 94.81500000</t>
  </si>
  <si>
    <t>DL input prc = 97.96250000  PX_ASK = 97.96800000 PX_BID = 97.95700000</t>
  </si>
  <si>
    <t>DL input prc = 98.72400000  PX_ASK = 98.73200000 PX_BID = 98.71600000</t>
  </si>
  <si>
    <t>DL input prc = 98.12050000  PX_ASK = 98.12900000 PX_BID = 98.11200000</t>
  </si>
  <si>
    <t>DL input prc = 96.45150000  PX_ASK = 96.46100000 PX_BID = 96.44200000</t>
  </si>
  <si>
    <t>DL input prc = 98.18850000  PX_ASK = 98.19700000 PX_BID = 98.18000000</t>
  </si>
  <si>
    <t>DL input prc = 95.65700000  PX_ASK = 95.66800000 PX_BID = 95.64600000</t>
  </si>
  <si>
    <t>DL input prc = 98.25500000  PX_ASK = 98.26900000 PX_BID = 98.24100000</t>
  </si>
  <si>
    <t>DL input prc = 63.22950000  PX_ASK = 63.24500000 PX_BID = 63.21400000</t>
  </si>
  <si>
    <t>DL input prc = 50.25250000  PX_ASK = 50.31400000 PX_BID = 50.19100000</t>
  </si>
  <si>
    <t>DL input prc = 50.63600000  PX_ASK = 50.65800000 PX_BID = 50.61400000</t>
  </si>
  <si>
    <t>DL input prc = 83.35650000  PX_ASK = 83.38700000 PX_BID = 83.32600000</t>
  </si>
  <si>
    <t>DL input prc = 59.56600000  PX_ASK = 59.58500000 PX_BID = 59.54700000</t>
  </si>
  <si>
    <t>DL input prc = 71.24700000  PX_ASK = 71.25600000 PX_BID = 71.23800000</t>
  </si>
  <si>
    <t>DL input prc = 91.69750000  PX_ASK = 91.76600000 PX_BID = 91.62900000</t>
  </si>
  <si>
    <t>DL input prc = 98.12500000  PX_ASK = 98.15300000 PX_BID = 98.09700000</t>
  </si>
  <si>
    <t>DL input prc = 78.45350000  PX_ASK = 78.48900000 PX_BID = 78.41800000</t>
  </si>
  <si>
    <t>DL input prc = 89.29250000  PX_ASK = 89.31000000 PX_BID = 89.27500000</t>
  </si>
  <si>
    <t>DL input prc = 84.74550000  PX_ASK = 84.76600000 PX_BID = 84.72500000</t>
  </si>
  <si>
    <t>DL input prc = 85.73300000  PX_ASK = 85.75200000 PX_BID = 85.71400000</t>
  </si>
  <si>
    <t>DL input prc = 65.50600000  PX_ASK = 65.56500000 PX_BID = 65.44700000</t>
  </si>
  <si>
    <t>DL input prc = 101.30350000  PX_ASK = 101.30700000 PX_BID = 101.30000000</t>
  </si>
  <si>
    <t>DL input prc = 104.50800000  PX_ASK = 104.51200000 PX_BID = 104.50400000</t>
  </si>
  <si>
    <t>DL input prc = 106.57400000  PX_ASK = 106.57900000 PX_BID = 106.56900000</t>
  </si>
  <si>
    <t>DL input prc = 111.77550000  PX_ASK = 111.78100000 PX_BID = 111.77000000</t>
  </si>
  <si>
    <t>DL input prc = 112.69950000  PX_ASK = 112.70600000 PX_BID = 112.69300000</t>
  </si>
  <si>
    <t>DL input prc = 108.79350000  PX_ASK = 108.80000000 PX_BID = 108.78700000</t>
  </si>
  <si>
    <t>DL input prc = 106.08200000  PX_ASK = 106.11800000 PX_BID = 106.04600000</t>
  </si>
  <si>
    <t>DL input prc = 100.54200000  PX_ASK = 100.55000000 PX_BID = 100.53400000</t>
  </si>
  <si>
    <t>DL input prc = 108.48550000  PX_ASK = 108.49400000 PX_BID = 108.47700000</t>
  </si>
  <si>
    <t>DL input prc = 108.34450000  PX_ASK = 108.35400000 PX_BID = 108.33500000</t>
  </si>
  <si>
    <t>DL input prc = 105.54550000  PX_ASK = 105.59300000 PX_BID = 105.49800000</t>
  </si>
  <si>
    <t>DL input prc = 100.07050000  PX_ASK = 100.08200000 PX_BID = 100.05900000</t>
  </si>
  <si>
    <t>DL input prc = 103.58700000  PX_ASK = 103.59200000 PX_BID = 103.58200000</t>
  </si>
  <si>
    <t>DL input prc = 104.41100000  PX_ASK = 104.42100000 PX_BID = 104.40100000</t>
  </si>
  <si>
    <t>DL input prc = 101.16850000  PX_ASK = 101.17500000 PX_BID = 101.16200000</t>
  </si>
  <si>
    <t>DL input prc = 83.70050000  PX_ASK = 83.71200000 PX_BID = 83.68900000</t>
  </si>
  <si>
    <t>DL input prc = 91.09400000  PX_ASK = 91.10000000 PX_BID = 91.08800000</t>
  </si>
  <si>
    <t>DL input prc = 100.06600000  PX_ASK = 100.08600000 PX_BID = 100.04600000</t>
  </si>
  <si>
    <t>DL input prc = 76.03900000  PX_ASK = 76.05000000 PX_BID = 76.02800000</t>
  </si>
  <si>
    <t>DL input prc = 86.17000000  PX_ASK = 86.17700000 PX_BID = 86.16300000</t>
  </si>
  <si>
    <t>DL input prc = 99.57400000  PX_ASK = 99.57700000 PX_BID = 99.57100000</t>
  </si>
  <si>
    <t>DL input prc = 67.73850000  PX_ASK = 67.77700000 PX_BID = 67.70000000</t>
  </si>
  <si>
    <t>DL input prc = 92.88900000  PX_ASK = 92.89600000 PX_BID = 92.88200000</t>
  </si>
  <si>
    <t>DL input prc = 99.59000000  PX_ASK = 99.59400000 PX_BID = 99.58600000</t>
  </si>
  <si>
    <t>DL input prc = 85.40100000  PX_ASK = 85.41200000 PX_BID = 85.39000000</t>
  </si>
  <si>
    <t>DL input prc = 99.28900000  PX_ASK = 99.29200000 PX_BID = 99.28600000</t>
  </si>
  <si>
    <t>DL input prc = 89.17850000  PX_ASK = 89.18700000 PX_BID = 89.17000000</t>
  </si>
  <si>
    <t>DL input prc = 98.68950000  PX_ASK = 98.69500000 PX_BID = 98.68400000</t>
  </si>
  <si>
    <t>DL input prc = 99.59450000  PX_ASK = 99.59900000 PX_BID = 99.59000000</t>
  </si>
  <si>
    <t>DL input prc = 96.90250000  PX_ASK = 96.90900000 PX_BID = 96.89600000</t>
  </si>
  <si>
    <t>DL input prc = 90.15200000  PX_ASK = 90.16500000 PX_BID = 90.13900000</t>
  </si>
  <si>
    <t>DL input prc = 99.79550000  PX_ASK = 99.80000000 PX_BID = 99.79100000</t>
  </si>
  <si>
    <t>DL input prc = 88.71000000  PX_ASK = 88.71900000 PX_BID = 88.70100000</t>
  </si>
  <si>
    <t>DL input prc = 93.75150000  PX_ASK = 93.75700000 PX_BID = 93.74600000</t>
  </si>
  <si>
    <t>DL input prc = 99.21700000  PX_ASK = 99.22100000 PX_BID = 99.21300000</t>
  </si>
  <si>
    <t>DL input prc = 69.04700000  PX_ASK = 69.06000000 PX_BID = 69.03400000</t>
  </si>
  <si>
    <t>DL input prc = 80.59050000  PX_ASK = 80.59700000 PX_BID = 80.58400000</t>
  </si>
  <si>
    <t>DL input prc = 91.49550000  PX_ASK = 91.50300000 PX_BID = 91.48800000</t>
  </si>
  <si>
    <t>DL input prc = 93.47850000  PX_ASK = 93.48400000 PX_BID = 93.47300000</t>
  </si>
  <si>
    <t>DL input prc = 92.92600000  PX_ASK = 93.17700000 PX_BID = 92.67500000</t>
  </si>
  <si>
    <t>DL input prc = 97.93000000  PX_ASK = 97.93400000 PX_BID = 97.92600000</t>
  </si>
  <si>
    <t>DL input prc = 73.28750000  PX_ASK = 73.29600000 PX_BID = 73.27900000</t>
  </si>
  <si>
    <t>DL input prc = 89.63800000  PX_ASK = 89.64400000 PX_BID = 89.63200000</t>
  </si>
  <si>
    <t>DL input prc = 57.09500000  PX_ASK = 57.10600000 PX_BID = 57.08400000</t>
  </si>
  <si>
    <t>DL input prc = 73.95900000  PX_ASK = 73.96700000 PX_BID = 73.95100000</t>
  </si>
  <si>
    <t>DL input prc = 95.78100000  PX_ASK = 95.78600000 PX_BID = 95.77600000</t>
  </si>
  <si>
    <t>DL input prc = 87.42850000  PX_ASK = 87.43400000 PX_BID = 87.42300000</t>
  </si>
  <si>
    <t>DL input prc = 57.38100000  PX_ASK = 57.41700000 PX_BID = 57.34500000</t>
  </si>
  <si>
    <t>DL input prc = 62.74050000  PX_ASK = 62.75200000 PX_BID = 62.72900000</t>
  </si>
  <si>
    <t>DL input prc = 56.56600000  PX_ASK = 56.61300000 PX_BID = 56.51900000</t>
  </si>
  <si>
    <t>DL input prc = 95.36250000  PX_ASK = 95.36800000 PX_BID = 95.35700000</t>
  </si>
  <si>
    <t>DL input prc = 88.17000000  PX_ASK = 88.17600000 PX_BID = 88.16400000</t>
  </si>
  <si>
    <t>DL input prc = 99.93900000  PX_ASK = 99.94400000 PX_BID = 99.93400000</t>
  </si>
  <si>
    <t>DL input prc = 86.89500000  PX_ASK = 86.90100000 PX_BID = 86.88900000</t>
  </si>
  <si>
    <t>DL input prc = 93.69650000  PX_ASK = 93.70100000 PX_BID = 93.69200000</t>
  </si>
  <si>
    <t>DL input prc = 62.87950000  PX_ASK = 62.89200000 PX_BID = 62.86700000</t>
  </si>
  <si>
    <t>DL input prc = 98.93050000  PX_ASK = 98.93500000 PX_BID = 98.92600000</t>
  </si>
  <si>
    <t>DL input prc = 94.31550000  PX_ASK = 94.32100000 PX_BID = 94.31000000</t>
  </si>
  <si>
    <t>DL input prc = 99.21350000  PX_ASK = 99.21900000 PX_BID = 99.20800000</t>
  </si>
  <si>
    <t>DL input prc = 92.52450000  PX_ASK = 92.53300000 PX_BID = 92.51600000</t>
  </si>
  <si>
    <t>DL input prc = 99.72050000  PX_ASK = 99.72500000 PX_BID = 99.71600000</t>
  </si>
  <si>
    <t>DL input prc = 101.49300000  PX_ASK = 101.50000000 PX_BID = 101.48600000</t>
  </si>
  <si>
    <t>DL input prc = 104.94100000  PX_ASK = 104.94700000 PX_BID = 104.93500000</t>
  </si>
  <si>
    <t>DL input prc = 102.19500000  PX_ASK = 102.20000000 PX_BID = 102.19000000</t>
  </si>
  <si>
    <t>DL input prc = 100.74550000  PX_ASK = 100.75100000 PX_BID = 100.74000000</t>
  </si>
  <si>
    <t>DL input prc = 100.67000000  PX_ASK = 100.68000000 PX_BID = 100.66000000</t>
  </si>
  <si>
    <t>DL input prc = 97.69850000  PX_ASK = 97.71000000 PX_BID = 97.68700000</t>
  </si>
  <si>
    <t>DL input prc = 103.00250000  PX_ASK = 103.00900000 PX_BID = 102.99600000</t>
  </si>
  <si>
    <t>DL input prc = 101.69850000  PX_ASK = 101.70500000 PX_BID = 101.69200000</t>
  </si>
  <si>
    <t>DL input prc = 101.39950000  PX_ASK = 101.41500000 PX_BID = 101.38400000</t>
  </si>
  <si>
    <t>DL input prc = 104.41950000  PX_ASK = 104.42600000 PX_BID = 104.41300000</t>
  </si>
  <si>
    <t>DL input prc = 101.59200000  PX_ASK = 101.59700000 PX_BID = 101.58700000</t>
  </si>
  <si>
    <t>DL input prc = 100.20650000  PX_ASK = 100.21000000 PX_BID = 100.20300000</t>
  </si>
  <si>
    <t>DL input prc = 103.33850000  PX_ASK = 103.34500000 PX_BID = 103.33200000</t>
  </si>
  <si>
    <t>DL input prc = 102.82650000  PX_ASK = 102.83300000 PX_BID = 102.82000000</t>
  </si>
  <si>
    <t>DL input prc = 102.50350000  PX_ASK = 102.50900000 PX_BID = 102.49800000</t>
  </si>
  <si>
    <t>DL input prc = 100.15900000  PX_ASK = 100.16200000 PX_BID = 100.15600000</t>
  </si>
  <si>
    <t>DL input prc = 100.74650000  PX_ASK = 100.75200000 PX_BID = 100.74100000</t>
  </si>
  <si>
    <t>DL input prc = 99.64650000  PX_ASK = 99.65600000 PX_BID = 99.63700000</t>
  </si>
  <si>
    <t>DL input prc = 100.66550000  PX_ASK = 100.67000000 PX_BID = 100.66100000</t>
  </si>
  <si>
    <t>DL input prc = 100.77200000  PX_ASK = 100.77800000 PX_BID = 100.76600000</t>
  </si>
  <si>
    <t>DL input prc = 100.41200000  PX_ASK = 100.41800000 PX_BID = 100.40600000</t>
  </si>
  <si>
    <t>DL input prc = 100.22350000  PX_ASK = 100.23100000 PX_BID = 100.21600000</t>
  </si>
  <si>
    <t>DL input prc = 100.62900000  PX_ASK = 100.63400000 PX_BID = 100.62400000</t>
  </si>
  <si>
    <t>DL input prc = 100.06700000  PX_ASK = 100.07000000 PX_BID = 100.06400000</t>
  </si>
  <si>
    <t>DL input prc = 100.37300000  PX_ASK = 100.37900000 PX_BID = 100.36700000</t>
  </si>
  <si>
    <t>DL input prc = 99.57250000  PX_ASK = 99.57800000 PX_BID = 99.56700000</t>
  </si>
  <si>
    <t>DL input prc = 94.29550000  PX_ASK = 94.30800000 PX_BID = 94.28300000</t>
  </si>
  <si>
    <t>DL input prc = 98.79150000  PX_ASK = 98.79700000 PX_BID = 98.78600000</t>
  </si>
  <si>
    <t>DL input prc = 99.79550000  PX_ASK = 99.79900000 PX_BID = 99.79200000</t>
  </si>
  <si>
    <t>DL input prc = 98.48450000  PX_ASK = 98.49100000 PX_BID = 98.47800000</t>
  </si>
  <si>
    <t>DL input prc = 95.04300000  PX_ASK = 95.05500000 PX_BID = 95.03100000</t>
  </si>
  <si>
    <t>DL input prc = 99.92950000  PX_ASK = 99.93300000 PX_BID = 99.92600000</t>
  </si>
  <si>
    <t>DL input prc = 95.69500000  PX_ASK = 95.70500000 PX_BID = 95.68500000</t>
  </si>
  <si>
    <t>DL input prc = 98.96300000  PX_ASK = 98.96800000 PX_BID = 98.95800000</t>
  </si>
  <si>
    <t>DL input prc = 99.40450000  PX_ASK = 99.41000000 PX_BID = 99.39900000</t>
  </si>
  <si>
    <t>DL input prc = 98.69650000  PX_ASK = 98.70200000 PX_BID = 98.69100000</t>
  </si>
  <si>
    <t>DL input prc = 98.59950000  PX_ASK = 98.63400000 PX_BID = 98.56500000</t>
  </si>
  <si>
    <t>DL input prc = 97.92850000  PX_ASK = 97.93500000 PX_BID = 97.92200000</t>
  </si>
  <si>
    <t>DL input prc = 97.76600000  PX_ASK = 97.77200000 PX_BID = 97.76000000</t>
  </si>
  <si>
    <t>DL input prc = 99.21050000  PX_ASK = 99.21400000 PX_BID = 99.20700000</t>
  </si>
  <si>
    <t>DL input prc = 98.32950000  PX_ASK = 98.33500000 PX_BID = 98.32400000</t>
  </si>
  <si>
    <t>DL input prc = 98.37300000  PX_ASK = 98.37800000 PX_BID = 98.36800000</t>
  </si>
  <si>
    <t>DL input prc = 99.26050000  PX_ASK = 99.27400000 PX_BID = 99.24700000</t>
  </si>
  <si>
    <t>DL input prc = 98.03900000  PX_ASK = 98.04400000 PX_BID = 98.03400000</t>
  </si>
  <si>
    <t>DL input prc = 96.44400000  PX_ASK = 96.44900000 PX_BID = 96.43900000</t>
  </si>
  <si>
    <t>DL input prc = 98.31550000  PX_ASK = 98.32100000 PX_BID = 98.31000000</t>
  </si>
  <si>
    <t>DL input prc = 97.47700000  PX_ASK = 97.48300000 PX_BID = 97.47100000</t>
  </si>
  <si>
    <t>DL input prc = 98.84550000  PX_ASK = 98.85100000 PX_BID = 98.84000000</t>
  </si>
  <si>
    <t>DL input prc = 95.86050000  PX_ASK = 95.87100000 PX_BID = 95.85000000</t>
  </si>
  <si>
    <t>DL input prc = 98.09100000  PX_ASK = 98.09700000 PX_BID = 98.08500000</t>
  </si>
  <si>
    <t>DL input prc = 98.81550000  PX_ASK = 98.82200000 PX_BID = 98.80900000</t>
  </si>
  <si>
    <t>DL input prc = 96.96100000  PX_ASK = 97.01200000 PX_BID = 96.91000000</t>
  </si>
  <si>
    <t>DL input prc = 99.06250000  PX_ASK = 99.06800000 PX_BID = 99.05700000</t>
  </si>
  <si>
    <t>DL input prc = 98.13450000  PX_ASK = 98.14200000 PX_BID = 98.12700000</t>
  </si>
  <si>
    <t>DL input prc = 106.14450000  PX_ASK = 106.16700000 PX_BID = 106.12200000</t>
  </si>
  <si>
    <t>DL input prc = 103.93200000  PX_ASK = 103.94500000 PX_BID = 103.91900000</t>
  </si>
  <si>
    <t>DL input prc = 102.38850000  PX_ASK = 102.41800000 PX_BID = 102.35900000</t>
  </si>
  <si>
    <t>DL input prc = 96.77250000  PX_ASK = 96.78500000 PX_BID = 96.76000000</t>
  </si>
  <si>
    <t>DL input prc = 87.15200000  PX_ASK = 87.19100000 PX_BID = 87.11300000</t>
  </si>
  <si>
    <t>DL input prc = 98.17500000  PX_ASK = 98.19000000 PX_BID = 98.16000000</t>
  </si>
  <si>
    <t>DL input prc = 96.14300000  PX_ASK = 96.15500000 PX_BID = 96.13100000</t>
  </si>
  <si>
    <t>DL input prc = 92.69050000  PX_ASK = 92.69900000 PX_BID = 92.68200000</t>
  </si>
  <si>
    <t>DL input prc = 68.28050000  PX_ASK = 68.31300000 PX_BID = 68.24800000</t>
  </si>
  <si>
    <t>DL input prc = 89.22300000  PX_ASK = 89.23200000 PX_BID = 89.21400000</t>
  </si>
  <si>
    <t>DL input prc = 86.43000000  PX_ASK = 86.44100000 PX_BID = 86.41900000</t>
  </si>
  <si>
    <t>DL input prc = 68.12000000  PX_ASK = 68.14800000 PX_BID = 68.09200000</t>
  </si>
  <si>
    <t>DL input prc = 93.34450000  PX_ASK = 93.35300000 PX_BID = 93.33600000</t>
  </si>
  <si>
    <t>DL input prc = 86.33150000  PX_ASK = 86.34300000 PX_BID = 86.32000000</t>
  </si>
  <si>
    <t>DL input prc = 71.18300000  PX_ASK = 71.21600000 PX_BID = 71.15000000</t>
  </si>
  <si>
    <t>DL input prc = 96.30150000  PX_ASK = 96.31500000 PX_BID = 96.28800000</t>
  </si>
  <si>
    <t>DL input prc = 98.73800000  PX_ASK = 98.74600000 PX_BID = 98.73000000</t>
  </si>
  <si>
    <t>DL input prc = 95.56750000  PX_ASK = 95.59700000 PX_BID = 95.53800000</t>
  </si>
  <si>
    <t>DL input prc = 95.47650000  PX_ASK = 95.49000000 PX_BID = 95.46300000</t>
  </si>
  <si>
    <t>DL input prc = 94.56050000  PX_ASK = 94.57300000 PX_BID = 94.54800000</t>
  </si>
  <si>
    <t>DL input prc = 96.60100000  PX_ASK = 96.63000000 PX_BID = 96.57200000</t>
  </si>
  <si>
    <t>DL input prc = 98.82050000  PX_ASK = 98.83900000 PX_BID = 98.80200000</t>
  </si>
  <si>
    <t>DL input prc = 98.11500000  PX_ASK = 98.12600000 PX_BID = 98.10400000</t>
  </si>
  <si>
    <t>DL input prc = 95.69700000  PX_ASK = 95.70900000 PX_BID = 95.68500000</t>
  </si>
  <si>
    <t>DL input prc = 39.58450000  PX_ASK = 39.61800000 PX_BID = 39.55100000</t>
  </si>
  <si>
    <t>DL input prc = 91.90650000  PX_ASK = 92.02600000 PX_BID = 91.78700000</t>
  </si>
  <si>
    <t>OATZ6</t>
  </si>
  <si>
    <t>DL input prc = 96.89550000  PX_ASK = 96.91600000 PX_BID = 96.87500000</t>
  </si>
  <si>
    <t>DL input prc = 90.29200000  PX_ASK = 90.31100000 PX_BID = 90.27300000</t>
  </si>
  <si>
    <t>DL input prc = 80.15800000  PX_ASK = 80.18100000 PX_BID = 80.13500000</t>
  </si>
  <si>
    <t>DL input prc = 86.91150000  PX_ASK = 86.93200000 PX_BID = 86.89100000</t>
  </si>
  <si>
    <t>MARINERCAPITAL\jmannion</t>
  </si>
  <si>
    <t>912797UW5 @BBT3 GOVT:&lt;DiscountAsk=0.036242|DiscountBid=0.036367&gt;</t>
  </si>
  <si>
    <t>AU0000075681 GOVT:&lt;YieldBid=0.046717|YieldAsk=0.046613&gt;</t>
  </si>
  <si>
    <t>AU0000101792 GOVT:&lt;YieldBid=0.046259|YieldAsk=0.046157&gt;</t>
  </si>
  <si>
    <t>AU0000106411 GOVT:&lt;YieldBid=0.044681|YieldAsk=0.044333&gt;</t>
  </si>
  <si>
    <t>AU0000143901 GOVT:&lt;YieldBid=0.047202|YieldAsk=0.047109&gt;</t>
  </si>
  <si>
    <t>AU0000217101 GOVT:&lt;YieldBid=0.047945|YieldAsk=0.04787&gt;</t>
  </si>
  <si>
    <t>AU0000274706 GOVT:&lt;YieldBid=0.048796|YieldAsk=0.048735&gt;</t>
  </si>
  <si>
    <t>AU0000345241 GOVT:&lt;YieldBid=0.049379|YieldAsk=0.0493&gt;</t>
  </si>
  <si>
    <t>AU000XCLWAF4 GOVT:&lt;YieldBid=0.025865|YieldAsk=0.02542&gt;</t>
  </si>
  <si>
    <t>AU000XCLWAG2 GOVT:&lt;YieldBid=0.047445|YieldAsk=0.047362&gt;</t>
  </si>
  <si>
    <t>AU000XCLWAM0 GOVT:&lt;YieldBid=0.049198|YieldAsk=0.049112&gt;</t>
  </si>
  <si>
    <t>AU000XCLWAO6 GOVT:&lt;YieldBid=0.029096|YieldAsk=0.028543&gt;</t>
  </si>
  <si>
    <t>AU000XCLWAQ1 GOVT:&lt;YieldBid=0.045932|YieldAsk=0.045719&gt;</t>
  </si>
  <si>
    <t>AU000XCLWAR9 GOVT:&lt;YieldBid=0.045578|YieldAsk=0.045451&gt;</t>
  </si>
  <si>
    <t>AU000XCLWAS7 GOVT:&lt;YieldBid=0.054051|YieldAsk=0.053759&gt;</t>
  </si>
  <si>
    <t>AU000XCLWAU3 GOVT:&lt;YieldBid=0.045405|YieldAsk=0.045307&gt;</t>
  </si>
  <si>
    <t>AU3TB0000135 GOVT:&lt;YieldBid=0.045678|YieldAsk=0.045439&gt;</t>
  </si>
  <si>
    <t>AU3TB0000150 GOVT:&lt;YieldBid=0.045408|YieldAsk=0.045328&gt;</t>
  </si>
  <si>
    <t>AU3TB0000192 GOVT:&lt;YieldBid=0.050064|YieldAsk=0.049974&gt;</t>
  </si>
  <si>
    <t>BPSWS1 CBBT CURNCY:&lt;PriceBid=0.041882|PriceAsk=0.0419321&gt;</t>
  </si>
  <si>
    <t>BPSWS10 CBBT CURNCY:&lt;PriceBid=0.0462078|PriceAsk=0.0462528&gt;</t>
  </si>
  <si>
    <t>BPSWS12 CBBT CURNCY:&lt;PriceBid=0.0472419|PriceAsk=0.0472879&gt;</t>
  </si>
  <si>
    <t>BPSWS15 CBBT CURNCY:&lt;PriceBid=0.0485376|PriceAsk=0.0485855&gt;</t>
  </si>
  <si>
    <t>BPSWS1F CBBT CURNCY:&lt;PriceBid=0.0425687|PriceAsk=0.0426224&gt;</t>
  </si>
  <si>
    <t>BPSWS1Z CBBT INDEX:&lt;PriceBid=3.73291|PriceAsk=3.73937&gt;</t>
  </si>
  <si>
    <t>BPSWS2 CBBT CURNCY:&lt;PriceBid=0.0429781|PriceAsk=0.0430261&gt;</t>
  </si>
  <si>
    <t>BPSWS20 CBBT CURNCY:&lt;PriceBid=0.0498559|PriceAsk=0.0499014&gt;</t>
  </si>
  <si>
    <t>BPSWS25 CBBT CURNCY:&lt;PriceBid=0.0503732|PriceAsk=0.0504208&gt;</t>
  </si>
  <si>
    <t>BPSWS2Z CBBT INDEX:&lt;PriceBid=3.74149|PriceAsk=3.74684&gt;</t>
  </si>
  <si>
    <t>BPSWS3 CBBT CURNCY:&lt;PriceBid=0.0431746|PriceAsk=0.0432273&gt;</t>
  </si>
  <si>
    <t>BPSWS30 CBBT CURNCY:&lt;PriceBid=0.0503672|PriceAsk=0.0504096&gt;</t>
  </si>
  <si>
    <t>BPSWS4 CBBT CURNCY:&lt;PriceBid=0.0433684|PriceAsk=0.0434155&gt;</t>
  </si>
  <si>
    <t>BPSWS40 CBBT CURNCY:&lt;PriceBid=0.0497082|PriceAsk=NaN&gt;</t>
  </si>
  <si>
    <t>BPSWS5 CBBT CURNCY:&lt;PriceBid=0.0436665|PriceAsk=0.0437177&gt;</t>
  </si>
  <si>
    <t>BPSWS50 CBBT CURNCY:&lt;PriceBid=0.0487486|PriceAsk=0.0488123&gt;</t>
  </si>
  <si>
    <t>BPSWS6 CBBT CURNCY:&lt;PriceBid=0.0440818|PriceAsk=0.0441304&gt;</t>
  </si>
  <si>
    <t>BPSWS7 CBBT CURNCY:&lt;PriceBid=0.0445638|PriceAsk=0.0446125&gt;</t>
  </si>
  <si>
    <t>BPSWS8 CBBT CURNCY:&lt;PriceBid=0.0451023|PriceAsk=0.0451471&gt;</t>
  </si>
  <si>
    <t>BPSWS9 CBBT CURNCY:&lt;PriceBid=0.0456575|PriceAsk=0.0457013&gt;</t>
  </si>
  <si>
    <t>BPSWSA CBBT INDEX:&lt;PriceBid=3.75118|PriceAsk=3.75688&gt;</t>
  </si>
  <si>
    <t>BPSWSB CBBT INDEX:&lt;PriceBid=3.76873|PriceAsk=3.77357&gt;</t>
  </si>
  <si>
    <t>BPSWSC CBBT INDEX:&lt;PriceBid=3.81478|PriceAsk=3.82016&gt;</t>
  </si>
  <si>
    <t>BPSWSD CBBT INDEX:&lt;PriceBid=3.86474|PriceAsk=3.8697&gt;</t>
  </si>
  <si>
    <t>BPSWSE CBBT INDEX:&lt;PriceBid=3.90802|PriceAsk=3.9128&gt;</t>
  </si>
  <si>
    <t>BPSWSF CBBT INDEX:&lt;PriceBid=3.95971|PriceAsk=3.9648&gt;</t>
  </si>
  <si>
    <t>BPSWSG CBBT INDEX:&lt;PriceBid=4.00671|PriceAsk=4.01144&gt;</t>
  </si>
  <si>
    <t>BPSWSH CBBT INDEX:&lt;PriceBid=4.0447|PriceAsk=4.04972&gt;</t>
  </si>
  <si>
    <t>BPSWSI CBBT INDEX:&lt;PriceBid=4.08565|PriceAsk=4.0905&gt;</t>
  </si>
  <si>
    <t>BPSWSJ CBBT INDEX:&lt;PriceBid=4.12313|PriceAsk=4.12774&gt;</t>
  </si>
  <si>
    <t>BPSWSK CBBT INDEX:&lt;PriceBid=4.1575|PriceAsk=4.1624&gt;</t>
  </si>
  <si>
    <t>CA458182EC20 BGN CORP:&lt;PriceBid=98.071|PriceAsk=98.104&gt;</t>
  </si>
  <si>
    <t>CADUSD CURNCY:&lt;PriceBid=0.7088|PriceAsk=0.7089&gt;</t>
  </si>
  <si>
    <t>CAONREPO INDEX:&lt;Price=2.29&gt;</t>
  </si>
  <si>
    <t>CDSO1 CURNCY:&lt;PriceBid=0.0251626|PriceAsk=0.0252654&gt;</t>
  </si>
  <si>
    <t>CDSO10 CURNCY:&lt;PriceBid=0.0331016|PriceAsk=0.0331984&gt;</t>
  </si>
  <si>
    <t>CDSO12 CURNCY:&lt;PriceBid=0.03417|PriceAsk=0.03428&gt;</t>
  </si>
  <si>
    <t>CDSO15 CURNCY:&lt;PriceBid=0.0354271|PriceAsk=0.0355629&gt;</t>
  </si>
  <si>
    <t>CDSO2 CURNCY:&lt;PriceBid=0.0273578|PriceAsk=0.0274602&gt;</t>
  </si>
  <si>
    <t>CDSO20 CURNCY:&lt;PriceBid=0.0367028|PriceAsk=0.0368172&gt;</t>
  </si>
  <si>
    <t>CDSO25 CURNCY:&lt;PriceBid=0.0368766|PriceAsk=0.0370034&gt;</t>
  </si>
  <si>
    <t>CDSO3 CURNCY:&lt;PriceBid=0.0285414|PriceAsk=0.0287187&gt;</t>
  </si>
  <si>
    <t>CDSO30 CURNCY:&lt;PriceBid=0.0365837|PriceAsk=0.0366863&gt;</t>
  </si>
  <si>
    <t>CDSO4 CURNCY:&lt;PriceBid=0.0293502|PriceAsk=0.0294298&gt;</t>
  </si>
  <si>
    <t>CDSO40 CIBR CURNCY:&lt;PriceBid=0.03523|PriceAsk=0.03534&gt;</t>
  </si>
  <si>
    <t>CDSO5 CURNCY:&lt;PriceBid=0.0299354|PriceAsk=0.0300147&gt;</t>
  </si>
  <si>
    <t>CDSO6 CURNCY:&lt;PriceBid=0.0305248|PriceAsk=0.0306193&gt;</t>
  </si>
  <si>
    <t>CDSO7 CURNCY:&lt;PriceBid=0.0311737|PriceAsk=0.0312703&gt;</t>
  </si>
  <si>
    <t>CDSO8 CURNCY:&lt;PriceBid=0.0318321|PriceAsk=0.0319279&gt;</t>
  </si>
  <si>
    <t>CDSO9 CURNCY:&lt;PriceBid=0.0324917|PriceAsk=0.0325883&gt;</t>
  </si>
  <si>
    <t>CDSOA INDEX:&lt;PriceBid=2.27439|PriceAsk=2.28461&gt;</t>
  </si>
  <si>
    <t>CDSOB INDEX:&lt;PriceBid=2.28086|PriceAsk=2.29115&gt;</t>
  </si>
  <si>
    <t>CDSOC INDEX:&lt;PriceBid=2.28639|PriceAsk=2.29661&gt;</t>
  </si>
  <si>
    <t>CDSOD INDEX:&lt;PriceBid=2.29937|PriceAsk=2.30963&gt;</t>
  </si>
  <si>
    <t>CDSOE INDEX:&lt;PriceBid=2.3169|PriceAsk=2.3271&gt;</t>
  </si>
  <si>
    <t>CDSOF INDEX:&lt;PriceBid=2.33938|PriceAsk=2.35062&gt;</t>
  </si>
  <si>
    <t>CDSOG INDEX:&lt;PriceBid=2.37145|PriceAsk=2.38166&gt;</t>
  </si>
  <si>
    <t>CDSOH INDEX:&lt;PriceBid=2.39602|PriceAsk=2.40628&gt;</t>
  </si>
  <si>
    <t>CDSOI INDEX:&lt;PriceBid=2.42566|PriceAsk=2.43735&gt;</t>
  </si>
  <si>
    <t>CDSOJ INDEX:&lt;PriceBid=2.45985|PriceAsk=2.47015&gt;</t>
  </si>
  <si>
    <t>CDSOK INDEX:&lt;PriceBid=2.48704|PriceAsk=2.49726&gt;</t>
  </si>
  <si>
    <t>DE000BU25075</t>
  </si>
  <si>
    <t>DE000BU25075 @CBBT GOVT:&lt;PriceBid=99.907|PriceAsk=99.931&gt;</t>
  </si>
  <si>
    <t>EESWE1 CURNCY:&lt;PriceBid=0.025938|PriceAsk=0.025984&gt;</t>
  </si>
  <si>
    <t>EESWE10 CURNCY:&lt;PriceBid=0.0296176|PriceAsk=0.0296394&gt;</t>
  </si>
  <si>
    <t>EESWE11 CURNCY:&lt;PriceBid=0.0300264|PriceAsk=0.0300496&gt;</t>
  </si>
  <si>
    <t>EESWE12 CURNCY:&lt;PriceBid=0.0304158|PriceAsk=NaN&gt;</t>
  </si>
  <si>
    <t>EESWE13 CURNCY:&lt;PriceBid=0.0307869|PriceAsk=0.0308121&gt;</t>
  </si>
  <si>
    <t>EESWE14 CURNCY:&lt;PriceBid=0.0311089|PriceAsk=0.0311311&gt;</t>
  </si>
  <si>
    <t>EESWE15 CURNCY:&lt;PriceBid=0.0313807|PriceAsk=0.0314134&gt;</t>
  </si>
  <si>
    <t>EESWE16 CURNCY:&lt;PriceBid=0.0316058|PriceAsk=0.0316332&gt;</t>
  </si>
  <si>
    <t>EESWE17 CURNCY:&lt;PriceBid=0.0317865|PriceAsk=0.0318135&gt;</t>
  </si>
  <si>
    <t>EESWE18 CURNCY:&lt;PriceBid=0.0319207|PriceAsk=0.0319463&gt;</t>
  </si>
  <si>
    <t>EESWE19 CURNCY:&lt;PriceBid=0.0320215|PriceAsk=0.0320465&gt;</t>
  </si>
  <si>
    <t>EESWE1C CURNCY:&lt;PriceBid=0.0263387|PriceAsk=0.0263783&gt;</t>
  </si>
  <si>
    <t>EESWE1F CURNCY:&lt;PriceBid=0.0265699|PriceAsk=0.0266101&gt;</t>
  </si>
  <si>
    <t>EESWE1I CURNCY:&lt;PriceBid=0.0267212|PriceAsk=0.0267688&gt;</t>
  </si>
  <si>
    <t>EESWE1Z INDEX:&lt;PriceBid=2.18558|PriceAsk=2.18842&gt;</t>
  </si>
  <si>
    <t>EESWE2 CURNCY:&lt;PriceBid=0.0268623|PriceAsk=0.0268958&gt;</t>
  </si>
  <si>
    <t>EESWE20 CURNCY:&lt;PriceBid=0.0320834|PriceAsk=0.0321186&gt;</t>
  </si>
  <si>
    <t>EESWE25 CURNCY:&lt;PriceBid=0.0320664|PriceAsk=0.0321036&gt;</t>
  </si>
  <si>
    <t>EESWE2Z INDEX:&lt;PriceBid=2.18242|PriceAsk=2.19958&gt;</t>
  </si>
  <si>
    <t>EESWE3 CURNCY:&lt;PriceBid=0.0270964|PriceAsk=0.0271416&gt;</t>
  </si>
  <si>
    <t>EESWE30 CURNCY:&lt;PriceBid=0.0317222|PriceAsk=0.0317578&gt;</t>
  </si>
  <si>
    <t>EESWE35 CURNCY:&lt;PriceBid=0.0312574|PriceAsk=0.0312926&gt;</t>
  </si>
  <si>
    <t>EESWE3Z INDEX:&lt;PriceBid=2.18597|PriceAsk=2.20083&gt;</t>
  </si>
  <si>
    <t>EESWE4 CURNCY:&lt;PriceBid=0.0273222|PriceAsk=0.0273685&gt;</t>
  </si>
  <si>
    <t>EESWE40 CURNCY:&lt;PriceBid=0.0306525|PriceAsk=0.0306945&gt;</t>
  </si>
  <si>
    <t>EESWE5 CURNCY:&lt;PriceBid=0.0276188|PriceAsk=0.0276512&gt;</t>
  </si>
  <si>
    <t>EESWE50 CURNCY:&lt;PriceBid=0.0293006|PriceAsk=NaN&gt;</t>
  </si>
  <si>
    <t>EESWE6 CURNCY:&lt;PriceBid=0.0279462|PriceAsk=0.0279818&gt;</t>
  </si>
  <si>
    <t>EESWE7 CURNCY:&lt;PriceBid=0.0283378|PriceAsk=0.0283682&gt;</t>
  </si>
  <si>
    <t>EESWE8 CURNCY:&lt;PriceBid=0.0287641|PriceAsk=NaN&gt;</t>
  </si>
  <si>
    <t>EESWE9 CURNCY:&lt;PriceBid=0.0291908|PriceAsk=0.0292173&gt;</t>
  </si>
  <si>
    <t>EESWEA INDEX:&lt;PriceBid=2.19172|PriceAsk=2.19832&gt;</t>
  </si>
  <si>
    <t>EESWEB INDEX:&lt;PriceBid=2.21919|PriceAsk=2.22541&gt;</t>
  </si>
  <si>
    <t>EESWEC INDEX:&lt;PriceBid=2.28478|PriceAsk=2.28922&gt;</t>
  </si>
  <si>
    <t>EESWED INDEX:&lt;PriceBid=2.33086|PriceAsk=2.33674&gt;</t>
  </si>
  <si>
    <t>EESWEE INDEX:&lt;PriceBid=2.36664|PriceAsk=2.37186&gt;</t>
  </si>
  <si>
    <t>EESWEF INDEX:&lt;PriceBid=2.41751|PriceAsk=2.42129&gt;</t>
  </si>
  <si>
    <t>EESWEG INDEX:&lt;PriceBid=2.45301|PriceAsk=2.4572&gt;</t>
  </si>
  <si>
    <t>EESWEH INDEX:&lt;PriceBid=2.48337|PriceAsk=2.48703&gt;</t>
  </si>
  <si>
    <t>EESWEI INDEX:&lt;PriceBid=2.51728|PriceAsk=2.52112&gt;</t>
  </si>
  <si>
    <t>EESWEJ INDEX:&lt;PriceBid=2.54644|PriceAsk=2.55096&gt;</t>
  </si>
  <si>
    <t>EESWEK INDEX:&lt;PriceBid=2.57145|PriceAsk=2.57595&gt;</t>
  </si>
  <si>
    <t>EURUSD CURNCY:&lt;PriceBid=1.1413|PriceAsk=1.1415&gt;</t>
  </si>
  <si>
    <t>GBPUSD CURNCY:&lt;PriceBid=1.3432|PriceAsk=1.3434&gt;</t>
  </si>
  <si>
    <t>GCFRTSY INDEX:&lt;Price=3.658&gt;</t>
  </si>
  <si>
    <t>JP1201971S78</t>
  </si>
  <si>
    <t>JP1201971S78 GOVT:&lt;YieldBid=0|YieldAsk=0&gt;</t>
  </si>
  <si>
    <t>USSO3F PREB CURNCY:&lt;PriceBid=0.04009|PriceAsk=0.04059&gt;</t>
  </si>
  <si>
    <t>USSO40 BGN CURNCY:&lt;PriceBid=0.042058|PriceAsk=0.042142&gt;</t>
  </si>
  <si>
    <t>USSO4F PREB CURNCY:&lt;PriceBid=0.04004|PriceAsk=0.04054&gt;</t>
  </si>
  <si>
    <t>XS2289822376 CORP:&lt;PriceBid=97.387|PriceAsk=97.445&gt;</t>
  </si>
  <si>
    <t>Determine the on-the-run bonds for the following static list: CTJPY2Y,CTJPY5Y,CTJPY10Y,CTJPY20Y,CTJPY30Y,CTJPY40Y,CT2,CT3,CT5,CT7,CT10,CT20,CT30,CTDEM2Y,CTDEM3Y,CTDEM5Y,CTDEM10Y,CTDEM30Y,CTGBP2Y,CTGBP3Y,CTGBP5Y,CTGBP10Y,CTGBP30Y,CTCAD2Y,CTCAD3Y,CTCAD5Y,CTCAD7Y,CTCAD10Y,CTCAD20Y,CTCAD30Y,CTFRF2Y,CTFRF3Y,CTFRF5Y,CTFRF10Y,CTFRF30Y,CTITL2Y,CTITL3Y,CTITL5Y,CTITL10Y,CTITL30Y,CTESP2Y,CTESP3Y,CTESP5Y,CTESP10Y,CTESP30Y,CTBEF2Y,CTBEF3Y,CTBEF5Y,CTBEF10Y,CTBEF30Y</t>
  </si>
  <si>
    <t>select * from qw..Currents where MasterDate = '2026-07-27'</t>
  </si>
  <si>
    <t>CTJPY2Y,CTJPY5Y,CTJPY10Y,CTJPY20Y,CTJPY30Y,CTJPY40Y,CT2,CT3,CT5,CT7,CT10,CT20,CT30,CTDEM2Y,CTDEM3Y,CTDEM5Y,CTDEM10Y,CTDEM30Y,CTGBP2Y,CTGBP3Y,CTGBP5Y,CTGBP10Y,CTGBP30Y,CTCAD2Y,CTCAD3Y,CTCAD5Y,CTCAD7Y,CTCAD10Y,CTCAD20Y,CTCAD30Y,CTFRF2Y,CTFRF3Y,CTFRF5Y,CTFRF10Y,CTFRF30Y,CTITL2Y,CTITL3Y,CTITL5Y,CTITL10Y,CTITL30Y,CTESP2Y,CTESP3Y,CTESP5Y,CTESP10Y,CTESP30Y,CTBEF2Y,CTBEF3Y,CTBEF5Y,CTBEF10Y,CTBEF30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</si>
</sst>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0.000000000"/>
    <numFmt numFmtId="165" formatCode="[$-F800]dddd\,\ mmmm\ dd\,\ yyyy"/>
    <numFmt numFmtId="166" formatCode="0.00000%"/>
    <numFmt numFmtId="167" formatCode="0.00000000000%"/>
    <numFmt numFmtId="168" formatCode="_(* #,##0.00000_);_(* \(#,##0.00000\);_(* &quot;-&quot;??_);_(@_)"/>
    <numFmt numFmtId="169" formatCode="0.0000000000%"/>
    <numFmt numFmtId="170" formatCode="_(* #,##0.000000_);_(* \(#,##0.000000\);_(* &quot;-&quot;??_);_(@_)"/>
    <numFmt numFmtId="171" formatCode="_(* #,##0.0_);_(* \(#,##0.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quotePrefix="1"/>
    <xf numFmtId="164" fontId="0" fillId="0" borderId="0" xfId="0" applyNumberFormat="1"/>
    <xf numFmtId="43" fontId="0" fillId="0" borderId="0" xfId="1" applyFont="1"/>
    <xf numFmtId="165" fontId="0" fillId="0" borderId="0" xfId="0" applyNumberFormat="1"/>
    <xf numFmtId="10" fontId="0" fillId="0" borderId="0" xfId="2" applyNumberFormat="1" applyFont="1"/>
    <xf numFmtId="0" fontId="0" fillId="2" borderId="0" xfId="0" applyFill="1"/>
    <xf numFmtId="43" fontId="0" fillId="2" borderId="0" xfId="1" applyFont="1" applyFill="1"/>
    <xf numFmtId="164" fontId="0" fillId="2" borderId="0" xfId="0" applyNumberFormat="1" applyFill="1"/>
    <xf numFmtId="10" fontId="0" fillId="2" borderId="0" xfId="2" applyNumberFormat="1" applyFont="1" applyFill="1"/>
    <xf numFmtId="166" fontId="0" fillId="0" borderId="0" xfId="2" applyNumberFormat="1" applyFont="1"/>
    <xf numFmtId="167" fontId="0" fillId="0" borderId="0" xfId="2" applyNumberFormat="1" applyFont="1"/>
    <xf numFmtId="168" fontId="0" fillId="0" borderId="0" xfId="1" applyNumberFormat="1" applyFont="1"/>
    <xf numFmtId="14" fontId="0" fillId="0" borderId="0" xfId="2" applyNumberFormat="1" applyFont="1"/>
    <xf numFmtId="20" fontId="0" fillId="0" borderId="0" xfId="0" applyNumberFormat="1"/>
    <xf numFmtId="0" fontId="0" fillId="0" borderId="0" xfId="0" applyAlignment="1">
      <alignment wrapText="1"/>
    </xf>
    <xf numFmtId="169" fontId="0" fillId="0" borderId="0" xfId="2" applyNumberFormat="1" applyFont="1"/>
    <xf numFmtId="170" fontId="0" fillId="0" borderId="0" xfId="1" applyNumberFormat="1" applyFont="1"/>
    <xf numFmtId="171" fontId="0" fillId="0" borderId="0" xfId="1" applyNumberFormat="1" applyFont="1"/>
  </cellXfs>
  <cellStyles count="3">
    <cellStyle name="Comma" xfId="1" builtinId="3"/>
    <cellStyle name="Normal" xfId="0" builtinId="0"/>
    <cellStyle name="Percent" xfId="2" builtinId="5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27" formatCode="m/d/yyyy\ h:mm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e">
        <v>#N/A</v>
        <stp/>
        <stp>BDH|9627356235113593364</stp>
        <tr r="H9" s="9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" Target="richData/rdrichvalue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tyles" Target="styles.xml"/><Relationship Id="rId19" Type="http://schemas.openxmlformats.org/officeDocument/2006/relationships/volatileDependencies" Target="volatileDependenci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5</xdr:col>
      <xdr:colOff>2058104</xdr:colOff>
      <xdr:row>38</xdr:row>
      <xdr:rowOff>2681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6E7DB8-4725-A77D-755F-BDA1BE1BB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6826" y="3125304"/>
          <a:ext cx="8325278" cy="3829247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254000</xdr:colOff>
      <xdr:row>39</xdr:row>
      <xdr:rowOff>82826</xdr:rowOff>
    </xdr:from>
    <xdr:to>
      <xdr:col>5</xdr:col>
      <xdr:colOff>1234789</xdr:colOff>
      <xdr:row>59</xdr:row>
      <xdr:rowOff>159769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00931A-0946-5198-3F69-E1BA3BE1C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3435" y="7216913"/>
          <a:ext cx="7855354" cy="372129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B1D6413-30F1-47FB-AEAB-641553FE34DA}" autoFormatId="16" applyNumberFormats="0" applyBorderFormats="0" applyFontFormats="0" applyPatternFormats="0" applyAlignmentFormats="0" applyWidthHeightFormats="0">
  <queryTableRefresh nextId="15">
    <queryTableFields count="13">
      <queryTableField id="2" name="ID" tableColumnId="2"/>
      <queryTableField id="1" name="Column1" tableColumnId="1"/>
      <queryTableField id="3" name="ISIN" tableColumnId="3"/>
      <queryTableField id="4" name="Coupon" tableColumnId="4"/>
      <queryTableField id="5" name="Maturity" tableColumnId="5"/>
      <queryTableField id="6" name="InflationLinked" tableColumnId="6"/>
      <queryTableField id="7" name="MASTER_FIXED_INCOME_INSTRUMENT_ID" tableColumnId="7"/>
      <queryTableField id="8" name="MASTER_FIXED_INCOME_ID_TYPE" tableColumnId="8"/>
      <queryTableField id="9" name="DATE" tableColumnId="9"/>
      <queryTableField id="10" name="METRIC_NAME" tableColumnId="10"/>
      <queryTableField id="11" name="METRIC_VALUE" tableColumnId="11"/>
      <queryTableField id="12" name="CR_TIME" tableColumnId="12"/>
      <queryTableField id="13" name="REPLICA_TIME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A2CC06D-A576-4F26-856A-B8A43C77F71C}" autoFormatId="16" applyNumberFormats="0" applyBorderFormats="0" applyFontFormats="0" applyPatternFormats="0" applyAlignmentFormats="0" applyWidthHeightFormats="0">
  <queryTableRefresh nextId="11">
    <queryTableFields count="10">
      <queryTableField id="1" name="ID" tableColumnId="1"/>
      <queryTableField id="2" name="Att" tableColumnId="2"/>
      <queryTableField id="3" name="Src" tableColumnId="3"/>
      <queryTableField id="4" name="Date" tableColumnId="4"/>
      <queryTableField id="5" name="Value" tableColumnId="5"/>
      <queryTableField id="6" name="CreatedDate" tableColumnId="6"/>
      <queryTableField id="7" name="CreatedBy" tableColumnId="7"/>
      <queryTableField id="8" name="ModifiedTime" tableColumnId="8"/>
      <queryTableField id="9" name="ModifiedBy" tableColumnId="9"/>
      <queryTableField id="10" name="Notes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EF6D815-7623-4D5E-B398-2AB5FE97D338}" autoFormatId="16" applyNumberFormats="0" applyBorderFormats="0" applyFontFormats="0" applyPatternFormats="0" applyAlignmentFormats="0" applyWidthHeightFormats="0">
  <queryTableRefresh nextId="19">
    <queryTableFields count="10">
      <queryTableField id="6" name="ID" tableColumnId="6"/>
      <queryTableField id="7" name="Att" tableColumnId="7"/>
      <queryTableField id="8" name="Src" tableColumnId="8"/>
      <queryTableField id="3" name="Date" tableColumnId="3"/>
      <queryTableField id="10" name="Value" tableColumnId="10"/>
      <queryTableField id="11" name="Notes" tableColumnId="11"/>
      <queryTableField id="12" name="CreatedDate" tableColumnId="12"/>
      <queryTableField id="13" name="CreatedBy" tableColumnId="13"/>
      <queryTableField id="14" name="ModifiedTime" tableColumnId="14"/>
      <queryTableField id="15" name="ModifiedBy" tableColumnId="1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74317207-B981-4D55-98B7-79BBA35AC9EF}" autoFormatId="16" applyNumberFormats="0" applyBorderFormats="0" applyFontFormats="0" applyPatternFormats="0" applyAlignmentFormats="0" applyWidthHeightFormats="0">
  <queryTableRefresh nextId="5" unboundColumnsRight="3">
    <queryTableFields count="4">
      <queryTableField id="1" name="ID" tableColumnId="1"/>
      <queryTableField id="2" dataBound="0" tableColumnId="2"/>
      <queryTableField id="3" dataBound="0" tableColumnId="3"/>
      <queryTableField id="4" dataBound="0" tableColumnId="4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3</v>
  </rv>
  <rv s="1">
    <v>13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CCC7F7-2CFD-4802-BA5D-60FA4C7B9381}" name="_bbt3" displayName="_bbt3" ref="A1:M2545" tableType="queryTable" totalsRowShown="0">
  <autoFilter ref="A1:M2545" xr:uid="{CFCCC7F7-2CFD-4802-BA5D-60FA4C7B9381}"/>
  <sortState xmlns:xlrd2="http://schemas.microsoft.com/office/spreadsheetml/2017/richdata2" ref="A2:M2545">
    <sortCondition ref="C1:C2545"/>
  </sortState>
  <tableColumns count="13">
    <tableColumn id="2" xr3:uid="{D5EF21F6-2640-42E0-92AC-CE333201CAD9}" uniqueName="2" name="ID" queryTableFieldId="2"/>
    <tableColumn id="1" xr3:uid="{618DEA4B-BF7E-4C34-8612-8381FB039814}" uniqueName="1" name="Column1" queryTableFieldId="1"/>
    <tableColumn id="3" xr3:uid="{7F6809E7-6171-4F1C-ACE9-EDC3C2E7F253}" uniqueName="3" name="ISIN" queryTableFieldId="3"/>
    <tableColumn id="4" xr3:uid="{2CCFA4B9-8766-46BB-8DF8-1770F1B7CC25}" uniqueName="4" name="Coupon" queryTableFieldId="4"/>
    <tableColumn id="5" xr3:uid="{7E15E1F6-98FA-408E-B4BC-6D57E1745DDA}" uniqueName="5" name="Maturity" queryTableFieldId="5" dataDxfId="25"/>
    <tableColumn id="6" xr3:uid="{2B04C0CC-CDA1-4AC1-BC1A-F0FCF73DEC25}" uniqueName="6" name="InflationLinked" queryTableFieldId="6"/>
    <tableColumn id="7" xr3:uid="{A19B4917-BAE1-44FF-8504-5837658C0799}" uniqueName="7" name="MASTER_FIXED_INCOME_INSTRUMENT_ID" queryTableFieldId="7"/>
    <tableColumn id="8" xr3:uid="{2C274DE4-70B4-4565-A2DD-3D5C0892B9AC}" uniqueName="8" name="MASTER_FIXED_INCOME_ID_TYPE" queryTableFieldId="8"/>
    <tableColumn id="9" xr3:uid="{4058F153-396B-4174-8B63-79CD7E264FEB}" uniqueName="9" name="DATE" queryTableFieldId="9" dataDxfId="24"/>
    <tableColumn id="10" xr3:uid="{5612BFE7-07E2-46EE-B30B-1B4339212B6B}" uniqueName="10" name="METRIC_NAME" queryTableFieldId="10"/>
    <tableColumn id="11" xr3:uid="{60701D0D-2034-4E8D-A498-A887EA710622}" uniqueName="11" name="METRIC_VALUE" queryTableFieldId="11"/>
    <tableColumn id="12" xr3:uid="{379CFB54-05DC-47DD-BCA2-7BDCEF1D8B88}" uniqueName="12" name="CR_TIME" queryTableFieldId="12" dataDxfId="23"/>
    <tableColumn id="13" xr3:uid="{68F75806-FBDC-42BC-B229-6140F3D8D4E7}" uniqueName="13" name="REPLICA_TIME" queryTableFieldId="13" dataDxfId="2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ABDFC6-846F-45CA-8DFC-986422A185AB}" name="CloseDL" displayName="CloseDL" ref="A1:J1389" tableType="queryTable" totalsRowShown="0">
  <autoFilter ref="A1:J1389" xr:uid="{3AABDFC6-846F-45CA-8DFC-986422A185AB}"/>
  <tableColumns count="10">
    <tableColumn id="1" xr3:uid="{8E080BD4-8989-46EE-A4A2-98C9B4603E41}" uniqueName="1" name="ID" queryTableFieldId="1" dataDxfId="21"/>
    <tableColumn id="2" xr3:uid="{9C993105-2A1D-4557-9BA1-A4310A67A00E}" uniqueName="2" name="Att" queryTableFieldId="2" dataDxfId="20"/>
    <tableColumn id="3" xr3:uid="{CCC11A81-0E03-4ABC-90D3-E1A39686D7A8}" uniqueName="3" name="Src" queryTableFieldId="3" dataDxfId="19"/>
    <tableColumn id="4" xr3:uid="{F3ACE24E-BEE1-4E10-95AF-1AB43B96DBFD}" uniqueName="4" name="Date" queryTableFieldId="4" dataDxfId="18"/>
    <tableColumn id="5" xr3:uid="{9A1C5C8D-37F3-4D9A-B876-DA4F22769400}" uniqueName="5" name="Value" queryTableFieldId="5"/>
    <tableColumn id="6" xr3:uid="{C30293F5-E25E-4FE7-A0A2-B49F87260E90}" uniqueName="6" name="CreatedDate" queryTableFieldId="6" dataDxfId="17"/>
    <tableColumn id="7" xr3:uid="{0BF7230E-B2A0-4BFD-BDFF-CF2F84B29F43}" uniqueName="7" name="CreatedBy" queryTableFieldId="7" dataDxfId="16"/>
    <tableColumn id="8" xr3:uid="{4FFCC18A-5FAA-4735-A83E-8CA4D9AF1605}" uniqueName="8" name="ModifiedTime" queryTableFieldId="8" dataDxfId="15"/>
    <tableColumn id="9" xr3:uid="{0398C2A7-DD1D-42D6-B62E-4BD713A91E53}" uniqueName="9" name="ModifiedBy" queryTableFieldId="9" dataDxfId="14"/>
    <tableColumn id="10" xr3:uid="{D01A1300-02F4-43E5-8ADC-8309F0B9678E}" uniqueName="10" name="Notes" queryTableFieldId="10" dataDxf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59C8E6-2FD3-433A-9FDD-1C6BCD5218F9}" name="Close" displayName="Close" ref="A1:J1759" tableType="queryTable" totalsRowShown="0">
  <autoFilter ref="A1:J1759" xr:uid="{2059C8E6-2FD3-433A-9FDD-1C6BCD5218F9}"/>
  <tableColumns count="10">
    <tableColumn id="6" xr3:uid="{1C316390-EB65-4945-82B8-7DCAB149BCBC}" uniqueName="6" name="ID" queryTableFieldId="6" dataDxfId="12"/>
    <tableColumn id="7" xr3:uid="{F36F1536-3AAA-4E87-850C-A4AE81F1F27E}" uniqueName="7" name="Att" queryTableFieldId="7" dataDxfId="11"/>
    <tableColumn id="8" xr3:uid="{05BAF1C6-17DA-4C05-9494-0A167D2E0EC5}" uniqueName="8" name="Src" queryTableFieldId="8" dataDxfId="10"/>
    <tableColumn id="3" xr3:uid="{D7519ED4-1CAC-4123-B673-DB0FD9143D2E}" uniqueName="3" name="Date" queryTableFieldId="3" dataDxfId="9"/>
    <tableColumn id="10" xr3:uid="{C02E4C78-3497-453C-91EE-35307E2AF3A0}" uniqueName="10" name="Value" queryTableFieldId="10"/>
    <tableColumn id="11" xr3:uid="{B667E55A-EA5F-47FD-89B4-EE87AEC9461E}" uniqueName="11" name="Notes" queryTableFieldId="11" dataDxfId="8"/>
    <tableColumn id="12" xr3:uid="{EC9B5F89-A482-47A0-B23C-23C09F94BF44}" uniqueName="12" name="CreatedDate" queryTableFieldId="12" dataDxfId="7"/>
    <tableColumn id="13" xr3:uid="{86BDD6D8-52EF-447F-8044-8E5AC75568CD}" uniqueName="13" name="CreatedBy" queryTableFieldId="13" dataDxfId="6"/>
    <tableColumn id="14" xr3:uid="{87025357-E1F5-4D25-98DA-D64AA294B9E2}" uniqueName="14" name="ModifiedTime" queryTableFieldId="14" dataDxfId="5"/>
    <tableColumn id="15" xr3:uid="{DAE0CAA6-AED9-4C10-B1DA-A8AB1C8188DC}" uniqueName="15" name="ModifiedBy" queryTableFieldId="15" dataDxf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FB0CD3C-3F34-4EAF-AEB6-1229A2F5ABEA}" name="ToSaveListBondFuture" displayName="ToSaveListBondFuture" ref="A1:D39" tableType="queryTable" totalsRowShown="0">
  <autoFilter ref="A1:D39" xr:uid="{2FB0CD3C-3F34-4EAF-AEB6-1229A2F5ABEA}"/>
  <tableColumns count="4">
    <tableColumn id="1" xr3:uid="{6E7E187F-880C-457A-B4EA-A916C6CDEBD9}" uniqueName="1" name="ID" queryTableFieldId="1" dataDxfId="3"/>
    <tableColumn id="2" xr3:uid="{BF92F67F-D53A-4F57-BCD2-B9E904B1C416}" uniqueName="2" name="Column1" queryTableFieldId="2" dataDxfId="2">
      <calculatedColumnFormula>VLOOKUP(ToSaveListBondFuture[[#This Row],[ID]],'Close - PriceSaver'!A:E,5,0)</calculatedColumnFormula>
    </tableColumn>
    <tableColumn id="3" xr3:uid="{399247B1-63FA-4A47-9C30-EEBFBB92F773}" uniqueName="3" name="Column2" queryTableFieldId="3" dataDxfId="1">
      <calculatedColumnFormula>VLOOKUP(ToSaveListBondFuture[[#This Row],[ID]],CloseDL[[ID]:[Value]],5,0)</calculatedColumnFormula>
    </tableColumn>
    <tableColumn id="4" xr3:uid="{A289B91B-8E4B-4356-BA7B-5096BB78FCD0}" uniqueName="4" name="Column3" queryTableFieldId="4" dataDxfId="0">
      <calculatedColumnFormula>ToSaveListBondFuture[[#This Row],[Column2]]-ToSaveListBondFuture[[#This Row],[Column1]]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209F99A-5939-4283-9B63-A89AA27D958D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03f9f4cf-b945-4129-b526-9f46c233179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D2382-9027-4163-9812-3F35C88FB2B4}">
  <dimension ref="A1:H16"/>
  <sheetViews>
    <sheetView tabSelected="1" topLeftCell="F1" zoomScale="115" zoomScaleNormal="115" workbookViewId="0">
      <selection activeCell="G4" sqref="G4"/>
    </sheetView>
  </sheetViews>
  <sheetFormatPr defaultRowHeight="14.5" x14ac:dyDescent="0.35"/>
  <cols>
    <col min="1" max="1" width="14.26953125" bestFit="1" customWidth="1"/>
    <col min="3" max="3" width="19.26953125" bestFit="1" customWidth="1"/>
    <col min="4" max="4" width="46.26953125" bestFit="1" customWidth="1"/>
    <col min="5" max="5" width="24.1796875" bestFit="1" customWidth="1"/>
    <col min="6" max="6" width="62.7265625" customWidth="1"/>
    <col min="7" max="7" width="56.81640625" bestFit="1" customWidth="1"/>
  </cols>
  <sheetData>
    <row r="1" spans="1:8" x14ac:dyDescent="0.35">
      <c r="A1" t="s">
        <v>1718</v>
      </c>
      <c r="B1" t="s">
        <v>1717</v>
      </c>
      <c r="C1" t="s">
        <v>1716</v>
      </c>
      <c r="D1" t="s">
        <v>1685</v>
      </c>
      <c r="E1" t="s">
        <v>1715</v>
      </c>
      <c r="F1" t="s">
        <v>1725</v>
      </c>
      <c r="G1" t="s">
        <v>1684</v>
      </c>
      <c r="H1" t="s">
        <v>1724</v>
      </c>
    </row>
    <row r="2" spans="1:8" x14ac:dyDescent="0.35">
      <c r="A2" t="s">
        <v>1691</v>
      </c>
      <c r="B2" s="16">
        <v>0.22222222222222221</v>
      </c>
      <c r="C2" t="s">
        <v>1676</v>
      </c>
      <c r="D2" t="s">
        <v>1683</v>
      </c>
      <c r="E2" t="s">
        <v>1709</v>
      </c>
      <c r="F2" t="s">
        <v>1710</v>
      </c>
      <c r="G2" t="s">
        <v>1711</v>
      </c>
      <c r="H2" t="s">
        <v>1726</v>
      </c>
    </row>
    <row r="3" spans="1:8" x14ac:dyDescent="0.35">
      <c r="A3" t="s">
        <v>1691</v>
      </c>
      <c r="B3" s="16">
        <v>0.22222222222222221</v>
      </c>
      <c r="C3" t="s">
        <v>1677</v>
      </c>
      <c r="D3" t="s">
        <v>1686</v>
      </c>
      <c r="E3" t="s">
        <v>1722</v>
      </c>
      <c r="H3" t="s">
        <v>1719</v>
      </c>
    </row>
    <row r="4" spans="1:8" x14ac:dyDescent="0.35">
      <c r="A4" t="s">
        <v>1691</v>
      </c>
      <c r="B4" s="16">
        <v>0.22222222222222221</v>
      </c>
      <c r="C4" t="s">
        <v>1678</v>
      </c>
      <c r="D4" t="s">
        <v>1687</v>
      </c>
      <c r="E4" t="s">
        <v>1712</v>
      </c>
      <c r="F4" t="s">
        <v>5724</v>
      </c>
      <c r="G4" t="s">
        <v>5723</v>
      </c>
      <c r="H4" t="s">
        <v>5722</v>
      </c>
    </row>
    <row r="5" spans="1:8" x14ac:dyDescent="0.35">
      <c r="A5" t="s">
        <v>1692</v>
      </c>
      <c r="B5" s="16">
        <v>0.77083333333333337</v>
      </c>
      <c r="C5" t="s">
        <v>1677</v>
      </c>
    </row>
    <row r="6" spans="1:8" x14ac:dyDescent="0.35">
      <c r="A6" t="s">
        <v>1692</v>
      </c>
      <c r="B6" s="16">
        <v>0.77083333333333337</v>
      </c>
      <c r="C6" t="s">
        <v>1740</v>
      </c>
    </row>
    <row r="7" spans="1:8" x14ac:dyDescent="0.35">
      <c r="A7" t="s">
        <v>1692</v>
      </c>
      <c r="B7" s="16">
        <v>0.77083333333333337</v>
      </c>
      <c r="C7" t="s">
        <v>1679</v>
      </c>
      <c r="D7" t="s">
        <v>1688</v>
      </c>
      <c r="E7" t="s">
        <v>1714</v>
      </c>
      <c r="F7" t="s">
        <v>1738</v>
      </c>
      <c r="G7" t="s">
        <v>1689</v>
      </c>
      <c r="H7" t="s">
        <v>1739</v>
      </c>
    </row>
    <row r="8" spans="1:8" x14ac:dyDescent="0.35">
      <c r="A8" t="s">
        <v>1692</v>
      </c>
      <c r="B8" s="16">
        <v>0.77083333333333337</v>
      </c>
      <c r="C8" t="s">
        <v>1682</v>
      </c>
      <c r="D8" t="s">
        <v>1688</v>
      </c>
      <c r="E8" t="s">
        <v>1714</v>
      </c>
      <c r="F8" t="s">
        <v>1735</v>
      </c>
      <c r="G8" t="s">
        <v>1689</v>
      </c>
      <c r="H8" t="s">
        <v>1727</v>
      </c>
    </row>
    <row r="9" spans="1:8" x14ac:dyDescent="0.35">
      <c r="A9" t="s">
        <v>1692</v>
      </c>
      <c r="B9" s="16">
        <v>0.77083333333333337</v>
      </c>
      <c r="C9" t="s">
        <v>1680</v>
      </c>
      <c r="D9" t="s">
        <v>1690</v>
      </c>
      <c r="E9" t="s">
        <v>1720</v>
      </c>
      <c r="F9" t="s">
        <v>1733</v>
      </c>
      <c r="G9" t="s">
        <v>1689</v>
      </c>
      <c r="H9" t="s">
        <v>1723</v>
      </c>
    </row>
    <row r="10" spans="1:8" x14ac:dyDescent="0.35">
      <c r="A10" t="s">
        <v>1692</v>
      </c>
      <c r="B10" s="16">
        <v>0.77083333333333337</v>
      </c>
      <c r="C10" t="s">
        <v>1681</v>
      </c>
      <c r="D10" t="s">
        <v>1690</v>
      </c>
      <c r="E10" t="s">
        <v>1720</v>
      </c>
      <c r="F10" t="s">
        <v>1734</v>
      </c>
      <c r="G10" t="s">
        <v>1689</v>
      </c>
      <c r="H10" t="s">
        <v>1731</v>
      </c>
    </row>
    <row r="11" spans="1:8" x14ac:dyDescent="0.35">
      <c r="A11" t="s">
        <v>1692</v>
      </c>
      <c r="B11" s="16">
        <v>0.77083333333333337</v>
      </c>
      <c r="C11" t="s">
        <v>1677</v>
      </c>
      <c r="D11" t="s">
        <v>1693</v>
      </c>
      <c r="E11" t="s">
        <v>1722</v>
      </c>
      <c r="H11" t="s">
        <v>1719</v>
      </c>
    </row>
    <row r="12" spans="1:8" ht="15.75" customHeight="1" x14ac:dyDescent="0.35">
      <c r="A12" t="s">
        <v>1692</v>
      </c>
      <c r="B12" s="16">
        <v>0.77083333333333337</v>
      </c>
      <c r="C12" t="s">
        <v>1694</v>
      </c>
      <c r="D12" t="s">
        <v>1698</v>
      </c>
      <c r="E12" t="s">
        <v>1713</v>
      </c>
      <c r="F12" s="17" t="s">
        <v>1737</v>
      </c>
      <c r="G12" t="s">
        <v>1699</v>
      </c>
      <c r="H12" t="s">
        <v>1728</v>
      </c>
    </row>
    <row r="13" spans="1:8" x14ac:dyDescent="0.35">
      <c r="A13" t="s">
        <v>1692</v>
      </c>
      <c r="B13" s="16">
        <v>0.77083333333333337</v>
      </c>
      <c r="C13" t="s">
        <v>1695</v>
      </c>
      <c r="D13" t="s">
        <v>1698</v>
      </c>
      <c r="E13" t="s">
        <v>1713</v>
      </c>
      <c r="F13" s="17" t="s">
        <v>1700</v>
      </c>
      <c r="G13" t="s">
        <v>1699</v>
      </c>
      <c r="H13" t="s">
        <v>1730</v>
      </c>
    </row>
    <row r="14" spans="1:8" x14ac:dyDescent="0.35">
      <c r="A14" t="s">
        <v>1692</v>
      </c>
      <c r="B14" s="16">
        <v>0.77083333333333337</v>
      </c>
      <c r="C14" t="s">
        <v>1696</v>
      </c>
      <c r="D14" t="s">
        <v>1698</v>
      </c>
      <c r="E14" t="s">
        <v>1713</v>
      </c>
      <c r="F14" t="s">
        <v>1701</v>
      </c>
      <c r="G14" t="s">
        <v>1699</v>
      </c>
      <c r="H14" t="s">
        <v>1736</v>
      </c>
    </row>
    <row r="15" spans="1:8" ht="15" customHeight="1" x14ac:dyDescent="0.35">
      <c r="A15" t="s">
        <v>1692</v>
      </c>
      <c r="B15" s="16">
        <v>0.77083333333333337</v>
      </c>
      <c r="C15" t="s">
        <v>1697</v>
      </c>
      <c r="D15" t="s">
        <v>1698</v>
      </c>
      <c r="E15" t="s">
        <v>1713</v>
      </c>
      <c r="F15" s="17" t="s">
        <v>1706</v>
      </c>
      <c r="G15" t="s">
        <v>1699</v>
      </c>
      <c r="H15" t="s">
        <v>1729</v>
      </c>
    </row>
    <row r="16" spans="1:8" x14ac:dyDescent="0.35">
      <c r="A16" t="s">
        <v>1692</v>
      </c>
      <c r="B16" s="16">
        <v>0.77083333333333337</v>
      </c>
      <c r="C16" t="s">
        <v>1702</v>
      </c>
      <c r="D16" t="s">
        <v>1703</v>
      </c>
      <c r="E16" t="s">
        <v>1721</v>
      </c>
      <c r="F16" t="s">
        <v>1704</v>
      </c>
      <c r="G16" t="s">
        <v>1705</v>
      </c>
      <c r="H16" t="s">
        <v>1732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14898-4376-4BC1-8FBB-2D872509C6EA}">
  <sheetPr codeName="Sheet1"/>
  <dimension ref="A1:M2545"/>
  <sheetViews>
    <sheetView workbookViewId="0">
      <selection activeCell="L4" sqref="L4"/>
    </sheetView>
  </sheetViews>
  <sheetFormatPr defaultRowHeight="14.5" x14ac:dyDescent="0.35"/>
  <cols>
    <col min="1" max="2" width="11.453125" bestFit="1" customWidth="1"/>
    <col min="3" max="3" width="14.81640625" bestFit="1" customWidth="1"/>
    <col min="4" max="4" width="10.453125" bestFit="1" customWidth="1"/>
    <col min="5" max="5" width="14.54296875" bestFit="1" customWidth="1"/>
    <col min="6" max="6" width="17" bestFit="1" customWidth="1"/>
    <col min="7" max="7" width="41.7265625" bestFit="1" customWidth="1"/>
    <col min="8" max="8" width="34" bestFit="1" customWidth="1"/>
    <col min="9" max="9" width="13.54296875" bestFit="1" customWidth="1"/>
    <col min="10" max="10" width="16.54296875" bestFit="1" customWidth="1"/>
    <col min="11" max="11" width="17" bestFit="1" customWidth="1"/>
    <col min="12" max="12" width="14.54296875" bestFit="1" customWidth="1"/>
    <col min="13" max="13" width="16.26953125" bestFit="1" customWidth="1"/>
    <col min="16" max="16" width="10.26953125" bestFit="1" customWidth="1"/>
    <col min="17" max="17" width="13.7265625" bestFit="1" customWidth="1"/>
  </cols>
  <sheetData>
    <row r="1" spans="1:13" x14ac:dyDescent="0.3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565</v>
      </c>
      <c r="B2" t="s">
        <v>2821</v>
      </c>
      <c r="C2" t="s">
        <v>2822</v>
      </c>
      <c r="D2">
        <v>0</v>
      </c>
      <c r="E2" s="1">
        <v>46240</v>
      </c>
      <c r="F2" t="s">
        <v>1988</v>
      </c>
      <c r="G2" t="s">
        <v>2822</v>
      </c>
      <c r="H2" t="s">
        <v>2</v>
      </c>
      <c r="I2" s="1">
        <v>46224</v>
      </c>
      <c r="J2" t="s">
        <v>1991</v>
      </c>
      <c r="K2" t="s">
        <v>4169</v>
      </c>
      <c r="L2" s="1">
        <v>46224.918321759258</v>
      </c>
      <c r="M2" s="1">
        <v>46224.91962439815</v>
      </c>
    </row>
    <row r="3" spans="1:13" x14ac:dyDescent="0.35">
      <c r="A3" t="s">
        <v>565</v>
      </c>
      <c r="B3" t="s">
        <v>2821</v>
      </c>
      <c r="C3" t="s">
        <v>2822</v>
      </c>
      <c r="D3">
        <v>0</v>
      </c>
      <c r="E3" s="1">
        <v>46240</v>
      </c>
      <c r="F3" t="s">
        <v>1988</v>
      </c>
      <c r="G3" t="s">
        <v>2822</v>
      </c>
      <c r="H3" t="s">
        <v>2</v>
      </c>
      <c r="I3" s="1">
        <v>46224</v>
      </c>
      <c r="J3" t="s">
        <v>1989</v>
      </c>
      <c r="K3" t="s">
        <v>4193</v>
      </c>
      <c r="L3" s="1">
        <v>46224.918321759258</v>
      </c>
      <c r="M3" s="1">
        <v>46224.91962439815</v>
      </c>
    </row>
    <row r="4" spans="1:13" x14ac:dyDescent="0.35">
      <c r="A4" t="s">
        <v>556</v>
      </c>
      <c r="B4" t="s">
        <v>2821</v>
      </c>
      <c r="C4" t="s">
        <v>2859</v>
      </c>
      <c r="D4">
        <v>0</v>
      </c>
      <c r="E4" s="1">
        <v>46268</v>
      </c>
      <c r="F4" t="s">
        <v>1988</v>
      </c>
      <c r="G4" t="s">
        <v>2859</v>
      </c>
      <c r="H4" t="s">
        <v>2</v>
      </c>
      <c r="I4" s="1">
        <v>46224</v>
      </c>
      <c r="J4" t="s">
        <v>2064</v>
      </c>
      <c r="K4" t="s">
        <v>4214</v>
      </c>
      <c r="L4" s="1">
        <v>46224.917650462965</v>
      </c>
      <c r="M4" s="1">
        <v>46224.91962439815</v>
      </c>
    </row>
    <row r="5" spans="1:13" x14ac:dyDescent="0.35">
      <c r="A5" t="s">
        <v>556</v>
      </c>
      <c r="B5" t="s">
        <v>2821</v>
      </c>
      <c r="C5" t="s">
        <v>2859</v>
      </c>
      <c r="D5">
        <v>0</v>
      </c>
      <c r="E5" s="1">
        <v>46268</v>
      </c>
      <c r="F5" t="s">
        <v>1988</v>
      </c>
      <c r="G5" t="s">
        <v>2859</v>
      </c>
      <c r="H5" t="s">
        <v>2</v>
      </c>
      <c r="I5" s="1">
        <v>46224</v>
      </c>
      <c r="J5" t="s">
        <v>1991</v>
      </c>
      <c r="K5" t="s">
        <v>4270</v>
      </c>
      <c r="L5" s="1">
        <v>46224.918321759258</v>
      </c>
      <c r="M5" s="1">
        <v>46224.91962439815</v>
      </c>
    </row>
    <row r="6" spans="1:13" x14ac:dyDescent="0.35">
      <c r="A6" t="s">
        <v>556</v>
      </c>
      <c r="B6" t="s">
        <v>2821</v>
      </c>
      <c r="C6" t="s">
        <v>2859</v>
      </c>
      <c r="D6">
        <v>0</v>
      </c>
      <c r="E6" s="1">
        <v>46268</v>
      </c>
      <c r="F6" t="s">
        <v>1988</v>
      </c>
      <c r="G6" t="s">
        <v>2859</v>
      </c>
      <c r="H6" t="s">
        <v>2</v>
      </c>
      <c r="I6" s="1">
        <v>46224</v>
      </c>
      <c r="J6" t="s">
        <v>2108</v>
      </c>
      <c r="K6" t="s">
        <v>4194</v>
      </c>
      <c r="L6" s="1">
        <v>46224.917650462965</v>
      </c>
      <c r="M6" s="1">
        <v>46224.91962439815</v>
      </c>
    </row>
    <row r="7" spans="1:13" x14ac:dyDescent="0.35">
      <c r="A7" t="s">
        <v>556</v>
      </c>
      <c r="B7" t="s">
        <v>2821</v>
      </c>
      <c r="C7" t="s">
        <v>2859</v>
      </c>
      <c r="D7">
        <v>0</v>
      </c>
      <c r="E7" s="1">
        <v>46268</v>
      </c>
      <c r="F7" t="s">
        <v>1988</v>
      </c>
      <c r="G7" t="s">
        <v>2859</v>
      </c>
      <c r="H7" t="s">
        <v>2</v>
      </c>
      <c r="I7" s="1">
        <v>46224</v>
      </c>
      <c r="J7" t="s">
        <v>1989</v>
      </c>
      <c r="K7" t="s">
        <v>4213</v>
      </c>
      <c r="L7" s="1">
        <v>46224.918321759258</v>
      </c>
      <c r="M7" s="1">
        <v>46224.91962439815</v>
      </c>
    </row>
    <row r="8" spans="1:13" x14ac:dyDescent="0.35">
      <c r="A8" t="s">
        <v>556</v>
      </c>
      <c r="B8" t="s">
        <v>2821</v>
      </c>
      <c r="C8" t="s">
        <v>2859</v>
      </c>
      <c r="D8">
        <v>0</v>
      </c>
      <c r="E8" s="1">
        <v>46268</v>
      </c>
      <c r="F8" t="s">
        <v>1988</v>
      </c>
      <c r="G8" t="s">
        <v>2859</v>
      </c>
      <c r="H8" t="s">
        <v>2</v>
      </c>
      <c r="I8" s="1">
        <v>46224</v>
      </c>
      <c r="J8" t="s">
        <v>2065</v>
      </c>
      <c r="K8" t="s">
        <v>4214</v>
      </c>
      <c r="L8" s="1">
        <v>46224.917650462965</v>
      </c>
      <c r="M8" s="1">
        <v>46224.91962439815</v>
      </c>
    </row>
    <row r="9" spans="1:13" x14ac:dyDescent="0.35">
      <c r="A9" t="s">
        <v>556</v>
      </c>
      <c r="B9" t="s">
        <v>2821</v>
      </c>
      <c r="C9" t="s">
        <v>2859</v>
      </c>
      <c r="D9">
        <v>0</v>
      </c>
      <c r="E9" s="1">
        <v>46268</v>
      </c>
      <c r="F9" t="s">
        <v>1988</v>
      </c>
      <c r="G9" t="s">
        <v>2859</v>
      </c>
      <c r="H9" t="s">
        <v>2</v>
      </c>
      <c r="I9" s="1">
        <v>46224</v>
      </c>
      <c r="J9" t="s">
        <v>2146</v>
      </c>
      <c r="K9" t="s">
        <v>4194</v>
      </c>
      <c r="L9" s="1">
        <v>46224.917650462965</v>
      </c>
      <c r="M9" s="1">
        <v>46224.91962439815</v>
      </c>
    </row>
    <row r="10" spans="1:13" x14ac:dyDescent="0.35">
      <c r="A10" t="s">
        <v>566</v>
      </c>
      <c r="B10" t="s">
        <v>2821</v>
      </c>
      <c r="C10" t="s">
        <v>2823</v>
      </c>
      <c r="D10">
        <v>0</v>
      </c>
      <c r="E10" s="1">
        <v>46296</v>
      </c>
      <c r="F10" t="s">
        <v>1988</v>
      </c>
      <c r="G10" t="s">
        <v>2823</v>
      </c>
      <c r="H10" t="s">
        <v>2</v>
      </c>
      <c r="I10" s="1">
        <v>46224</v>
      </c>
      <c r="J10" t="s">
        <v>2146</v>
      </c>
      <c r="K10" t="s">
        <v>4170</v>
      </c>
      <c r="L10" s="1">
        <v>46224.917650462965</v>
      </c>
      <c r="M10" s="1">
        <v>46224.91962439815</v>
      </c>
    </row>
    <row r="11" spans="1:13" x14ac:dyDescent="0.35">
      <c r="A11" t="s">
        <v>566</v>
      </c>
      <c r="B11" t="s">
        <v>2821</v>
      </c>
      <c r="C11" t="s">
        <v>2823</v>
      </c>
      <c r="D11">
        <v>0</v>
      </c>
      <c r="E11" s="1">
        <v>46296</v>
      </c>
      <c r="F11" t="s">
        <v>1988</v>
      </c>
      <c r="G11" t="s">
        <v>2823</v>
      </c>
      <c r="H11" t="s">
        <v>2</v>
      </c>
      <c r="I11" s="1">
        <v>46224</v>
      </c>
      <c r="J11" t="s">
        <v>2064</v>
      </c>
      <c r="K11" t="s">
        <v>4234</v>
      </c>
      <c r="L11" s="1">
        <v>46224.917650462965</v>
      </c>
      <c r="M11" s="1">
        <v>46224.91962439815</v>
      </c>
    </row>
    <row r="12" spans="1:13" x14ac:dyDescent="0.35">
      <c r="A12" t="s">
        <v>566</v>
      </c>
      <c r="B12" t="s">
        <v>2821</v>
      </c>
      <c r="C12" t="s">
        <v>2823</v>
      </c>
      <c r="D12">
        <v>0</v>
      </c>
      <c r="E12" s="1">
        <v>46296</v>
      </c>
      <c r="F12" t="s">
        <v>1988</v>
      </c>
      <c r="G12" t="s">
        <v>2823</v>
      </c>
      <c r="H12" t="s">
        <v>2</v>
      </c>
      <c r="I12" s="1">
        <v>46224</v>
      </c>
      <c r="J12" t="s">
        <v>1991</v>
      </c>
      <c r="K12" t="s">
        <v>4249</v>
      </c>
      <c r="L12" s="1">
        <v>46224.918321759258</v>
      </c>
      <c r="M12" s="1">
        <v>46224.91962439815</v>
      </c>
    </row>
    <row r="13" spans="1:13" x14ac:dyDescent="0.35">
      <c r="A13" t="s">
        <v>566</v>
      </c>
      <c r="B13" t="s">
        <v>2821</v>
      </c>
      <c r="C13" t="s">
        <v>2823</v>
      </c>
      <c r="D13">
        <v>0</v>
      </c>
      <c r="E13" s="1">
        <v>46296</v>
      </c>
      <c r="F13" t="s">
        <v>1988</v>
      </c>
      <c r="G13" t="s">
        <v>2823</v>
      </c>
      <c r="H13" t="s">
        <v>2</v>
      </c>
      <c r="I13" s="1">
        <v>46224</v>
      </c>
      <c r="J13" t="s">
        <v>2065</v>
      </c>
      <c r="K13" t="s">
        <v>4234</v>
      </c>
      <c r="L13" s="1">
        <v>46224.917650462965</v>
      </c>
      <c r="M13" s="1">
        <v>46224.91962439815</v>
      </c>
    </row>
    <row r="14" spans="1:13" x14ac:dyDescent="0.35">
      <c r="A14" t="s">
        <v>566</v>
      </c>
      <c r="B14" t="s">
        <v>2821</v>
      </c>
      <c r="C14" t="s">
        <v>2823</v>
      </c>
      <c r="D14">
        <v>0</v>
      </c>
      <c r="E14" s="1">
        <v>46296</v>
      </c>
      <c r="F14" t="s">
        <v>1988</v>
      </c>
      <c r="G14" t="s">
        <v>2823</v>
      </c>
      <c r="H14" t="s">
        <v>2</v>
      </c>
      <c r="I14" s="1">
        <v>46224</v>
      </c>
      <c r="J14" t="s">
        <v>1989</v>
      </c>
      <c r="K14" t="s">
        <v>4195</v>
      </c>
      <c r="L14" s="1">
        <v>46224.918321759258</v>
      </c>
      <c r="M14" s="1">
        <v>46224.91962439815</v>
      </c>
    </row>
    <row r="15" spans="1:13" x14ac:dyDescent="0.35">
      <c r="A15" t="s">
        <v>566</v>
      </c>
      <c r="B15" t="s">
        <v>2821</v>
      </c>
      <c r="C15" t="s">
        <v>2823</v>
      </c>
      <c r="D15">
        <v>0</v>
      </c>
      <c r="E15" s="1">
        <v>46296</v>
      </c>
      <c r="F15" t="s">
        <v>1988</v>
      </c>
      <c r="G15" t="s">
        <v>2823</v>
      </c>
      <c r="H15" t="s">
        <v>2</v>
      </c>
      <c r="I15" s="1">
        <v>46224</v>
      </c>
      <c r="J15" t="s">
        <v>2108</v>
      </c>
      <c r="K15" t="s">
        <v>4170</v>
      </c>
      <c r="L15" s="1">
        <v>46224.917650462965</v>
      </c>
      <c r="M15" s="1">
        <v>46224.91962439815</v>
      </c>
    </row>
    <row r="16" spans="1:13" x14ac:dyDescent="0.35">
      <c r="A16" t="s">
        <v>567</v>
      </c>
      <c r="B16" t="s">
        <v>2821</v>
      </c>
      <c r="C16" t="s">
        <v>2824</v>
      </c>
      <c r="D16">
        <v>0</v>
      </c>
      <c r="E16" s="1">
        <v>46324</v>
      </c>
      <c r="F16" t="s">
        <v>1988</v>
      </c>
      <c r="G16" t="s">
        <v>2824</v>
      </c>
      <c r="H16" t="s">
        <v>2</v>
      </c>
      <c r="I16" s="1">
        <v>46224</v>
      </c>
      <c r="J16" t="s">
        <v>1989</v>
      </c>
      <c r="K16" t="s">
        <v>4171</v>
      </c>
      <c r="L16" s="1">
        <v>46224.918321759258</v>
      </c>
      <c r="M16" s="1">
        <v>46224.91962439815</v>
      </c>
    </row>
    <row r="17" spans="1:13" x14ac:dyDescent="0.35">
      <c r="A17" t="s">
        <v>567</v>
      </c>
      <c r="B17" t="s">
        <v>2821</v>
      </c>
      <c r="C17" t="s">
        <v>2824</v>
      </c>
      <c r="D17">
        <v>0</v>
      </c>
      <c r="E17" s="1">
        <v>46324</v>
      </c>
      <c r="F17" t="s">
        <v>1988</v>
      </c>
      <c r="G17" t="s">
        <v>2824</v>
      </c>
      <c r="H17" t="s">
        <v>2</v>
      </c>
      <c r="I17" s="1">
        <v>46224</v>
      </c>
      <c r="J17" t="s">
        <v>2108</v>
      </c>
      <c r="K17" t="s">
        <v>2496</v>
      </c>
      <c r="L17" s="1">
        <v>46224.917650462965</v>
      </c>
      <c r="M17" s="1">
        <v>46224.91962439815</v>
      </c>
    </row>
    <row r="18" spans="1:13" x14ac:dyDescent="0.35">
      <c r="A18" t="s">
        <v>567</v>
      </c>
      <c r="B18" t="s">
        <v>2821</v>
      </c>
      <c r="C18" t="s">
        <v>2824</v>
      </c>
      <c r="D18">
        <v>0</v>
      </c>
      <c r="E18" s="1">
        <v>46324</v>
      </c>
      <c r="F18" t="s">
        <v>1988</v>
      </c>
      <c r="G18" t="s">
        <v>2824</v>
      </c>
      <c r="H18" t="s">
        <v>2</v>
      </c>
      <c r="I18" s="1">
        <v>46224</v>
      </c>
      <c r="J18" t="s">
        <v>2064</v>
      </c>
      <c r="K18" t="s">
        <v>4196</v>
      </c>
      <c r="L18" s="1">
        <v>46224.917650462965</v>
      </c>
      <c r="M18" s="1">
        <v>46224.91962439815</v>
      </c>
    </row>
    <row r="19" spans="1:13" x14ac:dyDescent="0.35">
      <c r="A19" t="s">
        <v>567</v>
      </c>
      <c r="B19" t="s">
        <v>2821</v>
      </c>
      <c r="C19" t="s">
        <v>2824</v>
      </c>
      <c r="D19">
        <v>0</v>
      </c>
      <c r="E19" s="1">
        <v>46324</v>
      </c>
      <c r="F19" t="s">
        <v>1988</v>
      </c>
      <c r="G19" t="s">
        <v>2824</v>
      </c>
      <c r="H19" t="s">
        <v>2</v>
      </c>
      <c r="I19" s="1">
        <v>46224</v>
      </c>
      <c r="J19" t="s">
        <v>1991</v>
      </c>
      <c r="K19" t="s">
        <v>4235</v>
      </c>
      <c r="L19" s="1">
        <v>46224.918321759258</v>
      </c>
      <c r="M19" s="1">
        <v>46224.91962439815</v>
      </c>
    </row>
    <row r="20" spans="1:13" x14ac:dyDescent="0.35">
      <c r="A20" t="s">
        <v>567</v>
      </c>
      <c r="B20" t="s">
        <v>2821</v>
      </c>
      <c r="C20" t="s">
        <v>2824</v>
      </c>
      <c r="D20">
        <v>0</v>
      </c>
      <c r="E20" s="1">
        <v>46324</v>
      </c>
      <c r="F20" t="s">
        <v>1988</v>
      </c>
      <c r="G20" t="s">
        <v>2824</v>
      </c>
      <c r="H20" t="s">
        <v>2</v>
      </c>
      <c r="I20" s="1">
        <v>46224</v>
      </c>
      <c r="J20" t="s">
        <v>2146</v>
      </c>
      <c r="K20" t="s">
        <v>2496</v>
      </c>
      <c r="L20" s="1">
        <v>46224.917650462965</v>
      </c>
      <c r="M20" s="1">
        <v>46224.91962439815</v>
      </c>
    </row>
    <row r="21" spans="1:13" x14ac:dyDescent="0.35">
      <c r="A21" t="s">
        <v>567</v>
      </c>
      <c r="B21" t="s">
        <v>2821</v>
      </c>
      <c r="C21" t="s">
        <v>2824</v>
      </c>
      <c r="D21">
        <v>0</v>
      </c>
      <c r="E21" s="1">
        <v>46324</v>
      </c>
      <c r="F21" t="s">
        <v>1988</v>
      </c>
      <c r="G21" t="s">
        <v>2824</v>
      </c>
      <c r="H21" t="s">
        <v>2</v>
      </c>
      <c r="I21" s="1">
        <v>46224</v>
      </c>
      <c r="J21" t="s">
        <v>2065</v>
      </c>
      <c r="K21" t="s">
        <v>4196</v>
      </c>
      <c r="L21" s="1">
        <v>46224.917650462965</v>
      </c>
      <c r="M21" s="1">
        <v>46224.91962439815</v>
      </c>
    </row>
    <row r="22" spans="1:13" x14ac:dyDescent="0.35">
      <c r="A22" t="s">
        <v>568</v>
      </c>
      <c r="B22" t="s">
        <v>2821</v>
      </c>
      <c r="C22" t="s">
        <v>2852</v>
      </c>
      <c r="D22">
        <v>0</v>
      </c>
      <c r="E22" s="1">
        <v>46353</v>
      </c>
      <c r="F22" t="s">
        <v>1988</v>
      </c>
      <c r="G22" t="s">
        <v>2852</v>
      </c>
      <c r="H22" t="s">
        <v>2</v>
      </c>
      <c r="I22" s="1">
        <v>46224</v>
      </c>
      <c r="J22" t="s">
        <v>2065</v>
      </c>
      <c r="K22" t="s">
        <v>2946</v>
      </c>
      <c r="L22" s="1">
        <v>46224.917650462965</v>
      </c>
      <c r="M22" s="1">
        <v>46224.91962439815</v>
      </c>
    </row>
    <row r="23" spans="1:13" x14ac:dyDescent="0.35">
      <c r="A23" t="s">
        <v>568</v>
      </c>
      <c r="B23" t="s">
        <v>2821</v>
      </c>
      <c r="C23" t="s">
        <v>2852</v>
      </c>
      <c r="D23">
        <v>0</v>
      </c>
      <c r="E23" s="1">
        <v>46353</v>
      </c>
      <c r="F23" t="s">
        <v>1988</v>
      </c>
      <c r="G23" t="s">
        <v>2852</v>
      </c>
      <c r="H23" t="s">
        <v>2</v>
      </c>
      <c r="I23" s="1">
        <v>46224</v>
      </c>
      <c r="J23" t="s">
        <v>2064</v>
      </c>
      <c r="K23" t="s">
        <v>2946</v>
      </c>
      <c r="L23" s="1">
        <v>46224.917650462965</v>
      </c>
      <c r="M23" s="1">
        <v>46224.91962439815</v>
      </c>
    </row>
    <row r="24" spans="1:13" x14ac:dyDescent="0.35">
      <c r="A24" t="s">
        <v>568</v>
      </c>
      <c r="B24" t="s">
        <v>2821</v>
      </c>
      <c r="C24" t="s">
        <v>2852</v>
      </c>
      <c r="D24">
        <v>0</v>
      </c>
      <c r="E24" s="1">
        <v>46353</v>
      </c>
      <c r="F24" t="s">
        <v>1988</v>
      </c>
      <c r="G24" t="s">
        <v>2852</v>
      </c>
      <c r="H24" t="s">
        <v>2</v>
      </c>
      <c r="I24" s="1">
        <v>46224</v>
      </c>
      <c r="J24" t="s">
        <v>2146</v>
      </c>
      <c r="K24" t="s">
        <v>2405</v>
      </c>
      <c r="L24" s="1">
        <v>46224.917650462965</v>
      </c>
      <c r="M24" s="1">
        <v>46224.91962439815</v>
      </c>
    </row>
    <row r="25" spans="1:13" x14ac:dyDescent="0.35">
      <c r="A25" t="s">
        <v>568</v>
      </c>
      <c r="B25" t="s">
        <v>2821</v>
      </c>
      <c r="C25" t="s">
        <v>2852</v>
      </c>
      <c r="D25">
        <v>0</v>
      </c>
      <c r="E25" s="1">
        <v>46353</v>
      </c>
      <c r="F25" t="s">
        <v>1988</v>
      </c>
      <c r="G25" t="s">
        <v>2852</v>
      </c>
      <c r="H25" t="s">
        <v>2</v>
      </c>
      <c r="I25" s="1">
        <v>46224</v>
      </c>
      <c r="J25" t="s">
        <v>1991</v>
      </c>
      <c r="K25" t="s">
        <v>4290</v>
      </c>
      <c r="L25" s="1">
        <v>46224.918321759258</v>
      </c>
      <c r="M25" s="1">
        <v>46224.91962439815</v>
      </c>
    </row>
    <row r="26" spans="1:13" x14ac:dyDescent="0.35">
      <c r="A26" t="s">
        <v>568</v>
      </c>
      <c r="B26" t="s">
        <v>2821</v>
      </c>
      <c r="C26" t="s">
        <v>2852</v>
      </c>
      <c r="D26">
        <v>0</v>
      </c>
      <c r="E26" s="1">
        <v>46353</v>
      </c>
      <c r="F26" t="s">
        <v>1988</v>
      </c>
      <c r="G26" t="s">
        <v>2852</v>
      </c>
      <c r="H26" t="s">
        <v>2</v>
      </c>
      <c r="I26" s="1">
        <v>46224</v>
      </c>
      <c r="J26" t="s">
        <v>1989</v>
      </c>
      <c r="K26" t="s">
        <v>4215</v>
      </c>
      <c r="L26" s="1">
        <v>46224.918321759258</v>
      </c>
      <c r="M26" s="1">
        <v>46224.91962439815</v>
      </c>
    </row>
    <row r="27" spans="1:13" x14ac:dyDescent="0.35">
      <c r="A27" t="s">
        <v>568</v>
      </c>
      <c r="B27" t="s">
        <v>2821</v>
      </c>
      <c r="C27" t="s">
        <v>2852</v>
      </c>
      <c r="D27">
        <v>0</v>
      </c>
      <c r="E27" s="1">
        <v>46353</v>
      </c>
      <c r="F27" t="s">
        <v>1988</v>
      </c>
      <c r="G27" t="s">
        <v>2852</v>
      </c>
      <c r="H27" t="s">
        <v>2</v>
      </c>
      <c r="I27" s="1">
        <v>46224</v>
      </c>
      <c r="J27" t="s">
        <v>2108</v>
      </c>
      <c r="K27" t="s">
        <v>2405</v>
      </c>
      <c r="L27" s="1">
        <v>46224.917650462965</v>
      </c>
      <c r="M27" s="1">
        <v>46224.91962439815</v>
      </c>
    </row>
    <row r="28" spans="1:13" x14ac:dyDescent="0.35">
      <c r="A28" t="s">
        <v>557</v>
      </c>
      <c r="B28" t="s">
        <v>2821</v>
      </c>
      <c r="C28" t="s">
        <v>2853</v>
      </c>
      <c r="D28">
        <v>0</v>
      </c>
      <c r="E28" s="1">
        <v>46380</v>
      </c>
      <c r="F28" t="s">
        <v>1988</v>
      </c>
      <c r="G28" t="s">
        <v>2853</v>
      </c>
      <c r="H28" t="s">
        <v>2</v>
      </c>
      <c r="I28" s="1">
        <v>46224</v>
      </c>
      <c r="J28" t="s">
        <v>2064</v>
      </c>
      <c r="K28" t="s">
        <v>4172</v>
      </c>
      <c r="L28" s="1">
        <v>46224.917650462965</v>
      </c>
      <c r="M28" s="1">
        <v>46224.91962439815</v>
      </c>
    </row>
    <row r="29" spans="1:13" x14ac:dyDescent="0.35">
      <c r="A29" t="s">
        <v>557</v>
      </c>
      <c r="B29" t="s">
        <v>2821</v>
      </c>
      <c r="C29" t="s">
        <v>2853</v>
      </c>
      <c r="D29">
        <v>0</v>
      </c>
      <c r="E29" s="1">
        <v>46380</v>
      </c>
      <c r="F29" t="s">
        <v>1988</v>
      </c>
      <c r="G29" t="s">
        <v>2853</v>
      </c>
      <c r="H29" t="s">
        <v>2</v>
      </c>
      <c r="I29" s="1">
        <v>46224</v>
      </c>
      <c r="J29" t="s">
        <v>2146</v>
      </c>
      <c r="K29" t="s">
        <v>4250</v>
      </c>
      <c r="L29" s="1">
        <v>46224.917650462965</v>
      </c>
      <c r="M29" s="1">
        <v>46224.91962439815</v>
      </c>
    </row>
    <row r="30" spans="1:13" x14ac:dyDescent="0.35">
      <c r="A30" t="s">
        <v>557</v>
      </c>
      <c r="B30" t="s">
        <v>2821</v>
      </c>
      <c r="C30" t="s">
        <v>2853</v>
      </c>
      <c r="D30">
        <v>0</v>
      </c>
      <c r="E30" s="1">
        <v>46380</v>
      </c>
      <c r="F30" t="s">
        <v>1988</v>
      </c>
      <c r="G30" t="s">
        <v>2853</v>
      </c>
      <c r="H30" t="s">
        <v>2</v>
      </c>
      <c r="I30" s="1">
        <v>46224</v>
      </c>
      <c r="J30" t="s">
        <v>2108</v>
      </c>
      <c r="K30" t="s">
        <v>4250</v>
      </c>
      <c r="L30" s="1">
        <v>46224.917650462965</v>
      </c>
      <c r="M30" s="1">
        <v>46224.91962439815</v>
      </c>
    </row>
    <row r="31" spans="1:13" x14ac:dyDescent="0.35">
      <c r="A31" t="s">
        <v>557</v>
      </c>
      <c r="B31" t="s">
        <v>2821</v>
      </c>
      <c r="C31" t="s">
        <v>2853</v>
      </c>
      <c r="D31">
        <v>0</v>
      </c>
      <c r="E31" s="1">
        <v>46380</v>
      </c>
      <c r="F31" t="s">
        <v>1988</v>
      </c>
      <c r="G31" t="s">
        <v>2853</v>
      </c>
      <c r="H31" t="s">
        <v>2</v>
      </c>
      <c r="I31" s="1">
        <v>46224</v>
      </c>
      <c r="J31" t="s">
        <v>1991</v>
      </c>
      <c r="K31" t="s">
        <v>4216</v>
      </c>
      <c r="L31" s="1">
        <v>46224.918321759258</v>
      </c>
      <c r="M31" s="1">
        <v>46224.91962439815</v>
      </c>
    </row>
    <row r="32" spans="1:13" x14ac:dyDescent="0.35">
      <c r="A32" t="s">
        <v>557</v>
      </c>
      <c r="B32" t="s">
        <v>2821</v>
      </c>
      <c r="C32" t="s">
        <v>2853</v>
      </c>
      <c r="D32">
        <v>0</v>
      </c>
      <c r="E32" s="1">
        <v>46380</v>
      </c>
      <c r="F32" t="s">
        <v>1988</v>
      </c>
      <c r="G32" t="s">
        <v>2853</v>
      </c>
      <c r="H32" t="s">
        <v>2</v>
      </c>
      <c r="I32" s="1">
        <v>46224</v>
      </c>
      <c r="J32" t="s">
        <v>1989</v>
      </c>
      <c r="K32" t="s">
        <v>4197</v>
      </c>
      <c r="L32" s="1">
        <v>46224.918321759258</v>
      </c>
      <c r="M32" s="1">
        <v>46224.91962439815</v>
      </c>
    </row>
    <row r="33" spans="1:13" x14ac:dyDescent="0.35">
      <c r="A33" t="s">
        <v>557</v>
      </c>
      <c r="B33" t="s">
        <v>2821</v>
      </c>
      <c r="C33" t="s">
        <v>2853</v>
      </c>
      <c r="D33">
        <v>0</v>
      </c>
      <c r="E33" s="1">
        <v>46380</v>
      </c>
      <c r="F33" t="s">
        <v>1988</v>
      </c>
      <c r="G33" t="s">
        <v>2853</v>
      </c>
      <c r="H33" t="s">
        <v>2</v>
      </c>
      <c r="I33" s="1">
        <v>46224</v>
      </c>
      <c r="J33" t="s">
        <v>2065</v>
      </c>
      <c r="K33" t="s">
        <v>4172</v>
      </c>
      <c r="L33" s="1">
        <v>46224.917650462965</v>
      </c>
      <c r="M33" s="1">
        <v>46224.91962439815</v>
      </c>
    </row>
    <row r="34" spans="1:13" x14ac:dyDescent="0.35">
      <c r="A34" t="s">
        <v>569</v>
      </c>
      <c r="B34" t="s">
        <v>2821</v>
      </c>
      <c r="C34" t="s">
        <v>2854</v>
      </c>
      <c r="D34">
        <v>0</v>
      </c>
      <c r="E34" s="1">
        <v>46408</v>
      </c>
      <c r="F34" t="s">
        <v>1988</v>
      </c>
      <c r="G34" t="s">
        <v>2854</v>
      </c>
      <c r="H34" t="s">
        <v>2</v>
      </c>
      <c r="I34" s="1">
        <v>46224</v>
      </c>
      <c r="J34" t="s">
        <v>1989</v>
      </c>
      <c r="K34" t="s">
        <v>4173</v>
      </c>
      <c r="L34" s="1">
        <v>46224.918321759258</v>
      </c>
      <c r="M34" s="1">
        <v>46224.91962439815</v>
      </c>
    </row>
    <row r="35" spans="1:13" x14ac:dyDescent="0.35">
      <c r="A35" t="s">
        <v>569</v>
      </c>
      <c r="B35" t="s">
        <v>2821</v>
      </c>
      <c r="C35" t="s">
        <v>2854</v>
      </c>
      <c r="D35">
        <v>0</v>
      </c>
      <c r="E35" s="1">
        <v>46408</v>
      </c>
      <c r="F35" t="s">
        <v>1988</v>
      </c>
      <c r="G35" t="s">
        <v>2854</v>
      </c>
      <c r="H35" t="s">
        <v>2</v>
      </c>
      <c r="I35" s="1">
        <v>46224</v>
      </c>
      <c r="J35" t="s">
        <v>2108</v>
      </c>
      <c r="K35" t="s">
        <v>4251</v>
      </c>
      <c r="L35" s="1">
        <v>46224.917650462965</v>
      </c>
      <c r="M35" s="1">
        <v>46224.91962439815</v>
      </c>
    </row>
    <row r="36" spans="1:13" x14ac:dyDescent="0.35">
      <c r="A36" t="s">
        <v>569</v>
      </c>
      <c r="B36" t="s">
        <v>2821</v>
      </c>
      <c r="C36" t="s">
        <v>2854</v>
      </c>
      <c r="D36">
        <v>0</v>
      </c>
      <c r="E36" s="1">
        <v>46408</v>
      </c>
      <c r="F36" t="s">
        <v>1988</v>
      </c>
      <c r="G36" t="s">
        <v>2854</v>
      </c>
      <c r="H36" t="s">
        <v>2</v>
      </c>
      <c r="I36" s="1">
        <v>46224</v>
      </c>
      <c r="J36" t="s">
        <v>2065</v>
      </c>
      <c r="K36" t="s">
        <v>3961</v>
      </c>
      <c r="L36" s="1">
        <v>46224.917650462965</v>
      </c>
      <c r="M36" s="1">
        <v>46224.91962439815</v>
      </c>
    </row>
    <row r="37" spans="1:13" x14ac:dyDescent="0.35">
      <c r="A37" t="s">
        <v>569</v>
      </c>
      <c r="B37" t="s">
        <v>2821</v>
      </c>
      <c r="C37" t="s">
        <v>2854</v>
      </c>
      <c r="D37">
        <v>0</v>
      </c>
      <c r="E37" s="1">
        <v>46408</v>
      </c>
      <c r="F37" t="s">
        <v>1988</v>
      </c>
      <c r="G37" t="s">
        <v>2854</v>
      </c>
      <c r="H37" t="s">
        <v>2</v>
      </c>
      <c r="I37" s="1">
        <v>46224</v>
      </c>
      <c r="J37" t="s">
        <v>2146</v>
      </c>
      <c r="K37" t="s">
        <v>4251</v>
      </c>
      <c r="L37" s="1">
        <v>46224.917650462965</v>
      </c>
      <c r="M37" s="1">
        <v>46224.91962439815</v>
      </c>
    </row>
    <row r="38" spans="1:13" x14ac:dyDescent="0.35">
      <c r="A38" t="s">
        <v>569</v>
      </c>
      <c r="B38" t="s">
        <v>2821</v>
      </c>
      <c r="C38" t="s">
        <v>2854</v>
      </c>
      <c r="D38">
        <v>0</v>
      </c>
      <c r="E38" s="1">
        <v>46408</v>
      </c>
      <c r="F38" t="s">
        <v>1988</v>
      </c>
      <c r="G38" t="s">
        <v>2854</v>
      </c>
      <c r="H38" t="s">
        <v>2</v>
      </c>
      <c r="I38" s="1">
        <v>46224</v>
      </c>
      <c r="J38" t="s">
        <v>2064</v>
      </c>
      <c r="K38" t="s">
        <v>3961</v>
      </c>
      <c r="L38" s="1">
        <v>46224.917650462965</v>
      </c>
      <c r="M38" s="1">
        <v>46224.91962439815</v>
      </c>
    </row>
    <row r="39" spans="1:13" x14ac:dyDescent="0.35">
      <c r="A39" t="s">
        <v>569</v>
      </c>
      <c r="B39" t="s">
        <v>2821</v>
      </c>
      <c r="C39" t="s">
        <v>2854</v>
      </c>
      <c r="D39">
        <v>0</v>
      </c>
      <c r="E39" s="1">
        <v>46408</v>
      </c>
      <c r="F39" t="s">
        <v>1988</v>
      </c>
      <c r="G39" t="s">
        <v>2854</v>
      </c>
      <c r="H39" t="s">
        <v>2</v>
      </c>
      <c r="I39" s="1">
        <v>46224</v>
      </c>
      <c r="J39" t="s">
        <v>1991</v>
      </c>
      <c r="K39" t="s">
        <v>4198</v>
      </c>
      <c r="L39" s="1">
        <v>46224.918321759258</v>
      </c>
      <c r="M39" s="1">
        <v>46224.91962439815</v>
      </c>
    </row>
    <row r="40" spans="1:13" x14ac:dyDescent="0.35">
      <c r="A40" t="s">
        <v>570</v>
      </c>
      <c r="B40" t="s">
        <v>2821</v>
      </c>
      <c r="C40" t="s">
        <v>2825</v>
      </c>
      <c r="D40">
        <v>0</v>
      </c>
      <c r="E40" s="1">
        <v>46226</v>
      </c>
      <c r="F40" t="s">
        <v>1988</v>
      </c>
      <c r="G40" t="s">
        <v>2825</v>
      </c>
      <c r="H40" t="s">
        <v>2</v>
      </c>
      <c r="I40" s="1">
        <v>46224</v>
      </c>
      <c r="J40" t="s">
        <v>2146</v>
      </c>
      <c r="K40" t="s">
        <v>4174</v>
      </c>
      <c r="L40" s="1">
        <v>46224.917650462965</v>
      </c>
      <c r="M40" s="1">
        <v>46224.91962439815</v>
      </c>
    </row>
    <row r="41" spans="1:13" x14ac:dyDescent="0.35">
      <c r="A41" t="s">
        <v>570</v>
      </c>
      <c r="B41" t="s">
        <v>2821</v>
      </c>
      <c r="C41" t="s">
        <v>2825</v>
      </c>
      <c r="D41">
        <v>0</v>
      </c>
      <c r="E41" s="1">
        <v>46226</v>
      </c>
      <c r="F41" t="s">
        <v>1988</v>
      </c>
      <c r="G41" t="s">
        <v>2825</v>
      </c>
      <c r="H41" t="s">
        <v>2</v>
      </c>
      <c r="I41" s="1">
        <v>46224</v>
      </c>
      <c r="J41" t="s">
        <v>2108</v>
      </c>
      <c r="K41" t="s">
        <v>4174</v>
      </c>
      <c r="L41" s="1">
        <v>46224.917650462965</v>
      </c>
      <c r="M41" s="1">
        <v>46224.91962439815</v>
      </c>
    </row>
    <row r="42" spans="1:13" x14ac:dyDescent="0.35">
      <c r="A42" t="s">
        <v>570</v>
      </c>
      <c r="B42" t="s">
        <v>2821</v>
      </c>
      <c r="C42" t="s">
        <v>2825</v>
      </c>
      <c r="D42">
        <v>0</v>
      </c>
      <c r="E42" s="1">
        <v>46226</v>
      </c>
      <c r="F42" t="s">
        <v>1988</v>
      </c>
      <c r="G42" t="s">
        <v>2825</v>
      </c>
      <c r="H42" t="s">
        <v>2</v>
      </c>
      <c r="I42" s="1">
        <v>46224</v>
      </c>
      <c r="J42" t="s">
        <v>2065</v>
      </c>
      <c r="K42" t="s">
        <v>4271</v>
      </c>
      <c r="L42" s="1">
        <v>46224.917650462965</v>
      </c>
      <c r="M42" s="1">
        <v>46224.91962439815</v>
      </c>
    </row>
    <row r="43" spans="1:13" x14ac:dyDescent="0.35">
      <c r="A43" t="s">
        <v>570</v>
      </c>
      <c r="B43" t="s">
        <v>2821</v>
      </c>
      <c r="C43" t="s">
        <v>2825</v>
      </c>
      <c r="D43">
        <v>0</v>
      </c>
      <c r="E43" s="1">
        <v>46226</v>
      </c>
      <c r="F43" t="s">
        <v>1988</v>
      </c>
      <c r="G43" t="s">
        <v>2825</v>
      </c>
      <c r="H43" t="s">
        <v>2</v>
      </c>
      <c r="I43" s="1">
        <v>46224</v>
      </c>
      <c r="J43" t="s">
        <v>1989</v>
      </c>
      <c r="K43" t="s">
        <v>4252</v>
      </c>
      <c r="L43" s="1">
        <v>46224.918321759258</v>
      </c>
      <c r="M43" s="1">
        <v>46224.91962439815</v>
      </c>
    </row>
    <row r="44" spans="1:13" x14ac:dyDescent="0.35">
      <c r="A44" t="s">
        <v>570</v>
      </c>
      <c r="B44" t="s">
        <v>2821</v>
      </c>
      <c r="C44" t="s">
        <v>2825</v>
      </c>
      <c r="D44">
        <v>0</v>
      </c>
      <c r="E44" s="1">
        <v>46226</v>
      </c>
      <c r="F44" t="s">
        <v>1988</v>
      </c>
      <c r="G44" t="s">
        <v>2825</v>
      </c>
      <c r="H44" t="s">
        <v>2</v>
      </c>
      <c r="I44" s="1">
        <v>46224</v>
      </c>
      <c r="J44" t="s">
        <v>1991</v>
      </c>
      <c r="K44" t="s">
        <v>4291</v>
      </c>
      <c r="L44" s="1">
        <v>46224.918321759258</v>
      </c>
      <c r="M44" s="1">
        <v>46224.91962439815</v>
      </c>
    </row>
    <row r="45" spans="1:13" x14ac:dyDescent="0.35">
      <c r="A45" t="s">
        <v>570</v>
      </c>
      <c r="B45" t="s">
        <v>2821</v>
      </c>
      <c r="C45" t="s">
        <v>2825</v>
      </c>
      <c r="D45">
        <v>0</v>
      </c>
      <c r="E45" s="1">
        <v>46226</v>
      </c>
      <c r="F45" t="s">
        <v>1988</v>
      </c>
      <c r="G45" t="s">
        <v>2825</v>
      </c>
      <c r="H45" t="s">
        <v>2</v>
      </c>
      <c r="I45" s="1">
        <v>46224</v>
      </c>
      <c r="J45" t="s">
        <v>2064</v>
      </c>
      <c r="K45" t="s">
        <v>4271</v>
      </c>
      <c r="L45" s="1">
        <v>46224.917650462965</v>
      </c>
      <c r="M45" s="1">
        <v>46224.91962439815</v>
      </c>
    </row>
    <row r="46" spans="1:13" x14ac:dyDescent="0.35">
      <c r="A46" t="s">
        <v>579</v>
      </c>
      <c r="B46" t="s">
        <v>2821</v>
      </c>
      <c r="C46" t="s">
        <v>2855</v>
      </c>
      <c r="D46">
        <v>0</v>
      </c>
      <c r="E46" s="1">
        <v>46233</v>
      </c>
      <c r="F46" t="s">
        <v>1988</v>
      </c>
      <c r="G46" t="s">
        <v>2855</v>
      </c>
      <c r="H46" t="s">
        <v>2</v>
      </c>
      <c r="I46" s="1">
        <v>46224</v>
      </c>
      <c r="J46" t="s">
        <v>1991</v>
      </c>
      <c r="K46" t="s">
        <v>4175</v>
      </c>
      <c r="L46" s="1">
        <v>46224.918321759258</v>
      </c>
      <c r="M46" s="1">
        <v>46224.91962439815</v>
      </c>
    </row>
    <row r="47" spans="1:13" x14ac:dyDescent="0.35">
      <c r="A47" t="s">
        <v>579</v>
      </c>
      <c r="B47" t="s">
        <v>2821</v>
      </c>
      <c r="C47" t="s">
        <v>2855</v>
      </c>
      <c r="D47">
        <v>0</v>
      </c>
      <c r="E47" s="1">
        <v>46233</v>
      </c>
      <c r="F47" t="s">
        <v>1988</v>
      </c>
      <c r="G47" t="s">
        <v>2855</v>
      </c>
      <c r="H47" t="s">
        <v>2</v>
      </c>
      <c r="I47" s="1">
        <v>46224</v>
      </c>
      <c r="J47" t="s">
        <v>2064</v>
      </c>
      <c r="K47" t="s">
        <v>3045</v>
      </c>
      <c r="L47" s="1">
        <v>46224.917650462965</v>
      </c>
      <c r="M47" s="1">
        <v>46224.91962439815</v>
      </c>
    </row>
    <row r="48" spans="1:13" x14ac:dyDescent="0.35">
      <c r="A48" t="s">
        <v>579</v>
      </c>
      <c r="B48" t="s">
        <v>2821</v>
      </c>
      <c r="C48" t="s">
        <v>2855</v>
      </c>
      <c r="D48">
        <v>0</v>
      </c>
      <c r="E48" s="1">
        <v>46233</v>
      </c>
      <c r="F48" t="s">
        <v>1988</v>
      </c>
      <c r="G48" t="s">
        <v>2855</v>
      </c>
      <c r="H48" t="s">
        <v>2</v>
      </c>
      <c r="I48" s="1">
        <v>46224</v>
      </c>
      <c r="J48" t="s">
        <v>2108</v>
      </c>
      <c r="K48" t="s">
        <v>3035</v>
      </c>
      <c r="L48" s="1">
        <v>46224.917650462965</v>
      </c>
      <c r="M48" s="1">
        <v>46224.91962439815</v>
      </c>
    </row>
    <row r="49" spans="1:13" x14ac:dyDescent="0.35">
      <c r="A49" t="s">
        <v>579</v>
      </c>
      <c r="B49" t="s">
        <v>2821</v>
      </c>
      <c r="C49" t="s">
        <v>2855</v>
      </c>
      <c r="D49">
        <v>0</v>
      </c>
      <c r="E49" s="1">
        <v>46233</v>
      </c>
      <c r="F49" t="s">
        <v>1988</v>
      </c>
      <c r="G49" t="s">
        <v>2855</v>
      </c>
      <c r="H49" t="s">
        <v>2</v>
      </c>
      <c r="I49" s="1">
        <v>46224</v>
      </c>
      <c r="J49" t="s">
        <v>2146</v>
      </c>
      <c r="K49" t="s">
        <v>3035</v>
      </c>
      <c r="L49" s="1">
        <v>46224.917650462965</v>
      </c>
      <c r="M49" s="1">
        <v>46224.91962439815</v>
      </c>
    </row>
    <row r="50" spans="1:13" x14ac:dyDescent="0.35">
      <c r="A50" t="s">
        <v>579</v>
      </c>
      <c r="B50" t="s">
        <v>2821</v>
      </c>
      <c r="C50" t="s">
        <v>2855</v>
      </c>
      <c r="D50">
        <v>0</v>
      </c>
      <c r="E50" s="1">
        <v>46233</v>
      </c>
      <c r="F50" t="s">
        <v>1988</v>
      </c>
      <c r="G50" t="s">
        <v>2855</v>
      </c>
      <c r="H50" t="s">
        <v>2</v>
      </c>
      <c r="I50" s="1">
        <v>46224</v>
      </c>
      <c r="J50" t="s">
        <v>1989</v>
      </c>
      <c r="K50" t="s">
        <v>4217</v>
      </c>
      <c r="L50" s="1">
        <v>46224.918321759258</v>
      </c>
      <c r="M50" s="1">
        <v>46224.91962439815</v>
      </c>
    </row>
    <row r="51" spans="1:13" x14ac:dyDescent="0.35">
      <c r="A51" t="s">
        <v>579</v>
      </c>
      <c r="B51" t="s">
        <v>2821</v>
      </c>
      <c r="C51" t="s">
        <v>2855</v>
      </c>
      <c r="D51">
        <v>0</v>
      </c>
      <c r="E51" s="1">
        <v>46233</v>
      </c>
      <c r="F51" t="s">
        <v>1988</v>
      </c>
      <c r="G51" t="s">
        <v>2855</v>
      </c>
      <c r="H51" t="s">
        <v>2</v>
      </c>
      <c r="I51" s="1">
        <v>46224</v>
      </c>
      <c r="J51" t="s">
        <v>2065</v>
      </c>
      <c r="K51" t="s">
        <v>3045</v>
      </c>
      <c r="L51" s="1">
        <v>46224.917650462965</v>
      </c>
      <c r="M51" s="1">
        <v>46224.91962439815</v>
      </c>
    </row>
    <row r="52" spans="1:13" x14ac:dyDescent="0.35">
      <c r="A52" t="s">
        <v>571</v>
      </c>
      <c r="B52" t="s">
        <v>2821</v>
      </c>
      <c r="C52" t="s">
        <v>2826</v>
      </c>
      <c r="D52">
        <v>0</v>
      </c>
      <c r="E52" s="1">
        <v>46436</v>
      </c>
      <c r="F52" t="s">
        <v>1988</v>
      </c>
      <c r="G52" t="s">
        <v>2826</v>
      </c>
      <c r="H52" t="s">
        <v>2</v>
      </c>
      <c r="I52" s="1">
        <v>46224</v>
      </c>
      <c r="J52" t="s">
        <v>2065</v>
      </c>
      <c r="K52" t="s">
        <v>2641</v>
      </c>
      <c r="L52" s="1">
        <v>46224.917650462965</v>
      </c>
      <c r="M52" s="1">
        <v>46224.91962439815</v>
      </c>
    </row>
    <row r="53" spans="1:13" x14ac:dyDescent="0.35">
      <c r="A53" t="s">
        <v>571</v>
      </c>
      <c r="B53" t="s">
        <v>2821</v>
      </c>
      <c r="C53" t="s">
        <v>2826</v>
      </c>
      <c r="D53">
        <v>0</v>
      </c>
      <c r="E53" s="1">
        <v>46436</v>
      </c>
      <c r="F53" t="s">
        <v>1988</v>
      </c>
      <c r="G53" t="s">
        <v>2826</v>
      </c>
      <c r="H53" t="s">
        <v>2</v>
      </c>
      <c r="I53" s="1">
        <v>46224</v>
      </c>
      <c r="J53" t="s">
        <v>1991</v>
      </c>
      <c r="K53" t="s">
        <v>4253</v>
      </c>
      <c r="L53" s="1">
        <v>46224.918321759258</v>
      </c>
      <c r="M53" s="1">
        <v>46224.91962439815</v>
      </c>
    </row>
    <row r="54" spans="1:13" x14ac:dyDescent="0.35">
      <c r="A54" t="s">
        <v>571</v>
      </c>
      <c r="B54" t="s">
        <v>2821</v>
      </c>
      <c r="C54" t="s">
        <v>2826</v>
      </c>
      <c r="D54">
        <v>0</v>
      </c>
      <c r="E54" s="1">
        <v>46436</v>
      </c>
      <c r="F54" t="s">
        <v>1988</v>
      </c>
      <c r="G54" t="s">
        <v>2826</v>
      </c>
      <c r="H54" t="s">
        <v>2</v>
      </c>
      <c r="I54" s="1">
        <v>46224</v>
      </c>
      <c r="J54" t="s">
        <v>2108</v>
      </c>
      <c r="K54" t="s">
        <v>3041</v>
      </c>
      <c r="L54" s="1">
        <v>46224.917650462965</v>
      </c>
      <c r="M54" s="1">
        <v>46224.91962439815</v>
      </c>
    </row>
    <row r="55" spans="1:13" x14ac:dyDescent="0.35">
      <c r="A55" t="s">
        <v>571</v>
      </c>
      <c r="B55" t="s">
        <v>2821</v>
      </c>
      <c r="C55" t="s">
        <v>2826</v>
      </c>
      <c r="D55">
        <v>0</v>
      </c>
      <c r="E55" s="1">
        <v>46436</v>
      </c>
      <c r="F55" t="s">
        <v>1988</v>
      </c>
      <c r="G55" t="s">
        <v>2826</v>
      </c>
      <c r="H55" t="s">
        <v>2</v>
      </c>
      <c r="I55" s="1">
        <v>46224</v>
      </c>
      <c r="J55" t="s">
        <v>2064</v>
      </c>
      <c r="K55" t="s">
        <v>2641</v>
      </c>
      <c r="L55" s="1">
        <v>46224.917650462965</v>
      </c>
      <c r="M55" s="1">
        <v>46224.91962439815</v>
      </c>
    </row>
    <row r="56" spans="1:13" x14ac:dyDescent="0.35">
      <c r="A56" t="s">
        <v>571</v>
      </c>
      <c r="B56" t="s">
        <v>2821</v>
      </c>
      <c r="C56" t="s">
        <v>2826</v>
      </c>
      <c r="D56">
        <v>0</v>
      </c>
      <c r="E56" s="1">
        <v>46436</v>
      </c>
      <c r="F56" t="s">
        <v>1988</v>
      </c>
      <c r="G56" t="s">
        <v>2826</v>
      </c>
      <c r="H56" t="s">
        <v>2</v>
      </c>
      <c r="I56" s="1">
        <v>46224</v>
      </c>
      <c r="J56" t="s">
        <v>2146</v>
      </c>
      <c r="K56" t="s">
        <v>3041</v>
      </c>
      <c r="L56" s="1">
        <v>46224.917650462965</v>
      </c>
      <c r="M56" s="1">
        <v>46224.91962439815</v>
      </c>
    </row>
    <row r="57" spans="1:13" x14ac:dyDescent="0.35">
      <c r="A57" t="s">
        <v>571</v>
      </c>
      <c r="B57" t="s">
        <v>2821</v>
      </c>
      <c r="C57" t="s">
        <v>2826</v>
      </c>
      <c r="D57">
        <v>0</v>
      </c>
      <c r="E57" s="1">
        <v>46436</v>
      </c>
      <c r="F57" t="s">
        <v>1988</v>
      </c>
      <c r="G57" t="s">
        <v>2826</v>
      </c>
      <c r="H57" t="s">
        <v>2</v>
      </c>
      <c r="I57" s="1">
        <v>46224</v>
      </c>
      <c r="J57" t="s">
        <v>1989</v>
      </c>
      <c r="K57" t="s">
        <v>4199</v>
      </c>
      <c r="L57" s="1">
        <v>46224.918321759258</v>
      </c>
      <c r="M57" s="1">
        <v>46224.91962439815</v>
      </c>
    </row>
    <row r="58" spans="1:13" x14ac:dyDescent="0.35">
      <c r="A58" t="s">
        <v>558</v>
      </c>
      <c r="B58" t="s">
        <v>2821</v>
      </c>
      <c r="C58" t="s">
        <v>2827</v>
      </c>
      <c r="D58">
        <v>0</v>
      </c>
      <c r="E58" s="1">
        <v>46247</v>
      </c>
      <c r="F58" t="s">
        <v>1988</v>
      </c>
      <c r="G58" t="s">
        <v>2827</v>
      </c>
      <c r="H58" t="s">
        <v>2</v>
      </c>
      <c r="I58" s="1">
        <v>46224</v>
      </c>
      <c r="J58" t="s">
        <v>1989</v>
      </c>
      <c r="K58" t="s">
        <v>4176</v>
      </c>
      <c r="L58" s="1">
        <v>46224.918321759258</v>
      </c>
      <c r="M58" s="1">
        <v>46224.91962439815</v>
      </c>
    </row>
    <row r="59" spans="1:13" x14ac:dyDescent="0.35">
      <c r="A59" t="s">
        <v>558</v>
      </c>
      <c r="B59" t="s">
        <v>2821</v>
      </c>
      <c r="C59" t="s">
        <v>2827</v>
      </c>
      <c r="D59">
        <v>0</v>
      </c>
      <c r="E59" s="1">
        <v>46247</v>
      </c>
      <c r="F59" t="s">
        <v>1988</v>
      </c>
      <c r="G59" t="s">
        <v>2827</v>
      </c>
      <c r="H59" t="s">
        <v>2</v>
      </c>
      <c r="I59" s="1">
        <v>46224</v>
      </c>
      <c r="J59" t="s">
        <v>1991</v>
      </c>
      <c r="K59" t="s">
        <v>4278</v>
      </c>
      <c r="L59" s="1">
        <v>46224.918321759258</v>
      </c>
      <c r="M59" s="1">
        <v>46224.91962439815</v>
      </c>
    </row>
    <row r="60" spans="1:13" x14ac:dyDescent="0.35">
      <c r="A60" t="s">
        <v>558</v>
      </c>
      <c r="B60" t="s">
        <v>2821</v>
      </c>
      <c r="C60" t="s">
        <v>2827</v>
      </c>
      <c r="D60">
        <v>0</v>
      </c>
      <c r="E60" s="1">
        <v>46247</v>
      </c>
      <c r="F60" t="s">
        <v>1988</v>
      </c>
      <c r="G60" t="s">
        <v>2827</v>
      </c>
      <c r="H60" t="s">
        <v>2</v>
      </c>
      <c r="I60" s="1">
        <v>46224</v>
      </c>
      <c r="J60" t="s">
        <v>2108</v>
      </c>
      <c r="K60" t="s">
        <v>3781</v>
      </c>
      <c r="L60" s="1">
        <v>46224.917650462965</v>
      </c>
      <c r="M60" s="1">
        <v>46224.91962439815</v>
      </c>
    </row>
    <row r="61" spans="1:13" x14ac:dyDescent="0.35">
      <c r="A61" t="s">
        <v>558</v>
      </c>
      <c r="B61" t="s">
        <v>2821</v>
      </c>
      <c r="C61" t="s">
        <v>2827</v>
      </c>
      <c r="D61">
        <v>0</v>
      </c>
      <c r="E61" s="1">
        <v>46247</v>
      </c>
      <c r="F61" t="s">
        <v>1988</v>
      </c>
      <c r="G61" t="s">
        <v>2827</v>
      </c>
      <c r="H61" t="s">
        <v>2</v>
      </c>
      <c r="I61" s="1">
        <v>46224</v>
      </c>
      <c r="J61" t="s">
        <v>2065</v>
      </c>
      <c r="K61" t="s">
        <v>4236</v>
      </c>
      <c r="L61" s="1">
        <v>46224.917650462965</v>
      </c>
      <c r="M61" s="1">
        <v>46224.91962439815</v>
      </c>
    </row>
    <row r="62" spans="1:13" x14ac:dyDescent="0.35">
      <c r="A62" t="s">
        <v>558</v>
      </c>
      <c r="B62" t="s">
        <v>2821</v>
      </c>
      <c r="C62" t="s">
        <v>2827</v>
      </c>
      <c r="D62">
        <v>0</v>
      </c>
      <c r="E62" s="1">
        <v>46247</v>
      </c>
      <c r="F62" t="s">
        <v>1988</v>
      </c>
      <c r="G62" t="s">
        <v>2827</v>
      </c>
      <c r="H62" t="s">
        <v>2</v>
      </c>
      <c r="I62" s="1">
        <v>46224</v>
      </c>
      <c r="J62" t="s">
        <v>2064</v>
      </c>
      <c r="K62" t="s">
        <v>4236</v>
      </c>
      <c r="L62" s="1">
        <v>46224.917650462965</v>
      </c>
      <c r="M62" s="1">
        <v>46224.91962439815</v>
      </c>
    </row>
    <row r="63" spans="1:13" x14ac:dyDescent="0.35">
      <c r="A63" t="s">
        <v>558</v>
      </c>
      <c r="B63" t="s">
        <v>2821</v>
      </c>
      <c r="C63" t="s">
        <v>2827</v>
      </c>
      <c r="D63">
        <v>0</v>
      </c>
      <c r="E63" s="1">
        <v>46247</v>
      </c>
      <c r="F63" t="s">
        <v>1988</v>
      </c>
      <c r="G63" t="s">
        <v>2827</v>
      </c>
      <c r="H63" t="s">
        <v>2</v>
      </c>
      <c r="I63" s="1">
        <v>46224</v>
      </c>
      <c r="J63" t="s">
        <v>2146</v>
      </c>
      <c r="K63" t="s">
        <v>3781</v>
      </c>
      <c r="L63" s="1">
        <v>46224.917650462965</v>
      </c>
      <c r="M63" s="1">
        <v>46224.91962439815</v>
      </c>
    </row>
    <row r="64" spans="1:13" x14ac:dyDescent="0.35">
      <c r="A64" t="s">
        <v>572</v>
      </c>
      <c r="B64" t="s">
        <v>2821</v>
      </c>
      <c r="C64" t="s">
        <v>2828</v>
      </c>
      <c r="D64">
        <v>0</v>
      </c>
      <c r="E64" s="1">
        <v>46254</v>
      </c>
      <c r="F64" t="s">
        <v>1988</v>
      </c>
      <c r="G64" t="s">
        <v>2828</v>
      </c>
      <c r="H64" t="s">
        <v>2</v>
      </c>
      <c r="I64" s="1">
        <v>46224</v>
      </c>
      <c r="J64" t="s">
        <v>2146</v>
      </c>
      <c r="K64" t="s">
        <v>4177</v>
      </c>
      <c r="L64" s="1">
        <v>46224.917650462965</v>
      </c>
      <c r="M64" s="1">
        <v>46224.91962439815</v>
      </c>
    </row>
    <row r="65" spans="1:13" x14ac:dyDescent="0.35">
      <c r="A65" t="s">
        <v>572</v>
      </c>
      <c r="B65" t="s">
        <v>2821</v>
      </c>
      <c r="C65" t="s">
        <v>2828</v>
      </c>
      <c r="D65">
        <v>0</v>
      </c>
      <c r="E65" s="1">
        <v>46254</v>
      </c>
      <c r="F65" t="s">
        <v>1988</v>
      </c>
      <c r="G65" t="s">
        <v>2828</v>
      </c>
      <c r="H65" t="s">
        <v>2</v>
      </c>
      <c r="I65" s="1">
        <v>46224</v>
      </c>
      <c r="J65" t="s">
        <v>2064</v>
      </c>
      <c r="K65" t="s">
        <v>2865</v>
      </c>
      <c r="L65" s="1">
        <v>46224.917650462965</v>
      </c>
      <c r="M65" s="1">
        <v>46224.91962439815</v>
      </c>
    </row>
    <row r="66" spans="1:13" x14ac:dyDescent="0.35">
      <c r="A66" t="s">
        <v>572</v>
      </c>
      <c r="B66" t="s">
        <v>2821</v>
      </c>
      <c r="C66" t="s">
        <v>2828</v>
      </c>
      <c r="D66">
        <v>0</v>
      </c>
      <c r="E66" s="1">
        <v>46254</v>
      </c>
      <c r="F66" t="s">
        <v>1988</v>
      </c>
      <c r="G66" t="s">
        <v>2828</v>
      </c>
      <c r="H66" t="s">
        <v>2</v>
      </c>
      <c r="I66" s="1">
        <v>46224</v>
      </c>
      <c r="J66" t="s">
        <v>1989</v>
      </c>
      <c r="K66" t="s">
        <v>4254</v>
      </c>
      <c r="L66" s="1">
        <v>46224.918321759258</v>
      </c>
      <c r="M66" s="1">
        <v>46224.91962439815</v>
      </c>
    </row>
    <row r="67" spans="1:13" x14ac:dyDescent="0.35">
      <c r="A67" t="s">
        <v>572</v>
      </c>
      <c r="B67" t="s">
        <v>2821</v>
      </c>
      <c r="C67" t="s">
        <v>2828</v>
      </c>
      <c r="D67">
        <v>0</v>
      </c>
      <c r="E67" s="1">
        <v>46254</v>
      </c>
      <c r="F67" t="s">
        <v>1988</v>
      </c>
      <c r="G67" t="s">
        <v>2828</v>
      </c>
      <c r="H67" t="s">
        <v>2</v>
      </c>
      <c r="I67" s="1">
        <v>46224</v>
      </c>
      <c r="J67" t="s">
        <v>2108</v>
      </c>
      <c r="K67" t="s">
        <v>4177</v>
      </c>
      <c r="L67" s="1">
        <v>46224.917650462965</v>
      </c>
      <c r="M67" s="1">
        <v>46224.91962439815</v>
      </c>
    </row>
    <row r="68" spans="1:13" x14ac:dyDescent="0.35">
      <c r="A68" t="s">
        <v>572</v>
      </c>
      <c r="B68" t="s">
        <v>2821</v>
      </c>
      <c r="C68" t="s">
        <v>2828</v>
      </c>
      <c r="D68">
        <v>0</v>
      </c>
      <c r="E68" s="1">
        <v>46254</v>
      </c>
      <c r="F68" t="s">
        <v>1988</v>
      </c>
      <c r="G68" t="s">
        <v>2828</v>
      </c>
      <c r="H68" t="s">
        <v>2</v>
      </c>
      <c r="I68" s="1">
        <v>46224</v>
      </c>
      <c r="J68" t="s">
        <v>2065</v>
      </c>
      <c r="K68" t="s">
        <v>2865</v>
      </c>
      <c r="L68" s="1">
        <v>46224.917650462965</v>
      </c>
      <c r="M68" s="1">
        <v>46224.91962439815</v>
      </c>
    </row>
    <row r="69" spans="1:13" x14ac:dyDescent="0.35">
      <c r="A69" t="s">
        <v>572</v>
      </c>
      <c r="B69" t="s">
        <v>2821</v>
      </c>
      <c r="C69" t="s">
        <v>2828</v>
      </c>
      <c r="D69">
        <v>0</v>
      </c>
      <c r="E69" s="1">
        <v>46254</v>
      </c>
      <c r="F69" t="s">
        <v>1988</v>
      </c>
      <c r="G69" t="s">
        <v>2828</v>
      </c>
      <c r="H69" t="s">
        <v>2</v>
      </c>
      <c r="I69" s="1">
        <v>46224</v>
      </c>
      <c r="J69" t="s">
        <v>1991</v>
      </c>
      <c r="K69" t="s">
        <v>4218</v>
      </c>
      <c r="L69" s="1">
        <v>46224.918321759258</v>
      </c>
      <c r="M69" s="1">
        <v>46224.91962439815</v>
      </c>
    </row>
    <row r="70" spans="1:13" x14ac:dyDescent="0.35">
      <c r="A70" t="s">
        <v>576</v>
      </c>
      <c r="B70" t="s">
        <v>2821</v>
      </c>
      <c r="C70" t="s">
        <v>2829</v>
      </c>
      <c r="D70">
        <v>0</v>
      </c>
      <c r="E70" s="1">
        <v>46261</v>
      </c>
      <c r="F70" t="s">
        <v>1988</v>
      </c>
      <c r="G70" t="s">
        <v>2829</v>
      </c>
      <c r="H70" t="s">
        <v>2</v>
      </c>
      <c r="I70" s="1">
        <v>46224</v>
      </c>
      <c r="J70" t="s">
        <v>2065</v>
      </c>
      <c r="K70" t="s">
        <v>4220</v>
      </c>
      <c r="L70" s="1">
        <v>46224.917650462965</v>
      </c>
      <c r="M70" s="1">
        <v>46224.91962439815</v>
      </c>
    </row>
    <row r="71" spans="1:13" x14ac:dyDescent="0.35">
      <c r="A71" t="s">
        <v>576</v>
      </c>
      <c r="B71" t="s">
        <v>2821</v>
      </c>
      <c r="C71" t="s">
        <v>2829</v>
      </c>
      <c r="D71">
        <v>0</v>
      </c>
      <c r="E71" s="1">
        <v>46261</v>
      </c>
      <c r="F71" t="s">
        <v>1988</v>
      </c>
      <c r="G71" t="s">
        <v>2829</v>
      </c>
      <c r="H71" t="s">
        <v>2</v>
      </c>
      <c r="I71" s="1">
        <v>46224</v>
      </c>
      <c r="J71" t="s">
        <v>2146</v>
      </c>
      <c r="K71" t="s">
        <v>3046</v>
      </c>
      <c r="L71" s="1">
        <v>46224.917650462965</v>
      </c>
      <c r="M71" s="1">
        <v>46224.91962439815</v>
      </c>
    </row>
    <row r="72" spans="1:13" x14ac:dyDescent="0.35">
      <c r="A72" t="s">
        <v>576</v>
      </c>
      <c r="B72" t="s">
        <v>2821</v>
      </c>
      <c r="C72" t="s">
        <v>2829</v>
      </c>
      <c r="D72">
        <v>0</v>
      </c>
      <c r="E72" s="1">
        <v>46261</v>
      </c>
      <c r="F72" t="s">
        <v>1988</v>
      </c>
      <c r="G72" t="s">
        <v>2829</v>
      </c>
      <c r="H72" t="s">
        <v>2</v>
      </c>
      <c r="I72" s="1">
        <v>46224</v>
      </c>
      <c r="J72" t="s">
        <v>1989</v>
      </c>
      <c r="K72" t="s">
        <v>4237</v>
      </c>
      <c r="L72" s="1">
        <v>46224.918321759258</v>
      </c>
      <c r="M72" s="1">
        <v>46224.91962439815</v>
      </c>
    </row>
    <row r="73" spans="1:13" x14ac:dyDescent="0.35">
      <c r="A73" t="s">
        <v>576</v>
      </c>
      <c r="B73" t="s">
        <v>2821</v>
      </c>
      <c r="C73" t="s">
        <v>2829</v>
      </c>
      <c r="D73">
        <v>0</v>
      </c>
      <c r="E73" s="1">
        <v>46261</v>
      </c>
      <c r="F73" t="s">
        <v>1988</v>
      </c>
      <c r="G73" t="s">
        <v>2829</v>
      </c>
      <c r="H73" t="s">
        <v>2</v>
      </c>
      <c r="I73" s="1">
        <v>46224</v>
      </c>
      <c r="J73" t="s">
        <v>2108</v>
      </c>
      <c r="K73" t="s">
        <v>3046</v>
      </c>
      <c r="L73" s="1">
        <v>46224.917650462965</v>
      </c>
      <c r="M73" s="1">
        <v>46224.91962439815</v>
      </c>
    </row>
    <row r="74" spans="1:13" x14ac:dyDescent="0.35">
      <c r="A74" t="s">
        <v>576</v>
      </c>
      <c r="B74" t="s">
        <v>2821</v>
      </c>
      <c r="C74" t="s">
        <v>2829</v>
      </c>
      <c r="D74">
        <v>0</v>
      </c>
      <c r="E74" s="1">
        <v>46261</v>
      </c>
      <c r="F74" t="s">
        <v>1988</v>
      </c>
      <c r="G74" t="s">
        <v>2829</v>
      </c>
      <c r="H74" t="s">
        <v>2</v>
      </c>
      <c r="I74" s="1">
        <v>46224</v>
      </c>
      <c r="J74" t="s">
        <v>1991</v>
      </c>
      <c r="K74" t="s">
        <v>4219</v>
      </c>
      <c r="L74" s="1">
        <v>46224.918321759258</v>
      </c>
      <c r="M74" s="1">
        <v>46224.91962439815</v>
      </c>
    </row>
    <row r="75" spans="1:13" x14ac:dyDescent="0.35">
      <c r="A75" t="s">
        <v>576</v>
      </c>
      <c r="B75" t="s">
        <v>2821</v>
      </c>
      <c r="C75" t="s">
        <v>2829</v>
      </c>
      <c r="D75">
        <v>0</v>
      </c>
      <c r="E75" s="1">
        <v>46261</v>
      </c>
      <c r="F75" t="s">
        <v>1988</v>
      </c>
      <c r="G75" t="s">
        <v>2829</v>
      </c>
      <c r="H75" t="s">
        <v>2</v>
      </c>
      <c r="I75" s="1">
        <v>46224</v>
      </c>
      <c r="J75" t="s">
        <v>2064</v>
      </c>
      <c r="K75" t="s">
        <v>4220</v>
      </c>
      <c r="L75" s="1">
        <v>46224.917650462965</v>
      </c>
      <c r="M75" s="1">
        <v>46224.91962439815</v>
      </c>
    </row>
    <row r="76" spans="1:13" x14ac:dyDescent="0.35">
      <c r="A76" t="s">
        <v>559</v>
      </c>
      <c r="B76" t="s">
        <v>2821</v>
      </c>
      <c r="C76" t="s">
        <v>2830</v>
      </c>
      <c r="D76">
        <v>0</v>
      </c>
      <c r="E76" s="1">
        <v>46464</v>
      </c>
      <c r="F76" t="s">
        <v>1988</v>
      </c>
      <c r="G76" t="s">
        <v>2830</v>
      </c>
      <c r="H76" t="s">
        <v>2</v>
      </c>
      <c r="I76" s="1">
        <v>46224</v>
      </c>
      <c r="J76" t="s">
        <v>2108</v>
      </c>
      <c r="K76" t="s">
        <v>2912</v>
      </c>
      <c r="L76" s="1">
        <v>46224.917650462965</v>
      </c>
      <c r="M76" s="1">
        <v>46224.91962439815</v>
      </c>
    </row>
    <row r="77" spans="1:13" x14ac:dyDescent="0.35">
      <c r="A77" t="s">
        <v>559</v>
      </c>
      <c r="B77" t="s">
        <v>2821</v>
      </c>
      <c r="C77" t="s">
        <v>2830</v>
      </c>
      <c r="D77">
        <v>0</v>
      </c>
      <c r="E77" s="1">
        <v>46464</v>
      </c>
      <c r="F77" t="s">
        <v>1988</v>
      </c>
      <c r="G77" t="s">
        <v>2830</v>
      </c>
      <c r="H77" t="s">
        <v>2</v>
      </c>
      <c r="I77" s="1">
        <v>46224</v>
      </c>
      <c r="J77" t="s">
        <v>2065</v>
      </c>
      <c r="K77" t="s">
        <v>4272</v>
      </c>
      <c r="L77" s="1">
        <v>46224.917650462965</v>
      </c>
      <c r="M77" s="1">
        <v>46224.91962439815</v>
      </c>
    </row>
    <row r="78" spans="1:13" x14ac:dyDescent="0.35">
      <c r="A78" t="s">
        <v>559</v>
      </c>
      <c r="B78" t="s">
        <v>2821</v>
      </c>
      <c r="C78" t="s">
        <v>2830</v>
      </c>
      <c r="D78">
        <v>0</v>
      </c>
      <c r="E78" s="1">
        <v>46464</v>
      </c>
      <c r="F78" t="s">
        <v>1988</v>
      </c>
      <c r="G78" t="s">
        <v>2830</v>
      </c>
      <c r="H78" t="s">
        <v>2</v>
      </c>
      <c r="I78" s="1">
        <v>46224</v>
      </c>
      <c r="J78" t="s">
        <v>1991</v>
      </c>
      <c r="K78" t="s">
        <v>4292</v>
      </c>
      <c r="L78" s="1">
        <v>46224.918321759258</v>
      </c>
      <c r="M78" s="1">
        <v>46224.91962439815</v>
      </c>
    </row>
    <row r="79" spans="1:13" x14ac:dyDescent="0.35">
      <c r="A79" t="s">
        <v>559</v>
      </c>
      <c r="B79" t="s">
        <v>2821</v>
      </c>
      <c r="C79" t="s">
        <v>2830</v>
      </c>
      <c r="D79">
        <v>0</v>
      </c>
      <c r="E79" s="1">
        <v>46464</v>
      </c>
      <c r="F79" t="s">
        <v>1988</v>
      </c>
      <c r="G79" t="s">
        <v>2830</v>
      </c>
      <c r="H79" t="s">
        <v>2</v>
      </c>
      <c r="I79" s="1">
        <v>46224</v>
      </c>
      <c r="J79" t="s">
        <v>2064</v>
      </c>
      <c r="K79" t="s">
        <v>4272</v>
      </c>
      <c r="L79" s="1">
        <v>46224.917650462965</v>
      </c>
      <c r="M79" s="1">
        <v>46224.91962439815</v>
      </c>
    </row>
    <row r="80" spans="1:13" x14ac:dyDescent="0.35">
      <c r="A80" t="s">
        <v>559</v>
      </c>
      <c r="B80" t="s">
        <v>2821</v>
      </c>
      <c r="C80" t="s">
        <v>2830</v>
      </c>
      <c r="D80">
        <v>0</v>
      </c>
      <c r="E80" s="1">
        <v>46464</v>
      </c>
      <c r="F80" t="s">
        <v>1988</v>
      </c>
      <c r="G80" t="s">
        <v>2830</v>
      </c>
      <c r="H80" t="s">
        <v>2</v>
      </c>
      <c r="I80" s="1">
        <v>46224</v>
      </c>
      <c r="J80" t="s">
        <v>2146</v>
      </c>
      <c r="K80" t="s">
        <v>2912</v>
      </c>
      <c r="L80" s="1">
        <v>46224.917650462965</v>
      </c>
      <c r="M80" s="1">
        <v>46224.91962439815</v>
      </c>
    </row>
    <row r="81" spans="1:13" x14ac:dyDescent="0.35">
      <c r="A81" t="s">
        <v>559</v>
      </c>
      <c r="B81" t="s">
        <v>2821</v>
      </c>
      <c r="C81" t="s">
        <v>2830</v>
      </c>
      <c r="D81">
        <v>0</v>
      </c>
      <c r="E81" s="1">
        <v>46464</v>
      </c>
      <c r="F81" t="s">
        <v>1988</v>
      </c>
      <c r="G81" t="s">
        <v>2830</v>
      </c>
      <c r="H81" t="s">
        <v>2</v>
      </c>
      <c r="I81" s="1">
        <v>46224</v>
      </c>
      <c r="J81" t="s">
        <v>1989</v>
      </c>
      <c r="K81" t="s">
        <v>4200</v>
      </c>
      <c r="L81" s="1">
        <v>46224.918321759258</v>
      </c>
      <c r="M81" s="1">
        <v>46224.91962439815</v>
      </c>
    </row>
    <row r="82" spans="1:13" x14ac:dyDescent="0.35">
      <c r="A82" t="s">
        <v>560</v>
      </c>
      <c r="B82" t="s">
        <v>2821</v>
      </c>
      <c r="C82" t="s">
        <v>2831</v>
      </c>
      <c r="D82">
        <v>0</v>
      </c>
      <c r="E82" s="1">
        <v>46492</v>
      </c>
      <c r="F82" t="s">
        <v>1988</v>
      </c>
      <c r="G82" t="s">
        <v>2831</v>
      </c>
      <c r="H82" t="s">
        <v>2</v>
      </c>
      <c r="I82" s="1">
        <v>46224</v>
      </c>
      <c r="J82" t="s">
        <v>1991</v>
      </c>
      <c r="K82" t="s">
        <v>4279</v>
      </c>
      <c r="L82" s="1">
        <v>46224.918321759258</v>
      </c>
      <c r="M82" s="1">
        <v>46224.91962439815</v>
      </c>
    </row>
    <row r="83" spans="1:13" x14ac:dyDescent="0.35">
      <c r="A83" t="s">
        <v>560</v>
      </c>
      <c r="B83" t="s">
        <v>2821</v>
      </c>
      <c r="C83" t="s">
        <v>2831</v>
      </c>
      <c r="D83">
        <v>0</v>
      </c>
      <c r="E83" s="1">
        <v>46492</v>
      </c>
      <c r="F83" t="s">
        <v>1988</v>
      </c>
      <c r="G83" t="s">
        <v>2831</v>
      </c>
      <c r="H83" t="s">
        <v>2</v>
      </c>
      <c r="I83" s="1">
        <v>46224</v>
      </c>
      <c r="J83" t="s">
        <v>2064</v>
      </c>
      <c r="K83" t="s">
        <v>4238</v>
      </c>
      <c r="L83" s="1">
        <v>46224.917650462965</v>
      </c>
      <c r="M83" s="1">
        <v>46224.91962439815</v>
      </c>
    </row>
    <row r="84" spans="1:13" x14ac:dyDescent="0.35">
      <c r="A84" t="s">
        <v>560</v>
      </c>
      <c r="B84" t="s">
        <v>2821</v>
      </c>
      <c r="C84" t="s">
        <v>2831</v>
      </c>
      <c r="D84">
        <v>0</v>
      </c>
      <c r="E84" s="1">
        <v>46492</v>
      </c>
      <c r="F84" t="s">
        <v>1988</v>
      </c>
      <c r="G84" t="s">
        <v>2831</v>
      </c>
      <c r="H84" t="s">
        <v>2</v>
      </c>
      <c r="I84" s="1">
        <v>46224</v>
      </c>
      <c r="J84" t="s">
        <v>2146</v>
      </c>
      <c r="K84" t="s">
        <v>4201</v>
      </c>
      <c r="L84" s="1">
        <v>46224.917650462965</v>
      </c>
      <c r="M84" s="1">
        <v>46224.91962439815</v>
      </c>
    </row>
    <row r="85" spans="1:13" x14ac:dyDescent="0.35">
      <c r="A85" t="s">
        <v>560</v>
      </c>
      <c r="B85" t="s">
        <v>2821</v>
      </c>
      <c r="C85" t="s">
        <v>2831</v>
      </c>
      <c r="D85">
        <v>0</v>
      </c>
      <c r="E85" s="1">
        <v>46492</v>
      </c>
      <c r="F85" t="s">
        <v>1988</v>
      </c>
      <c r="G85" t="s">
        <v>2831</v>
      </c>
      <c r="H85" t="s">
        <v>2</v>
      </c>
      <c r="I85" s="1">
        <v>46224</v>
      </c>
      <c r="J85" t="s">
        <v>2065</v>
      </c>
      <c r="K85" t="s">
        <v>4238</v>
      </c>
      <c r="L85" s="1">
        <v>46224.917650462965</v>
      </c>
      <c r="M85" s="1">
        <v>46224.91962439815</v>
      </c>
    </row>
    <row r="86" spans="1:13" x14ac:dyDescent="0.35">
      <c r="A86" t="s">
        <v>560</v>
      </c>
      <c r="B86" t="s">
        <v>2821</v>
      </c>
      <c r="C86" t="s">
        <v>2831</v>
      </c>
      <c r="D86">
        <v>0</v>
      </c>
      <c r="E86" s="1">
        <v>46492</v>
      </c>
      <c r="F86" t="s">
        <v>1988</v>
      </c>
      <c r="G86" t="s">
        <v>2831</v>
      </c>
      <c r="H86" t="s">
        <v>2</v>
      </c>
      <c r="I86" s="1">
        <v>46224</v>
      </c>
      <c r="J86" t="s">
        <v>1989</v>
      </c>
      <c r="K86" t="s">
        <v>4221</v>
      </c>
      <c r="L86" s="1">
        <v>46224.918321759258</v>
      </c>
      <c r="M86" s="1">
        <v>46224.91962439815</v>
      </c>
    </row>
    <row r="87" spans="1:13" x14ac:dyDescent="0.35">
      <c r="A87" t="s">
        <v>560</v>
      </c>
      <c r="B87" t="s">
        <v>2821</v>
      </c>
      <c r="C87" t="s">
        <v>2831</v>
      </c>
      <c r="D87">
        <v>0</v>
      </c>
      <c r="E87" s="1">
        <v>46492</v>
      </c>
      <c r="F87" t="s">
        <v>1988</v>
      </c>
      <c r="G87" t="s">
        <v>2831</v>
      </c>
      <c r="H87" t="s">
        <v>2</v>
      </c>
      <c r="I87" s="1">
        <v>46224</v>
      </c>
      <c r="J87" t="s">
        <v>2108</v>
      </c>
      <c r="K87" t="s">
        <v>4201</v>
      </c>
      <c r="L87" s="1">
        <v>46224.917650462965</v>
      </c>
      <c r="M87" s="1">
        <v>46224.91962439815</v>
      </c>
    </row>
    <row r="88" spans="1:13" x14ac:dyDescent="0.35">
      <c r="A88" t="s">
        <v>573</v>
      </c>
      <c r="B88" t="s">
        <v>2821</v>
      </c>
      <c r="C88" t="s">
        <v>2860</v>
      </c>
      <c r="D88">
        <v>0</v>
      </c>
      <c r="E88" s="1">
        <v>46275</v>
      </c>
      <c r="F88" t="s">
        <v>1988</v>
      </c>
      <c r="G88" t="s">
        <v>2860</v>
      </c>
      <c r="H88" t="s">
        <v>2</v>
      </c>
      <c r="I88" s="1">
        <v>46224</v>
      </c>
      <c r="J88" t="s">
        <v>2146</v>
      </c>
      <c r="K88" t="s">
        <v>4280</v>
      </c>
      <c r="L88" s="1">
        <v>46224.917650462965</v>
      </c>
      <c r="M88" s="1">
        <v>46224.91962439815</v>
      </c>
    </row>
    <row r="89" spans="1:13" x14ac:dyDescent="0.35">
      <c r="A89" t="s">
        <v>573</v>
      </c>
      <c r="B89" t="s">
        <v>2821</v>
      </c>
      <c r="C89" t="s">
        <v>2860</v>
      </c>
      <c r="D89">
        <v>0</v>
      </c>
      <c r="E89" s="1">
        <v>46275</v>
      </c>
      <c r="F89" t="s">
        <v>1988</v>
      </c>
      <c r="G89" t="s">
        <v>2860</v>
      </c>
      <c r="H89" t="s">
        <v>2</v>
      </c>
      <c r="I89" s="1">
        <v>46224</v>
      </c>
      <c r="J89" t="s">
        <v>1991</v>
      </c>
      <c r="K89" t="s">
        <v>4255</v>
      </c>
      <c r="L89" s="1">
        <v>46224.918321759258</v>
      </c>
      <c r="M89" s="1">
        <v>46224.91962439815</v>
      </c>
    </row>
    <row r="90" spans="1:13" x14ac:dyDescent="0.35">
      <c r="A90" t="s">
        <v>573</v>
      </c>
      <c r="B90" t="s">
        <v>2821</v>
      </c>
      <c r="C90" t="s">
        <v>2860</v>
      </c>
      <c r="D90">
        <v>0</v>
      </c>
      <c r="E90" s="1">
        <v>46275</v>
      </c>
      <c r="F90" t="s">
        <v>1988</v>
      </c>
      <c r="G90" t="s">
        <v>2860</v>
      </c>
      <c r="H90" t="s">
        <v>2</v>
      </c>
      <c r="I90" s="1">
        <v>46224</v>
      </c>
      <c r="J90" t="s">
        <v>2108</v>
      </c>
      <c r="K90" t="s">
        <v>4280</v>
      </c>
      <c r="L90" s="1">
        <v>46224.917650462965</v>
      </c>
      <c r="M90" s="1">
        <v>46224.91962439815</v>
      </c>
    </row>
    <row r="91" spans="1:13" x14ac:dyDescent="0.35">
      <c r="A91" t="s">
        <v>573</v>
      </c>
      <c r="B91" t="s">
        <v>2821</v>
      </c>
      <c r="C91" t="s">
        <v>2860</v>
      </c>
      <c r="D91">
        <v>0</v>
      </c>
      <c r="E91" s="1">
        <v>46275</v>
      </c>
      <c r="F91" t="s">
        <v>1988</v>
      </c>
      <c r="G91" t="s">
        <v>2860</v>
      </c>
      <c r="H91" t="s">
        <v>2</v>
      </c>
      <c r="I91" s="1">
        <v>46224</v>
      </c>
      <c r="J91" t="s">
        <v>2065</v>
      </c>
      <c r="K91" t="s">
        <v>4202</v>
      </c>
      <c r="L91" s="1">
        <v>46224.917650462965</v>
      </c>
      <c r="M91" s="1">
        <v>46224.91962439815</v>
      </c>
    </row>
    <row r="92" spans="1:13" x14ac:dyDescent="0.35">
      <c r="A92" t="s">
        <v>573</v>
      </c>
      <c r="B92" t="s">
        <v>2821</v>
      </c>
      <c r="C92" t="s">
        <v>2860</v>
      </c>
      <c r="D92">
        <v>0</v>
      </c>
      <c r="E92" s="1">
        <v>46275</v>
      </c>
      <c r="F92" t="s">
        <v>1988</v>
      </c>
      <c r="G92" t="s">
        <v>2860</v>
      </c>
      <c r="H92" t="s">
        <v>2</v>
      </c>
      <c r="I92" s="1">
        <v>46224</v>
      </c>
      <c r="J92" t="s">
        <v>1989</v>
      </c>
      <c r="K92" t="s">
        <v>4222</v>
      </c>
      <c r="L92" s="1">
        <v>46224.918321759258</v>
      </c>
      <c r="M92" s="1">
        <v>46224.91962439815</v>
      </c>
    </row>
    <row r="93" spans="1:13" x14ac:dyDescent="0.35">
      <c r="A93" t="s">
        <v>573</v>
      </c>
      <c r="B93" t="s">
        <v>2821</v>
      </c>
      <c r="C93" t="s">
        <v>2860</v>
      </c>
      <c r="D93">
        <v>0</v>
      </c>
      <c r="E93" s="1">
        <v>46275</v>
      </c>
      <c r="F93" t="s">
        <v>1988</v>
      </c>
      <c r="G93" t="s">
        <v>2860</v>
      </c>
      <c r="H93" t="s">
        <v>2</v>
      </c>
      <c r="I93" s="1">
        <v>46224</v>
      </c>
      <c r="J93" t="s">
        <v>2064</v>
      </c>
      <c r="K93" t="s">
        <v>4202</v>
      </c>
      <c r="L93" s="1">
        <v>46224.917650462965</v>
      </c>
      <c r="M93" s="1">
        <v>46224.91962439815</v>
      </c>
    </row>
    <row r="94" spans="1:13" x14ac:dyDescent="0.35">
      <c r="A94" t="s">
        <v>574</v>
      </c>
      <c r="B94" t="s">
        <v>2821</v>
      </c>
      <c r="C94" t="s">
        <v>2862</v>
      </c>
      <c r="D94">
        <v>0</v>
      </c>
      <c r="E94" s="1">
        <v>46282</v>
      </c>
      <c r="F94" t="s">
        <v>1988</v>
      </c>
      <c r="G94" t="s">
        <v>2862</v>
      </c>
      <c r="H94" t="s">
        <v>2</v>
      </c>
      <c r="I94" s="1">
        <v>46224</v>
      </c>
      <c r="J94" t="s">
        <v>1991</v>
      </c>
      <c r="K94" t="s">
        <v>4281</v>
      </c>
      <c r="L94" s="1">
        <v>46224.918321759258</v>
      </c>
      <c r="M94" s="1">
        <v>46224.91962439815</v>
      </c>
    </row>
    <row r="95" spans="1:13" x14ac:dyDescent="0.35">
      <c r="A95" t="s">
        <v>574</v>
      </c>
      <c r="B95" t="s">
        <v>2821</v>
      </c>
      <c r="C95" t="s">
        <v>2862</v>
      </c>
      <c r="D95">
        <v>0</v>
      </c>
      <c r="E95" s="1">
        <v>46282</v>
      </c>
      <c r="F95" t="s">
        <v>1988</v>
      </c>
      <c r="G95" t="s">
        <v>2862</v>
      </c>
      <c r="H95" t="s">
        <v>2</v>
      </c>
      <c r="I95" s="1">
        <v>46224</v>
      </c>
      <c r="J95" t="s">
        <v>1989</v>
      </c>
      <c r="K95" t="s">
        <v>4203</v>
      </c>
      <c r="L95" s="1">
        <v>46224.918321759258</v>
      </c>
      <c r="M95" s="1">
        <v>46224.91962439815</v>
      </c>
    </row>
    <row r="96" spans="1:13" x14ac:dyDescent="0.35">
      <c r="A96" t="s">
        <v>561</v>
      </c>
      <c r="B96" t="s">
        <v>2821</v>
      </c>
      <c r="C96" t="s">
        <v>2832</v>
      </c>
      <c r="D96">
        <v>0</v>
      </c>
      <c r="E96" s="1">
        <v>46289</v>
      </c>
      <c r="F96" t="s">
        <v>1988</v>
      </c>
      <c r="G96" t="s">
        <v>2832</v>
      </c>
      <c r="H96" t="s">
        <v>2</v>
      </c>
      <c r="I96" s="1">
        <v>46224</v>
      </c>
      <c r="J96" t="s">
        <v>1989</v>
      </c>
      <c r="K96" t="s">
        <v>4178</v>
      </c>
      <c r="L96" s="1">
        <v>46224.918321759258</v>
      </c>
      <c r="M96" s="1">
        <v>46224.91962439815</v>
      </c>
    </row>
    <row r="97" spans="1:13" x14ac:dyDescent="0.35">
      <c r="A97" t="s">
        <v>561</v>
      </c>
      <c r="B97" t="s">
        <v>2821</v>
      </c>
      <c r="C97" t="s">
        <v>2832</v>
      </c>
      <c r="D97">
        <v>0</v>
      </c>
      <c r="E97" s="1">
        <v>46289</v>
      </c>
      <c r="F97" t="s">
        <v>1988</v>
      </c>
      <c r="G97" t="s">
        <v>2832</v>
      </c>
      <c r="H97" t="s">
        <v>2</v>
      </c>
      <c r="I97" s="1">
        <v>46224</v>
      </c>
      <c r="J97" t="s">
        <v>2108</v>
      </c>
      <c r="K97" t="s">
        <v>3038</v>
      </c>
      <c r="L97" s="1">
        <v>46224.917650462965</v>
      </c>
      <c r="M97" s="1">
        <v>46224.91962439815</v>
      </c>
    </row>
    <row r="98" spans="1:13" x14ac:dyDescent="0.35">
      <c r="A98" t="s">
        <v>561</v>
      </c>
      <c r="B98" t="s">
        <v>2821</v>
      </c>
      <c r="C98" t="s">
        <v>2832</v>
      </c>
      <c r="D98">
        <v>0</v>
      </c>
      <c r="E98" s="1">
        <v>46289</v>
      </c>
      <c r="F98" t="s">
        <v>1988</v>
      </c>
      <c r="G98" t="s">
        <v>2832</v>
      </c>
      <c r="H98" t="s">
        <v>2</v>
      </c>
      <c r="I98" s="1">
        <v>46224</v>
      </c>
      <c r="J98" t="s">
        <v>2064</v>
      </c>
      <c r="K98" t="s">
        <v>3039</v>
      </c>
      <c r="L98" s="1">
        <v>46224.917650462965</v>
      </c>
      <c r="M98" s="1">
        <v>46224.91962439815</v>
      </c>
    </row>
    <row r="99" spans="1:13" x14ac:dyDescent="0.35">
      <c r="A99" t="s">
        <v>561</v>
      </c>
      <c r="B99" t="s">
        <v>2821</v>
      </c>
      <c r="C99" t="s">
        <v>2832</v>
      </c>
      <c r="D99">
        <v>0</v>
      </c>
      <c r="E99" s="1">
        <v>46289</v>
      </c>
      <c r="F99" t="s">
        <v>1988</v>
      </c>
      <c r="G99" t="s">
        <v>2832</v>
      </c>
      <c r="H99" t="s">
        <v>2</v>
      </c>
      <c r="I99" s="1">
        <v>46224</v>
      </c>
      <c r="J99" t="s">
        <v>1991</v>
      </c>
      <c r="K99" t="s">
        <v>4256</v>
      </c>
      <c r="L99" s="1">
        <v>46224.918321759258</v>
      </c>
      <c r="M99" s="1">
        <v>46224.91962439815</v>
      </c>
    </row>
    <row r="100" spans="1:13" x14ac:dyDescent="0.35">
      <c r="A100" t="s">
        <v>561</v>
      </c>
      <c r="B100" t="s">
        <v>2821</v>
      </c>
      <c r="C100" t="s">
        <v>2832</v>
      </c>
      <c r="D100">
        <v>0</v>
      </c>
      <c r="E100" s="1">
        <v>46289</v>
      </c>
      <c r="F100" t="s">
        <v>1988</v>
      </c>
      <c r="G100" t="s">
        <v>2832</v>
      </c>
      <c r="H100" t="s">
        <v>2</v>
      </c>
      <c r="I100" s="1">
        <v>46224</v>
      </c>
      <c r="J100" t="s">
        <v>2146</v>
      </c>
      <c r="K100" t="s">
        <v>3038</v>
      </c>
      <c r="L100" s="1">
        <v>46224.917650462965</v>
      </c>
      <c r="M100" s="1">
        <v>46224.91962439815</v>
      </c>
    </row>
    <row r="101" spans="1:13" x14ac:dyDescent="0.35">
      <c r="A101" t="s">
        <v>561</v>
      </c>
      <c r="B101" t="s">
        <v>2821</v>
      </c>
      <c r="C101" t="s">
        <v>2832</v>
      </c>
      <c r="D101">
        <v>0</v>
      </c>
      <c r="E101" s="1">
        <v>46289</v>
      </c>
      <c r="F101" t="s">
        <v>1988</v>
      </c>
      <c r="G101" t="s">
        <v>2832</v>
      </c>
      <c r="H101" t="s">
        <v>2</v>
      </c>
      <c r="I101" s="1">
        <v>46224</v>
      </c>
      <c r="J101" t="s">
        <v>2065</v>
      </c>
      <c r="K101" t="s">
        <v>3039</v>
      </c>
      <c r="L101" s="1">
        <v>46224.917650462965</v>
      </c>
      <c r="M101" s="1">
        <v>46224.91962439815</v>
      </c>
    </row>
    <row r="102" spans="1:13" x14ac:dyDescent="0.35">
      <c r="A102" t="s">
        <v>562</v>
      </c>
      <c r="B102" t="s">
        <v>2821</v>
      </c>
      <c r="C102" t="s">
        <v>2861</v>
      </c>
      <c r="D102">
        <v>0</v>
      </c>
      <c r="E102" s="1">
        <v>46303</v>
      </c>
      <c r="F102" t="s">
        <v>1988</v>
      </c>
      <c r="G102" t="s">
        <v>2861</v>
      </c>
      <c r="H102" t="s">
        <v>2</v>
      </c>
      <c r="I102" s="1">
        <v>46224</v>
      </c>
      <c r="J102" t="s">
        <v>1989</v>
      </c>
      <c r="K102" t="s">
        <v>4282</v>
      </c>
      <c r="L102" s="1">
        <v>46224.918321759258</v>
      </c>
      <c r="M102" s="1">
        <v>46224.91962439815</v>
      </c>
    </row>
    <row r="103" spans="1:13" x14ac:dyDescent="0.35">
      <c r="A103" t="s">
        <v>562</v>
      </c>
      <c r="B103" t="s">
        <v>2821</v>
      </c>
      <c r="C103" t="s">
        <v>2861</v>
      </c>
      <c r="D103">
        <v>0</v>
      </c>
      <c r="E103" s="1">
        <v>46303</v>
      </c>
      <c r="F103" t="s">
        <v>1988</v>
      </c>
      <c r="G103" t="s">
        <v>2861</v>
      </c>
      <c r="H103" t="s">
        <v>2</v>
      </c>
      <c r="I103" s="1">
        <v>46224</v>
      </c>
      <c r="J103" t="s">
        <v>2065</v>
      </c>
      <c r="K103" t="s">
        <v>4239</v>
      </c>
      <c r="L103" s="1">
        <v>46224.917650462965</v>
      </c>
      <c r="M103" s="1">
        <v>46224.91962439815</v>
      </c>
    </row>
    <row r="104" spans="1:13" x14ac:dyDescent="0.35">
      <c r="A104" t="s">
        <v>562</v>
      </c>
      <c r="B104" t="s">
        <v>2821</v>
      </c>
      <c r="C104" t="s">
        <v>2861</v>
      </c>
      <c r="D104">
        <v>0</v>
      </c>
      <c r="E104" s="1">
        <v>46303</v>
      </c>
      <c r="F104" t="s">
        <v>1988</v>
      </c>
      <c r="G104" t="s">
        <v>2861</v>
      </c>
      <c r="H104" t="s">
        <v>2</v>
      </c>
      <c r="I104" s="1">
        <v>46224</v>
      </c>
      <c r="J104" t="s">
        <v>2108</v>
      </c>
      <c r="K104" t="s">
        <v>4204</v>
      </c>
      <c r="L104" s="1">
        <v>46224.917650462965</v>
      </c>
      <c r="M104" s="1">
        <v>46224.91962439815</v>
      </c>
    </row>
    <row r="105" spans="1:13" x14ac:dyDescent="0.35">
      <c r="A105" t="s">
        <v>562</v>
      </c>
      <c r="B105" t="s">
        <v>2821</v>
      </c>
      <c r="C105" t="s">
        <v>2861</v>
      </c>
      <c r="D105">
        <v>0</v>
      </c>
      <c r="E105" s="1">
        <v>46303</v>
      </c>
      <c r="F105" t="s">
        <v>1988</v>
      </c>
      <c r="G105" t="s">
        <v>2861</v>
      </c>
      <c r="H105" t="s">
        <v>2</v>
      </c>
      <c r="I105" s="1">
        <v>46224</v>
      </c>
      <c r="J105" t="s">
        <v>2064</v>
      </c>
      <c r="K105" t="s">
        <v>4239</v>
      </c>
      <c r="L105" s="1">
        <v>46224.917650462965</v>
      </c>
      <c r="M105" s="1">
        <v>46224.91962439815</v>
      </c>
    </row>
    <row r="106" spans="1:13" x14ac:dyDescent="0.35">
      <c r="A106" t="s">
        <v>562</v>
      </c>
      <c r="B106" t="s">
        <v>2821</v>
      </c>
      <c r="C106" t="s">
        <v>2861</v>
      </c>
      <c r="D106">
        <v>0</v>
      </c>
      <c r="E106" s="1">
        <v>46303</v>
      </c>
      <c r="F106" t="s">
        <v>1988</v>
      </c>
      <c r="G106" t="s">
        <v>2861</v>
      </c>
      <c r="H106" t="s">
        <v>2</v>
      </c>
      <c r="I106" s="1">
        <v>46224</v>
      </c>
      <c r="J106" t="s">
        <v>1991</v>
      </c>
      <c r="K106" t="s">
        <v>4223</v>
      </c>
      <c r="L106" s="1">
        <v>46224.918321759258</v>
      </c>
      <c r="M106" s="1">
        <v>46224.91962439815</v>
      </c>
    </row>
    <row r="107" spans="1:13" x14ac:dyDescent="0.35">
      <c r="A107" t="s">
        <v>562</v>
      </c>
      <c r="B107" t="s">
        <v>2821</v>
      </c>
      <c r="C107" t="s">
        <v>2861</v>
      </c>
      <c r="D107">
        <v>0</v>
      </c>
      <c r="E107" s="1">
        <v>46303</v>
      </c>
      <c r="F107" t="s">
        <v>1988</v>
      </c>
      <c r="G107" t="s">
        <v>2861</v>
      </c>
      <c r="H107" t="s">
        <v>2</v>
      </c>
      <c r="I107" s="1">
        <v>46224</v>
      </c>
      <c r="J107" t="s">
        <v>2146</v>
      </c>
      <c r="K107" t="s">
        <v>4204</v>
      </c>
      <c r="L107" s="1">
        <v>46224.917650462965</v>
      </c>
      <c r="M107" s="1">
        <v>46224.91962439815</v>
      </c>
    </row>
    <row r="108" spans="1:13" x14ac:dyDescent="0.35">
      <c r="A108" t="s">
        <v>563</v>
      </c>
      <c r="B108" t="s">
        <v>2821</v>
      </c>
      <c r="C108" t="s">
        <v>2833</v>
      </c>
      <c r="D108">
        <v>0</v>
      </c>
      <c r="E108" s="1">
        <v>46310</v>
      </c>
      <c r="F108" t="s">
        <v>1988</v>
      </c>
      <c r="G108" t="s">
        <v>2833</v>
      </c>
      <c r="H108" t="s">
        <v>2</v>
      </c>
      <c r="I108" s="1">
        <v>46224</v>
      </c>
      <c r="J108" t="s">
        <v>1991</v>
      </c>
      <c r="K108" t="s">
        <v>4179</v>
      </c>
      <c r="L108" s="1">
        <v>46224.918321759258</v>
      </c>
      <c r="M108" s="1">
        <v>46224.91962439815</v>
      </c>
    </row>
    <row r="109" spans="1:13" x14ac:dyDescent="0.35">
      <c r="A109" t="s">
        <v>563</v>
      </c>
      <c r="B109" t="s">
        <v>2821</v>
      </c>
      <c r="C109" t="s">
        <v>2833</v>
      </c>
      <c r="D109">
        <v>0</v>
      </c>
      <c r="E109" s="1">
        <v>46310</v>
      </c>
      <c r="F109" t="s">
        <v>1988</v>
      </c>
      <c r="G109" t="s">
        <v>2833</v>
      </c>
      <c r="H109" t="s">
        <v>2</v>
      </c>
      <c r="I109" s="1">
        <v>46224</v>
      </c>
      <c r="J109" t="s">
        <v>1989</v>
      </c>
      <c r="K109" t="s">
        <v>4283</v>
      </c>
      <c r="L109" s="1">
        <v>46224.918321759258</v>
      </c>
      <c r="M109" s="1">
        <v>46224.91962439815</v>
      </c>
    </row>
    <row r="110" spans="1:13" x14ac:dyDescent="0.35">
      <c r="A110" t="s">
        <v>563</v>
      </c>
      <c r="B110" t="s">
        <v>2821</v>
      </c>
      <c r="C110" t="s">
        <v>2833</v>
      </c>
      <c r="D110">
        <v>0</v>
      </c>
      <c r="E110" s="1">
        <v>46310</v>
      </c>
      <c r="F110" t="s">
        <v>1988</v>
      </c>
      <c r="G110" t="s">
        <v>2833</v>
      </c>
      <c r="H110" t="s">
        <v>2</v>
      </c>
      <c r="I110" s="1">
        <v>46224</v>
      </c>
      <c r="J110" t="s">
        <v>2146</v>
      </c>
      <c r="K110" t="s">
        <v>4257</v>
      </c>
      <c r="L110" s="1">
        <v>46224.917650462965</v>
      </c>
      <c r="M110" s="1">
        <v>46224.91962439815</v>
      </c>
    </row>
    <row r="111" spans="1:13" x14ac:dyDescent="0.35">
      <c r="A111" t="s">
        <v>563</v>
      </c>
      <c r="B111" t="s">
        <v>2821</v>
      </c>
      <c r="C111" t="s">
        <v>2833</v>
      </c>
      <c r="D111">
        <v>0</v>
      </c>
      <c r="E111" s="1">
        <v>46310</v>
      </c>
      <c r="F111" t="s">
        <v>1988</v>
      </c>
      <c r="G111" t="s">
        <v>2833</v>
      </c>
      <c r="H111" t="s">
        <v>2</v>
      </c>
      <c r="I111" s="1">
        <v>46224</v>
      </c>
      <c r="J111" t="s">
        <v>2108</v>
      </c>
      <c r="K111" t="s">
        <v>4257</v>
      </c>
      <c r="L111" s="1">
        <v>46224.917650462965</v>
      </c>
      <c r="M111" s="1">
        <v>46224.91962439815</v>
      </c>
    </row>
    <row r="112" spans="1:13" x14ac:dyDescent="0.35">
      <c r="A112" t="s">
        <v>563</v>
      </c>
      <c r="B112" t="s">
        <v>2821</v>
      </c>
      <c r="C112" t="s">
        <v>2833</v>
      </c>
      <c r="D112">
        <v>0</v>
      </c>
      <c r="E112" s="1">
        <v>46310</v>
      </c>
      <c r="F112" t="s">
        <v>1988</v>
      </c>
      <c r="G112" t="s">
        <v>2833</v>
      </c>
      <c r="H112" t="s">
        <v>2</v>
      </c>
      <c r="I112" s="1">
        <v>46224</v>
      </c>
      <c r="J112" t="s">
        <v>2064</v>
      </c>
      <c r="K112" t="s">
        <v>4240</v>
      </c>
      <c r="L112" s="1">
        <v>46224.917650462965</v>
      </c>
      <c r="M112" s="1">
        <v>46224.91962439815</v>
      </c>
    </row>
    <row r="113" spans="1:13" x14ac:dyDescent="0.35">
      <c r="A113" t="s">
        <v>563</v>
      </c>
      <c r="B113" t="s">
        <v>2821</v>
      </c>
      <c r="C113" t="s">
        <v>2833</v>
      </c>
      <c r="D113">
        <v>0</v>
      </c>
      <c r="E113" s="1">
        <v>46310</v>
      </c>
      <c r="F113" t="s">
        <v>1988</v>
      </c>
      <c r="G113" t="s">
        <v>2833</v>
      </c>
      <c r="H113" t="s">
        <v>2</v>
      </c>
      <c r="I113" s="1">
        <v>46224</v>
      </c>
      <c r="J113" t="s">
        <v>2065</v>
      </c>
      <c r="K113" t="s">
        <v>4240</v>
      </c>
      <c r="L113" s="1">
        <v>46224.917650462965</v>
      </c>
      <c r="M113" s="1">
        <v>46224.91962439815</v>
      </c>
    </row>
    <row r="114" spans="1:13" x14ac:dyDescent="0.35">
      <c r="A114" t="s">
        <v>575</v>
      </c>
      <c r="B114" t="s">
        <v>2821</v>
      </c>
      <c r="C114" t="s">
        <v>2834</v>
      </c>
      <c r="D114">
        <v>0</v>
      </c>
      <c r="E114" s="1">
        <v>46317</v>
      </c>
      <c r="F114" t="s">
        <v>1988</v>
      </c>
      <c r="G114" t="s">
        <v>2834</v>
      </c>
      <c r="H114" t="s">
        <v>2</v>
      </c>
      <c r="I114" s="1">
        <v>46224</v>
      </c>
      <c r="J114" t="s">
        <v>2108</v>
      </c>
      <c r="K114" t="s">
        <v>4180</v>
      </c>
      <c r="L114" s="1">
        <v>46224.917650462965</v>
      </c>
      <c r="M114" s="1">
        <v>46224.91962439815</v>
      </c>
    </row>
    <row r="115" spans="1:13" x14ac:dyDescent="0.35">
      <c r="A115" t="s">
        <v>575</v>
      </c>
      <c r="B115" t="s">
        <v>2821</v>
      </c>
      <c r="C115" t="s">
        <v>2834</v>
      </c>
      <c r="D115">
        <v>0</v>
      </c>
      <c r="E115" s="1">
        <v>46317</v>
      </c>
      <c r="F115" t="s">
        <v>1988</v>
      </c>
      <c r="G115" t="s">
        <v>2834</v>
      </c>
      <c r="H115" t="s">
        <v>2</v>
      </c>
      <c r="I115" s="1">
        <v>46224</v>
      </c>
      <c r="J115" t="s">
        <v>2064</v>
      </c>
      <c r="K115" t="s">
        <v>2496</v>
      </c>
      <c r="L115" s="1">
        <v>46224.917650462965</v>
      </c>
      <c r="M115" s="1">
        <v>46224.91962439815</v>
      </c>
    </row>
    <row r="116" spans="1:13" x14ac:dyDescent="0.35">
      <c r="A116" t="s">
        <v>575</v>
      </c>
      <c r="B116" t="s">
        <v>2821</v>
      </c>
      <c r="C116" t="s">
        <v>2834</v>
      </c>
      <c r="D116">
        <v>0</v>
      </c>
      <c r="E116" s="1">
        <v>46317</v>
      </c>
      <c r="F116" t="s">
        <v>1988</v>
      </c>
      <c r="G116" t="s">
        <v>2834</v>
      </c>
      <c r="H116" t="s">
        <v>2</v>
      </c>
      <c r="I116" s="1">
        <v>46224</v>
      </c>
      <c r="J116" t="s">
        <v>1991</v>
      </c>
      <c r="K116" t="s">
        <v>4241</v>
      </c>
      <c r="L116" s="1">
        <v>46224.918321759258</v>
      </c>
      <c r="M116" s="1">
        <v>46224.91962439815</v>
      </c>
    </row>
    <row r="117" spans="1:13" x14ac:dyDescent="0.35">
      <c r="A117" t="s">
        <v>575</v>
      </c>
      <c r="B117" t="s">
        <v>2821</v>
      </c>
      <c r="C117" t="s">
        <v>2834</v>
      </c>
      <c r="D117">
        <v>0</v>
      </c>
      <c r="E117" s="1">
        <v>46317</v>
      </c>
      <c r="F117" t="s">
        <v>1988</v>
      </c>
      <c r="G117" t="s">
        <v>2834</v>
      </c>
      <c r="H117" t="s">
        <v>2</v>
      </c>
      <c r="I117" s="1">
        <v>46224</v>
      </c>
      <c r="J117" t="s">
        <v>2146</v>
      </c>
      <c r="K117" t="s">
        <v>4180</v>
      </c>
      <c r="L117" s="1">
        <v>46224.917650462965</v>
      </c>
      <c r="M117" s="1">
        <v>46224.91962439815</v>
      </c>
    </row>
    <row r="118" spans="1:13" x14ac:dyDescent="0.35">
      <c r="A118" t="s">
        <v>575</v>
      </c>
      <c r="B118" t="s">
        <v>2821</v>
      </c>
      <c r="C118" t="s">
        <v>2834</v>
      </c>
      <c r="D118">
        <v>0</v>
      </c>
      <c r="E118" s="1">
        <v>46317</v>
      </c>
      <c r="F118" t="s">
        <v>1988</v>
      </c>
      <c r="G118" t="s">
        <v>2834</v>
      </c>
      <c r="H118" t="s">
        <v>2</v>
      </c>
      <c r="I118" s="1">
        <v>46224</v>
      </c>
      <c r="J118" t="s">
        <v>1989</v>
      </c>
      <c r="K118" t="s">
        <v>4224</v>
      </c>
      <c r="L118" s="1">
        <v>46224.918321759258</v>
      </c>
      <c r="M118" s="1">
        <v>46224.91962439815</v>
      </c>
    </row>
    <row r="119" spans="1:13" x14ac:dyDescent="0.35">
      <c r="A119" t="s">
        <v>575</v>
      </c>
      <c r="B119" t="s">
        <v>2821</v>
      </c>
      <c r="C119" t="s">
        <v>2834</v>
      </c>
      <c r="D119">
        <v>0</v>
      </c>
      <c r="E119" s="1">
        <v>46317</v>
      </c>
      <c r="F119" t="s">
        <v>1988</v>
      </c>
      <c r="G119" t="s">
        <v>2834</v>
      </c>
      <c r="H119" t="s">
        <v>2</v>
      </c>
      <c r="I119" s="1">
        <v>46224</v>
      </c>
      <c r="J119" t="s">
        <v>2065</v>
      </c>
      <c r="K119" t="s">
        <v>2496</v>
      </c>
      <c r="L119" s="1">
        <v>46224.917650462965</v>
      </c>
      <c r="M119" s="1">
        <v>46224.91962439815</v>
      </c>
    </row>
    <row r="120" spans="1:13" x14ac:dyDescent="0.35">
      <c r="A120" t="s">
        <v>1657</v>
      </c>
      <c r="B120" t="s">
        <v>2821</v>
      </c>
      <c r="C120" t="s">
        <v>2841</v>
      </c>
      <c r="D120">
        <v>0</v>
      </c>
      <c r="E120" s="1">
        <v>46331</v>
      </c>
      <c r="F120" t="s">
        <v>1988</v>
      </c>
      <c r="G120" t="s">
        <v>2841</v>
      </c>
      <c r="H120" t="s">
        <v>2</v>
      </c>
      <c r="I120" s="1">
        <v>46224</v>
      </c>
      <c r="J120" t="s">
        <v>2065</v>
      </c>
      <c r="K120" t="s">
        <v>4181</v>
      </c>
      <c r="L120" s="1">
        <v>46224.917650462965</v>
      </c>
      <c r="M120" s="1">
        <v>46224.91962439815</v>
      </c>
    </row>
    <row r="121" spans="1:13" x14ac:dyDescent="0.35">
      <c r="A121" t="s">
        <v>1657</v>
      </c>
      <c r="B121" t="s">
        <v>2821</v>
      </c>
      <c r="C121" t="s">
        <v>2841</v>
      </c>
      <c r="D121">
        <v>0</v>
      </c>
      <c r="E121" s="1">
        <v>46331</v>
      </c>
      <c r="F121" t="s">
        <v>1988</v>
      </c>
      <c r="G121" t="s">
        <v>2841</v>
      </c>
      <c r="H121" t="s">
        <v>2</v>
      </c>
      <c r="I121" s="1">
        <v>46224</v>
      </c>
      <c r="J121" t="s">
        <v>2064</v>
      </c>
      <c r="K121" t="s">
        <v>4181</v>
      </c>
      <c r="L121" s="1">
        <v>46224.917650462965</v>
      </c>
      <c r="M121" s="1">
        <v>46224.91962439815</v>
      </c>
    </row>
    <row r="122" spans="1:13" x14ac:dyDescent="0.35">
      <c r="A122" t="s">
        <v>1657</v>
      </c>
      <c r="B122" t="s">
        <v>2821</v>
      </c>
      <c r="C122" t="s">
        <v>2841</v>
      </c>
      <c r="D122">
        <v>0</v>
      </c>
      <c r="E122" s="1">
        <v>46331</v>
      </c>
      <c r="F122" t="s">
        <v>1988</v>
      </c>
      <c r="G122" t="s">
        <v>2841</v>
      </c>
      <c r="H122" t="s">
        <v>2</v>
      </c>
      <c r="I122" s="1">
        <v>46224</v>
      </c>
      <c r="J122" t="s">
        <v>2108</v>
      </c>
      <c r="K122" t="s">
        <v>4258</v>
      </c>
      <c r="L122" s="1">
        <v>46224.917650462965</v>
      </c>
      <c r="M122" s="1">
        <v>46224.91962439815</v>
      </c>
    </row>
    <row r="123" spans="1:13" x14ac:dyDescent="0.35">
      <c r="A123" t="s">
        <v>1657</v>
      </c>
      <c r="B123" t="s">
        <v>2821</v>
      </c>
      <c r="C123" t="s">
        <v>2841</v>
      </c>
      <c r="D123">
        <v>0</v>
      </c>
      <c r="E123" s="1">
        <v>46331</v>
      </c>
      <c r="F123" t="s">
        <v>1988</v>
      </c>
      <c r="G123" t="s">
        <v>2841</v>
      </c>
      <c r="H123" t="s">
        <v>2</v>
      </c>
      <c r="I123" s="1">
        <v>46224</v>
      </c>
      <c r="J123" t="s">
        <v>2146</v>
      </c>
      <c r="K123" t="s">
        <v>4258</v>
      </c>
      <c r="L123" s="1">
        <v>46224.917650462965</v>
      </c>
      <c r="M123" s="1">
        <v>46224.91962439815</v>
      </c>
    </row>
    <row r="124" spans="1:13" x14ac:dyDescent="0.35">
      <c r="A124" t="s">
        <v>1657</v>
      </c>
      <c r="B124" t="s">
        <v>2821</v>
      </c>
      <c r="C124" t="s">
        <v>2841</v>
      </c>
      <c r="D124">
        <v>0</v>
      </c>
      <c r="E124" s="1">
        <v>46331</v>
      </c>
      <c r="F124" t="s">
        <v>1988</v>
      </c>
      <c r="G124" t="s">
        <v>2841</v>
      </c>
      <c r="H124" t="s">
        <v>2</v>
      </c>
      <c r="I124" s="1">
        <v>46224</v>
      </c>
      <c r="J124" t="s">
        <v>1989</v>
      </c>
      <c r="K124" t="s">
        <v>4242</v>
      </c>
      <c r="L124" s="1">
        <v>46224.918321759258</v>
      </c>
      <c r="M124" s="1">
        <v>46224.91962439815</v>
      </c>
    </row>
    <row r="125" spans="1:13" x14ac:dyDescent="0.35">
      <c r="A125" t="s">
        <v>1657</v>
      </c>
      <c r="B125" t="s">
        <v>2821</v>
      </c>
      <c r="C125" t="s">
        <v>2841</v>
      </c>
      <c r="D125">
        <v>0</v>
      </c>
      <c r="E125" s="1">
        <v>46331</v>
      </c>
      <c r="F125" t="s">
        <v>1988</v>
      </c>
      <c r="G125" t="s">
        <v>2841</v>
      </c>
      <c r="H125" t="s">
        <v>2</v>
      </c>
      <c r="I125" s="1">
        <v>46224</v>
      </c>
      <c r="J125" t="s">
        <v>1991</v>
      </c>
      <c r="K125" t="s">
        <v>4225</v>
      </c>
      <c r="L125" s="1">
        <v>46224.918321759258</v>
      </c>
      <c r="M125" s="1">
        <v>46224.91962439815</v>
      </c>
    </row>
    <row r="126" spans="1:13" x14ac:dyDescent="0.35">
      <c r="A126" t="s">
        <v>564</v>
      </c>
      <c r="B126" t="s">
        <v>2821</v>
      </c>
      <c r="C126" t="s">
        <v>2835</v>
      </c>
      <c r="D126">
        <v>0</v>
      </c>
      <c r="E126" s="1">
        <v>46231</v>
      </c>
      <c r="F126" t="s">
        <v>1988</v>
      </c>
      <c r="G126" t="s">
        <v>2835</v>
      </c>
      <c r="H126" t="s">
        <v>2</v>
      </c>
      <c r="I126" s="1">
        <v>46224</v>
      </c>
      <c r="J126" t="s">
        <v>1989</v>
      </c>
      <c r="K126" t="s">
        <v>4182</v>
      </c>
      <c r="L126" s="1">
        <v>46224.918321759258</v>
      </c>
      <c r="M126" s="1">
        <v>46224.91962439815</v>
      </c>
    </row>
    <row r="127" spans="1:13" x14ac:dyDescent="0.35">
      <c r="A127" t="s">
        <v>564</v>
      </c>
      <c r="B127" t="s">
        <v>2821</v>
      </c>
      <c r="C127" t="s">
        <v>2835</v>
      </c>
      <c r="D127">
        <v>0</v>
      </c>
      <c r="E127" s="1">
        <v>46231</v>
      </c>
      <c r="F127" t="s">
        <v>1988</v>
      </c>
      <c r="G127" t="s">
        <v>2835</v>
      </c>
      <c r="H127" t="s">
        <v>2</v>
      </c>
      <c r="I127" s="1">
        <v>46224</v>
      </c>
      <c r="J127" t="s">
        <v>2064</v>
      </c>
      <c r="K127" t="s">
        <v>4227</v>
      </c>
      <c r="L127" s="1">
        <v>46224.917650462965</v>
      </c>
      <c r="M127" s="1">
        <v>46224.91962439815</v>
      </c>
    </row>
    <row r="128" spans="1:13" x14ac:dyDescent="0.35">
      <c r="A128" t="s">
        <v>564</v>
      </c>
      <c r="B128" t="s">
        <v>2821</v>
      </c>
      <c r="C128" t="s">
        <v>2835</v>
      </c>
      <c r="D128">
        <v>0</v>
      </c>
      <c r="E128" s="1">
        <v>46231</v>
      </c>
      <c r="F128" t="s">
        <v>1988</v>
      </c>
      <c r="G128" t="s">
        <v>2835</v>
      </c>
      <c r="H128" t="s">
        <v>2</v>
      </c>
      <c r="I128" s="1">
        <v>46224</v>
      </c>
      <c r="J128" t="s">
        <v>2146</v>
      </c>
      <c r="K128" t="s">
        <v>4226</v>
      </c>
      <c r="L128" s="1">
        <v>46224.917650462965</v>
      </c>
      <c r="M128" s="1">
        <v>46224.91962439815</v>
      </c>
    </row>
    <row r="129" spans="1:13" x14ac:dyDescent="0.35">
      <c r="A129" t="s">
        <v>564</v>
      </c>
      <c r="B129" t="s">
        <v>2821</v>
      </c>
      <c r="C129" t="s">
        <v>2835</v>
      </c>
      <c r="D129">
        <v>0</v>
      </c>
      <c r="E129" s="1">
        <v>46231</v>
      </c>
      <c r="F129" t="s">
        <v>1988</v>
      </c>
      <c r="G129" t="s">
        <v>2835</v>
      </c>
      <c r="H129" t="s">
        <v>2</v>
      </c>
      <c r="I129" s="1">
        <v>46224</v>
      </c>
      <c r="J129" t="s">
        <v>1991</v>
      </c>
      <c r="K129" t="s">
        <v>4243</v>
      </c>
      <c r="L129" s="1">
        <v>46224.918321759258</v>
      </c>
      <c r="M129" s="1">
        <v>46224.91962439815</v>
      </c>
    </row>
    <row r="130" spans="1:13" x14ac:dyDescent="0.35">
      <c r="A130" t="s">
        <v>564</v>
      </c>
      <c r="B130" t="s">
        <v>2821</v>
      </c>
      <c r="C130" t="s">
        <v>2835</v>
      </c>
      <c r="D130">
        <v>0</v>
      </c>
      <c r="E130" s="1">
        <v>46231</v>
      </c>
      <c r="F130" t="s">
        <v>1988</v>
      </c>
      <c r="G130" t="s">
        <v>2835</v>
      </c>
      <c r="H130" t="s">
        <v>2</v>
      </c>
      <c r="I130" s="1">
        <v>46224</v>
      </c>
      <c r="J130" t="s">
        <v>2108</v>
      </c>
      <c r="K130" t="s">
        <v>4226</v>
      </c>
      <c r="L130" s="1">
        <v>46224.917650462965</v>
      </c>
      <c r="M130" s="1">
        <v>46224.91962439815</v>
      </c>
    </row>
    <row r="131" spans="1:13" x14ac:dyDescent="0.35">
      <c r="A131" t="s">
        <v>564</v>
      </c>
      <c r="B131" t="s">
        <v>2821</v>
      </c>
      <c r="C131" t="s">
        <v>2835</v>
      </c>
      <c r="D131">
        <v>0</v>
      </c>
      <c r="E131" s="1">
        <v>46231</v>
      </c>
      <c r="F131" t="s">
        <v>1988</v>
      </c>
      <c r="G131" t="s">
        <v>2835</v>
      </c>
      <c r="H131" t="s">
        <v>2</v>
      </c>
      <c r="I131" s="1">
        <v>46224</v>
      </c>
      <c r="J131" t="s">
        <v>2065</v>
      </c>
      <c r="K131" t="s">
        <v>4227</v>
      </c>
      <c r="L131" s="1">
        <v>46224.917650462965</v>
      </c>
      <c r="M131" s="1">
        <v>46224.91962439815</v>
      </c>
    </row>
    <row r="132" spans="1:13" x14ac:dyDescent="0.35">
      <c r="A132" t="s">
        <v>581</v>
      </c>
      <c r="B132" t="s">
        <v>2821</v>
      </c>
      <c r="C132" t="s">
        <v>2842</v>
      </c>
      <c r="D132">
        <v>0</v>
      </c>
      <c r="E132" s="1">
        <v>46238</v>
      </c>
      <c r="F132" t="s">
        <v>1988</v>
      </c>
      <c r="G132" t="s">
        <v>2842</v>
      </c>
      <c r="H132" t="s">
        <v>2</v>
      </c>
      <c r="I132" s="1">
        <v>46224</v>
      </c>
      <c r="J132" t="s">
        <v>1991</v>
      </c>
      <c r="K132" t="s">
        <v>4259</v>
      </c>
      <c r="L132" s="1">
        <v>46224.918321759258</v>
      </c>
      <c r="M132" s="1">
        <v>46224.91962439815</v>
      </c>
    </row>
    <row r="133" spans="1:13" x14ac:dyDescent="0.35">
      <c r="A133" t="s">
        <v>581</v>
      </c>
      <c r="B133" t="s">
        <v>2821</v>
      </c>
      <c r="C133" t="s">
        <v>2842</v>
      </c>
      <c r="D133">
        <v>0</v>
      </c>
      <c r="E133" s="1">
        <v>46238</v>
      </c>
      <c r="F133" t="s">
        <v>1988</v>
      </c>
      <c r="G133" t="s">
        <v>2842</v>
      </c>
      <c r="H133" t="s">
        <v>2</v>
      </c>
      <c r="I133" s="1">
        <v>46224</v>
      </c>
      <c r="J133" t="s">
        <v>2064</v>
      </c>
      <c r="K133" t="s">
        <v>4260</v>
      </c>
      <c r="L133" s="1">
        <v>46224.917650462965</v>
      </c>
      <c r="M133" s="1">
        <v>46224.91962439815</v>
      </c>
    </row>
    <row r="134" spans="1:13" x14ac:dyDescent="0.35">
      <c r="A134" t="s">
        <v>581</v>
      </c>
      <c r="B134" t="s">
        <v>2821</v>
      </c>
      <c r="C134" t="s">
        <v>2842</v>
      </c>
      <c r="D134">
        <v>0</v>
      </c>
      <c r="E134" s="1">
        <v>46238</v>
      </c>
      <c r="F134" t="s">
        <v>1988</v>
      </c>
      <c r="G134" t="s">
        <v>2842</v>
      </c>
      <c r="H134" t="s">
        <v>2</v>
      </c>
      <c r="I134" s="1">
        <v>46224</v>
      </c>
      <c r="J134" t="s">
        <v>2065</v>
      </c>
      <c r="K134" t="s">
        <v>4260</v>
      </c>
      <c r="L134" s="1">
        <v>46224.917650462965</v>
      </c>
      <c r="M134" s="1">
        <v>46224.91962439815</v>
      </c>
    </row>
    <row r="135" spans="1:13" x14ac:dyDescent="0.35">
      <c r="A135" t="s">
        <v>581</v>
      </c>
      <c r="B135" t="s">
        <v>2821</v>
      </c>
      <c r="C135" t="s">
        <v>2842</v>
      </c>
      <c r="D135">
        <v>0</v>
      </c>
      <c r="E135" s="1">
        <v>46238</v>
      </c>
      <c r="F135" t="s">
        <v>1988</v>
      </c>
      <c r="G135" t="s">
        <v>2842</v>
      </c>
      <c r="H135" t="s">
        <v>2</v>
      </c>
      <c r="I135" s="1">
        <v>46224</v>
      </c>
      <c r="J135" t="s">
        <v>1989</v>
      </c>
      <c r="K135" t="s">
        <v>4293</v>
      </c>
      <c r="L135" s="1">
        <v>46224.918321759258</v>
      </c>
      <c r="M135" s="1">
        <v>46224.91962439815</v>
      </c>
    </row>
    <row r="136" spans="1:13" x14ac:dyDescent="0.35">
      <c r="A136" t="s">
        <v>581</v>
      </c>
      <c r="B136" t="s">
        <v>2821</v>
      </c>
      <c r="C136" t="s">
        <v>2842</v>
      </c>
      <c r="D136">
        <v>0</v>
      </c>
      <c r="E136" s="1">
        <v>46238</v>
      </c>
      <c r="F136" t="s">
        <v>1988</v>
      </c>
      <c r="G136" t="s">
        <v>2842</v>
      </c>
      <c r="H136" t="s">
        <v>2</v>
      </c>
      <c r="I136" s="1">
        <v>46224</v>
      </c>
      <c r="J136" t="s">
        <v>2146</v>
      </c>
      <c r="K136" t="s">
        <v>4205</v>
      </c>
      <c r="L136" s="1">
        <v>46224.917650462965</v>
      </c>
      <c r="M136" s="1">
        <v>46224.91962439815</v>
      </c>
    </row>
    <row r="137" spans="1:13" x14ac:dyDescent="0.35">
      <c r="A137" t="s">
        <v>581</v>
      </c>
      <c r="B137" t="s">
        <v>2821</v>
      </c>
      <c r="C137" t="s">
        <v>2842</v>
      </c>
      <c r="D137">
        <v>0</v>
      </c>
      <c r="E137" s="1">
        <v>46238</v>
      </c>
      <c r="F137" t="s">
        <v>1988</v>
      </c>
      <c r="G137" t="s">
        <v>2842</v>
      </c>
      <c r="H137" t="s">
        <v>2</v>
      </c>
      <c r="I137" s="1">
        <v>46224</v>
      </c>
      <c r="J137" t="s">
        <v>2108</v>
      </c>
      <c r="K137" t="s">
        <v>4205</v>
      </c>
      <c r="L137" s="1">
        <v>46224.917650462965</v>
      </c>
      <c r="M137" s="1">
        <v>46224.91962439815</v>
      </c>
    </row>
    <row r="138" spans="1:13" x14ac:dyDescent="0.35">
      <c r="A138" t="s">
        <v>577</v>
      </c>
      <c r="B138" t="s">
        <v>2821</v>
      </c>
      <c r="C138" t="s">
        <v>2863</v>
      </c>
      <c r="D138">
        <v>0</v>
      </c>
      <c r="E138" s="1">
        <v>46245</v>
      </c>
      <c r="F138" t="s">
        <v>1988</v>
      </c>
      <c r="G138" t="s">
        <v>2863</v>
      </c>
      <c r="H138" t="s">
        <v>2</v>
      </c>
      <c r="I138" s="1">
        <v>46224</v>
      </c>
      <c r="J138" t="s">
        <v>1991</v>
      </c>
      <c r="K138" t="s">
        <v>3040</v>
      </c>
      <c r="L138" s="1">
        <v>46224.918321759258</v>
      </c>
      <c r="M138" s="1">
        <v>46224.91962439815</v>
      </c>
    </row>
    <row r="139" spans="1:13" x14ac:dyDescent="0.35">
      <c r="A139" t="s">
        <v>577</v>
      </c>
      <c r="B139" t="s">
        <v>2821</v>
      </c>
      <c r="C139" t="s">
        <v>2863</v>
      </c>
      <c r="D139">
        <v>0</v>
      </c>
      <c r="E139" s="1">
        <v>46245</v>
      </c>
      <c r="F139" t="s">
        <v>1988</v>
      </c>
      <c r="G139" t="s">
        <v>2863</v>
      </c>
      <c r="H139" t="s">
        <v>2</v>
      </c>
      <c r="I139" s="1">
        <v>46224</v>
      </c>
      <c r="J139" t="s">
        <v>1989</v>
      </c>
      <c r="K139" t="s">
        <v>4261</v>
      </c>
      <c r="L139" s="1">
        <v>46224.918321759258</v>
      </c>
      <c r="M139" s="1">
        <v>46224.91962439815</v>
      </c>
    </row>
    <row r="140" spans="1:13" x14ac:dyDescent="0.35">
      <c r="A140" t="s">
        <v>578</v>
      </c>
      <c r="B140" t="s">
        <v>2821</v>
      </c>
      <c r="C140" t="s">
        <v>2836</v>
      </c>
      <c r="D140">
        <v>0</v>
      </c>
      <c r="E140" s="1">
        <v>46252</v>
      </c>
      <c r="F140" t="s">
        <v>1988</v>
      </c>
      <c r="G140" t="s">
        <v>2836</v>
      </c>
      <c r="H140" t="s">
        <v>2</v>
      </c>
      <c r="I140" s="1">
        <v>46224</v>
      </c>
      <c r="J140" t="s">
        <v>2065</v>
      </c>
      <c r="K140" t="s">
        <v>4273</v>
      </c>
      <c r="L140" s="1">
        <v>46224.917650462965</v>
      </c>
      <c r="M140" s="1">
        <v>46224.91962439815</v>
      </c>
    </row>
    <row r="141" spans="1:13" x14ac:dyDescent="0.35">
      <c r="A141" t="s">
        <v>578</v>
      </c>
      <c r="B141" t="s">
        <v>2821</v>
      </c>
      <c r="C141" t="s">
        <v>2836</v>
      </c>
      <c r="D141">
        <v>0</v>
      </c>
      <c r="E141" s="1">
        <v>46252</v>
      </c>
      <c r="F141" t="s">
        <v>1988</v>
      </c>
      <c r="G141" t="s">
        <v>2836</v>
      </c>
      <c r="H141" t="s">
        <v>2</v>
      </c>
      <c r="I141" s="1">
        <v>46224</v>
      </c>
      <c r="J141" t="s">
        <v>1989</v>
      </c>
      <c r="K141" t="s">
        <v>4294</v>
      </c>
      <c r="L141" s="1">
        <v>46224.918321759258</v>
      </c>
      <c r="M141" s="1">
        <v>46224.91962439815</v>
      </c>
    </row>
    <row r="142" spans="1:13" x14ac:dyDescent="0.35">
      <c r="A142" t="s">
        <v>578</v>
      </c>
      <c r="B142" t="s">
        <v>2821</v>
      </c>
      <c r="C142" t="s">
        <v>2836</v>
      </c>
      <c r="D142">
        <v>0</v>
      </c>
      <c r="E142" s="1">
        <v>46252</v>
      </c>
      <c r="F142" t="s">
        <v>1988</v>
      </c>
      <c r="G142" t="s">
        <v>2836</v>
      </c>
      <c r="H142" t="s">
        <v>2</v>
      </c>
      <c r="I142" s="1">
        <v>46224</v>
      </c>
      <c r="J142" t="s">
        <v>2064</v>
      </c>
      <c r="K142" t="s">
        <v>4273</v>
      </c>
      <c r="L142" s="1">
        <v>46224.917650462965</v>
      </c>
      <c r="M142" s="1">
        <v>46224.91962439815</v>
      </c>
    </row>
    <row r="143" spans="1:13" x14ac:dyDescent="0.35">
      <c r="A143" t="s">
        <v>578</v>
      </c>
      <c r="B143" t="s">
        <v>2821</v>
      </c>
      <c r="C143" t="s">
        <v>2836</v>
      </c>
      <c r="D143">
        <v>0</v>
      </c>
      <c r="E143" s="1">
        <v>46252</v>
      </c>
      <c r="F143" t="s">
        <v>1988</v>
      </c>
      <c r="G143" t="s">
        <v>2836</v>
      </c>
      <c r="H143" t="s">
        <v>2</v>
      </c>
      <c r="I143" s="1">
        <v>46224</v>
      </c>
      <c r="J143" t="s">
        <v>1991</v>
      </c>
      <c r="K143" t="s">
        <v>3043</v>
      </c>
      <c r="L143" s="1">
        <v>46224.918321759258</v>
      </c>
      <c r="M143" s="1">
        <v>46224.91962439815</v>
      </c>
    </row>
    <row r="144" spans="1:13" x14ac:dyDescent="0.35">
      <c r="A144" t="s">
        <v>578</v>
      </c>
      <c r="B144" t="s">
        <v>2821</v>
      </c>
      <c r="C144" t="s">
        <v>2836</v>
      </c>
      <c r="D144">
        <v>0</v>
      </c>
      <c r="E144" s="1">
        <v>46252</v>
      </c>
      <c r="F144" t="s">
        <v>1988</v>
      </c>
      <c r="G144" t="s">
        <v>2836</v>
      </c>
      <c r="H144" t="s">
        <v>2</v>
      </c>
      <c r="I144" s="1">
        <v>46224</v>
      </c>
      <c r="J144" t="s">
        <v>2146</v>
      </c>
      <c r="K144" t="s">
        <v>4206</v>
      </c>
      <c r="L144" s="1">
        <v>46224.917650462965</v>
      </c>
      <c r="M144" s="1">
        <v>46224.91962439815</v>
      </c>
    </row>
    <row r="145" spans="1:13" x14ac:dyDescent="0.35">
      <c r="A145" t="s">
        <v>578</v>
      </c>
      <c r="B145" t="s">
        <v>2821</v>
      </c>
      <c r="C145" t="s">
        <v>2836</v>
      </c>
      <c r="D145">
        <v>0</v>
      </c>
      <c r="E145" s="1">
        <v>46252</v>
      </c>
      <c r="F145" t="s">
        <v>1988</v>
      </c>
      <c r="G145" t="s">
        <v>2836</v>
      </c>
      <c r="H145" t="s">
        <v>2</v>
      </c>
      <c r="I145" s="1">
        <v>46224</v>
      </c>
      <c r="J145" t="s">
        <v>2108</v>
      </c>
      <c r="K145" t="s">
        <v>4206</v>
      </c>
      <c r="L145" s="1">
        <v>46224.917650462965</v>
      </c>
      <c r="M145" s="1">
        <v>46224.91962439815</v>
      </c>
    </row>
    <row r="146" spans="1:13" x14ac:dyDescent="0.35">
      <c r="A146" t="s">
        <v>580</v>
      </c>
      <c r="B146" t="s">
        <v>2821</v>
      </c>
      <c r="C146" t="s">
        <v>2843</v>
      </c>
      <c r="D146">
        <v>0</v>
      </c>
      <c r="E146" s="1">
        <v>46259</v>
      </c>
      <c r="F146" t="s">
        <v>1988</v>
      </c>
      <c r="G146" t="s">
        <v>2843</v>
      </c>
      <c r="H146" t="s">
        <v>2</v>
      </c>
      <c r="I146" s="1">
        <v>46224</v>
      </c>
      <c r="J146" t="s">
        <v>2064</v>
      </c>
      <c r="K146" t="s">
        <v>3036</v>
      </c>
      <c r="L146" s="1">
        <v>46224.917650462965</v>
      </c>
      <c r="M146" s="1">
        <v>46224.91962439815</v>
      </c>
    </row>
    <row r="147" spans="1:13" x14ac:dyDescent="0.35">
      <c r="A147" t="s">
        <v>580</v>
      </c>
      <c r="B147" t="s">
        <v>2821</v>
      </c>
      <c r="C147" t="s">
        <v>2843</v>
      </c>
      <c r="D147">
        <v>0</v>
      </c>
      <c r="E147" s="1">
        <v>46259</v>
      </c>
      <c r="F147" t="s">
        <v>1988</v>
      </c>
      <c r="G147" t="s">
        <v>2843</v>
      </c>
      <c r="H147" t="s">
        <v>2</v>
      </c>
      <c r="I147" s="1">
        <v>46224</v>
      </c>
      <c r="J147" t="s">
        <v>1991</v>
      </c>
      <c r="K147" t="s">
        <v>4295</v>
      </c>
      <c r="L147" s="1">
        <v>46224.918321759258</v>
      </c>
      <c r="M147" s="1">
        <v>46224.91962439815</v>
      </c>
    </row>
    <row r="148" spans="1:13" x14ac:dyDescent="0.35">
      <c r="A148" t="s">
        <v>580</v>
      </c>
      <c r="B148" t="s">
        <v>2821</v>
      </c>
      <c r="C148" t="s">
        <v>2843</v>
      </c>
      <c r="D148">
        <v>0</v>
      </c>
      <c r="E148" s="1">
        <v>46259</v>
      </c>
      <c r="F148" t="s">
        <v>1988</v>
      </c>
      <c r="G148" t="s">
        <v>2843</v>
      </c>
      <c r="H148" t="s">
        <v>2</v>
      </c>
      <c r="I148" s="1">
        <v>46224</v>
      </c>
      <c r="J148" t="s">
        <v>2108</v>
      </c>
      <c r="K148" t="s">
        <v>4207</v>
      </c>
      <c r="L148" s="1">
        <v>46224.917650462965</v>
      </c>
      <c r="M148" s="1">
        <v>46224.91962439815</v>
      </c>
    </row>
    <row r="149" spans="1:13" x14ac:dyDescent="0.35">
      <c r="A149" t="s">
        <v>580</v>
      </c>
      <c r="B149" t="s">
        <v>2821</v>
      </c>
      <c r="C149" t="s">
        <v>2843</v>
      </c>
      <c r="D149">
        <v>0</v>
      </c>
      <c r="E149" s="1">
        <v>46259</v>
      </c>
      <c r="F149" t="s">
        <v>1988</v>
      </c>
      <c r="G149" t="s">
        <v>2843</v>
      </c>
      <c r="H149" t="s">
        <v>2</v>
      </c>
      <c r="I149" s="1">
        <v>46224</v>
      </c>
      <c r="J149" t="s">
        <v>1989</v>
      </c>
      <c r="K149" t="s">
        <v>3050</v>
      </c>
      <c r="L149" s="1">
        <v>46224.918321759258</v>
      </c>
      <c r="M149" s="1">
        <v>46224.91962439815</v>
      </c>
    </row>
    <row r="150" spans="1:13" x14ac:dyDescent="0.35">
      <c r="A150" t="s">
        <v>580</v>
      </c>
      <c r="B150" t="s">
        <v>2821</v>
      </c>
      <c r="C150" t="s">
        <v>2843</v>
      </c>
      <c r="D150">
        <v>0</v>
      </c>
      <c r="E150" s="1">
        <v>46259</v>
      </c>
      <c r="F150" t="s">
        <v>1988</v>
      </c>
      <c r="G150" t="s">
        <v>2843</v>
      </c>
      <c r="H150" t="s">
        <v>2</v>
      </c>
      <c r="I150" s="1">
        <v>46224</v>
      </c>
      <c r="J150" t="s">
        <v>2146</v>
      </c>
      <c r="K150" t="s">
        <v>4207</v>
      </c>
      <c r="L150" s="1">
        <v>46224.917650462965</v>
      </c>
      <c r="M150" s="1">
        <v>46224.91962439815</v>
      </c>
    </row>
    <row r="151" spans="1:13" x14ac:dyDescent="0.35">
      <c r="A151" t="s">
        <v>580</v>
      </c>
      <c r="B151" t="s">
        <v>2821</v>
      </c>
      <c r="C151" t="s">
        <v>2843</v>
      </c>
      <c r="D151">
        <v>0</v>
      </c>
      <c r="E151" s="1">
        <v>46259</v>
      </c>
      <c r="F151" t="s">
        <v>1988</v>
      </c>
      <c r="G151" t="s">
        <v>2843</v>
      </c>
      <c r="H151" t="s">
        <v>2</v>
      </c>
      <c r="I151" s="1">
        <v>46224</v>
      </c>
      <c r="J151" t="s">
        <v>2065</v>
      </c>
      <c r="K151" t="s">
        <v>3036</v>
      </c>
      <c r="L151" s="1">
        <v>46224.917650462965</v>
      </c>
      <c r="M151" s="1">
        <v>46224.91962439815</v>
      </c>
    </row>
    <row r="152" spans="1:13" x14ac:dyDescent="0.35">
      <c r="A152" t="s">
        <v>1661</v>
      </c>
      <c r="B152" t="s">
        <v>2821</v>
      </c>
      <c r="C152" t="s">
        <v>2837</v>
      </c>
      <c r="D152">
        <v>0</v>
      </c>
      <c r="E152" s="1">
        <v>46520</v>
      </c>
      <c r="F152" t="s">
        <v>1988</v>
      </c>
      <c r="G152" t="s">
        <v>2837</v>
      </c>
      <c r="H152" t="s">
        <v>2</v>
      </c>
      <c r="I152" s="1">
        <v>46224</v>
      </c>
      <c r="J152" t="s">
        <v>1991</v>
      </c>
      <c r="K152" t="s">
        <v>4284</v>
      </c>
      <c r="L152" s="1">
        <v>46224.918321759258</v>
      </c>
      <c r="M152" s="1">
        <v>46224.91962439815</v>
      </c>
    </row>
    <row r="153" spans="1:13" x14ac:dyDescent="0.35">
      <c r="A153" t="s">
        <v>1661</v>
      </c>
      <c r="B153" t="s">
        <v>2821</v>
      </c>
      <c r="C153" t="s">
        <v>2837</v>
      </c>
      <c r="D153">
        <v>0</v>
      </c>
      <c r="E153" s="1">
        <v>46520</v>
      </c>
      <c r="F153" t="s">
        <v>1988</v>
      </c>
      <c r="G153" t="s">
        <v>2837</v>
      </c>
      <c r="H153" t="s">
        <v>2</v>
      </c>
      <c r="I153" s="1">
        <v>46224</v>
      </c>
      <c r="J153" t="s">
        <v>2064</v>
      </c>
      <c r="K153" t="s">
        <v>4228</v>
      </c>
      <c r="L153" s="1">
        <v>46224.917650462965</v>
      </c>
      <c r="M153" s="1">
        <v>46224.91962439815</v>
      </c>
    </row>
    <row r="154" spans="1:13" x14ac:dyDescent="0.35">
      <c r="A154" t="s">
        <v>1661</v>
      </c>
      <c r="B154" t="s">
        <v>2821</v>
      </c>
      <c r="C154" t="s">
        <v>2837</v>
      </c>
      <c r="D154">
        <v>0</v>
      </c>
      <c r="E154" s="1">
        <v>46520</v>
      </c>
      <c r="F154" t="s">
        <v>1988</v>
      </c>
      <c r="G154" t="s">
        <v>2837</v>
      </c>
      <c r="H154" t="s">
        <v>2</v>
      </c>
      <c r="I154" s="1">
        <v>46224</v>
      </c>
      <c r="J154" t="s">
        <v>2146</v>
      </c>
      <c r="K154" t="s">
        <v>4208</v>
      </c>
      <c r="L154" s="1">
        <v>46224.917650462965</v>
      </c>
      <c r="M154" s="1">
        <v>46224.91962439815</v>
      </c>
    </row>
    <row r="155" spans="1:13" x14ac:dyDescent="0.35">
      <c r="A155" t="s">
        <v>1661</v>
      </c>
      <c r="B155" t="s">
        <v>2821</v>
      </c>
      <c r="C155" t="s">
        <v>2837</v>
      </c>
      <c r="D155">
        <v>0</v>
      </c>
      <c r="E155" s="1">
        <v>46520</v>
      </c>
      <c r="F155" t="s">
        <v>1988</v>
      </c>
      <c r="G155" t="s">
        <v>2837</v>
      </c>
      <c r="H155" t="s">
        <v>2</v>
      </c>
      <c r="I155" s="1">
        <v>46224</v>
      </c>
      <c r="J155" t="s">
        <v>1989</v>
      </c>
      <c r="K155" t="s">
        <v>4262</v>
      </c>
      <c r="L155" s="1">
        <v>46224.918321759258</v>
      </c>
      <c r="M155" s="1">
        <v>46224.91962439815</v>
      </c>
    </row>
    <row r="156" spans="1:13" x14ac:dyDescent="0.35">
      <c r="A156" t="s">
        <v>1661</v>
      </c>
      <c r="B156" t="s">
        <v>2821</v>
      </c>
      <c r="C156" t="s">
        <v>2837</v>
      </c>
      <c r="D156">
        <v>0</v>
      </c>
      <c r="E156" s="1">
        <v>46520</v>
      </c>
      <c r="F156" t="s">
        <v>1988</v>
      </c>
      <c r="G156" t="s">
        <v>2837</v>
      </c>
      <c r="H156" t="s">
        <v>2</v>
      </c>
      <c r="I156" s="1">
        <v>46224</v>
      </c>
      <c r="J156" t="s">
        <v>2065</v>
      </c>
      <c r="K156" t="s">
        <v>4228</v>
      </c>
      <c r="L156" s="1">
        <v>46224.917650462965</v>
      </c>
      <c r="M156" s="1">
        <v>46224.91962439815</v>
      </c>
    </row>
    <row r="157" spans="1:13" x14ac:dyDescent="0.35">
      <c r="A157" t="s">
        <v>1661</v>
      </c>
      <c r="B157" t="s">
        <v>2821</v>
      </c>
      <c r="C157" t="s">
        <v>2837</v>
      </c>
      <c r="D157">
        <v>0</v>
      </c>
      <c r="E157" s="1">
        <v>46520</v>
      </c>
      <c r="F157" t="s">
        <v>1988</v>
      </c>
      <c r="G157" t="s">
        <v>2837</v>
      </c>
      <c r="H157" t="s">
        <v>2</v>
      </c>
      <c r="I157" s="1">
        <v>46224</v>
      </c>
      <c r="J157" t="s">
        <v>2108</v>
      </c>
      <c r="K157" t="s">
        <v>4208</v>
      </c>
      <c r="L157" s="1">
        <v>46224.917650462965</v>
      </c>
      <c r="M157" s="1">
        <v>46224.91962439815</v>
      </c>
    </row>
    <row r="158" spans="1:13" x14ac:dyDescent="0.35">
      <c r="A158" t="s">
        <v>1662</v>
      </c>
      <c r="B158" t="s">
        <v>2821</v>
      </c>
      <c r="C158" t="s">
        <v>2844</v>
      </c>
      <c r="D158">
        <v>0</v>
      </c>
      <c r="E158" s="1">
        <v>46338</v>
      </c>
      <c r="F158" t="s">
        <v>1988</v>
      </c>
      <c r="G158" t="s">
        <v>2844</v>
      </c>
      <c r="H158" t="s">
        <v>2</v>
      </c>
      <c r="I158" s="1">
        <v>46224</v>
      </c>
      <c r="J158" t="s">
        <v>1991</v>
      </c>
      <c r="K158" t="s">
        <v>4183</v>
      </c>
      <c r="L158" s="1">
        <v>46224.918321759258</v>
      </c>
      <c r="M158" s="1">
        <v>46224.91962439815</v>
      </c>
    </row>
    <row r="159" spans="1:13" x14ac:dyDescent="0.35">
      <c r="A159" t="s">
        <v>1662</v>
      </c>
      <c r="B159" t="s">
        <v>2821</v>
      </c>
      <c r="C159" t="s">
        <v>2844</v>
      </c>
      <c r="D159">
        <v>0</v>
      </c>
      <c r="E159" s="1">
        <v>46338</v>
      </c>
      <c r="F159" t="s">
        <v>1988</v>
      </c>
      <c r="G159" t="s">
        <v>2844</v>
      </c>
      <c r="H159" t="s">
        <v>2</v>
      </c>
      <c r="I159" s="1">
        <v>46224</v>
      </c>
      <c r="J159" t="s">
        <v>2065</v>
      </c>
      <c r="K159" t="s">
        <v>4229</v>
      </c>
      <c r="L159" s="1">
        <v>46224.917650462965</v>
      </c>
      <c r="M159" s="1">
        <v>46224.91962439815</v>
      </c>
    </row>
    <row r="160" spans="1:13" x14ac:dyDescent="0.35">
      <c r="A160" t="s">
        <v>1662</v>
      </c>
      <c r="B160" t="s">
        <v>2821</v>
      </c>
      <c r="C160" t="s">
        <v>2844</v>
      </c>
      <c r="D160">
        <v>0</v>
      </c>
      <c r="E160" s="1">
        <v>46338</v>
      </c>
      <c r="F160" t="s">
        <v>1988</v>
      </c>
      <c r="G160" t="s">
        <v>2844</v>
      </c>
      <c r="H160" t="s">
        <v>2</v>
      </c>
      <c r="I160" s="1">
        <v>46224</v>
      </c>
      <c r="J160" t="s">
        <v>1989</v>
      </c>
      <c r="K160" t="s">
        <v>4274</v>
      </c>
      <c r="L160" s="1">
        <v>46224.918321759258</v>
      </c>
      <c r="M160" s="1">
        <v>46224.91962439815</v>
      </c>
    </row>
    <row r="161" spans="1:13" x14ac:dyDescent="0.35">
      <c r="A161" t="s">
        <v>1662</v>
      </c>
      <c r="B161" t="s">
        <v>2821</v>
      </c>
      <c r="C161" t="s">
        <v>2844</v>
      </c>
      <c r="D161">
        <v>0</v>
      </c>
      <c r="E161" s="1">
        <v>46338</v>
      </c>
      <c r="F161" t="s">
        <v>1988</v>
      </c>
      <c r="G161" t="s">
        <v>2844</v>
      </c>
      <c r="H161" t="s">
        <v>2</v>
      </c>
      <c r="I161" s="1">
        <v>46224</v>
      </c>
      <c r="J161" t="s">
        <v>2108</v>
      </c>
      <c r="K161" t="s">
        <v>4196</v>
      </c>
      <c r="L161" s="1">
        <v>46224.917650462965</v>
      </c>
      <c r="M161" s="1">
        <v>46224.91962439815</v>
      </c>
    </row>
    <row r="162" spans="1:13" x14ac:dyDescent="0.35">
      <c r="A162" t="s">
        <v>1662</v>
      </c>
      <c r="B162" t="s">
        <v>2821</v>
      </c>
      <c r="C162" t="s">
        <v>2844</v>
      </c>
      <c r="D162">
        <v>0</v>
      </c>
      <c r="E162" s="1">
        <v>46338</v>
      </c>
      <c r="F162" t="s">
        <v>1988</v>
      </c>
      <c r="G162" t="s">
        <v>2844</v>
      </c>
      <c r="H162" t="s">
        <v>2</v>
      </c>
      <c r="I162" s="1">
        <v>46224</v>
      </c>
      <c r="J162" t="s">
        <v>2064</v>
      </c>
      <c r="K162" t="s">
        <v>4229</v>
      </c>
      <c r="L162" s="1">
        <v>46224.917650462965</v>
      </c>
      <c r="M162" s="1">
        <v>46224.91962439815</v>
      </c>
    </row>
    <row r="163" spans="1:13" x14ac:dyDescent="0.35">
      <c r="A163" t="s">
        <v>1662</v>
      </c>
      <c r="B163" t="s">
        <v>2821</v>
      </c>
      <c r="C163" t="s">
        <v>2844</v>
      </c>
      <c r="D163">
        <v>0</v>
      </c>
      <c r="E163" s="1">
        <v>46338</v>
      </c>
      <c r="F163" t="s">
        <v>1988</v>
      </c>
      <c r="G163" t="s">
        <v>2844</v>
      </c>
      <c r="H163" t="s">
        <v>2</v>
      </c>
      <c r="I163" s="1">
        <v>46224</v>
      </c>
      <c r="J163" t="s">
        <v>2146</v>
      </c>
      <c r="K163" t="s">
        <v>4196</v>
      </c>
      <c r="L163" s="1">
        <v>46224.917650462965</v>
      </c>
      <c r="M163" s="1">
        <v>46224.91962439815</v>
      </c>
    </row>
    <row r="164" spans="1:13" x14ac:dyDescent="0.35">
      <c r="A164" t="s">
        <v>1746</v>
      </c>
      <c r="B164" t="s">
        <v>2821</v>
      </c>
      <c r="C164" t="s">
        <v>2838</v>
      </c>
      <c r="D164">
        <v>0</v>
      </c>
      <c r="E164" s="1">
        <v>46345</v>
      </c>
      <c r="F164" t="s">
        <v>1988</v>
      </c>
      <c r="G164" t="s">
        <v>2838</v>
      </c>
      <c r="H164" t="s">
        <v>2</v>
      </c>
      <c r="I164" s="1">
        <v>46224</v>
      </c>
      <c r="J164" t="s">
        <v>1989</v>
      </c>
      <c r="K164" t="s">
        <v>4184</v>
      </c>
      <c r="L164" s="1">
        <v>46224.918321759258</v>
      </c>
      <c r="M164" s="1">
        <v>46224.91962439815</v>
      </c>
    </row>
    <row r="165" spans="1:13" x14ac:dyDescent="0.35">
      <c r="A165" t="s">
        <v>1746</v>
      </c>
      <c r="B165" t="s">
        <v>2821</v>
      </c>
      <c r="C165" t="s">
        <v>2838</v>
      </c>
      <c r="D165">
        <v>0</v>
      </c>
      <c r="E165" s="1">
        <v>46345</v>
      </c>
      <c r="F165" t="s">
        <v>1988</v>
      </c>
      <c r="G165" t="s">
        <v>2838</v>
      </c>
      <c r="H165" t="s">
        <v>2</v>
      </c>
      <c r="I165" s="1">
        <v>46224</v>
      </c>
      <c r="J165" t="s">
        <v>2064</v>
      </c>
      <c r="K165" t="s">
        <v>4231</v>
      </c>
      <c r="L165" s="1">
        <v>46224.917650462965</v>
      </c>
      <c r="M165" s="1">
        <v>46224.91962439815</v>
      </c>
    </row>
    <row r="166" spans="1:13" x14ac:dyDescent="0.35">
      <c r="A166" t="s">
        <v>1746</v>
      </c>
      <c r="B166" t="s">
        <v>2821</v>
      </c>
      <c r="C166" t="s">
        <v>2838</v>
      </c>
      <c r="D166">
        <v>0</v>
      </c>
      <c r="E166" s="1">
        <v>46345</v>
      </c>
      <c r="F166" t="s">
        <v>1988</v>
      </c>
      <c r="G166" t="s">
        <v>2838</v>
      </c>
      <c r="H166" t="s">
        <v>2</v>
      </c>
      <c r="I166" s="1">
        <v>46224</v>
      </c>
      <c r="J166" t="s">
        <v>1991</v>
      </c>
      <c r="K166" t="s">
        <v>4263</v>
      </c>
      <c r="L166" s="1">
        <v>46224.918321759258</v>
      </c>
      <c r="M166" s="1">
        <v>46224.91962439815</v>
      </c>
    </row>
    <row r="167" spans="1:13" x14ac:dyDescent="0.35">
      <c r="A167" t="s">
        <v>1746</v>
      </c>
      <c r="B167" t="s">
        <v>2821</v>
      </c>
      <c r="C167" t="s">
        <v>2838</v>
      </c>
      <c r="D167">
        <v>0</v>
      </c>
      <c r="E167" s="1">
        <v>46345</v>
      </c>
      <c r="F167" t="s">
        <v>1988</v>
      </c>
      <c r="G167" t="s">
        <v>2838</v>
      </c>
      <c r="H167" t="s">
        <v>2</v>
      </c>
      <c r="I167" s="1">
        <v>46224</v>
      </c>
      <c r="J167" t="s">
        <v>2108</v>
      </c>
      <c r="K167" t="s">
        <v>4230</v>
      </c>
      <c r="L167" s="1">
        <v>46224.917650462965</v>
      </c>
      <c r="M167" s="1">
        <v>46224.91962439815</v>
      </c>
    </row>
    <row r="168" spans="1:13" x14ac:dyDescent="0.35">
      <c r="A168" t="s">
        <v>1746</v>
      </c>
      <c r="B168" t="s">
        <v>2821</v>
      </c>
      <c r="C168" t="s">
        <v>2838</v>
      </c>
      <c r="D168">
        <v>0</v>
      </c>
      <c r="E168" s="1">
        <v>46345</v>
      </c>
      <c r="F168" t="s">
        <v>1988</v>
      </c>
      <c r="G168" t="s">
        <v>2838</v>
      </c>
      <c r="H168" t="s">
        <v>2</v>
      </c>
      <c r="I168" s="1">
        <v>46224</v>
      </c>
      <c r="J168" t="s">
        <v>2146</v>
      </c>
      <c r="K168" t="s">
        <v>4230</v>
      </c>
      <c r="L168" s="1">
        <v>46224.917650462965</v>
      </c>
      <c r="M168" s="1">
        <v>46224.91962439815</v>
      </c>
    </row>
    <row r="169" spans="1:13" x14ac:dyDescent="0.35">
      <c r="A169" t="s">
        <v>1746</v>
      </c>
      <c r="B169" t="s">
        <v>2821</v>
      </c>
      <c r="C169" t="s">
        <v>2838</v>
      </c>
      <c r="D169">
        <v>0</v>
      </c>
      <c r="E169" s="1">
        <v>46345</v>
      </c>
      <c r="F169" t="s">
        <v>1988</v>
      </c>
      <c r="G169" t="s">
        <v>2838</v>
      </c>
      <c r="H169" t="s">
        <v>2</v>
      </c>
      <c r="I169" s="1">
        <v>46224</v>
      </c>
      <c r="J169" t="s">
        <v>2065</v>
      </c>
      <c r="K169" t="s">
        <v>4231</v>
      </c>
      <c r="L169" s="1">
        <v>46224.917650462965</v>
      </c>
      <c r="M169" s="1">
        <v>46224.91962439815</v>
      </c>
    </row>
    <row r="170" spans="1:13" x14ac:dyDescent="0.35">
      <c r="A170" t="s">
        <v>1747</v>
      </c>
      <c r="B170" t="s">
        <v>2821</v>
      </c>
      <c r="C170" t="s">
        <v>2845</v>
      </c>
      <c r="D170">
        <v>0</v>
      </c>
      <c r="E170" s="1">
        <v>46359</v>
      </c>
      <c r="F170" t="s">
        <v>1988</v>
      </c>
      <c r="G170" t="s">
        <v>2845</v>
      </c>
      <c r="H170" t="s">
        <v>2</v>
      </c>
      <c r="I170" s="1">
        <v>46224</v>
      </c>
      <c r="J170" t="s">
        <v>2108</v>
      </c>
      <c r="K170" t="s">
        <v>2978</v>
      </c>
      <c r="L170" s="1">
        <v>46224.917650462965</v>
      </c>
      <c r="M170" s="1">
        <v>46224.91962439815</v>
      </c>
    </row>
    <row r="171" spans="1:13" x14ac:dyDescent="0.35">
      <c r="A171" t="s">
        <v>1747</v>
      </c>
      <c r="B171" t="s">
        <v>2821</v>
      </c>
      <c r="C171" t="s">
        <v>2845</v>
      </c>
      <c r="D171">
        <v>0</v>
      </c>
      <c r="E171" s="1">
        <v>46359</v>
      </c>
      <c r="F171" t="s">
        <v>1988</v>
      </c>
      <c r="G171" t="s">
        <v>2845</v>
      </c>
      <c r="H171" t="s">
        <v>2</v>
      </c>
      <c r="I171" s="1">
        <v>46224</v>
      </c>
      <c r="J171" t="s">
        <v>1991</v>
      </c>
      <c r="K171" t="s">
        <v>4244</v>
      </c>
      <c r="L171" s="1">
        <v>46224.918321759258</v>
      </c>
      <c r="M171" s="1">
        <v>46224.91962439815</v>
      </c>
    </row>
    <row r="172" spans="1:13" x14ac:dyDescent="0.35">
      <c r="A172" t="s">
        <v>1747</v>
      </c>
      <c r="B172" t="s">
        <v>2821</v>
      </c>
      <c r="C172" t="s">
        <v>2845</v>
      </c>
      <c r="D172">
        <v>0</v>
      </c>
      <c r="E172" s="1">
        <v>46359</v>
      </c>
      <c r="F172" t="s">
        <v>1988</v>
      </c>
      <c r="G172" t="s">
        <v>2845</v>
      </c>
      <c r="H172" t="s">
        <v>2</v>
      </c>
      <c r="I172" s="1">
        <v>46224</v>
      </c>
      <c r="J172" t="s">
        <v>2064</v>
      </c>
      <c r="K172" t="s">
        <v>3745</v>
      </c>
      <c r="L172" s="1">
        <v>46224.917650462965</v>
      </c>
      <c r="M172" s="1">
        <v>46224.91962439815</v>
      </c>
    </row>
    <row r="173" spans="1:13" x14ac:dyDescent="0.35">
      <c r="A173" t="s">
        <v>1747</v>
      </c>
      <c r="B173" t="s">
        <v>2821</v>
      </c>
      <c r="C173" t="s">
        <v>2845</v>
      </c>
      <c r="D173">
        <v>0</v>
      </c>
      <c r="E173" s="1">
        <v>46359</v>
      </c>
      <c r="F173" t="s">
        <v>1988</v>
      </c>
      <c r="G173" t="s">
        <v>2845</v>
      </c>
      <c r="H173" t="s">
        <v>2</v>
      </c>
      <c r="I173" s="1">
        <v>46224</v>
      </c>
      <c r="J173" t="s">
        <v>1989</v>
      </c>
      <c r="K173" t="s">
        <v>4232</v>
      </c>
      <c r="L173" s="1">
        <v>46224.918321759258</v>
      </c>
      <c r="M173" s="1">
        <v>46224.91962439815</v>
      </c>
    </row>
    <row r="174" spans="1:13" x14ac:dyDescent="0.35">
      <c r="A174" t="s">
        <v>1747</v>
      </c>
      <c r="B174" t="s">
        <v>2821</v>
      </c>
      <c r="C174" t="s">
        <v>2845</v>
      </c>
      <c r="D174">
        <v>0</v>
      </c>
      <c r="E174" s="1">
        <v>46359</v>
      </c>
      <c r="F174" t="s">
        <v>1988</v>
      </c>
      <c r="G174" t="s">
        <v>2845</v>
      </c>
      <c r="H174" t="s">
        <v>2</v>
      </c>
      <c r="I174" s="1">
        <v>46224</v>
      </c>
      <c r="J174" t="s">
        <v>2146</v>
      </c>
      <c r="K174" t="s">
        <v>2978</v>
      </c>
      <c r="L174" s="1">
        <v>46224.917650462965</v>
      </c>
      <c r="M174" s="1">
        <v>46224.91962439815</v>
      </c>
    </row>
    <row r="175" spans="1:13" x14ac:dyDescent="0.35">
      <c r="A175" t="s">
        <v>1747</v>
      </c>
      <c r="B175" t="s">
        <v>2821</v>
      </c>
      <c r="C175" t="s">
        <v>2845</v>
      </c>
      <c r="D175">
        <v>0</v>
      </c>
      <c r="E175" s="1">
        <v>46359</v>
      </c>
      <c r="F175" t="s">
        <v>1988</v>
      </c>
      <c r="G175" t="s">
        <v>2845</v>
      </c>
      <c r="H175" t="s">
        <v>2</v>
      </c>
      <c r="I175" s="1">
        <v>46224</v>
      </c>
      <c r="J175" t="s">
        <v>2065</v>
      </c>
      <c r="K175" t="s">
        <v>3745</v>
      </c>
      <c r="L175" s="1">
        <v>46224.917650462965</v>
      </c>
      <c r="M175" s="1">
        <v>46224.91962439815</v>
      </c>
    </row>
    <row r="176" spans="1:13" x14ac:dyDescent="0.35">
      <c r="A176" t="s">
        <v>1663</v>
      </c>
      <c r="B176" t="s">
        <v>2821</v>
      </c>
      <c r="C176" t="s">
        <v>2846</v>
      </c>
      <c r="D176">
        <v>0</v>
      </c>
      <c r="E176" s="1">
        <v>46273</v>
      </c>
      <c r="F176" t="s">
        <v>1988</v>
      </c>
      <c r="G176" t="s">
        <v>2846</v>
      </c>
      <c r="H176" t="s">
        <v>2</v>
      </c>
      <c r="I176" s="1">
        <v>46224</v>
      </c>
      <c r="J176" t="s">
        <v>1989</v>
      </c>
      <c r="K176" t="s">
        <v>4185</v>
      </c>
      <c r="L176" s="1">
        <v>46224.918321759258</v>
      </c>
      <c r="M176" s="1">
        <v>46224.91962439815</v>
      </c>
    </row>
    <row r="177" spans="1:13" x14ac:dyDescent="0.35">
      <c r="A177" t="s">
        <v>1663</v>
      </c>
      <c r="B177" t="s">
        <v>2821</v>
      </c>
      <c r="C177" t="s">
        <v>2846</v>
      </c>
      <c r="D177">
        <v>0</v>
      </c>
      <c r="E177" s="1">
        <v>46273</v>
      </c>
      <c r="F177" t="s">
        <v>1988</v>
      </c>
      <c r="G177" t="s">
        <v>2846</v>
      </c>
      <c r="H177" t="s">
        <v>2</v>
      </c>
      <c r="I177" s="1">
        <v>46224</v>
      </c>
      <c r="J177" t="s">
        <v>2065</v>
      </c>
      <c r="K177" t="s">
        <v>4186</v>
      </c>
      <c r="L177" s="1">
        <v>46224.917650462965</v>
      </c>
      <c r="M177" s="1">
        <v>46224.91962439815</v>
      </c>
    </row>
    <row r="178" spans="1:13" x14ac:dyDescent="0.35">
      <c r="A178" t="s">
        <v>1663</v>
      </c>
      <c r="B178" t="s">
        <v>2821</v>
      </c>
      <c r="C178" t="s">
        <v>2846</v>
      </c>
      <c r="D178">
        <v>0</v>
      </c>
      <c r="E178" s="1">
        <v>46273</v>
      </c>
      <c r="F178" t="s">
        <v>1988</v>
      </c>
      <c r="G178" t="s">
        <v>2846</v>
      </c>
      <c r="H178" t="s">
        <v>2</v>
      </c>
      <c r="I178" s="1">
        <v>46224</v>
      </c>
      <c r="J178" t="s">
        <v>2146</v>
      </c>
      <c r="K178" t="s">
        <v>3042</v>
      </c>
      <c r="L178" s="1">
        <v>46224.917650462965</v>
      </c>
      <c r="M178" s="1">
        <v>46224.91962439815</v>
      </c>
    </row>
    <row r="179" spans="1:13" x14ac:dyDescent="0.35">
      <c r="A179" t="s">
        <v>1663</v>
      </c>
      <c r="B179" t="s">
        <v>2821</v>
      </c>
      <c r="C179" t="s">
        <v>2846</v>
      </c>
      <c r="D179">
        <v>0</v>
      </c>
      <c r="E179" s="1">
        <v>46273</v>
      </c>
      <c r="F179" t="s">
        <v>1988</v>
      </c>
      <c r="G179" t="s">
        <v>2846</v>
      </c>
      <c r="H179" t="s">
        <v>2</v>
      </c>
      <c r="I179" s="1">
        <v>46224</v>
      </c>
      <c r="J179" t="s">
        <v>1991</v>
      </c>
      <c r="K179" t="s">
        <v>4296</v>
      </c>
      <c r="L179" s="1">
        <v>46224.918321759258</v>
      </c>
      <c r="M179" s="1">
        <v>46224.91962439815</v>
      </c>
    </row>
    <row r="180" spans="1:13" x14ac:dyDescent="0.35">
      <c r="A180" t="s">
        <v>1663</v>
      </c>
      <c r="B180" t="s">
        <v>2821</v>
      </c>
      <c r="C180" t="s">
        <v>2846</v>
      </c>
      <c r="D180">
        <v>0</v>
      </c>
      <c r="E180" s="1">
        <v>46273</v>
      </c>
      <c r="F180" t="s">
        <v>1988</v>
      </c>
      <c r="G180" t="s">
        <v>2846</v>
      </c>
      <c r="H180" t="s">
        <v>2</v>
      </c>
      <c r="I180" s="1">
        <v>46224</v>
      </c>
      <c r="J180" t="s">
        <v>2108</v>
      </c>
      <c r="K180" t="s">
        <v>3042</v>
      </c>
      <c r="L180" s="1">
        <v>46224.917650462965</v>
      </c>
      <c r="M180" s="1">
        <v>46224.91962439815</v>
      </c>
    </row>
    <row r="181" spans="1:13" x14ac:dyDescent="0.35">
      <c r="A181" t="s">
        <v>1663</v>
      </c>
      <c r="B181" t="s">
        <v>2821</v>
      </c>
      <c r="C181" t="s">
        <v>2846</v>
      </c>
      <c r="D181">
        <v>0</v>
      </c>
      <c r="E181" s="1">
        <v>46273</v>
      </c>
      <c r="F181" t="s">
        <v>1988</v>
      </c>
      <c r="G181" t="s">
        <v>2846</v>
      </c>
      <c r="H181" t="s">
        <v>2</v>
      </c>
      <c r="I181" s="1">
        <v>46224</v>
      </c>
      <c r="J181" t="s">
        <v>2064</v>
      </c>
      <c r="K181" t="s">
        <v>4186</v>
      </c>
      <c r="L181" s="1">
        <v>46224.917650462965</v>
      </c>
      <c r="M181" s="1">
        <v>46224.91962439815</v>
      </c>
    </row>
    <row r="182" spans="1:13" x14ac:dyDescent="0.35">
      <c r="A182" t="s">
        <v>1751</v>
      </c>
      <c r="B182" t="s">
        <v>2821</v>
      </c>
      <c r="C182" t="s">
        <v>2847</v>
      </c>
      <c r="D182">
        <v>0</v>
      </c>
      <c r="E182" s="1">
        <v>46280</v>
      </c>
      <c r="F182" t="s">
        <v>1988</v>
      </c>
      <c r="G182" t="s">
        <v>2847</v>
      </c>
      <c r="H182" t="s">
        <v>2</v>
      </c>
      <c r="I182" s="1">
        <v>46224</v>
      </c>
      <c r="J182" t="s">
        <v>2065</v>
      </c>
      <c r="K182" t="s">
        <v>4187</v>
      </c>
      <c r="L182" s="1">
        <v>46224.917650462965</v>
      </c>
      <c r="M182" s="1">
        <v>46224.91962439815</v>
      </c>
    </row>
    <row r="183" spans="1:13" x14ac:dyDescent="0.35">
      <c r="A183" t="s">
        <v>1751</v>
      </c>
      <c r="B183" t="s">
        <v>2821</v>
      </c>
      <c r="C183" t="s">
        <v>2847</v>
      </c>
      <c r="D183">
        <v>0</v>
      </c>
      <c r="E183" s="1">
        <v>46280</v>
      </c>
      <c r="F183" t="s">
        <v>1988</v>
      </c>
      <c r="G183" t="s">
        <v>2847</v>
      </c>
      <c r="H183" t="s">
        <v>2</v>
      </c>
      <c r="I183" s="1">
        <v>46224</v>
      </c>
      <c r="J183" t="s">
        <v>2146</v>
      </c>
      <c r="K183" t="s">
        <v>3631</v>
      </c>
      <c r="L183" s="1">
        <v>46224.917650462965</v>
      </c>
      <c r="M183" s="1">
        <v>46224.91962439815</v>
      </c>
    </row>
    <row r="184" spans="1:13" x14ac:dyDescent="0.35">
      <c r="A184" t="s">
        <v>1751</v>
      </c>
      <c r="B184" t="s">
        <v>2821</v>
      </c>
      <c r="C184" t="s">
        <v>2847</v>
      </c>
      <c r="D184">
        <v>0</v>
      </c>
      <c r="E184" s="1">
        <v>46280</v>
      </c>
      <c r="F184" t="s">
        <v>1988</v>
      </c>
      <c r="G184" t="s">
        <v>2847</v>
      </c>
      <c r="H184" t="s">
        <v>2</v>
      </c>
      <c r="I184" s="1">
        <v>46224</v>
      </c>
      <c r="J184" t="s">
        <v>1989</v>
      </c>
      <c r="K184" t="s">
        <v>4264</v>
      </c>
      <c r="L184" s="1">
        <v>46224.918321759258</v>
      </c>
      <c r="M184" s="1">
        <v>46224.91962439815</v>
      </c>
    </row>
    <row r="185" spans="1:13" x14ac:dyDescent="0.35">
      <c r="A185" t="s">
        <v>1751</v>
      </c>
      <c r="B185" t="s">
        <v>2821</v>
      </c>
      <c r="C185" t="s">
        <v>2847</v>
      </c>
      <c r="D185">
        <v>0</v>
      </c>
      <c r="E185" s="1">
        <v>46280</v>
      </c>
      <c r="F185" t="s">
        <v>1988</v>
      </c>
      <c r="G185" t="s">
        <v>2847</v>
      </c>
      <c r="H185" t="s">
        <v>2</v>
      </c>
      <c r="I185" s="1">
        <v>46224</v>
      </c>
      <c r="J185" t="s">
        <v>2108</v>
      </c>
      <c r="K185" t="s">
        <v>3631</v>
      </c>
      <c r="L185" s="1">
        <v>46224.917650462965</v>
      </c>
      <c r="M185" s="1">
        <v>46224.91962439815</v>
      </c>
    </row>
    <row r="186" spans="1:13" x14ac:dyDescent="0.35">
      <c r="A186" t="s">
        <v>1751</v>
      </c>
      <c r="B186" t="s">
        <v>2821</v>
      </c>
      <c r="C186" t="s">
        <v>2847</v>
      </c>
      <c r="D186">
        <v>0</v>
      </c>
      <c r="E186" s="1">
        <v>46280</v>
      </c>
      <c r="F186" t="s">
        <v>1988</v>
      </c>
      <c r="G186" t="s">
        <v>2847</v>
      </c>
      <c r="H186" t="s">
        <v>2</v>
      </c>
      <c r="I186" s="1">
        <v>46224</v>
      </c>
      <c r="J186" t="s">
        <v>1991</v>
      </c>
      <c r="K186" t="s">
        <v>4297</v>
      </c>
      <c r="L186" s="1">
        <v>46224.918321759258</v>
      </c>
      <c r="M186" s="1">
        <v>46224.91962439815</v>
      </c>
    </row>
    <row r="187" spans="1:13" x14ac:dyDescent="0.35">
      <c r="A187" t="s">
        <v>1751</v>
      </c>
      <c r="B187" t="s">
        <v>2821</v>
      </c>
      <c r="C187" t="s">
        <v>2847</v>
      </c>
      <c r="D187">
        <v>0</v>
      </c>
      <c r="E187" s="1">
        <v>46280</v>
      </c>
      <c r="F187" t="s">
        <v>1988</v>
      </c>
      <c r="G187" t="s">
        <v>2847</v>
      </c>
      <c r="H187" t="s">
        <v>2</v>
      </c>
      <c r="I187" s="1">
        <v>46224</v>
      </c>
      <c r="J187" t="s">
        <v>2064</v>
      </c>
      <c r="K187" t="s">
        <v>4187</v>
      </c>
      <c r="L187" s="1">
        <v>46224.917650462965</v>
      </c>
      <c r="M187" s="1">
        <v>46224.91962439815</v>
      </c>
    </row>
    <row r="188" spans="1:13" x14ac:dyDescent="0.35">
      <c r="A188" t="s">
        <v>1753</v>
      </c>
      <c r="B188" t="s">
        <v>2821</v>
      </c>
      <c r="C188" t="s">
        <v>2848</v>
      </c>
      <c r="D188">
        <v>0</v>
      </c>
      <c r="E188" s="1">
        <v>46287</v>
      </c>
      <c r="F188" t="s">
        <v>1988</v>
      </c>
      <c r="G188" t="s">
        <v>2848</v>
      </c>
      <c r="H188" t="s">
        <v>2</v>
      </c>
      <c r="I188" s="1">
        <v>46224</v>
      </c>
      <c r="J188" t="s">
        <v>1991</v>
      </c>
      <c r="K188" t="s">
        <v>4188</v>
      </c>
      <c r="L188" s="1">
        <v>46224.918321759258</v>
      </c>
      <c r="M188" s="1">
        <v>46224.91962439815</v>
      </c>
    </row>
    <row r="189" spans="1:13" x14ac:dyDescent="0.35">
      <c r="A189" t="s">
        <v>1753</v>
      </c>
      <c r="B189" t="s">
        <v>2821</v>
      </c>
      <c r="C189" t="s">
        <v>2848</v>
      </c>
      <c r="D189">
        <v>0</v>
      </c>
      <c r="E189" s="1">
        <v>46287</v>
      </c>
      <c r="F189" t="s">
        <v>1988</v>
      </c>
      <c r="G189" t="s">
        <v>2848</v>
      </c>
      <c r="H189" t="s">
        <v>2</v>
      </c>
      <c r="I189" s="1">
        <v>46224</v>
      </c>
      <c r="J189" t="s">
        <v>1989</v>
      </c>
      <c r="K189" t="s">
        <v>4265</v>
      </c>
      <c r="L189" s="1">
        <v>46224.918321759258</v>
      </c>
      <c r="M189" s="1">
        <v>46224.91962439815</v>
      </c>
    </row>
    <row r="190" spans="1:13" x14ac:dyDescent="0.35">
      <c r="A190" t="s">
        <v>1754</v>
      </c>
      <c r="B190" t="s">
        <v>2821</v>
      </c>
      <c r="C190" t="s">
        <v>2856</v>
      </c>
      <c r="D190">
        <v>0</v>
      </c>
      <c r="E190" s="1">
        <v>46294</v>
      </c>
      <c r="F190" t="s">
        <v>1988</v>
      </c>
      <c r="G190" t="s">
        <v>2856</v>
      </c>
      <c r="H190" t="s">
        <v>2</v>
      </c>
      <c r="I190" s="1">
        <v>46224</v>
      </c>
      <c r="J190" t="s">
        <v>1991</v>
      </c>
      <c r="K190" t="s">
        <v>4285</v>
      </c>
      <c r="L190" s="1">
        <v>46224.918321759258</v>
      </c>
      <c r="M190" s="1">
        <v>46224.91962439815</v>
      </c>
    </row>
    <row r="191" spans="1:13" x14ac:dyDescent="0.35">
      <c r="A191" t="s">
        <v>1754</v>
      </c>
      <c r="B191" t="s">
        <v>2821</v>
      </c>
      <c r="C191" t="s">
        <v>2856</v>
      </c>
      <c r="D191">
        <v>0</v>
      </c>
      <c r="E191" s="1">
        <v>46294</v>
      </c>
      <c r="F191" t="s">
        <v>1988</v>
      </c>
      <c r="G191" t="s">
        <v>2856</v>
      </c>
      <c r="H191" t="s">
        <v>2</v>
      </c>
      <c r="I191" s="1">
        <v>46224</v>
      </c>
      <c r="J191" t="s">
        <v>1989</v>
      </c>
      <c r="K191" t="s">
        <v>4233</v>
      </c>
      <c r="L191" s="1">
        <v>46224.918321759258</v>
      </c>
      <c r="M191" s="1">
        <v>46224.91962439815</v>
      </c>
    </row>
    <row r="192" spans="1:13" x14ac:dyDescent="0.35">
      <c r="A192" t="s">
        <v>1748</v>
      </c>
      <c r="B192" t="s">
        <v>2821</v>
      </c>
      <c r="C192" t="s">
        <v>2839</v>
      </c>
      <c r="D192">
        <v>0</v>
      </c>
      <c r="E192" s="1">
        <v>46548</v>
      </c>
      <c r="F192" t="s">
        <v>1988</v>
      </c>
      <c r="G192" t="s">
        <v>2839</v>
      </c>
      <c r="H192" t="s">
        <v>2</v>
      </c>
      <c r="I192" s="1">
        <v>46224</v>
      </c>
      <c r="J192" t="s">
        <v>1989</v>
      </c>
      <c r="K192" t="s">
        <v>4189</v>
      </c>
      <c r="L192" s="1">
        <v>46224.918321759258</v>
      </c>
      <c r="M192" s="1">
        <v>46224.91962439815</v>
      </c>
    </row>
    <row r="193" spans="1:13" x14ac:dyDescent="0.35">
      <c r="A193" t="s">
        <v>1748</v>
      </c>
      <c r="B193" t="s">
        <v>2821</v>
      </c>
      <c r="C193" t="s">
        <v>2839</v>
      </c>
      <c r="D193">
        <v>0</v>
      </c>
      <c r="E193" s="1">
        <v>46548</v>
      </c>
      <c r="F193" t="s">
        <v>1988</v>
      </c>
      <c r="G193" t="s">
        <v>2839</v>
      </c>
      <c r="H193" t="s">
        <v>2</v>
      </c>
      <c r="I193" s="1">
        <v>46224</v>
      </c>
      <c r="J193" t="s">
        <v>2108</v>
      </c>
      <c r="K193" t="s">
        <v>4190</v>
      </c>
      <c r="L193" s="1">
        <v>46224.917650462965</v>
      </c>
      <c r="M193" s="1">
        <v>46224.91962439815</v>
      </c>
    </row>
    <row r="194" spans="1:13" x14ac:dyDescent="0.35">
      <c r="A194" t="s">
        <v>1748</v>
      </c>
      <c r="B194" t="s">
        <v>2821</v>
      </c>
      <c r="C194" t="s">
        <v>2839</v>
      </c>
      <c r="D194">
        <v>0</v>
      </c>
      <c r="E194" s="1">
        <v>46548</v>
      </c>
      <c r="F194" t="s">
        <v>1988</v>
      </c>
      <c r="G194" t="s">
        <v>2839</v>
      </c>
      <c r="H194" t="s">
        <v>2</v>
      </c>
      <c r="I194" s="1">
        <v>46224</v>
      </c>
      <c r="J194" t="s">
        <v>2065</v>
      </c>
      <c r="K194" t="s">
        <v>3759</v>
      </c>
      <c r="L194" s="1">
        <v>46224.917650462965</v>
      </c>
      <c r="M194" s="1">
        <v>46224.91962439815</v>
      </c>
    </row>
    <row r="195" spans="1:13" x14ac:dyDescent="0.35">
      <c r="A195" t="s">
        <v>1748</v>
      </c>
      <c r="B195" t="s">
        <v>2821</v>
      </c>
      <c r="C195" t="s">
        <v>2839</v>
      </c>
      <c r="D195">
        <v>0</v>
      </c>
      <c r="E195" s="1">
        <v>46548</v>
      </c>
      <c r="F195" t="s">
        <v>1988</v>
      </c>
      <c r="G195" t="s">
        <v>2839</v>
      </c>
      <c r="H195" t="s">
        <v>2</v>
      </c>
      <c r="I195" s="1">
        <v>46224</v>
      </c>
      <c r="J195" t="s">
        <v>2146</v>
      </c>
      <c r="K195" t="s">
        <v>4190</v>
      </c>
      <c r="L195" s="1">
        <v>46224.917650462965</v>
      </c>
      <c r="M195" s="1">
        <v>46224.91962439815</v>
      </c>
    </row>
    <row r="196" spans="1:13" x14ac:dyDescent="0.35">
      <c r="A196" t="s">
        <v>1748</v>
      </c>
      <c r="B196" t="s">
        <v>2821</v>
      </c>
      <c r="C196" t="s">
        <v>2839</v>
      </c>
      <c r="D196">
        <v>0</v>
      </c>
      <c r="E196" s="1">
        <v>46548</v>
      </c>
      <c r="F196" t="s">
        <v>1988</v>
      </c>
      <c r="G196" t="s">
        <v>2839</v>
      </c>
      <c r="H196" t="s">
        <v>2</v>
      </c>
      <c r="I196" s="1">
        <v>46224</v>
      </c>
      <c r="J196" t="s">
        <v>1991</v>
      </c>
      <c r="K196" t="s">
        <v>4245</v>
      </c>
      <c r="L196" s="1">
        <v>46224.918321759258</v>
      </c>
      <c r="M196" s="1">
        <v>46224.91962439815</v>
      </c>
    </row>
    <row r="197" spans="1:13" x14ac:dyDescent="0.35">
      <c r="A197" t="s">
        <v>1748</v>
      </c>
      <c r="B197" t="s">
        <v>2821</v>
      </c>
      <c r="C197" t="s">
        <v>2839</v>
      </c>
      <c r="D197">
        <v>0</v>
      </c>
      <c r="E197" s="1">
        <v>46548</v>
      </c>
      <c r="F197" t="s">
        <v>1988</v>
      </c>
      <c r="G197" t="s">
        <v>2839</v>
      </c>
      <c r="H197" t="s">
        <v>2</v>
      </c>
      <c r="I197" s="1">
        <v>46224</v>
      </c>
      <c r="J197" t="s">
        <v>2064</v>
      </c>
      <c r="K197" t="s">
        <v>3759</v>
      </c>
      <c r="L197" s="1">
        <v>46224.917650462965</v>
      </c>
      <c r="M197" s="1">
        <v>46224.91962439815</v>
      </c>
    </row>
    <row r="198" spans="1:13" x14ac:dyDescent="0.35">
      <c r="A198" t="s">
        <v>1752</v>
      </c>
      <c r="B198" t="s">
        <v>2821</v>
      </c>
      <c r="C198" t="s">
        <v>2857</v>
      </c>
      <c r="D198">
        <v>0</v>
      </c>
      <c r="E198" s="1">
        <v>46366</v>
      </c>
      <c r="F198" t="s">
        <v>1988</v>
      </c>
      <c r="G198" t="s">
        <v>2857</v>
      </c>
      <c r="H198" t="s">
        <v>2</v>
      </c>
      <c r="I198" s="1">
        <v>46224</v>
      </c>
      <c r="J198" t="s">
        <v>1989</v>
      </c>
      <c r="K198" t="s">
        <v>4209</v>
      </c>
      <c r="L198" s="1">
        <v>46224.918321759258</v>
      </c>
      <c r="M198" s="1">
        <v>46224.91962439815</v>
      </c>
    </row>
    <row r="199" spans="1:13" x14ac:dyDescent="0.35">
      <c r="A199" t="s">
        <v>1752</v>
      </c>
      <c r="B199" t="s">
        <v>2821</v>
      </c>
      <c r="C199" t="s">
        <v>2857</v>
      </c>
      <c r="D199">
        <v>0</v>
      </c>
      <c r="E199" s="1">
        <v>46366</v>
      </c>
      <c r="F199" t="s">
        <v>1988</v>
      </c>
      <c r="G199" t="s">
        <v>2857</v>
      </c>
      <c r="H199" t="s">
        <v>2</v>
      </c>
      <c r="I199" s="1">
        <v>46224</v>
      </c>
      <c r="J199" t="s">
        <v>1991</v>
      </c>
      <c r="K199" t="s">
        <v>4266</v>
      </c>
      <c r="L199" s="1">
        <v>46224.918321759258</v>
      </c>
      <c r="M199" s="1">
        <v>46224.91962439815</v>
      </c>
    </row>
    <row r="200" spans="1:13" x14ac:dyDescent="0.35">
      <c r="A200" t="s">
        <v>1749</v>
      </c>
      <c r="B200" t="s">
        <v>2821</v>
      </c>
      <c r="C200" t="s">
        <v>2849</v>
      </c>
      <c r="D200">
        <v>0</v>
      </c>
      <c r="E200" s="1">
        <v>46373</v>
      </c>
      <c r="F200" t="s">
        <v>1988</v>
      </c>
      <c r="G200" t="s">
        <v>2849</v>
      </c>
      <c r="H200" t="s">
        <v>2</v>
      </c>
      <c r="I200" s="1">
        <v>46224</v>
      </c>
      <c r="J200" t="s">
        <v>1991</v>
      </c>
      <c r="K200" t="s">
        <v>4191</v>
      </c>
      <c r="L200" s="1">
        <v>46224.918321759258</v>
      </c>
      <c r="M200" s="1">
        <v>46224.91962439815</v>
      </c>
    </row>
    <row r="201" spans="1:13" x14ac:dyDescent="0.35">
      <c r="A201" t="s">
        <v>1749</v>
      </c>
      <c r="B201" t="s">
        <v>2821</v>
      </c>
      <c r="C201" t="s">
        <v>2849</v>
      </c>
      <c r="D201">
        <v>0</v>
      </c>
      <c r="E201" s="1">
        <v>46373</v>
      </c>
      <c r="F201" t="s">
        <v>1988</v>
      </c>
      <c r="G201" t="s">
        <v>2849</v>
      </c>
      <c r="H201" t="s">
        <v>2</v>
      </c>
      <c r="I201" s="1">
        <v>46224</v>
      </c>
      <c r="J201" t="s">
        <v>2065</v>
      </c>
      <c r="K201" t="s">
        <v>3464</v>
      </c>
      <c r="L201" s="1">
        <v>46224.917650462965</v>
      </c>
      <c r="M201" s="1">
        <v>46224.91962439815</v>
      </c>
    </row>
    <row r="202" spans="1:13" x14ac:dyDescent="0.35">
      <c r="A202" t="s">
        <v>1749</v>
      </c>
      <c r="B202" t="s">
        <v>2821</v>
      </c>
      <c r="C202" t="s">
        <v>2849</v>
      </c>
      <c r="D202">
        <v>0</v>
      </c>
      <c r="E202" s="1">
        <v>46373</v>
      </c>
      <c r="F202" t="s">
        <v>1988</v>
      </c>
      <c r="G202" t="s">
        <v>2849</v>
      </c>
      <c r="H202" t="s">
        <v>2</v>
      </c>
      <c r="I202" s="1">
        <v>46224</v>
      </c>
      <c r="J202" t="s">
        <v>2108</v>
      </c>
      <c r="K202" t="s">
        <v>4246</v>
      </c>
      <c r="L202" s="1">
        <v>46224.917650462965</v>
      </c>
      <c r="M202" s="1">
        <v>46224.91962439815</v>
      </c>
    </row>
    <row r="203" spans="1:13" x14ac:dyDescent="0.35">
      <c r="A203" t="s">
        <v>1749</v>
      </c>
      <c r="B203" t="s">
        <v>2821</v>
      </c>
      <c r="C203" t="s">
        <v>2849</v>
      </c>
      <c r="D203">
        <v>0</v>
      </c>
      <c r="E203" s="1">
        <v>46373</v>
      </c>
      <c r="F203" t="s">
        <v>1988</v>
      </c>
      <c r="G203" t="s">
        <v>2849</v>
      </c>
      <c r="H203" t="s">
        <v>2</v>
      </c>
      <c r="I203" s="1">
        <v>46224</v>
      </c>
      <c r="J203" t="s">
        <v>2146</v>
      </c>
      <c r="K203" t="s">
        <v>4246</v>
      </c>
      <c r="L203" s="1">
        <v>46224.917650462965</v>
      </c>
      <c r="M203" s="1">
        <v>46224.91962439815</v>
      </c>
    </row>
    <row r="204" spans="1:13" x14ac:dyDescent="0.35">
      <c r="A204" t="s">
        <v>1749</v>
      </c>
      <c r="B204" t="s">
        <v>2821</v>
      </c>
      <c r="C204" t="s">
        <v>2849</v>
      </c>
      <c r="D204">
        <v>0</v>
      </c>
      <c r="E204" s="1">
        <v>46373</v>
      </c>
      <c r="F204" t="s">
        <v>1988</v>
      </c>
      <c r="G204" t="s">
        <v>2849</v>
      </c>
      <c r="H204" t="s">
        <v>2</v>
      </c>
      <c r="I204" s="1">
        <v>46224</v>
      </c>
      <c r="J204" t="s">
        <v>1989</v>
      </c>
      <c r="K204" t="s">
        <v>4308</v>
      </c>
      <c r="L204" s="1">
        <v>46224.918321759258</v>
      </c>
      <c r="M204" s="1">
        <v>46224.91962439815</v>
      </c>
    </row>
    <row r="205" spans="1:13" x14ac:dyDescent="0.35">
      <c r="A205" t="s">
        <v>1749</v>
      </c>
      <c r="B205" t="s">
        <v>2821</v>
      </c>
      <c r="C205" t="s">
        <v>2849</v>
      </c>
      <c r="D205">
        <v>0</v>
      </c>
      <c r="E205" s="1">
        <v>46373</v>
      </c>
      <c r="F205" t="s">
        <v>1988</v>
      </c>
      <c r="G205" t="s">
        <v>2849</v>
      </c>
      <c r="H205" t="s">
        <v>2</v>
      </c>
      <c r="I205" s="1">
        <v>46224</v>
      </c>
      <c r="J205" t="s">
        <v>2064</v>
      </c>
      <c r="K205" t="s">
        <v>3464</v>
      </c>
      <c r="L205" s="1">
        <v>46224.917650462965</v>
      </c>
      <c r="M205" s="1">
        <v>46224.91962439815</v>
      </c>
    </row>
    <row r="206" spans="1:13" x14ac:dyDescent="0.35">
      <c r="A206" t="s">
        <v>1968</v>
      </c>
      <c r="B206" t="s">
        <v>2821</v>
      </c>
      <c r="C206" t="s">
        <v>2840</v>
      </c>
      <c r="D206">
        <v>0</v>
      </c>
      <c r="E206" s="1">
        <v>46387</v>
      </c>
      <c r="F206" t="s">
        <v>1988</v>
      </c>
      <c r="G206" t="s">
        <v>2840</v>
      </c>
      <c r="H206" t="s">
        <v>2</v>
      </c>
      <c r="I206" s="1">
        <v>46224</v>
      </c>
      <c r="J206" t="s">
        <v>1991</v>
      </c>
      <c r="K206" t="s">
        <v>4275</v>
      </c>
      <c r="L206" s="1">
        <v>46224.918321759258</v>
      </c>
      <c r="M206" s="1">
        <v>46224.91962439815</v>
      </c>
    </row>
    <row r="207" spans="1:13" x14ac:dyDescent="0.35">
      <c r="A207" t="s">
        <v>1968</v>
      </c>
      <c r="B207" t="s">
        <v>2821</v>
      </c>
      <c r="C207" t="s">
        <v>2840</v>
      </c>
      <c r="D207">
        <v>0</v>
      </c>
      <c r="E207" s="1">
        <v>46387</v>
      </c>
      <c r="F207" t="s">
        <v>1988</v>
      </c>
      <c r="G207" t="s">
        <v>2840</v>
      </c>
      <c r="H207" t="s">
        <v>2</v>
      </c>
      <c r="I207" s="1">
        <v>46224</v>
      </c>
      <c r="J207" t="s">
        <v>2108</v>
      </c>
      <c r="K207" t="s">
        <v>4298</v>
      </c>
      <c r="L207" s="1">
        <v>46224.917650462965</v>
      </c>
      <c r="M207" s="1">
        <v>46224.91962439815</v>
      </c>
    </row>
    <row r="208" spans="1:13" x14ac:dyDescent="0.35">
      <c r="A208" t="s">
        <v>1968</v>
      </c>
      <c r="B208" t="s">
        <v>2821</v>
      </c>
      <c r="C208" t="s">
        <v>2840</v>
      </c>
      <c r="D208">
        <v>0</v>
      </c>
      <c r="E208" s="1">
        <v>46387</v>
      </c>
      <c r="F208" t="s">
        <v>1988</v>
      </c>
      <c r="G208" t="s">
        <v>2840</v>
      </c>
      <c r="H208" t="s">
        <v>2</v>
      </c>
      <c r="I208" s="1">
        <v>46224</v>
      </c>
      <c r="J208" t="s">
        <v>2064</v>
      </c>
      <c r="K208" t="s">
        <v>3736</v>
      </c>
      <c r="L208" s="1">
        <v>46224.917650462965</v>
      </c>
      <c r="M208" s="1">
        <v>46224.91962439815</v>
      </c>
    </row>
    <row r="209" spans="1:13" x14ac:dyDescent="0.35">
      <c r="A209" t="s">
        <v>1968</v>
      </c>
      <c r="B209" t="s">
        <v>2821</v>
      </c>
      <c r="C209" t="s">
        <v>2840</v>
      </c>
      <c r="D209">
        <v>0</v>
      </c>
      <c r="E209" s="1">
        <v>46387</v>
      </c>
      <c r="F209" t="s">
        <v>1988</v>
      </c>
      <c r="G209" t="s">
        <v>2840</v>
      </c>
      <c r="H209" t="s">
        <v>2</v>
      </c>
      <c r="I209" s="1">
        <v>46224</v>
      </c>
      <c r="J209" t="s">
        <v>2146</v>
      </c>
      <c r="K209" t="s">
        <v>4298</v>
      </c>
      <c r="L209" s="1">
        <v>46224.917650462965</v>
      </c>
      <c r="M209" s="1">
        <v>46224.91962439815</v>
      </c>
    </row>
    <row r="210" spans="1:13" x14ac:dyDescent="0.35">
      <c r="A210" t="s">
        <v>1968</v>
      </c>
      <c r="B210" t="s">
        <v>2821</v>
      </c>
      <c r="C210" t="s">
        <v>2840</v>
      </c>
      <c r="D210">
        <v>0</v>
      </c>
      <c r="E210" s="1">
        <v>46387</v>
      </c>
      <c r="F210" t="s">
        <v>1988</v>
      </c>
      <c r="G210" t="s">
        <v>2840</v>
      </c>
      <c r="H210" t="s">
        <v>2</v>
      </c>
      <c r="I210" s="1">
        <v>46224</v>
      </c>
      <c r="J210" t="s">
        <v>2065</v>
      </c>
      <c r="K210" t="s">
        <v>3736</v>
      </c>
      <c r="L210" s="1">
        <v>46224.917650462965</v>
      </c>
      <c r="M210" s="1">
        <v>46224.91962439815</v>
      </c>
    </row>
    <row r="211" spans="1:13" x14ac:dyDescent="0.35">
      <c r="A211" t="s">
        <v>1968</v>
      </c>
      <c r="B211" t="s">
        <v>2821</v>
      </c>
      <c r="C211" t="s">
        <v>2840</v>
      </c>
      <c r="D211">
        <v>0</v>
      </c>
      <c r="E211" s="1">
        <v>46387</v>
      </c>
      <c r="F211" t="s">
        <v>1988</v>
      </c>
      <c r="G211" t="s">
        <v>2840</v>
      </c>
      <c r="H211" t="s">
        <v>2</v>
      </c>
      <c r="I211" s="1">
        <v>46224</v>
      </c>
      <c r="J211" t="s">
        <v>1989</v>
      </c>
      <c r="K211" t="s">
        <v>4302</v>
      </c>
      <c r="L211" s="1">
        <v>46224.918321759258</v>
      </c>
      <c r="M211" s="1">
        <v>46224.91962439815</v>
      </c>
    </row>
    <row r="212" spans="1:13" x14ac:dyDescent="0.35">
      <c r="A212" t="s">
        <v>1755</v>
      </c>
      <c r="B212" t="s">
        <v>2821</v>
      </c>
      <c r="C212" t="s">
        <v>2850</v>
      </c>
      <c r="D212">
        <v>0</v>
      </c>
      <c r="E212" s="1">
        <v>46301</v>
      </c>
      <c r="F212" t="s">
        <v>1988</v>
      </c>
      <c r="G212" t="s">
        <v>2850</v>
      </c>
      <c r="H212" t="s">
        <v>2</v>
      </c>
      <c r="I212" s="1">
        <v>46224</v>
      </c>
      <c r="J212" t="s">
        <v>1989</v>
      </c>
      <c r="K212" t="s">
        <v>4309</v>
      </c>
      <c r="L212" s="1">
        <v>46224.918321759258</v>
      </c>
      <c r="M212" s="1">
        <v>46224.91962439815</v>
      </c>
    </row>
    <row r="213" spans="1:13" x14ac:dyDescent="0.35">
      <c r="A213" t="s">
        <v>1755</v>
      </c>
      <c r="B213" t="s">
        <v>2821</v>
      </c>
      <c r="C213" t="s">
        <v>2850</v>
      </c>
      <c r="D213">
        <v>0</v>
      </c>
      <c r="E213" s="1">
        <v>46301</v>
      </c>
      <c r="F213" t="s">
        <v>1988</v>
      </c>
      <c r="G213" t="s">
        <v>2850</v>
      </c>
      <c r="H213" t="s">
        <v>2</v>
      </c>
      <c r="I213" s="1">
        <v>46224</v>
      </c>
      <c r="J213" t="s">
        <v>1991</v>
      </c>
      <c r="K213" t="s">
        <v>4267</v>
      </c>
      <c r="L213" s="1">
        <v>46224.918321759258</v>
      </c>
      <c r="M213" s="1">
        <v>46224.91962439815</v>
      </c>
    </row>
    <row r="214" spans="1:13" x14ac:dyDescent="0.35">
      <c r="A214" t="s">
        <v>1750</v>
      </c>
      <c r="B214" t="s">
        <v>2821</v>
      </c>
      <c r="C214" t="s">
        <v>2851</v>
      </c>
      <c r="D214">
        <v>0</v>
      </c>
      <c r="E214" s="1">
        <v>46308</v>
      </c>
      <c r="F214" t="s">
        <v>1988</v>
      </c>
      <c r="G214" t="s">
        <v>2851</v>
      </c>
      <c r="H214" t="s">
        <v>2</v>
      </c>
      <c r="I214" s="1">
        <v>46224</v>
      </c>
      <c r="J214" t="s">
        <v>1991</v>
      </c>
      <c r="K214" t="s">
        <v>4192</v>
      </c>
      <c r="L214" s="1">
        <v>46224.918321759258</v>
      </c>
      <c r="M214" s="1">
        <v>46224.91962439815</v>
      </c>
    </row>
    <row r="215" spans="1:13" x14ac:dyDescent="0.35">
      <c r="A215" t="s">
        <v>1750</v>
      </c>
      <c r="B215" t="s">
        <v>2821</v>
      </c>
      <c r="C215" t="s">
        <v>2851</v>
      </c>
      <c r="D215">
        <v>0</v>
      </c>
      <c r="E215" s="1">
        <v>46308</v>
      </c>
      <c r="F215" t="s">
        <v>1988</v>
      </c>
      <c r="G215" t="s">
        <v>2851</v>
      </c>
      <c r="H215" t="s">
        <v>2</v>
      </c>
      <c r="I215" s="1">
        <v>46224</v>
      </c>
      <c r="J215" t="s">
        <v>1989</v>
      </c>
      <c r="K215" t="s">
        <v>4310</v>
      </c>
      <c r="L215" s="1">
        <v>46224.918321759258</v>
      </c>
      <c r="M215" s="1">
        <v>46224.91962439815</v>
      </c>
    </row>
    <row r="216" spans="1:13" x14ac:dyDescent="0.35">
      <c r="A216" t="s">
        <v>1777</v>
      </c>
      <c r="B216" t="s">
        <v>2821</v>
      </c>
      <c r="C216" t="s">
        <v>2858</v>
      </c>
      <c r="D216">
        <v>0</v>
      </c>
      <c r="E216" s="1">
        <v>46315</v>
      </c>
      <c r="F216" t="s">
        <v>1988</v>
      </c>
      <c r="G216" t="s">
        <v>2858</v>
      </c>
      <c r="H216" t="s">
        <v>2</v>
      </c>
      <c r="I216" s="1">
        <v>46224</v>
      </c>
      <c r="J216" t="s">
        <v>1989</v>
      </c>
      <c r="K216" t="s">
        <v>4247</v>
      </c>
      <c r="L216" s="1">
        <v>46224.918321759258</v>
      </c>
      <c r="M216" s="1">
        <v>46224.91962439815</v>
      </c>
    </row>
    <row r="217" spans="1:13" x14ac:dyDescent="0.35">
      <c r="A217" t="s">
        <v>1777</v>
      </c>
      <c r="B217" t="s">
        <v>2821</v>
      </c>
      <c r="C217" t="s">
        <v>2858</v>
      </c>
      <c r="D217">
        <v>0</v>
      </c>
      <c r="E217" s="1">
        <v>46315</v>
      </c>
      <c r="F217" t="s">
        <v>1988</v>
      </c>
      <c r="G217" t="s">
        <v>2858</v>
      </c>
      <c r="H217" t="s">
        <v>2</v>
      </c>
      <c r="I217" s="1">
        <v>46224</v>
      </c>
      <c r="J217" t="s">
        <v>1991</v>
      </c>
      <c r="K217" t="s">
        <v>4311</v>
      </c>
      <c r="L217" s="1">
        <v>46224.918321759258</v>
      </c>
      <c r="M217" s="1">
        <v>46224.91962439815</v>
      </c>
    </row>
    <row r="218" spans="1:13" x14ac:dyDescent="0.35">
      <c r="A218" t="s">
        <v>1782</v>
      </c>
      <c r="B218" t="s">
        <v>2821</v>
      </c>
      <c r="C218" t="s">
        <v>2868</v>
      </c>
      <c r="D218">
        <v>0</v>
      </c>
      <c r="E218" s="1">
        <v>46322</v>
      </c>
      <c r="F218" t="s">
        <v>1988</v>
      </c>
      <c r="G218" t="s">
        <v>2868</v>
      </c>
      <c r="H218" t="s">
        <v>2</v>
      </c>
      <c r="I218" s="1">
        <v>46224</v>
      </c>
      <c r="J218" t="s">
        <v>1989</v>
      </c>
      <c r="K218" t="s">
        <v>3047</v>
      </c>
      <c r="L218" s="1">
        <v>46224.918321759258</v>
      </c>
      <c r="M218" s="1">
        <v>46224.91962439815</v>
      </c>
    </row>
    <row r="219" spans="1:13" x14ac:dyDescent="0.35">
      <c r="A219" t="s">
        <v>1782</v>
      </c>
      <c r="B219" t="s">
        <v>2821</v>
      </c>
      <c r="C219" t="s">
        <v>2868</v>
      </c>
      <c r="D219">
        <v>0</v>
      </c>
      <c r="E219" s="1">
        <v>46322</v>
      </c>
      <c r="F219" t="s">
        <v>1988</v>
      </c>
      <c r="G219" t="s">
        <v>2868</v>
      </c>
      <c r="H219" t="s">
        <v>2</v>
      </c>
      <c r="I219" s="1">
        <v>46224</v>
      </c>
      <c r="J219" t="s">
        <v>1991</v>
      </c>
      <c r="K219" t="s">
        <v>4268</v>
      </c>
      <c r="L219" s="1">
        <v>46224.918321759258</v>
      </c>
      <c r="M219" s="1">
        <v>46224.91962439815</v>
      </c>
    </row>
    <row r="220" spans="1:13" x14ac:dyDescent="0.35">
      <c r="A220" t="s">
        <v>1969</v>
      </c>
      <c r="B220" t="s">
        <v>2821</v>
      </c>
      <c r="C220" t="s">
        <v>2864</v>
      </c>
      <c r="D220">
        <v>0</v>
      </c>
      <c r="E220" s="1">
        <v>46329</v>
      </c>
      <c r="F220" t="s">
        <v>1988</v>
      </c>
      <c r="G220" t="s">
        <v>2864</v>
      </c>
      <c r="H220" t="s">
        <v>2</v>
      </c>
      <c r="I220" s="1">
        <v>46224</v>
      </c>
      <c r="J220" t="s">
        <v>1989</v>
      </c>
      <c r="K220" t="s">
        <v>4312</v>
      </c>
      <c r="L220" s="1">
        <v>46224.918321759258</v>
      </c>
      <c r="M220" s="1">
        <v>46224.91962439815</v>
      </c>
    </row>
    <row r="221" spans="1:13" x14ac:dyDescent="0.35">
      <c r="A221" t="s">
        <v>1969</v>
      </c>
      <c r="B221" t="s">
        <v>2821</v>
      </c>
      <c r="C221" t="s">
        <v>2864</v>
      </c>
      <c r="D221">
        <v>0</v>
      </c>
      <c r="E221" s="1">
        <v>46329</v>
      </c>
      <c r="F221" t="s">
        <v>1988</v>
      </c>
      <c r="G221" t="s">
        <v>2864</v>
      </c>
      <c r="H221" t="s">
        <v>2</v>
      </c>
      <c r="I221" s="1">
        <v>46224</v>
      </c>
      <c r="J221" t="s">
        <v>1991</v>
      </c>
      <c r="K221" t="s">
        <v>4269</v>
      </c>
      <c r="L221" s="1">
        <v>46224.918321759258</v>
      </c>
      <c r="M221" s="1">
        <v>46224.91962439815</v>
      </c>
    </row>
    <row r="222" spans="1:13" x14ac:dyDescent="0.35">
      <c r="A222" t="s">
        <v>1967</v>
      </c>
      <c r="B222" t="s">
        <v>2821</v>
      </c>
      <c r="C222" t="s">
        <v>2866</v>
      </c>
      <c r="D222">
        <v>0</v>
      </c>
      <c r="E222" s="1">
        <v>46576</v>
      </c>
      <c r="F222" t="s">
        <v>1988</v>
      </c>
      <c r="G222" t="s">
        <v>2866</v>
      </c>
      <c r="H222" t="s">
        <v>2</v>
      </c>
      <c r="I222" s="1">
        <v>46224</v>
      </c>
      <c r="J222" t="s">
        <v>2108</v>
      </c>
      <c r="K222" t="s">
        <v>4299</v>
      </c>
      <c r="L222" s="1">
        <v>46224.917650462965</v>
      </c>
      <c r="M222" s="1">
        <v>46224.91962439815</v>
      </c>
    </row>
    <row r="223" spans="1:13" x14ac:dyDescent="0.35">
      <c r="A223" t="s">
        <v>1967</v>
      </c>
      <c r="B223" t="s">
        <v>2821</v>
      </c>
      <c r="C223" t="s">
        <v>2866</v>
      </c>
      <c r="D223">
        <v>0</v>
      </c>
      <c r="E223" s="1">
        <v>46576</v>
      </c>
      <c r="F223" t="s">
        <v>1988</v>
      </c>
      <c r="G223" t="s">
        <v>2866</v>
      </c>
      <c r="H223" t="s">
        <v>2</v>
      </c>
      <c r="I223" s="1">
        <v>46224</v>
      </c>
      <c r="J223" t="s">
        <v>2064</v>
      </c>
      <c r="K223" t="s">
        <v>4300</v>
      </c>
      <c r="L223" s="1">
        <v>46224.917650462965</v>
      </c>
      <c r="M223" s="1">
        <v>46224.91962439815</v>
      </c>
    </row>
    <row r="224" spans="1:13" x14ac:dyDescent="0.35">
      <c r="A224" t="s">
        <v>1967</v>
      </c>
      <c r="B224" t="s">
        <v>2821</v>
      </c>
      <c r="C224" t="s">
        <v>2866</v>
      </c>
      <c r="D224">
        <v>0</v>
      </c>
      <c r="E224" s="1">
        <v>46576</v>
      </c>
      <c r="F224" t="s">
        <v>1988</v>
      </c>
      <c r="G224" t="s">
        <v>2866</v>
      </c>
      <c r="H224" t="s">
        <v>2</v>
      </c>
      <c r="I224" s="1">
        <v>46224</v>
      </c>
      <c r="J224" t="s">
        <v>2146</v>
      </c>
      <c r="K224" t="s">
        <v>4299</v>
      </c>
      <c r="L224" s="1">
        <v>46224.917650462965</v>
      </c>
      <c r="M224" s="1">
        <v>46224.91962439815</v>
      </c>
    </row>
    <row r="225" spans="1:13" x14ac:dyDescent="0.35">
      <c r="A225" t="s">
        <v>1967</v>
      </c>
      <c r="B225" t="s">
        <v>2821</v>
      </c>
      <c r="C225" t="s">
        <v>2866</v>
      </c>
      <c r="D225">
        <v>0</v>
      </c>
      <c r="E225" s="1">
        <v>46576</v>
      </c>
      <c r="F225" t="s">
        <v>1988</v>
      </c>
      <c r="G225" t="s">
        <v>2866</v>
      </c>
      <c r="H225" t="s">
        <v>2</v>
      </c>
      <c r="I225" s="1">
        <v>46224</v>
      </c>
      <c r="J225" t="s">
        <v>1989</v>
      </c>
      <c r="K225" t="s">
        <v>4303</v>
      </c>
      <c r="L225" s="1">
        <v>46224.918321759258</v>
      </c>
      <c r="M225" s="1">
        <v>46224.91962439815</v>
      </c>
    </row>
    <row r="226" spans="1:13" x14ac:dyDescent="0.35">
      <c r="A226" t="s">
        <v>1967</v>
      </c>
      <c r="B226" t="s">
        <v>2821</v>
      </c>
      <c r="C226" t="s">
        <v>2866</v>
      </c>
      <c r="D226">
        <v>0</v>
      </c>
      <c r="E226" s="1">
        <v>46576</v>
      </c>
      <c r="F226" t="s">
        <v>1988</v>
      </c>
      <c r="G226" t="s">
        <v>2866</v>
      </c>
      <c r="H226" t="s">
        <v>2</v>
      </c>
      <c r="I226" s="1">
        <v>46224</v>
      </c>
      <c r="J226" t="s">
        <v>2065</v>
      </c>
      <c r="K226" t="s">
        <v>4300</v>
      </c>
      <c r="L226" s="1">
        <v>46224.917650462965</v>
      </c>
      <c r="M226" s="1">
        <v>46224.91962439815</v>
      </c>
    </row>
    <row r="227" spans="1:13" x14ac:dyDescent="0.35">
      <c r="A227" t="s">
        <v>1967</v>
      </c>
      <c r="B227" t="s">
        <v>2821</v>
      </c>
      <c r="C227" t="s">
        <v>2866</v>
      </c>
      <c r="D227">
        <v>0</v>
      </c>
      <c r="E227" s="1">
        <v>46576</v>
      </c>
      <c r="F227" t="s">
        <v>1988</v>
      </c>
      <c r="G227" t="s">
        <v>2866</v>
      </c>
      <c r="H227" t="s">
        <v>2</v>
      </c>
      <c r="I227" s="1">
        <v>46224</v>
      </c>
      <c r="J227" t="s">
        <v>1991</v>
      </c>
      <c r="K227" t="s">
        <v>4286</v>
      </c>
      <c r="L227" s="1">
        <v>46224.918321759258</v>
      </c>
      <c r="M227" s="1">
        <v>46224.91962439815</v>
      </c>
    </row>
    <row r="228" spans="1:13" x14ac:dyDescent="0.35">
      <c r="A228" t="s">
        <v>1966</v>
      </c>
      <c r="B228" t="s">
        <v>2821</v>
      </c>
      <c r="C228" t="s">
        <v>2867</v>
      </c>
      <c r="D228">
        <v>0</v>
      </c>
      <c r="E228" s="1">
        <v>46394</v>
      </c>
      <c r="F228" t="s">
        <v>1988</v>
      </c>
      <c r="G228" t="s">
        <v>2867</v>
      </c>
      <c r="H228" t="s">
        <v>2</v>
      </c>
      <c r="I228" s="1">
        <v>46224</v>
      </c>
      <c r="J228" t="s">
        <v>1989</v>
      </c>
      <c r="K228" t="s">
        <v>4210</v>
      </c>
      <c r="L228" s="1">
        <v>46224.918321759258</v>
      </c>
      <c r="M228" s="1">
        <v>46224.91962439815</v>
      </c>
    </row>
    <row r="229" spans="1:13" x14ac:dyDescent="0.35">
      <c r="A229" t="s">
        <v>1966</v>
      </c>
      <c r="B229" t="s">
        <v>2821</v>
      </c>
      <c r="C229" t="s">
        <v>2867</v>
      </c>
      <c r="D229">
        <v>0</v>
      </c>
      <c r="E229" s="1">
        <v>46394</v>
      </c>
      <c r="F229" t="s">
        <v>1988</v>
      </c>
      <c r="G229" t="s">
        <v>2867</v>
      </c>
      <c r="H229" t="s">
        <v>2</v>
      </c>
      <c r="I229" s="1">
        <v>46224</v>
      </c>
      <c r="J229" t="s">
        <v>1991</v>
      </c>
      <c r="K229" t="s">
        <v>4276</v>
      </c>
      <c r="L229" s="1">
        <v>46224.918321759258</v>
      </c>
      <c r="M229" s="1">
        <v>46224.91962439815</v>
      </c>
    </row>
    <row r="230" spans="1:13" x14ac:dyDescent="0.35">
      <c r="A230" t="s">
        <v>1966</v>
      </c>
      <c r="B230" t="s">
        <v>2821</v>
      </c>
      <c r="C230" t="s">
        <v>2867</v>
      </c>
      <c r="D230">
        <v>0</v>
      </c>
      <c r="E230" s="1">
        <v>46394</v>
      </c>
      <c r="F230" t="s">
        <v>1988</v>
      </c>
      <c r="G230" t="s">
        <v>2867</v>
      </c>
      <c r="H230" t="s">
        <v>2</v>
      </c>
      <c r="I230" s="1">
        <v>46224</v>
      </c>
      <c r="J230" t="s">
        <v>2146</v>
      </c>
      <c r="K230" t="s">
        <v>4248</v>
      </c>
      <c r="L230" s="1">
        <v>46224.917650462965</v>
      </c>
      <c r="M230" s="1">
        <v>46224.91962439815</v>
      </c>
    </row>
    <row r="231" spans="1:13" x14ac:dyDescent="0.35">
      <c r="A231" t="s">
        <v>1966</v>
      </c>
      <c r="B231" t="s">
        <v>2821</v>
      </c>
      <c r="C231" t="s">
        <v>2867</v>
      </c>
      <c r="D231">
        <v>0</v>
      </c>
      <c r="E231" s="1">
        <v>46394</v>
      </c>
      <c r="F231" t="s">
        <v>1988</v>
      </c>
      <c r="G231" t="s">
        <v>2867</v>
      </c>
      <c r="H231" t="s">
        <v>2</v>
      </c>
      <c r="I231" s="1">
        <v>46224</v>
      </c>
      <c r="J231" t="s">
        <v>2108</v>
      </c>
      <c r="K231" t="s">
        <v>4248</v>
      </c>
      <c r="L231" s="1">
        <v>46224.917650462965</v>
      </c>
      <c r="M231" s="1">
        <v>46224.91962439815</v>
      </c>
    </row>
    <row r="232" spans="1:13" x14ac:dyDescent="0.35">
      <c r="A232" t="s">
        <v>1966</v>
      </c>
      <c r="B232" t="s">
        <v>2821</v>
      </c>
      <c r="C232" t="s">
        <v>2867</v>
      </c>
      <c r="D232">
        <v>0</v>
      </c>
      <c r="E232" s="1">
        <v>46394</v>
      </c>
      <c r="F232" t="s">
        <v>1988</v>
      </c>
      <c r="G232" t="s">
        <v>2867</v>
      </c>
      <c r="H232" t="s">
        <v>2</v>
      </c>
      <c r="I232" s="1">
        <v>46224</v>
      </c>
      <c r="J232" t="s">
        <v>2065</v>
      </c>
      <c r="K232" t="s">
        <v>4287</v>
      </c>
      <c r="L232" s="1">
        <v>46224.917650462965</v>
      </c>
      <c r="M232" s="1">
        <v>46224.91962439815</v>
      </c>
    </row>
    <row r="233" spans="1:13" x14ac:dyDescent="0.35">
      <c r="A233" t="s">
        <v>1966</v>
      </c>
      <c r="B233" t="s">
        <v>2821</v>
      </c>
      <c r="C233" t="s">
        <v>2867</v>
      </c>
      <c r="D233">
        <v>0</v>
      </c>
      <c r="E233" s="1">
        <v>46394</v>
      </c>
      <c r="F233" t="s">
        <v>1988</v>
      </c>
      <c r="G233" t="s">
        <v>2867</v>
      </c>
      <c r="H233" t="s">
        <v>2</v>
      </c>
      <c r="I233" s="1">
        <v>46224</v>
      </c>
      <c r="J233" t="s">
        <v>2064</v>
      </c>
      <c r="K233" t="s">
        <v>4287</v>
      </c>
      <c r="L233" s="1">
        <v>46224.917650462965</v>
      </c>
      <c r="M233" s="1">
        <v>46224.91962439815</v>
      </c>
    </row>
    <row r="234" spans="1:13" x14ac:dyDescent="0.35">
      <c r="A234" t="s">
        <v>4211</v>
      </c>
      <c r="B234" t="s">
        <v>2821</v>
      </c>
      <c r="C234" t="s">
        <v>4212</v>
      </c>
      <c r="D234">
        <v>0</v>
      </c>
      <c r="E234" s="1">
        <v>46401</v>
      </c>
      <c r="F234" t="s">
        <v>1988</v>
      </c>
      <c r="G234" t="s">
        <v>4212</v>
      </c>
      <c r="H234" t="s">
        <v>2</v>
      </c>
      <c r="I234" s="1">
        <v>46224</v>
      </c>
      <c r="J234" t="s">
        <v>2064</v>
      </c>
      <c r="K234" t="s">
        <v>2923</v>
      </c>
      <c r="L234" s="1">
        <v>46224.917650462965</v>
      </c>
      <c r="M234" s="1">
        <v>46224.91962439815</v>
      </c>
    </row>
    <row r="235" spans="1:13" x14ac:dyDescent="0.35">
      <c r="A235" t="s">
        <v>4211</v>
      </c>
      <c r="B235" t="s">
        <v>2821</v>
      </c>
      <c r="C235" t="s">
        <v>4212</v>
      </c>
      <c r="D235">
        <v>0</v>
      </c>
      <c r="E235" s="1">
        <v>46401</v>
      </c>
      <c r="F235" t="s">
        <v>1988</v>
      </c>
      <c r="G235" t="s">
        <v>4212</v>
      </c>
      <c r="H235" t="s">
        <v>2</v>
      </c>
      <c r="I235" s="1">
        <v>46224</v>
      </c>
      <c r="J235" t="s">
        <v>1989</v>
      </c>
      <c r="K235" t="s">
        <v>4277</v>
      </c>
      <c r="L235" s="1">
        <v>46224.918321759258</v>
      </c>
      <c r="M235" s="1">
        <v>46224.91962439815</v>
      </c>
    </row>
    <row r="236" spans="1:13" x14ac:dyDescent="0.35">
      <c r="A236" t="s">
        <v>4211</v>
      </c>
      <c r="B236" t="s">
        <v>2821</v>
      </c>
      <c r="C236" t="s">
        <v>4212</v>
      </c>
      <c r="D236">
        <v>0</v>
      </c>
      <c r="E236" s="1">
        <v>46401</v>
      </c>
      <c r="F236" t="s">
        <v>1988</v>
      </c>
      <c r="G236" t="s">
        <v>4212</v>
      </c>
      <c r="H236" t="s">
        <v>2</v>
      </c>
      <c r="I236" s="1">
        <v>46224</v>
      </c>
      <c r="J236" t="s">
        <v>2146</v>
      </c>
      <c r="K236" t="s">
        <v>2977</v>
      </c>
      <c r="L236" s="1">
        <v>46224.917650462965</v>
      </c>
      <c r="M236" s="1">
        <v>46224.91962439815</v>
      </c>
    </row>
    <row r="237" spans="1:13" x14ac:dyDescent="0.35">
      <c r="A237" t="s">
        <v>4211</v>
      </c>
      <c r="B237" t="s">
        <v>2821</v>
      </c>
      <c r="C237" t="s">
        <v>4212</v>
      </c>
      <c r="D237">
        <v>0</v>
      </c>
      <c r="E237" s="1">
        <v>46401</v>
      </c>
      <c r="F237" t="s">
        <v>1988</v>
      </c>
      <c r="G237" t="s">
        <v>4212</v>
      </c>
      <c r="H237" t="s">
        <v>2</v>
      </c>
      <c r="I237" s="1">
        <v>46224</v>
      </c>
      <c r="J237" t="s">
        <v>1991</v>
      </c>
      <c r="K237" t="s">
        <v>4301</v>
      </c>
      <c r="L237" s="1">
        <v>46224.918321759258</v>
      </c>
      <c r="M237" s="1">
        <v>46224.91962439815</v>
      </c>
    </row>
    <row r="238" spans="1:13" x14ac:dyDescent="0.35">
      <c r="A238" t="s">
        <v>4211</v>
      </c>
      <c r="B238" t="s">
        <v>2821</v>
      </c>
      <c r="C238" t="s">
        <v>4212</v>
      </c>
      <c r="D238">
        <v>0</v>
      </c>
      <c r="E238" s="1">
        <v>46401</v>
      </c>
      <c r="F238" t="s">
        <v>1988</v>
      </c>
      <c r="G238" t="s">
        <v>4212</v>
      </c>
      <c r="H238" t="s">
        <v>2</v>
      </c>
      <c r="I238" s="1">
        <v>46224</v>
      </c>
      <c r="J238" t="s">
        <v>2065</v>
      </c>
      <c r="K238" t="s">
        <v>2923</v>
      </c>
      <c r="L238" s="1">
        <v>46224.917650462965</v>
      </c>
      <c r="M238" s="1">
        <v>46224.91962439815</v>
      </c>
    </row>
    <row r="239" spans="1:13" x14ac:dyDescent="0.35">
      <c r="A239" t="s">
        <v>4211</v>
      </c>
      <c r="B239" t="s">
        <v>2821</v>
      </c>
      <c r="C239" t="s">
        <v>4212</v>
      </c>
      <c r="D239">
        <v>0</v>
      </c>
      <c r="E239" s="1">
        <v>46401</v>
      </c>
      <c r="F239" t="s">
        <v>1988</v>
      </c>
      <c r="G239" t="s">
        <v>4212</v>
      </c>
      <c r="H239" t="s">
        <v>2</v>
      </c>
      <c r="I239" s="1">
        <v>46224</v>
      </c>
      <c r="J239" t="s">
        <v>2108</v>
      </c>
      <c r="K239" t="s">
        <v>2977</v>
      </c>
      <c r="L239" s="1">
        <v>46224.917650462965</v>
      </c>
      <c r="M239" s="1">
        <v>46224.91962439815</v>
      </c>
    </row>
    <row r="240" spans="1:13" x14ac:dyDescent="0.35">
      <c r="A240" t="s">
        <v>3064</v>
      </c>
      <c r="B240" t="s">
        <v>2821</v>
      </c>
      <c r="C240" t="s">
        <v>4288</v>
      </c>
      <c r="D240">
        <v>0</v>
      </c>
      <c r="E240" s="1">
        <v>46336</v>
      </c>
      <c r="F240" t="s">
        <v>1988</v>
      </c>
      <c r="G240" t="s">
        <v>4288</v>
      </c>
      <c r="H240" t="s">
        <v>2</v>
      </c>
      <c r="I240" s="1">
        <v>46224</v>
      </c>
      <c r="J240" t="s">
        <v>1991</v>
      </c>
      <c r="K240" t="s">
        <v>4313</v>
      </c>
      <c r="L240" s="1">
        <v>46224.918321759258</v>
      </c>
      <c r="M240" s="1">
        <v>46224.91962439815</v>
      </c>
    </row>
    <row r="241" spans="1:13" x14ac:dyDescent="0.35">
      <c r="A241" t="s">
        <v>3064</v>
      </c>
      <c r="B241" t="s">
        <v>2821</v>
      </c>
      <c r="C241" t="s">
        <v>4288</v>
      </c>
      <c r="D241">
        <v>0</v>
      </c>
      <c r="E241" s="1">
        <v>46336</v>
      </c>
      <c r="F241" t="s">
        <v>1988</v>
      </c>
      <c r="G241" t="s">
        <v>4288</v>
      </c>
      <c r="H241" t="s">
        <v>2</v>
      </c>
      <c r="I241" s="1">
        <v>46224</v>
      </c>
      <c r="J241" t="s">
        <v>1989</v>
      </c>
      <c r="K241" t="s">
        <v>4289</v>
      </c>
      <c r="L241" s="1">
        <v>46224.918321759258</v>
      </c>
      <c r="M241" s="1">
        <v>46224.91962439815</v>
      </c>
    </row>
    <row r="242" spans="1:13" x14ac:dyDescent="0.35">
      <c r="A242" t="s">
        <v>4304</v>
      </c>
      <c r="B242" t="s">
        <v>2821</v>
      </c>
      <c r="C242" t="s">
        <v>4305</v>
      </c>
      <c r="D242">
        <v>0</v>
      </c>
      <c r="E242" s="1">
        <v>46343</v>
      </c>
      <c r="F242" t="s">
        <v>1988</v>
      </c>
      <c r="G242" t="s">
        <v>4305</v>
      </c>
      <c r="H242" t="s">
        <v>2</v>
      </c>
      <c r="I242" s="1">
        <v>46224</v>
      </c>
      <c r="J242" t="s">
        <v>1989</v>
      </c>
      <c r="K242" t="s">
        <v>4306</v>
      </c>
      <c r="L242" s="1">
        <v>46224.918321759258</v>
      </c>
      <c r="M242" s="1">
        <v>46224.91962439815</v>
      </c>
    </row>
    <row r="243" spans="1:13" x14ac:dyDescent="0.35">
      <c r="A243" t="s">
        <v>4304</v>
      </c>
      <c r="B243" t="s">
        <v>2821</v>
      </c>
      <c r="C243" t="s">
        <v>4305</v>
      </c>
      <c r="D243">
        <v>0</v>
      </c>
      <c r="E243" s="1">
        <v>46343</v>
      </c>
      <c r="F243" t="s">
        <v>1988</v>
      </c>
      <c r="G243" t="s">
        <v>4305</v>
      </c>
      <c r="H243" t="s">
        <v>2</v>
      </c>
      <c r="I243" s="1">
        <v>46224</v>
      </c>
      <c r="J243" t="s">
        <v>1991</v>
      </c>
      <c r="K243" t="s">
        <v>4307</v>
      </c>
      <c r="L243" s="1">
        <v>46224.918321759258</v>
      </c>
      <c r="M243" s="1">
        <v>46224.91962439815</v>
      </c>
    </row>
    <row r="244" spans="1:13" x14ac:dyDescent="0.35">
      <c r="A244" t="s">
        <v>603</v>
      </c>
      <c r="B244" t="s">
        <v>1986</v>
      </c>
      <c r="C244" t="s">
        <v>1987</v>
      </c>
      <c r="D244">
        <v>0</v>
      </c>
      <c r="E244" s="1">
        <v>46249</v>
      </c>
      <c r="F244" t="s">
        <v>1988</v>
      </c>
      <c r="G244" t="s">
        <v>1987</v>
      </c>
      <c r="H244" t="s">
        <v>2</v>
      </c>
      <c r="I244" s="1">
        <v>46224</v>
      </c>
      <c r="J244" t="s">
        <v>1989</v>
      </c>
      <c r="K244" t="s">
        <v>3144</v>
      </c>
      <c r="L244" s="1">
        <v>46224.918321759258</v>
      </c>
      <c r="M244" s="1">
        <v>46224.91962439815</v>
      </c>
    </row>
    <row r="245" spans="1:13" x14ac:dyDescent="0.35">
      <c r="A245" t="s">
        <v>603</v>
      </c>
      <c r="B245" t="s">
        <v>1986</v>
      </c>
      <c r="C245" t="s">
        <v>1987</v>
      </c>
      <c r="D245">
        <v>0</v>
      </c>
      <c r="E245" s="1">
        <v>46249</v>
      </c>
      <c r="F245" t="s">
        <v>1988</v>
      </c>
      <c r="G245" t="s">
        <v>1987</v>
      </c>
      <c r="H245" t="s">
        <v>2</v>
      </c>
      <c r="I245" s="1">
        <v>46224</v>
      </c>
      <c r="J245" t="s">
        <v>1991</v>
      </c>
      <c r="K245" t="s">
        <v>3092</v>
      </c>
      <c r="L245" s="1">
        <v>46224.918321759258</v>
      </c>
      <c r="M245" s="1">
        <v>46224.91962439815</v>
      </c>
    </row>
    <row r="246" spans="1:13" x14ac:dyDescent="0.35">
      <c r="A246" t="s">
        <v>39</v>
      </c>
      <c r="B246" t="s">
        <v>1986</v>
      </c>
      <c r="C246" t="s">
        <v>2091</v>
      </c>
      <c r="D246">
        <v>0</v>
      </c>
      <c r="E246" s="1">
        <v>46341</v>
      </c>
      <c r="F246" t="s">
        <v>1988</v>
      </c>
      <c r="G246" t="s">
        <v>2091</v>
      </c>
      <c r="H246" t="s">
        <v>2</v>
      </c>
      <c r="I246" s="1">
        <v>46224</v>
      </c>
      <c r="J246" t="s">
        <v>1991</v>
      </c>
      <c r="K246" t="s">
        <v>3420</v>
      </c>
      <c r="L246" s="1">
        <v>46224.918321759258</v>
      </c>
      <c r="M246" s="1">
        <v>46224.91962439815</v>
      </c>
    </row>
    <row r="247" spans="1:13" x14ac:dyDescent="0.35">
      <c r="A247" t="s">
        <v>39</v>
      </c>
      <c r="B247" t="s">
        <v>1986</v>
      </c>
      <c r="C247" t="s">
        <v>2091</v>
      </c>
      <c r="D247">
        <v>0</v>
      </c>
      <c r="E247" s="1">
        <v>46341</v>
      </c>
      <c r="F247" t="s">
        <v>1988</v>
      </c>
      <c r="G247" t="s">
        <v>2091</v>
      </c>
      <c r="H247" t="s">
        <v>2</v>
      </c>
      <c r="I247" s="1">
        <v>46224</v>
      </c>
      <c r="J247" t="s">
        <v>1989</v>
      </c>
      <c r="K247" t="s">
        <v>3262</v>
      </c>
      <c r="L247" s="1">
        <v>46224.918321759258</v>
      </c>
      <c r="M247" s="1">
        <v>46224.91962439815</v>
      </c>
    </row>
    <row r="248" spans="1:13" x14ac:dyDescent="0.35">
      <c r="A248" t="s">
        <v>114</v>
      </c>
      <c r="B248" t="s">
        <v>1986</v>
      </c>
      <c r="C248" t="s">
        <v>2135</v>
      </c>
      <c r="D248">
        <v>0</v>
      </c>
      <c r="E248" s="1">
        <v>46433</v>
      </c>
      <c r="F248" t="s">
        <v>1988</v>
      </c>
      <c r="G248" t="s">
        <v>2135</v>
      </c>
      <c r="H248" t="s">
        <v>2</v>
      </c>
      <c r="I248" s="1">
        <v>46224</v>
      </c>
      <c r="J248" t="s">
        <v>1989</v>
      </c>
      <c r="K248" t="s">
        <v>3145</v>
      </c>
      <c r="L248" s="1">
        <v>46224.918321759258</v>
      </c>
      <c r="M248" s="1">
        <v>46224.91962439815</v>
      </c>
    </row>
    <row r="249" spans="1:13" x14ac:dyDescent="0.35">
      <c r="A249" t="s">
        <v>114</v>
      </c>
      <c r="B249" t="s">
        <v>1986</v>
      </c>
      <c r="C249" t="s">
        <v>2135</v>
      </c>
      <c r="D249">
        <v>0</v>
      </c>
      <c r="E249" s="1">
        <v>46433</v>
      </c>
      <c r="F249" t="s">
        <v>1988</v>
      </c>
      <c r="G249" t="s">
        <v>2135</v>
      </c>
      <c r="H249" t="s">
        <v>2</v>
      </c>
      <c r="I249" s="1">
        <v>46224</v>
      </c>
      <c r="J249" t="s">
        <v>1991</v>
      </c>
      <c r="K249" t="s">
        <v>3093</v>
      </c>
      <c r="L249" s="1">
        <v>46224.918321759258</v>
      </c>
      <c r="M249" s="1">
        <v>46224.91962439815</v>
      </c>
    </row>
    <row r="250" spans="1:13" x14ac:dyDescent="0.35">
      <c r="A250" t="s">
        <v>40</v>
      </c>
      <c r="B250" t="s">
        <v>1986</v>
      </c>
      <c r="C250" t="s">
        <v>2066</v>
      </c>
      <c r="D250">
        <v>0</v>
      </c>
      <c r="E250" s="1">
        <v>46614</v>
      </c>
      <c r="F250" t="s">
        <v>1988</v>
      </c>
      <c r="G250" t="s">
        <v>2066</v>
      </c>
      <c r="H250" t="s">
        <v>2</v>
      </c>
      <c r="I250" s="1">
        <v>46224</v>
      </c>
      <c r="J250" t="s">
        <v>1989</v>
      </c>
      <c r="K250" t="s">
        <v>3421</v>
      </c>
      <c r="L250" s="1">
        <v>46224.918321759258</v>
      </c>
      <c r="M250" s="1">
        <v>46224.91962439815</v>
      </c>
    </row>
    <row r="251" spans="1:13" x14ac:dyDescent="0.35">
      <c r="A251" t="s">
        <v>40</v>
      </c>
      <c r="B251" t="s">
        <v>1986</v>
      </c>
      <c r="C251" t="s">
        <v>2066</v>
      </c>
      <c r="D251">
        <v>0</v>
      </c>
      <c r="E251" s="1">
        <v>46614</v>
      </c>
      <c r="F251" t="s">
        <v>1988</v>
      </c>
      <c r="G251" t="s">
        <v>2066</v>
      </c>
      <c r="H251" t="s">
        <v>2</v>
      </c>
      <c r="I251" s="1">
        <v>46224</v>
      </c>
      <c r="J251" t="s">
        <v>1991</v>
      </c>
      <c r="K251" t="s">
        <v>3119</v>
      </c>
      <c r="L251" s="1">
        <v>46224.918321759258</v>
      </c>
      <c r="M251" s="1">
        <v>46224.91962439815</v>
      </c>
    </row>
    <row r="252" spans="1:13" x14ac:dyDescent="0.35">
      <c r="A252" t="s">
        <v>13</v>
      </c>
      <c r="B252" t="s">
        <v>1986</v>
      </c>
      <c r="C252" t="s">
        <v>2136</v>
      </c>
      <c r="D252">
        <v>0</v>
      </c>
      <c r="E252" s="1">
        <v>46706</v>
      </c>
      <c r="F252" t="s">
        <v>1988</v>
      </c>
      <c r="G252" t="s">
        <v>2136</v>
      </c>
      <c r="H252" t="s">
        <v>2</v>
      </c>
      <c r="I252" s="1">
        <v>46224</v>
      </c>
      <c r="J252" t="s">
        <v>1991</v>
      </c>
      <c r="K252" t="s">
        <v>3171</v>
      </c>
      <c r="L252" s="1">
        <v>46224.918321759258</v>
      </c>
      <c r="M252" s="1">
        <v>46224.91962439815</v>
      </c>
    </row>
    <row r="253" spans="1:13" x14ac:dyDescent="0.35">
      <c r="A253" t="s">
        <v>13</v>
      </c>
      <c r="B253" t="s">
        <v>1986</v>
      </c>
      <c r="C253" t="s">
        <v>2136</v>
      </c>
      <c r="D253">
        <v>0</v>
      </c>
      <c r="E253" s="1">
        <v>46706</v>
      </c>
      <c r="F253" t="s">
        <v>1988</v>
      </c>
      <c r="G253" t="s">
        <v>2136</v>
      </c>
      <c r="H253" t="s">
        <v>2</v>
      </c>
      <c r="I253" s="1">
        <v>46224</v>
      </c>
      <c r="J253" t="s">
        <v>1989</v>
      </c>
      <c r="K253" t="s">
        <v>3263</v>
      </c>
      <c r="L253" s="1">
        <v>46224.918321759258</v>
      </c>
      <c r="M253" s="1">
        <v>46224.91962439815</v>
      </c>
    </row>
    <row r="254" spans="1:13" x14ac:dyDescent="0.35">
      <c r="A254" t="s">
        <v>14</v>
      </c>
      <c r="B254" t="s">
        <v>1986</v>
      </c>
      <c r="C254" t="s">
        <v>2020</v>
      </c>
      <c r="D254">
        <v>0</v>
      </c>
      <c r="E254" s="1">
        <v>46980</v>
      </c>
      <c r="F254" t="s">
        <v>1988</v>
      </c>
      <c r="G254" t="s">
        <v>2020</v>
      </c>
      <c r="H254" t="s">
        <v>2</v>
      </c>
      <c r="I254" s="1">
        <v>46224</v>
      </c>
      <c r="J254" t="s">
        <v>1989</v>
      </c>
      <c r="K254" t="s">
        <v>3172</v>
      </c>
      <c r="L254" s="1">
        <v>46224.918321759258</v>
      </c>
      <c r="M254" s="1">
        <v>46224.91962439815</v>
      </c>
    </row>
    <row r="255" spans="1:13" x14ac:dyDescent="0.35">
      <c r="A255" t="s">
        <v>14</v>
      </c>
      <c r="B255" t="s">
        <v>1986</v>
      </c>
      <c r="C255" t="s">
        <v>2020</v>
      </c>
      <c r="D255">
        <v>0</v>
      </c>
      <c r="E255" s="1">
        <v>46980</v>
      </c>
      <c r="F255" t="s">
        <v>1988</v>
      </c>
      <c r="G255" t="s">
        <v>2020</v>
      </c>
      <c r="H255" t="s">
        <v>2</v>
      </c>
      <c r="I255" s="1">
        <v>46224</v>
      </c>
      <c r="J255" t="s">
        <v>1991</v>
      </c>
      <c r="K255" t="s">
        <v>4056</v>
      </c>
      <c r="L255" s="1">
        <v>46224.918321759258</v>
      </c>
      <c r="M255" s="1">
        <v>46224.91962439815</v>
      </c>
    </row>
    <row r="256" spans="1:13" x14ac:dyDescent="0.35">
      <c r="A256" t="s">
        <v>61</v>
      </c>
      <c r="B256" t="s">
        <v>1986</v>
      </c>
      <c r="C256" t="s">
        <v>1990</v>
      </c>
      <c r="D256">
        <v>0</v>
      </c>
      <c r="E256" s="1">
        <v>47072</v>
      </c>
      <c r="F256" t="s">
        <v>1988</v>
      </c>
      <c r="G256" t="s">
        <v>1990</v>
      </c>
      <c r="H256" t="s">
        <v>2</v>
      </c>
      <c r="I256" s="1">
        <v>46224</v>
      </c>
      <c r="J256" t="s">
        <v>1991</v>
      </c>
      <c r="K256" t="s">
        <v>3422</v>
      </c>
      <c r="L256" s="1">
        <v>46224.918321759258</v>
      </c>
      <c r="M256" s="1">
        <v>46224.91962439815</v>
      </c>
    </row>
    <row r="257" spans="1:13" x14ac:dyDescent="0.35">
      <c r="A257" t="s">
        <v>61</v>
      </c>
      <c r="B257" t="s">
        <v>1986</v>
      </c>
      <c r="C257" t="s">
        <v>1990</v>
      </c>
      <c r="D257">
        <v>0</v>
      </c>
      <c r="E257" s="1">
        <v>47072</v>
      </c>
      <c r="F257" t="s">
        <v>1988</v>
      </c>
      <c r="G257" t="s">
        <v>1990</v>
      </c>
      <c r="H257" t="s">
        <v>2</v>
      </c>
      <c r="I257" s="1">
        <v>46224</v>
      </c>
      <c r="J257" t="s">
        <v>1989</v>
      </c>
      <c r="K257" t="s">
        <v>3094</v>
      </c>
      <c r="L257" s="1">
        <v>46224.918321759258</v>
      </c>
      <c r="M257" s="1">
        <v>46224.91962439815</v>
      </c>
    </row>
    <row r="258" spans="1:13" x14ac:dyDescent="0.35">
      <c r="A258" t="s">
        <v>41</v>
      </c>
      <c r="B258" t="s">
        <v>1986</v>
      </c>
      <c r="C258" t="s">
        <v>2021</v>
      </c>
      <c r="D258">
        <v>0</v>
      </c>
      <c r="E258" s="1">
        <v>47164</v>
      </c>
      <c r="F258" t="s">
        <v>1988</v>
      </c>
      <c r="G258" t="s">
        <v>2021</v>
      </c>
      <c r="H258" t="s">
        <v>2</v>
      </c>
      <c r="I258" s="1">
        <v>46224</v>
      </c>
      <c r="J258" t="s">
        <v>1989</v>
      </c>
      <c r="K258" t="s">
        <v>3173</v>
      </c>
      <c r="L258" s="1">
        <v>46224.918321759258</v>
      </c>
      <c r="M258" s="1">
        <v>46224.91962439815</v>
      </c>
    </row>
    <row r="259" spans="1:13" x14ac:dyDescent="0.35">
      <c r="A259" t="s">
        <v>41</v>
      </c>
      <c r="B259" t="s">
        <v>1986</v>
      </c>
      <c r="C259" t="s">
        <v>2021</v>
      </c>
      <c r="D259">
        <v>0</v>
      </c>
      <c r="E259" s="1">
        <v>47164</v>
      </c>
      <c r="F259" t="s">
        <v>1988</v>
      </c>
      <c r="G259" t="s">
        <v>2021</v>
      </c>
      <c r="H259" t="s">
        <v>2</v>
      </c>
      <c r="I259" s="1">
        <v>46224</v>
      </c>
      <c r="J259" t="s">
        <v>1991</v>
      </c>
      <c r="K259" t="s">
        <v>4057</v>
      </c>
      <c r="L259" s="1">
        <v>46224.918321759258</v>
      </c>
      <c r="M259" s="1">
        <v>46224.91962439815</v>
      </c>
    </row>
    <row r="260" spans="1:13" x14ac:dyDescent="0.35">
      <c r="A260" t="s">
        <v>115</v>
      </c>
      <c r="B260" t="s">
        <v>1986</v>
      </c>
      <c r="C260" t="s">
        <v>2042</v>
      </c>
      <c r="D260">
        <v>0</v>
      </c>
      <c r="E260" s="1">
        <v>47345</v>
      </c>
      <c r="F260" t="s">
        <v>1988</v>
      </c>
      <c r="G260" t="s">
        <v>2042</v>
      </c>
      <c r="H260" t="s">
        <v>2</v>
      </c>
      <c r="I260" s="1">
        <v>46224</v>
      </c>
      <c r="J260" t="s">
        <v>1991</v>
      </c>
      <c r="K260" t="s">
        <v>3066</v>
      </c>
      <c r="L260" s="1">
        <v>46224.918321759258</v>
      </c>
      <c r="M260" s="1">
        <v>46224.91962439815</v>
      </c>
    </row>
    <row r="261" spans="1:13" x14ac:dyDescent="0.35">
      <c r="A261" t="s">
        <v>115</v>
      </c>
      <c r="B261" t="s">
        <v>1986</v>
      </c>
      <c r="C261" t="s">
        <v>2042</v>
      </c>
      <c r="D261">
        <v>0</v>
      </c>
      <c r="E261" s="1">
        <v>47345</v>
      </c>
      <c r="F261" t="s">
        <v>1988</v>
      </c>
      <c r="G261" t="s">
        <v>2042</v>
      </c>
      <c r="H261" t="s">
        <v>2</v>
      </c>
      <c r="I261" s="1">
        <v>46224</v>
      </c>
      <c r="J261" t="s">
        <v>1989</v>
      </c>
      <c r="K261" t="s">
        <v>3095</v>
      </c>
      <c r="L261" s="1">
        <v>46224.918321759258</v>
      </c>
      <c r="M261" s="1">
        <v>46224.91962439815</v>
      </c>
    </row>
    <row r="262" spans="1:13" x14ac:dyDescent="0.35">
      <c r="A262" t="s">
        <v>79</v>
      </c>
      <c r="B262" t="s">
        <v>1986</v>
      </c>
      <c r="C262" t="s">
        <v>2022</v>
      </c>
      <c r="D262">
        <v>0</v>
      </c>
      <c r="E262" s="1">
        <v>47618</v>
      </c>
      <c r="F262" t="s">
        <v>1988</v>
      </c>
      <c r="G262" t="s">
        <v>2022</v>
      </c>
      <c r="H262" t="s">
        <v>2</v>
      </c>
      <c r="I262" s="1">
        <v>46224</v>
      </c>
      <c r="J262" t="s">
        <v>1989</v>
      </c>
      <c r="K262" t="s">
        <v>3423</v>
      </c>
      <c r="L262" s="1">
        <v>46224.918321759258</v>
      </c>
      <c r="M262" s="1">
        <v>46224.91962439815</v>
      </c>
    </row>
    <row r="263" spans="1:13" x14ac:dyDescent="0.35">
      <c r="A263" t="s">
        <v>79</v>
      </c>
      <c r="B263" t="s">
        <v>1986</v>
      </c>
      <c r="C263" t="s">
        <v>2022</v>
      </c>
      <c r="D263">
        <v>0</v>
      </c>
      <c r="E263" s="1">
        <v>47618</v>
      </c>
      <c r="F263" t="s">
        <v>1988</v>
      </c>
      <c r="G263" t="s">
        <v>2022</v>
      </c>
      <c r="H263" t="s">
        <v>2</v>
      </c>
      <c r="I263" s="1">
        <v>46224</v>
      </c>
      <c r="J263" t="s">
        <v>1991</v>
      </c>
      <c r="K263" t="s">
        <v>3096</v>
      </c>
      <c r="L263" s="1">
        <v>46224.918321759258</v>
      </c>
      <c r="M263" s="1">
        <v>46224.91962439815</v>
      </c>
    </row>
    <row r="264" spans="1:13" x14ac:dyDescent="0.35">
      <c r="A264" t="s">
        <v>15</v>
      </c>
      <c r="B264" t="s">
        <v>1986</v>
      </c>
      <c r="C264" t="s">
        <v>1992</v>
      </c>
      <c r="D264">
        <v>0</v>
      </c>
      <c r="E264" s="1">
        <v>47894</v>
      </c>
      <c r="F264" t="s">
        <v>1988</v>
      </c>
      <c r="G264" t="s">
        <v>1992</v>
      </c>
      <c r="H264" t="s">
        <v>2</v>
      </c>
      <c r="I264" s="1">
        <v>46224</v>
      </c>
      <c r="J264" t="s">
        <v>1989</v>
      </c>
      <c r="K264" t="s">
        <v>3174</v>
      </c>
      <c r="L264" s="1">
        <v>46224.918321759258</v>
      </c>
      <c r="M264" s="1">
        <v>46224.91962439815</v>
      </c>
    </row>
    <row r="265" spans="1:13" x14ac:dyDescent="0.35">
      <c r="A265" t="s">
        <v>15</v>
      </c>
      <c r="B265" t="s">
        <v>1986</v>
      </c>
      <c r="C265" t="s">
        <v>1992</v>
      </c>
      <c r="D265">
        <v>0</v>
      </c>
      <c r="E265" s="1">
        <v>47894</v>
      </c>
      <c r="F265" t="s">
        <v>1988</v>
      </c>
      <c r="G265" t="s">
        <v>1992</v>
      </c>
      <c r="H265" t="s">
        <v>2</v>
      </c>
      <c r="I265" s="1">
        <v>46224</v>
      </c>
      <c r="J265" t="s">
        <v>1991</v>
      </c>
      <c r="K265" t="s">
        <v>3146</v>
      </c>
      <c r="L265" s="1">
        <v>46224.918321759258</v>
      </c>
      <c r="M265" s="1">
        <v>46224.91962439815</v>
      </c>
    </row>
    <row r="266" spans="1:13" x14ac:dyDescent="0.35">
      <c r="A266" t="s">
        <v>62</v>
      </c>
      <c r="B266" t="s">
        <v>1986</v>
      </c>
      <c r="C266" t="s">
        <v>2082</v>
      </c>
      <c r="D266">
        <v>0</v>
      </c>
      <c r="E266" s="1">
        <v>49720</v>
      </c>
      <c r="F266" t="s">
        <v>1988</v>
      </c>
      <c r="G266" t="s">
        <v>2082</v>
      </c>
      <c r="H266" t="s">
        <v>2</v>
      </c>
      <c r="I266" s="1">
        <v>46224</v>
      </c>
      <c r="J266" t="s">
        <v>1989</v>
      </c>
      <c r="K266" t="s">
        <v>3120</v>
      </c>
      <c r="L266" s="1">
        <v>46224.918321759258</v>
      </c>
      <c r="M266" s="1">
        <v>46224.91962439815</v>
      </c>
    </row>
    <row r="267" spans="1:13" x14ac:dyDescent="0.35">
      <c r="A267" t="s">
        <v>62</v>
      </c>
      <c r="B267" t="s">
        <v>1986</v>
      </c>
      <c r="C267" t="s">
        <v>2082</v>
      </c>
      <c r="D267">
        <v>0</v>
      </c>
      <c r="E267" s="1">
        <v>49720</v>
      </c>
      <c r="F267" t="s">
        <v>1988</v>
      </c>
      <c r="G267" t="s">
        <v>2082</v>
      </c>
      <c r="H267" t="s">
        <v>2</v>
      </c>
      <c r="I267" s="1">
        <v>46224</v>
      </c>
      <c r="J267" t="s">
        <v>1991</v>
      </c>
      <c r="K267" t="s">
        <v>3264</v>
      </c>
      <c r="L267" s="1">
        <v>46224.918321759258</v>
      </c>
      <c r="M267" s="1">
        <v>46224.91962439815</v>
      </c>
    </row>
    <row r="268" spans="1:13" x14ac:dyDescent="0.35">
      <c r="A268" t="s">
        <v>80</v>
      </c>
      <c r="B268" t="s">
        <v>1986</v>
      </c>
      <c r="C268" t="s">
        <v>1993</v>
      </c>
      <c r="D268">
        <v>0</v>
      </c>
      <c r="E268" s="1">
        <v>50086</v>
      </c>
      <c r="F268" t="s">
        <v>1988</v>
      </c>
      <c r="G268" t="s">
        <v>1993</v>
      </c>
      <c r="H268" t="s">
        <v>2</v>
      </c>
      <c r="I268" s="1">
        <v>46224</v>
      </c>
      <c r="J268" t="s">
        <v>1989</v>
      </c>
      <c r="K268" t="s">
        <v>3175</v>
      </c>
      <c r="L268" s="1">
        <v>46224.918321759258</v>
      </c>
      <c r="M268" s="1">
        <v>46224.91962439815</v>
      </c>
    </row>
    <row r="269" spans="1:13" x14ac:dyDescent="0.35">
      <c r="A269" t="s">
        <v>80</v>
      </c>
      <c r="B269" t="s">
        <v>1986</v>
      </c>
      <c r="C269" t="s">
        <v>1993</v>
      </c>
      <c r="D269">
        <v>0</v>
      </c>
      <c r="E269" s="1">
        <v>50086</v>
      </c>
      <c r="F269" t="s">
        <v>1988</v>
      </c>
      <c r="G269" t="s">
        <v>1993</v>
      </c>
      <c r="H269" t="s">
        <v>2</v>
      </c>
      <c r="I269" s="1">
        <v>46224</v>
      </c>
      <c r="J269" t="s">
        <v>1991</v>
      </c>
      <c r="K269" t="s">
        <v>3265</v>
      </c>
      <c r="L269" s="1">
        <v>46224.918321759258</v>
      </c>
      <c r="M269" s="1">
        <v>46224.91962439815</v>
      </c>
    </row>
    <row r="270" spans="1:13" x14ac:dyDescent="0.35">
      <c r="A270" t="s">
        <v>16</v>
      </c>
      <c r="B270" t="s">
        <v>1986</v>
      </c>
      <c r="C270" t="s">
        <v>2023</v>
      </c>
      <c r="D270">
        <v>0</v>
      </c>
      <c r="E270" s="1">
        <v>50175</v>
      </c>
      <c r="F270" t="s">
        <v>1988</v>
      </c>
      <c r="G270" t="s">
        <v>2023</v>
      </c>
      <c r="H270" t="s">
        <v>2</v>
      </c>
      <c r="I270" s="1">
        <v>46224</v>
      </c>
      <c r="J270" t="s">
        <v>1991</v>
      </c>
      <c r="K270" t="s">
        <v>3147</v>
      </c>
      <c r="L270" s="1">
        <v>46224.918321759258</v>
      </c>
      <c r="M270" s="1">
        <v>46224.91962439815</v>
      </c>
    </row>
    <row r="271" spans="1:13" x14ac:dyDescent="0.35">
      <c r="A271" t="s">
        <v>16</v>
      </c>
      <c r="B271" t="s">
        <v>1986</v>
      </c>
      <c r="C271" t="s">
        <v>2023</v>
      </c>
      <c r="D271">
        <v>0</v>
      </c>
      <c r="E271" s="1">
        <v>50175</v>
      </c>
      <c r="F271" t="s">
        <v>1988</v>
      </c>
      <c r="G271" t="s">
        <v>2023</v>
      </c>
      <c r="H271" t="s">
        <v>2</v>
      </c>
      <c r="I271" s="1">
        <v>46224</v>
      </c>
      <c r="J271" t="s">
        <v>1989</v>
      </c>
      <c r="K271" t="s">
        <v>3266</v>
      </c>
      <c r="L271" s="1">
        <v>46224.918321759258</v>
      </c>
      <c r="M271" s="1">
        <v>46224.91962439815</v>
      </c>
    </row>
    <row r="272" spans="1:13" x14ac:dyDescent="0.35">
      <c r="A272" t="s">
        <v>63</v>
      </c>
      <c r="B272" t="s">
        <v>1986</v>
      </c>
      <c r="C272" t="s">
        <v>2024</v>
      </c>
      <c r="D272">
        <v>0</v>
      </c>
      <c r="E272" s="1">
        <v>50451</v>
      </c>
      <c r="F272" t="s">
        <v>1988</v>
      </c>
      <c r="G272" t="s">
        <v>2024</v>
      </c>
      <c r="H272" t="s">
        <v>2</v>
      </c>
      <c r="I272" s="1">
        <v>46224</v>
      </c>
      <c r="J272" t="s">
        <v>1991</v>
      </c>
      <c r="K272" t="s">
        <v>3067</v>
      </c>
      <c r="L272" s="1">
        <v>46224.918321759258</v>
      </c>
      <c r="M272" s="1">
        <v>46224.91962439815</v>
      </c>
    </row>
    <row r="273" spans="1:13" x14ac:dyDescent="0.35">
      <c r="A273" t="s">
        <v>63</v>
      </c>
      <c r="B273" t="s">
        <v>1986</v>
      </c>
      <c r="C273" t="s">
        <v>2024</v>
      </c>
      <c r="D273">
        <v>0</v>
      </c>
      <c r="E273" s="1">
        <v>50451</v>
      </c>
      <c r="F273" t="s">
        <v>1988</v>
      </c>
      <c r="G273" t="s">
        <v>2024</v>
      </c>
      <c r="H273" t="s">
        <v>2</v>
      </c>
      <c r="I273" s="1">
        <v>46224</v>
      </c>
      <c r="J273" t="s">
        <v>1989</v>
      </c>
      <c r="K273" t="s">
        <v>4058</v>
      </c>
      <c r="L273" s="1">
        <v>46224.918321759258</v>
      </c>
      <c r="M273" s="1">
        <v>46224.91962439815</v>
      </c>
    </row>
    <row r="274" spans="1:13" x14ac:dyDescent="0.35">
      <c r="A274" t="s">
        <v>116</v>
      </c>
      <c r="B274" t="s">
        <v>1986</v>
      </c>
      <c r="C274" t="s">
        <v>1994</v>
      </c>
      <c r="D274">
        <v>0</v>
      </c>
      <c r="E274" s="1">
        <v>50540</v>
      </c>
      <c r="F274" t="s">
        <v>1988</v>
      </c>
      <c r="G274" t="s">
        <v>1994</v>
      </c>
      <c r="H274" t="s">
        <v>2</v>
      </c>
      <c r="I274" s="1">
        <v>46224</v>
      </c>
      <c r="J274" t="s">
        <v>1991</v>
      </c>
      <c r="K274" t="s">
        <v>3068</v>
      </c>
      <c r="L274" s="1">
        <v>46224.918321759258</v>
      </c>
      <c r="M274" s="1">
        <v>46224.91962439815</v>
      </c>
    </row>
    <row r="275" spans="1:13" x14ac:dyDescent="0.35">
      <c r="A275" t="s">
        <v>116</v>
      </c>
      <c r="B275" t="s">
        <v>1986</v>
      </c>
      <c r="C275" t="s">
        <v>1994</v>
      </c>
      <c r="D275">
        <v>0</v>
      </c>
      <c r="E275" s="1">
        <v>50540</v>
      </c>
      <c r="F275" t="s">
        <v>1988</v>
      </c>
      <c r="G275" t="s">
        <v>1994</v>
      </c>
      <c r="H275" t="s">
        <v>2</v>
      </c>
      <c r="I275" s="1">
        <v>46224</v>
      </c>
      <c r="J275" t="s">
        <v>1989</v>
      </c>
      <c r="K275" t="s">
        <v>3148</v>
      </c>
      <c r="L275" s="1">
        <v>46224.918321759258</v>
      </c>
      <c r="M275" s="1">
        <v>46224.91962439815</v>
      </c>
    </row>
    <row r="276" spans="1:13" x14ac:dyDescent="0.35">
      <c r="A276" t="s">
        <v>17</v>
      </c>
      <c r="B276" t="s">
        <v>1986</v>
      </c>
      <c r="C276" t="s">
        <v>2025</v>
      </c>
      <c r="D276">
        <v>0</v>
      </c>
      <c r="E276" s="1">
        <v>50816</v>
      </c>
      <c r="F276" t="s">
        <v>1988</v>
      </c>
      <c r="G276" t="s">
        <v>2025</v>
      </c>
      <c r="H276" t="s">
        <v>2</v>
      </c>
      <c r="I276" s="1">
        <v>46224</v>
      </c>
      <c r="J276" t="s">
        <v>1991</v>
      </c>
      <c r="K276" t="s">
        <v>3424</v>
      </c>
      <c r="L276" s="1">
        <v>46224.918321759258</v>
      </c>
      <c r="M276" s="1">
        <v>46224.91962439815</v>
      </c>
    </row>
    <row r="277" spans="1:13" x14ac:dyDescent="0.35">
      <c r="A277" t="s">
        <v>17</v>
      </c>
      <c r="B277" t="s">
        <v>1986</v>
      </c>
      <c r="C277" t="s">
        <v>2025</v>
      </c>
      <c r="D277">
        <v>0</v>
      </c>
      <c r="E277" s="1">
        <v>50816</v>
      </c>
      <c r="F277" t="s">
        <v>1988</v>
      </c>
      <c r="G277" t="s">
        <v>2025</v>
      </c>
      <c r="H277" t="s">
        <v>2</v>
      </c>
      <c r="I277" s="1">
        <v>46224</v>
      </c>
      <c r="J277" t="s">
        <v>1989</v>
      </c>
      <c r="K277" t="s">
        <v>4059</v>
      </c>
      <c r="L277" s="1">
        <v>46224.918321759258</v>
      </c>
      <c r="M277" s="1">
        <v>46224.91962439815</v>
      </c>
    </row>
    <row r="278" spans="1:13" x14ac:dyDescent="0.35">
      <c r="A278" t="s">
        <v>64</v>
      </c>
      <c r="B278" t="s">
        <v>1986</v>
      </c>
      <c r="C278" t="s">
        <v>2067</v>
      </c>
      <c r="D278">
        <v>0</v>
      </c>
      <c r="E278" s="1">
        <v>50905</v>
      </c>
      <c r="F278" t="s">
        <v>1988</v>
      </c>
      <c r="G278" t="s">
        <v>2067</v>
      </c>
      <c r="H278" t="s">
        <v>2</v>
      </c>
      <c r="I278" s="1">
        <v>46224</v>
      </c>
      <c r="J278" t="s">
        <v>1991</v>
      </c>
      <c r="K278" t="s">
        <v>3069</v>
      </c>
      <c r="L278" s="1">
        <v>46224.918321759258</v>
      </c>
      <c r="M278" s="1">
        <v>46224.91962439815</v>
      </c>
    </row>
    <row r="279" spans="1:13" x14ac:dyDescent="0.35">
      <c r="A279" t="s">
        <v>64</v>
      </c>
      <c r="B279" t="s">
        <v>1986</v>
      </c>
      <c r="C279" t="s">
        <v>2067</v>
      </c>
      <c r="D279">
        <v>0</v>
      </c>
      <c r="E279" s="1">
        <v>50905</v>
      </c>
      <c r="F279" t="s">
        <v>1988</v>
      </c>
      <c r="G279" t="s">
        <v>2067</v>
      </c>
      <c r="H279" t="s">
        <v>2</v>
      </c>
      <c r="I279" s="1">
        <v>46224</v>
      </c>
      <c r="J279" t="s">
        <v>1989</v>
      </c>
      <c r="K279" t="s">
        <v>3176</v>
      </c>
      <c r="L279" s="1">
        <v>46224.918321759258</v>
      </c>
      <c r="M279" s="1">
        <v>46224.91962439815</v>
      </c>
    </row>
    <row r="280" spans="1:13" x14ac:dyDescent="0.35">
      <c r="A280" t="s">
        <v>65</v>
      </c>
      <c r="B280" t="s">
        <v>1986</v>
      </c>
      <c r="C280" t="s">
        <v>2068</v>
      </c>
      <c r="D280">
        <v>0</v>
      </c>
      <c r="E280" s="1">
        <v>50997</v>
      </c>
      <c r="F280" t="s">
        <v>1988</v>
      </c>
      <c r="G280" t="s">
        <v>2068</v>
      </c>
      <c r="H280" t="s">
        <v>2</v>
      </c>
      <c r="I280" s="1">
        <v>46224</v>
      </c>
      <c r="J280" t="s">
        <v>1989</v>
      </c>
      <c r="K280" t="s">
        <v>3177</v>
      </c>
      <c r="L280" s="1">
        <v>46224.918321759258</v>
      </c>
      <c r="M280" s="1">
        <v>46224.91962439815</v>
      </c>
    </row>
    <row r="281" spans="1:13" x14ac:dyDescent="0.35">
      <c r="A281" t="s">
        <v>65</v>
      </c>
      <c r="B281" t="s">
        <v>1986</v>
      </c>
      <c r="C281" t="s">
        <v>2068</v>
      </c>
      <c r="D281">
        <v>0</v>
      </c>
      <c r="E281" s="1">
        <v>50997</v>
      </c>
      <c r="F281" t="s">
        <v>1988</v>
      </c>
      <c r="G281" t="s">
        <v>2068</v>
      </c>
      <c r="H281" t="s">
        <v>2</v>
      </c>
      <c r="I281" s="1">
        <v>46224</v>
      </c>
      <c r="J281" t="s">
        <v>1991</v>
      </c>
      <c r="K281" t="s">
        <v>3149</v>
      </c>
      <c r="L281" s="1">
        <v>46224.918321759258</v>
      </c>
      <c r="M281" s="1">
        <v>46224.91962439815</v>
      </c>
    </row>
    <row r="282" spans="1:13" x14ac:dyDescent="0.35">
      <c r="A282" t="s">
        <v>42</v>
      </c>
      <c r="B282" t="s">
        <v>1986</v>
      </c>
      <c r="C282" t="s">
        <v>2083</v>
      </c>
      <c r="D282">
        <v>0</v>
      </c>
      <c r="E282" s="1">
        <v>51089</v>
      </c>
      <c r="F282" t="s">
        <v>1988</v>
      </c>
      <c r="G282" t="s">
        <v>2083</v>
      </c>
      <c r="H282" t="s">
        <v>2</v>
      </c>
      <c r="I282" s="1">
        <v>46224</v>
      </c>
      <c r="J282" t="s">
        <v>1991</v>
      </c>
      <c r="K282" t="s">
        <v>3425</v>
      </c>
      <c r="L282" s="1">
        <v>46224.918321759258</v>
      </c>
      <c r="M282" s="1">
        <v>46224.91962439815</v>
      </c>
    </row>
    <row r="283" spans="1:13" x14ac:dyDescent="0.35">
      <c r="A283" t="s">
        <v>42</v>
      </c>
      <c r="B283" t="s">
        <v>1986</v>
      </c>
      <c r="C283" t="s">
        <v>2083</v>
      </c>
      <c r="D283">
        <v>0</v>
      </c>
      <c r="E283" s="1">
        <v>51089</v>
      </c>
      <c r="F283" t="s">
        <v>1988</v>
      </c>
      <c r="G283" t="s">
        <v>2083</v>
      </c>
      <c r="H283" t="s">
        <v>2</v>
      </c>
      <c r="I283" s="1">
        <v>46224</v>
      </c>
      <c r="J283" t="s">
        <v>1989</v>
      </c>
      <c r="K283" t="s">
        <v>3267</v>
      </c>
      <c r="L283" s="1">
        <v>46224.918321759258</v>
      </c>
      <c r="M283" s="1">
        <v>46224.91962439815</v>
      </c>
    </row>
    <row r="284" spans="1:13" x14ac:dyDescent="0.35">
      <c r="A284" t="s">
        <v>43</v>
      </c>
      <c r="B284" t="s">
        <v>1986</v>
      </c>
      <c r="C284" t="s">
        <v>2026</v>
      </c>
      <c r="D284">
        <v>0</v>
      </c>
      <c r="E284" s="1">
        <v>51181</v>
      </c>
      <c r="F284" t="s">
        <v>1988</v>
      </c>
      <c r="G284" t="s">
        <v>2026</v>
      </c>
      <c r="H284" t="s">
        <v>2</v>
      </c>
      <c r="I284" s="1">
        <v>46224</v>
      </c>
      <c r="J284" t="s">
        <v>1991</v>
      </c>
      <c r="K284" t="s">
        <v>3070</v>
      </c>
      <c r="L284" s="1">
        <v>46224.918321759258</v>
      </c>
      <c r="M284" s="1">
        <v>46224.91962439815</v>
      </c>
    </row>
    <row r="285" spans="1:13" x14ac:dyDescent="0.35">
      <c r="A285" t="s">
        <v>43</v>
      </c>
      <c r="B285" t="s">
        <v>1986</v>
      </c>
      <c r="C285" t="s">
        <v>2026</v>
      </c>
      <c r="D285">
        <v>0</v>
      </c>
      <c r="E285" s="1">
        <v>51181</v>
      </c>
      <c r="F285" t="s">
        <v>1988</v>
      </c>
      <c r="G285" t="s">
        <v>2026</v>
      </c>
      <c r="H285" t="s">
        <v>2</v>
      </c>
      <c r="I285" s="1">
        <v>46224</v>
      </c>
      <c r="J285" t="s">
        <v>1989</v>
      </c>
      <c r="K285" t="s">
        <v>3097</v>
      </c>
      <c r="L285" s="1">
        <v>46224.918321759258</v>
      </c>
      <c r="M285" s="1">
        <v>46224.91962439815</v>
      </c>
    </row>
    <row r="286" spans="1:13" x14ac:dyDescent="0.35">
      <c r="A286" t="s">
        <v>126</v>
      </c>
      <c r="B286" t="s">
        <v>1986</v>
      </c>
      <c r="C286" t="s">
        <v>2084</v>
      </c>
      <c r="D286">
        <v>0</v>
      </c>
      <c r="E286" s="1">
        <v>51271</v>
      </c>
      <c r="F286" t="s">
        <v>1988</v>
      </c>
      <c r="G286" t="s">
        <v>2084</v>
      </c>
      <c r="H286" t="s">
        <v>2</v>
      </c>
      <c r="I286" s="1">
        <v>46224</v>
      </c>
      <c r="J286" t="s">
        <v>1989</v>
      </c>
      <c r="K286" t="s">
        <v>3071</v>
      </c>
      <c r="L286" s="1">
        <v>46224.918321759258</v>
      </c>
      <c r="M286" s="1">
        <v>46224.91962439815</v>
      </c>
    </row>
    <row r="287" spans="1:13" x14ac:dyDescent="0.35">
      <c r="A287" t="s">
        <v>126</v>
      </c>
      <c r="B287" t="s">
        <v>1986</v>
      </c>
      <c r="C287" t="s">
        <v>2084</v>
      </c>
      <c r="D287">
        <v>0</v>
      </c>
      <c r="E287" s="1">
        <v>51271</v>
      </c>
      <c r="F287" t="s">
        <v>1988</v>
      </c>
      <c r="G287" t="s">
        <v>2084</v>
      </c>
      <c r="H287" t="s">
        <v>2</v>
      </c>
      <c r="I287" s="1">
        <v>46224</v>
      </c>
      <c r="J287" t="s">
        <v>1991</v>
      </c>
      <c r="K287" t="s">
        <v>3150</v>
      </c>
      <c r="L287" s="1">
        <v>46224.918321759258</v>
      </c>
      <c r="M287" s="1">
        <v>46224.91962439815</v>
      </c>
    </row>
    <row r="288" spans="1:13" x14ac:dyDescent="0.35">
      <c r="A288" t="s">
        <v>44</v>
      </c>
      <c r="B288" t="s">
        <v>1986</v>
      </c>
      <c r="C288" t="s">
        <v>1995</v>
      </c>
      <c r="D288">
        <v>0</v>
      </c>
      <c r="E288" s="1">
        <v>51363</v>
      </c>
      <c r="F288" t="s">
        <v>1988</v>
      </c>
      <c r="G288" t="s">
        <v>1995</v>
      </c>
      <c r="H288" t="s">
        <v>2</v>
      </c>
      <c r="I288" s="1">
        <v>46224</v>
      </c>
      <c r="J288" t="s">
        <v>1989</v>
      </c>
      <c r="K288" t="s">
        <v>3151</v>
      </c>
      <c r="L288" s="1">
        <v>46224.918321759258</v>
      </c>
      <c r="M288" s="1">
        <v>46224.91962439815</v>
      </c>
    </row>
    <row r="289" spans="1:13" x14ac:dyDescent="0.35">
      <c r="A289" t="s">
        <v>44</v>
      </c>
      <c r="B289" t="s">
        <v>1986</v>
      </c>
      <c r="C289" t="s">
        <v>1995</v>
      </c>
      <c r="D289">
        <v>0</v>
      </c>
      <c r="E289" s="1">
        <v>51363</v>
      </c>
      <c r="F289" t="s">
        <v>1988</v>
      </c>
      <c r="G289" t="s">
        <v>1995</v>
      </c>
      <c r="H289" t="s">
        <v>2</v>
      </c>
      <c r="I289" s="1">
        <v>46224</v>
      </c>
      <c r="J289" t="s">
        <v>1991</v>
      </c>
      <c r="K289" t="s">
        <v>3152</v>
      </c>
      <c r="L289" s="1">
        <v>46224.918321759258</v>
      </c>
      <c r="M289" s="1">
        <v>46224.91962439815</v>
      </c>
    </row>
    <row r="290" spans="1:13" x14ac:dyDescent="0.35">
      <c r="A290" t="s">
        <v>127</v>
      </c>
      <c r="B290" t="s">
        <v>1986</v>
      </c>
      <c r="C290" t="s">
        <v>2069</v>
      </c>
      <c r="D290">
        <v>0</v>
      </c>
      <c r="E290" s="1">
        <v>51455</v>
      </c>
      <c r="F290" t="s">
        <v>1988</v>
      </c>
      <c r="G290" t="s">
        <v>2069</v>
      </c>
      <c r="H290" t="s">
        <v>2</v>
      </c>
      <c r="I290" s="1">
        <v>46224</v>
      </c>
      <c r="J290" t="s">
        <v>1989</v>
      </c>
      <c r="K290" t="s">
        <v>3121</v>
      </c>
      <c r="L290" s="1">
        <v>46224.918321759258</v>
      </c>
      <c r="M290" s="1">
        <v>46224.91962439815</v>
      </c>
    </row>
    <row r="291" spans="1:13" x14ac:dyDescent="0.35">
      <c r="A291" t="s">
        <v>127</v>
      </c>
      <c r="B291" t="s">
        <v>1986</v>
      </c>
      <c r="C291" t="s">
        <v>2069</v>
      </c>
      <c r="D291">
        <v>0</v>
      </c>
      <c r="E291" s="1">
        <v>51455</v>
      </c>
      <c r="F291" t="s">
        <v>1988</v>
      </c>
      <c r="G291" t="s">
        <v>2069</v>
      </c>
      <c r="H291" t="s">
        <v>2</v>
      </c>
      <c r="I291" s="1">
        <v>46224</v>
      </c>
      <c r="J291" t="s">
        <v>1991</v>
      </c>
      <c r="K291" t="s">
        <v>3098</v>
      </c>
      <c r="L291" s="1">
        <v>46224.918321759258</v>
      </c>
      <c r="M291" s="1">
        <v>46224.91962439815</v>
      </c>
    </row>
    <row r="292" spans="1:13" x14ac:dyDescent="0.35">
      <c r="A292" t="s">
        <v>374</v>
      </c>
      <c r="B292" t="s">
        <v>1986</v>
      </c>
      <c r="C292" t="s">
        <v>2043</v>
      </c>
      <c r="D292">
        <v>0</v>
      </c>
      <c r="E292" s="1">
        <v>51547</v>
      </c>
      <c r="F292" t="s">
        <v>1988</v>
      </c>
      <c r="G292" t="s">
        <v>2043</v>
      </c>
      <c r="H292" t="s">
        <v>2</v>
      </c>
      <c r="I292" s="1">
        <v>46224</v>
      </c>
      <c r="J292" t="s">
        <v>1989</v>
      </c>
      <c r="K292" t="s">
        <v>3426</v>
      </c>
      <c r="L292" s="1">
        <v>46224.918321759258</v>
      </c>
      <c r="M292" s="1">
        <v>46224.91962439815</v>
      </c>
    </row>
    <row r="293" spans="1:13" x14ac:dyDescent="0.35">
      <c r="A293" t="s">
        <v>374</v>
      </c>
      <c r="B293" t="s">
        <v>1986</v>
      </c>
      <c r="C293" t="s">
        <v>2043</v>
      </c>
      <c r="D293">
        <v>0</v>
      </c>
      <c r="E293" s="1">
        <v>51547</v>
      </c>
      <c r="F293" t="s">
        <v>1988</v>
      </c>
      <c r="G293" t="s">
        <v>2043</v>
      </c>
      <c r="H293" t="s">
        <v>2</v>
      </c>
      <c r="I293" s="1">
        <v>46224</v>
      </c>
      <c r="J293" t="s">
        <v>1991</v>
      </c>
      <c r="K293" t="s">
        <v>3122</v>
      </c>
      <c r="L293" s="1">
        <v>46224.918321759258</v>
      </c>
      <c r="M293" s="1">
        <v>46224.91962439815</v>
      </c>
    </row>
    <row r="294" spans="1:13" x14ac:dyDescent="0.35">
      <c r="A294" t="s">
        <v>117</v>
      </c>
      <c r="B294" t="s">
        <v>1986</v>
      </c>
      <c r="C294" t="s">
        <v>1996</v>
      </c>
      <c r="D294">
        <v>0</v>
      </c>
      <c r="E294" s="1">
        <v>51636</v>
      </c>
      <c r="F294" t="s">
        <v>1988</v>
      </c>
      <c r="G294" t="s">
        <v>1996</v>
      </c>
      <c r="H294" t="s">
        <v>2</v>
      </c>
      <c r="I294" s="1">
        <v>46224</v>
      </c>
      <c r="J294" t="s">
        <v>1991</v>
      </c>
      <c r="K294" t="s">
        <v>3178</v>
      </c>
      <c r="L294" s="1">
        <v>46224.918321759258</v>
      </c>
      <c r="M294" s="1">
        <v>46224.91962439815</v>
      </c>
    </row>
    <row r="295" spans="1:13" x14ac:dyDescent="0.35">
      <c r="A295" t="s">
        <v>117</v>
      </c>
      <c r="B295" t="s">
        <v>1986</v>
      </c>
      <c r="C295" t="s">
        <v>1996</v>
      </c>
      <c r="D295">
        <v>0</v>
      </c>
      <c r="E295" s="1">
        <v>51636</v>
      </c>
      <c r="F295" t="s">
        <v>1988</v>
      </c>
      <c r="G295" t="s">
        <v>1996</v>
      </c>
      <c r="H295" t="s">
        <v>2</v>
      </c>
      <c r="I295" s="1">
        <v>46224</v>
      </c>
      <c r="J295" t="s">
        <v>1989</v>
      </c>
      <c r="K295" t="s">
        <v>3099</v>
      </c>
      <c r="L295" s="1">
        <v>46224.918321759258</v>
      </c>
      <c r="M295" s="1">
        <v>46224.91962439815</v>
      </c>
    </row>
    <row r="296" spans="1:13" x14ac:dyDescent="0.35">
      <c r="A296" t="s">
        <v>18</v>
      </c>
      <c r="B296" t="s">
        <v>1986</v>
      </c>
      <c r="C296" t="s">
        <v>2070</v>
      </c>
      <c r="D296">
        <v>0</v>
      </c>
      <c r="E296" s="1">
        <v>51728</v>
      </c>
      <c r="F296" t="s">
        <v>1988</v>
      </c>
      <c r="G296" t="s">
        <v>2070</v>
      </c>
      <c r="H296" t="s">
        <v>2</v>
      </c>
      <c r="I296" s="1">
        <v>46224</v>
      </c>
      <c r="J296" t="s">
        <v>1991</v>
      </c>
      <c r="K296" t="s">
        <v>4060</v>
      </c>
      <c r="L296" s="1">
        <v>46224.918321759258</v>
      </c>
      <c r="M296" s="1">
        <v>46224.91962439815</v>
      </c>
    </row>
    <row r="297" spans="1:13" x14ac:dyDescent="0.35">
      <c r="A297" t="s">
        <v>18</v>
      </c>
      <c r="B297" t="s">
        <v>1986</v>
      </c>
      <c r="C297" t="s">
        <v>2070</v>
      </c>
      <c r="D297">
        <v>0</v>
      </c>
      <c r="E297" s="1">
        <v>51728</v>
      </c>
      <c r="F297" t="s">
        <v>1988</v>
      </c>
      <c r="G297" t="s">
        <v>2070</v>
      </c>
      <c r="H297" t="s">
        <v>2</v>
      </c>
      <c r="I297" s="1">
        <v>46224</v>
      </c>
      <c r="J297" t="s">
        <v>1989</v>
      </c>
      <c r="K297" t="s">
        <v>3268</v>
      </c>
      <c r="L297" s="1">
        <v>46224.918321759258</v>
      </c>
      <c r="M297" s="1">
        <v>46224.91962439815</v>
      </c>
    </row>
    <row r="298" spans="1:13" x14ac:dyDescent="0.35">
      <c r="A298" t="s">
        <v>19</v>
      </c>
      <c r="B298" t="s">
        <v>1986</v>
      </c>
      <c r="C298" t="s">
        <v>2071</v>
      </c>
      <c r="D298">
        <v>0</v>
      </c>
      <c r="E298" s="1">
        <v>51820</v>
      </c>
      <c r="F298" t="s">
        <v>1988</v>
      </c>
      <c r="G298" t="s">
        <v>2071</v>
      </c>
      <c r="H298" t="s">
        <v>2</v>
      </c>
      <c r="I298" s="1">
        <v>46224</v>
      </c>
      <c r="J298" t="s">
        <v>1989</v>
      </c>
      <c r="K298" t="s">
        <v>3427</v>
      </c>
      <c r="L298" s="1">
        <v>46224.918321759258</v>
      </c>
      <c r="M298" s="1">
        <v>46224.91962439815</v>
      </c>
    </row>
    <row r="299" spans="1:13" x14ac:dyDescent="0.35">
      <c r="A299" t="s">
        <v>19</v>
      </c>
      <c r="B299" t="s">
        <v>1986</v>
      </c>
      <c r="C299" t="s">
        <v>2071</v>
      </c>
      <c r="D299">
        <v>0</v>
      </c>
      <c r="E299" s="1">
        <v>51820</v>
      </c>
      <c r="F299" t="s">
        <v>1988</v>
      </c>
      <c r="G299" t="s">
        <v>2071</v>
      </c>
      <c r="H299" t="s">
        <v>2</v>
      </c>
      <c r="I299" s="1">
        <v>46224</v>
      </c>
      <c r="J299" t="s">
        <v>1991</v>
      </c>
      <c r="K299" t="s">
        <v>3269</v>
      </c>
      <c r="L299" s="1">
        <v>46224.918321759258</v>
      </c>
      <c r="M299" s="1">
        <v>46224.91962439815</v>
      </c>
    </row>
    <row r="300" spans="1:13" x14ac:dyDescent="0.35">
      <c r="A300" t="s">
        <v>20</v>
      </c>
      <c r="B300" t="s">
        <v>1986</v>
      </c>
      <c r="C300" t="s">
        <v>1997</v>
      </c>
      <c r="D300">
        <v>0</v>
      </c>
      <c r="E300" s="1">
        <v>51912</v>
      </c>
      <c r="F300" t="s">
        <v>1988</v>
      </c>
      <c r="G300" t="s">
        <v>1997</v>
      </c>
      <c r="H300" t="s">
        <v>2</v>
      </c>
      <c r="I300" s="1">
        <v>46224</v>
      </c>
      <c r="J300" t="s">
        <v>1989</v>
      </c>
      <c r="K300" t="s">
        <v>3100</v>
      </c>
      <c r="L300" s="1">
        <v>46224.918321759258</v>
      </c>
      <c r="M300" s="1">
        <v>46224.91962439815</v>
      </c>
    </row>
    <row r="301" spans="1:13" x14ac:dyDescent="0.35">
      <c r="A301" t="s">
        <v>20</v>
      </c>
      <c r="B301" t="s">
        <v>1986</v>
      </c>
      <c r="C301" t="s">
        <v>1997</v>
      </c>
      <c r="D301">
        <v>0</v>
      </c>
      <c r="E301" s="1">
        <v>51912</v>
      </c>
      <c r="F301" t="s">
        <v>1988</v>
      </c>
      <c r="G301" t="s">
        <v>1997</v>
      </c>
      <c r="H301" t="s">
        <v>2</v>
      </c>
      <c r="I301" s="1">
        <v>46224</v>
      </c>
      <c r="J301" t="s">
        <v>1991</v>
      </c>
      <c r="K301" t="s">
        <v>3101</v>
      </c>
      <c r="L301" s="1">
        <v>46224.918321759258</v>
      </c>
      <c r="M301" s="1">
        <v>46224.91962439815</v>
      </c>
    </row>
    <row r="302" spans="1:13" x14ac:dyDescent="0.35">
      <c r="A302" t="s">
        <v>45</v>
      </c>
      <c r="B302" t="s">
        <v>1986</v>
      </c>
      <c r="C302" t="s">
        <v>2027</v>
      </c>
      <c r="D302">
        <v>0</v>
      </c>
      <c r="E302" s="1">
        <v>52001</v>
      </c>
      <c r="F302" t="s">
        <v>1988</v>
      </c>
      <c r="G302" t="s">
        <v>2027</v>
      </c>
      <c r="H302" t="s">
        <v>2</v>
      </c>
      <c r="I302" s="1">
        <v>46224</v>
      </c>
      <c r="J302" t="s">
        <v>1989</v>
      </c>
      <c r="K302" t="s">
        <v>4061</v>
      </c>
      <c r="L302" s="1">
        <v>46224.918321759258</v>
      </c>
      <c r="M302" s="1">
        <v>46224.91962439815</v>
      </c>
    </row>
    <row r="303" spans="1:13" x14ac:dyDescent="0.35">
      <c r="A303" t="s">
        <v>45</v>
      </c>
      <c r="B303" t="s">
        <v>1986</v>
      </c>
      <c r="C303" t="s">
        <v>2027</v>
      </c>
      <c r="D303">
        <v>0</v>
      </c>
      <c r="E303" s="1">
        <v>52001</v>
      </c>
      <c r="F303" t="s">
        <v>1988</v>
      </c>
      <c r="G303" t="s">
        <v>2027</v>
      </c>
      <c r="H303" t="s">
        <v>2</v>
      </c>
      <c r="I303" s="1">
        <v>46224</v>
      </c>
      <c r="J303" t="s">
        <v>1991</v>
      </c>
      <c r="K303" t="s">
        <v>3270</v>
      </c>
      <c r="L303" s="1">
        <v>46224.918321759258</v>
      </c>
      <c r="M303" s="1">
        <v>46224.91962439815</v>
      </c>
    </row>
    <row r="304" spans="1:13" x14ac:dyDescent="0.35">
      <c r="A304" t="s">
        <v>128</v>
      </c>
      <c r="B304" t="s">
        <v>1986</v>
      </c>
      <c r="C304" t="s">
        <v>2072</v>
      </c>
      <c r="D304">
        <v>0</v>
      </c>
      <c r="E304" s="1">
        <v>52093</v>
      </c>
      <c r="F304" t="s">
        <v>1988</v>
      </c>
      <c r="G304" t="s">
        <v>2072</v>
      </c>
      <c r="H304" t="s">
        <v>2</v>
      </c>
      <c r="I304" s="1">
        <v>46224</v>
      </c>
      <c r="J304" t="s">
        <v>1991</v>
      </c>
      <c r="K304" t="s">
        <v>3123</v>
      </c>
      <c r="L304" s="1">
        <v>46224.918321759258</v>
      </c>
      <c r="M304" s="1">
        <v>46224.91962439815</v>
      </c>
    </row>
    <row r="305" spans="1:13" x14ac:dyDescent="0.35">
      <c r="A305" t="s">
        <v>128</v>
      </c>
      <c r="B305" t="s">
        <v>1986</v>
      </c>
      <c r="C305" t="s">
        <v>2072</v>
      </c>
      <c r="D305">
        <v>0</v>
      </c>
      <c r="E305" s="1">
        <v>52093</v>
      </c>
      <c r="F305" t="s">
        <v>1988</v>
      </c>
      <c r="G305" t="s">
        <v>2072</v>
      </c>
      <c r="H305" t="s">
        <v>2</v>
      </c>
      <c r="I305" s="1">
        <v>46224</v>
      </c>
      <c r="J305" t="s">
        <v>1989</v>
      </c>
      <c r="K305" t="s">
        <v>4062</v>
      </c>
      <c r="L305" s="1">
        <v>46224.918321759258</v>
      </c>
      <c r="M305" s="1">
        <v>46224.91962439815</v>
      </c>
    </row>
    <row r="306" spans="1:13" x14ac:dyDescent="0.35">
      <c r="A306" t="s">
        <v>46</v>
      </c>
      <c r="B306" t="s">
        <v>1986</v>
      </c>
      <c r="C306" t="s">
        <v>2085</v>
      </c>
      <c r="D306">
        <v>0</v>
      </c>
      <c r="E306" s="1">
        <v>52185</v>
      </c>
      <c r="F306" t="s">
        <v>1988</v>
      </c>
      <c r="G306" t="s">
        <v>2085</v>
      </c>
      <c r="H306" t="s">
        <v>2</v>
      </c>
      <c r="I306" s="1">
        <v>46224</v>
      </c>
      <c r="J306" t="s">
        <v>1991</v>
      </c>
      <c r="K306" t="s">
        <v>3153</v>
      </c>
      <c r="L306" s="1">
        <v>46224.918321759258</v>
      </c>
      <c r="M306" s="1">
        <v>46224.91962439815</v>
      </c>
    </row>
    <row r="307" spans="1:13" x14ac:dyDescent="0.35">
      <c r="A307" t="s">
        <v>46</v>
      </c>
      <c r="B307" t="s">
        <v>1986</v>
      </c>
      <c r="C307" t="s">
        <v>2085</v>
      </c>
      <c r="D307">
        <v>0</v>
      </c>
      <c r="E307" s="1">
        <v>52185</v>
      </c>
      <c r="F307" t="s">
        <v>1988</v>
      </c>
      <c r="G307" t="s">
        <v>2085</v>
      </c>
      <c r="H307" t="s">
        <v>2</v>
      </c>
      <c r="I307" s="1">
        <v>46224</v>
      </c>
      <c r="J307" t="s">
        <v>1989</v>
      </c>
      <c r="K307" t="s">
        <v>4063</v>
      </c>
      <c r="L307" s="1">
        <v>46224.918321759258</v>
      </c>
      <c r="M307" s="1">
        <v>46224.91962439815</v>
      </c>
    </row>
    <row r="308" spans="1:13" x14ac:dyDescent="0.35">
      <c r="A308" t="s">
        <v>81</v>
      </c>
      <c r="B308" t="s">
        <v>1986</v>
      </c>
      <c r="C308" t="s">
        <v>2092</v>
      </c>
      <c r="D308">
        <v>0</v>
      </c>
      <c r="E308" s="1">
        <v>52277</v>
      </c>
      <c r="F308" t="s">
        <v>1988</v>
      </c>
      <c r="G308" t="s">
        <v>2092</v>
      </c>
      <c r="H308" t="s">
        <v>2</v>
      </c>
      <c r="I308" s="1">
        <v>46224</v>
      </c>
      <c r="J308" t="s">
        <v>1991</v>
      </c>
      <c r="K308" t="s">
        <v>3124</v>
      </c>
      <c r="L308" s="1">
        <v>46224.918321759258</v>
      </c>
      <c r="M308" s="1">
        <v>46224.91962439815</v>
      </c>
    </row>
    <row r="309" spans="1:13" x14ac:dyDescent="0.35">
      <c r="A309" t="s">
        <v>81</v>
      </c>
      <c r="B309" t="s">
        <v>1986</v>
      </c>
      <c r="C309" t="s">
        <v>2092</v>
      </c>
      <c r="D309">
        <v>0</v>
      </c>
      <c r="E309" s="1">
        <v>52277</v>
      </c>
      <c r="F309" t="s">
        <v>1988</v>
      </c>
      <c r="G309" t="s">
        <v>2092</v>
      </c>
      <c r="H309" t="s">
        <v>2</v>
      </c>
      <c r="I309" s="1">
        <v>46224</v>
      </c>
      <c r="J309" t="s">
        <v>1989</v>
      </c>
      <c r="K309" t="s">
        <v>3179</v>
      </c>
      <c r="L309" s="1">
        <v>46224.918321759258</v>
      </c>
      <c r="M309" s="1">
        <v>46224.91962439815</v>
      </c>
    </row>
    <row r="310" spans="1:13" x14ac:dyDescent="0.35">
      <c r="A310" t="s">
        <v>82</v>
      </c>
      <c r="B310" t="s">
        <v>1986</v>
      </c>
      <c r="C310" t="s">
        <v>2028</v>
      </c>
      <c r="D310">
        <v>0</v>
      </c>
      <c r="E310" s="1">
        <v>52366</v>
      </c>
      <c r="F310" t="s">
        <v>1988</v>
      </c>
      <c r="G310" t="s">
        <v>2028</v>
      </c>
      <c r="H310" t="s">
        <v>2</v>
      </c>
      <c r="I310" s="1">
        <v>46224</v>
      </c>
      <c r="J310" t="s">
        <v>1989</v>
      </c>
      <c r="K310" t="s">
        <v>3072</v>
      </c>
      <c r="L310" s="1">
        <v>46224.918321759258</v>
      </c>
      <c r="M310" s="1">
        <v>46224.91962439815</v>
      </c>
    </row>
    <row r="311" spans="1:13" x14ac:dyDescent="0.35">
      <c r="A311" t="s">
        <v>82</v>
      </c>
      <c r="B311" t="s">
        <v>1986</v>
      </c>
      <c r="C311" t="s">
        <v>2028</v>
      </c>
      <c r="D311">
        <v>0</v>
      </c>
      <c r="E311" s="1">
        <v>52366</v>
      </c>
      <c r="F311" t="s">
        <v>1988</v>
      </c>
      <c r="G311" t="s">
        <v>2028</v>
      </c>
      <c r="H311" t="s">
        <v>2</v>
      </c>
      <c r="I311" s="1">
        <v>46224</v>
      </c>
      <c r="J311" t="s">
        <v>1991</v>
      </c>
      <c r="K311" t="s">
        <v>3073</v>
      </c>
      <c r="L311" s="1">
        <v>46224.918321759258</v>
      </c>
      <c r="M311" s="1">
        <v>46224.91962439815</v>
      </c>
    </row>
    <row r="312" spans="1:13" x14ac:dyDescent="0.35">
      <c r="A312" t="s">
        <v>47</v>
      </c>
      <c r="B312" t="s">
        <v>1986</v>
      </c>
      <c r="C312" t="s">
        <v>2029</v>
      </c>
      <c r="D312">
        <v>0</v>
      </c>
      <c r="E312" s="1">
        <v>52458</v>
      </c>
      <c r="F312" t="s">
        <v>1988</v>
      </c>
      <c r="G312" t="s">
        <v>2029</v>
      </c>
      <c r="H312" t="s">
        <v>2</v>
      </c>
      <c r="I312" s="1">
        <v>46224</v>
      </c>
      <c r="J312" t="s">
        <v>1991</v>
      </c>
      <c r="K312" t="s">
        <v>3154</v>
      </c>
      <c r="L312" s="1">
        <v>46224.918321759258</v>
      </c>
      <c r="M312" s="1">
        <v>46224.91962439815</v>
      </c>
    </row>
    <row r="313" spans="1:13" x14ac:dyDescent="0.35">
      <c r="A313" t="s">
        <v>47</v>
      </c>
      <c r="B313" t="s">
        <v>1986</v>
      </c>
      <c r="C313" t="s">
        <v>2029</v>
      </c>
      <c r="D313">
        <v>0</v>
      </c>
      <c r="E313" s="1">
        <v>52458</v>
      </c>
      <c r="F313" t="s">
        <v>1988</v>
      </c>
      <c r="G313" t="s">
        <v>2029</v>
      </c>
      <c r="H313" t="s">
        <v>2</v>
      </c>
      <c r="I313" s="1">
        <v>46224</v>
      </c>
      <c r="J313" t="s">
        <v>1989</v>
      </c>
      <c r="K313" t="s">
        <v>3271</v>
      </c>
      <c r="L313" s="1">
        <v>46224.918321759258</v>
      </c>
      <c r="M313" s="1">
        <v>46224.91962439815</v>
      </c>
    </row>
    <row r="314" spans="1:13" x14ac:dyDescent="0.35">
      <c r="A314" t="s">
        <v>83</v>
      </c>
      <c r="B314" t="s">
        <v>1986</v>
      </c>
      <c r="C314" t="s">
        <v>2030</v>
      </c>
      <c r="D314">
        <v>0</v>
      </c>
      <c r="E314" s="1">
        <v>52550</v>
      </c>
      <c r="F314" t="s">
        <v>1988</v>
      </c>
      <c r="G314" t="s">
        <v>2030</v>
      </c>
      <c r="H314" t="s">
        <v>2</v>
      </c>
      <c r="I314" s="1">
        <v>46224</v>
      </c>
      <c r="J314" t="s">
        <v>1989</v>
      </c>
      <c r="K314" t="s">
        <v>3074</v>
      </c>
      <c r="L314" s="1">
        <v>46224.918321759258</v>
      </c>
      <c r="M314" s="1">
        <v>46224.91962439815</v>
      </c>
    </row>
    <row r="315" spans="1:13" x14ac:dyDescent="0.35">
      <c r="A315" t="s">
        <v>83</v>
      </c>
      <c r="B315" t="s">
        <v>1986</v>
      </c>
      <c r="C315" t="s">
        <v>2030</v>
      </c>
      <c r="D315">
        <v>0</v>
      </c>
      <c r="E315" s="1">
        <v>52550</v>
      </c>
      <c r="F315" t="s">
        <v>1988</v>
      </c>
      <c r="G315" t="s">
        <v>2030</v>
      </c>
      <c r="H315" t="s">
        <v>2</v>
      </c>
      <c r="I315" s="1">
        <v>46224</v>
      </c>
      <c r="J315" t="s">
        <v>1991</v>
      </c>
      <c r="K315" t="s">
        <v>3272</v>
      </c>
      <c r="L315" s="1">
        <v>46224.918321759258</v>
      </c>
      <c r="M315" s="1">
        <v>46224.91962439815</v>
      </c>
    </row>
    <row r="316" spans="1:13" x14ac:dyDescent="0.35">
      <c r="A316" t="s">
        <v>84</v>
      </c>
      <c r="B316" t="s">
        <v>1986</v>
      </c>
      <c r="C316" t="s">
        <v>2073</v>
      </c>
      <c r="D316">
        <v>0</v>
      </c>
      <c r="E316" s="1">
        <v>52642</v>
      </c>
      <c r="F316" t="s">
        <v>1988</v>
      </c>
      <c r="G316" t="s">
        <v>2073</v>
      </c>
      <c r="H316" t="s">
        <v>2</v>
      </c>
      <c r="I316" s="1">
        <v>46224</v>
      </c>
      <c r="J316" t="s">
        <v>1989</v>
      </c>
      <c r="K316" t="s">
        <v>3125</v>
      </c>
      <c r="L316" s="1">
        <v>46224.918321759258</v>
      </c>
      <c r="M316" s="1">
        <v>46224.91962439815</v>
      </c>
    </row>
    <row r="317" spans="1:13" x14ac:dyDescent="0.35">
      <c r="A317" t="s">
        <v>84</v>
      </c>
      <c r="B317" t="s">
        <v>1986</v>
      </c>
      <c r="C317" t="s">
        <v>2073</v>
      </c>
      <c r="D317">
        <v>0</v>
      </c>
      <c r="E317" s="1">
        <v>52642</v>
      </c>
      <c r="F317" t="s">
        <v>1988</v>
      </c>
      <c r="G317" t="s">
        <v>2073</v>
      </c>
      <c r="H317" t="s">
        <v>2</v>
      </c>
      <c r="I317" s="1">
        <v>46224</v>
      </c>
      <c r="J317" t="s">
        <v>1991</v>
      </c>
      <c r="K317" t="s">
        <v>3155</v>
      </c>
      <c r="L317" s="1">
        <v>46224.918321759258</v>
      </c>
      <c r="M317" s="1">
        <v>46224.91962439815</v>
      </c>
    </row>
    <row r="318" spans="1:13" x14ac:dyDescent="0.35">
      <c r="A318" t="s">
        <v>118</v>
      </c>
      <c r="B318" t="s">
        <v>1986</v>
      </c>
      <c r="C318" t="s">
        <v>2044</v>
      </c>
      <c r="D318">
        <v>0</v>
      </c>
      <c r="E318" s="1">
        <v>52732</v>
      </c>
      <c r="F318" t="s">
        <v>1988</v>
      </c>
      <c r="G318" t="s">
        <v>2044</v>
      </c>
      <c r="H318" t="s">
        <v>2</v>
      </c>
      <c r="I318" s="1">
        <v>46224</v>
      </c>
      <c r="J318" t="s">
        <v>1991</v>
      </c>
      <c r="K318" t="s">
        <v>3075</v>
      </c>
      <c r="L318" s="1">
        <v>46224.918321759258</v>
      </c>
      <c r="M318" s="1">
        <v>46224.91962439815</v>
      </c>
    </row>
    <row r="319" spans="1:13" x14ac:dyDescent="0.35">
      <c r="A319" t="s">
        <v>118</v>
      </c>
      <c r="B319" t="s">
        <v>1986</v>
      </c>
      <c r="C319" t="s">
        <v>2044</v>
      </c>
      <c r="D319">
        <v>0</v>
      </c>
      <c r="E319" s="1">
        <v>52732</v>
      </c>
      <c r="F319" t="s">
        <v>1988</v>
      </c>
      <c r="G319" t="s">
        <v>2044</v>
      </c>
      <c r="H319" t="s">
        <v>2</v>
      </c>
      <c r="I319" s="1">
        <v>46224</v>
      </c>
      <c r="J319" t="s">
        <v>1989</v>
      </c>
      <c r="K319" t="s">
        <v>3180</v>
      </c>
      <c r="L319" s="1">
        <v>46224.918321759258</v>
      </c>
      <c r="M319" s="1">
        <v>46224.91962439815</v>
      </c>
    </row>
    <row r="320" spans="1:13" x14ac:dyDescent="0.35">
      <c r="A320" t="s">
        <v>119</v>
      </c>
      <c r="B320" t="s">
        <v>1986</v>
      </c>
      <c r="C320" t="s">
        <v>2045</v>
      </c>
      <c r="D320">
        <v>0</v>
      </c>
      <c r="E320" s="1">
        <v>52824</v>
      </c>
      <c r="F320" t="s">
        <v>1988</v>
      </c>
      <c r="G320" t="s">
        <v>2045</v>
      </c>
      <c r="H320" t="s">
        <v>2</v>
      </c>
      <c r="I320" s="1">
        <v>46224</v>
      </c>
      <c r="J320" t="s">
        <v>1989</v>
      </c>
      <c r="K320" t="s">
        <v>3126</v>
      </c>
      <c r="L320" s="1">
        <v>46224.918321759258</v>
      </c>
      <c r="M320" s="1">
        <v>46224.91962439815</v>
      </c>
    </row>
    <row r="321" spans="1:13" x14ac:dyDescent="0.35">
      <c r="A321" t="s">
        <v>119</v>
      </c>
      <c r="B321" t="s">
        <v>1986</v>
      </c>
      <c r="C321" t="s">
        <v>2045</v>
      </c>
      <c r="D321">
        <v>0</v>
      </c>
      <c r="E321" s="1">
        <v>52824</v>
      </c>
      <c r="F321" t="s">
        <v>1988</v>
      </c>
      <c r="G321" t="s">
        <v>2045</v>
      </c>
      <c r="H321" t="s">
        <v>2</v>
      </c>
      <c r="I321" s="1">
        <v>46224</v>
      </c>
      <c r="J321" t="s">
        <v>1991</v>
      </c>
      <c r="K321" t="s">
        <v>3076</v>
      </c>
      <c r="L321" s="1">
        <v>46224.918321759258</v>
      </c>
      <c r="M321" s="1">
        <v>46224.91962439815</v>
      </c>
    </row>
    <row r="322" spans="1:13" x14ac:dyDescent="0.35">
      <c r="A322" t="s">
        <v>66</v>
      </c>
      <c r="B322" t="s">
        <v>1986</v>
      </c>
      <c r="C322" t="s">
        <v>2086</v>
      </c>
      <c r="D322">
        <v>0</v>
      </c>
      <c r="E322" s="1">
        <v>52916</v>
      </c>
      <c r="F322" t="s">
        <v>1988</v>
      </c>
      <c r="G322" t="s">
        <v>2086</v>
      </c>
      <c r="H322" t="s">
        <v>2</v>
      </c>
      <c r="I322" s="1">
        <v>46224</v>
      </c>
      <c r="J322" t="s">
        <v>1989</v>
      </c>
      <c r="K322" t="s">
        <v>3181</v>
      </c>
      <c r="L322" s="1">
        <v>46224.918321759258</v>
      </c>
      <c r="M322" s="1">
        <v>46224.91962439815</v>
      </c>
    </row>
    <row r="323" spans="1:13" x14ac:dyDescent="0.35">
      <c r="A323" t="s">
        <v>66</v>
      </c>
      <c r="B323" t="s">
        <v>1986</v>
      </c>
      <c r="C323" t="s">
        <v>2086</v>
      </c>
      <c r="D323">
        <v>0</v>
      </c>
      <c r="E323" s="1">
        <v>52916</v>
      </c>
      <c r="F323" t="s">
        <v>1988</v>
      </c>
      <c r="G323" t="s">
        <v>2086</v>
      </c>
      <c r="H323" t="s">
        <v>2</v>
      </c>
      <c r="I323" s="1">
        <v>46224</v>
      </c>
      <c r="J323" t="s">
        <v>1991</v>
      </c>
      <c r="K323" t="s">
        <v>3102</v>
      </c>
      <c r="L323" s="1">
        <v>46224.918321759258</v>
      </c>
      <c r="M323" s="1">
        <v>46224.91962439815</v>
      </c>
    </row>
    <row r="324" spans="1:13" x14ac:dyDescent="0.35">
      <c r="A324" t="s">
        <v>21</v>
      </c>
      <c r="B324" t="s">
        <v>1986</v>
      </c>
      <c r="C324" t="s">
        <v>1998</v>
      </c>
      <c r="D324">
        <v>0</v>
      </c>
      <c r="E324" s="1">
        <v>53008</v>
      </c>
      <c r="F324" t="s">
        <v>1988</v>
      </c>
      <c r="G324" t="s">
        <v>1998</v>
      </c>
      <c r="H324" t="s">
        <v>2</v>
      </c>
      <c r="I324" s="1">
        <v>46224</v>
      </c>
      <c r="J324" t="s">
        <v>1991</v>
      </c>
      <c r="K324" t="s">
        <v>3428</v>
      </c>
      <c r="L324" s="1">
        <v>46224.918321759258</v>
      </c>
      <c r="M324" s="1">
        <v>46224.91962439815</v>
      </c>
    </row>
    <row r="325" spans="1:13" x14ac:dyDescent="0.35">
      <c r="A325" t="s">
        <v>21</v>
      </c>
      <c r="B325" t="s">
        <v>1986</v>
      </c>
      <c r="C325" t="s">
        <v>1998</v>
      </c>
      <c r="D325">
        <v>0</v>
      </c>
      <c r="E325" s="1">
        <v>53008</v>
      </c>
      <c r="F325" t="s">
        <v>1988</v>
      </c>
      <c r="G325" t="s">
        <v>1998</v>
      </c>
      <c r="H325" t="s">
        <v>2</v>
      </c>
      <c r="I325" s="1">
        <v>46224</v>
      </c>
      <c r="J325" t="s">
        <v>1989</v>
      </c>
      <c r="K325" t="s">
        <v>3127</v>
      </c>
      <c r="L325" s="1">
        <v>46224.918321759258</v>
      </c>
      <c r="M325" s="1">
        <v>46224.91962439815</v>
      </c>
    </row>
    <row r="326" spans="1:13" x14ac:dyDescent="0.35">
      <c r="A326" t="s">
        <v>85</v>
      </c>
      <c r="B326" t="s">
        <v>1986</v>
      </c>
      <c r="C326" t="s">
        <v>2074</v>
      </c>
      <c r="D326">
        <v>0</v>
      </c>
      <c r="E326" s="1">
        <v>53097</v>
      </c>
      <c r="F326" t="s">
        <v>1988</v>
      </c>
      <c r="G326" t="s">
        <v>2074</v>
      </c>
      <c r="H326" t="s">
        <v>2</v>
      </c>
      <c r="I326" s="1">
        <v>46224</v>
      </c>
      <c r="J326" t="s">
        <v>1991</v>
      </c>
      <c r="K326" t="s">
        <v>3182</v>
      </c>
      <c r="L326" s="1">
        <v>46224.918321759258</v>
      </c>
      <c r="M326" s="1">
        <v>46224.91962439815</v>
      </c>
    </row>
    <row r="327" spans="1:13" x14ac:dyDescent="0.35">
      <c r="A327" t="s">
        <v>85</v>
      </c>
      <c r="B327" t="s">
        <v>1986</v>
      </c>
      <c r="C327" t="s">
        <v>2074</v>
      </c>
      <c r="D327">
        <v>0</v>
      </c>
      <c r="E327" s="1">
        <v>53097</v>
      </c>
      <c r="F327" t="s">
        <v>1988</v>
      </c>
      <c r="G327" t="s">
        <v>2074</v>
      </c>
      <c r="H327" t="s">
        <v>2</v>
      </c>
      <c r="I327" s="1">
        <v>46224</v>
      </c>
      <c r="J327" t="s">
        <v>1989</v>
      </c>
      <c r="K327" t="s">
        <v>3103</v>
      </c>
      <c r="L327" s="1">
        <v>46224.918321759258</v>
      </c>
      <c r="M327" s="1">
        <v>46224.91962439815</v>
      </c>
    </row>
    <row r="328" spans="1:13" x14ac:dyDescent="0.35">
      <c r="A328" t="s">
        <v>86</v>
      </c>
      <c r="B328" t="s">
        <v>1986</v>
      </c>
      <c r="C328" t="s">
        <v>2031</v>
      </c>
      <c r="D328">
        <v>0</v>
      </c>
      <c r="E328" s="1">
        <v>53189</v>
      </c>
      <c r="F328" t="s">
        <v>1988</v>
      </c>
      <c r="G328" t="s">
        <v>2031</v>
      </c>
      <c r="H328" t="s">
        <v>2</v>
      </c>
      <c r="I328" s="1">
        <v>46224</v>
      </c>
      <c r="J328" t="s">
        <v>1991</v>
      </c>
      <c r="K328" t="s">
        <v>3077</v>
      </c>
      <c r="L328" s="1">
        <v>46224.918321759258</v>
      </c>
      <c r="M328" s="1">
        <v>46224.91962439815</v>
      </c>
    </row>
    <row r="329" spans="1:13" x14ac:dyDescent="0.35">
      <c r="A329" t="s">
        <v>86</v>
      </c>
      <c r="B329" t="s">
        <v>1986</v>
      </c>
      <c r="C329" t="s">
        <v>2031</v>
      </c>
      <c r="D329">
        <v>0</v>
      </c>
      <c r="E329" s="1">
        <v>53189</v>
      </c>
      <c r="F329" t="s">
        <v>1988</v>
      </c>
      <c r="G329" t="s">
        <v>2031</v>
      </c>
      <c r="H329" t="s">
        <v>2</v>
      </c>
      <c r="I329" s="1">
        <v>46224</v>
      </c>
      <c r="J329" t="s">
        <v>1989</v>
      </c>
      <c r="K329" t="s">
        <v>4064</v>
      </c>
      <c r="L329" s="1">
        <v>46224.918321759258</v>
      </c>
      <c r="M329" s="1">
        <v>46224.91962439815</v>
      </c>
    </row>
    <row r="330" spans="1:13" x14ac:dyDescent="0.35">
      <c r="A330" t="s">
        <v>22</v>
      </c>
      <c r="B330" t="s">
        <v>1986</v>
      </c>
      <c r="C330" t="s">
        <v>1999</v>
      </c>
      <c r="D330">
        <v>0</v>
      </c>
      <c r="E330" s="1">
        <v>53281</v>
      </c>
      <c r="F330" t="s">
        <v>1988</v>
      </c>
      <c r="G330" t="s">
        <v>1999</v>
      </c>
      <c r="H330" t="s">
        <v>2</v>
      </c>
      <c r="I330" s="1">
        <v>46224</v>
      </c>
      <c r="J330" t="s">
        <v>1989</v>
      </c>
      <c r="K330" t="s">
        <v>3156</v>
      </c>
      <c r="L330" s="1">
        <v>46224.918321759258</v>
      </c>
      <c r="M330" s="1">
        <v>46224.91962439815</v>
      </c>
    </row>
    <row r="331" spans="1:13" x14ac:dyDescent="0.35">
      <c r="A331" t="s">
        <v>22</v>
      </c>
      <c r="B331" t="s">
        <v>1986</v>
      </c>
      <c r="C331" t="s">
        <v>1999</v>
      </c>
      <c r="D331">
        <v>0</v>
      </c>
      <c r="E331" s="1">
        <v>53281</v>
      </c>
      <c r="F331" t="s">
        <v>1988</v>
      </c>
      <c r="G331" t="s">
        <v>1999</v>
      </c>
      <c r="H331" t="s">
        <v>2</v>
      </c>
      <c r="I331" s="1">
        <v>46224</v>
      </c>
      <c r="J331" t="s">
        <v>1991</v>
      </c>
      <c r="K331" t="s">
        <v>3104</v>
      </c>
      <c r="L331" s="1">
        <v>46224.918321759258</v>
      </c>
      <c r="M331" s="1">
        <v>46224.91962439815</v>
      </c>
    </row>
    <row r="332" spans="1:13" x14ac:dyDescent="0.35">
      <c r="A332" t="s">
        <v>67</v>
      </c>
      <c r="B332" t="s">
        <v>1986</v>
      </c>
      <c r="C332" t="s">
        <v>2032</v>
      </c>
      <c r="D332">
        <v>0</v>
      </c>
      <c r="E332" s="1">
        <v>53373</v>
      </c>
      <c r="F332" t="s">
        <v>1988</v>
      </c>
      <c r="G332" t="s">
        <v>2032</v>
      </c>
      <c r="H332" t="s">
        <v>2</v>
      </c>
      <c r="I332" s="1">
        <v>46224</v>
      </c>
      <c r="J332" t="s">
        <v>1991</v>
      </c>
      <c r="K332" t="s">
        <v>3128</v>
      </c>
      <c r="L332" s="1">
        <v>46224.918321759258</v>
      </c>
      <c r="M332" s="1">
        <v>46224.91962439815</v>
      </c>
    </row>
    <row r="333" spans="1:13" x14ac:dyDescent="0.35">
      <c r="A333" t="s">
        <v>67</v>
      </c>
      <c r="B333" t="s">
        <v>1986</v>
      </c>
      <c r="C333" t="s">
        <v>2032</v>
      </c>
      <c r="D333">
        <v>0</v>
      </c>
      <c r="E333" s="1">
        <v>53373</v>
      </c>
      <c r="F333" t="s">
        <v>1988</v>
      </c>
      <c r="G333" t="s">
        <v>2032</v>
      </c>
      <c r="H333" t="s">
        <v>2</v>
      </c>
      <c r="I333" s="1">
        <v>46224</v>
      </c>
      <c r="J333" t="s">
        <v>1989</v>
      </c>
      <c r="K333" t="s">
        <v>3105</v>
      </c>
      <c r="L333" s="1">
        <v>46224.918321759258</v>
      </c>
      <c r="M333" s="1">
        <v>46224.91962439815</v>
      </c>
    </row>
    <row r="334" spans="1:13" x14ac:dyDescent="0.35">
      <c r="A334" t="s">
        <v>23</v>
      </c>
      <c r="B334" t="s">
        <v>1986</v>
      </c>
      <c r="C334" t="s">
        <v>2075</v>
      </c>
      <c r="D334">
        <v>0</v>
      </c>
      <c r="E334" s="1">
        <v>53462</v>
      </c>
      <c r="F334" t="s">
        <v>1988</v>
      </c>
      <c r="G334" t="s">
        <v>2075</v>
      </c>
      <c r="H334" t="s">
        <v>2</v>
      </c>
      <c r="I334" s="1">
        <v>46224</v>
      </c>
      <c r="J334" t="s">
        <v>1991</v>
      </c>
      <c r="K334" t="s">
        <v>3157</v>
      </c>
      <c r="L334" s="1">
        <v>46224.918321759258</v>
      </c>
      <c r="M334" s="1">
        <v>46224.91962439815</v>
      </c>
    </row>
    <row r="335" spans="1:13" x14ac:dyDescent="0.35">
      <c r="A335" t="s">
        <v>23</v>
      </c>
      <c r="B335" t="s">
        <v>1986</v>
      </c>
      <c r="C335" t="s">
        <v>2075</v>
      </c>
      <c r="D335">
        <v>0</v>
      </c>
      <c r="E335" s="1">
        <v>53462</v>
      </c>
      <c r="F335" t="s">
        <v>1988</v>
      </c>
      <c r="G335" t="s">
        <v>2075</v>
      </c>
      <c r="H335" t="s">
        <v>2</v>
      </c>
      <c r="I335" s="1">
        <v>46224</v>
      </c>
      <c r="J335" t="s">
        <v>1989</v>
      </c>
      <c r="K335" t="s">
        <v>3106</v>
      </c>
      <c r="L335" s="1">
        <v>46224.918321759258</v>
      </c>
      <c r="M335" s="1">
        <v>46224.91962439815</v>
      </c>
    </row>
    <row r="336" spans="1:13" x14ac:dyDescent="0.35">
      <c r="A336" t="s">
        <v>68</v>
      </c>
      <c r="B336" t="s">
        <v>1986</v>
      </c>
      <c r="C336" t="s">
        <v>2046</v>
      </c>
      <c r="D336">
        <v>0</v>
      </c>
      <c r="E336" s="1">
        <v>53554</v>
      </c>
      <c r="F336" t="s">
        <v>1988</v>
      </c>
      <c r="G336" t="s">
        <v>2046</v>
      </c>
      <c r="H336" t="s">
        <v>2</v>
      </c>
      <c r="I336" s="1">
        <v>46224</v>
      </c>
      <c r="J336" t="s">
        <v>1989</v>
      </c>
      <c r="K336" t="s">
        <v>3183</v>
      </c>
      <c r="L336" s="1">
        <v>46224.918321759258</v>
      </c>
      <c r="M336" s="1">
        <v>46224.91962439815</v>
      </c>
    </row>
    <row r="337" spans="1:13" x14ac:dyDescent="0.35">
      <c r="A337" t="s">
        <v>68</v>
      </c>
      <c r="B337" t="s">
        <v>1986</v>
      </c>
      <c r="C337" t="s">
        <v>2046</v>
      </c>
      <c r="D337">
        <v>0</v>
      </c>
      <c r="E337" s="1">
        <v>53554</v>
      </c>
      <c r="F337" t="s">
        <v>1988</v>
      </c>
      <c r="G337" t="s">
        <v>2046</v>
      </c>
      <c r="H337" t="s">
        <v>2</v>
      </c>
      <c r="I337" s="1">
        <v>46224</v>
      </c>
      <c r="J337" t="s">
        <v>1991</v>
      </c>
      <c r="K337" t="s">
        <v>3107</v>
      </c>
      <c r="L337" s="1">
        <v>46224.918321759258</v>
      </c>
      <c r="M337" s="1">
        <v>46224.91962439815</v>
      </c>
    </row>
    <row r="338" spans="1:13" x14ac:dyDescent="0.35">
      <c r="A338" t="s">
        <v>87</v>
      </c>
      <c r="B338" t="s">
        <v>1986</v>
      </c>
      <c r="C338" t="s">
        <v>2047</v>
      </c>
      <c r="D338">
        <v>0</v>
      </c>
      <c r="E338" s="1">
        <v>53646</v>
      </c>
      <c r="F338" t="s">
        <v>1988</v>
      </c>
      <c r="G338" t="s">
        <v>2047</v>
      </c>
      <c r="H338" t="s">
        <v>2</v>
      </c>
      <c r="I338" s="1">
        <v>46224</v>
      </c>
      <c r="J338" t="s">
        <v>1991</v>
      </c>
      <c r="K338" t="s">
        <v>3184</v>
      </c>
      <c r="L338" s="1">
        <v>46224.918321759258</v>
      </c>
      <c r="M338" s="1">
        <v>46224.91962439815</v>
      </c>
    </row>
    <row r="339" spans="1:13" x14ac:dyDescent="0.35">
      <c r="A339" t="s">
        <v>87</v>
      </c>
      <c r="B339" t="s">
        <v>1986</v>
      </c>
      <c r="C339" t="s">
        <v>2047</v>
      </c>
      <c r="D339">
        <v>0</v>
      </c>
      <c r="E339" s="1">
        <v>53646</v>
      </c>
      <c r="F339" t="s">
        <v>1988</v>
      </c>
      <c r="G339" t="s">
        <v>2047</v>
      </c>
      <c r="H339" t="s">
        <v>2</v>
      </c>
      <c r="I339" s="1">
        <v>46224</v>
      </c>
      <c r="J339" t="s">
        <v>1989</v>
      </c>
      <c r="K339" t="s">
        <v>3158</v>
      </c>
      <c r="L339" s="1">
        <v>46224.918321759258</v>
      </c>
      <c r="M339" s="1">
        <v>46224.91962439815</v>
      </c>
    </row>
    <row r="340" spans="1:13" x14ac:dyDescent="0.35">
      <c r="A340" t="s">
        <v>88</v>
      </c>
      <c r="B340" t="s">
        <v>1986</v>
      </c>
      <c r="C340" t="s">
        <v>2000</v>
      </c>
      <c r="D340">
        <v>0</v>
      </c>
      <c r="E340" s="1">
        <v>53738</v>
      </c>
      <c r="F340" t="s">
        <v>1988</v>
      </c>
      <c r="G340" t="s">
        <v>2000</v>
      </c>
      <c r="H340" t="s">
        <v>2</v>
      </c>
      <c r="I340" s="1">
        <v>46224</v>
      </c>
      <c r="J340" t="s">
        <v>1989</v>
      </c>
      <c r="K340" t="s">
        <v>4065</v>
      </c>
      <c r="L340" s="1">
        <v>46224.918321759258</v>
      </c>
      <c r="M340" s="1">
        <v>46224.91962439815</v>
      </c>
    </row>
    <row r="341" spans="1:13" x14ac:dyDescent="0.35">
      <c r="A341" t="s">
        <v>88</v>
      </c>
      <c r="B341" t="s">
        <v>1986</v>
      </c>
      <c r="C341" t="s">
        <v>2000</v>
      </c>
      <c r="D341">
        <v>0</v>
      </c>
      <c r="E341" s="1">
        <v>53738</v>
      </c>
      <c r="F341" t="s">
        <v>1988</v>
      </c>
      <c r="G341" t="s">
        <v>2000</v>
      </c>
      <c r="H341" t="s">
        <v>2</v>
      </c>
      <c r="I341" s="1">
        <v>46224</v>
      </c>
      <c r="J341" t="s">
        <v>1991</v>
      </c>
      <c r="K341" t="s">
        <v>3273</v>
      </c>
      <c r="L341" s="1">
        <v>46224.918321759258</v>
      </c>
      <c r="M341" s="1">
        <v>46224.91962439815</v>
      </c>
    </row>
    <row r="342" spans="1:13" x14ac:dyDescent="0.35">
      <c r="A342" t="s">
        <v>48</v>
      </c>
      <c r="B342" t="s">
        <v>1986</v>
      </c>
      <c r="C342" t="s">
        <v>2001</v>
      </c>
      <c r="D342">
        <v>0</v>
      </c>
      <c r="E342" s="1">
        <v>53827</v>
      </c>
      <c r="F342" t="s">
        <v>1988</v>
      </c>
      <c r="G342" t="s">
        <v>2001</v>
      </c>
      <c r="H342" t="s">
        <v>2</v>
      </c>
      <c r="I342" s="1">
        <v>46224</v>
      </c>
      <c r="J342" t="s">
        <v>1989</v>
      </c>
      <c r="K342" t="s">
        <v>3108</v>
      </c>
      <c r="L342" s="1">
        <v>46224.918321759258</v>
      </c>
      <c r="M342" s="1">
        <v>46224.91962439815</v>
      </c>
    </row>
    <row r="343" spans="1:13" x14ac:dyDescent="0.35">
      <c r="A343" t="s">
        <v>48</v>
      </c>
      <c r="B343" t="s">
        <v>1986</v>
      </c>
      <c r="C343" t="s">
        <v>2001</v>
      </c>
      <c r="D343">
        <v>0</v>
      </c>
      <c r="E343" s="1">
        <v>53827</v>
      </c>
      <c r="F343" t="s">
        <v>1988</v>
      </c>
      <c r="G343" t="s">
        <v>2001</v>
      </c>
      <c r="H343" t="s">
        <v>2</v>
      </c>
      <c r="I343" s="1">
        <v>46224</v>
      </c>
      <c r="J343" t="s">
        <v>1991</v>
      </c>
      <c r="K343" t="s">
        <v>4066</v>
      </c>
      <c r="L343" s="1">
        <v>46224.918321759258</v>
      </c>
      <c r="M343" s="1">
        <v>46224.91962439815</v>
      </c>
    </row>
    <row r="344" spans="1:13" x14ac:dyDescent="0.35">
      <c r="A344" t="s">
        <v>69</v>
      </c>
      <c r="B344" t="s">
        <v>1986</v>
      </c>
      <c r="C344" t="s">
        <v>2033</v>
      </c>
      <c r="D344">
        <v>0</v>
      </c>
      <c r="E344" s="1">
        <v>53919</v>
      </c>
      <c r="F344" t="s">
        <v>1988</v>
      </c>
      <c r="G344" t="s">
        <v>2033</v>
      </c>
      <c r="H344" t="s">
        <v>2</v>
      </c>
      <c r="I344" s="1">
        <v>46224</v>
      </c>
      <c r="J344" t="s">
        <v>1989</v>
      </c>
      <c r="K344" t="s">
        <v>3159</v>
      </c>
      <c r="L344" s="1">
        <v>46224.918321759258</v>
      </c>
      <c r="M344" s="1">
        <v>46224.91962439815</v>
      </c>
    </row>
    <row r="345" spans="1:13" x14ac:dyDescent="0.35">
      <c r="A345" t="s">
        <v>69</v>
      </c>
      <c r="B345" t="s">
        <v>1986</v>
      </c>
      <c r="C345" t="s">
        <v>2033</v>
      </c>
      <c r="D345">
        <v>0</v>
      </c>
      <c r="E345" s="1">
        <v>53919</v>
      </c>
      <c r="F345" t="s">
        <v>1988</v>
      </c>
      <c r="G345" t="s">
        <v>2033</v>
      </c>
      <c r="H345" t="s">
        <v>2</v>
      </c>
      <c r="I345" s="1">
        <v>46224</v>
      </c>
      <c r="J345" t="s">
        <v>1991</v>
      </c>
      <c r="K345" t="s">
        <v>4067</v>
      </c>
      <c r="L345" s="1">
        <v>46224.918321759258</v>
      </c>
      <c r="M345" s="1">
        <v>46224.91962439815</v>
      </c>
    </row>
    <row r="346" spans="1:13" x14ac:dyDescent="0.35">
      <c r="A346" t="s">
        <v>138</v>
      </c>
      <c r="B346" t="s">
        <v>1986</v>
      </c>
      <c r="C346" t="s">
        <v>2034</v>
      </c>
      <c r="D346">
        <v>0</v>
      </c>
      <c r="E346" s="1">
        <v>54011</v>
      </c>
      <c r="F346" t="s">
        <v>1988</v>
      </c>
      <c r="G346" t="s">
        <v>2034</v>
      </c>
      <c r="H346" t="s">
        <v>2</v>
      </c>
      <c r="I346" s="1">
        <v>46224</v>
      </c>
      <c r="J346" t="s">
        <v>1991</v>
      </c>
      <c r="K346" t="s">
        <v>3129</v>
      </c>
      <c r="L346" s="1">
        <v>46224.918321759258</v>
      </c>
      <c r="M346" s="1">
        <v>46224.91962439815</v>
      </c>
    </row>
    <row r="347" spans="1:13" x14ac:dyDescent="0.35">
      <c r="A347" t="s">
        <v>138</v>
      </c>
      <c r="B347" t="s">
        <v>1986</v>
      </c>
      <c r="C347" t="s">
        <v>2034</v>
      </c>
      <c r="D347">
        <v>0</v>
      </c>
      <c r="E347" s="1">
        <v>54011</v>
      </c>
      <c r="F347" t="s">
        <v>1988</v>
      </c>
      <c r="G347" t="s">
        <v>2034</v>
      </c>
      <c r="H347" t="s">
        <v>2</v>
      </c>
      <c r="I347" s="1">
        <v>46224</v>
      </c>
      <c r="J347" t="s">
        <v>1989</v>
      </c>
      <c r="K347" t="s">
        <v>3274</v>
      </c>
      <c r="L347" s="1">
        <v>46224.918321759258</v>
      </c>
      <c r="M347" s="1">
        <v>46224.91962439815</v>
      </c>
    </row>
    <row r="348" spans="1:13" x14ac:dyDescent="0.35">
      <c r="A348" t="s">
        <v>89</v>
      </c>
      <c r="B348" t="s">
        <v>1986</v>
      </c>
      <c r="C348" t="s">
        <v>2048</v>
      </c>
      <c r="D348">
        <v>0</v>
      </c>
      <c r="E348" s="1">
        <v>54103</v>
      </c>
      <c r="F348" t="s">
        <v>1988</v>
      </c>
      <c r="G348" t="s">
        <v>2048</v>
      </c>
      <c r="H348" t="s">
        <v>2</v>
      </c>
      <c r="I348" s="1">
        <v>46224</v>
      </c>
      <c r="J348" t="s">
        <v>1989</v>
      </c>
      <c r="K348" t="s">
        <v>4068</v>
      </c>
      <c r="L348" s="1">
        <v>46224.918321759258</v>
      </c>
      <c r="M348" s="1">
        <v>46224.91962439815</v>
      </c>
    </row>
    <row r="349" spans="1:13" x14ac:dyDescent="0.35">
      <c r="A349" t="s">
        <v>89</v>
      </c>
      <c r="B349" t="s">
        <v>1986</v>
      </c>
      <c r="C349" t="s">
        <v>2048</v>
      </c>
      <c r="D349">
        <v>0</v>
      </c>
      <c r="E349" s="1">
        <v>54103</v>
      </c>
      <c r="F349" t="s">
        <v>1988</v>
      </c>
      <c r="G349" t="s">
        <v>2048</v>
      </c>
      <c r="H349" t="s">
        <v>2</v>
      </c>
      <c r="I349" s="1">
        <v>46224</v>
      </c>
      <c r="J349" t="s">
        <v>1991</v>
      </c>
      <c r="K349" t="s">
        <v>4069</v>
      </c>
      <c r="L349" s="1">
        <v>46224.918321759258</v>
      </c>
      <c r="M349" s="1">
        <v>46224.91962439815</v>
      </c>
    </row>
    <row r="350" spans="1:13" x14ac:dyDescent="0.35">
      <c r="A350" t="s">
        <v>120</v>
      </c>
      <c r="B350" t="s">
        <v>1986</v>
      </c>
      <c r="C350" t="s">
        <v>2093</v>
      </c>
      <c r="D350">
        <v>0</v>
      </c>
      <c r="E350" s="1">
        <v>54193</v>
      </c>
      <c r="F350" t="s">
        <v>1988</v>
      </c>
      <c r="G350" t="s">
        <v>2093</v>
      </c>
      <c r="H350" t="s">
        <v>2</v>
      </c>
      <c r="I350" s="1">
        <v>46224</v>
      </c>
      <c r="J350" t="s">
        <v>1991</v>
      </c>
      <c r="K350" t="s">
        <v>3429</v>
      </c>
      <c r="L350" s="1">
        <v>46224.918321759258</v>
      </c>
      <c r="M350" s="1">
        <v>46224.91962439815</v>
      </c>
    </row>
    <row r="351" spans="1:13" x14ac:dyDescent="0.35">
      <c r="A351" t="s">
        <v>120</v>
      </c>
      <c r="B351" t="s">
        <v>1986</v>
      </c>
      <c r="C351" t="s">
        <v>2093</v>
      </c>
      <c r="D351">
        <v>0</v>
      </c>
      <c r="E351" s="1">
        <v>54193</v>
      </c>
      <c r="F351" t="s">
        <v>1988</v>
      </c>
      <c r="G351" t="s">
        <v>2093</v>
      </c>
      <c r="H351" t="s">
        <v>2</v>
      </c>
      <c r="I351" s="1">
        <v>46224</v>
      </c>
      <c r="J351" t="s">
        <v>1989</v>
      </c>
      <c r="K351" t="s">
        <v>3185</v>
      </c>
      <c r="L351" s="1">
        <v>46224.918321759258</v>
      </c>
      <c r="M351" s="1">
        <v>46224.91962439815</v>
      </c>
    </row>
    <row r="352" spans="1:13" x14ac:dyDescent="0.35">
      <c r="A352" t="s">
        <v>375</v>
      </c>
      <c r="B352" t="s">
        <v>1986</v>
      </c>
      <c r="C352" t="s">
        <v>2811</v>
      </c>
      <c r="D352">
        <v>0</v>
      </c>
      <c r="E352" s="1">
        <v>54285</v>
      </c>
      <c r="F352" t="s">
        <v>1988</v>
      </c>
      <c r="G352" t="s">
        <v>2811</v>
      </c>
      <c r="H352" t="s">
        <v>2</v>
      </c>
      <c r="I352" s="1">
        <v>46224</v>
      </c>
      <c r="J352" t="s">
        <v>1989</v>
      </c>
      <c r="K352" t="s">
        <v>4070</v>
      </c>
      <c r="L352" s="1">
        <v>46224.918321759258</v>
      </c>
      <c r="M352" s="1">
        <v>46224.91962439815</v>
      </c>
    </row>
    <row r="353" spans="1:13" x14ac:dyDescent="0.35">
      <c r="A353" t="s">
        <v>375</v>
      </c>
      <c r="B353" t="s">
        <v>1986</v>
      </c>
      <c r="C353" t="s">
        <v>2811</v>
      </c>
      <c r="D353">
        <v>0</v>
      </c>
      <c r="E353" s="1">
        <v>54285</v>
      </c>
      <c r="F353" t="s">
        <v>1988</v>
      </c>
      <c r="G353" t="s">
        <v>2811</v>
      </c>
      <c r="H353" t="s">
        <v>2</v>
      </c>
      <c r="I353" s="1">
        <v>46224</v>
      </c>
      <c r="J353" t="s">
        <v>1991</v>
      </c>
      <c r="K353" t="s">
        <v>4071</v>
      </c>
      <c r="L353" s="1">
        <v>46224.918321759258</v>
      </c>
      <c r="M353" s="1">
        <v>46224.91962439815</v>
      </c>
    </row>
    <row r="354" spans="1:13" x14ac:dyDescent="0.35">
      <c r="A354" t="s">
        <v>24</v>
      </c>
      <c r="B354" t="s">
        <v>1986</v>
      </c>
      <c r="C354" t="s">
        <v>2002</v>
      </c>
      <c r="D354">
        <v>0</v>
      </c>
      <c r="E354" s="1">
        <v>54377</v>
      </c>
      <c r="F354" t="s">
        <v>1988</v>
      </c>
      <c r="G354" t="s">
        <v>2002</v>
      </c>
      <c r="H354" t="s">
        <v>2</v>
      </c>
      <c r="I354" s="1">
        <v>46224</v>
      </c>
      <c r="J354" t="s">
        <v>1989</v>
      </c>
      <c r="K354" t="s">
        <v>3130</v>
      </c>
      <c r="L354" s="1">
        <v>46224.918321759258</v>
      </c>
      <c r="M354" s="1">
        <v>46224.91962439815</v>
      </c>
    </row>
    <row r="355" spans="1:13" x14ac:dyDescent="0.35">
      <c r="A355" t="s">
        <v>24</v>
      </c>
      <c r="B355" t="s">
        <v>1986</v>
      </c>
      <c r="C355" t="s">
        <v>2002</v>
      </c>
      <c r="D355">
        <v>0</v>
      </c>
      <c r="E355" s="1">
        <v>54377</v>
      </c>
      <c r="F355" t="s">
        <v>1988</v>
      </c>
      <c r="G355" t="s">
        <v>2002</v>
      </c>
      <c r="H355" t="s">
        <v>2</v>
      </c>
      <c r="I355" s="1">
        <v>46224</v>
      </c>
      <c r="J355" t="s">
        <v>1991</v>
      </c>
      <c r="K355" t="s">
        <v>3078</v>
      </c>
      <c r="L355" s="1">
        <v>46224.918321759258</v>
      </c>
      <c r="M355" s="1">
        <v>46224.91962439815</v>
      </c>
    </row>
    <row r="356" spans="1:13" x14ac:dyDescent="0.35">
      <c r="A356" t="s">
        <v>25</v>
      </c>
      <c r="B356" t="s">
        <v>1986</v>
      </c>
      <c r="C356" t="s">
        <v>2049</v>
      </c>
      <c r="D356">
        <v>0</v>
      </c>
      <c r="E356" s="1">
        <v>54469</v>
      </c>
      <c r="F356" t="s">
        <v>1988</v>
      </c>
      <c r="G356" t="s">
        <v>2049</v>
      </c>
      <c r="H356" t="s">
        <v>2</v>
      </c>
      <c r="I356" s="1">
        <v>46224</v>
      </c>
      <c r="J356" t="s">
        <v>1989</v>
      </c>
      <c r="K356" t="s">
        <v>3079</v>
      </c>
      <c r="L356" s="1">
        <v>46224.918321759258</v>
      </c>
      <c r="M356" s="1">
        <v>46224.91962439815</v>
      </c>
    </row>
    <row r="357" spans="1:13" x14ac:dyDescent="0.35">
      <c r="A357" t="s">
        <v>25</v>
      </c>
      <c r="B357" t="s">
        <v>1986</v>
      </c>
      <c r="C357" t="s">
        <v>2049</v>
      </c>
      <c r="D357">
        <v>0</v>
      </c>
      <c r="E357" s="1">
        <v>54469</v>
      </c>
      <c r="F357" t="s">
        <v>1988</v>
      </c>
      <c r="G357" t="s">
        <v>2049</v>
      </c>
      <c r="H357" t="s">
        <v>2</v>
      </c>
      <c r="I357" s="1">
        <v>46224</v>
      </c>
      <c r="J357" t="s">
        <v>1991</v>
      </c>
      <c r="K357" t="s">
        <v>4072</v>
      </c>
      <c r="L357" s="1">
        <v>46224.918321759258</v>
      </c>
      <c r="M357" s="1">
        <v>46224.91962439815</v>
      </c>
    </row>
    <row r="358" spans="1:13" x14ac:dyDescent="0.35">
      <c r="A358" t="s">
        <v>26</v>
      </c>
      <c r="B358" t="s">
        <v>1986</v>
      </c>
      <c r="C358" t="s">
        <v>2035</v>
      </c>
      <c r="D358">
        <v>0</v>
      </c>
      <c r="E358" s="1">
        <v>54558</v>
      </c>
      <c r="F358" t="s">
        <v>1988</v>
      </c>
      <c r="G358" t="s">
        <v>2035</v>
      </c>
      <c r="H358" t="s">
        <v>2</v>
      </c>
      <c r="I358" s="1">
        <v>46224</v>
      </c>
      <c r="J358" t="s">
        <v>1991</v>
      </c>
      <c r="K358" t="s">
        <v>3131</v>
      </c>
      <c r="L358" s="1">
        <v>46224.918321759258</v>
      </c>
      <c r="M358" s="1">
        <v>46224.91962439815</v>
      </c>
    </row>
    <row r="359" spans="1:13" x14ac:dyDescent="0.35">
      <c r="A359" t="s">
        <v>26</v>
      </c>
      <c r="B359" t="s">
        <v>1986</v>
      </c>
      <c r="C359" t="s">
        <v>2035</v>
      </c>
      <c r="D359">
        <v>0</v>
      </c>
      <c r="E359" s="1">
        <v>54558</v>
      </c>
      <c r="F359" t="s">
        <v>1988</v>
      </c>
      <c r="G359" t="s">
        <v>2035</v>
      </c>
      <c r="H359" t="s">
        <v>2</v>
      </c>
      <c r="I359" s="1">
        <v>46224</v>
      </c>
      <c r="J359" t="s">
        <v>1989</v>
      </c>
      <c r="K359" t="s">
        <v>3275</v>
      </c>
      <c r="L359" s="1">
        <v>46224.918321759258</v>
      </c>
      <c r="M359" s="1">
        <v>46224.91962439815</v>
      </c>
    </row>
    <row r="360" spans="1:13" x14ac:dyDescent="0.35">
      <c r="A360" t="s">
        <v>90</v>
      </c>
      <c r="B360" t="s">
        <v>1986</v>
      </c>
      <c r="C360" t="s">
        <v>2003</v>
      </c>
      <c r="D360">
        <v>0</v>
      </c>
      <c r="E360" s="1">
        <v>54650</v>
      </c>
      <c r="F360" t="s">
        <v>1988</v>
      </c>
      <c r="G360" t="s">
        <v>2003</v>
      </c>
      <c r="H360" t="s">
        <v>2</v>
      </c>
      <c r="I360" s="1">
        <v>46224</v>
      </c>
      <c r="J360" t="s">
        <v>1991</v>
      </c>
      <c r="K360" t="s">
        <v>3430</v>
      </c>
      <c r="L360" s="1">
        <v>46224.918321759258</v>
      </c>
      <c r="M360" s="1">
        <v>46224.91962439815</v>
      </c>
    </row>
    <row r="361" spans="1:13" x14ac:dyDescent="0.35">
      <c r="A361" t="s">
        <v>90</v>
      </c>
      <c r="B361" t="s">
        <v>1986</v>
      </c>
      <c r="C361" t="s">
        <v>2003</v>
      </c>
      <c r="D361">
        <v>0</v>
      </c>
      <c r="E361" s="1">
        <v>54650</v>
      </c>
      <c r="F361" t="s">
        <v>1988</v>
      </c>
      <c r="G361" t="s">
        <v>2003</v>
      </c>
      <c r="H361" t="s">
        <v>2</v>
      </c>
      <c r="I361" s="1">
        <v>46224</v>
      </c>
      <c r="J361" t="s">
        <v>1989</v>
      </c>
      <c r="K361" t="s">
        <v>3186</v>
      </c>
      <c r="L361" s="1">
        <v>46224.918321759258</v>
      </c>
      <c r="M361" s="1">
        <v>46224.91962439815</v>
      </c>
    </row>
    <row r="362" spans="1:13" x14ac:dyDescent="0.35">
      <c r="A362" t="s">
        <v>27</v>
      </c>
      <c r="B362" t="s">
        <v>1986</v>
      </c>
      <c r="C362" t="s">
        <v>2004</v>
      </c>
      <c r="D362">
        <v>0</v>
      </c>
      <c r="E362" s="1">
        <v>54742</v>
      </c>
      <c r="F362" t="s">
        <v>1988</v>
      </c>
      <c r="G362" t="s">
        <v>2004</v>
      </c>
      <c r="H362" t="s">
        <v>2</v>
      </c>
      <c r="I362" s="1">
        <v>46224</v>
      </c>
      <c r="J362" t="s">
        <v>1991</v>
      </c>
      <c r="K362" t="s">
        <v>3431</v>
      </c>
      <c r="L362" s="1">
        <v>46224.918321759258</v>
      </c>
      <c r="M362" s="1">
        <v>46224.91962439815</v>
      </c>
    </row>
    <row r="363" spans="1:13" x14ac:dyDescent="0.35">
      <c r="A363" t="s">
        <v>27</v>
      </c>
      <c r="B363" t="s">
        <v>1986</v>
      </c>
      <c r="C363" t="s">
        <v>2004</v>
      </c>
      <c r="D363">
        <v>0</v>
      </c>
      <c r="E363" s="1">
        <v>54742</v>
      </c>
      <c r="F363" t="s">
        <v>1988</v>
      </c>
      <c r="G363" t="s">
        <v>2004</v>
      </c>
      <c r="H363" t="s">
        <v>2</v>
      </c>
      <c r="I363" s="1">
        <v>46224</v>
      </c>
      <c r="J363" t="s">
        <v>1989</v>
      </c>
      <c r="K363" t="s">
        <v>3160</v>
      </c>
      <c r="L363" s="1">
        <v>46224.918321759258</v>
      </c>
      <c r="M363" s="1">
        <v>46224.91962439815</v>
      </c>
    </row>
    <row r="364" spans="1:13" x14ac:dyDescent="0.35">
      <c r="A364" t="s">
        <v>28</v>
      </c>
      <c r="B364" t="s">
        <v>1986</v>
      </c>
      <c r="C364" t="s">
        <v>2050</v>
      </c>
      <c r="D364">
        <v>0</v>
      </c>
      <c r="E364" s="1">
        <v>54834</v>
      </c>
      <c r="F364" t="s">
        <v>1988</v>
      </c>
      <c r="G364" t="s">
        <v>2050</v>
      </c>
      <c r="H364" t="s">
        <v>2</v>
      </c>
      <c r="I364" s="1">
        <v>46224</v>
      </c>
      <c r="J364" t="s">
        <v>1991</v>
      </c>
      <c r="K364" t="s">
        <v>3432</v>
      </c>
      <c r="L364" s="1">
        <v>46224.918321759258</v>
      </c>
      <c r="M364" s="1">
        <v>46224.91962439815</v>
      </c>
    </row>
    <row r="365" spans="1:13" x14ac:dyDescent="0.35">
      <c r="A365" t="s">
        <v>28</v>
      </c>
      <c r="B365" t="s">
        <v>1986</v>
      </c>
      <c r="C365" t="s">
        <v>2050</v>
      </c>
      <c r="D365">
        <v>0</v>
      </c>
      <c r="E365" s="1">
        <v>54834</v>
      </c>
      <c r="F365" t="s">
        <v>1988</v>
      </c>
      <c r="G365" t="s">
        <v>2050</v>
      </c>
      <c r="H365" t="s">
        <v>2</v>
      </c>
      <c r="I365" s="1">
        <v>46224</v>
      </c>
      <c r="J365" t="s">
        <v>1989</v>
      </c>
      <c r="K365" t="s">
        <v>3109</v>
      </c>
      <c r="L365" s="1">
        <v>46224.918321759258</v>
      </c>
      <c r="M365" s="1">
        <v>46224.91962439815</v>
      </c>
    </row>
    <row r="366" spans="1:13" x14ac:dyDescent="0.35">
      <c r="A366" t="s">
        <v>121</v>
      </c>
      <c r="B366" t="s">
        <v>1986</v>
      </c>
      <c r="C366" t="s">
        <v>2036</v>
      </c>
      <c r="D366">
        <v>0</v>
      </c>
      <c r="E366" s="1">
        <v>54923</v>
      </c>
      <c r="F366" t="s">
        <v>1988</v>
      </c>
      <c r="G366" t="s">
        <v>2036</v>
      </c>
      <c r="H366" t="s">
        <v>2</v>
      </c>
      <c r="I366" s="1">
        <v>46224</v>
      </c>
      <c r="J366" t="s">
        <v>1989</v>
      </c>
      <c r="K366" t="s">
        <v>4073</v>
      </c>
      <c r="L366" s="1">
        <v>46224.918321759258</v>
      </c>
      <c r="M366" s="1">
        <v>46224.91962439815</v>
      </c>
    </row>
    <row r="367" spans="1:13" x14ac:dyDescent="0.35">
      <c r="A367" t="s">
        <v>121</v>
      </c>
      <c r="B367" t="s">
        <v>1986</v>
      </c>
      <c r="C367" t="s">
        <v>2036</v>
      </c>
      <c r="D367">
        <v>0</v>
      </c>
      <c r="E367" s="1">
        <v>54923</v>
      </c>
      <c r="F367" t="s">
        <v>1988</v>
      </c>
      <c r="G367" t="s">
        <v>2036</v>
      </c>
      <c r="H367" t="s">
        <v>2</v>
      </c>
      <c r="I367" s="1">
        <v>46224</v>
      </c>
      <c r="J367" t="s">
        <v>1991</v>
      </c>
      <c r="K367" t="s">
        <v>3276</v>
      </c>
      <c r="L367" s="1">
        <v>46224.918321759258</v>
      </c>
      <c r="M367" s="1">
        <v>46224.91962439815</v>
      </c>
    </row>
    <row r="368" spans="1:13" x14ac:dyDescent="0.35">
      <c r="A368" t="s">
        <v>139</v>
      </c>
      <c r="B368" t="s">
        <v>1986</v>
      </c>
      <c r="C368" t="s">
        <v>2051</v>
      </c>
      <c r="D368">
        <v>0</v>
      </c>
      <c r="E368" s="1">
        <v>55015</v>
      </c>
      <c r="F368" t="s">
        <v>1988</v>
      </c>
      <c r="G368" t="s">
        <v>2051</v>
      </c>
      <c r="H368" t="s">
        <v>2</v>
      </c>
      <c r="I368" s="1">
        <v>46224</v>
      </c>
      <c r="J368" t="s">
        <v>1989</v>
      </c>
      <c r="K368" t="s">
        <v>3080</v>
      </c>
      <c r="L368" s="1">
        <v>46224.918321759258</v>
      </c>
      <c r="M368" s="1">
        <v>46224.91962439815</v>
      </c>
    </row>
    <row r="369" spans="1:13" x14ac:dyDescent="0.35">
      <c r="A369" t="s">
        <v>139</v>
      </c>
      <c r="B369" t="s">
        <v>1986</v>
      </c>
      <c r="C369" t="s">
        <v>2051</v>
      </c>
      <c r="D369">
        <v>0</v>
      </c>
      <c r="E369" s="1">
        <v>55015</v>
      </c>
      <c r="F369" t="s">
        <v>1988</v>
      </c>
      <c r="G369" t="s">
        <v>2051</v>
      </c>
      <c r="H369" t="s">
        <v>2</v>
      </c>
      <c r="I369" s="1">
        <v>46224</v>
      </c>
      <c r="J369" t="s">
        <v>1991</v>
      </c>
      <c r="K369" t="s">
        <v>3161</v>
      </c>
      <c r="L369" s="1">
        <v>46224.918321759258</v>
      </c>
      <c r="M369" s="1">
        <v>46224.91962439815</v>
      </c>
    </row>
    <row r="370" spans="1:13" x14ac:dyDescent="0.35">
      <c r="A370" t="s">
        <v>129</v>
      </c>
      <c r="B370" t="s">
        <v>1986</v>
      </c>
      <c r="C370" t="s">
        <v>2005</v>
      </c>
      <c r="D370">
        <v>0</v>
      </c>
      <c r="E370" s="1">
        <v>55107</v>
      </c>
      <c r="F370" t="s">
        <v>1988</v>
      </c>
      <c r="G370" t="s">
        <v>2005</v>
      </c>
      <c r="H370" t="s">
        <v>2</v>
      </c>
      <c r="I370" s="1">
        <v>46224</v>
      </c>
      <c r="J370" t="s">
        <v>1991</v>
      </c>
      <c r="K370" t="s">
        <v>3132</v>
      </c>
      <c r="L370" s="1">
        <v>46224.918321759258</v>
      </c>
      <c r="M370" s="1">
        <v>46224.91962439815</v>
      </c>
    </row>
    <row r="371" spans="1:13" x14ac:dyDescent="0.35">
      <c r="A371" t="s">
        <v>129</v>
      </c>
      <c r="B371" t="s">
        <v>1986</v>
      </c>
      <c r="C371" t="s">
        <v>2005</v>
      </c>
      <c r="D371">
        <v>0</v>
      </c>
      <c r="E371" s="1">
        <v>55107</v>
      </c>
      <c r="F371" t="s">
        <v>1988</v>
      </c>
      <c r="G371" t="s">
        <v>2005</v>
      </c>
      <c r="H371" t="s">
        <v>2</v>
      </c>
      <c r="I371" s="1">
        <v>46224</v>
      </c>
      <c r="J371" t="s">
        <v>1989</v>
      </c>
      <c r="K371" t="s">
        <v>3187</v>
      </c>
      <c r="L371" s="1">
        <v>46224.918321759258</v>
      </c>
      <c r="M371" s="1">
        <v>46224.91962439815</v>
      </c>
    </row>
    <row r="372" spans="1:13" x14ac:dyDescent="0.35">
      <c r="A372" t="s">
        <v>91</v>
      </c>
      <c r="B372" t="s">
        <v>1986</v>
      </c>
      <c r="C372" t="s">
        <v>2006</v>
      </c>
      <c r="D372">
        <v>0</v>
      </c>
      <c r="E372" s="1">
        <v>55199</v>
      </c>
      <c r="F372" t="s">
        <v>1988</v>
      </c>
      <c r="G372" t="s">
        <v>2006</v>
      </c>
      <c r="H372" t="s">
        <v>2</v>
      </c>
      <c r="I372" s="1">
        <v>46224</v>
      </c>
      <c r="J372" t="s">
        <v>1991</v>
      </c>
      <c r="K372" t="s">
        <v>3433</v>
      </c>
      <c r="L372" s="1">
        <v>46224.918321759258</v>
      </c>
      <c r="M372" s="1">
        <v>46224.91962439815</v>
      </c>
    </row>
    <row r="373" spans="1:13" x14ac:dyDescent="0.35">
      <c r="A373" t="s">
        <v>91</v>
      </c>
      <c r="B373" t="s">
        <v>1986</v>
      </c>
      <c r="C373" t="s">
        <v>2006</v>
      </c>
      <c r="D373">
        <v>0</v>
      </c>
      <c r="E373" s="1">
        <v>55199</v>
      </c>
      <c r="F373" t="s">
        <v>1988</v>
      </c>
      <c r="G373" t="s">
        <v>2006</v>
      </c>
      <c r="H373" t="s">
        <v>2</v>
      </c>
      <c r="I373" s="1">
        <v>46224</v>
      </c>
      <c r="J373" t="s">
        <v>1989</v>
      </c>
      <c r="K373" t="s">
        <v>3081</v>
      </c>
      <c r="L373" s="1">
        <v>46224.918321759258</v>
      </c>
      <c r="M373" s="1">
        <v>46224.91962439815</v>
      </c>
    </row>
    <row r="374" spans="1:13" x14ac:dyDescent="0.35">
      <c r="A374" t="s">
        <v>49</v>
      </c>
      <c r="B374" t="s">
        <v>1986</v>
      </c>
      <c r="C374" t="s">
        <v>2052</v>
      </c>
      <c r="D374">
        <v>0</v>
      </c>
      <c r="E374" s="1">
        <v>55288</v>
      </c>
      <c r="F374" t="s">
        <v>1988</v>
      </c>
      <c r="G374" t="s">
        <v>2052</v>
      </c>
      <c r="H374" t="s">
        <v>2</v>
      </c>
      <c r="I374" s="1">
        <v>46224</v>
      </c>
      <c r="J374" t="s">
        <v>1989</v>
      </c>
      <c r="K374" t="s">
        <v>3434</v>
      </c>
      <c r="L374" s="1">
        <v>46224.918321759258</v>
      </c>
      <c r="M374" s="1">
        <v>46224.91962439815</v>
      </c>
    </row>
    <row r="375" spans="1:13" x14ac:dyDescent="0.35">
      <c r="A375" t="s">
        <v>49</v>
      </c>
      <c r="B375" t="s">
        <v>1986</v>
      </c>
      <c r="C375" t="s">
        <v>2052</v>
      </c>
      <c r="D375">
        <v>0</v>
      </c>
      <c r="E375" s="1">
        <v>55288</v>
      </c>
      <c r="F375" t="s">
        <v>1988</v>
      </c>
      <c r="G375" t="s">
        <v>2052</v>
      </c>
      <c r="H375" t="s">
        <v>2</v>
      </c>
      <c r="I375" s="1">
        <v>46224</v>
      </c>
      <c r="J375" t="s">
        <v>1991</v>
      </c>
      <c r="K375" t="s">
        <v>3277</v>
      </c>
      <c r="L375" s="1">
        <v>46224.918321759258</v>
      </c>
      <c r="M375" s="1">
        <v>46224.91962439815</v>
      </c>
    </row>
    <row r="376" spans="1:13" x14ac:dyDescent="0.35">
      <c r="A376" t="s">
        <v>376</v>
      </c>
      <c r="B376" t="s">
        <v>1986</v>
      </c>
      <c r="C376" t="s">
        <v>2053</v>
      </c>
      <c r="D376">
        <v>0</v>
      </c>
      <c r="E376" s="1">
        <v>55380</v>
      </c>
      <c r="F376" t="s">
        <v>1988</v>
      </c>
      <c r="G376" t="s">
        <v>2053</v>
      </c>
      <c r="H376" t="s">
        <v>2</v>
      </c>
      <c r="I376" s="1">
        <v>46224</v>
      </c>
      <c r="J376" t="s">
        <v>1991</v>
      </c>
      <c r="K376" t="s">
        <v>3082</v>
      </c>
      <c r="L376" s="1">
        <v>46224.918321759258</v>
      </c>
      <c r="M376" s="1">
        <v>46224.91962439815</v>
      </c>
    </row>
    <row r="377" spans="1:13" x14ac:dyDescent="0.35">
      <c r="A377" t="s">
        <v>376</v>
      </c>
      <c r="B377" t="s">
        <v>1986</v>
      </c>
      <c r="C377" t="s">
        <v>2053</v>
      </c>
      <c r="D377">
        <v>0</v>
      </c>
      <c r="E377" s="1">
        <v>55380</v>
      </c>
      <c r="F377" t="s">
        <v>1988</v>
      </c>
      <c r="G377" t="s">
        <v>2053</v>
      </c>
      <c r="H377" t="s">
        <v>2</v>
      </c>
      <c r="I377" s="1">
        <v>46224</v>
      </c>
      <c r="J377" t="s">
        <v>1989</v>
      </c>
      <c r="K377" t="s">
        <v>4074</v>
      </c>
      <c r="L377" s="1">
        <v>46224.918321759258</v>
      </c>
      <c r="M377" s="1">
        <v>46224.91962439815</v>
      </c>
    </row>
    <row r="378" spans="1:13" x14ac:dyDescent="0.35">
      <c r="A378" t="s">
        <v>29</v>
      </c>
      <c r="B378" t="s">
        <v>1986</v>
      </c>
      <c r="C378" t="s">
        <v>2007</v>
      </c>
      <c r="D378">
        <v>0</v>
      </c>
      <c r="E378" s="1">
        <v>55472</v>
      </c>
      <c r="F378" t="s">
        <v>1988</v>
      </c>
      <c r="G378" t="s">
        <v>2007</v>
      </c>
      <c r="H378" t="s">
        <v>2</v>
      </c>
      <c r="I378" s="1">
        <v>46224</v>
      </c>
      <c r="J378" t="s">
        <v>1991</v>
      </c>
      <c r="K378" t="s">
        <v>3435</v>
      </c>
      <c r="L378" s="1">
        <v>46224.918321759258</v>
      </c>
      <c r="M378" s="1">
        <v>46224.91962439815</v>
      </c>
    </row>
    <row r="379" spans="1:13" x14ac:dyDescent="0.35">
      <c r="A379" t="s">
        <v>29</v>
      </c>
      <c r="B379" t="s">
        <v>1986</v>
      </c>
      <c r="C379" t="s">
        <v>2007</v>
      </c>
      <c r="D379">
        <v>0</v>
      </c>
      <c r="E379" s="1">
        <v>55472</v>
      </c>
      <c r="F379" t="s">
        <v>1988</v>
      </c>
      <c r="G379" t="s">
        <v>2007</v>
      </c>
      <c r="H379" t="s">
        <v>2</v>
      </c>
      <c r="I379" s="1">
        <v>46224</v>
      </c>
      <c r="J379" t="s">
        <v>1989</v>
      </c>
      <c r="K379" t="s">
        <v>3110</v>
      </c>
      <c r="L379" s="1">
        <v>46224.918321759258</v>
      </c>
      <c r="M379" s="1">
        <v>46224.91962439815</v>
      </c>
    </row>
    <row r="380" spans="1:13" x14ac:dyDescent="0.35">
      <c r="A380" t="s">
        <v>50</v>
      </c>
      <c r="B380" t="s">
        <v>1986</v>
      </c>
      <c r="C380" t="s">
        <v>2008</v>
      </c>
      <c r="D380">
        <v>0</v>
      </c>
      <c r="E380" s="1">
        <v>55564</v>
      </c>
      <c r="F380" t="s">
        <v>1988</v>
      </c>
      <c r="G380" t="s">
        <v>2008</v>
      </c>
      <c r="H380" t="s">
        <v>2</v>
      </c>
      <c r="I380" s="1">
        <v>46224</v>
      </c>
      <c r="J380" t="s">
        <v>1989</v>
      </c>
      <c r="K380" t="s">
        <v>3188</v>
      </c>
      <c r="L380" s="1">
        <v>46224.918321759258</v>
      </c>
      <c r="M380" s="1">
        <v>46224.91962439815</v>
      </c>
    </row>
    <row r="381" spans="1:13" x14ac:dyDescent="0.35">
      <c r="A381" t="s">
        <v>50</v>
      </c>
      <c r="B381" t="s">
        <v>1986</v>
      </c>
      <c r="C381" t="s">
        <v>2008</v>
      </c>
      <c r="D381">
        <v>0</v>
      </c>
      <c r="E381" s="1">
        <v>55564</v>
      </c>
      <c r="F381" t="s">
        <v>1988</v>
      </c>
      <c r="G381" t="s">
        <v>2008</v>
      </c>
      <c r="H381" t="s">
        <v>2</v>
      </c>
      <c r="I381" s="1">
        <v>46224</v>
      </c>
      <c r="J381" t="s">
        <v>1991</v>
      </c>
      <c r="K381" t="s">
        <v>3111</v>
      </c>
      <c r="L381" s="1">
        <v>46224.918321759258</v>
      </c>
      <c r="M381" s="1">
        <v>46224.91962439815</v>
      </c>
    </row>
    <row r="382" spans="1:13" x14ac:dyDescent="0.35">
      <c r="A382" t="s">
        <v>92</v>
      </c>
      <c r="B382" t="s">
        <v>1986</v>
      </c>
      <c r="C382" t="s">
        <v>2054</v>
      </c>
      <c r="D382">
        <v>0</v>
      </c>
      <c r="E382" s="1">
        <v>55654</v>
      </c>
      <c r="F382" t="s">
        <v>1988</v>
      </c>
      <c r="G382" t="s">
        <v>2054</v>
      </c>
      <c r="H382" t="s">
        <v>2</v>
      </c>
      <c r="I382" s="1">
        <v>46224</v>
      </c>
      <c r="J382" t="s">
        <v>1991</v>
      </c>
      <c r="K382" t="s">
        <v>3189</v>
      </c>
      <c r="L382" s="1">
        <v>46224.918321759258</v>
      </c>
      <c r="M382" s="1">
        <v>46224.91962439815</v>
      </c>
    </row>
    <row r="383" spans="1:13" x14ac:dyDescent="0.35">
      <c r="A383" t="s">
        <v>92</v>
      </c>
      <c r="B383" t="s">
        <v>1986</v>
      </c>
      <c r="C383" t="s">
        <v>2054</v>
      </c>
      <c r="D383">
        <v>0</v>
      </c>
      <c r="E383" s="1">
        <v>55654</v>
      </c>
      <c r="F383" t="s">
        <v>1988</v>
      </c>
      <c r="G383" t="s">
        <v>2054</v>
      </c>
      <c r="H383" t="s">
        <v>2</v>
      </c>
      <c r="I383" s="1">
        <v>46224</v>
      </c>
      <c r="J383" t="s">
        <v>1989</v>
      </c>
      <c r="K383" t="s">
        <v>3278</v>
      </c>
      <c r="L383" s="1">
        <v>46224.918321759258</v>
      </c>
      <c r="M383" s="1">
        <v>46224.91962439815</v>
      </c>
    </row>
    <row r="384" spans="1:13" x14ac:dyDescent="0.35">
      <c r="A384" t="s">
        <v>70</v>
      </c>
      <c r="B384" t="s">
        <v>1986</v>
      </c>
      <c r="C384" t="s">
        <v>2009</v>
      </c>
      <c r="D384">
        <v>0</v>
      </c>
      <c r="E384" s="1">
        <v>55746</v>
      </c>
      <c r="F384" t="s">
        <v>1988</v>
      </c>
      <c r="G384" t="s">
        <v>2009</v>
      </c>
      <c r="H384" t="s">
        <v>2</v>
      </c>
      <c r="I384" s="1">
        <v>46224</v>
      </c>
      <c r="J384" t="s">
        <v>1989</v>
      </c>
      <c r="K384" t="s">
        <v>3436</v>
      </c>
      <c r="L384" s="1">
        <v>46224.918321759258</v>
      </c>
      <c r="M384" s="1">
        <v>46224.91962439815</v>
      </c>
    </row>
    <row r="385" spans="1:13" x14ac:dyDescent="0.35">
      <c r="A385" t="s">
        <v>70</v>
      </c>
      <c r="B385" t="s">
        <v>1986</v>
      </c>
      <c r="C385" t="s">
        <v>2009</v>
      </c>
      <c r="D385">
        <v>0</v>
      </c>
      <c r="E385" s="1">
        <v>55746</v>
      </c>
      <c r="F385" t="s">
        <v>1988</v>
      </c>
      <c r="G385" t="s">
        <v>2009</v>
      </c>
      <c r="H385" t="s">
        <v>2</v>
      </c>
      <c r="I385" s="1">
        <v>46224</v>
      </c>
      <c r="J385" t="s">
        <v>1991</v>
      </c>
      <c r="K385" t="s">
        <v>3162</v>
      </c>
      <c r="L385" s="1">
        <v>46224.918321759258</v>
      </c>
      <c r="M385" s="1">
        <v>46224.91962439815</v>
      </c>
    </row>
    <row r="386" spans="1:13" x14ac:dyDescent="0.35">
      <c r="A386" t="s">
        <v>51</v>
      </c>
      <c r="B386" t="s">
        <v>1986</v>
      </c>
      <c r="C386" t="s">
        <v>2076</v>
      </c>
      <c r="D386">
        <v>0</v>
      </c>
      <c r="E386" s="1">
        <v>55838</v>
      </c>
      <c r="F386" t="s">
        <v>1988</v>
      </c>
      <c r="G386" t="s">
        <v>2076</v>
      </c>
      <c r="H386" t="s">
        <v>2</v>
      </c>
      <c r="I386" s="1">
        <v>46224</v>
      </c>
      <c r="J386" t="s">
        <v>1989</v>
      </c>
      <c r="K386" t="s">
        <v>3083</v>
      </c>
      <c r="L386" s="1">
        <v>46224.918321759258</v>
      </c>
      <c r="M386" s="1">
        <v>46224.91962439815</v>
      </c>
    </row>
    <row r="387" spans="1:13" x14ac:dyDescent="0.35">
      <c r="A387" t="s">
        <v>51</v>
      </c>
      <c r="B387" t="s">
        <v>1986</v>
      </c>
      <c r="C387" t="s">
        <v>2076</v>
      </c>
      <c r="D387">
        <v>0</v>
      </c>
      <c r="E387" s="1">
        <v>55838</v>
      </c>
      <c r="F387" t="s">
        <v>1988</v>
      </c>
      <c r="G387" t="s">
        <v>2076</v>
      </c>
      <c r="H387" t="s">
        <v>2</v>
      </c>
      <c r="I387" s="1">
        <v>46224</v>
      </c>
      <c r="J387" t="s">
        <v>1991</v>
      </c>
      <c r="K387" t="s">
        <v>3190</v>
      </c>
      <c r="L387" s="1">
        <v>46224.918321759258</v>
      </c>
      <c r="M387" s="1">
        <v>46224.91962439815</v>
      </c>
    </row>
    <row r="388" spans="1:13" x14ac:dyDescent="0.35">
      <c r="A388" t="s">
        <v>71</v>
      </c>
      <c r="B388" t="s">
        <v>1986</v>
      </c>
      <c r="C388" t="s">
        <v>2087</v>
      </c>
      <c r="D388">
        <v>0</v>
      </c>
      <c r="E388" s="1">
        <v>55930</v>
      </c>
      <c r="F388" t="s">
        <v>1988</v>
      </c>
      <c r="G388" t="s">
        <v>2087</v>
      </c>
      <c r="H388" t="s">
        <v>2</v>
      </c>
      <c r="I388" s="1">
        <v>46224</v>
      </c>
      <c r="J388" t="s">
        <v>1989</v>
      </c>
      <c r="K388" t="s">
        <v>3133</v>
      </c>
      <c r="L388" s="1">
        <v>46224.918321759258</v>
      </c>
      <c r="M388" s="1">
        <v>46224.91962439815</v>
      </c>
    </row>
    <row r="389" spans="1:13" x14ac:dyDescent="0.35">
      <c r="A389" t="s">
        <v>71</v>
      </c>
      <c r="B389" t="s">
        <v>1986</v>
      </c>
      <c r="C389" t="s">
        <v>2087</v>
      </c>
      <c r="D389">
        <v>0</v>
      </c>
      <c r="E389" s="1">
        <v>55930</v>
      </c>
      <c r="F389" t="s">
        <v>1988</v>
      </c>
      <c r="G389" t="s">
        <v>2087</v>
      </c>
      <c r="H389" t="s">
        <v>2</v>
      </c>
      <c r="I389" s="1">
        <v>46224</v>
      </c>
      <c r="J389" t="s">
        <v>1991</v>
      </c>
      <c r="K389" t="s">
        <v>3134</v>
      </c>
      <c r="L389" s="1">
        <v>46224.918321759258</v>
      </c>
      <c r="M389" s="1">
        <v>46224.91962439815</v>
      </c>
    </row>
    <row r="390" spans="1:13" x14ac:dyDescent="0.35">
      <c r="A390" t="s">
        <v>30</v>
      </c>
      <c r="B390" t="s">
        <v>1986</v>
      </c>
      <c r="C390" t="s">
        <v>2037</v>
      </c>
      <c r="D390">
        <v>0</v>
      </c>
      <c r="E390" s="1">
        <v>56019</v>
      </c>
      <c r="F390" t="s">
        <v>1988</v>
      </c>
      <c r="G390" t="s">
        <v>2037</v>
      </c>
      <c r="H390" t="s">
        <v>2</v>
      </c>
      <c r="I390" s="1">
        <v>46224</v>
      </c>
      <c r="J390" t="s">
        <v>1989</v>
      </c>
      <c r="K390" t="s">
        <v>3191</v>
      </c>
      <c r="L390" s="1">
        <v>46224.918321759258</v>
      </c>
      <c r="M390" s="1">
        <v>46224.91962439815</v>
      </c>
    </row>
    <row r="391" spans="1:13" x14ac:dyDescent="0.35">
      <c r="A391" t="s">
        <v>30</v>
      </c>
      <c r="B391" t="s">
        <v>1986</v>
      </c>
      <c r="C391" t="s">
        <v>2037</v>
      </c>
      <c r="D391">
        <v>0</v>
      </c>
      <c r="E391" s="1">
        <v>56019</v>
      </c>
      <c r="F391" t="s">
        <v>1988</v>
      </c>
      <c r="G391" t="s">
        <v>2037</v>
      </c>
      <c r="H391" t="s">
        <v>2</v>
      </c>
      <c r="I391" s="1">
        <v>46224</v>
      </c>
      <c r="J391" t="s">
        <v>1991</v>
      </c>
      <c r="K391" t="s">
        <v>4075</v>
      </c>
      <c r="L391" s="1">
        <v>46224.918321759258</v>
      </c>
      <c r="M391" s="1">
        <v>46224.91962439815</v>
      </c>
    </row>
    <row r="392" spans="1:13" x14ac:dyDescent="0.35">
      <c r="A392" t="s">
        <v>122</v>
      </c>
      <c r="B392" t="s">
        <v>1986</v>
      </c>
      <c r="C392" t="s">
        <v>2137</v>
      </c>
      <c r="D392">
        <v>6.75</v>
      </c>
      <c r="E392" s="1">
        <v>46249</v>
      </c>
      <c r="F392" t="s">
        <v>1988</v>
      </c>
      <c r="G392" t="s">
        <v>2137</v>
      </c>
      <c r="H392" t="s">
        <v>2</v>
      </c>
      <c r="I392" s="1">
        <v>46224</v>
      </c>
      <c r="J392" t="s">
        <v>1991</v>
      </c>
      <c r="K392" t="s">
        <v>3437</v>
      </c>
      <c r="L392" s="1">
        <v>46224.918321759258</v>
      </c>
      <c r="M392" s="1">
        <v>46224.91962439815</v>
      </c>
    </row>
    <row r="393" spans="1:13" x14ac:dyDescent="0.35">
      <c r="A393" t="s">
        <v>122</v>
      </c>
      <c r="B393" t="s">
        <v>1986</v>
      </c>
      <c r="C393" t="s">
        <v>2137</v>
      </c>
      <c r="D393">
        <v>6.75</v>
      </c>
      <c r="E393" s="1">
        <v>46249</v>
      </c>
      <c r="F393" t="s">
        <v>1988</v>
      </c>
      <c r="G393" t="s">
        <v>2137</v>
      </c>
      <c r="H393" t="s">
        <v>2</v>
      </c>
      <c r="I393" s="1">
        <v>46224</v>
      </c>
      <c r="J393" t="s">
        <v>1989</v>
      </c>
      <c r="K393" t="s">
        <v>3279</v>
      </c>
      <c r="L393" s="1">
        <v>46224.918321759258</v>
      </c>
      <c r="M393" s="1">
        <v>46224.91962439815</v>
      </c>
    </row>
    <row r="394" spans="1:13" x14ac:dyDescent="0.35">
      <c r="A394" t="s">
        <v>31</v>
      </c>
      <c r="B394" t="s">
        <v>1986</v>
      </c>
      <c r="C394" t="s">
        <v>2038</v>
      </c>
      <c r="D394">
        <v>6.5</v>
      </c>
      <c r="E394" s="1">
        <v>46341</v>
      </c>
      <c r="F394" t="s">
        <v>1988</v>
      </c>
      <c r="G394" t="s">
        <v>2038</v>
      </c>
      <c r="H394" t="s">
        <v>2</v>
      </c>
      <c r="I394" s="1">
        <v>46224</v>
      </c>
      <c r="J394" t="s">
        <v>1991</v>
      </c>
      <c r="K394" t="s">
        <v>3135</v>
      </c>
      <c r="L394" s="1">
        <v>46224.918321759258</v>
      </c>
      <c r="M394" s="1">
        <v>46224.91962439815</v>
      </c>
    </row>
    <row r="395" spans="1:13" x14ac:dyDescent="0.35">
      <c r="A395" t="s">
        <v>31</v>
      </c>
      <c r="B395" t="s">
        <v>1986</v>
      </c>
      <c r="C395" t="s">
        <v>2038</v>
      </c>
      <c r="D395">
        <v>6.5</v>
      </c>
      <c r="E395" s="1">
        <v>46341</v>
      </c>
      <c r="F395" t="s">
        <v>1988</v>
      </c>
      <c r="G395" t="s">
        <v>2038</v>
      </c>
      <c r="H395" t="s">
        <v>2</v>
      </c>
      <c r="I395" s="1">
        <v>46224</v>
      </c>
      <c r="J395" t="s">
        <v>1989</v>
      </c>
      <c r="K395" t="s">
        <v>4076</v>
      </c>
      <c r="L395" s="1">
        <v>46224.918321759258</v>
      </c>
      <c r="M395" s="1">
        <v>46224.91962439815</v>
      </c>
    </row>
    <row r="396" spans="1:13" x14ac:dyDescent="0.35">
      <c r="A396" t="s">
        <v>93</v>
      </c>
      <c r="B396" t="s">
        <v>1986</v>
      </c>
      <c r="C396" t="s">
        <v>2010</v>
      </c>
      <c r="D396">
        <v>6.625</v>
      </c>
      <c r="E396" s="1">
        <v>46433</v>
      </c>
      <c r="F396" t="s">
        <v>1988</v>
      </c>
      <c r="G396" t="s">
        <v>2010</v>
      </c>
      <c r="H396" t="s">
        <v>2</v>
      </c>
      <c r="I396" s="1">
        <v>46224</v>
      </c>
      <c r="J396" t="s">
        <v>1989</v>
      </c>
      <c r="K396" t="s">
        <v>3438</v>
      </c>
      <c r="L396" s="1">
        <v>46224.918321759258</v>
      </c>
      <c r="M396" s="1">
        <v>46224.91962439815</v>
      </c>
    </row>
    <row r="397" spans="1:13" x14ac:dyDescent="0.35">
      <c r="A397" t="s">
        <v>93</v>
      </c>
      <c r="B397" t="s">
        <v>1986</v>
      </c>
      <c r="C397" t="s">
        <v>2010</v>
      </c>
      <c r="D397">
        <v>6.625</v>
      </c>
      <c r="E397" s="1">
        <v>46433</v>
      </c>
      <c r="F397" t="s">
        <v>1988</v>
      </c>
      <c r="G397" t="s">
        <v>2010</v>
      </c>
      <c r="H397" t="s">
        <v>2</v>
      </c>
      <c r="I397" s="1">
        <v>46224</v>
      </c>
      <c r="J397" t="s">
        <v>1991</v>
      </c>
      <c r="K397" t="s">
        <v>3084</v>
      </c>
      <c r="L397" s="1">
        <v>46224.918321759258</v>
      </c>
      <c r="M397" s="1">
        <v>46224.91962439815</v>
      </c>
    </row>
    <row r="398" spans="1:13" x14ac:dyDescent="0.35">
      <c r="A398" t="s">
        <v>72</v>
      </c>
      <c r="B398" t="s">
        <v>1986</v>
      </c>
      <c r="C398" t="s">
        <v>2812</v>
      </c>
      <c r="D398">
        <v>6.375</v>
      </c>
      <c r="E398" s="1">
        <v>46614</v>
      </c>
      <c r="F398" t="s">
        <v>1988</v>
      </c>
      <c r="G398" t="s">
        <v>2812</v>
      </c>
      <c r="H398" t="s">
        <v>2</v>
      </c>
      <c r="I398" s="1">
        <v>46224</v>
      </c>
      <c r="J398" t="s">
        <v>1989</v>
      </c>
      <c r="K398" t="s">
        <v>3192</v>
      </c>
      <c r="L398" s="1">
        <v>46224.918321759258</v>
      </c>
      <c r="M398" s="1">
        <v>46224.91962439815</v>
      </c>
    </row>
    <row r="399" spans="1:13" x14ac:dyDescent="0.35">
      <c r="A399" t="s">
        <v>72</v>
      </c>
      <c r="B399" t="s">
        <v>1986</v>
      </c>
      <c r="C399" t="s">
        <v>2812</v>
      </c>
      <c r="D399">
        <v>6.375</v>
      </c>
      <c r="E399" s="1">
        <v>46614</v>
      </c>
      <c r="F399" t="s">
        <v>1988</v>
      </c>
      <c r="G399" t="s">
        <v>2812</v>
      </c>
      <c r="H399" t="s">
        <v>2</v>
      </c>
      <c r="I399" s="1">
        <v>46224</v>
      </c>
      <c r="J399" t="s">
        <v>1991</v>
      </c>
      <c r="K399" t="s">
        <v>3280</v>
      </c>
      <c r="L399" s="1">
        <v>46224.918321759258</v>
      </c>
      <c r="M399" s="1">
        <v>46224.91962439815</v>
      </c>
    </row>
    <row r="400" spans="1:13" x14ac:dyDescent="0.35">
      <c r="A400" t="s">
        <v>32</v>
      </c>
      <c r="B400" t="s">
        <v>1986</v>
      </c>
      <c r="C400" t="s">
        <v>2011</v>
      </c>
      <c r="D400">
        <v>6.125</v>
      </c>
      <c r="E400" s="1">
        <v>46706</v>
      </c>
      <c r="F400" t="s">
        <v>1988</v>
      </c>
      <c r="G400" t="s">
        <v>2011</v>
      </c>
      <c r="H400" t="s">
        <v>2</v>
      </c>
      <c r="I400" s="1">
        <v>46224</v>
      </c>
      <c r="J400" t="s">
        <v>1991</v>
      </c>
      <c r="K400" t="s">
        <v>2906</v>
      </c>
      <c r="L400" s="1">
        <v>46224.918321759258</v>
      </c>
      <c r="M400" s="1">
        <v>46224.91962439815</v>
      </c>
    </row>
    <row r="401" spans="1:13" x14ac:dyDescent="0.35">
      <c r="A401" t="s">
        <v>32</v>
      </c>
      <c r="B401" t="s">
        <v>1986</v>
      </c>
      <c r="C401" t="s">
        <v>2011</v>
      </c>
      <c r="D401">
        <v>6.125</v>
      </c>
      <c r="E401" s="1">
        <v>46706</v>
      </c>
      <c r="F401" t="s">
        <v>1988</v>
      </c>
      <c r="G401" t="s">
        <v>2011</v>
      </c>
      <c r="H401" t="s">
        <v>2</v>
      </c>
      <c r="I401" s="1">
        <v>46224</v>
      </c>
      <c r="J401" t="s">
        <v>1989</v>
      </c>
      <c r="K401" t="s">
        <v>3163</v>
      </c>
      <c r="L401" s="1">
        <v>46224.918321759258</v>
      </c>
      <c r="M401" s="1">
        <v>46224.91962439815</v>
      </c>
    </row>
    <row r="402" spans="1:13" x14ac:dyDescent="0.35">
      <c r="A402" t="s">
        <v>123</v>
      </c>
      <c r="B402" t="s">
        <v>1986</v>
      </c>
      <c r="C402" t="s">
        <v>2088</v>
      </c>
      <c r="D402">
        <v>3.625</v>
      </c>
      <c r="E402" s="1">
        <v>46858</v>
      </c>
      <c r="F402" t="s">
        <v>2014</v>
      </c>
      <c r="G402" t="s">
        <v>2088</v>
      </c>
      <c r="H402" t="s">
        <v>2</v>
      </c>
      <c r="I402" s="1">
        <v>46224</v>
      </c>
      <c r="J402" t="s">
        <v>1989</v>
      </c>
      <c r="K402" t="s">
        <v>3164</v>
      </c>
      <c r="L402" s="1">
        <v>46224.918321759258</v>
      </c>
      <c r="M402" s="1">
        <v>46224.91962439815</v>
      </c>
    </row>
    <row r="403" spans="1:13" x14ac:dyDescent="0.35">
      <c r="A403" t="s">
        <v>123</v>
      </c>
      <c r="B403" t="s">
        <v>1986</v>
      </c>
      <c r="C403" t="s">
        <v>2088</v>
      </c>
      <c r="D403">
        <v>3.625</v>
      </c>
      <c r="E403" s="1">
        <v>46858</v>
      </c>
      <c r="F403" t="s">
        <v>2014</v>
      </c>
      <c r="G403" t="s">
        <v>2088</v>
      </c>
      <c r="H403" t="s">
        <v>2</v>
      </c>
      <c r="I403" s="1">
        <v>46224</v>
      </c>
      <c r="J403" t="s">
        <v>1991</v>
      </c>
      <c r="K403" t="s">
        <v>3165</v>
      </c>
      <c r="L403" s="1">
        <v>46224.918321759258</v>
      </c>
      <c r="M403" s="1">
        <v>46224.91962439815</v>
      </c>
    </row>
    <row r="404" spans="1:13" x14ac:dyDescent="0.35">
      <c r="A404" t="s">
        <v>94</v>
      </c>
      <c r="B404" t="s">
        <v>1986</v>
      </c>
      <c r="C404" t="s">
        <v>2012</v>
      </c>
      <c r="D404">
        <v>5.5</v>
      </c>
      <c r="E404" s="1">
        <v>46980</v>
      </c>
      <c r="F404" t="s">
        <v>1988</v>
      </c>
      <c r="G404" t="s">
        <v>2012</v>
      </c>
      <c r="H404" t="s">
        <v>2</v>
      </c>
      <c r="I404" s="1">
        <v>46224</v>
      </c>
      <c r="J404" t="s">
        <v>1989</v>
      </c>
      <c r="K404" t="s">
        <v>3166</v>
      </c>
      <c r="L404" s="1">
        <v>46224.918321759258</v>
      </c>
      <c r="M404" s="1">
        <v>46224.91962439815</v>
      </c>
    </row>
    <row r="405" spans="1:13" x14ac:dyDescent="0.35">
      <c r="A405" t="s">
        <v>94</v>
      </c>
      <c r="B405" t="s">
        <v>1986</v>
      </c>
      <c r="C405" t="s">
        <v>2012</v>
      </c>
      <c r="D405">
        <v>5.5</v>
      </c>
      <c r="E405" s="1">
        <v>46980</v>
      </c>
      <c r="F405" t="s">
        <v>1988</v>
      </c>
      <c r="G405" t="s">
        <v>2012</v>
      </c>
      <c r="H405" t="s">
        <v>2</v>
      </c>
      <c r="I405" s="1">
        <v>46224</v>
      </c>
      <c r="J405" t="s">
        <v>1991</v>
      </c>
      <c r="K405" t="s">
        <v>4077</v>
      </c>
      <c r="L405" s="1">
        <v>46224.918321759258</v>
      </c>
      <c r="M405" s="1">
        <v>46224.91962439815</v>
      </c>
    </row>
    <row r="406" spans="1:13" x14ac:dyDescent="0.35">
      <c r="A406" t="s">
        <v>95</v>
      </c>
      <c r="B406" t="s">
        <v>1986</v>
      </c>
      <c r="C406" t="s">
        <v>2039</v>
      </c>
      <c r="D406">
        <v>5.25</v>
      </c>
      <c r="E406" s="1">
        <v>47072</v>
      </c>
      <c r="F406" t="s">
        <v>1988</v>
      </c>
      <c r="G406" t="s">
        <v>2039</v>
      </c>
      <c r="H406" t="s">
        <v>2</v>
      </c>
      <c r="I406" s="1">
        <v>46224</v>
      </c>
      <c r="J406" t="s">
        <v>1991</v>
      </c>
      <c r="K406" t="s">
        <v>2905</v>
      </c>
      <c r="L406" s="1">
        <v>46224.918321759258</v>
      </c>
      <c r="M406" s="1">
        <v>46224.91962439815</v>
      </c>
    </row>
    <row r="407" spans="1:13" x14ac:dyDescent="0.35">
      <c r="A407" t="s">
        <v>95</v>
      </c>
      <c r="B407" t="s">
        <v>1986</v>
      </c>
      <c r="C407" t="s">
        <v>2039</v>
      </c>
      <c r="D407">
        <v>5.25</v>
      </c>
      <c r="E407" s="1">
        <v>47072</v>
      </c>
      <c r="F407" t="s">
        <v>1988</v>
      </c>
      <c r="G407" t="s">
        <v>2039</v>
      </c>
      <c r="H407" t="s">
        <v>2</v>
      </c>
      <c r="I407" s="1">
        <v>46224</v>
      </c>
      <c r="J407" t="s">
        <v>1989</v>
      </c>
      <c r="K407" t="s">
        <v>3167</v>
      </c>
      <c r="L407" s="1">
        <v>46224.918321759258</v>
      </c>
      <c r="M407" s="1">
        <v>46224.91962439815</v>
      </c>
    </row>
    <row r="408" spans="1:13" x14ac:dyDescent="0.35">
      <c r="A408" t="s">
        <v>73</v>
      </c>
      <c r="B408" t="s">
        <v>1986</v>
      </c>
      <c r="C408" t="s">
        <v>2055</v>
      </c>
      <c r="D408">
        <v>5.25</v>
      </c>
      <c r="E408" s="1">
        <v>47164</v>
      </c>
      <c r="F408" t="s">
        <v>1988</v>
      </c>
      <c r="G408" t="s">
        <v>2055</v>
      </c>
      <c r="H408" t="s">
        <v>2</v>
      </c>
      <c r="I408" s="1">
        <v>46224</v>
      </c>
      <c r="J408" t="s">
        <v>1989</v>
      </c>
      <c r="K408" t="s">
        <v>3136</v>
      </c>
      <c r="L408" s="1">
        <v>46224.918321759258</v>
      </c>
      <c r="M408" s="1">
        <v>46224.91962439815</v>
      </c>
    </row>
    <row r="409" spans="1:13" x14ac:dyDescent="0.35">
      <c r="A409" t="s">
        <v>73</v>
      </c>
      <c r="B409" t="s">
        <v>1986</v>
      </c>
      <c r="C409" t="s">
        <v>2055</v>
      </c>
      <c r="D409">
        <v>5.25</v>
      </c>
      <c r="E409" s="1">
        <v>47164</v>
      </c>
      <c r="F409" t="s">
        <v>1988</v>
      </c>
      <c r="G409" t="s">
        <v>2055</v>
      </c>
      <c r="H409" t="s">
        <v>2</v>
      </c>
      <c r="I409" s="1">
        <v>46224</v>
      </c>
      <c r="J409" t="s">
        <v>1991</v>
      </c>
      <c r="K409" t="s">
        <v>3112</v>
      </c>
      <c r="L409" s="1">
        <v>46224.918321759258</v>
      </c>
      <c r="M409" s="1">
        <v>46224.91962439815</v>
      </c>
    </row>
    <row r="410" spans="1:13" x14ac:dyDescent="0.35">
      <c r="A410" t="s">
        <v>74</v>
      </c>
      <c r="B410" t="s">
        <v>1986</v>
      </c>
      <c r="C410" t="s">
        <v>2013</v>
      </c>
      <c r="D410">
        <v>3.875</v>
      </c>
      <c r="E410" s="1">
        <v>47223</v>
      </c>
      <c r="F410" t="s">
        <v>2014</v>
      </c>
      <c r="G410" t="s">
        <v>2013</v>
      </c>
      <c r="H410" t="s">
        <v>2</v>
      </c>
      <c r="I410" s="1">
        <v>46224</v>
      </c>
      <c r="J410" t="s">
        <v>1991</v>
      </c>
      <c r="K410" t="s">
        <v>3439</v>
      </c>
      <c r="L410" s="1">
        <v>46224.918321759258</v>
      </c>
      <c r="M410" s="1">
        <v>46224.91962439815</v>
      </c>
    </row>
    <row r="411" spans="1:13" x14ac:dyDescent="0.35">
      <c r="A411" t="s">
        <v>74</v>
      </c>
      <c r="B411" t="s">
        <v>1986</v>
      </c>
      <c r="C411" t="s">
        <v>2013</v>
      </c>
      <c r="D411">
        <v>3.875</v>
      </c>
      <c r="E411" s="1">
        <v>47223</v>
      </c>
      <c r="F411" t="s">
        <v>2014</v>
      </c>
      <c r="G411" t="s">
        <v>2013</v>
      </c>
      <c r="H411" t="s">
        <v>2</v>
      </c>
      <c r="I411" s="1">
        <v>46224</v>
      </c>
      <c r="J411" t="s">
        <v>1989</v>
      </c>
      <c r="K411" t="s">
        <v>3168</v>
      </c>
      <c r="L411" s="1">
        <v>46224.918321759258</v>
      </c>
      <c r="M411" s="1">
        <v>46224.91962439815</v>
      </c>
    </row>
    <row r="412" spans="1:13" x14ac:dyDescent="0.35">
      <c r="A412" t="s">
        <v>52</v>
      </c>
      <c r="B412" t="s">
        <v>1986</v>
      </c>
      <c r="C412" t="s">
        <v>2139</v>
      </c>
      <c r="D412">
        <v>6.125</v>
      </c>
      <c r="E412" s="1">
        <v>47345</v>
      </c>
      <c r="F412" t="s">
        <v>1988</v>
      </c>
      <c r="G412" t="s">
        <v>2139</v>
      </c>
      <c r="H412" t="s">
        <v>2</v>
      </c>
      <c r="I412" s="1">
        <v>46224</v>
      </c>
      <c r="J412" t="s">
        <v>1991</v>
      </c>
      <c r="K412" t="s">
        <v>3193</v>
      </c>
      <c r="L412" s="1">
        <v>46224.918321759258</v>
      </c>
      <c r="M412" s="1">
        <v>46224.91962439815</v>
      </c>
    </row>
    <row r="413" spans="1:13" x14ac:dyDescent="0.35">
      <c r="A413" t="s">
        <v>52</v>
      </c>
      <c r="B413" t="s">
        <v>1986</v>
      </c>
      <c r="C413" t="s">
        <v>2139</v>
      </c>
      <c r="D413">
        <v>6.125</v>
      </c>
      <c r="E413" s="1">
        <v>47345</v>
      </c>
      <c r="F413" t="s">
        <v>1988</v>
      </c>
      <c r="G413" t="s">
        <v>2139</v>
      </c>
      <c r="H413" t="s">
        <v>2</v>
      </c>
      <c r="I413" s="1">
        <v>46224</v>
      </c>
      <c r="J413" t="s">
        <v>1989</v>
      </c>
      <c r="K413" t="s">
        <v>3281</v>
      </c>
      <c r="L413" s="1">
        <v>46224.918321759258</v>
      </c>
      <c r="M413" s="1">
        <v>46224.91962439815</v>
      </c>
    </row>
    <row r="414" spans="1:13" x14ac:dyDescent="0.35">
      <c r="A414" t="s">
        <v>53</v>
      </c>
      <c r="B414" t="s">
        <v>1986</v>
      </c>
      <c r="C414" t="s">
        <v>2015</v>
      </c>
      <c r="D414">
        <v>6.25</v>
      </c>
      <c r="E414" s="1">
        <v>47618</v>
      </c>
      <c r="F414" t="s">
        <v>1988</v>
      </c>
      <c r="G414" t="s">
        <v>2015</v>
      </c>
      <c r="H414" t="s">
        <v>2</v>
      </c>
      <c r="I414" s="1">
        <v>46224</v>
      </c>
      <c r="J414" t="s">
        <v>1989</v>
      </c>
      <c r="K414" t="s">
        <v>3440</v>
      </c>
      <c r="L414" s="1">
        <v>46224.918321759258</v>
      </c>
      <c r="M414" s="1">
        <v>46224.91962439815</v>
      </c>
    </row>
    <row r="415" spans="1:13" x14ac:dyDescent="0.35">
      <c r="A415" t="s">
        <v>53</v>
      </c>
      <c r="B415" t="s">
        <v>1986</v>
      </c>
      <c r="C415" t="s">
        <v>2015</v>
      </c>
      <c r="D415">
        <v>6.25</v>
      </c>
      <c r="E415" s="1">
        <v>47618</v>
      </c>
      <c r="F415" t="s">
        <v>1988</v>
      </c>
      <c r="G415" t="s">
        <v>2015</v>
      </c>
      <c r="H415" t="s">
        <v>2</v>
      </c>
      <c r="I415" s="1">
        <v>46224</v>
      </c>
      <c r="J415" t="s">
        <v>1991</v>
      </c>
      <c r="K415" t="s">
        <v>3282</v>
      </c>
      <c r="L415" s="1">
        <v>46224.918321759258</v>
      </c>
      <c r="M415" s="1">
        <v>46224.91962439815</v>
      </c>
    </row>
    <row r="416" spans="1:13" x14ac:dyDescent="0.35">
      <c r="A416" t="s">
        <v>75</v>
      </c>
      <c r="B416" t="s">
        <v>1986</v>
      </c>
      <c r="C416" t="s">
        <v>2077</v>
      </c>
      <c r="D416">
        <v>5.375</v>
      </c>
      <c r="E416" s="1">
        <v>47894</v>
      </c>
      <c r="F416" t="s">
        <v>1988</v>
      </c>
      <c r="G416" t="s">
        <v>2077</v>
      </c>
      <c r="H416" t="s">
        <v>2</v>
      </c>
      <c r="I416" s="1">
        <v>46224</v>
      </c>
      <c r="J416" t="s">
        <v>1989</v>
      </c>
      <c r="K416" t="s">
        <v>3441</v>
      </c>
      <c r="L416" s="1">
        <v>46224.918321759258</v>
      </c>
      <c r="M416" s="1">
        <v>46224.91962439815</v>
      </c>
    </row>
    <row r="417" spans="1:13" x14ac:dyDescent="0.35">
      <c r="A417" t="s">
        <v>75</v>
      </c>
      <c r="B417" t="s">
        <v>1986</v>
      </c>
      <c r="C417" t="s">
        <v>2077</v>
      </c>
      <c r="D417">
        <v>5.375</v>
      </c>
      <c r="E417" s="1">
        <v>47894</v>
      </c>
      <c r="F417" t="s">
        <v>1988</v>
      </c>
      <c r="G417" t="s">
        <v>2077</v>
      </c>
      <c r="H417" t="s">
        <v>2</v>
      </c>
      <c r="I417" s="1">
        <v>46224</v>
      </c>
      <c r="J417" t="s">
        <v>1991</v>
      </c>
      <c r="K417" t="s">
        <v>3137</v>
      </c>
      <c r="L417" s="1">
        <v>46224.918321759258</v>
      </c>
      <c r="M417" s="1">
        <v>46224.91962439815</v>
      </c>
    </row>
    <row r="418" spans="1:13" x14ac:dyDescent="0.35">
      <c r="A418" t="s">
        <v>76</v>
      </c>
      <c r="B418" t="s">
        <v>1986</v>
      </c>
      <c r="C418" t="s">
        <v>2056</v>
      </c>
      <c r="D418">
        <v>3.375</v>
      </c>
      <c r="E418" s="1">
        <v>48319</v>
      </c>
      <c r="F418" t="s">
        <v>2014</v>
      </c>
      <c r="G418" t="s">
        <v>2056</v>
      </c>
      <c r="H418" t="s">
        <v>2</v>
      </c>
      <c r="I418" s="1">
        <v>46224</v>
      </c>
      <c r="J418" t="s">
        <v>1989</v>
      </c>
      <c r="K418" t="s">
        <v>3194</v>
      </c>
      <c r="L418" s="1">
        <v>46224.918321759258</v>
      </c>
      <c r="M418" s="1">
        <v>46224.91962439815</v>
      </c>
    </row>
    <row r="419" spans="1:13" x14ac:dyDescent="0.35">
      <c r="A419" t="s">
        <v>76</v>
      </c>
      <c r="B419" t="s">
        <v>1986</v>
      </c>
      <c r="C419" t="s">
        <v>2056</v>
      </c>
      <c r="D419">
        <v>3.375</v>
      </c>
      <c r="E419" s="1">
        <v>48319</v>
      </c>
      <c r="F419" t="s">
        <v>2014</v>
      </c>
      <c r="G419" t="s">
        <v>2056</v>
      </c>
      <c r="H419" t="s">
        <v>2</v>
      </c>
      <c r="I419" s="1">
        <v>46224</v>
      </c>
      <c r="J419" t="s">
        <v>1991</v>
      </c>
      <c r="K419" t="s">
        <v>3169</v>
      </c>
      <c r="L419" s="1">
        <v>46224.918321759258</v>
      </c>
      <c r="M419" s="1">
        <v>46224.91962439815</v>
      </c>
    </row>
    <row r="420" spans="1:13" x14ac:dyDescent="0.35">
      <c r="A420" t="s">
        <v>140</v>
      </c>
      <c r="B420" t="s">
        <v>1986</v>
      </c>
      <c r="C420" t="s">
        <v>2040</v>
      </c>
      <c r="D420">
        <v>4.5</v>
      </c>
      <c r="E420" s="1">
        <v>49720</v>
      </c>
      <c r="F420" t="s">
        <v>1988</v>
      </c>
      <c r="G420" t="s">
        <v>2040</v>
      </c>
      <c r="H420" t="s">
        <v>2</v>
      </c>
      <c r="I420" s="1">
        <v>46224</v>
      </c>
      <c r="J420" t="s">
        <v>1989</v>
      </c>
      <c r="K420" t="s">
        <v>2548</v>
      </c>
      <c r="L420" s="1">
        <v>46224.918321759258</v>
      </c>
      <c r="M420" s="1">
        <v>46224.91962439815</v>
      </c>
    </row>
    <row r="421" spans="1:13" x14ac:dyDescent="0.35">
      <c r="A421" t="s">
        <v>140</v>
      </c>
      <c r="B421" t="s">
        <v>1986</v>
      </c>
      <c r="C421" t="s">
        <v>2040</v>
      </c>
      <c r="D421">
        <v>4.5</v>
      </c>
      <c r="E421" s="1">
        <v>49720</v>
      </c>
      <c r="F421" t="s">
        <v>1988</v>
      </c>
      <c r="G421" t="s">
        <v>2040</v>
      </c>
      <c r="H421" t="s">
        <v>2</v>
      </c>
      <c r="I421" s="1">
        <v>46224</v>
      </c>
      <c r="J421" t="s">
        <v>1991</v>
      </c>
      <c r="K421" t="s">
        <v>2411</v>
      </c>
      <c r="L421" s="1">
        <v>46224.918321759258</v>
      </c>
      <c r="M421" s="1">
        <v>46224.91962439815</v>
      </c>
    </row>
    <row r="422" spans="1:13" x14ac:dyDescent="0.35">
      <c r="A422" t="s">
        <v>54</v>
      </c>
      <c r="B422" t="s">
        <v>1986</v>
      </c>
      <c r="C422" t="s">
        <v>2041</v>
      </c>
      <c r="D422">
        <v>2.375</v>
      </c>
      <c r="E422" s="1">
        <v>46402</v>
      </c>
      <c r="F422" t="s">
        <v>2014</v>
      </c>
      <c r="G422" t="s">
        <v>2041</v>
      </c>
      <c r="H422" t="s">
        <v>2</v>
      </c>
      <c r="I422" s="1">
        <v>46224</v>
      </c>
      <c r="J422" t="s">
        <v>1991</v>
      </c>
      <c r="K422" t="s">
        <v>2806</v>
      </c>
      <c r="L422" s="1">
        <v>46224.918321759258</v>
      </c>
      <c r="M422" s="1">
        <v>46224.91962439815</v>
      </c>
    </row>
    <row r="423" spans="1:13" x14ac:dyDescent="0.35">
      <c r="A423" t="s">
        <v>54</v>
      </c>
      <c r="B423" t="s">
        <v>1986</v>
      </c>
      <c r="C423" t="s">
        <v>2041</v>
      </c>
      <c r="D423">
        <v>2.375</v>
      </c>
      <c r="E423" s="1">
        <v>46402</v>
      </c>
      <c r="F423" t="s">
        <v>2014</v>
      </c>
      <c r="G423" t="s">
        <v>2041</v>
      </c>
      <c r="H423" t="s">
        <v>2</v>
      </c>
      <c r="I423" s="1">
        <v>46224</v>
      </c>
      <c r="J423" t="s">
        <v>1989</v>
      </c>
      <c r="K423" t="s">
        <v>3138</v>
      </c>
      <c r="L423" s="1">
        <v>46224.918321759258</v>
      </c>
      <c r="M423" s="1">
        <v>46224.91962439815</v>
      </c>
    </row>
    <row r="424" spans="1:13" x14ac:dyDescent="0.35">
      <c r="A424" t="s">
        <v>96</v>
      </c>
      <c r="B424" t="s">
        <v>1986</v>
      </c>
      <c r="C424" t="s">
        <v>2140</v>
      </c>
      <c r="D424">
        <v>4.75</v>
      </c>
      <c r="E424" s="1">
        <v>50086</v>
      </c>
      <c r="F424" t="s">
        <v>1988</v>
      </c>
      <c r="G424" t="s">
        <v>2140</v>
      </c>
      <c r="H424" t="s">
        <v>2</v>
      </c>
      <c r="I424" s="1">
        <v>46224</v>
      </c>
      <c r="J424" t="s">
        <v>1991</v>
      </c>
      <c r="K424" t="s">
        <v>3113</v>
      </c>
      <c r="L424" s="1">
        <v>46224.918321759258</v>
      </c>
      <c r="M424" s="1">
        <v>46224.91962439815</v>
      </c>
    </row>
    <row r="425" spans="1:13" x14ac:dyDescent="0.35">
      <c r="A425" t="s">
        <v>96</v>
      </c>
      <c r="B425" t="s">
        <v>1986</v>
      </c>
      <c r="C425" t="s">
        <v>2140</v>
      </c>
      <c r="D425">
        <v>4.75</v>
      </c>
      <c r="E425" s="1">
        <v>50086</v>
      </c>
      <c r="F425" t="s">
        <v>1988</v>
      </c>
      <c r="G425" t="s">
        <v>2140</v>
      </c>
      <c r="H425" t="s">
        <v>2</v>
      </c>
      <c r="I425" s="1">
        <v>46224</v>
      </c>
      <c r="J425" t="s">
        <v>1989</v>
      </c>
      <c r="K425" t="s">
        <v>3283</v>
      </c>
      <c r="L425" s="1">
        <v>46224.918321759258</v>
      </c>
      <c r="M425" s="1">
        <v>46224.91962439815</v>
      </c>
    </row>
    <row r="426" spans="1:13" x14ac:dyDescent="0.35">
      <c r="A426" t="s">
        <v>77</v>
      </c>
      <c r="B426" t="s">
        <v>1986</v>
      </c>
      <c r="C426" t="s">
        <v>2016</v>
      </c>
      <c r="D426">
        <v>5</v>
      </c>
      <c r="E426" s="1">
        <v>50175</v>
      </c>
      <c r="F426" t="s">
        <v>1988</v>
      </c>
      <c r="G426" t="s">
        <v>2016</v>
      </c>
      <c r="H426" t="s">
        <v>2</v>
      </c>
      <c r="I426" s="1">
        <v>46224</v>
      </c>
      <c r="J426" t="s">
        <v>1991</v>
      </c>
      <c r="K426" t="s">
        <v>3195</v>
      </c>
      <c r="L426" s="1">
        <v>46224.918321759258</v>
      </c>
      <c r="M426" s="1">
        <v>46224.91962439815</v>
      </c>
    </row>
    <row r="427" spans="1:13" x14ac:dyDescent="0.35">
      <c r="A427" t="s">
        <v>77</v>
      </c>
      <c r="B427" t="s">
        <v>1986</v>
      </c>
      <c r="C427" t="s">
        <v>2016</v>
      </c>
      <c r="D427">
        <v>5</v>
      </c>
      <c r="E427" s="1">
        <v>50175</v>
      </c>
      <c r="F427" t="s">
        <v>1988</v>
      </c>
      <c r="G427" t="s">
        <v>2016</v>
      </c>
      <c r="H427" t="s">
        <v>2</v>
      </c>
      <c r="I427" s="1">
        <v>46224</v>
      </c>
      <c r="J427" t="s">
        <v>1989</v>
      </c>
      <c r="K427" t="s">
        <v>3170</v>
      </c>
      <c r="L427" s="1">
        <v>46224.918321759258</v>
      </c>
      <c r="M427" s="1">
        <v>46224.91962439815</v>
      </c>
    </row>
    <row r="428" spans="1:13" x14ac:dyDescent="0.35">
      <c r="A428" t="s">
        <v>130</v>
      </c>
      <c r="B428" t="s">
        <v>1986</v>
      </c>
      <c r="C428" t="s">
        <v>2017</v>
      </c>
      <c r="D428">
        <v>1.75</v>
      </c>
      <c r="E428" s="1">
        <v>46767</v>
      </c>
      <c r="F428" t="s">
        <v>2014</v>
      </c>
      <c r="G428" t="s">
        <v>2017</v>
      </c>
      <c r="H428" t="s">
        <v>2</v>
      </c>
      <c r="I428" s="1">
        <v>46224</v>
      </c>
      <c r="J428" t="s">
        <v>1989</v>
      </c>
      <c r="K428" t="s">
        <v>2895</v>
      </c>
      <c r="L428" s="1">
        <v>46224.918321759258</v>
      </c>
      <c r="M428" s="1">
        <v>46224.91962439815</v>
      </c>
    </row>
    <row r="429" spans="1:13" x14ac:dyDescent="0.35">
      <c r="A429" t="s">
        <v>130</v>
      </c>
      <c r="B429" t="s">
        <v>1986</v>
      </c>
      <c r="C429" t="s">
        <v>2017</v>
      </c>
      <c r="D429">
        <v>1.75</v>
      </c>
      <c r="E429" s="1">
        <v>46767</v>
      </c>
      <c r="F429" t="s">
        <v>2014</v>
      </c>
      <c r="G429" t="s">
        <v>2017</v>
      </c>
      <c r="H429" t="s">
        <v>2</v>
      </c>
      <c r="I429" s="1">
        <v>46224</v>
      </c>
      <c r="J429" t="s">
        <v>1991</v>
      </c>
      <c r="K429" t="s">
        <v>3289</v>
      </c>
      <c r="L429" s="1">
        <v>46224.918321759258</v>
      </c>
      <c r="M429" s="1">
        <v>46224.91962439815</v>
      </c>
    </row>
    <row r="430" spans="1:13" x14ac:dyDescent="0.35">
      <c r="A430" t="s">
        <v>33</v>
      </c>
      <c r="B430" t="s">
        <v>1986</v>
      </c>
      <c r="C430" t="s">
        <v>2057</v>
      </c>
      <c r="D430">
        <v>4.375</v>
      </c>
      <c r="E430" s="1">
        <v>50451</v>
      </c>
      <c r="F430" t="s">
        <v>1988</v>
      </c>
      <c r="G430" t="s">
        <v>2057</v>
      </c>
      <c r="H430" t="s">
        <v>2</v>
      </c>
      <c r="I430" s="1">
        <v>46224</v>
      </c>
      <c r="J430" t="s">
        <v>1989</v>
      </c>
      <c r="K430" t="s">
        <v>3442</v>
      </c>
      <c r="L430" s="1">
        <v>46224.918321759258</v>
      </c>
      <c r="M430" s="1">
        <v>46224.91962439815</v>
      </c>
    </row>
    <row r="431" spans="1:13" x14ac:dyDescent="0.35">
      <c r="A431" t="s">
        <v>33</v>
      </c>
      <c r="B431" t="s">
        <v>1986</v>
      </c>
      <c r="C431" t="s">
        <v>2057</v>
      </c>
      <c r="D431">
        <v>4.375</v>
      </c>
      <c r="E431" s="1">
        <v>50451</v>
      </c>
      <c r="F431" t="s">
        <v>1988</v>
      </c>
      <c r="G431" t="s">
        <v>2057</v>
      </c>
      <c r="H431" t="s">
        <v>2</v>
      </c>
      <c r="I431" s="1">
        <v>46224</v>
      </c>
      <c r="J431" t="s">
        <v>1991</v>
      </c>
      <c r="K431" t="s">
        <v>2965</v>
      </c>
      <c r="L431" s="1">
        <v>46224.918321759258</v>
      </c>
      <c r="M431" s="1">
        <v>46224.91962439815</v>
      </c>
    </row>
    <row r="432" spans="1:13" x14ac:dyDescent="0.35">
      <c r="A432" t="s">
        <v>131</v>
      </c>
      <c r="B432" t="s">
        <v>1986</v>
      </c>
      <c r="C432" t="s">
        <v>2141</v>
      </c>
      <c r="D432">
        <v>4.5</v>
      </c>
      <c r="E432" s="1">
        <v>50540</v>
      </c>
      <c r="F432" t="s">
        <v>1988</v>
      </c>
      <c r="G432" t="s">
        <v>2141</v>
      </c>
      <c r="H432" t="s">
        <v>2</v>
      </c>
      <c r="I432" s="1">
        <v>46224</v>
      </c>
      <c r="J432" t="s">
        <v>1989</v>
      </c>
      <c r="K432" t="s">
        <v>3139</v>
      </c>
      <c r="L432" s="1">
        <v>46224.918321759258</v>
      </c>
      <c r="M432" s="1">
        <v>46224.91962439815</v>
      </c>
    </row>
    <row r="433" spans="1:13" x14ac:dyDescent="0.35">
      <c r="A433" t="s">
        <v>131</v>
      </c>
      <c r="B433" t="s">
        <v>1986</v>
      </c>
      <c r="C433" t="s">
        <v>2141</v>
      </c>
      <c r="D433">
        <v>4.5</v>
      </c>
      <c r="E433" s="1">
        <v>50540</v>
      </c>
      <c r="F433" t="s">
        <v>1988</v>
      </c>
      <c r="G433" t="s">
        <v>2141</v>
      </c>
      <c r="H433" t="s">
        <v>2</v>
      </c>
      <c r="I433" s="1">
        <v>46224</v>
      </c>
      <c r="J433" t="s">
        <v>1991</v>
      </c>
      <c r="K433" t="s">
        <v>2748</v>
      </c>
      <c r="L433" s="1">
        <v>46224.918321759258</v>
      </c>
      <c r="M433" s="1">
        <v>46224.91962439815</v>
      </c>
    </row>
    <row r="434" spans="1:13" x14ac:dyDescent="0.35">
      <c r="A434" t="s">
        <v>55</v>
      </c>
      <c r="B434" t="s">
        <v>1986</v>
      </c>
      <c r="C434" t="s">
        <v>2089</v>
      </c>
      <c r="D434">
        <v>2.5</v>
      </c>
      <c r="E434" s="1">
        <v>47133</v>
      </c>
      <c r="F434" t="s">
        <v>2014</v>
      </c>
      <c r="G434" t="s">
        <v>2089</v>
      </c>
      <c r="H434" t="s">
        <v>2</v>
      </c>
      <c r="I434" s="1">
        <v>46224</v>
      </c>
      <c r="J434" t="s">
        <v>1989</v>
      </c>
      <c r="K434" t="s">
        <v>3085</v>
      </c>
      <c r="L434" s="1">
        <v>46224.918321759258</v>
      </c>
      <c r="M434" s="1">
        <v>46224.91962439815</v>
      </c>
    </row>
    <row r="435" spans="1:13" x14ac:dyDescent="0.35">
      <c r="A435" t="s">
        <v>55</v>
      </c>
      <c r="B435" t="s">
        <v>1986</v>
      </c>
      <c r="C435" t="s">
        <v>2089</v>
      </c>
      <c r="D435">
        <v>2.5</v>
      </c>
      <c r="E435" s="1">
        <v>47133</v>
      </c>
      <c r="F435" t="s">
        <v>2014</v>
      </c>
      <c r="G435" t="s">
        <v>2089</v>
      </c>
      <c r="H435" t="s">
        <v>2</v>
      </c>
      <c r="I435" s="1">
        <v>46224</v>
      </c>
      <c r="J435" t="s">
        <v>1991</v>
      </c>
      <c r="K435" t="s">
        <v>3086</v>
      </c>
      <c r="L435" s="1">
        <v>46224.918321759258</v>
      </c>
      <c r="M435" s="1">
        <v>46224.91962439815</v>
      </c>
    </row>
    <row r="436" spans="1:13" x14ac:dyDescent="0.35">
      <c r="A436" t="s">
        <v>124</v>
      </c>
      <c r="B436" t="s">
        <v>1986</v>
      </c>
      <c r="C436" t="s">
        <v>2094</v>
      </c>
      <c r="D436">
        <v>3.5</v>
      </c>
      <c r="E436" s="1">
        <v>50816</v>
      </c>
      <c r="F436" t="s">
        <v>1988</v>
      </c>
      <c r="G436" t="s">
        <v>2094</v>
      </c>
      <c r="H436" t="s">
        <v>2</v>
      </c>
      <c r="I436" s="1">
        <v>46224</v>
      </c>
      <c r="J436" t="s">
        <v>1991</v>
      </c>
      <c r="K436" t="s">
        <v>3214</v>
      </c>
      <c r="L436" s="1">
        <v>46224.918321759258</v>
      </c>
      <c r="M436" s="1">
        <v>46224.91962439815</v>
      </c>
    </row>
    <row r="437" spans="1:13" x14ac:dyDescent="0.35">
      <c r="A437" t="s">
        <v>124</v>
      </c>
      <c r="B437" t="s">
        <v>1986</v>
      </c>
      <c r="C437" t="s">
        <v>2094</v>
      </c>
      <c r="D437">
        <v>3.5</v>
      </c>
      <c r="E437" s="1">
        <v>50816</v>
      </c>
      <c r="F437" t="s">
        <v>1988</v>
      </c>
      <c r="G437" t="s">
        <v>2094</v>
      </c>
      <c r="H437" t="s">
        <v>2</v>
      </c>
      <c r="I437" s="1">
        <v>46224</v>
      </c>
      <c r="J437" t="s">
        <v>1989</v>
      </c>
      <c r="K437" t="s">
        <v>3290</v>
      </c>
      <c r="L437" s="1">
        <v>46224.918321759258</v>
      </c>
      <c r="M437" s="1">
        <v>46224.91962439815</v>
      </c>
    </row>
    <row r="438" spans="1:13" x14ac:dyDescent="0.35">
      <c r="A438" t="s">
        <v>132</v>
      </c>
      <c r="B438" t="s">
        <v>1986</v>
      </c>
      <c r="C438" t="s">
        <v>2142</v>
      </c>
      <c r="D438">
        <v>4.25</v>
      </c>
      <c r="E438" s="1">
        <v>50905</v>
      </c>
      <c r="F438" t="s">
        <v>1988</v>
      </c>
      <c r="G438" t="s">
        <v>2142</v>
      </c>
      <c r="H438" t="s">
        <v>2</v>
      </c>
      <c r="I438" s="1">
        <v>46224</v>
      </c>
      <c r="J438" t="s">
        <v>1989</v>
      </c>
      <c r="K438" t="s">
        <v>3140</v>
      </c>
      <c r="L438" s="1">
        <v>46224.918321759258</v>
      </c>
      <c r="M438" s="1">
        <v>46224.91962439815</v>
      </c>
    </row>
    <row r="439" spans="1:13" x14ac:dyDescent="0.35">
      <c r="A439" t="s">
        <v>132</v>
      </c>
      <c r="B439" t="s">
        <v>1986</v>
      </c>
      <c r="C439" t="s">
        <v>2142</v>
      </c>
      <c r="D439">
        <v>4.25</v>
      </c>
      <c r="E439" s="1">
        <v>50905</v>
      </c>
      <c r="F439" t="s">
        <v>1988</v>
      </c>
      <c r="G439" t="s">
        <v>2142</v>
      </c>
      <c r="H439" t="s">
        <v>2</v>
      </c>
      <c r="I439" s="1">
        <v>46224</v>
      </c>
      <c r="J439" t="s">
        <v>1991</v>
      </c>
      <c r="K439" t="s">
        <v>3087</v>
      </c>
      <c r="L439" s="1">
        <v>46224.918321759258</v>
      </c>
      <c r="M439" s="1">
        <v>46224.91962439815</v>
      </c>
    </row>
    <row r="440" spans="1:13" x14ac:dyDescent="0.35">
      <c r="A440" t="s">
        <v>56</v>
      </c>
      <c r="B440" t="s">
        <v>1986</v>
      </c>
      <c r="C440" t="s">
        <v>2078</v>
      </c>
      <c r="D440">
        <v>4.5</v>
      </c>
      <c r="E440" s="1">
        <v>50997</v>
      </c>
      <c r="F440" t="s">
        <v>1988</v>
      </c>
      <c r="G440" t="s">
        <v>2078</v>
      </c>
      <c r="H440" t="s">
        <v>2</v>
      </c>
      <c r="I440" s="1">
        <v>46224</v>
      </c>
      <c r="J440" t="s">
        <v>1991</v>
      </c>
      <c r="K440" t="s">
        <v>2468</v>
      </c>
      <c r="L440" s="1">
        <v>46224.918321759258</v>
      </c>
      <c r="M440" s="1">
        <v>46224.91962439815</v>
      </c>
    </row>
    <row r="441" spans="1:13" x14ac:dyDescent="0.35">
      <c r="A441" t="s">
        <v>56</v>
      </c>
      <c r="B441" t="s">
        <v>1986</v>
      </c>
      <c r="C441" t="s">
        <v>2078</v>
      </c>
      <c r="D441">
        <v>4.5</v>
      </c>
      <c r="E441" s="1">
        <v>50997</v>
      </c>
      <c r="F441" t="s">
        <v>1988</v>
      </c>
      <c r="G441" t="s">
        <v>2078</v>
      </c>
      <c r="H441" t="s">
        <v>2</v>
      </c>
      <c r="I441" s="1">
        <v>46224</v>
      </c>
      <c r="J441" t="s">
        <v>1989</v>
      </c>
      <c r="K441" t="s">
        <v>3114</v>
      </c>
      <c r="L441" s="1">
        <v>46224.918321759258</v>
      </c>
      <c r="M441" s="1">
        <v>46224.91962439815</v>
      </c>
    </row>
    <row r="442" spans="1:13" x14ac:dyDescent="0.35">
      <c r="A442" t="s">
        <v>78</v>
      </c>
      <c r="B442" t="s">
        <v>1986</v>
      </c>
      <c r="C442" t="s">
        <v>2095</v>
      </c>
      <c r="D442">
        <v>4.375</v>
      </c>
      <c r="E442" s="1">
        <v>51089</v>
      </c>
      <c r="F442" t="s">
        <v>1988</v>
      </c>
      <c r="G442" t="s">
        <v>2095</v>
      </c>
      <c r="H442" t="s">
        <v>2</v>
      </c>
      <c r="I442" s="1">
        <v>46224</v>
      </c>
      <c r="J442" t="s">
        <v>1989</v>
      </c>
      <c r="K442" t="s">
        <v>3141</v>
      </c>
      <c r="L442" s="1">
        <v>46224.918321759258</v>
      </c>
      <c r="M442" s="1">
        <v>46224.91962439815</v>
      </c>
    </row>
    <row r="443" spans="1:13" x14ac:dyDescent="0.35">
      <c r="A443" t="s">
        <v>78</v>
      </c>
      <c r="B443" t="s">
        <v>1986</v>
      </c>
      <c r="C443" t="s">
        <v>2095</v>
      </c>
      <c r="D443">
        <v>4.375</v>
      </c>
      <c r="E443" s="1">
        <v>51089</v>
      </c>
      <c r="F443" t="s">
        <v>1988</v>
      </c>
      <c r="G443" t="s">
        <v>2095</v>
      </c>
      <c r="H443" t="s">
        <v>2</v>
      </c>
      <c r="I443" s="1">
        <v>46224</v>
      </c>
      <c r="J443" t="s">
        <v>1991</v>
      </c>
      <c r="K443" t="s">
        <v>2407</v>
      </c>
      <c r="L443" s="1">
        <v>46224.918321759258</v>
      </c>
      <c r="M443" s="1">
        <v>46224.91962439815</v>
      </c>
    </row>
    <row r="444" spans="1:13" x14ac:dyDescent="0.35">
      <c r="A444" t="s">
        <v>161</v>
      </c>
      <c r="B444" t="s">
        <v>1986</v>
      </c>
      <c r="C444" t="s">
        <v>2058</v>
      </c>
      <c r="D444">
        <v>4.625</v>
      </c>
      <c r="E444" s="1">
        <v>51181</v>
      </c>
      <c r="F444" t="s">
        <v>1988</v>
      </c>
      <c r="G444" t="s">
        <v>2058</v>
      </c>
      <c r="H444" t="s">
        <v>2</v>
      </c>
      <c r="I444" s="1">
        <v>46224</v>
      </c>
      <c r="J444" t="s">
        <v>1989</v>
      </c>
      <c r="K444" t="s">
        <v>3033</v>
      </c>
      <c r="L444" s="1">
        <v>46224.918321759258</v>
      </c>
      <c r="M444" s="1">
        <v>46224.91962439815</v>
      </c>
    </row>
    <row r="445" spans="1:13" x14ac:dyDescent="0.35">
      <c r="A445" t="s">
        <v>161</v>
      </c>
      <c r="B445" t="s">
        <v>1986</v>
      </c>
      <c r="C445" t="s">
        <v>2058</v>
      </c>
      <c r="D445">
        <v>4.625</v>
      </c>
      <c r="E445" s="1">
        <v>51181</v>
      </c>
      <c r="F445" t="s">
        <v>1988</v>
      </c>
      <c r="G445" t="s">
        <v>2058</v>
      </c>
      <c r="H445" t="s">
        <v>2</v>
      </c>
      <c r="I445" s="1">
        <v>46224</v>
      </c>
      <c r="J445" t="s">
        <v>1991</v>
      </c>
      <c r="K445" t="s">
        <v>4078</v>
      </c>
      <c r="L445" s="1">
        <v>46224.918321759258</v>
      </c>
      <c r="M445" s="1">
        <v>46224.91962439815</v>
      </c>
    </row>
    <row r="446" spans="1:13" x14ac:dyDescent="0.35">
      <c r="A446" t="s">
        <v>133</v>
      </c>
      <c r="B446" t="s">
        <v>1986</v>
      </c>
      <c r="C446" t="s">
        <v>2145</v>
      </c>
      <c r="D446">
        <v>2.125</v>
      </c>
      <c r="E446" s="1">
        <v>51181</v>
      </c>
      <c r="F446" t="s">
        <v>2014</v>
      </c>
      <c r="G446" t="s">
        <v>2145</v>
      </c>
      <c r="H446" t="s">
        <v>2</v>
      </c>
      <c r="I446" s="1">
        <v>46224</v>
      </c>
      <c r="J446" t="s">
        <v>1989</v>
      </c>
      <c r="K446" t="s">
        <v>3088</v>
      </c>
      <c r="L446" s="1">
        <v>46224.918321759258</v>
      </c>
      <c r="M446" s="1">
        <v>46224.91962439815</v>
      </c>
    </row>
    <row r="447" spans="1:13" x14ac:dyDescent="0.35">
      <c r="A447" t="s">
        <v>133</v>
      </c>
      <c r="B447" t="s">
        <v>1986</v>
      </c>
      <c r="C447" t="s">
        <v>2145</v>
      </c>
      <c r="D447">
        <v>2.125</v>
      </c>
      <c r="E447" s="1">
        <v>51181</v>
      </c>
      <c r="F447" t="s">
        <v>2014</v>
      </c>
      <c r="G447" t="s">
        <v>2145</v>
      </c>
      <c r="H447" t="s">
        <v>2</v>
      </c>
      <c r="I447" s="1">
        <v>46224</v>
      </c>
      <c r="J447" t="s">
        <v>1991</v>
      </c>
      <c r="K447" t="s">
        <v>3291</v>
      </c>
      <c r="L447" s="1">
        <v>46224.918321759258</v>
      </c>
      <c r="M447" s="1">
        <v>46224.91962439815</v>
      </c>
    </row>
    <row r="448" spans="1:13" x14ac:dyDescent="0.35">
      <c r="A448" t="s">
        <v>34</v>
      </c>
      <c r="B448" t="s">
        <v>1986</v>
      </c>
      <c r="C448" t="s">
        <v>2018</v>
      </c>
      <c r="D448">
        <v>4.375</v>
      </c>
      <c r="E448" s="1">
        <v>51271</v>
      </c>
      <c r="F448" t="s">
        <v>1988</v>
      </c>
      <c r="G448" t="s">
        <v>2018</v>
      </c>
      <c r="H448" t="s">
        <v>2</v>
      </c>
      <c r="I448" s="1">
        <v>46224</v>
      </c>
      <c r="J448" t="s">
        <v>1991</v>
      </c>
      <c r="K448" t="s">
        <v>3142</v>
      </c>
      <c r="L448" s="1">
        <v>46224.918321759258</v>
      </c>
      <c r="M448" s="1">
        <v>46224.91962439815</v>
      </c>
    </row>
    <row r="449" spans="1:13" x14ac:dyDescent="0.35">
      <c r="A449" t="s">
        <v>34</v>
      </c>
      <c r="B449" t="s">
        <v>1986</v>
      </c>
      <c r="C449" t="s">
        <v>2018</v>
      </c>
      <c r="D449">
        <v>4.375</v>
      </c>
      <c r="E449" s="1">
        <v>51271</v>
      </c>
      <c r="F449" t="s">
        <v>1988</v>
      </c>
      <c r="G449" t="s">
        <v>2018</v>
      </c>
      <c r="H449" t="s">
        <v>2</v>
      </c>
      <c r="I449" s="1">
        <v>46224</v>
      </c>
      <c r="J449" t="s">
        <v>1989</v>
      </c>
      <c r="K449" t="s">
        <v>3568</v>
      </c>
      <c r="L449" s="1">
        <v>46224.918321759258</v>
      </c>
      <c r="M449" s="1">
        <v>46224.91962439815</v>
      </c>
    </row>
    <row r="450" spans="1:13" x14ac:dyDescent="0.35">
      <c r="A450" t="s">
        <v>57</v>
      </c>
      <c r="B450" t="s">
        <v>1986</v>
      </c>
      <c r="C450" t="s">
        <v>2060</v>
      </c>
      <c r="D450">
        <v>3.875</v>
      </c>
      <c r="E450" s="1">
        <v>51363</v>
      </c>
      <c r="F450" t="s">
        <v>1988</v>
      </c>
      <c r="G450" t="s">
        <v>2060</v>
      </c>
      <c r="H450" t="s">
        <v>2</v>
      </c>
      <c r="I450" s="1">
        <v>46224</v>
      </c>
      <c r="J450" t="s">
        <v>1989</v>
      </c>
      <c r="K450" t="s">
        <v>3115</v>
      </c>
      <c r="L450" s="1">
        <v>46224.918321759258</v>
      </c>
      <c r="M450" s="1">
        <v>46224.91962439815</v>
      </c>
    </row>
    <row r="451" spans="1:13" x14ac:dyDescent="0.35">
      <c r="A451" t="s">
        <v>57</v>
      </c>
      <c r="B451" t="s">
        <v>1986</v>
      </c>
      <c r="C451" t="s">
        <v>2060</v>
      </c>
      <c r="D451">
        <v>3.875</v>
      </c>
      <c r="E451" s="1">
        <v>51363</v>
      </c>
      <c r="F451" t="s">
        <v>1988</v>
      </c>
      <c r="G451" t="s">
        <v>2060</v>
      </c>
      <c r="H451" t="s">
        <v>2</v>
      </c>
      <c r="I451" s="1">
        <v>46224</v>
      </c>
      <c r="J451" t="s">
        <v>1991</v>
      </c>
      <c r="K451" t="s">
        <v>3116</v>
      </c>
      <c r="L451" s="1">
        <v>46224.918321759258</v>
      </c>
      <c r="M451" s="1">
        <v>46224.91962439815</v>
      </c>
    </row>
    <row r="452" spans="1:13" x14ac:dyDescent="0.35">
      <c r="A452" t="s">
        <v>58</v>
      </c>
      <c r="B452" t="s">
        <v>1986</v>
      </c>
      <c r="C452" t="s">
        <v>2080</v>
      </c>
      <c r="D452">
        <v>4.25</v>
      </c>
      <c r="E452" s="1">
        <v>51455</v>
      </c>
      <c r="F452" t="s">
        <v>1988</v>
      </c>
      <c r="G452" t="s">
        <v>2080</v>
      </c>
      <c r="H452" t="s">
        <v>2</v>
      </c>
      <c r="I452" s="1">
        <v>46224</v>
      </c>
      <c r="J452" t="s">
        <v>1991</v>
      </c>
      <c r="K452" t="s">
        <v>3143</v>
      </c>
      <c r="L452" s="1">
        <v>46224.918321759258</v>
      </c>
      <c r="M452" s="1">
        <v>46224.91962439815</v>
      </c>
    </row>
    <row r="453" spans="1:13" x14ac:dyDescent="0.35">
      <c r="A453" t="s">
        <v>58</v>
      </c>
      <c r="B453" t="s">
        <v>1986</v>
      </c>
      <c r="C453" t="s">
        <v>2080</v>
      </c>
      <c r="D453">
        <v>4.25</v>
      </c>
      <c r="E453" s="1">
        <v>51455</v>
      </c>
      <c r="F453" t="s">
        <v>1988</v>
      </c>
      <c r="G453" t="s">
        <v>2080</v>
      </c>
      <c r="H453" t="s">
        <v>2</v>
      </c>
      <c r="I453" s="1">
        <v>46224</v>
      </c>
      <c r="J453" t="s">
        <v>1989</v>
      </c>
      <c r="K453" t="s">
        <v>3117</v>
      </c>
      <c r="L453" s="1">
        <v>46224.918321759258</v>
      </c>
      <c r="M453" s="1">
        <v>46224.91962439815</v>
      </c>
    </row>
    <row r="454" spans="1:13" x14ac:dyDescent="0.35">
      <c r="A454" t="s">
        <v>125</v>
      </c>
      <c r="B454" t="s">
        <v>1986</v>
      </c>
      <c r="C454" t="s">
        <v>2061</v>
      </c>
      <c r="D454">
        <v>4.75</v>
      </c>
      <c r="E454" s="1">
        <v>51547</v>
      </c>
      <c r="F454" t="s">
        <v>1988</v>
      </c>
      <c r="G454" t="s">
        <v>2061</v>
      </c>
      <c r="H454" t="s">
        <v>2</v>
      </c>
      <c r="I454" s="1">
        <v>46224</v>
      </c>
      <c r="J454" t="s">
        <v>1991</v>
      </c>
      <c r="K454" t="s">
        <v>2296</v>
      </c>
      <c r="L454" s="1">
        <v>46224.918321759258</v>
      </c>
      <c r="M454" s="1">
        <v>46224.91962439815</v>
      </c>
    </row>
    <row r="455" spans="1:13" x14ac:dyDescent="0.35">
      <c r="A455" t="s">
        <v>125</v>
      </c>
      <c r="B455" t="s">
        <v>1986</v>
      </c>
      <c r="C455" t="s">
        <v>2061</v>
      </c>
      <c r="D455">
        <v>4.75</v>
      </c>
      <c r="E455" s="1">
        <v>51547</v>
      </c>
      <c r="F455" t="s">
        <v>1988</v>
      </c>
      <c r="G455" t="s">
        <v>2061</v>
      </c>
      <c r="H455" t="s">
        <v>2</v>
      </c>
      <c r="I455" s="1">
        <v>46224</v>
      </c>
      <c r="J455" t="s">
        <v>1989</v>
      </c>
      <c r="K455" t="s">
        <v>2992</v>
      </c>
      <c r="L455" s="1">
        <v>46224.918321759258</v>
      </c>
      <c r="M455" s="1">
        <v>46224.91962439815</v>
      </c>
    </row>
    <row r="456" spans="1:13" x14ac:dyDescent="0.35">
      <c r="A456" t="s">
        <v>35</v>
      </c>
      <c r="B456" t="s">
        <v>1986</v>
      </c>
      <c r="C456" t="s">
        <v>2081</v>
      </c>
      <c r="D456">
        <v>2.125</v>
      </c>
      <c r="E456" s="1">
        <v>51547</v>
      </c>
      <c r="F456" t="s">
        <v>2014</v>
      </c>
      <c r="G456" t="s">
        <v>2081</v>
      </c>
      <c r="H456" t="s">
        <v>2</v>
      </c>
      <c r="I456" s="1">
        <v>46224</v>
      </c>
      <c r="J456" t="s">
        <v>1991</v>
      </c>
      <c r="K456" t="s">
        <v>3089</v>
      </c>
      <c r="L456" s="1">
        <v>46224.918321759258</v>
      </c>
      <c r="M456" s="1">
        <v>46224.91962439815</v>
      </c>
    </row>
    <row r="457" spans="1:13" x14ac:dyDescent="0.35">
      <c r="A457" t="s">
        <v>35</v>
      </c>
      <c r="B457" t="s">
        <v>1986</v>
      </c>
      <c r="C457" t="s">
        <v>2081</v>
      </c>
      <c r="D457">
        <v>2.125</v>
      </c>
      <c r="E457" s="1">
        <v>51547</v>
      </c>
      <c r="F457" t="s">
        <v>2014</v>
      </c>
      <c r="G457" t="s">
        <v>2081</v>
      </c>
      <c r="H457" t="s">
        <v>2</v>
      </c>
      <c r="I457" s="1">
        <v>46224</v>
      </c>
      <c r="J457" t="s">
        <v>1989</v>
      </c>
      <c r="K457" t="s">
        <v>3013</v>
      </c>
      <c r="L457" s="1">
        <v>46224.918321759258</v>
      </c>
      <c r="M457" s="1">
        <v>46224.91962439815</v>
      </c>
    </row>
    <row r="458" spans="1:13" x14ac:dyDescent="0.35">
      <c r="A458" t="s">
        <v>36</v>
      </c>
      <c r="B458" t="s">
        <v>1986</v>
      </c>
      <c r="C458" t="s">
        <v>2063</v>
      </c>
      <c r="D458">
        <v>4.375</v>
      </c>
      <c r="E458" s="1">
        <v>51636</v>
      </c>
      <c r="F458" t="s">
        <v>1988</v>
      </c>
      <c r="G458" t="s">
        <v>2063</v>
      </c>
      <c r="H458" t="s">
        <v>2</v>
      </c>
      <c r="I458" s="1">
        <v>46224</v>
      </c>
      <c r="J458" t="s">
        <v>1989</v>
      </c>
      <c r="K458" t="s">
        <v>2447</v>
      </c>
      <c r="L458" s="1">
        <v>46224.918321759258</v>
      </c>
      <c r="M458" s="1">
        <v>46224.91962439815</v>
      </c>
    </row>
    <row r="459" spans="1:13" x14ac:dyDescent="0.35">
      <c r="A459" t="s">
        <v>36</v>
      </c>
      <c r="B459" t="s">
        <v>1986</v>
      </c>
      <c r="C459" t="s">
        <v>2063</v>
      </c>
      <c r="D459">
        <v>4.375</v>
      </c>
      <c r="E459" s="1">
        <v>51636</v>
      </c>
      <c r="F459" t="s">
        <v>1988</v>
      </c>
      <c r="G459" t="s">
        <v>2063</v>
      </c>
      <c r="H459" t="s">
        <v>2</v>
      </c>
      <c r="I459" s="1">
        <v>46224</v>
      </c>
      <c r="J459" t="s">
        <v>1991</v>
      </c>
      <c r="K459" t="s">
        <v>3795</v>
      </c>
      <c r="L459" s="1">
        <v>46224.918321759258</v>
      </c>
      <c r="M459" s="1">
        <v>46224.91962439815</v>
      </c>
    </row>
    <row r="460" spans="1:13" x14ac:dyDescent="0.35">
      <c r="A460" t="s">
        <v>36</v>
      </c>
      <c r="B460" t="s">
        <v>1986</v>
      </c>
      <c r="C460" t="s">
        <v>2063</v>
      </c>
      <c r="D460">
        <v>4.375</v>
      </c>
      <c r="E460" s="1">
        <v>51636</v>
      </c>
      <c r="F460" t="s">
        <v>1988</v>
      </c>
      <c r="G460" t="s">
        <v>2063</v>
      </c>
      <c r="H460" t="s">
        <v>2</v>
      </c>
      <c r="I460" s="1">
        <v>46224</v>
      </c>
      <c r="J460" t="s">
        <v>2108</v>
      </c>
      <c r="K460" t="s">
        <v>3284</v>
      </c>
      <c r="L460" s="1">
        <v>46224.917650462965</v>
      </c>
      <c r="M460" s="1">
        <v>46224.91962439815</v>
      </c>
    </row>
    <row r="461" spans="1:13" x14ac:dyDescent="0.35">
      <c r="A461" t="s">
        <v>36</v>
      </c>
      <c r="B461" t="s">
        <v>1986</v>
      </c>
      <c r="C461" t="s">
        <v>2063</v>
      </c>
      <c r="D461">
        <v>4.375</v>
      </c>
      <c r="E461" s="1">
        <v>51636</v>
      </c>
      <c r="F461" t="s">
        <v>1988</v>
      </c>
      <c r="G461" t="s">
        <v>2063</v>
      </c>
      <c r="H461" t="s">
        <v>2</v>
      </c>
      <c r="I461" s="1">
        <v>46224</v>
      </c>
      <c r="J461" t="s">
        <v>2065</v>
      </c>
      <c r="K461" t="s">
        <v>3285</v>
      </c>
      <c r="L461" s="1">
        <v>46224.917650462965</v>
      </c>
      <c r="M461" s="1">
        <v>46224.91962439815</v>
      </c>
    </row>
    <row r="462" spans="1:13" x14ac:dyDescent="0.35">
      <c r="A462" t="s">
        <v>36</v>
      </c>
      <c r="B462" t="s">
        <v>1986</v>
      </c>
      <c r="C462" t="s">
        <v>2063</v>
      </c>
      <c r="D462">
        <v>4.375</v>
      </c>
      <c r="E462" s="1">
        <v>51636</v>
      </c>
      <c r="F462" t="s">
        <v>1988</v>
      </c>
      <c r="G462" t="s">
        <v>2063</v>
      </c>
      <c r="H462" t="s">
        <v>2</v>
      </c>
      <c r="I462" s="1">
        <v>46224</v>
      </c>
      <c r="J462" t="s">
        <v>2064</v>
      </c>
      <c r="K462" t="s">
        <v>3285</v>
      </c>
      <c r="L462" s="1">
        <v>46224.917650462965</v>
      </c>
      <c r="M462" s="1">
        <v>46224.91962439815</v>
      </c>
    </row>
    <row r="463" spans="1:13" x14ac:dyDescent="0.35">
      <c r="A463" t="s">
        <v>36</v>
      </c>
      <c r="B463" t="s">
        <v>1986</v>
      </c>
      <c r="C463" t="s">
        <v>2063</v>
      </c>
      <c r="D463">
        <v>4.375</v>
      </c>
      <c r="E463" s="1">
        <v>51636</v>
      </c>
      <c r="F463" t="s">
        <v>1988</v>
      </c>
      <c r="G463" t="s">
        <v>2063</v>
      </c>
      <c r="H463" t="s">
        <v>2</v>
      </c>
      <c r="I463" s="1">
        <v>46224</v>
      </c>
      <c r="J463" t="s">
        <v>2146</v>
      </c>
      <c r="K463" t="s">
        <v>3284</v>
      </c>
      <c r="L463" s="1">
        <v>46224.917650462965</v>
      </c>
      <c r="M463" s="1">
        <v>46224.91962439815</v>
      </c>
    </row>
    <row r="464" spans="1:13" x14ac:dyDescent="0.35">
      <c r="A464" t="s">
        <v>141</v>
      </c>
      <c r="B464" t="s">
        <v>1986</v>
      </c>
      <c r="C464" t="s">
        <v>2147</v>
      </c>
      <c r="D464">
        <v>3.75</v>
      </c>
      <c r="E464" s="1">
        <v>51728</v>
      </c>
      <c r="F464" t="s">
        <v>1988</v>
      </c>
      <c r="G464" t="s">
        <v>2147</v>
      </c>
      <c r="H464" t="s">
        <v>2</v>
      </c>
      <c r="I464" s="1">
        <v>46224</v>
      </c>
      <c r="J464" t="s">
        <v>1991</v>
      </c>
      <c r="K464" t="s">
        <v>3443</v>
      </c>
      <c r="L464" s="1">
        <v>46224.918321759258</v>
      </c>
      <c r="M464" s="1">
        <v>46224.91962439815</v>
      </c>
    </row>
    <row r="465" spans="1:13" x14ac:dyDescent="0.35">
      <c r="A465" t="s">
        <v>141</v>
      </c>
      <c r="B465" t="s">
        <v>1986</v>
      </c>
      <c r="C465" t="s">
        <v>2147</v>
      </c>
      <c r="D465">
        <v>3.75</v>
      </c>
      <c r="E465" s="1">
        <v>51728</v>
      </c>
      <c r="F465" t="s">
        <v>1988</v>
      </c>
      <c r="G465" t="s">
        <v>2147</v>
      </c>
      <c r="H465" t="s">
        <v>2</v>
      </c>
      <c r="I465" s="1">
        <v>46224</v>
      </c>
      <c r="J465" t="s">
        <v>1989</v>
      </c>
      <c r="K465" t="s">
        <v>2995</v>
      </c>
      <c r="L465" s="1">
        <v>46224.918321759258</v>
      </c>
      <c r="M465" s="1">
        <v>46224.91962439815</v>
      </c>
    </row>
    <row r="466" spans="1:13" x14ac:dyDescent="0.35">
      <c r="A466" t="s">
        <v>59</v>
      </c>
      <c r="B466" t="s">
        <v>1986</v>
      </c>
      <c r="C466" t="s">
        <v>2097</v>
      </c>
      <c r="D466">
        <v>3.125</v>
      </c>
      <c r="E466" s="1">
        <v>51820</v>
      </c>
      <c r="F466" t="s">
        <v>1988</v>
      </c>
      <c r="G466" t="s">
        <v>2097</v>
      </c>
      <c r="H466" t="s">
        <v>2</v>
      </c>
      <c r="I466" s="1">
        <v>46224</v>
      </c>
      <c r="J466" t="s">
        <v>1989</v>
      </c>
      <c r="K466" t="s">
        <v>3001</v>
      </c>
      <c r="L466" s="1">
        <v>46224.918321759258</v>
      </c>
      <c r="M466" s="1">
        <v>46224.91962439815</v>
      </c>
    </row>
    <row r="467" spans="1:13" x14ac:dyDescent="0.35">
      <c r="A467" t="s">
        <v>59</v>
      </c>
      <c r="B467" t="s">
        <v>1986</v>
      </c>
      <c r="C467" t="s">
        <v>2097</v>
      </c>
      <c r="D467">
        <v>3.125</v>
      </c>
      <c r="E467" s="1">
        <v>51820</v>
      </c>
      <c r="F467" t="s">
        <v>1988</v>
      </c>
      <c r="G467" t="s">
        <v>2097</v>
      </c>
      <c r="H467" t="s">
        <v>2</v>
      </c>
      <c r="I467" s="1">
        <v>46224</v>
      </c>
      <c r="J467" t="s">
        <v>1991</v>
      </c>
      <c r="K467" t="s">
        <v>3118</v>
      </c>
      <c r="L467" s="1">
        <v>46224.918321759258</v>
      </c>
      <c r="M467" s="1">
        <v>46224.91962439815</v>
      </c>
    </row>
    <row r="468" spans="1:13" x14ac:dyDescent="0.35">
      <c r="A468" t="s">
        <v>60</v>
      </c>
      <c r="B468" t="s">
        <v>1986</v>
      </c>
      <c r="C468" t="s">
        <v>2090</v>
      </c>
      <c r="D468">
        <v>3.125</v>
      </c>
      <c r="E468" s="1">
        <v>51912</v>
      </c>
      <c r="F468" t="s">
        <v>1988</v>
      </c>
      <c r="G468" t="s">
        <v>2090</v>
      </c>
      <c r="H468" t="s">
        <v>2</v>
      </c>
      <c r="I468" s="1">
        <v>46224</v>
      </c>
      <c r="J468" t="s">
        <v>1991</v>
      </c>
      <c r="K468" t="s">
        <v>3444</v>
      </c>
      <c r="L468" s="1">
        <v>46224.918321759258</v>
      </c>
      <c r="M468" s="1">
        <v>46224.91962439815</v>
      </c>
    </row>
    <row r="469" spans="1:13" x14ac:dyDescent="0.35">
      <c r="A469" t="s">
        <v>60</v>
      </c>
      <c r="B469" t="s">
        <v>1986</v>
      </c>
      <c r="C469" t="s">
        <v>2090</v>
      </c>
      <c r="D469">
        <v>3.125</v>
      </c>
      <c r="E469" s="1">
        <v>51912</v>
      </c>
      <c r="F469" t="s">
        <v>1988</v>
      </c>
      <c r="G469" t="s">
        <v>2090</v>
      </c>
      <c r="H469" t="s">
        <v>2</v>
      </c>
      <c r="I469" s="1">
        <v>46224</v>
      </c>
      <c r="J469" t="s">
        <v>1989</v>
      </c>
      <c r="K469" t="s">
        <v>3295</v>
      </c>
      <c r="L469" s="1">
        <v>46224.918321759258</v>
      </c>
      <c r="M469" s="1">
        <v>46224.91962439815</v>
      </c>
    </row>
    <row r="470" spans="1:13" x14ac:dyDescent="0.35">
      <c r="A470" t="s">
        <v>134</v>
      </c>
      <c r="B470" t="s">
        <v>1986</v>
      </c>
      <c r="C470" t="s">
        <v>2109</v>
      </c>
      <c r="D470">
        <v>0.75</v>
      </c>
      <c r="E470" s="1">
        <v>51912</v>
      </c>
      <c r="F470" t="s">
        <v>2014</v>
      </c>
      <c r="G470" t="s">
        <v>2109</v>
      </c>
      <c r="H470" t="s">
        <v>2</v>
      </c>
      <c r="I470" s="1">
        <v>46224</v>
      </c>
      <c r="J470" t="s">
        <v>1991</v>
      </c>
      <c r="K470" t="s">
        <v>3246</v>
      </c>
      <c r="L470" s="1">
        <v>46224.918321759258</v>
      </c>
      <c r="M470" s="1">
        <v>46224.91962439815</v>
      </c>
    </row>
    <row r="471" spans="1:13" x14ac:dyDescent="0.35">
      <c r="A471" t="s">
        <v>134</v>
      </c>
      <c r="B471" t="s">
        <v>1986</v>
      </c>
      <c r="C471" t="s">
        <v>2109</v>
      </c>
      <c r="D471">
        <v>0.75</v>
      </c>
      <c r="E471" s="1">
        <v>51912</v>
      </c>
      <c r="F471" t="s">
        <v>2014</v>
      </c>
      <c r="G471" t="s">
        <v>2109</v>
      </c>
      <c r="H471" t="s">
        <v>2</v>
      </c>
      <c r="I471" s="1">
        <v>46224</v>
      </c>
      <c r="J471" t="s">
        <v>1989</v>
      </c>
      <c r="K471" t="s">
        <v>3292</v>
      </c>
      <c r="L471" s="1">
        <v>46224.918321759258</v>
      </c>
      <c r="M471" s="1">
        <v>46224.91962439815</v>
      </c>
    </row>
    <row r="472" spans="1:13" x14ac:dyDescent="0.35">
      <c r="A472" t="s">
        <v>162</v>
      </c>
      <c r="B472" t="s">
        <v>1986</v>
      </c>
      <c r="C472" t="s">
        <v>2098</v>
      </c>
      <c r="D472">
        <v>3</v>
      </c>
      <c r="E472" s="1">
        <v>52001</v>
      </c>
      <c r="F472" t="s">
        <v>1988</v>
      </c>
      <c r="G472" t="s">
        <v>2098</v>
      </c>
      <c r="H472" t="s">
        <v>2</v>
      </c>
      <c r="I472" s="1">
        <v>46224</v>
      </c>
      <c r="J472" t="s">
        <v>1991</v>
      </c>
      <c r="K472" t="s">
        <v>3307</v>
      </c>
      <c r="L472" s="1">
        <v>46224.918321759258</v>
      </c>
      <c r="M472" s="1">
        <v>46224.91962439815</v>
      </c>
    </row>
    <row r="473" spans="1:13" x14ac:dyDescent="0.35">
      <c r="A473" t="s">
        <v>162</v>
      </c>
      <c r="B473" t="s">
        <v>1986</v>
      </c>
      <c r="C473" t="s">
        <v>2098</v>
      </c>
      <c r="D473">
        <v>3</v>
      </c>
      <c r="E473" s="1">
        <v>52001</v>
      </c>
      <c r="F473" t="s">
        <v>1988</v>
      </c>
      <c r="G473" t="s">
        <v>2098</v>
      </c>
      <c r="H473" t="s">
        <v>2</v>
      </c>
      <c r="I473" s="1">
        <v>46224</v>
      </c>
      <c r="J473" t="s">
        <v>1989</v>
      </c>
      <c r="K473" t="s">
        <v>3221</v>
      </c>
      <c r="L473" s="1">
        <v>46224.918321759258</v>
      </c>
      <c r="M473" s="1">
        <v>46224.91962439815</v>
      </c>
    </row>
    <row r="474" spans="1:13" x14ac:dyDescent="0.35">
      <c r="A474" t="s">
        <v>163</v>
      </c>
      <c r="B474" t="s">
        <v>1986</v>
      </c>
      <c r="C474" t="s">
        <v>2148</v>
      </c>
      <c r="D474">
        <v>2.75</v>
      </c>
      <c r="E474" s="1">
        <v>52093</v>
      </c>
      <c r="F474" t="s">
        <v>1988</v>
      </c>
      <c r="G474" t="s">
        <v>2148</v>
      </c>
      <c r="H474" t="s">
        <v>2</v>
      </c>
      <c r="I474" s="1">
        <v>46224</v>
      </c>
      <c r="J474" t="s">
        <v>1991</v>
      </c>
      <c r="K474" t="s">
        <v>4079</v>
      </c>
      <c r="L474" s="1">
        <v>46224.918321759258</v>
      </c>
      <c r="M474" s="1">
        <v>46224.91962439815</v>
      </c>
    </row>
    <row r="475" spans="1:13" x14ac:dyDescent="0.35">
      <c r="A475" t="s">
        <v>163</v>
      </c>
      <c r="B475" t="s">
        <v>1986</v>
      </c>
      <c r="C475" t="s">
        <v>2148</v>
      </c>
      <c r="D475">
        <v>2.75</v>
      </c>
      <c r="E475" s="1">
        <v>52093</v>
      </c>
      <c r="F475" t="s">
        <v>1988</v>
      </c>
      <c r="G475" t="s">
        <v>2148</v>
      </c>
      <c r="H475" t="s">
        <v>2</v>
      </c>
      <c r="I475" s="1">
        <v>46224</v>
      </c>
      <c r="J475" t="s">
        <v>1989</v>
      </c>
      <c r="K475" t="s">
        <v>3308</v>
      </c>
      <c r="L475" s="1">
        <v>46224.918321759258</v>
      </c>
      <c r="M475" s="1">
        <v>46224.91962439815</v>
      </c>
    </row>
    <row r="476" spans="1:13" x14ac:dyDescent="0.35">
      <c r="A476" t="s">
        <v>37</v>
      </c>
      <c r="B476" t="s">
        <v>1986</v>
      </c>
      <c r="C476" t="s">
        <v>2149</v>
      </c>
      <c r="D476">
        <v>2.75</v>
      </c>
      <c r="E476" s="1">
        <v>52185</v>
      </c>
      <c r="F476" t="s">
        <v>1988</v>
      </c>
      <c r="G476" t="s">
        <v>2149</v>
      </c>
      <c r="H476" t="s">
        <v>2</v>
      </c>
      <c r="I476" s="1">
        <v>46224</v>
      </c>
      <c r="J476" t="s">
        <v>1989</v>
      </c>
      <c r="K476" t="s">
        <v>3245</v>
      </c>
      <c r="L476" s="1">
        <v>46224.918321759258</v>
      </c>
      <c r="M476" s="1">
        <v>46224.91962439815</v>
      </c>
    </row>
    <row r="477" spans="1:13" x14ac:dyDescent="0.35">
      <c r="A477" t="s">
        <v>37</v>
      </c>
      <c r="B477" t="s">
        <v>1986</v>
      </c>
      <c r="C477" t="s">
        <v>2149</v>
      </c>
      <c r="D477">
        <v>2.75</v>
      </c>
      <c r="E477" s="1">
        <v>52185</v>
      </c>
      <c r="F477" t="s">
        <v>1988</v>
      </c>
      <c r="G477" t="s">
        <v>2149</v>
      </c>
      <c r="H477" t="s">
        <v>2</v>
      </c>
      <c r="I477" s="1">
        <v>46224</v>
      </c>
      <c r="J477" t="s">
        <v>1991</v>
      </c>
      <c r="K477" t="s">
        <v>3293</v>
      </c>
      <c r="L477" s="1">
        <v>46224.918321759258</v>
      </c>
      <c r="M477" s="1">
        <v>46224.91962439815</v>
      </c>
    </row>
    <row r="478" spans="1:13" x14ac:dyDescent="0.35">
      <c r="A478" t="s">
        <v>135</v>
      </c>
      <c r="B478" t="s">
        <v>1986</v>
      </c>
      <c r="C478" t="s">
        <v>2143</v>
      </c>
      <c r="D478">
        <v>3.125</v>
      </c>
      <c r="E478" s="1">
        <v>52277</v>
      </c>
      <c r="F478" t="s">
        <v>1988</v>
      </c>
      <c r="G478" t="s">
        <v>2143</v>
      </c>
      <c r="H478" t="s">
        <v>2</v>
      </c>
      <c r="I478" s="1">
        <v>46224</v>
      </c>
      <c r="J478" t="s">
        <v>1989</v>
      </c>
      <c r="K478" t="s">
        <v>3483</v>
      </c>
      <c r="L478" s="1">
        <v>46224.918321759258</v>
      </c>
      <c r="M478" s="1">
        <v>46224.91962439815</v>
      </c>
    </row>
    <row r="479" spans="1:13" x14ac:dyDescent="0.35">
      <c r="A479" t="s">
        <v>135</v>
      </c>
      <c r="B479" t="s">
        <v>1986</v>
      </c>
      <c r="C479" t="s">
        <v>2143</v>
      </c>
      <c r="D479">
        <v>3.125</v>
      </c>
      <c r="E479" s="1">
        <v>52277</v>
      </c>
      <c r="F479" t="s">
        <v>1988</v>
      </c>
      <c r="G479" t="s">
        <v>2143</v>
      </c>
      <c r="H479" t="s">
        <v>2</v>
      </c>
      <c r="I479" s="1">
        <v>46224</v>
      </c>
      <c r="J479" t="s">
        <v>1991</v>
      </c>
      <c r="K479" t="s">
        <v>2973</v>
      </c>
      <c r="L479" s="1">
        <v>46224.918321759258</v>
      </c>
      <c r="M479" s="1">
        <v>46224.91962439815</v>
      </c>
    </row>
    <row r="480" spans="1:13" x14ac:dyDescent="0.35">
      <c r="A480" t="s">
        <v>164</v>
      </c>
      <c r="B480" t="s">
        <v>1986</v>
      </c>
      <c r="C480" t="s">
        <v>2099</v>
      </c>
      <c r="D480">
        <v>0.625</v>
      </c>
      <c r="E480" s="1">
        <v>52277</v>
      </c>
      <c r="F480" t="s">
        <v>2014</v>
      </c>
      <c r="G480" t="s">
        <v>2099</v>
      </c>
      <c r="H480" t="s">
        <v>2</v>
      </c>
      <c r="I480" s="1">
        <v>46224</v>
      </c>
      <c r="J480" t="s">
        <v>1991</v>
      </c>
      <c r="K480" t="s">
        <v>3090</v>
      </c>
      <c r="L480" s="1">
        <v>46224.918321759258</v>
      </c>
      <c r="M480" s="1">
        <v>46224.91962439815</v>
      </c>
    </row>
    <row r="481" spans="1:13" x14ac:dyDescent="0.35">
      <c r="A481" t="s">
        <v>164</v>
      </c>
      <c r="B481" t="s">
        <v>1986</v>
      </c>
      <c r="C481" t="s">
        <v>2099</v>
      </c>
      <c r="D481">
        <v>0.625</v>
      </c>
      <c r="E481" s="1">
        <v>52277</v>
      </c>
      <c r="F481" t="s">
        <v>2014</v>
      </c>
      <c r="G481" t="s">
        <v>2099</v>
      </c>
      <c r="H481" t="s">
        <v>2</v>
      </c>
      <c r="I481" s="1">
        <v>46224</v>
      </c>
      <c r="J481" t="s">
        <v>1989</v>
      </c>
      <c r="K481" t="s">
        <v>4080</v>
      </c>
      <c r="L481" s="1">
        <v>46224.918321759258</v>
      </c>
      <c r="M481" s="1">
        <v>46224.91962439815</v>
      </c>
    </row>
    <row r="482" spans="1:13" x14ac:dyDescent="0.35">
      <c r="A482" t="s">
        <v>142</v>
      </c>
      <c r="B482" t="s">
        <v>1986</v>
      </c>
      <c r="C482" t="s">
        <v>2178</v>
      </c>
      <c r="D482">
        <v>2.875</v>
      </c>
      <c r="E482" s="1">
        <v>52366</v>
      </c>
      <c r="F482" t="s">
        <v>1988</v>
      </c>
      <c r="G482" t="s">
        <v>2178</v>
      </c>
      <c r="H482" t="s">
        <v>2</v>
      </c>
      <c r="I482" s="1">
        <v>46224</v>
      </c>
      <c r="J482" t="s">
        <v>1991</v>
      </c>
      <c r="K482" t="s">
        <v>3309</v>
      </c>
      <c r="L482" s="1">
        <v>46224.918321759258</v>
      </c>
      <c r="M482" s="1">
        <v>46224.91962439815</v>
      </c>
    </row>
    <row r="483" spans="1:13" x14ac:dyDescent="0.35">
      <c r="A483" t="s">
        <v>142</v>
      </c>
      <c r="B483" t="s">
        <v>1986</v>
      </c>
      <c r="C483" t="s">
        <v>2178</v>
      </c>
      <c r="D483">
        <v>2.875</v>
      </c>
      <c r="E483" s="1">
        <v>52366</v>
      </c>
      <c r="F483" t="s">
        <v>1988</v>
      </c>
      <c r="G483" t="s">
        <v>2178</v>
      </c>
      <c r="H483" t="s">
        <v>2</v>
      </c>
      <c r="I483" s="1">
        <v>46224</v>
      </c>
      <c r="J483" t="s">
        <v>1989</v>
      </c>
      <c r="K483" t="s">
        <v>4081</v>
      </c>
      <c r="L483" s="1">
        <v>46224.918321759258</v>
      </c>
      <c r="M483" s="1">
        <v>46224.91962439815</v>
      </c>
    </row>
    <row r="484" spans="1:13" x14ac:dyDescent="0.35">
      <c r="A484" t="s">
        <v>136</v>
      </c>
      <c r="B484" t="s">
        <v>1986</v>
      </c>
      <c r="C484" t="s">
        <v>2160</v>
      </c>
      <c r="D484">
        <v>3.625</v>
      </c>
      <c r="E484" s="1">
        <v>52458</v>
      </c>
      <c r="F484" t="s">
        <v>1988</v>
      </c>
      <c r="G484" t="s">
        <v>2160</v>
      </c>
      <c r="H484" t="s">
        <v>2</v>
      </c>
      <c r="I484" s="1">
        <v>46224</v>
      </c>
      <c r="J484" t="s">
        <v>1991</v>
      </c>
      <c r="K484" t="s">
        <v>3286</v>
      </c>
      <c r="L484" s="1">
        <v>46224.918321759258</v>
      </c>
      <c r="M484" s="1">
        <v>46224.91962439815</v>
      </c>
    </row>
    <row r="485" spans="1:13" x14ac:dyDescent="0.35">
      <c r="A485" t="s">
        <v>136</v>
      </c>
      <c r="B485" t="s">
        <v>1986</v>
      </c>
      <c r="C485" t="s">
        <v>2160</v>
      </c>
      <c r="D485">
        <v>3.625</v>
      </c>
      <c r="E485" s="1">
        <v>52458</v>
      </c>
      <c r="F485" t="s">
        <v>1988</v>
      </c>
      <c r="G485" t="s">
        <v>2160</v>
      </c>
      <c r="H485" t="s">
        <v>2</v>
      </c>
      <c r="I485" s="1">
        <v>46224</v>
      </c>
      <c r="J485" t="s">
        <v>1989</v>
      </c>
      <c r="K485" t="s">
        <v>3222</v>
      </c>
      <c r="L485" s="1">
        <v>46224.918321759258</v>
      </c>
      <c r="M485" s="1">
        <v>46224.91962439815</v>
      </c>
    </row>
    <row r="486" spans="1:13" x14ac:dyDescent="0.35">
      <c r="A486" t="s">
        <v>38</v>
      </c>
      <c r="B486" t="s">
        <v>1986</v>
      </c>
      <c r="C486" t="s">
        <v>2161</v>
      </c>
      <c r="D486">
        <v>3.75</v>
      </c>
      <c r="E486" s="1">
        <v>52550</v>
      </c>
      <c r="F486" t="s">
        <v>1988</v>
      </c>
      <c r="G486" t="s">
        <v>2161</v>
      </c>
      <c r="H486" t="s">
        <v>2</v>
      </c>
      <c r="I486" s="1">
        <v>46224</v>
      </c>
      <c r="J486" t="s">
        <v>1991</v>
      </c>
      <c r="K486" t="s">
        <v>3294</v>
      </c>
      <c r="L486" s="1">
        <v>46224.918321759258</v>
      </c>
      <c r="M486" s="1">
        <v>46224.91962439815</v>
      </c>
    </row>
    <row r="487" spans="1:13" x14ac:dyDescent="0.35">
      <c r="A487" t="s">
        <v>38</v>
      </c>
      <c r="B487" t="s">
        <v>1986</v>
      </c>
      <c r="C487" t="s">
        <v>2161</v>
      </c>
      <c r="D487">
        <v>3.75</v>
      </c>
      <c r="E487" s="1">
        <v>52550</v>
      </c>
      <c r="F487" t="s">
        <v>1988</v>
      </c>
      <c r="G487" t="s">
        <v>2161</v>
      </c>
      <c r="H487" t="s">
        <v>2</v>
      </c>
      <c r="I487" s="1">
        <v>46224</v>
      </c>
      <c r="J487" t="s">
        <v>1989</v>
      </c>
      <c r="K487" t="s">
        <v>4082</v>
      </c>
      <c r="L487" s="1">
        <v>46224.918321759258</v>
      </c>
      <c r="M487" s="1">
        <v>46224.91962439815</v>
      </c>
    </row>
    <row r="488" spans="1:13" x14ac:dyDescent="0.35">
      <c r="A488" t="s">
        <v>137</v>
      </c>
      <c r="B488" t="s">
        <v>1986</v>
      </c>
      <c r="C488" t="s">
        <v>2110</v>
      </c>
      <c r="D488">
        <v>3.625</v>
      </c>
      <c r="E488" s="1">
        <v>52642</v>
      </c>
      <c r="F488" t="s">
        <v>1988</v>
      </c>
      <c r="G488" t="s">
        <v>2110</v>
      </c>
      <c r="H488" t="s">
        <v>2</v>
      </c>
      <c r="I488" s="1">
        <v>46224</v>
      </c>
      <c r="J488" t="s">
        <v>1991</v>
      </c>
      <c r="K488" t="s">
        <v>3287</v>
      </c>
      <c r="L488" s="1">
        <v>46224.918321759258</v>
      </c>
      <c r="M488" s="1">
        <v>46224.91962439815</v>
      </c>
    </row>
    <row r="489" spans="1:13" x14ac:dyDescent="0.35">
      <c r="A489" t="s">
        <v>137</v>
      </c>
      <c r="B489" t="s">
        <v>1986</v>
      </c>
      <c r="C489" t="s">
        <v>2110</v>
      </c>
      <c r="D489">
        <v>3.625</v>
      </c>
      <c r="E489" s="1">
        <v>52642</v>
      </c>
      <c r="F489" t="s">
        <v>1988</v>
      </c>
      <c r="G489" t="s">
        <v>2110</v>
      </c>
      <c r="H489" t="s">
        <v>2</v>
      </c>
      <c r="I489" s="1">
        <v>46224</v>
      </c>
      <c r="J489" t="s">
        <v>1989</v>
      </c>
      <c r="K489" t="s">
        <v>3310</v>
      </c>
      <c r="L489" s="1">
        <v>46224.918321759258</v>
      </c>
      <c r="M489" s="1">
        <v>46224.91962439815</v>
      </c>
    </row>
    <row r="490" spans="1:13" x14ac:dyDescent="0.35">
      <c r="A490" t="s">
        <v>553</v>
      </c>
      <c r="B490" t="s">
        <v>1986</v>
      </c>
      <c r="C490" t="s">
        <v>2150</v>
      </c>
      <c r="D490">
        <v>1.375</v>
      </c>
      <c r="E490" s="1">
        <v>52642</v>
      </c>
      <c r="F490" t="s">
        <v>2014</v>
      </c>
      <c r="G490" t="s">
        <v>2150</v>
      </c>
      <c r="H490" t="s">
        <v>2</v>
      </c>
      <c r="I490" s="1">
        <v>46224</v>
      </c>
      <c r="J490" t="s">
        <v>1989</v>
      </c>
      <c r="K490" t="s">
        <v>3288</v>
      </c>
      <c r="L490" s="1">
        <v>46224.918321759258</v>
      </c>
      <c r="M490" s="1">
        <v>46224.91962439815</v>
      </c>
    </row>
    <row r="491" spans="1:13" x14ac:dyDescent="0.35">
      <c r="A491" t="s">
        <v>553</v>
      </c>
      <c r="B491" t="s">
        <v>1986</v>
      </c>
      <c r="C491" t="s">
        <v>2150</v>
      </c>
      <c r="D491">
        <v>1.375</v>
      </c>
      <c r="E491" s="1">
        <v>52642</v>
      </c>
      <c r="F491" t="s">
        <v>2014</v>
      </c>
      <c r="G491" t="s">
        <v>2150</v>
      </c>
      <c r="H491" t="s">
        <v>2</v>
      </c>
      <c r="I491" s="1">
        <v>46224</v>
      </c>
      <c r="J491" t="s">
        <v>1991</v>
      </c>
      <c r="K491" t="s">
        <v>3311</v>
      </c>
      <c r="L491" s="1">
        <v>46224.918321759258</v>
      </c>
      <c r="M491" s="1">
        <v>46224.91962439815</v>
      </c>
    </row>
    <row r="492" spans="1:13" x14ac:dyDescent="0.35">
      <c r="A492" t="s">
        <v>221</v>
      </c>
      <c r="B492" t="s">
        <v>1986</v>
      </c>
      <c r="C492" t="s">
        <v>2195</v>
      </c>
      <c r="D492">
        <v>3.375</v>
      </c>
      <c r="E492" s="1">
        <v>52732</v>
      </c>
      <c r="F492" t="s">
        <v>1988</v>
      </c>
      <c r="G492" t="s">
        <v>2195</v>
      </c>
      <c r="H492" t="s">
        <v>2</v>
      </c>
      <c r="I492" s="1">
        <v>46224</v>
      </c>
      <c r="J492" t="s">
        <v>1991</v>
      </c>
      <c r="K492" t="s">
        <v>3484</v>
      </c>
      <c r="L492" s="1">
        <v>46224.918321759258</v>
      </c>
      <c r="M492" s="1">
        <v>46224.91962439815</v>
      </c>
    </row>
    <row r="493" spans="1:13" x14ac:dyDescent="0.35">
      <c r="A493" t="s">
        <v>221</v>
      </c>
      <c r="B493" t="s">
        <v>1986</v>
      </c>
      <c r="C493" t="s">
        <v>2195</v>
      </c>
      <c r="D493">
        <v>3.375</v>
      </c>
      <c r="E493" s="1">
        <v>52732</v>
      </c>
      <c r="F493" t="s">
        <v>1988</v>
      </c>
      <c r="G493" t="s">
        <v>2195</v>
      </c>
      <c r="H493" t="s">
        <v>2</v>
      </c>
      <c r="I493" s="1">
        <v>46224</v>
      </c>
      <c r="J493" t="s">
        <v>1989</v>
      </c>
      <c r="K493" t="s">
        <v>3295</v>
      </c>
      <c r="L493" s="1">
        <v>46224.918321759258</v>
      </c>
      <c r="M493" s="1">
        <v>46224.91962439815</v>
      </c>
    </row>
    <row r="494" spans="1:13" x14ac:dyDescent="0.35">
      <c r="A494" t="s">
        <v>222</v>
      </c>
      <c r="B494" t="s">
        <v>1986</v>
      </c>
      <c r="C494" t="s">
        <v>2151</v>
      </c>
      <c r="D494">
        <v>3.125</v>
      </c>
      <c r="E494" s="1">
        <v>52824</v>
      </c>
      <c r="F494" t="s">
        <v>1988</v>
      </c>
      <c r="G494" t="s">
        <v>2151</v>
      </c>
      <c r="H494" t="s">
        <v>2</v>
      </c>
      <c r="I494" s="1">
        <v>46224</v>
      </c>
      <c r="J494" t="s">
        <v>1989</v>
      </c>
      <c r="K494" t="s">
        <v>2870</v>
      </c>
      <c r="L494" s="1">
        <v>46224.918321759258</v>
      </c>
      <c r="M494" s="1">
        <v>46224.91962439815</v>
      </c>
    </row>
    <row r="495" spans="1:13" x14ac:dyDescent="0.35">
      <c r="A495" t="s">
        <v>222</v>
      </c>
      <c r="B495" t="s">
        <v>1986</v>
      </c>
      <c r="C495" t="s">
        <v>2151</v>
      </c>
      <c r="D495">
        <v>3.125</v>
      </c>
      <c r="E495" s="1">
        <v>52824</v>
      </c>
      <c r="F495" t="s">
        <v>1988</v>
      </c>
      <c r="G495" t="s">
        <v>2151</v>
      </c>
      <c r="H495" t="s">
        <v>2</v>
      </c>
      <c r="I495" s="1">
        <v>46224</v>
      </c>
      <c r="J495" t="s">
        <v>1991</v>
      </c>
      <c r="K495" t="s">
        <v>3223</v>
      </c>
      <c r="L495" s="1">
        <v>46224.918321759258</v>
      </c>
      <c r="M495" s="1">
        <v>46224.91962439815</v>
      </c>
    </row>
    <row r="496" spans="1:13" x14ac:dyDescent="0.35">
      <c r="A496" t="s">
        <v>210</v>
      </c>
      <c r="B496" t="s">
        <v>1986</v>
      </c>
      <c r="C496" t="s">
        <v>2196</v>
      </c>
      <c r="D496">
        <v>3</v>
      </c>
      <c r="E496" s="1">
        <v>52916</v>
      </c>
      <c r="F496" t="s">
        <v>1988</v>
      </c>
      <c r="G496" t="s">
        <v>2196</v>
      </c>
      <c r="H496" t="s">
        <v>2</v>
      </c>
      <c r="I496" s="1">
        <v>46224</v>
      </c>
      <c r="J496" t="s">
        <v>1989</v>
      </c>
      <c r="K496" t="s">
        <v>3246</v>
      </c>
      <c r="L496" s="1">
        <v>46224.918321759258</v>
      </c>
      <c r="M496" s="1">
        <v>46224.91962439815</v>
      </c>
    </row>
    <row r="497" spans="1:13" x14ac:dyDescent="0.35">
      <c r="A497" t="s">
        <v>210</v>
      </c>
      <c r="B497" t="s">
        <v>1986</v>
      </c>
      <c r="C497" t="s">
        <v>2196</v>
      </c>
      <c r="D497">
        <v>3</v>
      </c>
      <c r="E497" s="1">
        <v>52916</v>
      </c>
      <c r="F497" t="s">
        <v>1988</v>
      </c>
      <c r="G497" t="s">
        <v>2196</v>
      </c>
      <c r="H497" t="s">
        <v>2</v>
      </c>
      <c r="I497" s="1">
        <v>46224</v>
      </c>
      <c r="J497" t="s">
        <v>1991</v>
      </c>
      <c r="K497" t="s">
        <v>3224</v>
      </c>
      <c r="L497" s="1">
        <v>46224.918321759258</v>
      </c>
      <c r="M497" s="1">
        <v>46224.91962439815</v>
      </c>
    </row>
    <row r="498" spans="1:13" x14ac:dyDescent="0.35">
      <c r="A498" t="s">
        <v>97</v>
      </c>
      <c r="B498" t="s">
        <v>1986</v>
      </c>
      <c r="C498" t="s">
        <v>2100</v>
      </c>
      <c r="D498">
        <v>2.5</v>
      </c>
      <c r="E498" s="1">
        <v>53008</v>
      </c>
      <c r="F498" t="s">
        <v>1988</v>
      </c>
      <c r="G498" t="s">
        <v>2100</v>
      </c>
      <c r="H498" t="s">
        <v>2</v>
      </c>
      <c r="I498" s="1">
        <v>46224</v>
      </c>
      <c r="J498" t="s">
        <v>1991</v>
      </c>
      <c r="K498" t="s">
        <v>3091</v>
      </c>
      <c r="L498" s="1">
        <v>46224.918321759258</v>
      </c>
      <c r="M498" s="1">
        <v>46224.91962439815</v>
      </c>
    </row>
    <row r="499" spans="1:13" x14ac:dyDescent="0.35">
      <c r="A499" t="s">
        <v>97</v>
      </c>
      <c r="B499" t="s">
        <v>1986</v>
      </c>
      <c r="C499" t="s">
        <v>2100</v>
      </c>
      <c r="D499">
        <v>2.5</v>
      </c>
      <c r="E499" s="1">
        <v>53008</v>
      </c>
      <c r="F499" t="s">
        <v>1988</v>
      </c>
      <c r="G499" t="s">
        <v>2100</v>
      </c>
      <c r="H499" t="s">
        <v>2</v>
      </c>
      <c r="I499" s="1">
        <v>46224</v>
      </c>
      <c r="J499" t="s">
        <v>1989</v>
      </c>
      <c r="K499" t="s">
        <v>3312</v>
      </c>
      <c r="L499" s="1">
        <v>46224.918321759258</v>
      </c>
      <c r="M499" s="1">
        <v>46224.91962439815</v>
      </c>
    </row>
    <row r="500" spans="1:13" x14ac:dyDescent="0.35">
      <c r="A500" t="s">
        <v>179</v>
      </c>
      <c r="B500" t="s">
        <v>1986</v>
      </c>
      <c r="C500" t="s">
        <v>2111</v>
      </c>
      <c r="D500">
        <v>0.75</v>
      </c>
      <c r="E500" s="1">
        <v>53008</v>
      </c>
      <c r="F500" t="s">
        <v>2014</v>
      </c>
      <c r="G500" t="s">
        <v>2111</v>
      </c>
      <c r="H500" t="s">
        <v>2</v>
      </c>
      <c r="I500" s="1">
        <v>46224</v>
      </c>
      <c r="J500" t="s">
        <v>1989</v>
      </c>
      <c r="K500" t="s">
        <v>2941</v>
      </c>
      <c r="L500" s="1">
        <v>46224.918321759258</v>
      </c>
      <c r="M500" s="1">
        <v>46224.91962439815</v>
      </c>
    </row>
    <row r="501" spans="1:13" x14ac:dyDescent="0.35">
      <c r="A501" t="s">
        <v>179</v>
      </c>
      <c r="B501" t="s">
        <v>1986</v>
      </c>
      <c r="C501" t="s">
        <v>2111</v>
      </c>
      <c r="D501">
        <v>0.75</v>
      </c>
      <c r="E501" s="1">
        <v>53008</v>
      </c>
      <c r="F501" t="s">
        <v>2014</v>
      </c>
      <c r="G501" t="s">
        <v>2111</v>
      </c>
      <c r="H501" t="s">
        <v>2</v>
      </c>
      <c r="I501" s="1">
        <v>46224</v>
      </c>
      <c r="J501" t="s">
        <v>1991</v>
      </c>
      <c r="K501" t="s">
        <v>4083</v>
      </c>
      <c r="L501" s="1">
        <v>46224.918321759258</v>
      </c>
      <c r="M501" s="1">
        <v>46224.91962439815</v>
      </c>
    </row>
    <row r="502" spans="1:13" x14ac:dyDescent="0.35">
      <c r="A502" t="s">
        <v>98</v>
      </c>
      <c r="B502" t="s">
        <v>1986</v>
      </c>
      <c r="C502" t="s">
        <v>2152</v>
      </c>
      <c r="D502">
        <v>3</v>
      </c>
      <c r="E502" s="1">
        <v>53097</v>
      </c>
      <c r="F502" t="s">
        <v>1988</v>
      </c>
      <c r="G502" t="s">
        <v>2152</v>
      </c>
      <c r="H502" t="s">
        <v>2</v>
      </c>
      <c r="I502" s="1">
        <v>46224</v>
      </c>
      <c r="J502" t="s">
        <v>1991</v>
      </c>
      <c r="K502" t="s">
        <v>3196</v>
      </c>
      <c r="L502" s="1">
        <v>46224.918321759258</v>
      </c>
      <c r="M502" s="1">
        <v>46224.91962439815</v>
      </c>
    </row>
    <row r="503" spans="1:13" x14ac:dyDescent="0.35">
      <c r="A503" t="s">
        <v>98</v>
      </c>
      <c r="B503" t="s">
        <v>1986</v>
      </c>
      <c r="C503" t="s">
        <v>2152</v>
      </c>
      <c r="D503">
        <v>3</v>
      </c>
      <c r="E503" s="1">
        <v>53097</v>
      </c>
      <c r="F503" t="s">
        <v>1988</v>
      </c>
      <c r="G503" t="s">
        <v>2152</v>
      </c>
      <c r="H503" t="s">
        <v>2</v>
      </c>
      <c r="I503" s="1">
        <v>46224</v>
      </c>
      <c r="J503" t="s">
        <v>1989</v>
      </c>
      <c r="K503" t="s">
        <v>3225</v>
      </c>
      <c r="L503" s="1">
        <v>46224.918321759258</v>
      </c>
      <c r="M503" s="1">
        <v>46224.91962439815</v>
      </c>
    </row>
    <row r="504" spans="1:13" x14ac:dyDescent="0.35">
      <c r="A504" t="s">
        <v>180</v>
      </c>
      <c r="B504" t="s">
        <v>1986</v>
      </c>
      <c r="C504" t="s">
        <v>2179</v>
      </c>
      <c r="D504">
        <v>2.875</v>
      </c>
      <c r="E504" s="1">
        <v>53189</v>
      </c>
      <c r="F504" t="s">
        <v>1988</v>
      </c>
      <c r="G504" t="s">
        <v>2179</v>
      </c>
      <c r="H504" t="s">
        <v>2</v>
      </c>
      <c r="I504" s="1">
        <v>46224</v>
      </c>
      <c r="J504" t="s">
        <v>1989</v>
      </c>
      <c r="K504" t="s">
        <v>3485</v>
      </c>
      <c r="L504" s="1">
        <v>46224.918321759258</v>
      </c>
      <c r="M504" s="1">
        <v>46224.91962439815</v>
      </c>
    </row>
    <row r="505" spans="1:13" x14ac:dyDescent="0.35">
      <c r="A505" t="s">
        <v>180</v>
      </c>
      <c r="B505" t="s">
        <v>1986</v>
      </c>
      <c r="C505" t="s">
        <v>2179</v>
      </c>
      <c r="D505">
        <v>2.875</v>
      </c>
      <c r="E505" s="1">
        <v>53189</v>
      </c>
      <c r="F505" t="s">
        <v>1988</v>
      </c>
      <c r="G505" t="s">
        <v>2179</v>
      </c>
      <c r="H505" t="s">
        <v>2</v>
      </c>
      <c r="I505" s="1">
        <v>46224</v>
      </c>
      <c r="J505" t="s">
        <v>1991</v>
      </c>
      <c r="K505" t="s">
        <v>3247</v>
      </c>
      <c r="L505" s="1">
        <v>46224.918321759258</v>
      </c>
      <c r="M505" s="1">
        <v>46224.91962439815</v>
      </c>
    </row>
    <row r="506" spans="1:13" x14ac:dyDescent="0.35">
      <c r="A506" t="s">
        <v>181</v>
      </c>
      <c r="B506" t="s">
        <v>1986</v>
      </c>
      <c r="C506" t="s">
        <v>2162</v>
      </c>
      <c r="D506">
        <v>3</v>
      </c>
      <c r="E506" s="1">
        <v>53281</v>
      </c>
      <c r="F506" t="s">
        <v>1988</v>
      </c>
      <c r="G506" t="s">
        <v>2162</v>
      </c>
      <c r="H506" t="s">
        <v>2</v>
      </c>
      <c r="I506" s="1">
        <v>46224</v>
      </c>
      <c r="J506" t="s">
        <v>1991</v>
      </c>
      <c r="K506" t="s">
        <v>3256</v>
      </c>
      <c r="L506" s="1">
        <v>46224.918321759258</v>
      </c>
      <c r="M506" s="1">
        <v>46224.91962439815</v>
      </c>
    </row>
    <row r="507" spans="1:13" x14ac:dyDescent="0.35">
      <c r="A507" t="s">
        <v>181</v>
      </c>
      <c r="B507" t="s">
        <v>1986</v>
      </c>
      <c r="C507" t="s">
        <v>2162</v>
      </c>
      <c r="D507">
        <v>3</v>
      </c>
      <c r="E507" s="1">
        <v>53281</v>
      </c>
      <c r="F507" t="s">
        <v>1988</v>
      </c>
      <c r="G507" t="s">
        <v>2162</v>
      </c>
      <c r="H507" t="s">
        <v>2</v>
      </c>
      <c r="I507" s="1">
        <v>46224</v>
      </c>
      <c r="J507" t="s">
        <v>1989</v>
      </c>
      <c r="K507" t="s">
        <v>4084</v>
      </c>
      <c r="L507" s="1">
        <v>46224.918321759258</v>
      </c>
      <c r="M507" s="1">
        <v>46224.91962439815</v>
      </c>
    </row>
    <row r="508" spans="1:13" x14ac:dyDescent="0.35">
      <c r="A508" t="s">
        <v>182</v>
      </c>
      <c r="B508" t="s">
        <v>1986</v>
      </c>
      <c r="C508" t="s">
        <v>2250</v>
      </c>
      <c r="D508">
        <v>2.5</v>
      </c>
      <c r="E508" s="1">
        <v>53373</v>
      </c>
      <c r="F508" t="s">
        <v>1988</v>
      </c>
      <c r="G508" t="s">
        <v>2250</v>
      </c>
      <c r="H508" t="s">
        <v>2</v>
      </c>
      <c r="I508" s="1">
        <v>46224</v>
      </c>
      <c r="J508" t="s">
        <v>1989</v>
      </c>
      <c r="K508" t="s">
        <v>3197</v>
      </c>
      <c r="L508" s="1">
        <v>46224.918321759258</v>
      </c>
      <c r="M508" s="1">
        <v>46224.91962439815</v>
      </c>
    </row>
    <row r="509" spans="1:13" x14ac:dyDescent="0.35">
      <c r="A509" t="s">
        <v>182</v>
      </c>
      <c r="B509" t="s">
        <v>1986</v>
      </c>
      <c r="C509" t="s">
        <v>2250</v>
      </c>
      <c r="D509">
        <v>2.5</v>
      </c>
      <c r="E509" s="1">
        <v>53373</v>
      </c>
      <c r="F509" t="s">
        <v>1988</v>
      </c>
      <c r="G509" t="s">
        <v>2250</v>
      </c>
      <c r="H509" t="s">
        <v>2</v>
      </c>
      <c r="I509" s="1">
        <v>46224</v>
      </c>
      <c r="J509" t="s">
        <v>1991</v>
      </c>
      <c r="K509" t="s">
        <v>2940</v>
      </c>
      <c r="L509" s="1">
        <v>46224.918321759258</v>
      </c>
      <c r="M509" s="1">
        <v>46224.91962439815</v>
      </c>
    </row>
    <row r="510" spans="1:13" x14ac:dyDescent="0.35">
      <c r="A510" t="s">
        <v>99</v>
      </c>
      <c r="B510" t="s">
        <v>1986</v>
      </c>
      <c r="C510" t="s">
        <v>2163</v>
      </c>
      <c r="D510">
        <v>1</v>
      </c>
      <c r="E510" s="1">
        <v>53373</v>
      </c>
      <c r="F510" t="s">
        <v>2014</v>
      </c>
      <c r="G510" t="s">
        <v>2163</v>
      </c>
      <c r="H510" t="s">
        <v>2</v>
      </c>
      <c r="I510" s="1">
        <v>46224</v>
      </c>
      <c r="J510" t="s">
        <v>1989</v>
      </c>
      <c r="K510" t="s">
        <v>3486</v>
      </c>
      <c r="L510" s="1">
        <v>46224.918321759258</v>
      </c>
      <c r="M510" s="1">
        <v>46224.91962439815</v>
      </c>
    </row>
    <row r="511" spans="1:13" x14ac:dyDescent="0.35">
      <c r="A511" t="s">
        <v>99</v>
      </c>
      <c r="B511" t="s">
        <v>1986</v>
      </c>
      <c r="C511" t="s">
        <v>2163</v>
      </c>
      <c r="D511">
        <v>1</v>
      </c>
      <c r="E511" s="1">
        <v>53373</v>
      </c>
      <c r="F511" t="s">
        <v>2014</v>
      </c>
      <c r="G511" t="s">
        <v>2163</v>
      </c>
      <c r="H511" t="s">
        <v>2</v>
      </c>
      <c r="I511" s="1">
        <v>46224</v>
      </c>
      <c r="J511" t="s">
        <v>1991</v>
      </c>
      <c r="K511" t="s">
        <v>3226</v>
      </c>
      <c r="L511" s="1">
        <v>46224.918321759258</v>
      </c>
      <c r="M511" s="1">
        <v>46224.91962439815</v>
      </c>
    </row>
    <row r="512" spans="1:13" x14ac:dyDescent="0.35">
      <c r="A512" t="s">
        <v>100</v>
      </c>
      <c r="B512" t="s">
        <v>1986</v>
      </c>
      <c r="C512" t="s">
        <v>2197</v>
      </c>
      <c r="D512">
        <v>2.5</v>
      </c>
      <c r="E512" s="1">
        <v>53462</v>
      </c>
      <c r="F512" t="s">
        <v>1988</v>
      </c>
      <c r="G512" t="s">
        <v>2197</v>
      </c>
      <c r="H512" t="s">
        <v>2</v>
      </c>
      <c r="I512" s="1">
        <v>46224</v>
      </c>
      <c r="J512" t="s">
        <v>1991</v>
      </c>
      <c r="K512" t="s">
        <v>3248</v>
      </c>
      <c r="L512" s="1">
        <v>46224.918321759258</v>
      </c>
      <c r="M512" s="1">
        <v>46224.91962439815</v>
      </c>
    </row>
    <row r="513" spans="1:13" x14ac:dyDescent="0.35">
      <c r="A513" t="s">
        <v>100</v>
      </c>
      <c r="B513" t="s">
        <v>1986</v>
      </c>
      <c r="C513" t="s">
        <v>2197</v>
      </c>
      <c r="D513">
        <v>2.5</v>
      </c>
      <c r="E513" s="1">
        <v>53462</v>
      </c>
      <c r="F513" t="s">
        <v>1988</v>
      </c>
      <c r="G513" t="s">
        <v>2197</v>
      </c>
      <c r="H513" t="s">
        <v>2</v>
      </c>
      <c r="I513" s="1">
        <v>46224</v>
      </c>
      <c r="J513" t="s">
        <v>1989</v>
      </c>
      <c r="K513" t="s">
        <v>3313</v>
      </c>
      <c r="L513" s="1">
        <v>46224.918321759258</v>
      </c>
      <c r="M513" s="1">
        <v>46224.91962439815</v>
      </c>
    </row>
    <row r="514" spans="1:13" x14ac:dyDescent="0.35">
      <c r="A514" t="s">
        <v>143</v>
      </c>
      <c r="B514" t="s">
        <v>1986</v>
      </c>
      <c r="C514" t="s">
        <v>2112</v>
      </c>
      <c r="D514">
        <v>2.25</v>
      </c>
      <c r="E514" s="1">
        <v>53554</v>
      </c>
      <c r="F514" t="s">
        <v>1988</v>
      </c>
      <c r="G514" t="s">
        <v>2112</v>
      </c>
      <c r="H514" t="s">
        <v>2</v>
      </c>
      <c r="I514" s="1">
        <v>46224</v>
      </c>
      <c r="J514" t="s">
        <v>1989</v>
      </c>
      <c r="K514" t="s">
        <v>3487</v>
      </c>
      <c r="L514" s="1">
        <v>46224.918321759258</v>
      </c>
      <c r="M514" s="1">
        <v>46224.91962439815</v>
      </c>
    </row>
    <row r="515" spans="1:13" x14ac:dyDescent="0.35">
      <c r="A515" t="s">
        <v>143</v>
      </c>
      <c r="B515" t="s">
        <v>1986</v>
      </c>
      <c r="C515" t="s">
        <v>2112</v>
      </c>
      <c r="D515">
        <v>2.25</v>
      </c>
      <c r="E515" s="1">
        <v>53554</v>
      </c>
      <c r="F515" t="s">
        <v>1988</v>
      </c>
      <c r="G515" t="s">
        <v>2112</v>
      </c>
      <c r="H515" t="s">
        <v>2</v>
      </c>
      <c r="I515" s="1">
        <v>46224</v>
      </c>
      <c r="J515" t="s">
        <v>1991</v>
      </c>
      <c r="K515" t="s">
        <v>3198</v>
      </c>
      <c r="L515" s="1">
        <v>46224.918321759258</v>
      </c>
      <c r="M515" s="1">
        <v>46224.91962439815</v>
      </c>
    </row>
    <row r="516" spans="1:13" x14ac:dyDescent="0.35">
      <c r="A516" t="s">
        <v>183</v>
      </c>
      <c r="B516" t="s">
        <v>1986</v>
      </c>
      <c r="C516" t="s">
        <v>2153</v>
      </c>
      <c r="D516">
        <v>2.875</v>
      </c>
      <c r="E516" s="1">
        <v>53646</v>
      </c>
      <c r="F516" t="s">
        <v>1988</v>
      </c>
      <c r="G516" t="s">
        <v>2153</v>
      </c>
      <c r="H516" t="s">
        <v>2</v>
      </c>
      <c r="I516" s="1">
        <v>46224</v>
      </c>
      <c r="J516" t="s">
        <v>1989</v>
      </c>
      <c r="K516" t="s">
        <v>3296</v>
      </c>
      <c r="L516" s="1">
        <v>46224.918321759258</v>
      </c>
      <c r="M516" s="1">
        <v>46224.91962439815</v>
      </c>
    </row>
    <row r="517" spans="1:13" x14ac:dyDescent="0.35">
      <c r="A517" t="s">
        <v>183</v>
      </c>
      <c r="B517" t="s">
        <v>1986</v>
      </c>
      <c r="C517" t="s">
        <v>2153</v>
      </c>
      <c r="D517">
        <v>2.875</v>
      </c>
      <c r="E517" s="1">
        <v>53646</v>
      </c>
      <c r="F517" t="s">
        <v>1988</v>
      </c>
      <c r="G517" t="s">
        <v>2153</v>
      </c>
      <c r="H517" t="s">
        <v>2</v>
      </c>
      <c r="I517" s="1">
        <v>46224</v>
      </c>
      <c r="J517" t="s">
        <v>1991</v>
      </c>
      <c r="K517" t="s">
        <v>3297</v>
      </c>
      <c r="L517" s="1">
        <v>46224.918321759258</v>
      </c>
      <c r="M517" s="1">
        <v>46224.91962439815</v>
      </c>
    </row>
    <row r="518" spans="1:13" x14ac:dyDescent="0.35">
      <c r="A518" t="s">
        <v>223</v>
      </c>
      <c r="B518" t="s">
        <v>1986</v>
      </c>
      <c r="C518" t="s">
        <v>2113</v>
      </c>
      <c r="D518">
        <v>3</v>
      </c>
      <c r="E518" s="1">
        <v>53738</v>
      </c>
      <c r="F518" t="s">
        <v>1988</v>
      </c>
      <c r="G518" t="s">
        <v>2113</v>
      </c>
      <c r="H518" t="s">
        <v>2</v>
      </c>
      <c r="I518" s="1">
        <v>46224</v>
      </c>
      <c r="J518" t="s">
        <v>1989</v>
      </c>
      <c r="K518" t="s">
        <v>3314</v>
      </c>
      <c r="L518" s="1">
        <v>46224.918321759258</v>
      </c>
      <c r="M518" s="1">
        <v>46224.91962439815</v>
      </c>
    </row>
    <row r="519" spans="1:13" x14ac:dyDescent="0.35">
      <c r="A519" t="s">
        <v>223</v>
      </c>
      <c r="B519" t="s">
        <v>1986</v>
      </c>
      <c r="C519" t="s">
        <v>2113</v>
      </c>
      <c r="D519">
        <v>3</v>
      </c>
      <c r="E519" s="1">
        <v>53738</v>
      </c>
      <c r="F519" t="s">
        <v>1988</v>
      </c>
      <c r="G519" t="s">
        <v>2113</v>
      </c>
      <c r="H519" t="s">
        <v>2</v>
      </c>
      <c r="I519" s="1">
        <v>46224</v>
      </c>
      <c r="J519" t="s">
        <v>1991</v>
      </c>
      <c r="K519" t="s">
        <v>3315</v>
      </c>
      <c r="L519" s="1">
        <v>46224.918321759258</v>
      </c>
      <c r="M519" s="1">
        <v>46224.91962439815</v>
      </c>
    </row>
    <row r="520" spans="1:13" x14ac:dyDescent="0.35">
      <c r="A520" t="s">
        <v>224</v>
      </c>
      <c r="B520" t="s">
        <v>1986</v>
      </c>
      <c r="C520" t="s">
        <v>2164</v>
      </c>
      <c r="D520">
        <v>0.875</v>
      </c>
      <c r="E520" s="1">
        <v>53738</v>
      </c>
      <c r="F520" t="s">
        <v>2014</v>
      </c>
      <c r="G520" t="s">
        <v>2164</v>
      </c>
      <c r="H520" t="s">
        <v>2</v>
      </c>
      <c r="I520" s="1">
        <v>46224</v>
      </c>
      <c r="J520" t="s">
        <v>1989</v>
      </c>
      <c r="K520" t="s">
        <v>3199</v>
      </c>
      <c r="L520" s="1">
        <v>46224.918321759258</v>
      </c>
      <c r="M520" s="1">
        <v>46224.91962439815</v>
      </c>
    </row>
    <row r="521" spans="1:13" x14ac:dyDescent="0.35">
      <c r="A521" t="s">
        <v>224</v>
      </c>
      <c r="B521" t="s">
        <v>1986</v>
      </c>
      <c r="C521" t="s">
        <v>2164</v>
      </c>
      <c r="D521">
        <v>0.875</v>
      </c>
      <c r="E521" s="1">
        <v>53738</v>
      </c>
      <c r="F521" t="s">
        <v>2014</v>
      </c>
      <c r="G521" t="s">
        <v>2164</v>
      </c>
      <c r="H521" t="s">
        <v>2</v>
      </c>
      <c r="I521" s="1">
        <v>46224</v>
      </c>
      <c r="J521" t="s">
        <v>1991</v>
      </c>
      <c r="K521" t="s">
        <v>3200</v>
      </c>
      <c r="L521" s="1">
        <v>46224.918321759258</v>
      </c>
      <c r="M521" s="1">
        <v>46224.91962439815</v>
      </c>
    </row>
    <row r="522" spans="1:13" x14ac:dyDescent="0.35">
      <c r="A522" t="s">
        <v>184</v>
      </c>
      <c r="B522" t="s">
        <v>1986</v>
      </c>
      <c r="C522" t="s">
        <v>2114</v>
      </c>
      <c r="D522">
        <v>3</v>
      </c>
      <c r="E522" s="1">
        <v>53827</v>
      </c>
      <c r="F522" t="s">
        <v>1988</v>
      </c>
      <c r="G522" t="s">
        <v>2114</v>
      </c>
      <c r="H522" t="s">
        <v>2</v>
      </c>
      <c r="I522" s="1">
        <v>46224</v>
      </c>
      <c r="J522" t="s">
        <v>1989</v>
      </c>
      <c r="K522" t="s">
        <v>3249</v>
      </c>
      <c r="L522" s="1">
        <v>46224.918321759258</v>
      </c>
      <c r="M522" s="1">
        <v>46224.91962439815</v>
      </c>
    </row>
    <row r="523" spans="1:13" x14ac:dyDescent="0.35">
      <c r="A523" t="s">
        <v>184</v>
      </c>
      <c r="B523" t="s">
        <v>1986</v>
      </c>
      <c r="C523" t="s">
        <v>2114</v>
      </c>
      <c r="D523">
        <v>3</v>
      </c>
      <c r="E523" s="1">
        <v>53827</v>
      </c>
      <c r="F523" t="s">
        <v>1988</v>
      </c>
      <c r="G523" t="s">
        <v>2114</v>
      </c>
      <c r="H523" t="s">
        <v>2</v>
      </c>
      <c r="I523" s="1">
        <v>46224</v>
      </c>
      <c r="J523" t="s">
        <v>1991</v>
      </c>
      <c r="K523" t="s">
        <v>3227</v>
      </c>
      <c r="L523" s="1">
        <v>46224.918321759258</v>
      </c>
      <c r="M523" s="1">
        <v>46224.91962439815</v>
      </c>
    </row>
    <row r="524" spans="1:13" x14ac:dyDescent="0.35">
      <c r="A524" t="s">
        <v>225</v>
      </c>
      <c r="B524" t="s">
        <v>1986</v>
      </c>
      <c r="C524" t="s">
        <v>2101</v>
      </c>
      <c r="D524">
        <v>2.75</v>
      </c>
      <c r="E524" s="1">
        <v>53919</v>
      </c>
      <c r="F524" t="s">
        <v>1988</v>
      </c>
      <c r="G524" t="s">
        <v>2101</v>
      </c>
      <c r="H524" t="s">
        <v>2</v>
      </c>
      <c r="I524" s="1">
        <v>46224</v>
      </c>
      <c r="J524" t="s">
        <v>1991</v>
      </c>
      <c r="K524" t="s">
        <v>3488</v>
      </c>
      <c r="L524" s="1">
        <v>46224.918321759258</v>
      </c>
      <c r="M524" s="1">
        <v>46224.91962439815</v>
      </c>
    </row>
    <row r="525" spans="1:13" x14ac:dyDescent="0.35">
      <c r="A525" t="s">
        <v>225</v>
      </c>
      <c r="B525" t="s">
        <v>1986</v>
      </c>
      <c r="C525" t="s">
        <v>2101</v>
      </c>
      <c r="D525">
        <v>2.75</v>
      </c>
      <c r="E525" s="1">
        <v>53919</v>
      </c>
      <c r="F525" t="s">
        <v>1988</v>
      </c>
      <c r="G525" t="s">
        <v>2101</v>
      </c>
      <c r="H525" t="s">
        <v>2</v>
      </c>
      <c r="I525" s="1">
        <v>46224</v>
      </c>
      <c r="J525" t="s">
        <v>1989</v>
      </c>
      <c r="K525" t="s">
        <v>3201</v>
      </c>
      <c r="L525" s="1">
        <v>46224.918321759258</v>
      </c>
      <c r="M525" s="1">
        <v>46224.91962439815</v>
      </c>
    </row>
    <row r="526" spans="1:13" x14ac:dyDescent="0.35">
      <c r="A526" t="s">
        <v>211</v>
      </c>
      <c r="B526" t="s">
        <v>1986</v>
      </c>
      <c r="C526" t="s">
        <v>2102</v>
      </c>
      <c r="D526">
        <v>2.75</v>
      </c>
      <c r="E526" s="1">
        <v>54011</v>
      </c>
      <c r="F526" t="s">
        <v>1988</v>
      </c>
      <c r="G526" t="s">
        <v>2102</v>
      </c>
      <c r="H526" t="s">
        <v>2</v>
      </c>
      <c r="I526" s="1">
        <v>46224</v>
      </c>
      <c r="J526" t="s">
        <v>1991</v>
      </c>
      <c r="K526" t="s">
        <v>3298</v>
      </c>
      <c r="L526" s="1">
        <v>46224.918321759258</v>
      </c>
      <c r="M526" s="1">
        <v>46224.91962439815</v>
      </c>
    </row>
    <row r="527" spans="1:13" x14ac:dyDescent="0.35">
      <c r="A527" t="s">
        <v>211</v>
      </c>
      <c r="B527" t="s">
        <v>1986</v>
      </c>
      <c r="C527" t="s">
        <v>2102</v>
      </c>
      <c r="D527">
        <v>2.75</v>
      </c>
      <c r="E527" s="1">
        <v>54011</v>
      </c>
      <c r="F527" t="s">
        <v>1988</v>
      </c>
      <c r="G527" t="s">
        <v>2102</v>
      </c>
      <c r="H527" t="s">
        <v>2</v>
      </c>
      <c r="I527" s="1">
        <v>46224</v>
      </c>
      <c r="J527" t="s">
        <v>1989</v>
      </c>
      <c r="K527" t="s">
        <v>3228</v>
      </c>
      <c r="L527" s="1">
        <v>46224.918321759258</v>
      </c>
      <c r="M527" s="1">
        <v>46224.91962439815</v>
      </c>
    </row>
    <row r="528" spans="1:13" x14ac:dyDescent="0.35">
      <c r="A528" t="s">
        <v>165</v>
      </c>
      <c r="B528" t="s">
        <v>1986</v>
      </c>
      <c r="C528" t="s">
        <v>2251</v>
      </c>
      <c r="D528">
        <v>3</v>
      </c>
      <c r="E528" s="1">
        <v>54103</v>
      </c>
      <c r="F528" t="s">
        <v>1988</v>
      </c>
      <c r="G528" t="s">
        <v>2251</v>
      </c>
      <c r="H528" t="s">
        <v>2</v>
      </c>
      <c r="I528" s="1">
        <v>46224</v>
      </c>
      <c r="J528" t="s">
        <v>1991</v>
      </c>
      <c r="K528" t="s">
        <v>2908</v>
      </c>
      <c r="L528" s="1">
        <v>46224.918321759258</v>
      </c>
      <c r="M528" s="1">
        <v>46224.91962439815</v>
      </c>
    </row>
    <row r="529" spans="1:13" x14ac:dyDescent="0.35">
      <c r="A529" t="s">
        <v>165</v>
      </c>
      <c r="B529" t="s">
        <v>1986</v>
      </c>
      <c r="C529" t="s">
        <v>2251</v>
      </c>
      <c r="D529">
        <v>3</v>
      </c>
      <c r="E529" s="1">
        <v>54103</v>
      </c>
      <c r="F529" t="s">
        <v>1988</v>
      </c>
      <c r="G529" t="s">
        <v>2251</v>
      </c>
      <c r="H529" t="s">
        <v>2</v>
      </c>
      <c r="I529" s="1">
        <v>46224</v>
      </c>
      <c r="J529" t="s">
        <v>1989</v>
      </c>
      <c r="K529" t="s">
        <v>3395</v>
      </c>
      <c r="L529" s="1">
        <v>46224.918321759258</v>
      </c>
      <c r="M529" s="1">
        <v>46224.91962439815</v>
      </c>
    </row>
    <row r="530" spans="1:13" x14ac:dyDescent="0.35">
      <c r="A530" t="s">
        <v>185</v>
      </c>
      <c r="B530" t="s">
        <v>1986</v>
      </c>
      <c r="C530" t="s">
        <v>2252</v>
      </c>
      <c r="D530">
        <v>1</v>
      </c>
      <c r="E530" s="1">
        <v>54103</v>
      </c>
      <c r="F530" t="s">
        <v>2014</v>
      </c>
      <c r="G530" t="s">
        <v>2252</v>
      </c>
      <c r="H530" t="s">
        <v>2</v>
      </c>
      <c r="I530" s="1">
        <v>46224</v>
      </c>
      <c r="J530" t="s">
        <v>1989</v>
      </c>
      <c r="K530" t="s">
        <v>3002</v>
      </c>
      <c r="L530" s="1">
        <v>46224.918321759258</v>
      </c>
      <c r="M530" s="1">
        <v>46224.91962439815</v>
      </c>
    </row>
    <row r="531" spans="1:13" x14ac:dyDescent="0.35">
      <c r="A531" t="s">
        <v>185</v>
      </c>
      <c r="B531" t="s">
        <v>1986</v>
      </c>
      <c r="C531" t="s">
        <v>2252</v>
      </c>
      <c r="D531">
        <v>1</v>
      </c>
      <c r="E531" s="1">
        <v>54103</v>
      </c>
      <c r="F531" t="s">
        <v>2014</v>
      </c>
      <c r="G531" t="s">
        <v>2252</v>
      </c>
      <c r="H531" t="s">
        <v>2</v>
      </c>
      <c r="I531" s="1">
        <v>46224</v>
      </c>
      <c r="J531" t="s">
        <v>1991</v>
      </c>
      <c r="K531" t="s">
        <v>3202</v>
      </c>
      <c r="L531" s="1">
        <v>46224.918321759258</v>
      </c>
      <c r="M531" s="1">
        <v>46224.91962439815</v>
      </c>
    </row>
    <row r="532" spans="1:13" x14ac:dyDescent="0.35">
      <c r="A532" t="s">
        <v>166</v>
      </c>
      <c r="B532" t="s">
        <v>1986</v>
      </c>
      <c r="C532" t="s">
        <v>2165</v>
      </c>
      <c r="D532">
        <v>3.125</v>
      </c>
      <c r="E532" s="1">
        <v>54193</v>
      </c>
      <c r="F532" t="s">
        <v>1988</v>
      </c>
      <c r="G532" t="s">
        <v>2165</v>
      </c>
      <c r="H532" t="s">
        <v>2</v>
      </c>
      <c r="I532" s="1">
        <v>46224</v>
      </c>
      <c r="J532" t="s">
        <v>1989</v>
      </c>
      <c r="K532" t="s">
        <v>3489</v>
      </c>
      <c r="L532" s="1">
        <v>46224.918321759258</v>
      </c>
      <c r="M532" s="1">
        <v>46224.91962439815</v>
      </c>
    </row>
    <row r="533" spans="1:13" x14ac:dyDescent="0.35">
      <c r="A533" t="s">
        <v>166</v>
      </c>
      <c r="B533" t="s">
        <v>1986</v>
      </c>
      <c r="C533" t="s">
        <v>2165</v>
      </c>
      <c r="D533">
        <v>3.125</v>
      </c>
      <c r="E533" s="1">
        <v>54193</v>
      </c>
      <c r="F533" t="s">
        <v>1988</v>
      </c>
      <c r="G533" t="s">
        <v>2165</v>
      </c>
      <c r="H533" t="s">
        <v>2</v>
      </c>
      <c r="I533" s="1">
        <v>46224</v>
      </c>
      <c r="J533" t="s">
        <v>1991</v>
      </c>
      <c r="K533" t="s">
        <v>3316</v>
      </c>
      <c r="L533" s="1">
        <v>46224.918321759258</v>
      </c>
      <c r="M533" s="1">
        <v>46224.91962439815</v>
      </c>
    </row>
    <row r="534" spans="1:13" x14ac:dyDescent="0.35">
      <c r="A534" t="s">
        <v>101</v>
      </c>
      <c r="B534" t="s">
        <v>1986</v>
      </c>
      <c r="C534" t="s">
        <v>2253</v>
      </c>
      <c r="D534">
        <v>3</v>
      </c>
      <c r="E534" s="1">
        <v>54285</v>
      </c>
      <c r="F534" t="s">
        <v>1988</v>
      </c>
      <c r="G534" t="s">
        <v>2253</v>
      </c>
      <c r="H534" t="s">
        <v>2</v>
      </c>
      <c r="I534" s="1">
        <v>46224</v>
      </c>
      <c r="J534" t="s">
        <v>1989</v>
      </c>
      <c r="K534" t="s">
        <v>2994</v>
      </c>
      <c r="L534" s="1">
        <v>46224.918321759258</v>
      </c>
      <c r="M534" s="1">
        <v>46224.91962439815</v>
      </c>
    </row>
    <row r="535" spans="1:13" x14ac:dyDescent="0.35">
      <c r="A535" t="s">
        <v>101</v>
      </c>
      <c r="B535" t="s">
        <v>1986</v>
      </c>
      <c r="C535" t="s">
        <v>2253</v>
      </c>
      <c r="D535">
        <v>3</v>
      </c>
      <c r="E535" s="1">
        <v>54285</v>
      </c>
      <c r="F535" t="s">
        <v>1988</v>
      </c>
      <c r="G535" t="s">
        <v>2253</v>
      </c>
      <c r="H535" t="s">
        <v>2</v>
      </c>
      <c r="I535" s="1">
        <v>46224</v>
      </c>
      <c r="J535" t="s">
        <v>1991</v>
      </c>
      <c r="K535" t="s">
        <v>4085</v>
      </c>
      <c r="L535" s="1">
        <v>46224.918321759258</v>
      </c>
      <c r="M535" s="1">
        <v>46224.91962439815</v>
      </c>
    </row>
    <row r="536" spans="1:13" x14ac:dyDescent="0.35">
      <c r="A536" t="s">
        <v>226</v>
      </c>
      <c r="B536" t="s">
        <v>1986</v>
      </c>
      <c r="C536" t="s">
        <v>2103</v>
      </c>
      <c r="D536">
        <v>3.375</v>
      </c>
      <c r="E536" s="1">
        <v>54377</v>
      </c>
      <c r="F536" t="s">
        <v>1988</v>
      </c>
      <c r="G536" t="s">
        <v>2103</v>
      </c>
      <c r="H536" t="s">
        <v>2</v>
      </c>
      <c r="I536" s="1">
        <v>46224</v>
      </c>
      <c r="J536" t="s">
        <v>1991</v>
      </c>
      <c r="K536" t="s">
        <v>3396</v>
      </c>
      <c r="L536" s="1">
        <v>46224.918321759258</v>
      </c>
      <c r="M536" s="1">
        <v>46224.91962439815</v>
      </c>
    </row>
    <row r="537" spans="1:13" x14ac:dyDescent="0.35">
      <c r="A537" t="s">
        <v>226</v>
      </c>
      <c r="B537" t="s">
        <v>1986</v>
      </c>
      <c r="C537" t="s">
        <v>2103</v>
      </c>
      <c r="D537">
        <v>3.375</v>
      </c>
      <c r="E537" s="1">
        <v>54377</v>
      </c>
      <c r="F537" t="s">
        <v>1988</v>
      </c>
      <c r="G537" t="s">
        <v>2103</v>
      </c>
      <c r="H537" t="s">
        <v>2</v>
      </c>
      <c r="I537" s="1">
        <v>46224</v>
      </c>
      <c r="J537" t="s">
        <v>1989</v>
      </c>
      <c r="K537" t="s">
        <v>4086</v>
      </c>
      <c r="L537" s="1">
        <v>46224.918321759258</v>
      </c>
      <c r="M537" s="1">
        <v>46224.91962439815</v>
      </c>
    </row>
    <row r="538" spans="1:13" x14ac:dyDescent="0.35">
      <c r="A538" t="s">
        <v>167</v>
      </c>
      <c r="B538" t="s">
        <v>1986</v>
      </c>
      <c r="C538" t="s">
        <v>2115</v>
      </c>
      <c r="D538">
        <v>3</v>
      </c>
      <c r="E538" s="1">
        <v>54469</v>
      </c>
      <c r="F538" t="s">
        <v>1988</v>
      </c>
      <c r="G538" t="s">
        <v>2115</v>
      </c>
      <c r="H538" t="s">
        <v>2</v>
      </c>
      <c r="I538" s="1">
        <v>46224</v>
      </c>
      <c r="J538" t="s">
        <v>1991</v>
      </c>
      <c r="K538" t="s">
        <v>3490</v>
      </c>
      <c r="L538" s="1">
        <v>46224.918321759258</v>
      </c>
      <c r="M538" s="1">
        <v>46224.91962439815</v>
      </c>
    </row>
    <row r="539" spans="1:13" x14ac:dyDescent="0.35">
      <c r="A539" t="s">
        <v>167</v>
      </c>
      <c r="B539" t="s">
        <v>1986</v>
      </c>
      <c r="C539" t="s">
        <v>2115</v>
      </c>
      <c r="D539">
        <v>3</v>
      </c>
      <c r="E539" s="1">
        <v>54469</v>
      </c>
      <c r="F539" t="s">
        <v>1988</v>
      </c>
      <c r="G539" t="s">
        <v>2115</v>
      </c>
      <c r="H539" t="s">
        <v>2</v>
      </c>
      <c r="I539" s="1">
        <v>46224</v>
      </c>
      <c r="J539" t="s">
        <v>1989</v>
      </c>
      <c r="K539" t="s">
        <v>3229</v>
      </c>
      <c r="L539" s="1">
        <v>46224.918321759258</v>
      </c>
      <c r="M539" s="1">
        <v>46224.91962439815</v>
      </c>
    </row>
    <row r="540" spans="1:13" x14ac:dyDescent="0.35">
      <c r="A540" t="s">
        <v>186</v>
      </c>
      <c r="B540" t="s">
        <v>1986</v>
      </c>
      <c r="C540" t="s">
        <v>2104</v>
      </c>
      <c r="D540">
        <v>1</v>
      </c>
      <c r="E540" s="1">
        <v>54469</v>
      </c>
      <c r="F540" t="s">
        <v>2014</v>
      </c>
      <c r="G540" t="s">
        <v>2104</v>
      </c>
      <c r="H540" t="s">
        <v>2</v>
      </c>
      <c r="I540" s="1">
        <v>46224</v>
      </c>
      <c r="J540" t="s">
        <v>1989</v>
      </c>
      <c r="K540" t="s">
        <v>3250</v>
      </c>
      <c r="L540" s="1">
        <v>46224.918321759258</v>
      </c>
      <c r="M540" s="1">
        <v>46224.91962439815</v>
      </c>
    </row>
    <row r="541" spans="1:13" x14ac:dyDescent="0.35">
      <c r="A541" t="s">
        <v>186</v>
      </c>
      <c r="B541" t="s">
        <v>1986</v>
      </c>
      <c r="C541" t="s">
        <v>2104</v>
      </c>
      <c r="D541">
        <v>1</v>
      </c>
      <c r="E541" s="1">
        <v>54469</v>
      </c>
      <c r="F541" t="s">
        <v>2014</v>
      </c>
      <c r="G541" t="s">
        <v>2104</v>
      </c>
      <c r="H541" t="s">
        <v>2</v>
      </c>
      <c r="I541" s="1">
        <v>46224</v>
      </c>
      <c r="J541" t="s">
        <v>1991</v>
      </c>
      <c r="K541" t="s">
        <v>4087</v>
      </c>
      <c r="L541" s="1">
        <v>46224.918321759258</v>
      </c>
      <c r="M541" s="1">
        <v>46224.91962439815</v>
      </c>
    </row>
    <row r="542" spans="1:13" x14ac:dyDescent="0.35">
      <c r="A542" t="s">
        <v>144</v>
      </c>
      <c r="B542" t="s">
        <v>1986</v>
      </c>
      <c r="C542" t="s">
        <v>2105</v>
      </c>
      <c r="D542">
        <v>2.875</v>
      </c>
      <c r="E542" s="1">
        <v>54558</v>
      </c>
      <c r="F542" t="s">
        <v>1988</v>
      </c>
      <c r="G542" t="s">
        <v>2105</v>
      </c>
      <c r="H542" t="s">
        <v>2</v>
      </c>
      <c r="I542" s="1">
        <v>46224</v>
      </c>
      <c r="J542" t="s">
        <v>1991</v>
      </c>
      <c r="K542" t="s">
        <v>3202</v>
      </c>
      <c r="L542" s="1">
        <v>46224.918321759258</v>
      </c>
      <c r="M542" s="1">
        <v>46224.91962439815</v>
      </c>
    </row>
    <row r="543" spans="1:13" x14ac:dyDescent="0.35">
      <c r="A543" t="s">
        <v>144</v>
      </c>
      <c r="B543" t="s">
        <v>1986</v>
      </c>
      <c r="C543" t="s">
        <v>2105</v>
      </c>
      <c r="D543">
        <v>2.875</v>
      </c>
      <c r="E543" s="1">
        <v>54558</v>
      </c>
      <c r="F543" t="s">
        <v>1988</v>
      </c>
      <c r="G543" t="s">
        <v>2105</v>
      </c>
      <c r="H543" t="s">
        <v>2</v>
      </c>
      <c r="I543" s="1">
        <v>46224</v>
      </c>
      <c r="J543" t="s">
        <v>1989</v>
      </c>
      <c r="K543" t="s">
        <v>3397</v>
      </c>
      <c r="L543" s="1">
        <v>46224.918321759258</v>
      </c>
      <c r="M543" s="1">
        <v>46224.91962439815</v>
      </c>
    </row>
    <row r="544" spans="1:13" x14ac:dyDescent="0.35">
      <c r="A544" t="s">
        <v>145</v>
      </c>
      <c r="B544" t="s">
        <v>1986</v>
      </c>
      <c r="C544" t="s">
        <v>2180</v>
      </c>
      <c r="D544">
        <v>2.25</v>
      </c>
      <c r="E544" s="1">
        <v>54650</v>
      </c>
      <c r="F544" t="s">
        <v>1988</v>
      </c>
      <c r="G544" t="s">
        <v>2180</v>
      </c>
      <c r="H544" t="s">
        <v>2</v>
      </c>
      <c r="I544" s="1">
        <v>46224</v>
      </c>
      <c r="J544" t="s">
        <v>1991</v>
      </c>
      <c r="K544" t="s">
        <v>3317</v>
      </c>
      <c r="L544" s="1">
        <v>46224.918321759258</v>
      </c>
      <c r="M544" s="1">
        <v>46224.91962439815</v>
      </c>
    </row>
    <row r="545" spans="1:13" x14ac:dyDescent="0.35">
      <c r="A545" t="s">
        <v>145</v>
      </c>
      <c r="B545" t="s">
        <v>1986</v>
      </c>
      <c r="C545" t="s">
        <v>2180</v>
      </c>
      <c r="D545">
        <v>2.25</v>
      </c>
      <c r="E545" s="1">
        <v>54650</v>
      </c>
      <c r="F545" t="s">
        <v>1988</v>
      </c>
      <c r="G545" t="s">
        <v>2180</v>
      </c>
      <c r="H545" t="s">
        <v>2</v>
      </c>
      <c r="I545" s="1">
        <v>46224</v>
      </c>
      <c r="J545" t="s">
        <v>1989</v>
      </c>
      <c r="K545" t="s">
        <v>4088</v>
      </c>
      <c r="L545" s="1">
        <v>46224.918321759258</v>
      </c>
      <c r="M545" s="1">
        <v>46224.91962439815</v>
      </c>
    </row>
    <row r="546" spans="1:13" x14ac:dyDescent="0.35">
      <c r="A546" t="s">
        <v>102</v>
      </c>
      <c r="B546" t="s">
        <v>1986</v>
      </c>
      <c r="C546" t="s">
        <v>2106</v>
      </c>
      <c r="D546">
        <v>2.375</v>
      </c>
      <c r="E546" s="1">
        <v>54742</v>
      </c>
      <c r="F546" t="s">
        <v>1988</v>
      </c>
      <c r="G546" t="s">
        <v>2106</v>
      </c>
      <c r="H546" t="s">
        <v>2</v>
      </c>
      <c r="I546" s="1">
        <v>46224</v>
      </c>
      <c r="J546" t="s">
        <v>1989</v>
      </c>
      <c r="K546" t="s">
        <v>3491</v>
      </c>
      <c r="L546" s="1">
        <v>46224.918321759258</v>
      </c>
      <c r="M546" s="1">
        <v>46224.91962439815</v>
      </c>
    </row>
    <row r="547" spans="1:13" x14ac:dyDescent="0.35">
      <c r="A547" t="s">
        <v>102</v>
      </c>
      <c r="B547" t="s">
        <v>1986</v>
      </c>
      <c r="C547" t="s">
        <v>2106</v>
      </c>
      <c r="D547">
        <v>2.375</v>
      </c>
      <c r="E547" s="1">
        <v>54742</v>
      </c>
      <c r="F547" t="s">
        <v>1988</v>
      </c>
      <c r="G547" t="s">
        <v>2106</v>
      </c>
      <c r="H547" t="s">
        <v>2</v>
      </c>
      <c r="I547" s="1">
        <v>46224</v>
      </c>
      <c r="J547" t="s">
        <v>1991</v>
      </c>
      <c r="K547" t="s">
        <v>3318</v>
      </c>
      <c r="L547" s="1">
        <v>46224.918321759258</v>
      </c>
      <c r="M547" s="1">
        <v>46224.91962439815</v>
      </c>
    </row>
    <row r="548" spans="1:13" x14ac:dyDescent="0.35">
      <c r="A548" t="s">
        <v>168</v>
      </c>
      <c r="B548" t="s">
        <v>1986</v>
      </c>
      <c r="C548" t="s">
        <v>2181</v>
      </c>
      <c r="D548">
        <v>2</v>
      </c>
      <c r="E548" s="1">
        <v>54834</v>
      </c>
      <c r="F548" t="s">
        <v>1988</v>
      </c>
      <c r="G548" t="s">
        <v>2181</v>
      </c>
      <c r="H548" t="s">
        <v>2</v>
      </c>
      <c r="I548" s="1">
        <v>46224</v>
      </c>
      <c r="J548" t="s">
        <v>1991</v>
      </c>
      <c r="K548" t="s">
        <v>3492</v>
      </c>
      <c r="L548" s="1">
        <v>46224.918321759258</v>
      </c>
      <c r="M548" s="1">
        <v>46224.91962439815</v>
      </c>
    </row>
    <row r="549" spans="1:13" x14ac:dyDescent="0.35">
      <c r="A549" t="s">
        <v>168</v>
      </c>
      <c r="B549" t="s">
        <v>1986</v>
      </c>
      <c r="C549" t="s">
        <v>2181</v>
      </c>
      <c r="D549">
        <v>2</v>
      </c>
      <c r="E549" s="1">
        <v>54834</v>
      </c>
      <c r="F549" t="s">
        <v>1988</v>
      </c>
      <c r="G549" t="s">
        <v>2181</v>
      </c>
      <c r="H549" t="s">
        <v>2</v>
      </c>
      <c r="I549" s="1">
        <v>46224</v>
      </c>
      <c r="J549" t="s">
        <v>1989</v>
      </c>
      <c r="K549" t="s">
        <v>3398</v>
      </c>
      <c r="L549" s="1">
        <v>46224.918321759258</v>
      </c>
      <c r="M549" s="1">
        <v>46224.91962439815</v>
      </c>
    </row>
    <row r="550" spans="1:13" x14ac:dyDescent="0.35">
      <c r="A550" t="s">
        <v>169</v>
      </c>
      <c r="B550" t="s">
        <v>1986</v>
      </c>
      <c r="C550" t="s">
        <v>2116</v>
      </c>
      <c r="D550">
        <v>0.25</v>
      </c>
      <c r="E550" s="1">
        <v>54834</v>
      </c>
      <c r="F550" t="s">
        <v>2014</v>
      </c>
      <c r="G550" t="s">
        <v>2116</v>
      </c>
      <c r="H550" t="s">
        <v>2</v>
      </c>
      <c r="I550" s="1">
        <v>46224</v>
      </c>
      <c r="J550" t="s">
        <v>1991</v>
      </c>
      <c r="K550" t="s">
        <v>3493</v>
      </c>
      <c r="L550" s="1">
        <v>46224.918321759258</v>
      </c>
      <c r="M550" s="1">
        <v>46224.91962439815</v>
      </c>
    </row>
    <row r="551" spans="1:13" x14ac:dyDescent="0.35">
      <c r="A551" t="s">
        <v>169</v>
      </c>
      <c r="B551" t="s">
        <v>1986</v>
      </c>
      <c r="C551" t="s">
        <v>2116</v>
      </c>
      <c r="D551">
        <v>0.25</v>
      </c>
      <c r="E551" s="1">
        <v>54834</v>
      </c>
      <c r="F551" t="s">
        <v>2014</v>
      </c>
      <c r="G551" t="s">
        <v>2116</v>
      </c>
      <c r="H551" t="s">
        <v>2</v>
      </c>
      <c r="I551" s="1">
        <v>46224</v>
      </c>
      <c r="J551" t="s">
        <v>1989</v>
      </c>
      <c r="K551" t="s">
        <v>3299</v>
      </c>
      <c r="L551" s="1">
        <v>46224.918321759258</v>
      </c>
      <c r="M551" s="1">
        <v>46224.91962439815</v>
      </c>
    </row>
    <row r="552" spans="1:13" x14ac:dyDescent="0.35">
      <c r="A552" t="s">
        <v>212</v>
      </c>
      <c r="B552" t="s">
        <v>1986</v>
      </c>
      <c r="C552" t="s">
        <v>2154</v>
      </c>
      <c r="D552">
        <v>1.25</v>
      </c>
      <c r="E552" s="1">
        <v>54923</v>
      </c>
      <c r="F552" t="s">
        <v>1988</v>
      </c>
      <c r="G552" t="s">
        <v>2154</v>
      </c>
      <c r="H552" t="s">
        <v>2</v>
      </c>
      <c r="I552" s="1">
        <v>46224</v>
      </c>
      <c r="J552" t="s">
        <v>1991</v>
      </c>
      <c r="K552" t="s">
        <v>3319</v>
      </c>
      <c r="L552" s="1">
        <v>46224.918321759258</v>
      </c>
      <c r="M552" s="1">
        <v>46224.91962439815</v>
      </c>
    </row>
    <row r="553" spans="1:13" x14ac:dyDescent="0.35">
      <c r="A553" t="s">
        <v>212</v>
      </c>
      <c r="B553" t="s">
        <v>1986</v>
      </c>
      <c r="C553" t="s">
        <v>2154</v>
      </c>
      <c r="D553">
        <v>1.25</v>
      </c>
      <c r="E553" s="1">
        <v>54923</v>
      </c>
      <c r="F553" t="s">
        <v>1988</v>
      </c>
      <c r="G553" t="s">
        <v>2154</v>
      </c>
      <c r="H553" t="s">
        <v>2</v>
      </c>
      <c r="I553" s="1">
        <v>46224</v>
      </c>
      <c r="J553" t="s">
        <v>1989</v>
      </c>
      <c r="K553" t="s">
        <v>3399</v>
      </c>
      <c r="L553" s="1">
        <v>46224.918321759258</v>
      </c>
      <c r="M553" s="1">
        <v>46224.91962439815</v>
      </c>
    </row>
    <row r="554" spans="1:13" x14ac:dyDescent="0.35">
      <c r="A554" t="s">
        <v>170</v>
      </c>
      <c r="B554" t="s">
        <v>1986</v>
      </c>
      <c r="C554" t="s">
        <v>2107</v>
      </c>
      <c r="D554">
        <v>1.375</v>
      </c>
      <c r="E554" s="1">
        <v>55015</v>
      </c>
      <c r="F554" t="s">
        <v>1988</v>
      </c>
      <c r="G554" t="s">
        <v>2107</v>
      </c>
      <c r="H554" t="s">
        <v>2</v>
      </c>
      <c r="I554" s="1">
        <v>46224</v>
      </c>
      <c r="J554" t="s">
        <v>1991</v>
      </c>
      <c r="K554" t="s">
        <v>3494</v>
      </c>
      <c r="L554" s="1">
        <v>46224.918321759258</v>
      </c>
      <c r="M554" s="1">
        <v>46224.91962439815</v>
      </c>
    </row>
    <row r="555" spans="1:13" x14ac:dyDescent="0.35">
      <c r="A555" t="s">
        <v>170</v>
      </c>
      <c r="B555" t="s">
        <v>1986</v>
      </c>
      <c r="C555" t="s">
        <v>2107</v>
      </c>
      <c r="D555">
        <v>1.375</v>
      </c>
      <c r="E555" s="1">
        <v>55015</v>
      </c>
      <c r="F555" t="s">
        <v>1988</v>
      </c>
      <c r="G555" t="s">
        <v>2107</v>
      </c>
      <c r="H555" t="s">
        <v>2</v>
      </c>
      <c r="I555" s="1">
        <v>46224</v>
      </c>
      <c r="J555" t="s">
        <v>1989</v>
      </c>
      <c r="K555" t="s">
        <v>3400</v>
      </c>
      <c r="L555" s="1">
        <v>46224.918321759258</v>
      </c>
      <c r="M555" s="1">
        <v>46224.91962439815</v>
      </c>
    </row>
    <row r="556" spans="1:13" x14ac:dyDescent="0.35">
      <c r="A556" t="s">
        <v>213</v>
      </c>
      <c r="B556" t="s">
        <v>1986</v>
      </c>
      <c r="C556" t="s">
        <v>2182</v>
      </c>
      <c r="D556">
        <v>1.125</v>
      </c>
      <c r="E556" s="1">
        <v>51363</v>
      </c>
      <c r="F556" t="s">
        <v>1988</v>
      </c>
      <c r="G556" t="s">
        <v>2182</v>
      </c>
      <c r="H556" t="s">
        <v>2</v>
      </c>
      <c r="I556" s="1">
        <v>46224</v>
      </c>
      <c r="J556" t="s">
        <v>1991</v>
      </c>
      <c r="K556" t="s">
        <v>3495</v>
      </c>
      <c r="L556" s="1">
        <v>46224.918321759258</v>
      </c>
      <c r="M556" s="1">
        <v>46224.91962439815</v>
      </c>
    </row>
    <row r="557" spans="1:13" x14ac:dyDescent="0.35">
      <c r="A557" t="s">
        <v>213</v>
      </c>
      <c r="B557" t="s">
        <v>1986</v>
      </c>
      <c r="C557" t="s">
        <v>2182</v>
      </c>
      <c r="D557">
        <v>1.125</v>
      </c>
      <c r="E557" s="1">
        <v>51363</v>
      </c>
      <c r="F557" t="s">
        <v>1988</v>
      </c>
      <c r="G557" t="s">
        <v>2182</v>
      </c>
      <c r="H557" t="s">
        <v>2</v>
      </c>
      <c r="I557" s="1">
        <v>46224</v>
      </c>
      <c r="J557" t="s">
        <v>1989</v>
      </c>
      <c r="K557" t="s">
        <v>3203</v>
      </c>
      <c r="L557" s="1">
        <v>46224.918321759258</v>
      </c>
      <c r="M557" s="1">
        <v>46224.91962439815</v>
      </c>
    </row>
    <row r="558" spans="1:13" x14ac:dyDescent="0.35">
      <c r="A558" t="s">
        <v>146</v>
      </c>
      <c r="B558" t="s">
        <v>1986</v>
      </c>
      <c r="C558" t="s">
        <v>2183</v>
      </c>
      <c r="D558">
        <v>1.125</v>
      </c>
      <c r="E558" s="1">
        <v>51271</v>
      </c>
      <c r="F558" t="s">
        <v>1988</v>
      </c>
      <c r="G558" t="s">
        <v>2183</v>
      </c>
      <c r="H558" t="s">
        <v>2</v>
      </c>
      <c r="I558" s="1">
        <v>46224</v>
      </c>
      <c r="J558" t="s">
        <v>1991</v>
      </c>
      <c r="K558" t="s">
        <v>3251</v>
      </c>
      <c r="L558" s="1">
        <v>46224.918321759258</v>
      </c>
      <c r="M558" s="1">
        <v>46224.91962439815</v>
      </c>
    </row>
    <row r="559" spans="1:13" x14ac:dyDescent="0.35">
      <c r="A559" t="s">
        <v>146</v>
      </c>
      <c r="B559" t="s">
        <v>1986</v>
      </c>
      <c r="C559" t="s">
        <v>2183</v>
      </c>
      <c r="D559">
        <v>1.125</v>
      </c>
      <c r="E559" s="1">
        <v>51271</v>
      </c>
      <c r="F559" t="s">
        <v>1988</v>
      </c>
      <c r="G559" t="s">
        <v>2183</v>
      </c>
      <c r="H559" t="s">
        <v>2</v>
      </c>
      <c r="I559" s="1">
        <v>46224</v>
      </c>
      <c r="J559" t="s">
        <v>1989</v>
      </c>
      <c r="K559" t="s">
        <v>3401</v>
      </c>
      <c r="L559" s="1">
        <v>46224.918321759258</v>
      </c>
      <c r="M559" s="1">
        <v>46224.91962439815</v>
      </c>
    </row>
    <row r="560" spans="1:13" x14ac:dyDescent="0.35">
      <c r="A560" t="s">
        <v>227</v>
      </c>
      <c r="B560" t="s">
        <v>1986</v>
      </c>
      <c r="C560" t="s">
        <v>2117</v>
      </c>
      <c r="D560">
        <v>1.625</v>
      </c>
      <c r="E560" s="1">
        <v>55107</v>
      </c>
      <c r="F560" t="s">
        <v>1988</v>
      </c>
      <c r="G560" t="s">
        <v>2117</v>
      </c>
      <c r="H560" t="s">
        <v>2</v>
      </c>
      <c r="I560" s="1">
        <v>46224</v>
      </c>
      <c r="J560" t="s">
        <v>1989</v>
      </c>
      <c r="K560" t="s">
        <v>3204</v>
      </c>
      <c r="L560" s="1">
        <v>46224.918321759258</v>
      </c>
      <c r="M560" s="1">
        <v>46224.91962439815</v>
      </c>
    </row>
    <row r="561" spans="1:13" x14ac:dyDescent="0.35">
      <c r="A561" t="s">
        <v>227</v>
      </c>
      <c r="B561" t="s">
        <v>1986</v>
      </c>
      <c r="C561" t="s">
        <v>2117</v>
      </c>
      <c r="D561">
        <v>1.625</v>
      </c>
      <c r="E561" s="1">
        <v>55107</v>
      </c>
      <c r="F561" t="s">
        <v>1988</v>
      </c>
      <c r="G561" t="s">
        <v>2117</v>
      </c>
      <c r="H561" t="s">
        <v>2</v>
      </c>
      <c r="I561" s="1">
        <v>46224</v>
      </c>
      <c r="J561" t="s">
        <v>1991</v>
      </c>
      <c r="K561" t="s">
        <v>3205</v>
      </c>
      <c r="L561" s="1">
        <v>46224.918321759258</v>
      </c>
      <c r="M561" s="1">
        <v>46224.91962439815</v>
      </c>
    </row>
    <row r="562" spans="1:13" x14ac:dyDescent="0.35">
      <c r="A562" t="s">
        <v>171</v>
      </c>
      <c r="B562" t="s">
        <v>1986</v>
      </c>
      <c r="C562" t="s">
        <v>2118</v>
      </c>
      <c r="D562">
        <v>1.375</v>
      </c>
      <c r="E562" s="1">
        <v>51455</v>
      </c>
      <c r="F562" t="s">
        <v>1988</v>
      </c>
      <c r="G562" t="s">
        <v>2118</v>
      </c>
      <c r="H562" t="s">
        <v>2</v>
      </c>
      <c r="I562" s="1">
        <v>46224</v>
      </c>
      <c r="J562" t="s">
        <v>1991</v>
      </c>
      <c r="K562" t="s">
        <v>3252</v>
      </c>
      <c r="L562" s="1">
        <v>46224.918321759258</v>
      </c>
      <c r="M562" s="1">
        <v>46224.91962439815</v>
      </c>
    </row>
    <row r="563" spans="1:13" x14ac:dyDescent="0.35">
      <c r="A563" t="s">
        <v>171</v>
      </c>
      <c r="B563" t="s">
        <v>1986</v>
      </c>
      <c r="C563" t="s">
        <v>2118</v>
      </c>
      <c r="D563">
        <v>1.375</v>
      </c>
      <c r="E563" s="1">
        <v>51455</v>
      </c>
      <c r="F563" t="s">
        <v>1988</v>
      </c>
      <c r="G563" t="s">
        <v>2118</v>
      </c>
      <c r="H563" t="s">
        <v>2</v>
      </c>
      <c r="I563" s="1">
        <v>46224</v>
      </c>
      <c r="J563" t="s">
        <v>1989</v>
      </c>
      <c r="K563" t="s">
        <v>4089</v>
      </c>
      <c r="L563" s="1">
        <v>46224.918321759258</v>
      </c>
      <c r="M563" s="1">
        <v>46224.91962439815</v>
      </c>
    </row>
    <row r="564" spans="1:13" x14ac:dyDescent="0.35">
      <c r="A564" t="s">
        <v>228</v>
      </c>
      <c r="B564" t="s">
        <v>1986</v>
      </c>
      <c r="C564" t="s">
        <v>2155</v>
      </c>
      <c r="D564">
        <v>1.875</v>
      </c>
      <c r="E564" s="1">
        <v>55199</v>
      </c>
      <c r="F564" t="s">
        <v>1988</v>
      </c>
      <c r="G564" t="s">
        <v>2155</v>
      </c>
      <c r="H564" t="s">
        <v>2</v>
      </c>
      <c r="I564" s="1">
        <v>46224</v>
      </c>
      <c r="J564" t="s">
        <v>1991</v>
      </c>
      <c r="K564" t="s">
        <v>3206</v>
      </c>
      <c r="L564" s="1">
        <v>46224.918321759258</v>
      </c>
      <c r="M564" s="1">
        <v>46224.91962439815</v>
      </c>
    </row>
    <row r="565" spans="1:13" x14ac:dyDescent="0.35">
      <c r="A565" t="s">
        <v>228</v>
      </c>
      <c r="B565" t="s">
        <v>1986</v>
      </c>
      <c r="C565" t="s">
        <v>2155</v>
      </c>
      <c r="D565">
        <v>1.875</v>
      </c>
      <c r="E565" s="1">
        <v>55199</v>
      </c>
      <c r="F565" t="s">
        <v>1988</v>
      </c>
      <c r="G565" t="s">
        <v>2155</v>
      </c>
      <c r="H565" t="s">
        <v>2</v>
      </c>
      <c r="I565" s="1">
        <v>46224</v>
      </c>
      <c r="J565" t="s">
        <v>1989</v>
      </c>
      <c r="K565" t="s">
        <v>3402</v>
      </c>
      <c r="L565" s="1">
        <v>46224.918321759258</v>
      </c>
      <c r="M565" s="1">
        <v>46224.91962439815</v>
      </c>
    </row>
    <row r="566" spans="1:13" x14ac:dyDescent="0.35">
      <c r="A566" t="s">
        <v>103</v>
      </c>
      <c r="B566" t="s">
        <v>1986</v>
      </c>
      <c r="C566" t="s">
        <v>2198</v>
      </c>
      <c r="D566">
        <v>0.125</v>
      </c>
      <c r="E566" s="1">
        <v>55199</v>
      </c>
      <c r="F566" t="s">
        <v>2014</v>
      </c>
      <c r="G566" t="s">
        <v>2198</v>
      </c>
      <c r="H566" t="s">
        <v>2</v>
      </c>
      <c r="I566" s="1">
        <v>46224</v>
      </c>
      <c r="J566" t="s">
        <v>1989</v>
      </c>
      <c r="K566" t="s">
        <v>3003</v>
      </c>
      <c r="L566" s="1">
        <v>46224.918321759258</v>
      </c>
      <c r="M566" s="1">
        <v>46224.91962439815</v>
      </c>
    </row>
    <row r="567" spans="1:13" x14ac:dyDescent="0.35">
      <c r="A567" t="s">
        <v>103</v>
      </c>
      <c r="B567" t="s">
        <v>1986</v>
      </c>
      <c r="C567" t="s">
        <v>2198</v>
      </c>
      <c r="D567">
        <v>0.125</v>
      </c>
      <c r="E567" s="1">
        <v>55199</v>
      </c>
      <c r="F567" t="s">
        <v>2014</v>
      </c>
      <c r="G567" t="s">
        <v>2198</v>
      </c>
      <c r="H567" t="s">
        <v>2</v>
      </c>
      <c r="I567" s="1">
        <v>46224</v>
      </c>
      <c r="J567" t="s">
        <v>1991</v>
      </c>
      <c r="K567" t="s">
        <v>4090</v>
      </c>
      <c r="L567" s="1">
        <v>46224.918321759258</v>
      </c>
      <c r="M567" s="1">
        <v>46224.91962439815</v>
      </c>
    </row>
    <row r="568" spans="1:13" x14ac:dyDescent="0.35">
      <c r="A568" t="s">
        <v>230</v>
      </c>
      <c r="B568" t="s">
        <v>1986</v>
      </c>
      <c r="C568" t="s">
        <v>2199</v>
      </c>
      <c r="D568">
        <v>1.875</v>
      </c>
      <c r="E568" s="1">
        <v>51547</v>
      </c>
      <c r="F568" t="s">
        <v>1988</v>
      </c>
      <c r="G568" t="s">
        <v>2199</v>
      </c>
      <c r="H568" t="s">
        <v>2</v>
      </c>
      <c r="I568" s="1">
        <v>46224</v>
      </c>
      <c r="J568" t="s">
        <v>1991</v>
      </c>
      <c r="K568" t="s">
        <v>3253</v>
      </c>
      <c r="L568" s="1">
        <v>46224.918321759258</v>
      </c>
      <c r="M568" s="1">
        <v>46224.91962439815</v>
      </c>
    </row>
    <row r="569" spans="1:13" x14ac:dyDescent="0.35">
      <c r="A569" t="s">
        <v>230</v>
      </c>
      <c r="B569" t="s">
        <v>1986</v>
      </c>
      <c r="C569" t="s">
        <v>2199</v>
      </c>
      <c r="D569">
        <v>1.875</v>
      </c>
      <c r="E569" s="1">
        <v>51547</v>
      </c>
      <c r="F569" t="s">
        <v>1988</v>
      </c>
      <c r="G569" t="s">
        <v>2199</v>
      </c>
      <c r="H569" t="s">
        <v>2</v>
      </c>
      <c r="I569" s="1">
        <v>46224</v>
      </c>
      <c r="J569" t="s">
        <v>1989</v>
      </c>
      <c r="K569" t="s">
        <v>4091</v>
      </c>
      <c r="L569" s="1">
        <v>46224.918321759258</v>
      </c>
      <c r="M569" s="1">
        <v>46224.91962439815</v>
      </c>
    </row>
    <row r="570" spans="1:13" x14ac:dyDescent="0.35">
      <c r="A570" t="s">
        <v>172</v>
      </c>
      <c r="B570" t="s">
        <v>1986</v>
      </c>
      <c r="C570" t="s">
        <v>2119</v>
      </c>
      <c r="D570">
        <v>2.375</v>
      </c>
      <c r="E570" s="1">
        <v>55288</v>
      </c>
      <c r="F570" t="s">
        <v>1988</v>
      </c>
      <c r="G570" t="s">
        <v>2119</v>
      </c>
      <c r="H570" t="s">
        <v>2</v>
      </c>
      <c r="I570" s="1">
        <v>46224</v>
      </c>
      <c r="J570" t="s">
        <v>1989</v>
      </c>
      <c r="K570" t="s">
        <v>3496</v>
      </c>
      <c r="L570" s="1">
        <v>46224.918321759258</v>
      </c>
      <c r="M570" s="1">
        <v>46224.91962439815</v>
      </c>
    </row>
    <row r="571" spans="1:13" x14ac:dyDescent="0.35">
      <c r="A571" t="s">
        <v>172</v>
      </c>
      <c r="B571" t="s">
        <v>1986</v>
      </c>
      <c r="C571" t="s">
        <v>2119</v>
      </c>
      <c r="D571">
        <v>2.375</v>
      </c>
      <c r="E571" s="1">
        <v>55288</v>
      </c>
      <c r="F571" t="s">
        <v>1988</v>
      </c>
      <c r="G571" t="s">
        <v>2119</v>
      </c>
      <c r="H571" t="s">
        <v>2</v>
      </c>
      <c r="I571" s="1">
        <v>46224</v>
      </c>
      <c r="J571" t="s">
        <v>1991</v>
      </c>
      <c r="K571" t="s">
        <v>3254</v>
      </c>
      <c r="L571" s="1">
        <v>46224.918321759258</v>
      </c>
      <c r="M571" s="1">
        <v>46224.91962439815</v>
      </c>
    </row>
    <row r="572" spans="1:13" x14ac:dyDescent="0.35">
      <c r="A572" t="s">
        <v>554</v>
      </c>
      <c r="B572" t="s">
        <v>1986</v>
      </c>
      <c r="C572" t="s">
        <v>2120</v>
      </c>
      <c r="D572">
        <v>2.25</v>
      </c>
      <c r="E572" s="1">
        <v>51636</v>
      </c>
      <c r="F572" t="s">
        <v>1988</v>
      </c>
      <c r="G572" t="s">
        <v>2120</v>
      </c>
      <c r="H572" t="s">
        <v>2</v>
      </c>
      <c r="I572" s="1">
        <v>46224</v>
      </c>
      <c r="J572" t="s">
        <v>1989</v>
      </c>
      <c r="K572" t="s">
        <v>3403</v>
      </c>
      <c r="L572" s="1">
        <v>46224.918321759258</v>
      </c>
      <c r="M572" s="1">
        <v>46224.91962439815</v>
      </c>
    </row>
    <row r="573" spans="1:13" x14ac:dyDescent="0.35">
      <c r="A573" t="s">
        <v>554</v>
      </c>
      <c r="B573" t="s">
        <v>1986</v>
      </c>
      <c r="C573" t="s">
        <v>2120</v>
      </c>
      <c r="D573">
        <v>2.25</v>
      </c>
      <c r="E573" s="1">
        <v>51636</v>
      </c>
      <c r="F573" t="s">
        <v>1988</v>
      </c>
      <c r="G573" t="s">
        <v>2120</v>
      </c>
      <c r="H573" t="s">
        <v>2</v>
      </c>
      <c r="I573" s="1">
        <v>46224</v>
      </c>
      <c r="J573" t="s">
        <v>1991</v>
      </c>
      <c r="K573" t="s">
        <v>4092</v>
      </c>
      <c r="L573" s="1">
        <v>46224.918321759258</v>
      </c>
      <c r="M573" s="1">
        <v>46224.91962439815</v>
      </c>
    </row>
    <row r="574" spans="1:13" x14ac:dyDescent="0.35">
      <c r="A574" t="s">
        <v>147</v>
      </c>
      <c r="B574" t="s">
        <v>1986</v>
      </c>
      <c r="C574" t="s">
        <v>2156</v>
      </c>
      <c r="D574">
        <v>2</v>
      </c>
      <c r="E574" s="1">
        <v>55380</v>
      </c>
      <c r="F574" t="s">
        <v>1988</v>
      </c>
      <c r="G574" t="s">
        <v>2156</v>
      </c>
      <c r="H574" t="s">
        <v>2</v>
      </c>
      <c r="I574" s="1">
        <v>46224</v>
      </c>
      <c r="J574" t="s">
        <v>1989</v>
      </c>
      <c r="K574" t="s">
        <v>3207</v>
      </c>
      <c r="L574" s="1">
        <v>46224.918321759258</v>
      </c>
      <c r="M574" s="1">
        <v>46224.91962439815</v>
      </c>
    </row>
    <row r="575" spans="1:13" x14ac:dyDescent="0.35">
      <c r="A575" t="s">
        <v>147</v>
      </c>
      <c r="B575" t="s">
        <v>1986</v>
      </c>
      <c r="C575" t="s">
        <v>2156</v>
      </c>
      <c r="D575">
        <v>2</v>
      </c>
      <c r="E575" s="1">
        <v>55380</v>
      </c>
      <c r="F575" t="s">
        <v>1988</v>
      </c>
      <c r="G575" t="s">
        <v>2156</v>
      </c>
      <c r="H575" t="s">
        <v>2</v>
      </c>
      <c r="I575" s="1">
        <v>46224</v>
      </c>
      <c r="J575" t="s">
        <v>1991</v>
      </c>
      <c r="K575" t="s">
        <v>3404</v>
      </c>
      <c r="L575" s="1">
        <v>46224.918321759258</v>
      </c>
      <c r="M575" s="1">
        <v>46224.91962439815</v>
      </c>
    </row>
    <row r="576" spans="1:13" x14ac:dyDescent="0.35">
      <c r="A576" t="s">
        <v>148</v>
      </c>
      <c r="B576" t="s">
        <v>1986</v>
      </c>
      <c r="C576" t="s">
        <v>2204</v>
      </c>
      <c r="D576">
        <v>1.75</v>
      </c>
      <c r="E576" s="1">
        <v>51728</v>
      </c>
      <c r="F576" t="s">
        <v>1988</v>
      </c>
      <c r="G576" t="s">
        <v>2204</v>
      </c>
      <c r="H576" t="s">
        <v>2</v>
      </c>
      <c r="I576" s="1">
        <v>46224</v>
      </c>
      <c r="J576" t="s">
        <v>1989</v>
      </c>
      <c r="K576" t="s">
        <v>4093</v>
      </c>
      <c r="L576" s="1">
        <v>46224.918321759258</v>
      </c>
      <c r="M576" s="1">
        <v>46224.91962439815</v>
      </c>
    </row>
    <row r="577" spans="1:13" x14ac:dyDescent="0.35">
      <c r="A577" t="s">
        <v>148</v>
      </c>
      <c r="B577" t="s">
        <v>1986</v>
      </c>
      <c r="C577" t="s">
        <v>2204</v>
      </c>
      <c r="D577">
        <v>1.75</v>
      </c>
      <c r="E577" s="1">
        <v>51728</v>
      </c>
      <c r="F577" t="s">
        <v>1988</v>
      </c>
      <c r="G577" t="s">
        <v>2204</v>
      </c>
      <c r="H577" t="s">
        <v>2</v>
      </c>
      <c r="I577" s="1">
        <v>46224</v>
      </c>
      <c r="J577" t="s">
        <v>1991</v>
      </c>
      <c r="K577" t="s">
        <v>4094</v>
      </c>
      <c r="L577" s="1">
        <v>46224.918321759258</v>
      </c>
      <c r="M577" s="1">
        <v>46224.91962439815</v>
      </c>
    </row>
    <row r="578" spans="1:13" x14ac:dyDescent="0.35">
      <c r="A578" t="s">
        <v>173</v>
      </c>
      <c r="B578" t="s">
        <v>1986</v>
      </c>
      <c r="C578" t="s">
        <v>2166</v>
      </c>
      <c r="D578">
        <v>1.875</v>
      </c>
      <c r="E578" s="1">
        <v>55472</v>
      </c>
      <c r="F578" t="s">
        <v>1988</v>
      </c>
      <c r="G578" t="s">
        <v>2166</v>
      </c>
      <c r="H578" t="s">
        <v>2</v>
      </c>
      <c r="I578" s="1">
        <v>46224</v>
      </c>
      <c r="J578" t="s">
        <v>1989</v>
      </c>
      <c r="K578" t="s">
        <v>3497</v>
      </c>
      <c r="L578" s="1">
        <v>46224.918321759258</v>
      </c>
      <c r="M578" s="1">
        <v>46224.91962439815</v>
      </c>
    </row>
    <row r="579" spans="1:13" x14ac:dyDescent="0.35">
      <c r="A579" t="s">
        <v>173</v>
      </c>
      <c r="B579" t="s">
        <v>1986</v>
      </c>
      <c r="C579" t="s">
        <v>2166</v>
      </c>
      <c r="D579">
        <v>1.875</v>
      </c>
      <c r="E579" s="1">
        <v>55472</v>
      </c>
      <c r="F579" t="s">
        <v>1988</v>
      </c>
      <c r="G579" t="s">
        <v>2166</v>
      </c>
      <c r="H579" t="s">
        <v>2</v>
      </c>
      <c r="I579" s="1">
        <v>46224</v>
      </c>
      <c r="J579" t="s">
        <v>1991</v>
      </c>
      <c r="K579" t="s">
        <v>3208</v>
      </c>
      <c r="L579" s="1">
        <v>46224.918321759258</v>
      </c>
      <c r="M579" s="1">
        <v>46224.91962439815</v>
      </c>
    </row>
    <row r="580" spans="1:13" x14ac:dyDescent="0.35">
      <c r="A580" t="s">
        <v>104</v>
      </c>
      <c r="B580" t="s">
        <v>1986</v>
      </c>
      <c r="C580" t="s">
        <v>2167</v>
      </c>
      <c r="D580">
        <v>2</v>
      </c>
      <c r="E580" s="1">
        <v>51820</v>
      </c>
      <c r="F580" t="s">
        <v>1988</v>
      </c>
      <c r="G580" t="s">
        <v>2167</v>
      </c>
      <c r="H580" t="s">
        <v>2</v>
      </c>
      <c r="I580" s="1">
        <v>46224</v>
      </c>
      <c r="J580" t="s">
        <v>1989</v>
      </c>
      <c r="K580" t="s">
        <v>3209</v>
      </c>
      <c r="L580" s="1">
        <v>46224.918321759258</v>
      </c>
      <c r="M580" s="1">
        <v>46224.91962439815</v>
      </c>
    </row>
    <row r="581" spans="1:13" x14ac:dyDescent="0.35">
      <c r="A581" t="s">
        <v>104</v>
      </c>
      <c r="B581" t="s">
        <v>1986</v>
      </c>
      <c r="C581" t="s">
        <v>2167</v>
      </c>
      <c r="D581">
        <v>2</v>
      </c>
      <c r="E581" s="1">
        <v>51820</v>
      </c>
      <c r="F581" t="s">
        <v>1988</v>
      </c>
      <c r="G581" t="s">
        <v>2167</v>
      </c>
      <c r="H581" t="s">
        <v>2</v>
      </c>
      <c r="I581" s="1">
        <v>46224</v>
      </c>
      <c r="J581" t="s">
        <v>1991</v>
      </c>
      <c r="K581" t="s">
        <v>4095</v>
      </c>
      <c r="L581" s="1">
        <v>46224.918321759258</v>
      </c>
      <c r="M581" s="1">
        <v>46224.91962439815</v>
      </c>
    </row>
    <row r="582" spans="1:13" x14ac:dyDescent="0.35">
      <c r="A582" t="s">
        <v>231</v>
      </c>
      <c r="B582" t="s">
        <v>1986</v>
      </c>
      <c r="C582" t="s">
        <v>2121</v>
      </c>
      <c r="D582">
        <v>2.25</v>
      </c>
      <c r="E582" s="1">
        <v>55564</v>
      </c>
      <c r="F582" t="s">
        <v>1988</v>
      </c>
      <c r="G582" t="s">
        <v>2121</v>
      </c>
      <c r="H582" t="s">
        <v>2</v>
      </c>
      <c r="I582" s="1">
        <v>46224</v>
      </c>
      <c r="J582" t="s">
        <v>1991</v>
      </c>
      <c r="K582" t="s">
        <v>3230</v>
      </c>
      <c r="L582" s="1">
        <v>46224.918321759258</v>
      </c>
      <c r="M582" s="1">
        <v>46224.91962439815</v>
      </c>
    </row>
    <row r="583" spans="1:13" x14ac:dyDescent="0.35">
      <c r="A583" t="s">
        <v>231</v>
      </c>
      <c r="B583" t="s">
        <v>1986</v>
      </c>
      <c r="C583" t="s">
        <v>2121</v>
      </c>
      <c r="D583">
        <v>2.25</v>
      </c>
      <c r="E583" s="1">
        <v>55564</v>
      </c>
      <c r="F583" t="s">
        <v>1988</v>
      </c>
      <c r="G583" t="s">
        <v>2121</v>
      </c>
      <c r="H583" t="s">
        <v>2</v>
      </c>
      <c r="I583" s="1">
        <v>46224</v>
      </c>
      <c r="J583" t="s">
        <v>1989</v>
      </c>
      <c r="K583" t="s">
        <v>4096</v>
      </c>
      <c r="L583" s="1">
        <v>46224.918321759258</v>
      </c>
      <c r="M583" s="1">
        <v>46224.91962439815</v>
      </c>
    </row>
    <row r="584" spans="1:13" x14ac:dyDescent="0.35">
      <c r="A584" t="s">
        <v>232</v>
      </c>
      <c r="B584" t="s">
        <v>1986</v>
      </c>
      <c r="C584" t="s">
        <v>2122</v>
      </c>
      <c r="D584">
        <v>0.125</v>
      </c>
      <c r="E584" s="1">
        <v>55564</v>
      </c>
      <c r="F584" t="s">
        <v>2014</v>
      </c>
      <c r="G584" t="s">
        <v>2122</v>
      </c>
      <c r="H584" t="s">
        <v>2</v>
      </c>
      <c r="I584" s="1">
        <v>46224</v>
      </c>
      <c r="J584" t="s">
        <v>1989</v>
      </c>
      <c r="K584" t="s">
        <v>3210</v>
      </c>
      <c r="L584" s="1">
        <v>46224.918321759258</v>
      </c>
      <c r="M584" s="1">
        <v>46224.91962439815</v>
      </c>
    </row>
    <row r="585" spans="1:13" x14ac:dyDescent="0.35">
      <c r="A585" t="s">
        <v>232</v>
      </c>
      <c r="B585" t="s">
        <v>1986</v>
      </c>
      <c r="C585" t="s">
        <v>2122</v>
      </c>
      <c r="D585">
        <v>0.125</v>
      </c>
      <c r="E585" s="1">
        <v>55564</v>
      </c>
      <c r="F585" t="s">
        <v>2014</v>
      </c>
      <c r="G585" t="s">
        <v>2122</v>
      </c>
      <c r="H585" t="s">
        <v>2</v>
      </c>
      <c r="I585" s="1">
        <v>46224</v>
      </c>
      <c r="J585" t="s">
        <v>1991</v>
      </c>
      <c r="K585" t="s">
        <v>3300</v>
      </c>
      <c r="L585" s="1">
        <v>46224.918321759258</v>
      </c>
      <c r="M585" s="1">
        <v>46224.91962439815</v>
      </c>
    </row>
    <row r="586" spans="1:13" x14ac:dyDescent="0.35">
      <c r="A586" t="s">
        <v>187</v>
      </c>
      <c r="B586" t="s">
        <v>1986</v>
      </c>
      <c r="C586" t="s">
        <v>2123</v>
      </c>
      <c r="D586">
        <v>2.375</v>
      </c>
      <c r="E586" s="1">
        <v>51912</v>
      </c>
      <c r="F586" t="s">
        <v>1988</v>
      </c>
      <c r="G586" t="s">
        <v>2123</v>
      </c>
      <c r="H586" t="s">
        <v>2</v>
      </c>
      <c r="I586" s="1">
        <v>46224</v>
      </c>
      <c r="J586" t="s">
        <v>1989</v>
      </c>
      <c r="K586" t="s">
        <v>3405</v>
      </c>
      <c r="L586" s="1">
        <v>46224.918321759258</v>
      </c>
      <c r="M586" s="1">
        <v>46224.91962439815</v>
      </c>
    </row>
    <row r="587" spans="1:13" x14ac:dyDescent="0.35">
      <c r="A587" t="s">
        <v>187</v>
      </c>
      <c r="B587" t="s">
        <v>1986</v>
      </c>
      <c r="C587" t="s">
        <v>2123</v>
      </c>
      <c r="D587">
        <v>2.375</v>
      </c>
      <c r="E587" s="1">
        <v>51912</v>
      </c>
      <c r="F587" t="s">
        <v>1988</v>
      </c>
      <c r="G587" t="s">
        <v>2123</v>
      </c>
      <c r="H587" t="s">
        <v>2</v>
      </c>
      <c r="I587" s="1">
        <v>46224</v>
      </c>
      <c r="J587" t="s">
        <v>1991</v>
      </c>
      <c r="K587" t="s">
        <v>4097</v>
      </c>
      <c r="L587" s="1">
        <v>46224.918321759258</v>
      </c>
      <c r="M587" s="1">
        <v>46224.91962439815</v>
      </c>
    </row>
    <row r="588" spans="1:13" x14ac:dyDescent="0.35">
      <c r="A588" t="s">
        <v>174</v>
      </c>
      <c r="B588" t="s">
        <v>1986</v>
      </c>
      <c r="C588" t="s">
        <v>2124</v>
      </c>
      <c r="D588">
        <v>2.875</v>
      </c>
      <c r="E588" s="1">
        <v>55654</v>
      </c>
      <c r="F588" t="s">
        <v>1988</v>
      </c>
      <c r="G588" t="s">
        <v>2124</v>
      </c>
      <c r="H588" t="s">
        <v>2</v>
      </c>
      <c r="I588" s="1">
        <v>46224</v>
      </c>
      <c r="J588" t="s">
        <v>1989</v>
      </c>
      <c r="K588" t="s">
        <v>3197</v>
      </c>
      <c r="L588" s="1">
        <v>46224.918321759258</v>
      </c>
      <c r="M588" s="1">
        <v>46224.91962439815</v>
      </c>
    </row>
    <row r="589" spans="1:13" x14ac:dyDescent="0.35">
      <c r="A589" t="s">
        <v>174</v>
      </c>
      <c r="B589" t="s">
        <v>1986</v>
      </c>
      <c r="C589" t="s">
        <v>2124</v>
      </c>
      <c r="D589">
        <v>2.875</v>
      </c>
      <c r="E589" s="1">
        <v>55654</v>
      </c>
      <c r="F589" t="s">
        <v>1988</v>
      </c>
      <c r="G589" t="s">
        <v>2124</v>
      </c>
      <c r="H589" t="s">
        <v>2</v>
      </c>
      <c r="I589" s="1">
        <v>46224</v>
      </c>
      <c r="J589" t="s">
        <v>1991</v>
      </c>
      <c r="K589" t="s">
        <v>3211</v>
      </c>
      <c r="L589" s="1">
        <v>46224.918321759258</v>
      </c>
      <c r="M589" s="1">
        <v>46224.91962439815</v>
      </c>
    </row>
    <row r="590" spans="1:13" x14ac:dyDescent="0.35">
      <c r="A590" t="s">
        <v>214</v>
      </c>
      <c r="B590" t="s">
        <v>1986</v>
      </c>
      <c r="C590" t="s">
        <v>2184</v>
      </c>
      <c r="D590">
        <v>3.25</v>
      </c>
      <c r="E590" s="1">
        <v>52001</v>
      </c>
      <c r="F590" t="s">
        <v>1988</v>
      </c>
      <c r="G590" t="s">
        <v>2184</v>
      </c>
      <c r="H590" t="s">
        <v>2</v>
      </c>
      <c r="I590" s="1">
        <v>46224</v>
      </c>
      <c r="J590" t="s">
        <v>1991</v>
      </c>
      <c r="K590" t="s">
        <v>3320</v>
      </c>
      <c r="L590" s="1">
        <v>46224.918321759258</v>
      </c>
      <c r="M590" s="1">
        <v>46224.91962439815</v>
      </c>
    </row>
    <row r="591" spans="1:13" x14ac:dyDescent="0.35">
      <c r="A591" t="s">
        <v>214</v>
      </c>
      <c r="B591" t="s">
        <v>1986</v>
      </c>
      <c r="C591" t="s">
        <v>2184</v>
      </c>
      <c r="D591">
        <v>3.25</v>
      </c>
      <c r="E591" s="1">
        <v>52001</v>
      </c>
      <c r="F591" t="s">
        <v>1988</v>
      </c>
      <c r="G591" t="s">
        <v>2184</v>
      </c>
      <c r="H591" t="s">
        <v>2</v>
      </c>
      <c r="I591" s="1">
        <v>46224</v>
      </c>
      <c r="J591" t="s">
        <v>1989</v>
      </c>
      <c r="K591" t="s">
        <v>3406</v>
      </c>
      <c r="L591" s="1">
        <v>46224.918321759258</v>
      </c>
      <c r="M591" s="1">
        <v>46224.91962439815</v>
      </c>
    </row>
    <row r="592" spans="1:13" x14ac:dyDescent="0.35">
      <c r="A592" t="s">
        <v>175</v>
      </c>
      <c r="B592" t="s">
        <v>1986</v>
      </c>
      <c r="C592" t="s">
        <v>2125</v>
      </c>
      <c r="D592">
        <v>3</v>
      </c>
      <c r="E592" s="1">
        <v>55746</v>
      </c>
      <c r="F592" t="s">
        <v>1988</v>
      </c>
      <c r="G592" t="s">
        <v>2125</v>
      </c>
      <c r="H592" t="s">
        <v>2</v>
      </c>
      <c r="I592" s="1">
        <v>46224</v>
      </c>
      <c r="J592" t="s">
        <v>1989</v>
      </c>
      <c r="K592" t="s">
        <v>3201</v>
      </c>
      <c r="L592" s="1">
        <v>46224.918321759258</v>
      </c>
      <c r="M592" s="1">
        <v>46224.91962439815</v>
      </c>
    </row>
    <row r="593" spans="1:13" x14ac:dyDescent="0.35">
      <c r="A593" t="s">
        <v>175</v>
      </c>
      <c r="B593" t="s">
        <v>1986</v>
      </c>
      <c r="C593" t="s">
        <v>2125</v>
      </c>
      <c r="D593">
        <v>3</v>
      </c>
      <c r="E593" s="1">
        <v>55746</v>
      </c>
      <c r="F593" t="s">
        <v>1988</v>
      </c>
      <c r="G593" t="s">
        <v>2125</v>
      </c>
      <c r="H593" t="s">
        <v>2</v>
      </c>
      <c r="I593" s="1">
        <v>46224</v>
      </c>
      <c r="J593" t="s">
        <v>1991</v>
      </c>
      <c r="K593" t="s">
        <v>3255</v>
      </c>
      <c r="L593" s="1">
        <v>46224.918321759258</v>
      </c>
      <c r="M593" s="1">
        <v>46224.91962439815</v>
      </c>
    </row>
    <row r="594" spans="1:13" x14ac:dyDescent="0.35">
      <c r="A594" t="s">
        <v>188</v>
      </c>
      <c r="B594" t="s">
        <v>1986</v>
      </c>
      <c r="C594" t="s">
        <v>2126</v>
      </c>
      <c r="D594">
        <v>3.375</v>
      </c>
      <c r="E594" s="1">
        <v>52093</v>
      </c>
      <c r="F594" t="s">
        <v>1988</v>
      </c>
      <c r="G594" t="s">
        <v>2126</v>
      </c>
      <c r="H594" t="s">
        <v>2</v>
      </c>
      <c r="I594" s="1">
        <v>46224</v>
      </c>
      <c r="J594" t="s">
        <v>1989</v>
      </c>
      <c r="K594" t="s">
        <v>3231</v>
      </c>
      <c r="L594" s="1">
        <v>46224.918321759258</v>
      </c>
      <c r="M594" s="1">
        <v>46224.91962439815</v>
      </c>
    </row>
    <row r="595" spans="1:13" x14ac:dyDescent="0.35">
      <c r="A595" t="s">
        <v>188</v>
      </c>
      <c r="B595" t="s">
        <v>1986</v>
      </c>
      <c r="C595" t="s">
        <v>2126</v>
      </c>
      <c r="D595">
        <v>3.375</v>
      </c>
      <c r="E595" s="1">
        <v>52093</v>
      </c>
      <c r="F595" t="s">
        <v>1988</v>
      </c>
      <c r="G595" t="s">
        <v>2126</v>
      </c>
      <c r="H595" t="s">
        <v>2</v>
      </c>
      <c r="I595" s="1">
        <v>46224</v>
      </c>
      <c r="J595" t="s">
        <v>1991</v>
      </c>
      <c r="K595" t="s">
        <v>3407</v>
      </c>
      <c r="L595" s="1">
        <v>46224.918321759258</v>
      </c>
      <c r="M595" s="1">
        <v>46224.91962439815</v>
      </c>
    </row>
    <row r="596" spans="1:13" x14ac:dyDescent="0.35">
      <c r="A596" t="s">
        <v>215</v>
      </c>
      <c r="B596" t="s">
        <v>1986</v>
      </c>
      <c r="C596" t="s">
        <v>2127</v>
      </c>
      <c r="D596">
        <v>4</v>
      </c>
      <c r="E596" s="1">
        <v>55838</v>
      </c>
      <c r="F596" t="s">
        <v>1988</v>
      </c>
      <c r="G596" t="s">
        <v>2127</v>
      </c>
      <c r="H596" t="s">
        <v>2</v>
      </c>
      <c r="I596" s="1">
        <v>46224</v>
      </c>
      <c r="J596" t="s">
        <v>1989</v>
      </c>
      <c r="K596" t="s">
        <v>3321</v>
      </c>
      <c r="L596" s="1">
        <v>46224.918321759258</v>
      </c>
      <c r="M596" s="1">
        <v>46224.91962439815</v>
      </c>
    </row>
    <row r="597" spans="1:13" x14ac:dyDescent="0.35">
      <c r="A597" t="s">
        <v>215</v>
      </c>
      <c r="B597" t="s">
        <v>1986</v>
      </c>
      <c r="C597" t="s">
        <v>2127</v>
      </c>
      <c r="D597">
        <v>4</v>
      </c>
      <c r="E597" s="1">
        <v>55838</v>
      </c>
      <c r="F597" t="s">
        <v>1988</v>
      </c>
      <c r="G597" t="s">
        <v>2127</v>
      </c>
      <c r="H597" t="s">
        <v>2</v>
      </c>
      <c r="I597" s="1">
        <v>46224</v>
      </c>
      <c r="J597" t="s">
        <v>1991</v>
      </c>
      <c r="K597" t="s">
        <v>3322</v>
      </c>
      <c r="L597" s="1">
        <v>46224.918321759258</v>
      </c>
      <c r="M597" s="1">
        <v>46224.91962439815</v>
      </c>
    </row>
    <row r="598" spans="1:13" x14ac:dyDescent="0.35">
      <c r="A598" t="s">
        <v>149</v>
      </c>
      <c r="B598" t="s">
        <v>1986</v>
      </c>
      <c r="C598" t="s">
        <v>2157</v>
      </c>
      <c r="D598">
        <v>4</v>
      </c>
      <c r="E598" s="1">
        <v>52185</v>
      </c>
      <c r="F598" t="s">
        <v>1988</v>
      </c>
      <c r="G598" t="s">
        <v>2157</v>
      </c>
      <c r="H598" t="s">
        <v>2</v>
      </c>
      <c r="I598" s="1">
        <v>46224</v>
      </c>
      <c r="J598" t="s">
        <v>1989</v>
      </c>
      <c r="K598" t="s">
        <v>2950</v>
      </c>
      <c r="L598" s="1">
        <v>46224.918321759258</v>
      </c>
      <c r="M598" s="1">
        <v>46224.91962439815</v>
      </c>
    </row>
    <row r="599" spans="1:13" x14ac:dyDescent="0.35">
      <c r="A599" t="s">
        <v>149</v>
      </c>
      <c r="B599" t="s">
        <v>1986</v>
      </c>
      <c r="C599" t="s">
        <v>2157</v>
      </c>
      <c r="D599">
        <v>4</v>
      </c>
      <c r="E599" s="1">
        <v>52185</v>
      </c>
      <c r="F599" t="s">
        <v>1988</v>
      </c>
      <c r="G599" t="s">
        <v>2157</v>
      </c>
      <c r="H599" t="s">
        <v>2</v>
      </c>
      <c r="I599" s="1">
        <v>46224</v>
      </c>
      <c r="J599" t="s">
        <v>1991</v>
      </c>
      <c r="K599" t="s">
        <v>3323</v>
      </c>
      <c r="L599" s="1">
        <v>46224.918321759258</v>
      </c>
      <c r="M599" s="1">
        <v>46224.91962439815</v>
      </c>
    </row>
    <row r="600" spans="1:13" x14ac:dyDescent="0.35">
      <c r="A600" t="s">
        <v>150</v>
      </c>
      <c r="B600" t="s">
        <v>1986</v>
      </c>
      <c r="C600" t="s">
        <v>2128</v>
      </c>
      <c r="D600">
        <v>3.625</v>
      </c>
      <c r="E600" s="1">
        <v>55930</v>
      </c>
      <c r="F600" t="s">
        <v>1988</v>
      </c>
      <c r="G600" t="s">
        <v>2128</v>
      </c>
      <c r="H600" t="s">
        <v>2</v>
      </c>
      <c r="I600" s="1">
        <v>46224</v>
      </c>
      <c r="J600" t="s">
        <v>1989</v>
      </c>
      <c r="K600" t="s">
        <v>3212</v>
      </c>
      <c r="L600" s="1">
        <v>46224.918321759258</v>
      </c>
      <c r="M600" s="1">
        <v>46224.91962439815</v>
      </c>
    </row>
    <row r="601" spans="1:13" x14ac:dyDescent="0.35">
      <c r="A601" t="s">
        <v>150</v>
      </c>
      <c r="B601" t="s">
        <v>1986</v>
      </c>
      <c r="C601" t="s">
        <v>2128</v>
      </c>
      <c r="D601">
        <v>3.625</v>
      </c>
      <c r="E601" s="1">
        <v>55930</v>
      </c>
      <c r="F601" t="s">
        <v>1988</v>
      </c>
      <c r="G601" t="s">
        <v>2128</v>
      </c>
      <c r="H601" t="s">
        <v>2</v>
      </c>
      <c r="I601" s="1">
        <v>46224</v>
      </c>
      <c r="J601" t="s">
        <v>1991</v>
      </c>
      <c r="K601" t="s">
        <v>3408</v>
      </c>
      <c r="L601" s="1">
        <v>46224.918321759258</v>
      </c>
      <c r="M601" s="1">
        <v>46224.91962439815</v>
      </c>
    </row>
    <row r="602" spans="1:13" x14ac:dyDescent="0.35">
      <c r="A602" t="s">
        <v>151</v>
      </c>
      <c r="B602" t="s">
        <v>1986</v>
      </c>
      <c r="C602" t="s">
        <v>2168</v>
      </c>
      <c r="D602">
        <v>1.5</v>
      </c>
      <c r="E602" s="1">
        <v>55930</v>
      </c>
      <c r="F602" t="s">
        <v>2014</v>
      </c>
      <c r="G602" t="s">
        <v>2168</v>
      </c>
      <c r="H602" t="s">
        <v>2</v>
      </c>
      <c r="I602" s="1">
        <v>46224</v>
      </c>
      <c r="J602" t="s">
        <v>1989</v>
      </c>
      <c r="K602" t="s">
        <v>3256</v>
      </c>
      <c r="L602" s="1">
        <v>46224.918321759258</v>
      </c>
      <c r="M602" s="1">
        <v>46224.91962439815</v>
      </c>
    </row>
    <row r="603" spans="1:13" x14ac:dyDescent="0.35">
      <c r="A603" t="s">
        <v>151</v>
      </c>
      <c r="B603" t="s">
        <v>1986</v>
      </c>
      <c r="C603" t="s">
        <v>2168</v>
      </c>
      <c r="D603">
        <v>1.5</v>
      </c>
      <c r="E603" s="1">
        <v>55930</v>
      </c>
      <c r="F603" t="s">
        <v>2014</v>
      </c>
      <c r="G603" t="s">
        <v>2168</v>
      </c>
      <c r="H603" t="s">
        <v>2</v>
      </c>
      <c r="I603" s="1">
        <v>46224</v>
      </c>
      <c r="J603" t="s">
        <v>1991</v>
      </c>
      <c r="K603" t="s">
        <v>3301</v>
      </c>
      <c r="L603" s="1">
        <v>46224.918321759258</v>
      </c>
      <c r="M603" s="1">
        <v>46224.91962439815</v>
      </c>
    </row>
    <row r="604" spans="1:13" x14ac:dyDescent="0.35">
      <c r="A604" t="s">
        <v>176</v>
      </c>
      <c r="B604" t="s">
        <v>1986</v>
      </c>
      <c r="C604" t="s">
        <v>2129</v>
      </c>
      <c r="D604">
        <v>3.875</v>
      </c>
      <c r="E604" s="1">
        <v>52277</v>
      </c>
      <c r="F604" t="s">
        <v>1988</v>
      </c>
      <c r="G604" t="s">
        <v>2129</v>
      </c>
      <c r="H604" t="s">
        <v>2</v>
      </c>
      <c r="I604" s="1">
        <v>46224</v>
      </c>
      <c r="J604" t="s">
        <v>1991</v>
      </c>
      <c r="K604" t="s">
        <v>3302</v>
      </c>
      <c r="L604" s="1">
        <v>46224.918321759258</v>
      </c>
      <c r="M604" s="1">
        <v>46224.91962439815</v>
      </c>
    </row>
    <row r="605" spans="1:13" x14ac:dyDescent="0.35">
      <c r="A605" t="s">
        <v>176</v>
      </c>
      <c r="B605" t="s">
        <v>1986</v>
      </c>
      <c r="C605" t="s">
        <v>2129</v>
      </c>
      <c r="D605">
        <v>3.875</v>
      </c>
      <c r="E605" s="1">
        <v>52277</v>
      </c>
      <c r="F605" t="s">
        <v>1988</v>
      </c>
      <c r="G605" t="s">
        <v>2129</v>
      </c>
      <c r="H605" t="s">
        <v>2</v>
      </c>
      <c r="I605" s="1">
        <v>46224</v>
      </c>
      <c r="J605" t="s">
        <v>1989</v>
      </c>
      <c r="K605" t="s">
        <v>4098</v>
      </c>
      <c r="L605" s="1">
        <v>46224.918321759258</v>
      </c>
      <c r="M605" s="1">
        <v>46224.91962439815</v>
      </c>
    </row>
    <row r="606" spans="1:13" x14ac:dyDescent="0.35">
      <c r="A606" t="s">
        <v>177</v>
      </c>
      <c r="B606" t="s">
        <v>1986</v>
      </c>
      <c r="C606" t="s">
        <v>2200</v>
      </c>
      <c r="D606">
        <v>3.625</v>
      </c>
      <c r="E606" s="1">
        <v>56019</v>
      </c>
      <c r="F606" t="s">
        <v>1988</v>
      </c>
      <c r="G606" t="s">
        <v>2200</v>
      </c>
      <c r="H606" t="s">
        <v>2</v>
      </c>
      <c r="I606" s="1">
        <v>46224</v>
      </c>
      <c r="J606" t="s">
        <v>1989</v>
      </c>
      <c r="K606" t="s">
        <v>3409</v>
      </c>
      <c r="L606" s="1">
        <v>46224.918321759258</v>
      </c>
      <c r="M606" s="1">
        <v>46224.91962439815</v>
      </c>
    </row>
    <row r="607" spans="1:13" x14ac:dyDescent="0.35">
      <c r="A607" t="s">
        <v>177</v>
      </c>
      <c r="B607" t="s">
        <v>1986</v>
      </c>
      <c r="C607" t="s">
        <v>2200</v>
      </c>
      <c r="D607">
        <v>3.625</v>
      </c>
      <c r="E607" s="1">
        <v>56019</v>
      </c>
      <c r="F607" t="s">
        <v>1988</v>
      </c>
      <c r="G607" t="s">
        <v>2200</v>
      </c>
      <c r="H607" t="s">
        <v>2</v>
      </c>
      <c r="I607" s="1">
        <v>46224</v>
      </c>
      <c r="J607" t="s">
        <v>1991</v>
      </c>
      <c r="K607" t="s">
        <v>4099</v>
      </c>
      <c r="L607" s="1">
        <v>46224.918321759258</v>
      </c>
      <c r="M607" s="1">
        <v>46224.91962439815</v>
      </c>
    </row>
    <row r="608" spans="1:13" x14ac:dyDescent="0.35">
      <c r="A608" t="s">
        <v>229</v>
      </c>
      <c r="B608" t="s">
        <v>1986</v>
      </c>
      <c r="C608" t="s">
        <v>2130</v>
      </c>
      <c r="D608">
        <v>3.875</v>
      </c>
      <c r="E608" s="1">
        <v>52366</v>
      </c>
      <c r="F608" t="s">
        <v>1988</v>
      </c>
      <c r="G608" t="s">
        <v>2130</v>
      </c>
      <c r="H608" t="s">
        <v>2</v>
      </c>
      <c r="I608" s="1">
        <v>46224</v>
      </c>
      <c r="J608" t="s">
        <v>1991</v>
      </c>
      <c r="K608" t="s">
        <v>3257</v>
      </c>
      <c r="L608" s="1">
        <v>46224.918321759258</v>
      </c>
      <c r="M608" s="1">
        <v>46224.91962439815</v>
      </c>
    </row>
    <row r="609" spans="1:13" x14ac:dyDescent="0.35">
      <c r="A609" t="s">
        <v>229</v>
      </c>
      <c r="B609" t="s">
        <v>1986</v>
      </c>
      <c r="C609" t="s">
        <v>2130</v>
      </c>
      <c r="D609">
        <v>3.875</v>
      </c>
      <c r="E609" s="1">
        <v>52366</v>
      </c>
      <c r="F609" t="s">
        <v>1988</v>
      </c>
      <c r="G609" t="s">
        <v>2130</v>
      </c>
      <c r="H609" t="s">
        <v>2</v>
      </c>
      <c r="I609" s="1">
        <v>46224</v>
      </c>
      <c r="J609" t="s">
        <v>1989</v>
      </c>
      <c r="K609" t="s">
        <v>3232</v>
      </c>
      <c r="L609" s="1">
        <v>46224.918321759258</v>
      </c>
      <c r="M609" s="1">
        <v>46224.91962439815</v>
      </c>
    </row>
    <row r="610" spans="1:13" x14ac:dyDescent="0.35">
      <c r="A610" t="s">
        <v>216</v>
      </c>
      <c r="B610" t="s">
        <v>1986</v>
      </c>
      <c r="C610" t="s">
        <v>2169</v>
      </c>
      <c r="D610">
        <v>4.125</v>
      </c>
      <c r="E610" s="1">
        <v>56111</v>
      </c>
      <c r="F610" t="s">
        <v>1988</v>
      </c>
      <c r="G610" t="s">
        <v>2169</v>
      </c>
      <c r="H610" t="s">
        <v>2</v>
      </c>
      <c r="I610" s="1">
        <v>46224</v>
      </c>
      <c r="J610" t="s">
        <v>1989</v>
      </c>
      <c r="K610" t="s">
        <v>3410</v>
      </c>
      <c r="L610" s="1">
        <v>46224.918321759258</v>
      </c>
      <c r="M610" s="1">
        <v>46224.91962439815</v>
      </c>
    </row>
    <row r="611" spans="1:13" x14ac:dyDescent="0.35">
      <c r="A611" t="s">
        <v>216</v>
      </c>
      <c r="B611" t="s">
        <v>1986</v>
      </c>
      <c r="C611" t="s">
        <v>2169</v>
      </c>
      <c r="D611">
        <v>4.125</v>
      </c>
      <c r="E611" s="1">
        <v>56111</v>
      </c>
      <c r="F611" t="s">
        <v>1988</v>
      </c>
      <c r="G611" t="s">
        <v>2169</v>
      </c>
      <c r="H611" t="s">
        <v>2</v>
      </c>
      <c r="I611" s="1">
        <v>46224</v>
      </c>
      <c r="J611" t="s">
        <v>1991</v>
      </c>
      <c r="K611" t="s">
        <v>4100</v>
      </c>
      <c r="L611" s="1">
        <v>46224.918321759258</v>
      </c>
      <c r="M611" s="1">
        <v>46224.91962439815</v>
      </c>
    </row>
    <row r="612" spans="1:13" x14ac:dyDescent="0.35">
      <c r="A612" t="s">
        <v>233</v>
      </c>
      <c r="B612" t="s">
        <v>1986</v>
      </c>
      <c r="C612" t="s">
        <v>2205</v>
      </c>
      <c r="D612">
        <v>4.375</v>
      </c>
      <c r="E612" s="1">
        <v>52458</v>
      </c>
      <c r="F612" t="s">
        <v>1988</v>
      </c>
      <c r="G612" t="s">
        <v>2205</v>
      </c>
      <c r="H612" t="s">
        <v>2</v>
      </c>
      <c r="I612" s="1">
        <v>46224</v>
      </c>
      <c r="J612" t="s">
        <v>1989</v>
      </c>
      <c r="K612" t="s">
        <v>3324</v>
      </c>
      <c r="L612" s="1">
        <v>46224.918321759258</v>
      </c>
      <c r="M612" s="1">
        <v>46224.91962439815</v>
      </c>
    </row>
    <row r="613" spans="1:13" x14ac:dyDescent="0.35">
      <c r="A613" t="s">
        <v>233</v>
      </c>
      <c r="B613" t="s">
        <v>1986</v>
      </c>
      <c r="C613" t="s">
        <v>2205</v>
      </c>
      <c r="D613">
        <v>4.375</v>
      </c>
      <c r="E613" s="1">
        <v>52458</v>
      </c>
      <c r="F613" t="s">
        <v>1988</v>
      </c>
      <c r="G613" t="s">
        <v>2205</v>
      </c>
      <c r="H613" t="s">
        <v>2</v>
      </c>
      <c r="I613" s="1">
        <v>46224</v>
      </c>
      <c r="J613" t="s">
        <v>1991</v>
      </c>
      <c r="K613" t="s">
        <v>3303</v>
      </c>
      <c r="L613" s="1">
        <v>46224.918321759258</v>
      </c>
      <c r="M613" s="1">
        <v>46224.91962439815</v>
      </c>
    </row>
    <row r="614" spans="1:13" x14ac:dyDescent="0.35">
      <c r="A614" t="s">
        <v>105</v>
      </c>
      <c r="B614" t="s">
        <v>1986</v>
      </c>
      <c r="C614" t="s">
        <v>2185</v>
      </c>
      <c r="D614">
        <v>4.75</v>
      </c>
      <c r="E614" s="1">
        <v>56203</v>
      </c>
      <c r="F614" t="s">
        <v>1988</v>
      </c>
      <c r="G614" t="s">
        <v>2185</v>
      </c>
      <c r="H614" t="s">
        <v>2</v>
      </c>
      <c r="I614" s="1">
        <v>46224</v>
      </c>
      <c r="J614" t="s">
        <v>1989</v>
      </c>
      <c r="K614" t="s">
        <v>2943</v>
      </c>
      <c r="L614" s="1">
        <v>46224.918321759258</v>
      </c>
      <c r="M614" s="1">
        <v>46224.91962439815</v>
      </c>
    </row>
    <row r="615" spans="1:13" x14ac:dyDescent="0.35">
      <c r="A615" t="s">
        <v>105</v>
      </c>
      <c r="B615" t="s">
        <v>1986</v>
      </c>
      <c r="C615" t="s">
        <v>2185</v>
      </c>
      <c r="D615">
        <v>4.75</v>
      </c>
      <c r="E615" s="1">
        <v>56203</v>
      </c>
      <c r="F615" t="s">
        <v>1988</v>
      </c>
      <c r="G615" t="s">
        <v>2185</v>
      </c>
      <c r="H615" t="s">
        <v>2</v>
      </c>
      <c r="I615" s="1">
        <v>46224</v>
      </c>
      <c r="J615" t="s">
        <v>1991</v>
      </c>
      <c r="K615" t="s">
        <v>4101</v>
      </c>
      <c r="L615" s="1">
        <v>46224.918321759258</v>
      </c>
      <c r="M615" s="1">
        <v>46224.91962439815</v>
      </c>
    </row>
    <row r="616" spans="1:13" x14ac:dyDescent="0.35">
      <c r="A616" t="s">
        <v>178</v>
      </c>
      <c r="B616" t="s">
        <v>1986</v>
      </c>
      <c r="C616" t="s">
        <v>2131</v>
      </c>
      <c r="D616">
        <v>4.75</v>
      </c>
      <c r="E616" s="1">
        <v>52550</v>
      </c>
      <c r="F616" t="s">
        <v>1988</v>
      </c>
      <c r="G616" t="s">
        <v>2131</v>
      </c>
      <c r="H616" t="s">
        <v>2</v>
      </c>
      <c r="I616" s="1">
        <v>46224</v>
      </c>
      <c r="J616" t="s">
        <v>1989</v>
      </c>
      <c r="K616" t="s">
        <v>3304</v>
      </c>
      <c r="L616" s="1">
        <v>46224.918321759258</v>
      </c>
      <c r="M616" s="1">
        <v>46224.91962439815</v>
      </c>
    </row>
    <row r="617" spans="1:13" x14ac:dyDescent="0.35">
      <c r="A617" t="s">
        <v>178</v>
      </c>
      <c r="B617" t="s">
        <v>1986</v>
      </c>
      <c r="C617" t="s">
        <v>2131</v>
      </c>
      <c r="D617">
        <v>4.75</v>
      </c>
      <c r="E617" s="1">
        <v>52550</v>
      </c>
      <c r="F617" t="s">
        <v>1988</v>
      </c>
      <c r="G617" t="s">
        <v>2131</v>
      </c>
      <c r="H617" t="s">
        <v>2</v>
      </c>
      <c r="I617" s="1">
        <v>46224</v>
      </c>
      <c r="J617" t="s">
        <v>1991</v>
      </c>
      <c r="K617" t="s">
        <v>4102</v>
      </c>
      <c r="L617" s="1">
        <v>46224.918321759258</v>
      </c>
      <c r="M617" s="1">
        <v>46224.91962439815</v>
      </c>
    </row>
    <row r="618" spans="1:13" x14ac:dyDescent="0.35">
      <c r="A618" t="s">
        <v>217</v>
      </c>
      <c r="B618" t="s">
        <v>1986</v>
      </c>
      <c r="C618" t="s">
        <v>2186</v>
      </c>
      <c r="D618">
        <v>4.25</v>
      </c>
      <c r="E618" s="1">
        <v>56295</v>
      </c>
      <c r="F618" t="s">
        <v>1988</v>
      </c>
      <c r="G618" t="s">
        <v>2186</v>
      </c>
      <c r="H618" t="s">
        <v>2</v>
      </c>
      <c r="I618" s="1">
        <v>46224</v>
      </c>
      <c r="J618" t="s">
        <v>1991</v>
      </c>
      <c r="K618" t="s">
        <v>2909</v>
      </c>
      <c r="L618" s="1">
        <v>46224.918321759258</v>
      </c>
      <c r="M618" s="1">
        <v>46224.91962439815</v>
      </c>
    </row>
    <row r="619" spans="1:13" x14ac:dyDescent="0.35">
      <c r="A619" t="s">
        <v>217</v>
      </c>
      <c r="B619" t="s">
        <v>1986</v>
      </c>
      <c r="C619" t="s">
        <v>2186</v>
      </c>
      <c r="D619">
        <v>4.25</v>
      </c>
      <c r="E619" s="1">
        <v>56295</v>
      </c>
      <c r="F619" t="s">
        <v>1988</v>
      </c>
      <c r="G619" t="s">
        <v>2186</v>
      </c>
      <c r="H619" t="s">
        <v>2</v>
      </c>
      <c r="I619" s="1">
        <v>46224</v>
      </c>
      <c r="J619" t="s">
        <v>1989</v>
      </c>
      <c r="K619" t="s">
        <v>3411</v>
      </c>
      <c r="L619" s="1">
        <v>46224.918321759258</v>
      </c>
      <c r="M619" s="1">
        <v>46224.91962439815</v>
      </c>
    </row>
    <row r="620" spans="1:13" x14ac:dyDescent="0.35">
      <c r="A620" t="s">
        <v>152</v>
      </c>
      <c r="B620" t="s">
        <v>1986</v>
      </c>
      <c r="C620" t="s">
        <v>2254</v>
      </c>
      <c r="D620">
        <v>2.125</v>
      </c>
      <c r="E620" s="1">
        <v>56295</v>
      </c>
      <c r="F620" t="s">
        <v>2014</v>
      </c>
      <c r="G620" t="s">
        <v>2254</v>
      </c>
      <c r="H620" t="s">
        <v>2</v>
      </c>
      <c r="I620" s="1">
        <v>46224</v>
      </c>
      <c r="J620" t="s">
        <v>1989</v>
      </c>
      <c r="K620" t="s">
        <v>3213</v>
      </c>
      <c r="L620" s="1">
        <v>46224.918321759258</v>
      </c>
      <c r="M620" s="1">
        <v>46224.91962439815</v>
      </c>
    </row>
    <row r="621" spans="1:13" x14ac:dyDescent="0.35">
      <c r="A621" t="s">
        <v>152</v>
      </c>
      <c r="B621" t="s">
        <v>1986</v>
      </c>
      <c r="C621" t="s">
        <v>2254</v>
      </c>
      <c r="D621">
        <v>2.125</v>
      </c>
      <c r="E621" s="1">
        <v>56295</v>
      </c>
      <c r="F621" t="s">
        <v>2014</v>
      </c>
      <c r="G621" t="s">
        <v>2254</v>
      </c>
      <c r="H621" t="s">
        <v>2</v>
      </c>
      <c r="I621" s="1">
        <v>46224</v>
      </c>
      <c r="J621" t="s">
        <v>1991</v>
      </c>
      <c r="K621" t="s">
        <v>4103</v>
      </c>
      <c r="L621" s="1">
        <v>46224.918321759258</v>
      </c>
      <c r="M621" s="1">
        <v>46224.91962439815</v>
      </c>
    </row>
    <row r="622" spans="1:13" x14ac:dyDescent="0.35">
      <c r="A622" t="s">
        <v>189</v>
      </c>
      <c r="B622" t="s">
        <v>1986</v>
      </c>
      <c r="C622" t="s">
        <v>2170</v>
      </c>
      <c r="D622">
        <v>4.5</v>
      </c>
      <c r="E622" s="1">
        <v>52642</v>
      </c>
      <c r="F622" t="s">
        <v>1988</v>
      </c>
      <c r="G622" t="s">
        <v>2170</v>
      </c>
      <c r="H622" t="s">
        <v>2</v>
      </c>
      <c r="I622" s="1">
        <v>46224</v>
      </c>
      <c r="J622" t="s">
        <v>1991</v>
      </c>
      <c r="K622" t="s">
        <v>3143</v>
      </c>
      <c r="L622" s="1">
        <v>46224.918321759258</v>
      </c>
      <c r="M622" s="1">
        <v>46224.91962439815</v>
      </c>
    </row>
    <row r="623" spans="1:13" x14ac:dyDescent="0.35">
      <c r="A623" t="s">
        <v>189</v>
      </c>
      <c r="B623" t="s">
        <v>1986</v>
      </c>
      <c r="C623" t="s">
        <v>2170</v>
      </c>
      <c r="D623">
        <v>4.5</v>
      </c>
      <c r="E623" s="1">
        <v>52642</v>
      </c>
      <c r="F623" t="s">
        <v>1988</v>
      </c>
      <c r="G623" t="s">
        <v>2170</v>
      </c>
      <c r="H623" t="s">
        <v>2</v>
      </c>
      <c r="I623" s="1">
        <v>46224</v>
      </c>
      <c r="J623" t="s">
        <v>1989</v>
      </c>
      <c r="K623" t="s">
        <v>3412</v>
      </c>
      <c r="L623" s="1">
        <v>46224.918321759258</v>
      </c>
      <c r="M623" s="1">
        <v>46224.91962439815</v>
      </c>
    </row>
    <row r="624" spans="1:13" x14ac:dyDescent="0.35">
      <c r="A624" t="s">
        <v>190</v>
      </c>
      <c r="B624" t="s">
        <v>1986</v>
      </c>
      <c r="C624" t="s">
        <v>2132</v>
      </c>
      <c r="D624">
        <v>4.625</v>
      </c>
      <c r="E624" s="1">
        <v>56384</v>
      </c>
      <c r="F624" t="s">
        <v>1988</v>
      </c>
      <c r="G624" t="s">
        <v>2132</v>
      </c>
      <c r="H624" t="s">
        <v>2</v>
      </c>
      <c r="I624" s="1">
        <v>46224</v>
      </c>
      <c r="J624" t="s">
        <v>1991</v>
      </c>
      <c r="K624" t="s">
        <v>2871</v>
      </c>
      <c r="L624" s="1">
        <v>46224.918321759258</v>
      </c>
      <c r="M624" s="1">
        <v>46224.91962439815</v>
      </c>
    </row>
    <row r="625" spans="1:13" x14ac:dyDescent="0.35">
      <c r="A625" t="s">
        <v>190</v>
      </c>
      <c r="B625" t="s">
        <v>1986</v>
      </c>
      <c r="C625" t="s">
        <v>2132</v>
      </c>
      <c r="D625">
        <v>4.625</v>
      </c>
      <c r="E625" s="1">
        <v>56384</v>
      </c>
      <c r="F625" t="s">
        <v>1988</v>
      </c>
      <c r="G625" t="s">
        <v>2132</v>
      </c>
      <c r="H625" t="s">
        <v>2</v>
      </c>
      <c r="I625" s="1">
        <v>46224</v>
      </c>
      <c r="J625" t="s">
        <v>1989</v>
      </c>
      <c r="K625" t="s">
        <v>3215</v>
      </c>
      <c r="L625" s="1">
        <v>46224.918321759258</v>
      </c>
      <c r="M625" s="1">
        <v>46224.91962439815</v>
      </c>
    </row>
    <row r="626" spans="1:13" x14ac:dyDescent="0.35">
      <c r="A626" t="s">
        <v>218</v>
      </c>
      <c r="B626" t="s">
        <v>1986</v>
      </c>
      <c r="C626" t="s">
        <v>2133</v>
      </c>
      <c r="D626">
        <v>4.625</v>
      </c>
      <c r="E626" s="1">
        <v>52732</v>
      </c>
      <c r="F626" t="s">
        <v>1988</v>
      </c>
      <c r="G626" t="s">
        <v>2133</v>
      </c>
      <c r="H626" t="s">
        <v>2</v>
      </c>
      <c r="I626" s="1">
        <v>46224</v>
      </c>
      <c r="J626" t="s">
        <v>1989</v>
      </c>
      <c r="K626" t="s">
        <v>3233</v>
      </c>
      <c r="L626" s="1">
        <v>46224.918321759258</v>
      </c>
      <c r="M626" s="1">
        <v>46224.91962439815</v>
      </c>
    </row>
    <row r="627" spans="1:13" x14ac:dyDescent="0.35">
      <c r="A627" t="s">
        <v>218</v>
      </c>
      <c r="B627" t="s">
        <v>1986</v>
      </c>
      <c r="C627" t="s">
        <v>2133</v>
      </c>
      <c r="D627">
        <v>4.625</v>
      </c>
      <c r="E627" s="1">
        <v>52732</v>
      </c>
      <c r="F627" t="s">
        <v>1988</v>
      </c>
      <c r="G627" t="s">
        <v>2133</v>
      </c>
      <c r="H627" t="s">
        <v>2</v>
      </c>
      <c r="I627" s="1">
        <v>46224</v>
      </c>
      <c r="J627" t="s">
        <v>1991</v>
      </c>
      <c r="K627" t="s">
        <v>3234</v>
      </c>
      <c r="L627" s="1">
        <v>46224.918321759258</v>
      </c>
      <c r="M627" s="1">
        <v>46224.91962439815</v>
      </c>
    </row>
    <row r="628" spans="1:13" x14ac:dyDescent="0.35">
      <c r="A628" t="s">
        <v>106</v>
      </c>
      <c r="B628" t="s">
        <v>1986</v>
      </c>
      <c r="C628" t="s">
        <v>2171</v>
      </c>
      <c r="D628">
        <v>4.25</v>
      </c>
      <c r="E628" s="1">
        <v>56476</v>
      </c>
      <c r="F628" t="s">
        <v>1988</v>
      </c>
      <c r="G628" t="s">
        <v>2171</v>
      </c>
      <c r="H628" t="s">
        <v>2</v>
      </c>
      <c r="I628" s="1">
        <v>46224</v>
      </c>
      <c r="J628" t="s">
        <v>1991</v>
      </c>
      <c r="K628" t="s">
        <v>3258</v>
      </c>
      <c r="L628" s="1">
        <v>46224.918321759258</v>
      </c>
      <c r="M628" s="1">
        <v>46224.91962439815</v>
      </c>
    </row>
    <row r="629" spans="1:13" x14ac:dyDescent="0.35">
      <c r="A629" t="s">
        <v>106</v>
      </c>
      <c r="B629" t="s">
        <v>1986</v>
      </c>
      <c r="C629" t="s">
        <v>2171</v>
      </c>
      <c r="D629">
        <v>4.25</v>
      </c>
      <c r="E629" s="1">
        <v>56476</v>
      </c>
      <c r="F629" t="s">
        <v>1988</v>
      </c>
      <c r="G629" t="s">
        <v>2171</v>
      </c>
      <c r="H629" t="s">
        <v>2</v>
      </c>
      <c r="I629" s="1">
        <v>46224</v>
      </c>
      <c r="J629" t="s">
        <v>1989</v>
      </c>
      <c r="K629" t="s">
        <v>3305</v>
      </c>
      <c r="L629" s="1">
        <v>46224.918321759258</v>
      </c>
      <c r="M629" s="1">
        <v>46224.91962439815</v>
      </c>
    </row>
    <row r="630" spans="1:13" x14ac:dyDescent="0.35">
      <c r="A630" t="s">
        <v>247</v>
      </c>
      <c r="B630" t="s">
        <v>1986</v>
      </c>
      <c r="C630" t="s">
        <v>2158</v>
      </c>
      <c r="D630">
        <v>4.125</v>
      </c>
      <c r="E630" s="1">
        <v>52824</v>
      </c>
      <c r="F630" t="s">
        <v>1988</v>
      </c>
      <c r="G630" t="s">
        <v>2158</v>
      </c>
      <c r="H630" t="s">
        <v>2</v>
      </c>
      <c r="I630" s="1">
        <v>46224</v>
      </c>
      <c r="J630" t="s">
        <v>1991</v>
      </c>
      <c r="K630" t="s">
        <v>3214</v>
      </c>
      <c r="L630" s="1">
        <v>46224.918321759258</v>
      </c>
      <c r="M630" s="1">
        <v>46224.91962439815</v>
      </c>
    </row>
    <row r="631" spans="1:13" x14ac:dyDescent="0.35">
      <c r="A631" t="s">
        <v>247</v>
      </c>
      <c r="B631" t="s">
        <v>1986</v>
      </c>
      <c r="C631" t="s">
        <v>2158</v>
      </c>
      <c r="D631">
        <v>4.125</v>
      </c>
      <c r="E631" s="1">
        <v>52824</v>
      </c>
      <c r="F631" t="s">
        <v>1988</v>
      </c>
      <c r="G631" t="s">
        <v>2158</v>
      </c>
      <c r="H631" t="s">
        <v>2</v>
      </c>
      <c r="I631" s="1">
        <v>46224</v>
      </c>
      <c r="J631" t="s">
        <v>1989</v>
      </c>
      <c r="K631" t="s">
        <v>4104</v>
      </c>
      <c r="L631" s="1">
        <v>46224.918321759258</v>
      </c>
      <c r="M631" s="1">
        <v>46224.91962439815</v>
      </c>
    </row>
    <row r="632" spans="1:13" x14ac:dyDescent="0.35">
      <c r="A632" t="s">
        <v>107</v>
      </c>
      <c r="B632" t="s">
        <v>1986</v>
      </c>
      <c r="C632" t="s">
        <v>2134</v>
      </c>
      <c r="D632">
        <v>4.5</v>
      </c>
      <c r="E632" s="1">
        <v>56568</v>
      </c>
      <c r="F632" t="s">
        <v>1988</v>
      </c>
      <c r="G632" t="s">
        <v>2134</v>
      </c>
      <c r="H632" t="s">
        <v>2</v>
      </c>
      <c r="I632" s="1">
        <v>46224</v>
      </c>
      <c r="J632" t="s">
        <v>1989</v>
      </c>
      <c r="K632" t="s">
        <v>3413</v>
      </c>
      <c r="L632" s="1">
        <v>46224.918321759258</v>
      </c>
      <c r="M632" s="1">
        <v>46224.91962439815</v>
      </c>
    </row>
    <row r="633" spans="1:13" x14ac:dyDescent="0.35">
      <c r="A633" t="s">
        <v>107</v>
      </c>
      <c r="B633" t="s">
        <v>1986</v>
      </c>
      <c r="C633" t="s">
        <v>2134</v>
      </c>
      <c r="D633">
        <v>4.5</v>
      </c>
      <c r="E633" s="1">
        <v>56568</v>
      </c>
      <c r="F633" t="s">
        <v>1988</v>
      </c>
      <c r="G633" t="s">
        <v>2134</v>
      </c>
      <c r="H633" t="s">
        <v>2</v>
      </c>
      <c r="I633" s="1">
        <v>46224</v>
      </c>
      <c r="J633" t="s">
        <v>1991</v>
      </c>
      <c r="K633" t="s">
        <v>3414</v>
      </c>
      <c r="L633" s="1">
        <v>46224.918321759258</v>
      </c>
      <c r="M633" s="1">
        <v>46224.91962439815</v>
      </c>
    </row>
    <row r="634" spans="1:13" x14ac:dyDescent="0.35">
      <c r="A634" t="s">
        <v>219</v>
      </c>
      <c r="B634" t="s">
        <v>1986</v>
      </c>
      <c r="C634" t="s">
        <v>2159</v>
      </c>
      <c r="D634">
        <v>4.625</v>
      </c>
      <c r="E634" s="1">
        <v>52916</v>
      </c>
      <c r="F634" t="s">
        <v>1988</v>
      </c>
      <c r="G634" t="s">
        <v>2159</v>
      </c>
      <c r="H634" t="s">
        <v>2</v>
      </c>
      <c r="I634" s="1">
        <v>46224</v>
      </c>
      <c r="J634" t="s">
        <v>1989</v>
      </c>
      <c r="K634" t="s">
        <v>3259</v>
      </c>
      <c r="L634" s="1">
        <v>46224.918321759258</v>
      </c>
      <c r="M634" s="1">
        <v>46224.91962439815</v>
      </c>
    </row>
    <row r="635" spans="1:13" x14ac:dyDescent="0.35">
      <c r="A635" t="s">
        <v>219</v>
      </c>
      <c r="B635" t="s">
        <v>1986</v>
      </c>
      <c r="C635" t="s">
        <v>2159</v>
      </c>
      <c r="D635">
        <v>4.625</v>
      </c>
      <c r="E635" s="1">
        <v>52916</v>
      </c>
      <c r="F635" t="s">
        <v>1988</v>
      </c>
      <c r="G635" t="s">
        <v>2159</v>
      </c>
      <c r="H635" t="s">
        <v>2</v>
      </c>
      <c r="I635" s="1">
        <v>46224</v>
      </c>
      <c r="J635" t="s">
        <v>1991</v>
      </c>
      <c r="K635" t="s">
        <v>2963</v>
      </c>
      <c r="L635" s="1">
        <v>46224.918321759258</v>
      </c>
      <c r="M635" s="1">
        <v>46224.91962439815</v>
      </c>
    </row>
    <row r="636" spans="1:13" x14ac:dyDescent="0.35">
      <c r="A636" t="s">
        <v>108</v>
      </c>
      <c r="B636" t="s">
        <v>1986</v>
      </c>
      <c r="C636" t="s">
        <v>2172</v>
      </c>
      <c r="D636">
        <v>4.625</v>
      </c>
      <c r="E636" s="1">
        <v>56660</v>
      </c>
      <c r="F636" t="s">
        <v>1988</v>
      </c>
      <c r="G636" t="s">
        <v>2172</v>
      </c>
      <c r="H636" t="s">
        <v>2</v>
      </c>
      <c r="I636" s="1">
        <v>46224</v>
      </c>
      <c r="J636" t="s">
        <v>1991</v>
      </c>
      <c r="K636" t="s">
        <v>3215</v>
      </c>
      <c r="L636" s="1">
        <v>46224.918321759258</v>
      </c>
      <c r="M636" s="1">
        <v>46224.91962439815</v>
      </c>
    </row>
    <row r="637" spans="1:13" x14ac:dyDescent="0.35">
      <c r="A637" t="s">
        <v>108</v>
      </c>
      <c r="B637" t="s">
        <v>1986</v>
      </c>
      <c r="C637" t="s">
        <v>2172</v>
      </c>
      <c r="D637">
        <v>4.625</v>
      </c>
      <c r="E637" s="1">
        <v>56660</v>
      </c>
      <c r="F637" t="s">
        <v>1988</v>
      </c>
      <c r="G637" t="s">
        <v>2172</v>
      </c>
      <c r="H637" t="s">
        <v>2</v>
      </c>
      <c r="I637" s="1">
        <v>46224</v>
      </c>
      <c r="J637" t="s">
        <v>1989</v>
      </c>
      <c r="K637" t="s">
        <v>3415</v>
      </c>
      <c r="L637" s="1">
        <v>46224.918321759258</v>
      </c>
      <c r="M637" s="1">
        <v>46224.91962439815</v>
      </c>
    </row>
    <row r="638" spans="1:13" x14ac:dyDescent="0.35">
      <c r="A638" t="s">
        <v>191</v>
      </c>
      <c r="B638" t="s">
        <v>1986</v>
      </c>
      <c r="C638" t="s">
        <v>2173</v>
      </c>
      <c r="D638">
        <v>2.375</v>
      </c>
      <c r="E638" s="1">
        <v>56660</v>
      </c>
      <c r="F638" t="s">
        <v>2014</v>
      </c>
      <c r="G638" t="s">
        <v>2173</v>
      </c>
      <c r="H638" t="s">
        <v>2</v>
      </c>
      <c r="I638" s="1">
        <v>46224</v>
      </c>
      <c r="J638" t="s">
        <v>1991</v>
      </c>
      <c r="K638" t="s">
        <v>3216</v>
      </c>
      <c r="L638" s="1">
        <v>46224.918321759258</v>
      </c>
      <c r="M638" s="1">
        <v>46224.91962439815</v>
      </c>
    </row>
    <row r="639" spans="1:13" x14ac:dyDescent="0.35">
      <c r="A639" t="s">
        <v>191</v>
      </c>
      <c r="B639" t="s">
        <v>1986</v>
      </c>
      <c r="C639" t="s">
        <v>2173</v>
      </c>
      <c r="D639">
        <v>2.375</v>
      </c>
      <c r="E639" s="1">
        <v>56660</v>
      </c>
      <c r="F639" t="s">
        <v>2014</v>
      </c>
      <c r="G639" t="s">
        <v>2173</v>
      </c>
      <c r="H639" t="s">
        <v>2</v>
      </c>
      <c r="I639" s="1">
        <v>46224</v>
      </c>
      <c r="J639" t="s">
        <v>1989</v>
      </c>
      <c r="K639" t="s">
        <v>3416</v>
      </c>
      <c r="L639" s="1">
        <v>46224.918321759258</v>
      </c>
      <c r="M639" s="1">
        <v>46224.91962439815</v>
      </c>
    </row>
    <row r="640" spans="1:13" x14ac:dyDescent="0.35">
      <c r="A640" t="s">
        <v>234</v>
      </c>
      <c r="B640" t="s">
        <v>1986</v>
      </c>
      <c r="C640" t="s">
        <v>2174</v>
      </c>
      <c r="D640">
        <v>4.75</v>
      </c>
      <c r="E640" s="1">
        <v>53008</v>
      </c>
      <c r="F640" t="s">
        <v>1988</v>
      </c>
      <c r="G640" t="s">
        <v>2174</v>
      </c>
      <c r="H640" t="s">
        <v>2</v>
      </c>
      <c r="I640" s="1">
        <v>46224</v>
      </c>
      <c r="J640" t="s">
        <v>1989</v>
      </c>
      <c r="K640" t="s">
        <v>3498</v>
      </c>
      <c r="L640" s="1">
        <v>46224.918321759258</v>
      </c>
      <c r="M640" s="1">
        <v>46224.91962439815</v>
      </c>
    </row>
    <row r="641" spans="1:13" x14ac:dyDescent="0.35">
      <c r="A641" t="s">
        <v>234</v>
      </c>
      <c r="B641" t="s">
        <v>1986</v>
      </c>
      <c r="C641" t="s">
        <v>2174</v>
      </c>
      <c r="D641">
        <v>4.75</v>
      </c>
      <c r="E641" s="1">
        <v>53008</v>
      </c>
      <c r="F641" t="s">
        <v>1988</v>
      </c>
      <c r="G641" t="s">
        <v>2174</v>
      </c>
      <c r="H641" t="s">
        <v>2</v>
      </c>
      <c r="I641" s="1">
        <v>46224</v>
      </c>
      <c r="J641" t="s">
        <v>1991</v>
      </c>
      <c r="K641" t="s">
        <v>2019</v>
      </c>
      <c r="L641" s="1">
        <v>46224.918321759258</v>
      </c>
      <c r="M641" s="1">
        <v>46224.91962439815</v>
      </c>
    </row>
    <row r="642" spans="1:13" x14ac:dyDescent="0.35">
      <c r="A642" t="s">
        <v>153</v>
      </c>
      <c r="B642" t="s">
        <v>1986</v>
      </c>
      <c r="C642" t="s">
        <v>2175</v>
      </c>
      <c r="D642">
        <v>4.75</v>
      </c>
      <c r="E642" s="1">
        <v>56749</v>
      </c>
      <c r="F642" t="s">
        <v>1988</v>
      </c>
      <c r="G642" t="s">
        <v>2175</v>
      </c>
      <c r="H642" t="s">
        <v>2</v>
      </c>
      <c r="I642" s="1">
        <v>46224</v>
      </c>
      <c r="J642" t="s">
        <v>2108</v>
      </c>
      <c r="K642" t="s">
        <v>3217</v>
      </c>
      <c r="L642" s="1">
        <v>46224.917650462965</v>
      </c>
      <c r="M642" s="1">
        <v>46224.91962439815</v>
      </c>
    </row>
    <row r="643" spans="1:13" x14ac:dyDescent="0.35">
      <c r="A643" t="s">
        <v>153</v>
      </c>
      <c r="B643" t="s">
        <v>1986</v>
      </c>
      <c r="C643" t="s">
        <v>2175</v>
      </c>
      <c r="D643">
        <v>4.75</v>
      </c>
      <c r="E643" s="1">
        <v>56749</v>
      </c>
      <c r="F643" t="s">
        <v>1988</v>
      </c>
      <c r="G643" t="s">
        <v>2175</v>
      </c>
      <c r="H643" t="s">
        <v>2</v>
      </c>
      <c r="I643" s="1">
        <v>46224</v>
      </c>
      <c r="J643" t="s">
        <v>2065</v>
      </c>
      <c r="K643" t="s">
        <v>3236</v>
      </c>
      <c r="L643" s="1">
        <v>46224.917650462965</v>
      </c>
      <c r="M643" s="1">
        <v>46224.91962439815</v>
      </c>
    </row>
    <row r="644" spans="1:13" x14ac:dyDescent="0.35">
      <c r="A644" t="s">
        <v>153</v>
      </c>
      <c r="B644" t="s">
        <v>1986</v>
      </c>
      <c r="C644" t="s">
        <v>2175</v>
      </c>
      <c r="D644">
        <v>4.75</v>
      </c>
      <c r="E644" s="1">
        <v>56749</v>
      </c>
      <c r="F644" t="s">
        <v>1988</v>
      </c>
      <c r="G644" t="s">
        <v>2175</v>
      </c>
      <c r="H644" t="s">
        <v>2</v>
      </c>
      <c r="I644" s="1">
        <v>46224</v>
      </c>
      <c r="J644" t="s">
        <v>2146</v>
      </c>
      <c r="K644" t="s">
        <v>3217</v>
      </c>
      <c r="L644" s="1">
        <v>46224.917650462965</v>
      </c>
      <c r="M644" s="1">
        <v>46224.91962439815</v>
      </c>
    </row>
    <row r="645" spans="1:13" x14ac:dyDescent="0.35">
      <c r="A645" t="s">
        <v>153</v>
      </c>
      <c r="B645" t="s">
        <v>1986</v>
      </c>
      <c r="C645" t="s">
        <v>2175</v>
      </c>
      <c r="D645">
        <v>4.75</v>
      </c>
      <c r="E645" s="1">
        <v>56749</v>
      </c>
      <c r="F645" t="s">
        <v>1988</v>
      </c>
      <c r="G645" t="s">
        <v>2175</v>
      </c>
      <c r="H645" t="s">
        <v>2</v>
      </c>
      <c r="I645" s="1">
        <v>46224</v>
      </c>
      <c r="J645" t="s">
        <v>1989</v>
      </c>
      <c r="K645" t="s">
        <v>3235</v>
      </c>
      <c r="L645" s="1">
        <v>46224.918321759258</v>
      </c>
      <c r="M645" s="1">
        <v>46224.91962439815</v>
      </c>
    </row>
    <row r="646" spans="1:13" x14ac:dyDescent="0.35">
      <c r="A646" t="s">
        <v>153</v>
      </c>
      <c r="B646" t="s">
        <v>1986</v>
      </c>
      <c r="C646" t="s">
        <v>2175</v>
      </c>
      <c r="D646">
        <v>4.75</v>
      </c>
      <c r="E646" s="1">
        <v>56749</v>
      </c>
      <c r="F646" t="s">
        <v>1988</v>
      </c>
      <c r="G646" t="s">
        <v>2175</v>
      </c>
      <c r="H646" t="s">
        <v>2</v>
      </c>
      <c r="I646" s="1">
        <v>46224</v>
      </c>
      <c r="J646" t="s">
        <v>2064</v>
      </c>
      <c r="K646" t="s">
        <v>3236</v>
      </c>
      <c r="L646" s="1">
        <v>46224.917650462965</v>
      </c>
      <c r="M646" s="1">
        <v>46224.91962439815</v>
      </c>
    </row>
    <row r="647" spans="1:13" x14ac:dyDescent="0.35">
      <c r="A647" t="s">
        <v>153</v>
      </c>
      <c r="B647" t="s">
        <v>1986</v>
      </c>
      <c r="C647" t="s">
        <v>2175</v>
      </c>
      <c r="D647">
        <v>4.75</v>
      </c>
      <c r="E647" s="1">
        <v>56749</v>
      </c>
      <c r="F647" t="s">
        <v>1988</v>
      </c>
      <c r="G647" t="s">
        <v>2175</v>
      </c>
      <c r="H647" t="s">
        <v>2</v>
      </c>
      <c r="I647" s="1">
        <v>46224</v>
      </c>
      <c r="J647" t="s">
        <v>1991</v>
      </c>
      <c r="K647" t="s">
        <v>3259</v>
      </c>
      <c r="L647" s="1">
        <v>46224.918321759258</v>
      </c>
      <c r="M647" s="1">
        <v>46224.91962439815</v>
      </c>
    </row>
    <row r="648" spans="1:13" x14ac:dyDescent="0.35">
      <c r="A648" t="s">
        <v>109</v>
      </c>
      <c r="B648" t="s">
        <v>1986</v>
      </c>
      <c r="C648" t="s">
        <v>2176</v>
      </c>
      <c r="D648">
        <v>5</v>
      </c>
      <c r="E648" s="1">
        <v>53097</v>
      </c>
      <c r="F648" t="s">
        <v>1988</v>
      </c>
      <c r="G648" t="s">
        <v>2176</v>
      </c>
      <c r="H648" t="s">
        <v>2</v>
      </c>
      <c r="I648" s="1">
        <v>46224</v>
      </c>
      <c r="J648" t="s">
        <v>2146</v>
      </c>
      <c r="K648" t="s">
        <v>3218</v>
      </c>
      <c r="L648" s="1">
        <v>46224.917650462965</v>
      </c>
      <c r="M648" s="1">
        <v>46224.91962439815</v>
      </c>
    </row>
    <row r="649" spans="1:13" x14ac:dyDescent="0.35">
      <c r="A649" t="s">
        <v>109</v>
      </c>
      <c r="B649" t="s">
        <v>1986</v>
      </c>
      <c r="C649" t="s">
        <v>2176</v>
      </c>
      <c r="D649">
        <v>5</v>
      </c>
      <c r="E649" s="1">
        <v>53097</v>
      </c>
      <c r="F649" t="s">
        <v>1988</v>
      </c>
      <c r="G649" t="s">
        <v>2176</v>
      </c>
      <c r="H649" t="s">
        <v>2</v>
      </c>
      <c r="I649" s="1">
        <v>46224</v>
      </c>
      <c r="J649" t="s">
        <v>1989</v>
      </c>
      <c r="K649" t="s">
        <v>3139</v>
      </c>
      <c r="L649" s="1">
        <v>46224.918321759258</v>
      </c>
      <c r="M649" s="1">
        <v>46224.91962439815</v>
      </c>
    </row>
    <row r="650" spans="1:13" x14ac:dyDescent="0.35">
      <c r="A650" t="s">
        <v>109</v>
      </c>
      <c r="B650" t="s">
        <v>1986</v>
      </c>
      <c r="C650" t="s">
        <v>2176</v>
      </c>
      <c r="D650">
        <v>5</v>
      </c>
      <c r="E650" s="1">
        <v>53097</v>
      </c>
      <c r="F650" t="s">
        <v>1988</v>
      </c>
      <c r="G650" t="s">
        <v>2176</v>
      </c>
      <c r="H650" t="s">
        <v>2</v>
      </c>
      <c r="I650" s="1">
        <v>46224</v>
      </c>
      <c r="J650" t="s">
        <v>2108</v>
      </c>
      <c r="K650" t="s">
        <v>3218</v>
      </c>
      <c r="L650" s="1">
        <v>46224.917650462965</v>
      </c>
      <c r="M650" s="1">
        <v>46224.91962439815</v>
      </c>
    </row>
    <row r="651" spans="1:13" x14ac:dyDescent="0.35">
      <c r="A651" t="s">
        <v>109</v>
      </c>
      <c r="B651" t="s">
        <v>1986</v>
      </c>
      <c r="C651" t="s">
        <v>2176</v>
      </c>
      <c r="D651">
        <v>5</v>
      </c>
      <c r="E651" s="1">
        <v>53097</v>
      </c>
      <c r="F651" t="s">
        <v>1988</v>
      </c>
      <c r="G651" t="s">
        <v>2176</v>
      </c>
      <c r="H651" t="s">
        <v>2</v>
      </c>
      <c r="I651" s="1">
        <v>46224</v>
      </c>
      <c r="J651" t="s">
        <v>1991</v>
      </c>
      <c r="K651" t="s">
        <v>3024</v>
      </c>
      <c r="L651" s="1">
        <v>46224.918321759258</v>
      </c>
      <c r="M651" s="1">
        <v>46224.91962439815</v>
      </c>
    </row>
    <row r="652" spans="1:13" x14ac:dyDescent="0.35">
      <c r="A652" t="s">
        <v>109</v>
      </c>
      <c r="B652" t="s">
        <v>1986</v>
      </c>
      <c r="C652" t="s">
        <v>2176</v>
      </c>
      <c r="D652">
        <v>5</v>
      </c>
      <c r="E652" s="1">
        <v>53097</v>
      </c>
      <c r="F652" t="s">
        <v>1988</v>
      </c>
      <c r="G652" t="s">
        <v>2176</v>
      </c>
      <c r="H652" t="s">
        <v>2</v>
      </c>
      <c r="I652" s="1">
        <v>46224</v>
      </c>
      <c r="J652" t="s">
        <v>2065</v>
      </c>
      <c r="K652" t="s">
        <v>3417</v>
      </c>
      <c r="L652" s="1">
        <v>46224.917650462965</v>
      </c>
      <c r="M652" s="1">
        <v>46224.91962439815</v>
      </c>
    </row>
    <row r="653" spans="1:13" x14ac:dyDescent="0.35">
      <c r="A653" t="s">
        <v>109</v>
      </c>
      <c r="B653" t="s">
        <v>1986</v>
      </c>
      <c r="C653" t="s">
        <v>2176</v>
      </c>
      <c r="D653">
        <v>5</v>
      </c>
      <c r="E653" s="1">
        <v>53097</v>
      </c>
      <c r="F653" t="s">
        <v>1988</v>
      </c>
      <c r="G653" t="s">
        <v>2176</v>
      </c>
      <c r="H653" t="s">
        <v>2</v>
      </c>
      <c r="I653" s="1">
        <v>46224</v>
      </c>
      <c r="J653" t="s">
        <v>2064</v>
      </c>
      <c r="K653" t="s">
        <v>3417</v>
      </c>
      <c r="L653" s="1">
        <v>46224.917650462965</v>
      </c>
      <c r="M653" s="1">
        <v>46224.91962439815</v>
      </c>
    </row>
    <row r="654" spans="1:13" x14ac:dyDescent="0.35">
      <c r="A654" t="s">
        <v>110</v>
      </c>
      <c r="B654" t="s">
        <v>1986</v>
      </c>
      <c r="C654" t="s">
        <v>2187</v>
      </c>
      <c r="D654">
        <v>4.75</v>
      </c>
      <c r="E654" s="1">
        <v>56841</v>
      </c>
      <c r="F654" t="s">
        <v>1988</v>
      </c>
      <c r="G654" t="s">
        <v>2187</v>
      </c>
      <c r="H654" t="s">
        <v>2</v>
      </c>
      <c r="I654" s="1">
        <v>46224</v>
      </c>
      <c r="J654" t="s">
        <v>2146</v>
      </c>
      <c r="K654" t="s">
        <v>3241</v>
      </c>
      <c r="L654" s="1">
        <v>46224.917650462965</v>
      </c>
      <c r="M654" s="1">
        <v>46224.91962439815</v>
      </c>
    </row>
    <row r="655" spans="1:13" x14ac:dyDescent="0.35">
      <c r="A655" t="s">
        <v>110</v>
      </c>
      <c r="B655" t="s">
        <v>1986</v>
      </c>
      <c r="C655" t="s">
        <v>2187</v>
      </c>
      <c r="D655">
        <v>4.75</v>
      </c>
      <c r="E655" s="1">
        <v>56841</v>
      </c>
      <c r="F655" t="s">
        <v>1988</v>
      </c>
      <c r="G655" t="s">
        <v>2187</v>
      </c>
      <c r="H655" t="s">
        <v>2</v>
      </c>
      <c r="I655" s="1">
        <v>46224</v>
      </c>
      <c r="J655" t="s">
        <v>2108</v>
      </c>
      <c r="K655" t="s">
        <v>3241</v>
      </c>
      <c r="L655" s="1">
        <v>46224.917650462965</v>
      </c>
      <c r="M655" s="1">
        <v>46224.91962439815</v>
      </c>
    </row>
    <row r="656" spans="1:13" x14ac:dyDescent="0.35">
      <c r="A656" t="s">
        <v>110</v>
      </c>
      <c r="B656" t="s">
        <v>1986</v>
      </c>
      <c r="C656" t="s">
        <v>2187</v>
      </c>
      <c r="D656">
        <v>4.75</v>
      </c>
      <c r="E656" s="1">
        <v>56841</v>
      </c>
      <c r="F656" t="s">
        <v>1988</v>
      </c>
      <c r="G656" t="s">
        <v>2187</v>
      </c>
      <c r="H656" t="s">
        <v>2</v>
      </c>
      <c r="I656" s="1">
        <v>46224</v>
      </c>
      <c r="J656" t="s">
        <v>2065</v>
      </c>
      <c r="K656" t="s">
        <v>3219</v>
      </c>
      <c r="L656" s="1">
        <v>46224.917650462965</v>
      </c>
      <c r="M656" s="1">
        <v>46224.91962439815</v>
      </c>
    </row>
    <row r="657" spans="1:13" x14ac:dyDescent="0.35">
      <c r="A657" t="s">
        <v>110</v>
      </c>
      <c r="B657" t="s">
        <v>1986</v>
      </c>
      <c r="C657" t="s">
        <v>2187</v>
      </c>
      <c r="D657">
        <v>4.75</v>
      </c>
      <c r="E657" s="1">
        <v>56841</v>
      </c>
      <c r="F657" t="s">
        <v>1988</v>
      </c>
      <c r="G657" t="s">
        <v>2187</v>
      </c>
      <c r="H657" t="s">
        <v>2</v>
      </c>
      <c r="I657" s="1">
        <v>46224</v>
      </c>
      <c r="J657" t="s">
        <v>2064</v>
      </c>
      <c r="K657" t="s">
        <v>3219</v>
      </c>
      <c r="L657" s="1">
        <v>46224.917650462965</v>
      </c>
      <c r="M657" s="1">
        <v>46224.91962439815</v>
      </c>
    </row>
    <row r="658" spans="1:13" x14ac:dyDescent="0.35">
      <c r="A658" t="s">
        <v>110</v>
      </c>
      <c r="B658" t="s">
        <v>1986</v>
      </c>
      <c r="C658" t="s">
        <v>2187</v>
      </c>
      <c r="D658">
        <v>4.75</v>
      </c>
      <c r="E658" s="1">
        <v>56841</v>
      </c>
      <c r="F658" t="s">
        <v>1988</v>
      </c>
      <c r="G658" t="s">
        <v>2187</v>
      </c>
      <c r="H658" t="s">
        <v>2</v>
      </c>
      <c r="I658" s="1">
        <v>46224</v>
      </c>
      <c r="J658" t="s">
        <v>1989</v>
      </c>
      <c r="K658" t="s">
        <v>3000</v>
      </c>
      <c r="L658" s="1">
        <v>46224.918321759258</v>
      </c>
      <c r="M658" s="1">
        <v>46224.91962439815</v>
      </c>
    </row>
    <row r="659" spans="1:13" x14ac:dyDescent="0.35">
      <c r="A659" t="s">
        <v>110</v>
      </c>
      <c r="B659" t="s">
        <v>1986</v>
      </c>
      <c r="C659" t="s">
        <v>2187</v>
      </c>
      <c r="D659">
        <v>4.75</v>
      </c>
      <c r="E659" s="1">
        <v>56841</v>
      </c>
      <c r="F659" t="s">
        <v>1988</v>
      </c>
      <c r="G659" t="s">
        <v>2187</v>
      </c>
      <c r="H659" t="s">
        <v>2</v>
      </c>
      <c r="I659" s="1">
        <v>46224</v>
      </c>
      <c r="J659" t="s">
        <v>1991</v>
      </c>
      <c r="K659" t="s">
        <v>4105</v>
      </c>
      <c r="L659" s="1">
        <v>46224.918321759258</v>
      </c>
      <c r="M659" s="1">
        <v>46224.91962439815</v>
      </c>
    </row>
    <row r="660" spans="1:13" x14ac:dyDescent="0.35">
      <c r="A660" t="s">
        <v>154</v>
      </c>
      <c r="B660" t="s">
        <v>1986</v>
      </c>
      <c r="C660" t="s">
        <v>2177</v>
      </c>
      <c r="D660">
        <v>4.875</v>
      </c>
      <c r="E660" s="1">
        <v>53189</v>
      </c>
      <c r="F660" t="s">
        <v>1988</v>
      </c>
      <c r="G660" t="s">
        <v>2177</v>
      </c>
      <c r="H660" t="s">
        <v>2</v>
      </c>
      <c r="I660" s="1">
        <v>46224</v>
      </c>
      <c r="J660" t="s">
        <v>2064</v>
      </c>
      <c r="K660" t="s">
        <v>3219</v>
      </c>
      <c r="L660" s="1">
        <v>46224.917650462965</v>
      </c>
      <c r="M660" s="1">
        <v>46224.91962439815</v>
      </c>
    </row>
    <row r="661" spans="1:13" x14ac:dyDescent="0.35">
      <c r="A661" t="s">
        <v>154</v>
      </c>
      <c r="B661" t="s">
        <v>1986</v>
      </c>
      <c r="C661" t="s">
        <v>2177</v>
      </c>
      <c r="D661">
        <v>4.875</v>
      </c>
      <c r="E661" s="1">
        <v>53189</v>
      </c>
      <c r="F661" t="s">
        <v>1988</v>
      </c>
      <c r="G661" t="s">
        <v>2177</v>
      </c>
      <c r="H661" t="s">
        <v>2</v>
      </c>
      <c r="I661" s="1">
        <v>46224</v>
      </c>
      <c r="J661" t="s">
        <v>1991</v>
      </c>
      <c r="K661" t="s">
        <v>3027</v>
      </c>
      <c r="L661" s="1">
        <v>46224.918321759258</v>
      </c>
      <c r="M661" s="1">
        <v>46224.91962439815</v>
      </c>
    </row>
    <row r="662" spans="1:13" x14ac:dyDescent="0.35">
      <c r="A662" t="s">
        <v>154</v>
      </c>
      <c r="B662" t="s">
        <v>1986</v>
      </c>
      <c r="C662" t="s">
        <v>2177</v>
      </c>
      <c r="D662">
        <v>4.875</v>
      </c>
      <c r="E662" s="1">
        <v>53189</v>
      </c>
      <c r="F662" t="s">
        <v>1988</v>
      </c>
      <c r="G662" t="s">
        <v>2177</v>
      </c>
      <c r="H662" t="s">
        <v>2</v>
      </c>
      <c r="I662" s="1">
        <v>46224</v>
      </c>
      <c r="J662" t="s">
        <v>2108</v>
      </c>
      <c r="K662" t="s">
        <v>3325</v>
      </c>
      <c r="L662" s="1">
        <v>46224.917650462965</v>
      </c>
      <c r="M662" s="1">
        <v>46224.91962439815</v>
      </c>
    </row>
    <row r="663" spans="1:13" x14ac:dyDescent="0.35">
      <c r="A663" t="s">
        <v>154</v>
      </c>
      <c r="B663" t="s">
        <v>1986</v>
      </c>
      <c r="C663" t="s">
        <v>2177</v>
      </c>
      <c r="D663">
        <v>4.875</v>
      </c>
      <c r="E663" s="1">
        <v>53189</v>
      </c>
      <c r="F663" t="s">
        <v>1988</v>
      </c>
      <c r="G663" t="s">
        <v>2177</v>
      </c>
      <c r="H663" t="s">
        <v>2</v>
      </c>
      <c r="I663" s="1">
        <v>46224</v>
      </c>
      <c r="J663" t="s">
        <v>2146</v>
      </c>
      <c r="K663" t="s">
        <v>3325</v>
      </c>
      <c r="L663" s="1">
        <v>46224.917650462965</v>
      </c>
      <c r="M663" s="1">
        <v>46224.91962439815</v>
      </c>
    </row>
    <row r="664" spans="1:13" x14ac:dyDescent="0.35">
      <c r="A664" t="s">
        <v>154</v>
      </c>
      <c r="B664" t="s">
        <v>1986</v>
      </c>
      <c r="C664" t="s">
        <v>2177</v>
      </c>
      <c r="D664">
        <v>4.875</v>
      </c>
      <c r="E664" s="1">
        <v>53189</v>
      </c>
      <c r="F664" t="s">
        <v>1988</v>
      </c>
      <c r="G664" t="s">
        <v>2177</v>
      </c>
      <c r="H664" t="s">
        <v>2</v>
      </c>
      <c r="I664" s="1">
        <v>46224</v>
      </c>
      <c r="J664" t="s">
        <v>1989</v>
      </c>
      <c r="K664" t="s">
        <v>3306</v>
      </c>
      <c r="L664" s="1">
        <v>46224.918321759258</v>
      </c>
      <c r="M664" s="1">
        <v>46224.91962439815</v>
      </c>
    </row>
    <row r="665" spans="1:13" x14ac:dyDescent="0.35">
      <c r="A665" t="s">
        <v>154</v>
      </c>
      <c r="B665" t="s">
        <v>1986</v>
      </c>
      <c r="C665" t="s">
        <v>2177</v>
      </c>
      <c r="D665">
        <v>4.875</v>
      </c>
      <c r="E665" s="1">
        <v>53189</v>
      </c>
      <c r="F665" t="s">
        <v>1988</v>
      </c>
      <c r="G665" t="s">
        <v>2177</v>
      </c>
      <c r="H665" t="s">
        <v>2</v>
      </c>
      <c r="I665" s="1">
        <v>46224</v>
      </c>
      <c r="J665" t="s">
        <v>2065</v>
      </c>
      <c r="K665" t="s">
        <v>3219</v>
      </c>
      <c r="L665" s="1">
        <v>46224.917650462965</v>
      </c>
      <c r="M665" s="1">
        <v>46224.91962439815</v>
      </c>
    </row>
    <row r="666" spans="1:13" x14ac:dyDescent="0.35">
      <c r="A666" t="s">
        <v>111</v>
      </c>
      <c r="B666" t="s">
        <v>1986</v>
      </c>
      <c r="C666" t="s">
        <v>2188</v>
      </c>
      <c r="D666">
        <v>4.625</v>
      </c>
      <c r="E666" s="1">
        <v>56933</v>
      </c>
      <c r="F666" t="s">
        <v>1988</v>
      </c>
      <c r="G666" t="s">
        <v>2188</v>
      </c>
      <c r="H666" t="s">
        <v>2</v>
      </c>
      <c r="I666" s="1">
        <v>46224</v>
      </c>
      <c r="J666" t="s">
        <v>1991</v>
      </c>
      <c r="K666" t="s">
        <v>3260</v>
      </c>
      <c r="L666" s="1">
        <v>46224.918321759258</v>
      </c>
      <c r="M666" s="1">
        <v>46224.91962439815</v>
      </c>
    </row>
    <row r="667" spans="1:13" x14ac:dyDescent="0.35">
      <c r="A667" t="s">
        <v>111</v>
      </c>
      <c r="B667" t="s">
        <v>1986</v>
      </c>
      <c r="C667" t="s">
        <v>2188</v>
      </c>
      <c r="D667">
        <v>4.625</v>
      </c>
      <c r="E667" s="1">
        <v>56933</v>
      </c>
      <c r="F667" t="s">
        <v>1988</v>
      </c>
      <c r="G667" t="s">
        <v>2188</v>
      </c>
      <c r="H667" t="s">
        <v>2</v>
      </c>
      <c r="I667" s="1">
        <v>46224</v>
      </c>
      <c r="J667" t="s">
        <v>2146</v>
      </c>
      <c r="K667" t="s">
        <v>3325</v>
      </c>
      <c r="L667" s="1">
        <v>46224.917650462965</v>
      </c>
      <c r="M667" s="1">
        <v>46224.91962439815</v>
      </c>
    </row>
    <row r="668" spans="1:13" x14ac:dyDescent="0.35">
      <c r="A668" t="s">
        <v>111</v>
      </c>
      <c r="B668" t="s">
        <v>1986</v>
      </c>
      <c r="C668" t="s">
        <v>2188</v>
      </c>
      <c r="D668">
        <v>4.625</v>
      </c>
      <c r="E668" s="1">
        <v>56933</v>
      </c>
      <c r="F668" t="s">
        <v>1988</v>
      </c>
      <c r="G668" t="s">
        <v>2188</v>
      </c>
      <c r="H668" t="s">
        <v>2</v>
      </c>
      <c r="I668" s="1">
        <v>46224</v>
      </c>
      <c r="J668" t="s">
        <v>2064</v>
      </c>
      <c r="K668" t="s">
        <v>3237</v>
      </c>
      <c r="L668" s="1">
        <v>46224.917650462965</v>
      </c>
      <c r="M668" s="1">
        <v>46224.91962439815</v>
      </c>
    </row>
    <row r="669" spans="1:13" x14ac:dyDescent="0.35">
      <c r="A669" t="s">
        <v>111</v>
      </c>
      <c r="B669" t="s">
        <v>1986</v>
      </c>
      <c r="C669" t="s">
        <v>2188</v>
      </c>
      <c r="D669">
        <v>4.625</v>
      </c>
      <c r="E669" s="1">
        <v>56933</v>
      </c>
      <c r="F669" t="s">
        <v>1988</v>
      </c>
      <c r="G669" t="s">
        <v>2188</v>
      </c>
      <c r="H669" t="s">
        <v>2</v>
      </c>
      <c r="I669" s="1">
        <v>46224</v>
      </c>
      <c r="J669" t="s">
        <v>2108</v>
      </c>
      <c r="K669" t="s">
        <v>3325</v>
      </c>
      <c r="L669" s="1">
        <v>46224.917650462965</v>
      </c>
      <c r="M669" s="1">
        <v>46224.91962439815</v>
      </c>
    </row>
    <row r="670" spans="1:13" x14ac:dyDescent="0.35">
      <c r="A670" t="s">
        <v>111</v>
      </c>
      <c r="B670" t="s">
        <v>1986</v>
      </c>
      <c r="C670" t="s">
        <v>2188</v>
      </c>
      <c r="D670">
        <v>4.625</v>
      </c>
      <c r="E670" s="1">
        <v>56933</v>
      </c>
      <c r="F670" t="s">
        <v>1988</v>
      </c>
      <c r="G670" t="s">
        <v>2188</v>
      </c>
      <c r="H670" t="s">
        <v>2</v>
      </c>
      <c r="I670" s="1">
        <v>46224</v>
      </c>
      <c r="J670" t="s">
        <v>1989</v>
      </c>
      <c r="K670" t="s">
        <v>3569</v>
      </c>
      <c r="L670" s="1">
        <v>46224.918321759258</v>
      </c>
      <c r="M670" s="1">
        <v>46224.91962439815</v>
      </c>
    </row>
    <row r="671" spans="1:13" x14ac:dyDescent="0.35">
      <c r="A671" t="s">
        <v>111</v>
      </c>
      <c r="B671" t="s">
        <v>1986</v>
      </c>
      <c r="C671" t="s">
        <v>2188</v>
      </c>
      <c r="D671">
        <v>4.625</v>
      </c>
      <c r="E671" s="1">
        <v>56933</v>
      </c>
      <c r="F671" t="s">
        <v>1988</v>
      </c>
      <c r="G671" t="s">
        <v>2188</v>
      </c>
      <c r="H671" t="s">
        <v>2</v>
      </c>
      <c r="I671" s="1">
        <v>46224</v>
      </c>
      <c r="J671" t="s">
        <v>2065</v>
      </c>
      <c r="K671" t="s">
        <v>3237</v>
      </c>
      <c r="L671" s="1">
        <v>46224.917650462965</v>
      </c>
      <c r="M671" s="1">
        <v>46224.91962439815</v>
      </c>
    </row>
    <row r="672" spans="1:13" x14ac:dyDescent="0.35">
      <c r="A672" t="s">
        <v>155</v>
      </c>
      <c r="B672" t="s">
        <v>1986</v>
      </c>
      <c r="C672" t="s">
        <v>2189</v>
      </c>
      <c r="D672">
        <v>4.625</v>
      </c>
      <c r="E672" s="1">
        <v>53281</v>
      </c>
      <c r="F672" t="s">
        <v>1988</v>
      </c>
      <c r="G672" t="s">
        <v>2189</v>
      </c>
      <c r="H672" t="s">
        <v>2</v>
      </c>
      <c r="I672" s="1">
        <v>46224</v>
      </c>
      <c r="J672" t="s">
        <v>1991</v>
      </c>
      <c r="K672" t="s">
        <v>2201</v>
      </c>
      <c r="L672" s="1">
        <v>46224.918321759258</v>
      </c>
      <c r="M672" s="1">
        <v>46224.91962439815</v>
      </c>
    </row>
    <row r="673" spans="1:13" x14ac:dyDescent="0.35">
      <c r="A673" t="s">
        <v>155</v>
      </c>
      <c r="B673" t="s">
        <v>1986</v>
      </c>
      <c r="C673" t="s">
        <v>2189</v>
      </c>
      <c r="D673">
        <v>4.625</v>
      </c>
      <c r="E673" s="1">
        <v>53281</v>
      </c>
      <c r="F673" t="s">
        <v>1988</v>
      </c>
      <c r="G673" t="s">
        <v>2189</v>
      </c>
      <c r="H673" t="s">
        <v>2</v>
      </c>
      <c r="I673" s="1">
        <v>46224</v>
      </c>
      <c r="J673" t="s">
        <v>2108</v>
      </c>
      <c r="K673" t="s">
        <v>3220</v>
      </c>
      <c r="L673" s="1">
        <v>46224.917650462965</v>
      </c>
      <c r="M673" s="1">
        <v>46224.91962439815</v>
      </c>
    </row>
    <row r="674" spans="1:13" x14ac:dyDescent="0.35">
      <c r="A674" t="s">
        <v>155</v>
      </c>
      <c r="B674" t="s">
        <v>1986</v>
      </c>
      <c r="C674" t="s">
        <v>2189</v>
      </c>
      <c r="D674">
        <v>4.625</v>
      </c>
      <c r="E674" s="1">
        <v>53281</v>
      </c>
      <c r="F674" t="s">
        <v>1988</v>
      </c>
      <c r="G674" t="s">
        <v>2189</v>
      </c>
      <c r="H674" t="s">
        <v>2</v>
      </c>
      <c r="I674" s="1">
        <v>46224</v>
      </c>
      <c r="J674" t="s">
        <v>2146</v>
      </c>
      <c r="K674" t="s">
        <v>3220</v>
      </c>
      <c r="L674" s="1">
        <v>46224.917650462965</v>
      </c>
      <c r="M674" s="1">
        <v>46224.91962439815</v>
      </c>
    </row>
    <row r="675" spans="1:13" x14ac:dyDescent="0.35">
      <c r="A675" t="s">
        <v>155</v>
      </c>
      <c r="B675" t="s">
        <v>1986</v>
      </c>
      <c r="C675" t="s">
        <v>2189</v>
      </c>
      <c r="D675">
        <v>4.625</v>
      </c>
      <c r="E675" s="1">
        <v>53281</v>
      </c>
      <c r="F675" t="s">
        <v>1988</v>
      </c>
      <c r="G675" t="s">
        <v>2189</v>
      </c>
      <c r="H675" t="s">
        <v>2</v>
      </c>
      <c r="I675" s="1">
        <v>46224</v>
      </c>
      <c r="J675" t="s">
        <v>2065</v>
      </c>
      <c r="K675" t="s">
        <v>3236</v>
      </c>
      <c r="L675" s="1">
        <v>46224.917650462965</v>
      </c>
      <c r="M675" s="1">
        <v>46224.91962439815</v>
      </c>
    </row>
    <row r="676" spans="1:13" x14ac:dyDescent="0.35">
      <c r="A676" t="s">
        <v>155</v>
      </c>
      <c r="B676" t="s">
        <v>1986</v>
      </c>
      <c r="C676" t="s">
        <v>2189</v>
      </c>
      <c r="D676">
        <v>4.625</v>
      </c>
      <c r="E676" s="1">
        <v>53281</v>
      </c>
      <c r="F676" t="s">
        <v>1988</v>
      </c>
      <c r="G676" t="s">
        <v>2189</v>
      </c>
      <c r="H676" t="s">
        <v>2</v>
      </c>
      <c r="I676" s="1">
        <v>46224</v>
      </c>
      <c r="J676" t="s">
        <v>2064</v>
      </c>
      <c r="K676" t="s">
        <v>3236</v>
      </c>
      <c r="L676" s="1">
        <v>46224.917650462965</v>
      </c>
      <c r="M676" s="1">
        <v>46224.91962439815</v>
      </c>
    </row>
    <row r="677" spans="1:13" x14ac:dyDescent="0.35">
      <c r="A677" t="s">
        <v>155</v>
      </c>
      <c r="B677" t="s">
        <v>1986</v>
      </c>
      <c r="C677" t="s">
        <v>2189</v>
      </c>
      <c r="D677">
        <v>4.625</v>
      </c>
      <c r="E677" s="1">
        <v>53281</v>
      </c>
      <c r="F677" t="s">
        <v>1988</v>
      </c>
      <c r="G677" t="s">
        <v>2189</v>
      </c>
      <c r="H677" t="s">
        <v>2</v>
      </c>
      <c r="I677" s="1">
        <v>46224</v>
      </c>
      <c r="J677" t="s">
        <v>1989</v>
      </c>
      <c r="K677" t="s">
        <v>3570</v>
      </c>
      <c r="L677" s="1">
        <v>46224.918321759258</v>
      </c>
      <c r="M677" s="1">
        <v>46224.91962439815</v>
      </c>
    </row>
    <row r="678" spans="1:13" x14ac:dyDescent="0.35">
      <c r="A678" t="s">
        <v>112</v>
      </c>
      <c r="B678" t="s">
        <v>1986</v>
      </c>
      <c r="C678" t="s">
        <v>2202</v>
      </c>
      <c r="D678">
        <v>4.75</v>
      </c>
      <c r="E678" s="1">
        <v>57025</v>
      </c>
      <c r="F678" t="s">
        <v>1988</v>
      </c>
      <c r="G678" t="s">
        <v>2202</v>
      </c>
      <c r="H678" t="s">
        <v>2</v>
      </c>
      <c r="I678" s="1">
        <v>46224</v>
      </c>
      <c r="J678" t="s">
        <v>2064</v>
      </c>
      <c r="K678" t="s">
        <v>3238</v>
      </c>
      <c r="L678" s="1">
        <v>46224.917650462965</v>
      </c>
      <c r="M678" s="1">
        <v>46224.91962439815</v>
      </c>
    </row>
    <row r="679" spans="1:13" x14ac:dyDescent="0.35">
      <c r="A679" t="s">
        <v>112</v>
      </c>
      <c r="B679" t="s">
        <v>1986</v>
      </c>
      <c r="C679" t="s">
        <v>2202</v>
      </c>
      <c r="D679">
        <v>4.75</v>
      </c>
      <c r="E679" s="1">
        <v>57025</v>
      </c>
      <c r="F679" t="s">
        <v>1988</v>
      </c>
      <c r="G679" t="s">
        <v>2202</v>
      </c>
      <c r="H679" t="s">
        <v>2</v>
      </c>
      <c r="I679" s="1">
        <v>46224</v>
      </c>
      <c r="J679" t="s">
        <v>2065</v>
      </c>
      <c r="K679" t="s">
        <v>3238</v>
      </c>
      <c r="L679" s="1">
        <v>46224.917650462965</v>
      </c>
      <c r="M679" s="1">
        <v>46224.91962439815</v>
      </c>
    </row>
    <row r="680" spans="1:13" x14ac:dyDescent="0.35">
      <c r="A680" t="s">
        <v>112</v>
      </c>
      <c r="B680" t="s">
        <v>1986</v>
      </c>
      <c r="C680" t="s">
        <v>2202</v>
      </c>
      <c r="D680">
        <v>4.75</v>
      </c>
      <c r="E680" s="1">
        <v>57025</v>
      </c>
      <c r="F680" t="s">
        <v>1988</v>
      </c>
      <c r="G680" t="s">
        <v>2202</v>
      </c>
      <c r="H680" t="s">
        <v>2</v>
      </c>
      <c r="I680" s="1">
        <v>46224</v>
      </c>
      <c r="J680" t="s">
        <v>1989</v>
      </c>
      <c r="K680" t="s">
        <v>3418</v>
      </c>
      <c r="L680" s="1">
        <v>46224.918321759258</v>
      </c>
      <c r="M680" s="1">
        <v>46224.91962439815</v>
      </c>
    </row>
    <row r="681" spans="1:13" x14ac:dyDescent="0.35">
      <c r="A681" t="s">
        <v>112</v>
      </c>
      <c r="B681" t="s">
        <v>1986</v>
      </c>
      <c r="C681" t="s">
        <v>2202</v>
      </c>
      <c r="D681">
        <v>4.75</v>
      </c>
      <c r="E681" s="1">
        <v>57025</v>
      </c>
      <c r="F681" t="s">
        <v>1988</v>
      </c>
      <c r="G681" t="s">
        <v>2202</v>
      </c>
      <c r="H681" t="s">
        <v>2</v>
      </c>
      <c r="I681" s="1">
        <v>46224</v>
      </c>
      <c r="J681" t="s">
        <v>2108</v>
      </c>
      <c r="K681" t="s">
        <v>3417</v>
      </c>
      <c r="L681" s="1">
        <v>46224.917650462965</v>
      </c>
      <c r="M681" s="1">
        <v>46224.91962439815</v>
      </c>
    </row>
    <row r="682" spans="1:13" x14ac:dyDescent="0.35">
      <c r="A682" t="s">
        <v>112</v>
      </c>
      <c r="B682" t="s">
        <v>1986</v>
      </c>
      <c r="C682" t="s">
        <v>2202</v>
      </c>
      <c r="D682">
        <v>4.75</v>
      </c>
      <c r="E682" s="1">
        <v>57025</v>
      </c>
      <c r="F682" t="s">
        <v>1988</v>
      </c>
      <c r="G682" t="s">
        <v>2202</v>
      </c>
      <c r="H682" t="s">
        <v>2</v>
      </c>
      <c r="I682" s="1">
        <v>46224</v>
      </c>
      <c r="J682" t="s">
        <v>1991</v>
      </c>
      <c r="K682" t="s">
        <v>3571</v>
      </c>
      <c r="L682" s="1">
        <v>46224.918321759258</v>
      </c>
      <c r="M682" s="1">
        <v>46224.91962439815</v>
      </c>
    </row>
    <row r="683" spans="1:13" x14ac:dyDescent="0.35">
      <c r="A683" t="s">
        <v>112</v>
      </c>
      <c r="B683" t="s">
        <v>1986</v>
      </c>
      <c r="C683" t="s">
        <v>2202</v>
      </c>
      <c r="D683">
        <v>4.75</v>
      </c>
      <c r="E683" s="1">
        <v>57025</v>
      </c>
      <c r="F683" t="s">
        <v>1988</v>
      </c>
      <c r="G683" t="s">
        <v>2202</v>
      </c>
      <c r="H683" t="s">
        <v>2</v>
      </c>
      <c r="I683" s="1">
        <v>46224</v>
      </c>
      <c r="J683" t="s">
        <v>2146</v>
      </c>
      <c r="K683" t="s">
        <v>3417</v>
      </c>
      <c r="L683" s="1">
        <v>46224.917650462965</v>
      </c>
      <c r="M683" s="1">
        <v>46224.91962439815</v>
      </c>
    </row>
    <row r="684" spans="1:13" x14ac:dyDescent="0.35">
      <c r="A684" t="s">
        <v>220</v>
      </c>
      <c r="B684" t="s">
        <v>1986</v>
      </c>
      <c r="C684" t="s">
        <v>2225</v>
      </c>
      <c r="D684">
        <v>2.375</v>
      </c>
      <c r="E684" s="1">
        <v>57025</v>
      </c>
      <c r="F684" t="s">
        <v>2014</v>
      </c>
      <c r="G684" t="s">
        <v>2225</v>
      </c>
      <c r="H684" t="s">
        <v>2</v>
      </c>
      <c r="I684" s="1">
        <v>46224</v>
      </c>
      <c r="J684" t="s">
        <v>1989</v>
      </c>
      <c r="K684" t="s">
        <v>3419</v>
      </c>
      <c r="L684" s="1">
        <v>46224.918321759258</v>
      </c>
      <c r="M684" s="1">
        <v>46224.91962439815</v>
      </c>
    </row>
    <row r="685" spans="1:13" x14ac:dyDescent="0.35">
      <c r="A685" t="s">
        <v>220</v>
      </c>
      <c r="B685" t="s">
        <v>1986</v>
      </c>
      <c r="C685" t="s">
        <v>2225</v>
      </c>
      <c r="D685">
        <v>2.375</v>
      </c>
      <c r="E685" s="1">
        <v>57025</v>
      </c>
      <c r="F685" t="s">
        <v>2014</v>
      </c>
      <c r="G685" t="s">
        <v>2225</v>
      </c>
      <c r="H685" t="s">
        <v>2</v>
      </c>
      <c r="I685" s="1">
        <v>46224</v>
      </c>
      <c r="J685" t="s">
        <v>1991</v>
      </c>
      <c r="K685" t="s">
        <v>3572</v>
      </c>
      <c r="L685" s="1">
        <v>46224.918321759258</v>
      </c>
      <c r="M685" s="1">
        <v>46224.91962439815</v>
      </c>
    </row>
    <row r="686" spans="1:13" x14ac:dyDescent="0.35">
      <c r="A686" t="s">
        <v>113</v>
      </c>
      <c r="B686" t="s">
        <v>1986</v>
      </c>
      <c r="C686" t="s">
        <v>2203</v>
      </c>
      <c r="D686">
        <v>4.625</v>
      </c>
      <c r="E686" s="1">
        <v>53373</v>
      </c>
      <c r="F686" t="s">
        <v>1988</v>
      </c>
      <c r="G686" t="s">
        <v>2203</v>
      </c>
      <c r="H686" t="s">
        <v>2</v>
      </c>
      <c r="I686" s="1">
        <v>46224</v>
      </c>
      <c r="J686" t="s">
        <v>2064</v>
      </c>
      <c r="K686" t="s">
        <v>3326</v>
      </c>
      <c r="L686" s="1">
        <v>46224.917650462965</v>
      </c>
      <c r="M686" s="1">
        <v>46224.91962439815</v>
      </c>
    </row>
    <row r="687" spans="1:13" x14ac:dyDescent="0.35">
      <c r="A687" t="s">
        <v>113</v>
      </c>
      <c r="B687" t="s">
        <v>1986</v>
      </c>
      <c r="C687" t="s">
        <v>2203</v>
      </c>
      <c r="D687">
        <v>4.625</v>
      </c>
      <c r="E687" s="1">
        <v>53373</v>
      </c>
      <c r="F687" t="s">
        <v>1988</v>
      </c>
      <c r="G687" t="s">
        <v>2203</v>
      </c>
      <c r="H687" t="s">
        <v>2</v>
      </c>
      <c r="I687" s="1">
        <v>46224</v>
      </c>
      <c r="J687" t="s">
        <v>2146</v>
      </c>
      <c r="K687" t="s">
        <v>3327</v>
      </c>
      <c r="L687" s="1">
        <v>46224.917650462965</v>
      </c>
      <c r="M687" s="1">
        <v>46224.91962439815</v>
      </c>
    </row>
    <row r="688" spans="1:13" x14ac:dyDescent="0.35">
      <c r="A688" t="s">
        <v>113</v>
      </c>
      <c r="B688" t="s">
        <v>1986</v>
      </c>
      <c r="C688" t="s">
        <v>2203</v>
      </c>
      <c r="D688">
        <v>4.625</v>
      </c>
      <c r="E688" s="1">
        <v>53373</v>
      </c>
      <c r="F688" t="s">
        <v>1988</v>
      </c>
      <c r="G688" t="s">
        <v>2203</v>
      </c>
      <c r="H688" t="s">
        <v>2</v>
      </c>
      <c r="I688" s="1">
        <v>46224</v>
      </c>
      <c r="J688" t="s">
        <v>1989</v>
      </c>
      <c r="K688" t="s">
        <v>3239</v>
      </c>
      <c r="L688" s="1">
        <v>46224.918321759258</v>
      </c>
      <c r="M688" s="1">
        <v>46224.91962439815</v>
      </c>
    </row>
    <row r="689" spans="1:13" x14ac:dyDescent="0.35">
      <c r="A689" t="s">
        <v>113</v>
      </c>
      <c r="B689" t="s">
        <v>1986</v>
      </c>
      <c r="C689" t="s">
        <v>2203</v>
      </c>
      <c r="D689">
        <v>4.625</v>
      </c>
      <c r="E689" s="1">
        <v>53373</v>
      </c>
      <c r="F689" t="s">
        <v>1988</v>
      </c>
      <c r="G689" t="s">
        <v>2203</v>
      </c>
      <c r="H689" t="s">
        <v>2</v>
      </c>
      <c r="I689" s="1">
        <v>46224</v>
      </c>
      <c r="J689" t="s">
        <v>2108</v>
      </c>
      <c r="K689" t="s">
        <v>3327</v>
      </c>
      <c r="L689" s="1">
        <v>46224.917650462965</v>
      </c>
      <c r="M689" s="1">
        <v>46224.91962439815</v>
      </c>
    </row>
    <row r="690" spans="1:13" x14ac:dyDescent="0.35">
      <c r="A690" t="s">
        <v>113</v>
      </c>
      <c r="B690" t="s">
        <v>1986</v>
      </c>
      <c r="C690" t="s">
        <v>2203</v>
      </c>
      <c r="D690">
        <v>4.625</v>
      </c>
      <c r="E690" s="1">
        <v>53373</v>
      </c>
      <c r="F690" t="s">
        <v>1988</v>
      </c>
      <c r="G690" t="s">
        <v>2203</v>
      </c>
      <c r="H690" t="s">
        <v>2</v>
      </c>
      <c r="I690" s="1">
        <v>46224</v>
      </c>
      <c r="J690" t="s">
        <v>1991</v>
      </c>
      <c r="K690" t="s">
        <v>4106</v>
      </c>
      <c r="L690" s="1">
        <v>46224.918321759258</v>
      </c>
      <c r="M690" s="1">
        <v>46224.91962439815</v>
      </c>
    </row>
    <row r="691" spans="1:13" x14ac:dyDescent="0.35">
      <c r="A691" t="s">
        <v>113</v>
      </c>
      <c r="B691" t="s">
        <v>1986</v>
      </c>
      <c r="C691" t="s">
        <v>2203</v>
      </c>
      <c r="D691">
        <v>4.625</v>
      </c>
      <c r="E691" s="1">
        <v>53373</v>
      </c>
      <c r="F691" t="s">
        <v>1988</v>
      </c>
      <c r="G691" t="s">
        <v>2203</v>
      </c>
      <c r="H691" t="s">
        <v>2</v>
      </c>
      <c r="I691" s="1">
        <v>46224</v>
      </c>
      <c r="J691" t="s">
        <v>2065</v>
      </c>
      <c r="K691" t="s">
        <v>3326</v>
      </c>
      <c r="L691" s="1">
        <v>46224.917650462965</v>
      </c>
      <c r="M691" s="1">
        <v>46224.91962439815</v>
      </c>
    </row>
    <row r="692" spans="1:13" x14ac:dyDescent="0.35">
      <c r="A692" t="s">
        <v>1658</v>
      </c>
      <c r="B692" t="s">
        <v>1986</v>
      </c>
      <c r="C692" t="s">
        <v>2190</v>
      </c>
      <c r="D692">
        <v>5</v>
      </c>
      <c r="E692" s="1">
        <v>57115</v>
      </c>
      <c r="F692" t="s">
        <v>1988</v>
      </c>
      <c r="G692" t="s">
        <v>2190</v>
      </c>
      <c r="H692" t="s">
        <v>2</v>
      </c>
      <c r="I692" s="1">
        <v>46224</v>
      </c>
      <c r="J692" t="s">
        <v>2108</v>
      </c>
      <c r="K692" t="s">
        <v>3261</v>
      </c>
      <c r="L692" s="1">
        <v>46224.917650462965</v>
      </c>
      <c r="M692" s="1">
        <v>46224.91962439815</v>
      </c>
    </row>
    <row r="693" spans="1:13" x14ac:dyDescent="0.35">
      <c r="A693" t="s">
        <v>1658</v>
      </c>
      <c r="B693" t="s">
        <v>1986</v>
      </c>
      <c r="C693" t="s">
        <v>2190</v>
      </c>
      <c r="D693">
        <v>5</v>
      </c>
      <c r="E693" s="1">
        <v>57115</v>
      </c>
      <c r="F693" t="s">
        <v>1988</v>
      </c>
      <c r="G693" t="s">
        <v>2190</v>
      </c>
      <c r="H693" t="s">
        <v>2</v>
      </c>
      <c r="I693" s="1">
        <v>46224</v>
      </c>
      <c r="J693" t="s">
        <v>2065</v>
      </c>
      <c r="K693" t="s">
        <v>3240</v>
      </c>
      <c r="L693" s="1">
        <v>46224.917650462965</v>
      </c>
      <c r="M693" s="1">
        <v>46224.91962439815</v>
      </c>
    </row>
    <row r="694" spans="1:13" x14ac:dyDescent="0.35">
      <c r="A694" t="s">
        <v>1658</v>
      </c>
      <c r="B694" t="s">
        <v>1986</v>
      </c>
      <c r="C694" t="s">
        <v>2190</v>
      </c>
      <c r="D694">
        <v>5</v>
      </c>
      <c r="E694" s="1">
        <v>57115</v>
      </c>
      <c r="F694" t="s">
        <v>1988</v>
      </c>
      <c r="G694" t="s">
        <v>2190</v>
      </c>
      <c r="H694" t="s">
        <v>2</v>
      </c>
      <c r="I694" s="1">
        <v>46224</v>
      </c>
      <c r="J694" t="s">
        <v>1991</v>
      </c>
      <c r="K694" t="s">
        <v>3999</v>
      </c>
      <c r="L694" s="1">
        <v>46224.918321759258</v>
      </c>
      <c r="M694" s="1">
        <v>46224.91962439815</v>
      </c>
    </row>
    <row r="695" spans="1:13" x14ac:dyDescent="0.35">
      <c r="A695" t="s">
        <v>1658</v>
      </c>
      <c r="B695" t="s">
        <v>1986</v>
      </c>
      <c r="C695" t="s">
        <v>2190</v>
      </c>
      <c r="D695">
        <v>5</v>
      </c>
      <c r="E695" s="1">
        <v>57115</v>
      </c>
      <c r="F695" t="s">
        <v>1988</v>
      </c>
      <c r="G695" t="s">
        <v>2190</v>
      </c>
      <c r="H695" t="s">
        <v>2</v>
      </c>
      <c r="I695" s="1">
        <v>46224</v>
      </c>
      <c r="J695" t="s">
        <v>2064</v>
      </c>
      <c r="K695" t="s">
        <v>3240</v>
      </c>
      <c r="L695" s="1">
        <v>46224.917650462965</v>
      </c>
      <c r="M695" s="1">
        <v>46224.91962439815</v>
      </c>
    </row>
    <row r="696" spans="1:13" x14ac:dyDescent="0.35">
      <c r="A696" t="s">
        <v>1658</v>
      </c>
      <c r="B696" t="s">
        <v>1986</v>
      </c>
      <c r="C696" t="s">
        <v>2190</v>
      </c>
      <c r="D696">
        <v>5</v>
      </c>
      <c r="E696" s="1">
        <v>57115</v>
      </c>
      <c r="F696" t="s">
        <v>1988</v>
      </c>
      <c r="G696" t="s">
        <v>2190</v>
      </c>
      <c r="H696" t="s">
        <v>2</v>
      </c>
      <c r="I696" s="1">
        <v>46224</v>
      </c>
      <c r="J696" t="s">
        <v>2146</v>
      </c>
      <c r="K696" t="s">
        <v>3261</v>
      </c>
      <c r="L696" s="1">
        <v>46224.917650462965</v>
      </c>
      <c r="M696" s="1">
        <v>46224.91962439815</v>
      </c>
    </row>
    <row r="697" spans="1:13" x14ac:dyDescent="0.35">
      <c r="A697" t="s">
        <v>1658</v>
      </c>
      <c r="B697" t="s">
        <v>1986</v>
      </c>
      <c r="C697" t="s">
        <v>2190</v>
      </c>
      <c r="D697">
        <v>5</v>
      </c>
      <c r="E697" s="1">
        <v>57115</v>
      </c>
      <c r="F697" t="s">
        <v>1988</v>
      </c>
      <c r="G697" t="s">
        <v>2190</v>
      </c>
      <c r="H697" t="s">
        <v>2</v>
      </c>
      <c r="I697" s="1">
        <v>46224</v>
      </c>
      <c r="J697" t="s">
        <v>1989</v>
      </c>
      <c r="K697" t="s">
        <v>3711</v>
      </c>
      <c r="L697" s="1">
        <v>46224.918321759258</v>
      </c>
      <c r="M697" s="1">
        <v>46224.91962439815</v>
      </c>
    </row>
    <row r="698" spans="1:13" x14ac:dyDescent="0.35">
      <c r="A698" t="s">
        <v>1664</v>
      </c>
      <c r="B698" t="s">
        <v>1986</v>
      </c>
      <c r="C698" t="s">
        <v>2191</v>
      </c>
      <c r="D698">
        <v>5</v>
      </c>
      <c r="E698" s="1">
        <v>53462</v>
      </c>
      <c r="F698" t="s">
        <v>1988</v>
      </c>
      <c r="G698" t="s">
        <v>2191</v>
      </c>
      <c r="H698" t="s">
        <v>2</v>
      </c>
      <c r="I698" s="1">
        <v>46224</v>
      </c>
      <c r="J698" t="s">
        <v>1989</v>
      </c>
      <c r="K698" t="s">
        <v>2789</v>
      </c>
      <c r="L698" s="1">
        <v>46224.918321759258</v>
      </c>
      <c r="M698" s="1">
        <v>46224.91962439815</v>
      </c>
    </row>
    <row r="699" spans="1:13" x14ac:dyDescent="0.35">
      <c r="A699" t="s">
        <v>1664</v>
      </c>
      <c r="B699" t="s">
        <v>1986</v>
      </c>
      <c r="C699" t="s">
        <v>2191</v>
      </c>
      <c r="D699">
        <v>5</v>
      </c>
      <c r="E699" s="1">
        <v>53462</v>
      </c>
      <c r="F699" t="s">
        <v>1988</v>
      </c>
      <c r="G699" t="s">
        <v>2191</v>
      </c>
      <c r="H699" t="s">
        <v>2</v>
      </c>
      <c r="I699" s="1">
        <v>46224</v>
      </c>
      <c r="J699" t="s">
        <v>1991</v>
      </c>
      <c r="K699" t="s">
        <v>3349</v>
      </c>
      <c r="L699" s="1">
        <v>46224.918321759258</v>
      </c>
      <c r="M699" s="1">
        <v>46224.91962439815</v>
      </c>
    </row>
    <row r="700" spans="1:13" x14ac:dyDescent="0.35">
      <c r="A700" t="s">
        <v>1664</v>
      </c>
      <c r="B700" t="s">
        <v>1986</v>
      </c>
      <c r="C700" t="s">
        <v>2191</v>
      </c>
      <c r="D700">
        <v>5</v>
      </c>
      <c r="E700" s="1">
        <v>53462</v>
      </c>
      <c r="F700" t="s">
        <v>1988</v>
      </c>
      <c r="G700" t="s">
        <v>2191</v>
      </c>
      <c r="H700" t="s">
        <v>2</v>
      </c>
      <c r="I700" s="1">
        <v>46224</v>
      </c>
      <c r="J700" t="s">
        <v>2108</v>
      </c>
      <c r="K700" t="s">
        <v>3241</v>
      </c>
      <c r="L700" s="1">
        <v>46224.917650462965</v>
      </c>
      <c r="M700" s="1">
        <v>46224.91962439815</v>
      </c>
    </row>
    <row r="701" spans="1:13" x14ac:dyDescent="0.35">
      <c r="A701" t="s">
        <v>1664</v>
      </c>
      <c r="B701" t="s">
        <v>1986</v>
      </c>
      <c r="C701" t="s">
        <v>2191</v>
      </c>
      <c r="D701">
        <v>5</v>
      </c>
      <c r="E701" s="1">
        <v>53462</v>
      </c>
      <c r="F701" t="s">
        <v>1988</v>
      </c>
      <c r="G701" t="s">
        <v>2191</v>
      </c>
      <c r="H701" t="s">
        <v>2</v>
      </c>
      <c r="I701" s="1">
        <v>46224</v>
      </c>
      <c r="J701" t="s">
        <v>2065</v>
      </c>
      <c r="K701" t="s">
        <v>3242</v>
      </c>
      <c r="L701" s="1">
        <v>46224.917650462965</v>
      </c>
      <c r="M701" s="1">
        <v>46224.91962439815</v>
      </c>
    </row>
    <row r="702" spans="1:13" x14ac:dyDescent="0.35">
      <c r="A702" t="s">
        <v>1664</v>
      </c>
      <c r="B702" t="s">
        <v>1986</v>
      </c>
      <c r="C702" t="s">
        <v>2191</v>
      </c>
      <c r="D702">
        <v>5</v>
      </c>
      <c r="E702" s="1">
        <v>53462</v>
      </c>
      <c r="F702" t="s">
        <v>1988</v>
      </c>
      <c r="G702" t="s">
        <v>2191</v>
      </c>
      <c r="H702" t="s">
        <v>2</v>
      </c>
      <c r="I702" s="1">
        <v>46224</v>
      </c>
      <c r="J702" t="s">
        <v>2064</v>
      </c>
      <c r="K702" t="s">
        <v>3242</v>
      </c>
      <c r="L702" s="1">
        <v>46224.917650462965</v>
      </c>
      <c r="M702" s="1">
        <v>46224.91962439815</v>
      </c>
    </row>
    <row r="703" spans="1:13" x14ac:dyDescent="0.35">
      <c r="A703" t="s">
        <v>1664</v>
      </c>
      <c r="B703" t="s">
        <v>1986</v>
      </c>
      <c r="C703" t="s">
        <v>2191</v>
      </c>
      <c r="D703">
        <v>5</v>
      </c>
      <c r="E703" s="1">
        <v>53462</v>
      </c>
      <c r="F703" t="s">
        <v>1988</v>
      </c>
      <c r="G703" t="s">
        <v>2191</v>
      </c>
      <c r="H703" t="s">
        <v>2</v>
      </c>
      <c r="I703" s="1">
        <v>46224</v>
      </c>
      <c r="J703" t="s">
        <v>2146</v>
      </c>
      <c r="K703" t="s">
        <v>3241</v>
      </c>
      <c r="L703" s="1">
        <v>46224.917650462965</v>
      </c>
      <c r="M703" s="1">
        <v>46224.91962439815</v>
      </c>
    </row>
    <row r="704" spans="1:13" x14ac:dyDescent="0.35">
      <c r="A704" t="s">
        <v>273</v>
      </c>
      <c r="B704" t="s">
        <v>1986</v>
      </c>
      <c r="C704" t="s">
        <v>2262</v>
      </c>
      <c r="D704">
        <v>0</v>
      </c>
      <c r="E704" s="1">
        <v>46798</v>
      </c>
      <c r="F704" t="s">
        <v>1988</v>
      </c>
      <c r="G704" t="s">
        <v>2262</v>
      </c>
      <c r="H704" t="s">
        <v>2</v>
      </c>
      <c r="I704" s="1">
        <v>46224</v>
      </c>
      <c r="J704" t="s">
        <v>1989</v>
      </c>
      <c r="K704" t="s">
        <v>3328</v>
      </c>
      <c r="L704" s="1">
        <v>46224.918321759258</v>
      </c>
      <c r="M704" s="1">
        <v>46224.91962439815</v>
      </c>
    </row>
    <row r="705" spans="1:13" x14ac:dyDescent="0.35">
      <c r="A705" t="s">
        <v>273</v>
      </c>
      <c r="B705" t="s">
        <v>1986</v>
      </c>
      <c r="C705" t="s">
        <v>2262</v>
      </c>
      <c r="D705">
        <v>0</v>
      </c>
      <c r="E705" s="1">
        <v>46798</v>
      </c>
      <c r="F705" t="s">
        <v>1988</v>
      </c>
      <c r="G705" t="s">
        <v>2262</v>
      </c>
      <c r="H705" t="s">
        <v>2</v>
      </c>
      <c r="I705" s="1">
        <v>46224</v>
      </c>
      <c r="J705" t="s">
        <v>1991</v>
      </c>
      <c r="K705" t="s">
        <v>3243</v>
      </c>
      <c r="L705" s="1">
        <v>46224.918321759258</v>
      </c>
      <c r="M705" s="1">
        <v>46224.91962439815</v>
      </c>
    </row>
    <row r="706" spans="1:13" x14ac:dyDescent="0.35">
      <c r="A706" t="s">
        <v>156</v>
      </c>
      <c r="B706" t="s">
        <v>1986</v>
      </c>
      <c r="C706" t="s">
        <v>2227</v>
      </c>
      <c r="D706">
        <v>0</v>
      </c>
      <c r="E706" s="1">
        <v>46888</v>
      </c>
      <c r="F706" t="s">
        <v>1988</v>
      </c>
      <c r="G706" t="s">
        <v>2227</v>
      </c>
      <c r="H706" t="s">
        <v>2</v>
      </c>
      <c r="I706" s="1">
        <v>46224</v>
      </c>
      <c r="J706" t="s">
        <v>1989</v>
      </c>
      <c r="K706" t="s">
        <v>3499</v>
      </c>
      <c r="L706" s="1">
        <v>46224.918321759258</v>
      </c>
      <c r="M706" s="1">
        <v>46224.91962439815</v>
      </c>
    </row>
    <row r="707" spans="1:13" x14ac:dyDescent="0.35">
      <c r="A707" t="s">
        <v>156</v>
      </c>
      <c r="B707" t="s">
        <v>1986</v>
      </c>
      <c r="C707" t="s">
        <v>2227</v>
      </c>
      <c r="D707">
        <v>0</v>
      </c>
      <c r="E707" s="1">
        <v>46888</v>
      </c>
      <c r="F707" t="s">
        <v>1988</v>
      </c>
      <c r="G707" t="s">
        <v>2227</v>
      </c>
      <c r="H707" t="s">
        <v>2</v>
      </c>
      <c r="I707" s="1">
        <v>46224</v>
      </c>
      <c r="J707" t="s">
        <v>1991</v>
      </c>
      <c r="K707" t="s">
        <v>3500</v>
      </c>
      <c r="L707" s="1">
        <v>46224.918321759258</v>
      </c>
      <c r="M707" s="1">
        <v>46224.91962439815</v>
      </c>
    </row>
    <row r="708" spans="1:13" x14ac:dyDescent="0.35">
      <c r="A708" t="s">
        <v>235</v>
      </c>
      <c r="B708" t="s">
        <v>1986</v>
      </c>
      <c r="C708" t="s">
        <v>2283</v>
      </c>
      <c r="D708">
        <v>0</v>
      </c>
      <c r="E708" s="1">
        <v>46522</v>
      </c>
      <c r="F708" t="s">
        <v>1988</v>
      </c>
      <c r="G708" t="s">
        <v>2283</v>
      </c>
      <c r="H708" t="s">
        <v>2</v>
      </c>
      <c r="I708" s="1">
        <v>46224</v>
      </c>
      <c r="J708" t="s">
        <v>1991</v>
      </c>
      <c r="K708" t="s">
        <v>3329</v>
      </c>
      <c r="L708" s="1">
        <v>46224.918321759258</v>
      </c>
      <c r="M708" s="1">
        <v>46224.91962439815</v>
      </c>
    </row>
    <row r="709" spans="1:13" x14ac:dyDescent="0.35">
      <c r="A709" t="s">
        <v>235</v>
      </c>
      <c r="B709" t="s">
        <v>1986</v>
      </c>
      <c r="C709" t="s">
        <v>2283</v>
      </c>
      <c r="D709">
        <v>0</v>
      </c>
      <c r="E709" s="1">
        <v>46522</v>
      </c>
      <c r="F709" t="s">
        <v>1988</v>
      </c>
      <c r="G709" t="s">
        <v>2283</v>
      </c>
      <c r="H709" t="s">
        <v>2</v>
      </c>
      <c r="I709" s="1">
        <v>46224</v>
      </c>
      <c r="J709" t="s">
        <v>1989</v>
      </c>
      <c r="K709" t="s">
        <v>3537</v>
      </c>
      <c r="L709" s="1">
        <v>46224.918321759258</v>
      </c>
      <c r="M709" s="1">
        <v>46224.91962439815</v>
      </c>
    </row>
    <row r="710" spans="1:13" x14ac:dyDescent="0.35">
      <c r="A710" t="s">
        <v>269</v>
      </c>
      <c r="B710" t="s">
        <v>1986</v>
      </c>
      <c r="C710" t="s">
        <v>2813</v>
      </c>
      <c r="D710">
        <v>0</v>
      </c>
      <c r="E710" s="1">
        <v>47253</v>
      </c>
      <c r="F710" t="s">
        <v>1988</v>
      </c>
      <c r="G710" t="s">
        <v>2813</v>
      </c>
      <c r="H710" t="s">
        <v>2</v>
      </c>
      <c r="I710" s="1">
        <v>46224</v>
      </c>
      <c r="J710" t="s">
        <v>1991</v>
      </c>
      <c r="K710" t="s">
        <v>3501</v>
      </c>
      <c r="L710" s="1">
        <v>46224.918321759258</v>
      </c>
      <c r="M710" s="1">
        <v>46224.91962439815</v>
      </c>
    </row>
    <row r="711" spans="1:13" x14ac:dyDescent="0.35">
      <c r="A711" t="s">
        <v>269</v>
      </c>
      <c r="B711" t="s">
        <v>1986</v>
      </c>
      <c r="C711" t="s">
        <v>2813</v>
      </c>
      <c r="D711">
        <v>0</v>
      </c>
      <c r="E711" s="1">
        <v>47253</v>
      </c>
      <c r="F711" t="s">
        <v>1988</v>
      </c>
      <c r="G711" t="s">
        <v>2813</v>
      </c>
      <c r="H711" t="s">
        <v>2</v>
      </c>
      <c r="I711" s="1">
        <v>46224</v>
      </c>
      <c r="J711" t="s">
        <v>1989</v>
      </c>
      <c r="K711" t="s">
        <v>3244</v>
      </c>
      <c r="L711" s="1">
        <v>46224.918321759258</v>
      </c>
      <c r="M711" s="1">
        <v>46224.91962439815</v>
      </c>
    </row>
    <row r="712" spans="1:13" x14ac:dyDescent="0.35">
      <c r="A712" t="s">
        <v>1982</v>
      </c>
      <c r="B712" t="s">
        <v>1986</v>
      </c>
      <c r="C712" t="s">
        <v>2192</v>
      </c>
      <c r="D712">
        <v>0</v>
      </c>
      <c r="E712" s="1">
        <v>46234</v>
      </c>
      <c r="F712" t="s">
        <v>1988</v>
      </c>
      <c r="G712" t="s">
        <v>2192</v>
      </c>
      <c r="H712" t="s">
        <v>2</v>
      </c>
      <c r="I712" s="1">
        <v>46224</v>
      </c>
      <c r="J712" t="s">
        <v>1989</v>
      </c>
      <c r="K712" t="s">
        <v>3374</v>
      </c>
      <c r="L712" s="1">
        <v>46224.918321759258</v>
      </c>
      <c r="M712" s="1">
        <v>46224.91962439815</v>
      </c>
    </row>
    <row r="713" spans="1:13" x14ac:dyDescent="0.35">
      <c r="A713" t="s">
        <v>1982</v>
      </c>
      <c r="B713" t="s">
        <v>1986</v>
      </c>
      <c r="C713" t="s">
        <v>2192</v>
      </c>
      <c r="D713">
        <v>0</v>
      </c>
      <c r="E713" s="1">
        <v>46234</v>
      </c>
      <c r="F713" t="s">
        <v>1988</v>
      </c>
      <c r="G713" t="s">
        <v>2192</v>
      </c>
      <c r="H713" t="s">
        <v>2</v>
      </c>
      <c r="I713" s="1">
        <v>46224</v>
      </c>
      <c r="J713" t="s">
        <v>1991</v>
      </c>
      <c r="K713" t="s">
        <v>4107</v>
      </c>
      <c r="L713" s="1">
        <v>46224.918321759258</v>
      </c>
      <c r="M713" s="1">
        <v>46224.91962439815</v>
      </c>
    </row>
    <row r="714" spans="1:13" x14ac:dyDescent="0.35">
      <c r="A714" t="s">
        <v>2263</v>
      </c>
      <c r="B714" t="s">
        <v>1986</v>
      </c>
      <c r="C714" t="s">
        <v>2264</v>
      </c>
      <c r="D714">
        <v>0</v>
      </c>
      <c r="E714" s="1">
        <v>46265</v>
      </c>
      <c r="F714" t="s">
        <v>1988</v>
      </c>
      <c r="G714" t="s">
        <v>2264</v>
      </c>
      <c r="H714" t="s">
        <v>2</v>
      </c>
      <c r="I714" s="1">
        <v>46224</v>
      </c>
      <c r="J714" t="s">
        <v>1991</v>
      </c>
      <c r="K714" t="s">
        <v>3330</v>
      </c>
      <c r="L714" s="1">
        <v>46224.918321759258</v>
      </c>
      <c r="M714" s="1">
        <v>46224.91962439815</v>
      </c>
    </row>
    <row r="715" spans="1:13" x14ac:dyDescent="0.35">
      <c r="A715" t="s">
        <v>2263</v>
      </c>
      <c r="B715" t="s">
        <v>1986</v>
      </c>
      <c r="C715" t="s">
        <v>2264</v>
      </c>
      <c r="D715">
        <v>0</v>
      </c>
      <c r="E715" s="1">
        <v>46265</v>
      </c>
      <c r="F715" t="s">
        <v>1988</v>
      </c>
      <c r="G715" t="s">
        <v>2264</v>
      </c>
      <c r="H715" t="s">
        <v>2</v>
      </c>
      <c r="I715" s="1">
        <v>46224</v>
      </c>
      <c r="J715" t="s">
        <v>1989</v>
      </c>
      <c r="K715" t="s">
        <v>3375</v>
      </c>
      <c r="L715" s="1">
        <v>46224.918321759258</v>
      </c>
      <c r="M715" s="1">
        <v>46224.91962439815</v>
      </c>
    </row>
    <row r="716" spans="1:13" x14ac:dyDescent="0.35">
      <c r="A716" t="s">
        <v>2228</v>
      </c>
      <c r="B716" t="s">
        <v>1986</v>
      </c>
      <c r="C716" t="s">
        <v>2229</v>
      </c>
      <c r="D716">
        <v>0</v>
      </c>
      <c r="E716" s="1">
        <v>46295</v>
      </c>
      <c r="F716" t="s">
        <v>1988</v>
      </c>
      <c r="G716" t="s">
        <v>2229</v>
      </c>
      <c r="H716" t="s">
        <v>2</v>
      </c>
      <c r="I716" s="1">
        <v>46224</v>
      </c>
      <c r="J716" t="s">
        <v>1989</v>
      </c>
      <c r="K716" t="s">
        <v>3350</v>
      </c>
      <c r="L716" s="1">
        <v>46224.918321759258</v>
      </c>
      <c r="M716" s="1">
        <v>46224.91962439815</v>
      </c>
    </row>
    <row r="717" spans="1:13" x14ac:dyDescent="0.35">
      <c r="A717" t="s">
        <v>2228</v>
      </c>
      <c r="B717" t="s">
        <v>1986</v>
      </c>
      <c r="C717" t="s">
        <v>2229</v>
      </c>
      <c r="D717">
        <v>0</v>
      </c>
      <c r="E717" s="1">
        <v>46295</v>
      </c>
      <c r="F717" t="s">
        <v>1988</v>
      </c>
      <c r="G717" t="s">
        <v>2229</v>
      </c>
      <c r="H717" t="s">
        <v>2</v>
      </c>
      <c r="I717" s="1">
        <v>46224</v>
      </c>
      <c r="J717" t="s">
        <v>1991</v>
      </c>
      <c r="K717" t="s">
        <v>3331</v>
      </c>
      <c r="L717" s="1">
        <v>46224.918321759258</v>
      </c>
      <c r="M717" s="1">
        <v>46224.91962439815</v>
      </c>
    </row>
    <row r="718" spans="1:13" x14ac:dyDescent="0.35">
      <c r="A718" t="s">
        <v>2230</v>
      </c>
      <c r="B718" t="s">
        <v>1986</v>
      </c>
      <c r="C718" t="s">
        <v>2231</v>
      </c>
      <c r="D718">
        <v>0</v>
      </c>
      <c r="E718" s="1">
        <v>46326</v>
      </c>
      <c r="F718" t="s">
        <v>1988</v>
      </c>
      <c r="G718" t="s">
        <v>2231</v>
      </c>
      <c r="H718" t="s">
        <v>2</v>
      </c>
      <c r="I718" s="1">
        <v>46224</v>
      </c>
      <c r="J718" t="s">
        <v>1989</v>
      </c>
      <c r="K718" t="s">
        <v>3332</v>
      </c>
      <c r="L718" s="1">
        <v>46224.918321759258</v>
      </c>
      <c r="M718" s="1">
        <v>46224.91962439815</v>
      </c>
    </row>
    <row r="719" spans="1:13" x14ac:dyDescent="0.35">
      <c r="A719" t="s">
        <v>2230</v>
      </c>
      <c r="B719" t="s">
        <v>1986</v>
      </c>
      <c r="C719" t="s">
        <v>2231</v>
      </c>
      <c r="D719">
        <v>0</v>
      </c>
      <c r="E719" s="1">
        <v>46326</v>
      </c>
      <c r="F719" t="s">
        <v>1988</v>
      </c>
      <c r="G719" t="s">
        <v>2231</v>
      </c>
      <c r="H719" t="s">
        <v>2</v>
      </c>
      <c r="I719" s="1">
        <v>46224</v>
      </c>
      <c r="J719" t="s">
        <v>1991</v>
      </c>
      <c r="K719" t="s">
        <v>3333</v>
      </c>
      <c r="L719" s="1">
        <v>46224.918321759258</v>
      </c>
      <c r="M719" s="1">
        <v>46224.91962439815</v>
      </c>
    </row>
    <row r="720" spans="1:13" x14ac:dyDescent="0.35">
      <c r="A720" t="s">
        <v>274</v>
      </c>
      <c r="B720" t="s">
        <v>1986</v>
      </c>
      <c r="C720" t="s">
        <v>2206</v>
      </c>
      <c r="D720">
        <v>0</v>
      </c>
      <c r="E720" s="1">
        <v>47437</v>
      </c>
      <c r="F720" t="s">
        <v>1988</v>
      </c>
      <c r="G720" t="s">
        <v>2206</v>
      </c>
      <c r="H720" t="s">
        <v>2</v>
      </c>
      <c r="I720" s="1">
        <v>46224</v>
      </c>
      <c r="J720" t="s">
        <v>1991</v>
      </c>
      <c r="K720" t="s">
        <v>4000</v>
      </c>
      <c r="L720" s="1">
        <v>46224.918321759258</v>
      </c>
      <c r="M720" s="1">
        <v>46224.91962439815</v>
      </c>
    </row>
    <row r="721" spans="1:13" x14ac:dyDescent="0.35">
      <c r="A721" t="s">
        <v>274</v>
      </c>
      <c r="B721" t="s">
        <v>1986</v>
      </c>
      <c r="C721" t="s">
        <v>2206</v>
      </c>
      <c r="D721">
        <v>0</v>
      </c>
      <c r="E721" s="1">
        <v>47437</v>
      </c>
      <c r="F721" t="s">
        <v>1988</v>
      </c>
      <c r="G721" t="s">
        <v>2206</v>
      </c>
      <c r="H721" t="s">
        <v>2</v>
      </c>
      <c r="I721" s="1">
        <v>46224</v>
      </c>
      <c r="J721" t="s">
        <v>1989</v>
      </c>
      <c r="K721" t="s">
        <v>4108</v>
      </c>
      <c r="L721" s="1">
        <v>46224.918321759258</v>
      </c>
      <c r="M721" s="1">
        <v>46224.91962439815</v>
      </c>
    </row>
    <row r="722" spans="1:13" x14ac:dyDescent="0.35">
      <c r="A722" t="s">
        <v>2255</v>
      </c>
      <c r="B722" t="s">
        <v>1986</v>
      </c>
      <c r="C722" t="s">
        <v>2256</v>
      </c>
      <c r="D722">
        <v>0</v>
      </c>
      <c r="E722" s="1">
        <v>46356</v>
      </c>
      <c r="F722" t="s">
        <v>1988</v>
      </c>
      <c r="G722" t="s">
        <v>2256</v>
      </c>
      <c r="H722" t="s">
        <v>2</v>
      </c>
      <c r="I722" s="1">
        <v>46224</v>
      </c>
      <c r="J722" t="s">
        <v>1991</v>
      </c>
      <c r="K722" t="s">
        <v>3351</v>
      </c>
      <c r="L722" s="1">
        <v>46224.918321759258</v>
      </c>
      <c r="M722" s="1">
        <v>46224.91962439815</v>
      </c>
    </row>
    <row r="723" spans="1:13" x14ac:dyDescent="0.35">
      <c r="A723" t="s">
        <v>2255</v>
      </c>
      <c r="B723" t="s">
        <v>1986</v>
      </c>
      <c r="C723" t="s">
        <v>2256</v>
      </c>
      <c r="D723">
        <v>0</v>
      </c>
      <c r="E723" s="1">
        <v>46356</v>
      </c>
      <c r="F723" t="s">
        <v>1988</v>
      </c>
      <c r="G723" t="s">
        <v>2256</v>
      </c>
      <c r="H723" t="s">
        <v>2</v>
      </c>
      <c r="I723" s="1">
        <v>46224</v>
      </c>
      <c r="J723" t="s">
        <v>1989</v>
      </c>
      <c r="K723" t="s">
        <v>3573</v>
      </c>
      <c r="L723" s="1">
        <v>46224.918321759258</v>
      </c>
      <c r="M723" s="1">
        <v>46224.91962439815</v>
      </c>
    </row>
    <row r="724" spans="1:13" x14ac:dyDescent="0.35">
      <c r="A724" t="s">
        <v>2265</v>
      </c>
      <c r="B724" t="s">
        <v>1986</v>
      </c>
      <c r="C724" t="s">
        <v>2266</v>
      </c>
      <c r="D724">
        <v>0</v>
      </c>
      <c r="E724" s="1">
        <v>46387</v>
      </c>
      <c r="F724" t="s">
        <v>1988</v>
      </c>
      <c r="G724" t="s">
        <v>2266</v>
      </c>
      <c r="H724" t="s">
        <v>2</v>
      </c>
      <c r="I724" s="1">
        <v>46224</v>
      </c>
      <c r="J724" t="s">
        <v>1989</v>
      </c>
      <c r="K724" t="s">
        <v>4109</v>
      </c>
      <c r="L724" s="1">
        <v>46224.918321759258</v>
      </c>
      <c r="M724" s="1">
        <v>46224.91962439815</v>
      </c>
    </row>
    <row r="725" spans="1:13" x14ac:dyDescent="0.35">
      <c r="A725" t="s">
        <v>2265</v>
      </c>
      <c r="B725" t="s">
        <v>1986</v>
      </c>
      <c r="C725" t="s">
        <v>2266</v>
      </c>
      <c r="D725">
        <v>0</v>
      </c>
      <c r="E725" s="1">
        <v>46387</v>
      </c>
      <c r="F725" t="s">
        <v>1988</v>
      </c>
      <c r="G725" t="s">
        <v>2266</v>
      </c>
      <c r="H725" t="s">
        <v>2</v>
      </c>
      <c r="I725" s="1">
        <v>46224</v>
      </c>
      <c r="J725" t="s">
        <v>1991</v>
      </c>
      <c r="K725" t="s">
        <v>4110</v>
      </c>
      <c r="L725" s="1">
        <v>46224.918321759258</v>
      </c>
      <c r="M725" s="1">
        <v>46224.91962439815</v>
      </c>
    </row>
    <row r="726" spans="1:13" x14ac:dyDescent="0.35">
      <c r="A726" t="s">
        <v>2193</v>
      </c>
      <c r="B726" t="s">
        <v>1986</v>
      </c>
      <c r="C726" t="s">
        <v>2194</v>
      </c>
      <c r="D726">
        <v>0</v>
      </c>
      <c r="E726" s="1">
        <v>46418</v>
      </c>
      <c r="F726" t="s">
        <v>1988</v>
      </c>
      <c r="G726" t="s">
        <v>2194</v>
      </c>
      <c r="H726" t="s">
        <v>2</v>
      </c>
      <c r="I726" s="1">
        <v>46224</v>
      </c>
      <c r="J726" t="s">
        <v>1991</v>
      </c>
      <c r="K726" t="s">
        <v>3376</v>
      </c>
      <c r="L726" s="1">
        <v>46224.918321759258</v>
      </c>
      <c r="M726" s="1">
        <v>46224.91962439815</v>
      </c>
    </row>
    <row r="727" spans="1:13" x14ac:dyDescent="0.35">
      <c r="A727" t="s">
        <v>2193</v>
      </c>
      <c r="B727" t="s">
        <v>1986</v>
      </c>
      <c r="C727" t="s">
        <v>2194</v>
      </c>
      <c r="D727">
        <v>0</v>
      </c>
      <c r="E727" s="1">
        <v>46418</v>
      </c>
      <c r="F727" t="s">
        <v>1988</v>
      </c>
      <c r="G727" t="s">
        <v>2194</v>
      </c>
      <c r="H727" t="s">
        <v>2</v>
      </c>
      <c r="I727" s="1">
        <v>46224</v>
      </c>
      <c r="J727" t="s">
        <v>1989</v>
      </c>
      <c r="K727" t="s">
        <v>4111</v>
      </c>
      <c r="L727" s="1">
        <v>46224.918321759258</v>
      </c>
      <c r="M727" s="1">
        <v>46224.91962439815</v>
      </c>
    </row>
    <row r="728" spans="1:13" x14ac:dyDescent="0.35">
      <c r="A728" t="s">
        <v>157</v>
      </c>
      <c r="B728" t="s">
        <v>1986</v>
      </c>
      <c r="C728" t="s">
        <v>2207</v>
      </c>
      <c r="D728">
        <v>0</v>
      </c>
      <c r="E728" s="1">
        <v>47529</v>
      </c>
      <c r="F728" t="s">
        <v>1988</v>
      </c>
      <c r="G728" t="s">
        <v>2207</v>
      </c>
      <c r="H728" t="s">
        <v>2</v>
      </c>
      <c r="I728" s="1">
        <v>46224</v>
      </c>
      <c r="J728" t="s">
        <v>2064</v>
      </c>
      <c r="K728" t="s">
        <v>2587</v>
      </c>
      <c r="L728" s="1">
        <v>46224.917650462965</v>
      </c>
      <c r="M728" s="1">
        <v>46224.91962439815</v>
      </c>
    </row>
    <row r="729" spans="1:13" x14ac:dyDescent="0.35">
      <c r="A729" t="s">
        <v>157</v>
      </c>
      <c r="B729" t="s">
        <v>1986</v>
      </c>
      <c r="C729" t="s">
        <v>2207</v>
      </c>
      <c r="D729">
        <v>0</v>
      </c>
      <c r="E729" s="1">
        <v>47529</v>
      </c>
      <c r="F729" t="s">
        <v>1988</v>
      </c>
      <c r="G729" t="s">
        <v>2207</v>
      </c>
      <c r="H729" t="s">
        <v>2</v>
      </c>
      <c r="I729" s="1">
        <v>46224</v>
      </c>
      <c r="J729" t="s">
        <v>2065</v>
      </c>
      <c r="K729" t="s">
        <v>2587</v>
      </c>
      <c r="L729" s="1">
        <v>46224.917650462965</v>
      </c>
      <c r="M729" s="1">
        <v>46224.91962439815</v>
      </c>
    </row>
    <row r="730" spans="1:13" x14ac:dyDescent="0.35">
      <c r="A730" t="s">
        <v>157</v>
      </c>
      <c r="B730" t="s">
        <v>1986</v>
      </c>
      <c r="C730" t="s">
        <v>2207</v>
      </c>
      <c r="D730">
        <v>0</v>
      </c>
      <c r="E730" s="1">
        <v>47529</v>
      </c>
      <c r="F730" t="s">
        <v>1988</v>
      </c>
      <c r="G730" t="s">
        <v>2207</v>
      </c>
      <c r="H730" t="s">
        <v>2</v>
      </c>
      <c r="I730" s="1">
        <v>46224</v>
      </c>
      <c r="J730" t="s">
        <v>1991</v>
      </c>
      <c r="K730" t="s">
        <v>3377</v>
      </c>
      <c r="L730" s="1">
        <v>46224.918321759258</v>
      </c>
      <c r="M730" s="1">
        <v>46224.91962439815</v>
      </c>
    </row>
    <row r="731" spans="1:13" x14ac:dyDescent="0.35">
      <c r="A731" t="s">
        <v>157</v>
      </c>
      <c r="B731" t="s">
        <v>1986</v>
      </c>
      <c r="C731" t="s">
        <v>2207</v>
      </c>
      <c r="D731">
        <v>0</v>
      </c>
      <c r="E731" s="1">
        <v>47529</v>
      </c>
      <c r="F731" t="s">
        <v>1988</v>
      </c>
      <c r="G731" t="s">
        <v>2207</v>
      </c>
      <c r="H731" t="s">
        <v>2</v>
      </c>
      <c r="I731" s="1">
        <v>46224</v>
      </c>
      <c r="J731" t="s">
        <v>2108</v>
      </c>
      <c r="K731" t="s">
        <v>2442</v>
      </c>
      <c r="L731" s="1">
        <v>46224.917650462965</v>
      </c>
      <c r="M731" s="1">
        <v>46224.91962439815</v>
      </c>
    </row>
    <row r="732" spans="1:13" x14ac:dyDescent="0.35">
      <c r="A732" t="s">
        <v>157</v>
      </c>
      <c r="B732" t="s">
        <v>1986</v>
      </c>
      <c r="C732" t="s">
        <v>2207</v>
      </c>
      <c r="D732">
        <v>0</v>
      </c>
      <c r="E732" s="1">
        <v>47529</v>
      </c>
      <c r="F732" t="s">
        <v>1988</v>
      </c>
      <c r="G732" t="s">
        <v>2207</v>
      </c>
      <c r="H732" t="s">
        <v>2</v>
      </c>
      <c r="I732" s="1">
        <v>46224</v>
      </c>
      <c r="J732" t="s">
        <v>1989</v>
      </c>
      <c r="K732" t="s">
        <v>3574</v>
      </c>
      <c r="L732" s="1">
        <v>46224.918321759258</v>
      </c>
      <c r="M732" s="1">
        <v>46224.91962439815</v>
      </c>
    </row>
    <row r="733" spans="1:13" x14ac:dyDescent="0.35">
      <c r="A733" t="s">
        <v>157</v>
      </c>
      <c r="B733" t="s">
        <v>1986</v>
      </c>
      <c r="C733" t="s">
        <v>2207</v>
      </c>
      <c r="D733">
        <v>0</v>
      </c>
      <c r="E733" s="1">
        <v>47529</v>
      </c>
      <c r="F733" t="s">
        <v>1988</v>
      </c>
      <c r="G733" t="s">
        <v>2207</v>
      </c>
      <c r="H733" t="s">
        <v>2</v>
      </c>
      <c r="I733" s="1">
        <v>46224</v>
      </c>
      <c r="J733" t="s">
        <v>2146</v>
      </c>
      <c r="K733" t="s">
        <v>2442</v>
      </c>
      <c r="L733" s="1">
        <v>46224.917650462965</v>
      </c>
      <c r="M733" s="1">
        <v>46224.91962439815</v>
      </c>
    </row>
    <row r="734" spans="1:13" x14ac:dyDescent="0.35">
      <c r="A734" t="s">
        <v>2257</v>
      </c>
      <c r="B734" t="s">
        <v>1986</v>
      </c>
      <c r="C734" t="s">
        <v>2258</v>
      </c>
      <c r="D734">
        <v>0</v>
      </c>
      <c r="E734" s="1">
        <v>46446</v>
      </c>
      <c r="F734" t="s">
        <v>1988</v>
      </c>
      <c r="G734" t="s">
        <v>2258</v>
      </c>
      <c r="H734" t="s">
        <v>2</v>
      </c>
      <c r="I734" s="1">
        <v>46224</v>
      </c>
      <c r="J734" t="s">
        <v>1991</v>
      </c>
      <c r="K734" t="s">
        <v>3502</v>
      </c>
      <c r="L734" s="1">
        <v>46224.918321759258</v>
      </c>
      <c r="M734" s="1">
        <v>46224.91962439815</v>
      </c>
    </row>
    <row r="735" spans="1:13" x14ac:dyDescent="0.35">
      <c r="A735" t="s">
        <v>2257</v>
      </c>
      <c r="B735" t="s">
        <v>1986</v>
      </c>
      <c r="C735" t="s">
        <v>2258</v>
      </c>
      <c r="D735">
        <v>0</v>
      </c>
      <c r="E735" s="1">
        <v>46446</v>
      </c>
      <c r="F735" t="s">
        <v>1988</v>
      </c>
      <c r="G735" t="s">
        <v>2258</v>
      </c>
      <c r="H735" t="s">
        <v>2</v>
      </c>
      <c r="I735" s="1">
        <v>46224</v>
      </c>
      <c r="J735" t="s">
        <v>1989</v>
      </c>
      <c r="K735" t="s">
        <v>4112</v>
      </c>
      <c r="L735" s="1">
        <v>46224.918321759258</v>
      </c>
      <c r="M735" s="1">
        <v>46224.91962439815</v>
      </c>
    </row>
    <row r="736" spans="1:13" x14ac:dyDescent="0.35">
      <c r="A736" t="s">
        <v>2232</v>
      </c>
      <c r="B736" t="s">
        <v>1986</v>
      </c>
      <c r="C736" t="s">
        <v>2233</v>
      </c>
      <c r="D736">
        <v>0</v>
      </c>
      <c r="E736" s="1">
        <v>46477</v>
      </c>
      <c r="F736" t="s">
        <v>1988</v>
      </c>
      <c r="G736" t="s">
        <v>2233</v>
      </c>
      <c r="H736" t="s">
        <v>2</v>
      </c>
      <c r="I736" s="1">
        <v>46224</v>
      </c>
      <c r="J736" t="s">
        <v>1989</v>
      </c>
      <c r="K736" t="s">
        <v>3503</v>
      </c>
      <c r="L736" s="1">
        <v>46224.918321759258</v>
      </c>
      <c r="M736" s="1">
        <v>46224.91962439815</v>
      </c>
    </row>
    <row r="737" spans="1:13" x14ac:dyDescent="0.35">
      <c r="A737" t="s">
        <v>2232</v>
      </c>
      <c r="B737" t="s">
        <v>1986</v>
      </c>
      <c r="C737" t="s">
        <v>2233</v>
      </c>
      <c r="D737">
        <v>0</v>
      </c>
      <c r="E737" s="1">
        <v>46477</v>
      </c>
      <c r="F737" t="s">
        <v>1988</v>
      </c>
      <c r="G737" t="s">
        <v>2233</v>
      </c>
      <c r="H737" t="s">
        <v>2</v>
      </c>
      <c r="I737" s="1">
        <v>46224</v>
      </c>
      <c r="J737" t="s">
        <v>1991</v>
      </c>
      <c r="K737" t="s">
        <v>3334</v>
      </c>
      <c r="L737" s="1">
        <v>46224.918321759258</v>
      </c>
      <c r="M737" s="1">
        <v>46224.91962439815</v>
      </c>
    </row>
    <row r="738" spans="1:13" x14ac:dyDescent="0.35">
      <c r="A738" t="s">
        <v>2259</v>
      </c>
      <c r="B738" t="s">
        <v>1986</v>
      </c>
      <c r="C738" t="s">
        <v>2260</v>
      </c>
      <c r="D738">
        <v>0</v>
      </c>
      <c r="E738" s="1">
        <v>46507</v>
      </c>
      <c r="F738" t="s">
        <v>1988</v>
      </c>
      <c r="G738" t="s">
        <v>2260</v>
      </c>
      <c r="H738" t="s">
        <v>2</v>
      </c>
      <c r="I738" s="1">
        <v>46224</v>
      </c>
      <c r="J738" t="s">
        <v>1991</v>
      </c>
      <c r="K738" t="s">
        <v>3335</v>
      </c>
      <c r="L738" s="1">
        <v>46224.918321759258</v>
      </c>
      <c r="M738" s="1">
        <v>46224.91962439815</v>
      </c>
    </row>
    <row r="739" spans="1:13" x14ac:dyDescent="0.35">
      <c r="A739" t="s">
        <v>2259</v>
      </c>
      <c r="B739" t="s">
        <v>1986</v>
      </c>
      <c r="C739" t="s">
        <v>2260</v>
      </c>
      <c r="D739">
        <v>0</v>
      </c>
      <c r="E739" s="1">
        <v>46507</v>
      </c>
      <c r="F739" t="s">
        <v>1988</v>
      </c>
      <c r="G739" t="s">
        <v>2260</v>
      </c>
      <c r="H739" t="s">
        <v>2</v>
      </c>
      <c r="I739" s="1">
        <v>46224</v>
      </c>
      <c r="J739" t="s">
        <v>1989</v>
      </c>
      <c r="K739" t="s">
        <v>3378</v>
      </c>
      <c r="L739" s="1">
        <v>46224.918321759258</v>
      </c>
      <c r="M739" s="1">
        <v>46224.91962439815</v>
      </c>
    </row>
    <row r="740" spans="1:13" x14ac:dyDescent="0.35">
      <c r="A740" t="s">
        <v>2284</v>
      </c>
      <c r="B740" t="s">
        <v>1986</v>
      </c>
      <c r="C740" t="s">
        <v>2285</v>
      </c>
      <c r="D740">
        <v>0</v>
      </c>
      <c r="E740" s="1">
        <v>46538</v>
      </c>
      <c r="F740" t="s">
        <v>1988</v>
      </c>
      <c r="G740" t="s">
        <v>2285</v>
      </c>
      <c r="H740" t="s">
        <v>2</v>
      </c>
      <c r="I740" s="1">
        <v>46224</v>
      </c>
      <c r="J740" t="s">
        <v>1991</v>
      </c>
      <c r="K740" t="s">
        <v>3352</v>
      </c>
      <c r="L740" s="1">
        <v>46224.918321759258</v>
      </c>
      <c r="M740" s="1">
        <v>46224.91962439815</v>
      </c>
    </row>
    <row r="741" spans="1:13" x14ac:dyDescent="0.35">
      <c r="A741" t="s">
        <v>2284</v>
      </c>
      <c r="B741" t="s">
        <v>1986</v>
      </c>
      <c r="C741" t="s">
        <v>2285</v>
      </c>
      <c r="D741">
        <v>0</v>
      </c>
      <c r="E741" s="1">
        <v>46538</v>
      </c>
      <c r="F741" t="s">
        <v>1988</v>
      </c>
      <c r="G741" t="s">
        <v>2285</v>
      </c>
      <c r="H741" t="s">
        <v>2</v>
      </c>
      <c r="I741" s="1">
        <v>46224</v>
      </c>
      <c r="J741" t="s">
        <v>1989</v>
      </c>
      <c r="K741" t="s">
        <v>3538</v>
      </c>
      <c r="L741" s="1">
        <v>46224.918321759258</v>
      </c>
      <c r="M741" s="1">
        <v>46224.91962439815</v>
      </c>
    </row>
    <row r="742" spans="1:13" x14ac:dyDescent="0.35">
      <c r="A742" t="s">
        <v>2209</v>
      </c>
      <c r="B742" t="s">
        <v>1986</v>
      </c>
      <c r="C742" t="s">
        <v>2210</v>
      </c>
      <c r="D742">
        <v>0</v>
      </c>
      <c r="E742" s="1">
        <v>46568</v>
      </c>
      <c r="F742" t="s">
        <v>1988</v>
      </c>
      <c r="G742" t="s">
        <v>2210</v>
      </c>
      <c r="H742" t="s">
        <v>2</v>
      </c>
      <c r="I742" s="1">
        <v>46224</v>
      </c>
      <c r="J742" t="s">
        <v>1989</v>
      </c>
      <c r="K742" t="s">
        <v>3353</v>
      </c>
      <c r="L742" s="1">
        <v>46224.918321759258</v>
      </c>
      <c r="M742" s="1">
        <v>46224.91962439815</v>
      </c>
    </row>
    <row r="743" spans="1:13" x14ac:dyDescent="0.35">
      <c r="A743" t="s">
        <v>2209</v>
      </c>
      <c r="B743" t="s">
        <v>1986</v>
      </c>
      <c r="C743" t="s">
        <v>2210</v>
      </c>
      <c r="D743">
        <v>0</v>
      </c>
      <c r="E743" s="1">
        <v>46568</v>
      </c>
      <c r="F743" t="s">
        <v>1988</v>
      </c>
      <c r="G743" t="s">
        <v>2210</v>
      </c>
      <c r="H743" t="s">
        <v>2</v>
      </c>
      <c r="I743" s="1">
        <v>46224</v>
      </c>
      <c r="J743" t="s">
        <v>1991</v>
      </c>
      <c r="K743" t="s">
        <v>3354</v>
      </c>
      <c r="L743" s="1">
        <v>46224.918321759258</v>
      </c>
      <c r="M743" s="1">
        <v>46224.91962439815</v>
      </c>
    </row>
    <row r="744" spans="1:13" x14ac:dyDescent="0.35">
      <c r="A744" t="s">
        <v>2234</v>
      </c>
      <c r="B744" t="s">
        <v>1986</v>
      </c>
      <c r="C744" t="s">
        <v>2235</v>
      </c>
      <c r="D744">
        <v>0</v>
      </c>
      <c r="E744" s="1">
        <v>46599</v>
      </c>
      <c r="F744" t="s">
        <v>1988</v>
      </c>
      <c r="G744" t="s">
        <v>2235</v>
      </c>
      <c r="H744" t="s">
        <v>2</v>
      </c>
      <c r="I744" s="1">
        <v>46224</v>
      </c>
      <c r="J744" t="s">
        <v>1991</v>
      </c>
      <c r="K744" t="s">
        <v>3504</v>
      </c>
      <c r="L744" s="1">
        <v>46224.918321759258</v>
      </c>
      <c r="M744" s="1">
        <v>46224.91962439815</v>
      </c>
    </row>
    <row r="745" spans="1:13" x14ac:dyDescent="0.35">
      <c r="A745" t="s">
        <v>2234</v>
      </c>
      <c r="B745" t="s">
        <v>1986</v>
      </c>
      <c r="C745" t="s">
        <v>2235</v>
      </c>
      <c r="D745">
        <v>0</v>
      </c>
      <c r="E745" s="1">
        <v>46599</v>
      </c>
      <c r="F745" t="s">
        <v>1988</v>
      </c>
      <c r="G745" t="s">
        <v>2235</v>
      </c>
      <c r="H745" t="s">
        <v>2</v>
      </c>
      <c r="I745" s="1">
        <v>46224</v>
      </c>
      <c r="J745" t="s">
        <v>1989</v>
      </c>
      <c r="K745" t="s">
        <v>3355</v>
      </c>
      <c r="L745" s="1">
        <v>46224.918321759258</v>
      </c>
      <c r="M745" s="1">
        <v>46224.91962439815</v>
      </c>
    </row>
    <row r="746" spans="1:13" x14ac:dyDescent="0.35">
      <c r="A746" t="s">
        <v>270</v>
      </c>
      <c r="B746" t="s">
        <v>1986</v>
      </c>
      <c r="C746" t="s">
        <v>2236</v>
      </c>
      <c r="D746">
        <v>0</v>
      </c>
      <c r="E746" s="1">
        <v>47710</v>
      </c>
      <c r="F746" t="s">
        <v>1988</v>
      </c>
      <c r="G746" t="s">
        <v>2236</v>
      </c>
      <c r="H746" t="s">
        <v>2</v>
      </c>
      <c r="I746" s="1">
        <v>46224</v>
      </c>
      <c r="J746" t="s">
        <v>1991</v>
      </c>
      <c r="K746" t="s">
        <v>3539</v>
      </c>
      <c r="L746" s="1">
        <v>46224.918321759258</v>
      </c>
      <c r="M746" s="1">
        <v>46224.91962439815</v>
      </c>
    </row>
    <row r="747" spans="1:13" x14ac:dyDescent="0.35">
      <c r="A747" t="s">
        <v>270</v>
      </c>
      <c r="B747" t="s">
        <v>1986</v>
      </c>
      <c r="C747" t="s">
        <v>2236</v>
      </c>
      <c r="D747">
        <v>0</v>
      </c>
      <c r="E747" s="1">
        <v>47710</v>
      </c>
      <c r="F747" t="s">
        <v>1988</v>
      </c>
      <c r="G747" t="s">
        <v>2236</v>
      </c>
      <c r="H747" t="s">
        <v>2</v>
      </c>
      <c r="I747" s="1">
        <v>46224</v>
      </c>
      <c r="J747" t="s">
        <v>1989</v>
      </c>
      <c r="K747" t="s">
        <v>4113</v>
      </c>
      <c r="L747" s="1">
        <v>46224.918321759258</v>
      </c>
      <c r="M747" s="1">
        <v>46224.91962439815</v>
      </c>
    </row>
    <row r="748" spans="1:13" x14ac:dyDescent="0.35">
      <c r="A748" t="s">
        <v>2318</v>
      </c>
      <c r="B748" t="s">
        <v>1986</v>
      </c>
      <c r="C748" t="s">
        <v>2319</v>
      </c>
      <c r="D748">
        <v>0</v>
      </c>
      <c r="E748" s="1">
        <v>46630</v>
      </c>
      <c r="F748" t="s">
        <v>1988</v>
      </c>
      <c r="G748" t="s">
        <v>2319</v>
      </c>
      <c r="H748" t="s">
        <v>2</v>
      </c>
      <c r="I748" s="1">
        <v>46224</v>
      </c>
      <c r="J748" t="s">
        <v>1991</v>
      </c>
      <c r="K748" t="s">
        <v>4114</v>
      </c>
      <c r="L748" s="1">
        <v>46224.918321759258</v>
      </c>
      <c r="M748" s="1">
        <v>46224.91962439815</v>
      </c>
    </row>
    <row r="749" spans="1:13" x14ac:dyDescent="0.35">
      <c r="A749" t="s">
        <v>2318</v>
      </c>
      <c r="B749" t="s">
        <v>1986</v>
      </c>
      <c r="C749" t="s">
        <v>2319</v>
      </c>
      <c r="D749">
        <v>0</v>
      </c>
      <c r="E749" s="1">
        <v>46630</v>
      </c>
      <c r="F749" t="s">
        <v>1988</v>
      </c>
      <c r="G749" t="s">
        <v>2319</v>
      </c>
      <c r="H749" t="s">
        <v>2</v>
      </c>
      <c r="I749" s="1">
        <v>46224</v>
      </c>
      <c r="J749" t="s">
        <v>1989</v>
      </c>
      <c r="K749" t="s">
        <v>3575</v>
      </c>
      <c r="L749" s="1">
        <v>46224.918321759258</v>
      </c>
      <c r="M749" s="1">
        <v>46224.91962439815</v>
      </c>
    </row>
    <row r="750" spans="1:13" x14ac:dyDescent="0.35">
      <c r="A750" t="s">
        <v>2211</v>
      </c>
      <c r="B750" t="s">
        <v>1986</v>
      </c>
      <c r="C750" t="s">
        <v>2212</v>
      </c>
      <c r="D750">
        <v>0</v>
      </c>
      <c r="E750" s="1">
        <v>46660</v>
      </c>
      <c r="F750" t="s">
        <v>1988</v>
      </c>
      <c r="G750" t="s">
        <v>2212</v>
      </c>
      <c r="H750" t="s">
        <v>2</v>
      </c>
      <c r="I750" s="1">
        <v>46224</v>
      </c>
      <c r="J750" t="s">
        <v>1989</v>
      </c>
      <c r="K750" t="s">
        <v>3336</v>
      </c>
      <c r="L750" s="1">
        <v>46224.918321759258</v>
      </c>
      <c r="M750" s="1">
        <v>46224.91962439815</v>
      </c>
    </row>
    <row r="751" spans="1:13" x14ac:dyDescent="0.35">
      <c r="A751" t="s">
        <v>2211</v>
      </c>
      <c r="B751" t="s">
        <v>1986</v>
      </c>
      <c r="C751" t="s">
        <v>2212</v>
      </c>
      <c r="D751">
        <v>0</v>
      </c>
      <c r="E751" s="1">
        <v>46660</v>
      </c>
      <c r="F751" t="s">
        <v>1988</v>
      </c>
      <c r="G751" t="s">
        <v>2212</v>
      </c>
      <c r="H751" t="s">
        <v>2</v>
      </c>
      <c r="I751" s="1">
        <v>46224</v>
      </c>
      <c r="J751" t="s">
        <v>1991</v>
      </c>
      <c r="K751" t="s">
        <v>3379</v>
      </c>
      <c r="L751" s="1">
        <v>46224.918321759258</v>
      </c>
      <c r="M751" s="1">
        <v>46224.91962439815</v>
      </c>
    </row>
    <row r="752" spans="1:13" x14ac:dyDescent="0.35">
      <c r="A752" t="s">
        <v>2351</v>
      </c>
      <c r="B752" t="s">
        <v>1986</v>
      </c>
      <c r="C752" t="s">
        <v>2352</v>
      </c>
      <c r="D752">
        <v>0</v>
      </c>
      <c r="E752" s="1">
        <v>46691</v>
      </c>
      <c r="F752" t="s">
        <v>1988</v>
      </c>
      <c r="G752" t="s">
        <v>2352</v>
      </c>
      <c r="H752" t="s">
        <v>2</v>
      </c>
      <c r="I752" s="1">
        <v>46224</v>
      </c>
      <c r="J752" t="s">
        <v>1991</v>
      </c>
      <c r="K752" t="s">
        <v>3505</v>
      </c>
      <c r="L752" s="1">
        <v>46224.918321759258</v>
      </c>
      <c r="M752" s="1">
        <v>46224.91962439815</v>
      </c>
    </row>
    <row r="753" spans="1:13" x14ac:dyDescent="0.35">
      <c r="A753" t="s">
        <v>2351</v>
      </c>
      <c r="B753" t="s">
        <v>1986</v>
      </c>
      <c r="C753" t="s">
        <v>2352</v>
      </c>
      <c r="D753">
        <v>0</v>
      </c>
      <c r="E753" s="1">
        <v>46691</v>
      </c>
      <c r="F753" t="s">
        <v>1988</v>
      </c>
      <c r="G753" t="s">
        <v>2352</v>
      </c>
      <c r="H753" t="s">
        <v>2</v>
      </c>
      <c r="I753" s="1">
        <v>46224</v>
      </c>
      <c r="J753" t="s">
        <v>1989</v>
      </c>
      <c r="K753" t="s">
        <v>3540</v>
      </c>
      <c r="L753" s="1">
        <v>46224.918321759258</v>
      </c>
      <c r="M753" s="1">
        <v>46224.91962439815</v>
      </c>
    </row>
    <row r="754" spans="1:13" x14ac:dyDescent="0.35">
      <c r="A754" t="s">
        <v>192</v>
      </c>
      <c r="B754" t="s">
        <v>1986</v>
      </c>
      <c r="C754" t="s">
        <v>2237</v>
      </c>
      <c r="D754">
        <v>0</v>
      </c>
      <c r="E754" s="1">
        <v>47802</v>
      </c>
      <c r="F754" t="s">
        <v>1988</v>
      </c>
      <c r="G754" t="s">
        <v>2237</v>
      </c>
      <c r="H754" t="s">
        <v>2</v>
      </c>
      <c r="I754" s="1">
        <v>46224</v>
      </c>
      <c r="J754" t="s">
        <v>1989</v>
      </c>
      <c r="K754" t="s">
        <v>3506</v>
      </c>
      <c r="L754" s="1">
        <v>46224.918321759258</v>
      </c>
      <c r="M754" s="1">
        <v>46224.91962439815</v>
      </c>
    </row>
    <row r="755" spans="1:13" x14ac:dyDescent="0.35">
      <c r="A755" t="s">
        <v>192</v>
      </c>
      <c r="B755" t="s">
        <v>1986</v>
      </c>
      <c r="C755" t="s">
        <v>2237</v>
      </c>
      <c r="D755">
        <v>0</v>
      </c>
      <c r="E755" s="1">
        <v>47802</v>
      </c>
      <c r="F755" t="s">
        <v>1988</v>
      </c>
      <c r="G755" t="s">
        <v>2237</v>
      </c>
      <c r="H755" t="s">
        <v>2</v>
      </c>
      <c r="I755" s="1">
        <v>46224</v>
      </c>
      <c r="J755" t="s">
        <v>1991</v>
      </c>
      <c r="K755" t="s">
        <v>3380</v>
      </c>
      <c r="L755" s="1">
        <v>46224.918321759258</v>
      </c>
      <c r="M755" s="1">
        <v>46224.91962439815</v>
      </c>
    </row>
    <row r="756" spans="1:13" x14ac:dyDescent="0.35">
      <c r="A756" t="s">
        <v>2353</v>
      </c>
      <c r="B756" t="s">
        <v>1986</v>
      </c>
      <c r="C756" t="s">
        <v>2354</v>
      </c>
      <c r="D756">
        <v>0</v>
      </c>
      <c r="E756" s="1">
        <v>46721</v>
      </c>
      <c r="F756" t="s">
        <v>1988</v>
      </c>
      <c r="G756" t="s">
        <v>2354</v>
      </c>
      <c r="H756" t="s">
        <v>2</v>
      </c>
      <c r="I756" s="1">
        <v>46224</v>
      </c>
      <c r="J756" t="s">
        <v>1989</v>
      </c>
      <c r="K756" t="s">
        <v>3541</v>
      </c>
      <c r="L756" s="1">
        <v>46224.918321759258</v>
      </c>
      <c r="M756" s="1">
        <v>46224.91962439815</v>
      </c>
    </row>
    <row r="757" spans="1:13" x14ac:dyDescent="0.35">
      <c r="A757" t="s">
        <v>2353</v>
      </c>
      <c r="B757" t="s">
        <v>1986</v>
      </c>
      <c r="C757" t="s">
        <v>2354</v>
      </c>
      <c r="D757">
        <v>0</v>
      </c>
      <c r="E757" s="1">
        <v>46721</v>
      </c>
      <c r="F757" t="s">
        <v>1988</v>
      </c>
      <c r="G757" t="s">
        <v>2354</v>
      </c>
      <c r="H757" t="s">
        <v>2</v>
      </c>
      <c r="I757" s="1">
        <v>46224</v>
      </c>
      <c r="J757" t="s">
        <v>1991</v>
      </c>
      <c r="K757" t="s">
        <v>3542</v>
      </c>
      <c r="L757" s="1">
        <v>46224.918321759258</v>
      </c>
      <c r="M757" s="1">
        <v>46224.91962439815</v>
      </c>
    </row>
    <row r="758" spans="1:13" x14ac:dyDescent="0.35">
      <c r="A758" t="s">
        <v>2286</v>
      </c>
      <c r="B758" t="s">
        <v>1986</v>
      </c>
      <c r="C758" t="s">
        <v>2287</v>
      </c>
      <c r="D758">
        <v>0</v>
      </c>
      <c r="E758" s="1">
        <v>46752</v>
      </c>
      <c r="F758" t="s">
        <v>1988</v>
      </c>
      <c r="G758" t="s">
        <v>2287</v>
      </c>
      <c r="H758" t="s">
        <v>2</v>
      </c>
      <c r="I758" s="1">
        <v>46224</v>
      </c>
      <c r="J758" t="s">
        <v>1991</v>
      </c>
      <c r="K758" t="s">
        <v>3507</v>
      </c>
      <c r="L758" s="1">
        <v>46224.918321759258</v>
      </c>
      <c r="M758" s="1">
        <v>46224.91962439815</v>
      </c>
    </row>
    <row r="759" spans="1:13" x14ac:dyDescent="0.35">
      <c r="A759" t="s">
        <v>2286</v>
      </c>
      <c r="B759" t="s">
        <v>1986</v>
      </c>
      <c r="C759" t="s">
        <v>2287</v>
      </c>
      <c r="D759">
        <v>0</v>
      </c>
      <c r="E759" s="1">
        <v>46752</v>
      </c>
      <c r="F759" t="s">
        <v>1988</v>
      </c>
      <c r="G759" t="s">
        <v>2287</v>
      </c>
      <c r="H759" t="s">
        <v>2</v>
      </c>
      <c r="I759" s="1">
        <v>46224</v>
      </c>
      <c r="J759" t="s">
        <v>1989</v>
      </c>
      <c r="K759" t="s">
        <v>3337</v>
      </c>
      <c r="L759" s="1">
        <v>46224.918321759258</v>
      </c>
      <c r="M759" s="1">
        <v>46224.91962439815</v>
      </c>
    </row>
    <row r="760" spans="1:13" x14ac:dyDescent="0.35">
      <c r="A760" t="s">
        <v>2814</v>
      </c>
      <c r="B760" t="s">
        <v>1986</v>
      </c>
      <c r="C760" t="s">
        <v>2815</v>
      </c>
      <c r="D760">
        <v>0</v>
      </c>
      <c r="E760" s="1">
        <v>46783</v>
      </c>
      <c r="F760" t="s">
        <v>1988</v>
      </c>
      <c r="G760" t="s">
        <v>2815</v>
      </c>
      <c r="H760" t="s">
        <v>2</v>
      </c>
      <c r="I760" s="1">
        <v>46224</v>
      </c>
      <c r="J760" t="s">
        <v>1989</v>
      </c>
      <c r="K760" t="s">
        <v>3543</v>
      </c>
      <c r="L760" s="1">
        <v>46224.918321759258</v>
      </c>
      <c r="M760" s="1">
        <v>46224.91962439815</v>
      </c>
    </row>
    <row r="761" spans="1:13" x14ac:dyDescent="0.35">
      <c r="A761" t="s">
        <v>2814</v>
      </c>
      <c r="B761" t="s">
        <v>1986</v>
      </c>
      <c r="C761" t="s">
        <v>2815</v>
      </c>
      <c r="D761">
        <v>0</v>
      </c>
      <c r="E761" s="1">
        <v>46783</v>
      </c>
      <c r="F761" t="s">
        <v>1988</v>
      </c>
      <c r="G761" t="s">
        <v>2815</v>
      </c>
      <c r="H761" t="s">
        <v>2</v>
      </c>
      <c r="I761" s="1">
        <v>46224</v>
      </c>
      <c r="J761" t="s">
        <v>1991</v>
      </c>
      <c r="K761" t="s">
        <v>4115</v>
      </c>
      <c r="L761" s="1">
        <v>46224.918321759258</v>
      </c>
      <c r="M761" s="1">
        <v>46224.91962439815</v>
      </c>
    </row>
    <row r="762" spans="1:13" x14ac:dyDescent="0.35">
      <c r="A762" t="s">
        <v>2213</v>
      </c>
      <c r="B762" t="s">
        <v>1986</v>
      </c>
      <c r="C762" t="s">
        <v>2214</v>
      </c>
      <c r="D762">
        <v>0</v>
      </c>
      <c r="E762" s="1">
        <v>46812</v>
      </c>
      <c r="F762" t="s">
        <v>1988</v>
      </c>
      <c r="G762" t="s">
        <v>2214</v>
      </c>
      <c r="H762" t="s">
        <v>2</v>
      </c>
      <c r="I762" s="1">
        <v>46224</v>
      </c>
      <c r="J762" t="s">
        <v>1991</v>
      </c>
      <c r="K762" t="s">
        <v>3508</v>
      </c>
      <c r="L762" s="1">
        <v>46224.918321759258</v>
      </c>
      <c r="M762" s="1">
        <v>46224.91962439815</v>
      </c>
    </row>
    <row r="763" spans="1:13" x14ac:dyDescent="0.35">
      <c r="A763" t="s">
        <v>2213</v>
      </c>
      <c r="B763" t="s">
        <v>1986</v>
      </c>
      <c r="C763" t="s">
        <v>2214</v>
      </c>
      <c r="D763">
        <v>0</v>
      </c>
      <c r="E763" s="1">
        <v>46812</v>
      </c>
      <c r="F763" t="s">
        <v>1988</v>
      </c>
      <c r="G763" t="s">
        <v>2214</v>
      </c>
      <c r="H763" t="s">
        <v>2</v>
      </c>
      <c r="I763" s="1">
        <v>46224</v>
      </c>
      <c r="J763" t="s">
        <v>1989</v>
      </c>
      <c r="K763" t="s">
        <v>3338</v>
      </c>
      <c r="L763" s="1">
        <v>46224.918321759258</v>
      </c>
      <c r="M763" s="1">
        <v>46224.91962439815</v>
      </c>
    </row>
    <row r="764" spans="1:13" x14ac:dyDescent="0.35">
      <c r="A764" t="s">
        <v>2238</v>
      </c>
      <c r="B764" t="s">
        <v>1986</v>
      </c>
      <c r="C764" t="s">
        <v>2239</v>
      </c>
      <c r="D764">
        <v>0</v>
      </c>
      <c r="E764" s="1">
        <v>47026</v>
      </c>
      <c r="F764" t="s">
        <v>1988</v>
      </c>
      <c r="G764" t="s">
        <v>2239</v>
      </c>
      <c r="H764" t="s">
        <v>2</v>
      </c>
      <c r="I764" s="1">
        <v>46224</v>
      </c>
      <c r="J764" t="s">
        <v>1989</v>
      </c>
      <c r="K764" t="s">
        <v>3381</v>
      </c>
      <c r="L764" s="1">
        <v>46224.918321759258</v>
      </c>
      <c r="M764" s="1">
        <v>46224.91962439815</v>
      </c>
    </row>
    <row r="765" spans="1:13" x14ac:dyDescent="0.35">
      <c r="A765" t="s">
        <v>2238</v>
      </c>
      <c r="B765" t="s">
        <v>1986</v>
      </c>
      <c r="C765" t="s">
        <v>2239</v>
      </c>
      <c r="D765">
        <v>0</v>
      </c>
      <c r="E765" s="1">
        <v>47026</v>
      </c>
      <c r="F765" t="s">
        <v>1988</v>
      </c>
      <c r="G765" t="s">
        <v>2239</v>
      </c>
      <c r="H765" t="s">
        <v>2</v>
      </c>
      <c r="I765" s="1">
        <v>46224</v>
      </c>
      <c r="J765" t="s">
        <v>1991</v>
      </c>
      <c r="K765" t="s">
        <v>3576</v>
      </c>
      <c r="L765" s="1">
        <v>46224.918321759258</v>
      </c>
      <c r="M765" s="1">
        <v>46224.91962439815</v>
      </c>
    </row>
    <row r="766" spans="1:13" x14ac:dyDescent="0.35">
      <c r="A766" t="s">
        <v>2215</v>
      </c>
      <c r="B766" t="s">
        <v>1986</v>
      </c>
      <c r="C766" t="s">
        <v>2216</v>
      </c>
      <c r="D766">
        <v>0</v>
      </c>
      <c r="E766" s="1">
        <v>47057</v>
      </c>
      <c r="F766" t="s">
        <v>1988</v>
      </c>
      <c r="G766" t="s">
        <v>2216</v>
      </c>
      <c r="H766" t="s">
        <v>2</v>
      </c>
      <c r="I766" s="1">
        <v>46224</v>
      </c>
      <c r="J766" t="s">
        <v>1991</v>
      </c>
      <c r="K766" t="s">
        <v>3509</v>
      </c>
      <c r="L766" s="1">
        <v>46224.918321759258</v>
      </c>
      <c r="M766" s="1">
        <v>46224.91962439815</v>
      </c>
    </row>
    <row r="767" spans="1:13" x14ac:dyDescent="0.35">
      <c r="A767" t="s">
        <v>2215</v>
      </c>
      <c r="B767" t="s">
        <v>1986</v>
      </c>
      <c r="C767" t="s">
        <v>2216</v>
      </c>
      <c r="D767">
        <v>0</v>
      </c>
      <c r="E767" s="1">
        <v>47057</v>
      </c>
      <c r="F767" t="s">
        <v>1988</v>
      </c>
      <c r="G767" t="s">
        <v>2216</v>
      </c>
      <c r="H767" t="s">
        <v>2</v>
      </c>
      <c r="I767" s="1">
        <v>46224</v>
      </c>
      <c r="J767" t="s">
        <v>1989</v>
      </c>
      <c r="K767" t="s">
        <v>3577</v>
      </c>
      <c r="L767" s="1">
        <v>46224.918321759258</v>
      </c>
      <c r="M767" s="1">
        <v>46224.91962439815</v>
      </c>
    </row>
    <row r="768" spans="1:13" x14ac:dyDescent="0.35">
      <c r="A768" t="s">
        <v>275</v>
      </c>
      <c r="B768" t="s">
        <v>1986</v>
      </c>
      <c r="C768" t="s">
        <v>2240</v>
      </c>
      <c r="D768">
        <v>0</v>
      </c>
      <c r="E768" s="1">
        <v>48167</v>
      </c>
      <c r="F768" t="s">
        <v>1988</v>
      </c>
      <c r="G768" t="s">
        <v>2240</v>
      </c>
      <c r="H768" t="s">
        <v>2</v>
      </c>
      <c r="I768" s="1">
        <v>46224</v>
      </c>
      <c r="J768" t="s">
        <v>1989</v>
      </c>
      <c r="K768" t="s">
        <v>3544</v>
      </c>
      <c r="L768" s="1">
        <v>46224.918321759258</v>
      </c>
      <c r="M768" s="1">
        <v>46224.91962439815</v>
      </c>
    </row>
    <row r="769" spans="1:13" x14ac:dyDescent="0.35">
      <c r="A769" t="s">
        <v>275</v>
      </c>
      <c r="B769" t="s">
        <v>1986</v>
      </c>
      <c r="C769" t="s">
        <v>2240</v>
      </c>
      <c r="D769">
        <v>0</v>
      </c>
      <c r="E769" s="1">
        <v>48167</v>
      </c>
      <c r="F769" t="s">
        <v>1988</v>
      </c>
      <c r="G769" t="s">
        <v>2240</v>
      </c>
      <c r="H769" t="s">
        <v>2</v>
      </c>
      <c r="I769" s="1">
        <v>46224</v>
      </c>
      <c r="J769" t="s">
        <v>1991</v>
      </c>
      <c r="K769" t="s">
        <v>3578</v>
      </c>
      <c r="L769" s="1">
        <v>46224.918321759258</v>
      </c>
      <c r="M769" s="1">
        <v>46224.91962439815</v>
      </c>
    </row>
    <row r="770" spans="1:13" x14ac:dyDescent="0.35">
      <c r="A770" t="s">
        <v>2355</v>
      </c>
      <c r="B770" t="s">
        <v>1986</v>
      </c>
      <c r="C770" t="s">
        <v>2356</v>
      </c>
      <c r="D770">
        <v>0</v>
      </c>
      <c r="E770" s="1">
        <v>47087</v>
      </c>
      <c r="F770" t="s">
        <v>1988</v>
      </c>
      <c r="G770" t="s">
        <v>2356</v>
      </c>
      <c r="H770" t="s">
        <v>2</v>
      </c>
      <c r="I770" s="1">
        <v>46224</v>
      </c>
      <c r="J770" t="s">
        <v>1991</v>
      </c>
      <c r="K770" t="s">
        <v>4001</v>
      </c>
      <c r="L770" s="1">
        <v>46224.918321759258</v>
      </c>
      <c r="M770" s="1">
        <v>46224.91962439815</v>
      </c>
    </row>
    <row r="771" spans="1:13" x14ac:dyDescent="0.35">
      <c r="A771" t="s">
        <v>2355</v>
      </c>
      <c r="B771" t="s">
        <v>1986</v>
      </c>
      <c r="C771" t="s">
        <v>2356</v>
      </c>
      <c r="D771">
        <v>0</v>
      </c>
      <c r="E771" s="1">
        <v>47087</v>
      </c>
      <c r="F771" t="s">
        <v>1988</v>
      </c>
      <c r="G771" t="s">
        <v>2356</v>
      </c>
      <c r="H771" t="s">
        <v>2</v>
      </c>
      <c r="I771" s="1">
        <v>46224</v>
      </c>
      <c r="J771" t="s">
        <v>1989</v>
      </c>
      <c r="K771" t="s">
        <v>3545</v>
      </c>
      <c r="L771" s="1">
        <v>46224.918321759258</v>
      </c>
      <c r="M771" s="1">
        <v>46224.91962439815</v>
      </c>
    </row>
    <row r="772" spans="1:13" x14ac:dyDescent="0.35">
      <c r="A772" t="s">
        <v>2267</v>
      </c>
      <c r="B772" t="s">
        <v>1986</v>
      </c>
      <c r="C772" t="s">
        <v>2268</v>
      </c>
      <c r="D772">
        <v>0</v>
      </c>
      <c r="E772" s="1">
        <v>47118</v>
      </c>
      <c r="F772" t="s">
        <v>1988</v>
      </c>
      <c r="G772" t="s">
        <v>2268</v>
      </c>
      <c r="H772" t="s">
        <v>2</v>
      </c>
      <c r="I772" s="1">
        <v>46224</v>
      </c>
      <c r="J772" t="s">
        <v>1989</v>
      </c>
      <c r="K772" t="s">
        <v>3382</v>
      </c>
      <c r="L772" s="1">
        <v>46224.918321759258</v>
      </c>
      <c r="M772" s="1">
        <v>46224.91962439815</v>
      </c>
    </row>
    <row r="773" spans="1:13" x14ac:dyDescent="0.35">
      <c r="A773" t="s">
        <v>2267</v>
      </c>
      <c r="B773" t="s">
        <v>1986</v>
      </c>
      <c r="C773" t="s">
        <v>2268</v>
      </c>
      <c r="D773">
        <v>0</v>
      </c>
      <c r="E773" s="1">
        <v>47118</v>
      </c>
      <c r="F773" t="s">
        <v>1988</v>
      </c>
      <c r="G773" t="s">
        <v>2268</v>
      </c>
      <c r="H773" t="s">
        <v>2</v>
      </c>
      <c r="I773" s="1">
        <v>46224</v>
      </c>
      <c r="J773" t="s">
        <v>1991</v>
      </c>
      <c r="K773" t="s">
        <v>3383</v>
      </c>
      <c r="L773" s="1">
        <v>46224.918321759258</v>
      </c>
      <c r="M773" s="1">
        <v>46224.91962439815</v>
      </c>
    </row>
    <row r="774" spans="1:13" x14ac:dyDescent="0.35">
      <c r="A774" t="s">
        <v>2320</v>
      </c>
      <c r="B774" t="s">
        <v>1986</v>
      </c>
      <c r="C774" t="s">
        <v>2321</v>
      </c>
      <c r="D774">
        <v>0</v>
      </c>
      <c r="E774" s="1">
        <v>47149</v>
      </c>
      <c r="F774" t="s">
        <v>1988</v>
      </c>
      <c r="G774" t="s">
        <v>2321</v>
      </c>
      <c r="H774" t="s">
        <v>2</v>
      </c>
      <c r="I774" s="1">
        <v>46224</v>
      </c>
      <c r="J774" t="s">
        <v>1989</v>
      </c>
      <c r="K774" t="s">
        <v>4002</v>
      </c>
      <c r="L774" s="1">
        <v>46224.918321759258</v>
      </c>
      <c r="M774" s="1">
        <v>46224.91962439815</v>
      </c>
    </row>
    <row r="775" spans="1:13" x14ac:dyDescent="0.35">
      <c r="A775" t="s">
        <v>2320</v>
      </c>
      <c r="B775" t="s">
        <v>1986</v>
      </c>
      <c r="C775" t="s">
        <v>2321</v>
      </c>
      <c r="D775">
        <v>0</v>
      </c>
      <c r="E775" s="1">
        <v>47149</v>
      </c>
      <c r="F775" t="s">
        <v>1988</v>
      </c>
      <c r="G775" t="s">
        <v>2321</v>
      </c>
      <c r="H775" t="s">
        <v>2</v>
      </c>
      <c r="I775" s="1">
        <v>46224</v>
      </c>
      <c r="J775" t="s">
        <v>1991</v>
      </c>
      <c r="K775" t="s">
        <v>3384</v>
      </c>
      <c r="L775" s="1">
        <v>46224.918321759258</v>
      </c>
      <c r="M775" s="1">
        <v>46224.91962439815</v>
      </c>
    </row>
    <row r="776" spans="1:13" x14ac:dyDescent="0.35">
      <c r="A776" t="s">
        <v>271</v>
      </c>
      <c r="B776" t="s">
        <v>1986</v>
      </c>
      <c r="C776" t="s">
        <v>2288</v>
      </c>
      <c r="D776">
        <v>0</v>
      </c>
      <c r="E776" s="1">
        <v>48259</v>
      </c>
      <c r="F776" t="s">
        <v>1988</v>
      </c>
      <c r="G776" t="s">
        <v>2288</v>
      </c>
      <c r="H776" t="s">
        <v>2</v>
      </c>
      <c r="I776" s="1">
        <v>46224</v>
      </c>
      <c r="J776" t="s">
        <v>1989</v>
      </c>
      <c r="K776" t="s">
        <v>3356</v>
      </c>
      <c r="L776" s="1">
        <v>46224.918321759258</v>
      </c>
      <c r="M776" s="1">
        <v>46224.91962439815</v>
      </c>
    </row>
    <row r="777" spans="1:13" x14ac:dyDescent="0.35">
      <c r="A777" t="s">
        <v>271</v>
      </c>
      <c r="B777" t="s">
        <v>1986</v>
      </c>
      <c r="C777" t="s">
        <v>2288</v>
      </c>
      <c r="D777">
        <v>0</v>
      </c>
      <c r="E777" s="1">
        <v>48259</v>
      </c>
      <c r="F777" t="s">
        <v>1988</v>
      </c>
      <c r="G777" t="s">
        <v>2288</v>
      </c>
      <c r="H777" t="s">
        <v>2</v>
      </c>
      <c r="I777" s="1">
        <v>46224</v>
      </c>
      <c r="J777" t="s">
        <v>1991</v>
      </c>
      <c r="K777" t="s">
        <v>3546</v>
      </c>
      <c r="L777" s="1">
        <v>46224.918321759258</v>
      </c>
      <c r="M777" s="1">
        <v>46224.91962439815</v>
      </c>
    </row>
    <row r="778" spans="1:13" x14ac:dyDescent="0.35">
      <c r="A778" t="s">
        <v>2241</v>
      </c>
      <c r="B778" t="s">
        <v>1986</v>
      </c>
      <c r="C778" t="s">
        <v>2242</v>
      </c>
      <c r="D778">
        <v>0</v>
      </c>
      <c r="E778" s="1">
        <v>47177</v>
      </c>
      <c r="F778" t="s">
        <v>1988</v>
      </c>
      <c r="G778" t="s">
        <v>2242</v>
      </c>
      <c r="H778" t="s">
        <v>2</v>
      </c>
      <c r="I778" s="1">
        <v>46224</v>
      </c>
      <c r="J778" t="s">
        <v>1989</v>
      </c>
      <c r="K778" t="s">
        <v>3357</v>
      </c>
      <c r="L778" s="1">
        <v>46224.918321759258</v>
      </c>
      <c r="M778" s="1">
        <v>46224.91962439815</v>
      </c>
    </row>
    <row r="779" spans="1:13" x14ac:dyDescent="0.35">
      <c r="A779" t="s">
        <v>2241</v>
      </c>
      <c r="B779" t="s">
        <v>1986</v>
      </c>
      <c r="C779" t="s">
        <v>2242</v>
      </c>
      <c r="D779">
        <v>0</v>
      </c>
      <c r="E779" s="1">
        <v>47177</v>
      </c>
      <c r="F779" t="s">
        <v>1988</v>
      </c>
      <c r="G779" t="s">
        <v>2242</v>
      </c>
      <c r="H779" t="s">
        <v>2</v>
      </c>
      <c r="I779" s="1">
        <v>46224</v>
      </c>
      <c r="J779" t="s">
        <v>1991</v>
      </c>
      <c r="K779" t="s">
        <v>3579</v>
      </c>
      <c r="L779" s="1">
        <v>46224.918321759258</v>
      </c>
      <c r="M779" s="1">
        <v>46224.91962439815</v>
      </c>
    </row>
    <row r="780" spans="1:13" x14ac:dyDescent="0.35">
      <c r="A780" t="s">
        <v>2322</v>
      </c>
      <c r="B780" t="s">
        <v>1986</v>
      </c>
      <c r="C780" t="s">
        <v>2323</v>
      </c>
      <c r="D780">
        <v>0</v>
      </c>
      <c r="E780" s="1">
        <v>47208</v>
      </c>
      <c r="F780" t="s">
        <v>1988</v>
      </c>
      <c r="G780" t="s">
        <v>2323</v>
      </c>
      <c r="H780" t="s">
        <v>2</v>
      </c>
      <c r="I780" s="1">
        <v>46224</v>
      </c>
      <c r="J780" t="s">
        <v>1989</v>
      </c>
      <c r="K780" t="s">
        <v>3547</v>
      </c>
      <c r="L780" s="1">
        <v>46224.918321759258</v>
      </c>
      <c r="M780" s="1">
        <v>46224.91962439815</v>
      </c>
    </row>
    <row r="781" spans="1:13" x14ac:dyDescent="0.35">
      <c r="A781" t="s">
        <v>2322</v>
      </c>
      <c r="B781" t="s">
        <v>1986</v>
      </c>
      <c r="C781" t="s">
        <v>2323</v>
      </c>
      <c r="D781">
        <v>0</v>
      </c>
      <c r="E781" s="1">
        <v>47208</v>
      </c>
      <c r="F781" t="s">
        <v>1988</v>
      </c>
      <c r="G781" t="s">
        <v>2323</v>
      </c>
      <c r="H781" t="s">
        <v>2</v>
      </c>
      <c r="I781" s="1">
        <v>46224</v>
      </c>
      <c r="J781" t="s">
        <v>1991</v>
      </c>
      <c r="K781" t="s">
        <v>4116</v>
      </c>
      <c r="L781" s="1">
        <v>46224.918321759258</v>
      </c>
      <c r="M781" s="1">
        <v>46224.91962439815</v>
      </c>
    </row>
    <row r="782" spans="1:13" x14ac:dyDescent="0.35">
      <c r="A782" t="s">
        <v>2269</v>
      </c>
      <c r="B782" t="s">
        <v>1986</v>
      </c>
      <c r="C782" t="s">
        <v>2270</v>
      </c>
      <c r="D782">
        <v>0</v>
      </c>
      <c r="E782" s="1">
        <v>47238</v>
      </c>
      <c r="F782" t="s">
        <v>1988</v>
      </c>
      <c r="G782" t="s">
        <v>2270</v>
      </c>
      <c r="H782" t="s">
        <v>2</v>
      </c>
      <c r="I782" s="1">
        <v>46224</v>
      </c>
      <c r="J782" t="s">
        <v>1989</v>
      </c>
      <c r="K782" t="s">
        <v>3510</v>
      </c>
      <c r="L782" s="1">
        <v>46224.918321759258</v>
      </c>
      <c r="M782" s="1">
        <v>46224.91962439815</v>
      </c>
    </row>
    <row r="783" spans="1:13" x14ac:dyDescent="0.35">
      <c r="A783" t="s">
        <v>2269</v>
      </c>
      <c r="B783" t="s">
        <v>1986</v>
      </c>
      <c r="C783" t="s">
        <v>2270</v>
      </c>
      <c r="D783">
        <v>0</v>
      </c>
      <c r="E783" s="1">
        <v>47238</v>
      </c>
      <c r="F783" t="s">
        <v>1988</v>
      </c>
      <c r="G783" t="s">
        <v>2270</v>
      </c>
      <c r="H783" t="s">
        <v>2</v>
      </c>
      <c r="I783" s="1">
        <v>46224</v>
      </c>
      <c r="J783" t="s">
        <v>1991</v>
      </c>
      <c r="K783" t="s">
        <v>3385</v>
      </c>
      <c r="L783" s="1">
        <v>46224.918321759258</v>
      </c>
      <c r="M783" s="1">
        <v>46224.91962439815</v>
      </c>
    </row>
    <row r="784" spans="1:13" x14ac:dyDescent="0.35">
      <c r="A784" t="s">
        <v>158</v>
      </c>
      <c r="B784" t="s">
        <v>1986</v>
      </c>
      <c r="C784" t="s">
        <v>2324</v>
      </c>
      <c r="D784">
        <v>0</v>
      </c>
      <c r="E784" s="1">
        <v>48349</v>
      </c>
      <c r="F784" t="s">
        <v>1988</v>
      </c>
      <c r="G784" t="s">
        <v>2324</v>
      </c>
      <c r="H784" t="s">
        <v>2</v>
      </c>
      <c r="I784" s="1">
        <v>46224</v>
      </c>
      <c r="J784" t="s">
        <v>1989</v>
      </c>
      <c r="K784" t="s">
        <v>3386</v>
      </c>
      <c r="L784" s="1">
        <v>46224.918321759258</v>
      </c>
      <c r="M784" s="1">
        <v>46224.91962439815</v>
      </c>
    </row>
    <row r="785" spans="1:13" x14ac:dyDescent="0.35">
      <c r="A785" t="s">
        <v>158</v>
      </c>
      <c r="B785" t="s">
        <v>1986</v>
      </c>
      <c r="C785" t="s">
        <v>2324</v>
      </c>
      <c r="D785">
        <v>0</v>
      </c>
      <c r="E785" s="1">
        <v>48349</v>
      </c>
      <c r="F785" t="s">
        <v>1988</v>
      </c>
      <c r="G785" t="s">
        <v>2324</v>
      </c>
      <c r="H785" t="s">
        <v>2</v>
      </c>
      <c r="I785" s="1">
        <v>46224</v>
      </c>
      <c r="J785" t="s">
        <v>1991</v>
      </c>
      <c r="K785" t="s">
        <v>3548</v>
      </c>
      <c r="L785" s="1">
        <v>46224.918321759258</v>
      </c>
      <c r="M785" s="1">
        <v>46224.91962439815</v>
      </c>
    </row>
    <row r="786" spans="1:13" x14ac:dyDescent="0.35">
      <c r="A786" t="s">
        <v>2271</v>
      </c>
      <c r="B786" t="s">
        <v>1986</v>
      </c>
      <c r="C786" t="s">
        <v>2272</v>
      </c>
      <c r="D786">
        <v>0</v>
      </c>
      <c r="E786" s="1">
        <v>47269</v>
      </c>
      <c r="F786" t="s">
        <v>1988</v>
      </c>
      <c r="G786" t="s">
        <v>2272</v>
      </c>
      <c r="H786" t="s">
        <v>2</v>
      </c>
      <c r="I786" s="1">
        <v>46224</v>
      </c>
      <c r="J786" t="s">
        <v>1989</v>
      </c>
      <c r="K786" t="s">
        <v>3511</v>
      </c>
      <c r="L786" s="1">
        <v>46224.918321759258</v>
      </c>
      <c r="M786" s="1">
        <v>46224.91962439815</v>
      </c>
    </row>
    <row r="787" spans="1:13" x14ac:dyDescent="0.35">
      <c r="A787" t="s">
        <v>2271</v>
      </c>
      <c r="B787" t="s">
        <v>1986</v>
      </c>
      <c r="C787" t="s">
        <v>2272</v>
      </c>
      <c r="D787">
        <v>0</v>
      </c>
      <c r="E787" s="1">
        <v>47269</v>
      </c>
      <c r="F787" t="s">
        <v>1988</v>
      </c>
      <c r="G787" t="s">
        <v>2272</v>
      </c>
      <c r="H787" t="s">
        <v>2</v>
      </c>
      <c r="I787" s="1">
        <v>46224</v>
      </c>
      <c r="J787" t="s">
        <v>1991</v>
      </c>
      <c r="K787" t="s">
        <v>3339</v>
      </c>
      <c r="L787" s="1">
        <v>46224.918321759258</v>
      </c>
      <c r="M787" s="1">
        <v>46224.91962439815</v>
      </c>
    </row>
    <row r="788" spans="1:13" x14ac:dyDescent="0.35">
      <c r="A788" t="s">
        <v>2243</v>
      </c>
      <c r="B788" t="s">
        <v>1986</v>
      </c>
      <c r="C788" t="s">
        <v>2244</v>
      </c>
      <c r="D788">
        <v>0</v>
      </c>
      <c r="E788" s="1">
        <v>47299</v>
      </c>
      <c r="F788" t="s">
        <v>1988</v>
      </c>
      <c r="G788" t="s">
        <v>2244</v>
      </c>
      <c r="H788" t="s">
        <v>2</v>
      </c>
      <c r="I788" s="1">
        <v>46224</v>
      </c>
      <c r="J788" t="s">
        <v>1989</v>
      </c>
      <c r="K788" t="s">
        <v>3512</v>
      </c>
      <c r="L788" s="1">
        <v>46224.918321759258</v>
      </c>
      <c r="M788" s="1">
        <v>46224.91962439815</v>
      </c>
    </row>
    <row r="789" spans="1:13" x14ac:dyDescent="0.35">
      <c r="A789" t="s">
        <v>2243</v>
      </c>
      <c r="B789" t="s">
        <v>1986</v>
      </c>
      <c r="C789" t="s">
        <v>2244</v>
      </c>
      <c r="D789">
        <v>0</v>
      </c>
      <c r="E789" s="1">
        <v>47299</v>
      </c>
      <c r="F789" t="s">
        <v>1988</v>
      </c>
      <c r="G789" t="s">
        <v>2244</v>
      </c>
      <c r="H789" t="s">
        <v>2</v>
      </c>
      <c r="I789" s="1">
        <v>46224</v>
      </c>
      <c r="J789" t="s">
        <v>1991</v>
      </c>
      <c r="K789" t="s">
        <v>3387</v>
      </c>
      <c r="L789" s="1">
        <v>46224.918321759258</v>
      </c>
      <c r="M789" s="1">
        <v>46224.91962439815</v>
      </c>
    </row>
    <row r="790" spans="1:13" x14ac:dyDescent="0.35">
      <c r="A790" t="s">
        <v>2245</v>
      </c>
      <c r="B790" t="s">
        <v>1986</v>
      </c>
      <c r="C790" t="s">
        <v>2246</v>
      </c>
      <c r="D790">
        <v>0</v>
      </c>
      <c r="E790" s="1">
        <v>47330</v>
      </c>
      <c r="F790" t="s">
        <v>1988</v>
      </c>
      <c r="G790" t="s">
        <v>2246</v>
      </c>
      <c r="H790" t="s">
        <v>2</v>
      </c>
      <c r="I790" s="1">
        <v>46224</v>
      </c>
      <c r="J790" t="s">
        <v>1991</v>
      </c>
      <c r="K790" t="s">
        <v>3513</v>
      </c>
      <c r="L790" s="1">
        <v>46224.918321759258</v>
      </c>
      <c r="M790" s="1">
        <v>46224.91962439815</v>
      </c>
    </row>
    <row r="791" spans="1:13" x14ac:dyDescent="0.35">
      <c r="A791" t="s">
        <v>2245</v>
      </c>
      <c r="B791" t="s">
        <v>1986</v>
      </c>
      <c r="C791" t="s">
        <v>2246</v>
      </c>
      <c r="D791">
        <v>0</v>
      </c>
      <c r="E791" s="1">
        <v>47330</v>
      </c>
      <c r="F791" t="s">
        <v>1988</v>
      </c>
      <c r="G791" t="s">
        <v>2246</v>
      </c>
      <c r="H791" t="s">
        <v>2</v>
      </c>
      <c r="I791" s="1">
        <v>46224</v>
      </c>
      <c r="J791" t="s">
        <v>1989</v>
      </c>
      <c r="K791" t="s">
        <v>4117</v>
      </c>
      <c r="L791" s="1">
        <v>46224.918321759258</v>
      </c>
      <c r="M791" s="1">
        <v>46224.91962439815</v>
      </c>
    </row>
    <row r="792" spans="1:13" x14ac:dyDescent="0.35">
      <c r="A792" t="s">
        <v>193</v>
      </c>
      <c r="B792" t="s">
        <v>1986</v>
      </c>
      <c r="C792" t="s">
        <v>2247</v>
      </c>
      <c r="D792">
        <v>0</v>
      </c>
      <c r="E792" s="1">
        <v>48441</v>
      </c>
      <c r="F792" t="s">
        <v>1988</v>
      </c>
      <c r="G792" t="s">
        <v>2247</v>
      </c>
      <c r="H792" t="s">
        <v>2</v>
      </c>
      <c r="I792" s="1">
        <v>46224</v>
      </c>
      <c r="J792" t="s">
        <v>1989</v>
      </c>
      <c r="K792" t="s">
        <v>3549</v>
      </c>
      <c r="L792" s="1">
        <v>46224.918321759258</v>
      </c>
      <c r="M792" s="1">
        <v>46224.91962439815</v>
      </c>
    </row>
    <row r="793" spans="1:13" x14ac:dyDescent="0.35">
      <c r="A793" t="s">
        <v>193</v>
      </c>
      <c r="B793" t="s">
        <v>1986</v>
      </c>
      <c r="C793" t="s">
        <v>2247</v>
      </c>
      <c r="D793">
        <v>0</v>
      </c>
      <c r="E793" s="1">
        <v>48441</v>
      </c>
      <c r="F793" t="s">
        <v>1988</v>
      </c>
      <c r="G793" t="s">
        <v>2247</v>
      </c>
      <c r="H793" t="s">
        <v>2</v>
      </c>
      <c r="I793" s="1">
        <v>46224</v>
      </c>
      <c r="J793" t="s">
        <v>1991</v>
      </c>
      <c r="K793" t="s">
        <v>3550</v>
      </c>
      <c r="L793" s="1">
        <v>46224.918321759258</v>
      </c>
      <c r="M793" s="1">
        <v>46224.91962439815</v>
      </c>
    </row>
    <row r="794" spans="1:13" x14ac:dyDescent="0.35">
      <c r="A794" t="s">
        <v>2217</v>
      </c>
      <c r="B794" t="s">
        <v>1986</v>
      </c>
      <c r="C794" t="s">
        <v>2218</v>
      </c>
      <c r="D794">
        <v>0</v>
      </c>
      <c r="E794" s="1">
        <v>47361</v>
      </c>
      <c r="F794" t="s">
        <v>1988</v>
      </c>
      <c r="G794" t="s">
        <v>2218</v>
      </c>
      <c r="H794" t="s">
        <v>2</v>
      </c>
      <c r="I794" s="1">
        <v>46224</v>
      </c>
      <c r="J794" t="s">
        <v>1991</v>
      </c>
      <c r="K794" t="s">
        <v>4003</v>
      </c>
      <c r="L794" s="1">
        <v>46224.918321759258</v>
      </c>
      <c r="M794" s="1">
        <v>46224.91962439815</v>
      </c>
    </row>
    <row r="795" spans="1:13" x14ac:dyDescent="0.35">
      <c r="A795" t="s">
        <v>2217</v>
      </c>
      <c r="B795" t="s">
        <v>1986</v>
      </c>
      <c r="C795" t="s">
        <v>2218</v>
      </c>
      <c r="D795">
        <v>0</v>
      </c>
      <c r="E795" s="1">
        <v>47361</v>
      </c>
      <c r="F795" t="s">
        <v>1988</v>
      </c>
      <c r="G795" t="s">
        <v>2218</v>
      </c>
      <c r="H795" t="s">
        <v>2</v>
      </c>
      <c r="I795" s="1">
        <v>46224</v>
      </c>
      <c r="J795" t="s">
        <v>1989</v>
      </c>
      <c r="K795" t="s">
        <v>3551</v>
      </c>
      <c r="L795" s="1">
        <v>46224.918321759258</v>
      </c>
      <c r="M795" s="1">
        <v>46224.91962439815</v>
      </c>
    </row>
    <row r="796" spans="1:13" x14ac:dyDescent="0.35">
      <c r="A796" t="s">
        <v>2248</v>
      </c>
      <c r="B796" t="s">
        <v>1986</v>
      </c>
      <c r="C796" t="s">
        <v>2249</v>
      </c>
      <c r="D796">
        <v>0</v>
      </c>
      <c r="E796" s="1">
        <v>47391</v>
      </c>
      <c r="F796" t="s">
        <v>1988</v>
      </c>
      <c r="G796" t="s">
        <v>2249</v>
      </c>
      <c r="H796" t="s">
        <v>2</v>
      </c>
      <c r="I796" s="1">
        <v>46224</v>
      </c>
      <c r="J796" t="s">
        <v>1989</v>
      </c>
      <c r="K796" t="s">
        <v>3514</v>
      </c>
      <c r="L796" s="1">
        <v>46224.918321759258</v>
      </c>
      <c r="M796" s="1">
        <v>46224.91962439815</v>
      </c>
    </row>
    <row r="797" spans="1:13" x14ac:dyDescent="0.35">
      <c r="A797" t="s">
        <v>2248</v>
      </c>
      <c r="B797" t="s">
        <v>1986</v>
      </c>
      <c r="C797" t="s">
        <v>2249</v>
      </c>
      <c r="D797">
        <v>0</v>
      </c>
      <c r="E797" s="1">
        <v>47391</v>
      </c>
      <c r="F797" t="s">
        <v>1988</v>
      </c>
      <c r="G797" t="s">
        <v>2249</v>
      </c>
      <c r="H797" t="s">
        <v>2</v>
      </c>
      <c r="I797" s="1">
        <v>46224</v>
      </c>
      <c r="J797" t="s">
        <v>1991</v>
      </c>
      <c r="K797" t="s">
        <v>3552</v>
      </c>
      <c r="L797" s="1">
        <v>46224.918321759258</v>
      </c>
      <c r="M797" s="1">
        <v>46224.91962439815</v>
      </c>
    </row>
    <row r="798" spans="1:13" x14ac:dyDescent="0.35">
      <c r="A798" t="s">
        <v>2299</v>
      </c>
      <c r="B798" t="s">
        <v>1986</v>
      </c>
      <c r="C798" t="s">
        <v>2300</v>
      </c>
      <c r="D798">
        <v>0</v>
      </c>
      <c r="E798" s="1">
        <v>47422</v>
      </c>
      <c r="F798" t="s">
        <v>1988</v>
      </c>
      <c r="G798" t="s">
        <v>2300</v>
      </c>
      <c r="H798" t="s">
        <v>2</v>
      </c>
      <c r="I798" s="1">
        <v>46224</v>
      </c>
      <c r="J798" t="s">
        <v>1989</v>
      </c>
      <c r="K798" t="s">
        <v>3340</v>
      </c>
      <c r="L798" s="1">
        <v>46224.918321759258</v>
      </c>
      <c r="M798" s="1">
        <v>46224.91962439815</v>
      </c>
    </row>
    <row r="799" spans="1:13" x14ac:dyDescent="0.35">
      <c r="A799" t="s">
        <v>2299</v>
      </c>
      <c r="B799" t="s">
        <v>1986</v>
      </c>
      <c r="C799" t="s">
        <v>2300</v>
      </c>
      <c r="D799">
        <v>0</v>
      </c>
      <c r="E799" s="1">
        <v>47422</v>
      </c>
      <c r="F799" t="s">
        <v>1988</v>
      </c>
      <c r="G799" t="s">
        <v>2300</v>
      </c>
      <c r="H799" t="s">
        <v>2</v>
      </c>
      <c r="I799" s="1">
        <v>46224</v>
      </c>
      <c r="J799" t="s">
        <v>1991</v>
      </c>
      <c r="K799" t="s">
        <v>3553</v>
      </c>
      <c r="L799" s="1">
        <v>46224.918321759258</v>
      </c>
      <c r="M799" s="1">
        <v>46224.91962439815</v>
      </c>
    </row>
    <row r="800" spans="1:13" x14ac:dyDescent="0.35">
      <c r="A800" t="s">
        <v>248</v>
      </c>
      <c r="B800" t="s">
        <v>1986</v>
      </c>
      <c r="C800" t="s">
        <v>2273</v>
      </c>
      <c r="D800">
        <v>0</v>
      </c>
      <c r="E800" s="1">
        <v>48533</v>
      </c>
      <c r="F800" t="s">
        <v>1988</v>
      </c>
      <c r="G800" t="s">
        <v>2273</v>
      </c>
      <c r="H800" t="s">
        <v>2</v>
      </c>
      <c r="I800" s="1">
        <v>46224</v>
      </c>
      <c r="J800" t="s">
        <v>1989</v>
      </c>
      <c r="K800" t="s">
        <v>3358</v>
      </c>
      <c r="L800" s="1">
        <v>46224.918321759258</v>
      </c>
      <c r="M800" s="1">
        <v>46224.91962439815</v>
      </c>
    </row>
    <row r="801" spans="1:13" x14ac:dyDescent="0.35">
      <c r="A801" t="s">
        <v>248</v>
      </c>
      <c r="B801" t="s">
        <v>1986</v>
      </c>
      <c r="C801" t="s">
        <v>2273</v>
      </c>
      <c r="D801">
        <v>0</v>
      </c>
      <c r="E801" s="1">
        <v>48533</v>
      </c>
      <c r="F801" t="s">
        <v>1988</v>
      </c>
      <c r="G801" t="s">
        <v>2273</v>
      </c>
      <c r="H801" t="s">
        <v>2</v>
      </c>
      <c r="I801" s="1">
        <v>46224</v>
      </c>
      <c r="J801" t="s">
        <v>1991</v>
      </c>
      <c r="K801" t="s">
        <v>3388</v>
      </c>
      <c r="L801" s="1">
        <v>46224.918321759258</v>
      </c>
      <c r="M801" s="1">
        <v>46224.91962439815</v>
      </c>
    </row>
    <row r="802" spans="1:13" x14ac:dyDescent="0.35">
      <c r="A802" t="s">
        <v>2274</v>
      </c>
      <c r="B802" t="s">
        <v>1986</v>
      </c>
      <c r="C802" t="s">
        <v>2275</v>
      </c>
      <c r="D802">
        <v>0</v>
      </c>
      <c r="E802" s="1">
        <v>47452</v>
      </c>
      <c r="F802" t="s">
        <v>1988</v>
      </c>
      <c r="G802" t="s">
        <v>2275</v>
      </c>
      <c r="H802" t="s">
        <v>2</v>
      </c>
      <c r="I802" s="1">
        <v>46224</v>
      </c>
      <c r="J802" t="s">
        <v>1989</v>
      </c>
      <c r="K802" t="s">
        <v>3515</v>
      </c>
      <c r="L802" s="1">
        <v>46224.918321759258</v>
      </c>
      <c r="M802" s="1">
        <v>46224.91962439815</v>
      </c>
    </row>
    <row r="803" spans="1:13" x14ac:dyDescent="0.35">
      <c r="A803" t="s">
        <v>2274</v>
      </c>
      <c r="B803" t="s">
        <v>1986</v>
      </c>
      <c r="C803" t="s">
        <v>2275</v>
      </c>
      <c r="D803">
        <v>0</v>
      </c>
      <c r="E803" s="1">
        <v>47452</v>
      </c>
      <c r="F803" t="s">
        <v>1988</v>
      </c>
      <c r="G803" t="s">
        <v>2275</v>
      </c>
      <c r="H803" t="s">
        <v>2</v>
      </c>
      <c r="I803" s="1">
        <v>46224</v>
      </c>
      <c r="J803" t="s">
        <v>1991</v>
      </c>
      <c r="K803" t="s">
        <v>4118</v>
      </c>
      <c r="L803" s="1">
        <v>46224.918321759258</v>
      </c>
      <c r="M803" s="1">
        <v>46224.91962439815</v>
      </c>
    </row>
    <row r="804" spans="1:13" x14ac:dyDescent="0.35">
      <c r="A804" t="s">
        <v>2289</v>
      </c>
      <c r="B804" t="s">
        <v>1986</v>
      </c>
      <c r="C804" t="s">
        <v>2290</v>
      </c>
      <c r="D804">
        <v>0</v>
      </c>
      <c r="E804" s="1">
        <v>47483</v>
      </c>
      <c r="F804" t="s">
        <v>1988</v>
      </c>
      <c r="G804" t="s">
        <v>2290</v>
      </c>
      <c r="H804" t="s">
        <v>2</v>
      </c>
      <c r="I804" s="1">
        <v>46224</v>
      </c>
      <c r="J804" t="s">
        <v>1989</v>
      </c>
      <c r="K804" t="s">
        <v>3516</v>
      </c>
      <c r="L804" s="1">
        <v>46224.918321759258</v>
      </c>
      <c r="M804" s="1">
        <v>46224.91962439815</v>
      </c>
    </row>
    <row r="805" spans="1:13" x14ac:dyDescent="0.35">
      <c r="A805" t="s">
        <v>2289</v>
      </c>
      <c r="B805" t="s">
        <v>1986</v>
      </c>
      <c r="C805" t="s">
        <v>2290</v>
      </c>
      <c r="D805">
        <v>0</v>
      </c>
      <c r="E805" s="1">
        <v>47483</v>
      </c>
      <c r="F805" t="s">
        <v>1988</v>
      </c>
      <c r="G805" t="s">
        <v>2290</v>
      </c>
      <c r="H805" t="s">
        <v>2</v>
      </c>
      <c r="I805" s="1">
        <v>46224</v>
      </c>
      <c r="J805" t="s">
        <v>1991</v>
      </c>
      <c r="K805" t="s">
        <v>3359</v>
      </c>
      <c r="L805" s="1">
        <v>46224.918321759258</v>
      </c>
      <c r="M805" s="1">
        <v>46224.91962439815</v>
      </c>
    </row>
    <row r="806" spans="1:13" x14ac:dyDescent="0.35">
      <c r="A806" t="s">
        <v>2219</v>
      </c>
      <c r="B806" t="s">
        <v>1986</v>
      </c>
      <c r="C806" t="s">
        <v>2220</v>
      </c>
      <c r="D806">
        <v>0</v>
      </c>
      <c r="E806" s="1">
        <v>47514</v>
      </c>
      <c r="F806" t="s">
        <v>1988</v>
      </c>
      <c r="G806" t="s">
        <v>2220</v>
      </c>
      <c r="H806" t="s">
        <v>2</v>
      </c>
      <c r="I806" s="1">
        <v>46224</v>
      </c>
      <c r="J806" t="s">
        <v>1991</v>
      </c>
      <c r="K806" t="s">
        <v>3360</v>
      </c>
      <c r="L806" s="1">
        <v>46224.918321759258</v>
      </c>
      <c r="M806" s="1">
        <v>46224.91962439815</v>
      </c>
    </row>
    <row r="807" spans="1:13" x14ac:dyDescent="0.35">
      <c r="A807" t="s">
        <v>2219</v>
      </c>
      <c r="B807" t="s">
        <v>1986</v>
      </c>
      <c r="C807" t="s">
        <v>2220</v>
      </c>
      <c r="D807">
        <v>0</v>
      </c>
      <c r="E807" s="1">
        <v>47514</v>
      </c>
      <c r="F807" t="s">
        <v>1988</v>
      </c>
      <c r="G807" t="s">
        <v>2220</v>
      </c>
      <c r="H807" t="s">
        <v>2</v>
      </c>
      <c r="I807" s="1">
        <v>46224</v>
      </c>
      <c r="J807" t="s">
        <v>1989</v>
      </c>
      <c r="K807" t="s">
        <v>3580</v>
      </c>
      <c r="L807" s="1">
        <v>46224.918321759258</v>
      </c>
      <c r="M807" s="1">
        <v>46224.91962439815</v>
      </c>
    </row>
    <row r="808" spans="1:13" x14ac:dyDescent="0.35">
      <c r="A808" t="s">
        <v>250</v>
      </c>
      <c r="B808" t="s">
        <v>1986</v>
      </c>
      <c r="C808" t="s">
        <v>2325</v>
      </c>
      <c r="D808">
        <v>0</v>
      </c>
      <c r="E808" s="1">
        <v>48625</v>
      </c>
      <c r="F808" t="s">
        <v>1988</v>
      </c>
      <c r="G808" t="s">
        <v>2325</v>
      </c>
      <c r="H808" t="s">
        <v>2</v>
      </c>
      <c r="I808" s="1">
        <v>46224</v>
      </c>
      <c r="J808" t="s">
        <v>1991</v>
      </c>
      <c r="K808" t="s">
        <v>3361</v>
      </c>
      <c r="L808" s="1">
        <v>46224.918321759258</v>
      </c>
      <c r="M808" s="1">
        <v>46224.91962439815</v>
      </c>
    </row>
    <row r="809" spans="1:13" x14ac:dyDescent="0.35">
      <c r="A809" t="s">
        <v>250</v>
      </c>
      <c r="B809" t="s">
        <v>1986</v>
      </c>
      <c r="C809" t="s">
        <v>2325</v>
      </c>
      <c r="D809">
        <v>0</v>
      </c>
      <c r="E809" s="1">
        <v>48625</v>
      </c>
      <c r="F809" t="s">
        <v>1988</v>
      </c>
      <c r="G809" t="s">
        <v>2325</v>
      </c>
      <c r="H809" t="s">
        <v>2</v>
      </c>
      <c r="I809" s="1">
        <v>46224</v>
      </c>
      <c r="J809" t="s">
        <v>1989</v>
      </c>
      <c r="K809" t="s">
        <v>3389</v>
      </c>
      <c r="L809" s="1">
        <v>46224.918321759258</v>
      </c>
      <c r="M809" s="1">
        <v>46224.91962439815</v>
      </c>
    </row>
    <row r="810" spans="1:13" x14ac:dyDescent="0.35">
      <c r="A810" t="s">
        <v>2221</v>
      </c>
      <c r="B810" t="s">
        <v>1986</v>
      </c>
      <c r="C810" t="s">
        <v>2222</v>
      </c>
      <c r="D810">
        <v>0</v>
      </c>
      <c r="E810" s="1">
        <v>47542</v>
      </c>
      <c r="F810" t="s">
        <v>1988</v>
      </c>
      <c r="G810" t="s">
        <v>2222</v>
      </c>
      <c r="H810" t="s">
        <v>2</v>
      </c>
      <c r="I810" s="1">
        <v>46224</v>
      </c>
      <c r="J810" t="s">
        <v>1991</v>
      </c>
      <c r="K810" t="s">
        <v>3362</v>
      </c>
      <c r="L810" s="1">
        <v>46224.918321759258</v>
      </c>
      <c r="M810" s="1">
        <v>46224.91962439815</v>
      </c>
    </row>
    <row r="811" spans="1:13" x14ac:dyDescent="0.35">
      <c r="A811" t="s">
        <v>2221</v>
      </c>
      <c r="B811" t="s">
        <v>1986</v>
      </c>
      <c r="C811" t="s">
        <v>2222</v>
      </c>
      <c r="D811">
        <v>0</v>
      </c>
      <c r="E811" s="1">
        <v>47542</v>
      </c>
      <c r="F811" t="s">
        <v>1988</v>
      </c>
      <c r="G811" t="s">
        <v>2222</v>
      </c>
      <c r="H811" t="s">
        <v>2</v>
      </c>
      <c r="I811" s="1">
        <v>46224</v>
      </c>
      <c r="J811" t="s">
        <v>1989</v>
      </c>
      <c r="K811" t="s">
        <v>4119</v>
      </c>
      <c r="L811" s="1">
        <v>46224.918321759258</v>
      </c>
      <c r="M811" s="1">
        <v>46224.91962439815</v>
      </c>
    </row>
    <row r="812" spans="1:13" x14ac:dyDescent="0.35">
      <c r="A812" t="s">
        <v>2326</v>
      </c>
      <c r="B812" t="s">
        <v>1986</v>
      </c>
      <c r="C812" t="s">
        <v>2327</v>
      </c>
      <c r="D812">
        <v>0</v>
      </c>
      <c r="E812" s="1">
        <v>47573</v>
      </c>
      <c r="F812" t="s">
        <v>1988</v>
      </c>
      <c r="G812" t="s">
        <v>2327</v>
      </c>
      <c r="H812" t="s">
        <v>2</v>
      </c>
      <c r="I812" s="1">
        <v>46224</v>
      </c>
      <c r="J812" t="s">
        <v>1989</v>
      </c>
      <c r="K812" t="s">
        <v>3341</v>
      </c>
      <c r="L812" s="1">
        <v>46224.918321759258</v>
      </c>
      <c r="M812" s="1">
        <v>46224.91962439815</v>
      </c>
    </row>
    <row r="813" spans="1:13" x14ac:dyDescent="0.35">
      <c r="A813" t="s">
        <v>2326</v>
      </c>
      <c r="B813" t="s">
        <v>1986</v>
      </c>
      <c r="C813" t="s">
        <v>2327</v>
      </c>
      <c r="D813">
        <v>0</v>
      </c>
      <c r="E813" s="1">
        <v>47573</v>
      </c>
      <c r="F813" t="s">
        <v>1988</v>
      </c>
      <c r="G813" t="s">
        <v>2327</v>
      </c>
      <c r="H813" t="s">
        <v>2</v>
      </c>
      <c r="I813" s="1">
        <v>46224</v>
      </c>
      <c r="J813" t="s">
        <v>1991</v>
      </c>
      <c r="K813" t="s">
        <v>3342</v>
      </c>
      <c r="L813" s="1">
        <v>46224.918321759258</v>
      </c>
      <c r="M813" s="1">
        <v>46224.91962439815</v>
      </c>
    </row>
    <row r="814" spans="1:13" x14ac:dyDescent="0.35">
      <c r="A814" t="s">
        <v>2223</v>
      </c>
      <c r="B814" t="s">
        <v>1986</v>
      </c>
      <c r="C814" t="s">
        <v>2224</v>
      </c>
      <c r="D814">
        <v>0</v>
      </c>
      <c r="E814" s="1">
        <v>47603</v>
      </c>
      <c r="F814" t="s">
        <v>1988</v>
      </c>
      <c r="G814" t="s">
        <v>2224</v>
      </c>
      <c r="H814" t="s">
        <v>2</v>
      </c>
      <c r="I814" s="1">
        <v>46224</v>
      </c>
      <c r="J814" t="s">
        <v>1989</v>
      </c>
      <c r="K814" t="s">
        <v>4004</v>
      </c>
      <c r="L814" s="1">
        <v>46224.918321759258</v>
      </c>
      <c r="M814" s="1">
        <v>46224.91962439815</v>
      </c>
    </row>
    <row r="815" spans="1:13" x14ac:dyDescent="0.35">
      <c r="A815" t="s">
        <v>2223</v>
      </c>
      <c r="B815" t="s">
        <v>1986</v>
      </c>
      <c r="C815" t="s">
        <v>2224</v>
      </c>
      <c r="D815">
        <v>0</v>
      </c>
      <c r="E815" s="1">
        <v>47603</v>
      </c>
      <c r="F815" t="s">
        <v>1988</v>
      </c>
      <c r="G815" t="s">
        <v>2224</v>
      </c>
      <c r="H815" t="s">
        <v>2</v>
      </c>
      <c r="I815" s="1">
        <v>46224</v>
      </c>
      <c r="J815" t="s">
        <v>1991</v>
      </c>
      <c r="K815" t="s">
        <v>3581</v>
      </c>
      <c r="L815" s="1">
        <v>46224.918321759258</v>
      </c>
      <c r="M815" s="1">
        <v>46224.91962439815</v>
      </c>
    </row>
    <row r="816" spans="1:13" x14ac:dyDescent="0.35">
      <c r="A816" t="s">
        <v>194</v>
      </c>
      <c r="B816" t="s">
        <v>1986</v>
      </c>
      <c r="C816" t="s">
        <v>2301</v>
      </c>
      <c r="D816">
        <v>0</v>
      </c>
      <c r="E816" s="1">
        <v>48714</v>
      </c>
      <c r="F816" t="s">
        <v>1988</v>
      </c>
      <c r="G816" t="s">
        <v>2301</v>
      </c>
      <c r="H816" t="s">
        <v>2</v>
      </c>
      <c r="I816" s="1">
        <v>46224</v>
      </c>
      <c r="J816" t="s">
        <v>1989</v>
      </c>
      <c r="K816" t="s">
        <v>3390</v>
      </c>
      <c r="L816" s="1">
        <v>46224.918321759258</v>
      </c>
      <c r="M816" s="1">
        <v>46224.91962439815</v>
      </c>
    </row>
    <row r="817" spans="1:13" x14ac:dyDescent="0.35">
      <c r="A817" t="s">
        <v>194</v>
      </c>
      <c r="B817" t="s">
        <v>1986</v>
      </c>
      <c r="C817" t="s">
        <v>2301</v>
      </c>
      <c r="D817">
        <v>0</v>
      </c>
      <c r="E817" s="1">
        <v>48714</v>
      </c>
      <c r="F817" t="s">
        <v>1988</v>
      </c>
      <c r="G817" t="s">
        <v>2301</v>
      </c>
      <c r="H817" t="s">
        <v>2</v>
      </c>
      <c r="I817" s="1">
        <v>46224</v>
      </c>
      <c r="J817" t="s">
        <v>1991</v>
      </c>
      <c r="K817" t="s">
        <v>3582</v>
      </c>
      <c r="L817" s="1">
        <v>46224.918321759258</v>
      </c>
      <c r="M817" s="1">
        <v>46224.91962439815</v>
      </c>
    </row>
    <row r="818" spans="1:13" x14ac:dyDescent="0.35">
      <c r="A818" t="s">
        <v>2302</v>
      </c>
      <c r="B818" t="s">
        <v>1986</v>
      </c>
      <c r="C818" t="s">
        <v>2303</v>
      </c>
      <c r="D818">
        <v>0</v>
      </c>
      <c r="E818" s="1">
        <v>47634</v>
      </c>
      <c r="F818" t="s">
        <v>1988</v>
      </c>
      <c r="G818" t="s">
        <v>2303</v>
      </c>
      <c r="H818" t="s">
        <v>2</v>
      </c>
      <c r="I818" s="1">
        <v>46224</v>
      </c>
      <c r="J818" t="s">
        <v>1991</v>
      </c>
      <c r="K818" t="s">
        <v>3343</v>
      </c>
      <c r="L818" s="1">
        <v>46224.918321759258</v>
      </c>
      <c r="M818" s="1">
        <v>46224.91962439815</v>
      </c>
    </row>
    <row r="819" spans="1:13" x14ac:dyDescent="0.35">
      <c r="A819" t="s">
        <v>2302</v>
      </c>
      <c r="B819" t="s">
        <v>1986</v>
      </c>
      <c r="C819" t="s">
        <v>2303</v>
      </c>
      <c r="D819">
        <v>0</v>
      </c>
      <c r="E819" s="1">
        <v>47634</v>
      </c>
      <c r="F819" t="s">
        <v>1988</v>
      </c>
      <c r="G819" t="s">
        <v>2303</v>
      </c>
      <c r="H819" t="s">
        <v>2</v>
      </c>
      <c r="I819" s="1">
        <v>46224</v>
      </c>
      <c r="J819" t="s">
        <v>1989</v>
      </c>
      <c r="K819" t="s">
        <v>4120</v>
      </c>
      <c r="L819" s="1">
        <v>46224.918321759258</v>
      </c>
      <c r="M819" s="1">
        <v>46224.91962439815</v>
      </c>
    </row>
    <row r="820" spans="1:13" x14ac:dyDescent="0.35">
      <c r="A820" t="s">
        <v>2276</v>
      </c>
      <c r="B820" t="s">
        <v>1986</v>
      </c>
      <c r="C820" t="s">
        <v>2277</v>
      </c>
      <c r="D820">
        <v>0</v>
      </c>
      <c r="E820" s="1">
        <v>46843</v>
      </c>
      <c r="F820" t="s">
        <v>1988</v>
      </c>
      <c r="G820" t="s">
        <v>2277</v>
      </c>
      <c r="H820" t="s">
        <v>2</v>
      </c>
      <c r="I820" s="1">
        <v>46224</v>
      </c>
      <c r="J820" t="s">
        <v>1989</v>
      </c>
      <c r="K820" t="s">
        <v>3391</v>
      </c>
      <c r="L820" s="1">
        <v>46224.918321759258</v>
      </c>
      <c r="M820" s="1">
        <v>46224.91962439815</v>
      </c>
    </row>
    <row r="821" spans="1:13" x14ac:dyDescent="0.35">
      <c r="A821" t="s">
        <v>2276</v>
      </c>
      <c r="B821" t="s">
        <v>1986</v>
      </c>
      <c r="C821" t="s">
        <v>2277</v>
      </c>
      <c r="D821">
        <v>0</v>
      </c>
      <c r="E821" s="1">
        <v>46843</v>
      </c>
      <c r="F821" t="s">
        <v>1988</v>
      </c>
      <c r="G821" t="s">
        <v>2277</v>
      </c>
      <c r="H821" t="s">
        <v>2</v>
      </c>
      <c r="I821" s="1">
        <v>46224</v>
      </c>
      <c r="J821" t="s">
        <v>1991</v>
      </c>
      <c r="K821" t="s">
        <v>3583</v>
      </c>
      <c r="L821" s="1">
        <v>46224.918321759258</v>
      </c>
      <c r="M821" s="1">
        <v>46224.91962439815</v>
      </c>
    </row>
    <row r="822" spans="1:13" x14ac:dyDescent="0.35">
      <c r="A822" t="s">
        <v>2304</v>
      </c>
      <c r="B822" t="s">
        <v>1986</v>
      </c>
      <c r="C822" t="s">
        <v>2305</v>
      </c>
      <c r="D822">
        <v>0</v>
      </c>
      <c r="E822" s="1">
        <v>46873</v>
      </c>
      <c r="F822" t="s">
        <v>1988</v>
      </c>
      <c r="G822" t="s">
        <v>2305</v>
      </c>
      <c r="H822" t="s">
        <v>2</v>
      </c>
      <c r="I822" s="1">
        <v>46224</v>
      </c>
      <c r="J822" t="s">
        <v>1991</v>
      </c>
      <c r="K822" t="s">
        <v>3392</v>
      </c>
      <c r="L822" s="1">
        <v>46224.918321759258</v>
      </c>
      <c r="M822" s="1">
        <v>46224.91962439815</v>
      </c>
    </row>
    <row r="823" spans="1:13" x14ac:dyDescent="0.35">
      <c r="A823" t="s">
        <v>2304</v>
      </c>
      <c r="B823" t="s">
        <v>1986</v>
      </c>
      <c r="C823" t="s">
        <v>2305</v>
      </c>
      <c r="D823">
        <v>0</v>
      </c>
      <c r="E823" s="1">
        <v>46873</v>
      </c>
      <c r="F823" t="s">
        <v>1988</v>
      </c>
      <c r="G823" t="s">
        <v>2305</v>
      </c>
      <c r="H823" t="s">
        <v>2</v>
      </c>
      <c r="I823" s="1">
        <v>46224</v>
      </c>
      <c r="J823" t="s">
        <v>1989</v>
      </c>
      <c r="K823" t="s">
        <v>4121</v>
      </c>
      <c r="L823" s="1">
        <v>46224.918321759258</v>
      </c>
      <c r="M823" s="1">
        <v>46224.91962439815</v>
      </c>
    </row>
    <row r="824" spans="1:13" x14ac:dyDescent="0.35">
      <c r="A824" t="s">
        <v>195</v>
      </c>
      <c r="B824" t="s">
        <v>1986</v>
      </c>
      <c r="C824" t="s">
        <v>2278</v>
      </c>
      <c r="D824">
        <v>0</v>
      </c>
      <c r="E824" s="1">
        <v>47983</v>
      </c>
      <c r="F824" t="s">
        <v>1988</v>
      </c>
      <c r="G824" t="s">
        <v>2278</v>
      </c>
      <c r="H824" t="s">
        <v>2</v>
      </c>
      <c r="I824" s="1">
        <v>46224</v>
      </c>
      <c r="J824" t="s">
        <v>1991</v>
      </c>
      <c r="K824" t="s">
        <v>3517</v>
      </c>
      <c r="L824" s="1">
        <v>46224.918321759258</v>
      </c>
      <c r="M824" s="1">
        <v>46224.91962439815</v>
      </c>
    </row>
    <row r="825" spans="1:13" x14ac:dyDescent="0.35">
      <c r="A825" t="s">
        <v>195</v>
      </c>
      <c r="B825" t="s">
        <v>1986</v>
      </c>
      <c r="C825" t="s">
        <v>2278</v>
      </c>
      <c r="D825">
        <v>0</v>
      </c>
      <c r="E825" s="1">
        <v>47983</v>
      </c>
      <c r="F825" t="s">
        <v>1988</v>
      </c>
      <c r="G825" t="s">
        <v>2278</v>
      </c>
      <c r="H825" t="s">
        <v>2</v>
      </c>
      <c r="I825" s="1">
        <v>46224</v>
      </c>
      <c r="J825" t="s">
        <v>2146</v>
      </c>
      <c r="K825" t="s">
        <v>2587</v>
      </c>
      <c r="L825" s="1">
        <v>46224.917650462965</v>
      </c>
      <c r="M825" s="1">
        <v>46224.91962439815</v>
      </c>
    </row>
    <row r="826" spans="1:13" x14ac:dyDescent="0.35">
      <c r="A826" t="s">
        <v>195</v>
      </c>
      <c r="B826" t="s">
        <v>1986</v>
      </c>
      <c r="C826" t="s">
        <v>2278</v>
      </c>
      <c r="D826">
        <v>0</v>
      </c>
      <c r="E826" s="1">
        <v>47983</v>
      </c>
      <c r="F826" t="s">
        <v>1988</v>
      </c>
      <c r="G826" t="s">
        <v>2278</v>
      </c>
      <c r="H826" t="s">
        <v>2</v>
      </c>
      <c r="I826" s="1">
        <v>46224</v>
      </c>
      <c r="J826" t="s">
        <v>2064</v>
      </c>
      <c r="K826" t="s">
        <v>2629</v>
      </c>
      <c r="L826" s="1">
        <v>46224.917650462965</v>
      </c>
      <c r="M826" s="1">
        <v>46224.91962439815</v>
      </c>
    </row>
    <row r="827" spans="1:13" x14ac:dyDescent="0.35">
      <c r="A827" t="s">
        <v>195</v>
      </c>
      <c r="B827" t="s">
        <v>1986</v>
      </c>
      <c r="C827" t="s">
        <v>2278</v>
      </c>
      <c r="D827">
        <v>0</v>
      </c>
      <c r="E827" s="1">
        <v>47983</v>
      </c>
      <c r="F827" t="s">
        <v>1988</v>
      </c>
      <c r="G827" t="s">
        <v>2278</v>
      </c>
      <c r="H827" t="s">
        <v>2</v>
      </c>
      <c r="I827" s="1">
        <v>46224</v>
      </c>
      <c r="J827" t="s">
        <v>2065</v>
      </c>
      <c r="K827" t="s">
        <v>2629</v>
      </c>
      <c r="L827" s="1">
        <v>46224.917650462965</v>
      </c>
      <c r="M827" s="1">
        <v>46224.91962439815</v>
      </c>
    </row>
    <row r="828" spans="1:13" x14ac:dyDescent="0.35">
      <c r="A828" t="s">
        <v>195</v>
      </c>
      <c r="B828" t="s">
        <v>1986</v>
      </c>
      <c r="C828" t="s">
        <v>2278</v>
      </c>
      <c r="D828">
        <v>0</v>
      </c>
      <c r="E828" s="1">
        <v>47983</v>
      </c>
      <c r="F828" t="s">
        <v>1988</v>
      </c>
      <c r="G828" t="s">
        <v>2278</v>
      </c>
      <c r="H828" t="s">
        <v>2</v>
      </c>
      <c r="I828" s="1">
        <v>46224</v>
      </c>
      <c r="J828" t="s">
        <v>1989</v>
      </c>
      <c r="K828" t="s">
        <v>3554</v>
      </c>
      <c r="L828" s="1">
        <v>46224.918321759258</v>
      </c>
      <c r="M828" s="1">
        <v>46224.91962439815</v>
      </c>
    </row>
    <row r="829" spans="1:13" x14ac:dyDescent="0.35">
      <c r="A829" t="s">
        <v>195</v>
      </c>
      <c r="B829" t="s">
        <v>1986</v>
      </c>
      <c r="C829" t="s">
        <v>2278</v>
      </c>
      <c r="D829">
        <v>0</v>
      </c>
      <c r="E829" s="1">
        <v>47983</v>
      </c>
      <c r="F829" t="s">
        <v>1988</v>
      </c>
      <c r="G829" t="s">
        <v>2278</v>
      </c>
      <c r="H829" t="s">
        <v>2</v>
      </c>
      <c r="I829" s="1">
        <v>46224</v>
      </c>
      <c r="J829" t="s">
        <v>2108</v>
      </c>
      <c r="K829" t="s">
        <v>2587</v>
      </c>
      <c r="L829" s="1">
        <v>46224.917650462965</v>
      </c>
      <c r="M829" s="1">
        <v>46224.91962439815</v>
      </c>
    </row>
    <row r="830" spans="1:13" x14ac:dyDescent="0.35">
      <c r="A830" t="s">
        <v>2280</v>
      </c>
      <c r="B830" t="s">
        <v>1986</v>
      </c>
      <c r="C830" t="s">
        <v>2281</v>
      </c>
      <c r="D830">
        <v>0</v>
      </c>
      <c r="E830" s="1">
        <v>46904</v>
      </c>
      <c r="F830" t="s">
        <v>1988</v>
      </c>
      <c r="G830" t="s">
        <v>2281</v>
      </c>
      <c r="H830" t="s">
        <v>2</v>
      </c>
      <c r="I830" s="1">
        <v>46224</v>
      </c>
      <c r="J830" t="s">
        <v>1989</v>
      </c>
      <c r="K830" t="s">
        <v>3518</v>
      </c>
      <c r="L830" s="1">
        <v>46224.918321759258</v>
      </c>
      <c r="M830" s="1">
        <v>46224.91962439815</v>
      </c>
    </row>
    <row r="831" spans="1:13" x14ac:dyDescent="0.35">
      <c r="A831" t="s">
        <v>2280</v>
      </c>
      <c r="B831" t="s">
        <v>1986</v>
      </c>
      <c r="C831" t="s">
        <v>2281</v>
      </c>
      <c r="D831">
        <v>0</v>
      </c>
      <c r="E831" s="1">
        <v>46904</v>
      </c>
      <c r="F831" t="s">
        <v>1988</v>
      </c>
      <c r="G831" t="s">
        <v>2281</v>
      </c>
      <c r="H831" t="s">
        <v>2</v>
      </c>
      <c r="I831" s="1">
        <v>46224</v>
      </c>
      <c r="J831" t="s">
        <v>1991</v>
      </c>
      <c r="K831" t="s">
        <v>4005</v>
      </c>
      <c r="L831" s="1">
        <v>46224.918321759258</v>
      </c>
      <c r="M831" s="1">
        <v>46224.91962439815</v>
      </c>
    </row>
    <row r="832" spans="1:13" x14ac:dyDescent="0.35">
      <c r="A832" t="s">
        <v>2291</v>
      </c>
      <c r="B832" t="s">
        <v>1986</v>
      </c>
      <c r="C832" t="s">
        <v>2292</v>
      </c>
      <c r="D832">
        <v>0</v>
      </c>
      <c r="E832" s="1">
        <v>46934</v>
      </c>
      <c r="F832" t="s">
        <v>1988</v>
      </c>
      <c r="G832" t="s">
        <v>2292</v>
      </c>
      <c r="H832" t="s">
        <v>2</v>
      </c>
      <c r="I832" s="1">
        <v>46224</v>
      </c>
      <c r="J832" t="s">
        <v>1989</v>
      </c>
      <c r="K832" t="s">
        <v>3363</v>
      </c>
      <c r="L832" s="1">
        <v>46224.918321759258</v>
      </c>
      <c r="M832" s="1">
        <v>46224.91962439815</v>
      </c>
    </row>
    <row r="833" spans="1:13" x14ac:dyDescent="0.35">
      <c r="A833" t="s">
        <v>2291</v>
      </c>
      <c r="B833" t="s">
        <v>1986</v>
      </c>
      <c r="C833" t="s">
        <v>2292</v>
      </c>
      <c r="D833">
        <v>0</v>
      </c>
      <c r="E833" s="1">
        <v>46934</v>
      </c>
      <c r="F833" t="s">
        <v>1988</v>
      </c>
      <c r="G833" t="s">
        <v>2292</v>
      </c>
      <c r="H833" t="s">
        <v>2</v>
      </c>
      <c r="I833" s="1">
        <v>46224</v>
      </c>
      <c r="J833" t="s">
        <v>1991</v>
      </c>
      <c r="K833" t="s">
        <v>3584</v>
      </c>
      <c r="L833" s="1">
        <v>46224.918321759258</v>
      </c>
      <c r="M833" s="1">
        <v>46224.91962439815</v>
      </c>
    </row>
    <row r="834" spans="1:13" x14ac:dyDescent="0.35">
      <c r="A834" t="s">
        <v>2306</v>
      </c>
      <c r="B834" t="s">
        <v>1986</v>
      </c>
      <c r="C834" t="s">
        <v>2307</v>
      </c>
      <c r="D834">
        <v>0</v>
      </c>
      <c r="E834" s="1">
        <v>46965</v>
      </c>
      <c r="F834" t="s">
        <v>1988</v>
      </c>
      <c r="G834" t="s">
        <v>2307</v>
      </c>
      <c r="H834" t="s">
        <v>2</v>
      </c>
      <c r="I834" s="1">
        <v>46224</v>
      </c>
      <c r="J834" t="s">
        <v>1991</v>
      </c>
      <c r="K834" t="s">
        <v>3555</v>
      </c>
      <c r="L834" s="1">
        <v>46224.918321759258</v>
      </c>
      <c r="M834" s="1">
        <v>46224.91962439815</v>
      </c>
    </row>
    <row r="835" spans="1:13" x14ac:dyDescent="0.35">
      <c r="A835" t="s">
        <v>2306</v>
      </c>
      <c r="B835" t="s">
        <v>1986</v>
      </c>
      <c r="C835" t="s">
        <v>2307</v>
      </c>
      <c r="D835">
        <v>0</v>
      </c>
      <c r="E835" s="1">
        <v>46965</v>
      </c>
      <c r="F835" t="s">
        <v>1988</v>
      </c>
      <c r="G835" t="s">
        <v>2307</v>
      </c>
      <c r="H835" t="s">
        <v>2</v>
      </c>
      <c r="I835" s="1">
        <v>46224</v>
      </c>
      <c r="J835" t="s">
        <v>1989</v>
      </c>
      <c r="K835" t="s">
        <v>3585</v>
      </c>
      <c r="L835" s="1">
        <v>46224.918321759258</v>
      </c>
      <c r="M835" s="1">
        <v>46224.91962439815</v>
      </c>
    </row>
    <row r="836" spans="1:13" x14ac:dyDescent="0.35">
      <c r="A836" t="s">
        <v>159</v>
      </c>
      <c r="B836" t="s">
        <v>1986</v>
      </c>
      <c r="C836" t="s">
        <v>2308</v>
      </c>
      <c r="D836">
        <v>0</v>
      </c>
      <c r="E836" s="1">
        <v>48075</v>
      </c>
      <c r="F836" t="s">
        <v>1988</v>
      </c>
      <c r="G836" t="s">
        <v>2308</v>
      </c>
      <c r="H836" t="s">
        <v>2</v>
      </c>
      <c r="I836" s="1">
        <v>46224</v>
      </c>
      <c r="J836" t="s">
        <v>1991</v>
      </c>
      <c r="K836" t="s">
        <v>3519</v>
      </c>
      <c r="L836" s="1">
        <v>46224.918321759258</v>
      </c>
      <c r="M836" s="1">
        <v>46224.91962439815</v>
      </c>
    </row>
    <row r="837" spans="1:13" x14ac:dyDescent="0.35">
      <c r="A837" t="s">
        <v>159</v>
      </c>
      <c r="B837" t="s">
        <v>1986</v>
      </c>
      <c r="C837" t="s">
        <v>2308</v>
      </c>
      <c r="D837">
        <v>0</v>
      </c>
      <c r="E837" s="1">
        <v>48075</v>
      </c>
      <c r="F837" t="s">
        <v>1988</v>
      </c>
      <c r="G837" t="s">
        <v>2308</v>
      </c>
      <c r="H837" t="s">
        <v>2</v>
      </c>
      <c r="I837" s="1">
        <v>46224</v>
      </c>
      <c r="J837" t="s">
        <v>2065</v>
      </c>
      <c r="K837" t="s">
        <v>3520</v>
      </c>
      <c r="L837" s="1">
        <v>46224.917650462965</v>
      </c>
      <c r="M837" s="1">
        <v>46224.91962439815</v>
      </c>
    </row>
    <row r="838" spans="1:13" x14ac:dyDescent="0.35">
      <c r="A838" t="s">
        <v>159</v>
      </c>
      <c r="B838" t="s">
        <v>1986</v>
      </c>
      <c r="C838" t="s">
        <v>2308</v>
      </c>
      <c r="D838">
        <v>0</v>
      </c>
      <c r="E838" s="1">
        <v>48075</v>
      </c>
      <c r="F838" t="s">
        <v>1988</v>
      </c>
      <c r="G838" t="s">
        <v>2308</v>
      </c>
      <c r="H838" t="s">
        <v>2</v>
      </c>
      <c r="I838" s="1">
        <v>46224</v>
      </c>
      <c r="J838" t="s">
        <v>1989</v>
      </c>
      <c r="K838" t="s">
        <v>4006</v>
      </c>
      <c r="L838" s="1">
        <v>46224.918321759258</v>
      </c>
      <c r="M838" s="1">
        <v>46224.91962439815</v>
      </c>
    </row>
    <row r="839" spans="1:13" x14ac:dyDescent="0.35">
      <c r="A839" t="s">
        <v>159</v>
      </c>
      <c r="B839" t="s">
        <v>1986</v>
      </c>
      <c r="C839" t="s">
        <v>2308</v>
      </c>
      <c r="D839">
        <v>0</v>
      </c>
      <c r="E839" s="1">
        <v>48075</v>
      </c>
      <c r="F839" t="s">
        <v>1988</v>
      </c>
      <c r="G839" t="s">
        <v>2308</v>
      </c>
      <c r="H839" t="s">
        <v>2</v>
      </c>
      <c r="I839" s="1">
        <v>46224</v>
      </c>
      <c r="J839" t="s">
        <v>2108</v>
      </c>
      <c r="K839" t="s">
        <v>3018</v>
      </c>
      <c r="L839" s="1">
        <v>46224.917650462965</v>
      </c>
      <c r="M839" s="1">
        <v>46224.91962439815</v>
      </c>
    </row>
    <row r="840" spans="1:13" x14ac:dyDescent="0.35">
      <c r="A840" t="s">
        <v>159</v>
      </c>
      <c r="B840" t="s">
        <v>1986</v>
      </c>
      <c r="C840" t="s">
        <v>2308</v>
      </c>
      <c r="D840">
        <v>0</v>
      </c>
      <c r="E840" s="1">
        <v>48075</v>
      </c>
      <c r="F840" t="s">
        <v>1988</v>
      </c>
      <c r="G840" t="s">
        <v>2308</v>
      </c>
      <c r="H840" t="s">
        <v>2</v>
      </c>
      <c r="I840" s="1">
        <v>46224</v>
      </c>
      <c r="J840" t="s">
        <v>2146</v>
      </c>
      <c r="K840" t="s">
        <v>3018</v>
      </c>
      <c r="L840" s="1">
        <v>46224.917650462965</v>
      </c>
      <c r="M840" s="1">
        <v>46224.91962439815</v>
      </c>
    </row>
    <row r="841" spans="1:13" x14ac:dyDescent="0.35">
      <c r="A841" t="s">
        <v>159</v>
      </c>
      <c r="B841" t="s">
        <v>1986</v>
      </c>
      <c r="C841" t="s">
        <v>2308</v>
      </c>
      <c r="D841">
        <v>0</v>
      </c>
      <c r="E841" s="1">
        <v>48075</v>
      </c>
      <c r="F841" t="s">
        <v>1988</v>
      </c>
      <c r="G841" t="s">
        <v>2308</v>
      </c>
      <c r="H841" t="s">
        <v>2</v>
      </c>
      <c r="I841" s="1">
        <v>46224</v>
      </c>
      <c r="J841" t="s">
        <v>2064</v>
      </c>
      <c r="K841" t="s">
        <v>3520</v>
      </c>
      <c r="L841" s="1">
        <v>46224.917650462965</v>
      </c>
      <c r="M841" s="1">
        <v>46224.91962439815</v>
      </c>
    </row>
    <row r="842" spans="1:13" x14ac:dyDescent="0.35">
      <c r="A842" t="s">
        <v>2357</v>
      </c>
      <c r="B842" t="s">
        <v>1986</v>
      </c>
      <c r="C842" t="s">
        <v>2358</v>
      </c>
      <c r="D842">
        <v>0</v>
      </c>
      <c r="E842" s="1">
        <v>46996</v>
      </c>
      <c r="F842" t="s">
        <v>1988</v>
      </c>
      <c r="G842" t="s">
        <v>2358</v>
      </c>
      <c r="H842" t="s">
        <v>2</v>
      </c>
      <c r="I842" s="1">
        <v>46224</v>
      </c>
      <c r="J842" t="s">
        <v>1991</v>
      </c>
      <c r="K842" t="s">
        <v>3364</v>
      </c>
      <c r="L842" s="1">
        <v>46224.918321759258</v>
      </c>
      <c r="M842" s="1">
        <v>46224.91962439815</v>
      </c>
    </row>
    <row r="843" spans="1:13" x14ac:dyDescent="0.35">
      <c r="A843" t="s">
        <v>2357</v>
      </c>
      <c r="B843" t="s">
        <v>1986</v>
      </c>
      <c r="C843" t="s">
        <v>2358</v>
      </c>
      <c r="D843">
        <v>0</v>
      </c>
      <c r="E843" s="1">
        <v>46996</v>
      </c>
      <c r="F843" t="s">
        <v>1988</v>
      </c>
      <c r="G843" t="s">
        <v>2358</v>
      </c>
      <c r="H843" t="s">
        <v>2</v>
      </c>
      <c r="I843" s="1">
        <v>46224</v>
      </c>
      <c r="J843" t="s">
        <v>1989</v>
      </c>
      <c r="K843" t="s">
        <v>3586</v>
      </c>
      <c r="L843" s="1">
        <v>46224.918321759258</v>
      </c>
      <c r="M843" s="1">
        <v>46224.91962439815</v>
      </c>
    </row>
    <row r="844" spans="1:13" x14ac:dyDescent="0.35">
      <c r="A844" t="s">
        <v>160</v>
      </c>
      <c r="B844" t="s">
        <v>1986</v>
      </c>
      <c r="C844" t="s">
        <v>2282</v>
      </c>
      <c r="D844">
        <v>1.5</v>
      </c>
      <c r="E844" s="1">
        <v>46249</v>
      </c>
      <c r="F844" t="s">
        <v>1988</v>
      </c>
      <c r="G844" t="s">
        <v>2282</v>
      </c>
      <c r="H844" t="s">
        <v>2</v>
      </c>
      <c r="I844" s="1">
        <v>46224</v>
      </c>
      <c r="J844" t="s">
        <v>2108</v>
      </c>
      <c r="K844" t="s">
        <v>3365</v>
      </c>
      <c r="L844" s="1">
        <v>46224.917650462965</v>
      </c>
      <c r="M844" s="1">
        <v>46224.91962439815</v>
      </c>
    </row>
    <row r="845" spans="1:13" x14ac:dyDescent="0.35">
      <c r="A845" t="s">
        <v>160</v>
      </c>
      <c r="B845" t="s">
        <v>1986</v>
      </c>
      <c r="C845" t="s">
        <v>2282</v>
      </c>
      <c r="D845">
        <v>1.5</v>
      </c>
      <c r="E845" s="1">
        <v>46249</v>
      </c>
      <c r="F845" t="s">
        <v>1988</v>
      </c>
      <c r="G845" t="s">
        <v>2282</v>
      </c>
      <c r="H845" t="s">
        <v>2</v>
      </c>
      <c r="I845" s="1">
        <v>46224</v>
      </c>
      <c r="J845" t="s">
        <v>2064</v>
      </c>
      <c r="K845" t="s">
        <v>3020</v>
      </c>
      <c r="L845" s="1">
        <v>46224.917650462965</v>
      </c>
      <c r="M845" s="1">
        <v>46224.91962439815</v>
      </c>
    </row>
    <row r="846" spans="1:13" x14ac:dyDescent="0.35">
      <c r="A846" t="s">
        <v>160</v>
      </c>
      <c r="B846" t="s">
        <v>1986</v>
      </c>
      <c r="C846" t="s">
        <v>2282</v>
      </c>
      <c r="D846">
        <v>1.5</v>
      </c>
      <c r="E846" s="1">
        <v>46249</v>
      </c>
      <c r="F846" t="s">
        <v>1988</v>
      </c>
      <c r="G846" t="s">
        <v>2282</v>
      </c>
      <c r="H846" t="s">
        <v>2</v>
      </c>
      <c r="I846" s="1">
        <v>46224</v>
      </c>
      <c r="J846" t="s">
        <v>2065</v>
      </c>
      <c r="K846" t="s">
        <v>3020</v>
      </c>
      <c r="L846" s="1">
        <v>46224.917650462965</v>
      </c>
      <c r="M846" s="1">
        <v>46224.91962439815</v>
      </c>
    </row>
    <row r="847" spans="1:13" x14ac:dyDescent="0.35">
      <c r="A847" t="s">
        <v>160</v>
      </c>
      <c r="B847" t="s">
        <v>1986</v>
      </c>
      <c r="C847" t="s">
        <v>2282</v>
      </c>
      <c r="D847">
        <v>1.5</v>
      </c>
      <c r="E847" s="1">
        <v>46249</v>
      </c>
      <c r="F847" t="s">
        <v>1988</v>
      </c>
      <c r="G847" t="s">
        <v>2282</v>
      </c>
      <c r="H847" t="s">
        <v>2</v>
      </c>
      <c r="I847" s="1">
        <v>46224</v>
      </c>
      <c r="J847" t="s">
        <v>2146</v>
      </c>
      <c r="K847" t="s">
        <v>3365</v>
      </c>
      <c r="L847" s="1">
        <v>46224.917650462965</v>
      </c>
      <c r="M847" s="1">
        <v>46224.91962439815</v>
      </c>
    </row>
    <row r="848" spans="1:13" x14ac:dyDescent="0.35">
      <c r="A848" t="s">
        <v>160</v>
      </c>
      <c r="B848" t="s">
        <v>1986</v>
      </c>
      <c r="C848" t="s">
        <v>2282</v>
      </c>
      <c r="D848">
        <v>1.5</v>
      </c>
      <c r="E848" s="1">
        <v>46249</v>
      </c>
      <c r="F848" t="s">
        <v>1988</v>
      </c>
      <c r="G848" t="s">
        <v>2282</v>
      </c>
      <c r="H848" t="s">
        <v>2</v>
      </c>
      <c r="I848" s="1">
        <v>46224</v>
      </c>
      <c r="J848" t="s">
        <v>1989</v>
      </c>
      <c r="K848" t="s">
        <v>4122</v>
      </c>
      <c r="L848" s="1">
        <v>46224.918321759258</v>
      </c>
      <c r="M848" s="1">
        <v>46224.91962439815</v>
      </c>
    </row>
    <row r="849" spans="1:13" x14ac:dyDescent="0.35">
      <c r="A849" t="s">
        <v>160</v>
      </c>
      <c r="B849" t="s">
        <v>1986</v>
      </c>
      <c r="C849" t="s">
        <v>2282</v>
      </c>
      <c r="D849">
        <v>1.5</v>
      </c>
      <c r="E849" s="1">
        <v>46249</v>
      </c>
      <c r="F849" t="s">
        <v>1988</v>
      </c>
      <c r="G849" t="s">
        <v>2282</v>
      </c>
      <c r="H849" t="s">
        <v>2</v>
      </c>
      <c r="I849" s="1">
        <v>46224</v>
      </c>
      <c r="J849" t="s">
        <v>1991</v>
      </c>
      <c r="K849" t="s">
        <v>3587</v>
      </c>
      <c r="L849" s="1">
        <v>46224.918321759258</v>
      </c>
      <c r="M849" s="1">
        <v>46224.91962439815</v>
      </c>
    </row>
    <row r="850" spans="1:13" x14ac:dyDescent="0.35">
      <c r="A850" t="s">
        <v>196</v>
      </c>
      <c r="B850" t="s">
        <v>1986</v>
      </c>
      <c r="C850" t="s">
        <v>2293</v>
      </c>
      <c r="D850">
        <v>0.375</v>
      </c>
      <c r="E850" s="1">
        <v>46583</v>
      </c>
      <c r="F850" t="s">
        <v>2014</v>
      </c>
      <c r="G850" t="s">
        <v>2293</v>
      </c>
      <c r="H850" t="s">
        <v>2</v>
      </c>
      <c r="I850" s="1">
        <v>46224</v>
      </c>
      <c r="J850" t="s">
        <v>2064</v>
      </c>
      <c r="K850" t="s">
        <v>3367</v>
      </c>
      <c r="L850" s="1">
        <v>46224.917650462965</v>
      </c>
      <c r="M850" s="1">
        <v>46224.91962439815</v>
      </c>
    </row>
    <row r="851" spans="1:13" x14ac:dyDescent="0.35">
      <c r="A851" t="s">
        <v>196</v>
      </c>
      <c r="B851" t="s">
        <v>1986</v>
      </c>
      <c r="C851" t="s">
        <v>2293</v>
      </c>
      <c r="D851">
        <v>0.375</v>
      </c>
      <c r="E851" s="1">
        <v>46583</v>
      </c>
      <c r="F851" t="s">
        <v>2014</v>
      </c>
      <c r="G851" t="s">
        <v>2293</v>
      </c>
      <c r="H851" t="s">
        <v>2</v>
      </c>
      <c r="I851" s="1">
        <v>46224</v>
      </c>
      <c r="J851" t="s">
        <v>2146</v>
      </c>
      <c r="K851" t="s">
        <v>3366</v>
      </c>
      <c r="L851" s="1">
        <v>46224.917650462965</v>
      </c>
      <c r="M851" s="1">
        <v>46224.91962439815</v>
      </c>
    </row>
    <row r="852" spans="1:13" x14ac:dyDescent="0.35">
      <c r="A852" t="s">
        <v>196</v>
      </c>
      <c r="B852" t="s">
        <v>1986</v>
      </c>
      <c r="C852" t="s">
        <v>2293</v>
      </c>
      <c r="D852">
        <v>0.375</v>
      </c>
      <c r="E852" s="1">
        <v>46583</v>
      </c>
      <c r="F852" t="s">
        <v>2014</v>
      </c>
      <c r="G852" t="s">
        <v>2293</v>
      </c>
      <c r="H852" t="s">
        <v>2</v>
      </c>
      <c r="I852" s="1">
        <v>46224</v>
      </c>
      <c r="J852" t="s">
        <v>2065</v>
      </c>
      <c r="K852" t="s">
        <v>3367</v>
      </c>
      <c r="L852" s="1">
        <v>46224.917650462965</v>
      </c>
      <c r="M852" s="1">
        <v>46224.91962439815</v>
      </c>
    </row>
    <row r="853" spans="1:13" x14ac:dyDescent="0.35">
      <c r="A853" t="s">
        <v>196</v>
      </c>
      <c r="B853" t="s">
        <v>1986</v>
      </c>
      <c r="C853" t="s">
        <v>2293</v>
      </c>
      <c r="D853">
        <v>0.375</v>
      </c>
      <c r="E853" s="1">
        <v>46583</v>
      </c>
      <c r="F853" t="s">
        <v>2014</v>
      </c>
      <c r="G853" t="s">
        <v>2293</v>
      </c>
      <c r="H853" t="s">
        <v>2</v>
      </c>
      <c r="I853" s="1">
        <v>46224</v>
      </c>
      <c r="J853" t="s">
        <v>2108</v>
      </c>
      <c r="K853" t="s">
        <v>3366</v>
      </c>
      <c r="L853" s="1">
        <v>46224.917650462965</v>
      </c>
      <c r="M853" s="1">
        <v>46224.91962439815</v>
      </c>
    </row>
    <row r="854" spans="1:13" x14ac:dyDescent="0.35">
      <c r="A854" t="s">
        <v>196</v>
      </c>
      <c r="B854" t="s">
        <v>1986</v>
      </c>
      <c r="C854" t="s">
        <v>2293</v>
      </c>
      <c r="D854">
        <v>0.375</v>
      </c>
      <c r="E854" s="1">
        <v>46583</v>
      </c>
      <c r="F854" t="s">
        <v>2014</v>
      </c>
      <c r="G854" t="s">
        <v>2293</v>
      </c>
      <c r="H854" t="s">
        <v>2</v>
      </c>
      <c r="I854" s="1">
        <v>46224</v>
      </c>
      <c r="J854" t="s">
        <v>1991</v>
      </c>
      <c r="K854" t="s">
        <v>2956</v>
      </c>
      <c r="L854" s="1">
        <v>46224.918321759258</v>
      </c>
      <c r="M854" s="1">
        <v>46224.91962439815</v>
      </c>
    </row>
    <row r="855" spans="1:13" x14ac:dyDescent="0.35">
      <c r="A855" t="s">
        <v>196</v>
      </c>
      <c r="B855" t="s">
        <v>1986</v>
      </c>
      <c r="C855" t="s">
        <v>2293</v>
      </c>
      <c r="D855">
        <v>0.375</v>
      </c>
      <c r="E855" s="1">
        <v>46583</v>
      </c>
      <c r="F855" t="s">
        <v>2014</v>
      </c>
      <c r="G855" t="s">
        <v>2293</v>
      </c>
      <c r="H855" t="s">
        <v>2</v>
      </c>
      <c r="I855" s="1">
        <v>46224</v>
      </c>
      <c r="J855" t="s">
        <v>1989</v>
      </c>
      <c r="K855" t="s">
        <v>2748</v>
      </c>
      <c r="L855" s="1">
        <v>46224.918321759258</v>
      </c>
      <c r="M855" s="1">
        <v>46224.91962439815</v>
      </c>
    </row>
    <row r="856" spans="1:13" x14ac:dyDescent="0.35">
      <c r="A856" t="s">
        <v>197</v>
      </c>
      <c r="B856" t="s">
        <v>1986</v>
      </c>
      <c r="C856" t="s">
        <v>2295</v>
      </c>
      <c r="D856">
        <v>2.25</v>
      </c>
      <c r="E856" s="1">
        <v>46614</v>
      </c>
      <c r="F856" t="s">
        <v>1988</v>
      </c>
      <c r="G856" t="s">
        <v>2295</v>
      </c>
      <c r="H856" t="s">
        <v>2</v>
      </c>
      <c r="I856" s="1">
        <v>46224</v>
      </c>
      <c r="J856" t="s">
        <v>2064</v>
      </c>
      <c r="K856" t="s">
        <v>3521</v>
      </c>
      <c r="L856" s="1">
        <v>46224.917650462965</v>
      </c>
      <c r="M856" s="1">
        <v>46224.91962439815</v>
      </c>
    </row>
    <row r="857" spans="1:13" x14ac:dyDescent="0.35">
      <c r="A857" t="s">
        <v>197</v>
      </c>
      <c r="B857" t="s">
        <v>1986</v>
      </c>
      <c r="C857" t="s">
        <v>2295</v>
      </c>
      <c r="D857">
        <v>2.25</v>
      </c>
      <c r="E857" s="1">
        <v>46614</v>
      </c>
      <c r="F857" t="s">
        <v>1988</v>
      </c>
      <c r="G857" t="s">
        <v>2295</v>
      </c>
      <c r="H857" t="s">
        <v>2</v>
      </c>
      <c r="I857" s="1">
        <v>46224</v>
      </c>
      <c r="J857" t="s">
        <v>2146</v>
      </c>
      <c r="K857" t="s">
        <v>3368</v>
      </c>
      <c r="L857" s="1">
        <v>46224.917650462965</v>
      </c>
      <c r="M857" s="1">
        <v>46224.91962439815</v>
      </c>
    </row>
    <row r="858" spans="1:13" x14ac:dyDescent="0.35">
      <c r="A858" t="s">
        <v>197</v>
      </c>
      <c r="B858" t="s">
        <v>1986</v>
      </c>
      <c r="C858" t="s">
        <v>2295</v>
      </c>
      <c r="D858">
        <v>2.25</v>
      </c>
      <c r="E858" s="1">
        <v>46614</v>
      </c>
      <c r="F858" t="s">
        <v>1988</v>
      </c>
      <c r="G858" t="s">
        <v>2295</v>
      </c>
      <c r="H858" t="s">
        <v>2</v>
      </c>
      <c r="I858" s="1">
        <v>46224</v>
      </c>
      <c r="J858" t="s">
        <v>2108</v>
      </c>
      <c r="K858" t="s">
        <v>3368</v>
      </c>
      <c r="L858" s="1">
        <v>46224.917650462965</v>
      </c>
      <c r="M858" s="1">
        <v>46224.91962439815</v>
      </c>
    </row>
    <row r="859" spans="1:13" x14ac:dyDescent="0.35">
      <c r="A859" t="s">
        <v>197</v>
      </c>
      <c r="B859" t="s">
        <v>1986</v>
      </c>
      <c r="C859" t="s">
        <v>2295</v>
      </c>
      <c r="D859">
        <v>2.25</v>
      </c>
      <c r="E859" s="1">
        <v>46614</v>
      </c>
      <c r="F859" t="s">
        <v>1988</v>
      </c>
      <c r="G859" t="s">
        <v>2295</v>
      </c>
      <c r="H859" t="s">
        <v>2</v>
      </c>
      <c r="I859" s="1">
        <v>46224</v>
      </c>
      <c r="J859" t="s">
        <v>1991</v>
      </c>
      <c r="K859" t="s">
        <v>3393</v>
      </c>
      <c r="L859" s="1">
        <v>46224.918321759258</v>
      </c>
      <c r="M859" s="1">
        <v>46224.91962439815</v>
      </c>
    </row>
    <row r="860" spans="1:13" x14ac:dyDescent="0.35">
      <c r="A860" t="s">
        <v>197</v>
      </c>
      <c r="B860" t="s">
        <v>1986</v>
      </c>
      <c r="C860" t="s">
        <v>2295</v>
      </c>
      <c r="D860">
        <v>2.25</v>
      </c>
      <c r="E860" s="1">
        <v>46614</v>
      </c>
      <c r="F860" t="s">
        <v>1988</v>
      </c>
      <c r="G860" t="s">
        <v>2295</v>
      </c>
      <c r="H860" t="s">
        <v>2</v>
      </c>
      <c r="I860" s="1">
        <v>46224</v>
      </c>
      <c r="J860" t="s">
        <v>1989</v>
      </c>
      <c r="K860" t="s">
        <v>2936</v>
      </c>
      <c r="L860" s="1">
        <v>46224.918321759258</v>
      </c>
      <c r="M860" s="1">
        <v>46224.91962439815</v>
      </c>
    </row>
    <row r="861" spans="1:13" x14ac:dyDescent="0.35">
      <c r="A861" t="s">
        <v>197</v>
      </c>
      <c r="B861" t="s">
        <v>1986</v>
      </c>
      <c r="C861" t="s">
        <v>2295</v>
      </c>
      <c r="D861">
        <v>2.25</v>
      </c>
      <c r="E861" s="1">
        <v>46614</v>
      </c>
      <c r="F861" t="s">
        <v>1988</v>
      </c>
      <c r="G861" t="s">
        <v>2295</v>
      </c>
      <c r="H861" t="s">
        <v>2</v>
      </c>
      <c r="I861" s="1">
        <v>46224</v>
      </c>
      <c r="J861" t="s">
        <v>2065</v>
      </c>
      <c r="K861" t="s">
        <v>3521</v>
      </c>
      <c r="L861" s="1">
        <v>46224.917650462965</v>
      </c>
      <c r="M861" s="1">
        <v>46224.91962439815</v>
      </c>
    </row>
    <row r="862" spans="1:13" x14ac:dyDescent="0.35">
      <c r="A862" t="s">
        <v>198</v>
      </c>
      <c r="B862" t="s">
        <v>1986</v>
      </c>
      <c r="C862" t="s">
        <v>2297</v>
      </c>
      <c r="D862">
        <v>2.25</v>
      </c>
      <c r="E862" s="1">
        <v>46706</v>
      </c>
      <c r="F862" t="s">
        <v>1988</v>
      </c>
      <c r="G862" t="s">
        <v>2297</v>
      </c>
      <c r="H862" t="s">
        <v>2</v>
      </c>
      <c r="I862" s="1">
        <v>46224</v>
      </c>
      <c r="J862" t="s">
        <v>1991</v>
      </c>
      <c r="K862" t="s">
        <v>3522</v>
      </c>
      <c r="L862" s="1">
        <v>46224.918321759258</v>
      </c>
      <c r="M862" s="1">
        <v>46224.91962439815</v>
      </c>
    </row>
    <row r="863" spans="1:13" x14ac:dyDescent="0.35">
      <c r="A863" t="s">
        <v>198</v>
      </c>
      <c r="B863" t="s">
        <v>1986</v>
      </c>
      <c r="C863" t="s">
        <v>2297</v>
      </c>
      <c r="D863">
        <v>2.25</v>
      </c>
      <c r="E863" s="1">
        <v>46706</v>
      </c>
      <c r="F863" t="s">
        <v>1988</v>
      </c>
      <c r="G863" t="s">
        <v>2297</v>
      </c>
      <c r="H863" t="s">
        <v>2</v>
      </c>
      <c r="I863" s="1">
        <v>46224</v>
      </c>
      <c r="J863" t="s">
        <v>2146</v>
      </c>
      <c r="K863" t="s">
        <v>3523</v>
      </c>
      <c r="L863" s="1">
        <v>46224.917650462965</v>
      </c>
      <c r="M863" s="1">
        <v>46224.91962439815</v>
      </c>
    </row>
    <row r="864" spans="1:13" x14ac:dyDescent="0.35">
      <c r="A864" t="s">
        <v>198</v>
      </c>
      <c r="B864" t="s">
        <v>1986</v>
      </c>
      <c r="C864" t="s">
        <v>2297</v>
      </c>
      <c r="D864">
        <v>2.25</v>
      </c>
      <c r="E864" s="1">
        <v>46706</v>
      </c>
      <c r="F864" t="s">
        <v>1988</v>
      </c>
      <c r="G864" t="s">
        <v>2297</v>
      </c>
      <c r="H864" t="s">
        <v>2</v>
      </c>
      <c r="I864" s="1">
        <v>46224</v>
      </c>
      <c r="J864" t="s">
        <v>1989</v>
      </c>
      <c r="K864" t="s">
        <v>3369</v>
      </c>
      <c r="L864" s="1">
        <v>46224.918321759258</v>
      </c>
      <c r="M864" s="1">
        <v>46224.91962439815</v>
      </c>
    </row>
    <row r="865" spans="1:13" x14ac:dyDescent="0.35">
      <c r="A865" t="s">
        <v>198</v>
      </c>
      <c r="B865" t="s">
        <v>1986</v>
      </c>
      <c r="C865" t="s">
        <v>2297</v>
      </c>
      <c r="D865">
        <v>2.25</v>
      </c>
      <c r="E865" s="1">
        <v>46706</v>
      </c>
      <c r="F865" t="s">
        <v>1988</v>
      </c>
      <c r="G865" t="s">
        <v>2297</v>
      </c>
      <c r="H865" t="s">
        <v>2</v>
      </c>
      <c r="I865" s="1">
        <v>46224</v>
      </c>
      <c r="J865" t="s">
        <v>2065</v>
      </c>
      <c r="K865" t="s">
        <v>2495</v>
      </c>
      <c r="L865" s="1">
        <v>46224.917650462965</v>
      </c>
      <c r="M865" s="1">
        <v>46224.91962439815</v>
      </c>
    </row>
    <row r="866" spans="1:13" x14ac:dyDescent="0.35">
      <c r="A866" t="s">
        <v>198</v>
      </c>
      <c r="B866" t="s">
        <v>1986</v>
      </c>
      <c r="C866" t="s">
        <v>2297</v>
      </c>
      <c r="D866">
        <v>2.25</v>
      </c>
      <c r="E866" s="1">
        <v>46706</v>
      </c>
      <c r="F866" t="s">
        <v>1988</v>
      </c>
      <c r="G866" t="s">
        <v>2297</v>
      </c>
      <c r="H866" t="s">
        <v>2</v>
      </c>
      <c r="I866" s="1">
        <v>46224</v>
      </c>
      <c r="J866" t="s">
        <v>2108</v>
      </c>
      <c r="K866" t="s">
        <v>3523</v>
      </c>
      <c r="L866" s="1">
        <v>46224.917650462965</v>
      </c>
      <c r="M866" s="1">
        <v>46224.91962439815</v>
      </c>
    </row>
    <row r="867" spans="1:13" x14ac:dyDescent="0.35">
      <c r="A867" t="s">
        <v>198</v>
      </c>
      <c r="B867" t="s">
        <v>1986</v>
      </c>
      <c r="C867" t="s">
        <v>2297</v>
      </c>
      <c r="D867">
        <v>2.25</v>
      </c>
      <c r="E867" s="1">
        <v>46706</v>
      </c>
      <c r="F867" t="s">
        <v>1988</v>
      </c>
      <c r="G867" t="s">
        <v>2297</v>
      </c>
      <c r="H867" t="s">
        <v>2</v>
      </c>
      <c r="I867" s="1">
        <v>46224</v>
      </c>
      <c r="J867" t="s">
        <v>2064</v>
      </c>
      <c r="K867" t="s">
        <v>2495</v>
      </c>
      <c r="L867" s="1">
        <v>46224.917650462965</v>
      </c>
      <c r="M867" s="1">
        <v>46224.91962439815</v>
      </c>
    </row>
    <row r="868" spans="1:13" x14ac:dyDescent="0.35">
      <c r="A868" t="s">
        <v>236</v>
      </c>
      <c r="B868" t="s">
        <v>1986</v>
      </c>
      <c r="C868" t="s">
        <v>2310</v>
      </c>
      <c r="D868">
        <v>0.5</v>
      </c>
      <c r="E868" s="1">
        <v>46767</v>
      </c>
      <c r="F868" t="s">
        <v>2014</v>
      </c>
      <c r="G868" t="s">
        <v>2310</v>
      </c>
      <c r="H868" t="s">
        <v>2</v>
      </c>
      <c r="I868" s="1">
        <v>46224</v>
      </c>
      <c r="J868" t="s">
        <v>1991</v>
      </c>
      <c r="K868" t="s">
        <v>2144</v>
      </c>
      <c r="L868" s="1">
        <v>46224.918321759258</v>
      </c>
      <c r="M868" s="1">
        <v>46224.91962439815</v>
      </c>
    </row>
    <row r="869" spans="1:13" x14ac:dyDescent="0.35">
      <c r="A869" t="s">
        <v>236</v>
      </c>
      <c r="B869" t="s">
        <v>1986</v>
      </c>
      <c r="C869" t="s">
        <v>2310</v>
      </c>
      <c r="D869">
        <v>0.5</v>
      </c>
      <c r="E869" s="1">
        <v>46767</v>
      </c>
      <c r="F869" t="s">
        <v>2014</v>
      </c>
      <c r="G869" t="s">
        <v>2310</v>
      </c>
      <c r="H869" t="s">
        <v>2</v>
      </c>
      <c r="I869" s="1">
        <v>46224</v>
      </c>
      <c r="J869" t="s">
        <v>1989</v>
      </c>
      <c r="K869" t="s">
        <v>3556</v>
      </c>
      <c r="L869" s="1">
        <v>46224.918321759258</v>
      </c>
      <c r="M869" s="1">
        <v>46224.91962439815</v>
      </c>
    </row>
    <row r="870" spans="1:13" x14ac:dyDescent="0.35">
      <c r="A870" t="s">
        <v>249</v>
      </c>
      <c r="B870" t="s">
        <v>1986</v>
      </c>
      <c r="C870" t="s">
        <v>2298</v>
      </c>
      <c r="D870">
        <v>2.75</v>
      </c>
      <c r="E870" s="1">
        <v>46798</v>
      </c>
      <c r="F870" t="s">
        <v>1988</v>
      </c>
      <c r="G870" t="s">
        <v>2298</v>
      </c>
      <c r="H870" t="s">
        <v>2</v>
      </c>
      <c r="I870" s="1">
        <v>46224</v>
      </c>
      <c r="J870" t="s">
        <v>2146</v>
      </c>
      <c r="K870" t="s">
        <v>3344</v>
      </c>
      <c r="L870" s="1">
        <v>46224.917650462965</v>
      </c>
      <c r="M870" s="1">
        <v>46224.91962439815</v>
      </c>
    </row>
    <row r="871" spans="1:13" x14ac:dyDescent="0.35">
      <c r="A871" t="s">
        <v>249</v>
      </c>
      <c r="B871" t="s">
        <v>1986</v>
      </c>
      <c r="C871" t="s">
        <v>2298</v>
      </c>
      <c r="D871">
        <v>2.75</v>
      </c>
      <c r="E871" s="1">
        <v>46798</v>
      </c>
      <c r="F871" t="s">
        <v>1988</v>
      </c>
      <c r="G871" t="s">
        <v>2298</v>
      </c>
      <c r="H871" t="s">
        <v>2</v>
      </c>
      <c r="I871" s="1">
        <v>46224</v>
      </c>
      <c r="J871" t="s">
        <v>1989</v>
      </c>
      <c r="K871" t="s">
        <v>4007</v>
      </c>
      <c r="L871" s="1">
        <v>46224.918321759258</v>
      </c>
      <c r="M871" s="1">
        <v>46224.91962439815</v>
      </c>
    </row>
    <row r="872" spans="1:13" x14ac:dyDescent="0.35">
      <c r="A872" t="s">
        <v>249</v>
      </c>
      <c r="B872" t="s">
        <v>1986</v>
      </c>
      <c r="C872" t="s">
        <v>2298</v>
      </c>
      <c r="D872">
        <v>2.75</v>
      </c>
      <c r="E872" s="1">
        <v>46798</v>
      </c>
      <c r="F872" t="s">
        <v>1988</v>
      </c>
      <c r="G872" t="s">
        <v>2298</v>
      </c>
      <c r="H872" t="s">
        <v>2</v>
      </c>
      <c r="I872" s="1">
        <v>46224</v>
      </c>
      <c r="J872" t="s">
        <v>2108</v>
      </c>
      <c r="K872" t="s">
        <v>3344</v>
      </c>
      <c r="L872" s="1">
        <v>46224.917650462965</v>
      </c>
      <c r="M872" s="1">
        <v>46224.91962439815</v>
      </c>
    </row>
    <row r="873" spans="1:13" x14ac:dyDescent="0.35">
      <c r="A873" t="s">
        <v>249</v>
      </c>
      <c r="B873" t="s">
        <v>1986</v>
      </c>
      <c r="C873" t="s">
        <v>2298</v>
      </c>
      <c r="D873">
        <v>2.75</v>
      </c>
      <c r="E873" s="1">
        <v>46798</v>
      </c>
      <c r="F873" t="s">
        <v>1988</v>
      </c>
      <c r="G873" t="s">
        <v>2298</v>
      </c>
      <c r="H873" t="s">
        <v>2</v>
      </c>
      <c r="I873" s="1">
        <v>46224</v>
      </c>
      <c r="J873" t="s">
        <v>2065</v>
      </c>
      <c r="K873" t="s">
        <v>2584</v>
      </c>
      <c r="L873" s="1">
        <v>46224.917650462965</v>
      </c>
      <c r="M873" s="1">
        <v>46224.91962439815</v>
      </c>
    </row>
    <row r="874" spans="1:13" x14ac:dyDescent="0.35">
      <c r="A874" t="s">
        <v>249</v>
      </c>
      <c r="B874" t="s">
        <v>1986</v>
      </c>
      <c r="C874" t="s">
        <v>2298</v>
      </c>
      <c r="D874">
        <v>2.75</v>
      </c>
      <c r="E874" s="1">
        <v>46798</v>
      </c>
      <c r="F874" t="s">
        <v>1988</v>
      </c>
      <c r="G874" t="s">
        <v>2298</v>
      </c>
      <c r="H874" t="s">
        <v>2</v>
      </c>
      <c r="I874" s="1">
        <v>46224</v>
      </c>
      <c r="J874" t="s">
        <v>1991</v>
      </c>
      <c r="K874" t="s">
        <v>3588</v>
      </c>
      <c r="L874" s="1">
        <v>46224.918321759258</v>
      </c>
      <c r="M874" s="1">
        <v>46224.91962439815</v>
      </c>
    </row>
    <row r="875" spans="1:13" x14ac:dyDescent="0.35">
      <c r="A875" t="s">
        <v>249</v>
      </c>
      <c r="B875" t="s">
        <v>1986</v>
      </c>
      <c r="C875" t="s">
        <v>2298</v>
      </c>
      <c r="D875">
        <v>2.75</v>
      </c>
      <c r="E875" s="1">
        <v>46798</v>
      </c>
      <c r="F875" t="s">
        <v>1988</v>
      </c>
      <c r="G875" t="s">
        <v>2298</v>
      </c>
      <c r="H875" t="s">
        <v>2</v>
      </c>
      <c r="I875" s="1">
        <v>46224</v>
      </c>
      <c r="J875" t="s">
        <v>2064</v>
      </c>
      <c r="K875" t="s">
        <v>2584</v>
      </c>
      <c r="L875" s="1">
        <v>46224.917650462965</v>
      </c>
      <c r="M875" s="1">
        <v>46224.91962439815</v>
      </c>
    </row>
    <row r="876" spans="1:13" x14ac:dyDescent="0.35">
      <c r="A876" t="s">
        <v>199</v>
      </c>
      <c r="B876" t="s">
        <v>1986</v>
      </c>
      <c r="C876" t="s">
        <v>2330</v>
      </c>
      <c r="D876">
        <v>2.875</v>
      </c>
      <c r="E876" s="1">
        <v>46888</v>
      </c>
      <c r="F876" t="s">
        <v>1988</v>
      </c>
      <c r="G876" t="s">
        <v>2330</v>
      </c>
      <c r="H876" t="s">
        <v>2</v>
      </c>
      <c r="I876" s="1">
        <v>46224</v>
      </c>
      <c r="J876" t="s">
        <v>2065</v>
      </c>
      <c r="K876" t="s">
        <v>2393</v>
      </c>
      <c r="L876" s="1">
        <v>46224.917650462965</v>
      </c>
      <c r="M876" s="1">
        <v>46224.91962439815</v>
      </c>
    </row>
    <row r="877" spans="1:13" x14ac:dyDescent="0.35">
      <c r="A877" t="s">
        <v>199</v>
      </c>
      <c r="B877" t="s">
        <v>1986</v>
      </c>
      <c r="C877" t="s">
        <v>2330</v>
      </c>
      <c r="D877">
        <v>2.875</v>
      </c>
      <c r="E877" s="1">
        <v>46888</v>
      </c>
      <c r="F877" t="s">
        <v>1988</v>
      </c>
      <c r="G877" t="s">
        <v>2330</v>
      </c>
      <c r="H877" t="s">
        <v>2</v>
      </c>
      <c r="I877" s="1">
        <v>46224</v>
      </c>
      <c r="J877" t="s">
        <v>2064</v>
      </c>
      <c r="K877" t="s">
        <v>2393</v>
      </c>
      <c r="L877" s="1">
        <v>46224.917650462965</v>
      </c>
      <c r="M877" s="1">
        <v>46224.91962439815</v>
      </c>
    </row>
    <row r="878" spans="1:13" x14ac:dyDescent="0.35">
      <c r="A878" t="s">
        <v>199</v>
      </c>
      <c r="B878" t="s">
        <v>1986</v>
      </c>
      <c r="C878" t="s">
        <v>2330</v>
      </c>
      <c r="D878">
        <v>2.875</v>
      </c>
      <c r="E878" s="1">
        <v>46888</v>
      </c>
      <c r="F878" t="s">
        <v>1988</v>
      </c>
      <c r="G878" t="s">
        <v>2330</v>
      </c>
      <c r="H878" t="s">
        <v>2</v>
      </c>
      <c r="I878" s="1">
        <v>46224</v>
      </c>
      <c r="J878" t="s">
        <v>1989</v>
      </c>
      <c r="K878" t="s">
        <v>2919</v>
      </c>
      <c r="L878" s="1">
        <v>46224.918321759258</v>
      </c>
      <c r="M878" s="1">
        <v>46224.91962439815</v>
      </c>
    </row>
    <row r="879" spans="1:13" x14ac:dyDescent="0.35">
      <c r="A879" t="s">
        <v>199</v>
      </c>
      <c r="B879" t="s">
        <v>1986</v>
      </c>
      <c r="C879" t="s">
        <v>2330</v>
      </c>
      <c r="D879">
        <v>2.875</v>
      </c>
      <c r="E879" s="1">
        <v>46888</v>
      </c>
      <c r="F879" t="s">
        <v>1988</v>
      </c>
      <c r="G879" t="s">
        <v>2330</v>
      </c>
      <c r="H879" t="s">
        <v>2</v>
      </c>
      <c r="I879" s="1">
        <v>46224</v>
      </c>
      <c r="J879" t="s">
        <v>1991</v>
      </c>
      <c r="K879" t="s">
        <v>3557</v>
      </c>
      <c r="L879" s="1">
        <v>46224.918321759258</v>
      </c>
      <c r="M879" s="1">
        <v>46224.91962439815</v>
      </c>
    </row>
    <row r="880" spans="1:13" x14ac:dyDescent="0.35">
      <c r="A880" t="s">
        <v>199</v>
      </c>
      <c r="B880" t="s">
        <v>1986</v>
      </c>
      <c r="C880" t="s">
        <v>2330</v>
      </c>
      <c r="D880">
        <v>2.875</v>
      </c>
      <c r="E880" s="1">
        <v>46888</v>
      </c>
      <c r="F880" t="s">
        <v>1988</v>
      </c>
      <c r="G880" t="s">
        <v>2330</v>
      </c>
      <c r="H880" t="s">
        <v>2</v>
      </c>
      <c r="I880" s="1">
        <v>46224</v>
      </c>
      <c r="J880" t="s">
        <v>2108</v>
      </c>
      <c r="K880" t="s">
        <v>2381</v>
      </c>
      <c r="L880" s="1">
        <v>46224.917650462965</v>
      </c>
      <c r="M880" s="1">
        <v>46224.91962439815</v>
      </c>
    </row>
    <row r="881" spans="1:13" x14ac:dyDescent="0.35">
      <c r="A881" t="s">
        <v>199</v>
      </c>
      <c r="B881" t="s">
        <v>1986</v>
      </c>
      <c r="C881" t="s">
        <v>2330</v>
      </c>
      <c r="D881">
        <v>2.875</v>
      </c>
      <c r="E881" s="1">
        <v>46888</v>
      </c>
      <c r="F881" t="s">
        <v>1988</v>
      </c>
      <c r="G881" t="s">
        <v>2330</v>
      </c>
      <c r="H881" t="s">
        <v>2</v>
      </c>
      <c r="I881" s="1">
        <v>46224</v>
      </c>
      <c r="J881" t="s">
        <v>2146</v>
      </c>
      <c r="K881" t="s">
        <v>2381</v>
      </c>
      <c r="L881" s="1">
        <v>46224.917650462965</v>
      </c>
      <c r="M881" s="1">
        <v>46224.91962439815</v>
      </c>
    </row>
    <row r="882" spans="1:13" x14ac:dyDescent="0.35">
      <c r="A882" t="s">
        <v>200</v>
      </c>
      <c r="B882" t="s">
        <v>1986</v>
      </c>
      <c r="C882" t="s">
        <v>2311</v>
      </c>
      <c r="D882">
        <v>2.875</v>
      </c>
      <c r="E882" s="1">
        <v>46980</v>
      </c>
      <c r="F882" t="s">
        <v>1988</v>
      </c>
      <c r="G882" t="s">
        <v>2311</v>
      </c>
      <c r="H882" t="s">
        <v>2</v>
      </c>
      <c r="I882" s="1">
        <v>46224</v>
      </c>
      <c r="J882" t="s">
        <v>2065</v>
      </c>
      <c r="K882" t="s">
        <v>2279</v>
      </c>
      <c r="L882" s="1">
        <v>46224.917650462965</v>
      </c>
      <c r="M882" s="1">
        <v>46224.91962439815</v>
      </c>
    </row>
    <row r="883" spans="1:13" x14ac:dyDescent="0.35">
      <c r="A883" t="s">
        <v>200</v>
      </c>
      <c r="B883" t="s">
        <v>1986</v>
      </c>
      <c r="C883" t="s">
        <v>2311</v>
      </c>
      <c r="D883">
        <v>2.875</v>
      </c>
      <c r="E883" s="1">
        <v>46980</v>
      </c>
      <c r="F883" t="s">
        <v>1988</v>
      </c>
      <c r="G883" t="s">
        <v>2311</v>
      </c>
      <c r="H883" t="s">
        <v>2</v>
      </c>
      <c r="I883" s="1">
        <v>46224</v>
      </c>
      <c r="J883" t="s">
        <v>1991</v>
      </c>
      <c r="K883" t="s">
        <v>3370</v>
      </c>
      <c r="L883" s="1">
        <v>46224.918321759258</v>
      </c>
      <c r="M883" s="1">
        <v>46224.91962439815</v>
      </c>
    </row>
    <row r="884" spans="1:13" x14ac:dyDescent="0.35">
      <c r="A884" t="s">
        <v>200</v>
      </c>
      <c r="B884" t="s">
        <v>1986</v>
      </c>
      <c r="C884" t="s">
        <v>2311</v>
      </c>
      <c r="D884">
        <v>2.875</v>
      </c>
      <c r="E884" s="1">
        <v>46980</v>
      </c>
      <c r="F884" t="s">
        <v>1988</v>
      </c>
      <c r="G884" t="s">
        <v>2311</v>
      </c>
      <c r="H884" t="s">
        <v>2</v>
      </c>
      <c r="I884" s="1">
        <v>46224</v>
      </c>
      <c r="J884" t="s">
        <v>2146</v>
      </c>
      <c r="K884" t="s">
        <v>2993</v>
      </c>
      <c r="L884" s="1">
        <v>46224.917650462965</v>
      </c>
      <c r="M884" s="1">
        <v>46224.91962439815</v>
      </c>
    </row>
    <row r="885" spans="1:13" x14ac:dyDescent="0.35">
      <c r="A885" t="s">
        <v>200</v>
      </c>
      <c r="B885" t="s">
        <v>1986</v>
      </c>
      <c r="C885" t="s">
        <v>2311</v>
      </c>
      <c r="D885">
        <v>2.875</v>
      </c>
      <c r="E885" s="1">
        <v>46980</v>
      </c>
      <c r="F885" t="s">
        <v>1988</v>
      </c>
      <c r="G885" t="s">
        <v>2311</v>
      </c>
      <c r="H885" t="s">
        <v>2</v>
      </c>
      <c r="I885" s="1">
        <v>46224</v>
      </c>
      <c r="J885" t="s">
        <v>2064</v>
      </c>
      <c r="K885" t="s">
        <v>2279</v>
      </c>
      <c r="L885" s="1">
        <v>46224.917650462965</v>
      </c>
      <c r="M885" s="1">
        <v>46224.91962439815</v>
      </c>
    </row>
    <row r="886" spans="1:13" x14ac:dyDescent="0.35">
      <c r="A886" t="s">
        <v>200</v>
      </c>
      <c r="B886" t="s">
        <v>1986</v>
      </c>
      <c r="C886" t="s">
        <v>2311</v>
      </c>
      <c r="D886">
        <v>2.875</v>
      </c>
      <c r="E886" s="1">
        <v>46980</v>
      </c>
      <c r="F886" t="s">
        <v>1988</v>
      </c>
      <c r="G886" t="s">
        <v>2311</v>
      </c>
      <c r="H886" t="s">
        <v>2</v>
      </c>
      <c r="I886" s="1">
        <v>46224</v>
      </c>
      <c r="J886" t="s">
        <v>1989</v>
      </c>
      <c r="K886" t="s">
        <v>2144</v>
      </c>
      <c r="L886" s="1">
        <v>46224.918321759258</v>
      </c>
      <c r="M886" s="1">
        <v>46224.91962439815</v>
      </c>
    </row>
    <row r="887" spans="1:13" x14ac:dyDescent="0.35">
      <c r="A887" t="s">
        <v>200</v>
      </c>
      <c r="B887" t="s">
        <v>1986</v>
      </c>
      <c r="C887" t="s">
        <v>2311</v>
      </c>
      <c r="D887">
        <v>2.875</v>
      </c>
      <c r="E887" s="1">
        <v>46980</v>
      </c>
      <c r="F887" t="s">
        <v>1988</v>
      </c>
      <c r="G887" t="s">
        <v>2311</v>
      </c>
      <c r="H887" t="s">
        <v>2</v>
      </c>
      <c r="I887" s="1">
        <v>46224</v>
      </c>
      <c r="J887" t="s">
        <v>2108</v>
      </c>
      <c r="K887" t="s">
        <v>2993</v>
      </c>
      <c r="L887" s="1">
        <v>46224.917650462965</v>
      </c>
      <c r="M887" s="1">
        <v>46224.91962439815</v>
      </c>
    </row>
    <row r="888" spans="1:13" x14ac:dyDescent="0.35">
      <c r="A888" t="s">
        <v>201</v>
      </c>
      <c r="B888" t="s">
        <v>1986</v>
      </c>
      <c r="C888" t="s">
        <v>2313</v>
      </c>
      <c r="D888">
        <v>3.125</v>
      </c>
      <c r="E888" s="1">
        <v>47072</v>
      </c>
      <c r="F888" t="s">
        <v>1988</v>
      </c>
      <c r="G888" t="s">
        <v>2313</v>
      </c>
      <c r="H888" t="s">
        <v>2</v>
      </c>
      <c r="I888" s="1">
        <v>46224</v>
      </c>
      <c r="J888" t="s">
        <v>2065</v>
      </c>
      <c r="K888" t="s">
        <v>2363</v>
      </c>
      <c r="L888" s="1">
        <v>46224.917650462965</v>
      </c>
      <c r="M888" s="1">
        <v>46224.91962439815</v>
      </c>
    </row>
    <row r="889" spans="1:13" x14ac:dyDescent="0.35">
      <c r="A889" t="s">
        <v>201</v>
      </c>
      <c r="B889" t="s">
        <v>1986</v>
      </c>
      <c r="C889" t="s">
        <v>2313</v>
      </c>
      <c r="D889">
        <v>3.125</v>
      </c>
      <c r="E889" s="1">
        <v>47072</v>
      </c>
      <c r="F889" t="s">
        <v>1988</v>
      </c>
      <c r="G889" t="s">
        <v>2313</v>
      </c>
      <c r="H889" t="s">
        <v>2</v>
      </c>
      <c r="I889" s="1">
        <v>46224</v>
      </c>
      <c r="J889" t="s">
        <v>1989</v>
      </c>
      <c r="K889" t="s">
        <v>3345</v>
      </c>
      <c r="L889" s="1">
        <v>46224.918321759258</v>
      </c>
      <c r="M889" s="1">
        <v>46224.91962439815</v>
      </c>
    </row>
    <row r="890" spans="1:13" x14ac:dyDescent="0.35">
      <c r="A890" t="s">
        <v>201</v>
      </c>
      <c r="B890" t="s">
        <v>1986</v>
      </c>
      <c r="C890" t="s">
        <v>2313</v>
      </c>
      <c r="D890">
        <v>3.125</v>
      </c>
      <c r="E890" s="1">
        <v>47072</v>
      </c>
      <c r="F890" t="s">
        <v>1988</v>
      </c>
      <c r="G890" t="s">
        <v>2313</v>
      </c>
      <c r="H890" t="s">
        <v>2</v>
      </c>
      <c r="I890" s="1">
        <v>46224</v>
      </c>
      <c r="J890" t="s">
        <v>1991</v>
      </c>
      <c r="K890" t="s">
        <v>3394</v>
      </c>
      <c r="L890" s="1">
        <v>46224.918321759258</v>
      </c>
      <c r="M890" s="1">
        <v>46224.91962439815</v>
      </c>
    </row>
    <row r="891" spans="1:13" x14ac:dyDescent="0.35">
      <c r="A891" t="s">
        <v>201</v>
      </c>
      <c r="B891" t="s">
        <v>1986</v>
      </c>
      <c r="C891" t="s">
        <v>2313</v>
      </c>
      <c r="D891">
        <v>3.125</v>
      </c>
      <c r="E891" s="1">
        <v>47072</v>
      </c>
      <c r="F891" t="s">
        <v>1988</v>
      </c>
      <c r="G891" t="s">
        <v>2313</v>
      </c>
      <c r="H891" t="s">
        <v>2</v>
      </c>
      <c r="I891" s="1">
        <v>46224</v>
      </c>
      <c r="J891" t="s">
        <v>2108</v>
      </c>
      <c r="K891" t="s">
        <v>2436</v>
      </c>
      <c r="L891" s="1">
        <v>46224.917650462965</v>
      </c>
      <c r="M891" s="1">
        <v>46224.91962439815</v>
      </c>
    </row>
    <row r="892" spans="1:13" x14ac:dyDescent="0.35">
      <c r="A892" t="s">
        <v>201</v>
      </c>
      <c r="B892" t="s">
        <v>1986</v>
      </c>
      <c r="C892" t="s">
        <v>2313</v>
      </c>
      <c r="D892">
        <v>3.125</v>
      </c>
      <c r="E892" s="1">
        <v>47072</v>
      </c>
      <c r="F892" t="s">
        <v>1988</v>
      </c>
      <c r="G892" t="s">
        <v>2313</v>
      </c>
      <c r="H892" t="s">
        <v>2</v>
      </c>
      <c r="I892" s="1">
        <v>46224</v>
      </c>
      <c r="J892" t="s">
        <v>2146</v>
      </c>
      <c r="K892" t="s">
        <v>2436</v>
      </c>
      <c r="L892" s="1">
        <v>46224.917650462965</v>
      </c>
      <c r="M892" s="1">
        <v>46224.91962439815</v>
      </c>
    </row>
    <row r="893" spans="1:13" x14ac:dyDescent="0.35">
      <c r="A893" t="s">
        <v>201</v>
      </c>
      <c r="B893" t="s">
        <v>1986</v>
      </c>
      <c r="C893" t="s">
        <v>2313</v>
      </c>
      <c r="D893">
        <v>3.125</v>
      </c>
      <c r="E893" s="1">
        <v>47072</v>
      </c>
      <c r="F893" t="s">
        <v>1988</v>
      </c>
      <c r="G893" t="s">
        <v>2313</v>
      </c>
      <c r="H893" t="s">
        <v>2</v>
      </c>
      <c r="I893" s="1">
        <v>46224</v>
      </c>
      <c r="J893" t="s">
        <v>2064</v>
      </c>
      <c r="K893" t="s">
        <v>2363</v>
      </c>
      <c r="L893" s="1">
        <v>46224.917650462965</v>
      </c>
      <c r="M893" s="1">
        <v>46224.91962439815</v>
      </c>
    </row>
    <row r="894" spans="1:13" x14ac:dyDescent="0.35">
      <c r="A894" t="s">
        <v>202</v>
      </c>
      <c r="B894" t="s">
        <v>1986</v>
      </c>
      <c r="C894" t="s">
        <v>2331</v>
      </c>
      <c r="D894">
        <v>0.875</v>
      </c>
      <c r="E894" s="1">
        <v>47133</v>
      </c>
      <c r="F894" t="s">
        <v>2014</v>
      </c>
      <c r="G894" t="s">
        <v>2331</v>
      </c>
      <c r="H894" t="s">
        <v>2</v>
      </c>
      <c r="I894" s="1">
        <v>46224</v>
      </c>
      <c r="J894" t="s">
        <v>2108</v>
      </c>
      <c r="K894" t="s">
        <v>2983</v>
      </c>
      <c r="L894" s="1">
        <v>46224.917650462965</v>
      </c>
      <c r="M894" s="1">
        <v>46224.91962439815</v>
      </c>
    </row>
    <row r="895" spans="1:13" x14ac:dyDescent="0.35">
      <c r="A895" t="s">
        <v>202</v>
      </c>
      <c r="B895" t="s">
        <v>1986</v>
      </c>
      <c r="C895" t="s">
        <v>2331</v>
      </c>
      <c r="D895">
        <v>0.875</v>
      </c>
      <c r="E895" s="1">
        <v>47133</v>
      </c>
      <c r="F895" t="s">
        <v>2014</v>
      </c>
      <c r="G895" t="s">
        <v>2331</v>
      </c>
      <c r="H895" t="s">
        <v>2</v>
      </c>
      <c r="I895" s="1">
        <v>46224</v>
      </c>
      <c r="J895" t="s">
        <v>1991</v>
      </c>
      <c r="K895" t="s">
        <v>3371</v>
      </c>
      <c r="L895" s="1">
        <v>46224.918321759258</v>
      </c>
      <c r="M895" s="1">
        <v>46224.91962439815</v>
      </c>
    </row>
    <row r="896" spans="1:13" x14ac:dyDescent="0.35">
      <c r="A896" t="s">
        <v>202</v>
      </c>
      <c r="B896" t="s">
        <v>1986</v>
      </c>
      <c r="C896" t="s">
        <v>2331</v>
      </c>
      <c r="D896">
        <v>0.875</v>
      </c>
      <c r="E896" s="1">
        <v>47133</v>
      </c>
      <c r="F896" t="s">
        <v>2014</v>
      </c>
      <c r="G896" t="s">
        <v>2331</v>
      </c>
      <c r="H896" t="s">
        <v>2</v>
      </c>
      <c r="I896" s="1">
        <v>46224</v>
      </c>
      <c r="J896" t="s">
        <v>2064</v>
      </c>
      <c r="K896" t="s">
        <v>3346</v>
      </c>
      <c r="L896" s="1">
        <v>46224.917650462965</v>
      </c>
      <c r="M896" s="1">
        <v>46224.91962439815</v>
      </c>
    </row>
    <row r="897" spans="1:13" x14ac:dyDescent="0.35">
      <c r="A897" t="s">
        <v>202</v>
      </c>
      <c r="B897" t="s">
        <v>1986</v>
      </c>
      <c r="C897" t="s">
        <v>2331</v>
      </c>
      <c r="D897">
        <v>0.875</v>
      </c>
      <c r="E897" s="1">
        <v>47133</v>
      </c>
      <c r="F897" t="s">
        <v>2014</v>
      </c>
      <c r="G897" t="s">
        <v>2331</v>
      </c>
      <c r="H897" t="s">
        <v>2</v>
      </c>
      <c r="I897" s="1">
        <v>46224</v>
      </c>
      <c r="J897" t="s">
        <v>2146</v>
      </c>
      <c r="K897" t="s">
        <v>2983</v>
      </c>
      <c r="L897" s="1">
        <v>46224.917650462965</v>
      </c>
      <c r="M897" s="1">
        <v>46224.91962439815</v>
      </c>
    </row>
    <row r="898" spans="1:13" x14ac:dyDescent="0.35">
      <c r="A898" t="s">
        <v>202</v>
      </c>
      <c r="B898" t="s">
        <v>1986</v>
      </c>
      <c r="C898" t="s">
        <v>2331</v>
      </c>
      <c r="D898">
        <v>0.875</v>
      </c>
      <c r="E898" s="1">
        <v>47133</v>
      </c>
      <c r="F898" t="s">
        <v>2014</v>
      </c>
      <c r="G898" t="s">
        <v>2331</v>
      </c>
      <c r="H898" t="s">
        <v>2</v>
      </c>
      <c r="I898" s="1">
        <v>46224</v>
      </c>
      <c r="J898" t="s">
        <v>1989</v>
      </c>
      <c r="K898" t="s">
        <v>3589</v>
      </c>
      <c r="L898" s="1">
        <v>46224.918321759258</v>
      </c>
      <c r="M898" s="1">
        <v>46224.91962439815</v>
      </c>
    </row>
    <row r="899" spans="1:13" x14ac:dyDescent="0.35">
      <c r="A899" t="s">
        <v>202</v>
      </c>
      <c r="B899" t="s">
        <v>1986</v>
      </c>
      <c r="C899" t="s">
        <v>2331</v>
      </c>
      <c r="D899">
        <v>0.875</v>
      </c>
      <c r="E899" s="1">
        <v>47133</v>
      </c>
      <c r="F899" t="s">
        <v>2014</v>
      </c>
      <c r="G899" t="s">
        <v>2331</v>
      </c>
      <c r="H899" t="s">
        <v>2</v>
      </c>
      <c r="I899" s="1">
        <v>46224</v>
      </c>
      <c r="J899" t="s">
        <v>2065</v>
      </c>
      <c r="K899" t="s">
        <v>3346</v>
      </c>
      <c r="L899" s="1">
        <v>46224.917650462965</v>
      </c>
      <c r="M899" s="1">
        <v>46224.91962439815</v>
      </c>
    </row>
    <row r="900" spans="1:13" x14ac:dyDescent="0.35">
      <c r="A900" t="s">
        <v>237</v>
      </c>
      <c r="B900" t="s">
        <v>1986</v>
      </c>
      <c r="C900" t="s">
        <v>2314</v>
      </c>
      <c r="D900">
        <v>2.625</v>
      </c>
      <c r="E900" s="1">
        <v>47164</v>
      </c>
      <c r="F900" t="s">
        <v>1988</v>
      </c>
      <c r="G900" t="s">
        <v>2314</v>
      </c>
      <c r="H900" t="s">
        <v>2</v>
      </c>
      <c r="I900" s="1">
        <v>46224</v>
      </c>
      <c r="J900" t="s">
        <v>1989</v>
      </c>
      <c r="K900" t="s">
        <v>4008</v>
      </c>
      <c r="L900" s="1">
        <v>46224.918321759258</v>
      </c>
      <c r="M900" s="1">
        <v>46224.91962439815</v>
      </c>
    </row>
    <row r="901" spans="1:13" x14ac:dyDescent="0.35">
      <c r="A901" t="s">
        <v>237</v>
      </c>
      <c r="B901" t="s">
        <v>1986</v>
      </c>
      <c r="C901" t="s">
        <v>2314</v>
      </c>
      <c r="D901">
        <v>2.625</v>
      </c>
      <c r="E901" s="1">
        <v>47164</v>
      </c>
      <c r="F901" t="s">
        <v>1988</v>
      </c>
      <c r="G901" t="s">
        <v>2314</v>
      </c>
      <c r="H901" t="s">
        <v>2</v>
      </c>
      <c r="I901" s="1">
        <v>46224</v>
      </c>
      <c r="J901" t="s">
        <v>2108</v>
      </c>
      <c r="K901" t="s">
        <v>2913</v>
      </c>
      <c r="L901" s="1">
        <v>46224.917650462965</v>
      </c>
      <c r="M901" s="1">
        <v>46224.91962439815</v>
      </c>
    </row>
    <row r="902" spans="1:13" x14ac:dyDescent="0.35">
      <c r="A902" t="s">
        <v>237</v>
      </c>
      <c r="B902" t="s">
        <v>1986</v>
      </c>
      <c r="C902" t="s">
        <v>2314</v>
      </c>
      <c r="D902">
        <v>2.625</v>
      </c>
      <c r="E902" s="1">
        <v>47164</v>
      </c>
      <c r="F902" t="s">
        <v>1988</v>
      </c>
      <c r="G902" t="s">
        <v>2314</v>
      </c>
      <c r="H902" t="s">
        <v>2</v>
      </c>
      <c r="I902" s="1">
        <v>46224</v>
      </c>
      <c r="J902" t="s">
        <v>2064</v>
      </c>
      <c r="K902" t="s">
        <v>2441</v>
      </c>
      <c r="L902" s="1">
        <v>46224.917650462965</v>
      </c>
      <c r="M902" s="1">
        <v>46224.91962439815</v>
      </c>
    </row>
    <row r="903" spans="1:13" x14ac:dyDescent="0.35">
      <c r="A903" t="s">
        <v>237</v>
      </c>
      <c r="B903" t="s">
        <v>1986</v>
      </c>
      <c r="C903" t="s">
        <v>2314</v>
      </c>
      <c r="D903">
        <v>2.625</v>
      </c>
      <c r="E903" s="1">
        <v>47164</v>
      </c>
      <c r="F903" t="s">
        <v>1988</v>
      </c>
      <c r="G903" t="s">
        <v>2314</v>
      </c>
      <c r="H903" t="s">
        <v>2</v>
      </c>
      <c r="I903" s="1">
        <v>46224</v>
      </c>
      <c r="J903" t="s">
        <v>2065</v>
      </c>
      <c r="K903" t="s">
        <v>2441</v>
      </c>
      <c r="L903" s="1">
        <v>46224.917650462965</v>
      </c>
      <c r="M903" s="1">
        <v>46224.91962439815</v>
      </c>
    </row>
    <row r="904" spans="1:13" x14ac:dyDescent="0.35">
      <c r="A904" t="s">
        <v>237</v>
      </c>
      <c r="B904" t="s">
        <v>1986</v>
      </c>
      <c r="C904" t="s">
        <v>2314</v>
      </c>
      <c r="D904">
        <v>2.625</v>
      </c>
      <c r="E904" s="1">
        <v>47164</v>
      </c>
      <c r="F904" t="s">
        <v>1988</v>
      </c>
      <c r="G904" t="s">
        <v>2314</v>
      </c>
      <c r="H904" t="s">
        <v>2</v>
      </c>
      <c r="I904" s="1">
        <v>46224</v>
      </c>
      <c r="J904" t="s">
        <v>1991</v>
      </c>
      <c r="K904" t="s">
        <v>2516</v>
      </c>
      <c r="L904" s="1">
        <v>46224.918321759258</v>
      </c>
      <c r="M904" s="1">
        <v>46224.91962439815</v>
      </c>
    </row>
    <row r="905" spans="1:13" x14ac:dyDescent="0.35">
      <c r="A905" t="s">
        <v>237</v>
      </c>
      <c r="B905" t="s">
        <v>1986</v>
      </c>
      <c r="C905" t="s">
        <v>2314</v>
      </c>
      <c r="D905">
        <v>2.625</v>
      </c>
      <c r="E905" s="1">
        <v>47164</v>
      </c>
      <c r="F905" t="s">
        <v>1988</v>
      </c>
      <c r="G905" t="s">
        <v>2314</v>
      </c>
      <c r="H905" t="s">
        <v>2</v>
      </c>
      <c r="I905" s="1">
        <v>46224</v>
      </c>
      <c r="J905" t="s">
        <v>2146</v>
      </c>
      <c r="K905" t="s">
        <v>2913</v>
      </c>
      <c r="L905" s="1">
        <v>46224.917650462965</v>
      </c>
      <c r="M905" s="1">
        <v>46224.91962439815</v>
      </c>
    </row>
    <row r="906" spans="1:13" x14ac:dyDescent="0.35">
      <c r="A906" t="s">
        <v>203</v>
      </c>
      <c r="B906" t="s">
        <v>1986</v>
      </c>
      <c r="C906" t="s">
        <v>2315</v>
      </c>
      <c r="D906">
        <v>2.375</v>
      </c>
      <c r="E906" s="1">
        <v>47253</v>
      </c>
      <c r="F906" t="s">
        <v>1988</v>
      </c>
      <c r="G906" t="s">
        <v>2315</v>
      </c>
      <c r="H906" t="s">
        <v>2</v>
      </c>
      <c r="I906" s="1">
        <v>46224</v>
      </c>
      <c r="J906" t="s">
        <v>1991</v>
      </c>
      <c r="K906" t="s">
        <v>4009</v>
      </c>
      <c r="L906" s="1">
        <v>46224.918321759258</v>
      </c>
      <c r="M906" s="1">
        <v>46224.91962439815</v>
      </c>
    </row>
    <row r="907" spans="1:13" x14ac:dyDescent="0.35">
      <c r="A907" t="s">
        <v>203</v>
      </c>
      <c r="B907" t="s">
        <v>1986</v>
      </c>
      <c r="C907" t="s">
        <v>2315</v>
      </c>
      <c r="D907">
        <v>2.375</v>
      </c>
      <c r="E907" s="1">
        <v>47253</v>
      </c>
      <c r="F907" t="s">
        <v>1988</v>
      </c>
      <c r="G907" t="s">
        <v>2315</v>
      </c>
      <c r="H907" t="s">
        <v>2</v>
      </c>
      <c r="I907" s="1">
        <v>46224</v>
      </c>
      <c r="J907" t="s">
        <v>2108</v>
      </c>
      <c r="K907" t="s">
        <v>2738</v>
      </c>
      <c r="L907" s="1">
        <v>46224.917650462965</v>
      </c>
      <c r="M907" s="1">
        <v>46224.91962439815</v>
      </c>
    </row>
    <row r="908" spans="1:13" x14ac:dyDescent="0.35">
      <c r="A908" t="s">
        <v>203</v>
      </c>
      <c r="B908" t="s">
        <v>1986</v>
      </c>
      <c r="C908" t="s">
        <v>2315</v>
      </c>
      <c r="D908">
        <v>2.375</v>
      </c>
      <c r="E908" s="1">
        <v>47253</v>
      </c>
      <c r="F908" t="s">
        <v>1988</v>
      </c>
      <c r="G908" t="s">
        <v>2315</v>
      </c>
      <c r="H908" t="s">
        <v>2</v>
      </c>
      <c r="I908" s="1">
        <v>46224</v>
      </c>
      <c r="J908" t="s">
        <v>2065</v>
      </c>
      <c r="K908" t="s">
        <v>2875</v>
      </c>
      <c r="L908" s="1">
        <v>46224.917650462965</v>
      </c>
      <c r="M908" s="1">
        <v>46224.91962439815</v>
      </c>
    </row>
    <row r="909" spans="1:13" x14ac:dyDescent="0.35">
      <c r="A909" t="s">
        <v>203</v>
      </c>
      <c r="B909" t="s">
        <v>1986</v>
      </c>
      <c r="C909" t="s">
        <v>2315</v>
      </c>
      <c r="D909">
        <v>2.375</v>
      </c>
      <c r="E909" s="1">
        <v>47253</v>
      </c>
      <c r="F909" t="s">
        <v>1988</v>
      </c>
      <c r="G909" t="s">
        <v>2315</v>
      </c>
      <c r="H909" t="s">
        <v>2</v>
      </c>
      <c r="I909" s="1">
        <v>46224</v>
      </c>
      <c r="J909" t="s">
        <v>2064</v>
      </c>
      <c r="K909" t="s">
        <v>2875</v>
      </c>
      <c r="L909" s="1">
        <v>46224.917650462965</v>
      </c>
      <c r="M909" s="1">
        <v>46224.91962439815</v>
      </c>
    </row>
    <row r="910" spans="1:13" x14ac:dyDescent="0.35">
      <c r="A910" t="s">
        <v>203</v>
      </c>
      <c r="B910" t="s">
        <v>1986</v>
      </c>
      <c r="C910" t="s">
        <v>2315</v>
      </c>
      <c r="D910">
        <v>2.375</v>
      </c>
      <c r="E910" s="1">
        <v>47253</v>
      </c>
      <c r="F910" t="s">
        <v>1988</v>
      </c>
      <c r="G910" t="s">
        <v>2315</v>
      </c>
      <c r="H910" t="s">
        <v>2</v>
      </c>
      <c r="I910" s="1">
        <v>46224</v>
      </c>
      <c r="J910" t="s">
        <v>2146</v>
      </c>
      <c r="K910" t="s">
        <v>2738</v>
      </c>
      <c r="L910" s="1">
        <v>46224.917650462965</v>
      </c>
      <c r="M910" s="1">
        <v>46224.91962439815</v>
      </c>
    </row>
    <row r="911" spans="1:13" x14ac:dyDescent="0.35">
      <c r="A911" t="s">
        <v>203</v>
      </c>
      <c r="B911" t="s">
        <v>1986</v>
      </c>
      <c r="C911" t="s">
        <v>2315</v>
      </c>
      <c r="D911">
        <v>2.375</v>
      </c>
      <c r="E911" s="1">
        <v>47253</v>
      </c>
      <c r="F911" t="s">
        <v>1988</v>
      </c>
      <c r="G911" t="s">
        <v>2315</v>
      </c>
      <c r="H911" t="s">
        <v>2</v>
      </c>
      <c r="I911" s="1">
        <v>46224</v>
      </c>
      <c r="J911" t="s">
        <v>1989</v>
      </c>
      <c r="K911" t="s">
        <v>3639</v>
      </c>
      <c r="L911" s="1">
        <v>46224.918321759258</v>
      </c>
      <c r="M911" s="1">
        <v>46224.91962439815</v>
      </c>
    </row>
    <row r="912" spans="1:13" x14ac:dyDescent="0.35">
      <c r="A912" t="s">
        <v>204</v>
      </c>
      <c r="B912" t="s">
        <v>1986</v>
      </c>
      <c r="C912" t="s">
        <v>2332</v>
      </c>
      <c r="D912">
        <v>0.25</v>
      </c>
      <c r="E912" s="1">
        <v>47314</v>
      </c>
      <c r="F912" t="s">
        <v>2014</v>
      </c>
      <c r="G912" t="s">
        <v>2332</v>
      </c>
      <c r="H912" t="s">
        <v>2</v>
      </c>
      <c r="I912" s="1">
        <v>46224</v>
      </c>
      <c r="J912" t="s">
        <v>2146</v>
      </c>
      <c r="K912" t="s">
        <v>3524</v>
      </c>
      <c r="L912" s="1">
        <v>46224.917650462965</v>
      </c>
      <c r="M912" s="1">
        <v>46224.91962439815</v>
      </c>
    </row>
    <row r="913" spans="1:13" x14ac:dyDescent="0.35">
      <c r="A913" t="s">
        <v>204</v>
      </c>
      <c r="B913" t="s">
        <v>1986</v>
      </c>
      <c r="C913" t="s">
        <v>2332</v>
      </c>
      <c r="D913">
        <v>0.25</v>
      </c>
      <c r="E913" s="1">
        <v>47314</v>
      </c>
      <c r="F913" t="s">
        <v>2014</v>
      </c>
      <c r="G913" t="s">
        <v>2332</v>
      </c>
      <c r="H913" t="s">
        <v>2</v>
      </c>
      <c r="I913" s="1">
        <v>46224</v>
      </c>
      <c r="J913" t="s">
        <v>2065</v>
      </c>
      <c r="K913" t="s">
        <v>3525</v>
      </c>
      <c r="L913" s="1">
        <v>46224.917650462965</v>
      </c>
      <c r="M913" s="1">
        <v>46224.91962439815</v>
      </c>
    </row>
    <row r="914" spans="1:13" x14ac:dyDescent="0.35">
      <c r="A914" t="s">
        <v>204</v>
      </c>
      <c r="B914" t="s">
        <v>1986</v>
      </c>
      <c r="C914" t="s">
        <v>2332</v>
      </c>
      <c r="D914">
        <v>0.25</v>
      </c>
      <c r="E914" s="1">
        <v>47314</v>
      </c>
      <c r="F914" t="s">
        <v>2014</v>
      </c>
      <c r="G914" t="s">
        <v>2332</v>
      </c>
      <c r="H914" t="s">
        <v>2</v>
      </c>
      <c r="I914" s="1">
        <v>46224</v>
      </c>
      <c r="J914" t="s">
        <v>2064</v>
      </c>
      <c r="K914" t="s">
        <v>3525</v>
      </c>
      <c r="L914" s="1">
        <v>46224.917650462965</v>
      </c>
      <c r="M914" s="1">
        <v>46224.91962439815</v>
      </c>
    </row>
    <row r="915" spans="1:13" x14ac:dyDescent="0.35">
      <c r="A915" t="s">
        <v>204</v>
      </c>
      <c r="B915" t="s">
        <v>1986</v>
      </c>
      <c r="C915" t="s">
        <v>2332</v>
      </c>
      <c r="D915">
        <v>0.25</v>
      </c>
      <c r="E915" s="1">
        <v>47314</v>
      </c>
      <c r="F915" t="s">
        <v>2014</v>
      </c>
      <c r="G915" t="s">
        <v>2332</v>
      </c>
      <c r="H915" t="s">
        <v>2</v>
      </c>
      <c r="I915" s="1">
        <v>46224</v>
      </c>
      <c r="J915" t="s">
        <v>1991</v>
      </c>
      <c r="K915" t="s">
        <v>3558</v>
      </c>
      <c r="L915" s="1">
        <v>46224.918321759258</v>
      </c>
      <c r="M915" s="1">
        <v>46224.91962439815</v>
      </c>
    </row>
    <row r="916" spans="1:13" x14ac:dyDescent="0.35">
      <c r="A916" t="s">
        <v>204</v>
      </c>
      <c r="B916" t="s">
        <v>1986</v>
      </c>
      <c r="C916" t="s">
        <v>2332</v>
      </c>
      <c r="D916">
        <v>0.25</v>
      </c>
      <c r="E916" s="1">
        <v>47314</v>
      </c>
      <c r="F916" t="s">
        <v>2014</v>
      </c>
      <c r="G916" t="s">
        <v>2332</v>
      </c>
      <c r="H916" t="s">
        <v>2</v>
      </c>
      <c r="I916" s="1">
        <v>46224</v>
      </c>
      <c r="J916" t="s">
        <v>2108</v>
      </c>
      <c r="K916" t="s">
        <v>3524</v>
      </c>
      <c r="L916" s="1">
        <v>46224.917650462965</v>
      </c>
      <c r="M916" s="1">
        <v>46224.91962439815</v>
      </c>
    </row>
    <row r="917" spans="1:13" x14ac:dyDescent="0.35">
      <c r="A917" t="s">
        <v>204</v>
      </c>
      <c r="B917" t="s">
        <v>1986</v>
      </c>
      <c r="C917" t="s">
        <v>2332</v>
      </c>
      <c r="D917">
        <v>0.25</v>
      </c>
      <c r="E917" s="1">
        <v>47314</v>
      </c>
      <c r="F917" t="s">
        <v>2014</v>
      </c>
      <c r="G917" t="s">
        <v>2332</v>
      </c>
      <c r="H917" t="s">
        <v>2</v>
      </c>
      <c r="I917" s="1">
        <v>46224</v>
      </c>
      <c r="J917" t="s">
        <v>1989</v>
      </c>
      <c r="K917" t="s">
        <v>3640</v>
      </c>
      <c r="L917" s="1">
        <v>46224.918321759258</v>
      </c>
      <c r="M917" s="1">
        <v>46224.91962439815</v>
      </c>
    </row>
    <row r="918" spans="1:13" x14ac:dyDescent="0.35">
      <c r="A918" t="s">
        <v>238</v>
      </c>
      <c r="B918" t="s">
        <v>1986</v>
      </c>
      <c r="C918" t="s">
        <v>2316</v>
      </c>
      <c r="D918">
        <v>2</v>
      </c>
      <c r="E918" s="1">
        <v>46341</v>
      </c>
      <c r="F918" t="s">
        <v>1988</v>
      </c>
      <c r="G918" t="s">
        <v>2316</v>
      </c>
      <c r="H918" t="s">
        <v>2</v>
      </c>
      <c r="I918" s="1">
        <v>46224</v>
      </c>
      <c r="J918" t="s">
        <v>2064</v>
      </c>
      <c r="K918" t="s">
        <v>3745</v>
      </c>
      <c r="L918" s="1">
        <v>46224.917650462965</v>
      </c>
      <c r="M918" s="1">
        <v>46224.91962439815</v>
      </c>
    </row>
    <row r="919" spans="1:13" x14ac:dyDescent="0.35">
      <c r="A919" t="s">
        <v>238</v>
      </c>
      <c r="B919" t="s">
        <v>1986</v>
      </c>
      <c r="C919" t="s">
        <v>2316</v>
      </c>
      <c r="D919">
        <v>2</v>
      </c>
      <c r="E919" s="1">
        <v>46341</v>
      </c>
      <c r="F919" t="s">
        <v>1988</v>
      </c>
      <c r="G919" t="s">
        <v>2316</v>
      </c>
      <c r="H919" t="s">
        <v>2</v>
      </c>
      <c r="I919" s="1">
        <v>46224</v>
      </c>
      <c r="J919" t="s">
        <v>2108</v>
      </c>
      <c r="K919" t="s">
        <v>3372</v>
      </c>
      <c r="L919" s="1">
        <v>46224.917650462965</v>
      </c>
      <c r="M919" s="1">
        <v>46224.91962439815</v>
      </c>
    </row>
    <row r="920" spans="1:13" x14ac:dyDescent="0.35">
      <c r="A920" t="s">
        <v>238</v>
      </c>
      <c r="B920" t="s">
        <v>1986</v>
      </c>
      <c r="C920" t="s">
        <v>2316</v>
      </c>
      <c r="D920">
        <v>2</v>
      </c>
      <c r="E920" s="1">
        <v>46341</v>
      </c>
      <c r="F920" t="s">
        <v>1988</v>
      </c>
      <c r="G920" t="s">
        <v>2316</v>
      </c>
      <c r="H920" t="s">
        <v>2</v>
      </c>
      <c r="I920" s="1">
        <v>46224</v>
      </c>
      <c r="J920" t="s">
        <v>1989</v>
      </c>
      <c r="K920" t="s">
        <v>4010</v>
      </c>
      <c r="L920" s="1">
        <v>46224.918321759258</v>
      </c>
      <c r="M920" s="1">
        <v>46224.91962439815</v>
      </c>
    </row>
    <row r="921" spans="1:13" x14ac:dyDescent="0.35">
      <c r="A921" t="s">
        <v>238</v>
      </c>
      <c r="B921" t="s">
        <v>1986</v>
      </c>
      <c r="C921" t="s">
        <v>2316</v>
      </c>
      <c r="D921">
        <v>2</v>
      </c>
      <c r="E921" s="1">
        <v>46341</v>
      </c>
      <c r="F921" t="s">
        <v>1988</v>
      </c>
      <c r="G921" t="s">
        <v>2316</v>
      </c>
      <c r="H921" t="s">
        <v>2</v>
      </c>
      <c r="I921" s="1">
        <v>46224</v>
      </c>
      <c r="J921" t="s">
        <v>2065</v>
      </c>
      <c r="K921" t="s">
        <v>3745</v>
      </c>
      <c r="L921" s="1">
        <v>46224.917650462965</v>
      </c>
      <c r="M921" s="1">
        <v>46224.91962439815</v>
      </c>
    </row>
    <row r="922" spans="1:13" x14ac:dyDescent="0.35">
      <c r="A922" t="s">
        <v>238</v>
      </c>
      <c r="B922" t="s">
        <v>1986</v>
      </c>
      <c r="C922" t="s">
        <v>2316</v>
      </c>
      <c r="D922">
        <v>2</v>
      </c>
      <c r="E922" s="1">
        <v>46341</v>
      </c>
      <c r="F922" t="s">
        <v>1988</v>
      </c>
      <c r="G922" t="s">
        <v>2316</v>
      </c>
      <c r="H922" t="s">
        <v>2</v>
      </c>
      <c r="I922" s="1">
        <v>46224</v>
      </c>
      <c r="J922" t="s">
        <v>2146</v>
      </c>
      <c r="K922" t="s">
        <v>3372</v>
      </c>
      <c r="L922" s="1">
        <v>46224.917650462965</v>
      </c>
      <c r="M922" s="1">
        <v>46224.91962439815</v>
      </c>
    </row>
    <row r="923" spans="1:13" x14ac:dyDescent="0.35">
      <c r="A923" t="s">
        <v>238</v>
      </c>
      <c r="B923" t="s">
        <v>1986</v>
      </c>
      <c r="C923" t="s">
        <v>2316</v>
      </c>
      <c r="D923">
        <v>2</v>
      </c>
      <c r="E923" s="1">
        <v>46341</v>
      </c>
      <c r="F923" t="s">
        <v>1988</v>
      </c>
      <c r="G923" t="s">
        <v>2316</v>
      </c>
      <c r="H923" t="s">
        <v>2</v>
      </c>
      <c r="I923" s="1">
        <v>46224</v>
      </c>
      <c r="J923" t="s">
        <v>1991</v>
      </c>
      <c r="K923" t="s">
        <v>3641</v>
      </c>
      <c r="L923" s="1">
        <v>46224.918321759258</v>
      </c>
      <c r="M923" s="1">
        <v>46224.91962439815</v>
      </c>
    </row>
    <row r="924" spans="1:13" x14ac:dyDescent="0.35">
      <c r="A924" t="s">
        <v>239</v>
      </c>
      <c r="B924" t="s">
        <v>1986</v>
      </c>
      <c r="C924" t="s">
        <v>2333</v>
      </c>
      <c r="D924">
        <v>0.375</v>
      </c>
      <c r="E924" s="1">
        <v>46402</v>
      </c>
      <c r="F924" t="s">
        <v>2014</v>
      </c>
      <c r="G924" t="s">
        <v>2333</v>
      </c>
      <c r="H924" t="s">
        <v>2</v>
      </c>
      <c r="I924" s="1">
        <v>46224</v>
      </c>
      <c r="J924" t="s">
        <v>1989</v>
      </c>
      <c r="K924" t="s">
        <v>2878</v>
      </c>
      <c r="L924" s="1">
        <v>46224.918321759258</v>
      </c>
      <c r="M924" s="1">
        <v>46224.91962439815</v>
      </c>
    </row>
    <row r="925" spans="1:13" x14ac:dyDescent="0.35">
      <c r="A925" t="s">
        <v>239</v>
      </c>
      <c r="B925" t="s">
        <v>1986</v>
      </c>
      <c r="C925" t="s">
        <v>2333</v>
      </c>
      <c r="D925">
        <v>0.375</v>
      </c>
      <c r="E925" s="1">
        <v>46402</v>
      </c>
      <c r="F925" t="s">
        <v>2014</v>
      </c>
      <c r="G925" t="s">
        <v>2333</v>
      </c>
      <c r="H925" t="s">
        <v>2</v>
      </c>
      <c r="I925" s="1">
        <v>46224</v>
      </c>
      <c r="J925" t="s">
        <v>1991</v>
      </c>
      <c r="K925" t="s">
        <v>2409</v>
      </c>
      <c r="L925" s="1">
        <v>46224.918321759258</v>
      </c>
      <c r="M925" s="1">
        <v>46224.91962439815</v>
      </c>
    </row>
    <row r="926" spans="1:13" x14ac:dyDescent="0.35">
      <c r="A926" t="s">
        <v>239</v>
      </c>
      <c r="B926" t="s">
        <v>1986</v>
      </c>
      <c r="C926" t="s">
        <v>2333</v>
      </c>
      <c r="D926">
        <v>0.375</v>
      </c>
      <c r="E926" s="1">
        <v>46402</v>
      </c>
      <c r="F926" t="s">
        <v>2014</v>
      </c>
      <c r="G926" t="s">
        <v>2333</v>
      </c>
      <c r="H926" t="s">
        <v>2</v>
      </c>
      <c r="I926" s="1">
        <v>46224</v>
      </c>
      <c r="J926" t="s">
        <v>2146</v>
      </c>
      <c r="K926" t="s">
        <v>3373</v>
      </c>
      <c r="L926" s="1">
        <v>46224.917650462965</v>
      </c>
      <c r="M926" s="1">
        <v>46224.91962439815</v>
      </c>
    </row>
    <row r="927" spans="1:13" x14ac:dyDescent="0.35">
      <c r="A927" t="s">
        <v>239</v>
      </c>
      <c r="B927" t="s">
        <v>1986</v>
      </c>
      <c r="C927" t="s">
        <v>2333</v>
      </c>
      <c r="D927">
        <v>0.375</v>
      </c>
      <c r="E927" s="1">
        <v>46402</v>
      </c>
      <c r="F927" t="s">
        <v>2014</v>
      </c>
      <c r="G927" t="s">
        <v>2333</v>
      </c>
      <c r="H927" t="s">
        <v>2</v>
      </c>
      <c r="I927" s="1">
        <v>46224</v>
      </c>
      <c r="J927" t="s">
        <v>2064</v>
      </c>
      <c r="K927" t="s">
        <v>3559</v>
      </c>
      <c r="L927" s="1">
        <v>46224.917650462965</v>
      </c>
      <c r="M927" s="1">
        <v>46224.91962439815</v>
      </c>
    </row>
    <row r="928" spans="1:13" x14ac:dyDescent="0.35">
      <c r="A928" t="s">
        <v>239</v>
      </c>
      <c r="B928" t="s">
        <v>1986</v>
      </c>
      <c r="C928" t="s">
        <v>2333</v>
      </c>
      <c r="D928">
        <v>0.375</v>
      </c>
      <c r="E928" s="1">
        <v>46402</v>
      </c>
      <c r="F928" t="s">
        <v>2014</v>
      </c>
      <c r="G928" t="s">
        <v>2333</v>
      </c>
      <c r="H928" t="s">
        <v>2</v>
      </c>
      <c r="I928" s="1">
        <v>46224</v>
      </c>
      <c r="J928" t="s">
        <v>2065</v>
      </c>
      <c r="K928" t="s">
        <v>3559</v>
      </c>
      <c r="L928" s="1">
        <v>46224.917650462965</v>
      </c>
      <c r="M928" s="1">
        <v>46224.91962439815</v>
      </c>
    </row>
    <row r="929" spans="1:13" x14ac:dyDescent="0.35">
      <c r="A929" t="s">
        <v>239</v>
      </c>
      <c r="B929" t="s">
        <v>1986</v>
      </c>
      <c r="C929" t="s">
        <v>2333</v>
      </c>
      <c r="D929">
        <v>0.375</v>
      </c>
      <c r="E929" s="1">
        <v>46402</v>
      </c>
      <c r="F929" t="s">
        <v>2014</v>
      </c>
      <c r="G929" t="s">
        <v>2333</v>
      </c>
      <c r="H929" t="s">
        <v>2</v>
      </c>
      <c r="I929" s="1">
        <v>46224</v>
      </c>
      <c r="J929" t="s">
        <v>2108</v>
      </c>
      <c r="K929" t="s">
        <v>3373</v>
      </c>
      <c r="L929" s="1">
        <v>46224.917650462965</v>
      </c>
      <c r="M929" s="1">
        <v>46224.91962439815</v>
      </c>
    </row>
    <row r="930" spans="1:13" x14ac:dyDescent="0.35">
      <c r="A930" t="s">
        <v>240</v>
      </c>
      <c r="B930" t="s">
        <v>1986</v>
      </c>
      <c r="C930" t="s">
        <v>2334</v>
      </c>
      <c r="D930">
        <v>2.25</v>
      </c>
      <c r="E930" s="1">
        <v>46433</v>
      </c>
      <c r="F930" t="s">
        <v>1988</v>
      </c>
      <c r="G930" t="s">
        <v>2334</v>
      </c>
      <c r="H930" t="s">
        <v>2</v>
      </c>
      <c r="I930" s="1">
        <v>46224</v>
      </c>
      <c r="J930" t="s">
        <v>1989</v>
      </c>
      <c r="K930" t="s">
        <v>4011</v>
      </c>
      <c r="L930" s="1">
        <v>46224.918321759258</v>
      </c>
      <c r="M930" s="1">
        <v>46224.91962439815</v>
      </c>
    </row>
    <row r="931" spans="1:13" x14ac:dyDescent="0.35">
      <c r="A931" t="s">
        <v>240</v>
      </c>
      <c r="B931" t="s">
        <v>1986</v>
      </c>
      <c r="C931" t="s">
        <v>2334</v>
      </c>
      <c r="D931">
        <v>2.25</v>
      </c>
      <c r="E931" s="1">
        <v>46433</v>
      </c>
      <c r="F931" t="s">
        <v>1988</v>
      </c>
      <c r="G931" t="s">
        <v>2334</v>
      </c>
      <c r="H931" t="s">
        <v>2</v>
      </c>
      <c r="I931" s="1">
        <v>46224</v>
      </c>
      <c r="J931" t="s">
        <v>1991</v>
      </c>
      <c r="K931" t="s">
        <v>2960</v>
      </c>
      <c r="L931" s="1">
        <v>46224.918321759258</v>
      </c>
      <c r="M931" s="1">
        <v>46224.91962439815</v>
      </c>
    </row>
    <row r="932" spans="1:13" x14ac:dyDescent="0.35">
      <c r="A932" t="s">
        <v>240</v>
      </c>
      <c r="B932" t="s">
        <v>1986</v>
      </c>
      <c r="C932" t="s">
        <v>2334</v>
      </c>
      <c r="D932">
        <v>2.25</v>
      </c>
      <c r="E932" s="1">
        <v>46433</v>
      </c>
      <c r="F932" t="s">
        <v>1988</v>
      </c>
      <c r="G932" t="s">
        <v>2334</v>
      </c>
      <c r="H932" t="s">
        <v>2</v>
      </c>
      <c r="I932" s="1">
        <v>46224</v>
      </c>
      <c r="J932" t="s">
        <v>2064</v>
      </c>
      <c r="K932" t="s">
        <v>3591</v>
      </c>
      <c r="L932" s="1">
        <v>46224.917650462965</v>
      </c>
      <c r="M932" s="1">
        <v>46224.91962439815</v>
      </c>
    </row>
    <row r="933" spans="1:13" x14ac:dyDescent="0.35">
      <c r="A933" t="s">
        <v>240</v>
      </c>
      <c r="B933" t="s">
        <v>1986</v>
      </c>
      <c r="C933" t="s">
        <v>2334</v>
      </c>
      <c r="D933">
        <v>2.25</v>
      </c>
      <c r="E933" s="1">
        <v>46433</v>
      </c>
      <c r="F933" t="s">
        <v>1988</v>
      </c>
      <c r="G933" t="s">
        <v>2334</v>
      </c>
      <c r="H933" t="s">
        <v>2</v>
      </c>
      <c r="I933" s="1">
        <v>46224</v>
      </c>
      <c r="J933" t="s">
        <v>2146</v>
      </c>
      <c r="K933" t="s">
        <v>3590</v>
      </c>
      <c r="L933" s="1">
        <v>46224.917650462965</v>
      </c>
      <c r="M933" s="1">
        <v>46224.91962439815</v>
      </c>
    </row>
    <row r="934" spans="1:13" x14ac:dyDescent="0.35">
      <c r="A934" t="s">
        <v>240</v>
      </c>
      <c r="B934" t="s">
        <v>1986</v>
      </c>
      <c r="C934" t="s">
        <v>2334</v>
      </c>
      <c r="D934">
        <v>2.25</v>
      </c>
      <c r="E934" s="1">
        <v>46433</v>
      </c>
      <c r="F934" t="s">
        <v>1988</v>
      </c>
      <c r="G934" t="s">
        <v>2334</v>
      </c>
      <c r="H934" t="s">
        <v>2</v>
      </c>
      <c r="I934" s="1">
        <v>46224</v>
      </c>
      <c r="J934" t="s">
        <v>2108</v>
      </c>
      <c r="K934" t="s">
        <v>3590</v>
      </c>
      <c r="L934" s="1">
        <v>46224.917650462965</v>
      </c>
      <c r="M934" s="1">
        <v>46224.91962439815</v>
      </c>
    </row>
    <row r="935" spans="1:13" x14ac:dyDescent="0.35">
      <c r="A935" t="s">
        <v>240</v>
      </c>
      <c r="B935" t="s">
        <v>1986</v>
      </c>
      <c r="C935" t="s">
        <v>2334</v>
      </c>
      <c r="D935">
        <v>2.25</v>
      </c>
      <c r="E935" s="1">
        <v>46433</v>
      </c>
      <c r="F935" t="s">
        <v>1988</v>
      </c>
      <c r="G935" t="s">
        <v>2334</v>
      </c>
      <c r="H935" t="s">
        <v>2</v>
      </c>
      <c r="I935" s="1">
        <v>46224</v>
      </c>
      <c r="J935" t="s">
        <v>2065</v>
      </c>
      <c r="K935" t="s">
        <v>3591</v>
      </c>
      <c r="L935" s="1">
        <v>46224.917650462965</v>
      </c>
      <c r="M935" s="1">
        <v>46224.91962439815</v>
      </c>
    </row>
    <row r="936" spans="1:13" x14ac:dyDescent="0.35">
      <c r="A936" t="s">
        <v>205</v>
      </c>
      <c r="B936" t="s">
        <v>1986</v>
      </c>
      <c r="C936" t="s">
        <v>2344</v>
      </c>
      <c r="D936">
        <v>2.375</v>
      </c>
      <c r="E936" s="1">
        <v>46522</v>
      </c>
      <c r="F936" t="s">
        <v>1988</v>
      </c>
      <c r="G936" t="s">
        <v>2344</v>
      </c>
      <c r="H936" t="s">
        <v>2</v>
      </c>
      <c r="I936" s="1">
        <v>46224</v>
      </c>
      <c r="J936" t="s">
        <v>2064</v>
      </c>
      <c r="K936" t="s">
        <v>3880</v>
      </c>
      <c r="L936" s="1">
        <v>46224.917650462965</v>
      </c>
      <c r="M936" s="1">
        <v>46224.91962439815</v>
      </c>
    </row>
    <row r="937" spans="1:13" x14ac:dyDescent="0.35">
      <c r="A937" t="s">
        <v>205</v>
      </c>
      <c r="B937" t="s">
        <v>1986</v>
      </c>
      <c r="C937" t="s">
        <v>2344</v>
      </c>
      <c r="D937">
        <v>2.375</v>
      </c>
      <c r="E937" s="1">
        <v>46522</v>
      </c>
      <c r="F937" t="s">
        <v>1988</v>
      </c>
      <c r="G937" t="s">
        <v>2344</v>
      </c>
      <c r="H937" t="s">
        <v>2</v>
      </c>
      <c r="I937" s="1">
        <v>46224</v>
      </c>
      <c r="J937" t="s">
        <v>2065</v>
      </c>
      <c r="K937" t="s">
        <v>3880</v>
      </c>
      <c r="L937" s="1">
        <v>46224.917650462965</v>
      </c>
      <c r="M937" s="1">
        <v>46224.91962439815</v>
      </c>
    </row>
    <row r="938" spans="1:13" x14ac:dyDescent="0.35">
      <c r="A938" t="s">
        <v>205</v>
      </c>
      <c r="B938" t="s">
        <v>1986</v>
      </c>
      <c r="C938" t="s">
        <v>2344</v>
      </c>
      <c r="D938">
        <v>2.375</v>
      </c>
      <c r="E938" s="1">
        <v>46522</v>
      </c>
      <c r="F938" t="s">
        <v>1988</v>
      </c>
      <c r="G938" t="s">
        <v>2344</v>
      </c>
      <c r="H938" t="s">
        <v>2</v>
      </c>
      <c r="I938" s="1">
        <v>46224</v>
      </c>
      <c r="J938" t="s">
        <v>1991</v>
      </c>
      <c r="K938" t="s">
        <v>3347</v>
      </c>
      <c r="L938" s="1">
        <v>46224.918321759258</v>
      </c>
      <c r="M938" s="1">
        <v>46224.91962439815</v>
      </c>
    </row>
    <row r="939" spans="1:13" x14ac:dyDescent="0.35">
      <c r="A939" t="s">
        <v>205</v>
      </c>
      <c r="B939" t="s">
        <v>1986</v>
      </c>
      <c r="C939" t="s">
        <v>2344</v>
      </c>
      <c r="D939">
        <v>2.375</v>
      </c>
      <c r="E939" s="1">
        <v>46522</v>
      </c>
      <c r="F939" t="s">
        <v>1988</v>
      </c>
      <c r="G939" t="s">
        <v>2344</v>
      </c>
      <c r="H939" t="s">
        <v>2</v>
      </c>
      <c r="I939" s="1">
        <v>46224</v>
      </c>
      <c r="J939" t="s">
        <v>2108</v>
      </c>
      <c r="K939" t="s">
        <v>3348</v>
      </c>
      <c r="L939" s="1">
        <v>46224.917650462965</v>
      </c>
      <c r="M939" s="1">
        <v>46224.91962439815</v>
      </c>
    </row>
    <row r="940" spans="1:13" x14ac:dyDescent="0.35">
      <c r="A940" t="s">
        <v>205</v>
      </c>
      <c r="B940" t="s">
        <v>1986</v>
      </c>
      <c r="C940" t="s">
        <v>2344</v>
      </c>
      <c r="D940">
        <v>2.375</v>
      </c>
      <c r="E940" s="1">
        <v>46522</v>
      </c>
      <c r="F940" t="s">
        <v>1988</v>
      </c>
      <c r="G940" t="s">
        <v>2344</v>
      </c>
      <c r="H940" t="s">
        <v>2</v>
      </c>
      <c r="I940" s="1">
        <v>46224</v>
      </c>
      <c r="J940" t="s">
        <v>2146</v>
      </c>
      <c r="K940" t="s">
        <v>3348</v>
      </c>
      <c r="L940" s="1">
        <v>46224.917650462965</v>
      </c>
      <c r="M940" s="1">
        <v>46224.91962439815</v>
      </c>
    </row>
    <row r="941" spans="1:13" x14ac:dyDescent="0.35">
      <c r="A941" t="s">
        <v>205</v>
      </c>
      <c r="B941" t="s">
        <v>1986</v>
      </c>
      <c r="C941" t="s">
        <v>2344</v>
      </c>
      <c r="D941">
        <v>2.375</v>
      </c>
      <c r="E941" s="1">
        <v>46522</v>
      </c>
      <c r="F941" t="s">
        <v>1988</v>
      </c>
      <c r="G941" t="s">
        <v>2344</v>
      </c>
      <c r="H941" t="s">
        <v>2</v>
      </c>
      <c r="I941" s="1">
        <v>46224</v>
      </c>
      <c r="J941" t="s">
        <v>1989</v>
      </c>
      <c r="K941" t="s">
        <v>3642</v>
      </c>
      <c r="L941" s="1">
        <v>46224.918321759258</v>
      </c>
      <c r="M941" s="1">
        <v>46224.91962439815</v>
      </c>
    </row>
    <row r="942" spans="1:13" x14ac:dyDescent="0.35">
      <c r="A942" t="s">
        <v>206</v>
      </c>
      <c r="B942" t="s">
        <v>1986</v>
      </c>
      <c r="C942" t="s">
        <v>2335</v>
      </c>
      <c r="D942">
        <v>0.75</v>
      </c>
      <c r="E942" s="1">
        <v>46949</v>
      </c>
      <c r="F942" t="s">
        <v>2014</v>
      </c>
      <c r="G942" t="s">
        <v>2335</v>
      </c>
      <c r="H942" t="s">
        <v>2</v>
      </c>
      <c r="I942" s="1">
        <v>46224</v>
      </c>
      <c r="J942" t="s">
        <v>1991</v>
      </c>
      <c r="K942" t="s">
        <v>3462</v>
      </c>
      <c r="L942" s="1">
        <v>46224.918321759258</v>
      </c>
      <c r="M942" s="1">
        <v>46224.91962439815</v>
      </c>
    </row>
    <row r="943" spans="1:13" x14ac:dyDescent="0.35">
      <c r="A943" t="s">
        <v>206</v>
      </c>
      <c r="B943" t="s">
        <v>1986</v>
      </c>
      <c r="C943" t="s">
        <v>2335</v>
      </c>
      <c r="D943">
        <v>0.75</v>
      </c>
      <c r="E943" s="1">
        <v>46949</v>
      </c>
      <c r="F943" t="s">
        <v>2014</v>
      </c>
      <c r="G943" t="s">
        <v>2335</v>
      </c>
      <c r="H943" t="s">
        <v>2</v>
      </c>
      <c r="I943" s="1">
        <v>46224</v>
      </c>
      <c r="J943" t="s">
        <v>1989</v>
      </c>
      <c r="K943" t="s">
        <v>3442</v>
      </c>
      <c r="L943" s="1">
        <v>46224.918321759258</v>
      </c>
      <c r="M943" s="1">
        <v>46224.91962439815</v>
      </c>
    </row>
    <row r="944" spans="1:13" x14ac:dyDescent="0.35">
      <c r="A944" t="s">
        <v>206</v>
      </c>
      <c r="B944" t="s">
        <v>1986</v>
      </c>
      <c r="C944" t="s">
        <v>2335</v>
      </c>
      <c r="D944">
        <v>0.75</v>
      </c>
      <c r="E944" s="1">
        <v>46949</v>
      </c>
      <c r="F944" t="s">
        <v>2014</v>
      </c>
      <c r="G944" t="s">
        <v>2335</v>
      </c>
      <c r="H944" t="s">
        <v>2</v>
      </c>
      <c r="I944" s="1">
        <v>46224</v>
      </c>
      <c r="J944" t="s">
        <v>2064</v>
      </c>
      <c r="K944" t="s">
        <v>3592</v>
      </c>
      <c r="L944" s="1">
        <v>46224.917650462965</v>
      </c>
      <c r="M944" s="1">
        <v>46224.91962439815</v>
      </c>
    </row>
    <row r="945" spans="1:13" x14ac:dyDescent="0.35">
      <c r="A945" t="s">
        <v>206</v>
      </c>
      <c r="B945" t="s">
        <v>1986</v>
      </c>
      <c r="C945" t="s">
        <v>2335</v>
      </c>
      <c r="D945">
        <v>0.75</v>
      </c>
      <c r="E945" s="1">
        <v>46949</v>
      </c>
      <c r="F945" t="s">
        <v>2014</v>
      </c>
      <c r="G945" t="s">
        <v>2335</v>
      </c>
      <c r="H945" t="s">
        <v>2</v>
      </c>
      <c r="I945" s="1">
        <v>46224</v>
      </c>
      <c r="J945" t="s">
        <v>2108</v>
      </c>
      <c r="K945" t="s">
        <v>3643</v>
      </c>
      <c r="L945" s="1">
        <v>46224.917650462965</v>
      </c>
      <c r="M945" s="1">
        <v>46224.91962439815</v>
      </c>
    </row>
    <row r="946" spans="1:13" x14ac:dyDescent="0.35">
      <c r="A946" t="s">
        <v>206</v>
      </c>
      <c r="B946" t="s">
        <v>1986</v>
      </c>
      <c r="C946" t="s">
        <v>2335</v>
      </c>
      <c r="D946">
        <v>0.75</v>
      </c>
      <c r="E946" s="1">
        <v>46949</v>
      </c>
      <c r="F946" t="s">
        <v>2014</v>
      </c>
      <c r="G946" t="s">
        <v>2335</v>
      </c>
      <c r="H946" t="s">
        <v>2</v>
      </c>
      <c r="I946" s="1">
        <v>46224</v>
      </c>
      <c r="J946" t="s">
        <v>2065</v>
      </c>
      <c r="K946" t="s">
        <v>3592</v>
      </c>
      <c r="L946" s="1">
        <v>46224.917650462965</v>
      </c>
      <c r="M946" s="1">
        <v>46224.91962439815</v>
      </c>
    </row>
    <row r="947" spans="1:13" x14ac:dyDescent="0.35">
      <c r="A947" t="s">
        <v>206</v>
      </c>
      <c r="B947" t="s">
        <v>1986</v>
      </c>
      <c r="C947" t="s">
        <v>2335</v>
      </c>
      <c r="D947">
        <v>0.75</v>
      </c>
      <c r="E947" s="1">
        <v>46949</v>
      </c>
      <c r="F947" t="s">
        <v>2014</v>
      </c>
      <c r="G947" t="s">
        <v>2335</v>
      </c>
      <c r="H947" t="s">
        <v>2</v>
      </c>
      <c r="I947" s="1">
        <v>46224</v>
      </c>
      <c r="J947" t="s">
        <v>2146</v>
      </c>
      <c r="K947" t="s">
        <v>3643</v>
      </c>
      <c r="L947" s="1">
        <v>46224.917650462965</v>
      </c>
      <c r="M947" s="1">
        <v>46224.91962439815</v>
      </c>
    </row>
    <row r="948" spans="1:13" x14ac:dyDescent="0.35">
      <c r="A948" t="s">
        <v>207</v>
      </c>
      <c r="B948" t="s">
        <v>1986</v>
      </c>
      <c r="C948" t="s">
        <v>2360</v>
      </c>
      <c r="D948">
        <v>1.875</v>
      </c>
      <c r="E948" s="1">
        <v>46234</v>
      </c>
      <c r="F948" t="s">
        <v>1988</v>
      </c>
      <c r="G948" t="s">
        <v>2360</v>
      </c>
      <c r="H948" t="s">
        <v>2</v>
      </c>
      <c r="I948" s="1">
        <v>46224</v>
      </c>
      <c r="J948" t="s">
        <v>2108</v>
      </c>
      <c r="K948" t="s">
        <v>3560</v>
      </c>
      <c r="L948" s="1">
        <v>46224.917650462965</v>
      </c>
      <c r="M948" s="1">
        <v>46224.91962439815</v>
      </c>
    </row>
    <row r="949" spans="1:13" x14ac:dyDescent="0.35">
      <c r="A949" t="s">
        <v>207</v>
      </c>
      <c r="B949" t="s">
        <v>1986</v>
      </c>
      <c r="C949" t="s">
        <v>2360</v>
      </c>
      <c r="D949">
        <v>1.875</v>
      </c>
      <c r="E949" s="1">
        <v>46234</v>
      </c>
      <c r="F949" t="s">
        <v>1988</v>
      </c>
      <c r="G949" t="s">
        <v>2360</v>
      </c>
      <c r="H949" t="s">
        <v>2</v>
      </c>
      <c r="I949" s="1">
        <v>46224</v>
      </c>
      <c r="J949" t="s">
        <v>2065</v>
      </c>
      <c r="K949" t="s">
        <v>3445</v>
      </c>
      <c r="L949" s="1">
        <v>46224.917650462965</v>
      </c>
      <c r="M949" s="1">
        <v>46224.91962439815</v>
      </c>
    </row>
    <row r="950" spans="1:13" x14ac:dyDescent="0.35">
      <c r="A950" t="s">
        <v>207</v>
      </c>
      <c r="B950" t="s">
        <v>1986</v>
      </c>
      <c r="C950" t="s">
        <v>2360</v>
      </c>
      <c r="D950">
        <v>1.875</v>
      </c>
      <c r="E950" s="1">
        <v>46234</v>
      </c>
      <c r="F950" t="s">
        <v>1988</v>
      </c>
      <c r="G950" t="s">
        <v>2360</v>
      </c>
      <c r="H950" t="s">
        <v>2</v>
      </c>
      <c r="I950" s="1">
        <v>46224</v>
      </c>
      <c r="J950" t="s">
        <v>2064</v>
      </c>
      <c r="K950" t="s">
        <v>3445</v>
      </c>
      <c r="L950" s="1">
        <v>46224.917650462965</v>
      </c>
      <c r="M950" s="1">
        <v>46224.91962439815</v>
      </c>
    </row>
    <row r="951" spans="1:13" x14ac:dyDescent="0.35">
      <c r="A951" t="s">
        <v>207</v>
      </c>
      <c r="B951" t="s">
        <v>1986</v>
      </c>
      <c r="C951" t="s">
        <v>2360</v>
      </c>
      <c r="D951">
        <v>1.875</v>
      </c>
      <c r="E951" s="1">
        <v>46234</v>
      </c>
      <c r="F951" t="s">
        <v>1988</v>
      </c>
      <c r="G951" t="s">
        <v>2360</v>
      </c>
      <c r="H951" t="s">
        <v>2</v>
      </c>
      <c r="I951" s="1">
        <v>46224</v>
      </c>
      <c r="J951" t="s">
        <v>1989</v>
      </c>
      <c r="K951" t="s">
        <v>3031</v>
      </c>
      <c r="L951" s="1">
        <v>46224.918321759258</v>
      </c>
      <c r="M951" s="1">
        <v>46224.91962439815</v>
      </c>
    </row>
    <row r="952" spans="1:13" x14ac:dyDescent="0.35">
      <c r="A952" t="s">
        <v>207</v>
      </c>
      <c r="B952" t="s">
        <v>1986</v>
      </c>
      <c r="C952" t="s">
        <v>2360</v>
      </c>
      <c r="D952">
        <v>1.875</v>
      </c>
      <c r="E952" s="1">
        <v>46234</v>
      </c>
      <c r="F952" t="s">
        <v>1988</v>
      </c>
      <c r="G952" t="s">
        <v>2360</v>
      </c>
      <c r="H952" t="s">
        <v>2</v>
      </c>
      <c r="I952" s="1">
        <v>46224</v>
      </c>
      <c r="J952" t="s">
        <v>2146</v>
      </c>
      <c r="K952" t="s">
        <v>3560</v>
      </c>
      <c r="L952" s="1">
        <v>46224.917650462965</v>
      </c>
      <c r="M952" s="1">
        <v>46224.91962439815</v>
      </c>
    </row>
    <row r="953" spans="1:13" x14ac:dyDescent="0.35">
      <c r="A953" t="s">
        <v>207</v>
      </c>
      <c r="B953" t="s">
        <v>1986</v>
      </c>
      <c r="C953" t="s">
        <v>2360</v>
      </c>
      <c r="D953">
        <v>1.875</v>
      </c>
      <c r="E953" s="1">
        <v>46234</v>
      </c>
      <c r="F953" t="s">
        <v>1988</v>
      </c>
      <c r="G953" t="s">
        <v>2360</v>
      </c>
      <c r="H953" t="s">
        <v>2</v>
      </c>
      <c r="I953" s="1">
        <v>46224</v>
      </c>
      <c r="J953" t="s">
        <v>1991</v>
      </c>
      <c r="K953" t="s">
        <v>3644</v>
      </c>
      <c r="L953" s="1">
        <v>46224.918321759258</v>
      </c>
      <c r="M953" s="1">
        <v>46224.91962439815</v>
      </c>
    </row>
    <row r="954" spans="1:13" x14ac:dyDescent="0.35">
      <c r="A954" t="s">
        <v>241</v>
      </c>
      <c r="B954" t="s">
        <v>1986</v>
      </c>
      <c r="C954" t="s">
        <v>2387</v>
      </c>
      <c r="D954">
        <v>1.625</v>
      </c>
      <c r="E954" s="1">
        <v>47345</v>
      </c>
      <c r="F954" t="s">
        <v>1988</v>
      </c>
      <c r="G954" t="s">
        <v>2387</v>
      </c>
      <c r="H954" t="s">
        <v>2</v>
      </c>
      <c r="I954" s="1">
        <v>46224</v>
      </c>
      <c r="J954" t="s">
        <v>2146</v>
      </c>
      <c r="K954" t="s">
        <v>2872</v>
      </c>
      <c r="L954" s="1">
        <v>46224.917650462965</v>
      </c>
      <c r="M954" s="1">
        <v>46224.91962439815</v>
      </c>
    </row>
    <row r="955" spans="1:13" x14ac:dyDescent="0.35">
      <c r="A955" t="s">
        <v>241</v>
      </c>
      <c r="B955" t="s">
        <v>1986</v>
      </c>
      <c r="C955" t="s">
        <v>2387</v>
      </c>
      <c r="D955">
        <v>1.625</v>
      </c>
      <c r="E955" s="1">
        <v>47345</v>
      </c>
      <c r="F955" t="s">
        <v>1988</v>
      </c>
      <c r="G955" t="s">
        <v>2387</v>
      </c>
      <c r="H955" t="s">
        <v>2</v>
      </c>
      <c r="I955" s="1">
        <v>46224</v>
      </c>
      <c r="J955" t="s">
        <v>2065</v>
      </c>
      <c r="K955" t="s">
        <v>2363</v>
      </c>
      <c r="L955" s="1">
        <v>46224.917650462965</v>
      </c>
      <c r="M955" s="1">
        <v>46224.91962439815</v>
      </c>
    </row>
    <row r="956" spans="1:13" x14ac:dyDescent="0.35">
      <c r="A956" t="s">
        <v>241</v>
      </c>
      <c r="B956" t="s">
        <v>1986</v>
      </c>
      <c r="C956" t="s">
        <v>2387</v>
      </c>
      <c r="D956">
        <v>1.625</v>
      </c>
      <c r="E956" s="1">
        <v>47345</v>
      </c>
      <c r="F956" t="s">
        <v>1988</v>
      </c>
      <c r="G956" t="s">
        <v>2387</v>
      </c>
      <c r="H956" t="s">
        <v>2</v>
      </c>
      <c r="I956" s="1">
        <v>46224</v>
      </c>
      <c r="J956" t="s">
        <v>2064</v>
      </c>
      <c r="K956" t="s">
        <v>2363</v>
      </c>
      <c r="L956" s="1">
        <v>46224.917650462965</v>
      </c>
      <c r="M956" s="1">
        <v>46224.91962439815</v>
      </c>
    </row>
    <row r="957" spans="1:13" x14ac:dyDescent="0.35">
      <c r="A957" t="s">
        <v>241</v>
      </c>
      <c r="B957" t="s">
        <v>1986</v>
      </c>
      <c r="C957" t="s">
        <v>2387</v>
      </c>
      <c r="D957">
        <v>1.625</v>
      </c>
      <c r="E957" s="1">
        <v>47345</v>
      </c>
      <c r="F957" t="s">
        <v>1988</v>
      </c>
      <c r="G957" t="s">
        <v>2387</v>
      </c>
      <c r="H957" t="s">
        <v>2</v>
      </c>
      <c r="I957" s="1">
        <v>46224</v>
      </c>
      <c r="J957" t="s">
        <v>1989</v>
      </c>
      <c r="K957" t="s">
        <v>3645</v>
      </c>
      <c r="L957" s="1">
        <v>46224.918321759258</v>
      </c>
      <c r="M957" s="1">
        <v>46224.91962439815</v>
      </c>
    </row>
    <row r="958" spans="1:13" x14ac:dyDescent="0.35">
      <c r="A958" t="s">
        <v>241</v>
      </c>
      <c r="B958" t="s">
        <v>1986</v>
      </c>
      <c r="C958" t="s">
        <v>2387</v>
      </c>
      <c r="D958">
        <v>1.625</v>
      </c>
      <c r="E958" s="1">
        <v>47345</v>
      </c>
      <c r="F958" t="s">
        <v>1988</v>
      </c>
      <c r="G958" t="s">
        <v>2387</v>
      </c>
      <c r="H958" t="s">
        <v>2</v>
      </c>
      <c r="I958" s="1">
        <v>46224</v>
      </c>
      <c r="J958" t="s">
        <v>1991</v>
      </c>
      <c r="K958" t="s">
        <v>3646</v>
      </c>
      <c r="L958" s="1">
        <v>46224.918321759258</v>
      </c>
      <c r="M958" s="1">
        <v>46224.91962439815</v>
      </c>
    </row>
    <row r="959" spans="1:13" x14ac:dyDescent="0.35">
      <c r="A959" t="s">
        <v>241</v>
      </c>
      <c r="B959" t="s">
        <v>1986</v>
      </c>
      <c r="C959" t="s">
        <v>2387</v>
      </c>
      <c r="D959">
        <v>1.625</v>
      </c>
      <c r="E959" s="1">
        <v>47345</v>
      </c>
      <c r="F959" t="s">
        <v>1988</v>
      </c>
      <c r="G959" t="s">
        <v>2387</v>
      </c>
      <c r="H959" t="s">
        <v>2</v>
      </c>
      <c r="I959" s="1">
        <v>46224</v>
      </c>
      <c r="J959" t="s">
        <v>2108</v>
      </c>
      <c r="K959" t="s">
        <v>2872</v>
      </c>
      <c r="L959" s="1">
        <v>46224.917650462965</v>
      </c>
      <c r="M959" s="1">
        <v>46224.91962439815</v>
      </c>
    </row>
    <row r="960" spans="1:13" x14ac:dyDescent="0.35">
      <c r="A960" t="s">
        <v>272</v>
      </c>
      <c r="B960" t="s">
        <v>1986</v>
      </c>
      <c r="C960" t="s">
        <v>2345</v>
      </c>
      <c r="D960">
        <v>1.375</v>
      </c>
      <c r="E960" s="1">
        <v>46265</v>
      </c>
      <c r="F960" t="s">
        <v>1988</v>
      </c>
      <c r="G960" t="s">
        <v>2345</v>
      </c>
      <c r="H960" t="s">
        <v>2</v>
      </c>
      <c r="I960" s="1">
        <v>46224</v>
      </c>
      <c r="J960" t="s">
        <v>2064</v>
      </c>
      <c r="K960" t="s">
        <v>3044</v>
      </c>
      <c r="L960" s="1">
        <v>46224.917650462965</v>
      </c>
      <c r="M960" s="1">
        <v>46224.91962439815</v>
      </c>
    </row>
    <row r="961" spans="1:13" x14ac:dyDescent="0.35">
      <c r="A961" t="s">
        <v>272</v>
      </c>
      <c r="B961" t="s">
        <v>1986</v>
      </c>
      <c r="C961" t="s">
        <v>2345</v>
      </c>
      <c r="D961">
        <v>1.375</v>
      </c>
      <c r="E961" s="1">
        <v>46265</v>
      </c>
      <c r="F961" t="s">
        <v>1988</v>
      </c>
      <c r="G961" t="s">
        <v>2345</v>
      </c>
      <c r="H961" t="s">
        <v>2</v>
      </c>
      <c r="I961" s="1">
        <v>46224</v>
      </c>
      <c r="J961" t="s">
        <v>1991</v>
      </c>
      <c r="K961" t="s">
        <v>3593</v>
      </c>
      <c r="L961" s="1">
        <v>46224.918321759258</v>
      </c>
      <c r="M961" s="1">
        <v>46224.91962439815</v>
      </c>
    </row>
    <row r="962" spans="1:13" x14ac:dyDescent="0.35">
      <c r="A962" t="s">
        <v>272</v>
      </c>
      <c r="B962" t="s">
        <v>1986</v>
      </c>
      <c r="C962" t="s">
        <v>2345</v>
      </c>
      <c r="D962">
        <v>1.375</v>
      </c>
      <c r="E962" s="1">
        <v>46265</v>
      </c>
      <c r="F962" t="s">
        <v>1988</v>
      </c>
      <c r="G962" t="s">
        <v>2345</v>
      </c>
      <c r="H962" t="s">
        <v>2</v>
      </c>
      <c r="I962" s="1">
        <v>46224</v>
      </c>
      <c r="J962" t="s">
        <v>2108</v>
      </c>
      <c r="K962" t="s">
        <v>3594</v>
      </c>
      <c r="L962" s="1">
        <v>46224.917650462965</v>
      </c>
      <c r="M962" s="1">
        <v>46224.91962439815</v>
      </c>
    </row>
    <row r="963" spans="1:13" x14ac:dyDescent="0.35">
      <c r="A963" t="s">
        <v>272</v>
      </c>
      <c r="B963" t="s">
        <v>1986</v>
      </c>
      <c r="C963" t="s">
        <v>2345</v>
      </c>
      <c r="D963">
        <v>1.375</v>
      </c>
      <c r="E963" s="1">
        <v>46265</v>
      </c>
      <c r="F963" t="s">
        <v>1988</v>
      </c>
      <c r="G963" t="s">
        <v>2345</v>
      </c>
      <c r="H963" t="s">
        <v>2</v>
      </c>
      <c r="I963" s="1">
        <v>46224</v>
      </c>
      <c r="J963" t="s">
        <v>2146</v>
      </c>
      <c r="K963" t="s">
        <v>3594</v>
      </c>
      <c r="L963" s="1">
        <v>46224.917650462965</v>
      </c>
      <c r="M963" s="1">
        <v>46224.91962439815</v>
      </c>
    </row>
    <row r="964" spans="1:13" x14ac:dyDescent="0.35">
      <c r="A964" t="s">
        <v>272</v>
      </c>
      <c r="B964" t="s">
        <v>1986</v>
      </c>
      <c r="C964" t="s">
        <v>2345</v>
      </c>
      <c r="D964">
        <v>1.375</v>
      </c>
      <c r="E964" s="1">
        <v>46265</v>
      </c>
      <c r="F964" t="s">
        <v>1988</v>
      </c>
      <c r="G964" t="s">
        <v>2345</v>
      </c>
      <c r="H964" t="s">
        <v>2</v>
      </c>
      <c r="I964" s="1">
        <v>46224</v>
      </c>
      <c r="J964" t="s">
        <v>2065</v>
      </c>
      <c r="K964" t="s">
        <v>3044</v>
      </c>
      <c r="L964" s="1">
        <v>46224.917650462965</v>
      </c>
      <c r="M964" s="1">
        <v>46224.91962439815</v>
      </c>
    </row>
    <row r="965" spans="1:13" x14ac:dyDescent="0.35">
      <c r="A965" t="s">
        <v>272</v>
      </c>
      <c r="B965" t="s">
        <v>1986</v>
      </c>
      <c r="C965" t="s">
        <v>2345</v>
      </c>
      <c r="D965">
        <v>1.375</v>
      </c>
      <c r="E965" s="1">
        <v>46265</v>
      </c>
      <c r="F965" t="s">
        <v>1988</v>
      </c>
      <c r="G965" t="s">
        <v>2345</v>
      </c>
      <c r="H965" t="s">
        <v>2</v>
      </c>
      <c r="I965" s="1">
        <v>46224</v>
      </c>
      <c r="J965" t="s">
        <v>1989</v>
      </c>
      <c r="K965" t="s">
        <v>3647</v>
      </c>
      <c r="L965" s="1">
        <v>46224.918321759258</v>
      </c>
      <c r="M965" s="1">
        <v>46224.91962439815</v>
      </c>
    </row>
    <row r="966" spans="1:13" x14ac:dyDescent="0.35">
      <c r="A966" t="s">
        <v>242</v>
      </c>
      <c r="B966" t="s">
        <v>1986</v>
      </c>
      <c r="C966" t="s">
        <v>2346</v>
      </c>
      <c r="D966">
        <v>1.625</v>
      </c>
      <c r="E966" s="1">
        <v>46295</v>
      </c>
      <c r="F966" t="s">
        <v>1988</v>
      </c>
      <c r="G966" t="s">
        <v>2346</v>
      </c>
      <c r="H966" t="s">
        <v>2</v>
      </c>
      <c r="I966" s="1">
        <v>46224</v>
      </c>
      <c r="J966" t="s">
        <v>2065</v>
      </c>
      <c r="K966" t="s">
        <v>3463</v>
      </c>
      <c r="L966" s="1">
        <v>46224.917650462965</v>
      </c>
      <c r="M966" s="1">
        <v>46224.91962439815</v>
      </c>
    </row>
    <row r="967" spans="1:13" x14ac:dyDescent="0.35">
      <c r="A967" t="s">
        <v>242</v>
      </c>
      <c r="B967" t="s">
        <v>1986</v>
      </c>
      <c r="C967" t="s">
        <v>2346</v>
      </c>
      <c r="D967">
        <v>1.625</v>
      </c>
      <c r="E967" s="1">
        <v>46295</v>
      </c>
      <c r="F967" t="s">
        <v>1988</v>
      </c>
      <c r="G967" t="s">
        <v>2346</v>
      </c>
      <c r="H967" t="s">
        <v>2</v>
      </c>
      <c r="I967" s="1">
        <v>46224</v>
      </c>
      <c r="J967" t="s">
        <v>2108</v>
      </c>
      <c r="K967" t="s">
        <v>3446</v>
      </c>
      <c r="L967" s="1">
        <v>46224.917650462965</v>
      </c>
      <c r="M967" s="1">
        <v>46224.91962439815</v>
      </c>
    </row>
    <row r="968" spans="1:13" x14ac:dyDescent="0.35">
      <c r="A968" t="s">
        <v>242</v>
      </c>
      <c r="B968" t="s">
        <v>1986</v>
      </c>
      <c r="C968" t="s">
        <v>2346</v>
      </c>
      <c r="D968">
        <v>1.625</v>
      </c>
      <c r="E968" s="1">
        <v>46295</v>
      </c>
      <c r="F968" t="s">
        <v>1988</v>
      </c>
      <c r="G968" t="s">
        <v>2346</v>
      </c>
      <c r="H968" t="s">
        <v>2</v>
      </c>
      <c r="I968" s="1">
        <v>46224</v>
      </c>
      <c r="J968" t="s">
        <v>1989</v>
      </c>
      <c r="K968" t="s">
        <v>3012</v>
      </c>
      <c r="L968" s="1">
        <v>46224.918321759258</v>
      </c>
      <c r="M968" s="1">
        <v>46224.91962439815</v>
      </c>
    </row>
    <row r="969" spans="1:13" x14ac:dyDescent="0.35">
      <c r="A969" t="s">
        <v>242</v>
      </c>
      <c r="B969" t="s">
        <v>1986</v>
      </c>
      <c r="C969" t="s">
        <v>2346</v>
      </c>
      <c r="D969">
        <v>1.625</v>
      </c>
      <c r="E969" s="1">
        <v>46295</v>
      </c>
      <c r="F969" t="s">
        <v>1988</v>
      </c>
      <c r="G969" t="s">
        <v>2346</v>
      </c>
      <c r="H969" t="s">
        <v>2</v>
      </c>
      <c r="I969" s="1">
        <v>46224</v>
      </c>
      <c r="J969" t="s">
        <v>1991</v>
      </c>
      <c r="K969" t="s">
        <v>4123</v>
      </c>
      <c r="L969" s="1">
        <v>46224.918321759258</v>
      </c>
      <c r="M969" s="1">
        <v>46224.91962439815</v>
      </c>
    </row>
    <row r="970" spans="1:13" x14ac:dyDescent="0.35">
      <c r="A970" t="s">
        <v>242</v>
      </c>
      <c r="B970" t="s">
        <v>1986</v>
      </c>
      <c r="C970" t="s">
        <v>2346</v>
      </c>
      <c r="D970">
        <v>1.625</v>
      </c>
      <c r="E970" s="1">
        <v>46295</v>
      </c>
      <c r="F970" t="s">
        <v>1988</v>
      </c>
      <c r="G970" t="s">
        <v>2346</v>
      </c>
      <c r="H970" t="s">
        <v>2</v>
      </c>
      <c r="I970" s="1">
        <v>46224</v>
      </c>
      <c r="J970" t="s">
        <v>2064</v>
      </c>
      <c r="K970" t="s">
        <v>3463</v>
      </c>
      <c r="L970" s="1">
        <v>46224.917650462965</v>
      </c>
      <c r="M970" s="1">
        <v>46224.91962439815</v>
      </c>
    </row>
    <row r="971" spans="1:13" x14ac:dyDescent="0.35">
      <c r="A971" t="s">
        <v>242</v>
      </c>
      <c r="B971" t="s">
        <v>1986</v>
      </c>
      <c r="C971" t="s">
        <v>2346</v>
      </c>
      <c r="D971">
        <v>1.625</v>
      </c>
      <c r="E971" s="1">
        <v>46295</v>
      </c>
      <c r="F971" t="s">
        <v>1988</v>
      </c>
      <c r="G971" t="s">
        <v>2346</v>
      </c>
      <c r="H971" t="s">
        <v>2</v>
      </c>
      <c r="I971" s="1">
        <v>46224</v>
      </c>
      <c r="J971" t="s">
        <v>2146</v>
      </c>
      <c r="K971" t="s">
        <v>3446</v>
      </c>
      <c r="L971" s="1">
        <v>46224.917650462965</v>
      </c>
      <c r="M971" s="1">
        <v>46224.91962439815</v>
      </c>
    </row>
    <row r="972" spans="1:13" x14ac:dyDescent="0.35">
      <c r="A972" t="s">
        <v>243</v>
      </c>
      <c r="B972" t="s">
        <v>1986</v>
      </c>
      <c r="C972" t="s">
        <v>2347</v>
      </c>
      <c r="D972">
        <v>1.625</v>
      </c>
      <c r="E972" s="1">
        <v>46326</v>
      </c>
      <c r="F972" t="s">
        <v>1988</v>
      </c>
      <c r="G972" t="s">
        <v>2347</v>
      </c>
      <c r="H972" t="s">
        <v>2</v>
      </c>
      <c r="I972" s="1">
        <v>46224</v>
      </c>
      <c r="J972" t="s">
        <v>2064</v>
      </c>
      <c r="K972" t="s">
        <v>3464</v>
      </c>
      <c r="L972" s="1">
        <v>46224.917650462965</v>
      </c>
      <c r="M972" s="1">
        <v>46224.91962439815</v>
      </c>
    </row>
    <row r="973" spans="1:13" x14ac:dyDescent="0.35">
      <c r="A973" t="s">
        <v>243</v>
      </c>
      <c r="B973" t="s">
        <v>1986</v>
      </c>
      <c r="C973" t="s">
        <v>2347</v>
      </c>
      <c r="D973">
        <v>1.625</v>
      </c>
      <c r="E973" s="1">
        <v>46326</v>
      </c>
      <c r="F973" t="s">
        <v>1988</v>
      </c>
      <c r="G973" t="s">
        <v>2347</v>
      </c>
      <c r="H973" t="s">
        <v>2</v>
      </c>
      <c r="I973" s="1">
        <v>46224</v>
      </c>
      <c r="J973" t="s">
        <v>2065</v>
      </c>
      <c r="K973" t="s">
        <v>3464</v>
      </c>
      <c r="L973" s="1">
        <v>46224.917650462965</v>
      </c>
      <c r="M973" s="1">
        <v>46224.91962439815</v>
      </c>
    </row>
    <row r="974" spans="1:13" x14ac:dyDescent="0.35">
      <c r="A974" t="s">
        <v>243</v>
      </c>
      <c r="B974" t="s">
        <v>1986</v>
      </c>
      <c r="C974" t="s">
        <v>2347</v>
      </c>
      <c r="D974">
        <v>1.625</v>
      </c>
      <c r="E974" s="1">
        <v>46326</v>
      </c>
      <c r="F974" t="s">
        <v>1988</v>
      </c>
      <c r="G974" t="s">
        <v>2347</v>
      </c>
      <c r="H974" t="s">
        <v>2</v>
      </c>
      <c r="I974" s="1">
        <v>46224</v>
      </c>
      <c r="J974" t="s">
        <v>1991</v>
      </c>
      <c r="K974" t="s">
        <v>3595</v>
      </c>
      <c r="L974" s="1">
        <v>46224.918321759258</v>
      </c>
      <c r="M974" s="1">
        <v>46224.91962439815</v>
      </c>
    </row>
    <row r="975" spans="1:13" x14ac:dyDescent="0.35">
      <c r="A975" t="s">
        <v>243</v>
      </c>
      <c r="B975" t="s">
        <v>1986</v>
      </c>
      <c r="C975" t="s">
        <v>2347</v>
      </c>
      <c r="D975">
        <v>1.625</v>
      </c>
      <c r="E975" s="1">
        <v>46326</v>
      </c>
      <c r="F975" t="s">
        <v>1988</v>
      </c>
      <c r="G975" t="s">
        <v>2347</v>
      </c>
      <c r="H975" t="s">
        <v>2</v>
      </c>
      <c r="I975" s="1">
        <v>46224</v>
      </c>
      <c r="J975" t="s">
        <v>2108</v>
      </c>
      <c r="K975" t="s">
        <v>3648</v>
      </c>
      <c r="L975" s="1">
        <v>46224.917650462965</v>
      </c>
      <c r="M975" s="1">
        <v>46224.91962439815</v>
      </c>
    </row>
    <row r="976" spans="1:13" x14ac:dyDescent="0.35">
      <c r="A976" t="s">
        <v>243</v>
      </c>
      <c r="B976" t="s">
        <v>1986</v>
      </c>
      <c r="C976" t="s">
        <v>2347</v>
      </c>
      <c r="D976">
        <v>1.625</v>
      </c>
      <c r="E976" s="1">
        <v>46326</v>
      </c>
      <c r="F976" t="s">
        <v>1988</v>
      </c>
      <c r="G976" t="s">
        <v>2347</v>
      </c>
      <c r="H976" t="s">
        <v>2</v>
      </c>
      <c r="I976" s="1">
        <v>46224</v>
      </c>
      <c r="J976" t="s">
        <v>1989</v>
      </c>
      <c r="K976" t="s">
        <v>2493</v>
      </c>
      <c r="L976" s="1">
        <v>46224.918321759258</v>
      </c>
      <c r="M976" s="1">
        <v>46224.91962439815</v>
      </c>
    </row>
    <row r="977" spans="1:13" x14ac:dyDescent="0.35">
      <c r="A977" t="s">
        <v>243</v>
      </c>
      <c r="B977" t="s">
        <v>1986</v>
      </c>
      <c r="C977" t="s">
        <v>2347</v>
      </c>
      <c r="D977">
        <v>1.625</v>
      </c>
      <c r="E977" s="1">
        <v>46326</v>
      </c>
      <c r="F977" t="s">
        <v>1988</v>
      </c>
      <c r="G977" t="s">
        <v>2347</v>
      </c>
      <c r="H977" t="s">
        <v>2</v>
      </c>
      <c r="I977" s="1">
        <v>46224</v>
      </c>
      <c r="J977" t="s">
        <v>2146</v>
      </c>
      <c r="K977" t="s">
        <v>3648</v>
      </c>
      <c r="L977" s="1">
        <v>46224.917650462965</v>
      </c>
      <c r="M977" s="1">
        <v>46224.91962439815</v>
      </c>
    </row>
    <row r="978" spans="1:13" x14ac:dyDescent="0.35">
      <c r="A978" t="s">
        <v>251</v>
      </c>
      <c r="B978" t="s">
        <v>1986</v>
      </c>
      <c r="C978" t="s">
        <v>2337</v>
      </c>
      <c r="D978">
        <v>1.75</v>
      </c>
      <c r="E978" s="1">
        <v>47437</v>
      </c>
      <c r="F978" t="s">
        <v>1988</v>
      </c>
      <c r="G978" t="s">
        <v>2337</v>
      </c>
      <c r="H978" t="s">
        <v>2</v>
      </c>
      <c r="I978" s="1">
        <v>46224</v>
      </c>
      <c r="J978" t="s">
        <v>1991</v>
      </c>
      <c r="K978" t="s">
        <v>3746</v>
      </c>
      <c r="L978" s="1">
        <v>46224.918321759258</v>
      </c>
      <c r="M978" s="1">
        <v>46224.91962439815</v>
      </c>
    </row>
    <row r="979" spans="1:13" x14ac:dyDescent="0.35">
      <c r="A979" t="s">
        <v>251</v>
      </c>
      <c r="B979" t="s">
        <v>1986</v>
      </c>
      <c r="C979" t="s">
        <v>2337</v>
      </c>
      <c r="D979">
        <v>1.75</v>
      </c>
      <c r="E979" s="1">
        <v>47437</v>
      </c>
      <c r="F979" t="s">
        <v>1988</v>
      </c>
      <c r="G979" t="s">
        <v>2337</v>
      </c>
      <c r="H979" t="s">
        <v>2</v>
      </c>
      <c r="I979" s="1">
        <v>46224</v>
      </c>
      <c r="J979" t="s">
        <v>2064</v>
      </c>
      <c r="K979" t="s">
        <v>2604</v>
      </c>
      <c r="L979" s="1">
        <v>46224.917650462965</v>
      </c>
      <c r="M979" s="1">
        <v>46224.91962439815</v>
      </c>
    </row>
    <row r="980" spans="1:13" x14ac:dyDescent="0.35">
      <c r="A980" t="s">
        <v>251</v>
      </c>
      <c r="B980" t="s">
        <v>1986</v>
      </c>
      <c r="C980" t="s">
        <v>2337</v>
      </c>
      <c r="D980">
        <v>1.75</v>
      </c>
      <c r="E980" s="1">
        <v>47437</v>
      </c>
      <c r="F980" t="s">
        <v>1988</v>
      </c>
      <c r="G980" t="s">
        <v>2337</v>
      </c>
      <c r="H980" t="s">
        <v>2</v>
      </c>
      <c r="I980" s="1">
        <v>46224</v>
      </c>
      <c r="J980" t="s">
        <v>1989</v>
      </c>
      <c r="K980" t="s">
        <v>3561</v>
      </c>
      <c r="L980" s="1">
        <v>46224.918321759258</v>
      </c>
      <c r="M980" s="1">
        <v>46224.91962439815</v>
      </c>
    </row>
    <row r="981" spans="1:13" x14ac:dyDescent="0.35">
      <c r="A981" t="s">
        <v>251</v>
      </c>
      <c r="B981" t="s">
        <v>1986</v>
      </c>
      <c r="C981" t="s">
        <v>2337</v>
      </c>
      <c r="D981">
        <v>1.75</v>
      </c>
      <c r="E981" s="1">
        <v>47437</v>
      </c>
      <c r="F981" t="s">
        <v>1988</v>
      </c>
      <c r="G981" t="s">
        <v>2337</v>
      </c>
      <c r="H981" t="s">
        <v>2</v>
      </c>
      <c r="I981" s="1">
        <v>46224</v>
      </c>
      <c r="J981" t="s">
        <v>2146</v>
      </c>
      <c r="K981" t="s">
        <v>2515</v>
      </c>
      <c r="L981" s="1">
        <v>46224.917650462965</v>
      </c>
      <c r="M981" s="1">
        <v>46224.91962439815</v>
      </c>
    </row>
    <row r="982" spans="1:13" x14ac:dyDescent="0.35">
      <c r="A982" t="s">
        <v>251</v>
      </c>
      <c r="B982" t="s">
        <v>1986</v>
      </c>
      <c r="C982" t="s">
        <v>2337</v>
      </c>
      <c r="D982">
        <v>1.75</v>
      </c>
      <c r="E982" s="1">
        <v>47437</v>
      </c>
      <c r="F982" t="s">
        <v>1988</v>
      </c>
      <c r="G982" t="s">
        <v>2337</v>
      </c>
      <c r="H982" t="s">
        <v>2</v>
      </c>
      <c r="I982" s="1">
        <v>46224</v>
      </c>
      <c r="J982" t="s">
        <v>2065</v>
      </c>
      <c r="K982" t="s">
        <v>2604</v>
      </c>
      <c r="L982" s="1">
        <v>46224.917650462965</v>
      </c>
      <c r="M982" s="1">
        <v>46224.91962439815</v>
      </c>
    </row>
    <row r="983" spans="1:13" x14ac:dyDescent="0.35">
      <c r="A983" t="s">
        <v>251</v>
      </c>
      <c r="B983" t="s">
        <v>1986</v>
      </c>
      <c r="C983" t="s">
        <v>2337</v>
      </c>
      <c r="D983">
        <v>1.75</v>
      </c>
      <c r="E983" s="1">
        <v>47437</v>
      </c>
      <c r="F983" t="s">
        <v>1988</v>
      </c>
      <c r="G983" t="s">
        <v>2337</v>
      </c>
      <c r="H983" t="s">
        <v>2</v>
      </c>
      <c r="I983" s="1">
        <v>46224</v>
      </c>
      <c r="J983" t="s">
        <v>2108</v>
      </c>
      <c r="K983" t="s">
        <v>2515</v>
      </c>
      <c r="L983" s="1">
        <v>46224.917650462965</v>
      </c>
      <c r="M983" s="1">
        <v>46224.91962439815</v>
      </c>
    </row>
    <row r="984" spans="1:13" x14ac:dyDescent="0.35">
      <c r="A984" t="s">
        <v>252</v>
      </c>
      <c r="B984" t="s">
        <v>1986</v>
      </c>
      <c r="C984" t="s">
        <v>2339</v>
      </c>
      <c r="D984">
        <v>1.625</v>
      </c>
      <c r="E984" s="1">
        <v>46356</v>
      </c>
      <c r="F984" t="s">
        <v>1988</v>
      </c>
      <c r="G984" t="s">
        <v>2339</v>
      </c>
      <c r="H984" t="s">
        <v>2</v>
      </c>
      <c r="I984" s="1">
        <v>46224</v>
      </c>
      <c r="J984" t="s">
        <v>2108</v>
      </c>
      <c r="K984" t="s">
        <v>3563</v>
      </c>
      <c r="L984" s="1">
        <v>46224.917650462965</v>
      </c>
      <c r="M984" s="1">
        <v>46224.91962439815</v>
      </c>
    </row>
    <row r="985" spans="1:13" x14ac:dyDescent="0.35">
      <c r="A985" t="s">
        <v>252</v>
      </c>
      <c r="B985" t="s">
        <v>1986</v>
      </c>
      <c r="C985" t="s">
        <v>2339</v>
      </c>
      <c r="D985">
        <v>1.625</v>
      </c>
      <c r="E985" s="1">
        <v>46356</v>
      </c>
      <c r="F985" t="s">
        <v>1988</v>
      </c>
      <c r="G985" t="s">
        <v>2339</v>
      </c>
      <c r="H985" t="s">
        <v>2</v>
      </c>
      <c r="I985" s="1">
        <v>46224</v>
      </c>
      <c r="J985" t="s">
        <v>1989</v>
      </c>
      <c r="K985" t="s">
        <v>3562</v>
      </c>
      <c r="L985" s="1">
        <v>46224.918321759258</v>
      </c>
      <c r="M985" s="1">
        <v>46224.91962439815</v>
      </c>
    </row>
    <row r="986" spans="1:13" x14ac:dyDescent="0.35">
      <c r="A986" t="s">
        <v>252</v>
      </c>
      <c r="B986" t="s">
        <v>1986</v>
      </c>
      <c r="C986" t="s">
        <v>2339</v>
      </c>
      <c r="D986">
        <v>1.625</v>
      </c>
      <c r="E986" s="1">
        <v>46356</v>
      </c>
      <c r="F986" t="s">
        <v>1988</v>
      </c>
      <c r="G986" t="s">
        <v>2339</v>
      </c>
      <c r="H986" t="s">
        <v>2</v>
      </c>
      <c r="I986" s="1">
        <v>46224</v>
      </c>
      <c r="J986" t="s">
        <v>2146</v>
      </c>
      <c r="K986" t="s">
        <v>3563</v>
      </c>
      <c r="L986" s="1">
        <v>46224.917650462965</v>
      </c>
      <c r="M986" s="1">
        <v>46224.91962439815</v>
      </c>
    </row>
    <row r="987" spans="1:13" x14ac:dyDescent="0.35">
      <c r="A987" t="s">
        <v>252</v>
      </c>
      <c r="B987" t="s">
        <v>1986</v>
      </c>
      <c r="C987" t="s">
        <v>2339</v>
      </c>
      <c r="D987">
        <v>1.625</v>
      </c>
      <c r="E987" s="1">
        <v>46356</v>
      </c>
      <c r="F987" t="s">
        <v>1988</v>
      </c>
      <c r="G987" t="s">
        <v>2339</v>
      </c>
      <c r="H987" t="s">
        <v>2</v>
      </c>
      <c r="I987" s="1">
        <v>46224</v>
      </c>
      <c r="J987" t="s">
        <v>2065</v>
      </c>
      <c r="K987" t="s">
        <v>2882</v>
      </c>
      <c r="L987" s="1">
        <v>46224.917650462965</v>
      </c>
      <c r="M987" s="1">
        <v>46224.91962439815</v>
      </c>
    </row>
    <row r="988" spans="1:13" x14ac:dyDescent="0.35">
      <c r="A988" t="s">
        <v>252</v>
      </c>
      <c r="B988" t="s">
        <v>1986</v>
      </c>
      <c r="C988" t="s">
        <v>2339</v>
      </c>
      <c r="D988">
        <v>1.625</v>
      </c>
      <c r="E988" s="1">
        <v>46356</v>
      </c>
      <c r="F988" t="s">
        <v>1988</v>
      </c>
      <c r="G988" t="s">
        <v>2339</v>
      </c>
      <c r="H988" t="s">
        <v>2</v>
      </c>
      <c r="I988" s="1">
        <v>46224</v>
      </c>
      <c r="J988" t="s">
        <v>1991</v>
      </c>
      <c r="K988" t="s">
        <v>2427</v>
      </c>
      <c r="L988" s="1">
        <v>46224.918321759258</v>
      </c>
      <c r="M988" s="1">
        <v>46224.91962439815</v>
      </c>
    </row>
    <row r="989" spans="1:13" x14ac:dyDescent="0.35">
      <c r="A989" t="s">
        <v>252</v>
      </c>
      <c r="B989" t="s">
        <v>1986</v>
      </c>
      <c r="C989" t="s">
        <v>2339</v>
      </c>
      <c r="D989">
        <v>1.625</v>
      </c>
      <c r="E989" s="1">
        <v>46356</v>
      </c>
      <c r="F989" t="s">
        <v>1988</v>
      </c>
      <c r="G989" t="s">
        <v>2339</v>
      </c>
      <c r="H989" t="s">
        <v>2</v>
      </c>
      <c r="I989" s="1">
        <v>46224</v>
      </c>
      <c r="J989" t="s">
        <v>2064</v>
      </c>
      <c r="K989" t="s">
        <v>2882</v>
      </c>
      <c r="L989" s="1">
        <v>46224.917650462965</v>
      </c>
      <c r="M989" s="1">
        <v>46224.91962439815</v>
      </c>
    </row>
    <row r="990" spans="1:13" x14ac:dyDescent="0.35">
      <c r="A990" t="s">
        <v>208</v>
      </c>
      <c r="B990" t="s">
        <v>1986</v>
      </c>
      <c r="C990" t="s">
        <v>2340</v>
      </c>
      <c r="D990">
        <v>1.75</v>
      </c>
      <c r="E990" s="1">
        <v>46387</v>
      </c>
      <c r="F990" t="s">
        <v>1988</v>
      </c>
      <c r="G990" t="s">
        <v>2340</v>
      </c>
      <c r="H990" t="s">
        <v>2</v>
      </c>
      <c r="I990" s="1">
        <v>46224</v>
      </c>
      <c r="J990" t="s">
        <v>1989</v>
      </c>
      <c r="K990" t="s">
        <v>3289</v>
      </c>
      <c r="L990" s="1">
        <v>46224.918321759258</v>
      </c>
      <c r="M990" s="1">
        <v>46224.91962439815</v>
      </c>
    </row>
    <row r="991" spans="1:13" x14ac:dyDescent="0.35">
      <c r="A991" t="s">
        <v>208</v>
      </c>
      <c r="B991" t="s">
        <v>1986</v>
      </c>
      <c r="C991" t="s">
        <v>2340</v>
      </c>
      <c r="D991">
        <v>1.75</v>
      </c>
      <c r="E991" s="1">
        <v>46387</v>
      </c>
      <c r="F991" t="s">
        <v>1988</v>
      </c>
      <c r="G991" t="s">
        <v>2340</v>
      </c>
      <c r="H991" t="s">
        <v>2</v>
      </c>
      <c r="I991" s="1">
        <v>46224</v>
      </c>
      <c r="J991" t="s">
        <v>2108</v>
      </c>
      <c r="K991" t="s">
        <v>3564</v>
      </c>
      <c r="L991" s="1">
        <v>46224.917650462965</v>
      </c>
      <c r="M991" s="1">
        <v>46224.91962439815</v>
      </c>
    </row>
    <row r="992" spans="1:13" x14ac:dyDescent="0.35">
      <c r="A992" t="s">
        <v>208</v>
      </c>
      <c r="B992" t="s">
        <v>1986</v>
      </c>
      <c r="C992" t="s">
        <v>2340</v>
      </c>
      <c r="D992">
        <v>1.75</v>
      </c>
      <c r="E992" s="1">
        <v>46387</v>
      </c>
      <c r="F992" t="s">
        <v>1988</v>
      </c>
      <c r="G992" t="s">
        <v>2340</v>
      </c>
      <c r="H992" t="s">
        <v>2</v>
      </c>
      <c r="I992" s="1">
        <v>46224</v>
      </c>
      <c r="J992" t="s">
        <v>2065</v>
      </c>
      <c r="K992" t="s">
        <v>3447</v>
      </c>
      <c r="L992" s="1">
        <v>46224.917650462965</v>
      </c>
      <c r="M992" s="1">
        <v>46224.91962439815</v>
      </c>
    </row>
    <row r="993" spans="1:13" x14ac:dyDescent="0.35">
      <c r="A993" t="s">
        <v>208</v>
      </c>
      <c r="B993" t="s">
        <v>1986</v>
      </c>
      <c r="C993" t="s">
        <v>2340</v>
      </c>
      <c r="D993">
        <v>1.75</v>
      </c>
      <c r="E993" s="1">
        <v>46387</v>
      </c>
      <c r="F993" t="s">
        <v>1988</v>
      </c>
      <c r="G993" t="s">
        <v>2340</v>
      </c>
      <c r="H993" t="s">
        <v>2</v>
      </c>
      <c r="I993" s="1">
        <v>46224</v>
      </c>
      <c r="J993" t="s">
        <v>2146</v>
      </c>
      <c r="K993" t="s">
        <v>3564</v>
      </c>
      <c r="L993" s="1">
        <v>46224.917650462965</v>
      </c>
      <c r="M993" s="1">
        <v>46224.91962439815</v>
      </c>
    </row>
    <row r="994" spans="1:13" x14ac:dyDescent="0.35">
      <c r="A994" t="s">
        <v>208</v>
      </c>
      <c r="B994" t="s">
        <v>1986</v>
      </c>
      <c r="C994" t="s">
        <v>2340</v>
      </c>
      <c r="D994">
        <v>1.75</v>
      </c>
      <c r="E994" s="1">
        <v>46387</v>
      </c>
      <c r="F994" t="s">
        <v>1988</v>
      </c>
      <c r="G994" t="s">
        <v>2340</v>
      </c>
      <c r="H994" t="s">
        <v>2</v>
      </c>
      <c r="I994" s="1">
        <v>46224</v>
      </c>
      <c r="J994" t="s">
        <v>1991</v>
      </c>
      <c r="K994" t="s">
        <v>4124</v>
      </c>
      <c r="L994" s="1">
        <v>46224.918321759258</v>
      </c>
      <c r="M994" s="1">
        <v>46224.91962439815</v>
      </c>
    </row>
    <row r="995" spans="1:13" x14ac:dyDescent="0.35">
      <c r="A995" t="s">
        <v>208</v>
      </c>
      <c r="B995" t="s">
        <v>1986</v>
      </c>
      <c r="C995" t="s">
        <v>2340</v>
      </c>
      <c r="D995">
        <v>1.75</v>
      </c>
      <c r="E995" s="1">
        <v>46387</v>
      </c>
      <c r="F995" t="s">
        <v>1988</v>
      </c>
      <c r="G995" t="s">
        <v>2340</v>
      </c>
      <c r="H995" t="s">
        <v>2</v>
      </c>
      <c r="I995" s="1">
        <v>46224</v>
      </c>
      <c r="J995" t="s">
        <v>2064</v>
      </c>
      <c r="K995" t="s">
        <v>3447</v>
      </c>
      <c r="L995" s="1">
        <v>46224.917650462965</v>
      </c>
      <c r="M995" s="1">
        <v>46224.91962439815</v>
      </c>
    </row>
    <row r="996" spans="1:13" x14ac:dyDescent="0.35">
      <c r="A996" t="s">
        <v>318</v>
      </c>
      <c r="B996" t="s">
        <v>1986</v>
      </c>
      <c r="C996" t="s">
        <v>2341</v>
      </c>
      <c r="D996">
        <v>0.125</v>
      </c>
      <c r="E996" s="1">
        <v>47498</v>
      </c>
      <c r="F996" t="s">
        <v>2014</v>
      </c>
      <c r="G996" t="s">
        <v>2341</v>
      </c>
      <c r="H996" t="s">
        <v>2</v>
      </c>
      <c r="I996" s="1">
        <v>46224</v>
      </c>
      <c r="J996" t="s">
        <v>2065</v>
      </c>
      <c r="K996" t="s">
        <v>3448</v>
      </c>
      <c r="L996" s="1">
        <v>46224.917650462965</v>
      </c>
      <c r="M996" s="1">
        <v>46224.91962439815</v>
      </c>
    </row>
    <row r="997" spans="1:13" x14ac:dyDescent="0.35">
      <c r="A997" t="s">
        <v>318</v>
      </c>
      <c r="B997" t="s">
        <v>1986</v>
      </c>
      <c r="C997" t="s">
        <v>2341</v>
      </c>
      <c r="D997">
        <v>0.125</v>
      </c>
      <c r="E997" s="1">
        <v>47498</v>
      </c>
      <c r="F997" t="s">
        <v>2014</v>
      </c>
      <c r="G997" t="s">
        <v>2341</v>
      </c>
      <c r="H997" t="s">
        <v>2</v>
      </c>
      <c r="I997" s="1">
        <v>46224</v>
      </c>
      <c r="J997" t="s">
        <v>1989</v>
      </c>
      <c r="K997" t="s">
        <v>3089</v>
      </c>
      <c r="L997" s="1">
        <v>46224.918321759258</v>
      </c>
      <c r="M997" s="1">
        <v>46224.91962439815</v>
      </c>
    </row>
    <row r="998" spans="1:13" x14ac:dyDescent="0.35">
      <c r="A998" t="s">
        <v>318</v>
      </c>
      <c r="B998" t="s">
        <v>1986</v>
      </c>
      <c r="C998" t="s">
        <v>2341</v>
      </c>
      <c r="D998">
        <v>0.125</v>
      </c>
      <c r="E998" s="1">
        <v>47498</v>
      </c>
      <c r="F998" t="s">
        <v>2014</v>
      </c>
      <c r="G998" t="s">
        <v>2341</v>
      </c>
      <c r="H998" t="s">
        <v>2</v>
      </c>
      <c r="I998" s="1">
        <v>46224</v>
      </c>
      <c r="J998" t="s">
        <v>2108</v>
      </c>
      <c r="K998" t="s">
        <v>2996</v>
      </c>
      <c r="L998" s="1">
        <v>46224.917650462965</v>
      </c>
      <c r="M998" s="1">
        <v>46224.91962439815</v>
      </c>
    </row>
    <row r="999" spans="1:13" x14ac:dyDescent="0.35">
      <c r="A999" t="s">
        <v>318</v>
      </c>
      <c r="B999" t="s">
        <v>1986</v>
      </c>
      <c r="C999" t="s">
        <v>2341</v>
      </c>
      <c r="D999">
        <v>0.125</v>
      </c>
      <c r="E999" s="1">
        <v>47498</v>
      </c>
      <c r="F999" t="s">
        <v>2014</v>
      </c>
      <c r="G999" t="s">
        <v>2341</v>
      </c>
      <c r="H999" t="s">
        <v>2</v>
      </c>
      <c r="I999" s="1">
        <v>46224</v>
      </c>
      <c r="J999" t="s">
        <v>2064</v>
      </c>
      <c r="K999" t="s">
        <v>3448</v>
      </c>
      <c r="L999" s="1">
        <v>46224.917650462965</v>
      </c>
      <c r="M999" s="1">
        <v>46224.91962439815</v>
      </c>
    </row>
    <row r="1000" spans="1:13" x14ac:dyDescent="0.35">
      <c r="A1000" t="s">
        <v>318</v>
      </c>
      <c r="B1000" t="s">
        <v>1986</v>
      </c>
      <c r="C1000" t="s">
        <v>2341</v>
      </c>
      <c r="D1000">
        <v>0.125</v>
      </c>
      <c r="E1000" s="1">
        <v>47498</v>
      </c>
      <c r="F1000" t="s">
        <v>2014</v>
      </c>
      <c r="G1000" t="s">
        <v>2341</v>
      </c>
      <c r="H1000" t="s">
        <v>2</v>
      </c>
      <c r="I1000" s="1">
        <v>46224</v>
      </c>
      <c r="J1000" t="s">
        <v>1991</v>
      </c>
      <c r="K1000" t="s">
        <v>2999</v>
      </c>
      <c r="L1000" s="1">
        <v>46224.918321759258</v>
      </c>
      <c r="M1000" s="1">
        <v>46224.91962439815</v>
      </c>
    </row>
    <row r="1001" spans="1:13" x14ac:dyDescent="0.35">
      <c r="A1001" t="s">
        <v>318</v>
      </c>
      <c r="B1001" t="s">
        <v>1986</v>
      </c>
      <c r="C1001" t="s">
        <v>2341</v>
      </c>
      <c r="D1001">
        <v>0.125</v>
      </c>
      <c r="E1001" s="1">
        <v>47498</v>
      </c>
      <c r="F1001" t="s">
        <v>2014</v>
      </c>
      <c r="G1001" t="s">
        <v>2341</v>
      </c>
      <c r="H1001" t="s">
        <v>2</v>
      </c>
      <c r="I1001" s="1">
        <v>46224</v>
      </c>
      <c r="J1001" t="s">
        <v>2146</v>
      </c>
      <c r="K1001" t="s">
        <v>2996</v>
      </c>
      <c r="L1001" s="1">
        <v>46224.917650462965</v>
      </c>
      <c r="M1001" s="1">
        <v>46224.91962439815</v>
      </c>
    </row>
    <row r="1002" spans="1:13" x14ac:dyDescent="0.35">
      <c r="A1002" t="s">
        <v>209</v>
      </c>
      <c r="B1002" t="s">
        <v>1986</v>
      </c>
      <c r="C1002" t="s">
        <v>2392</v>
      </c>
      <c r="D1002">
        <v>1.5</v>
      </c>
      <c r="E1002" s="1">
        <v>46418</v>
      </c>
      <c r="F1002" t="s">
        <v>1988</v>
      </c>
      <c r="G1002" t="s">
        <v>2392</v>
      </c>
      <c r="H1002" t="s">
        <v>2</v>
      </c>
      <c r="I1002" s="1">
        <v>46224</v>
      </c>
      <c r="J1002" t="s">
        <v>2108</v>
      </c>
      <c r="K1002" t="s">
        <v>3466</v>
      </c>
      <c r="L1002" s="1">
        <v>46224.917650462965</v>
      </c>
      <c r="M1002" s="1">
        <v>46224.91962439815</v>
      </c>
    </row>
    <row r="1003" spans="1:13" x14ac:dyDescent="0.35">
      <c r="A1003" t="s">
        <v>209</v>
      </c>
      <c r="B1003" t="s">
        <v>1986</v>
      </c>
      <c r="C1003" t="s">
        <v>2392</v>
      </c>
      <c r="D1003">
        <v>1.5</v>
      </c>
      <c r="E1003" s="1">
        <v>46418</v>
      </c>
      <c r="F1003" t="s">
        <v>1988</v>
      </c>
      <c r="G1003" t="s">
        <v>2392</v>
      </c>
      <c r="H1003" t="s">
        <v>2</v>
      </c>
      <c r="I1003" s="1">
        <v>46224</v>
      </c>
      <c r="J1003" t="s">
        <v>2064</v>
      </c>
      <c r="K1003" t="s">
        <v>3465</v>
      </c>
      <c r="L1003" s="1">
        <v>46224.917650462965</v>
      </c>
      <c r="M1003" s="1">
        <v>46224.91962439815</v>
      </c>
    </row>
    <row r="1004" spans="1:13" x14ac:dyDescent="0.35">
      <c r="A1004" t="s">
        <v>209</v>
      </c>
      <c r="B1004" t="s">
        <v>1986</v>
      </c>
      <c r="C1004" t="s">
        <v>2392</v>
      </c>
      <c r="D1004">
        <v>1.5</v>
      </c>
      <c r="E1004" s="1">
        <v>46418</v>
      </c>
      <c r="F1004" t="s">
        <v>1988</v>
      </c>
      <c r="G1004" t="s">
        <v>2392</v>
      </c>
      <c r="H1004" t="s">
        <v>2</v>
      </c>
      <c r="I1004" s="1">
        <v>46224</v>
      </c>
      <c r="J1004" t="s">
        <v>2146</v>
      </c>
      <c r="K1004" t="s">
        <v>3466</v>
      </c>
      <c r="L1004" s="1">
        <v>46224.917650462965</v>
      </c>
      <c r="M1004" s="1">
        <v>46224.91962439815</v>
      </c>
    </row>
    <row r="1005" spans="1:13" x14ac:dyDescent="0.35">
      <c r="A1005" t="s">
        <v>209</v>
      </c>
      <c r="B1005" t="s">
        <v>1986</v>
      </c>
      <c r="C1005" t="s">
        <v>2392</v>
      </c>
      <c r="D1005">
        <v>1.5</v>
      </c>
      <c r="E1005" s="1">
        <v>46418</v>
      </c>
      <c r="F1005" t="s">
        <v>1988</v>
      </c>
      <c r="G1005" t="s">
        <v>2392</v>
      </c>
      <c r="H1005" t="s">
        <v>2</v>
      </c>
      <c r="I1005" s="1">
        <v>46224</v>
      </c>
      <c r="J1005" t="s">
        <v>2065</v>
      </c>
      <c r="K1005" t="s">
        <v>3465</v>
      </c>
      <c r="L1005" s="1">
        <v>46224.917650462965</v>
      </c>
      <c r="M1005" s="1">
        <v>46224.91962439815</v>
      </c>
    </row>
    <row r="1006" spans="1:13" x14ac:dyDescent="0.35">
      <c r="A1006" t="s">
        <v>209</v>
      </c>
      <c r="B1006" t="s">
        <v>1986</v>
      </c>
      <c r="C1006" t="s">
        <v>2392</v>
      </c>
      <c r="D1006">
        <v>1.5</v>
      </c>
      <c r="E1006" s="1">
        <v>46418</v>
      </c>
      <c r="F1006" t="s">
        <v>1988</v>
      </c>
      <c r="G1006" t="s">
        <v>2392</v>
      </c>
      <c r="H1006" t="s">
        <v>2</v>
      </c>
      <c r="I1006" s="1">
        <v>46224</v>
      </c>
      <c r="J1006" t="s">
        <v>1989</v>
      </c>
      <c r="K1006" t="s">
        <v>2386</v>
      </c>
      <c r="L1006" s="1">
        <v>46224.918321759258</v>
      </c>
      <c r="M1006" s="1">
        <v>46224.91962439815</v>
      </c>
    </row>
    <row r="1007" spans="1:13" x14ac:dyDescent="0.35">
      <c r="A1007" t="s">
        <v>209</v>
      </c>
      <c r="B1007" t="s">
        <v>1986</v>
      </c>
      <c r="C1007" t="s">
        <v>2392</v>
      </c>
      <c r="D1007">
        <v>1.5</v>
      </c>
      <c r="E1007" s="1">
        <v>46418</v>
      </c>
      <c r="F1007" t="s">
        <v>1988</v>
      </c>
      <c r="G1007" t="s">
        <v>2392</v>
      </c>
      <c r="H1007" t="s">
        <v>2</v>
      </c>
      <c r="I1007" s="1">
        <v>46224</v>
      </c>
      <c r="J1007" t="s">
        <v>1991</v>
      </c>
      <c r="K1007" t="s">
        <v>2788</v>
      </c>
      <c r="L1007" s="1">
        <v>46224.918321759258</v>
      </c>
      <c r="M1007" s="1">
        <v>46224.91962439815</v>
      </c>
    </row>
    <row r="1008" spans="1:13" x14ac:dyDescent="0.35">
      <c r="A1008" t="s">
        <v>244</v>
      </c>
      <c r="B1008" t="s">
        <v>1986</v>
      </c>
      <c r="C1008" t="s">
        <v>2342</v>
      </c>
      <c r="D1008">
        <v>1.5</v>
      </c>
      <c r="E1008" s="1">
        <v>47529</v>
      </c>
      <c r="F1008" t="s">
        <v>1988</v>
      </c>
      <c r="G1008" t="s">
        <v>2342</v>
      </c>
      <c r="H1008" t="s">
        <v>2</v>
      </c>
      <c r="I1008" s="1">
        <v>46224</v>
      </c>
      <c r="J1008" t="s">
        <v>2065</v>
      </c>
      <c r="K1008" t="s">
        <v>2716</v>
      </c>
      <c r="L1008" s="1">
        <v>46224.917650462965</v>
      </c>
      <c r="M1008" s="1">
        <v>46224.91962439815</v>
      </c>
    </row>
    <row r="1009" spans="1:13" x14ac:dyDescent="0.35">
      <c r="A1009" t="s">
        <v>244</v>
      </c>
      <c r="B1009" t="s">
        <v>1986</v>
      </c>
      <c r="C1009" t="s">
        <v>2342</v>
      </c>
      <c r="D1009">
        <v>1.5</v>
      </c>
      <c r="E1009" s="1">
        <v>47529</v>
      </c>
      <c r="F1009" t="s">
        <v>1988</v>
      </c>
      <c r="G1009" t="s">
        <v>2342</v>
      </c>
      <c r="H1009" t="s">
        <v>2</v>
      </c>
      <c r="I1009" s="1">
        <v>46224</v>
      </c>
      <c r="J1009" t="s">
        <v>1991</v>
      </c>
      <c r="K1009" t="s">
        <v>3467</v>
      </c>
      <c r="L1009" s="1">
        <v>46224.918321759258</v>
      </c>
      <c r="M1009" s="1">
        <v>46224.91962439815</v>
      </c>
    </row>
    <row r="1010" spans="1:13" x14ac:dyDescent="0.35">
      <c r="A1010" t="s">
        <v>244</v>
      </c>
      <c r="B1010" t="s">
        <v>1986</v>
      </c>
      <c r="C1010" t="s">
        <v>2342</v>
      </c>
      <c r="D1010">
        <v>1.5</v>
      </c>
      <c r="E1010" s="1">
        <v>47529</v>
      </c>
      <c r="F1010" t="s">
        <v>1988</v>
      </c>
      <c r="G1010" t="s">
        <v>2342</v>
      </c>
      <c r="H1010" t="s">
        <v>2</v>
      </c>
      <c r="I1010" s="1">
        <v>46224</v>
      </c>
      <c r="J1010" t="s">
        <v>2146</v>
      </c>
      <c r="K1010" t="s">
        <v>2556</v>
      </c>
      <c r="L1010" s="1">
        <v>46224.917650462965</v>
      </c>
      <c r="M1010" s="1">
        <v>46224.91962439815</v>
      </c>
    </row>
    <row r="1011" spans="1:13" x14ac:dyDescent="0.35">
      <c r="A1011" t="s">
        <v>244</v>
      </c>
      <c r="B1011" t="s">
        <v>1986</v>
      </c>
      <c r="C1011" t="s">
        <v>2342</v>
      </c>
      <c r="D1011">
        <v>1.5</v>
      </c>
      <c r="E1011" s="1">
        <v>47529</v>
      </c>
      <c r="F1011" t="s">
        <v>1988</v>
      </c>
      <c r="G1011" t="s">
        <v>2342</v>
      </c>
      <c r="H1011" t="s">
        <v>2</v>
      </c>
      <c r="I1011" s="1">
        <v>46224</v>
      </c>
      <c r="J1011" t="s">
        <v>1989</v>
      </c>
      <c r="K1011" t="s">
        <v>4125</v>
      </c>
      <c r="L1011" s="1">
        <v>46224.918321759258</v>
      </c>
      <c r="M1011" s="1">
        <v>46224.91962439815</v>
      </c>
    </row>
    <row r="1012" spans="1:13" x14ac:dyDescent="0.35">
      <c r="A1012" t="s">
        <v>244</v>
      </c>
      <c r="B1012" t="s">
        <v>1986</v>
      </c>
      <c r="C1012" t="s">
        <v>2342</v>
      </c>
      <c r="D1012">
        <v>1.5</v>
      </c>
      <c r="E1012" s="1">
        <v>47529</v>
      </c>
      <c r="F1012" t="s">
        <v>1988</v>
      </c>
      <c r="G1012" t="s">
        <v>2342</v>
      </c>
      <c r="H1012" t="s">
        <v>2</v>
      </c>
      <c r="I1012" s="1">
        <v>46224</v>
      </c>
      <c r="J1012" t="s">
        <v>2064</v>
      </c>
      <c r="K1012" t="s">
        <v>2716</v>
      </c>
      <c r="L1012" s="1">
        <v>46224.917650462965</v>
      </c>
      <c r="M1012" s="1">
        <v>46224.91962439815</v>
      </c>
    </row>
    <row r="1013" spans="1:13" x14ac:dyDescent="0.35">
      <c r="A1013" t="s">
        <v>244</v>
      </c>
      <c r="B1013" t="s">
        <v>1986</v>
      </c>
      <c r="C1013" t="s">
        <v>2342</v>
      </c>
      <c r="D1013">
        <v>1.5</v>
      </c>
      <c r="E1013" s="1">
        <v>47529</v>
      </c>
      <c r="F1013" t="s">
        <v>1988</v>
      </c>
      <c r="G1013" t="s">
        <v>2342</v>
      </c>
      <c r="H1013" t="s">
        <v>2</v>
      </c>
      <c r="I1013" s="1">
        <v>46224</v>
      </c>
      <c r="J1013" t="s">
        <v>2108</v>
      </c>
      <c r="K1013" t="s">
        <v>2556</v>
      </c>
      <c r="L1013" s="1">
        <v>46224.917650462965</v>
      </c>
      <c r="M1013" s="1">
        <v>46224.91962439815</v>
      </c>
    </row>
    <row r="1014" spans="1:13" x14ac:dyDescent="0.35">
      <c r="A1014" t="s">
        <v>245</v>
      </c>
      <c r="B1014" t="s">
        <v>1986</v>
      </c>
      <c r="C1014" t="s">
        <v>2349</v>
      </c>
      <c r="D1014">
        <v>1.125</v>
      </c>
      <c r="E1014" s="1">
        <v>46446</v>
      </c>
      <c r="F1014" t="s">
        <v>1988</v>
      </c>
      <c r="G1014" t="s">
        <v>2349</v>
      </c>
      <c r="H1014" t="s">
        <v>2</v>
      </c>
      <c r="I1014" s="1">
        <v>46224</v>
      </c>
      <c r="J1014" t="s">
        <v>1989</v>
      </c>
      <c r="K1014" t="s">
        <v>3449</v>
      </c>
      <c r="L1014" s="1">
        <v>46224.918321759258</v>
      </c>
      <c r="M1014" s="1">
        <v>46224.91962439815</v>
      </c>
    </row>
    <row r="1015" spans="1:13" x14ac:dyDescent="0.35">
      <c r="A1015" t="s">
        <v>245</v>
      </c>
      <c r="B1015" t="s">
        <v>1986</v>
      </c>
      <c r="C1015" t="s">
        <v>2349</v>
      </c>
      <c r="D1015">
        <v>1.125</v>
      </c>
      <c r="E1015" s="1">
        <v>46446</v>
      </c>
      <c r="F1015" t="s">
        <v>1988</v>
      </c>
      <c r="G1015" t="s">
        <v>2349</v>
      </c>
      <c r="H1015" t="s">
        <v>2</v>
      </c>
      <c r="I1015" s="1">
        <v>46224</v>
      </c>
      <c r="J1015" t="s">
        <v>2108</v>
      </c>
      <c r="K1015" t="s">
        <v>3596</v>
      </c>
      <c r="L1015" s="1">
        <v>46224.917650462965</v>
      </c>
      <c r="M1015" s="1">
        <v>46224.91962439815</v>
      </c>
    </row>
    <row r="1016" spans="1:13" x14ac:dyDescent="0.35">
      <c r="A1016" t="s">
        <v>245</v>
      </c>
      <c r="B1016" t="s">
        <v>1986</v>
      </c>
      <c r="C1016" t="s">
        <v>2349</v>
      </c>
      <c r="D1016">
        <v>1.125</v>
      </c>
      <c r="E1016" s="1">
        <v>46446</v>
      </c>
      <c r="F1016" t="s">
        <v>1988</v>
      </c>
      <c r="G1016" t="s">
        <v>2349</v>
      </c>
      <c r="H1016" t="s">
        <v>2</v>
      </c>
      <c r="I1016" s="1">
        <v>46224</v>
      </c>
      <c r="J1016" t="s">
        <v>2064</v>
      </c>
      <c r="K1016" t="s">
        <v>3597</v>
      </c>
      <c r="L1016" s="1">
        <v>46224.917650462965</v>
      </c>
      <c r="M1016" s="1">
        <v>46224.91962439815</v>
      </c>
    </row>
    <row r="1017" spans="1:13" x14ac:dyDescent="0.35">
      <c r="A1017" t="s">
        <v>245</v>
      </c>
      <c r="B1017" t="s">
        <v>1986</v>
      </c>
      <c r="C1017" t="s">
        <v>2349</v>
      </c>
      <c r="D1017">
        <v>1.125</v>
      </c>
      <c r="E1017" s="1">
        <v>46446</v>
      </c>
      <c r="F1017" t="s">
        <v>1988</v>
      </c>
      <c r="G1017" t="s">
        <v>2349</v>
      </c>
      <c r="H1017" t="s">
        <v>2</v>
      </c>
      <c r="I1017" s="1">
        <v>46224</v>
      </c>
      <c r="J1017" t="s">
        <v>1991</v>
      </c>
      <c r="K1017" t="s">
        <v>4126</v>
      </c>
      <c r="L1017" s="1">
        <v>46224.918321759258</v>
      </c>
      <c r="M1017" s="1">
        <v>46224.91962439815</v>
      </c>
    </row>
    <row r="1018" spans="1:13" x14ac:dyDescent="0.35">
      <c r="A1018" t="s">
        <v>245</v>
      </c>
      <c r="B1018" t="s">
        <v>1986</v>
      </c>
      <c r="C1018" t="s">
        <v>2349</v>
      </c>
      <c r="D1018">
        <v>1.125</v>
      </c>
      <c r="E1018" s="1">
        <v>46446</v>
      </c>
      <c r="F1018" t="s">
        <v>1988</v>
      </c>
      <c r="G1018" t="s">
        <v>2349</v>
      </c>
      <c r="H1018" t="s">
        <v>2</v>
      </c>
      <c r="I1018" s="1">
        <v>46224</v>
      </c>
      <c r="J1018" t="s">
        <v>2065</v>
      </c>
      <c r="K1018" t="s">
        <v>3597</v>
      </c>
      <c r="L1018" s="1">
        <v>46224.917650462965</v>
      </c>
      <c r="M1018" s="1">
        <v>46224.91962439815</v>
      </c>
    </row>
    <row r="1019" spans="1:13" x14ac:dyDescent="0.35">
      <c r="A1019" t="s">
        <v>245</v>
      </c>
      <c r="B1019" t="s">
        <v>1986</v>
      </c>
      <c r="C1019" t="s">
        <v>2349</v>
      </c>
      <c r="D1019">
        <v>1.125</v>
      </c>
      <c r="E1019" s="1">
        <v>46446</v>
      </c>
      <c r="F1019" t="s">
        <v>1988</v>
      </c>
      <c r="G1019" t="s">
        <v>2349</v>
      </c>
      <c r="H1019" t="s">
        <v>2</v>
      </c>
      <c r="I1019" s="1">
        <v>46224</v>
      </c>
      <c r="J1019" t="s">
        <v>2146</v>
      </c>
      <c r="K1019" t="s">
        <v>3596</v>
      </c>
      <c r="L1019" s="1">
        <v>46224.917650462965</v>
      </c>
      <c r="M1019" s="1">
        <v>46224.91962439815</v>
      </c>
    </row>
    <row r="1020" spans="1:13" x14ac:dyDescent="0.35">
      <c r="A1020" t="s">
        <v>246</v>
      </c>
      <c r="B1020" t="s">
        <v>1986</v>
      </c>
      <c r="C1020" t="s">
        <v>2394</v>
      </c>
      <c r="D1020">
        <v>0.625</v>
      </c>
      <c r="E1020" s="1">
        <v>46477</v>
      </c>
      <c r="F1020" t="s">
        <v>1988</v>
      </c>
      <c r="G1020" t="s">
        <v>2394</v>
      </c>
      <c r="H1020" t="s">
        <v>2</v>
      </c>
      <c r="I1020" s="1">
        <v>46224</v>
      </c>
      <c r="J1020" t="s">
        <v>2065</v>
      </c>
      <c r="K1020" t="s">
        <v>3468</v>
      </c>
      <c r="L1020" s="1">
        <v>46224.917650462965</v>
      </c>
      <c r="M1020" s="1">
        <v>46224.91962439815</v>
      </c>
    </row>
    <row r="1021" spans="1:13" x14ac:dyDescent="0.35">
      <c r="A1021" t="s">
        <v>246</v>
      </c>
      <c r="B1021" t="s">
        <v>1986</v>
      </c>
      <c r="C1021" t="s">
        <v>2394</v>
      </c>
      <c r="D1021">
        <v>0.625</v>
      </c>
      <c r="E1021" s="1">
        <v>46477</v>
      </c>
      <c r="F1021" t="s">
        <v>1988</v>
      </c>
      <c r="G1021" t="s">
        <v>2394</v>
      </c>
      <c r="H1021" t="s">
        <v>2</v>
      </c>
      <c r="I1021" s="1">
        <v>46224</v>
      </c>
      <c r="J1021" t="s">
        <v>2108</v>
      </c>
      <c r="K1021" t="s">
        <v>3450</v>
      </c>
      <c r="L1021" s="1">
        <v>46224.917650462965</v>
      </c>
      <c r="M1021" s="1">
        <v>46224.91962439815</v>
      </c>
    </row>
    <row r="1022" spans="1:13" x14ac:dyDescent="0.35">
      <c r="A1022" t="s">
        <v>246</v>
      </c>
      <c r="B1022" t="s">
        <v>1986</v>
      </c>
      <c r="C1022" t="s">
        <v>2394</v>
      </c>
      <c r="D1022">
        <v>0.625</v>
      </c>
      <c r="E1022" s="1">
        <v>46477</v>
      </c>
      <c r="F1022" t="s">
        <v>1988</v>
      </c>
      <c r="G1022" t="s">
        <v>2394</v>
      </c>
      <c r="H1022" t="s">
        <v>2</v>
      </c>
      <c r="I1022" s="1">
        <v>46224</v>
      </c>
      <c r="J1022" t="s">
        <v>1989</v>
      </c>
      <c r="K1022" t="s">
        <v>2336</v>
      </c>
      <c r="L1022" s="1">
        <v>46224.918321759258</v>
      </c>
      <c r="M1022" s="1">
        <v>46224.91962439815</v>
      </c>
    </row>
    <row r="1023" spans="1:13" x14ac:dyDescent="0.35">
      <c r="A1023" t="s">
        <v>246</v>
      </c>
      <c r="B1023" t="s">
        <v>1986</v>
      </c>
      <c r="C1023" t="s">
        <v>2394</v>
      </c>
      <c r="D1023">
        <v>0.625</v>
      </c>
      <c r="E1023" s="1">
        <v>46477</v>
      </c>
      <c r="F1023" t="s">
        <v>1988</v>
      </c>
      <c r="G1023" t="s">
        <v>2394</v>
      </c>
      <c r="H1023" t="s">
        <v>2</v>
      </c>
      <c r="I1023" s="1">
        <v>46224</v>
      </c>
      <c r="J1023" t="s">
        <v>1991</v>
      </c>
      <c r="K1023" t="s">
        <v>3023</v>
      </c>
      <c r="L1023" s="1">
        <v>46224.918321759258</v>
      </c>
      <c r="M1023" s="1">
        <v>46224.91962439815</v>
      </c>
    </row>
    <row r="1024" spans="1:13" x14ac:dyDescent="0.35">
      <c r="A1024" t="s">
        <v>246</v>
      </c>
      <c r="B1024" t="s">
        <v>1986</v>
      </c>
      <c r="C1024" t="s">
        <v>2394</v>
      </c>
      <c r="D1024">
        <v>0.625</v>
      </c>
      <c r="E1024" s="1">
        <v>46477</v>
      </c>
      <c r="F1024" t="s">
        <v>1988</v>
      </c>
      <c r="G1024" t="s">
        <v>2394</v>
      </c>
      <c r="H1024" t="s">
        <v>2</v>
      </c>
      <c r="I1024" s="1">
        <v>46224</v>
      </c>
      <c r="J1024" t="s">
        <v>2146</v>
      </c>
      <c r="K1024" t="s">
        <v>3450</v>
      </c>
      <c r="L1024" s="1">
        <v>46224.917650462965</v>
      </c>
      <c r="M1024" s="1">
        <v>46224.91962439815</v>
      </c>
    </row>
    <row r="1025" spans="1:13" x14ac:dyDescent="0.35">
      <c r="A1025" t="s">
        <v>246</v>
      </c>
      <c r="B1025" t="s">
        <v>1986</v>
      </c>
      <c r="C1025" t="s">
        <v>2394</v>
      </c>
      <c r="D1025">
        <v>0.625</v>
      </c>
      <c r="E1025" s="1">
        <v>46477</v>
      </c>
      <c r="F1025" t="s">
        <v>1988</v>
      </c>
      <c r="G1025" t="s">
        <v>2394</v>
      </c>
      <c r="H1025" t="s">
        <v>2</v>
      </c>
      <c r="I1025" s="1">
        <v>46224</v>
      </c>
      <c r="J1025" t="s">
        <v>2064</v>
      </c>
      <c r="K1025" t="s">
        <v>3468</v>
      </c>
      <c r="L1025" s="1">
        <v>46224.917650462965</v>
      </c>
      <c r="M1025" s="1">
        <v>46224.91962439815</v>
      </c>
    </row>
    <row r="1026" spans="1:13" x14ac:dyDescent="0.35">
      <c r="A1026" t="s">
        <v>276</v>
      </c>
      <c r="B1026" t="s">
        <v>1986</v>
      </c>
      <c r="C1026" t="s">
        <v>2350</v>
      </c>
      <c r="D1026">
        <v>0.5</v>
      </c>
      <c r="E1026" s="1">
        <v>46507</v>
      </c>
      <c r="F1026" t="s">
        <v>1988</v>
      </c>
      <c r="G1026" t="s">
        <v>2350</v>
      </c>
      <c r="H1026" t="s">
        <v>2</v>
      </c>
      <c r="I1026" s="1">
        <v>46224</v>
      </c>
      <c r="J1026" t="s">
        <v>2065</v>
      </c>
      <c r="K1026" t="s">
        <v>3469</v>
      </c>
      <c r="L1026" s="1">
        <v>46224.917650462965</v>
      </c>
      <c r="M1026" s="1">
        <v>46224.91962439815</v>
      </c>
    </row>
    <row r="1027" spans="1:13" x14ac:dyDescent="0.35">
      <c r="A1027" t="s">
        <v>276</v>
      </c>
      <c r="B1027" t="s">
        <v>1986</v>
      </c>
      <c r="C1027" t="s">
        <v>2350</v>
      </c>
      <c r="D1027">
        <v>0.5</v>
      </c>
      <c r="E1027" s="1">
        <v>46507</v>
      </c>
      <c r="F1027" t="s">
        <v>1988</v>
      </c>
      <c r="G1027" t="s">
        <v>2350</v>
      </c>
      <c r="H1027" t="s">
        <v>2</v>
      </c>
      <c r="I1027" s="1">
        <v>46224</v>
      </c>
      <c r="J1027" t="s">
        <v>1989</v>
      </c>
      <c r="K1027" t="s">
        <v>3451</v>
      </c>
      <c r="L1027" s="1">
        <v>46224.918321759258</v>
      </c>
      <c r="M1027" s="1">
        <v>46224.91962439815</v>
      </c>
    </row>
    <row r="1028" spans="1:13" x14ac:dyDescent="0.35">
      <c r="A1028" t="s">
        <v>276</v>
      </c>
      <c r="B1028" t="s">
        <v>1986</v>
      </c>
      <c r="C1028" t="s">
        <v>2350</v>
      </c>
      <c r="D1028">
        <v>0.5</v>
      </c>
      <c r="E1028" s="1">
        <v>46507</v>
      </c>
      <c r="F1028" t="s">
        <v>1988</v>
      </c>
      <c r="G1028" t="s">
        <v>2350</v>
      </c>
      <c r="H1028" t="s">
        <v>2</v>
      </c>
      <c r="I1028" s="1">
        <v>46224</v>
      </c>
      <c r="J1028" t="s">
        <v>1991</v>
      </c>
      <c r="K1028" t="s">
        <v>3452</v>
      </c>
      <c r="L1028" s="1">
        <v>46224.918321759258</v>
      </c>
      <c r="M1028" s="1">
        <v>46224.91962439815</v>
      </c>
    </row>
    <row r="1029" spans="1:13" x14ac:dyDescent="0.35">
      <c r="A1029" t="s">
        <v>276</v>
      </c>
      <c r="B1029" t="s">
        <v>1986</v>
      </c>
      <c r="C1029" t="s">
        <v>2350</v>
      </c>
      <c r="D1029">
        <v>0.5</v>
      </c>
      <c r="E1029" s="1">
        <v>46507</v>
      </c>
      <c r="F1029" t="s">
        <v>1988</v>
      </c>
      <c r="G1029" t="s">
        <v>2350</v>
      </c>
      <c r="H1029" t="s">
        <v>2</v>
      </c>
      <c r="I1029" s="1">
        <v>46224</v>
      </c>
      <c r="J1029" t="s">
        <v>2146</v>
      </c>
      <c r="K1029" t="s">
        <v>3598</v>
      </c>
      <c r="L1029" s="1">
        <v>46224.917650462965</v>
      </c>
      <c r="M1029" s="1">
        <v>46224.91962439815</v>
      </c>
    </row>
    <row r="1030" spans="1:13" x14ac:dyDescent="0.35">
      <c r="A1030" t="s">
        <v>276</v>
      </c>
      <c r="B1030" t="s">
        <v>1986</v>
      </c>
      <c r="C1030" t="s">
        <v>2350</v>
      </c>
      <c r="D1030">
        <v>0.5</v>
      </c>
      <c r="E1030" s="1">
        <v>46507</v>
      </c>
      <c r="F1030" t="s">
        <v>1988</v>
      </c>
      <c r="G1030" t="s">
        <v>2350</v>
      </c>
      <c r="H1030" t="s">
        <v>2</v>
      </c>
      <c r="I1030" s="1">
        <v>46224</v>
      </c>
      <c r="J1030" t="s">
        <v>2064</v>
      </c>
      <c r="K1030" t="s">
        <v>3469</v>
      </c>
      <c r="L1030" s="1">
        <v>46224.917650462965</v>
      </c>
      <c r="M1030" s="1">
        <v>46224.91962439815</v>
      </c>
    </row>
    <row r="1031" spans="1:13" x14ac:dyDescent="0.35">
      <c r="A1031" t="s">
        <v>276</v>
      </c>
      <c r="B1031" t="s">
        <v>1986</v>
      </c>
      <c r="C1031" t="s">
        <v>2350</v>
      </c>
      <c r="D1031">
        <v>0.5</v>
      </c>
      <c r="E1031" s="1">
        <v>46507</v>
      </c>
      <c r="F1031" t="s">
        <v>1988</v>
      </c>
      <c r="G1031" t="s">
        <v>2350</v>
      </c>
      <c r="H1031" t="s">
        <v>2</v>
      </c>
      <c r="I1031" s="1">
        <v>46224</v>
      </c>
      <c r="J1031" t="s">
        <v>2108</v>
      </c>
      <c r="K1031" t="s">
        <v>3598</v>
      </c>
      <c r="L1031" s="1">
        <v>46224.917650462965</v>
      </c>
      <c r="M1031" s="1">
        <v>46224.91962439815</v>
      </c>
    </row>
    <row r="1032" spans="1:13" x14ac:dyDescent="0.35">
      <c r="A1032" t="s">
        <v>253</v>
      </c>
      <c r="B1032" t="s">
        <v>1986</v>
      </c>
      <c r="C1032" t="s">
        <v>2388</v>
      </c>
      <c r="D1032">
        <v>0.625</v>
      </c>
      <c r="E1032" s="1">
        <v>47618</v>
      </c>
      <c r="F1032" t="s">
        <v>1988</v>
      </c>
      <c r="G1032" t="s">
        <v>2388</v>
      </c>
      <c r="H1032" t="s">
        <v>2</v>
      </c>
      <c r="I1032" s="1">
        <v>46224</v>
      </c>
      <c r="J1032" t="s">
        <v>1989</v>
      </c>
      <c r="K1032" t="s">
        <v>3747</v>
      </c>
      <c r="L1032" s="1">
        <v>46224.918321759258</v>
      </c>
      <c r="M1032" s="1">
        <v>46224.91962439815</v>
      </c>
    </row>
    <row r="1033" spans="1:13" x14ac:dyDescent="0.35">
      <c r="A1033" t="s">
        <v>253</v>
      </c>
      <c r="B1033" t="s">
        <v>1986</v>
      </c>
      <c r="C1033" t="s">
        <v>2388</v>
      </c>
      <c r="D1033">
        <v>0.625</v>
      </c>
      <c r="E1033" s="1">
        <v>47618</v>
      </c>
      <c r="F1033" t="s">
        <v>1988</v>
      </c>
      <c r="G1033" t="s">
        <v>2388</v>
      </c>
      <c r="H1033" t="s">
        <v>2</v>
      </c>
      <c r="I1033" s="1">
        <v>46224</v>
      </c>
      <c r="J1033" t="s">
        <v>2108</v>
      </c>
      <c r="K1033" t="s">
        <v>2929</v>
      </c>
      <c r="L1033" s="1">
        <v>46224.917650462965</v>
      </c>
      <c r="M1033" s="1">
        <v>46224.91962439815</v>
      </c>
    </row>
    <row r="1034" spans="1:13" x14ac:dyDescent="0.35">
      <c r="A1034" t="s">
        <v>253</v>
      </c>
      <c r="B1034" t="s">
        <v>1986</v>
      </c>
      <c r="C1034" t="s">
        <v>2388</v>
      </c>
      <c r="D1034">
        <v>0.625</v>
      </c>
      <c r="E1034" s="1">
        <v>47618</v>
      </c>
      <c r="F1034" t="s">
        <v>1988</v>
      </c>
      <c r="G1034" t="s">
        <v>2388</v>
      </c>
      <c r="H1034" t="s">
        <v>2</v>
      </c>
      <c r="I1034" s="1">
        <v>46224</v>
      </c>
      <c r="J1034" t="s">
        <v>2065</v>
      </c>
      <c r="K1034" t="s">
        <v>2587</v>
      </c>
      <c r="L1034" s="1">
        <v>46224.917650462965</v>
      </c>
      <c r="M1034" s="1">
        <v>46224.91962439815</v>
      </c>
    </row>
    <row r="1035" spans="1:13" x14ac:dyDescent="0.35">
      <c r="A1035" t="s">
        <v>253</v>
      </c>
      <c r="B1035" t="s">
        <v>1986</v>
      </c>
      <c r="C1035" t="s">
        <v>2388</v>
      </c>
      <c r="D1035">
        <v>0.625</v>
      </c>
      <c r="E1035" s="1">
        <v>47618</v>
      </c>
      <c r="F1035" t="s">
        <v>1988</v>
      </c>
      <c r="G1035" t="s">
        <v>2388</v>
      </c>
      <c r="H1035" t="s">
        <v>2</v>
      </c>
      <c r="I1035" s="1">
        <v>46224</v>
      </c>
      <c r="J1035" t="s">
        <v>2064</v>
      </c>
      <c r="K1035" t="s">
        <v>2587</v>
      </c>
      <c r="L1035" s="1">
        <v>46224.917650462965</v>
      </c>
      <c r="M1035" s="1">
        <v>46224.91962439815</v>
      </c>
    </row>
    <row r="1036" spans="1:13" x14ac:dyDescent="0.35">
      <c r="A1036" t="s">
        <v>253</v>
      </c>
      <c r="B1036" t="s">
        <v>1986</v>
      </c>
      <c r="C1036" t="s">
        <v>2388</v>
      </c>
      <c r="D1036">
        <v>0.625</v>
      </c>
      <c r="E1036" s="1">
        <v>47618</v>
      </c>
      <c r="F1036" t="s">
        <v>1988</v>
      </c>
      <c r="G1036" t="s">
        <v>2388</v>
      </c>
      <c r="H1036" t="s">
        <v>2</v>
      </c>
      <c r="I1036" s="1">
        <v>46224</v>
      </c>
      <c r="J1036" t="s">
        <v>1991</v>
      </c>
      <c r="K1036" t="s">
        <v>2910</v>
      </c>
      <c r="L1036" s="1">
        <v>46224.918321759258</v>
      </c>
      <c r="M1036" s="1">
        <v>46224.91962439815</v>
      </c>
    </row>
    <row r="1037" spans="1:13" x14ac:dyDescent="0.35">
      <c r="A1037" t="s">
        <v>253</v>
      </c>
      <c r="B1037" t="s">
        <v>1986</v>
      </c>
      <c r="C1037" t="s">
        <v>2388</v>
      </c>
      <c r="D1037">
        <v>0.625</v>
      </c>
      <c r="E1037" s="1">
        <v>47618</v>
      </c>
      <c r="F1037" t="s">
        <v>1988</v>
      </c>
      <c r="G1037" t="s">
        <v>2388</v>
      </c>
      <c r="H1037" t="s">
        <v>2</v>
      </c>
      <c r="I1037" s="1">
        <v>46224</v>
      </c>
      <c r="J1037" t="s">
        <v>2146</v>
      </c>
      <c r="K1037" t="s">
        <v>2929</v>
      </c>
      <c r="L1037" s="1">
        <v>46224.917650462965</v>
      </c>
      <c r="M1037" s="1">
        <v>46224.91962439815</v>
      </c>
    </row>
    <row r="1038" spans="1:13" x14ac:dyDescent="0.35">
      <c r="A1038" t="s">
        <v>254</v>
      </c>
      <c r="B1038" t="s">
        <v>1986</v>
      </c>
      <c r="C1038" t="s">
        <v>2389</v>
      </c>
      <c r="D1038">
        <v>0.5</v>
      </c>
      <c r="E1038" s="1">
        <v>46538</v>
      </c>
      <c r="F1038" t="s">
        <v>1988</v>
      </c>
      <c r="G1038" t="s">
        <v>2389</v>
      </c>
      <c r="H1038" t="s">
        <v>2</v>
      </c>
      <c r="I1038" s="1">
        <v>46224</v>
      </c>
      <c r="J1038" t="s">
        <v>2065</v>
      </c>
      <c r="K1038" t="s">
        <v>3020</v>
      </c>
      <c r="L1038" s="1">
        <v>46224.917650462965</v>
      </c>
      <c r="M1038" s="1">
        <v>46224.91962439815</v>
      </c>
    </row>
    <row r="1039" spans="1:13" x14ac:dyDescent="0.35">
      <c r="A1039" t="s">
        <v>254</v>
      </c>
      <c r="B1039" t="s">
        <v>1986</v>
      </c>
      <c r="C1039" t="s">
        <v>2389</v>
      </c>
      <c r="D1039">
        <v>0.5</v>
      </c>
      <c r="E1039" s="1">
        <v>46538</v>
      </c>
      <c r="F1039" t="s">
        <v>1988</v>
      </c>
      <c r="G1039" t="s">
        <v>2389</v>
      </c>
      <c r="H1039" t="s">
        <v>2</v>
      </c>
      <c r="I1039" s="1">
        <v>46224</v>
      </c>
      <c r="J1039" t="s">
        <v>1991</v>
      </c>
      <c r="K1039" t="s">
        <v>3371</v>
      </c>
      <c r="L1039" s="1">
        <v>46224.918321759258</v>
      </c>
      <c r="M1039" s="1">
        <v>46224.91962439815</v>
      </c>
    </row>
    <row r="1040" spans="1:13" x14ac:dyDescent="0.35">
      <c r="A1040" t="s">
        <v>254</v>
      </c>
      <c r="B1040" t="s">
        <v>1986</v>
      </c>
      <c r="C1040" t="s">
        <v>2389</v>
      </c>
      <c r="D1040">
        <v>0.5</v>
      </c>
      <c r="E1040" s="1">
        <v>46538</v>
      </c>
      <c r="F1040" t="s">
        <v>1988</v>
      </c>
      <c r="G1040" t="s">
        <v>2389</v>
      </c>
      <c r="H1040" t="s">
        <v>2</v>
      </c>
      <c r="I1040" s="1">
        <v>46224</v>
      </c>
      <c r="J1040" t="s">
        <v>1989</v>
      </c>
      <c r="K1040" t="s">
        <v>3565</v>
      </c>
      <c r="L1040" s="1">
        <v>46224.918321759258</v>
      </c>
      <c r="M1040" s="1">
        <v>46224.91962439815</v>
      </c>
    </row>
    <row r="1041" spans="1:13" x14ac:dyDescent="0.35">
      <c r="A1041" t="s">
        <v>254</v>
      </c>
      <c r="B1041" t="s">
        <v>1986</v>
      </c>
      <c r="C1041" t="s">
        <v>2389</v>
      </c>
      <c r="D1041">
        <v>0.5</v>
      </c>
      <c r="E1041" s="1">
        <v>46538</v>
      </c>
      <c r="F1041" t="s">
        <v>1988</v>
      </c>
      <c r="G1041" t="s">
        <v>2389</v>
      </c>
      <c r="H1041" t="s">
        <v>2</v>
      </c>
      <c r="I1041" s="1">
        <v>46224</v>
      </c>
      <c r="J1041" t="s">
        <v>2064</v>
      </c>
      <c r="K1041" t="s">
        <v>3020</v>
      </c>
      <c r="L1041" s="1">
        <v>46224.917650462965</v>
      </c>
      <c r="M1041" s="1">
        <v>46224.91962439815</v>
      </c>
    </row>
    <row r="1042" spans="1:13" x14ac:dyDescent="0.35">
      <c r="A1042" t="s">
        <v>254</v>
      </c>
      <c r="B1042" t="s">
        <v>1986</v>
      </c>
      <c r="C1042" t="s">
        <v>2389</v>
      </c>
      <c r="D1042">
        <v>0.5</v>
      </c>
      <c r="E1042" s="1">
        <v>46538</v>
      </c>
      <c r="F1042" t="s">
        <v>1988</v>
      </c>
      <c r="G1042" t="s">
        <v>2389</v>
      </c>
      <c r="H1042" t="s">
        <v>2</v>
      </c>
      <c r="I1042" s="1">
        <v>46224</v>
      </c>
      <c r="J1042" t="s">
        <v>2108</v>
      </c>
      <c r="K1042" t="s">
        <v>3049</v>
      </c>
      <c r="L1042" s="1">
        <v>46224.917650462965</v>
      </c>
      <c r="M1042" s="1">
        <v>46224.91962439815</v>
      </c>
    </row>
    <row r="1043" spans="1:13" x14ac:dyDescent="0.35">
      <c r="A1043" t="s">
        <v>254</v>
      </c>
      <c r="B1043" t="s">
        <v>1986</v>
      </c>
      <c r="C1043" t="s">
        <v>2389</v>
      </c>
      <c r="D1043">
        <v>0.5</v>
      </c>
      <c r="E1043" s="1">
        <v>46538</v>
      </c>
      <c r="F1043" t="s">
        <v>1988</v>
      </c>
      <c r="G1043" t="s">
        <v>2389</v>
      </c>
      <c r="H1043" t="s">
        <v>2</v>
      </c>
      <c r="I1043" s="1">
        <v>46224</v>
      </c>
      <c r="J1043" t="s">
        <v>2146</v>
      </c>
      <c r="K1043" t="s">
        <v>3049</v>
      </c>
      <c r="L1043" s="1">
        <v>46224.917650462965</v>
      </c>
      <c r="M1043" s="1">
        <v>46224.91962439815</v>
      </c>
    </row>
    <row r="1044" spans="1:13" x14ac:dyDescent="0.35">
      <c r="A1044" t="s">
        <v>302</v>
      </c>
      <c r="B1044" t="s">
        <v>1986</v>
      </c>
      <c r="C1044" t="s">
        <v>2343</v>
      </c>
      <c r="D1044">
        <v>0.5</v>
      </c>
      <c r="E1044" s="1">
        <v>46568</v>
      </c>
      <c r="F1044" t="s">
        <v>1988</v>
      </c>
      <c r="G1044" t="s">
        <v>2343</v>
      </c>
      <c r="H1044" t="s">
        <v>2</v>
      </c>
      <c r="I1044" s="1">
        <v>46224</v>
      </c>
      <c r="J1044" t="s">
        <v>1989</v>
      </c>
      <c r="K1044" t="s">
        <v>2679</v>
      </c>
      <c r="L1044" s="1">
        <v>46224.918321759258</v>
      </c>
      <c r="M1044" s="1">
        <v>46224.91962439815</v>
      </c>
    </row>
    <row r="1045" spans="1:13" x14ac:dyDescent="0.35">
      <c r="A1045" t="s">
        <v>302</v>
      </c>
      <c r="B1045" t="s">
        <v>1986</v>
      </c>
      <c r="C1045" t="s">
        <v>2343</v>
      </c>
      <c r="D1045">
        <v>0.5</v>
      </c>
      <c r="E1045" s="1">
        <v>46568</v>
      </c>
      <c r="F1045" t="s">
        <v>1988</v>
      </c>
      <c r="G1045" t="s">
        <v>2343</v>
      </c>
      <c r="H1045" t="s">
        <v>2</v>
      </c>
      <c r="I1045" s="1">
        <v>46224</v>
      </c>
      <c r="J1045" t="s">
        <v>2108</v>
      </c>
      <c r="K1045" t="s">
        <v>3471</v>
      </c>
      <c r="L1045" s="1">
        <v>46224.917650462965</v>
      </c>
      <c r="M1045" s="1">
        <v>46224.91962439815</v>
      </c>
    </row>
    <row r="1046" spans="1:13" x14ac:dyDescent="0.35">
      <c r="A1046" t="s">
        <v>302</v>
      </c>
      <c r="B1046" t="s">
        <v>1986</v>
      </c>
      <c r="C1046" t="s">
        <v>2343</v>
      </c>
      <c r="D1046">
        <v>0.5</v>
      </c>
      <c r="E1046" s="1">
        <v>46568</v>
      </c>
      <c r="F1046" t="s">
        <v>1988</v>
      </c>
      <c r="G1046" t="s">
        <v>2343</v>
      </c>
      <c r="H1046" t="s">
        <v>2</v>
      </c>
      <c r="I1046" s="1">
        <v>46224</v>
      </c>
      <c r="J1046" t="s">
        <v>2064</v>
      </c>
      <c r="K1046" t="s">
        <v>3470</v>
      </c>
      <c r="L1046" s="1">
        <v>46224.917650462965</v>
      </c>
      <c r="M1046" s="1">
        <v>46224.91962439815</v>
      </c>
    </row>
    <row r="1047" spans="1:13" x14ac:dyDescent="0.35">
      <c r="A1047" t="s">
        <v>302</v>
      </c>
      <c r="B1047" t="s">
        <v>1986</v>
      </c>
      <c r="C1047" t="s">
        <v>2343</v>
      </c>
      <c r="D1047">
        <v>0.5</v>
      </c>
      <c r="E1047" s="1">
        <v>46568</v>
      </c>
      <c r="F1047" t="s">
        <v>1988</v>
      </c>
      <c r="G1047" t="s">
        <v>2343</v>
      </c>
      <c r="H1047" t="s">
        <v>2</v>
      </c>
      <c r="I1047" s="1">
        <v>46224</v>
      </c>
      <c r="J1047" t="s">
        <v>2146</v>
      </c>
      <c r="K1047" t="s">
        <v>3471</v>
      </c>
      <c r="L1047" s="1">
        <v>46224.917650462965</v>
      </c>
      <c r="M1047" s="1">
        <v>46224.91962439815</v>
      </c>
    </row>
    <row r="1048" spans="1:13" x14ac:dyDescent="0.35">
      <c r="A1048" t="s">
        <v>302</v>
      </c>
      <c r="B1048" t="s">
        <v>1986</v>
      </c>
      <c r="C1048" t="s">
        <v>2343</v>
      </c>
      <c r="D1048">
        <v>0.5</v>
      </c>
      <c r="E1048" s="1">
        <v>46568</v>
      </c>
      <c r="F1048" t="s">
        <v>1988</v>
      </c>
      <c r="G1048" t="s">
        <v>2343</v>
      </c>
      <c r="H1048" t="s">
        <v>2</v>
      </c>
      <c r="I1048" s="1">
        <v>46224</v>
      </c>
      <c r="J1048" t="s">
        <v>2065</v>
      </c>
      <c r="K1048" t="s">
        <v>3470</v>
      </c>
      <c r="L1048" s="1">
        <v>46224.917650462965</v>
      </c>
      <c r="M1048" s="1">
        <v>46224.91962439815</v>
      </c>
    </row>
    <row r="1049" spans="1:13" x14ac:dyDescent="0.35">
      <c r="A1049" t="s">
        <v>302</v>
      </c>
      <c r="B1049" t="s">
        <v>1986</v>
      </c>
      <c r="C1049" t="s">
        <v>2343</v>
      </c>
      <c r="D1049">
        <v>0.5</v>
      </c>
      <c r="E1049" s="1">
        <v>46568</v>
      </c>
      <c r="F1049" t="s">
        <v>1988</v>
      </c>
      <c r="G1049" t="s">
        <v>2343</v>
      </c>
      <c r="H1049" t="s">
        <v>2</v>
      </c>
      <c r="I1049" s="1">
        <v>46224</v>
      </c>
      <c r="J1049" t="s">
        <v>1991</v>
      </c>
      <c r="K1049" t="s">
        <v>3649</v>
      </c>
      <c r="L1049" s="1">
        <v>46224.918321759258</v>
      </c>
      <c r="M1049" s="1">
        <v>46224.91962439815</v>
      </c>
    </row>
    <row r="1050" spans="1:13" x14ac:dyDescent="0.35">
      <c r="A1050" t="s">
        <v>255</v>
      </c>
      <c r="B1050" t="s">
        <v>1986</v>
      </c>
      <c r="C1050" t="s">
        <v>2361</v>
      </c>
      <c r="D1050">
        <v>0.125</v>
      </c>
      <c r="E1050" s="1">
        <v>47679</v>
      </c>
      <c r="F1050" t="s">
        <v>2014</v>
      </c>
      <c r="G1050" t="s">
        <v>2361</v>
      </c>
      <c r="H1050" t="s">
        <v>2</v>
      </c>
      <c r="I1050" s="1">
        <v>46224</v>
      </c>
      <c r="J1050" t="s">
        <v>1989</v>
      </c>
      <c r="K1050" t="s">
        <v>3472</v>
      </c>
      <c r="L1050" s="1">
        <v>46224.918321759258</v>
      </c>
      <c r="M1050" s="1">
        <v>46224.91962439815</v>
      </c>
    </row>
    <row r="1051" spans="1:13" x14ac:dyDescent="0.35">
      <c r="A1051" t="s">
        <v>255</v>
      </c>
      <c r="B1051" t="s">
        <v>1986</v>
      </c>
      <c r="C1051" t="s">
        <v>2361</v>
      </c>
      <c r="D1051">
        <v>0.125</v>
      </c>
      <c r="E1051" s="1">
        <v>47679</v>
      </c>
      <c r="F1051" t="s">
        <v>2014</v>
      </c>
      <c r="G1051" t="s">
        <v>2361</v>
      </c>
      <c r="H1051" t="s">
        <v>2</v>
      </c>
      <c r="I1051" s="1">
        <v>46224</v>
      </c>
      <c r="J1051" t="s">
        <v>1991</v>
      </c>
      <c r="K1051" t="s">
        <v>3650</v>
      </c>
      <c r="L1051" s="1">
        <v>46224.918321759258</v>
      </c>
      <c r="M1051" s="1">
        <v>46224.91962439815</v>
      </c>
    </row>
    <row r="1052" spans="1:13" x14ac:dyDescent="0.35">
      <c r="A1052" t="s">
        <v>256</v>
      </c>
      <c r="B1052" t="s">
        <v>1986</v>
      </c>
      <c r="C1052" t="s">
        <v>2390</v>
      </c>
      <c r="D1052">
        <v>0.375</v>
      </c>
      <c r="E1052" s="1">
        <v>46599</v>
      </c>
      <c r="F1052" t="s">
        <v>1988</v>
      </c>
      <c r="G1052" t="s">
        <v>2390</v>
      </c>
      <c r="H1052" t="s">
        <v>2</v>
      </c>
      <c r="I1052" s="1">
        <v>46224</v>
      </c>
      <c r="J1052" t="s">
        <v>1991</v>
      </c>
      <c r="K1052" t="s">
        <v>3748</v>
      </c>
      <c r="L1052" s="1">
        <v>46224.918321759258</v>
      </c>
      <c r="M1052" s="1">
        <v>46224.91962439815</v>
      </c>
    </row>
    <row r="1053" spans="1:13" x14ac:dyDescent="0.35">
      <c r="A1053" t="s">
        <v>256</v>
      </c>
      <c r="B1053" t="s">
        <v>1986</v>
      </c>
      <c r="C1053" t="s">
        <v>2390</v>
      </c>
      <c r="D1053">
        <v>0.375</v>
      </c>
      <c r="E1053" s="1">
        <v>46599</v>
      </c>
      <c r="F1053" t="s">
        <v>1988</v>
      </c>
      <c r="G1053" t="s">
        <v>2390</v>
      </c>
      <c r="H1053" t="s">
        <v>2</v>
      </c>
      <c r="I1053" s="1">
        <v>46224</v>
      </c>
      <c r="J1053" t="s">
        <v>2146</v>
      </c>
      <c r="K1053" t="s">
        <v>2889</v>
      </c>
      <c r="L1053" s="1">
        <v>46224.917650462965</v>
      </c>
      <c r="M1053" s="1">
        <v>46224.91962439815</v>
      </c>
    </row>
    <row r="1054" spans="1:13" x14ac:dyDescent="0.35">
      <c r="A1054" t="s">
        <v>256</v>
      </c>
      <c r="B1054" t="s">
        <v>1986</v>
      </c>
      <c r="C1054" t="s">
        <v>2390</v>
      </c>
      <c r="D1054">
        <v>0.375</v>
      </c>
      <c r="E1054" s="1">
        <v>46599</v>
      </c>
      <c r="F1054" t="s">
        <v>1988</v>
      </c>
      <c r="G1054" t="s">
        <v>2390</v>
      </c>
      <c r="H1054" t="s">
        <v>2</v>
      </c>
      <c r="I1054" s="1">
        <v>46224</v>
      </c>
      <c r="J1054" t="s">
        <v>2064</v>
      </c>
      <c r="K1054" t="s">
        <v>2470</v>
      </c>
      <c r="L1054" s="1">
        <v>46224.917650462965</v>
      </c>
      <c r="M1054" s="1">
        <v>46224.91962439815</v>
      </c>
    </row>
    <row r="1055" spans="1:13" x14ac:dyDescent="0.35">
      <c r="A1055" t="s">
        <v>256</v>
      </c>
      <c r="B1055" t="s">
        <v>1986</v>
      </c>
      <c r="C1055" t="s">
        <v>2390</v>
      </c>
      <c r="D1055">
        <v>0.375</v>
      </c>
      <c r="E1055" s="1">
        <v>46599</v>
      </c>
      <c r="F1055" t="s">
        <v>1988</v>
      </c>
      <c r="G1055" t="s">
        <v>2390</v>
      </c>
      <c r="H1055" t="s">
        <v>2</v>
      </c>
      <c r="I1055" s="1">
        <v>46224</v>
      </c>
      <c r="J1055" t="s">
        <v>2108</v>
      </c>
      <c r="K1055" t="s">
        <v>2889</v>
      </c>
      <c r="L1055" s="1">
        <v>46224.917650462965</v>
      </c>
      <c r="M1055" s="1">
        <v>46224.91962439815</v>
      </c>
    </row>
    <row r="1056" spans="1:13" x14ac:dyDescent="0.35">
      <c r="A1056" t="s">
        <v>256</v>
      </c>
      <c r="B1056" t="s">
        <v>1986</v>
      </c>
      <c r="C1056" t="s">
        <v>2390</v>
      </c>
      <c r="D1056">
        <v>0.375</v>
      </c>
      <c r="E1056" s="1">
        <v>46599</v>
      </c>
      <c r="F1056" t="s">
        <v>1988</v>
      </c>
      <c r="G1056" t="s">
        <v>2390</v>
      </c>
      <c r="H1056" t="s">
        <v>2</v>
      </c>
      <c r="I1056" s="1">
        <v>46224</v>
      </c>
      <c r="J1056" t="s">
        <v>1989</v>
      </c>
      <c r="K1056" t="s">
        <v>4127</v>
      </c>
      <c r="L1056" s="1">
        <v>46224.918321759258</v>
      </c>
      <c r="M1056" s="1">
        <v>46224.91962439815</v>
      </c>
    </row>
    <row r="1057" spans="1:13" x14ac:dyDescent="0.35">
      <c r="A1057" t="s">
        <v>256</v>
      </c>
      <c r="B1057" t="s">
        <v>1986</v>
      </c>
      <c r="C1057" t="s">
        <v>2390</v>
      </c>
      <c r="D1057">
        <v>0.375</v>
      </c>
      <c r="E1057" s="1">
        <v>46599</v>
      </c>
      <c r="F1057" t="s">
        <v>1988</v>
      </c>
      <c r="G1057" t="s">
        <v>2390</v>
      </c>
      <c r="H1057" t="s">
        <v>2</v>
      </c>
      <c r="I1057" s="1">
        <v>46224</v>
      </c>
      <c r="J1057" t="s">
        <v>2065</v>
      </c>
      <c r="K1057" t="s">
        <v>2470</v>
      </c>
      <c r="L1057" s="1">
        <v>46224.917650462965</v>
      </c>
      <c r="M1057" s="1">
        <v>46224.91962439815</v>
      </c>
    </row>
    <row r="1058" spans="1:13" x14ac:dyDescent="0.35">
      <c r="A1058" t="s">
        <v>257</v>
      </c>
      <c r="B1058" t="s">
        <v>1986</v>
      </c>
      <c r="C1058" t="s">
        <v>2362</v>
      </c>
      <c r="D1058">
        <v>0.625</v>
      </c>
      <c r="E1058" s="1">
        <v>47710</v>
      </c>
      <c r="F1058" t="s">
        <v>1988</v>
      </c>
      <c r="G1058" t="s">
        <v>2362</v>
      </c>
      <c r="H1058" t="s">
        <v>2</v>
      </c>
      <c r="I1058" s="1">
        <v>46224</v>
      </c>
      <c r="J1058" t="s">
        <v>2065</v>
      </c>
      <c r="K1058" t="s">
        <v>2650</v>
      </c>
      <c r="L1058" s="1">
        <v>46224.917650462965</v>
      </c>
      <c r="M1058" s="1">
        <v>46224.91962439815</v>
      </c>
    </row>
    <row r="1059" spans="1:13" x14ac:dyDescent="0.35">
      <c r="A1059" t="s">
        <v>257</v>
      </c>
      <c r="B1059" t="s">
        <v>1986</v>
      </c>
      <c r="C1059" t="s">
        <v>2362</v>
      </c>
      <c r="D1059">
        <v>0.625</v>
      </c>
      <c r="E1059" s="1">
        <v>47710</v>
      </c>
      <c r="F1059" t="s">
        <v>1988</v>
      </c>
      <c r="G1059" t="s">
        <v>2362</v>
      </c>
      <c r="H1059" t="s">
        <v>2</v>
      </c>
      <c r="I1059" s="1">
        <v>46224</v>
      </c>
      <c r="J1059" t="s">
        <v>1991</v>
      </c>
      <c r="K1059" t="s">
        <v>2976</v>
      </c>
      <c r="L1059" s="1">
        <v>46224.918321759258</v>
      </c>
      <c r="M1059" s="1">
        <v>46224.91962439815</v>
      </c>
    </row>
    <row r="1060" spans="1:13" x14ac:dyDescent="0.35">
      <c r="A1060" t="s">
        <v>257</v>
      </c>
      <c r="B1060" t="s">
        <v>1986</v>
      </c>
      <c r="C1060" t="s">
        <v>2362</v>
      </c>
      <c r="D1060">
        <v>0.625</v>
      </c>
      <c r="E1060" s="1">
        <v>47710</v>
      </c>
      <c r="F1060" t="s">
        <v>1988</v>
      </c>
      <c r="G1060" t="s">
        <v>2362</v>
      </c>
      <c r="H1060" t="s">
        <v>2</v>
      </c>
      <c r="I1060" s="1">
        <v>46224</v>
      </c>
      <c r="J1060" t="s">
        <v>2064</v>
      </c>
      <c r="K1060" t="s">
        <v>2650</v>
      </c>
      <c r="L1060" s="1">
        <v>46224.917650462965</v>
      </c>
      <c r="M1060" s="1">
        <v>46224.91962439815</v>
      </c>
    </row>
    <row r="1061" spans="1:13" x14ac:dyDescent="0.35">
      <c r="A1061" t="s">
        <v>257</v>
      </c>
      <c r="B1061" t="s">
        <v>1986</v>
      </c>
      <c r="C1061" t="s">
        <v>2362</v>
      </c>
      <c r="D1061">
        <v>0.625</v>
      </c>
      <c r="E1061" s="1">
        <v>47710</v>
      </c>
      <c r="F1061" t="s">
        <v>1988</v>
      </c>
      <c r="G1061" t="s">
        <v>2362</v>
      </c>
      <c r="H1061" t="s">
        <v>2</v>
      </c>
      <c r="I1061" s="1">
        <v>46224</v>
      </c>
      <c r="J1061" t="s">
        <v>1989</v>
      </c>
      <c r="K1061" t="s">
        <v>4012</v>
      </c>
      <c r="L1061" s="1">
        <v>46224.918321759258</v>
      </c>
      <c r="M1061" s="1">
        <v>46224.91962439815</v>
      </c>
    </row>
    <row r="1062" spans="1:13" x14ac:dyDescent="0.35">
      <c r="A1062" t="s">
        <v>257</v>
      </c>
      <c r="B1062" t="s">
        <v>1986</v>
      </c>
      <c r="C1062" t="s">
        <v>2362</v>
      </c>
      <c r="D1062">
        <v>0.625</v>
      </c>
      <c r="E1062" s="1">
        <v>47710</v>
      </c>
      <c r="F1062" t="s">
        <v>1988</v>
      </c>
      <c r="G1062" t="s">
        <v>2362</v>
      </c>
      <c r="H1062" t="s">
        <v>2</v>
      </c>
      <c r="I1062" s="1">
        <v>46224</v>
      </c>
      <c r="J1062" t="s">
        <v>2146</v>
      </c>
      <c r="K1062" t="s">
        <v>2931</v>
      </c>
      <c r="L1062" s="1">
        <v>46224.917650462965</v>
      </c>
      <c r="M1062" s="1">
        <v>46224.91962439815</v>
      </c>
    </row>
    <row r="1063" spans="1:13" x14ac:dyDescent="0.35">
      <c r="A1063" t="s">
        <v>257</v>
      </c>
      <c r="B1063" t="s">
        <v>1986</v>
      </c>
      <c r="C1063" t="s">
        <v>2362</v>
      </c>
      <c r="D1063">
        <v>0.625</v>
      </c>
      <c r="E1063" s="1">
        <v>47710</v>
      </c>
      <c r="F1063" t="s">
        <v>1988</v>
      </c>
      <c r="G1063" t="s">
        <v>2362</v>
      </c>
      <c r="H1063" t="s">
        <v>2</v>
      </c>
      <c r="I1063" s="1">
        <v>46224</v>
      </c>
      <c r="J1063" t="s">
        <v>2108</v>
      </c>
      <c r="K1063" t="s">
        <v>2931</v>
      </c>
      <c r="L1063" s="1">
        <v>46224.917650462965</v>
      </c>
      <c r="M1063" s="1">
        <v>46224.91962439815</v>
      </c>
    </row>
    <row r="1064" spans="1:13" x14ac:dyDescent="0.35">
      <c r="A1064" t="s">
        <v>277</v>
      </c>
      <c r="B1064" t="s">
        <v>1986</v>
      </c>
      <c r="C1064" t="s">
        <v>2364</v>
      </c>
      <c r="D1064">
        <v>0.5</v>
      </c>
      <c r="E1064" s="1">
        <v>46630</v>
      </c>
      <c r="F1064" t="s">
        <v>1988</v>
      </c>
      <c r="G1064" t="s">
        <v>2364</v>
      </c>
      <c r="H1064" t="s">
        <v>2</v>
      </c>
      <c r="I1064" s="1">
        <v>46224</v>
      </c>
      <c r="J1064" t="s">
        <v>1991</v>
      </c>
      <c r="K1064" t="s">
        <v>3473</v>
      </c>
      <c r="L1064" s="1">
        <v>46224.918321759258</v>
      </c>
      <c r="M1064" s="1">
        <v>46224.91962439815</v>
      </c>
    </row>
    <row r="1065" spans="1:13" x14ac:dyDescent="0.35">
      <c r="A1065" t="s">
        <v>277</v>
      </c>
      <c r="B1065" t="s">
        <v>1986</v>
      </c>
      <c r="C1065" t="s">
        <v>2364</v>
      </c>
      <c r="D1065">
        <v>0.5</v>
      </c>
      <c r="E1065" s="1">
        <v>46630</v>
      </c>
      <c r="F1065" t="s">
        <v>1988</v>
      </c>
      <c r="G1065" t="s">
        <v>2364</v>
      </c>
      <c r="H1065" t="s">
        <v>2</v>
      </c>
      <c r="I1065" s="1">
        <v>46224</v>
      </c>
      <c r="J1065" t="s">
        <v>2064</v>
      </c>
      <c r="K1065" t="s">
        <v>3599</v>
      </c>
      <c r="L1065" s="1">
        <v>46224.917650462965</v>
      </c>
      <c r="M1065" s="1">
        <v>46224.91962439815</v>
      </c>
    </row>
    <row r="1066" spans="1:13" x14ac:dyDescent="0.35">
      <c r="A1066" t="s">
        <v>277</v>
      </c>
      <c r="B1066" t="s">
        <v>1986</v>
      </c>
      <c r="C1066" t="s">
        <v>2364</v>
      </c>
      <c r="D1066">
        <v>0.5</v>
      </c>
      <c r="E1066" s="1">
        <v>46630</v>
      </c>
      <c r="F1066" t="s">
        <v>1988</v>
      </c>
      <c r="G1066" t="s">
        <v>2364</v>
      </c>
      <c r="H1066" t="s">
        <v>2</v>
      </c>
      <c r="I1066" s="1">
        <v>46224</v>
      </c>
      <c r="J1066" t="s">
        <v>2146</v>
      </c>
      <c r="K1066" t="s">
        <v>3600</v>
      </c>
      <c r="L1066" s="1">
        <v>46224.917650462965</v>
      </c>
      <c r="M1066" s="1">
        <v>46224.91962439815</v>
      </c>
    </row>
    <row r="1067" spans="1:13" x14ac:dyDescent="0.35">
      <c r="A1067" t="s">
        <v>277</v>
      </c>
      <c r="B1067" t="s">
        <v>1986</v>
      </c>
      <c r="C1067" t="s">
        <v>2364</v>
      </c>
      <c r="D1067">
        <v>0.5</v>
      </c>
      <c r="E1067" s="1">
        <v>46630</v>
      </c>
      <c r="F1067" t="s">
        <v>1988</v>
      </c>
      <c r="G1067" t="s">
        <v>2364</v>
      </c>
      <c r="H1067" t="s">
        <v>2</v>
      </c>
      <c r="I1067" s="1">
        <v>46224</v>
      </c>
      <c r="J1067" t="s">
        <v>2065</v>
      </c>
      <c r="K1067" t="s">
        <v>3599</v>
      </c>
      <c r="L1067" s="1">
        <v>46224.917650462965</v>
      </c>
      <c r="M1067" s="1">
        <v>46224.91962439815</v>
      </c>
    </row>
    <row r="1068" spans="1:13" x14ac:dyDescent="0.35">
      <c r="A1068" t="s">
        <v>277</v>
      </c>
      <c r="B1068" t="s">
        <v>1986</v>
      </c>
      <c r="C1068" t="s">
        <v>2364</v>
      </c>
      <c r="D1068">
        <v>0.5</v>
      </c>
      <c r="E1068" s="1">
        <v>46630</v>
      </c>
      <c r="F1068" t="s">
        <v>1988</v>
      </c>
      <c r="G1068" t="s">
        <v>2364</v>
      </c>
      <c r="H1068" t="s">
        <v>2</v>
      </c>
      <c r="I1068" s="1">
        <v>46224</v>
      </c>
      <c r="J1068" t="s">
        <v>1989</v>
      </c>
      <c r="K1068" t="s">
        <v>3800</v>
      </c>
      <c r="L1068" s="1">
        <v>46224.918321759258</v>
      </c>
      <c r="M1068" s="1">
        <v>46224.91962439815</v>
      </c>
    </row>
    <row r="1069" spans="1:13" x14ac:dyDescent="0.35">
      <c r="A1069" t="s">
        <v>277</v>
      </c>
      <c r="B1069" t="s">
        <v>1986</v>
      </c>
      <c r="C1069" t="s">
        <v>2364</v>
      </c>
      <c r="D1069">
        <v>0.5</v>
      </c>
      <c r="E1069" s="1">
        <v>46630</v>
      </c>
      <c r="F1069" t="s">
        <v>1988</v>
      </c>
      <c r="G1069" t="s">
        <v>2364</v>
      </c>
      <c r="H1069" t="s">
        <v>2</v>
      </c>
      <c r="I1069" s="1">
        <v>46224</v>
      </c>
      <c r="J1069" t="s">
        <v>2108</v>
      </c>
      <c r="K1069" t="s">
        <v>3600</v>
      </c>
      <c r="L1069" s="1">
        <v>46224.917650462965</v>
      </c>
      <c r="M1069" s="1">
        <v>46224.91962439815</v>
      </c>
    </row>
    <row r="1070" spans="1:13" x14ac:dyDescent="0.35">
      <c r="A1070" t="s">
        <v>258</v>
      </c>
      <c r="B1070" t="s">
        <v>1986</v>
      </c>
      <c r="C1070" t="s">
        <v>2397</v>
      </c>
      <c r="D1070">
        <v>0.375</v>
      </c>
      <c r="E1070" s="1">
        <v>46660</v>
      </c>
      <c r="F1070" t="s">
        <v>1988</v>
      </c>
      <c r="G1070" t="s">
        <v>2397</v>
      </c>
      <c r="H1070" t="s">
        <v>2</v>
      </c>
      <c r="I1070" s="1">
        <v>46224</v>
      </c>
      <c r="J1070" t="s">
        <v>2064</v>
      </c>
      <c r="K1070" t="s">
        <v>3667</v>
      </c>
      <c r="L1070" s="1">
        <v>46224.917650462965</v>
      </c>
      <c r="M1070" s="1">
        <v>46224.91962439815</v>
      </c>
    </row>
    <row r="1071" spans="1:13" x14ac:dyDescent="0.35">
      <c r="A1071" t="s">
        <v>258</v>
      </c>
      <c r="B1071" t="s">
        <v>1986</v>
      </c>
      <c r="C1071" t="s">
        <v>2397</v>
      </c>
      <c r="D1071">
        <v>0.375</v>
      </c>
      <c r="E1071" s="1">
        <v>46660</v>
      </c>
      <c r="F1071" t="s">
        <v>1988</v>
      </c>
      <c r="G1071" t="s">
        <v>2397</v>
      </c>
      <c r="H1071" t="s">
        <v>2</v>
      </c>
      <c r="I1071" s="1">
        <v>46224</v>
      </c>
      <c r="J1071" t="s">
        <v>2146</v>
      </c>
      <c r="K1071" t="s">
        <v>3453</v>
      </c>
      <c r="L1071" s="1">
        <v>46224.917650462965</v>
      </c>
      <c r="M1071" s="1">
        <v>46224.91962439815</v>
      </c>
    </row>
    <row r="1072" spans="1:13" x14ac:dyDescent="0.35">
      <c r="A1072" t="s">
        <v>258</v>
      </c>
      <c r="B1072" t="s">
        <v>1986</v>
      </c>
      <c r="C1072" t="s">
        <v>2397</v>
      </c>
      <c r="D1072">
        <v>0.375</v>
      </c>
      <c r="E1072" s="1">
        <v>46660</v>
      </c>
      <c r="F1072" t="s">
        <v>1988</v>
      </c>
      <c r="G1072" t="s">
        <v>2397</v>
      </c>
      <c r="H1072" t="s">
        <v>2</v>
      </c>
      <c r="I1072" s="1">
        <v>46224</v>
      </c>
      <c r="J1072" t="s">
        <v>1991</v>
      </c>
      <c r="K1072" t="s">
        <v>4128</v>
      </c>
      <c r="L1072" s="1">
        <v>46224.918321759258</v>
      </c>
      <c r="M1072" s="1">
        <v>46224.91962439815</v>
      </c>
    </row>
    <row r="1073" spans="1:13" x14ac:dyDescent="0.35">
      <c r="A1073" t="s">
        <v>258</v>
      </c>
      <c r="B1073" t="s">
        <v>1986</v>
      </c>
      <c r="C1073" t="s">
        <v>2397</v>
      </c>
      <c r="D1073">
        <v>0.375</v>
      </c>
      <c r="E1073" s="1">
        <v>46660</v>
      </c>
      <c r="F1073" t="s">
        <v>1988</v>
      </c>
      <c r="G1073" t="s">
        <v>2397</v>
      </c>
      <c r="H1073" t="s">
        <v>2</v>
      </c>
      <c r="I1073" s="1">
        <v>46224</v>
      </c>
      <c r="J1073" t="s">
        <v>2065</v>
      </c>
      <c r="K1073" t="s">
        <v>3667</v>
      </c>
      <c r="L1073" s="1">
        <v>46224.917650462965</v>
      </c>
      <c r="M1073" s="1">
        <v>46224.91962439815</v>
      </c>
    </row>
    <row r="1074" spans="1:13" x14ac:dyDescent="0.35">
      <c r="A1074" t="s">
        <v>258</v>
      </c>
      <c r="B1074" t="s">
        <v>1986</v>
      </c>
      <c r="C1074" t="s">
        <v>2397</v>
      </c>
      <c r="D1074">
        <v>0.375</v>
      </c>
      <c r="E1074" s="1">
        <v>46660</v>
      </c>
      <c r="F1074" t="s">
        <v>1988</v>
      </c>
      <c r="G1074" t="s">
        <v>2397</v>
      </c>
      <c r="H1074" t="s">
        <v>2</v>
      </c>
      <c r="I1074" s="1">
        <v>46224</v>
      </c>
      <c r="J1074" t="s">
        <v>2108</v>
      </c>
      <c r="K1074" t="s">
        <v>3453</v>
      </c>
      <c r="L1074" s="1">
        <v>46224.917650462965</v>
      </c>
      <c r="M1074" s="1">
        <v>46224.91962439815</v>
      </c>
    </row>
    <row r="1075" spans="1:13" x14ac:dyDescent="0.35">
      <c r="A1075" t="s">
        <v>258</v>
      </c>
      <c r="B1075" t="s">
        <v>1986</v>
      </c>
      <c r="C1075" t="s">
        <v>2397</v>
      </c>
      <c r="D1075">
        <v>0.375</v>
      </c>
      <c r="E1075" s="1">
        <v>46660</v>
      </c>
      <c r="F1075" t="s">
        <v>1988</v>
      </c>
      <c r="G1075" t="s">
        <v>2397</v>
      </c>
      <c r="H1075" t="s">
        <v>2</v>
      </c>
      <c r="I1075" s="1">
        <v>46224</v>
      </c>
      <c r="J1075" t="s">
        <v>1989</v>
      </c>
      <c r="K1075" t="s">
        <v>3801</v>
      </c>
      <c r="L1075" s="1">
        <v>46224.918321759258</v>
      </c>
      <c r="M1075" s="1">
        <v>46224.91962439815</v>
      </c>
    </row>
    <row r="1076" spans="1:13" x14ac:dyDescent="0.35">
      <c r="A1076" t="s">
        <v>303</v>
      </c>
      <c r="B1076" t="s">
        <v>1986</v>
      </c>
      <c r="C1076" t="s">
        <v>2365</v>
      </c>
      <c r="D1076">
        <v>0.5</v>
      </c>
      <c r="E1076" s="1">
        <v>46691</v>
      </c>
      <c r="F1076" t="s">
        <v>1988</v>
      </c>
      <c r="G1076" t="s">
        <v>2365</v>
      </c>
      <c r="H1076" t="s">
        <v>2</v>
      </c>
      <c r="I1076" s="1">
        <v>46224</v>
      </c>
      <c r="J1076" t="s">
        <v>1991</v>
      </c>
      <c r="K1076" t="s">
        <v>3749</v>
      </c>
      <c r="L1076" s="1">
        <v>46224.918321759258</v>
      </c>
      <c r="M1076" s="1">
        <v>46224.91962439815</v>
      </c>
    </row>
    <row r="1077" spans="1:13" x14ac:dyDescent="0.35">
      <c r="A1077" t="s">
        <v>303</v>
      </c>
      <c r="B1077" t="s">
        <v>1986</v>
      </c>
      <c r="C1077" t="s">
        <v>2365</v>
      </c>
      <c r="D1077">
        <v>0.5</v>
      </c>
      <c r="E1077" s="1">
        <v>46691</v>
      </c>
      <c r="F1077" t="s">
        <v>1988</v>
      </c>
      <c r="G1077" t="s">
        <v>2365</v>
      </c>
      <c r="H1077" t="s">
        <v>2</v>
      </c>
      <c r="I1077" s="1">
        <v>46224</v>
      </c>
      <c r="J1077" t="s">
        <v>2064</v>
      </c>
      <c r="K1077" t="s">
        <v>3474</v>
      </c>
      <c r="L1077" s="1">
        <v>46224.917650462965</v>
      </c>
      <c r="M1077" s="1">
        <v>46224.91962439815</v>
      </c>
    </row>
    <row r="1078" spans="1:13" x14ac:dyDescent="0.35">
      <c r="A1078" t="s">
        <v>303</v>
      </c>
      <c r="B1078" t="s">
        <v>1986</v>
      </c>
      <c r="C1078" t="s">
        <v>2365</v>
      </c>
      <c r="D1078">
        <v>0.5</v>
      </c>
      <c r="E1078" s="1">
        <v>46691</v>
      </c>
      <c r="F1078" t="s">
        <v>1988</v>
      </c>
      <c r="G1078" t="s">
        <v>2365</v>
      </c>
      <c r="H1078" t="s">
        <v>2</v>
      </c>
      <c r="I1078" s="1">
        <v>46224</v>
      </c>
      <c r="J1078" t="s">
        <v>2108</v>
      </c>
      <c r="K1078" t="s">
        <v>3454</v>
      </c>
      <c r="L1078" s="1">
        <v>46224.917650462965</v>
      </c>
      <c r="M1078" s="1">
        <v>46224.91962439815</v>
      </c>
    </row>
    <row r="1079" spans="1:13" x14ac:dyDescent="0.35">
      <c r="A1079" t="s">
        <v>303</v>
      </c>
      <c r="B1079" t="s">
        <v>1986</v>
      </c>
      <c r="C1079" t="s">
        <v>2365</v>
      </c>
      <c r="D1079">
        <v>0.5</v>
      </c>
      <c r="E1079" s="1">
        <v>46691</v>
      </c>
      <c r="F1079" t="s">
        <v>1988</v>
      </c>
      <c r="G1079" t="s">
        <v>2365</v>
      </c>
      <c r="H1079" t="s">
        <v>2</v>
      </c>
      <c r="I1079" s="1">
        <v>46224</v>
      </c>
      <c r="J1079" t="s">
        <v>1989</v>
      </c>
      <c r="K1079" t="s">
        <v>3566</v>
      </c>
      <c r="L1079" s="1">
        <v>46224.918321759258</v>
      </c>
      <c r="M1079" s="1">
        <v>46224.91962439815</v>
      </c>
    </row>
    <row r="1080" spans="1:13" x14ac:dyDescent="0.35">
      <c r="A1080" t="s">
        <v>303</v>
      </c>
      <c r="B1080" t="s">
        <v>1986</v>
      </c>
      <c r="C1080" t="s">
        <v>2365</v>
      </c>
      <c r="D1080">
        <v>0.5</v>
      </c>
      <c r="E1080" s="1">
        <v>46691</v>
      </c>
      <c r="F1080" t="s">
        <v>1988</v>
      </c>
      <c r="G1080" t="s">
        <v>2365</v>
      </c>
      <c r="H1080" t="s">
        <v>2</v>
      </c>
      <c r="I1080" s="1">
        <v>46224</v>
      </c>
      <c r="J1080" t="s">
        <v>2146</v>
      </c>
      <c r="K1080" t="s">
        <v>3454</v>
      </c>
      <c r="L1080" s="1">
        <v>46224.917650462965</v>
      </c>
      <c r="M1080" s="1">
        <v>46224.91962439815</v>
      </c>
    </row>
    <row r="1081" spans="1:13" x14ac:dyDescent="0.35">
      <c r="A1081" t="s">
        <v>303</v>
      </c>
      <c r="B1081" t="s">
        <v>1986</v>
      </c>
      <c r="C1081" t="s">
        <v>2365</v>
      </c>
      <c r="D1081">
        <v>0.5</v>
      </c>
      <c r="E1081" s="1">
        <v>46691</v>
      </c>
      <c r="F1081" t="s">
        <v>1988</v>
      </c>
      <c r="G1081" t="s">
        <v>2365</v>
      </c>
      <c r="H1081" t="s">
        <v>2</v>
      </c>
      <c r="I1081" s="1">
        <v>46224</v>
      </c>
      <c r="J1081" t="s">
        <v>2065</v>
      </c>
      <c r="K1081" t="s">
        <v>3474</v>
      </c>
      <c r="L1081" s="1">
        <v>46224.917650462965</v>
      </c>
      <c r="M1081" s="1">
        <v>46224.91962439815</v>
      </c>
    </row>
    <row r="1082" spans="1:13" x14ac:dyDescent="0.35">
      <c r="A1082" t="s">
        <v>304</v>
      </c>
      <c r="B1082" t="s">
        <v>1986</v>
      </c>
      <c r="C1082" t="s">
        <v>2391</v>
      </c>
      <c r="D1082">
        <v>0.875</v>
      </c>
      <c r="E1082" s="1">
        <v>47802</v>
      </c>
      <c r="F1082" t="s">
        <v>1988</v>
      </c>
      <c r="G1082" t="s">
        <v>2391</v>
      </c>
      <c r="H1082" t="s">
        <v>2</v>
      </c>
      <c r="I1082" s="1">
        <v>46224</v>
      </c>
      <c r="J1082" t="s">
        <v>2065</v>
      </c>
      <c r="K1082" t="s">
        <v>2497</v>
      </c>
      <c r="L1082" s="1">
        <v>46224.917650462965</v>
      </c>
      <c r="M1082" s="1">
        <v>46224.91962439815</v>
      </c>
    </row>
    <row r="1083" spans="1:13" x14ac:dyDescent="0.35">
      <c r="A1083" t="s">
        <v>304</v>
      </c>
      <c r="B1083" t="s">
        <v>1986</v>
      </c>
      <c r="C1083" t="s">
        <v>2391</v>
      </c>
      <c r="D1083">
        <v>0.875</v>
      </c>
      <c r="E1083" s="1">
        <v>47802</v>
      </c>
      <c r="F1083" t="s">
        <v>1988</v>
      </c>
      <c r="G1083" t="s">
        <v>2391</v>
      </c>
      <c r="H1083" t="s">
        <v>2</v>
      </c>
      <c r="I1083" s="1">
        <v>46224</v>
      </c>
      <c r="J1083" t="s">
        <v>1989</v>
      </c>
      <c r="K1083" t="s">
        <v>3567</v>
      </c>
      <c r="L1083" s="1">
        <v>46224.918321759258</v>
      </c>
      <c r="M1083" s="1">
        <v>46224.91962439815</v>
      </c>
    </row>
    <row r="1084" spans="1:13" x14ac:dyDescent="0.35">
      <c r="A1084" t="s">
        <v>304</v>
      </c>
      <c r="B1084" t="s">
        <v>1986</v>
      </c>
      <c r="C1084" t="s">
        <v>2391</v>
      </c>
      <c r="D1084">
        <v>0.875</v>
      </c>
      <c r="E1084" s="1">
        <v>47802</v>
      </c>
      <c r="F1084" t="s">
        <v>1988</v>
      </c>
      <c r="G1084" t="s">
        <v>2391</v>
      </c>
      <c r="H1084" t="s">
        <v>2</v>
      </c>
      <c r="I1084" s="1">
        <v>46224</v>
      </c>
      <c r="J1084" t="s">
        <v>2146</v>
      </c>
      <c r="K1084" t="s">
        <v>2328</v>
      </c>
      <c r="L1084" s="1">
        <v>46224.917650462965</v>
      </c>
      <c r="M1084" s="1">
        <v>46224.91962439815</v>
      </c>
    </row>
    <row r="1085" spans="1:13" x14ac:dyDescent="0.35">
      <c r="A1085" t="s">
        <v>304</v>
      </c>
      <c r="B1085" t="s">
        <v>1986</v>
      </c>
      <c r="C1085" t="s">
        <v>2391</v>
      </c>
      <c r="D1085">
        <v>0.875</v>
      </c>
      <c r="E1085" s="1">
        <v>47802</v>
      </c>
      <c r="F1085" t="s">
        <v>1988</v>
      </c>
      <c r="G1085" t="s">
        <v>2391</v>
      </c>
      <c r="H1085" t="s">
        <v>2</v>
      </c>
      <c r="I1085" s="1">
        <v>46224</v>
      </c>
      <c r="J1085" t="s">
        <v>2064</v>
      </c>
      <c r="K1085" t="s">
        <v>2497</v>
      </c>
      <c r="L1085" s="1">
        <v>46224.917650462965</v>
      </c>
      <c r="M1085" s="1">
        <v>46224.91962439815</v>
      </c>
    </row>
    <row r="1086" spans="1:13" x14ac:dyDescent="0.35">
      <c r="A1086" t="s">
        <v>304</v>
      </c>
      <c r="B1086" t="s">
        <v>1986</v>
      </c>
      <c r="C1086" t="s">
        <v>2391</v>
      </c>
      <c r="D1086">
        <v>0.875</v>
      </c>
      <c r="E1086" s="1">
        <v>47802</v>
      </c>
      <c r="F1086" t="s">
        <v>1988</v>
      </c>
      <c r="G1086" t="s">
        <v>2391</v>
      </c>
      <c r="H1086" t="s">
        <v>2</v>
      </c>
      <c r="I1086" s="1">
        <v>46224</v>
      </c>
      <c r="J1086" t="s">
        <v>1991</v>
      </c>
      <c r="K1086" t="s">
        <v>4013</v>
      </c>
      <c r="L1086" s="1">
        <v>46224.918321759258</v>
      </c>
      <c r="M1086" s="1">
        <v>46224.91962439815</v>
      </c>
    </row>
    <row r="1087" spans="1:13" x14ac:dyDescent="0.35">
      <c r="A1087" t="s">
        <v>304</v>
      </c>
      <c r="B1087" t="s">
        <v>1986</v>
      </c>
      <c r="C1087" t="s">
        <v>2391</v>
      </c>
      <c r="D1087">
        <v>0.875</v>
      </c>
      <c r="E1087" s="1">
        <v>47802</v>
      </c>
      <c r="F1087" t="s">
        <v>1988</v>
      </c>
      <c r="G1087" t="s">
        <v>2391</v>
      </c>
      <c r="H1087" t="s">
        <v>2</v>
      </c>
      <c r="I1087" s="1">
        <v>46224</v>
      </c>
      <c r="J1087" t="s">
        <v>2108</v>
      </c>
      <c r="K1087" t="s">
        <v>2328</v>
      </c>
      <c r="L1087" s="1">
        <v>46224.917650462965</v>
      </c>
      <c r="M1087" s="1">
        <v>46224.91962439815</v>
      </c>
    </row>
    <row r="1088" spans="1:13" x14ac:dyDescent="0.35">
      <c r="A1088" t="s">
        <v>278</v>
      </c>
      <c r="B1088" t="s">
        <v>1986</v>
      </c>
      <c r="C1088" t="s">
        <v>2366</v>
      </c>
      <c r="D1088">
        <v>0.625</v>
      </c>
      <c r="E1088" s="1">
        <v>46721</v>
      </c>
      <c r="F1088" t="s">
        <v>1988</v>
      </c>
      <c r="G1088" t="s">
        <v>2366</v>
      </c>
      <c r="H1088" t="s">
        <v>2</v>
      </c>
      <c r="I1088" s="1">
        <v>46224</v>
      </c>
      <c r="J1088" t="s">
        <v>1989</v>
      </c>
      <c r="K1088" t="s">
        <v>3475</v>
      </c>
      <c r="L1088" s="1">
        <v>46224.918321759258</v>
      </c>
      <c r="M1088" s="1">
        <v>46224.91962439815</v>
      </c>
    </row>
    <row r="1089" spans="1:13" x14ac:dyDescent="0.35">
      <c r="A1089" t="s">
        <v>278</v>
      </c>
      <c r="B1089" t="s">
        <v>1986</v>
      </c>
      <c r="C1089" t="s">
        <v>2366</v>
      </c>
      <c r="D1089">
        <v>0.625</v>
      </c>
      <c r="E1089" s="1">
        <v>46721</v>
      </c>
      <c r="F1089" t="s">
        <v>1988</v>
      </c>
      <c r="G1089" t="s">
        <v>2366</v>
      </c>
      <c r="H1089" t="s">
        <v>2</v>
      </c>
      <c r="I1089" s="1">
        <v>46224</v>
      </c>
      <c r="J1089" t="s">
        <v>2108</v>
      </c>
      <c r="K1089" t="s">
        <v>2317</v>
      </c>
      <c r="L1089" s="1">
        <v>46224.917650462965</v>
      </c>
      <c r="M1089" s="1">
        <v>46224.91962439815</v>
      </c>
    </row>
    <row r="1090" spans="1:13" x14ac:dyDescent="0.35">
      <c r="A1090" t="s">
        <v>278</v>
      </c>
      <c r="B1090" t="s">
        <v>1986</v>
      </c>
      <c r="C1090" t="s">
        <v>2366</v>
      </c>
      <c r="D1090">
        <v>0.625</v>
      </c>
      <c r="E1090" s="1">
        <v>46721</v>
      </c>
      <c r="F1090" t="s">
        <v>1988</v>
      </c>
      <c r="G1090" t="s">
        <v>2366</v>
      </c>
      <c r="H1090" t="s">
        <v>2</v>
      </c>
      <c r="I1090" s="1">
        <v>46224</v>
      </c>
      <c r="J1090" t="s">
        <v>2146</v>
      </c>
      <c r="K1090" t="s">
        <v>2317</v>
      </c>
      <c r="L1090" s="1">
        <v>46224.917650462965</v>
      </c>
      <c r="M1090" s="1">
        <v>46224.91962439815</v>
      </c>
    </row>
    <row r="1091" spans="1:13" x14ac:dyDescent="0.35">
      <c r="A1091" t="s">
        <v>278</v>
      </c>
      <c r="B1091" t="s">
        <v>1986</v>
      </c>
      <c r="C1091" t="s">
        <v>2366</v>
      </c>
      <c r="D1091">
        <v>0.625</v>
      </c>
      <c r="E1091" s="1">
        <v>46721</v>
      </c>
      <c r="F1091" t="s">
        <v>1988</v>
      </c>
      <c r="G1091" t="s">
        <v>2366</v>
      </c>
      <c r="H1091" t="s">
        <v>2</v>
      </c>
      <c r="I1091" s="1">
        <v>46224</v>
      </c>
      <c r="J1091" t="s">
        <v>2065</v>
      </c>
      <c r="K1091" t="s">
        <v>2459</v>
      </c>
      <c r="L1091" s="1">
        <v>46224.917650462965</v>
      </c>
      <c r="M1091" s="1">
        <v>46224.91962439815</v>
      </c>
    </row>
    <row r="1092" spans="1:13" x14ac:dyDescent="0.35">
      <c r="A1092" t="s">
        <v>278</v>
      </c>
      <c r="B1092" t="s">
        <v>1986</v>
      </c>
      <c r="C1092" t="s">
        <v>2366</v>
      </c>
      <c r="D1092">
        <v>0.625</v>
      </c>
      <c r="E1092" s="1">
        <v>46721</v>
      </c>
      <c r="F1092" t="s">
        <v>1988</v>
      </c>
      <c r="G1092" t="s">
        <v>2366</v>
      </c>
      <c r="H1092" t="s">
        <v>2</v>
      </c>
      <c r="I1092" s="1">
        <v>46224</v>
      </c>
      <c r="J1092" t="s">
        <v>1991</v>
      </c>
      <c r="K1092" t="s">
        <v>4014</v>
      </c>
      <c r="L1092" s="1">
        <v>46224.918321759258</v>
      </c>
      <c r="M1092" s="1">
        <v>46224.91962439815</v>
      </c>
    </row>
    <row r="1093" spans="1:13" x14ac:dyDescent="0.35">
      <c r="A1093" t="s">
        <v>278</v>
      </c>
      <c r="B1093" t="s">
        <v>1986</v>
      </c>
      <c r="C1093" t="s">
        <v>2366</v>
      </c>
      <c r="D1093">
        <v>0.625</v>
      </c>
      <c r="E1093" s="1">
        <v>46721</v>
      </c>
      <c r="F1093" t="s">
        <v>1988</v>
      </c>
      <c r="G1093" t="s">
        <v>2366</v>
      </c>
      <c r="H1093" t="s">
        <v>2</v>
      </c>
      <c r="I1093" s="1">
        <v>46224</v>
      </c>
      <c r="J1093" t="s">
        <v>2064</v>
      </c>
      <c r="K1093" t="s">
        <v>2459</v>
      </c>
      <c r="L1093" s="1">
        <v>46224.917650462965</v>
      </c>
      <c r="M1093" s="1">
        <v>46224.91962439815</v>
      </c>
    </row>
    <row r="1094" spans="1:13" x14ac:dyDescent="0.35">
      <c r="A1094" t="s">
        <v>305</v>
      </c>
      <c r="B1094" t="s">
        <v>1986</v>
      </c>
      <c r="C1094" t="s">
        <v>2367</v>
      </c>
      <c r="D1094">
        <v>0.625</v>
      </c>
      <c r="E1094" s="1">
        <v>46752</v>
      </c>
      <c r="F1094" t="s">
        <v>1988</v>
      </c>
      <c r="G1094" t="s">
        <v>2367</v>
      </c>
      <c r="H1094" t="s">
        <v>2</v>
      </c>
      <c r="I1094" s="1">
        <v>46224</v>
      </c>
      <c r="J1094" t="s">
        <v>1991</v>
      </c>
      <c r="K1094" t="s">
        <v>3750</v>
      </c>
      <c r="L1094" s="1">
        <v>46224.918321759258</v>
      </c>
      <c r="M1094" s="1">
        <v>46224.91962439815</v>
      </c>
    </row>
    <row r="1095" spans="1:13" x14ac:dyDescent="0.35">
      <c r="A1095" t="s">
        <v>305</v>
      </c>
      <c r="B1095" t="s">
        <v>1986</v>
      </c>
      <c r="C1095" t="s">
        <v>2367</v>
      </c>
      <c r="D1095">
        <v>0.625</v>
      </c>
      <c r="E1095" s="1">
        <v>46752</v>
      </c>
      <c r="F1095" t="s">
        <v>1988</v>
      </c>
      <c r="G1095" t="s">
        <v>2367</v>
      </c>
      <c r="H1095" t="s">
        <v>2</v>
      </c>
      <c r="I1095" s="1">
        <v>46224</v>
      </c>
      <c r="J1095" t="s">
        <v>2146</v>
      </c>
      <c r="K1095" t="s">
        <v>2495</v>
      </c>
      <c r="L1095" s="1">
        <v>46224.917650462965</v>
      </c>
      <c r="M1095" s="1">
        <v>46224.91962439815</v>
      </c>
    </row>
    <row r="1096" spans="1:13" x14ac:dyDescent="0.35">
      <c r="A1096" t="s">
        <v>305</v>
      </c>
      <c r="B1096" t="s">
        <v>1986</v>
      </c>
      <c r="C1096" t="s">
        <v>2367</v>
      </c>
      <c r="D1096">
        <v>0.625</v>
      </c>
      <c r="E1096" s="1">
        <v>46752</v>
      </c>
      <c r="F1096" t="s">
        <v>1988</v>
      </c>
      <c r="G1096" t="s">
        <v>2367</v>
      </c>
      <c r="H1096" t="s">
        <v>2</v>
      </c>
      <c r="I1096" s="1">
        <v>46224</v>
      </c>
      <c r="J1096" t="s">
        <v>1989</v>
      </c>
      <c r="K1096" t="s">
        <v>3476</v>
      </c>
      <c r="L1096" s="1">
        <v>46224.918321759258</v>
      </c>
      <c r="M1096" s="1">
        <v>46224.91962439815</v>
      </c>
    </row>
    <row r="1097" spans="1:13" x14ac:dyDescent="0.35">
      <c r="A1097" t="s">
        <v>305</v>
      </c>
      <c r="B1097" t="s">
        <v>1986</v>
      </c>
      <c r="C1097" t="s">
        <v>2367</v>
      </c>
      <c r="D1097">
        <v>0.625</v>
      </c>
      <c r="E1097" s="1">
        <v>46752</v>
      </c>
      <c r="F1097" t="s">
        <v>1988</v>
      </c>
      <c r="G1097" t="s">
        <v>2367</v>
      </c>
      <c r="H1097" t="s">
        <v>2</v>
      </c>
      <c r="I1097" s="1">
        <v>46224</v>
      </c>
      <c r="J1097" t="s">
        <v>2065</v>
      </c>
      <c r="K1097" t="s">
        <v>2422</v>
      </c>
      <c r="L1097" s="1">
        <v>46224.917650462965</v>
      </c>
      <c r="M1097" s="1">
        <v>46224.91962439815</v>
      </c>
    </row>
    <row r="1098" spans="1:13" x14ac:dyDescent="0.35">
      <c r="A1098" t="s">
        <v>305</v>
      </c>
      <c r="B1098" t="s">
        <v>1986</v>
      </c>
      <c r="C1098" t="s">
        <v>2367</v>
      </c>
      <c r="D1098">
        <v>0.625</v>
      </c>
      <c r="E1098" s="1">
        <v>46752</v>
      </c>
      <c r="F1098" t="s">
        <v>1988</v>
      </c>
      <c r="G1098" t="s">
        <v>2367</v>
      </c>
      <c r="H1098" t="s">
        <v>2</v>
      </c>
      <c r="I1098" s="1">
        <v>46224</v>
      </c>
      <c r="J1098" t="s">
        <v>2064</v>
      </c>
      <c r="K1098" t="s">
        <v>2422</v>
      </c>
      <c r="L1098" s="1">
        <v>46224.917650462965</v>
      </c>
      <c r="M1098" s="1">
        <v>46224.91962439815</v>
      </c>
    </row>
    <row r="1099" spans="1:13" x14ac:dyDescent="0.35">
      <c r="A1099" t="s">
        <v>305</v>
      </c>
      <c r="B1099" t="s">
        <v>1986</v>
      </c>
      <c r="C1099" t="s">
        <v>2367</v>
      </c>
      <c r="D1099">
        <v>0.625</v>
      </c>
      <c r="E1099" s="1">
        <v>46752</v>
      </c>
      <c r="F1099" t="s">
        <v>1988</v>
      </c>
      <c r="G1099" t="s">
        <v>2367</v>
      </c>
      <c r="H1099" t="s">
        <v>2</v>
      </c>
      <c r="I1099" s="1">
        <v>46224</v>
      </c>
      <c r="J1099" t="s">
        <v>2108</v>
      </c>
      <c r="K1099" t="s">
        <v>2495</v>
      </c>
      <c r="L1099" s="1">
        <v>46224.917650462965</v>
      </c>
      <c r="M1099" s="1">
        <v>46224.91962439815</v>
      </c>
    </row>
    <row r="1100" spans="1:13" x14ac:dyDescent="0.35">
      <c r="A1100" t="s">
        <v>306</v>
      </c>
      <c r="B1100" t="s">
        <v>1986</v>
      </c>
      <c r="C1100" t="s">
        <v>2398</v>
      </c>
      <c r="D1100">
        <v>0.125</v>
      </c>
      <c r="E1100" s="1">
        <v>47863</v>
      </c>
      <c r="F1100" t="s">
        <v>2014</v>
      </c>
      <c r="G1100" t="s">
        <v>2398</v>
      </c>
      <c r="H1100" t="s">
        <v>2</v>
      </c>
      <c r="I1100" s="1">
        <v>46224</v>
      </c>
      <c r="J1100" t="s">
        <v>2146</v>
      </c>
      <c r="K1100" t="s">
        <v>3477</v>
      </c>
      <c r="L1100" s="1">
        <v>46224.917650462965</v>
      </c>
      <c r="M1100" s="1">
        <v>46224.91962439815</v>
      </c>
    </row>
    <row r="1101" spans="1:13" x14ac:dyDescent="0.35">
      <c r="A1101" t="s">
        <v>306</v>
      </c>
      <c r="B1101" t="s">
        <v>1986</v>
      </c>
      <c r="C1101" t="s">
        <v>2398</v>
      </c>
      <c r="D1101">
        <v>0.125</v>
      </c>
      <c r="E1101" s="1">
        <v>47863</v>
      </c>
      <c r="F1101" t="s">
        <v>2014</v>
      </c>
      <c r="G1101" t="s">
        <v>2398</v>
      </c>
      <c r="H1101" t="s">
        <v>2</v>
      </c>
      <c r="I1101" s="1">
        <v>46224</v>
      </c>
      <c r="J1101" t="s">
        <v>1989</v>
      </c>
      <c r="K1101" t="s">
        <v>3763</v>
      </c>
      <c r="L1101" s="1">
        <v>46224.918321759258</v>
      </c>
      <c r="M1101" s="1">
        <v>46224.91962439815</v>
      </c>
    </row>
    <row r="1102" spans="1:13" x14ac:dyDescent="0.35">
      <c r="A1102" t="s">
        <v>306</v>
      </c>
      <c r="B1102" t="s">
        <v>1986</v>
      </c>
      <c r="C1102" t="s">
        <v>2398</v>
      </c>
      <c r="D1102">
        <v>0.125</v>
      </c>
      <c r="E1102" s="1">
        <v>47863</v>
      </c>
      <c r="F1102" t="s">
        <v>2014</v>
      </c>
      <c r="G1102" t="s">
        <v>2398</v>
      </c>
      <c r="H1102" t="s">
        <v>2</v>
      </c>
      <c r="I1102" s="1">
        <v>46224</v>
      </c>
      <c r="J1102" t="s">
        <v>2108</v>
      </c>
      <c r="K1102" t="s">
        <v>3477</v>
      </c>
      <c r="L1102" s="1">
        <v>46224.917650462965</v>
      </c>
      <c r="M1102" s="1">
        <v>46224.91962439815</v>
      </c>
    </row>
    <row r="1103" spans="1:13" x14ac:dyDescent="0.35">
      <c r="A1103" t="s">
        <v>306</v>
      </c>
      <c r="B1103" t="s">
        <v>1986</v>
      </c>
      <c r="C1103" t="s">
        <v>2398</v>
      </c>
      <c r="D1103">
        <v>0.125</v>
      </c>
      <c r="E1103" s="1">
        <v>47863</v>
      </c>
      <c r="F1103" t="s">
        <v>2014</v>
      </c>
      <c r="G1103" t="s">
        <v>2398</v>
      </c>
      <c r="H1103" t="s">
        <v>2</v>
      </c>
      <c r="I1103" s="1">
        <v>46224</v>
      </c>
      <c r="J1103" t="s">
        <v>2064</v>
      </c>
      <c r="K1103" t="s">
        <v>3764</v>
      </c>
      <c r="L1103" s="1">
        <v>46224.917650462965</v>
      </c>
      <c r="M1103" s="1">
        <v>46224.91962439815</v>
      </c>
    </row>
    <row r="1104" spans="1:13" x14ac:dyDescent="0.35">
      <c r="A1104" t="s">
        <v>306</v>
      </c>
      <c r="B1104" t="s">
        <v>1986</v>
      </c>
      <c r="C1104" t="s">
        <v>2398</v>
      </c>
      <c r="D1104">
        <v>0.125</v>
      </c>
      <c r="E1104" s="1">
        <v>47863</v>
      </c>
      <c r="F1104" t="s">
        <v>2014</v>
      </c>
      <c r="G1104" t="s">
        <v>2398</v>
      </c>
      <c r="H1104" t="s">
        <v>2</v>
      </c>
      <c r="I1104" s="1">
        <v>46224</v>
      </c>
      <c r="J1104" t="s">
        <v>2065</v>
      </c>
      <c r="K1104" t="s">
        <v>3764</v>
      </c>
      <c r="L1104" s="1">
        <v>46224.917650462965</v>
      </c>
      <c r="M1104" s="1">
        <v>46224.91962439815</v>
      </c>
    </row>
    <row r="1105" spans="1:13" x14ac:dyDescent="0.35">
      <c r="A1105" t="s">
        <v>306</v>
      </c>
      <c r="B1105" t="s">
        <v>1986</v>
      </c>
      <c r="C1105" t="s">
        <v>2398</v>
      </c>
      <c r="D1105">
        <v>0.125</v>
      </c>
      <c r="E1105" s="1">
        <v>47863</v>
      </c>
      <c r="F1105" t="s">
        <v>2014</v>
      </c>
      <c r="G1105" t="s">
        <v>2398</v>
      </c>
      <c r="H1105" t="s">
        <v>2</v>
      </c>
      <c r="I1105" s="1">
        <v>46224</v>
      </c>
      <c r="J1105" t="s">
        <v>1991</v>
      </c>
      <c r="K1105" t="s">
        <v>4015</v>
      </c>
      <c r="L1105" s="1">
        <v>46224.918321759258</v>
      </c>
      <c r="M1105" s="1">
        <v>46224.91962439815</v>
      </c>
    </row>
    <row r="1106" spans="1:13" x14ac:dyDescent="0.35">
      <c r="A1106" t="s">
        <v>319</v>
      </c>
      <c r="B1106" t="s">
        <v>1986</v>
      </c>
      <c r="C1106" t="s">
        <v>2413</v>
      </c>
      <c r="D1106">
        <v>0.75</v>
      </c>
      <c r="E1106" s="1">
        <v>46783</v>
      </c>
      <c r="F1106" t="s">
        <v>1988</v>
      </c>
      <c r="G1106" t="s">
        <v>2413</v>
      </c>
      <c r="H1106" t="s">
        <v>2</v>
      </c>
      <c r="I1106" s="1">
        <v>46224</v>
      </c>
      <c r="J1106" t="s">
        <v>1991</v>
      </c>
      <c r="K1106" t="s">
        <v>3140</v>
      </c>
      <c r="L1106" s="1">
        <v>46224.918321759258</v>
      </c>
      <c r="M1106" s="1">
        <v>46224.91962439815</v>
      </c>
    </row>
    <row r="1107" spans="1:13" x14ac:dyDescent="0.35">
      <c r="A1107" t="s">
        <v>319</v>
      </c>
      <c r="B1107" t="s">
        <v>1986</v>
      </c>
      <c r="C1107" t="s">
        <v>2413</v>
      </c>
      <c r="D1107">
        <v>0.75</v>
      </c>
      <c r="E1107" s="1">
        <v>46783</v>
      </c>
      <c r="F1107" t="s">
        <v>1988</v>
      </c>
      <c r="G1107" t="s">
        <v>2413</v>
      </c>
      <c r="H1107" t="s">
        <v>2</v>
      </c>
      <c r="I1107" s="1">
        <v>46224</v>
      </c>
      <c r="J1107" t="s">
        <v>2064</v>
      </c>
      <c r="K1107" t="s">
        <v>2584</v>
      </c>
      <c r="L1107" s="1">
        <v>46224.917650462965</v>
      </c>
      <c r="M1107" s="1">
        <v>46224.91962439815</v>
      </c>
    </row>
    <row r="1108" spans="1:13" x14ac:dyDescent="0.35">
      <c r="A1108" t="s">
        <v>319</v>
      </c>
      <c r="B1108" t="s">
        <v>1986</v>
      </c>
      <c r="C1108" t="s">
        <v>2413</v>
      </c>
      <c r="D1108">
        <v>0.75</v>
      </c>
      <c r="E1108" s="1">
        <v>46783</v>
      </c>
      <c r="F1108" t="s">
        <v>1988</v>
      </c>
      <c r="G1108" t="s">
        <v>2413</v>
      </c>
      <c r="H1108" t="s">
        <v>2</v>
      </c>
      <c r="I1108" s="1">
        <v>46224</v>
      </c>
      <c r="J1108" t="s">
        <v>2146</v>
      </c>
      <c r="K1108" t="s">
        <v>3455</v>
      </c>
      <c r="L1108" s="1">
        <v>46224.917650462965</v>
      </c>
      <c r="M1108" s="1">
        <v>46224.91962439815</v>
      </c>
    </row>
    <row r="1109" spans="1:13" x14ac:dyDescent="0.35">
      <c r="A1109" t="s">
        <v>319</v>
      </c>
      <c r="B1109" t="s">
        <v>1986</v>
      </c>
      <c r="C1109" t="s">
        <v>2413</v>
      </c>
      <c r="D1109">
        <v>0.75</v>
      </c>
      <c r="E1109" s="1">
        <v>46783</v>
      </c>
      <c r="F1109" t="s">
        <v>1988</v>
      </c>
      <c r="G1109" t="s">
        <v>2413</v>
      </c>
      <c r="H1109" t="s">
        <v>2</v>
      </c>
      <c r="I1109" s="1">
        <v>46224</v>
      </c>
      <c r="J1109" t="s">
        <v>1989</v>
      </c>
      <c r="K1109" t="s">
        <v>3568</v>
      </c>
      <c r="L1109" s="1">
        <v>46224.918321759258</v>
      </c>
      <c r="M1109" s="1">
        <v>46224.91962439815</v>
      </c>
    </row>
    <row r="1110" spans="1:13" x14ac:dyDescent="0.35">
      <c r="A1110" t="s">
        <v>319</v>
      </c>
      <c r="B1110" t="s">
        <v>1986</v>
      </c>
      <c r="C1110" t="s">
        <v>2413</v>
      </c>
      <c r="D1110">
        <v>0.75</v>
      </c>
      <c r="E1110" s="1">
        <v>46783</v>
      </c>
      <c r="F1110" t="s">
        <v>1988</v>
      </c>
      <c r="G1110" t="s">
        <v>2413</v>
      </c>
      <c r="H1110" t="s">
        <v>2</v>
      </c>
      <c r="I1110" s="1">
        <v>46224</v>
      </c>
      <c r="J1110" t="s">
        <v>2108</v>
      </c>
      <c r="K1110" t="s">
        <v>3455</v>
      </c>
      <c r="L1110" s="1">
        <v>46224.917650462965</v>
      </c>
      <c r="M1110" s="1">
        <v>46224.91962439815</v>
      </c>
    </row>
    <row r="1111" spans="1:13" x14ac:dyDescent="0.35">
      <c r="A1111" t="s">
        <v>319</v>
      </c>
      <c r="B1111" t="s">
        <v>1986</v>
      </c>
      <c r="C1111" t="s">
        <v>2413</v>
      </c>
      <c r="D1111">
        <v>0.75</v>
      </c>
      <c r="E1111" s="1">
        <v>46783</v>
      </c>
      <c r="F1111" t="s">
        <v>1988</v>
      </c>
      <c r="G1111" t="s">
        <v>2413</v>
      </c>
      <c r="H1111" t="s">
        <v>2</v>
      </c>
      <c r="I1111" s="1">
        <v>46224</v>
      </c>
      <c r="J1111" t="s">
        <v>2065</v>
      </c>
      <c r="K1111" t="s">
        <v>2584</v>
      </c>
      <c r="L1111" s="1">
        <v>46224.917650462965</v>
      </c>
      <c r="M1111" s="1">
        <v>46224.91962439815</v>
      </c>
    </row>
    <row r="1112" spans="1:13" x14ac:dyDescent="0.35">
      <c r="A1112" t="s">
        <v>307</v>
      </c>
      <c r="B1112" t="s">
        <v>1986</v>
      </c>
      <c r="C1112" t="s">
        <v>2368</v>
      </c>
      <c r="D1112">
        <v>1.125</v>
      </c>
      <c r="E1112" s="1">
        <v>47894</v>
      </c>
      <c r="F1112" t="s">
        <v>1988</v>
      </c>
      <c r="G1112" t="s">
        <v>2368</v>
      </c>
      <c r="H1112" t="s">
        <v>2</v>
      </c>
      <c r="I1112" s="1">
        <v>46224</v>
      </c>
      <c r="J1112" t="s">
        <v>1989</v>
      </c>
      <c r="K1112" t="s">
        <v>3751</v>
      </c>
      <c r="L1112" s="1">
        <v>46224.918321759258</v>
      </c>
      <c r="M1112" s="1">
        <v>46224.91962439815</v>
      </c>
    </row>
    <row r="1113" spans="1:13" x14ac:dyDescent="0.35">
      <c r="A1113" t="s">
        <v>307</v>
      </c>
      <c r="B1113" t="s">
        <v>1986</v>
      </c>
      <c r="C1113" t="s">
        <v>2368</v>
      </c>
      <c r="D1113">
        <v>1.125</v>
      </c>
      <c r="E1113" s="1">
        <v>47894</v>
      </c>
      <c r="F1113" t="s">
        <v>1988</v>
      </c>
      <c r="G1113" t="s">
        <v>2368</v>
      </c>
      <c r="H1113" t="s">
        <v>2</v>
      </c>
      <c r="I1113" s="1">
        <v>46224</v>
      </c>
      <c r="J1113" t="s">
        <v>1991</v>
      </c>
      <c r="K1113" t="s">
        <v>3456</v>
      </c>
      <c r="L1113" s="1">
        <v>46224.918321759258</v>
      </c>
      <c r="M1113" s="1">
        <v>46224.91962439815</v>
      </c>
    </row>
    <row r="1114" spans="1:13" x14ac:dyDescent="0.35">
      <c r="A1114" t="s">
        <v>307</v>
      </c>
      <c r="B1114" t="s">
        <v>1986</v>
      </c>
      <c r="C1114" t="s">
        <v>2368</v>
      </c>
      <c r="D1114">
        <v>1.125</v>
      </c>
      <c r="E1114" s="1">
        <v>47894</v>
      </c>
      <c r="F1114" t="s">
        <v>1988</v>
      </c>
      <c r="G1114" t="s">
        <v>2368</v>
      </c>
      <c r="H1114" t="s">
        <v>2</v>
      </c>
      <c r="I1114" s="1">
        <v>46224</v>
      </c>
      <c r="J1114" t="s">
        <v>2064</v>
      </c>
      <c r="K1114" t="s">
        <v>2974</v>
      </c>
      <c r="L1114" s="1">
        <v>46224.917650462965</v>
      </c>
      <c r="M1114" s="1">
        <v>46224.91962439815</v>
      </c>
    </row>
    <row r="1115" spans="1:13" x14ac:dyDescent="0.35">
      <c r="A1115" t="s">
        <v>307</v>
      </c>
      <c r="B1115" t="s">
        <v>1986</v>
      </c>
      <c r="C1115" t="s">
        <v>2368</v>
      </c>
      <c r="D1115">
        <v>1.125</v>
      </c>
      <c r="E1115" s="1">
        <v>47894</v>
      </c>
      <c r="F1115" t="s">
        <v>1988</v>
      </c>
      <c r="G1115" t="s">
        <v>2368</v>
      </c>
      <c r="H1115" t="s">
        <v>2</v>
      </c>
      <c r="I1115" s="1">
        <v>46224</v>
      </c>
      <c r="J1115" t="s">
        <v>2146</v>
      </c>
      <c r="K1115" t="s">
        <v>2892</v>
      </c>
      <c r="L1115" s="1">
        <v>46224.917650462965</v>
      </c>
      <c r="M1115" s="1">
        <v>46224.91962439815</v>
      </c>
    </row>
    <row r="1116" spans="1:13" x14ac:dyDescent="0.35">
      <c r="A1116" t="s">
        <v>307</v>
      </c>
      <c r="B1116" t="s">
        <v>1986</v>
      </c>
      <c r="C1116" t="s">
        <v>2368</v>
      </c>
      <c r="D1116">
        <v>1.125</v>
      </c>
      <c r="E1116" s="1">
        <v>47894</v>
      </c>
      <c r="F1116" t="s">
        <v>1988</v>
      </c>
      <c r="G1116" t="s">
        <v>2368</v>
      </c>
      <c r="H1116" t="s">
        <v>2</v>
      </c>
      <c r="I1116" s="1">
        <v>46224</v>
      </c>
      <c r="J1116" t="s">
        <v>2065</v>
      </c>
      <c r="K1116" t="s">
        <v>2974</v>
      </c>
      <c r="L1116" s="1">
        <v>46224.917650462965</v>
      </c>
      <c r="M1116" s="1">
        <v>46224.91962439815</v>
      </c>
    </row>
    <row r="1117" spans="1:13" x14ac:dyDescent="0.35">
      <c r="A1117" t="s">
        <v>307</v>
      </c>
      <c r="B1117" t="s">
        <v>1986</v>
      </c>
      <c r="C1117" t="s">
        <v>2368</v>
      </c>
      <c r="D1117">
        <v>1.125</v>
      </c>
      <c r="E1117" s="1">
        <v>47894</v>
      </c>
      <c r="F1117" t="s">
        <v>1988</v>
      </c>
      <c r="G1117" t="s">
        <v>2368</v>
      </c>
      <c r="H1117" t="s">
        <v>2</v>
      </c>
      <c r="I1117" s="1">
        <v>46224</v>
      </c>
      <c r="J1117" t="s">
        <v>2108</v>
      </c>
      <c r="K1117" t="s">
        <v>2892</v>
      </c>
      <c r="L1117" s="1">
        <v>46224.917650462965</v>
      </c>
      <c r="M1117" s="1">
        <v>46224.91962439815</v>
      </c>
    </row>
    <row r="1118" spans="1:13" x14ac:dyDescent="0.35">
      <c r="A1118" t="s">
        <v>259</v>
      </c>
      <c r="B1118" t="s">
        <v>1986</v>
      </c>
      <c r="C1118" t="s">
        <v>2399</v>
      </c>
      <c r="D1118">
        <v>1.125</v>
      </c>
      <c r="E1118" s="1">
        <v>46812</v>
      </c>
      <c r="F1118" t="s">
        <v>1988</v>
      </c>
      <c r="G1118" t="s">
        <v>2399</v>
      </c>
      <c r="H1118" t="s">
        <v>2</v>
      </c>
      <c r="I1118" s="1">
        <v>46224</v>
      </c>
      <c r="J1118" t="s">
        <v>1989</v>
      </c>
      <c r="K1118" t="s">
        <v>3752</v>
      </c>
      <c r="L1118" s="1">
        <v>46224.918321759258</v>
      </c>
      <c r="M1118" s="1">
        <v>46224.91962439815</v>
      </c>
    </row>
    <row r="1119" spans="1:13" x14ac:dyDescent="0.35">
      <c r="A1119" t="s">
        <v>259</v>
      </c>
      <c r="B1119" t="s">
        <v>1986</v>
      </c>
      <c r="C1119" t="s">
        <v>2399</v>
      </c>
      <c r="D1119">
        <v>1.125</v>
      </c>
      <c r="E1119" s="1">
        <v>46812</v>
      </c>
      <c r="F1119" t="s">
        <v>1988</v>
      </c>
      <c r="G1119" t="s">
        <v>2399</v>
      </c>
      <c r="H1119" t="s">
        <v>2</v>
      </c>
      <c r="I1119" s="1">
        <v>46224</v>
      </c>
      <c r="J1119" t="s">
        <v>2064</v>
      </c>
      <c r="K1119" t="s">
        <v>2574</v>
      </c>
      <c r="L1119" s="1">
        <v>46224.917650462965</v>
      </c>
      <c r="M1119" s="1">
        <v>46224.91962439815</v>
      </c>
    </row>
    <row r="1120" spans="1:13" x14ac:dyDescent="0.35">
      <c r="A1120" t="s">
        <v>259</v>
      </c>
      <c r="B1120" t="s">
        <v>1986</v>
      </c>
      <c r="C1120" t="s">
        <v>2399</v>
      </c>
      <c r="D1120">
        <v>1.125</v>
      </c>
      <c r="E1120" s="1">
        <v>46812</v>
      </c>
      <c r="F1120" t="s">
        <v>1988</v>
      </c>
      <c r="G1120" t="s">
        <v>2399</v>
      </c>
      <c r="H1120" t="s">
        <v>2</v>
      </c>
      <c r="I1120" s="1">
        <v>46224</v>
      </c>
      <c r="J1120" t="s">
        <v>1991</v>
      </c>
      <c r="K1120" t="s">
        <v>3457</v>
      </c>
      <c r="L1120" s="1">
        <v>46224.918321759258</v>
      </c>
      <c r="M1120" s="1">
        <v>46224.91962439815</v>
      </c>
    </row>
    <row r="1121" spans="1:13" x14ac:dyDescent="0.35">
      <c r="A1121" t="s">
        <v>259</v>
      </c>
      <c r="B1121" t="s">
        <v>1986</v>
      </c>
      <c r="C1121" t="s">
        <v>2399</v>
      </c>
      <c r="D1121">
        <v>1.125</v>
      </c>
      <c r="E1121" s="1">
        <v>46812</v>
      </c>
      <c r="F1121" t="s">
        <v>1988</v>
      </c>
      <c r="G1121" t="s">
        <v>2399</v>
      </c>
      <c r="H1121" t="s">
        <v>2</v>
      </c>
      <c r="I1121" s="1">
        <v>46224</v>
      </c>
      <c r="J1121" t="s">
        <v>2108</v>
      </c>
      <c r="K1121" t="s">
        <v>3344</v>
      </c>
      <c r="L1121" s="1">
        <v>46224.917650462965</v>
      </c>
      <c r="M1121" s="1">
        <v>46224.91962439815</v>
      </c>
    </row>
    <row r="1122" spans="1:13" x14ac:dyDescent="0.35">
      <c r="A1122" t="s">
        <v>259</v>
      </c>
      <c r="B1122" t="s">
        <v>1986</v>
      </c>
      <c r="C1122" t="s">
        <v>2399</v>
      </c>
      <c r="D1122">
        <v>1.125</v>
      </c>
      <c r="E1122" s="1">
        <v>46812</v>
      </c>
      <c r="F1122" t="s">
        <v>1988</v>
      </c>
      <c r="G1122" t="s">
        <v>2399</v>
      </c>
      <c r="H1122" t="s">
        <v>2</v>
      </c>
      <c r="I1122" s="1">
        <v>46224</v>
      </c>
      <c r="J1122" t="s">
        <v>2146</v>
      </c>
      <c r="K1122" t="s">
        <v>3344</v>
      </c>
      <c r="L1122" s="1">
        <v>46224.917650462965</v>
      </c>
      <c r="M1122" s="1">
        <v>46224.91962439815</v>
      </c>
    </row>
    <row r="1123" spans="1:13" x14ac:dyDescent="0.35">
      <c r="A1123" t="s">
        <v>259</v>
      </c>
      <c r="B1123" t="s">
        <v>1986</v>
      </c>
      <c r="C1123" t="s">
        <v>2399</v>
      </c>
      <c r="D1123">
        <v>1.125</v>
      </c>
      <c r="E1123" s="1">
        <v>46812</v>
      </c>
      <c r="F1123" t="s">
        <v>1988</v>
      </c>
      <c r="G1123" t="s">
        <v>2399</v>
      </c>
      <c r="H1123" t="s">
        <v>2</v>
      </c>
      <c r="I1123" s="1">
        <v>46224</v>
      </c>
      <c r="J1123" t="s">
        <v>2065</v>
      </c>
      <c r="K1123" t="s">
        <v>2574</v>
      </c>
      <c r="L1123" s="1">
        <v>46224.917650462965</v>
      </c>
      <c r="M1123" s="1">
        <v>46224.91962439815</v>
      </c>
    </row>
    <row r="1124" spans="1:13" x14ac:dyDescent="0.35">
      <c r="A1124" t="s">
        <v>308</v>
      </c>
      <c r="B1124" t="s">
        <v>1986</v>
      </c>
      <c r="C1124" t="s">
        <v>2370</v>
      </c>
      <c r="D1124">
        <v>1.25</v>
      </c>
      <c r="E1124" s="1">
        <v>46843</v>
      </c>
      <c r="F1124" t="s">
        <v>1988</v>
      </c>
      <c r="G1124" t="s">
        <v>2370</v>
      </c>
      <c r="H1124" t="s">
        <v>2</v>
      </c>
      <c r="I1124" s="1">
        <v>46224</v>
      </c>
      <c r="J1124" t="s">
        <v>2064</v>
      </c>
      <c r="K1124" t="s">
        <v>2944</v>
      </c>
      <c r="L1124" s="1">
        <v>46224.917650462965</v>
      </c>
      <c r="M1124" s="1">
        <v>46224.91962439815</v>
      </c>
    </row>
    <row r="1125" spans="1:13" x14ac:dyDescent="0.35">
      <c r="A1125" t="s">
        <v>308</v>
      </c>
      <c r="B1125" t="s">
        <v>1986</v>
      </c>
      <c r="C1125" t="s">
        <v>2370</v>
      </c>
      <c r="D1125">
        <v>1.25</v>
      </c>
      <c r="E1125" s="1">
        <v>46843</v>
      </c>
      <c r="F1125" t="s">
        <v>1988</v>
      </c>
      <c r="G1125" t="s">
        <v>2370</v>
      </c>
      <c r="H1125" t="s">
        <v>2</v>
      </c>
      <c r="I1125" s="1">
        <v>46224</v>
      </c>
      <c r="J1125" t="s">
        <v>2146</v>
      </c>
      <c r="K1125" t="s">
        <v>2419</v>
      </c>
      <c r="L1125" s="1">
        <v>46224.917650462965</v>
      </c>
      <c r="M1125" s="1">
        <v>46224.91962439815</v>
      </c>
    </row>
    <row r="1126" spans="1:13" x14ac:dyDescent="0.35">
      <c r="A1126" t="s">
        <v>308</v>
      </c>
      <c r="B1126" t="s">
        <v>1986</v>
      </c>
      <c r="C1126" t="s">
        <v>2370</v>
      </c>
      <c r="D1126">
        <v>1.25</v>
      </c>
      <c r="E1126" s="1">
        <v>46843</v>
      </c>
      <c r="F1126" t="s">
        <v>1988</v>
      </c>
      <c r="G1126" t="s">
        <v>2370</v>
      </c>
      <c r="H1126" t="s">
        <v>2</v>
      </c>
      <c r="I1126" s="1">
        <v>46224</v>
      </c>
      <c r="J1126" t="s">
        <v>2108</v>
      </c>
      <c r="K1126" t="s">
        <v>2419</v>
      </c>
      <c r="L1126" s="1">
        <v>46224.917650462965</v>
      </c>
      <c r="M1126" s="1">
        <v>46224.91962439815</v>
      </c>
    </row>
    <row r="1127" spans="1:13" x14ac:dyDescent="0.35">
      <c r="A1127" t="s">
        <v>308</v>
      </c>
      <c r="B1127" t="s">
        <v>1986</v>
      </c>
      <c r="C1127" t="s">
        <v>2370</v>
      </c>
      <c r="D1127">
        <v>1.25</v>
      </c>
      <c r="E1127" s="1">
        <v>46843</v>
      </c>
      <c r="F1127" t="s">
        <v>1988</v>
      </c>
      <c r="G1127" t="s">
        <v>2370</v>
      </c>
      <c r="H1127" t="s">
        <v>2</v>
      </c>
      <c r="I1127" s="1">
        <v>46224</v>
      </c>
      <c r="J1127" t="s">
        <v>2065</v>
      </c>
      <c r="K1127" t="s">
        <v>2944</v>
      </c>
      <c r="L1127" s="1">
        <v>46224.917650462965</v>
      </c>
      <c r="M1127" s="1">
        <v>46224.91962439815</v>
      </c>
    </row>
    <row r="1128" spans="1:13" x14ac:dyDescent="0.35">
      <c r="A1128" t="s">
        <v>308</v>
      </c>
      <c r="B1128" t="s">
        <v>1986</v>
      </c>
      <c r="C1128" t="s">
        <v>2370</v>
      </c>
      <c r="D1128">
        <v>1.25</v>
      </c>
      <c r="E1128" s="1">
        <v>46843</v>
      </c>
      <c r="F1128" t="s">
        <v>1988</v>
      </c>
      <c r="G1128" t="s">
        <v>2370</v>
      </c>
      <c r="H1128" t="s">
        <v>2</v>
      </c>
      <c r="I1128" s="1">
        <v>46224</v>
      </c>
      <c r="J1128" t="s">
        <v>1991</v>
      </c>
      <c r="K1128" t="s">
        <v>3765</v>
      </c>
      <c r="L1128" s="1">
        <v>46224.918321759258</v>
      </c>
      <c r="M1128" s="1">
        <v>46224.91962439815</v>
      </c>
    </row>
    <row r="1129" spans="1:13" x14ac:dyDescent="0.35">
      <c r="A1129" t="s">
        <v>308</v>
      </c>
      <c r="B1129" t="s">
        <v>1986</v>
      </c>
      <c r="C1129" t="s">
        <v>2370</v>
      </c>
      <c r="D1129">
        <v>1.25</v>
      </c>
      <c r="E1129" s="1">
        <v>46843</v>
      </c>
      <c r="F1129" t="s">
        <v>1988</v>
      </c>
      <c r="G1129" t="s">
        <v>2370</v>
      </c>
      <c r="H1129" t="s">
        <v>2</v>
      </c>
      <c r="I1129" s="1">
        <v>46224</v>
      </c>
      <c r="J1129" t="s">
        <v>1989</v>
      </c>
      <c r="K1129" t="s">
        <v>3802</v>
      </c>
      <c r="L1129" s="1">
        <v>46224.918321759258</v>
      </c>
      <c r="M1129" s="1">
        <v>46224.91962439815</v>
      </c>
    </row>
    <row r="1130" spans="1:13" x14ac:dyDescent="0.35">
      <c r="A1130" t="s">
        <v>312</v>
      </c>
      <c r="B1130" t="s">
        <v>1986</v>
      </c>
      <c r="C1130" t="s">
        <v>2371</v>
      </c>
      <c r="D1130">
        <v>1.25</v>
      </c>
      <c r="E1130" s="1">
        <v>46873</v>
      </c>
      <c r="F1130" t="s">
        <v>1988</v>
      </c>
      <c r="G1130" t="s">
        <v>2371</v>
      </c>
      <c r="H1130" t="s">
        <v>2</v>
      </c>
      <c r="I1130" s="1">
        <v>46224</v>
      </c>
      <c r="J1130" t="s">
        <v>2064</v>
      </c>
      <c r="K1130" t="s">
        <v>2395</v>
      </c>
      <c r="L1130" s="1">
        <v>46224.917650462965</v>
      </c>
      <c r="M1130" s="1">
        <v>46224.91962439815</v>
      </c>
    </row>
    <row r="1131" spans="1:13" x14ac:dyDescent="0.35">
      <c r="A1131" t="s">
        <v>312</v>
      </c>
      <c r="B1131" t="s">
        <v>1986</v>
      </c>
      <c r="C1131" t="s">
        <v>2371</v>
      </c>
      <c r="D1131">
        <v>1.25</v>
      </c>
      <c r="E1131" s="1">
        <v>46873</v>
      </c>
      <c r="F1131" t="s">
        <v>1988</v>
      </c>
      <c r="G1131" t="s">
        <v>2371</v>
      </c>
      <c r="H1131" t="s">
        <v>2</v>
      </c>
      <c r="I1131" s="1">
        <v>46224</v>
      </c>
      <c r="J1131" t="s">
        <v>1991</v>
      </c>
      <c r="K1131" t="s">
        <v>3478</v>
      </c>
      <c r="L1131" s="1">
        <v>46224.918321759258</v>
      </c>
      <c r="M1131" s="1">
        <v>46224.91962439815</v>
      </c>
    </row>
    <row r="1132" spans="1:13" x14ac:dyDescent="0.35">
      <c r="A1132" t="s">
        <v>312</v>
      </c>
      <c r="B1132" t="s">
        <v>1986</v>
      </c>
      <c r="C1132" t="s">
        <v>2371</v>
      </c>
      <c r="D1132">
        <v>1.25</v>
      </c>
      <c r="E1132" s="1">
        <v>46873</v>
      </c>
      <c r="F1132" t="s">
        <v>1988</v>
      </c>
      <c r="G1132" t="s">
        <v>2371</v>
      </c>
      <c r="H1132" t="s">
        <v>2</v>
      </c>
      <c r="I1132" s="1">
        <v>46224</v>
      </c>
      <c r="J1132" t="s">
        <v>1989</v>
      </c>
      <c r="K1132" t="s">
        <v>3458</v>
      </c>
      <c r="L1132" s="1">
        <v>46224.918321759258</v>
      </c>
      <c r="M1132" s="1">
        <v>46224.91962439815</v>
      </c>
    </row>
    <row r="1133" spans="1:13" x14ac:dyDescent="0.35">
      <c r="A1133" t="s">
        <v>312</v>
      </c>
      <c r="B1133" t="s">
        <v>1986</v>
      </c>
      <c r="C1133" t="s">
        <v>2371</v>
      </c>
      <c r="D1133">
        <v>1.25</v>
      </c>
      <c r="E1133" s="1">
        <v>46873</v>
      </c>
      <c r="F1133" t="s">
        <v>1988</v>
      </c>
      <c r="G1133" t="s">
        <v>2371</v>
      </c>
      <c r="H1133" t="s">
        <v>2</v>
      </c>
      <c r="I1133" s="1">
        <v>46224</v>
      </c>
      <c r="J1133" t="s">
        <v>2065</v>
      </c>
      <c r="K1133" t="s">
        <v>2395</v>
      </c>
      <c r="L1133" s="1">
        <v>46224.917650462965</v>
      </c>
      <c r="M1133" s="1">
        <v>46224.91962439815</v>
      </c>
    </row>
    <row r="1134" spans="1:13" x14ac:dyDescent="0.35">
      <c r="A1134" t="s">
        <v>312</v>
      </c>
      <c r="B1134" t="s">
        <v>1986</v>
      </c>
      <c r="C1134" t="s">
        <v>2371</v>
      </c>
      <c r="D1134">
        <v>1.25</v>
      </c>
      <c r="E1134" s="1">
        <v>46873</v>
      </c>
      <c r="F1134" t="s">
        <v>1988</v>
      </c>
      <c r="G1134" t="s">
        <v>2371</v>
      </c>
      <c r="H1134" t="s">
        <v>2</v>
      </c>
      <c r="I1134" s="1">
        <v>46224</v>
      </c>
      <c r="J1134" t="s">
        <v>2146</v>
      </c>
      <c r="K1134" t="s">
        <v>2944</v>
      </c>
      <c r="L1134" s="1">
        <v>46224.917650462965</v>
      </c>
      <c r="M1134" s="1">
        <v>46224.91962439815</v>
      </c>
    </row>
    <row r="1135" spans="1:13" x14ac:dyDescent="0.35">
      <c r="A1135" t="s">
        <v>312</v>
      </c>
      <c r="B1135" t="s">
        <v>1986</v>
      </c>
      <c r="C1135" t="s">
        <v>2371</v>
      </c>
      <c r="D1135">
        <v>1.25</v>
      </c>
      <c r="E1135" s="1">
        <v>46873</v>
      </c>
      <c r="F1135" t="s">
        <v>1988</v>
      </c>
      <c r="G1135" t="s">
        <v>2371</v>
      </c>
      <c r="H1135" t="s">
        <v>2</v>
      </c>
      <c r="I1135" s="1">
        <v>46224</v>
      </c>
      <c r="J1135" t="s">
        <v>2108</v>
      </c>
      <c r="K1135" t="s">
        <v>2944</v>
      </c>
      <c r="L1135" s="1">
        <v>46224.917650462965</v>
      </c>
      <c r="M1135" s="1">
        <v>46224.91962439815</v>
      </c>
    </row>
    <row r="1136" spans="1:13" x14ac:dyDescent="0.35">
      <c r="A1136" t="s">
        <v>260</v>
      </c>
      <c r="B1136" t="s">
        <v>1986</v>
      </c>
      <c r="C1136" t="s">
        <v>2443</v>
      </c>
      <c r="D1136">
        <v>1.625</v>
      </c>
      <c r="E1136" s="1">
        <v>47983</v>
      </c>
      <c r="F1136" t="s">
        <v>1988</v>
      </c>
      <c r="G1136" t="s">
        <v>2443</v>
      </c>
      <c r="H1136" t="s">
        <v>2</v>
      </c>
      <c r="I1136" s="1">
        <v>46224</v>
      </c>
      <c r="J1136" t="s">
        <v>1991</v>
      </c>
      <c r="K1136" t="s">
        <v>3792</v>
      </c>
      <c r="L1136" s="1">
        <v>46224.918321759258</v>
      </c>
      <c r="M1136" s="1">
        <v>46224.91962439815</v>
      </c>
    </row>
    <row r="1137" spans="1:13" x14ac:dyDescent="0.35">
      <c r="A1137" t="s">
        <v>260</v>
      </c>
      <c r="B1137" t="s">
        <v>1986</v>
      </c>
      <c r="C1137" t="s">
        <v>2443</v>
      </c>
      <c r="D1137">
        <v>1.625</v>
      </c>
      <c r="E1137" s="1">
        <v>47983</v>
      </c>
      <c r="F1137" t="s">
        <v>1988</v>
      </c>
      <c r="G1137" t="s">
        <v>2443</v>
      </c>
      <c r="H1137" t="s">
        <v>2</v>
      </c>
      <c r="I1137" s="1">
        <v>46224</v>
      </c>
      <c r="J1137" t="s">
        <v>2146</v>
      </c>
      <c r="K1137" t="s">
        <v>2450</v>
      </c>
      <c r="L1137" s="1">
        <v>46224.917650462965</v>
      </c>
      <c r="M1137" s="1">
        <v>46224.91962439815</v>
      </c>
    </row>
    <row r="1138" spans="1:13" x14ac:dyDescent="0.35">
      <c r="A1138" t="s">
        <v>260</v>
      </c>
      <c r="B1138" t="s">
        <v>1986</v>
      </c>
      <c r="C1138" t="s">
        <v>2443</v>
      </c>
      <c r="D1138">
        <v>1.625</v>
      </c>
      <c r="E1138" s="1">
        <v>47983</v>
      </c>
      <c r="F1138" t="s">
        <v>1988</v>
      </c>
      <c r="G1138" t="s">
        <v>2443</v>
      </c>
      <c r="H1138" t="s">
        <v>2</v>
      </c>
      <c r="I1138" s="1">
        <v>46224</v>
      </c>
      <c r="J1138" t="s">
        <v>2065</v>
      </c>
      <c r="K1138" t="s">
        <v>2616</v>
      </c>
      <c r="L1138" s="1">
        <v>46224.917650462965</v>
      </c>
      <c r="M1138" s="1">
        <v>46224.91962439815</v>
      </c>
    </row>
    <row r="1139" spans="1:13" x14ac:dyDescent="0.35">
      <c r="A1139" t="s">
        <v>260</v>
      </c>
      <c r="B1139" t="s">
        <v>1986</v>
      </c>
      <c r="C1139" t="s">
        <v>2443</v>
      </c>
      <c r="D1139">
        <v>1.625</v>
      </c>
      <c r="E1139" s="1">
        <v>47983</v>
      </c>
      <c r="F1139" t="s">
        <v>1988</v>
      </c>
      <c r="G1139" t="s">
        <v>2443</v>
      </c>
      <c r="H1139" t="s">
        <v>2</v>
      </c>
      <c r="I1139" s="1">
        <v>46224</v>
      </c>
      <c r="J1139" t="s">
        <v>1989</v>
      </c>
      <c r="K1139" t="s">
        <v>3459</v>
      </c>
      <c r="L1139" s="1">
        <v>46224.918321759258</v>
      </c>
      <c r="M1139" s="1">
        <v>46224.91962439815</v>
      </c>
    </row>
    <row r="1140" spans="1:13" x14ac:dyDescent="0.35">
      <c r="A1140" t="s">
        <v>260</v>
      </c>
      <c r="B1140" t="s">
        <v>1986</v>
      </c>
      <c r="C1140" t="s">
        <v>2443</v>
      </c>
      <c r="D1140">
        <v>1.625</v>
      </c>
      <c r="E1140" s="1">
        <v>47983</v>
      </c>
      <c r="F1140" t="s">
        <v>1988</v>
      </c>
      <c r="G1140" t="s">
        <v>2443</v>
      </c>
      <c r="H1140" t="s">
        <v>2</v>
      </c>
      <c r="I1140" s="1">
        <v>46224</v>
      </c>
      <c r="J1140" t="s">
        <v>2064</v>
      </c>
      <c r="K1140" t="s">
        <v>2616</v>
      </c>
      <c r="L1140" s="1">
        <v>46224.917650462965</v>
      </c>
      <c r="M1140" s="1">
        <v>46224.91962439815</v>
      </c>
    </row>
    <row r="1141" spans="1:13" x14ac:dyDescent="0.35">
      <c r="A1141" t="s">
        <v>260</v>
      </c>
      <c r="B1141" t="s">
        <v>1986</v>
      </c>
      <c r="C1141" t="s">
        <v>2443</v>
      </c>
      <c r="D1141">
        <v>1.625</v>
      </c>
      <c r="E1141" s="1">
        <v>47983</v>
      </c>
      <c r="F1141" t="s">
        <v>1988</v>
      </c>
      <c r="G1141" t="s">
        <v>2443</v>
      </c>
      <c r="H1141" t="s">
        <v>2</v>
      </c>
      <c r="I1141" s="1">
        <v>46224</v>
      </c>
      <c r="J1141" t="s">
        <v>2108</v>
      </c>
      <c r="K1141" t="s">
        <v>2450</v>
      </c>
      <c r="L1141" s="1">
        <v>46224.917650462965</v>
      </c>
      <c r="M1141" s="1">
        <v>46224.91962439815</v>
      </c>
    </row>
    <row r="1142" spans="1:13" x14ac:dyDescent="0.35">
      <c r="A1142" t="s">
        <v>261</v>
      </c>
      <c r="B1142" t="s">
        <v>1986</v>
      </c>
      <c r="C1142" t="s">
        <v>2400</v>
      </c>
      <c r="D1142">
        <v>1.25</v>
      </c>
      <c r="E1142" s="1">
        <v>46904</v>
      </c>
      <c r="F1142" t="s">
        <v>1988</v>
      </c>
      <c r="G1142" t="s">
        <v>2400</v>
      </c>
      <c r="H1142" t="s">
        <v>2</v>
      </c>
      <c r="I1142" s="1">
        <v>46224</v>
      </c>
      <c r="J1142" t="s">
        <v>2065</v>
      </c>
      <c r="K1142" t="s">
        <v>2519</v>
      </c>
      <c r="L1142" s="1">
        <v>46224.917650462965</v>
      </c>
      <c r="M1142" s="1">
        <v>46224.91962439815</v>
      </c>
    </row>
    <row r="1143" spans="1:13" x14ac:dyDescent="0.35">
      <c r="A1143" t="s">
        <v>261</v>
      </c>
      <c r="B1143" t="s">
        <v>1986</v>
      </c>
      <c r="C1143" t="s">
        <v>2400</v>
      </c>
      <c r="D1143">
        <v>1.25</v>
      </c>
      <c r="E1143" s="1">
        <v>46904</v>
      </c>
      <c r="F1143" t="s">
        <v>1988</v>
      </c>
      <c r="G1143" t="s">
        <v>2400</v>
      </c>
      <c r="H1143" t="s">
        <v>2</v>
      </c>
      <c r="I1143" s="1">
        <v>46224</v>
      </c>
      <c r="J1143" t="s">
        <v>2108</v>
      </c>
      <c r="K1143" t="s">
        <v>2944</v>
      </c>
      <c r="L1143" s="1">
        <v>46224.917650462965</v>
      </c>
      <c r="M1143" s="1">
        <v>46224.91962439815</v>
      </c>
    </row>
    <row r="1144" spans="1:13" x14ac:dyDescent="0.35">
      <c r="A1144" t="s">
        <v>261</v>
      </c>
      <c r="B1144" t="s">
        <v>1986</v>
      </c>
      <c r="C1144" t="s">
        <v>2400</v>
      </c>
      <c r="D1144">
        <v>1.25</v>
      </c>
      <c r="E1144" s="1">
        <v>46904</v>
      </c>
      <c r="F1144" t="s">
        <v>1988</v>
      </c>
      <c r="G1144" t="s">
        <v>2400</v>
      </c>
      <c r="H1144" t="s">
        <v>2</v>
      </c>
      <c r="I1144" s="1">
        <v>46224</v>
      </c>
      <c r="J1144" t="s">
        <v>2064</v>
      </c>
      <c r="K1144" t="s">
        <v>2519</v>
      </c>
      <c r="L1144" s="1">
        <v>46224.917650462965</v>
      </c>
      <c r="M1144" s="1">
        <v>46224.91962439815</v>
      </c>
    </row>
    <row r="1145" spans="1:13" x14ac:dyDescent="0.35">
      <c r="A1145" t="s">
        <v>261</v>
      </c>
      <c r="B1145" t="s">
        <v>1986</v>
      </c>
      <c r="C1145" t="s">
        <v>2400</v>
      </c>
      <c r="D1145">
        <v>1.25</v>
      </c>
      <c r="E1145" s="1">
        <v>46904</v>
      </c>
      <c r="F1145" t="s">
        <v>1988</v>
      </c>
      <c r="G1145" t="s">
        <v>2400</v>
      </c>
      <c r="H1145" t="s">
        <v>2</v>
      </c>
      <c r="I1145" s="1">
        <v>46224</v>
      </c>
      <c r="J1145" t="s">
        <v>1989</v>
      </c>
      <c r="K1145" t="s">
        <v>3601</v>
      </c>
      <c r="L1145" s="1">
        <v>46224.918321759258</v>
      </c>
      <c r="M1145" s="1">
        <v>46224.91962439815</v>
      </c>
    </row>
    <row r="1146" spans="1:13" x14ac:dyDescent="0.35">
      <c r="A1146" t="s">
        <v>261</v>
      </c>
      <c r="B1146" t="s">
        <v>1986</v>
      </c>
      <c r="C1146" t="s">
        <v>2400</v>
      </c>
      <c r="D1146">
        <v>1.25</v>
      </c>
      <c r="E1146" s="1">
        <v>46904</v>
      </c>
      <c r="F1146" t="s">
        <v>1988</v>
      </c>
      <c r="G1146" t="s">
        <v>2400</v>
      </c>
      <c r="H1146" t="s">
        <v>2</v>
      </c>
      <c r="I1146" s="1">
        <v>46224</v>
      </c>
      <c r="J1146" t="s">
        <v>2146</v>
      </c>
      <c r="K1146" t="s">
        <v>2944</v>
      </c>
      <c r="L1146" s="1">
        <v>46224.917650462965</v>
      </c>
      <c r="M1146" s="1">
        <v>46224.91962439815</v>
      </c>
    </row>
    <row r="1147" spans="1:13" x14ac:dyDescent="0.35">
      <c r="A1147" t="s">
        <v>261</v>
      </c>
      <c r="B1147" t="s">
        <v>1986</v>
      </c>
      <c r="C1147" t="s">
        <v>2400</v>
      </c>
      <c r="D1147">
        <v>1.25</v>
      </c>
      <c r="E1147" s="1">
        <v>46904</v>
      </c>
      <c r="F1147" t="s">
        <v>1988</v>
      </c>
      <c r="G1147" t="s">
        <v>2400</v>
      </c>
      <c r="H1147" t="s">
        <v>2</v>
      </c>
      <c r="I1147" s="1">
        <v>46224</v>
      </c>
      <c r="J1147" t="s">
        <v>1991</v>
      </c>
      <c r="K1147" t="s">
        <v>3803</v>
      </c>
      <c r="L1147" s="1">
        <v>46224.918321759258</v>
      </c>
      <c r="M1147" s="1">
        <v>46224.91962439815</v>
      </c>
    </row>
    <row r="1148" spans="1:13" x14ac:dyDescent="0.35">
      <c r="A1148" t="s">
        <v>309</v>
      </c>
      <c r="B1148" t="s">
        <v>1986</v>
      </c>
      <c r="C1148" t="s">
        <v>2372</v>
      </c>
      <c r="D1148">
        <v>1.25</v>
      </c>
      <c r="E1148" s="1">
        <v>46934</v>
      </c>
      <c r="F1148" t="s">
        <v>1988</v>
      </c>
      <c r="G1148" t="s">
        <v>2372</v>
      </c>
      <c r="H1148" t="s">
        <v>2</v>
      </c>
      <c r="I1148" s="1">
        <v>46224</v>
      </c>
      <c r="J1148" t="s">
        <v>2064</v>
      </c>
      <c r="K1148" t="s">
        <v>2593</v>
      </c>
      <c r="L1148" s="1">
        <v>46224.917650462965</v>
      </c>
      <c r="M1148" s="1">
        <v>46224.91962439815</v>
      </c>
    </row>
    <row r="1149" spans="1:13" x14ac:dyDescent="0.35">
      <c r="A1149" t="s">
        <v>309</v>
      </c>
      <c r="B1149" t="s">
        <v>1986</v>
      </c>
      <c r="C1149" t="s">
        <v>2372</v>
      </c>
      <c r="D1149">
        <v>1.25</v>
      </c>
      <c r="E1149" s="1">
        <v>46934</v>
      </c>
      <c r="F1149" t="s">
        <v>1988</v>
      </c>
      <c r="G1149" t="s">
        <v>2372</v>
      </c>
      <c r="H1149" t="s">
        <v>2</v>
      </c>
      <c r="I1149" s="1">
        <v>46224</v>
      </c>
      <c r="J1149" t="s">
        <v>2146</v>
      </c>
      <c r="K1149" t="s">
        <v>2526</v>
      </c>
      <c r="L1149" s="1">
        <v>46224.917650462965</v>
      </c>
      <c r="M1149" s="1">
        <v>46224.91962439815</v>
      </c>
    </row>
    <row r="1150" spans="1:13" x14ac:dyDescent="0.35">
      <c r="A1150" t="s">
        <v>309</v>
      </c>
      <c r="B1150" t="s">
        <v>1986</v>
      </c>
      <c r="C1150" t="s">
        <v>2372</v>
      </c>
      <c r="D1150">
        <v>1.25</v>
      </c>
      <c r="E1150" s="1">
        <v>46934</v>
      </c>
      <c r="F1150" t="s">
        <v>1988</v>
      </c>
      <c r="G1150" t="s">
        <v>2372</v>
      </c>
      <c r="H1150" t="s">
        <v>2</v>
      </c>
      <c r="I1150" s="1">
        <v>46224</v>
      </c>
      <c r="J1150" t="s">
        <v>1989</v>
      </c>
      <c r="K1150" t="s">
        <v>3602</v>
      </c>
      <c r="L1150" s="1">
        <v>46224.918321759258</v>
      </c>
      <c r="M1150" s="1">
        <v>46224.91962439815</v>
      </c>
    </row>
    <row r="1151" spans="1:13" x14ac:dyDescent="0.35">
      <c r="A1151" t="s">
        <v>309</v>
      </c>
      <c r="B1151" t="s">
        <v>1986</v>
      </c>
      <c r="C1151" t="s">
        <v>2372</v>
      </c>
      <c r="D1151">
        <v>1.25</v>
      </c>
      <c r="E1151" s="1">
        <v>46934</v>
      </c>
      <c r="F1151" t="s">
        <v>1988</v>
      </c>
      <c r="G1151" t="s">
        <v>2372</v>
      </c>
      <c r="H1151" t="s">
        <v>2</v>
      </c>
      <c r="I1151" s="1">
        <v>46224</v>
      </c>
      <c r="J1151" t="s">
        <v>2065</v>
      </c>
      <c r="K1151" t="s">
        <v>2593</v>
      </c>
      <c r="L1151" s="1">
        <v>46224.917650462965</v>
      </c>
      <c r="M1151" s="1">
        <v>46224.91962439815</v>
      </c>
    </row>
    <row r="1152" spans="1:13" x14ac:dyDescent="0.35">
      <c r="A1152" t="s">
        <v>309</v>
      </c>
      <c r="B1152" t="s">
        <v>1986</v>
      </c>
      <c r="C1152" t="s">
        <v>2372</v>
      </c>
      <c r="D1152">
        <v>1.25</v>
      </c>
      <c r="E1152" s="1">
        <v>46934</v>
      </c>
      <c r="F1152" t="s">
        <v>1988</v>
      </c>
      <c r="G1152" t="s">
        <v>2372</v>
      </c>
      <c r="H1152" t="s">
        <v>2</v>
      </c>
      <c r="I1152" s="1">
        <v>46224</v>
      </c>
      <c r="J1152" t="s">
        <v>1991</v>
      </c>
      <c r="K1152" t="s">
        <v>3804</v>
      </c>
      <c r="L1152" s="1">
        <v>46224.918321759258</v>
      </c>
      <c r="M1152" s="1">
        <v>46224.91962439815</v>
      </c>
    </row>
    <row r="1153" spans="1:13" x14ac:dyDescent="0.35">
      <c r="A1153" t="s">
        <v>309</v>
      </c>
      <c r="B1153" t="s">
        <v>1986</v>
      </c>
      <c r="C1153" t="s">
        <v>2372</v>
      </c>
      <c r="D1153">
        <v>1.25</v>
      </c>
      <c r="E1153" s="1">
        <v>46934</v>
      </c>
      <c r="F1153" t="s">
        <v>1988</v>
      </c>
      <c r="G1153" t="s">
        <v>2372</v>
      </c>
      <c r="H1153" t="s">
        <v>2</v>
      </c>
      <c r="I1153" s="1">
        <v>46224</v>
      </c>
      <c r="J1153" t="s">
        <v>2108</v>
      </c>
      <c r="K1153" t="s">
        <v>2526</v>
      </c>
      <c r="L1153" s="1">
        <v>46224.917650462965</v>
      </c>
      <c r="M1153" s="1">
        <v>46224.91962439815</v>
      </c>
    </row>
    <row r="1154" spans="1:13" x14ac:dyDescent="0.35">
      <c r="A1154" t="s">
        <v>320</v>
      </c>
      <c r="B1154" t="s">
        <v>1986</v>
      </c>
      <c r="C1154" t="s">
        <v>2817</v>
      </c>
      <c r="D1154">
        <v>0.125</v>
      </c>
      <c r="E1154" s="1">
        <v>48044</v>
      </c>
      <c r="F1154" t="s">
        <v>2014</v>
      </c>
      <c r="G1154" t="s">
        <v>2817</v>
      </c>
      <c r="H1154" t="s">
        <v>2</v>
      </c>
      <c r="I1154" s="1">
        <v>46224</v>
      </c>
      <c r="J1154" t="s">
        <v>1991</v>
      </c>
      <c r="K1154" t="s">
        <v>4129</v>
      </c>
      <c r="L1154" s="1">
        <v>46224.918321759258</v>
      </c>
      <c r="M1154" s="1">
        <v>46224.91962439815</v>
      </c>
    </row>
    <row r="1155" spans="1:13" x14ac:dyDescent="0.35">
      <c r="A1155" t="s">
        <v>320</v>
      </c>
      <c r="B1155" t="s">
        <v>1986</v>
      </c>
      <c r="C1155" t="s">
        <v>2817</v>
      </c>
      <c r="D1155">
        <v>0.125</v>
      </c>
      <c r="E1155" s="1">
        <v>48044</v>
      </c>
      <c r="F1155" t="s">
        <v>2014</v>
      </c>
      <c r="G1155" t="s">
        <v>2817</v>
      </c>
      <c r="H1155" t="s">
        <v>2</v>
      </c>
      <c r="I1155" s="1">
        <v>46224</v>
      </c>
      <c r="J1155" t="s">
        <v>1989</v>
      </c>
      <c r="K1155" t="s">
        <v>3805</v>
      </c>
      <c r="L1155" s="1">
        <v>46224.918321759258</v>
      </c>
      <c r="M1155" s="1">
        <v>46224.91962439815</v>
      </c>
    </row>
    <row r="1156" spans="1:13" x14ac:dyDescent="0.35">
      <c r="A1156" t="s">
        <v>262</v>
      </c>
      <c r="B1156" t="s">
        <v>1986</v>
      </c>
      <c r="C1156" t="s">
        <v>2402</v>
      </c>
      <c r="D1156">
        <v>0.625</v>
      </c>
      <c r="E1156" s="1">
        <v>46234</v>
      </c>
      <c r="F1156" t="s">
        <v>1988</v>
      </c>
      <c r="G1156" t="s">
        <v>2402</v>
      </c>
      <c r="H1156" t="s">
        <v>2</v>
      </c>
      <c r="I1156" s="1">
        <v>46224</v>
      </c>
      <c r="J1156" t="s">
        <v>2064</v>
      </c>
      <c r="K1156" t="s">
        <v>3479</v>
      </c>
      <c r="L1156" s="1">
        <v>46224.917650462965</v>
      </c>
      <c r="M1156" s="1">
        <v>46224.91962439815</v>
      </c>
    </row>
    <row r="1157" spans="1:13" x14ac:dyDescent="0.35">
      <c r="A1157" t="s">
        <v>262</v>
      </c>
      <c r="B1157" t="s">
        <v>1986</v>
      </c>
      <c r="C1157" t="s">
        <v>2402</v>
      </c>
      <c r="D1157">
        <v>0.625</v>
      </c>
      <c r="E1157" s="1">
        <v>46234</v>
      </c>
      <c r="F1157" t="s">
        <v>1988</v>
      </c>
      <c r="G1157" t="s">
        <v>2402</v>
      </c>
      <c r="H1157" t="s">
        <v>2</v>
      </c>
      <c r="I1157" s="1">
        <v>46224</v>
      </c>
      <c r="J1157" t="s">
        <v>1991</v>
      </c>
      <c r="K1157" t="s">
        <v>3460</v>
      </c>
      <c r="L1157" s="1">
        <v>46224.918321759258</v>
      </c>
      <c r="M1157" s="1">
        <v>46224.91962439815</v>
      </c>
    </row>
    <row r="1158" spans="1:13" x14ac:dyDescent="0.35">
      <c r="A1158" t="s">
        <v>262</v>
      </c>
      <c r="B1158" t="s">
        <v>1986</v>
      </c>
      <c r="C1158" t="s">
        <v>2402</v>
      </c>
      <c r="D1158">
        <v>0.625</v>
      </c>
      <c r="E1158" s="1">
        <v>46234</v>
      </c>
      <c r="F1158" t="s">
        <v>1988</v>
      </c>
      <c r="G1158" t="s">
        <v>2402</v>
      </c>
      <c r="H1158" t="s">
        <v>2</v>
      </c>
      <c r="I1158" s="1">
        <v>46224</v>
      </c>
      <c r="J1158" t="s">
        <v>2108</v>
      </c>
      <c r="K1158" t="s">
        <v>3461</v>
      </c>
      <c r="L1158" s="1">
        <v>46224.917650462965</v>
      </c>
      <c r="M1158" s="1">
        <v>46224.91962439815</v>
      </c>
    </row>
    <row r="1159" spans="1:13" x14ac:dyDescent="0.35">
      <c r="A1159" t="s">
        <v>262</v>
      </c>
      <c r="B1159" t="s">
        <v>1986</v>
      </c>
      <c r="C1159" t="s">
        <v>2402</v>
      </c>
      <c r="D1159">
        <v>0.625</v>
      </c>
      <c r="E1159" s="1">
        <v>46234</v>
      </c>
      <c r="F1159" t="s">
        <v>1988</v>
      </c>
      <c r="G1159" t="s">
        <v>2402</v>
      </c>
      <c r="H1159" t="s">
        <v>2</v>
      </c>
      <c r="I1159" s="1">
        <v>46224</v>
      </c>
      <c r="J1159" t="s">
        <v>2065</v>
      </c>
      <c r="K1159" t="s">
        <v>3479</v>
      </c>
      <c r="L1159" s="1">
        <v>46224.917650462965</v>
      </c>
      <c r="M1159" s="1">
        <v>46224.91962439815</v>
      </c>
    </row>
    <row r="1160" spans="1:13" x14ac:dyDescent="0.35">
      <c r="A1160" t="s">
        <v>262</v>
      </c>
      <c r="B1160" t="s">
        <v>1986</v>
      </c>
      <c r="C1160" t="s">
        <v>2402</v>
      </c>
      <c r="D1160">
        <v>0.625</v>
      </c>
      <c r="E1160" s="1">
        <v>46234</v>
      </c>
      <c r="F1160" t="s">
        <v>1988</v>
      </c>
      <c r="G1160" t="s">
        <v>2402</v>
      </c>
      <c r="H1160" t="s">
        <v>2</v>
      </c>
      <c r="I1160" s="1">
        <v>46224</v>
      </c>
      <c r="J1160" t="s">
        <v>1989</v>
      </c>
      <c r="K1160" t="s">
        <v>2987</v>
      </c>
      <c r="L1160" s="1">
        <v>46224.918321759258</v>
      </c>
      <c r="M1160" s="1">
        <v>46224.91962439815</v>
      </c>
    </row>
    <row r="1161" spans="1:13" x14ac:dyDescent="0.35">
      <c r="A1161" t="s">
        <v>262</v>
      </c>
      <c r="B1161" t="s">
        <v>1986</v>
      </c>
      <c r="C1161" t="s">
        <v>2402</v>
      </c>
      <c r="D1161">
        <v>0.625</v>
      </c>
      <c r="E1161" s="1">
        <v>46234</v>
      </c>
      <c r="F1161" t="s">
        <v>1988</v>
      </c>
      <c r="G1161" t="s">
        <v>2402</v>
      </c>
      <c r="H1161" t="s">
        <v>2</v>
      </c>
      <c r="I1161" s="1">
        <v>46224</v>
      </c>
      <c r="J1161" t="s">
        <v>2146</v>
      </c>
      <c r="K1161" t="s">
        <v>3461</v>
      </c>
      <c r="L1161" s="1">
        <v>46224.917650462965</v>
      </c>
      <c r="M1161" s="1">
        <v>46224.91962439815</v>
      </c>
    </row>
    <row r="1162" spans="1:13" x14ac:dyDescent="0.35">
      <c r="A1162" t="s">
        <v>313</v>
      </c>
      <c r="B1162" t="s">
        <v>1986</v>
      </c>
      <c r="C1162" t="s">
        <v>2458</v>
      </c>
      <c r="D1162">
        <v>1</v>
      </c>
      <c r="E1162" s="1">
        <v>46965</v>
      </c>
      <c r="F1162" t="s">
        <v>1988</v>
      </c>
      <c r="G1162" t="s">
        <v>2458</v>
      </c>
      <c r="H1162" t="s">
        <v>2</v>
      </c>
      <c r="I1162" s="1">
        <v>46224</v>
      </c>
      <c r="J1162" t="s">
        <v>2108</v>
      </c>
      <c r="K1162" t="s">
        <v>2393</v>
      </c>
      <c r="L1162" s="1">
        <v>46224.917650462965</v>
      </c>
      <c r="M1162" s="1">
        <v>46224.91962439815</v>
      </c>
    </row>
    <row r="1163" spans="1:13" x14ac:dyDescent="0.35">
      <c r="A1163" t="s">
        <v>313</v>
      </c>
      <c r="B1163" t="s">
        <v>1986</v>
      </c>
      <c r="C1163" t="s">
        <v>2458</v>
      </c>
      <c r="D1163">
        <v>1</v>
      </c>
      <c r="E1163" s="1">
        <v>46965</v>
      </c>
      <c r="F1163" t="s">
        <v>1988</v>
      </c>
      <c r="G1163" t="s">
        <v>2458</v>
      </c>
      <c r="H1163" t="s">
        <v>2</v>
      </c>
      <c r="I1163" s="1">
        <v>46224</v>
      </c>
      <c r="J1163" t="s">
        <v>2064</v>
      </c>
      <c r="K1163" t="s">
        <v>2872</v>
      </c>
      <c r="L1163" s="1">
        <v>46224.917650462965</v>
      </c>
      <c r="M1163" s="1">
        <v>46224.91962439815</v>
      </c>
    </row>
    <row r="1164" spans="1:13" x14ac:dyDescent="0.35">
      <c r="A1164" t="s">
        <v>313</v>
      </c>
      <c r="B1164" t="s">
        <v>1986</v>
      </c>
      <c r="C1164" t="s">
        <v>2458</v>
      </c>
      <c r="D1164">
        <v>1</v>
      </c>
      <c r="E1164" s="1">
        <v>46965</v>
      </c>
      <c r="F1164" t="s">
        <v>1988</v>
      </c>
      <c r="G1164" t="s">
        <v>2458</v>
      </c>
      <c r="H1164" t="s">
        <v>2</v>
      </c>
      <c r="I1164" s="1">
        <v>46224</v>
      </c>
      <c r="J1164" t="s">
        <v>2146</v>
      </c>
      <c r="K1164" t="s">
        <v>2393</v>
      </c>
      <c r="L1164" s="1">
        <v>46224.917650462965</v>
      </c>
      <c r="M1164" s="1">
        <v>46224.91962439815</v>
      </c>
    </row>
    <row r="1165" spans="1:13" x14ac:dyDescent="0.35">
      <c r="A1165" t="s">
        <v>313</v>
      </c>
      <c r="B1165" t="s">
        <v>1986</v>
      </c>
      <c r="C1165" t="s">
        <v>2458</v>
      </c>
      <c r="D1165">
        <v>1</v>
      </c>
      <c r="E1165" s="1">
        <v>46965</v>
      </c>
      <c r="F1165" t="s">
        <v>1988</v>
      </c>
      <c r="G1165" t="s">
        <v>2458</v>
      </c>
      <c r="H1165" t="s">
        <v>2</v>
      </c>
      <c r="I1165" s="1">
        <v>46224</v>
      </c>
      <c r="J1165" t="s">
        <v>1989</v>
      </c>
      <c r="K1165" t="s">
        <v>3481</v>
      </c>
      <c r="L1165" s="1">
        <v>46224.918321759258</v>
      </c>
      <c r="M1165" s="1">
        <v>46224.91962439815</v>
      </c>
    </row>
    <row r="1166" spans="1:13" x14ac:dyDescent="0.35">
      <c r="A1166" t="s">
        <v>313</v>
      </c>
      <c r="B1166" t="s">
        <v>1986</v>
      </c>
      <c r="C1166" t="s">
        <v>2458</v>
      </c>
      <c r="D1166">
        <v>1</v>
      </c>
      <c r="E1166" s="1">
        <v>46965</v>
      </c>
      <c r="F1166" t="s">
        <v>1988</v>
      </c>
      <c r="G1166" t="s">
        <v>2458</v>
      </c>
      <c r="H1166" t="s">
        <v>2</v>
      </c>
      <c r="I1166" s="1">
        <v>46224</v>
      </c>
      <c r="J1166" t="s">
        <v>1991</v>
      </c>
      <c r="K1166" t="s">
        <v>3766</v>
      </c>
      <c r="L1166" s="1">
        <v>46224.918321759258</v>
      </c>
      <c r="M1166" s="1">
        <v>46224.91962439815</v>
      </c>
    </row>
    <row r="1167" spans="1:13" x14ac:dyDescent="0.35">
      <c r="A1167" t="s">
        <v>313</v>
      </c>
      <c r="B1167" t="s">
        <v>1986</v>
      </c>
      <c r="C1167" t="s">
        <v>2458</v>
      </c>
      <c r="D1167">
        <v>1</v>
      </c>
      <c r="E1167" s="1">
        <v>46965</v>
      </c>
      <c r="F1167" t="s">
        <v>1988</v>
      </c>
      <c r="G1167" t="s">
        <v>2458</v>
      </c>
      <c r="H1167" t="s">
        <v>2</v>
      </c>
      <c r="I1167" s="1">
        <v>46224</v>
      </c>
      <c r="J1167" t="s">
        <v>2065</v>
      </c>
      <c r="K1167" t="s">
        <v>2872</v>
      </c>
      <c r="L1167" s="1">
        <v>46224.917650462965</v>
      </c>
      <c r="M1167" s="1">
        <v>46224.91962439815</v>
      </c>
    </row>
    <row r="1168" spans="1:13" x14ac:dyDescent="0.35">
      <c r="A1168" t="s">
        <v>263</v>
      </c>
      <c r="B1168" t="s">
        <v>1986</v>
      </c>
      <c r="C1168" t="s">
        <v>2373</v>
      </c>
      <c r="D1168">
        <v>1.25</v>
      </c>
      <c r="E1168" s="1">
        <v>48075</v>
      </c>
      <c r="F1168" t="s">
        <v>1988</v>
      </c>
      <c r="G1168" t="s">
        <v>2373</v>
      </c>
      <c r="H1168" t="s">
        <v>2</v>
      </c>
      <c r="I1168" s="1">
        <v>46224</v>
      </c>
      <c r="J1168" t="s">
        <v>2064</v>
      </c>
      <c r="K1168" t="s">
        <v>3603</v>
      </c>
      <c r="L1168" s="1">
        <v>46224.917650462965</v>
      </c>
      <c r="M1168" s="1">
        <v>46224.91962439815</v>
      </c>
    </row>
    <row r="1169" spans="1:13" x14ac:dyDescent="0.35">
      <c r="A1169" t="s">
        <v>263</v>
      </c>
      <c r="B1169" t="s">
        <v>1986</v>
      </c>
      <c r="C1169" t="s">
        <v>2373</v>
      </c>
      <c r="D1169">
        <v>1.25</v>
      </c>
      <c r="E1169" s="1">
        <v>48075</v>
      </c>
      <c r="F1169" t="s">
        <v>1988</v>
      </c>
      <c r="G1169" t="s">
        <v>2373</v>
      </c>
      <c r="H1169" t="s">
        <v>2</v>
      </c>
      <c r="I1169" s="1">
        <v>46224</v>
      </c>
      <c r="J1169" t="s">
        <v>2146</v>
      </c>
      <c r="K1169" t="s">
        <v>3604</v>
      </c>
      <c r="L1169" s="1">
        <v>46224.917650462965</v>
      </c>
      <c r="M1169" s="1">
        <v>46224.91962439815</v>
      </c>
    </row>
    <row r="1170" spans="1:13" x14ac:dyDescent="0.35">
      <c r="A1170" t="s">
        <v>263</v>
      </c>
      <c r="B1170" t="s">
        <v>1986</v>
      </c>
      <c r="C1170" t="s">
        <v>2373</v>
      </c>
      <c r="D1170">
        <v>1.25</v>
      </c>
      <c r="E1170" s="1">
        <v>48075</v>
      </c>
      <c r="F1170" t="s">
        <v>1988</v>
      </c>
      <c r="G1170" t="s">
        <v>2373</v>
      </c>
      <c r="H1170" t="s">
        <v>2</v>
      </c>
      <c r="I1170" s="1">
        <v>46224</v>
      </c>
      <c r="J1170" t="s">
        <v>1989</v>
      </c>
      <c r="K1170" t="s">
        <v>3767</v>
      </c>
      <c r="L1170" s="1">
        <v>46224.918321759258</v>
      </c>
      <c r="M1170" s="1">
        <v>46224.91962439815</v>
      </c>
    </row>
    <row r="1171" spans="1:13" x14ac:dyDescent="0.35">
      <c r="A1171" t="s">
        <v>263</v>
      </c>
      <c r="B1171" t="s">
        <v>1986</v>
      </c>
      <c r="C1171" t="s">
        <v>2373</v>
      </c>
      <c r="D1171">
        <v>1.25</v>
      </c>
      <c r="E1171" s="1">
        <v>48075</v>
      </c>
      <c r="F1171" t="s">
        <v>1988</v>
      </c>
      <c r="G1171" t="s">
        <v>2373</v>
      </c>
      <c r="H1171" t="s">
        <v>2</v>
      </c>
      <c r="I1171" s="1">
        <v>46224</v>
      </c>
      <c r="J1171" t="s">
        <v>2108</v>
      </c>
      <c r="K1171" t="s">
        <v>3604</v>
      </c>
      <c r="L1171" s="1">
        <v>46224.917650462965</v>
      </c>
      <c r="M1171" s="1">
        <v>46224.91962439815</v>
      </c>
    </row>
    <row r="1172" spans="1:13" x14ac:dyDescent="0.35">
      <c r="A1172" t="s">
        <v>263</v>
      </c>
      <c r="B1172" t="s">
        <v>1986</v>
      </c>
      <c r="C1172" t="s">
        <v>2373</v>
      </c>
      <c r="D1172">
        <v>1.25</v>
      </c>
      <c r="E1172" s="1">
        <v>48075</v>
      </c>
      <c r="F1172" t="s">
        <v>1988</v>
      </c>
      <c r="G1172" t="s">
        <v>2373</v>
      </c>
      <c r="H1172" t="s">
        <v>2</v>
      </c>
      <c r="I1172" s="1">
        <v>46224</v>
      </c>
      <c r="J1172" t="s">
        <v>1991</v>
      </c>
      <c r="K1172" t="s">
        <v>3806</v>
      </c>
      <c r="L1172" s="1">
        <v>46224.918321759258</v>
      </c>
      <c r="M1172" s="1">
        <v>46224.91962439815</v>
      </c>
    </row>
    <row r="1173" spans="1:13" x14ac:dyDescent="0.35">
      <c r="A1173" t="s">
        <v>263</v>
      </c>
      <c r="B1173" t="s">
        <v>1986</v>
      </c>
      <c r="C1173" t="s">
        <v>2373</v>
      </c>
      <c r="D1173">
        <v>1.25</v>
      </c>
      <c r="E1173" s="1">
        <v>48075</v>
      </c>
      <c r="F1173" t="s">
        <v>1988</v>
      </c>
      <c r="G1173" t="s">
        <v>2373</v>
      </c>
      <c r="H1173" t="s">
        <v>2</v>
      </c>
      <c r="I1173" s="1">
        <v>46224</v>
      </c>
      <c r="J1173" t="s">
        <v>2065</v>
      </c>
      <c r="K1173" t="s">
        <v>3603</v>
      </c>
      <c r="L1173" s="1">
        <v>46224.917650462965</v>
      </c>
      <c r="M1173" s="1">
        <v>46224.91962439815</v>
      </c>
    </row>
    <row r="1174" spans="1:13" x14ac:dyDescent="0.35">
      <c r="A1174" t="s">
        <v>310</v>
      </c>
      <c r="B1174" t="s">
        <v>1986</v>
      </c>
      <c r="C1174" t="s">
        <v>2375</v>
      </c>
      <c r="D1174">
        <v>1.125</v>
      </c>
      <c r="E1174" s="1">
        <v>46996</v>
      </c>
      <c r="F1174" t="s">
        <v>1988</v>
      </c>
      <c r="G1174" t="s">
        <v>2375</v>
      </c>
      <c r="H1174" t="s">
        <v>2</v>
      </c>
      <c r="I1174" s="1">
        <v>46224</v>
      </c>
      <c r="J1174" t="s">
        <v>1989</v>
      </c>
      <c r="K1174" t="s">
        <v>3793</v>
      </c>
      <c r="L1174" s="1">
        <v>46224.918321759258</v>
      </c>
      <c r="M1174" s="1">
        <v>46224.91962439815</v>
      </c>
    </row>
    <row r="1175" spans="1:13" x14ac:dyDescent="0.35">
      <c r="A1175" t="s">
        <v>310</v>
      </c>
      <c r="B1175" t="s">
        <v>1986</v>
      </c>
      <c r="C1175" t="s">
        <v>2375</v>
      </c>
      <c r="D1175">
        <v>1.125</v>
      </c>
      <c r="E1175" s="1">
        <v>46996</v>
      </c>
      <c r="F1175" t="s">
        <v>1988</v>
      </c>
      <c r="G1175" t="s">
        <v>2375</v>
      </c>
      <c r="H1175" t="s">
        <v>2</v>
      </c>
      <c r="I1175" s="1">
        <v>46224</v>
      </c>
      <c r="J1175" t="s">
        <v>1991</v>
      </c>
      <c r="K1175" t="s">
        <v>2911</v>
      </c>
      <c r="L1175" s="1">
        <v>46224.918321759258</v>
      </c>
      <c r="M1175" s="1">
        <v>46224.91962439815</v>
      </c>
    </row>
    <row r="1176" spans="1:13" x14ac:dyDescent="0.35">
      <c r="A1176" t="s">
        <v>310</v>
      </c>
      <c r="B1176" t="s">
        <v>1986</v>
      </c>
      <c r="C1176" t="s">
        <v>2375</v>
      </c>
      <c r="D1176">
        <v>1.125</v>
      </c>
      <c r="E1176" s="1">
        <v>46996</v>
      </c>
      <c r="F1176" t="s">
        <v>1988</v>
      </c>
      <c r="G1176" t="s">
        <v>2375</v>
      </c>
      <c r="H1176" t="s">
        <v>2</v>
      </c>
      <c r="I1176" s="1">
        <v>46224</v>
      </c>
      <c r="J1176" t="s">
        <v>2108</v>
      </c>
      <c r="K1176" t="s">
        <v>2771</v>
      </c>
      <c r="L1176" s="1">
        <v>46224.917650462965</v>
      </c>
      <c r="M1176" s="1">
        <v>46224.91962439815</v>
      </c>
    </row>
    <row r="1177" spans="1:13" x14ac:dyDescent="0.35">
      <c r="A1177" t="s">
        <v>310</v>
      </c>
      <c r="B1177" t="s">
        <v>1986</v>
      </c>
      <c r="C1177" t="s">
        <v>2375</v>
      </c>
      <c r="D1177">
        <v>1.125</v>
      </c>
      <c r="E1177" s="1">
        <v>46996</v>
      </c>
      <c r="F1177" t="s">
        <v>1988</v>
      </c>
      <c r="G1177" t="s">
        <v>2375</v>
      </c>
      <c r="H1177" t="s">
        <v>2</v>
      </c>
      <c r="I1177" s="1">
        <v>46224</v>
      </c>
      <c r="J1177" t="s">
        <v>2065</v>
      </c>
      <c r="K1177" t="s">
        <v>2608</v>
      </c>
      <c r="L1177" s="1">
        <v>46224.917650462965</v>
      </c>
      <c r="M1177" s="1">
        <v>46224.91962439815</v>
      </c>
    </row>
    <row r="1178" spans="1:13" x14ac:dyDescent="0.35">
      <c r="A1178" t="s">
        <v>310</v>
      </c>
      <c r="B1178" t="s">
        <v>1986</v>
      </c>
      <c r="C1178" t="s">
        <v>2375</v>
      </c>
      <c r="D1178">
        <v>1.125</v>
      </c>
      <c r="E1178" s="1">
        <v>46996</v>
      </c>
      <c r="F1178" t="s">
        <v>1988</v>
      </c>
      <c r="G1178" t="s">
        <v>2375</v>
      </c>
      <c r="H1178" t="s">
        <v>2</v>
      </c>
      <c r="I1178" s="1">
        <v>46224</v>
      </c>
      <c r="J1178" t="s">
        <v>2064</v>
      </c>
      <c r="K1178" t="s">
        <v>2608</v>
      </c>
      <c r="L1178" s="1">
        <v>46224.917650462965</v>
      </c>
      <c r="M1178" s="1">
        <v>46224.91962439815</v>
      </c>
    </row>
    <row r="1179" spans="1:13" x14ac:dyDescent="0.35">
      <c r="A1179" t="s">
        <v>310</v>
      </c>
      <c r="B1179" t="s">
        <v>1986</v>
      </c>
      <c r="C1179" t="s">
        <v>2375</v>
      </c>
      <c r="D1179">
        <v>1.125</v>
      </c>
      <c r="E1179" s="1">
        <v>46996</v>
      </c>
      <c r="F1179" t="s">
        <v>1988</v>
      </c>
      <c r="G1179" t="s">
        <v>2375</v>
      </c>
      <c r="H1179" t="s">
        <v>2</v>
      </c>
      <c r="I1179" s="1">
        <v>46224</v>
      </c>
      <c r="J1179" t="s">
        <v>2146</v>
      </c>
      <c r="K1179" t="s">
        <v>2771</v>
      </c>
      <c r="L1179" s="1">
        <v>46224.917650462965</v>
      </c>
      <c r="M1179" s="1">
        <v>46224.91962439815</v>
      </c>
    </row>
    <row r="1180" spans="1:13" x14ac:dyDescent="0.35">
      <c r="A1180" t="s">
        <v>311</v>
      </c>
      <c r="B1180" t="s">
        <v>1986</v>
      </c>
      <c r="C1180" t="s">
        <v>2377</v>
      </c>
      <c r="D1180">
        <v>0.75</v>
      </c>
      <c r="E1180" s="1">
        <v>46265</v>
      </c>
      <c r="F1180" t="s">
        <v>1988</v>
      </c>
      <c r="G1180" t="s">
        <v>2377</v>
      </c>
      <c r="H1180" t="s">
        <v>2</v>
      </c>
      <c r="I1180" s="1">
        <v>46224</v>
      </c>
      <c r="J1180" t="s">
        <v>1991</v>
      </c>
      <c r="K1180" t="s">
        <v>3480</v>
      </c>
      <c r="L1180" s="1">
        <v>46224.918321759258</v>
      </c>
      <c r="M1180" s="1">
        <v>46224.91962439815</v>
      </c>
    </row>
    <row r="1181" spans="1:13" x14ac:dyDescent="0.35">
      <c r="A1181" t="s">
        <v>311</v>
      </c>
      <c r="B1181" t="s">
        <v>1986</v>
      </c>
      <c r="C1181" t="s">
        <v>2377</v>
      </c>
      <c r="D1181">
        <v>0.75</v>
      </c>
      <c r="E1181" s="1">
        <v>46265</v>
      </c>
      <c r="F1181" t="s">
        <v>1988</v>
      </c>
      <c r="G1181" t="s">
        <v>2377</v>
      </c>
      <c r="H1181" t="s">
        <v>2</v>
      </c>
      <c r="I1181" s="1">
        <v>46224</v>
      </c>
      <c r="J1181" t="s">
        <v>2064</v>
      </c>
      <c r="K1181" t="s">
        <v>3008</v>
      </c>
      <c r="L1181" s="1">
        <v>46224.917650462965</v>
      </c>
      <c r="M1181" s="1">
        <v>46224.91962439815</v>
      </c>
    </row>
    <row r="1182" spans="1:13" x14ac:dyDescent="0.35">
      <c r="A1182" t="s">
        <v>311</v>
      </c>
      <c r="B1182" t="s">
        <v>1986</v>
      </c>
      <c r="C1182" t="s">
        <v>2377</v>
      </c>
      <c r="D1182">
        <v>0.75</v>
      </c>
      <c r="E1182" s="1">
        <v>46265</v>
      </c>
      <c r="F1182" t="s">
        <v>1988</v>
      </c>
      <c r="G1182" t="s">
        <v>2377</v>
      </c>
      <c r="H1182" t="s">
        <v>2</v>
      </c>
      <c r="I1182" s="1">
        <v>46224</v>
      </c>
      <c r="J1182" t="s">
        <v>1989</v>
      </c>
      <c r="K1182" t="s">
        <v>3526</v>
      </c>
      <c r="L1182" s="1">
        <v>46224.918321759258</v>
      </c>
      <c r="M1182" s="1">
        <v>46224.91962439815</v>
      </c>
    </row>
    <row r="1183" spans="1:13" x14ac:dyDescent="0.35">
      <c r="A1183" t="s">
        <v>311</v>
      </c>
      <c r="B1183" t="s">
        <v>1986</v>
      </c>
      <c r="C1183" t="s">
        <v>2377</v>
      </c>
      <c r="D1183">
        <v>0.75</v>
      </c>
      <c r="E1183" s="1">
        <v>46265</v>
      </c>
      <c r="F1183" t="s">
        <v>1988</v>
      </c>
      <c r="G1183" t="s">
        <v>2377</v>
      </c>
      <c r="H1183" t="s">
        <v>2</v>
      </c>
      <c r="I1183" s="1">
        <v>46224</v>
      </c>
      <c r="J1183" t="s">
        <v>2146</v>
      </c>
      <c r="K1183" t="s">
        <v>4016</v>
      </c>
      <c r="L1183" s="1">
        <v>46224.917650462965</v>
      </c>
      <c r="M1183" s="1">
        <v>46224.91962439815</v>
      </c>
    </row>
    <row r="1184" spans="1:13" x14ac:dyDescent="0.35">
      <c r="A1184" t="s">
        <v>311</v>
      </c>
      <c r="B1184" t="s">
        <v>1986</v>
      </c>
      <c r="C1184" t="s">
        <v>2377</v>
      </c>
      <c r="D1184">
        <v>0.75</v>
      </c>
      <c r="E1184" s="1">
        <v>46265</v>
      </c>
      <c r="F1184" t="s">
        <v>1988</v>
      </c>
      <c r="G1184" t="s">
        <v>2377</v>
      </c>
      <c r="H1184" t="s">
        <v>2</v>
      </c>
      <c r="I1184" s="1">
        <v>46224</v>
      </c>
      <c r="J1184" t="s">
        <v>2065</v>
      </c>
      <c r="K1184" t="s">
        <v>3008</v>
      </c>
      <c r="L1184" s="1">
        <v>46224.917650462965</v>
      </c>
      <c r="M1184" s="1">
        <v>46224.91962439815</v>
      </c>
    </row>
    <row r="1185" spans="1:13" x14ac:dyDescent="0.35">
      <c r="A1185" t="s">
        <v>311</v>
      </c>
      <c r="B1185" t="s">
        <v>1986</v>
      </c>
      <c r="C1185" t="s">
        <v>2377</v>
      </c>
      <c r="D1185">
        <v>0.75</v>
      </c>
      <c r="E1185" s="1">
        <v>46265</v>
      </c>
      <c r="F1185" t="s">
        <v>1988</v>
      </c>
      <c r="G1185" t="s">
        <v>2377</v>
      </c>
      <c r="H1185" t="s">
        <v>2</v>
      </c>
      <c r="I1185" s="1">
        <v>46224</v>
      </c>
      <c r="J1185" t="s">
        <v>2108</v>
      </c>
      <c r="K1185" t="s">
        <v>4016</v>
      </c>
      <c r="L1185" s="1">
        <v>46224.917650462965</v>
      </c>
      <c r="M1185" s="1">
        <v>46224.91962439815</v>
      </c>
    </row>
    <row r="1186" spans="1:13" x14ac:dyDescent="0.35">
      <c r="A1186" t="s">
        <v>264</v>
      </c>
      <c r="B1186" t="s">
        <v>1986</v>
      </c>
      <c r="C1186" t="s">
        <v>2444</v>
      </c>
      <c r="D1186">
        <v>1.25</v>
      </c>
      <c r="E1186" s="1">
        <v>47026</v>
      </c>
      <c r="F1186" t="s">
        <v>1988</v>
      </c>
      <c r="G1186" t="s">
        <v>2444</v>
      </c>
      <c r="H1186" t="s">
        <v>2</v>
      </c>
      <c r="I1186" s="1">
        <v>46224</v>
      </c>
      <c r="J1186" t="s">
        <v>2108</v>
      </c>
      <c r="K1186" t="s">
        <v>2695</v>
      </c>
      <c r="L1186" s="1">
        <v>46224.917650462965</v>
      </c>
      <c r="M1186" s="1">
        <v>46224.91962439815</v>
      </c>
    </row>
    <row r="1187" spans="1:13" x14ac:dyDescent="0.35">
      <c r="A1187" t="s">
        <v>264</v>
      </c>
      <c r="B1187" t="s">
        <v>1986</v>
      </c>
      <c r="C1187" t="s">
        <v>2444</v>
      </c>
      <c r="D1187">
        <v>1.25</v>
      </c>
      <c r="E1187" s="1">
        <v>47026</v>
      </c>
      <c r="F1187" t="s">
        <v>1988</v>
      </c>
      <c r="G1187" t="s">
        <v>2444</v>
      </c>
      <c r="H1187" t="s">
        <v>2</v>
      </c>
      <c r="I1187" s="1">
        <v>46224</v>
      </c>
      <c r="J1187" t="s">
        <v>2146</v>
      </c>
      <c r="K1187" t="s">
        <v>2695</v>
      </c>
      <c r="L1187" s="1">
        <v>46224.917650462965</v>
      </c>
      <c r="M1187" s="1">
        <v>46224.91962439815</v>
      </c>
    </row>
    <row r="1188" spans="1:13" x14ac:dyDescent="0.35">
      <c r="A1188" t="s">
        <v>264</v>
      </c>
      <c r="B1188" t="s">
        <v>1986</v>
      </c>
      <c r="C1188" t="s">
        <v>2444</v>
      </c>
      <c r="D1188">
        <v>1.25</v>
      </c>
      <c r="E1188" s="1">
        <v>47026</v>
      </c>
      <c r="F1188" t="s">
        <v>1988</v>
      </c>
      <c r="G1188" t="s">
        <v>2444</v>
      </c>
      <c r="H1188" t="s">
        <v>2</v>
      </c>
      <c r="I1188" s="1">
        <v>46224</v>
      </c>
      <c r="J1188" t="s">
        <v>2065</v>
      </c>
      <c r="K1188" t="s">
        <v>2309</v>
      </c>
      <c r="L1188" s="1">
        <v>46224.917650462965</v>
      </c>
      <c r="M1188" s="1">
        <v>46224.91962439815</v>
      </c>
    </row>
    <row r="1189" spans="1:13" x14ac:dyDescent="0.35">
      <c r="A1189" t="s">
        <v>264</v>
      </c>
      <c r="B1189" t="s">
        <v>1986</v>
      </c>
      <c r="C1189" t="s">
        <v>2444</v>
      </c>
      <c r="D1189">
        <v>1.25</v>
      </c>
      <c r="E1189" s="1">
        <v>47026</v>
      </c>
      <c r="F1189" t="s">
        <v>1988</v>
      </c>
      <c r="G1189" t="s">
        <v>2444</v>
      </c>
      <c r="H1189" t="s">
        <v>2</v>
      </c>
      <c r="I1189" s="1">
        <v>46224</v>
      </c>
      <c r="J1189" t="s">
        <v>1989</v>
      </c>
      <c r="K1189" t="s">
        <v>3807</v>
      </c>
      <c r="L1189" s="1">
        <v>46224.918321759258</v>
      </c>
      <c r="M1189" s="1">
        <v>46224.91962439815</v>
      </c>
    </row>
    <row r="1190" spans="1:13" x14ac:dyDescent="0.35">
      <c r="A1190" t="s">
        <v>264</v>
      </c>
      <c r="B1190" t="s">
        <v>1986</v>
      </c>
      <c r="C1190" t="s">
        <v>2444</v>
      </c>
      <c r="D1190">
        <v>1.25</v>
      </c>
      <c r="E1190" s="1">
        <v>47026</v>
      </c>
      <c r="F1190" t="s">
        <v>1988</v>
      </c>
      <c r="G1190" t="s">
        <v>2444</v>
      </c>
      <c r="H1190" t="s">
        <v>2</v>
      </c>
      <c r="I1190" s="1">
        <v>46224</v>
      </c>
      <c r="J1190" t="s">
        <v>1991</v>
      </c>
      <c r="K1190" t="s">
        <v>3570</v>
      </c>
      <c r="L1190" s="1">
        <v>46224.918321759258</v>
      </c>
      <c r="M1190" s="1">
        <v>46224.91962439815</v>
      </c>
    </row>
    <row r="1191" spans="1:13" x14ac:dyDescent="0.35">
      <c r="A1191" t="s">
        <v>264</v>
      </c>
      <c r="B1191" t="s">
        <v>1986</v>
      </c>
      <c r="C1191" t="s">
        <v>2444</v>
      </c>
      <c r="D1191">
        <v>1.25</v>
      </c>
      <c r="E1191" s="1">
        <v>47026</v>
      </c>
      <c r="F1191" t="s">
        <v>1988</v>
      </c>
      <c r="G1191" t="s">
        <v>2444</v>
      </c>
      <c r="H1191" t="s">
        <v>2</v>
      </c>
      <c r="I1191" s="1">
        <v>46224</v>
      </c>
      <c r="J1191" t="s">
        <v>2064</v>
      </c>
      <c r="K1191" t="s">
        <v>2309</v>
      </c>
      <c r="L1191" s="1">
        <v>46224.917650462965</v>
      </c>
      <c r="M1191" s="1">
        <v>46224.91962439815</v>
      </c>
    </row>
    <row r="1192" spans="1:13" x14ac:dyDescent="0.35">
      <c r="A1192" t="s">
        <v>265</v>
      </c>
      <c r="B1192" t="s">
        <v>1986</v>
      </c>
      <c r="C1192" t="s">
        <v>2454</v>
      </c>
      <c r="D1192">
        <v>0.875</v>
      </c>
      <c r="E1192" s="1">
        <v>46295</v>
      </c>
      <c r="F1192" t="s">
        <v>1988</v>
      </c>
      <c r="G1192" t="s">
        <v>2454</v>
      </c>
      <c r="H1192" t="s">
        <v>2</v>
      </c>
      <c r="I1192" s="1">
        <v>46224</v>
      </c>
      <c r="J1192" t="s">
        <v>2065</v>
      </c>
      <c r="K1192" t="s">
        <v>3527</v>
      </c>
      <c r="L1192" s="1">
        <v>46224.917650462965</v>
      </c>
      <c r="M1192" s="1">
        <v>46224.91962439815</v>
      </c>
    </row>
    <row r="1193" spans="1:13" x14ac:dyDescent="0.35">
      <c r="A1193" t="s">
        <v>265</v>
      </c>
      <c r="B1193" t="s">
        <v>1986</v>
      </c>
      <c r="C1193" t="s">
        <v>2454</v>
      </c>
      <c r="D1193">
        <v>0.875</v>
      </c>
      <c r="E1193" s="1">
        <v>46295</v>
      </c>
      <c r="F1193" t="s">
        <v>1988</v>
      </c>
      <c r="G1193" t="s">
        <v>2454</v>
      </c>
      <c r="H1193" t="s">
        <v>2</v>
      </c>
      <c r="I1193" s="1">
        <v>46224</v>
      </c>
      <c r="J1193" t="s">
        <v>2108</v>
      </c>
      <c r="K1193" t="s">
        <v>3605</v>
      </c>
      <c r="L1193" s="1">
        <v>46224.917650462965</v>
      </c>
      <c r="M1193" s="1">
        <v>46224.91962439815</v>
      </c>
    </row>
    <row r="1194" spans="1:13" x14ac:dyDescent="0.35">
      <c r="A1194" t="s">
        <v>265</v>
      </c>
      <c r="B1194" t="s">
        <v>1986</v>
      </c>
      <c r="C1194" t="s">
        <v>2454</v>
      </c>
      <c r="D1194">
        <v>0.875</v>
      </c>
      <c r="E1194" s="1">
        <v>46295</v>
      </c>
      <c r="F1194" t="s">
        <v>1988</v>
      </c>
      <c r="G1194" t="s">
        <v>2454</v>
      </c>
      <c r="H1194" t="s">
        <v>2</v>
      </c>
      <c r="I1194" s="1">
        <v>46224</v>
      </c>
      <c r="J1194" t="s">
        <v>1991</v>
      </c>
      <c r="K1194" t="s">
        <v>4130</v>
      </c>
      <c r="L1194" s="1">
        <v>46224.918321759258</v>
      </c>
      <c r="M1194" s="1">
        <v>46224.91962439815</v>
      </c>
    </row>
    <row r="1195" spans="1:13" x14ac:dyDescent="0.35">
      <c r="A1195" t="s">
        <v>265</v>
      </c>
      <c r="B1195" t="s">
        <v>1986</v>
      </c>
      <c r="C1195" t="s">
        <v>2454</v>
      </c>
      <c r="D1195">
        <v>0.875</v>
      </c>
      <c r="E1195" s="1">
        <v>46295</v>
      </c>
      <c r="F1195" t="s">
        <v>1988</v>
      </c>
      <c r="G1195" t="s">
        <v>2454</v>
      </c>
      <c r="H1195" t="s">
        <v>2</v>
      </c>
      <c r="I1195" s="1">
        <v>46224</v>
      </c>
      <c r="J1195" t="s">
        <v>2064</v>
      </c>
      <c r="K1195" t="s">
        <v>3527</v>
      </c>
      <c r="L1195" s="1">
        <v>46224.917650462965</v>
      </c>
      <c r="M1195" s="1">
        <v>46224.91962439815</v>
      </c>
    </row>
    <row r="1196" spans="1:13" x14ac:dyDescent="0.35">
      <c r="A1196" t="s">
        <v>265</v>
      </c>
      <c r="B1196" t="s">
        <v>1986</v>
      </c>
      <c r="C1196" t="s">
        <v>2454</v>
      </c>
      <c r="D1196">
        <v>0.875</v>
      </c>
      <c r="E1196" s="1">
        <v>46295</v>
      </c>
      <c r="F1196" t="s">
        <v>1988</v>
      </c>
      <c r="G1196" t="s">
        <v>2454</v>
      </c>
      <c r="H1196" t="s">
        <v>2</v>
      </c>
      <c r="I1196" s="1">
        <v>46224</v>
      </c>
      <c r="J1196" t="s">
        <v>1989</v>
      </c>
      <c r="K1196" t="s">
        <v>2916</v>
      </c>
      <c r="L1196" s="1">
        <v>46224.918321759258</v>
      </c>
      <c r="M1196" s="1">
        <v>46224.91962439815</v>
      </c>
    </row>
    <row r="1197" spans="1:13" x14ac:dyDescent="0.35">
      <c r="A1197" t="s">
        <v>265</v>
      </c>
      <c r="B1197" t="s">
        <v>1986</v>
      </c>
      <c r="C1197" t="s">
        <v>2454</v>
      </c>
      <c r="D1197">
        <v>0.875</v>
      </c>
      <c r="E1197" s="1">
        <v>46295</v>
      </c>
      <c r="F1197" t="s">
        <v>1988</v>
      </c>
      <c r="G1197" t="s">
        <v>2454</v>
      </c>
      <c r="H1197" t="s">
        <v>2</v>
      </c>
      <c r="I1197" s="1">
        <v>46224</v>
      </c>
      <c r="J1197" t="s">
        <v>2146</v>
      </c>
      <c r="K1197" t="s">
        <v>3605</v>
      </c>
      <c r="L1197" s="1">
        <v>46224.917650462965</v>
      </c>
      <c r="M1197" s="1">
        <v>46224.91962439815</v>
      </c>
    </row>
    <row r="1198" spans="1:13" x14ac:dyDescent="0.35">
      <c r="A1198" t="s">
        <v>331</v>
      </c>
      <c r="B1198" t="s">
        <v>1986</v>
      </c>
      <c r="C1198" t="s">
        <v>2403</v>
      </c>
      <c r="D1198">
        <v>0.125</v>
      </c>
      <c r="E1198" s="1">
        <v>46310</v>
      </c>
      <c r="F1198" t="s">
        <v>2014</v>
      </c>
      <c r="G1198" t="s">
        <v>2403</v>
      </c>
      <c r="H1198" t="s">
        <v>2</v>
      </c>
      <c r="I1198" s="1">
        <v>46224</v>
      </c>
      <c r="J1198" t="s">
        <v>1989</v>
      </c>
      <c r="K1198" t="s">
        <v>3875</v>
      </c>
      <c r="L1198" s="1">
        <v>46224.918321759258</v>
      </c>
      <c r="M1198" s="1">
        <v>46224.91962439815</v>
      </c>
    </row>
    <row r="1199" spans="1:13" x14ac:dyDescent="0.35">
      <c r="A1199" t="s">
        <v>331</v>
      </c>
      <c r="B1199" t="s">
        <v>1986</v>
      </c>
      <c r="C1199" t="s">
        <v>2403</v>
      </c>
      <c r="D1199">
        <v>0.125</v>
      </c>
      <c r="E1199" s="1">
        <v>46310</v>
      </c>
      <c r="F1199" t="s">
        <v>2014</v>
      </c>
      <c r="G1199" t="s">
        <v>2403</v>
      </c>
      <c r="H1199" t="s">
        <v>2</v>
      </c>
      <c r="I1199" s="1">
        <v>46224</v>
      </c>
      <c r="J1199" t="s">
        <v>1991</v>
      </c>
      <c r="K1199" t="s">
        <v>3808</v>
      </c>
      <c r="L1199" s="1">
        <v>46224.918321759258</v>
      </c>
      <c r="M1199" s="1">
        <v>46224.91962439815</v>
      </c>
    </row>
    <row r="1200" spans="1:13" x14ac:dyDescent="0.35">
      <c r="A1200" t="s">
        <v>266</v>
      </c>
      <c r="B1200" t="s">
        <v>1986</v>
      </c>
      <c r="C1200" t="s">
        <v>2378</v>
      </c>
      <c r="D1200">
        <v>1.375</v>
      </c>
      <c r="E1200" s="1">
        <v>47057</v>
      </c>
      <c r="F1200" t="s">
        <v>1988</v>
      </c>
      <c r="G1200" t="s">
        <v>2378</v>
      </c>
      <c r="H1200" t="s">
        <v>2</v>
      </c>
      <c r="I1200" s="1">
        <v>46224</v>
      </c>
      <c r="J1200" t="s">
        <v>1991</v>
      </c>
      <c r="K1200" t="s">
        <v>3481</v>
      </c>
      <c r="L1200" s="1">
        <v>46224.918321759258</v>
      </c>
      <c r="M1200" s="1">
        <v>46224.91962439815</v>
      </c>
    </row>
    <row r="1201" spans="1:13" x14ac:dyDescent="0.35">
      <c r="A1201" t="s">
        <v>266</v>
      </c>
      <c r="B1201" t="s">
        <v>1986</v>
      </c>
      <c r="C1201" t="s">
        <v>2378</v>
      </c>
      <c r="D1201">
        <v>1.375</v>
      </c>
      <c r="E1201" s="1">
        <v>47057</v>
      </c>
      <c r="F1201" t="s">
        <v>1988</v>
      </c>
      <c r="G1201" t="s">
        <v>2378</v>
      </c>
      <c r="H1201" t="s">
        <v>2</v>
      </c>
      <c r="I1201" s="1">
        <v>46224</v>
      </c>
      <c r="J1201" t="s">
        <v>2108</v>
      </c>
      <c r="K1201" t="s">
        <v>2436</v>
      </c>
      <c r="L1201" s="1">
        <v>46224.917650462965</v>
      </c>
      <c r="M1201" s="1">
        <v>46224.91962439815</v>
      </c>
    </row>
    <row r="1202" spans="1:13" x14ac:dyDescent="0.35">
      <c r="A1202" t="s">
        <v>266</v>
      </c>
      <c r="B1202" t="s">
        <v>1986</v>
      </c>
      <c r="C1202" t="s">
        <v>2378</v>
      </c>
      <c r="D1202">
        <v>1.375</v>
      </c>
      <c r="E1202" s="1">
        <v>47057</v>
      </c>
      <c r="F1202" t="s">
        <v>1988</v>
      </c>
      <c r="G1202" t="s">
        <v>2378</v>
      </c>
      <c r="H1202" t="s">
        <v>2</v>
      </c>
      <c r="I1202" s="1">
        <v>46224</v>
      </c>
      <c r="J1202" t="s">
        <v>1989</v>
      </c>
      <c r="K1202" t="s">
        <v>3606</v>
      </c>
      <c r="L1202" s="1">
        <v>46224.918321759258</v>
      </c>
      <c r="M1202" s="1">
        <v>46224.91962439815</v>
      </c>
    </row>
    <row r="1203" spans="1:13" x14ac:dyDescent="0.35">
      <c r="A1203" t="s">
        <v>266</v>
      </c>
      <c r="B1203" t="s">
        <v>1986</v>
      </c>
      <c r="C1203" t="s">
        <v>2378</v>
      </c>
      <c r="D1203">
        <v>1.375</v>
      </c>
      <c r="E1203" s="1">
        <v>47057</v>
      </c>
      <c r="F1203" t="s">
        <v>1988</v>
      </c>
      <c r="G1203" t="s">
        <v>2378</v>
      </c>
      <c r="H1203" t="s">
        <v>2</v>
      </c>
      <c r="I1203" s="1">
        <v>46224</v>
      </c>
      <c r="J1203" t="s">
        <v>2065</v>
      </c>
      <c r="K1203" t="s">
        <v>2309</v>
      </c>
      <c r="L1203" s="1">
        <v>46224.917650462965</v>
      </c>
      <c r="M1203" s="1">
        <v>46224.91962439815</v>
      </c>
    </row>
    <row r="1204" spans="1:13" x14ac:dyDescent="0.35">
      <c r="A1204" t="s">
        <v>266</v>
      </c>
      <c r="B1204" t="s">
        <v>1986</v>
      </c>
      <c r="C1204" t="s">
        <v>2378</v>
      </c>
      <c r="D1204">
        <v>1.375</v>
      </c>
      <c r="E1204" s="1">
        <v>47057</v>
      </c>
      <c r="F1204" t="s">
        <v>1988</v>
      </c>
      <c r="G1204" t="s">
        <v>2378</v>
      </c>
      <c r="H1204" t="s">
        <v>2</v>
      </c>
      <c r="I1204" s="1">
        <v>46224</v>
      </c>
      <c r="J1204" t="s">
        <v>2064</v>
      </c>
      <c r="K1204" t="s">
        <v>2309</v>
      </c>
      <c r="L1204" s="1">
        <v>46224.917650462965</v>
      </c>
      <c r="M1204" s="1">
        <v>46224.91962439815</v>
      </c>
    </row>
    <row r="1205" spans="1:13" x14ac:dyDescent="0.35">
      <c r="A1205" t="s">
        <v>266</v>
      </c>
      <c r="B1205" t="s">
        <v>1986</v>
      </c>
      <c r="C1205" t="s">
        <v>2378</v>
      </c>
      <c r="D1205">
        <v>1.375</v>
      </c>
      <c r="E1205" s="1">
        <v>47057</v>
      </c>
      <c r="F1205" t="s">
        <v>1988</v>
      </c>
      <c r="G1205" t="s">
        <v>2378</v>
      </c>
      <c r="H1205" t="s">
        <v>2</v>
      </c>
      <c r="I1205" s="1">
        <v>46224</v>
      </c>
      <c r="J1205" t="s">
        <v>2146</v>
      </c>
      <c r="K1205" t="s">
        <v>2436</v>
      </c>
      <c r="L1205" s="1">
        <v>46224.917650462965</v>
      </c>
      <c r="M1205" s="1">
        <v>46224.91962439815</v>
      </c>
    </row>
    <row r="1206" spans="1:13" x14ac:dyDescent="0.35">
      <c r="A1206" t="s">
        <v>314</v>
      </c>
      <c r="B1206" t="s">
        <v>1986</v>
      </c>
      <c r="C1206" t="s">
        <v>2404</v>
      </c>
      <c r="D1206">
        <v>1.125</v>
      </c>
      <c r="E1206" s="1">
        <v>46326</v>
      </c>
      <c r="F1206" t="s">
        <v>1988</v>
      </c>
      <c r="G1206" t="s">
        <v>2404</v>
      </c>
      <c r="H1206" t="s">
        <v>2</v>
      </c>
      <c r="I1206" s="1">
        <v>46224</v>
      </c>
      <c r="J1206" t="s">
        <v>1989</v>
      </c>
      <c r="K1206" t="s">
        <v>2904</v>
      </c>
      <c r="L1206" s="1">
        <v>46224.918321759258</v>
      </c>
      <c r="M1206" s="1">
        <v>46224.91962439815</v>
      </c>
    </row>
    <row r="1207" spans="1:13" x14ac:dyDescent="0.35">
      <c r="A1207" t="s">
        <v>314</v>
      </c>
      <c r="B1207" t="s">
        <v>1986</v>
      </c>
      <c r="C1207" t="s">
        <v>2404</v>
      </c>
      <c r="D1207">
        <v>1.125</v>
      </c>
      <c r="E1207" s="1">
        <v>46326</v>
      </c>
      <c r="F1207" t="s">
        <v>1988</v>
      </c>
      <c r="G1207" t="s">
        <v>2404</v>
      </c>
      <c r="H1207" t="s">
        <v>2</v>
      </c>
      <c r="I1207" s="1">
        <v>46224</v>
      </c>
      <c r="J1207" t="s">
        <v>2108</v>
      </c>
      <c r="K1207" t="s">
        <v>3794</v>
      </c>
      <c r="L1207" s="1">
        <v>46224.917650462965</v>
      </c>
      <c r="M1207" s="1">
        <v>46224.91962439815</v>
      </c>
    </row>
    <row r="1208" spans="1:13" x14ac:dyDescent="0.35">
      <c r="A1208" t="s">
        <v>314</v>
      </c>
      <c r="B1208" t="s">
        <v>1986</v>
      </c>
      <c r="C1208" t="s">
        <v>2404</v>
      </c>
      <c r="D1208">
        <v>1.125</v>
      </c>
      <c r="E1208" s="1">
        <v>46326</v>
      </c>
      <c r="F1208" t="s">
        <v>1988</v>
      </c>
      <c r="G1208" t="s">
        <v>2404</v>
      </c>
      <c r="H1208" t="s">
        <v>2</v>
      </c>
      <c r="I1208" s="1">
        <v>46224</v>
      </c>
      <c r="J1208" t="s">
        <v>2064</v>
      </c>
      <c r="K1208" t="s">
        <v>2978</v>
      </c>
      <c r="L1208" s="1">
        <v>46224.917650462965</v>
      </c>
      <c r="M1208" s="1">
        <v>46224.91962439815</v>
      </c>
    </row>
    <row r="1209" spans="1:13" x14ac:dyDescent="0.35">
      <c r="A1209" t="s">
        <v>314</v>
      </c>
      <c r="B1209" t="s">
        <v>1986</v>
      </c>
      <c r="C1209" t="s">
        <v>2404</v>
      </c>
      <c r="D1209">
        <v>1.125</v>
      </c>
      <c r="E1209" s="1">
        <v>46326</v>
      </c>
      <c r="F1209" t="s">
        <v>1988</v>
      </c>
      <c r="G1209" t="s">
        <v>2404</v>
      </c>
      <c r="H1209" t="s">
        <v>2</v>
      </c>
      <c r="I1209" s="1">
        <v>46224</v>
      </c>
      <c r="J1209" t="s">
        <v>1991</v>
      </c>
      <c r="K1209" t="s">
        <v>3607</v>
      </c>
      <c r="L1209" s="1">
        <v>46224.918321759258</v>
      </c>
      <c r="M1209" s="1">
        <v>46224.91962439815</v>
      </c>
    </row>
    <row r="1210" spans="1:13" x14ac:dyDescent="0.35">
      <c r="A1210" t="s">
        <v>314</v>
      </c>
      <c r="B1210" t="s">
        <v>1986</v>
      </c>
      <c r="C1210" t="s">
        <v>2404</v>
      </c>
      <c r="D1210">
        <v>1.125</v>
      </c>
      <c r="E1210" s="1">
        <v>46326</v>
      </c>
      <c r="F1210" t="s">
        <v>1988</v>
      </c>
      <c r="G1210" t="s">
        <v>2404</v>
      </c>
      <c r="H1210" t="s">
        <v>2</v>
      </c>
      <c r="I1210" s="1">
        <v>46224</v>
      </c>
      <c r="J1210" t="s">
        <v>2065</v>
      </c>
      <c r="K1210" t="s">
        <v>2978</v>
      </c>
      <c r="L1210" s="1">
        <v>46224.917650462965</v>
      </c>
      <c r="M1210" s="1">
        <v>46224.91962439815</v>
      </c>
    </row>
    <row r="1211" spans="1:13" x14ac:dyDescent="0.35">
      <c r="A1211" t="s">
        <v>314</v>
      </c>
      <c r="B1211" t="s">
        <v>1986</v>
      </c>
      <c r="C1211" t="s">
        <v>2404</v>
      </c>
      <c r="D1211">
        <v>1.125</v>
      </c>
      <c r="E1211" s="1">
        <v>46326</v>
      </c>
      <c r="F1211" t="s">
        <v>1988</v>
      </c>
      <c r="G1211" t="s">
        <v>2404</v>
      </c>
      <c r="H1211" t="s">
        <v>2</v>
      </c>
      <c r="I1211" s="1">
        <v>46224</v>
      </c>
      <c r="J1211" t="s">
        <v>2146</v>
      </c>
      <c r="K1211" t="s">
        <v>3794</v>
      </c>
      <c r="L1211" s="1">
        <v>46224.917650462965</v>
      </c>
      <c r="M1211" s="1">
        <v>46224.91962439815</v>
      </c>
    </row>
    <row r="1212" spans="1:13" x14ac:dyDescent="0.35">
      <c r="A1212" t="s">
        <v>267</v>
      </c>
      <c r="B1212" t="s">
        <v>1986</v>
      </c>
      <c r="C1212" t="s">
        <v>2406</v>
      </c>
      <c r="D1212">
        <v>1.375</v>
      </c>
      <c r="E1212" s="1">
        <v>48167</v>
      </c>
      <c r="F1212" t="s">
        <v>1988</v>
      </c>
      <c r="G1212" t="s">
        <v>2406</v>
      </c>
      <c r="H1212" t="s">
        <v>2</v>
      </c>
      <c r="I1212" s="1">
        <v>46224</v>
      </c>
      <c r="J1212" t="s">
        <v>1989</v>
      </c>
      <c r="K1212" t="s">
        <v>3482</v>
      </c>
      <c r="L1212" s="1">
        <v>46224.918321759258</v>
      </c>
      <c r="M1212" s="1">
        <v>46224.91962439815</v>
      </c>
    </row>
    <row r="1213" spans="1:13" x14ac:dyDescent="0.35">
      <c r="A1213" t="s">
        <v>267</v>
      </c>
      <c r="B1213" t="s">
        <v>1986</v>
      </c>
      <c r="C1213" t="s">
        <v>2406</v>
      </c>
      <c r="D1213">
        <v>1.375</v>
      </c>
      <c r="E1213" s="1">
        <v>48167</v>
      </c>
      <c r="F1213" t="s">
        <v>1988</v>
      </c>
      <c r="G1213" t="s">
        <v>2406</v>
      </c>
      <c r="H1213" t="s">
        <v>2</v>
      </c>
      <c r="I1213" s="1">
        <v>46224</v>
      </c>
      <c r="J1213" t="s">
        <v>2065</v>
      </c>
      <c r="K1213" t="s">
        <v>3702</v>
      </c>
      <c r="L1213" s="1">
        <v>46224.917650462965</v>
      </c>
      <c r="M1213" s="1">
        <v>46224.91962439815</v>
      </c>
    </row>
    <row r="1214" spans="1:13" x14ac:dyDescent="0.35">
      <c r="A1214" t="s">
        <v>267</v>
      </c>
      <c r="B1214" t="s">
        <v>1986</v>
      </c>
      <c r="C1214" t="s">
        <v>2406</v>
      </c>
      <c r="D1214">
        <v>1.375</v>
      </c>
      <c r="E1214" s="1">
        <v>48167</v>
      </c>
      <c r="F1214" t="s">
        <v>1988</v>
      </c>
      <c r="G1214" t="s">
        <v>2406</v>
      </c>
      <c r="H1214" t="s">
        <v>2</v>
      </c>
      <c r="I1214" s="1">
        <v>46224</v>
      </c>
      <c r="J1214" t="s">
        <v>1991</v>
      </c>
      <c r="K1214" t="s">
        <v>3768</v>
      </c>
      <c r="L1214" s="1">
        <v>46224.918321759258</v>
      </c>
      <c r="M1214" s="1">
        <v>46224.91962439815</v>
      </c>
    </row>
    <row r="1215" spans="1:13" x14ac:dyDescent="0.35">
      <c r="A1215" t="s">
        <v>267</v>
      </c>
      <c r="B1215" t="s">
        <v>1986</v>
      </c>
      <c r="C1215" t="s">
        <v>2406</v>
      </c>
      <c r="D1215">
        <v>1.375</v>
      </c>
      <c r="E1215" s="1">
        <v>48167</v>
      </c>
      <c r="F1215" t="s">
        <v>1988</v>
      </c>
      <c r="G1215" t="s">
        <v>2406</v>
      </c>
      <c r="H1215" t="s">
        <v>2</v>
      </c>
      <c r="I1215" s="1">
        <v>46224</v>
      </c>
      <c r="J1215" t="s">
        <v>2108</v>
      </c>
      <c r="K1215" t="s">
        <v>2712</v>
      </c>
      <c r="L1215" s="1">
        <v>46224.917650462965</v>
      </c>
      <c r="M1215" s="1">
        <v>46224.91962439815</v>
      </c>
    </row>
    <row r="1216" spans="1:13" x14ac:dyDescent="0.35">
      <c r="A1216" t="s">
        <v>267</v>
      </c>
      <c r="B1216" t="s">
        <v>1986</v>
      </c>
      <c r="C1216" t="s">
        <v>2406</v>
      </c>
      <c r="D1216">
        <v>1.375</v>
      </c>
      <c r="E1216" s="1">
        <v>48167</v>
      </c>
      <c r="F1216" t="s">
        <v>1988</v>
      </c>
      <c r="G1216" t="s">
        <v>2406</v>
      </c>
      <c r="H1216" t="s">
        <v>2</v>
      </c>
      <c r="I1216" s="1">
        <v>46224</v>
      </c>
      <c r="J1216" t="s">
        <v>2064</v>
      </c>
      <c r="K1216" t="s">
        <v>3702</v>
      </c>
      <c r="L1216" s="1">
        <v>46224.917650462965</v>
      </c>
      <c r="M1216" s="1">
        <v>46224.91962439815</v>
      </c>
    </row>
    <row r="1217" spans="1:13" x14ac:dyDescent="0.35">
      <c r="A1217" t="s">
        <v>267</v>
      </c>
      <c r="B1217" t="s">
        <v>1986</v>
      </c>
      <c r="C1217" t="s">
        <v>2406</v>
      </c>
      <c r="D1217">
        <v>1.375</v>
      </c>
      <c r="E1217" s="1">
        <v>48167</v>
      </c>
      <c r="F1217" t="s">
        <v>1988</v>
      </c>
      <c r="G1217" t="s">
        <v>2406</v>
      </c>
      <c r="H1217" t="s">
        <v>2</v>
      </c>
      <c r="I1217" s="1">
        <v>46224</v>
      </c>
      <c r="J1217" t="s">
        <v>2146</v>
      </c>
      <c r="K1217" t="s">
        <v>2712</v>
      </c>
      <c r="L1217" s="1">
        <v>46224.917650462965</v>
      </c>
      <c r="M1217" s="1">
        <v>46224.91962439815</v>
      </c>
    </row>
    <row r="1218" spans="1:13" x14ac:dyDescent="0.35">
      <c r="A1218" t="s">
        <v>268</v>
      </c>
      <c r="B1218" t="s">
        <v>1986</v>
      </c>
      <c r="C1218" t="s">
        <v>2455</v>
      </c>
      <c r="D1218">
        <v>1.25</v>
      </c>
      <c r="E1218" s="1">
        <v>46356</v>
      </c>
      <c r="F1218" t="s">
        <v>1988</v>
      </c>
      <c r="G1218" t="s">
        <v>2455</v>
      </c>
      <c r="H1218" t="s">
        <v>2</v>
      </c>
      <c r="I1218" s="1">
        <v>46224</v>
      </c>
      <c r="J1218" t="s">
        <v>2146</v>
      </c>
      <c r="K1218" t="s">
        <v>3608</v>
      </c>
      <c r="L1218" s="1">
        <v>46224.917650462965</v>
      </c>
      <c r="M1218" s="1">
        <v>46224.91962439815</v>
      </c>
    </row>
    <row r="1219" spans="1:13" x14ac:dyDescent="0.35">
      <c r="A1219" t="s">
        <v>268</v>
      </c>
      <c r="B1219" t="s">
        <v>1986</v>
      </c>
      <c r="C1219" t="s">
        <v>2455</v>
      </c>
      <c r="D1219">
        <v>1.25</v>
      </c>
      <c r="E1219" s="1">
        <v>46356</v>
      </c>
      <c r="F1219" t="s">
        <v>1988</v>
      </c>
      <c r="G1219" t="s">
        <v>2455</v>
      </c>
      <c r="H1219" t="s">
        <v>2</v>
      </c>
      <c r="I1219" s="1">
        <v>46224</v>
      </c>
      <c r="J1219" t="s">
        <v>2108</v>
      </c>
      <c r="K1219" t="s">
        <v>3608</v>
      </c>
      <c r="L1219" s="1">
        <v>46224.917650462965</v>
      </c>
      <c r="M1219" s="1">
        <v>46224.91962439815</v>
      </c>
    </row>
    <row r="1220" spans="1:13" x14ac:dyDescent="0.35">
      <c r="A1220" t="s">
        <v>268</v>
      </c>
      <c r="B1220" t="s">
        <v>1986</v>
      </c>
      <c r="C1220" t="s">
        <v>2455</v>
      </c>
      <c r="D1220">
        <v>1.25</v>
      </c>
      <c r="E1220" s="1">
        <v>46356</v>
      </c>
      <c r="F1220" t="s">
        <v>1988</v>
      </c>
      <c r="G1220" t="s">
        <v>2455</v>
      </c>
      <c r="H1220" t="s">
        <v>2</v>
      </c>
      <c r="I1220" s="1">
        <v>46224</v>
      </c>
      <c r="J1220" t="s">
        <v>2064</v>
      </c>
      <c r="K1220" t="s">
        <v>3609</v>
      </c>
      <c r="L1220" s="1">
        <v>46224.917650462965</v>
      </c>
      <c r="M1220" s="1">
        <v>46224.91962439815</v>
      </c>
    </row>
    <row r="1221" spans="1:13" x14ac:dyDescent="0.35">
      <c r="A1221" t="s">
        <v>268</v>
      </c>
      <c r="B1221" t="s">
        <v>1986</v>
      </c>
      <c r="C1221" t="s">
        <v>2455</v>
      </c>
      <c r="D1221">
        <v>1.25</v>
      </c>
      <c r="E1221" s="1">
        <v>46356</v>
      </c>
      <c r="F1221" t="s">
        <v>1988</v>
      </c>
      <c r="G1221" t="s">
        <v>2455</v>
      </c>
      <c r="H1221" t="s">
        <v>2</v>
      </c>
      <c r="I1221" s="1">
        <v>46224</v>
      </c>
      <c r="J1221" t="s">
        <v>1989</v>
      </c>
      <c r="K1221" t="s">
        <v>3769</v>
      </c>
      <c r="L1221" s="1">
        <v>46224.918321759258</v>
      </c>
      <c r="M1221" s="1">
        <v>46224.91962439815</v>
      </c>
    </row>
    <row r="1222" spans="1:13" x14ac:dyDescent="0.35">
      <c r="A1222" t="s">
        <v>268</v>
      </c>
      <c r="B1222" t="s">
        <v>1986</v>
      </c>
      <c r="C1222" t="s">
        <v>2455</v>
      </c>
      <c r="D1222">
        <v>1.25</v>
      </c>
      <c r="E1222" s="1">
        <v>46356</v>
      </c>
      <c r="F1222" t="s">
        <v>1988</v>
      </c>
      <c r="G1222" t="s">
        <v>2455</v>
      </c>
      <c r="H1222" t="s">
        <v>2</v>
      </c>
      <c r="I1222" s="1">
        <v>46224</v>
      </c>
      <c r="J1222" t="s">
        <v>2065</v>
      </c>
      <c r="K1222" t="s">
        <v>3609</v>
      </c>
      <c r="L1222" s="1">
        <v>46224.917650462965</v>
      </c>
      <c r="M1222" s="1">
        <v>46224.91962439815</v>
      </c>
    </row>
    <row r="1223" spans="1:13" x14ac:dyDescent="0.35">
      <c r="A1223" t="s">
        <v>268</v>
      </c>
      <c r="B1223" t="s">
        <v>1986</v>
      </c>
      <c r="C1223" t="s">
        <v>2455</v>
      </c>
      <c r="D1223">
        <v>1.25</v>
      </c>
      <c r="E1223" s="1">
        <v>46356</v>
      </c>
      <c r="F1223" t="s">
        <v>1988</v>
      </c>
      <c r="G1223" t="s">
        <v>2455</v>
      </c>
      <c r="H1223" t="s">
        <v>2</v>
      </c>
      <c r="I1223" s="1">
        <v>46224</v>
      </c>
      <c r="J1223" t="s">
        <v>1991</v>
      </c>
      <c r="K1223" t="s">
        <v>2986</v>
      </c>
      <c r="L1223" s="1">
        <v>46224.918321759258</v>
      </c>
      <c r="M1223" s="1">
        <v>46224.91962439815</v>
      </c>
    </row>
    <row r="1224" spans="1:13" x14ac:dyDescent="0.35">
      <c r="A1224" t="s">
        <v>279</v>
      </c>
      <c r="B1224" t="s">
        <v>1986</v>
      </c>
      <c r="C1224" t="s">
        <v>2446</v>
      </c>
      <c r="D1224">
        <v>1.5</v>
      </c>
      <c r="E1224" s="1">
        <v>47087</v>
      </c>
      <c r="F1224" t="s">
        <v>1988</v>
      </c>
      <c r="G1224" t="s">
        <v>2446</v>
      </c>
      <c r="H1224" t="s">
        <v>2</v>
      </c>
      <c r="I1224" s="1">
        <v>46224</v>
      </c>
      <c r="J1224" t="s">
        <v>1991</v>
      </c>
      <c r="K1224" t="s">
        <v>3795</v>
      </c>
      <c r="L1224" s="1">
        <v>46224.918321759258</v>
      </c>
      <c r="M1224" s="1">
        <v>46224.91962439815</v>
      </c>
    </row>
    <row r="1225" spans="1:13" x14ac:dyDescent="0.35">
      <c r="A1225" t="s">
        <v>279</v>
      </c>
      <c r="B1225" t="s">
        <v>1986</v>
      </c>
      <c r="C1225" t="s">
        <v>2446</v>
      </c>
      <c r="D1225">
        <v>1.5</v>
      </c>
      <c r="E1225" s="1">
        <v>47087</v>
      </c>
      <c r="F1225" t="s">
        <v>1988</v>
      </c>
      <c r="G1225" t="s">
        <v>2446</v>
      </c>
      <c r="H1225" t="s">
        <v>2</v>
      </c>
      <c r="I1225" s="1">
        <v>46224</v>
      </c>
      <c r="J1225" t="s">
        <v>2146</v>
      </c>
      <c r="K1225" t="s">
        <v>2607</v>
      </c>
      <c r="L1225" s="1">
        <v>46224.917650462965</v>
      </c>
      <c r="M1225" s="1">
        <v>46224.91962439815</v>
      </c>
    </row>
    <row r="1226" spans="1:13" x14ac:dyDescent="0.35">
      <c r="A1226" t="s">
        <v>279</v>
      </c>
      <c r="B1226" t="s">
        <v>1986</v>
      </c>
      <c r="C1226" t="s">
        <v>2446</v>
      </c>
      <c r="D1226">
        <v>1.5</v>
      </c>
      <c r="E1226" s="1">
        <v>47087</v>
      </c>
      <c r="F1226" t="s">
        <v>1988</v>
      </c>
      <c r="G1226" t="s">
        <v>2446</v>
      </c>
      <c r="H1226" t="s">
        <v>2</v>
      </c>
      <c r="I1226" s="1">
        <v>46224</v>
      </c>
      <c r="J1226" t="s">
        <v>2108</v>
      </c>
      <c r="K1226" t="s">
        <v>2607</v>
      </c>
      <c r="L1226" s="1">
        <v>46224.917650462965</v>
      </c>
      <c r="M1226" s="1">
        <v>46224.91962439815</v>
      </c>
    </row>
    <row r="1227" spans="1:13" x14ac:dyDescent="0.35">
      <c r="A1227" t="s">
        <v>279</v>
      </c>
      <c r="B1227" t="s">
        <v>1986</v>
      </c>
      <c r="C1227" t="s">
        <v>2446</v>
      </c>
      <c r="D1227">
        <v>1.5</v>
      </c>
      <c r="E1227" s="1">
        <v>47087</v>
      </c>
      <c r="F1227" t="s">
        <v>1988</v>
      </c>
      <c r="G1227" t="s">
        <v>2446</v>
      </c>
      <c r="H1227" t="s">
        <v>2</v>
      </c>
      <c r="I1227" s="1">
        <v>46224</v>
      </c>
      <c r="J1227" t="s">
        <v>2065</v>
      </c>
      <c r="K1227" t="s">
        <v>2363</v>
      </c>
      <c r="L1227" s="1">
        <v>46224.917650462965</v>
      </c>
      <c r="M1227" s="1">
        <v>46224.91962439815</v>
      </c>
    </row>
    <row r="1228" spans="1:13" x14ac:dyDescent="0.35">
      <c r="A1228" t="s">
        <v>279</v>
      </c>
      <c r="B1228" t="s">
        <v>1986</v>
      </c>
      <c r="C1228" t="s">
        <v>2446</v>
      </c>
      <c r="D1228">
        <v>1.5</v>
      </c>
      <c r="E1228" s="1">
        <v>47087</v>
      </c>
      <c r="F1228" t="s">
        <v>1988</v>
      </c>
      <c r="G1228" t="s">
        <v>2446</v>
      </c>
      <c r="H1228" t="s">
        <v>2</v>
      </c>
      <c r="I1228" s="1">
        <v>46224</v>
      </c>
      <c r="J1228" t="s">
        <v>1989</v>
      </c>
      <c r="K1228" t="s">
        <v>4017</v>
      </c>
      <c r="L1228" s="1">
        <v>46224.918321759258</v>
      </c>
      <c r="M1228" s="1">
        <v>46224.91962439815</v>
      </c>
    </row>
    <row r="1229" spans="1:13" x14ac:dyDescent="0.35">
      <c r="A1229" t="s">
        <v>279</v>
      </c>
      <c r="B1229" t="s">
        <v>1986</v>
      </c>
      <c r="C1229" t="s">
        <v>2446</v>
      </c>
      <c r="D1229">
        <v>1.5</v>
      </c>
      <c r="E1229" s="1">
        <v>47087</v>
      </c>
      <c r="F1229" t="s">
        <v>1988</v>
      </c>
      <c r="G1229" t="s">
        <v>2446</v>
      </c>
      <c r="H1229" t="s">
        <v>2</v>
      </c>
      <c r="I1229" s="1">
        <v>46224</v>
      </c>
      <c r="J1229" t="s">
        <v>2064</v>
      </c>
      <c r="K1229" t="s">
        <v>2363</v>
      </c>
      <c r="L1229" s="1">
        <v>46224.917650462965</v>
      </c>
      <c r="M1229" s="1">
        <v>46224.91962439815</v>
      </c>
    </row>
    <row r="1230" spans="1:13" x14ac:dyDescent="0.35">
      <c r="A1230" t="s">
        <v>315</v>
      </c>
      <c r="B1230" t="s">
        <v>1986</v>
      </c>
      <c r="C1230" t="s">
        <v>2379</v>
      </c>
      <c r="D1230">
        <v>1.375</v>
      </c>
      <c r="E1230" s="1">
        <v>47118</v>
      </c>
      <c r="F1230" t="s">
        <v>1988</v>
      </c>
      <c r="G1230" t="s">
        <v>2379</v>
      </c>
      <c r="H1230" t="s">
        <v>2</v>
      </c>
      <c r="I1230" s="1">
        <v>46224</v>
      </c>
      <c r="J1230" t="s">
        <v>2108</v>
      </c>
      <c r="K1230" t="s">
        <v>2883</v>
      </c>
      <c r="L1230" s="1">
        <v>46224.917650462965</v>
      </c>
      <c r="M1230" s="1">
        <v>46224.91962439815</v>
      </c>
    </row>
    <row r="1231" spans="1:13" x14ac:dyDescent="0.35">
      <c r="A1231" t="s">
        <v>315</v>
      </c>
      <c r="B1231" t="s">
        <v>1986</v>
      </c>
      <c r="C1231" t="s">
        <v>2379</v>
      </c>
      <c r="D1231">
        <v>1.375</v>
      </c>
      <c r="E1231" s="1">
        <v>47118</v>
      </c>
      <c r="F1231" t="s">
        <v>1988</v>
      </c>
      <c r="G1231" t="s">
        <v>2379</v>
      </c>
      <c r="H1231" t="s">
        <v>2</v>
      </c>
      <c r="I1231" s="1">
        <v>46224</v>
      </c>
      <c r="J1231" t="s">
        <v>1991</v>
      </c>
      <c r="K1231" t="s">
        <v>2907</v>
      </c>
      <c r="L1231" s="1">
        <v>46224.918321759258</v>
      </c>
      <c r="M1231" s="1">
        <v>46224.91962439815</v>
      </c>
    </row>
    <row r="1232" spans="1:13" x14ac:dyDescent="0.35">
      <c r="A1232" t="s">
        <v>315</v>
      </c>
      <c r="B1232" t="s">
        <v>1986</v>
      </c>
      <c r="C1232" t="s">
        <v>2379</v>
      </c>
      <c r="D1232">
        <v>1.375</v>
      </c>
      <c r="E1232" s="1">
        <v>47118</v>
      </c>
      <c r="F1232" t="s">
        <v>1988</v>
      </c>
      <c r="G1232" t="s">
        <v>2379</v>
      </c>
      <c r="H1232" t="s">
        <v>2</v>
      </c>
      <c r="I1232" s="1">
        <v>46224</v>
      </c>
      <c r="J1232" t="s">
        <v>2065</v>
      </c>
      <c r="K1232" t="s">
        <v>2935</v>
      </c>
      <c r="L1232" s="1">
        <v>46224.917650462965</v>
      </c>
      <c r="M1232" s="1">
        <v>46224.91962439815</v>
      </c>
    </row>
    <row r="1233" spans="1:13" x14ac:dyDescent="0.35">
      <c r="A1233" t="s">
        <v>315</v>
      </c>
      <c r="B1233" t="s">
        <v>1986</v>
      </c>
      <c r="C1233" t="s">
        <v>2379</v>
      </c>
      <c r="D1233">
        <v>1.375</v>
      </c>
      <c r="E1233" s="1">
        <v>47118</v>
      </c>
      <c r="F1233" t="s">
        <v>1988</v>
      </c>
      <c r="G1233" t="s">
        <v>2379</v>
      </c>
      <c r="H1233" t="s">
        <v>2</v>
      </c>
      <c r="I1233" s="1">
        <v>46224</v>
      </c>
      <c r="J1233" t="s">
        <v>2146</v>
      </c>
      <c r="K1233" t="s">
        <v>2883</v>
      </c>
      <c r="L1233" s="1">
        <v>46224.917650462965</v>
      </c>
      <c r="M1233" s="1">
        <v>46224.91962439815</v>
      </c>
    </row>
    <row r="1234" spans="1:13" x14ac:dyDescent="0.35">
      <c r="A1234" t="s">
        <v>315</v>
      </c>
      <c r="B1234" t="s">
        <v>1986</v>
      </c>
      <c r="C1234" t="s">
        <v>2379</v>
      </c>
      <c r="D1234">
        <v>1.375</v>
      </c>
      <c r="E1234" s="1">
        <v>47118</v>
      </c>
      <c r="F1234" t="s">
        <v>1988</v>
      </c>
      <c r="G1234" t="s">
        <v>2379</v>
      </c>
      <c r="H1234" t="s">
        <v>2</v>
      </c>
      <c r="I1234" s="1">
        <v>46224</v>
      </c>
      <c r="J1234" t="s">
        <v>1989</v>
      </c>
      <c r="K1234" t="s">
        <v>3770</v>
      </c>
      <c r="L1234" s="1">
        <v>46224.918321759258</v>
      </c>
      <c r="M1234" s="1">
        <v>46224.91962439815</v>
      </c>
    </row>
    <row r="1235" spans="1:13" x14ac:dyDescent="0.35">
      <c r="A1235" t="s">
        <v>315</v>
      </c>
      <c r="B1235" t="s">
        <v>1986</v>
      </c>
      <c r="C1235" t="s">
        <v>2379</v>
      </c>
      <c r="D1235">
        <v>1.375</v>
      </c>
      <c r="E1235" s="1">
        <v>47118</v>
      </c>
      <c r="F1235" t="s">
        <v>1988</v>
      </c>
      <c r="G1235" t="s">
        <v>2379</v>
      </c>
      <c r="H1235" t="s">
        <v>2</v>
      </c>
      <c r="I1235" s="1">
        <v>46224</v>
      </c>
      <c r="J1235" t="s">
        <v>2064</v>
      </c>
      <c r="K1235" t="s">
        <v>2935</v>
      </c>
      <c r="L1235" s="1">
        <v>46224.917650462965</v>
      </c>
      <c r="M1235" s="1">
        <v>46224.91962439815</v>
      </c>
    </row>
    <row r="1236" spans="1:13" x14ac:dyDescent="0.35">
      <c r="A1236" t="s">
        <v>316</v>
      </c>
      <c r="B1236" t="s">
        <v>1986</v>
      </c>
      <c r="C1236" t="s">
        <v>2448</v>
      </c>
      <c r="D1236">
        <v>1.25</v>
      </c>
      <c r="E1236" s="1">
        <v>46387</v>
      </c>
      <c r="F1236" t="s">
        <v>1988</v>
      </c>
      <c r="G1236" t="s">
        <v>2448</v>
      </c>
      <c r="H1236" t="s">
        <v>2</v>
      </c>
      <c r="I1236" s="1">
        <v>46224</v>
      </c>
      <c r="J1236" t="s">
        <v>2064</v>
      </c>
      <c r="K1236" t="s">
        <v>3037</v>
      </c>
      <c r="L1236" s="1">
        <v>46224.917650462965</v>
      </c>
      <c r="M1236" s="1">
        <v>46224.91962439815</v>
      </c>
    </row>
    <row r="1237" spans="1:13" x14ac:dyDescent="0.35">
      <c r="A1237" t="s">
        <v>316</v>
      </c>
      <c r="B1237" t="s">
        <v>1986</v>
      </c>
      <c r="C1237" t="s">
        <v>2448</v>
      </c>
      <c r="D1237">
        <v>1.25</v>
      </c>
      <c r="E1237" s="1">
        <v>46387</v>
      </c>
      <c r="F1237" t="s">
        <v>1988</v>
      </c>
      <c r="G1237" t="s">
        <v>2448</v>
      </c>
      <c r="H1237" t="s">
        <v>2</v>
      </c>
      <c r="I1237" s="1">
        <v>46224</v>
      </c>
      <c r="J1237" t="s">
        <v>2065</v>
      </c>
      <c r="K1237" t="s">
        <v>3037</v>
      </c>
      <c r="L1237" s="1">
        <v>46224.917650462965</v>
      </c>
      <c r="M1237" s="1">
        <v>46224.91962439815</v>
      </c>
    </row>
    <row r="1238" spans="1:13" x14ac:dyDescent="0.35">
      <c r="A1238" t="s">
        <v>316</v>
      </c>
      <c r="B1238" t="s">
        <v>1986</v>
      </c>
      <c r="C1238" t="s">
        <v>2448</v>
      </c>
      <c r="D1238">
        <v>1.25</v>
      </c>
      <c r="E1238" s="1">
        <v>46387</v>
      </c>
      <c r="F1238" t="s">
        <v>1988</v>
      </c>
      <c r="G1238" t="s">
        <v>2448</v>
      </c>
      <c r="H1238" t="s">
        <v>2</v>
      </c>
      <c r="I1238" s="1">
        <v>46224</v>
      </c>
      <c r="J1238" t="s">
        <v>2146</v>
      </c>
      <c r="K1238" t="s">
        <v>3528</v>
      </c>
      <c r="L1238" s="1">
        <v>46224.917650462965</v>
      </c>
      <c r="M1238" s="1">
        <v>46224.91962439815</v>
      </c>
    </row>
    <row r="1239" spans="1:13" x14ac:dyDescent="0.35">
      <c r="A1239" t="s">
        <v>316</v>
      </c>
      <c r="B1239" t="s">
        <v>1986</v>
      </c>
      <c r="C1239" t="s">
        <v>2448</v>
      </c>
      <c r="D1239">
        <v>1.25</v>
      </c>
      <c r="E1239" s="1">
        <v>46387</v>
      </c>
      <c r="F1239" t="s">
        <v>1988</v>
      </c>
      <c r="G1239" t="s">
        <v>2448</v>
      </c>
      <c r="H1239" t="s">
        <v>2</v>
      </c>
      <c r="I1239" s="1">
        <v>46224</v>
      </c>
      <c r="J1239" t="s">
        <v>2108</v>
      </c>
      <c r="K1239" t="s">
        <v>3528</v>
      </c>
      <c r="L1239" s="1">
        <v>46224.917650462965</v>
      </c>
      <c r="M1239" s="1">
        <v>46224.91962439815</v>
      </c>
    </row>
    <row r="1240" spans="1:13" x14ac:dyDescent="0.35">
      <c r="A1240" t="s">
        <v>316</v>
      </c>
      <c r="B1240" t="s">
        <v>1986</v>
      </c>
      <c r="C1240" t="s">
        <v>2448</v>
      </c>
      <c r="D1240">
        <v>1.25</v>
      </c>
      <c r="E1240" s="1">
        <v>46387</v>
      </c>
      <c r="F1240" t="s">
        <v>1988</v>
      </c>
      <c r="G1240" t="s">
        <v>2448</v>
      </c>
      <c r="H1240" t="s">
        <v>2</v>
      </c>
      <c r="I1240" s="1">
        <v>46224</v>
      </c>
      <c r="J1240" t="s">
        <v>1989</v>
      </c>
      <c r="K1240" t="s">
        <v>3809</v>
      </c>
      <c r="L1240" s="1">
        <v>46224.918321759258</v>
      </c>
      <c r="M1240" s="1">
        <v>46224.91962439815</v>
      </c>
    </row>
    <row r="1241" spans="1:13" x14ac:dyDescent="0.35">
      <c r="A1241" t="s">
        <v>316</v>
      </c>
      <c r="B1241" t="s">
        <v>1986</v>
      </c>
      <c r="C1241" t="s">
        <v>2448</v>
      </c>
      <c r="D1241">
        <v>1.25</v>
      </c>
      <c r="E1241" s="1">
        <v>46387</v>
      </c>
      <c r="F1241" t="s">
        <v>1988</v>
      </c>
      <c r="G1241" t="s">
        <v>2448</v>
      </c>
      <c r="H1241" t="s">
        <v>2</v>
      </c>
      <c r="I1241" s="1">
        <v>46224</v>
      </c>
      <c r="J1241" t="s">
        <v>1991</v>
      </c>
      <c r="K1241" t="s">
        <v>2649</v>
      </c>
      <c r="L1241" s="1">
        <v>46224.918321759258</v>
      </c>
      <c r="M1241" s="1">
        <v>46224.91962439815</v>
      </c>
    </row>
    <row r="1242" spans="1:13" x14ac:dyDescent="0.35">
      <c r="A1242" t="s">
        <v>317</v>
      </c>
      <c r="B1242" t="s">
        <v>1986</v>
      </c>
      <c r="C1242" t="s">
        <v>2380</v>
      </c>
      <c r="D1242">
        <v>1.75</v>
      </c>
      <c r="E1242" s="1">
        <v>47149</v>
      </c>
      <c r="F1242" t="s">
        <v>1988</v>
      </c>
      <c r="G1242" t="s">
        <v>2380</v>
      </c>
      <c r="H1242" t="s">
        <v>2</v>
      </c>
      <c r="I1242" s="1">
        <v>46224</v>
      </c>
      <c r="J1242" t="s">
        <v>2064</v>
      </c>
      <c r="K1242" t="s">
        <v>2603</v>
      </c>
      <c r="L1242" s="1">
        <v>46224.917650462965</v>
      </c>
      <c r="M1242" s="1">
        <v>46224.91962439815</v>
      </c>
    </row>
    <row r="1243" spans="1:13" x14ac:dyDescent="0.35">
      <c r="A1243" t="s">
        <v>317</v>
      </c>
      <c r="B1243" t="s">
        <v>1986</v>
      </c>
      <c r="C1243" t="s">
        <v>2380</v>
      </c>
      <c r="D1243">
        <v>1.75</v>
      </c>
      <c r="E1243" s="1">
        <v>47149</v>
      </c>
      <c r="F1243" t="s">
        <v>1988</v>
      </c>
      <c r="G1243" t="s">
        <v>2380</v>
      </c>
      <c r="H1243" t="s">
        <v>2</v>
      </c>
      <c r="I1243" s="1">
        <v>46224</v>
      </c>
      <c r="J1243" t="s">
        <v>1991</v>
      </c>
      <c r="K1243" t="s">
        <v>2942</v>
      </c>
      <c r="L1243" s="1">
        <v>46224.918321759258</v>
      </c>
      <c r="M1243" s="1">
        <v>46224.91962439815</v>
      </c>
    </row>
    <row r="1244" spans="1:13" x14ac:dyDescent="0.35">
      <c r="A1244" t="s">
        <v>317</v>
      </c>
      <c r="B1244" t="s">
        <v>1986</v>
      </c>
      <c r="C1244" t="s">
        <v>2380</v>
      </c>
      <c r="D1244">
        <v>1.75</v>
      </c>
      <c r="E1244" s="1">
        <v>47149</v>
      </c>
      <c r="F1244" t="s">
        <v>1988</v>
      </c>
      <c r="G1244" t="s">
        <v>2380</v>
      </c>
      <c r="H1244" t="s">
        <v>2</v>
      </c>
      <c r="I1244" s="1">
        <v>46224</v>
      </c>
      <c r="J1244" t="s">
        <v>1989</v>
      </c>
      <c r="K1244" t="s">
        <v>3771</v>
      </c>
      <c r="L1244" s="1">
        <v>46224.918321759258</v>
      </c>
      <c r="M1244" s="1">
        <v>46224.91962439815</v>
      </c>
    </row>
    <row r="1245" spans="1:13" x14ac:dyDescent="0.35">
      <c r="A1245" t="s">
        <v>317</v>
      </c>
      <c r="B1245" t="s">
        <v>1986</v>
      </c>
      <c r="C1245" t="s">
        <v>2380</v>
      </c>
      <c r="D1245">
        <v>1.75</v>
      </c>
      <c r="E1245" s="1">
        <v>47149</v>
      </c>
      <c r="F1245" t="s">
        <v>1988</v>
      </c>
      <c r="G1245" t="s">
        <v>2380</v>
      </c>
      <c r="H1245" t="s">
        <v>2</v>
      </c>
      <c r="I1245" s="1">
        <v>46224</v>
      </c>
      <c r="J1245" t="s">
        <v>2146</v>
      </c>
      <c r="K1245" t="s">
        <v>2961</v>
      </c>
      <c r="L1245" s="1">
        <v>46224.917650462965</v>
      </c>
      <c r="M1245" s="1">
        <v>46224.91962439815</v>
      </c>
    </row>
    <row r="1246" spans="1:13" x14ac:dyDescent="0.35">
      <c r="A1246" t="s">
        <v>317</v>
      </c>
      <c r="B1246" t="s">
        <v>1986</v>
      </c>
      <c r="C1246" t="s">
        <v>2380</v>
      </c>
      <c r="D1246">
        <v>1.75</v>
      </c>
      <c r="E1246" s="1">
        <v>47149</v>
      </c>
      <c r="F1246" t="s">
        <v>1988</v>
      </c>
      <c r="G1246" t="s">
        <v>2380</v>
      </c>
      <c r="H1246" t="s">
        <v>2</v>
      </c>
      <c r="I1246" s="1">
        <v>46224</v>
      </c>
      <c r="J1246" t="s">
        <v>2065</v>
      </c>
      <c r="K1246" t="s">
        <v>2603</v>
      </c>
      <c r="L1246" s="1">
        <v>46224.917650462965</v>
      </c>
      <c r="M1246" s="1">
        <v>46224.91962439815</v>
      </c>
    </row>
    <row r="1247" spans="1:13" x14ac:dyDescent="0.35">
      <c r="A1247" t="s">
        <v>317</v>
      </c>
      <c r="B1247" t="s">
        <v>1986</v>
      </c>
      <c r="C1247" t="s">
        <v>2380</v>
      </c>
      <c r="D1247">
        <v>1.75</v>
      </c>
      <c r="E1247" s="1">
        <v>47149</v>
      </c>
      <c r="F1247" t="s">
        <v>1988</v>
      </c>
      <c r="G1247" t="s">
        <v>2380</v>
      </c>
      <c r="H1247" t="s">
        <v>2</v>
      </c>
      <c r="I1247" s="1">
        <v>46224</v>
      </c>
      <c r="J1247" t="s">
        <v>2108</v>
      </c>
      <c r="K1247" t="s">
        <v>2961</v>
      </c>
      <c r="L1247" s="1">
        <v>46224.917650462965</v>
      </c>
      <c r="M1247" s="1">
        <v>46224.91962439815</v>
      </c>
    </row>
    <row r="1248" spans="1:13" x14ac:dyDescent="0.35">
      <c r="A1248" t="s">
        <v>321</v>
      </c>
      <c r="B1248" t="s">
        <v>1986</v>
      </c>
      <c r="C1248" t="s">
        <v>2456</v>
      </c>
      <c r="D1248">
        <v>0.125</v>
      </c>
      <c r="E1248" s="1">
        <v>48228</v>
      </c>
      <c r="F1248" t="s">
        <v>2014</v>
      </c>
      <c r="G1248" t="s">
        <v>2456</v>
      </c>
      <c r="H1248" t="s">
        <v>2</v>
      </c>
      <c r="I1248" s="1">
        <v>46224</v>
      </c>
      <c r="J1248" t="s">
        <v>1989</v>
      </c>
      <c r="K1248" t="s">
        <v>3529</v>
      </c>
      <c r="L1248" s="1">
        <v>46224.918321759258</v>
      </c>
      <c r="M1248" s="1">
        <v>46224.91962439815</v>
      </c>
    </row>
    <row r="1249" spans="1:13" x14ac:dyDescent="0.35">
      <c r="A1249" t="s">
        <v>321</v>
      </c>
      <c r="B1249" t="s">
        <v>1986</v>
      </c>
      <c r="C1249" t="s">
        <v>2456</v>
      </c>
      <c r="D1249">
        <v>0.125</v>
      </c>
      <c r="E1249" s="1">
        <v>48228</v>
      </c>
      <c r="F1249" t="s">
        <v>2014</v>
      </c>
      <c r="G1249" t="s">
        <v>2456</v>
      </c>
      <c r="H1249" t="s">
        <v>2</v>
      </c>
      <c r="I1249" s="1">
        <v>46224</v>
      </c>
      <c r="J1249" t="s">
        <v>1991</v>
      </c>
      <c r="K1249" t="s">
        <v>4018</v>
      </c>
      <c r="L1249" s="1">
        <v>46224.918321759258</v>
      </c>
      <c r="M1249" s="1">
        <v>46224.91962439815</v>
      </c>
    </row>
    <row r="1250" spans="1:13" x14ac:dyDescent="0.35">
      <c r="A1250" t="s">
        <v>280</v>
      </c>
      <c r="B1250" t="s">
        <v>1986</v>
      </c>
      <c r="C1250" t="s">
        <v>2382</v>
      </c>
      <c r="D1250">
        <v>1.875</v>
      </c>
      <c r="E1250" s="1">
        <v>48259</v>
      </c>
      <c r="F1250" t="s">
        <v>1988</v>
      </c>
      <c r="G1250" t="s">
        <v>2382</v>
      </c>
      <c r="H1250" t="s">
        <v>2</v>
      </c>
      <c r="I1250" s="1">
        <v>46224</v>
      </c>
      <c r="J1250" t="s">
        <v>2065</v>
      </c>
      <c r="K1250" t="s">
        <v>2894</v>
      </c>
      <c r="L1250" s="1">
        <v>46224.917650462965</v>
      </c>
      <c r="M1250" s="1">
        <v>46224.91962439815</v>
      </c>
    </row>
    <row r="1251" spans="1:13" x14ac:dyDescent="0.35">
      <c r="A1251" t="s">
        <v>280</v>
      </c>
      <c r="B1251" t="s">
        <v>1986</v>
      </c>
      <c r="C1251" t="s">
        <v>2382</v>
      </c>
      <c r="D1251">
        <v>1.875</v>
      </c>
      <c r="E1251" s="1">
        <v>48259</v>
      </c>
      <c r="F1251" t="s">
        <v>1988</v>
      </c>
      <c r="G1251" t="s">
        <v>2382</v>
      </c>
      <c r="H1251" t="s">
        <v>2</v>
      </c>
      <c r="I1251" s="1">
        <v>46224</v>
      </c>
      <c r="J1251" t="s">
        <v>1991</v>
      </c>
      <c r="K1251" t="s">
        <v>3610</v>
      </c>
      <c r="L1251" s="1">
        <v>46224.918321759258</v>
      </c>
      <c r="M1251" s="1">
        <v>46224.91962439815</v>
      </c>
    </row>
    <row r="1252" spans="1:13" x14ac:dyDescent="0.35">
      <c r="A1252" t="s">
        <v>280</v>
      </c>
      <c r="B1252" t="s">
        <v>1986</v>
      </c>
      <c r="C1252" t="s">
        <v>2382</v>
      </c>
      <c r="D1252">
        <v>1.875</v>
      </c>
      <c r="E1252" s="1">
        <v>48259</v>
      </c>
      <c r="F1252" t="s">
        <v>1988</v>
      </c>
      <c r="G1252" t="s">
        <v>2382</v>
      </c>
      <c r="H1252" t="s">
        <v>2</v>
      </c>
      <c r="I1252" s="1">
        <v>46224</v>
      </c>
      <c r="J1252" t="s">
        <v>1989</v>
      </c>
      <c r="K1252" t="s">
        <v>3786</v>
      </c>
      <c r="L1252" s="1">
        <v>46224.918321759258</v>
      </c>
      <c r="M1252" s="1">
        <v>46224.91962439815</v>
      </c>
    </row>
    <row r="1253" spans="1:13" x14ac:dyDescent="0.35">
      <c r="A1253" t="s">
        <v>280</v>
      </c>
      <c r="B1253" t="s">
        <v>1986</v>
      </c>
      <c r="C1253" t="s">
        <v>2382</v>
      </c>
      <c r="D1253">
        <v>1.875</v>
      </c>
      <c r="E1253" s="1">
        <v>48259</v>
      </c>
      <c r="F1253" t="s">
        <v>1988</v>
      </c>
      <c r="G1253" t="s">
        <v>2382</v>
      </c>
      <c r="H1253" t="s">
        <v>2</v>
      </c>
      <c r="I1253" s="1">
        <v>46224</v>
      </c>
      <c r="J1253" t="s">
        <v>2064</v>
      </c>
      <c r="K1253" t="s">
        <v>2894</v>
      </c>
      <c r="L1253" s="1">
        <v>46224.917650462965</v>
      </c>
      <c r="M1253" s="1">
        <v>46224.91962439815</v>
      </c>
    </row>
    <row r="1254" spans="1:13" x14ac:dyDescent="0.35">
      <c r="A1254" t="s">
        <v>280</v>
      </c>
      <c r="B1254" t="s">
        <v>1986</v>
      </c>
      <c r="C1254" t="s">
        <v>2382</v>
      </c>
      <c r="D1254">
        <v>1.875</v>
      </c>
      <c r="E1254" s="1">
        <v>48259</v>
      </c>
      <c r="F1254" t="s">
        <v>1988</v>
      </c>
      <c r="G1254" t="s">
        <v>2382</v>
      </c>
      <c r="H1254" t="s">
        <v>2</v>
      </c>
      <c r="I1254" s="1">
        <v>46224</v>
      </c>
      <c r="J1254" t="s">
        <v>2146</v>
      </c>
      <c r="K1254" t="s">
        <v>3757</v>
      </c>
      <c r="L1254" s="1">
        <v>46224.917650462965</v>
      </c>
      <c r="M1254" s="1">
        <v>46224.91962439815</v>
      </c>
    </row>
    <row r="1255" spans="1:13" x14ac:dyDescent="0.35">
      <c r="A1255" t="s">
        <v>280</v>
      </c>
      <c r="B1255" t="s">
        <v>1986</v>
      </c>
      <c r="C1255" t="s">
        <v>2382</v>
      </c>
      <c r="D1255">
        <v>1.875</v>
      </c>
      <c r="E1255" s="1">
        <v>48259</v>
      </c>
      <c r="F1255" t="s">
        <v>1988</v>
      </c>
      <c r="G1255" t="s">
        <v>2382</v>
      </c>
      <c r="H1255" t="s">
        <v>2</v>
      </c>
      <c r="I1255" s="1">
        <v>46224</v>
      </c>
      <c r="J1255" t="s">
        <v>2108</v>
      </c>
      <c r="K1255" t="s">
        <v>3757</v>
      </c>
      <c r="L1255" s="1">
        <v>46224.917650462965</v>
      </c>
      <c r="M1255" s="1">
        <v>46224.91962439815</v>
      </c>
    </row>
    <row r="1256" spans="1:13" x14ac:dyDescent="0.35">
      <c r="A1256" t="s">
        <v>322</v>
      </c>
      <c r="B1256" t="s">
        <v>1986</v>
      </c>
      <c r="C1256" t="s">
        <v>2383</v>
      </c>
      <c r="D1256">
        <v>1.875</v>
      </c>
      <c r="E1256" s="1">
        <v>47177</v>
      </c>
      <c r="F1256" t="s">
        <v>1988</v>
      </c>
      <c r="G1256" t="s">
        <v>2383</v>
      </c>
      <c r="H1256" t="s">
        <v>2</v>
      </c>
      <c r="I1256" s="1">
        <v>46224</v>
      </c>
      <c r="J1256" t="s">
        <v>2065</v>
      </c>
      <c r="K1256" t="s">
        <v>2208</v>
      </c>
      <c r="L1256" s="1">
        <v>46224.917650462965</v>
      </c>
      <c r="M1256" s="1">
        <v>46224.91962439815</v>
      </c>
    </row>
    <row r="1257" spans="1:13" x14ac:dyDescent="0.35">
      <c r="A1257" t="s">
        <v>322</v>
      </c>
      <c r="B1257" t="s">
        <v>1986</v>
      </c>
      <c r="C1257" t="s">
        <v>2383</v>
      </c>
      <c r="D1257">
        <v>1.875</v>
      </c>
      <c r="E1257" s="1">
        <v>47177</v>
      </c>
      <c r="F1257" t="s">
        <v>1988</v>
      </c>
      <c r="G1257" t="s">
        <v>2383</v>
      </c>
      <c r="H1257" t="s">
        <v>2</v>
      </c>
      <c r="I1257" s="1">
        <v>46224</v>
      </c>
      <c r="J1257" t="s">
        <v>1989</v>
      </c>
      <c r="K1257" t="s">
        <v>3703</v>
      </c>
      <c r="L1257" s="1">
        <v>46224.918321759258</v>
      </c>
      <c r="M1257" s="1">
        <v>46224.91962439815</v>
      </c>
    </row>
    <row r="1258" spans="1:13" x14ac:dyDescent="0.35">
      <c r="A1258" t="s">
        <v>322</v>
      </c>
      <c r="B1258" t="s">
        <v>1986</v>
      </c>
      <c r="C1258" t="s">
        <v>2383</v>
      </c>
      <c r="D1258">
        <v>1.875</v>
      </c>
      <c r="E1258" s="1">
        <v>47177</v>
      </c>
      <c r="F1258" t="s">
        <v>1988</v>
      </c>
      <c r="G1258" t="s">
        <v>2383</v>
      </c>
      <c r="H1258" t="s">
        <v>2</v>
      </c>
      <c r="I1258" s="1">
        <v>46224</v>
      </c>
      <c r="J1258" t="s">
        <v>2146</v>
      </c>
      <c r="K1258" t="s">
        <v>2620</v>
      </c>
      <c r="L1258" s="1">
        <v>46224.917650462965</v>
      </c>
      <c r="M1258" s="1">
        <v>46224.91962439815</v>
      </c>
    </row>
    <row r="1259" spans="1:13" x14ac:dyDescent="0.35">
      <c r="A1259" t="s">
        <v>322</v>
      </c>
      <c r="B1259" t="s">
        <v>1986</v>
      </c>
      <c r="C1259" t="s">
        <v>2383</v>
      </c>
      <c r="D1259">
        <v>1.875</v>
      </c>
      <c r="E1259" s="1">
        <v>47177</v>
      </c>
      <c r="F1259" t="s">
        <v>1988</v>
      </c>
      <c r="G1259" t="s">
        <v>2383</v>
      </c>
      <c r="H1259" t="s">
        <v>2</v>
      </c>
      <c r="I1259" s="1">
        <v>46224</v>
      </c>
      <c r="J1259" t="s">
        <v>2108</v>
      </c>
      <c r="K1259" t="s">
        <v>2620</v>
      </c>
      <c r="L1259" s="1">
        <v>46224.917650462965</v>
      </c>
      <c r="M1259" s="1">
        <v>46224.91962439815</v>
      </c>
    </row>
    <row r="1260" spans="1:13" x14ac:dyDescent="0.35">
      <c r="A1260" t="s">
        <v>322</v>
      </c>
      <c r="B1260" t="s">
        <v>1986</v>
      </c>
      <c r="C1260" t="s">
        <v>2383</v>
      </c>
      <c r="D1260">
        <v>1.875</v>
      </c>
      <c r="E1260" s="1">
        <v>47177</v>
      </c>
      <c r="F1260" t="s">
        <v>1988</v>
      </c>
      <c r="G1260" t="s">
        <v>2383</v>
      </c>
      <c r="H1260" t="s">
        <v>2</v>
      </c>
      <c r="I1260" s="1">
        <v>46224</v>
      </c>
      <c r="J1260" t="s">
        <v>2064</v>
      </c>
      <c r="K1260" t="s">
        <v>2208</v>
      </c>
      <c r="L1260" s="1">
        <v>46224.917650462965</v>
      </c>
      <c r="M1260" s="1">
        <v>46224.91962439815</v>
      </c>
    </row>
    <row r="1261" spans="1:13" x14ac:dyDescent="0.35">
      <c r="A1261" t="s">
        <v>322</v>
      </c>
      <c r="B1261" t="s">
        <v>1986</v>
      </c>
      <c r="C1261" t="s">
        <v>2383</v>
      </c>
      <c r="D1261">
        <v>1.875</v>
      </c>
      <c r="E1261" s="1">
        <v>47177</v>
      </c>
      <c r="F1261" t="s">
        <v>1988</v>
      </c>
      <c r="G1261" t="s">
        <v>2383</v>
      </c>
      <c r="H1261" t="s">
        <v>2</v>
      </c>
      <c r="I1261" s="1">
        <v>46224</v>
      </c>
      <c r="J1261" t="s">
        <v>1991</v>
      </c>
      <c r="K1261" t="s">
        <v>3860</v>
      </c>
      <c r="L1261" s="1">
        <v>46224.918321759258</v>
      </c>
      <c r="M1261" s="1">
        <v>46224.91962439815</v>
      </c>
    </row>
    <row r="1262" spans="1:13" x14ac:dyDescent="0.35">
      <c r="A1262" t="s">
        <v>281</v>
      </c>
      <c r="B1262" t="s">
        <v>1986</v>
      </c>
      <c r="C1262" t="s">
        <v>2385</v>
      </c>
      <c r="D1262">
        <v>1.875</v>
      </c>
      <c r="E1262" s="1">
        <v>46446</v>
      </c>
      <c r="F1262" t="s">
        <v>1988</v>
      </c>
      <c r="G1262" t="s">
        <v>2385</v>
      </c>
      <c r="H1262" t="s">
        <v>2</v>
      </c>
      <c r="I1262" s="1">
        <v>46224</v>
      </c>
      <c r="J1262" t="s">
        <v>1989</v>
      </c>
      <c r="K1262" t="s">
        <v>3530</v>
      </c>
      <c r="L1262" s="1">
        <v>46224.918321759258</v>
      </c>
      <c r="M1262" s="1">
        <v>46224.91962439815</v>
      </c>
    </row>
    <row r="1263" spans="1:13" x14ac:dyDescent="0.35">
      <c r="A1263" t="s">
        <v>281</v>
      </c>
      <c r="B1263" t="s">
        <v>1986</v>
      </c>
      <c r="C1263" t="s">
        <v>2385</v>
      </c>
      <c r="D1263">
        <v>1.875</v>
      </c>
      <c r="E1263" s="1">
        <v>46446</v>
      </c>
      <c r="F1263" t="s">
        <v>1988</v>
      </c>
      <c r="G1263" t="s">
        <v>2385</v>
      </c>
      <c r="H1263" t="s">
        <v>2</v>
      </c>
      <c r="I1263" s="1">
        <v>46224</v>
      </c>
      <c r="J1263" t="s">
        <v>2108</v>
      </c>
      <c r="K1263" t="s">
        <v>3787</v>
      </c>
      <c r="L1263" s="1">
        <v>46224.917650462965</v>
      </c>
      <c r="M1263" s="1">
        <v>46224.91962439815</v>
      </c>
    </row>
    <row r="1264" spans="1:13" x14ac:dyDescent="0.35">
      <c r="A1264" t="s">
        <v>281</v>
      </c>
      <c r="B1264" t="s">
        <v>1986</v>
      </c>
      <c r="C1264" t="s">
        <v>2385</v>
      </c>
      <c r="D1264">
        <v>1.875</v>
      </c>
      <c r="E1264" s="1">
        <v>46446</v>
      </c>
      <c r="F1264" t="s">
        <v>1988</v>
      </c>
      <c r="G1264" t="s">
        <v>2385</v>
      </c>
      <c r="H1264" t="s">
        <v>2</v>
      </c>
      <c r="I1264" s="1">
        <v>46224</v>
      </c>
      <c r="J1264" t="s">
        <v>2064</v>
      </c>
      <c r="K1264" t="s">
        <v>3788</v>
      </c>
      <c r="L1264" s="1">
        <v>46224.917650462965</v>
      </c>
      <c r="M1264" s="1">
        <v>46224.91962439815</v>
      </c>
    </row>
    <row r="1265" spans="1:13" x14ac:dyDescent="0.35">
      <c r="A1265" t="s">
        <v>281</v>
      </c>
      <c r="B1265" t="s">
        <v>1986</v>
      </c>
      <c r="C1265" t="s">
        <v>2385</v>
      </c>
      <c r="D1265">
        <v>1.875</v>
      </c>
      <c r="E1265" s="1">
        <v>46446</v>
      </c>
      <c r="F1265" t="s">
        <v>1988</v>
      </c>
      <c r="G1265" t="s">
        <v>2385</v>
      </c>
      <c r="H1265" t="s">
        <v>2</v>
      </c>
      <c r="I1265" s="1">
        <v>46224</v>
      </c>
      <c r="J1265" t="s">
        <v>2065</v>
      </c>
      <c r="K1265" t="s">
        <v>3788</v>
      </c>
      <c r="L1265" s="1">
        <v>46224.917650462965</v>
      </c>
      <c r="M1265" s="1">
        <v>46224.91962439815</v>
      </c>
    </row>
    <row r="1266" spans="1:13" x14ac:dyDescent="0.35">
      <c r="A1266" t="s">
        <v>281</v>
      </c>
      <c r="B1266" t="s">
        <v>1986</v>
      </c>
      <c r="C1266" t="s">
        <v>2385</v>
      </c>
      <c r="D1266">
        <v>1.875</v>
      </c>
      <c r="E1266" s="1">
        <v>46446</v>
      </c>
      <c r="F1266" t="s">
        <v>1988</v>
      </c>
      <c r="G1266" t="s">
        <v>2385</v>
      </c>
      <c r="H1266" t="s">
        <v>2</v>
      </c>
      <c r="I1266" s="1">
        <v>46224</v>
      </c>
      <c r="J1266" t="s">
        <v>1991</v>
      </c>
      <c r="K1266" t="s">
        <v>4019</v>
      </c>
      <c r="L1266" s="1">
        <v>46224.918321759258</v>
      </c>
      <c r="M1266" s="1">
        <v>46224.91962439815</v>
      </c>
    </row>
    <row r="1267" spans="1:13" x14ac:dyDescent="0.35">
      <c r="A1267" t="s">
        <v>281</v>
      </c>
      <c r="B1267" t="s">
        <v>1986</v>
      </c>
      <c r="C1267" t="s">
        <v>2385</v>
      </c>
      <c r="D1267">
        <v>1.875</v>
      </c>
      <c r="E1267" s="1">
        <v>46446</v>
      </c>
      <c r="F1267" t="s">
        <v>1988</v>
      </c>
      <c r="G1267" t="s">
        <v>2385</v>
      </c>
      <c r="H1267" t="s">
        <v>2</v>
      </c>
      <c r="I1267" s="1">
        <v>46224</v>
      </c>
      <c r="J1267" t="s">
        <v>2146</v>
      </c>
      <c r="K1267" t="s">
        <v>3787</v>
      </c>
      <c r="L1267" s="1">
        <v>46224.917650462965</v>
      </c>
      <c r="M1267" s="1">
        <v>46224.91962439815</v>
      </c>
    </row>
    <row r="1268" spans="1:13" x14ac:dyDescent="0.35">
      <c r="A1268" t="s">
        <v>282</v>
      </c>
      <c r="B1268" t="s">
        <v>1986</v>
      </c>
      <c r="C1268" t="s">
        <v>2460</v>
      </c>
      <c r="D1268">
        <v>2.375</v>
      </c>
      <c r="E1268" s="1">
        <v>47208</v>
      </c>
      <c r="F1268" t="s">
        <v>1988</v>
      </c>
      <c r="G1268" t="s">
        <v>2460</v>
      </c>
      <c r="H1268" t="s">
        <v>2</v>
      </c>
      <c r="I1268" s="1">
        <v>46224</v>
      </c>
      <c r="J1268" t="s">
        <v>2108</v>
      </c>
      <c r="K1268" t="s">
        <v>2552</v>
      </c>
      <c r="L1268" s="1">
        <v>46224.917650462965</v>
      </c>
      <c r="M1268" s="1">
        <v>46224.91962439815</v>
      </c>
    </row>
    <row r="1269" spans="1:13" x14ac:dyDescent="0.35">
      <c r="A1269" t="s">
        <v>282</v>
      </c>
      <c r="B1269" t="s">
        <v>1986</v>
      </c>
      <c r="C1269" t="s">
        <v>2460</v>
      </c>
      <c r="D1269">
        <v>2.375</v>
      </c>
      <c r="E1269" s="1">
        <v>47208</v>
      </c>
      <c r="F1269" t="s">
        <v>1988</v>
      </c>
      <c r="G1269" t="s">
        <v>2460</v>
      </c>
      <c r="H1269" t="s">
        <v>2</v>
      </c>
      <c r="I1269" s="1">
        <v>46224</v>
      </c>
      <c r="J1269" t="s">
        <v>2065</v>
      </c>
      <c r="K1269" t="s">
        <v>2609</v>
      </c>
      <c r="L1269" s="1">
        <v>46224.917650462965</v>
      </c>
      <c r="M1269" s="1">
        <v>46224.91962439815</v>
      </c>
    </row>
    <row r="1270" spans="1:13" x14ac:dyDescent="0.35">
      <c r="A1270" t="s">
        <v>282</v>
      </c>
      <c r="B1270" t="s">
        <v>1986</v>
      </c>
      <c r="C1270" t="s">
        <v>2460</v>
      </c>
      <c r="D1270">
        <v>2.375</v>
      </c>
      <c r="E1270" s="1">
        <v>47208</v>
      </c>
      <c r="F1270" t="s">
        <v>1988</v>
      </c>
      <c r="G1270" t="s">
        <v>2460</v>
      </c>
      <c r="H1270" t="s">
        <v>2</v>
      </c>
      <c r="I1270" s="1">
        <v>46224</v>
      </c>
      <c r="J1270" t="s">
        <v>1991</v>
      </c>
      <c r="K1270" t="s">
        <v>2979</v>
      </c>
      <c r="L1270" s="1">
        <v>46224.918321759258</v>
      </c>
      <c r="M1270" s="1">
        <v>46224.91962439815</v>
      </c>
    </row>
    <row r="1271" spans="1:13" x14ac:dyDescent="0.35">
      <c r="A1271" t="s">
        <v>282</v>
      </c>
      <c r="B1271" t="s">
        <v>1986</v>
      </c>
      <c r="C1271" t="s">
        <v>2460</v>
      </c>
      <c r="D1271">
        <v>2.375</v>
      </c>
      <c r="E1271" s="1">
        <v>47208</v>
      </c>
      <c r="F1271" t="s">
        <v>1988</v>
      </c>
      <c r="G1271" t="s">
        <v>2460</v>
      </c>
      <c r="H1271" t="s">
        <v>2</v>
      </c>
      <c r="I1271" s="1">
        <v>46224</v>
      </c>
      <c r="J1271" t="s">
        <v>2146</v>
      </c>
      <c r="K1271" t="s">
        <v>2552</v>
      </c>
      <c r="L1271" s="1">
        <v>46224.917650462965</v>
      </c>
      <c r="M1271" s="1">
        <v>46224.91962439815</v>
      </c>
    </row>
    <row r="1272" spans="1:13" x14ac:dyDescent="0.35">
      <c r="A1272" t="s">
        <v>282</v>
      </c>
      <c r="B1272" t="s">
        <v>1986</v>
      </c>
      <c r="C1272" t="s">
        <v>2460</v>
      </c>
      <c r="D1272">
        <v>2.375</v>
      </c>
      <c r="E1272" s="1">
        <v>47208</v>
      </c>
      <c r="F1272" t="s">
        <v>1988</v>
      </c>
      <c r="G1272" t="s">
        <v>2460</v>
      </c>
      <c r="H1272" t="s">
        <v>2</v>
      </c>
      <c r="I1272" s="1">
        <v>46224</v>
      </c>
      <c r="J1272" t="s">
        <v>1989</v>
      </c>
      <c r="K1272" t="s">
        <v>4020</v>
      </c>
      <c r="L1272" s="1">
        <v>46224.918321759258</v>
      </c>
      <c r="M1272" s="1">
        <v>46224.91962439815</v>
      </c>
    </row>
    <row r="1273" spans="1:13" x14ac:dyDescent="0.35">
      <c r="A1273" t="s">
        <v>282</v>
      </c>
      <c r="B1273" t="s">
        <v>1986</v>
      </c>
      <c r="C1273" t="s">
        <v>2460</v>
      </c>
      <c r="D1273">
        <v>2.375</v>
      </c>
      <c r="E1273" s="1">
        <v>47208</v>
      </c>
      <c r="F1273" t="s">
        <v>1988</v>
      </c>
      <c r="G1273" t="s">
        <v>2460</v>
      </c>
      <c r="H1273" t="s">
        <v>2</v>
      </c>
      <c r="I1273" s="1">
        <v>46224</v>
      </c>
      <c r="J1273" t="s">
        <v>2064</v>
      </c>
      <c r="K1273" t="s">
        <v>2609</v>
      </c>
      <c r="L1273" s="1">
        <v>46224.917650462965</v>
      </c>
      <c r="M1273" s="1">
        <v>46224.91962439815</v>
      </c>
    </row>
    <row r="1274" spans="1:13" x14ac:dyDescent="0.35">
      <c r="A1274" t="s">
        <v>283</v>
      </c>
      <c r="B1274" t="s">
        <v>1986</v>
      </c>
      <c r="C1274" t="s">
        <v>2461</v>
      </c>
      <c r="D1274">
        <v>2.5</v>
      </c>
      <c r="E1274" s="1">
        <v>46477</v>
      </c>
      <c r="F1274" t="s">
        <v>1988</v>
      </c>
      <c r="G1274" t="s">
        <v>2461</v>
      </c>
      <c r="H1274" t="s">
        <v>2</v>
      </c>
      <c r="I1274" s="1">
        <v>46224</v>
      </c>
      <c r="J1274" t="s">
        <v>1991</v>
      </c>
      <c r="K1274" t="s">
        <v>2465</v>
      </c>
      <c r="L1274" s="1">
        <v>46224.918321759258</v>
      </c>
      <c r="M1274" s="1">
        <v>46224.91962439815</v>
      </c>
    </row>
    <row r="1275" spans="1:13" x14ac:dyDescent="0.35">
      <c r="A1275" t="s">
        <v>283</v>
      </c>
      <c r="B1275" t="s">
        <v>1986</v>
      </c>
      <c r="C1275" t="s">
        <v>2461</v>
      </c>
      <c r="D1275">
        <v>2.5</v>
      </c>
      <c r="E1275" s="1">
        <v>46477</v>
      </c>
      <c r="F1275" t="s">
        <v>1988</v>
      </c>
      <c r="G1275" t="s">
        <v>2461</v>
      </c>
      <c r="H1275" t="s">
        <v>2</v>
      </c>
      <c r="I1275" s="1">
        <v>46224</v>
      </c>
      <c r="J1275" t="s">
        <v>2064</v>
      </c>
      <c r="K1275" t="s">
        <v>3704</v>
      </c>
      <c r="L1275" s="1">
        <v>46224.917650462965</v>
      </c>
      <c r="M1275" s="1">
        <v>46224.91962439815</v>
      </c>
    </row>
    <row r="1276" spans="1:13" x14ac:dyDescent="0.35">
      <c r="A1276" t="s">
        <v>283</v>
      </c>
      <c r="B1276" t="s">
        <v>1986</v>
      </c>
      <c r="C1276" t="s">
        <v>2461</v>
      </c>
      <c r="D1276">
        <v>2.5</v>
      </c>
      <c r="E1276" s="1">
        <v>46477</v>
      </c>
      <c r="F1276" t="s">
        <v>1988</v>
      </c>
      <c r="G1276" t="s">
        <v>2461</v>
      </c>
      <c r="H1276" t="s">
        <v>2</v>
      </c>
      <c r="I1276" s="1">
        <v>46224</v>
      </c>
      <c r="J1276" t="s">
        <v>2108</v>
      </c>
      <c r="K1276" t="s">
        <v>3465</v>
      </c>
      <c r="L1276" s="1">
        <v>46224.917650462965</v>
      </c>
      <c r="M1276" s="1">
        <v>46224.91962439815</v>
      </c>
    </row>
    <row r="1277" spans="1:13" x14ac:dyDescent="0.35">
      <c r="A1277" t="s">
        <v>283</v>
      </c>
      <c r="B1277" t="s">
        <v>1986</v>
      </c>
      <c r="C1277" t="s">
        <v>2461</v>
      </c>
      <c r="D1277">
        <v>2.5</v>
      </c>
      <c r="E1277" s="1">
        <v>46477</v>
      </c>
      <c r="F1277" t="s">
        <v>1988</v>
      </c>
      <c r="G1277" t="s">
        <v>2461</v>
      </c>
      <c r="H1277" t="s">
        <v>2</v>
      </c>
      <c r="I1277" s="1">
        <v>46224</v>
      </c>
      <c r="J1277" t="s">
        <v>1989</v>
      </c>
      <c r="K1277" t="s">
        <v>3861</v>
      </c>
      <c r="L1277" s="1">
        <v>46224.918321759258</v>
      </c>
      <c r="M1277" s="1">
        <v>46224.91962439815</v>
      </c>
    </row>
    <row r="1278" spans="1:13" x14ac:dyDescent="0.35">
      <c r="A1278" t="s">
        <v>283</v>
      </c>
      <c r="B1278" t="s">
        <v>1986</v>
      </c>
      <c r="C1278" t="s">
        <v>2461</v>
      </c>
      <c r="D1278">
        <v>2.5</v>
      </c>
      <c r="E1278" s="1">
        <v>46477</v>
      </c>
      <c r="F1278" t="s">
        <v>1988</v>
      </c>
      <c r="G1278" t="s">
        <v>2461</v>
      </c>
      <c r="H1278" t="s">
        <v>2</v>
      </c>
      <c r="I1278" s="1">
        <v>46224</v>
      </c>
      <c r="J1278" t="s">
        <v>2146</v>
      </c>
      <c r="K1278" t="s">
        <v>3465</v>
      </c>
      <c r="L1278" s="1">
        <v>46224.917650462965</v>
      </c>
      <c r="M1278" s="1">
        <v>46224.91962439815</v>
      </c>
    </row>
    <row r="1279" spans="1:13" x14ac:dyDescent="0.35">
      <c r="A1279" t="s">
        <v>283</v>
      </c>
      <c r="B1279" t="s">
        <v>1986</v>
      </c>
      <c r="C1279" t="s">
        <v>2461</v>
      </c>
      <c r="D1279">
        <v>2.5</v>
      </c>
      <c r="E1279" s="1">
        <v>46477</v>
      </c>
      <c r="F1279" t="s">
        <v>1988</v>
      </c>
      <c r="G1279" t="s">
        <v>2461</v>
      </c>
      <c r="H1279" t="s">
        <v>2</v>
      </c>
      <c r="I1279" s="1">
        <v>46224</v>
      </c>
      <c r="J1279" t="s">
        <v>2065</v>
      </c>
      <c r="K1279" t="s">
        <v>3704</v>
      </c>
      <c r="L1279" s="1">
        <v>46224.917650462965</v>
      </c>
      <c r="M1279" s="1">
        <v>46224.91962439815</v>
      </c>
    </row>
    <row r="1280" spans="1:13" x14ac:dyDescent="0.35">
      <c r="A1280" t="s">
        <v>284</v>
      </c>
      <c r="B1280" t="s">
        <v>1986</v>
      </c>
      <c r="C1280" t="s">
        <v>2466</v>
      </c>
      <c r="D1280">
        <v>0.125</v>
      </c>
      <c r="E1280" s="1">
        <v>46492</v>
      </c>
      <c r="F1280" t="s">
        <v>2014</v>
      </c>
      <c r="G1280" t="s">
        <v>2466</v>
      </c>
      <c r="H1280" t="s">
        <v>2</v>
      </c>
      <c r="I1280" s="1">
        <v>46224</v>
      </c>
      <c r="J1280" t="s">
        <v>1989</v>
      </c>
      <c r="K1280" t="s">
        <v>2615</v>
      </c>
      <c r="L1280" s="1">
        <v>46224.918321759258</v>
      </c>
      <c r="M1280" s="1">
        <v>46224.91962439815</v>
      </c>
    </row>
    <row r="1281" spans="1:13" x14ac:dyDescent="0.35">
      <c r="A1281" t="s">
        <v>284</v>
      </c>
      <c r="B1281" t="s">
        <v>1986</v>
      </c>
      <c r="C1281" t="s">
        <v>2466</v>
      </c>
      <c r="D1281">
        <v>0.125</v>
      </c>
      <c r="E1281" s="1">
        <v>46492</v>
      </c>
      <c r="F1281" t="s">
        <v>2014</v>
      </c>
      <c r="G1281" t="s">
        <v>2466</v>
      </c>
      <c r="H1281" t="s">
        <v>2</v>
      </c>
      <c r="I1281" s="1">
        <v>46224</v>
      </c>
      <c r="J1281" t="s">
        <v>1991</v>
      </c>
      <c r="K1281" t="s">
        <v>3611</v>
      </c>
      <c r="L1281" s="1">
        <v>46224.918321759258</v>
      </c>
      <c r="M1281" s="1">
        <v>46224.91962439815</v>
      </c>
    </row>
    <row r="1282" spans="1:13" x14ac:dyDescent="0.35">
      <c r="A1282" t="s">
        <v>285</v>
      </c>
      <c r="B1282" t="s">
        <v>1986</v>
      </c>
      <c r="C1282" t="s">
        <v>2414</v>
      </c>
      <c r="D1282">
        <v>2.875</v>
      </c>
      <c r="E1282" s="1">
        <v>47238</v>
      </c>
      <c r="F1282" t="s">
        <v>1988</v>
      </c>
      <c r="G1282" t="s">
        <v>2414</v>
      </c>
      <c r="H1282" t="s">
        <v>2</v>
      </c>
      <c r="I1282" s="1">
        <v>46224</v>
      </c>
      <c r="J1282" t="s">
        <v>2108</v>
      </c>
      <c r="K1282" t="s">
        <v>2442</v>
      </c>
      <c r="L1282" s="1">
        <v>46224.917650462965</v>
      </c>
      <c r="M1282" s="1">
        <v>46224.91962439815</v>
      </c>
    </row>
    <row r="1283" spans="1:13" x14ac:dyDescent="0.35">
      <c r="A1283" t="s">
        <v>285</v>
      </c>
      <c r="B1283" t="s">
        <v>1986</v>
      </c>
      <c r="C1283" t="s">
        <v>2414</v>
      </c>
      <c r="D1283">
        <v>2.875</v>
      </c>
      <c r="E1283" s="1">
        <v>47238</v>
      </c>
      <c r="F1283" t="s">
        <v>1988</v>
      </c>
      <c r="G1283" t="s">
        <v>2414</v>
      </c>
      <c r="H1283" t="s">
        <v>2</v>
      </c>
      <c r="I1283" s="1">
        <v>46224</v>
      </c>
      <c r="J1283" t="s">
        <v>2146</v>
      </c>
      <c r="K1283" t="s">
        <v>2442</v>
      </c>
      <c r="L1283" s="1">
        <v>46224.917650462965</v>
      </c>
      <c r="M1283" s="1">
        <v>46224.91962439815</v>
      </c>
    </row>
    <row r="1284" spans="1:13" x14ac:dyDescent="0.35">
      <c r="A1284" t="s">
        <v>285</v>
      </c>
      <c r="B1284" t="s">
        <v>1986</v>
      </c>
      <c r="C1284" t="s">
        <v>2414</v>
      </c>
      <c r="D1284">
        <v>2.875</v>
      </c>
      <c r="E1284" s="1">
        <v>47238</v>
      </c>
      <c r="F1284" t="s">
        <v>1988</v>
      </c>
      <c r="G1284" t="s">
        <v>2414</v>
      </c>
      <c r="H1284" t="s">
        <v>2</v>
      </c>
      <c r="I1284" s="1">
        <v>46224</v>
      </c>
      <c r="J1284" t="s">
        <v>2064</v>
      </c>
      <c r="K1284" t="s">
        <v>3612</v>
      </c>
      <c r="L1284" s="1">
        <v>46224.917650462965</v>
      </c>
      <c r="M1284" s="1">
        <v>46224.91962439815</v>
      </c>
    </row>
    <row r="1285" spans="1:13" x14ac:dyDescent="0.35">
      <c r="A1285" t="s">
        <v>285</v>
      </c>
      <c r="B1285" t="s">
        <v>1986</v>
      </c>
      <c r="C1285" t="s">
        <v>2414</v>
      </c>
      <c r="D1285">
        <v>2.875</v>
      </c>
      <c r="E1285" s="1">
        <v>47238</v>
      </c>
      <c r="F1285" t="s">
        <v>1988</v>
      </c>
      <c r="G1285" t="s">
        <v>2414</v>
      </c>
      <c r="H1285" t="s">
        <v>2</v>
      </c>
      <c r="I1285" s="1">
        <v>46224</v>
      </c>
      <c r="J1285" t="s">
        <v>2065</v>
      </c>
      <c r="K1285" t="s">
        <v>3612</v>
      </c>
      <c r="L1285" s="1">
        <v>46224.917650462965</v>
      </c>
      <c r="M1285" s="1">
        <v>46224.91962439815</v>
      </c>
    </row>
    <row r="1286" spans="1:13" x14ac:dyDescent="0.35">
      <c r="A1286" t="s">
        <v>285</v>
      </c>
      <c r="B1286" t="s">
        <v>1986</v>
      </c>
      <c r="C1286" t="s">
        <v>2414</v>
      </c>
      <c r="D1286">
        <v>2.875</v>
      </c>
      <c r="E1286" s="1">
        <v>47238</v>
      </c>
      <c r="F1286" t="s">
        <v>1988</v>
      </c>
      <c r="G1286" t="s">
        <v>2414</v>
      </c>
      <c r="H1286" t="s">
        <v>2</v>
      </c>
      <c r="I1286" s="1">
        <v>46224</v>
      </c>
      <c r="J1286" t="s">
        <v>1989</v>
      </c>
      <c r="K1286" t="s">
        <v>3985</v>
      </c>
      <c r="L1286" s="1">
        <v>46224.918321759258</v>
      </c>
      <c r="M1286" s="1">
        <v>46224.91962439815</v>
      </c>
    </row>
    <row r="1287" spans="1:13" x14ac:dyDescent="0.35">
      <c r="A1287" t="s">
        <v>285</v>
      </c>
      <c r="B1287" t="s">
        <v>1986</v>
      </c>
      <c r="C1287" t="s">
        <v>2414</v>
      </c>
      <c r="D1287">
        <v>2.875</v>
      </c>
      <c r="E1287" s="1">
        <v>47238</v>
      </c>
      <c r="F1287" t="s">
        <v>1988</v>
      </c>
      <c r="G1287" t="s">
        <v>2414</v>
      </c>
      <c r="H1287" t="s">
        <v>2</v>
      </c>
      <c r="I1287" s="1">
        <v>46224</v>
      </c>
      <c r="J1287" t="s">
        <v>1991</v>
      </c>
      <c r="K1287" t="s">
        <v>4021</v>
      </c>
      <c r="L1287" s="1">
        <v>46224.918321759258</v>
      </c>
      <c r="M1287" s="1">
        <v>46224.91962439815</v>
      </c>
    </row>
    <row r="1288" spans="1:13" x14ac:dyDescent="0.35">
      <c r="A1288" t="s">
        <v>323</v>
      </c>
      <c r="B1288" t="s">
        <v>1986</v>
      </c>
      <c r="C1288" t="s">
        <v>2416</v>
      </c>
      <c r="D1288">
        <v>2.75</v>
      </c>
      <c r="E1288" s="1">
        <v>46507</v>
      </c>
      <c r="F1288" t="s">
        <v>1988</v>
      </c>
      <c r="G1288" t="s">
        <v>2416</v>
      </c>
      <c r="H1288" t="s">
        <v>2</v>
      </c>
      <c r="I1288" s="1">
        <v>46224</v>
      </c>
      <c r="J1288" t="s">
        <v>2065</v>
      </c>
      <c r="K1288" t="s">
        <v>2618</v>
      </c>
      <c r="L1288" s="1">
        <v>46224.917650462965</v>
      </c>
      <c r="M1288" s="1">
        <v>46224.91962439815</v>
      </c>
    </row>
    <row r="1289" spans="1:13" x14ac:dyDescent="0.35">
      <c r="A1289" t="s">
        <v>323</v>
      </c>
      <c r="B1289" t="s">
        <v>1986</v>
      </c>
      <c r="C1289" t="s">
        <v>2416</v>
      </c>
      <c r="D1289">
        <v>2.75</v>
      </c>
      <c r="E1289" s="1">
        <v>46507</v>
      </c>
      <c r="F1289" t="s">
        <v>1988</v>
      </c>
      <c r="G1289" t="s">
        <v>2416</v>
      </c>
      <c r="H1289" t="s">
        <v>2</v>
      </c>
      <c r="I1289" s="1">
        <v>46224</v>
      </c>
      <c r="J1289" t="s">
        <v>2108</v>
      </c>
      <c r="K1289" t="s">
        <v>3531</v>
      </c>
      <c r="L1289" s="1">
        <v>46224.917650462965</v>
      </c>
      <c r="M1289" s="1">
        <v>46224.91962439815</v>
      </c>
    </row>
    <row r="1290" spans="1:13" x14ac:dyDescent="0.35">
      <c r="A1290" t="s">
        <v>323</v>
      </c>
      <c r="B1290" t="s">
        <v>1986</v>
      </c>
      <c r="C1290" t="s">
        <v>2416</v>
      </c>
      <c r="D1290">
        <v>2.75</v>
      </c>
      <c r="E1290" s="1">
        <v>46507</v>
      </c>
      <c r="F1290" t="s">
        <v>1988</v>
      </c>
      <c r="G1290" t="s">
        <v>2416</v>
      </c>
      <c r="H1290" t="s">
        <v>2</v>
      </c>
      <c r="I1290" s="1">
        <v>46224</v>
      </c>
      <c r="J1290" t="s">
        <v>2064</v>
      </c>
      <c r="K1290" t="s">
        <v>2618</v>
      </c>
      <c r="L1290" s="1">
        <v>46224.917650462965</v>
      </c>
      <c r="M1290" s="1">
        <v>46224.91962439815</v>
      </c>
    </row>
    <row r="1291" spans="1:13" x14ac:dyDescent="0.35">
      <c r="A1291" t="s">
        <v>323</v>
      </c>
      <c r="B1291" t="s">
        <v>1986</v>
      </c>
      <c r="C1291" t="s">
        <v>2416</v>
      </c>
      <c r="D1291">
        <v>2.75</v>
      </c>
      <c r="E1291" s="1">
        <v>46507</v>
      </c>
      <c r="F1291" t="s">
        <v>1988</v>
      </c>
      <c r="G1291" t="s">
        <v>2416</v>
      </c>
      <c r="H1291" t="s">
        <v>2</v>
      </c>
      <c r="I1291" s="1">
        <v>46224</v>
      </c>
      <c r="J1291" t="s">
        <v>1991</v>
      </c>
      <c r="K1291" t="s">
        <v>3862</v>
      </c>
      <c r="L1291" s="1">
        <v>46224.918321759258</v>
      </c>
      <c r="M1291" s="1">
        <v>46224.91962439815</v>
      </c>
    </row>
    <row r="1292" spans="1:13" x14ac:dyDescent="0.35">
      <c r="A1292" t="s">
        <v>323</v>
      </c>
      <c r="B1292" t="s">
        <v>1986</v>
      </c>
      <c r="C1292" t="s">
        <v>2416</v>
      </c>
      <c r="D1292">
        <v>2.75</v>
      </c>
      <c r="E1292" s="1">
        <v>46507</v>
      </c>
      <c r="F1292" t="s">
        <v>1988</v>
      </c>
      <c r="G1292" t="s">
        <v>2416</v>
      </c>
      <c r="H1292" t="s">
        <v>2</v>
      </c>
      <c r="I1292" s="1">
        <v>46224</v>
      </c>
      <c r="J1292" t="s">
        <v>1989</v>
      </c>
      <c r="K1292" t="s">
        <v>4022</v>
      </c>
      <c r="L1292" s="1">
        <v>46224.918321759258</v>
      </c>
      <c r="M1292" s="1">
        <v>46224.91962439815</v>
      </c>
    </row>
    <row r="1293" spans="1:13" x14ac:dyDescent="0.35">
      <c r="A1293" t="s">
        <v>323</v>
      </c>
      <c r="B1293" t="s">
        <v>1986</v>
      </c>
      <c r="C1293" t="s">
        <v>2416</v>
      </c>
      <c r="D1293">
        <v>2.75</v>
      </c>
      <c r="E1293" s="1">
        <v>46507</v>
      </c>
      <c r="F1293" t="s">
        <v>1988</v>
      </c>
      <c r="G1293" t="s">
        <v>2416</v>
      </c>
      <c r="H1293" t="s">
        <v>2</v>
      </c>
      <c r="I1293" s="1">
        <v>46224</v>
      </c>
      <c r="J1293" t="s">
        <v>2146</v>
      </c>
      <c r="K1293" t="s">
        <v>3531</v>
      </c>
      <c r="L1293" s="1">
        <v>46224.917650462965</v>
      </c>
      <c r="M1293" s="1">
        <v>46224.91962439815</v>
      </c>
    </row>
    <row r="1294" spans="1:13" x14ac:dyDescent="0.35">
      <c r="A1294" t="s">
        <v>286</v>
      </c>
      <c r="B1294" t="s">
        <v>1986</v>
      </c>
      <c r="C1294" t="s">
        <v>2449</v>
      </c>
      <c r="D1294">
        <v>2.875</v>
      </c>
      <c r="E1294" s="1">
        <v>48349</v>
      </c>
      <c r="F1294" t="s">
        <v>1988</v>
      </c>
      <c r="G1294" t="s">
        <v>2449</v>
      </c>
      <c r="H1294" t="s">
        <v>2</v>
      </c>
      <c r="I1294" s="1">
        <v>46224</v>
      </c>
      <c r="J1294" t="s">
        <v>1991</v>
      </c>
      <c r="K1294" t="s">
        <v>3705</v>
      </c>
      <c r="L1294" s="1">
        <v>46224.918321759258</v>
      </c>
      <c r="M1294" s="1">
        <v>46224.91962439815</v>
      </c>
    </row>
    <row r="1295" spans="1:13" x14ac:dyDescent="0.35">
      <c r="A1295" t="s">
        <v>286</v>
      </c>
      <c r="B1295" t="s">
        <v>1986</v>
      </c>
      <c r="C1295" t="s">
        <v>2449</v>
      </c>
      <c r="D1295">
        <v>2.875</v>
      </c>
      <c r="E1295" s="1">
        <v>48349</v>
      </c>
      <c r="F1295" t="s">
        <v>1988</v>
      </c>
      <c r="G1295" t="s">
        <v>2449</v>
      </c>
      <c r="H1295" t="s">
        <v>2</v>
      </c>
      <c r="I1295" s="1">
        <v>46224</v>
      </c>
      <c r="J1295" t="s">
        <v>2065</v>
      </c>
      <c r="K1295" t="s">
        <v>3613</v>
      </c>
      <c r="L1295" s="1">
        <v>46224.917650462965</v>
      </c>
      <c r="M1295" s="1">
        <v>46224.91962439815</v>
      </c>
    </row>
    <row r="1296" spans="1:13" x14ac:dyDescent="0.35">
      <c r="A1296" t="s">
        <v>286</v>
      </c>
      <c r="B1296" t="s">
        <v>1986</v>
      </c>
      <c r="C1296" t="s">
        <v>2449</v>
      </c>
      <c r="D1296">
        <v>2.875</v>
      </c>
      <c r="E1296" s="1">
        <v>48349</v>
      </c>
      <c r="F1296" t="s">
        <v>1988</v>
      </c>
      <c r="G1296" t="s">
        <v>2449</v>
      </c>
      <c r="H1296" t="s">
        <v>2</v>
      </c>
      <c r="I1296" s="1">
        <v>46224</v>
      </c>
      <c r="J1296" t="s">
        <v>1989</v>
      </c>
      <c r="K1296" t="s">
        <v>3789</v>
      </c>
      <c r="L1296" s="1">
        <v>46224.918321759258</v>
      </c>
      <c r="M1296" s="1">
        <v>46224.91962439815</v>
      </c>
    </row>
    <row r="1297" spans="1:13" x14ac:dyDescent="0.35">
      <c r="A1297" t="s">
        <v>286</v>
      </c>
      <c r="B1297" t="s">
        <v>1986</v>
      </c>
      <c r="C1297" t="s">
        <v>2449</v>
      </c>
      <c r="D1297">
        <v>2.875</v>
      </c>
      <c r="E1297" s="1">
        <v>48349</v>
      </c>
      <c r="F1297" t="s">
        <v>1988</v>
      </c>
      <c r="G1297" t="s">
        <v>2449</v>
      </c>
      <c r="H1297" t="s">
        <v>2</v>
      </c>
      <c r="I1297" s="1">
        <v>46224</v>
      </c>
      <c r="J1297" t="s">
        <v>2064</v>
      </c>
      <c r="K1297" t="s">
        <v>3613</v>
      </c>
      <c r="L1297" s="1">
        <v>46224.917650462965</v>
      </c>
      <c r="M1297" s="1">
        <v>46224.91962439815</v>
      </c>
    </row>
    <row r="1298" spans="1:13" x14ac:dyDescent="0.35">
      <c r="A1298" t="s">
        <v>286</v>
      </c>
      <c r="B1298" t="s">
        <v>1986</v>
      </c>
      <c r="C1298" t="s">
        <v>2449</v>
      </c>
      <c r="D1298">
        <v>2.875</v>
      </c>
      <c r="E1298" s="1">
        <v>48349</v>
      </c>
      <c r="F1298" t="s">
        <v>1988</v>
      </c>
      <c r="G1298" t="s">
        <v>2449</v>
      </c>
      <c r="H1298" t="s">
        <v>2</v>
      </c>
      <c r="I1298" s="1">
        <v>46224</v>
      </c>
      <c r="J1298" t="s">
        <v>2146</v>
      </c>
      <c r="K1298" t="s">
        <v>4023</v>
      </c>
      <c r="L1298" s="1">
        <v>46224.917650462965</v>
      </c>
      <c r="M1298" s="1">
        <v>46224.91962439815</v>
      </c>
    </row>
    <row r="1299" spans="1:13" x14ac:dyDescent="0.35">
      <c r="A1299" t="s">
        <v>286</v>
      </c>
      <c r="B1299" t="s">
        <v>1986</v>
      </c>
      <c r="C1299" t="s">
        <v>2449</v>
      </c>
      <c r="D1299">
        <v>2.875</v>
      </c>
      <c r="E1299" s="1">
        <v>48349</v>
      </c>
      <c r="F1299" t="s">
        <v>1988</v>
      </c>
      <c r="G1299" t="s">
        <v>2449</v>
      </c>
      <c r="H1299" t="s">
        <v>2</v>
      </c>
      <c r="I1299" s="1">
        <v>46224</v>
      </c>
      <c r="J1299" t="s">
        <v>2108</v>
      </c>
      <c r="K1299" t="s">
        <v>4023</v>
      </c>
      <c r="L1299" s="1">
        <v>46224.917650462965</v>
      </c>
      <c r="M1299" s="1">
        <v>46224.91962439815</v>
      </c>
    </row>
    <row r="1300" spans="1:13" x14ac:dyDescent="0.35">
      <c r="A1300" t="s">
        <v>287</v>
      </c>
      <c r="B1300" t="s">
        <v>1986</v>
      </c>
      <c r="C1300" t="s">
        <v>2462</v>
      </c>
      <c r="D1300">
        <v>2.75</v>
      </c>
      <c r="E1300" s="1">
        <v>47269</v>
      </c>
      <c r="F1300" t="s">
        <v>1988</v>
      </c>
      <c r="G1300" t="s">
        <v>2462</v>
      </c>
      <c r="H1300" t="s">
        <v>2</v>
      </c>
      <c r="I1300" s="1">
        <v>46224</v>
      </c>
      <c r="J1300" t="s">
        <v>1991</v>
      </c>
      <c r="K1300" t="s">
        <v>3796</v>
      </c>
      <c r="L1300" s="1">
        <v>46224.918321759258</v>
      </c>
      <c r="M1300" s="1">
        <v>46224.91962439815</v>
      </c>
    </row>
    <row r="1301" spans="1:13" x14ac:dyDescent="0.35">
      <c r="A1301" t="s">
        <v>287</v>
      </c>
      <c r="B1301" t="s">
        <v>1986</v>
      </c>
      <c r="C1301" t="s">
        <v>2462</v>
      </c>
      <c r="D1301">
        <v>2.75</v>
      </c>
      <c r="E1301" s="1">
        <v>47269</v>
      </c>
      <c r="F1301" t="s">
        <v>1988</v>
      </c>
      <c r="G1301" t="s">
        <v>2462</v>
      </c>
      <c r="H1301" t="s">
        <v>2</v>
      </c>
      <c r="I1301" s="1">
        <v>46224</v>
      </c>
      <c r="J1301" t="s">
        <v>2146</v>
      </c>
      <c r="K1301" t="s">
        <v>2961</v>
      </c>
      <c r="L1301" s="1">
        <v>46224.917650462965</v>
      </c>
      <c r="M1301" s="1">
        <v>46224.91962439815</v>
      </c>
    </row>
    <row r="1302" spans="1:13" x14ac:dyDescent="0.35">
      <c r="A1302" t="s">
        <v>287</v>
      </c>
      <c r="B1302" t="s">
        <v>1986</v>
      </c>
      <c r="C1302" t="s">
        <v>2462</v>
      </c>
      <c r="D1302">
        <v>2.75</v>
      </c>
      <c r="E1302" s="1">
        <v>47269</v>
      </c>
      <c r="F1302" t="s">
        <v>1988</v>
      </c>
      <c r="G1302" t="s">
        <v>2462</v>
      </c>
      <c r="H1302" t="s">
        <v>2</v>
      </c>
      <c r="I1302" s="1">
        <v>46224</v>
      </c>
      <c r="J1302" t="s">
        <v>2065</v>
      </c>
      <c r="K1302" t="s">
        <v>2742</v>
      </c>
      <c r="L1302" s="1">
        <v>46224.917650462965</v>
      </c>
      <c r="M1302" s="1">
        <v>46224.91962439815</v>
      </c>
    </row>
    <row r="1303" spans="1:13" x14ac:dyDescent="0.35">
      <c r="A1303" t="s">
        <v>287</v>
      </c>
      <c r="B1303" t="s">
        <v>1986</v>
      </c>
      <c r="C1303" t="s">
        <v>2462</v>
      </c>
      <c r="D1303">
        <v>2.75</v>
      </c>
      <c r="E1303" s="1">
        <v>47269</v>
      </c>
      <c r="F1303" t="s">
        <v>1988</v>
      </c>
      <c r="G1303" t="s">
        <v>2462</v>
      </c>
      <c r="H1303" t="s">
        <v>2</v>
      </c>
      <c r="I1303" s="1">
        <v>46224</v>
      </c>
      <c r="J1303" t="s">
        <v>2064</v>
      </c>
      <c r="K1303" t="s">
        <v>2742</v>
      </c>
      <c r="L1303" s="1">
        <v>46224.917650462965</v>
      </c>
      <c r="M1303" s="1">
        <v>46224.91962439815</v>
      </c>
    </row>
    <row r="1304" spans="1:13" x14ac:dyDescent="0.35">
      <c r="A1304" t="s">
        <v>287</v>
      </c>
      <c r="B1304" t="s">
        <v>1986</v>
      </c>
      <c r="C1304" t="s">
        <v>2462</v>
      </c>
      <c r="D1304">
        <v>2.75</v>
      </c>
      <c r="E1304" s="1">
        <v>47269</v>
      </c>
      <c r="F1304" t="s">
        <v>1988</v>
      </c>
      <c r="G1304" t="s">
        <v>2462</v>
      </c>
      <c r="H1304" t="s">
        <v>2</v>
      </c>
      <c r="I1304" s="1">
        <v>46224</v>
      </c>
      <c r="J1304" t="s">
        <v>1989</v>
      </c>
      <c r="K1304" t="s">
        <v>4024</v>
      </c>
      <c r="L1304" s="1">
        <v>46224.918321759258</v>
      </c>
      <c r="M1304" s="1">
        <v>46224.91962439815</v>
      </c>
    </row>
    <row r="1305" spans="1:13" x14ac:dyDescent="0.35">
      <c r="A1305" t="s">
        <v>287</v>
      </c>
      <c r="B1305" t="s">
        <v>1986</v>
      </c>
      <c r="C1305" t="s">
        <v>2462</v>
      </c>
      <c r="D1305">
        <v>2.75</v>
      </c>
      <c r="E1305" s="1">
        <v>47269</v>
      </c>
      <c r="F1305" t="s">
        <v>1988</v>
      </c>
      <c r="G1305" t="s">
        <v>2462</v>
      </c>
      <c r="H1305" t="s">
        <v>2</v>
      </c>
      <c r="I1305" s="1">
        <v>46224</v>
      </c>
      <c r="J1305" t="s">
        <v>2108</v>
      </c>
      <c r="K1305" t="s">
        <v>2961</v>
      </c>
      <c r="L1305" s="1">
        <v>46224.917650462965</v>
      </c>
      <c r="M1305" s="1">
        <v>46224.91962439815</v>
      </c>
    </row>
    <row r="1306" spans="1:13" x14ac:dyDescent="0.35">
      <c r="A1306" t="s">
        <v>332</v>
      </c>
      <c r="B1306" t="s">
        <v>1986</v>
      </c>
      <c r="C1306" t="s">
        <v>2417</v>
      </c>
      <c r="D1306">
        <v>2.625</v>
      </c>
      <c r="E1306" s="1">
        <v>46538</v>
      </c>
      <c r="F1306" t="s">
        <v>1988</v>
      </c>
      <c r="G1306" t="s">
        <v>2417</v>
      </c>
      <c r="H1306" t="s">
        <v>2</v>
      </c>
      <c r="I1306" s="1">
        <v>46224</v>
      </c>
      <c r="J1306" t="s">
        <v>1989</v>
      </c>
      <c r="K1306" t="s">
        <v>3797</v>
      </c>
      <c r="L1306" s="1">
        <v>46224.918321759258</v>
      </c>
      <c r="M1306" s="1">
        <v>46224.91962439815</v>
      </c>
    </row>
    <row r="1307" spans="1:13" x14ac:dyDescent="0.35">
      <c r="A1307" t="s">
        <v>332</v>
      </c>
      <c r="B1307" t="s">
        <v>1986</v>
      </c>
      <c r="C1307" t="s">
        <v>2417</v>
      </c>
      <c r="D1307">
        <v>2.625</v>
      </c>
      <c r="E1307" s="1">
        <v>46538</v>
      </c>
      <c r="F1307" t="s">
        <v>1988</v>
      </c>
      <c r="G1307" t="s">
        <v>2417</v>
      </c>
      <c r="H1307" t="s">
        <v>2</v>
      </c>
      <c r="I1307" s="1">
        <v>46224</v>
      </c>
      <c r="J1307" t="s">
        <v>2064</v>
      </c>
      <c r="K1307" t="s">
        <v>2453</v>
      </c>
      <c r="L1307" s="1">
        <v>46224.917650462965</v>
      </c>
      <c r="M1307" s="1">
        <v>46224.91962439815</v>
      </c>
    </row>
    <row r="1308" spans="1:13" x14ac:dyDescent="0.35">
      <c r="A1308" t="s">
        <v>332</v>
      </c>
      <c r="B1308" t="s">
        <v>1986</v>
      </c>
      <c r="C1308" t="s">
        <v>2417</v>
      </c>
      <c r="D1308">
        <v>2.625</v>
      </c>
      <c r="E1308" s="1">
        <v>46538</v>
      </c>
      <c r="F1308" t="s">
        <v>1988</v>
      </c>
      <c r="G1308" t="s">
        <v>2417</v>
      </c>
      <c r="H1308" t="s">
        <v>2</v>
      </c>
      <c r="I1308" s="1">
        <v>46224</v>
      </c>
      <c r="J1308" t="s">
        <v>2146</v>
      </c>
      <c r="K1308" t="s">
        <v>3532</v>
      </c>
      <c r="L1308" s="1">
        <v>46224.917650462965</v>
      </c>
      <c r="M1308" s="1">
        <v>46224.91962439815</v>
      </c>
    </row>
    <row r="1309" spans="1:13" x14ac:dyDescent="0.35">
      <c r="A1309" t="s">
        <v>332</v>
      </c>
      <c r="B1309" t="s">
        <v>1986</v>
      </c>
      <c r="C1309" t="s">
        <v>2417</v>
      </c>
      <c r="D1309">
        <v>2.625</v>
      </c>
      <c r="E1309" s="1">
        <v>46538</v>
      </c>
      <c r="F1309" t="s">
        <v>1988</v>
      </c>
      <c r="G1309" t="s">
        <v>2417</v>
      </c>
      <c r="H1309" t="s">
        <v>2</v>
      </c>
      <c r="I1309" s="1">
        <v>46224</v>
      </c>
      <c r="J1309" t="s">
        <v>2065</v>
      </c>
      <c r="K1309" t="s">
        <v>2453</v>
      </c>
      <c r="L1309" s="1">
        <v>46224.917650462965</v>
      </c>
      <c r="M1309" s="1">
        <v>46224.91962439815</v>
      </c>
    </row>
    <row r="1310" spans="1:13" x14ac:dyDescent="0.35">
      <c r="A1310" t="s">
        <v>332</v>
      </c>
      <c r="B1310" t="s">
        <v>1986</v>
      </c>
      <c r="C1310" t="s">
        <v>2417</v>
      </c>
      <c r="D1310">
        <v>2.625</v>
      </c>
      <c r="E1310" s="1">
        <v>46538</v>
      </c>
      <c r="F1310" t="s">
        <v>1988</v>
      </c>
      <c r="G1310" t="s">
        <v>2417</v>
      </c>
      <c r="H1310" t="s">
        <v>2</v>
      </c>
      <c r="I1310" s="1">
        <v>46224</v>
      </c>
      <c r="J1310" t="s">
        <v>2108</v>
      </c>
      <c r="K1310" t="s">
        <v>3532</v>
      </c>
      <c r="L1310" s="1">
        <v>46224.917650462965</v>
      </c>
      <c r="M1310" s="1">
        <v>46224.91962439815</v>
      </c>
    </row>
    <row r="1311" spans="1:13" x14ac:dyDescent="0.35">
      <c r="A1311" t="s">
        <v>332</v>
      </c>
      <c r="B1311" t="s">
        <v>1986</v>
      </c>
      <c r="C1311" t="s">
        <v>2417</v>
      </c>
      <c r="D1311">
        <v>2.625</v>
      </c>
      <c r="E1311" s="1">
        <v>46538</v>
      </c>
      <c r="F1311" t="s">
        <v>1988</v>
      </c>
      <c r="G1311" t="s">
        <v>2417</v>
      </c>
      <c r="H1311" t="s">
        <v>2</v>
      </c>
      <c r="I1311" s="1">
        <v>46224</v>
      </c>
      <c r="J1311" t="s">
        <v>1991</v>
      </c>
      <c r="K1311" t="s">
        <v>3530</v>
      </c>
      <c r="L1311" s="1">
        <v>46224.918321759258</v>
      </c>
      <c r="M1311" s="1">
        <v>46224.91962439815</v>
      </c>
    </row>
    <row r="1312" spans="1:13" x14ac:dyDescent="0.35">
      <c r="A1312" t="s">
        <v>324</v>
      </c>
      <c r="B1312" t="s">
        <v>1986</v>
      </c>
      <c r="C1312" t="s">
        <v>2418</v>
      </c>
      <c r="D1312">
        <v>3.25</v>
      </c>
      <c r="E1312" s="1">
        <v>47299</v>
      </c>
      <c r="F1312" t="s">
        <v>1988</v>
      </c>
      <c r="G1312" t="s">
        <v>2418</v>
      </c>
      <c r="H1312" t="s">
        <v>2</v>
      </c>
      <c r="I1312" s="1">
        <v>46224</v>
      </c>
      <c r="J1312" t="s">
        <v>1989</v>
      </c>
      <c r="K1312" t="s">
        <v>3533</v>
      </c>
      <c r="L1312" s="1">
        <v>46224.918321759258</v>
      </c>
      <c r="M1312" s="1">
        <v>46224.91962439815</v>
      </c>
    </row>
    <row r="1313" spans="1:13" x14ac:dyDescent="0.35">
      <c r="A1313" t="s">
        <v>324</v>
      </c>
      <c r="B1313" t="s">
        <v>1986</v>
      </c>
      <c r="C1313" t="s">
        <v>2418</v>
      </c>
      <c r="D1313">
        <v>3.25</v>
      </c>
      <c r="E1313" s="1">
        <v>47299</v>
      </c>
      <c r="F1313" t="s">
        <v>1988</v>
      </c>
      <c r="G1313" t="s">
        <v>2418</v>
      </c>
      <c r="H1313" t="s">
        <v>2</v>
      </c>
      <c r="I1313" s="1">
        <v>46224</v>
      </c>
      <c r="J1313" t="s">
        <v>2146</v>
      </c>
      <c r="K1313" t="s">
        <v>2935</v>
      </c>
      <c r="L1313" s="1">
        <v>46224.917650462965</v>
      </c>
      <c r="M1313" s="1">
        <v>46224.91962439815</v>
      </c>
    </row>
    <row r="1314" spans="1:13" x14ac:dyDescent="0.35">
      <c r="A1314" t="s">
        <v>324</v>
      </c>
      <c r="B1314" t="s">
        <v>1986</v>
      </c>
      <c r="C1314" t="s">
        <v>2418</v>
      </c>
      <c r="D1314">
        <v>3.25</v>
      </c>
      <c r="E1314" s="1">
        <v>47299</v>
      </c>
      <c r="F1314" t="s">
        <v>1988</v>
      </c>
      <c r="G1314" t="s">
        <v>2418</v>
      </c>
      <c r="H1314" t="s">
        <v>2</v>
      </c>
      <c r="I1314" s="1">
        <v>46224</v>
      </c>
      <c r="J1314" t="s">
        <v>1991</v>
      </c>
      <c r="K1314" t="s">
        <v>2921</v>
      </c>
      <c r="L1314" s="1">
        <v>46224.918321759258</v>
      </c>
      <c r="M1314" s="1">
        <v>46224.91962439815</v>
      </c>
    </row>
    <row r="1315" spans="1:13" x14ac:dyDescent="0.35">
      <c r="A1315" t="s">
        <v>324</v>
      </c>
      <c r="B1315" t="s">
        <v>1986</v>
      </c>
      <c r="C1315" t="s">
        <v>2418</v>
      </c>
      <c r="D1315">
        <v>3.25</v>
      </c>
      <c r="E1315" s="1">
        <v>47299</v>
      </c>
      <c r="F1315" t="s">
        <v>1988</v>
      </c>
      <c r="G1315" t="s">
        <v>2418</v>
      </c>
      <c r="H1315" t="s">
        <v>2</v>
      </c>
      <c r="I1315" s="1">
        <v>46224</v>
      </c>
      <c r="J1315" t="s">
        <v>2064</v>
      </c>
      <c r="K1315" t="s">
        <v>2604</v>
      </c>
      <c r="L1315" s="1">
        <v>46224.917650462965</v>
      </c>
      <c r="M1315" s="1">
        <v>46224.91962439815</v>
      </c>
    </row>
    <row r="1316" spans="1:13" x14ac:dyDescent="0.35">
      <c r="A1316" t="s">
        <v>324</v>
      </c>
      <c r="B1316" t="s">
        <v>1986</v>
      </c>
      <c r="C1316" t="s">
        <v>2418</v>
      </c>
      <c r="D1316">
        <v>3.25</v>
      </c>
      <c r="E1316" s="1">
        <v>47299</v>
      </c>
      <c r="F1316" t="s">
        <v>1988</v>
      </c>
      <c r="G1316" t="s">
        <v>2418</v>
      </c>
      <c r="H1316" t="s">
        <v>2</v>
      </c>
      <c r="I1316" s="1">
        <v>46224</v>
      </c>
      <c r="J1316" t="s">
        <v>2065</v>
      </c>
      <c r="K1316" t="s">
        <v>2604</v>
      </c>
      <c r="L1316" s="1">
        <v>46224.917650462965</v>
      </c>
      <c r="M1316" s="1">
        <v>46224.91962439815</v>
      </c>
    </row>
    <row r="1317" spans="1:13" x14ac:dyDescent="0.35">
      <c r="A1317" t="s">
        <v>324</v>
      </c>
      <c r="B1317" t="s">
        <v>1986</v>
      </c>
      <c r="C1317" t="s">
        <v>2418</v>
      </c>
      <c r="D1317">
        <v>3.25</v>
      </c>
      <c r="E1317" s="1">
        <v>47299</v>
      </c>
      <c r="F1317" t="s">
        <v>1988</v>
      </c>
      <c r="G1317" t="s">
        <v>2418</v>
      </c>
      <c r="H1317" t="s">
        <v>2</v>
      </c>
      <c r="I1317" s="1">
        <v>46224</v>
      </c>
      <c r="J1317" t="s">
        <v>2108</v>
      </c>
      <c r="K1317" t="s">
        <v>2935</v>
      </c>
      <c r="L1317" s="1">
        <v>46224.917650462965</v>
      </c>
      <c r="M1317" s="1">
        <v>46224.91962439815</v>
      </c>
    </row>
    <row r="1318" spans="1:13" x14ac:dyDescent="0.35">
      <c r="A1318" t="s">
        <v>288</v>
      </c>
      <c r="B1318" t="s">
        <v>1986</v>
      </c>
      <c r="C1318" t="s">
        <v>2420</v>
      </c>
      <c r="D1318">
        <v>3.25</v>
      </c>
      <c r="E1318" s="1">
        <v>46568</v>
      </c>
      <c r="F1318" t="s">
        <v>1988</v>
      </c>
      <c r="G1318" t="s">
        <v>2420</v>
      </c>
      <c r="H1318" t="s">
        <v>2</v>
      </c>
      <c r="I1318" s="1">
        <v>46224</v>
      </c>
      <c r="J1318" t="s">
        <v>2108</v>
      </c>
      <c r="K1318" t="s">
        <v>2538</v>
      </c>
      <c r="L1318" s="1">
        <v>46224.917650462965</v>
      </c>
      <c r="M1318" s="1">
        <v>46224.91962439815</v>
      </c>
    </row>
    <row r="1319" spans="1:13" x14ac:dyDescent="0.35">
      <c r="A1319" t="s">
        <v>288</v>
      </c>
      <c r="B1319" t="s">
        <v>1986</v>
      </c>
      <c r="C1319" t="s">
        <v>2420</v>
      </c>
      <c r="D1319">
        <v>3.25</v>
      </c>
      <c r="E1319" s="1">
        <v>46568</v>
      </c>
      <c r="F1319" t="s">
        <v>1988</v>
      </c>
      <c r="G1319" t="s">
        <v>2420</v>
      </c>
      <c r="H1319" t="s">
        <v>2</v>
      </c>
      <c r="I1319" s="1">
        <v>46224</v>
      </c>
      <c r="J1319" t="s">
        <v>2146</v>
      </c>
      <c r="K1319" t="s">
        <v>2538</v>
      </c>
      <c r="L1319" s="1">
        <v>46224.917650462965</v>
      </c>
      <c r="M1319" s="1">
        <v>46224.91962439815</v>
      </c>
    </row>
    <row r="1320" spans="1:13" x14ac:dyDescent="0.35">
      <c r="A1320" t="s">
        <v>288</v>
      </c>
      <c r="B1320" t="s">
        <v>1986</v>
      </c>
      <c r="C1320" t="s">
        <v>2420</v>
      </c>
      <c r="D1320">
        <v>3.25</v>
      </c>
      <c r="E1320" s="1">
        <v>46568</v>
      </c>
      <c r="F1320" t="s">
        <v>1988</v>
      </c>
      <c r="G1320" t="s">
        <v>2420</v>
      </c>
      <c r="H1320" t="s">
        <v>2</v>
      </c>
      <c r="I1320" s="1">
        <v>46224</v>
      </c>
      <c r="J1320" t="s">
        <v>1991</v>
      </c>
      <c r="K1320" t="s">
        <v>2499</v>
      </c>
      <c r="L1320" s="1">
        <v>46224.918321759258</v>
      </c>
      <c r="M1320" s="1">
        <v>46224.91962439815</v>
      </c>
    </row>
    <row r="1321" spans="1:13" x14ac:dyDescent="0.35">
      <c r="A1321" t="s">
        <v>288</v>
      </c>
      <c r="B1321" t="s">
        <v>1986</v>
      </c>
      <c r="C1321" t="s">
        <v>2420</v>
      </c>
      <c r="D1321">
        <v>3.25</v>
      </c>
      <c r="E1321" s="1">
        <v>46568</v>
      </c>
      <c r="F1321" t="s">
        <v>1988</v>
      </c>
      <c r="G1321" t="s">
        <v>2420</v>
      </c>
      <c r="H1321" t="s">
        <v>2</v>
      </c>
      <c r="I1321" s="1">
        <v>46224</v>
      </c>
      <c r="J1321" t="s">
        <v>2064</v>
      </c>
      <c r="K1321" t="s">
        <v>3790</v>
      </c>
      <c r="L1321" s="1">
        <v>46224.917650462965</v>
      </c>
      <c r="M1321" s="1">
        <v>46224.91962439815</v>
      </c>
    </row>
    <row r="1322" spans="1:13" x14ac:dyDescent="0.35">
      <c r="A1322" t="s">
        <v>288</v>
      </c>
      <c r="B1322" t="s">
        <v>1986</v>
      </c>
      <c r="C1322" t="s">
        <v>2420</v>
      </c>
      <c r="D1322">
        <v>3.25</v>
      </c>
      <c r="E1322" s="1">
        <v>46568</v>
      </c>
      <c r="F1322" t="s">
        <v>1988</v>
      </c>
      <c r="G1322" t="s">
        <v>2420</v>
      </c>
      <c r="H1322" t="s">
        <v>2</v>
      </c>
      <c r="I1322" s="1">
        <v>46224</v>
      </c>
      <c r="J1322" t="s">
        <v>1989</v>
      </c>
      <c r="K1322" t="s">
        <v>3808</v>
      </c>
      <c r="L1322" s="1">
        <v>46224.918321759258</v>
      </c>
      <c r="M1322" s="1">
        <v>46224.91962439815</v>
      </c>
    </row>
    <row r="1323" spans="1:13" x14ac:dyDescent="0.35">
      <c r="A1323" t="s">
        <v>288</v>
      </c>
      <c r="B1323" t="s">
        <v>1986</v>
      </c>
      <c r="C1323" t="s">
        <v>2420</v>
      </c>
      <c r="D1323">
        <v>3.25</v>
      </c>
      <c r="E1323" s="1">
        <v>46568</v>
      </c>
      <c r="F1323" t="s">
        <v>1988</v>
      </c>
      <c r="G1323" t="s">
        <v>2420</v>
      </c>
      <c r="H1323" t="s">
        <v>2</v>
      </c>
      <c r="I1323" s="1">
        <v>46224</v>
      </c>
      <c r="J1323" t="s">
        <v>2065</v>
      </c>
      <c r="K1323" t="s">
        <v>3790</v>
      </c>
      <c r="L1323" s="1">
        <v>46224.917650462965</v>
      </c>
      <c r="M1323" s="1">
        <v>46224.91962439815</v>
      </c>
    </row>
    <row r="1324" spans="1:13" x14ac:dyDescent="0.35">
      <c r="A1324" t="s">
        <v>333</v>
      </c>
      <c r="B1324" t="s">
        <v>1986</v>
      </c>
      <c r="C1324" t="s">
        <v>2500</v>
      </c>
      <c r="D1324">
        <v>0.625</v>
      </c>
      <c r="E1324" s="1">
        <v>48410</v>
      </c>
      <c r="F1324" t="s">
        <v>2014</v>
      </c>
      <c r="G1324" t="s">
        <v>2500</v>
      </c>
      <c r="H1324" t="s">
        <v>2</v>
      </c>
      <c r="I1324" s="1">
        <v>46224</v>
      </c>
      <c r="J1324" t="s">
        <v>1991</v>
      </c>
      <c r="K1324" t="s">
        <v>3798</v>
      </c>
      <c r="L1324" s="1">
        <v>46224.918321759258</v>
      </c>
      <c r="M1324" s="1">
        <v>46224.91962439815</v>
      </c>
    </row>
    <row r="1325" spans="1:13" x14ac:dyDescent="0.35">
      <c r="A1325" t="s">
        <v>333</v>
      </c>
      <c r="B1325" t="s">
        <v>1986</v>
      </c>
      <c r="C1325" t="s">
        <v>2500</v>
      </c>
      <c r="D1325">
        <v>0.625</v>
      </c>
      <c r="E1325" s="1">
        <v>48410</v>
      </c>
      <c r="F1325" t="s">
        <v>2014</v>
      </c>
      <c r="G1325" t="s">
        <v>2500</v>
      </c>
      <c r="H1325" t="s">
        <v>2</v>
      </c>
      <c r="I1325" s="1">
        <v>46224</v>
      </c>
      <c r="J1325" t="s">
        <v>1989</v>
      </c>
      <c r="K1325" t="s">
        <v>3705</v>
      </c>
      <c r="L1325" s="1">
        <v>46224.918321759258</v>
      </c>
      <c r="M1325" s="1">
        <v>46224.91962439815</v>
      </c>
    </row>
    <row r="1326" spans="1:13" x14ac:dyDescent="0.35">
      <c r="A1326" t="s">
        <v>289</v>
      </c>
      <c r="B1326" t="s">
        <v>1986</v>
      </c>
      <c r="C1326" t="s">
        <v>2451</v>
      </c>
      <c r="D1326">
        <v>2.75</v>
      </c>
      <c r="E1326" s="1">
        <v>46599</v>
      </c>
      <c r="F1326" t="s">
        <v>1988</v>
      </c>
      <c r="G1326" t="s">
        <v>2451</v>
      </c>
      <c r="H1326" t="s">
        <v>2</v>
      </c>
      <c r="I1326" s="1">
        <v>46224</v>
      </c>
      <c r="J1326" t="s">
        <v>1989</v>
      </c>
      <c r="K1326" t="s">
        <v>2964</v>
      </c>
      <c r="L1326" s="1">
        <v>46224.918321759258</v>
      </c>
      <c r="M1326" s="1">
        <v>46224.91962439815</v>
      </c>
    </row>
    <row r="1327" spans="1:13" x14ac:dyDescent="0.35">
      <c r="A1327" t="s">
        <v>289</v>
      </c>
      <c r="B1327" t="s">
        <v>1986</v>
      </c>
      <c r="C1327" t="s">
        <v>2451</v>
      </c>
      <c r="D1327">
        <v>2.75</v>
      </c>
      <c r="E1327" s="1">
        <v>46599</v>
      </c>
      <c r="F1327" t="s">
        <v>1988</v>
      </c>
      <c r="G1327" t="s">
        <v>2451</v>
      </c>
      <c r="H1327" t="s">
        <v>2</v>
      </c>
      <c r="I1327" s="1">
        <v>46224</v>
      </c>
      <c r="J1327" t="s">
        <v>2108</v>
      </c>
      <c r="K1327" t="s">
        <v>3799</v>
      </c>
      <c r="L1327" s="1">
        <v>46224.917650462965</v>
      </c>
      <c r="M1327" s="1">
        <v>46224.91962439815</v>
      </c>
    </row>
    <row r="1328" spans="1:13" x14ac:dyDescent="0.35">
      <c r="A1328" t="s">
        <v>289</v>
      </c>
      <c r="B1328" t="s">
        <v>1986</v>
      </c>
      <c r="C1328" t="s">
        <v>2451</v>
      </c>
      <c r="D1328">
        <v>2.75</v>
      </c>
      <c r="E1328" s="1">
        <v>46599</v>
      </c>
      <c r="F1328" t="s">
        <v>1988</v>
      </c>
      <c r="G1328" t="s">
        <v>2451</v>
      </c>
      <c r="H1328" t="s">
        <v>2</v>
      </c>
      <c r="I1328" s="1">
        <v>46224</v>
      </c>
      <c r="J1328" t="s">
        <v>2065</v>
      </c>
      <c r="K1328" t="s">
        <v>3599</v>
      </c>
      <c r="L1328" s="1">
        <v>46224.917650462965</v>
      </c>
      <c r="M1328" s="1">
        <v>46224.91962439815</v>
      </c>
    </row>
    <row r="1329" spans="1:13" x14ac:dyDescent="0.35">
      <c r="A1329" t="s">
        <v>289</v>
      </c>
      <c r="B1329" t="s">
        <v>1986</v>
      </c>
      <c r="C1329" t="s">
        <v>2451</v>
      </c>
      <c r="D1329">
        <v>2.75</v>
      </c>
      <c r="E1329" s="1">
        <v>46599</v>
      </c>
      <c r="F1329" t="s">
        <v>1988</v>
      </c>
      <c r="G1329" t="s">
        <v>2451</v>
      </c>
      <c r="H1329" t="s">
        <v>2</v>
      </c>
      <c r="I1329" s="1">
        <v>46224</v>
      </c>
      <c r="J1329" t="s">
        <v>1991</v>
      </c>
      <c r="K1329" t="s">
        <v>2096</v>
      </c>
      <c r="L1329" s="1">
        <v>46224.918321759258</v>
      </c>
      <c r="M1329" s="1">
        <v>46224.91962439815</v>
      </c>
    </row>
    <row r="1330" spans="1:13" x14ac:dyDescent="0.35">
      <c r="A1330" t="s">
        <v>289</v>
      </c>
      <c r="B1330" t="s">
        <v>1986</v>
      </c>
      <c r="C1330" t="s">
        <v>2451</v>
      </c>
      <c r="D1330">
        <v>2.75</v>
      </c>
      <c r="E1330" s="1">
        <v>46599</v>
      </c>
      <c r="F1330" t="s">
        <v>1988</v>
      </c>
      <c r="G1330" t="s">
        <v>2451</v>
      </c>
      <c r="H1330" t="s">
        <v>2</v>
      </c>
      <c r="I1330" s="1">
        <v>46224</v>
      </c>
      <c r="J1330" t="s">
        <v>2064</v>
      </c>
      <c r="K1330" t="s">
        <v>3599</v>
      </c>
      <c r="L1330" s="1">
        <v>46224.917650462965</v>
      </c>
      <c r="M1330" s="1">
        <v>46224.91962439815</v>
      </c>
    </row>
    <row r="1331" spans="1:13" x14ac:dyDescent="0.35">
      <c r="A1331" t="s">
        <v>289</v>
      </c>
      <c r="B1331" t="s">
        <v>1986</v>
      </c>
      <c r="C1331" t="s">
        <v>2451</v>
      </c>
      <c r="D1331">
        <v>2.75</v>
      </c>
      <c r="E1331" s="1">
        <v>46599</v>
      </c>
      <c r="F1331" t="s">
        <v>1988</v>
      </c>
      <c r="G1331" t="s">
        <v>2451</v>
      </c>
      <c r="H1331" t="s">
        <v>2</v>
      </c>
      <c r="I1331" s="1">
        <v>46224</v>
      </c>
      <c r="J1331" t="s">
        <v>2146</v>
      </c>
      <c r="K1331" t="s">
        <v>3799</v>
      </c>
      <c r="L1331" s="1">
        <v>46224.917650462965</v>
      </c>
      <c r="M1331" s="1">
        <v>46224.91962439815</v>
      </c>
    </row>
    <row r="1332" spans="1:13" x14ac:dyDescent="0.35">
      <c r="A1332" t="s">
        <v>325</v>
      </c>
      <c r="B1332" t="s">
        <v>1986</v>
      </c>
      <c r="C1332" t="s">
        <v>2421</v>
      </c>
      <c r="D1332">
        <v>2.625</v>
      </c>
      <c r="E1332" s="1">
        <v>47330</v>
      </c>
      <c r="F1332" t="s">
        <v>1988</v>
      </c>
      <c r="G1332" t="s">
        <v>2421</v>
      </c>
      <c r="H1332" t="s">
        <v>2</v>
      </c>
      <c r="I1332" s="1">
        <v>46224</v>
      </c>
      <c r="J1332" t="s">
        <v>1991</v>
      </c>
      <c r="K1332" t="s">
        <v>3706</v>
      </c>
      <c r="L1332" s="1">
        <v>46224.918321759258</v>
      </c>
      <c r="M1332" s="1">
        <v>46224.91962439815</v>
      </c>
    </row>
    <row r="1333" spans="1:13" x14ac:dyDescent="0.35">
      <c r="A1333" t="s">
        <v>325</v>
      </c>
      <c r="B1333" t="s">
        <v>1986</v>
      </c>
      <c r="C1333" t="s">
        <v>2421</v>
      </c>
      <c r="D1333">
        <v>2.625</v>
      </c>
      <c r="E1333" s="1">
        <v>47330</v>
      </c>
      <c r="F1333" t="s">
        <v>1988</v>
      </c>
      <c r="G1333" t="s">
        <v>2421</v>
      </c>
      <c r="H1333" t="s">
        <v>2</v>
      </c>
      <c r="I1333" s="1">
        <v>46224</v>
      </c>
      <c r="J1333" t="s">
        <v>2108</v>
      </c>
      <c r="K1333" t="s">
        <v>2363</v>
      </c>
      <c r="L1333" s="1">
        <v>46224.917650462965</v>
      </c>
      <c r="M1333" s="1">
        <v>46224.91962439815</v>
      </c>
    </row>
    <row r="1334" spans="1:13" x14ac:dyDescent="0.35">
      <c r="A1334" t="s">
        <v>325</v>
      </c>
      <c r="B1334" t="s">
        <v>1986</v>
      </c>
      <c r="C1334" t="s">
        <v>2421</v>
      </c>
      <c r="D1334">
        <v>2.625</v>
      </c>
      <c r="E1334" s="1">
        <v>47330</v>
      </c>
      <c r="F1334" t="s">
        <v>1988</v>
      </c>
      <c r="G1334" t="s">
        <v>2421</v>
      </c>
      <c r="H1334" t="s">
        <v>2</v>
      </c>
      <c r="I1334" s="1">
        <v>46224</v>
      </c>
      <c r="J1334" t="s">
        <v>1989</v>
      </c>
      <c r="K1334" t="s">
        <v>3016</v>
      </c>
      <c r="L1334" s="1">
        <v>46224.918321759258</v>
      </c>
      <c r="M1334" s="1">
        <v>46224.91962439815</v>
      </c>
    </row>
    <row r="1335" spans="1:13" x14ac:dyDescent="0.35">
      <c r="A1335" t="s">
        <v>325</v>
      </c>
      <c r="B1335" t="s">
        <v>1986</v>
      </c>
      <c r="C1335" t="s">
        <v>2421</v>
      </c>
      <c r="D1335">
        <v>2.625</v>
      </c>
      <c r="E1335" s="1">
        <v>47330</v>
      </c>
      <c r="F1335" t="s">
        <v>1988</v>
      </c>
      <c r="G1335" t="s">
        <v>2421</v>
      </c>
      <c r="H1335" t="s">
        <v>2</v>
      </c>
      <c r="I1335" s="1">
        <v>46224</v>
      </c>
      <c r="J1335" t="s">
        <v>2064</v>
      </c>
      <c r="K1335" t="s">
        <v>2556</v>
      </c>
      <c r="L1335" s="1">
        <v>46224.917650462965</v>
      </c>
      <c r="M1335" s="1">
        <v>46224.91962439815</v>
      </c>
    </row>
    <row r="1336" spans="1:13" x14ac:dyDescent="0.35">
      <c r="A1336" t="s">
        <v>325</v>
      </c>
      <c r="B1336" t="s">
        <v>1986</v>
      </c>
      <c r="C1336" t="s">
        <v>2421</v>
      </c>
      <c r="D1336">
        <v>2.625</v>
      </c>
      <c r="E1336" s="1">
        <v>47330</v>
      </c>
      <c r="F1336" t="s">
        <v>1988</v>
      </c>
      <c r="G1336" t="s">
        <v>2421</v>
      </c>
      <c r="H1336" t="s">
        <v>2</v>
      </c>
      <c r="I1336" s="1">
        <v>46224</v>
      </c>
      <c r="J1336" t="s">
        <v>2146</v>
      </c>
      <c r="K1336" t="s">
        <v>2363</v>
      </c>
      <c r="L1336" s="1">
        <v>46224.917650462965</v>
      </c>
      <c r="M1336" s="1">
        <v>46224.91962439815</v>
      </c>
    </row>
    <row r="1337" spans="1:13" x14ac:dyDescent="0.35">
      <c r="A1337" t="s">
        <v>325</v>
      </c>
      <c r="B1337" t="s">
        <v>1986</v>
      </c>
      <c r="C1337" t="s">
        <v>2421</v>
      </c>
      <c r="D1337">
        <v>2.625</v>
      </c>
      <c r="E1337" s="1">
        <v>47330</v>
      </c>
      <c r="F1337" t="s">
        <v>1988</v>
      </c>
      <c r="G1337" t="s">
        <v>2421</v>
      </c>
      <c r="H1337" t="s">
        <v>2</v>
      </c>
      <c r="I1337" s="1">
        <v>46224</v>
      </c>
      <c r="J1337" t="s">
        <v>2065</v>
      </c>
      <c r="K1337" t="s">
        <v>2556</v>
      </c>
      <c r="L1337" s="1">
        <v>46224.917650462965</v>
      </c>
      <c r="M1337" s="1">
        <v>46224.91962439815</v>
      </c>
    </row>
    <row r="1338" spans="1:13" x14ac:dyDescent="0.35">
      <c r="A1338" t="s">
        <v>290</v>
      </c>
      <c r="B1338" t="s">
        <v>1986</v>
      </c>
      <c r="C1338" t="s">
        <v>2423</v>
      </c>
      <c r="D1338">
        <v>2.75</v>
      </c>
      <c r="E1338" s="1">
        <v>48441</v>
      </c>
      <c r="F1338" t="s">
        <v>1988</v>
      </c>
      <c r="G1338" t="s">
        <v>2423</v>
      </c>
      <c r="H1338" t="s">
        <v>2</v>
      </c>
      <c r="I1338" s="1">
        <v>46224</v>
      </c>
      <c r="J1338" t="s">
        <v>2064</v>
      </c>
      <c r="K1338" t="s">
        <v>3614</v>
      </c>
      <c r="L1338" s="1">
        <v>46224.917650462965</v>
      </c>
      <c r="M1338" s="1">
        <v>46224.91962439815</v>
      </c>
    </row>
    <row r="1339" spans="1:13" x14ac:dyDescent="0.35">
      <c r="A1339" t="s">
        <v>290</v>
      </c>
      <c r="B1339" t="s">
        <v>1986</v>
      </c>
      <c r="C1339" t="s">
        <v>2423</v>
      </c>
      <c r="D1339">
        <v>2.75</v>
      </c>
      <c r="E1339" s="1">
        <v>48441</v>
      </c>
      <c r="F1339" t="s">
        <v>1988</v>
      </c>
      <c r="G1339" t="s">
        <v>2423</v>
      </c>
      <c r="H1339" t="s">
        <v>2</v>
      </c>
      <c r="I1339" s="1">
        <v>46224</v>
      </c>
      <c r="J1339" t="s">
        <v>2146</v>
      </c>
      <c r="K1339" t="s">
        <v>3026</v>
      </c>
      <c r="L1339" s="1">
        <v>46224.917650462965</v>
      </c>
      <c r="M1339" s="1">
        <v>46224.91962439815</v>
      </c>
    </row>
    <row r="1340" spans="1:13" x14ac:dyDescent="0.35">
      <c r="A1340" t="s">
        <v>290</v>
      </c>
      <c r="B1340" t="s">
        <v>1986</v>
      </c>
      <c r="C1340" t="s">
        <v>2423</v>
      </c>
      <c r="D1340">
        <v>2.75</v>
      </c>
      <c r="E1340" s="1">
        <v>48441</v>
      </c>
      <c r="F1340" t="s">
        <v>1988</v>
      </c>
      <c r="G1340" t="s">
        <v>2423</v>
      </c>
      <c r="H1340" t="s">
        <v>2</v>
      </c>
      <c r="I1340" s="1">
        <v>46224</v>
      </c>
      <c r="J1340" t="s">
        <v>2065</v>
      </c>
      <c r="K1340" t="s">
        <v>3614</v>
      </c>
      <c r="L1340" s="1">
        <v>46224.917650462965</v>
      </c>
      <c r="M1340" s="1">
        <v>46224.91962439815</v>
      </c>
    </row>
    <row r="1341" spans="1:13" x14ac:dyDescent="0.35">
      <c r="A1341" t="s">
        <v>290</v>
      </c>
      <c r="B1341" t="s">
        <v>1986</v>
      </c>
      <c r="C1341" t="s">
        <v>2423</v>
      </c>
      <c r="D1341">
        <v>2.75</v>
      </c>
      <c r="E1341" s="1">
        <v>48441</v>
      </c>
      <c r="F1341" t="s">
        <v>1988</v>
      </c>
      <c r="G1341" t="s">
        <v>2423</v>
      </c>
      <c r="H1341" t="s">
        <v>2</v>
      </c>
      <c r="I1341" s="1">
        <v>46224</v>
      </c>
      <c r="J1341" t="s">
        <v>1989</v>
      </c>
      <c r="K1341" t="s">
        <v>4131</v>
      </c>
      <c r="L1341" s="1">
        <v>46224.918321759258</v>
      </c>
      <c r="M1341" s="1">
        <v>46224.91962439815</v>
      </c>
    </row>
    <row r="1342" spans="1:13" x14ac:dyDescent="0.35">
      <c r="A1342" t="s">
        <v>290</v>
      </c>
      <c r="B1342" t="s">
        <v>1986</v>
      </c>
      <c r="C1342" t="s">
        <v>2423</v>
      </c>
      <c r="D1342">
        <v>2.75</v>
      </c>
      <c r="E1342" s="1">
        <v>48441</v>
      </c>
      <c r="F1342" t="s">
        <v>1988</v>
      </c>
      <c r="G1342" t="s">
        <v>2423</v>
      </c>
      <c r="H1342" t="s">
        <v>2</v>
      </c>
      <c r="I1342" s="1">
        <v>46224</v>
      </c>
      <c r="J1342" t="s">
        <v>1991</v>
      </c>
      <c r="K1342" t="s">
        <v>4132</v>
      </c>
      <c r="L1342" s="1">
        <v>46224.918321759258</v>
      </c>
      <c r="M1342" s="1">
        <v>46224.91962439815</v>
      </c>
    </row>
    <row r="1343" spans="1:13" x14ac:dyDescent="0.35">
      <c r="A1343" t="s">
        <v>290</v>
      </c>
      <c r="B1343" t="s">
        <v>1986</v>
      </c>
      <c r="C1343" t="s">
        <v>2423</v>
      </c>
      <c r="D1343">
        <v>2.75</v>
      </c>
      <c r="E1343" s="1">
        <v>48441</v>
      </c>
      <c r="F1343" t="s">
        <v>1988</v>
      </c>
      <c r="G1343" t="s">
        <v>2423</v>
      </c>
      <c r="H1343" t="s">
        <v>2</v>
      </c>
      <c r="I1343" s="1">
        <v>46224</v>
      </c>
      <c r="J1343" t="s">
        <v>2108</v>
      </c>
      <c r="K1343" t="s">
        <v>3026</v>
      </c>
      <c r="L1343" s="1">
        <v>46224.917650462965</v>
      </c>
      <c r="M1343" s="1">
        <v>46224.91962439815</v>
      </c>
    </row>
    <row r="1344" spans="1:13" x14ac:dyDescent="0.35">
      <c r="A1344" t="s">
        <v>326</v>
      </c>
      <c r="B1344" t="s">
        <v>1986</v>
      </c>
      <c r="C1344" t="s">
        <v>2501</v>
      </c>
      <c r="D1344">
        <v>3.125</v>
      </c>
      <c r="E1344" s="1">
        <v>46630</v>
      </c>
      <c r="F1344" t="s">
        <v>1988</v>
      </c>
      <c r="G1344" t="s">
        <v>2501</v>
      </c>
      <c r="H1344" t="s">
        <v>2</v>
      </c>
      <c r="I1344" s="1">
        <v>46224</v>
      </c>
      <c r="J1344" t="s">
        <v>2065</v>
      </c>
      <c r="K1344" t="s">
        <v>3707</v>
      </c>
      <c r="L1344" s="1">
        <v>46224.917650462965</v>
      </c>
      <c r="M1344" s="1">
        <v>46224.91962439815</v>
      </c>
    </row>
    <row r="1345" spans="1:13" x14ac:dyDescent="0.35">
      <c r="A1345" t="s">
        <v>326</v>
      </c>
      <c r="B1345" t="s">
        <v>1986</v>
      </c>
      <c r="C1345" t="s">
        <v>2501</v>
      </c>
      <c r="D1345">
        <v>3.125</v>
      </c>
      <c r="E1345" s="1">
        <v>46630</v>
      </c>
      <c r="F1345" t="s">
        <v>1988</v>
      </c>
      <c r="G1345" t="s">
        <v>2501</v>
      </c>
      <c r="H1345" t="s">
        <v>2</v>
      </c>
      <c r="I1345" s="1">
        <v>46224</v>
      </c>
      <c r="J1345" t="s">
        <v>2064</v>
      </c>
      <c r="K1345" t="s">
        <v>3707</v>
      </c>
      <c r="L1345" s="1">
        <v>46224.917650462965</v>
      </c>
      <c r="M1345" s="1">
        <v>46224.91962439815</v>
      </c>
    </row>
    <row r="1346" spans="1:13" x14ac:dyDescent="0.35">
      <c r="A1346" t="s">
        <v>326</v>
      </c>
      <c r="B1346" t="s">
        <v>1986</v>
      </c>
      <c r="C1346" t="s">
        <v>2501</v>
      </c>
      <c r="D1346">
        <v>3.125</v>
      </c>
      <c r="E1346" s="1">
        <v>46630</v>
      </c>
      <c r="F1346" t="s">
        <v>1988</v>
      </c>
      <c r="G1346" t="s">
        <v>2501</v>
      </c>
      <c r="H1346" t="s">
        <v>2</v>
      </c>
      <c r="I1346" s="1">
        <v>46224</v>
      </c>
      <c r="J1346" t="s">
        <v>2146</v>
      </c>
      <c r="K1346" t="s">
        <v>3615</v>
      </c>
      <c r="L1346" s="1">
        <v>46224.917650462965</v>
      </c>
      <c r="M1346" s="1">
        <v>46224.91962439815</v>
      </c>
    </row>
    <row r="1347" spans="1:13" x14ac:dyDescent="0.35">
      <c r="A1347" t="s">
        <v>326</v>
      </c>
      <c r="B1347" t="s">
        <v>1986</v>
      </c>
      <c r="C1347" t="s">
        <v>2501</v>
      </c>
      <c r="D1347">
        <v>3.125</v>
      </c>
      <c r="E1347" s="1">
        <v>46630</v>
      </c>
      <c r="F1347" t="s">
        <v>1988</v>
      </c>
      <c r="G1347" t="s">
        <v>2501</v>
      </c>
      <c r="H1347" t="s">
        <v>2</v>
      </c>
      <c r="I1347" s="1">
        <v>46224</v>
      </c>
      <c r="J1347" t="s">
        <v>1991</v>
      </c>
      <c r="K1347" t="s">
        <v>4133</v>
      </c>
      <c r="L1347" s="1">
        <v>46224.918321759258</v>
      </c>
      <c r="M1347" s="1">
        <v>46224.91962439815</v>
      </c>
    </row>
    <row r="1348" spans="1:13" x14ac:dyDescent="0.35">
      <c r="A1348" t="s">
        <v>326</v>
      </c>
      <c r="B1348" t="s">
        <v>1986</v>
      </c>
      <c r="C1348" t="s">
        <v>2501</v>
      </c>
      <c r="D1348">
        <v>3.125</v>
      </c>
      <c r="E1348" s="1">
        <v>46630</v>
      </c>
      <c r="F1348" t="s">
        <v>1988</v>
      </c>
      <c r="G1348" t="s">
        <v>2501</v>
      </c>
      <c r="H1348" t="s">
        <v>2</v>
      </c>
      <c r="I1348" s="1">
        <v>46224</v>
      </c>
      <c r="J1348" t="s">
        <v>2108</v>
      </c>
      <c r="K1348" t="s">
        <v>3615</v>
      </c>
      <c r="L1348" s="1">
        <v>46224.917650462965</v>
      </c>
      <c r="M1348" s="1">
        <v>46224.91962439815</v>
      </c>
    </row>
    <row r="1349" spans="1:13" x14ac:dyDescent="0.35">
      <c r="A1349" t="s">
        <v>326</v>
      </c>
      <c r="B1349" t="s">
        <v>1986</v>
      </c>
      <c r="C1349" t="s">
        <v>2501</v>
      </c>
      <c r="D1349">
        <v>3.125</v>
      </c>
      <c r="E1349" s="1">
        <v>46630</v>
      </c>
      <c r="F1349" t="s">
        <v>1988</v>
      </c>
      <c r="G1349" t="s">
        <v>2501</v>
      </c>
      <c r="H1349" t="s">
        <v>2</v>
      </c>
      <c r="I1349" s="1">
        <v>46224</v>
      </c>
      <c r="J1349" t="s">
        <v>1989</v>
      </c>
      <c r="K1349" t="s">
        <v>3863</v>
      </c>
      <c r="L1349" s="1">
        <v>46224.918321759258</v>
      </c>
      <c r="M1349" s="1">
        <v>46224.91962439815</v>
      </c>
    </row>
    <row r="1350" spans="1:13" x14ac:dyDescent="0.35">
      <c r="A1350" t="s">
        <v>291</v>
      </c>
      <c r="B1350" t="s">
        <v>1986</v>
      </c>
      <c r="C1350" t="s">
        <v>2424</v>
      </c>
      <c r="D1350">
        <v>3.125</v>
      </c>
      <c r="E1350" s="1">
        <v>47361</v>
      </c>
      <c r="F1350" t="s">
        <v>1988</v>
      </c>
      <c r="G1350" t="s">
        <v>2424</v>
      </c>
      <c r="H1350" t="s">
        <v>2</v>
      </c>
      <c r="I1350" s="1">
        <v>46224</v>
      </c>
      <c r="J1350" t="s">
        <v>1989</v>
      </c>
      <c r="K1350" t="s">
        <v>3007</v>
      </c>
      <c r="L1350" s="1">
        <v>46224.918321759258</v>
      </c>
      <c r="M1350" s="1">
        <v>46224.91962439815</v>
      </c>
    </row>
    <row r="1351" spans="1:13" x14ac:dyDescent="0.35">
      <c r="A1351" t="s">
        <v>291</v>
      </c>
      <c r="B1351" t="s">
        <v>1986</v>
      </c>
      <c r="C1351" t="s">
        <v>2424</v>
      </c>
      <c r="D1351">
        <v>3.125</v>
      </c>
      <c r="E1351" s="1">
        <v>47361</v>
      </c>
      <c r="F1351" t="s">
        <v>1988</v>
      </c>
      <c r="G1351" t="s">
        <v>2424</v>
      </c>
      <c r="H1351" t="s">
        <v>2</v>
      </c>
      <c r="I1351" s="1">
        <v>46224</v>
      </c>
      <c r="J1351" t="s">
        <v>2064</v>
      </c>
      <c r="K1351" t="s">
        <v>2604</v>
      </c>
      <c r="L1351" s="1">
        <v>46224.917650462965</v>
      </c>
      <c r="M1351" s="1">
        <v>46224.91962439815</v>
      </c>
    </row>
    <row r="1352" spans="1:13" x14ac:dyDescent="0.35">
      <c r="A1352" t="s">
        <v>291</v>
      </c>
      <c r="B1352" t="s">
        <v>1986</v>
      </c>
      <c r="C1352" t="s">
        <v>2424</v>
      </c>
      <c r="D1352">
        <v>3.125</v>
      </c>
      <c r="E1352" s="1">
        <v>47361</v>
      </c>
      <c r="F1352" t="s">
        <v>1988</v>
      </c>
      <c r="G1352" t="s">
        <v>2424</v>
      </c>
      <c r="H1352" t="s">
        <v>2</v>
      </c>
      <c r="I1352" s="1">
        <v>46224</v>
      </c>
      <c r="J1352" t="s">
        <v>2146</v>
      </c>
      <c r="K1352" t="s">
        <v>2935</v>
      </c>
      <c r="L1352" s="1">
        <v>46224.917650462965</v>
      </c>
      <c r="M1352" s="1">
        <v>46224.91962439815</v>
      </c>
    </row>
    <row r="1353" spans="1:13" x14ac:dyDescent="0.35">
      <c r="A1353" t="s">
        <v>291</v>
      </c>
      <c r="B1353" t="s">
        <v>1986</v>
      </c>
      <c r="C1353" t="s">
        <v>2424</v>
      </c>
      <c r="D1353">
        <v>3.125</v>
      </c>
      <c r="E1353" s="1">
        <v>47361</v>
      </c>
      <c r="F1353" t="s">
        <v>1988</v>
      </c>
      <c r="G1353" t="s">
        <v>2424</v>
      </c>
      <c r="H1353" t="s">
        <v>2</v>
      </c>
      <c r="I1353" s="1">
        <v>46224</v>
      </c>
      <c r="J1353" t="s">
        <v>1991</v>
      </c>
      <c r="K1353" t="s">
        <v>3864</v>
      </c>
      <c r="L1353" s="1">
        <v>46224.918321759258</v>
      </c>
      <c r="M1353" s="1">
        <v>46224.91962439815</v>
      </c>
    </row>
    <row r="1354" spans="1:13" x14ac:dyDescent="0.35">
      <c r="A1354" t="s">
        <v>291</v>
      </c>
      <c r="B1354" t="s">
        <v>1986</v>
      </c>
      <c r="C1354" t="s">
        <v>2424</v>
      </c>
      <c r="D1354">
        <v>3.125</v>
      </c>
      <c r="E1354" s="1">
        <v>47361</v>
      </c>
      <c r="F1354" t="s">
        <v>1988</v>
      </c>
      <c r="G1354" t="s">
        <v>2424</v>
      </c>
      <c r="H1354" t="s">
        <v>2</v>
      </c>
      <c r="I1354" s="1">
        <v>46224</v>
      </c>
      <c r="J1354" t="s">
        <v>2065</v>
      </c>
      <c r="K1354" t="s">
        <v>2604</v>
      </c>
      <c r="L1354" s="1">
        <v>46224.917650462965</v>
      </c>
      <c r="M1354" s="1">
        <v>46224.91962439815</v>
      </c>
    </row>
    <row r="1355" spans="1:13" x14ac:dyDescent="0.35">
      <c r="A1355" t="s">
        <v>291</v>
      </c>
      <c r="B1355" t="s">
        <v>1986</v>
      </c>
      <c r="C1355" t="s">
        <v>2424</v>
      </c>
      <c r="D1355">
        <v>3.125</v>
      </c>
      <c r="E1355" s="1">
        <v>47361</v>
      </c>
      <c r="F1355" t="s">
        <v>1988</v>
      </c>
      <c r="G1355" t="s">
        <v>2424</v>
      </c>
      <c r="H1355" t="s">
        <v>2</v>
      </c>
      <c r="I1355" s="1">
        <v>46224</v>
      </c>
      <c r="J1355" t="s">
        <v>2108</v>
      </c>
      <c r="K1355" t="s">
        <v>2935</v>
      </c>
      <c r="L1355" s="1">
        <v>46224.917650462965</v>
      </c>
      <c r="M1355" s="1">
        <v>46224.91962439815</v>
      </c>
    </row>
    <row r="1356" spans="1:13" x14ac:dyDescent="0.35">
      <c r="A1356" t="s">
        <v>292</v>
      </c>
      <c r="B1356" t="s">
        <v>1986</v>
      </c>
      <c r="C1356" t="s">
        <v>2425</v>
      </c>
      <c r="D1356">
        <v>3.875</v>
      </c>
      <c r="E1356" s="1">
        <v>47391</v>
      </c>
      <c r="F1356" t="s">
        <v>1988</v>
      </c>
      <c r="G1356" t="s">
        <v>2425</v>
      </c>
      <c r="H1356" t="s">
        <v>2</v>
      </c>
      <c r="I1356" s="1">
        <v>46224</v>
      </c>
      <c r="J1356" t="s">
        <v>1991</v>
      </c>
      <c r="K1356" t="s">
        <v>3620</v>
      </c>
      <c r="L1356" s="1">
        <v>46224.918321759258</v>
      </c>
      <c r="M1356" s="1">
        <v>46224.91962439815</v>
      </c>
    </row>
    <row r="1357" spans="1:13" x14ac:dyDescent="0.35">
      <c r="A1357" t="s">
        <v>292</v>
      </c>
      <c r="B1357" t="s">
        <v>1986</v>
      </c>
      <c r="C1357" t="s">
        <v>2425</v>
      </c>
      <c r="D1357">
        <v>3.875</v>
      </c>
      <c r="E1357" s="1">
        <v>47391</v>
      </c>
      <c r="F1357" t="s">
        <v>1988</v>
      </c>
      <c r="G1357" t="s">
        <v>2425</v>
      </c>
      <c r="H1357" t="s">
        <v>2</v>
      </c>
      <c r="I1357" s="1">
        <v>46224</v>
      </c>
      <c r="J1357" t="s">
        <v>2064</v>
      </c>
      <c r="K1357" t="s">
        <v>2561</v>
      </c>
      <c r="L1357" s="1">
        <v>46224.917650462965</v>
      </c>
      <c r="M1357" s="1">
        <v>46224.91962439815</v>
      </c>
    </row>
    <row r="1358" spans="1:13" x14ac:dyDescent="0.35">
      <c r="A1358" t="s">
        <v>292</v>
      </c>
      <c r="B1358" t="s">
        <v>1986</v>
      </c>
      <c r="C1358" t="s">
        <v>2425</v>
      </c>
      <c r="D1358">
        <v>3.875</v>
      </c>
      <c r="E1358" s="1">
        <v>47391</v>
      </c>
      <c r="F1358" t="s">
        <v>1988</v>
      </c>
      <c r="G1358" t="s">
        <v>2425</v>
      </c>
      <c r="H1358" t="s">
        <v>2</v>
      </c>
      <c r="I1358" s="1">
        <v>46224</v>
      </c>
      <c r="J1358" t="s">
        <v>1989</v>
      </c>
      <c r="K1358" t="s">
        <v>2571</v>
      </c>
      <c r="L1358" s="1">
        <v>46224.918321759258</v>
      </c>
      <c r="M1358" s="1">
        <v>46224.91962439815</v>
      </c>
    </row>
    <row r="1359" spans="1:13" x14ac:dyDescent="0.35">
      <c r="A1359" t="s">
        <v>292</v>
      </c>
      <c r="B1359" t="s">
        <v>1986</v>
      </c>
      <c r="C1359" t="s">
        <v>2425</v>
      </c>
      <c r="D1359">
        <v>3.875</v>
      </c>
      <c r="E1359" s="1">
        <v>47391</v>
      </c>
      <c r="F1359" t="s">
        <v>1988</v>
      </c>
      <c r="G1359" t="s">
        <v>2425</v>
      </c>
      <c r="H1359" t="s">
        <v>2</v>
      </c>
      <c r="I1359" s="1">
        <v>46224</v>
      </c>
      <c r="J1359" t="s">
        <v>2108</v>
      </c>
      <c r="K1359" t="s">
        <v>2609</v>
      </c>
      <c r="L1359" s="1">
        <v>46224.917650462965</v>
      </c>
      <c r="M1359" s="1">
        <v>46224.91962439815</v>
      </c>
    </row>
    <row r="1360" spans="1:13" x14ac:dyDescent="0.35">
      <c r="A1360" t="s">
        <v>292</v>
      </c>
      <c r="B1360" t="s">
        <v>1986</v>
      </c>
      <c r="C1360" t="s">
        <v>2425</v>
      </c>
      <c r="D1360">
        <v>3.875</v>
      </c>
      <c r="E1360" s="1">
        <v>47391</v>
      </c>
      <c r="F1360" t="s">
        <v>1988</v>
      </c>
      <c r="G1360" t="s">
        <v>2425</v>
      </c>
      <c r="H1360" t="s">
        <v>2</v>
      </c>
      <c r="I1360" s="1">
        <v>46224</v>
      </c>
      <c r="J1360" t="s">
        <v>2065</v>
      </c>
      <c r="K1360" t="s">
        <v>2561</v>
      </c>
      <c r="L1360" s="1">
        <v>46224.917650462965</v>
      </c>
      <c r="M1360" s="1">
        <v>46224.91962439815</v>
      </c>
    </row>
    <row r="1361" spans="1:13" x14ac:dyDescent="0.35">
      <c r="A1361" t="s">
        <v>292</v>
      </c>
      <c r="B1361" t="s">
        <v>1986</v>
      </c>
      <c r="C1361" t="s">
        <v>2425</v>
      </c>
      <c r="D1361">
        <v>3.875</v>
      </c>
      <c r="E1361" s="1">
        <v>47391</v>
      </c>
      <c r="F1361" t="s">
        <v>1988</v>
      </c>
      <c r="G1361" t="s">
        <v>2425</v>
      </c>
      <c r="H1361" t="s">
        <v>2</v>
      </c>
      <c r="I1361" s="1">
        <v>46224</v>
      </c>
      <c r="J1361" t="s">
        <v>2146</v>
      </c>
      <c r="K1361" t="s">
        <v>2609</v>
      </c>
      <c r="L1361" s="1">
        <v>46224.917650462965</v>
      </c>
      <c r="M1361" s="1">
        <v>46224.91962439815</v>
      </c>
    </row>
    <row r="1362" spans="1:13" x14ac:dyDescent="0.35">
      <c r="A1362" t="s">
        <v>327</v>
      </c>
      <c r="B1362" t="s">
        <v>1986</v>
      </c>
      <c r="C1362" t="s">
        <v>2469</v>
      </c>
      <c r="D1362">
        <v>4.125</v>
      </c>
      <c r="E1362" s="1">
        <v>46660</v>
      </c>
      <c r="F1362" t="s">
        <v>1988</v>
      </c>
      <c r="G1362" t="s">
        <v>2469</v>
      </c>
      <c r="H1362" t="s">
        <v>2</v>
      </c>
      <c r="I1362" s="1">
        <v>46224</v>
      </c>
      <c r="J1362" t="s">
        <v>1989</v>
      </c>
      <c r="K1362" t="s">
        <v>2805</v>
      </c>
      <c r="L1362" s="1">
        <v>46224.918321759258</v>
      </c>
      <c r="M1362" s="1">
        <v>46224.91962439815</v>
      </c>
    </row>
    <row r="1363" spans="1:13" x14ac:dyDescent="0.35">
      <c r="A1363" t="s">
        <v>327</v>
      </c>
      <c r="B1363" t="s">
        <v>1986</v>
      </c>
      <c r="C1363" t="s">
        <v>2469</v>
      </c>
      <c r="D1363">
        <v>4.125</v>
      </c>
      <c r="E1363" s="1">
        <v>46660</v>
      </c>
      <c r="F1363" t="s">
        <v>1988</v>
      </c>
      <c r="G1363" t="s">
        <v>2469</v>
      </c>
      <c r="H1363" t="s">
        <v>2</v>
      </c>
      <c r="I1363" s="1">
        <v>46224</v>
      </c>
      <c r="J1363" t="s">
        <v>2146</v>
      </c>
      <c r="K1363" t="s">
        <v>3616</v>
      </c>
      <c r="L1363" s="1">
        <v>46224.917650462965</v>
      </c>
      <c r="M1363" s="1">
        <v>46224.91962439815</v>
      </c>
    </row>
    <row r="1364" spans="1:13" x14ac:dyDescent="0.35">
      <c r="A1364" t="s">
        <v>327</v>
      </c>
      <c r="B1364" t="s">
        <v>1986</v>
      </c>
      <c r="C1364" t="s">
        <v>2469</v>
      </c>
      <c r="D1364">
        <v>4.125</v>
      </c>
      <c r="E1364" s="1">
        <v>46660</v>
      </c>
      <c r="F1364" t="s">
        <v>1988</v>
      </c>
      <c r="G1364" t="s">
        <v>2469</v>
      </c>
      <c r="H1364" t="s">
        <v>2</v>
      </c>
      <c r="I1364" s="1">
        <v>46224</v>
      </c>
      <c r="J1364" t="s">
        <v>2065</v>
      </c>
      <c r="K1364" t="s">
        <v>3617</v>
      </c>
      <c r="L1364" s="1">
        <v>46224.917650462965</v>
      </c>
      <c r="M1364" s="1">
        <v>46224.91962439815</v>
      </c>
    </row>
    <row r="1365" spans="1:13" x14ac:dyDescent="0.35">
      <c r="A1365" t="s">
        <v>327</v>
      </c>
      <c r="B1365" t="s">
        <v>1986</v>
      </c>
      <c r="C1365" t="s">
        <v>2469</v>
      </c>
      <c r="D1365">
        <v>4.125</v>
      </c>
      <c r="E1365" s="1">
        <v>46660</v>
      </c>
      <c r="F1365" t="s">
        <v>1988</v>
      </c>
      <c r="G1365" t="s">
        <v>2469</v>
      </c>
      <c r="H1365" t="s">
        <v>2</v>
      </c>
      <c r="I1365" s="1">
        <v>46224</v>
      </c>
      <c r="J1365" t="s">
        <v>1991</v>
      </c>
      <c r="K1365" t="s">
        <v>3019</v>
      </c>
      <c r="L1365" s="1">
        <v>46224.918321759258</v>
      </c>
      <c r="M1365" s="1">
        <v>46224.91962439815</v>
      </c>
    </row>
    <row r="1366" spans="1:13" x14ac:dyDescent="0.35">
      <c r="A1366" t="s">
        <v>327</v>
      </c>
      <c r="B1366" t="s">
        <v>1986</v>
      </c>
      <c r="C1366" t="s">
        <v>2469</v>
      </c>
      <c r="D1366">
        <v>4.125</v>
      </c>
      <c r="E1366" s="1">
        <v>46660</v>
      </c>
      <c r="F1366" t="s">
        <v>1988</v>
      </c>
      <c r="G1366" t="s">
        <v>2469</v>
      </c>
      <c r="H1366" t="s">
        <v>2</v>
      </c>
      <c r="I1366" s="1">
        <v>46224</v>
      </c>
      <c r="J1366" t="s">
        <v>2108</v>
      </c>
      <c r="K1366" t="s">
        <v>3616</v>
      </c>
      <c r="L1366" s="1">
        <v>46224.917650462965</v>
      </c>
      <c r="M1366" s="1">
        <v>46224.91962439815</v>
      </c>
    </row>
    <row r="1367" spans="1:13" x14ac:dyDescent="0.35">
      <c r="A1367" t="s">
        <v>327</v>
      </c>
      <c r="B1367" t="s">
        <v>1986</v>
      </c>
      <c r="C1367" t="s">
        <v>2469</v>
      </c>
      <c r="D1367">
        <v>4.125</v>
      </c>
      <c r="E1367" s="1">
        <v>46660</v>
      </c>
      <c r="F1367" t="s">
        <v>1988</v>
      </c>
      <c r="G1367" t="s">
        <v>2469</v>
      </c>
      <c r="H1367" t="s">
        <v>2</v>
      </c>
      <c r="I1367" s="1">
        <v>46224</v>
      </c>
      <c r="J1367" t="s">
        <v>2064</v>
      </c>
      <c r="K1367" t="s">
        <v>3617</v>
      </c>
      <c r="L1367" s="1">
        <v>46224.917650462965</v>
      </c>
      <c r="M1367" s="1">
        <v>46224.91962439815</v>
      </c>
    </row>
    <row r="1368" spans="1:13" x14ac:dyDescent="0.35">
      <c r="A1368" t="s">
        <v>293</v>
      </c>
      <c r="B1368" t="s">
        <v>1986</v>
      </c>
      <c r="C1368" t="s">
        <v>2502</v>
      </c>
      <c r="D1368">
        <v>1.625</v>
      </c>
      <c r="E1368" s="1">
        <v>46675</v>
      </c>
      <c r="F1368" t="s">
        <v>2014</v>
      </c>
      <c r="G1368" t="s">
        <v>2502</v>
      </c>
      <c r="H1368" t="s">
        <v>2</v>
      </c>
      <c r="I1368" s="1">
        <v>46224</v>
      </c>
      <c r="J1368" t="s">
        <v>1989</v>
      </c>
      <c r="K1368" t="s">
        <v>3534</v>
      </c>
      <c r="L1368" s="1">
        <v>46224.918321759258</v>
      </c>
      <c r="M1368" s="1">
        <v>46224.91962439815</v>
      </c>
    </row>
    <row r="1369" spans="1:13" x14ac:dyDescent="0.35">
      <c r="A1369" t="s">
        <v>293</v>
      </c>
      <c r="B1369" t="s">
        <v>1986</v>
      </c>
      <c r="C1369" t="s">
        <v>2502</v>
      </c>
      <c r="D1369">
        <v>1.625</v>
      </c>
      <c r="E1369" s="1">
        <v>46675</v>
      </c>
      <c r="F1369" t="s">
        <v>2014</v>
      </c>
      <c r="G1369" t="s">
        <v>2502</v>
      </c>
      <c r="H1369" t="s">
        <v>2</v>
      </c>
      <c r="I1369" s="1">
        <v>46224</v>
      </c>
      <c r="J1369" t="s">
        <v>1991</v>
      </c>
      <c r="K1369" t="s">
        <v>3865</v>
      </c>
      <c r="L1369" s="1">
        <v>46224.918321759258</v>
      </c>
      <c r="M1369" s="1">
        <v>46224.91962439815</v>
      </c>
    </row>
    <row r="1370" spans="1:13" x14ac:dyDescent="0.35">
      <c r="A1370" t="s">
        <v>294</v>
      </c>
      <c r="B1370" t="s">
        <v>1986</v>
      </c>
      <c r="C1370" t="s">
        <v>2426</v>
      </c>
      <c r="D1370">
        <v>4</v>
      </c>
      <c r="E1370" s="1">
        <v>47422</v>
      </c>
      <c r="F1370" t="s">
        <v>1988</v>
      </c>
      <c r="G1370" t="s">
        <v>2426</v>
      </c>
      <c r="H1370" t="s">
        <v>2</v>
      </c>
      <c r="I1370" s="1">
        <v>46224</v>
      </c>
      <c r="J1370" t="s">
        <v>2108</v>
      </c>
      <c r="K1370" t="s">
        <v>2556</v>
      </c>
      <c r="L1370" s="1">
        <v>46224.917650462965</v>
      </c>
      <c r="M1370" s="1">
        <v>46224.91962439815</v>
      </c>
    </row>
    <row r="1371" spans="1:13" x14ac:dyDescent="0.35">
      <c r="A1371" t="s">
        <v>294</v>
      </c>
      <c r="B1371" t="s">
        <v>1986</v>
      </c>
      <c r="C1371" t="s">
        <v>2426</v>
      </c>
      <c r="D1371">
        <v>4</v>
      </c>
      <c r="E1371" s="1">
        <v>47422</v>
      </c>
      <c r="F1371" t="s">
        <v>1988</v>
      </c>
      <c r="G1371" t="s">
        <v>2426</v>
      </c>
      <c r="H1371" t="s">
        <v>2</v>
      </c>
      <c r="I1371" s="1">
        <v>46224</v>
      </c>
      <c r="J1371" t="s">
        <v>2146</v>
      </c>
      <c r="K1371" t="s">
        <v>2556</v>
      </c>
      <c r="L1371" s="1">
        <v>46224.917650462965</v>
      </c>
      <c r="M1371" s="1">
        <v>46224.91962439815</v>
      </c>
    </row>
    <row r="1372" spans="1:13" x14ac:dyDescent="0.35">
      <c r="A1372" t="s">
        <v>294</v>
      </c>
      <c r="B1372" t="s">
        <v>1986</v>
      </c>
      <c r="C1372" t="s">
        <v>2426</v>
      </c>
      <c r="D1372">
        <v>4</v>
      </c>
      <c r="E1372" s="1">
        <v>47422</v>
      </c>
      <c r="F1372" t="s">
        <v>1988</v>
      </c>
      <c r="G1372" t="s">
        <v>2426</v>
      </c>
      <c r="H1372" t="s">
        <v>2</v>
      </c>
      <c r="I1372" s="1">
        <v>46224</v>
      </c>
      <c r="J1372" t="s">
        <v>1989</v>
      </c>
      <c r="K1372" t="s">
        <v>2721</v>
      </c>
      <c r="L1372" s="1">
        <v>46224.918321759258</v>
      </c>
      <c r="M1372" s="1">
        <v>46224.91962439815</v>
      </c>
    </row>
    <row r="1373" spans="1:13" x14ac:dyDescent="0.35">
      <c r="A1373" t="s">
        <v>294</v>
      </c>
      <c r="B1373" t="s">
        <v>1986</v>
      </c>
      <c r="C1373" t="s">
        <v>2426</v>
      </c>
      <c r="D1373">
        <v>4</v>
      </c>
      <c r="E1373" s="1">
        <v>47422</v>
      </c>
      <c r="F1373" t="s">
        <v>1988</v>
      </c>
      <c r="G1373" t="s">
        <v>2426</v>
      </c>
      <c r="H1373" t="s">
        <v>2</v>
      </c>
      <c r="I1373" s="1">
        <v>46224</v>
      </c>
      <c r="J1373" t="s">
        <v>2065</v>
      </c>
      <c r="K1373" t="s">
        <v>3708</v>
      </c>
      <c r="L1373" s="1">
        <v>46224.917650462965</v>
      </c>
      <c r="M1373" s="1">
        <v>46224.91962439815</v>
      </c>
    </row>
    <row r="1374" spans="1:13" x14ac:dyDescent="0.35">
      <c r="A1374" t="s">
        <v>294</v>
      </c>
      <c r="B1374" t="s">
        <v>1986</v>
      </c>
      <c r="C1374" t="s">
        <v>2426</v>
      </c>
      <c r="D1374">
        <v>4</v>
      </c>
      <c r="E1374" s="1">
        <v>47422</v>
      </c>
      <c r="F1374" t="s">
        <v>1988</v>
      </c>
      <c r="G1374" t="s">
        <v>2426</v>
      </c>
      <c r="H1374" t="s">
        <v>2</v>
      </c>
      <c r="I1374" s="1">
        <v>46224</v>
      </c>
      <c r="J1374" t="s">
        <v>2064</v>
      </c>
      <c r="K1374" t="s">
        <v>3708</v>
      </c>
      <c r="L1374" s="1">
        <v>46224.917650462965</v>
      </c>
      <c r="M1374" s="1">
        <v>46224.91962439815</v>
      </c>
    </row>
    <row r="1375" spans="1:13" x14ac:dyDescent="0.35">
      <c r="A1375" t="s">
        <v>294</v>
      </c>
      <c r="B1375" t="s">
        <v>1986</v>
      </c>
      <c r="C1375" t="s">
        <v>2426</v>
      </c>
      <c r="D1375">
        <v>4</v>
      </c>
      <c r="E1375" s="1">
        <v>47422</v>
      </c>
      <c r="F1375" t="s">
        <v>1988</v>
      </c>
      <c r="G1375" t="s">
        <v>2426</v>
      </c>
      <c r="H1375" t="s">
        <v>2</v>
      </c>
      <c r="I1375" s="1">
        <v>46224</v>
      </c>
      <c r="J1375" t="s">
        <v>1991</v>
      </c>
      <c r="K1375" t="s">
        <v>4025</v>
      </c>
      <c r="L1375" s="1">
        <v>46224.918321759258</v>
      </c>
      <c r="M1375" s="1">
        <v>46224.91962439815</v>
      </c>
    </row>
    <row r="1376" spans="1:13" x14ac:dyDescent="0.35">
      <c r="A1376" t="s">
        <v>334</v>
      </c>
      <c r="B1376" t="s">
        <v>1986</v>
      </c>
      <c r="C1376" t="s">
        <v>2504</v>
      </c>
      <c r="D1376">
        <v>4.125</v>
      </c>
      <c r="E1376" s="1">
        <v>46691</v>
      </c>
      <c r="F1376" t="s">
        <v>1988</v>
      </c>
      <c r="G1376" t="s">
        <v>2504</v>
      </c>
      <c r="H1376" t="s">
        <v>2</v>
      </c>
      <c r="I1376" s="1">
        <v>46224</v>
      </c>
      <c r="J1376" t="s">
        <v>2146</v>
      </c>
      <c r="K1376" t="s">
        <v>2926</v>
      </c>
      <c r="L1376" s="1">
        <v>46224.917650462965</v>
      </c>
      <c r="M1376" s="1">
        <v>46224.91962439815</v>
      </c>
    </row>
    <row r="1377" spans="1:13" x14ac:dyDescent="0.35">
      <c r="A1377" t="s">
        <v>334</v>
      </c>
      <c r="B1377" t="s">
        <v>1986</v>
      </c>
      <c r="C1377" t="s">
        <v>2504</v>
      </c>
      <c r="D1377">
        <v>4.125</v>
      </c>
      <c r="E1377" s="1">
        <v>46691</v>
      </c>
      <c r="F1377" t="s">
        <v>1988</v>
      </c>
      <c r="G1377" t="s">
        <v>2504</v>
      </c>
      <c r="H1377" t="s">
        <v>2</v>
      </c>
      <c r="I1377" s="1">
        <v>46224</v>
      </c>
      <c r="J1377" t="s">
        <v>1989</v>
      </c>
      <c r="K1377" t="s">
        <v>3618</v>
      </c>
      <c r="L1377" s="1">
        <v>46224.918321759258</v>
      </c>
      <c r="M1377" s="1">
        <v>46224.91962439815</v>
      </c>
    </row>
    <row r="1378" spans="1:13" x14ac:dyDescent="0.35">
      <c r="A1378" t="s">
        <v>334</v>
      </c>
      <c r="B1378" t="s">
        <v>1986</v>
      </c>
      <c r="C1378" t="s">
        <v>2504</v>
      </c>
      <c r="D1378">
        <v>4.125</v>
      </c>
      <c r="E1378" s="1">
        <v>46691</v>
      </c>
      <c r="F1378" t="s">
        <v>1988</v>
      </c>
      <c r="G1378" t="s">
        <v>2504</v>
      </c>
      <c r="H1378" t="s">
        <v>2</v>
      </c>
      <c r="I1378" s="1">
        <v>46224</v>
      </c>
      <c r="J1378" t="s">
        <v>2108</v>
      </c>
      <c r="K1378" t="s">
        <v>2926</v>
      </c>
      <c r="L1378" s="1">
        <v>46224.917650462965</v>
      </c>
      <c r="M1378" s="1">
        <v>46224.91962439815</v>
      </c>
    </row>
    <row r="1379" spans="1:13" x14ac:dyDescent="0.35">
      <c r="A1379" t="s">
        <v>334</v>
      </c>
      <c r="B1379" t="s">
        <v>1986</v>
      </c>
      <c r="C1379" t="s">
        <v>2504</v>
      </c>
      <c r="D1379">
        <v>4.125</v>
      </c>
      <c r="E1379" s="1">
        <v>46691</v>
      </c>
      <c r="F1379" t="s">
        <v>1988</v>
      </c>
      <c r="G1379" t="s">
        <v>2504</v>
      </c>
      <c r="H1379" t="s">
        <v>2</v>
      </c>
      <c r="I1379" s="1">
        <v>46224</v>
      </c>
      <c r="J1379" t="s">
        <v>2064</v>
      </c>
      <c r="K1379" t="s">
        <v>2312</v>
      </c>
      <c r="L1379" s="1">
        <v>46224.917650462965</v>
      </c>
      <c r="M1379" s="1">
        <v>46224.91962439815</v>
      </c>
    </row>
    <row r="1380" spans="1:13" x14ac:dyDescent="0.35">
      <c r="A1380" t="s">
        <v>334</v>
      </c>
      <c r="B1380" t="s">
        <v>1986</v>
      </c>
      <c r="C1380" t="s">
        <v>2504</v>
      </c>
      <c r="D1380">
        <v>4.125</v>
      </c>
      <c r="E1380" s="1">
        <v>46691</v>
      </c>
      <c r="F1380" t="s">
        <v>1988</v>
      </c>
      <c r="G1380" t="s">
        <v>2504</v>
      </c>
      <c r="H1380" t="s">
        <v>2</v>
      </c>
      <c r="I1380" s="1">
        <v>46224</v>
      </c>
      <c r="J1380" t="s">
        <v>2065</v>
      </c>
      <c r="K1380" t="s">
        <v>2312</v>
      </c>
      <c r="L1380" s="1">
        <v>46224.917650462965</v>
      </c>
      <c r="M1380" s="1">
        <v>46224.91962439815</v>
      </c>
    </row>
    <row r="1381" spans="1:13" x14ac:dyDescent="0.35">
      <c r="A1381" t="s">
        <v>334</v>
      </c>
      <c r="B1381" t="s">
        <v>1986</v>
      </c>
      <c r="C1381" t="s">
        <v>2504</v>
      </c>
      <c r="D1381">
        <v>4.125</v>
      </c>
      <c r="E1381" s="1">
        <v>46691</v>
      </c>
      <c r="F1381" t="s">
        <v>1988</v>
      </c>
      <c r="G1381" t="s">
        <v>2504</v>
      </c>
      <c r="H1381" t="s">
        <v>2</v>
      </c>
      <c r="I1381" s="1">
        <v>46224</v>
      </c>
      <c r="J1381" t="s">
        <v>1991</v>
      </c>
      <c r="K1381" t="s">
        <v>2784</v>
      </c>
      <c r="L1381" s="1">
        <v>46224.918321759258</v>
      </c>
      <c r="M1381" s="1">
        <v>46224.91962439815</v>
      </c>
    </row>
    <row r="1382" spans="1:13" x14ac:dyDescent="0.35">
      <c r="A1382" t="s">
        <v>295</v>
      </c>
      <c r="B1382" t="s">
        <v>1986</v>
      </c>
      <c r="C1382" t="s">
        <v>2428</v>
      </c>
      <c r="D1382">
        <v>4.125</v>
      </c>
      <c r="E1382" s="1">
        <v>48533</v>
      </c>
      <c r="F1382" t="s">
        <v>1988</v>
      </c>
      <c r="G1382" t="s">
        <v>2428</v>
      </c>
      <c r="H1382" t="s">
        <v>2</v>
      </c>
      <c r="I1382" s="1">
        <v>46224</v>
      </c>
      <c r="J1382" t="s">
        <v>2146</v>
      </c>
      <c r="K1382" t="s">
        <v>2991</v>
      </c>
      <c r="L1382" s="1">
        <v>46224.917650462965</v>
      </c>
      <c r="M1382" s="1">
        <v>46224.91962439815</v>
      </c>
    </row>
    <row r="1383" spans="1:13" x14ac:dyDescent="0.35">
      <c r="A1383" t="s">
        <v>295</v>
      </c>
      <c r="B1383" t="s">
        <v>1986</v>
      </c>
      <c r="C1383" t="s">
        <v>2428</v>
      </c>
      <c r="D1383">
        <v>4.125</v>
      </c>
      <c r="E1383" s="1">
        <v>48533</v>
      </c>
      <c r="F1383" t="s">
        <v>1988</v>
      </c>
      <c r="G1383" t="s">
        <v>2428</v>
      </c>
      <c r="H1383" t="s">
        <v>2</v>
      </c>
      <c r="I1383" s="1">
        <v>46224</v>
      </c>
      <c r="J1383" t="s">
        <v>2064</v>
      </c>
      <c r="K1383" t="s">
        <v>2899</v>
      </c>
      <c r="L1383" s="1">
        <v>46224.917650462965</v>
      </c>
      <c r="M1383" s="1">
        <v>46224.91962439815</v>
      </c>
    </row>
    <row r="1384" spans="1:13" x14ac:dyDescent="0.35">
      <c r="A1384" t="s">
        <v>295</v>
      </c>
      <c r="B1384" t="s">
        <v>1986</v>
      </c>
      <c r="C1384" t="s">
        <v>2428</v>
      </c>
      <c r="D1384">
        <v>4.125</v>
      </c>
      <c r="E1384" s="1">
        <v>48533</v>
      </c>
      <c r="F1384" t="s">
        <v>1988</v>
      </c>
      <c r="G1384" t="s">
        <v>2428</v>
      </c>
      <c r="H1384" t="s">
        <v>2</v>
      </c>
      <c r="I1384" s="1">
        <v>46224</v>
      </c>
      <c r="J1384" t="s">
        <v>2108</v>
      </c>
      <c r="K1384" t="s">
        <v>2991</v>
      </c>
      <c r="L1384" s="1">
        <v>46224.917650462965</v>
      </c>
      <c r="M1384" s="1">
        <v>46224.91962439815</v>
      </c>
    </row>
    <row r="1385" spans="1:13" x14ac:dyDescent="0.35">
      <c r="A1385" t="s">
        <v>295</v>
      </c>
      <c r="B1385" t="s">
        <v>1986</v>
      </c>
      <c r="C1385" t="s">
        <v>2428</v>
      </c>
      <c r="D1385">
        <v>4.125</v>
      </c>
      <c r="E1385" s="1">
        <v>48533</v>
      </c>
      <c r="F1385" t="s">
        <v>1988</v>
      </c>
      <c r="G1385" t="s">
        <v>2428</v>
      </c>
      <c r="H1385" t="s">
        <v>2</v>
      </c>
      <c r="I1385" s="1">
        <v>46224</v>
      </c>
      <c r="J1385" t="s">
        <v>2065</v>
      </c>
      <c r="K1385" t="s">
        <v>2899</v>
      </c>
      <c r="L1385" s="1">
        <v>46224.917650462965</v>
      </c>
      <c r="M1385" s="1">
        <v>46224.91962439815</v>
      </c>
    </row>
    <row r="1386" spans="1:13" x14ac:dyDescent="0.35">
      <c r="A1386" t="s">
        <v>295</v>
      </c>
      <c r="B1386" t="s">
        <v>1986</v>
      </c>
      <c r="C1386" t="s">
        <v>2428</v>
      </c>
      <c r="D1386">
        <v>4.125</v>
      </c>
      <c r="E1386" s="1">
        <v>48533</v>
      </c>
      <c r="F1386" t="s">
        <v>1988</v>
      </c>
      <c r="G1386" t="s">
        <v>2428</v>
      </c>
      <c r="H1386" t="s">
        <v>2</v>
      </c>
      <c r="I1386" s="1">
        <v>46224</v>
      </c>
      <c r="J1386" t="s">
        <v>1989</v>
      </c>
      <c r="K1386" t="s">
        <v>2666</v>
      </c>
      <c r="L1386" s="1">
        <v>46224.918321759258</v>
      </c>
      <c r="M1386" s="1">
        <v>46224.91962439815</v>
      </c>
    </row>
    <row r="1387" spans="1:13" x14ac:dyDescent="0.35">
      <c r="A1387" t="s">
        <v>295</v>
      </c>
      <c r="B1387" t="s">
        <v>1986</v>
      </c>
      <c r="C1387" t="s">
        <v>2428</v>
      </c>
      <c r="D1387">
        <v>4.125</v>
      </c>
      <c r="E1387" s="1">
        <v>48533</v>
      </c>
      <c r="F1387" t="s">
        <v>1988</v>
      </c>
      <c r="G1387" t="s">
        <v>2428</v>
      </c>
      <c r="H1387" t="s">
        <v>2</v>
      </c>
      <c r="I1387" s="1">
        <v>46224</v>
      </c>
      <c r="J1387" t="s">
        <v>1991</v>
      </c>
      <c r="K1387" t="s">
        <v>3866</v>
      </c>
      <c r="L1387" s="1">
        <v>46224.918321759258</v>
      </c>
      <c r="M1387" s="1">
        <v>46224.91962439815</v>
      </c>
    </row>
    <row r="1388" spans="1:13" x14ac:dyDescent="0.35">
      <c r="A1388" t="s">
        <v>296</v>
      </c>
      <c r="B1388" t="s">
        <v>1986</v>
      </c>
      <c r="C1388" t="s">
        <v>2430</v>
      </c>
      <c r="D1388">
        <v>3.875</v>
      </c>
      <c r="E1388" s="1">
        <v>47452</v>
      </c>
      <c r="F1388" t="s">
        <v>1988</v>
      </c>
      <c r="G1388" t="s">
        <v>2430</v>
      </c>
      <c r="H1388" t="s">
        <v>2</v>
      </c>
      <c r="I1388" s="1">
        <v>46224</v>
      </c>
      <c r="J1388" t="s">
        <v>2146</v>
      </c>
      <c r="K1388" t="s">
        <v>2561</v>
      </c>
      <c r="L1388" s="1">
        <v>46224.917650462965</v>
      </c>
      <c r="M1388" s="1">
        <v>46224.91962439815</v>
      </c>
    </row>
    <row r="1389" spans="1:13" x14ac:dyDescent="0.35">
      <c r="A1389" t="s">
        <v>296</v>
      </c>
      <c r="B1389" t="s">
        <v>1986</v>
      </c>
      <c r="C1389" t="s">
        <v>2430</v>
      </c>
      <c r="D1389">
        <v>3.875</v>
      </c>
      <c r="E1389" s="1">
        <v>47452</v>
      </c>
      <c r="F1389" t="s">
        <v>1988</v>
      </c>
      <c r="G1389" t="s">
        <v>2430</v>
      </c>
      <c r="H1389" t="s">
        <v>2</v>
      </c>
      <c r="I1389" s="1">
        <v>46224</v>
      </c>
      <c r="J1389" t="s">
        <v>2065</v>
      </c>
      <c r="K1389" t="s">
        <v>2880</v>
      </c>
      <c r="L1389" s="1">
        <v>46224.917650462965</v>
      </c>
      <c r="M1389" s="1">
        <v>46224.91962439815</v>
      </c>
    </row>
    <row r="1390" spans="1:13" x14ac:dyDescent="0.35">
      <c r="A1390" t="s">
        <v>296</v>
      </c>
      <c r="B1390" t="s">
        <v>1986</v>
      </c>
      <c r="C1390" t="s">
        <v>2430</v>
      </c>
      <c r="D1390">
        <v>3.875</v>
      </c>
      <c r="E1390" s="1">
        <v>47452</v>
      </c>
      <c r="F1390" t="s">
        <v>1988</v>
      </c>
      <c r="G1390" t="s">
        <v>2430</v>
      </c>
      <c r="H1390" t="s">
        <v>2</v>
      </c>
      <c r="I1390" s="1">
        <v>46224</v>
      </c>
      <c r="J1390" t="s">
        <v>1991</v>
      </c>
      <c r="K1390" t="s">
        <v>2964</v>
      </c>
      <c r="L1390" s="1">
        <v>46224.918321759258</v>
      </c>
      <c r="M1390" s="1">
        <v>46224.91962439815</v>
      </c>
    </row>
    <row r="1391" spans="1:13" x14ac:dyDescent="0.35">
      <c r="A1391" t="s">
        <v>296</v>
      </c>
      <c r="B1391" t="s">
        <v>1986</v>
      </c>
      <c r="C1391" t="s">
        <v>2430</v>
      </c>
      <c r="D1391">
        <v>3.875</v>
      </c>
      <c r="E1391" s="1">
        <v>47452</v>
      </c>
      <c r="F1391" t="s">
        <v>1988</v>
      </c>
      <c r="G1391" t="s">
        <v>2430</v>
      </c>
      <c r="H1391" t="s">
        <v>2</v>
      </c>
      <c r="I1391" s="1">
        <v>46224</v>
      </c>
      <c r="J1391" t="s">
        <v>2108</v>
      </c>
      <c r="K1391" t="s">
        <v>2561</v>
      </c>
      <c r="L1391" s="1">
        <v>46224.917650462965</v>
      </c>
      <c r="M1391" s="1">
        <v>46224.91962439815</v>
      </c>
    </row>
    <row r="1392" spans="1:13" x14ac:dyDescent="0.35">
      <c r="A1392" t="s">
        <v>296</v>
      </c>
      <c r="B1392" t="s">
        <v>1986</v>
      </c>
      <c r="C1392" t="s">
        <v>2430</v>
      </c>
      <c r="D1392">
        <v>3.875</v>
      </c>
      <c r="E1392" s="1">
        <v>47452</v>
      </c>
      <c r="F1392" t="s">
        <v>1988</v>
      </c>
      <c r="G1392" t="s">
        <v>2430</v>
      </c>
      <c r="H1392" t="s">
        <v>2</v>
      </c>
      <c r="I1392" s="1">
        <v>46224</v>
      </c>
      <c r="J1392" t="s">
        <v>2064</v>
      </c>
      <c r="K1392" t="s">
        <v>2880</v>
      </c>
      <c r="L1392" s="1">
        <v>46224.917650462965</v>
      </c>
      <c r="M1392" s="1">
        <v>46224.91962439815</v>
      </c>
    </row>
    <row r="1393" spans="1:13" x14ac:dyDescent="0.35">
      <c r="A1393" t="s">
        <v>296</v>
      </c>
      <c r="B1393" t="s">
        <v>1986</v>
      </c>
      <c r="C1393" t="s">
        <v>2430</v>
      </c>
      <c r="D1393">
        <v>3.875</v>
      </c>
      <c r="E1393" s="1">
        <v>47452</v>
      </c>
      <c r="F1393" t="s">
        <v>1988</v>
      </c>
      <c r="G1393" t="s">
        <v>2430</v>
      </c>
      <c r="H1393" t="s">
        <v>2</v>
      </c>
      <c r="I1393" s="1">
        <v>46224</v>
      </c>
      <c r="J1393" t="s">
        <v>1989</v>
      </c>
      <c r="K1393" t="s">
        <v>2873</v>
      </c>
      <c r="L1393" s="1">
        <v>46224.918321759258</v>
      </c>
      <c r="M1393" s="1">
        <v>46224.91962439815</v>
      </c>
    </row>
    <row r="1394" spans="1:13" x14ac:dyDescent="0.35">
      <c r="A1394" t="s">
        <v>335</v>
      </c>
      <c r="B1394" t="s">
        <v>1986</v>
      </c>
      <c r="C1394" t="s">
        <v>2432</v>
      </c>
      <c r="D1394">
        <v>3.875</v>
      </c>
      <c r="E1394" s="1">
        <v>46721</v>
      </c>
      <c r="F1394" t="s">
        <v>1988</v>
      </c>
      <c r="G1394" t="s">
        <v>2432</v>
      </c>
      <c r="H1394" t="s">
        <v>2</v>
      </c>
      <c r="I1394" s="1">
        <v>46224</v>
      </c>
      <c r="J1394" t="s">
        <v>1991</v>
      </c>
      <c r="K1394" t="s">
        <v>2412</v>
      </c>
      <c r="L1394" s="1">
        <v>46224.918321759258</v>
      </c>
      <c r="M1394" s="1">
        <v>46224.91962439815</v>
      </c>
    </row>
    <row r="1395" spans="1:13" x14ac:dyDescent="0.35">
      <c r="A1395" t="s">
        <v>335</v>
      </c>
      <c r="B1395" t="s">
        <v>1986</v>
      </c>
      <c r="C1395" t="s">
        <v>2432</v>
      </c>
      <c r="D1395">
        <v>3.875</v>
      </c>
      <c r="E1395" s="1">
        <v>46721</v>
      </c>
      <c r="F1395" t="s">
        <v>1988</v>
      </c>
      <c r="G1395" t="s">
        <v>2432</v>
      </c>
      <c r="H1395" t="s">
        <v>2</v>
      </c>
      <c r="I1395" s="1">
        <v>46224</v>
      </c>
      <c r="J1395" t="s">
        <v>2108</v>
      </c>
      <c r="K1395" t="s">
        <v>2317</v>
      </c>
      <c r="L1395" s="1">
        <v>46224.917650462965</v>
      </c>
      <c r="M1395" s="1">
        <v>46224.91962439815</v>
      </c>
    </row>
    <row r="1396" spans="1:13" x14ac:dyDescent="0.35">
      <c r="A1396" t="s">
        <v>335</v>
      </c>
      <c r="B1396" t="s">
        <v>1986</v>
      </c>
      <c r="C1396" t="s">
        <v>2432</v>
      </c>
      <c r="D1396">
        <v>3.875</v>
      </c>
      <c r="E1396" s="1">
        <v>46721</v>
      </c>
      <c r="F1396" t="s">
        <v>1988</v>
      </c>
      <c r="G1396" t="s">
        <v>2432</v>
      </c>
      <c r="H1396" t="s">
        <v>2</v>
      </c>
      <c r="I1396" s="1">
        <v>46224</v>
      </c>
      <c r="J1396" t="s">
        <v>2064</v>
      </c>
      <c r="K1396" t="s">
        <v>2459</v>
      </c>
      <c r="L1396" s="1">
        <v>46224.917650462965</v>
      </c>
      <c r="M1396" s="1">
        <v>46224.91962439815</v>
      </c>
    </row>
    <row r="1397" spans="1:13" x14ac:dyDescent="0.35">
      <c r="A1397" t="s">
        <v>335</v>
      </c>
      <c r="B1397" t="s">
        <v>1986</v>
      </c>
      <c r="C1397" t="s">
        <v>2432</v>
      </c>
      <c r="D1397">
        <v>3.875</v>
      </c>
      <c r="E1397" s="1">
        <v>46721</v>
      </c>
      <c r="F1397" t="s">
        <v>1988</v>
      </c>
      <c r="G1397" t="s">
        <v>2432</v>
      </c>
      <c r="H1397" t="s">
        <v>2</v>
      </c>
      <c r="I1397" s="1">
        <v>46224</v>
      </c>
      <c r="J1397" t="s">
        <v>2065</v>
      </c>
      <c r="K1397" t="s">
        <v>2459</v>
      </c>
      <c r="L1397" s="1">
        <v>46224.917650462965</v>
      </c>
      <c r="M1397" s="1">
        <v>46224.91962439815</v>
      </c>
    </row>
    <row r="1398" spans="1:13" x14ac:dyDescent="0.35">
      <c r="A1398" t="s">
        <v>335</v>
      </c>
      <c r="B1398" t="s">
        <v>1986</v>
      </c>
      <c r="C1398" t="s">
        <v>2432</v>
      </c>
      <c r="D1398">
        <v>3.875</v>
      </c>
      <c r="E1398" s="1">
        <v>46721</v>
      </c>
      <c r="F1398" t="s">
        <v>1988</v>
      </c>
      <c r="G1398" t="s">
        <v>2432</v>
      </c>
      <c r="H1398" t="s">
        <v>2</v>
      </c>
      <c r="I1398" s="1">
        <v>46224</v>
      </c>
      <c r="J1398" t="s">
        <v>2146</v>
      </c>
      <c r="K1398" t="s">
        <v>2317</v>
      </c>
      <c r="L1398" s="1">
        <v>46224.917650462965</v>
      </c>
      <c r="M1398" s="1">
        <v>46224.91962439815</v>
      </c>
    </row>
    <row r="1399" spans="1:13" x14ac:dyDescent="0.35">
      <c r="A1399" t="s">
        <v>335</v>
      </c>
      <c r="B1399" t="s">
        <v>1986</v>
      </c>
      <c r="C1399" t="s">
        <v>2432</v>
      </c>
      <c r="D1399">
        <v>3.875</v>
      </c>
      <c r="E1399" s="1">
        <v>46721</v>
      </c>
      <c r="F1399" t="s">
        <v>1988</v>
      </c>
      <c r="G1399" t="s">
        <v>2432</v>
      </c>
      <c r="H1399" t="s">
        <v>2</v>
      </c>
      <c r="I1399" s="1">
        <v>46224</v>
      </c>
      <c r="J1399" t="s">
        <v>1989</v>
      </c>
      <c r="K1399" t="s">
        <v>2885</v>
      </c>
      <c r="L1399" s="1">
        <v>46224.918321759258</v>
      </c>
      <c r="M1399" s="1">
        <v>46224.91962439815</v>
      </c>
    </row>
    <row r="1400" spans="1:13" x14ac:dyDescent="0.35">
      <c r="A1400" t="s">
        <v>297</v>
      </c>
      <c r="B1400" t="s">
        <v>1986</v>
      </c>
      <c r="C1400" t="s">
        <v>2505</v>
      </c>
      <c r="D1400">
        <v>3.875</v>
      </c>
      <c r="E1400" s="1">
        <v>47483</v>
      </c>
      <c r="F1400" t="s">
        <v>1988</v>
      </c>
      <c r="G1400" t="s">
        <v>2505</v>
      </c>
      <c r="H1400" t="s">
        <v>2</v>
      </c>
      <c r="I1400" s="1">
        <v>46224</v>
      </c>
      <c r="J1400" t="s">
        <v>1989</v>
      </c>
      <c r="K1400" t="s">
        <v>2467</v>
      </c>
      <c r="L1400" s="1">
        <v>46224.918321759258</v>
      </c>
      <c r="M1400" s="1">
        <v>46224.91962439815</v>
      </c>
    </row>
    <row r="1401" spans="1:13" x14ac:dyDescent="0.35">
      <c r="A1401" t="s">
        <v>297</v>
      </c>
      <c r="B1401" t="s">
        <v>1986</v>
      </c>
      <c r="C1401" t="s">
        <v>2505</v>
      </c>
      <c r="D1401">
        <v>3.875</v>
      </c>
      <c r="E1401" s="1">
        <v>47483</v>
      </c>
      <c r="F1401" t="s">
        <v>1988</v>
      </c>
      <c r="G1401" t="s">
        <v>2505</v>
      </c>
      <c r="H1401" t="s">
        <v>2</v>
      </c>
      <c r="I1401" s="1">
        <v>46224</v>
      </c>
      <c r="J1401" t="s">
        <v>2064</v>
      </c>
      <c r="K1401" t="s">
        <v>3629</v>
      </c>
      <c r="L1401" s="1">
        <v>46224.917650462965</v>
      </c>
      <c r="M1401" s="1">
        <v>46224.91962439815</v>
      </c>
    </row>
    <row r="1402" spans="1:13" x14ac:dyDescent="0.35">
      <c r="A1402" t="s">
        <v>297</v>
      </c>
      <c r="B1402" t="s">
        <v>1986</v>
      </c>
      <c r="C1402" t="s">
        <v>2505</v>
      </c>
      <c r="D1402">
        <v>3.875</v>
      </c>
      <c r="E1402" s="1">
        <v>47483</v>
      </c>
      <c r="F1402" t="s">
        <v>1988</v>
      </c>
      <c r="G1402" t="s">
        <v>2505</v>
      </c>
      <c r="H1402" t="s">
        <v>2</v>
      </c>
      <c r="I1402" s="1">
        <v>46224</v>
      </c>
      <c r="J1402" t="s">
        <v>2146</v>
      </c>
      <c r="K1402" t="s">
        <v>3708</v>
      </c>
      <c r="L1402" s="1">
        <v>46224.917650462965</v>
      </c>
      <c r="M1402" s="1">
        <v>46224.91962439815</v>
      </c>
    </row>
    <row r="1403" spans="1:13" x14ac:dyDescent="0.35">
      <c r="A1403" t="s">
        <v>297</v>
      </c>
      <c r="B1403" t="s">
        <v>1986</v>
      </c>
      <c r="C1403" t="s">
        <v>2505</v>
      </c>
      <c r="D1403">
        <v>3.875</v>
      </c>
      <c r="E1403" s="1">
        <v>47483</v>
      </c>
      <c r="F1403" t="s">
        <v>1988</v>
      </c>
      <c r="G1403" t="s">
        <v>2505</v>
      </c>
      <c r="H1403" t="s">
        <v>2</v>
      </c>
      <c r="I1403" s="1">
        <v>46224</v>
      </c>
      <c r="J1403" t="s">
        <v>2065</v>
      </c>
      <c r="K1403" t="s">
        <v>3629</v>
      </c>
      <c r="L1403" s="1">
        <v>46224.917650462965</v>
      </c>
      <c r="M1403" s="1">
        <v>46224.91962439815</v>
      </c>
    </row>
    <row r="1404" spans="1:13" x14ac:dyDescent="0.35">
      <c r="A1404" t="s">
        <v>297</v>
      </c>
      <c r="B1404" t="s">
        <v>1986</v>
      </c>
      <c r="C1404" t="s">
        <v>2505</v>
      </c>
      <c r="D1404">
        <v>3.875</v>
      </c>
      <c r="E1404" s="1">
        <v>47483</v>
      </c>
      <c r="F1404" t="s">
        <v>1988</v>
      </c>
      <c r="G1404" t="s">
        <v>2505</v>
      </c>
      <c r="H1404" t="s">
        <v>2</v>
      </c>
      <c r="I1404" s="1">
        <v>46224</v>
      </c>
      <c r="J1404" t="s">
        <v>2108</v>
      </c>
      <c r="K1404" t="s">
        <v>3708</v>
      </c>
      <c r="L1404" s="1">
        <v>46224.917650462965</v>
      </c>
      <c r="M1404" s="1">
        <v>46224.91962439815</v>
      </c>
    </row>
    <row r="1405" spans="1:13" x14ac:dyDescent="0.35">
      <c r="A1405" t="s">
        <v>297</v>
      </c>
      <c r="B1405" t="s">
        <v>1986</v>
      </c>
      <c r="C1405" t="s">
        <v>2505</v>
      </c>
      <c r="D1405">
        <v>3.875</v>
      </c>
      <c r="E1405" s="1">
        <v>47483</v>
      </c>
      <c r="F1405" t="s">
        <v>1988</v>
      </c>
      <c r="G1405" t="s">
        <v>2505</v>
      </c>
      <c r="H1405" t="s">
        <v>2</v>
      </c>
      <c r="I1405" s="1">
        <v>46224</v>
      </c>
      <c r="J1405" t="s">
        <v>1991</v>
      </c>
      <c r="K1405" t="s">
        <v>4134</v>
      </c>
      <c r="L1405" s="1">
        <v>46224.918321759258</v>
      </c>
      <c r="M1405" s="1">
        <v>46224.91962439815</v>
      </c>
    </row>
    <row r="1406" spans="1:13" x14ac:dyDescent="0.35">
      <c r="A1406" t="s">
        <v>298</v>
      </c>
      <c r="B1406" t="s">
        <v>1986</v>
      </c>
      <c r="C1406" t="s">
        <v>2433</v>
      </c>
      <c r="D1406">
        <v>3.875</v>
      </c>
      <c r="E1406" s="1">
        <v>46752</v>
      </c>
      <c r="F1406" t="s">
        <v>1988</v>
      </c>
      <c r="G1406" t="s">
        <v>2433</v>
      </c>
      <c r="H1406" t="s">
        <v>2</v>
      </c>
      <c r="I1406" s="1">
        <v>46224</v>
      </c>
      <c r="J1406" t="s">
        <v>1989</v>
      </c>
      <c r="K1406" t="s">
        <v>2967</v>
      </c>
      <c r="L1406" s="1">
        <v>46224.918321759258</v>
      </c>
      <c r="M1406" s="1">
        <v>46224.91962439815</v>
      </c>
    </row>
    <row r="1407" spans="1:13" x14ac:dyDescent="0.35">
      <c r="A1407" t="s">
        <v>298</v>
      </c>
      <c r="B1407" t="s">
        <v>1986</v>
      </c>
      <c r="C1407" t="s">
        <v>2433</v>
      </c>
      <c r="D1407">
        <v>3.875</v>
      </c>
      <c r="E1407" s="1">
        <v>46752</v>
      </c>
      <c r="F1407" t="s">
        <v>1988</v>
      </c>
      <c r="G1407" t="s">
        <v>2433</v>
      </c>
      <c r="H1407" t="s">
        <v>2</v>
      </c>
      <c r="I1407" s="1">
        <v>46224</v>
      </c>
      <c r="J1407" t="s">
        <v>2108</v>
      </c>
      <c r="K1407" t="s">
        <v>2376</v>
      </c>
      <c r="L1407" s="1">
        <v>46224.917650462965</v>
      </c>
      <c r="M1407" s="1">
        <v>46224.91962439815</v>
      </c>
    </row>
    <row r="1408" spans="1:13" x14ac:dyDescent="0.35">
      <c r="A1408" t="s">
        <v>298</v>
      </c>
      <c r="B1408" t="s">
        <v>1986</v>
      </c>
      <c r="C1408" t="s">
        <v>2433</v>
      </c>
      <c r="D1408">
        <v>3.875</v>
      </c>
      <c r="E1408" s="1">
        <v>46752</v>
      </c>
      <c r="F1408" t="s">
        <v>1988</v>
      </c>
      <c r="G1408" t="s">
        <v>2433</v>
      </c>
      <c r="H1408" t="s">
        <v>2</v>
      </c>
      <c r="I1408" s="1">
        <v>46224</v>
      </c>
      <c r="J1408" t="s">
        <v>2065</v>
      </c>
      <c r="K1408" t="s">
        <v>3455</v>
      </c>
      <c r="L1408" s="1">
        <v>46224.917650462965</v>
      </c>
      <c r="M1408" s="1">
        <v>46224.91962439815</v>
      </c>
    </row>
    <row r="1409" spans="1:13" x14ac:dyDescent="0.35">
      <c r="A1409" t="s">
        <v>298</v>
      </c>
      <c r="B1409" t="s">
        <v>1986</v>
      </c>
      <c r="C1409" t="s">
        <v>2433</v>
      </c>
      <c r="D1409">
        <v>3.875</v>
      </c>
      <c r="E1409" s="1">
        <v>46752</v>
      </c>
      <c r="F1409" t="s">
        <v>1988</v>
      </c>
      <c r="G1409" t="s">
        <v>2433</v>
      </c>
      <c r="H1409" t="s">
        <v>2</v>
      </c>
      <c r="I1409" s="1">
        <v>46224</v>
      </c>
      <c r="J1409" t="s">
        <v>1991</v>
      </c>
      <c r="K1409" t="s">
        <v>2951</v>
      </c>
      <c r="L1409" s="1">
        <v>46224.918321759258</v>
      </c>
      <c r="M1409" s="1">
        <v>46224.91962439815</v>
      </c>
    </row>
    <row r="1410" spans="1:13" x14ac:dyDescent="0.35">
      <c r="A1410" t="s">
        <v>298</v>
      </c>
      <c r="B1410" t="s">
        <v>1986</v>
      </c>
      <c r="C1410" t="s">
        <v>2433</v>
      </c>
      <c r="D1410">
        <v>3.875</v>
      </c>
      <c r="E1410" s="1">
        <v>46752</v>
      </c>
      <c r="F1410" t="s">
        <v>1988</v>
      </c>
      <c r="G1410" t="s">
        <v>2433</v>
      </c>
      <c r="H1410" t="s">
        <v>2</v>
      </c>
      <c r="I1410" s="1">
        <v>46224</v>
      </c>
      <c r="J1410" t="s">
        <v>2064</v>
      </c>
      <c r="K1410" t="s">
        <v>3455</v>
      </c>
      <c r="L1410" s="1">
        <v>46224.917650462965</v>
      </c>
      <c r="M1410" s="1">
        <v>46224.91962439815</v>
      </c>
    </row>
    <row r="1411" spans="1:13" x14ac:dyDescent="0.35">
      <c r="A1411" t="s">
        <v>298</v>
      </c>
      <c r="B1411" t="s">
        <v>1986</v>
      </c>
      <c r="C1411" t="s">
        <v>2433</v>
      </c>
      <c r="D1411">
        <v>3.875</v>
      </c>
      <c r="E1411" s="1">
        <v>46752</v>
      </c>
      <c r="F1411" t="s">
        <v>1988</v>
      </c>
      <c r="G1411" t="s">
        <v>2433</v>
      </c>
      <c r="H1411" t="s">
        <v>2</v>
      </c>
      <c r="I1411" s="1">
        <v>46224</v>
      </c>
      <c r="J1411" t="s">
        <v>2146</v>
      </c>
      <c r="K1411" t="s">
        <v>2376</v>
      </c>
      <c r="L1411" s="1">
        <v>46224.917650462965</v>
      </c>
      <c r="M1411" s="1">
        <v>46224.91962439815</v>
      </c>
    </row>
    <row r="1412" spans="1:13" x14ac:dyDescent="0.35">
      <c r="A1412" t="s">
        <v>328</v>
      </c>
      <c r="B1412" t="s">
        <v>1986</v>
      </c>
      <c r="C1412" t="s">
        <v>2434</v>
      </c>
      <c r="D1412">
        <v>3.5</v>
      </c>
      <c r="E1412" s="1">
        <v>46783</v>
      </c>
      <c r="F1412" t="s">
        <v>1988</v>
      </c>
      <c r="G1412" t="s">
        <v>2434</v>
      </c>
      <c r="H1412" t="s">
        <v>2</v>
      </c>
      <c r="I1412" s="1">
        <v>46224</v>
      </c>
      <c r="J1412" t="s">
        <v>1991</v>
      </c>
      <c r="K1412" t="s">
        <v>2952</v>
      </c>
      <c r="L1412" s="1">
        <v>46224.918321759258</v>
      </c>
      <c r="M1412" s="1">
        <v>46224.91962439815</v>
      </c>
    </row>
    <row r="1413" spans="1:13" x14ac:dyDescent="0.35">
      <c r="A1413" t="s">
        <v>328</v>
      </c>
      <c r="B1413" t="s">
        <v>1986</v>
      </c>
      <c r="C1413" t="s">
        <v>2434</v>
      </c>
      <c r="D1413">
        <v>3.5</v>
      </c>
      <c r="E1413" s="1">
        <v>46783</v>
      </c>
      <c r="F1413" t="s">
        <v>1988</v>
      </c>
      <c r="G1413" t="s">
        <v>2434</v>
      </c>
      <c r="H1413" t="s">
        <v>2</v>
      </c>
      <c r="I1413" s="1">
        <v>46224</v>
      </c>
      <c r="J1413" t="s">
        <v>2064</v>
      </c>
      <c r="K1413" t="s">
        <v>2338</v>
      </c>
      <c r="L1413" s="1">
        <v>46224.917650462965</v>
      </c>
      <c r="M1413" s="1">
        <v>46224.91962439815</v>
      </c>
    </row>
    <row r="1414" spans="1:13" x14ac:dyDescent="0.35">
      <c r="A1414" t="s">
        <v>328</v>
      </c>
      <c r="B1414" t="s">
        <v>1986</v>
      </c>
      <c r="C1414" t="s">
        <v>2434</v>
      </c>
      <c r="D1414">
        <v>3.5</v>
      </c>
      <c r="E1414" s="1">
        <v>46783</v>
      </c>
      <c r="F1414" t="s">
        <v>1988</v>
      </c>
      <c r="G1414" t="s">
        <v>2434</v>
      </c>
      <c r="H1414" t="s">
        <v>2</v>
      </c>
      <c r="I1414" s="1">
        <v>46224</v>
      </c>
      <c r="J1414" t="s">
        <v>2146</v>
      </c>
      <c r="K1414" t="s">
        <v>3820</v>
      </c>
      <c r="L1414" s="1">
        <v>46224.917650462965</v>
      </c>
      <c r="M1414" s="1">
        <v>46224.91962439815</v>
      </c>
    </row>
    <row r="1415" spans="1:13" x14ac:dyDescent="0.35">
      <c r="A1415" t="s">
        <v>328</v>
      </c>
      <c r="B1415" t="s">
        <v>1986</v>
      </c>
      <c r="C1415" t="s">
        <v>2434</v>
      </c>
      <c r="D1415">
        <v>3.5</v>
      </c>
      <c r="E1415" s="1">
        <v>46783</v>
      </c>
      <c r="F1415" t="s">
        <v>1988</v>
      </c>
      <c r="G1415" t="s">
        <v>2434</v>
      </c>
      <c r="H1415" t="s">
        <v>2</v>
      </c>
      <c r="I1415" s="1">
        <v>46224</v>
      </c>
      <c r="J1415" t="s">
        <v>1989</v>
      </c>
      <c r="K1415" t="s">
        <v>2901</v>
      </c>
      <c r="L1415" s="1">
        <v>46224.918321759258</v>
      </c>
      <c r="M1415" s="1">
        <v>46224.91962439815</v>
      </c>
    </row>
    <row r="1416" spans="1:13" x14ac:dyDescent="0.35">
      <c r="A1416" t="s">
        <v>328</v>
      </c>
      <c r="B1416" t="s">
        <v>1986</v>
      </c>
      <c r="C1416" t="s">
        <v>2434</v>
      </c>
      <c r="D1416">
        <v>3.5</v>
      </c>
      <c r="E1416" s="1">
        <v>46783</v>
      </c>
      <c r="F1416" t="s">
        <v>1988</v>
      </c>
      <c r="G1416" t="s">
        <v>2434</v>
      </c>
      <c r="H1416" t="s">
        <v>2</v>
      </c>
      <c r="I1416" s="1">
        <v>46224</v>
      </c>
      <c r="J1416" t="s">
        <v>2108</v>
      </c>
      <c r="K1416" t="s">
        <v>3820</v>
      </c>
      <c r="L1416" s="1">
        <v>46224.917650462965</v>
      </c>
      <c r="M1416" s="1">
        <v>46224.91962439815</v>
      </c>
    </row>
    <row r="1417" spans="1:13" x14ac:dyDescent="0.35">
      <c r="A1417" t="s">
        <v>328</v>
      </c>
      <c r="B1417" t="s">
        <v>1986</v>
      </c>
      <c r="C1417" t="s">
        <v>2434</v>
      </c>
      <c r="D1417">
        <v>3.5</v>
      </c>
      <c r="E1417" s="1">
        <v>46783</v>
      </c>
      <c r="F1417" t="s">
        <v>1988</v>
      </c>
      <c r="G1417" t="s">
        <v>2434</v>
      </c>
      <c r="H1417" t="s">
        <v>2</v>
      </c>
      <c r="I1417" s="1">
        <v>46224</v>
      </c>
      <c r="J1417" t="s">
        <v>2065</v>
      </c>
      <c r="K1417" t="s">
        <v>2338</v>
      </c>
      <c r="L1417" s="1">
        <v>46224.917650462965</v>
      </c>
      <c r="M1417" s="1">
        <v>46224.91962439815</v>
      </c>
    </row>
    <row r="1418" spans="1:13" x14ac:dyDescent="0.35">
      <c r="A1418" t="s">
        <v>299</v>
      </c>
      <c r="B1418" t="s">
        <v>1986</v>
      </c>
      <c r="C1418" t="s">
        <v>2435</v>
      </c>
      <c r="D1418">
        <v>3.5</v>
      </c>
      <c r="E1418" s="1">
        <v>47514</v>
      </c>
      <c r="F1418" t="s">
        <v>1988</v>
      </c>
      <c r="G1418" t="s">
        <v>2435</v>
      </c>
      <c r="H1418" t="s">
        <v>2</v>
      </c>
      <c r="I1418" s="1">
        <v>46224</v>
      </c>
      <c r="J1418" t="s">
        <v>2064</v>
      </c>
      <c r="K1418" t="s">
        <v>2612</v>
      </c>
      <c r="L1418" s="1">
        <v>46224.917650462965</v>
      </c>
      <c r="M1418" s="1">
        <v>46224.91962439815</v>
      </c>
    </row>
    <row r="1419" spans="1:13" x14ac:dyDescent="0.35">
      <c r="A1419" t="s">
        <v>299</v>
      </c>
      <c r="B1419" t="s">
        <v>1986</v>
      </c>
      <c r="C1419" t="s">
        <v>2435</v>
      </c>
      <c r="D1419">
        <v>3.5</v>
      </c>
      <c r="E1419" s="1">
        <v>47514</v>
      </c>
      <c r="F1419" t="s">
        <v>1988</v>
      </c>
      <c r="G1419" t="s">
        <v>2435</v>
      </c>
      <c r="H1419" t="s">
        <v>2</v>
      </c>
      <c r="I1419" s="1">
        <v>46224</v>
      </c>
      <c r="J1419" t="s">
        <v>2146</v>
      </c>
      <c r="K1419" t="s">
        <v>2917</v>
      </c>
      <c r="L1419" s="1">
        <v>46224.917650462965</v>
      </c>
      <c r="M1419" s="1">
        <v>46224.91962439815</v>
      </c>
    </row>
    <row r="1420" spans="1:13" x14ac:dyDescent="0.35">
      <c r="A1420" t="s">
        <v>299</v>
      </c>
      <c r="B1420" t="s">
        <v>1986</v>
      </c>
      <c r="C1420" t="s">
        <v>2435</v>
      </c>
      <c r="D1420">
        <v>3.5</v>
      </c>
      <c r="E1420" s="1">
        <v>47514</v>
      </c>
      <c r="F1420" t="s">
        <v>1988</v>
      </c>
      <c r="G1420" t="s">
        <v>2435</v>
      </c>
      <c r="H1420" t="s">
        <v>2</v>
      </c>
      <c r="I1420" s="1">
        <v>46224</v>
      </c>
      <c r="J1420" t="s">
        <v>1989</v>
      </c>
      <c r="K1420" t="s">
        <v>4135</v>
      </c>
      <c r="L1420" s="1">
        <v>46224.918321759258</v>
      </c>
      <c r="M1420" s="1">
        <v>46224.91962439815</v>
      </c>
    </row>
    <row r="1421" spans="1:13" x14ac:dyDescent="0.35">
      <c r="A1421" t="s">
        <v>299</v>
      </c>
      <c r="B1421" t="s">
        <v>1986</v>
      </c>
      <c r="C1421" t="s">
        <v>2435</v>
      </c>
      <c r="D1421">
        <v>3.5</v>
      </c>
      <c r="E1421" s="1">
        <v>47514</v>
      </c>
      <c r="F1421" t="s">
        <v>1988</v>
      </c>
      <c r="G1421" t="s">
        <v>2435</v>
      </c>
      <c r="H1421" t="s">
        <v>2</v>
      </c>
      <c r="I1421" s="1">
        <v>46224</v>
      </c>
      <c r="J1421" t="s">
        <v>2108</v>
      </c>
      <c r="K1421" t="s">
        <v>2917</v>
      </c>
      <c r="L1421" s="1">
        <v>46224.917650462965</v>
      </c>
      <c r="M1421" s="1">
        <v>46224.91962439815</v>
      </c>
    </row>
    <row r="1422" spans="1:13" x14ac:dyDescent="0.35">
      <c r="A1422" t="s">
        <v>299</v>
      </c>
      <c r="B1422" t="s">
        <v>1986</v>
      </c>
      <c r="C1422" t="s">
        <v>2435</v>
      </c>
      <c r="D1422">
        <v>3.5</v>
      </c>
      <c r="E1422" s="1">
        <v>47514</v>
      </c>
      <c r="F1422" t="s">
        <v>1988</v>
      </c>
      <c r="G1422" t="s">
        <v>2435</v>
      </c>
      <c r="H1422" t="s">
        <v>2</v>
      </c>
      <c r="I1422" s="1">
        <v>46224</v>
      </c>
      <c r="J1422" t="s">
        <v>1991</v>
      </c>
      <c r="K1422" t="s">
        <v>3006</v>
      </c>
      <c r="L1422" s="1">
        <v>46224.918321759258</v>
      </c>
      <c r="M1422" s="1">
        <v>46224.91962439815</v>
      </c>
    </row>
    <row r="1423" spans="1:13" x14ac:dyDescent="0.35">
      <c r="A1423" t="s">
        <v>299</v>
      </c>
      <c r="B1423" t="s">
        <v>1986</v>
      </c>
      <c r="C1423" t="s">
        <v>2435</v>
      </c>
      <c r="D1423">
        <v>3.5</v>
      </c>
      <c r="E1423" s="1">
        <v>47514</v>
      </c>
      <c r="F1423" t="s">
        <v>1988</v>
      </c>
      <c r="G1423" t="s">
        <v>2435</v>
      </c>
      <c r="H1423" t="s">
        <v>2</v>
      </c>
      <c r="I1423" s="1">
        <v>46224</v>
      </c>
      <c r="J1423" t="s">
        <v>2065</v>
      </c>
      <c r="K1423" t="s">
        <v>2612</v>
      </c>
      <c r="L1423" s="1">
        <v>46224.917650462965</v>
      </c>
      <c r="M1423" s="1">
        <v>46224.91962439815</v>
      </c>
    </row>
    <row r="1424" spans="1:13" x14ac:dyDescent="0.35">
      <c r="A1424" t="s">
        <v>300</v>
      </c>
      <c r="B1424" t="s">
        <v>1986</v>
      </c>
      <c r="C1424" t="s">
        <v>2506</v>
      </c>
      <c r="D1424">
        <v>1.125</v>
      </c>
      <c r="E1424" s="1">
        <v>48594</v>
      </c>
      <c r="F1424" t="s">
        <v>2014</v>
      </c>
      <c r="G1424" t="s">
        <v>2506</v>
      </c>
      <c r="H1424" t="s">
        <v>2</v>
      </c>
      <c r="I1424" s="1">
        <v>46224</v>
      </c>
      <c r="J1424" t="s">
        <v>1989</v>
      </c>
      <c r="K1424" t="s">
        <v>3535</v>
      </c>
      <c r="L1424" s="1">
        <v>46224.918321759258</v>
      </c>
      <c r="M1424" s="1">
        <v>46224.91962439815</v>
      </c>
    </row>
    <row r="1425" spans="1:13" x14ac:dyDescent="0.35">
      <c r="A1425" t="s">
        <v>300</v>
      </c>
      <c r="B1425" t="s">
        <v>1986</v>
      </c>
      <c r="C1425" t="s">
        <v>2506</v>
      </c>
      <c r="D1425">
        <v>1.125</v>
      </c>
      <c r="E1425" s="1">
        <v>48594</v>
      </c>
      <c r="F1425" t="s">
        <v>2014</v>
      </c>
      <c r="G1425" t="s">
        <v>2506</v>
      </c>
      <c r="H1425" t="s">
        <v>2</v>
      </c>
      <c r="I1425" s="1">
        <v>46224</v>
      </c>
      <c r="J1425" t="s">
        <v>1991</v>
      </c>
      <c r="K1425" t="s">
        <v>3619</v>
      </c>
      <c r="L1425" s="1">
        <v>46224.918321759258</v>
      </c>
      <c r="M1425" s="1">
        <v>46224.91962439815</v>
      </c>
    </row>
    <row r="1426" spans="1:13" x14ac:dyDescent="0.35">
      <c r="A1426" t="s">
        <v>300</v>
      </c>
      <c r="B1426" t="s">
        <v>1986</v>
      </c>
      <c r="C1426" t="s">
        <v>2506</v>
      </c>
      <c r="D1426">
        <v>1.125</v>
      </c>
      <c r="E1426" s="1">
        <v>48594</v>
      </c>
      <c r="F1426" t="s">
        <v>2014</v>
      </c>
      <c r="G1426" t="s">
        <v>2506</v>
      </c>
      <c r="H1426" t="s">
        <v>2</v>
      </c>
      <c r="I1426" s="1">
        <v>46224</v>
      </c>
      <c r="J1426" t="s">
        <v>2146</v>
      </c>
      <c r="K1426" t="s">
        <v>4026</v>
      </c>
      <c r="L1426" s="1">
        <v>46224.917650462965</v>
      </c>
      <c r="M1426" s="1">
        <v>46224.91962439815</v>
      </c>
    </row>
    <row r="1427" spans="1:13" x14ac:dyDescent="0.35">
      <c r="A1427" t="s">
        <v>300</v>
      </c>
      <c r="B1427" t="s">
        <v>1986</v>
      </c>
      <c r="C1427" t="s">
        <v>2506</v>
      </c>
      <c r="D1427">
        <v>1.125</v>
      </c>
      <c r="E1427" s="1">
        <v>48594</v>
      </c>
      <c r="F1427" t="s">
        <v>2014</v>
      </c>
      <c r="G1427" t="s">
        <v>2506</v>
      </c>
      <c r="H1427" t="s">
        <v>2</v>
      </c>
      <c r="I1427" s="1">
        <v>46224</v>
      </c>
      <c r="J1427" t="s">
        <v>2108</v>
      </c>
      <c r="K1427" t="s">
        <v>4026</v>
      </c>
      <c r="L1427" s="1">
        <v>46224.917650462965</v>
      </c>
      <c r="M1427" s="1">
        <v>46224.91962439815</v>
      </c>
    </row>
    <row r="1428" spans="1:13" x14ac:dyDescent="0.35">
      <c r="A1428" t="s">
        <v>300</v>
      </c>
      <c r="B1428" t="s">
        <v>1986</v>
      </c>
      <c r="C1428" t="s">
        <v>2506</v>
      </c>
      <c r="D1428">
        <v>1.125</v>
      </c>
      <c r="E1428" s="1">
        <v>48594</v>
      </c>
      <c r="F1428" t="s">
        <v>2014</v>
      </c>
      <c r="G1428" t="s">
        <v>2506</v>
      </c>
      <c r="H1428" t="s">
        <v>2</v>
      </c>
      <c r="I1428" s="1">
        <v>46224</v>
      </c>
      <c r="J1428" t="s">
        <v>2065</v>
      </c>
      <c r="K1428" t="s">
        <v>3894</v>
      </c>
      <c r="L1428" s="1">
        <v>46224.917650462965</v>
      </c>
      <c r="M1428" s="1">
        <v>46224.91962439815</v>
      </c>
    </row>
    <row r="1429" spans="1:13" x14ac:dyDescent="0.35">
      <c r="A1429" t="s">
        <v>300</v>
      </c>
      <c r="B1429" t="s">
        <v>1986</v>
      </c>
      <c r="C1429" t="s">
        <v>2506</v>
      </c>
      <c r="D1429">
        <v>1.125</v>
      </c>
      <c r="E1429" s="1">
        <v>48594</v>
      </c>
      <c r="F1429" t="s">
        <v>2014</v>
      </c>
      <c r="G1429" t="s">
        <v>2506</v>
      </c>
      <c r="H1429" t="s">
        <v>2</v>
      </c>
      <c r="I1429" s="1">
        <v>46224</v>
      </c>
      <c r="J1429" t="s">
        <v>2064</v>
      </c>
      <c r="K1429" t="s">
        <v>3894</v>
      </c>
      <c r="L1429" s="1">
        <v>46224.917650462965</v>
      </c>
      <c r="M1429" s="1">
        <v>46224.91962439815</v>
      </c>
    </row>
    <row r="1430" spans="1:13" x14ac:dyDescent="0.35">
      <c r="A1430" t="s">
        <v>301</v>
      </c>
      <c r="B1430" t="s">
        <v>1986</v>
      </c>
      <c r="C1430" t="s">
        <v>2507</v>
      </c>
      <c r="D1430">
        <v>3.5</v>
      </c>
      <c r="E1430" s="1">
        <v>48625</v>
      </c>
      <c r="F1430" t="s">
        <v>1988</v>
      </c>
      <c r="G1430" t="s">
        <v>2507</v>
      </c>
      <c r="H1430" t="s">
        <v>2</v>
      </c>
      <c r="I1430" s="1">
        <v>46224</v>
      </c>
      <c r="J1430" t="s">
        <v>1991</v>
      </c>
      <c r="K1430" t="s">
        <v>3821</v>
      </c>
      <c r="L1430" s="1">
        <v>46224.918321759258</v>
      </c>
      <c r="M1430" s="1">
        <v>46224.91962439815</v>
      </c>
    </row>
    <row r="1431" spans="1:13" x14ac:dyDescent="0.35">
      <c r="A1431" t="s">
        <v>301</v>
      </c>
      <c r="B1431" t="s">
        <v>1986</v>
      </c>
      <c r="C1431" t="s">
        <v>2507</v>
      </c>
      <c r="D1431">
        <v>3.5</v>
      </c>
      <c r="E1431" s="1">
        <v>48625</v>
      </c>
      <c r="F1431" t="s">
        <v>1988</v>
      </c>
      <c r="G1431" t="s">
        <v>2507</v>
      </c>
      <c r="H1431" t="s">
        <v>2</v>
      </c>
      <c r="I1431" s="1">
        <v>46224</v>
      </c>
      <c r="J1431" t="s">
        <v>2064</v>
      </c>
      <c r="K1431" t="s">
        <v>3011</v>
      </c>
      <c r="L1431" s="1">
        <v>46224.917650462965</v>
      </c>
      <c r="M1431" s="1">
        <v>46224.91962439815</v>
      </c>
    </row>
    <row r="1432" spans="1:13" x14ac:dyDescent="0.35">
      <c r="A1432" t="s">
        <v>301</v>
      </c>
      <c r="B1432" t="s">
        <v>1986</v>
      </c>
      <c r="C1432" t="s">
        <v>2507</v>
      </c>
      <c r="D1432">
        <v>3.5</v>
      </c>
      <c r="E1432" s="1">
        <v>48625</v>
      </c>
      <c r="F1432" t="s">
        <v>1988</v>
      </c>
      <c r="G1432" t="s">
        <v>2507</v>
      </c>
      <c r="H1432" t="s">
        <v>2</v>
      </c>
      <c r="I1432" s="1">
        <v>46224</v>
      </c>
      <c r="J1432" t="s">
        <v>1989</v>
      </c>
      <c r="K1432" t="s">
        <v>2879</v>
      </c>
      <c r="L1432" s="1">
        <v>46224.918321759258</v>
      </c>
      <c r="M1432" s="1">
        <v>46224.91962439815</v>
      </c>
    </row>
    <row r="1433" spans="1:13" x14ac:dyDescent="0.35">
      <c r="A1433" t="s">
        <v>301</v>
      </c>
      <c r="B1433" t="s">
        <v>1986</v>
      </c>
      <c r="C1433" t="s">
        <v>2507</v>
      </c>
      <c r="D1433">
        <v>3.5</v>
      </c>
      <c r="E1433" s="1">
        <v>48625</v>
      </c>
      <c r="F1433" t="s">
        <v>1988</v>
      </c>
      <c r="G1433" t="s">
        <v>2507</v>
      </c>
      <c r="H1433" t="s">
        <v>2</v>
      </c>
      <c r="I1433" s="1">
        <v>46224</v>
      </c>
      <c r="J1433" t="s">
        <v>2146</v>
      </c>
      <c r="K1433" t="s">
        <v>2939</v>
      </c>
      <c r="L1433" s="1">
        <v>46224.917650462965</v>
      </c>
      <c r="M1433" s="1">
        <v>46224.91962439815</v>
      </c>
    </row>
    <row r="1434" spans="1:13" x14ac:dyDescent="0.35">
      <c r="A1434" t="s">
        <v>301</v>
      </c>
      <c r="B1434" t="s">
        <v>1986</v>
      </c>
      <c r="C1434" t="s">
        <v>2507</v>
      </c>
      <c r="D1434">
        <v>3.5</v>
      </c>
      <c r="E1434" s="1">
        <v>48625</v>
      </c>
      <c r="F1434" t="s">
        <v>1988</v>
      </c>
      <c r="G1434" t="s">
        <v>2507</v>
      </c>
      <c r="H1434" t="s">
        <v>2</v>
      </c>
      <c r="I1434" s="1">
        <v>46224</v>
      </c>
      <c r="J1434" t="s">
        <v>2065</v>
      </c>
      <c r="K1434" t="s">
        <v>3011</v>
      </c>
      <c r="L1434" s="1">
        <v>46224.917650462965</v>
      </c>
      <c r="M1434" s="1">
        <v>46224.91962439815</v>
      </c>
    </row>
    <row r="1435" spans="1:13" x14ac:dyDescent="0.35">
      <c r="A1435" t="s">
        <v>301</v>
      </c>
      <c r="B1435" t="s">
        <v>1986</v>
      </c>
      <c r="C1435" t="s">
        <v>2507</v>
      </c>
      <c r="D1435">
        <v>3.5</v>
      </c>
      <c r="E1435" s="1">
        <v>48625</v>
      </c>
      <c r="F1435" t="s">
        <v>1988</v>
      </c>
      <c r="G1435" t="s">
        <v>2507</v>
      </c>
      <c r="H1435" t="s">
        <v>2</v>
      </c>
      <c r="I1435" s="1">
        <v>46224</v>
      </c>
      <c r="J1435" t="s">
        <v>2108</v>
      </c>
      <c r="K1435" t="s">
        <v>2939</v>
      </c>
      <c r="L1435" s="1">
        <v>46224.917650462965</v>
      </c>
      <c r="M1435" s="1">
        <v>46224.91962439815</v>
      </c>
    </row>
    <row r="1436" spans="1:13" x14ac:dyDescent="0.35">
      <c r="A1436" t="s">
        <v>329</v>
      </c>
      <c r="B1436" t="s">
        <v>1986</v>
      </c>
      <c r="C1436" t="s">
        <v>2437</v>
      </c>
      <c r="D1436">
        <v>4</v>
      </c>
      <c r="E1436" s="1">
        <v>46812</v>
      </c>
      <c r="F1436" t="s">
        <v>1988</v>
      </c>
      <c r="G1436" t="s">
        <v>2437</v>
      </c>
      <c r="H1436" t="s">
        <v>2</v>
      </c>
      <c r="I1436" s="1">
        <v>46224</v>
      </c>
      <c r="J1436" t="s">
        <v>2146</v>
      </c>
      <c r="K1436" t="s">
        <v>3700</v>
      </c>
      <c r="L1436" s="1">
        <v>46224.917650462965</v>
      </c>
      <c r="M1436" s="1">
        <v>46224.91962439815</v>
      </c>
    </row>
    <row r="1437" spans="1:13" x14ac:dyDescent="0.35">
      <c r="A1437" t="s">
        <v>329</v>
      </c>
      <c r="B1437" t="s">
        <v>1986</v>
      </c>
      <c r="C1437" t="s">
        <v>2437</v>
      </c>
      <c r="D1437">
        <v>4</v>
      </c>
      <c r="E1437" s="1">
        <v>46812</v>
      </c>
      <c r="F1437" t="s">
        <v>1988</v>
      </c>
      <c r="G1437" t="s">
        <v>2437</v>
      </c>
      <c r="H1437" t="s">
        <v>2</v>
      </c>
      <c r="I1437" s="1">
        <v>46224</v>
      </c>
      <c r="J1437" t="s">
        <v>1989</v>
      </c>
      <c r="K1437" t="s">
        <v>3536</v>
      </c>
      <c r="L1437" s="1">
        <v>46224.918321759258</v>
      </c>
      <c r="M1437" s="1">
        <v>46224.91962439815</v>
      </c>
    </row>
    <row r="1438" spans="1:13" x14ac:dyDescent="0.35">
      <c r="A1438" t="s">
        <v>329</v>
      </c>
      <c r="B1438" t="s">
        <v>1986</v>
      </c>
      <c r="C1438" t="s">
        <v>2437</v>
      </c>
      <c r="D1438">
        <v>4</v>
      </c>
      <c r="E1438" s="1">
        <v>46812</v>
      </c>
      <c r="F1438" t="s">
        <v>1988</v>
      </c>
      <c r="G1438" t="s">
        <v>2437</v>
      </c>
      <c r="H1438" t="s">
        <v>2</v>
      </c>
      <c r="I1438" s="1">
        <v>46224</v>
      </c>
      <c r="J1438" t="s">
        <v>2065</v>
      </c>
      <c r="K1438" t="s">
        <v>2422</v>
      </c>
      <c r="L1438" s="1">
        <v>46224.917650462965</v>
      </c>
      <c r="M1438" s="1">
        <v>46224.91962439815</v>
      </c>
    </row>
    <row r="1439" spans="1:13" x14ac:dyDescent="0.35">
      <c r="A1439" t="s">
        <v>329</v>
      </c>
      <c r="B1439" t="s">
        <v>1986</v>
      </c>
      <c r="C1439" t="s">
        <v>2437</v>
      </c>
      <c r="D1439">
        <v>4</v>
      </c>
      <c r="E1439" s="1">
        <v>46812</v>
      </c>
      <c r="F1439" t="s">
        <v>1988</v>
      </c>
      <c r="G1439" t="s">
        <v>2437</v>
      </c>
      <c r="H1439" t="s">
        <v>2</v>
      </c>
      <c r="I1439" s="1">
        <v>46224</v>
      </c>
      <c r="J1439" t="s">
        <v>1991</v>
      </c>
      <c r="K1439" t="s">
        <v>3895</v>
      </c>
      <c r="L1439" s="1">
        <v>46224.918321759258</v>
      </c>
      <c r="M1439" s="1">
        <v>46224.91962439815</v>
      </c>
    </row>
    <row r="1440" spans="1:13" x14ac:dyDescent="0.35">
      <c r="A1440" t="s">
        <v>329</v>
      </c>
      <c r="B1440" t="s">
        <v>1986</v>
      </c>
      <c r="C1440" t="s">
        <v>2437</v>
      </c>
      <c r="D1440">
        <v>4</v>
      </c>
      <c r="E1440" s="1">
        <v>46812</v>
      </c>
      <c r="F1440" t="s">
        <v>1988</v>
      </c>
      <c r="G1440" t="s">
        <v>2437</v>
      </c>
      <c r="H1440" t="s">
        <v>2</v>
      </c>
      <c r="I1440" s="1">
        <v>46224</v>
      </c>
      <c r="J1440" t="s">
        <v>2108</v>
      </c>
      <c r="K1440" t="s">
        <v>3700</v>
      </c>
      <c r="L1440" s="1">
        <v>46224.917650462965</v>
      </c>
      <c r="M1440" s="1">
        <v>46224.91962439815</v>
      </c>
    </row>
    <row r="1441" spans="1:13" x14ac:dyDescent="0.35">
      <c r="A1441" t="s">
        <v>329</v>
      </c>
      <c r="B1441" t="s">
        <v>1986</v>
      </c>
      <c r="C1441" t="s">
        <v>2437</v>
      </c>
      <c r="D1441">
        <v>4</v>
      </c>
      <c r="E1441" s="1">
        <v>46812</v>
      </c>
      <c r="F1441" t="s">
        <v>1988</v>
      </c>
      <c r="G1441" t="s">
        <v>2437</v>
      </c>
      <c r="H1441" t="s">
        <v>2</v>
      </c>
      <c r="I1441" s="1">
        <v>46224</v>
      </c>
      <c r="J1441" t="s">
        <v>2064</v>
      </c>
      <c r="K1441" t="s">
        <v>2422</v>
      </c>
      <c r="L1441" s="1">
        <v>46224.917650462965</v>
      </c>
      <c r="M1441" s="1">
        <v>46224.91962439815</v>
      </c>
    </row>
    <row r="1442" spans="1:13" x14ac:dyDescent="0.35">
      <c r="A1442" t="s">
        <v>330</v>
      </c>
      <c r="B1442" t="s">
        <v>1986</v>
      </c>
      <c r="C1442" t="s">
        <v>2508</v>
      </c>
      <c r="D1442">
        <v>4</v>
      </c>
      <c r="E1442" s="1">
        <v>47542</v>
      </c>
      <c r="F1442" t="s">
        <v>1988</v>
      </c>
      <c r="G1442" t="s">
        <v>2508</v>
      </c>
      <c r="H1442" t="s">
        <v>2</v>
      </c>
      <c r="I1442" s="1">
        <v>46224</v>
      </c>
      <c r="J1442" t="s">
        <v>1991</v>
      </c>
      <c r="K1442" t="s">
        <v>2901</v>
      </c>
      <c r="L1442" s="1">
        <v>46224.918321759258</v>
      </c>
      <c r="M1442" s="1">
        <v>46224.91962439815</v>
      </c>
    </row>
    <row r="1443" spans="1:13" x14ac:dyDescent="0.35">
      <c r="A1443" t="s">
        <v>330</v>
      </c>
      <c r="B1443" t="s">
        <v>1986</v>
      </c>
      <c r="C1443" t="s">
        <v>2508</v>
      </c>
      <c r="D1443">
        <v>4</v>
      </c>
      <c r="E1443" s="1">
        <v>47542</v>
      </c>
      <c r="F1443" t="s">
        <v>1988</v>
      </c>
      <c r="G1443" t="s">
        <v>2508</v>
      </c>
      <c r="H1443" t="s">
        <v>2</v>
      </c>
      <c r="I1443" s="1">
        <v>46224</v>
      </c>
      <c r="J1443" t="s">
        <v>2065</v>
      </c>
      <c r="K1443" t="s">
        <v>2716</v>
      </c>
      <c r="L1443" s="1">
        <v>46224.917650462965</v>
      </c>
      <c r="M1443" s="1">
        <v>46224.91962439815</v>
      </c>
    </row>
    <row r="1444" spans="1:13" x14ac:dyDescent="0.35">
      <c r="A1444" t="s">
        <v>330</v>
      </c>
      <c r="B1444" t="s">
        <v>1986</v>
      </c>
      <c r="C1444" t="s">
        <v>2508</v>
      </c>
      <c r="D1444">
        <v>4</v>
      </c>
      <c r="E1444" s="1">
        <v>47542</v>
      </c>
      <c r="F1444" t="s">
        <v>1988</v>
      </c>
      <c r="G1444" t="s">
        <v>2508</v>
      </c>
      <c r="H1444" t="s">
        <v>2</v>
      </c>
      <c r="I1444" s="1">
        <v>46224</v>
      </c>
      <c r="J1444" t="s">
        <v>1989</v>
      </c>
      <c r="K1444" t="s">
        <v>3775</v>
      </c>
      <c r="L1444" s="1">
        <v>46224.918321759258</v>
      </c>
      <c r="M1444" s="1">
        <v>46224.91962439815</v>
      </c>
    </row>
    <row r="1445" spans="1:13" x14ac:dyDescent="0.35">
      <c r="A1445" t="s">
        <v>330</v>
      </c>
      <c r="B1445" t="s">
        <v>1986</v>
      </c>
      <c r="C1445" t="s">
        <v>2508</v>
      </c>
      <c r="D1445">
        <v>4</v>
      </c>
      <c r="E1445" s="1">
        <v>47542</v>
      </c>
      <c r="F1445" t="s">
        <v>1988</v>
      </c>
      <c r="G1445" t="s">
        <v>2508</v>
      </c>
      <c r="H1445" t="s">
        <v>2</v>
      </c>
      <c r="I1445" s="1">
        <v>46224</v>
      </c>
      <c r="J1445" t="s">
        <v>2146</v>
      </c>
      <c r="K1445" t="s">
        <v>2374</v>
      </c>
      <c r="L1445" s="1">
        <v>46224.917650462965</v>
      </c>
      <c r="M1445" s="1">
        <v>46224.91962439815</v>
      </c>
    </row>
    <row r="1446" spans="1:13" x14ac:dyDescent="0.35">
      <c r="A1446" t="s">
        <v>330</v>
      </c>
      <c r="B1446" t="s">
        <v>1986</v>
      </c>
      <c r="C1446" t="s">
        <v>2508</v>
      </c>
      <c r="D1446">
        <v>4</v>
      </c>
      <c r="E1446" s="1">
        <v>47542</v>
      </c>
      <c r="F1446" t="s">
        <v>1988</v>
      </c>
      <c r="G1446" t="s">
        <v>2508</v>
      </c>
      <c r="H1446" t="s">
        <v>2</v>
      </c>
      <c r="I1446" s="1">
        <v>46224</v>
      </c>
      <c r="J1446" t="s">
        <v>2064</v>
      </c>
      <c r="K1446" t="s">
        <v>2716</v>
      </c>
      <c r="L1446" s="1">
        <v>46224.917650462965</v>
      </c>
      <c r="M1446" s="1">
        <v>46224.91962439815</v>
      </c>
    </row>
    <row r="1447" spans="1:13" x14ac:dyDescent="0.35">
      <c r="A1447" t="s">
        <v>330</v>
      </c>
      <c r="B1447" t="s">
        <v>1986</v>
      </c>
      <c r="C1447" t="s">
        <v>2508</v>
      </c>
      <c r="D1447">
        <v>4</v>
      </c>
      <c r="E1447" s="1">
        <v>47542</v>
      </c>
      <c r="F1447" t="s">
        <v>1988</v>
      </c>
      <c r="G1447" t="s">
        <v>2508</v>
      </c>
      <c r="H1447" t="s">
        <v>2</v>
      </c>
      <c r="I1447" s="1">
        <v>46224</v>
      </c>
      <c r="J1447" t="s">
        <v>2108</v>
      </c>
      <c r="K1447" t="s">
        <v>2374</v>
      </c>
      <c r="L1447" s="1">
        <v>46224.917650462965</v>
      </c>
      <c r="M1447" s="1">
        <v>46224.91962439815</v>
      </c>
    </row>
    <row r="1448" spans="1:13" x14ac:dyDescent="0.35">
      <c r="A1448" t="s">
        <v>377</v>
      </c>
      <c r="B1448" t="s">
        <v>1986</v>
      </c>
      <c r="C1448" t="s">
        <v>2438</v>
      </c>
      <c r="D1448">
        <v>3.625</v>
      </c>
      <c r="E1448" s="1">
        <v>47573</v>
      </c>
      <c r="F1448" t="s">
        <v>1988</v>
      </c>
      <c r="G1448" t="s">
        <v>2438</v>
      </c>
      <c r="H1448" t="s">
        <v>2</v>
      </c>
      <c r="I1448" s="1">
        <v>46224</v>
      </c>
      <c r="J1448" t="s">
        <v>2064</v>
      </c>
      <c r="K1448" t="s">
        <v>3025</v>
      </c>
      <c r="L1448" s="1">
        <v>46224.917650462965</v>
      </c>
      <c r="M1448" s="1">
        <v>46224.91962439815</v>
      </c>
    </row>
    <row r="1449" spans="1:13" x14ac:dyDescent="0.35">
      <c r="A1449" t="s">
        <v>377</v>
      </c>
      <c r="B1449" t="s">
        <v>1986</v>
      </c>
      <c r="C1449" t="s">
        <v>2438</v>
      </c>
      <c r="D1449">
        <v>3.625</v>
      </c>
      <c r="E1449" s="1">
        <v>47573</v>
      </c>
      <c r="F1449" t="s">
        <v>1988</v>
      </c>
      <c r="G1449" t="s">
        <v>2438</v>
      </c>
      <c r="H1449" t="s">
        <v>2</v>
      </c>
      <c r="I1449" s="1">
        <v>46224</v>
      </c>
      <c r="J1449" t="s">
        <v>1989</v>
      </c>
      <c r="K1449" t="s">
        <v>3709</v>
      </c>
      <c r="L1449" s="1">
        <v>46224.918321759258</v>
      </c>
      <c r="M1449" s="1">
        <v>46224.91962439815</v>
      </c>
    </row>
    <row r="1450" spans="1:13" x14ac:dyDescent="0.35">
      <c r="A1450" t="s">
        <v>377</v>
      </c>
      <c r="B1450" t="s">
        <v>1986</v>
      </c>
      <c r="C1450" t="s">
        <v>2438</v>
      </c>
      <c r="D1450">
        <v>3.625</v>
      </c>
      <c r="E1450" s="1">
        <v>47573</v>
      </c>
      <c r="F1450" t="s">
        <v>1988</v>
      </c>
      <c r="G1450" t="s">
        <v>2438</v>
      </c>
      <c r="H1450" t="s">
        <v>2</v>
      </c>
      <c r="I1450" s="1">
        <v>46224</v>
      </c>
      <c r="J1450" t="s">
        <v>2108</v>
      </c>
      <c r="K1450" t="s">
        <v>2716</v>
      </c>
      <c r="L1450" s="1">
        <v>46224.917650462965</v>
      </c>
      <c r="M1450" s="1">
        <v>46224.91962439815</v>
      </c>
    </row>
    <row r="1451" spans="1:13" x14ac:dyDescent="0.35">
      <c r="A1451" t="s">
        <v>377</v>
      </c>
      <c r="B1451" t="s">
        <v>1986</v>
      </c>
      <c r="C1451" t="s">
        <v>2438</v>
      </c>
      <c r="D1451">
        <v>3.625</v>
      </c>
      <c r="E1451" s="1">
        <v>47573</v>
      </c>
      <c r="F1451" t="s">
        <v>1988</v>
      </c>
      <c r="G1451" t="s">
        <v>2438</v>
      </c>
      <c r="H1451" t="s">
        <v>2</v>
      </c>
      <c r="I1451" s="1">
        <v>46224</v>
      </c>
      <c r="J1451" t="s">
        <v>2146</v>
      </c>
      <c r="K1451" t="s">
        <v>2716</v>
      </c>
      <c r="L1451" s="1">
        <v>46224.917650462965</v>
      </c>
      <c r="M1451" s="1">
        <v>46224.91962439815</v>
      </c>
    </row>
    <row r="1452" spans="1:13" x14ac:dyDescent="0.35">
      <c r="A1452" t="s">
        <v>377</v>
      </c>
      <c r="B1452" t="s">
        <v>1986</v>
      </c>
      <c r="C1452" t="s">
        <v>2438</v>
      </c>
      <c r="D1452">
        <v>3.625</v>
      </c>
      <c r="E1452" s="1">
        <v>47573</v>
      </c>
      <c r="F1452" t="s">
        <v>1988</v>
      </c>
      <c r="G1452" t="s">
        <v>2438</v>
      </c>
      <c r="H1452" t="s">
        <v>2</v>
      </c>
      <c r="I1452" s="1">
        <v>46224</v>
      </c>
      <c r="J1452" t="s">
        <v>1991</v>
      </c>
      <c r="K1452" t="s">
        <v>2803</v>
      </c>
      <c r="L1452" s="1">
        <v>46224.918321759258</v>
      </c>
      <c r="M1452" s="1">
        <v>46224.91962439815</v>
      </c>
    </row>
    <row r="1453" spans="1:13" x14ac:dyDescent="0.35">
      <c r="A1453" t="s">
        <v>377</v>
      </c>
      <c r="B1453" t="s">
        <v>1986</v>
      </c>
      <c r="C1453" t="s">
        <v>2438</v>
      </c>
      <c r="D1453">
        <v>3.625</v>
      </c>
      <c r="E1453" s="1">
        <v>47573</v>
      </c>
      <c r="F1453" t="s">
        <v>1988</v>
      </c>
      <c r="G1453" t="s">
        <v>2438</v>
      </c>
      <c r="H1453" t="s">
        <v>2</v>
      </c>
      <c r="I1453" s="1">
        <v>46224</v>
      </c>
      <c r="J1453" t="s">
        <v>2065</v>
      </c>
      <c r="K1453" t="s">
        <v>3025</v>
      </c>
      <c r="L1453" s="1">
        <v>46224.917650462965</v>
      </c>
      <c r="M1453" s="1">
        <v>46224.91962439815</v>
      </c>
    </row>
    <row r="1454" spans="1:13" x14ac:dyDescent="0.35">
      <c r="A1454" t="s">
        <v>378</v>
      </c>
      <c r="B1454" t="s">
        <v>1986</v>
      </c>
      <c r="C1454" t="s">
        <v>2439</v>
      </c>
      <c r="D1454">
        <v>3.625</v>
      </c>
      <c r="E1454" s="1">
        <v>46843</v>
      </c>
      <c r="F1454" t="s">
        <v>1988</v>
      </c>
      <c r="G1454" t="s">
        <v>2439</v>
      </c>
      <c r="H1454" t="s">
        <v>2</v>
      </c>
      <c r="I1454" s="1">
        <v>46224</v>
      </c>
      <c r="J1454" t="s">
        <v>2065</v>
      </c>
      <c r="K1454" t="s">
        <v>2528</v>
      </c>
      <c r="L1454" s="1">
        <v>46224.917650462965</v>
      </c>
      <c r="M1454" s="1">
        <v>46224.91962439815</v>
      </c>
    </row>
    <row r="1455" spans="1:13" x14ac:dyDescent="0.35">
      <c r="A1455" t="s">
        <v>378</v>
      </c>
      <c r="B1455" t="s">
        <v>1986</v>
      </c>
      <c r="C1455" t="s">
        <v>2439</v>
      </c>
      <c r="D1455">
        <v>3.625</v>
      </c>
      <c r="E1455" s="1">
        <v>46843</v>
      </c>
      <c r="F1455" t="s">
        <v>1988</v>
      </c>
      <c r="G1455" t="s">
        <v>2439</v>
      </c>
      <c r="H1455" t="s">
        <v>2</v>
      </c>
      <c r="I1455" s="1">
        <v>46224</v>
      </c>
      <c r="J1455" t="s">
        <v>1989</v>
      </c>
      <c r="K1455" t="s">
        <v>2808</v>
      </c>
      <c r="L1455" s="1">
        <v>46224.918321759258</v>
      </c>
      <c r="M1455" s="1">
        <v>46224.91962439815</v>
      </c>
    </row>
    <row r="1456" spans="1:13" x14ac:dyDescent="0.35">
      <c r="A1456" t="s">
        <v>378</v>
      </c>
      <c r="B1456" t="s">
        <v>1986</v>
      </c>
      <c r="C1456" t="s">
        <v>2439</v>
      </c>
      <c r="D1456">
        <v>3.625</v>
      </c>
      <c r="E1456" s="1">
        <v>46843</v>
      </c>
      <c r="F1456" t="s">
        <v>1988</v>
      </c>
      <c r="G1456" t="s">
        <v>2439</v>
      </c>
      <c r="H1456" t="s">
        <v>2</v>
      </c>
      <c r="I1456" s="1">
        <v>46224</v>
      </c>
      <c r="J1456" t="s">
        <v>2108</v>
      </c>
      <c r="K1456" t="s">
        <v>2381</v>
      </c>
      <c r="L1456" s="1">
        <v>46224.917650462965</v>
      </c>
      <c r="M1456" s="1">
        <v>46224.91962439815</v>
      </c>
    </row>
    <row r="1457" spans="1:13" x14ac:dyDescent="0.35">
      <c r="A1457" t="s">
        <v>378</v>
      </c>
      <c r="B1457" t="s">
        <v>1986</v>
      </c>
      <c r="C1457" t="s">
        <v>2439</v>
      </c>
      <c r="D1457">
        <v>3.625</v>
      </c>
      <c r="E1457" s="1">
        <v>46843</v>
      </c>
      <c r="F1457" t="s">
        <v>1988</v>
      </c>
      <c r="G1457" t="s">
        <v>2439</v>
      </c>
      <c r="H1457" t="s">
        <v>2</v>
      </c>
      <c r="I1457" s="1">
        <v>46224</v>
      </c>
      <c r="J1457" t="s">
        <v>2064</v>
      </c>
      <c r="K1457" t="s">
        <v>2528</v>
      </c>
      <c r="L1457" s="1">
        <v>46224.917650462965</v>
      </c>
      <c r="M1457" s="1">
        <v>46224.91962439815</v>
      </c>
    </row>
    <row r="1458" spans="1:13" x14ac:dyDescent="0.35">
      <c r="A1458" t="s">
        <v>378</v>
      </c>
      <c r="B1458" t="s">
        <v>1986</v>
      </c>
      <c r="C1458" t="s">
        <v>2439</v>
      </c>
      <c r="D1458">
        <v>3.625</v>
      </c>
      <c r="E1458" s="1">
        <v>46843</v>
      </c>
      <c r="F1458" t="s">
        <v>1988</v>
      </c>
      <c r="G1458" t="s">
        <v>2439</v>
      </c>
      <c r="H1458" t="s">
        <v>2</v>
      </c>
      <c r="I1458" s="1">
        <v>46224</v>
      </c>
      <c r="J1458" t="s">
        <v>1991</v>
      </c>
      <c r="K1458" t="s">
        <v>2475</v>
      </c>
      <c r="L1458" s="1">
        <v>46224.918321759258</v>
      </c>
      <c r="M1458" s="1">
        <v>46224.91962439815</v>
      </c>
    </row>
    <row r="1459" spans="1:13" x14ac:dyDescent="0.35">
      <c r="A1459" t="s">
        <v>378</v>
      </c>
      <c r="B1459" t="s">
        <v>1986</v>
      </c>
      <c r="C1459" t="s">
        <v>2439</v>
      </c>
      <c r="D1459">
        <v>3.625</v>
      </c>
      <c r="E1459" s="1">
        <v>46843</v>
      </c>
      <c r="F1459" t="s">
        <v>1988</v>
      </c>
      <c r="G1459" t="s">
        <v>2439</v>
      </c>
      <c r="H1459" t="s">
        <v>2</v>
      </c>
      <c r="I1459" s="1">
        <v>46224</v>
      </c>
      <c r="J1459" t="s">
        <v>2146</v>
      </c>
      <c r="K1459" t="s">
        <v>2381</v>
      </c>
      <c r="L1459" s="1">
        <v>46224.917650462965</v>
      </c>
      <c r="M1459" s="1">
        <v>46224.91962439815</v>
      </c>
    </row>
    <row r="1460" spans="1:13" x14ac:dyDescent="0.35">
      <c r="A1460" t="s">
        <v>340</v>
      </c>
      <c r="B1460" t="s">
        <v>1986</v>
      </c>
      <c r="C1460" t="s">
        <v>2509</v>
      </c>
      <c r="D1460">
        <v>1.25</v>
      </c>
      <c r="E1460" s="1">
        <v>46858</v>
      </c>
      <c r="F1460" t="s">
        <v>2014</v>
      </c>
      <c r="G1460" t="s">
        <v>2509</v>
      </c>
      <c r="H1460" t="s">
        <v>2</v>
      </c>
      <c r="I1460" s="1">
        <v>46224</v>
      </c>
      <c r="J1460" t="s">
        <v>1991</v>
      </c>
      <c r="K1460" t="s">
        <v>3688</v>
      </c>
      <c r="L1460" s="1">
        <v>46224.918321759258</v>
      </c>
      <c r="M1460" s="1">
        <v>46224.91962439815</v>
      </c>
    </row>
    <row r="1461" spans="1:13" x14ac:dyDescent="0.35">
      <c r="A1461" t="s">
        <v>340</v>
      </c>
      <c r="B1461" t="s">
        <v>1986</v>
      </c>
      <c r="C1461" t="s">
        <v>2509</v>
      </c>
      <c r="D1461">
        <v>1.25</v>
      </c>
      <c r="E1461" s="1">
        <v>46858</v>
      </c>
      <c r="F1461" t="s">
        <v>2014</v>
      </c>
      <c r="G1461" t="s">
        <v>2509</v>
      </c>
      <c r="H1461" t="s">
        <v>2</v>
      </c>
      <c r="I1461" s="1">
        <v>46224</v>
      </c>
      <c r="J1461" t="s">
        <v>1989</v>
      </c>
      <c r="K1461" t="s">
        <v>2059</v>
      </c>
      <c r="L1461" s="1">
        <v>46224.918321759258</v>
      </c>
      <c r="M1461" s="1">
        <v>46224.91962439815</v>
      </c>
    </row>
    <row r="1462" spans="1:13" x14ac:dyDescent="0.35">
      <c r="A1462" t="s">
        <v>336</v>
      </c>
      <c r="B1462" t="s">
        <v>1986</v>
      </c>
      <c r="C1462" t="s">
        <v>2440</v>
      </c>
      <c r="D1462">
        <v>3.5</v>
      </c>
      <c r="E1462" s="1">
        <v>47603</v>
      </c>
      <c r="F1462" t="s">
        <v>1988</v>
      </c>
      <c r="G1462" t="s">
        <v>2440</v>
      </c>
      <c r="H1462" t="s">
        <v>2</v>
      </c>
      <c r="I1462" s="1">
        <v>46224</v>
      </c>
      <c r="J1462" t="s">
        <v>2108</v>
      </c>
      <c r="K1462" t="s">
        <v>3822</v>
      </c>
      <c r="L1462" s="1">
        <v>46224.917650462965</v>
      </c>
      <c r="M1462" s="1">
        <v>46224.91962439815</v>
      </c>
    </row>
    <row r="1463" spans="1:13" x14ac:dyDescent="0.35">
      <c r="A1463" t="s">
        <v>336</v>
      </c>
      <c r="B1463" t="s">
        <v>1986</v>
      </c>
      <c r="C1463" t="s">
        <v>2440</v>
      </c>
      <c r="D1463">
        <v>3.5</v>
      </c>
      <c r="E1463" s="1">
        <v>47603</v>
      </c>
      <c r="F1463" t="s">
        <v>1988</v>
      </c>
      <c r="G1463" t="s">
        <v>2440</v>
      </c>
      <c r="H1463" t="s">
        <v>2</v>
      </c>
      <c r="I1463" s="1">
        <v>46224</v>
      </c>
      <c r="J1463" t="s">
        <v>2064</v>
      </c>
      <c r="K1463" t="s">
        <v>2971</v>
      </c>
      <c r="L1463" s="1">
        <v>46224.917650462965</v>
      </c>
      <c r="M1463" s="1">
        <v>46224.91962439815</v>
      </c>
    </row>
    <row r="1464" spans="1:13" x14ac:dyDescent="0.35">
      <c r="A1464" t="s">
        <v>336</v>
      </c>
      <c r="B1464" t="s">
        <v>1986</v>
      </c>
      <c r="C1464" t="s">
        <v>2440</v>
      </c>
      <c r="D1464">
        <v>3.5</v>
      </c>
      <c r="E1464" s="1">
        <v>47603</v>
      </c>
      <c r="F1464" t="s">
        <v>1988</v>
      </c>
      <c r="G1464" t="s">
        <v>2440</v>
      </c>
      <c r="H1464" t="s">
        <v>2</v>
      </c>
      <c r="I1464" s="1">
        <v>46224</v>
      </c>
      <c r="J1464" t="s">
        <v>1991</v>
      </c>
      <c r="K1464" t="s">
        <v>2945</v>
      </c>
      <c r="L1464" s="1">
        <v>46224.918321759258</v>
      </c>
      <c r="M1464" s="1">
        <v>46224.91962439815</v>
      </c>
    </row>
    <row r="1465" spans="1:13" x14ac:dyDescent="0.35">
      <c r="A1465" t="s">
        <v>336</v>
      </c>
      <c r="B1465" t="s">
        <v>1986</v>
      </c>
      <c r="C1465" t="s">
        <v>2440</v>
      </c>
      <c r="D1465">
        <v>3.5</v>
      </c>
      <c r="E1465" s="1">
        <v>47603</v>
      </c>
      <c r="F1465" t="s">
        <v>1988</v>
      </c>
      <c r="G1465" t="s">
        <v>2440</v>
      </c>
      <c r="H1465" t="s">
        <v>2</v>
      </c>
      <c r="I1465" s="1">
        <v>46224</v>
      </c>
      <c r="J1465" t="s">
        <v>2065</v>
      </c>
      <c r="K1465" t="s">
        <v>2971</v>
      </c>
      <c r="L1465" s="1">
        <v>46224.917650462965</v>
      </c>
      <c r="M1465" s="1">
        <v>46224.91962439815</v>
      </c>
    </row>
    <row r="1466" spans="1:13" x14ac:dyDescent="0.35">
      <c r="A1466" t="s">
        <v>336</v>
      </c>
      <c r="B1466" t="s">
        <v>1986</v>
      </c>
      <c r="C1466" t="s">
        <v>2440</v>
      </c>
      <c r="D1466">
        <v>3.5</v>
      </c>
      <c r="E1466" s="1">
        <v>47603</v>
      </c>
      <c r="F1466" t="s">
        <v>1988</v>
      </c>
      <c r="G1466" t="s">
        <v>2440</v>
      </c>
      <c r="H1466" t="s">
        <v>2</v>
      </c>
      <c r="I1466" s="1">
        <v>46224</v>
      </c>
      <c r="J1466" t="s">
        <v>1989</v>
      </c>
      <c r="K1466" t="s">
        <v>3533</v>
      </c>
      <c r="L1466" s="1">
        <v>46224.918321759258</v>
      </c>
      <c r="M1466" s="1">
        <v>46224.91962439815</v>
      </c>
    </row>
    <row r="1467" spans="1:13" x14ac:dyDescent="0.35">
      <c r="A1467" t="s">
        <v>336</v>
      </c>
      <c r="B1467" t="s">
        <v>1986</v>
      </c>
      <c r="C1467" t="s">
        <v>2440</v>
      </c>
      <c r="D1467">
        <v>3.5</v>
      </c>
      <c r="E1467" s="1">
        <v>47603</v>
      </c>
      <c r="F1467" t="s">
        <v>1988</v>
      </c>
      <c r="G1467" t="s">
        <v>2440</v>
      </c>
      <c r="H1467" t="s">
        <v>2</v>
      </c>
      <c r="I1467" s="1">
        <v>46224</v>
      </c>
      <c r="J1467" t="s">
        <v>2146</v>
      </c>
      <c r="K1467" t="s">
        <v>3822</v>
      </c>
      <c r="L1467" s="1">
        <v>46224.917650462965</v>
      </c>
      <c r="M1467" s="1">
        <v>46224.91962439815</v>
      </c>
    </row>
    <row r="1468" spans="1:13" x14ac:dyDescent="0.35">
      <c r="A1468" t="s">
        <v>341</v>
      </c>
      <c r="B1468" t="s">
        <v>1986</v>
      </c>
      <c r="C1468" t="s">
        <v>2471</v>
      </c>
      <c r="D1468">
        <v>3.5</v>
      </c>
      <c r="E1468" s="1">
        <v>46873</v>
      </c>
      <c r="F1468" t="s">
        <v>1988</v>
      </c>
      <c r="G1468" t="s">
        <v>2471</v>
      </c>
      <c r="H1468" t="s">
        <v>2</v>
      </c>
      <c r="I1468" s="1">
        <v>46224</v>
      </c>
      <c r="J1468" t="s">
        <v>2146</v>
      </c>
      <c r="K1468" t="s">
        <v>3710</v>
      </c>
      <c r="L1468" s="1">
        <v>46224.917650462965</v>
      </c>
      <c r="M1468" s="1">
        <v>46224.91962439815</v>
      </c>
    </row>
    <row r="1469" spans="1:13" x14ac:dyDescent="0.35">
      <c r="A1469" t="s">
        <v>341</v>
      </c>
      <c r="B1469" t="s">
        <v>1986</v>
      </c>
      <c r="C1469" t="s">
        <v>2471</v>
      </c>
      <c r="D1469">
        <v>3.5</v>
      </c>
      <c r="E1469" s="1">
        <v>46873</v>
      </c>
      <c r="F1469" t="s">
        <v>1988</v>
      </c>
      <c r="G1469" t="s">
        <v>2471</v>
      </c>
      <c r="H1469" t="s">
        <v>2</v>
      </c>
      <c r="I1469" s="1">
        <v>46224</v>
      </c>
      <c r="J1469" t="s">
        <v>2065</v>
      </c>
      <c r="K1469" t="s">
        <v>2519</v>
      </c>
      <c r="L1469" s="1">
        <v>46224.917650462965</v>
      </c>
      <c r="M1469" s="1">
        <v>46224.91962439815</v>
      </c>
    </row>
    <row r="1470" spans="1:13" x14ac:dyDescent="0.35">
      <c r="A1470" t="s">
        <v>341</v>
      </c>
      <c r="B1470" t="s">
        <v>1986</v>
      </c>
      <c r="C1470" t="s">
        <v>2471</v>
      </c>
      <c r="D1470">
        <v>3.5</v>
      </c>
      <c r="E1470" s="1">
        <v>46873</v>
      </c>
      <c r="F1470" t="s">
        <v>1988</v>
      </c>
      <c r="G1470" t="s">
        <v>2471</v>
      </c>
      <c r="H1470" t="s">
        <v>2</v>
      </c>
      <c r="I1470" s="1">
        <v>46224</v>
      </c>
      <c r="J1470" t="s">
        <v>1991</v>
      </c>
      <c r="K1470" t="s">
        <v>3620</v>
      </c>
      <c r="L1470" s="1">
        <v>46224.918321759258</v>
      </c>
      <c r="M1470" s="1">
        <v>46224.91962439815</v>
      </c>
    </row>
    <row r="1471" spans="1:13" x14ac:dyDescent="0.35">
      <c r="A1471" t="s">
        <v>341</v>
      </c>
      <c r="B1471" t="s">
        <v>1986</v>
      </c>
      <c r="C1471" t="s">
        <v>2471</v>
      </c>
      <c r="D1471">
        <v>3.5</v>
      </c>
      <c r="E1471" s="1">
        <v>46873</v>
      </c>
      <c r="F1471" t="s">
        <v>1988</v>
      </c>
      <c r="G1471" t="s">
        <v>2471</v>
      </c>
      <c r="H1471" t="s">
        <v>2</v>
      </c>
      <c r="I1471" s="1">
        <v>46224</v>
      </c>
      <c r="J1471" t="s">
        <v>2064</v>
      </c>
      <c r="K1471" t="s">
        <v>2519</v>
      </c>
      <c r="L1471" s="1">
        <v>46224.917650462965</v>
      </c>
      <c r="M1471" s="1">
        <v>46224.91962439815</v>
      </c>
    </row>
    <row r="1472" spans="1:13" x14ac:dyDescent="0.35">
      <c r="A1472" t="s">
        <v>341</v>
      </c>
      <c r="B1472" t="s">
        <v>1986</v>
      </c>
      <c r="C1472" t="s">
        <v>2471</v>
      </c>
      <c r="D1472">
        <v>3.5</v>
      </c>
      <c r="E1472" s="1">
        <v>46873</v>
      </c>
      <c r="F1472" t="s">
        <v>1988</v>
      </c>
      <c r="G1472" t="s">
        <v>2471</v>
      </c>
      <c r="H1472" t="s">
        <v>2</v>
      </c>
      <c r="I1472" s="1">
        <v>46224</v>
      </c>
      <c r="J1472" t="s">
        <v>1989</v>
      </c>
      <c r="K1472" t="s">
        <v>3816</v>
      </c>
      <c r="L1472" s="1">
        <v>46224.918321759258</v>
      </c>
      <c r="M1472" s="1">
        <v>46224.91962439815</v>
      </c>
    </row>
    <row r="1473" spans="1:13" x14ac:dyDescent="0.35">
      <c r="A1473" t="s">
        <v>341</v>
      </c>
      <c r="B1473" t="s">
        <v>1986</v>
      </c>
      <c r="C1473" t="s">
        <v>2471</v>
      </c>
      <c r="D1473">
        <v>3.5</v>
      </c>
      <c r="E1473" s="1">
        <v>46873</v>
      </c>
      <c r="F1473" t="s">
        <v>1988</v>
      </c>
      <c r="G1473" t="s">
        <v>2471</v>
      </c>
      <c r="H1473" t="s">
        <v>2</v>
      </c>
      <c r="I1473" s="1">
        <v>46224</v>
      </c>
      <c r="J1473" t="s">
        <v>2108</v>
      </c>
      <c r="K1473" t="s">
        <v>3710</v>
      </c>
      <c r="L1473" s="1">
        <v>46224.917650462965</v>
      </c>
      <c r="M1473" s="1">
        <v>46224.91962439815</v>
      </c>
    </row>
    <row r="1474" spans="1:13" x14ac:dyDescent="0.35">
      <c r="A1474" t="s">
        <v>337</v>
      </c>
      <c r="B1474" t="s">
        <v>1986</v>
      </c>
      <c r="C1474" t="s">
        <v>2520</v>
      </c>
      <c r="D1474">
        <v>3.375</v>
      </c>
      <c r="E1474" s="1">
        <v>48714</v>
      </c>
      <c r="F1474" t="s">
        <v>1988</v>
      </c>
      <c r="G1474" t="s">
        <v>2520</v>
      </c>
      <c r="H1474" t="s">
        <v>2</v>
      </c>
      <c r="I1474" s="1">
        <v>46224</v>
      </c>
      <c r="J1474" t="s">
        <v>1991</v>
      </c>
      <c r="K1474" t="s">
        <v>3823</v>
      </c>
      <c r="L1474" s="1">
        <v>46224.918321759258</v>
      </c>
      <c r="M1474" s="1">
        <v>46224.91962439815</v>
      </c>
    </row>
    <row r="1475" spans="1:13" x14ac:dyDescent="0.35">
      <c r="A1475" t="s">
        <v>337</v>
      </c>
      <c r="B1475" t="s">
        <v>1986</v>
      </c>
      <c r="C1475" t="s">
        <v>2520</v>
      </c>
      <c r="D1475">
        <v>3.375</v>
      </c>
      <c r="E1475" s="1">
        <v>48714</v>
      </c>
      <c r="F1475" t="s">
        <v>1988</v>
      </c>
      <c r="G1475" t="s">
        <v>2520</v>
      </c>
      <c r="H1475" t="s">
        <v>2</v>
      </c>
      <c r="I1475" s="1">
        <v>46224</v>
      </c>
      <c r="J1475" t="s">
        <v>2065</v>
      </c>
      <c r="K1475" t="s">
        <v>3621</v>
      </c>
      <c r="L1475" s="1">
        <v>46224.917650462965</v>
      </c>
      <c r="M1475" s="1">
        <v>46224.91962439815</v>
      </c>
    </row>
    <row r="1476" spans="1:13" x14ac:dyDescent="0.35">
      <c r="A1476" t="s">
        <v>337</v>
      </c>
      <c r="B1476" t="s">
        <v>1986</v>
      </c>
      <c r="C1476" t="s">
        <v>2520</v>
      </c>
      <c r="D1476">
        <v>3.375</v>
      </c>
      <c r="E1476" s="1">
        <v>48714</v>
      </c>
      <c r="F1476" t="s">
        <v>1988</v>
      </c>
      <c r="G1476" t="s">
        <v>2520</v>
      </c>
      <c r="H1476" t="s">
        <v>2</v>
      </c>
      <c r="I1476" s="1">
        <v>46224</v>
      </c>
      <c r="J1476" t="s">
        <v>1989</v>
      </c>
      <c r="K1476" t="s">
        <v>2999</v>
      </c>
      <c r="L1476" s="1">
        <v>46224.918321759258</v>
      </c>
      <c r="M1476" s="1">
        <v>46224.91962439815</v>
      </c>
    </row>
    <row r="1477" spans="1:13" x14ac:dyDescent="0.35">
      <c r="A1477" t="s">
        <v>337</v>
      </c>
      <c r="B1477" t="s">
        <v>1986</v>
      </c>
      <c r="C1477" t="s">
        <v>2520</v>
      </c>
      <c r="D1477">
        <v>3.375</v>
      </c>
      <c r="E1477" s="1">
        <v>48714</v>
      </c>
      <c r="F1477" t="s">
        <v>1988</v>
      </c>
      <c r="G1477" t="s">
        <v>2520</v>
      </c>
      <c r="H1477" t="s">
        <v>2</v>
      </c>
      <c r="I1477" s="1">
        <v>46224</v>
      </c>
      <c r="J1477" t="s">
        <v>2108</v>
      </c>
      <c r="K1477" t="s">
        <v>3791</v>
      </c>
      <c r="L1477" s="1">
        <v>46224.917650462965</v>
      </c>
      <c r="M1477" s="1">
        <v>46224.91962439815</v>
      </c>
    </row>
    <row r="1478" spans="1:13" x14ac:dyDescent="0.35">
      <c r="A1478" t="s">
        <v>337</v>
      </c>
      <c r="B1478" t="s">
        <v>1986</v>
      </c>
      <c r="C1478" t="s">
        <v>2520</v>
      </c>
      <c r="D1478">
        <v>3.375</v>
      </c>
      <c r="E1478" s="1">
        <v>48714</v>
      </c>
      <c r="F1478" t="s">
        <v>1988</v>
      </c>
      <c r="G1478" t="s">
        <v>2520</v>
      </c>
      <c r="H1478" t="s">
        <v>2</v>
      </c>
      <c r="I1478" s="1">
        <v>46224</v>
      </c>
      <c r="J1478" t="s">
        <v>2146</v>
      </c>
      <c r="K1478" t="s">
        <v>3791</v>
      </c>
      <c r="L1478" s="1">
        <v>46224.917650462965</v>
      </c>
      <c r="M1478" s="1">
        <v>46224.91962439815</v>
      </c>
    </row>
    <row r="1479" spans="1:13" x14ac:dyDescent="0.35">
      <c r="A1479" t="s">
        <v>337</v>
      </c>
      <c r="B1479" t="s">
        <v>1986</v>
      </c>
      <c r="C1479" t="s">
        <v>2520</v>
      </c>
      <c r="D1479">
        <v>3.375</v>
      </c>
      <c r="E1479" s="1">
        <v>48714</v>
      </c>
      <c r="F1479" t="s">
        <v>1988</v>
      </c>
      <c r="G1479" t="s">
        <v>2520</v>
      </c>
      <c r="H1479" t="s">
        <v>2</v>
      </c>
      <c r="I1479" s="1">
        <v>46224</v>
      </c>
      <c r="J1479" t="s">
        <v>2064</v>
      </c>
      <c r="K1479" t="s">
        <v>3621</v>
      </c>
      <c r="L1479" s="1">
        <v>46224.917650462965</v>
      </c>
      <c r="M1479" s="1">
        <v>46224.91962439815</v>
      </c>
    </row>
    <row r="1480" spans="1:13" x14ac:dyDescent="0.35">
      <c r="A1480" t="s">
        <v>338</v>
      </c>
      <c r="B1480" t="s">
        <v>1986</v>
      </c>
      <c r="C1480" t="s">
        <v>2472</v>
      </c>
      <c r="D1480">
        <v>3.625</v>
      </c>
      <c r="E1480" s="1">
        <v>46904</v>
      </c>
      <c r="F1480" t="s">
        <v>1988</v>
      </c>
      <c r="G1480" t="s">
        <v>2472</v>
      </c>
      <c r="H1480" t="s">
        <v>2</v>
      </c>
      <c r="I1480" s="1">
        <v>46224</v>
      </c>
      <c r="J1480" t="s">
        <v>1989</v>
      </c>
      <c r="K1480" t="s">
        <v>2998</v>
      </c>
      <c r="L1480" s="1">
        <v>46224.918321759258</v>
      </c>
      <c r="M1480" s="1">
        <v>46224.91962439815</v>
      </c>
    </row>
    <row r="1481" spans="1:13" x14ac:dyDescent="0.35">
      <c r="A1481" t="s">
        <v>338</v>
      </c>
      <c r="B1481" t="s">
        <v>1986</v>
      </c>
      <c r="C1481" t="s">
        <v>2472</v>
      </c>
      <c r="D1481">
        <v>3.625</v>
      </c>
      <c r="E1481" s="1">
        <v>46904</v>
      </c>
      <c r="F1481" t="s">
        <v>1988</v>
      </c>
      <c r="G1481" t="s">
        <v>2472</v>
      </c>
      <c r="H1481" t="s">
        <v>2</v>
      </c>
      <c r="I1481" s="1">
        <v>46224</v>
      </c>
      <c r="J1481" t="s">
        <v>2064</v>
      </c>
      <c r="K1481" t="s">
        <v>3622</v>
      </c>
      <c r="L1481" s="1">
        <v>46224.917650462965</v>
      </c>
      <c r="M1481" s="1">
        <v>46224.91962439815</v>
      </c>
    </row>
    <row r="1482" spans="1:13" x14ac:dyDescent="0.35">
      <c r="A1482" t="s">
        <v>338</v>
      </c>
      <c r="B1482" t="s">
        <v>1986</v>
      </c>
      <c r="C1482" t="s">
        <v>2472</v>
      </c>
      <c r="D1482">
        <v>3.625</v>
      </c>
      <c r="E1482" s="1">
        <v>46904</v>
      </c>
      <c r="F1482" t="s">
        <v>1988</v>
      </c>
      <c r="G1482" t="s">
        <v>2472</v>
      </c>
      <c r="H1482" t="s">
        <v>2</v>
      </c>
      <c r="I1482" s="1">
        <v>46224</v>
      </c>
      <c r="J1482" t="s">
        <v>2065</v>
      </c>
      <c r="K1482" t="s">
        <v>3622</v>
      </c>
      <c r="L1482" s="1">
        <v>46224.917650462965</v>
      </c>
      <c r="M1482" s="1">
        <v>46224.91962439815</v>
      </c>
    </row>
    <row r="1483" spans="1:13" x14ac:dyDescent="0.35">
      <c r="A1483" t="s">
        <v>338</v>
      </c>
      <c r="B1483" t="s">
        <v>1986</v>
      </c>
      <c r="C1483" t="s">
        <v>2472</v>
      </c>
      <c r="D1483">
        <v>3.625</v>
      </c>
      <c r="E1483" s="1">
        <v>46904</v>
      </c>
      <c r="F1483" t="s">
        <v>1988</v>
      </c>
      <c r="G1483" t="s">
        <v>2472</v>
      </c>
      <c r="H1483" t="s">
        <v>2</v>
      </c>
      <c r="I1483" s="1">
        <v>46224</v>
      </c>
      <c r="J1483" t="s">
        <v>1991</v>
      </c>
      <c r="K1483" t="s">
        <v>3628</v>
      </c>
      <c r="L1483" s="1">
        <v>46224.918321759258</v>
      </c>
      <c r="M1483" s="1">
        <v>46224.91962439815</v>
      </c>
    </row>
    <row r="1484" spans="1:13" x14ac:dyDescent="0.35">
      <c r="A1484" t="s">
        <v>338</v>
      </c>
      <c r="B1484" t="s">
        <v>1986</v>
      </c>
      <c r="C1484" t="s">
        <v>2472</v>
      </c>
      <c r="D1484">
        <v>3.625</v>
      </c>
      <c r="E1484" s="1">
        <v>46904</v>
      </c>
      <c r="F1484" t="s">
        <v>1988</v>
      </c>
      <c r="G1484" t="s">
        <v>2472</v>
      </c>
      <c r="H1484" t="s">
        <v>2</v>
      </c>
      <c r="I1484" s="1">
        <v>46224</v>
      </c>
      <c r="J1484" t="s">
        <v>2146</v>
      </c>
      <c r="K1484" t="s">
        <v>2528</v>
      </c>
      <c r="L1484" s="1">
        <v>46224.917650462965</v>
      </c>
      <c r="M1484" s="1">
        <v>46224.91962439815</v>
      </c>
    </row>
    <row r="1485" spans="1:13" x14ac:dyDescent="0.35">
      <c r="A1485" t="s">
        <v>338</v>
      </c>
      <c r="B1485" t="s">
        <v>1986</v>
      </c>
      <c r="C1485" t="s">
        <v>2472</v>
      </c>
      <c r="D1485">
        <v>3.625</v>
      </c>
      <c r="E1485" s="1">
        <v>46904</v>
      </c>
      <c r="F1485" t="s">
        <v>1988</v>
      </c>
      <c r="G1485" t="s">
        <v>2472</v>
      </c>
      <c r="H1485" t="s">
        <v>2</v>
      </c>
      <c r="I1485" s="1">
        <v>46224</v>
      </c>
      <c r="J1485" t="s">
        <v>2108</v>
      </c>
      <c r="K1485" t="s">
        <v>2528</v>
      </c>
      <c r="L1485" s="1">
        <v>46224.917650462965</v>
      </c>
      <c r="M1485" s="1">
        <v>46224.91962439815</v>
      </c>
    </row>
    <row r="1486" spans="1:13" x14ac:dyDescent="0.35">
      <c r="A1486" t="s">
        <v>339</v>
      </c>
      <c r="B1486" t="s">
        <v>1986</v>
      </c>
      <c r="C1486" t="s">
        <v>2511</v>
      </c>
      <c r="D1486">
        <v>3.75</v>
      </c>
      <c r="E1486" s="1">
        <v>47634</v>
      </c>
      <c r="F1486" t="s">
        <v>1988</v>
      </c>
      <c r="G1486" t="s">
        <v>2511</v>
      </c>
      <c r="H1486" t="s">
        <v>2</v>
      </c>
      <c r="I1486" s="1">
        <v>46224</v>
      </c>
      <c r="J1486" t="s">
        <v>1991</v>
      </c>
      <c r="K1486" t="s">
        <v>2893</v>
      </c>
      <c r="L1486" s="1">
        <v>46224.918321759258</v>
      </c>
      <c r="M1486" s="1">
        <v>46224.91962439815</v>
      </c>
    </row>
    <row r="1487" spans="1:13" x14ac:dyDescent="0.35">
      <c r="A1487" t="s">
        <v>339</v>
      </c>
      <c r="B1487" t="s">
        <v>1986</v>
      </c>
      <c r="C1487" t="s">
        <v>2511</v>
      </c>
      <c r="D1487">
        <v>3.75</v>
      </c>
      <c r="E1487" s="1">
        <v>47634</v>
      </c>
      <c r="F1487" t="s">
        <v>1988</v>
      </c>
      <c r="G1487" t="s">
        <v>2511</v>
      </c>
      <c r="H1487" t="s">
        <v>2</v>
      </c>
      <c r="I1487" s="1">
        <v>46224</v>
      </c>
      <c r="J1487" t="s">
        <v>2108</v>
      </c>
      <c r="K1487" t="s">
        <v>3629</v>
      </c>
      <c r="L1487" s="1">
        <v>46224.917650462965</v>
      </c>
      <c r="M1487" s="1">
        <v>46224.91962439815</v>
      </c>
    </row>
    <row r="1488" spans="1:13" x14ac:dyDescent="0.35">
      <c r="A1488" t="s">
        <v>339</v>
      </c>
      <c r="B1488" t="s">
        <v>1986</v>
      </c>
      <c r="C1488" t="s">
        <v>2511</v>
      </c>
      <c r="D1488">
        <v>3.75</v>
      </c>
      <c r="E1488" s="1">
        <v>47634</v>
      </c>
      <c r="F1488" t="s">
        <v>1988</v>
      </c>
      <c r="G1488" t="s">
        <v>2511</v>
      </c>
      <c r="H1488" t="s">
        <v>2</v>
      </c>
      <c r="I1488" s="1">
        <v>46224</v>
      </c>
      <c r="J1488" t="s">
        <v>2065</v>
      </c>
      <c r="K1488" t="s">
        <v>2971</v>
      </c>
      <c r="L1488" s="1">
        <v>46224.917650462965</v>
      </c>
      <c r="M1488" s="1">
        <v>46224.91962439815</v>
      </c>
    </row>
    <row r="1489" spans="1:13" x14ac:dyDescent="0.35">
      <c r="A1489" t="s">
        <v>339</v>
      </c>
      <c r="B1489" t="s">
        <v>1986</v>
      </c>
      <c r="C1489" t="s">
        <v>2511</v>
      </c>
      <c r="D1489">
        <v>3.75</v>
      </c>
      <c r="E1489" s="1">
        <v>47634</v>
      </c>
      <c r="F1489" t="s">
        <v>1988</v>
      </c>
      <c r="G1489" t="s">
        <v>2511</v>
      </c>
      <c r="H1489" t="s">
        <v>2</v>
      </c>
      <c r="I1489" s="1">
        <v>46224</v>
      </c>
      <c r="J1489" t="s">
        <v>2146</v>
      </c>
      <c r="K1489" t="s">
        <v>3629</v>
      </c>
      <c r="L1489" s="1">
        <v>46224.917650462965</v>
      </c>
      <c r="M1489" s="1">
        <v>46224.91962439815</v>
      </c>
    </row>
    <row r="1490" spans="1:13" x14ac:dyDescent="0.35">
      <c r="A1490" t="s">
        <v>339</v>
      </c>
      <c r="B1490" t="s">
        <v>1986</v>
      </c>
      <c r="C1490" t="s">
        <v>2511</v>
      </c>
      <c r="D1490">
        <v>3.75</v>
      </c>
      <c r="E1490" s="1">
        <v>47634</v>
      </c>
      <c r="F1490" t="s">
        <v>1988</v>
      </c>
      <c r="G1490" t="s">
        <v>2511</v>
      </c>
      <c r="H1490" t="s">
        <v>2</v>
      </c>
      <c r="I1490" s="1">
        <v>46224</v>
      </c>
      <c r="J1490" t="s">
        <v>1989</v>
      </c>
      <c r="K1490" t="s">
        <v>2981</v>
      </c>
      <c r="L1490" s="1">
        <v>46224.918321759258</v>
      </c>
      <c r="M1490" s="1">
        <v>46224.91962439815</v>
      </c>
    </row>
    <row r="1491" spans="1:13" x14ac:dyDescent="0.35">
      <c r="A1491" t="s">
        <v>339</v>
      </c>
      <c r="B1491" t="s">
        <v>1986</v>
      </c>
      <c r="C1491" t="s">
        <v>2511</v>
      </c>
      <c r="D1491">
        <v>3.75</v>
      </c>
      <c r="E1491" s="1">
        <v>47634</v>
      </c>
      <c r="F1491" t="s">
        <v>1988</v>
      </c>
      <c r="G1491" t="s">
        <v>2511</v>
      </c>
      <c r="H1491" t="s">
        <v>2</v>
      </c>
      <c r="I1491" s="1">
        <v>46224</v>
      </c>
      <c r="J1491" t="s">
        <v>2064</v>
      </c>
      <c r="K1491" t="s">
        <v>2971</v>
      </c>
      <c r="L1491" s="1">
        <v>46224.917650462965</v>
      </c>
      <c r="M1491" s="1">
        <v>46224.91962439815</v>
      </c>
    </row>
    <row r="1492" spans="1:13" x14ac:dyDescent="0.35">
      <c r="A1492" t="s">
        <v>381</v>
      </c>
      <c r="B1492" t="s">
        <v>1986</v>
      </c>
      <c r="C1492" t="s">
        <v>2512</v>
      </c>
      <c r="D1492">
        <v>3.75</v>
      </c>
      <c r="E1492" s="1">
        <v>47664</v>
      </c>
      <c r="F1492" t="s">
        <v>1988</v>
      </c>
      <c r="G1492" t="s">
        <v>2512</v>
      </c>
      <c r="H1492" t="s">
        <v>2</v>
      </c>
      <c r="I1492" s="1">
        <v>46224</v>
      </c>
      <c r="J1492" t="s">
        <v>2064</v>
      </c>
      <c r="K1492" t="s">
        <v>2445</v>
      </c>
      <c r="L1492" s="1">
        <v>46224.917650462965</v>
      </c>
      <c r="M1492" s="1">
        <v>46224.91962439815</v>
      </c>
    </row>
    <row r="1493" spans="1:13" x14ac:dyDescent="0.35">
      <c r="A1493" t="s">
        <v>381</v>
      </c>
      <c r="B1493" t="s">
        <v>1986</v>
      </c>
      <c r="C1493" t="s">
        <v>2512</v>
      </c>
      <c r="D1493">
        <v>3.75</v>
      </c>
      <c r="E1493" s="1">
        <v>47664</v>
      </c>
      <c r="F1493" t="s">
        <v>1988</v>
      </c>
      <c r="G1493" t="s">
        <v>2512</v>
      </c>
      <c r="H1493" t="s">
        <v>2</v>
      </c>
      <c r="I1493" s="1">
        <v>46224</v>
      </c>
      <c r="J1493" t="s">
        <v>1989</v>
      </c>
      <c r="K1493" t="s">
        <v>2881</v>
      </c>
      <c r="L1493" s="1">
        <v>46224.918321759258</v>
      </c>
      <c r="M1493" s="1">
        <v>46224.91962439815</v>
      </c>
    </row>
    <row r="1494" spans="1:13" x14ac:dyDescent="0.35">
      <c r="A1494" t="s">
        <v>381</v>
      </c>
      <c r="B1494" t="s">
        <v>1986</v>
      </c>
      <c r="C1494" t="s">
        <v>2512</v>
      </c>
      <c r="D1494">
        <v>3.75</v>
      </c>
      <c r="E1494" s="1">
        <v>47664</v>
      </c>
      <c r="F1494" t="s">
        <v>1988</v>
      </c>
      <c r="G1494" t="s">
        <v>2512</v>
      </c>
      <c r="H1494" t="s">
        <v>2</v>
      </c>
      <c r="I1494" s="1">
        <v>46224</v>
      </c>
      <c r="J1494" t="s">
        <v>2108</v>
      </c>
      <c r="K1494" t="s">
        <v>3025</v>
      </c>
      <c r="L1494" s="1">
        <v>46224.917650462965</v>
      </c>
      <c r="M1494" s="1">
        <v>46224.91962439815</v>
      </c>
    </row>
    <row r="1495" spans="1:13" x14ac:dyDescent="0.35">
      <c r="A1495" t="s">
        <v>381</v>
      </c>
      <c r="B1495" t="s">
        <v>1986</v>
      </c>
      <c r="C1495" t="s">
        <v>2512</v>
      </c>
      <c r="D1495">
        <v>3.75</v>
      </c>
      <c r="E1495" s="1">
        <v>47664</v>
      </c>
      <c r="F1495" t="s">
        <v>1988</v>
      </c>
      <c r="G1495" t="s">
        <v>2512</v>
      </c>
      <c r="H1495" t="s">
        <v>2</v>
      </c>
      <c r="I1495" s="1">
        <v>46224</v>
      </c>
      <c r="J1495" t="s">
        <v>1991</v>
      </c>
      <c r="K1495" t="s">
        <v>2982</v>
      </c>
      <c r="L1495" s="1">
        <v>46224.918321759258</v>
      </c>
      <c r="M1495" s="1">
        <v>46224.91962439815</v>
      </c>
    </row>
    <row r="1496" spans="1:13" x14ac:dyDescent="0.35">
      <c r="A1496" t="s">
        <v>381</v>
      </c>
      <c r="B1496" t="s">
        <v>1986</v>
      </c>
      <c r="C1496" t="s">
        <v>2512</v>
      </c>
      <c r="D1496">
        <v>3.75</v>
      </c>
      <c r="E1496" s="1">
        <v>47664</v>
      </c>
      <c r="F1496" t="s">
        <v>1988</v>
      </c>
      <c r="G1496" t="s">
        <v>2512</v>
      </c>
      <c r="H1496" t="s">
        <v>2</v>
      </c>
      <c r="I1496" s="1">
        <v>46224</v>
      </c>
      <c r="J1496" t="s">
        <v>2146</v>
      </c>
      <c r="K1496" t="s">
        <v>3025</v>
      </c>
      <c r="L1496" s="1">
        <v>46224.917650462965</v>
      </c>
      <c r="M1496" s="1">
        <v>46224.91962439815</v>
      </c>
    </row>
    <row r="1497" spans="1:13" x14ac:dyDescent="0.35">
      <c r="A1497" t="s">
        <v>381</v>
      </c>
      <c r="B1497" t="s">
        <v>1986</v>
      </c>
      <c r="C1497" t="s">
        <v>2512</v>
      </c>
      <c r="D1497">
        <v>3.75</v>
      </c>
      <c r="E1497" s="1">
        <v>47664</v>
      </c>
      <c r="F1497" t="s">
        <v>1988</v>
      </c>
      <c r="G1497" t="s">
        <v>2512</v>
      </c>
      <c r="H1497" t="s">
        <v>2</v>
      </c>
      <c r="I1497" s="1">
        <v>46224</v>
      </c>
      <c r="J1497" t="s">
        <v>2065</v>
      </c>
      <c r="K1497" t="s">
        <v>2445</v>
      </c>
      <c r="L1497" s="1">
        <v>46224.917650462965</v>
      </c>
      <c r="M1497" s="1">
        <v>46224.91962439815</v>
      </c>
    </row>
    <row r="1498" spans="1:13" x14ac:dyDescent="0.35">
      <c r="A1498" t="s">
        <v>379</v>
      </c>
      <c r="B1498" t="s">
        <v>1986</v>
      </c>
      <c r="C1498" t="s">
        <v>2513</v>
      </c>
      <c r="D1498">
        <v>4</v>
      </c>
      <c r="E1498" s="1">
        <v>46934</v>
      </c>
      <c r="F1498" t="s">
        <v>1988</v>
      </c>
      <c r="G1498" t="s">
        <v>2513</v>
      </c>
      <c r="H1498" t="s">
        <v>2</v>
      </c>
      <c r="I1498" s="1">
        <v>46224</v>
      </c>
      <c r="J1498" t="s">
        <v>2108</v>
      </c>
      <c r="K1498" t="s">
        <v>2920</v>
      </c>
      <c r="L1498" s="1">
        <v>46224.917650462965</v>
      </c>
      <c r="M1498" s="1">
        <v>46224.91962439815</v>
      </c>
    </row>
    <row r="1499" spans="1:13" x14ac:dyDescent="0.35">
      <c r="A1499" t="s">
        <v>379</v>
      </c>
      <c r="B1499" t="s">
        <v>1986</v>
      </c>
      <c r="C1499" t="s">
        <v>2513</v>
      </c>
      <c r="D1499">
        <v>4</v>
      </c>
      <c r="E1499" s="1">
        <v>46934</v>
      </c>
      <c r="F1499" t="s">
        <v>1988</v>
      </c>
      <c r="G1499" t="s">
        <v>2513</v>
      </c>
      <c r="H1499" t="s">
        <v>2</v>
      </c>
      <c r="I1499" s="1">
        <v>46224</v>
      </c>
      <c r="J1499" t="s">
        <v>2064</v>
      </c>
      <c r="K1499" t="s">
        <v>3622</v>
      </c>
      <c r="L1499" s="1">
        <v>46224.917650462965</v>
      </c>
      <c r="M1499" s="1">
        <v>46224.91962439815</v>
      </c>
    </row>
    <row r="1500" spans="1:13" x14ac:dyDescent="0.35">
      <c r="A1500" t="s">
        <v>379</v>
      </c>
      <c r="B1500" t="s">
        <v>1986</v>
      </c>
      <c r="C1500" t="s">
        <v>2513</v>
      </c>
      <c r="D1500">
        <v>4</v>
      </c>
      <c r="E1500" s="1">
        <v>46934</v>
      </c>
      <c r="F1500" t="s">
        <v>1988</v>
      </c>
      <c r="G1500" t="s">
        <v>2513</v>
      </c>
      <c r="H1500" t="s">
        <v>2</v>
      </c>
      <c r="I1500" s="1">
        <v>46224</v>
      </c>
      <c r="J1500" t="s">
        <v>1989</v>
      </c>
      <c r="K1500" t="s">
        <v>2938</v>
      </c>
      <c r="L1500" s="1">
        <v>46224.918321759258</v>
      </c>
      <c r="M1500" s="1">
        <v>46224.91962439815</v>
      </c>
    </row>
    <row r="1501" spans="1:13" x14ac:dyDescent="0.35">
      <c r="A1501" t="s">
        <v>379</v>
      </c>
      <c r="B1501" t="s">
        <v>1986</v>
      </c>
      <c r="C1501" t="s">
        <v>2513</v>
      </c>
      <c r="D1501">
        <v>4</v>
      </c>
      <c r="E1501" s="1">
        <v>46934</v>
      </c>
      <c r="F1501" t="s">
        <v>1988</v>
      </c>
      <c r="G1501" t="s">
        <v>2513</v>
      </c>
      <c r="H1501" t="s">
        <v>2</v>
      </c>
      <c r="I1501" s="1">
        <v>46224</v>
      </c>
      <c r="J1501" t="s">
        <v>1991</v>
      </c>
      <c r="K1501" t="s">
        <v>2967</v>
      </c>
      <c r="L1501" s="1">
        <v>46224.918321759258</v>
      </c>
      <c r="M1501" s="1">
        <v>46224.91962439815</v>
      </c>
    </row>
    <row r="1502" spans="1:13" x14ac:dyDescent="0.35">
      <c r="A1502" t="s">
        <v>379</v>
      </c>
      <c r="B1502" t="s">
        <v>1986</v>
      </c>
      <c r="C1502" t="s">
        <v>2513</v>
      </c>
      <c r="D1502">
        <v>4</v>
      </c>
      <c r="E1502" s="1">
        <v>46934</v>
      </c>
      <c r="F1502" t="s">
        <v>1988</v>
      </c>
      <c r="G1502" t="s">
        <v>2513</v>
      </c>
      <c r="H1502" t="s">
        <v>2</v>
      </c>
      <c r="I1502" s="1">
        <v>46224</v>
      </c>
      <c r="J1502" t="s">
        <v>2146</v>
      </c>
      <c r="K1502" t="s">
        <v>2920</v>
      </c>
      <c r="L1502" s="1">
        <v>46224.917650462965</v>
      </c>
      <c r="M1502" s="1">
        <v>46224.91962439815</v>
      </c>
    </row>
    <row r="1503" spans="1:13" x14ac:dyDescent="0.35">
      <c r="A1503" t="s">
        <v>379</v>
      </c>
      <c r="B1503" t="s">
        <v>1986</v>
      </c>
      <c r="C1503" t="s">
        <v>2513</v>
      </c>
      <c r="D1503">
        <v>4</v>
      </c>
      <c r="E1503" s="1">
        <v>46934</v>
      </c>
      <c r="F1503" t="s">
        <v>1988</v>
      </c>
      <c r="G1503" t="s">
        <v>2513</v>
      </c>
      <c r="H1503" t="s">
        <v>2</v>
      </c>
      <c r="I1503" s="1">
        <v>46224</v>
      </c>
      <c r="J1503" t="s">
        <v>2065</v>
      </c>
      <c r="K1503" t="s">
        <v>3622</v>
      </c>
      <c r="L1503" s="1">
        <v>46224.917650462965</v>
      </c>
      <c r="M1503" s="1">
        <v>46224.91962439815</v>
      </c>
    </row>
    <row r="1504" spans="1:13" x14ac:dyDescent="0.35">
      <c r="A1504" t="s">
        <v>342</v>
      </c>
      <c r="B1504" t="s">
        <v>1986</v>
      </c>
      <c r="C1504" t="s">
        <v>2473</v>
      </c>
      <c r="D1504">
        <v>1.375</v>
      </c>
      <c r="E1504" s="1">
        <v>48775</v>
      </c>
      <c r="F1504" t="s">
        <v>2014</v>
      </c>
      <c r="G1504" t="s">
        <v>2473</v>
      </c>
      <c r="H1504" t="s">
        <v>2</v>
      </c>
      <c r="I1504" s="1">
        <v>46224</v>
      </c>
      <c r="J1504" t="s">
        <v>2146</v>
      </c>
      <c r="K1504" t="s">
        <v>3623</v>
      </c>
      <c r="L1504" s="1">
        <v>46224.917650462965</v>
      </c>
      <c r="M1504" s="1">
        <v>46224.91962439815</v>
      </c>
    </row>
    <row r="1505" spans="1:13" x14ac:dyDescent="0.35">
      <c r="A1505" t="s">
        <v>342</v>
      </c>
      <c r="B1505" t="s">
        <v>1986</v>
      </c>
      <c r="C1505" t="s">
        <v>2473</v>
      </c>
      <c r="D1505">
        <v>1.375</v>
      </c>
      <c r="E1505" s="1">
        <v>48775</v>
      </c>
      <c r="F1505" t="s">
        <v>2014</v>
      </c>
      <c r="G1505" t="s">
        <v>2473</v>
      </c>
      <c r="H1505" t="s">
        <v>2</v>
      </c>
      <c r="I1505" s="1">
        <v>46224</v>
      </c>
      <c r="J1505" t="s">
        <v>2064</v>
      </c>
      <c r="K1505" t="s">
        <v>3729</v>
      </c>
      <c r="L1505" s="1">
        <v>46224.917650462965</v>
      </c>
      <c r="M1505" s="1">
        <v>46224.91962439815</v>
      </c>
    </row>
    <row r="1506" spans="1:13" x14ac:dyDescent="0.35">
      <c r="A1506" t="s">
        <v>342</v>
      </c>
      <c r="B1506" t="s">
        <v>1986</v>
      </c>
      <c r="C1506" t="s">
        <v>2473</v>
      </c>
      <c r="D1506">
        <v>1.375</v>
      </c>
      <c r="E1506" s="1">
        <v>48775</v>
      </c>
      <c r="F1506" t="s">
        <v>2014</v>
      </c>
      <c r="G1506" t="s">
        <v>2473</v>
      </c>
      <c r="H1506" t="s">
        <v>2</v>
      </c>
      <c r="I1506" s="1">
        <v>46224</v>
      </c>
      <c r="J1506" t="s">
        <v>2108</v>
      </c>
      <c r="K1506" t="s">
        <v>3623</v>
      </c>
      <c r="L1506" s="1">
        <v>46224.917650462965</v>
      </c>
      <c r="M1506" s="1">
        <v>46224.91962439815</v>
      </c>
    </row>
    <row r="1507" spans="1:13" x14ac:dyDescent="0.35">
      <c r="A1507" t="s">
        <v>342</v>
      </c>
      <c r="B1507" t="s">
        <v>1986</v>
      </c>
      <c r="C1507" t="s">
        <v>2473</v>
      </c>
      <c r="D1507">
        <v>1.375</v>
      </c>
      <c r="E1507" s="1">
        <v>48775</v>
      </c>
      <c r="F1507" t="s">
        <v>2014</v>
      </c>
      <c r="G1507" t="s">
        <v>2473</v>
      </c>
      <c r="H1507" t="s">
        <v>2</v>
      </c>
      <c r="I1507" s="1">
        <v>46224</v>
      </c>
      <c r="J1507" t="s">
        <v>2065</v>
      </c>
      <c r="K1507" t="s">
        <v>3729</v>
      </c>
      <c r="L1507" s="1">
        <v>46224.917650462965</v>
      </c>
      <c r="M1507" s="1">
        <v>46224.91962439815</v>
      </c>
    </row>
    <row r="1508" spans="1:13" x14ac:dyDescent="0.35">
      <c r="A1508" t="s">
        <v>342</v>
      </c>
      <c r="B1508" t="s">
        <v>1986</v>
      </c>
      <c r="C1508" t="s">
        <v>2473</v>
      </c>
      <c r="D1508">
        <v>1.375</v>
      </c>
      <c r="E1508" s="1">
        <v>48775</v>
      </c>
      <c r="F1508" t="s">
        <v>2014</v>
      </c>
      <c r="G1508" t="s">
        <v>2473</v>
      </c>
      <c r="H1508" t="s">
        <v>2</v>
      </c>
      <c r="I1508" s="1">
        <v>46224</v>
      </c>
      <c r="J1508" t="s">
        <v>1989</v>
      </c>
      <c r="K1508" t="s">
        <v>3457</v>
      </c>
      <c r="L1508" s="1">
        <v>46224.918321759258</v>
      </c>
      <c r="M1508" s="1">
        <v>46224.91962439815</v>
      </c>
    </row>
    <row r="1509" spans="1:13" x14ac:dyDescent="0.35">
      <c r="A1509" t="s">
        <v>342</v>
      </c>
      <c r="B1509" t="s">
        <v>1986</v>
      </c>
      <c r="C1509" t="s">
        <v>2473</v>
      </c>
      <c r="D1509">
        <v>1.375</v>
      </c>
      <c r="E1509" s="1">
        <v>48775</v>
      </c>
      <c r="F1509" t="s">
        <v>2014</v>
      </c>
      <c r="G1509" t="s">
        <v>2473</v>
      </c>
      <c r="H1509" t="s">
        <v>2</v>
      </c>
      <c r="I1509" s="1">
        <v>46224</v>
      </c>
      <c r="J1509" t="s">
        <v>1991</v>
      </c>
      <c r="K1509" t="s">
        <v>3640</v>
      </c>
      <c r="L1509" s="1">
        <v>46224.918321759258</v>
      </c>
      <c r="M1509" s="1">
        <v>46224.91962439815</v>
      </c>
    </row>
    <row r="1510" spans="1:13" x14ac:dyDescent="0.35">
      <c r="A1510" t="s">
        <v>357</v>
      </c>
      <c r="B1510" t="s">
        <v>1986</v>
      </c>
      <c r="C1510" t="s">
        <v>2514</v>
      </c>
      <c r="D1510">
        <v>4.125</v>
      </c>
      <c r="E1510" s="1">
        <v>46965</v>
      </c>
      <c r="F1510" t="s">
        <v>1988</v>
      </c>
      <c r="G1510" t="s">
        <v>2514</v>
      </c>
      <c r="H1510" t="s">
        <v>2</v>
      </c>
      <c r="I1510" s="1">
        <v>46224</v>
      </c>
      <c r="J1510" t="s">
        <v>2108</v>
      </c>
      <c r="K1510" t="s">
        <v>2528</v>
      </c>
      <c r="L1510" s="1">
        <v>46224.917650462965</v>
      </c>
      <c r="M1510" s="1">
        <v>46224.91962439815</v>
      </c>
    </row>
    <row r="1511" spans="1:13" x14ac:dyDescent="0.35">
      <c r="A1511" t="s">
        <v>357</v>
      </c>
      <c r="B1511" t="s">
        <v>1986</v>
      </c>
      <c r="C1511" t="s">
        <v>2514</v>
      </c>
      <c r="D1511">
        <v>4.125</v>
      </c>
      <c r="E1511" s="1">
        <v>46965</v>
      </c>
      <c r="F1511" t="s">
        <v>1988</v>
      </c>
      <c r="G1511" t="s">
        <v>2514</v>
      </c>
      <c r="H1511" t="s">
        <v>2</v>
      </c>
      <c r="I1511" s="1">
        <v>46224</v>
      </c>
      <c r="J1511" t="s">
        <v>2065</v>
      </c>
      <c r="K1511" t="s">
        <v>2369</v>
      </c>
      <c r="L1511" s="1">
        <v>46224.917650462965</v>
      </c>
      <c r="M1511" s="1">
        <v>46224.91962439815</v>
      </c>
    </row>
    <row r="1512" spans="1:13" x14ac:dyDescent="0.35">
      <c r="A1512" t="s">
        <v>357</v>
      </c>
      <c r="B1512" t="s">
        <v>1986</v>
      </c>
      <c r="C1512" t="s">
        <v>2514</v>
      </c>
      <c r="D1512">
        <v>4.125</v>
      </c>
      <c r="E1512" s="1">
        <v>46965</v>
      </c>
      <c r="F1512" t="s">
        <v>1988</v>
      </c>
      <c r="G1512" t="s">
        <v>2514</v>
      </c>
      <c r="H1512" t="s">
        <v>2</v>
      </c>
      <c r="I1512" s="1">
        <v>46224</v>
      </c>
      <c r="J1512" t="s">
        <v>1991</v>
      </c>
      <c r="K1512" t="s">
        <v>3730</v>
      </c>
      <c r="L1512" s="1">
        <v>46224.918321759258</v>
      </c>
      <c r="M1512" s="1">
        <v>46224.91962439815</v>
      </c>
    </row>
    <row r="1513" spans="1:13" x14ac:dyDescent="0.35">
      <c r="A1513" t="s">
        <v>357</v>
      </c>
      <c r="B1513" t="s">
        <v>1986</v>
      </c>
      <c r="C1513" t="s">
        <v>2514</v>
      </c>
      <c r="D1513">
        <v>4.125</v>
      </c>
      <c r="E1513" s="1">
        <v>46965</v>
      </c>
      <c r="F1513" t="s">
        <v>1988</v>
      </c>
      <c r="G1513" t="s">
        <v>2514</v>
      </c>
      <c r="H1513" t="s">
        <v>2</v>
      </c>
      <c r="I1513" s="1">
        <v>46224</v>
      </c>
      <c r="J1513" t="s">
        <v>1989</v>
      </c>
      <c r="K1513" t="s">
        <v>3630</v>
      </c>
      <c r="L1513" s="1">
        <v>46224.918321759258</v>
      </c>
      <c r="M1513" s="1">
        <v>46224.91962439815</v>
      </c>
    </row>
    <row r="1514" spans="1:13" x14ac:dyDescent="0.35">
      <c r="A1514" t="s">
        <v>357</v>
      </c>
      <c r="B1514" t="s">
        <v>1986</v>
      </c>
      <c r="C1514" t="s">
        <v>2514</v>
      </c>
      <c r="D1514">
        <v>4.125</v>
      </c>
      <c r="E1514" s="1">
        <v>46965</v>
      </c>
      <c r="F1514" t="s">
        <v>1988</v>
      </c>
      <c r="G1514" t="s">
        <v>2514</v>
      </c>
      <c r="H1514" t="s">
        <v>2</v>
      </c>
      <c r="I1514" s="1">
        <v>46224</v>
      </c>
      <c r="J1514" t="s">
        <v>2146</v>
      </c>
      <c r="K1514" t="s">
        <v>2528</v>
      </c>
      <c r="L1514" s="1">
        <v>46224.917650462965</v>
      </c>
      <c r="M1514" s="1">
        <v>46224.91962439815</v>
      </c>
    </row>
    <row r="1515" spans="1:13" x14ac:dyDescent="0.35">
      <c r="A1515" t="s">
        <v>357</v>
      </c>
      <c r="B1515" t="s">
        <v>1986</v>
      </c>
      <c r="C1515" t="s">
        <v>2514</v>
      </c>
      <c r="D1515">
        <v>4.125</v>
      </c>
      <c r="E1515" s="1">
        <v>46965</v>
      </c>
      <c r="F1515" t="s">
        <v>1988</v>
      </c>
      <c r="G1515" t="s">
        <v>2514</v>
      </c>
      <c r="H1515" t="s">
        <v>2</v>
      </c>
      <c r="I1515" s="1">
        <v>46224</v>
      </c>
      <c r="J1515" t="s">
        <v>2064</v>
      </c>
      <c r="K1515" t="s">
        <v>2369</v>
      </c>
      <c r="L1515" s="1">
        <v>46224.917650462965</v>
      </c>
      <c r="M1515" s="1">
        <v>46224.91962439815</v>
      </c>
    </row>
    <row r="1516" spans="1:13" x14ac:dyDescent="0.35">
      <c r="A1516" t="s">
        <v>382</v>
      </c>
      <c r="B1516" t="s">
        <v>1986</v>
      </c>
      <c r="C1516" t="s">
        <v>2474</v>
      </c>
      <c r="D1516">
        <v>4</v>
      </c>
      <c r="E1516" s="1">
        <v>47695</v>
      </c>
      <c r="F1516" t="s">
        <v>1988</v>
      </c>
      <c r="G1516" t="s">
        <v>2474</v>
      </c>
      <c r="H1516" t="s">
        <v>2</v>
      </c>
      <c r="I1516" s="1">
        <v>46224</v>
      </c>
      <c r="J1516" t="s">
        <v>2064</v>
      </c>
      <c r="K1516" t="s">
        <v>2587</v>
      </c>
      <c r="L1516" s="1">
        <v>46224.917650462965</v>
      </c>
      <c r="M1516" s="1">
        <v>46224.91962439815</v>
      </c>
    </row>
    <row r="1517" spans="1:13" x14ac:dyDescent="0.35">
      <c r="A1517" t="s">
        <v>382</v>
      </c>
      <c r="B1517" t="s">
        <v>1986</v>
      </c>
      <c r="C1517" t="s">
        <v>2474</v>
      </c>
      <c r="D1517">
        <v>4</v>
      </c>
      <c r="E1517" s="1">
        <v>47695</v>
      </c>
      <c r="F1517" t="s">
        <v>1988</v>
      </c>
      <c r="G1517" t="s">
        <v>2474</v>
      </c>
      <c r="H1517" t="s">
        <v>2</v>
      </c>
      <c r="I1517" s="1">
        <v>46224</v>
      </c>
      <c r="J1517" t="s">
        <v>2108</v>
      </c>
      <c r="K1517" t="s">
        <v>2644</v>
      </c>
      <c r="L1517" s="1">
        <v>46224.917650462965</v>
      </c>
      <c r="M1517" s="1">
        <v>46224.91962439815</v>
      </c>
    </row>
    <row r="1518" spans="1:13" x14ac:dyDescent="0.35">
      <c r="A1518" t="s">
        <v>382</v>
      </c>
      <c r="B1518" t="s">
        <v>1986</v>
      </c>
      <c r="C1518" t="s">
        <v>2474</v>
      </c>
      <c r="D1518">
        <v>4</v>
      </c>
      <c r="E1518" s="1">
        <v>47695</v>
      </c>
      <c r="F1518" t="s">
        <v>1988</v>
      </c>
      <c r="G1518" t="s">
        <v>2474</v>
      </c>
      <c r="H1518" t="s">
        <v>2</v>
      </c>
      <c r="I1518" s="1">
        <v>46224</v>
      </c>
      <c r="J1518" t="s">
        <v>2065</v>
      </c>
      <c r="K1518" t="s">
        <v>2587</v>
      </c>
      <c r="L1518" s="1">
        <v>46224.917650462965</v>
      </c>
      <c r="M1518" s="1">
        <v>46224.91962439815</v>
      </c>
    </row>
    <row r="1519" spans="1:13" x14ac:dyDescent="0.35">
      <c r="A1519" t="s">
        <v>382</v>
      </c>
      <c r="B1519" t="s">
        <v>1986</v>
      </c>
      <c r="C1519" t="s">
        <v>2474</v>
      </c>
      <c r="D1519">
        <v>4</v>
      </c>
      <c r="E1519" s="1">
        <v>47695</v>
      </c>
      <c r="F1519" t="s">
        <v>1988</v>
      </c>
      <c r="G1519" t="s">
        <v>2474</v>
      </c>
      <c r="H1519" t="s">
        <v>2</v>
      </c>
      <c r="I1519" s="1">
        <v>46224</v>
      </c>
      <c r="J1519" t="s">
        <v>1989</v>
      </c>
      <c r="K1519" t="s">
        <v>2610</v>
      </c>
      <c r="L1519" s="1">
        <v>46224.918321759258</v>
      </c>
      <c r="M1519" s="1">
        <v>46224.91962439815</v>
      </c>
    </row>
    <row r="1520" spans="1:13" x14ac:dyDescent="0.35">
      <c r="A1520" t="s">
        <v>382</v>
      </c>
      <c r="B1520" t="s">
        <v>1986</v>
      </c>
      <c r="C1520" t="s">
        <v>2474</v>
      </c>
      <c r="D1520">
        <v>4</v>
      </c>
      <c r="E1520" s="1">
        <v>47695</v>
      </c>
      <c r="F1520" t="s">
        <v>1988</v>
      </c>
      <c r="G1520" t="s">
        <v>2474</v>
      </c>
      <c r="H1520" t="s">
        <v>2</v>
      </c>
      <c r="I1520" s="1">
        <v>46224</v>
      </c>
      <c r="J1520" t="s">
        <v>2146</v>
      </c>
      <c r="K1520" t="s">
        <v>2644</v>
      </c>
      <c r="L1520" s="1">
        <v>46224.917650462965</v>
      </c>
      <c r="M1520" s="1">
        <v>46224.91962439815</v>
      </c>
    </row>
    <row r="1521" spans="1:13" x14ac:dyDescent="0.35">
      <c r="A1521" t="s">
        <v>382</v>
      </c>
      <c r="B1521" t="s">
        <v>1986</v>
      </c>
      <c r="C1521" t="s">
        <v>2474</v>
      </c>
      <c r="D1521">
        <v>4</v>
      </c>
      <c r="E1521" s="1">
        <v>47695</v>
      </c>
      <c r="F1521" t="s">
        <v>1988</v>
      </c>
      <c r="G1521" t="s">
        <v>2474</v>
      </c>
      <c r="H1521" t="s">
        <v>2</v>
      </c>
      <c r="I1521" s="1">
        <v>46224</v>
      </c>
      <c r="J1521" t="s">
        <v>1991</v>
      </c>
      <c r="K1521" t="s">
        <v>3909</v>
      </c>
      <c r="L1521" s="1">
        <v>46224.918321759258</v>
      </c>
      <c r="M1521" s="1">
        <v>46224.91962439815</v>
      </c>
    </row>
    <row r="1522" spans="1:13" x14ac:dyDescent="0.35">
      <c r="A1522" t="s">
        <v>343</v>
      </c>
      <c r="B1522" t="s">
        <v>1986</v>
      </c>
      <c r="C1522" t="s">
        <v>2476</v>
      </c>
      <c r="D1522">
        <v>3.875</v>
      </c>
      <c r="E1522" s="1">
        <v>48806</v>
      </c>
      <c r="F1522" t="s">
        <v>1988</v>
      </c>
      <c r="G1522" t="s">
        <v>2476</v>
      </c>
      <c r="H1522" t="s">
        <v>2</v>
      </c>
      <c r="I1522" s="1">
        <v>46224</v>
      </c>
      <c r="J1522" t="s">
        <v>2146</v>
      </c>
      <c r="K1522" t="s">
        <v>3624</v>
      </c>
      <c r="L1522" s="1">
        <v>46224.917650462965</v>
      </c>
      <c r="M1522" s="1">
        <v>46224.91962439815</v>
      </c>
    </row>
    <row r="1523" spans="1:13" x14ac:dyDescent="0.35">
      <c r="A1523" t="s">
        <v>343</v>
      </c>
      <c r="B1523" t="s">
        <v>1986</v>
      </c>
      <c r="C1523" t="s">
        <v>2476</v>
      </c>
      <c r="D1523">
        <v>3.875</v>
      </c>
      <c r="E1523" s="1">
        <v>48806</v>
      </c>
      <c r="F1523" t="s">
        <v>1988</v>
      </c>
      <c r="G1523" t="s">
        <v>2476</v>
      </c>
      <c r="H1523" t="s">
        <v>2</v>
      </c>
      <c r="I1523" s="1">
        <v>46224</v>
      </c>
      <c r="J1523" t="s">
        <v>2108</v>
      </c>
      <c r="K1523" t="s">
        <v>3624</v>
      </c>
      <c r="L1523" s="1">
        <v>46224.917650462965</v>
      </c>
      <c r="M1523" s="1">
        <v>46224.91962439815</v>
      </c>
    </row>
    <row r="1524" spans="1:13" x14ac:dyDescent="0.35">
      <c r="A1524" t="s">
        <v>343</v>
      </c>
      <c r="B1524" t="s">
        <v>1986</v>
      </c>
      <c r="C1524" t="s">
        <v>2476</v>
      </c>
      <c r="D1524">
        <v>3.875</v>
      </c>
      <c r="E1524" s="1">
        <v>48806</v>
      </c>
      <c r="F1524" t="s">
        <v>1988</v>
      </c>
      <c r="G1524" t="s">
        <v>2476</v>
      </c>
      <c r="H1524" t="s">
        <v>2</v>
      </c>
      <c r="I1524" s="1">
        <v>46224</v>
      </c>
      <c r="J1524" t="s">
        <v>2064</v>
      </c>
      <c r="K1524" t="s">
        <v>3625</v>
      </c>
      <c r="L1524" s="1">
        <v>46224.917650462965</v>
      </c>
      <c r="M1524" s="1">
        <v>46224.91962439815</v>
      </c>
    </row>
    <row r="1525" spans="1:13" x14ac:dyDescent="0.35">
      <c r="A1525" t="s">
        <v>343</v>
      </c>
      <c r="B1525" t="s">
        <v>1986</v>
      </c>
      <c r="C1525" t="s">
        <v>2476</v>
      </c>
      <c r="D1525">
        <v>3.875</v>
      </c>
      <c r="E1525" s="1">
        <v>48806</v>
      </c>
      <c r="F1525" t="s">
        <v>1988</v>
      </c>
      <c r="G1525" t="s">
        <v>2476</v>
      </c>
      <c r="H1525" t="s">
        <v>2</v>
      </c>
      <c r="I1525" s="1">
        <v>46224</v>
      </c>
      <c r="J1525" t="s">
        <v>2065</v>
      </c>
      <c r="K1525" t="s">
        <v>3625</v>
      </c>
      <c r="L1525" s="1">
        <v>46224.917650462965</v>
      </c>
      <c r="M1525" s="1">
        <v>46224.91962439815</v>
      </c>
    </row>
    <row r="1526" spans="1:13" x14ac:dyDescent="0.35">
      <c r="A1526" t="s">
        <v>343</v>
      </c>
      <c r="B1526" t="s">
        <v>1986</v>
      </c>
      <c r="C1526" t="s">
        <v>2476</v>
      </c>
      <c r="D1526">
        <v>3.875</v>
      </c>
      <c r="E1526" s="1">
        <v>48806</v>
      </c>
      <c r="F1526" t="s">
        <v>1988</v>
      </c>
      <c r="G1526" t="s">
        <v>2476</v>
      </c>
      <c r="H1526" t="s">
        <v>2</v>
      </c>
      <c r="I1526" s="1">
        <v>46224</v>
      </c>
      <c r="J1526" t="s">
        <v>1989</v>
      </c>
      <c r="K1526" t="s">
        <v>3835</v>
      </c>
      <c r="L1526" s="1">
        <v>46224.918321759258</v>
      </c>
      <c r="M1526" s="1">
        <v>46224.91962439815</v>
      </c>
    </row>
    <row r="1527" spans="1:13" x14ac:dyDescent="0.35">
      <c r="A1527" t="s">
        <v>343</v>
      </c>
      <c r="B1527" t="s">
        <v>1986</v>
      </c>
      <c r="C1527" t="s">
        <v>2476</v>
      </c>
      <c r="D1527">
        <v>3.875</v>
      </c>
      <c r="E1527" s="1">
        <v>48806</v>
      </c>
      <c r="F1527" t="s">
        <v>1988</v>
      </c>
      <c r="G1527" t="s">
        <v>2476</v>
      </c>
      <c r="H1527" t="s">
        <v>2</v>
      </c>
      <c r="I1527" s="1">
        <v>46224</v>
      </c>
      <c r="J1527" t="s">
        <v>1991</v>
      </c>
      <c r="K1527" t="s">
        <v>4136</v>
      </c>
      <c r="L1527" s="1">
        <v>46224.918321759258</v>
      </c>
      <c r="M1527" s="1">
        <v>46224.91962439815</v>
      </c>
    </row>
    <row r="1528" spans="1:13" x14ac:dyDescent="0.35">
      <c r="A1528" t="s">
        <v>358</v>
      </c>
      <c r="B1528" t="s">
        <v>1986</v>
      </c>
      <c r="C1528" t="s">
        <v>2477</v>
      </c>
      <c r="D1528">
        <v>4.375</v>
      </c>
      <c r="E1528" s="1">
        <v>46249</v>
      </c>
      <c r="F1528" t="s">
        <v>1988</v>
      </c>
      <c r="G1528" t="s">
        <v>2477</v>
      </c>
      <c r="H1528" t="s">
        <v>2</v>
      </c>
      <c r="I1528" s="1">
        <v>46224</v>
      </c>
      <c r="J1528" t="s">
        <v>1991</v>
      </c>
      <c r="K1528" t="s">
        <v>2760</v>
      </c>
      <c r="L1528" s="1">
        <v>46224.918321759258</v>
      </c>
      <c r="M1528" s="1">
        <v>46224.91962439815</v>
      </c>
    </row>
    <row r="1529" spans="1:13" x14ac:dyDescent="0.35">
      <c r="A1529" t="s">
        <v>358</v>
      </c>
      <c r="B1529" t="s">
        <v>1986</v>
      </c>
      <c r="C1529" t="s">
        <v>2477</v>
      </c>
      <c r="D1529">
        <v>4.375</v>
      </c>
      <c r="E1529" s="1">
        <v>46249</v>
      </c>
      <c r="F1529" t="s">
        <v>1988</v>
      </c>
      <c r="G1529" t="s">
        <v>2477</v>
      </c>
      <c r="H1529" t="s">
        <v>2</v>
      </c>
      <c r="I1529" s="1">
        <v>46224</v>
      </c>
      <c r="J1529" t="s">
        <v>2065</v>
      </c>
      <c r="K1529" t="s">
        <v>3626</v>
      </c>
      <c r="L1529" s="1">
        <v>46224.917650462965</v>
      </c>
      <c r="M1529" s="1">
        <v>46224.91962439815</v>
      </c>
    </row>
    <row r="1530" spans="1:13" x14ac:dyDescent="0.35">
      <c r="A1530" t="s">
        <v>358</v>
      </c>
      <c r="B1530" t="s">
        <v>1986</v>
      </c>
      <c r="C1530" t="s">
        <v>2477</v>
      </c>
      <c r="D1530">
        <v>4.375</v>
      </c>
      <c r="E1530" s="1">
        <v>46249</v>
      </c>
      <c r="F1530" t="s">
        <v>1988</v>
      </c>
      <c r="G1530" t="s">
        <v>2477</v>
      </c>
      <c r="H1530" t="s">
        <v>2</v>
      </c>
      <c r="I1530" s="1">
        <v>46224</v>
      </c>
      <c r="J1530" t="s">
        <v>2108</v>
      </c>
      <c r="K1530" t="s">
        <v>3631</v>
      </c>
      <c r="L1530" s="1">
        <v>46224.917650462965</v>
      </c>
      <c r="M1530" s="1">
        <v>46224.91962439815</v>
      </c>
    </row>
    <row r="1531" spans="1:13" x14ac:dyDescent="0.35">
      <c r="A1531" t="s">
        <v>358</v>
      </c>
      <c r="B1531" t="s">
        <v>1986</v>
      </c>
      <c r="C1531" t="s">
        <v>2477</v>
      </c>
      <c r="D1531">
        <v>4.375</v>
      </c>
      <c r="E1531" s="1">
        <v>46249</v>
      </c>
      <c r="F1531" t="s">
        <v>1988</v>
      </c>
      <c r="G1531" t="s">
        <v>2477</v>
      </c>
      <c r="H1531" t="s">
        <v>2</v>
      </c>
      <c r="I1531" s="1">
        <v>46224</v>
      </c>
      <c r="J1531" t="s">
        <v>1989</v>
      </c>
      <c r="K1531" t="s">
        <v>2491</v>
      </c>
      <c r="L1531" s="1">
        <v>46224.918321759258</v>
      </c>
      <c r="M1531" s="1">
        <v>46224.91962439815</v>
      </c>
    </row>
    <row r="1532" spans="1:13" x14ac:dyDescent="0.35">
      <c r="A1532" t="s">
        <v>358</v>
      </c>
      <c r="B1532" t="s">
        <v>1986</v>
      </c>
      <c r="C1532" t="s">
        <v>2477</v>
      </c>
      <c r="D1532">
        <v>4.375</v>
      </c>
      <c r="E1532" s="1">
        <v>46249</v>
      </c>
      <c r="F1532" t="s">
        <v>1988</v>
      </c>
      <c r="G1532" t="s">
        <v>2477</v>
      </c>
      <c r="H1532" t="s">
        <v>2</v>
      </c>
      <c r="I1532" s="1">
        <v>46224</v>
      </c>
      <c r="J1532" t="s">
        <v>2064</v>
      </c>
      <c r="K1532" t="s">
        <v>3626</v>
      </c>
      <c r="L1532" s="1">
        <v>46224.917650462965</v>
      </c>
      <c r="M1532" s="1">
        <v>46224.91962439815</v>
      </c>
    </row>
    <row r="1533" spans="1:13" x14ac:dyDescent="0.35">
      <c r="A1533" t="s">
        <v>358</v>
      </c>
      <c r="B1533" t="s">
        <v>1986</v>
      </c>
      <c r="C1533" t="s">
        <v>2477</v>
      </c>
      <c r="D1533">
        <v>4.375</v>
      </c>
      <c r="E1533" s="1">
        <v>46249</v>
      </c>
      <c r="F1533" t="s">
        <v>1988</v>
      </c>
      <c r="G1533" t="s">
        <v>2477</v>
      </c>
      <c r="H1533" t="s">
        <v>2</v>
      </c>
      <c r="I1533" s="1">
        <v>46224</v>
      </c>
      <c r="J1533" t="s">
        <v>2146</v>
      </c>
      <c r="K1533" t="s">
        <v>3631</v>
      </c>
      <c r="L1533" s="1">
        <v>46224.917650462965</v>
      </c>
      <c r="M1533" s="1">
        <v>46224.91962439815</v>
      </c>
    </row>
    <row r="1534" spans="1:13" x14ac:dyDescent="0.35">
      <c r="A1534" t="s">
        <v>359</v>
      </c>
      <c r="B1534" t="s">
        <v>1986</v>
      </c>
      <c r="C1534" t="s">
        <v>2522</v>
      </c>
      <c r="D1534">
        <v>4.125</v>
      </c>
      <c r="E1534" s="1">
        <v>47726</v>
      </c>
      <c r="F1534" t="s">
        <v>1988</v>
      </c>
      <c r="G1534" t="s">
        <v>2522</v>
      </c>
      <c r="H1534" t="s">
        <v>2</v>
      </c>
      <c r="I1534" s="1">
        <v>46224</v>
      </c>
      <c r="J1534" t="s">
        <v>2064</v>
      </c>
      <c r="K1534" t="s">
        <v>2650</v>
      </c>
      <c r="L1534" s="1">
        <v>46224.917650462965</v>
      </c>
      <c r="M1534" s="1">
        <v>46224.91962439815</v>
      </c>
    </row>
    <row r="1535" spans="1:13" x14ac:dyDescent="0.35">
      <c r="A1535" t="s">
        <v>359</v>
      </c>
      <c r="B1535" t="s">
        <v>1986</v>
      </c>
      <c r="C1535" t="s">
        <v>2522</v>
      </c>
      <c r="D1535">
        <v>4.125</v>
      </c>
      <c r="E1535" s="1">
        <v>47726</v>
      </c>
      <c r="F1535" t="s">
        <v>1988</v>
      </c>
      <c r="G1535" t="s">
        <v>2522</v>
      </c>
      <c r="H1535" t="s">
        <v>2</v>
      </c>
      <c r="I1535" s="1">
        <v>46224</v>
      </c>
      <c r="J1535" t="s">
        <v>2108</v>
      </c>
      <c r="K1535" t="s">
        <v>2587</v>
      </c>
      <c r="L1535" s="1">
        <v>46224.917650462965</v>
      </c>
      <c r="M1535" s="1">
        <v>46224.91962439815</v>
      </c>
    </row>
    <row r="1536" spans="1:13" x14ac:dyDescent="0.35">
      <c r="A1536" t="s">
        <v>359</v>
      </c>
      <c r="B1536" t="s">
        <v>1986</v>
      </c>
      <c r="C1536" t="s">
        <v>2522</v>
      </c>
      <c r="D1536">
        <v>4.125</v>
      </c>
      <c r="E1536" s="1">
        <v>47726</v>
      </c>
      <c r="F1536" t="s">
        <v>1988</v>
      </c>
      <c r="G1536" t="s">
        <v>2522</v>
      </c>
      <c r="H1536" t="s">
        <v>2</v>
      </c>
      <c r="I1536" s="1">
        <v>46224</v>
      </c>
      <c r="J1536" t="s">
        <v>1989</v>
      </c>
      <c r="K1536" t="s">
        <v>4137</v>
      </c>
      <c r="L1536" s="1">
        <v>46224.918321759258</v>
      </c>
      <c r="M1536" s="1">
        <v>46224.91962439815</v>
      </c>
    </row>
    <row r="1537" spans="1:13" x14ac:dyDescent="0.35">
      <c r="A1537" t="s">
        <v>359</v>
      </c>
      <c r="B1537" t="s">
        <v>1986</v>
      </c>
      <c r="C1537" t="s">
        <v>2522</v>
      </c>
      <c r="D1537">
        <v>4.125</v>
      </c>
      <c r="E1537" s="1">
        <v>47726</v>
      </c>
      <c r="F1537" t="s">
        <v>1988</v>
      </c>
      <c r="G1537" t="s">
        <v>2522</v>
      </c>
      <c r="H1537" t="s">
        <v>2</v>
      </c>
      <c r="I1537" s="1">
        <v>46224</v>
      </c>
      <c r="J1537" t="s">
        <v>1991</v>
      </c>
      <c r="K1537" t="s">
        <v>2348</v>
      </c>
      <c r="L1537" s="1">
        <v>46224.918321759258</v>
      </c>
      <c r="M1537" s="1">
        <v>46224.91962439815</v>
      </c>
    </row>
    <row r="1538" spans="1:13" x14ac:dyDescent="0.35">
      <c r="A1538" t="s">
        <v>359</v>
      </c>
      <c r="B1538" t="s">
        <v>1986</v>
      </c>
      <c r="C1538" t="s">
        <v>2522</v>
      </c>
      <c r="D1538">
        <v>4.125</v>
      </c>
      <c r="E1538" s="1">
        <v>47726</v>
      </c>
      <c r="F1538" t="s">
        <v>1988</v>
      </c>
      <c r="G1538" t="s">
        <v>2522</v>
      </c>
      <c r="H1538" t="s">
        <v>2</v>
      </c>
      <c r="I1538" s="1">
        <v>46224</v>
      </c>
      <c r="J1538" t="s">
        <v>2146</v>
      </c>
      <c r="K1538" t="s">
        <v>2587</v>
      </c>
      <c r="L1538" s="1">
        <v>46224.917650462965</v>
      </c>
      <c r="M1538" s="1">
        <v>46224.91962439815</v>
      </c>
    </row>
    <row r="1539" spans="1:13" x14ac:dyDescent="0.35">
      <c r="A1539" t="s">
        <v>359</v>
      </c>
      <c r="B1539" t="s">
        <v>1986</v>
      </c>
      <c r="C1539" t="s">
        <v>2522</v>
      </c>
      <c r="D1539">
        <v>4.125</v>
      </c>
      <c r="E1539" s="1">
        <v>47726</v>
      </c>
      <c r="F1539" t="s">
        <v>1988</v>
      </c>
      <c r="G1539" t="s">
        <v>2522</v>
      </c>
      <c r="H1539" t="s">
        <v>2</v>
      </c>
      <c r="I1539" s="1">
        <v>46224</v>
      </c>
      <c r="J1539" t="s">
        <v>2065</v>
      </c>
      <c r="K1539" t="s">
        <v>2650</v>
      </c>
      <c r="L1539" s="1">
        <v>46224.917650462965</v>
      </c>
      <c r="M1539" s="1">
        <v>46224.91962439815</v>
      </c>
    </row>
    <row r="1540" spans="1:13" x14ac:dyDescent="0.35">
      <c r="A1540" t="s">
        <v>344</v>
      </c>
      <c r="B1540" t="s">
        <v>1986</v>
      </c>
      <c r="C1540" t="s">
        <v>2478</v>
      </c>
      <c r="D1540">
        <v>4.375</v>
      </c>
      <c r="E1540" s="1">
        <v>46996</v>
      </c>
      <c r="F1540" t="s">
        <v>1988</v>
      </c>
      <c r="G1540" t="s">
        <v>2478</v>
      </c>
      <c r="H1540" t="s">
        <v>2</v>
      </c>
      <c r="I1540" s="1">
        <v>46224</v>
      </c>
      <c r="J1540" t="s">
        <v>2065</v>
      </c>
      <c r="K1540" t="s">
        <v>2883</v>
      </c>
      <c r="L1540" s="1">
        <v>46224.917650462965</v>
      </c>
      <c r="M1540" s="1">
        <v>46224.91962439815</v>
      </c>
    </row>
    <row r="1541" spans="1:13" x14ac:dyDescent="0.35">
      <c r="A1541" t="s">
        <v>344</v>
      </c>
      <c r="B1541" t="s">
        <v>1986</v>
      </c>
      <c r="C1541" t="s">
        <v>2478</v>
      </c>
      <c r="D1541">
        <v>4.375</v>
      </c>
      <c r="E1541" s="1">
        <v>46996</v>
      </c>
      <c r="F1541" t="s">
        <v>1988</v>
      </c>
      <c r="G1541" t="s">
        <v>2478</v>
      </c>
      <c r="H1541" t="s">
        <v>2</v>
      </c>
      <c r="I1541" s="1">
        <v>46224</v>
      </c>
      <c r="J1541" t="s">
        <v>1989</v>
      </c>
      <c r="K1541" t="s">
        <v>3632</v>
      </c>
      <c r="L1541" s="1">
        <v>46224.918321759258</v>
      </c>
      <c r="M1541" s="1">
        <v>46224.91962439815</v>
      </c>
    </row>
    <row r="1542" spans="1:13" x14ac:dyDescent="0.35">
      <c r="A1542" t="s">
        <v>344</v>
      </c>
      <c r="B1542" t="s">
        <v>1986</v>
      </c>
      <c r="C1542" t="s">
        <v>2478</v>
      </c>
      <c r="D1542">
        <v>4.375</v>
      </c>
      <c r="E1542" s="1">
        <v>46996</v>
      </c>
      <c r="F1542" t="s">
        <v>1988</v>
      </c>
      <c r="G1542" t="s">
        <v>2478</v>
      </c>
      <c r="H1542" t="s">
        <v>2</v>
      </c>
      <c r="I1542" s="1">
        <v>46224</v>
      </c>
      <c r="J1542" t="s">
        <v>1991</v>
      </c>
      <c r="K1542" t="s">
        <v>2560</v>
      </c>
      <c r="L1542" s="1">
        <v>46224.918321759258</v>
      </c>
      <c r="M1542" s="1">
        <v>46224.91962439815</v>
      </c>
    </row>
    <row r="1543" spans="1:13" x14ac:dyDescent="0.35">
      <c r="A1543" t="s">
        <v>344</v>
      </c>
      <c r="B1543" t="s">
        <v>1986</v>
      </c>
      <c r="C1543" t="s">
        <v>2478</v>
      </c>
      <c r="D1543">
        <v>4.375</v>
      </c>
      <c r="E1543" s="1">
        <v>46996</v>
      </c>
      <c r="F1543" t="s">
        <v>1988</v>
      </c>
      <c r="G1543" t="s">
        <v>2478</v>
      </c>
      <c r="H1543" t="s">
        <v>2</v>
      </c>
      <c r="I1543" s="1">
        <v>46224</v>
      </c>
      <c r="J1543" t="s">
        <v>2146</v>
      </c>
      <c r="K1543" t="s">
        <v>2993</v>
      </c>
      <c r="L1543" s="1">
        <v>46224.917650462965</v>
      </c>
      <c r="M1543" s="1">
        <v>46224.91962439815</v>
      </c>
    </row>
    <row r="1544" spans="1:13" x14ac:dyDescent="0.35">
      <c r="A1544" t="s">
        <v>344</v>
      </c>
      <c r="B1544" t="s">
        <v>1986</v>
      </c>
      <c r="C1544" t="s">
        <v>2478</v>
      </c>
      <c r="D1544">
        <v>4.375</v>
      </c>
      <c r="E1544" s="1">
        <v>46996</v>
      </c>
      <c r="F1544" t="s">
        <v>1988</v>
      </c>
      <c r="G1544" t="s">
        <v>2478</v>
      </c>
      <c r="H1544" t="s">
        <v>2</v>
      </c>
      <c r="I1544" s="1">
        <v>46224</v>
      </c>
      <c r="J1544" t="s">
        <v>2108</v>
      </c>
      <c r="K1544" t="s">
        <v>2993</v>
      </c>
      <c r="L1544" s="1">
        <v>46224.917650462965</v>
      </c>
      <c r="M1544" s="1">
        <v>46224.91962439815</v>
      </c>
    </row>
    <row r="1545" spans="1:13" x14ac:dyDescent="0.35">
      <c r="A1545" t="s">
        <v>344</v>
      </c>
      <c r="B1545" t="s">
        <v>1986</v>
      </c>
      <c r="C1545" t="s">
        <v>2478</v>
      </c>
      <c r="D1545">
        <v>4.375</v>
      </c>
      <c r="E1545" s="1">
        <v>46996</v>
      </c>
      <c r="F1545" t="s">
        <v>1988</v>
      </c>
      <c r="G1545" t="s">
        <v>2478</v>
      </c>
      <c r="H1545" t="s">
        <v>2</v>
      </c>
      <c r="I1545" s="1">
        <v>46224</v>
      </c>
      <c r="J1545" t="s">
        <v>2064</v>
      </c>
      <c r="K1545" t="s">
        <v>2883</v>
      </c>
      <c r="L1545" s="1">
        <v>46224.917650462965</v>
      </c>
      <c r="M1545" s="1">
        <v>46224.91962439815</v>
      </c>
    </row>
    <row r="1546" spans="1:13" x14ac:dyDescent="0.35">
      <c r="A1546" t="s">
        <v>345</v>
      </c>
      <c r="B1546" t="s">
        <v>1986</v>
      </c>
      <c r="C1546" t="s">
        <v>2569</v>
      </c>
      <c r="D1546">
        <v>4.625</v>
      </c>
      <c r="E1546" s="1">
        <v>46280</v>
      </c>
      <c r="F1546" t="s">
        <v>1988</v>
      </c>
      <c r="G1546" t="s">
        <v>2569</v>
      </c>
      <c r="H1546" t="s">
        <v>2</v>
      </c>
      <c r="I1546" s="1">
        <v>46224</v>
      </c>
      <c r="J1546" t="s">
        <v>2065</v>
      </c>
      <c r="K1546" t="s">
        <v>3824</v>
      </c>
      <c r="L1546" s="1">
        <v>46224.917650462965</v>
      </c>
      <c r="M1546" s="1">
        <v>46224.91962439815</v>
      </c>
    </row>
    <row r="1547" spans="1:13" x14ac:dyDescent="0.35">
      <c r="A1547" t="s">
        <v>345</v>
      </c>
      <c r="B1547" t="s">
        <v>1986</v>
      </c>
      <c r="C1547" t="s">
        <v>2569</v>
      </c>
      <c r="D1547">
        <v>4.625</v>
      </c>
      <c r="E1547" s="1">
        <v>46280</v>
      </c>
      <c r="F1547" t="s">
        <v>1988</v>
      </c>
      <c r="G1547" t="s">
        <v>2569</v>
      </c>
      <c r="H1547" t="s">
        <v>2</v>
      </c>
      <c r="I1547" s="1">
        <v>46224</v>
      </c>
      <c r="J1547" t="s">
        <v>1991</v>
      </c>
      <c r="K1547" t="s">
        <v>3731</v>
      </c>
      <c r="L1547" s="1">
        <v>46224.918321759258</v>
      </c>
      <c r="M1547" s="1">
        <v>46224.91962439815</v>
      </c>
    </row>
    <row r="1548" spans="1:13" x14ac:dyDescent="0.35">
      <c r="A1548" t="s">
        <v>345</v>
      </c>
      <c r="B1548" t="s">
        <v>1986</v>
      </c>
      <c r="C1548" t="s">
        <v>2569</v>
      </c>
      <c r="D1548">
        <v>4.625</v>
      </c>
      <c r="E1548" s="1">
        <v>46280</v>
      </c>
      <c r="F1548" t="s">
        <v>1988</v>
      </c>
      <c r="G1548" t="s">
        <v>2569</v>
      </c>
      <c r="H1548" t="s">
        <v>2</v>
      </c>
      <c r="I1548" s="1">
        <v>46224</v>
      </c>
      <c r="J1548" t="s">
        <v>2146</v>
      </c>
      <c r="K1548" t="s">
        <v>3035</v>
      </c>
      <c r="L1548" s="1">
        <v>46224.917650462965</v>
      </c>
      <c r="M1548" s="1">
        <v>46224.91962439815</v>
      </c>
    </row>
    <row r="1549" spans="1:13" x14ac:dyDescent="0.35">
      <c r="A1549" t="s">
        <v>345</v>
      </c>
      <c r="B1549" t="s">
        <v>1986</v>
      </c>
      <c r="C1549" t="s">
        <v>2569</v>
      </c>
      <c r="D1549">
        <v>4.625</v>
      </c>
      <c r="E1549" s="1">
        <v>46280</v>
      </c>
      <c r="F1549" t="s">
        <v>1988</v>
      </c>
      <c r="G1549" t="s">
        <v>2569</v>
      </c>
      <c r="H1549" t="s">
        <v>2</v>
      </c>
      <c r="I1549" s="1">
        <v>46224</v>
      </c>
      <c r="J1549" t="s">
        <v>1989</v>
      </c>
      <c r="K1549" t="s">
        <v>3836</v>
      </c>
      <c r="L1549" s="1">
        <v>46224.918321759258</v>
      </c>
      <c r="M1549" s="1">
        <v>46224.91962439815</v>
      </c>
    </row>
    <row r="1550" spans="1:13" x14ac:dyDescent="0.35">
      <c r="A1550" t="s">
        <v>345</v>
      </c>
      <c r="B1550" t="s">
        <v>1986</v>
      </c>
      <c r="C1550" t="s">
        <v>2569</v>
      </c>
      <c r="D1550">
        <v>4.625</v>
      </c>
      <c r="E1550" s="1">
        <v>46280</v>
      </c>
      <c r="F1550" t="s">
        <v>1988</v>
      </c>
      <c r="G1550" t="s">
        <v>2569</v>
      </c>
      <c r="H1550" t="s">
        <v>2</v>
      </c>
      <c r="I1550" s="1">
        <v>46224</v>
      </c>
      <c r="J1550" t="s">
        <v>2108</v>
      </c>
      <c r="K1550" t="s">
        <v>3035</v>
      </c>
      <c r="L1550" s="1">
        <v>46224.917650462965</v>
      </c>
      <c r="M1550" s="1">
        <v>46224.91962439815</v>
      </c>
    </row>
    <row r="1551" spans="1:13" x14ac:dyDescent="0.35">
      <c r="A1551" t="s">
        <v>345</v>
      </c>
      <c r="B1551" t="s">
        <v>1986</v>
      </c>
      <c r="C1551" t="s">
        <v>2569</v>
      </c>
      <c r="D1551">
        <v>4.625</v>
      </c>
      <c r="E1551" s="1">
        <v>46280</v>
      </c>
      <c r="F1551" t="s">
        <v>1988</v>
      </c>
      <c r="G1551" t="s">
        <v>2569</v>
      </c>
      <c r="H1551" t="s">
        <v>2</v>
      </c>
      <c r="I1551" s="1">
        <v>46224</v>
      </c>
      <c r="J1551" t="s">
        <v>2064</v>
      </c>
      <c r="K1551" t="s">
        <v>3824</v>
      </c>
      <c r="L1551" s="1">
        <v>46224.917650462965</v>
      </c>
      <c r="M1551" s="1">
        <v>46224.91962439815</v>
      </c>
    </row>
    <row r="1552" spans="1:13" x14ac:dyDescent="0.35">
      <c r="A1552" t="s">
        <v>360</v>
      </c>
      <c r="B1552" t="s">
        <v>1986</v>
      </c>
      <c r="C1552" t="s">
        <v>2479</v>
      </c>
      <c r="D1552">
        <v>4.625</v>
      </c>
      <c r="E1552" s="1">
        <v>47756</v>
      </c>
      <c r="F1552" t="s">
        <v>1988</v>
      </c>
      <c r="G1552" t="s">
        <v>2479</v>
      </c>
      <c r="H1552" t="s">
        <v>2</v>
      </c>
      <c r="I1552" s="1">
        <v>46224</v>
      </c>
      <c r="J1552" t="s">
        <v>2108</v>
      </c>
      <c r="K1552" t="s">
        <v>2717</v>
      </c>
      <c r="L1552" s="1">
        <v>46224.917650462965</v>
      </c>
      <c r="M1552" s="1">
        <v>46224.91962439815</v>
      </c>
    </row>
    <row r="1553" spans="1:13" x14ac:dyDescent="0.35">
      <c r="A1553" t="s">
        <v>360</v>
      </c>
      <c r="B1553" t="s">
        <v>1986</v>
      </c>
      <c r="C1553" t="s">
        <v>2479</v>
      </c>
      <c r="D1553">
        <v>4.625</v>
      </c>
      <c r="E1553" s="1">
        <v>47756</v>
      </c>
      <c r="F1553" t="s">
        <v>1988</v>
      </c>
      <c r="G1553" t="s">
        <v>2479</v>
      </c>
      <c r="H1553" t="s">
        <v>2</v>
      </c>
      <c r="I1553" s="1">
        <v>46224</v>
      </c>
      <c r="J1553" t="s">
        <v>2065</v>
      </c>
      <c r="K1553" t="s">
        <v>2328</v>
      </c>
      <c r="L1553" s="1">
        <v>46224.917650462965</v>
      </c>
      <c r="M1553" s="1">
        <v>46224.91962439815</v>
      </c>
    </row>
    <row r="1554" spans="1:13" x14ac:dyDescent="0.35">
      <c r="A1554" t="s">
        <v>360</v>
      </c>
      <c r="B1554" t="s">
        <v>1986</v>
      </c>
      <c r="C1554" t="s">
        <v>2479</v>
      </c>
      <c r="D1554">
        <v>4.625</v>
      </c>
      <c r="E1554" s="1">
        <v>47756</v>
      </c>
      <c r="F1554" t="s">
        <v>1988</v>
      </c>
      <c r="G1554" t="s">
        <v>2479</v>
      </c>
      <c r="H1554" t="s">
        <v>2</v>
      </c>
      <c r="I1554" s="1">
        <v>46224</v>
      </c>
      <c r="J1554" t="s">
        <v>2064</v>
      </c>
      <c r="K1554" t="s">
        <v>2328</v>
      </c>
      <c r="L1554" s="1">
        <v>46224.917650462965</v>
      </c>
      <c r="M1554" s="1">
        <v>46224.91962439815</v>
      </c>
    </row>
    <row r="1555" spans="1:13" x14ac:dyDescent="0.35">
      <c r="A1555" t="s">
        <v>360</v>
      </c>
      <c r="B1555" t="s">
        <v>1986</v>
      </c>
      <c r="C1555" t="s">
        <v>2479</v>
      </c>
      <c r="D1555">
        <v>4.625</v>
      </c>
      <c r="E1555" s="1">
        <v>47756</v>
      </c>
      <c r="F1555" t="s">
        <v>1988</v>
      </c>
      <c r="G1555" t="s">
        <v>2479</v>
      </c>
      <c r="H1555" t="s">
        <v>2</v>
      </c>
      <c r="I1555" s="1">
        <v>46224</v>
      </c>
      <c r="J1555" t="s">
        <v>1991</v>
      </c>
      <c r="K1555" t="s">
        <v>3896</v>
      </c>
      <c r="L1555" s="1">
        <v>46224.918321759258</v>
      </c>
      <c r="M1555" s="1">
        <v>46224.91962439815</v>
      </c>
    </row>
    <row r="1556" spans="1:13" x14ac:dyDescent="0.35">
      <c r="A1556" t="s">
        <v>360</v>
      </c>
      <c r="B1556" t="s">
        <v>1986</v>
      </c>
      <c r="C1556" t="s">
        <v>2479</v>
      </c>
      <c r="D1556">
        <v>4.625</v>
      </c>
      <c r="E1556" s="1">
        <v>47756</v>
      </c>
      <c r="F1556" t="s">
        <v>1988</v>
      </c>
      <c r="G1556" t="s">
        <v>2479</v>
      </c>
      <c r="H1556" t="s">
        <v>2</v>
      </c>
      <c r="I1556" s="1">
        <v>46224</v>
      </c>
      <c r="J1556" t="s">
        <v>2146</v>
      </c>
      <c r="K1556" t="s">
        <v>2717</v>
      </c>
      <c r="L1556" s="1">
        <v>46224.917650462965</v>
      </c>
      <c r="M1556" s="1">
        <v>46224.91962439815</v>
      </c>
    </row>
    <row r="1557" spans="1:13" x14ac:dyDescent="0.35">
      <c r="A1557" t="s">
        <v>360</v>
      </c>
      <c r="B1557" t="s">
        <v>1986</v>
      </c>
      <c r="C1557" t="s">
        <v>2479</v>
      </c>
      <c r="D1557">
        <v>4.625</v>
      </c>
      <c r="E1557" s="1">
        <v>47756</v>
      </c>
      <c r="F1557" t="s">
        <v>1988</v>
      </c>
      <c r="G1557" t="s">
        <v>2479</v>
      </c>
      <c r="H1557" t="s">
        <v>2</v>
      </c>
      <c r="I1557" s="1">
        <v>46224</v>
      </c>
      <c r="J1557" t="s">
        <v>1989</v>
      </c>
      <c r="K1557" t="s">
        <v>3738</v>
      </c>
      <c r="L1557" s="1">
        <v>46224.918321759258</v>
      </c>
      <c r="M1557" s="1">
        <v>46224.91962439815</v>
      </c>
    </row>
    <row r="1558" spans="1:13" x14ac:dyDescent="0.35">
      <c r="A1558" t="s">
        <v>361</v>
      </c>
      <c r="B1558" t="s">
        <v>1986</v>
      </c>
      <c r="C1558" t="s">
        <v>2524</v>
      </c>
      <c r="D1558">
        <v>4.625</v>
      </c>
      <c r="E1558" s="1">
        <v>47026</v>
      </c>
      <c r="F1558" t="s">
        <v>1988</v>
      </c>
      <c r="G1558" t="s">
        <v>2524</v>
      </c>
      <c r="H1558" t="s">
        <v>2</v>
      </c>
      <c r="I1558" s="1">
        <v>46224</v>
      </c>
      <c r="J1558" t="s">
        <v>1989</v>
      </c>
      <c r="K1558" t="s">
        <v>3017</v>
      </c>
      <c r="L1558" s="1">
        <v>46224.918321759258</v>
      </c>
      <c r="M1558" s="1">
        <v>46224.91962439815</v>
      </c>
    </row>
    <row r="1559" spans="1:13" x14ac:dyDescent="0.35">
      <c r="A1559" t="s">
        <v>361</v>
      </c>
      <c r="B1559" t="s">
        <v>1986</v>
      </c>
      <c r="C1559" t="s">
        <v>2524</v>
      </c>
      <c r="D1559">
        <v>4.625</v>
      </c>
      <c r="E1559" s="1">
        <v>47026</v>
      </c>
      <c r="F1559" t="s">
        <v>1988</v>
      </c>
      <c r="G1559" t="s">
        <v>2524</v>
      </c>
      <c r="H1559" t="s">
        <v>2</v>
      </c>
      <c r="I1559" s="1">
        <v>46224</v>
      </c>
      <c r="J1559" t="s">
        <v>2108</v>
      </c>
      <c r="K1559" t="s">
        <v>2771</v>
      </c>
      <c r="L1559" s="1">
        <v>46224.917650462965</v>
      </c>
      <c r="M1559" s="1">
        <v>46224.91962439815</v>
      </c>
    </row>
    <row r="1560" spans="1:13" x14ac:dyDescent="0.35">
      <c r="A1560" t="s">
        <v>361</v>
      </c>
      <c r="B1560" t="s">
        <v>1986</v>
      </c>
      <c r="C1560" t="s">
        <v>2524</v>
      </c>
      <c r="D1560">
        <v>4.625</v>
      </c>
      <c r="E1560" s="1">
        <v>47026</v>
      </c>
      <c r="F1560" t="s">
        <v>1988</v>
      </c>
      <c r="G1560" t="s">
        <v>2524</v>
      </c>
      <c r="H1560" t="s">
        <v>2</v>
      </c>
      <c r="I1560" s="1">
        <v>46224</v>
      </c>
      <c r="J1560" t="s">
        <v>1991</v>
      </c>
      <c r="K1560" t="s">
        <v>3633</v>
      </c>
      <c r="L1560" s="1">
        <v>46224.918321759258</v>
      </c>
      <c r="M1560" s="1">
        <v>46224.91962439815</v>
      </c>
    </row>
    <row r="1561" spans="1:13" x14ac:dyDescent="0.35">
      <c r="A1561" t="s">
        <v>361</v>
      </c>
      <c r="B1561" t="s">
        <v>1986</v>
      </c>
      <c r="C1561" t="s">
        <v>2524</v>
      </c>
      <c r="D1561">
        <v>4.625</v>
      </c>
      <c r="E1561" s="1">
        <v>47026</v>
      </c>
      <c r="F1561" t="s">
        <v>1988</v>
      </c>
      <c r="G1561" t="s">
        <v>2524</v>
      </c>
      <c r="H1561" t="s">
        <v>2</v>
      </c>
      <c r="I1561" s="1">
        <v>46224</v>
      </c>
      <c r="J1561" t="s">
        <v>2146</v>
      </c>
      <c r="K1561" t="s">
        <v>2771</v>
      </c>
      <c r="L1561" s="1">
        <v>46224.917650462965</v>
      </c>
      <c r="M1561" s="1">
        <v>46224.91962439815</v>
      </c>
    </row>
    <row r="1562" spans="1:13" x14ac:dyDescent="0.35">
      <c r="A1562" t="s">
        <v>361</v>
      </c>
      <c r="B1562" t="s">
        <v>1986</v>
      </c>
      <c r="C1562" t="s">
        <v>2524</v>
      </c>
      <c r="D1562">
        <v>4.625</v>
      </c>
      <c r="E1562" s="1">
        <v>47026</v>
      </c>
      <c r="F1562" t="s">
        <v>1988</v>
      </c>
      <c r="G1562" t="s">
        <v>2524</v>
      </c>
      <c r="H1562" t="s">
        <v>2</v>
      </c>
      <c r="I1562" s="1">
        <v>46224</v>
      </c>
      <c r="J1562" t="s">
        <v>2064</v>
      </c>
      <c r="K1562" t="s">
        <v>2452</v>
      </c>
      <c r="L1562" s="1">
        <v>46224.917650462965</v>
      </c>
      <c r="M1562" s="1">
        <v>46224.91962439815</v>
      </c>
    </row>
    <row r="1563" spans="1:13" x14ac:dyDescent="0.35">
      <c r="A1563" t="s">
        <v>361</v>
      </c>
      <c r="B1563" t="s">
        <v>1986</v>
      </c>
      <c r="C1563" t="s">
        <v>2524</v>
      </c>
      <c r="D1563">
        <v>4.625</v>
      </c>
      <c r="E1563" s="1">
        <v>47026</v>
      </c>
      <c r="F1563" t="s">
        <v>1988</v>
      </c>
      <c r="G1563" t="s">
        <v>2524</v>
      </c>
      <c r="H1563" t="s">
        <v>2</v>
      </c>
      <c r="I1563" s="1">
        <v>46224</v>
      </c>
      <c r="J1563" t="s">
        <v>2065</v>
      </c>
      <c r="K1563" t="s">
        <v>2452</v>
      </c>
      <c r="L1563" s="1">
        <v>46224.917650462965</v>
      </c>
      <c r="M1563" s="1">
        <v>46224.91962439815</v>
      </c>
    </row>
    <row r="1564" spans="1:13" x14ac:dyDescent="0.35">
      <c r="A1564" t="s">
        <v>346</v>
      </c>
      <c r="B1564" t="s">
        <v>1986</v>
      </c>
      <c r="C1564" t="s">
        <v>2480</v>
      </c>
      <c r="D1564">
        <v>4.625</v>
      </c>
      <c r="E1564" s="1">
        <v>46310</v>
      </c>
      <c r="F1564" t="s">
        <v>1988</v>
      </c>
      <c r="G1564" t="s">
        <v>2480</v>
      </c>
      <c r="H1564" t="s">
        <v>2</v>
      </c>
      <c r="I1564" s="1">
        <v>46224</v>
      </c>
      <c r="J1564" t="s">
        <v>2065</v>
      </c>
      <c r="K1564" t="s">
        <v>3732</v>
      </c>
      <c r="L1564" s="1">
        <v>46224.917650462965</v>
      </c>
      <c r="M1564" s="1">
        <v>46224.91962439815</v>
      </c>
    </row>
    <row r="1565" spans="1:13" x14ac:dyDescent="0.35">
      <c r="A1565" t="s">
        <v>346</v>
      </c>
      <c r="B1565" t="s">
        <v>1986</v>
      </c>
      <c r="C1565" t="s">
        <v>2480</v>
      </c>
      <c r="D1565">
        <v>4.625</v>
      </c>
      <c r="E1565" s="1">
        <v>46310</v>
      </c>
      <c r="F1565" t="s">
        <v>1988</v>
      </c>
      <c r="G1565" t="s">
        <v>2480</v>
      </c>
      <c r="H1565" t="s">
        <v>2</v>
      </c>
      <c r="I1565" s="1">
        <v>46224</v>
      </c>
      <c r="J1565" t="s">
        <v>2064</v>
      </c>
      <c r="K1565" t="s">
        <v>3732</v>
      </c>
      <c r="L1565" s="1">
        <v>46224.917650462965</v>
      </c>
      <c r="M1565" s="1">
        <v>46224.91962439815</v>
      </c>
    </row>
    <row r="1566" spans="1:13" x14ac:dyDescent="0.35">
      <c r="A1566" t="s">
        <v>346</v>
      </c>
      <c r="B1566" t="s">
        <v>1986</v>
      </c>
      <c r="C1566" t="s">
        <v>2480</v>
      </c>
      <c r="D1566">
        <v>4.625</v>
      </c>
      <c r="E1566" s="1">
        <v>46310</v>
      </c>
      <c r="F1566" t="s">
        <v>1988</v>
      </c>
      <c r="G1566" t="s">
        <v>2480</v>
      </c>
      <c r="H1566" t="s">
        <v>2</v>
      </c>
      <c r="I1566" s="1">
        <v>46224</v>
      </c>
      <c r="J1566" t="s">
        <v>1991</v>
      </c>
      <c r="K1566" t="s">
        <v>3634</v>
      </c>
      <c r="L1566" s="1">
        <v>46224.918321759258</v>
      </c>
      <c r="M1566" s="1">
        <v>46224.91962439815</v>
      </c>
    </row>
    <row r="1567" spans="1:13" x14ac:dyDescent="0.35">
      <c r="A1567" t="s">
        <v>346</v>
      </c>
      <c r="B1567" t="s">
        <v>1986</v>
      </c>
      <c r="C1567" t="s">
        <v>2480</v>
      </c>
      <c r="D1567">
        <v>4.625</v>
      </c>
      <c r="E1567" s="1">
        <v>46310</v>
      </c>
      <c r="F1567" t="s">
        <v>1988</v>
      </c>
      <c r="G1567" t="s">
        <v>2480</v>
      </c>
      <c r="H1567" t="s">
        <v>2</v>
      </c>
      <c r="I1567" s="1">
        <v>46224</v>
      </c>
      <c r="J1567" t="s">
        <v>2146</v>
      </c>
      <c r="K1567" t="s">
        <v>3837</v>
      </c>
      <c r="L1567" s="1">
        <v>46224.917650462965</v>
      </c>
      <c r="M1567" s="1">
        <v>46224.91962439815</v>
      </c>
    </row>
    <row r="1568" spans="1:13" x14ac:dyDescent="0.35">
      <c r="A1568" t="s">
        <v>346</v>
      </c>
      <c r="B1568" t="s">
        <v>1986</v>
      </c>
      <c r="C1568" t="s">
        <v>2480</v>
      </c>
      <c r="D1568">
        <v>4.625</v>
      </c>
      <c r="E1568" s="1">
        <v>46310</v>
      </c>
      <c r="F1568" t="s">
        <v>1988</v>
      </c>
      <c r="G1568" t="s">
        <v>2480</v>
      </c>
      <c r="H1568" t="s">
        <v>2</v>
      </c>
      <c r="I1568" s="1">
        <v>46224</v>
      </c>
      <c r="J1568" t="s">
        <v>1989</v>
      </c>
      <c r="K1568" t="s">
        <v>3632</v>
      </c>
      <c r="L1568" s="1">
        <v>46224.918321759258</v>
      </c>
      <c r="M1568" s="1">
        <v>46224.91962439815</v>
      </c>
    </row>
    <row r="1569" spans="1:13" x14ac:dyDescent="0.35">
      <c r="A1569" t="s">
        <v>346</v>
      </c>
      <c r="B1569" t="s">
        <v>1986</v>
      </c>
      <c r="C1569" t="s">
        <v>2480</v>
      </c>
      <c r="D1569">
        <v>4.625</v>
      </c>
      <c r="E1569" s="1">
        <v>46310</v>
      </c>
      <c r="F1569" t="s">
        <v>1988</v>
      </c>
      <c r="G1569" t="s">
        <v>2480</v>
      </c>
      <c r="H1569" t="s">
        <v>2</v>
      </c>
      <c r="I1569" s="1">
        <v>46224</v>
      </c>
      <c r="J1569" t="s">
        <v>2108</v>
      </c>
      <c r="K1569" t="s">
        <v>3837</v>
      </c>
      <c r="L1569" s="1">
        <v>46224.917650462965</v>
      </c>
      <c r="M1569" s="1">
        <v>46224.91962439815</v>
      </c>
    </row>
    <row r="1570" spans="1:13" x14ac:dyDescent="0.35">
      <c r="A1570" t="s">
        <v>347</v>
      </c>
      <c r="B1570" t="s">
        <v>1986</v>
      </c>
      <c r="C1570" t="s">
        <v>2481</v>
      </c>
      <c r="D1570">
        <v>4.875</v>
      </c>
      <c r="E1570" s="1">
        <v>47057</v>
      </c>
      <c r="F1570" t="s">
        <v>1988</v>
      </c>
      <c r="G1570" t="s">
        <v>2481</v>
      </c>
      <c r="H1570" t="s">
        <v>2</v>
      </c>
      <c r="I1570" s="1">
        <v>46224</v>
      </c>
      <c r="J1570" t="s">
        <v>1991</v>
      </c>
      <c r="K1570" t="s">
        <v>3825</v>
      </c>
      <c r="L1570" s="1">
        <v>46224.918321759258</v>
      </c>
      <c r="M1570" s="1">
        <v>46224.91962439815</v>
      </c>
    </row>
    <row r="1571" spans="1:13" x14ac:dyDescent="0.35">
      <c r="A1571" t="s">
        <v>347</v>
      </c>
      <c r="B1571" t="s">
        <v>1986</v>
      </c>
      <c r="C1571" t="s">
        <v>2481</v>
      </c>
      <c r="D1571">
        <v>4.875</v>
      </c>
      <c r="E1571" s="1">
        <v>47057</v>
      </c>
      <c r="F1571" t="s">
        <v>1988</v>
      </c>
      <c r="G1571" t="s">
        <v>2481</v>
      </c>
      <c r="H1571" t="s">
        <v>2</v>
      </c>
      <c r="I1571" s="1">
        <v>46224</v>
      </c>
      <c r="J1571" t="s">
        <v>2065</v>
      </c>
      <c r="K1571" t="s">
        <v>2523</v>
      </c>
      <c r="L1571" s="1">
        <v>46224.917650462965</v>
      </c>
      <c r="M1571" s="1">
        <v>46224.91962439815</v>
      </c>
    </row>
    <row r="1572" spans="1:13" x14ac:dyDescent="0.35">
      <c r="A1572" t="s">
        <v>347</v>
      </c>
      <c r="B1572" t="s">
        <v>1986</v>
      </c>
      <c r="C1572" t="s">
        <v>2481</v>
      </c>
      <c r="D1572">
        <v>4.875</v>
      </c>
      <c r="E1572" s="1">
        <v>47057</v>
      </c>
      <c r="F1572" t="s">
        <v>1988</v>
      </c>
      <c r="G1572" t="s">
        <v>2481</v>
      </c>
      <c r="H1572" t="s">
        <v>2</v>
      </c>
      <c r="I1572" s="1">
        <v>46224</v>
      </c>
      <c r="J1572" t="s">
        <v>1989</v>
      </c>
      <c r="K1572" t="s">
        <v>3635</v>
      </c>
      <c r="L1572" s="1">
        <v>46224.918321759258</v>
      </c>
      <c r="M1572" s="1">
        <v>46224.91962439815</v>
      </c>
    </row>
    <row r="1573" spans="1:13" x14ac:dyDescent="0.35">
      <c r="A1573" t="s">
        <v>347</v>
      </c>
      <c r="B1573" t="s">
        <v>1986</v>
      </c>
      <c r="C1573" t="s">
        <v>2481</v>
      </c>
      <c r="D1573">
        <v>4.875</v>
      </c>
      <c r="E1573" s="1">
        <v>47057</v>
      </c>
      <c r="F1573" t="s">
        <v>1988</v>
      </c>
      <c r="G1573" t="s">
        <v>2481</v>
      </c>
      <c r="H1573" t="s">
        <v>2</v>
      </c>
      <c r="I1573" s="1">
        <v>46224</v>
      </c>
      <c r="J1573" t="s">
        <v>2146</v>
      </c>
      <c r="K1573" t="s">
        <v>2606</v>
      </c>
      <c r="L1573" s="1">
        <v>46224.917650462965</v>
      </c>
      <c r="M1573" s="1">
        <v>46224.91962439815</v>
      </c>
    </row>
    <row r="1574" spans="1:13" x14ac:dyDescent="0.35">
      <c r="A1574" t="s">
        <v>347</v>
      </c>
      <c r="B1574" t="s">
        <v>1986</v>
      </c>
      <c r="C1574" t="s">
        <v>2481</v>
      </c>
      <c r="D1574">
        <v>4.875</v>
      </c>
      <c r="E1574" s="1">
        <v>47057</v>
      </c>
      <c r="F1574" t="s">
        <v>1988</v>
      </c>
      <c r="G1574" t="s">
        <v>2481</v>
      </c>
      <c r="H1574" t="s">
        <v>2</v>
      </c>
      <c r="I1574" s="1">
        <v>46224</v>
      </c>
      <c r="J1574" t="s">
        <v>2108</v>
      </c>
      <c r="K1574" t="s">
        <v>2606</v>
      </c>
      <c r="L1574" s="1">
        <v>46224.917650462965</v>
      </c>
      <c r="M1574" s="1">
        <v>46224.91962439815</v>
      </c>
    </row>
    <row r="1575" spans="1:13" x14ac:dyDescent="0.35">
      <c r="A1575" t="s">
        <v>347</v>
      </c>
      <c r="B1575" t="s">
        <v>1986</v>
      </c>
      <c r="C1575" t="s">
        <v>2481</v>
      </c>
      <c r="D1575">
        <v>4.875</v>
      </c>
      <c r="E1575" s="1">
        <v>47057</v>
      </c>
      <c r="F1575" t="s">
        <v>1988</v>
      </c>
      <c r="G1575" t="s">
        <v>2481</v>
      </c>
      <c r="H1575" t="s">
        <v>2</v>
      </c>
      <c r="I1575" s="1">
        <v>46224</v>
      </c>
      <c r="J1575" t="s">
        <v>2064</v>
      </c>
      <c r="K1575" t="s">
        <v>2523</v>
      </c>
      <c r="L1575" s="1">
        <v>46224.917650462965</v>
      </c>
      <c r="M1575" s="1">
        <v>46224.91962439815</v>
      </c>
    </row>
    <row r="1576" spans="1:13" x14ac:dyDescent="0.35">
      <c r="A1576" t="s">
        <v>348</v>
      </c>
      <c r="B1576" t="s">
        <v>1986</v>
      </c>
      <c r="C1576" t="s">
        <v>2551</v>
      </c>
      <c r="D1576">
        <v>4.875</v>
      </c>
      <c r="E1576" s="1">
        <v>47787</v>
      </c>
      <c r="F1576" t="s">
        <v>1988</v>
      </c>
      <c r="G1576" t="s">
        <v>2551</v>
      </c>
      <c r="H1576" t="s">
        <v>2</v>
      </c>
      <c r="I1576" s="1">
        <v>46224</v>
      </c>
      <c r="J1576" t="s">
        <v>1989</v>
      </c>
      <c r="K1576" t="s">
        <v>3627</v>
      </c>
      <c r="L1576" s="1">
        <v>46224.918321759258</v>
      </c>
      <c r="M1576" s="1">
        <v>46224.91962439815</v>
      </c>
    </row>
    <row r="1577" spans="1:13" x14ac:dyDescent="0.35">
      <c r="A1577" t="s">
        <v>348</v>
      </c>
      <c r="B1577" t="s">
        <v>1986</v>
      </c>
      <c r="C1577" t="s">
        <v>2551</v>
      </c>
      <c r="D1577">
        <v>4.875</v>
      </c>
      <c r="E1577" s="1">
        <v>47787</v>
      </c>
      <c r="F1577" t="s">
        <v>1988</v>
      </c>
      <c r="G1577" t="s">
        <v>2551</v>
      </c>
      <c r="H1577" t="s">
        <v>2</v>
      </c>
      <c r="I1577" s="1">
        <v>46224</v>
      </c>
      <c r="J1577" t="s">
        <v>1991</v>
      </c>
      <c r="K1577" t="s">
        <v>3838</v>
      </c>
      <c r="L1577" s="1">
        <v>46224.918321759258</v>
      </c>
      <c r="M1577" s="1">
        <v>46224.91962439815</v>
      </c>
    </row>
    <row r="1578" spans="1:13" x14ac:dyDescent="0.35">
      <c r="A1578" t="s">
        <v>348</v>
      </c>
      <c r="B1578" t="s">
        <v>1986</v>
      </c>
      <c r="C1578" t="s">
        <v>2551</v>
      </c>
      <c r="D1578">
        <v>4.875</v>
      </c>
      <c r="E1578" s="1">
        <v>47787</v>
      </c>
      <c r="F1578" t="s">
        <v>1988</v>
      </c>
      <c r="G1578" t="s">
        <v>2551</v>
      </c>
      <c r="H1578" t="s">
        <v>2</v>
      </c>
      <c r="I1578" s="1">
        <v>46224</v>
      </c>
      <c r="J1578" t="s">
        <v>2146</v>
      </c>
      <c r="K1578" t="s">
        <v>2660</v>
      </c>
      <c r="L1578" s="1">
        <v>46224.917650462965</v>
      </c>
      <c r="M1578" s="1">
        <v>46224.91962439815</v>
      </c>
    </row>
    <row r="1579" spans="1:13" x14ac:dyDescent="0.35">
      <c r="A1579" t="s">
        <v>348</v>
      </c>
      <c r="B1579" t="s">
        <v>1986</v>
      </c>
      <c r="C1579" t="s">
        <v>2551</v>
      </c>
      <c r="D1579">
        <v>4.875</v>
      </c>
      <c r="E1579" s="1">
        <v>47787</v>
      </c>
      <c r="F1579" t="s">
        <v>1988</v>
      </c>
      <c r="G1579" t="s">
        <v>2551</v>
      </c>
      <c r="H1579" t="s">
        <v>2</v>
      </c>
      <c r="I1579" s="1">
        <v>46224</v>
      </c>
      <c r="J1579" t="s">
        <v>2108</v>
      </c>
      <c r="K1579" t="s">
        <v>2660</v>
      </c>
      <c r="L1579" s="1">
        <v>46224.917650462965</v>
      </c>
      <c r="M1579" s="1">
        <v>46224.91962439815</v>
      </c>
    </row>
    <row r="1580" spans="1:13" x14ac:dyDescent="0.35">
      <c r="A1580" t="s">
        <v>348</v>
      </c>
      <c r="B1580" t="s">
        <v>1986</v>
      </c>
      <c r="C1580" t="s">
        <v>2551</v>
      </c>
      <c r="D1580">
        <v>4.875</v>
      </c>
      <c r="E1580" s="1">
        <v>47787</v>
      </c>
      <c r="F1580" t="s">
        <v>1988</v>
      </c>
      <c r="G1580" t="s">
        <v>2551</v>
      </c>
      <c r="H1580" t="s">
        <v>2</v>
      </c>
      <c r="I1580" s="1">
        <v>46224</v>
      </c>
      <c r="J1580" t="s">
        <v>2064</v>
      </c>
      <c r="K1580" t="s">
        <v>2900</v>
      </c>
      <c r="L1580" s="1">
        <v>46224.917650462965</v>
      </c>
      <c r="M1580" s="1">
        <v>46224.91962439815</v>
      </c>
    </row>
    <row r="1581" spans="1:13" x14ac:dyDescent="0.35">
      <c r="A1581" t="s">
        <v>348</v>
      </c>
      <c r="B1581" t="s">
        <v>1986</v>
      </c>
      <c r="C1581" t="s">
        <v>2551</v>
      </c>
      <c r="D1581">
        <v>4.875</v>
      </c>
      <c r="E1581" s="1">
        <v>47787</v>
      </c>
      <c r="F1581" t="s">
        <v>1988</v>
      </c>
      <c r="G1581" t="s">
        <v>2551</v>
      </c>
      <c r="H1581" t="s">
        <v>2</v>
      </c>
      <c r="I1581" s="1">
        <v>46224</v>
      </c>
      <c r="J1581" t="s">
        <v>2065</v>
      </c>
      <c r="K1581" t="s">
        <v>2900</v>
      </c>
      <c r="L1581" s="1">
        <v>46224.917650462965</v>
      </c>
      <c r="M1581" s="1">
        <v>46224.91962439815</v>
      </c>
    </row>
    <row r="1582" spans="1:13" x14ac:dyDescent="0.35">
      <c r="A1582" t="s">
        <v>349</v>
      </c>
      <c r="B1582" t="s">
        <v>1986</v>
      </c>
      <c r="C1582" t="s">
        <v>2482</v>
      </c>
      <c r="D1582">
        <v>2.375</v>
      </c>
      <c r="E1582" s="1">
        <v>47041</v>
      </c>
      <c r="F1582" t="s">
        <v>2014</v>
      </c>
      <c r="G1582" t="s">
        <v>2482</v>
      </c>
      <c r="H1582" t="s">
        <v>2</v>
      </c>
      <c r="I1582" s="1">
        <v>46224</v>
      </c>
      <c r="J1582" t="s">
        <v>1989</v>
      </c>
      <c r="K1582" t="s">
        <v>3826</v>
      </c>
      <c r="L1582" s="1">
        <v>46224.918321759258</v>
      </c>
      <c r="M1582" s="1">
        <v>46224.91962439815</v>
      </c>
    </row>
    <row r="1583" spans="1:13" x14ac:dyDescent="0.35">
      <c r="A1583" t="s">
        <v>349</v>
      </c>
      <c r="B1583" t="s">
        <v>1986</v>
      </c>
      <c r="C1583" t="s">
        <v>2482</v>
      </c>
      <c r="D1583">
        <v>2.375</v>
      </c>
      <c r="E1583" s="1">
        <v>47041</v>
      </c>
      <c r="F1583" t="s">
        <v>2014</v>
      </c>
      <c r="G1583" t="s">
        <v>2482</v>
      </c>
      <c r="H1583" t="s">
        <v>2</v>
      </c>
      <c r="I1583" s="1">
        <v>46224</v>
      </c>
      <c r="J1583" t="s">
        <v>2146</v>
      </c>
      <c r="K1583" t="s">
        <v>3592</v>
      </c>
      <c r="L1583" s="1">
        <v>46224.917650462965</v>
      </c>
      <c r="M1583" s="1">
        <v>46224.91962439815</v>
      </c>
    </row>
    <row r="1584" spans="1:13" x14ac:dyDescent="0.35">
      <c r="A1584" t="s">
        <v>349</v>
      </c>
      <c r="B1584" t="s">
        <v>1986</v>
      </c>
      <c r="C1584" t="s">
        <v>2482</v>
      </c>
      <c r="D1584">
        <v>2.375</v>
      </c>
      <c r="E1584" s="1">
        <v>47041</v>
      </c>
      <c r="F1584" t="s">
        <v>2014</v>
      </c>
      <c r="G1584" t="s">
        <v>2482</v>
      </c>
      <c r="H1584" t="s">
        <v>2</v>
      </c>
      <c r="I1584" s="1">
        <v>46224</v>
      </c>
      <c r="J1584" t="s">
        <v>2065</v>
      </c>
      <c r="K1584" t="s">
        <v>3651</v>
      </c>
      <c r="L1584" s="1">
        <v>46224.917650462965</v>
      </c>
      <c r="M1584" s="1">
        <v>46224.91962439815</v>
      </c>
    </row>
    <row r="1585" spans="1:13" x14ac:dyDescent="0.35">
      <c r="A1585" t="s">
        <v>349</v>
      </c>
      <c r="B1585" t="s">
        <v>1986</v>
      </c>
      <c r="C1585" t="s">
        <v>2482</v>
      </c>
      <c r="D1585">
        <v>2.375</v>
      </c>
      <c r="E1585" s="1">
        <v>47041</v>
      </c>
      <c r="F1585" t="s">
        <v>2014</v>
      </c>
      <c r="G1585" t="s">
        <v>2482</v>
      </c>
      <c r="H1585" t="s">
        <v>2</v>
      </c>
      <c r="I1585" s="1">
        <v>46224</v>
      </c>
      <c r="J1585" t="s">
        <v>2108</v>
      </c>
      <c r="K1585" t="s">
        <v>3592</v>
      </c>
      <c r="L1585" s="1">
        <v>46224.917650462965</v>
      </c>
      <c r="M1585" s="1">
        <v>46224.91962439815</v>
      </c>
    </row>
    <row r="1586" spans="1:13" x14ac:dyDescent="0.35">
      <c r="A1586" t="s">
        <v>349</v>
      </c>
      <c r="B1586" t="s">
        <v>1986</v>
      </c>
      <c r="C1586" t="s">
        <v>2482</v>
      </c>
      <c r="D1586">
        <v>2.375</v>
      </c>
      <c r="E1586" s="1">
        <v>47041</v>
      </c>
      <c r="F1586" t="s">
        <v>2014</v>
      </c>
      <c r="G1586" t="s">
        <v>2482</v>
      </c>
      <c r="H1586" t="s">
        <v>2</v>
      </c>
      <c r="I1586" s="1">
        <v>46224</v>
      </c>
      <c r="J1586" t="s">
        <v>1991</v>
      </c>
      <c r="K1586" t="s">
        <v>3017</v>
      </c>
      <c r="L1586" s="1">
        <v>46224.918321759258</v>
      </c>
      <c r="M1586" s="1">
        <v>46224.91962439815</v>
      </c>
    </row>
    <row r="1587" spans="1:13" x14ac:dyDescent="0.35">
      <c r="A1587" t="s">
        <v>349</v>
      </c>
      <c r="B1587" t="s">
        <v>1986</v>
      </c>
      <c r="C1587" t="s">
        <v>2482</v>
      </c>
      <c r="D1587">
        <v>2.375</v>
      </c>
      <c r="E1587" s="1">
        <v>47041</v>
      </c>
      <c r="F1587" t="s">
        <v>2014</v>
      </c>
      <c r="G1587" t="s">
        <v>2482</v>
      </c>
      <c r="H1587" t="s">
        <v>2</v>
      </c>
      <c r="I1587" s="1">
        <v>46224</v>
      </c>
      <c r="J1587" t="s">
        <v>2064</v>
      </c>
      <c r="K1587" t="s">
        <v>3651</v>
      </c>
      <c r="L1587" s="1">
        <v>46224.917650462965</v>
      </c>
      <c r="M1587" s="1">
        <v>46224.91962439815</v>
      </c>
    </row>
    <row r="1588" spans="1:13" x14ac:dyDescent="0.35">
      <c r="A1588" t="s">
        <v>350</v>
      </c>
      <c r="B1588" t="s">
        <v>1986</v>
      </c>
      <c r="C1588" t="s">
        <v>2483</v>
      </c>
      <c r="D1588">
        <v>4.5</v>
      </c>
      <c r="E1588" s="1">
        <v>48898</v>
      </c>
      <c r="F1588" t="s">
        <v>1988</v>
      </c>
      <c r="G1588" t="s">
        <v>2483</v>
      </c>
      <c r="H1588" t="s">
        <v>2</v>
      </c>
      <c r="I1588" s="1">
        <v>46224</v>
      </c>
      <c r="J1588" t="s">
        <v>1989</v>
      </c>
      <c r="K1588" t="s">
        <v>3874</v>
      </c>
      <c r="L1588" s="1">
        <v>46224.918321759258</v>
      </c>
      <c r="M1588" s="1">
        <v>46224.91962439815</v>
      </c>
    </row>
    <row r="1589" spans="1:13" x14ac:dyDescent="0.35">
      <c r="A1589" t="s">
        <v>350</v>
      </c>
      <c r="B1589" t="s">
        <v>1986</v>
      </c>
      <c r="C1589" t="s">
        <v>2483</v>
      </c>
      <c r="D1589">
        <v>4.5</v>
      </c>
      <c r="E1589" s="1">
        <v>48898</v>
      </c>
      <c r="F1589" t="s">
        <v>1988</v>
      </c>
      <c r="G1589" t="s">
        <v>2483</v>
      </c>
      <c r="H1589" t="s">
        <v>2</v>
      </c>
      <c r="I1589" s="1">
        <v>46224</v>
      </c>
      <c r="J1589" t="s">
        <v>2146</v>
      </c>
      <c r="K1589" t="s">
        <v>3652</v>
      </c>
      <c r="L1589" s="1">
        <v>46224.917650462965</v>
      </c>
      <c r="M1589" s="1">
        <v>46224.91962439815</v>
      </c>
    </row>
    <row r="1590" spans="1:13" x14ac:dyDescent="0.35">
      <c r="A1590" t="s">
        <v>350</v>
      </c>
      <c r="B1590" t="s">
        <v>1986</v>
      </c>
      <c r="C1590" t="s">
        <v>2483</v>
      </c>
      <c r="D1590">
        <v>4.5</v>
      </c>
      <c r="E1590" s="1">
        <v>48898</v>
      </c>
      <c r="F1590" t="s">
        <v>1988</v>
      </c>
      <c r="G1590" t="s">
        <v>2483</v>
      </c>
      <c r="H1590" t="s">
        <v>2</v>
      </c>
      <c r="I1590" s="1">
        <v>46224</v>
      </c>
      <c r="J1590" t="s">
        <v>2065</v>
      </c>
      <c r="K1590" t="s">
        <v>3653</v>
      </c>
      <c r="L1590" s="1">
        <v>46224.917650462965</v>
      </c>
      <c r="M1590" s="1">
        <v>46224.91962439815</v>
      </c>
    </row>
    <row r="1591" spans="1:13" x14ac:dyDescent="0.35">
      <c r="A1591" t="s">
        <v>350</v>
      </c>
      <c r="B1591" t="s">
        <v>1986</v>
      </c>
      <c r="C1591" t="s">
        <v>2483</v>
      </c>
      <c r="D1591">
        <v>4.5</v>
      </c>
      <c r="E1591" s="1">
        <v>48898</v>
      </c>
      <c r="F1591" t="s">
        <v>1988</v>
      </c>
      <c r="G1591" t="s">
        <v>2483</v>
      </c>
      <c r="H1591" t="s">
        <v>2</v>
      </c>
      <c r="I1591" s="1">
        <v>46224</v>
      </c>
      <c r="J1591" t="s">
        <v>1991</v>
      </c>
      <c r="K1591" t="s">
        <v>2527</v>
      </c>
      <c r="L1591" s="1">
        <v>46224.918321759258</v>
      </c>
      <c r="M1591" s="1">
        <v>46224.91962439815</v>
      </c>
    </row>
    <row r="1592" spans="1:13" x14ac:dyDescent="0.35">
      <c r="A1592" t="s">
        <v>350</v>
      </c>
      <c r="B1592" t="s">
        <v>1986</v>
      </c>
      <c r="C1592" t="s">
        <v>2483</v>
      </c>
      <c r="D1592">
        <v>4.5</v>
      </c>
      <c r="E1592" s="1">
        <v>48898</v>
      </c>
      <c r="F1592" t="s">
        <v>1988</v>
      </c>
      <c r="G1592" t="s">
        <v>2483</v>
      </c>
      <c r="H1592" t="s">
        <v>2</v>
      </c>
      <c r="I1592" s="1">
        <v>46224</v>
      </c>
      <c r="J1592" t="s">
        <v>2108</v>
      </c>
      <c r="K1592" t="s">
        <v>3652</v>
      </c>
      <c r="L1592" s="1">
        <v>46224.917650462965</v>
      </c>
      <c r="M1592" s="1">
        <v>46224.91962439815</v>
      </c>
    </row>
    <row r="1593" spans="1:13" x14ac:dyDescent="0.35">
      <c r="A1593" t="s">
        <v>350</v>
      </c>
      <c r="B1593" t="s">
        <v>1986</v>
      </c>
      <c r="C1593" t="s">
        <v>2483</v>
      </c>
      <c r="D1593">
        <v>4.5</v>
      </c>
      <c r="E1593" s="1">
        <v>48898</v>
      </c>
      <c r="F1593" t="s">
        <v>1988</v>
      </c>
      <c r="G1593" t="s">
        <v>2483</v>
      </c>
      <c r="H1593" t="s">
        <v>2</v>
      </c>
      <c r="I1593" s="1">
        <v>46224</v>
      </c>
      <c r="J1593" t="s">
        <v>2064</v>
      </c>
      <c r="K1593" t="s">
        <v>3653</v>
      </c>
      <c r="L1593" s="1">
        <v>46224.917650462965</v>
      </c>
      <c r="M1593" s="1">
        <v>46224.91962439815</v>
      </c>
    </row>
    <row r="1594" spans="1:13" x14ac:dyDescent="0.35">
      <c r="A1594" t="s">
        <v>351</v>
      </c>
      <c r="B1594" t="s">
        <v>1986</v>
      </c>
      <c r="C1594" t="s">
        <v>2484</v>
      </c>
      <c r="D1594">
        <v>4.625</v>
      </c>
      <c r="E1594" s="1">
        <v>46341</v>
      </c>
      <c r="F1594" t="s">
        <v>1988</v>
      </c>
      <c r="G1594" t="s">
        <v>2484</v>
      </c>
      <c r="H1594" t="s">
        <v>2</v>
      </c>
      <c r="I1594" s="1">
        <v>46224</v>
      </c>
      <c r="J1594" t="s">
        <v>2064</v>
      </c>
      <c r="K1594" t="s">
        <v>2958</v>
      </c>
      <c r="L1594" s="1">
        <v>46224.917650462965</v>
      </c>
      <c r="M1594" s="1">
        <v>46224.91962439815</v>
      </c>
    </row>
    <row r="1595" spans="1:13" x14ac:dyDescent="0.35">
      <c r="A1595" t="s">
        <v>351</v>
      </c>
      <c r="B1595" t="s">
        <v>1986</v>
      </c>
      <c r="C1595" t="s">
        <v>2484</v>
      </c>
      <c r="D1595">
        <v>4.625</v>
      </c>
      <c r="E1595" s="1">
        <v>46341</v>
      </c>
      <c r="F1595" t="s">
        <v>1988</v>
      </c>
      <c r="G1595" t="s">
        <v>2484</v>
      </c>
      <c r="H1595" t="s">
        <v>2</v>
      </c>
      <c r="I1595" s="1">
        <v>46224</v>
      </c>
      <c r="J1595" t="s">
        <v>2146</v>
      </c>
      <c r="K1595" t="s">
        <v>3636</v>
      </c>
      <c r="L1595" s="1">
        <v>46224.917650462965</v>
      </c>
      <c r="M1595" s="1">
        <v>46224.91962439815</v>
      </c>
    </row>
    <row r="1596" spans="1:13" x14ac:dyDescent="0.35">
      <c r="A1596" t="s">
        <v>351</v>
      </c>
      <c r="B1596" t="s">
        <v>1986</v>
      </c>
      <c r="C1596" t="s">
        <v>2484</v>
      </c>
      <c r="D1596">
        <v>4.625</v>
      </c>
      <c r="E1596" s="1">
        <v>46341</v>
      </c>
      <c r="F1596" t="s">
        <v>1988</v>
      </c>
      <c r="G1596" t="s">
        <v>2484</v>
      </c>
      <c r="H1596" t="s">
        <v>2</v>
      </c>
      <c r="I1596" s="1">
        <v>46224</v>
      </c>
      <c r="J1596" t="s">
        <v>2108</v>
      </c>
      <c r="K1596" t="s">
        <v>3636</v>
      </c>
      <c r="L1596" s="1">
        <v>46224.917650462965</v>
      </c>
      <c r="M1596" s="1">
        <v>46224.91962439815</v>
      </c>
    </row>
    <row r="1597" spans="1:13" x14ac:dyDescent="0.35">
      <c r="A1597" t="s">
        <v>351</v>
      </c>
      <c r="B1597" t="s">
        <v>1986</v>
      </c>
      <c r="C1597" t="s">
        <v>2484</v>
      </c>
      <c r="D1597">
        <v>4.625</v>
      </c>
      <c r="E1597" s="1">
        <v>46341</v>
      </c>
      <c r="F1597" t="s">
        <v>1988</v>
      </c>
      <c r="G1597" t="s">
        <v>2484</v>
      </c>
      <c r="H1597" t="s">
        <v>2</v>
      </c>
      <c r="I1597" s="1">
        <v>46224</v>
      </c>
      <c r="J1597" t="s">
        <v>1989</v>
      </c>
      <c r="K1597" t="s">
        <v>3839</v>
      </c>
      <c r="L1597" s="1">
        <v>46224.918321759258</v>
      </c>
      <c r="M1597" s="1">
        <v>46224.91962439815</v>
      </c>
    </row>
    <row r="1598" spans="1:13" x14ac:dyDescent="0.35">
      <c r="A1598" t="s">
        <v>351</v>
      </c>
      <c r="B1598" t="s">
        <v>1986</v>
      </c>
      <c r="C1598" t="s">
        <v>2484</v>
      </c>
      <c r="D1598">
        <v>4.625</v>
      </c>
      <c r="E1598" s="1">
        <v>46341</v>
      </c>
      <c r="F1598" t="s">
        <v>1988</v>
      </c>
      <c r="G1598" t="s">
        <v>2484</v>
      </c>
      <c r="H1598" t="s">
        <v>2</v>
      </c>
      <c r="I1598" s="1">
        <v>46224</v>
      </c>
      <c r="J1598" t="s">
        <v>2065</v>
      </c>
      <c r="K1598" t="s">
        <v>2958</v>
      </c>
      <c r="L1598" s="1">
        <v>46224.917650462965</v>
      </c>
      <c r="M1598" s="1">
        <v>46224.91962439815</v>
      </c>
    </row>
    <row r="1599" spans="1:13" x14ac:dyDescent="0.35">
      <c r="A1599" t="s">
        <v>351</v>
      </c>
      <c r="B1599" t="s">
        <v>1986</v>
      </c>
      <c r="C1599" t="s">
        <v>2484</v>
      </c>
      <c r="D1599">
        <v>4.625</v>
      </c>
      <c r="E1599" s="1">
        <v>46341</v>
      </c>
      <c r="F1599" t="s">
        <v>1988</v>
      </c>
      <c r="G1599" t="s">
        <v>2484</v>
      </c>
      <c r="H1599" t="s">
        <v>2</v>
      </c>
      <c r="I1599" s="1">
        <v>46224</v>
      </c>
      <c r="J1599" t="s">
        <v>1991</v>
      </c>
      <c r="K1599" t="s">
        <v>2922</v>
      </c>
      <c r="L1599" s="1">
        <v>46224.918321759258</v>
      </c>
      <c r="M1599" s="1">
        <v>46224.91962439815</v>
      </c>
    </row>
    <row r="1600" spans="1:13" x14ac:dyDescent="0.35">
      <c r="A1600" t="s">
        <v>380</v>
      </c>
      <c r="B1600" t="s">
        <v>1986</v>
      </c>
      <c r="C1600" t="s">
        <v>2485</v>
      </c>
      <c r="D1600">
        <v>4.375</v>
      </c>
      <c r="E1600" s="1">
        <v>47817</v>
      </c>
      <c r="F1600" t="s">
        <v>1988</v>
      </c>
      <c r="G1600" t="s">
        <v>2485</v>
      </c>
      <c r="H1600" t="s">
        <v>2</v>
      </c>
      <c r="I1600" s="1">
        <v>46224</v>
      </c>
      <c r="J1600" t="s">
        <v>1989</v>
      </c>
      <c r="K1600" t="s">
        <v>3733</v>
      </c>
      <c r="L1600" s="1">
        <v>46224.918321759258</v>
      </c>
      <c r="M1600" s="1">
        <v>46224.91962439815</v>
      </c>
    </row>
    <row r="1601" spans="1:13" x14ac:dyDescent="0.35">
      <c r="A1601" t="s">
        <v>380</v>
      </c>
      <c r="B1601" t="s">
        <v>1986</v>
      </c>
      <c r="C1601" t="s">
        <v>2485</v>
      </c>
      <c r="D1601">
        <v>4.375</v>
      </c>
      <c r="E1601" s="1">
        <v>47817</v>
      </c>
      <c r="F1601" t="s">
        <v>1988</v>
      </c>
      <c r="G1601" t="s">
        <v>2485</v>
      </c>
      <c r="H1601" t="s">
        <v>2</v>
      </c>
      <c r="I1601" s="1">
        <v>46224</v>
      </c>
      <c r="J1601" t="s">
        <v>1991</v>
      </c>
      <c r="K1601" t="s">
        <v>3637</v>
      </c>
      <c r="L1601" s="1">
        <v>46224.918321759258</v>
      </c>
      <c r="M1601" s="1">
        <v>46224.91962439815</v>
      </c>
    </row>
    <row r="1602" spans="1:13" x14ac:dyDescent="0.35">
      <c r="A1602" t="s">
        <v>380</v>
      </c>
      <c r="B1602" t="s">
        <v>1986</v>
      </c>
      <c r="C1602" t="s">
        <v>2485</v>
      </c>
      <c r="D1602">
        <v>4.375</v>
      </c>
      <c r="E1602" s="1">
        <v>47817</v>
      </c>
      <c r="F1602" t="s">
        <v>1988</v>
      </c>
      <c r="G1602" t="s">
        <v>2485</v>
      </c>
      <c r="H1602" t="s">
        <v>2</v>
      </c>
      <c r="I1602" s="1">
        <v>46224</v>
      </c>
      <c r="J1602" t="s">
        <v>2065</v>
      </c>
      <c r="K1602" t="s">
        <v>2902</v>
      </c>
      <c r="L1602" s="1">
        <v>46224.917650462965</v>
      </c>
      <c r="M1602" s="1">
        <v>46224.91962439815</v>
      </c>
    </row>
    <row r="1603" spans="1:13" x14ac:dyDescent="0.35">
      <c r="A1603" t="s">
        <v>380</v>
      </c>
      <c r="B1603" t="s">
        <v>1986</v>
      </c>
      <c r="C1603" t="s">
        <v>2485</v>
      </c>
      <c r="D1603">
        <v>4.375</v>
      </c>
      <c r="E1603" s="1">
        <v>47817</v>
      </c>
      <c r="F1603" t="s">
        <v>1988</v>
      </c>
      <c r="G1603" t="s">
        <v>2485</v>
      </c>
      <c r="H1603" t="s">
        <v>2</v>
      </c>
      <c r="I1603" s="1">
        <v>46224</v>
      </c>
      <c r="J1603" t="s">
        <v>2108</v>
      </c>
      <c r="K1603" t="s">
        <v>2934</v>
      </c>
      <c r="L1603" s="1">
        <v>46224.917650462965</v>
      </c>
      <c r="M1603" s="1">
        <v>46224.91962439815</v>
      </c>
    </row>
    <row r="1604" spans="1:13" x14ac:dyDescent="0.35">
      <c r="A1604" t="s">
        <v>380</v>
      </c>
      <c r="B1604" t="s">
        <v>1986</v>
      </c>
      <c r="C1604" t="s">
        <v>2485</v>
      </c>
      <c r="D1604">
        <v>4.375</v>
      </c>
      <c r="E1604" s="1">
        <v>47817</v>
      </c>
      <c r="F1604" t="s">
        <v>1988</v>
      </c>
      <c r="G1604" t="s">
        <v>2485</v>
      </c>
      <c r="H1604" t="s">
        <v>2</v>
      </c>
      <c r="I1604" s="1">
        <v>46224</v>
      </c>
      <c r="J1604" t="s">
        <v>2146</v>
      </c>
      <c r="K1604" t="s">
        <v>2934</v>
      </c>
      <c r="L1604" s="1">
        <v>46224.917650462965</v>
      </c>
      <c r="M1604" s="1">
        <v>46224.91962439815</v>
      </c>
    </row>
    <row r="1605" spans="1:13" x14ac:dyDescent="0.35">
      <c r="A1605" t="s">
        <v>380</v>
      </c>
      <c r="B1605" t="s">
        <v>1986</v>
      </c>
      <c r="C1605" t="s">
        <v>2485</v>
      </c>
      <c r="D1605">
        <v>4.375</v>
      </c>
      <c r="E1605" s="1">
        <v>47817</v>
      </c>
      <c r="F1605" t="s">
        <v>1988</v>
      </c>
      <c r="G1605" t="s">
        <v>2485</v>
      </c>
      <c r="H1605" t="s">
        <v>2</v>
      </c>
      <c r="I1605" s="1">
        <v>46224</v>
      </c>
      <c r="J1605" t="s">
        <v>2064</v>
      </c>
      <c r="K1605" t="s">
        <v>2902</v>
      </c>
      <c r="L1605" s="1">
        <v>46224.917650462965</v>
      </c>
      <c r="M1605" s="1">
        <v>46224.91962439815</v>
      </c>
    </row>
    <row r="1606" spans="1:13" x14ac:dyDescent="0.35">
      <c r="A1606" t="s">
        <v>352</v>
      </c>
      <c r="B1606" t="s">
        <v>1986</v>
      </c>
      <c r="C1606" t="s">
        <v>2553</v>
      </c>
      <c r="D1606">
        <v>4.375</v>
      </c>
      <c r="E1606" s="1">
        <v>47087</v>
      </c>
      <c r="F1606" t="s">
        <v>1988</v>
      </c>
      <c r="G1606" t="s">
        <v>2553</v>
      </c>
      <c r="H1606" t="s">
        <v>2</v>
      </c>
      <c r="I1606" s="1">
        <v>46224</v>
      </c>
      <c r="J1606" t="s">
        <v>2064</v>
      </c>
      <c r="K1606" t="s">
        <v>2208</v>
      </c>
      <c r="L1606" s="1">
        <v>46224.917650462965</v>
      </c>
      <c r="M1606" s="1">
        <v>46224.91962439815</v>
      </c>
    </row>
    <row r="1607" spans="1:13" x14ac:dyDescent="0.35">
      <c r="A1607" t="s">
        <v>352</v>
      </c>
      <c r="B1607" t="s">
        <v>1986</v>
      </c>
      <c r="C1607" t="s">
        <v>2553</v>
      </c>
      <c r="D1607">
        <v>4.375</v>
      </c>
      <c r="E1607" s="1">
        <v>47087</v>
      </c>
      <c r="F1607" t="s">
        <v>1988</v>
      </c>
      <c r="G1607" t="s">
        <v>2553</v>
      </c>
      <c r="H1607" t="s">
        <v>2</v>
      </c>
      <c r="I1607" s="1">
        <v>46224</v>
      </c>
      <c r="J1607" t="s">
        <v>1989</v>
      </c>
      <c r="K1607" t="s">
        <v>2922</v>
      </c>
      <c r="L1607" s="1">
        <v>46224.918321759258</v>
      </c>
      <c r="M1607" s="1">
        <v>46224.91962439815</v>
      </c>
    </row>
    <row r="1608" spans="1:13" x14ac:dyDescent="0.35">
      <c r="A1608" t="s">
        <v>352</v>
      </c>
      <c r="B1608" t="s">
        <v>1986</v>
      </c>
      <c r="C1608" t="s">
        <v>2553</v>
      </c>
      <c r="D1608">
        <v>4.375</v>
      </c>
      <c r="E1608" s="1">
        <v>47087</v>
      </c>
      <c r="F1608" t="s">
        <v>1988</v>
      </c>
      <c r="G1608" t="s">
        <v>2553</v>
      </c>
      <c r="H1608" t="s">
        <v>2</v>
      </c>
      <c r="I1608" s="1">
        <v>46224</v>
      </c>
      <c r="J1608" t="s">
        <v>2108</v>
      </c>
      <c r="K1608" t="s">
        <v>2606</v>
      </c>
      <c r="L1608" s="1">
        <v>46224.917650462965</v>
      </c>
      <c r="M1608" s="1">
        <v>46224.91962439815</v>
      </c>
    </row>
    <row r="1609" spans="1:13" x14ac:dyDescent="0.35">
      <c r="A1609" t="s">
        <v>352</v>
      </c>
      <c r="B1609" t="s">
        <v>1986</v>
      </c>
      <c r="C1609" t="s">
        <v>2553</v>
      </c>
      <c r="D1609">
        <v>4.375</v>
      </c>
      <c r="E1609" s="1">
        <v>47087</v>
      </c>
      <c r="F1609" t="s">
        <v>1988</v>
      </c>
      <c r="G1609" t="s">
        <v>2553</v>
      </c>
      <c r="H1609" t="s">
        <v>2</v>
      </c>
      <c r="I1609" s="1">
        <v>46224</v>
      </c>
      <c r="J1609" t="s">
        <v>1991</v>
      </c>
      <c r="K1609" t="s">
        <v>2884</v>
      </c>
      <c r="L1609" s="1">
        <v>46224.918321759258</v>
      </c>
      <c r="M1609" s="1">
        <v>46224.91962439815</v>
      </c>
    </row>
    <row r="1610" spans="1:13" x14ac:dyDescent="0.35">
      <c r="A1610" t="s">
        <v>352</v>
      </c>
      <c r="B1610" t="s">
        <v>1986</v>
      </c>
      <c r="C1610" t="s">
        <v>2553</v>
      </c>
      <c r="D1610">
        <v>4.375</v>
      </c>
      <c r="E1610" s="1">
        <v>47087</v>
      </c>
      <c r="F1610" t="s">
        <v>1988</v>
      </c>
      <c r="G1610" t="s">
        <v>2553</v>
      </c>
      <c r="H1610" t="s">
        <v>2</v>
      </c>
      <c r="I1610" s="1">
        <v>46224</v>
      </c>
      <c r="J1610" t="s">
        <v>2146</v>
      </c>
      <c r="K1610" t="s">
        <v>2606</v>
      </c>
      <c r="L1610" s="1">
        <v>46224.917650462965</v>
      </c>
      <c r="M1610" s="1">
        <v>46224.91962439815</v>
      </c>
    </row>
    <row r="1611" spans="1:13" x14ac:dyDescent="0.35">
      <c r="A1611" t="s">
        <v>352</v>
      </c>
      <c r="B1611" t="s">
        <v>1986</v>
      </c>
      <c r="C1611" t="s">
        <v>2553</v>
      </c>
      <c r="D1611">
        <v>4.375</v>
      </c>
      <c r="E1611" s="1">
        <v>47087</v>
      </c>
      <c r="F1611" t="s">
        <v>1988</v>
      </c>
      <c r="G1611" t="s">
        <v>2553</v>
      </c>
      <c r="H1611" t="s">
        <v>2</v>
      </c>
      <c r="I1611" s="1">
        <v>46224</v>
      </c>
      <c r="J1611" t="s">
        <v>2065</v>
      </c>
      <c r="K1611" t="s">
        <v>2208</v>
      </c>
      <c r="L1611" s="1">
        <v>46224.917650462965</v>
      </c>
      <c r="M1611" s="1">
        <v>46224.91962439815</v>
      </c>
    </row>
    <row r="1612" spans="1:13" x14ac:dyDescent="0.35">
      <c r="A1612" t="s">
        <v>353</v>
      </c>
      <c r="B1612" t="s">
        <v>1986</v>
      </c>
      <c r="C1612" t="s">
        <v>2486</v>
      </c>
      <c r="D1612">
        <v>4.375</v>
      </c>
      <c r="E1612" s="1">
        <v>46371</v>
      </c>
      <c r="F1612" t="s">
        <v>1988</v>
      </c>
      <c r="G1612" t="s">
        <v>2486</v>
      </c>
      <c r="H1612" t="s">
        <v>2</v>
      </c>
      <c r="I1612" s="1">
        <v>46224</v>
      </c>
      <c r="J1612" t="s">
        <v>1989</v>
      </c>
      <c r="K1612" t="s">
        <v>3734</v>
      </c>
      <c r="L1612" s="1">
        <v>46224.918321759258</v>
      </c>
      <c r="M1612" s="1">
        <v>46224.91962439815</v>
      </c>
    </row>
    <row r="1613" spans="1:13" x14ac:dyDescent="0.35">
      <c r="A1613" t="s">
        <v>353</v>
      </c>
      <c r="B1613" t="s">
        <v>1986</v>
      </c>
      <c r="C1613" t="s">
        <v>2486</v>
      </c>
      <c r="D1613">
        <v>4.375</v>
      </c>
      <c r="E1613" s="1">
        <v>46371</v>
      </c>
      <c r="F1613" t="s">
        <v>1988</v>
      </c>
      <c r="G1613" t="s">
        <v>2486</v>
      </c>
      <c r="H1613" t="s">
        <v>2</v>
      </c>
      <c r="I1613" s="1">
        <v>46224</v>
      </c>
      <c r="J1613" t="s">
        <v>2064</v>
      </c>
      <c r="K1613" t="s">
        <v>3654</v>
      </c>
      <c r="L1613" s="1">
        <v>46224.917650462965</v>
      </c>
      <c r="M1613" s="1">
        <v>46224.91962439815</v>
      </c>
    </row>
    <row r="1614" spans="1:13" x14ac:dyDescent="0.35">
      <c r="A1614" t="s">
        <v>353</v>
      </c>
      <c r="B1614" t="s">
        <v>1986</v>
      </c>
      <c r="C1614" t="s">
        <v>2486</v>
      </c>
      <c r="D1614">
        <v>4.375</v>
      </c>
      <c r="E1614" s="1">
        <v>46371</v>
      </c>
      <c r="F1614" t="s">
        <v>1988</v>
      </c>
      <c r="G1614" t="s">
        <v>2486</v>
      </c>
      <c r="H1614" t="s">
        <v>2</v>
      </c>
      <c r="I1614" s="1">
        <v>46224</v>
      </c>
      <c r="J1614" t="s">
        <v>2146</v>
      </c>
      <c r="K1614" t="s">
        <v>3655</v>
      </c>
      <c r="L1614" s="1">
        <v>46224.917650462965</v>
      </c>
      <c r="M1614" s="1">
        <v>46224.91962439815</v>
      </c>
    </row>
    <row r="1615" spans="1:13" x14ac:dyDescent="0.35">
      <c r="A1615" t="s">
        <v>353</v>
      </c>
      <c r="B1615" t="s">
        <v>1986</v>
      </c>
      <c r="C1615" t="s">
        <v>2486</v>
      </c>
      <c r="D1615">
        <v>4.375</v>
      </c>
      <c r="E1615" s="1">
        <v>46371</v>
      </c>
      <c r="F1615" t="s">
        <v>1988</v>
      </c>
      <c r="G1615" t="s">
        <v>2486</v>
      </c>
      <c r="H1615" t="s">
        <v>2</v>
      </c>
      <c r="I1615" s="1">
        <v>46224</v>
      </c>
      <c r="J1615" t="s">
        <v>2065</v>
      </c>
      <c r="K1615" t="s">
        <v>3654</v>
      </c>
      <c r="L1615" s="1">
        <v>46224.917650462965</v>
      </c>
      <c r="M1615" s="1">
        <v>46224.91962439815</v>
      </c>
    </row>
    <row r="1616" spans="1:13" x14ac:dyDescent="0.35">
      <c r="A1616" t="s">
        <v>353</v>
      </c>
      <c r="B1616" t="s">
        <v>1986</v>
      </c>
      <c r="C1616" t="s">
        <v>2486</v>
      </c>
      <c r="D1616">
        <v>4.375</v>
      </c>
      <c r="E1616" s="1">
        <v>46371</v>
      </c>
      <c r="F1616" t="s">
        <v>1988</v>
      </c>
      <c r="G1616" t="s">
        <v>2486</v>
      </c>
      <c r="H1616" t="s">
        <v>2</v>
      </c>
      <c r="I1616" s="1">
        <v>46224</v>
      </c>
      <c r="J1616" t="s">
        <v>1991</v>
      </c>
      <c r="K1616" t="s">
        <v>3779</v>
      </c>
      <c r="L1616" s="1">
        <v>46224.918321759258</v>
      </c>
      <c r="M1616" s="1">
        <v>46224.91962439815</v>
      </c>
    </row>
    <row r="1617" spans="1:13" x14ac:dyDescent="0.35">
      <c r="A1617" t="s">
        <v>353</v>
      </c>
      <c r="B1617" t="s">
        <v>1986</v>
      </c>
      <c r="C1617" t="s">
        <v>2486</v>
      </c>
      <c r="D1617">
        <v>4.375</v>
      </c>
      <c r="E1617" s="1">
        <v>46371</v>
      </c>
      <c r="F1617" t="s">
        <v>1988</v>
      </c>
      <c r="G1617" t="s">
        <v>2486</v>
      </c>
      <c r="H1617" t="s">
        <v>2</v>
      </c>
      <c r="I1617" s="1">
        <v>46224</v>
      </c>
      <c r="J1617" t="s">
        <v>2108</v>
      </c>
      <c r="K1617" t="s">
        <v>3655</v>
      </c>
      <c r="L1617" s="1">
        <v>46224.917650462965</v>
      </c>
      <c r="M1617" s="1">
        <v>46224.91962439815</v>
      </c>
    </row>
    <row r="1618" spans="1:13" x14ac:dyDescent="0.35">
      <c r="A1618" t="s">
        <v>354</v>
      </c>
      <c r="B1618" t="s">
        <v>1986</v>
      </c>
      <c r="C1618" t="s">
        <v>2487</v>
      </c>
      <c r="D1618">
        <v>3.75</v>
      </c>
      <c r="E1618" s="1">
        <v>47848</v>
      </c>
      <c r="F1618" t="s">
        <v>1988</v>
      </c>
      <c r="G1618" t="s">
        <v>2487</v>
      </c>
      <c r="H1618" t="s">
        <v>2</v>
      </c>
      <c r="I1618" s="1">
        <v>46224</v>
      </c>
      <c r="J1618" t="s">
        <v>2146</v>
      </c>
      <c r="K1618" t="s">
        <v>2900</v>
      </c>
      <c r="L1618" s="1">
        <v>46224.917650462965</v>
      </c>
      <c r="M1618" s="1">
        <v>46224.91962439815</v>
      </c>
    </row>
    <row r="1619" spans="1:13" x14ac:dyDescent="0.35">
      <c r="A1619" t="s">
        <v>354</v>
      </c>
      <c r="B1619" t="s">
        <v>1986</v>
      </c>
      <c r="C1619" t="s">
        <v>2487</v>
      </c>
      <c r="D1619">
        <v>3.75</v>
      </c>
      <c r="E1619" s="1">
        <v>47848</v>
      </c>
      <c r="F1619" t="s">
        <v>1988</v>
      </c>
      <c r="G1619" t="s">
        <v>2487</v>
      </c>
      <c r="H1619" t="s">
        <v>2</v>
      </c>
      <c r="I1619" s="1">
        <v>46224</v>
      </c>
      <c r="J1619" t="s">
        <v>2108</v>
      </c>
      <c r="K1619" t="s">
        <v>2900</v>
      </c>
      <c r="L1619" s="1">
        <v>46224.917650462965</v>
      </c>
      <c r="M1619" s="1">
        <v>46224.91962439815</v>
      </c>
    </row>
    <row r="1620" spans="1:13" x14ac:dyDescent="0.35">
      <c r="A1620" t="s">
        <v>354</v>
      </c>
      <c r="B1620" t="s">
        <v>1986</v>
      </c>
      <c r="C1620" t="s">
        <v>2487</v>
      </c>
      <c r="D1620">
        <v>3.75</v>
      </c>
      <c r="E1620" s="1">
        <v>47848</v>
      </c>
      <c r="F1620" t="s">
        <v>1988</v>
      </c>
      <c r="G1620" t="s">
        <v>2487</v>
      </c>
      <c r="H1620" t="s">
        <v>2</v>
      </c>
      <c r="I1620" s="1">
        <v>46224</v>
      </c>
      <c r="J1620" t="s">
        <v>2064</v>
      </c>
      <c r="K1620" t="s">
        <v>2663</v>
      </c>
      <c r="L1620" s="1">
        <v>46224.917650462965</v>
      </c>
      <c r="M1620" s="1">
        <v>46224.91962439815</v>
      </c>
    </row>
    <row r="1621" spans="1:13" x14ac:dyDescent="0.35">
      <c r="A1621" t="s">
        <v>354</v>
      </c>
      <c r="B1621" t="s">
        <v>1986</v>
      </c>
      <c r="C1621" t="s">
        <v>2487</v>
      </c>
      <c r="D1621">
        <v>3.75</v>
      </c>
      <c r="E1621" s="1">
        <v>47848</v>
      </c>
      <c r="F1621" t="s">
        <v>1988</v>
      </c>
      <c r="G1621" t="s">
        <v>2487</v>
      </c>
      <c r="H1621" t="s">
        <v>2</v>
      </c>
      <c r="I1621" s="1">
        <v>46224</v>
      </c>
      <c r="J1621" t="s">
        <v>1989</v>
      </c>
      <c r="K1621" t="s">
        <v>3656</v>
      </c>
      <c r="L1621" s="1">
        <v>46224.918321759258</v>
      </c>
      <c r="M1621" s="1">
        <v>46224.91962439815</v>
      </c>
    </row>
    <row r="1622" spans="1:13" x14ac:dyDescent="0.35">
      <c r="A1622" t="s">
        <v>354</v>
      </c>
      <c r="B1622" t="s">
        <v>1986</v>
      </c>
      <c r="C1622" t="s">
        <v>2487</v>
      </c>
      <c r="D1622">
        <v>3.75</v>
      </c>
      <c r="E1622" s="1">
        <v>47848</v>
      </c>
      <c r="F1622" t="s">
        <v>1988</v>
      </c>
      <c r="G1622" t="s">
        <v>2487</v>
      </c>
      <c r="H1622" t="s">
        <v>2</v>
      </c>
      <c r="I1622" s="1">
        <v>46224</v>
      </c>
      <c r="J1622" t="s">
        <v>1991</v>
      </c>
      <c r="K1622" t="s">
        <v>2359</v>
      </c>
      <c r="L1622" s="1">
        <v>46224.918321759258</v>
      </c>
      <c r="M1622" s="1">
        <v>46224.91962439815</v>
      </c>
    </row>
    <row r="1623" spans="1:13" x14ac:dyDescent="0.35">
      <c r="A1623" t="s">
        <v>354</v>
      </c>
      <c r="B1623" t="s">
        <v>1986</v>
      </c>
      <c r="C1623" t="s">
        <v>2487</v>
      </c>
      <c r="D1623">
        <v>3.75</v>
      </c>
      <c r="E1623" s="1">
        <v>47848</v>
      </c>
      <c r="F1623" t="s">
        <v>1988</v>
      </c>
      <c r="G1623" t="s">
        <v>2487</v>
      </c>
      <c r="H1623" t="s">
        <v>2</v>
      </c>
      <c r="I1623" s="1">
        <v>46224</v>
      </c>
      <c r="J1623" t="s">
        <v>2065</v>
      </c>
      <c r="K1623" t="s">
        <v>2663</v>
      </c>
      <c r="L1623" s="1">
        <v>46224.917650462965</v>
      </c>
      <c r="M1623" s="1">
        <v>46224.91962439815</v>
      </c>
    </row>
    <row r="1624" spans="1:13" x14ac:dyDescent="0.35">
      <c r="A1624" t="s">
        <v>355</v>
      </c>
      <c r="B1624" t="s">
        <v>1986</v>
      </c>
      <c r="C1624" t="s">
        <v>2488</v>
      </c>
      <c r="D1624">
        <v>3.75</v>
      </c>
      <c r="E1624" s="1">
        <v>47118</v>
      </c>
      <c r="F1624" t="s">
        <v>1988</v>
      </c>
      <c r="G1624" t="s">
        <v>2488</v>
      </c>
      <c r="H1624" t="s">
        <v>2</v>
      </c>
      <c r="I1624" s="1">
        <v>46224</v>
      </c>
      <c r="J1624" t="s">
        <v>2065</v>
      </c>
      <c r="K1624" t="s">
        <v>3612</v>
      </c>
      <c r="L1624" s="1">
        <v>46224.917650462965</v>
      </c>
      <c r="M1624" s="1">
        <v>46224.91962439815</v>
      </c>
    </row>
    <row r="1625" spans="1:13" x14ac:dyDescent="0.35">
      <c r="A1625" t="s">
        <v>355</v>
      </c>
      <c r="B1625" t="s">
        <v>1986</v>
      </c>
      <c r="C1625" t="s">
        <v>2488</v>
      </c>
      <c r="D1625">
        <v>3.75</v>
      </c>
      <c r="E1625" s="1">
        <v>47118</v>
      </c>
      <c r="F1625" t="s">
        <v>1988</v>
      </c>
      <c r="G1625" t="s">
        <v>2488</v>
      </c>
      <c r="H1625" t="s">
        <v>2</v>
      </c>
      <c r="I1625" s="1">
        <v>46224</v>
      </c>
      <c r="J1625" t="s">
        <v>2108</v>
      </c>
      <c r="K1625" t="s">
        <v>2913</v>
      </c>
      <c r="L1625" s="1">
        <v>46224.917650462965</v>
      </c>
      <c r="M1625" s="1">
        <v>46224.91962439815</v>
      </c>
    </row>
    <row r="1626" spans="1:13" x14ac:dyDescent="0.35">
      <c r="A1626" t="s">
        <v>355</v>
      </c>
      <c r="B1626" t="s">
        <v>1986</v>
      </c>
      <c r="C1626" t="s">
        <v>2488</v>
      </c>
      <c r="D1626">
        <v>3.75</v>
      </c>
      <c r="E1626" s="1">
        <v>47118</v>
      </c>
      <c r="F1626" t="s">
        <v>1988</v>
      </c>
      <c r="G1626" t="s">
        <v>2488</v>
      </c>
      <c r="H1626" t="s">
        <v>2</v>
      </c>
      <c r="I1626" s="1">
        <v>46224</v>
      </c>
      <c r="J1626" t="s">
        <v>1991</v>
      </c>
      <c r="K1626" t="s">
        <v>3909</v>
      </c>
      <c r="L1626" s="1">
        <v>46224.918321759258</v>
      </c>
      <c r="M1626" s="1">
        <v>46224.91962439815</v>
      </c>
    </row>
    <row r="1627" spans="1:13" x14ac:dyDescent="0.35">
      <c r="A1627" t="s">
        <v>355</v>
      </c>
      <c r="B1627" t="s">
        <v>1986</v>
      </c>
      <c r="C1627" t="s">
        <v>2488</v>
      </c>
      <c r="D1627">
        <v>3.75</v>
      </c>
      <c r="E1627" s="1">
        <v>47118</v>
      </c>
      <c r="F1627" t="s">
        <v>1988</v>
      </c>
      <c r="G1627" t="s">
        <v>2488</v>
      </c>
      <c r="H1627" t="s">
        <v>2</v>
      </c>
      <c r="I1627" s="1">
        <v>46224</v>
      </c>
      <c r="J1627" t="s">
        <v>2064</v>
      </c>
      <c r="K1627" t="s">
        <v>3612</v>
      </c>
      <c r="L1627" s="1">
        <v>46224.917650462965</v>
      </c>
      <c r="M1627" s="1">
        <v>46224.91962439815</v>
      </c>
    </row>
    <row r="1628" spans="1:13" x14ac:dyDescent="0.35">
      <c r="A1628" t="s">
        <v>355</v>
      </c>
      <c r="B1628" t="s">
        <v>1986</v>
      </c>
      <c r="C1628" t="s">
        <v>2488</v>
      </c>
      <c r="D1628">
        <v>3.75</v>
      </c>
      <c r="E1628" s="1">
        <v>47118</v>
      </c>
      <c r="F1628" t="s">
        <v>1988</v>
      </c>
      <c r="G1628" t="s">
        <v>2488</v>
      </c>
      <c r="H1628" t="s">
        <v>2</v>
      </c>
      <c r="I1628" s="1">
        <v>46224</v>
      </c>
      <c r="J1628" t="s">
        <v>2146</v>
      </c>
      <c r="K1628" t="s">
        <v>2913</v>
      </c>
      <c r="L1628" s="1">
        <v>46224.917650462965</v>
      </c>
      <c r="M1628" s="1">
        <v>46224.91962439815</v>
      </c>
    </row>
    <row r="1629" spans="1:13" x14ac:dyDescent="0.35">
      <c r="A1629" t="s">
        <v>355</v>
      </c>
      <c r="B1629" t="s">
        <v>1986</v>
      </c>
      <c r="C1629" t="s">
        <v>2488</v>
      </c>
      <c r="D1629">
        <v>3.75</v>
      </c>
      <c r="E1629" s="1">
        <v>47118</v>
      </c>
      <c r="F1629" t="s">
        <v>1988</v>
      </c>
      <c r="G1629" t="s">
        <v>2488</v>
      </c>
      <c r="H1629" t="s">
        <v>2</v>
      </c>
      <c r="I1629" s="1">
        <v>46224</v>
      </c>
      <c r="J1629" t="s">
        <v>1989</v>
      </c>
      <c r="K1629" t="s">
        <v>2431</v>
      </c>
      <c r="L1629" s="1">
        <v>46224.918321759258</v>
      </c>
      <c r="M1629" s="1">
        <v>46224.91962439815</v>
      </c>
    </row>
    <row r="1630" spans="1:13" x14ac:dyDescent="0.35">
      <c r="A1630" t="s">
        <v>356</v>
      </c>
      <c r="B1630" t="s">
        <v>1986</v>
      </c>
      <c r="C1630" t="s">
        <v>2490</v>
      </c>
      <c r="D1630">
        <v>4</v>
      </c>
      <c r="E1630" s="1">
        <v>46402</v>
      </c>
      <c r="F1630" t="s">
        <v>1988</v>
      </c>
      <c r="G1630" t="s">
        <v>2490</v>
      </c>
      <c r="H1630" t="s">
        <v>2</v>
      </c>
      <c r="I1630" s="1">
        <v>46224</v>
      </c>
      <c r="J1630" t="s">
        <v>2108</v>
      </c>
      <c r="K1630" t="s">
        <v>3464</v>
      </c>
      <c r="L1630" s="1">
        <v>46224.917650462965</v>
      </c>
      <c r="M1630" s="1">
        <v>46224.91962439815</v>
      </c>
    </row>
    <row r="1631" spans="1:13" x14ac:dyDescent="0.35">
      <c r="A1631" t="s">
        <v>356</v>
      </c>
      <c r="B1631" t="s">
        <v>1986</v>
      </c>
      <c r="C1631" t="s">
        <v>2490</v>
      </c>
      <c r="D1631">
        <v>4</v>
      </c>
      <c r="E1631" s="1">
        <v>46402</v>
      </c>
      <c r="F1631" t="s">
        <v>1988</v>
      </c>
      <c r="G1631" t="s">
        <v>2490</v>
      </c>
      <c r="H1631" t="s">
        <v>2</v>
      </c>
      <c r="I1631" s="1">
        <v>46224</v>
      </c>
      <c r="J1631" t="s">
        <v>2146</v>
      </c>
      <c r="K1631" t="s">
        <v>3464</v>
      </c>
      <c r="L1631" s="1">
        <v>46224.917650462965</v>
      </c>
      <c r="M1631" s="1">
        <v>46224.91962439815</v>
      </c>
    </row>
    <row r="1632" spans="1:13" x14ac:dyDescent="0.35">
      <c r="A1632" t="s">
        <v>356</v>
      </c>
      <c r="B1632" t="s">
        <v>1986</v>
      </c>
      <c r="C1632" t="s">
        <v>2490</v>
      </c>
      <c r="D1632">
        <v>4</v>
      </c>
      <c r="E1632" s="1">
        <v>46402</v>
      </c>
      <c r="F1632" t="s">
        <v>1988</v>
      </c>
      <c r="G1632" t="s">
        <v>2490</v>
      </c>
      <c r="H1632" t="s">
        <v>2</v>
      </c>
      <c r="I1632" s="1">
        <v>46224</v>
      </c>
      <c r="J1632" t="s">
        <v>1991</v>
      </c>
      <c r="K1632" t="s">
        <v>2531</v>
      </c>
      <c r="L1632" s="1">
        <v>46224.918321759258</v>
      </c>
      <c r="M1632" s="1">
        <v>46224.91962439815</v>
      </c>
    </row>
    <row r="1633" spans="1:13" x14ac:dyDescent="0.35">
      <c r="A1633" t="s">
        <v>356</v>
      </c>
      <c r="B1633" t="s">
        <v>1986</v>
      </c>
      <c r="C1633" t="s">
        <v>2490</v>
      </c>
      <c r="D1633">
        <v>4</v>
      </c>
      <c r="E1633" s="1">
        <v>46402</v>
      </c>
      <c r="F1633" t="s">
        <v>1988</v>
      </c>
      <c r="G1633" t="s">
        <v>2490</v>
      </c>
      <c r="H1633" t="s">
        <v>2</v>
      </c>
      <c r="I1633" s="1">
        <v>46224</v>
      </c>
      <c r="J1633" t="s">
        <v>2065</v>
      </c>
      <c r="K1633" t="s">
        <v>2947</v>
      </c>
      <c r="L1633" s="1">
        <v>46224.917650462965</v>
      </c>
      <c r="M1633" s="1">
        <v>46224.91962439815</v>
      </c>
    </row>
    <row r="1634" spans="1:13" x14ac:dyDescent="0.35">
      <c r="A1634" t="s">
        <v>356</v>
      </c>
      <c r="B1634" t="s">
        <v>1986</v>
      </c>
      <c r="C1634" t="s">
        <v>2490</v>
      </c>
      <c r="D1634">
        <v>4</v>
      </c>
      <c r="E1634" s="1">
        <v>46402</v>
      </c>
      <c r="F1634" t="s">
        <v>1988</v>
      </c>
      <c r="G1634" t="s">
        <v>2490</v>
      </c>
      <c r="H1634" t="s">
        <v>2</v>
      </c>
      <c r="I1634" s="1">
        <v>46224</v>
      </c>
      <c r="J1634" t="s">
        <v>1989</v>
      </c>
      <c r="K1634" t="s">
        <v>3637</v>
      </c>
      <c r="L1634" s="1">
        <v>46224.918321759258</v>
      </c>
      <c r="M1634" s="1">
        <v>46224.91962439815</v>
      </c>
    </row>
    <row r="1635" spans="1:13" x14ac:dyDescent="0.35">
      <c r="A1635" t="s">
        <v>356</v>
      </c>
      <c r="B1635" t="s">
        <v>1986</v>
      </c>
      <c r="C1635" t="s">
        <v>2490</v>
      </c>
      <c r="D1635">
        <v>4</v>
      </c>
      <c r="E1635" s="1">
        <v>46402</v>
      </c>
      <c r="F1635" t="s">
        <v>1988</v>
      </c>
      <c r="G1635" t="s">
        <v>2490</v>
      </c>
      <c r="H1635" t="s">
        <v>2</v>
      </c>
      <c r="I1635" s="1">
        <v>46224</v>
      </c>
      <c r="J1635" t="s">
        <v>2064</v>
      </c>
      <c r="K1635" t="s">
        <v>2947</v>
      </c>
      <c r="L1635" s="1">
        <v>46224.917650462965</v>
      </c>
      <c r="M1635" s="1">
        <v>46224.91962439815</v>
      </c>
    </row>
    <row r="1636" spans="1:13" x14ac:dyDescent="0.35">
      <c r="A1636" t="s">
        <v>362</v>
      </c>
      <c r="B1636" t="s">
        <v>1986</v>
      </c>
      <c r="C1636" t="s">
        <v>2492</v>
      </c>
      <c r="D1636">
        <v>4</v>
      </c>
      <c r="E1636" s="1">
        <v>47149</v>
      </c>
      <c r="F1636" t="s">
        <v>1988</v>
      </c>
      <c r="G1636" t="s">
        <v>2492</v>
      </c>
      <c r="H1636" t="s">
        <v>2</v>
      </c>
      <c r="I1636" s="1">
        <v>46224</v>
      </c>
      <c r="J1636" t="s">
        <v>1989</v>
      </c>
      <c r="K1636" t="s">
        <v>2668</v>
      </c>
      <c r="L1636" s="1">
        <v>46224.918321759258</v>
      </c>
      <c r="M1636" s="1">
        <v>46224.91962439815</v>
      </c>
    </row>
    <row r="1637" spans="1:13" x14ac:dyDescent="0.35">
      <c r="A1637" t="s">
        <v>362</v>
      </c>
      <c r="B1637" t="s">
        <v>1986</v>
      </c>
      <c r="C1637" t="s">
        <v>2492</v>
      </c>
      <c r="D1637">
        <v>4</v>
      </c>
      <c r="E1637" s="1">
        <v>47149</v>
      </c>
      <c r="F1637" t="s">
        <v>1988</v>
      </c>
      <c r="G1637" t="s">
        <v>2492</v>
      </c>
      <c r="H1637" t="s">
        <v>2</v>
      </c>
      <c r="I1637" s="1">
        <v>46224</v>
      </c>
      <c r="J1637" t="s">
        <v>1991</v>
      </c>
      <c r="K1637" t="s">
        <v>3875</v>
      </c>
      <c r="L1637" s="1">
        <v>46224.918321759258</v>
      </c>
      <c r="M1637" s="1">
        <v>46224.91962439815</v>
      </c>
    </row>
    <row r="1638" spans="1:13" x14ac:dyDescent="0.35">
      <c r="A1638" t="s">
        <v>362</v>
      </c>
      <c r="B1638" t="s">
        <v>1986</v>
      </c>
      <c r="C1638" t="s">
        <v>2492</v>
      </c>
      <c r="D1638">
        <v>4</v>
      </c>
      <c r="E1638" s="1">
        <v>47149</v>
      </c>
      <c r="F1638" t="s">
        <v>1988</v>
      </c>
      <c r="G1638" t="s">
        <v>2492</v>
      </c>
      <c r="H1638" t="s">
        <v>2</v>
      </c>
      <c r="I1638" s="1">
        <v>46224</v>
      </c>
      <c r="J1638" t="s">
        <v>2064</v>
      </c>
      <c r="K1638" t="s">
        <v>2603</v>
      </c>
      <c r="L1638" s="1">
        <v>46224.917650462965</v>
      </c>
      <c r="M1638" s="1">
        <v>46224.91962439815</v>
      </c>
    </row>
    <row r="1639" spans="1:13" x14ac:dyDescent="0.35">
      <c r="A1639" t="s">
        <v>362</v>
      </c>
      <c r="B1639" t="s">
        <v>1986</v>
      </c>
      <c r="C1639" t="s">
        <v>2492</v>
      </c>
      <c r="D1639">
        <v>4</v>
      </c>
      <c r="E1639" s="1">
        <v>47149</v>
      </c>
      <c r="F1639" t="s">
        <v>1988</v>
      </c>
      <c r="G1639" t="s">
        <v>2492</v>
      </c>
      <c r="H1639" t="s">
        <v>2</v>
      </c>
      <c r="I1639" s="1">
        <v>46224</v>
      </c>
      <c r="J1639" t="s">
        <v>2146</v>
      </c>
      <c r="K1639" t="s">
        <v>2515</v>
      </c>
      <c r="L1639" s="1">
        <v>46224.917650462965</v>
      </c>
      <c r="M1639" s="1">
        <v>46224.91962439815</v>
      </c>
    </row>
    <row r="1640" spans="1:13" x14ac:dyDescent="0.35">
      <c r="A1640" t="s">
        <v>362</v>
      </c>
      <c r="B1640" t="s">
        <v>1986</v>
      </c>
      <c r="C1640" t="s">
        <v>2492</v>
      </c>
      <c r="D1640">
        <v>4</v>
      </c>
      <c r="E1640" s="1">
        <v>47149</v>
      </c>
      <c r="F1640" t="s">
        <v>1988</v>
      </c>
      <c r="G1640" t="s">
        <v>2492</v>
      </c>
      <c r="H1640" t="s">
        <v>2</v>
      </c>
      <c r="I1640" s="1">
        <v>46224</v>
      </c>
      <c r="J1640" t="s">
        <v>2108</v>
      </c>
      <c r="K1640" t="s">
        <v>2515</v>
      </c>
      <c r="L1640" s="1">
        <v>46224.917650462965</v>
      </c>
      <c r="M1640" s="1">
        <v>46224.91962439815</v>
      </c>
    </row>
    <row r="1641" spans="1:13" x14ac:dyDescent="0.35">
      <c r="A1641" t="s">
        <v>362</v>
      </c>
      <c r="B1641" t="s">
        <v>1986</v>
      </c>
      <c r="C1641" t="s">
        <v>2492</v>
      </c>
      <c r="D1641">
        <v>4</v>
      </c>
      <c r="E1641" s="1">
        <v>47149</v>
      </c>
      <c r="F1641" t="s">
        <v>1988</v>
      </c>
      <c r="G1641" t="s">
        <v>2492</v>
      </c>
      <c r="H1641" t="s">
        <v>2</v>
      </c>
      <c r="I1641" s="1">
        <v>46224</v>
      </c>
      <c r="J1641" t="s">
        <v>2065</v>
      </c>
      <c r="K1641" t="s">
        <v>2603</v>
      </c>
      <c r="L1641" s="1">
        <v>46224.917650462965</v>
      </c>
      <c r="M1641" s="1">
        <v>46224.91962439815</v>
      </c>
    </row>
    <row r="1642" spans="1:13" x14ac:dyDescent="0.35">
      <c r="A1642" t="s">
        <v>363</v>
      </c>
      <c r="B1642" t="s">
        <v>1986</v>
      </c>
      <c r="C1642" t="s">
        <v>2555</v>
      </c>
      <c r="D1642">
        <v>4</v>
      </c>
      <c r="E1642" s="1">
        <v>47879</v>
      </c>
      <c r="F1642" t="s">
        <v>1988</v>
      </c>
      <c r="G1642" t="s">
        <v>2555</v>
      </c>
      <c r="H1642" t="s">
        <v>2</v>
      </c>
      <c r="I1642" s="1">
        <v>46224</v>
      </c>
      <c r="J1642" t="s">
        <v>1989</v>
      </c>
      <c r="K1642" t="s">
        <v>3004</v>
      </c>
      <c r="L1642" s="1">
        <v>46224.918321759258</v>
      </c>
      <c r="M1642" s="1">
        <v>46224.91962439815</v>
      </c>
    </row>
    <row r="1643" spans="1:13" x14ac:dyDescent="0.35">
      <c r="A1643" t="s">
        <v>363</v>
      </c>
      <c r="B1643" t="s">
        <v>1986</v>
      </c>
      <c r="C1643" t="s">
        <v>2555</v>
      </c>
      <c r="D1643">
        <v>4</v>
      </c>
      <c r="E1643" s="1">
        <v>47879</v>
      </c>
      <c r="F1643" t="s">
        <v>1988</v>
      </c>
      <c r="G1643" t="s">
        <v>2555</v>
      </c>
      <c r="H1643" t="s">
        <v>2</v>
      </c>
      <c r="I1643" s="1">
        <v>46224</v>
      </c>
      <c r="J1643" t="s">
        <v>2065</v>
      </c>
      <c r="K1643" t="s">
        <v>3657</v>
      </c>
      <c r="L1643" s="1">
        <v>46224.917650462965</v>
      </c>
      <c r="M1643" s="1">
        <v>46224.91962439815</v>
      </c>
    </row>
    <row r="1644" spans="1:13" x14ac:dyDescent="0.35">
      <c r="A1644" t="s">
        <v>363</v>
      </c>
      <c r="B1644" t="s">
        <v>1986</v>
      </c>
      <c r="C1644" t="s">
        <v>2555</v>
      </c>
      <c r="D1644">
        <v>4</v>
      </c>
      <c r="E1644" s="1">
        <v>47879</v>
      </c>
      <c r="F1644" t="s">
        <v>1988</v>
      </c>
      <c r="G1644" t="s">
        <v>2555</v>
      </c>
      <c r="H1644" t="s">
        <v>2</v>
      </c>
      <c r="I1644" s="1">
        <v>46224</v>
      </c>
      <c r="J1644" t="s">
        <v>2108</v>
      </c>
      <c r="K1644" t="s">
        <v>2597</v>
      </c>
      <c r="L1644" s="1">
        <v>46224.917650462965</v>
      </c>
      <c r="M1644" s="1">
        <v>46224.91962439815</v>
      </c>
    </row>
    <row r="1645" spans="1:13" x14ac:dyDescent="0.35">
      <c r="A1645" t="s">
        <v>363</v>
      </c>
      <c r="B1645" t="s">
        <v>1986</v>
      </c>
      <c r="C1645" t="s">
        <v>2555</v>
      </c>
      <c r="D1645">
        <v>4</v>
      </c>
      <c r="E1645" s="1">
        <v>47879</v>
      </c>
      <c r="F1645" t="s">
        <v>1988</v>
      </c>
      <c r="G1645" t="s">
        <v>2555</v>
      </c>
      <c r="H1645" t="s">
        <v>2</v>
      </c>
      <c r="I1645" s="1">
        <v>46224</v>
      </c>
      <c r="J1645" t="s">
        <v>1991</v>
      </c>
      <c r="K1645" t="s">
        <v>2429</v>
      </c>
      <c r="L1645" s="1">
        <v>46224.918321759258</v>
      </c>
      <c r="M1645" s="1">
        <v>46224.91962439815</v>
      </c>
    </row>
    <row r="1646" spans="1:13" x14ac:dyDescent="0.35">
      <c r="A1646" t="s">
        <v>363</v>
      </c>
      <c r="B1646" t="s">
        <v>1986</v>
      </c>
      <c r="C1646" t="s">
        <v>2555</v>
      </c>
      <c r="D1646">
        <v>4</v>
      </c>
      <c r="E1646" s="1">
        <v>47879</v>
      </c>
      <c r="F1646" t="s">
        <v>1988</v>
      </c>
      <c r="G1646" t="s">
        <v>2555</v>
      </c>
      <c r="H1646" t="s">
        <v>2</v>
      </c>
      <c r="I1646" s="1">
        <v>46224</v>
      </c>
      <c r="J1646" t="s">
        <v>2064</v>
      </c>
      <c r="K1646" t="s">
        <v>3657</v>
      </c>
      <c r="L1646" s="1">
        <v>46224.917650462965</v>
      </c>
      <c r="M1646" s="1">
        <v>46224.91962439815</v>
      </c>
    </row>
    <row r="1647" spans="1:13" x14ac:dyDescent="0.35">
      <c r="A1647" t="s">
        <v>363</v>
      </c>
      <c r="B1647" t="s">
        <v>1986</v>
      </c>
      <c r="C1647" t="s">
        <v>2555</v>
      </c>
      <c r="D1647">
        <v>4</v>
      </c>
      <c r="E1647" s="1">
        <v>47879</v>
      </c>
      <c r="F1647" t="s">
        <v>1988</v>
      </c>
      <c r="G1647" t="s">
        <v>2555</v>
      </c>
      <c r="H1647" t="s">
        <v>2</v>
      </c>
      <c r="I1647" s="1">
        <v>46224</v>
      </c>
      <c r="J1647" t="s">
        <v>2146</v>
      </c>
      <c r="K1647" t="s">
        <v>2597</v>
      </c>
      <c r="L1647" s="1">
        <v>46224.917650462965</v>
      </c>
      <c r="M1647" s="1">
        <v>46224.91962439815</v>
      </c>
    </row>
    <row r="1648" spans="1:13" x14ac:dyDescent="0.35">
      <c r="A1648" t="s">
        <v>364</v>
      </c>
      <c r="B1648" t="s">
        <v>1986</v>
      </c>
      <c r="C1648" t="s">
        <v>2494</v>
      </c>
      <c r="D1648">
        <v>1.75</v>
      </c>
      <c r="E1648" s="1">
        <v>48959</v>
      </c>
      <c r="F1648" t="s">
        <v>2014</v>
      </c>
      <c r="G1648" t="s">
        <v>2494</v>
      </c>
      <c r="H1648" t="s">
        <v>2</v>
      </c>
      <c r="I1648" s="1">
        <v>46224</v>
      </c>
      <c r="J1648" t="s">
        <v>1989</v>
      </c>
      <c r="K1648" t="s">
        <v>3876</v>
      </c>
      <c r="L1648" s="1">
        <v>46224.918321759258</v>
      </c>
      <c r="M1648" s="1">
        <v>46224.91962439815</v>
      </c>
    </row>
    <row r="1649" spans="1:13" x14ac:dyDescent="0.35">
      <c r="A1649" t="s">
        <v>364</v>
      </c>
      <c r="B1649" t="s">
        <v>1986</v>
      </c>
      <c r="C1649" t="s">
        <v>2494</v>
      </c>
      <c r="D1649">
        <v>1.75</v>
      </c>
      <c r="E1649" s="1">
        <v>48959</v>
      </c>
      <c r="F1649" t="s">
        <v>2014</v>
      </c>
      <c r="G1649" t="s">
        <v>2494</v>
      </c>
      <c r="H1649" t="s">
        <v>2</v>
      </c>
      <c r="I1649" s="1">
        <v>46224</v>
      </c>
      <c r="J1649" t="s">
        <v>2064</v>
      </c>
      <c r="K1649" t="s">
        <v>3877</v>
      </c>
      <c r="L1649" s="1">
        <v>46224.917650462965</v>
      </c>
      <c r="M1649" s="1">
        <v>46224.91962439815</v>
      </c>
    </row>
    <row r="1650" spans="1:13" x14ac:dyDescent="0.35">
      <c r="A1650" t="s">
        <v>364</v>
      </c>
      <c r="B1650" t="s">
        <v>1986</v>
      </c>
      <c r="C1650" t="s">
        <v>2494</v>
      </c>
      <c r="D1650">
        <v>1.75</v>
      </c>
      <c r="E1650" s="1">
        <v>48959</v>
      </c>
      <c r="F1650" t="s">
        <v>2014</v>
      </c>
      <c r="G1650" t="s">
        <v>2494</v>
      </c>
      <c r="H1650" t="s">
        <v>2</v>
      </c>
      <c r="I1650" s="1">
        <v>46224</v>
      </c>
      <c r="J1650" t="s">
        <v>1991</v>
      </c>
      <c r="K1650" t="s">
        <v>2787</v>
      </c>
      <c r="L1650" s="1">
        <v>46224.918321759258</v>
      </c>
      <c r="M1650" s="1">
        <v>46224.91962439815</v>
      </c>
    </row>
    <row r="1651" spans="1:13" x14ac:dyDescent="0.35">
      <c r="A1651" t="s">
        <v>364</v>
      </c>
      <c r="B1651" t="s">
        <v>1986</v>
      </c>
      <c r="C1651" t="s">
        <v>2494</v>
      </c>
      <c r="D1651">
        <v>1.75</v>
      </c>
      <c r="E1651" s="1">
        <v>48959</v>
      </c>
      <c r="F1651" t="s">
        <v>2014</v>
      </c>
      <c r="G1651" t="s">
        <v>2494</v>
      </c>
      <c r="H1651" t="s">
        <v>2</v>
      </c>
      <c r="I1651" s="1">
        <v>46224</v>
      </c>
      <c r="J1651" t="s">
        <v>2146</v>
      </c>
      <c r="K1651" t="s">
        <v>3840</v>
      </c>
      <c r="L1651" s="1">
        <v>46224.917650462965</v>
      </c>
      <c r="M1651" s="1">
        <v>46224.91962439815</v>
      </c>
    </row>
    <row r="1652" spans="1:13" x14ac:dyDescent="0.35">
      <c r="A1652" t="s">
        <v>364</v>
      </c>
      <c r="B1652" t="s">
        <v>1986</v>
      </c>
      <c r="C1652" t="s">
        <v>2494</v>
      </c>
      <c r="D1652">
        <v>1.75</v>
      </c>
      <c r="E1652" s="1">
        <v>48959</v>
      </c>
      <c r="F1652" t="s">
        <v>2014</v>
      </c>
      <c r="G1652" t="s">
        <v>2494</v>
      </c>
      <c r="H1652" t="s">
        <v>2</v>
      </c>
      <c r="I1652" s="1">
        <v>46224</v>
      </c>
      <c r="J1652" t="s">
        <v>2065</v>
      </c>
      <c r="K1652" t="s">
        <v>3877</v>
      </c>
      <c r="L1652" s="1">
        <v>46224.917650462965</v>
      </c>
      <c r="M1652" s="1">
        <v>46224.91962439815</v>
      </c>
    </row>
    <row r="1653" spans="1:13" x14ac:dyDescent="0.35">
      <c r="A1653" t="s">
        <v>364</v>
      </c>
      <c r="B1653" t="s">
        <v>1986</v>
      </c>
      <c r="C1653" t="s">
        <v>2494</v>
      </c>
      <c r="D1653">
        <v>1.75</v>
      </c>
      <c r="E1653" s="1">
        <v>48959</v>
      </c>
      <c r="F1653" t="s">
        <v>2014</v>
      </c>
      <c r="G1653" t="s">
        <v>2494</v>
      </c>
      <c r="H1653" t="s">
        <v>2</v>
      </c>
      <c r="I1653" s="1">
        <v>46224</v>
      </c>
      <c r="J1653" t="s">
        <v>2108</v>
      </c>
      <c r="K1653" t="s">
        <v>3840</v>
      </c>
      <c r="L1653" s="1">
        <v>46224.917650462965</v>
      </c>
      <c r="M1653" s="1">
        <v>46224.91962439815</v>
      </c>
    </row>
    <row r="1654" spans="1:13" x14ac:dyDescent="0.35">
      <c r="A1654" t="s">
        <v>365</v>
      </c>
      <c r="B1654" t="s">
        <v>1986</v>
      </c>
      <c r="C1654" t="s">
        <v>2557</v>
      </c>
      <c r="D1654">
        <v>4</v>
      </c>
      <c r="E1654" s="1">
        <v>48990</v>
      </c>
      <c r="F1654" t="s">
        <v>1988</v>
      </c>
      <c r="G1654" t="s">
        <v>2557</v>
      </c>
      <c r="H1654" t="s">
        <v>2</v>
      </c>
      <c r="I1654" s="1">
        <v>46224</v>
      </c>
      <c r="J1654" t="s">
        <v>2064</v>
      </c>
      <c r="K1654" t="s">
        <v>3878</v>
      </c>
      <c r="L1654" s="1">
        <v>46224.917650462965</v>
      </c>
      <c r="M1654" s="1">
        <v>46224.91962439815</v>
      </c>
    </row>
    <row r="1655" spans="1:13" x14ac:dyDescent="0.35">
      <c r="A1655" t="s">
        <v>365</v>
      </c>
      <c r="B1655" t="s">
        <v>1986</v>
      </c>
      <c r="C1655" t="s">
        <v>2557</v>
      </c>
      <c r="D1655">
        <v>4</v>
      </c>
      <c r="E1655" s="1">
        <v>48990</v>
      </c>
      <c r="F1655" t="s">
        <v>1988</v>
      </c>
      <c r="G1655" t="s">
        <v>2557</v>
      </c>
      <c r="H1655" t="s">
        <v>2</v>
      </c>
      <c r="I1655" s="1">
        <v>46224</v>
      </c>
      <c r="J1655" t="s">
        <v>2146</v>
      </c>
      <c r="K1655" t="s">
        <v>3879</v>
      </c>
      <c r="L1655" s="1">
        <v>46224.917650462965</v>
      </c>
      <c r="M1655" s="1">
        <v>46224.91962439815</v>
      </c>
    </row>
    <row r="1656" spans="1:13" x14ac:dyDescent="0.35">
      <c r="A1656" t="s">
        <v>365</v>
      </c>
      <c r="B1656" t="s">
        <v>1986</v>
      </c>
      <c r="C1656" t="s">
        <v>2557</v>
      </c>
      <c r="D1656">
        <v>4</v>
      </c>
      <c r="E1656" s="1">
        <v>48990</v>
      </c>
      <c r="F1656" t="s">
        <v>1988</v>
      </c>
      <c r="G1656" t="s">
        <v>2557</v>
      </c>
      <c r="H1656" t="s">
        <v>2</v>
      </c>
      <c r="I1656" s="1">
        <v>46224</v>
      </c>
      <c r="J1656" t="s">
        <v>1991</v>
      </c>
      <c r="K1656" t="s">
        <v>3658</v>
      </c>
      <c r="L1656" s="1">
        <v>46224.918321759258</v>
      </c>
      <c r="M1656" s="1">
        <v>46224.91962439815</v>
      </c>
    </row>
    <row r="1657" spans="1:13" x14ac:dyDescent="0.35">
      <c r="A1657" t="s">
        <v>365</v>
      </c>
      <c r="B1657" t="s">
        <v>1986</v>
      </c>
      <c r="C1657" t="s">
        <v>2557</v>
      </c>
      <c r="D1657">
        <v>4</v>
      </c>
      <c r="E1657" s="1">
        <v>48990</v>
      </c>
      <c r="F1657" t="s">
        <v>1988</v>
      </c>
      <c r="G1657" t="s">
        <v>2557</v>
      </c>
      <c r="H1657" t="s">
        <v>2</v>
      </c>
      <c r="I1657" s="1">
        <v>46224</v>
      </c>
      <c r="J1657" t="s">
        <v>1989</v>
      </c>
      <c r="K1657" t="s">
        <v>4027</v>
      </c>
      <c r="L1657" s="1">
        <v>46224.918321759258</v>
      </c>
      <c r="M1657" s="1">
        <v>46224.91962439815</v>
      </c>
    </row>
    <row r="1658" spans="1:13" x14ac:dyDescent="0.35">
      <c r="A1658" t="s">
        <v>365</v>
      </c>
      <c r="B1658" t="s">
        <v>1986</v>
      </c>
      <c r="C1658" t="s">
        <v>2557</v>
      </c>
      <c r="D1658">
        <v>4</v>
      </c>
      <c r="E1658" s="1">
        <v>48990</v>
      </c>
      <c r="F1658" t="s">
        <v>1988</v>
      </c>
      <c r="G1658" t="s">
        <v>2557</v>
      </c>
      <c r="H1658" t="s">
        <v>2</v>
      </c>
      <c r="I1658" s="1">
        <v>46224</v>
      </c>
      <c r="J1658" t="s">
        <v>2108</v>
      </c>
      <c r="K1658" t="s">
        <v>3879</v>
      </c>
      <c r="L1658" s="1">
        <v>46224.917650462965</v>
      </c>
      <c r="M1658" s="1">
        <v>46224.91962439815</v>
      </c>
    </row>
    <row r="1659" spans="1:13" x14ac:dyDescent="0.35">
      <c r="A1659" t="s">
        <v>365</v>
      </c>
      <c r="B1659" t="s">
        <v>1986</v>
      </c>
      <c r="C1659" t="s">
        <v>2557</v>
      </c>
      <c r="D1659">
        <v>4</v>
      </c>
      <c r="E1659" s="1">
        <v>48990</v>
      </c>
      <c r="F1659" t="s">
        <v>1988</v>
      </c>
      <c r="G1659" t="s">
        <v>2557</v>
      </c>
      <c r="H1659" t="s">
        <v>2</v>
      </c>
      <c r="I1659" s="1">
        <v>46224</v>
      </c>
      <c r="J1659" t="s">
        <v>2065</v>
      </c>
      <c r="K1659" t="s">
        <v>3878</v>
      </c>
      <c r="L1659" s="1">
        <v>46224.917650462965</v>
      </c>
      <c r="M1659" s="1">
        <v>46224.91962439815</v>
      </c>
    </row>
    <row r="1660" spans="1:13" x14ac:dyDescent="0.35">
      <c r="A1660" t="s">
        <v>383</v>
      </c>
      <c r="B1660" t="s">
        <v>1986</v>
      </c>
      <c r="C1660" t="s">
        <v>2559</v>
      </c>
      <c r="D1660">
        <v>4.125</v>
      </c>
      <c r="E1660" s="1">
        <v>46433</v>
      </c>
      <c r="F1660" t="s">
        <v>1988</v>
      </c>
      <c r="G1660" t="s">
        <v>2559</v>
      </c>
      <c r="H1660" t="s">
        <v>2</v>
      </c>
      <c r="I1660" s="1">
        <v>46224</v>
      </c>
      <c r="J1660" t="s">
        <v>2065</v>
      </c>
      <c r="K1660" t="s">
        <v>3735</v>
      </c>
      <c r="L1660" s="1">
        <v>46224.917650462965</v>
      </c>
      <c r="M1660" s="1">
        <v>46224.91962439815</v>
      </c>
    </row>
    <row r="1661" spans="1:13" x14ac:dyDescent="0.35">
      <c r="A1661" t="s">
        <v>383</v>
      </c>
      <c r="B1661" t="s">
        <v>1986</v>
      </c>
      <c r="C1661" t="s">
        <v>2559</v>
      </c>
      <c r="D1661">
        <v>4.125</v>
      </c>
      <c r="E1661" s="1">
        <v>46433</v>
      </c>
      <c r="F1661" t="s">
        <v>1988</v>
      </c>
      <c r="G1661" t="s">
        <v>2559</v>
      </c>
      <c r="H1661" t="s">
        <v>2</v>
      </c>
      <c r="I1661" s="1">
        <v>46224</v>
      </c>
      <c r="J1661" t="s">
        <v>2108</v>
      </c>
      <c r="K1661" t="s">
        <v>3638</v>
      </c>
      <c r="L1661" s="1">
        <v>46224.917650462965</v>
      </c>
      <c r="M1661" s="1">
        <v>46224.91962439815</v>
      </c>
    </row>
    <row r="1662" spans="1:13" x14ac:dyDescent="0.35">
      <c r="A1662" t="s">
        <v>383</v>
      </c>
      <c r="B1662" t="s">
        <v>1986</v>
      </c>
      <c r="C1662" t="s">
        <v>2559</v>
      </c>
      <c r="D1662">
        <v>4.125</v>
      </c>
      <c r="E1662" s="1">
        <v>46433</v>
      </c>
      <c r="F1662" t="s">
        <v>1988</v>
      </c>
      <c r="G1662" t="s">
        <v>2559</v>
      </c>
      <c r="H1662" t="s">
        <v>2</v>
      </c>
      <c r="I1662" s="1">
        <v>46224</v>
      </c>
      <c r="J1662" t="s">
        <v>2146</v>
      </c>
      <c r="K1662" t="s">
        <v>3638</v>
      </c>
      <c r="L1662" s="1">
        <v>46224.917650462965</v>
      </c>
      <c r="M1662" s="1">
        <v>46224.91962439815</v>
      </c>
    </row>
    <row r="1663" spans="1:13" x14ac:dyDescent="0.35">
      <c r="A1663" t="s">
        <v>383</v>
      </c>
      <c r="B1663" t="s">
        <v>1986</v>
      </c>
      <c r="C1663" t="s">
        <v>2559</v>
      </c>
      <c r="D1663">
        <v>4.125</v>
      </c>
      <c r="E1663" s="1">
        <v>46433</v>
      </c>
      <c r="F1663" t="s">
        <v>1988</v>
      </c>
      <c r="G1663" t="s">
        <v>2559</v>
      </c>
      <c r="H1663" t="s">
        <v>2</v>
      </c>
      <c r="I1663" s="1">
        <v>46224</v>
      </c>
      <c r="J1663" t="s">
        <v>1991</v>
      </c>
      <c r="K1663" t="s">
        <v>2927</v>
      </c>
      <c r="L1663" s="1">
        <v>46224.918321759258</v>
      </c>
      <c r="M1663" s="1">
        <v>46224.91962439815</v>
      </c>
    </row>
    <row r="1664" spans="1:13" x14ac:dyDescent="0.35">
      <c r="A1664" t="s">
        <v>383</v>
      </c>
      <c r="B1664" t="s">
        <v>1986</v>
      </c>
      <c r="C1664" t="s">
        <v>2559</v>
      </c>
      <c r="D1664">
        <v>4.125</v>
      </c>
      <c r="E1664" s="1">
        <v>46433</v>
      </c>
      <c r="F1664" t="s">
        <v>1988</v>
      </c>
      <c r="G1664" t="s">
        <v>2559</v>
      </c>
      <c r="H1664" t="s">
        <v>2</v>
      </c>
      <c r="I1664" s="1">
        <v>46224</v>
      </c>
      <c r="J1664" t="s">
        <v>2064</v>
      </c>
      <c r="K1664" t="s">
        <v>3735</v>
      </c>
      <c r="L1664" s="1">
        <v>46224.917650462965</v>
      </c>
      <c r="M1664" s="1">
        <v>46224.91962439815</v>
      </c>
    </row>
    <row r="1665" spans="1:13" x14ac:dyDescent="0.35">
      <c r="A1665" t="s">
        <v>383</v>
      </c>
      <c r="B1665" t="s">
        <v>1986</v>
      </c>
      <c r="C1665" t="s">
        <v>2559</v>
      </c>
      <c r="D1665">
        <v>4.125</v>
      </c>
      <c r="E1665" s="1">
        <v>46433</v>
      </c>
      <c r="F1665" t="s">
        <v>1988</v>
      </c>
      <c r="G1665" t="s">
        <v>2559</v>
      </c>
      <c r="H1665" t="s">
        <v>2</v>
      </c>
      <c r="I1665" s="1">
        <v>46224</v>
      </c>
      <c r="J1665" t="s">
        <v>1989</v>
      </c>
      <c r="K1665" t="s">
        <v>4138</v>
      </c>
      <c r="L1665" s="1">
        <v>46224.918321759258</v>
      </c>
      <c r="M1665" s="1">
        <v>46224.91962439815</v>
      </c>
    </row>
    <row r="1666" spans="1:13" x14ac:dyDescent="0.35">
      <c r="A1666" t="s">
        <v>366</v>
      </c>
      <c r="B1666" t="s">
        <v>1986</v>
      </c>
      <c r="C1666" t="s">
        <v>2529</v>
      </c>
      <c r="D1666">
        <v>4.25</v>
      </c>
      <c r="E1666" s="1">
        <v>47907</v>
      </c>
      <c r="F1666" t="s">
        <v>1988</v>
      </c>
      <c r="G1666" t="s">
        <v>2529</v>
      </c>
      <c r="H1666" t="s">
        <v>2</v>
      </c>
      <c r="I1666" s="1">
        <v>46224</v>
      </c>
      <c r="J1666" t="s">
        <v>2146</v>
      </c>
      <c r="K1666" t="s">
        <v>2651</v>
      </c>
      <c r="L1666" s="1">
        <v>46224.917650462965</v>
      </c>
      <c r="M1666" s="1">
        <v>46224.91962439815</v>
      </c>
    </row>
    <row r="1667" spans="1:13" x14ac:dyDescent="0.35">
      <c r="A1667" t="s">
        <v>366</v>
      </c>
      <c r="B1667" t="s">
        <v>1986</v>
      </c>
      <c r="C1667" t="s">
        <v>2529</v>
      </c>
      <c r="D1667">
        <v>4.25</v>
      </c>
      <c r="E1667" s="1">
        <v>47907</v>
      </c>
      <c r="F1667" t="s">
        <v>1988</v>
      </c>
      <c r="G1667" t="s">
        <v>2529</v>
      </c>
      <c r="H1667" t="s">
        <v>2</v>
      </c>
      <c r="I1667" s="1">
        <v>46224</v>
      </c>
      <c r="J1667" t="s">
        <v>1989</v>
      </c>
      <c r="K1667" t="s">
        <v>2885</v>
      </c>
      <c r="L1667" s="1">
        <v>46224.918321759258</v>
      </c>
      <c r="M1667" s="1">
        <v>46224.91962439815</v>
      </c>
    </row>
    <row r="1668" spans="1:13" x14ac:dyDescent="0.35">
      <c r="A1668" t="s">
        <v>366</v>
      </c>
      <c r="B1668" t="s">
        <v>1986</v>
      </c>
      <c r="C1668" t="s">
        <v>2529</v>
      </c>
      <c r="D1668">
        <v>4.25</v>
      </c>
      <c r="E1668" s="1">
        <v>47907</v>
      </c>
      <c r="F1668" t="s">
        <v>1988</v>
      </c>
      <c r="G1668" t="s">
        <v>2529</v>
      </c>
      <c r="H1668" t="s">
        <v>2</v>
      </c>
      <c r="I1668" s="1">
        <v>46224</v>
      </c>
      <c r="J1668" t="s">
        <v>2108</v>
      </c>
      <c r="K1668" t="s">
        <v>2651</v>
      </c>
      <c r="L1668" s="1">
        <v>46224.917650462965</v>
      </c>
      <c r="M1668" s="1">
        <v>46224.91962439815</v>
      </c>
    </row>
    <row r="1669" spans="1:13" x14ac:dyDescent="0.35">
      <c r="A1669" t="s">
        <v>366</v>
      </c>
      <c r="B1669" t="s">
        <v>1986</v>
      </c>
      <c r="C1669" t="s">
        <v>2529</v>
      </c>
      <c r="D1669">
        <v>4.25</v>
      </c>
      <c r="E1669" s="1">
        <v>47907</v>
      </c>
      <c r="F1669" t="s">
        <v>1988</v>
      </c>
      <c r="G1669" t="s">
        <v>2529</v>
      </c>
      <c r="H1669" t="s">
        <v>2</v>
      </c>
      <c r="I1669" s="1">
        <v>46224</v>
      </c>
      <c r="J1669" t="s">
        <v>1991</v>
      </c>
      <c r="K1669" t="s">
        <v>4028</v>
      </c>
      <c r="L1669" s="1">
        <v>46224.918321759258</v>
      </c>
      <c r="M1669" s="1">
        <v>46224.91962439815</v>
      </c>
    </row>
    <row r="1670" spans="1:13" x14ac:dyDescent="0.35">
      <c r="A1670" t="s">
        <v>366</v>
      </c>
      <c r="B1670" t="s">
        <v>1986</v>
      </c>
      <c r="C1670" t="s">
        <v>2529</v>
      </c>
      <c r="D1670">
        <v>4.25</v>
      </c>
      <c r="E1670" s="1">
        <v>47907</v>
      </c>
      <c r="F1670" t="s">
        <v>1988</v>
      </c>
      <c r="G1670" t="s">
        <v>2529</v>
      </c>
      <c r="H1670" t="s">
        <v>2</v>
      </c>
      <c r="I1670" s="1">
        <v>46224</v>
      </c>
      <c r="J1670" t="s">
        <v>2064</v>
      </c>
      <c r="K1670" t="s">
        <v>2888</v>
      </c>
      <c r="L1670" s="1">
        <v>46224.917650462965</v>
      </c>
      <c r="M1670" s="1">
        <v>46224.91962439815</v>
      </c>
    </row>
    <row r="1671" spans="1:13" x14ac:dyDescent="0.35">
      <c r="A1671" t="s">
        <v>366</v>
      </c>
      <c r="B1671" t="s">
        <v>1986</v>
      </c>
      <c r="C1671" t="s">
        <v>2529</v>
      </c>
      <c r="D1671">
        <v>4.25</v>
      </c>
      <c r="E1671" s="1">
        <v>47907</v>
      </c>
      <c r="F1671" t="s">
        <v>1988</v>
      </c>
      <c r="G1671" t="s">
        <v>2529</v>
      </c>
      <c r="H1671" t="s">
        <v>2</v>
      </c>
      <c r="I1671" s="1">
        <v>46224</v>
      </c>
      <c r="J1671" t="s">
        <v>2065</v>
      </c>
      <c r="K1671" t="s">
        <v>2888</v>
      </c>
      <c r="L1671" s="1">
        <v>46224.917650462965</v>
      </c>
      <c r="M1671" s="1">
        <v>46224.91962439815</v>
      </c>
    </row>
    <row r="1672" spans="1:13" x14ac:dyDescent="0.35">
      <c r="A1672" t="s">
        <v>405</v>
      </c>
      <c r="B1672" t="s">
        <v>1986</v>
      </c>
      <c r="C1672" t="s">
        <v>2530</v>
      </c>
      <c r="D1672">
        <v>4.25</v>
      </c>
      <c r="E1672" s="1">
        <v>47177</v>
      </c>
      <c r="F1672" t="s">
        <v>1988</v>
      </c>
      <c r="G1672" t="s">
        <v>2530</v>
      </c>
      <c r="H1672" t="s">
        <v>2</v>
      </c>
      <c r="I1672" s="1">
        <v>46224</v>
      </c>
      <c r="J1672" t="s">
        <v>1989</v>
      </c>
      <c r="K1672" t="s">
        <v>2805</v>
      </c>
      <c r="L1672" s="1">
        <v>46224.918321759258</v>
      </c>
      <c r="M1672" s="1">
        <v>46224.91962439815</v>
      </c>
    </row>
    <row r="1673" spans="1:13" x14ac:dyDescent="0.35">
      <c r="A1673" t="s">
        <v>405</v>
      </c>
      <c r="B1673" t="s">
        <v>1986</v>
      </c>
      <c r="C1673" t="s">
        <v>2530</v>
      </c>
      <c r="D1673">
        <v>4.25</v>
      </c>
      <c r="E1673" s="1">
        <v>47177</v>
      </c>
      <c r="F1673" t="s">
        <v>1988</v>
      </c>
      <c r="G1673" t="s">
        <v>2530</v>
      </c>
      <c r="H1673" t="s">
        <v>2</v>
      </c>
      <c r="I1673" s="1">
        <v>46224</v>
      </c>
      <c r="J1673" t="s">
        <v>2108</v>
      </c>
      <c r="K1673" t="s">
        <v>2396</v>
      </c>
      <c r="L1673" s="1">
        <v>46224.917650462965</v>
      </c>
      <c r="M1673" s="1">
        <v>46224.91962439815</v>
      </c>
    </row>
    <row r="1674" spans="1:13" x14ac:dyDescent="0.35">
      <c r="A1674" t="s">
        <v>405</v>
      </c>
      <c r="B1674" t="s">
        <v>1986</v>
      </c>
      <c r="C1674" t="s">
        <v>2530</v>
      </c>
      <c r="D1674">
        <v>4.25</v>
      </c>
      <c r="E1674" s="1">
        <v>47177</v>
      </c>
      <c r="F1674" t="s">
        <v>1988</v>
      </c>
      <c r="G1674" t="s">
        <v>2530</v>
      </c>
      <c r="H1674" t="s">
        <v>2</v>
      </c>
      <c r="I1674" s="1">
        <v>46224</v>
      </c>
      <c r="J1674" t="s">
        <v>2065</v>
      </c>
      <c r="K1674" t="s">
        <v>2552</v>
      </c>
      <c r="L1674" s="1">
        <v>46224.917650462965</v>
      </c>
      <c r="M1674" s="1">
        <v>46224.91962439815</v>
      </c>
    </row>
    <row r="1675" spans="1:13" x14ac:dyDescent="0.35">
      <c r="A1675" t="s">
        <v>405</v>
      </c>
      <c r="B1675" t="s">
        <v>1986</v>
      </c>
      <c r="C1675" t="s">
        <v>2530</v>
      </c>
      <c r="D1675">
        <v>4.25</v>
      </c>
      <c r="E1675" s="1">
        <v>47177</v>
      </c>
      <c r="F1675" t="s">
        <v>1988</v>
      </c>
      <c r="G1675" t="s">
        <v>2530</v>
      </c>
      <c r="H1675" t="s">
        <v>2</v>
      </c>
      <c r="I1675" s="1">
        <v>46224</v>
      </c>
      <c r="J1675" t="s">
        <v>1991</v>
      </c>
      <c r="K1675" t="s">
        <v>2784</v>
      </c>
      <c r="L1675" s="1">
        <v>46224.918321759258</v>
      </c>
      <c r="M1675" s="1">
        <v>46224.91962439815</v>
      </c>
    </row>
    <row r="1676" spans="1:13" x14ac:dyDescent="0.35">
      <c r="A1676" t="s">
        <v>405</v>
      </c>
      <c r="B1676" t="s">
        <v>1986</v>
      </c>
      <c r="C1676" t="s">
        <v>2530</v>
      </c>
      <c r="D1676">
        <v>4.25</v>
      </c>
      <c r="E1676" s="1">
        <v>47177</v>
      </c>
      <c r="F1676" t="s">
        <v>1988</v>
      </c>
      <c r="G1676" t="s">
        <v>2530</v>
      </c>
      <c r="H1676" t="s">
        <v>2</v>
      </c>
      <c r="I1676" s="1">
        <v>46224</v>
      </c>
      <c r="J1676" t="s">
        <v>2146</v>
      </c>
      <c r="K1676" t="s">
        <v>2396</v>
      </c>
      <c r="L1676" s="1">
        <v>46224.917650462965</v>
      </c>
      <c r="M1676" s="1">
        <v>46224.91962439815</v>
      </c>
    </row>
    <row r="1677" spans="1:13" x14ac:dyDescent="0.35">
      <c r="A1677" t="s">
        <v>405</v>
      </c>
      <c r="B1677" t="s">
        <v>1986</v>
      </c>
      <c r="C1677" t="s">
        <v>2530</v>
      </c>
      <c r="D1677">
        <v>4.25</v>
      </c>
      <c r="E1677" s="1">
        <v>47177</v>
      </c>
      <c r="F1677" t="s">
        <v>1988</v>
      </c>
      <c r="G1677" t="s">
        <v>2530</v>
      </c>
      <c r="H1677" t="s">
        <v>2</v>
      </c>
      <c r="I1677" s="1">
        <v>46224</v>
      </c>
      <c r="J1677" t="s">
        <v>2064</v>
      </c>
      <c r="K1677" t="s">
        <v>2552</v>
      </c>
      <c r="L1677" s="1">
        <v>46224.917650462965</v>
      </c>
      <c r="M1677" s="1">
        <v>46224.91962439815</v>
      </c>
    </row>
    <row r="1678" spans="1:13" x14ac:dyDescent="0.35">
      <c r="A1678" t="s">
        <v>367</v>
      </c>
      <c r="B1678" t="s">
        <v>1986</v>
      </c>
      <c r="C1678" t="s">
        <v>2532</v>
      </c>
      <c r="D1678">
        <v>4.25</v>
      </c>
      <c r="E1678" s="1">
        <v>46461</v>
      </c>
      <c r="F1678" t="s">
        <v>1988</v>
      </c>
      <c r="G1678" t="s">
        <v>2532</v>
      </c>
      <c r="H1678" t="s">
        <v>2</v>
      </c>
      <c r="I1678" s="1">
        <v>46224</v>
      </c>
      <c r="J1678" t="s">
        <v>2108</v>
      </c>
      <c r="K1678" t="s">
        <v>3736</v>
      </c>
      <c r="L1678" s="1">
        <v>46224.917650462965</v>
      </c>
      <c r="M1678" s="1">
        <v>46224.91962439815</v>
      </c>
    </row>
    <row r="1679" spans="1:13" x14ac:dyDescent="0.35">
      <c r="A1679" t="s">
        <v>367</v>
      </c>
      <c r="B1679" t="s">
        <v>1986</v>
      </c>
      <c r="C1679" t="s">
        <v>2532</v>
      </c>
      <c r="D1679">
        <v>4.25</v>
      </c>
      <c r="E1679" s="1">
        <v>46461</v>
      </c>
      <c r="F1679" t="s">
        <v>1988</v>
      </c>
      <c r="G1679" t="s">
        <v>2532</v>
      </c>
      <c r="H1679" t="s">
        <v>2</v>
      </c>
      <c r="I1679" s="1">
        <v>46224</v>
      </c>
      <c r="J1679" t="s">
        <v>2064</v>
      </c>
      <c r="K1679" t="s">
        <v>3772</v>
      </c>
      <c r="L1679" s="1">
        <v>46224.917650462965</v>
      </c>
      <c r="M1679" s="1">
        <v>46224.91962439815</v>
      </c>
    </row>
    <row r="1680" spans="1:13" x14ac:dyDescent="0.35">
      <c r="A1680" t="s">
        <v>367</v>
      </c>
      <c r="B1680" t="s">
        <v>1986</v>
      </c>
      <c r="C1680" t="s">
        <v>2532</v>
      </c>
      <c r="D1680">
        <v>4.25</v>
      </c>
      <c r="E1680" s="1">
        <v>46461</v>
      </c>
      <c r="F1680" t="s">
        <v>1988</v>
      </c>
      <c r="G1680" t="s">
        <v>2532</v>
      </c>
      <c r="H1680" t="s">
        <v>2</v>
      </c>
      <c r="I1680" s="1">
        <v>46224</v>
      </c>
      <c r="J1680" t="s">
        <v>1989</v>
      </c>
      <c r="K1680" t="s">
        <v>2884</v>
      </c>
      <c r="L1680" s="1">
        <v>46224.918321759258</v>
      </c>
      <c r="M1680" s="1">
        <v>46224.91962439815</v>
      </c>
    </row>
    <row r="1681" spans="1:13" x14ac:dyDescent="0.35">
      <c r="A1681" t="s">
        <v>367</v>
      </c>
      <c r="B1681" t="s">
        <v>1986</v>
      </c>
      <c r="C1681" t="s">
        <v>2532</v>
      </c>
      <c r="D1681">
        <v>4.25</v>
      </c>
      <c r="E1681" s="1">
        <v>46461</v>
      </c>
      <c r="F1681" t="s">
        <v>1988</v>
      </c>
      <c r="G1681" t="s">
        <v>2532</v>
      </c>
      <c r="H1681" t="s">
        <v>2</v>
      </c>
      <c r="I1681" s="1">
        <v>46224</v>
      </c>
      <c r="J1681" t="s">
        <v>2146</v>
      </c>
      <c r="K1681" t="s">
        <v>3736</v>
      </c>
      <c r="L1681" s="1">
        <v>46224.917650462965</v>
      </c>
      <c r="M1681" s="1">
        <v>46224.91962439815</v>
      </c>
    </row>
    <row r="1682" spans="1:13" x14ac:dyDescent="0.35">
      <c r="A1682" t="s">
        <v>367</v>
      </c>
      <c r="B1682" t="s">
        <v>1986</v>
      </c>
      <c r="C1682" t="s">
        <v>2532</v>
      </c>
      <c r="D1682">
        <v>4.25</v>
      </c>
      <c r="E1682" s="1">
        <v>46461</v>
      </c>
      <c r="F1682" t="s">
        <v>1988</v>
      </c>
      <c r="G1682" t="s">
        <v>2532</v>
      </c>
      <c r="H1682" t="s">
        <v>2</v>
      </c>
      <c r="I1682" s="1">
        <v>46224</v>
      </c>
      <c r="J1682" t="s">
        <v>2065</v>
      </c>
      <c r="K1682" t="s">
        <v>3772</v>
      </c>
      <c r="L1682" s="1">
        <v>46224.917650462965</v>
      </c>
      <c r="M1682" s="1">
        <v>46224.91962439815</v>
      </c>
    </row>
    <row r="1683" spans="1:13" x14ac:dyDescent="0.35">
      <c r="A1683" t="s">
        <v>367</v>
      </c>
      <c r="B1683" t="s">
        <v>1986</v>
      </c>
      <c r="C1683" t="s">
        <v>2532</v>
      </c>
      <c r="D1683">
        <v>4.25</v>
      </c>
      <c r="E1683" s="1">
        <v>46461</v>
      </c>
      <c r="F1683" t="s">
        <v>1988</v>
      </c>
      <c r="G1683" t="s">
        <v>2532</v>
      </c>
      <c r="H1683" t="s">
        <v>2</v>
      </c>
      <c r="I1683" s="1">
        <v>46224</v>
      </c>
      <c r="J1683" t="s">
        <v>1991</v>
      </c>
      <c r="K1683" t="s">
        <v>3836</v>
      </c>
      <c r="L1683" s="1">
        <v>46224.918321759258</v>
      </c>
      <c r="M1683" s="1">
        <v>46224.91962439815</v>
      </c>
    </row>
    <row r="1684" spans="1:13" x14ac:dyDescent="0.35">
      <c r="A1684" t="s">
        <v>406</v>
      </c>
      <c r="B1684" t="s">
        <v>1986</v>
      </c>
      <c r="C1684" t="s">
        <v>2605</v>
      </c>
      <c r="D1684">
        <v>4.125</v>
      </c>
      <c r="E1684" s="1">
        <v>47938</v>
      </c>
      <c r="F1684" t="s">
        <v>1988</v>
      </c>
      <c r="G1684" t="s">
        <v>2605</v>
      </c>
      <c r="H1684" t="s">
        <v>2</v>
      </c>
      <c r="I1684" s="1">
        <v>46224</v>
      </c>
      <c r="J1684" t="s">
        <v>2064</v>
      </c>
      <c r="K1684" t="s">
        <v>2696</v>
      </c>
      <c r="L1684" s="1">
        <v>46224.917650462965</v>
      </c>
      <c r="M1684" s="1">
        <v>46224.91962439815</v>
      </c>
    </row>
    <row r="1685" spans="1:13" x14ac:dyDescent="0.35">
      <c r="A1685" t="s">
        <v>406</v>
      </c>
      <c r="B1685" t="s">
        <v>1986</v>
      </c>
      <c r="C1685" t="s">
        <v>2605</v>
      </c>
      <c r="D1685">
        <v>4.125</v>
      </c>
      <c r="E1685" s="1">
        <v>47938</v>
      </c>
      <c r="F1685" t="s">
        <v>1988</v>
      </c>
      <c r="G1685" t="s">
        <v>2605</v>
      </c>
      <c r="H1685" t="s">
        <v>2</v>
      </c>
      <c r="I1685" s="1">
        <v>46224</v>
      </c>
      <c r="J1685" t="s">
        <v>2108</v>
      </c>
      <c r="K1685" t="s">
        <v>3773</v>
      </c>
      <c r="L1685" s="1">
        <v>46224.917650462965</v>
      </c>
      <c r="M1685" s="1">
        <v>46224.91962439815</v>
      </c>
    </row>
    <row r="1686" spans="1:13" x14ac:dyDescent="0.35">
      <c r="A1686" t="s">
        <v>406</v>
      </c>
      <c r="B1686" t="s">
        <v>1986</v>
      </c>
      <c r="C1686" t="s">
        <v>2605</v>
      </c>
      <c r="D1686">
        <v>4.125</v>
      </c>
      <c r="E1686" s="1">
        <v>47938</v>
      </c>
      <c r="F1686" t="s">
        <v>1988</v>
      </c>
      <c r="G1686" t="s">
        <v>2605</v>
      </c>
      <c r="H1686" t="s">
        <v>2</v>
      </c>
      <c r="I1686" s="1">
        <v>46224</v>
      </c>
      <c r="J1686" t="s">
        <v>1989</v>
      </c>
      <c r="K1686" t="s">
        <v>4139</v>
      </c>
      <c r="L1686" s="1">
        <v>46224.918321759258</v>
      </c>
      <c r="M1686" s="1">
        <v>46224.91962439815</v>
      </c>
    </row>
    <row r="1687" spans="1:13" x14ac:dyDescent="0.35">
      <c r="A1687" t="s">
        <v>406</v>
      </c>
      <c r="B1687" t="s">
        <v>1986</v>
      </c>
      <c r="C1687" t="s">
        <v>2605</v>
      </c>
      <c r="D1687">
        <v>4.125</v>
      </c>
      <c r="E1687" s="1">
        <v>47938</v>
      </c>
      <c r="F1687" t="s">
        <v>1988</v>
      </c>
      <c r="G1687" t="s">
        <v>2605</v>
      </c>
      <c r="H1687" t="s">
        <v>2</v>
      </c>
      <c r="I1687" s="1">
        <v>46224</v>
      </c>
      <c r="J1687" t="s">
        <v>1991</v>
      </c>
      <c r="K1687" t="s">
        <v>2498</v>
      </c>
      <c r="L1687" s="1">
        <v>46224.918321759258</v>
      </c>
      <c r="M1687" s="1">
        <v>46224.91962439815</v>
      </c>
    </row>
    <row r="1688" spans="1:13" x14ac:dyDescent="0.35">
      <c r="A1688" t="s">
        <v>406</v>
      </c>
      <c r="B1688" t="s">
        <v>1986</v>
      </c>
      <c r="C1688" t="s">
        <v>2605</v>
      </c>
      <c r="D1688">
        <v>4.125</v>
      </c>
      <c r="E1688" s="1">
        <v>47938</v>
      </c>
      <c r="F1688" t="s">
        <v>1988</v>
      </c>
      <c r="G1688" t="s">
        <v>2605</v>
      </c>
      <c r="H1688" t="s">
        <v>2</v>
      </c>
      <c r="I1688" s="1">
        <v>46224</v>
      </c>
      <c r="J1688" t="s">
        <v>2146</v>
      </c>
      <c r="K1688" t="s">
        <v>3773</v>
      </c>
      <c r="L1688" s="1">
        <v>46224.917650462965</v>
      </c>
      <c r="M1688" s="1">
        <v>46224.91962439815</v>
      </c>
    </row>
    <row r="1689" spans="1:13" x14ac:dyDescent="0.35">
      <c r="A1689" t="s">
        <v>406</v>
      </c>
      <c r="B1689" t="s">
        <v>1986</v>
      </c>
      <c r="C1689" t="s">
        <v>2605</v>
      </c>
      <c r="D1689">
        <v>4.125</v>
      </c>
      <c r="E1689" s="1">
        <v>47938</v>
      </c>
      <c r="F1689" t="s">
        <v>1988</v>
      </c>
      <c r="G1689" t="s">
        <v>2605</v>
      </c>
      <c r="H1689" t="s">
        <v>2</v>
      </c>
      <c r="I1689" s="1">
        <v>46224</v>
      </c>
      <c r="J1689" t="s">
        <v>2065</v>
      </c>
      <c r="K1689" t="s">
        <v>2696</v>
      </c>
      <c r="L1689" s="1">
        <v>46224.917650462965</v>
      </c>
      <c r="M1689" s="1">
        <v>46224.91962439815</v>
      </c>
    </row>
    <row r="1690" spans="1:13" x14ac:dyDescent="0.35">
      <c r="A1690" t="s">
        <v>410</v>
      </c>
      <c r="B1690" t="s">
        <v>1986</v>
      </c>
      <c r="C1690" t="s">
        <v>2533</v>
      </c>
      <c r="D1690">
        <v>4.125</v>
      </c>
      <c r="E1690" s="1">
        <v>47208</v>
      </c>
      <c r="F1690" t="s">
        <v>1988</v>
      </c>
      <c r="G1690" t="s">
        <v>2533</v>
      </c>
      <c r="H1690" t="s">
        <v>2</v>
      </c>
      <c r="I1690" s="1">
        <v>46224</v>
      </c>
      <c r="J1690" t="s">
        <v>2146</v>
      </c>
      <c r="K1690" t="s">
        <v>2279</v>
      </c>
      <c r="L1690" s="1">
        <v>46224.917650462965</v>
      </c>
      <c r="M1690" s="1">
        <v>46224.91962439815</v>
      </c>
    </row>
    <row r="1691" spans="1:13" x14ac:dyDescent="0.35">
      <c r="A1691" t="s">
        <v>410</v>
      </c>
      <c r="B1691" t="s">
        <v>1986</v>
      </c>
      <c r="C1691" t="s">
        <v>2533</v>
      </c>
      <c r="D1691">
        <v>4.125</v>
      </c>
      <c r="E1691" s="1">
        <v>47208</v>
      </c>
      <c r="F1691" t="s">
        <v>1988</v>
      </c>
      <c r="G1691" t="s">
        <v>2533</v>
      </c>
      <c r="H1691" t="s">
        <v>2</v>
      </c>
      <c r="I1691" s="1">
        <v>46224</v>
      </c>
      <c r="J1691" t="s">
        <v>2108</v>
      </c>
      <c r="K1691" t="s">
        <v>2279</v>
      </c>
      <c r="L1691" s="1">
        <v>46224.917650462965</v>
      </c>
      <c r="M1691" s="1">
        <v>46224.91962439815</v>
      </c>
    </row>
    <row r="1692" spans="1:13" x14ac:dyDescent="0.35">
      <c r="A1692" t="s">
        <v>410</v>
      </c>
      <c r="B1692" t="s">
        <v>1986</v>
      </c>
      <c r="C1692" t="s">
        <v>2533</v>
      </c>
      <c r="D1692">
        <v>4.125</v>
      </c>
      <c r="E1692" s="1">
        <v>47208</v>
      </c>
      <c r="F1692" t="s">
        <v>1988</v>
      </c>
      <c r="G1692" t="s">
        <v>2533</v>
      </c>
      <c r="H1692" t="s">
        <v>2</v>
      </c>
      <c r="I1692" s="1">
        <v>46224</v>
      </c>
      <c r="J1692" t="s">
        <v>2064</v>
      </c>
      <c r="K1692" t="s">
        <v>2441</v>
      </c>
      <c r="L1692" s="1">
        <v>46224.917650462965</v>
      </c>
      <c r="M1692" s="1">
        <v>46224.91962439815</v>
      </c>
    </row>
    <row r="1693" spans="1:13" x14ac:dyDescent="0.35">
      <c r="A1693" t="s">
        <v>410</v>
      </c>
      <c r="B1693" t="s">
        <v>1986</v>
      </c>
      <c r="C1693" t="s">
        <v>2533</v>
      </c>
      <c r="D1693">
        <v>4.125</v>
      </c>
      <c r="E1693" s="1">
        <v>47208</v>
      </c>
      <c r="F1693" t="s">
        <v>1988</v>
      </c>
      <c r="G1693" t="s">
        <v>2533</v>
      </c>
      <c r="H1693" t="s">
        <v>2</v>
      </c>
      <c r="I1693" s="1">
        <v>46224</v>
      </c>
      <c r="J1693" t="s">
        <v>2065</v>
      </c>
      <c r="K1693" t="s">
        <v>2441</v>
      </c>
      <c r="L1693" s="1">
        <v>46224.917650462965</v>
      </c>
      <c r="M1693" s="1">
        <v>46224.91962439815</v>
      </c>
    </row>
    <row r="1694" spans="1:13" x14ac:dyDescent="0.35">
      <c r="A1694" t="s">
        <v>410</v>
      </c>
      <c r="B1694" t="s">
        <v>1986</v>
      </c>
      <c r="C1694" t="s">
        <v>2533</v>
      </c>
      <c r="D1694">
        <v>4.125</v>
      </c>
      <c r="E1694" s="1">
        <v>47208</v>
      </c>
      <c r="F1694" t="s">
        <v>1988</v>
      </c>
      <c r="G1694" t="s">
        <v>2533</v>
      </c>
      <c r="H1694" t="s">
        <v>2</v>
      </c>
      <c r="I1694" s="1">
        <v>46224</v>
      </c>
      <c r="J1694" t="s">
        <v>1989</v>
      </c>
      <c r="K1694" t="s">
        <v>2924</v>
      </c>
      <c r="L1694" s="1">
        <v>46224.918321759258</v>
      </c>
      <c r="M1694" s="1">
        <v>46224.91962439815</v>
      </c>
    </row>
    <row r="1695" spans="1:13" x14ac:dyDescent="0.35">
      <c r="A1695" t="s">
        <v>410</v>
      </c>
      <c r="B1695" t="s">
        <v>1986</v>
      </c>
      <c r="C1695" t="s">
        <v>2533</v>
      </c>
      <c r="D1695">
        <v>4.125</v>
      </c>
      <c r="E1695" s="1">
        <v>47208</v>
      </c>
      <c r="F1695" t="s">
        <v>1988</v>
      </c>
      <c r="G1695" t="s">
        <v>2533</v>
      </c>
      <c r="H1695" t="s">
        <v>2</v>
      </c>
      <c r="I1695" s="1">
        <v>46224</v>
      </c>
      <c r="J1695" t="s">
        <v>1991</v>
      </c>
      <c r="K1695" t="s">
        <v>4140</v>
      </c>
      <c r="L1695" s="1">
        <v>46224.918321759258</v>
      </c>
      <c r="M1695" s="1">
        <v>46224.91962439815</v>
      </c>
    </row>
    <row r="1696" spans="1:13" x14ac:dyDescent="0.35">
      <c r="A1696" t="s">
        <v>411</v>
      </c>
      <c r="B1696" t="s">
        <v>1986</v>
      </c>
      <c r="C1696" t="s">
        <v>2534</v>
      </c>
      <c r="D1696">
        <v>4.5</v>
      </c>
      <c r="E1696" s="1">
        <v>46492</v>
      </c>
      <c r="F1696" t="s">
        <v>1988</v>
      </c>
      <c r="G1696" t="s">
        <v>2534</v>
      </c>
      <c r="H1696" t="s">
        <v>2</v>
      </c>
      <c r="I1696" s="1">
        <v>46224</v>
      </c>
      <c r="J1696" t="s">
        <v>1991</v>
      </c>
      <c r="K1696" t="s">
        <v>2985</v>
      </c>
      <c r="L1696" s="1">
        <v>46224.918321759258</v>
      </c>
      <c r="M1696" s="1">
        <v>46224.91962439815</v>
      </c>
    </row>
    <row r="1697" spans="1:13" x14ac:dyDescent="0.35">
      <c r="A1697" t="s">
        <v>411</v>
      </c>
      <c r="B1697" t="s">
        <v>1986</v>
      </c>
      <c r="C1697" t="s">
        <v>2534</v>
      </c>
      <c r="D1697">
        <v>4.5</v>
      </c>
      <c r="E1697" s="1">
        <v>46492</v>
      </c>
      <c r="F1697" t="s">
        <v>1988</v>
      </c>
      <c r="G1697" t="s">
        <v>2534</v>
      </c>
      <c r="H1697" t="s">
        <v>2</v>
      </c>
      <c r="I1697" s="1">
        <v>46224</v>
      </c>
      <c r="J1697" t="s">
        <v>2064</v>
      </c>
      <c r="K1697" t="s">
        <v>2948</v>
      </c>
      <c r="L1697" s="1">
        <v>46224.917650462965</v>
      </c>
      <c r="M1697" s="1">
        <v>46224.91962439815</v>
      </c>
    </row>
    <row r="1698" spans="1:13" x14ac:dyDescent="0.35">
      <c r="A1698" t="s">
        <v>411</v>
      </c>
      <c r="B1698" t="s">
        <v>1986</v>
      </c>
      <c r="C1698" t="s">
        <v>2534</v>
      </c>
      <c r="D1698">
        <v>4.5</v>
      </c>
      <c r="E1698" s="1">
        <v>46492</v>
      </c>
      <c r="F1698" t="s">
        <v>1988</v>
      </c>
      <c r="G1698" t="s">
        <v>2534</v>
      </c>
      <c r="H1698" t="s">
        <v>2</v>
      </c>
      <c r="I1698" s="1">
        <v>46224</v>
      </c>
      <c r="J1698" t="s">
        <v>2146</v>
      </c>
      <c r="K1698" t="s">
        <v>3468</v>
      </c>
      <c r="L1698" s="1">
        <v>46224.917650462965</v>
      </c>
      <c r="M1698" s="1">
        <v>46224.91962439815</v>
      </c>
    </row>
    <row r="1699" spans="1:13" x14ac:dyDescent="0.35">
      <c r="A1699" t="s">
        <v>411</v>
      </c>
      <c r="B1699" t="s">
        <v>1986</v>
      </c>
      <c r="C1699" t="s">
        <v>2534</v>
      </c>
      <c r="D1699">
        <v>4.5</v>
      </c>
      <c r="E1699" s="1">
        <v>46492</v>
      </c>
      <c r="F1699" t="s">
        <v>1988</v>
      </c>
      <c r="G1699" t="s">
        <v>2534</v>
      </c>
      <c r="H1699" t="s">
        <v>2</v>
      </c>
      <c r="I1699" s="1">
        <v>46224</v>
      </c>
      <c r="J1699" t="s">
        <v>2108</v>
      </c>
      <c r="K1699" t="s">
        <v>3468</v>
      </c>
      <c r="L1699" s="1">
        <v>46224.917650462965</v>
      </c>
      <c r="M1699" s="1">
        <v>46224.91962439815</v>
      </c>
    </row>
    <row r="1700" spans="1:13" x14ac:dyDescent="0.35">
      <c r="A1700" t="s">
        <v>411</v>
      </c>
      <c r="B1700" t="s">
        <v>1986</v>
      </c>
      <c r="C1700" t="s">
        <v>2534</v>
      </c>
      <c r="D1700">
        <v>4.5</v>
      </c>
      <c r="E1700" s="1">
        <v>46492</v>
      </c>
      <c r="F1700" t="s">
        <v>1988</v>
      </c>
      <c r="G1700" t="s">
        <v>2534</v>
      </c>
      <c r="H1700" t="s">
        <v>2</v>
      </c>
      <c r="I1700" s="1">
        <v>46224</v>
      </c>
      <c r="J1700" t="s">
        <v>1989</v>
      </c>
      <c r="K1700" t="s">
        <v>4029</v>
      </c>
      <c r="L1700" s="1">
        <v>46224.918321759258</v>
      </c>
      <c r="M1700" s="1">
        <v>46224.91962439815</v>
      </c>
    </row>
    <row r="1701" spans="1:13" x14ac:dyDescent="0.35">
      <c r="A1701" t="s">
        <v>411</v>
      </c>
      <c r="B1701" t="s">
        <v>1986</v>
      </c>
      <c r="C1701" t="s">
        <v>2534</v>
      </c>
      <c r="D1701">
        <v>4.5</v>
      </c>
      <c r="E1701" s="1">
        <v>46492</v>
      </c>
      <c r="F1701" t="s">
        <v>1988</v>
      </c>
      <c r="G1701" t="s">
        <v>2534</v>
      </c>
      <c r="H1701" t="s">
        <v>2</v>
      </c>
      <c r="I1701" s="1">
        <v>46224</v>
      </c>
      <c r="J1701" t="s">
        <v>2065</v>
      </c>
      <c r="K1701" t="s">
        <v>2948</v>
      </c>
      <c r="L1701" s="1">
        <v>46224.917650462965</v>
      </c>
      <c r="M1701" s="1">
        <v>46224.91962439815</v>
      </c>
    </row>
    <row r="1702" spans="1:13" x14ac:dyDescent="0.35">
      <c r="A1702" t="s">
        <v>412</v>
      </c>
      <c r="B1702" t="s">
        <v>1986</v>
      </c>
      <c r="C1702" t="s">
        <v>2535</v>
      </c>
      <c r="D1702">
        <v>2.125</v>
      </c>
      <c r="E1702" s="1">
        <v>47223</v>
      </c>
      <c r="F1702" t="s">
        <v>2014</v>
      </c>
      <c r="G1702" t="s">
        <v>2535</v>
      </c>
      <c r="H1702" t="s">
        <v>2</v>
      </c>
      <c r="I1702" s="1">
        <v>46224</v>
      </c>
      <c r="J1702" t="s">
        <v>2064</v>
      </c>
      <c r="K1702" t="s">
        <v>3774</v>
      </c>
      <c r="L1702" s="1">
        <v>46224.917650462965</v>
      </c>
      <c r="M1702" s="1">
        <v>46224.91962439815</v>
      </c>
    </row>
    <row r="1703" spans="1:13" x14ac:dyDescent="0.35">
      <c r="A1703" t="s">
        <v>412</v>
      </c>
      <c r="B1703" t="s">
        <v>1986</v>
      </c>
      <c r="C1703" t="s">
        <v>2535</v>
      </c>
      <c r="D1703">
        <v>2.125</v>
      </c>
      <c r="E1703" s="1">
        <v>47223</v>
      </c>
      <c r="F1703" t="s">
        <v>2014</v>
      </c>
      <c r="G1703" t="s">
        <v>2535</v>
      </c>
      <c r="H1703" t="s">
        <v>2</v>
      </c>
      <c r="I1703" s="1">
        <v>46224</v>
      </c>
      <c r="J1703" t="s">
        <v>1991</v>
      </c>
      <c r="K1703" t="s">
        <v>3659</v>
      </c>
      <c r="L1703" s="1">
        <v>46224.918321759258</v>
      </c>
      <c r="M1703" s="1">
        <v>46224.91962439815</v>
      </c>
    </row>
    <row r="1704" spans="1:13" x14ac:dyDescent="0.35">
      <c r="A1704" t="s">
        <v>412</v>
      </c>
      <c r="B1704" t="s">
        <v>1986</v>
      </c>
      <c r="C1704" t="s">
        <v>2535</v>
      </c>
      <c r="D1704">
        <v>2.125</v>
      </c>
      <c r="E1704" s="1">
        <v>47223</v>
      </c>
      <c r="F1704" t="s">
        <v>2014</v>
      </c>
      <c r="G1704" t="s">
        <v>2535</v>
      </c>
      <c r="H1704" t="s">
        <v>2</v>
      </c>
      <c r="I1704" s="1">
        <v>46224</v>
      </c>
      <c r="J1704" t="s">
        <v>2108</v>
      </c>
      <c r="K1704" t="s">
        <v>3737</v>
      </c>
      <c r="L1704" s="1">
        <v>46224.917650462965</v>
      </c>
      <c r="M1704" s="1">
        <v>46224.91962439815</v>
      </c>
    </row>
    <row r="1705" spans="1:13" x14ac:dyDescent="0.35">
      <c r="A1705" t="s">
        <v>412</v>
      </c>
      <c r="B1705" t="s">
        <v>1986</v>
      </c>
      <c r="C1705" t="s">
        <v>2535</v>
      </c>
      <c r="D1705">
        <v>2.125</v>
      </c>
      <c r="E1705" s="1">
        <v>47223</v>
      </c>
      <c r="F1705" t="s">
        <v>2014</v>
      </c>
      <c r="G1705" t="s">
        <v>2535</v>
      </c>
      <c r="H1705" t="s">
        <v>2</v>
      </c>
      <c r="I1705" s="1">
        <v>46224</v>
      </c>
      <c r="J1705" t="s">
        <v>2065</v>
      </c>
      <c r="K1705" t="s">
        <v>3774</v>
      </c>
      <c r="L1705" s="1">
        <v>46224.917650462965</v>
      </c>
      <c r="M1705" s="1">
        <v>46224.91962439815</v>
      </c>
    </row>
    <row r="1706" spans="1:13" x14ac:dyDescent="0.35">
      <c r="A1706" t="s">
        <v>412</v>
      </c>
      <c r="B1706" t="s">
        <v>1986</v>
      </c>
      <c r="C1706" t="s">
        <v>2535</v>
      </c>
      <c r="D1706">
        <v>2.125</v>
      </c>
      <c r="E1706" s="1">
        <v>47223</v>
      </c>
      <c r="F1706" t="s">
        <v>2014</v>
      </c>
      <c r="G1706" t="s">
        <v>2535</v>
      </c>
      <c r="H1706" t="s">
        <v>2</v>
      </c>
      <c r="I1706" s="1">
        <v>46224</v>
      </c>
      <c r="J1706" t="s">
        <v>1989</v>
      </c>
      <c r="K1706" t="s">
        <v>3874</v>
      </c>
      <c r="L1706" s="1">
        <v>46224.918321759258</v>
      </c>
      <c r="M1706" s="1">
        <v>46224.91962439815</v>
      </c>
    </row>
    <row r="1707" spans="1:13" x14ac:dyDescent="0.35">
      <c r="A1707" t="s">
        <v>412</v>
      </c>
      <c r="B1707" t="s">
        <v>1986</v>
      </c>
      <c r="C1707" t="s">
        <v>2535</v>
      </c>
      <c r="D1707">
        <v>2.125</v>
      </c>
      <c r="E1707" s="1">
        <v>47223</v>
      </c>
      <c r="F1707" t="s">
        <v>2014</v>
      </c>
      <c r="G1707" t="s">
        <v>2535</v>
      </c>
      <c r="H1707" t="s">
        <v>2</v>
      </c>
      <c r="I1707" s="1">
        <v>46224</v>
      </c>
      <c r="J1707" t="s">
        <v>2146</v>
      </c>
      <c r="K1707" t="s">
        <v>3737</v>
      </c>
      <c r="L1707" s="1">
        <v>46224.917650462965</v>
      </c>
      <c r="M1707" s="1">
        <v>46224.91962439815</v>
      </c>
    </row>
    <row r="1708" spans="1:13" x14ac:dyDescent="0.35">
      <c r="A1708" t="s">
        <v>368</v>
      </c>
      <c r="B1708" t="s">
        <v>1986</v>
      </c>
      <c r="C1708" t="s">
        <v>2572</v>
      </c>
      <c r="D1708">
        <v>4.625</v>
      </c>
      <c r="E1708" s="1">
        <v>47968</v>
      </c>
      <c r="F1708" t="s">
        <v>1988</v>
      </c>
      <c r="G1708" t="s">
        <v>2572</v>
      </c>
      <c r="H1708" t="s">
        <v>2</v>
      </c>
      <c r="I1708" s="1">
        <v>46224</v>
      </c>
      <c r="J1708" t="s">
        <v>2146</v>
      </c>
      <c r="K1708" t="s">
        <v>2663</v>
      </c>
      <c r="L1708" s="1">
        <v>46224.917650462965</v>
      </c>
      <c r="M1708" s="1">
        <v>46224.91962439815</v>
      </c>
    </row>
    <row r="1709" spans="1:13" x14ac:dyDescent="0.35">
      <c r="A1709" t="s">
        <v>368</v>
      </c>
      <c r="B1709" t="s">
        <v>1986</v>
      </c>
      <c r="C1709" t="s">
        <v>2572</v>
      </c>
      <c r="D1709">
        <v>4.625</v>
      </c>
      <c r="E1709" s="1">
        <v>47968</v>
      </c>
      <c r="F1709" t="s">
        <v>1988</v>
      </c>
      <c r="G1709" t="s">
        <v>2572</v>
      </c>
      <c r="H1709" t="s">
        <v>2</v>
      </c>
      <c r="I1709" s="1">
        <v>46224</v>
      </c>
      <c r="J1709" t="s">
        <v>1991</v>
      </c>
      <c r="K1709" t="s">
        <v>3738</v>
      </c>
      <c r="L1709" s="1">
        <v>46224.918321759258</v>
      </c>
      <c r="M1709" s="1">
        <v>46224.91962439815</v>
      </c>
    </row>
    <row r="1710" spans="1:13" x14ac:dyDescent="0.35">
      <c r="A1710" t="s">
        <v>368</v>
      </c>
      <c r="B1710" t="s">
        <v>1986</v>
      </c>
      <c r="C1710" t="s">
        <v>2572</v>
      </c>
      <c r="D1710">
        <v>4.625</v>
      </c>
      <c r="E1710" s="1">
        <v>47968</v>
      </c>
      <c r="F1710" t="s">
        <v>1988</v>
      </c>
      <c r="G1710" t="s">
        <v>2572</v>
      </c>
      <c r="H1710" t="s">
        <v>2</v>
      </c>
      <c r="I1710" s="1">
        <v>46224</v>
      </c>
      <c r="J1710" t="s">
        <v>2108</v>
      </c>
      <c r="K1710" t="s">
        <v>2663</v>
      </c>
      <c r="L1710" s="1">
        <v>46224.917650462965</v>
      </c>
      <c r="M1710" s="1">
        <v>46224.91962439815</v>
      </c>
    </row>
    <row r="1711" spans="1:13" x14ac:dyDescent="0.35">
      <c r="A1711" t="s">
        <v>368</v>
      </c>
      <c r="B1711" t="s">
        <v>1986</v>
      </c>
      <c r="C1711" t="s">
        <v>2572</v>
      </c>
      <c r="D1711">
        <v>4.625</v>
      </c>
      <c r="E1711" s="1">
        <v>47968</v>
      </c>
      <c r="F1711" t="s">
        <v>1988</v>
      </c>
      <c r="G1711" t="s">
        <v>2572</v>
      </c>
      <c r="H1711" t="s">
        <v>2</v>
      </c>
      <c r="I1711" s="1">
        <v>46224</v>
      </c>
      <c r="J1711" t="s">
        <v>2064</v>
      </c>
      <c r="K1711" t="s">
        <v>2887</v>
      </c>
      <c r="L1711" s="1">
        <v>46224.917650462965</v>
      </c>
      <c r="M1711" s="1">
        <v>46224.91962439815</v>
      </c>
    </row>
    <row r="1712" spans="1:13" x14ac:dyDescent="0.35">
      <c r="A1712" t="s">
        <v>368</v>
      </c>
      <c r="B1712" t="s">
        <v>1986</v>
      </c>
      <c r="C1712" t="s">
        <v>2572</v>
      </c>
      <c r="D1712">
        <v>4.625</v>
      </c>
      <c r="E1712" s="1">
        <v>47968</v>
      </c>
      <c r="F1712" t="s">
        <v>1988</v>
      </c>
      <c r="G1712" t="s">
        <v>2572</v>
      </c>
      <c r="H1712" t="s">
        <v>2</v>
      </c>
      <c r="I1712" s="1">
        <v>46224</v>
      </c>
      <c r="J1712" t="s">
        <v>1989</v>
      </c>
      <c r="K1712" t="s">
        <v>3030</v>
      </c>
      <c r="L1712" s="1">
        <v>46224.918321759258</v>
      </c>
      <c r="M1712" s="1">
        <v>46224.91962439815</v>
      </c>
    </row>
    <row r="1713" spans="1:13" x14ac:dyDescent="0.35">
      <c r="A1713" t="s">
        <v>368</v>
      </c>
      <c r="B1713" t="s">
        <v>1986</v>
      </c>
      <c r="C1713" t="s">
        <v>2572</v>
      </c>
      <c r="D1713">
        <v>4.625</v>
      </c>
      <c r="E1713" s="1">
        <v>47968</v>
      </c>
      <c r="F1713" t="s">
        <v>1988</v>
      </c>
      <c r="G1713" t="s">
        <v>2572</v>
      </c>
      <c r="H1713" t="s">
        <v>2</v>
      </c>
      <c r="I1713" s="1">
        <v>46224</v>
      </c>
      <c r="J1713" t="s">
        <v>2065</v>
      </c>
      <c r="K1713" t="s">
        <v>2887</v>
      </c>
      <c r="L1713" s="1">
        <v>46224.917650462965</v>
      </c>
      <c r="M1713" s="1">
        <v>46224.91962439815</v>
      </c>
    </row>
    <row r="1714" spans="1:13" x14ac:dyDescent="0.35">
      <c r="A1714" t="s">
        <v>407</v>
      </c>
      <c r="B1714" t="s">
        <v>1986</v>
      </c>
      <c r="C1714" t="s">
        <v>2536</v>
      </c>
      <c r="D1714">
        <v>4.625</v>
      </c>
      <c r="E1714" s="1">
        <v>47238</v>
      </c>
      <c r="F1714" t="s">
        <v>1988</v>
      </c>
      <c r="G1714" t="s">
        <v>2536</v>
      </c>
      <c r="H1714" t="s">
        <v>2</v>
      </c>
      <c r="I1714" s="1">
        <v>46224</v>
      </c>
      <c r="J1714" t="s">
        <v>2065</v>
      </c>
      <c r="K1714" t="s">
        <v>2441</v>
      </c>
      <c r="L1714" s="1">
        <v>46224.917650462965</v>
      </c>
      <c r="M1714" s="1">
        <v>46224.91962439815</v>
      </c>
    </row>
    <row r="1715" spans="1:13" x14ac:dyDescent="0.35">
      <c r="A1715" t="s">
        <v>407</v>
      </c>
      <c r="B1715" t="s">
        <v>1986</v>
      </c>
      <c r="C1715" t="s">
        <v>2536</v>
      </c>
      <c r="D1715">
        <v>4.625</v>
      </c>
      <c r="E1715" s="1">
        <v>47238</v>
      </c>
      <c r="F1715" t="s">
        <v>1988</v>
      </c>
      <c r="G1715" t="s">
        <v>2536</v>
      </c>
      <c r="H1715" t="s">
        <v>2</v>
      </c>
      <c r="I1715" s="1">
        <v>46224</v>
      </c>
      <c r="J1715" t="s">
        <v>2108</v>
      </c>
      <c r="K1715" t="s">
        <v>2442</v>
      </c>
      <c r="L1715" s="1">
        <v>46224.917650462965</v>
      </c>
      <c r="M1715" s="1">
        <v>46224.91962439815</v>
      </c>
    </row>
    <row r="1716" spans="1:13" x14ac:dyDescent="0.35">
      <c r="A1716" t="s">
        <v>407</v>
      </c>
      <c r="B1716" t="s">
        <v>1986</v>
      </c>
      <c r="C1716" t="s">
        <v>2536</v>
      </c>
      <c r="D1716">
        <v>4.625</v>
      </c>
      <c r="E1716" s="1">
        <v>47238</v>
      </c>
      <c r="F1716" t="s">
        <v>1988</v>
      </c>
      <c r="G1716" t="s">
        <v>2536</v>
      </c>
      <c r="H1716" t="s">
        <v>2</v>
      </c>
      <c r="I1716" s="1">
        <v>46224</v>
      </c>
      <c r="J1716" t="s">
        <v>2146</v>
      </c>
      <c r="K1716" t="s">
        <v>2442</v>
      </c>
      <c r="L1716" s="1">
        <v>46224.917650462965</v>
      </c>
      <c r="M1716" s="1">
        <v>46224.91962439815</v>
      </c>
    </row>
    <row r="1717" spans="1:13" x14ac:dyDescent="0.35">
      <c r="A1717" t="s">
        <v>407</v>
      </c>
      <c r="B1717" t="s">
        <v>1986</v>
      </c>
      <c r="C1717" t="s">
        <v>2536</v>
      </c>
      <c r="D1717">
        <v>4.625</v>
      </c>
      <c r="E1717" s="1">
        <v>47238</v>
      </c>
      <c r="F1717" t="s">
        <v>1988</v>
      </c>
      <c r="G1717" t="s">
        <v>2536</v>
      </c>
      <c r="H1717" t="s">
        <v>2</v>
      </c>
      <c r="I1717" s="1">
        <v>46224</v>
      </c>
      <c r="J1717" t="s">
        <v>1989</v>
      </c>
      <c r="K1717" t="s">
        <v>3841</v>
      </c>
      <c r="L1717" s="1">
        <v>46224.918321759258</v>
      </c>
      <c r="M1717" s="1">
        <v>46224.91962439815</v>
      </c>
    </row>
    <row r="1718" spans="1:13" x14ac:dyDescent="0.35">
      <c r="A1718" t="s">
        <v>407</v>
      </c>
      <c r="B1718" t="s">
        <v>1986</v>
      </c>
      <c r="C1718" t="s">
        <v>2536</v>
      </c>
      <c r="D1718">
        <v>4.625</v>
      </c>
      <c r="E1718" s="1">
        <v>47238</v>
      </c>
      <c r="F1718" t="s">
        <v>1988</v>
      </c>
      <c r="G1718" t="s">
        <v>2536</v>
      </c>
      <c r="H1718" t="s">
        <v>2</v>
      </c>
      <c r="I1718" s="1">
        <v>46224</v>
      </c>
      <c r="J1718" t="s">
        <v>1991</v>
      </c>
      <c r="K1718" t="s">
        <v>3867</v>
      </c>
      <c r="L1718" s="1">
        <v>46224.918321759258</v>
      </c>
      <c r="M1718" s="1">
        <v>46224.91962439815</v>
      </c>
    </row>
    <row r="1719" spans="1:13" x14ac:dyDescent="0.35">
      <c r="A1719" t="s">
        <v>407</v>
      </c>
      <c r="B1719" t="s">
        <v>1986</v>
      </c>
      <c r="C1719" t="s">
        <v>2536</v>
      </c>
      <c r="D1719">
        <v>4.625</v>
      </c>
      <c r="E1719" s="1">
        <v>47238</v>
      </c>
      <c r="F1719" t="s">
        <v>1988</v>
      </c>
      <c r="G1719" t="s">
        <v>2536</v>
      </c>
      <c r="H1719" t="s">
        <v>2</v>
      </c>
      <c r="I1719" s="1">
        <v>46224</v>
      </c>
      <c r="J1719" t="s">
        <v>2064</v>
      </c>
      <c r="K1719" t="s">
        <v>2441</v>
      </c>
      <c r="L1719" s="1">
        <v>46224.917650462965</v>
      </c>
      <c r="M1719" s="1">
        <v>46224.91962439815</v>
      </c>
    </row>
    <row r="1720" spans="1:13" x14ac:dyDescent="0.35">
      <c r="A1720" t="s">
        <v>369</v>
      </c>
      <c r="B1720" t="s">
        <v>1986</v>
      </c>
      <c r="C1720" t="s">
        <v>2573</v>
      </c>
      <c r="D1720">
        <v>4.375</v>
      </c>
      <c r="E1720" s="1">
        <v>49079</v>
      </c>
      <c r="F1720" t="s">
        <v>1988</v>
      </c>
      <c r="G1720" t="s">
        <v>2573</v>
      </c>
      <c r="H1720" t="s">
        <v>2</v>
      </c>
      <c r="I1720" s="1">
        <v>46224</v>
      </c>
      <c r="J1720" t="s">
        <v>1991</v>
      </c>
      <c r="K1720" t="s">
        <v>2261</v>
      </c>
      <c r="L1720" s="1">
        <v>46224.918321759258</v>
      </c>
      <c r="M1720" s="1">
        <v>46224.91962439815</v>
      </c>
    </row>
    <row r="1721" spans="1:13" x14ac:dyDescent="0.35">
      <c r="A1721" t="s">
        <v>369</v>
      </c>
      <c r="B1721" t="s">
        <v>1986</v>
      </c>
      <c r="C1721" t="s">
        <v>2573</v>
      </c>
      <c r="D1721">
        <v>4.375</v>
      </c>
      <c r="E1721" s="1">
        <v>49079</v>
      </c>
      <c r="F1721" t="s">
        <v>1988</v>
      </c>
      <c r="G1721" t="s">
        <v>2573</v>
      </c>
      <c r="H1721" t="s">
        <v>2</v>
      </c>
      <c r="I1721" s="1">
        <v>46224</v>
      </c>
      <c r="J1721" t="s">
        <v>2065</v>
      </c>
      <c r="K1721" t="s">
        <v>3776</v>
      </c>
      <c r="L1721" s="1">
        <v>46224.917650462965</v>
      </c>
      <c r="M1721" s="1">
        <v>46224.91962439815</v>
      </c>
    </row>
    <row r="1722" spans="1:13" x14ac:dyDescent="0.35">
      <c r="A1722" t="s">
        <v>369</v>
      </c>
      <c r="B1722" t="s">
        <v>1986</v>
      </c>
      <c r="C1722" t="s">
        <v>2573</v>
      </c>
      <c r="D1722">
        <v>4.375</v>
      </c>
      <c r="E1722" s="1">
        <v>49079</v>
      </c>
      <c r="F1722" t="s">
        <v>1988</v>
      </c>
      <c r="G1722" t="s">
        <v>2573</v>
      </c>
      <c r="H1722" t="s">
        <v>2</v>
      </c>
      <c r="I1722" s="1">
        <v>46224</v>
      </c>
      <c r="J1722" t="s">
        <v>1989</v>
      </c>
      <c r="K1722" t="s">
        <v>3775</v>
      </c>
      <c r="L1722" s="1">
        <v>46224.918321759258</v>
      </c>
      <c r="M1722" s="1">
        <v>46224.91962439815</v>
      </c>
    </row>
    <row r="1723" spans="1:13" x14ac:dyDescent="0.35">
      <c r="A1723" t="s">
        <v>369</v>
      </c>
      <c r="B1723" t="s">
        <v>1986</v>
      </c>
      <c r="C1723" t="s">
        <v>2573</v>
      </c>
      <c r="D1723">
        <v>4.375</v>
      </c>
      <c r="E1723" s="1">
        <v>49079</v>
      </c>
      <c r="F1723" t="s">
        <v>1988</v>
      </c>
      <c r="G1723" t="s">
        <v>2573</v>
      </c>
      <c r="H1723" t="s">
        <v>2</v>
      </c>
      <c r="I1723" s="1">
        <v>46224</v>
      </c>
      <c r="J1723" t="s">
        <v>2064</v>
      </c>
      <c r="K1723" t="s">
        <v>3776</v>
      </c>
      <c r="L1723" s="1">
        <v>46224.917650462965</v>
      </c>
      <c r="M1723" s="1">
        <v>46224.91962439815</v>
      </c>
    </row>
    <row r="1724" spans="1:13" x14ac:dyDescent="0.35">
      <c r="A1724" t="s">
        <v>369</v>
      </c>
      <c r="B1724" t="s">
        <v>1986</v>
      </c>
      <c r="C1724" t="s">
        <v>2573</v>
      </c>
      <c r="D1724">
        <v>4.375</v>
      </c>
      <c r="E1724" s="1">
        <v>49079</v>
      </c>
      <c r="F1724" t="s">
        <v>1988</v>
      </c>
      <c r="G1724" t="s">
        <v>2573</v>
      </c>
      <c r="H1724" t="s">
        <v>2</v>
      </c>
      <c r="I1724" s="1">
        <v>46224</v>
      </c>
      <c r="J1724" t="s">
        <v>2108</v>
      </c>
      <c r="K1724" t="s">
        <v>3660</v>
      </c>
      <c r="L1724" s="1">
        <v>46224.917650462965</v>
      </c>
      <c r="M1724" s="1">
        <v>46224.91962439815</v>
      </c>
    </row>
    <row r="1725" spans="1:13" x14ac:dyDescent="0.35">
      <c r="A1725" t="s">
        <v>369</v>
      </c>
      <c r="B1725" t="s">
        <v>1986</v>
      </c>
      <c r="C1725" t="s">
        <v>2573</v>
      </c>
      <c r="D1725">
        <v>4.375</v>
      </c>
      <c r="E1725" s="1">
        <v>49079</v>
      </c>
      <c r="F1725" t="s">
        <v>1988</v>
      </c>
      <c r="G1725" t="s">
        <v>2573</v>
      </c>
      <c r="H1725" t="s">
        <v>2</v>
      </c>
      <c r="I1725" s="1">
        <v>46224</v>
      </c>
      <c r="J1725" t="s">
        <v>2146</v>
      </c>
      <c r="K1725" t="s">
        <v>3660</v>
      </c>
      <c r="L1725" s="1">
        <v>46224.917650462965</v>
      </c>
      <c r="M1725" s="1">
        <v>46224.91962439815</v>
      </c>
    </row>
    <row r="1726" spans="1:13" x14ac:dyDescent="0.35">
      <c r="A1726" t="s">
        <v>370</v>
      </c>
      <c r="B1726" t="s">
        <v>1986</v>
      </c>
      <c r="C1726" t="s">
        <v>2537</v>
      </c>
      <c r="D1726">
        <v>4.5</v>
      </c>
      <c r="E1726" s="1">
        <v>46522</v>
      </c>
      <c r="F1726" t="s">
        <v>1988</v>
      </c>
      <c r="G1726" t="s">
        <v>2537</v>
      </c>
      <c r="H1726" t="s">
        <v>2</v>
      </c>
      <c r="I1726" s="1">
        <v>46224</v>
      </c>
      <c r="J1726" t="s">
        <v>2065</v>
      </c>
      <c r="K1726" t="s">
        <v>3880</v>
      </c>
      <c r="L1726" s="1">
        <v>46224.917650462965</v>
      </c>
      <c r="M1726" s="1">
        <v>46224.91962439815</v>
      </c>
    </row>
    <row r="1727" spans="1:13" x14ac:dyDescent="0.35">
      <c r="A1727" t="s">
        <v>370</v>
      </c>
      <c r="B1727" t="s">
        <v>1986</v>
      </c>
      <c r="C1727" t="s">
        <v>2537</v>
      </c>
      <c r="D1727">
        <v>4.5</v>
      </c>
      <c r="E1727" s="1">
        <v>46522</v>
      </c>
      <c r="F1727" t="s">
        <v>1988</v>
      </c>
      <c r="G1727" t="s">
        <v>2537</v>
      </c>
      <c r="H1727" t="s">
        <v>2</v>
      </c>
      <c r="I1727" s="1">
        <v>46224</v>
      </c>
      <c r="J1727" t="s">
        <v>1989</v>
      </c>
      <c r="K1727" t="s">
        <v>2819</v>
      </c>
      <c r="L1727" s="1">
        <v>46224.918321759258</v>
      </c>
      <c r="M1727" s="1">
        <v>46224.91962439815</v>
      </c>
    </row>
    <row r="1728" spans="1:13" x14ac:dyDescent="0.35">
      <c r="A1728" t="s">
        <v>370</v>
      </c>
      <c r="B1728" t="s">
        <v>1986</v>
      </c>
      <c r="C1728" t="s">
        <v>2537</v>
      </c>
      <c r="D1728">
        <v>4.5</v>
      </c>
      <c r="E1728" s="1">
        <v>46522</v>
      </c>
      <c r="F1728" t="s">
        <v>1988</v>
      </c>
      <c r="G1728" t="s">
        <v>2537</v>
      </c>
      <c r="H1728" t="s">
        <v>2</v>
      </c>
      <c r="I1728" s="1">
        <v>46224</v>
      </c>
      <c r="J1728" t="s">
        <v>2108</v>
      </c>
      <c r="K1728" t="s">
        <v>3014</v>
      </c>
      <c r="L1728" s="1">
        <v>46224.917650462965</v>
      </c>
      <c r="M1728" s="1">
        <v>46224.91962439815</v>
      </c>
    </row>
    <row r="1729" spans="1:13" x14ac:dyDescent="0.35">
      <c r="A1729" t="s">
        <v>370</v>
      </c>
      <c r="B1729" t="s">
        <v>1986</v>
      </c>
      <c r="C1729" t="s">
        <v>2537</v>
      </c>
      <c r="D1729">
        <v>4.5</v>
      </c>
      <c r="E1729" s="1">
        <v>46522</v>
      </c>
      <c r="F1729" t="s">
        <v>1988</v>
      </c>
      <c r="G1729" t="s">
        <v>2537</v>
      </c>
      <c r="H1729" t="s">
        <v>2</v>
      </c>
      <c r="I1729" s="1">
        <v>46224</v>
      </c>
      <c r="J1729" t="s">
        <v>2064</v>
      </c>
      <c r="K1729" t="s">
        <v>3880</v>
      </c>
      <c r="L1729" s="1">
        <v>46224.917650462965</v>
      </c>
      <c r="M1729" s="1">
        <v>46224.91962439815</v>
      </c>
    </row>
    <row r="1730" spans="1:13" x14ac:dyDescent="0.35">
      <c r="A1730" t="s">
        <v>370</v>
      </c>
      <c r="B1730" t="s">
        <v>1986</v>
      </c>
      <c r="C1730" t="s">
        <v>2537</v>
      </c>
      <c r="D1730">
        <v>4.5</v>
      </c>
      <c r="E1730" s="1">
        <v>46522</v>
      </c>
      <c r="F1730" t="s">
        <v>1988</v>
      </c>
      <c r="G1730" t="s">
        <v>2537</v>
      </c>
      <c r="H1730" t="s">
        <v>2</v>
      </c>
      <c r="I1730" s="1">
        <v>46224</v>
      </c>
      <c r="J1730" t="s">
        <v>1991</v>
      </c>
      <c r="K1730" t="s">
        <v>2554</v>
      </c>
      <c r="L1730" s="1">
        <v>46224.918321759258</v>
      </c>
      <c r="M1730" s="1">
        <v>46224.91962439815</v>
      </c>
    </row>
    <row r="1731" spans="1:13" x14ac:dyDescent="0.35">
      <c r="A1731" t="s">
        <v>370</v>
      </c>
      <c r="B1731" t="s">
        <v>1986</v>
      </c>
      <c r="C1731" t="s">
        <v>2537</v>
      </c>
      <c r="D1731">
        <v>4.5</v>
      </c>
      <c r="E1731" s="1">
        <v>46522</v>
      </c>
      <c r="F1731" t="s">
        <v>1988</v>
      </c>
      <c r="G1731" t="s">
        <v>2537</v>
      </c>
      <c r="H1731" t="s">
        <v>2</v>
      </c>
      <c r="I1731" s="1">
        <v>46224</v>
      </c>
      <c r="J1731" t="s">
        <v>2146</v>
      </c>
      <c r="K1731" t="s">
        <v>3014</v>
      </c>
      <c r="L1731" s="1">
        <v>46224.917650462965</v>
      </c>
      <c r="M1731" s="1">
        <v>46224.91962439815</v>
      </c>
    </row>
    <row r="1732" spans="1:13" x14ac:dyDescent="0.35">
      <c r="A1732" t="s">
        <v>413</v>
      </c>
      <c r="B1732" t="s">
        <v>1986</v>
      </c>
      <c r="C1732" t="s">
        <v>2539</v>
      </c>
      <c r="D1732">
        <v>4.5</v>
      </c>
      <c r="E1732" s="1">
        <v>47269</v>
      </c>
      <c r="F1732" t="s">
        <v>1988</v>
      </c>
      <c r="G1732" t="s">
        <v>2539</v>
      </c>
      <c r="H1732" t="s">
        <v>2</v>
      </c>
      <c r="I1732" s="1">
        <v>46224</v>
      </c>
      <c r="J1732" t="s">
        <v>1991</v>
      </c>
      <c r="K1732" t="s">
        <v>3777</v>
      </c>
      <c r="L1732" s="1">
        <v>46224.918321759258</v>
      </c>
      <c r="M1732" s="1">
        <v>46224.91962439815</v>
      </c>
    </row>
    <row r="1733" spans="1:13" x14ac:dyDescent="0.35">
      <c r="A1733" t="s">
        <v>413</v>
      </c>
      <c r="B1733" t="s">
        <v>1986</v>
      </c>
      <c r="C1733" t="s">
        <v>2539</v>
      </c>
      <c r="D1733">
        <v>4.5</v>
      </c>
      <c r="E1733" s="1">
        <v>47269</v>
      </c>
      <c r="F1733" t="s">
        <v>1988</v>
      </c>
      <c r="G1733" t="s">
        <v>2539</v>
      </c>
      <c r="H1733" t="s">
        <v>2</v>
      </c>
      <c r="I1733" s="1">
        <v>46224</v>
      </c>
      <c r="J1733" t="s">
        <v>2065</v>
      </c>
      <c r="K1733" t="s">
        <v>2742</v>
      </c>
      <c r="L1733" s="1">
        <v>46224.917650462965</v>
      </c>
      <c r="M1733" s="1">
        <v>46224.91962439815</v>
      </c>
    </row>
    <row r="1734" spans="1:13" x14ac:dyDescent="0.35">
      <c r="A1734" t="s">
        <v>413</v>
      </c>
      <c r="B1734" t="s">
        <v>1986</v>
      </c>
      <c r="C1734" t="s">
        <v>2539</v>
      </c>
      <c r="D1734">
        <v>4.5</v>
      </c>
      <c r="E1734" s="1">
        <v>47269</v>
      </c>
      <c r="F1734" t="s">
        <v>1988</v>
      </c>
      <c r="G1734" t="s">
        <v>2539</v>
      </c>
      <c r="H1734" t="s">
        <v>2</v>
      </c>
      <c r="I1734" s="1">
        <v>46224</v>
      </c>
      <c r="J1734" t="s">
        <v>1989</v>
      </c>
      <c r="K1734" t="s">
        <v>3739</v>
      </c>
      <c r="L1734" s="1">
        <v>46224.918321759258</v>
      </c>
      <c r="M1734" s="1">
        <v>46224.91962439815</v>
      </c>
    </row>
    <row r="1735" spans="1:13" x14ac:dyDescent="0.35">
      <c r="A1735" t="s">
        <v>413</v>
      </c>
      <c r="B1735" t="s">
        <v>1986</v>
      </c>
      <c r="C1735" t="s">
        <v>2539</v>
      </c>
      <c r="D1735">
        <v>4.5</v>
      </c>
      <c r="E1735" s="1">
        <v>47269</v>
      </c>
      <c r="F1735" t="s">
        <v>1988</v>
      </c>
      <c r="G1735" t="s">
        <v>2539</v>
      </c>
      <c r="H1735" t="s">
        <v>2</v>
      </c>
      <c r="I1735" s="1">
        <v>46224</v>
      </c>
      <c r="J1735" t="s">
        <v>2064</v>
      </c>
      <c r="K1735" t="s">
        <v>2742</v>
      </c>
      <c r="L1735" s="1">
        <v>46224.917650462965</v>
      </c>
      <c r="M1735" s="1">
        <v>46224.91962439815</v>
      </c>
    </row>
    <row r="1736" spans="1:13" x14ac:dyDescent="0.35">
      <c r="A1736" t="s">
        <v>413</v>
      </c>
      <c r="B1736" t="s">
        <v>1986</v>
      </c>
      <c r="C1736" t="s">
        <v>2539</v>
      </c>
      <c r="D1736">
        <v>4.5</v>
      </c>
      <c r="E1736" s="1">
        <v>47269</v>
      </c>
      <c r="F1736" t="s">
        <v>1988</v>
      </c>
      <c r="G1736" t="s">
        <v>2539</v>
      </c>
      <c r="H1736" t="s">
        <v>2</v>
      </c>
      <c r="I1736" s="1">
        <v>46224</v>
      </c>
      <c r="J1736" t="s">
        <v>2108</v>
      </c>
      <c r="K1736" t="s">
        <v>2552</v>
      </c>
      <c r="L1736" s="1">
        <v>46224.917650462965</v>
      </c>
      <c r="M1736" s="1">
        <v>46224.91962439815</v>
      </c>
    </row>
    <row r="1737" spans="1:13" x14ac:dyDescent="0.35">
      <c r="A1737" t="s">
        <v>413</v>
      </c>
      <c r="B1737" t="s">
        <v>1986</v>
      </c>
      <c r="C1737" t="s">
        <v>2539</v>
      </c>
      <c r="D1737">
        <v>4.5</v>
      </c>
      <c r="E1737" s="1">
        <v>47269</v>
      </c>
      <c r="F1737" t="s">
        <v>1988</v>
      </c>
      <c r="G1737" t="s">
        <v>2539</v>
      </c>
      <c r="H1737" t="s">
        <v>2</v>
      </c>
      <c r="I1737" s="1">
        <v>46224</v>
      </c>
      <c r="J1737" t="s">
        <v>2146</v>
      </c>
      <c r="K1737" t="s">
        <v>2552</v>
      </c>
      <c r="L1737" s="1">
        <v>46224.917650462965</v>
      </c>
      <c r="M1737" s="1">
        <v>46224.91962439815</v>
      </c>
    </row>
    <row r="1738" spans="1:13" x14ac:dyDescent="0.35">
      <c r="A1738" t="s">
        <v>371</v>
      </c>
      <c r="B1738" t="s">
        <v>1986</v>
      </c>
      <c r="C1738" t="s">
        <v>2540</v>
      </c>
      <c r="D1738">
        <v>4.625</v>
      </c>
      <c r="E1738" s="1">
        <v>47999</v>
      </c>
      <c r="F1738" t="s">
        <v>1988</v>
      </c>
      <c r="G1738" t="s">
        <v>2540</v>
      </c>
      <c r="H1738" t="s">
        <v>2</v>
      </c>
      <c r="I1738" s="1">
        <v>46224</v>
      </c>
      <c r="J1738" t="s">
        <v>1989</v>
      </c>
      <c r="K1738" t="s">
        <v>3881</v>
      </c>
      <c r="L1738" s="1">
        <v>46224.918321759258</v>
      </c>
      <c r="M1738" s="1">
        <v>46224.91962439815</v>
      </c>
    </row>
    <row r="1739" spans="1:13" x14ac:dyDescent="0.35">
      <c r="A1739" t="s">
        <v>371</v>
      </c>
      <c r="B1739" t="s">
        <v>1986</v>
      </c>
      <c r="C1739" t="s">
        <v>2540</v>
      </c>
      <c r="D1739">
        <v>4.625</v>
      </c>
      <c r="E1739" s="1">
        <v>47999</v>
      </c>
      <c r="F1739" t="s">
        <v>1988</v>
      </c>
      <c r="G1739" t="s">
        <v>2540</v>
      </c>
      <c r="H1739" t="s">
        <v>2</v>
      </c>
      <c r="I1739" s="1">
        <v>46224</v>
      </c>
      <c r="J1739" t="s">
        <v>2108</v>
      </c>
      <c r="K1739" t="s">
        <v>2696</v>
      </c>
      <c r="L1739" s="1">
        <v>46224.917650462965</v>
      </c>
      <c r="M1739" s="1">
        <v>46224.91962439815</v>
      </c>
    </row>
    <row r="1740" spans="1:13" x14ac:dyDescent="0.35">
      <c r="A1740" t="s">
        <v>371</v>
      </c>
      <c r="B1740" t="s">
        <v>1986</v>
      </c>
      <c r="C1740" t="s">
        <v>2540</v>
      </c>
      <c r="D1740">
        <v>4.625</v>
      </c>
      <c r="E1740" s="1">
        <v>47999</v>
      </c>
      <c r="F1740" t="s">
        <v>1988</v>
      </c>
      <c r="G1740" t="s">
        <v>2540</v>
      </c>
      <c r="H1740" t="s">
        <v>2</v>
      </c>
      <c r="I1740" s="1">
        <v>46224</v>
      </c>
      <c r="J1740" t="s">
        <v>2064</v>
      </c>
      <c r="K1740" t="s">
        <v>3740</v>
      </c>
      <c r="L1740" s="1">
        <v>46224.917650462965</v>
      </c>
      <c r="M1740" s="1">
        <v>46224.91962439815</v>
      </c>
    </row>
    <row r="1741" spans="1:13" x14ac:dyDescent="0.35">
      <c r="A1741" t="s">
        <v>371</v>
      </c>
      <c r="B1741" t="s">
        <v>1986</v>
      </c>
      <c r="C1741" t="s">
        <v>2540</v>
      </c>
      <c r="D1741">
        <v>4.625</v>
      </c>
      <c r="E1741" s="1">
        <v>47999</v>
      </c>
      <c r="F1741" t="s">
        <v>1988</v>
      </c>
      <c r="G1741" t="s">
        <v>2540</v>
      </c>
      <c r="H1741" t="s">
        <v>2</v>
      </c>
      <c r="I1741" s="1">
        <v>46224</v>
      </c>
      <c r="J1741" t="s">
        <v>2146</v>
      </c>
      <c r="K1741" t="s">
        <v>2696</v>
      </c>
      <c r="L1741" s="1">
        <v>46224.917650462965</v>
      </c>
      <c r="M1741" s="1">
        <v>46224.91962439815</v>
      </c>
    </row>
    <row r="1742" spans="1:13" x14ac:dyDescent="0.35">
      <c r="A1742" t="s">
        <v>371</v>
      </c>
      <c r="B1742" t="s">
        <v>1986</v>
      </c>
      <c r="C1742" t="s">
        <v>2540</v>
      </c>
      <c r="D1742">
        <v>4.625</v>
      </c>
      <c r="E1742" s="1">
        <v>47999</v>
      </c>
      <c r="F1742" t="s">
        <v>1988</v>
      </c>
      <c r="G1742" t="s">
        <v>2540</v>
      </c>
      <c r="H1742" t="s">
        <v>2</v>
      </c>
      <c r="I1742" s="1">
        <v>46224</v>
      </c>
      <c r="J1742" t="s">
        <v>1991</v>
      </c>
      <c r="K1742" t="s">
        <v>3897</v>
      </c>
      <c r="L1742" s="1">
        <v>46224.918321759258</v>
      </c>
      <c r="M1742" s="1">
        <v>46224.91962439815</v>
      </c>
    </row>
    <row r="1743" spans="1:13" x14ac:dyDescent="0.35">
      <c r="A1743" t="s">
        <v>371</v>
      </c>
      <c r="B1743" t="s">
        <v>1986</v>
      </c>
      <c r="C1743" t="s">
        <v>2540</v>
      </c>
      <c r="D1743">
        <v>4.625</v>
      </c>
      <c r="E1743" s="1">
        <v>47999</v>
      </c>
      <c r="F1743" t="s">
        <v>1988</v>
      </c>
      <c r="G1743" t="s">
        <v>2540</v>
      </c>
      <c r="H1743" t="s">
        <v>2</v>
      </c>
      <c r="I1743" s="1">
        <v>46224</v>
      </c>
      <c r="J1743" t="s">
        <v>2065</v>
      </c>
      <c r="K1743" t="s">
        <v>3740</v>
      </c>
      <c r="L1743" s="1">
        <v>46224.917650462965</v>
      </c>
      <c r="M1743" s="1">
        <v>46224.91962439815</v>
      </c>
    </row>
    <row r="1744" spans="1:13" x14ac:dyDescent="0.35">
      <c r="A1744" t="s">
        <v>414</v>
      </c>
      <c r="B1744" t="s">
        <v>1986</v>
      </c>
      <c r="C1744" t="s">
        <v>2541</v>
      </c>
      <c r="D1744">
        <v>4.625</v>
      </c>
      <c r="E1744" s="1">
        <v>46553</v>
      </c>
      <c r="F1744" t="s">
        <v>1988</v>
      </c>
      <c r="G1744" t="s">
        <v>2541</v>
      </c>
      <c r="H1744" t="s">
        <v>2</v>
      </c>
      <c r="I1744" s="1">
        <v>46224</v>
      </c>
      <c r="J1744" t="s">
        <v>2108</v>
      </c>
      <c r="K1744" t="s">
        <v>3882</v>
      </c>
      <c r="L1744" s="1">
        <v>46224.917650462965</v>
      </c>
      <c r="M1744" s="1">
        <v>46224.91962439815</v>
      </c>
    </row>
    <row r="1745" spans="1:13" x14ac:dyDescent="0.35">
      <c r="A1745" t="s">
        <v>414</v>
      </c>
      <c r="B1745" t="s">
        <v>1986</v>
      </c>
      <c r="C1745" t="s">
        <v>2541</v>
      </c>
      <c r="D1745">
        <v>4.625</v>
      </c>
      <c r="E1745" s="1">
        <v>46553</v>
      </c>
      <c r="F1745" t="s">
        <v>1988</v>
      </c>
      <c r="G1745" t="s">
        <v>2541</v>
      </c>
      <c r="H1745" t="s">
        <v>2</v>
      </c>
      <c r="I1745" s="1">
        <v>46224</v>
      </c>
      <c r="J1745" t="s">
        <v>2065</v>
      </c>
      <c r="K1745" t="s">
        <v>3778</v>
      </c>
      <c r="L1745" s="1">
        <v>46224.917650462965</v>
      </c>
      <c r="M1745" s="1">
        <v>46224.91962439815</v>
      </c>
    </row>
    <row r="1746" spans="1:13" x14ac:dyDescent="0.35">
      <c r="A1746" t="s">
        <v>414</v>
      </c>
      <c r="B1746" t="s">
        <v>1986</v>
      </c>
      <c r="C1746" t="s">
        <v>2541</v>
      </c>
      <c r="D1746">
        <v>4.625</v>
      </c>
      <c r="E1746" s="1">
        <v>46553</v>
      </c>
      <c r="F1746" t="s">
        <v>1988</v>
      </c>
      <c r="G1746" t="s">
        <v>2541</v>
      </c>
      <c r="H1746" t="s">
        <v>2</v>
      </c>
      <c r="I1746" s="1">
        <v>46224</v>
      </c>
      <c r="J1746" t="s">
        <v>2064</v>
      </c>
      <c r="K1746" t="s">
        <v>3778</v>
      </c>
      <c r="L1746" s="1">
        <v>46224.917650462965</v>
      </c>
      <c r="M1746" s="1">
        <v>46224.91962439815</v>
      </c>
    </row>
    <row r="1747" spans="1:13" x14ac:dyDescent="0.35">
      <c r="A1747" t="s">
        <v>414</v>
      </c>
      <c r="B1747" t="s">
        <v>1986</v>
      </c>
      <c r="C1747" t="s">
        <v>2541</v>
      </c>
      <c r="D1747">
        <v>4.625</v>
      </c>
      <c r="E1747" s="1">
        <v>46553</v>
      </c>
      <c r="F1747" t="s">
        <v>1988</v>
      </c>
      <c r="G1747" t="s">
        <v>2541</v>
      </c>
      <c r="H1747" t="s">
        <v>2</v>
      </c>
      <c r="I1747" s="1">
        <v>46224</v>
      </c>
      <c r="J1747" t="s">
        <v>1989</v>
      </c>
      <c r="K1747" t="s">
        <v>3898</v>
      </c>
      <c r="L1747" s="1">
        <v>46224.918321759258</v>
      </c>
      <c r="M1747" s="1">
        <v>46224.91962439815</v>
      </c>
    </row>
    <row r="1748" spans="1:13" x14ac:dyDescent="0.35">
      <c r="A1748" t="s">
        <v>414</v>
      </c>
      <c r="B1748" t="s">
        <v>1986</v>
      </c>
      <c r="C1748" t="s">
        <v>2541</v>
      </c>
      <c r="D1748">
        <v>4.625</v>
      </c>
      <c r="E1748" s="1">
        <v>46553</v>
      </c>
      <c r="F1748" t="s">
        <v>1988</v>
      </c>
      <c r="G1748" t="s">
        <v>2541</v>
      </c>
      <c r="H1748" t="s">
        <v>2</v>
      </c>
      <c r="I1748" s="1">
        <v>46224</v>
      </c>
      <c r="J1748" t="s">
        <v>2146</v>
      </c>
      <c r="K1748" t="s">
        <v>3882</v>
      </c>
      <c r="L1748" s="1">
        <v>46224.917650462965</v>
      </c>
      <c r="M1748" s="1">
        <v>46224.91962439815</v>
      </c>
    </row>
    <row r="1749" spans="1:13" x14ac:dyDescent="0.35">
      <c r="A1749" t="s">
        <v>414</v>
      </c>
      <c r="B1749" t="s">
        <v>1986</v>
      </c>
      <c r="C1749" t="s">
        <v>2541</v>
      </c>
      <c r="D1749">
        <v>4.625</v>
      </c>
      <c r="E1749" s="1">
        <v>46553</v>
      </c>
      <c r="F1749" t="s">
        <v>1988</v>
      </c>
      <c r="G1749" t="s">
        <v>2541</v>
      </c>
      <c r="H1749" t="s">
        <v>2</v>
      </c>
      <c r="I1749" s="1">
        <v>46224</v>
      </c>
      <c r="J1749" t="s">
        <v>1991</v>
      </c>
      <c r="K1749" t="s">
        <v>4030</v>
      </c>
      <c r="L1749" s="1">
        <v>46224.918321759258</v>
      </c>
      <c r="M1749" s="1">
        <v>46224.91962439815</v>
      </c>
    </row>
    <row r="1750" spans="1:13" x14ac:dyDescent="0.35">
      <c r="A1750" t="s">
        <v>372</v>
      </c>
      <c r="B1750" t="s">
        <v>1986</v>
      </c>
      <c r="C1750" t="s">
        <v>2542</v>
      </c>
      <c r="D1750">
        <v>4.25</v>
      </c>
      <c r="E1750" s="1">
        <v>48029</v>
      </c>
      <c r="F1750" t="s">
        <v>1988</v>
      </c>
      <c r="G1750" t="s">
        <v>2542</v>
      </c>
      <c r="H1750" t="s">
        <v>2</v>
      </c>
      <c r="I1750" s="1">
        <v>46224</v>
      </c>
      <c r="J1750" t="s">
        <v>1989</v>
      </c>
      <c r="K1750" t="s">
        <v>3883</v>
      </c>
      <c r="L1750" s="1">
        <v>46224.918321759258</v>
      </c>
      <c r="M1750" s="1">
        <v>46224.91962439815</v>
      </c>
    </row>
    <row r="1751" spans="1:13" x14ac:dyDescent="0.35">
      <c r="A1751" t="s">
        <v>372</v>
      </c>
      <c r="B1751" t="s">
        <v>1986</v>
      </c>
      <c r="C1751" t="s">
        <v>2542</v>
      </c>
      <c r="D1751">
        <v>4.25</v>
      </c>
      <c r="E1751" s="1">
        <v>48029</v>
      </c>
      <c r="F1751" t="s">
        <v>1988</v>
      </c>
      <c r="G1751" t="s">
        <v>2542</v>
      </c>
      <c r="H1751" t="s">
        <v>2</v>
      </c>
      <c r="I1751" s="1">
        <v>46224</v>
      </c>
      <c r="J1751" t="s">
        <v>2108</v>
      </c>
      <c r="K1751" t="s">
        <v>3661</v>
      </c>
      <c r="L1751" s="1">
        <v>46224.917650462965</v>
      </c>
      <c r="M1751" s="1">
        <v>46224.91962439815</v>
      </c>
    </row>
    <row r="1752" spans="1:13" x14ac:dyDescent="0.35">
      <c r="A1752" t="s">
        <v>372</v>
      </c>
      <c r="B1752" t="s">
        <v>1986</v>
      </c>
      <c r="C1752" t="s">
        <v>2542</v>
      </c>
      <c r="D1752">
        <v>4.25</v>
      </c>
      <c r="E1752" s="1">
        <v>48029</v>
      </c>
      <c r="F1752" t="s">
        <v>1988</v>
      </c>
      <c r="G1752" t="s">
        <v>2542</v>
      </c>
      <c r="H1752" t="s">
        <v>2</v>
      </c>
      <c r="I1752" s="1">
        <v>46224</v>
      </c>
      <c r="J1752" t="s">
        <v>2064</v>
      </c>
      <c r="K1752" t="s">
        <v>3662</v>
      </c>
      <c r="L1752" s="1">
        <v>46224.917650462965</v>
      </c>
      <c r="M1752" s="1">
        <v>46224.91962439815</v>
      </c>
    </row>
    <row r="1753" spans="1:13" x14ac:dyDescent="0.35">
      <c r="A1753" t="s">
        <v>372</v>
      </c>
      <c r="B1753" t="s">
        <v>1986</v>
      </c>
      <c r="C1753" t="s">
        <v>2542</v>
      </c>
      <c r="D1753">
        <v>4.25</v>
      </c>
      <c r="E1753" s="1">
        <v>48029</v>
      </c>
      <c r="F1753" t="s">
        <v>1988</v>
      </c>
      <c r="G1753" t="s">
        <v>2542</v>
      </c>
      <c r="H1753" t="s">
        <v>2</v>
      </c>
      <c r="I1753" s="1">
        <v>46224</v>
      </c>
      <c r="J1753" t="s">
        <v>2146</v>
      </c>
      <c r="K1753" t="s">
        <v>3661</v>
      </c>
      <c r="L1753" s="1">
        <v>46224.917650462965</v>
      </c>
      <c r="M1753" s="1">
        <v>46224.91962439815</v>
      </c>
    </row>
    <row r="1754" spans="1:13" x14ac:dyDescent="0.35">
      <c r="A1754" t="s">
        <v>372</v>
      </c>
      <c r="B1754" t="s">
        <v>1986</v>
      </c>
      <c r="C1754" t="s">
        <v>2542</v>
      </c>
      <c r="D1754">
        <v>4.25</v>
      </c>
      <c r="E1754" s="1">
        <v>48029</v>
      </c>
      <c r="F1754" t="s">
        <v>1988</v>
      </c>
      <c r="G1754" t="s">
        <v>2542</v>
      </c>
      <c r="H1754" t="s">
        <v>2</v>
      </c>
      <c r="I1754" s="1">
        <v>46224</v>
      </c>
      <c r="J1754" t="s">
        <v>1991</v>
      </c>
      <c r="K1754" t="s">
        <v>2503</v>
      </c>
      <c r="L1754" s="1">
        <v>46224.918321759258</v>
      </c>
      <c r="M1754" s="1">
        <v>46224.91962439815</v>
      </c>
    </row>
    <row r="1755" spans="1:13" x14ac:dyDescent="0.35">
      <c r="A1755" t="s">
        <v>372</v>
      </c>
      <c r="B1755" t="s">
        <v>1986</v>
      </c>
      <c r="C1755" t="s">
        <v>2542</v>
      </c>
      <c r="D1755">
        <v>4.25</v>
      </c>
      <c r="E1755" s="1">
        <v>48029</v>
      </c>
      <c r="F1755" t="s">
        <v>1988</v>
      </c>
      <c r="G1755" t="s">
        <v>2542</v>
      </c>
      <c r="H1755" t="s">
        <v>2</v>
      </c>
      <c r="I1755" s="1">
        <v>46224</v>
      </c>
      <c r="J1755" t="s">
        <v>2065</v>
      </c>
      <c r="K1755" t="s">
        <v>3662</v>
      </c>
      <c r="L1755" s="1">
        <v>46224.917650462965</v>
      </c>
      <c r="M1755" s="1">
        <v>46224.91962439815</v>
      </c>
    </row>
    <row r="1756" spans="1:13" x14ac:dyDescent="0.35">
      <c r="A1756" t="s">
        <v>415</v>
      </c>
      <c r="B1756" t="s">
        <v>1986</v>
      </c>
      <c r="C1756" t="s">
        <v>2543</v>
      </c>
      <c r="D1756">
        <v>4.25</v>
      </c>
      <c r="E1756" s="1">
        <v>47299</v>
      </c>
      <c r="F1756" t="s">
        <v>1988</v>
      </c>
      <c r="G1756" t="s">
        <v>2543</v>
      </c>
      <c r="H1756" t="s">
        <v>2</v>
      </c>
      <c r="I1756" s="1">
        <v>46224</v>
      </c>
      <c r="J1756" t="s">
        <v>1991</v>
      </c>
      <c r="K1756" t="s">
        <v>3663</v>
      </c>
      <c r="L1756" s="1">
        <v>46224.918321759258</v>
      </c>
      <c r="M1756" s="1">
        <v>46224.91962439815</v>
      </c>
    </row>
    <row r="1757" spans="1:13" x14ac:dyDescent="0.35">
      <c r="A1757" t="s">
        <v>415</v>
      </c>
      <c r="B1757" t="s">
        <v>1986</v>
      </c>
      <c r="C1757" t="s">
        <v>2543</v>
      </c>
      <c r="D1757">
        <v>4.25</v>
      </c>
      <c r="E1757" s="1">
        <v>47299</v>
      </c>
      <c r="F1757" t="s">
        <v>1988</v>
      </c>
      <c r="G1757" t="s">
        <v>2543</v>
      </c>
      <c r="H1757" t="s">
        <v>2</v>
      </c>
      <c r="I1757" s="1">
        <v>46224</v>
      </c>
      <c r="J1757" t="s">
        <v>2064</v>
      </c>
      <c r="K1757" t="s">
        <v>2604</v>
      </c>
      <c r="L1757" s="1">
        <v>46224.917650462965</v>
      </c>
      <c r="M1757" s="1">
        <v>46224.91962439815</v>
      </c>
    </row>
    <row r="1758" spans="1:13" x14ac:dyDescent="0.35">
      <c r="A1758" t="s">
        <v>415</v>
      </c>
      <c r="B1758" t="s">
        <v>1986</v>
      </c>
      <c r="C1758" t="s">
        <v>2543</v>
      </c>
      <c r="D1758">
        <v>4.25</v>
      </c>
      <c r="E1758" s="1">
        <v>47299</v>
      </c>
      <c r="F1758" t="s">
        <v>1988</v>
      </c>
      <c r="G1758" t="s">
        <v>2543</v>
      </c>
      <c r="H1758" t="s">
        <v>2</v>
      </c>
      <c r="I1758" s="1">
        <v>46224</v>
      </c>
      <c r="J1758" t="s">
        <v>1989</v>
      </c>
      <c r="K1758" t="s">
        <v>2874</v>
      </c>
      <c r="L1758" s="1">
        <v>46224.918321759258</v>
      </c>
      <c r="M1758" s="1">
        <v>46224.91962439815</v>
      </c>
    </row>
    <row r="1759" spans="1:13" x14ac:dyDescent="0.35">
      <c r="A1759" t="s">
        <v>415</v>
      </c>
      <c r="B1759" t="s">
        <v>1986</v>
      </c>
      <c r="C1759" t="s">
        <v>2543</v>
      </c>
      <c r="D1759">
        <v>4.25</v>
      </c>
      <c r="E1759" s="1">
        <v>47299</v>
      </c>
      <c r="F1759" t="s">
        <v>1988</v>
      </c>
      <c r="G1759" t="s">
        <v>2543</v>
      </c>
      <c r="H1759" t="s">
        <v>2</v>
      </c>
      <c r="I1759" s="1">
        <v>46224</v>
      </c>
      <c r="J1759" t="s">
        <v>2146</v>
      </c>
      <c r="K1759" t="s">
        <v>2935</v>
      </c>
      <c r="L1759" s="1">
        <v>46224.917650462965</v>
      </c>
      <c r="M1759" s="1">
        <v>46224.91962439815</v>
      </c>
    </row>
    <row r="1760" spans="1:13" x14ac:dyDescent="0.35">
      <c r="A1760" t="s">
        <v>415</v>
      </c>
      <c r="B1760" t="s">
        <v>1986</v>
      </c>
      <c r="C1760" t="s">
        <v>2543</v>
      </c>
      <c r="D1760">
        <v>4.25</v>
      </c>
      <c r="E1760" s="1">
        <v>47299</v>
      </c>
      <c r="F1760" t="s">
        <v>1988</v>
      </c>
      <c r="G1760" t="s">
        <v>2543</v>
      </c>
      <c r="H1760" t="s">
        <v>2</v>
      </c>
      <c r="I1760" s="1">
        <v>46224</v>
      </c>
      <c r="J1760" t="s">
        <v>2108</v>
      </c>
      <c r="K1760" t="s">
        <v>2935</v>
      </c>
      <c r="L1760" s="1">
        <v>46224.917650462965</v>
      </c>
      <c r="M1760" s="1">
        <v>46224.91962439815</v>
      </c>
    </row>
    <row r="1761" spans="1:13" x14ac:dyDescent="0.35">
      <c r="A1761" t="s">
        <v>415</v>
      </c>
      <c r="B1761" t="s">
        <v>1986</v>
      </c>
      <c r="C1761" t="s">
        <v>2543</v>
      </c>
      <c r="D1761">
        <v>4.25</v>
      </c>
      <c r="E1761" s="1">
        <v>47299</v>
      </c>
      <c r="F1761" t="s">
        <v>1988</v>
      </c>
      <c r="G1761" t="s">
        <v>2543</v>
      </c>
      <c r="H1761" t="s">
        <v>2</v>
      </c>
      <c r="I1761" s="1">
        <v>46224</v>
      </c>
      <c r="J1761" t="s">
        <v>2065</v>
      </c>
      <c r="K1761" t="s">
        <v>2604</v>
      </c>
      <c r="L1761" s="1">
        <v>46224.917650462965</v>
      </c>
      <c r="M1761" s="1">
        <v>46224.91962439815</v>
      </c>
    </row>
    <row r="1762" spans="1:13" x14ac:dyDescent="0.35">
      <c r="A1762" t="s">
        <v>373</v>
      </c>
      <c r="B1762" t="s">
        <v>1986</v>
      </c>
      <c r="C1762" t="s">
        <v>2544</v>
      </c>
      <c r="D1762">
        <v>4.375</v>
      </c>
      <c r="E1762" s="1">
        <v>46583</v>
      </c>
      <c r="F1762" t="s">
        <v>1988</v>
      </c>
      <c r="G1762" t="s">
        <v>2544</v>
      </c>
      <c r="H1762" t="s">
        <v>2</v>
      </c>
      <c r="I1762" s="1">
        <v>46224</v>
      </c>
      <c r="J1762" t="s">
        <v>2064</v>
      </c>
      <c r="K1762" t="s">
        <v>3884</v>
      </c>
      <c r="L1762" s="1">
        <v>46224.917650462965</v>
      </c>
      <c r="M1762" s="1">
        <v>46224.91962439815</v>
      </c>
    </row>
    <row r="1763" spans="1:13" x14ac:dyDescent="0.35">
      <c r="A1763" t="s">
        <v>373</v>
      </c>
      <c r="B1763" t="s">
        <v>1986</v>
      </c>
      <c r="C1763" t="s">
        <v>2544</v>
      </c>
      <c r="D1763">
        <v>4.375</v>
      </c>
      <c r="E1763" s="1">
        <v>46583</v>
      </c>
      <c r="F1763" t="s">
        <v>1988</v>
      </c>
      <c r="G1763" t="s">
        <v>2544</v>
      </c>
      <c r="H1763" t="s">
        <v>2</v>
      </c>
      <c r="I1763" s="1">
        <v>46224</v>
      </c>
      <c r="J1763" t="s">
        <v>1989</v>
      </c>
      <c r="K1763" t="s">
        <v>3632</v>
      </c>
      <c r="L1763" s="1">
        <v>46224.918321759258</v>
      </c>
      <c r="M1763" s="1">
        <v>46224.91962439815</v>
      </c>
    </row>
    <row r="1764" spans="1:13" x14ac:dyDescent="0.35">
      <c r="A1764" t="s">
        <v>373</v>
      </c>
      <c r="B1764" t="s">
        <v>1986</v>
      </c>
      <c r="C1764" t="s">
        <v>2544</v>
      </c>
      <c r="D1764">
        <v>4.375</v>
      </c>
      <c r="E1764" s="1">
        <v>46583</v>
      </c>
      <c r="F1764" t="s">
        <v>1988</v>
      </c>
      <c r="G1764" t="s">
        <v>2544</v>
      </c>
      <c r="H1764" t="s">
        <v>2</v>
      </c>
      <c r="I1764" s="1">
        <v>46224</v>
      </c>
      <c r="J1764" t="s">
        <v>1991</v>
      </c>
      <c r="K1764" t="s">
        <v>3779</v>
      </c>
      <c r="L1764" s="1">
        <v>46224.918321759258</v>
      </c>
      <c r="M1764" s="1">
        <v>46224.91962439815</v>
      </c>
    </row>
    <row r="1765" spans="1:13" x14ac:dyDescent="0.35">
      <c r="A1765" t="s">
        <v>373</v>
      </c>
      <c r="B1765" t="s">
        <v>1986</v>
      </c>
      <c r="C1765" t="s">
        <v>2544</v>
      </c>
      <c r="D1765">
        <v>4.375</v>
      </c>
      <c r="E1765" s="1">
        <v>46583</v>
      </c>
      <c r="F1765" t="s">
        <v>1988</v>
      </c>
      <c r="G1765" t="s">
        <v>2544</v>
      </c>
      <c r="H1765" t="s">
        <v>2</v>
      </c>
      <c r="I1765" s="1">
        <v>46224</v>
      </c>
      <c r="J1765" t="s">
        <v>2146</v>
      </c>
      <c r="K1765" t="s">
        <v>2914</v>
      </c>
      <c r="L1765" s="1">
        <v>46224.917650462965</v>
      </c>
      <c r="M1765" s="1">
        <v>46224.91962439815</v>
      </c>
    </row>
    <row r="1766" spans="1:13" x14ac:dyDescent="0.35">
      <c r="A1766" t="s">
        <v>373</v>
      </c>
      <c r="B1766" t="s">
        <v>1986</v>
      </c>
      <c r="C1766" t="s">
        <v>2544</v>
      </c>
      <c r="D1766">
        <v>4.375</v>
      </c>
      <c r="E1766" s="1">
        <v>46583</v>
      </c>
      <c r="F1766" t="s">
        <v>1988</v>
      </c>
      <c r="G1766" t="s">
        <v>2544</v>
      </c>
      <c r="H1766" t="s">
        <v>2</v>
      </c>
      <c r="I1766" s="1">
        <v>46224</v>
      </c>
      <c r="J1766" t="s">
        <v>2108</v>
      </c>
      <c r="K1766" t="s">
        <v>2914</v>
      </c>
      <c r="L1766" s="1">
        <v>46224.917650462965</v>
      </c>
      <c r="M1766" s="1">
        <v>46224.91962439815</v>
      </c>
    </row>
    <row r="1767" spans="1:13" x14ac:dyDescent="0.35">
      <c r="A1767" t="s">
        <v>373</v>
      </c>
      <c r="B1767" t="s">
        <v>1986</v>
      </c>
      <c r="C1767" t="s">
        <v>2544</v>
      </c>
      <c r="D1767">
        <v>4.375</v>
      </c>
      <c r="E1767" s="1">
        <v>46583</v>
      </c>
      <c r="F1767" t="s">
        <v>1988</v>
      </c>
      <c r="G1767" t="s">
        <v>2544</v>
      </c>
      <c r="H1767" t="s">
        <v>2</v>
      </c>
      <c r="I1767" s="1">
        <v>46224</v>
      </c>
      <c r="J1767" t="s">
        <v>2065</v>
      </c>
      <c r="K1767" t="s">
        <v>3884</v>
      </c>
      <c r="L1767" s="1">
        <v>46224.917650462965</v>
      </c>
      <c r="M1767" s="1">
        <v>46224.91962439815</v>
      </c>
    </row>
    <row r="1768" spans="1:13" x14ac:dyDescent="0.35">
      <c r="A1768" t="s">
        <v>384</v>
      </c>
      <c r="B1768" t="s">
        <v>1986</v>
      </c>
      <c r="C1768" t="s">
        <v>2562</v>
      </c>
      <c r="D1768">
        <v>4.375</v>
      </c>
      <c r="E1768" s="1">
        <v>46234</v>
      </c>
      <c r="F1768" t="s">
        <v>1988</v>
      </c>
      <c r="G1768" t="s">
        <v>2562</v>
      </c>
      <c r="H1768" t="s">
        <v>2</v>
      </c>
      <c r="I1768" s="1">
        <v>46224</v>
      </c>
      <c r="J1768" t="s">
        <v>1989</v>
      </c>
      <c r="K1768" t="s">
        <v>3885</v>
      </c>
      <c r="L1768" s="1">
        <v>46224.918321759258</v>
      </c>
      <c r="M1768" s="1">
        <v>46224.91962439815</v>
      </c>
    </row>
    <row r="1769" spans="1:13" x14ac:dyDescent="0.35">
      <c r="A1769" t="s">
        <v>384</v>
      </c>
      <c r="B1769" t="s">
        <v>1986</v>
      </c>
      <c r="C1769" t="s">
        <v>2562</v>
      </c>
      <c r="D1769">
        <v>4.375</v>
      </c>
      <c r="E1769" s="1">
        <v>46234</v>
      </c>
      <c r="F1769" t="s">
        <v>1988</v>
      </c>
      <c r="G1769" t="s">
        <v>2562</v>
      </c>
      <c r="H1769" t="s">
        <v>2</v>
      </c>
      <c r="I1769" s="1">
        <v>46224</v>
      </c>
      <c r="J1769" t="s">
        <v>2108</v>
      </c>
      <c r="K1769" t="s">
        <v>3886</v>
      </c>
      <c r="L1769" s="1">
        <v>46224.917650462965</v>
      </c>
      <c r="M1769" s="1">
        <v>46224.91962439815</v>
      </c>
    </row>
    <row r="1770" spans="1:13" x14ac:dyDescent="0.35">
      <c r="A1770" t="s">
        <v>384</v>
      </c>
      <c r="B1770" t="s">
        <v>1986</v>
      </c>
      <c r="C1770" t="s">
        <v>2562</v>
      </c>
      <c r="D1770">
        <v>4.375</v>
      </c>
      <c r="E1770" s="1">
        <v>46234</v>
      </c>
      <c r="F1770" t="s">
        <v>1988</v>
      </c>
      <c r="G1770" t="s">
        <v>2562</v>
      </c>
      <c r="H1770" t="s">
        <v>2</v>
      </c>
      <c r="I1770" s="1">
        <v>46224</v>
      </c>
      <c r="J1770" t="s">
        <v>1991</v>
      </c>
      <c r="K1770" t="s">
        <v>2760</v>
      </c>
      <c r="L1770" s="1">
        <v>46224.918321759258</v>
      </c>
      <c r="M1770" s="1">
        <v>46224.91962439815</v>
      </c>
    </row>
    <row r="1771" spans="1:13" x14ac:dyDescent="0.35">
      <c r="A1771" t="s">
        <v>384</v>
      </c>
      <c r="B1771" t="s">
        <v>1986</v>
      </c>
      <c r="C1771" t="s">
        <v>2562</v>
      </c>
      <c r="D1771">
        <v>4.375</v>
      </c>
      <c r="E1771" s="1">
        <v>46234</v>
      </c>
      <c r="F1771" t="s">
        <v>1988</v>
      </c>
      <c r="G1771" t="s">
        <v>2562</v>
      </c>
      <c r="H1771" t="s">
        <v>2</v>
      </c>
      <c r="I1771" s="1">
        <v>46224</v>
      </c>
      <c r="J1771" t="s">
        <v>2064</v>
      </c>
      <c r="K1771" t="s">
        <v>3868</v>
      </c>
      <c r="L1771" s="1">
        <v>46224.917650462965</v>
      </c>
      <c r="M1771" s="1">
        <v>46224.91962439815</v>
      </c>
    </row>
    <row r="1772" spans="1:13" x14ac:dyDescent="0.35">
      <c r="A1772" t="s">
        <v>384</v>
      </c>
      <c r="B1772" t="s">
        <v>1986</v>
      </c>
      <c r="C1772" t="s">
        <v>2562</v>
      </c>
      <c r="D1772">
        <v>4.375</v>
      </c>
      <c r="E1772" s="1">
        <v>46234</v>
      </c>
      <c r="F1772" t="s">
        <v>1988</v>
      </c>
      <c r="G1772" t="s">
        <v>2562</v>
      </c>
      <c r="H1772" t="s">
        <v>2</v>
      </c>
      <c r="I1772" s="1">
        <v>46224</v>
      </c>
      <c r="J1772" t="s">
        <v>2146</v>
      </c>
      <c r="K1772" t="s">
        <v>3886</v>
      </c>
      <c r="L1772" s="1">
        <v>46224.917650462965</v>
      </c>
      <c r="M1772" s="1">
        <v>46224.91962439815</v>
      </c>
    </row>
    <row r="1773" spans="1:13" x14ac:dyDescent="0.35">
      <c r="A1773" t="s">
        <v>384</v>
      </c>
      <c r="B1773" t="s">
        <v>1986</v>
      </c>
      <c r="C1773" t="s">
        <v>2562</v>
      </c>
      <c r="D1773">
        <v>4.375</v>
      </c>
      <c r="E1773" s="1">
        <v>46234</v>
      </c>
      <c r="F1773" t="s">
        <v>1988</v>
      </c>
      <c r="G1773" t="s">
        <v>2562</v>
      </c>
      <c r="H1773" t="s">
        <v>2</v>
      </c>
      <c r="I1773" s="1">
        <v>46224</v>
      </c>
      <c r="J1773" t="s">
        <v>2065</v>
      </c>
      <c r="K1773" t="s">
        <v>3868</v>
      </c>
      <c r="L1773" s="1">
        <v>46224.917650462965</v>
      </c>
      <c r="M1773" s="1">
        <v>46224.91962439815</v>
      </c>
    </row>
    <row r="1774" spans="1:13" x14ac:dyDescent="0.35">
      <c r="A1774" t="s">
        <v>408</v>
      </c>
      <c r="B1774" t="s">
        <v>1986</v>
      </c>
      <c r="C1774" t="s">
        <v>2563</v>
      </c>
      <c r="D1774">
        <v>4</v>
      </c>
      <c r="E1774" s="1">
        <v>47330</v>
      </c>
      <c r="F1774" t="s">
        <v>1988</v>
      </c>
      <c r="G1774" t="s">
        <v>2563</v>
      </c>
      <c r="H1774" t="s">
        <v>2</v>
      </c>
      <c r="I1774" s="1">
        <v>46224</v>
      </c>
      <c r="J1774" t="s">
        <v>1991</v>
      </c>
      <c r="K1774" t="s">
        <v>2348</v>
      </c>
      <c r="L1774" s="1">
        <v>46224.918321759258</v>
      </c>
      <c r="M1774" s="1">
        <v>46224.91962439815</v>
      </c>
    </row>
    <row r="1775" spans="1:13" x14ac:dyDescent="0.35">
      <c r="A1775" t="s">
        <v>408</v>
      </c>
      <c r="B1775" t="s">
        <v>1986</v>
      </c>
      <c r="C1775" t="s">
        <v>2563</v>
      </c>
      <c r="D1775">
        <v>4</v>
      </c>
      <c r="E1775" s="1">
        <v>47330</v>
      </c>
      <c r="F1775" t="s">
        <v>1988</v>
      </c>
      <c r="G1775" t="s">
        <v>2563</v>
      </c>
      <c r="H1775" t="s">
        <v>2</v>
      </c>
      <c r="I1775" s="1">
        <v>46224</v>
      </c>
      <c r="J1775" t="s">
        <v>2108</v>
      </c>
      <c r="K1775" t="s">
        <v>2441</v>
      </c>
      <c r="L1775" s="1">
        <v>46224.917650462965</v>
      </c>
      <c r="M1775" s="1">
        <v>46224.91962439815</v>
      </c>
    </row>
    <row r="1776" spans="1:13" x14ac:dyDescent="0.35">
      <c r="A1776" t="s">
        <v>408</v>
      </c>
      <c r="B1776" t="s">
        <v>1986</v>
      </c>
      <c r="C1776" t="s">
        <v>2563</v>
      </c>
      <c r="D1776">
        <v>4</v>
      </c>
      <c r="E1776" s="1">
        <v>47330</v>
      </c>
      <c r="F1776" t="s">
        <v>1988</v>
      </c>
      <c r="G1776" t="s">
        <v>2563</v>
      </c>
      <c r="H1776" t="s">
        <v>2</v>
      </c>
      <c r="I1776" s="1">
        <v>46224</v>
      </c>
      <c r="J1776" t="s">
        <v>2065</v>
      </c>
      <c r="K1776" t="s">
        <v>2741</v>
      </c>
      <c r="L1776" s="1">
        <v>46224.917650462965</v>
      </c>
      <c r="M1776" s="1">
        <v>46224.91962439815</v>
      </c>
    </row>
    <row r="1777" spans="1:13" x14ac:dyDescent="0.35">
      <c r="A1777" t="s">
        <v>408</v>
      </c>
      <c r="B1777" t="s">
        <v>1986</v>
      </c>
      <c r="C1777" t="s">
        <v>2563</v>
      </c>
      <c r="D1777">
        <v>4</v>
      </c>
      <c r="E1777" s="1">
        <v>47330</v>
      </c>
      <c r="F1777" t="s">
        <v>1988</v>
      </c>
      <c r="G1777" t="s">
        <v>2563</v>
      </c>
      <c r="H1777" t="s">
        <v>2</v>
      </c>
      <c r="I1777" s="1">
        <v>46224</v>
      </c>
      <c r="J1777" t="s">
        <v>1989</v>
      </c>
      <c r="K1777" t="s">
        <v>2659</v>
      </c>
      <c r="L1777" s="1">
        <v>46224.918321759258</v>
      </c>
      <c r="M1777" s="1">
        <v>46224.91962439815</v>
      </c>
    </row>
    <row r="1778" spans="1:13" x14ac:dyDescent="0.35">
      <c r="A1778" t="s">
        <v>408</v>
      </c>
      <c r="B1778" t="s">
        <v>1986</v>
      </c>
      <c r="C1778" t="s">
        <v>2563</v>
      </c>
      <c r="D1778">
        <v>4</v>
      </c>
      <c r="E1778" s="1">
        <v>47330</v>
      </c>
      <c r="F1778" t="s">
        <v>1988</v>
      </c>
      <c r="G1778" t="s">
        <v>2563</v>
      </c>
      <c r="H1778" t="s">
        <v>2</v>
      </c>
      <c r="I1778" s="1">
        <v>46224</v>
      </c>
      <c r="J1778" t="s">
        <v>2146</v>
      </c>
      <c r="K1778" t="s">
        <v>2441</v>
      </c>
      <c r="L1778" s="1">
        <v>46224.917650462965</v>
      </c>
      <c r="M1778" s="1">
        <v>46224.91962439815</v>
      </c>
    </row>
    <row r="1779" spans="1:13" x14ac:dyDescent="0.35">
      <c r="A1779" t="s">
        <v>408</v>
      </c>
      <c r="B1779" t="s">
        <v>1986</v>
      </c>
      <c r="C1779" t="s">
        <v>2563</v>
      </c>
      <c r="D1779">
        <v>4</v>
      </c>
      <c r="E1779" s="1">
        <v>47330</v>
      </c>
      <c r="F1779" t="s">
        <v>1988</v>
      </c>
      <c r="G1779" t="s">
        <v>2563</v>
      </c>
      <c r="H1779" t="s">
        <v>2</v>
      </c>
      <c r="I1779" s="1">
        <v>46224</v>
      </c>
      <c r="J1779" t="s">
        <v>2064</v>
      </c>
      <c r="K1779" t="s">
        <v>2741</v>
      </c>
      <c r="L1779" s="1">
        <v>46224.917650462965</v>
      </c>
      <c r="M1779" s="1">
        <v>46224.91962439815</v>
      </c>
    </row>
    <row r="1780" spans="1:13" x14ac:dyDescent="0.35">
      <c r="A1780" t="s">
        <v>416</v>
      </c>
      <c r="B1780" t="s">
        <v>1986</v>
      </c>
      <c r="C1780" t="s">
        <v>2564</v>
      </c>
      <c r="D1780">
        <v>4.125</v>
      </c>
      <c r="E1780" s="1">
        <v>48060</v>
      </c>
      <c r="F1780" t="s">
        <v>1988</v>
      </c>
      <c r="G1780" t="s">
        <v>2564</v>
      </c>
      <c r="H1780" t="s">
        <v>2</v>
      </c>
      <c r="I1780" s="1">
        <v>46224</v>
      </c>
      <c r="J1780" t="s">
        <v>2108</v>
      </c>
      <c r="K1780" t="s">
        <v>2616</v>
      </c>
      <c r="L1780" s="1">
        <v>46224.917650462965</v>
      </c>
      <c r="M1780" s="1">
        <v>46224.91962439815</v>
      </c>
    </row>
    <row r="1781" spans="1:13" x14ac:dyDescent="0.35">
      <c r="A1781" t="s">
        <v>416</v>
      </c>
      <c r="B1781" t="s">
        <v>1986</v>
      </c>
      <c r="C1781" t="s">
        <v>2564</v>
      </c>
      <c r="D1781">
        <v>4.125</v>
      </c>
      <c r="E1781" s="1">
        <v>48060</v>
      </c>
      <c r="F1781" t="s">
        <v>1988</v>
      </c>
      <c r="G1781" t="s">
        <v>2564</v>
      </c>
      <c r="H1781" t="s">
        <v>2</v>
      </c>
      <c r="I1781" s="1">
        <v>46224</v>
      </c>
      <c r="J1781" t="s">
        <v>2146</v>
      </c>
      <c r="K1781" t="s">
        <v>2616</v>
      </c>
      <c r="L1781" s="1">
        <v>46224.917650462965</v>
      </c>
      <c r="M1781" s="1">
        <v>46224.91962439815</v>
      </c>
    </row>
    <row r="1782" spans="1:13" x14ac:dyDescent="0.35">
      <c r="A1782" t="s">
        <v>416</v>
      </c>
      <c r="B1782" t="s">
        <v>1986</v>
      </c>
      <c r="C1782" t="s">
        <v>2564</v>
      </c>
      <c r="D1782">
        <v>4.125</v>
      </c>
      <c r="E1782" s="1">
        <v>48060</v>
      </c>
      <c r="F1782" t="s">
        <v>1988</v>
      </c>
      <c r="G1782" t="s">
        <v>2564</v>
      </c>
      <c r="H1782" t="s">
        <v>2</v>
      </c>
      <c r="I1782" s="1">
        <v>46224</v>
      </c>
      <c r="J1782" t="s">
        <v>2065</v>
      </c>
      <c r="K1782" t="s">
        <v>2707</v>
      </c>
      <c r="L1782" s="1">
        <v>46224.917650462965</v>
      </c>
      <c r="M1782" s="1">
        <v>46224.91962439815</v>
      </c>
    </row>
    <row r="1783" spans="1:13" x14ac:dyDescent="0.35">
      <c r="A1783" t="s">
        <v>416</v>
      </c>
      <c r="B1783" t="s">
        <v>1986</v>
      </c>
      <c r="C1783" t="s">
        <v>2564</v>
      </c>
      <c r="D1783">
        <v>4.125</v>
      </c>
      <c r="E1783" s="1">
        <v>48060</v>
      </c>
      <c r="F1783" t="s">
        <v>1988</v>
      </c>
      <c r="G1783" t="s">
        <v>2564</v>
      </c>
      <c r="H1783" t="s">
        <v>2</v>
      </c>
      <c r="I1783" s="1">
        <v>46224</v>
      </c>
      <c r="J1783" t="s">
        <v>2064</v>
      </c>
      <c r="K1783" t="s">
        <v>2707</v>
      </c>
      <c r="L1783" s="1">
        <v>46224.917650462965</v>
      </c>
      <c r="M1783" s="1">
        <v>46224.91962439815</v>
      </c>
    </row>
    <row r="1784" spans="1:13" x14ac:dyDescent="0.35">
      <c r="A1784" t="s">
        <v>416</v>
      </c>
      <c r="B1784" t="s">
        <v>1986</v>
      </c>
      <c r="C1784" t="s">
        <v>2564</v>
      </c>
      <c r="D1784">
        <v>4.125</v>
      </c>
      <c r="E1784" s="1">
        <v>48060</v>
      </c>
      <c r="F1784" t="s">
        <v>1988</v>
      </c>
      <c r="G1784" t="s">
        <v>2564</v>
      </c>
      <c r="H1784" t="s">
        <v>2</v>
      </c>
      <c r="I1784" s="1">
        <v>46224</v>
      </c>
      <c r="J1784" t="s">
        <v>1989</v>
      </c>
      <c r="K1784" t="s">
        <v>2525</v>
      </c>
      <c r="L1784" s="1">
        <v>46224.918321759258</v>
      </c>
      <c r="M1784" s="1">
        <v>46224.91962439815</v>
      </c>
    </row>
    <row r="1785" spans="1:13" x14ac:dyDescent="0.35">
      <c r="A1785" t="s">
        <v>416</v>
      </c>
      <c r="B1785" t="s">
        <v>1986</v>
      </c>
      <c r="C1785" t="s">
        <v>2564</v>
      </c>
      <c r="D1785">
        <v>4.125</v>
      </c>
      <c r="E1785" s="1">
        <v>48060</v>
      </c>
      <c r="F1785" t="s">
        <v>1988</v>
      </c>
      <c r="G1785" t="s">
        <v>2564</v>
      </c>
      <c r="H1785" t="s">
        <v>2</v>
      </c>
      <c r="I1785" s="1">
        <v>46224</v>
      </c>
      <c r="J1785" t="s">
        <v>1991</v>
      </c>
      <c r="K1785" t="s">
        <v>2489</v>
      </c>
      <c r="L1785" s="1">
        <v>46224.918321759258</v>
      </c>
      <c r="M1785" s="1">
        <v>46224.91962439815</v>
      </c>
    </row>
    <row r="1786" spans="1:13" x14ac:dyDescent="0.35">
      <c r="A1786" t="s">
        <v>385</v>
      </c>
      <c r="B1786" t="s">
        <v>1986</v>
      </c>
      <c r="C1786" t="s">
        <v>2665</v>
      </c>
      <c r="D1786">
        <v>1.875</v>
      </c>
      <c r="E1786" s="1">
        <v>49140</v>
      </c>
      <c r="F1786" t="s">
        <v>2014</v>
      </c>
      <c r="G1786" t="s">
        <v>2665</v>
      </c>
      <c r="H1786" t="s">
        <v>2</v>
      </c>
      <c r="I1786" s="1">
        <v>46224</v>
      </c>
      <c r="J1786" t="s">
        <v>1991</v>
      </c>
      <c r="K1786" t="s">
        <v>3887</v>
      </c>
      <c r="L1786" s="1">
        <v>46224.918321759258</v>
      </c>
      <c r="M1786" s="1">
        <v>46224.91962439815</v>
      </c>
    </row>
    <row r="1787" spans="1:13" x14ac:dyDescent="0.35">
      <c r="A1787" t="s">
        <v>385</v>
      </c>
      <c r="B1787" t="s">
        <v>1986</v>
      </c>
      <c r="C1787" t="s">
        <v>2665</v>
      </c>
      <c r="D1787">
        <v>1.875</v>
      </c>
      <c r="E1787" s="1">
        <v>49140</v>
      </c>
      <c r="F1787" t="s">
        <v>2014</v>
      </c>
      <c r="G1787" t="s">
        <v>2665</v>
      </c>
      <c r="H1787" t="s">
        <v>2</v>
      </c>
      <c r="I1787" s="1">
        <v>46224</v>
      </c>
      <c r="J1787" t="s">
        <v>2064</v>
      </c>
      <c r="K1787" t="s">
        <v>3840</v>
      </c>
      <c r="L1787" s="1">
        <v>46224.917650462965</v>
      </c>
      <c r="M1787" s="1">
        <v>46224.91962439815</v>
      </c>
    </row>
    <row r="1788" spans="1:13" x14ac:dyDescent="0.35">
      <c r="A1788" t="s">
        <v>385</v>
      </c>
      <c r="B1788" t="s">
        <v>1986</v>
      </c>
      <c r="C1788" t="s">
        <v>2665</v>
      </c>
      <c r="D1788">
        <v>1.875</v>
      </c>
      <c r="E1788" s="1">
        <v>49140</v>
      </c>
      <c r="F1788" t="s">
        <v>2014</v>
      </c>
      <c r="G1788" t="s">
        <v>2665</v>
      </c>
      <c r="H1788" t="s">
        <v>2</v>
      </c>
      <c r="I1788" s="1">
        <v>46224</v>
      </c>
      <c r="J1788" t="s">
        <v>2146</v>
      </c>
      <c r="K1788" t="s">
        <v>3888</v>
      </c>
      <c r="L1788" s="1">
        <v>46224.917650462965</v>
      </c>
      <c r="M1788" s="1">
        <v>46224.91962439815</v>
      </c>
    </row>
    <row r="1789" spans="1:13" x14ac:dyDescent="0.35">
      <c r="A1789" t="s">
        <v>385</v>
      </c>
      <c r="B1789" t="s">
        <v>1986</v>
      </c>
      <c r="C1789" t="s">
        <v>2665</v>
      </c>
      <c r="D1789">
        <v>1.875</v>
      </c>
      <c r="E1789" s="1">
        <v>49140</v>
      </c>
      <c r="F1789" t="s">
        <v>2014</v>
      </c>
      <c r="G1789" t="s">
        <v>2665</v>
      </c>
      <c r="H1789" t="s">
        <v>2</v>
      </c>
      <c r="I1789" s="1">
        <v>46224</v>
      </c>
      <c r="J1789" t="s">
        <v>1989</v>
      </c>
      <c r="K1789" t="s">
        <v>4141</v>
      </c>
      <c r="L1789" s="1">
        <v>46224.918321759258</v>
      </c>
      <c r="M1789" s="1">
        <v>46224.91962439815</v>
      </c>
    </row>
    <row r="1790" spans="1:13" x14ac:dyDescent="0.35">
      <c r="A1790" t="s">
        <v>385</v>
      </c>
      <c r="B1790" t="s">
        <v>1986</v>
      </c>
      <c r="C1790" t="s">
        <v>2665</v>
      </c>
      <c r="D1790">
        <v>1.875</v>
      </c>
      <c r="E1790" s="1">
        <v>49140</v>
      </c>
      <c r="F1790" t="s">
        <v>2014</v>
      </c>
      <c r="G1790" t="s">
        <v>2665</v>
      </c>
      <c r="H1790" t="s">
        <v>2</v>
      </c>
      <c r="I1790" s="1">
        <v>46224</v>
      </c>
      <c r="J1790" t="s">
        <v>2108</v>
      </c>
      <c r="K1790" t="s">
        <v>3888</v>
      </c>
      <c r="L1790" s="1">
        <v>46224.917650462965</v>
      </c>
      <c r="M1790" s="1">
        <v>46224.91962439815</v>
      </c>
    </row>
    <row r="1791" spans="1:13" x14ac:dyDescent="0.35">
      <c r="A1791" t="s">
        <v>385</v>
      </c>
      <c r="B1791" t="s">
        <v>1986</v>
      </c>
      <c r="C1791" t="s">
        <v>2665</v>
      </c>
      <c r="D1791">
        <v>1.875</v>
      </c>
      <c r="E1791" s="1">
        <v>49140</v>
      </c>
      <c r="F1791" t="s">
        <v>2014</v>
      </c>
      <c r="G1791" t="s">
        <v>2665</v>
      </c>
      <c r="H1791" t="s">
        <v>2</v>
      </c>
      <c r="I1791" s="1">
        <v>46224</v>
      </c>
      <c r="J1791" t="s">
        <v>2065</v>
      </c>
      <c r="K1791" t="s">
        <v>3840</v>
      </c>
      <c r="L1791" s="1">
        <v>46224.917650462965</v>
      </c>
      <c r="M1791" s="1">
        <v>46224.91962439815</v>
      </c>
    </row>
    <row r="1792" spans="1:13" x14ac:dyDescent="0.35">
      <c r="A1792" t="s">
        <v>417</v>
      </c>
      <c r="B1792" t="s">
        <v>1986</v>
      </c>
      <c r="C1792" t="s">
        <v>2545</v>
      </c>
      <c r="D1792">
        <v>3.875</v>
      </c>
      <c r="E1792" s="1">
        <v>49171</v>
      </c>
      <c r="F1792" t="s">
        <v>1988</v>
      </c>
      <c r="G1792" t="s">
        <v>2545</v>
      </c>
      <c r="H1792" t="s">
        <v>2</v>
      </c>
      <c r="I1792" s="1">
        <v>46224</v>
      </c>
      <c r="J1792" t="s">
        <v>1989</v>
      </c>
      <c r="K1792" t="s">
        <v>3498</v>
      </c>
      <c r="L1792" s="1">
        <v>46224.918321759258</v>
      </c>
      <c r="M1792" s="1">
        <v>46224.91962439815</v>
      </c>
    </row>
    <row r="1793" spans="1:13" x14ac:dyDescent="0.35">
      <c r="A1793" t="s">
        <v>417</v>
      </c>
      <c r="B1793" t="s">
        <v>1986</v>
      </c>
      <c r="C1793" t="s">
        <v>2545</v>
      </c>
      <c r="D1793">
        <v>3.875</v>
      </c>
      <c r="E1793" s="1">
        <v>49171</v>
      </c>
      <c r="F1793" t="s">
        <v>1988</v>
      </c>
      <c r="G1793" t="s">
        <v>2545</v>
      </c>
      <c r="H1793" t="s">
        <v>2</v>
      </c>
      <c r="I1793" s="1">
        <v>46224</v>
      </c>
      <c r="J1793" t="s">
        <v>2108</v>
      </c>
      <c r="K1793" t="s">
        <v>3869</v>
      </c>
      <c r="L1793" s="1">
        <v>46224.917650462965</v>
      </c>
      <c r="M1793" s="1">
        <v>46224.91962439815</v>
      </c>
    </row>
    <row r="1794" spans="1:13" x14ac:dyDescent="0.35">
      <c r="A1794" t="s">
        <v>417</v>
      </c>
      <c r="B1794" t="s">
        <v>1986</v>
      </c>
      <c r="C1794" t="s">
        <v>2545</v>
      </c>
      <c r="D1794">
        <v>3.875</v>
      </c>
      <c r="E1794" s="1">
        <v>49171</v>
      </c>
      <c r="F1794" t="s">
        <v>1988</v>
      </c>
      <c r="G1794" t="s">
        <v>2545</v>
      </c>
      <c r="H1794" t="s">
        <v>2</v>
      </c>
      <c r="I1794" s="1">
        <v>46224</v>
      </c>
      <c r="J1794" t="s">
        <v>2064</v>
      </c>
      <c r="K1794" t="s">
        <v>3870</v>
      </c>
      <c r="L1794" s="1">
        <v>46224.917650462965</v>
      </c>
      <c r="M1794" s="1">
        <v>46224.91962439815</v>
      </c>
    </row>
    <row r="1795" spans="1:13" x14ac:dyDescent="0.35">
      <c r="A1795" t="s">
        <v>417</v>
      </c>
      <c r="B1795" t="s">
        <v>1986</v>
      </c>
      <c r="C1795" t="s">
        <v>2545</v>
      </c>
      <c r="D1795">
        <v>3.875</v>
      </c>
      <c r="E1795" s="1">
        <v>49171</v>
      </c>
      <c r="F1795" t="s">
        <v>1988</v>
      </c>
      <c r="G1795" t="s">
        <v>2545</v>
      </c>
      <c r="H1795" t="s">
        <v>2</v>
      </c>
      <c r="I1795" s="1">
        <v>46224</v>
      </c>
      <c r="J1795" t="s">
        <v>2065</v>
      </c>
      <c r="K1795" t="s">
        <v>3870</v>
      </c>
      <c r="L1795" s="1">
        <v>46224.917650462965</v>
      </c>
      <c r="M1795" s="1">
        <v>46224.91962439815</v>
      </c>
    </row>
    <row r="1796" spans="1:13" x14ac:dyDescent="0.35">
      <c r="A1796" t="s">
        <v>417</v>
      </c>
      <c r="B1796" t="s">
        <v>1986</v>
      </c>
      <c r="C1796" t="s">
        <v>2545</v>
      </c>
      <c r="D1796">
        <v>3.875</v>
      </c>
      <c r="E1796" s="1">
        <v>49171</v>
      </c>
      <c r="F1796" t="s">
        <v>1988</v>
      </c>
      <c r="G1796" t="s">
        <v>2545</v>
      </c>
      <c r="H1796" t="s">
        <v>2</v>
      </c>
      <c r="I1796" s="1">
        <v>46224</v>
      </c>
      <c r="J1796" t="s">
        <v>2146</v>
      </c>
      <c r="K1796" t="s">
        <v>3869</v>
      </c>
      <c r="L1796" s="1">
        <v>46224.917650462965</v>
      </c>
      <c r="M1796" s="1">
        <v>46224.91962439815</v>
      </c>
    </row>
    <row r="1797" spans="1:13" x14ac:dyDescent="0.35">
      <c r="A1797" t="s">
        <v>417</v>
      </c>
      <c r="B1797" t="s">
        <v>1986</v>
      </c>
      <c r="C1797" t="s">
        <v>2545</v>
      </c>
      <c r="D1797">
        <v>3.875</v>
      </c>
      <c r="E1797" s="1">
        <v>49171</v>
      </c>
      <c r="F1797" t="s">
        <v>1988</v>
      </c>
      <c r="G1797" t="s">
        <v>2545</v>
      </c>
      <c r="H1797" t="s">
        <v>2</v>
      </c>
      <c r="I1797" s="1">
        <v>46224</v>
      </c>
      <c r="J1797" t="s">
        <v>1991</v>
      </c>
      <c r="K1797" t="s">
        <v>4031</v>
      </c>
      <c r="L1797" s="1">
        <v>46224.918321759258</v>
      </c>
      <c r="M1797" s="1">
        <v>46224.91962439815</v>
      </c>
    </row>
    <row r="1798" spans="1:13" x14ac:dyDescent="0.35">
      <c r="A1798" t="s">
        <v>386</v>
      </c>
      <c r="B1798" t="s">
        <v>1986</v>
      </c>
      <c r="C1798" t="s">
        <v>2546</v>
      </c>
      <c r="D1798">
        <v>3.75</v>
      </c>
      <c r="E1798" s="1">
        <v>46614</v>
      </c>
      <c r="F1798" t="s">
        <v>1988</v>
      </c>
      <c r="G1798" t="s">
        <v>2546</v>
      </c>
      <c r="H1798" t="s">
        <v>2</v>
      </c>
      <c r="I1798" s="1">
        <v>46224</v>
      </c>
      <c r="J1798" t="s">
        <v>2108</v>
      </c>
      <c r="K1798" t="s">
        <v>2886</v>
      </c>
      <c r="L1798" s="1">
        <v>46224.917650462965</v>
      </c>
      <c r="M1798" s="1">
        <v>46224.91962439815</v>
      </c>
    </row>
    <row r="1799" spans="1:13" x14ac:dyDescent="0.35">
      <c r="A1799" t="s">
        <v>386</v>
      </c>
      <c r="B1799" t="s">
        <v>1986</v>
      </c>
      <c r="C1799" t="s">
        <v>2546</v>
      </c>
      <c r="D1799">
        <v>3.75</v>
      </c>
      <c r="E1799" s="1">
        <v>46614</v>
      </c>
      <c r="F1799" t="s">
        <v>1988</v>
      </c>
      <c r="G1799" t="s">
        <v>2546</v>
      </c>
      <c r="H1799" t="s">
        <v>2</v>
      </c>
      <c r="I1799" s="1">
        <v>46224</v>
      </c>
      <c r="J1799" t="s">
        <v>2065</v>
      </c>
      <c r="K1799" t="s">
        <v>2926</v>
      </c>
      <c r="L1799" s="1">
        <v>46224.917650462965</v>
      </c>
      <c r="M1799" s="1">
        <v>46224.91962439815</v>
      </c>
    </row>
    <row r="1800" spans="1:13" x14ac:dyDescent="0.35">
      <c r="A1800" t="s">
        <v>386</v>
      </c>
      <c r="B1800" t="s">
        <v>1986</v>
      </c>
      <c r="C1800" t="s">
        <v>2546</v>
      </c>
      <c r="D1800">
        <v>3.75</v>
      </c>
      <c r="E1800" s="1">
        <v>46614</v>
      </c>
      <c r="F1800" t="s">
        <v>1988</v>
      </c>
      <c r="G1800" t="s">
        <v>2546</v>
      </c>
      <c r="H1800" t="s">
        <v>2</v>
      </c>
      <c r="I1800" s="1">
        <v>46224</v>
      </c>
      <c r="J1800" t="s">
        <v>2064</v>
      </c>
      <c r="K1800" t="s">
        <v>2926</v>
      </c>
      <c r="L1800" s="1">
        <v>46224.917650462965</v>
      </c>
      <c r="M1800" s="1">
        <v>46224.91962439815</v>
      </c>
    </row>
    <row r="1801" spans="1:13" x14ac:dyDescent="0.35">
      <c r="A1801" t="s">
        <v>386</v>
      </c>
      <c r="B1801" t="s">
        <v>1986</v>
      </c>
      <c r="C1801" t="s">
        <v>2546</v>
      </c>
      <c r="D1801">
        <v>3.75</v>
      </c>
      <c r="E1801" s="1">
        <v>46614</v>
      </c>
      <c r="F1801" t="s">
        <v>1988</v>
      </c>
      <c r="G1801" t="s">
        <v>2546</v>
      </c>
      <c r="H1801" t="s">
        <v>2</v>
      </c>
      <c r="I1801" s="1">
        <v>46224</v>
      </c>
      <c r="J1801" t="s">
        <v>1991</v>
      </c>
      <c r="K1801" t="s">
        <v>3010</v>
      </c>
      <c r="L1801" s="1">
        <v>46224.918321759258</v>
      </c>
      <c r="M1801" s="1">
        <v>46224.91962439815</v>
      </c>
    </row>
    <row r="1802" spans="1:13" x14ac:dyDescent="0.35">
      <c r="A1802" t="s">
        <v>386</v>
      </c>
      <c r="B1802" t="s">
        <v>1986</v>
      </c>
      <c r="C1802" t="s">
        <v>2546</v>
      </c>
      <c r="D1802">
        <v>3.75</v>
      </c>
      <c r="E1802" s="1">
        <v>46614</v>
      </c>
      <c r="F1802" t="s">
        <v>1988</v>
      </c>
      <c r="G1802" t="s">
        <v>2546</v>
      </c>
      <c r="H1802" t="s">
        <v>2</v>
      </c>
      <c r="I1802" s="1">
        <v>46224</v>
      </c>
      <c r="J1802" t="s">
        <v>2146</v>
      </c>
      <c r="K1802" t="s">
        <v>2886</v>
      </c>
      <c r="L1802" s="1">
        <v>46224.917650462965</v>
      </c>
      <c r="M1802" s="1">
        <v>46224.91962439815</v>
      </c>
    </row>
    <row r="1803" spans="1:13" x14ac:dyDescent="0.35">
      <c r="A1803" t="s">
        <v>386</v>
      </c>
      <c r="B1803" t="s">
        <v>1986</v>
      </c>
      <c r="C1803" t="s">
        <v>2546</v>
      </c>
      <c r="D1803">
        <v>3.75</v>
      </c>
      <c r="E1803" s="1">
        <v>46614</v>
      </c>
      <c r="F1803" t="s">
        <v>1988</v>
      </c>
      <c r="G1803" t="s">
        <v>2546</v>
      </c>
      <c r="H1803" t="s">
        <v>2</v>
      </c>
      <c r="I1803" s="1">
        <v>46224</v>
      </c>
      <c r="J1803" t="s">
        <v>1989</v>
      </c>
      <c r="K1803" t="s">
        <v>4032</v>
      </c>
      <c r="L1803" s="1">
        <v>46224.918321759258</v>
      </c>
      <c r="M1803" s="1">
        <v>46224.91962439815</v>
      </c>
    </row>
    <row r="1804" spans="1:13" x14ac:dyDescent="0.35">
      <c r="A1804" t="s">
        <v>418</v>
      </c>
      <c r="B1804" t="s">
        <v>1986</v>
      </c>
      <c r="C1804" t="s">
        <v>2547</v>
      </c>
      <c r="D1804">
        <v>3.75</v>
      </c>
      <c r="E1804" s="1">
        <v>46265</v>
      </c>
      <c r="F1804" t="s">
        <v>1988</v>
      </c>
      <c r="G1804" t="s">
        <v>2547</v>
      </c>
      <c r="H1804" t="s">
        <v>2</v>
      </c>
      <c r="I1804" s="1">
        <v>46224</v>
      </c>
      <c r="J1804" t="s">
        <v>1989</v>
      </c>
      <c r="K1804" t="s">
        <v>3780</v>
      </c>
      <c r="L1804" s="1">
        <v>46224.918321759258</v>
      </c>
      <c r="M1804" s="1">
        <v>46224.91962439815</v>
      </c>
    </row>
    <row r="1805" spans="1:13" x14ac:dyDescent="0.35">
      <c r="A1805" t="s">
        <v>418</v>
      </c>
      <c r="B1805" t="s">
        <v>1986</v>
      </c>
      <c r="C1805" t="s">
        <v>2547</v>
      </c>
      <c r="D1805">
        <v>3.75</v>
      </c>
      <c r="E1805" s="1">
        <v>46265</v>
      </c>
      <c r="F1805" t="s">
        <v>1988</v>
      </c>
      <c r="G1805" t="s">
        <v>2547</v>
      </c>
      <c r="H1805" t="s">
        <v>2</v>
      </c>
      <c r="I1805" s="1">
        <v>46224</v>
      </c>
      <c r="J1805" t="s">
        <v>2108</v>
      </c>
      <c r="K1805" t="s">
        <v>3781</v>
      </c>
      <c r="L1805" s="1">
        <v>46224.917650462965</v>
      </c>
      <c r="M1805" s="1">
        <v>46224.91962439815</v>
      </c>
    </row>
    <row r="1806" spans="1:13" x14ac:dyDescent="0.35">
      <c r="A1806" t="s">
        <v>418</v>
      </c>
      <c r="B1806" t="s">
        <v>1986</v>
      </c>
      <c r="C1806" t="s">
        <v>2547</v>
      </c>
      <c r="D1806">
        <v>3.75</v>
      </c>
      <c r="E1806" s="1">
        <v>46265</v>
      </c>
      <c r="F1806" t="s">
        <v>1988</v>
      </c>
      <c r="G1806" t="s">
        <v>2547</v>
      </c>
      <c r="H1806" t="s">
        <v>2</v>
      </c>
      <c r="I1806" s="1">
        <v>46224</v>
      </c>
      <c r="J1806" t="s">
        <v>2065</v>
      </c>
      <c r="K1806" t="s">
        <v>3664</v>
      </c>
      <c r="L1806" s="1">
        <v>46224.917650462965</v>
      </c>
      <c r="M1806" s="1">
        <v>46224.91962439815</v>
      </c>
    </row>
    <row r="1807" spans="1:13" x14ac:dyDescent="0.35">
      <c r="A1807" t="s">
        <v>418</v>
      </c>
      <c r="B1807" t="s">
        <v>1986</v>
      </c>
      <c r="C1807" t="s">
        <v>2547</v>
      </c>
      <c r="D1807">
        <v>3.75</v>
      </c>
      <c r="E1807" s="1">
        <v>46265</v>
      </c>
      <c r="F1807" t="s">
        <v>1988</v>
      </c>
      <c r="G1807" t="s">
        <v>2547</v>
      </c>
      <c r="H1807" t="s">
        <v>2</v>
      </c>
      <c r="I1807" s="1">
        <v>46224</v>
      </c>
      <c r="J1807" t="s">
        <v>1991</v>
      </c>
      <c r="K1807" t="s">
        <v>2548</v>
      </c>
      <c r="L1807" s="1">
        <v>46224.918321759258</v>
      </c>
      <c r="M1807" s="1">
        <v>46224.91962439815</v>
      </c>
    </row>
    <row r="1808" spans="1:13" x14ac:dyDescent="0.35">
      <c r="A1808" t="s">
        <v>418</v>
      </c>
      <c r="B1808" t="s">
        <v>1986</v>
      </c>
      <c r="C1808" t="s">
        <v>2547</v>
      </c>
      <c r="D1808">
        <v>3.75</v>
      </c>
      <c r="E1808" s="1">
        <v>46265</v>
      </c>
      <c r="F1808" t="s">
        <v>1988</v>
      </c>
      <c r="G1808" t="s">
        <v>2547</v>
      </c>
      <c r="H1808" t="s">
        <v>2</v>
      </c>
      <c r="I1808" s="1">
        <v>46224</v>
      </c>
      <c r="J1808" t="s">
        <v>2146</v>
      </c>
      <c r="K1808" t="s">
        <v>3781</v>
      </c>
      <c r="L1808" s="1">
        <v>46224.917650462965</v>
      </c>
      <c r="M1808" s="1">
        <v>46224.91962439815</v>
      </c>
    </row>
    <row r="1809" spans="1:13" x14ac:dyDescent="0.35">
      <c r="A1809" t="s">
        <v>418</v>
      </c>
      <c r="B1809" t="s">
        <v>1986</v>
      </c>
      <c r="C1809" t="s">
        <v>2547</v>
      </c>
      <c r="D1809">
        <v>3.75</v>
      </c>
      <c r="E1809" s="1">
        <v>46265</v>
      </c>
      <c r="F1809" t="s">
        <v>1988</v>
      </c>
      <c r="G1809" t="s">
        <v>2547</v>
      </c>
      <c r="H1809" t="s">
        <v>2</v>
      </c>
      <c r="I1809" s="1">
        <v>46224</v>
      </c>
      <c r="J1809" t="s">
        <v>2064</v>
      </c>
      <c r="K1809" t="s">
        <v>3664</v>
      </c>
      <c r="L1809" s="1">
        <v>46224.917650462965</v>
      </c>
      <c r="M1809" s="1">
        <v>46224.91962439815</v>
      </c>
    </row>
    <row r="1810" spans="1:13" x14ac:dyDescent="0.35">
      <c r="A1810" t="s">
        <v>387</v>
      </c>
      <c r="B1810" t="s">
        <v>1986</v>
      </c>
      <c r="C1810" t="s">
        <v>2549</v>
      </c>
      <c r="D1810">
        <v>3.75</v>
      </c>
      <c r="E1810" s="1">
        <v>48091</v>
      </c>
      <c r="F1810" t="s">
        <v>1988</v>
      </c>
      <c r="G1810" t="s">
        <v>2549</v>
      </c>
      <c r="H1810" t="s">
        <v>2</v>
      </c>
      <c r="I1810" s="1">
        <v>46224</v>
      </c>
      <c r="J1810" t="s">
        <v>1989</v>
      </c>
      <c r="K1810" t="s">
        <v>2953</v>
      </c>
      <c r="L1810" s="1">
        <v>46224.918321759258</v>
      </c>
      <c r="M1810" s="1">
        <v>46224.91962439815</v>
      </c>
    </row>
    <row r="1811" spans="1:13" x14ac:dyDescent="0.35">
      <c r="A1811" t="s">
        <v>387</v>
      </c>
      <c r="B1811" t="s">
        <v>1986</v>
      </c>
      <c r="C1811" t="s">
        <v>2549</v>
      </c>
      <c r="D1811">
        <v>3.75</v>
      </c>
      <c r="E1811" s="1">
        <v>48091</v>
      </c>
      <c r="F1811" t="s">
        <v>1988</v>
      </c>
      <c r="G1811" t="s">
        <v>2549</v>
      </c>
      <c r="H1811" t="s">
        <v>2</v>
      </c>
      <c r="I1811" s="1">
        <v>46224</v>
      </c>
      <c r="J1811" t="s">
        <v>2146</v>
      </c>
      <c r="K1811" t="s">
        <v>2739</v>
      </c>
      <c r="L1811" s="1">
        <v>46224.917650462965</v>
      </c>
      <c r="M1811" s="1">
        <v>46224.91962439815</v>
      </c>
    </row>
    <row r="1812" spans="1:13" x14ac:dyDescent="0.35">
      <c r="A1812" t="s">
        <v>387</v>
      </c>
      <c r="B1812" t="s">
        <v>1986</v>
      </c>
      <c r="C1812" t="s">
        <v>2549</v>
      </c>
      <c r="D1812">
        <v>3.75</v>
      </c>
      <c r="E1812" s="1">
        <v>48091</v>
      </c>
      <c r="F1812" t="s">
        <v>1988</v>
      </c>
      <c r="G1812" t="s">
        <v>2549</v>
      </c>
      <c r="H1812" t="s">
        <v>2</v>
      </c>
      <c r="I1812" s="1">
        <v>46224</v>
      </c>
      <c r="J1812" t="s">
        <v>2065</v>
      </c>
      <c r="K1812" t="s">
        <v>3603</v>
      </c>
      <c r="L1812" s="1">
        <v>46224.917650462965</v>
      </c>
      <c r="M1812" s="1">
        <v>46224.91962439815</v>
      </c>
    </row>
    <row r="1813" spans="1:13" x14ac:dyDescent="0.35">
      <c r="A1813" t="s">
        <v>387</v>
      </c>
      <c r="B1813" t="s">
        <v>1986</v>
      </c>
      <c r="C1813" t="s">
        <v>2549</v>
      </c>
      <c r="D1813">
        <v>3.75</v>
      </c>
      <c r="E1813" s="1">
        <v>48091</v>
      </c>
      <c r="F1813" t="s">
        <v>1988</v>
      </c>
      <c r="G1813" t="s">
        <v>2549</v>
      </c>
      <c r="H1813" t="s">
        <v>2</v>
      </c>
      <c r="I1813" s="1">
        <v>46224</v>
      </c>
      <c r="J1813" t="s">
        <v>2064</v>
      </c>
      <c r="K1813" t="s">
        <v>3603</v>
      </c>
      <c r="L1813" s="1">
        <v>46224.917650462965</v>
      </c>
      <c r="M1813" s="1">
        <v>46224.91962439815</v>
      </c>
    </row>
    <row r="1814" spans="1:13" x14ac:dyDescent="0.35">
      <c r="A1814" t="s">
        <v>387</v>
      </c>
      <c r="B1814" t="s">
        <v>1986</v>
      </c>
      <c r="C1814" t="s">
        <v>2549</v>
      </c>
      <c r="D1814">
        <v>3.75</v>
      </c>
      <c r="E1814" s="1">
        <v>48091</v>
      </c>
      <c r="F1814" t="s">
        <v>1988</v>
      </c>
      <c r="G1814" t="s">
        <v>2549</v>
      </c>
      <c r="H1814" t="s">
        <v>2</v>
      </c>
      <c r="I1814" s="1">
        <v>46224</v>
      </c>
      <c r="J1814" t="s">
        <v>1991</v>
      </c>
      <c r="K1814" t="s">
        <v>2945</v>
      </c>
      <c r="L1814" s="1">
        <v>46224.918321759258</v>
      </c>
      <c r="M1814" s="1">
        <v>46224.91962439815</v>
      </c>
    </row>
    <row r="1815" spans="1:13" x14ac:dyDescent="0.35">
      <c r="A1815" t="s">
        <v>387</v>
      </c>
      <c r="B1815" t="s">
        <v>1986</v>
      </c>
      <c r="C1815" t="s">
        <v>2549</v>
      </c>
      <c r="D1815">
        <v>3.75</v>
      </c>
      <c r="E1815" s="1">
        <v>48091</v>
      </c>
      <c r="F1815" t="s">
        <v>1988</v>
      </c>
      <c r="G1815" t="s">
        <v>2549</v>
      </c>
      <c r="H1815" t="s">
        <v>2</v>
      </c>
      <c r="I1815" s="1">
        <v>46224</v>
      </c>
      <c r="J1815" t="s">
        <v>2108</v>
      </c>
      <c r="K1815" t="s">
        <v>2739</v>
      </c>
      <c r="L1815" s="1">
        <v>46224.917650462965</v>
      </c>
      <c r="M1815" s="1">
        <v>46224.91962439815</v>
      </c>
    </row>
    <row r="1816" spans="1:13" x14ac:dyDescent="0.35">
      <c r="A1816" t="s">
        <v>419</v>
      </c>
      <c r="B1816" t="s">
        <v>1986</v>
      </c>
      <c r="C1816" t="s">
        <v>2550</v>
      </c>
      <c r="D1816">
        <v>3.625</v>
      </c>
      <c r="E1816" s="1">
        <v>47361</v>
      </c>
      <c r="F1816" t="s">
        <v>1988</v>
      </c>
      <c r="G1816" t="s">
        <v>2550</v>
      </c>
      <c r="H1816" t="s">
        <v>2</v>
      </c>
      <c r="I1816" s="1">
        <v>46224</v>
      </c>
      <c r="J1816" t="s">
        <v>2146</v>
      </c>
      <c r="K1816" t="s">
        <v>2609</v>
      </c>
      <c r="L1816" s="1">
        <v>46224.917650462965</v>
      </c>
      <c r="M1816" s="1">
        <v>46224.91962439815</v>
      </c>
    </row>
    <row r="1817" spans="1:13" x14ac:dyDescent="0.35">
      <c r="A1817" t="s">
        <v>419</v>
      </c>
      <c r="B1817" t="s">
        <v>1986</v>
      </c>
      <c r="C1817" t="s">
        <v>2550</v>
      </c>
      <c r="D1817">
        <v>3.625</v>
      </c>
      <c r="E1817" s="1">
        <v>47361</v>
      </c>
      <c r="F1817" t="s">
        <v>1988</v>
      </c>
      <c r="G1817" t="s">
        <v>2550</v>
      </c>
      <c r="H1817" t="s">
        <v>2</v>
      </c>
      <c r="I1817" s="1">
        <v>46224</v>
      </c>
      <c r="J1817" t="s">
        <v>1989</v>
      </c>
      <c r="K1817" t="s">
        <v>2615</v>
      </c>
      <c r="L1817" s="1">
        <v>46224.918321759258</v>
      </c>
      <c r="M1817" s="1">
        <v>46224.91962439815</v>
      </c>
    </row>
    <row r="1818" spans="1:13" x14ac:dyDescent="0.35">
      <c r="A1818" t="s">
        <v>419</v>
      </c>
      <c r="B1818" t="s">
        <v>1986</v>
      </c>
      <c r="C1818" t="s">
        <v>2550</v>
      </c>
      <c r="D1818">
        <v>3.625</v>
      </c>
      <c r="E1818" s="1">
        <v>47361</v>
      </c>
      <c r="F1818" t="s">
        <v>1988</v>
      </c>
      <c r="G1818" t="s">
        <v>2550</v>
      </c>
      <c r="H1818" t="s">
        <v>2</v>
      </c>
      <c r="I1818" s="1">
        <v>46224</v>
      </c>
      <c r="J1818" t="s">
        <v>2064</v>
      </c>
      <c r="K1818" t="s">
        <v>2891</v>
      </c>
      <c r="L1818" s="1">
        <v>46224.917650462965</v>
      </c>
      <c r="M1818" s="1">
        <v>46224.91962439815</v>
      </c>
    </row>
    <row r="1819" spans="1:13" x14ac:dyDescent="0.35">
      <c r="A1819" t="s">
        <v>419</v>
      </c>
      <c r="B1819" t="s">
        <v>1986</v>
      </c>
      <c r="C1819" t="s">
        <v>2550</v>
      </c>
      <c r="D1819">
        <v>3.625</v>
      </c>
      <c r="E1819" s="1">
        <v>47361</v>
      </c>
      <c r="F1819" t="s">
        <v>1988</v>
      </c>
      <c r="G1819" t="s">
        <v>2550</v>
      </c>
      <c r="H1819" t="s">
        <v>2</v>
      </c>
      <c r="I1819" s="1">
        <v>46224</v>
      </c>
      <c r="J1819" t="s">
        <v>1991</v>
      </c>
      <c r="K1819" t="s">
        <v>2969</v>
      </c>
      <c r="L1819" s="1">
        <v>46224.918321759258</v>
      </c>
      <c r="M1819" s="1">
        <v>46224.91962439815</v>
      </c>
    </row>
    <row r="1820" spans="1:13" x14ac:dyDescent="0.35">
      <c r="A1820" t="s">
        <v>419</v>
      </c>
      <c r="B1820" t="s">
        <v>1986</v>
      </c>
      <c r="C1820" t="s">
        <v>2550</v>
      </c>
      <c r="D1820">
        <v>3.625</v>
      </c>
      <c r="E1820" s="1">
        <v>47361</v>
      </c>
      <c r="F1820" t="s">
        <v>1988</v>
      </c>
      <c r="G1820" t="s">
        <v>2550</v>
      </c>
      <c r="H1820" t="s">
        <v>2</v>
      </c>
      <c r="I1820" s="1">
        <v>46224</v>
      </c>
      <c r="J1820" t="s">
        <v>2108</v>
      </c>
      <c r="K1820" t="s">
        <v>2609</v>
      </c>
      <c r="L1820" s="1">
        <v>46224.917650462965</v>
      </c>
      <c r="M1820" s="1">
        <v>46224.91962439815</v>
      </c>
    </row>
    <row r="1821" spans="1:13" x14ac:dyDescent="0.35">
      <c r="A1821" t="s">
        <v>419</v>
      </c>
      <c r="B1821" t="s">
        <v>1986</v>
      </c>
      <c r="C1821" t="s">
        <v>2550</v>
      </c>
      <c r="D1821">
        <v>3.625</v>
      </c>
      <c r="E1821" s="1">
        <v>47361</v>
      </c>
      <c r="F1821" t="s">
        <v>1988</v>
      </c>
      <c r="G1821" t="s">
        <v>2550</v>
      </c>
      <c r="H1821" t="s">
        <v>2</v>
      </c>
      <c r="I1821" s="1">
        <v>46224</v>
      </c>
      <c r="J1821" t="s">
        <v>2065</v>
      </c>
      <c r="K1821" t="s">
        <v>2891</v>
      </c>
      <c r="L1821" s="1">
        <v>46224.917650462965</v>
      </c>
      <c r="M1821" s="1">
        <v>46224.91962439815</v>
      </c>
    </row>
    <row r="1822" spans="1:13" x14ac:dyDescent="0.35">
      <c r="A1822" t="s">
        <v>409</v>
      </c>
      <c r="B1822" t="s">
        <v>1986</v>
      </c>
      <c r="C1822" t="s">
        <v>2565</v>
      </c>
      <c r="D1822">
        <v>3.375</v>
      </c>
      <c r="E1822" s="1">
        <v>46645</v>
      </c>
      <c r="F1822" t="s">
        <v>1988</v>
      </c>
      <c r="G1822" t="s">
        <v>2565</v>
      </c>
      <c r="H1822" t="s">
        <v>2</v>
      </c>
      <c r="I1822" s="1">
        <v>46224</v>
      </c>
      <c r="J1822" t="s">
        <v>1991</v>
      </c>
      <c r="K1822" t="s">
        <v>2989</v>
      </c>
      <c r="L1822" s="1">
        <v>46224.918321759258</v>
      </c>
      <c r="M1822" s="1">
        <v>46224.91962439815</v>
      </c>
    </row>
    <row r="1823" spans="1:13" x14ac:dyDescent="0.35">
      <c r="A1823" t="s">
        <v>409</v>
      </c>
      <c r="B1823" t="s">
        <v>1986</v>
      </c>
      <c r="C1823" t="s">
        <v>2565</v>
      </c>
      <c r="D1823">
        <v>3.375</v>
      </c>
      <c r="E1823" s="1">
        <v>46645</v>
      </c>
      <c r="F1823" t="s">
        <v>1988</v>
      </c>
      <c r="G1823" t="s">
        <v>2565</v>
      </c>
      <c r="H1823" t="s">
        <v>2</v>
      </c>
      <c r="I1823" s="1">
        <v>46224</v>
      </c>
      <c r="J1823" t="s">
        <v>2146</v>
      </c>
      <c r="K1823" t="s">
        <v>3665</v>
      </c>
      <c r="L1823" s="1">
        <v>46224.917650462965</v>
      </c>
      <c r="M1823" s="1">
        <v>46224.91962439815</v>
      </c>
    </row>
    <row r="1824" spans="1:13" x14ac:dyDescent="0.35">
      <c r="A1824" t="s">
        <v>409</v>
      </c>
      <c r="B1824" t="s">
        <v>1986</v>
      </c>
      <c r="C1824" t="s">
        <v>2565</v>
      </c>
      <c r="D1824">
        <v>3.375</v>
      </c>
      <c r="E1824" s="1">
        <v>46645</v>
      </c>
      <c r="F1824" t="s">
        <v>1988</v>
      </c>
      <c r="G1824" t="s">
        <v>2565</v>
      </c>
      <c r="H1824" t="s">
        <v>2</v>
      </c>
      <c r="I1824" s="1">
        <v>46224</v>
      </c>
      <c r="J1824" t="s">
        <v>2108</v>
      </c>
      <c r="K1824" t="s">
        <v>3665</v>
      </c>
      <c r="L1824" s="1">
        <v>46224.917650462965</v>
      </c>
      <c r="M1824" s="1">
        <v>46224.91962439815</v>
      </c>
    </row>
    <row r="1825" spans="1:13" x14ac:dyDescent="0.35">
      <c r="A1825" t="s">
        <v>409</v>
      </c>
      <c r="B1825" t="s">
        <v>1986</v>
      </c>
      <c r="C1825" t="s">
        <v>2565</v>
      </c>
      <c r="D1825">
        <v>3.375</v>
      </c>
      <c r="E1825" s="1">
        <v>46645</v>
      </c>
      <c r="F1825" t="s">
        <v>1988</v>
      </c>
      <c r="G1825" t="s">
        <v>2565</v>
      </c>
      <c r="H1825" t="s">
        <v>2</v>
      </c>
      <c r="I1825" s="1">
        <v>46224</v>
      </c>
      <c r="J1825" t="s">
        <v>1989</v>
      </c>
      <c r="K1825" t="s">
        <v>2661</v>
      </c>
      <c r="L1825" s="1">
        <v>46224.918321759258</v>
      </c>
      <c r="M1825" s="1">
        <v>46224.91962439815</v>
      </c>
    </row>
    <row r="1826" spans="1:13" x14ac:dyDescent="0.35">
      <c r="A1826" t="s">
        <v>409</v>
      </c>
      <c r="B1826" t="s">
        <v>1986</v>
      </c>
      <c r="C1826" t="s">
        <v>2565</v>
      </c>
      <c r="D1826">
        <v>3.375</v>
      </c>
      <c r="E1826" s="1">
        <v>46645</v>
      </c>
      <c r="F1826" t="s">
        <v>1988</v>
      </c>
      <c r="G1826" t="s">
        <v>2565</v>
      </c>
      <c r="H1826" t="s">
        <v>2</v>
      </c>
      <c r="I1826" s="1">
        <v>46224</v>
      </c>
      <c r="J1826" t="s">
        <v>2064</v>
      </c>
      <c r="K1826" t="s">
        <v>4033</v>
      </c>
      <c r="L1826" s="1">
        <v>46224.917650462965</v>
      </c>
      <c r="M1826" s="1">
        <v>46224.91962439815</v>
      </c>
    </row>
    <row r="1827" spans="1:13" x14ac:dyDescent="0.35">
      <c r="A1827" t="s">
        <v>409</v>
      </c>
      <c r="B1827" t="s">
        <v>1986</v>
      </c>
      <c r="C1827" t="s">
        <v>2565</v>
      </c>
      <c r="D1827">
        <v>3.375</v>
      </c>
      <c r="E1827" s="1">
        <v>46645</v>
      </c>
      <c r="F1827" t="s">
        <v>1988</v>
      </c>
      <c r="G1827" t="s">
        <v>2565</v>
      </c>
      <c r="H1827" t="s">
        <v>2</v>
      </c>
      <c r="I1827" s="1">
        <v>46224</v>
      </c>
      <c r="J1827" t="s">
        <v>2065</v>
      </c>
      <c r="K1827" t="s">
        <v>4033</v>
      </c>
      <c r="L1827" s="1">
        <v>46224.917650462965</v>
      </c>
      <c r="M1827" s="1">
        <v>46224.91962439815</v>
      </c>
    </row>
    <row r="1828" spans="1:13" x14ac:dyDescent="0.35">
      <c r="A1828" t="s">
        <v>420</v>
      </c>
      <c r="B1828" t="s">
        <v>1986</v>
      </c>
      <c r="C1828" t="s">
        <v>2654</v>
      </c>
      <c r="D1828">
        <v>3.625</v>
      </c>
      <c r="E1828" s="1">
        <v>48121</v>
      </c>
      <c r="F1828" t="s">
        <v>1988</v>
      </c>
      <c r="G1828" t="s">
        <v>2654</v>
      </c>
      <c r="H1828" t="s">
        <v>2</v>
      </c>
      <c r="I1828" s="1">
        <v>46224</v>
      </c>
      <c r="J1828" t="s">
        <v>1989</v>
      </c>
      <c r="K1828" t="s">
        <v>2962</v>
      </c>
      <c r="L1828" s="1">
        <v>46224.918321759258</v>
      </c>
      <c r="M1828" s="1">
        <v>46224.91962439815</v>
      </c>
    </row>
    <row r="1829" spans="1:13" x14ac:dyDescent="0.35">
      <c r="A1829" t="s">
        <v>420</v>
      </c>
      <c r="B1829" t="s">
        <v>1986</v>
      </c>
      <c r="C1829" t="s">
        <v>2654</v>
      </c>
      <c r="D1829">
        <v>3.625</v>
      </c>
      <c r="E1829" s="1">
        <v>48121</v>
      </c>
      <c r="F1829" t="s">
        <v>1988</v>
      </c>
      <c r="G1829" t="s">
        <v>2654</v>
      </c>
      <c r="H1829" t="s">
        <v>2</v>
      </c>
      <c r="I1829" s="1">
        <v>46224</v>
      </c>
      <c r="J1829" t="s">
        <v>2146</v>
      </c>
      <c r="K1829" t="s">
        <v>3666</v>
      </c>
      <c r="L1829" s="1">
        <v>46224.917650462965</v>
      </c>
      <c r="M1829" s="1">
        <v>46224.91962439815</v>
      </c>
    </row>
    <row r="1830" spans="1:13" x14ac:dyDescent="0.35">
      <c r="A1830" t="s">
        <v>420</v>
      </c>
      <c r="B1830" t="s">
        <v>1986</v>
      </c>
      <c r="C1830" t="s">
        <v>2654</v>
      </c>
      <c r="D1830">
        <v>3.625</v>
      </c>
      <c r="E1830" s="1">
        <v>48121</v>
      </c>
      <c r="F1830" t="s">
        <v>1988</v>
      </c>
      <c r="G1830" t="s">
        <v>2654</v>
      </c>
      <c r="H1830" t="s">
        <v>2</v>
      </c>
      <c r="I1830" s="1">
        <v>46224</v>
      </c>
      <c r="J1830" t="s">
        <v>2065</v>
      </c>
      <c r="K1830" t="s">
        <v>2876</v>
      </c>
      <c r="L1830" s="1">
        <v>46224.917650462965</v>
      </c>
      <c r="M1830" s="1">
        <v>46224.91962439815</v>
      </c>
    </row>
    <row r="1831" spans="1:13" x14ac:dyDescent="0.35">
      <c r="A1831" t="s">
        <v>420</v>
      </c>
      <c r="B1831" t="s">
        <v>1986</v>
      </c>
      <c r="C1831" t="s">
        <v>2654</v>
      </c>
      <c r="D1831">
        <v>3.625</v>
      </c>
      <c r="E1831" s="1">
        <v>48121</v>
      </c>
      <c r="F1831" t="s">
        <v>1988</v>
      </c>
      <c r="G1831" t="s">
        <v>2654</v>
      </c>
      <c r="H1831" t="s">
        <v>2</v>
      </c>
      <c r="I1831" s="1">
        <v>46224</v>
      </c>
      <c r="J1831" t="s">
        <v>1991</v>
      </c>
      <c r="K1831" t="s">
        <v>3889</v>
      </c>
      <c r="L1831" s="1">
        <v>46224.918321759258</v>
      </c>
      <c r="M1831" s="1">
        <v>46224.91962439815</v>
      </c>
    </row>
    <row r="1832" spans="1:13" x14ac:dyDescent="0.35">
      <c r="A1832" t="s">
        <v>420</v>
      </c>
      <c r="B1832" t="s">
        <v>1986</v>
      </c>
      <c r="C1832" t="s">
        <v>2654</v>
      </c>
      <c r="D1832">
        <v>3.625</v>
      </c>
      <c r="E1832" s="1">
        <v>48121</v>
      </c>
      <c r="F1832" t="s">
        <v>1988</v>
      </c>
      <c r="G1832" t="s">
        <v>2654</v>
      </c>
      <c r="H1832" t="s">
        <v>2</v>
      </c>
      <c r="I1832" s="1">
        <v>46224</v>
      </c>
      <c r="J1832" t="s">
        <v>2108</v>
      </c>
      <c r="K1832" t="s">
        <v>3666</v>
      </c>
      <c r="L1832" s="1">
        <v>46224.917650462965</v>
      </c>
      <c r="M1832" s="1">
        <v>46224.91962439815</v>
      </c>
    </row>
    <row r="1833" spans="1:13" x14ac:dyDescent="0.35">
      <c r="A1833" t="s">
        <v>420</v>
      </c>
      <c r="B1833" t="s">
        <v>1986</v>
      </c>
      <c r="C1833" t="s">
        <v>2654</v>
      </c>
      <c r="D1833">
        <v>3.625</v>
      </c>
      <c r="E1833" s="1">
        <v>48121</v>
      </c>
      <c r="F1833" t="s">
        <v>1988</v>
      </c>
      <c r="G1833" t="s">
        <v>2654</v>
      </c>
      <c r="H1833" t="s">
        <v>2</v>
      </c>
      <c r="I1833" s="1">
        <v>46224</v>
      </c>
      <c r="J1833" t="s">
        <v>2064</v>
      </c>
      <c r="K1833" t="s">
        <v>2876</v>
      </c>
      <c r="L1833" s="1">
        <v>46224.917650462965</v>
      </c>
      <c r="M1833" s="1">
        <v>46224.91962439815</v>
      </c>
    </row>
    <row r="1834" spans="1:13" x14ac:dyDescent="0.35">
      <c r="A1834" t="s">
        <v>388</v>
      </c>
      <c r="B1834" t="s">
        <v>1986</v>
      </c>
      <c r="C1834" t="s">
        <v>2566</v>
      </c>
      <c r="D1834">
        <v>3.5</v>
      </c>
      <c r="E1834" s="1">
        <v>47391</v>
      </c>
      <c r="F1834" t="s">
        <v>1988</v>
      </c>
      <c r="G1834" t="s">
        <v>2566</v>
      </c>
      <c r="H1834" t="s">
        <v>2</v>
      </c>
      <c r="I1834" s="1">
        <v>46224</v>
      </c>
      <c r="J1834" t="s">
        <v>1989</v>
      </c>
      <c r="K1834" t="s">
        <v>2919</v>
      </c>
      <c r="L1834" s="1">
        <v>46224.918321759258</v>
      </c>
      <c r="M1834" s="1">
        <v>46224.91962439815</v>
      </c>
    </row>
    <row r="1835" spans="1:13" x14ac:dyDescent="0.35">
      <c r="A1835" t="s">
        <v>388</v>
      </c>
      <c r="B1835" t="s">
        <v>1986</v>
      </c>
      <c r="C1835" t="s">
        <v>2566</v>
      </c>
      <c r="D1835">
        <v>3.5</v>
      </c>
      <c r="E1835" s="1">
        <v>47391</v>
      </c>
      <c r="F1835" t="s">
        <v>1988</v>
      </c>
      <c r="G1835" t="s">
        <v>2566</v>
      </c>
      <c r="H1835" t="s">
        <v>2</v>
      </c>
      <c r="I1835" s="1">
        <v>46224</v>
      </c>
      <c r="J1835" t="s">
        <v>2108</v>
      </c>
      <c r="K1835" t="s">
        <v>2741</v>
      </c>
      <c r="L1835" s="1">
        <v>46224.917650462965</v>
      </c>
      <c r="M1835" s="1">
        <v>46224.91962439815</v>
      </c>
    </row>
    <row r="1836" spans="1:13" x14ac:dyDescent="0.35">
      <c r="A1836" t="s">
        <v>388</v>
      </c>
      <c r="B1836" t="s">
        <v>1986</v>
      </c>
      <c r="C1836" t="s">
        <v>2566</v>
      </c>
      <c r="D1836">
        <v>3.5</v>
      </c>
      <c r="E1836" s="1">
        <v>47391</v>
      </c>
      <c r="F1836" t="s">
        <v>1988</v>
      </c>
      <c r="G1836" t="s">
        <v>2566</v>
      </c>
      <c r="H1836" t="s">
        <v>2</v>
      </c>
      <c r="I1836" s="1">
        <v>46224</v>
      </c>
      <c r="J1836" t="s">
        <v>2064</v>
      </c>
      <c r="K1836" t="s">
        <v>2715</v>
      </c>
      <c r="L1836" s="1">
        <v>46224.917650462965</v>
      </c>
      <c r="M1836" s="1">
        <v>46224.91962439815</v>
      </c>
    </row>
    <row r="1837" spans="1:13" x14ac:dyDescent="0.35">
      <c r="A1837" t="s">
        <v>388</v>
      </c>
      <c r="B1837" t="s">
        <v>1986</v>
      </c>
      <c r="C1837" t="s">
        <v>2566</v>
      </c>
      <c r="D1837">
        <v>3.5</v>
      </c>
      <c r="E1837" s="1">
        <v>47391</v>
      </c>
      <c r="F1837" t="s">
        <v>1988</v>
      </c>
      <c r="G1837" t="s">
        <v>2566</v>
      </c>
      <c r="H1837" t="s">
        <v>2</v>
      </c>
      <c r="I1837" s="1">
        <v>46224</v>
      </c>
      <c r="J1837" t="s">
        <v>1991</v>
      </c>
      <c r="K1837" t="s">
        <v>2869</v>
      </c>
      <c r="L1837" s="1">
        <v>46224.918321759258</v>
      </c>
      <c r="M1837" s="1">
        <v>46224.91962439815</v>
      </c>
    </row>
    <row r="1838" spans="1:13" x14ac:dyDescent="0.35">
      <c r="A1838" t="s">
        <v>388</v>
      </c>
      <c r="B1838" t="s">
        <v>1986</v>
      </c>
      <c r="C1838" t="s">
        <v>2566</v>
      </c>
      <c r="D1838">
        <v>3.5</v>
      </c>
      <c r="E1838" s="1">
        <v>47391</v>
      </c>
      <c r="F1838" t="s">
        <v>1988</v>
      </c>
      <c r="G1838" t="s">
        <v>2566</v>
      </c>
      <c r="H1838" t="s">
        <v>2</v>
      </c>
      <c r="I1838" s="1">
        <v>46224</v>
      </c>
      <c r="J1838" t="s">
        <v>2146</v>
      </c>
      <c r="K1838" t="s">
        <v>2741</v>
      </c>
      <c r="L1838" s="1">
        <v>46224.917650462965</v>
      </c>
      <c r="M1838" s="1">
        <v>46224.91962439815</v>
      </c>
    </row>
    <row r="1839" spans="1:13" x14ac:dyDescent="0.35">
      <c r="A1839" t="s">
        <v>388</v>
      </c>
      <c r="B1839" t="s">
        <v>1986</v>
      </c>
      <c r="C1839" t="s">
        <v>2566</v>
      </c>
      <c r="D1839">
        <v>3.5</v>
      </c>
      <c r="E1839" s="1">
        <v>47391</v>
      </c>
      <c r="F1839" t="s">
        <v>1988</v>
      </c>
      <c r="G1839" t="s">
        <v>2566</v>
      </c>
      <c r="H1839" t="s">
        <v>2</v>
      </c>
      <c r="I1839" s="1">
        <v>46224</v>
      </c>
      <c r="J1839" t="s">
        <v>2065</v>
      </c>
      <c r="K1839" t="s">
        <v>2715</v>
      </c>
      <c r="L1839" s="1">
        <v>46224.917650462965</v>
      </c>
      <c r="M1839" s="1">
        <v>46224.91962439815</v>
      </c>
    </row>
    <row r="1840" spans="1:13" x14ac:dyDescent="0.35">
      <c r="A1840" t="s">
        <v>389</v>
      </c>
      <c r="B1840" t="s">
        <v>1986</v>
      </c>
      <c r="C1840" t="s">
        <v>2575</v>
      </c>
      <c r="D1840">
        <v>3.5</v>
      </c>
      <c r="E1840" s="1">
        <v>46295</v>
      </c>
      <c r="F1840" t="s">
        <v>1988</v>
      </c>
      <c r="G1840" t="s">
        <v>2575</v>
      </c>
      <c r="H1840" t="s">
        <v>2</v>
      </c>
      <c r="I1840" s="1">
        <v>46224</v>
      </c>
      <c r="J1840" t="s">
        <v>1989</v>
      </c>
      <c r="K1840" t="s">
        <v>3741</v>
      </c>
      <c r="L1840" s="1">
        <v>46224.918321759258</v>
      </c>
      <c r="M1840" s="1">
        <v>46224.91962439815</v>
      </c>
    </row>
    <row r="1841" spans="1:13" x14ac:dyDescent="0.35">
      <c r="A1841" t="s">
        <v>389</v>
      </c>
      <c r="B1841" t="s">
        <v>1986</v>
      </c>
      <c r="C1841" t="s">
        <v>2575</v>
      </c>
      <c r="D1841">
        <v>3.5</v>
      </c>
      <c r="E1841" s="1">
        <v>46295</v>
      </c>
      <c r="F1841" t="s">
        <v>1988</v>
      </c>
      <c r="G1841" t="s">
        <v>2575</v>
      </c>
      <c r="H1841" t="s">
        <v>2</v>
      </c>
      <c r="I1841" s="1">
        <v>46224</v>
      </c>
      <c r="J1841" t="s">
        <v>1991</v>
      </c>
      <c r="K1841" t="s">
        <v>2804</v>
      </c>
      <c r="L1841" s="1">
        <v>46224.918321759258</v>
      </c>
      <c r="M1841" s="1">
        <v>46224.91962439815</v>
      </c>
    </row>
    <row r="1842" spans="1:13" x14ac:dyDescent="0.35">
      <c r="A1842" t="s">
        <v>389</v>
      </c>
      <c r="B1842" t="s">
        <v>1986</v>
      </c>
      <c r="C1842" t="s">
        <v>2575</v>
      </c>
      <c r="D1842">
        <v>3.5</v>
      </c>
      <c r="E1842" s="1">
        <v>46295</v>
      </c>
      <c r="F1842" t="s">
        <v>1988</v>
      </c>
      <c r="G1842" t="s">
        <v>2575</v>
      </c>
      <c r="H1842" t="s">
        <v>2</v>
      </c>
      <c r="I1842" s="1">
        <v>46224</v>
      </c>
      <c r="J1842" t="s">
        <v>2065</v>
      </c>
      <c r="K1842" t="s">
        <v>3871</v>
      </c>
      <c r="L1842" s="1">
        <v>46224.917650462965</v>
      </c>
      <c r="M1842" s="1">
        <v>46224.91962439815</v>
      </c>
    </row>
    <row r="1843" spans="1:13" x14ac:dyDescent="0.35">
      <c r="A1843" t="s">
        <v>389</v>
      </c>
      <c r="B1843" t="s">
        <v>1986</v>
      </c>
      <c r="C1843" t="s">
        <v>2575</v>
      </c>
      <c r="D1843">
        <v>3.5</v>
      </c>
      <c r="E1843" s="1">
        <v>46295</v>
      </c>
      <c r="F1843" t="s">
        <v>1988</v>
      </c>
      <c r="G1843" t="s">
        <v>2575</v>
      </c>
      <c r="H1843" t="s">
        <v>2</v>
      </c>
      <c r="I1843" s="1">
        <v>46224</v>
      </c>
      <c r="J1843" t="s">
        <v>2146</v>
      </c>
      <c r="K1843" t="s">
        <v>4034</v>
      </c>
      <c r="L1843" s="1">
        <v>46224.917650462965</v>
      </c>
      <c r="M1843" s="1">
        <v>46224.91962439815</v>
      </c>
    </row>
    <row r="1844" spans="1:13" x14ac:dyDescent="0.35">
      <c r="A1844" t="s">
        <v>389</v>
      </c>
      <c r="B1844" t="s">
        <v>1986</v>
      </c>
      <c r="C1844" t="s">
        <v>2575</v>
      </c>
      <c r="D1844">
        <v>3.5</v>
      </c>
      <c r="E1844" s="1">
        <v>46295</v>
      </c>
      <c r="F1844" t="s">
        <v>1988</v>
      </c>
      <c r="G1844" t="s">
        <v>2575</v>
      </c>
      <c r="H1844" t="s">
        <v>2</v>
      </c>
      <c r="I1844" s="1">
        <v>46224</v>
      </c>
      <c r="J1844" t="s">
        <v>2064</v>
      </c>
      <c r="K1844" t="s">
        <v>3871</v>
      </c>
      <c r="L1844" s="1">
        <v>46224.917650462965</v>
      </c>
      <c r="M1844" s="1">
        <v>46224.91962439815</v>
      </c>
    </row>
    <row r="1845" spans="1:13" x14ac:dyDescent="0.35">
      <c r="A1845" t="s">
        <v>389</v>
      </c>
      <c r="B1845" t="s">
        <v>1986</v>
      </c>
      <c r="C1845" t="s">
        <v>2575</v>
      </c>
      <c r="D1845">
        <v>3.5</v>
      </c>
      <c r="E1845" s="1">
        <v>46295</v>
      </c>
      <c r="F1845" t="s">
        <v>1988</v>
      </c>
      <c r="G1845" t="s">
        <v>2575</v>
      </c>
      <c r="H1845" t="s">
        <v>2</v>
      </c>
      <c r="I1845" s="1">
        <v>46224</v>
      </c>
      <c r="J1845" t="s">
        <v>2108</v>
      </c>
      <c r="K1845" t="s">
        <v>4034</v>
      </c>
      <c r="L1845" s="1">
        <v>46224.917650462965</v>
      </c>
      <c r="M1845" s="1">
        <v>46224.91962439815</v>
      </c>
    </row>
    <row r="1846" spans="1:13" x14ac:dyDescent="0.35">
      <c r="A1846" t="s">
        <v>390</v>
      </c>
      <c r="B1846" t="s">
        <v>1986</v>
      </c>
      <c r="C1846" t="s">
        <v>2576</v>
      </c>
      <c r="D1846">
        <v>3.875</v>
      </c>
      <c r="E1846" s="1">
        <v>46675</v>
      </c>
      <c r="F1846" t="s">
        <v>1988</v>
      </c>
      <c r="G1846" t="s">
        <v>2576</v>
      </c>
      <c r="H1846" t="s">
        <v>2</v>
      </c>
      <c r="I1846" s="1">
        <v>46224</v>
      </c>
      <c r="J1846" t="s">
        <v>1991</v>
      </c>
      <c r="K1846" t="s">
        <v>3012</v>
      </c>
      <c r="L1846" s="1">
        <v>46224.918321759258</v>
      </c>
      <c r="M1846" s="1">
        <v>46224.91962439815</v>
      </c>
    </row>
    <row r="1847" spans="1:13" x14ac:dyDescent="0.35">
      <c r="A1847" t="s">
        <v>390</v>
      </c>
      <c r="B1847" t="s">
        <v>1986</v>
      </c>
      <c r="C1847" t="s">
        <v>2576</v>
      </c>
      <c r="D1847">
        <v>3.875</v>
      </c>
      <c r="E1847" s="1">
        <v>46675</v>
      </c>
      <c r="F1847" t="s">
        <v>1988</v>
      </c>
      <c r="G1847" t="s">
        <v>2576</v>
      </c>
      <c r="H1847" t="s">
        <v>2</v>
      </c>
      <c r="I1847" s="1">
        <v>46224</v>
      </c>
      <c r="J1847" t="s">
        <v>2064</v>
      </c>
      <c r="K1847" t="s">
        <v>3667</v>
      </c>
      <c r="L1847" s="1">
        <v>46224.917650462965</v>
      </c>
      <c r="M1847" s="1">
        <v>46224.91962439815</v>
      </c>
    </row>
    <row r="1848" spans="1:13" x14ac:dyDescent="0.35">
      <c r="A1848" t="s">
        <v>390</v>
      </c>
      <c r="B1848" t="s">
        <v>1986</v>
      </c>
      <c r="C1848" t="s">
        <v>2576</v>
      </c>
      <c r="D1848">
        <v>3.875</v>
      </c>
      <c r="E1848" s="1">
        <v>46675</v>
      </c>
      <c r="F1848" t="s">
        <v>1988</v>
      </c>
      <c r="G1848" t="s">
        <v>2576</v>
      </c>
      <c r="H1848" t="s">
        <v>2</v>
      </c>
      <c r="I1848" s="1">
        <v>46224</v>
      </c>
      <c r="J1848" t="s">
        <v>2108</v>
      </c>
      <c r="K1848" t="s">
        <v>2786</v>
      </c>
      <c r="L1848" s="1">
        <v>46224.917650462965</v>
      </c>
      <c r="M1848" s="1">
        <v>46224.91962439815</v>
      </c>
    </row>
    <row r="1849" spans="1:13" x14ac:dyDescent="0.35">
      <c r="A1849" t="s">
        <v>390</v>
      </c>
      <c r="B1849" t="s">
        <v>1986</v>
      </c>
      <c r="C1849" t="s">
        <v>2576</v>
      </c>
      <c r="D1849">
        <v>3.875</v>
      </c>
      <c r="E1849" s="1">
        <v>46675</v>
      </c>
      <c r="F1849" t="s">
        <v>1988</v>
      </c>
      <c r="G1849" t="s">
        <v>2576</v>
      </c>
      <c r="H1849" t="s">
        <v>2</v>
      </c>
      <c r="I1849" s="1">
        <v>46224</v>
      </c>
      <c r="J1849" t="s">
        <v>2146</v>
      </c>
      <c r="K1849" t="s">
        <v>2786</v>
      </c>
      <c r="L1849" s="1">
        <v>46224.917650462965</v>
      </c>
      <c r="M1849" s="1">
        <v>46224.91962439815</v>
      </c>
    </row>
    <row r="1850" spans="1:13" x14ac:dyDescent="0.35">
      <c r="A1850" t="s">
        <v>390</v>
      </c>
      <c r="B1850" t="s">
        <v>1986</v>
      </c>
      <c r="C1850" t="s">
        <v>2576</v>
      </c>
      <c r="D1850">
        <v>3.875</v>
      </c>
      <c r="E1850" s="1">
        <v>46675</v>
      </c>
      <c r="F1850" t="s">
        <v>1988</v>
      </c>
      <c r="G1850" t="s">
        <v>2576</v>
      </c>
      <c r="H1850" t="s">
        <v>2</v>
      </c>
      <c r="I1850" s="1">
        <v>46224</v>
      </c>
      <c r="J1850" t="s">
        <v>2065</v>
      </c>
      <c r="K1850" t="s">
        <v>3667</v>
      </c>
      <c r="L1850" s="1">
        <v>46224.917650462965</v>
      </c>
      <c r="M1850" s="1">
        <v>46224.91962439815</v>
      </c>
    </row>
    <row r="1851" spans="1:13" x14ac:dyDescent="0.35">
      <c r="A1851" t="s">
        <v>390</v>
      </c>
      <c r="B1851" t="s">
        <v>1986</v>
      </c>
      <c r="C1851" t="s">
        <v>2576</v>
      </c>
      <c r="D1851">
        <v>3.875</v>
      </c>
      <c r="E1851" s="1">
        <v>46675</v>
      </c>
      <c r="F1851" t="s">
        <v>1988</v>
      </c>
      <c r="G1851" t="s">
        <v>2576</v>
      </c>
      <c r="H1851" t="s">
        <v>2</v>
      </c>
      <c r="I1851" s="1">
        <v>46224</v>
      </c>
      <c r="J1851" t="s">
        <v>1989</v>
      </c>
      <c r="K1851" t="s">
        <v>3895</v>
      </c>
      <c r="L1851" s="1">
        <v>46224.918321759258</v>
      </c>
      <c r="M1851" s="1">
        <v>46224.91962439815</v>
      </c>
    </row>
    <row r="1852" spans="1:13" x14ac:dyDescent="0.35">
      <c r="A1852" t="s">
        <v>435</v>
      </c>
      <c r="B1852" t="s">
        <v>1986</v>
      </c>
      <c r="C1852" t="s">
        <v>2577</v>
      </c>
      <c r="D1852">
        <v>4.125</v>
      </c>
      <c r="E1852" s="1">
        <v>47422</v>
      </c>
      <c r="F1852" t="s">
        <v>1988</v>
      </c>
      <c r="G1852" t="s">
        <v>2577</v>
      </c>
      <c r="H1852" t="s">
        <v>2</v>
      </c>
      <c r="I1852" s="1">
        <v>46224</v>
      </c>
      <c r="J1852" t="s">
        <v>2146</v>
      </c>
      <c r="K1852" t="s">
        <v>3668</v>
      </c>
      <c r="L1852" s="1">
        <v>46224.917650462965</v>
      </c>
      <c r="M1852" s="1">
        <v>46224.91962439815</v>
      </c>
    </row>
    <row r="1853" spans="1:13" x14ac:dyDescent="0.35">
      <c r="A1853" t="s">
        <v>435</v>
      </c>
      <c r="B1853" t="s">
        <v>1986</v>
      </c>
      <c r="C1853" t="s">
        <v>2577</v>
      </c>
      <c r="D1853">
        <v>4.125</v>
      </c>
      <c r="E1853" s="1">
        <v>47422</v>
      </c>
      <c r="F1853" t="s">
        <v>1988</v>
      </c>
      <c r="G1853" t="s">
        <v>2577</v>
      </c>
      <c r="H1853" t="s">
        <v>2</v>
      </c>
      <c r="I1853" s="1">
        <v>46224</v>
      </c>
      <c r="J1853" t="s">
        <v>2108</v>
      </c>
      <c r="K1853" t="s">
        <v>3668</v>
      </c>
      <c r="L1853" s="1">
        <v>46224.917650462965</v>
      </c>
      <c r="M1853" s="1">
        <v>46224.91962439815</v>
      </c>
    </row>
    <row r="1854" spans="1:13" x14ac:dyDescent="0.35">
      <c r="A1854" t="s">
        <v>435</v>
      </c>
      <c r="B1854" t="s">
        <v>1986</v>
      </c>
      <c r="C1854" t="s">
        <v>2577</v>
      </c>
      <c r="D1854">
        <v>4.125</v>
      </c>
      <c r="E1854" s="1">
        <v>47422</v>
      </c>
      <c r="F1854" t="s">
        <v>1988</v>
      </c>
      <c r="G1854" t="s">
        <v>2577</v>
      </c>
      <c r="H1854" t="s">
        <v>2</v>
      </c>
      <c r="I1854" s="1">
        <v>46224</v>
      </c>
      <c r="J1854" t="s">
        <v>1991</v>
      </c>
      <c r="K1854" t="s">
        <v>2785</v>
      </c>
      <c r="L1854" s="1">
        <v>46224.918321759258</v>
      </c>
      <c r="M1854" s="1">
        <v>46224.91962439815</v>
      </c>
    </row>
    <row r="1855" spans="1:13" x14ac:dyDescent="0.35">
      <c r="A1855" t="s">
        <v>435</v>
      </c>
      <c r="B1855" t="s">
        <v>1986</v>
      </c>
      <c r="C1855" t="s">
        <v>2577</v>
      </c>
      <c r="D1855">
        <v>4.125</v>
      </c>
      <c r="E1855" s="1">
        <v>47422</v>
      </c>
      <c r="F1855" t="s">
        <v>1988</v>
      </c>
      <c r="G1855" t="s">
        <v>2577</v>
      </c>
      <c r="H1855" t="s">
        <v>2</v>
      </c>
      <c r="I1855" s="1">
        <v>46224</v>
      </c>
      <c r="J1855" t="s">
        <v>2065</v>
      </c>
      <c r="K1855" t="s">
        <v>2664</v>
      </c>
      <c r="L1855" s="1">
        <v>46224.917650462965</v>
      </c>
      <c r="M1855" s="1">
        <v>46224.91962439815</v>
      </c>
    </row>
    <row r="1856" spans="1:13" x14ac:dyDescent="0.35">
      <c r="A1856" t="s">
        <v>435</v>
      </c>
      <c r="B1856" t="s">
        <v>1986</v>
      </c>
      <c r="C1856" t="s">
        <v>2577</v>
      </c>
      <c r="D1856">
        <v>4.125</v>
      </c>
      <c r="E1856" s="1">
        <v>47422</v>
      </c>
      <c r="F1856" t="s">
        <v>1988</v>
      </c>
      <c r="G1856" t="s">
        <v>2577</v>
      </c>
      <c r="H1856" t="s">
        <v>2</v>
      </c>
      <c r="I1856" s="1">
        <v>46224</v>
      </c>
      <c r="J1856" t="s">
        <v>1989</v>
      </c>
      <c r="K1856" t="s">
        <v>3957</v>
      </c>
      <c r="L1856" s="1">
        <v>46224.918321759258</v>
      </c>
      <c r="M1856" s="1">
        <v>46224.91962439815</v>
      </c>
    </row>
    <row r="1857" spans="1:13" x14ac:dyDescent="0.35">
      <c r="A1857" t="s">
        <v>435</v>
      </c>
      <c r="B1857" t="s">
        <v>1986</v>
      </c>
      <c r="C1857" t="s">
        <v>2577</v>
      </c>
      <c r="D1857">
        <v>4.125</v>
      </c>
      <c r="E1857" s="1">
        <v>47422</v>
      </c>
      <c r="F1857" t="s">
        <v>1988</v>
      </c>
      <c r="G1857" t="s">
        <v>2577</v>
      </c>
      <c r="H1857" t="s">
        <v>2</v>
      </c>
      <c r="I1857" s="1">
        <v>46224</v>
      </c>
      <c r="J1857" t="s">
        <v>2064</v>
      </c>
      <c r="K1857" t="s">
        <v>2664</v>
      </c>
      <c r="L1857" s="1">
        <v>46224.917650462965</v>
      </c>
      <c r="M1857" s="1">
        <v>46224.91962439815</v>
      </c>
    </row>
    <row r="1858" spans="1:13" x14ac:dyDescent="0.35">
      <c r="A1858" t="s">
        <v>391</v>
      </c>
      <c r="B1858" t="s">
        <v>1986</v>
      </c>
      <c r="C1858" t="s">
        <v>2578</v>
      </c>
      <c r="D1858">
        <v>4.125</v>
      </c>
      <c r="E1858" s="1">
        <v>46326</v>
      </c>
      <c r="F1858" t="s">
        <v>1988</v>
      </c>
      <c r="G1858" t="s">
        <v>2578</v>
      </c>
      <c r="H1858" t="s">
        <v>2</v>
      </c>
      <c r="I1858" s="1">
        <v>46224</v>
      </c>
      <c r="J1858" t="s">
        <v>1991</v>
      </c>
      <c r="K1858" t="s">
        <v>3782</v>
      </c>
      <c r="L1858" s="1">
        <v>46224.918321759258</v>
      </c>
      <c r="M1858" s="1">
        <v>46224.91962439815</v>
      </c>
    </row>
    <row r="1859" spans="1:13" x14ac:dyDescent="0.35">
      <c r="A1859" t="s">
        <v>391</v>
      </c>
      <c r="B1859" t="s">
        <v>1986</v>
      </c>
      <c r="C1859" t="s">
        <v>2578</v>
      </c>
      <c r="D1859">
        <v>4.125</v>
      </c>
      <c r="E1859" s="1">
        <v>46326</v>
      </c>
      <c r="F1859" t="s">
        <v>1988</v>
      </c>
      <c r="G1859" t="s">
        <v>2578</v>
      </c>
      <c r="H1859" t="s">
        <v>2</v>
      </c>
      <c r="I1859" s="1">
        <v>46224</v>
      </c>
      <c r="J1859" t="s">
        <v>2146</v>
      </c>
      <c r="K1859" t="s">
        <v>3783</v>
      </c>
      <c r="L1859" s="1">
        <v>46224.917650462965</v>
      </c>
      <c r="M1859" s="1">
        <v>46224.91962439815</v>
      </c>
    </row>
    <row r="1860" spans="1:13" x14ac:dyDescent="0.35">
      <c r="A1860" t="s">
        <v>391</v>
      </c>
      <c r="B1860" t="s">
        <v>1986</v>
      </c>
      <c r="C1860" t="s">
        <v>2578</v>
      </c>
      <c r="D1860">
        <v>4.125</v>
      </c>
      <c r="E1860" s="1">
        <v>46326</v>
      </c>
      <c r="F1860" t="s">
        <v>1988</v>
      </c>
      <c r="G1860" t="s">
        <v>2578</v>
      </c>
      <c r="H1860" t="s">
        <v>2</v>
      </c>
      <c r="I1860" s="1">
        <v>46224</v>
      </c>
      <c r="J1860" t="s">
        <v>2065</v>
      </c>
      <c r="K1860" t="s">
        <v>3742</v>
      </c>
      <c r="L1860" s="1">
        <v>46224.917650462965</v>
      </c>
      <c r="M1860" s="1">
        <v>46224.91962439815</v>
      </c>
    </row>
    <row r="1861" spans="1:13" x14ac:dyDescent="0.35">
      <c r="A1861" t="s">
        <v>391</v>
      </c>
      <c r="B1861" t="s">
        <v>1986</v>
      </c>
      <c r="C1861" t="s">
        <v>2578</v>
      </c>
      <c r="D1861">
        <v>4.125</v>
      </c>
      <c r="E1861" s="1">
        <v>46326</v>
      </c>
      <c r="F1861" t="s">
        <v>1988</v>
      </c>
      <c r="G1861" t="s">
        <v>2578</v>
      </c>
      <c r="H1861" t="s">
        <v>2</v>
      </c>
      <c r="I1861" s="1">
        <v>46224</v>
      </c>
      <c r="J1861" t="s">
        <v>2108</v>
      </c>
      <c r="K1861" t="s">
        <v>3783</v>
      </c>
      <c r="L1861" s="1">
        <v>46224.917650462965</v>
      </c>
      <c r="M1861" s="1">
        <v>46224.91962439815</v>
      </c>
    </row>
    <row r="1862" spans="1:13" x14ac:dyDescent="0.35">
      <c r="A1862" t="s">
        <v>391</v>
      </c>
      <c r="B1862" t="s">
        <v>1986</v>
      </c>
      <c r="C1862" t="s">
        <v>2578</v>
      </c>
      <c r="D1862">
        <v>4.125</v>
      </c>
      <c r="E1862" s="1">
        <v>46326</v>
      </c>
      <c r="F1862" t="s">
        <v>1988</v>
      </c>
      <c r="G1862" t="s">
        <v>2578</v>
      </c>
      <c r="H1862" t="s">
        <v>2</v>
      </c>
      <c r="I1862" s="1">
        <v>46224</v>
      </c>
      <c r="J1862" t="s">
        <v>2064</v>
      </c>
      <c r="K1862" t="s">
        <v>3742</v>
      </c>
      <c r="L1862" s="1">
        <v>46224.917650462965</v>
      </c>
      <c r="M1862" s="1">
        <v>46224.91962439815</v>
      </c>
    </row>
    <row r="1863" spans="1:13" x14ac:dyDescent="0.35">
      <c r="A1863" t="s">
        <v>391</v>
      </c>
      <c r="B1863" t="s">
        <v>1986</v>
      </c>
      <c r="C1863" t="s">
        <v>2578</v>
      </c>
      <c r="D1863">
        <v>4.125</v>
      </c>
      <c r="E1863" s="1">
        <v>46326</v>
      </c>
      <c r="F1863" t="s">
        <v>1988</v>
      </c>
      <c r="G1863" t="s">
        <v>2578</v>
      </c>
      <c r="H1863" t="s">
        <v>2</v>
      </c>
      <c r="I1863" s="1">
        <v>46224</v>
      </c>
      <c r="J1863" t="s">
        <v>1989</v>
      </c>
      <c r="K1863" t="s">
        <v>3673</v>
      </c>
      <c r="L1863" s="1">
        <v>46224.918321759258</v>
      </c>
      <c r="M1863" s="1">
        <v>46224.91962439815</v>
      </c>
    </row>
    <row r="1864" spans="1:13" x14ac:dyDescent="0.35">
      <c r="A1864" t="s">
        <v>421</v>
      </c>
      <c r="B1864" t="s">
        <v>1986</v>
      </c>
      <c r="C1864" t="s">
        <v>2579</v>
      </c>
      <c r="D1864">
        <v>4.125</v>
      </c>
      <c r="E1864" s="1">
        <v>48152</v>
      </c>
      <c r="F1864" t="s">
        <v>1988</v>
      </c>
      <c r="G1864" t="s">
        <v>2579</v>
      </c>
      <c r="H1864" t="s">
        <v>2</v>
      </c>
      <c r="I1864" s="1">
        <v>46224</v>
      </c>
      <c r="J1864" t="s">
        <v>2064</v>
      </c>
      <c r="K1864" t="s">
        <v>2704</v>
      </c>
      <c r="L1864" s="1">
        <v>46224.917650462965</v>
      </c>
      <c r="M1864" s="1">
        <v>46224.91962439815</v>
      </c>
    </row>
    <row r="1865" spans="1:13" x14ac:dyDescent="0.35">
      <c r="A1865" t="s">
        <v>421</v>
      </c>
      <c r="B1865" t="s">
        <v>1986</v>
      </c>
      <c r="C1865" t="s">
        <v>2579</v>
      </c>
      <c r="D1865">
        <v>4.125</v>
      </c>
      <c r="E1865" s="1">
        <v>48152</v>
      </c>
      <c r="F1865" t="s">
        <v>1988</v>
      </c>
      <c r="G1865" t="s">
        <v>2579</v>
      </c>
      <c r="H1865" t="s">
        <v>2</v>
      </c>
      <c r="I1865" s="1">
        <v>46224</v>
      </c>
      <c r="J1865" t="s">
        <v>1991</v>
      </c>
      <c r="K1865" t="s">
        <v>2571</v>
      </c>
      <c r="L1865" s="1">
        <v>46224.918321759258</v>
      </c>
      <c r="M1865" s="1">
        <v>46224.91962439815</v>
      </c>
    </row>
    <row r="1866" spans="1:13" x14ac:dyDescent="0.35">
      <c r="A1866" t="s">
        <v>421</v>
      </c>
      <c r="B1866" t="s">
        <v>1986</v>
      </c>
      <c r="C1866" t="s">
        <v>2579</v>
      </c>
      <c r="D1866">
        <v>4.125</v>
      </c>
      <c r="E1866" s="1">
        <v>48152</v>
      </c>
      <c r="F1866" t="s">
        <v>1988</v>
      </c>
      <c r="G1866" t="s">
        <v>2579</v>
      </c>
      <c r="H1866" t="s">
        <v>2</v>
      </c>
      <c r="I1866" s="1">
        <v>46224</v>
      </c>
      <c r="J1866" t="s">
        <v>2065</v>
      </c>
      <c r="K1866" t="s">
        <v>2704</v>
      </c>
      <c r="L1866" s="1">
        <v>46224.917650462965</v>
      </c>
      <c r="M1866" s="1">
        <v>46224.91962439815</v>
      </c>
    </row>
    <row r="1867" spans="1:13" x14ac:dyDescent="0.35">
      <c r="A1867" t="s">
        <v>421</v>
      </c>
      <c r="B1867" t="s">
        <v>1986</v>
      </c>
      <c r="C1867" t="s">
        <v>2579</v>
      </c>
      <c r="D1867">
        <v>4.125</v>
      </c>
      <c r="E1867" s="1">
        <v>48152</v>
      </c>
      <c r="F1867" t="s">
        <v>1988</v>
      </c>
      <c r="G1867" t="s">
        <v>2579</v>
      </c>
      <c r="H1867" t="s">
        <v>2</v>
      </c>
      <c r="I1867" s="1">
        <v>46224</v>
      </c>
      <c r="J1867" t="s">
        <v>2108</v>
      </c>
      <c r="K1867" t="s">
        <v>3603</v>
      </c>
      <c r="L1867" s="1">
        <v>46224.917650462965</v>
      </c>
      <c r="M1867" s="1">
        <v>46224.91962439815</v>
      </c>
    </row>
    <row r="1868" spans="1:13" x14ac:dyDescent="0.35">
      <c r="A1868" t="s">
        <v>421</v>
      </c>
      <c r="B1868" t="s">
        <v>1986</v>
      </c>
      <c r="C1868" t="s">
        <v>2579</v>
      </c>
      <c r="D1868">
        <v>4.125</v>
      </c>
      <c r="E1868" s="1">
        <v>48152</v>
      </c>
      <c r="F1868" t="s">
        <v>1988</v>
      </c>
      <c r="G1868" t="s">
        <v>2579</v>
      </c>
      <c r="H1868" t="s">
        <v>2</v>
      </c>
      <c r="I1868" s="1">
        <v>46224</v>
      </c>
      <c r="J1868" t="s">
        <v>1989</v>
      </c>
      <c r="K1868" t="s">
        <v>2610</v>
      </c>
      <c r="L1868" s="1">
        <v>46224.918321759258</v>
      </c>
      <c r="M1868" s="1">
        <v>46224.91962439815</v>
      </c>
    </row>
    <row r="1869" spans="1:13" x14ac:dyDescent="0.35">
      <c r="A1869" t="s">
        <v>421</v>
      </c>
      <c r="B1869" t="s">
        <v>1986</v>
      </c>
      <c r="C1869" t="s">
        <v>2579</v>
      </c>
      <c r="D1869">
        <v>4.125</v>
      </c>
      <c r="E1869" s="1">
        <v>48152</v>
      </c>
      <c r="F1869" t="s">
        <v>1988</v>
      </c>
      <c r="G1869" t="s">
        <v>2579</v>
      </c>
      <c r="H1869" t="s">
        <v>2</v>
      </c>
      <c r="I1869" s="1">
        <v>46224</v>
      </c>
      <c r="J1869" t="s">
        <v>2146</v>
      </c>
      <c r="K1869" t="s">
        <v>3603</v>
      </c>
      <c r="L1869" s="1">
        <v>46224.917650462965</v>
      </c>
      <c r="M1869" s="1">
        <v>46224.91962439815</v>
      </c>
    </row>
    <row r="1870" spans="1:13" x14ac:dyDescent="0.35">
      <c r="A1870" t="s">
        <v>425</v>
      </c>
      <c r="B1870" t="s">
        <v>1986</v>
      </c>
      <c r="C1870" t="s">
        <v>2580</v>
      </c>
      <c r="D1870">
        <v>1.625</v>
      </c>
      <c r="E1870" s="1">
        <v>47406</v>
      </c>
      <c r="F1870" t="s">
        <v>2014</v>
      </c>
      <c r="G1870" t="s">
        <v>2580</v>
      </c>
      <c r="H1870" t="s">
        <v>2</v>
      </c>
      <c r="I1870" s="1">
        <v>46224</v>
      </c>
      <c r="J1870" t="s">
        <v>2146</v>
      </c>
      <c r="K1870" t="s">
        <v>3784</v>
      </c>
      <c r="L1870" s="1">
        <v>46224.917650462965</v>
      </c>
      <c r="M1870" s="1">
        <v>46224.91962439815</v>
      </c>
    </row>
    <row r="1871" spans="1:13" x14ac:dyDescent="0.35">
      <c r="A1871" t="s">
        <v>425</v>
      </c>
      <c r="B1871" t="s">
        <v>1986</v>
      </c>
      <c r="C1871" t="s">
        <v>2580</v>
      </c>
      <c r="D1871">
        <v>1.625</v>
      </c>
      <c r="E1871" s="1">
        <v>47406</v>
      </c>
      <c r="F1871" t="s">
        <v>2014</v>
      </c>
      <c r="G1871" t="s">
        <v>2580</v>
      </c>
      <c r="H1871" t="s">
        <v>2</v>
      </c>
      <c r="I1871" s="1">
        <v>46224</v>
      </c>
      <c r="J1871" t="s">
        <v>2108</v>
      </c>
      <c r="K1871" t="s">
        <v>3784</v>
      </c>
      <c r="L1871" s="1">
        <v>46224.917650462965</v>
      </c>
      <c r="M1871" s="1">
        <v>46224.91962439815</v>
      </c>
    </row>
    <row r="1872" spans="1:13" x14ac:dyDescent="0.35">
      <c r="A1872" t="s">
        <v>425</v>
      </c>
      <c r="B1872" t="s">
        <v>1986</v>
      </c>
      <c r="C1872" t="s">
        <v>2580</v>
      </c>
      <c r="D1872">
        <v>1.625</v>
      </c>
      <c r="E1872" s="1">
        <v>47406</v>
      </c>
      <c r="F1872" t="s">
        <v>2014</v>
      </c>
      <c r="G1872" t="s">
        <v>2580</v>
      </c>
      <c r="H1872" t="s">
        <v>2</v>
      </c>
      <c r="I1872" s="1">
        <v>46224</v>
      </c>
      <c r="J1872" t="s">
        <v>1991</v>
      </c>
      <c r="K1872" t="s">
        <v>3958</v>
      </c>
      <c r="L1872" s="1">
        <v>46224.918321759258</v>
      </c>
      <c r="M1872" s="1">
        <v>46224.91962439815</v>
      </c>
    </row>
    <row r="1873" spans="1:13" x14ac:dyDescent="0.35">
      <c r="A1873" t="s">
        <v>425</v>
      </c>
      <c r="B1873" t="s">
        <v>1986</v>
      </c>
      <c r="C1873" t="s">
        <v>2580</v>
      </c>
      <c r="D1873">
        <v>1.625</v>
      </c>
      <c r="E1873" s="1">
        <v>47406</v>
      </c>
      <c r="F1873" t="s">
        <v>2014</v>
      </c>
      <c r="G1873" t="s">
        <v>2580</v>
      </c>
      <c r="H1873" t="s">
        <v>2</v>
      </c>
      <c r="I1873" s="1">
        <v>46224</v>
      </c>
      <c r="J1873" t="s">
        <v>2064</v>
      </c>
      <c r="K1873" t="s">
        <v>3890</v>
      </c>
      <c r="L1873" s="1">
        <v>46224.917650462965</v>
      </c>
      <c r="M1873" s="1">
        <v>46224.91962439815</v>
      </c>
    </row>
    <row r="1874" spans="1:13" x14ac:dyDescent="0.35">
      <c r="A1874" t="s">
        <v>425</v>
      </c>
      <c r="B1874" t="s">
        <v>1986</v>
      </c>
      <c r="C1874" t="s">
        <v>2580</v>
      </c>
      <c r="D1874">
        <v>1.625</v>
      </c>
      <c r="E1874" s="1">
        <v>47406</v>
      </c>
      <c r="F1874" t="s">
        <v>2014</v>
      </c>
      <c r="G1874" t="s">
        <v>2580</v>
      </c>
      <c r="H1874" t="s">
        <v>2</v>
      </c>
      <c r="I1874" s="1">
        <v>46224</v>
      </c>
      <c r="J1874" t="s">
        <v>1989</v>
      </c>
      <c r="K1874" t="s">
        <v>3775</v>
      </c>
      <c r="L1874" s="1">
        <v>46224.918321759258</v>
      </c>
      <c r="M1874" s="1">
        <v>46224.91962439815</v>
      </c>
    </row>
    <row r="1875" spans="1:13" x14ac:dyDescent="0.35">
      <c r="A1875" t="s">
        <v>425</v>
      </c>
      <c r="B1875" t="s">
        <v>1986</v>
      </c>
      <c r="C1875" t="s">
        <v>2580</v>
      </c>
      <c r="D1875">
        <v>1.625</v>
      </c>
      <c r="E1875" s="1">
        <v>47406</v>
      </c>
      <c r="F1875" t="s">
        <v>2014</v>
      </c>
      <c r="G1875" t="s">
        <v>2580</v>
      </c>
      <c r="H1875" t="s">
        <v>2</v>
      </c>
      <c r="I1875" s="1">
        <v>46224</v>
      </c>
      <c r="J1875" t="s">
        <v>2065</v>
      </c>
      <c r="K1875" t="s">
        <v>3890</v>
      </c>
      <c r="L1875" s="1">
        <v>46224.917650462965</v>
      </c>
      <c r="M1875" s="1">
        <v>46224.91962439815</v>
      </c>
    </row>
    <row r="1876" spans="1:13" x14ac:dyDescent="0.35">
      <c r="A1876" t="s">
        <v>422</v>
      </c>
      <c r="B1876" t="s">
        <v>1986</v>
      </c>
      <c r="C1876" t="s">
        <v>2639</v>
      </c>
      <c r="D1876">
        <v>4.25</v>
      </c>
      <c r="E1876" s="1">
        <v>49263</v>
      </c>
      <c r="F1876" t="s">
        <v>1988</v>
      </c>
      <c r="G1876" t="s">
        <v>2639</v>
      </c>
      <c r="H1876" t="s">
        <v>2</v>
      </c>
      <c r="I1876" s="1">
        <v>46224</v>
      </c>
      <c r="J1876" t="s">
        <v>2146</v>
      </c>
      <c r="K1876" t="s">
        <v>3785</v>
      </c>
      <c r="L1876" s="1">
        <v>46224.917650462965</v>
      </c>
      <c r="M1876" s="1">
        <v>46224.91962439815</v>
      </c>
    </row>
    <row r="1877" spans="1:13" x14ac:dyDescent="0.35">
      <c r="A1877" t="s">
        <v>422</v>
      </c>
      <c r="B1877" t="s">
        <v>1986</v>
      </c>
      <c r="C1877" t="s">
        <v>2639</v>
      </c>
      <c r="D1877">
        <v>4.25</v>
      </c>
      <c r="E1877" s="1">
        <v>49263</v>
      </c>
      <c r="F1877" t="s">
        <v>1988</v>
      </c>
      <c r="G1877" t="s">
        <v>2639</v>
      </c>
      <c r="H1877" t="s">
        <v>2</v>
      </c>
      <c r="I1877" s="1">
        <v>46224</v>
      </c>
      <c r="J1877" t="s">
        <v>2064</v>
      </c>
      <c r="K1877" t="s">
        <v>3669</v>
      </c>
      <c r="L1877" s="1">
        <v>46224.917650462965</v>
      </c>
      <c r="M1877" s="1">
        <v>46224.91962439815</v>
      </c>
    </row>
    <row r="1878" spans="1:13" x14ac:dyDescent="0.35">
      <c r="A1878" t="s">
        <v>422</v>
      </c>
      <c r="B1878" t="s">
        <v>1986</v>
      </c>
      <c r="C1878" t="s">
        <v>2639</v>
      </c>
      <c r="D1878">
        <v>4.25</v>
      </c>
      <c r="E1878" s="1">
        <v>49263</v>
      </c>
      <c r="F1878" t="s">
        <v>1988</v>
      </c>
      <c r="G1878" t="s">
        <v>2639</v>
      </c>
      <c r="H1878" t="s">
        <v>2</v>
      </c>
      <c r="I1878" s="1">
        <v>46224</v>
      </c>
      <c r="J1878" t="s">
        <v>1989</v>
      </c>
      <c r="K1878" t="s">
        <v>3872</v>
      </c>
      <c r="L1878" s="1">
        <v>46224.918321759258</v>
      </c>
      <c r="M1878" s="1">
        <v>46224.91962439815</v>
      </c>
    </row>
    <row r="1879" spans="1:13" x14ac:dyDescent="0.35">
      <c r="A1879" t="s">
        <v>422</v>
      </c>
      <c r="B1879" t="s">
        <v>1986</v>
      </c>
      <c r="C1879" t="s">
        <v>2639</v>
      </c>
      <c r="D1879">
        <v>4.25</v>
      </c>
      <c r="E1879" s="1">
        <v>49263</v>
      </c>
      <c r="F1879" t="s">
        <v>1988</v>
      </c>
      <c r="G1879" t="s">
        <v>2639</v>
      </c>
      <c r="H1879" t="s">
        <v>2</v>
      </c>
      <c r="I1879" s="1">
        <v>46224</v>
      </c>
      <c r="J1879" t="s">
        <v>2065</v>
      </c>
      <c r="K1879" t="s">
        <v>3669</v>
      </c>
      <c r="L1879" s="1">
        <v>46224.917650462965</v>
      </c>
      <c r="M1879" s="1">
        <v>46224.91962439815</v>
      </c>
    </row>
    <row r="1880" spans="1:13" x14ac:dyDescent="0.35">
      <c r="A1880" t="s">
        <v>422</v>
      </c>
      <c r="B1880" t="s">
        <v>1986</v>
      </c>
      <c r="C1880" t="s">
        <v>2639</v>
      </c>
      <c r="D1880">
        <v>4.25</v>
      </c>
      <c r="E1880" s="1">
        <v>49263</v>
      </c>
      <c r="F1880" t="s">
        <v>1988</v>
      </c>
      <c r="G1880" t="s">
        <v>2639</v>
      </c>
      <c r="H1880" t="s">
        <v>2</v>
      </c>
      <c r="I1880" s="1">
        <v>46224</v>
      </c>
      <c r="J1880" t="s">
        <v>1991</v>
      </c>
      <c r="K1880" t="s">
        <v>3959</v>
      </c>
      <c r="L1880" s="1">
        <v>46224.918321759258</v>
      </c>
      <c r="M1880" s="1">
        <v>46224.91962439815</v>
      </c>
    </row>
    <row r="1881" spans="1:13" x14ac:dyDescent="0.35">
      <c r="A1881" t="s">
        <v>422</v>
      </c>
      <c r="B1881" t="s">
        <v>1986</v>
      </c>
      <c r="C1881" t="s">
        <v>2639</v>
      </c>
      <c r="D1881">
        <v>4.25</v>
      </c>
      <c r="E1881" s="1">
        <v>49263</v>
      </c>
      <c r="F1881" t="s">
        <v>1988</v>
      </c>
      <c r="G1881" t="s">
        <v>2639</v>
      </c>
      <c r="H1881" t="s">
        <v>2</v>
      </c>
      <c r="I1881" s="1">
        <v>46224</v>
      </c>
      <c r="J1881" t="s">
        <v>2108</v>
      </c>
      <c r="K1881" t="s">
        <v>3785</v>
      </c>
      <c r="L1881" s="1">
        <v>46224.917650462965</v>
      </c>
      <c r="M1881" s="1">
        <v>46224.91962439815</v>
      </c>
    </row>
    <row r="1882" spans="1:13" x14ac:dyDescent="0.35">
      <c r="A1882" t="s">
        <v>436</v>
      </c>
      <c r="B1882" t="s">
        <v>1986</v>
      </c>
      <c r="C1882" t="s">
        <v>2640</v>
      </c>
      <c r="D1882">
        <v>4.125</v>
      </c>
      <c r="E1882" s="1">
        <v>46706</v>
      </c>
      <c r="F1882" t="s">
        <v>1988</v>
      </c>
      <c r="G1882" t="s">
        <v>2640</v>
      </c>
      <c r="H1882" t="s">
        <v>2</v>
      </c>
      <c r="I1882" s="1">
        <v>46224</v>
      </c>
      <c r="J1882" t="s">
        <v>2065</v>
      </c>
      <c r="K1882" t="s">
        <v>2635</v>
      </c>
      <c r="L1882" s="1">
        <v>46224.917650462965</v>
      </c>
      <c r="M1882" s="1">
        <v>46224.91962439815</v>
      </c>
    </row>
    <row r="1883" spans="1:13" x14ac:dyDescent="0.35">
      <c r="A1883" t="s">
        <v>436</v>
      </c>
      <c r="B1883" t="s">
        <v>1986</v>
      </c>
      <c r="C1883" t="s">
        <v>2640</v>
      </c>
      <c r="D1883">
        <v>4.125</v>
      </c>
      <c r="E1883" s="1">
        <v>46706</v>
      </c>
      <c r="F1883" t="s">
        <v>1988</v>
      </c>
      <c r="G1883" t="s">
        <v>2640</v>
      </c>
      <c r="H1883" t="s">
        <v>2</v>
      </c>
      <c r="I1883" s="1">
        <v>46224</v>
      </c>
      <c r="J1883" t="s">
        <v>2146</v>
      </c>
      <c r="K1883" t="s">
        <v>3454</v>
      </c>
      <c r="L1883" s="1">
        <v>46224.917650462965</v>
      </c>
      <c r="M1883" s="1">
        <v>46224.91962439815</v>
      </c>
    </row>
    <row r="1884" spans="1:13" x14ac:dyDescent="0.35">
      <c r="A1884" t="s">
        <v>436</v>
      </c>
      <c r="B1884" t="s">
        <v>1986</v>
      </c>
      <c r="C1884" t="s">
        <v>2640</v>
      </c>
      <c r="D1884">
        <v>4.125</v>
      </c>
      <c r="E1884" s="1">
        <v>46706</v>
      </c>
      <c r="F1884" t="s">
        <v>1988</v>
      </c>
      <c r="G1884" t="s">
        <v>2640</v>
      </c>
      <c r="H1884" t="s">
        <v>2</v>
      </c>
      <c r="I1884" s="1">
        <v>46224</v>
      </c>
      <c r="J1884" t="s">
        <v>1989</v>
      </c>
      <c r="K1884" t="s">
        <v>3960</v>
      </c>
      <c r="L1884" s="1">
        <v>46224.918321759258</v>
      </c>
      <c r="M1884" s="1">
        <v>46224.91962439815</v>
      </c>
    </row>
    <row r="1885" spans="1:13" x14ac:dyDescent="0.35">
      <c r="A1885" t="s">
        <v>436</v>
      </c>
      <c r="B1885" t="s">
        <v>1986</v>
      </c>
      <c r="C1885" t="s">
        <v>2640</v>
      </c>
      <c r="D1885">
        <v>4.125</v>
      </c>
      <c r="E1885" s="1">
        <v>46706</v>
      </c>
      <c r="F1885" t="s">
        <v>1988</v>
      </c>
      <c r="G1885" t="s">
        <v>2640</v>
      </c>
      <c r="H1885" t="s">
        <v>2</v>
      </c>
      <c r="I1885" s="1">
        <v>46224</v>
      </c>
      <c r="J1885" t="s">
        <v>1991</v>
      </c>
      <c r="K1885" t="s">
        <v>4035</v>
      </c>
      <c r="L1885" s="1">
        <v>46224.918321759258</v>
      </c>
      <c r="M1885" s="1">
        <v>46224.91962439815</v>
      </c>
    </row>
    <row r="1886" spans="1:13" x14ac:dyDescent="0.35">
      <c r="A1886" t="s">
        <v>436</v>
      </c>
      <c r="B1886" t="s">
        <v>1986</v>
      </c>
      <c r="C1886" t="s">
        <v>2640</v>
      </c>
      <c r="D1886">
        <v>4.125</v>
      </c>
      <c r="E1886" s="1">
        <v>46706</v>
      </c>
      <c r="F1886" t="s">
        <v>1988</v>
      </c>
      <c r="G1886" t="s">
        <v>2640</v>
      </c>
      <c r="H1886" t="s">
        <v>2</v>
      </c>
      <c r="I1886" s="1">
        <v>46224</v>
      </c>
      <c r="J1886" t="s">
        <v>2108</v>
      </c>
      <c r="K1886" t="s">
        <v>3454</v>
      </c>
      <c r="L1886" s="1">
        <v>46224.917650462965</v>
      </c>
      <c r="M1886" s="1">
        <v>46224.91962439815</v>
      </c>
    </row>
    <row r="1887" spans="1:13" x14ac:dyDescent="0.35">
      <c r="A1887" t="s">
        <v>436</v>
      </c>
      <c r="B1887" t="s">
        <v>1986</v>
      </c>
      <c r="C1887" t="s">
        <v>2640</v>
      </c>
      <c r="D1887">
        <v>4.125</v>
      </c>
      <c r="E1887" s="1">
        <v>46706</v>
      </c>
      <c r="F1887" t="s">
        <v>1988</v>
      </c>
      <c r="G1887" t="s">
        <v>2640</v>
      </c>
      <c r="H1887" t="s">
        <v>2</v>
      </c>
      <c r="I1887" s="1">
        <v>46224</v>
      </c>
      <c r="J1887" t="s">
        <v>2064</v>
      </c>
      <c r="K1887" t="s">
        <v>2635</v>
      </c>
      <c r="L1887" s="1">
        <v>46224.917650462965</v>
      </c>
      <c r="M1887" s="1">
        <v>46224.91962439815</v>
      </c>
    </row>
    <row r="1888" spans="1:13" x14ac:dyDescent="0.35">
      <c r="A1888" t="s">
        <v>426</v>
      </c>
      <c r="B1888" t="s">
        <v>1986</v>
      </c>
      <c r="C1888" t="s">
        <v>2581</v>
      </c>
      <c r="D1888">
        <v>4.25</v>
      </c>
      <c r="E1888" s="1">
        <v>46356</v>
      </c>
      <c r="F1888" t="s">
        <v>1988</v>
      </c>
      <c r="G1888" t="s">
        <v>2581</v>
      </c>
      <c r="H1888" t="s">
        <v>2</v>
      </c>
      <c r="I1888" s="1">
        <v>46224</v>
      </c>
      <c r="J1888" t="s">
        <v>1989</v>
      </c>
      <c r="K1888" t="s">
        <v>2984</v>
      </c>
      <c r="L1888" s="1">
        <v>46224.918321759258</v>
      </c>
      <c r="M1888" s="1">
        <v>46224.91962439815</v>
      </c>
    </row>
    <row r="1889" spans="1:13" x14ac:dyDescent="0.35">
      <c r="A1889" t="s">
        <v>426</v>
      </c>
      <c r="B1889" t="s">
        <v>1986</v>
      </c>
      <c r="C1889" t="s">
        <v>2581</v>
      </c>
      <c r="D1889">
        <v>4.25</v>
      </c>
      <c r="E1889" s="1">
        <v>46356</v>
      </c>
      <c r="F1889" t="s">
        <v>1988</v>
      </c>
      <c r="G1889" t="s">
        <v>2581</v>
      </c>
      <c r="H1889" t="s">
        <v>2</v>
      </c>
      <c r="I1889" s="1">
        <v>46224</v>
      </c>
      <c r="J1889" t="s">
        <v>2146</v>
      </c>
      <c r="K1889" t="s">
        <v>3563</v>
      </c>
      <c r="L1889" s="1">
        <v>46224.917650462965</v>
      </c>
      <c r="M1889" s="1">
        <v>46224.91962439815</v>
      </c>
    </row>
    <row r="1890" spans="1:13" x14ac:dyDescent="0.35">
      <c r="A1890" t="s">
        <v>426</v>
      </c>
      <c r="B1890" t="s">
        <v>1986</v>
      </c>
      <c r="C1890" t="s">
        <v>2581</v>
      </c>
      <c r="D1890">
        <v>4.25</v>
      </c>
      <c r="E1890" s="1">
        <v>46356</v>
      </c>
      <c r="F1890" t="s">
        <v>1988</v>
      </c>
      <c r="G1890" t="s">
        <v>2581</v>
      </c>
      <c r="H1890" t="s">
        <v>2</v>
      </c>
      <c r="I1890" s="1">
        <v>46224</v>
      </c>
      <c r="J1890" t="s">
        <v>2065</v>
      </c>
      <c r="K1890" t="s">
        <v>3745</v>
      </c>
      <c r="L1890" s="1">
        <v>46224.917650462965</v>
      </c>
      <c r="M1890" s="1">
        <v>46224.91962439815</v>
      </c>
    </row>
    <row r="1891" spans="1:13" x14ac:dyDescent="0.35">
      <c r="A1891" t="s">
        <v>426</v>
      </c>
      <c r="B1891" t="s">
        <v>1986</v>
      </c>
      <c r="C1891" t="s">
        <v>2581</v>
      </c>
      <c r="D1891">
        <v>4.25</v>
      </c>
      <c r="E1891" s="1">
        <v>46356</v>
      </c>
      <c r="F1891" t="s">
        <v>1988</v>
      </c>
      <c r="G1891" t="s">
        <v>2581</v>
      </c>
      <c r="H1891" t="s">
        <v>2</v>
      </c>
      <c r="I1891" s="1">
        <v>46224</v>
      </c>
      <c r="J1891" t="s">
        <v>2108</v>
      </c>
      <c r="K1891" t="s">
        <v>3563</v>
      </c>
      <c r="L1891" s="1">
        <v>46224.917650462965</v>
      </c>
      <c r="M1891" s="1">
        <v>46224.91962439815</v>
      </c>
    </row>
    <row r="1892" spans="1:13" x14ac:dyDescent="0.35">
      <c r="A1892" t="s">
        <v>426</v>
      </c>
      <c r="B1892" t="s">
        <v>1986</v>
      </c>
      <c r="C1892" t="s">
        <v>2581</v>
      </c>
      <c r="D1892">
        <v>4.25</v>
      </c>
      <c r="E1892" s="1">
        <v>46356</v>
      </c>
      <c r="F1892" t="s">
        <v>1988</v>
      </c>
      <c r="G1892" t="s">
        <v>2581</v>
      </c>
      <c r="H1892" t="s">
        <v>2</v>
      </c>
      <c r="I1892" s="1">
        <v>46224</v>
      </c>
      <c r="J1892" t="s">
        <v>2064</v>
      </c>
      <c r="K1892" t="s">
        <v>3745</v>
      </c>
      <c r="L1892" s="1">
        <v>46224.917650462965</v>
      </c>
      <c r="M1892" s="1">
        <v>46224.91962439815</v>
      </c>
    </row>
    <row r="1893" spans="1:13" x14ac:dyDescent="0.35">
      <c r="A1893" t="s">
        <v>426</v>
      </c>
      <c r="B1893" t="s">
        <v>1986</v>
      </c>
      <c r="C1893" t="s">
        <v>2581</v>
      </c>
      <c r="D1893">
        <v>4.25</v>
      </c>
      <c r="E1893" s="1">
        <v>46356</v>
      </c>
      <c r="F1893" t="s">
        <v>1988</v>
      </c>
      <c r="G1893" t="s">
        <v>2581</v>
      </c>
      <c r="H1893" t="s">
        <v>2</v>
      </c>
      <c r="I1893" s="1">
        <v>46224</v>
      </c>
      <c r="J1893" t="s">
        <v>1991</v>
      </c>
      <c r="K1893" t="s">
        <v>2890</v>
      </c>
      <c r="L1893" s="1">
        <v>46224.918321759258</v>
      </c>
      <c r="M1893" s="1">
        <v>46224.91962439815</v>
      </c>
    </row>
    <row r="1894" spans="1:13" x14ac:dyDescent="0.35">
      <c r="A1894" t="s">
        <v>427</v>
      </c>
      <c r="B1894" t="s">
        <v>1986</v>
      </c>
      <c r="C1894" t="s">
        <v>2655</v>
      </c>
      <c r="D1894">
        <v>4.125</v>
      </c>
      <c r="E1894" s="1">
        <v>48182</v>
      </c>
      <c r="F1894" t="s">
        <v>1988</v>
      </c>
      <c r="G1894" t="s">
        <v>2655</v>
      </c>
      <c r="H1894" t="s">
        <v>2</v>
      </c>
      <c r="I1894" s="1">
        <v>46224</v>
      </c>
      <c r="J1894" t="s">
        <v>2065</v>
      </c>
      <c r="K1894" t="s">
        <v>3743</v>
      </c>
      <c r="L1894" s="1">
        <v>46224.917650462965</v>
      </c>
      <c r="M1894" s="1">
        <v>46224.91962439815</v>
      </c>
    </row>
    <row r="1895" spans="1:13" x14ac:dyDescent="0.35">
      <c r="A1895" t="s">
        <v>427</v>
      </c>
      <c r="B1895" t="s">
        <v>1986</v>
      </c>
      <c r="C1895" t="s">
        <v>2655</v>
      </c>
      <c r="D1895">
        <v>4.125</v>
      </c>
      <c r="E1895" s="1">
        <v>48182</v>
      </c>
      <c r="F1895" t="s">
        <v>1988</v>
      </c>
      <c r="G1895" t="s">
        <v>2655</v>
      </c>
      <c r="H1895" t="s">
        <v>2</v>
      </c>
      <c r="I1895" s="1">
        <v>46224</v>
      </c>
      <c r="J1895" t="s">
        <v>2146</v>
      </c>
      <c r="K1895" t="s">
        <v>2704</v>
      </c>
      <c r="L1895" s="1">
        <v>46224.917650462965</v>
      </c>
      <c r="M1895" s="1">
        <v>46224.91962439815</v>
      </c>
    </row>
    <row r="1896" spans="1:13" x14ac:dyDescent="0.35">
      <c r="A1896" t="s">
        <v>427</v>
      </c>
      <c r="B1896" t="s">
        <v>1986</v>
      </c>
      <c r="C1896" t="s">
        <v>2655</v>
      </c>
      <c r="D1896">
        <v>4.125</v>
      </c>
      <c r="E1896" s="1">
        <v>48182</v>
      </c>
      <c r="F1896" t="s">
        <v>1988</v>
      </c>
      <c r="G1896" t="s">
        <v>2655</v>
      </c>
      <c r="H1896" t="s">
        <v>2</v>
      </c>
      <c r="I1896" s="1">
        <v>46224</v>
      </c>
      <c r="J1896" t="s">
        <v>1989</v>
      </c>
      <c r="K1896" t="s">
        <v>3816</v>
      </c>
      <c r="L1896" s="1">
        <v>46224.918321759258</v>
      </c>
      <c r="M1896" s="1">
        <v>46224.91962439815</v>
      </c>
    </row>
    <row r="1897" spans="1:13" x14ac:dyDescent="0.35">
      <c r="A1897" t="s">
        <v>427</v>
      </c>
      <c r="B1897" t="s">
        <v>1986</v>
      </c>
      <c r="C1897" t="s">
        <v>2655</v>
      </c>
      <c r="D1897">
        <v>4.125</v>
      </c>
      <c r="E1897" s="1">
        <v>48182</v>
      </c>
      <c r="F1897" t="s">
        <v>1988</v>
      </c>
      <c r="G1897" t="s">
        <v>2655</v>
      </c>
      <c r="H1897" t="s">
        <v>2</v>
      </c>
      <c r="I1897" s="1">
        <v>46224</v>
      </c>
      <c r="J1897" t="s">
        <v>2064</v>
      </c>
      <c r="K1897" t="s">
        <v>3743</v>
      </c>
      <c r="L1897" s="1">
        <v>46224.917650462965</v>
      </c>
      <c r="M1897" s="1">
        <v>46224.91962439815</v>
      </c>
    </row>
    <row r="1898" spans="1:13" x14ac:dyDescent="0.35">
      <c r="A1898" t="s">
        <v>427</v>
      </c>
      <c r="B1898" t="s">
        <v>1986</v>
      </c>
      <c r="C1898" t="s">
        <v>2655</v>
      </c>
      <c r="D1898">
        <v>4.125</v>
      </c>
      <c r="E1898" s="1">
        <v>48182</v>
      </c>
      <c r="F1898" t="s">
        <v>1988</v>
      </c>
      <c r="G1898" t="s">
        <v>2655</v>
      </c>
      <c r="H1898" t="s">
        <v>2</v>
      </c>
      <c r="I1898" s="1">
        <v>46224</v>
      </c>
      <c r="J1898" t="s">
        <v>2108</v>
      </c>
      <c r="K1898" t="s">
        <v>2704</v>
      </c>
      <c r="L1898" s="1">
        <v>46224.917650462965</v>
      </c>
      <c r="M1898" s="1">
        <v>46224.91962439815</v>
      </c>
    </row>
    <row r="1899" spans="1:13" x14ac:dyDescent="0.35">
      <c r="A1899" t="s">
        <v>427</v>
      </c>
      <c r="B1899" t="s">
        <v>1986</v>
      </c>
      <c r="C1899" t="s">
        <v>2655</v>
      </c>
      <c r="D1899">
        <v>4.125</v>
      </c>
      <c r="E1899" s="1">
        <v>48182</v>
      </c>
      <c r="F1899" t="s">
        <v>1988</v>
      </c>
      <c r="G1899" t="s">
        <v>2655</v>
      </c>
      <c r="H1899" t="s">
        <v>2</v>
      </c>
      <c r="I1899" s="1">
        <v>46224</v>
      </c>
      <c r="J1899" t="s">
        <v>1991</v>
      </c>
      <c r="K1899" t="s">
        <v>2878</v>
      </c>
      <c r="L1899" s="1">
        <v>46224.918321759258</v>
      </c>
      <c r="M1899" s="1">
        <v>46224.91962439815</v>
      </c>
    </row>
    <row r="1900" spans="1:13" x14ac:dyDescent="0.35">
      <c r="A1900" t="s">
        <v>423</v>
      </c>
      <c r="B1900" t="s">
        <v>1986</v>
      </c>
      <c r="C1900" t="s">
        <v>2642</v>
      </c>
      <c r="D1900">
        <v>4.125</v>
      </c>
      <c r="E1900" s="1">
        <v>47452</v>
      </c>
      <c r="F1900" t="s">
        <v>1988</v>
      </c>
      <c r="G1900" t="s">
        <v>2642</v>
      </c>
      <c r="H1900" t="s">
        <v>2</v>
      </c>
      <c r="I1900" s="1">
        <v>46224</v>
      </c>
      <c r="J1900" t="s">
        <v>2146</v>
      </c>
      <c r="K1900" t="s">
        <v>2561</v>
      </c>
      <c r="L1900" s="1">
        <v>46224.917650462965</v>
      </c>
      <c r="M1900" s="1">
        <v>46224.91962439815</v>
      </c>
    </row>
    <row r="1901" spans="1:13" x14ac:dyDescent="0.35">
      <c r="A1901" t="s">
        <v>423</v>
      </c>
      <c r="B1901" t="s">
        <v>1986</v>
      </c>
      <c r="C1901" t="s">
        <v>2642</v>
      </c>
      <c r="D1901">
        <v>4.125</v>
      </c>
      <c r="E1901" s="1">
        <v>47452</v>
      </c>
      <c r="F1901" t="s">
        <v>1988</v>
      </c>
      <c r="G1901" t="s">
        <v>2642</v>
      </c>
      <c r="H1901" t="s">
        <v>2</v>
      </c>
      <c r="I1901" s="1">
        <v>46224</v>
      </c>
      <c r="J1901" t="s">
        <v>1991</v>
      </c>
      <c r="K1901" t="s">
        <v>2568</v>
      </c>
      <c r="L1901" s="1">
        <v>46224.918321759258</v>
      </c>
      <c r="M1901" s="1">
        <v>46224.91962439815</v>
      </c>
    </row>
    <row r="1902" spans="1:13" x14ac:dyDescent="0.35">
      <c r="A1902" t="s">
        <v>423</v>
      </c>
      <c r="B1902" t="s">
        <v>1986</v>
      </c>
      <c r="C1902" t="s">
        <v>2642</v>
      </c>
      <c r="D1902">
        <v>4.125</v>
      </c>
      <c r="E1902" s="1">
        <v>47452</v>
      </c>
      <c r="F1902" t="s">
        <v>1988</v>
      </c>
      <c r="G1902" t="s">
        <v>2642</v>
      </c>
      <c r="H1902" t="s">
        <v>2</v>
      </c>
      <c r="I1902" s="1">
        <v>46224</v>
      </c>
      <c r="J1902" t="s">
        <v>2065</v>
      </c>
      <c r="K1902" t="s">
        <v>2917</v>
      </c>
      <c r="L1902" s="1">
        <v>46224.917650462965</v>
      </c>
      <c r="M1902" s="1">
        <v>46224.91962439815</v>
      </c>
    </row>
    <row r="1903" spans="1:13" x14ac:dyDescent="0.35">
      <c r="A1903" t="s">
        <v>423</v>
      </c>
      <c r="B1903" t="s">
        <v>1986</v>
      </c>
      <c r="C1903" t="s">
        <v>2642</v>
      </c>
      <c r="D1903">
        <v>4.125</v>
      </c>
      <c r="E1903" s="1">
        <v>47452</v>
      </c>
      <c r="F1903" t="s">
        <v>1988</v>
      </c>
      <c r="G1903" t="s">
        <v>2642</v>
      </c>
      <c r="H1903" t="s">
        <v>2</v>
      </c>
      <c r="I1903" s="1">
        <v>46224</v>
      </c>
      <c r="J1903" t="s">
        <v>2064</v>
      </c>
      <c r="K1903" t="s">
        <v>2917</v>
      </c>
      <c r="L1903" s="1">
        <v>46224.917650462965</v>
      </c>
      <c r="M1903" s="1">
        <v>46224.91962439815</v>
      </c>
    </row>
    <row r="1904" spans="1:13" x14ac:dyDescent="0.35">
      <c r="A1904" t="s">
        <v>423</v>
      </c>
      <c r="B1904" t="s">
        <v>1986</v>
      </c>
      <c r="C1904" t="s">
        <v>2642</v>
      </c>
      <c r="D1904">
        <v>4.125</v>
      </c>
      <c r="E1904" s="1">
        <v>47452</v>
      </c>
      <c r="F1904" t="s">
        <v>1988</v>
      </c>
      <c r="G1904" t="s">
        <v>2642</v>
      </c>
      <c r="H1904" t="s">
        <v>2</v>
      </c>
      <c r="I1904" s="1">
        <v>46224</v>
      </c>
      <c r="J1904" t="s">
        <v>1989</v>
      </c>
      <c r="K1904" t="s">
        <v>2493</v>
      </c>
      <c r="L1904" s="1">
        <v>46224.918321759258</v>
      </c>
      <c r="M1904" s="1">
        <v>46224.91962439815</v>
      </c>
    </row>
    <row r="1905" spans="1:13" x14ac:dyDescent="0.35">
      <c r="A1905" t="s">
        <v>423</v>
      </c>
      <c r="B1905" t="s">
        <v>1986</v>
      </c>
      <c r="C1905" t="s">
        <v>2642</v>
      </c>
      <c r="D1905">
        <v>4.125</v>
      </c>
      <c r="E1905" s="1">
        <v>47452</v>
      </c>
      <c r="F1905" t="s">
        <v>1988</v>
      </c>
      <c r="G1905" t="s">
        <v>2642</v>
      </c>
      <c r="H1905" t="s">
        <v>2</v>
      </c>
      <c r="I1905" s="1">
        <v>46224</v>
      </c>
      <c r="J1905" t="s">
        <v>2108</v>
      </c>
      <c r="K1905" t="s">
        <v>2561</v>
      </c>
      <c r="L1905" s="1">
        <v>46224.917650462965</v>
      </c>
      <c r="M1905" s="1">
        <v>46224.91962439815</v>
      </c>
    </row>
    <row r="1906" spans="1:13" x14ac:dyDescent="0.35">
      <c r="A1906" t="s">
        <v>392</v>
      </c>
      <c r="B1906" t="s">
        <v>1986</v>
      </c>
      <c r="C1906" t="s">
        <v>2582</v>
      </c>
      <c r="D1906">
        <v>4</v>
      </c>
      <c r="E1906" s="1">
        <v>46736</v>
      </c>
      <c r="F1906" t="s">
        <v>1988</v>
      </c>
      <c r="G1906" t="s">
        <v>2582</v>
      </c>
      <c r="H1906" t="s">
        <v>2</v>
      </c>
      <c r="I1906" s="1">
        <v>46224</v>
      </c>
      <c r="J1906" t="s">
        <v>1989</v>
      </c>
      <c r="K1906" t="s">
        <v>3810</v>
      </c>
      <c r="L1906" s="1">
        <v>46224.918321759258</v>
      </c>
      <c r="M1906" s="1">
        <v>46224.91962439815</v>
      </c>
    </row>
    <row r="1907" spans="1:13" x14ac:dyDescent="0.35">
      <c r="A1907" t="s">
        <v>392</v>
      </c>
      <c r="B1907" t="s">
        <v>1986</v>
      </c>
      <c r="C1907" t="s">
        <v>2582</v>
      </c>
      <c r="D1907">
        <v>4</v>
      </c>
      <c r="E1907" s="1">
        <v>46736</v>
      </c>
      <c r="F1907" t="s">
        <v>1988</v>
      </c>
      <c r="G1907" t="s">
        <v>2582</v>
      </c>
      <c r="H1907" t="s">
        <v>2</v>
      </c>
      <c r="I1907" s="1">
        <v>46224</v>
      </c>
      <c r="J1907" t="s">
        <v>2064</v>
      </c>
      <c r="K1907" t="s">
        <v>3700</v>
      </c>
      <c r="L1907" s="1">
        <v>46224.917650462965</v>
      </c>
      <c r="M1907" s="1">
        <v>46224.91962439815</v>
      </c>
    </row>
    <row r="1908" spans="1:13" x14ac:dyDescent="0.35">
      <c r="A1908" t="s">
        <v>392</v>
      </c>
      <c r="B1908" t="s">
        <v>1986</v>
      </c>
      <c r="C1908" t="s">
        <v>2582</v>
      </c>
      <c r="D1908">
        <v>4</v>
      </c>
      <c r="E1908" s="1">
        <v>46736</v>
      </c>
      <c r="F1908" t="s">
        <v>1988</v>
      </c>
      <c r="G1908" t="s">
        <v>2582</v>
      </c>
      <c r="H1908" t="s">
        <v>2</v>
      </c>
      <c r="I1908" s="1">
        <v>46224</v>
      </c>
      <c r="J1908" t="s">
        <v>2146</v>
      </c>
      <c r="K1908" t="s">
        <v>2463</v>
      </c>
      <c r="L1908" s="1">
        <v>46224.917650462965</v>
      </c>
      <c r="M1908" s="1">
        <v>46224.91962439815</v>
      </c>
    </row>
    <row r="1909" spans="1:13" x14ac:dyDescent="0.35">
      <c r="A1909" t="s">
        <v>392</v>
      </c>
      <c r="B1909" t="s">
        <v>1986</v>
      </c>
      <c r="C1909" t="s">
        <v>2582</v>
      </c>
      <c r="D1909">
        <v>4</v>
      </c>
      <c r="E1909" s="1">
        <v>46736</v>
      </c>
      <c r="F1909" t="s">
        <v>1988</v>
      </c>
      <c r="G1909" t="s">
        <v>2582</v>
      </c>
      <c r="H1909" t="s">
        <v>2</v>
      </c>
      <c r="I1909" s="1">
        <v>46224</v>
      </c>
      <c r="J1909" t="s">
        <v>1991</v>
      </c>
      <c r="K1909" t="s">
        <v>3891</v>
      </c>
      <c r="L1909" s="1">
        <v>46224.918321759258</v>
      </c>
      <c r="M1909" s="1">
        <v>46224.91962439815</v>
      </c>
    </row>
    <row r="1910" spans="1:13" x14ac:dyDescent="0.35">
      <c r="A1910" t="s">
        <v>392</v>
      </c>
      <c r="B1910" t="s">
        <v>1986</v>
      </c>
      <c r="C1910" t="s">
        <v>2582</v>
      </c>
      <c r="D1910">
        <v>4</v>
      </c>
      <c r="E1910" s="1">
        <v>46736</v>
      </c>
      <c r="F1910" t="s">
        <v>1988</v>
      </c>
      <c r="G1910" t="s">
        <v>2582</v>
      </c>
      <c r="H1910" t="s">
        <v>2</v>
      </c>
      <c r="I1910" s="1">
        <v>46224</v>
      </c>
      <c r="J1910" t="s">
        <v>2108</v>
      </c>
      <c r="K1910" t="s">
        <v>2463</v>
      </c>
      <c r="L1910" s="1">
        <v>46224.917650462965</v>
      </c>
      <c r="M1910" s="1">
        <v>46224.91962439815</v>
      </c>
    </row>
    <row r="1911" spans="1:13" x14ac:dyDescent="0.35">
      <c r="A1911" t="s">
        <v>392</v>
      </c>
      <c r="B1911" t="s">
        <v>1986</v>
      </c>
      <c r="C1911" t="s">
        <v>2582</v>
      </c>
      <c r="D1911">
        <v>4</v>
      </c>
      <c r="E1911" s="1">
        <v>46736</v>
      </c>
      <c r="F1911" t="s">
        <v>1988</v>
      </c>
      <c r="G1911" t="s">
        <v>2582</v>
      </c>
      <c r="H1911" t="s">
        <v>2</v>
      </c>
      <c r="I1911" s="1">
        <v>46224</v>
      </c>
      <c r="J1911" t="s">
        <v>2065</v>
      </c>
      <c r="K1911" t="s">
        <v>3700</v>
      </c>
      <c r="L1911" s="1">
        <v>46224.917650462965</v>
      </c>
      <c r="M1911" s="1">
        <v>46224.91962439815</v>
      </c>
    </row>
    <row r="1912" spans="1:13" x14ac:dyDescent="0.35">
      <c r="A1912" t="s">
        <v>424</v>
      </c>
      <c r="B1912" t="s">
        <v>1986</v>
      </c>
      <c r="C1912" t="s">
        <v>2643</v>
      </c>
      <c r="D1912">
        <v>4.5</v>
      </c>
      <c r="E1912" s="1">
        <v>48213</v>
      </c>
      <c r="F1912" t="s">
        <v>1988</v>
      </c>
      <c r="G1912" t="s">
        <v>2643</v>
      </c>
      <c r="H1912" t="s">
        <v>2</v>
      </c>
      <c r="I1912" s="1">
        <v>46224</v>
      </c>
      <c r="J1912" t="s">
        <v>2108</v>
      </c>
      <c r="K1912" t="s">
        <v>3670</v>
      </c>
      <c r="L1912" s="1">
        <v>46224.917650462965</v>
      </c>
      <c r="M1912" s="1">
        <v>46224.91962439815</v>
      </c>
    </row>
    <row r="1913" spans="1:13" x14ac:dyDescent="0.35">
      <c r="A1913" t="s">
        <v>424</v>
      </c>
      <c r="B1913" t="s">
        <v>1986</v>
      </c>
      <c r="C1913" t="s">
        <v>2643</v>
      </c>
      <c r="D1913">
        <v>4.5</v>
      </c>
      <c r="E1913" s="1">
        <v>48213</v>
      </c>
      <c r="F1913" t="s">
        <v>1988</v>
      </c>
      <c r="G1913" t="s">
        <v>2643</v>
      </c>
      <c r="H1913" t="s">
        <v>2</v>
      </c>
      <c r="I1913" s="1">
        <v>46224</v>
      </c>
      <c r="J1913" t="s">
        <v>1991</v>
      </c>
      <c r="K1913" t="s">
        <v>2670</v>
      </c>
      <c r="L1913" s="1">
        <v>46224.918321759258</v>
      </c>
      <c r="M1913" s="1">
        <v>46224.91962439815</v>
      </c>
    </row>
    <row r="1914" spans="1:13" x14ac:dyDescent="0.35">
      <c r="A1914" t="s">
        <v>424</v>
      </c>
      <c r="B1914" t="s">
        <v>1986</v>
      </c>
      <c r="C1914" t="s">
        <v>2643</v>
      </c>
      <c r="D1914">
        <v>4.5</v>
      </c>
      <c r="E1914" s="1">
        <v>48213</v>
      </c>
      <c r="F1914" t="s">
        <v>1988</v>
      </c>
      <c r="G1914" t="s">
        <v>2643</v>
      </c>
      <c r="H1914" t="s">
        <v>2</v>
      </c>
      <c r="I1914" s="1">
        <v>46224</v>
      </c>
      <c r="J1914" t="s">
        <v>2146</v>
      </c>
      <c r="K1914" t="s">
        <v>3670</v>
      </c>
      <c r="L1914" s="1">
        <v>46224.917650462965</v>
      </c>
      <c r="M1914" s="1">
        <v>46224.91962439815</v>
      </c>
    </row>
    <row r="1915" spans="1:13" x14ac:dyDescent="0.35">
      <c r="A1915" t="s">
        <v>424</v>
      </c>
      <c r="B1915" t="s">
        <v>1986</v>
      </c>
      <c r="C1915" t="s">
        <v>2643</v>
      </c>
      <c r="D1915">
        <v>4.5</v>
      </c>
      <c r="E1915" s="1">
        <v>48213</v>
      </c>
      <c r="F1915" t="s">
        <v>1988</v>
      </c>
      <c r="G1915" t="s">
        <v>2643</v>
      </c>
      <c r="H1915" t="s">
        <v>2</v>
      </c>
      <c r="I1915" s="1">
        <v>46224</v>
      </c>
      <c r="J1915" t="s">
        <v>1989</v>
      </c>
      <c r="K1915" t="s">
        <v>4142</v>
      </c>
      <c r="L1915" s="1">
        <v>46224.918321759258</v>
      </c>
      <c r="M1915" s="1">
        <v>46224.91962439815</v>
      </c>
    </row>
    <row r="1916" spans="1:13" x14ac:dyDescent="0.35">
      <c r="A1916" t="s">
        <v>424</v>
      </c>
      <c r="B1916" t="s">
        <v>1986</v>
      </c>
      <c r="C1916" t="s">
        <v>2643</v>
      </c>
      <c r="D1916">
        <v>4.5</v>
      </c>
      <c r="E1916" s="1">
        <v>48213</v>
      </c>
      <c r="F1916" t="s">
        <v>1988</v>
      </c>
      <c r="G1916" t="s">
        <v>2643</v>
      </c>
      <c r="H1916" t="s">
        <v>2</v>
      </c>
      <c r="I1916" s="1">
        <v>46224</v>
      </c>
      <c r="J1916" t="s">
        <v>2064</v>
      </c>
      <c r="K1916" t="s">
        <v>2637</v>
      </c>
      <c r="L1916" s="1">
        <v>46224.917650462965</v>
      </c>
      <c r="M1916" s="1">
        <v>46224.91962439815</v>
      </c>
    </row>
    <row r="1917" spans="1:13" x14ac:dyDescent="0.35">
      <c r="A1917" t="s">
        <v>424</v>
      </c>
      <c r="B1917" t="s">
        <v>1986</v>
      </c>
      <c r="C1917" t="s">
        <v>2643</v>
      </c>
      <c r="D1917">
        <v>4.5</v>
      </c>
      <c r="E1917" s="1">
        <v>48213</v>
      </c>
      <c r="F1917" t="s">
        <v>1988</v>
      </c>
      <c r="G1917" t="s">
        <v>2643</v>
      </c>
      <c r="H1917" t="s">
        <v>2</v>
      </c>
      <c r="I1917" s="1">
        <v>46224</v>
      </c>
      <c r="J1917" t="s">
        <v>2065</v>
      </c>
      <c r="K1917" t="s">
        <v>2637</v>
      </c>
      <c r="L1917" s="1">
        <v>46224.917650462965</v>
      </c>
      <c r="M1917" s="1">
        <v>46224.91962439815</v>
      </c>
    </row>
    <row r="1918" spans="1:13" x14ac:dyDescent="0.35">
      <c r="A1918" t="s">
        <v>393</v>
      </c>
      <c r="B1918" t="s">
        <v>1986</v>
      </c>
      <c r="C1918" t="s">
        <v>2583</v>
      </c>
      <c r="D1918">
        <v>4.375</v>
      </c>
      <c r="E1918" s="1">
        <v>47483</v>
      </c>
      <c r="F1918" t="s">
        <v>1988</v>
      </c>
      <c r="G1918" t="s">
        <v>2583</v>
      </c>
      <c r="H1918" t="s">
        <v>2</v>
      </c>
      <c r="I1918" s="1">
        <v>46224</v>
      </c>
      <c r="J1918" t="s">
        <v>1989</v>
      </c>
      <c r="K1918" t="s">
        <v>2560</v>
      </c>
      <c r="L1918" s="1">
        <v>46224.918321759258</v>
      </c>
      <c r="M1918" s="1">
        <v>46224.91962439815</v>
      </c>
    </row>
    <row r="1919" spans="1:13" x14ac:dyDescent="0.35">
      <c r="A1919" t="s">
        <v>393</v>
      </c>
      <c r="B1919" t="s">
        <v>1986</v>
      </c>
      <c r="C1919" t="s">
        <v>2583</v>
      </c>
      <c r="D1919">
        <v>4.375</v>
      </c>
      <c r="E1919" s="1">
        <v>47483</v>
      </c>
      <c r="F1919" t="s">
        <v>1988</v>
      </c>
      <c r="G1919" t="s">
        <v>2583</v>
      </c>
      <c r="H1919" t="s">
        <v>2</v>
      </c>
      <c r="I1919" s="1">
        <v>46224</v>
      </c>
      <c r="J1919" t="s">
        <v>1991</v>
      </c>
      <c r="K1919" t="s">
        <v>3744</v>
      </c>
      <c r="L1919" s="1">
        <v>46224.918321759258</v>
      </c>
      <c r="M1919" s="1">
        <v>46224.91962439815</v>
      </c>
    </row>
    <row r="1920" spans="1:13" x14ac:dyDescent="0.35">
      <c r="A1920" t="s">
        <v>393</v>
      </c>
      <c r="B1920" t="s">
        <v>1986</v>
      </c>
      <c r="C1920" t="s">
        <v>2583</v>
      </c>
      <c r="D1920">
        <v>4.375</v>
      </c>
      <c r="E1920" s="1">
        <v>47483</v>
      </c>
      <c r="F1920" t="s">
        <v>1988</v>
      </c>
      <c r="G1920" t="s">
        <v>2583</v>
      </c>
      <c r="H1920" t="s">
        <v>2</v>
      </c>
      <c r="I1920" s="1">
        <v>46224</v>
      </c>
      <c r="J1920" t="s">
        <v>2064</v>
      </c>
      <c r="K1920" t="s">
        <v>2611</v>
      </c>
      <c r="L1920" s="1">
        <v>46224.917650462965</v>
      </c>
      <c r="M1920" s="1">
        <v>46224.91962439815</v>
      </c>
    </row>
    <row r="1921" spans="1:13" x14ac:dyDescent="0.35">
      <c r="A1921" t="s">
        <v>393</v>
      </c>
      <c r="B1921" t="s">
        <v>1986</v>
      </c>
      <c r="C1921" t="s">
        <v>2583</v>
      </c>
      <c r="D1921">
        <v>4.375</v>
      </c>
      <c r="E1921" s="1">
        <v>47483</v>
      </c>
      <c r="F1921" t="s">
        <v>1988</v>
      </c>
      <c r="G1921" t="s">
        <v>2583</v>
      </c>
      <c r="H1921" t="s">
        <v>2</v>
      </c>
      <c r="I1921" s="1">
        <v>46224</v>
      </c>
      <c r="J1921" t="s">
        <v>2108</v>
      </c>
      <c r="K1921" t="s">
        <v>2457</v>
      </c>
      <c r="L1921" s="1">
        <v>46224.917650462965</v>
      </c>
      <c r="M1921" s="1">
        <v>46224.91962439815</v>
      </c>
    </row>
    <row r="1922" spans="1:13" x14ac:dyDescent="0.35">
      <c r="A1922" t="s">
        <v>393</v>
      </c>
      <c r="B1922" t="s">
        <v>1986</v>
      </c>
      <c r="C1922" t="s">
        <v>2583</v>
      </c>
      <c r="D1922">
        <v>4.375</v>
      </c>
      <c r="E1922" s="1">
        <v>47483</v>
      </c>
      <c r="F1922" t="s">
        <v>1988</v>
      </c>
      <c r="G1922" t="s">
        <v>2583</v>
      </c>
      <c r="H1922" t="s">
        <v>2</v>
      </c>
      <c r="I1922" s="1">
        <v>46224</v>
      </c>
      <c r="J1922" t="s">
        <v>2065</v>
      </c>
      <c r="K1922" t="s">
        <v>2611</v>
      </c>
      <c r="L1922" s="1">
        <v>46224.917650462965</v>
      </c>
      <c r="M1922" s="1">
        <v>46224.91962439815</v>
      </c>
    </row>
    <row r="1923" spans="1:13" x14ac:dyDescent="0.35">
      <c r="A1923" t="s">
        <v>393</v>
      </c>
      <c r="B1923" t="s">
        <v>1986</v>
      </c>
      <c r="C1923" t="s">
        <v>2583</v>
      </c>
      <c r="D1923">
        <v>4.375</v>
      </c>
      <c r="E1923" s="1">
        <v>47483</v>
      </c>
      <c r="F1923" t="s">
        <v>1988</v>
      </c>
      <c r="G1923" t="s">
        <v>2583</v>
      </c>
      <c r="H1923" t="s">
        <v>2</v>
      </c>
      <c r="I1923" s="1">
        <v>46224</v>
      </c>
      <c r="J1923" t="s">
        <v>2146</v>
      </c>
      <c r="K1923" t="s">
        <v>2457</v>
      </c>
      <c r="L1923" s="1">
        <v>46224.917650462965</v>
      </c>
      <c r="M1923" s="1">
        <v>46224.91962439815</v>
      </c>
    </row>
    <row r="1924" spans="1:13" x14ac:dyDescent="0.35">
      <c r="A1924" t="s">
        <v>394</v>
      </c>
      <c r="B1924" t="s">
        <v>1986</v>
      </c>
      <c r="C1924" t="s">
        <v>2667</v>
      </c>
      <c r="D1924">
        <v>4.25</v>
      </c>
      <c r="E1924" s="1">
        <v>46387</v>
      </c>
      <c r="F1924" t="s">
        <v>1988</v>
      </c>
      <c r="G1924" t="s">
        <v>2667</v>
      </c>
      <c r="H1924" t="s">
        <v>2</v>
      </c>
      <c r="I1924" s="1">
        <v>46224</v>
      </c>
      <c r="J1924" t="s">
        <v>1991</v>
      </c>
      <c r="K1924" t="s">
        <v>3811</v>
      </c>
      <c r="L1924" s="1">
        <v>46224.918321759258</v>
      </c>
      <c r="M1924" s="1">
        <v>46224.91962439815</v>
      </c>
    </row>
    <row r="1925" spans="1:13" x14ac:dyDescent="0.35">
      <c r="A1925" t="s">
        <v>394</v>
      </c>
      <c r="B1925" t="s">
        <v>1986</v>
      </c>
      <c r="C1925" t="s">
        <v>2667</v>
      </c>
      <c r="D1925">
        <v>4.25</v>
      </c>
      <c r="E1925" s="1">
        <v>46387</v>
      </c>
      <c r="F1925" t="s">
        <v>1988</v>
      </c>
      <c r="G1925" t="s">
        <v>2667</v>
      </c>
      <c r="H1925" t="s">
        <v>2</v>
      </c>
      <c r="I1925" s="1">
        <v>46224</v>
      </c>
      <c r="J1925" t="s">
        <v>2108</v>
      </c>
      <c r="K1925" t="s">
        <v>3671</v>
      </c>
      <c r="L1925" s="1">
        <v>46224.917650462965</v>
      </c>
      <c r="M1925" s="1">
        <v>46224.91962439815</v>
      </c>
    </row>
    <row r="1926" spans="1:13" x14ac:dyDescent="0.35">
      <c r="A1926" t="s">
        <v>394</v>
      </c>
      <c r="B1926" t="s">
        <v>1986</v>
      </c>
      <c r="C1926" t="s">
        <v>2667</v>
      </c>
      <c r="D1926">
        <v>4.25</v>
      </c>
      <c r="E1926" s="1">
        <v>46387</v>
      </c>
      <c r="F1926" t="s">
        <v>1988</v>
      </c>
      <c r="G1926" t="s">
        <v>2667</v>
      </c>
      <c r="H1926" t="s">
        <v>2</v>
      </c>
      <c r="I1926" s="1">
        <v>46224</v>
      </c>
      <c r="J1926" t="s">
        <v>1989</v>
      </c>
      <c r="K1926" t="s">
        <v>4143</v>
      </c>
      <c r="L1926" s="1">
        <v>46224.918321759258</v>
      </c>
      <c r="M1926" s="1">
        <v>46224.91962439815</v>
      </c>
    </row>
    <row r="1927" spans="1:13" x14ac:dyDescent="0.35">
      <c r="A1927" t="s">
        <v>394</v>
      </c>
      <c r="B1927" t="s">
        <v>1986</v>
      </c>
      <c r="C1927" t="s">
        <v>2667</v>
      </c>
      <c r="D1927">
        <v>4.25</v>
      </c>
      <c r="E1927" s="1">
        <v>46387</v>
      </c>
      <c r="F1927" t="s">
        <v>1988</v>
      </c>
      <c r="G1927" t="s">
        <v>2667</v>
      </c>
      <c r="H1927" t="s">
        <v>2</v>
      </c>
      <c r="I1927" s="1">
        <v>46224</v>
      </c>
      <c r="J1927" t="s">
        <v>2146</v>
      </c>
      <c r="K1927" t="s">
        <v>3671</v>
      </c>
      <c r="L1927" s="1">
        <v>46224.917650462965</v>
      </c>
      <c r="M1927" s="1">
        <v>46224.91962439815</v>
      </c>
    </row>
    <row r="1928" spans="1:13" x14ac:dyDescent="0.35">
      <c r="A1928" t="s">
        <v>394</v>
      </c>
      <c r="B1928" t="s">
        <v>1986</v>
      </c>
      <c r="C1928" t="s">
        <v>2667</v>
      </c>
      <c r="D1928">
        <v>4.25</v>
      </c>
      <c r="E1928" s="1">
        <v>46387</v>
      </c>
      <c r="F1928" t="s">
        <v>1988</v>
      </c>
      <c r="G1928" t="s">
        <v>2667</v>
      </c>
      <c r="H1928" t="s">
        <v>2</v>
      </c>
      <c r="I1928" s="1">
        <v>46224</v>
      </c>
      <c r="J1928" t="s">
        <v>2064</v>
      </c>
      <c r="K1928" t="s">
        <v>3961</v>
      </c>
      <c r="L1928" s="1">
        <v>46224.917650462965</v>
      </c>
      <c r="M1928" s="1">
        <v>46224.91962439815</v>
      </c>
    </row>
    <row r="1929" spans="1:13" x14ac:dyDescent="0.35">
      <c r="A1929" t="s">
        <v>394</v>
      </c>
      <c r="B1929" t="s">
        <v>1986</v>
      </c>
      <c r="C1929" t="s">
        <v>2667</v>
      </c>
      <c r="D1929">
        <v>4.25</v>
      </c>
      <c r="E1929" s="1">
        <v>46387</v>
      </c>
      <c r="F1929" t="s">
        <v>1988</v>
      </c>
      <c r="G1929" t="s">
        <v>2667</v>
      </c>
      <c r="H1929" t="s">
        <v>2</v>
      </c>
      <c r="I1929" s="1">
        <v>46224</v>
      </c>
      <c r="J1929" t="s">
        <v>2065</v>
      </c>
      <c r="K1929" t="s">
        <v>3961</v>
      </c>
      <c r="L1929" s="1">
        <v>46224.917650462965</v>
      </c>
      <c r="M1929" s="1">
        <v>46224.91962439815</v>
      </c>
    </row>
    <row r="1930" spans="1:13" x14ac:dyDescent="0.35">
      <c r="A1930" t="s">
        <v>395</v>
      </c>
      <c r="B1930" t="s">
        <v>1986</v>
      </c>
      <c r="C1930" t="s">
        <v>2645</v>
      </c>
      <c r="D1930">
        <v>4.25</v>
      </c>
      <c r="E1930" s="1">
        <v>46767</v>
      </c>
      <c r="F1930" t="s">
        <v>1988</v>
      </c>
      <c r="G1930" t="s">
        <v>2645</v>
      </c>
      <c r="H1930" t="s">
        <v>2</v>
      </c>
      <c r="I1930" s="1">
        <v>46224</v>
      </c>
      <c r="J1930" t="s">
        <v>1989</v>
      </c>
      <c r="K1930" t="s">
        <v>3672</v>
      </c>
      <c r="L1930" s="1">
        <v>46224.918321759258</v>
      </c>
      <c r="M1930" s="1">
        <v>46224.91962439815</v>
      </c>
    </row>
    <row r="1931" spans="1:13" x14ac:dyDescent="0.35">
      <c r="A1931" t="s">
        <v>395</v>
      </c>
      <c r="B1931" t="s">
        <v>1986</v>
      </c>
      <c r="C1931" t="s">
        <v>2645</v>
      </c>
      <c r="D1931">
        <v>4.25</v>
      </c>
      <c r="E1931" s="1">
        <v>46767</v>
      </c>
      <c r="F1931" t="s">
        <v>1988</v>
      </c>
      <c r="G1931" t="s">
        <v>2645</v>
      </c>
      <c r="H1931" t="s">
        <v>2</v>
      </c>
      <c r="I1931" s="1">
        <v>46224</v>
      </c>
      <c r="J1931" t="s">
        <v>2064</v>
      </c>
      <c r="K1931" t="s">
        <v>2570</v>
      </c>
      <c r="L1931" s="1">
        <v>46224.917650462965</v>
      </c>
      <c r="M1931" s="1">
        <v>46224.91962439815</v>
      </c>
    </row>
    <row r="1932" spans="1:13" x14ac:dyDescent="0.35">
      <c r="A1932" t="s">
        <v>395</v>
      </c>
      <c r="B1932" t="s">
        <v>1986</v>
      </c>
      <c r="C1932" t="s">
        <v>2645</v>
      </c>
      <c r="D1932">
        <v>4.25</v>
      </c>
      <c r="E1932" s="1">
        <v>46767</v>
      </c>
      <c r="F1932" t="s">
        <v>1988</v>
      </c>
      <c r="G1932" t="s">
        <v>2645</v>
      </c>
      <c r="H1932" t="s">
        <v>2</v>
      </c>
      <c r="I1932" s="1">
        <v>46224</v>
      </c>
      <c r="J1932" t="s">
        <v>2146</v>
      </c>
      <c r="K1932" t="s">
        <v>3700</v>
      </c>
      <c r="L1932" s="1">
        <v>46224.917650462965</v>
      </c>
      <c r="M1932" s="1">
        <v>46224.91962439815</v>
      </c>
    </row>
    <row r="1933" spans="1:13" x14ac:dyDescent="0.35">
      <c r="A1933" t="s">
        <v>395</v>
      </c>
      <c r="B1933" t="s">
        <v>1986</v>
      </c>
      <c r="C1933" t="s">
        <v>2645</v>
      </c>
      <c r="D1933">
        <v>4.25</v>
      </c>
      <c r="E1933" s="1">
        <v>46767</v>
      </c>
      <c r="F1933" t="s">
        <v>1988</v>
      </c>
      <c r="G1933" t="s">
        <v>2645</v>
      </c>
      <c r="H1933" t="s">
        <v>2</v>
      </c>
      <c r="I1933" s="1">
        <v>46224</v>
      </c>
      <c r="J1933" t="s">
        <v>1991</v>
      </c>
      <c r="K1933" t="s">
        <v>3780</v>
      </c>
      <c r="L1933" s="1">
        <v>46224.918321759258</v>
      </c>
      <c r="M1933" s="1">
        <v>46224.91962439815</v>
      </c>
    </row>
    <row r="1934" spans="1:13" x14ac:dyDescent="0.35">
      <c r="A1934" t="s">
        <v>395</v>
      </c>
      <c r="B1934" t="s">
        <v>1986</v>
      </c>
      <c r="C1934" t="s">
        <v>2645</v>
      </c>
      <c r="D1934">
        <v>4.25</v>
      </c>
      <c r="E1934" s="1">
        <v>46767</v>
      </c>
      <c r="F1934" t="s">
        <v>1988</v>
      </c>
      <c r="G1934" t="s">
        <v>2645</v>
      </c>
      <c r="H1934" t="s">
        <v>2</v>
      </c>
      <c r="I1934" s="1">
        <v>46224</v>
      </c>
      <c r="J1934" t="s">
        <v>2065</v>
      </c>
      <c r="K1934" t="s">
        <v>2570</v>
      </c>
      <c r="L1934" s="1">
        <v>46224.917650462965</v>
      </c>
      <c r="M1934" s="1">
        <v>46224.91962439815</v>
      </c>
    </row>
    <row r="1935" spans="1:13" x14ac:dyDescent="0.35">
      <c r="A1935" t="s">
        <v>395</v>
      </c>
      <c r="B1935" t="s">
        <v>1986</v>
      </c>
      <c r="C1935" t="s">
        <v>2645</v>
      </c>
      <c r="D1935">
        <v>4.25</v>
      </c>
      <c r="E1935" s="1">
        <v>46767</v>
      </c>
      <c r="F1935" t="s">
        <v>1988</v>
      </c>
      <c r="G1935" t="s">
        <v>2645</v>
      </c>
      <c r="H1935" t="s">
        <v>2</v>
      </c>
      <c r="I1935" s="1">
        <v>46224</v>
      </c>
      <c r="J1935" t="s">
        <v>2108</v>
      </c>
      <c r="K1935" t="s">
        <v>3700</v>
      </c>
      <c r="L1935" s="1">
        <v>46224.917650462965</v>
      </c>
      <c r="M1935" s="1">
        <v>46224.91962439815</v>
      </c>
    </row>
    <row r="1936" spans="1:13" x14ac:dyDescent="0.35">
      <c r="A1936" t="s">
        <v>396</v>
      </c>
      <c r="B1936" t="s">
        <v>1986</v>
      </c>
      <c r="C1936" t="s">
        <v>2657</v>
      </c>
      <c r="D1936">
        <v>4.25</v>
      </c>
      <c r="E1936" s="1">
        <v>47514</v>
      </c>
      <c r="F1936" t="s">
        <v>1988</v>
      </c>
      <c r="G1936" t="s">
        <v>2657</v>
      </c>
      <c r="H1936" t="s">
        <v>2</v>
      </c>
      <c r="I1936" s="1">
        <v>46224</v>
      </c>
      <c r="J1936" t="s">
        <v>1991</v>
      </c>
      <c r="K1936" t="s">
        <v>3593</v>
      </c>
      <c r="L1936" s="1">
        <v>46224.918321759258</v>
      </c>
      <c r="M1936" s="1">
        <v>46224.91962439815</v>
      </c>
    </row>
    <row r="1937" spans="1:13" x14ac:dyDescent="0.35">
      <c r="A1937" t="s">
        <v>396</v>
      </c>
      <c r="B1937" t="s">
        <v>1986</v>
      </c>
      <c r="C1937" t="s">
        <v>2657</v>
      </c>
      <c r="D1937">
        <v>4.25</v>
      </c>
      <c r="E1937" s="1">
        <v>47514</v>
      </c>
      <c r="F1937" t="s">
        <v>1988</v>
      </c>
      <c r="G1937" t="s">
        <v>2657</v>
      </c>
      <c r="H1937" t="s">
        <v>2</v>
      </c>
      <c r="I1937" s="1">
        <v>46224</v>
      </c>
      <c r="J1937" t="s">
        <v>2065</v>
      </c>
      <c r="K1937" t="s">
        <v>2929</v>
      </c>
      <c r="L1937" s="1">
        <v>46224.917650462965</v>
      </c>
      <c r="M1937" s="1">
        <v>46224.91962439815</v>
      </c>
    </row>
    <row r="1938" spans="1:13" x14ac:dyDescent="0.35">
      <c r="A1938" t="s">
        <v>396</v>
      </c>
      <c r="B1938" t="s">
        <v>1986</v>
      </c>
      <c r="C1938" t="s">
        <v>2657</v>
      </c>
      <c r="D1938">
        <v>4.25</v>
      </c>
      <c r="E1938" s="1">
        <v>47514</v>
      </c>
      <c r="F1938" t="s">
        <v>1988</v>
      </c>
      <c r="G1938" t="s">
        <v>2657</v>
      </c>
      <c r="H1938" t="s">
        <v>2</v>
      </c>
      <c r="I1938" s="1">
        <v>46224</v>
      </c>
      <c r="J1938" t="s">
        <v>2146</v>
      </c>
      <c r="K1938" t="s">
        <v>2980</v>
      </c>
      <c r="L1938" s="1">
        <v>46224.917650462965</v>
      </c>
      <c r="M1938" s="1">
        <v>46224.91962439815</v>
      </c>
    </row>
    <row r="1939" spans="1:13" x14ac:dyDescent="0.35">
      <c r="A1939" t="s">
        <v>396</v>
      </c>
      <c r="B1939" t="s">
        <v>1986</v>
      </c>
      <c r="C1939" t="s">
        <v>2657</v>
      </c>
      <c r="D1939">
        <v>4.25</v>
      </c>
      <c r="E1939" s="1">
        <v>47514</v>
      </c>
      <c r="F1939" t="s">
        <v>1988</v>
      </c>
      <c r="G1939" t="s">
        <v>2657</v>
      </c>
      <c r="H1939" t="s">
        <v>2</v>
      </c>
      <c r="I1939" s="1">
        <v>46224</v>
      </c>
      <c r="J1939" t="s">
        <v>2064</v>
      </c>
      <c r="K1939" t="s">
        <v>2929</v>
      </c>
      <c r="L1939" s="1">
        <v>46224.917650462965</v>
      </c>
      <c r="M1939" s="1">
        <v>46224.91962439815</v>
      </c>
    </row>
    <row r="1940" spans="1:13" x14ac:dyDescent="0.35">
      <c r="A1940" t="s">
        <v>396</v>
      </c>
      <c r="B1940" t="s">
        <v>1986</v>
      </c>
      <c r="C1940" t="s">
        <v>2657</v>
      </c>
      <c r="D1940">
        <v>4.25</v>
      </c>
      <c r="E1940" s="1">
        <v>47514</v>
      </c>
      <c r="F1940" t="s">
        <v>1988</v>
      </c>
      <c r="G1940" t="s">
        <v>2657</v>
      </c>
      <c r="H1940" t="s">
        <v>2</v>
      </c>
      <c r="I1940" s="1">
        <v>46224</v>
      </c>
      <c r="J1940" t="s">
        <v>2108</v>
      </c>
      <c r="K1940" t="s">
        <v>2980</v>
      </c>
      <c r="L1940" s="1">
        <v>46224.917650462965</v>
      </c>
      <c r="M1940" s="1">
        <v>46224.91962439815</v>
      </c>
    </row>
    <row r="1941" spans="1:13" x14ac:dyDescent="0.35">
      <c r="A1941" t="s">
        <v>396</v>
      </c>
      <c r="B1941" t="s">
        <v>1986</v>
      </c>
      <c r="C1941" t="s">
        <v>2657</v>
      </c>
      <c r="D1941">
        <v>4.25</v>
      </c>
      <c r="E1941" s="1">
        <v>47514</v>
      </c>
      <c r="F1941" t="s">
        <v>1988</v>
      </c>
      <c r="G1941" t="s">
        <v>2657</v>
      </c>
      <c r="H1941" t="s">
        <v>2</v>
      </c>
      <c r="I1941" s="1">
        <v>46224</v>
      </c>
      <c r="J1941" t="s">
        <v>1989</v>
      </c>
      <c r="K1941" t="s">
        <v>3647</v>
      </c>
      <c r="L1941" s="1">
        <v>46224.918321759258</v>
      </c>
      <c r="M1941" s="1">
        <v>46224.91962439815</v>
      </c>
    </row>
    <row r="1942" spans="1:13" x14ac:dyDescent="0.35">
      <c r="A1942" t="s">
        <v>397</v>
      </c>
      <c r="B1942" t="s">
        <v>1986</v>
      </c>
      <c r="C1942" t="s">
        <v>2585</v>
      </c>
      <c r="D1942">
        <v>4.125</v>
      </c>
      <c r="E1942" s="1">
        <v>46418</v>
      </c>
      <c r="F1942" t="s">
        <v>1988</v>
      </c>
      <c r="G1942" t="s">
        <v>2585</v>
      </c>
      <c r="H1942" t="s">
        <v>2</v>
      </c>
      <c r="I1942" s="1">
        <v>46224</v>
      </c>
      <c r="J1942" t="s">
        <v>1989</v>
      </c>
      <c r="K1942" t="s">
        <v>3673</v>
      </c>
      <c r="L1942" s="1">
        <v>46224.918321759258</v>
      </c>
      <c r="M1942" s="1">
        <v>46224.91962439815</v>
      </c>
    </row>
    <row r="1943" spans="1:13" x14ac:dyDescent="0.35">
      <c r="A1943" t="s">
        <v>397</v>
      </c>
      <c r="B1943" t="s">
        <v>1986</v>
      </c>
      <c r="C1943" t="s">
        <v>2585</v>
      </c>
      <c r="D1943">
        <v>4.125</v>
      </c>
      <c r="E1943" s="1">
        <v>46418</v>
      </c>
      <c r="F1943" t="s">
        <v>1988</v>
      </c>
      <c r="G1943" t="s">
        <v>2585</v>
      </c>
      <c r="H1943" t="s">
        <v>2</v>
      </c>
      <c r="I1943" s="1">
        <v>46224</v>
      </c>
      <c r="J1943" t="s">
        <v>2064</v>
      </c>
      <c r="K1943" t="s">
        <v>3753</v>
      </c>
      <c r="L1943" s="1">
        <v>46224.917650462965</v>
      </c>
      <c r="M1943" s="1">
        <v>46224.91962439815</v>
      </c>
    </row>
    <row r="1944" spans="1:13" x14ac:dyDescent="0.35">
      <c r="A1944" t="s">
        <v>397</v>
      </c>
      <c r="B1944" t="s">
        <v>1986</v>
      </c>
      <c r="C1944" t="s">
        <v>2585</v>
      </c>
      <c r="D1944">
        <v>4.125</v>
      </c>
      <c r="E1944" s="1">
        <v>46418</v>
      </c>
      <c r="F1944" t="s">
        <v>1988</v>
      </c>
      <c r="G1944" t="s">
        <v>2585</v>
      </c>
      <c r="H1944" t="s">
        <v>2</v>
      </c>
      <c r="I1944" s="1">
        <v>46224</v>
      </c>
      <c r="J1944" t="s">
        <v>2108</v>
      </c>
      <c r="K1944" t="s">
        <v>3873</v>
      </c>
      <c r="L1944" s="1">
        <v>46224.917650462965</v>
      </c>
      <c r="M1944" s="1">
        <v>46224.91962439815</v>
      </c>
    </row>
    <row r="1945" spans="1:13" x14ac:dyDescent="0.35">
      <c r="A1945" t="s">
        <v>397</v>
      </c>
      <c r="B1945" t="s">
        <v>1986</v>
      </c>
      <c r="C1945" t="s">
        <v>2585</v>
      </c>
      <c r="D1945">
        <v>4.125</v>
      </c>
      <c r="E1945" s="1">
        <v>46418</v>
      </c>
      <c r="F1945" t="s">
        <v>1988</v>
      </c>
      <c r="G1945" t="s">
        <v>2585</v>
      </c>
      <c r="H1945" t="s">
        <v>2</v>
      </c>
      <c r="I1945" s="1">
        <v>46224</v>
      </c>
      <c r="J1945" t="s">
        <v>2065</v>
      </c>
      <c r="K1945" t="s">
        <v>3753</v>
      </c>
      <c r="L1945" s="1">
        <v>46224.917650462965</v>
      </c>
      <c r="M1945" s="1">
        <v>46224.91962439815</v>
      </c>
    </row>
    <row r="1946" spans="1:13" x14ac:dyDescent="0.35">
      <c r="A1946" t="s">
        <v>397</v>
      </c>
      <c r="B1946" t="s">
        <v>1986</v>
      </c>
      <c r="C1946" t="s">
        <v>2585</v>
      </c>
      <c r="D1946">
        <v>4.125</v>
      </c>
      <c r="E1946" s="1">
        <v>46418</v>
      </c>
      <c r="F1946" t="s">
        <v>1988</v>
      </c>
      <c r="G1946" t="s">
        <v>2585</v>
      </c>
      <c r="H1946" t="s">
        <v>2</v>
      </c>
      <c r="I1946" s="1">
        <v>46224</v>
      </c>
      <c r="J1946" t="s">
        <v>2146</v>
      </c>
      <c r="K1946" t="s">
        <v>3873</v>
      </c>
      <c r="L1946" s="1">
        <v>46224.917650462965</v>
      </c>
      <c r="M1946" s="1">
        <v>46224.91962439815</v>
      </c>
    </row>
    <row r="1947" spans="1:13" x14ac:dyDescent="0.35">
      <c r="A1947" t="s">
        <v>397</v>
      </c>
      <c r="B1947" t="s">
        <v>1986</v>
      </c>
      <c r="C1947" t="s">
        <v>2585</v>
      </c>
      <c r="D1947">
        <v>4.125</v>
      </c>
      <c r="E1947" s="1">
        <v>46418</v>
      </c>
      <c r="F1947" t="s">
        <v>1988</v>
      </c>
      <c r="G1947" t="s">
        <v>2585</v>
      </c>
      <c r="H1947" t="s">
        <v>2</v>
      </c>
      <c r="I1947" s="1">
        <v>46224</v>
      </c>
      <c r="J1947" t="s">
        <v>1991</v>
      </c>
      <c r="K1947" t="s">
        <v>2138</v>
      </c>
      <c r="L1947" s="1">
        <v>46224.918321759258</v>
      </c>
      <c r="M1947" s="1">
        <v>46224.91962439815</v>
      </c>
    </row>
    <row r="1948" spans="1:13" x14ac:dyDescent="0.35">
      <c r="A1948" t="s">
        <v>398</v>
      </c>
      <c r="B1948" t="s">
        <v>1986</v>
      </c>
      <c r="C1948" t="s">
        <v>2586</v>
      </c>
      <c r="D1948">
        <v>4.375</v>
      </c>
      <c r="E1948" s="1">
        <v>48244</v>
      </c>
      <c r="F1948" t="s">
        <v>1988</v>
      </c>
      <c r="G1948" t="s">
        <v>2586</v>
      </c>
      <c r="H1948" t="s">
        <v>2</v>
      </c>
      <c r="I1948" s="1">
        <v>46224</v>
      </c>
      <c r="J1948" t="s">
        <v>1991</v>
      </c>
      <c r="K1948" t="s">
        <v>3812</v>
      </c>
      <c r="L1948" s="1">
        <v>46224.918321759258</v>
      </c>
      <c r="M1948" s="1">
        <v>46224.91962439815</v>
      </c>
    </row>
    <row r="1949" spans="1:13" x14ac:dyDescent="0.35">
      <c r="A1949" t="s">
        <v>398</v>
      </c>
      <c r="B1949" t="s">
        <v>1986</v>
      </c>
      <c r="C1949" t="s">
        <v>2586</v>
      </c>
      <c r="D1949">
        <v>4.375</v>
      </c>
      <c r="E1949" s="1">
        <v>48244</v>
      </c>
      <c r="F1949" t="s">
        <v>1988</v>
      </c>
      <c r="G1949" t="s">
        <v>2586</v>
      </c>
      <c r="H1949" t="s">
        <v>2</v>
      </c>
      <c r="I1949" s="1">
        <v>46224</v>
      </c>
      <c r="J1949" t="s">
        <v>2065</v>
      </c>
      <c r="K1949" t="s">
        <v>3520</v>
      </c>
      <c r="L1949" s="1">
        <v>46224.917650462965</v>
      </c>
      <c r="M1949" s="1">
        <v>46224.91962439815</v>
      </c>
    </row>
    <row r="1950" spans="1:13" x14ac:dyDescent="0.35">
      <c r="A1950" t="s">
        <v>398</v>
      </c>
      <c r="B1950" t="s">
        <v>1986</v>
      </c>
      <c r="C1950" t="s">
        <v>2586</v>
      </c>
      <c r="D1950">
        <v>4.375</v>
      </c>
      <c r="E1950" s="1">
        <v>48244</v>
      </c>
      <c r="F1950" t="s">
        <v>1988</v>
      </c>
      <c r="G1950" t="s">
        <v>2586</v>
      </c>
      <c r="H1950" t="s">
        <v>2</v>
      </c>
      <c r="I1950" s="1">
        <v>46224</v>
      </c>
      <c r="J1950" t="s">
        <v>2146</v>
      </c>
      <c r="K1950" t="s">
        <v>2705</v>
      </c>
      <c r="L1950" s="1">
        <v>46224.917650462965</v>
      </c>
      <c r="M1950" s="1">
        <v>46224.91962439815</v>
      </c>
    </row>
    <row r="1951" spans="1:13" x14ac:dyDescent="0.35">
      <c r="A1951" t="s">
        <v>398</v>
      </c>
      <c r="B1951" t="s">
        <v>1986</v>
      </c>
      <c r="C1951" t="s">
        <v>2586</v>
      </c>
      <c r="D1951">
        <v>4.375</v>
      </c>
      <c r="E1951" s="1">
        <v>48244</v>
      </c>
      <c r="F1951" t="s">
        <v>1988</v>
      </c>
      <c r="G1951" t="s">
        <v>2586</v>
      </c>
      <c r="H1951" t="s">
        <v>2</v>
      </c>
      <c r="I1951" s="1">
        <v>46224</v>
      </c>
      <c r="J1951" t="s">
        <v>2064</v>
      </c>
      <c r="K1951" t="s">
        <v>3520</v>
      </c>
      <c r="L1951" s="1">
        <v>46224.917650462965</v>
      </c>
      <c r="M1951" s="1">
        <v>46224.91962439815</v>
      </c>
    </row>
    <row r="1952" spans="1:13" x14ac:dyDescent="0.35">
      <c r="A1952" t="s">
        <v>398</v>
      </c>
      <c r="B1952" t="s">
        <v>1986</v>
      </c>
      <c r="C1952" t="s">
        <v>2586</v>
      </c>
      <c r="D1952">
        <v>4.375</v>
      </c>
      <c r="E1952" s="1">
        <v>48244</v>
      </c>
      <c r="F1952" t="s">
        <v>1988</v>
      </c>
      <c r="G1952" t="s">
        <v>2586</v>
      </c>
      <c r="H1952" t="s">
        <v>2</v>
      </c>
      <c r="I1952" s="1">
        <v>46224</v>
      </c>
      <c r="J1952" t="s">
        <v>1989</v>
      </c>
      <c r="K1952" t="s">
        <v>3962</v>
      </c>
      <c r="L1952" s="1">
        <v>46224.918321759258</v>
      </c>
      <c r="M1952" s="1">
        <v>46224.91962439815</v>
      </c>
    </row>
    <row r="1953" spans="1:13" x14ac:dyDescent="0.35">
      <c r="A1953" t="s">
        <v>398</v>
      </c>
      <c r="B1953" t="s">
        <v>1986</v>
      </c>
      <c r="C1953" t="s">
        <v>2586</v>
      </c>
      <c r="D1953">
        <v>4.375</v>
      </c>
      <c r="E1953" s="1">
        <v>48244</v>
      </c>
      <c r="F1953" t="s">
        <v>1988</v>
      </c>
      <c r="G1953" t="s">
        <v>2586</v>
      </c>
      <c r="H1953" t="s">
        <v>2</v>
      </c>
      <c r="I1953" s="1">
        <v>46224</v>
      </c>
      <c r="J1953" t="s">
        <v>2108</v>
      </c>
      <c r="K1953" t="s">
        <v>2705</v>
      </c>
      <c r="L1953" s="1">
        <v>46224.917650462965</v>
      </c>
      <c r="M1953" s="1">
        <v>46224.91962439815</v>
      </c>
    </row>
    <row r="1954" spans="1:13" x14ac:dyDescent="0.35">
      <c r="A1954" t="s">
        <v>428</v>
      </c>
      <c r="B1954" t="s">
        <v>1986</v>
      </c>
      <c r="C1954" t="s">
        <v>2658</v>
      </c>
      <c r="D1954">
        <v>2.125</v>
      </c>
      <c r="E1954" s="1">
        <v>49324</v>
      </c>
      <c r="F1954" t="s">
        <v>2014</v>
      </c>
      <c r="G1954" t="s">
        <v>2658</v>
      </c>
      <c r="H1954" t="s">
        <v>2</v>
      </c>
      <c r="I1954" s="1">
        <v>46224</v>
      </c>
      <c r="J1954" t="s">
        <v>1989</v>
      </c>
      <c r="K1954" t="s">
        <v>2649</v>
      </c>
      <c r="L1954" s="1">
        <v>46224.918321759258</v>
      </c>
      <c r="M1954" s="1">
        <v>46224.91962439815</v>
      </c>
    </row>
    <row r="1955" spans="1:13" x14ac:dyDescent="0.35">
      <c r="A1955" t="s">
        <v>428</v>
      </c>
      <c r="B1955" t="s">
        <v>1986</v>
      </c>
      <c r="C1955" t="s">
        <v>2658</v>
      </c>
      <c r="D1955">
        <v>2.125</v>
      </c>
      <c r="E1955" s="1">
        <v>49324</v>
      </c>
      <c r="F1955" t="s">
        <v>2014</v>
      </c>
      <c r="G1955" t="s">
        <v>2658</v>
      </c>
      <c r="H1955" t="s">
        <v>2</v>
      </c>
      <c r="I1955" s="1">
        <v>46224</v>
      </c>
      <c r="J1955" t="s">
        <v>2064</v>
      </c>
      <c r="K1955" t="s">
        <v>3674</v>
      </c>
      <c r="L1955" s="1">
        <v>46224.917650462965</v>
      </c>
      <c r="M1955" s="1">
        <v>46224.91962439815</v>
      </c>
    </row>
    <row r="1956" spans="1:13" x14ac:dyDescent="0.35">
      <c r="A1956" t="s">
        <v>428</v>
      </c>
      <c r="B1956" t="s">
        <v>1986</v>
      </c>
      <c r="C1956" t="s">
        <v>2658</v>
      </c>
      <c r="D1956">
        <v>2.125</v>
      </c>
      <c r="E1956" s="1">
        <v>49324</v>
      </c>
      <c r="F1956" t="s">
        <v>2014</v>
      </c>
      <c r="G1956" t="s">
        <v>2658</v>
      </c>
      <c r="H1956" t="s">
        <v>2</v>
      </c>
      <c r="I1956" s="1">
        <v>46224</v>
      </c>
      <c r="J1956" t="s">
        <v>2146</v>
      </c>
      <c r="K1956" t="s">
        <v>3761</v>
      </c>
      <c r="L1956" s="1">
        <v>46224.917650462965</v>
      </c>
      <c r="M1956" s="1">
        <v>46224.91962439815</v>
      </c>
    </row>
    <row r="1957" spans="1:13" x14ac:dyDescent="0.35">
      <c r="A1957" t="s">
        <v>428</v>
      </c>
      <c r="B1957" t="s">
        <v>1986</v>
      </c>
      <c r="C1957" t="s">
        <v>2658</v>
      </c>
      <c r="D1957">
        <v>2.125</v>
      </c>
      <c r="E1957" s="1">
        <v>49324</v>
      </c>
      <c r="F1957" t="s">
        <v>2014</v>
      </c>
      <c r="G1957" t="s">
        <v>2658</v>
      </c>
      <c r="H1957" t="s">
        <v>2</v>
      </c>
      <c r="I1957" s="1">
        <v>46224</v>
      </c>
      <c r="J1957" t="s">
        <v>1991</v>
      </c>
      <c r="K1957" t="s">
        <v>2431</v>
      </c>
      <c r="L1957" s="1">
        <v>46224.918321759258</v>
      </c>
      <c r="M1957" s="1">
        <v>46224.91962439815</v>
      </c>
    </row>
    <row r="1958" spans="1:13" x14ac:dyDescent="0.35">
      <c r="A1958" t="s">
        <v>428</v>
      </c>
      <c r="B1958" t="s">
        <v>1986</v>
      </c>
      <c r="C1958" t="s">
        <v>2658</v>
      </c>
      <c r="D1958">
        <v>2.125</v>
      </c>
      <c r="E1958" s="1">
        <v>49324</v>
      </c>
      <c r="F1958" t="s">
        <v>2014</v>
      </c>
      <c r="G1958" t="s">
        <v>2658</v>
      </c>
      <c r="H1958" t="s">
        <v>2</v>
      </c>
      <c r="I1958" s="1">
        <v>46224</v>
      </c>
      <c r="J1958" t="s">
        <v>2065</v>
      </c>
      <c r="K1958" t="s">
        <v>3674</v>
      </c>
      <c r="L1958" s="1">
        <v>46224.917650462965</v>
      </c>
      <c r="M1958" s="1">
        <v>46224.91962439815</v>
      </c>
    </row>
    <row r="1959" spans="1:13" x14ac:dyDescent="0.35">
      <c r="A1959" t="s">
        <v>428</v>
      </c>
      <c r="B1959" t="s">
        <v>1986</v>
      </c>
      <c r="C1959" t="s">
        <v>2658</v>
      </c>
      <c r="D1959">
        <v>2.125</v>
      </c>
      <c r="E1959" s="1">
        <v>49324</v>
      </c>
      <c r="F1959" t="s">
        <v>2014</v>
      </c>
      <c r="G1959" t="s">
        <v>2658</v>
      </c>
      <c r="H1959" t="s">
        <v>2</v>
      </c>
      <c r="I1959" s="1">
        <v>46224</v>
      </c>
      <c r="J1959" t="s">
        <v>2108</v>
      </c>
      <c r="K1959" t="s">
        <v>3761</v>
      </c>
      <c r="L1959" s="1">
        <v>46224.917650462965</v>
      </c>
      <c r="M1959" s="1">
        <v>46224.91962439815</v>
      </c>
    </row>
    <row r="1960" spans="1:13" x14ac:dyDescent="0.35">
      <c r="A1960" t="s">
        <v>399</v>
      </c>
      <c r="B1960" t="s">
        <v>1986</v>
      </c>
      <c r="C1960" t="s">
        <v>2588</v>
      </c>
      <c r="D1960">
        <v>4.625</v>
      </c>
      <c r="E1960" s="1">
        <v>49355</v>
      </c>
      <c r="F1960" t="s">
        <v>1988</v>
      </c>
      <c r="G1960" t="s">
        <v>2588</v>
      </c>
      <c r="H1960" t="s">
        <v>2</v>
      </c>
      <c r="I1960" s="1">
        <v>46224</v>
      </c>
      <c r="J1960" t="s">
        <v>2108</v>
      </c>
      <c r="K1960" t="s">
        <v>3754</v>
      </c>
      <c r="L1960" s="1">
        <v>46224.917650462965</v>
      </c>
      <c r="M1960" s="1">
        <v>46224.91962439815</v>
      </c>
    </row>
    <row r="1961" spans="1:13" x14ac:dyDescent="0.35">
      <c r="A1961" t="s">
        <v>399</v>
      </c>
      <c r="B1961" t="s">
        <v>1986</v>
      </c>
      <c r="C1961" t="s">
        <v>2588</v>
      </c>
      <c r="D1961">
        <v>4.625</v>
      </c>
      <c r="E1961" s="1">
        <v>49355</v>
      </c>
      <c r="F1961" t="s">
        <v>1988</v>
      </c>
      <c r="G1961" t="s">
        <v>2588</v>
      </c>
      <c r="H1961" t="s">
        <v>2</v>
      </c>
      <c r="I1961" s="1">
        <v>46224</v>
      </c>
      <c r="J1961" t="s">
        <v>2064</v>
      </c>
      <c r="K1961" t="s">
        <v>3755</v>
      </c>
      <c r="L1961" s="1">
        <v>46224.917650462965</v>
      </c>
      <c r="M1961" s="1">
        <v>46224.91962439815</v>
      </c>
    </row>
    <row r="1962" spans="1:13" x14ac:dyDescent="0.35">
      <c r="A1962" t="s">
        <v>399</v>
      </c>
      <c r="B1962" t="s">
        <v>1986</v>
      </c>
      <c r="C1962" t="s">
        <v>2588</v>
      </c>
      <c r="D1962">
        <v>4.625</v>
      </c>
      <c r="E1962" s="1">
        <v>49355</v>
      </c>
      <c r="F1962" t="s">
        <v>1988</v>
      </c>
      <c r="G1962" t="s">
        <v>2588</v>
      </c>
      <c r="H1962" t="s">
        <v>2</v>
      </c>
      <c r="I1962" s="1">
        <v>46224</v>
      </c>
      <c r="J1962" t="s">
        <v>2065</v>
      </c>
      <c r="K1962" t="s">
        <v>3755</v>
      </c>
      <c r="L1962" s="1">
        <v>46224.917650462965</v>
      </c>
      <c r="M1962" s="1">
        <v>46224.91962439815</v>
      </c>
    </row>
    <row r="1963" spans="1:13" x14ac:dyDescent="0.35">
      <c r="A1963" t="s">
        <v>399</v>
      </c>
      <c r="B1963" t="s">
        <v>1986</v>
      </c>
      <c r="C1963" t="s">
        <v>2588</v>
      </c>
      <c r="D1963">
        <v>4.625</v>
      </c>
      <c r="E1963" s="1">
        <v>49355</v>
      </c>
      <c r="F1963" t="s">
        <v>1988</v>
      </c>
      <c r="G1963" t="s">
        <v>2588</v>
      </c>
      <c r="H1963" t="s">
        <v>2</v>
      </c>
      <c r="I1963" s="1">
        <v>46224</v>
      </c>
      <c r="J1963" t="s">
        <v>1991</v>
      </c>
      <c r="K1963" t="s">
        <v>3963</v>
      </c>
      <c r="L1963" s="1">
        <v>46224.918321759258</v>
      </c>
      <c r="M1963" s="1">
        <v>46224.91962439815</v>
      </c>
    </row>
    <row r="1964" spans="1:13" x14ac:dyDescent="0.35">
      <c r="A1964" t="s">
        <v>399</v>
      </c>
      <c r="B1964" t="s">
        <v>1986</v>
      </c>
      <c r="C1964" t="s">
        <v>2588</v>
      </c>
      <c r="D1964">
        <v>4.625</v>
      </c>
      <c r="E1964" s="1">
        <v>49355</v>
      </c>
      <c r="F1964" t="s">
        <v>1988</v>
      </c>
      <c r="G1964" t="s">
        <v>2588</v>
      </c>
      <c r="H1964" t="s">
        <v>2</v>
      </c>
      <c r="I1964" s="1">
        <v>46224</v>
      </c>
      <c r="J1964" t="s">
        <v>1989</v>
      </c>
      <c r="K1964" t="s">
        <v>4036</v>
      </c>
      <c r="L1964" s="1">
        <v>46224.918321759258</v>
      </c>
      <c r="M1964" s="1">
        <v>46224.91962439815</v>
      </c>
    </row>
    <row r="1965" spans="1:13" x14ac:dyDescent="0.35">
      <c r="A1965" t="s">
        <v>399</v>
      </c>
      <c r="B1965" t="s">
        <v>1986</v>
      </c>
      <c r="C1965" t="s">
        <v>2588</v>
      </c>
      <c r="D1965">
        <v>4.625</v>
      </c>
      <c r="E1965" s="1">
        <v>49355</v>
      </c>
      <c r="F1965" t="s">
        <v>1988</v>
      </c>
      <c r="G1965" t="s">
        <v>2588</v>
      </c>
      <c r="H1965" t="s">
        <v>2</v>
      </c>
      <c r="I1965" s="1">
        <v>46224</v>
      </c>
      <c r="J1965" t="s">
        <v>2146</v>
      </c>
      <c r="K1965" t="s">
        <v>3754</v>
      </c>
      <c r="L1965" s="1">
        <v>46224.917650462965</v>
      </c>
      <c r="M1965" s="1">
        <v>46224.91962439815</v>
      </c>
    </row>
    <row r="1966" spans="1:13" x14ac:dyDescent="0.35">
      <c r="A1966" t="s">
        <v>400</v>
      </c>
      <c r="B1966" t="s">
        <v>1986</v>
      </c>
      <c r="C1966" t="s">
        <v>2589</v>
      </c>
      <c r="D1966">
        <v>4.25</v>
      </c>
      <c r="E1966" s="1">
        <v>46798</v>
      </c>
      <c r="F1966" t="s">
        <v>1988</v>
      </c>
      <c r="G1966" t="s">
        <v>2589</v>
      </c>
      <c r="H1966" t="s">
        <v>2</v>
      </c>
      <c r="I1966" s="1">
        <v>46224</v>
      </c>
      <c r="J1966" t="s">
        <v>1991</v>
      </c>
      <c r="K1966" t="s">
        <v>2957</v>
      </c>
      <c r="L1966" s="1">
        <v>46224.918321759258</v>
      </c>
      <c r="M1966" s="1">
        <v>46224.91962439815</v>
      </c>
    </row>
    <row r="1967" spans="1:13" x14ac:dyDescent="0.35">
      <c r="A1967" t="s">
        <v>400</v>
      </c>
      <c r="B1967" t="s">
        <v>1986</v>
      </c>
      <c r="C1967" t="s">
        <v>2589</v>
      </c>
      <c r="D1967">
        <v>4.25</v>
      </c>
      <c r="E1967" s="1">
        <v>46798</v>
      </c>
      <c r="F1967" t="s">
        <v>1988</v>
      </c>
      <c r="G1967" t="s">
        <v>2589</v>
      </c>
      <c r="H1967" t="s">
        <v>2</v>
      </c>
      <c r="I1967" s="1">
        <v>46224</v>
      </c>
      <c r="J1967" t="s">
        <v>2108</v>
      </c>
      <c r="K1967" t="s">
        <v>2384</v>
      </c>
      <c r="L1967" s="1">
        <v>46224.917650462965</v>
      </c>
      <c r="M1967" s="1">
        <v>46224.91962439815</v>
      </c>
    </row>
    <row r="1968" spans="1:13" x14ac:dyDescent="0.35">
      <c r="A1968" t="s">
        <v>400</v>
      </c>
      <c r="B1968" t="s">
        <v>1986</v>
      </c>
      <c r="C1968" t="s">
        <v>2589</v>
      </c>
      <c r="D1968">
        <v>4.25</v>
      </c>
      <c r="E1968" s="1">
        <v>46798</v>
      </c>
      <c r="F1968" t="s">
        <v>1988</v>
      </c>
      <c r="G1968" t="s">
        <v>2589</v>
      </c>
      <c r="H1968" t="s">
        <v>2</v>
      </c>
      <c r="I1968" s="1">
        <v>46224</v>
      </c>
      <c r="J1968" t="s">
        <v>2064</v>
      </c>
      <c r="K1968" t="s">
        <v>2381</v>
      </c>
      <c r="L1968" s="1">
        <v>46224.917650462965</v>
      </c>
      <c r="M1968" s="1">
        <v>46224.91962439815</v>
      </c>
    </row>
    <row r="1969" spans="1:13" x14ac:dyDescent="0.35">
      <c r="A1969" t="s">
        <v>400</v>
      </c>
      <c r="B1969" t="s">
        <v>1986</v>
      </c>
      <c r="C1969" t="s">
        <v>2589</v>
      </c>
      <c r="D1969">
        <v>4.25</v>
      </c>
      <c r="E1969" s="1">
        <v>46798</v>
      </c>
      <c r="F1969" t="s">
        <v>1988</v>
      </c>
      <c r="G1969" t="s">
        <v>2589</v>
      </c>
      <c r="H1969" t="s">
        <v>2</v>
      </c>
      <c r="I1969" s="1">
        <v>46224</v>
      </c>
      <c r="J1969" t="s">
        <v>1989</v>
      </c>
      <c r="K1969" t="s">
        <v>2760</v>
      </c>
      <c r="L1969" s="1">
        <v>46224.918321759258</v>
      </c>
      <c r="M1969" s="1">
        <v>46224.91962439815</v>
      </c>
    </row>
    <row r="1970" spans="1:13" x14ac:dyDescent="0.35">
      <c r="A1970" t="s">
        <v>400</v>
      </c>
      <c r="B1970" t="s">
        <v>1986</v>
      </c>
      <c r="C1970" t="s">
        <v>2589</v>
      </c>
      <c r="D1970">
        <v>4.25</v>
      </c>
      <c r="E1970" s="1">
        <v>46798</v>
      </c>
      <c r="F1970" t="s">
        <v>1988</v>
      </c>
      <c r="G1970" t="s">
        <v>2589</v>
      </c>
      <c r="H1970" t="s">
        <v>2</v>
      </c>
      <c r="I1970" s="1">
        <v>46224</v>
      </c>
      <c r="J1970" t="s">
        <v>2146</v>
      </c>
      <c r="K1970" t="s">
        <v>2384</v>
      </c>
      <c r="L1970" s="1">
        <v>46224.917650462965</v>
      </c>
      <c r="M1970" s="1">
        <v>46224.91962439815</v>
      </c>
    </row>
    <row r="1971" spans="1:13" x14ac:dyDescent="0.35">
      <c r="A1971" t="s">
        <v>400</v>
      </c>
      <c r="B1971" t="s">
        <v>1986</v>
      </c>
      <c r="C1971" t="s">
        <v>2589</v>
      </c>
      <c r="D1971">
        <v>4.25</v>
      </c>
      <c r="E1971" s="1">
        <v>46798</v>
      </c>
      <c r="F1971" t="s">
        <v>1988</v>
      </c>
      <c r="G1971" t="s">
        <v>2589</v>
      </c>
      <c r="H1971" t="s">
        <v>2</v>
      </c>
      <c r="I1971" s="1">
        <v>46224</v>
      </c>
      <c r="J1971" t="s">
        <v>2065</v>
      </c>
      <c r="K1971" t="s">
        <v>2381</v>
      </c>
      <c r="L1971" s="1">
        <v>46224.917650462965</v>
      </c>
      <c r="M1971" s="1">
        <v>46224.91962439815</v>
      </c>
    </row>
    <row r="1972" spans="1:13" x14ac:dyDescent="0.35">
      <c r="A1972" t="s">
        <v>401</v>
      </c>
      <c r="B1972" t="s">
        <v>1986</v>
      </c>
      <c r="C1972" t="s">
        <v>2590</v>
      </c>
      <c r="D1972">
        <v>4.125</v>
      </c>
      <c r="E1972" s="1">
        <v>46446</v>
      </c>
      <c r="F1972" t="s">
        <v>1988</v>
      </c>
      <c r="G1972" t="s">
        <v>2590</v>
      </c>
      <c r="H1972" t="s">
        <v>2</v>
      </c>
      <c r="I1972" s="1">
        <v>46224</v>
      </c>
      <c r="J1972" t="s">
        <v>1991</v>
      </c>
      <c r="K1972" t="s">
        <v>2138</v>
      </c>
      <c r="L1972" s="1">
        <v>46224.918321759258</v>
      </c>
      <c r="M1972" s="1">
        <v>46224.91962439815</v>
      </c>
    </row>
    <row r="1973" spans="1:13" x14ac:dyDescent="0.35">
      <c r="A1973" t="s">
        <v>401</v>
      </c>
      <c r="B1973" t="s">
        <v>1986</v>
      </c>
      <c r="C1973" t="s">
        <v>2590</v>
      </c>
      <c r="D1973">
        <v>4.125</v>
      </c>
      <c r="E1973" s="1">
        <v>46446</v>
      </c>
      <c r="F1973" t="s">
        <v>1988</v>
      </c>
      <c r="G1973" t="s">
        <v>2590</v>
      </c>
      <c r="H1973" t="s">
        <v>2</v>
      </c>
      <c r="I1973" s="1">
        <v>46224</v>
      </c>
      <c r="J1973" t="s">
        <v>1989</v>
      </c>
      <c r="K1973" t="s">
        <v>3733</v>
      </c>
      <c r="L1973" s="1">
        <v>46224.918321759258</v>
      </c>
      <c r="M1973" s="1">
        <v>46224.91962439815</v>
      </c>
    </row>
    <row r="1974" spans="1:13" x14ac:dyDescent="0.35">
      <c r="A1974" t="s">
        <v>401</v>
      </c>
      <c r="B1974" t="s">
        <v>1986</v>
      </c>
      <c r="C1974" t="s">
        <v>2590</v>
      </c>
      <c r="D1974">
        <v>4.125</v>
      </c>
      <c r="E1974" s="1">
        <v>46446</v>
      </c>
      <c r="F1974" t="s">
        <v>1988</v>
      </c>
      <c r="G1974" t="s">
        <v>2590</v>
      </c>
      <c r="H1974" t="s">
        <v>2</v>
      </c>
      <c r="I1974" s="1">
        <v>46224</v>
      </c>
      <c r="J1974" t="s">
        <v>2064</v>
      </c>
      <c r="K1974" t="s">
        <v>3756</v>
      </c>
      <c r="L1974" s="1">
        <v>46224.917650462965</v>
      </c>
      <c r="M1974" s="1">
        <v>46224.91962439815</v>
      </c>
    </row>
    <row r="1975" spans="1:13" x14ac:dyDescent="0.35">
      <c r="A1975" t="s">
        <v>401</v>
      </c>
      <c r="B1975" t="s">
        <v>1986</v>
      </c>
      <c r="C1975" t="s">
        <v>2590</v>
      </c>
      <c r="D1975">
        <v>4.125</v>
      </c>
      <c r="E1975" s="1">
        <v>46446</v>
      </c>
      <c r="F1975" t="s">
        <v>1988</v>
      </c>
      <c r="G1975" t="s">
        <v>2590</v>
      </c>
      <c r="H1975" t="s">
        <v>2</v>
      </c>
      <c r="I1975" s="1">
        <v>46224</v>
      </c>
      <c r="J1975" t="s">
        <v>2108</v>
      </c>
      <c r="K1975" t="s">
        <v>3048</v>
      </c>
      <c r="L1975" s="1">
        <v>46224.917650462965</v>
      </c>
      <c r="M1975" s="1">
        <v>46224.91962439815</v>
      </c>
    </row>
    <row r="1976" spans="1:13" x14ac:dyDescent="0.35">
      <c r="A1976" t="s">
        <v>401</v>
      </c>
      <c r="B1976" t="s">
        <v>1986</v>
      </c>
      <c r="C1976" t="s">
        <v>2590</v>
      </c>
      <c r="D1976">
        <v>4.125</v>
      </c>
      <c r="E1976" s="1">
        <v>46446</v>
      </c>
      <c r="F1976" t="s">
        <v>1988</v>
      </c>
      <c r="G1976" t="s">
        <v>2590</v>
      </c>
      <c r="H1976" t="s">
        <v>2</v>
      </c>
      <c r="I1976" s="1">
        <v>46224</v>
      </c>
      <c r="J1976" t="s">
        <v>2146</v>
      </c>
      <c r="K1976" t="s">
        <v>3048</v>
      </c>
      <c r="L1976" s="1">
        <v>46224.917650462965</v>
      </c>
      <c r="M1976" s="1">
        <v>46224.91962439815</v>
      </c>
    </row>
    <row r="1977" spans="1:13" x14ac:dyDescent="0.35">
      <c r="A1977" t="s">
        <v>401</v>
      </c>
      <c r="B1977" t="s">
        <v>1986</v>
      </c>
      <c r="C1977" t="s">
        <v>2590</v>
      </c>
      <c r="D1977">
        <v>4.125</v>
      </c>
      <c r="E1977" s="1">
        <v>46446</v>
      </c>
      <c r="F1977" t="s">
        <v>1988</v>
      </c>
      <c r="G1977" t="s">
        <v>2590</v>
      </c>
      <c r="H1977" t="s">
        <v>2</v>
      </c>
      <c r="I1977" s="1">
        <v>46224</v>
      </c>
      <c r="J1977" t="s">
        <v>2065</v>
      </c>
      <c r="K1977" t="s">
        <v>3756</v>
      </c>
      <c r="L1977" s="1">
        <v>46224.917650462965</v>
      </c>
      <c r="M1977" s="1">
        <v>46224.91962439815</v>
      </c>
    </row>
    <row r="1978" spans="1:13" x14ac:dyDescent="0.35">
      <c r="A1978" t="s">
        <v>429</v>
      </c>
      <c r="B1978" t="s">
        <v>1986</v>
      </c>
      <c r="C1978" t="s">
        <v>2646</v>
      </c>
      <c r="D1978">
        <v>4.125</v>
      </c>
      <c r="E1978" s="1">
        <v>48273</v>
      </c>
      <c r="F1978" t="s">
        <v>1988</v>
      </c>
      <c r="G1978" t="s">
        <v>2646</v>
      </c>
      <c r="H1978" t="s">
        <v>2</v>
      </c>
      <c r="I1978" s="1">
        <v>46224</v>
      </c>
      <c r="J1978" t="s">
        <v>1991</v>
      </c>
      <c r="K1978" t="s">
        <v>3675</v>
      </c>
      <c r="L1978" s="1">
        <v>46224.918321759258</v>
      </c>
      <c r="M1978" s="1">
        <v>46224.91962439815</v>
      </c>
    </row>
    <row r="1979" spans="1:13" x14ac:dyDescent="0.35">
      <c r="A1979" t="s">
        <v>429</v>
      </c>
      <c r="B1979" t="s">
        <v>1986</v>
      </c>
      <c r="C1979" t="s">
        <v>2646</v>
      </c>
      <c r="D1979">
        <v>4.125</v>
      </c>
      <c r="E1979" s="1">
        <v>48273</v>
      </c>
      <c r="F1979" t="s">
        <v>1988</v>
      </c>
      <c r="G1979" t="s">
        <v>2646</v>
      </c>
      <c r="H1979" t="s">
        <v>2</v>
      </c>
      <c r="I1979" s="1">
        <v>46224</v>
      </c>
      <c r="J1979" t="s">
        <v>2146</v>
      </c>
      <c r="K1979" t="s">
        <v>3676</v>
      </c>
      <c r="L1979" s="1">
        <v>46224.917650462965</v>
      </c>
      <c r="M1979" s="1">
        <v>46224.91962439815</v>
      </c>
    </row>
    <row r="1980" spans="1:13" x14ac:dyDescent="0.35">
      <c r="A1980" t="s">
        <v>429</v>
      </c>
      <c r="B1980" t="s">
        <v>1986</v>
      </c>
      <c r="C1980" t="s">
        <v>2646</v>
      </c>
      <c r="D1980">
        <v>4.125</v>
      </c>
      <c r="E1980" s="1">
        <v>48273</v>
      </c>
      <c r="F1980" t="s">
        <v>1988</v>
      </c>
      <c r="G1980" t="s">
        <v>2646</v>
      </c>
      <c r="H1980" t="s">
        <v>2</v>
      </c>
      <c r="I1980" s="1">
        <v>46224</v>
      </c>
      <c r="J1980" t="s">
        <v>2064</v>
      </c>
      <c r="K1980" t="s">
        <v>3757</v>
      </c>
      <c r="L1980" s="1">
        <v>46224.917650462965</v>
      </c>
      <c r="M1980" s="1">
        <v>46224.91962439815</v>
      </c>
    </row>
    <row r="1981" spans="1:13" x14ac:dyDescent="0.35">
      <c r="A1981" t="s">
        <v>429</v>
      </c>
      <c r="B1981" t="s">
        <v>1986</v>
      </c>
      <c r="C1981" t="s">
        <v>2646</v>
      </c>
      <c r="D1981">
        <v>4.125</v>
      </c>
      <c r="E1981" s="1">
        <v>48273</v>
      </c>
      <c r="F1981" t="s">
        <v>1988</v>
      </c>
      <c r="G1981" t="s">
        <v>2646</v>
      </c>
      <c r="H1981" t="s">
        <v>2</v>
      </c>
      <c r="I1981" s="1">
        <v>46224</v>
      </c>
      <c r="J1981" t="s">
        <v>2108</v>
      </c>
      <c r="K1981" t="s">
        <v>3676</v>
      </c>
      <c r="L1981" s="1">
        <v>46224.917650462965</v>
      </c>
      <c r="M1981" s="1">
        <v>46224.91962439815</v>
      </c>
    </row>
    <row r="1982" spans="1:13" x14ac:dyDescent="0.35">
      <c r="A1982" t="s">
        <v>429</v>
      </c>
      <c r="B1982" t="s">
        <v>1986</v>
      </c>
      <c r="C1982" t="s">
        <v>2646</v>
      </c>
      <c r="D1982">
        <v>4.125</v>
      </c>
      <c r="E1982" s="1">
        <v>48273</v>
      </c>
      <c r="F1982" t="s">
        <v>1988</v>
      </c>
      <c r="G1982" t="s">
        <v>2646</v>
      </c>
      <c r="H1982" t="s">
        <v>2</v>
      </c>
      <c r="I1982" s="1">
        <v>46224</v>
      </c>
      <c r="J1982" t="s">
        <v>2065</v>
      </c>
      <c r="K1982" t="s">
        <v>3757</v>
      </c>
      <c r="L1982" s="1">
        <v>46224.917650462965</v>
      </c>
      <c r="M1982" s="1">
        <v>46224.91962439815</v>
      </c>
    </row>
    <row r="1983" spans="1:13" x14ac:dyDescent="0.35">
      <c r="A1983" t="s">
        <v>429</v>
      </c>
      <c r="B1983" t="s">
        <v>1986</v>
      </c>
      <c r="C1983" t="s">
        <v>2646</v>
      </c>
      <c r="D1983">
        <v>4.125</v>
      </c>
      <c r="E1983" s="1">
        <v>48273</v>
      </c>
      <c r="F1983" t="s">
        <v>1988</v>
      </c>
      <c r="G1983" t="s">
        <v>2646</v>
      </c>
      <c r="H1983" t="s">
        <v>2</v>
      </c>
      <c r="I1983" s="1">
        <v>46224</v>
      </c>
      <c r="J1983" t="s">
        <v>1989</v>
      </c>
      <c r="K1983" t="s">
        <v>2773</v>
      </c>
      <c r="L1983" s="1">
        <v>46224.918321759258</v>
      </c>
      <c r="M1983" s="1">
        <v>46224.91962439815</v>
      </c>
    </row>
    <row r="1984" spans="1:13" x14ac:dyDescent="0.35">
      <c r="A1984" t="s">
        <v>402</v>
      </c>
      <c r="B1984" t="s">
        <v>1986</v>
      </c>
      <c r="C1984" t="s">
        <v>2591</v>
      </c>
      <c r="D1984">
        <v>3.875</v>
      </c>
      <c r="E1984" s="1">
        <v>46827</v>
      </c>
      <c r="F1984" t="s">
        <v>1988</v>
      </c>
      <c r="G1984" t="s">
        <v>2591</v>
      </c>
      <c r="H1984" t="s">
        <v>2</v>
      </c>
      <c r="I1984" s="1">
        <v>46224</v>
      </c>
      <c r="J1984" t="s">
        <v>2108</v>
      </c>
      <c r="K1984" t="s">
        <v>3455</v>
      </c>
      <c r="L1984" s="1">
        <v>46224.917650462965</v>
      </c>
      <c r="M1984" s="1">
        <v>46224.91962439815</v>
      </c>
    </row>
    <row r="1985" spans="1:13" x14ac:dyDescent="0.35">
      <c r="A1985" t="s">
        <v>402</v>
      </c>
      <c r="B1985" t="s">
        <v>1986</v>
      </c>
      <c r="C1985" t="s">
        <v>2591</v>
      </c>
      <c r="D1985">
        <v>3.875</v>
      </c>
      <c r="E1985" s="1">
        <v>46827</v>
      </c>
      <c r="F1985" t="s">
        <v>1988</v>
      </c>
      <c r="G1985" t="s">
        <v>2591</v>
      </c>
      <c r="H1985" t="s">
        <v>2</v>
      </c>
      <c r="I1985" s="1">
        <v>46224</v>
      </c>
      <c r="J1985" t="s">
        <v>1989</v>
      </c>
      <c r="K1985" t="s">
        <v>4144</v>
      </c>
      <c r="L1985" s="1">
        <v>46224.918321759258</v>
      </c>
      <c r="M1985" s="1">
        <v>46224.91962439815</v>
      </c>
    </row>
    <row r="1986" spans="1:13" x14ac:dyDescent="0.35">
      <c r="A1986" t="s">
        <v>402</v>
      </c>
      <c r="B1986" t="s">
        <v>1986</v>
      </c>
      <c r="C1986" t="s">
        <v>2591</v>
      </c>
      <c r="D1986">
        <v>3.875</v>
      </c>
      <c r="E1986" s="1">
        <v>46827</v>
      </c>
      <c r="F1986" t="s">
        <v>1988</v>
      </c>
      <c r="G1986" t="s">
        <v>2591</v>
      </c>
      <c r="H1986" t="s">
        <v>2</v>
      </c>
      <c r="I1986" s="1">
        <v>46224</v>
      </c>
      <c r="J1986" t="s">
        <v>2065</v>
      </c>
      <c r="K1986" t="s">
        <v>3892</v>
      </c>
      <c r="L1986" s="1">
        <v>46224.917650462965</v>
      </c>
      <c r="M1986" s="1">
        <v>46224.91962439815</v>
      </c>
    </row>
    <row r="1987" spans="1:13" x14ac:dyDescent="0.35">
      <c r="A1987" t="s">
        <v>402</v>
      </c>
      <c r="B1987" t="s">
        <v>1986</v>
      </c>
      <c r="C1987" t="s">
        <v>2591</v>
      </c>
      <c r="D1987">
        <v>3.875</v>
      </c>
      <c r="E1987" s="1">
        <v>46827</v>
      </c>
      <c r="F1987" t="s">
        <v>1988</v>
      </c>
      <c r="G1987" t="s">
        <v>2591</v>
      </c>
      <c r="H1987" t="s">
        <v>2</v>
      </c>
      <c r="I1987" s="1">
        <v>46224</v>
      </c>
      <c r="J1987" t="s">
        <v>1991</v>
      </c>
      <c r="K1987" t="s">
        <v>2785</v>
      </c>
      <c r="L1987" s="1">
        <v>46224.918321759258</v>
      </c>
      <c r="M1987" s="1">
        <v>46224.91962439815</v>
      </c>
    </row>
    <row r="1988" spans="1:13" x14ac:dyDescent="0.35">
      <c r="A1988" t="s">
        <v>402</v>
      </c>
      <c r="B1988" t="s">
        <v>1986</v>
      </c>
      <c r="C1988" t="s">
        <v>2591</v>
      </c>
      <c r="D1988">
        <v>3.875</v>
      </c>
      <c r="E1988" s="1">
        <v>46827</v>
      </c>
      <c r="F1988" t="s">
        <v>1988</v>
      </c>
      <c r="G1988" t="s">
        <v>2591</v>
      </c>
      <c r="H1988" t="s">
        <v>2</v>
      </c>
      <c r="I1988" s="1">
        <v>46224</v>
      </c>
      <c r="J1988" t="s">
        <v>2146</v>
      </c>
      <c r="K1988" t="s">
        <v>3455</v>
      </c>
      <c r="L1988" s="1">
        <v>46224.917650462965</v>
      </c>
      <c r="M1988" s="1">
        <v>46224.91962439815</v>
      </c>
    </row>
    <row r="1989" spans="1:13" x14ac:dyDescent="0.35">
      <c r="A1989" t="s">
        <v>402</v>
      </c>
      <c r="B1989" t="s">
        <v>1986</v>
      </c>
      <c r="C1989" t="s">
        <v>2591</v>
      </c>
      <c r="D1989">
        <v>3.875</v>
      </c>
      <c r="E1989" s="1">
        <v>46827</v>
      </c>
      <c r="F1989" t="s">
        <v>1988</v>
      </c>
      <c r="G1989" t="s">
        <v>2591</v>
      </c>
      <c r="H1989" t="s">
        <v>2</v>
      </c>
      <c r="I1989" s="1">
        <v>46224</v>
      </c>
      <c r="J1989" t="s">
        <v>2064</v>
      </c>
      <c r="K1989" t="s">
        <v>3892</v>
      </c>
      <c r="L1989" s="1">
        <v>46224.917650462965</v>
      </c>
      <c r="M1989" s="1">
        <v>46224.91962439815</v>
      </c>
    </row>
    <row r="1990" spans="1:13" x14ac:dyDescent="0.35">
      <c r="A1990" t="s">
        <v>430</v>
      </c>
      <c r="B1990" t="s">
        <v>1986</v>
      </c>
      <c r="C1990" t="s">
        <v>2648</v>
      </c>
      <c r="D1990">
        <v>4.125</v>
      </c>
      <c r="E1990" s="1">
        <v>48304</v>
      </c>
      <c r="F1990" t="s">
        <v>1988</v>
      </c>
      <c r="G1990" t="s">
        <v>2648</v>
      </c>
      <c r="H1990" t="s">
        <v>2</v>
      </c>
      <c r="I1990" s="1">
        <v>46224</v>
      </c>
      <c r="J1990" t="s">
        <v>2065</v>
      </c>
      <c r="K1990" t="s">
        <v>3813</v>
      </c>
      <c r="L1990" s="1">
        <v>46224.917650462965</v>
      </c>
      <c r="M1990" s="1">
        <v>46224.91962439815</v>
      </c>
    </row>
    <row r="1991" spans="1:13" x14ac:dyDescent="0.35">
      <c r="A1991" t="s">
        <v>430</v>
      </c>
      <c r="B1991" t="s">
        <v>1986</v>
      </c>
      <c r="C1991" t="s">
        <v>2648</v>
      </c>
      <c r="D1991">
        <v>4.125</v>
      </c>
      <c r="E1991" s="1">
        <v>48304</v>
      </c>
      <c r="F1991" t="s">
        <v>1988</v>
      </c>
      <c r="G1991" t="s">
        <v>2648</v>
      </c>
      <c r="H1991" t="s">
        <v>2</v>
      </c>
      <c r="I1991" s="1">
        <v>46224</v>
      </c>
      <c r="J1991" t="s">
        <v>1991</v>
      </c>
      <c r="K1991" t="s">
        <v>3677</v>
      </c>
      <c r="L1991" s="1">
        <v>46224.918321759258</v>
      </c>
      <c r="M1991" s="1">
        <v>46224.91962439815</v>
      </c>
    </row>
    <row r="1992" spans="1:13" x14ac:dyDescent="0.35">
      <c r="A1992" t="s">
        <v>430</v>
      </c>
      <c r="B1992" t="s">
        <v>1986</v>
      </c>
      <c r="C1992" t="s">
        <v>2648</v>
      </c>
      <c r="D1992">
        <v>4.125</v>
      </c>
      <c r="E1992" s="1">
        <v>48304</v>
      </c>
      <c r="F1992" t="s">
        <v>1988</v>
      </c>
      <c r="G1992" t="s">
        <v>2648</v>
      </c>
      <c r="H1992" t="s">
        <v>2</v>
      </c>
      <c r="I1992" s="1">
        <v>46224</v>
      </c>
      <c r="J1992" t="s">
        <v>2108</v>
      </c>
      <c r="K1992" t="s">
        <v>2877</v>
      </c>
      <c r="L1992" s="1">
        <v>46224.917650462965</v>
      </c>
      <c r="M1992" s="1">
        <v>46224.91962439815</v>
      </c>
    </row>
    <row r="1993" spans="1:13" x14ac:dyDescent="0.35">
      <c r="A1993" t="s">
        <v>430</v>
      </c>
      <c r="B1993" t="s">
        <v>1986</v>
      </c>
      <c r="C1993" t="s">
        <v>2648</v>
      </c>
      <c r="D1993">
        <v>4.125</v>
      </c>
      <c r="E1993" s="1">
        <v>48304</v>
      </c>
      <c r="F1993" t="s">
        <v>1988</v>
      </c>
      <c r="G1993" t="s">
        <v>2648</v>
      </c>
      <c r="H1993" t="s">
        <v>2</v>
      </c>
      <c r="I1993" s="1">
        <v>46224</v>
      </c>
      <c r="J1993" t="s">
        <v>1989</v>
      </c>
      <c r="K1993" t="s">
        <v>2737</v>
      </c>
      <c r="L1993" s="1">
        <v>46224.918321759258</v>
      </c>
      <c r="M1993" s="1">
        <v>46224.91962439815</v>
      </c>
    </row>
    <row r="1994" spans="1:13" x14ac:dyDescent="0.35">
      <c r="A1994" t="s">
        <v>430</v>
      </c>
      <c r="B1994" t="s">
        <v>1986</v>
      </c>
      <c r="C1994" t="s">
        <v>2648</v>
      </c>
      <c r="D1994">
        <v>4.125</v>
      </c>
      <c r="E1994" s="1">
        <v>48304</v>
      </c>
      <c r="F1994" t="s">
        <v>1988</v>
      </c>
      <c r="G1994" t="s">
        <v>2648</v>
      </c>
      <c r="H1994" t="s">
        <v>2</v>
      </c>
      <c r="I1994" s="1">
        <v>46224</v>
      </c>
      <c r="J1994" t="s">
        <v>2064</v>
      </c>
      <c r="K1994" t="s">
        <v>3813</v>
      </c>
      <c r="L1994" s="1">
        <v>46224.917650462965</v>
      </c>
      <c r="M1994" s="1">
        <v>46224.91962439815</v>
      </c>
    </row>
    <row r="1995" spans="1:13" x14ac:dyDescent="0.35">
      <c r="A1995" t="s">
        <v>430</v>
      </c>
      <c r="B1995" t="s">
        <v>1986</v>
      </c>
      <c r="C1995" t="s">
        <v>2648</v>
      </c>
      <c r="D1995">
        <v>4.125</v>
      </c>
      <c r="E1995" s="1">
        <v>48304</v>
      </c>
      <c r="F1995" t="s">
        <v>1988</v>
      </c>
      <c r="G1995" t="s">
        <v>2648</v>
      </c>
      <c r="H1995" t="s">
        <v>2</v>
      </c>
      <c r="I1995" s="1">
        <v>46224</v>
      </c>
      <c r="J1995" t="s">
        <v>2146</v>
      </c>
      <c r="K1995" t="s">
        <v>2877</v>
      </c>
      <c r="L1995" s="1">
        <v>46224.917650462965</v>
      </c>
      <c r="M1995" s="1">
        <v>46224.91962439815</v>
      </c>
    </row>
    <row r="1996" spans="1:13" x14ac:dyDescent="0.35">
      <c r="A1996" t="s">
        <v>431</v>
      </c>
      <c r="B1996" t="s">
        <v>1986</v>
      </c>
      <c r="C1996" t="s">
        <v>2592</v>
      </c>
      <c r="D1996">
        <v>4</v>
      </c>
      <c r="E1996" s="1">
        <v>47573</v>
      </c>
      <c r="F1996" t="s">
        <v>1988</v>
      </c>
      <c r="G1996" t="s">
        <v>2592</v>
      </c>
      <c r="H1996" t="s">
        <v>2</v>
      </c>
      <c r="I1996" s="1">
        <v>46224</v>
      </c>
      <c r="J1996" t="s">
        <v>1989</v>
      </c>
      <c r="K1996" t="s">
        <v>2818</v>
      </c>
      <c r="L1996" s="1">
        <v>46224.918321759258</v>
      </c>
      <c r="M1996" s="1">
        <v>46224.91962439815</v>
      </c>
    </row>
    <row r="1997" spans="1:13" x14ac:dyDescent="0.35">
      <c r="A1997" t="s">
        <v>431</v>
      </c>
      <c r="B1997" t="s">
        <v>1986</v>
      </c>
      <c r="C1997" t="s">
        <v>2592</v>
      </c>
      <c r="D1997">
        <v>4</v>
      </c>
      <c r="E1997" s="1">
        <v>47573</v>
      </c>
      <c r="F1997" t="s">
        <v>1988</v>
      </c>
      <c r="G1997" t="s">
        <v>2592</v>
      </c>
      <c r="H1997" t="s">
        <v>2</v>
      </c>
      <c r="I1997" s="1">
        <v>46224</v>
      </c>
      <c r="J1997" t="s">
        <v>2108</v>
      </c>
      <c r="K1997" t="s">
        <v>3758</v>
      </c>
      <c r="L1997" s="1">
        <v>46224.917650462965</v>
      </c>
      <c r="M1997" s="1">
        <v>46224.91962439815</v>
      </c>
    </row>
    <row r="1998" spans="1:13" x14ac:dyDescent="0.35">
      <c r="A1998" t="s">
        <v>431</v>
      </c>
      <c r="B1998" t="s">
        <v>1986</v>
      </c>
      <c r="C1998" t="s">
        <v>2592</v>
      </c>
      <c r="D1998">
        <v>4</v>
      </c>
      <c r="E1998" s="1">
        <v>47573</v>
      </c>
      <c r="F1998" t="s">
        <v>1988</v>
      </c>
      <c r="G1998" t="s">
        <v>2592</v>
      </c>
      <c r="H1998" t="s">
        <v>2</v>
      </c>
      <c r="I1998" s="1">
        <v>46224</v>
      </c>
      <c r="J1998" t="s">
        <v>2064</v>
      </c>
      <c r="K1998" t="s">
        <v>2929</v>
      </c>
      <c r="L1998" s="1">
        <v>46224.917650462965</v>
      </c>
      <c r="M1998" s="1">
        <v>46224.91962439815</v>
      </c>
    </row>
    <row r="1999" spans="1:13" x14ac:dyDescent="0.35">
      <c r="A1999" t="s">
        <v>431</v>
      </c>
      <c r="B1999" t="s">
        <v>1986</v>
      </c>
      <c r="C1999" t="s">
        <v>2592</v>
      </c>
      <c r="D1999">
        <v>4</v>
      </c>
      <c r="E1999" s="1">
        <v>47573</v>
      </c>
      <c r="F1999" t="s">
        <v>1988</v>
      </c>
      <c r="G1999" t="s">
        <v>2592</v>
      </c>
      <c r="H1999" t="s">
        <v>2</v>
      </c>
      <c r="I1999" s="1">
        <v>46224</v>
      </c>
      <c r="J1999" t="s">
        <v>2065</v>
      </c>
      <c r="K1999" t="s">
        <v>2929</v>
      </c>
      <c r="L1999" s="1">
        <v>46224.917650462965</v>
      </c>
      <c r="M1999" s="1">
        <v>46224.91962439815</v>
      </c>
    </row>
    <row r="2000" spans="1:13" x14ac:dyDescent="0.35">
      <c r="A2000" t="s">
        <v>431</v>
      </c>
      <c r="B2000" t="s">
        <v>1986</v>
      </c>
      <c r="C2000" t="s">
        <v>2592</v>
      </c>
      <c r="D2000">
        <v>4</v>
      </c>
      <c r="E2000" s="1">
        <v>47573</v>
      </c>
      <c r="F2000" t="s">
        <v>1988</v>
      </c>
      <c r="G2000" t="s">
        <v>2592</v>
      </c>
      <c r="H2000" t="s">
        <v>2</v>
      </c>
      <c r="I2000" s="1">
        <v>46224</v>
      </c>
      <c r="J2000" t="s">
        <v>1991</v>
      </c>
      <c r="K2000" t="s">
        <v>3022</v>
      </c>
      <c r="L2000" s="1">
        <v>46224.918321759258</v>
      </c>
      <c r="M2000" s="1">
        <v>46224.91962439815</v>
      </c>
    </row>
    <row r="2001" spans="1:13" x14ac:dyDescent="0.35">
      <c r="A2001" t="s">
        <v>431</v>
      </c>
      <c r="B2001" t="s">
        <v>1986</v>
      </c>
      <c r="C2001" t="s">
        <v>2592</v>
      </c>
      <c r="D2001">
        <v>4</v>
      </c>
      <c r="E2001" s="1">
        <v>47573</v>
      </c>
      <c r="F2001" t="s">
        <v>1988</v>
      </c>
      <c r="G2001" t="s">
        <v>2592</v>
      </c>
      <c r="H2001" t="s">
        <v>2</v>
      </c>
      <c r="I2001" s="1">
        <v>46224</v>
      </c>
      <c r="J2001" t="s">
        <v>2146</v>
      </c>
      <c r="K2001" t="s">
        <v>3758</v>
      </c>
      <c r="L2001" s="1">
        <v>46224.917650462965</v>
      </c>
      <c r="M2001" s="1">
        <v>46224.91962439815</v>
      </c>
    </row>
    <row r="2002" spans="1:13" x14ac:dyDescent="0.35">
      <c r="A2002" t="s">
        <v>437</v>
      </c>
      <c r="B2002" t="s">
        <v>1986</v>
      </c>
      <c r="C2002" t="s">
        <v>2662</v>
      </c>
      <c r="D2002">
        <v>3.875</v>
      </c>
      <c r="E2002" s="1">
        <v>46477</v>
      </c>
      <c r="F2002" t="s">
        <v>1988</v>
      </c>
      <c r="G2002" t="s">
        <v>2662</v>
      </c>
      <c r="H2002" t="s">
        <v>2</v>
      </c>
      <c r="I2002" s="1">
        <v>46224</v>
      </c>
      <c r="J2002" t="s">
        <v>2146</v>
      </c>
      <c r="K2002" t="s">
        <v>3759</v>
      </c>
      <c r="L2002" s="1">
        <v>46224.917650462965</v>
      </c>
      <c r="M2002" s="1">
        <v>46224.91962439815</v>
      </c>
    </row>
    <row r="2003" spans="1:13" x14ac:dyDescent="0.35">
      <c r="A2003" t="s">
        <v>437</v>
      </c>
      <c r="B2003" t="s">
        <v>1986</v>
      </c>
      <c r="C2003" t="s">
        <v>2662</v>
      </c>
      <c r="D2003">
        <v>3.875</v>
      </c>
      <c r="E2003" s="1">
        <v>46477</v>
      </c>
      <c r="F2003" t="s">
        <v>1988</v>
      </c>
      <c r="G2003" t="s">
        <v>2662</v>
      </c>
      <c r="H2003" t="s">
        <v>2</v>
      </c>
      <c r="I2003" s="1">
        <v>46224</v>
      </c>
      <c r="J2003" t="s">
        <v>2064</v>
      </c>
      <c r="K2003" t="s">
        <v>3021</v>
      </c>
      <c r="L2003" s="1">
        <v>46224.917650462965</v>
      </c>
      <c r="M2003" s="1">
        <v>46224.91962439815</v>
      </c>
    </row>
    <row r="2004" spans="1:13" x14ac:dyDescent="0.35">
      <c r="A2004" t="s">
        <v>437</v>
      </c>
      <c r="B2004" t="s">
        <v>1986</v>
      </c>
      <c r="C2004" t="s">
        <v>2662</v>
      </c>
      <c r="D2004">
        <v>3.875</v>
      </c>
      <c r="E2004" s="1">
        <v>46477</v>
      </c>
      <c r="F2004" t="s">
        <v>1988</v>
      </c>
      <c r="G2004" t="s">
        <v>2662</v>
      </c>
      <c r="H2004" t="s">
        <v>2</v>
      </c>
      <c r="I2004" s="1">
        <v>46224</v>
      </c>
      <c r="J2004" t="s">
        <v>2065</v>
      </c>
      <c r="K2004" t="s">
        <v>3021</v>
      </c>
      <c r="L2004" s="1">
        <v>46224.917650462965</v>
      </c>
      <c r="M2004" s="1">
        <v>46224.91962439815</v>
      </c>
    </row>
    <row r="2005" spans="1:13" x14ac:dyDescent="0.35">
      <c r="A2005" t="s">
        <v>437</v>
      </c>
      <c r="B2005" t="s">
        <v>1986</v>
      </c>
      <c r="C2005" t="s">
        <v>2662</v>
      </c>
      <c r="D2005">
        <v>3.875</v>
      </c>
      <c r="E2005" s="1">
        <v>46477</v>
      </c>
      <c r="F2005" t="s">
        <v>1988</v>
      </c>
      <c r="G2005" t="s">
        <v>2662</v>
      </c>
      <c r="H2005" t="s">
        <v>2</v>
      </c>
      <c r="I2005" s="1">
        <v>46224</v>
      </c>
      <c r="J2005" t="s">
        <v>1991</v>
      </c>
      <c r="K2005" t="s">
        <v>3960</v>
      </c>
      <c r="L2005" s="1">
        <v>46224.918321759258</v>
      </c>
      <c r="M2005" s="1">
        <v>46224.91962439815</v>
      </c>
    </row>
    <row r="2006" spans="1:13" x14ac:dyDescent="0.35">
      <c r="A2006" t="s">
        <v>437</v>
      </c>
      <c r="B2006" t="s">
        <v>1986</v>
      </c>
      <c r="C2006" t="s">
        <v>2662</v>
      </c>
      <c r="D2006">
        <v>3.875</v>
      </c>
      <c r="E2006" s="1">
        <v>46477</v>
      </c>
      <c r="F2006" t="s">
        <v>1988</v>
      </c>
      <c r="G2006" t="s">
        <v>2662</v>
      </c>
      <c r="H2006" t="s">
        <v>2</v>
      </c>
      <c r="I2006" s="1">
        <v>46224</v>
      </c>
      <c r="J2006" t="s">
        <v>2108</v>
      </c>
      <c r="K2006" t="s">
        <v>3759</v>
      </c>
      <c r="L2006" s="1">
        <v>46224.917650462965</v>
      </c>
      <c r="M2006" s="1">
        <v>46224.91962439815</v>
      </c>
    </row>
    <row r="2007" spans="1:13" x14ac:dyDescent="0.35">
      <c r="A2007" t="s">
        <v>437</v>
      </c>
      <c r="B2007" t="s">
        <v>1986</v>
      </c>
      <c r="C2007" t="s">
        <v>2662</v>
      </c>
      <c r="D2007">
        <v>3.875</v>
      </c>
      <c r="E2007" s="1">
        <v>46477</v>
      </c>
      <c r="F2007" t="s">
        <v>1988</v>
      </c>
      <c r="G2007" t="s">
        <v>2662</v>
      </c>
      <c r="H2007" t="s">
        <v>2</v>
      </c>
      <c r="I2007" s="1">
        <v>46224</v>
      </c>
      <c r="J2007" t="s">
        <v>1989</v>
      </c>
      <c r="K2007" t="s">
        <v>3019</v>
      </c>
      <c r="L2007" s="1">
        <v>46224.918321759258</v>
      </c>
      <c r="M2007" s="1">
        <v>46224.91962439815</v>
      </c>
    </row>
    <row r="2008" spans="1:13" x14ac:dyDescent="0.35">
      <c r="A2008" t="s">
        <v>432</v>
      </c>
      <c r="B2008" t="s">
        <v>1986</v>
      </c>
      <c r="C2008" t="s">
        <v>2594</v>
      </c>
      <c r="D2008">
        <v>3.75</v>
      </c>
      <c r="E2008" s="1">
        <v>46858</v>
      </c>
      <c r="F2008" t="s">
        <v>1988</v>
      </c>
      <c r="G2008" t="s">
        <v>2594</v>
      </c>
      <c r="H2008" t="s">
        <v>2</v>
      </c>
      <c r="I2008" s="1">
        <v>46224</v>
      </c>
      <c r="J2008" t="s">
        <v>1989</v>
      </c>
      <c r="K2008" t="s">
        <v>2659</v>
      </c>
      <c r="L2008" s="1">
        <v>46224.918321759258</v>
      </c>
      <c r="M2008" s="1">
        <v>46224.91962439815</v>
      </c>
    </row>
    <row r="2009" spans="1:13" x14ac:dyDescent="0.35">
      <c r="A2009" t="s">
        <v>432</v>
      </c>
      <c r="B2009" t="s">
        <v>1986</v>
      </c>
      <c r="C2009" t="s">
        <v>2594</v>
      </c>
      <c r="D2009">
        <v>3.75</v>
      </c>
      <c r="E2009" s="1">
        <v>46858</v>
      </c>
      <c r="F2009" t="s">
        <v>1988</v>
      </c>
      <c r="G2009" t="s">
        <v>2594</v>
      </c>
      <c r="H2009" t="s">
        <v>2</v>
      </c>
      <c r="I2009" s="1">
        <v>46224</v>
      </c>
      <c r="J2009" t="s">
        <v>1991</v>
      </c>
      <c r="K2009" t="s">
        <v>3760</v>
      </c>
      <c r="L2009" s="1">
        <v>46224.918321759258</v>
      </c>
      <c r="M2009" s="1">
        <v>46224.91962439815</v>
      </c>
    </row>
    <row r="2010" spans="1:13" x14ac:dyDescent="0.35">
      <c r="A2010" t="s">
        <v>432</v>
      </c>
      <c r="B2010" t="s">
        <v>1986</v>
      </c>
      <c r="C2010" t="s">
        <v>2594</v>
      </c>
      <c r="D2010">
        <v>3.75</v>
      </c>
      <c r="E2010" s="1">
        <v>46858</v>
      </c>
      <c r="F2010" t="s">
        <v>1988</v>
      </c>
      <c r="G2010" t="s">
        <v>2594</v>
      </c>
      <c r="H2010" t="s">
        <v>2</v>
      </c>
      <c r="I2010" s="1">
        <v>46224</v>
      </c>
      <c r="J2010" t="s">
        <v>2064</v>
      </c>
      <c r="K2010" t="s">
        <v>2526</v>
      </c>
      <c r="L2010" s="1">
        <v>46224.917650462965</v>
      </c>
      <c r="M2010" s="1">
        <v>46224.91962439815</v>
      </c>
    </row>
    <row r="2011" spans="1:13" x14ac:dyDescent="0.35">
      <c r="A2011" t="s">
        <v>432</v>
      </c>
      <c r="B2011" t="s">
        <v>1986</v>
      </c>
      <c r="C2011" t="s">
        <v>2594</v>
      </c>
      <c r="D2011">
        <v>3.75</v>
      </c>
      <c r="E2011" s="1">
        <v>46858</v>
      </c>
      <c r="F2011" t="s">
        <v>1988</v>
      </c>
      <c r="G2011" t="s">
        <v>2594</v>
      </c>
      <c r="H2011" t="s">
        <v>2</v>
      </c>
      <c r="I2011" s="1">
        <v>46224</v>
      </c>
      <c r="J2011" t="s">
        <v>2108</v>
      </c>
      <c r="K2011" t="s">
        <v>2584</v>
      </c>
      <c r="L2011" s="1">
        <v>46224.917650462965</v>
      </c>
      <c r="M2011" s="1">
        <v>46224.91962439815</v>
      </c>
    </row>
    <row r="2012" spans="1:13" x14ac:dyDescent="0.35">
      <c r="A2012" t="s">
        <v>432</v>
      </c>
      <c r="B2012" t="s">
        <v>1986</v>
      </c>
      <c r="C2012" t="s">
        <v>2594</v>
      </c>
      <c r="D2012">
        <v>3.75</v>
      </c>
      <c r="E2012" s="1">
        <v>46858</v>
      </c>
      <c r="F2012" t="s">
        <v>1988</v>
      </c>
      <c r="G2012" t="s">
        <v>2594</v>
      </c>
      <c r="H2012" t="s">
        <v>2</v>
      </c>
      <c r="I2012" s="1">
        <v>46224</v>
      </c>
      <c r="J2012" t="s">
        <v>2065</v>
      </c>
      <c r="K2012" t="s">
        <v>2526</v>
      </c>
      <c r="L2012" s="1">
        <v>46224.917650462965</v>
      </c>
      <c r="M2012" s="1">
        <v>46224.91962439815</v>
      </c>
    </row>
    <row r="2013" spans="1:13" x14ac:dyDescent="0.35">
      <c r="A2013" t="s">
        <v>432</v>
      </c>
      <c r="B2013" t="s">
        <v>1986</v>
      </c>
      <c r="C2013" t="s">
        <v>2594</v>
      </c>
      <c r="D2013">
        <v>3.75</v>
      </c>
      <c r="E2013" s="1">
        <v>46858</v>
      </c>
      <c r="F2013" t="s">
        <v>1988</v>
      </c>
      <c r="G2013" t="s">
        <v>2594</v>
      </c>
      <c r="H2013" t="s">
        <v>2</v>
      </c>
      <c r="I2013" s="1">
        <v>46224</v>
      </c>
      <c r="J2013" t="s">
        <v>2146</v>
      </c>
      <c r="K2013" t="s">
        <v>2584</v>
      </c>
      <c r="L2013" s="1">
        <v>46224.917650462965</v>
      </c>
      <c r="M2013" s="1">
        <v>46224.91962439815</v>
      </c>
    </row>
    <row r="2014" spans="1:13" x14ac:dyDescent="0.35">
      <c r="A2014" t="s">
        <v>438</v>
      </c>
      <c r="B2014" t="s">
        <v>1986</v>
      </c>
      <c r="C2014" t="s">
        <v>2595</v>
      </c>
      <c r="D2014">
        <v>3.75</v>
      </c>
      <c r="E2014" s="1">
        <v>46507</v>
      </c>
      <c r="F2014" t="s">
        <v>1988</v>
      </c>
      <c r="G2014" t="s">
        <v>2595</v>
      </c>
      <c r="H2014" t="s">
        <v>2</v>
      </c>
      <c r="I2014" s="1">
        <v>46224</v>
      </c>
      <c r="J2014" t="s">
        <v>2064</v>
      </c>
      <c r="K2014" t="s">
        <v>3469</v>
      </c>
      <c r="L2014" s="1">
        <v>46224.917650462965</v>
      </c>
      <c r="M2014" s="1">
        <v>46224.91962439815</v>
      </c>
    </row>
    <row r="2015" spans="1:13" x14ac:dyDescent="0.35">
      <c r="A2015" t="s">
        <v>438</v>
      </c>
      <c r="B2015" t="s">
        <v>1986</v>
      </c>
      <c r="C2015" t="s">
        <v>2595</v>
      </c>
      <c r="D2015">
        <v>3.75</v>
      </c>
      <c r="E2015" s="1">
        <v>46507</v>
      </c>
      <c r="F2015" t="s">
        <v>1988</v>
      </c>
      <c r="G2015" t="s">
        <v>2595</v>
      </c>
      <c r="H2015" t="s">
        <v>2</v>
      </c>
      <c r="I2015" s="1">
        <v>46224</v>
      </c>
      <c r="J2015" t="s">
        <v>2065</v>
      </c>
      <c r="K2015" t="s">
        <v>3469</v>
      </c>
      <c r="L2015" s="1">
        <v>46224.917650462965</v>
      </c>
      <c r="M2015" s="1">
        <v>46224.91962439815</v>
      </c>
    </row>
    <row r="2016" spans="1:13" x14ac:dyDescent="0.35">
      <c r="A2016" t="s">
        <v>438</v>
      </c>
      <c r="B2016" t="s">
        <v>1986</v>
      </c>
      <c r="C2016" t="s">
        <v>2595</v>
      </c>
      <c r="D2016">
        <v>3.75</v>
      </c>
      <c r="E2016" s="1">
        <v>46507</v>
      </c>
      <c r="F2016" t="s">
        <v>1988</v>
      </c>
      <c r="G2016" t="s">
        <v>2595</v>
      </c>
      <c r="H2016" t="s">
        <v>2</v>
      </c>
      <c r="I2016" s="1">
        <v>46224</v>
      </c>
      <c r="J2016" t="s">
        <v>1989</v>
      </c>
      <c r="K2016" t="s">
        <v>2718</v>
      </c>
      <c r="L2016" s="1">
        <v>46224.918321759258</v>
      </c>
      <c r="M2016" s="1">
        <v>46224.91962439815</v>
      </c>
    </row>
    <row r="2017" spans="1:13" x14ac:dyDescent="0.35">
      <c r="A2017" t="s">
        <v>438</v>
      </c>
      <c r="B2017" t="s">
        <v>1986</v>
      </c>
      <c r="C2017" t="s">
        <v>2595</v>
      </c>
      <c r="D2017">
        <v>3.75</v>
      </c>
      <c r="E2017" s="1">
        <v>46507</v>
      </c>
      <c r="F2017" t="s">
        <v>1988</v>
      </c>
      <c r="G2017" t="s">
        <v>2595</v>
      </c>
      <c r="H2017" t="s">
        <v>2</v>
      </c>
      <c r="I2017" s="1">
        <v>46224</v>
      </c>
      <c r="J2017" t="s">
        <v>1991</v>
      </c>
      <c r="K2017" t="s">
        <v>3015</v>
      </c>
      <c r="L2017" s="1">
        <v>46224.918321759258</v>
      </c>
      <c r="M2017" s="1">
        <v>46224.91962439815</v>
      </c>
    </row>
    <row r="2018" spans="1:13" x14ac:dyDescent="0.35">
      <c r="A2018" t="s">
        <v>438</v>
      </c>
      <c r="B2018" t="s">
        <v>1986</v>
      </c>
      <c r="C2018" t="s">
        <v>2595</v>
      </c>
      <c r="D2018">
        <v>3.75</v>
      </c>
      <c r="E2018" s="1">
        <v>46507</v>
      </c>
      <c r="F2018" t="s">
        <v>1988</v>
      </c>
      <c r="G2018" t="s">
        <v>2595</v>
      </c>
      <c r="H2018" t="s">
        <v>2</v>
      </c>
      <c r="I2018" s="1">
        <v>46224</v>
      </c>
      <c r="J2018" t="s">
        <v>2108</v>
      </c>
      <c r="K2018" t="s">
        <v>3531</v>
      </c>
      <c r="L2018" s="1">
        <v>46224.917650462965</v>
      </c>
      <c r="M2018" s="1">
        <v>46224.91962439815</v>
      </c>
    </row>
    <row r="2019" spans="1:13" x14ac:dyDescent="0.35">
      <c r="A2019" t="s">
        <v>438</v>
      </c>
      <c r="B2019" t="s">
        <v>1986</v>
      </c>
      <c r="C2019" t="s">
        <v>2595</v>
      </c>
      <c r="D2019">
        <v>3.75</v>
      </c>
      <c r="E2019" s="1">
        <v>46507</v>
      </c>
      <c r="F2019" t="s">
        <v>1988</v>
      </c>
      <c r="G2019" t="s">
        <v>2595</v>
      </c>
      <c r="H2019" t="s">
        <v>2</v>
      </c>
      <c r="I2019" s="1">
        <v>46224</v>
      </c>
      <c r="J2019" t="s">
        <v>2146</v>
      </c>
      <c r="K2019" t="s">
        <v>3531</v>
      </c>
      <c r="L2019" s="1">
        <v>46224.917650462965</v>
      </c>
      <c r="M2019" s="1">
        <v>46224.91962439815</v>
      </c>
    </row>
    <row r="2020" spans="1:13" x14ac:dyDescent="0.35">
      <c r="A2020" t="s">
        <v>439</v>
      </c>
      <c r="B2020" t="s">
        <v>1986</v>
      </c>
      <c r="C2020" t="s">
        <v>2772</v>
      </c>
      <c r="D2020">
        <v>3.875</v>
      </c>
      <c r="E2020" s="1">
        <v>47603</v>
      </c>
      <c r="F2020" t="s">
        <v>1988</v>
      </c>
      <c r="G2020" t="s">
        <v>2772</v>
      </c>
      <c r="H2020" t="s">
        <v>2</v>
      </c>
      <c r="I2020" s="1">
        <v>46224</v>
      </c>
      <c r="J2020" t="s">
        <v>1991</v>
      </c>
      <c r="K2020" t="s">
        <v>3024</v>
      </c>
      <c r="L2020" s="1">
        <v>46224.918321759258</v>
      </c>
      <c r="M2020" s="1">
        <v>46224.91962439815</v>
      </c>
    </row>
    <row r="2021" spans="1:13" x14ac:dyDescent="0.35">
      <c r="A2021" t="s">
        <v>439</v>
      </c>
      <c r="B2021" t="s">
        <v>1986</v>
      </c>
      <c r="C2021" t="s">
        <v>2772</v>
      </c>
      <c r="D2021">
        <v>3.875</v>
      </c>
      <c r="E2021" s="1">
        <v>47603</v>
      </c>
      <c r="F2021" t="s">
        <v>1988</v>
      </c>
      <c r="G2021" t="s">
        <v>2772</v>
      </c>
      <c r="H2021" t="s">
        <v>2</v>
      </c>
      <c r="I2021" s="1">
        <v>46224</v>
      </c>
      <c r="J2021" t="s">
        <v>2108</v>
      </c>
      <c r="K2021" t="s">
        <v>3758</v>
      </c>
      <c r="L2021" s="1">
        <v>46224.917650462965</v>
      </c>
      <c r="M2021" s="1">
        <v>46224.91962439815</v>
      </c>
    </row>
    <row r="2022" spans="1:13" x14ac:dyDescent="0.35">
      <c r="A2022" t="s">
        <v>439</v>
      </c>
      <c r="B2022" t="s">
        <v>1986</v>
      </c>
      <c r="C2022" t="s">
        <v>2772</v>
      </c>
      <c r="D2022">
        <v>3.875</v>
      </c>
      <c r="E2022" s="1">
        <v>47603</v>
      </c>
      <c r="F2022" t="s">
        <v>1988</v>
      </c>
      <c r="G2022" t="s">
        <v>2772</v>
      </c>
      <c r="H2022" t="s">
        <v>2</v>
      </c>
      <c r="I2022" s="1">
        <v>46224</v>
      </c>
      <c r="J2022" t="s">
        <v>2146</v>
      </c>
      <c r="K2022" t="s">
        <v>3758</v>
      </c>
      <c r="L2022" s="1">
        <v>46224.917650462965</v>
      </c>
      <c r="M2022" s="1">
        <v>46224.91962439815</v>
      </c>
    </row>
    <row r="2023" spans="1:13" x14ac:dyDescent="0.35">
      <c r="A2023" t="s">
        <v>439</v>
      </c>
      <c r="B2023" t="s">
        <v>1986</v>
      </c>
      <c r="C2023" t="s">
        <v>2772</v>
      </c>
      <c r="D2023">
        <v>3.875</v>
      </c>
      <c r="E2023" s="1">
        <v>47603</v>
      </c>
      <c r="F2023" t="s">
        <v>1988</v>
      </c>
      <c r="G2023" t="s">
        <v>2772</v>
      </c>
      <c r="H2023" t="s">
        <v>2</v>
      </c>
      <c r="I2023" s="1">
        <v>46224</v>
      </c>
      <c r="J2023" t="s">
        <v>1989</v>
      </c>
      <c r="K2023" t="s">
        <v>3964</v>
      </c>
      <c r="L2023" s="1">
        <v>46224.918321759258</v>
      </c>
      <c r="M2023" s="1">
        <v>46224.91962439815</v>
      </c>
    </row>
    <row r="2024" spans="1:13" x14ac:dyDescent="0.35">
      <c r="A2024" t="s">
        <v>439</v>
      </c>
      <c r="B2024" t="s">
        <v>1986</v>
      </c>
      <c r="C2024" t="s">
        <v>2772</v>
      </c>
      <c r="D2024">
        <v>3.875</v>
      </c>
      <c r="E2024" s="1">
        <v>47603</v>
      </c>
      <c r="F2024" t="s">
        <v>1988</v>
      </c>
      <c r="G2024" t="s">
        <v>2772</v>
      </c>
      <c r="H2024" t="s">
        <v>2</v>
      </c>
      <c r="I2024" s="1">
        <v>46224</v>
      </c>
      <c r="J2024" t="s">
        <v>2065</v>
      </c>
      <c r="K2024" t="s">
        <v>2656</v>
      </c>
      <c r="L2024" s="1">
        <v>46224.917650462965</v>
      </c>
      <c r="M2024" s="1">
        <v>46224.91962439815</v>
      </c>
    </row>
    <row r="2025" spans="1:13" x14ac:dyDescent="0.35">
      <c r="A2025" t="s">
        <v>439</v>
      </c>
      <c r="B2025" t="s">
        <v>1986</v>
      </c>
      <c r="C2025" t="s">
        <v>2772</v>
      </c>
      <c r="D2025">
        <v>3.875</v>
      </c>
      <c r="E2025" s="1">
        <v>47603</v>
      </c>
      <c r="F2025" t="s">
        <v>1988</v>
      </c>
      <c r="G2025" t="s">
        <v>2772</v>
      </c>
      <c r="H2025" t="s">
        <v>2</v>
      </c>
      <c r="I2025" s="1">
        <v>46224</v>
      </c>
      <c r="J2025" t="s">
        <v>2064</v>
      </c>
      <c r="K2025" t="s">
        <v>2656</v>
      </c>
      <c r="L2025" s="1">
        <v>46224.917650462965</v>
      </c>
      <c r="M2025" s="1">
        <v>46224.91962439815</v>
      </c>
    </row>
    <row r="2026" spans="1:13" x14ac:dyDescent="0.35">
      <c r="A2026" t="s">
        <v>403</v>
      </c>
      <c r="B2026" t="s">
        <v>1986</v>
      </c>
      <c r="C2026" t="s">
        <v>2596</v>
      </c>
      <c r="D2026">
        <v>4</v>
      </c>
      <c r="E2026" s="1">
        <v>48334</v>
      </c>
      <c r="F2026" t="s">
        <v>1988</v>
      </c>
      <c r="G2026" t="s">
        <v>2596</v>
      </c>
      <c r="H2026" t="s">
        <v>2</v>
      </c>
      <c r="I2026" s="1">
        <v>46224</v>
      </c>
      <c r="J2026" t="s">
        <v>1991</v>
      </c>
      <c r="K2026" t="s">
        <v>2982</v>
      </c>
      <c r="L2026" s="1">
        <v>46224.918321759258</v>
      </c>
      <c r="M2026" s="1">
        <v>46224.91962439815</v>
      </c>
    </row>
    <row r="2027" spans="1:13" x14ac:dyDescent="0.35">
      <c r="A2027" t="s">
        <v>403</v>
      </c>
      <c r="B2027" t="s">
        <v>1986</v>
      </c>
      <c r="C2027" t="s">
        <v>2596</v>
      </c>
      <c r="D2027">
        <v>4</v>
      </c>
      <c r="E2027" s="1">
        <v>48334</v>
      </c>
      <c r="F2027" t="s">
        <v>1988</v>
      </c>
      <c r="G2027" t="s">
        <v>2596</v>
      </c>
      <c r="H2027" t="s">
        <v>2</v>
      </c>
      <c r="I2027" s="1">
        <v>46224</v>
      </c>
      <c r="J2027" t="s">
        <v>1989</v>
      </c>
      <c r="K2027" t="s">
        <v>3899</v>
      </c>
      <c r="L2027" s="1">
        <v>46224.918321759258</v>
      </c>
      <c r="M2027" s="1">
        <v>46224.91962439815</v>
      </c>
    </row>
    <row r="2028" spans="1:13" x14ac:dyDescent="0.35">
      <c r="A2028" t="s">
        <v>403</v>
      </c>
      <c r="B2028" t="s">
        <v>1986</v>
      </c>
      <c r="C2028" t="s">
        <v>2596</v>
      </c>
      <c r="D2028">
        <v>4</v>
      </c>
      <c r="E2028" s="1">
        <v>48334</v>
      </c>
      <c r="F2028" t="s">
        <v>1988</v>
      </c>
      <c r="G2028" t="s">
        <v>2596</v>
      </c>
      <c r="H2028" t="s">
        <v>2</v>
      </c>
      <c r="I2028" s="1">
        <v>46224</v>
      </c>
      <c r="J2028" t="s">
        <v>2065</v>
      </c>
      <c r="K2028" t="s">
        <v>3893</v>
      </c>
      <c r="L2028" s="1">
        <v>46224.917650462965</v>
      </c>
      <c r="M2028" s="1">
        <v>46224.91962439815</v>
      </c>
    </row>
    <row r="2029" spans="1:13" x14ac:dyDescent="0.35">
      <c r="A2029" t="s">
        <v>403</v>
      </c>
      <c r="B2029" t="s">
        <v>1986</v>
      </c>
      <c r="C2029" t="s">
        <v>2596</v>
      </c>
      <c r="D2029">
        <v>4</v>
      </c>
      <c r="E2029" s="1">
        <v>48334</v>
      </c>
      <c r="F2029" t="s">
        <v>1988</v>
      </c>
      <c r="G2029" t="s">
        <v>2596</v>
      </c>
      <c r="H2029" t="s">
        <v>2</v>
      </c>
      <c r="I2029" s="1">
        <v>46224</v>
      </c>
      <c r="J2029" t="s">
        <v>2108</v>
      </c>
      <c r="K2029" t="s">
        <v>3813</v>
      </c>
      <c r="L2029" s="1">
        <v>46224.917650462965</v>
      </c>
      <c r="M2029" s="1">
        <v>46224.91962439815</v>
      </c>
    </row>
    <row r="2030" spans="1:13" x14ac:dyDescent="0.35">
      <c r="A2030" t="s">
        <v>403</v>
      </c>
      <c r="B2030" t="s">
        <v>1986</v>
      </c>
      <c r="C2030" t="s">
        <v>2596</v>
      </c>
      <c r="D2030">
        <v>4</v>
      </c>
      <c r="E2030" s="1">
        <v>48334</v>
      </c>
      <c r="F2030" t="s">
        <v>1988</v>
      </c>
      <c r="G2030" t="s">
        <v>2596</v>
      </c>
      <c r="H2030" t="s">
        <v>2</v>
      </c>
      <c r="I2030" s="1">
        <v>46224</v>
      </c>
      <c r="J2030" t="s">
        <v>2064</v>
      </c>
      <c r="K2030" t="s">
        <v>3893</v>
      </c>
      <c r="L2030" s="1">
        <v>46224.917650462965</v>
      </c>
      <c r="M2030" s="1">
        <v>46224.91962439815</v>
      </c>
    </row>
    <row r="2031" spans="1:13" x14ac:dyDescent="0.35">
      <c r="A2031" t="s">
        <v>403</v>
      </c>
      <c r="B2031" t="s">
        <v>1986</v>
      </c>
      <c r="C2031" t="s">
        <v>2596</v>
      </c>
      <c r="D2031">
        <v>4</v>
      </c>
      <c r="E2031" s="1">
        <v>48334</v>
      </c>
      <c r="F2031" t="s">
        <v>1988</v>
      </c>
      <c r="G2031" t="s">
        <v>2596</v>
      </c>
      <c r="H2031" t="s">
        <v>2</v>
      </c>
      <c r="I2031" s="1">
        <v>46224</v>
      </c>
      <c r="J2031" t="s">
        <v>2146</v>
      </c>
      <c r="K2031" t="s">
        <v>3813</v>
      </c>
      <c r="L2031" s="1">
        <v>46224.917650462965</v>
      </c>
      <c r="M2031" s="1">
        <v>46224.91962439815</v>
      </c>
    </row>
    <row r="2032" spans="1:13" x14ac:dyDescent="0.35">
      <c r="A2032" t="s">
        <v>404</v>
      </c>
      <c r="B2032" t="s">
        <v>1986</v>
      </c>
      <c r="C2032" t="s">
        <v>2598</v>
      </c>
      <c r="D2032">
        <v>1.625</v>
      </c>
      <c r="E2032" s="1">
        <v>47588</v>
      </c>
      <c r="F2032" t="s">
        <v>2014</v>
      </c>
      <c r="G2032" t="s">
        <v>2598</v>
      </c>
      <c r="H2032" t="s">
        <v>2</v>
      </c>
      <c r="I2032" s="1">
        <v>46224</v>
      </c>
      <c r="J2032" t="s">
        <v>1989</v>
      </c>
      <c r="K2032" t="s">
        <v>2928</v>
      </c>
      <c r="L2032" s="1">
        <v>46224.918321759258</v>
      </c>
      <c r="M2032" s="1">
        <v>46224.91962439815</v>
      </c>
    </row>
    <row r="2033" spans="1:13" x14ac:dyDescent="0.35">
      <c r="A2033" t="s">
        <v>404</v>
      </c>
      <c r="B2033" t="s">
        <v>1986</v>
      </c>
      <c r="C2033" t="s">
        <v>2598</v>
      </c>
      <c r="D2033">
        <v>1.625</v>
      </c>
      <c r="E2033" s="1">
        <v>47588</v>
      </c>
      <c r="F2033" t="s">
        <v>2014</v>
      </c>
      <c r="G2033" t="s">
        <v>2598</v>
      </c>
      <c r="H2033" t="s">
        <v>2</v>
      </c>
      <c r="I2033" s="1">
        <v>46224</v>
      </c>
      <c r="J2033" t="s">
        <v>1991</v>
      </c>
      <c r="K2033" t="s">
        <v>2896</v>
      </c>
      <c r="L2033" s="1">
        <v>46224.918321759258</v>
      </c>
      <c r="M2033" s="1">
        <v>46224.91962439815</v>
      </c>
    </row>
    <row r="2034" spans="1:13" x14ac:dyDescent="0.35">
      <c r="A2034" t="s">
        <v>404</v>
      </c>
      <c r="B2034" t="s">
        <v>1986</v>
      </c>
      <c r="C2034" t="s">
        <v>2598</v>
      </c>
      <c r="D2034">
        <v>1.625</v>
      </c>
      <c r="E2034" s="1">
        <v>47588</v>
      </c>
      <c r="F2034" t="s">
        <v>2014</v>
      </c>
      <c r="G2034" t="s">
        <v>2598</v>
      </c>
      <c r="H2034" t="s">
        <v>2</v>
      </c>
      <c r="I2034" s="1">
        <v>46224</v>
      </c>
      <c r="J2034" t="s">
        <v>2065</v>
      </c>
      <c r="K2034" t="s">
        <v>3678</v>
      </c>
      <c r="L2034" s="1">
        <v>46224.917650462965</v>
      </c>
      <c r="M2034" s="1">
        <v>46224.91962439815</v>
      </c>
    </row>
    <row r="2035" spans="1:13" x14ac:dyDescent="0.35">
      <c r="A2035" t="s">
        <v>404</v>
      </c>
      <c r="B2035" t="s">
        <v>1986</v>
      </c>
      <c r="C2035" t="s">
        <v>2598</v>
      </c>
      <c r="D2035">
        <v>1.625</v>
      </c>
      <c r="E2035" s="1">
        <v>47588</v>
      </c>
      <c r="F2035" t="s">
        <v>2014</v>
      </c>
      <c r="G2035" t="s">
        <v>2598</v>
      </c>
      <c r="H2035" t="s">
        <v>2</v>
      </c>
      <c r="I2035" s="1">
        <v>46224</v>
      </c>
      <c r="J2035" t="s">
        <v>2108</v>
      </c>
      <c r="K2035" t="s">
        <v>3903</v>
      </c>
      <c r="L2035" s="1">
        <v>46224.917650462965</v>
      </c>
      <c r="M2035" s="1">
        <v>46224.91962439815</v>
      </c>
    </row>
    <row r="2036" spans="1:13" x14ac:dyDescent="0.35">
      <c r="A2036" t="s">
        <v>404</v>
      </c>
      <c r="B2036" t="s">
        <v>1986</v>
      </c>
      <c r="C2036" t="s">
        <v>2598</v>
      </c>
      <c r="D2036">
        <v>1.625</v>
      </c>
      <c r="E2036" s="1">
        <v>47588</v>
      </c>
      <c r="F2036" t="s">
        <v>2014</v>
      </c>
      <c r="G2036" t="s">
        <v>2598</v>
      </c>
      <c r="H2036" t="s">
        <v>2</v>
      </c>
      <c r="I2036" s="1">
        <v>46224</v>
      </c>
      <c r="J2036" t="s">
        <v>2064</v>
      </c>
      <c r="K2036" t="s">
        <v>3678</v>
      </c>
      <c r="L2036" s="1">
        <v>46224.917650462965</v>
      </c>
      <c r="M2036" s="1">
        <v>46224.91962439815</v>
      </c>
    </row>
    <row r="2037" spans="1:13" x14ac:dyDescent="0.35">
      <c r="A2037" t="s">
        <v>404</v>
      </c>
      <c r="B2037" t="s">
        <v>1986</v>
      </c>
      <c r="C2037" t="s">
        <v>2598</v>
      </c>
      <c r="D2037">
        <v>1.625</v>
      </c>
      <c r="E2037" s="1">
        <v>47588</v>
      </c>
      <c r="F2037" t="s">
        <v>2014</v>
      </c>
      <c r="G2037" t="s">
        <v>2598</v>
      </c>
      <c r="H2037" t="s">
        <v>2</v>
      </c>
      <c r="I2037" s="1">
        <v>46224</v>
      </c>
      <c r="J2037" t="s">
        <v>2146</v>
      </c>
      <c r="K2037" t="s">
        <v>3903</v>
      </c>
      <c r="L2037" s="1">
        <v>46224.917650462965</v>
      </c>
      <c r="M2037" s="1">
        <v>46224.91962439815</v>
      </c>
    </row>
    <row r="2038" spans="1:13" x14ac:dyDescent="0.35">
      <c r="A2038" t="s">
        <v>433</v>
      </c>
      <c r="B2038" t="s">
        <v>1986</v>
      </c>
      <c r="C2038" t="s">
        <v>2599</v>
      </c>
      <c r="D2038">
        <v>4.25</v>
      </c>
      <c r="E2038" s="1">
        <v>49444</v>
      </c>
      <c r="F2038" t="s">
        <v>1988</v>
      </c>
      <c r="G2038" t="s">
        <v>2599</v>
      </c>
      <c r="H2038" t="s">
        <v>2</v>
      </c>
      <c r="I2038" s="1">
        <v>46224</v>
      </c>
      <c r="J2038" t="s">
        <v>2064</v>
      </c>
      <c r="K2038" t="s">
        <v>3679</v>
      </c>
      <c r="L2038" s="1">
        <v>46224.917650462965</v>
      </c>
      <c r="M2038" s="1">
        <v>46224.91962439815</v>
      </c>
    </row>
    <row r="2039" spans="1:13" x14ac:dyDescent="0.35">
      <c r="A2039" t="s">
        <v>433</v>
      </c>
      <c r="B2039" t="s">
        <v>1986</v>
      </c>
      <c r="C2039" t="s">
        <v>2599</v>
      </c>
      <c r="D2039">
        <v>4.25</v>
      </c>
      <c r="E2039" s="1">
        <v>49444</v>
      </c>
      <c r="F2039" t="s">
        <v>1988</v>
      </c>
      <c r="G2039" t="s">
        <v>2599</v>
      </c>
      <c r="H2039" t="s">
        <v>2</v>
      </c>
      <c r="I2039" s="1">
        <v>46224</v>
      </c>
      <c r="J2039" t="s">
        <v>1989</v>
      </c>
      <c r="K2039" t="s">
        <v>2959</v>
      </c>
      <c r="L2039" s="1">
        <v>46224.918321759258</v>
      </c>
      <c r="M2039" s="1">
        <v>46224.91962439815</v>
      </c>
    </row>
    <row r="2040" spans="1:13" x14ac:dyDescent="0.35">
      <c r="A2040" t="s">
        <v>433</v>
      </c>
      <c r="B2040" t="s">
        <v>1986</v>
      </c>
      <c r="C2040" t="s">
        <v>2599</v>
      </c>
      <c r="D2040">
        <v>4.25</v>
      </c>
      <c r="E2040" s="1">
        <v>49444</v>
      </c>
      <c r="F2040" t="s">
        <v>1988</v>
      </c>
      <c r="G2040" t="s">
        <v>2599</v>
      </c>
      <c r="H2040" t="s">
        <v>2</v>
      </c>
      <c r="I2040" s="1">
        <v>46224</v>
      </c>
      <c r="J2040" t="s">
        <v>2108</v>
      </c>
      <c r="K2040" t="s">
        <v>3905</v>
      </c>
      <c r="L2040" s="1">
        <v>46224.917650462965</v>
      </c>
      <c r="M2040" s="1">
        <v>46224.91962439815</v>
      </c>
    </row>
    <row r="2041" spans="1:13" x14ac:dyDescent="0.35">
      <c r="A2041" t="s">
        <v>433</v>
      </c>
      <c r="B2041" t="s">
        <v>1986</v>
      </c>
      <c r="C2041" t="s">
        <v>2599</v>
      </c>
      <c r="D2041">
        <v>4.25</v>
      </c>
      <c r="E2041" s="1">
        <v>49444</v>
      </c>
      <c r="F2041" t="s">
        <v>1988</v>
      </c>
      <c r="G2041" t="s">
        <v>2599</v>
      </c>
      <c r="H2041" t="s">
        <v>2</v>
      </c>
      <c r="I2041" s="1">
        <v>46224</v>
      </c>
      <c r="J2041" t="s">
        <v>2065</v>
      </c>
      <c r="K2041" t="s">
        <v>3679</v>
      </c>
      <c r="L2041" s="1">
        <v>46224.917650462965</v>
      </c>
      <c r="M2041" s="1">
        <v>46224.91962439815</v>
      </c>
    </row>
    <row r="2042" spans="1:13" x14ac:dyDescent="0.35">
      <c r="A2042" t="s">
        <v>433</v>
      </c>
      <c r="B2042" t="s">
        <v>1986</v>
      </c>
      <c r="C2042" t="s">
        <v>2599</v>
      </c>
      <c r="D2042">
        <v>4.25</v>
      </c>
      <c r="E2042" s="1">
        <v>49444</v>
      </c>
      <c r="F2042" t="s">
        <v>1988</v>
      </c>
      <c r="G2042" t="s">
        <v>2599</v>
      </c>
      <c r="H2042" t="s">
        <v>2</v>
      </c>
      <c r="I2042" s="1">
        <v>46224</v>
      </c>
      <c r="J2042" t="s">
        <v>1991</v>
      </c>
      <c r="K2042" t="s">
        <v>3904</v>
      </c>
      <c r="L2042" s="1">
        <v>46224.918321759258</v>
      </c>
      <c r="M2042" s="1">
        <v>46224.91962439815</v>
      </c>
    </row>
    <row r="2043" spans="1:13" x14ac:dyDescent="0.35">
      <c r="A2043" t="s">
        <v>433</v>
      </c>
      <c r="B2043" t="s">
        <v>1986</v>
      </c>
      <c r="C2043" t="s">
        <v>2599</v>
      </c>
      <c r="D2043">
        <v>4.25</v>
      </c>
      <c r="E2043" s="1">
        <v>49444</v>
      </c>
      <c r="F2043" t="s">
        <v>1988</v>
      </c>
      <c r="G2043" t="s">
        <v>2599</v>
      </c>
      <c r="H2043" t="s">
        <v>2</v>
      </c>
      <c r="I2043" s="1">
        <v>46224</v>
      </c>
      <c r="J2043" t="s">
        <v>2146</v>
      </c>
      <c r="K2043" t="s">
        <v>3905</v>
      </c>
      <c r="L2043" s="1">
        <v>46224.917650462965</v>
      </c>
      <c r="M2043" s="1">
        <v>46224.91962439815</v>
      </c>
    </row>
    <row r="2044" spans="1:13" x14ac:dyDescent="0.35">
      <c r="A2044" t="s">
        <v>440</v>
      </c>
      <c r="B2044" t="s">
        <v>1986</v>
      </c>
      <c r="C2044" t="s">
        <v>2600</v>
      </c>
      <c r="D2044">
        <v>3.75</v>
      </c>
      <c r="E2044" s="1">
        <v>46888</v>
      </c>
      <c r="F2044" t="s">
        <v>1988</v>
      </c>
      <c r="G2044" t="s">
        <v>2600</v>
      </c>
      <c r="H2044" t="s">
        <v>2</v>
      </c>
      <c r="I2044" s="1">
        <v>46224</v>
      </c>
      <c r="J2044" t="s">
        <v>1991</v>
      </c>
      <c r="K2044" t="s">
        <v>3680</v>
      </c>
      <c r="L2044" s="1">
        <v>46224.918321759258</v>
      </c>
      <c r="M2044" s="1">
        <v>46224.91962439815</v>
      </c>
    </row>
    <row r="2045" spans="1:13" x14ac:dyDescent="0.35">
      <c r="A2045" t="s">
        <v>440</v>
      </c>
      <c r="B2045" t="s">
        <v>1986</v>
      </c>
      <c r="C2045" t="s">
        <v>2600</v>
      </c>
      <c r="D2045">
        <v>3.75</v>
      </c>
      <c r="E2045" s="1">
        <v>46888</v>
      </c>
      <c r="F2045" t="s">
        <v>1988</v>
      </c>
      <c r="G2045" t="s">
        <v>2600</v>
      </c>
      <c r="H2045" t="s">
        <v>2</v>
      </c>
      <c r="I2045" s="1">
        <v>46224</v>
      </c>
      <c r="J2045" t="s">
        <v>2146</v>
      </c>
      <c r="K2045" t="s">
        <v>2966</v>
      </c>
      <c r="L2045" s="1">
        <v>46224.917650462965</v>
      </c>
      <c r="M2045" s="1">
        <v>46224.91962439815</v>
      </c>
    </row>
    <row r="2046" spans="1:13" x14ac:dyDescent="0.35">
      <c r="A2046" t="s">
        <v>440</v>
      </c>
      <c r="B2046" t="s">
        <v>1986</v>
      </c>
      <c r="C2046" t="s">
        <v>2600</v>
      </c>
      <c r="D2046">
        <v>3.75</v>
      </c>
      <c r="E2046" s="1">
        <v>46888</v>
      </c>
      <c r="F2046" t="s">
        <v>1988</v>
      </c>
      <c r="G2046" t="s">
        <v>2600</v>
      </c>
      <c r="H2046" t="s">
        <v>2</v>
      </c>
      <c r="I2046" s="1">
        <v>46224</v>
      </c>
      <c r="J2046" t="s">
        <v>2065</v>
      </c>
      <c r="K2046" t="s">
        <v>2526</v>
      </c>
      <c r="L2046" s="1">
        <v>46224.917650462965</v>
      </c>
      <c r="M2046" s="1">
        <v>46224.91962439815</v>
      </c>
    </row>
    <row r="2047" spans="1:13" x14ac:dyDescent="0.35">
      <c r="A2047" t="s">
        <v>440</v>
      </c>
      <c r="B2047" t="s">
        <v>1986</v>
      </c>
      <c r="C2047" t="s">
        <v>2600</v>
      </c>
      <c r="D2047">
        <v>3.75</v>
      </c>
      <c r="E2047" s="1">
        <v>46888</v>
      </c>
      <c r="F2047" t="s">
        <v>1988</v>
      </c>
      <c r="G2047" t="s">
        <v>2600</v>
      </c>
      <c r="H2047" t="s">
        <v>2</v>
      </c>
      <c r="I2047" s="1">
        <v>46224</v>
      </c>
      <c r="J2047" t="s">
        <v>1989</v>
      </c>
      <c r="K2047" t="s">
        <v>3032</v>
      </c>
      <c r="L2047" s="1">
        <v>46224.918321759258</v>
      </c>
      <c r="M2047" s="1">
        <v>46224.91962439815</v>
      </c>
    </row>
    <row r="2048" spans="1:13" x14ac:dyDescent="0.35">
      <c r="A2048" t="s">
        <v>440</v>
      </c>
      <c r="B2048" t="s">
        <v>1986</v>
      </c>
      <c r="C2048" t="s">
        <v>2600</v>
      </c>
      <c r="D2048">
        <v>3.75</v>
      </c>
      <c r="E2048" s="1">
        <v>46888</v>
      </c>
      <c r="F2048" t="s">
        <v>1988</v>
      </c>
      <c r="G2048" t="s">
        <v>2600</v>
      </c>
      <c r="H2048" t="s">
        <v>2</v>
      </c>
      <c r="I2048" s="1">
        <v>46224</v>
      </c>
      <c r="J2048" t="s">
        <v>2108</v>
      </c>
      <c r="K2048" t="s">
        <v>2966</v>
      </c>
      <c r="L2048" s="1">
        <v>46224.917650462965</v>
      </c>
      <c r="M2048" s="1">
        <v>46224.91962439815</v>
      </c>
    </row>
    <row r="2049" spans="1:13" x14ac:dyDescent="0.35">
      <c r="A2049" t="s">
        <v>440</v>
      </c>
      <c r="B2049" t="s">
        <v>1986</v>
      </c>
      <c r="C2049" t="s">
        <v>2600</v>
      </c>
      <c r="D2049">
        <v>3.75</v>
      </c>
      <c r="E2049" s="1">
        <v>46888</v>
      </c>
      <c r="F2049" t="s">
        <v>1988</v>
      </c>
      <c r="G2049" t="s">
        <v>2600</v>
      </c>
      <c r="H2049" t="s">
        <v>2</v>
      </c>
      <c r="I2049" s="1">
        <v>46224</v>
      </c>
      <c r="J2049" t="s">
        <v>2064</v>
      </c>
      <c r="K2049" t="s">
        <v>2526</v>
      </c>
      <c r="L2049" s="1">
        <v>46224.917650462965</v>
      </c>
      <c r="M2049" s="1">
        <v>46224.91962439815</v>
      </c>
    </row>
    <row r="2050" spans="1:13" x14ac:dyDescent="0.35">
      <c r="A2050" t="s">
        <v>450</v>
      </c>
      <c r="B2050" t="s">
        <v>1986</v>
      </c>
      <c r="C2050" t="s">
        <v>2601</v>
      </c>
      <c r="D2050">
        <v>3.875</v>
      </c>
      <c r="E2050" s="1">
        <v>46538</v>
      </c>
      <c r="F2050" t="s">
        <v>1988</v>
      </c>
      <c r="G2050" t="s">
        <v>2601</v>
      </c>
      <c r="H2050" t="s">
        <v>2</v>
      </c>
      <c r="I2050" s="1">
        <v>46224</v>
      </c>
      <c r="J2050" t="s">
        <v>1989</v>
      </c>
      <c r="K2050" t="s">
        <v>3681</v>
      </c>
      <c r="L2050" s="1">
        <v>46224.918321759258</v>
      </c>
      <c r="M2050" s="1">
        <v>46224.91962439815</v>
      </c>
    </row>
    <row r="2051" spans="1:13" x14ac:dyDescent="0.35">
      <c r="A2051" t="s">
        <v>450</v>
      </c>
      <c r="B2051" t="s">
        <v>1986</v>
      </c>
      <c r="C2051" t="s">
        <v>2601</v>
      </c>
      <c r="D2051">
        <v>3.875</v>
      </c>
      <c r="E2051" s="1">
        <v>46538</v>
      </c>
      <c r="F2051" t="s">
        <v>1988</v>
      </c>
      <c r="G2051" t="s">
        <v>2601</v>
      </c>
      <c r="H2051" t="s">
        <v>2</v>
      </c>
      <c r="I2051" s="1">
        <v>46224</v>
      </c>
      <c r="J2051" t="s">
        <v>1991</v>
      </c>
      <c r="K2051" t="s">
        <v>3682</v>
      </c>
      <c r="L2051" s="1">
        <v>46224.918321759258</v>
      </c>
      <c r="M2051" s="1">
        <v>46224.91962439815</v>
      </c>
    </row>
    <row r="2052" spans="1:13" x14ac:dyDescent="0.35">
      <c r="A2052" t="s">
        <v>450</v>
      </c>
      <c r="B2052" t="s">
        <v>1986</v>
      </c>
      <c r="C2052" t="s">
        <v>2601</v>
      </c>
      <c r="D2052">
        <v>3.875</v>
      </c>
      <c r="E2052" s="1">
        <v>46538</v>
      </c>
      <c r="F2052" t="s">
        <v>1988</v>
      </c>
      <c r="G2052" t="s">
        <v>2601</v>
      </c>
      <c r="H2052" t="s">
        <v>2</v>
      </c>
      <c r="I2052" s="1">
        <v>46224</v>
      </c>
      <c r="J2052" t="s">
        <v>2064</v>
      </c>
      <c r="K2052" t="s">
        <v>3683</v>
      </c>
      <c r="L2052" s="1">
        <v>46224.917650462965</v>
      </c>
      <c r="M2052" s="1">
        <v>46224.91962439815</v>
      </c>
    </row>
    <row r="2053" spans="1:13" x14ac:dyDescent="0.35">
      <c r="A2053" t="s">
        <v>450</v>
      </c>
      <c r="B2053" t="s">
        <v>1986</v>
      </c>
      <c r="C2053" t="s">
        <v>2601</v>
      </c>
      <c r="D2053">
        <v>3.875</v>
      </c>
      <c r="E2053" s="1">
        <v>46538</v>
      </c>
      <c r="F2053" t="s">
        <v>1988</v>
      </c>
      <c r="G2053" t="s">
        <v>2601</v>
      </c>
      <c r="H2053" t="s">
        <v>2</v>
      </c>
      <c r="I2053" s="1">
        <v>46224</v>
      </c>
      <c r="J2053" t="s">
        <v>2065</v>
      </c>
      <c r="K2053" t="s">
        <v>3683</v>
      </c>
      <c r="L2053" s="1">
        <v>46224.917650462965</v>
      </c>
      <c r="M2053" s="1">
        <v>46224.91962439815</v>
      </c>
    </row>
    <row r="2054" spans="1:13" x14ac:dyDescent="0.35">
      <c r="A2054" t="s">
        <v>450</v>
      </c>
      <c r="B2054" t="s">
        <v>1986</v>
      </c>
      <c r="C2054" t="s">
        <v>2601</v>
      </c>
      <c r="D2054">
        <v>3.875</v>
      </c>
      <c r="E2054" s="1">
        <v>46538</v>
      </c>
      <c r="F2054" t="s">
        <v>1988</v>
      </c>
      <c r="G2054" t="s">
        <v>2601</v>
      </c>
      <c r="H2054" t="s">
        <v>2</v>
      </c>
      <c r="I2054" s="1">
        <v>46224</v>
      </c>
      <c r="J2054" t="s">
        <v>2146</v>
      </c>
      <c r="K2054" t="s">
        <v>3014</v>
      </c>
      <c r="L2054" s="1">
        <v>46224.917650462965</v>
      </c>
      <c r="M2054" s="1">
        <v>46224.91962439815</v>
      </c>
    </row>
    <row r="2055" spans="1:13" x14ac:dyDescent="0.35">
      <c r="A2055" t="s">
        <v>450</v>
      </c>
      <c r="B2055" t="s">
        <v>1986</v>
      </c>
      <c r="C2055" t="s">
        <v>2601</v>
      </c>
      <c r="D2055">
        <v>3.875</v>
      </c>
      <c r="E2055" s="1">
        <v>46538</v>
      </c>
      <c r="F2055" t="s">
        <v>1988</v>
      </c>
      <c r="G2055" t="s">
        <v>2601</v>
      </c>
      <c r="H2055" t="s">
        <v>2</v>
      </c>
      <c r="I2055" s="1">
        <v>46224</v>
      </c>
      <c r="J2055" t="s">
        <v>2108</v>
      </c>
      <c r="K2055" t="s">
        <v>3014</v>
      </c>
      <c r="L2055" s="1">
        <v>46224.917650462965</v>
      </c>
      <c r="M2055" s="1">
        <v>46224.91962439815</v>
      </c>
    </row>
    <row r="2056" spans="1:13" x14ac:dyDescent="0.35">
      <c r="A2056" t="s">
        <v>441</v>
      </c>
      <c r="B2056" t="s">
        <v>1986</v>
      </c>
      <c r="C2056" t="s">
        <v>2602</v>
      </c>
      <c r="D2056">
        <v>4.125</v>
      </c>
      <c r="E2056" s="1">
        <v>48365</v>
      </c>
      <c r="F2056" t="s">
        <v>1988</v>
      </c>
      <c r="G2056" t="s">
        <v>2602</v>
      </c>
      <c r="H2056" t="s">
        <v>2</v>
      </c>
      <c r="I2056" s="1">
        <v>46224</v>
      </c>
      <c r="J2056" t="s">
        <v>2065</v>
      </c>
      <c r="K2056" t="s">
        <v>3814</v>
      </c>
      <c r="L2056" s="1">
        <v>46224.917650462965</v>
      </c>
      <c r="M2056" s="1">
        <v>46224.91962439815</v>
      </c>
    </row>
    <row r="2057" spans="1:13" x14ac:dyDescent="0.35">
      <c r="A2057" t="s">
        <v>441</v>
      </c>
      <c r="B2057" t="s">
        <v>1986</v>
      </c>
      <c r="C2057" t="s">
        <v>2602</v>
      </c>
      <c r="D2057">
        <v>4.125</v>
      </c>
      <c r="E2057" s="1">
        <v>48365</v>
      </c>
      <c r="F2057" t="s">
        <v>1988</v>
      </c>
      <c r="G2057" t="s">
        <v>2602</v>
      </c>
      <c r="H2057" t="s">
        <v>2</v>
      </c>
      <c r="I2057" s="1">
        <v>46224</v>
      </c>
      <c r="J2057" t="s">
        <v>1991</v>
      </c>
      <c r="K2057" t="s">
        <v>3139</v>
      </c>
      <c r="L2057" s="1">
        <v>46224.918321759258</v>
      </c>
      <c r="M2057" s="1">
        <v>46224.91962439815</v>
      </c>
    </row>
    <row r="2058" spans="1:13" x14ac:dyDescent="0.35">
      <c r="A2058" t="s">
        <v>441</v>
      </c>
      <c r="B2058" t="s">
        <v>1986</v>
      </c>
      <c r="C2058" t="s">
        <v>2602</v>
      </c>
      <c r="D2058">
        <v>4.125</v>
      </c>
      <c r="E2058" s="1">
        <v>48365</v>
      </c>
      <c r="F2058" t="s">
        <v>1988</v>
      </c>
      <c r="G2058" t="s">
        <v>2602</v>
      </c>
      <c r="H2058" t="s">
        <v>2</v>
      </c>
      <c r="I2058" s="1">
        <v>46224</v>
      </c>
      <c r="J2058" t="s">
        <v>2108</v>
      </c>
      <c r="K2058" t="s">
        <v>3893</v>
      </c>
      <c r="L2058" s="1">
        <v>46224.917650462965</v>
      </c>
      <c r="M2058" s="1">
        <v>46224.91962439815</v>
      </c>
    </row>
    <row r="2059" spans="1:13" x14ac:dyDescent="0.35">
      <c r="A2059" t="s">
        <v>441</v>
      </c>
      <c r="B2059" t="s">
        <v>1986</v>
      </c>
      <c r="C2059" t="s">
        <v>2602</v>
      </c>
      <c r="D2059">
        <v>4.125</v>
      </c>
      <c r="E2059" s="1">
        <v>48365</v>
      </c>
      <c r="F2059" t="s">
        <v>1988</v>
      </c>
      <c r="G2059" t="s">
        <v>2602</v>
      </c>
      <c r="H2059" t="s">
        <v>2</v>
      </c>
      <c r="I2059" s="1">
        <v>46224</v>
      </c>
      <c r="J2059" t="s">
        <v>1989</v>
      </c>
      <c r="K2059" t="s">
        <v>3965</v>
      </c>
      <c r="L2059" s="1">
        <v>46224.918321759258</v>
      </c>
      <c r="M2059" s="1">
        <v>46224.91962439815</v>
      </c>
    </row>
    <row r="2060" spans="1:13" x14ac:dyDescent="0.35">
      <c r="A2060" t="s">
        <v>441</v>
      </c>
      <c r="B2060" t="s">
        <v>1986</v>
      </c>
      <c r="C2060" t="s">
        <v>2602</v>
      </c>
      <c r="D2060">
        <v>4.125</v>
      </c>
      <c r="E2060" s="1">
        <v>48365</v>
      </c>
      <c r="F2060" t="s">
        <v>1988</v>
      </c>
      <c r="G2060" t="s">
        <v>2602</v>
      </c>
      <c r="H2060" t="s">
        <v>2</v>
      </c>
      <c r="I2060" s="1">
        <v>46224</v>
      </c>
      <c r="J2060" t="s">
        <v>2064</v>
      </c>
      <c r="K2060" t="s">
        <v>3814</v>
      </c>
      <c r="L2060" s="1">
        <v>46224.917650462965</v>
      </c>
      <c r="M2060" s="1">
        <v>46224.91962439815</v>
      </c>
    </row>
    <row r="2061" spans="1:13" x14ac:dyDescent="0.35">
      <c r="A2061" t="s">
        <v>441</v>
      </c>
      <c r="B2061" t="s">
        <v>1986</v>
      </c>
      <c r="C2061" t="s">
        <v>2602</v>
      </c>
      <c r="D2061">
        <v>4.125</v>
      </c>
      <c r="E2061" s="1">
        <v>48365</v>
      </c>
      <c r="F2061" t="s">
        <v>1988</v>
      </c>
      <c r="G2061" t="s">
        <v>2602</v>
      </c>
      <c r="H2061" t="s">
        <v>2</v>
      </c>
      <c r="I2061" s="1">
        <v>46224</v>
      </c>
      <c r="J2061" t="s">
        <v>2146</v>
      </c>
      <c r="K2061" t="s">
        <v>3893</v>
      </c>
      <c r="L2061" s="1">
        <v>46224.917650462965</v>
      </c>
      <c r="M2061" s="1">
        <v>46224.91962439815</v>
      </c>
    </row>
    <row r="2062" spans="1:13" x14ac:dyDescent="0.35">
      <c r="A2062" t="s">
        <v>434</v>
      </c>
      <c r="B2062" t="s">
        <v>1986</v>
      </c>
      <c r="C2062" t="s">
        <v>2652</v>
      </c>
      <c r="D2062">
        <v>4</v>
      </c>
      <c r="E2062" s="1">
        <v>47634</v>
      </c>
      <c r="F2062" t="s">
        <v>1988</v>
      </c>
      <c r="G2062" t="s">
        <v>2652</v>
      </c>
      <c r="H2062" t="s">
        <v>2</v>
      </c>
      <c r="I2062" s="1">
        <v>46224</v>
      </c>
      <c r="J2062" t="s">
        <v>2065</v>
      </c>
      <c r="K2062" t="s">
        <v>2644</v>
      </c>
      <c r="L2062" s="1">
        <v>46224.917650462965</v>
      </c>
      <c r="M2062" s="1">
        <v>46224.91962439815</v>
      </c>
    </row>
    <row r="2063" spans="1:13" x14ac:dyDescent="0.35">
      <c r="A2063" t="s">
        <v>434</v>
      </c>
      <c r="B2063" t="s">
        <v>1986</v>
      </c>
      <c r="C2063" t="s">
        <v>2652</v>
      </c>
      <c r="D2063">
        <v>4</v>
      </c>
      <c r="E2063" s="1">
        <v>47634</v>
      </c>
      <c r="F2063" t="s">
        <v>1988</v>
      </c>
      <c r="G2063" t="s">
        <v>2652</v>
      </c>
      <c r="H2063" t="s">
        <v>2</v>
      </c>
      <c r="I2063" s="1">
        <v>46224</v>
      </c>
      <c r="J2063" t="s">
        <v>2146</v>
      </c>
      <c r="K2063" t="s">
        <v>2929</v>
      </c>
      <c r="L2063" s="1">
        <v>46224.917650462965</v>
      </c>
      <c r="M2063" s="1">
        <v>46224.91962439815</v>
      </c>
    </row>
    <row r="2064" spans="1:13" x14ac:dyDescent="0.35">
      <c r="A2064" t="s">
        <v>434</v>
      </c>
      <c r="B2064" t="s">
        <v>1986</v>
      </c>
      <c r="C2064" t="s">
        <v>2652</v>
      </c>
      <c r="D2064">
        <v>4</v>
      </c>
      <c r="E2064" s="1">
        <v>47634</v>
      </c>
      <c r="F2064" t="s">
        <v>1988</v>
      </c>
      <c r="G2064" t="s">
        <v>2652</v>
      </c>
      <c r="H2064" t="s">
        <v>2</v>
      </c>
      <c r="I2064" s="1">
        <v>46224</v>
      </c>
      <c r="J2064" t="s">
        <v>2064</v>
      </c>
      <c r="K2064" t="s">
        <v>2644</v>
      </c>
      <c r="L2064" s="1">
        <v>46224.917650462965</v>
      </c>
      <c r="M2064" s="1">
        <v>46224.91962439815</v>
      </c>
    </row>
    <row r="2065" spans="1:13" x14ac:dyDescent="0.35">
      <c r="A2065" t="s">
        <v>434</v>
      </c>
      <c r="B2065" t="s">
        <v>1986</v>
      </c>
      <c r="C2065" t="s">
        <v>2652</v>
      </c>
      <c r="D2065">
        <v>4</v>
      </c>
      <c r="E2065" s="1">
        <v>47634</v>
      </c>
      <c r="F2065" t="s">
        <v>1988</v>
      </c>
      <c r="G2065" t="s">
        <v>2652</v>
      </c>
      <c r="H2065" t="s">
        <v>2</v>
      </c>
      <c r="I2065" s="1">
        <v>46224</v>
      </c>
      <c r="J2065" t="s">
        <v>2108</v>
      </c>
      <c r="K2065" t="s">
        <v>2929</v>
      </c>
      <c r="L2065" s="1">
        <v>46224.917650462965</v>
      </c>
      <c r="M2065" s="1">
        <v>46224.91962439815</v>
      </c>
    </row>
    <row r="2066" spans="1:13" x14ac:dyDescent="0.35">
      <c r="A2066" t="s">
        <v>434</v>
      </c>
      <c r="B2066" t="s">
        <v>1986</v>
      </c>
      <c r="C2066" t="s">
        <v>2652</v>
      </c>
      <c r="D2066">
        <v>4</v>
      </c>
      <c r="E2066" s="1">
        <v>47634</v>
      </c>
      <c r="F2066" t="s">
        <v>1988</v>
      </c>
      <c r="G2066" t="s">
        <v>2652</v>
      </c>
      <c r="H2066" t="s">
        <v>2</v>
      </c>
      <c r="I2066" s="1">
        <v>46224</v>
      </c>
      <c r="J2066" t="s">
        <v>1991</v>
      </c>
      <c r="K2066" t="s">
        <v>4037</v>
      </c>
      <c r="L2066" s="1">
        <v>46224.918321759258</v>
      </c>
      <c r="M2066" s="1">
        <v>46224.91962439815</v>
      </c>
    </row>
    <row r="2067" spans="1:13" x14ac:dyDescent="0.35">
      <c r="A2067" t="s">
        <v>434</v>
      </c>
      <c r="B2067" t="s">
        <v>1986</v>
      </c>
      <c r="C2067" t="s">
        <v>2652</v>
      </c>
      <c r="D2067">
        <v>4</v>
      </c>
      <c r="E2067" s="1">
        <v>47634</v>
      </c>
      <c r="F2067" t="s">
        <v>1988</v>
      </c>
      <c r="G2067" t="s">
        <v>2652</v>
      </c>
      <c r="H2067" t="s">
        <v>2</v>
      </c>
      <c r="I2067" s="1">
        <v>46224</v>
      </c>
      <c r="J2067" t="s">
        <v>1989</v>
      </c>
      <c r="K2067" t="s">
        <v>2649</v>
      </c>
      <c r="L2067" s="1">
        <v>46224.918321759258</v>
      </c>
      <c r="M2067" s="1">
        <v>46224.91962439815</v>
      </c>
    </row>
    <row r="2068" spans="1:13" x14ac:dyDescent="0.35">
      <c r="A2068" t="s">
        <v>442</v>
      </c>
      <c r="B2068" t="s">
        <v>1986</v>
      </c>
      <c r="C2068" t="s">
        <v>2613</v>
      </c>
      <c r="D2068">
        <v>3.875</v>
      </c>
      <c r="E2068" s="1">
        <v>46919</v>
      </c>
      <c r="F2068" t="s">
        <v>1988</v>
      </c>
      <c r="G2068" t="s">
        <v>2613</v>
      </c>
      <c r="H2068" t="s">
        <v>2</v>
      </c>
      <c r="I2068" s="1">
        <v>46224</v>
      </c>
      <c r="J2068" t="s">
        <v>2064</v>
      </c>
      <c r="K2068" t="s">
        <v>2519</v>
      </c>
      <c r="L2068" s="1">
        <v>46224.917650462965</v>
      </c>
      <c r="M2068" s="1">
        <v>46224.91962439815</v>
      </c>
    </row>
    <row r="2069" spans="1:13" x14ac:dyDescent="0.35">
      <c r="A2069" t="s">
        <v>442</v>
      </c>
      <c r="B2069" t="s">
        <v>1986</v>
      </c>
      <c r="C2069" t="s">
        <v>2613</v>
      </c>
      <c r="D2069">
        <v>3.875</v>
      </c>
      <c r="E2069" s="1">
        <v>46919</v>
      </c>
      <c r="F2069" t="s">
        <v>1988</v>
      </c>
      <c r="G2069" t="s">
        <v>2613</v>
      </c>
      <c r="H2069" t="s">
        <v>2</v>
      </c>
      <c r="I2069" s="1">
        <v>46224</v>
      </c>
      <c r="J2069" t="s">
        <v>2146</v>
      </c>
      <c r="K2069" t="s">
        <v>2993</v>
      </c>
      <c r="L2069" s="1">
        <v>46224.917650462965</v>
      </c>
      <c r="M2069" s="1">
        <v>46224.91962439815</v>
      </c>
    </row>
    <row r="2070" spans="1:13" x14ac:dyDescent="0.35">
      <c r="A2070" t="s">
        <v>442</v>
      </c>
      <c r="B2070" t="s">
        <v>1986</v>
      </c>
      <c r="C2070" t="s">
        <v>2613</v>
      </c>
      <c r="D2070">
        <v>3.875</v>
      </c>
      <c r="E2070" s="1">
        <v>46919</v>
      </c>
      <c r="F2070" t="s">
        <v>1988</v>
      </c>
      <c r="G2070" t="s">
        <v>2613</v>
      </c>
      <c r="H2070" t="s">
        <v>2</v>
      </c>
      <c r="I2070" s="1">
        <v>46224</v>
      </c>
      <c r="J2070" t="s">
        <v>2108</v>
      </c>
      <c r="K2070" t="s">
        <v>2993</v>
      </c>
      <c r="L2070" s="1">
        <v>46224.917650462965</v>
      </c>
      <c r="M2070" s="1">
        <v>46224.91962439815</v>
      </c>
    </row>
    <row r="2071" spans="1:13" x14ac:dyDescent="0.35">
      <c r="A2071" t="s">
        <v>442</v>
      </c>
      <c r="B2071" t="s">
        <v>1986</v>
      </c>
      <c r="C2071" t="s">
        <v>2613</v>
      </c>
      <c r="D2071">
        <v>3.875</v>
      </c>
      <c r="E2071" s="1">
        <v>46919</v>
      </c>
      <c r="F2071" t="s">
        <v>1988</v>
      </c>
      <c r="G2071" t="s">
        <v>2613</v>
      </c>
      <c r="H2071" t="s">
        <v>2</v>
      </c>
      <c r="I2071" s="1">
        <v>46224</v>
      </c>
      <c r="J2071" t="s">
        <v>2065</v>
      </c>
      <c r="K2071" t="s">
        <v>2519</v>
      </c>
      <c r="L2071" s="1">
        <v>46224.917650462965</v>
      </c>
      <c r="M2071" s="1">
        <v>46224.91962439815</v>
      </c>
    </row>
    <row r="2072" spans="1:13" x14ac:dyDescent="0.35">
      <c r="A2072" t="s">
        <v>442</v>
      </c>
      <c r="B2072" t="s">
        <v>1986</v>
      </c>
      <c r="C2072" t="s">
        <v>2613</v>
      </c>
      <c r="D2072">
        <v>3.875</v>
      </c>
      <c r="E2072" s="1">
        <v>46919</v>
      </c>
      <c r="F2072" t="s">
        <v>1988</v>
      </c>
      <c r="G2072" t="s">
        <v>2613</v>
      </c>
      <c r="H2072" t="s">
        <v>2</v>
      </c>
      <c r="I2072" s="1">
        <v>46224</v>
      </c>
      <c r="J2072" t="s">
        <v>1989</v>
      </c>
      <c r="K2072" t="s">
        <v>3865</v>
      </c>
      <c r="L2072" s="1">
        <v>46224.918321759258</v>
      </c>
      <c r="M2072" s="1">
        <v>46224.91962439815</v>
      </c>
    </row>
    <row r="2073" spans="1:13" x14ac:dyDescent="0.35">
      <c r="A2073" t="s">
        <v>442</v>
      </c>
      <c r="B2073" t="s">
        <v>1986</v>
      </c>
      <c r="C2073" t="s">
        <v>2613</v>
      </c>
      <c r="D2073">
        <v>3.875</v>
      </c>
      <c r="E2073" s="1">
        <v>46919</v>
      </c>
      <c r="F2073" t="s">
        <v>1988</v>
      </c>
      <c r="G2073" t="s">
        <v>2613</v>
      </c>
      <c r="H2073" t="s">
        <v>2</v>
      </c>
      <c r="I2073" s="1">
        <v>46224</v>
      </c>
      <c r="J2073" t="s">
        <v>1991</v>
      </c>
      <c r="K2073" t="s">
        <v>3966</v>
      </c>
      <c r="L2073" s="1">
        <v>46224.918321759258</v>
      </c>
      <c r="M2073" s="1">
        <v>46224.91962439815</v>
      </c>
    </row>
    <row r="2074" spans="1:13" x14ac:dyDescent="0.35">
      <c r="A2074" t="s">
        <v>443</v>
      </c>
      <c r="B2074" t="s">
        <v>1986</v>
      </c>
      <c r="C2074" t="s">
        <v>2614</v>
      </c>
      <c r="D2074">
        <v>4</v>
      </c>
      <c r="E2074" s="1">
        <v>48395</v>
      </c>
      <c r="F2074" t="s">
        <v>1988</v>
      </c>
      <c r="G2074" t="s">
        <v>2614</v>
      </c>
      <c r="H2074" t="s">
        <v>2</v>
      </c>
      <c r="I2074" s="1">
        <v>46224</v>
      </c>
      <c r="J2074" t="s">
        <v>2064</v>
      </c>
      <c r="K2074" t="s">
        <v>2930</v>
      </c>
      <c r="L2074" s="1">
        <v>46224.917650462965</v>
      </c>
      <c r="M2074" s="1">
        <v>46224.91962439815</v>
      </c>
    </row>
    <row r="2075" spans="1:13" x14ac:dyDescent="0.35">
      <c r="A2075" t="s">
        <v>443</v>
      </c>
      <c r="B2075" t="s">
        <v>1986</v>
      </c>
      <c r="C2075" t="s">
        <v>2614</v>
      </c>
      <c r="D2075">
        <v>4</v>
      </c>
      <c r="E2075" s="1">
        <v>48395</v>
      </c>
      <c r="F2075" t="s">
        <v>1988</v>
      </c>
      <c r="G2075" t="s">
        <v>2614</v>
      </c>
      <c r="H2075" t="s">
        <v>2</v>
      </c>
      <c r="I2075" s="1">
        <v>46224</v>
      </c>
      <c r="J2075" t="s">
        <v>2065</v>
      </c>
      <c r="K2075" t="s">
        <v>2930</v>
      </c>
      <c r="L2075" s="1">
        <v>46224.917650462965</v>
      </c>
      <c r="M2075" s="1">
        <v>46224.91962439815</v>
      </c>
    </row>
    <row r="2076" spans="1:13" x14ac:dyDescent="0.35">
      <c r="A2076" t="s">
        <v>443</v>
      </c>
      <c r="B2076" t="s">
        <v>1986</v>
      </c>
      <c r="C2076" t="s">
        <v>2614</v>
      </c>
      <c r="D2076">
        <v>4</v>
      </c>
      <c r="E2076" s="1">
        <v>48395</v>
      </c>
      <c r="F2076" t="s">
        <v>1988</v>
      </c>
      <c r="G2076" t="s">
        <v>2614</v>
      </c>
      <c r="H2076" t="s">
        <v>2</v>
      </c>
      <c r="I2076" s="1">
        <v>46224</v>
      </c>
      <c r="J2076" t="s">
        <v>1989</v>
      </c>
      <c r="K2076" t="s">
        <v>3900</v>
      </c>
      <c r="L2076" s="1">
        <v>46224.918321759258</v>
      </c>
      <c r="M2076" s="1">
        <v>46224.91962439815</v>
      </c>
    </row>
    <row r="2077" spans="1:13" x14ac:dyDescent="0.35">
      <c r="A2077" t="s">
        <v>443</v>
      </c>
      <c r="B2077" t="s">
        <v>1986</v>
      </c>
      <c r="C2077" t="s">
        <v>2614</v>
      </c>
      <c r="D2077">
        <v>4</v>
      </c>
      <c r="E2077" s="1">
        <v>48395</v>
      </c>
      <c r="F2077" t="s">
        <v>1988</v>
      </c>
      <c r="G2077" t="s">
        <v>2614</v>
      </c>
      <c r="H2077" t="s">
        <v>2</v>
      </c>
      <c r="I2077" s="1">
        <v>46224</v>
      </c>
      <c r="J2077" t="s">
        <v>2108</v>
      </c>
      <c r="K2077" t="s">
        <v>3814</v>
      </c>
      <c r="L2077" s="1">
        <v>46224.917650462965</v>
      </c>
      <c r="M2077" s="1">
        <v>46224.91962439815</v>
      </c>
    </row>
    <row r="2078" spans="1:13" x14ac:dyDescent="0.35">
      <c r="A2078" t="s">
        <v>443</v>
      </c>
      <c r="B2078" t="s">
        <v>1986</v>
      </c>
      <c r="C2078" t="s">
        <v>2614</v>
      </c>
      <c r="D2078">
        <v>4</v>
      </c>
      <c r="E2078" s="1">
        <v>48395</v>
      </c>
      <c r="F2078" t="s">
        <v>1988</v>
      </c>
      <c r="G2078" t="s">
        <v>2614</v>
      </c>
      <c r="H2078" t="s">
        <v>2</v>
      </c>
      <c r="I2078" s="1">
        <v>46224</v>
      </c>
      <c r="J2078" t="s">
        <v>1991</v>
      </c>
      <c r="K2078" t="s">
        <v>2761</v>
      </c>
      <c r="L2078" s="1">
        <v>46224.918321759258</v>
      </c>
      <c r="M2078" s="1">
        <v>46224.91962439815</v>
      </c>
    </row>
    <row r="2079" spans="1:13" x14ac:dyDescent="0.35">
      <c r="A2079" t="s">
        <v>443</v>
      </c>
      <c r="B2079" t="s">
        <v>1986</v>
      </c>
      <c r="C2079" t="s">
        <v>2614</v>
      </c>
      <c r="D2079">
        <v>4</v>
      </c>
      <c r="E2079" s="1">
        <v>48395</v>
      </c>
      <c r="F2079" t="s">
        <v>1988</v>
      </c>
      <c r="G2079" t="s">
        <v>2614</v>
      </c>
      <c r="H2079" t="s">
        <v>2</v>
      </c>
      <c r="I2079" s="1">
        <v>46224</v>
      </c>
      <c r="J2079" t="s">
        <v>2146</v>
      </c>
      <c r="K2079" t="s">
        <v>3814</v>
      </c>
      <c r="L2079" s="1">
        <v>46224.917650462965</v>
      </c>
      <c r="M2079" s="1">
        <v>46224.91962439815</v>
      </c>
    </row>
    <row r="2080" spans="1:13" x14ac:dyDescent="0.35">
      <c r="A2080" t="s">
        <v>444</v>
      </c>
      <c r="B2080" t="s">
        <v>1986</v>
      </c>
      <c r="C2080" t="s">
        <v>2653</v>
      </c>
      <c r="D2080">
        <v>3.875</v>
      </c>
      <c r="E2080" s="1">
        <v>47664</v>
      </c>
      <c r="F2080" t="s">
        <v>1988</v>
      </c>
      <c r="G2080" t="s">
        <v>2653</v>
      </c>
      <c r="H2080" t="s">
        <v>2</v>
      </c>
      <c r="I2080" s="1">
        <v>46224</v>
      </c>
      <c r="J2080" t="s">
        <v>2108</v>
      </c>
      <c r="K2080" t="s">
        <v>2656</v>
      </c>
      <c r="L2080" s="1">
        <v>46224.917650462965</v>
      </c>
      <c r="M2080" s="1">
        <v>46224.91962439815</v>
      </c>
    </row>
    <row r="2081" spans="1:13" x14ac:dyDescent="0.35">
      <c r="A2081" t="s">
        <v>444</v>
      </c>
      <c r="B2081" t="s">
        <v>1986</v>
      </c>
      <c r="C2081" t="s">
        <v>2653</v>
      </c>
      <c r="D2081">
        <v>3.875</v>
      </c>
      <c r="E2081" s="1">
        <v>47664</v>
      </c>
      <c r="F2081" t="s">
        <v>1988</v>
      </c>
      <c r="G2081" t="s">
        <v>2653</v>
      </c>
      <c r="H2081" t="s">
        <v>2</v>
      </c>
      <c r="I2081" s="1">
        <v>46224</v>
      </c>
      <c r="J2081" t="s">
        <v>2064</v>
      </c>
      <c r="K2081" t="s">
        <v>3684</v>
      </c>
      <c r="L2081" s="1">
        <v>46224.917650462965</v>
      </c>
      <c r="M2081" s="1">
        <v>46224.91962439815</v>
      </c>
    </row>
    <row r="2082" spans="1:13" x14ac:dyDescent="0.35">
      <c r="A2082" t="s">
        <v>444</v>
      </c>
      <c r="B2082" t="s">
        <v>1986</v>
      </c>
      <c r="C2082" t="s">
        <v>2653</v>
      </c>
      <c r="D2082">
        <v>3.875</v>
      </c>
      <c r="E2082" s="1">
        <v>47664</v>
      </c>
      <c r="F2082" t="s">
        <v>1988</v>
      </c>
      <c r="G2082" t="s">
        <v>2653</v>
      </c>
      <c r="H2082" t="s">
        <v>2</v>
      </c>
      <c r="I2082" s="1">
        <v>46224</v>
      </c>
      <c r="J2082" t="s">
        <v>2065</v>
      </c>
      <c r="K2082" t="s">
        <v>3684</v>
      </c>
      <c r="L2082" s="1">
        <v>46224.917650462965</v>
      </c>
      <c r="M2082" s="1">
        <v>46224.91962439815</v>
      </c>
    </row>
    <row r="2083" spans="1:13" x14ac:dyDescent="0.35">
      <c r="A2083" t="s">
        <v>444</v>
      </c>
      <c r="B2083" t="s">
        <v>1986</v>
      </c>
      <c r="C2083" t="s">
        <v>2653</v>
      </c>
      <c r="D2083">
        <v>3.875</v>
      </c>
      <c r="E2083" s="1">
        <v>47664</v>
      </c>
      <c r="F2083" t="s">
        <v>1988</v>
      </c>
      <c r="G2083" t="s">
        <v>2653</v>
      </c>
      <c r="H2083" t="s">
        <v>2</v>
      </c>
      <c r="I2083" s="1">
        <v>46224</v>
      </c>
      <c r="J2083" t="s">
        <v>1989</v>
      </c>
      <c r="K2083" t="s">
        <v>2329</v>
      </c>
      <c r="L2083" s="1">
        <v>46224.918321759258</v>
      </c>
      <c r="M2083" s="1">
        <v>46224.91962439815</v>
      </c>
    </row>
    <row r="2084" spans="1:13" x14ac:dyDescent="0.35">
      <c r="A2084" t="s">
        <v>444</v>
      </c>
      <c r="B2084" t="s">
        <v>1986</v>
      </c>
      <c r="C2084" t="s">
        <v>2653</v>
      </c>
      <c r="D2084">
        <v>3.875</v>
      </c>
      <c r="E2084" s="1">
        <v>47664</v>
      </c>
      <c r="F2084" t="s">
        <v>1988</v>
      </c>
      <c r="G2084" t="s">
        <v>2653</v>
      </c>
      <c r="H2084" t="s">
        <v>2</v>
      </c>
      <c r="I2084" s="1">
        <v>46224</v>
      </c>
      <c r="J2084" t="s">
        <v>1991</v>
      </c>
      <c r="K2084" t="s">
        <v>2510</v>
      </c>
      <c r="L2084" s="1">
        <v>46224.918321759258</v>
      </c>
      <c r="M2084" s="1">
        <v>46224.91962439815</v>
      </c>
    </row>
    <row r="2085" spans="1:13" x14ac:dyDescent="0.35">
      <c r="A2085" t="s">
        <v>444</v>
      </c>
      <c r="B2085" t="s">
        <v>1986</v>
      </c>
      <c r="C2085" t="s">
        <v>2653</v>
      </c>
      <c r="D2085">
        <v>3.875</v>
      </c>
      <c r="E2085" s="1">
        <v>47664</v>
      </c>
      <c r="F2085" t="s">
        <v>1988</v>
      </c>
      <c r="G2085" t="s">
        <v>2653</v>
      </c>
      <c r="H2085" t="s">
        <v>2</v>
      </c>
      <c r="I2085" s="1">
        <v>46224</v>
      </c>
      <c r="J2085" t="s">
        <v>2146</v>
      </c>
      <c r="K2085" t="s">
        <v>2656</v>
      </c>
      <c r="L2085" s="1">
        <v>46224.917650462965</v>
      </c>
      <c r="M2085" s="1">
        <v>46224.91962439815</v>
      </c>
    </row>
    <row r="2086" spans="1:13" x14ac:dyDescent="0.35">
      <c r="A2086" t="s">
        <v>445</v>
      </c>
      <c r="B2086" t="s">
        <v>1986</v>
      </c>
      <c r="C2086" t="s">
        <v>2617</v>
      </c>
      <c r="D2086">
        <v>3.75</v>
      </c>
      <c r="E2086" s="1">
        <v>46568</v>
      </c>
      <c r="F2086" t="s">
        <v>1988</v>
      </c>
      <c r="G2086" t="s">
        <v>2617</v>
      </c>
      <c r="H2086" t="s">
        <v>2</v>
      </c>
      <c r="I2086" s="1">
        <v>46224</v>
      </c>
      <c r="J2086" t="s">
        <v>1991</v>
      </c>
      <c r="K2086" t="s">
        <v>3536</v>
      </c>
      <c r="L2086" s="1">
        <v>46224.918321759258</v>
      </c>
      <c r="M2086" s="1">
        <v>46224.91962439815</v>
      </c>
    </row>
    <row r="2087" spans="1:13" x14ac:dyDescent="0.35">
      <c r="A2087" t="s">
        <v>445</v>
      </c>
      <c r="B2087" t="s">
        <v>1986</v>
      </c>
      <c r="C2087" t="s">
        <v>2617</v>
      </c>
      <c r="D2087">
        <v>3.75</v>
      </c>
      <c r="E2087" s="1">
        <v>46568</v>
      </c>
      <c r="F2087" t="s">
        <v>1988</v>
      </c>
      <c r="G2087" t="s">
        <v>2617</v>
      </c>
      <c r="H2087" t="s">
        <v>2</v>
      </c>
      <c r="I2087" s="1">
        <v>46224</v>
      </c>
      <c r="J2087" t="s">
        <v>2146</v>
      </c>
      <c r="K2087" t="s">
        <v>3626</v>
      </c>
      <c r="L2087" s="1">
        <v>46224.917650462965</v>
      </c>
      <c r="M2087" s="1">
        <v>46224.91962439815</v>
      </c>
    </row>
    <row r="2088" spans="1:13" x14ac:dyDescent="0.35">
      <c r="A2088" t="s">
        <v>445</v>
      </c>
      <c r="B2088" t="s">
        <v>1986</v>
      </c>
      <c r="C2088" t="s">
        <v>2617</v>
      </c>
      <c r="D2088">
        <v>3.75</v>
      </c>
      <c r="E2088" s="1">
        <v>46568</v>
      </c>
      <c r="F2088" t="s">
        <v>1988</v>
      </c>
      <c r="G2088" t="s">
        <v>2617</v>
      </c>
      <c r="H2088" t="s">
        <v>2</v>
      </c>
      <c r="I2088" s="1">
        <v>46224</v>
      </c>
      <c r="J2088" t="s">
        <v>2065</v>
      </c>
      <c r="K2088" t="s">
        <v>2408</v>
      </c>
      <c r="L2088" s="1">
        <v>46224.917650462965</v>
      </c>
      <c r="M2088" s="1">
        <v>46224.91962439815</v>
      </c>
    </row>
    <row r="2089" spans="1:13" x14ac:dyDescent="0.35">
      <c r="A2089" t="s">
        <v>445</v>
      </c>
      <c r="B2089" t="s">
        <v>1986</v>
      </c>
      <c r="C2089" t="s">
        <v>2617</v>
      </c>
      <c r="D2089">
        <v>3.75</v>
      </c>
      <c r="E2089" s="1">
        <v>46568</v>
      </c>
      <c r="F2089" t="s">
        <v>1988</v>
      </c>
      <c r="G2089" t="s">
        <v>2617</v>
      </c>
      <c r="H2089" t="s">
        <v>2</v>
      </c>
      <c r="I2089" s="1">
        <v>46224</v>
      </c>
      <c r="J2089" t="s">
        <v>2108</v>
      </c>
      <c r="K2089" t="s">
        <v>3626</v>
      </c>
      <c r="L2089" s="1">
        <v>46224.917650462965</v>
      </c>
      <c r="M2089" s="1">
        <v>46224.91962439815</v>
      </c>
    </row>
    <row r="2090" spans="1:13" x14ac:dyDescent="0.35">
      <c r="A2090" t="s">
        <v>445</v>
      </c>
      <c r="B2090" t="s">
        <v>1986</v>
      </c>
      <c r="C2090" t="s">
        <v>2617</v>
      </c>
      <c r="D2090">
        <v>3.75</v>
      </c>
      <c r="E2090" s="1">
        <v>46568</v>
      </c>
      <c r="F2090" t="s">
        <v>1988</v>
      </c>
      <c r="G2090" t="s">
        <v>2617</v>
      </c>
      <c r="H2090" t="s">
        <v>2</v>
      </c>
      <c r="I2090" s="1">
        <v>46224</v>
      </c>
      <c r="J2090" t="s">
        <v>2064</v>
      </c>
      <c r="K2090" t="s">
        <v>2408</v>
      </c>
      <c r="L2090" s="1">
        <v>46224.917650462965</v>
      </c>
      <c r="M2090" s="1">
        <v>46224.91962439815</v>
      </c>
    </row>
    <row r="2091" spans="1:13" x14ac:dyDescent="0.35">
      <c r="A2091" t="s">
        <v>445</v>
      </c>
      <c r="B2091" t="s">
        <v>1986</v>
      </c>
      <c r="C2091" t="s">
        <v>2617</v>
      </c>
      <c r="D2091">
        <v>3.75</v>
      </c>
      <c r="E2091" s="1">
        <v>46568</v>
      </c>
      <c r="F2091" t="s">
        <v>1988</v>
      </c>
      <c r="G2091" t="s">
        <v>2617</v>
      </c>
      <c r="H2091" t="s">
        <v>2</v>
      </c>
      <c r="I2091" s="1">
        <v>46224</v>
      </c>
      <c r="J2091" t="s">
        <v>1989</v>
      </c>
      <c r="K2091" t="s">
        <v>3906</v>
      </c>
      <c r="L2091" s="1">
        <v>46224.918321759258</v>
      </c>
      <c r="M2091" s="1">
        <v>46224.91962439815</v>
      </c>
    </row>
    <row r="2092" spans="1:13" x14ac:dyDescent="0.35">
      <c r="A2092" t="s">
        <v>446</v>
      </c>
      <c r="B2092" t="s">
        <v>1986</v>
      </c>
      <c r="C2092" t="s">
        <v>2697</v>
      </c>
      <c r="D2092">
        <v>3.875</v>
      </c>
      <c r="E2092" s="1">
        <v>46949</v>
      </c>
      <c r="F2092" t="s">
        <v>1988</v>
      </c>
      <c r="G2092" t="s">
        <v>2697</v>
      </c>
      <c r="H2092" t="s">
        <v>2</v>
      </c>
      <c r="I2092" s="1">
        <v>46224</v>
      </c>
      <c r="J2092" t="s">
        <v>1989</v>
      </c>
      <c r="K2092" t="s">
        <v>4145</v>
      </c>
      <c r="L2092" s="1">
        <v>46224.918321759258</v>
      </c>
      <c r="M2092" s="1">
        <v>46224.91962439815</v>
      </c>
    </row>
    <row r="2093" spans="1:13" x14ac:dyDescent="0.35">
      <c r="A2093" t="s">
        <v>446</v>
      </c>
      <c r="B2093" t="s">
        <v>1986</v>
      </c>
      <c r="C2093" t="s">
        <v>2697</v>
      </c>
      <c r="D2093">
        <v>3.875</v>
      </c>
      <c r="E2093" s="1">
        <v>46949</v>
      </c>
      <c r="F2093" t="s">
        <v>1988</v>
      </c>
      <c r="G2093" t="s">
        <v>2697</v>
      </c>
      <c r="H2093" t="s">
        <v>2</v>
      </c>
      <c r="I2093" s="1">
        <v>46224</v>
      </c>
      <c r="J2093" t="s">
        <v>2146</v>
      </c>
      <c r="K2093" t="s">
        <v>2393</v>
      </c>
      <c r="L2093" s="1">
        <v>46224.917650462965</v>
      </c>
      <c r="M2093" s="1">
        <v>46224.91962439815</v>
      </c>
    </row>
    <row r="2094" spans="1:13" x14ac:dyDescent="0.35">
      <c r="A2094" t="s">
        <v>446</v>
      </c>
      <c r="B2094" t="s">
        <v>1986</v>
      </c>
      <c r="C2094" t="s">
        <v>2697</v>
      </c>
      <c r="D2094">
        <v>3.875</v>
      </c>
      <c r="E2094" s="1">
        <v>46949</v>
      </c>
      <c r="F2094" t="s">
        <v>1988</v>
      </c>
      <c r="G2094" t="s">
        <v>2697</v>
      </c>
      <c r="H2094" t="s">
        <v>2</v>
      </c>
      <c r="I2094" s="1">
        <v>46224</v>
      </c>
      <c r="J2094" t="s">
        <v>2064</v>
      </c>
      <c r="K2094" t="s">
        <v>2436</v>
      </c>
      <c r="L2094" s="1">
        <v>46224.917650462965</v>
      </c>
      <c r="M2094" s="1">
        <v>46224.91962439815</v>
      </c>
    </row>
    <row r="2095" spans="1:13" x14ac:dyDescent="0.35">
      <c r="A2095" t="s">
        <v>446</v>
      </c>
      <c r="B2095" t="s">
        <v>1986</v>
      </c>
      <c r="C2095" t="s">
        <v>2697</v>
      </c>
      <c r="D2095">
        <v>3.875</v>
      </c>
      <c r="E2095" s="1">
        <v>46949</v>
      </c>
      <c r="F2095" t="s">
        <v>1988</v>
      </c>
      <c r="G2095" t="s">
        <v>2697</v>
      </c>
      <c r="H2095" t="s">
        <v>2</v>
      </c>
      <c r="I2095" s="1">
        <v>46224</v>
      </c>
      <c r="J2095" t="s">
        <v>2065</v>
      </c>
      <c r="K2095" t="s">
        <v>2436</v>
      </c>
      <c r="L2095" s="1">
        <v>46224.917650462965</v>
      </c>
      <c r="M2095" s="1">
        <v>46224.91962439815</v>
      </c>
    </row>
    <row r="2096" spans="1:13" x14ac:dyDescent="0.35">
      <c r="A2096" t="s">
        <v>446</v>
      </c>
      <c r="B2096" t="s">
        <v>1986</v>
      </c>
      <c r="C2096" t="s">
        <v>2697</v>
      </c>
      <c r="D2096">
        <v>3.875</v>
      </c>
      <c r="E2096" s="1">
        <v>46949</v>
      </c>
      <c r="F2096" t="s">
        <v>1988</v>
      </c>
      <c r="G2096" t="s">
        <v>2697</v>
      </c>
      <c r="H2096" t="s">
        <v>2</v>
      </c>
      <c r="I2096" s="1">
        <v>46224</v>
      </c>
      <c r="J2096" t="s">
        <v>1991</v>
      </c>
      <c r="K2096" t="s">
        <v>3607</v>
      </c>
      <c r="L2096" s="1">
        <v>46224.918321759258</v>
      </c>
      <c r="M2096" s="1">
        <v>46224.91962439815</v>
      </c>
    </row>
    <row r="2097" spans="1:13" x14ac:dyDescent="0.35">
      <c r="A2097" t="s">
        <v>446</v>
      </c>
      <c r="B2097" t="s">
        <v>1986</v>
      </c>
      <c r="C2097" t="s">
        <v>2697</v>
      </c>
      <c r="D2097">
        <v>3.875</v>
      </c>
      <c r="E2097" s="1">
        <v>46949</v>
      </c>
      <c r="F2097" t="s">
        <v>1988</v>
      </c>
      <c r="G2097" t="s">
        <v>2697</v>
      </c>
      <c r="H2097" t="s">
        <v>2</v>
      </c>
      <c r="I2097" s="1">
        <v>46224</v>
      </c>
      <c r="J2097" t="s">
        <v>2108</v>
      </c>
      <c r="K2097" t="s">
        <v>2393</v>
      </c>
      <c r="L2097" s="1">
        <v>46224.917650462965</v>
      </c>
      <c r="M2097" s="1">
        <v>46224.91962439815</v>
      </c>
    </row>
    <row r="2098" spans="1:13" x14ac:dyDescent="0.35">
      <c r="A2098" t="s">
        <v>447</v>
      </c>
      <c r="B2098" t="s">
        <v>1986</v>
      </c>
      <c r="C2098" t="s">
        <v>2619</v>
      </c>
      <c r="D2098">
        <v>3.875</v>
      </c>
      <c r="E2098" s="1">
        <v>47695</v>
      </c>
      <c r="F2098" t="s">
        <v>1988</v>
      </c>
      <c r="G2098" t="s">
        <v>2619</v>
      </c>
      <c r="H2098" t="s">
        <v>2</v>
      </c>
      <c r="I2098" s="1">
        <v>46224</v>
      </c>
      <c r="J2098" t="s">
        <v>2146</v>
      </c>
      <c r="K2098" t="s">
        <v>3815</v>
      </c>
      <c r="L2098" s="1">
        <v>46224.917650462965</v>
      </c>
      <c r="M2098" s="1">
        <v>46224.91962439815</v>
      </c>
    </row>
    <row r="2099" spans="1:13" x14ac:dyDescent="0.35">
      <c r="A2099" t="s">
        <v>447</v>
      </c>
      <c r="B2099" t="s">
        <v>1986</v>
      </c>
      <c r="C2099" t="s">
        <v>2619</v>
      </c>
      <c r="D2099">
        <v>3.875</v>
      </c>
      <c r="E2099" s="1">
        <v>47695</v>
      </c>
      <c r="F2099" t="s">
        <v>1988</v>
      </c>
      <c r="G2099" t="s">
        <v>2619</v>
      </c>
      <c r="H2099" t="s">
        <v>2</v>
      </c>
      <c r="I2099" s="1">
        <v>46224</v>
      </c>
      <c r="J2099" t="s">
        <v>1989</v>
      </c>
      <c r="K2099" t="s">
        <v>3449</v>
      </c>
      <c r="L2099" s="1">
        <v>46224.918321759258</v>
      </c>
      <c r="M2099" s="1">
        <v>46224.91962439815</v>
      </c>
    </row>
    <row r="2100" spans="1:13" x14ac:dyDescent="0.35">
      <c r="A2100" t="s">
        <v>447</v>
      </c>
      <c r="B2100" t="s">
        <v>1986</v>
      </c>
      <c r="C2100" t="s">
        <v>2619</v>
      </c>
      <c r="D2100">
        <v>3.875</v>
      </c>
      <c r="E2100" s="1">
        <v>47695</v>
      </c>
      <c r="F2100" t="s">
        <v>1988</v>
      </c>
      <c r="G2100" t="s">
        <v>2619</v>
      </c>
      <c r="H2100" t="s">
        <v>2</v>
      </c>
      <c r="I2100" s="1">
        <v>46224</v>
      </c>
      <c r="J2100" t="s">
        <v>2108</v>
      </c>
      <c r="K2100" t="s">
        <v>3815</v>
      </c>
      <c r="L2100" s="1">
        <v>46224.917650462965</v>
      </c>
      <c r="M2100" s="1">
        <v>46224.91962439815</v>
      </c>
    </row>
    <row r="2101" spans="1:13" x14ac:dyDescent="0.35">
      <c r="A2101" t="s">
        <v>447</v>
      </c>
      <c r="B2101" t="s">
        <v>1986</v>
      </c>
      <c r="C2101" t="s">
        <v>2619</v>
      </c>
      <c r="D2101">
        <v>3.875</v>
      </c>
      <c r="E2101" s="1">
        <v>47695</v>
      </c>
      <c r="F2101" t="s">
        <v>1988</v>
      </c>
      <c r="G2101" t="s">
        <v>2619</v>
      </c>
      <c r="H2101" t="s">
        <v>2</v>
      </c>
      <c r="I2101" s="1">
        <v>46224</v>
      </c>
      <c r="J2101" t="s">
        <v>1991</v>
      </c>
      <c r="K2101" t="s">
        <v>2294</v>
      </c>
      <c r="L2101" s="1">
        <v>46224.918321759258</v>
      </c>
      <c r="M2101" s="1">
        <v>46224.91962439815</v>
      </c>
    </row>
    <row r="2102" spans="1:13" x14ac:dyDescent="0.35">
      <c r="A2102" t="s">
        <v>447</v>
      </c>
      <c r="B2102" t="s">
        <v>1986</v>
      </c>
      <c r="C2102" t="s">
        <v>2619</v>
      </c>
      <c r="D2102">
        <v>3.875</v>
      </c>
      <c r="E2102" s="1">
        <v>47695</v>
      </c>
      <c r="F2102" t="s">
        <v>1988</v>
      </c>
      <c r="G2102" t="s">
        <v>2619</v>
      </c>
      <c r="H2102" t="s">
        <v>2</v>
      </c>
      <c r="I2102" s="1">
        <v>46224</v>
      </c>
      <c r="J2102" t="s">
        <v>2064</v>
      </c>
      <c r="K2102" t="s">
        <v>2660</v>
      </c>
      <c r="L2102" s="1">
        <v>46224.917650462965</v>
      </c>
      <c r="M2102" s="1">
        <v>46224.91962439815</v>
      </c>
    </row>
    <row r="2103" spans="1:13" x14ac:dyDescent="0.35">
      <c r="A2103" t="s">
        <v>447</v>
      </c>
      <c r="B2103" t="s">
        <v>1986</v>
      </c>
      <c r="C2103" t="s">
        <v>2619</v>
      </c>
      <c r="D2103">
        <v>3.875</v>
      </c>
      <c r="E2103" s="1">
        <v>47695</v>
      </c>
      <c r="F2103" t="s">
        <v>1988</v>
      </c>
      <c r="G2103" t="s">
        <v>2619</v>
      </c>
      <c r="H2103" t="s">
        <v>2</v>
      </c>
      <c r="I2103" s="1">
        <v>46224</v>
      </c>
      <c r="J2103" t="s">
        <v>2065</v>
      </c>
      <c r="K2103" t="s">
        <v>2660</v>
      </c>
      <c r="L2103" s="1">
        <v>46224.917650462965</v>
      </c>
      <c r="M2103" s="1">
        <v>46224.91962439815</v>
      </c>
    </row>
    <row r="2104" spans="1:13" x14ac:dyDescent="0.35">
      <c r="A2104" t="s">
        <v>448</v>
      </c>
      <c r="B2104" t="s">
        <v>1986</v>
      </c>
      <c r="C2104" t="s">
        <v>2621</v>
      </c>
      <c r="D2104">
        <v>3.875</v>
      </c>
      <c r="E2104" s="1">
        <v>46599</v>
      </c>
      <c r="F2104" t="s">
        <v>1988</v>
      </c>
      <c r="G2104" t="s">
        <v>2621</v>
      </c>
      <c r="H2104" t="s">
        <v>2</v>
      </c>
      <c r="I2104" s="1">
        <v>46224</v>
      </c>
      <c r="J2104" t="s">
        <v>1991</v>
      </c>
      <c r="K2104" t="s">
        <v>3685</v>
      </c>
      <c r="L2104" s="1">
        <v>46224.918321759258</v>
      </c>
      <c r="M2104" s="1">
        <v>46224.91962439815</v>
      </c>
    </row>
    <row r="2105" spans="1:13" x14ac:dyDescent="0.35">
      <c r="A2105" t="s">
        <v>448</v>
      </c>
      <c r="B2105" t="s">
        <v>1986</v>
      </c>
      <c r="C2105" t="s">
        <v>2621</v>
      </c>
      <c r="D2105">
        <v>3.875</v>
      </c>
      <c r="E2105" s="1">
        <v>46599</v>
      </c>
      <c r="F2105" t="s">
        <v>1988</v>
      </c>
      <c r="G2105" t="s">
        <v>2621</v>
      </c>
      <c r="H2105" t="s">
        <v>2</v>
      </c>
      <c r="I2105" s="1">
        <v>46224</v>
      </c>
      <c r="J2105" t="s">
        <v>2146</v>
      </c>
      <c r="K2105" t="s">
        <v>3884</v>
      </c>
      <c r="L2105" s="1">
        <v>46224.917650462965</v>
      </c>
      <c r="M2105" s="1">
        <v>46224.91962439815</v>
      </c>
    </row>
    <row r="2106" spans="1:13" x14ac:dyDescent="0.35">
      <c r="A2106" t="s">
        <v>448</v>
      </c>
      <c r="B2106" t="s">
        <v>1986</v>
      </c>
      <c r="C2106" t="s">
        <v>2621</v>
      </c>
      <c r="D2106">
        <v>3.875</v>
      </c>
      <c r="E2106" s="1">
        <v>46599</v>
      </c>
      <c r="F2106" t="s">
        <v>1988</v>
      </c>
      <c r="G2106" t="s">
        <v>2621</v>
      </c>
      <c r="H2106" t="s">
        <v>2</v>
      </c>
      <c r="I2106" s="1">
        <v>46224</v>
      </c>
      <c r="J2106" t="s">
        <v>2065</v>
      </c>
      <c r="K2106" t="s">
        <v>2517</v>
      </c>
      <c r="L2106" s="1">
        <v>46224.917650462965</v>
      </c>
      <c r="M2106" s="1">
        <v>46224.91962439815</v>
      </c>
    </row>
    <row r="2107" spans="1:13" x14ac:dyDescent="0.35">
      <c r="A2107" t="s">
        <v>448</v>
      </c>
      <c r="B2107" t="s">
        <v>1986</v>
      </c>
      <c r="C2107" t="s">
        <v>2621</v>
      </c>
      <c r="D2107">
        <v>3.875</v>
      </c>
      <c r="E2107" s="1">
        <v>46599</v>
      </c>
      <c r="F2107" t="s">
        <v>1988</v>
      </c>
      <c r="G2107" t="s">
        <v>2621</v>
      </c>
      <c r="H2107" t="s">
        <v>2</v>
      </c>
      <c r="I2107" s="1">
        <v>46224</v>
      </c>
      <c r="J2107" t="s">
        <v>1989</v>
      </c>
      <c r="K2107" t="s">
        <v>2410</v>
      </c>
      <c r="L2107" s="1">
        <v>46224.918321759258</v>
      </c>
      <c r="M2107" s="1">
        <v>46224.91962439815</v>
      </c>
    </row>
    <row r="2108" spans="1:13" x14ac:dyDescent="0.35">
      <c r="A2108" t="s">
        <v>448</v>
      </c>
      <c r="B2108" t="s">
        <v>1986</v>
      </c>
      <c r="C2108" t="s">
        <v>2621</v>
      </c>
      <c r="D2108">
        <v>3.875</v>
      </c>
      <c r="E2108" s="1">
        <v>46599</v>
      </c>
      <c r="F2108" t="s">
        <v>1988</v>
      </c>
      <c r="G2108" t="s">
        <v>2621</v>
      </c>
      <c r="H2108" t="s">
        <v>2</v>
      </c>
      <c r="I2108" s="1">
        <v>46224</v>
      </c>
      <c r="J2108" t="s">
        <v>2108</v>
      </c>
      <c r="K2108" t="s">
        <v>3884</v>
      </c>
      <c r="L2108" s="1">
        <v>46224.917650462965</v>
      </c>
      <c r="M2108" s="1">
        <v>46224.91962439815</v>
      </c>
    </row>
    <row r="2109" spans="1:13" x14ac:dyDescent="0.35">
      <c r="A2109" t="s">
        <v>448</v>
      </c>
      <c r="B2109" t="s">
        <v>1986</v>
      </c>
      <c r="C2109" t="s">
        <v>2621</v>
      </c>
      <c r="D2109">
        <v>3.875</v>
      </c>
      <c r="E2109" s="1">
        <v>46599</v>
      </c>
      <c r="F2109" t="s">
        <v>1988</v>
      </c>
      <c r="G2109" t="s">
        <v>2621</v>
      </c>
      <c r="H2109" t="s">
        <v>2</v>
      </c>
      <c r="I2109" s="1">
        <v>46224</v>
      </c>
      <c r="J2109" t="s">
        <v>2064</v>
      </c>
      <c r="K2109" t="s">
        <v>2517</v>
      </c>
      <c r="L2109" s="1">
        <v>46224.917650462965</v>
      </c>
      <c r="M2109" s="1">
        <v>46224.91962439815</v>
      </c>
    </row>
    <row r="2110" spans="1:13" x14ac:dyDescent="0.35">
      <c r="A2110" t="s">
        <v>449</v>
      </c>
      <c r="B2110" t="s">
        <v>1986</v>
      </c>
      <c r="C2110" t="s">
        <v>2698</v>
      </c>
      <c r="D2110">
        <v>4</v>
      </c>
      <c r="E2110" s="1">
        <v>48426</v>
      </c>
      <c r="F2110" t="s">
        <v>1988</v>
      </c>
      <c r="G2110" t="s">
        <v>2698</v>
      </c>
      <c r="H2110" t="s">
        <v>2</v>
      </c>
      <c r="I2110" s="1">
        <v>46224</v>
      </c>
      <c r="J2110" t="s">
        <v>2065</v>
      </c>
      <c r="K2110" t="s">
        <v>2915</v>
      </c>
      <c r="L2110" s="1">
        <v>46224.917650462965</v>
      </c>
      <c r="M2110" s="1">
        <v>46224.91962439815</v>
      </c>
    </row>
    <row r="2111" spans="1:13" x14ac:dyDescent="0.35">
      <c r="A2111" t="s">
        <v>449</v>
      </c>
      <c r="B2111" t="s">
        <v>1986</v>
      </c>
      <c r="C2111" t="s">
        <v>2698</v>
      </c>
      <c r="D2111">
        <v>4</v>
      </c>
      <c r="E2111" s="1">
        <v>48426</v>
      </c>
      <c r="F2111" t="s">
        <v>1988</v>
      </c>
      <c r="G2111" t="s">
        <v>2698</v>
      </c>
      <c r="H2111" t="s">
        <v>2</v>
      </c>
      <c r="I2111" s="1">
        <v>46224</v>
      </c>
      <c r="J2111" t="s">
        <v>1989</v>
      </c>
      <c r="K2111" t="s">
        <v>3005</v>
      </c>
      <c r="L2111" s="1">
        <v>46224.918321759258</v>
      </c>
      <c r="M2111" s="1">
        <v>46224.91962439815</v>
      </c>
    </row>
    <row r="2112" spans="1:13" x14ac:dyDescent="0.35">
      <c r="A2112" t="s">
        <v>449</v>
      </c>
      <c r="B2112" t="s">
        <v>1986</v>
      </c>
      <c r="C2112" t="s">
        <v>2698</v>
      </c>
      <c r="D2112">
        <v>4</v>
      </c>
      <c r="E2112" s="1">
        <v>48426</v>
      </c>
      <c r="F2112" t="s">
        <v>1988</v>
      </c>
      <c r="G2112" t="s">
        <v>2698</v>
      </c>
      <c r="H2112" t="s">
        <v>2</v>
      </c>
      <c r="I2112" s="1">
        <v>46224</v>
      </c>
      <c r="J2112" t="s">
        <v>1991</v>
      </c>
      <c r="K2112" t="s">
        <v>2988</v>
      </c>
      <c r="L2112" s="1">
        <v>46224.918321759258</v>
      </c>
      <c r="M2112" s="1">
        <v>46224.91962439815</v>
      </c>
    </row>
    <row r="2113" spans="1:13" x14ac:dyDescent="0.35">
      <c r="A2113" t="s">
        <v>449</v>
      </c>
      <c r="B2113" t="s">
        <v>1986</v>
      </c>
      <c r="C2113" t="s">
        <v>2698</v>
      </c>
      <c r="D2113">
        <v>4</v>
      </c>
      <c r="E2113" s="1">
        <v>48426</v>
      </c>
      <c r="F2113" t="s">
        <v>1988</v>
      </c>
      <c r="G2113" t="s">
        <v>2698</v>
      </c>
      <c r="H2113" t="s">
        <v>2</v>
      </c>
      <c r="I2113" s="1">
        <v>46224</v>
      </c>
      <c r="J2113" t="s">
        <v>2146</v>
      </c>
      <c r="K2113" t="s">
        <v>3907</v>
      </c>
      <c r="L2113" s="1">
        <v>46224.917650462965</v>
      </c>
      <c r="M2113" s="1">
        <v>46224.91962439815</v>
      </c>
    </row>
    <row r="2114" spans="1:13" x14ac:dyDescent="0.35">
      <c r="A2114" t="s">
        <v>449</v>
      </c>
      <c r="B2114" t="s">
        <v>1986</v>
      </c>
      <c r="C2114" t="s">
        <v>2698</v>
      </c>
      <c r="D2114">
        <v>4</v>
      </c>
      <c r="E2114" s="1">
        <v>48426</v>
      </c>
      <c r="F2114" t="s">
        <v>1988</v>
      </c>
      <c r="G2114" t="s">
        <v>2698</v>
      </c>
      <c r="H2114" t="s">
        <v>2</v>
      </c>
      <c r="I2114" s="1">
        <v>46224</v>
      </c>
      <c r="J2114" t="s">
        <v>2064</v>
      </c>
      <c r="K2114" t="s">
        <v>2915</v>
      </c>
      <c r="L2114" s="1">
        <v>46224.917650462965</v>
      </c>
      <c r="M2114" s="1">
        <v>46224.91962439815</v>
      </c>
    </row>
    <row r="2115" spans="1:13" x14ac:dyDescent="0.35">
      <c r="A2115" t="s">
        <v>449</v>
      </c>
      <c r="B2115" t="s">
        <v>1986</v>
      </c>
      <c r="C2115" t="s">
        <v>2698</v>
      </c>
      <c r="D2115">
        <v>4</v>
      </c>
      <c r="E2115" s="1">
        <v>48426</v>
      </c>
      <c r="F2115" t="s">
        <v>1988</v>
      </c>
      <c r="G2115" t="s">
        <v>2698</v>
      </c>
      <c r="H2115" t="s">
        <v>2</v>
      </c>
      <c r="I2115" s="1">
        <v>46224</v>
      </c>
      <c r="J2115" t="s">
        <v>2108</v>
      </c>
      <c r="K2115" t="s">
        <v>3907</v>
      </c>
      <c r="L2115" s="1">
        <v>46224.917650462965</v>
      </c>
      <c r="M2115" s="1">
        <v>46224.91962439815</v>
      </c>
    </row>
    <row r="2116" spans="1:13" x14ac:dyDescent="0.35">
      <c r="A2116" t="s">
        <v>451</v>
      </c>
      <c r="B2116" t="s">
        <v>1986</v>
      </c>
      <c r="C2116" t="s">
        <v>2706</v>
      </c>
      <c r="D2116">
        <v>1.875</v>
      </c>
      <c r="E2116" s="1">
        <v>49505</v>
      </c>
      <c r="F2116" t="s">
        <v>2014</v>
      </c>
      <c r="G2116" t="s">
        <v>2706</v>
      </c>
      <c r="H2116" t="s">
        <v>2</v>
      </c>
      <c r="I2116" s="1">
        <v>46224</v>
      </c>
      <c r="J2116" t="s">
        <v>1991</v>
      </c>
      <c r="K2116" t="s">
        <v>2679</v>
      </c>
      <c r="L2116" s="1">
        <v>46224.918321759258</v>
      </c>
      <c r="M2116" s="1">
        <v>46224.91962439815</v>
      </c>
    </row>
    <row r="2117" spans="1:13" x14ac:dyDescent="0.35">
      <c r="A2117" t="s">
        <v>451</v>
      </c>
      <c r="B2117" t="s">
        <v>1986</v>
      </c>
      <c r="C2117" t="s">
        <v>2706</v>
      </c>
      <c r="D2117">
        <v>1.875</v>
      </c>
      <c r="E2117" s="1">
        <v>49505</v>
      </c>
      <c r="F2117" t="s">
        <v>2014</v>
      </c>
      <c r="G2117" t="s">
        <v>2706</v>
      </c>
      <c r="H2117" t="s">
        <v>2</v>
      </c>
      <c r="I2117" s="1">
        <v>46224</v>
      </c>
      <c r="J2117" t="s">
        <v>2064</v>
      </c>
      <c r="K2117" t="s">
        <v>3674</v>
      </c>
      <c r="L2117" s="1">
        <v>46224.917650462965</v>
      </c>
      <c r="M2117" s="1">
        <v>46224.91962439815</v>
      </c>
    </row>
    <row r="2118" spans="1:13" x14ac:dyDescent="0.35">
      <c r="A2118" t="s">
        <v>451</v>
      </c>
      <c r="B2118" t="s">
        <v>1986</v>
      </c>
      <c r="C2118" t="s">
        <v>2706</v>
      </c>
      <c r="D2118">
        <v>1.875</v>
      </c>
      <c r="E2118" s="1">
        <v>49505</v>
      </c>
      <c r="F2118" t="s">
        <v>2014</v>
      </c>
      <c r="G2118" t="s">
        <v>2706</v>
      </c>
      <c r="H2118" t="s">
        <v>2</v>
      </c>
      <c r="I2118" s="1">
        <v>46224</v>
      </c>
      <c r="J2118" t="s">
        <v>2146</v>
      </c>
      <c r="K2118" t="s">
        <v>3761</v>
      </c>
      <c r="L2118" s="1">
        <v>46224.917650462965</v>
      </c>
      <c r="M2118" s="1">
        <v>46224.91962439815</v>
      </c>
    </row>
    <row r="2119" spans="1:13" x14ac:dyDescent="0.35">
      <c r="A2119" t="s">
        <v>451</v>
      </c>
      <c r="B2119" t="s">
        <v>1986</v>
      </c>
      <c r="C2119" t="s">
        <v>2706</v>
      </c>
      <c r="D2119">
        <v>1.875</v>
      </c>
      <c r="E2119" s="1">
        <v>49505</v>
      </c>
      <c r="F2119" t="s">
        <v>2014</v>
      </c>
      <c r="G2119" t="s">
        <v>2706</v>
      </c>
      <c r="H2119" t="s">
        <v>2</v>
      </c>
      <c r="I2119" s="1">
        <v>46224</v>
      </c>
      <c r="J2119" t="s">
        <v>2108</v>
      </c>
      <c r="K2119" t="s">
        <v>3761</v>
      </c>
      <c r="L2119" s="1">
        <v>46224.917650462965</v>
      </c>
      <c r="M2119" s="1">
        <v>46224.91962439815</v>
      </c>
    </row>
    <row r="2120" spans="1:13" x14ac:dyDescent="0.35">
      <c r="A2120" t="s">
        <v>451</v>
      </c>
      <c r="B2120" t="s">
        <v>1986</v>
      </c>
      <c r="C2120" t="s">
        <v>2706</v>
      </c>
      <c r="D2120">
        <v>1.875</v>
      </c>
      <c r="E2120" s="1">
        <v>49505</v>
      </c>
      <c r="F2120" t="s">
        <v>2014</v>
      </c>
      <c r="G2120" t="s">
        <v>2706</v>
      </c>
      <c r="H2120" t="s">
        <v>2</v>
      </c>
      <c r="I2120" s="1">
        <v>46224</v>
      </c>
      <c r="J2120" t="s">
        <v>2065</v>
      </c>
      <c r="K2120" t="s">
        <v>3674</v>
      </c>
      <c r="L2120" s="1">
        <v>46224.917650462965</v>
      </c>
      <c r="M2120" s="1">
        <v>46224.91962439815</v>
      </c>
    </row>
    <row r="2121" spans="1:13" x14ac:dyDescent="0.35">
      <c r="A2121" t="s">
        <v>451</v>
      </c>
      <c r="B2121" t="s">
        <v>1986</v>
      </c>
      <c r="C2121" t="s">
        <v>2706</v>
      </c>
      <c r="D2121">
        <v>1.875</v>
      </c>
      <c r="E2121" s="1">
        <v>49505</v>
      </c>
      <c r="F2121" t="s">
        <v>2014</v>
      </c>
      <c r="G2121" t="s">
        <v>2706</v>
      </c>
      <c r="H2121" t="s">
        <v>2</v>
      </c>
      <c r="I2121" s="1">
        <v>46224</v>
      </c>
      <c r="J2121" t="s">
        <v>1989</v>
      </c>
      <c r="K2121" t="s">
        <v>3908</v>
      </c>
      <c r="L2121" s="1">
        <v>46224.918321759258</v>
      </c>
      <c r="M2121" s="1">
        <v>46224.91962439815</v>
      </c>
    </row>
    <row r="2122" spans="1:13" x14ac:dyDescent="0.35">
      <c r="A2122" t="s">
        <v>452</v>
      </c>
      <c r="B2122" t="s">
        <v>1986</v>
      </c>
      <c r="C2122" t="s">
        <v>2622</v>
      </c>
      <c r="D2122">
        <v>4.25</v>
      </c>
      <c r="E2122" s="1">
        <v>49536</v>
      </c>
      <c r="F2122" t="s">
        <v>1988</v>
      </c>
      <c r="G2122" t="s">
        <v>2622</v>
      </c>
      <c r="H2122" t="s">
        <v>2</v>
      </c>
      <c r="I2122" s="1">
        <v>46224</v>
      </c>
      <c r="J2122" t="s">
        <v>1989</v>
      </c>
      <c r="K2122" t="s">
        <v>2965</v>
      </c>
      <c r="L2122" s="1">
        <v>46224.918321759258</v>
      </c>
      <c r="M2122" s="1">
        <v>46224.91962439815</v>
      </c>
    </row>
    <row r="2123" spans="1:13" x14ac:dyDescent="0.35">
      <c r="A2123" t="s">
        <v>452</v>
      </c>
      <c r="B2123" t="s">
        <v>1986</v>
      </c>
      <c r="C2123" t="s">
        <v>2622</v>
      </c>
      <c r="D2123">
        <v>4.25</v>
      </c>
      <c r="E2123" s="1">
        <v>49536</v>
      </c>
      <c r="F2123" t="s">
        <v>1988</v>
      </c>
      <c r="G2123" t="s">
        <v>2622</v>
      </c>
      <c r="H2123" t="s">
        <v>2</v>
      </c>
      <c r="I2123" s="1">
        <v>46224</v>
      </c>
      <c r="J2123" t="s">
        <v>2108</v>
      </c>
      <c r="K2123" t="s">
        <v>3686</v>
      </c>
      <c r="L2123" s="1">
        <v>46224.917650462965</v>
      </c>
      <c r="M2123" s="1">
        <v>46224.91962439815</v>
      </c>
    </row>
    <row r="2124" spans="1:13" x14ac:dyDescent="0.35">
      <c r="A2124" t="s">
        <v>452</v>
      </c>
      <c r="B2124" t="s">
        <v>1986</v>
      </c>
      <c r="C2124" t="s">
        <v>2622</v>
      </c>
      <c r="D2124">
        <v>4.25</v>
      </c>
      <c r="E2124" s="1">
        <v>49536</v>
      </c>
      <c r="F2124" t="s">
        <v>1988</v>
      </c>
      <c r="G2124" t="s">
        <v>2622</v>
      </c>
      <c r="H2124" t="s">
        <v>2</v>
      </c>
      <c r="I2124" s="1">
        <v>46224</v>
      </c>
      <c r="J2124" t="s">
        <v>2065</v>
      </c>
      <c r="K2124" t="s">
        <v>3762</v>
      </c>
      <c r="L2124" s="1">
        <v>46224.917650462965</v>
      </c>
      <c r="M2124" s="1">
        <v>46224.91962439815</v>
      </c>
    </row>
    <row r="2125" spans="1:13" x14ac:dyDescent="0.35">
      <c r="A2125" t="s">
        <v>452</v>
      </c>
      <c r="B2125" t="s">
        <v>1986</v>
      </c>
      <c r="C2125" t="s">
        <v>2622</v>
      </c>
      <c r="D2125">
        <v>4.25</v>
      </c>
      <c r="E2125" s="1">
        <v>49536</v>
      </c>
      <c r="F2125" t="s">
        <v>1988</v>
      </c>
      <c r="G2125" t="s">
        <v>2622</v>
      </c>
      <c r="H2125" t="s">
        <v>2</v>
      </c>
      <c r="I2125" s="1">
        <v>46224</v>
      </c>
      <c r="J2125" t="s">
        <v>1991</v>
      </c>
      <c r="K2125" t="s">
        <v>2079</v>
      </c>
      <c r="L2125" s="1">
        <v>46224.918321759258</v>
      </c>
      <c r="M2125" s="1">
        <v>46224.91962439815</v>
      </c>
    </row>
    <row r="2126" spans="1:13" x14ac:dyDescent="0.35">
      <c r="A2126" t="s">
        <v>452</v>
      </c>
      <c r="B2126" t="s">
        <v>1986</v>
      </c>
      <c r="C2126" t="s">
        <v>2622</v>
      </c>
      <c r="D2126">
        <v>4.25</v>
      </c>
      <c r="E2126" s="1">
        <v>49536</v>
      </c>
      <c r="F2126" t="s">
        <v>1988</v>
      </c>
      <c r="G2126" t="s">
        <v>2622</v>
      </c>
      <c r="H2126" t="s">
        <v>2</v>
      </c>
      <c r="I2126" s="1">
        <v>46224</v>
      </c>
      <c r="J2126" t="s">
        <v>2064</v>
      </c>
      <c r="K2126" t="s">
        <v>3762</v>
      </c>
      <c r="L2126" s="1">
        <v>46224.917650462965</v>
      </c>
      <c r="M2126" s="1">
        <v>46224.91962439815</v>
      </c>
    </row>
    <row r="2127" spans="1:13" x14ac:dyDescent="0.35">
      <c r="A2127" t="s">
        <v>452</v>
      </c>
      <c r="B2127" t="s">
        <v>1986</v>
      </c>
      <c r="C2127" t="s">
        <v>2622</v>
      </c>
      <c r="D2127">
        <v>4.25</v>
      </c>
      <c r="E2127" s="1">
        <v>49536</v>
      </c>
      <c r="F2127" t="s">
        <v>1988</v>
      </c>
      <c r="G2127" t="s">
        <v>2622</v>
      </c>
      <c r="H2127" t="s">
        <v>2</v>
      </c>
      <c r="I2127" s="1">
        <v>46224</v>
      </c>
      <c r="J2127" t="s">
        <v>2146</v>
      </c>
      <c r="K2127" t="s">
        <v>3686</v>
      </c>
      <c r="L2127" s="1">
        <v>46224.917650462965</v>
      </c>
      <c r="M2127" s="1">
        <v>46224.91962439815</v>
      </c>
    </row>
    <row r="2128" spans="1:13" x14ac:dyDescent="0.35">
      <c r="A2128" t="s">
        <v>461</v>
      </c>
      <c r="B2128" t="s">
        <v>1986</v>
      </c>
      <c r="C2128" t="s">
        <v>2623</v>
      </c>
      <c r="D2128">
        <v>3.625</v>
      </c>
      <c r="E2128" s="1">
        <v>46980</v>
      </c>
      <c r="F2128" t="s">
        <v>1988</v>
      </c>
      <c r="G2128" t="s">
        <v>2623</v>
      </c>
      <c r="H2128" t="s">
        <v>2</v>
      </c>
      <c r="I2128" s="1">
        <v>46224</v>
      </c>
      <c r="J2128" t="s">
        <v>1991</v>
      </c>
      <c r="K2128" t="s">
        <v>3816</v>
      </c>
      <c r="L2128" s="1">
        <v>46224.918321759258</v>
      </c>
      <c r="M2128" s="1">
        <v>46224.91962439815</v>
      </c>
    </row>
    <row r="2129" spans="1:13" x14ac:dyDescent="0.35">
      <c r="A2129" t="s">
        <v>461</v>
      </c>
      <c r="B2129" t="s">
        <v>1986</v>
      </c>
      <c r="C2129" t="s">
        <v>2623</v>
      </c>
      <c r="D2129">
        <v>3.625</v>
      </c>
      <c r="E2129" s="1">
        <v>46980</v>
      </c>
      <c r="F2129" t="s">
        <v>1988</v>
      </c>
      <c r="G2129" t="s">
        <v>2623</v>
      </c>
      <c r="H2129" t="s">
        <v>2</v>
      </c>
      <c r="I2129" s="1">
        <v>46224</v>
      </c>
      <c r="J2129" t="s">
        <v>2146</v>
      </c>
      <c r="K2129" t="s">
        <v>3622</v>
      </c>
      <c r="L2129" s="1">
        <v>46224.917650462965</v>
      </c>
      <c r="M2129" s="1">
        <v>46224.91962439815</v>
      </c>
    </row>
    <row r="2130" spans="1:13" x14ac:dyDescent="0.35">
      <c r="A2130" t="s">
        <v>461</v>
      </c>
      <c r="B2130" t="s">
        <v>1986</v>
      </c>
      <c r="C2130" t="s">
        <v>2623</v>
      </c>
      <c r="D2130">
        <v>3.625</v>
      </c>
      <c r="E2130" s="1">
        <v>46980</v>
      </c>
      <c r="F2130" t="s">
        <v>1988</v>
      </c>
      <c r="G2130" t="s">
        <v>2623</v>
      </c>
      <c r="H2130" t="s">
        <v>2</v>
      </c>
      <c r="I2130" s="1">
        <v>46224</v>
      </c>
      <c r="J2130" t="s">
        <v>2108</v>
      </c>
      <c r="K2130" t="s">
        <v>3622</v>
      </c>
      <c r="L2130" s="1">
        <v>46224.917650462965</v>
      </c>
      <c r="M2130" s="1">
        <v>46224.91962439815</v>
      </c>
    </row>
    <row r="2131" spans="1:13" x14ac:dyDescent="0.35">
      <c r="A2131" t="s">
        <v>461</v>
      </c>
      <c r="B2131" t="s">
        <v>1986</v>
      </c>
      <c r="C2131" t="s">
        <v>2623</v>
      </c>
      <c r="D2131">
        <v>3.625</v>
      </c>
      <c r="E2131" s="1">
        <v>46980</v>
      </c>
      <c r="F2131" t="s">
        <v>1988</v>
      </c>
      <c r="G2131" t="s">
        <v>2623</v>
      </c>
      <c r="H2131" t="s">
        <v>2</v>
      </c>
      <c r="I2131" s="1">
        <v>46224</v>
      </c>
      <c r="J2131" t="s">
        <v>2064</v>
      </c>
      <c r="K2131" t="s">
        <v>2620</v>
      </c>
      <c r="L2131" s="1">
        <v>46224.917650462965</v>
      </c>
      <c r="M2131" s="1">
        <v>46224.91962439815</v>
      </c>
    </row>
    <row r="2132" spans="1:13" x14ac:dyDescent="0.35">
      <c r="A2132" t="s">
        <v>461</v>
      </c>
      <c r="B2132" t="s">
        <v>1986</v>
      </c>
      <c r="C2132" t="s">
        <v>2623</v>
      </c>
      <c r="D2132">
        <v>3.625</v>
      </c>
      <c r="E2132" s="1">
        <v>46980</v>
      </c>
      <c r="F2132" t="s">
        <v>1988</v>
      </c>
      <c r="G2132" t="s">
        <v>2623</v>
      </c>
      <c r="H2132" t="s">
        <v>2</v>
      </c>
      <c r="I2132" s="1">
        <v>46224</v>
      </c>
      <c r="J2132" t="s">
        <v>2065</v>
      </c>
      <c r="K2132" t="s">
        <v>2620</v>
      </c>
      <c r="L2132" s="1">
        <v>46224.917650462965</v>
      </c>
      <c r="M2132" s="1">
        <v>46224.91962439815</v>
      </c>
    </row>
    <row r="2133" spans="1:13" x14ac:dyDescent="0.35">
      <c r="A2133" t="s">
        <v>461</v>
      </c>
      <c r="B2133" t="s">
        <v>1986</v>
      </c>
      <c r="C2133" t="s">
        <v>2623</v>
      </c>
      <c r="D2133">
        <v>3.625</v>
      </c>
      <c r="E2133" s="1">
        <v>46980</v>
      </c>
      <c r="F2133" t="s">
        <v>1988</v>
      </c>
      <c r="G2133" t="s">
        <v>2623</v>
      </c>
      <c r="H2133" t="s">
        <v>2</v>
      </c>
      <c r="I2133" s="1">
        <v>46224</v>
      </c>
      <c r="J2133" t="s">
        <v>1989</v>
      </c>
      <c r="K2133" t="s">
        <v>3909</v>
      </c>
      <c r="L2133" s="1">
        <v>46224.918321759258</v>
      </c>
      <c r="M2133" s="1">
        <v>46224.91962439815</v>
      </c>
    </row>
    <row r="2134" spans="1:13" x14ac:dyDescent="0.35">
      <c r="A2134" t="s">
        <v>453</v>
      </c>
      <c r="B2134" t="s">
        <v>1986</v>
      </c>
      <c r="C2134" t="s">
        <v>2699</v>
      </c>
      <c r="D2134">
        <v>3.625</v>
      </c>
      <c r="E2134" s="1">
        <v>46630</v>
      </c>
      <c r="F2134" t="s">
        <v>1988</v>
      </c>
      <c r="G2134" t="s">
        <v>2699</v>
      </c>
      <c r="H2134" t="s">
        <v>2</v>
      </c>
      <c r="I2134" s="1">
        <v>46224</v>
      </c>
      <c r="J2134" t="s">
        <v>2108</v>
      </c>
      <c r="K2134" t="s">
        <v>3817</v>
      </c>
      <c r="L2134" s="1">
        <v>46224.917650462965</v>
      </c>
      <c r="M2134" s="1">
        <v>46224.91962439815</v>
      </c>
    </row>
    <row r="2135" spans="1:13" x14ac:dyDescent="0.35">
      <c r="A2135" t="s">
        <v>453</v>
      </c>
      <c r="B2135" t="s">
        <v>1986</v>
      </c>
      <c r="C2135" t="s">
        <v>2699</v>
      </c>
      <c r="D2135">
        <v>3.625</v>
      </c>
      <c r="E2135" s="1">
        <v>46630</v>
      </c>
      <c r="F2135" t="s">
        <v>1988</v>
      </c>
      <c r="G2135" t="s">
        <v>2699</v>
      </c>
      <c r="H2135" t="s">
        <v>2</v>
      </c>
      <c r="I2135" s="1">
        <v>46224</v>
      </c>
      <c r="J2135" t="s">
        <v>1991</v>
      </c>
      <c r="K2135" t="s">
        <v>3687</v>
      </c>
      <c r="L2135" s="1">
        <v>46224.918321759258</v>
      </c>
      <c r="M2135" s="1">
        <v>46224.91962439815</v>
      </c>
    </row>
    <row r="2136" spans="1:13" x14ac:dyDescent="0.35">
      <c r="A2136" t="s">
        <v>453</v>
      </c>
      <c r="B2136" t="s">
        <v>1986</v>
      </c>
      <c r="C2136" t="s">
        <v>2699</v>
      </c>
      <c r="D2136">
        <v>3.625</v>
      </c>
      <c r="E2136" s="1">
        <v>46630</v>
      </c>
      <c r="F2136" t="s">
        <v>1988</v>
      </c>
      <c r="G2136" t="s">
        <v>2699</v>
      </c>
      <c r="H2136" t="s">
        <v>2</v>
      </c>
      <c r="I2136" s="1">
        <v>46224</v>
      </c>
      <c r="J2136" t="s">
        <v>1989</v>
      </c>
      <c r="K2136" t="s">
        <v>4144</v>
      </c>
      <c r="L2136" s="1">
        <v>46224.918321759258</v>
      </c>
      <c r="M2136" s="1">
        <v>46224.91962439815</v>
      </c>
    </row>
    <row r="2137" spans="1:13" x14ac:dyDescent="0.35">
      <c r="A2137" t="s">
        <v>453</v>
      </c>
      <c r="B2137" t="s">
        <v>1986</v>
      </c>
      <c r="C2137" t="s">
        <v>2699</v>
      </c>
      <c r="D2137">
        <v>3.625</v>
      </c>
      <c r="E2137" s="1">
        <v>46630</v>
      </c>
      <c r="F2137" t="s">
        <v>1988</v>
      </c>
      <c r="G2137" t="s">
        <v>2699</v>
      </c>
      <c r="H2137" t="s">
        <v>2</v>
      </c>
      <c r="I2137" s="1">
        <v>46224</v>
      </c>
      <c r="J2137" t="s">
        <v>2146</v>
      </c>
      <c r="K2137" t="s">
        <v>3817</v>
      </c>
      <c r="L2137" s="1">
        <v>46224.917650462965</v>
      </c>
      <c r="M2137" s="1">
        <v>46224.91962439815</v>
      </c>
    </row>
    <row r="2138" spans="1:13" x14ac:dyDescent="0.35">
      <c r="A2138" t="s">
        <v>453</v>
      </c>
      <c r="B2138" t="s">
        <v>1986</v>
      </c>
      <c r="C2138" t="s">
        <v>2699</v>
      </c>
      <c r="D2138">
        <v>3.625</v>
      </c>
      <c r="E2138" s="1">
        <v>46630</v>
      </c>
      <c r="F2138" t="s">
        <v>1988</v>
      </c>
      <c r="G2138" t="s">
        <v>2699</v>
      </c>
      <c r="H2138" t="s">
        <v>2</v>
      </c>
      <c r="I2138" s="1">
        <v>46224</v>
      </c>
      <c r="J2138" t="s">
        <v>2065</v>
      </c>
      <c r="K2138" t="s">
        <v>3521</v>
      </c>
      <c r="L2138" s="1">
        <v>46224.917650462965</v>
      </c>
      <c r="M2138" s="1">
        <v>46224.91962439815</v>
      </c>
    </row>
    <row r="2139" spans="1:13" x14ac:dyDescent="0.35">
      <c r="A2139" t="s">
        <v>453</v>
      </c>
      <c r="B2139" t="s">
        <v>1986</v>
      </c>
      <c r="C2139" t="s">
        <v>2699</v>
      </c>
      <c r="D2139">
        <v>3.625</v>
      </c>
      <c r="E2139" s="1">
        <v>46630</v>
      </c>
      <c r="F2139" t="s">
        <v>1988</v>
      </c>
      <c r="G2139" t="s">
        <v>2699</v>
      </c>
      <c r="H2139" t="s">
        <v>2</v>
      </c>
      <c r="I2139" s="1">
        <v>46224</v>
      </c>
      <c r="J2139" t="s">
        <v>2064</v>
      </c>
      <c r="K2139" t="s">
        <v>3521</v>
      </c>
      <c r="L2139" s="1">
        <v>46224.917650462965</v>
      </c>
      <c r="M2139" s="1">
        <v>46224.91962439815</v>
      </c>
    </row>
    <row r="2140" spans="1:13" x14ac:dyDescent="0.35">
      <c r="A2140" t="s">
        <v>454</v>
      </c>
      <c r="B2140" t="s">
        <v>1986</v>
      </c>
      <c r="C2140" t="s">
        <v>2624</v>
      </c>
      <c r="D2140">
        <v>3.875</v>
      </c>
      <c r="E2140" s="1">
        <v>48457</v>
      </c>
      <c r="F2140" t="s">
        <v>1988</v>
      </c>
      <c r="G2140" t="s">
        <v>2624</v>
      </c>
      <c r="H2140" t="s">
        <v>2</v>
      </c>
      <c r="I2140" s="1">
        <v>46224</v>
      </c>
      <c r="J2140" t="s">
        <v>2064</v>
      </c>
      <c r="K2140" t="s">
        <v>2990</v>
      </c>
      <c r="L2140" s="1">
        <v>46224.917650462965</v>
      </c>
      <c r="M2140" s="1">
        <v>46224.91962439815</v>
      </c>
    </row>
    <row r="2141" spans="1:13" x14ac:dyDescent="0.35">
      <c r="A2141" t="s">
        <v>454</v>
      </c>
      <c r="B2141" t="s">
        <v>1986</v>
      </c>
      <c r="C2141" t="s">
        <v>2624</v>
      </c>
      <c r="D2141">
        <v>3.875</v>
      </c>
      <c r="E2141" s="1">
        <v>48457</v>
      </c>
      <c r="F2141" t="s">
        <v>1988</v>
      </c>
      <c r="G2141" t="s">
        <v>2624</v>
      </c>
      <c r="H2141" t="s">
        <v>2</v>
      </c>
      <c r="I2141" s="1">
        <v>46224</v>
      </c>
      <c r="J2141" t="s">
        <v>1991</v>
      </c>
      <c r="K2141" t="s">
        <v>3371</v>
      </c>
      <c r="L2141" s="1">
        <v>46224.918321759258</v>
      </c>
      <c r="M2141" s="1">
        <v>46224.91962439815</v>
      </c>
    </row>
    <row r="2142" spans="1:13" x14ac:dyDescent="0.35">
      <c r="A2142" t="s">
        <v>454</v>
      </c>
      <c r="B2142" t="s">
        <v>1986</v>
      </c>
      <c r="C2142" t="s">
        <v>2624</v>
      </c>
      <c r="D2142">
        <v>3.875</v>
      </c>
      <c r="E2142" s="1">
        <v>48457</v>
      </c>
      <c r="F2142" t="s">
        <v>1988</v>
      </c>
      <c r="G2142" t="s">
        <v>2624</v>
      </c>
      <c r="H2142" t="s">
        <v>2</v>
      </c>
      <c r="I2142" s="1">
        <v>46224</v>
      </c>
      <c r="J2142" t="s">
        <v>2108</v>
      </c>
      <c r="K2142" t="s">
        <v>3901</v>
      </c>
      <c r="L2142" s="1">
        <v>46224.917650462965</v>
      </c>
      <c r="M2142" s="1">
        <v>46224.91962439815</v>
      </c>
    </row>
    <row r="2143" spans="1:13" x14ac:dyDescent="0.35">
      <c r="A2143" t="s">
        <v>454</v>
      </c>
      <c r="B2143" t="s">
        <v>1986</v>
      </c>
      <c r="C2143" t="s">
        <v>2624</v>
      </c>
      <c r="D2143">
        <v>3.875</v>
      </c>
      <c r="E2143" s="1">
        <v>48457</v>
      </c>
      <c r="F2143" t="s">
        <v>1988</v>
      </c>
      <c r="G2143" t="s">
        <v>2624</v>
      </c>
      <c r="H2143" t="s">
        <v>2</v>
      </c>
      <c r="I2143" s="1">
        <v>46224</v>
      </c>
      <c r="J2143" t="s">
        <v>2146</v>
      </c>
      <c r="K2143" t="s">
        <v>3901</v>
      </c>
      <c r="L2143" s="1">
        <v>46224.917650462965</v>
      </c>
      <c r="M2143" s="1">
        <v>46224.91962439815</v>
      </c>
    </row>
    <row r="2144" spans="1:13" x14ac:dyDescent="0.35">
      <c r="A2144" t="s">
        <v>454</v>
      </c>
      <c r="B2144" t="s">
        <v>1986</v>
      </c>
      <c r="C2144" t="s">
        <v>2624</v>
      </c>
      <c r="D2144">
        <v>3.875</v>
      </c>
      <c r="E2144" s="1">
        <v>48457</v>
      </c>
      <c r="F2144" t="s">
        <v>1988</v>
      </c>
      <c r="G2144" t="s">
        <v>2624</v>
      </c>
      <c r="H2144" t="s">
        <v>2</v>
      </c>
      <c r="I2144" s="1">
        <v>46224</v>
      </c>
      <c r="J2144" t="s">
        <v>1989</v>
      </c>
      <c r="K2144" t="s">
        <v>3565</v>
      </c>
      <c r="L2144" s="1">
        <v>46224.918321759258</v>
      </c>
      <c r="M2144" s="1">
        <v>46224.91962439815</v>
      </c>
    </row>
    <row r="2145" spans="1:13" x14ac:dyDescent="0.35">
      <c r="A2145" t="s">
        <v>454</v>
      </c>
      <c r="B2145" t="s">
        <v>1986</v>
      </c>
      <c r="C2145" t="s">
        <v>2624</v>
      </c>
      <c r="D2145">
        <v>3.875</v>
      </c>
      <c r="E2145" s="1">
        <v>48457</v>
      </c>
      <c r="F2145" t="s">
        <v>1988</v>
      </c>
      <c r="G2145" t="s">
        <v>2624</v>
      </c>
      <c r="H2145" t="s">
        <v>2</v>
      </c>
      <c r="I2145" s="1">
        <v>46224</v>
      </c>
      <c r="J2145" t="s">
        <v>2065</v>
      </c>
      <c r="K2145" t="s">
        <v>2990</v>
      </c>
      <c r="L2145" s="1">
        <v>46224.917650462965</v>
      </c>
      <c r="M2145" s="1">
        <v>46224.91962439815</v>
      </c>
    </row>
    <row r="2146" spans="1:13" x14ac:dyDescent="0.35">
      <c r="A2146" t="s">
        <v>462</v>
      </c>
      <c r="B2146" t="s">
        <v>1986</v>
      </c>
      <c r="C2146" t="s">
        <v>2708</v>
      </c>
      <c r="D2146">
        <v>3.625</v>
      </c>
      <c r="E2146" s="1">
        <v>47726</v>
      </c>
      <c r="F2146" t="s">
        <v>1988</v>
      </c>
      <c r="G2146" t="s">
        <v>2708</v>
      </c>
      <c r="H2146" t="s">
        <v>2</v>
      </c>
      <c r="I2146" s="1">
        <v>46224</v>
      </c>
      <c r="J2146" t="s">
        <v>2065</v>
      </c>
      <c r="K2146" t="s">
        <v>2934</v>
      </c>
      <c r="L2146" s="1">
        <v>46224.917650462965</v>
      </c>
      <c r="M2146" s="1">
        <v>46224.91962439815</v>
      </c>
    </row>
    <row r="2147" spans="1:13" x14ac:dyDescent="0.35">
      <c r="A2147" t="s">
        <v>462</v>
      </c>
      <c r="B2147" t="s">
        <v>1986</v>
      </c>
      <c r="C2147" t="s">
        <v>2708</v>
      </c>
      <c r="D2147">
        <v>3.625</v>
      </c>
      <c r="E2147" s="1">
        <v>47726</v>
      </c>
      <c r="F2147" t="s">
        <v>1988</v>
      </c>
      <c r="G2147" t="s">
        <v>2708</v>
      </c>
      <c r="H2147" t="s">
        <v>2</v>
      </c>
      <c r="I2147" s="1">
        <v>46224</v>
      </c>
      <c r="J2147" t="s">
        <v>1991</v>
      </c>
      <c r="K2147" t="s">
        <v>2144</v>
      </c>
      <c r="L2147" s="1">
        <v>46224.918321759258</v>
      </c>
      <c r="M2147" s="1">
        <v>46224.91962439815</v>
      </c>
    </row>
    <row r="2148" spans="1:13" x14ac:dyDescent="0.35">
      <c r="A2148" t="s">
        <v>462</v>
      </c>
      <c r="B2148" t="s">
        <v>1986</v>
      </c>
      <c r="C2148" t="s">
        <v>2708</v>
      </c>
      <c r="D2148">
        <v>3.625</v>
      </c>
      <c r="E2148" s="1">
        <v>47726</v>
      </c>
      <c r="F2148" t="s">
        <v>1988</v>
      </c>
      <c r="G2148" t="s">
        <v>2708</v>
      </c>
      <c r="H2148" t="s">
        <v>2</v>
      </c>
      <c r="I2148" s="1">
        <v>46224</v>
      </c>
      <c r="J2148" t="s">
        <v>2108</v>
      </c>
      <c r="K2148" t="s">
        <v>2974</v>
      </c>
      <c r="L2148" s="1">
        <v>46224.917650462965</v>
      </c>
      <c r="M2148" s="1">
        <v>46224.91962439815</v>
      </c>
    </row>
    <row r="2149" spans="1:13" x14ac:dyDescent="0.35">
      <c r="A2149" t="s">
        <v>462</v>
      </c>
      <c r="B2149" t="s">
        <v>1986</v>
      </c>
      <c r="C2149" t="s">
        <v>2708</v>
      </c>
      <c r="D2149">
        <v>3.625</v>
      </c>
      <c r="E2149" s="1">
        <v>47726</v>
      </c>
      <c r="F2149" t="s">
        <v>1988</v>
      </c>
      <c r="G2149" t="s">
        <v>2708</v>
      </c>
      <c r="H2149" t="s">
        <v>2</v>
      </c>
      <c r="I2149" s="1">
        <v>46224</v>
      </c>
      <c r="J2149" t="s">
        <v>2064</v>
      </c>
      <c r="K2149" t="s">
        <v>2934</v>
      </c>
      <c r="L2149" s="1">
        <v>46224.917650462965</v>
      </c>
      <c r="M2149" s="1">
        <v>46224.91962439815</v>
      </c>
    </row>
    <row r="2150" spans="1:13" x14ac:dyDescent="0.35">
      <c r="A2150" t="s">
        <v>462</v>
      </c>
      <c r="B2150" t="s">
        <v>1986</v>
      </c>
      <c r="C2150" t="s">
        <v>2708</v>
      </c>
      <c r="D2150">
        <v>3.625</v>
      </c>
      <c r="E2150" s="1">
        <v>47726</v>
      </c>
      <c r="F2150" t="s">
        <v>1988</v>
      </c>
      <c r="G2150" t="s">
        <v>2708</v>
      </c>
      <c r="H2150" t="s">
        <v>2</v>
      </c>
      <c r="I2150" s="1">
        <v>46224</v>
      </c>
      <c r="J2150" t="s">
        <v>1989</v>
      </c>
      <c r="K2150" t="s">
        <v>3006</v>
      </c>
      <c r="L2150" s="1">
        <v>46224.918321759258</v>
      </c>
      <c r="M2150" s="1">
        <v>46224.91962439815</v>
      </c>
    </row>
    <row r="2151" spans="1:13" x14ac:dyDescent="0.35">
      <c r="A2151" t="s">
        <v>462</v>
      </c>
      <c r="B2151" t="s">
        <v>1986</v>
      </c>
      <c r="C2151" t="s">
        <v>2708</v>
      </c>
      <c r="D2151">
        <v>3.625</v>
      </c>
      <c r="E2151" s="1">
        <v>47726</v>
      </c>
      <c r="F2151" t="s">
        <v>1988</v>
      </c>
      <c r="G2151" t="s">
        <v>2708</v>
      </c>
      <c r="H2151" t="s">
        <v>2</v>
      </c>
      <c r="I2151" s="1">
        <v>46224</v>
      </c>
      <c r="J2151" t="s">
        <v>2146</v>
      </c>
      <c r="K2151" t="s">
        <v>2974</v>
      </c>
      <c r="L2151" s="1">
        <v>46224.917650462965</v>
      </c>
      <c r="M2151" s="1">
        <v>46224.91962439815</v>
      </c>
    </row>
    <row r="2152" spans="1:13" x14ac:dyDescent="0.35">
      <c r="A2152" t="s">
        <v>471</v>
      </c>
      <c r="B2152" t="s">
        <v>1986</v>
      </c>
      <c r="C2152" t="s">
        <v>2625</v>
      </c>
      <c r="D2152">
        <v>3.375</v>
      </c>
      <c r="E2152" s="1">
        <v>47011</v>
      </c>
      <c r="F2152" t="s">
        <v>1988</v>
      </c>
      <c r="G2152" t="s">
        <v>2625</v>
      </c>
      <c r="H2152" t="s">
        <v>2</v>
      </c>
      <c r="I2152" s="1">
        <v>46224</v>
      </c>
      <c r="J2152" t="s">
        <v>1991</v>
      </c>
      <c r="K2152" t="s">
        <v>3688</v>
      </c>
      <c r="L2152" s="1">
        <v>46224.918321759258</v>
      </c>
      <c r="M2152" s="1">
        <v>46224.91962439815</v>
      </c>
    </row>
    <row r="2153" spans="1:13" x14ac:dyDescent="0.35">
      <c r="A2153" t="s">
        <v>471</v>
      </c>
      <c r="B2153" t="s">
        <v>1986</v>
      </c>
      <c r="C2153" t="s">
        <v>2625</v>
      </c>
      <c r="D2153">
        <v>3.375</v>
      </c>
      <c r="E2153" s="1">
        <v>47011</v>
      </c>
      <c r="F2153" t="s">
        <v>1988</v>
      </c>
      <c r="G2153" t="s">
        <v>2625</v>
      </c>
      <c r="H2153" t="s">
        <v>2</v>
      </c>
      <c r="I2153" s="1">
        <v>46224</v>
      </c>
      <c r="J2153" t="s">
        <v>2065</v>
      </c>
      <c r="K2153" t="s">
        <v>2913</v>
      </c>
      <c r="L2153" s="1">
        <v>46224.917650462965</v>
      </c>
      <c r="M2153" s="1">
        <v>46224.91962439815</v>
      </c>
    </row>
    <row r="2154" spans="1:13" x14ac:dyDescent="0.35">
      <c r="A2154" t="s">
        <v>471</v>
      </c>
      <c r="B2154" t="s">
        <v>1986</v>
      </c>
      <c r="C2154" t="s">
        <v>2625</v>
      </c>
      <c r="D2154">
        <v>3.375</v>
      </c>
      <c r="E2154" s="1">
        <v>47011</v>
      </c>
      <c r="F2154" t="s">
        <v>1988</v>
      </c>
      <c r="G2154" t="s">
        <v>2625</v>
      </c>
      <c r="H2154" t="s">
        <v>2</v>
      </c>
      <c r="I2154" s="1">
        <v>46224</v>
      </c>
      <c r="J2154" t="s">
        <v>1989</v>
      </c>
      <c r="K2154" t="s">
        <v>4146</v>
      </c>
      <c r="L2154" s="1">
        <v>46224.918321759258</v>
      </c>
      <c r="M2154" s="1">
        <v>46224.91962439815</v>
      </c>
    </row>
    <row r="2155" spans="1:13" x14ac:dyDescent="0.35">
      <c r="A2155" t="s">
        <v>471</v>
      </c>
      <c r="B2155" t="s">
        <v>1986</v>
      </c>
      <c r="C2155" t="s">
        <v>2625</v>
      </c>
      <c r="D2155">
        <v>3.375</v>
      </c>
      <c r="E2155" s="1">
        <v>47011</v>
      </c>
      <c r="F2155" t="s">
        <v>1988</v>
      </c>
      <c r="G2155" t="s">
        <v>2625</v>
      </c>
      <c r="H2155" t="s">
        <v>2</v>
      </c>
      <c r="I2155" s="1">
        <v>46224</v>
      </c>
      <c r="J2155" t="s">
        <v>2146</v>
      </c>
      <c r="K2155" t="s">
        <v>2436</v>
      </c>
      <c r="L2155" s="1">
        <v>46224.917650462965</v>
      </c>
      <c r="M2155" s="1">
        <v>46224.91962439815</v>
      </c>
    </row>
    <row r="2156" spans="1:13" x14ac:dyDescent="0.35">
      <c r="A2156" t="s">
        <v>471</v>
      </c>
      <c r="B2156" t="s">
        <v>1986</v>
      </c>
      <c r="C2156" t="s">
        <v>2625</v>
      </c>
      <c r="D2156">
        <v>3.375</v>
      </c>
      <c r="E2156" s="1">
        <v>47011</v>
      </c>
      <c r="F2156" t="s">
        <v>1988</v>
      </c>
      <c r="G2156" t="s">
        <v>2625</v>
      </c>
      <c r="H2156" t="s">
        <v>2</v>
      </c>
      <c r="I2156" s="1">
        <v>46224</v>
      </c>
      <c r="J2156" t="s">
        <v>2064</v>
      </c>
      <c r="K2156" t="s">
        <v>2913</v>
      </c>
      <c r="L2156" s="1">
        <v>46224.917650462965</v>
      </c>
      <c r="M2156" s="1">
        <v>46224.91962439815</v>
      </c>
    </row>
    <row r="2157" spans="1:13" x14ac:dyDescent="0.35">
      <c r="A2157" t="s">
        <v>471</v>
      </c>
      <c r="B2157" t="s">
        <v>1986</v>
      </c>
      <c r="C2157" t="s">
        <v>2625</v>
      </c>
      <c r="D2157">
        <v>3.375</v>
      </c>
      <c r="E2157" s="1">
        <v>47011</v>
      </c>
      <c r="F2157" t="s">
        <v>1988</v>
      </c>
      <c r="G2157" t="s">
        <v>2625</v>
      </c>
      <c r="H2157" t="s">
        <v>2</v>
      </c>
      <c r="I2157" s="1">
        <v>46224</v>
      </c>
      <c r="J2157" t="s">
        <v>2108</v>
      </c>
      <c r="K2157" t="s">
        <v>2436</v>
      </c>
      <c r="L2157" s="1">
        <v>46224.917650462965</v>
      </c>
      <c r="M2157" s="1">
        <v>46224.91962439815</v>
      </c>
    </row>
    <row r="2158" spans="1:13" x14ac:dyDescent="0.35">
      <c r="A2158" t="s">
        <v>455</v>
      </c>
      <c r="B2158" t="s">
        <v>1986</v>
      </c>
      <c r="C2158" t="s">
        <v>2700</v>
      </c>
      <c r="D2158">
        <v>3.875</v>
      </c>
      <c r="E2158" s="1">
        <v>48487</v>
      </c>
      <c r="F2158" t="s">
        <v>1988</v>
      </c>
      <c r="G2158" t="s">
        <v>2700</v>
      </c>
      <c r="H2158" t="s">
        <v>2</v>
      </c>
      <c r="I2158" s="1">
        <v>46224</v>
      </c>
      <c r="J2158" t="s">
        <v>2146</v>
      </c>
      <c r="K2158" t="s">
        <v>2897</v>
      </c>
      <c r="L2158" s="1">
        <v>46224.917650462965</v>
      </c>
      <c r="M2158" s="1">
        <v>46224.91962439815</v>
      </c>
    </row>
    <row r="2159" spans="1:13" x14ac:dyDescent="0.35">
      <c r="A2159" t="s">
        <v>455</v>
      </c>
      <c r="B2159" t="s">
        <v>1986</v>
      </c>
      <c r="C2159" t="s">
        <v>2700</v>
      </c>
      <c r="D2159">
        <v>3.875</v>
      </c>
      <c r="E2159" s="1">
        <v>48487</v>
      </c>
      <c r="F2159" t="s">
        <v>1988</v>
      </c>
      <c r="G2159" t="s">
        <v>2700</v>
      </c>
      <c r="H2159" t="s">
        <v>2</v>
      </c>
      <c r="I2159" s="1">
        <v>46224</v>
      </c>
      <c r="J2159" t="s">
        <v>2065</v>
      </c>
      <c r="K2159" t="s">
        <v>3818</v>
      </c>
      <c r="L2159" s="1">
        <v>46224.917650462965</v>
      </c>
      <c r="M2159" s="1">
        <v>46224.91962439815</v>
      </c>
    </row>
    <row r="2160" spans="1:13" x14ac:dyDescent="0.35">
      <c r="A2160" t="s">
        <v>455</v>
      </c>
      <c r="B2160" t="s">
        <v>1986</v>
      </c>
      <c r="C2160" t="s">
        <v>2700</v>
      </c>
      <c r="D2160">
        <v>3.875</v>
      </c>
      <c r="E2160" s="1">
        <v>48487</v>
      </c>
      <c r="F2160" t="s">
        <v>1988</v>
      </c>
      <c r="G2160" t="s">
        <v>2700</v>
      </c>
      <c r="H2160" t="s">
        <v>2</v>
      </c>
      <c r="I2160" s="1">
        <v>46224</v>
      </c>
      <c r="J2160" t="s">
        <v>1991</v>
      </c>
      <c r="K2160" t="s">
        <v>3689</v>
      </c>
      <c r="L2160" s="1">
        <v>46224.918321759258</v>
      </c>
      <c r="M2160" s="1">
        <v>46224.91962439815</v>
      </c>
    </row>
    <row r="2161" spans="1:13" x14ac:dyDescent="0.35">
      <c r="A2161" t="s">
        <v>455</v>
      </c>
      <c r="B2161" t="s">
        <v>1986</v>
      </c>
      <c r="C2161" t="s">
        <v>2700</v>
      </c>
      <c r="D2161">
        <v>3.875</v>
      </c>
      <c r="E2161" s="1">
        <v>48487</v>
      </c>
      <c r="F2161" t="s">
        <v>1988</v>
      </c>
      <c r="G2161" t="s">
        <v>2700</v>
      </c>
      <c r="H2161" t="s">
        <v>2</v>
      </c>
      <c r="I2161" s="1">
        <v>46224</v>
      </c>
      <c r="J2161" t="s">
        <v>2064</v>
      </c>
      <c r="K2161" t="s">
        <v>3818</v>
      </c>
      <c r="L2161" s="1">
        <v>46224.917650462965</v>
      </c>
      <c r="M2161" s="1">
        <v>46224.91962439815</v>
      </c>
    </row>
    <row r="2162" spans="1:13" x14ac:dyDescent="0.35">
      <c r="A2162" t="s">
        <v>455</v>
      </c>
      <c r="B2162" t="s">
        <v>1986</v>
      </c>
      <c r="C2162" t="s">
        <v>2700</v>
      </c>
      <c r="D2162">
        <v>3.875</v>
      </c>
      <c r="E2162" s="1">
        <v>48487</v>
      </c>
      <c r="F2162" t="s">
        <v>1988</v>
      </c>
      <c r="G2162" t="s">
        <v>2700</v>
      </c>
      <c r="H2162" t="s">
        <v>2</v>
      </c>
      <c r="I2162" s="1">
        <v>46224</v>
      </c>
      <c r="J2162" t="s">
        <v>1989</v>
      </c>
      <c r="K2162" t="s">
        <v>4147</v>
      </c>
      <c r="L2162" s="1">
        <v>46224.918321759258</v>
      </c>
      <c r="M2162" s="1">
        <v>46224.91962439815</v>
      </c>
    </row>
    <row r="2163" spans="1:13" x14ac:dyDescent="0.35">
      <c r="A2163" t="s">
        <v>455</v>
      </c>
      <c r="B2163" t="s">
        <v>1986</v>
      </c>
      <c r="C2163" t="s">
        <v>2700</v>
      </c>
      <c r="D2163">
        <v>3.875</v>
      </c>
      <c r="E2163" s="1">
        <v>48487</v>
      </c>
      <c r="F2163" t="s">
        <v>1988</v>
      </c>
      <c r="G2163" t="s">
        <v>2700</v>
      </c>
      <c r="H2163" t="s">
        <v>2</v>
      </c>
      <c r="I2163" s="1">
        <v>46224</v>
      </c>
      <c r="J2163" t="s">
        <v>2108</v>
      </c>
      <c r="K2163" t="s">
        <v>2897</v>
      </c>
      <c r="L2163" s="1">
        <v>46224.917650462965</v>
      </c>
      <c r="M2163" s="1">
        <v>46224.91962439815</v>
      </c>
    </row>
    <row r="2164" spans="1:13" x14ac:dyDescent="0.35">
      <c r="A2164" t="s">
        <v>456</v>
      </c>
      <c r="B2164" t="s">
        <v>1986</v>
      </c>
      <c r="C2164" t="s">
        <v>2701</v>
      </c>
      <c r="D2164">
        <v>3.625</v>
      </c>
      <c r="E2164" s="1">
        <v>47756</v>
      </c>
      <c r="F2164" t="s">
        <v>1988</v>
      </c>
      <c r="G2164" t="s">
        <v>2701</v>
      </c>
      <c r="H2164" t="s">
        <v>2</v>
      </c>
      <c r="I2164" s="1">
        <v>46224</v>
      </c>
      <c r="J2164" t="s">
        <v>2108</v>
      </c>
      <c r="K2164" t="s">
        <v>2660</v>
      </c>
      <c r="L2164" s="1">
        <v>46224.917650462965</v>
      </c>
      <c r="M2164" s="1">
        <v>46224.91962439815</v>
      </c>
    </row>
    <row r="2165" spans="1:13" x14ac:dyDescent="0.35">
      <c r="A2165" t="s">
        <v>456</v>
      </c>
      <c r="B2165" t="s">
        <v>1986</v>
      </c>
      <c r="C2165" t="s">
        <v>2701</v>
      </c>
      <c r="D2165">
        <v>3.625</v>
      </c>
      <c r="E2165" s="1">
        <v>47756</v>
      </c>
      <c r="F2165" t="s">
        <v>1988</v>
      </c>
      <c r="G2165" t="s">
        <v>2701</v>
      </c>
      <c r="H2165" t="s">
        <v>2</v>
      </c>
      <c r="I2165" s="1">
        <v>46224</v>
      </c>
      <c r="J2165" t="s">
        <v>2065</v>
      </c>
      <c r="K2165" t="s">
        <v>2647</v>
      </c>
      <c r="L2165" s="1">
        <v>46224.917650462965</v>
      </c>
      <c r="M2165" s="1">
        <v>46224.91962439815</v>
      </c>
    </row>
    <row r="2166" spans="1:13" x14ac:dyDescent="0.35">
      <c r="A2166" t="s">
        <v>456</v>
      </c>
      <c r="B2166" t="s">
        <v>1986</v>
      </c>
      <c r="C2166" t="s">
        <v>2701</v>
      </c>
      <c r="D2166">
        <v>3.625</v>
      </c>
      <c r="E2166" s="1">
        <v>47756</v>
      </c>
      <c r="F2166" t="s">
        <v>1988</v>
      </c>
      <c r="G2166" t="s">
        <v>2701</v>
      </c>
      <c r="H2166" t="s">
        <v>2</v>
      </c>
      <c r="I2166" s="1">
        <v>46224</v>
      </c>
      <c r="J2166" t="s">
        <v>2064</v>
      </c>
      <c r="K2166" t="s">
        <v>2647</v>
      </c>
      <c r="L2166" s="1">
        <v>46224.917650462965</v>
      </c>
      <c r="M2166" s="1">
        <v>46224.91962439815</v>
      </c>
    </row>
    <row r="2167" spans="1:13" x14ac:dyDescent="0.35">
      <c r="A2167" t="s">
        <v>456</v>
      </c>
      <c r="B2167" t="s">
        <v>1986</v>
      </c>
      <c r="C2167" t="s">
        <v>2701</v>
      </c>
      <c r="D2167">
        <v>3.625</v>
      </c>
      <c r="E2167" s="1">
        <v>47756</v>
      </c>
      <c r="F2167" t="s">
        <v>1988</v>
      </c>
      <c r="G2167" t="s">
        <v>2701</v>
      </c>
      <c r="H2167" t="s">
        <v>2</v>
      </c>
      <c r="I2167" s="1">
        <v>46224</v>
      </c>
      <c r="J2167" t="s">
        <v>1989</v>
      </c>
      <c r="K2167" t="s">
        <v>2740</v>
      </c>
      <c r="L2167" s="1">
        <v>46224.918321759258</v>
      </c>
      <c r="M2167" s="1">
        <v>46224.91962439815</v>
      </c>
    </row>
    <row r="2168" spans="1:13" x14ac:dyDescent="0.35">
      <c r="A2168" t="s">
        <v>456</v>
      </c>
      <c r="B2168" t="s">
        <v>1986</v>
      </c>
      <c r="C2168" t="s">
        <v>2701</v>
      </c>
      <c r="D2168">
        <v>3.625</v>
      </c>
      <c r="E2168" s="1">
        <v>47756</v>
      </c>
      <c r="F2168" t="s">
        <v>1988</v>
      </c>
      <c r="G2168" t="s">
        <v>2701</v>
      </c>
      <c r="H2168" t="s">
        <v>2</v>
      </c>
      <c r="I2168" s="1">
        <v>46224</v>
      </c>
      <c r="J2168" t="s">
        <v>2146</v>
      </c>
      <c r="K2168" t="s">
        <v>2660</v>
      </c>
      <c r="L2168" s="1">
        <v>46224.917650462965</v>
      </c>
      <c r="M2168" s="1">
        <v>46224.91962439815</v>
      </c>
    </row>
    <row r="2169" spans="1:13" x14ac:dyDescent="0.35">
      <c r="A2169" t="s">
        <v>456</v>
      </c>
      <c r="B2169" t="s">
        <v>1986</v>
      </c>
      <c r="C2169" t="s">
        <v>2701</v>
      </c>
      <c r="D2169">
        <v>3.625</v>
      </c>
      <c r="E2169" s="1">
        <v>47756</v>
      </c>
      <c r="F2169" t="s">
        <v>1988</v>
      </c>
      <c r="G2169" t="s">
        <v>2701</v>
      </c>
      <c r="H2169" t="s">
        <v>2</v>
      </c>
      <c r="I2169" s="1">
        <v>46224</v>
      </c>
      <c r="J2169" t="s">
        <v>1991</v>
      </c>
      <c r="K2169" t="s">
        <v>2932</v>
      </c>
      <c r="L2169" s="1">
        <v>46224.918321759258</v>
      </c>
      <c r="M2169" s="1">
        <v>46224.91962439815</v>
      </c>
    </row>
    <row r="2170" spans="1:13" x14ac:dyDescent="0.35">
      <c r="A2170" t="s">
        <v>457</v>
      </c>
      <c r="B2170" t="s">
        <v>1986</v>
      </c>
      <c r="C2170" t="s">
        <v>2626</v>
      </c>
      <c r="D2170">
        <v>3.5</v>
      </c>
      <c r="E2170" s="1">
        <v>46660</v>
      </c>
      <c r="F2170" t="s">
        <v>1988</v>
      </c>
      <c r="G2170" t="s">
        <v>2626</v>
      </c>
      <c r="H2170" t="s">
        <v>2</v>
      </c>
      <c r="I2170" s="1">
        <v>46224</v>
      </c>
      <c r="J2170" t="s">
        <v>1991</v>
      </c>
      <c r="K2170" t="s">
        <v>2427</v>
      </c>
      <c r="L2170" s="1">
        <v>46224.918321759258</v>
      </c>
      <c r="M2170" s="1">
        <v>46224.91962439815</v>
      </c>
    </row>
    <row r="2171" spans="1:13" x14ac:dyDescent="0.35">
      <c r="A2171" t="s">
        <v>457</v>
      </c>
      <c r="B2171" t="s">
        <v>1986</v>
      </c>
      <c r="C2171" t="s">
        <v>2626</v>
      </c>
      <c r="D2171">
        <v>3.5</v>
      </c>
      <c r="E2171" s="1">
        <v>46660</v>
      </c>
      <c r="F2171" t="s">
        <v>1988</v>
      </c>
      <c r="G2171" t="s">
        <v>2626</v>
      </c>
      <c r="H2171" t="s">
        <v>2</v>
      </c>
      <c r="I2171" s="1">
        <v>46224</v>
      </c>
      <c r="J2171" t="s">
        <v>2065</v>
      </c>
      <c r="K2171" t="s">
        <v>3690</v>
      </c>
      <c r="L2171" s="1">
        <v>46224.917650462965</v>
      </c>
      <c r="M2171" s="1">
        <v>46224.91962439815</v>
      </c>
    </row>
    <row r="2172" spans="1:13" x14ac:dyDescent="0.35">
      <c r="A2172" t="s">
        <v>457</v>
      </c>
      <c r="B2172" t="s">
        <v>1986</v>
      </c>
      <c r="C2172" t="s">
        <v>2626</v>
      </c>
      <c r="D2172">
        <v>3.5</v>
      </c>
      <c r="E2172" s="1">
        <v>46660</v>
      </c>
      <c r="F2172" t="s">
        <v>1988</v>
      </c>
      <c r="G2172" t="s">
        <v>2626</v>
      </c>
      <c r="H2172" t="s">
        <v>2</v>
      </c>
      <c r="I2172" s="1">
        <v>46224</v>
      </c>
      <c r="J2172" t="s">
        <v>1989</v>
      </c>
      <c r="K2172" t="s">
        <v>4148</v>
      </c>
      <c r="L2172" s="1">
        <v>46224.918321759258</v>
      </c>
      <c r="M2172" s="1">
        <v>46224.91962439815</v>
      </c>
    </row>
    <row r="2173" spans="1:13" x14ac:dyDescent="0.35">
      <c r="A2173" t="s">
        <v>457</v>
      </c>
      <c r="B2173" t="s">
        <v>1986</v>
      </c>
      <c r="C2173" t="s">
        <v>2626</v>
      </c>
      <c r="D2173">
        <v>3.5</v>
      </c>
      <c r="E2173" s="1">
        <v>46660</v>
      </c>
      <c r="F2173" t="s">
        <v>1988</v>
      </c>
      <c r="G2173" t="s">
        <v>2626</v>
      </c>
      <c r="H2173" t="s">
        <v>2</v>
      </c>
      <c r="I2173" s="1">
        <v>46224</v>
      </c>
      <c r="J2173" t="s">
        <v>2146</v>
      </c>
      <c r="K2173" t="s">
        <v>2975</v>
      </c>
      <c r="L2173" s="1">
        <v>46224.917650462965</v>
      </c>
      <c r="M2173" s="1">
        <v>46224.91962439815</v>
      </c>
    </row>
    <row r="2174" spans="1:13" x14ac:dyDescent="0.35">
      <c r="A2174" t="s">
        <v>457</v>
      </c>
      <c r="B2174" t="s">
        <v>1986</v>
      </c>
      <c r="C2174" t="s">
        <v>2626</v>
      </c>
      <c r="D2174">
        <v>3.5</v>
      </c>
      <c r="E2174" s="1">
        <v>46660</v>
      </c>
      <c r="F2174" t="s">
        <v>1988</v>
      </c>
      <c r="G2174" t="s">
        <v>2626</v>
      </c>
      <c r="H2174" t="s">
        <v>2</v>
      </c>
      <c r="I2174" s="1">
        <v>46224</v>
      </c>
      <c r="J2174" t="s">
        <v>2108</v>
      </c>
      <c r="K2174" t="s">
        <v>2975</v>
      </c>
      <c r="L2174" s="1">
        <v>46224.917650462965</v>
      </c>
      <c r="M2174" s="1">
        <v>46224.91962439815</v>
      </c>
    </row>
    <row r="2175" spans="1:13" x14ac:dyDescent="0.35">
      <c r="A2175" t="s">
        <v>457</v>
      </c>
      <c r="B2175" t="s">
        <v>1986</v>
      </c>
      <c r="C2175" t="s">
        <v>2626</v>
      </c>
      <c r="D2175">
        <v>3.5</v>
      </c>
      <c r="E2175" s="1">
        <v>46660</v>
      </c>
      <c r="F2175" t="s">
        <v>1988</v>
      </c>
      <c r="G2175" t="s">
        <v>2626</v>
      </c>
      <c r="H2175" t="s">
        <v>2</v>
      </c>
      <c r="I2175" s="1">
        <v>46224</v>
      </c>
      <c r="J2175" t="s">
        <v>2064</v>
      </c>
      <c r="K2175" t="s">
        <v>3690</v>
      </c>
      <c r="L2175" s="1">
        <v>46224.917650462965</v>
      </c>
      <c r="M2175" s="1">
        <v>46224.91962439815</v>
      </c>
    </row>
    <row r="2176" spans="1:13" x14ac:dyDescent="0.35">
      <c r="A2176" t="s">
        <v>458</v>
      </c>
      <c r="B2176" t="s">
        <v>1986</v>
      </c>
      <c r="C2176" t="s">
        <v>2627</v>
      </c>
      <c r="D2176">
        <v>3.5</v>
      </c>
      <c r="E2176" s="1">
        <v>47041</v>
      </c>
      <c r="F2176" t="s">
        <v>1988</v>
      </c>
      <c r="G2176" t="s">
        <v>2627</v>
      </c>
      <c r="H2176" t="s">
        <v>2</v>
      </c>
      <c r="I2176" s="1">
        <v>46224</v>
      </c>
      <c r="J2176" t="s">
        <v>2065</v>
      </c>
      <c r="K2176" t="s">
        <v>2608</v>
      </c>
      <c r="L2176" s="1">
        <v>46224.917650462965</v>
      </c>
      <c r="M2176" s="1">
        <v>46224.91962439815</v>
      </c>
    </row>
    <row r="2177" spans="1:13" x14ac:dyDescent="0.35">
      <c r="A2177" t="s">
        <v>458</v>
      </c>
      <c r="B2177" t="s">
        <v>1986</v>
      </c>
      <c r="C2177" t="s">
        <v>2627</v>
      </c>
      <c r="D2177">
        <v>3.5</v>
      </c>
      <c r="E2177" s="1">
        <v>47041</v>
      </c>
      <c r="F2177" t="s">
        <v>1988</v>
      </c>
      <c r="G2177" t="s">
        <v>2627</v>
      </c>
      <c r="H2177" t="s">
        <v>2</v>
      </c>
      <c r="I2177" s="1">
        <v>46224</v>
      </c>
      <c r="J2177" t="s">
        <v>2146</v>
      </c>
      <c r="K2177" t="s">
        <v>2913</v>
      </c>
      <c r="L2177" s="1">
        <v>46224.917650462965</v>
      </c>
      <c r="M2177" s="1">
        <v>46224.91962439815</v>
      </c>
    </row>
    <row r="2178" spans="1:13" x14ac:dyDescent="0.35">
      <c r="A2178" t="s">
        <v>458</v>
      </c>
      <c r="B2178" t="s">
        <v>1986</v>
      </c>
      <c r="C2178" t="s">
        <v>2627</v>
      </c>
      <c r="D2178">
        <v>3.5</v>
      </c>
      <c r="E2178" s="1">
        <v>47041</v>
      </c>
      <c r="F2178" t="s">
        <v>1988</v>
      </c>
      <c r="G2178" t="s">
        <v>2627</v>
      </c>
      <c r="H2178" t="s">
        <v>2</v>
      </c>
      <c r="I2178" s="1">
        <v>46224</v>
      </c>
      <c r="J2178" t="s">
        <v>1989</v>
      </c>
      <c r="K2178" t="s">
        <v>2329</v>
      </c>
      <c r="L2178" s="1">
        <v>46224.918321759258</v>
      </c>
      <c r="M2178" s="1">
        <v>46224.91962439815</v>
      </c>
    </row>
    <row r="2179" spans="1:13" x14ac:dyDescent="0.35">
      <c r="A2179" t="s">
        <v>458</v>
      </c>
      <c r="B2179" t="s">
        <v>1986</v>
      </c>
      <c r="C2179" t="s">
        <v>2627</v>
      </c>
      <c r="D2179">
        <v>3.5</v>
      </c>
      <c r="E2179" s="1">
        <v>47041</v>
      </c>
      <c r="F2179" t="s">
        <v>1988</v>
      </c>
      <c r="G2179" t="s">
        <v>2627</v>
      </c>
      <c r="H2179" t="s">
        <v>2</v>
      </c>
      <c r="I2179" s="1">
        <v>46224</v>
      </c>
      <c r="J2179" t="s">
        <v>2108</v>
      </c>
      <c r="K2179" t="s">
        <v>2913</v>
      </c>
      <c r="L2179" s="1">
        <v>46224.917650462965</v>
      </c>
      <c r="M2179" s="1">
        <v>46224.91962439815</v>
      </c>
    </row>
    <row r="2180" spans="1:13" x14ac:dyDescent="0.35">
      <c r="A2180" t="s">
        <v>458</v>
      </c>
      <c r="B2180" t="s">
        <v>1986</v>
      </c>
      <c r="C2180" t="s">
        <v>2627</v>
      </c>
      <c r="D2180">
        <v>3.5</v>
      </c>
      <c r="E2180" s="1">
        <v>47041</v>
      </c>
      <c r="F2180" t="s">
        <v>1988</v>
      </c>
      <c r="G2180" t="s">
        <v>2627</v>
      </c>
      <c r="H2180" t="s">
        <v>2</v>
      </c>
      <c r="I2180" s="1">
        <v>46224</v>
      </c>
      <c r="J2180" t="s">
        <v>2064</v>
      </c>
      <c r="K2180" t="s">
        <v>2608</v>
      </c>
      <c r="L2180" s="1">
        <v>46224.917650462965</v>
      </c>
      <c r="M2180" s="1">
        <v>46224.91962439815</v>
      </c>
    </row>
    <row r="2181" spans="1:13" x14ac:dyDescent="0.35">
      <c r="A2181" t="s">
        <v>458</v>
      </c>
      <c r="B2181" t="s">
        <v>1986</v>
      </c>
      <c r="C2181" t="s">
        <v>2627</v>
      </c>
      <c r="D2181">
        <v>3.5</v>
      </c>
      <c r="E2181" s="1">
        <v>47041</v>
      </c>
      <c r="F2181" t="s">
        <v>1988</v>
      </c>
      <c r="G2181" t="s">
        <v>2627</v>
      </c>
      <c r="H2181" t="s">
        <v>2</v>
      </c>
      <c r="I2181" s="1">
        <v>46224</v>
      </c>
      <c r="J2181" t="s">
        <v>1991</v>
      </c>
      <c r="K2181" t="s">
        <v>2933</v>
      </c>
      <c r="L2181" s="1">
        <v>46224.918321759258</v>
      </c>
      <c r="M2181" s="1">
        <v>46224.91962439815</v>
      </c>
    </row>
    <row r="2182" spans="1:13" x14ac:dyDescent="0.35">
      <c r="A2182" t="s">
        <v>508</v>
      </c>
      <c r="B2182" t="s">
        <v>1986</v>
      </c>
      <c r="C2182" t="s">
        <v>2702</v>
      </c>
      <c r="D2182">
        <v>3.625</v>
      </c>
      <c r="E2182" s="1">
        <v>47787</v>
      </c>
      <c r="F2182" t="s">
        <v>1988</v>
      </c>
      <c r="G2182" t="s">
        <v>2702</v>
      </c>
      <c r="H2182" t="s">
        <v>2</v>
      </c>
      <c r="I2182" s="1">
        <v>46224</v>
      </c>
      <c r="J2182" t="s">
        <v>2065</v>
      </c>
      <c r="K2182" t="s">
        <v>3018</v>
      </c>
      <c r="L2182" s="1">
        <v>46224.917650462965</v>
      </c>
      <c r="M2182" s="1">
        <v>46224.91962439815</v>
      </c>
    </row>
    <row r="2183" spans="1:13" x14ac:dyDescent="0.35">
      <c r="A2183" t="s">
        <v>508</v>
      </c>
      <c r="B2183" t="s">
        <v>1986</v>
      </c>
      <c r="C2183" t="s">
        <v>2702</v>
      </c>
      <c r="D2183">
        <v>3.625</v>
      </c>
      <c r="E2183" s="1">
        <v>47787</v>
      </c>
      <c r="F2183" t="s">
        <v>1988</v>
      </c>
      <c r="G2183" t="s">
        <v>2702</v>
      </c>
      <c r="H2183" t="s">
        <v>2</v>
      </c>
      <c r="I2183" s="1">
        <v>46224</v>
      </c>
      <c r="J2183" t="s">
        <v>2108</v>
      </c>
      <c r="K2183" t="s">
        <v>2328</v>
      </c>
      <c r="L2183" s="1">
        <v>46224.917650462965</v>
      </c>
      <c r="M2183" s="1">
        <v>46224.91962439815</v>
      </c>
    </row>
    <row r="2184" spans="1:13" x14ac:dyDescent="0.35">
      <c r="A2184" t="s">
        <v>508</v>
      </c>
      <c r="B2184" t="s">
        <v>1986</v>
      </c>
      <c r="C2184" t="s">
        <v>2702</v>
      </c>
      <c r="D2184">
        <v>3.625</v>
      </c>
      <c r="E2184" s="1">
        <v>47787</v>
      </c>
      <c r="F2184" t="s">
        <v>1988</v>
      </c>
      <c r="G2184" t="s">
        <v>2702</v>
      </c>
      <c r="H2184" t="s">
        <v>2</v>
      </c>
      <c r="I2184" s="1">
        <v>46224</v>
      </c>
      <c r="J2184" t="s">
        <v>1991</v>
      </c>
      <c r="K2184" t="s">
        <v>2816</v>
      </c>
      <c r="L2184" s="1">
        <v>46224.918321759258</v>
      </c>
      <c r="M2184" s="1">
        <v>46224.91962439815</v>
      </c>
    </row>
    <row r="2185" spans="1:13" x14ac:dyDescent="0.35">
      <c r="A2185" t="s">
        <v>508</v>
      </c>
      <c r="B2185" t="s">
        <v>1986</v>
      </c>
      <c r="C2185" t="s">
        <v>2702</v>
      </c>
      <c r="D2185">
        <v>3.625</v>
      </c>
      <c r="E2185" s="1">
        <v>47787</v>
      </c>
      <c r="F2185" t="s">
        <v>1988</v>
      </c>
      <c r="G2185" t="s">
        <v>2702</v>
      </c>
      <c r="H2185" t="s">
        <v>2</v>
      </c>
      <c r="I2185" s="1">
        <v>46224</v>
      </c>
      <c r="J2185" t="s">
        <v>2064</v>
      </c>
      <c r="K2185" t="s">
        <v>3018</v>
      </c>
      <c r="L2185" s="1">
        <v>46224.917650462965</v>
      </c>
      <c r="M2185" s="1">
        <v>46224.91962439815</v>
      </c>
    </row>
    <row r="2186" spans="1:13" x14ac:dyDescent="0.35">
      <c r="A2186" t="s">
        <v>508</v>
      </c>
      <c r="B2186" t="s">
        <v>1986</v>
      </c>
      <c r="C2186" t="s">
        <v>2702</v>
      </c>
      <c r="D2186">
        <v>3.625</v>
      </c>
      <c r="E2186" s="1">
        <v>47787</v>
      </c>
      <c r="F2186" t="s">
        <v>1988</v>
      </c>
      <c r="G2186" t="s">
        <v>2702</v>
      </c>
      <c r="H2186" t="s">
        <v>2</v>
      </c>
      <c r="I2186" s="1">
        <v>46224</v>
      </c>
      <c r="J2186" t="s">
        <v>2146</v>
      </c>
      <c r="K2186" t="s">
        <v>2328</v>
      </c>
      <c r="L2186" s="1">
        <v>46224.917650462965</v>
      </c>
      <c r="M2186" s="1">
        <v>46224.91962439815</v>
      </c>
    </row>
    <row r="2187" spans="1:13" x14ac:dyDescent="0.35">
      <c r="A2187" t="s">
        <v>508</v>
      </c>
      <c r="B2187" t="s">
        <v>1986</v>
      </c>
      <c r="C2187" t="s">
        <v>2702</v>
      </c>
      <c r="D2187">
        <v>3.625</v>
      </c>
      <c r="E2187" s="1">
        <v>47787</v>
      </c>
      <c r="F2187" t="s">
        <v>1988</v>
      </c>
      <c r="G2187" t="s">
        <v>2702</v>
      </c>
      <c r="H2187" t="s">
        <v>2</v>
      </c>
      <c r="I2187" s="1">
        <v>46224</v>
      </c>
      <c r="J2187" t="s">
        <v>1989</v>
      </c>
      <c r="K2187" t="s">
        <v>2997</v>
      </c>
      <c r="L2187" s="1">
        <v>46224.918321759258</v>
      </c>
      <c r="M2187" s="1">
        <v>46224.91962439815</v>
      </c>
    </row>
    <row r="2188" spans="1:13" x14ac:dyDescent="0.35">
      <c r="A2188" t="s">
        <v>463</v>
      </c>
      <c r="B2188" t="s">
        <v>1986</v>
      </c>
      <c r="C2188" t="s">
        <v>2710</v>
      </c>
      <c r="D2188">
        <v>3.5</v>
      </c>
      <c r="E2188" s="1">
        <v>46691</v>
      </c>
      <c r="F2188" t="s">
        <v>1988</v>
      </c>
      <c r="G2188" t="s">
        <v>2710</v>
      </c>
      <c r="H2188" t="s">
        <v>2</v>
      </c>
      <c r="I2188" s="1">
        <v>46224</v>
      </c>
      <c r="J2188" t="s">
        <v>2065</v>
      </c>
      <c r="K2188" t="s">
        <v>3691</v>
      </c>
      <c r="L2188" s="1">
        <v>46224.917650462965</v>
      </c>
      <c r="M2188" s="1">
        <v>46224.91962439815</v>
      </c>
    </row>
    <row r="2189" spans="1:13" x14ac:dyDescent="0.35">
      <c r="A2189" t="s">
        <v>463</v>
      </c>
      <c r="B2189" t="s">
        <v>1986</v>
      </c>
      <c r="C2189" t="s">
        <v>2710</v>
      </c>
      <c r="D2189">
        <v>3.5</v>
      </c>
      <c r="E2189" s="1">
        <v>46691</v>
      </c>
      <c r="F2189" t="s">
        <v>1988</v>
      </c>
      <c r="G2189" t="s">
        <v>2710</v>
      </c>
      <c r="H2189" t="s">
        <v>2</v>
      </c>
      <c r="I2189" s="1">
        <v>46224</v>
      </c>
      <c r="J2189" t="s">
        <v>1991</v>
      </c>
      <c r="K2189" t="s">
        <v>3680</v>
      </c>
      <c r="L2189" s="1">
        <v>46224.918321759258</v>
      </c>
      <c r="M2189" s="1">
        <v>46224.91962439815</v>
      </c>
    </row>
    <row r="2190" spans="1:13" x14ac:dyDescent="0.35">
      <c r="A2190" t="s">
        <v>463</v>
      </c>
      <c r="B2190" t="s">
        <v>1986</v>
      </c>
      <c r="C2190" t="s">
        <v>2710</v>
      </c>
      <c r="D2190">
        <v>3.5</v>
      </c>
      <c r="E2190" s="1">
        <v>46691</v>
      </c>
      <c r="F2190" t="s">
        <v>1988</v>
      </c>
      <c r="G2190" t="s">
        <v>2710</v>
      </c>
      <c r="H2190" t="s">
        <v>2</v>
      </c>
      <c r="I2190" s="1">
        <v>46224</v>
      </c>
      <c r="J2190" t="s">
        <v>2064</v>
      </c>
      <c r="K2190" t="s">
        <v>3691</v>
      </c>
      <c r="L2190" s="1">
        <v>46224.917650462965</v>
      </c>
      <c r="M2190" s="1">
        <v>46224.91962439815</v>
      </c>
    </row>
    <row r="2191" spans="1:13" x14ac:dyDescent="0.35">
      <c r="A2191" t="s">
        <v>463</v>
      </c>
      <c r="B2191" t="s">
        <v>1986</v>
      </c>
      <c r="C2191" t="s">
        <v>2710</v>
      </c>
      <c r="D2191">
        <v>3.5</v>
      </c>
      <c r="E2191" s="1">
        <v>46691</v>
      </c>
      <c r="F2191" t="s">
        <v>1988</v>
      </c>
      <c r="G2191" t="s">
        <v>2710</v>
      </c>
      <c r="H2191" t="s">
        <v>2</v>
      </c>
      <c r="I2191" s="1">
        <v>46224</v>
      </c>
      <c r="J2191" t="s">
        <v>2146</v>
      </c>
      <c r="K2191" t="s">
        <v>2518</v>
      </c>
      <c r="L2191" s="1">
        <v>46224.917650462965</v>
      </c>
      <c r="M2191" s="1">
        <v>46224.91962439815</v>
      </c>
    </row>
    <row r="2192" spans="1:13" x14ac:dyDescent="0.35">
      <c r="A2192" t="s">
        <v>463</v>
      </c>
      <c r="B2192" t="s">
        <v>1986</v>
      </c>
      <c r="C2192" t="s">
        <v>2710</v>
      </c>
      <c r="D2192">
        <v>3.5</v>
      </c>
      <c r="E2192" s="1">
        <v>46691</v>
      </c>
      <c r="F2192" t="s">
        <v>1988</v>
      </c>
      <c r="G2192" t="s">
        <v>2710</v>
      </c>
      <c r="H2192" t="s">
        <v>2</v>
      </c>
      <c r="I2192" s="1">
        <v>46224</v>
      </c>
      <c r="J2192" t="s">
        <v>1989</v>
      </c>
      <c r="K2192" t="s">
        <v>3029</v>
      </c>
      <c r="L2192" s="1">
        <v>46224.918321759258</v>
      </c>
      <c r="M2192" s="1">
        <v>46224.91962439815</v>
      </c>
    </row>
    <row r="2193" spans="1:13" x14ac:dyDescent="0.35">
      <c r="A2193" t="s">
        <v>463</v>
      </c>
      <c r="B2193" t="s">
        <v>1986</v>
      </c>
      <c r="C2193" t="s">
        <v>2710</v>
      </c>
      <c r="D2193">
        <v>3.5</v>
      </c>
      <c r="E2193" s="1">
        <v>46691</v>
      </c>
      <c r="F2193" t="s">
        <v>1988</v>
      </c>
      <c r="G2193" t="s">
        <v>2710</v>
      </c>
      <c r="H2193" t="s">
        <v>2</v>
      </c>
      <c r="I2193" s="1">
        <v>46224</v>
      </c>
      <c r="J2193" t="s">
        <v>2108</v>
      </c>
      <c r="K2193" t="s">
        <v>2518</v>
      </c>
      <c r="L2193" s="1">
        <v>46224.917650462965</v>
      </c>
      <c r="M2193" s="1">
        <v>46224.91962439815</v>
      </c>
    </row>
    <row r="2194" spans="1:13" x14ac:dyDescent="0.35">
      <c r="A2194" t="s">
        <v>464</v>
      </c>
      <c r="B2194" t="s">
        <v>1986</v>
      </c>
      <c r="C2194" t="s">
        <v>2628</v>
      </c>
      <c r="D2194">
        <v>3.75</v>
      </c>
      <c r="E2194" s="1">
        <v>48518</v>
      </c>
      <c r="F2194" t="s">
        <v>1988</v>
      </c>
      <c r="G2194" t="s">
        <v>2628</v>
      </c>
      <c r="H2194" t="s">
        <v>2</v>
      </c>
      <c r="I2194" s="1">
        <v>46224</v>
      </c>
      <c r="J2194" t="s">
        <v>1991</v>
      </c>
      <c r="K2194" t="s">
        <v>3692</v>
      </c>
      <c r="L2194" s="1">
        <v>46224.918321759258</v>
      </c>
      <c r="M2194" s="1">
        <v>46224.91962439815</v>
      </c>
    </row>
    <row r="2195" spans="1:13" x14ac:dyDescent="0.35">
      <c r="A2195" t="s">
        <v>464</v>
      </c>
      <c r="B2195" t="s">
        <v>1986</v>
      </c>
      <c r="C2195" t="s">
        <v>2628</v>
      </c>
      <c r="D2195">
        <v>3.75</v>
      </c>
      <c r="E2195" s="1">
        <v>48518</v>
      </c>
      <c r="F2195" t="s">
        <v>1988</v>
      </c>
      <c r="G2195" t="s">
        <v>2628</v>
      </c>
      <c r="H2195" t="s">
        <v>2</v>
      </c>
      <c r="I2195" s="1">
        <v>46224</v>
      </c>
      <c r="J2195" t="s">
        <v>2108</v>
      </c>
      <c r="K2195" t="s">
        <v>3693</v>
      </c>
      <c r="L2195" s="1">
        <v>46224.917650462965</v>
      </c>
      <c r="M2195" s="1">
        <v>46224.91962439815</v>
      </c>
    </row>
    <row r="2196" spans="1:13" x14ac:dyDescent="0.35">
      <c r="A2196" t="s">
        <v>464</v>
      </c>
      <c r="B2196" t="s">
        <v>1986</v>
      </c>
      <c r="C2196" t="s">
        <v>2628</v>
      </c>
      <c r="D2196">
        <v>3.75</v>
      </c>
      <c r="E2196" s="1">
        <v>48518</v>
      </c>
      <c r="F2196" t="s">
        <v>1988</v>
      </c>
      <c r="G2196" t="s">
        <v>2628</v>
      </c>
      <c r="H2196" t="s">
        <v>2</v>
      </c>
      <c r="I2196" s="1">
        <v>46224</v>
      </c>
      <c r="J2196" t="s">
        <v>2065</v>
      </c>
      <c r="K2196" t="s">
        <v>3694</v>
      </c>
      <c r="L2196" s="1">
        <v>46224.917650462965</v>
      </c>
      <c r="M2196" s="1">
        <v>46224.91962439815</v>
      </c>
    </row>
    <row r="2197" spans="1:13" x14ac:dyDescent="0.35">
      <c r="A2197" t="s">
        <v>464</v>
      </c>
      <c r="B2197" t="s">
        <v>1986</v>
      </c>
      <c r="C2197" t="s">
        <v>2628</v>
      </c>
      <c r="D2197">
        <v>3.75</v>
      </c>
      <c r="E2197" s="1">
        <v>48518</v>
      </c>
      <c r="F2197" t="s">
        <v>1988</v>
      </c>
      <c r="G2197" t="s">
        <v>2628</v>
      </c>
      <c r="H2197" t="s">
        <v>2</v>
      </c>
      <c r="I2197" s="1">
        <v>46224</v>
      </c>
      <c r="J2197" t="s">
        <v>2146</v>
      </c>
      <c r="K2197" t="s">
        <v>3693</v>
      </c>
      <c r="L2197" s="1">
        <v>46224.917650462965</v>
      </c>
      <c r="M2197" s="1">
        <v>46224.91962439815</v>
      </c>
    </row>
    <row r="2198" spans="1:13" x14ac:dyDescent="0.35">
      <c r="A2198" t="s">
        <v>464</v>
      </c>
      <c r="B2198" t="s">
        <v>1986</v>
      </c>
      <c r="C2198" t="s">
        <v>2628</v>
      </c>
      <c r="D2198">
        <v>3.75</v>
      </c>
      <c r="E2198" s="1">
        <v>48518</v>
      </c>
      <c r="F2198" t="s">
        <v>1988</v>
      </c>
      <c r="G2198" t="s">
        <v>2628</v>
      </c>
      <c r="H2198" t="s">
        <v>2</v>
      </c>
      <c r="I2198" s="1">
        <v>46224</v>
      </c>
      <c r="J2198" t="s">
        <v>2064</v>
      </c>
      <c r="K2198" t="s">
        <v>3694</v>
      </c>
      <c r="L2198" s="1">
        <v>46224.917650462965</v>
      </c>
      <c r="M2198" s="1">
        <v>46224.91962439815</v>
      </c>
    </row>
    <row r="2199" spans="1:13" x14ac:dyDescent="0.35">
      <c r="A2199" t="s">
        <v>464</v>
      </c>
      <c r="B2199" t="s">
        <v>1986</v>
      </c>
      <c r="C2199" t="s">
        <v>2628</v>
      </c>
      <c r="D2199">
        <v>3.75</v>
      </c>
      <c r="E2199" s="1">
        <v>48518</v>
      </c>
      <c r="F2199" t="s">
        <v>1988</v>
      </c>
      <c r="G2199" t="s">
        <v>2628</v>
      </c>
      <c r="H2199" t="s">
        <v>2</v>
      </c>
      <c r="I2199" s="1">
        <v>46224</v>
      </c>
      <c r="J2199" t="s">
        <v>1989</v>
      </c>
      <c r="K2199" t="s">
        <v>3910</v>
      </c>
      <c r="L2199" s="1">
        <v>46224.918321759258</v>
      </c>
      <c r="M2199" s="1">
        <v>46224.91962439815</v>
      </c>
    </row>
    <row r="2200" spans="1:13" x14ac:dyDescent="0.35">
      <c r="A2200" t="s">
        <v>465</v>
      </c>
      <c r="B2200" t="s">
        <v>1986</v>
      </c>
      <c r="C2200" t="s">
        <v>2630</v>
      </c>
      <c r="D2200">
        <v>1.125</v>
      </c>
      <c r="E2200" s="1">
        <v>47771</v>
      </c>
      <c r="F2200" t="s">
        <v>2014</v>
      </c>
      <c r="G2200" t="s">
        <v>2630</v>
      </c>
      <c r="H2200" t="s">
        <v>2</v>
      </c>
      <c r="I2200" s="1">
        <v>46224</v>
      </c>
      <c r="J2200" t="s">
        <v>1991</v>
      </c>
      <c r="K2200" t="s">
        <v>3819</v>
      </c>
      <c r="L2200" s="1">
        <v>46224.918321759258</v>
      </c>
      <c r="M2200" s="1">
        <v>46224.91962439815</v>
      </c>
    </row>
    <row r="2201" spans="1:13" x14ac:dyDescent="0.35">
      <c r="A2201" t="s">
        <v>465</v>
      </c>
      <c r="B2201" t="s">
        <v>1986</v>
      </c>
      <c r="C2201" t="s">
        <v>2630</v>
      </c>
      <c r="D2201">
        <v>1.125</v>
      </c>
      <c r="E2201" s="1">
        <v>47771</v>
      </c>
      <c r="F2201" t="s">
        <v>2014</v>
      </c>
      <c r="G2201" t="s">
        <v>2630</v>
      </c>
      <c r="H2201" t="s">
        <v>2</v>
      </c>
      <c r="I2201" s="1">
        <v>46224</v>
      </c>
      <c r="J2201" t="s">
        <v>1989</v>
      </c>
      <c r="K2201" t="s">
        <v>3007</v>
      </c>
      <c r="L2201" s="1">
        <v>46224.918321759258</v>
      </c>
      <c r="M2201" s="1">
        <v>46224.91962439815</v>
      </c>
    </row>
    <row r="2202" spans="1:13" x14ac:dyDescent="0.35">
      <c r="A2202" t="s">
        <v>465</v>
      </c>
      <c r="B2202" t="s">
        <v>1986</v>
      </c>
      <c r="C2202" t="s">
        <v>2630</v>
      </c>
      <c r="D2202">
        <v>1.125</v>
      </c>
      <c r="E2202" s="1">
        <v>47771</v>
      </c>
      <c r="F2202" t="s">
        <v>2014</v>
      </c>
      <c r="G2202" t="s">
        <v>2630</v>
      </c>
      <c r="H2202" t="s">
        <v>2</v>
      </c>
      <c r="I2202" s="1">
        <v>46224</v>
      </c>
      <c r="J2202" t="s">
        <v>2146</v>
      </c>
      <c r="K2202" t="s">
        <v>4038</v>
      </c>
      <c r="L2202" s="1">
        <v>46224.917650462965</v>
      </c>
      <c r="M2202" s="1">
        <v>46224.91962439815</v>
      </c>
    </row>
    <row r="2203" spans="1:13" x14ac:dyDescent="0.35">
      <c r="A2203" t="s">
        <v>465</v>
      </c>
      <c r="B2203" t="s">
        <v>1986</v>
      </c>
      <c r="C2203" t="s">
        <v>2630</v>
      </c>
      <c r="D2203">
        <v>1.125</v>
      </c>
      <c r="E2203" s="1">
        <v>47771</v>
      </c>
      <c r="F2203" t="s">
        <v>2014</v>
      </c>
      <c r="G2203" t="s">
        <v>2630</v>
      </c>
      <c r="H2203" t="s">
        <v>2</v>
      </c>
      <c r="I2203" s="1">
        <v>46224</v>
      </c>
      <c r="J2203" t="s">
        <v>2065</v>
      </c>
      <c r="K2203" t="s">
        <v>2968</v>
      </c>
      <c r="L2203" s="1">
        <v>46224.917650462965</v>
      </c>
      <c r="M2203" s="1">
        <v>46224.91962439815</v>
      </c>
    </row>
    <row r="2204" spans="1:13" x14ac:dyDescent="0.35">
      <c r="A2204" t="s">
        <v>465</v>
      </c>
      <c r="B2204" t="s">
        <v>1986</v>
      </c>
      <c r="C2204" t="s">
        <v>2630</v>
      </c>
      <c r="D2204">
        <v>1.125</v>
      </c>
      <c r="E2204" s="1">
        <v>47771</v>
      </c>
      <c r="F2204" t="s">
        <v>2014</v>
      </c>
      <c r="G2204" t="s">
        <v>2630</v>
      </c>
      <c r="H2204" t="s">
        <v>2</v>
      </c>
      <c r="I2204" s="1">
        <v>46224</v>
      </c>
      <c r="J2204" t="s">
        <v>2108</v>
      </c>
      <c r="K2204" t="s">
        <v>4038</v>
      </c>
      <c r="L2204" s="1">
        <v>46224.917650462965</v>
      </c>
      <c r="M2204" s="1">
        <v>46224.91962439815</v>
      </c>
    </row>
    <row r="2205" spans="1:13" x14ac:dyDescent="0.35">
      <c r="A2205" t="s">
        <v>465</v>
      </c>
      <c r="B2205" t="s">
        <v>1986</v>
      </c>
      <c r="C2205" t="s">
        <v>2630</v>
      </c>
      <c r="D2205">
        <v>1.125</v>
      </c>
      <c r="E2205" s="1">
        <v>47771</v>
      </c>
      <c r="F2205" t="s">
        <v>2014</v>
      </c>
      <c r="G2205" t="s">
        <v>2630</v>
      </c>
      <c r="H2205" t="s">
        <v>2</v>
      </c>
      <c r="I2205" s="1">
        <v>46224</v>
      </c>
      <c r="J2205" t="s">
        <v>2064</v>
      </c>
      <c r="K2205" t="s">
        <v>2968</v>
      </c>
      <c r="L2205" s="1">
        <v>46224.917650462965</v>
      </c>
      <c r="M2205" s="1">
        <v>46224.91962439815</v>
      </c>
    </row>
    <row r="2206" spans="1:13" x14ac:dyDescent="0.35">
      <c r="A2206" t="s">
        <v>459</v>
      </c>
      <c r="B2206" t="s">
        <v>1986</v>
      </c>
      <c r="C2206" t="s">
        <v>2631</v>
      </c>
      <c r="D2206">
        <v>4</v>
      </c>
      <c r="E2206" s="1">
        <v>49628</v>
      </c>
      <c r="F2206" t="s">
        <v>1988</v>
      </c>
      <c r="G2206" t="s">
        <v>2631</v>
      </c>
      <c r="H2206" t="s">
        <v>2</v>
      </c>
      <c r="I2206" s="1">
        <v>46224</v>
      </c>
      <c r="J2206" t="s">
        <v>2064</v>
      </c>
      <c r="K2206" t="s">
        <v>3856</v>
      </c>
      <c r="L2206" s="1">
        <v>46224.917650462965</v>
      </c>
      <c r="M2206" s="1">
        <v>46224.91962439815</v>
      </c>
    </row>
    <row r="2207" spans="1:13" x14ac:dyDescent="0.35">
      <c r="A2207" t="s">
        <v>459</v>
      </c>
      <c r="B2207" t="s">
        <v>1986</v>
      </c>
      <c r="C2207" t="s">
        <v>2631</v>
      </c>
      <c r="D2207">
        <v>4</v>
      </c>
      <c r="E2207" s="1">
        <v>49628</v>
      </c>
      <c r="F2207" t="s">
        <v>1988</v>
      </c>
      <c r="G2207" t="s">
        <v>2631</v>
      </c>
      <c r="H2207" t="s">
        <v>2</v>
      </c>
      <c r="I2207" s="1">
        <v>46224</v>
      </c>
      <c r="J2207" t="s">
        <v>2108</v>
      </c>
      <c r="K2207" t="s">
        <v>3902</v>
      </c>
      <c r="L2207" s="1">
        <v>46224.917650462965</v>
      </c>
      <c r="M2207" s="1">
        <v>46224.91962439815</v>
      </c>
    </row>
    <row r="2208" spans="1:13" x14ac:dyDescent="0.35">
      <c r="A2208" t="s">
        <v>459</v>
      </c>
      <c r="B2208" t="s">
        <v>1986</v>
      </c>
      <c r="C2208" t="s">
        <v>2631</v>
      </c>
      <c r="D2208">
        <v>4</v>
      </c>
      <c r="E2208" s="1">
        <v>49628</v>
      </c>
      <c r="F2208" t="s">
        <v>1988</v>
      </c>
      <c r="G2208" t="s">
        <v>2631</v>
      </c>
      <c r="H2208" t="s">
        <v>2</v>
      </c>
      <c r="I2208" s="1">
        <v>46224</v>
      </c>
      <c r="J2208" t="s">
        <v>2146</v>
      </c>
      <c r="K2208" t="s">
        <v>3902</v>
      </c>
      <c r="L2208" s="1">
        <v>46224.917650462965</v>
      </c>
      <c r="M2208" s="1">
        <v>46224.91962439815</v>
      </c>
    </row>
    <row r="2209" spans="1:13" x14ac:dyDescent="0.35">
      <c r="A2209" t="s">
        <v>459</v>
      </c>
      <c r="B2209" t="s">
        <v>1986</v>
      </c>
      <c r="C2209" t="s">
        <v>2631</v>
      </c>
      <c r="D2209">
        <v>4</v>
      </c>
      <c r="E2209" s="1">
        <v>49628</v>
      </c>
      <c r="F2209" t="s">
        <v>1988</v>
      </c>
      <c r="G2209" t="s">
        <v>2631</v>
      </c>
      <c r="H2209" t="s">
        <v>2</v>
      </c>
      <c r="I2209" s="1">
        <v>46224</v>
      </c>
      <c r="J2209" t="s">
        <v>2065</v>
      </c>
      <c r="K2209" t="s">
        <v>3856</v>
      </c>
      <c r="L2209" s="1">
        <v>46224.917650462965</v>
      </c>
      <c r="M2209" s="1">
        <v>46224.91962439815</v>
      </c>
    </row>
    <row r="2210" spans="1:13" x14ac:dyDescent="0.35">
      <c r="A2210" t="s">
        <v>459</v>
      </c>
      <c r="B2210" t="s">
        <v>1986</v>
      </c>
      <c r="C2210" t="s">
        <v>2631</v>
      </c>
      <c r="D2210">
        <v>4</v>
      </c>
      <c r="E2210" s="1">
        <v>49628</v>
      </c>
      <c r="F2210" t="s">
        <v>1988</v>
      </c>
      <c r="G2210" t="s">
        <v>2631</v>
      </c>
      <c r="H2210" t="s">
        <v>2</v>
      </c>
      <c r="I2210" s="1">
        <v>46224</v>
      </c>
      <c r="J2210" t="s">
        <v>1991</v>
      </c>
      <c r="K2210" t="s">
        <v>3980</v>
      </c>
      <c r="L2210" s="1">
        <v>46224.918321759258</v>
      </c>
      <c r="M2210" s="1">
        <v>46224.91962439815</v>
      </c>
    </row>
    <row r="2211" spans="1:13" x14ac:dyDescent="0.35">
      <c r="A2211" t="s">
        <v>459</v>
      </c>
      <c r="B2211" t="s">
        <v>1986</v>
      </c>
      <c r="C2211" t="s">
        <v>2631</v>
      </c>
      <c r="D2211">
        <v>4</v>
      </c>
      <c r="E2211" s="1">
        <v>49628</v>
      </c>
      <c r="F2211" t="s">
        <v>1988</v>
      </c>
      <c r="G2211" t="s">
        <v>2631</v>
      </c>
      <c r="H2211" t="s">
        <v>2</v>
      </c>
      <c r="I2211" s="1">
        <v>46224</v>
      </c>
      <c r="J2211" t="s">
        <v>1989</v>
      </c>
      <c r="K2211" t="s">
        <v>2019</v>
      </c>
      <c r="L2211" s="1">
        <v>46224.918321759258</v>
      </c>
      <c r="M2211" s="1">
        <v>46224.91962439815</v>
      </c>
    </row>
    <row r="2212" spans="1:13" x14ac:dyDescent="0.35">
      <c r="A2212" t="s">
        <v>466</v>
      </c>
      <c r="B2212" t="s">
        <v>1986</v>
      </c>
      <c r="C2212" t="s">
        <v>2711</v>
      </c>
      <c r="D2212">
        <v>3.5</v>
      </c>
      <c r="E2212" s="1">
        <v>47072</v>
      </c>
      <c r="F2212" t="s">
        <v>1988</v>
      </c>
      <c r="G2212" t="s">
        <v>2711</v>
      </c>
      <c r="H2212" t="s">
        <v>2</v>
      </c>
      <c r="I2212" s="1">
        <v>46224</v>
      </c>
      <c r="J2212" t="s">
        <v>1991</v>
      </c>
      <c r="K2212" t="s">
        <v>2807</v>
      </c>
      <c r="L2212" s="1">
        <v>46224.918321759258</v>
      </c>
      <c r="M2212" s="1">
        <v>46224.91962439815</v>
      </c>
    </row>
    <row r="2213" spans="1:13" x14ac:dyDescent="0.35">
      <c r="A2213" t="s">
        <v>466</v>
      </c>
      <c r="B2213" t="s">
        <v>1986</v>
      </c>
      <c r="C2213" t="s">
        <v>2711</v>
      </c>
      <c r="D2213">
        <v>3.5</v>
      </c>
      <c r="E2213" s="1">
        <v>47072</v>
      </c>
      <c r="F2213" t="s">
        <v>1988</v>
      </c>
      <c r="G2213" t="s">
        <v>2711</v>
      </c>
      <c r="H2213" t="s">
        <v>2</v>
      </c>
      <c r="I2213" s="1">
        <v>46224</v>
      </c>
      <c r="J2213" t="s">
        <v>2064</v>
      </c>
      <c r="K2213" t="s">
        <v>2552</v>
      </c>
      <c r="L2213" s="1">
        <v>46224.917650462965</v>
      </c>
      <c r="M2213" s="1">
        <v>46224.91962439815</v>
      </c>
    </row>
    <row r="2214" spans="1:13" x14ac:dyDescent="0.35">
      <c r="A2214" t="s">
        <v>466</v>
      </c>
      <c r="B2214" t="s">
        <v>1986</v>
      </c>
      <c r="C2214" t="s">
        <v>2711</v>
      </c>
      <c r="D2214">
        <v>3.5</v>
      </c>
      <c r="E2214" s="1">
        <v>47072</v>
      </c>
      <c r="F2214" t="s">
        <v>1988</v>
      </c>
      <c r="G2214" t="s">
        <v>2711</v>
      </c>
      <c r="H2214" t="s">
        <v>2</v>
      </c>
      <c r="I2214" s="1">
        <v>46224</v>
      </c>
      <c r="J2214" t="s">
        <v>2146</v>
      </c>
      <c r="K2214" t="s">
        <v>2452</v>
      </c>
      <c r="L2214" s="1">
        <v>46224.917650462965</v>
      </c>
      <c r="M2214" s="1">
        <v>46224.91962439815</v>
      </c>
    </row>
    <row r="2215" spans="1:13" x14ac:dyDescent="0.35">
      <c r="A2215" t="s">
        <v>466</v>
      </c>
      <c r="B2215" t="s">
        <v>1986</v>
      </c>
      <c r="C2215" t="s">
        <v>2711</v>
      </c>
      <c r="D2215">
        <v>3.5</v>
      </c>
      <c r="E2215" s="1">
        <v>47072</v>
      </c>
      <c r="F2215" t="s">
        <v>1988</v>
      </c>
      <c r="G2215" t="s">
        <v>2711</v>
      </c>
      <c r="H2215" t="s">
        <v>2</v>
      </c>
      <c r="I2215" s="1">
        <v>46224</v>
      </c>
      <c r="J2215" t="s">
        <v>1989</v>
      </c>
      <c r="K2215" t="s">
        <v>2748</v>
      </c>
      <c r="L2215" s="1">
        <v>46224.918321759258</v>
      </c>
      <c r="M2215" s="1">
        <v>46224.91962439815</v>
      </c>
    </row>
    <row r="2216" spans="1:13" x14ac:dyDescent="0.35">
      <c r="A2216" t="s">
        <v>466</v>
      </c>
      <c r="B2216" t="s">
        <v>1986</v>
      </c>
      <c r="C2216" t="s">
        <v>2711</v>
      </c>
      <c r="D2216">
        <v>3.5</v>
      </c>
      <c r="E2216" s="1">
        <v>47072</v>
      </c>
      <c r="F2216" t="s">
        <v>1988</v>
      </c>
      <c r="G2216" t="s">
        <v>2711</v>
      </c>
      <c r="H2216" t="s">
        <v>2</v>
      </c>
      <c r="I2216" s="1">
        <v>46224</v>
      </c>
      <c r="J2216" t="s">
        <v>2108</v>
      </c>
      <c r="K2216" t="s">
        <v>2452</v>
      </c>
      <c r="L2216" s="1">
        <v>46224.917650462965</v>
      </c>
      <c r="M2216" s="1">
        <v>46224.91962439815</v>
      </c>
    </row>
    <row r="2217" spans="1:13" x14ac:dyDescent="0.35">
      <c r="A2217" t="s">
        <v>466</v>
      </c>
      <c r="B2217" t="s">
        <v>1986</v>
      </c>
      <c r="C2217" t="s">
        <v>2711</v>
      </c>
      <c r="D2217">
        <v>3.5</v>
      </c>
      <c r="E2217" s="1">
        <v>47072</v>
      </c>
      <c r="F2217" t="s">
        <v>1988</v>
      </c>
      <c r="G2217" t="s">
        <v>2711</v>
      </c>
      <c r="H2217" t="s">
        <v>2</v>
      </c>
      <c r="I2217" s="1">
        <v>46224</v>
      </c>
      <c r="J2217" t="s">
        <v>2065</v>
      </c>
      <c r="K2217" t="s">
        <v>2552</v>
      </c>
      <c r="L2217" s="1">
        <v>46224.917650462965</v>
      </c>
      <c r="M2217" s="1">
        <v>46224.91962439815</v>
      </c>
    </row>
    <row r="2218" spans="1:13" x14ac:dyDescent="0.35">
      <c r="A2218" t="s">
        <v>467</v>
      </c>
      <c r="B2218" t="s">
        <v>1986</v>
      </c>
      <c r="C2218" t="s">
        <v>2632</v>
      </c>
      <c r="D2218">
        <v>3.375</v>
      </c>
      <c r="E2218" s="1">
        <v>46721</v>
      </c>
      <c r="F2218" t="s">
        <v>1988</v>
      </c>
      <c r="G2218" t="s">
        <v>2632</v>
      </c>
      <c r="H2218" t="s">
        <v>2</v>
      </c>
      <c r="I2218" s="1">
        <v>46224</v>
      </c>
      <c r="J2218" t="s">
        <v>2064</v>
      </c>
      <c r="K2218" t="s">
        <v>3474</v>
      </c>
      <c r="L2218" s="1">
        <v>46224.917650462965</v>
      </c>
      <c r="M2218" s="1">
        <v>46224.91962439815</v>
      </c>
    </row>
    <row r="2219" spans="1:13" x14ac:dyDescent="0.35">
      <c r="A2219" t="s">
        <v>467</v>
      </c>
      <c r="B2219" t="s">
        <v>1986</v>
      </c>
      <c r="C2219" t="s">
        <v>2632</v>
      </c>
      <c r="D2219">
        <v>3.375</v>
      </c>
      <c r="E2219" s="1">
        <v>46721</v>
      </c>
      <c r="F2219" t="s">
        <v>1988</v>
      </c>
      <c r="G2219" t="s">
        <v>2632</v>
      </c>
      <c r="H2219" t="s">
        <v>2</v>
      </c>
      <c r="I2219" s="1">
        <v>46224</v>
      </c>
      <c r="J2219" t="s">
        <v>2108</v>
      </c>
      <c r="K2219" t="s">
        <v>2401</v>
      </c>
      <c r="L2219" s="1">
        <v>46224.917650462965</v>
      </c>
      <c r="M2219" s="1">
        <v>46224.91962439815</v>
      </c>
    </row>
    <row r="2220" spans="1:13" x14ac:dyDescent="0.35">
      <c r="A2220" t="s">
        <v>467</v>
      </c>
      <c r="B2220" t="s">
        <v>1986</v>
      </c>
      <c r="C2220" t="s">
        <v>2632</v>
      </c>
      <c r="D2220">
        <v>3.375</v>
      </c>
      <c r="E2220" s="1">
        <v>46721</v>
      </c>
      <c r="F2220" t="s">
        <v>1988</v>
      </c>
      <c r="G2220" t="s">
        <v>2632</v>
      </c>
      <c r="H2220" t="s">
        <v>2</v>
      </c>
      <c r="I2220" s="1">
        <v>46224</v>
      </c>
      <c r="J2220" t="s">
        <v>1989</v>
      </c>
      <c r="K2220" t="s">
        <v>3958</v>
      </c>
      <c r="L2220" s="1">
        <v>46224.918321759258</v>
      </c>
      <c r="M2220" s="1">
        <v>46224.91962439815</v>
      </c>
    </row>
    <row r="2221" spans="1:13" x14ac:dyDescent="0.35">
      <c r="A2221" t="s">
        <v>467</v>
      </c>
      <c r="B2221" t="s">
        <v>1986</v>
      </c>
      <c r="C2221" t="s">
        <v>2632</v>
      </c>
      <c r="D2221">
        <v>3.375</v>
      </c>
      <c r="E2221" s="1">
        <v>46721</v>
      </c>
      <c r="F2221" t="s">
        <v>1988</v>
      </c>
      <c r="G2221" t="s">
        <v>2632</v>
      </c>
      <c r="H2221" t="s">
        <v>2</v>
      </c>
      <c r="I2221" s="1">
        <v>46224</v>
      </c>
      <c r="J2221" t="s">
        <v>1991</v>
      </c>
      <c r="K2221" t="s">
        <v>4039</v>
      </c>
      <c r="L2221" s="1">
        <v>46224.918321759258</v>
      </c>
      <c r="M2221" s="1">
        <v>46224.91962439815</v>
      </c>
    </row>
    <row r="2222" spans="1:13" x14ac:dyDescent="0.35">
      <c r="A2222" t="s">
        <v>467</v>
      </c>
      <c r="B2222" t="s">
        <v>1986</v>
      </c>
      <c r="C2222" t="s">
        <v>2632</v>
      </c>
      <c r="D2222">
        <v>3.375</v>
      </c>
      <c r="E2222" s="1">
        <v>46721</v>
      </c>
      <c r="F2222" t="s">
        <v>1988</v>
      </c>
      <c r="G2222" t="s">
        <v>2632</v>
      </c>
      <c r="H2222" t="s">
        <v>2</v>
      </c>
      <c r="I2222" s="1">
        <v>46224</v>
      </c>
      <c r="J2222" t="s">
        <v>2146</v>
      </c>
      <c r="K2222" t="s">
        <v>2401</v>
      </c>
      <c r="L2222" s="1">
        <v>46224.917650462965</v>
      </c>
      <c r="M2222" s="1">
        <v>46224.91962439815</v>
      </c>
    </row>
    <row r="2223" spans="1:13" x14ac:dyDescent="0.35">
      <c r="A2223" t="s">
        <v>467</v>
      </c>
      <c r="B2223" t="s">
        <v>1986</v>
      </c>
      <c r="C2223" t="s">
        <v>2632</v>
      </c>
      <c r="D2223">
        <v>3.375</v>
      </c>
      <c r="E2223" s="1">
        <v>46721</v>
      </c>
      <c r="F2223" t="s">
        <v>1988</v>
      </c>
      <c r="G2223" t="s">
        <v>2632</v>
      </c>
      <c r="H2223" t="s">
        <v>2</v>
      </c>
      <c r="I2223" s="1">
        <v>46224</v>
      </c>
      <c r="J2223" t="s">
        <v>2065</v>
      </c>
      <c r="K2223" t="s">
        <v>3474</v>
      </c>
      <c r="L2223" s="1">
        <v>46224.917650462965</v>
      </c>
      <c r="M2223" s="1">
        <v>46224.91962439815</v>
      </c>
    </row>
    <row r="2224" spans="1:13" x14ac:dyDescent="0.35">
      <c r="A2224" t="s">
        <v>468</v>
      </c>
      <c r="B2224" t="s">
        <v>1986</v>
      </c>
      <c r="C2224" t="s">
        <v>2703</v>
      </c>
      <c r="D2224">
        <v>3.75</v>
      </c>
      <c r="E2224" s="1">
        <v>48548</v>
      </c>
      <c r="F2224" t="s">
        <v>1988</v>
      </c>
      <c r="G2224" t="s">
        <v>2703</v>
      </c>
      <c r="H2224" t="s">
        <v>2</v>
      </c>
      <c r="I2224" s="1">
        <v>46224</v>
      </c>
      <c r="J2224" t="s">
        <v>1989</v>
      </c>
      <c r="K2224" t="s">
        <v>3857</v>
      </c>
      <c r="L2224" s="1">
        <v>46224.918321759258</v>
      </c>
      <c r="M2224" s="1">
        <v>46224.91962439815</v>
      </c>
    </row>
    <row r="2225" spans="1:13" x14ac:dyDescent="0.35">
      <c r="A2225" t="s">
        <v>468</v>
      </c>
      <c r="B2225" t="s">
        <v>1986</v>
      </c>
      <c r="C2225" t="s">
        <v>2703</v>
      </c>
      <c r="D2225">
        <v>3.75</v>
      </c>
      <c r="E2225" s="1">
        <v>48548</v>
      </c>
      <c r="F2225" t="s">
        <v>1988</v>
      </c>
      <c r="G2225" t="s">
        <v>2703</v>
      </c>
      <c r="H2225" t="s">
        <v>2</v>
      </c>
      <c r="I2225" s="1">
        <v>46224</v>
      </c>
      <c r="J2225" t="s">
        <v>2108</v>
      </c>
      <c r="K2225" t="s">
        <v>2898</v>
      </c>
      <c r="L2225" s="1">
        <v>46224.917650462965</v>
      </c>
      <c r="M2225" s="1">
        <v>46224.91962439815</v>
      </c>
    </row>
    <row r="2226" spans="1:13" x14ac:dyDescent="0.35">
      <c r="A2226" t="s">
        <v>468</v>
      </c>
      <c r="B2226" t="s">
        <v>1986</v>
      </c>
      <c r="C2226" t="s">
        <v>2703</v>
      </c>
      <c r="D2226">
        <v>3.75</v>
      </c>
      <c r="E2226" s="1">
        <v>48548</v>
      </c>
      <c r="F2226" t="s">
        <v>1988</v>
      </c>
      <c r="G2226" t="s">
        <v>2703</v>
      </c>
      <c r="H2226" t="s">
        <v>2</v>
      </c>
      <c r="I2226" s="1">
        <v>46224</v>
      </c>
      <c r="J2226" t="s">
        <v>2064</v>
      </c>
      <c r="K2226" t="s">
        <v>3009</v>
      </c>
      <c r="L2226" s="1">
        <v>46224.917650462965</v>
      </c>
      <c r="M2226" s="1">
        <v>46224.91962439815</v>
      </c>
    </row>
    <row r="2227" spans="1:13" x14ac:dyDescent="0.35">
      <c r="A2227" t="s">
        <v>468</v>
      </c>
      <c r="B2227" t="s">
        <v>1986</v>
      </c>
      <c r="C2227" t="s">
        <v>2703</v>
      </c>
      <c r="D2227">
        <v>3.75</v>
      </c>
      <c r="E2227" s="1">
        <v>48548</v>
      </c>
      <c r="F2227" t="s">
        <v>1988</v>
      </c>
      <c r="G2227" t="s">
        <v>2703</v>
      </c>
      <c r="H2227" t="s">
        <v>2</v>
      </c>
      <c r="I2227" s="1">
        <v>46224</v>
      </c>
      <c r="J2227" t="s">
        <v>2065</v>
      </c>
      <c r="K2227" t="s">
        <v>3009</v>
      </c>
      <c r="L2227" s="1">
        <v>46224.917650462965</v>
      </c>
      <c r="M2227" s="1">
        <v>46224.91962439815</v>
      </c>
    </row>
    <row r="2228" spans="1:13" x14ac:dyDescent="0.35">
      <c r="A2228" t="s">
        <v>468</v>
      </c>
      <c r="B2228" t="s">
        <v>1986</v>
      </c>
      <c r="C2228" t="s">
        <v>2703</v>
      </c>
      <c r="D2228">
        <v>3.75</v>
      </c>
      <c r="E2228" s="1">
        <v>48548</v>
      </c>
      <c r="F2228" t="s">
        <v>1988</v>
      </c>
      <c r="G2228" t="s">
        <v>2703</v>
      </c>
      <c r="H2228" t="s">
        <v>2</v>
      </c>
      <c r="I2228" s="1">
        <v>46224</v>
      </c>
      <c r="J2228" t="s">
        <v>2146</v>
      </c>
      <c r="K2228" t="s">
        <v>2898</v>
      </c>
      <c r="L2228" s="1">
        <v>46224.917650462965</v>
      </c>
      <c r="M2228" s="1">
        <v>46224.91962439815</v>
      </c>
    </row>
    <row r="2229" spans="1:13" x14ac:dyDescent="0.35">
      <c r="A2229" t="s">
        <v>468</v>
      </c>
      <c r="B2229" t="s">
        <v>1986</v>
      </c>
      <c r="C2229" t="s">
        <v>2703</v>
      </c>
      <c r="D2229">
        <v>3.75</v>
      </c>
      <c r="E2229" s="1">
        <v>48548</v>
      </c>
      <c r="F2229" t="s">
        <v>1988</v>
      </c>
      <c r="G2229" t="s">
        <v>2703</v>
      </c>
      <c r="H2229" t="s">
        <v>2</v>
      </c>
      <c r="I2229" s="1">
        <v>46224</v>
      </c>
      <c r="J2229" t="s">
        <v>1991</v>
      </c>
      <c r="K2229" t="s">
        <v>3911</v>
      </c>
      <c r="L2229" s="1">
        <v>46224.918321759258</v>
      </c>
      <c r="M2229" s="1">
        <v>46224.91962439815</v>
      </c>
    </row>
    <row r="2230" spans="1:13" x14ac:dyDescent="0.35">
      <c r="A2230" t="s">
        <v>460</v>
      </c>
      <c r="B2230" t="s">
        <v>1986</v>
      </c>
      <c r="C2230" t="s">
        <v>2633</v>
      </c>
      <c r="D2230">
        <v>3.5</v>
      </c>
      <c r="E2230" s="1">
        <v>47817</v>
      </c>
      <c r="F2230" t="s">
        <v>1988</v>
      </c>
      <c r="G2230" t="s">
        <v>2633</v>
      </c>
      <c r="H2230" t="s">
        <v>2</v>
      </c>
      <c r="I2230" s="1">
        <v>46224</v>
      </c>
      <c r="J2230" t="s">
        <v>2108</v>
      </c>
      <c r="K2230" t="s">
        <v>3018</v>
      </c>
      <c r="L2230" s="1">
        <v>46224.917650462965</v>
      </c>
      <c r="M2230" s="1">
        <v>46224.91962439815</v>
      </c>
    </row>
    <row r="2231" spans="1:13" x14ac:dyDescent="0.35">
      <c r="A2231" t="s">
        <v>460</v>
      </c>
      <c r="B2231" t="s">
        <v>1986</v>
      </c>
      <c r="C2231" t="s">
        <v>2633</v>
      </c>
      <c r="D2231">
        <v>3.5</v>
      </c>
      <c r="E2231" s="1">
        <v>47817</v>
      </c>
      <c r="F2231" t="s">
        <v>1988</v>
      </c>
      <c r="G2231" t="s">
        <v>2633</v>
      </c>
      <c r="H2231" t="s">
        <v>2</v>
      </c>
      <c r="I2231" s="1">
        <v>46224</v>
      </c>
      <c r="J2231" t="s">
        <v>1991</v>
      </c>
      <c r="K2231" t="s">
        <v>2955</v>
      </c>
      <c r="L2231" s="1">
        <v>46224.918321759258</v>
      </c>
      <c r="M2231" s="1">
        <v>46224.91962439815</v>
      </c>
    </row>
    <row r="2232" spans="1:13" x14ac:dyDescent="0.35">
      <c r="A2232" t="s">
        <v>460</v>
      </c>
      <c r="B2232" t="s">
        <v>1986</v>
      </c>
      <c r="C2232" t="s">
        <v>2633</v>
      </c>
      <c r="D2232">
        <v>3.5</v>
      </c>
      <c r="E2232" s="1">
        <v>47817</v>
      </c>
      <c r="F2232" t="s">
        <v>1988</v>
      </c>
      <c r="G2232" t="s">
        <v>2633</v>
      </c>
      <c r="H2232" t="s">
        <v>2</v>
      </c>
      <c r="I2232" s="1">
        <v>46224</v>
      </c>
      <c r="J2232" t="s">
        <v>2065</v>
      </c>
      <c r="K2232" t="s">
        <v>3773</v>
      </c>
      <c r="L2232" s="1">
        <v>46224.917650462965</v>
      </c>
      <c r="M2232" s="1">
        <v>46224.91962439815</v>
      </c>
    </row>
    <row r="2233" spans="1:13" x14ac:dyDescent="0.35">
      <c r="A2233" t="s">
        <v>460</v>
      </c>
      <c r="B2233" t="s">
        <v>1986</v>
      </c>
      <c r="C2233" t="s">
        <v>2633</v>
      </c>
      <c r="D2233">
        <v>3.5</v>
      </c>
      <c r="E2233" s="1">
        <v>47817</v>
      </c>
      <c r="F2233" t="s">
        <v>1988</v>
      </c>
      <c r="G2233" t="s">
        <v>2633</v>
      </c>
      <c r="H2233" t="s">
        <v>2</v>
      </c>
      <c r="I2233" s="1">
        <v>46224</v>
      </c>
      <c r="J2233" t="s">
        <v>1989</v>
      </c>
      <c r="K2233" t="s">
        <v>3658</v>
      </c>
      <c r="L2233" s="1">
        <v>46224.918321759258</v>
      </c>
      <c r="M2233" s="1">
        <v>46224.91962439815</v>
      </c>
    </row>
    <row r="2234" spans="1:13" x14ac:dyDescent="0.35">
      <c r="A2234" t="s">
        <v>460</v>
      </c>
      <c r="B2234" t="s">
        <v>1986</v>
      </c>
      <c r="C2234" t="s">
        <v>2633</v>
      </c>
      <c r="D2234">
        <v>3.5</v>
      </c>
      <c r="E2234" s="1">
        <v>47817</v>
      </c>
      <c r="F2234" t="s">
        <v>1988</v>
      </c>
      <c r="G2234" t="s">
        <v>2633</v>
      </c>
      <c r="H2234" t="s">
        <v>2</v>
      </c>
      <c r="I2234" s="1">
        <v>46224</v>
      </c>
      <c r="J2234" t="s">
        <v>2146</v>
      </c>
      <c r="K2234" t="s">
        <v>3018</v>
      </c>
      <c r="L2234" s="1">
        <v>46224.917650462965</v>
      </c>
      <c r="M2234" s="1">
        <v>46224.91962439815</v>
      </c>
    </row>
    <row r="2235" spans="1:13" x14ac:dyDescent="0.35">
      <c r="A2235" t="s">
        <v>460</v>
      </c>
      <c r="B2235" t="s">
        <v>1986</v>
      </c>
      <c r="C2235" t="s">
        <v>2633</v>
      </c>
      <c r="D2235">
        <v>3.5</v>
      </c>
      <c r="E2235" s="1">
        <v>47817</v>
      </c>
      <c r="F2235" t="s">
        <v>1988</v>
      </c>
      <c r="G2235" t="s">
        <v>2633</v>
      </c>
      <c r="H2235" t="s">
        <v>2</v>
      </c>
      <c r="I2235" s="1">
        <v>46224</v>
      </c>
      <c r="J2235" t="s">
        <v>2064</v>
      </c>
      <c r="K2235" t="s">
        <v>3773</v>
      </c>
      <c r="L2235" s="1">
        <v>46224.917650462965</v>
      </c>
      <c r="M2235" s="1">
        <v>46224.91962439815</v>
      </c>
    </row>
    <row r="2236" spans="1:13" x14ac:dyDescent="0.35">
      <c r="A2236" t="s">
        <v>509</v>
      </c>
      <c r="B2236" t="s">
        <v>1986</v>
      </c>
      <c r="C2236" t="s">
        <v>2634</v>
      </c>
      <c r="D2236">
        <v>3.5</v>
      </c>
      <c r="E2236" s="1">
        <v>47102</v>
      </c>
      <c r="F2236" t="s">
        <v>1988</v>
      </c>
      <c r="G2236" t="s">
        <v>2634</v>
      </c>
      <c r="H2236" t="s">
        <v>2</v>
      </c>
      <c r="I2236" s="1">
        <v>46224</v>
      </c>
      <c r="J2236" t="s">
        <v>2146</v>
      </c>
      <c r="K2236" t="s">
        <v>2913</v>
      </c>
      <c r="L2236" s="1">
        <v>46224.917650462965</v>
      </c>
      <c r="M2236" s="1">
        <v>46224.91962439815</v>
      </c>
    </row>
    <row r="2237" spans="1:13" x14ac:dyDescent="0.35">
      <c r="A2237" t="s">
        <v>509</v>
      </c>
      <c r="B2237" t="s">
        <v>1986</v>
      </c>
      <c r="C2237" t="s">
        <v>2634</v>
      </c>
      <c r="D2237">
        <v>3.5</v>
      </c>
      <c r="E2237" s="1">
        <v>47102</v>
      </c>
      <c r="F2237" t="s">
        <v>1988</v>
      </c>
      <c r="G2237" t="s">
        <v>2634</v>
      </c>
      <c r="H2237" t="s">
        <v>2</v>
      </c>
      <c r="I2237" s="1">
        <v>46224</v>
      </c>
      <c r="J2237" t="s">
        <v>2065</v>
      </c>
      <c r="K2237" t="s">
        <v>2608</v>
      </c>
      <c r="L2237" s="1">
        <v>46224.917650462965</v>
      </c>
      <c r="M2237" s="1">
        <v>46224.91962439815</v>
      </c>
    </row>
    <row r="2238" spans="1:13" x14ac:dyDescent="0.35">
      <c r="A2238" t="s">
        <v>509</v>
      </c>
      <c r="B2238" t="s">
        <v>1986</v>
      </c>
      <c r="C2238" t="s">
        <v>2634</v>
      </c>
      <c r="D2238">
        <v>3.5</v>
      </c>
      <c r="E2238" s="1">
        <v>47102</v>
      </c>
      <c r="F2238" t="s">
        <v>1988</v>
      </c>
      <c r="G2238" t="s">
        <v>2634</v>
      </c>
      <c r="H2238" t="s">
        <v>2</v>
      </c>
      <c r="I2238" s="1">
        <v>46224</v>
      </c>
      <c r="J2238" t="s">
        <v>1989</v>
      </c>
      <c r="K2238" t="s">
        <v>2956</v>
      </c>
      <c r="L2238" s="1">
        <v>46224.918321759258</v>
      </c>
      <c r="M2238" s="1">
        <v>46224.91962439815</v>
      </c>
    </row>
    <row r="2239" spans="1:13" x14ac:dyDescent="0.35">
      <c r="A2239" t="s">
        <v>509</v>
      </c>
      <c r="B2239" t="s">
        <v>1986</v>
      </c>
      <c r="C2239" t="s">
        <v>2634</v>
      </c>
      <c r="D2239">
        <v>3.5</v>
      </c>
      <c r="E2239" s="1">
        <v>47102</v>
      </c>
      <c r="F2239" t="s">
        <v>1988</v>
      </c>
      <c r="G2239" t="s">
        <v>2634</v>
      </c>
      <c r="H2239" t="s">
        <v>2</v>
      </c>
      <c r="I2239" s="1">
        <v>46224</v>
      </c>
      <c r="J2239" t="s">
        <v>1991</v>
      </c>
      <c r="K2239" t="s">
        <v>3981</v>
      </c>
      <c r="L2239" s="1">
        <v>46224.918321759258</v>
      </c>
      <c r="M2239" s="1">
        <v>46224.91962439815</v>
      </c>
    </row>
    <row r="2240" spans="1:13" x14ac:dyDescent="0.35">
      <c r="A2240" t="s">
        <v>509</v>
      </c>
      <c r="B2240" t="s">
        <v>1986</v>
      </c>
      <c r="C2240" t="s">
        <v>2634</v>
      </c>
      <c r="D2240">
        <v>3.5</v>
      </c>
      <c r="E2240" s="1">
        <v>47102</v>
      </c>
      <c r="F2240" t="s">
        <v>1988</v>
      </c>
      <c r="G2240" t="s">
        <v>2634</v>
      </c>
      <c r="H2240" t="s">
        <v>2</v>
      </c>
      <c r="I2240" s="1">
        <v>46224</v>
      </c>
      <c r="J2240" t="s">
        <v>2108</v>
      </c>
      <c r="K2240" t="s">
        <v>2913</v>
      </c>
      <c r="L2240" s="1">
        <v>46224.917650462965</v>
      </c>
      <c r="M2240" s="1">
        <v>46224.91962439815</v>
      </c>
    </row>
    <row r="2241" spans="1:13" x14ac:dyDescent="0.35">
      <c r="A2241" t="s">
        <v>509</v>
      </c>
      <c r="B2241" t="s">
        <v>1986</v>
      </c>
      <c r="C2241" t="s">
        <v>2634</v>
      </c>
      <c r="D2241">
        <v>3.5</v>
      </c>
      <c r="E2241" s="1">
        <v>47102</v>
      </c>
      <c r="F2241" t="s">
        <v>1988</v>
      </c>
      <c r="G2241" t="s">
        <v>2634</v>
      </c>
      <c r="H2241" t="s">
        <v>2</v>
      </c>
      <c r="I2241" s="1">
        <v>46224</v>
      </c>
      <c r="J2241" t="s">
        <v>2064</v>
      </c>
      <c r="K2241" t="s">
        <v>2608</v>
      </c>
      <c r="L2241" s="1">
        <v>46224.917650462965</v>
      </c>
      <c r="M2241" s="1">
        <v>46224.91962439815</v>
      </c>
    </row>
    <row r="2242" spans="1:13" x14ac:dyDescent="0.35">
      <c r="A2242" t="s">
        <v>469</v>
      </c>
      <c r="B2242" t="s">
        <v>1986</v>
      </c>
      <c r="C2242" t="s">
        <v>2636</v>
      </c>
      <c r="D2242">
        <v>3.875</v>
      </c>
      <c r="E2242" s="1">
        <v>48579</v>
      </c>
      <c r="F2242" t="s">
        <v>1988</v>
      </c>
      <c r="G2242" t="s">
        <v>2636</v>
      </c>
      <c r="H2242" t="s">
        <v>2</v>
      </c>
      <c r="I2242" s="1">
        <v>46224</v>
      </c>
      <c r="J2242" t="s">
        <v>2065</v>
      </c>
      <c r="K2242" t="s">
        <v>3695</v>
      </c>
      <c r="L2242" s="1">
        <v>46224.917650462965</v>
      </c>
      <c r="M2242" s="1">
        <v>46224.91962439815</v>
      </c>
    </row>
    <row r="2243" spans="1:13" x14ac:dyDescent="0.35">
      <c r="A2243" t="s">
        <v>469</v>
      </c>
      <c r="B2243" t="s">
        <v>1986</v>
      </c>
      <c r="C2243" t="s">
        <v>2636</v>
      </c>
      <c r="D2243">
        <v>3.875</v>
      </c>
      <c r="E2243" s="1">
        <v>48579</v>
      </c>
      <c r="F2243" t="s">
        <v>1988</v>
      </c>
      <c r="G2243" t="s">
        <v>2636</v>
      </c>
      <c r="H2243" t="s">
        <v>2</v>
      </c>
      <c r="I2243" s="1">
        <v>46224</v>
      </c>
      <c r="J2243" t="s">
        <v>2064</v>
      </c>
      <c r="K2243" t="s">
        <v>3695</v>
      </c>
      <c r="L2243" s="1">
        <v>46224.917650462965</v>
      </c>
      <c r="M2243" s="1">
        <v>46224.91962439815</v>
      </c>
    </row>
    <row r="2244" spans="1:13" x14ac:dyDescent="0.35">
      <c r="A2244" t="s">
        <v>469</v>
      </c>
      <c r="B2244" t="s">
        <v>1986</v>
      </c>
      <c r="C2244" t="s">
        <v>2636</v>
      </c>
      <c r="D2244">
        <v>3.875</v>
      </c>
      <c r="E2244" s="1">
        <v>48579</v>
      </c>
      <c r="F2244" t="s">
        <v>1988</v>
      </c>
      <c r="G2244" t="s">
        <v>2636</v>
      </c>
      <c r="H2244" t="s">
        <v>2</v>
      </c>
      <c r="I2244" s="1">
        <v>46224</v>
      </c>
      <c r="J2244" t="s">
        <v>1989</v>
      </c>
      <c r="K2244" t="s">
        <v>3982</v>
      </c>
      <c r="L2244" s="1">
        <v>46224.918321759258</v>
      </c>
      <c r="M2244" s="1">
        <v>46224.91962439815</v>
      </c>
    </row>
    <row r="2245" spans="1:13" x14ac:dyDescent="0.35">
      <c r="A2245" t="s">
        <v>469</v>
      </c>
      <c r="B2245" t="s">
        <v>1986</v>
      </c>
      <c r="C2245" t="s">
        <v>2636</v>
      </c>
      <c r="D2245">
        <v>3.875</v>
      </c>
      <c r="E2245" s="1">
        <v>48579</v>
      </c>
      <c r="F2245" t="s">
        <v>1988</v>
      </c>
      <c r="G2245" t="s">
        <v>2636</v>
      </c>
      <c r="H2245" t="s">
        <v>2</v>
      </c>
      <c r="I2245" s="1">
        <v>46224</v>
      </c>
      <c r="J2245" t="s">
        <v>1991</v>
      </c>
      <c r="K2245" t="s">
        <v>3983</v>
      </c>
      <c r="L2245" s="1">
        <v>46224.918321759258</v>
      </c>
      <c r="M2245" s="1">
        <v>46224.91962439815</v>
      </c>
    </row>
    <row r="2246" spans="1:13" x14ac:dyDescent="0.35">
      <c r="A2246" t="s">
        <v>469</v>
      </c>
      <c r="B2246" t="s">
        <v>1986</v>
      </c>
      <c r="C2246" t="s">
        <v>2636</v>
      </c>
      <c r="D2246">
        <v>3.875</v>
      </c>
      <c r="E2246" s="1">
        <v>48579</v>
      </c>
      <c r="F2246" t="s">
        <v>1988</v>
      </c>
      <c r="G2246" t="s">
        <v>2636</v>
      </c>
      <c r="H2246" t="s">
        <v>2</v>
      </c>
      <c r="I2246" s="1">
        <v>46224</v>
      </c>
      <c r="J2246" t="s">
        <v>2108</v>
      </c>
      <c r="K2246" t="s">
        <v>4040</v>
      </c>
      <c r="L2246" s="1">
        <v>46224.917650462965</v>
      </c>
      <c r="M2246" s="1">
        <v>46224.91962439815</v>
      </c>
    </row>
    <row r="2247" spans="1:13" x14ac:dyDescent="0.35">
      <c r="A2247" t="s">
        <v>469</v>
      </c>
      <c r="B2247" t="s">
        <v>1986</v>
      </c>
      <c r="C2247" t="s">
        <v>2636</v>
      </c>
      <c r="D2247">
        <v>3.875</v>
      </c>
      <c r="E2247" s="1">
        <v>48579</v>
      </c>
      <c r="F2247" t="s">
        <v>1988</v>
      </c>
      <c r="G2247" t="s">
        <v>2636</v>
      </c>
      <c r="H2247" t="s">
        <v>2</v>
      </c>
      <c r="I2247" s="1">
        <v>46224</v>
      </c>
      <c r="J2247" t="s">
        <v>2146</v>
      </c>
      <c r="K2247" t="s">
        <v>4040</v>
      </c>
      <c r="L2247" s="1">
        <v>46224.917650462965</v>
      </c>
      <c r="M2247" s="1">
        <v>46224.91962439815</v>
      </c>
    </row>
    <row r="2248" spans="1:13" x14ac:dyDescent="0.35">
      <c r="A2248" t="s">
        <v>516</v>
      </c>
      <c r="B2248" t="s">
        <v>1986</v>
      </c>
      <c r="C2248" t="s">
        <v>2638</v>
      </c>
      <c r="D2248">
        <v>3.625</v>
      </c>
      <c r="E2248" s="1">
        <v>47848</v>
      </c>
      <c r="F2248" t="s">
        <v>1988</v>
      </c>
      <c r="G2248" t="s">
        <v>2638</v>
      </c>
      <c r="H2248" t="s">
        <v>2</v>
      </c>
      <c r="I2248" s="1">
        <v>46224</v>
      </c>
      <c r="J2248" t="s">
        <v>1991</v>
      </c>
      <c r="K2248" t="s">
        <v>2970</v>
      </c>
      <c r="L2248" s="1">
        <v>46224.918321759258</v>
      </c>
      <c r="M2248" s="1">
        <v>46224.91962439815</v>
      </c>
    </row>
    <row r="2249" spans="1:13" x14ac:dyDescent="0.35">
      <c r="A2249" t="s">
        <v>516</v>
      </c>
      <c r="B2249" t="s">
        <v>1986</v>
      </c>
      <c r="C2249" t="s">
        <v>2638</v>
      </c>
      <c r="D2249">
        <v>3.625</v>
      </c>
      <c r="E2249" s="1">
        <v>47848</v>
      </c>
      <c r="F2249" t="s">
        <v>1988</v>
      </c>
      <c r="G2249" t="s">
        <v>2638</v>
      </c>
      <c r="H2249" t="s">
        <v>2</v>
      </c>
      <c r="I2249" s="1">
        <v>46224</v>
      </c>
      <c r="J2249" t="s">
        <v>2108</v>
      </c>
      <c r="K2249" t="s">
        <v>2900</v>
      </c>
      <c r="L2249" s="1">
        <v>46224.917650462965</v>
      </c>
      <c r="M2249" s="1">
        <v>46224.91962439815</v>
      </c>
    </row>
    <row r="2250" spans="1:13" x14ac:dyDescent="0.35">
      <c r="A2250" t="s">
        <v>516</v>
      </c>
      <c r="B2250" t="s">
        <v>1986</v>
      </c>
      <c r="C2250" t="s">
        <v>2638</v>
      </c>
      <c r="D2250">
        <v>3.625</v>
      </c>
      <c r="E2250" s="1">
        <v>47848</v>
      </c>
      <c r="F2250" t="s">
        <v>1988</v>
      </c>
      <c r="G2250" t="s">
        <v>2638</v>
      </c>
      <c r="H2250" t="s">
        <v>2</v>
      </c>
      <c r="I2250" s="1">
        <v>46224</v>
      </c>
      <c r="J2250" t="s">
        <v>1989</v>
      </c>
      <c r="K2250" t="s">
        <v>3028</v>
      </c>
      <c r="L2250" s="1">
        <v>46224.918321759258</v>
      </c>
      <c r="M2250" s="1">
        <v>46224.91962439815</v>
      </c>
    </row>
    <row r="2251" spans="1:13" x14ac:dyDescent="0.35">
      <c r="A2251" t="s">
        <v>516</v>
      </c>
      <c r="B2251" t="s">
        <v>1986</v>
      </c>
      <c r="C2251" t="s">
        <v>2638</v>
      </c>
      <c r="D2251">
        <v>3.625</v>
      </c>
      <c r="E2251" s="1">
        <v>47848</v>
      </c>
      <c r="F2251" t="s">
        <v>1988</v>
      </c>
      <c r="G2251" t="s">
        <v>2638</v>
      </c>
      <c r="H2251" t="s">
        <v>2</v>
      </c>
      <c r="I2251" s="1">
        <v>46224</v>
      </c>
      <c r="J2251" t="s">
        <v>2146</v>
      </c>
      <c r="K2251" t="s">
        <v>2900</v>
      </c>
      <c r="L2251" s="1">
        <v>46224.917650462965</v>
      </c>
      <c r="M2251" s="1">
        <v>46224.91962439815</v>
      </c>
    </row>
    <row r="2252" spans="1:13" x14ac:dyDescent="0.35">
      <c r="A2252" t="s">
        <v>516</v>
      </c>
      <c r="B2252" t="s">
        <v>1986</v>
      </c>
      <c r="C2252" t="s">
        <v>2638</v>
      </c>
      <c r="D2252">
        <v>3.625</v>
      </c>
      <c r="E2252" s="1">
        <v>47848</v>
      </c>
      <c r="F2252" t="s">
        <v>1988</v>
      </c>
      <c r="G2252" t="s">
        <v>2638</v>
      </c>
      <c r="H2252" t="s">
        <v>2</v>
      </c>
      <c r="I2252" s="1">
        <v>46224</v>
      </c>
      <c r="J2252" t="s">
        <v>2064</v>
      </c>
      <c r="K2252" t="s">
        <v>2597</v>
      </c>
      <c r="L2252" s="1">
        <v>46224.917650462965</v>
      </c>
      <c r="M2252" s="1">
        <v>46224.91962439815</v>
      </c>
    </row>
    <row r="2253" spans="1:13" x14ac:dyDescent="0.35">
      <c r="A2253" t="s">
        <v>516</v>
      </c>
      <c r="B2253" t="s">
        <v>1986</v>
      </c>
      <c r="C2253" t="s">
        <v>2638</v>
      </c>
      <c r="D2253">
        <v>3.625</v>
      </c>
      <c r="E2253" s="1">
        <v>47848</v>
      </c>
      <c r="F2253" t="s">
        <v>1988</v>
      </c>
      <c r="G2253" t="s">
        <v>2638</v>
      </c>
      <c r="H2253" t="s">
        <v>2</v>
      </c>
      <c r="I2253" s="1">
        <v>46224</v>
      </c>
      <c r="J2253" t="s">
        <v>2065</v>
      </c>
      <c r="K2253" t="s">
        <v>2597</v>
      </c>
      <c r="L2253" s="1">
        <v>46224.917650462965</v>
      </c>
      <c r="M2253" s="1">
        <v>46224.91962439815</v>
      </c>
    </row>
    <row r="2254" spans="1:13" x14ac:dyDescent="0.35">
      <c r="A2254" t="s">
        <v>470</v>
      </c>
      <c r="B2254" t="s">
        <v>1986</v>
      </c>
      <c r="C2254" t="s">
        <v>2713</v>
      </c>
      <c r="D2254">
        <v>3.375</v>
      </c>
      <c r="E2254" s="1">
        <v>46752</v>
      </c>
      <c r="F2254" t="s">
        <v>1988</v>
      </c>
      <c r="G2254" t="s">
        <v>2713</v>
      </c>
      <c r="H2254" t="s">
        <v>2</v>
      </c>
      <c r="I2254" s="1">
        <v>46224</v>
      </c>
      <c r="J2254" t="s">
        <v>1991</v>
      </c>
      <c r="K2254" t="s">
        <v>2954</v>
      </c>
      <c r="L2254" s="1">
        <v>46224.918321759258</v>
      </c>
      <c r="M2254" s="1">
        <v>46224.91962439815</v>
      </c>
    </row>
    <row r="2255" spans="1:13" x14ac:dyDescent="0.35">
      <c r="A2255" t="s">
        <v>470</v>
      </c>
      <c r="B2255" t="s">
        <v>1986</v>
      </c>
      <c r="C2255" t="s">
        <v>2713</v>
      </c>
      <c r="D2255">
        <v>3.375</v>
      </c>
      <c r="E2255" s="1">
        <v>46752</v>
      </c>
      <c r="F2255" t="s">
        <v>1988</v>
      </c>
      <c r="G2255" t="s">
        <v>2713</v>
      </c>
      <c r="H2255" t="s">
        <v>2</v>
      </c>
      <c r="I2255" s="1">
        <v>46224</v>
      </c>
      <c r="J2255" t="s">
        <v>2108</v>
      </c>
      <c r="K2255" t="s">
        <v>2376</v>
      </c>
      <c r="L2255" s="1">
        <v>46224.917650462965</v>
      </c>
      <c r="M2255" s="1">
        <v>46224.91962439815</v>
      </c>
    </row>
    <row r="2256" spans="1:13" x14ac:dyDescent="0.35">
      <c r="A2256" t="s">
        <v>470</v>
      </c>
      <c r="B2256" t="s">
        <v>1986</v>
      </c>
      <c r="C2256" t="s">
        <v>2713</v>
      </c>
      <c r="D2256">
        <v>3.375</v>
      </c>
      <c r="E2256" s="1">
        <v>46752</v>
      </c>
      <c r="F2256" t="s">
        <v>1988</v>
      </c>
      <c r="G2256" t="s">
        <v>2713</v>
      </c>
      <c r="H2256" t="s">
        <v>2</v>
      </c>
      <c r="I2256" s="1">
        <v>46224</v>
      </c>
      <c r="J2256" t="s">
        <v>1989</v>
      </c>
      <c r="K2256" t="s">
        <v>3696</v>
      </c>
      <c r="L2256" s="1">
        <v>46224.918321759258</v>
      </c>
      <c r="M2256" s="1">
        <v>46224.91962439815</v>
      </c>
    </row>
    <row r="2257" spans="1:13" x14ac:dyDescent="0.35">
      <c r="A2257" t="s">
        <v>470</v>
      </c>
      <c r="B2257" t="s">
        <v>1986</v>
      </c>
      <c r="C2257" t="s">
        <v>2713</v>
      </c>
      <c r="D2257">
        <v>3.375</v>
      </c>
      <c r="E2257" s="1">
        <v>46752</v>
      </c>
      <c r="F2257" t="s">
        <v>1988</v>
      </c>
      <c r="G2257" t="s">
        <v>2713</v>
      </c>
      <c r="H2257" t="s">
        <v>2</v>
      </c>
      <c r="I2257" s="1">
        <v>46224</v>
      </c>
      <c r="J2257" t="s">
        <v>2146</v>
      </c>
      <c r="K2257" t="s">
        <v>2376</v>
      </c>
      <c r="L2257" s="1">
        <v>46224.917650462965</v>
      </c>
      <c r="M2257" s="1">
        <v>46224.91962439815</v>
      </c>
    </row>
    <row r="2258" spans="1:13" x14ac:dyDescent="0.35">
      <c r="A2258" t="s">
        <v>470</v>
      </c>
      <c r="B2258" t="s">
        <v>1986</v>
      </c>
      <c r="C2258" t="s">
        <v>2713</v>
      </c>
      <c r="D2258">
        <v>3.375</v>
      </c>
      <c r="E2258" s="1">
        <v>46752</v>
      </c>
      <c r="F2258" t="s">
        <v>1988</v>
      </c>
      <c r="G2258" t="s">
        <v>2713</v>
      </c>
      <c r="H2258" t="s">
        <v>2</v>
      </c>
      <c r="I2258" s="1">
        <v>46224</v>
      </c>
      <c r="J2258" t="s">
        <v>2065</v>
      </c>
      <c r="K2258" t="s">
        <v>2464</v>
      </c>
      <c r="L2258" s="1">
        <v>46224.917650462965</v>
      </c>
      <c r="M2258" s="1">
        <v>46224.91962439815</v>
      </c>
    </row>
    <row r="2259" spans="1:13" x14ac:dyDescent="0.35">
      <c r="A2259" t="s">
        <v>470</v>
      </c>
      <c r="B2259" t="s">
        <v>1986</v>
      </c>
      <c r="C2259" t="s">
        <v>2713</v>
      </c>
      <c r="D2259">
        <v>3.375</v>
      </c>
      <c r="E2259" s="1">
        <v>46752</v>
      </c>
      <c r="F2259" t="s">
        <v>1988</v>
      </c>
      <c r="G2259" t="s">
        <v>2713</v>
      </c>
      <c r="H2259" t="s">
        <v>2</v>
      </c>
      <c r="I2259" s="1">
        <v>46224</v>
      </c>
      <c r="J2259" t="s">
        <v>2064</v>
      </c>
      <c r="K2259" t="s">
        <v>2464</v>
      </c>
      <c r="L2259" s="1">
        <v>46224.917650462965</v>
      </c>
      <c r="M2259" s="1">
        <v>46224.91962439815</v>
      </c>
    </row>
    <row r="2260" spans="1:13" x14ac:dyDescent="0.35">
      <c r="A2260" t="s">
        <v>510</v>
      </c>
      <c r="B2260" t="s">
        <v>1986</v>
      </c>
      <c r="C2260" t="s">
        <v>2671</v>
      </c>
      <c r="D2260">
        <v>3.5</v>
      </c>
      <c r="E2260" s="1">
        <v>47133</v>
      </c>
      <c r="F2260" t="s">
        <v>1988</v>
      </c>
      <c r="G2260" t="s">
        <v>2671</v>
      </c>
      <c r="H2260" t="s">
        <v>2</v>
      </c>
      <c r="I2260" s="1">
        <v>46224</v>
      </c>
      <c r="J2260" t="s">
        <v>1991</v>
      </c>
      <c r="K2260" t="s">
        <v>2774</v>
      </c>
      <c r="L2260" s="1">
        <v>46224.918321759258</v>
      </c>
      <c r="M2260" s="1">
        <v>46224.91962439815</v>
      </c>
    </row>
    <row r="2261" spans="1:13" x14ac:dyDescent="0.35">
      <c r="A2261" t="s">
        <v>510</v>
      </c>
      <c r="B2261" t="s">
        <v>1986</v>
      </c>
      <c r="C2261" t="s">
        <v>2671</v>
      </c>
      <c r="D2261">
        <v>3.5</v>
      </c>
      <c r="E2261" s="1">
        <v>47133</v>
      </c>
      <c r="F2261" t="s">
        <v>1988</v>
      </c>
      <c r="G2261" t="s">
        <v>2671</v>
      </c>
      <c r="H2261" t="s">
        <v>2</v>
      </c>
      <c r="I2261" s="1">
        <v>46224</v>
      </c>
      <c r="J2261" t="s">
        <v>2065</v>
      </c>
      <c r="K2261" t="s">
        <v>2935</v>
      </c>
      <c r="L2261" s="1">
        <v>46224.917650462965</v>
      </c>
      <c r="M2261" s="1">
        <v>46224.91962439815</v>
      </c>
    </row>
    <row r="2262" spans="1:13" x14ac:dyDescent="0.35">
      <c r="A2262" t="s">
        <v>510</v>
      </c>
      <c r="B2262" t="s">
        <v>1986</v>
      </c>
      <c r="C2262" t="s">
        <v>2671</v>
      </c>
      <c r="D2262">
        <v>3.5</v>
      </c>
      <c r="E2262" s="1">
        <v>47133</v>
      </c>
      <c r="F2262" t="s">
        <v>1988</v>
      </c>
      <c r="G2262" t="s">
        <v>2671</v>
      </c>
      <c r="H2262" t="s">
        <v>2</v>
      </c>
      <c r="I2262" s="1">
        <v>46224</v>
      </c>
      <c r="J2262" t="s">
        <v>2108</v>
      </c>
      <c r="K2262" t="s">
        <v>2608</v>
      </c>
      <c r="L2262" s="1">
        <v>46224.917650462965</v>
      </c>
      <c r="M2262" s="1">
        <v>46224.91962439815</v>
      </c>
    </row>
    <row r="2263" spans="1:13" x14ac:dyDescent="0.35">
      <c r="A2263" t="s">
        <v>510</v>
      </c>
      <c r="B2263" t="s">
        <v>1986</v>
      </c>
      <c r="C2263" t="s">
        <v>2671</v>
      </c>
      <c r="D2263">
        <v>3.5</v>
      </c>
      <c r="E2263" s="1">
        <v>47133</v>
      </c>
      <c r="F2263" t="s">
        <v>1988</v>
      </c>
      <c r="G2263" t="s">
        <v>2671</v>
      </c>
      <c r="H2263" t="s">
        <v>2</v>
      </c>
      <c r="I2263" s="1">
        <v>46224</v>
      </c>
      <c r="J2263" t="s">
        <v>2064</v>
      </c>
      <c r="K2263" t="s">
        <v>2935</v>
      </c>
      <c r="L2263" s="1">
        <v>46224.917650462965</v>
      </c>
      <c r="M2263" s="1">
        <v>46224.91962439815</v>
      </c>
    </row>
    <row r="2264" spans="1:13" x14ac:dyDescent="0.35">
      <c r="A2264" t="s">
        <v>510</v>
      </c>
      <c r="B2264" t="s">
        <v>1986</v>
      </c>
      <c r="C2264" t="s">
        <v>2671</v>
      </c>
      <c r="D2264">
        <v>3.5</v>
      </c>
      <c r="E2264" s="1">
        <v>47133</v>
      </c>
      <c r="F2264" t="s">
        <v>1988</v>
      </c>
      <c r="G2264" t="s">
        <v>2671</v>
      </c>
      <c r="H2264" t="s">
        <v>2</v>
      </c>
      <c r="I2264" s="1">
        <v>46224</v>
      </c>
      <c r="J2264" t="s">
        <v>1989</v>
      </c>
      <c r="K2264" t="s">
        <v>2820</v>
      </c>
      <c r="L2264" s="1">
        <v>46224.918321759258</v>
      </c>
      <c r="M2264" s="1">
        <v>46224.91962439815</v>
      </c>
    </row>
    <row r="2265" spans="1:13" x14ac:dyDescent="0.35">
      <c r="A2265" t="s">
        <v>510</v>
      </c>
      <c r="B2265" t="s">
        <v>1986</v>
      </c>
      <c r="C2265" t="s">
        <v>2671</v>
      </c>
      <c r="D2265">
        <v>3.5</v>
      </c>
      <c r="E2265" s="1">
        <v>47133</v>
      </c>
      <c r="F2265" t="s">
        <v>1988</v>
      </c>
      <c r="G2265" t="s">
        <v>2671</v>
      </c>
      <c r="H2265" t="s">
        <v>2</v>
      </c>
      <c r="I2265" s="1">
        <v>46224</v>
      </c>
      <c r="J2265" t="s">
        <v>2146</v>
      </c>
      <c r="K2265" t="s">
        <v>2608</v>
      </c>
      <c r="L2265" s="1">
        <v>46224.917650462965</v>
      </c>
      <c r="M2265" s="1">
        <v>46224.91962439815</v>
      </c>
    </row>
    <row r="2266" spans="1:13" x14ac:dyDescent="0.35">
      <c r="A2266" t="s">
        <v>472</v>
      </c>
      <c r="B2266" t="s">
        <v>1986</v>
      </c>
      <c r="C2266" t="s">
        <v>2672</v>
      </c>
      <c r="D2266">
        <v>1.875</v>
      </c>
      <c r="E2266" s="1">
        <v>49689</v>
      </c>
      <c r="F2266" t="s">
        <v>2014</v>
      </c>
      <c r="G2266" t="s">
        <v>2672</v>
      </c>
      <c r="H2266" t="s">
        <v>2</v>
      </c>
      <c r="I2266" s="1">
        <v>46224</v>
      </c>
      <c r="J2266" t="s">
        <v>2146</v>
      </c>
      <c r="K2266" t="s">
        <v>3697</v>
      </c>
      <c r="L2266" s="1">
        <v>46224.917650462965</v>
      </c>
      <c r="M2266" s="1">
        <v>46224.91962439815</v>
      </c>
    </row>
    <row r="2267" spans="1:13" x14ac:dyDescent="0.35">
      <c r="A2267" t="s">
        <v>472</v>
      </c>
      <c r="B2267" t="s">
        <v>1986</v>
      </c>
      <c r="C2267" t="s">
        <v>2672</v>
      </c>
      <c r="D2267">
        <v>1.875</v>
      </c>
      <c r="E2267" s="1">
        <v>49689</v>
      </c>
      <c r="F2267" t="s">
        <v>2014</v>
      </c>
      <c r="G2267" t="s">
        <v>2672</v>
      </c>
      <c r="H2267" t="s">
        <v>2</v>
      </c>
      <c r="I2267" s="1">
        <v>46224</v>
      </c>
      <c r="J2267" t="s">
        <v>2065</v>
      </c>
      <c r="K2267" t="s">
        <v>3827</v>
      </c>
      <c r="L2267" s="1">
        <v>46224.917650462965</v>
      </c>
      <c r="M2267" s="1">
        <v>46224.91962439815</v>
      </c>
    </row>
    <row r="2268" spans="1:13" x14ac:dyDescent="0.35">
      <c r="A2268" t="s">
        <v>472</v>
      </c>
      <c r="B2268" t="s">
        <v>1986</v>
      </c>
      <c r="C2268" t="s">
        <v>2672</v>
      </c>
      <c r="D2268">
        <v>1.875</v>
      </c>
      <c r="E2268" s="1">
        <v>49689</v>
      </c>
      <c r="F2268" t="s">
        <v>2014</v>
      </c>
      <c r="G2268" t="s">
        <v>2672</v>
      </c>
      <c r="H2268" t="s">
        <v>2</v>
      </c>
      <c r="I2268" s="1">
        <v>46224</v>
      </c>
      <c r="J2268" t="s">
        <v>2064</v>
      </c>
      <c r="K2268" t="s">
        <v>3827</v>
      </c>
      <c r="L2268" s="1">
        <v>46224.917650462965</v>
      </c>
      <c r="M2268" s="1">
        <v>46224.91962439815</v>
      </c>
    </row>
    <row r="2269" spans="1:13" x14ac:dyDescent="0.35">
      <c r="A2269" t="s">
        <v>472</v>
      </c>
      <c r="B2269" t="s">
        <v>1986</v>
      </c>
      <c r="C2269" t="s">
        <v>2672</v>
      </c>
      <c r="D2269">
        <v>1.875</v>
      </c>
      <c r="E2269" s="1">
        <v>49689</v>
      </c>
      <c r="F2269" t="s">
        <v>2014</v>
      </c>
      <c r="G2269" t="s">
        <v>2672</v>
      </c>
      <c r="H2269" t="s">
        <v>2</v>
      </c>
      <c r="I2269" s="1">
        <v>46224</v>
      </c>
      <c r="J2269" t="s">
        <v>1991</v>
      </c>
      <c r="K2269" t="s">
        <v>2949</v>
      </c>
      <c r="L2269" s="1">
        <v>46224.918321759258</v>
      </c>
      <c r="M2269" s="1">
        <v>46224.91962439815</v>
      </c>
    </row>
    <row r="2270" spans="1:13" x14ac:dyDescent="0.35">
      <c r="A2270" t="s">
        <v>472</v>
      </c>
      <c r="B2270" t="s">
        <v>1986</v>
      </c>
      <c r="C2270" t="s">
        <v>2672</v>
      </c>
      <c r="D2270">
        <v>1.875</v>
      </c>
      <c r="E2270" s="1">
        <v>49689</v>
      </c>
      <c r="F2270" t="s">
        <v>2014</v>
      </c>
      <c r="G2270" t="s">
        <v>2672</v>
      </c>
      <c r="H2270" t="s">
        <v>2</v>
      </c>
      <c r="I2270" s="1">
        <v>46224</v>
      </c>
      <c r="J2270" t="s">
        <v>1989</v>
      </c>
      <c r="K2270" t="s">
        <v>3929</v>
      </c>
      <c r="L2270" s="1">
        <v>46224.918321759258</v>
      </c>
      <c r="M2270" s="1">
        <v>46224.91962439815</v>
      </c>
    </row>
    <row r="2271" spans="1:13" x14ac:dyDescent="0.35">
      <c r="A2271" t="s">
        <v>472</v>
      </c>
      <c r="B2271" t="s">
        <v>1986</v>
      </c>
      <c r="C2271" t="s">
        <v>2672</v>
      </c>
      <c r="D2271">
        <v>1.875</v>
      </c>
      <c r="E2271" s="1">
        <v>49689</v>
      </c>
      <c r="F2271" t="s">
        <v>2014</v>
      </c>
      <c r="G2271" t="s">
        <v>2672</v>
      </c>
      <c r="H2271" t="s">
        <v>2</v>
      </c>
      <c r="I2271" s="1">
        <v>46224</v>
      </c>
      <c r="J2271" t="s">
        <v>2108</v>
      </c>
      <c r="K2271" t="s">
        <v>3697</v>
      </c>
      <c r="L2271" s="1">
        <v>46224.917650462965</v>
      </c>
      <c r="M2271" s="1">
        <v>46224.91962439815</v>
      </c>
    </row>
    <row r="2272" spans="1:13" x14ac:dyDescent="0.35">
      <c r="A2272" t="s">
        <v>473</v>
      </c>
      <c r="B2272" t="s">
        <v>1986</v>
      </c>
      <c r="C2272" t="s">
        <v>2673</v>
      </c>
      <c r="D2272">
        <v>3.75</v>
      </c>
      <c r="E2272" s="1">
        <v>47879</v>
      </c>
      <c r="F2272" t="s">
        <v>1988</v>
      </c>
      <c r="G2272" t="s">
        <v>2673</v>
      </c>
      <c r="H2272" t="s">
        <v>2</v>
      </c>
      <c r="I2272" s="1">
        <v>46224</v>
      </c>
      <c r="J2272" t="s">
        <v>1991</v>
      </c>
      <c r="K2272" t="s">
        <v>2709</v>
      </c>
      <c r="L2272" s="1">
        <v>46224.918321759258</v>
      </c>
      <c r="M2272" s="1">
        <v>46224.91962439815</v>
      </c>
    </row>
    <row r="2273" spans="1:13" x14ac:dyDescent="0.35">
      <c r="A2273" t="s">
        <v>473</v>
      </c>
      <c r="B2273" t="s">
        <v>1986</v>
      </c>
      <c r="C2273" t="s">
        <v>2673</v>
      </c>
      <c r="D2273">
        <v>3.75</v>
      </c>
      <c r="E2273" s="1">
        <v>47879</v>
      </c>
      <c r="F2273" t="s">
        <v>1988</v>
      </c>
      <c r="G2273" t="s">
        <v>2673</v>
      </c>
      <c r="H2273" t="s">
        <v>2</v>
      </c>
      <c r="I2273" s="1">
        <v>46224</v>
      </c>
      <c r="J2273" t="s">
        <v>2065</v>
      </c>
      <c r="K2273" t="s">
        <v>2663</v>
      </c>
      <c r="L2273" s="1">
        <v>46224.917650462965</v>
      </c>
      <c r="M2273" s="1">
        <v>46224.91962439815</v>
      </c>
    </row>
    <row r="2274" spans="1:13" x14ac:dyDescent="0.35">
      <c r="A2274" t="s">
        <v>473</v>
      </c>
      <c r="B2274" t="s">
        <v>1986</v>
      </c>
      <c r="C2274" t="s">
        <v>2673</v>
      </c>
      <c r="D2274">
        <v>3.75</v>
      </c>
      <c r="E2274" s="1">
        <v>47879</v>
      </c>
      <c r="F2274" t="s">
        <v>1988</v>
      </c>
      <c r="G2274" t="s">
        <v>2673</v>
      </c>
      <c r="H2274" t="s">
        <v>2</v>
      </c>
      <c r="I2274" s="1">
        <v>46224</v>
      </c>
      <c r="J2274" t="s">
        <v>2064</v>
      </c>
      <c r="K2274" t="s">
        <v>2663</v>
      </c>
      <c r="L2274" s="1">
        <v>46224.917650462965</v>
      </c>
      <c r="M2274" s="1">
        <v>46224.91962439815</v>
      </c>
    </row>
    <row r="2275" spans="1:13" x14ac:dyDescent="0.35">
      <c r="A2275" t="s">
        <v>473</v>
      </c>
      <c r="B2275" t="s">
        <v>1986</v>
      </c>
      <c r="C2275" t="s">
        <v>2673</v>
      </c>
      <c r="D2275">
        <v>3.75</v>
      </c>
      <c r="E2275" s="1">
        <v>47879</v>
      </c>
      <c r="F2275" t="s">
        <v>1988</v>
      </c>
      <c r="G2275" t="s">
        <v>2673</v>
      </c>
      <c r="H2275" t="s">
        <v>2</v>
      </c>
      <c r="I2275" s="1">
        <v>46224</v>
      </c>
      <c r="J2275" t="s">
        <v>1989</v>
      </c>
      <c r="K2275" t="s">
        <v>3369</v>
      </c>
      <c r="L2275" s="1">
        <v>46224.918321759258</v>
      </c>
      <c r="M2275" s="1">
        <v>46224.91962439815</v>
      </c>
    </row>
    <row r="2276" spans="1:13" x14ac:dyDescent="0.35">
      <c r="A2276" t="s">
        <v>473</v>
      </c>
      <c r="B2276" t="s">
        <v>1986</v>
      </c>
      <c r="C2276" t="s">
        <v>2673</v>
      </c>
      <c r="D2276">
        <v>3.75</v>
      </c>
      <c r="E2276" s="1">
        <v>47879</v>
      </c>
      <c r="F2276" t="s">
        <v>1988</v>
      </c>
      <c r="G2276" t="s">
        <v>2673</v>
      </c>
      <c r="H2276" t="s">
        <v>2</v>
      </c>
      <c r="I2276" s="1">
        <v>46224</v>
      </c>
      <c r="J2276" t="s">
        <v>2146</v>
      </c>
      <c r="K2276" t="s">
        <v>2497</v>
      </c>
      <c r="L2276" s="1">
        <v>46224.917650462965</v>
      </c>
      <c r="M2276" s="1">
        <v>46224.91962439815</v>
      </c>
    </row>
    <row r="2277" spans="1:13" x14ac:dyDescent="0.35">
      <c r="A2277" t="s">
        <v>473</v>
      </c>
      <c r="B2277" t="s">
        <v>1986</v>
      </c>
      <c r="C2277" t="s">
        <v>2673</v>
      </c>
      <c r="D2277">
        <v>3.75</v>
      </c>
      <c r="E2277" s="1">
        <v>47879</v>
      </c>
      <c r="F2277" t="s">
        <v>1988</v>
      </c>
      <c r="G2277" t="s">
        <v>2673</v>
      </c>
      <c r="H2277" t="s">
        <v>2</v>
      </c>
      <c r="I2277" s="1">
        <v>46224</v>
      </c>
      <c r="J2277" t="s">
        <v>2108</v>
      </c>
      <c r="K2277" t="s">
        <v>2497</v>
      </c>
      <c r="L2277" s="1">
        <v>46224.917650462965</v>
      </c>
      <c r="M2277" s="1">
        <v>46224.91962439815</v>
      </c>
    </row>
    <row r="2278" spans="1:13" x14ac:dyDescent="0.35">
      <c r="A2278" t="s">
        <v>474</v>
      </c>
      <c r="B2278" t="s">
        <v>1986</v>
      </c>
      <c r="C2278" t="s">
        <v>2674</v>
      </c>
      <c r="D2278">
        <v>4</v>
      </c>
      <c r="E2278" s="1">
        <v>48610</v>
      </c>
      <c r="F2278" t="s">
        <v>1988</v>
      </c>
      <c r="G2278" t="s">
        <v>2674</v>
      </c>
      <c r="H2278" t="s">
        <v>2</v>
      </c>
      <c r="I2278" s="1">
        <v>46224</v>
      </c>
      <c r="J2278" t="s">
        <v>2064</v>
      </c>
      <c r="K2278" t="s">
        <v>3701</v>
      </c>
      <c r="L2278" s="1">
        <v>46224.917650462965</v>
      </c>
      <c r="M2278" s="1">
        <v>46224.91962439815</v>
      </c>
    </row>
    <row r="2279" spans="1:13" x14ac:dyDescent="0.35">
      <c r="A2279" t="s">
        <v>474</v>
      </c>
      <c r="B2279" t="s">
        <v>1986</v>
      </c>
      <c r="C2279" t="s">
        <v>2674</v>
      </c>
      <c r="D2279">
        <v>4</v>
      </c>
      <c r="E2279" s="1">
        <v>48610</v>
      </c>
      <c r="F2279" t="s">
        <v>1988</v>
      </c>
      <c r="G2279" t="s">
        <v>2674</v>
      </c>
      <c r="H2279" t="s">
        <v>2</v>
      </c>
      <c r="I2279" s="1">
        <v>46224</v>
      </c>
      <c r="J2279" t="s">
        <v>1991</v>
      </c>
      <c r="K2279" t="s">
        <v>3698</v>
      </c>
      <c r="L2279" s="1">
        <v>46224.918321759258</v>
      </c>
      <c r="M2279" s="1">
        <v>46224.91962439815</v>
      </c>
    </row>
    <row r="2280" spans="1:13" x14ac:dyDescent="0.35">
      <c r="A2280" t="s">
        <v>474</v>
      </c>
      <c r="B2280" t="s">
        <v>1986</v>
      </c>
      <c r="C2280" t="s">
        <v>2674</v>
      </c>
      <c r="D2280">
        <v>4</v>
      </c>
      <c r="E2280" s="1">
        <v>48610</v>
      </c>
      <c r="F2280" t="s">
        <v>1988</v>
      </c>
      <c r="G2280" t="s">
        <v>2674</v>
      </c>
      <c r="H2280" t="s">
        <v>2</v>
      </c>
      <c r="I2280" s="1">
        <v>46224</v>
      </c>
      <c r="J2280" t="s">
        <v>2108</v>
      </c>
      <c r="K2280" t="s">
        <v>3984</v>
      </c>
      <c r="L2280" s="1">
        <v>46224.917650462965</v>
      </c>
      <c r="M2280" s="1">
        <v>46224.91962439815</v>
      </c>
    </row>
    <row r="2281" spans="1:13" x14ac:dyDescent="0.35">
      <c r="A2281" t="s">
        <v>474</v>
      </c>
      <c r="B2281" t="s">
        <v>1986</v>
      </c>
      <c r="C2281" t="s">
        <v>2674</v>
      </c>
      <c r="D2281">
        <v>4</v>
      </c>
      <c r="E2281" s="1">
        <v>48610</v>
      </c>
      <c r="F2281" t="s">
        <v>1988</v>
      </c>
      <c r="G2281" t="s">
        <v>2674</v>
      </c>
      <c r="H2281" t="s">
        <v>2</v>
      </c>
      <c r="I2281" s="1">
        <v>46224</v>
      </c>
      <c r="J2281" t="s">
        <v>1989</v>
      </c>
      <c r="K2281" t="s">
        <v>4041</v>
      </c>
      <c r="L2281" s="1">
        <v>46224.918321759258</v>
      </c>
      <c r="M2281" s="1">
        <v>46224.91962439815</v>
      </c>
    </row>
    <row r="2282" spans="1:13" x14ac:dyDescent="0.35">
      <c r="A2282" t="s">
        <v>474</v>
      </c>
      <c r="B2282" t="s">
        <v>1986</v>
      </c>
      <c r="C2282" t="s">
        <v>2674</v>
      </c>
      <c r="D2282">
        <v>4</v>
      </c>
      <c r="E2282" s="1">
        <v>48610</v>
      </c>
      <c r="F2282" t="s">
        <v>1988</v>
      </c>
      <c r="G2282" t="s">
        <v>2674</v>
      </c>
      <c r="H2282" t="s">
        <v>2</v>
      </c>
      <c r="I2282" s="1">
        <v>46224</v>
      </c>
      <c r="J2282" t="s">
        <v>2146</v>
      </c>
      <c r="K2282" t="s">
        <v>3984</v>
      </c>
      <c r="L2282" s="1">
        <v>46224.917650462965</v>
      </c>
      <c r="M2282" s="1">
        <v>46224.91962439815</v>
      </c>
    </row>
    <row r="2283" spans="1:13" x14ac:dyDescent="0.35">
      <c r="A2283" t="s">
        <v>474</v>
      </c>
      <c r="B2283" t="s">
        <v>1986</v>
      </c>
      <c r="C2283" t="s">
        <v>2674</v>
      </c>
      <c r="D2283">
        <v>4</v>
      </c>
      <c r="E2283" s="1">
        <v>48610</v>
      </c>
      <c r="F2283" t="s">
        <v>1988</v>
      </c>
      <c r="G2283" t="s">
        <v>2674</v>
      </c>
      <c r="H2283" t="s">
        <v>2</v>
      </c>
      <c r="I2283" s="1">
        <v>46224</v>
      </c>
      <c r="J2283" t="s">
        <v>2065</v>
      </c>
      <c r="K2283" t="s">
        <v>3701</v>
      </c>
      <c r="L2283" s="1">
        <v>46224.917650462965</v>
      </c>
      <c r="M2283" s="1">
        <v>46224.91962439815</v>
      </c>
    </row>
    <row r="2284" spans="1:13" x14ac:dyDescent="0.35">
      <c r="A2284" t="s">
        <v>475</v>
      </c>
      <c r="B2284" t="s">
        <v>1986</v>
      </c>
      <c r="C2284" t="s">
        <v>2675</v>
      </c>
      <c r="D2284">
        <v>4.125</v>
      </c>
      <c r="E2284" s="1">
        <v>49720</v>
      </c>
      <c r="F2284" t="s">
        <v>1988</v>
      </c>
      <c r="G2284" t="s">
        <v>2675</v>
      </c>
      <c r="H2284" t="s">
        <v>2</v>
      </c>
      <c r="I2284" s="1">
        <v>46224</v>
      </c>
      <c r="J2284" t="s">
        <v>2064</v>
      </c>
      <c r="K2284" t="s">
        <v>3858</v>
      </c>
      <c r="L2284" s="1">
        <v>46224.917650462965</v>
      </c>
      <c r="M2284" s="1">
        <v>46224.91962439815</v>
      </c>
    </row>
    <row r="2285" spans="1:13" x14ac:dyDescent="0.35">
      <c r="A2285" t="s">
        <v>475</v>
      </c>
      <c r="B2285" t="s">
        <v>1986</v>
      </c>
      <c r="C2285" t="s">
        <v>2675</v>
      </c>
      <c r="D2285">
        <v>4.125</v>
      </c>
      <c r="E2285" s="1">
        <v>49720</v>
      </c>
      <c r="F2285" t="s">
        <v>1988</v>
      </c>
      <c r="G2285" t="s">
        <v>2675</v>
      </c>
      <c r="H2285" t="s">
        <v>2</v>
      </c>
      <c r="I2285" s="1">
        <v>46224</v>
      </c>
      <c r="J2285" t="s">
        <v>1989</v>
      </c>
      <c r="K2285" t="s">
        <v>3828</v>
      </c>
      <c r="L2285" s="1">
        <v>46224.918321759258</v>
      </c>
      <c r="M2285" s="1">
        <v>46224.91962439815</v>
      </c>
    </row>
    <row r="2286" spans="1:13" x14ac:dyDescent="0.35">
      <c r="A2286" t="s">
        <v>475</v>
      </c>
      <c r="B2286" t="s">
        <v>1986</v>
      </c>
      <c r="C2286" t="s">
        <v>2675</v>
      </c>
      <c r="D2286">
        <v>4.125</v>
      </c>
      <c r="E2286" s="1">
        <v>49720</v>
      </c>
      <c r="F2286" t="s">
        <v>1988</v>
      </c>
      <c r="G2286" t="s">
        <v>2675</v>
      </c>
      <c r="H2286" t="s">
        <v>2</v>
      </c>
      <c r="I2286" s="1">
        <v>46224</v>
      </c>
      <c r="J2286" t="s">
        <v>1991</v>
      </c>
      <c r="K2286" t="s">
        <v>3829</v>
      </c>
      <c r="L2286" s="1">
        <v>46224.918321759258</v>
      </c>
      <c r="M2286" s="1">
        <v>46224.91962439815</v>
      </c>
    </row>
    <row r="2287" spans="1:13" x14ac:dyDescent="0.35">
      <c r="A2287" t="s">
        <v>475</v>
      </c>
      <c r="B2287" t="s">
        <v>1986</v>
      </c>
      <c r="C2287" t="s">
        <v>2675</v>
      </c>
      <c r="D2287">
        <v>4.125</v>
      </c>
      <c r="E2287" s="1">
        <v>49720</v>
      </c>
      <c r="F2287" t="s">
        <v>1988</v>
      </c>
      <c r="G2287" t="s">
        <v>2675</v>
      </c>
      <c r="H2287" t="s">
        <v>2</v>
      </c>
      <c r="I2287" s="1">
        <v>46224</v>
      </c>
      <c r="J2287" t="s">
        <v>2146</v>
      </c>
      <c r="K2287" t="s">
        <v>3830</v>
      </c>
      <c r="L2287" s="1">
        <v>46224.917650462965</v>
      </c>
      <c r="M2287" s="1">
        <v>46224.91962439815</v>
      </c>
    </row>
    <row r="2288" spans="1:13" x14ac:dyDescent="0.35">
      <c r="A2288" t="s">
        <v>475</v>
      </c>
      <c r="B2288" t="s">
        <v>1986</v>
      </c>
      <c r="C2288" t="s">
        <v>2675</v>
      </c>
      <c r="D2288">
        <v>4.125</v>
      </c>
      <c r="E2288" s="1">
        <v>49720</v>
      </c>
      <c r="F2288" t="s">
        <v>1988</v>
      </c>
      <c r="G2288" t="s">
        <v>2675</v>
      </c>
      <c r="H2288" t="s">
        <v>2</v>
      </c>
      <c r="I2288" s="1">
        <v>46224</v>
      </c>
      <c r="J2288" t="s">
        <v>2065</v>
      </c>
      <c r="K2288" t="s">
        <v>3858</v>
      </c>
      <c r="L2288" s="1">
        <v>46224.917650462965</v>
      </c>
      <c r="M2288" s="1">
        <v>46224.91962439815</v>
      </c>
    </row>
    <row r="2289" spans="1:13" x14ac:dyDescent="0.35">
      <c r="A2289" t="s">
        <v>475</v>
      </c>
      <c r="B2289" t="s">
        <v>1986</v>
      </c>
      <c r="C2289" t="s">
        <v>2675</v>
      </c>
      <c r="D2289">
        <v>4.125</v>
      </c>
      <c r="E2289" s="1">
        <v>49720</v>
      </c>
      <c r="F2289" t="s">
        <v>1988</v>
      </c>
      <c r="G2289" t="s">
        <v>2675</v>
      </c>
      <c r="H2289" t="s">
        <v>2</v>
      </c>
      <c r="I2289" s="1">
        <v>46224</v>
      </c>
      <c r="J2289" t="s">
        <v>2108</v>
      </c>
      <c r="K2289" t="s">
        <v>3830</v>
      </c>
      <c r="L2289" s="1">
        <v>46224.917650462965</v>
      </c>
      <c r="M2289" s="1">
        <v>46224.91962439815</v>
      </c>
    </row>
    <row r="2290" spans="1:13" x14ac:dyDescent="0.35">
      <c r="A2290" t="s">
        <v>481</v>
      </c>
      <c r="B2290" t="s">
        <v>1986</v>
      </c>
      <c r="C2290" t="s">
        <v>2676</v>
      </c>
      <c r="D2290">
        <v>3.5</v>
      </c>
      <c r="E2290" s="1">
        <v>47164</v>
      </c>
      <c r="F2290" t="s">
        <v>1988</v>
      </c>
      <c r="G2290" t="s">
        <v>2676</v>
      </c>
      <c r="H2290" t="s">
        <v>2</v>
      </c>
      <c r="I2290" s="1">
        <v>46224</v>
      </c>
      <c r="J2290" t="s">
        <v>1991</v>
      </c>
      <c r="K2290" t="s">
        <v>3699</v>
      </c>
      <c r="L2290" s="1">
        <v>46224.918321759258</v>
      </c>
      <c r="M2290" s="1">
        <v>46224.91962439815</v>
      </c>
    </row>
    <row r="2291" spans="1:13" x14ac:dyDescent="0.35">
      <c r="A2291" t="s">
        <v>481</v>
      </c>
      <c r="B2291" t="s">
        <v>1986</v>
      </c>
      <c r="C2291" t="s">
        <v>2676</v>
      </c>
      <c r="D2291">
        <v>3.5</v>
      </c>
      <c r="E2291" s="1">
        <v>47164</v>
      </c>
      <c r="F2291" t="s">
        <v>1988</v>
      </c>
      <c r="G2291" t="s">
        <v>2676</v>
      </c>
      <c r="H2291" t="s">
        <v>2</v>
      </c>
      <c r="I2291" s="1">
        <v>46224</v>
      </c>
      <c r="J2291" t="s">
        <v>2108</v>
      </c>
      <c r="K2291" t="s">
        <v>2608</v>
      </c>
      <c r="L2291" s="1">
        <v>46224.917650462965</v>
      </c>
      <c r="M2291" s="1">
        <v>46224.91962439815</v>
      </c>
    </row>
    <row r="2292" spans="1:13" x14ac:dyDescent="0.35">
      <c r="A2292" t="s">
        <v>481</v>
      </c>
      <c r="B2292" t="s">
        <v>1986</v>
      </c>
      <c r="C2292" t="s">
        <v>2676</v>
      </c>
      <c r="D2292">
        <v>3.5</v>
      </c>
      <c r="E2292" s="1">
        <v>47164</v>
      </c>
      <c r="F2292" t="s">
        <v>1988</v>
      </c>
      <c r="G2292" t="s">
        <v>2676</v>
      </c>
      <c r="H2292" t="s">
        <v>2</v>
      </c>
      <c r="I2292" s="1">
        <v>46224</v>
      </c>
      <c r="J2292" t="s">
        <v>2064</v>
      </c>
      <c r="K2292" t="s">
        <v>2935</v>
      </c>
      <c r="L2292" s="1">
        <v>46224.917650462965</v>
      </c>
      <c r="M2292" s="1">
        <v>46224.91962439815</v>
      </c>
    </row>
    <row r="2293" spans="1:13" x14ac:dyDescent="0.35">
      <c r="A2293" t="s">
        <v>481</v>
      </c>
      <c r="B2293" t="s">
        <v>1986</v>
      </c>
      <c r="C2293" t="s">
        <v>2676</v>
      </c>
      <c r="D2293">
        <v>3.5</v>
      </c>
      <c r="E2293" s="1">
        <v>47164</v>
      </c>
      <c r="F2293" t="s">
        <v>1988</v>
      </c>
      <c r="G2293" t="s">
        <v>2676</v>
      </c>
      <c r="H2293" t="s">
        <v>2</v>
      </c>
      <c r="I2293" s="1">
        <v>46224</v>
      </c>
      <c r="J2293" t="s">
        <v>2146</v>
      </c>
      <c r="K2293" t="s">
        <v>2608</v>
      </c>
      <c r="L2293" s="1">
        <v>46224.917650462965</v>
      </c>
      <c r="M2293" s="1">
        <v>46224.91962439815</v>
      </c>
    </row>
    <row r="2294" spans="1:13" x14ac:dyDescent="0.35">
      <c r="A2294" t="s">
        <v>481</v>
      </c>
      <c r="B2294" t="s">
        <v>1986</v>
      </c>
      <c r="C2294" t="s">
        <v>2676</v>
      </c>
      <c r="D2294">
        <v>3.5</v>
      </c>
      <c r="E2294" s="1">
        <v>47164</v>
      </c>
      <c r="F2294" t="s">
        <v>1988</v>
      </c>
      <c r="G2294" t="s">
        <v>2676</v>
      </c>
      <c r="H2294" t="s">
        <v>2</v>
      </c>
      <c r="I2294" s="1">
        <v>46224</v>
      </c>
      <c r="J2294" t="s">
        <v>2065</v>
      </c>
      <c r="K2294" t="s">
        <v>2935</v>
      </c>
      <c r="L2294" s="1">
        <v>46224.917650462965</v>
      </c>
      <c r="M2294" s="1">
        <v>46224.91962439815</v>
      </c>
    </row>
    <row r="2295" spans="1:13" x14ac:dyDescent="0.35">
      <c r="A2295" t="s">
        <v>481</v>
      </c>
      <c r="B2295" t="s">
        <v>1986</v>
      </c>
      <c r="C2295" t="s">
        <v>2676</v>
      </c>
      <c r="D2295">
        <v>3.5</v>
      </c>
      <c r="E2295" s="1">
        <v>47164</v>
      </c>
      <c r="F2295" t="s">
        <v>1988</v>
      </c>
      <c r="G2295" t="s">
        <v>2676</v>
      </c>
      <c r="H2295" t="s">
        <v>2</v>
      </c>
      <c r="I2295" s="1">
        <v>46224</v>
      </c>
      <c r="J2295" t="s">
        <v>1989</v>
      </c>
      <c r="K2295" t="s">
        <v>4042</v>
      </c>
      <c r="L2295" s="1">
        <v>46224.918321759258</v>
      </c>
      <c r="M2295" s="1">
        <v>46224.91962439815</v>
      </c>
    </row>
    <row r="2296" spans="1:13" x14ac:dyDescent="0.35">
      <c r="A2296" t="s">
        <v>476</v>
      </c>
      <c r="B2296" t="s">
        <v>1986</v>
      </c>
      <c r="C2296" t="s">
        <v>2714</v>
      </c>
      <c r="D2296">
        <v>3.375</v>
      </c>
      <c r="E2296" s="1">
        <v>46812</v>
      </c>
      <c r="F2296" t="s">
        <v>1988</v>
      </c>
      <c r="G2296" t="s">
        <v>2714</v>
      </c>
      <c r="H2296" t="s">
        <v>2</v>
      </c>
      <c r="I2296" s="1">
        <v>46224</v>
      </c>
      <c r="J2296" t="s">
        <v>2108</v>
      </c>
      <c r="K2296" t="s">
        <v>3700</v>
      </c>
      <c r="L2296" s="1">
        <v>46224.917650462965</v>
      </c>
      <c r="M2296" s="1">
        <v>46224.91962439815</v>
      </c>
    </row>
    <row r="2297" spans="1:13" x14ac:dyDescent="0.35">
      <c r="A2297" t="s">
        <v>476</v>
      </c>
      <c r="B2297" t="s">
        <v>1986</v>
      </c>
      <c r="C2297" t="s">
        <v>2714</v>
      </c>
      <c r="D2297">
        <v>3.375</v>
      </c>
      <c r="E2297" s="1">
        <v>46812</v>
      </c>
      <c r="F2297" t="s">
        <v>1988</v>
      </c>
      <c r="G2297" t="s">
        <v>2714</v>
      </c>
      <c r="H2297" t="s">
        <v>2</v>
      </c>
      <c r="I2297" s="1">
        <v>46224</v>
      </c>
      <c r="J2297" t="s">
        <v>2146</v>
      </c>
      <c r="K2297" t="s">
        <v>3700</v>
      </c>
      <c r="L2297" s="1">
        <v>46224.917650462965</v>
      </c>
      <c r="M2297" s="1">
        <v>46224.91962439815</v>
      </c>
    </row>
    <row r="2298" spans="1:13" x14ac:dyDescent="0.35">
      <c r="A2298" t="s">
        <v>476</v>
      </c>
      <c r="B2298" t="s">
        <v>1986</v>
      </c>
      <c r="C2298" t="s">
        <v>2714</v>
      </c>
      <c r="D2298">
        <v>3.375</v>
      </c>
      <c r="E2298" s="1">
        <v>46812</v>
      </c>
      <c r="F2298" t="s">
        <v>1988</v>
      </c>
      <c r="G2298" t="s">
        <v>2714</v>
      </c>
      <c r="H2298" t="s">
        <v>2</v>
      </c>
      <c r="I2298" s="1">
        <v>46224</v>
      </c>
      <c r="J2298" t="s">
        <v>2065</v>
      </c>
      <c r="K2298" t="s">
        <v>3344</v>
      </c>
      <c r="L2298" s="1">
        <v>46224.917650462965</v>
      </c>
      <c r="M2298" s="1">
        <v>46224.91962439815</v>
      </c>
    </row>
    <row r="2299" spans="1:13" x14ac:dyDescent="0.35">
      <c r="A2299" t="s">
        <v>476</v>
      </c>
      <c r="B2299" t="s">
        <v>1986</v>
      </c>
      <c r="C2299" t="s">
        <v>2714</v>
      </c>
      <c r="D2299">
        <v>3.375</v>
      </c>
      <c r="E2299" s="1">
        <v>46812</v>
      </c>
      <c r="F2299" t="s">
        <v>1988</v>
      </c>
      <c r="G2299" t="s">
        <v>2714</v>
      </c>
      <c r="H2299" t="s">
        <v>2</v>
      </c>
      <c r="I2299" s="1">
        <v>46224</v>
      </c>
      <c r="J2299" t="s">
        <v>1991</v>
      </c>
      <c r="K2299" t="s">
        <v>3940</v>
      </c>
      <c r="L2299" s="1">
        <v>46224.918321759258</v>
      </c>
      <c r="M2299" s="1">
        <v>46224.91962439815</v>
      </c>
    </row>
    <row r="2300" spans="1:13" x14ac:dyDescent="0.35">
      <c r="A2300" t="s">
        <v>476</v>
      </c>
      <c r="B2300" t="s">
        <v>1986</v>
      </c>
      <c r="C2300" t="s">
        <v>2714</v>
      </c>
      <c r="D2300">
        <v>3.375</v>
      </c>
      <c r="E2300" s="1">
        <v>46812</v>
      </c>
      <c r="F2300" t="s">
        <v>1988</v>
      </c>
      <c r="G2300" t="s">
        <v>2714</v>
      </c>
      <c r="H2300" t="s">
        <v>2</v>
      </c>
      <c r="I2300" s="1">
        <v>46224</v>
      </c>
      <c r="J2300" t="s">
        <v>1989</v>
      </c>
      <c r="K2300" t="s">
        <v>2062</v>
      </c>
      <c r="L2300" s="1">
        <v>46224.918321759258</v>
      </c>
      <c r="M2300" s="1">
        <v>46224.91962439815</v>
      </c>
    </row>
    <row r="2301" spans="1:13" x14ac:dyDescent="0.35">
      <c r="A2301" t="s">
        <v>476</v>
      </c>
      <c r="B2301" t="s">
        <v>1986</v>
      </c>
      <c r="C2301" t="s">
        <v>2714</v>
      </c>
      <c r="D2301">
        <v>3.375</v>
      </c>
      <c r="E2301" s="1">
        <v>46812</v>
      </c>
      <c r="F2301" t="s">
        <v>1988</v>
      </c>
      <c r="G2301" t="s">
        <v>2714</v>
      </c>
      <c r="H2301" t="s">
        <v>2</v>
      </c>
      <c r="I2301" s="1">
        <v>46224</v>
      </c>
      <c r="J2301" t="s">
        <v>2064</v>
      </c>
      <c r="K2301" t="s">
        <v>3344</v>
      </c>
      <c r="L2301" s="1">
        <v>46224.917650462965</v>
      </c>
      <c r="M2301" s="1">
        <v>46224.91962439815</v>
      </c>
    </row>
    <row r="2302" spans="1:13" x14ac:dyDescent="0.35">
      <c r="A2302" t="s">
        <v>511</v>
      </c>
      <c r="B2302" t="s">
        <v>1986</v>
      </c>
      <c r="C2302" t="s">
        <v>2677</v>
      </c>
      <c r="D2302">
        <v>3.75</v>
      </c>
      <c r="E2302" s="1">
        <v>48638</v>
      </c>
      <c r="F2302" t="s">
        <v>1988</v>
      </c>
      <c r="G2302" t="s">
        <v>2677</v>
      </c>
      <c r="H2302" t="s">
        <v>2</v>
      </c>
      <c r="I2302" s="1">
        <v>46224</v>
      </c>
      <c r="J2302" t="s">
        <v>2064</v>
      </c>
      <c r="K2302" t="s">
        <v>3701</v>
      </c>
      <c r="L2302" s="1">
        <v>46224.917650462965</v>
      </c>
      <c r="M2302" s="1">
        <v>46224.91962439815</v>
      </c>
    </row>
    <row r="2303" spans="1:13" x14ac:dyDescent="0.35">
      <c r="A2303" t="s">
        <v>511</v>
      </c>
      <c r="B2303" t="s">
        <v>1986</v>
      </c>
      <c r="C2303" t="s">
        <v>2677</v>
      </c>
      <c r="D2303">
        <v>3.75</v>
      </c>
      <c r="E2303" s="1">
        <v>48638</v>
      </c>
      <c r="F2303" t="s">
        <v>1988</v>
      </c>
      <c r="G2303" t="s">
        <v>2677</v>
      </c>
      <c r="H2303" t="s">
        <v>2</v>
      </c>
      <c r="I2303" s="1">
        <v>46224</v>
      </c>
      <c r="J2303" t="s">
        <v>2065</v>
      </c>
      <c r="K2303" t="s">
        <v>3701</v>
      </c>
      <c r="L2303" s="1">
        <v>46224.917650462965</v>
      </c>
      <c r="M2303" s="1">
        <v>46224.91962439815</v>
      </c>
    </row>
    <row r="2304" spans="1:13" x14ac:dyDescent="0.35">
      <c r="A2304" t="s">
        <v>511</v>
      </c>
      <c r="B2304" t="s">
        <v>1986</v>
      </c>
      <c r="C2304" t="s">
        <v>2677</v>
      </c>
      <c r="D2304">
        <v>3.75</v>
      </c>
      <c r="E2304" s="1">
        <v>48638</v>
      </c>
      <c r="F2304" t="s">
        <v>1988</v>
      </c>
      <c r="G2304" t="s">
        <v>2677</v>
      </c>
      <c r="H2304" t="s">
        <v>2</v>
      </c>
      <c r="I2304" s="1">
        <v>46224</v>
      </c>
      <c r="J2304" t="s">
        <v>1991</v>
      </c>
      <c r="K2304" t="s">
        <v>3941</v>
      </c>
      <c r="L2304" s="1">
        <v>46224.918321759258</v>
      </c>
      <c r="M2304" s="1">
        <v>46224.91962439815</v>
      </c>
    </row>
    <row r="2305" spans="1:13" x14ac:dyDescent="0.35">
      <c r="A2305" t="s">
        <v>511</v>
      </c>
      <c r="B2305" t="s">
        <v>1986</v>
      </c>
      <c r="C2305" t="s">
        <v>2677</v>
      </c>
      <c r="D2305">
        <v>3.75</v>
      </c>
      <c r="E2305" s="1">
        <v>48638</v>
      </c>
      <c r="F2305" t="s">
        <v>1988</v>
      </c>
      <c r="G2305" t="s">
        <v>2677</v>
      </c>
      <c r="H2305" t="s">
        <v>2</v>
      </c>
      <c r="I2305" s="1">
        <v>46224</v>
      </c>
      <c r="J2305" t="s">
        <v>1989</v>
      </c>
      <c r="K2305" t="s">
        <v>4149</v>
      </c>
      <c r="L2305" s="1">
        <v>46224.918321759258</v>
      </c>
      <c r="M2305" s="1">
        <v>46224.91962439815</v>
      </c>
    </row>
    <row r="2306" spans="1:13" x14ac:dyDescent="0.35">
      <c r="A2306" t="s">
        <v>511</v>
      </c>
      <c r="B2306" t="s">
        <v>1986</v>
      </c>
      <c r="C2306" t="s">
        <v>2677</v>
      </c>
      <c r="D2306">
        <v>3.75</v>
      </c>
      <c r="E2306" s="1">
        <v>48638</v>
      </c>
      <c r="F2306" t="s">
        <v>1988</v>
      </c>
      <c r="G2306" t="s">
        <v>2677</v>
      </c>
      <c r="H2306" t="s">
        <v>2</v>
      </c>
      <c r="I2306" s="1">
        <v>46224</v>
      </c>
      <c r="J2306" t="s">
        <v>2146</v>
      </c>
      <c r="K2306" t="s">
        <v>2558</v>
      </c>
      <c r="L2306" s="1">
        <v>46224.917650462965</v>
      </c>
      <c r="M2306" s="1">
        <v>46224.91962439815</v>
      </c>
    </row>
    <row r="2307" spans="1:13" x14ac:dyDescent="0.35">
      <c r="A2307" t="s">
        <v>511</v>
      </c>
      <c r="B2307" t="s">
        <v>1986</v>
      </c>
      <c r="C2307" t="s">
        <v>2677</v>
      </c>
      <c r="D2307">
        <v>3.75</v>
      </c>
      <c r="E2307" s="1">
        <v>48638</v>
      </c>
      <c r="F2307" t="s">
        <v>1988</v>
      </c>
      <c r="G2307" t="s">
        <v>2677</v>
      </c>
      <c r="H2307" t="s">
        <v>2</v>
      </c>
      <c r="I2307" s="1">
        <v>46224</v>
      </c>
      <c r="J2307" t="s">
        <v>2108</v>
      </c>
      <c r="K2307" t="s">
        <v>2558</v>
      </c>
      <c r="L2307" s="1">
        <v>46224.917650462965</v>
      </c>
      <c r="M2307" s="1">
        <v>46224.91962439815</v>
      </c>
    </row>
    <row r="2308" spans="1:13" x14ac:dyDescent="0.35">
      <c r="A2308" t="s">
        <v>477</v>
      </c>
      <c r="B2308" t="s">
        <v>1986</v>
      </c>
      <c r="C2308" t="s">
        <v>2678</v>
      </c>
      <c r="D2308">
        <v>3.5</v>
      </c>
      <c r="E2308" s="1">
        <v>47907</v>
      </c>
      <c r="F2308" t="s">
        <v>1988</v>
      </c>
      <c r="G2308" t="s">
        <v>2678</v>
      </c>
      <c r="H2308" t="s">
        <v>2</v>
      </c>
      <c r="I2308" s="1">
        <v>46224</v>
      </c>
      <c r="J2308" t="s">
        <v>2065</v>
      </c>
      <c r="K2308" t="s">
        <v>2597</v>
      </c>
      <c r="L2308" s="1">
        <v>46224.917650462965</v>
      </c>
      <c r="M2308" s="1">
        <v>46224.91962439815</v>
      </c>
    </row>
    <row r="2309" spans="1:13" x14ac:dyDescent="0.35">
      <c r="A2309" t="s">
        <v>477</v>
      </c>
      <c r="B2309" t="s">
        <v>1986</v>
      </c>
      <c r="C2309" t="s">
        <v>2678</v>
      </c>
      <c r="D2309">
        <v>3.5</v>
      </c>
      <c r="E2309" s="1">
        <v>47907</v>
      </c>
      <c r="F2309" t="s">
        <v>1988</v>
      </c>
      <c r="G2309" t="s">
        <v>2678</v>
      </c>
      <c r="H2309" t="s">
        <v>2</v>
      </c>
      <c r="I2309" s="1">
        <v>46224</v>
      </c>
      <c r="J2309" t="s">
        <v>2108</v>
      </c>
      <c r="K2309" t="s">
        <v>2650</v>
      </c>
      <c r="L2309" s="1">
        <v>46224.917650462965</v>
      </c>
      <c r="M2309" s="1">
        <v>46224.91962439815</v>
      </c>
    </row>
    <row r="2310" spans="1:13" x14ac:dyDescent="0.35">
      <c r="A2310" t="s">
        <v>477</v>
      </c>
      <c r="B2310" t="s">
        <v>1986</v>
      </c>
      <c r="C2310" t="s">
        <v>2678</v>
      </c>
      <c r="D2310">
        <v>3.5</v>
      </c>
      <c r="E2310" s="1">
        <v>47907</v>
      </c>
      <c r="F2310" t="s">
        <v>1988</v>
      </c>
      <c r="G2310" t="s">
        <v>2678</v>
      </c>
      <c r="H2310" t="s">
        <v>2</v>
      </c>
      <c r="I2310" s="1">
        <v>46224</v>
      </c>
      <c r="J2310" t="s">
        <v>2146</v>
      </c>
      <c r="K2310" t="s">
        <v>2650</v>
      </c>
      <c r="L2310" s="1">
        <v>46224.917650462965</v>
      </c>
      <c r="M2310" s="1">
        <v>46224.91962439815</v>
      </c>
    </row>
    <row r="2311" spans="1:13" x14ac:dyDescent="0.35">
      <c r="A2311" t="s">
        <v>477</v>
      </c>
      <c r="B2311" t="s">
        <v>1986</v>
      </c>
      <c r="C2311" t="s">
        <v>2678</v>
      </c>
      <c r="D2311">
        <v>3.5</v>
      </c>
      <c r="E2311" s="1">
        <v>47907</v>
      </c>
      <c r="F2311" t="s">
        <v>1988</v>
      </c>
      <c r="G2311" t="s">
        <v>2678</v>
      </c>
      <c r="H2311" t="s">
        <v>2</v>
      </c>
      <c r="I2311" s="1">
        <v>46224</v>
      </c>
      <c r="J2311" t="s">
        <v>1989</v>
      </c>
      <c r="K2311" t="s">
        <v>2415</v>
      </c>
      <c r="L2311" s="1">
        <v>46224.918321759258</v>
      </c>
      <c r="M2311" s="1">
        <v>46224.91962439815</v>
      </c>
    </row>
    <row r="2312" spans="1:13" x14ac:dyDescent="0.35">
      <c r="A2312" t="s">
        <v>477</v>
      </c>
      <c r="B2312" t="s">
        <v>1986</v>
      </c>
      <c r="C2312" t="s">
        <v>2678</v>
      </c>
      <c r="D2312">
        <v>3.5</v>
      </c>
      <c r="E2312" s="1">
        <v>47907</v>
      </c>
      <c r="F2312" t="s">
        <v>1988</v>
      </c>
      <c r="G2312" t="s">
        <v>2678</v>
      </c>
      <c r="H2312" t="s">
        <v>2</v>
      </c>
      <c r="I2312" s="1">
        <v>46224</v>
      </c>
      <c r="J2312" t="s">
        <v>1991</v>
      </c>
      <c r="K2312" t="s">
        <v>4043</v>
      </c>
      <c r="L2312" s="1">
        <v>46224.918321759258</v>
      </c>
      <c r="M2312" s="1">
        <v>46224.91962439815</v>
      </c>
    </row>
    <row r="2313" spans="1:13" x14ac:dyDescent="0.35">
      <c r="A2313" t="s">
        <v>477</v>
      </c>
      <c r="B2313" t="s">
        <v>1986</v>
      </c>
      <c r="C2313" t="s">
        <v>2678</v>
      </c>
      <c r="D2313">
        <v>3.5</v>
      </c>
      <c r="E2313" s="1">
        <v>47907</v>
      </c>
      <c r="F2313" t="s">
        <v>1988</v>
      </c>
      <c r="G2313" t="s">
        <v>2678</v>
      </c>
      <c r="H2313" t="s">
        <v>2</v>
      </c>
      <c r="I2313" s="1">
        <v>46224</v>
      </c>
      <c r="J2313" t="s">
        <v>2064</v>
      </c>
      <c r="K2313" t="s">
        <v>2597</v>
      </c>
      <c r="L2313" s="1">
        <v>46224.917650462965</v>
      </c>
      <c r="M2313" s="1">
        <v>46224.91962439815</v>
      </c>
    </row>
    <row r="2314" spans="1:13" x14ac:dyDescent="0.35">
      <c r="A2314" t="s">
        <v>512</v>
      </c>
      <c r="B2314" t="s">
        <v>1986</v>
      </c>
      <c r="C2314" t="s">
        <v>2719</v>
      </c>
      <c r="D2314">
        <v>3.5</v>
      </c>
      <c r="E2314" s="1">
        <v>47192</v>
      </c>
      <c r="F2314" t="s">
        <v>1988</v>
      </c>
      <c r="G2314" t="s">
        <v>2719</v>
      </c>
      <c r="H2314" t="s">
        <v>2</v>
      </c>
      <c r="I2314" s="1">
        <v>46224</v>
      </c>
      <c r="J2314" t="s">
        <v>2065</v>
      </c>
      <c r="K2314" t="s">
        <v>2925</v>
      </c>
      <c r="L2314" s="1">
        <v>46224.917650462965</v>
      </c>
      <c r="M2314" s="1">
        <v>46224.91962439815</v>
      </c>
    </row>
    <row r="2315" spans="1:13" x14ac:dyDescent="0.35">
      <c r="A2315" t="s">
        <v>512</v>
      </c>
      <c r="B2315" t="s">
        <v>1986</v>
      </c>
      <c r="C2315" t="s">
        <v>2719</v>
      </c>
      <c r="D2315">
        <v>3.5</v>
      </c>
      <c r="E2315" s="1">
        <v>47192</v>
      </c>
      <c r="F2315" t="s">
        <v>1988</v>
      </c>
      <c r="G2315" t="s">
        <v>2719</v>
      </c>
      <c r="H2315" t="s">
        <v>2</v>
      </c>
      <c r="I2315" s="1">
        <v>46224</v>
      </c>
      <c r="J2315" t="s">
        <v>1989</v>
      </c>
      <c r="K2315" t="s">
        <v>2521</v>
      </c>
      <c r="L2315" s="1">
        <v>46224.918321759258</v>
      </c>
      <c r="M2315" s="1">
        <v>46224.91962439815</v>
      </c>
    </row>
    <row r="2316" spans="1:13" x14ac:dyDescent="0.35">
      <c r="A2316" t="s">
        <v>512</v>
      </c>
      <c r="B2316" t="s">
        <v>1986</v>
      </c>
      <c r="C2316" t="s">
        <v>2719</v>
      </c>
      <c r="D2316">
        <v>3.5</v>
      </c>
      <c r="E2316" s="1">
        <v>47192</v>
      </c>
      <c r="F2316" t="s">
        <v>1988</v>
      </c>
      <c r="G2316" t="s">
        <v>2719</v>
      </c>
      <c r="H2316" t="s">
        <v>2</v>
      </c>
      <c r="I2316" s="1">
        <v>46224</v>
      </c>
      <c r="J2316" t="s">
        <v>2146</v>
      </c>
      <c r="K2316" t="s">
        <v>2452</v>
      </c>
      <c r="L2316" s="1">
        <v>46224.917650462965</v>
      </c>
      <c r="M2316" s="1">
        <v>46224.91962439815</v>
      </c>
    </row>
    <row r="2317" spans="1:13" x14ac:dyDescent="0.35">
      <c r="A2317" t="s">
        <v>512</v>
      </c>
      <c r="B2317" t="s">
        <v>1986</v>
      </c>
      <c r="C2317" t="s">
        <v>2719</v>
      </c>
      <c r="D2317">
        <v>3.5</v>
      </c>
      <c r="E2317" s="1">
        <v>47192</v>
      </c>
      <c r="F2317" t="s">
        <v>1988</v>
      </c>
      <c r="G2317" t="s">
        <v>2719</v>
      </c>
      <c r="H2317" t="s">
        <v>2</v>
      </c>
      <c r="I2317" s="1">
        <v>46224</v>
      </c>
      <c r="J2317" t="s">
        <v>2064</v>
      </c>
      <c r="K2317" t="s">
        <v>2925</v>
      </c>
      <c r="L2317" s="1">
        <v>46224.917650462965</v>
      </c>
      <c r="M2317" s="1">
        <v>46224.91962439815</v>
      </c>
    </row>
    <row r="2318" spans="1:13" x14ac:dyDescent="0.35">
      <c r="A2318" t="s">
        <v>512</v>
      </c>
      <c r="B2318" t="s">
        <v>1986</v>
      </c>
      <c r="C2318" t="s">
        <v>2719</v>
      </c>
      <c r="D2318">
        <v>3.5</v>
      </c>
      <c r="E2318" s="1">
        <v>47192</v>
      </c>
      <c r="F2318" t="s">
        <v>1988</v>
      </c>
      <c r="G2318" t="s">
        <v>2719</v>
      </c>
      <c r="H2318" t="s">
        <v>2</v>
      </c>
      <c r="I2318" s="1">
        <v>46224</v>
      </c>
      <c r="J2318" t="s">
        <v>1991</v>
      </c>
      <c r="K2318" t="s">
        <v>3711</v>
      </c>
      <c r="L2318" s="1">
        <v>46224.918321759258</v>
      </c>
      <c r="M2318" s="1">
        <v>46224.91962439815</v>
      </c>
    </row>
    <row r="2319" spans="1:13" x14ac:dyDescent="0.35">
      <c r="A2319" t="s">
        <v>512</v>
      </c>
      <c r="B2319" t="s">
        <v>1986</v>
      </c>
      <c r="C2319" t="s">
        <v>2719</v>
      </c>
      <c r="D2319">
        <v>3.5</v>
      </c>
      <c r="E2319" s="1">
        <v>47192</v>
      </c>
      <c r="F2319" t="s">
        <v>1988</v>
      </c>
      <c r="G2319" t="s">
        <v>2719</v>
      </c>
      <c r="H2319" t="s">
        <v>2</v>
      </c>
      <c r="I2319" s="1">
        <v>46224</v>
      </c>
      <c r="J2319" t="s">
        <v>2108</v>
      </c>
      <c r="K2319" t="s">
        <v>2452</v>
      </c>
      <c r="L2319" s="1">
        <v>46224.917650462965</v>
      </c>
      <c r="M2319" s="1">
        <v>46224.91962439815</v>
      </c>
    </row>
    <row r="2320" spans="1:13" x14ac:dyDescent="0.35">
      <c r="A2320" t="s">
        <v>478</v>
      </c>
      <c r="B2320" t="s">
        <v>1986</v>
      </c>
      <c r="C2320" t="s">
        <v>2720</v>
      </c>
      <c r="D2320">
        <v>4.25</v>
      </c>
      <c r="E2320" s="1">
        <v>48669</v>
      </c>
      <c r="F2320" t="s">
        <v>1988</v>
      </c>
      <c r="G2320" t="s">
        <v>2720</v>
      </c>
      <c r="H2320" t="s">
        <v>2</v>
      </c>
      <c r="I2320" s="1">
        <v>46224</v>
      </c>
      <c r="J2320" t="s">
        <v>2108</v>
      </c>
      <c r="K2320" t="s">
        <v>3034</v>
      </c>
      <c r="L2320" s="1">
        <v>46224.917650462965</v>
      </c>
      <c r="M2320" s="1">
        <v>46224.91962439815</v>
      </c>
    </row>
    <row r="2321" spans="1:13" x14ac:dyDescent="0.35">
      <c r="A2321" t="s">
        <v>478</v>
      </c>
      <c r="B2321" t="s">
        <v>1986</v>
      </c>
      <c r="C2321" t="s">
        <v>2720</v>
      </c>
      <c r="D2321">
        <v>4.25</v>
      </c>
      <c r="E2321" s="1">
        <v>48669</v>
      </c>
      <c r="F2321" t="s">
        <v>1988</v>
      </c>
      <c r="G2321" t="s">
        <v>2720</v>
      </c>
      <c r="H2321" t="s">
        <v>2</v>
      </c>
      <c r="I2321" s="1">
        <v>46224</v>
      </c>
      <c r="J2321" t="s">
        <v>2065</v>
      </c>
      <c r="K2321" t="s">
        <v>3831</v>
      </c>
      <c r="L2321" s="1">
        <v>46224.917650462965</v>
      </c>
      <c r="M2321" s="1">
        <v>46224.91962439815</v>
      </c>
    </row>
    <row r="2322" spans="1:13" x14ac:dyDescent="0.35">
      <c r="A2322" t="s">
        <v>478</v>
      </c>
      <c r="B2322" t="s">
        <v>1986</v>
      </c>
      <c r="C2322" t="s">
        <v>2720</v>
      </c>
      <c r="D2322">
        <v>4.25</v>
      </c>
      <c r="E2322" s="1">
        <v>48669</v>
      </c>
      <c r="F2322" t="s">
        <v>1988</v>
      </c>
      <c r="G2322" t="s">
        <v>2720</v>
      </c>
      <c r="H2322" t="s">
        <v>2</v>
      </c>
      <c r="I2322" s="1">
        <v>46224</v>
      </c>
      <c r="J2322" t="s">
        <v>1989</v>
      </c>
      <c r="K2322" t="s">
        <v>3816</v>
      </c>
      <c r="L2322" s="1">
        <v>46224.918321759258</v>
      </c>
      <c r="M2322" s="1">
        <v>46224.91962439815</v>
      </c>
    </row>
    <row r="2323" spans="1:13" x14ac:dyDescent="0.35">
      <c r="A2323" t="s">
        <v>478</v>
      </c>
      <c r="B2323" t="s">
        <v>1986</v>
      </c>
      <c r="C2323" t="s">
        <v>2720</v>
      </c>
      <c r="D2323">
        <v>4.25</v>
      </c>
      <c r="E2323" s="1">
        <v>48669</v>
      </c>
      <c r="F2323" t="s">
        <v>1988</v>
      </c>
      <c r="G2323" t="s">
        <v>2720</v>
      </c>
      <c r="H2323" t="s">
        <v>2</v>
      </c>
      <c r="I2323" s="1">
        <v>46224</v>
      </c>
      <c r="J2323" t="s">
        <v>2064</v>
      </c>
      <c r="K2323" t="s">
        <v>3831</v>
      </c>
      <c r="L2323" s="1">
        <v>46224.917650462965</v>
      </c>
      <c r="M2323" s="1">
        <v>46224.91962439815</v>
      </c>
    </row>
    <row r="2324" spans="1:13" x14ac:dyDescent="0.35">
      <c r="A2324" t="s">
        <v>478</v>
      </c>
      <c r="B2324" t="s">
        <v>1986</v>
      </c>
      <c r="C2324" t="s">
        <v>2720</v>
      </c>
      <c r="D2324">
        <v>4.25</v>
      </c>
      <c r="E2324" s="1">
        <v>48669</v>
      </c>
      <c r="F2324" t="s">
        <v>1988</v>
      </c>
      <c r="G2324" t="s">
        <v>2720</v>
      </c>
      <c r="H2324" t="s">
        <v>2</v>
      </c>
      <c r="I2324" s="1">
        <v>46224</v>
      </c>
      <c r="J2324" t="s">
        <v>1991</v>
      </c>
      <c r="K2324" t="s">
        <v>2878</v>
      </c>
      <c r="L2324" s="1">
        <v>46224.918321759258</v>
      </c>
      <c r="M2324" s="1">
        <v>46224.91962439815</v>
      </c>
    </row>
    <row r="2325" spans="1:13" x14ac:dyDescent="0.35">
      <c r="A2325" t="s">
        <v>478</v>
      </c>
      <c r="B2325" t="s">
        <v>1986</v>
      </c>
      <c r="C2325" t="s">
        <v>2720</v>
      </c>
      <c r="D2325">
        <v>4.25</v>
      </c>
      <c r="E2325" s="1">
        <v>48669</v>
      </c>
      <c r="F2325" t="s">
        <v>1988</v>
      </c>
      <c r="G2325" t="s">
        <v>2720</v>
      </c>
      <c r="H2325" t="s">
        <v>2</v>
      </c>
      <c r="I2325" s="1">
        <v>46224</v>
      </c>
      <c r="J2325" t="s">
        <v>2146</v>
      </c>
      <c r="K2325" t="s">
        <v>3034</v>
      </c>
      <c r="L2325" s="1">
        <v>46224.917650462965</v>
      </c>
      <c r="M2325" s="1">
        <v>46224.91962439815</v>
      </c>
    </row>
    <row r="2326" spans="1:13" x14ac:dyDescent="0.35">
      <c r="A2326" t="s">
        <v>482</v>
      </c>
      <c r="B2326" t="s">
        <v>1986</v>
      </c>
      <c r="C2326" t="s">
        <v>2680</v>
      </c>
      <c r="D2326">
        <v>3.875</v>
      </c>
      <c r="E2326" s="1">
        <v>47938</v>
      </c>
      <c r="F2326" t="s">
        <v>1988</v>
      </c>
      <c r="G2326" t="s">
        <v>2680</v>
      </c>
      <c r="H2326" t="s">
        <v>2</v>
      </c>
      <c r="I2326" s="1">
        <v>46224</v>
      </c>
      <c r="J2326" t="s">
        <v>2108</v>
      </c>
      <c r="K2326" t="s">
        <v>2497</v>
      </c>
      <c r="L2326" s="1">
        <v>46224.917650462965</v>
      </c>
      <c r="M2326" s="1">
        <v>46224.91962439815</v>
      </c>
    </row>
    <row r="2327" spans="1:13" x14ac:dyDescent="0.35">
      <c r="A2327" t="s">
        <v>482</v>
      </c>
      <c r="B2327" t="s">
        <v>1986</v>
      </c>
      <c r="C2327" t="s">
        <v>2680</v>
      </c>
      <c r="D2327">
        <v>3.875</v>
      </c>
      <c r="E2327" s="1">
        <v>47938</v>
      </c>
      <c r="F2327" t="s">
        <v>1988</v>
      </c>
      <c r="G2327" t="s">
        <v>2680</v>
      </c>
      <c r="H2327" t="s">
        <v>2</v>
      </c>
      <c r="I2327" s="1">
        <v>46224</v>
      </c>
      <c r="J2327" t="s">
        <v>2064</v>
      </c>
      <c r="K2327" t="s">
        <v>2694</v>
      </c>
      <c r="L2327" s="1">
        <v>46224.917650462965</v>
      </c>
      <c r="M2327" s="1">
        <v>46224.91962439815</v>
      </c>
    </row>
    <row r="2328" spans="1:13" x14ac:dyDescent="0.35">
      <c r="A2328" t="s">
        <v>482</v>
      </c>
      <c r="B2328" t="s">
        <v>1986</v>
      </c>
      <c r="C2328" t="s">
        <v>2680</v>
      </c>
      <c r="D2328">
        <v>3.875</v>
      </c>
      <c r="E2328" s="1">
        <v>47938</v>
      </c>
      <c r="F2328" t="s">
        <v>1988</v>
      </c>
      <c r="G2328" t="s">
        <v>2680</v>
      </c>
      <c r="H2328" t="s">
        <v>2</v>
      </c>
      <c r="I2328" s="1">
        <v>46224</v>
      </c>
      <c r="J2328" t="s">
        <v>2146</v>
      </c>
      <c r="K2328" t="s">
        <v>2497</v>
      </c>
      <c r="L2328" s="1">
        <v>46224.917650462965</v>
      </c>
      <c r="M2328" s="1">
        <v>46224.91962439815</v>
      </c>
    </row>
    <row r="2329" spans="1:13" x14ac:dyDescent="0.35">
      <c r="A2329" t="s">
        <v>482</v>
      </c>
      <c r="B2329" t="s">
        <v>1986</v>
      </c>
      <c r="C2329" t="s">
        <v>2680</v>
      </c>
      <c r="D2329">
        <v>3.875</v>
      </c>
      <c r="E2329" s="1">
        <v>47938</v>
      </c>
      <c r="F2329" t="s">
        <v>1988</v>
      </c>
      <c r="G2329" t="s">
        <v>2680</v>
      </c>
      <c r="H2329" t="s">
        <v>2</v>
      </c>
      <c r="I2329" s="1">
        <v>46224</v>
      </c>
      <c r="J2329" t="s">
        <v>1989</v>
      </c>
      <c r="K2329" t="s">
        <v>2937</v>
      </c>
      <c r="L2329" s="1">
        <v>46224.918321759258</v>
      </c>
      <c r="M2329" s="1">
        <v>46224.91962439815</v>
      </c>
    </row>
    <row r="2330" spans="1:13" x14ac:dyDescent="0.35">
      <c r="A2330" t="s">
        <v>482</v>
      </c>
      <c r="B2330" t="s">
        <v>1986</v>
      </c>
      <c r="C2330" t="s">
        <v>2680</v>
      </c>
      <c r="D2330">
        <v>3.875</v>
      </c>
      <c r="E2330" s="1">
        <v>47938</v>
      </c>
      <c r="F2330" t="s">
        <v>1988</v>
      </c>
      <c r="G2330" t="s">
        <v>2680</v>
      </c>
      <c r="H2330" t="s">
        <v>2</v>
      </c>
      <c r="I2330" s="1">
        <v>46224</v>
      </c>
      <c r="J2330" t="s">
        <v>2065</v>
      </c>
      <c r="K2330" t="s">
        <v>2694</v>
      </c>
      <c r="L2330" s="1">
        <v>46224.917650462965</v>
      </c>
      <c r="M2330" s="1">
        <v>46224.91962439815</v>
      </c>
    </row>
    <row r="2331" spans="1:13" x14ac:dyDescent="0.35">
      <c r="A2331" t="s">
        <v>482</v>
      </c>
      <c r="B2331" t="s">
        <v>1986</v>
      </c>
      <c r="C2331" t="s">
        <v>2680</v>
      </c>
      <c r="D2331">
        <v>3.875</v>
      </c>
      <c r="E2331" s="1">
        <v>47938</v>
      </c>
      <c r="F2331" t="s">
        <v>1988</v>
      </c>
      <c r="G2331" t="s">
        <v>2680</v>
      </c>
      <c r="H2331" t="s">
        <v>2</v>
      </c>
      <c r="I2331" s="1">
        <v>46224</v>
      </c>
      <c r="J2331" t="s">
        <v>1991</v>
      </c>
      <c r="K2331" t="s">
        <v>3930</v>
      </c>
      <c r="L2331" s="1">
        <v>46224.918321759258</v>
      </c>
      <c r="M2331" s="1">
        <v>46224.91962439815</v>
      </c>
    </row>
    <row r="2332" spans="1:13" x14ac:dyDescent="0.35">
      <c r="A2332" t="s">
        <v>479</v>
      </c>
      <c r="B2332" t="s">
        <v>1986</v>
      </c>
      <c r="C2332" t="s">
        <v>2681</v>
      </c>
      <c r="D2332">
        <v>3.875</v>
      </c>
      <c r="E2332" s="1">
        <v>46843</v>
      </c>
      <c r="F2332" t="s">
        <v>1988</v>
      </c>
      <c r="G2332" t="s">
        <v>2681</v>
      </c>
      <c r="H2332" t="s">
        <v>2</v>
      </c>
      <c r="I2332" s="1">
        <v>46224</v>
      </c>
      <c r="J2332" t="s">
        <v>1989</v>
      </c>
      <c r="K2332" t="s">
        <v>3687</v>
      </c>
      <c r="L2332" s="1">
        <v>46224.918321759258</v>
      </c>
      <c r="M2332" s="1">
        <v>46224.91962439815</v>
      </c>
    </row>
    <row r="2333" spans="1:13" x14ac:dyDescent="0.35">
      <c r="A2333" t="s">
        <v>479</v>
      </c>
      <c r="B2333" t="s">
        <v>1986</v>
      </c>
      <c r="C2333" t="s">
        <v>2681</v>
      </c>
      <c r="D2333">
        <v>3.875</v>
      </c>
      <c r="E2333" s="1">
        <v>46843</v>
      </c>
      <c r="F2333" t="s">
        <v>1988</v>
      </c>
      <c r="G2333" t="s">
        <v>2681</v>
      </c>
      <c r="H2333" t="s">
        <v>2</v>
      </c>
      <c r="I2333" s="1">
        <v>46224</v>
      </c>
      <c r="J2333" t="s">
        <v>1991</v>
      </c>
      <c r="K2333" t="s">
        <v>2568</v>
      </c>
      <c r="L2333" s="1">
        <v>46224.918321759258</v>
      </c>
      <c r="M2333" s="1">
        <v>46224.91962439815</v>
      </c>
    </row>
    <row r="2334" spans="1:13" x14ac:dyDescent="0.35">
      <c r="A2334" t="s">
        <v>479</v>
      </c>
      <c r="B2334" t="s">
        <v>1986</v>
      </c>
      <c r="C2334" t="s">
        <v>2681</v>
      </c>
      <c r="D2334">
        <v>3.875</v>
      </c>
      <c r="E2334" s="1">
        <v>46843</v>
      </c>
      <c r="F2334" t="s">
        <v>1988</v>
      </c>
      <c r="G2334" t="s">
        <v>2681</v>
      </c>
      <c r="H2334" t="s">
        <v>2</v>
      </c>
      <c r="I2334" s="1">
        <v>46224</v>
      </c>
      <c r="J2334" t="s">
        <v>2146</v>
      </c>
      <c r="K2334" t="s">
        <v>2422</v>
      </c>
      <c r="L2334" s="1">
        <v>46224.917650462965</v>
      </c>
      <c r="M2334" s="1">
        <v>46224.91962439815</v>
      </c>
    </row>
    <row r="2335" spans="1:13" x14ac:dyDescent="0.35">
      <c r="A2335" t="s">
        <v>479</v>
      </c>
      <c r="B2335" t="s">
        <v>1986</v>
      </c>
      <c r="C2335" t="s">
        <v>2681</v>
      </c>
      <c r="D2335">
        <v>3.875</v>
      </c>
      <c r="E2335" s="1">
        <v>46843</v>
      </c>
      <c r="F2335" t="s">
        <v>1988</v>
      </c>
      <c r="G2335" t="s">
        <v>2681</v>
      </c>
      <c r="H2335" t="s">
        <v>2</v>
      </c>
      <c r="I2335" s="1">
        <v>46224</v>
      </c>
      <c r="J2335" t="s">
        <v>2065</v>
      </c>
      <c r="K2335" t="s">
        <v>3892</v>
      </c>
      <c r="L2335" s="1">
        <v>46224.917650462965</v>
      </c>
      <c r="M2335" s="1">
        <v>46224.91962439815</v>
      </c>
    </row>
    <row r="2336" spans="1:13" x14ac:dyDescent="0.35">
      <c r="A2336" t="s">
        <v>479</v>
      </c>
      <c r="B2336" t="s">
        <v>1986</v>
      </c>
      <c r="C2336" t="s">
        <v>2681</v>
      </c>
      <c r="D2336">
        <v>3.875</v>
      </c>
      <c r="E2336" s="1">
        <v>46843</v>
      </c>
      <c r="F2336" t="s">
        <v>1988</v>
      </c>
      <c r="G2336" t="s">
        <v>2681</v>
      </c>
      <c r="H2336" t="s">
        <v>2</v>
      </c>
      <c r="I2336" s="1">
        <v>46224</v>
      </c>
      <c r="J2336" t="s">
        <v>2108</v>
      </c>
      <c r="K2336" t="s">
        <v>2422</v>
      </c>
      <c r="L2336" s="1">
        <v>46224.917650462965</v>
      </c>
      <c r="M2336" s="1">
        <v>46224.91962439815</v>
      </c>
    </row>
    <row r="2337" spans="1:13" x14ac:dyDescent="0.35">
      <c r="A2337" t="s">
        <v>479</v>
      </c>
      <c r="B2337" t="s">
        <v>1986</v>
      </c>
      <c r="C2337" t="s">
        <v>2681</v>
      </c>
      <c r="D2337">
        <v>3.875</v>
      </c>
      <c r="E2337" s="1">
        <v>46843</v>
      </c>
      <c r="F2337" t="s">
        <v>1988</v>
      </c>
      <c r="G2337" t="s">
        <v>2681</v>
      </c>
      <c r="H2337" t="s">
        <v>2</v>
      </c>
      <c r="I2337" s="1">
        <v>46224</v>
      </c>
      <c r="J2337" t="s">
        <v>2064</v>
      </c>
      <c r="K2337" t="s">
        <v>3892</v>
      </c>
      <c r="L2337" s="1">
        <v>46224.917650462965</v>
      </c>
      <c r="M2337" s="1">
        <v>46224.91962439815</v>
      </c>
    </row>
    <row r="2338" spans="1:13" x14ac:dyDescent="0.35">
      <c r="A2338" t="s">
        <v>483</v>
      </c>
      <c r="B2338" t="s">
        <v>1986</v>
      </c>
      <c r="C2338" t="s">
        <v>2682</v>
      </c>
      <c r="D2338">
        <v>3.875</v>
      </c>
      <c r="E2338" s="1">
        <v>47223</v>
      </c>
      <c r="F2338" t="s">
        <v>1988</v>
      </c>
      <c r="G2338" t="s">
        <v>2682</v>
      </c>
      <c r="H2338" t="s">
        <v>2</v>
      </c>
      <c r="I2338" s="1">
        <v>46224</v>
      </c>
      <c r="J2338" t="s">
        <v>1989</v>
      </c>
      <c r="K2338" t="s">
        <v>3775</v>
      </c>
      <c r="L2338" s="1">
        <v>46224.918321759258</v>
      </c>
      <c r="M2338" s="1">
        <v>46224.91962439815</v>
      </c>
    </row>
    <row r="2339" spans="1:13" x14ac:dyDescent="0.35">
      <c r="A2339" t="s">
        <v>483</v>
      </c>
      <c r="B2339" t="s">
        <v>1986</v>
      </c>
      <c r="C2339" t="s">
        <v>2682</v>
      </c>
      <c r="D2339">
        <v>3.875</v>
      </c>
      <c r="E2339" s="1">
        <v>47223</v>
      </c>
      <c r="F2339" t="s">
        <v>1988</v>
      </c>
      <c r="G2339" t="s">
        <v>2682</v>
      </c>
      <c r="H2339" t="s">
        <v>2</v>
      </c>
      <c r="I2339" s="1">
        <v>46224</v>
      </c>
      <c r="J2339" t="s">
        <v>2108</v>
      </c>
      <c r="K2339" t="s">
        <v>2961</v>
      </c>
      <c r="L2339" s="1">
        <v>46224.917650462965</v>
      </c>
      <c r="M2339" s="1">
        <v>46224.91962439815</v>
      </c>
    </row>
    <row r="2340" spans="1:13" x14ac:dyDescent="0.35">
      <c r="A2340" t="s">
        <v>483</v>
      </c>
      <c r="B2340" t="s">
        <v>1986</v>
      </c>
      <c r="C2340" t="s">
        <v>2682</v>
      </c>
      <c r="D2340">
        <v>3.875</v>
      </c>
      <c r="E2340" s="1">
        <v>47223</v>
      </c>
      <c r="F2340" t="s">
        <v>1988</v>
      </c>
      <c r="G2340" t="s">
        <v>2682</v>
      </c>
      <c r="H2340" t="s">
        <v>2</v>
      </c>
      <c r="I2340" s="1">
        <v>46224</v>
      </c>
      <c r="J2340" t="s">
        <v>2146</v>
      </c>
      <c r="K2340" t="s">
        <v>2961</v>
      </c>
      <c r="L2340" s="1">
        <v>46224.917650462965</v>
      </c>
      <c r="M2340" s="1">
        <v>46224.91962439815</v>
      </c>
    </row>
    <row r="2341" spans="1:13" x14ac:dyDescent="0.35">
      <c r="A2341" t="s">
        <v>483</v>
      </c>
      <c r="B2341" t="s">
        <v>1986</v>
      </c>
      <c r="C2341" t="s">
        <v>2682</v>
      </c>
      <c r="D2341">
        <v>3.875</v>
      </c>
      <c r="E2341" s="1">
        <v>47223</v>
      </c>
      <c r="F2341" t="s">
        <v>1988</v>
      </c>
      <c r="G2341" t="s">
        <v>2682</v>
      </c>
      <c r="H2341" t="s">
        <v>2</v>
      </c>
      <c r="I2341" s="1">
        <v>46224</v>
      </c>
      <c r="J2341" t="s">
        <v>2065</v>
      </c>
      <c r="K2341" t="s">
        <v>2208</v>
      </c>
      <c r="L2341" s="1">
        <v>46224.917650462965</v>
      </c>
      <c r="M2341" s="1">
        <v>46224.91962439815</v>
      </c>
    </row>
    <row r="2342" spans="1:13" x14ac:dyDescent="0.35">
      <c r="A2342" t="s">
        <v>483</v>
      </c>
      <c r="B2342" t="s">
        <v>1986</v>
      </c>
      <c r="C2342" t="s">
        <v>2682</v>
      </c>
      <c r="D2342">
        <v>3.875</v>
      </c>
      <c r="E2342" s="1">
        <v>47223</v>
      </c>
      <c r="F2342" t="s">
        <v>1988</v>
      </c>
      <c r="G2342" t="s">
        <v>2682</v>
      </c>
      <c r="H2342" t="s">
        <v>2</v>
      </c>
      <c r="I2342" s="1">
        <v>46224</v>
      </c>
      <c r="J2342" t="s">
        <v>1991</v>
      </c>
      <c r="K2342" t="s">
        <v>2261</v>
      </c>
      <c r="L2342" s="1">
        <v>46224.918321759258</v>
      </c>
      <c r="M2342" s="1">
        <v>46224.91962439815</v>
      </c>
    </row>
    <row r="2343" spans="1:13" x14ac:dyDescent="0.35">
      <c r="A2343" t="s">
        <v>483</v>
      </c>
      <c r="B2343" t="s">
        <v>1986</v>
      </c>
      <c r="C2343" t="s">
        <v>2682</v>
      </c>
      <c r="D2343">
        <v>3.875</v>
      </c>
      <c r="E2343" s="1">
        <v>47223</v>
      </c>
      <c r="F2343" t="s">
        <v>1988</v>
      </c>
      <c r="G2343" t="s">
        <v>2682</v>
      </c>
      <c r="H2343" t="s">
        <v>2</v>
      </c>
      <c r="I2343" s="1">
        <v>46224</v>
      </c>
      <c r="J2343" t="s">
        <v>2064</v>
      </c>
      <c r="K2343" t="s">
        <v>2208</v>
      </c>
      <c r="L2343" s="1">
        <v>46224.917650462965</v>
      </c>
      <c r="M2343" s="1">
        <v>46224.91962439815</v>
      </c>
    </row>
    <row r="2344" spans="1:13" x14ac:dyDescent="0.35">
      <c r="A2344" t="s">
        <v>484</v>
      </c>
      <c r="B2344" t="s">
        <v>1986</v>
      </c>
      <c r="C2344" t="s">
        <v>2722</v>
      </c>
      <c r="D2344">
        <v>3.875</v>
      </c>
      <c r="E2344" s="1">
        <v>47968</v>
      </c>
      <c r="F2344" t="s">
        <v>1988</v>
      </c>
      <c r="G2344" t="s">
        <v>2722</v>
      </c>
      <c r="H2344" t="s">
        <v>2</v>
      </c>
      <c r="I2344" s="1">
        <v>46224</v>
      </c>
      <c r="J2344" t="s">
        <v>2064</v>
      </c>
      <c r="K2344" t="s">
        <v>2450</v>
      </c>
      <c r="L2344" s="1">
        <v>46224.917650462965</v>
      </c>
      <c r="M2344" s="1">
        <v>46224.91962439815</v>
      </c>
    </row>
    <row r="2345" spans="1:13" x14ac:dyDescent="0.35">
      <c r="A2345" t="s">
        <v>484</v>
      </c>
      <c r="B2345" t="s">
        <v>1986</v>
      </c>
      <c r="C2345" t="s">
        <v>2722</v>
      </c>
      <c r="D2345">
        <v>3.875</v>
      </c>
      <c r="E2345" s="1">
        <v>47968</v>
      </c>
      <c r="F2345" t="s">
        <v>1988</v>
      </c>
      <c r="G2345" t="s">
        <v>2722</v>
      </c>
      <c r="H2345" t="s">
        <v>2</v>
      </c>
      <c r="I2345" s="1">
        <v>46224</v>
      </c>
      <c r="J2345" t="s">
        <v>1989</v>
      </c>
      <c r="K2345" t="s">
        <v>2893</v>
      </c>
      <c r="L2345" s="1">
        <v>46224.918321759258</v>
      </c>
      <c r="M2345" s="1">
        <v>46224.91962439815</v>
      </c>
    </row>
    <row r="2346" spans="1:13" x14ac:dyDescent="0.35">
      <c r="A2346" t="s">
        <v>484</v>
      </c>
      <c r="B2346" t="s">
        <v>1986</v>
      </c>
      <c r="C2346" t="s">
        <v>2722</v>
      </c>
      <c r="D2346">
        <v>3.875</v>
      </c>
      <c r="E2346" s="1">
        <v>47968</v>
      </c>
      <c r="F2346" t="s">
        <v>1988</v>
      </c>
      <c r="G2346" t="s">
        <v>2722</v>
      </c>
      <c r="H2346" t="s">
        <v>2</v>
      </c>
      <c r="I2346" s="1">
        <v>46224</v>
      </c>
      <c r="J2346" t="s">
        <v>1991</v>
      </c>
      <c r="K2346" t="s">
        <v>4150</v>
      </c>
      <c r="L2346" s="1">
        <v>46224.918321759258</v>
      </c>
      <c r="M2346" s="1">
        <v>46224.91962439815</v>
      </c>
    </row>
    <row r="2347" spans="1:13" x14ac:dyDescent="0.35">
      <c r="A2347" t="s">
        <v>484</v>
      </c>
      <c r="B2347" t="s">
        <v>1986</v>
      </c>
      <c r="C2347" t="s">
        <v>2722</v>
      </c>
      <c r="D2347">
        <v>3.875</v>
      </c>
      <c r="E2347" s="1">
        <v>47968</v>
      </c>
      <c r="F2347" t="s">
        <v>1988</v>
      </c>
      <c r="G2347" t="s">
        <v>2722</v>
      </c>
      <c r="H2347" t="s">
        <v>2</v>
      </c>
      <c r="I2347" s="1">
        <v>46224</v>
      </c>
      <c r="J2347" t="s">
        <v>2146</v>
      </c>
      <c r="K2347" t="s">
        <v>2902</v>
      </c>
      <c r="L2347" s="1">
        <v>46224.917650462965</v>
      </c>
      <c r="M2347" s="1">
        <v>46224.91962439815</v>
      </c>
    </row>
    <row r="2348" spans="1:13" x14ac:dyDescent="0.35">
      <c r="A2348" t="s">
        <v>484</v>
      </c>
      <c r="B2348" t="s">
        <v>1986</v>
      </c>
      <c r="C2348" t="s">
        <v>2722</v>
      </c>
      <c r="D2348">
        <v>3.875</v>
      </c>
      <c r="E2348" s="1">
        <v>47968</v>
      </c>
      <c r="F2348" t="s">
        <v>1988</v>
      </c>
      <c r="G2348" t="s">
        <v>2722</v>
      </c>
      <c r="H2348" t="s">
        <v>2</v>
      </c>
      <c r="I2348" s="1">
        <v>46224</v>
      </c>
      <c r="J2348" t="s">
        <v>2108</v>
      </c>
      <c r="K2348" t="s">
        <v>2902</v>
      </c>
      <c r="L2348" s="1">
        <v>46224.917650462965</v>
      </c>
      <c r="M2348" s="1">
        <v>46224.91962439815</v>
      </c>
    </row>
    <row r="2349" spans="1:13" x14ac:dyDescent="0.35">
      <c r="A2349" t="s">
        <v>484</v>
      </c>
      <c r="B2349" t="s">
        <v>1986</v>
      </c>
      <c r="C2349" t="s">
        <v>2722</v>
      </c>
      <c r="D2349">
        <v>3.875</v>
      </c>
      <c r="E2349" s="1">
        <v>47968</v>
      </c>
      <c r="F2349" t="s">
        <v>1988</v>
      </c>
      <c r="G2349" t="s">
        <v>2722</v>
      </c>
      <c r="H2349" t="s">
        <v>2</v>
      </c>
      <c r="I2349" s="1">
        <v>46224</v>
      </c>
      <c r="J2349" t="s">
        <v>2065</v>
      </c>
      <c r="K2349" t="s">
        <v>2450</v>
      </c>
      <c r="L2349" s="1">
        <v>46224.917650462965</v>
      </c>
      <c r="M2349" s="1">
        <v>46224.91962439815</v>
      </c>
    </row>
    <row r="2350" spans="1:13" x14ac:dyDescent="0.35">
      <c r="A2350" t="s">
        <v>517</v>
      </c>
      <c r="B2350" t="s">
        <v>1986</v>
      </c>
      <c r="C2350" t="s">
        <v>2723</v>
      </c>
      <c r="D2350">
        <v>3.75</v>
      </c>
      <c r="E2350" s="1">
        <v>46873</v>
      </c>
      <c r="F2350" t="s">
        <v>1988</v>
      </c>
      <c r="G2350" t="s">
        <v>2723</v>
      </c>
      <c r="H2350" t="s">
        <v>2</v>
      </c>
      <c r="I2350" s="1">
        <v>46224</v>
      </c>
      <c r="J2350" t="s">
        <v>1989</v>
      </c>
      <c r="K2350" t="s">
        <v>3859</v>
      </c>
      <c r="L2350" s="1">
        <v>46224.918321759258</v>
      </c>
      <c r="M2350" s="1">
        <v>46224.91962439815</v>
      </c>
    </row>
    <row r="2351" spans="1:13" x14ac:dyDescent="0.35">
      <c r="A2351" t="s">
        <v>517</v>
      </c>
      <c r="B2351" t="s">
        <v>1986</v>
      </c>
      <c r="C2351" t="s">
        <v>2723</v>
      </c>
      <c r="D2351">
        <v>3.75</v>
      </c>
      <c r="E2351" s="1">
        <v>46873</v>
      </c>
      <c r="F2351" t="s">
        <v>1988</v>
      </c>
      <c r="G2351" t="s">
        <v>2723</v>
      </c>
      <c r="H2351" t="s">
        <v>2</v>
      </c>
      <c r="I2351" s="1">
        <v>46224</v>
      </c>
      <c r="J2351" t="s">
        <v>2064</v>
      </c>
      <c r="K2351" t="s">
        <v>2918</v>
      </c>
      <c r="L2351" s="1">
        <v>46224.917650462965</v>
      </c>
      <c r="M2351" s="1">
        <v>46224.91962439815</v>
      </c>
    </row>
    <row r="2352" spans="1:13" x14ac:dyDescent="0.35">
      <c r="A2352" t="s">
        <v>517</v>
      </c>
      <c r="B2352" t="s">
        <v>1986</v>
      </c>
      <c r="C2352" t="s">
        <v>2723</v>
      </c>
      <c r="D2352">
        <v>3.75</v>
      </c>
      <c r="E2352" s="1">
        <v>46873</v>
      </c>
      <c r="F2352" t="s">
        <v>1988</v>
      </c>
      <c r="G2352" t="s">
        <v>2723</v>
      </c>
      <c r="H2352" t="s">
        <v>2</v>
      </c>
      <c r="I2352" s="1">
        <v>46224</v>
      </c>
      <c r="J2352" t="s">
        <v>2065</v>
      </c>
      <c r="K2352" t="s">
        <v>2918</v>
      </c>
      <c r="L2352" s="1">
        <v>46224.917650462965</v>
      </c>
      <c r="M2352" s="1">
        <v>46224.91962439815</v>
      </c>
    </row>
    <row r="2353" spans="1:13" x14ac:dyDescent="0.35">
      <c r="A2353" t="s">
        <v>517</v>
      </c>
      <c r="B2353" t="s">
        <v>1986</v>
      </c>
      <c r="C2353" t="s">
        <v>2723</v>
      </c>
      <c r="D2353">
        <v>3.75</v>
      </c>
      <c r="E2353" s="1">
        <v>46873</v>
      </c>
      <c r="F2353" t="s">
        <v>1988</v>
      </c>
      <c r="G2353" t="s">
        <v>2723</v>
      </c>
      <c r="H2353" t="s">
        <v>2</v>
      </c>
      <c r="I2353" s="1">
        <v>46224</v>
      </c>
      <c r="J2353" t="s">
        <v>2108</v>
      </c>
      <c r="K2353" t="s">
        <v>3931</v>
      </c>
      <c r="L2353" s="1">
        <v>46224.917650462965</v>
      </c>
      <c r="M2353" s="1">
        <v>46224.91962439815</v>
      </c>
    </row>
    <row r="2354" spans="1:13" x14ac:dyDescent="0.35">
      <c r="A2354" t="s">
        <v>517</v>
      </c>
      <c r="B2354" t="s">
        <v>1986</v>
      </c>
      <c r="C2354" t="s">
        <v>2723</v>
      </c>
      <c r="D2354">
        <v>3.75</v>
      </c>
      <c r="E2354" s="1">
        <v>46873</v>
      </c>
      <c r="F2354" t="s">
        <v>1988</v>
      </c>
      <c r="G2354" t="s">
        <v>2723</v>
      </c>
      <c r="H2354" t="s">
        <v>2</v>
      </c>
      <c r="I2354" s="1">
        <v>46224</v>
      </c>
      <c r="J2354" t="s">
        <v>1991</v>
      </c>
      <c r="K2354" t="s">
        <v>3760</v>
      </c>
      <c r="L2354" s="1">
        <v>46224.918321759258</v>
      </c>
      <c r="M2354" s="1">
        <v>46224.91962439815</v>
      </c>
    </row>
    <row r="2355" spans="1:13" x14ac:dyDescent="0.35">
      <c r="A2355" t="s">
        <v>517</v>
      </c>
      <c r="B2355" t="s">
        <v>1986</v>
      </c>
      <c r="C2355" t="s">
        <v>2723</v>
      </c>
      <c r="D2355">
        <v>3.75</v>
      </c>
      <c r="E2355" s="1">
        <v>46873</v>
      </c>
      <c r="F2355" t="s">
        <v>1988</v>
      </c>
      <c r="G2355" t="s">
        <v>2723</v>
      </c>
      <c r="H2355" t="s">
        <v>2</v>
      </c>
      <c r="I2355" s="1">
        <v>46224</v>
      </c>
      <c r="J2355" t="s">
        <v>2146</v>
      </c>
      <c r="K2355" t="s">
        <v>3931</v>
      </c>
      <c r="L2355" s="1">
        <v>46224.917650462965</v>
      </c>
      <c r="M2355" s="1">
        <v>46224.91962439815</v>
      </c>
    </row>
    <row r="2356" spans="1:13" x14ac:dyDescent="0.35">
      <c r="A2356" t="s">
        <v>480</v>
      </c>
      <c r="B2356" t="s">
        <v>1986</v>
      </c>
      <c r="C2356" t="s">
        <v>2683</v>
      </c>
      <c r="D2356">
        <v>4.125</v>
      </c>
      <c r="E2356" s="1">
        <v>48699</v>
      </c>
      <c r="F2356" t="s">
        <v>1988</v>
      </c>
      <c r="G2356" t="s">
        <v>2683</v>
      </c>
      <c r="H2356" t="s">
        <v>2</v>
      </c>
      <c r="I2356" s="1">
        <v>46224</v>
      </c>
      <c r="J2356" t="s">
        <v>2146</v>
      </c>
      <c r="K2356" t="s">
        <v>2669</v>
      </c>
      <c r="L2356" s="1">
        <v>46224.917650462965</v>
      </c>
      <c r="M2356" s="1">
        <v>46224.91962439815</v>
      </c>
    </row>
    <row r="2357" spans="1:13" x14ac:dyDescent="0.35">
      <c r="A2357" t="s">
        <v>480</v>
      </c>
      <c r="B2357" t="s">
        <v>1986</v>
      </c>
      <c r="C2357" t="s">
        <v>2683</v>
      </c>
      <c r="D2357">
        <v>4.125</v>
      </c>
      <c r="E2357" s="1">
        <v>48699</v>
      </c>
      <c r="F2357" t="s">
        <v>1988</v>
      </c>
      <c r="G2357" t="s">
        <v>2683</v>
      </c>
      <c r="H2357" t="s">
        <v>2</v>
      </c>
      <c r="I2357" s="1">
        <v>46224</v>
      </c>
      <c r="J2357" t="s">
        <v>2065</v>
      </c>
      <c r="K2357" t="s">
        <v>3832</v>
      </c>
      <c r="L2357" s="1">
        <v>46224.917650462965</v>
      </c>
      <c r="M2357" s="1">
        <v>46224.91962439815</v>
      </c>
    </row>
    <row r="2358" spans="1:13" x14ac:dyDescent="0.35">
      <c r="A2358" t="s">
        <v>480</v>
      </c>
      <c r="B2358" t="s">
        <v>1986</v>
      </c>
      <c r="C2358" t="s">
        <v>2683</v>
      </c>
      <c r="D2358">
        <v>4.125</v>
      </c>
      <c r="E2358" s="1">
        <v>48699</v>
      </c>
      <c r="F2358" t="s">
        <v>1988</v>
      </c>
      <c r="G2358" t="s">
        <v>2683</v>
      </c>
      <c r="H2358" t="s">
        <v>2</v>
      </c>
      <c r="I2358" s="1">
        <v>46224</v>
      </c>
      <c r="J2358" t="s">
        <v>2108</v>
      </c>
      <c r="K2358" t="s">
        <v>2669</v>
      </c>
      <c r="L2358" s="1">
        <v>46224.917650462965</v>
      </c>
      <c r="M2358" s="1">
        <v>46224.91962439815</v>
      </c>
    </row>
    <row r="2359" spans="1:13" x14ac:dyDescent="0.35">
      <c r="A2359" t="s">
        <v>480</v>
      </c>
      <c r="B2359" t="s">
        <v>1986</v>
      </c>
      <c r="C2359" t="s">
        <v>2683</v>
      </c>
      <c r="D2359">
        <v>4.125</v>
      </c>
      <c r="E2359" s="1">
        <v>48699</v>
      </c>
      <c r="F2359" t="s">
        <v>1988</v>
      </c>
      <c r="G2359" t="s">
        <v>2683</v>
      </c>
      <c r="H2359" t="s">
        <v>2</v>
      </c>
      <c r="I2359" s="1">
        <v>46224</v>
      </c>
      <c r="J2359" t="s">
        <v>1991</v>
      </c>
      <c r="K2359" t="s">
        <v>2893</v>
      </c>
      <c r="L2359" s="1">
        <v>46224.918321759258</v>
      </c>
      <c r="M2359" s="1">
        <v>46224.91962439815</v>
      </c>
    </row>
    <row r="2360" spans="1:13" x14ac:dyDescent="0.35">
      <c r="A2360" t="s">
        <v>480</v>
      </c>
      <c r="B2360" t="s">
        <v>1986</v>
      </c>
      <c r="C2360" t="s">
        <v>2683</v>
      </c>
      <c r="D2360">
        <v>4.125</v>
      </c>
      <c r="E2360" s="1">
        <v>48699</v>
      </c>
      <c r="F2360" t="s">
        <v>1988</v>
      </c>
      <c r="G2360" t="s">
        <v>2683</v>
      </c>
      <c r="H2360" t="s">
        <v>2</v>
      </c>
      <c r="I2360" s="1">
        <v>46224</v>
      </c>
      <c r="J2360" t="s">
        <v>1989</v>
      </c>
      <c r="K2360" t="s">
        <v>3930</v>
      </c>
      <c r="L2360" s="1">
        <v>46224.918321759258</v>
      </c>
      <c r="M2360" s="1">
        <v>46224.91962439815</v>
      </c>
    </row>
    <row r="2361" spans="1:13" x14ac:dyDescent="0.35">
      <c r="A2361" t="s">
        <v>480</v>
      </c>
      <c r="B2361" t="s">
        <v>1986</v>
      </c>
      <c r="C2361" t="s">
        <v>2683</v>
      </c>
      <c r="D2361">
        <v>4.125</v>
      </c>
      <c r="E2361" s="1">
        <v>48699</v>
      </c>
      <c r="F2361" t="s">
        <v>1988</v>
      </c>
      <c r="G2361" t="s">
        <v>2683</v>
      </c>
      <c r="H2361" t="s">
        <v>2</v>
      </c>
      <c r="I2361" s="1">
        <v>46224</v>
      </c>
      <c r="J2361" t="s">
        <v>2064</v>
      </c>
      <c r="K2361" t="s">
        <v>3832</v>
      </c>
      <c r="L2361" s="1">
        <v>46224.917650462965</v>
      </c>
      <c r="M2361" s="1">
        <v>46224.91962439815</v>
      </c>
    </row>
    <row r="2362" spans="1:13" x14ac:dyDescent="0.35">
      <c r="A2362" t="s">
        <v>525</v>
      </c>
      <c r="B2362" t="s">
        <v>1986</v>
      </c>
      <c r="C2362" t="s">
        <v>2684</v>
      </c>
      <c r="D2362">
        <v>1.25</v>
      </c>
      <c r="E2362" s="1">
        <v>47953</v>
      </c>
      <c r="F2362" t="s">
        <v>2014</v>
      </c>
      <c r="G2362" t="s">
        <v>2684</v>
      </c>
      <c r="H2362" t="s">
        <v>2</v>
      </c>
      <c r="I2362" s="1">
        <v>46224</v>
      </c>
      <c r="J2362" t="s">
        <v>1989</v>
      </c>
      <c r="K2362" t="s">
        <v>3985</v>
      </c>
      <c r="L2362" s="1">
        <v>46224.918321759258</v>
      </c>
      <c r="M2362" s="1">
        <v>46224.91962439815</v>
      </c>
    </row>
    <row r="2363" spans="1:13" x14ac:dyDescent="0.35">
      <c r="A2363" t="s">
        <v>525</v>
      </c>
      <c r="B2363" t="s">
        <v>1986</v>
      </c>
      <c r="C2363" t="s">
        <v>2684</v>
      </c>
      <c r="D2363">
        <v>1.25</v>
      </c>
      <c r="E2363" s="1">
        <v>47953</v>
      </c>
      <c r="F2363" t="s">
        <v>2014</v>
      </c>
      <c r="G2363" t="s">
        <v>2684</v>
      </c>
      <c r="H2363" t="s">
        <v>2</v>
      </c>
      <c r="I2363" s="1">
        <v>46224</v>
      </c>
      <c r="J2363" t="s">
        <v>1991</v>
      </c>
      <c r="K2363" t="s">
        <v>3932</v>
      </c>
      <c r="L2363" s="1">
        <v>46224.918321759258</v>
      </c>
      <c r="M2363" s="1">
        <v>46224.91962439815</v>
      </c>
    </row>
    <row r="2364" spans="1:13" x14ac:dyDescent="0.35">
      <c r="A2364" t="s">
        <v>1659</v>
      </c>
      <c r="B2364" t="s">
        <v>1986</v>
      </c>
      <c r="C2364" t="s">
        <v>2685</v>
      </c>
      <c r="D2364">
        <v>4.375</v>
      </c>
      <c r="E2364" s="1">
        <v>49810</v>
      </c>
      <c r="F2364" t="s">
        <v>1988</v>
      </c>
      <c r="G2364" t="s">
        <v>2685</v>
      </c>
      <c r="H2364" t="s">
        <v>2</v>
      </c>
      <c r="I2364" s="1">
        <v>46224</v>
      </c>
      <c r="J2364" t="s">
        <v>1991</v>
      </c>
      <c r="K2364" t="s">
        <v>2969</v>
      </c>
      <c r="L2364" s="1">
        <v>46224.918321759258</v>
      </c>
      <c r="M2364" s="1">
        <v>46224.91962439815</v>
      </c>
    </row>
    <row r="2365" spans="1:13" x14ac:dyDescent="0.35">
      <c r="A2365" t="s">
        <v>1659</v>
      </c>
      <c r="B2365" t="s">
        <v>1986</v>
      </c>
      <c r="C2365" t="s">
        <v>2685</v>
      </c>
      <c r="D2365">
        <v>4.375</v>
      </c>
      <c r="E2365" s="1">
        <v>49810</v>
      </c>
      <c r="F2365" t="s">
        <v>1988</v>
      </c>
      <c r="G2365" t="s">
        <v>2685</v>
      </c>
      <c r="H2365" t="s">
        <v>2</v>
      </c>
      <c r="I2365" s="1">
        <v>46224</v>
      </c>
      <c r="J2365" t="s">
        <v>1989</v>
      </c>
      <c r="K2365" t="s">
        <v>3711</v>
      </c>
      <c r="L2365" s="1">
        <v>46224.918321759258</v>
      </c>
      <c r="M2365" s="1">
        <v>46224.91962439815</v>
      </c>
    </row>
    <row r="2366" spans="1:13" x14ac:dyDescent="0.35">
      <c r="A2366" t="s">
        <v>1659</v>
      </c>
      <c r="B2366" t="s">
        <v>1986</v>
      </c>
      <c r="C2366" t="s">
        <v>2685</v>
      </c>
      <c r="D2366">
        <v>4.375</v>
      </c>
      <c r="E2366" s="1">
        <v>49810</v>
      </c>
      <c r="F2366" t="s">
        <v>1988</v>
      </c>
      <c r="G2366" t="s">
        <v>2685</v>
      </c>
      <c r="H2366" t="s">
        <v>2</v>
      </c>
      <c r="I2366" s="1">
        <v>46224</v>
      </c>
      <c r="J2366" t="s">
        <v>2108</v>
      </c>
      <c r="K2366" t="s">
        <v>3712</v>
      </c>
      <c r="L2366" s="1">
        <v>46224.917650462965</v>
      </c>
      <c r="M2366" s="1">
        <v>46224.91962439815</v>
      </c>
    </row>
    <row r="2367" spans="1:13" x14ac:dyDescent="0.35">
      <c r="A2367" t="s">
        <v>1659</v>
      </c>
      <c r="B2367" t="s">
        <v>1986</v>
      </c>
      <c r="C2367" t="s">
        <v>2685</v>
      </c>
      <c r="D2367">
        <v>4.375</v>
      </c>
      <c r="E2367" s="1">
        <v>49810</v>
      </c>
      <c r="F2367" t="s">
        <v>1988</v>
      </c>
      <c r="G2367" t="s">
        <v>2685</v>
      </c>
      <c r="H2367" t="s">
        <v>2</v>
      </c>
      <c r="I2367" s="1">
        <v>46224</v>
      </c>
      <c r="J2367" t="s">
        <v>2065</v>
      </c>
      <c r="K2367" t="s">
        <v>3933</v>
      </c>
      <c r="L2367" s="1">
        <v>46224.917650462965</v>
      </c>
      <c r="M2367" s="1">
        <v>46224.91962439815</v>
      </c>
    </row>
    <row r="2368" spans="1:13" x14ac:dyDescent="0.35">
      <c r="A2368" t="s">
        <v>1659</v>
      </c>
      <c r="B2368" t="s">
        <v>1986</v>
      </c>
      <c r="C2368" t="s">
        <v>2685</v>
      </c>
      <c r="D2368">
        <v>4.375</v>
      </c>
      <c r="E2368" s="1">
        <v>49810</v>
      </c>
      <c r="F2368" t="s">
        <v>1988</v>
      </c>
      <c r="G2368" t="s">
        <v>2685</v>
      </c>
      <c r="H2368" t="s">
        <v>2</v>
      </c>
      <c r="I2368" s="1">
        <v>46224</v>
      </c>
      <c r="J2368" t="s">
        <v>2064</v>
      </c>
      <c r="K2368" t="s">
        <v>3933</v>
      </c>
      <c r="L2368" s="1">
        <v>46224.917650462965</v>
      </c>
      <c r="M2368" s="1">
        <v>46224.91962439815</v>
      </c>
    </row>
    <row r="2369" spans="1:13" x14ac:dyDescent="0.35">
      <c r="A2369" t="s">
        <v>1659</v>
      </c>
      <c r="B2369" t="s">
        <v>1986</v>
      </c>
      <c r="C2369" t="s">
        <v>2685</v>
      </c>
      <c r="D2369">
        <v>4.375</v>
      </c>
      <c r="E2369" s="1">
        <v>49810</v>
      </c>
      <c r="F2369" t="s">
        <v>1988</v>
      </c>
      <c r="G2369" t="s">
        <v>2685</v>
      </c>
      <c r="H2369" t="s">
        <v>2</v>
      </c>
      <c r="I2369" s="1">
        <v>46224</v>
      </c>
      <c r="J2369" t="s">
        <v>2146</v>
      </c>
      <c r="K2369" t="s">
        <v>3712</v>
      </c>
      <c r="L2369" s="1">
        <v>46224.917650462965</v>
      </c>
      <c r="M2369" s="1">
        <v>46224.91962439815</v>
      </c>
    </row>
    <row r="2370" spans="1:13" x14ac:dyDescent="0.35">
      <c r="A2370" t="s">
        <v>1660</v>
      </c>
      <c r="B2370" t="s">
        <v>1986</v>
      </c>
      <c r="C2370" t="s">
        <v>2743</v>
      </c>
      <c r="D2370">
        <v>3.875</v>
      </c>
      <c r="E2370" s="1">
        <v>47253</v>
      </c>
      <c r="F2370" t="s">
        <v>1988</v>
      </c>
      <c r="G2370" t="s">
        <v>2743</v>
      </c>
      <c r="H2370" t="s">
        <v>2</v>
      </c>
      <c r="I2370" s="1">
        <v>46224</v>
      </c>
      <c r="J2370" t="s">
        <v>2064</v>
      </c>
      <c r="K2370" t="s">
        <v>2515</v>
      </c>
      <c r="L2370" s="1">
        <v>46224.917650462965</v>
      </c>
      <c r="M2370" s="1">
        <v>46224.91962439815</v>
      </c>
    </row>
    <row r="2371" spans="1:13" x14ac:dyDescent="0.35">
      <c r="A2371" t="s">
        <v>1660</v>
      </c>
      <c r="B2371" t="s">
        <v>1986</v>
      </c>
      <c r="C2371" t="s">
        <v>2743</v>
      </c>
      <c r="D2371">
        <v>3.875</v>
      </c>
      <c r="E2371" s="1">
        <v>47253</v>
      </c>
      <c r="F2371" t="s">
        <v>1988</v>
      </c>
      <c r="G2371" t="s">
        <v>2743</v>
      </c>
      <c r="H2371" t="s">
        <v>2</v>
      </c>
      <c r="I2371" s="1">
        <v>46224</v>
      </c>
      <c r="J2371" t="s">
        <v>2065</v>
      </c>
      <c r="K2371" t="s">
        <v>2515</v>
      </c>
      <c r="L2371" s="1">
        <v>46224.917650462965</v>
      </c>
      <c r="M2371" s="1">
        <v>46224.91962439815</v>
      </c>
    </row>
    <row r="2372" spans="1:13" x14ac:dyDescent="0.35">
      <c r="A2372" t="s">
        <v>1660</v>
      </c>
      <c r="B2372" t="s">
        <v>1986</v>
      </c>
      <c r="C2372" t="s">
        <v>2743</v>
      </c>
      <c r="D2372">
        <v>3.875</v>
      </c>
      <c r="E2372" s="1">
        <v>47253</v>
      </c>
      <c r="F2372" t="s">
        <v>1988</v>
      </c>
      <c r="G2372" t="s">
        <v>2743</v>
      </c>
      <c r="H2372" t="s">
        <v>2</v>
      </c>
      <c r="I2372" s="1">
        <v>46224</v>
      </c>
      <c r="J2372" t="s">
        <v>1989</v>
      </c>
      <c r="K2372" t="s">
        <v>2901</v>
      </c>
      <c r="L2372" s="1">
        <v>46224.918321759258</v>
      </c>
      <c r="M2372" s="1">
        <v>46224.91962439815</v>
      </c>
    </row>
    <row r="2373" spans="1:13" x14ac:dyDescent="0.35">
      <c r="A2373" t="s">
        <v>1660</v>
      </c>
      <c r="B2373" t="s">
        <v>1986</v>
      </c>
      <c r="C2373" t="s">
        <v>2743</v>
      </c>
      <c r="D2373">
        <v>3.875</v>
      </c>
      <c r="E2373" s="1">
        <v>47253</v>
      </c>
      <c r="F2373" t="s">
        <v>1988</v>
      </c>
      <c r="G2373" t="s">
        <v>2743</v>
      </c>
      <c r="H2373" t="s">
        <v>2</v>
      </c>
      <c r="I2373" s="1">
        <v>46224</v>
      </c>
      <c r="J2373" t="s">
        <v>2146</v>
      </c>
      <c r="K2373" t="s">
        <v>2279</v>
      </c>
      <c r="L2373" s="1">
        <v>46224.917650462965</v>
      </c>
      <c r="M2373" s="1">
        <v>46224.91962439815</v>
      </c>
    </row>
    <row r="2374" spans="1:13" x14ac:dyDescent="0.35">
      <c r="A2374" t="s">
        <v>1660</v>
      </c>
      <c r="B2374" t="s">
        <v>1986</v>
      </c>
      <c r="C2374" t="s">
        <v>2743</v>
      </c>
      <c r="D2374">
        <v>3.875</v>
      </c>
      <c r="E2374" s="1">
        <v>47253</v>
      </c>
      <c r="F2374" t="s">
        <v>1988</v>
      </c>
      <c r="G2374" t="s">
        <v>2743</v>
      </c>
      <c r="H2374" t="s">
        <v>2</v>
      </c>
      <c r="I2374" s="1">
        <v>46224</v>
      </c>
      <c r="J2374" t="s">
        <v>2108</v>
      </c>
      <c r="K2374" t="s">
        <v>2279</v>
      </c>
      <c r="L2374" s="1">
        <v>46224.917650462965</v>
      </c>
      <c r="M2374" s="1">
        <v>46224.91962439815</v>
      </c>
    </row>
    <row r="2375" spans="1:13" x14ac:dyDescent="0.35">
      <c r="A2375" t="s">
        <v>1660</v>
      </c>
      <c r="B2375" t="s">
        <v>1986</v>
      </c>
      <c r="C2375" t="s">
        <v>2743</v>
      </c>
      <c r="D2375">
        <v>3.875</v>
      </c>
      <c r="E2375" s="1">
        <v>47253</v>
      </c>
      <c r="F2375" t="s">
        <v>1988</v>
      </c>
      <c r="G2375" t="s">
        <v>2743</v>
      </c>
      <c r="H2375" t="s">
        <v>2</v>
      </c>
      <c r="I2375" s="1">
        <v>46224</v>
      </c>
      <c r="J2375" t="s">
        <v>1991</v>
      </c>
      <c r="K2375" t="s">
        <v>2226</v>
      </c>
      <c r="L2375" s="1">
        <v>46224.918321759258</v>
      </c>
      <c r="M2375" s="1">
        <v>46224.91962439815</v>
      </c>
    </row>
    <row r="2376" spans="1:13" x14ac:dyDescent="0.35">
      <c r="A2376" t="s">
        <v>1743</v>
      </c>
      <c r="B2376" t="s">
        <v>1986</v>
      </c>
      <c r="C2376" t="s">
        <v>2686</v>
      </c>
      <c r="D2376">
        <v>4</v>
      </c>
      <c r="E2376" s="1">
        <v>46904</v>
      </c>
      <c r="F2376" t="s">
        <v>1988</v>
      </c>
      <c r="G2376" t="s">
        <v>2686</v>
      </c>
      <c r="H2376" t="s">
        <v>2</v>
      </c>
      <c r="I2376" s="1">
        <v>46224</v>
      </c>
      <c r="J2376" t="s">
        <v>2064</v>
      </c>
      <c r="K2376" t="s">
        <v>2526</v>
      </c>
      <c r="L2376" s="1">
        <v>46224.917650462965</v>
      </c>
      <c r="M2376" s="1">
        <v>46224.91962439815</v>
      </c>
    </row>
    <row r="2377" spans="1:13" x14ac:dyDescent="0.35">
      <c r="A2377" t="s">
        <v>1743</v>
      </c>
      <c r="B2377" t="s">
        <v>1986</v>
      </c>
      <c r="C2377" t="s">
        <v>2686</v>
      </c>
      <c r="D2377">
        <v>4</v>
      </c>
      <c r="E2377" s="1">
        <v>46904</v>
      </c>
      <c r="F2377" t="s">
        <v>1988</v>
      </c>
      <c r="G2377" t="s">
        <v>2686</v>
      </c>
      <c r="H2377" t="s">
        <v>2</v>
      </c>
      <c r="I2377" s="1">
        <v>46224</v>
      </c>
      <c r="J2377" t="s">
        <v>1991</v>
      </c>
      <c r="K2377" t="s">
        <v>2412</v>
      </c>
      <c r="L2377" s="1">
        <v>46224.918321759258</v>
      </c>
      <c r="M2377" s="1">
        <v>46224.91962439815</v>
      </c>
    </row>
    <row r="2378" spans="1:13" x14ac:dyDescent="0.35">
      <c r="A2378" t="s">
        <v>1743</v>
      </c>
      <c r="B2378" t="s">
        <v>1986</v>
      </c>
      <c r="C2378" t="s">
        <v>2686</v>
      </c>
      <c r="D2378">
        <v>4</v>
      </c>
      <c r="E2378" s="1">
        <v>46904</v>
      </c>
      <c r="F2378" t="s">
        <v>1988</v>
      </c>
      <c r="G2378" t="s">
        <v>2686</v>
      </c>
      <c r="H2378" t="s">
        <v>2</v>
      </c>
      <c r="I2378" s="1">
        <v>46224</v>
      </c>
      <c r="J2378" t="s">
        <v>2065</v>
      </c>
      <c r="K2378" t="s">
        <v>2526</v>
      </c>
      <c r="L2378" s="1">
        <v>46224.917650462965</v>
      </c>
      <c r="M2378" s="1">
        <v>46224.91962439815</v>
      </c>
    </row>
    <row r="2379" spans="1:13" x14ac:dyDescent="0.35">
      <c r="A2379" t="s">
        <v>1743</v>
      </c>
      <c r="B2379" t="s">
        <v>1986</v>
      </c>
      <c r="C2379" t="s">
        <v>2686</v>
      </c>
      <c r="D2379">
        <v>4</v>
      </c>
      <c r="E2379" s="1">
        <v>46904</v>
      </c>
      <c r="F2379" t="s">
        <v>1988</v>
      </c>
      <c r="G2379" t="s">
        <v>2686</v>
      </c>
      <c r="H2379" t="s">
        <v>2</v>
      </c>
      <c r="I2379" s="1">
        <v>46224</v>
      </c>
      <c r="J2379" t="s">
        <v>2146</v>
      </c>
      <c r="K2379" t="s">
        <v>2966</v>
      </c>
      <c r="L2379" s="1">
        <v>46224.917650462965</v>
      </c>
      <c r="M2379" s="1">
        <v>46224.91962439815</v>
      </c>
    </row>
    <row r="2380" spans="1:13" x14ac:dyDescent="0.35">
      <c r="A2380" t="s">
        <v>1743</v>
      </c>
      <c r="B2380" t="s">
        <v>1986</v>
      </c>
      <c r="C2380" t="s">
        <v>2686</v>
      </c>
      <c r="D2380">
        <v>4</v>
      </c>
      <c r="E2380" s="1">
        <v>46904</v>
      </c>
      <c r="F2380" t="s">
        <v>1988</v>
      </c>
      <c r="G2380" t="s">
        <v>2686</v>
      </c>
      <c r="H2380" t="s">
        <v>2</v>
      </c>
      <c r="I2380" s="1">
        <v>46224</v>
      </c>
      <c r="J2380" t="s">
        <v>1989</v>
      </c>
      <c r="K2380" t="s">
        <v>3010</v>
      </c>
      <c r="L2380" s="1">
        <v>46224.918321759258</v>
      </c>
      <c r="M2380" s="1">
        <v>46224.91962439815</v>
      </c>
    </row>
    <row r="2381" spans="1:13" x14ac:dyDescent="0.35">
      <c r="A2381" t="s">
        <v>1743</v>
      </c>
      <c r="B2381" t="s">
        <v>1986</v>
      </c>
      <c r="C2381" t="s">
        <v>2686</v>
      </c>
      <c r="D2381">
        <v>4</v>
      </c>
      <c r="E2381" s="1">
        <v>46904</v>
      </c>
      <c r="F2381" t="s">
        <v>1988</v>
      </c>
      <c r="G2381" t="s">
        <v>2686</v>
      </c>
      <c r="H2381" t="s">
        <v>2</v>
      </c>
      <c r="I2381" s="1">
        <v>46224</v>
      </c>
      <c r="J2381" t="s">
        <v>2108</v>
      </c>
      <c r="K2381" t="s">
        <v>2966</v>
      </c>
      <c r="L2381" s="1">
        <v>46224.917650462965</v>
      </c>
      <c r="M2381" s="1">
        <v>46224.91962439815</v>
      </c>
    </row>
    <row r="2382" spans="1:13" x14ac:dyDescent="0.35">
      <c r="A2382" t="s">
        <v>1745</v>
      </c>
      <c r="B2382" t="s">
        <v>1986</v>
      </c>
      <c r="C2382" t="s">
        <v>2744</v>
      </c>
      <c r="D2382">
        <v>4.25</v>
      </c>
      <c r="E2382" s="1">
        <v>48730</v>
      </c>
      <c r="F2382" t="s">
        <v>1988</v>
      </c>
      <c r="G2382" t="s">
        <v>2744</v>
      </c>
      <c r="H2382" t="s">
        <v>2</v>
      </c>
      <c r="I2382" s="1">
        <v>46224</v>
      </c>
      <c r="J2382" t="s">
        <v>1989</v>
      </c>
      <c r="K2382" t="s">
        <v>2873</v>
      </c>
      <c r="L2382" s="1">
        <v>46224.918321759258</v>
      </c>
      <c r="M2382" s="1">
        <v>46224.91962439815</v>
      </c>
    </row>
    <row r="2383" spans="1:13" x14ac:dyDescent="0.35">
      <c r="A2383" t="s">
        <v>1745</v>
      </c>
      <c r="B2383" t="s">
        <v>1986</v>
      </c>
      <c r="C2383" t="s">
        <v>2744</v>
      </c>
      <c r="D2383">
        <v>4.25</v>
      </c>
      <c r="E2383" s="1">
        <v>48730</v>
      </c>
      <c r="F2383" t="s">
        <v>1988</v>
      </c>
      <c r="G2383" t="s">
        <v>2744</v>
      </c>
      <c r="H2383" t="s">
        <v>2</v>
      </c>
      <c r="I2383" s="1">
        <v>46224</v>
      </c>
      <c r="J2383" t="s">
        <v>1991</v>
      </c>
      <c r="K2383" t="s">
        <v>2409</v>
      </c>
      <c r="L2383" s="1">
        <v>46224.918321759258</v>
      </c>
      <c r="M2383" s="1">
        <v>46224.91962439815</v>
      </c>
    </row>
    <row r="2384" spans="1:13" x14ac:dyDescent="0.35">
      <c r="A2384" t="s">
        <v>1745</v>
      </c>
      <c r="B2384" t="s">
        <v>1986</v>
      </c>
      <c r="C2384" t="s">
        <v>2744</v>
      </c>
      <c r="D2384">
        <v>4.25</v>
      </c>
      <c r="E2384" s="1">
        <v>48730</v>
      </c>
      <c r="F2384" t="s">
        <v>1988</v>
      </c>
      <c r="G2384" t="s">
        <v>2744</v>
      </c>
      <c r="H2384" t="s">
        <v>2</v>
      </c>
      <c r="I2384" s="1">
        <v>46224</v>
      </c>
      <c r="J2384" t="s">
        <v>2064</v>
      </c>
      <c r="K2384" t="s">
        <v>3833</v>
      </c>
      <c r="L2384" s="1">
        <v>46224.917650462965</v>
      </c>
      <c r="M2384" s="1">
        <v>46224.91962439815</v>
      </c>
    </row>
    <row r="2385" spans="1:13" x14ac:dyDescent="0.35">
      <c r="A2385" t="s">
        <v>1745</v>
      </c>
      <c r="B2385" t="s">
        <v>1986</v>
      </c>
      <c r="C2385" t="s">
        <v>2744</v>
      </c>
      <c r="D2385">
        <v>4.25</v>
      </c>
      <c r="E2385" s="1">
        <v>48730</v>
      </c>
      <c r="F2385" t="s">
        <v>1988</v>
      </c>
      <c r="G2385" t="s">
        <v>2744</v>
      </c>
      <c r="H2385" t="s">
        <v>2</v>
      </c>
      <c r="I2385" s="1">
        <v>46224</v>
      </c>
      <c r="J2385" t="s">
        <v>2108</v>
      </c>
      <c r="K2385" t="s">
        <v>3934</v>
      </c>
      <c r="L2385" s="1">
        <v>46224.917650462965</v>
      </c>
      <c r="M2385" s="1">
        <v>46224.91962439815</v>
      </c>
    </row>
    <row r="2386" spans="1:13" x14ac:dyDescent="0.35">
      <c r="A2386" t="s">
        <v>1745</v>
      </c>
      <c r="B2386" t="s">
        <v>1986</v>
      </c>
      <c r="C2386" t="s">
        <v>2744</v>
      </c>
      <c r="D2386">
        <v>4.25</v>
      </c>
      <c r="E2386" s="1">
        <v>48730</v>
      </c>
      <c r="F2386" t="s">
        <v>1988</v>
      </c>
      <c r="G2386" t="s">
        <v>2744</v>
      </c>
      <c r="H2386" t="s">
        <v>2</v>
      </c>
      <c r="I2386" s="1">
        <v>46224</v>
      </c>
      <c r="J2386" t="s">
        <v>2146</v>
      </c>
      <c r="K2386" t="s">
        <v>3934</v>
      </c>
      <c r="L2386" s="1">
        <v>46224.917650462965</v>
      </c>
      <c r="M2386" s="1">
        <v>46224.91962439815</v>
      </c>
    </row>
    <row r="2387" spans="1:13" x14ac:dyDescent="0.35">
      <c r="A2387" t="s">
        <v>1745</v>
      </c>
      <c r="B2387" t="s">
        <v>1986</v>
      </c>
      <c r="C2387" t="s">
        <v>2744</v>
      </c>
      <c r="D2387">
        <v>4.25</v>
      </c>
      <c r="E2387" s="1">
        <v>48730</v>
      </c>
      <c r="F2387" t="s">
        <v>1988</v>
      </c>
      <c r="G2387" t="s">
        <v>2744</v>
      </c>
      <c r="H2387" t="s">
        <v>2</v>
      </c>
      <c r="I2387" s="1">
        <v>46224</v>
      </c>
      <c r="J2387" t="s">
        <v>2065</v>
      </c>
      <c r="K2387" t="s">
        <v>3833</v>
      </c>
      <c r="L2387" s="1">
        <v>46224.917650462965</v>
      </c>
      <c r="M2387" s="1">
        <v>46224.91962439815</v>
      </c>
    </row>
    <row r="2388" spans="1:13" x14ac:dyDescent="0.35">
      <c r="A2388" t="s">
        <v>1742</v>
      </c>
      <c r="B2388" t="s">
        <v>1986</v>
      </c>
      <c r="C2388" t="s">
        <v>2745</v>
      </c>
      <c r="D2388">
        <v>4.125</v>
      </c>
      <c r="E2388" s="1">
        <v>47999</v>
      </c>
      <c r="F2388" t="s">
        <v>1988</v>
      </c>
      <c r="G2388" t="s">
        <v>2745</v>
      </c>
      <c r="H2388" t="s">
        <v>2</v>
      </c>
      <c r="I2388" s="1">
        <v>46224</v>
      </c>
      <c r="J2388" t="s">
        <v>1989</v>
      </c>
      <c r="K2388" t="s">
        <v>2465</v>
      </c>
      <c r="L2388" s="1">
        <v>46224.918321759258</v>
      </c>
      <c r="M2388" s="1">
        <v>46224.91962439815</v>
      </c>
    </row>
    <row r="2389" spans="1:13" x14ac:dyDescent="0.35">
      <c r="A2389" t="s">
        <v>1742</v>
      </c>
      <c r="B2389" t="s">
        <v>1986</v>
      </c>
      <c r="C2389" t="s">
        <v>2745</v>
      </c>
      <c r="D2389">
        <v>4.125</v>
      </c>
      <c r="E2389" s="1">
        <v>47999</v>
      </c>
      <c r="F2389" t="s">
        <v>1988</v>
      </c>
      <c r="G2389" t="s">
        <v>2745</v>
      </c>
      <c r="H2389" t="s">
        <v>2</v>
      </c>
      <c r="I2389" s="1">
        <v>46224</v>
      </c>
      <c r="J2389" t="s">
        <v>2146</v>
      </c>
      <c r="K2389" t="s">
        <v>2694</v>
      </c>
      <c r="L2389" s="1">
        <v>46224.917650462965</v>
      </c>
      <c r="M2389" s="1">
        <v>46224.91962439815</v>
      </c>
    </row>
    <row r="2390" spans="1:13" x14ac:dyDescent="0.35">
      <c r="A2390" t="s">
        <v>1742</v>
      </c>
      <c r="B2390" t="s">
        <v>1986</v>
      </c>
      <c r="C2390" t="s">
        <v>2745</v>
      </c>
      <c r="D2390">
        <v>4.125</v>
      </c>
      <c r="E2390" s="1">
        <v>47999</v>
      </c>
      <c r="F2390" t="s">
        <v>1988</v>
      </c>
      <c r="G2390" t="s">
        <v>2745</v>
      </c>
      <c r="H2390" t="s">
        <v>2</v>
      </c>
      <c r="I2390" s="1">
        <v>46224</v>
      </c>
      <c r="J2390" t="s">
        <v>1991</v>
      </c>
      <c r="K2390" t="s">
        <v>3775</v>
      </c>
      <c r="L2390" s="1">
        <v>46224.918321759258</v>
      </c>
      <c r="M2390" s="1">
        <v>46224.91962439815</v>
      </c>
    </row>
    <row r="2391" spans="1:13" x14ac:dyDescent="0.35">
      <c r="A2391" t="s">
        <v>1742</v>
      </c>
      <c r="B2391" t="s">
        <v>1986</v>
      </c>
      <c r="C2391" t="s">
        <v>2745</v>
      </c>
      <c r="D2391">
        <v>4.125</v>
      </c>
      <c r="E2391" s="1">
        <v>47999</v>
      </c>
      <c r="F2391" t="s">
        <v>1988</v>
      </c>
      <c r="G2391" t="s">
        <v>2745</v>
      </c>
      <c r="H2391" t="s">
        <v>2</v>
      </c>
      <c r="I2391" s="1">
        <v>46224</v>
      </c>
      <c r="J2391" t="s">
        <v>2108</v>
      </c>
      <c r="K2391" t="s">
        <v>2694</v>
      </c>
      <c r="L2391" s="1">
        <v>46224.917650462965</v>
      </c>
      <c r="M2391" s="1">
        <v>46224.91962439815</v>
      </c>
    </row>
    <row r="2392" spans="1:13" x14ac:dyDescent="0.35">
      <c r="A2392" t="s">
        <v>1742</v>
      </c>
      <c r="B2392" t="s">
        <v>1986</v>
      </c>
      <c r="C2392" t="s">
        <v>2745</v>
      </c>
      <c r="D2392">
        <v>4.125</v>
      </c>
      <c r="E2392" s="1">
        <v>47999</v>
      </c>
      <c r="F2392" t="s">
        <v>1988</v>
      </c>
      <c r="G2392" t="s">
        <v>2745</v>
      </c>
      <c r="H2392" t="s">
        <v>2</v>
      </c>
      <c r="I2392" s="1">
        <v>46224</v>
      </c>
      <c r="J2392" t="s">
        <v>2064</v>
      </c>
      <c r="K2392" t="s">
        <v>3657</v>
      </c>
      <c r="L2392" s="1">
        <v>46224.917650462965</v>
      </c>
      <c r="M2392" s="1">
        <v>46224.91962439815</v>
      </c>
    </row>
    <row r="2393" spans="1:13" x14ac:dyDescent="0.35">
      <c r="A2393" t="s">
        <v>1742</v>
      </c>
      <c r="B2393" t="s">
        <v>1986</v>
      </c>
      <c r="C2393" t="s">
        <v>2745</v>
      </c>
      <c r="D2393">
        <v>4.125</v>
      </c>
      <c r="E2393" s="1">
        <v>47999</v>
      </c>
      <c r="F2393" t="s">
        <v>1988</v>
      </c>
      <c r="G2393" t="s">
        <v>2745</v>
      </c>
      <c r="H2393" t="s">
        <v>2</v>
      </c>
      <c r="I2393" s="1">
        <v>46224</v>
      </c>
      <c r="J2393" t="s">
        <v>2065</v>
      </c>
      <c r="K2393" t="s">
        <v>3657</v>
      </c>
      <c r="L2393" s="1">
        <v>46224.917650462965</v>
      </c>
      <c r="M2393" s="1">
        <v>46224.91962439815</v>
      </c>
    </row>
    <row r="2394" spans="1:13" x14ac:dyDescent="0.35">
      <c r="A2394" t="s">
        <v>1744</v>
      </c>
      <c r="B2394" t="s">
        <v>1986</v>
      </c>
      <c r="C2394" t="s">
        <v>2687</v>
      </c>
      <c r="D2394">
        <v>4.125</v>
      </c>
      <c r="E2394" s="1">
        <v>47284</v>
      </c>
      <c r="F2394" t="s">
        <v>1988</v>
      </c>
      <c r="G2394" t="s">
        <v>2687</v>
      </c>
      <c r="H2394" t="s">
        <v>2</v>
      </c>
      <c r="I2394" s="1">
        <v>46224</v>
      </c>
      <c r="J2394" t="s">
        <v>1991</v>
      </c>
      <c r="K2394" t="s">
        <v>3010</v>
      </c>
      <c r="L2394" s="1">
        <v>46224.918321759258</v>
      </c>
      <c r="M2394" s="1">
        <v>46224.91962439815</v>
      </c>
    </row>
    <row r="2395" spans="1:13" x14ac:dyDescent="0.35">
      <c r="A2395" t="s">
        <v>1744</v>
      </c>
      <c r="B2395" t="s">
        <v>1986</v>
      </c>
      <c r="C2395" t="s">
        <v>2687</v>
      </c>
      <c r="D2395">
        <v>4.125</v>
      </c>
      <c r="E2395" s="1">
        <v>47284</v>
      </c>
      <c r="F2395" t="s">
        <v>1988</v>
      </c>
      <c r="G2395" t="s">
        <v>2687</v>
      </c>
      <c r="H2395" t="s">
        <v>2</v>
      </c>
      <c r="I2395" s="1">
        <v>46224</v>
      </c>
      <c r="J2395" t="s">
        <v>2108</v>
      </c>
      <c r="K2395" t="s">
        <v>2925</v>
      </c>
      <c r="L2395" s="1">
        <v>46224.917650462965</v>
      </c>
      <c r="M2395" s="1">
        <v>46224.91962439815</v>
      </c>
    </row>
    <row r="2396" spans="1:13" x14ac:dyDescent="0.35">
      <c r="A2396" t="s">
        <v>1744</v>
      </c>
      <c r="B2396" t="s">
        <v>1986</v>
      </c>
      <c r="C2396" t="s">
        <v>2687</v>
      </c>
      <c r="D2396">
        <v>4.125</v>
      </c>
      <c r="E2396" s="1">
        <v>47284</v>
      </c>
      <c r="F2396" t="s">
        <v>1988</v>
      </c>
      <c r="G2396" t="s">
        <v>2687</v>
      </c>
      <c r="H2396" t="s">
        <v>2</v>
      </c>
      <c r="I2396" s="1">
        <v>46224</v>
      </c>
      <c r="J2396" t="s">
        <v>2065</v>
      </c>
      <c r="K2396" t="s">
        <v>2363</v>
      </c>
      <c r="L2396" s="1">
        <v>46224.917650462965</v>
      </c>
      <c r="M2396" s="1">
        <v>46224.91962439815</v>
      </c>
    </row>
    <row r="2397" spans="1:13" x14ac:dyDescent="0.35">
      <c r="A2397" t="s">
        <v>1744</v>
      </c>
      <c r="B2397" t="s">
        <v>1986</v>
      </c>
      <c r="C2397" t="s">
        <v>2687</v>
      </c>
      <c r="D2397">
        <v>4.125</v>
      </c>
      <c r="E2397" s="1">
        <v>47284</v>
      </c>
      <c r="F2397" t="s">
        <v>1988</v>
      </c>
      <c r="G2397" t="s">
        <v>2687</v>
      </c>
      <c r="H2397" t="s">
        <v>2</v>
      </c>
      <c r="I2397" s="1">
        <v>46224</v>
      </c>
      <c r="J2397" t="s">
        <v>1989</v>
      </c>
      <c r="K2397" t="s">
        <v>2885</v>
      </c>
      <c r="L2397" s="1">
        <v>46224.918321759258</v>
      </c>
      <c r="M2397" s="1">
        <v>46224.91962439815</v>
      </c>
    </row>
    <row r="2398" spans="1:13" x14ac:dyDescent="0.35">
      <c r="A2398" t="s">
        <v>1744</v>
      </c>
      <c r="B2398" t="s">
        <v>1986</v>
      </c>
      <c r="C2398" t="s">
        <v>2687</v>
      </c>
      <c r="D2398">
        <v>4.125</v>
      </c>
      <c r="E2398" s="1">
        <v>47284</v>
      </c>
      <c r="F2398" t="s">
        <v>1988</v>
      </c>
      <c r="G2398" t="s">
        <v>2687</v>
      </c>
      <c r="H2398" t="s">
        <v>2</v>
      </c>
      <c r="I2398" s="1">
        <v>46224</v>
      </c>
      <c r="J2398" t="s">
        <v>2064</v>
      </c>
      <c r="K2398" t="s">
        <v>2363</v>
      </c>
      <c r="L2398" s="1">
        <v>46224.917650462965</v>
      </c>
      <c r="M2398" s="1">
        <v>46224.91962439815</v>
      </c>
    </row>
    <row r="2399" spans="1:13" x14ac:dyDescent="0.35">
      <c r="A2399" t="s">
        <v>1744</v>
      </c>
      <c r="B2399" t="s">
        <v>1986</v>
      </c>
      <c r="C2399" t="s">
        <v>2687</v>
      </c>
      <c r="D2399">
        <v>4.125</v>
      </c>
      <c r="E2399" s="1">
        <v>47284</v>
      </c>
      <c r="F2399" t="s">
        <v>1988</v>
      </c>
      <c r="G2399" t="s">
        <v>2687</v>
      </c>
      <c r="H2399" t="s">
        <v>2</v>
      </c>
      <c r="I2399" s="1">
        <v>46224</v>
      </c>
      <c r="J2399" t="s">
        <v>2146</v>
      </c>
      <c r="K2399" t="s">
        <v>2925</v>
      </c>
      <c r="L2399" s="1">
        <v>46224.917650462965</v>
      </c>
      <c r="M2399" s="1">
        <v>46224.91962439815</v>
      </c>
    </row>
    <row r="2400" spans="1:13" x14ac:dyDescent="0.35">
      <c r="A2400" t="s">
        <v>1770</v>
      </c>
      <c r="B2400" t="s">
        <v>1986</v>
      </c>
      <c r="C2400" t="s">
        <v>2688</v>
      </c>
      <c r="D2400">
        <v>4.25</v>
      </c>
      <c r="E2400" s="1">
        <v>48760</v>
      </c>
      <c r="F2400" t="s">
        <v>1988</v>
      </c>
      <c r="G2400" t="s">
        <v>2688</v>
      </c>
      <c r="H2400" t="s">
        <v>2</v>
      </c>
      <c r="I2400" s="1">
        <v>46224</v>
      </c>
      <c r="J2400" t="s">
        <v>1989</v>
      </c>
      <c r="K2400" t="s">
        <v>3675</v>
      </c>
      <c r="L2400" s="1">
        <v>46224.918321759258</v>
      </c>
      <c r="M2400" s="1">
        <v>46224.91962439815</v>
      </c>
    </row>
    <row r="2401" spans="1:13" x14ac:dyDescent="0.35">
      <c r="A2401" t="s">
        <v>1770</v>
      </c>
      <c r="B2401" t="s">
        <v>1986</v>
      </c>
      <c r="C2401" t="s">
        <v>2688</v>
      </c>
      <c r="D2401">
        <v>4.25</v>
      </c>
      <c r="E2401" s="1">
        <v>48760</v>
      </c>
      <c r="F2401" t="s">
        <v>1988</v>
      </c>
      <c r="G2401" t="s">
        <v>2688</v>
      </c>
      <c r="H2401" t="s">
        <v>2</v>
      </c>
      <c r="I2401" s="1">
        <v>46224</v>
      </c>
      <c r="J2401" t="s">
        <v>2108</v>
      </c>
      <c r="K2401" t="s">
        <v>3834</v>
      </c>
      <c r="L2401" s="1">
        <v>46224.917650462965</v>
      </c>
      <c r="M2401" s="1">
        <v>46224.91962439815</v>
      </c>
    </row>
    <row r="2402" spans="1:13" x14ac:dyDescent="0.35">
      <c r="A2402" t="s">
        <v>1770</v>
      </c>
      <c r="B2402" t="s">
        <v>1986</v>
      </c>
      <c r="C2402" t="s">
        <v>2688</v>
      </c>
      <c r="D2402">
        <v>4.25</v>
      </c>
      <c r="E2402" s="1">
        <v>48760</v>
      </c>
      <c r="F2402" t="s">
        <v>1988</v>
      </c>
      <c r="G2402" t="s">
        <v>2688</v>
      </c>
      <c r="H2402" t="s">
        <v>2</v>
      </c>
      <c r="I2402" s="1">
        <v>46224</v>
      </c>
      <c r="J2402" t="s">
        <v>2064</v>
      </c>
      <c r="K2402" t="s">
        <v>3621</v>
      </c>
      <c r="L2402" s="1">
        <v>46224.917650462965</v>
      </c>
      <c r="M2402" s="1">
        <v>46224.91962439815</v>
      </c>
    </row>
    <row r="2403" spans="1:13" x14ac:dyDescent="0.35">
      <c r="A2403" t="s">
        <v>1770</v>
      </c>
      <c r="B2403" t="s">
        <v>1986</v>
      </c>
      <c r="C2403" t="s">
        <v>2688</v>
      </c>
      <c r="D2403">
        <v>4.25</v>
      </c>
      <c r="E2403" s="1">
        <v>48760</v>
      </c>
      <c r="F2403" t="s">
        <v>1988</v>
      </c>
      <c r="G2403" t="s">
        <v>2688</v>
      </c>
      <c r="H2403" t="s">
        <v>2</v>
      </c>
      <c r="I2403" s="1">
        <v>46224</v>
      </c>
      <c r="J2403" t="s">
        <v>2146</v>
      </c>
      <c r="K2403" t="s">
        <v>3834</v>
      </c>
      <c r="L2403" s="1">
        <v>46224.917650462965</v>
      </c>
      <c r="M2403" s="1">
        <v>46224.91962439815</v>
      </c>
    </row>
    <row r="2404" spans="1:13" x14ac:dyDescent="0.35">
      <c r="A2404" t="s">
        <v>1770</v>
      </c>
      <c r="B2404" t="s">
        <v>1986</v>
      </c>
      <c r="C2404" t="s">
        <v>2688</v>
      </c>
      <c r="D2404">
        <v>4.25</v>
      </c>
      <c r="E2404" s="1">
        <v>48760</v>
      </c>
      <c r="F2404" t="s">
        <v>1988</v>
      </c>
      <c r="G2404" t="s">
        <v>2688</v>
      </c>
      <c r="H2404" t="s">
        <v>2</v>
      </c>
      <c r="I2404" s="1">
        <v>46224</v>
      </c>
      <c r="J2404" t="s">
        <v>2065</v>
      </c>
      <c r="K2404" t="s">
        <v>3621</v>
      </c>
      <c r="L2404" s="1">
        <v>46224.917650462965</v>
      </c>
      <c r="M2404" s="1">
        <v>46224.91962439815</v>
      </c>
    </row>
    <row r="2405" spans="1:13" x14ac:dyDescent="0.35">
      <c r="A2405" t="s">
        <v>1770</v>
      </c>
      <c r="B2405" t="s">
        <v>1986</v>
      </c>
      <c r="C2405" t="s">
        <v>2688</v>
      </c>
      <c r="D2405">
        <v>4.25</v>
      </c>
      <c r="E2405" s="1">
        <v>48760</v>
      </c>
      <c r="F2405" t="s">
        <v>1988</v>
      </c>
      <c r="G2405" t="s">
        <v>2688</v>
      </c>
      <c r="H2405" t="s">
        <v>2</v>
      </c>
      <c r="I2405" s="1">
        <v>46224</v>
      </c>
      <c r="J2405" t="s">
        <v>1991</v>
      </c>
      <c r="K2405" t="s">
        <v>3935</v>
      </c>
      <c r="L2405" s="1">
        <v>46224.918321759258</v>
      </c>
      <c r="M2405" s="1">
        <v>46224.91962439815</v>
      </c>
    </row>
    <row r="2406" spans="1:13" x14ac:dyDescent="0.35">
      <c r="A2406" t="s">
        <v>1771</v>
      </c>
      <c r="B2406" t="s">
        <v>1986</v>
      </c>
      <c r="C2406" t="s">
        <v>2724</v>
      </c>
      <c r="D2406">
        <v>4.125</v>
      </c>
      <c r="E2406" s="1">
        <v>48029</v>
      </c>
      <c r="F2406" t="s">
        <v>1988</v>
      </c>
      <c r="G2406" t="s">
        <v>2724</v>
      </c>
      <c r="H2406" t="s">
        <v>2</v>
      </c>
      <c r="I2406" s="1">
        <v>46224</v>
      </c>
      <c r="J2406" t="s">
        <v>1989</v>
      </c>
      <c r="K2406" t="s">
        <v>2567</v>
      </c>
      <c r="L2406" s="1">
        <v>46224.918321759258</v>
      </c>
      <c r="M2406" s="1">
        <v>46224.91962439815</v>
      </c>
    </row>
    <row r="2407" spans="1:13" x14ac:dyDescent="0.35">
      <c r="A2407" t="s">
        <v>1771</v>
      </c>
      <c r="B2407" t="s">
        <v>1986</v>
      </c>
      <c r="C2407" t="s">
        <v>2724</v>
      </c>
      <c r="D2407">
        <v>4.125</v>
      </c>
      <c r="E2407" s="1">
        <v>48029</v>
      </c>
      <c r="F2407" t="s">
        <v>1988</v>
      </c>
      <c r="G2407" t="s">
        <v>2724</v>
      </c>
      <c r="H2407" t="s">
        <v>2</v>
      </c>
      <c r="I2407" s="1">
        <v>46224</v>
      </c>
      <c r="J2407" t="s">
        <v>2064</v>
      </c>
      <c r="K2407" t="s">
        <v>3657</v>
      </c>
      <c r="L2407" s="1">
        <v>46224.917650462965</v>
      </c>
      <c r="M2407" s="1">
        <v>46224.91962439815</v>
      </c>
    </row>
    <row r="2408" spans="1:13" x14ac:dyDescent="0.35">
      <c r="A2408" t="s">
        <v>1771</v>
      </c>
      <c r="B2408" t="s">
        <v>1986</v>
      </c>
      <c r="C2408" t="s">
        <v>2724</v>
      </c>
      <c r="D2408">
        <v>4.125</v>
      </c>
      <c r="E2408" s="1">
        <v>48029</v>
      </c>
      <c r="F2408" t="s">
        <v>1988</v>
      </c>
      <c r="G2408" t="s">
        <v>2724</v>
      </c>
      <c r="H2408" t="s">
        <v>2</v>
      </c>
      <c r="I2408" s="1">
        <v>46224</v>
      </c>
      <c r="J2408" t="s">
        <v>2108</v>
      </c>
      <c r="K2408" t="s">
        <v>2888</v>
      </c>
      <c r="L2408" s="1">
        <v>46224.917650462965</v>
      </c>
      <c r="M2408" s="1">
        <v>46224.91962439815</v>
      </c>
    </row>
    <row r="2409" spans="1:13" x14ac:dyDescent="0.35">
      <c r="A2409" t="s">
        <v>1771</v>
      </c>
      <c r="B2409" t="s">
        <v>1986</v>
      </c>
      <c r="C2409" t="s">
        <v>2724</v>
      </c>
      <c r="D2409">
        <v>4.125</v>
      </c>
      <c r="E2409" s="1">
        <v>48029</v>
      </c>
      <c r="F2409" t="s">
        <v>1988</v>
      </c>
      <c r="G2409" t="s">
        <v>2724</v>
      </c>
      <c r="H2409" t="s">
        <v>2</v>
      </c>
      <c r="I2409" s="1">
        <v>46224</v>
      </c>
      <c r="J2409" t="s">
        <v>2146</v>
      </c>
      <c r="K2409" t="s">
        <v>2888</v>
      </c>
      <c r="L2409" s="1">
        <v>46224.917650462965</v>
      </c>
      <c r="M2409" s="1">
        <v>46224.91962439815</v>
      </c>
    </row>
    <row r="2410" spans="1:13" x14ac:dyDescent="0.35">
      <c r="A2410" t="s">
        <v>1771</v>
      </c>
      <c r="B2410" t="s">
        <v>1986</v>
      </c>
      <c r="C2410" t="s">
        <v>2724</v>
      </c>
      <c r="D2410">
        <v>4.125</v>
      </c>
      <c r="E2410" s="1">
        <v>48029</v>
      </c>
      <c r="F2410" t="s">
        <v>1988</v>
      </c>
      <c r="G2410" t="s">
        <v>2724</v>
      </c>
      <c r="H2410" t="s">
        <v>2</v>
      </c>
      <c r="I2410" s="1">
        <v>46224</v>
      </c>
      <c r="J2410" t="s">
        <v>2065</v>
      </c>
      <c r="K2410" t="s">
        <v>3657</v>
      </c>
      <c r="L2410" s="1">
        <v>46224.917650462965</v>
      </c>
      <c r="M2410" s="1">
        <v>46224.91962439815</v>
      </c>
    </row>
    <row r="2411" spans="1:13" x14ac:dyDescent="0.35">
      <c r="A2411" t="s">
        <v>1771</v>
      </c>
      <c r="B2411" t="s">
        <v>1986</v>
      </c>
      <c r="C2411" t="s">
        <v>2724</v>
      </c>
      <c r="D2411">
        <v>4.125</v>
      </c>
      <c r="E2411" s="1">
        <v>48029</v>
      </c>
      <c r="F2411" t="s">
        <v>1988</v>
      </c>
      <c r="G2411" t="s">
        <v>2724</v>
      </c>
      <c r="H2411" t="s">
        <v>2</v>
      </c>
      <c r="I2411" s="1">
        <v>46224</v>
      </c>
      <c r="J2411" t="s">
        <v>1991</v>
      </c>
      <c r="K2411" t="s">
        <v>2261</v>
      </c>
      <c r="L2411" s="1">
        <v>46224.918321759258</v>
      </c>
      <c r="M2411" s="1">
        <v>46224.91962439815</v>
      </c>
    </row>
    <row r="2412" spans="1:13" x14ac:dyDescent="0.35">
      <c r="A2412" t="s">
        <v>1769</v>
      </c>
      <c r="B2412" t="s">
        <v>1986</v>
      </c>
      <c r="C2412" t="s">
        <v>2689</v>
      </c>
      <c r="D2412">
        <v>4.125</v>
      </c>
      <c r="E2412" s="1">
        <v>46934</v>
      </c>
      <c r="F2412" t="s">
        <v>1988</v>
      </c>
      <c r="G2412" t="s">
        <v>2689</v>
      </c>
      <c r="H2412" t="s">
        <v>2</v>
      </c>
      <c r="I2412" s="1">
        <v>46224</v>
      </c>
      <c r="J2412" t="s">
        <v>2064</v>
      </c>
      <c r="K2412" t="s">
        <v>2528</v>
      </c>
      <c r="L2412" s="1">
        <v>46224.917650462965</v>
      </c>
      <c r="M2412" s="1">
        <v>46224.91962439815</v>
      </c>
    </row>
    <row r="2413" spans="1:13" x14ac:dyDescent="0.35">
      <c r="A2413" t="s">
        <v>1769</v>
      </c>
      <c r="B2413" t="s">
        <v>1986</v>
      </c>
      <c r="C2413" t="s">
        <v>2689</v>
      </c>
      <c r="D2413">
        <v>4.125</v>
      </c>
      <c r="E2413" s="1">
        <v>46934</v>
      </c>
      <c r="F2413" t="s">
        <v>1988</v>
      </c>
      <c r="G2413" t="s">
        <v>2689</v>
      </c>
      <c r="H2413" t="s">
        <v>2</v>
      </c>
      <c r="I2413" s="1">
        <v>46224</v>
      </c>
      <c r="J2413" t="s">
        <v>1991</v>
      </c>
      <c r="K2413" t="s">
        <v>2903</v>
      </c>
      <c r="L2413" s="1">
        <v>46224.918321759258</v>
      </c>
      <c r="M2413" s="1">
        <v>46224.91962439815</v>
      </c>
    </row>
    <row r="2414" spans="1:13" x14ac:dyDescent="0.35">
      <c r="A2414" t="s">
        <v>1769</v>
      </c>
      <c r="B2414" t="s">
        <v>1986</v>
      </c>
      <c r="C2414" t="s">
        <v>2689</v>
      </c>
      <c r="D2414">
        <v>4.125</v>
      </c>
      <c r="E2414" s="1">
        <v>46934</v>
      </c>
      <c r="F2414" t="s">
        <v>1988</v>
      </c>
      <c r="G2414" t="s">
        <v>2689</v>
      </c>
      <c r="H2414" t="s">
        <v>2</v>
      </c>
      <c r="I2414" s="1">
        <v>46224</v>
      </c>
      <c r="J2414" t="s">
        <v>2108</v>
      </c>
      <c r="K2414" t="s">
        <v>3710</v>
      </c>
      <c r="L2414" s="1">
        <v>46224.917650462965</v>
      </c>
      <c r="M2414" s="1">
        <v>46224.91962439815</v>
      </c>
    </row>
    <row r="2415" spans="1:13" x14ac:dyDescent="0.35">
      <c r="A2415" t="s">
        <v>1769</v>
      </c>
      <c r="B2415" t="s">
        <v>1986</v>
      </c>
      <c r="C2415" t="s">
        <v>2689</v>
      </c>
      <c r="D2415">
        <v>4.125</v>
      </c>
      <c r="E2415" s="1">
        <v>46934</v>
      </c>
      <c r="F2415" t="s">
        <v>1988</v>
      </c>
      <c r="G2415" t="s">
        <v>2689</v>
      </c>
      <c r="H2415" t="s">
        <v>2</v>
      </c>
      <c r="I2415" s="1">
        <v>46224</v>
      </c>
      <c r="J2415" t="s">
        <v>2065</v>
      </c>
      <c r="K2415" t="s">
        <v>2528</v>
      </c>
      <c r="L2415" s="1">
        <v>46224.917650462965</v>
      </c>
      <c r="M2415" s="1">
        <v>46224.91962439815</v>
      </c>
    </row>
    <row r="2416" spans="1:13" x14ac:dyDescent="0.35">
      <c r="A2416" t="s">
        <v>1769</v>
      </c>
      <c r="B2416" t="s">
        <v>1986</v>
      </c>
      <c r="C2416" t="s">
        <v>2689</v>
      </c>
      <c r="D2416">
        <v>4.125</v>
      </c>
      <c r="E2416" s="1">
        <v>46934</v>
      </c>
      <c r="F2416" t="s">
        <v>1988</v>
      </c>
      <c r="G2416" t="s">
        <v>2689</v>
      </c>
      <c r="H2416" t="s">
        <v>2</v>
      </c>
      <c r="I2416" s="1">
        <v>46224</v>
      </c>
      <c r="J2416" t="s">
        <v>2146</v>
      </c>
      <c r="K2416" t="s">
        <v>3710</v>
      </c>
      <c r="L2416" s="1">
        <v>46224.917650462965</v>
      </c>
      <c r="M2416" s="1">
        <v>46224.91962439815</v>
      </c>
    </row>
    <row r="2417" spans="1:13" x14ac:dyDescent="0.35">
      <c r="A2417" t="s">
        <v>1769</v>
      </c>
      <c r="B2417" t="s">
        <v>1986</v>
      </c>
      <c r="C2417" t="s">
        <v>2689</v>
      </c>
      <c r="D2417">
        <v>4.125</v>
      </c>
      <c r="E2417" s="1">
        <v>46934</v>
      </c>
      <c r="F2417" t="s">
        <v>1988</v>
      </c>
      <c r="G2417" t="s">
        <v>2689</v>
      </c>
      <c r="H2417" t="s">
        <v>2</v>
      </c>
      <c r="I2417" s="1">
        <v>46224</v>
      </c>
      <c r="J2417" t="s">
        <v>1989</v>
      </c>
      <c r="K2417" t="s">
        <v>2718</v>
      </c>
      <c r="L2417" s="1">
        <v>46224.918321759258</v>
      </c>
      <c r="M2417" s="1">
        <v>46224.91962439815</v>
      </c>
    </row>
    <row r="2418" spans="1:13" x14ac:dyDescent="0.35">
      <c r="A2418" t="s">
        <v>1965</v>
      </c>
      <c r="B2418" t="s">
        <v>1986</v>
      </c>
      <c r="C2418" t="s">
        <v>2746</v>
      </c>
      <c r="D2418">
        <v>4.125</v>
      </c>
      <c r="E2418" s="1">
        <v>47314</v>
      </c>
      <c r="F2418" t="s">
        <v>1988</v>
      </c>
      <c r="G2418" t="s">
        <v>2746</v>
      </c>
      <c r="H2418" t="s">
        <v>2</v>
      </c>
      <c r="I2418" s="1">
        <v>46224</v>
      </c>
      <c r="J2418" t="s">
        <v>1989</v>
      </c>
      <c r="K2418" t="s">
        <v>2972</v>
      </c>
      <c r="L2418" s="1">
        <v>46224.918321759258</v>
      </c>
      <c r="M2418" s="1">
        <v>46224.91962439815</v>
      </c>
    </row>
    <row r="2419" spans="1:13" x14ac:dyDescent="0.35">
      <c r="A2419" t="s">
        <v>1965</v>
      </c>
      <c r="B2419" t="s">
        <v>1986</v>
      </c>
      <c r="C2419" t="s">
        <v>2746</v>
      </c>
      <c r="D2419">
        <v>4.125</v>
      </c>
      <c r="E2419" s="1">
        <v>47314</v>
      </c>
      <c r="F2419" t="s">
        <v>1988</v>
      </c>
      <c r="G2419" t="s">
        <v>2746</v>
      </c>
      <c r="H2419" t="s">
        <v>2</v>
      </c>
      <c r="I2419" s="1">
        <v>46224</v>
      </c>
      <c r="J2419" t="s">
        <v>1991</v>
      </c>
      <c r="K2419" t="s">
        <v>2938</v>
      </c>
      <c r="L2419" s="1">
        <v>46224.918321759258</v>
      </c>
      <c r="M2419" s="1">
        <v>46224.91962439815</v>
      </c>
    </row>
    <row r="2420" spans="1:13" x14ac:dyDescent="0.35">
      <c r="A2420" t="s">
        <v>1965</v>
      </c>
      <c r="B2420" t="s">
        <v>1986</v>
      </c>
      <c r="C2420" t="s">
        <v>2746</v>
      </c>
      <c r="D2420">
        <v>4.125</v>
      </c>
      <c r="E2420" s="1">
        <v>47314</v>
      </c>
      <c r="F2420" t="s">
        <v>1988</v>
      </c>
      <c r="G2420" t="s">
        <v>2746</v>
      </c>
      <c r="H2420" t="s">
        <v>2</v>
      </c>
      <c r="I2420" s="1">
        <v>46224</v>
      </c>
      <c r="J2420" t="s">
        <v>2065</v>
      </c>
      <c r="K2420" t="s">
        <v>2441</v>
      </c>
      <c r="L2420" s="1">
        <v>46224.917650462965</v>
      </c>
      <c r="M2420" s="1">
        <v>46224.91962439815</v>
      </c>
    </row>
    <row r="2421" spans="1:13" x14ac:dyDescent="0.35">
      <c r="A2421" t="s">
        <v>1965</v>
      </c>
      <c r="B2421" t="s">
        <v>1986</v>
      </c>
      <c r="C2421" t="s">
        <v>2746</v>
      </c>
      <c r="D2421">
        <v>4.125</v>
      </c>
      <c r="E2421" s="1">
        <v>47314</v>
      </c>
      <c r="F2421" t="s">
        <v>1988</v>
      </c>
      <c r="G2421" t="s">
        <v>2746</v>
      </c>
      <c r="H2421" t="s">
        <v>2</v>
      </c>
      <c r="I2421" s="1">
        <v>46224</v>
      </c>
      <c r="J2421" t="s">
        <v>2064</v>
      </c>
      <c r="K2421" t="s">
        <v>2441</v>
      </c>
      <c r="L2421" s="1">
        <v>46224.917650462965</v>
      </c>
      <c r="M2421" s="1">
        <v>46224.91962439815</v>
      </c>
    </row>
    <row r="2422" spans="1:13" x14ac:dyDescent="0.35">
      <c r="A2422" t="s">
        <v>1965</v>
      </c>
      <c r="B2422" t="s">
        <v>1986</v>
      </c>
      <c r="C2422" t="s">
        <v>2746</v>
      </c>
      <c r="D2422">
        <v>4.125</v>
      </c>
      <c r="E2422" s="1">
        <v>47314</v>
      </c>
      <c r="F2422" t="s">
        <v>1988</v>
      </c>
      <c r="G2422" t="s">
        <v>2746</v>
      </c>
      <c r="H2422" t="s">
        <v>2</v>
      </c>
      <c r="I2422" s="1">
        <v>46224</v>
      </c>
      <c r="J2422" t="s">
        <v>2146</v>
      </c>
      <c r="K2422" t="s">
        <v>2523</v>
      </c>
      <c r="L2422" s="1">
        <v>46224.917650462965</v>
      </c>
      <c r="M2422" s="1">
        <v>46224.91962439815</v>
      </c>
    </row>
    <row r="2423" spans="1:13" x14ac:dyDescent="0.35">
      <c r="A2423" t="s">
        <v>1965</v>
      </c>
      <c r="B2423" t="s">
        <v>1986</v>
      </c>
      <c r="C2423" t="s">
        <v>2746</v>
      </c>
      <c r="D2423">
        <v>4.125</v>
      </c>
      <c r="E2423" s="1">
        <v>47314</v>
      </c>
      <c r="F2423" t="s">
        <v>1988</v>
      </c>
      <c r="G2423" t="s">
        <v>2746</v>
      </c>
      <c r="H2423" t="s">
        <v>2</v>
      </c>
      <c r="I2423" s="1">
        <v>46224</v>
      </c>
      <c r="J2423" t="s">
        <v>2108</v>
      </c>
      <c r="K2423" t="s">
        <v>2523</v>
      </c>
      <c r="L2423" s="1">
        <v>46224.917650462965</v>
      </c>
      <c r="M2423" s="1">
        <v>46224.91962439815</v>
      </c>
    </row>
    <row r="2424" spans="1:13" x14ac:dyDescent="0.35">
      <c r="A2424" t="s">
        <v>485</v>
      </c>
      <c r="B2424" t="s">
        <v>1986</v>
      </c>
      <c r="C2424" t="s">
        <v>2749</v>
      </c>
      <c r="D2424">
        <v>0</v>
      </c>
      <c r="E2424" s="1">
        <v>48075</v>
      </c>
      <c r="F2424" t="s">
        <v>1988</v>
      </c>
      <c r="G2424" t="s">
        <v>2749</v>
      </c>
      <c r="H2424" t="s">
        <v>2</v>
      </c>
      <c r="I2424" s="1">
        <v>46224</v>
      </c>
      <c r="J2424" t="s">
        <v>1989</v>
      </c>
      <c r="K2424" t="s">
        <v>3713</v>
      </c>
      <c r="L2424" s="1">
        <v>46224.918321759258</v>
      </c>
      <c r="M2424" s="1">
        <v>46224.91962439815</v>
      </c>
    </row>
    <row r="2425" spans="1:13" x14ac:dyDescent="0.35">
      <c r="A2425" t="s">
        <v>485</v>
      </c>
      <c r="B2425" t="s">
        <v>1986</v>
      </c>
      <c r="C2425" t="s">
        <v>2749</v>
      </c>
      <c r="D2425">
        <v>0</v>
      </c>
      <c r="E2425" s="1">
        <v>48075</v>
      </c>
      <c r="F2425" t="s">
        <v>1988</v>
      </c>
      <c r="G2425" t="s">
        <v>2749</v>
      </c>
      <c r="H2425" t="s">
        <v>2</v>
      </c>
      <c r="I2425" s="1">
        <v>46224</v>
      </c>
      <c r="J2425" t="s">
        <v>1991</v>
      </c>
      <c r="K2425" t="s">
        <v>4151</v>
      </c>
      <c r="L2425" s="1">
        <v>46224.918321759258</v>
      </c>
      <c r="M2425" s="1">
        <v>46224.91962439815</v>
      </c>
    </row>
    <row r="2426" spans="1:13" x14ac:dyDescent="0.35">
      <c r="A2426" t="s">
        <v>545</v>
      </c>
      <c r="B2426" t="s">
        <v>1986</v>
      </c>
      <c r="C2426" t="s">
        <v>2750</v>
      </c>
      <c r="D2426">
        <v>0</v>
      </c>
      <c r="E2426" s="1">
        <v>48259</v>
      </c>
      <c r="F2426" t="s">
        <v>1988</v>
      </c>
      <c r="G2426" t="s">
        <v>2750</v>
      </c>
      <c r="H2426" t="s">
        <v>2</v>
      </c>
      <c r="I2426" s="1">
        <v>46224</v>
      </c>
      <c r="J2426" t="s">
        <v>1989</v>
      </c>
      <c r="K2426" t="s">
        <v>3912</v>
      </c>
      <c r="L2426" s="1">
        <v>46224.918321759258</v>
      </c>
      <c r="M2426" s="1">
        <v>46224.91962439815</v>
      </c>
    </row>
    <row r="2427" spans="1:13" x14ac:dyDescent="0.35">
      <c r="A2427" t="s">
        <v>545</v>
      </c>
      <c r="B2427" t="s">
        <v>1986</v>
      </c>
      <c r="C2427" t="s">
        <v>2750</v>
      </c>
      <c r="D2427">
        <v>0</v>
      </c>
      <c r="E2427" s="1">
        <v>48259</v>
      </c>
      <c r="F2427" t="s">
        <v>1988</v>
      </c>
      <c r="G2427" t="s">
        <v>2750</v>
      </c>
      <c r="H2427" t="s">
        <v>2</v>
      </c>
      <c r="I2427" s="1">
        <v>46224</v>
      </c>
      <c r="J2427" t="s">
        <v>1991</v>
      </c>
      <c r="K2427" t="s">
        <v>3942</v>
      </c>
      <c r="L2427" s="1">
        <v>46224.918321759258</v>
      </c>
      <c r="M2427" s="1">
        <v>46224.91962439815</v>
      </c>
    </row>
    <row r="2428" spans="1:13" x14ac:dyDescent="0.35">
      <c r="A2428" t="s">
        <v>518</v>
      </c>
      <c r="B2428" t="s">
        <v>1986</v>
      </c>
      <c r="C2428" t="s">
        <v>2747</v>
      </c>
      <c r="D2428">
        <v>0</v>
      </c>
      <c r="E2428" s="1">
        <v>48441</v>
      </c>
      <c r="F2428" t="s">
        <v>1988</v>
      </c>
      <c r="G2428" t="s">
        <v>2747</v>
      </c>
      <c r="H2428" t="s">
        <v>2</v>
      </c>
      <c r="I2428" s="1">
        <v>46224</v>
      </c>
      <c r="J2428" t="s">
        <v>1991</v>
      </c>
      <c r="K2428" t="s">
        <v>4152</v>
      </c>
      <c r="L2428" s="1">
        <v>46224.918321759258</v>
      </c>
      <c r="M2428" s="1">
        <v>46224.91962439815</v>
      </c>
    </row>
    <row r="2429" spans="1:13" x14ac:dyDescent="0.35">
      <c r="A2429" t="s">
        <v>518</v>
      </c>
      <c r="B2429" t="s">
        <v>1986</v>
      </c>
      <c r="C2429" t="s">
        <v>2747</v>
      </c>
      <c r="D2429">
        <v>0</v>
      </c>
      <c r="E2429" s="1">
        <v>48441</v>
      </c>
      <c r="F2429" t="s">
        <v>1988</v>
      </c>
      <c r="G2429" t="s">
        <v>2747</v>
      </c>
      <c r="H2429" t="s">
        <v>2</v>
      </c>
      <c r="I2429" s="1">
        <v>46224</v>
      </c>
      <c r="J2429" t="s">
        <v>1989</v>
      </c>
      <c r="K2429" t="s">
        <v>3936</v>
      </c>
      <c r="L2429" s="1">
        <v>46224.918321759258</v>
      </c>
      <c r="M2429" s="1">
        <v>46224.91962439815</v>
      </c>
    </row>
    <row r="2430" spans="1:13" x14ac:dyDescent="0.35">
      <c r="A2430" t="s">
        <v>531</v>
      </c>
      <c r="B2430" t="s">
        <v>1986</v>
      </c>
      <c r="C2430" t="s">
        <v>2725</v>
      </c>
      <c r="D2430">
        <v>0</v>
      </c>
      <c r="E2430" s="1">
        <v>48625</v>
      </c>
      <c r="F2430" t="s">
        <v>1988</v>
      </c>
      <c r="G2430" t="s">
        <v>2725</v>
      </c>
      <c r="H2430" t="s">
        <v>2</v>
      </c>
      <c r="I2430" s="1">
        <v>46224</v>
      </c>
      <c r="J2430" t="s">
        <v>1991</v>
      </c>
      <c r="K2430" t="s">
        <v>3842</v>
      </c>
      <c r="L2430" s="1">
        <v>46224.918321759258</v>
      </c>
      <c r="M2430" s="1">
        <v>46224.91962439815</v>
      </c>
    </row>
    <row r="2431" spans="1:13" x14ac:dyDescent="0.35">
      <c r="A2431" t="s">
        <v>531</v>
      </c>
      <c r="B2431" t="s">
        <v>1986</v>
      </c>
      <c r="C2431" t="s">
        <v>2725</v>
      </c>
      <c r="D2431">
        <v>0</v>
      </c>
      <c r="E2431" s="1">
        <v>48625</v>
      </c>
      <c r="F2431" t="s">
        <v>1988</v>
      </c>
      <c r="G2431" t="s">
        <v>2725</v>
      </c>
      <c r="H2431" t="s">
        <v>2</v>
      </c>
      <c r="I2431" s="1">
        <v>46224</v>
      </c>
      <c r="J2431" t="s">
        <v>1989</v>
      </c>
      <c r="K2431" t="s">
        <v>3943</v>
      </c>
      <c r="L2431" s="1">
        <v>46224.918321759258</v>
      </c>
      <c r="M2431" s="1">
        <v>46224.91962439815</v>
      </c>
    </row>
    <row r="2432" spans="1:13" x14ac:dyDescent="0.35">
      <c r="A2432" t="s">
        <v>519</v>
      </c>
      <c r="B2432" t="s">
        <v>1986</v>
      </c>
      <c r="C2432" t="s">
        <v>2690</v>
      </c>
      <c r="D2432">
        <v>0</v>
      </c>
      <c r="E2432" s="1">
        <v>48806</v>
      </c>
      <c r="F2432" t="s">
        <v>1988</v>
      </c>
      <c r="G2432" t="s">
        <v>2690</v>
      </c>
      <c r="H2432" t="s">
        <v>2</v>
      </c>
      <c r="I2432" s="1">
        <v>46224</v>
      </c>
      <c r="J2432" t="s">
        <v>1989</v>
      </c>
      <c r="K2432" t="s">
        <v>3714</v>
      </c>
      <c r="L2432" s="1">
        <v>46224.918321759258</v>
      </c>
      <c r="M2432" s="1">
        <v>46224.91962439815</v>
      </c>
    </row>
    <row r="2433" spans="1:13" x14ac:dyDescent="0.35">
      <c r="A2433" t="s">
        <v>519</v>
      </c>
      <c r="B2433" t="s">
        <v>1986</v>
      </c>
      <c r="C2433" t="s">
        <v>2690</v>
      </c>
      <c r="D2433">
        <v>0</v>
      </c>
      <c r="E2433" s="1">
        <v>48806</v>
      </c>
      <c r="F2433" t="s">
        <v>1988</v>
      </c>
      <c r="G2433" t="s">
        <v>2690</v>
      </c>
      <c r="H2433" t="s">
        <v>2</v>
      </c>
      <c r="I2433" s="1">
        <v>46224</v>
      </c>
      <c r="J2433" t="s">
        <v>1991</v>
      </c>
      <c r="K2433" t="s">
        <v>3944</v>
      </c>
      <c r="L2433" s="1">
        <v>46224.918321759258</v>
      </c>
      <c r="M2433" s="1">
        <v>46224.91962439815</v>
      </c>
    </row>
    <row r="2434" spans="1:13" x14ac:dyDescent="0.35">
      <c r="A2434" t="s">
        <v>520</v>
      </c>
      <c r="B2434" t="s">
        <v>1986</v>
      </c>
      <c r="C2434" t="s">
        <v>2691</v>
      </c>
      <c r="D2434">
        <v>0</v>
      </c>
      <c r="E2434" s="1">
        <v>48990</v>
      </c>
      <c r="F2434" t="s">
        <v>1988</v>
      </c>
      <c r="G2434" t="s">
        <v>2691</v>
      </c>
      <c r="H2434" t="s">
        <v>2</v>
      </c>
      <c r="I2434" s="1">
        <v>46224</v>
      </c>
      <c r="J2434" t="s">
        <v>1989</v>
      </c>
      <c r="K2434" t="s">
        <v>3715</v>
      </c>
      <c r="L2434" s="1">
        <v>46224.918321759258</v>
      </c>
      <c r="M2434" s="1">
        <v>46224.91962439815</v>
      </c>
    </row>
    <row r="2435" spans="1:13" x14ac:dyDescent="0.35">
      <c r="A2435" t="s">
        <v>520</v>
      </c>
      <c r="B2435" t="s">
        <v>1986</v>
      </c>
      <c r="C2435" t="s">
        <v>2691</v>
      </c>
      <c r="D2435">
        <v>0</v>
      </c>
      <c r="E2435" s="1">
        <v>48990</v>
      </c>
      <c r="F2435" t="s">
        <v>1988</v>
      </c>
      <c r="G2435" t="s">
        <v>2691</v>
      </c>
      <c r="H2435" t="s">
        <v>2</v>
      </c>
      <c r="I2435" s="1">
        <v>46224</v>
      </c>
      <c r="J2435" t="s">
        <v>1991</v>
      </c>
      <c r="K2435" t="s">
        <v>3843</v>
      </c>
      <c r="L2435" s="1">
        <v>46224.918321759258</v>
      </c>
      <c r="M2435" s="1">
        <v>46224.91962439815</v>
      </c>
    </row>
    <row r="2436" spans="1:13" x14ac:dyDescent="0.35">
      <c r="A2436" t="s">
        <v>494</v>
      </c>
      <c r="B2436" t="s">
        <v>1986</v>
      </c>
      <c r="C2436" t="s">
        <v>2726</v>
      </c>
      <c r="D2436">
        <v>0</v>
      </c>
      <c r="E2436" s="1">
        <v>49171</v>
      </c>
      <c r="F2436" t="s">
        <v>1988</v>
      </c>
      <c r="G2436" t="s">
        <v>2726</v>
      </c>
      <c r="H2436" t="s">
        <v>2</v>
      </c>
      <c r="I2436" s="1">
        <v>46224</v>
      </c>
      <c r="J2436" t="s">
        <v>1989</v>
      </c>
      <c r="K2436" t="s">
        <v>3913</v>
      </c>
      <c r="L2436" s="1">
        <v>46224.918321759258</v>
      </c>
      <c r="M2436" s="1">
        <v>46224.91962439815</v>
      </c>
    </row>
    <row r="2437" spans="1:13" x14ac:dyDescent="0.35">
      <c r="A2437" t="s">
        <v>494</v>
      </c>
      <c r="B2437" t="s">
        <v>1986</v>
      </c>
      <c r="C2437" t="s">
        <v>2726</v>
      </c>
      <c r="D2437">
        <v>0</v>
      </c>
      <c r="E2437" s="1">
        <v>49171</v>
      </c>
      <c r="F2437" t="s">
        <v>1988</v>
      </c>
      <c r="G2437" t="s">
        <v>2726</v>
      </c>
      <c r="H2437" t="s">
        <v>2</v>
      </c>
      <c r="I2437" s="1">
        <v>46224</v>
      </c>
      <c r="J2437" t="s">
        <v>1991</v>
      </c>
      <c r="K2437" t="s">
        <v>4153</v>
      </c>
      <c r="L2437" s="1">
        <v>46224.918321759258</v>
      </c>
      <c r="M2437" s="1">
        <v>46224.91962439815</v>
      </c>
    </row>
    <row r="2438" spans="1:13" x14ac:dyDescent="0.35">
      <c r="A2438" t="s">
        <v>526</v>
      </c>
      <c r="B2438" t="s">
        <v>1986</v>
      </c>
      <c r="C2438" t="s">
        <v>2790</v>
      </c>
      <c r="D2438">
        <v>0</v>
      </c>
      <c r="E2438" s="1">
        <v>49355</v>
      </c>
      <c r="F2438" t="s">
        <v>1988</v>
      </c>
      <c r="G2438" t="s">
        <v>2790</v>
      </c>
      <c r="H2438" t="s">
        <v>2</v>
      </c>
      <c r="I2438" s="1">
        <v>46224</v>
      </c>
      <c r="J2438" t="s">
        <v>1989</v>
      </c>
      <c r="K2438" t="s">
        <v>3844</v>
      </c>
      <c r="L2438" s="1">
        <v>46224.918321759258</v>
      </c>
      <c r="M2438" s="1">
        <v>46224.91962439815</v>
      </c>
    </row>
    <row r="2439" spans="1:13" x14ac:dyDescent="0.35">
      <c r="A2439" t="s">
        <v>526</v>
      </c>
      <c r="B2439" t="s">
        <v>1986</v>
      </c>
      <c r="C2439" t="s">
        <v>2790</v>
      </c>
      <c r="D2439">
        <v>0</v>
      </c>
      <c r="E2439" s="1">
        <v>49355</v>
      </c>
      <c r="F2439" t="s">
        <v>1988</v>
      </c>
      <c r="G2439" t="s">
        <v>2790</v>
      </c>
      <c r="H2439" t="s">
        <v>2</v>
      </c>
      <c r="I2439" s="1">
        <v>46224</v>
      </c>
      <c r="J2439" t="s">
        <v>1991</v>
      </c>
      <c r="K2439" t="s">
        <v>3986</v>
      </c>
      <c r="L2439" s="1">
        <v>46224.918321759258</v>
      </c>
      <c r="M2439" s="1">
        <v>46224.91962439815</v>
      </c>
    </row>
    <row r="2440" spans="1:13" x14ac:dyDescent="0.35">
      <c r="A2440" t="s">
        <v>527</v>
      </c>
      <c r="B2440" t="s">
        <v>1986</v>
      </c>
      <c r="C2440" t="s">
        <v>2692</v>
      </c>
      <c r="D2440">
        <v>0</v>
      </c>
      <c r="E2440" s="1">
        <v>49536</v>
      </c>
      <c r="F2440" t="s">
        <v>1988</v>
      </c>
      <c r="G2440" t="s">
        <v>2692</v>
      </c>
      <c r="H2440" t="s">
        <v>2</v>
      </c>
      <c r="I2440" s="1">
        <v>46224</v>
      </c>
      <c r="J2440" t="s">
        <v>1991</v>
      </c>
      <c r="K2440" t="s">
        <v>4154</v>
      </c>
      <c r="L2440" s="1">
        <v>46224.918321759258</v>
      </c>
      <c r="M2440" s="1">
        <v>46224.91962439815</v>
      </c>
    </row>
    <row r="2441" spans="1:13" x14ac:dyDescent="0.35">
      <c r="A2441" t="s">
        <v>527</v>
      </c>
      <c r="B2441" t="s">
        <v>1986</v>
      </c>
      <c r="C2441" t="s">
        <v>2692</v>
      </c>
      <c r="D2441">
        <v>0</v>
      </c>
      <c r="E2441" s="1">
        <v>49536</v>
      </c>
      <c r="F2441" t="s">
        <v>1988</v>
      </c>
      <c r="G2441" t="s">
        <v>2692</v>
      </c>
      <c r="H2441" t="s">
        <v>2</v>
      </c>
      <c r="I2441" s="1">
        <v>46224</v>
      </c>
      <c r="J2441" t="s">
        <v>1989</v>
      </c>
      <c r="K2441" t="s">
        <v>4044</v>
      </c>
      <c r="L2441" s="1">
        <v>46224.918321759258</v>
      </c>
      <c r="M2441" s="1">
        <v>46224.91962439815</v>
      </c>
    </row>
    <row r="2442" spans="1:13" x14ac:dyDescent="0.35">
      <c r="A2442" t="s">
        <v>532</v>
      </c>
      <c r="B2442" t="s">
        <v>1986</v>
      </c>
      <c r="C2442" t="s">
        <v>2693</v>
      </c>
      <c r="D2442">
        <v>0</v>
      </c>
      <c r="E2442" s="1">
        <v>49720</v>
      </c>
      <c r="F2442" t="s">
        <v>1988</v>
      </c>
      <c r="G2442" t="s">
        <v>2693</v>
      </c>
      <c r="H2442" t="s">
        <v>2</v>
      </c>
      <c r="I2442" s="1">
        <v>46224</v>
      </c>
      <c r="J2442" t="s">
        <v>1991</v>
      </c>
      <c r="K2442" t="s">
        <v>3987</v>
      </c>
      <c r="L2442" s="1">
        <v>46224.918321759258</v>
      </c>
      <c r="M2442" s="1">
        <v>46224.91962439815</v>
      </c>
    </row>
    <row r="2443" spans="1:13" x14ac:dyDescent="0.35">
      <c r="A2443" t="s">
        <v>532</v>
      </c>
      <c r="B2443" t="s">
        <v>1986</v>
      </c>
      <c r="C2443" t="s">
        <v>2693</v>
      </c>
      <c r="D2443">
        <v>0</v>
      </c>
      <c r="E2443" s="1">
        <v>49720</v>
      </c>
      <c r="F2443" t="s">
        <v>1988</v>
      </c>
      <c r="G2443" t="s">
        <v>2693</v>
      </c>
      <c r="H2443" t="s">
        <v>2</v>
      </c>
      <c r="I2443" s="1">
        <v>46224</v>
      </c>
      <c r="J2443" t="s">
        <v>1989</v>
      </c>
      <c r="K2443" t="s">
        <v>3937</v>
      </c>
      <c r="L2443" s="1">
        <v>46224.918321759258</v>
      </c>
      <c r="M2443" s="1">
        <v>46224.91962439815</v>
      </c>
    </row>
    <row r="2444" spans="1:13" x14ac:dyDescent="0.35">
      <c r="A2444" t="s">
        <v>486</v>
      </c>
      <c r="B2444" t="s">
        <v>1986</v>
      </c>
      <c r="C2444" t="s">
        <v>2762</v>
      </c>
      <c r="D2444">
        <v>0</v>
      </c>
      <c r="E2444" s="1">
        <v>50086</v>
      </c>
      <c r="F2444" t="s">
        <v>1988</v>
      </c>
      <c r="G2444" t="s">
        <v>2762</v>
      </c>
      <c r="H2444" t="s">
        <v>2</v>
      </c>
      <c r="I2444" s="1">
        <v>46224</v>
      </c>
      <c r="J2444" t="s">
        <v>1989</v>
      </c>
      <c r="K2444" t="s">
        <v>3845</v>
      </c>
      <c r="L2444" s="1">
        <v>46224.918321759258</v>
      </c>
      <c r="M2444" s="1">
        <v>46224.91962439815</v>
      </c>
    </row>
    <row r="2445" spans="1:13" x14ac:dyDescent="0.35">
      <c r="A2445" t="s">
        <v>486</v>
      </c>
      <c r="B2445" t="s">
        <v>1986</v>
      </c>
      <c r="C2445" t="s">
        <v>2762</v>
      </c>
      <c r="D2445">
        <v>0</v>
      </c>
      <c r="E2445" s="1">
        <v>50086</v>
      </c>
      <c r="F2445" t="s">
        <v>1988</v>
      </c>
      <c r="G2445" t="s">
        <v>2762</v>
      </c>
      <c r="H2445" t="s">
        <v>2</v>
      </c>
      <c r="I2445" s="1">
        <v>46224</v>
      </c>
      <c r="J2445" t="s">
        <v>1991</v>
      </c>
      <c r="K2445" t="s">
        <v>3846</v>
      </c>
      <c r="L2445" s="1">
        <v>46224.918321759258</v>
      </c>
      <c r="M2445" s="1">
        <v>46224.91962439815</v>
      </c>
    </row>
    <row r="2446" spans="1:13" x14ac:dyDescent="0.35">
      <c r="A2446" t="s">
        <v>487</v>
      </c>
      <c r="B2446" t="s">
        <v>1986</v>
      </c>
      <c r="C2446" t="s">
        <v>2797</v>
      </c>
      <c r="D2446">
        <v>0</v>
      </c>
      <c r="E2446" s="1">
        <v>48167</v>
      </c>
      <c r="F2446" t="s">
        <v>1988</v>
      </c>
      <c r="G2446" t="s">
        <v>2797</v>
      </c>
      <c r="H2446" t="s">
        <v>2</v>
      </c>
      <c r="I2446" s="1">
        <v>46224</v>
      </c>
      <c r="J2446" t="s">
        <v>1991</v>
      </c>
      <c r="K2446" t="s">
        <v>3945</v>
      </c>
      <c r="L2446" s="1">
        <v>46224.918321759258</v>
      </c>
      <c r="M2446" s="1">
        <v>46224.91962439815</v>
      </c>
    </row>
    <row r="2447" spans="1:13" x14ac:dyDescent="0.35">
      <c r="A2447" t="s">
        <v>487</v>
      </c>
      <c r="B2447" t="s">
        <v>1986</v>
      </c>
      <c r="C2447" t="s">
        <v>2797</v>
      </c>
      <c r="D2447">
        <v>0</v>
      </c>
      <c r="E2447" s="1">
        <v>48167</v>
      </c>
      <c r="F2447" t="s">
        <v>1988</v>
      </c>
      <c r="G2447" t="s">
        <v>2797</v>
      </c>
      <c r="H2447" t="s">
        <v>2</v>
      </c>
      <c r="I2447" s="1">
        <v>46224</v>
      </c>
      <c r="J2447" t="s">
        <v>1989</v>
      </c>
      <c r="K2447" t="s">
        <v>3988</v>
      </c>
      <c r="L2447" s="1">
        <v>46224.918321759258</v>
      </c>
      <c r="M2447" s="1">
        <v>46224.91962439815</v>
      </c>
    </row>
    <row r="2448" spans="1:13" x14ac:dyDescent="0.35">
      <c r="A2448" t="s">
        <v>495</v>
      </c>
      <c r="B2448" t="s">
        <v>1986</v>
      </c>
      <c r="C2448" t="s">
        <v>2776</v>
      </c>
      <c r="D2448">
        <v>0</v>
      </c>
      <c r="E2448" s="1">
        <v>48349</v>
      </c>
      <c r="F2448" t="s">
        <v>1988</v>
      </c>
      <c r="G2448" t="s">
        <v>2776</v>
      </c>
      <c r="H2448" t="s">
        <v>2</v>
      </c>
      <c r="I2448" s="1">
        <v>46224</v>
      </c>
      <c r="J2448" t="s">
        <v>1989</v>
      </c>
      <c r="K2448" t="s">
        <v>3914</v>
      </c>
      <c r="L2448" s="1">
        <v>46224.918321759258</v>
      </c>
      <c r="M2448" s="1">
        <v>46224.91962439815</v>
      </c>
    </row>
    <row r="2449" spans="1:13" x14ac:dyDescent="0.35">
      <c r="A2449" t="s">
        <v>495</v>
      </c>
      <c r="B2449" t="s">
        <v>1986</v>
      </c>
      <c r="C2449" t="s">
        <v>2776</v>
      </c>
      <c r="D2449">
        <v>0</v>
      </c>
      <c r="E2449" s="1">
        <v>48349</v>
      </c>
      <c r="F2449" t="s">
        <v>1988</v>
      </c>
      <c r="G2449" t="s">
        <v>2776</v>
      </c>
      <c r="H2449" t="s">
        <v>2</v>
      </c>
      <c r="I2449" s="1">
        <v>46224</v>
      </c>
      <c r="J2449" t="s">
        <v>1991</v>
      </c>
      <c r="K2449" t="s">
        <v>4045</v>
      </c>
      <c r="L2449" s="1">
        <v>46224.918321759258</v>
      </c>
      <c r="M2449" s="1">
        <v>46224.91962439815</v>
      </c>
    </row>
    <row r="2450" spans="1:13" x14ac:dyDescent="0.35">
      <c r="A2450" t="s">
        <v>521</v>
      </c>
      <c r="B2450" t="s">
        <v>1986</v>
      </c>
      <c r="C2450" t="s">
        <v>2763</v>
      </c>
      <c r="D2450">
        <v>0</v>
      </c>
      <c r="E2450" s="1">
        <v>48533</v>
      </c>
      <c r="F2450" t="s">
        <v>1988</v>
      </c>
      <c r="G2450" t="s">
        <v>2763</v>
      </c>
      <c r="H2450" t="s">
        <v>2</v>
      </c>
      <c r="I2450" s="1">
        <v>46224</v>
      </c>
      <c r="J2450" t="s">
        <v>1989</v>
      </c>
      <c r="K2450" t="s">
        <v>3915</v>
      </c>
      <c r="L2450" s="1">
        <v>46224.918321759258</v>
      </c>
      <c r="M2450" s="1">
        <v>46224.91962439815</v>
      </c>
    </row>
    <row r="2451" spans="1:13" x14ac:dyDescent="0.35">
      <c r="A2451" t="s">
        <v>521</v>
      </c>
      <c r="B2451" t="s">
        <v>1986</v>
      </c>
      <c r="C2451" t="s">
        <v>2763</v>
      </c>
      <c r="D2451">
        <v>0</v>
      </c>
      <c r="E2451" s="1">
        <v>48533</v>
      </c>
      <c r="F2451" t="s">
        <v>1988</v>
      </c>
      <c r="G2451" t="s">
        <v>2763</v>
      </c>
      <c r="H2451" t="s">
        <v>2</v>
      </c>
      <c r="I2451" s="1">
        <v>46224</v>
      </c>
      <c r="J2451" t="s">
        <v>1991</v>
      </c>
      <c r="K2451" t="s">
        <v>3916</v>
      </c>
      <c r="L2451" s="1">
        <v>46224.918321759258</v>
      </c>
      <c r="M2451" s="1">
        <v>46224.91962439815</v>
      </c>
    </row>
    <row r="2452" spans="1:13" x14ac:dyDescent="0.35">
      <c r="A2452" t="s">
        <v>522</v>
      </c>
      <c r="B2452" t="s">
        <v>1986</v>
      </c>
      <c r="C2452" t="s">
        <v>2727</v>
      </c>
      <c r="D2452">
        <v>0</v>
      </c>
      <c r="E2452" s="1">
        <v>48714</v>
      </c>
      <c r="F2452" t="s">
        <v>1988</v>
      </c>
      <c r="G2452" t="s">
        <v>2727</v>
      </c>
      <c r="H2452" t="s">
        <v>2</v>
      </c>
      <c r="I2452" s="1">
        <v>46224</v>
      </c>
      <c r="J2452" t="s">
        <v>1991</v>
      </c>
      <c r="K2452" t="s">
        <v>3847</v>
      </c>
      <c r="L2452" s="1">
        <v>46224.918321759258</v>
      </c>
      <c r="M2452" s="1">
        <v>46224.91962439815</v>
      </c>
    </row>
    <row r="2453" spans="1:13" x14ac:dyDescent="0.35">
      <c r="A2453" t="s">
        <v>522</v>
      </c>
      <c r="B2453" t="s">
        <v>1986</v>
      </c>
      <c r="C2453" t="s">
        <v>2727</v>
      </c>
      <c r="D2453">
        <v>0</v>
      </c>
      <c r="E2453" s="1">
        <v>48714</v>
      </c>
      <c r="F2453" t="s">
        <v>1988</v>
      </c>
      <c r="G2453" t="s">
        <v>2727</v>
      </c>
      <c r="H2453" t="s">
        <v>2</v>
      </c>
      <c r="I2453" s="1">
        <v>46224</v>
      </c>
      <c r="J2453" t="s">
        <v>1989</v>
      </c>
      <c r="K2453" t="s">
        <v>3938</v>
      </c>
      <c r="L2453" s="1">
        <v>46224.918321759258</v>
      </c>
      <c r="M2453" s="1">
        <v>46224.91962439815</v>
      </c>
    </row>
    <row r="2454" spans="1:13" x14ac:dyDescent="0.35">
      <c r="A2454" t="s">
        <v>523</v>
      </c>
      <c r="B2454" t="s">
        <v>1986</v>
      </c>
      <c r="C2454" t="s">
        <v>2751</v>
      </c>
      <c r="D2454">
        <v>0</v>
      </c>
      <c r="E2454" s="1">
        <v>48898</v>
      </c>
      <c r="F2454" t="s">
        <v>1988</v>
      </c>
      <c r="G2454" t="s">
        <v>2751</v>
      </c>
      <c r="H2454" t="s">
        <v>2</v>
      </c>
      <c r="I2454" s="1">
        <v>46224</v>
      </c>
      <c r="J2454" t="s">
        <v>1989</v>
      </c>
      <c r="K2454" t="s">
        <v>3716</v>
      </c>
      <c r="L2454" s="1">
        <v>46224.918321759258</v>
      </c>
      <c r="M2454" s="1">
        <v>46224.91962439815</v>
      </c>
    </row>
    <row r="2455" spans="1:13" x14ac:dyDescent="0.35">
      <c r="A2455" t="s">
        <v>523</v>
      </c>
      <c r="B2455" t="s">
        <v>1986</v>
      </c>
      <c r="C2455" t="s">
        <v>2751</v>
      </c>
      <c r="D2455">
        <v>0</v>
      </c>
      <c r="E2455" s="1">
        <v>48898</v>
      </c>
      <c r="F2455" t="s">
        <v>1988</v>
      </c>
      <c r="G2455" t="s">
        <v>2751</v>
      </c>
      <c r="H2455" t="s">
        <v>2</v>
      </c>
      <c r="I2455" s="1">
        <v>46224</v>
      </c>
      <c r="J2455" t="s">
        <v>1991</v>
      </c>
      <c r="K2455" t="s">
        <v>3717</v>
      </c>
      <c r="L2455" s="1">
        <v>46224.918321759258</v>
      </c>
      <c r="M2455" s="1">
        <v>46224.91962439815</v>
      </c>
    </row>
    <row r="2456" spans="1:13" x14ac:dyDescent="0.35">
      <c r="A2456" t="s">
        <v>488</v>
      </c>
      <c r="B2456" t="s">
        <v>1986</v>
      </c>
      <c r="C2456" t="s">
        <v>2791</v>
      </c>
      <c r="D2456">
        <v>0</v>
      </c>
      <c r="E2456" s="1">
        <v>49079</v>
      </c>
      <c r="F2456" t="s">
        <v>1988</v>
      </c>
      <c r="G2456" t="s">
        <v>2791</v>
      </c>
      <c r="H2456" t="s">
        <v>2</v>
      </c>
      <c r="I2456" s="1">
        <v>46224</v>
      </c>
      <c r="J2456" t="s">
        <v>1989</v>
      </c>
      <c r="K2456" t="s">
        <v>4155</v>
      </c>
      <c r="L2456" s="1">
        <v>46224.918321759258</v>
      </c>
      <c r="M2456" s="1">
        <v>46224.91962439815</v>
      </c>
    </row>
    <row r="2457" spans="1:13" x14ac:dyDescent="0.35">
      <c r="A2457" t="s">
        <v>488</v>
      </c>
      <c r="B2457" t="s">
        <v>1986</v>
      </c>
      <c r="C2457" t="s">
        <v>2791</v>
      </c>
      <c r="D2457">
        <v>0</v>
      </c>
      <c r="E2457" s="1">
        <v>49079</v>
      </c>
      <c r="F2457" t="s">
        <v>1988</v>
      </c>
      <c r="G2457" t="s">
        <v>2791</v>
      </c>
      <c r="H2457" t="s">
        <v>2</v>
      </c>
      <c r="I2457" s="1">
        <v>46224</v>
      </c>
      <c r="J2457" t="s">
        <v>1991</v>
      </c>
      <c r="K2457" t="s">
        <v>3939</v>
      </c>
      <c r="L2457" s="1">
        <v>46224.918321759258</v>
      </c>
      <c r="M2457" s="1">
        <v>46224.91962439815</v>
      </c>
    </row>
    <row r="2458" spans="1:13" x14ac:dyDescent="0.35">
      <c r="A2458" t="s">
        <v>533</v>
      </c>
      <c r="B2458" t="s">
        <v>1986</v>
      </c>
      <c r="C2458" t="s">
        <v>2798</v>
      </c>
      <c r="D2458">
        <v>0</v>
      </c>
      <c r="E2458" s="1">
        <v>49263</v>
      </c>
      <c r="F2458" t="s">
        <v>1988</v>
      </c>
      <c r="G2458" t="s">
        <v>2798</v>
      </c>
      <c r="H2458" t="s">
        <v>2</v>
      </c>
      <c r="I2458" s="1">
        <v>46224</v>
      </c>
      <c r="J2458" t="s">
        <v>1989</v>
      </c>
      <c r="K2458" t="s">
        <v>3946</v>
      </c>
      <c r="L2458" s="1">
        <v>46224.918321759258</v>
      </c>
      <c r="M2458" s="1">
        <v>46224.91962439815</v>
      </c>
    </row>
    <row r="2459" spans="1:13" x14ac:dyDescent="0.35">
      <c r="A2459" t="s">
        <v>533</v>
      </c>
      <c r="B2459" t="s">
        <v>1986</v>
      </c>
      <c r="C2459" t="s">
        <v>2798</v>
      </c>
      <c r="D2459">
        <v>0</v>
      </c>
      <c r="E2459" s="1">
        <v>49263</v>
      </c>
      <c r="F2459" t="s">
        <v>1988</v>
      </c>
      <c r="G2459" t="s">
        <v>2798</v>
      </c>
      <c r="H2459" t="s">
        <v>2</v>
      </c>
      <c r="I2459" s="1">
        <v>46224</v>
      </c>
      <c r="J2459" t="s">
        <v>1991</v>
      </c>
      <c r="K2459" t="s">
        <v>3967</v>
      </c>
      <c r="L2459" s="1">
        <v>46224.918321759258</v>
      </c>
      <c r="M2459" s="1">
        <v>46224.91962439815</v>
      </c>
    </row>
    <row r="2460" spans="1:13" x14ac:dyDescent="0.35">
      <c r="A2460" t="s">
        <v>528</v>
      </c>
      <c r="B2460" t="s">
        <v>1986</v>
      </c>
      <c r="C2460" t="s">
        <v>2728</v>
      </c>
      <c r="D2460">
        <v>0</v>
      </c>
      <c r="E2460" s="1">
        <v>49444</v>
      </c>
      <c r="F2460" t="s">
        <v>1988</v>
      </c>
      <c r="G2460" t="s">
        <v>2728</v>
      </c>
      <c r="H2460" t="s">
        <v>2</v>
      </c>
      <c r="I2460" s="1">
        <v>46224</v>
      </c>
      <c r="J2460" t="s">
        <v>1991</v>
      </c>
      <c r="K2460" t="s">
        <v>4046</v>
      </c>
      <c r="L2460" s="1">
        <v>46224.918321759258</v>
      </c>
      <c r="M2460" s="1">
        <v>46224.91962439815</v>
      </c>
    </row>
    <row r="2461" spans="1:13" x14ac:dyDescent="0.35">
      <c r="A2461" t="s">
        <v>528</v>
      </c>
      <c r="B2461" t="s">
        <v>1986</v>
      </c>
      <c r="C2461" t="s">
        <v>2728</v>
      </c>
      <c r="D2461">
        <v>0</v>
      </c>
      <c r="E2461" s="1">
        <v>49444</v>
      </c>
      <c r="F2461" t="s">
        <v>1988</v>
      </c>
      <c r="G2461" t="s">
        <v>2728</v>
      </c>
      <c r="H2461" t="s">
        <v>2</v>
      </c>
      <c r="I2461" s="1">
        <v>46224</v>
      </c>
      <c r="J2461" t="s">
        <v>1989</v>
      </c>
      <c r="K2461" t="s">
        <v>3968</v>
      </c>
      <c r="L2461" s="1">
        <v>46224.918321759258</v>
      </c>
      <c r="M2461" s="1">
        <v>46224.91962439815</v>
      </c>
    </row>
    <row r="2462" spans="1:13" x14ac:dyDescent="0.35">
      <c r="A2462" t="s">
        <v>489</v>
      </c>
      <c r="B2462" t="s">
        <v>1986</v>
      </c>
      <c r="C2462" t="s">
        <v>2729</v>
      </c>
      <c r="D2462">
        <v>0</v>
      </c>
      <c r="E2462" s="1">
        <v>49628</v>
      </c>
      <c r="F2462" t="s">
        <v>1988</v>
      </c>
      <c r="G2462" t="s">
        <v>2729</v>
      </c>
      <c r="H2462" t="s">
        <v>2</v>
      </c>
      <c r="I2462" s="1">
        <v>46224</v>
      </c>
      <c r="J2462" t="s">
        <v>1989</v>
      </c>
      <c r="K2462" t="s">
        <v>3848</v>
      </c>
      <c r="L2462" s="1">
        <v>46224.918321759258</v>
      </c>
      <c r="M2462" s="1">
        <v>46224.91962439815</v>
      </c>
    </row>
    <row r="2463" spans="1:13" x14ac:dyDescent="0.35">
      <c r="A2463" t="s">
        <v>489</v>
      </c>
      <c r="B2463" t="s">
        <v>1986</v>
      </c>
      <c r="C2463" t="s">
        <v>2729</v>
      </c>
      <c r="D2463">
        <v>0</v>
      </c>
      <c r="E2463" s="1">
        <v>49628</v>
      </c>
      <c r="F2463" t="s">
        <v>1988</v>
      </c>
      <c r="G2463" t="s">
        <v>2729</v>
      </c>
      <c r="H2463" t="s">
        <v>2</v>
      </c>
      <c r="I2463" s="1">
        <v>46224</v>
      </c>
      <c r="J2463" t="s">
        <v>1991</v>
      </c>
      <c r="K2463" t="s">
        <v>3947</v>
      </c>
      <c r="L2463" s="1">
        <v>46224.918321759258</v>
      </c>
      <c r="M2463" s="1">
        <v>46224.91962439815</v>
      </c>
    </row>
    <row r="2464" spans="1:13" x14ac:dyDescent="0.35">
      <c r="A2464" t="s">
        <v>490</v>
      </c>
      <c r="B2464" t="s">
        <v>1986</v>
      </c>
      <c r="C2464" t="s">
        <v>2730</v>
      </c>
      <c r="D2464">
        <v>0</v>
      </c>
      <c r="E2464" s="1">
        <v>49810</v>
      </c>
      <c r="F2464" t="s">
        <v>1988</v>
      </c>
      <c r="G2464" t="s">
        <v>2730</v>
      </c>
      <c r="H2464" t="s">
        <v>2</v>
      </c>
      <c r="I2464" s="1">
        <v>46224</v>
      </c>
      <c r="J2464" t="s">
        <v>1991</v>
      </c>
      <c r="K2464" t="s">
        <v>3917</v>
      </c>
      <c r="L2464" s="1">
        <v>46224.918321759258</v>
      </c>
      <c r="M2464" s="1">
        <v>46224.91962439815</v>
      </c>
    </row>
    <row r="2465" spans="1:13" x14ac:dyDescent="0.35">
      <c r="A2465" t="s">
        <v>490</v>
      </c>
      <c r="B2465" t="s">
        <v>1986</v>
      </c>
      <c r="C2465" t="s">
        <v>2730</v>
      </c>
      <c r="D2465">
        <v>0</v>
      </c>
      <c r="E2465" s="1">
        <v>49810</v>
      </c>
      <c r="F2465" t="s">
        <v>1988</v>
      </c>
      <c r="G2465" t="s">
        <v>2730</v>
      </c>
      <c r="H2465" t="s">
        <v>2</v>
      </c>
      <c r="I2465" s="1">
        <v>46224</v>
      </c>
      <c r="J2465" t="s">
        <v>1989</v>
      </c>
      <c r="K2465" t="s">
        <v>4156</v>
      </c>
      <c r="L2465" s="1">
        <v>46224.918321759258</v>
      </c>
      <c r="M2465" s="1">
        <v>46224.91962439815</v>
      </c>
    </row>
    <row r="2466" spans="1:13" x14ac:dyDescent="0.35">
      <c r="A2466" t="s">
        <v>555</v>
      </c>
      <c r="B2466" t="s">
        <v>1986</v>
      </c>
      <c r="C2466" t="s">
        <v>2731</v>
      </c>
      <c r="D2466">
        <v>0</v>
      </c>
      <c r="E2466" s="1">
        <v>49994</v>
      </c>
      <c r="F2466" t="s">
        <v>1988</v>
      </c>
      <c r="G2466" t="s">
        <v>2731</v>
      </c>
      <c r="H2466" t="s">
        <v>2</v>
      </c>
      <c r="I2466" s="1">
        <v>46224</v>
      </c>
      <c r="J2466" t="s">
        <v>1991</v>
      </c>
      <c r="K2466" t="s">
        <v>3918</v>
      </c>
      <c r="L2466" s="1">
        <v>46224.918321759258</v>
      </c>
      <c r="M2466" s="1">
        <v>46224.91962439815</v>
      </c>
    </row>
    <row r="2467" spans="1:13" x14ac:dyDescent="0.35">
      <c r="A2467" t="s">
        <v>555</v>
      </c>
      <c r="B2467" t="s">
        <v>1986</v>
      </c>
      <c r="C2467" t="s">
        <v>2731</v>
      </c>
      <c r="D2467">
        <v>0</v>
      </c>
      <c r="E2467" s="1">
        <v>49994</v>
      </c>
      <c r="F2467" t="s">
        <v>1988</v>
      </c>
      <c r="G2467" t="s">
        <v>2731</v>
      </c>
      <c r="H2467" t="s">
        <v>2</v>
      </c>
      <c r="I2467" s="1">
        <v>46224</v>
      </c>
      <c r="J2467" t="s">
        <v>1989</v>
      </c>
      <c r="K2467" t="s">
        <v>4157</v>
      </c>
      <c r="L2467" s="1">
        <v>46224.918321759258</v>
      </c>
      <c r="M2467" s="1">
        <v>46224.91962439815</v>
      </c>
    </row>
    <row r="2468" spans="1:13" x14ac:dyDescent="0.35">
      <c r="A2468" t="s">
        <v>496</v>
      </c>
      <c r="B2468" t="s">
        <v>1986</v>
      </c>
      <c r="C2468" t="s">
        <v>2732</v>
      </c>
      <c r="D2468">
        <v>0</v>
      </c>
      <c r="E2468" s="1">
        <v>50175</v>
      </c>
      <c r="F2468" t="s">
        <v>1988</v>
      </c>
      <c r="G2468" t="s">
        <v>2732</v>
      </c>
      <c r="H2468" t="s">
        <v>2</v>
      </c>
      <c r="I2468" s="1">
        <v>46224</v>
      </c>
      <c r="J2468" t="s">
        <v>1991</v>
      </c>
      <c r="K2468" t="s">
        <v>3919</v>
      </c>
      <c r="L2468" s="1">
        <v>46224.918321759258</v>
      </c>
      <c r="M2468" s="1">
        <v>46224.91962439815</v>
      </c>
    </row>
    <row r="2469" spans="1:13" x14ac:dyDescent="0.35">
      <c r="A2469" t="s">
        <v>496</v>
      </c>
      <c r="B2469" t="s">
        <v>1986</v>
      </c>
      <c r="C2469" t="s">
        <v>2732</v>
      </c>
      <c r="D2469">
        <v>0</v>
      </c>
      <c r="E2469" s="1">
        <v>50175</v>
      </c>
      <c r="F2469" t="s">
        <v>1988</v>
      </c>
      <c r="G2469" t="s">
        <v>2732</v>
      </c>
      <c r="H2469" t="s">
        <v>2</v>
      </c>
      <c r="I2469" s="1">
        <v>46224</v>
      </c>
      <c r="J2469" t="s">
        <v>1989</v>
      </c>
      <c r="K2469" t="s">
        <v>4158</v>
      </c>
      <c r="L2469" s="1">
        <v>46224.918321759258</v>
      </c>
      <c r="M2469" s="1">
        <v>46224.91962439815</v>
      </c>
    </row>
    <row r="2470" spans="1:13" x14ac:dyDescent="0.35">
      <c r="A2470" t="s">
        <v>546</v>
      </c>
      <c r="B2470" t="s">
        <v>1986</v>
      </c>
      <c r="C2470" t="s">
        <v>2752</v>
      </c>
      <c r="D2470">
        <v>0</v>
      </c>
      <c r="E2470" s="1">
        <v>50267</v>
      </c>
      <c r="F2470" t="s">
        <v>1988</v>
      </c>
      <c r="G2470" t="s">
        <v>2752</v>
      </c>
      <c r="H2470" t="s">
        <v>2</v>
      </c>
      <c r="I2470" s="1">
        <v>46224</v>
      </c>
      <c r="J2470" t="s">
        <v>1991</v>
      </c>
      <c r="K2470" t="s">
        <v>4159</v>
      </c>
      <c r="L2470" s="1">
        <v>46224.918321759258</v>
      </c>
      <c r="M2470" s="1">
        <v>46224.91962439815</v>
      </c>
    </row>
    <row r="2471" spans="1:13" x14ac:dyDescent="0.35">
      <c r="A2471" t="s">
        <v>546</v>
      </c>
      <c r="B2471" t="s">
        <v>1986</v>
      </c>
      <c r="C2471" t="s">
        <v>2752</v>
      </c>
      <c r="D2471">
        <v>0</v>
      </c>
      <c r="E2471" s="1">
        <v>50267</v>
      </c>
      <c r="F2471" t="s">
        <v>1988</v>
      </c>
      <c r="G2471" t="s">
        <v>2752</v>
      </c>
      <c r="H2471" t="s">
        <v>2</v>
      </c>
      <c r="I2471" s="1">
        <v>46224</v>
      </c>
      <c r="J2471" t="s">
        <v>1989</v>
      </c>
      <c r="K2471" t="s">
        <v>3989</v>
      </c>
      <c r="L2471" s="1">
        <v>46224.918321759258</v>
      </c>
      <c r="M2471" s="1">
        <v>46224.91962439815</v>
      </c>
    </row>
    <row r="2472" spans="1:13" x14ac:dyDescent="0.35">
      <c r="A2472" t="s">
        <v>497</v>
      </c>
      <c r="B2472" t="s">
        <v>1986</v>
      </c>
      <c r="C2472" t="s">
        <v>2792</v>
      </c>
      <c r="D2472">
        <v>0</v>
      </c>
      <c r="E2472" s="1">
        <v>50451</v>
      </c>
      <c r="F2472" t="s">
        <v>1988</v>
      </c>
      <c r="G2472" t="s">
        <v>2792</v>
      </c>
      <c r="H2472" t="s">
        <v>2</v>
      </c>
      <c r="I2472" s="1">
        <v>46224</v>
      </c>
      <c r="J2472" t="s">
        <v>1991</v>
      </c>
      <c r="K2472" t="s">
        <v>3849</v>
      </c>
      <c r="L2472" s="1">
        <v>46224.918321759258</v>
      </c>
      <c r="M2472" s="1">
        <v>46224.91962439815</v>
      </c>
    </row>
    <row r="2473" spans="1:13" x14ac:dyDescent="0.35">
      <c r="A2473" t="s">
        <v>497</v>
      </c>
      <c r="B2473" t="s">
        <v>1986</v>
      </c>
      <c r="C2473" t="s">
        <v>2792</v>
      </c>
      <c r="D2473">
        <v>0</v>
      </c>
      <c r="E2473" s="1">
        <v>50451</v>
      </c>
      <c r="F2473" t="s">
        <v>1988</v>
      </c>
      <c r="G2473" t="s">
        <v>2792</v>
      </c>
      <c r="H2473" t="s">
        <v>2</v>
      </c>
      <c r="I2473" s="1">
        <v>46224</v>
      </c>
      <c r="J2473" t="s">
        <v>1989</v>
      </c>
      <c r="K2473" t="s">
        <v>3990</v>
      </c>
      <c r="L2473" s="1">
        <v>46224.918321759258</v>
      </c>
      <c r="M2473" s="1">
        <v>46224.91962439815</v>
      </c>
    </row>
    <row r="2474" spans="1:13" x14ac:dyDescent="0.35">
      <c r="A2474" t="s">
        <v>529</v>
      </c>
      <c r="B2474" t="s">
        <v>1986</v>
      </c>
      <c r="C2474" t="s">
        <v>2799</v>
      </c>
      <c r="D2474">
        <v>0</v>
      </c>
      <c r="E2474" s="1">
        <v>50359</v>
      </c>
      <c r="F2474" t="s">
        <v>1988</v>
      </c>
      <c r="G2474" t="s">
        <v>2799</v>
      </c>
      <c r="H2474" t="s">
        <v>2</v>
      </c>
      <c r="I2474" s="1">
        <v>46224</v>
      </c>
      <c r="J2474" t="s">
        <v>1991</v>
      </c>
      <c r="K2474" t="s">
        <v>3948</v>
      </c>
      <c r="L2474" s="1">
        <v>46224.918321759258</v>
      </c>
      <c r="M2474" s="1">
        <v>46224.91962439815</v>
      </c>
    </row>
    <row r="2475" spans="1:13" x14ac:dyDescent="0.35">
      <c r="A2475" t="s">
        <v>529</v>
      </c>
      <c r="B2475" t="s">
        <v>1986</v>
      </c>
      <c r="C2475" t="s">
        <v>2799</v>
      </c>
      <c r="D2475">
        <v>0</v>
      </c>
      <c r="E2475" s="1">
        <v>50359</v>
      </c>
      <c r="F2475" t="s">
        <v>1988</v>
      </c>
      <c r="G2475" t="s">
        <v>2799</v>
      </c>
      <c r="H2475" t="s">
        <v>2</v>
      </c>
      <c r="I2475" s="1">
        <v>46224</v>
      </c>
      <c r="J2475" t="s">
        <v>1989</v>
      </c>
      <c r="K2475" t="s">
        <v>4160</v>
      </c>
      <c r="L2475" s="1">
        <v>46224.918321759258</v>
      </c>
      <c r="M2475" s="1">
        <v>46224.91962439815</v>
      </c>
    </row>
    <row r="2476" spans="1:13" x14ac:dyDescent="0.35">
      <c r="A2476" t="s">
        <v>498</v>
      </c>
      <c r="B2476" t="s">
        <v>1986</v>
      </c>
      <c r="C2476" t="s">
        <v>2800</v>
      </c>
      <c r="D2476">
        <v>0</v>
      </c>
      <c r="E2476" s="1">
        <v>50540</v>
      </c>
      <c r="F2476" t="s">
        <v>1988</v>
      </c>
      <c r="G2476" t="s">
        <v>2800</v>
      </c>
      <c r="H2476" t="s">
        <v>2</v>
      </c>
      <c r="I2476" s="1">
        <v>46224</v>
      </c>
      <c r="J2476" t="s">
        <v>1989</v>
      </c>
      <c r="K2476" t="s">
        <v>4047</v>
      </c>
      <c r="L2476" s="1">
        <v>46224.918321759258</v>
      </c>
      <c r="M2476" s="1">
        <v>46224.91962439815</v>
      </c>
    </row>
    <row r="2477" spans="1:13" x14ac:dyDescent="0.35">
      <c r="A2477" t="s">
        <v>498</v>
      </c>
      <c r="B2477" t="s">
        <v>1986</v>
      </c>
      <c r="C2477" t="s">
        <v>2800</v>
      </c>
      <c r="D2477">
        <v>0</v>
      </c>
      <c r="E2477" s="1">
        <v>50540</v>
      </c>
      <c r="F2477" t="s">
        <v>1988</v>
      </c>
      <c r="G2477" t="s">
        <v>2800</v>
      </c>
      <c r="H2477" t="s">
        <v>2</v>
      </c>
      <c r="I2477" s="1">
        <v>46224</v>
      </c>
      <c r="J2477" t="s">
        <v>1991</v>
      </c>
      <c r="K2477" t="s">
        <v>3969</v>
      </c>
      <c r="L2477" s="1">
        <v>46224.918321759258</v>
      </c>
      <c r="M2477" s="1">
        <v>46224.91962439815</v>
      </c>
    </row>
    <row r="2478" spans="1:13" x14ac:dyDescent="0.35">
      <c r="A2478" t="s">
        <v>491</v>
      </c>
      <c r="B2478" t="s">
        <v>1986</v>
      </c>
      <c r="C2478" t="s">
        <v>2764</v>
      </c>
      <c r="D2478">
        <v>0</v>
      </c>
      <c r="E2478" s="1">
        <v>50632</v>
      </c>
      <c r="F2478" t="s">
        <v>1988</v>
      </c>
      <c r="G2478" t="s">
        <v>2764</v>
      </c>
      <c r="H2478" t="s">
        <v>2</v>
      </c>
      <c r="I2478" s="1">
        <v>46224</v>
      </c>
      <c r="J2478" t="s">
        <v>1991</v>
      </c>
      <c r="K2478" t="s">
        <v>3850</v>
      </c>
      <c r="L2478" s="1">
        <v>46224.918321759258</v>
      </c>
      <c r="M2478" s="1">
        <v>46224.91962439815</v>
      </c>
    </row>
    <row r="2479" spans="1:13" x14ac:dyDescent="0.35">
      <c r="A2479" t="s">
        <v>491</v>
      </c>
      <c r="B2479" t="s">
        <v>1986</v>
      </c>
      <c r="C2479" t="s">
        <v>2764</v>
      </c>
      <c r="D2479">
        <v>0</v>
      </c>
      <c r="E2479" s="1">
        <v>50632</v>
      </c>
      <c r="F2479" t="s">
        <v>1988</v>
      </c>
      <c r="G2479" t="s">
        <v>2764</v>
      </c>
      <c r="H2479" t="s">
        <v>2</v>
      </c>
      <c r="I2479" s="1">
        <v>46224</v>
      </c>
      <c r="J2479" t="s">
        <v>1989</v>
      </c>
      <c r="K2479" t="s">
        <v>3949</v>
      </c>
      <c r="L2479" s="1">
        <v>46224.918321759258</v>
      </c>
      <c r="M2479" s="1">
        <v>46224.91962439815</v>
      </c>
    </row>
    <row r="2480" spans="1:13" x14ac:dyDescent="0.35">
      <c r="A2480" t="s">
        <v>499</v>
      </c>
      <c r="B2480" t="s">
        <v>1986</v>
      </c>
      <c r="C2480" t="s">
        <v>2801</v>
      </c>
      <c r="D2480">
        <v>0</v>
      </c>
      <c r="E2480" s="1">
        <v>50816</v>
      </c>
      <c r="F2480" t="s">
        <v>1988</v>
      </c>
      <c r="G2480" t="s">
        <v>2801</v>
      </c>
      <c r="H2480" t="s">
        <v>2</v>
      </c>
      <c r="I2480" s="1">
        <v>46224</v>
      </c>
      <c r="J2480" t="s">
        <v>1989</v>
      </c>
      <c r="K2480" t="s">
        <v>3920</v>
      </c>
      <c r="L2480" s="1">
        <v>46224.918321759258</v>
      </c>
      <c r="M2480" s="1">
        <v>46224.91962439815</v>
      </c>
    </row>
    <row r="2481" spans="1:13" x14ac:dyDescent="0.35">
      <c r="A2481" t="s">
        <v>499</v>
      </c>
      <c r="B2481" t="s">
        <v>1986</v>
      </c>
      <c r="C2481" t="s">
        <v>2801</v>
      </c>
      <c r="D2481">
        <v>0</v>
      </c>
      <c r="E2481" s="1">
        <v>50816</v>
      </c>
      <c r="F2481" t="s">
        <v>1988</v>
      </c>
      <c r="G2481" t="s">
        <v>2801</v>
      </c>
      <c r="H2481" t="s">
        <v>2</v>
      </c>
      <c r="I2481" s="1">
        <v>46224</v>
      </c>
      <c r="J2481" t="s">
        <v>1991</v>
      </c>
      <c r="K2481" t="s">
        <v>3950</v>
      </c>
      <c r="L2481" s="1">
        <v>46224.918321759258</v>
      </c>
      <c r="M2481" s="1">
        <v>46224.91962439815</v>
      </c>
    </row>
    <row r="2482" spans="1:13" x14ac:dyDescent="0.35">
      <c r="A2482" t="s">
        <v>534</v>
      </c>
      <c r="B2482" t="s">
        <v>1986</v>
      </c>
      <c r="C2482" t="s">
        <v>2753</v>
      </c>
      <c r="D2482">
        <v>0</v>
      </c>
      <c r="E2482" s="1">
        <v>50724</v>
      </c>
      <c r="F2482" t="s">
        <v>1988</v>
      </c>
      <c r="G2482" t="s">
        <v>2753</v>
      </c>
      <c r="H2482" t="s">
        <v>2</v>
      </c>
      <c r="I2482" s="1">
        <v>46224</v>
      </c>
      <c r="J2482" t="s">
        <v>1989</v>
      </c>
      <c r="K2482" t="s">
        <v>3921</v>
      </c>
      <c r="L2482" s="1">
        <v>46224.918321759258</v>
      </c>
      <c r="M2482" s="1">
        <v>46224.91962439815</v>
      </c>
    </row>
    <row r="2483" spans="1:13" x14ac:dyDescent="0.35">
      <c r="A2483" t="s">
        <v>534</v>
      </c>
      <c r="B2483" t="s">
        <v>1986</v>
      </c>
      <c r="C2483" t="s">
        <v>2753</v>
      </c>
      <c r="D2483">
        <v>0</v>
      </c>
      <c r="E2483" s="1">
        <v>50724</v>
      </c>
      <c r="F2483" t="s">
        <v>1988</v>
      </c>
      <c r="G2483" t="s">
        <v>2753</v>
      </c>
      <c r="H2483" t="s">
        <v>2</v>
      </c>
      <c r="I2483" s="1">
        <v>46224</v>
      </c>
      <c r="J2483" t="s">
        <v>1991</v>
      </c>
      <c r="K2483" t="s">
        <v>3718</v>
      </c>
      <c r="L2483" s="1">
        <v>46224.918321759258</v>
      </c>
      <c r="M2483" s="1">
        <v>46224.91962439815</v>
      </c>
    </row>
    <row r="2484" spans="1:13" x14ac:dyDescent="0.35">
      <c r="A2484" t="s">
        <v>547</v>
      </c>
      <c r="B2484" t="s">
        <v>1986</v>
      </c>
      <c r="C2484" t="s">
        <v>2733</v>
      </c>
      <c r="D2484">
        <v>0</v>
      </c>
      <c r="E2484" s="1">
        <v>50905</v>
      </c>
      <c r="F2484" t="s">
        <v>1988</v>
      </c>
      <c r="G2484" t="s">
        <v>2733</v>
      </c>
      <c r="H2484" t="s">
        <v>2</v>
      </c>
      <c r="I2484" s="1">
        <v>46224</v>
      </c>
      <c r="J2484" t="s">
        <v>1989</v>
      </c>
      <c r="K2484" t="s">
        <v>3719</v>
      </c>
      <c r="L2484" s="1">
        <v>46224.918321759258</v>
      </c>
      <c r="M2484" s="1">
        <v>46224.91962439815</v>
      </c>
    </row>
    <row r="2485" spans="1:13" x14ac:dyDescent="0.35">
      <c r="A2485" t="s">
        <v>547</v>
      </c>
      <c r="B2485" t="s">
        <v>1986</v>
      </c>
      <c r="C2485" t="s">
        <v>2733</v>
      </c>
      <c r="D2485">
        <v>0</v>
      </c>
      <c r="E2485" s="1">
        <v>50905</v>
      </c>
      <c r="F2485" t="s">
        <v>1988</v>
      </c>
      <c r="G2485" t="s">
        <v>2733</v>
      </c>
      <c r="H2485" t="s">
        <v>2</v>
      </c>
      <c r="I2485" s="1">
        <v>46224</v>
      </c>
      <c r="J2485" t="s">
        <v>1991</v>
      </c>
      <c r="K2485" t="s">
        <v>4161</v>
      </c>
      <c r="L2485" s="1">
        <v>46224.918321759258</v>
      </c>
      <c r="M2485" s="1">
        <v>46224.91962439815</v>
      </c>
    </row>
    <row r="2486" spans="1:13" x14ac:dyDescent="0.35">
      <c r="A2486" t="s">
        <v>500</v>
      </c>
      <c r="B2486" t="s">
        <v>1986</v>
      </c>
      <c r="C2486" t="s">
        <v>2754</v>
      </c>
      <c r="D2486">
        <v>0</v>
      </c>
      <c r="E2486" s="1">
        <v>50997</v>
      </c>
      <c r="F2486" t="s">
        <v>1988</v>
      </c>
      <c r="G2486" t="s">
        <v>2754</v>
      </c>
      <c r="H2486" t="s">
        <v>2</v>
      </c>
      <c r="I2486" s="1">
        <v>46224</v>
      </c>
      <c r="J2486" t="s">
        <v>1989</v>
      </c>
      <c r="K2486" t="s">
        <v>3951</v>
      </c>
      <c r="L2486" s="1">
        <v>46224.918321759258</v>
      </c>
      <c r="M2486" s="1">
        <v>46224.91962439815</v>
      </c>
    </row>
    <row r="2487" spans="1:13" x14ac:dyDescent="0.35">
      <c r="A2487" t="s">
        <v>500</v>
      </c>
      <c r="B2487" t="s">
        <v>1986</v>
      </c>
      <c r="C2487" t="s">
        <v>2754</v>
      </c>
      <c r="D2487">
        <v>0</v>
      </c>
      <c r="E2487" s="1">
        <v>50997</v>
      </c>
      <c r="F2487" t="s">
        <v>1988</v>
      </c>
      <c r="G2487" t="s">
        <v>2754</v>
      </c>
      <c r="H2487" t="s">
        <v>2</v>
      </c>
      <c r="I2487" s="1">
        <v>46224</v>
      </c>
      <c r="J2487" t="s">
        <v>1991</v>
      </c>
      <c r="K2487" t="s">
        <v>3970</v>
      </c>
      <c r="L2487" s="1">
        <v>46224.918321759258</v>
      </c>
      <c r="M2487" s="1">
        <v>46224.91962439815</v>
      </c>
    </row>
    <row r="2488" spans="1:13" x14ac:dyDescent="0.35">
      <c r="A2488" t="s">
        <v>548</v>
      </c>
      <c r="B2488" t="s">
        <v>1986</v>
      </c>
      <c r="C2488" t="s">
        <v>2734</v>
      </c>
      <c r="D2488">
        <v>0</v>
      </c>
      <c r="E2488" s="1">
        <v>51089</v>
      </c>
      <c r="F2488" t="s">
        <v>1988</v>
      </c>
      <c r="G2488" t="s">
        <v>2734</v>
      </c>
      <c r="H2488" t="s">
        <v>2</v>
      </c>
      <c r="I2488" s="1">
        <v>46224</v>
      </c>
      <c r="J2488" t="s">
        <v>1989</v>
      </c>
      <c r="K2488" t="s">
        <v>3720</v>
      </c>
      <c r="L2488" s="1">
        <v>46224.918321759258</v>
      </c>
      <c r="M2488" s="1">
        <v>46224.91962439815</v>
      </c>
    </row>
    <row r="2489" spans="1:13" x14ac:dyDescent="0.35">
      <c r="A2489" t="s">
        <v>548</v>
      </c>
      <c r="B2489" t="s">
        <v>1986</v>
      </c>
      <c r="C2489" t="s">
        <v>2734</v>
      </c>
      <c r="D2489">
        <v>0</v>
      </c>
      <c r="E2489" s="1">
        <v>51089</v>
      </c>
      <c r="F2489" t="s">
        <v>1988</v>
      </c>
      <c r="G2489" t="s">
        <v>2734</v>
      </c>
      <c r="H2489" t="s">
        <v>2</v>
      </c>
      <c r="I2489" s="1">
        <v>46224</v>
      </c>
      <c r="J2489" t="s">
        <v>1991</v>
      </c>
      <c r="K2489" t="s">
        <v>4048</v>
      </c>
      <c r="L2489" s="1">
        <v>46224.918321759258</v>
      </c>
      <c r="M2489" s="1">
        <v>46224.91962439815</v>
      </c>
    </row>
    <row r="2490" spans="1:13" x14ac:dyDescent="0.35">
      <c r="A2490" t="s">
        <v>501</v>
      </c>
      <c r="B2490" t="s">
        <v>1986</v>
      </c>
      <c r="C2490" t="s">
        <v>2735</v>
      </c>
      <c r="D2490">
        <v>0</v>
      </c>
      <c r="E2490" s="1">
        <v>51181</v>
      </c>
      <c r="F2490" t="s">
        <v>1988</v>
      </c>
      <c r="G2490" t="s">
        <v>2735</v>
      </c>
      <c r="H2490" t="s">
        <v>2</v>
      </c>
      <c r="I2490" s="1">
        <v>46224</v>
      </c>
      <c r="J2490" t="s">
        <v>1989</v>
      </c>
      <c r="K2490" t="s">
        <v>4049</v>
      </c>
      <c r="L2490" s="1">
        <v>46224.918321759258</v>
      </c>
      <c r="M2490" s="1">
        <v>46224.91962439815</v>
      </c>
    </row>
    <row r="2491" spans="1:13" x14ac:dyDescent="0.35">
      <c r="A2491" t="s">
        <v>501</v>
      </c>
      <c r="B2491" t="s">
        <v>1986</v>
      </c>
      <c r="C2491" t="s">
        <v>2735</v>
      </c>
      <c r="D2491">
        <v>0</v>
      </c>
      <c r="E2491" s="1">
        <v>51181</v>
      </c>
      <c r="F2491" t="s">
        <v>1988</v>
      </c>
      <c r="G2491" t="s">
        <v>2735</v>
      </c>
      <c r="H2491" t="s">
        <v>2</v>
      </c>
      <c r="I2491" s="1">
        <v>46224</v>
      </c>
      <c r="J2491" t="s">
        <v>1991</v>
      </c>
      <c r="K2491" t="s">
        <v>3971</v>
      </c>
      <c r="L2491" s="1">
        <v>46224.918321759258</v>
      </c>
      <c r="M2491" s="1">
        <v>46224.91962439815</v>
      </c>
    </row>
    <row r="2492" spans="1:13" x14ac:dyDescent="0.35">
      <c r="A2492" t="s">
        <v>524</v>
      </c>
      <c r="B2492" t="s">
        <v>1986</v>
      </c>
      <c r="C2492" t="s">
        <v>2765</v>
      </c>
      <c r="D2492">
        <v>0</v>
      </c>
      <c r="E2492" s="1">
        <v>51271</v>
      </c>
      <c r="F2492" t="s">
        <v>1988</v>
      </c>
      <c r="G2492" t="s">
        <v>2765</v>
      </c>
      <c r="H2492" t="s">
        <v>2</v>
      </c>
      <c r="I2492" s="1">
        <v>46224</v>
      </c>
      <c r="J2492" t="s">
        <v>1989</v>
      </c>
      <c r="K2492" t="s">
        <v>4162</v>
      </c>
      <c r="L2492" s="1">
        <v>46224.918321759258</v>
      </c>
      <c r="M2492" s="1">
        <v>46224.91962439815</v>
      </c>
    </row>
    <row r="2493" spans="1:13" x14ac:dyDescent="0.35">
      <c r="A2493" t="s">
        <v>524</v>
      </c>
      <c r="B2493" t="s">
        <v>1986</v>
      </c>
      <c r="C2493" t="s">
        <v>2765</v>
      </c>
      <c r="D2493">
        <v>0</v>
      </c>
      <c r="E2493" s="1">
        <v>51271</v>
      </c>
      <c r="F2493" t="s">
        <v>1988</v>
      </c>
      <c r="G2493" t="s">
        <v>2765</v>
      </c>
      <c r="H2493" t="s">
        <v>2</v>
      </c>
      <c r="I2493" s="1">
        <v>46224</v>
      </c>
      <c r="J2493" t="s">
        <v>1991</v>
      </c>
      <c r="K2493" t="s">
        <v>4163</v>
      </c>
      <c r="L2493" s="1">
        <v>46224.918321759258</v>
      </c>
      <c r="M2493" s="1">
        <v>46224.91962439815</v>
      </c>
    </row>
    <row r="2494" spans="1:13" x14ac:dyDescent="0.35">
      <c r="A2494" t="s">
        <v>492</v>
      </c>
      <c r="B2494" t="s">
        <v>1986</v>
      </c>
      <c r="C2494" t="s">
        <v>2793</v>
      </c>
      <c r="D2494">
        <v>0</v>
      </c>
      <c r="E2494" s="1">
        <v>51363</v>
      </c>
      <c r="F2494" t="s">
        <v>1988</v>
      </c>
      <c r="G2494" t="s">
        <v>2793</v>
      </c>
      <c r="H2494" t="s">
        <v>2</v>
      </c>
      <c r="I2494" s="1">
        <v>46224</v>
      </c>
      <c r="J2494" t="s">
        <v>1989</v>
      </c>
      <c r="K2494" t="s">
        <v>3851</v>
      </c>
      <c r="L2494" s="1">
        <v>46224.918321759258</v>
      </c>
      <c r="M2494" s="1">
        <v>46224.91962439815</v>
      </c>
    </row>
    <row r="2495" spans="1:13" x14ac:dyDescent="0.35">
      <c r="A2495" t="s">
        <v>492</v>
      </c>
      <c r="B2495" t="s">
        <v>1986</v>
      </c>
      <c r="C2495" t="s">
        <v>2793</v>
      </c>
      <c r="D2495">
        <v>0</v>
      </c>
      <c r="E2495" s="1">
        <v>51363</v>
      </c>
      <c r="F2495" t="s">
        <v>1988</v>
      </c>
      <c r="G2495" t="s">
        <v>2793</v>
      </c>
      <c r="H2495" t="s">
        <v>2</v>
      </c>
      <c r="I2495" s="1">
        <v>46224</v>
      </c>
      <c r="J2495" t="s">
        <v>1991</v>
      </c>
      <c r="K2495" t="s">
        <v>3991</v>
      </c>
      <c r="L2495" s="1">
        <v>46224.918321759258</v>
      </c>
      <c r="M2495" s="1">
        <v>46224.91962439815</v>
      </c>
    </row>
    <row r="2496" spans="1:13" x14ac:dyDescent="0.35">
      <c r="A2496" t="s">
        <v>493</v>
      </c>
      <c r="B2496" t="s">
        <v>1986</v>
      </c>
      <c r="C2496" t="s">
        <v>2755</v>
      </c>
      <c r="D2496">
        <v>0</v>
      </c>
      <c r="E2496" s="1">
        <v>51455</v>
      </c>
      <c r="F2496" t="s">
        <v>1988</v>
      </c>
      <c r="G2496" t="s">
        <v>2755</v>
      </c>
      <c r="H2496" t="s">
        <v>2</v>
      </c>
      <c r="I2496" s="1">
        <v>46224</v>
      </c>
      <c r="J2496" t="s">
        <v>1989</v>
      </c>
      <c r="K2496" t="s">
        <v>3922</v>
      </c>
      <c r="L2496" s="1">
        <v>46224.918321759258</v>
      </c>
      <c r="M2496" s="1">
        <v>46224.91962439815</v>
      </c>
    </row>
    <row r="2497" spans="1:13" x14ac:dyDescent="0.35">
      <c r="A2497" t="s">
        <v>493</v>
      </c>
      <c r="B2497" t="s">
        <v>1986</v>
      </c>
      <c r="C2497" t="s">
        <v>2755</v>
      </c>
      <c r="D2497">
        <v>0</v>
      </c>
      <c r="E2497" s="1">
        <v>51455</v>
      </c>
      <c r="F2497" t="s">
        <v>1988</v>
      </c>
      <c r="G2497" t="s">
        <v>2755</v>
      </c>
      <c r="H2497" t="s">
        <v>2</v>
      </c>
      <c r="I2497" s="1">
        <v>46224</v>
      </c>
      <c r="J2497" t="s">
        <v>1991</v>
      </c>
      <c r="K2497" t="s">
        <v>3852</v>
      </c>
      <c r="L2497" s="1">
        <v>46224.918321759258</v>
      </c>
      <c r="M2497" s="1">
        <v>46224.91962439815</v>
      </c>
    </row>
    <row r="2498" spans="1:13" x14ac:dyDescent="0.35">
      <c r="A2498" t="s">
        <v>513</v>
      </c>
      <c r="B2498" t="s">
        <v>1986</v>
      </c>
      <c r="C2498" t="s">
        <v>2756</v>
      </c>
      <c r="D2498">
        <v>0</v>
      </c>
      <c r="E2498" s="1">
        <v>51547</v>
      </c>
      <c r="F2498" t="s">
        <v>1988</v>
      </c>
      <c r="G2498" t="s">
        <v>2756</v>
      </c>
      <c r="H2498" t="s">
        <v>2</v>
      </c>
      <c r="I2498" s="1">
        <v>46224</v>
      </c>
      <c r="J2498" t="s">
        <v>1991</v>
      </c>
      <c r="K2498" t="s">
        <v>3952</v>
      </c>
      <c r="L2498" s="1">
        <v>46224.918321759258</v>
      </c>
      <c r="M2498" s="1">
        <v>46224.91962439815</v>
      </c>
    </row>
    <row r="2499" spans="1:13" x14ac:dyDescent="0.35">
      <c r="A2499" t="s">
        <v>513</v>
      </c>
      <c r="B2499" t="s">
        <v>1986</v>
      </c>
      <c r="C2499" t="s">
        <v>2756</v>
      </c>
      <c r="D2499">
        <v>0</v>
      </c>
      <c r="E2499" s="1">
        <v>51547</v>
      </c>
      <c r="F2499" t="s">
        <v>1988</v>
      </c>
      <c r="G2499" t="s">
        <v>2756</v>
      </c>
      <c r="H2499" t="s">
        <v>2</v>
      </c>
      <c r="I2499" s="1">
        <v>46224</v>
      </c>
      <c r="J2499" t="s">
        <v>1989</v>
      </c>
      <c r="K2499" t="s">
        <v>4164</v>
      </c>
      <c r="L2499" s="1">
        <v>46224.918321759258</v>
      </c>
      <c r="M2499" s="1">
        <v>46224.91962439815</v>
      </c>
    </row>
    <row r="2500" spans="1:13" x14ac:dyDescent="0.35">
      <c r="A2500" t="s">
        <v>541</v>
      </c>
      <c r="B2500" t="s">
        <v>1986</v>
      </c>
      <c r="C2500" t="s">
        <v>2736</v>
      </c>
      <c r="D2500">
        <v>0</v>
      </c>
      <c r="E2500" s="1">
        <v>53097</v>
      </c>
      <c r="F2500" t="s">
        <v>1988</v>
      </c>
      <c r="G2500" t="s">
        <v>2736</v>
      </c>
      <c r="H2500" t="s">
        <v>2</v>
      </c>
      <c r="I2500" s="1">
        <v>46224</v>
      </c>
      <c r="J2500" t="s">
        <v>1989</v>
      </c>
      <c r="K2500" t="s">
        <v>4050</v>
      </c>
      <c r="L2500" s="1">
        <v>46224.918321759258</v>
      </c>
      <c r="M2500" s="1">
        <v>46224.91962439815</v>
      </c>
    </row>
    <row r="2501" spans="1:13" x14ac:dyDescent="0.35">
      <c r="A2501" t="s">
        <v>541</v>
      </c>
      <c r="B2501" t="s">
        <v>1986</v>
      </c>
      <c r="C2501" t="s">
        <v>2736</v>
      </c>
      <c r="D2501">
        <v>0</v>
      </c>
      <c r="E2501" s="1">
        <v>53097</v>
      </c>
      <c r="F2501" t="s">
        <v>1988</v>
      </c>
      <c r="G2501" t="s">
        <v>2736</v>
      </c>
      <c r="H2501" t="s">
        <v>2</v>
      </c>
      <c r="I2501" s="1">
        <v>46224</v>
      </c>
      <c r="J2501" t="s">
        <v>1991</v>
      </c>
      <c r="K2501" t="s">
        <v>3972</v>
      </c>
      <c r="L2501" s="1">
        <v>46224.918321759258</v>
      </c>
      <c r="M2501" s="1">
        <v>46224.91962439815</v>
      </c>
    </row>
    <row r="2502" spans="1:13" x14ac:dyDescent="0.35">
      <c r="A2502" t="s">
        <v>502</v>
      </c>
      <c r="B2502" t="s">
        <v>1986</v>
      </c>
      <c r="C2502" t="s">
        <v>2768</v>
      </c>
      <c r="D2502">
        <v>0</v>
      </c>
      <c r="E2502" s="1">
        <v>51636</v>
      </c>
      <c r="F2502" t="s">
        <v>1988</v>
      </c>
      <c r="G2502" t="s">
        <v>2768</v>
      </c>
      <c r="H2502" t="s">
        <v>2</v>
      </c>
      <c r="I2502" s="1">
        <v>46224</v>
      </c>
      <c r="J2502" t="s">
        <v>1989</v>
      </c>
      <c r="K2502" t="s">
        <v>3973</v>
      </c>
      <c r="L2502" s="1">
        <v>46224.918321759258</v>
      </c>
      <c r="M2502" s="1">
        <v>46224.91962439815</v>
      </c>
    </row>
    <row r="2503" spans="1:13" x14ac:dyDescent="0.35">
      <c r="A2503" t="s">
        <v>502</v>
      </c>
      <c r="B2503" t="s">
        <v>1986</v>
      </c>
      <c r="C2503" t="s">
        <v>2768</v>
      </c>
      <c r="D2503">
        <v>0</v>
      </c>
      <c r="E2503" s="1">
        <v>51636</v>
      </c>
      <c r="F2503" t="s">
        <v>1988</v>
      </c>
      <c r="G2503" t="s">
        <v>2768</v>
      </c>
      <c r="H2503" t="s">
        <v>2</v>
      </c>
      <c r="I2503" s="1">
        <v>46224</v>
      </c>
      <c r="J2503" t="s">
        <v>1991</v>
      </c>
      <c r="K2503" t="s">
        <v>3974</v>
      </c>
      <c r="L2503" s="1">
        <v>46224.918321759258</v>
      </c>
      <c r="M2503" s="1">
        <v>46224.91962439815</v>
      </c>
    </row>
    <row r="2504" spans="1:13" x14ac:dyDescent="0.35">
      <c r="A2504" t="s">
        <v>549</v>
      </c>
      <c r="B2504" t="s">
        <v>1986</v>
      </c>
      <c r="C2504" t="s">
        <v>2794</v>
      </c>
      <c r="D2504">
        <v>0</v>
      </c>
      <c r="E2504" s="1">
        <v>51728</v>
      </c>
      <c r="F2504" t="s">
        <v>1988</v>
      </c>
      <c r="G2504" t="s">
        <v>2794</v>
      </c>
      <c r="H2504" t="s">
        <v>2</v>
      </c>
      <c r="I2504" s="1">
        <v>46224</v>
      </c>
      <c r="J2504" t="s">
        <v>1991</v>
      </c>
      <c r="K2504" t="s">
        <v>3721</v>
      </c>
      <c r="L2504" s="1">
        <v>46224.918321759258</v>
      </c>
      <c r="M2504" s="1">
        <v>46224.91962439815</v>
      </c>
    </row>
    <row r="2505" spans="1:13" x14ac:dyDescent="0.35">
      <c r="A2505" t="s">
        <v>549</v>
      </c>
      <c r="B2505" t="s">
        <v>1986</v>
      </c>
      <c r="C2505" t="s">
        <v>2794</v>
      </c>
      <c r="D2505">
        <v>0</v>
      </c>
      <c r="E2505" s="1">
        <v>51728</v>
      </c>
      <c r="F2505" t="s">
        <v>1988</v>
      </c>
      <c r="G2505" t="s">
        <v>2794</v>
      </c>
      <c r="H2505" t="s">
        <v>2</v>
      </c>
      <c r="I2505" s="1">
        <v>46224</v>
      </c>
      <c r="J2505" t="s">
        <v>1989</v>
      </c>
      <c r="K2505" t="s">
        <v>3992</v>
      </c>
      <c r="L2505" s="1">
        <v>46224.918321759258</v>
      </c>
      <c r="M2505" s="1">
        <v>46224.91962439815</v>
      </c>
    </row>
    <row r="2506" spans="1:13" x14ac:dyDescent="0.35">
      <c r="A2506" t="s">
        <v>530</v>
      </c>
      <c r="B2506" t="s">
        <v>1986</v>
      </c>
      <c r="C2506" t="s">
        <v>2766</v>
      </c>
      <c r="D2506">
        <v>0</v>
      </c>
      <c r="E2506" s="1">
        <v>51820</v>
      </c>
      <c r="F2506" t="s">
        <v>1988</v>
      </c>
      <c r="G2506" t="s">
        <v>2766</v>
      </c>
      <c r="H2506" t="s">
        <v>2</v>
      </c>
      <c r="I2506" s="1">
        <v>46224</v>
      </c>
      <c r="J2506" t="s">
        <v>1989</v>
      </c>
      <c r="K2506" t="s">
        <v>3923</v>
      </c>
      <c r="L2506" s="1">
        <v>46224.918321759258</v>
      </c>
      <c r="M2506" s="1">
        <v>46224.91962439815</v>
      </c>
    </row>
    <row r="2507" spans="1:13" x14ac:dyDescent="0.35">
      <c r="A2507" t="s">
        <v>530</v>
      </c>
      <c r="B2507" t="s">
        <v>1986</v>
      </c>
      <c r="C2507" t="s">
        <v>2766</v>
      </c>
      <c r="D2507">
        <v>0</v>
      </c>
      <c r="E2507" s="1">
        <v>51820</v>
      </c>
      <c r="F2507" t="s">
        <v>1988</v>
      </c>
      <c r="G2507" t="s">
        <v>2766</v>
      </c>
      <c r="H2507" t="s">
        <v>2</v>
      </c>
      <c r="I2507" s="1">
        <v>46224</v>
      </c>
      <c r="J2507" t="s">
        <v>1991</v>
      </c>
      <c r="K2507" t="s">
        <v>3722</v>
      </c>
      <c r="L2507" s="1">
        <v>46224.918321759258</v>
      </c>
      <c r="M2507" s="1">
        <v>46224.91962439815</v>
      </c>
    </row>
    <row r="2508" spans="1:13" x14ac:dyDescent="0.35">
      <c r="A2508" t="s">
        <v>550</v>
      </c>
      <c r="B2508" t="s">
        <v>1986</v>
      </c>
      <c r="C2508" t="s">
        <v>2795</v>
      </c>
      <c r="D2508">
        <v>0</v>
      </c>
      <c r="E2508" s="1">
        <v>51912</v>
      </c>
      <c r="F2508" t="s">
        <v>1988</v>
      </c>
      <c r="G2508" t="s">
        <v>2795</v>
      </c>
      <c r="H2508" t="s">
        <v>2</v>
      </c>
      <c r="I2508" s="1">
        <v>46224</v>
      </c>
      <c r="J2508" t="s">
        <v>1989</v>
      </c>
      <c r="K2508" t="s">
        <v>3924</v>
      </c>
      <c r="L2508" s="1">
        <v>46224.918321759258</v>
      </c>
      <c r="M2508" s="1">
        <v>46224.91962439815</v>
      </c>
    </row>
    <row r="2509" spans="1:13" x14ac:dyDescent="0.35">
      <c r="A2509" t="s">
        <v>550</v>
      </c>
      <c r="B2509" t="s">
        <v>1986</v>
      </c>
      <c r="C2509" t="s">
        <v>2795</v>
      </c>
      <c r="D2509">
        <v>0</v>
      </c>
      <c r="E2509" s="1">
        <v>51912</v>
      </c>
      <c r="F2509" t="s">
        <v>1988</v>
      </c>
      <c r="G2509" t="s">
        <v>2795</v>
      </c>
      <c r="H2509" t="s">
        <v>2</v>
      </c>
      <c r="I2509" s="1">
        <v>46224</v>
      </c>
      <c r="J2509" t="s">
        <v>1991</v>
      </c>
      <c r="K2509" t="s">
        <v>3975</v>
      </c>
      <c r="L2509" s="1">
        <v>46224.918321759258</v>
      </c>
      <c r="M2509" s="1">
        <v>46224.91962439815</v>
      </c>
    </row>
    <row r="2510" spans="1:13" x14ac:dyDescent="0.35">
      <c r="A2510" t="s">
        <v>514</v>
      </c>
      <c r="B2510" t="s">
        <v>1986</v>
      </c>
      <c r="C2510" t="s">
        <v>2802</v>
      </c>
      <c r="D2510">
        <v>0</v>
      </c>
      <c r="E2510" s="1">
        <v>52001</v>
      </c>
      <c r="F2510" t="s">
        <v>1988</v>
      </c>
      <c r="G2510" t="s">
        <v>2802</v>
      </c>
      <c r="H2510" t="s">
        <v>2</v>
      </c>
      <c r="I2510" s="1">
        <v>46224</v>
      </c>
      <c r="J2510" t="s">
        <v>1989</v>
      </c>
      <c r="K2510" t="s">
        <v>3853</v>
      </c>
      <c r="L2510" s="1">
        <v>46224.918321759258</v>
      </c>
      <c r="M2510" s="1">
        <v>46224.91962439815</v>
      </c>
    </row>
    <row r="2511" spans="1:13" x14ac:dyDescent="0.35">
      <c r="A2511" t="s">
        <v>514</v>
      </c>
      <c r="B2511" t="s">
        <v>1986</v>
      </c>
      <c r="C2511" t="s">
        <v>2802</v>
      </c>
      <c r="D2511">
        <v>0</v>
      </c>
      <c r="E2511" s="1">
        <v>52001</v>
      </c>
      <c r="F2511" t="s">
        <v>1988</v>
      </c>
      <c r="G2511" t="s">
        <v>2802</v>
      </c>
      <c r="H2511" t="s">
        <v>2</v>
      </c>
      <c r="I2511" s="1">
        <v>46224</v>
      </c>
      <c r="J2511" t="s">
        <v>1991</v>
      </c>
      <c r="K2511" t="s">
        <v>3953</v>
      </c>
      <c r="L2511" s="1">
        <v>46224.918321759258</v>
      </c>
      <c r="M2511" s="1">
        <v>46224.91962439815</v>
      </c>
    </row>
    <row r="2512" spans="1:13" x14ac:dyDescent="0.35">
      <c r="A2512" t="s">
        <v>551</v>
      </c>
      <c r="B2512" t="s">
        <v>1986</v>
      </c>
      <c r="C2512" t="s">
        <v>2769</v>
      </c>
      <c r="D2512">
        <v>0</v>
      </c>
      <c r="E2512" s="1">
        <v>52093</v>
      </c>
      <c r="F2512" t="s">
        <v>1988</v>
      </c>
      <c r="G2512" t="s">
        <v>2769</v>
      </c>
      <c r="H2512" t="s">
        <v>2</v>
      </c>
      <c r="I2512" s="1">
        <v>46224</v>
      </c>
      <c r="J2512" t="s">
        <v>1991</v>
      </c>
      <c r="K2512" t="s">
        <v>3723</v>
      </c>
      <c r="L2512" s="1">
        <v>46224.918321759258</v>
      </c>
      <c r="M2512" s="1">
        <v>46224.91962439815</v>
      </c>
    </row>
    <row r="2513" spans="1:13" x14ac:dyDescent="0.35">
      <c r="A2513" t="s">
        <v>551</v>
      </c>
      <c r="B2513" t="s">
        <v>1986</v>
      </c>
      <c r="C2513" t="s">
        <v>2769</v>
      </c>
      <c r="D2513">
        <v>0</v>
      </c>
      <c r="E2513" s="1">
        <v>52093</v>
      </c>
      <c r="F2513" t="s">
        <v>1988</v>
      </c>
      <c r="G2513" t="s">
        <v>2769</v>
      </c>
      <c r="H2513" t="s">
        <v>2</v>
      </c>
      <c r="I2513" s="1">
        <v>46224</v>
      </c>
      <c r="J2513" t="s">
        <v>1989</v>
      </c>
      <c r="K2513" t="s">
        <v>4051</v>
      </c>
      <c r="L2513" s="1">
        <v>46224.918321759258</v>
      </c>
      <c r="M2513" s="1">
        <v>46224.91962439815</v>
      </c>
    </row>
    <row r="2514" spans="1:13" x14ac:dyDescent="0.35">
      <c r="A2514" t="s">
        <v>542</v>
      </c>
      <c r="B2514" t="s">
        <v>1986</v>
      </c>
      <c r="C2514" t="s">
        <v>2757</v>
      </c>
      <c r="D2514">
        <v>0</v>
      </c>
      <c r="E2514" s="1">
        <v>52185</v>
      </c>
      <c r="F2514" t="s">
        <v>1988</v>
      </c>
      <c r="G2514" t="s">
        <v>2757</v>
      </c>
      <c r="H2514" t="s">
        <v>2</v>
      </c>
      <c r="I2514" s="1">
        <v>46224</v>
      </c>
      <c r="J2514" t="s">
        <v>1989</v>
      </c>
      <c r="K2514" t="s">
        <v>4052</v>
      </c>
      <c r="L2514" s="1">
        <v>46224.918321759258</v>
      </c>
      <c r="M2514" s="1">
        <v>46224.91962439815</v>
      </c>
    </row>
    <row r="2515" spans="1:13" x14ac:dyDescent="0.35">
      <c r="A2515" t="s">
        <v>542</v>
      </c>
      <c r="B2515" t="s">
        <v>1986</v>
      </c>
      <c r="C2515" t="s">
        <v>2757</v>
      </c>
      <c r="D2515">
        <v>0</v>
      </c>
      <c r="E2515" s="1">
        <v>52185</v>
      </c>
      <c r="F2515" t="s">
        <v>1988</v>
      </c>
      <c r="G2515" t="s">
        <v>2757</v>
      </c>
      <c r="H2515" t="s">
        <v>2</v>
      </c>
      <c r="I2515" s="1">
        <v>46224</v>
      </c>
      <c r="J2515" t="s">
        <v>1991</v>
      </c>
      <c r="K2515" t="s">
        <v>4053</v>
      </c>
      <c r="L2515" s="1">
        <v>46224.918321759258</v>
      </c>
      <c r="M2515" s="1">
        <v>46224.91962439815</v>
      </c>
    </row>
    <row r="2516" spans="1:13" x14ac:dyDescent="0.35">
      <c r="A2516" t="s">
        <v>552</v>
      </c>
      <c r="B2516" t="s">
        <v>1986</v>
      </c>
      <c r="C2516" t="s">
        <v>2758</v>
      </c>
      <c r="D2516">
        <v>0</v>
      </c>
      <c r="E2516" s="1">
        <v>52277</v>
      </c>
      <c r="F2516" t="s">
        <v>1988</v>
      </c>
      <c r="G2516" t="s">
        <v>2758</v>
      </c>
      <c r="H2516" t="s">
        <v>2</v>
      </c>
      <c r="I2516" s="1">
        <v>46224</v>
      </c>
      <c r="J2516" t="s">
        <v>1991</v>
      </c>
      <c r="K2516" t="s">
        <v>3724</v>
      </c>
      <c r="L2516" s="1">
        <v>46224.918321759258</v>
      </c>
      <c r="M2516" s="1">
        <v>46224.91962439815</v>
      </c>
    </row>
    <row r="2517" spans="1:13" x14ac:dyDescent="0.35">
      <c r="A2517" t="s">
        <v>552</v>
      </c>
      <c r="B2517" t="s">
        <v>1986</v>
      </c>
      <c r="C2517" t="s">
        <v>2758</v>
      </c>
      <c r="D2517">
        <v>0</v>
      </c>
      <c r="E2517" s="1">
        <v>52277</v>
      </c>
      <c r="F2517" t="s">
        <v>1988</v>
      </c>
      <c r="G2517" t="s">
        <v>2758</v>
      </c>
      <c r="H2517" t="s">
        <v>2</v>
      </c>
      <c r="I2517" s="1">
        <v>46224</v>
      </c>
      <c r="J2517" t="s">
        <v>1989</v>
      </c>
      <c r="K2517" t="s">
        <v>3993</v>
      </c>
      <c r="L2517" s="1">
        <v>46224.918321759258</v>
      </c>
      <c r="M2517" s="1">
        <v>46224.91962439815</v>
      </c>
    </row>
    <row r="2518" spans="1:13" x14ac:dyDescent="0.35">
      <c r="A2518" t="s">
        <v>535</v>
      </c>
      <c r="B2518" t="s">
        <v>1986</v>
      </c>
      <c r="C2518" t="s">
        <v>2777</v>
      </c>
      <c r="D2518">
        <v>0</v>
      </c>
      <c r="E2518" s="1">
        <v>52366</v>
      </c>
      <c r="F2518" t="s">
        <v>1988</v>
      </c>
      <c r="G2518" t="s">
        <v>2777</v>
      </c>
      <c r="H2518" t="s">
        <v>2</v>
      </c>
      <c r="I2518" s="1">
        <v>46224</v>
      </c>
      <c r="J2518" t="s">
        <v>1989</v>
      </c>
      <c r="K2518" t="s">
        <v>3925</v>
      </c>
      <c r="L2518" s="1">
        <v>46224.918321759258</v>
      </c>
      <c r="M2518" s="1">
        <v>46224.91962439815</v>
      </c>
    </row>
    <row r="2519" spans="1:13" x14ac:dyDescent="0.35">
      <c r="A2519" t="s">
        <v>535</v>
      </c>
      <c r="B2519" t="s">
        <v>1986</v>
      </c>
      <c r="C2519" t="s">
        <v>2777</v>
      </c>
      <c r="D2519">
        <v>0</v>
      </c>
      <c r="E2519" s="1">
        <v>52366</v>
      </c>
      <c r="F2519" t="s">
        <v>1988</v>
      </c>
      <c r="G2519" t="s">
        <v>2777</v>
      </c>
      <c r="H2519" t="s">
        <v>2</v>
      </c>
      <c r="I2519" s="1">
        <v>46224</v>
      </c>
      <c r="J2519" t="s">
        <v>1991</v>
      </c>
      <c r="K2519" t="s">
        <v>3954</v>
      </c>
      <c r="L2519" s="1">
        <v>46224.918321759258</v>
      </c>
      <c r="M2519" s="1">
        <v>46224.91962439815</v>
      </c>
    </row>
    <row r="2520" spans="1:13" x14ac:dyDescent="0.35">
      <c r="A2520" t="s">
        <v>536</v>
      </c>
      <c r="B2520" t="s">
        <v>1986</v>
      </c>
      <c r="C2520" t="s">
        <v>2770</v>
      </c>
      <c r="D2520">
        <v>0</v>
      </c>
      <c r="E2520" s="1">
        <v>52458</v>
      </c>
      <c r="F2520" t="s">
        <v>1988</v>
      </c>
      <c r="G2520" t="s">
        <v>2770</v>
      </c>
      <c r="H2520" t="s">
        <v>2</v>
      </c>
      <c r="I2520" s="1">
        <v>46224</v>
      </c>
      <c r="J2520" t="s">
        <v>1991</v>
      </c>
      <c r="K2520" t="s">
        <v>3955</v>
      </c>
      <c r="L2520" s="1">
        <v>46224.918321759258</v>
      </c>
      <c r="M2520" s="1">
        <v>46224.91962439815</v>
      </c>
    </row>
    <row r="2521" spans="1:13" x14ac:dyDescent="0.35">
      <c r="A2521" t="s">
        <v>536</v>
      </c>
      <c r="B2521" t="s">
        <v>1986</v>
      </c>
      <c r="C2521" t="s">
        <v>2770</v>
      </c>
      <c r="D2521">
        <v>0</v>
      </c>
      <c r="E2521" s="1">
        <v>52458</v>
      </c>
      <c r="F2521" t="s">
        <v>1988</v>
      </c>
      <c r="G2521" t="s">
        <v>2770</v>
      </c>
      <c r="H2521" t="s">
        <v>2</v>
      </c>
      <c r="I2521" s="1">
        <v>46224</v>
      </c>
      <c r="J2521" t="s">
        <v>1989</v>
      </c>
      <c r="K2521" t="s">
        <v>3994</v>
      </c>
      <c r="L2521" s="1">
        <v>46224.918321759258</v>
      </c>
      <c r="M2521" s="1">
        <v>46224.91962439815</v>
      </c>
    </row>
    <row r="2522" spans="1:13" x14ac:dyDescent="0.35">
      <c r="A2522" t="s">
        <v>537</v>
      </c>
      <c r="B2522" t="s">
        <v>1986</v>
      </c>
      <c r="C2522" t="s">
        <v>2809</v>
      </c>
      <c r="D2522">
        <v>0</v>
      </c>
      <c r="E2522" s="1">
        <v>52550</v>
      </c>
      <c r="F2522" t="s">
        <v>1988</v>
      </c>
      <c r="G2522" t="s">
        <v>2809</v>
      </c>
      <c r="H2522" t="s">
        <v>2</v>
      </c>
      <c r="I2522" s="1">
        <v>46224</v>
      </c>
      <c r="J2522" t="s">
        <v>1989</v>
      </c>
      <c r="K2522" t="s">
        <v>3926</v>
      </c>
      <c r="L2522" s="1">
        <v>46224.918321759258</v>
      </c>
      <c r="M2522" s="1">
        <v>46224.91962439815</v>
      </c>
    </row>
    <row r="2523" spans="1:13" x14ac:dyDescent="0.35">
      <c r="A2523" t="s">
        <v>537</v>
      </c>
      <c r="B2523" t="s">
        <v>1986</v>
      </c>
      <c r="C2523" t="s">
        <v>2809</v>
      </c>
      <c r="D2523">
        <v>0</v>
      </c>
      <c r="E2523" s="1">
        <v>52550</v>
      </c>
      <c r="F2523" t="s">
        <v>1988</v>
      </c>
      <c r="G2523" t="s">
        <v>2809</v>
      </c>
      <c r="H2523" t="s">
        <v>2</v>
      </c>
      <c r="I2523" s="1">
        <v>46224</v>
      </c>
      <c r="J2523" t="s">
        <v>1991</v>
      </c>
      <c r="K2523" t="s">
        <v>3725</v>
      </c>
      <c r="L2523" s="1">
        <v>46224.918321759258</v>
      </c>
      <c r="M2523" s="1">
        <v>46224.91962439815</v>
      </c>
    </row>
    <row r="2524" spans="1:13" x14ac:dyDescent="0.35">
      <c r="A2524" t="s">
        <v>503</v>
      </c>
      <c r="B2524" t="s">
        <v>1986</v>
      </c>
      <c r="C2524" t="s">
        <v>2778</v>
      </c>
      <c r="D2524">
        <v>0</v>
      </c>
      <c r="E2524" s="1">
        <v>52642</v>
      </c>
      <c r="F2524" t="s">
        <v>1988</v>
      </c>
      <c r="G2524" t="s">
        <v>2778</v>
      </c>
      <c r="H2524" t="s">
        <v>2</v>
      </c>
      <c r="I2524" s="1">
        <v>46224</v>
      </c>
      <c r="J2524" t="s">
        <v>1991</v>
      </c>
      <c r="K2524" t="s">
        <v>3927</v>
      </c>
      <c r="L2524" s="1">
        <v>46224.918321759258</v>
      </c>
      <c r="M2524" s="1">
        <v>46224.91962439815</v>
      </c>
    </row>
    <row r="2525" spans="1:13" x14ac:dyDescent="0.35">
      <c r="A2525" t="s">
        <v>503</v>
      </c>
      <c r="B2525" t="s">
        <v>1986</v>
      </c>
      <c r="C2525" t="s">
        <v>2778</v>
      </c>
      <c r="D2525">
        <v>0</v>
      </c>
      <c r="E2525" s="1">
        <v>52642</v>
      </c>
      <c r="F2525" t="s">
        <v>1988</v>
      </c>
      <c r="G2525" t="s">
        <v>2778</v>
      </c>
      <c r="H2525" t="s">
        <v>2</v>
      </c>
      <c r="I2525" s="1">
        <v>46224</v>
      </c>
      <c r="J2525" t="s">
        <v>1989</v>
      </c>
      <c r="K2525" t="s">
        <v>3976</v>
      </c>
      <c r="L2525" s="1">
        <v>46224.918321759258</v>
      </c>
      <c r="M2525" s="1">
        <v>46224.91962439815</v>
      </c>
    </row>
    <row r="2526" spans="1:13" x14ac:dyDescent="0.35">
      <c r="A2526" t="s">
        <v>538</v>
      </c>
      <c r="B2526" t="s">
        <v>1986</v>
      </c>
      <c r="C2526" t="s">
        <v>2810</v>
      </c>
      <c r="D2526">
        <v>0</v>
      </c>
      <c r="E2526" s="1">
        <v>52732</v>
      </c>
      <c r="F2526" t="s">
        <v>1988</v>
      </c>
      <c r="G2526" t="s">
        <v>2810</v>
      </c>
      <c r="H2526" t="s">
        <v>2</v>
      </c>
      <c r="I2526" s="1">
        <v>46224</v>
      </c>
      <c r="J2526" t="s">
        <v>1989</v>
      </c>
      <c r="K2526" t="s">
        <v>3726</v>
      </c>
      <c r="L2526" s="1">
        <v>46224.918321759258</v>
      </c>
      <c r="M2526" s="1">
        <v>46224.91962439815</v>
      </c>
    </row>
    <row r="2527" spans="1:13" x14ac:dyDescent="0.35">
      <c r="A2527" t="s">
        <v>538</v>
      </c>
      <c r="B2527" t="s">
        <v>1986</v>
      </c>
      <c r="C2527" t="s">
        <v>2810</v>
      </c>
      <c r="D2527">
        <v>0</v>
      </c>
      <c r="E2527" s="1">
        <v>52732</v>
      </c>
      <c r="F2527" t="s">
        <v>1988</v>
      </c>
      <c r="G2527" t="s">
        <v>2810</v>
      </c>
      <c r="H2527" t="s">
        <v>2</v>
      </c>
      <c r="I2527" s="1">
        <v>46224</v>
      </c>
      <c r="J2527" t="s">
        <v>1991</v>
      </c>
      <c r="K2527" t="s">
        <v>3995</v>
      </c>
      <c r="L2527" s="1">
        <v>46224.918321759258</v>
      </c>
      <c r="M2527" s="1">
        <v>46224.91962439815</v>
      </c>
    </row>
    <row r="2528" spans="1:13" x14ac:dyDescent="0.35">
      <c r="A2528" t="s">
        <v>543</v>
      </c>
      <c r="B2528" t="s">
        <v>1986</v>
      </c>
      <c r="C2528" t="s">
        <v>2759</v>
      </c>
      <c r="D2528">
        <v>0</v>
      </c>
      <c r="E2528" s="1">
        <v>52824</v>
      </c>
      <c r="F2528" t="s">
        <v>1988</v>
      </c>
      <c r="G2528" t="s">
        <v>2759</v>
      </c>
      <c r="H2528" t="s">
        <v>2</v>
      </c>
      <c r="I2528" s="1">
        <v>46224</v>
      </c>
      <c r="J2528" t="s">
        <v>1991</v>
      </c>
      <c r="K2528" t="s">
        <v>3854</v>
      </c>
      <c r="L2528" s="1">
        <v>46224.918321759258</v>
      </c>
      <c r="M2528" s="1">
        <v>46224.91962439815</v>
      </c>
    </row>
    <row r="2529" spans="1:13" x14ac:dyDescent="0.35">
      <c r="A2529" t="s">
        <v>543</v>
      </c>
      <c r="B2529" t="s">
        <v>1986</v>
      </c>
      <c r="C2529" t="s">
        <v>2759</v>
      </c>
      <c r="D2529">
        <v>0</v>
      </c>
      <c r="E2529" s="1">
        <v>52824</v>
      </c>
      <c r="F2529" t="s">
        <v>1988</v>
      </c>
      <c r="G2529" t="s">
        <v>2759</v>
      </c>
      <c r="H2529" t="s">
        <v>2</v>
      </c>
      <c r="I2529" s="1">
        <v>46224</v>
      </c>
      <c r="J2529" t="s">
        <v>1989</v>
      </c>
      <c r="K2529" t="s">
        <v>3996</v>
      </c>
      <c r="L2529" s="1">
        <v>46224.918321759258</v>
      </c>
      <c r="M2529" s="1">
        <v>46224.91962439815</v>
      </c>
    </row>
    <row r="2530" spans="1:13" x14ac:dyDescent="0.35">
      <c r="A2530" t="s">
        <v>539</v>
      </c>
      <c r="B2530" t="s">
        <v>1986</v>
      </c>
      <c r="C2530" t="s">
        <v>2779</v>
      </c>
      <c r="D2530">
        <v>0</v>
      </c>
      <c r="E2530" s="1">
        <v>52916</v>
      </c>
      <c r="F2530" t="s">
        <v>1988</v>
      </c>
      <c r="G2530" t="s">
        <v>2779</v>
      </c>
      <c r="H2530" t="s">
        <v>2</v>
      </c>
      <c r="I2530" s="1">
        <v>46224</v>
      </c>
      <c r="J2530" t="s">
        <v>1991</v>
      </c>
      <c r="K2530" t="s">
        <v>4165</v>
      </c>
      <c r="L2530" s="1">
        <v>46224.918321759258</v>
      </c>
      <c r="M2530" s="1">
        <v>46224.91962439815</v>
      </c>
    </row>
    <row r="2531" spans="1:13" x14ac:dyDescent="0.35">
      <c r="A2531" t="s">
        <v>539</v>
      </c>
      <c r="B2531" t="s">
        <v>1986</v>
      </c>
      <c r="C2531" t="s">
        <v>2779</v>
      </c>
      <c r="D2531">
        <v>0</v>
      </c>
      <c r="E2531" s="1">
        <v>52916</v>
      </c>
      <c r="F2531" t="s">
        <v>1988</v>
      </c>
      <c r="G2531" t="s">
        <v>2779</v>
      </c>
      <c r="H2531" t="s">
        <v>2</v>
      </c>
      <c r="I2531" s="1">
        <v>46224</v>
      </c>
      <c r="J2531" t="s">
        <v>1989</v>
      </c>
      <c r="K2531" t="s">
        <v>4054</v>
      </c>
      <c r="L2531" s="1">
        <v>46224.918321759258</v>
      </c>
      <c r="M2531" s="1">
        <v>46224.91962439815</v>
      </c>
    </row>
    <row r="2532" spans="1:13" x14ac:dyDescent="0.35">
      <c r="A2532" t="s">
        <v>540</v>
      </c>
      <c r="B2532" t="s">
        <v>1986</v>
      </c>
      <c r="C2532" t="s">
        <v>2780</v>
      </c>
      <c r="D2532">
        <v>0</v>
      </c>
      <c r="E2532" s="1">
        <v>53008</v>
      </c>
      <c r="F2532" t="s">
        <v>1988</v>
      </c>
      <c r="G2532" t="s">
        <v>2780</v>
      </c>
      <c r="H2532" t="s">
        <v>2</v>
      </c>
      <c r="I2532" s="1">
        <v>46224</v>
      </c>
      <c r="J2532" t="s">
        <v>1989</v>
      </c>
      <c r="K2532" t="s">
        <v>3727</v>
      </c>
      <c r="L2532" s="1">
        <v>46224.918321759258</v>
      </c>
      <c r="M2532" s="1">
        <v>46224.91962439815</v>
      </c>
    </row>
    <row r="2533" spans="1:13" x14ac:dyDescent="0.35">
      <c r="A2533" t="s">
        <v>540</v>
      </c>
      <c r="B2533" t="s">
        <v>1986</v>
      </c>
      <c r="C2533" t="s">
        <v>2780</v>
      </c>
      <c r="D2533">
        <v>0</v>
      </c>
      <c r="E2533" s="1">
        <v>53008</v>
      </c>
      <c r="F2533" t="s">
        <v>1988</v>
      </c>
      <c r="G2533" t="s">
        <v>2780</v>
      </c>
      <c r="H2533" t="s">
        <v>2</v>
      </c>
      <c r="I2533" s="1">
        <v>46224</v>
      </c>
      <c r="J2533" t="s">
        <v>1991</v>
      </c>
      <c r="K2533" t="s">
        <v>3728</v>
      </c>
      <c r="L2533" s="1">
        <v>46224.918321759258</v>
      </c>
      <c r="M2533" s="1">
        <v>46224.91962439815</v>
      </c>
    </row>
    <row r="2534" spans="1:13" x14ac:dyDescent="0.35">
      <c r="A2534" t="s">
        <v>544</v>
      </c>
      <c r="B2534" t="s">
        <v>1986</v>
      </c>
      <c r="C2534" t="s">
        <v>2775</v>
      </c>
      <c r="D2534">
        <v>0</v>
      </c>
      <c r="E2534" s="1">
        <v>53189</v>
      </c>
      <c r="F2534" t="s">
        <v>1988</v>
      </c>
      <c r="G2534" t="s">
        <v>2775</v>
      </c>
      <c r="H2534" t="s">
        <v>2</v>
      </c>
      <c r="I2534" s="1">
        <v>46224</v>
      </c>
      <c r="J2534" t="s">
        <v>1989</v>
      </c>
      <c r="K2534" t="s">
        <v>3928</v>
      </c>
      <c r="L2534" s="1">
        <v>46224.918321759258</v>
      </c>
      <c r="M2534" s="1">
        <v>46224.91962439815</v>
      </c>
    </row>
    <row r="2535" spans="1:13" x14ac:dyDescent="0.35">
      <c r="A2535" t="s">
        <v>544</v>
      </c>
      <c r="B2535" t="s">
        <v>1986</v>
      </c>
      <c r="C2535" t="s">
        <v>2775</v>
      </c>
      <c r="D2535">
        <v>0</v>
      </c>
      <c r="E2535" s="1">
        <v>53189</v>
      </c>
      <c r="F2535" t="s">
        <v>1988</v>
      </c>
      <c r="G2535" t="s">
        <v>2775</v>
      </c>
      <c r="H2535" t="s">
        <v>2</v>
      </c>
      <c r="I2535" s="1">
        <v>46224</v>
      </c>
      <c r="J2535" t="s">
        <v>1991</v>
      </c>
      <c r="K2535" t="s">
        <v>3977</v>
      </c>
      <c r="L2535" s="1">
        <v>46224.918321759258</v>
      </c>
      <c r="M2535" s="1">
        <v>46224.91962439815</v>
      </c>
    </row>
    <row r="2536" spans="1:13" x14ac:dyDescent="0.35">
      <c r="A2536" t="s">
        <v>504</v>
      </c>
      <c r="B2536" t="s">
        <v>1986</v>
      </c>
      <c r="C2536" t="s">
        <v>2767</v>
      </c>
      <c r="D2536">
        <v>0</v>
      </c>
      <c r="E2536" s="1">
        <v>53281</v>
      </c>
      <c r="F2536" t="s">
        <v>1988</v>
      </c>
      <c r="G2536" t="s">
        <v>2767</v>
      </c>
      <c r="H2536" t="s">
        <v>2</v>
      </c>
      <c r="I2536" s="1">
        <v>46224</v>
      </c>
      <c r="J2536" t="s">
        <v>1991</v>
      </c>
      <c r="K2536" t="s">
        <v>3855</v>
      </c>
      <c r="L2536" s="1">
        <v>46224.918321759258</v>
      </c>
      <c r="M2536" s="1">
        <v>46224.91962439815</v>
      </c>
    </row>
    <row r="2537" spans="1:13" x14ac:dyDescent="0.35">
      <c r="A2537" t="s">
        <v>504</v>
      </c>
      <c r="B2537" t="s">
        <v>1986</v>
      </c>
      <c r="C2537" t="s">
        <v>2767</v>
      </c>
      <c r="D2537">
        <v>0</v>
      </c>
      <c r="E2537" s="1">
        <v>53281</v>
      </c>
      <c r="F2537" t="s">
        <v>1988</v>
      </c>
      <c r="G2537" t="s">
        <v>2767</v>
      </c>
      <c r="H2537" t="s">
        <v>2</v>
      </c>
      <c r="I2537" s="1">
        <v>46224</v>
      </c>
      <c r="J2537" t="s">
        <v>1989</v>
      </c>
      <c r="K2537" t="s">
        <v>4166</v>
      </c>
      <c r="L2537" s="1">
        <v>46224.918321759258</v>
      </c>
      <c r="M2537" s="1">
        <v>46224.91962439815</v>
      </c>
    </row>
    <row r="2538" spans="1:13" x14ac:dyDescent="0.35">
      <c r="A2538" t="s">
        <v>505</v>
      </c>
      <c r="B2538" t="s">
        <v>1986</v>
      </c>
      <c r="C2538" t="s">
        <v>2781</v>
      </c>
      <c r="D2538">
        <v>0</v>
      </c>
      <c r="E2538" s="1">
        <v>53373</v>
      </c>
      <c r="F2538" t="s">
        <v>1988</v>
      </c>
      <c r="G2538" t="s">
        <v>2781</v>
      </c>
      <c r="H2538" t="s">
        <v>2</v>
      </c>
      <c r="I2538" s="1">
        <v>46224</v>
      </c>
      <c r="J2538" t="s">
        <v>1991</v>
      </c>
      <c r="K2538" t="s">
        <v>4167</v>
      </c>
      <c r="L2538" s="1">
        <v>46224.918321759258</v>
      </c>
      <c r="M2538" s="1">
        <v>46224.91962439815</v>
      </c>
    </row>
    <row r="2539" spans="1:13" x14ac:dyDescent="0.35">
      <c r="A2539" t="s">
        <v>505</v>
      </c>
      <c r="B2539" t="s">
        <v>1986</v>
      </c>
      <c r="C2539" t="s">
        <v>2781</v>
      </c>
      <c r="D2539">
        <v>0</v>
      </c>
      <c r="E2539" s="1">
        <v>53373</v>
      </c>
      <c r="F2539" t="s">
        <v>1988</v>
      </c>
      <c r="G2539" t="s">
        <v>2781</v>
      </c>
      <c r="H2539" t="s">
        <v>2</v>
      </c>
      <c r="I2539" s="1">
        <v>46224</v>
      </c>
      <c r="J2539" t="s">
        <v>1989</v>
      </c>
      <c r="K2539" t="s">
        <v>4055</v>
      </c>
      <c r="L2539" s="1">
        <v>46224.918321759258</v>
      </c>
      <c r="M2539" s="1">
        <v>46224.91962439815</v>
      </c>
    </row>
    <row r="2540" spans="1:13" x14ac:dyDescent="0.35">
      <c r="A2540" t="s">
        <v>515</v>
      </c>
      <c r="B2540" t="s">
        <v>1986</v>
      </c>
      <c r="C2540" t="s">
        <v>2796</v>
      </c>
      <c r="D2540">
        <v>0</v>
      </c>
      <c r="E2540" s="1">
        <v>53462</v>
      </c>
      <c r="F2540" t="s">
        <v>1988</v>
      </c>
      <c r="G2540" t="s">
        <v>2796</v>
      </c>
      <c r="H2540" t="s">
        <v>2</v>
      </c>
      <c r="I2540" s="1">
        <v>46224</v>
      </c>
      <c r="J2540" t="s">
        <v>1991</v>
      </c>
      <c r="K2540" t="s">
        <v>3997</v>
      </c>
      <c r="L2540" s="1">
        <v>46224.918321759258</v>
      </c>
      <c r="M2540" s="1">
        <v>46224.91962439815</v>
      </c>
    </row>
    <row r="2541" spans="1:13" x14ac:dyDescent="0.35">
      <c r="A2541" t="s">
        <v>515</v>
      </c>
      <c r="B2541" t="s">
        <v>1986</v>
      </c>
      <c r="C2541" t="s">
        <v>2796</v>
      </c>
      <c r="D2541">
        <v>0</v>
      </c>
      <c r="E2541" s="1">
        <v>53462</v>
      </c>
      <c r="F2541" t="s">
        <v>1988</v>
      </c>
      <c r="G2541" t="s">
        <v>2796</v>
      </c>
      <c r="H2541" t="s">
        <v>2</v>
      </c>
      <c r="I2541" s="1">
        <v>46224</v>
      </c>
      <c r="J2541" t="s">
        <v>1989</v>
      </c>
      <c r="K2541" t="s">
        <v>3978</v>
      </c>
      <c r="L2541" s="1">
        <v>46224.918321759258</v>
      </c>
      <c r="M2541" s="1">
        <v>46224.91962439815</v>
      </c>
    </row>
    <row r="2542" spans="1:13" x14ac:dyDescent="0.35">
      <c r="A2542" t="s">
        <v>506</v>
      </c>
      <c r="B2542" t="s">
        <v>1986</v>
      </c>
      <c r="C2542" t="s">
        <v>2782</v>
      </c>
      <c r="D2542">
        <v>0</v>
      </c>
      <c r="E2542" s="1">
        <v>53554</v>
      </c>
      <c r="F2542" t="s">
        <v>1988</v>
      </c>
      <c r="G2542" t="s">
        <v>2782</v>
      </c>
      <c r="H2542" t="s">
        <v>2</v>
      </c>
      <c r="I2542" s="1">
        <v>46224</v>
      </c>
      <c r="J2542" t="s">
        <v>1991</v>
      </c>
      <c r="K2542" t="s">
        <v>3998</v>
      </c>
      <c r="L2542" s="1">
        <v>46224.918321759258</v>
      </c>
      <c r="M2542" s="1">
        <v>46224.91962439815</v>
      </c>
    </row>
    <row r="2543" spans="1:13" x14ac:dyDescent="0.35">
      <c r="A2543" t="s">
        <v>506</v>
      </c>
      <c r="B2543" t="s">
        <v>1986</v>
      </c>
      <c r="C2543" t="s">
        <v>2782</v>
      </c>
      <c r="D2543">
        <v>0</v>
      </c>
      <c r="E2543" s="1">
        <v>53554</v>
      </c>
      <c r="F2543" t="s">
        <v>1988</v>
      </c>
      <c r="G2543" t="s">
        <v>2782</v>
      </c>
      <c r="H2543" t="s">
        <v>2</v>
      </c>
      <c r="I2543" s="1">
        <v>46224</v>
      </c>
      <c r="J2543" t="s">
        <v>1989</v>
      </c>
      <c r="K2543" t="s">
        <v>3979</v>
      </c>
      <c r="L2543" s="1">
        <v>46224.918321759258</v>
      </c>
      <c r="M2543" s="1">
        <v>46224.91962439815</v>
      </c>
    </row>
    <row r="2544" spans="1:13" x14ac:dyDescent="0.35">
      <c r="A2544" t="s">
        <v>507</v>
      </c>
      <c r="B2544" t="s">
        <v>1986</v>
      </c>
      <c r="C2544" t="s">
        <v>2783</v>
      </c>
      <c r="D2544">
        <v>0</v>
      </c>
      <c r="E2544" s="1">
        <v>53646</v>
      </c>
      <c r="F2544" t="s">
        <v>1988</v>
      </c>
      <c r="G2544" t="s">
        <v>2783</v>
      </c>
      <c r="H2544" t="s">
        <v>2</v>
      </c>
      <c r="I2544" s="1">
        <v>46224</v>
      </c>
      <c r="J2544" t="s">
        <v>1989</v>
      </c>
      <c r="K2544" t="s">
        <v>3956</v>
      </c>
      <c r="L2544" s="1">
        <v>46224.918321759258</v>
      </c>
      <c r="M2544" s="1">
        <v>46224.91962439815</v>
      </c>
    </row>
    <row r="2545" spans="1:13" x14ac:dyDescent="0.35">
      <c r="A2545" t="s">
        <v>507</v>
      </c>
      <c r="B2545" t="s">
        <v>1986</v>
      </c>
      <c r="C2545" t="s">
        <v>2783</v>
      </c>
      <c r="D2545">
        <v>0</v>
      </c>
      <c r="E2545" s="1">
        <v>53646</v>
      </c>
      <c r="F2545" t="s">
        <v>1988</v>
      </c>
      <c r="G2545" t="s">
        <v>2783</v>
      </c>
      <c r="H2545" t="s">
        <v>2</v>
      </c>
      <c r="I2545" s="1">
        <v>46224</v>
      </c>
      <c r="J2545" t="s">
        <v>1991</v>
      </c>
      <c r="K2545" t="s">
        <v>4168</v>
      </c>
      <c r="L2545" s="1">
        <v>46224.918321759258</v>
      </c>
      <c r="M2545" s="1">
        <v>46224.91962439815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51E6D-6E5E-4F24-91FD-44BF32770E93}">
  <dimension ref="A1:J1389"/>
  <sheetViews>
    <sheetView workbookViewId="0">
      <selection activeCell="J14" sqref="J14"/>
    </sheetView>
  </sheetViews>
  <sheetFormatPr defaultRowHeight="14.5" x14ac:dyDescent="0.35"/>
  <cols>
    <col min="1" max="1" width="15.26953125" bestFit="1" customWidth="1"/>
    <col min="2" max="2" width="5.81640625" bestFit="1" customWidth="1"/>
    <col min="3" max="3" width="6.1796875" bestFit="1" customWidth="1"/>
    <col min="4" max="4" width="13.54296875" bestFit="1" customWidth="1"/>
    <col min="5" max="5" width="12.7265625" bestFit="1" customWidth="1"/>
    <col min="6" max="6" width="14.81640625" bestFit="1" customWidth="1"/>
    <col min="7" max="7" width="18.7265625" bestFit="1" customWidth="1"/>
    <col min="8" max="8" width="15.81640625" bestFit="1" customWidth="1"/>
    <col min="9" max="9" width="18.7265625" bestFit="1" customWidth="1"/>
    <col min="10" max="10" width="69.81640625" bestFit="1" customWidth="1"/>
  </cols>
  <sheetData>
    <row r="1" spans="1:10" x14ac:dyDescent="0.35">
      <c r="A1" t="s">
        <v>1</v>
      </c>
      <c r="B1" t="s">
        <v>583</v>
      </c>
      <c r="C1" t="s">
        <v>584</v>
      </c>
      <c r="D1" t="s">
        <v>582</v>
      </c>
      <c r="E1" t="s">
        <v>585</v>
      </c>
      <c r="F1" t="s">
        <v>587</v>
      </c>
      <c r="G1" t="s">
        <v>588</v>
      </c>
      <c r="H1" t="s">
        <v>589</v>
      </c>
      <c r="I1" t="s">
        <v>590</v>
      </c>
      <c r="J1" t="s">
        <v>586</v>
      </c>
    </row>
    <row r="2" spans="1:10" x14ac:dyDescent="0.35">
      <c r="A2" t="s">
        <v>1962</v>
      </c>
      <c r="B2" t="s">
        <v>600</v>
      </c>
      <c r="C2" t="s">
        <v>592</v>
      </c>
      <c r="D2" s="1">
        <v>46224</v>
      </c>
      <c r="E2">
        <v>104.238281</v>
      </c>
      <c r="F2" s="1">
        <v>46224.771667245368</v>
      </c>
      <c r="G2" t="s">
        <v>593</v>
      </c>
      <c r="H2" s="1">
        <v>46224.77166716435</v>
      </c>
      <c r="I2" t="s">
        <v>593</v>
      </c>
      <c r="J2" t="s">
        <v>4314</v>
      </c>
    </row>
    <row r="3" spans="1:10" x14ac:dyDescent="0.35">
      <c r="A3" t="s">
        <v>601</v>
      </c>
      <c r="B3" t="s">
        <v>600</v>
      </c>
      <c r="C3" t="s">
        <v>592</v>
      </c>
      <c r="D3" s="1">
        <v>46224</v>
      </c>
      <c r="E3">
        <v>104.332031</v>
      </c>
      <c r="F3" s="1">
        <v>46224.771667395835</v>
      </c>
      <c r="G3" t="s">
        <v>593</v>
      </c>
      <c r="H3" s="1">
        <v>46224.771667326386</v>
      </c>
      <c r="I3" t="s">
        <v>593</v>
      </c>
      <c r="J3" t="s">
        <v>4314</v>
      </c>
    </row>
    <row r="4" spans="1:10" x14ac:dyDescent="0.35">
      <c r="A4" t="s">
        <v>602</v>
      </c>
      <c r="B4" t="s">
        <v>600</v>
      </c>
      <c r="C4" t="s">
        <v>592</v>
      </c>
      <c r="D4" s="1">
        <v>46224</v>
      </c>
      <c r="E4">
        <v>104.285156</v>
      </c>
      <c r="F4" s="1">
        <v>46224.771667511573</v>
      </c>
      <c r="G4" t="s">
        <v>593</v>
      </c>
      <c r="H4" s="1">
        <v>46224.771667511573</v>
      </c>
      <c r="I4" t="s">
        <v>593</v>
      </c>
      <c r="J4" t="s">
        <v>4314</v>
      </c>
    </row>
    <row r="5" spans="1:10" x14ac:dyDescent="0.35">
      <c r="A5" t="s">
        <v>565</v>
      </c>
      <c r="B5" t="s">
        <v>591</v>
      </c>
      <c r="C5" t="s">
        <v>592</v>
      </c>
      <c r="D5" s="1">
        <v>46224</v>
      </c>
      <c r="E5">
        <v>3.6924019706356101E-2</v>
      </c>
      <c r="F5" s="1">
        <v>46224.771521759256</v>
      </c>
      <c r="G5" t="s">
        <v>593</v>
      </c>
      <c r="H5" s="1">
        <v>46224.771521840281</v>
      </c>
      <c r="I5" t="s">
        <v>593</v>
      </c>
      <c r="J5" t="s">
        <v>4315</v>
      </c>
    </row>
    <row r="6" spans="1:10" x14ac:dyDescent="0.35">
      <c r="A6" t="s">
        <v>556</v>
      </c>
      <c r="B6" t="s">
        <v>591</v>
      </c>
      <c r="C6" t="s">
        <v>592</v>
      </c>
      <c r="D6" s="1">
        <v>46224</v>
      </c>
      <c r="E6">
        <v>3.7372657542984501E-2</v>
      </c>
      <c r="F6" s="1">
        <v>46224.771526388889</v>
      </c>
      <c r="G6" t="s">
        <v>593</v>
      </c>
      <c r="H6" s="1">
        <v>46224.771526354169</v>
      </c>
      <c r="I6" t="s">
        <v>593</v>
      </c>
      <c r="J6" t="s">
        <v>4316</v>
      </c>
    </row>
    <row r="7" spans="1:10" x14ac:dyDescent="0.35">
      <c r="A7" t="s">
        <v>566</v>
      </c>
      <c r="B7" t="s">
        <v>591</v>
      </c>
      <c r="C7" t="s">
        <v>592</v>
      </c>
      <c r="D7" s="1">
        <v>46224</v>
      </c>
      <c r="E7">
        <v>3.7815547704349098E-2</v>
      </c>
      <c r="F7" s="1">
        <v>46224.771526539349</v>
      </c>
      <c r="G7" t="s">
        <v>593</v>
      </c>
      <c r="H7" s="1">
        <v>46224.771526539349</v>
      </c>
      <c r="I7" t="s">
        <v>593</v>
      </c>
      <c r="J7" t="s">
        <v>4317</v>
      </c>
    </row>
    <row r="8" spans="1:10" x14ac:dyDescent="0.35">
      <c r="A8" t="s">
        <v>567</v>
      </c>
      <c r="B8" t="s">
        <v>591</v>
      </c>
      <c r="C8" t="s">
        <v>592</v>
      </c>
      <c r="D8" s="1">
        <v>46224</v>
      </c>
      <c r="E8">
        <v>3.8428586585195199E-2</v>
      </c>
      <c r="F8" s="1">
        <v>46224.771532407409</v>
      </c>
      <c r="G8" t="s">
        <v>593</v>
      </c>
      <c r="H8" s="1">
        <v>46224.771532372688</v>
      </c>
      <c r="I8" t="s">
        <v>593</v>
      </c>
      <c r="J8" t="s">
        <v>4318</v>
      </c>
    </row>
    <row r="9" spans="1:10" x14ac:dyDescent="0.35">
      <c r="A9" t="s">
        <v>568</v>
      </c>
      <c r="B9" t="s">
        <v>591</v>
      </c>
      <c r="C9" t="s">
        <v>592</v>
      </c>
      <c r="D9" s="1">
        <v>46224</v>
      </c>
      <c r="E9">
        <v>3.8862044330322497E-2</v>
      </c>
      <c r="F9" s="1">
        <v>46224.771521909723</v>
      </c>
      <c r="G9" t="s">
        <v>593</v>
      </c>
      <c r="H9" s="1">
        <v>46224.77152199074</v>
      </c>
      <c r="I9" t="s">
        <v>593</v>
      </c>
      <c r="J9" t="s">
        <v>4319</v>
      </c>
    </row>
    <row r="10" spans="1:10" x14ac:dyDescent="0.35">
      <c r="A10" t="s">
        <v>557</v>
      </c>
      <c r="B10" t="s">
        <v>591</v>
      </c>
      <c r="C10" t="s">
        <v>592</v>
      </c>
      <c r="D10" s="1">
        <v>46224</v>
      </c>
      <c r="E10">
        <v>3.9483144757020701E-2</v>
      </c>
      <c r="F10" s="1">
        <v>46224.771526701392</v>
      </c>
      <c r="G10" t="s">
        <v>593</v>
      </c>
      <c r="H10" s="1">
        <v>46224.771526701392</v>
      </c>
      <c r="I10" t="s">
        <v>593</v>
      </c>
      <c r="J10" t="s">
        <v>4320</v>
      </c>
    </row>
    <row r="11" spans="1:10" x14ac:dyDescent="0.35">
      <c r="A11" t="s">
        <v>569</v>
      </c>
      <c r="B11" t="s">
        <v>591</v>
      </c>
      <c r="C11" t="s">
        <v>592</v>
      </c>
      <c r="D11" s="1">
        <v>46224</v>
      </c>
      <c r="E11">
        <v>3.956764379621E-2</v>
      </c>
      <c r="F11" s="1">
        <v>46224.771522071758</v>
      </c>
      <c r="G11" t="s">
        <v>593</v>
      </c>
      <c r="H11" s="1">
        <v>46224.77152199074</v>
      </c>
      <c r="I11" t="s">
        <v>593</v>
      </c>
      <c r="J11" t="s">
        <v>4321</v>
      </c>
    </row>
    <row r="12" spans="1:10" x14ac:dyDescent="0.35">
      <c r="A12" t="s">
        <v>570</v>
      </c>
      <c r="B12" t="s">
        <v>591</v>
      </c>
      <c r="C12" t="s">
        <v>592</v>
      </c>
      <c r="D12" s="1">
        <v>46224</v>
      </c>
      <c r="E12">
        <v>3.6216935349063999E-2</v>
      </c>
      <c r="F12" s="1">
        <v>46224.771529201389</v>
      </c>
      <c r="G12" t="s">
        <v>593</v>
      </c>
      <c r="H12" s="1">
        <v>46224.77152908565</v>
      </c>
      <c r="I12" t="s">
        <v>593</v>
      </c>
      <c r="J12" t="s">
        <v>4322</v>
      </c>
    </row>
    <row r="13" spans="1:10" x14ac:dyDescent="0.35">
      <c r="A13" t="s">
        <v>579</v>
      </c>
      <c r="B13" t="s">
        <v>591</v>
      </c>
      <c r="C13" t="s">
        <v>592</v>
      </c>
      <c r="D13" s="1">
        <v>46224</v>
      </c>
      <c r="E13">
        <v>3.6351424683371401E-2</v>
      </c>
      <c r="F13" s="1">
        <v>46224.771522222225</v>
      </c>
      <c r="G13" t="s">
        <v>593</v>
      </c>
      <c r="H13" s="1">
        <v>46224.771522187497</v>
      </c>
      <c r="I13" t="s">
        <v>593</v>
      </c>
      <c r="J13" t="s">
        <v>4323</v>
      </c>
    </row>
    <row r="14" spans="1:10" x14ac:dyDescent="0.35">
      <c r="A14" t="s">
        <v>571</v>
      </c>
      <c r="B14" t="s">
        <v>591</v>
      </c>
      <c r="C14" t="s">
        <v>592</v>
      </c>
      <c r="D14" s="1">
        <v>46224</v>
      </c>
      <c r="E14">
        <v>3.88912799545253E-2</v>
      </c>
      <c r="F14" s="1">
        <v>46224.771522372685</v>
      </c>
      <c r="G14" t="s">
        <v>593</v>
      </c>
      <c r="H14" s="1">
        <v>46224.771522372685</v>
      </c>
      <c r="I14" t="s">
        <v>593</v>
      </c>
      <c r="J14" t="s">
        <v>4324</v>
      </c>
    </row>
    <row r="15" spans="1:10" x14ac:dyDescent="0.35">
      <c r="A15" t="s">
        <v>558</v>
      </c>
      <c r="B15" t="s">
        <v>591</v>
      </c>
      <c r="C15" t="s">
        <v>592</v>
      </c>
      <c r="D15" s="1">
        <v>46224</v>
      </c>
      <c r="E15">
        <v>3.6994025687662198E-2</v>
      </c>
      <c r="F15" s="1">
        <v>46224.77152253472</v>
      </c>
      <c r="G15" t="s">
        <v>593</v>
      </c>
      <c r="H15" s="1">
        <v>46224.77152253472</v>
      </c>
      <c r="I15" t="s">
        <v>593</v>
      </c>
      <c r="J15" t="s">
        <v>4325</v>
      </c>
    </row>
    <row r="16" spans="1:10" x14ac:dyDescent="0.35">
      <c r="A16" t="s">
        <v>572</v>
      </c>
      <c r="B16" t="s">
        <v>591</v>
      </c>
      <c r="C16" t="s">
        <v>592</v>
      </c>
      <c r="D16" s="1">
        <v>46224</v>
      </c>
      <c r="E16">
        <v>3.7155788191601598E-2</v>
      </c>
      <c r="F16" s="1">
        <v>46224.771522685187</v>
      </c>
      <c r="G16" t="s">
        <v>593</v>
      </c>
      <c r="H16" s="1">
        <v>46224.771522719908</v>
      </c>
      <c r="I16" t="s">
        <v>593</v>
      </c>
      <c r="J16" t="s">
        <v>4326</v>
      </c>
    </row>
    <row r="17" spans="1:10" x14ac:dyDescent="0.35">
      <c r="A17" t="s">
        <v>576</v>
      </c>
      <c r="B17" t="s">
        <v>591</v>
      </c>
      <c r="C17" t="s">
        <v>592</v>
      </c>
      <c r="D17" s="1">
        <v>46224</v>
      </c>
      <c r="E17">
        <v>3.7284099434154797E-2</v>
      </c>
      <c r="F17" s="1">
        <v>46224.771526851851</v>
      </c>
      <c r="G17" t="s">
        <v>593</v>
      </c>
      <c r="H17" s="1">
        <v>46224.771526886572</v>
      </c>
      <c r="I17" t="s">
        <v>593</v>
      </c>
      <c r="J17" t="s">
        <v>4327</v>
      </c>
    </row>
    <row r="18" spans="1:10" x14ac:dyDescent="0.35">
      <c r="A18" t="s">
        <v>559</v>
      </c>
      <c r="B18" t="s">
        <v>591</v>
      </c>
      <c r="C18" t="s">
        <v>592</v>
      </c>
      <c r="D18" s="1">
        <v>46224</v>
      </c>
      <c r="E18">
        <v>3.91279540022254E-2</v>
      </c>
      <c r="F18" s="1">
        <v>46224.771527002318</v>
      </c>
      <c r="G18" t="s">
        <v>593</v>
      </c>
      <c r="H18" s="1">
        <v>46224.771526886572</v>
      </c>
      <c r="I18" t="s">
        <v>593</v>
      </c>
      <c r="J18" t="s">
        <v>4328</v>
      </c>
    </row>
    <row r="19" spans="1:10" x14ac:dyDescent="0.35">
      <c r="A19" t="s">
        <v>560</v>
      </c>
      <c r="B19" t="s">
        <v>591</v>
      </c>
      <c r="C19" t="s">
        <v>592</v>
      </c>
      <c r="D19" s="1">
        <v>46224</v>
      </c>
      <c r="E19">
        <v>3.9584615674371999E-2</v>
      </c>
      <c r="F19" s="1">
        <v>46224.771522881943</v>
      </c>
      <c r="G19" t="s">
        <v>593</v>
      </c>
      <c r="H19" s="1">
        <v>46224.771522916664</v>
      </c>
      <c r="I19" t="s">
        <v>593</v>
      </c>
      <c r="J19" t="s">
        <v>4329</v>
      </c>
    </row>
    <row r="20" spans="1:10" x14ac:dyDescent="0.35">
      <c r="A20" t="s">
        <v>573</v>
      </c>
      <c r="B20" t="s">
        <v>591</v>
      </c>
      <c r="C20" t="s">
        <v>592</v>
      </c>
      <c r="D20" s="1">
        <v>46224</v>
      </c>
      <c r="E20">
        <v>3.7402685842989697E-2</v>
      </c>
      <c r="F20" s="1">
        <v>46224.771527164354</v>
      </c>
      <c r="G20" t="s">
        <v>593</v>
      </c>
      <c r="H20" s="1">
        <v>46224.771527083336</v>
      </c>
      <c r="I20" t="s">
        <v>593</v>
      </c>
      <c r="J20" t="s">
        <v>4330</v>
      </c>
    </row>
    <row r="21" spans="1:10" x14ac:dyDescent="0.35">
      <c r="A21" t="s">
        <v>574</v>
      </c>
      <c r="B21" t="s">
        <v>591</v>
      </c>
      <c r="C21" t="s">
        <v>592</v>
      </c>
      <c r="D21" s="1">
        <v>46224</v>
      </c>
      <c r="E21">
        <v>3.7350682921693898E-2</v>
      </c>
      <c r="F21" s="1">
        <v>46224.771527314813</v>
      </c>
      <c r="G21" t="s">
        <v>593</v>
      </c>
      <c r="H21" s="1">
        <v>46224.771527280092</v>
      </c>
      <c r="I21" t="s">
        <v>593</v>
      </c>
      <c r="J21" t="s">
        <v>4331</v>
      </c>
    </row>
    <row r="22" spans="1:10" x14ac:dyDescent="0.35">
      <c r="A22" t="s">
        <v>561</v>
      </c>
      <c r="B22" t="s">
        <v>591</v>
      </c>
      <c r="C22" t="s">
        <v>592</v>
      </c>
      <c r="D22" s="1">
        <v>46224</v>
      </c>
      <c r="E22">
        <v>3.7403076035794403E-2</v>
      </c>
      <c r="F22" s="1">
        <v>46224.77152303241</v>
      </c>
      <c r="G22" t="s">
        <v>593</v>
      </c>
      <c r="H22" s="1">
        <v>46224.771523113428</v>
      </c>
      <c r="I22" t="s">
        <v>593</v>
      </c>
      <c r="J22" t="s">
        <v>4332</v>
      </c>
    </row>
    <row r="23" spans="1:10" x14ac:dyDescent="0.35">
      <c r="A23" t="s">
        <v>562</v>
      </c>
      <c r="B23" t="s">
        <v>591</v>
      </c>
      <c r="C23" t="s">
        <v>592</v>
      </c>
      <c r="D23" s="1">
        <v>46224</v>
      </c>
      <c r="E23">
        <v>3.8095395360567198E-2</v>
      </c>
      <c r="F23" s="1">
        <v>46224.771529363425</v>
      </c>
      <c r="G23" t="s">
        <v>593</v>
      </c>
      <c r="H23" s="1">
        <v>46224.771529282407</v>
      </c>
      <c r="I23" t="s">
        <v>593</v>
      </c>
      <c r="J23" t="s">
        <v>4333</v>
      </c>
    </row>
    <row r="24" spans="1:10" x14ac:dyDescent="0.35">
      <c r="A24" t="s">
        <v>563</v>
      </c>
      <c r="B24" t="s">
        <v>591</v>
      </c>
      <c r="C24" t="s">
        <v>592</v>
      </c>
      <c r="D24" s="1">
        <v>46224</v>
      </c>
      <c r="E24">
        <v>3.8156782312109602E-2</v>
      </c>
      <c r="F24" s="1">
        <v>46224.77152318287</v>
      </c>
      <c r="G24" t="s">
        <v>593</v>
      </c>
      <c r="H24" s="1">
        <v>46224.771523113428</v>
      </c>
      <c r="I24" t="s">
        <v>593</v>
      </c>
      <c r="J24" t="s">
        <v>4334</v>
      </c>
    </row>
    <row r="25" spans="1:10" x14ac:dyDescent="0.35">
      <c r="A25" t="s">
        <v>575</v>
      </c>
      <c r="B25" t="s">
        <v>591</v>
      </c>
      <c r="C25" t="s">
        <v>592</v>
      </c>
      <c r="D25" s="1">
        <v>46224</v>
      </c>
      <c r="E25">
        <v>3.8313186090046997E-2</v>
      </c>
      <c r="F25" s="1">
        <v>46224.771523344905</v>
      </c>
      <c r="G25" t="s">
        <v>593</v>
      </c>
      <c r="H25" s="1">
        <v>46224.771523263888</v>
      </c>
      <c r="I25" t="s">
        <v>593</v>
      </c>
      <c r="J25" t="s">
        <v>4335</v>
      </c>
    </row>
    <row r="26" spans="1:10" x14ac:dyDescent="0.35">
      <c r="A26" t="s">
        <v>1657</v>
      </c>
      <c r="B26" t="s">
        <v>591</v>
      </c>
      <c r="C26" t="s">
        <v>592</v>
      </c>
      <c r="D26" s="1">
        <v>46224</v>
      </c>
      <c r="E26">
        <v>3.8401008645677401E-2</v>
      </c>
      <c r="F26" s="1">
        <v>46224.771523495372</v>
      </c>
      <c r="G26" t="s">
        <v>593</v>
      </c>
      <c r="H26" s="1">
        <v>46224.771523460651</v>
      </c>
      <c r="I26" t="s">
        <v>593</v>
      </c>
      <c r="J26" t="s">
        <v>4336</v>
      </c>
    </row>
    <row r="27" spans="1:10" x14ac:dyDescent="0.35">
      <c r="A27" t="s">
        <v>564</v>
      </c>
      <c r="B27" t="s">
        <v>591</v>
      </c>
      <c r="C27" t="s">
        <v>592</v>
      </c>
      <c r="D27" s="1">
        <v>46224</v>
      </c>
      <c r="E27">
        <v>3.6217659499777198E-2</v>
      </c>
      <c r="F27" s="1">
        <v>46224.771529548612</v>
      </c>
      <c r="G27" t="s">
        <v>593</v>
      </c>
      <c r="H27" s="1">
        <v>46224.771529432874</v>
      </c>
      <c r="I27" t="s">
        <v>593</v>
      </c>
      <c r="J27" t="s">
        <v>4337</v>
      </c>
    </row>
    <row r="28" spans="1:10" x14ac:dyDescent="0.35">
      <c r="A28" t="s">
        <v>581</v>
      </c>
      <c r="B28" t="s">
        <v>591</v>
      </c>
      <c r="C28" t="s">
        <v>592</v>
      </c>
      <c r="D28" s="1">
        <v>46224</v>
      </c>
      <c r="E28">
        <v>3.6750205686336898E-2</v>
      </c>
      <c r="F28" s="1">
        <v>46224.771523645832</v>
      </c>
      <c r="G28" t="s">
        <v>593</v>
      </c>
      <c r="H28" s="1">
        <v>46224.771523645832</v>
      </c>
      <c r="I28" t="s">
        <v>593</v>
      </c>
      <c r="J28" t="s">
        <v>4338</v>
      </c>
    </row>
    <row r="29" spans="1:10" x14ac:dyDescent="0.35">
      <c r="A29" t="s">
        <v>577</v>
      </c>
      <c r="B29" t="s">
        <v>591</v>
      </c>
      <c r="C29" t="s">
        <v>592</v>
      </c>
      <c r="D29" s="1">
        <v>46224</v>
      </c>
      <c r="E29">
        <v>3.7178084784063301E-2</v>
      </c>
      <c r="F29" s="1">
        <v>46224.771523807867</v>
      </c>
      <c r="G29" t="s">
        <v>593</v>
      </c>
      <c r="H29" s="1">
        <v>46224.771523807867</v>
      </c>
      <c r="I29" t="s">
        <v>593</v>
      </c>
      <c r="J29" t="s">
        <v>4339</v>
      </c>
    </row>
    <row r="30" spans="1:10" x14ac:dyDescent="0.35">
      <c r="A30" t="s">
        <v>578</v>
      </c>
      <c r="B30" t="s">
        <v>591</v>
      </c>
      <c r="C30" t="s">
        <v>592</v>
      </c>
      <c r="D30" s="1">
        <v>46224</v>
      </c>
      <c r="E30">
        <v>3.7315625465436798E-2</v>
      </c>
      <c r="F30" s="1">
        <v>46224.771523958334</v>
      </c>
      <c r="G30" t="s">
        <v>593</v>
      </c>
      <c r="H30" s="1">
        <v>46224.771523993055</v>
      </c>
      <c r="I30" t="s">
        <v>593</v>
      </c>
      <c r="J30" t="s">
        <v>4340</v>
      </c>
    </row>
    <row r="31" spans="1:10" x14ac:dyDescent="0.35">
      <c r="A31" t="s">
        <v>580</v>
      </c>
      <c r="B31" t="s">
        <v>591</v>
      </c>
      <c r="C31" t="s">
        <v>592</v>
      </c>
      <c r="D31" s="1">
        <v>46224</v>
      </c>
      <c r="E31">
        <v>3.71331318771548E-2</v>
      </c>
      <c r="F31" s="1">
        <v>46224.771524108794</v>
      </c>
      <c r="G31" t="s">
        <v>593</v>
      </c>
      <c r="H31" s="1">
        <v>46224.771523993055</v>
      </c>
      <c r="I31" t="s">
        <v>593</v>
      </c>
      <c r="J31" t="s">
        <v>4341</v>
      </c>
    </row>
    <row r="32" spans="1:10" x14ac:dyDescent="0.35">
      <c r="A32" t="s">
        <v>1661</v>
      </c>
      <c r="B32" t="s">
        <v>591</v>
      </c>
      <c r="C32" t="s">
        <v>592</v>
      </c>
      <c r="D32" s="1">
        <v>46224</v>
      </c>
      <c r="E32">
        <v>3.95002764784032E-2</v>
      </c>
      <c r="F32" s="1">
        <v>46224.771524270836</v>
      </c>
      <c r="G32" t="s">
        <v>593</v>
      </c>
      <c r="H32" s="1">
        <v>46224.771524189811</v>
      </c>
      <c r="I32" t="s">
        <v>593</v>
      </c>
      <c r="J32" t="s">
        <v>4342</v>
      </c>
    </row>
    <row r="33" spans="1:10" x14ac:dyDescent="0.35">
      <c r="A33" t="s">
        <v>1662</v>
      </c>
      <c r="B33" t="s">
        <v>591</v>
      </c>
      <c r="C33" t="s">
        <v>592</v>
      </c>
      <c r="D33" s="1">
        <v>46224</v>
      </c>
      <c r="E33">
        <v>3.8553758514712197E-2</v>
      </c>
      <c r="F33" s="1">
        <v>46224.771524421296</v>
      </c>
      <c r="G33" t="s">
        <v>593</v>
      </c>
      <c r="H33" s="1">
        <v>46224.771524386575</v>
      </c>
      <c r="I33" t="s">
        <v>593</v>
      </c>
      <c r="J33" t="s">
        <v>4343</v>
      </c>
    </row>
    <row r="34" spans="1:10" x14ac:dyDescent="0.35">
      <c r="A34" t="s">
        <v>1746</v>
      </c>
      <c r="B34" t="s">
        <v>591</v>
      </c>
      <c r="C34" t="s">
        <v>592</v>
      </c>
      <c r="D34" s="1">
        <v>46224</v>
      </c>
      <c r="E34">
        <v>3.8655983858648199E-2</v>
      </c>
      <c r="F34" s="1">
        <v>46224.771524571763</v>
      </c>
      <c r="G34" t="s">
        <v>593</v>
      </c>
      <c r="H34" s="1">
        <v>46224.771524537035</v>
      </c>
      <c r="I34" t="s">
        <v>593</v>
      </c>
      <c r="J34" t="s">
        <v>4344</v>
      </c>
    </row>
    <row r="35" spans="1:10" x14ac:dyDescent="0.35">
      <c r="A35" t="s">
        <v>1747</v>
      </c>
      <c r="B35" t="s">
        <v>591</v>
      </c>
      <c r="C35" t="s">
        <v>592</v>
      </c>
      <c r="D35" s="1">
        <v>46224</v>
      </c>
      <c r="E35">
        <v>3.9077908038417201E-2</v>
      </c>
      <c r="F35" s="1">
        <v>46224.77152746528</v>
      </c>
      <c r="G35" t="s">
        <v>593</v>
      </c>
      <c r="H35" s="1">
        <v>46224.77152746528</v>
      </c>
      <c r="I35" t="s">
        <v>593</v>
      </c>
      <c r="J35" t="s">
        <v>4345</v>
      </c>
    </row>
    <row r="36" spans="1:10" x14ac:dyDescent="0.35">
      <c r="A36" t="s">
        <v>1663</v>
      </c>
      <c r="B36" t="s">
        <v>591</v>
      </c>
      <c r="C36" t="s">
        <v>592</v>
      </c>
      <c r="D36" s="1">
        <v>46224</v>
      </c>
      <c r="E36">
        <v>3.7385354659237098E-2</v>
      </c>
      <c r="F36" s="1">
        <v>46224.771527627316</v>
      </c>
      <c r="G36" t="s">
        <v>593</v>
      </c>
      <c r="H36" s="1">
        <v>46224.771527627316</v>
      </c>
      <c r="I36" t="s">
        <v>593</v>
      </c>
      <c r="J36" t="s">
        <v>4346</v>
      </c>
    </row>
    <row r="37" spans="1:10" x14ac:dyDescent="0.35">
      <c r="A37" t="s">
        <v>1751</v>
      </c>
      <c r="B37" t="s">
        <v>591</v>
      </c>
      <c r="C37" t="s">
        <v>592</v>
      </c>
      <c r="D37" s="1">
        <v>46224</v>
      </c>
      <c r="E37">
        <v>3.7422154115514902E-2</v>
      </c>
      <c r="F37" s="1">
        <v>46224.771524733798</v>
      </c>
      <c r="G37" t="s">
        <v>593</v>
      </c>
      <c r="H37" s="1">
        <v>46224.771524733798</v>
      </c>
      <c r="I37" t="s">
        <v>593</v>
      </c>
      <c r="J37" t="s">
        <v>4347</v>
      </c>
    </row>
    <row r="38" spans="1:10" x14ac:dyDescent="0.35">
      <c r="A38" t="s">
        <v>1753</v>
      </c>
      <c r="B38" t="s">
        <v>591</v>
      </c>
      <c r="C38" t="s">
        <v>592</v>
      </c>
      <c r="D38" s="1">
        <v>46224</v>
      </c>
      <c r="E38">
        <v>3.7252171825145702E-2</v>
      </c>
      <c r="F38" s="1">
        <v>46224.771529745369</v>
      </c>
      <c r="G38" t="s">
        <v>593</v>
      </c>
      <c r="H38" s="1">
        <v>46224.771529664351</v>
      </c>
      <c r="I38" t="s">
        <v>593</v>
      </c>
      <c r="J38" t="s">
        <v>4348</v>
      </c>
    </row>
    <row r="39" spans="1:10" x14ac:dyDescent="0.35">
      <c r="A39" t="s">
        <v>1754</v>
      </c>
      <c r="B39" t="s">
        <v>591</v>
      </c>
      <c r="C39" t="s">
        <v>592</v>
      </c>
      <c r="D39" s="1">
        <v>46224</v>
      </c>
      <c r="E39">
        <v>3.7451686890272999E-2</v>
      </c>
      <c r="F39" s="1">
        <v>46224.771527777775</v>
      </c>
      <c r="G39" t="s">
        <v>593</v>
      </c>
      <c r="H39" s="1">
        <v>46224.771527627316</v>
      </c>
      <c r="I39" t="s">
        <v>593</v>
      </c>
      <c r="J39" t="s">
        <v>4349</v>
      </c>
    </row>
    <row r="40" spans="1:10" x14ac:dyDescent="0.35">
      <c r="A40" t="s">
        <v>1748</v>
      </c>
      <c r="B40" t="s">
        <v>591</v>
      </c>
      <c r="C40" t="s">
        <v>592</v>
      </c>
      <c r="D40" s="1">
        <v>46224</v>
      </c>
      <c r="E40">
        <v>4.0100031940343901E-2</v>
      </c>
      <c r="F40" s="1">
        <v>46224.771524884258</v>
      </c>
      <c r="G40" t="s">
        <v>593</v>
      </c>
      <c r="H40" s="1">
        <v>46224.771524884258</v>
      </c>
      <c r="I40" t="s">
        <v>593</v>
      </c>
      <c r="J40" t="s">
        <v>4350</v>
      </c>
    </row>
    <row r="41" spans="1:10" x14ac:dyDescent="0.35">
      <c r="A41" t="s">
        <v>1752</v>
      </c>
      <c r="B41" t="s">
        <v>591</v>
      </c>
      <c r="C41" t="s">
        <v>592</v>
      </c>
      <c r="D41" s="1">
        <v>46224</v>
      </c>
      <c r="E41">
        <v>3.9184443728845303E-2</v>
      </c>
      <c r="F41" s="1">
        <v>46224.771532951389</v>
      </c>
      <c r="G41" t="s">
        <v>593</v>
      </c>
      <c r="H41" s="1">
        <v>46224.771532951389</v>
      </c>
      <c r="I41" t="s">
        <v>593</v>
      </c>
      <c r="J41" t="s">
        <v>4351</v>
      </c>
    </row>
    <row r="42" spans="1:10" x14ac:dyDescent="0.35">
      <c r="A42" t="s">
        <v>1749</v>
      </c>
      <c r="B42" t="s">
        <v>591</v>
      </c>
      <c r="C42" t="s">
        <v>592</v>
      </c>
      <c r="D42" s="1">
        <v>46224</v>
      </c>
      <c r="E42">
        <v>3.8970860778608798E-2</v>
      </c>
      <c r="F42" s="1">
        <v>46224.771525034725</v>
      </c>
      <c r="G42" t="s">
        <v>593</v>
      </c>
      <c r="H42" s="1">
        <v>46224.771524884258</v>
      </c>
      <c r="I42" t="s">
        <v>593</v>
      </c>
      <c r="J42" t="s">
        <v>4352</v>
      </c>
    </row>
    <row r="43" spans="1:10" x14ac:dyDescent="0.35">
      <c r="A43" t="s">
        <v>1968</v>
      </c>
      <c r="B43" t="s">
        <v>591</v>
      </c>
      <c r="C43" t="s">
        <v>592</v>
      </c>
      <c r="D43" s="1">
        <v>46224</v>
      </c>
      <c r="E43">
        <v>3.9712290294906499E-2</v>
      </c>
      <c r="F43" s="1">
        <v>46224.771527928242</v>
      </c>
      <c r="G43" t="s">
        <v>593</v>
      </c>
      <c r="H43" s="1">
        <v>46224.771527812503</v>
      </c>
      <c r="I43" t="s">
        <v>593</v>
      </c>
      <c r="J43" t="s">
        <v>4353</v>
      </c>
    </row>
    <row r="44" spans="1:10" x14ac:dyDescent="0.35">
      <c r="A44" t="s">
        <v>1755</v>
      </c>
      <c r="B44" t="s">
        <v>591</v>
      </c>
      <c r="C44" t="s">
        <v>592</v>
      </c>
      <c r="D44" s="1">
        <v>46224</v>
      </c>
      <c r="E44">
        <v>3.7827972167300099E-2</v>
      </c>
      <c r="F44" s="1">
        <v>46224.771528090278</v>
      </c>
      <c r="G44" t="s">
        <v>593</v>
      </c>
      <c r="H44" s="1">
        <v>46224.77152800926</v>
      </c>
      <c r="I44" t="s">
        <v>593</v>
      </c>
      <c r="J44" t="s">
        <v>4354</v>
      </c>
    </row>
    <row r="45" spans="1:10" x14ac:dyDescent="0.35">
      <c r="A45" t="s">
        <v>1750</v>
      </c>
      <c r="B45" t="s">
        <v>591</v>
      </c>
      <c r="C45" t="s">
        <v>592</v>
      </c>
      <c r="D45" s="1">
        <v>46224</v>
      </c>
      <c r="E45">
        <v>3.7888622719922001E-2</v>
      </c>
      <c r="F45" s="1">
        <v>46224.771533136576</v>
      </c>
      <c r="G45" t="s">
        <v>593</v>
      </c>
      <c r="H45" s="1">
        <v>46224.771533101855</v>
      </c>
      <c r="I45" t="s">
        <v>593</v>
      </c>
      <c r="J45" t="s">
        <v>4355</v>
      </c>
    </row>
    <row r="46" spans="1:10" x14ac:dyDescent="0.35">
      <c r="A46" t="s">
        <v>1777</v>
      </c>
      <c r="B46" t="s">
        <v>591</v>
      </c>
      <c r="C46" t="s">
        <v>592</v>
      </c>
      <c r="D46" s="1">
        <v>46224</v>
      </c>
      <c r="E46">
        <v>3.8193381600301703E-2</v>
      </c>
      <c r="F46" s="1">
        <v>46224.771533333333</v>
      </c>
      <c r="G46" t="s">
        <v>593</v>
      </c>
      <c r="H46" s="1">
        <v>46224.771533298612</v>
      </c>
      <c r="I46" t="s">
        <v>593</v>
      </c>
      <c r="J46" t="s">
        <v>4356</v>
      </c>
    </row>
    <row r="47" spans="1:10" x14ac:dyDescent="0.35">
      <c r="A47" t="s">
        <v>1782</v>
      </c>
      <c r="B47" t="s">
        <v>591</v>
      </c>
      <c r="C47" t="s">
        <v>592</v>
      </c>
      <c r="D47" s="1">
        <v>46224</v>
      </c>
      <c r="E47">
        <v>3.8449058655960898E-2</v>
      </c>
      <c r="F47" s="1">
        <v>46224.77152519676</v>
      </c>
      <c r="G47" t="s">
        <v>593</v>
      </c>
      <c r="H47" s="1">
        <v>46224.771525081022</v>
      </c>
      <c r="I47" t="s">
        <v>593</v>
      </c>
      <c r="J47" t="s">
        <v>4357</v>
      </c>
    </row>
    <row r="48" spans="1:10" x14ac:dyDescent="0.35">
      <c r="A48" t="s">
        <v>1969</v>
      </c>
      <c r="B48" t="s">
        <v>591</v>
      </c>
      <c r="C48" t="s">
        <v>592</v>
      </c>
      <c r="D48" s="1">
        <v>46224</v>
      </c>
      <c r="E48">
        <v>3.8617386404934201E-2</v>
      </c>
      <c r="F48" s="1">
        <v>46224.771528356483</v>
      </c>
      <c r="G48" t="s">
        <v>593</v>
      </c>
      <c r="H48" s="1">
        <v>46224.771528356483</v>
      </c>
      <c r="I48" t="s">
        <v>593</v>
      </c>
      <c r="J48" t="s">
        <v>4358</v>
      </c>
    </row>
    <row r="49" spans="1:10" x14ac:dyDescent="0.35">
      <c r="A49" t="s">
        <v>1967</v>
      </c>
      <c r="B49" t="s">
        <v>591</v>
      </c>
      <c r="C49" t="s">
        <v>592</v>
      </c>
      <c r="D49" s="1">
        <v>46224</v>
      </c>
      <c r="E49">
        <v>4.06860746279172E-2</v>
      </c>
      <c r="F49" s="1">
        <v>46224.771528506943</v>
      </c>
      <c r="G49" t="s">
        <v>593</v>
      </c>
      <c r="H49" s="1">
        <v>46224.771528553239</v>
      </c>
      <c r="I49" t="s">
        <v>593</v>
      </c>
      <c r="J49" t="s">
        <v>4359</v>
      </c>
    </row>
    <row r="50" spans="1:10" x14ac:dyDescent="0.35">
      <c r="A50" t="s">
        <v>1966</v>
      </c>
      <c r="B50" t="s">
        <v>591</v>
      </c>
      <c r="C50" t="s">
        <v>592</v>
      </c>
      <c r="D50" s="1">
        <v>46224</v>
      </c>
      <c r="E50">
        <v>3.9485864529789999E-2</v>
      </c>
      <c r="F50" s="1">
        <v>46224.771528703706</v>
      </c>
      <c r="G50" t="s">
        <v>593</v>
      </c>
      <c r="H50" s="1">
        <v>46224.771528738427</v>
      </c>
      <c r="I50" t="s">
        <v>593</v>
      </c>
      <c r="J50" t="s">
        <v>4360</v>
      </c>
    </row>
    <row r="51" spans="1:10" x14ac:dyDescent="0.35">
      <c r="A51" t="s">
        <v>4211</v>
      </c>
      <c r="B51" t="s">
        <v>591</v>
      </c>
      <c r="C51" t="s">
        <v>592</v>
      </c>
      <c r="D51" s="1">
        <v>46224</v>
      </c>
      <c r="E51">
        <v>3.9641051138887398E-2</v>
      </c>
      <c r="F51" s="1">
        <v>46224.77152534722</v>
      </c>
      <c r="G51" t="s">
        <v>593</v>
      </c>
      <c r="H51" s="1">
        <v>46224.771525266202</v>
      </c>
      <c r="I51" t="s">
        <v>593</v>
      </c>
      <c r="J51" t="s">
        <v>4361</v>
      </c>
    </row>
    <row r="52" spans="1:10" x14ac:dyDescent="0.35">
      <c r="A52" t="s">
        <v>3064</v>
      </c>
      <c r="B52" t="s">
        <v>591</v>
      </c>
      <c r="C52" t="s">
        <v>592</v>
      </c>
      <c r="D52" s="1">
        <v>46224</v>
      </c>
      <c r="E52">
        <v>3.8761402516581001E-2</v>
      </c>
      <c r="F52" s="1">
        <v>46224.771533530089</v>
      </c>
      <c r="G52" t="s">
        <v>593</v>
      </c>
      <c r="H52" s="1">
        <v>46224.771533483799</v>
      </c>
      <c r="I52" t="s">
        <v>593</v>
      </c>
      <c r="J52" t="s">
        <v>4362</v>
      </c>
    </row>
    <row r="53" spans="1:10" x14ac:dyDescent="0.35">
      <c r="A53" t="s">
        <v>4304</v>
      </c>
      <c r="B53" t="s">
        <v>591</v>
      </c>
      <c r="C53" t="s">
        <v>592</v>
      </c>
      <c r="D53" s="1">
        <v>46224</v>
      </c>
      <c r="E53">
        <v>3.8943840474713103E-2</v>
      </c>
      <c r="F53" s="1">
        <v>46224.771529942132</v>
      </c>
      <c r="G53" t="s">
        <v>593</v>
      </c>
      <c r="H53" s="1">
        <v>46224.771529826387</v>
      </c>
      <c r="I53" t="s">
        <v>593</v>
      </c>
      <c r="J53" t="s">
        <v>4363</v>
      </c>
    </row>
    <row r="54" spans="1:10" x14ac:dyDescent="0.35">
      <c r="A54" t="s">
        <v>603</v>
      </c>
      <c r="B54" t="s">
        <v>591</v>
      </c>
      <c r="C54" t="s">
        <v>592</v>
      </c>
      <c r="D54" s="1">
        <v>46224</v>
      </c>
      <c r="E54">
        <v>3.51199803337209E-2</v>
      </c>
      <c r="F54" s="1">
        <v>46224.771532557868</v>
      </c>
      <c r="G54" t="s">
        <v>593</v>
      </c>
      <c r="H54" s="1">
        <v>46224.771532557868</v>
      </c>
      <c r="I54" t="s">
        <v>593</v>
      </c>
      <c r="J54" t="s">
        <v>4364</v>
      </c>
    </row>
    <row r="55" spans="1:10" x14ac:dyDescent="0.35">
      <c r="A55" t="s">
        <v>39</v>
      </c>
      <c r="B55" t="s">
        <v>591</v>
      </c>
      <c r="C55" t="s">
        <v>592</v>
      </c>
      <c r="D55" s="1">
        <v>46224</v>
      </c>
      <c r="E55">
        <v>3.75549074756064E-2</v>
      </c>
      <c r="F55" s="1">
        <v>46224.771533715277</v>
      </c>
      <c r="G55" t="s">
        <v>593</v>
      </c>
      <c r="H55" s="1">
        <v>46224.771533645835</v>
      </c>
      <c r="I55" t="s">
        <v>593</v>
      </c>
      <c r="J55" t="s">
        <v>4365</v>
      </c>
    </row>
    <row r="56" spans="1:10" x14ac:dyDescent="0.35">
      <c r="A56" t="s">
        <v>114</v>
      </c>
      <c r="B56" t="s">
        <v>591</v>
      </c>
      <c r="C56" t="s">
        <v>592</v>
      </c>
      <c r="D56" s="1">
        <v>46224</v>
      </c>
      <c r="E56">
        <v>3.75006339624799E-2</v>
      </c>
      <c r="F56" s="1">
        <v>46224.771528854166</v>
      </c>
      <c r="G56" t="s">
        <v>593</v>
      </c>
      <c r="H56" s="1">
        <v>46224.771528900463</v>
      </c>
      <c r="I56" t="s">
        <v>593</v>
      </c>
      <c r="J56" t="s">
        <v>4366</v>
      </c>
    </row>
    <row r="57" spans="1:10" x14ac:dyDescent="0.35">
      <c r="A57" t="s">
        <v>40</v>
      </c>
      <c r="B57" t="s">
        <v>591</v>
      </c>
      <c r="C57" t="s">
        <v>592</v>
      </c>
      <c r="D57" s="1">
        <v>46224</v>
      </c>
      <c r="E57">
        <v>4.0924728318524797E-2</v>
      </c>
      <c r="F57" s="1">
        <v>46224.77152905093</v>
      </c>
      <c r="G57" t="s">
        <v>593</v>
      </c>
      <c r="H57" s="1">
        <v>46224.771528900463</v>
      </c>
      <c r="I57" t="s">
        <v>593</v>
      </c>
      <c r="J57" t="s">
        <v>4367</v>
      </c>
    </row>
    <row r="58" spans="1:10" x14ac:dyDescent="0.35">
      <c r="A58" t="s">
        <v>13</v>
      </c>
      <c r="B58" t="s">
        <v>591</v>
      </c>
      <c r="C58" t="s">
        <v>592</v>
      </c>
      <c r="D58" s="1">
        <v>46224</v>
      </c>
      <c r="E58">
        <v>4.1664735916780403E-2</v>
      </c>
      <c r="F58" s="1">
        <v>46224.771525497687</v>
      </c>
      <c r="G58" t="s">
        <v>593</v>
      </c>
      <c r="H58" s="1">
        <v>46224.771525428238</v>
      </c>
      <c r="I58" t="s">
        <v>593</v>
      </c>
      <c r="J58" t="s">
        <v>4368</v>
      </c>
    </row>
    <row r="59" spans="1:10" x14ac:dyDescent="0.35">
      <c r="A59" t="s">
        <v>14</v>
      </c>
      <c r="B59" t="s">
        <v>591</v>
      </c>
      <c r="C59" t="s">
        <v>592</v>
      </c>
      <c r="D59" s="1">
        <v>46224</v>
      </c>
      <c r="E59">
        <v>4.26241610967018E-2</v>
      </c>
      <c r="F59" s="1">
        <v>46224.771530127313</v>
      </c>
      <c r="G59" t="s">
        <v>593</v>
      </c>
      <c r="H59" s="1">
        <v>46224.771530057871</v>
      </c>
      <c r="I59" t="s">
        <v>593</v>
      </c>
      <c r="J59" t="s">
        <v>4369</v>
      </c>
    </row>
    <row r="60" spans="1:10" x14ac:dyDescent="0.35">
      <c r="A60" t="s">
        <v>61</v>
      </c>
      <c r="B60" t="s">
        <v>591</v>
      </c>
      <c r="C60" t="s">
        <v>592</v>
      </c>
      <c r="D60" s="1">
        <v>46224</v>
      </c>
      <c r="E60">
        <v>4.2579867540758702E-2</v>
      </c>
      <c r="F60" s="1">
        <v>46224.771539618057</v>
      </c>
      <c r="G60" t="s">
        <v>593</v>
      </c>
      <c r="H60" s="1">
        <v>46224.771539618057</v>
      </c>
      <c r="I60" t="s">
        <v>593</v>
      </c>
      <c r="J60" t="s">
        <v>4370</v>
      </c>
    </row>
    <row r="61" spans="1:10" x14ac:dyDescent="0.35">
      <c r="A61" t="s">
        <v>41</v>
      </c>
      <c r="B61" t="s">
        <v>591</v>
      </c>
      <c r="C61" t="s">
        <v>592</v>
      </c>
      <c r="D61" s="1">
        <v>46224</v>
      </c>
      <c r="E61">
        <v>4.1744101148620399E-2</v>
      </c>
      <c r="F61" s="1">
        <v>46224.771532754632</v>
      </c>
      <c r="G61" t="s">
        <v>593</v>
      </c>
      <c r="H61" s="1">
        <v>46224.771532754632</v>
      </c>
      <c r="I61" t="s">
        <v>593</v>
      </c>
      <c r="J61" t="s">
        <v>4371</v>
      </c>
    </row>
    <row r="62" spans="1:10" x14ac:dyDescent="0.35">
      <c r="A62" t="s">
        <v>115</v>
      </c>
      <c r="B62" t="s">
        <v>591</v>
      </c>
      <c r="C62" t="s">
        <v>592</v>
      </c>
      <c r="D62" s="1">
        <v>46224</v>
      </c>
      <c r="E62">
        <v>4.2934848073900599E-2</v>
      </c>
      <c r="F62" s="1">
        <v>46224.771530324077</v>
      </c>
      <c r="G62" t="s">
        <v>593</v>
      </c>
      <c r="H62" s="1">
        <v>46224.771530208331</v>
      </c>
      <c r="I62" t="s">
        <v>593</v>
      </c>
      <c r="J62" t="s">
        <v>4372</v>
      </c>
    </row>
    <row r="63" spans="1:10" x14ac:dyDescent="0.35">
      <c r="A63" t="s">
        <v>79</v>
      </c>
      <c r="B63" t="s">
        <v>591</v>
      </c>
      <c r="C63" t="s">
        <v>592</v>
      </c>
      <c r="D63" s="1">
        <v>46224</v>
      </c>
      <c r="E63">
        <v>4.3259916029601497E-2</v>
      </c>
      <c r="F63" s="1">
        <v>46224.771525659722</v>
      </c>
      <c r="G63" t="s">
        <v>593</v>
      </c>
      <c r="H63" s="1">
        <v>46224.771525613425</v>
      </c>
      <c r="I63" t="s">
        <v>593</v>
      </c>
      <c r="J63" t="s">
        <v>4373</v>
      </c>
    </row>
    <row r="64" spans="1:10" x14ac:dyDescent="0.35">
      <c r="A64" t="s">
        <v>15</v>
      </c>
      <c r="B64" t="s">
        <v>591</v>
      </c>
      <c r="C64" t="s">
        <v>592</v>
      </c>
      <c r="D64" s="1">
        <v>46224</v>
      </c>
      <c r="E64">
        <v>4.3284704871232801E-2</v>
      </c>
      <c r="F64" s="1">
        <v>46224.771530520833</v>
      </c>
      <c r="G64" t="s">
        <v>593</v>
      </c>
      <c r="H64" s="1">
        <v>46224.771530405094</v>
      </c>
      <c r="I64" t="s">
        <v>593</v>
      </c>
      <c r="J64" t="s">
        <v>4374</v>
      </c>
    </row>
    <row r="65" spans="1:10" x14ac:dyDescent="0.35">
      <c r="A65" t="s">
        <v>62</v>
      </c>
      <c r="B65" t="s">
        <v>591</v>
      </c>
      <c r="C65" t="s">
        <v>592</v>
      </c>
      <c r="D65" s="1">
        <v>46224</v>
      </c>
      <c r="E65">
        <v>4.5149889254161302E-2</v>
      </c>
      <c r="F65" s="1">
        <v>46224.771539780093</v>
      </c>
      <c r="G65" t="s">
        <v>593</v>
      </c>
      <c r="H65" s="1">
        <v>46224.771539814814</v>
      </c>
      <c r="I65" t="s">
        <v>593</v>
      </c>
      <c r="J65" t="s">
        <v>4375</v>
      </c>
    </row>
    <row r="66" spans="1:10" x14ac:dyDescent="0.35">
      <c r="A66" t="s">
        <v>80</v>
      </c>
      <c r="B66" t="s">
        <v>591</v>
      </c>
      <c r="C66" t="s">
        <v>592</v>
      </c>
      <c r="D66" s="1">
        <v>46224</v>
      </c>
      <c r="E66">
        <v>4.6094886292023102E-2</v>
      </c>
      <c r="F66" s="1">
        <v>46224.771530706021</v>
      </c>
      <c r="G66" t="s">
        <v>593</v>
      </c>
      <c r="H66" s="1">
        <v>46224.771530590275</v>
      </c>
      <c r="I66" t="s">
        <v>593</v>
      </c>
      <c r="J66" t="s">
        <v>4376</v>
      </c>
    </row>
    <row r="67" spans="1:10" x14ac:dyDescent="0.35">
      <c r="A67" t="s">
        <v>16</v>
      </c>
      <c r="B67" t="s">
        <v>591</v>
      </c>
      <c r="C67" t="s">
        <v>592</v>
      </c>
      <c r="D67" s="1">
        <v>46224</v>
      </c>
      <c r="E67">
        <v>4.60931085894149E-2</v>
      </c>
      <c r="F67" s="1">
        <v>46224.771525810182</v>
      </c>
      <c r="G67" t="s">
        <v>593</v>
      </c>
      <c r="H67" s="1">
        <v>46224.771525810182</v>
      </c>
      <c r="I67" t="s">
        <v>593</v>
      </c>
      <c r="J67" t="s">
        <v>4377</v>
      </c>
    </row>
    <row r="68" spans="1:10" x14ac:dyDescent="0.35">
      <c r="A68" t="s">
        <v>63</v>
      </c>
      <c r="B68" t="s">
        <v>591</v>
      </c>
      <c r="C68" t="s">
        <v>592</v>
      </c>
      <c r="D68" s="1">
        <v>46224</v>
      </c>
      <c r="E68">
        <v>4.6639884445635597E-2</v>
      </c>
      <c r="F68" s="1">
        <v>46224.771530902777</v>
      </c>
      <c r="G68" t="s">
        <v>593</v>
      </c>
      <c r="H68" s="1">
        <v>46224.771530937498</v>
      </c>
      <c r="I68" t="s">
        <v>593</v>
      </c>
      <c r="J68" t="s">
        <v>4378</v>
      </c>
    </row>
    <row r="69" spans="1:10" x14ac:dyDescent="0.35">
      <c r="A69" t="s">
        <v>116</v>
      </c>
      <c r="B69" t="s">
        <v>591</v>
      </c>
      <c r="C69" t="s">
        <v>592</v>
      </c>
      <c r="D69" s="1">
        <v>46224</v>
      </c>
      <c r="E69">
        <v>4.70222293950898E-2</v>
      </c>
      <c r="F69" s="1">
        <v>46224.771531099534</v>
      </c>
      <c r="G69" t="s">
        <v>593</v>
      </c>
      <c r="H69" s="1">
        <v>46224.771531134262</v>
      </c>
      <c r="I69" t="s">
        <v>593</v>
      </c>
      <c r="J69" t="s">
        <v>4379</v>
      </c>
    </row>
    <row r="70" spans="1:10" x14ac:dyDescent="0.35">
      <c r="A70" t="s">
        <v>17</v>
      </c>
      <c r="B70" t="s">
        <v>591</v>
      </c>
      <c r="C70" t="s">
        <v>592</v>
      </c>
      <c r="D70" s="1">
        <v>46224</v>
      </c>
      <c r="E70">
        <v>4.7709546122179203E-2</v>
      </c>
      <c r="F70" s="1">
        <v>46224.771539930553</v>
      </c>
      <c r="G70" t="s">
        <v>593</v>
      </c>
      <c r="H70" s="1">
        <v>46224.771540011578</v>
      </c>
      <c r="I70" t="s">
        <v>593</v>
      </c>
      <c r="J70" t="s">
        <v>4380</v>
      </c>
    </row>
    <row r="71" spans="1:10" x14ac:dyDescent="0.35">
      <c r="A71" t="s">
        <v>64</v>
      </c>
      <c r="B71" t="s">
        <v>591</v>
      </c>
      <c r="C71" t="s">
        <v>592</v>
      </c>
      <c r="D71" s="1">
        <v>46224</v>
      </c>
      <c r="E71">
        <v>4.8404898435444502E-2</v>
      </c>
      <c r="F71" s="1">
        <v>46224.771525925928</v>
      </c>
      <c r="G71" t="s">
        <v>593</v>
      </c>
      <c r="H71" s="1">
        <v>46224.771526006945</v>
      </c>
      <c r="I71" t="s">
        <v>593</v>
      </c>
      <c r="J71" t="s">
        <v>4381</v>
      </c>
    </row>
    <row r="72" spans="1:10" x14ac:dyDescent="0.35">
      <c r="A72" t="s">
        <v>65</v>
      </c>
      <c r="B72" t="s">
        <v>591</v>
      </c>
      <c r="C72" t="s">
        <v>592</v>
      </c>
      <c r="D72" s="1">
        <v>46224</v>
      </c>
      <c r="E72">
        <v>4.8904896544263603E-2</v>
      </c>
      <c r="F72" s="1">
        <v>46224.77153391204</v>
      </c>
      <c r="G72" t="s">
        <v>593</v>
      </c>
      <c r="H72" s="1">
        <v>46224.771533831015</v>
      </c>
      <c r="I72" t="s">
        <v>593</v>
      </c>
      <c r="J72" t="s">
        <v>4382</v>
      </c>
    </row>
    <row r="73" spans="1:10" x14ac:dyDescent="0.35">
      <c r="A73" t="s">
        <v>42</v>
      </c>
      <c r="B73" t="s">
        <v>591</v>
      </c>
      <c r="C73" t="s">
        <v>592</v>
      </c>
      <c r="D73" s="1">
        <v>46224</v>
      </c>
      <c r="E73">
        <v>4.91848946642503E-2</v>
      </c>
      <c r="F73" s="1">
        <v>46224.771531284721</v>
      </c>
      <c r="G73" t="s">
        <v>593</v>
      </c>
      <c r="H73" s="1">
        <v>46224.771531331018</v>
      </c>
      <c r="I73" t="s">
        <v>593</v>
      </c>
      <c r="J73" t="s">
        <v>4383</v>
      </c>
    </row>
    <row r="74" spans="1:10" x14ac:dyDescent="0.35">
      <c r="A74" t="s">
        <v>43</v>
      </c>
      <c r="B74" t="s">
        <v>591</v>
      </c>
      <c r="C74" t="s">
        <v>592</v>
      </c>
      <c r="D74" s="1">
        <v>46224</v>
      </c>
      <c r="E74">
        <v>4.9384726792062898E-2</v>
      </c>
      <c r="F74" s="1">
        <v>46224.771526076387</v>
      </c>
      <c r="G74" t="s">
        <v>593</v>
      </c>
      <c r="H74" s="1">
        <v>46224.771526006945</v>
      </c>
      <c r="I74" t="s">
        <v>593</v>
      </c>
      <c r="J74" t="s">
        <v>4384</v>
      </c>
    </row>
    <row r="75" spans="1:10" x14ac:dyDescent="0.35">
      <c r="A75" t="s">
        <v>126</v>
      </c>
      <c r="B75" t="s">
        <v>591</v>
      </c>
      <c r="C75" t="s">
        <v>592</v>
      </c>
      <c r="D75" s="1">
        <v>46224</v>
      </c>
      <c r="E75">
        <v>4.9620099112600798E-2</v>
      </c>
      <c r="F75" s="1">
        <v>46224.771534108797</v>
      </c>
      <c r="G75" t="s">
        <v>593</v>
      </c>
      <c r="H75" s="1">
        <v>46224.771534027779</v>
      </c>
      <c r="I75" t="s">
        <v>593</v>
      </c>
      <c r="J75" t="s">
        <v>4385</v>
      </c>
    </row>
    <row r="76" spans="1:10" x14ac:dyDescent="0.35">
      <c r="A76" t="s">
        <v>44</v>
      </c>
      <c r="B76" t="s">
        <v>591</v>
      </c>
      <c r="C76" t="s">
        <v>592</v>
      </c>
      <c r="D76" s="1">
        <v>46224</v>
      </c>
      <c r="E76">
        <v>4.9959825336075299E-2</v>
      </c>
      <c r="F76" s="1">
        <v>46224.771547916665</v>
      </c>
      <c r="G76" t="s">
        <v>593</v>
      </c>
      <c r="H76" s="1">
        <v>46224.771547916665</v>
      </c>
      <c r="I76" t="s">
        <v>593</v>
      </c>
      <c r="J76" t="s">
        <v>4386</v>
      </c>
    </row>
    <row r="77" spans="1:10" x14ac:dyDescent="0.35">
      <c r="A77" t="s">
        <v>127</v>
      </c>
      <c r="B77" t="s">
        <v>591</v>
      </c>
      <c r="C77" t="s">
        <v>592</v>
      </c>
      <c r="D77" s="1">
        <v>46224</v>
      </c>
      <c r="E77">
        <v>5.0194904436619697E-2</v>
      </c>
      <c r="F77" s="1">
        <v>46224.771540081019</v>
      </c>
      <c r="G77" t="s">
        <v>593</v>
      </c>
      <c r="H77" s="1">
        <v>46224.771540162037</v>
      </c>
      <c r="I77" t="s">
        <v>593</v>
      </c>
      <c r="J77" t="s">
        <v>4387</v>
      </c>
    </row>
    <row r="78" spans="1:10" x14ac:dyDescent="0.35">
      <c r="A78" t="s">
        <v>374</v>
      </c>
      <c r="B78" t="s">
        <v>591</v>
      </c>
      <c r="C78" t="s">
        <v>592</v>
      </c>
      <c r="D78" s="1">
        <v>46224</v>
      </c>
      <c r="E78">
        <v>5.0329911079895803E-2</v>
      </c>
      <c r="F78" s="1">
        <v>46224.771540243055</v>
      </c>
      <c r="G78" t="s">
        <v>593</v>
      </c>
      <c r="H78" s="1">
        <v>46224.771540358794</v>
      </c>
      <c r="I78" t="s">
        <v>593</v>
      </c>
      <c r="J78" t="s">
        <v>4388</v>
      </c>
    </row>
    <row r="79" spans="1:10" x14ac:dyDescent="0.35">
      <c r="A79" t="s">
        <v>117</v>
      </c>
      <c r="B79" t="s">
        <v>591</v>
      </c>
      <c r="C79" t="s">
        <v>592</v>
      </c>
      <c r="D79" s="1">
        <v>46224</v>
      </c>
      <c r="E79">
        <v>5.0570048119757398E-2</v>
      </c>
      <c r="F79" s="1">
        <v>46224.771553900464</v>
      </c>
      <c r="G79" t="s">
        <v>593</v>
      </c>
      <c r="H79" s="1">
        <v>46224.771553935185</v>
      </c>
      <c r="I79" t="s">
        <v>593</v>
      </c>
      <c r="J79" t="s">
        <v>4389</v>
      </c>
    </row>
    <row r="80" spans="1:10" x14ac:dyDescent="0.35">
      <c r="A80" t="s">
        <v>18</v>
      </c>
      <c r="B80" t="s">
        <v>591</v>
      </c>
      <c r="C80" t="s">
        <v>592</v>
      </c>
      <c r="D80" s="1">
        <v>46224</v>
      </c>
      <c r="E80">
        <v>5.0724899613160998E-2</v>
      </c>
      <c r="F80" s="1">
        <v>46224.771550266203</v>
      </c>
      <c r="G80" t="s">
        <v>593</v>
      </c>
      <c r="H80" s="1">
        <v>46224.771550266203</v>
      </c>
      <c r="I80" t="s">
        <v>593</v>
      </c>
      <c r="J80" t="s">
        <v>4390</v>
      </c>
    </row>
    <row r="81" spans="1:10" x14ac:dyDescent="0.35">
      <c r="A81" t="s">
        <v>19</v>
      </c>
      <c r="B81" t="s">
        <v>591</v>
      </c>
      <c r="C81" t="s">
        <v>592</v>
      </c>
      <c r="D81" s="1">
        <v>46224</v>
      </c>
      <c r="E81">
        <v>5.0999906700787002E-2</v>
      </c>
      <c r="F81" s="1">
        <v>46224.771526273151</v>
      </c>
      <c r="G81" t="s">
        <v>593</v>
      </c>
      <c r="H81" s="1">
        <v>46224.771526157405</v>
      </c>
      <c r="I81" t="s">
        <v>593</v>
      </c>
      <c r="J81" t="s">
        <v>4391</v>
      </c>
    </row>
    <row r="82" spans="1:10" x14ac:dyDescent="0.35">
      <c r="A82" t="s">
        <v>20</v>
      </c>
      <c r="B82" t="s">
        <v>591</v>
      </c>
      <c r="C82" t="s">
        <v>592</v>
      </c>
      <c r="D82" s="1">
        <v>46224</v>
      </c>
      <c r="E82">
        <v>5.1249905228259798E-2</v>
      </c>
      <c r="F82" s="1">
        <v>46224.771540358794</v>
      </c>
      <c r="G82" t="s">
        <v>593</v>
      </c>
      <c r="H82" s="1">
        <v>46224.771540543981</v>
      </c>
      <c r="I82" t="s">
        <v>593</v>
      </c>
      <c r="J82" t="s">
        <v>4392</v>
      </c>
    </row>
    <row r="83" spans="1:10" x14ac:dyDescent="0.35">
      <c r="A83" t="s">
        <v>45</v>
      </c>
      <c r="B83" t="s">
        <v>591</v>
      </c>
      <c r="C83" t="s">
        <v>592</v>
      </c>
      <c r="D83" s="1">
        <v>46224</v>
      </c>
      <c r="E83">
        <v>5.1434894820403101E-2</v>
      </c>
      <c r="F83" s="1">
        <v>46224.771552812497</v>
      </c>
      <c r="G83" t="s">
        <v>593</v>
      </c>
      <c r="H83" s="1">
        <v>46224.771552858794</v>
      </c>
      <c r="I83" t="s">
        <v>593</v>
      </c>
      <c r="J83" t="s">
        <v>4393</v>
      </c>
    </row>
    <row r="84" spans="1:10" x14ac:dyDescent="0.35">
      <c r="A84" t="s">
        <v>128</v>
      </c>
      <c r="B84" t="s">
        <v>591</v>
      </c>
      <c r="C84" t="s">
        <v>592</v>
      </c>
      <c r="D84" s="1">
        <v>46224</v>
      </c>
      <c r="E84">
        <v>5.1649902292223299E-2</v>
      </c>
      <c r="F84" s="1">
        <v>46224.771531481485</v>
      </c>
      <c r="G84" t="s">
        <v>593</v>
      </c>
      <c r="H84" s="1">
        <v>46224.771531481485</v>
      </c>
      <c r="I84" t="s">
        <v>593</v>
      </c>
      <c r="J84" t="s">
        <v>4394</v>
      </c>
    </row>
    <row r="85" spans="1:10" x14ac:dyDescent="0.35">
      <c r="A85" t="s">
        <v>46</v>
      </c>
      <c r="B85" t="s">
        <v>591</v>
      </c>
      <c r="C85" t="s">
        <v>592</v>
      </c>
      <c r="D85" s="1">
        <v>46224</v>
      </c>
      <c r="E85">
        <v>5.1844891613345302E-2</v>
      </c>
      <c r="F85" s="1">
        <v>46224.771531678241</v>
      </c>
      <c r="G85" t="s">
        <v>593</v>
      </c>
      <c r="H85" s="1">
        <v>46224.771531678241</v>
      </c>
      <c r="I85" t="s">
        <v>593</v>
      </c>
      <c r="J85" t="s">
        <v>4395</v>
      </c>
    </row>
    <row r="86" spans="1:10" x14ac:dyDescent="0.35">
      <c r="A86" t="s">
        <v>81</v>
      </c>
      <c r="B86" t="s">
        <v>591</v>
      </c>
      <c r="C86" t="s">
        <v>592</v>
      </c>
      <c r="D86" s="1">
        <v>46224</v>
      </c>
      <c r="E86">
        <v>5.2014908306488299E-2</v>
      </c>
      <c r="F86" s="1">
        <v>46224.77154050926</v>
      </c>
      <c r="G86" t="s">
        <v>593</v>
      </c>
      <c r="H86" s="1">
        <v>46224.771540543981</v>
      </c>
      <c r="I86" t="s">
        <v>593</v>
      </c>
      <c r="J86" t="s">
        <v>4396</v>
      </c>
    </row>
    <row r="87" spans="1:10" x14ac:dyDescent="0.35">
      <c r="A87" t="s">
        <v>82</v>
      </c>
      <c r="B87" t="s">
        <v>591</v>
      </c>
      <c r="C87" t="s">
        <v>592</v>
      </c>
      <c r="D87" s="1">
        <v>46224</v>
      </c>
      <c r="E87">
        <v>5.2124906977195698E-2</v>
      </c>
      <c r="F87" s="1">
        <v>46224.771534293985</v>
      </c>
      <c r="G87" t="s">
        <v>593</v>
      </c>
      <c r="H87" s="1">
        <v>46224.771534224536</v>
      </c>
      <c r="I87" t="s">
        <v>593</v>
      </c>
      <c r="J87" t="s">
        <v>4397</v>
      </c>
    </row>
    <row r="88" spans="1:10" x14ac:dyDescent="0.35">
      <c r="A88" t="s">
        <v>47</v>
      </c>
      <c r="B88" t="s">
        <v>591</v>
      </c>
      <c r="C88" t="s">
        <v>592</v>
      </c>
      <c r="D88" s="1">
        <v>46224</v>
      </c>
      <c r="E88">
        <v>5.2299896437066298E-2</v>
      </c>
      <c r="F88" s="1">
        <v>46224.771550428239</v>
      </c>
      <c r="G88" t="s">
        <v>593</v>
      </c>
      <c r="H88" s="1">
        <v>46224.77155046296</v>
      </c>
      <c r="I88" t="s">
        <v>593</v>
      </c>
      <c r="J88" t="s">
        <v>4398</v>
      </c>
    </row>
    <row r="89" spans="1:10" x14ac:dyDescent="0.35">
      <c r="A89" t="s">
        <v>83</v>
      </c>
      <c r="B89" t="s">
        <v>591</v>
      </c>
      <c r="C89" t="s">
        <v>592</v>
      </c>
      <c r="D89" s="1">
        <v>46224</v>
      </c>
      <c r="E89">
        <v>5.2429894970056602E-2</v>
      </c>
      <c r="F89" s="1">
        <v>46224.771550543985</v>
      </c>
      <c r="G89" t="s">
        <v>593</v>
      </c>
      <c r="H89" s="1">
        <v>46224.771550659723</v>
      </c>
      <c r="I89" t="s">
        <v>593</v>
      </c>
      <c r="J89" t="s">
        <v>4399</v>
      </c>
    </row>
    <row r="90" spans="1:10" x14ac:dyDescent="0.35">
      <c r="A90" t="s">
        <v>84</v>
      </c>
      <c r="B90" t="s">
        <v>591</v>
      </c>
      <c r="C90" t="s">
        <v>592</v>
      </c>
      <c r="D90" s="1">
        <v>46224</v>
      </c>
      <c r="E90">
        <v>5.2544493524045603E-2</v>
      </c>
      <c r="F90" s="1">
        <v>46224.77155297454</v>
      </c>
      <c r="G90" t="s">
        <v>593</v>
      </c>
      <c r="H90" s="1">
        <v>46224.771553009261</v>
      </c>
      <c r="I90" t="s">
        <v>593</v>
      </c>
      <c r="J90" t="s">
        <v>4400</v>
      </c>
    </row>
    <row r="91" spans="1:10" x14ac:dyDescent="0.35">
      <c r="A91" t="s">
        <v>118</v>
      </c>
      <c r="B91" t="s">
        <v>591</v>
      </c>
      <c r="C91" t="s">
        <v>592</v>
      </c>
      <c r="D91" s="1">
        <v>46224</v>
      </c>
      <c r="E91">
        <v>5.2574901626171101E-2</v>
      </c>
      <c r="F91" s="1">
        <v>46224.771531863429</v>
      </c>
      <c r="G91" t="s">
        <v>593</v>
      </c>
      <c r="H91" s="1">
        <v>46224.771531828701</v>
      </c>
      <c r="I91" t="s">
        <v>593</v>
      </c>
      <c r="J91" t="s">
        <v>4401</v>
      </c>
    </row>
    <row r="92" spans="1:10" x14ac:dyDescent="0.35">
      <c r="A92" t="s">
        <v>119</v>
      </c>
      <c r="B92" t="s">
        <v>591</v>
      </c>
      <c r="C92" t="s">
        <v>592</v>
      </c>
      <c r="D92" s="1">
        <v>46224</v>
      </c>
      <c r="E92">
        <v>5.2699890564064898E-2</v>
      </c>
      <c r="F92" s="1">
        <v>46224.771532060186</v>
      </c>
      <c r="G92" t="s">
        <v>593</v>
      </c>
      <c r="H92" s="1">
        <v>46224.771532025465</v>
      </c>
      <c r="I92" t="s">
        <v>593</v>
      </c>
      <c r="J92" t="s">
        <v>4402</v>
      </c>
    </row>
    <row r="93" spans="1:10" x14ac:dyDescent="0.35">
      <c r="A93" t="s">
        <v>66</v>
      </c>
      <c r="B93" t="s">
        <v>591</v>
      </c>
      <c r="C93" t="s">
        <v>592</v>
      </c>
      <c r="D93" s="1">
        <v>46224</v>
      </c>
      <c r="E93">
        <v>5.2769889092798797E-2</v>
      </c>
      <c r="F93" s="1">
        <v>46224.771553125</v>
      </c>
      <c r="G93" t="s">
        <v>593</v>
      </c>
      <c r="H93" s="1">
        <v>46224.771553206017</v>
      </c>
      <c r="I93" t="s">
        <v>593</v>
      </c>
      <c r="J93" t="s">
        <v>4403</v>
      </c>
    </row>
    <row r="94" spans="1:10" x14ac:dyDescent="0.35">
      <c r="A94" t="s">
        <v>21</v>
      </c>
      <c r="B94" t="s">
        <v>591</v>
      </c>
      <c r="C94" t="s">
        <v>592</v>
      </c>
      <c r="D94" s="1">
        <v>46224</v>
      </c>
      <c r="E94">
        <v>5.2789606780923003E-2</v>
      </c>
      <c r="F94" s="1">
        <v>46224.771548067132</v>
      </c>
      <c r="G94" t="s">
        <v>593</v>
      </c>
      <c r="H94" s="1">
        <v>46224.771548113429</v>
      </c>
      <c r="I94" t="s">
        <v>593</v>
      </c>
      <c r="J94" t="s">
        <v>4404</v>
      </c>
    </row>
    <row r="95" spans="1:10" x14ac:dyDescent="0.35">
      <c r="A95" t="s">
        <v>85</v>
      </c>
      <c r="B95" t="s">
        <v>591</v>
      </c>
      <c r="C95" t="s">
        <v>592</v>
      </c>
      <c r="D95" s="1">
        <v>46224</v>
      </c>
      <c r="E95">
        <v>5.2814915084817497E-2</v>
      </c>
      <c r="F95" s="1">
        <v>46224.771548229168</v>
      </c>
      <c r="G95" t="s">
        <v>593</v>
      </c>
      <c r="H95" s="1">
        <v>46224.771548263889</v>
      </c>
      <c r="I95" t="s">
        <v>593</v>
      </c>
      <c r="J95" t="s">
        <v>4405</v>
      </c>
    </row>
    <row r="96" spans="1:10" x14ac:dyDescent="0.35">
      <c r="A96" t="s">
        <v>86</v>
      </c>
      <c r="B96" t="s">
        <v>591</v>
      </c>
      <c r="C96" t="s">
        <v>592</v>
      </c>
      <c r="D96" s="1">
        <v>46224</v>
      </c>
      <c r="E96">
        <v>5.2929904690926302E-2</v>
      </c>
      <c r="F96" s="1">
        <v>46224.771534375002</v>
      </c>
      <c r="G96" t="s">
        <v>593</v>
      </c>
      <c r="H96" s="1">
        <v>46224.771534375002</v>
      </c>
      <c r="I96" t="s">
        <v>593</v>
      </c>
      <c r="J96" t="s">
        <v>4406</v>
      </c>
    </row>
    <row r="97" spans="1:10" x14ac:dyDescent="0.35">
      <c r="A97" t="s">
        <v>22</v>
      </c>
      <c r="B97" t="s">
        <v>591</v>
      </c>
      <c r="C97" t="s">
        <v>592</v>
      </c>
      <c r="D97" s="1">
        <v>46224</v>
      </c>
      <c r="E97">
        <v>5.2964912889977699E-2</v>
      </c>
      <c r="F97" s="1">
        <v>46224.771534571759</v>
      </c>
      <c r="G97" t="s">
        <v>593</v>
      </c>
      <c r="H97" s="1">
        <v>46224.771534571759</v>
      </c>
      <c r="I97" t="s">
        <v>593</v>
      </c>
      <c r="J97" t="s">
        <v>4407</v>
      </c>
    </row>
    <row r="98" spans="1:10" x14ac:dyDescent="0.35">
      <c r="A98" t="s">
        <v>67</v>
      </c>
      <c r="B98" t="s">
        <v>591</v>
      </c>
      <c r="C98" t="s">
        <v>592</v>
      </c>
      <c r="D98" s="1">
        <v>46224</v>
      </c>
      <c r="E98">
        <v>5.2994805791772397E-2</v>
      </c>
      <c r="F98" s="1">
        <v>46224.771534756946</v>
      </c>
      <c r="G98" t="s">
        <v>593</v>
      </c>
      <c r="H98" s="1">
        <v>46224.771534918982</v>
      </c>
      <c r="I98" t="s">
        <v>593</v>
      </c>
      <c r="J98" t="s">
        <v>4408</v>
      </c>
    </row>
    <row r="99" spans="1:10" x14ac:dyDescent="0.35">
      <c r="A99" t="s">
        <v>23</v>
      </c>
      <c r="B99" t="s">
        <v>591</v>
      </c>
      <c r="C99" t="s">
        <v>592</v>
      </c>
      <c r="D99" s="1">
        <v>46224</v>
      </c>
      <c r="E99">
        <v>5.3020041942752401E-2</v>
      </c>
      <c r="F99" s="1">
        <v>46224.77154065972</v>
      </c>
      <c r="G99" t="s">
        <v>593</v>
      </c>
      <c r="H99" s="1">
        <v>46224.771540706017</v>
      </c>
      <c r="I99" t="s">
        <v>593</v>
      </c>
      <c r="J99" t="s">
        <v>4409</v>
      </c>
    </row>
    <row r="100" spans="1:10" x14ac:dyDescent="0.35">
      <c r="A100" t="s">
        <v>68</v>
      </c>
      <c r="B100" t="s">
        <v>591</v>
      </c>
      <c r="C100" t="s">
        <v>592</v>
      </c>
      <c r="D100" s="1">
        <v>46224</v>
      </c>
      <c r="E100">
        <v>5.3024927626669001E-2</v>
      </c>
      <c r="F100" s="1">
        <v>46224.771548379627</v>
      </c>
      <c r="G100" t="s">
        <v>593</v>
      </c>
      <c r="H100" s="1">
        <v>46224.771548460645</v>
      </c>
      <c r="I100" t="s">
        <v>593</v>
      </c>
      <c r="J100" t="s">
        <v>4410</v>
      </c>
    </row>
    <row r="101" spans="1:10" x14ac:dyDescent="0.35">
      <c r="A101" t="s">
        <v>87</v>
      </c>
      <c r="B101" t="s">
        <v>591</v>
      </c>
      <c r="C101" t="s">
        <v>592</v>
      </c>
      <c r="D101" s="1">
        <v>46224</v>
      </c>
      <c r="E101">
        <v>5.3044926742811499E-2</v>
      </c>
      <c r="F101" s="1">
        <v>46224.771548530094</v>
      </c>
      <c r="G101" t="s">
        <v>593</v>
      </c>
      <c r="H101" s="1">
        <v>46224.771548460645</v>
      </c>
      <c r="I101" t="s">
        <v>593</v>
      </c>
      <c r="J101" t="s">
        <v>4411</v>
      </c>
    </row>
    <row r="102" spans="1:10" x14ac:dyDescent="0.35">
      <c r="A102" t="s">
        <v>88</v>
      </c>
      <c r="B102" t="s">
        <v>591</v>
      </c>
      <c r="C102" t="s">
        <v>592</v>
      </c>
      <c r="D102" s="1">
        <v>46224</v>
      </c>
      <c r="E102">
        <v>5.3119875842296702E-2</v>
      </c>
      <c r="F102" s="1">
        <v>46224.771532256942</v>
      </c>
      <c r="G102" t="s">
        <v>593</v>
      </c>
      <c r="H102" s="1">
        <v>46224.771532210645</v>
      </c>
      <c r="I102" t="s">
        <v>593</v>
      </c>
      <c r="J102" t="s">
        <v>4412</v>
      </c>
    </row>
    <row r="103" spans="1:10" x14ac:dyDescent="0.35">
      <c r="A103" t="s">
        <v>48</v>
      </c>
      <c r="B103" t="s">
        <v>591</v>
      </c>
      <c r="C103" t="s">
        <v>592</v>
      </c>
      <c r="D103" s="1">
        <v>46224</v>
      </c>
      <c r="E103">
        <v>5.3134885545772802E-2</v>
      </c>
      <c r="F103" s="1">
        <v>46224.77154869213</v>
      </c>
      <c r="G103" t="s">
        <v>593</v>
      </c>
      <c r="H103" s="1">
        <v>46224.771548645833</v>
      </c>
      <c r="I103" t="s">
        <v>593</v>
      </c>
      <c r="J103" t="s">
        <v>4413</v>
      </c>
    </row>
    <row r="104" spans="1:10" x14ac:dyDescent="0.35">
      <c r="A104" t="s">
        <v>69</v>
      </c>
      <c r="B104" t="s">
        <v>591</v>
      </c>
      <c r="C104" t="s">
        <v>592</v>
      </c>
      <c r="D104" s="1">
        <v>46224</v>
      </c>
      <c r="E104">
        <v>5.3149872900028199E-2</v>
      </c>
      <c r="F104" s="1">
        <v>46224.771540821763</v>
      </c>
      <c r="G104" t="s">
        <v>593</v>
      </c>
      <c r="H104" s="1">
        <v>46224.771540891204</v>
      </c>
      <c r="I104" t="s">
        <v>593</v>
      </c>
      <c r="J104" t="s">
        <v>4414</v>
      </c>
    </row>
    <row r="105" spans="1:10" x14ac:dyDescent="0.35">
      <c r="A105" t="s">
        <v>138</v>
      </c>
      <c r="B105" t="s">
        <v>591</v>
      </c>
      <c r="C105" t="s">
        <v>592</v>
      </c>
      <c r="D105" s="1">
        <v>46224</v>
      </c>
      <c r="E105">
        <v>5.3139893743238499E-2</v>
      </c>
      <c r="F105" s="1">
        <v>46224.771548842589</v>
      </c>
      <c r="G105" t="s">
        <v>593</v>
      </c>
      <c r="H105" s="1">
        <v>46224.771548807868</v>
      </c>
      <c r="I105" t="s">
        <v>593</v>
      </c>
      <c r="J105" t="s">
        <v>4415</v>
      </c>
    </row>
    <row r="106" spans="1:10" x14ac:dyDescent="0.35">
      <c r="A106" t="s">
        <v>89</v>
      </c>
      <c r="B106" t="s">
        <v>591</v>
      </c>
      <c r="C106" t="s">
        <v>592</v>
      </c>
      <c r="D106" s="1">
        <v>46224</v>
      </c>
      <c r="E106">
        <v>5.3199892531823799E-2</v>
      </c>
      <c r="F106" s="1">
        <v>46224.77154386574</v>
      </c>
      <c r="G106" t="s">
        <v>593</v>
      </c>
      <c r="H106" s="1">
        <v>46224.771543946757</v>
      </c>
      <c r="I106" t="s">
        <v>593</v>
      </c>
      <c r="J106" t="s">
        <v>4416</v>
      </c>
    </row>
    <row r="107" spans="1:10" x14ac:dyDescent="0.35">
      <c r="A107" t="s">
        <v>120</v>
      </c>
      <c r="B107" t="s">
        <v>591</v>
      </c>
      <c r="C107" t="s">
        <v>592</v>
      </c>
      <c r="D107" s="1">
        <v>46224</v>
      </c>
      <c r="E107">
        <v>5.32049019075862E-2</v>
      </c>
      <c r="F107" s="1">
        <v>46224.771534953703</v>
      </c>
      <c r="G107" t="s">
        <v>593</v>
      </c>
      <c r="H107" s="1">
        <v>46224.77153510417</v>
      </c>
      <c r="I107" t="s">
        <v>593</v>
      </c>
      <c r="J107" t="s">
        <v>4417</v>
      </c>
    </row>
    <row r="108" spans="1:10" x14ac:dyDescent="0.35">
      <c r="A108" t="s">
        <v>375</v>
      </c>
      <c r="B108" t="s">
        <v>591</v>
      </c>
      <c r="C108" t="s">
        <v>592</v>
      </c>
      <c r="D108" s="1">
        <v>46224</v>
      </c>
      <c r="E108">
        <v>5.3219890091237697E-2</v>
      </c>
      <c r="F108" s="1">
        <v>46224.771553275466</v>
      </c>
      <c r="G108" t="s">
        <v>593</v>
      </c>
      <c r="H108" s="1">
        <v>46224.771553206017</v>
      </c>
      <c r="I108" t="s">
        <v>593</v>
      </c>
      <c r="J108" t="s">
        <v>4418</v>
      </c>
    </row>
    <row r="109" spans="1:10" x14ac:dyDescent="0.35">
      <c r="A109" t="s">
        <v>24</v>
      </c>
      <c r="B109" t="s">
        <v>591</v>
      </c>
      <c r="C109" t="s">
        <v>592</v>
      </c>
      <c r="D109" s="1">
        <v>46224</v>
      </c>
      <c r="E109">
        <v>5.3209888878534499E-2</v>
      </c>
      <c r="F109" s="1">
        <v>46224.771548993056</v>
      </c>
      <c r="G109" t="s">
        <v>593</v>
      </c>
      <c r="H109" s="1">
        <v>46224.771548993056</v>
      </c>
      <c r="I109" t="s">
        <v>593</v>
      </c>
      <c r="J109" t="s">
        <v>4419</v>
      </c>
    </row>
    <row r="110" spans="1:10" x14ac:dyDescent="0.35">
      <c r="A110" t="s">
        <v>25</v>
      </c>
      <c r="B110" t="s">
        <v>591</v>
      </c>
      <c r="C110" t="s">
        <v>592</v>
      </c>
      <c r="D110" s="1">
        <v>46224</v>
      </c>
      <c r="E110">
        <v>5.3199928099242698E-2</v>
      </c>
      <c r="F110" s="1">
        <v>46224.771535150459</v>
      </c>
      <c r="G110" t="s">
        <v>593</v>
      </c>
      <c r="H110" s="1">
        <v>46224.771535266205</v>
      </c>
      <c r="I110" t="s">
        <v>593</v>
      </c>
      <c r="J110" t="s">
        <v>4420</v>
      </c>
    </row>
    <row r="111" spans="1:10" x14ac:dyDescent="0.35">
      <c r="A111" t="s">
        <v>26</v>
      </c>
      <c r="B111" t="s">
        <v>591</v>
      </c>
      <c r="C111" t="s">
        <v>592</v>
      </c>
      <c r="D111" s="1">
        <v>46224</v>
      </c>
      <c r="E111">
        <v>5.3199908018597898E-2</v>
      </c>
      <c r="F111" s="1">
        <v>46224.771553437502</v>
      </c>
      <c r="G111" t="s">
        <v>593</v>
      </c>
      <c r="H111" s="1">
        <v>46224.771553391205</v>
      </c>
      <c r="I111" t="s">
        <v>593</v>
      </c>
      <c r="J111" t="s">
        <v>4421</v>
      </c>
    </row>
    <row r="112" spans="1:10" x14ac:dyDescent="0.35">
      <c r="A112" t="s">
        <v>90</v>
      </c>
      <c r="B112" t="s">
        <v>591</v>
      </c>
      <c r="C112" t="s">
        <v>592</v>
      </c>
      <c r="D112" s="1">
        <v>46224</v>
      </c>
      <c r="E112">
        <v>5.3174917068804402E-2</v>
      </c>
      <c r="F112" s="1">
        <v>46224.771535300926</v>
      </c>
      <c r="G112" t="s">
        <v>593</v>
      </c>
      <c r="H112" s="1">
        <v>46224.771535451386</v>
      </c>
      <c r="I112" t="s">
        <v>593</v>
      </c>
      <c r="J112" t="s">
        <v>4422</v>
      </c>
    </row>
    <row r="113" spans="1:10" x14ac:dyDescent="0.35">
      <c r="A113" t="s">
        <v>27</v>
      </c>
      <c r="B113" t="s">
        <v>591</v>
      </c>
      <c r="C113" t="s">
        <v>592</v>
      </c>
      <c r="D113" s="1">
        <v>46224</v>
      </c>
      <c r="E113">
        <v>5.3204916192645002E-2</v>
      </c>
      <c r="F113" s="1">
        <v>46224.771535532411</v>
      </c>
      <c r="G113" t="s">
        <v>593</v>
      </c>
      <c r="H113" s="1">
        <v>46224.771535648149</v>
      </c>
      <c r="I113" t="s">
        <v>593</v>
      </c>
      <c r="J113" t="s">
        <v>4423</v>
      </c>
    </row>
    <row r="114" spans="1:10" x14ac:dyDescent="0.35">
      <c r="A114" t="s">
        <v>28</v>
      </c>
      <c r="B114" t="s">
        <v>591</v>
      </c>
      <c r="C114" t="s">
        <v>592</v>
      </c>
      <c r="D114" s="1">
        <v>46224</v>
      </c>
      <c r="E114">
        <v>5.31246067045551E-2</v>
      </c>
      <c r="F114" s="1">
        <v>46224.771544016206</v>
      </c>
      <c r="G114" t="s">
        <v>593</v>
      </c>
      <c r="H114" s="1">
        <v>46224.771544131945</v>
      </c>
      <c r="I114" t="s">
        <v>593</v>
      </c>
      <c r="J114" t="s">
        <v>4424</v>
      </c>
    </row>
    <row r="115" spans="1:10" x14ac:dyDescent="0.35">
      <c r="A115" t="s">
        <v>121</v>
      </c>
      <c r="B115" t="s">
        <v>591</v>
      </c>
      <c r="C115" t="s">
        <v>592</v>
      </c>
      <c r="D115" s="1">
        <v>46224</v>
      </c>
      <c r="E115">
        <v>5.2944914428074301E-2</v>
      </c>
      <c r="F115" s="1">
        <v>46224.77153568287</v>
      </c>
      <c r="G115" t="s">
        <v>593</v>
      </c>
      <c r="H115" s="1">
        <v>46224.771535844906</v>
      </c>
      <c r="I115" t="s">
        <v>593</v>
      </c>
      <c r="J115" t="s">
        <v>4425</v>
      </c>
    </row>
    <row r="116" spans="1:10" x14ac:dyDescent="0.35">
      <c r="A116" t="s">
        <v>139</v>
      </c>
      <c r="B116" t="s">
        <v>591</v>
      </c>
      <c r="C116" t="s">
        <v>592</v>
      </c>
      <c r="D116" s="1">
        <v>46224</v>
      </c>
      <c r="E116">
        <v>5.3004913547003402E-2</v>
      </c>
      <c r="F116" s="1">
        <v>46224.771540972222</v>
      </c>
      <c r="G116" t="s">
        <v>593</v>
      </c>
      <c r="H116" s="1">
        <v>46224.771541087961</v>
      </c>
      <c r="I116" t="s">
        <v>593</v>
      </c>
      <c r="J116" t="s">
        <v>4426</v>
      </c>
    </row>
    <row r="117" spans="1:10" x14ac:dyDescent="0.35">
      <c r="A117" t="s">
        <v>129</v>
      </c>
      <c r="B117" t="s">
        <v>591</v>
      </c>
      <c r="C117" t="s">
        <v>592</v>
      </c>
      <c r="D117" s="1">
        <v>46224</v>
      </c>
      <c r="E117">
        <v>5.3074912674826003E-2</v>
      </c>
      <c r="F117" s="1">
        <v>46224.771553587962</v>
      </c>
      <c r="G117" t="s">
        <v>593</v>
      </c>
      <c r="H117" s="1">
        <v>46224.771553587962</v>
      </c>
      <c r="I117" t="s">
        <v>593</v>
      </c>
      <c r="J117" t="s">
        <v>4427</v>
      </c>
    </row>
    <row r="118" spans="1:10" x14ac:dyDescent="0.35">
      <c r="A118" t="s">
        <v>91</v>
      </c>
      <c r="B118" t="s">
        <v>591</v>
      </c>
      <c r="C118" t="s">
        <v>592</v>
      </c>
      <c r="D118" s="1">
        <v>46224</v>
      </c>
      <c r="E118">
        <v>5.3109823210562797E-2</v>
      </c>
      <c r="F118" s="1">
        <v>46224.771541122682</v>
      </c>
      <c r="G118" t="s">
        <v>593</v>
      </c>
      <c r="H118" s="1">
        <v>46224.771541284725</v>
      </c>
      <c r="I118" t="s">
        <v>593</v>
      </c>
      <c r="J118" t="s">
        <v>4428</v>
      </c>
    </row>
    <row r="119" spans="1:10" x14ac:dyDescent="0.35">
      <c r="A119" t="s">
        <v>49</v>
      </c>
      <c r="B119" t="s">
        <v>591</v>
      </c>
      <c r="C119" t="s">
        <v>592</v>
      </c>
      <c r="D119" s="1">
        <v>46224</v>
      </c>
      <c r="E119">
        <v>5.3100116379285203E-2</v>
      </c>
      <c r="F119" s="1">
        <v>46224.771541284725</v>
      </c>
      <c r="G119" t="s">
        <v>593</v>
      </c>
      <c r="H119" s="1">
        <v>46224.771541284725</v>
      </c>
      <c r="I119" t="s">
        <v>593</v>
      </c>
      <c r="J119" t="s">
        <v>4429</v>
      </c>
    </row>
    <row r="120" spans="1:10" x14ac:dyDescent="0.35">
      <c r="A120" t="s">
        <v>376</v>
      </c>
      <c r="B120" t="s">
        <v>591</v>
      </c>
      <c r="C120" t="s">
        <v>592</v>
      </c>
      <c r="D120" s="1">
        <v>46224</v>
      </c>
      <c r="E120">
        <v>5.3064910035915798E-2</v>
      </c>
      <c r="F120" s="1">
        <v>46224.771544178242</v>
      </c>
      <c r="G120" t="s">
        <v>593</v>
      </c>
      <c r="H120" s="1">
        <v>46224.771544293981</v>
      </c>
      <c r="I120" t="s">
        <v>593</v>
      </c>
      <c r="J120" t="s">
        <v>4430</v>
      </c>
    </row>
    <row r="121" spans="1:10" x14ac:dyDescent="0.35">
      <c r="A121" t="s">
        <v>29</v>
      </c>
      <c r="B121" t="s">
        <v>591</v>
      </c>
      <c r="C121" t="s">
        <v>592</v>
      </c>
      <c r="D121" s="1">
        <v>46224</v>
      </c>
      <c r="E121">
        <v>5.3034909148353501E-2</v>
      </c>
      <c r="F121" s="1">
        <v>46224.771549155092</v>
      </c>
      <c r="G121" t="s">
        <v>593</v>
      </c>
      <c r="H121" s="1">
        <v>46224.771549189813</v>
      </c>
      <c r="I121" t="s">
        <v>593</v>
      </c>
      <c r="J121" t="s">
        <v>4431</v>
      </c>
    </row>
    <row r="122" spans="1:10" x14ac:dyDescent="0.35">
      <c r="A122" t="s">
        <v>50</v>
      </c>
      <c r="B122" t="s">
        <v>591</v>
      </c>
      <c r="C122" t="s">
        <v>592</v>
      </c>
      <c r="D122" s="1">
        <v>46224</v>
      </c>
      <c r="E122">
        <v>5.2989918743361598E-2</v>
      </c>
      <c r="F122" s="1">
        <v>46224.771549305558</v>
      </c>
      <c r="G122" t="s">
        <v>593</v>
      </c>
      <c r="H122" s="1">
        <v>46224.771549386576</v>
      </c>
      <c r="I122" t="s">
        <v>593</v>
      </c>
      <c r="J122" t="s">
        <v>4432</v>
      </c>
    </row>
    <row r="123" spans="1:10" x14ac:dyDescent="0.35">
      <c r="A123" t="s">
        <v>92</v>
      </c>
      <c r="B123" t="s">
        <v>591</v>
      </c>
      <c r="C123" t="s">
        <v>592</v>
      </c>
      <c r="D123" s="1">
        <v>46224</v>
      </c>
      <c r="E123">
        <v>5.2964989970300601E-2</v>
      </c>
      <c r="F123" s="1">
        <v>46224.771544328702</v>
      </c>
      <c r="G123" t="s">
        <v>593</v>
      </c>
      <c r="H123" s="1">
        <v>46224.771544479168</v>
      </c>
      <c r="I123" t="s">
        <v>593</v>
      </c>
      <c r="J123" t="s">
        <v>4433</v>
      </c>
    </row>
    <row r="124" spans="1:10" x14ac:dyDescent="0.35">
      <c r="A124" t="s">
        <v>70</v>
      </c>
      <c r="B124" t="s">
        <v>591</v>
      </c>
      <c r="C124" t="s">
        <v>592</v>
      </c>
      <c r="D124" s="1">
        <v>46224</v>
      </c>
      <c r="E124">
        <v>5.2909917183986799E-2</v>
      </c>
      <c r="F124" s="1">
        <v>46224.771535879627</v>
      </c>
      <c r="G124" t="s">
        <v>593</v>
      </c>
      <c r="H124" s="1">
        <v>46224.771535995373</v>
      </c>
      <c r="I124" t="s">
        <v>593</v>
      </c>
      <c r="J124" t="s">
        <v>4434</v>
      </c>
    </row>
    <row r="125" spans="1:10" x14ac:dyDescent="0.35">
      <c r="A125" t="s">
        <v>51</v>
      </c>
      <c r="B125" t="s">
        <v>591</v>
      </c>
      <c r="C125" t="s">
        <v>592</v>
      </c>
      <c r="D125" s="1">
        <v>46224</v>
      </c>
      <c r="E125">
        <v>5.2879916400933598E-2</v>
      </c>
      <c r="F125" s="1">
        <v>46224.771550694444</v>
      </c>
      <c r="G125" t="s">
        <v>593</v>
      </c>
      <c r="H125" s="1">
        <v>46224.771550659723</v>
      </c>
      <c r="I125" t="s">
        <v>593</v>
      </c>
      <c r="J125" t="s">
        <v>4435</v>
      </c>
    </row>
    <row r="126" spans="1:10" x14ac:dyDescent="0.35">
      <c r="A126" t="s">
        <v>71</v>
      </c>
      <c r="B126" t="s">
        <v>591</v>
      </c>
      <c r="C126" t="s">
        <v>592</v>
      </c>
      <c r="D126" s="1">
        <v>46224</v>
      </c>
      <c r="E126">
        <v>5.2764925835241901E-2</v>
      </c>
      <c r="F126" s="1">
        <v>46224.77155528935</v>
      </c>
      <c r="G126" t="s">
        <v>593</v>
      </c>
      <c r="H126" s="1">
        <v>46224.771555208332</v>
      </c>
      <c r="I126" t="s">
        <v>593</v>
      </c>
      <c r="J126" t="s">
        <v>4436</v>
      </c>
    </row>
    <row r="127" spans="1:10" x14ac:dyDescent="0.35">
      <c r="A127" t="s">
        <v>30</v>
      </c>
      <c r="B127" t="s">
        <v>591</v>
      </c>
      <c r="C127" t="s">
        <v>592</v>
      </c>
      <c r="D127" s="1">
        <v>46224</v>
      </c>
      <c r="E127">
        <v>5.2724903857916401E-2</v>
      </c>
      <c r="F127" s="1">
        <v>46224.771549421297</v>
      </c>
      <c r="G127" t="s">
        <v>593</v>
      </c>
      <c r="H127" s="1">
        <v>46224.771549537036</v>
      </c>
      <c r="I127" t="s">
        <v>593</v>
      </c>
      <c r="J127" t="s">
        <v>4437</v>
      </c>
    </row>
    <row r="128" spans="1:10" x14ac:dyDescent="0.35">
      <c r="A128" t="s">
        <v>122</v>
      </c>
      <c r="B128" t="s">
        <v>591</v>
      </c>
      <c r="C128" t="s">
        <v>592</v>
      </c>
      <c r="D128" s="1">
        <v>46224</v>
      </c>
      <c r="E128">
        <v>3.4884061776158097E-2</v>
      </c>
      <c r="F128" s="1">
        <v>46224.771541435184</v>
      </c>
      <c r="G128" t="s">
        <v>593</v>
      </c>
      <c r="H128" s="1">
        <v>46224.771541469905</v>
      </c>
      <c r="I128" t="s">
        <v>593</v>
      </c>
      <c r="J128" t="s">
        <v>4438</v>
      </c>
    </row>
    <row r="129" spans="1:10" x14ac:dyDescent="0.35">
      <c r="A129" t="s">
        <v>31</v>
      </c>
      <c r="B129" t="s">
        <v>591</v>
      </c>
      <c r="C129" t="s">
        <v>592</v>
      </c>
      <c r="D129" s="1">
        <v>46224</v>
      </c>
      <c r="E129">
        <v>3.8326971471536797E-2</v>
      </c>
      <c r="F129" s="1">
        <v>46224.771549571757</v>
      </c>
      <c r="G129" t="s">
        <v>593</v>
      </c>
      <c r="H129" s="1">
        <v>46224.771549537036</v>
      </c>
      <c r="I129" t="s">
        <v>593</v>
      </c>
      <c r="J129" t="s">
        <v>4439</v>
      </c>
    </row>
    <row r="130" spans="1:10" x14ac:dyDescent="0.35">
      <c r="A130" t="s">
        <v>93</v>
      </c>
      <c r="B130" t="s">
        <v>591</v>
      </c>
      <c r="C130" t="s">
        <v>592</v>
      </c>
      <c r="D130" s="1">
        <v>46224</v>
      </c>
      <c r="E130">
        <v>3.8068625881732897E-2</v>
      </c>
      <c r="F130" s="1">
        <v>46224.771536111111</v>
      </c>
      <c r="G130" t="s">
        <v>593</v>
      </c>
      <c r="H130" s="1">
        <v>46224.771536192129</v>
      </c>
      <c r="I130" t="s">
        <v>593</v>
      </c>
      <c r="J130" t="s">
        <v>4440</v>
      </c>
    </row>
    <row r="131" spans="1:10" x14ac:dyDescent="0.35">
      <c r="A131" t="s">
        <v>72</v>
      </c>
      <c r="B131" t="s">
        <v>591</v>
      </c>
      <c r="C131" t="s">
        <v>592</v>
      </c>
      <c r="D131" s="1">
        <v>46224</v>
      </c>
      <c r="E131">
        <v>4.1080443230928299E-2</v>
      </c>
      <c r="F131" s="1">
        <v>46224.77154976852</v>
      </c>
      <c r="G131" t="s">
        <v>593</v>
      </c>
      <c r="H131" s="1">
        <v>46224.771549733799</v>
      </c>
      <c r="I131" t="s">
        <v>593</v>
      </c>
      <c r="J131" t="s">
        <v>4441</v>
      </c>
    </row>
    <row r="132" spans="1:10" x14ac:dyDescent="0.35">
      <c r="A132" t="s">
        <v>32</v>
      </c>
      <c r="B132" t="s">
        <v>591</v>
      </c>
      <c r="C132" t="s">
        <v>592</v>
      </c>
      <c r="D132" s="1">
        <v>46224</v>
      </c>
      <c r="E132">
        <v>4.16613598827495E-2</v>
      </c>
      <c r="F132" s="1">
        <v>46224.771541585651</v>
      </c>
      <c r="G132" t="s">
        <v>593</v>
      </c>
      <c r="H132" s="1">
        <v>46224.771541666669</v>
      </c>
      <c r="I132" t="s">
        <v>593</v>
      </c>
      <c r="J132" t="s">
        <v>4442</v>
      </c>
    </row>
    <row r="133" spans="1:10" x14ac:dyDescent="0.35">
      <c r="A133" t="s">
        <v>123</v>
      </c>
      <c r="B133" t="s">
        <v>591</v>
      </c>
      <c r="C133" t="s">
        <v>592</v>
      </c>
      <c r="D133" s="1">
        <v>46224</v>
      </c>
      <c r="E133">
        <v>2.3481995994424899E-2</v>
      </c>
      <c r="F133" s="1">
        <v>46224.771544444447</v>
      </c>
      <c r="G133" t="s">
        <v>593</v>
      </c>
      <c r="H133" s="1">
        <v>46224.771544479168</v>
      </c>
      <c r="I133" t="s">
        <v>593</v>
      </c>
      <c r="J133" t="s">
        <v>4443</v>
      </c>
    </row>
    <row r="134" spans="1:10" x14ac:dyDescent="0.35">
      <c r="A134" t="s">
        <v>94</v>
      </c>
      <c r="B134" t="s">
        <v>591</v>
      </c>
      <c r="C134" t="s">
        <v>592</v>
      </c>
      <c r="D134" s="1">
        <v>46224</v>
      </c>
      <c r="E134">
        <v>4.2614136277378901E-2</v>
      </c>
      <c r="F134" s="1">
        <v>46224.771544641204</v>
      </c>
      <c r="G134" t="s">
        <v>593</v>
      </c>
      <c r="H134" s="1">
        <v>46224.771544675925</v>
      </c>
      <c r="I134" t="s">
        <v>593</v>
      </c>
      <c r="J134" t="s">
        <v>4444</v>
      </c>
    </row>
    <row r="135" spans="1:10" x14ac:dyDescent="0.35">
      <c r="A135" t="s">
        <v>95</v>
      </c>
      <c r="B135" t="s">
        <v>591</v>
      </c>
      <c r="C135" t="s">
        <v>592</v>
      </c>
      <c r="D135" s="1">
        <v>46224</v>
      </c>
      <c r="E135">
        <v>4.2591647534603101E-2</v>
      </c>
      <c r="F135" s="1">
        <v>46224.771554050923</v>
      </c>
      <c r="G135" t="s">
        <v>593</v>
      </c>
      <c r="H135" s="1">
        <v>46224.771554131941</v>
      </c>
      <c r="I135" t="s">
        <v>593</v>
      </c>
      <c r="J135" t="s">
        <v>4445</v>
      </c>
    </row>
    <row r="136" spans="1:10" x14ac:dyDescent="0.35">
      <c r="A136" t="s">
        <v>73</v>
      </c>
      <c r="B136" t="s">
        <v>591</v>
      </c>
      <c r="C136" t="s">
        <v>592</v>
      </c>
      <c r="D136" s="1">
        <v>46224</v>
      </c>
      <c r="E136">
        <v>4.1628648452021202E-2</v>
      </c>
      <c r="F136" s="1">
        <v>46224.771544791663</v>
      </c>
      <c r="G136" t="s">
        <v>593</v>
      </c>
      <c r="H136" s="1">
        <v>46224.771544826392</v>
      </c>
      <c r="I136" t="s">
        <v>593</v>
      </c>
      <c r="J136" t="s">
        <v>4446</v>
      </c>
    </row>
    <row r="137" spans="1:10" x14ac:dyDescent="0.35">
      <c r="A137" t="s">
        <v>74</v>
      </c>
      <c r="B137" t="s">
        <v>591</v>
      </c>
      <c r="C137" t="s">
        <v>592</v>
      </c>
      <c r="D137" s="1">
        <v>46224</v>
      </c>
      <c r="E137">
        <v>2.1573006505539699E-2</v>
      </c>
      <c r="F137" s="1">
        <v>46224.771541747687</v>
      </c>
      <c r="G137" t="s">
        <v>593</v>
      </c>
      <c r="H137" s="1">
        <v>46224.771541863425</v>
      </c>
      <c r="I137" t="s">
        <v>593</v>
      </c>
      <c r="J137" t="s">
        <v>4447</v>
      </c>
    </row>
    <row r="138" spans="1:10" x14ac:dyDescent="0.35">
      <c r="A138" t="s">
        <v>52</v>
      </c>
      <c r="B138" t="s">
        <v>591</v>
      </c>
      <c r="C138" t="s">
        <v>592</v>
      </c>
      <c r="D138" s="1">
        <v>46224</v>
      </c>
      <c r="E138">
        <v>4.2825256927403403E-2</v>
      </c>
      <c r="F138" s="1">
        <v>46224.771541898146</v>
      </c>
      <c r="G138" t="s">
        <v>593</v>
      </c>
      <c r="H138" s="1">
        <v>46224.771542048613</v>
      </c>
      <c r="I138" t="s">
        <v>593</v>
      </c>
      <c r="J138" t="s">
        <v>4448</v>
      </c>
    </row>
    <row r="139" spans="1:10" x14ac:dyDescent="0.35">
      <c r="A139" t="s">
        <v>53</v>
      </c>
      <c r="B139" t="s">
        <v>591</v>
      </c>
      <c r="C139" t="s">
        <v>592</v>
      </c>
      <c r="D139" s="1">
        <v>46224</v>
      </c>
      <c r="E139">
        <v>4.3219940882360801E-2</v>
      </c>
      <c r="F139" s="1">
        <v>46224.771542048613</v>
      </c>
      <c r="G139" t="s">
        <v>593</v>
      </c>
      <c r="H139" s="1">
        <v>46224.771542210648</v>
      </c>
      <c r="I139" t="s">
        <v>593</v>
      </c>
      <c r="J139" t="s">
        <v>4449</v>
      </c>
    </row>
    <row r="140" spans="1:10" x14ac:dyDescent="0.35">
      <c r="A140" t="s">
        <v>75</v>
      </c>
      <c r="B140" t="s">
        <v>591</v>
      </c>
      <c r="C140" t="s">
        <v>592</v>
      </c>
      <c r="D140" s="1">
        <v>46224</v>
      </c>
      <c r="E140">
        <v>4.3307739050199398E-2</v>
      </c>
      <c r="F140" s="1">
        <v>46224.771542210648</v>
      </c>
      <c r="G140" t="s">
        <v>593</v>
      </c>
      <c r="H140" s="1">
        <v>46224.771542210648</v>
      </c>
      <c r="I140" t="s">
        <v>593</v>
      </c>
      <c r="J140" t="s">
        <v>4450</v>
      </c>
    </row>
    <row r="141" spans="1:10" x14ac:dyDescent="0.35">
      <c r="A141" t="s">
        <v>76</v>
      </c>
      <c r="B141" t="s">
        <v>591</v>
      </c>
      <c r="C141" t="s">
        <v>592</v>
      </c>
      <c r="D141" s="1">
        <v>46224</v>
      </c>
      <c r="E141">
        <v>2.09829560225776E-2</v>
      </c>
      <c r="F141" s="1">
        <v>46224.771536261571</v>
      </c>
      <c r="G141" t="s">
        <v>593</v>
      </c>
      <c r="H141" s="1">
        <v>46224.771536377317</v>
      </c>
      <c r="I141" t="s">
        <v>593</v>
      </c>
      <c r="J141" t="s">
        <v>4451</v>
      </c>
    </row>
    <row r="142" spans="1:10" x14ac:dyDescent="0.35">
      <c r="A142" t="s">
        <v>140</v>
      </c>
      <c r="B142" t="s">
        <v>591</v>
      </c>
      <c r="C142" t="s">
        <v>592</v>
      </c>
      <c r="D142" s="1">
        <v>46224</v>
      </c>
      <c r="E142">
        <v>4.5219544414949901E-2</v>
      </c>
      <c r="F142" s="1">
        <v>46224.771536458335</v>
      </c>
      <c r="G142" t="s">
        <v>593</v>
      </c>
      <c r="H142" s="1">
        <v>46224.771536539352</v>
      </c>
      <c r="I142" t="s">
        <v>593</v>
      </c>
      <c r="J142" t="s">
        <v>4452</v>
      </c>
    </row>
    <row r="143" spans="1:10" x14ac:dyDescent="0.35">
      <c r="A143" t="s">
        <v>54</v>
      </c>
      <c r="B143" t="s">
        <v>591</v>
      </c>
      <c r="C143" t="s">
        <v>592</v>
      </c>
      <c r="D143" s="1">
        <v>46224</v>
      </c>
      <c r="E143">
        <v>3.2147462711402702E-2</v>
      </c>
      <c r="F143" s="1">
        <v>46224.77155420139</v>
      </c>
      <c r="G143" t="s">
        <v>593</v>
      </c>
      <c r="H143" s="1">
        <v>46224.771554317129</v>
      </c>
      <c r="I143" t="s">
        <v>593</v>
      </c>
      <c r="J143" t="s">
        <v>4453</v>
      </c>
    </row>
    <row r="144" spans="1:10" x14ac:dyDescent="0.35">
      <c r="A144" t="s">
        <v>96</v>
      </c>
      <c r="B144" t="s">
        <v>591</v>
      </c>
      <c r="C144" t="s">
        <v>592</v>
      </c>
      <c r="D144" s="1">
        <v>46224</v>
      </c>
      <c r="E144">
        <v>4.6017373862354403E-2</v>
      </c>
      <c r="F144" s="1">
        <v>46224.77154494213</v>
      </c>
      <c r="G144" t="s">
        <v>593</v>
      </c>
      <c r="H144" s="1">
        <v>46224.771545023148</v>
      </c>
      <c r="I144" t="s">
        <v>593</v>
      </c>
      <c r="J144" t="s">
        <v>4454</v>
      </c>
    </row>
    <row r="145" spans="1:10" x14ac:dyDescent="0.35">
      <c r="A145" t="s">
        <v>77</v>
      </c>
      <c r="B145" t="s">
        <v>591</v>
      </c>
      <c r="C145" t="s">
        <v>592</v>
      </c>
      <c r="D145" s="1">
        <v>46224</v>
      </c>
      <c r="E145">
        <v>4.6014388042317701E-2</v>
      </c>
      <c r="F145" s="1">
        <v>46224.771542361108</v>
      </c>
      <c r="G145" t="s">
        <v>593</v>
      </c>
      <c r="H145" s="1">
        <v>46224.771542395836</v>
      </c>
      <c r="I145" t="s">
        <v>593</v>
      </c>
      <c r="J145" t="s">
        <v>4455</v>
      </c>
    </row>
    <row r="146" spans="1:10" x14ac:dyDescent="0.35">
      <c r="A146" t="s">
        <v>130</v>
      </c>
      <c r="B146" t="s">
        <v>591</v>
      </c>
      <c r="C146" t="s">
        <v>592</v>
      </c>
      <c r="D146" s="1">
        <v>46224</v>
      </c>
      <c r="E146">
        <v>2.3681059209705799E-2</v>
      </c>
      <c r="F146" s="1">
        <v>46224.771555439816</v>
      </c>
      <c r="G146" t="s">
        <v>593</v>
      </c>
      <c r="H146" s="1">
        <v>46224.771555405096</v>
      </c>
      <c r="I146" t="s">
        <v>593</v>
      </c>
      <c r="J146" t="s">
        <v>4456</v>
      </c>
    </row>
    <row r="147" spans="1:10" x14ac:dyDescent="0.35">
      <c r="A147" t="s">
        <v>33</v>
      </c>
      <c r="B147" t="s">
        <v>591</v>
      </c>
      <c r="C147" t="s">
        <v>592</v>
      </c>
      <c r="D147" s="1">
        <v>46224</v>
      </c>
      <c r="E147">
        <v>4.6530953421083598E-2</v>
      </c>
      <c r="F147" s="1">
        <v>46224.771545104166</v>
      </c>
      <c r="G147" t="s">
        <v>593</v>
      </c>
      <c r="H147" s="1">
        <v>46224.771545219905</v>
      </c>
      <c r="I147" t="s">
        <v>593</v>
      </c>
      <c r="J147" t="s">
        <v>4457</v>
      </c>
    </row>
    <row r="148" spans="1:10" x14ac:dyDescent="0.35">
      <c r="A148" t="s">
        <v>131</v>
      </c>
      <c r="B148" t="s">
        <v>591</v>
      </c>
      <c r="C148" t="s">
        <v>592</v>
      </c>
      <c r="D148" s="1">
        <v>46224</v>
      </c>
      <c r="E148">
        <v>4.6816893859127899E-2</v>
      </c>
      <c r="F148" s="1">
        <v>46224.771536655091</v>
      </c>
      <c r="G148" t="s">
        <v>593</v>
      </c>
      <c r="H148" s="1">
        <v>46224.77153672454</v>
      </c>
      <c r="I148" t="s">
        <v>593</v>
      </c>
      <c r="J148" t="s">
        <v>4458</v>
      </c>
    </row>
    <row r="149" spans="1:10" x14ac:dyDescent="0.35">
      <c r="A149" t="s">
        <v>55</v>
      </c>
      <c r="B149" t="s">
        <v>591</v>
      </c>
      <c r="C149" t="s">
        <v>592</v>
      </c>
      <c r="D149" s="1">
        <v>46224</v>
      </c>
      <c r="E149">
        <v>2.1423746842286501E-2</v>
      </c>
      <c r="F149" s="1">
        <v>46224.771554363426</v>
      </c>
      <c r="G149" t="s">
        <v>593</v>
      </c>
      <c r="H149" s="1">
        <v>46224.771554479164</v>
      </c>
      <c r="I149" t="s">
        <v>593</v>
      </c>
      <c r="J149" t="s">
        <v>4459</v>
      </c>
    </row>
    <row r="150" spans="1:10" x14ac:dyDescent="0.35">
      <c r="A150" t="s">
        <v>124</v>
      </c>
      <c r="B150" t="s">
        <v>591</v>
      </c>
      <c r="C150" t="s">
        <v>592</v>
      </c>
      <c r="D150" s="1">
        <v>46224</v>
      </c>
      <c r="E150">
        <v>4.7451818011798E-2</v>
      </c>
      <c r="F150" s="1">
        <v>46224.771542511575</v>
      </c>
      <c r="G150" t="s">
        <v>593</v>
      </c>
      <c r="H150" s="1">
        <v>46224.77154267361</v>
      </c>
      <c r="I150" t="s">
        <v>593</v>
      </c>
      <c r="J150" t="s">
        <v>4460</v>
      </c>
    </row>
    <row r="151" spans="1:10" x14ac:dyDescent="0.35">
      <c r="A151" t="s">
        <v>132</v>
      </c>
      <c r="B151" t="s">
        <v>591</v>
      </c>
      <c r="C151" t="s">
        <v>592</v>
      </c>
      <c r="D151" s="1">
        <v>46224</v>
      </c>
      <c r="E151">
        <v>4.7967685838699002E-2</v>
      </c>
      <c r="F151" s="1">
        <v>46224.771545254633</v>
      </c>
      <c r="G151" t="s">
        <v>593</v>
      </c>
      <c r="H151" s="1">
        <v>46224.771545370371</v>
      </c>
      <c r="I151" t="s">
        <v>593</v>
      </c>
      <c r="J151" t="s">
        <v>4461</v>
      </c>
    </row>
    <row r="152" spans="1:10" x14ac:dyDescent="0.35">
      <c r="A152" t="s">
        <v>56</v>
      </c>
      <c r="B152" t="s">
        <v>591</v>
      </c>
      <c r="C152" t="s">
        <v>592</v>
      </c>
      <c r="D152" s="1">
        <v>46224</v>
      </c>
      <c r="E152">
        <v>4.8331766083501503E-2</v>
      </c>
      <c r="F152" s="1">
        <v>46224.771545405092</v>
      </c>
      <c r="G152" t="s">
        <v>593</v>
      </c>
      <c r="H152" s="1">
        <v>46224.771545567128</v>
      </c>
      <c r="I152" t="s">
        <v>593</v>
      </c>
      <c r="J152" t="s">
        <v>4462</v>
      </c>
    </row>
    <row r="153" spans="1:10" x14ac:dyDescent="0.35">
      <c r="A153" t="s">
        <v>78</v>
      </c>
      <c r="B153" t="s">
        <v>591</v>
      </c>
      <c r="C153" t="s">
        <v>592</v>
      </c>
      <c r="D153" s="1">
        <v>46224</v>
      </c>
      <c r="E153">
        <v>4.8565341488542101E-2</v>
      </c>
      <c r="F153" s="1">
        <v>46224.771553738428</v>
      </c>
      <c r="G153" t="s">
        <v>593</v>
      </c>
      <c r="H153" s="1">
        <v>46224.771553784725</v>
      </c>
      <c r="I153" t="s">
        <v>593</v>
      </c>
      <c r="J153" t="s">
        <v>4463</v>
      </c>
    </row>
    <row r="154" spans="1:10" x14ac:dyDescent="0.35">
      <c r="A154" t="s">
        <v>161</v>
      </c>
      <c r="B154" t="s">
        <v>591</v>
      </c>
      <c r="C154" t="s">
        <v>592</v>
      </c>
      <c r="D154" s="1">
        <v>46224</v>
      </c>
      <c r="E154">
        <v>4.86990864191304E-2</v>
      </c>
      <c r="F154" s="1">
        <v>46224.771536840279</v>
      </c>
      <c r="G154" t="s">
        <v>593</v>
      </c>
      <c r="H154" s="1">
        <v>46224.771536921297</v>
      </c>
      <c r="I154" t="s">
        <v>593</v>
      </c>
      <c r="J154" t="s">
        <v>4464</v>
      </c>
    </row>
    <row r="155" spans="1:10" x14ac:dyDescent="0.35">
      <c r="A155" t="s">
        <v>133</v>
      </c>
      <c r="B155" t="s">
        <v>591</v>
      </c>
      <c r="C155" t="s">
        <v>592</v>
      </c>
      <c r="D155" s="1">
        <v>46224</v>
      </c>
      <c r="E155">
        <v>2.5848257764504799E-2</v>
      </c>
      <c r="F155" s="1">
        <v>46224.771555555555</v>
      </c>
      <c r="G155" t="s">
        <v>593</v>
      </c>
      <c r="H155" s="1">
        <v>46224.771555590276</v>
      </c>
      <c r="I155" t="s">
        <v>593</v>
      </c>
      <c r="J155" t="s">
        <v>4465</v>
      </c>
    </row>
    <row r="156" spans="1:10" x14ac:dyDescent="0.35">
      <c r="A156" t="s">
        <v>34</v>
      </c>
      <c r="B156" t="s">
        <v>591</v>
      </c>
      <c r="C156" t="s">
        <v>592</v>
      </c>
      <c r="D156" s="1">
        <v>46224</v>
      </c>
      <c r="E156">
        <v>4.8922193162834401E-2</v>
      </c>
      <c r="F156" s="1">
        <v>46224.771545567128</v>
      </c>
      <c r="G156" t="s">
        <v>593</v>
      </c>
      <c r="H156" s="1">
        <v>46224.771545567128</v>
      </c>
      <c r="I156" t="s">
        <v>593</v>
      </c>
      <c r="J156" t="s">
        <v>4466</v>
      </c>
    </row>
    <row r="157" spans="1:10" x14ac:dyDescent="0.35">
      <c r="A157" t="s">
        <v>57</v>
      </c>
      <c r="B157" t="s">
        <v>591</v>
      </c>
      <c r="C157" t="s">
        <v>592</v>
      </c>
      <c r="D157" s="1">
        <v>46224</v>
      </c>
      <c r="E157">
        <v>4.9251744398798397E-2</v>
      </c>
      <c r="F157" s="1">
        <v>46224.771549965277</v>
      </c>
      <c r="G157" t="s">
        <v>593</v>
      </c>
      <c r="H157" s="1">
        <v>46224.77154991898</v>
      </c>
      <c r="I157" t="s">
        <v>593</v>
      </c>
      <c r="J157" t="s">
        <v>4467</v>
      </c>
    </row>
    <row r="158" spans="1:10" x14ac:dyDescent="0.35">
      <c r="A158" t="s">
        <v>58</v>
      </c>
      <c r="B158" t="s">
        <v>591</v>
      </c>
      <c r="C158" t="s">
        <v>592</v>
      </c>
      <c r="D158" s="1">
        <v>46224</v>
      </c>
      <c r="E158">
        <v>4.9379582840152099E-2</v>
      </c>
      <c r="F158" s="1">
        <v>46224.771537037035</v>
      </c>
      <c r="G158" t="s">
        <v>593</v>
      </c>
      <c r="H158" s="1">
        <v>46224.771537118053</v>
      </c>
      <c r="I158" t="s">
        <v>593</v>
      </c>
      <c r="J158" t="s">
        <v>4468</v>
      </c>
    </row>
    <row r="159" spans="1:10" x14ac:dyDescent="0.35">
      <c r="A159" t="s">
        <v>125</v>
      </c>
      <c r="B159" t="s">
        <v>591</v>
      </c>
      <c r="C159" t="s">
        <v>592</v>
      </c>
      <c r="D159" s="1">
        <v>46224</v>
      </c>
      <c r="E159">
        <v>4.9423838882535799E-2</v>
      </c>
      <c r="F159" s="1">
        <v>46224.771537233799</v>
      </c>
      <c r="G159" t="s">
        <v>593</v>
      </c>
      <c r="H159" s="1">
        <v>46224.77153726852</v>
      </c>
      <c r="I159" t="s">
        <v>593</v>
      </c>
      <c r="J159" t="s">
        <v>4469</v>
      </c>
    </row>
    <row r="160" spans="1:10" x14ac:dyDescent="0.35">
      <c r="A160" t="s">
        <v>35</v>
      </c>
      <c r="B160" t="s">
        <v>591</v>
      </c>
      <c r="C160" t="s">
        <v>592</v>
      </c>
      <c r="D160" s="1">
        <v>46224</v>
      </c>
      <c r="E160">
        <v>2.6535137414209702E-2</v>
      </c>
      <c r="F160" s="1">
        <v>46224.77154267361</v>
      </c>
      <c r="G160" t="s">
        <v>593</v>
      </c>
      <c r="H160" s="1">
        <v>46224.77154267361</v>
      </c>
      <c r="I160" t="s">
        <v>593</v>
      </c>
      <c r="J160" t="s">
        <v>4470</v>
      </c>
    </row>
    <row r="161" spans="1:10" x14ac:dyDescent="0.35">
      <c r="A161" t="s">
        <v>36</v>
      </c>
      <c r="B161" t="s">
        <v>591</v>
      </c>
      <c r="C161" t="s">
        <v>592</v>
      </c>
      <c r="D161" s="1">
        <v>46224</v>
      </c>
      <c r="E161">
        <v>4.9662982789617699E-2</v>
      </c>
      <c r="F161" s="1">
        <v>46224.771545717595</v>
      </c>
      <c r="G161" t="s">
        <v>593</v>
      </c>
      <c r="H161" s="1">
        <v>46224.771545752315</v>
      </c>
      <c r="I161" t="s">
        <v>593</v>
      </c>
      <c r="J161" t="s">
        <v>4471</v>
      </c>
    </row>
    <row r="162" spans="1:10" x14ac:dyDescent="0.35">
      <c r="A162" t="s">
        <v>141</v>
      </c>
      <c r="B162" t="s">
        <v>591</v>
      </c>
      <c r="C162" t="s">
        <v>592</v>
      </c>
      <c r="D162" s="1">
        <v>46224</v>
      </c>
      <c r="E162">
        <v>4.9896501226878602E-2</v>
      </c>
      <c r="F162" s="1">
        <v>46224.771537384258</v>
      </c>
      <c r="G162" t="s">
        <v>593</v>
      </c>
      <c r="H162" s="1">
        <v>46224.771537465276</v>
      </c>
      <c r="I162" t="s">
        <v>593</v>
      </c>
      <c r="J162" t="s">
        <v>4472</v>
      </c>
    </row>
    <row r="163" spans="1:10" x14ac:dyDescent="0.35">
      <c r="A163" t="s">
        <v>59</v>
      </c>
      <c r="B163" t="s">
        <v>591</v>
      </c>
      <c r="C163" t="s">
        <v>592</v>
      </c>
      <c r="D163" s="1">
        <v>46224</v>
      </c>
      <c r="E163">
        <v>5.02233574578939E-2</v>
      </c>
      <c r="F163" s="1">
        <v>46224.771554513885</v>
      </c>
      <c r="G163" t="s">
        <v>593</v>
      </c>
      <c r="H163" s="1">
        <v>46224.771554479164</v>
      </c>
      <c r="I163" t="s">
        <v>593</v>
      </c>
      <c r="J163" t="s">
        <v>4473</v>
      </c>
    </row>
    <row r="164" spans="1:10" x14ac:dyDescent="0.35">
      <c r="A164" t="s">
        <v>60</v>
      </c>
      <c r="B164" t="s">
        <v>591</v>
      </c>
      <c r="C164" t="s">
        <v>592</v>
      </c>
      <c r="D164" s="1">
        <v>46224</v>
      </c>
      <c r="E164">
        <v>5.0410553126258799E-2</v>
      </c>
      <c r="F164" s="1">
        <v>46224.771550844911</v>
      </c>
      <c r="G164" t="s">
        <v>593</v>
      </c>
      <c r="H164" s="1">
        <v>46224.771550810183</v>
      </c>
      <c r="I164" t="s">
        <v>593</v>
      </c>
      <c r="J164" t="s">
        <v>4474</v>
      </c>
    </row>
    <row r="165" spans="1:10" x14ac:dyDescent="0.35">
      <c r="A165" t="s">
        <v>134</v>
      </c>
      <c r="B165" t="s">
        <v>591</v>
      </c>
      <c r="C165" t="s">
        <v>592</v>
      </c>
      <c r="D165" s="1">
        <v>46224</v>
      </c>
      <c r="E165">
        <v>2.7707161498464201E-2</v>
      </c>
      <c r="F165" s="1">
        <v>46224.771550115744</v>
      </c>
      <c r="G165" t="s">
        <v>593</v>
      </c>
      <c r="H165" s="1">
        <v>46224.771550081015</v>
      </c>
      <c r="I165" t="s">
        <v>593</v>
      </c>
      <c r="J165" t="s">
        <v>4475</v>
      </c>
    </row>
    <row r="166" spans="1:10" x14ac:dyDescent="0.35">
      <c r="A166" t="s">
        <v>162</v>
      </c>
      <c r="B166" t="s">
        <v>591</v>
      </c>
      <c r="C166" t="s">
        <v>592</v>
      </c>
      <c r="D166" s="1">
        <v>46224</v>
      </c>
      <c r="E166">
        <v>5.0597416983127197E-2</v>
      </c>
      <c r="F166" s="1">
        <v>46224.771537499997</v>
      </c>
      <c r="G166" t="s">
        <v>593</v>
      </c>
      <c r="H166" s="1">
        <v>46224.771537615743</v>
      </c>
      <c r="I166" t="s">
        <v>593</v>
      </c>
      <c r="J166" t="s">
        <v>4476</v>
      </c>
    </row>
    <row r="167" spans="1:10" x14ac:dyDescent="0.35">
      <c r="A167" t="s">
        <v>163</v>
      </c>
      <c r="B167" t="s">
        <v>591</v>
      </c>
      <c r="C167" t="s">
        <v>592</v>
      </c>
      <c r="D167" s="1">
        <v>46224</v>
      </c>
      <c r="E167">
        <v>5.0826727997308203E-2</v>
      </c>
      <c r="F167" s="1">
        <v>46224.771545868054</v>
      </c>
      <c r="G167" t="s">
        <v>593</v>
      </c>
      <c r="H167" s="1">
        <v>46224.771545914351</v>
      </c>
      <c r="I167" t="s">
        <v>593</v>
      </c>
      <c r="J167" t="s">
        <v>4477</v>
      </c>
    </row>
    <row r="168" spans="1:10" x14ac:dyDescent="0.35">
      <c r="A168" t="s">
        <v>37</v>
      </c>
      <c r="B168" t="s">
        <v>591</v>
      </c>
      <c r="C168" t="s">
        <v>592</v>
      </c>
      <c r="D168" s="1">
        <v>46224</v>
      </c>
      <c r="E168">
        <v>5.0990273155420998E-2</v>
      </c>
      <c r="F168" s="1">
        <v>46224.771546064818</v>
      </c>
      <c r="G168" t="s">
        <v>593</v>
      </c>
      <c r="H168" s="1">
        <v>46224.771546099539</v>
      </c>
      <c r="I168" t="s">
        <v>593</v>
      </c>
      <c r="J168" t="s">
        <v>4478</v>
      </c>
    </row>
    <row r="169" spans="1:10" x14ac:dyDescent="0.35">
      <c r="A169" t="s">
        <v>135</v>
      </c>
      <c r="B169" t="s">
        <v>591</v>
      </c>
      <c r="C169" t="s">
        <v>592</v>
      </c>
      <c r="D169" s="1">
        <v>46224</v>
      </c>
      <c r="E169">
        <v>5.1049558330549201E-2</v>
      </c>
      <c r="F169" s="1">
        <v>46224.771546215277</v>
      </c>
      <c r="G169" t="s">
        <v>593</v>
      </c>
      <c r="H169" s="1">
        <v>46224.771546296295</v>
      </c>
      <c r="I169" t="s">
        <v>593</v>
      </c>
      <c r="J169" t="s">
        <v>4479</v>
      </c>
    </row>
    <row r="170" spans="1:10" x14ac:dyDescent="0.35">
      <c r="A170" t="s">
        <v>164</v>
      </c>
      <c r="B170" t="s">
        <v>591</v>
      </c>
      <c r="C170" t="s">
        <v>592</v>
      </c>
      <c r="D170" s="1">
        <v>46224</v>
      </c>
      <c r="E170">
        <v>2.8217031624773601E-2</v>
      </c>
      <c r="F170" s="1">
        <v>46224.771542824077</v>
      </c>
      <c r="G170" t="s">
        <v>593</v>
      </c>
      <c r="H170" s="1">
        <v>46224.771542858798</v>
      </c>
      <c r="I170" t="s">
        <v>593</v>
      </c>
      <c r="J170" t="s">
        <v>4480</v>
      </c>
    </row>
    <row r="171" spans="1:10" x14ac:dyDescent="0.35">
      <c r="A171" t="s">
        <v>142</v>
      </c>
      <c r="B171" t="s">
        <v>591</v>
      </c>
      <c r="C171" t="s">
        <v>592</v>
      </c>
      <c r="D171" s="1">
        <v>46224</v>
      </c>
      <c r="E171">
        <v>5.1196462463852198E-2</v>
      </c>
      <c r="F171" s="1">
        <v>46224.771551006947</v>
      </c>
      <c r="G171" t="s">
        <v>593</v>
      </c>
      <c r="H171" s="1">
        <v>46224.771551006947</v>
      </c>
      <c r="I171" t="s">
        <v>593</v>
      </c>
      <c r="J171" t="s">
        <v>4481</v>
      </c>
    </row>
    <row r="172" spans="1:10" x14ac:dyDescent="0.35">
      <c r="A172" t="s">
        <v>136</v>
      </c>
      <c r="B172" t="s">
        <v>591</v>
      </c>
      <c r="C172" t="s">
        <v>592</v>
      </c>
      <c r="D172" s="1">
        <v>46224</v>
      </c>
      <c r="E172">
        <v>5.1155773151444102E-2</v>
      </c>
      <c r="F172" s="1">
        <v>46224.771546377313</v>
      </c>
      <c r="G172" t="s">
        <v>593</v>
      </c>
      <c r="H172" s="1">
        <v>46224.771546493059</v>
      </c>
      <c r="I172" t="s">
        <v>593</v>
      </c>
      <c r="J172" t="s">
        <v>4482</v>
      </c>
    </row>
    <row r="173" spans="1:10" x14ac:dyDescent="0.35">
      <c r="A173" t="s">
        <v>38</v>
      </c>
      <c r="B173" t="s">
        <v>591</v>
      </c>
      <c r="C173" t="s">
        <v>592</v>
      </c>
      <c r="D173" s="1">
        <v>46224</v>
      </c>
      <c r="E173">
        <v>5.1234397765237798E-2</v>
      </c>
      <c r="F173" s="1">
        <v>46224.771542939816</v>
      </c>
      <c r="G173" t="s">
        <v>593</v>
      </c>
      <c r="H173" s="1">
        <v>46224.771543020834</v>
      </c>
      <c r="I173" t="s">
        <v>593</v>
      </c>
      <c r="J173" t="s">
        <v>4483</v>
      </c>
    </row>
    <row r="174" spans="1:10" x14ac:dyDescent="0.35">
      <c r="A174" t="s">
        <v>137</v>
      </c>
      <c r="B174" t="s">
        <v>591</v>
      </c>
      <c r="C174" t="s">
        <v>592</v>
      </c>
      <c r="D174" s="1">
        <v>46224</v>
      </c>
      <c r="E174">
        <v>5.1360674069008599E-2</v>
      </c>
      <c r="F174" s="1">
        <v>46224.771537650464</v>
      </c>
      <c r="G174" t="s">
        <v>593</v>
      </c>
      <c r="H174" s="1">
        <v>46224.771537812499</v>
      </c>
      <c r="I174" t="s">
        <v>593</v>
      </c>
      <c r="J174" t="s">
        <v>4484</v>
      </c>
    </row>
    <row r="175" spans="1:10" x14ac:dyDescent="0.35">
      <c r="A175" t="s">
        <v>553</v>
      </c>
      <c r="B175" t="s">
        <v>591</v>
      </c>
      <c r="C175" t="s">
        <v>592</v>
      </c>
      <c r="D175" s="1">
        <v>46224</v>
      </c>
      <c r="E175">
        <v>2.8658689522827598E-2</v>
      </c>
      <c r="F175" s="1">
        <v>46224.77154652778</v>
      </c>
      <c r="G175" t="s">
        <v>593</v>
      </c>
      <c r="H175" s="1">
        <v>46224.771546493059</v>
      </c>
      <c r="I175" t="s">
        <v>593</v>
      </c>
      <c r="J175" t="s">
        <v>4485</v>
      </c>
    </row>
    <row r="176" spans="1:10" x14ac:dyDescent="0.35">
      <c r="A176" t="s">
        <v>221</v>
      </c>
      <c r="B176" t="s">
        <v>591</v>
      </c>
      <c r="C176" t="s">
        <v>592</v>
      </c>
      <c r="D176" s="1">
        <v>46224</v>
      </c>
      <c r="E176">
        <v>5.1444222911849899E-2</v>
      </c>
      <c r="F176" s="1">
        <v>46224.771554664352</v>
      </c>
      <c r="G176" t="s">
        <v>593</v>
      </c>
      <c r="H176" s="1">
        <v>46224.771554664352</v>
      </c>
      <c r="I176" t="s">
        <v>593</v>
      </c>
      <c r="J176" t="s">
        <v>4486</v>
      </c>
    </row>
    <row r="177" spans="1:10" x14ac:dyDescent="0.35">
      <c r="A177" t="s">
        <v>222</v>
      </c>
      <c r="B177" t="s">
        <v>591</v>
      </c>
      <c r="C177" t="s">
        <v>592</v>
      </c>
      <c r="D177" s="1">
        <v>46224</v>
      </c>
      <c r="E177">
        <v>5.1604704869930698E-2</v>
      </c>
      <c r="F177" s="1">
        <v>46224.771537812499</v>
      </c>
      <c r="G177" t="s">
        <v>593</v>
      </c>
      <c r="H177" s="1">
        <v>46224.771537812499</v>
      </c>
      <c r="I177" t="s">
        <v>593</v>
      </c>
      <c r="J177" t="s">
        <v>4487</v>
      </c>
    </row>
    <row r="178" spans="1:10" x14ac:dyDescent="0.35">
      <c r="A178" t="s">
        <v>210</v>
      </c>
      <c r="B178" t="s">
        <v>591</v>
      </c>
      <c r="C178" t="s">
        <v>592</v>
      </c>
      <c r="D178" s="1">
        <v>46224</v>
      </c>
      <c r="E178">
        <v>5.1702894171541502E-2</v>
      </c>
      <c r="F178" s="1">
        <v>46224.771537962966</v>
      </c>
      <c r="G178" t="s">
        <v>593</v>
      </c>
      <c r="H178" s="1">
        <v>46224.771537997687</v>
      </c>
      <c r="I178" t="s">
        <v>593</v>
      </c>
      <c r="J178" t="s">
        <v>4488</v>
      </c>
    </row>
    <row r="179" spans="1:10" x14ac:dyDescent="0.35">
      <c r="A179" t="s">
        <v>97</v>
      </c>
      <c r="B179" t="s">
        <v>591</v>
      </c>
      <c r="C179" t="s">
        <v>592</v>
      </c>
      <c r="D179" s="1">
        <v>46224</v>
      </c>
      <c r="E179">
        <v>5.1865531305236398E-2</v>
      </c>
      <c r="F179" s="1">
        <v>46224.771543090275</v>
      </c>
      <c r="G179" t="s">
        <v>593</v>
      </c>
      <c r="H179" s="1">
        <v>46224.771543206021</v>
      </c>
      <c r="I179" t="s">
        <v>593</v>
      </c>
      <c r="J179" t="s">
        <v>4489</v>
      </c>
    </row>
    <row r="180" spans="1:10" x14ac:dyDescent="0.35">
      <c r="A180" t="s">
        <v>179</v>
      </c>
      <c r="B180" t="s">
        <v>591</v>
      </c>
      <c r="C180" t="s">
        <v>592</v>
      </c>
      <c r="D180" s="1">
        <v>46224</v>
      </c>
      <c r="E180">
        <v>2.9256061377876799E-2</v>
      </c>
      <c r="F180" s="1">
        <v>46224.771538113426</v>
      </c>
      <c r="G180" t="s">
        <v>593</v>
      </c>
      <c r="H180" s="1">
        <v>46224.771538194444</v>
      </c>
      <c r="I180" t="s">
        <v>593</v>
      </c>
      <c r="J180" t="s">
        <v>4490</v>
      </c>
    </row>
    <row r="181" spans="1:10" x14ac:dyDescent="0.35">
      <c r="A181" t="s">
        <v>98</v>
      </c>
      <c r="B181" t="s">
        <v>591</v>
      </c>
      <c r="C181" t="s">
        <v>592</v>
      </c>
      <c r="D181" s="1">
        <v>46224</v>
      </c>
      <c r="E181">
        <v>5.1757034723703001E-2</v>
      </c>
      <c r="F181" s="1">
        <v>46224.771538275461</v>
      </c>
      <c r="G181" t="s">
        <v>593</v>
      </c>
      <c r="H181" s="1">
        <v>46224.771538391207</v>
      </c>
      <c r="I181" t="s">
        <v>593</v>
      </c>
      <c r="J181" t="s">
        <v>4491</v>
      </c>
    </row>
    <row r="182" spans="1:10" x14ac:dyDescent="0.35">
      <c r="A182" t="s">
        <v>180</v>
      </c>
      <c r="B182" t="s">
        <v>591</v>
      </c>
      <c r="C182" t="s">
        <v>592</v>
      </c>
      <c r="D182" s="1">
        <v>46224</v>
      </c>
      <c r="E182">
        <v>5.1881740220669201E-2</v>
      </c>
      <c r="F182" s="1">
        <v>46224.771551157406</v>
      </c>
      <c r="G182" t="s">
        <v>593</v>
      </c>
      <c r="H182" s="1">
        <v>46224.771551192127</v>
      </c>
      <c r="I182" t="s">
        <v>593</v>
      </c>
      <c r="J182" t="s">
        <v>4492</v>
      </c>
    </row>
    <row r="183" spans="1:10" x14ac:dyDescent="0.35">
      <c r="A183" t="s">
        <v>181</v>
      </c>
      <c r="B183" t="s">
        <v>591</v>
      </c>
      <c r="C183" t="s">
        <v>592</v>
      </c>
      <c r="D183" s="1">
        <v>46224</v>
      </c>
      <c r="E183">
        <v>5.1898982906189203E-2</v>
      </c>
      <c r="F183" s="1">
        <v>46224.771543252318</v>
      </c>
      <c r="G183" t="s">
        <v>593</v>
      </c>
      <c r="H183" s="1">
        <v>46224.771543402778</v>
      </c>
      <c r="I183" t="s">
        <v>593</v>
      </c>
      <c r="J183" t="s">
        <v>4493</v>
      </c>
    </row>
    <row r="184" spans="1:10" x14ac:dyDescent="0.35">
      <c r="A184" t="s">
        <v>182</v>
      </c>
      <c r="B184" t="s">
        <v>591</v>
      </c>
      <c r="C184" t="s">
        <v>592</v>
      </c>
      <c r="D184" s="1">
        <v>46224</v>
      </c>
      <c r="E184">
        <v>5.2063839537251598E-2</v>
      </c>
      <c r="F184" s="1">
        <v>46224.771551307873</v>
      </c>
      <c r="G184" t="s">
        <v>593</v>
      </c>
      <c r="H184" s="1">
        <v>46224.77155135417</v>
      </c>
      <c r="I184" t="s">
        <v>593</v>
      </c>
      <c r="J184" t="s">
        <v>4494</v>
      </c>
    </row>
    <row r="185" spans="1:10" x14ac:dyDescent="0.35">
      <c r="A185" t="s">
        <v>99</v>
      </c>
      <c r="B185" t="s">
        <v>591</v>
      </c>
      <c r="C185" t="s">
        <v>592</v>
      </c>
      <c r="D185" s="1">
        <v>46224</v>
      </c>
      <c r="E185">
        <v>2.9394831181192099E-2</v>
      </c>
      <c r="F185" s="1">
        <v>46224.771543402778</v>
      </c>
      <c r="G185" t="s">
        <v>593</v>
      </c>
      <c r="H185" s="1">
        <v>46224.771543599534</v>
      </c>
      <c r="I185" t="s">
        <v>593</v>
      </c>
      <c r="J185" t="s">
        <v>4495</v>
      </c>
    </row>
    <row r="186" spans="1:10" x14ac:dyDescent="0.35">
      <c r="A186" t="s">
        <v>100</v>
      </c>
      <c r="B186" t="s">
        <v>591</v>
      </c>
      <c r="C186" t="s">
        <v>592</v>
      </c>
      <c r="D186" s="1">
        <v>46224</v>
      </c>
      <c r="E186">
        <v>5.2103395695034201E-2</v>
      </c>
      <c r="F186" s="1">
        <v>46224.771538425928</v>
      </c>
      <c r="G186" t="s">
        <v>593</v>
      </c>
      <c r="H186" s="1">
        <v>46224.771538541667</v>
      </c>
      <c r="I186" t="s">
        <v>593</v>
      </c>
      <c r="J186" t="s">
        <v>4496</v>
      </c>
    </row>
    <row r="187" spans="1:10" x14ac:dyDescent="0.35">
      <c r="A187" t="s">
        <v>143</v>
      </c>
      <c r="B187" t="s">
        <v>591</v>
      </c>
      <c r="C187" t="s">
        <v>592</v>
      </c>
      <c r="D187" s="1">
        <v>46224</v>
      </c>
      <c r="E187">
        <v>5.21796235480231E-2</v>
      </c>
      <c r="F187" s="1">
        <v>46224.771543553237</v>
      </c>
      <c r="G187" t="s">
        <v>593</v>
      </c>
      <c r="H187" s="1">
        <v>46224.771543599534</v>
      </c>
      <c r="I187" t="s">
        <v>593</v>
      </c>
      <c r="J187" t="s">
        <v>4497</v>
      </c>
    </row>
    <row r="188" spans="1:10" x14ac:dyDescent="0.35">
      <c r="A188" t="s">
        <v>183</v>
      </c>
      <c r="B188" t="s">
        <v>591</v>
      </c>
      <c r="C188" t="s">
        <v>592</v>
      </c>
      <c r="D188" s="1">
        <v>46224</v>
      </c>
      <c r="E188">
        <v>5.2026402675443797E-2</v>
      </c>
      <c r="F188" s="1">
        <v>46224.771554826388</v>
      </c>
      <c r="G188" t="s">
        <v>593</v>
      </c>
      <c r="H188" s="1">
        <v>46224.771554861109</v>
      </c>
      <c r="I188" t="s">
        <v>593</v>
      </c>
      <c r="J188" t="s">
        <v>4498</v>
      </c>
    </row>
    <row r="189" spans="1:10" x14ac:dyDescent="0.35">
      <c r="A189" t="s">
        <v>223</v>
      </c>
      <c r="B189" t="s">
        <v>591</v>
      </c>
      <c r="C189" t="s">
        <v>592</v>
      </c>
      <c r="D189" s="1">
        <v>46224</v>
      </c>
      <c r="E189">
        <v>5.2057208723417403E-2</v>
      </c>
      <c r="F189" s="1">
        <v>46224.771554976855</v>
      </c>
      <c r="G189" t="s">
        <v>593</v>
      </c>
      <c r="H189" s="1">
        <v>46224.771555057872</v>
      </c>
      <c r="I189" t="s">
        <v>593</v>
      </c>
      <c r="J189" t="s">
        <v>4499</v>
      </c>
    </row>
    <row r="190" spans="1:10" x14ac:dyDescent="0.35">
      <c r="A190" t="s">
        <v>224</v>
      </c>
      <c r="B190" t="s">
        <v>591</v>
      </c>
      <c r="C190" t="s">
        <v>592</v>
      </c>
      <c r="D190" s="1">
        <v>46224</v>
      </c>
      <c r="E190">
        <v>2.94841964505148E-2</v>
      </c>
      <c r="F190" s="1">
        <v>46224.771546678239</v>
      </c>
      <c r="G190" t="s">
        <v>593</v>
      </c>
      <c r="H190" s="1">
        <v>46224.771546643518</v>
      </c>
      <c r="I190" t="s">
        <v>593</v>
      </c>
      <c r="J190" t="s">
        <v>4500</v>
      </c>
    </row>
    <row r="191" spans="1:10" x14ac:dyDescent="0.35">
      <c r="A191" t="s">
        <v>184</v>
      </c>
      <c r="B191" t="s">
        <v>591</v>
      </c>
      <c r="C191" t="s">
        <v>592</v>
      </c>
      <c r="D191" s="1">
        <v>46224</v>
      </c>
      <c r="E191">
        <v>5.2062967276562497E-2</v>
      </c>
      <c r="F191" s="1">
        <v>46224.771551469908</v>
      </c>
      <c r="G191" t="s">
        <v>593</v>
      </c>
      <c r="H191" s="1">
        <v>46224.77155153935</v>
      </c>
      <c r="I191" t="s">
        <v>593</v>
      </c>
      <c r="J191" t="s">
        <v>4501</v>
      </c>
    </row>
    <row r="192" spans="1:10" x14ac:dyDescent="0.35">
      <c r="A192" t="s">
        <v>225</v>
      </c>
      <c r="B192" t="s">
        <v>591</v>
      </c>
      <c r="C192" t="s">
        <v>592</v>
      </c>
      <c r="D192" s="1">
        <v>46224</v>
      </c>
      <c r="E192">
        <v>5.2156656122513502E-2</v>
      </c>
      <c r="F192" s="1">
        <v>46224.771546840275</v>
      </c>
      <c r="G192" t="s">
        <v>593</v>
      </c>
      <c r="H192" s="1">
        <v>46224.771546840275</v>
      </c>
      <c r="I192" t="s">
        <v>593</v>
      </c>
      <c r="J192" t="s">
        <v>4502</v>
      </c>
    </row>
    <row r="193" spans="1:10" x14ac:dyDescent="0.35">
      <c r="A193" t="s">
        <v>211</v>
      </c>
      <c r="B193" t="s">
        <v>591</v>
      </c>
      <c r="C193" t="s">
        <v>592</v>
      </c>
      <c r="D193" s="1">
        <v>46224</v>
      </c>
      <c r="E193">
        <v>5.2162018382020198E-2</v>
      </c>
      <c r="F193" s="1">
        <v>46224.771555127314</v>
      </c>
      <c r="G193" t="s">
        <v>593</v>
      </c>
      <c r="H193" s="1">
        <v>46224.771555208332</v>
      </c>
      <c r="I193" t="s">
        <v>593</v>
      </c>
      <c r="J193" t="s">
        <v>4503</v>
      </c>
    </row>
    <row r="194" spans="1:10" x14ac:dyDescent="0.35">
      <c r="A194" t="s">
        <v>165</v>
      </c>
      <c r="B194" t="s">
        <v>591</v>
      </c>
      <c r="C194" t="s">
        <v>592</v>
      </c>
      <c r="D194" s="1">
        <v>46224</v>
      </c>
      <c r="E194">
        <v>5.2137121927849701E-2</v>
      </c>
      <c r="F194" s="1">
        <v>46224.771555706022</v>
      </c>
      <c r="G194" t="s">
        <v>593</v>
      </c>
      <c r="H194" s="1">
        <v>46224.771555752312</v>
      </c>
      <c r="I194" t="s">
        <v>593</v>
      </c>
      <c r="J194" t="s">
        <v>4504</v>
      </c>
    </row>
    <row r="195" spans="1:10" x14ac:dyDescent="0.35">
      <c r="A195" t="s">
        <v>185</v>
      </c>
      <c r="B195" t="s">
        <v>591</v>
      </c>
      <c r="C195" t="s">
        <v>592</v>
      </c>
      <c r="D195" s="1">
        <v>46224</v>
      </c>
      <c r="E195">
        <v>2.9549727531424999E-2</v>
      </c>
      <c r="F195" s="1">
        <v>46224.771546990742</v>
      </c>
      <c r="G195" t="s">
        <v>593</v>
      </c>
      <c r="H195" s="1">
        <v>46224.771547025462</v>
      </c>
      <c r="I195" t="s">
        <v>593</v>
      </c>
      <c r="J195" t="s">
        <v>4505</v>
      </c>
    </row>
    <row r="196" spans="1:10" x14ac:dyDescent="0.35">
      <c r="A196" t="s">
        <v>166</v>
      </c>
      <c r="B196" t="s">
        <v>591</v>
      </c>
      <c r="C196" t="s">
        <v>592</v>
      </c>
      <c r="D196" s="1">
        <v>46224</v>
      </c>
      <c r="E196">
        <v>5.2129108205136498E-2</v>
      </c>
      <c r="F196" s="1">
        <v>46224.771570023149</v>
      </c>
      <c r="G196" t="s">
        <v>593</v>
      </c>
      <c r="H196" s="1">
        <v>46224.771570023149</v>
      </c>
      <c r="I196" t="s">
        <v>593</v>
      </c>
      <c r="J196" t="s">
        <v>4506</v>
      </c>
    </row>
    <row r="197" spans="1:10" x14ac:dyDescent="0.35">
      <c r="A197" t="s">
        <v>101</v>
      </c>
      <c r="B197" t="s">
        <v>591</v>
      </c>
      <c r="C197" t="s">
        <v>592</v>
      </c>
      <c r="D197" s="1">
        <v>46224</v>
      </c>
      <c r="E197">
        <v>5.2163320865354003E-2</v>
      </c>
      <c r="F197" s="1">
        <v>46224.771547141201</v>
      </c>
      <c r="G197" t="s">
        <v>593</v>
      </c>
      <c r="H197" s="1">
        <v>46224.771547187498</v>
      </c>
      <c r="I197" t="s">
        <v>593</v>
      </c>
      <c r="J197" t="s">
        <v>4507</v>
      </c>
    </row>
    <row r="198" spans="1:10" x14ac:dyDescent="0.35">
      <c r="A198" t="s">
        <v>226</v>
      </c>
      <c r="B198" t="s">
        <v>591</v>
      </c>
      <c r="C198" t="s">
        <v>592</v>
      </c>
      <c r="D198" s="1">
        <v>46224</v>
      </c>
      <c r="E198">
        <v>5.2077197928357202E-2</v>
      </c>
      <c r="F198" s="1">
        <v>46224.771547303244</v>
      </c>
      <c r="G198" t="s">
        <v>593</v>
      </c>
      <c r="H198" s="1">
        <v>46224.771547372686</v>
      </c>
      <c r="I198" t="s">
        <v>593</v>
      </c>
      <c r="J198" t="s">
        <v>4508</v>
      </c>
    </row>
    <row r="199" spans="1:10" x14ac:dyDescent="0.35">
      <c r="A199" t="s">
        <v>167</v>
      </c>
      <c r="B199" t="s">
        <v>591</v>
      </c>
      <c r="C199" t="s">
        <v>592</v>
      </c>
      <c r="D199" s="1">
        <v>46224</v>
      </c>
      <c r="E199">
        <v>5.2160525312509899E-2</v>
      </c>
      <c r="F199" s="1">
        <v>46224.771583912036</v>
      </c>
      <c r="G199" t="s">
        <v>593</v>
      </c>
      <c r="H199" s="1">
        <v>46224.771583946756</v>
      </c>
      <c r="I199" t="s">
        <v>593</v>
      </c>
      <c r="J199" t="s">
        <v>4509</v>
      </c>
    </row>
    <row r="200" spans="1:10" x14ac:dyDescent="0.35">
      <c r="A200" t="s">
        <v>186</v>
      </c>
      <c r="B200" t="s">
        <v>591</v>
      </c>
      <c r="C200" t="s">
        <v>592</v>
      </c>
      <c r="D200" s="1">
        <v>46224</v>
      </c>
      <c r="E200">
        <v>2.9531667725954201E-2</v>
      </c>
      <c r="F200" s="1">
        <v>46224.771551620368</v>
      </c>
      <c r="G200" t="s">
        <v>593</v>
      </c>
      <c r="H200" s="1">
        <v>46224.77155153935</v>
      </c>
      <c r="I200" t="s">
        <v>593</v>
      </c>
      <c r="J200" t="s">
        <v>4510</v>
      </c>
    </row>
    <row r="201" spans="1:10" x14ac:dyDescent="0.35">
      <c r="A201" t="s">
        <v>144</v>
      </c>
      <c r="B201" t="s">
        <v>591</v>
      </c>
      <c r="C201" t="s">
        <v>592</v>
      </c>
      <c r="D201" s="1">
        <v>46224</v>
      </c>
      <c r="E201">
        <v>5.2198661264130301E-2</v>
      </c>
      <c r="F201" s="1">
        <v>46224.771538541667</v>
      </c>
      <c r="G201" t="s">
        <v>593</v>
      </c>
      <c r="H201" s="1">
        <v>46224.771538738423</v>
      </c>
      <c r="I201" t="s">
        <v>593</v>
      </c>
      <c r="J201" t="s">
        <v>4511</v>
      </c>
    </row>
    <row r="202" spans="1:10" x14ac:dyDescent="0.35">
      <c r="A202" t="s">
        <v>145</v>
      </c>
      <c r="B202" t="s">
        <v>591</v>
      </c>
      <c r="C202" t="s">
        <v>592</v>
      </c>
      <c r="D202" s="1">
        <v>46224</v>
      </c>
      <c r="E202">
        <v>5.2351530208176102E-2</v>
      </c>
      <c r="F202" s="1">
        <v>46224.771538738423</v>
      </c>
      <c r="G202" t="s">
        <v>593</v>
      </c>
      <c r="H202" s="1">
        <v>46224.771538738423</v>
      </c>
      <c r="I202" t="s">
        <v>593</v>
      </c>
      <c r="J202" t="s">
        <v>4512</v>
      </c>
    </row>
    <row r="203" spans="1:10" x14ac:dyDescent="0.35">
      <c r="A203" t="s">
        <v>102</v>
      </c>
      <c r="B203" t="s">
        <v>591</v>
      </c>
      <c r="C203" t="s">
        <v>592</v>
      </c>
      <c r="D203" s="1">
        <v>46224</v>
      </c>
      <c r="E203">
        <v>5.23392186121137E-2</v>
      </c>
      <c r="F203" s="1">
        <v>46224.771571990743</v>
      </c>
      <c r="G203" t="s">
        <v>593</v>
      </c>
      <c r="H203" s="1">
        <v>46224.771572025464</v>
      </c>
      <c r="I203" t="s">
        <v>593</v>
      </c>
      <c r="J203" t="s">
        <v>4513</v>
      </c>
    </row>
    <row r="204" spans="1:10" x14ac:dyDescent="0.35">
      <c r="A204" t="s">
        <v>168</v>
      </c>
      <c r="B204" t="s">
        <v>591</v>
      </c>
      <c r="C204" t="s">
        <v>592</v>
      </c>
      <c r="D204" s="1">
        <v>46224</v>
      </c>
      <c r="E204">
        <v>5.2394165861293897E-2</v>
      </c>
      <c r="F204" s="1">
        <v>46224.771547453704</v>
      </c>
      <c r="G204" t="s">
        <v>593</v>
      </c>
      <c r="H204" s="1">
        <v>46224.771547569442</v>
      </c>
      <c r="I204" t="s">
        <v>593</v>
      </c>
      <c r="J204" t="s">
        <v>4514</v>
      </c>
    </row>
    <row r="205" spans="1:10" x14ac:dyDescent="0.35">
      <c r="A205" t="s">
        <v>169</v>
      </c>
      <c r="B205" t="s">
        <v>591</v>
      </c>
      <c r="C205" t="s">
        <v>592</v>
      </c>
      <c r="D205" s="1">
        <v>46224</v>
      </c>
      <c r="E205">
        <v>2.9587752949001199E-2</v>
      </c>
      <c r="F205" s="1">
        <v>46224.77154371528</v>
      </c>
      <c r="G205" t="s">
        <v>593</v>
      </c>
      <c r="H205" s="1">
        <v>46224.771543750001</v>
      </c>
      <c r="I205" t="s">
        <v>593</v>
      </c>
      <c r="J205" t="s">
        <v>4515</v>
      </c>
    </row>
    <row r="206" spans="1:10" x14ac:dyDescent="0.35">
      <c r="A206" t="s">
        <v>212</v>
      </c>
      <c r="B206" t="s">
        <v>591</v>
      </c>
      <c r="C206" t="s">
        <v>592</v>
      </c>
      <c r="D206" s="1">
        <v>46224</v>
      </c>
      <c r="E206">
        <v>5.2481908954165803E-2</v>
      </c>
      <c r="F206" s="1">
        <v>46224.771563969909</v>
      </c>
      <c r="G206" t="s">
        <v>593</v>
      </c>
      <c r="H206" s="1">
        <v>46224.771563888891</v>
      </c>
      <c r="I206" t="s">
        <v>593</v>
      </c>
      <c r="J206" t="s">
        <v>4516</v>
      </c>
    </row>
    <row r="207" spans="1:10" x14ac:dyDescent="0.35">
      <c r="A207" t="s">
        <v>170</v>
      </c>
      <c r="B207" t="s">
        <v>591</v>
      </c>
      <c r="C207" t="s">
        <v>592</v>
      </c>
      <c r="D207" s="1">
        <v>46224</v>
      </c>
      <c r="E207">
        <v>5.2487871765273898E-2</v>
      </c>
      <c r="F207" s="1">
        <v>46224.77153888889</v>
      </c>
      <c r="G207" t="s">
        <v>593</v>
      </c>
      <c r="H207" s="1">
        <v>46224.77153888889</v>
      </c>
      <c r="I207" t="s">
        <v>593</v>
      </c>
      <c r="J207" t="s">
        <v>4517</v>
      </c>
    </row>
    <row r="208" spans="1:10" x14ac:dyDescent="0.35">
      <c r="A208" t="s">
        <v>213</v>
      </c>
      <c r="B208" t="s">
        <v>591</v>
      </c>
      <c r="C208" t="s">
        <v>592</v>
      </c>
      <c r="D208" s="1">
        <v>46224</v>
      </c>
      <c r="E208">
        <v>4.99314784038574E-2</v>
      </c>
      <c r="F208" s="1">
        <v>46224.771551770835</v>
      </c>
      <c r="G208" t="s">
        <v>593</v>
      </c>
      <c r="H208" s="1">
        <v>46224.771551736114</v>
      </c>
      <c r="I208" t="s">
        <v>593</v>
      </c>
      <c r="J208" t="s">
        <v>4518</v>
      </c>
    </row>
    <row r="209" spans="1:10" x14ac:dyDescent="0.35">
      <c r="A209" t="s">
        <v>146</v>
      </c>
      <c r="B209" t="s">
        <v>591</v>
      </c>
      <c r="C209" t="s">
        <v>592</v>
      </c>
      <c r="D209" s="1">
        <v>46224</v>
      </c>
      <c r="E209">
        <v>4.9709647902144299E-2</v>
      </c>
      <c r="F209" s="1">
        <v>46224.771547604163</v>
      </c>
      <c r="G209" t="s">
        <v>593</v>
      </c>
      <c r="H209" s="1">
        <v>46224.771547569442</v>
      </c>
      <c r="I209" t="s">
        <v>593</v>
      </c>
      <c r="J209" t="s">
        <v>4519</v>
      </c>
    </row>
    <row r="210" spans="1:10" x14ac:dyDescent="0.35">
      <c r="A210" t="s">
        <v>227</v>
      </c>
      <c r="B210" t="s">
        <v>591</v>
      </c>
      <c r="C210" t="s">
        <v>592</v>
      </c>
      <c r="D210" s="1">
        <v>46224</v>
      </c>
      <c r="E210">
        <v>5.24678195848364E-2</v>
      </c>
      <c r="F210" s="1">
        <v>46224.771547766206</v>
      </c>
      <c r="G210" t="s">
        <v>593</v>
      </c>
      <c r="H210" s="1">
        <v>46224.771547719909</v>
      </c>
      <c r="I210" t="s">
        <v>593</v>
      </c>
      <c r="J210" t="s">
        <v>4520</v>
      </c>
    </row>
    <row r="211" spans="1:10" x14ac:dyDescent="0.35">
      <c r="A211" t="s">
        <v>171</v>
      </c>
      <c r="B211" t="s">
        <v>591</v>
      </c>
      <c r="C211" t="s">
        <v>592</v>
      </c>
      <c r="D211" s="1">
        <v>46224</v>
      </c>
      <c r="E211">
        <v>5.0071271093769597E-2</v>
      </c>
      <c r="F211" s="1">
        <v>46224.771572141202</v>
      </c>
      <c r="G211" t="s">
        <v>593</v>
      </c>
      <c r="H211" s="1">
        <v>46224.771572187499</v>
      </c>
      <c r="I211" t="s">
        <v>593</v>
      </c>
      <c r="J211" t="s">
        <v>4521</v>
      </c>
    </row>
    <row r="212" spans="1:10" x14ac:dyDescent="0.35">
      <c r="A212" t="s">
        <v>228</v>
      </c>
      <c r="B212" t="s">
        <v>591</v>
      </c>
      <c r="C212" t="s">
        <v>592</v>
      </c>
      <c r="D212" s="1">
        <v>46224</v>
      </c>
      <c r="E212">
        <v>5.24148390186292E-2</v>
      </c>
      <c r="F212" s="1">
        <v>46224.771572303238</v>
      </c>
      <c r="G212" t="s">
        <v>593</v>
      </c>
      <c r="H212" s="1">
        <v>46224.771572372687</v>
      </c>
      <c r="I212" t="s">
        <v>593</v>
      </c>
      <c r="J212" t="s">
        <v>4522</v>
      </c>
    </row>
    <row r="213" spans="1:10" x14ac:dyDescent="0.35">
      <c r="A213" t="s">
        <v>103</v>
      </c>
      <c r="B213" t="s">
        <v>591</v>
      </c>
      <c r="C213" t="s">
        <v>592</v>
      </c>
      <c r="D213" s="1">
        <v>46224</v>
      </c>
      <c r="E213">
        <v>2.9563681376373E-2</v>
      </c>
      <c r="F213" s="1">
        <v>46224.771539004629</v>
      </c>
      <c r="G213" t="s">
        <v>593</v>
      </c>
      <c r="H213" s="1">
        <v>46224.771539085647</v>
      </c>
      <c r="I213" t="s">
        <v>593</v>
      </c>
      <c r="J213" t="s">
        <v>4523</v>
      </c>
    </row>
    <row r="214" spans="1:10" x14ac:dyDescent="0.35">
      <c r="A214" t="s">
        <v>230</v>
      </c>
      <c r="B214" t="s">
        <v>591</v>
      </c>
      <c r="C214" t="s">
        <v>592</v>
      </c>
      <c r="D214" s="1">
        <v>46224</v>
      </c>
      <c r="E214">
        <v>5.01180528321283E-2</v>
      </c>
      <c r="F214" s="1">
        <v>46224.771572453705</v>
      </c>
      <c r="G214" t="s">
        <v>593</v>
      </c>
      <c r="H214" s="1">
        <v>46224.771572569443</v>
      </c>
      <c r="I214" t="s">
        <v>593</v>
      </c>
      <c r="J214" t="s">
        <v>4524</v>
      </c>
    </row>
    <row r="215" spans="1:10" x14ac:dyDescent="0.35">
      <c r="A215" t="s">
        <v>172</v>
      </c>
      <c r="B215" t="s">
        <v>591</v>
      </c>
      <c r="C215" t="s">
        <v>592</v>
      </c>
      <c r="D215" s="1">
        <v>46224</v>
      </c>
      <c r="E215">
        <v>5.2289540102849398E-2</v>
      </c>
      <c r="F215" s="1">
        <v>46224.771564120369</v>
      </c>
      <c r="G215" t="s">
        <v>593</v>
      </c>
      <c r="H215" s="1">
        <v>46224.771564085648</v>
      </c>
      <c r="I215" t="s">
        <v>593</v>
      </c>
      <c r="J215" t="s">
        <v>4525</v>
      </c>
    </row>
    <row r="216" spans="1:10" x14ac:dyDescent="0.35">
      <c r="A216" t="s">
        <v>554</v>
      </c>
      <c r="B216" t="s">
        <v>591</v>
      </c>
      <c r="C216" t="s">
        <v>592</v>
      </c>
      <c r="D216" s="1">
        <v>46224</v>
      </c>
      <c r="E216">
        <v>5.0226795638542501E-2</v>
      </c>
      <c r="F216" s="1">
        <v>46224.771564270835</v>
      </c>
      <c r="G216" t="s">
        <v>593</v>
      </c>
      <c r="H216" s="1">
        <v>46224.771564270835</v>
      </c>
      <c r="I216" t="s">
        <v>593</v>
      </c>
      <c r="J216" t="s">
        <v>4526</v>
      </c>
    </row>
    <row r="217" spans="1:10" x14ac:dyDescent="0.35">
      <c r="A217" t="s">
        <v>147</v>
      </c>
      <c r="B217" t="s">
        <v>591</v>
      </c>
      <c r="C217" t="s">
        <v>592</v>
      </c>
      <c r="D217" s="1">
        <v>46224</v>
      </c>
      <c r="E217">
        <v>5.2364253053372598E-2</v>
      </c>
      <c r="F217" s="1">
        <v>46224.77155193287</v>
      </c>
      <c r="G217" t="s">
        <v>593</v>
      </c>
      <c r="H217" s="1">
        <v>46224.771551886573</v>
      </c>
      <c r="I217" t="s">
        <v>593</v>
      </c>
      <c r="J217" t="s">
        <v>4527</v>
      </c>
    </row>
    <row r="218" spans="1:10" x14ac:dyDescent="0.35">
      <c r="A218" t="s">
        <v>148</v>
      </c>
      <c r="B218" t="s">
        <v>591</v>
      </c>
      <c r="C218" t="s">
        <v>592</v>
      </c>
      <c r="D218" s="1">
        <v>46224</v>
      </c>
      <c r="E218">
        <v>5.0528677699378001E-2</v>
      </c>
      <c r="F218" s="1">
        <v>46224.771564432871</v>
      </c>
      <c r="G218" t="s">
        <v>593</v>
      </c>
      <c r="H218" s="1">
        <v>46224.771564467592</v>
      </c>
      <c r="I218" t="s">
        <v>593</v>
      </c>
      <c r="J218" t="s">
        <v>4528</v>
      </c>
    </row>
    <row r="219" spans="1:10" x14ac:dyDescent="0.35">
      <c r="A219" t="s">
        <v>173</v>
      </c>
      <c r="B219" t="s">
        <v>591</v>
      </c>
      <c r="C219" t="s">
        <v>592</v>
      </c>
      <c r="D219" s="1">
        <v>46224</v>
      </c>
      <c r="E219">
        <v>5.2374018076598999E-2</v>
      </c>
      <c r="F219" s="1">
        <v>46224.77155208333</v>
      </c>
      <c r="G219" t="s">
        <v>593</v>
      </c>
      <c r="H219" s="1">
        <v>46224.77155208333</v>
      </c>
      <c r="I219" t="s">
        <v>593</v>
      </c>
      <c r="J219" t="s">
        <v>4529</v>
      </c>
    </row>
    <row r="220" spans="1:10" x14ac:dyDescent="0.35">
      <c r="A220" t="s">
        <v>104</v>
      </c>
      <c r="B220" t="s">
        <v>591</v>
      </c>
      <c r="C220" t="s">
        <v>592</v>
      </c>
      <c r="D220" s="1">
        <v>46224</v>
      </c>
      <c r="E220">
        <v>5.0644936278604002E-2</v>
      </c>
      <c r="F220" s="1">
        <v>46224.771552199076</v>
      </c>
      <c r="G220" t="s">
        <v>593</v>
      </c>
      <c r="H220" s="1">
        <v>46224.771552280094</v>
      </c>
      <c r="I220" t="s">
        <v>593</v>
      </c>
      <c r="J220" t="s">
        <v>4530</v>
      </c>
    </row>
    <row r="221" spans="1:10" x14ac:dyDescent="0.35">
      <c r="A221" t="s">
        <v>231</v>
      </c>
      <c r="B221" t="s">
        <v>591</v>
      </c>
      <c r="C221" t="s">
        <v>592</v>
      </c>
      <c r="D221" s="1">
        <v>46224</v>
      </c>
      <c r="E221">
        <v>5.2259506319675797E-2</v>
      </c>
      <c r="F221" s="1">
        <v>46224.771552349535</v>
      </c>
      <c r="G221" t="s">
        <v>593</v>
      </c>
      <c r="H221" s="1">
        <v>46224.771552430553</v>
      </c>
      <c r="I221" t="s">
        <v>593</v>
      </c>
      <c r="J221" t="s">
        <v>4531</v>
      </c>
    </row>
    <row r="222" spans="1:10" x14ac:dyDescent="0.35">
      <c r="A222" t="s">
        <v>232</v>
      </c>
      <c r="B222" t="s">
        <v>591</v>
      </c>
      <c r="C222" t="s">
        <v>592</v>
      </c>
      <c r="D222" s="1">
        <v>46224</v>
      </c>
      <c r="E222">
        <v>2.9378237930924901E-2</v>
      </c>
      <c r="F222" s="1">
        <v>46224.771570173609</v>
      </c>
      <c r="G222" t="s">
        <v>593</v>
      </c>
      <c r="H222" s="1">
        <v>46224.771570219906</v>
      </c>
      <c r="I222" t="s">
        <v>593</v>
      </c>
      <c r="J222" t="s">
        <v>4532</v>
      </c>
    </row>
    <row r="223" spans="1:10" x14ac:dyDescent="0.35">
      <c r="A223" t="s">
        <v>187</v>
      </c>
      <c r="B223" t="s">
        <v>591</v>
      </c>
      <c r="C223" t="s">
        <v>592</v>
      </c>
      <c r="D223" s="1">
        <v>46224</v>
      </c>
      <c r="E223">
        <v>5.0697828390398797E-2</v>
      </c>
      <c r="F223" s="1">
        <v>46224.771570335652</v>
      </c>
      <c r="G223" t="s">
        <v>593</v>
      </c>
      <c r="H223" s="1">
        <v>46224.771570405093</v>
      </c>
      <c r="I223" t="s">
        <v>593</v>
      </c>
      <c r="J223" t="s">
        <v>4533</v>
      </c>
    </row>
    <row r="224" spans="1:10" x14ac:dyDescent="0.35">
      <c r="A224" t="s">
        <v>174</v>
      </c>
      <c r="B224" t="s">
        <v>591</v>
      </c>
      <c r="C224" t="s">
        <v>592</v>
      </c>
      <c r="D224" s="1">
        <v>46224</v>
      </c>
      <c r="E224">
        <v>5.2117539965126199E-2</v>
      </c>
      <c r="F224" s="1">
        <v>46224.771552511571</v>
      </c>
      <c r="G224" t="s">
        <v>593</v>
      </c>
      <c r="H224" s="1">
        <v>46224.771552627317</v>
      </c>
      <c r="I224" t="s">
        <v>593</v>
      </c>
      <c r="J224" t="s">
        <v>4534</v>
      </c>
    </row>
    <row r="225" spans="1:10" x14ac:dyDescent="0.35">
      <c r="A225" t="s">
        <v>214</v>
      </c>
      <c r="B225" t="s">
        <v>591</v>
      </c>
      <c r="C225" t="s">
        <v>592</v>
      </c>
      <c r="D225" s="1">
        <v>46224</v>
      </c>
      <c r="E225">
        <v>5.0634165622193202E-2</v>
      </c>
      <c r="F225" s="1">
        <v>46224.771552662038</v>
      </c>
      <c r="G225" t="s">
        <v>593</v>
      </c>
      <c r="H225" s="1">
        <v>46224.771552627317</v>
      </c>
      <c r="I225" t="s">
        <v>593</v>
      </c>
      <c r="J225" t="s">
        <v>4535</v>
      </c>
    </row>
    <row r="226" spans="1:10" x14ac:dyDescent="0.35">
      <c r="A226" t="s">
        <v>175</v>
      </c>
      <c r="B226" t="s">
        <v>591</v>
      </c>
      <c r="C226" t="s">
        <v>592</v>
      </c>
      <c r="D226" s="1">
        <v>46224</v>
      </c>
      <c r="E226">
        <v>5.2063836867885897E-2</v>
      </c>
      <c r="F226" s="1">
        <v>46224.771566863426</v>
      </c>
      <c r="G226" t="s">
        <v>593</v>
      </c>
      <c r="H226" s="1">
        <v>46224.771566782409</v>
      </c>
      <c r="I226" t="s">
        <v>593</v>
      </c>
      <c r="J226" t="s">
        <v>4536</v>
      </c>
    </row>
    <row r="227" spans="1:10" x14ac:dyDescent="0.35">
      <c r="A227" t="s">
        <v>188</v>
      </c>
      <c r="B227" t="s">
        <v>591</v>
      </c>
      <c r="C227" t="s">
        <v>592</v>
      </c>
      <c r="D227" s="1">
        <v>46224</v>
      </c>
      <c r="E227">
        <v>5.07305240114551E-2</v>
      </c>
      <c r="F227" s="1">
        <v>46224.77156458333</v>
      </c>
      <c r="G227" t="s">
        <v>593</v>
      </c>
      <c r="H227" s="1">
        <v>46224.771564467592</v>
      </c>
      <c r="I227" t="s">
        <v>593</v>
      </c>
      <c r="J227" t="s">
        <v>4537</v>
      </c>
    </row>
    <row r="228" spans="1:10" x14ac:dyDescent="0.35">
      <c r="A228" t="s">
        <v>215</v>
      </c>
      <c r="B228" t="s">
        <v>591</v>
      </c>
      <c r="C228" t="s">
        <v>592</v>
      </c>
      <c r="D228" s="1">
        <v>46224</v>
      </c>
      <c r="E228">
        <v>5.1902894920737498E-2</v>
      </c>
      <c r="F228" s="1">
        <v>46224.771572604164</v>
      </c>
      <c r="G228" t="s">
        <v>593</v>
      </c>
      <c r="H228" s="1">
        <v>46224.771572569443</v>
      </c>
      <c r="I228" t="s">
        <v>593</v>
      </c>
      <c r="J228" t="s">
        <v>4538</v>
      </c>
    </row>
    <row r="229" spans="1:10" x14ac:dyDescent="0.35">
      <c r="A229" t="s">
        <v>149</v>
      </c>
      <c r="B229" t="s">
        <v>591</v>
      </c>
      <c r="C229" t="s">
        <v>592</v>
      </c>
      <c r="D229" s="1">
        <v>46224</v>
      </c>
      <c r="E229">
        <v>5.07566795033777E-2</v>
      </c>
      <c r="F229" s="1">
        <v>46224.771567013886</v>
      </c>
      <c r="G229" t="s">
        <v>593</v>
      </c>
      <c r="H229" s="1">
        <v>46224.771566979165</v>
      </c>
      <c r="I229" t="s">
        <v>593</v>
      </c>
      <c r="J229" t="s">
        <v>4539</v>
      </c>
    </row>
    <row r="230" spans="1:10" x14ac:dyDescent="0.35">
      <c r="A230" t="s">
        <v>150</v>
      </c>
      <c r="B230" t="s">
        <v>591</v>
      </c>
      <c r="C230" t="s">
        <v>592</v>
      </c>
      <c r="D230" s="1">
        <v>46224</v>
      </c>
      <c r="E230">
        <v>5.18959382697032E-2</v>
      </c>
      <c r="F230" s="1">
        <v>46224.771567164353</v>
      </c>
      <c r="G230" t="s">
        <v>593</v>
      </c>
      <c r="H230" s="1">
        <v>46224.771567129632</v>
      </c>
      <c r="I230" t="s">
        <v>593</v>
      </c>
      <c r="J230" t="s">
        <v>4540</v>
      </c>
    </row>
    <row r="231" spans="1:10" x14ac:dyDescent="0.35">
      <c r="A231" t="s">
        <v>151</v>
      </c>
      <c r="B231" t="s">
        <v>591</v>
      </c>
      <c r="C231" t="s">
        <v>592</v>
      </c>
      <c r="D231" s="1">
        <v>46224</v>
      </c>
      <c r="E231">
        <v>2.95245889495288E-2</v>
      </c>
      <c r="F231" s="1">
        <v>46224.771539155096</v>
      </c>
      <c r="G231" t="s">
        <v>593</v>
      </c>
      <c r="H231" s="1">
        <v>46224.771539270834</v>
      </c>
      <c r="I231" t="s">
        <v>593</v>
      </c>
      <c r="J231" t="s">
        <v>4541</v>
      </c>
    </row>
    <row r="232" spans="1:10" x14ac:dyDescent="0.35">
      <c r="A232" t="s">
        <v>176</v>
      </c>
      <c r="B232" t="s">
        <v>591</v>
      </c>
      <c r="C232" t="s">
        <v>592</v>
      </c>
      <c r="D232" s="1">
        <v>46224</v>
      </c>
      <c r="E232">
        <v>5.0876767825755197E-2</v>
      </c>
      <c r="F232" s="1">
        <v>46224.771575960651</v>
      </c>
      <c r="G232" t="s">
        <v>593</v>
      </c>
      <c r="H232" s="1">
        <v>46224.771576041669</v>
      </c>
      <c r="I232" t="s">
        <v>593</v>
      </c>
      <c r="J232" t="s">
        <v>4542</v>
      </c>
    </row>
    <row r="233" spans="1:10" x14ac:dyDescent="0.35">
      <c r="A233" t="s">
        <v>177</v>
      </c>
      <c r="B233" t="s">
        <v>591</v>
      </c>
      <c r="C233" t="s">
        <v>592</v>
      </c>
      <c r="D233" s="1">
        <v>46224</v>
      </c>
      <c r="E233">
        <v>5.1883709290607698E-2</v>
      </c>
      <c r="F233" s="1">
        <v>46224.771564733797</v>
      </c>
      <c r="G233" t="s">
        <v>593</v>
      </c>
      <c r="H233" s="1">
        <v>46224.771564664348</v>
      </c>
      <c r="I233" t="s">
        <v>593</v>
      </c>
      <c r="J233" t="s">
        <v>4543</v>
      </c>
    </row>
    <row r="234" spans="1:10" x14ac:dyDescent="0.35">
      <c r="A234" t="s">
        <v>229</v>
      </c>
      <c r="B234" t="s">
        <v>591</v>
      </c>
      <c r="C234" t="s">
        <v>592</v>
      </c>
      <c r="D234" s="1">
        <v>46224</v>
      </c>
      <c r="E234">
        <v>5.0961979418729597E-2</v>
      </c>
      <c r="F234" s="1">
        <v>46224.771564895833</v>
      </c>
      <c r="G234" t="s">
        <v>593</v>
      </c>
      <c r="H234" s="1">
        <v>46224.771564849536</v>
      </c>
      <c r="I234" t="s">
        <v>593</v>
      </c>
      <c r="J234" t="s">
        <v>4544</v>
      </c>
    </row>
    <row r="235" spans="1:10" x14ac:dyDescent="0.35">
      <c r="A235" t="s">
        <v>216</v>
      </c>
      <c r="B235" t="s">
        <v>591</v>
      </c>
      <c r="C235" t="s">
        <v>592</v>
      </c>
      <c r="D235" s="1">
        <v>46224</v>
      </c>
      <c r="E235">
        <v>5.17743518675347E-2</v>
      </c>
      <c r="F235" s="1">
        <v>46224.771567326388</v>
      </c>
      <c r="G235" t="s">
        <v>593</v>
      </c>
      <c r="H235" s="1">
        <v>46224.771567326388</v>
      </c>
      <c r="I235" t="s">
        <v>593</v>
      </c>
      <c r="J235" t="s">
        <v>4545</v>
      </c>
    </row>
    <row r="236" spans="1:10" x14ac:dyDescent="0.35">
      <c r="A236" t="s">
        <v>233</v>
      </c>
      <c r="B236" t="s">
        <v>591</v>
      </c>
      <c r="C236" t="s">
        <v>592</v>
      </c>
      <c r="D236" s="1">
        <v>46224</v>
      </c>
      <c r="E236">
        <v>5.0973602463409901E-2</v>
      </c>
      <c r="F236" s="1">
        <v>46224.771539317131</v>
      </c>
      <c r="G236" t="s">
        <v>593</v>
      </c>
      <c r="H236" s="1">
        <v>46224.77153943287</v>
      </c>
      <c r="I236" t="s">
        <v>593</v>
      </c>
      <c r="J236" t="s">
        <v>4546</v>
      </c>
    </row>
    <row r="237" spans="1:10" x14ac:dyDescent="0.35">
      <c r="A237" t="s">
        <v>105</v>
      </c>
      <c r="B237" t="s">
        <v>591</v>
      </c>
      <c r="C237" t="s">
        <v>592</v>
      </c>
      <c r="D237" s="1">
        <v>46224</v>
      </c>
      <c r="E237">
        <v>5.1678382755991098E-2</v>
      </c>
      <c r="F237" s="1">
        <v>46224.771584062502</v>
      </c>
      <c r="G237" t="s">
        <v>593</v>
      </c>
      <c r="H237" s="1">
        <v>46224.77158414352</v>
      </c>
      <c r="I237" t="s">
        <v>593</v>
      </c>
      <c r="J237" t="s">
        <v>4547</v>
      </c>
    </row>
    <row r="238" spans="1:10" x14ac:dyDescent="0.35">
      <c r="A238" t="s">
        <v>178</v>
      </c>
      <c r="B238" t="s">
        <v>591</v>
      </c>
      <c r="C238" t="s">
        <v>592</v>
      </c>
      <c r="D238" s="1">
        <v>46224</v>
      </c>
      <c r="E238">
        <v>5.0957556976952E-2</v>
      </c>
      <c r="F238" s="1">
        <v>46224.771567476855</v>
      </c>
      <c r="G238" t="s">
        <v>593</v>
      </c>
      <c r="H238" s="1">
        <v>46224.771567511576</v>
      </c>
      <c r="I238" t="s">
        <v>593</v>
      </c>
      <c r="J238" t="s">
        <v>4548</v>
      </c>
    </row>
    <row r="239" spans="1:10" x14ac:dyDescent="0.35">
      <c r="A239" t="s">
        <v>217</v>
      </c>
      <c r="B239" t="s">
        <v>591</v>
      </c>
      <c r="C239" t="s">
        <v>592</v>
      </c>
      <c r="D239" s="1">
        <v>46224</v>
      </c>
      <c r="E239">
        <v>5.16974787244757E-2</v>
      </c>
      <c r="F239" s="1">
        <v>46224.771572800928</v>
      </c>
      <c r="G239" t="s">
        <v>593</v>
      </c>
      <c r="H239" s="1">
        <v>46224.771572766207</v>
      </c>
      <c r="I239" t="s">
        <v>593</v>
      </c>
      <c r="J239" t="s">
        <v>4549</v>
      </c>
    </row>
    <row r="240" spans="1:10" x14ac:dyDescent="0.35">
      <c r="A240" t="s">
        <v>152</v>
      </c>
      <c r="B240" t="s">
        <v>591</v>
      </c>
      <c r="C240" t="s">
        <v>592</v>
      </c>
      <c r="D240" s="1">
        <v>46224</v>
      </c>
      <c r="E240">
        <v>2.9497800890148699E-2</v>
      </c>
      <c r="F240" s="1">
        <v>46224.771567592594</v>
      </c>
      <c r="G240" t="s">
        <v>593</v>
      </c>
      <c r="H240" s="1">
        <v>46224.771567673612</v>
      </c>
      <c r="I240" t="s">
        <v>593</v>
      </c>
      <c r="J240" t="s">
        <v>4550</v>
      </c>
    </row>
    <row r="241" spans="1:10" x14ac:dyDescent="0.35">
      <c r="A241" t="s">
        <v>189</v>
      </c>
      <c r="B241" t="s">
        <v>591</v>
      </c>
      <c r="C241" t="s">
        <v>592</v>
      </c>
      <c r="D241" s="1">
        <v>46224</v>
      </c>
      <c r="E241">
        <v>5.1123916641305202E-2</v>
      </c>
      <c r="F241" s="1">
        <v>46224.771576122686</v>
      </c>
      <c r="G241" t="s">
        <v>593</v>
      </c>
      <c r="H241" s="1">
        <v>46224.771576238425</v>
      </c>
      <c r="I241" t="s">
        <v>593</v>
      </c>
      <c r="J241" t="s">
        <v>4551</v>
      </c>
    </row>
    <row r="242" spans="1:10" x14ac:dyDescent="0.35">
      <c r="A242" t="s">
        <v>190</v>
      </c>
      <c r="B242" t="s">
        <v>591</v>
      </c>
      <c r="C242" t="s">
        <v>592</v>
      </c>
      <c r="D242" s="1">
        <v>46224</v>
      </c>
      <c r="E242">
        <v>5.1575855007035099E-2</v>
      </c>
      <c r="F242" s="1">
        <v>46224.771567743053</v>
      </c>
      <c r="G242" t="s">
        <v>593</v>
      </c>
      <c r="H242" s="1">
        <v>46224.771567673612</v>
      </c>
      <c r="I242" t="s">
        <v>593</v>
      </c>
      <c r="J242" t="s">
        <v>4552</v>
      </c>
    </row>
    <row r="243" spans="1:10" x14ac:dyDescent="0.35">
      <c r="A243" t="s">
        <v>218</v>
      </c>
      <c r="B243" t="s">
        <v>591</v>
      </c>
      <c r="C243" t="s">
        <v>592</v>
      </c>
      <c r="D243" s="1">
        <v>46224</v>
      </c>
      <c r="E243">
        <v>5.1160997084078799E-2</v>
      </c>
      <c r="F243" s="1">
        <v>46224.7715650463</v>
      </c>
      <c r="G243" t="s">
        <v>593</v>
      </c>
      <c r="H243" s="1">
        <v>46224.7715650463</v>
      </c>
      <c r="I243" t="s">
        <v>593</v>
      </c>
      <c r="J243" t="s">
        <v>4553</v>
      </c>
    </row>
    <row r="244" spans="1:10" x14ac:dyDescent="0.35">
      <c r="A244" t="s">
        <v>106</v>
      </c>
      <c r="B244" t="s">
        <v>591</v>
      </c>
      <c r="C244" t="s">
        <v>592</v>
      </c>
      <c r="D244" s="1">
        <v>46224</v>
      </c>
      <c r="E244">
        <v>5.1579571267966397E-2</v>
      </c>
      <c r="F244" s="1">
        <v>46224.771565162038</v>
      </c>
      <c r="G244" t="s">
        <v>593</v>
      </c>
      <c r="H244" s="1">
        <v>46224.771565243056</v>
      </c>
      <c r="I244" t="s">
        <v>593</v>
      </c>
      <c r="J244" t="s">
        <v>4554</v>
      </c>
    </row>
    <row r="245" spans="1:10" x14ac:dyDescent="0.35">
      <c r="A245" t="s">
        <v>247</v>
      </c>
      <c r="B245" t="s">
        <v>591</v>
      </c>
      <c r="C245" t="s">
        <v>592</v>
      </c>
      <c r="D245" s="1">
        <v>46224</v>
      </c>
      <c r="E245">
        <v>5.13306899744864E-2</v>
      </c>
      <c r="F245" s="1">
        <v>46224.771584224538</v>
      </c>
      <c r="G245" t="s">
        <v>593</v>
      </c>
      <c r="H245" s="1">
        <v>46224.771584340277</v>
      </c>
      <c r="I245" t="s">
        <v>593</v>
      </c>
      <c r="J245" t="s">
        <v>4555</v>
      </c>
    </row>
    <row r="246" spans="1:10" x14ac:dyDescent="0.35">
      <c r="A246" t="s">
        <v>107</v>
      </c>
      <c r="B246" t="s">
        <v>591</v>
      </c>
      <c r="C246" t="s">
        <v>592</v>
      </c>
      <c r="D246" s="1">
        <v>46224</v>
      </c>
      <c r="E246">
        <v>5.15480417430354E-2</v>
      </c>
      <c r="F246" s="1">
        <v>46224.771565312498</v>
      </c>
      <c r="G246" t="s">
        <v>593</v>
      </c>
      <c r="H246" s="1">
        <v>46224.771565393516</v>
      </c>
      <c r="I246" t="s">
        <v>593</v>
      </c>
      <c r="J246" t="s">
        <v>4556</v>
      </c>
    </row>
    <row r="247" spans="1:10" x14ac:dyDescent="0.35">
      <c r="A247" t="s">
        <v>219</v>
      </c>
      <c r="B247" t="s">
        <v>591</v>
      </c>
      <c r="C247" t="s">
        <v>592</v>
      </c>
      <c r="D247" s="1">
        <v>46224</v>
      </c>
      <c r="E247">
        <v>5.12956879204527E-2</v>
      </c>
      <c r="F247" s="1">
        <v>46224.771565509262</v>
      </c>
      <c r="G247" t="s">
        <v>593</v>
      </c>
      <c r="H247" s="1">
        <v>46224.771565393516</v>
      </c>
      <c r="I247" t="s">
        <v>593</v>
      </c>
      <c r="J247" t="s">
        <v>4557</v>
      </c>
    </row>
    <row r="248" spans="1:10" x14ac:dyDescent="0.35">
      <c r="A248" t="s">
        <v>108</v>
      </c>
      <c r="B248" t="s">
        <v>591</v>
      </c>
      <c r="C248" t="s">
        <v>592</v>
      </c>
      <c r="D248" s="1">
        <v>46224</v>
      </c>
      <c r="E248">
        <v>5.1488939469362102E-2</v>
      </c>
      <c r="F248" s="1">
        <v>46224.771565625</v>
      </c>
      <c r="G248" t="s">
        <v>593</v>
      </c>
      <c r="H248" s="1">
        <v>46224.771565590279</v>
      </c>
      <c r="I248" t="s">
        <v>593</v>
      </c>
      <c r="J248" t="s">
        <v>4558</v>
      </c>
    </row>
    <row r="249" spans="1:10" x14ac:dyDescent="0.35">
      <c r="A249" t="s">
        <v>191</v>
      </c>
      <c r="B249" t="s">
        <v>591</v>
      </c>
      <c r="C249" t="s">
        <v>592</v>
      </c>
      <c r="D249" s="1">
        <v>46224</v>
      </c>
      <c r="E249">
        <v>2.94267780111588E-2</v>
      </c>
      <c r="F249" s="1">
        <v>46224.771539467591</v>
      </c>
      <c r="G249" t="s">
        <v>593</v>
      </c>
      <c r="H249" s="1">
        <v>46224.771539618057</v>
      </c>
      <c r="I249" t="s">
        <v>593</v>
      </c>
      <c r="J249" t="s">
        <v>4559</v>
      </c>
    </row>
    <row r="250" spans="1:10" x14ac:dyDescent="0.35">
      <c r="A250" t="s">
        <v>234</v>
      </c>
      <c r="B250" t="s">
        <v>591</v>
      </c>
      <c r="C250" t="s">
        <v>592</v>
      </c>
      <c r="D250" s="1">
        <v>46224</v>
      </c>
      <c r="E250">
        <v>5.1324524863629699E-2</v>
      </c>
      <c r="F250" s="1">
        <v>46224.771623379631</v>
      </c>
      <c r="G250" t="s">
        <v>593</v>
      </c>
      <c r="H250" s="1">
        <v>46224.771623298613</v>
      </c>
      <c r="I250" t="s">
        <v>593</v>
      </c>
      <c r="J250" t="s">
        <v>4560</v>
      </c>
    </row>
    <row r="251" spans="1:10" x14ac:dyDescent="0.35">
      <c r="A251" t="s">
        <v>153</v>
      </c>
      <c r="B251" t="s">
        <v>591</v>
      </c>
      <c r="C251" t="s">
        <v>592</v>
      </c>
      <c r="D251" s="1">
        <v>46224</v>
      </c>
      <c r="E251">
        <v>5.14595908762129E-2</v>
      </c>
      <c r="F251" s="1">
        <v>46224.771555868057</v>
      </c>
      <c r="G251" t="s">
        <v>593</v>
      </c>
      <c r="H251" s="1">
        <v>46224.771555937499</v>
      </c>
      <c r="I251" t="s">
        <v>593</v>
      </c>
      <c r="J251" t="s">
        <v>4561</v>
      </c>
    </row>
    <row r="252" spans="1:10" x14ac:dyDescent="0.35">
      <c r="A252" t="s">
        <v>109</v>
      </c>
      <c r="B252" t="s">
        <v>591</v>
      </c>
      <c r="C252" t="s">
        <v>592</v>
      </c>
      <c r="D252" s="1">
        <v>46224</v>
      </c>
      <c r="E252">
        <v>5.1311562717588098E-2</v>
      </c>
      <c r="F252" s="1">
        <v>46224.771556018517</v>
      </c>
      <c r="G252" t="s">
        <v>593</v>
      </c>
      <c r="H252" s="1">
        <v>46224.771556134256</v>
      </c>
      <c r="I252" t="s">
        <v>593</v>
      </c>
      <c r="J252" t="s">
        <v>4562</v>
      </c>
    </row>
    <row r="253" spans="1:10" x14ac:dyDescent="0.35">
      <c r="A253" t="s">
        <v>110</v>
      </c>
      <c r="B253" t="s">
        <v>591</v>
      </c>
      <c r="C253" t="s">
        <v>592</v>
      </c>
      <c r="D253" s="1">
        <v>46224</v>
      </c>
      <c r="E253">
        <v>5.14191052311989E-2</v>
      </c>
      <c r="F253" s="1">
        <v>46224.771570486111</v>
      </c>
      <c r="G253" t="s">
        <v>593</v>
      </c>
      <c r="H253" s="1">
        <v>46224.771570567129</v>
      </c>
      <c r="I253" t="s">
        <v>593</v>
      </c>
      <c r="J253" t="s">
        <v>4563</v>
      </c>
    </row>
    <row r="254" spans="1:10" x14ac:dyDescent="0.35">
      <c r="A254" t="s">
        <v>154</v>
      </c>
      <c r="B254" t="s">
        <v>591</v>
      </c>
      <c r="C254" t="s">
        <v>592</v>
      </c>
      <c r="D254" s="1">
        <v>46224</v>
      </c>
      <c r="E254">
        <v>5.1402520980234401E-2</v>
      </c>
      <c r="F254" s="1">
        <v>46224.771570636571</v>
      </c>
      <c r="G254" t="s">
        <v>593</v>
      </c>
      <c r="H254" s="1">
        <v>46224.771570567129</v>
      </c>
      <c r="I254" t="s">
        <v>593</v>
      </c>
      <c r="J254" t="s">
        <v>4564</v>
      </c>
    </row>
    <row r="255" spans="1:10" x14ac:dyDescent="0.35">
      <c r="A255" t="s">
        <v>111</v>
      </c>
      <c r="B255" t="s">
        <v>591</v>
      </c>
      <c r="C255" t="s">
        <v>592</v>
      </c>
      <c r="D255" s="1">
        <v>46224</v>
      </c>
      <c r="E255">
        <v>5.13962622466771E-2</v>
      </c>
      <c r="F255" s="1">
        <v>46224.771556168984</v>
      </c>
      <c r="G255" t="s">
        <v>593</v>
      </c>
      <c r="H255" s="1">
        <v>46224.771556134256</v>
      </c>
      <c r="I255" t="s">
        <v>593</v>
      </c>
      <c r="J255" t="s">
        <v>4565</v>
      </c>
    </row>
    <row r="256" spans="1:10" x14ac:dyDescent="0.35">
      <c r="A256" t="s">
        <v>155</v>
      </c>
      <c r="B256" t="s">
        <v>591</v>
      </c>
      <c r="C256" t="s">
        <v>592</v>
      </c>
      <c r="D256" s="1">
        <v>46224</v>
      </c>
      <c r="E256">
        <v>5.14526384431232E-2</v>
      </c>
      <c r="F256" s="1">
        <v>46224.771570798614</v>
      </c>
      <c r="G256" t="s">
        <v>593</v>
      </c>
      <c r="H256" s="1">
        <v>46224.771570752317</v>
      </c>
      <c r="I256" t="s">
        <v>593</v>
      </c>
      <c r="J256" t="s">
        <v>4566</v>
      </c>
    </row>
    <row r="257" spans="1:10" x14ac:dyDescent="0.35">
      <c r="A257" t="s">
        <v>112</v>
      </c>
      <c r="B257" t="s">
        <v>591</v>
      </c>
      <c r="C257" t="s">
        <v>592</v>
      </c>
      <c r="D257" s="1">
        <v>46224</v>
      </c>
      <c r="E257">
        <v>5.1329507364173799E-2</v>
      </c>
      <c r="F257" s="1">
        <v>46224.77155636574</v>
      </c>
      <c r="G257" t="s">
        <v>593</v>
      </c>
      <c r="H257" s="1">
        <v>46224.771556331019</v>
      </c>
      <c r="I257" t="s">
        <v>593</v>
      </c>
      <c r="J257" t="s">
        <v>4567</v>
      </c>
    </row>
    <row r="258" spans="1:10" x14ac:dyDescent="0.35">
      <c r="A258" t="s">
        <v>220</v>
      </c>
      <c r="B258" t="s">
        <v>591</v>
      </c>
      <c r="C258" t="s">
        <v>592</v>
      </c>
      <c r="D258" s="1">
        <v>46224</v>
      </c>
      <c r="E258">
        <v>2.9292648320785201E-2</v>
      </c>
      <c r="F258" s="1">
        <v>46224.771567939817</v>
      </c>
      <c r="G258" t="s">
        <v>593</v>
      </c>
      <c r="H258" s="1">
        <v>46224.771567858799</v>
      </c>
      <c r="I258" t="s">
        <v>593</v>
      </c>
      <c r="J258" t="s">
        <v>4568</v>
      </c>
    </row>
    <row r="259" spans="1:10" x14ac:dyDescent="0.35">
      <c r="A259" t="s">
        <v>113</v>
      </c>
      <c r="B259" t="s">
        <v>591</v>
      </c>
      <c r="C259" t="s">
        <v>592</v>
      </c>
      <c r="D259" s="1">
        <v>46224</v>
      </c>
      <c r="E259">
        <v>5.1494600002811697E-2</v>
      </c>
      <c r="F259" s="1">
        <v>46224.771568055556</v>
      </c>
      <c r="G259" t="s">
        <v>593</v>
      </c>
      <c r="H259" s="1">
        <v>46224.771568055556</v>
      </c>
      <c r="I259" t="s">
        <v>593</v>
      </c>
      <c r="J259" t="s">
        <v>4569</v>
      </c>
    </row>
    <row r="260" spans="1:10" x14ac:dyDescent="0.35">
      <c r="A260" t="s">
        <v>1658</v>
      </c>
      <c r="B260" t="s">
        <v>591</v>
      </c>
      <c r="C260" t="s">
        <v>592</v>
      </c>
      <c r="D260" s="1">
        <v>46224</v>
      </c>
      <c r="E260">
        <v>5.1301719984302302E-2</v>
      </c>
      <c r="F260" s="1">
        <v>46224.77156577546</v>
      </c>
      <c r="G260" t="s">
        <v>593</v>
      </c>
      <c r="H260" s="1">
        <v>46224.771565856485</v>
      </c>
      <c r="I260" t="s">
        <v>593</v>
      </c>
      <c r="J260" t="s">
        <v>4570</v>
      </c>
    </row>
    <row r="261" spans="1:10" x14ac:dyDescent="0.35">
      <c r="A261" t="s">
        <v>1664</v>
      </c>
      <c r="B261" t="s">
        <v>591</v>
      </c>
      <c r="C261" t="s">
        <v>592</v>
      </c>
      <c r="D261" s="1">
        <v>46224</v>
      </c>
      <c r="E261">
        <v>5.1418920153221997E-2</v>
      </c>
      <c r="F261" s="1">
        <v>46224.771556481479</v>
      </c>
      <c r="G261" t="s">
        <v>593</v>
      </c>
      <c r="H261" s="1">
        <v>46224.771556481479</v>
      </c>
      <c r="I261" t="s">
        <v>593</v>
      </c>
      <c r="J261" t="s">
        <v>4571</v>
      </c>
    </row>
    <row r="262" spans="1:10" x14ac:dyDescent="0.35">
      <c r="A262" t="s">
        <v>273</v>
      </c>
      <c r="B262" t="s">
        <v>591</v>
      </c>
      <c r="C262" t="s">
        <v>592</v>
      </c>
      <c r="D262" s="1">
        <v>46224</v>
      </c>
      <c r="E262">
        <v>4.24597765558654E-2</v>
      </c>
      <c r="F262" s="1">
        <v>46224.771556678243</v>
      </c>
      <c r="G262" t="s">
        <v>593</v>
      </c>
      <c r="H262" s="1">
        <v>46224.771556678243</v>
      </c>
      <c r="I262" t="s">
        <v>593</v>
      </c>
      <c r="J262" t="s">
        <v>4572</v>
      </c>
    </row>
    <row r="263" spans="1:10" x14ac:dyDescent="0.35">
      <c r="A263" t="s">
        <v>156</v>
      </c>
      <c r="B263" t="s">
        <v>591</v>
      </c>
      <c r="C263" t="s">
        <v>592</v>
      </c>
      <c r="D263" s="1">
        <v>46224</v>
      </c>
      <c r="E263">
        <v>4.2519605407033603E-2</v>
      </c>
      <c r="F263" s="1">
        <v>46224.771556828702</v>
      </c>
      <c r="G263" t="s">
        <v>593</v>
      </c>
      <c r="H263" s="1">
        <v>46224.771556828702</v>
      </c>
      <c r="I263" t="s">
        <v>593</v>
      </c>
      <c r="J263" t="s">
        <v>4573</v>
      </c>
    </row>
    <row r="264" spans="1:10" x14ac:dyDescent="0.35">
      <c r="A264" t="s">
        <v>235</v>
      </c>
      <c r="B264" t="s">
        <v>591</v>
      </c>
      <c r="C264" t="s">
        <v>592</v>
      </c>
      <c r="D264" s="1">
        <v>46224</v>
      </c>
      <c r="E264">
        <v>4.0914715015443602E-2</v>
      </c>
      <c r="F264" s="1">
        <v>46224.771556979169</v>
      </c>
      <c r="G264" t="s">
        <v>593</v>
      </c>
      <c r="H264" s="1">
        <v>46224.771557025466</v>
      </c>
      <c r="I264" t="s">
        <v>593</v>
      </c>
      <c r="J264" t="s">
        <v>4574</v>
      </c>
    </row>
    <row r="265" spans="1:10" x14ac:dyDescent="0.35">
      <c r="A265" t="s">
        <v>269</v>
      </c>
      <c r="B265" t="s">
        <v>591</v>
      </c>
      <c r="C265" t="s">
        <v>592</v>
      </c>
      <c r="D265" s="1">
        <v>46224</v>
      </c>
      <c r="E265">
        <v>4.2904849036379797E-2</v>
      </c>
      <c r="F265" s="1">
        <v>46224.771568206015</v>
      </c>
      <c r="G265" t="s">
        <v>593</v>
      </c>
      <c r="H265" s="1">
        <v>46224.771568252312</v>
      </c>
      <c r="I265" t="s">
        <v>593</v>
      </c>
      <c r="J265" t="s">
        <v>4575</v>
      </c>
    </row>
    <row r="266" spans="1:10" x14ac:dyDescent="0.35">
      <c r="A266" t="s">
        <v>1982</v>
      </c>
      <c r="B266" t="s">
        <v>591</v>
      </c>
      <c r="C266" t="s">
        <v>592</v>
      </c>
      <c r="D266" s="1">
        <v>46224</v>
      </c>
      <c r="E266">
        <v>3.6244993934413397E-2</v>
      </c>
      <c r="F266" s="1">
        <v>46224.771568368058</v>
      </c>
      <c r="G266" t="s">
        <v>593</v>
      </c>
      <c r="H266" s="1">
        <v>46224.771568402779</v>
      </c>
      <c r="I266" t="s">
        <v>593</v>
      </c>
      <c r="J266" t="s">
        <v>4576</v>
      </c>
    </row>
    <row r="267" spans="1:10" x14ac:dyDescent="0.35">
      <c r="A267" t="s">
        <v>2263</v>
      </c>
      <c r="B267" t="s">
        <v>591</v>
      </c>
      <c r="C267" t="s">
        <v>592</v>
      </c>
      <c r="D267" s="1">
        <v>46224</v>
      </c>
      <c r="E267">
        <v>3.9559996598361603E-2</v>
      </c>
      <c r="F267" s="1">
        <v>46224.771557256943</v>
      </c>
      <c r="G267" t="s">
        <v>593</v>
      </c>
      <c r="H267" s="1">
        <v>46224.771557210646</v>
      </c>
      <c r="I267" t="s">
        <v>593</v>
      </c>
      <c r="J267" t="s">
        <v>4577</v>
      </c>
    </row>
    <row r="268" spans="1:10" x14ac:dyDescent="0.35">
      <c r="A268" t="s">
        <v>2228</v>
      </c>
      <c r="B268" t="s">
        <v>591</v>
      </c>
      <c r="C268" t="s">
        <v>592</v>
      </c>
      <c r="D268" s="1">
        <v>46224</v>
      </c>
      <c r="E268">
        <v>3.96549979085698E-2</v>
      </c>
      <c r="F268" s="1">
        <v>46224.771565937503</v>
      </c>
      <c r="G268" t="s">
        <v>593</v>
      </c>
      <c r="H268" s="1">
        <v>46224.771565856485</v>
      </c>
      <c r="I268" t="s">
        <v>593</v>
      </c>
      <c r="J268" t="s">
        <v>4578</v>
      </c>
    </row>
    <row r="269" spans="1:10" x14ac:dyDescent="0.35">
      <c r="A269" t="s">
        <v>2230</v>
      </c>
      <c r="B269" t="s">
        <v>591</v>
      </c>
      <c r="C269" t="s">
        <v>592</v>
      </c>
      <c r="D269" s="1">
        <v>46224</v>
      </c>
      <c r="E269">
        <v>3.9749998679601599E-2</v>
      </c>
      <c r="F269" s="1">
        <v>46224.771570949073</v>
      </c>
      <c r="G269" t="s">
        <v>593</v>
      </c>
      <c r="H269" s="1">
        <v>46224.771570949073</v>
      </c>
      <c r="I269" t="s">
        <v>593</v>
      </c>
      <c r="J269" t="s">
        <v>4579</v>
      </c>
    </row>
    <row r="270" spans="1:10" x14ac:dyDescent="0.35">
      <c r="A270" t="s">
        <v>274</v>
      </c>
      <c r="B270" t="s">
        <v>591</v>
      </c>
      <c r="C270" t="s">
        <v>592</v>
      </c>
      <c r="D270" s="1">
        <v>46224</v>
      </c>
      <c r="E270">
        <v>4.3004814698863497E-2</v>
      </c>
      <c r="F270" s="1">
        <v>46224.771584374997</v>
      </c>
      <c r="G270" t="s">
        <v>593</v>
      </c>
      <c r="H270" s="1">
        <v>46224.771584490743</v>
      </c>
      <c r="I270" t="s">
        <v>593</v>
      </c>
      <c r="J270" t="s">
        <v>4580</v>
      </c>
    </row>
    <row r="271" spans="1:10" x14ac:dyDescent="0.35">
      <c r="A271" t="s">
        <v>2255</v>
      </c>
      <c r="B271" t="s">
        <v>591</v>
      </c>
      <c r="C271" t="s">
        <v>592</v>
      </c>
      <c r="D271" s="1">
        <v>46224</v>
      </c>
      <c r="E271">
        <v>3.9899999102326701E-2</v>
      </c>
      <c r="F271" s="1">
        <v>46224.771568518518</v>
      </c>
      <c r="G271" t="s">
        <v>593</v>
      </c>
      <c r="H271" s="1">
        <v>46224.771568599535</v>
      </c>
      <c r="I271" t="s">
        <v>593</v>
      </c>
      <c r="J271" t="s">
        <v>4581</v>
      </c>
    </row>
    <row r="272" spans="1:10" x14ac:dyDescent="0.35">
      <c r="A272" t="s">
        <v>2265</v>
      </c>
      <c r="B272" t="s">
        <v>591</v>
      </c>
      <c r="C272" t="s">
        <v>592</v>
      </c>
      <c r="D272" s="1">
        <v>46224</v>
      </c>
      <c r="E272">
        <v>4.0034999074516901E-2</v>
      </c>
      <c r="F272" s="1">
        <v>46224.771572916667</v>
      </c>
      <c r="G272" t="s">
        <v>593</v>
      </c>
      <c r="H272" s="1">
        <v>46224.771572951387</v>
      </c>
      <c r="I272" t="s">
        <v>593</v>
      </c>
      <c r="J272" t="s">
        <v>4582</v>
      </c>
    </row>
    <row r="273" spans="1:10" x14ac:dyDescent="0.35">
      <c r="A273" t="s">
        <v>2193</v>
      </c>
      <c r="B273" t="s">
        <v>591</v>
      </c>
      <c r="C273" t="s">
        <v>592</v>
      </c>
      <c r="D273" s="1">
        <v>46224</v>
      </c>
      <c r="E273">
        <v>4.1109215445607902E-2</v>
      </c>
      <c r="F273" s="1">
        <v>46224.77155740741</v>
      </c>
      <c r="G273" t="s">
        <v>593</v>
      </c>
      <c r="H273" s="1">
        <v>46224.771557372682</v>
      </c>
      <c r="I273" t="s">
        <v>593</v>
      </c>
      <c r="J273" t="s">
        <v>4583</v>
      </c>
    </row>
    <row r="274" spans="1:10" x14ac:dyDescent="0.35">
      <c r="A274" t="s">
        <v>157</v>
      </c>
      <c r="B274" t="s">
        <v>591</v>
      </c>
      <c r="C274" t="s">
        <v>592</v>
      </c>
      <c r="D274" s="1">
        <v>46224</v>
      </c>
      <c r="E274">
        <v>4.3168179563217897E-2</v>
      </c>
      <c r="F274" s="1">
        <v>46224.77155755787</v>
      </c>
      <c r="G274" t="s">
        <v>593</v>
      </c>
      <c r="H274" s="1">
        <v>46224.77155755787</v>
      </c>
      <c r="I274" t="s">
        <v>593</v>
      </c>
      <c r="J274" t="s">
        <v>4584</v>
      </c>
    </row>
    <row r="275" spans="1:10" x14ac:dyDescent="0.35">
      <c r="A275" t="s">
        <v>2257</v>
      </c>
      <c r="B275" t="s">
        <v>591</v>
      </c>
      <c r="C275" t="s">
        <v>592</v>
      </c>
      <c r="D275" s="1">
        <v>46224</v>
      </c>
      <c r="E275">
        <v>4.0320856541214298E-2</v>
      </c>
      <c r="F275" s="1">
        <v>46224.771566087962</v>
      </c>
      <c r="G275" t="s">
        <v>593</v>
      </c>
      <c r="H275" s="1">
        <v>46224.771566053241</v>
      </c>
      <c r="I275" t="s">
        <v>593</v>
      </c>
      <c r="J275" t="s">
        <v>4585</v>
      </c>
    </row>
    <row r="276" spans="1:10" x14ac:dyDescent="0.35">
      <c r="A276" t="s">
        <v>2232</v>
      </c>
      <c r="B276" t="s">
        <v>591</v>
      </c>
      <c r="C276" t="s">
        <v>592</v>
      </c>
      <c r="D276" s="1">
        <v>46224</v>
      </c>
      <c r="E276">
        <v>4.0439998526251499E-2</v>
      </c>
      <c r="F276" s="1">
        <v>46224.771566238429</v>
      </c>
      <c r="G276" t="s">
        <v>593</v>
      </c>
      <c r="H276" s="1">
        <v>46224.771566238429</v>
      </c>
      <c r="I276" t="s">
        <v>593</v>
      </c>
      <c r="J276" t="s">
        <v>4586</v>
      </c>
    </row>
    <row r="277" spans="1:10" x14ac:dyDescent="0.35">
      <c r="A277" t="s">
        <v>2259</v>
      </c>
      <c r="B277" t="s">
        <v>591</v>
      </c>
      <c r="C277" t="s">
        <v>592</v>
      </c>
      <c r="D277" s="1">
        <v>46224</v>
      </c>
      <c r="E277">
        <v>4.0619998481472602E-2</v>
      </c>
      <c r="F277" s="1">
        <v>46224.771568668984</v>
      </c>
      <c r="G277" t="s">
        <v>593</v>
      </c>
      <c r="H277" s="1">
        <v>46224.771568599535</v>
      </c>
      <c r="I277" t="s">
        <v>593</v>
      </c>
      <c r="J277" t="s">
        <v>4587</v>
      </c>
    </row>
    <row r="278" spans="1:10" x14ac:dyDescent="0.35">
      <c r="A278" t="s">
        <v>2284</v>
      </c>
      <c r="B278" t="s">
        <v>591</v>
      </c>
      <c r="C278" t="s">
        <v>592</v>
      </c>
      <c r="D278" s="1">
        <v>46224</v>
      </c>
      <c r="E278">
        <v>4.10437411509312E-2</v>
      </c>
      <c r="F278" s="1">
        <v>46224.77156883102</v>
      </c>
      <c r="G278" t="s">
        <v>593</v>
      </c>
      <c r="H278" s="1">
        <v>46224.771568750002</v>
      </c>
      <c r="I278" t="s">
        <v>593</v>
      </c>
      <c r="J278" t="s">
        <v>4588</v>
      </c>
    </row>
    <row r="279" spans="1:10" x14ac:dyDescent="0.35">
      <c r="A279" t="s">
        <v>2209</v>
      </c>
      <c r="B279" t="s">
        <v>591</v>
      </c>
      <c r="C279" t="s">
        <v>592</v>
      </c>
      <c r="D279" s="1">
        <v>46224</v>
      </c>
      <c r="E279">
        <v>4.1189997411208601E-2</v>
      </c>
      <c r="F279" s="1">
        <v>46224.771573113423</v>
      </c>
      <c r="G279" t="s">
        <v>593</v>
      </c>
      <c r="H279" s="1">
        <v>46224.771573113423</v>
      </c>
      <c r="I279" t="s">
        <v>593</v>
      </c>
      <c r="J279" t="s">
        <v>4589</v>
      </c>
    </row>
    <row r="280" spans="1:10" x14ac:dyDescent="0.35">
      <c r="A280" t="s">
        <v>2234</v>
      </c>
      <c r="B280" t="s">
        <v>591</v>
      </c>
      <c r="C280" t="s">
        <v>592</v>
      </c>
      <c r="D280" s="1">
        <v>46224</v>
      </c>
      <c r="E280">
        <v>4.1404997725413999E-2</v>
      </c>
      <c r="F280" s="1">
        <v>46224.771566400465</v>
      </c>
      <c r="G280" t="s">
        <v>593</v>
      </c>
      <c r="H280" s="1">
        <v>46224.771566400465</v>
      </c>
      <c r="I280" t="s">
        <v>593</v>
      </c>
      <c r="J280" t="s">
        <v>4590</v>
      </c>
    </row>
    <row r="281" spans="1:10" x14ac:dyDescent="0.35">
      <c r="A281" t="s">
        <v>270</v>
      </c>
      <c r="B281" t="s">
        <v>591</v>
      </c>
      <c r="C281" t="s">
        <v>592</v>
      </c>
      <c r="D281" s="1">
        <v>46224</v>
      </c>
      <c r="E281">
        <v>4.3484854689985697E-2</v>
      </c>
      <c r="F281" s="1">
        <v>46224.771566550924</v>
      </c>
      <c r="G281" t="s">
        <v>593</v>
      </c>
      <c r="H281" s="1">
        <v>46224.771566585645</v>
      </c>
      <c r="I281" t="s">
        <v>593</v>
      </c>
      <c r="J281" t="s">
        <v>4591</v>
      </c>
    </row>
    <row r="282" spans="1:10" x14ac:dyDescent="0.35">
      <c r="A282" t="s">
        <v>2318</v>
      </c>
      <c r="B282" t="s">
        <v>591</v>
      </c>
      <c r="C282" t="s">
        <v>592</v>
      </c>
      <c r="D282" s="1">
        <v>46224</v>
      </c>
      <c r="E282">
        <v>4.1484996656061E-2</v>
      </c>
      <c r="F282" s="1">
        <v>46224.771576273146</v>
      </c>
      <c r="G282" t="s">
        <v>593</v>
      </c>
      <c r="H282" s="1">
        <v>46224.771576238425</v>
      </c>
      <c r="I282" t="s">
        <v>593</v>
      </c>
      <c r="J282" t="s">
        <v>4592</v>
      </c>
    </row>
    <row r="283" spans="1:10" x14ac:dyDescent="0.35">
      <c r="A283" t="s">
        <v>2211</v>
      </c>
      <c r="B283" t="s">
        <v>591</v>
      </c>
      <c r="C283" t="s">
        <v>592</v>
      </c>
      <c r="D283" s="1">
        <v>46224</v>
      </c>
      <c r="E283">
        <v>4.1564996465700499E-2</v>
      </c>
      <c r="F283" s="1">
        <v>46224.771557719905</v>
      </c>
      <c r="G283" t="s">
        <v>593</v>
      </c>
      <c r="H283" s="1">
        <v>46224.771557754633</v>
      </c>
      <c r="I283" t="s">
        <v>593</v>
      </c>
      <c r="J283" t="s">
        <v>4593</v>
      </c>
    </row>
    <row r="284" spans="1:10" x14ac:dyDescent="0.35">
      <c r="A284" t="s">
        <v>2351</v>
      </c>
      <c r="B284" t="s">
        <v>591</v>
      </c>
      <c r="C284" t="s">
        <v>592</v>
      </c>
      <c r="D284" s="1">
        <v>46224</v>
      </c>
      <c r="E284">
        <v>4.16705042988397E-2</v>
      </c>
      <c r="F284" s="1">
        <v>46224.77157326389</v>
      </c>
      <c r="G284" t="s">
        <v>593</v>
      </c>
      <c r="H284" s="1">
        <v>46224.771573298611</v>
      </c>
      <c r="I284" t="s">
        <v>593</v>
      </c>
      <c r="J284" t="s">
        <v>4594</v>
      </c>
    </row>
    <row r="285" spans="1:10" x14ac:dyDescent="0.35">
      <c r="A285" t="s">
        <v>192</v>
      </c>
      <c r="B285" t="s">
        <v>591</v>
      </c>
      <c r="C285" t="s">
        <v>592</v>
      </c>
      <c r="D285" s="1">
        <v>46224</v>
      </c>
      <c r="E285">
        <v>4.35647808048997E-2</v>
      </c>
      <c r="F285" s="1">
        <v>46224.771584525464</v>
      </c>
      <c r="G285" t="s">
        <v>593</v>
      </c>
      <c r="H285" s="1">
        <v>46224.7715846875</v>
      </c>
      <c r="I285" t="s">
        <v>593</v>
      </c>
      <c r="J285" t="s">
        <v>4595</v>
      </c>
    </row>
    <row r="286" spans="1:10" x14ac:dyDescent="0.35">
      <c r="A286" t="s">
        <v>2353</v>
      </c>
      <c r="B286" t="s">
        <v>591</v>
      </c>
      <c r="C286" t="s">
        <v>592</v>
      </c>
      <c r="D286" s="1">
        <v>46224</v>
      </c>
      <c r="E286">
        <v>4.1724996146189797E-2</v>
      </c>
      <c r="F286" s="1">
        <v>46224.77156898148</v>
      </c>
      <c r="G286" t="s">
        <v>593</v>
      </c>
      <c r="H286" s="1">
        <v>46224.771568946759</v>
      </c>
      <c r="I286" t="s">
        <v>593</v>
      </c>
      <c r="J286" t="s">
        <v>4596</v>
      </c>
    </row>
    <row r="287" spans="1:10" x14ac:dyDescent="0.35">
      <c r="A287" t="s">
        <v>2286</v>
      </c>
      <c r="B287" t="s">
        <v>591</v>
      </c>
      <c r="C287" t="s">
        <v>592</v>
      </c>
      <c r="D287" s="1">
        <v>46224</v>
      </c>
      <c r="E287">
        <v>4.1779992305238003E-2</v>
      </c>
      <c r="F287" s="1">
        <v>46224.771569131946</v>
      </c>
      <c r="G287" t="s">
        <v>593</v>
      </c>
      <c r="H287" s="1">
        <v>46224.771569131946</v>
      </c>
      <c r="I287" t="s">
        <v>593</v>
      </c>
      <c r="J287" t="s">
        <v>4597</v>
      </c>
    </row>
    <row r="288" spans="1:10" x14ac:dyDescent="0.35">
      <c r="A288" t="s">
        <v>2814</v>
      </c>
      <c r="B288" t="s">
        <v>591</v>
      </c>
      <c r="C288" t="s">
        <v>592</v>
      </c>
      <c r="D288" s="1">
        <v>46224</v>
      </c>
      <c r="E288">
        <v>4.1876238793733499E-2</v>
      </c>
      <c r="F288" s="1">
        <v>46224.771566701391</v>
      </c>
      <c r="G288" t="s">
        <v>593</v>
      </c>
      <c r="H288" s="1">
        <v>46224.771566782409</v>
      </c>
      <c r="I288" t="s">
        <v>593</v>
      </c>
      <c r="J288" t="s">
        <v>4598</v>
      </c>
    </row>
    <row r="289" spans="1:10" x14ac:dyDescent="0.35">
      <c r="A289" t="s">
        <v>2213</v>
      </c>
      <c r="B289" t="s">
        <v>591</v>
      </c>
      <c r="C289" t="s">
        <v>592</v>
      </c>
      <c r="D289" s="1">
        <v>46224</v>
      </c>
      <c r="E289">
        <v>4.19312088613846E-2</v>
      </c>
      <c r="F289" s="1">
        <v>46224.771557870372</v>
      </c>
      <c r="G289" t="s">
        <v>593</v>
      </c>
      <c r="H289" s="1">
        <v>46224.77155795139</v>
      </c>
      <c r="I289" t="s">
        <v>593</v>
      </c>
      <c r="J289" t="s">
        <v>4599</v>
      </c>
    </row>
    <row r="290" spans="1:10" x14ac:dyDescent="0.35">
      <c r="A290" t="s">
        <v>2238</v>
      </c>
      <c r="B290" t="s">
        <v>591</v>
      </c>
      <c r="C290" t="s">
        <v>592</v>
      </c>
      <c r="D290" s="1">
        <v>46224</v>
      </c>
      <c r="E290">
        <v>4.2344990481518498E-2</v>
      </c>
      <c r="F290" s="1">
        <v>46224.771576423613</v>
      </c>
      <c r="G290" t="s">
        <v>593</v>
      </c>
      <c r="H290" s="1">
        <v>46224.771576423613</v>
      </c>
      <c r="I290" t="s">
        <v>593</v>
      </c>
      <c r="J290" t="s">
        <v>4600</v>
      </c>
    </row>
    <row r="291" spans="1:10" x14ac:dyDescent="0.35">
      <c r="A291" t="s">
        <v>2215</v>
      </c>
      <c r="B291" t="s">
        <v>591</v>
      </c>
      <c r="C291" t="s">
        <v>592</v>
      </c>
      <c r="D291" s="1">
        <v>46224</v>
      </c>
      <c r="E291">
        <v>4.2364524856854699E-2</v>
      </c>
      <c r="F291" s="1">
        <v>46224.771584722221</v>
      </c>
      <c r="G291" t="s">
        <v>593</v>
      </c>
      <c r="H291" s="1">
        <v>46224.771584872688</v>
      </c>
      <c r="I291" t="s">
        <v>593</v>
      </c>
      <c r="J291" t="s">
        <v>4601</v>
      </c>
    </row>
    <row r="292" spans="1:10" x14ac:dyDescent="0.35">
      <c r="A292" t="s">
        <v>275</v>
      </c>
      <c r="B292" t="s">
        <v>591</v>
      </c>
      <c r="C292" t="s">
        <v>592</v>
      </c>
      <c r="D292" s="1">
        <v>46224</v>
      </c>
      <c r="E292">
        <v>4.40099078118978E-2</v>
      </c>
      <c r="F292" s="1">
        <v>46224.771573414349</v>
      </c>
      <c r="G292" t="s">
        <v>593</v>
      </c>
      <c r="H292" s="1">
        <v>46224.771573460646</v>
      </c>
      <c r="I292" t="s">
        <v>593</v>
      </c>
      <c r="J292" t="s">
        <v>4602</v>
      </c>
    </row>
    <row r="293" spans="1:10" x14ac:dyDescent="0.35">
      <c r="A293" t="s">
        <v>2355</v>
      </c>
      <c r="B293" t="s">
        <v>591</v>
      </c>
      <c r="C293" t="s">
        <v>592</v>
      </c>
      <c r="D293" s="1">
        <v>46224</v>
      </c>
      <c r="E293">
        <v>4.2359991057422303E-2</v>
      </c>
      <c r="F293" s="1">
        <v>46224.771569293982</v>
      </c>
      <c r="G293" t="s">
        <v>593</v>
      </c>
      <c r="H293" s="1">
        <v>46224.771569293982</v>
      </c>
      <c r="I293" t="s">
        <v>593</v>
      </c>
      <c r="J293" t="s">
        <v>4603</v>
      </c>
    </row>
    <row r="294" spans="1:10" x14ac:dyDescent="0.35">
      <c r="A294" t="s">
        <v>2267</v>
      </c>
      <c r="B294" t="s">
        <v>591</v>
      </c>
      <c r="C294" t="s">
        <v>592</v>
      </c>
      <c r="D294" s="1">
        <v>46224</v>
      </c>
      <c r="E294">
        <v>4.2369990805043702E-2</v>
      </c>
      <c r="F294" s="1">
        <v>46224.771573576392</v>
      </c>
      <c r="G294" t="s">
        <v>593</v>
      </c>
      <c r="H294" s="1">
        <v>46224.771573645834</v>
      </c>
      <c r="I294" t="s">
        <v>593</v>
      </c>
      <c r="J294" t="s">
        <v>4604</v>
      </c>
    </row>
    <row r="295" spans="1:10" x14ac:dyDescent="0.35">
      <c r="A295" t="s">
        <v>2320</v>
      </c>
      <c r="B295" t="s">
        <v>591</v>
      </c>
      <c r="C295" t="s">
        <v>592</v>
      </c>
      <c r="D295" s="1">
        <v>46224</v>
      </c>
      <c r="E295">
        <v>4.2374991682224597E-2</v>
      </c>
      <c r="F295" s="1">
        <v>46224.771580787034</v>
      </c>
      <c r="G295" t="s">
        <v>593</v>
      </c>
      <c r="H295" s="1">
        <v>46224.771580868059</v>
      </c>
      <c r="I295" t="s">
        <v>593</v>
      </c>
      <c r="J295" t="s">
        <v>4605</v>
      </c>
    </row>
    <row r="296" spans="1:10" x14ac:dyDescent="0.35">
      <c r="A296" t="s">
        <v>271</v>
      </c>
      <c r="B296" t="s">
        <v>591</v>
      </c>
      <c r="C296" t="s">
        <v>592</v>
      </c>
      <c r="D296" s="1">
        <v>46224</v>
      </c>
      <c r="E296">
        <v>4.41748871567091E-2</v>
      </c>
      <c r="F296" s="1">
        <v>46224.771580868059</v>
      </c>
      <c r="G296" t="s">
        <v>593</v>
      </c>
      <c r="H296" s="1">
        <v>46224.771580868059</v>
      </c>
      <c r="I296" t="s">
        <v>593</v>
      </c>
      <c r="J296" t="s">
        <v>4606</v>
      </c>
    </row>
    <row r="297" spans="1:10" x14ac:dyDescent="0.35">
      <c r="A297" t="s">
        <v>2241</v>
      </c>
      <c r="B297" t="s">
        <v>591</v>
      </c>
      <c r="C297" t="s">
        <v>592</v>
      </c>
      <c r="D297" s="1">
        <v>46224</v>
      </c>
      <c r="E297">
        <v>4.2379990243662902E-2</v>
      </c>
      <c r="F297" s="1">
        <v>46224.771558020831</v>
      </c>
      <c r="G297" t="s">
        <v>593</v>
      </c>
      <c r="H297" s="1">
        <v>46224.771558101849</v>
      </c>
      <c r="I297" t="s">
        <v>593</v>
      </c>
      <c r="J297" t="s">
        <v>4607</v>
      </c>
    </row>
    <row r="298" spans="1:10" x14ac:dyDescent="0.35">
      <c r="A298" t="s">
        <v>2322</v>
      </c>
      <c r="B298" t="s">
        <v>591</v>
      </c>
      <c r="C298" t="s">
        <v>592</v>
      </c>
      <c r="D298" s="1">
        <v>46224</v>
      </c>
      <c r="E298">
        <v>4.2389989996737598E-2</v>
      </c>
      <c r="F298" s="1">
        <v>46224.771569409721</v>
      </c>
      <c r="G298" t="s">
        <v>593</v>
      </c>
      <c r="H298" s="1">
        <v>46224.77156947917</v>
      </c>
      <c r="I298" t="s">
        <v>593</v>
      </c>
      <c r="J298" t="s">
        <v>4608</v>
      </c>
    </row>
    <row r="299" spans="1:10" x14ac:dyDescent="0.35">
      <c r="A299" t="s">
        <v>2269</v>
      </c>
      <c r="B299" t="s">
        <v>591</v>
      </c>
      <c r="C299" t="s">
        <v>592</v>
      </c>
      <c r="D299" s="1">
        <v>46224</v>
      </c>
      <c r="E299">
        <v>4.2385820122540198E-2</v>
      </c>
      <c r="F299" s="1">
        <v>46224.771569560187</v>
      </c>
      <c r="G299" t="s">
        <v>593</v>
      </c>
      <c r="H299" s="1">
        <v>46224.771569675926</v>
      </c>
      <c r="I299" t="s">
        <v>593</v>
      </c>
      <c r="J299" t="s">
        <v>4609</v>
      </c>
    </row>
    <row r="300" spans="1:10" x14ac:dyDescent="0.35">
      <c r="A300" t="s">
        <v>158</v>
      </c>
      <c r="B300" t="s">
        <v>591</v>
      </c>
      <c r="C300" t="s">
        <v>592</v>
      </c>
      <c r="D300" s="1">
        <v>46224</v>
      </c>
      <c r="E300">
        <v>4.4310150957557803E-2</v>
      </c>
      <c r="F300" s="1">
        <v>46224.771569710647</v>
      </c>
      <c r="G300" t="s">
        <v>593</v>
      </c>
      <c r="H300" s="1">
        <v>46224.771569675926</v>
      </c>
      <c r="I300" t="s">
        <v>593</v>
      </c>
      <c r="J300" t="s">
        <v>4610</v>
      </c>
    </row>
    <row r="301" spans="1:10" x14ac:dyDescent="0.35">
      <c r="A301" t="s">
        <v>2271</v>
      </c>
      <c r="B301" t="s">
        <v>591</v>
      </c>
      <c r="C301" t="s">
        <v>592</v>
      </c>
      <c r="D301" s="1">
        <v>46224</v>
      </c>
      <c r="E301">
        <v>4.2404990752126601E-2</v>
      </c>
      <c r="F301" s="1">
        <v>46224.771584872688</v>
      </c>
      <c r="G301" t="s">
        <v>593</v>
      </c>
      <c r="H301" s="1">
        <v>46224.771585034723</v>
      </c>
      <c r="I301" t="s">
        <v>593</v>
      </c>
      <c r="J301" t="s">
        <v>4611</v>
      </c>
    </row>
    <row r="302" spans="1:10" x14ac:dyDescent="0.35">
      <c r="A302" t="s">
        <v>2243</v>
      </c>
      <c r="B302" t="s">
        <v>591</v>
      </c>
      <c r="C302" t="s">
        <v>592</v>
      </c>
      <c r="D302" s="1">
        <v>46224</v>
      </c>
      <c r="E302">
        <v>4.2404990523757499E-2</v>
      </c>
      <c r="F302" s="1">
        <v>46224.771558182867</v>
      </c>
      <c r="G302" t="s">
        <v>593</v>
      </c>
      <c r="H302" s="1">
        <v>46224.771558101849</v>
      </c>
      <c r="I302" t="s">
        <v>593</v>
      </c>
      <c r="J302" t="s">
        <v>4612</v>
      </c>
    </row>
    <row r="303" spans="1:10" x14ac:dyDescent="0.35">
      <c r="A303" t="s">
        <v>2245</v>
      </c>
      <c r="B303" t="s">
        <v>591</v>
      </c>
      <c r="C303" t="s">
        <v>592</v>
      </c>
      <c r="D303" s="1">
        <v>46224</v>
      </c>
      <c r="E303">
        <v>4.2343244290536902E-2</v>
      </c>
      <c r="F303" s="1">
        <v>46224.77157109954</v>
      </c>
      <c r="G303" t="s">
        <v>593</v>
      </c>
      <c r="H303" s="1">
        <v>46224.771571145837</v>
      </c>
      <c r="I303" t="s">
        <v>593</v>
      </c>
      <c r="J303" t="s">
        <v>4613</v>
      </c>
    </row>
    <row r="304" spans="1:10" x14ac:dyDescent="0.35">
      <c r="A304" t="s">
        <v>193</v>
      </c>
      <c r="B304" t="s">
        <v>591</v>
      </c>
      <c r="C304" t="s">
        <v>592</v>
      </c>
      <c r="D304" s="1">
        <v>46224</v>
      </c>
      <c r="E304">
        <v>4.4489799265649103E-2</v>
      </c>
      <c r="F304" s="1">
        <v>46224.771558333334</v>
      </c>
      <c r="G304" t="s">
        <v>593</v>
      </c>
      <c r="H304" s="1">
        <v>46224.771558298613</v>
      </c>
      <c r="I304" t="s">
        <v>593</v>
      </c>
      <c r="J304" t="s">
        <v>4614</v>
      </c>
    </row>
    <row r="305" spans="1:10" x14ac:dyDescent="0.35">
      <c r="A305" t="s">
        <v>2217</v>
      </c>
      <c r="B305" t="s">
        <v>591</v>
      </c>
      <c r="C305" t="s">
        <v>592</v>
      </c>
      <c r="D305" s="1">
        <v>46224</v>
      </c>
      <c r="E305">
        <v>4.2474990051765603E-2</v>
      </c>
      <c r="F305" s="1">
        <v>46224.771581018518</v>
      </c>
      <c r="G305" t="s">
        <v>593</v>
      </c>
      <c r="H305" s="1">
        <v>46224.771581053239</v>
      </c>
      <c r="I305" t="s">
        <v>593</v>
      </c>
      <c r="J305" t="s">
        <v>4615</v>
      </c>
    </row>
    <row r="306" spans="1:10" x14ac:dyDescent="0.35">
      <c r="A306" t="s">
        <v>2248</v>
      </c>
      <c r="B306" t="s">
        <v>591</v>
      </c>
      <c r="C306" t="s">
        <v>592</v>
      </c>
      <c r="D306" s="1">
        <v>46224</v>
      </c>
      <c r="E306">
        <v>4.2524989828324103E-2</v>
      </c>
      <c r="F306" s="1">
        <v>46224.771576585648</v>
      </c>
      <c r="G306" t="s">
        <v>593</v>
      </c>
      <c r="H306" s="1">
        <v>46224.771576620369</v>
      </c>
      <c r="I306" t="s">
        <v>593</v>
      </c>
      <c r="J306" t="s">
        <v>4616</v>
      </c>
    </row>
    <row r="307" spans="1:10" x14ac:dyDescent="0.35">
      <c r="A307" t="s">
        <v>2299</v>
      </c>
      <c r="B307" t="s">
        <v>591</v>
      </c>
      <c r="C307" t="s">
        <v>592</v>
      </c>
      <c r="D307" s="1">
        <v>46224</v>
      </c>
      <c r="E307">
        <v>4.2569990950589401E-2</v>
      </c>
      <c r="F307" s="1">
        <v>46224.771581168985</v>
      </c>
      <c r="G307" t="s">
        <v>593</v>
      </c>
      <c r="H307" s="1">
        <v>46224.771581250003</v>
      </c>
      <c r="I307" t="s">
        <v>593</v>
      </c>
      <c r="J307" t="s">
        <v>4617</v>
      </c>
    </row>
    <row r="308" spans="1:10" x14ac:dyDescent="0.35">
      <c r="A308" t="s">
        <v>248</v>
      </c>
      <c r="B308" t="s">
        <v>591</v>
      </c>
      <c r="C308" t="s">
        <v>592</v>
      </c>
      <c r="D308" s="1">
        <v>46224</v>
      </c>
      <c r="E308">
        <v>4.4579925003941701E-2</v>
      </c>
      <c r="F308" s="1">
        <v>46224.771558483793</v>
      </c>
      <c r="G308" t="s">
        <v>593</v>
      </c>
      <c r="H308" s="1">
        <v>46224.771558483793</v>
      </c>
      <c r="I308" t="s">
        <v>593</v>
      </c>
      <c r="J308" t="s">
        <v>4618</v>
      </c>
    </row>
    <row r="309" spans="1:10" x14ac:dyDescent="0.35">
      <c r="A309" t="s">
        <v>2274</v>
      </c>
      <c r="B309" t="s">
        <v>591</v>
      </c>
      <c r="C309" t="s">
        <v>592</v>
      </c>
      <c r="D309" s="1">
        <v>46224</v>
      </c>
      <c r="E309">
        <v>4.2614989383484098E-2</v>
      </c>
      <c r="F309" s="1">
        <v>46224.771576736108</v>
      </c>
      <c r="G309" t="s">
        <v>593</v>
      </c>
      <c r="H309" s="1">
        <v>46224.771576817133</v>
      </c>
      <c r="I309" t="s">
        <v>593</v>
      </c>
      <c r="J309" t="s">
        <v>4619</v>
      </c>
    </row>
    <row r="310" spans="1:10" x14ac:dyDescent="0.35">
      <c r="A310" t="s">
        <v>2289</v>
      </c>
      <c r="B310" t="s">
        <v>591</v>
      </c>
      <c r="C310" t="s">
        <v>592</v>
      </c>
      <c r="D310" s="1">
        <v>46224</v>
      </c>
      <c r="E310">
        <v>4.2659909340664E-2</v>
      </c>
      <c r="F310" s="1">
        <v>46224.771569872682</v>
      </c>
      <c r="G310" t="s">
        <v>593</v>
      </c>
      <c r="H310" s="1">
        <v>46224.771569872682</v>
      </c>
      <c r="I310" t="s">
        <v>593</v>
      </c>
      <c r="J310" t="s">
        <v>4620</v>
      </c>
    </row>
    <row r="311" spans="1:10" x14ac:dyDescent="0.35">
      <c r="A311" t="s">
        <v>2219</v>
      </c>
      <c r="B311" t="s">
        <v>591</v>
      </c>
      <c r="C311" t="s">
        <v>592</v>
      </c>
      <c r="D311" s="1">
        <v>46224</v>
      </c>
      <c r="E311">
        <v>4.2709990349081503E-2</v>
      </c>
      <c r="F311" s="1">
        <v>46224.771581331021</v>
      </c>
      <c r="G311" t="s">
        <v>593</v>
      </c>
      <c r="H311" s="1">
        <v>46224.771581400462</v>
      </c>
      <c r="I311" t="s">
        <v>593</v>
      </c>
      <c r="J311" t="s">
        <v>4621</v>
      </c>
    </row>
    <row r="312" spans="1:10" x14ac:dyDescent="0.35">
      <c r="A312" t="s">
        <v>250</v>
      </c>
      <c r="B312" t="s">
        <v>591</v>
      </c>
      <c r="C312" t="s">
        <v>592</v>
      </c>
      <c r="D312" s="1">
        <v>46224</v>
      </c>
      <c r="E312">
        <v>4.4804881721120397E-2</v>
      </c>
      <c r="F312" s="1">
        <v>46224.771576851854</v>
      </c>
      <c r="G312" t="s">
        <v>593</v>
      </c>
      <c r="H312" s="1">
        <v>46224.771576967592</v>
      </c>
      <c r="I312" t="s">
        <v>593</v>
      </c>
      <c r="J312" t="s">
        <v>4622</v>
      </c>
    </row>
    <row r="313" spans="1:10" x14ac:dyDescent="0.35">
      <c r="A313" t="s">
        <v>2221</v>
      </c>
      <c r="B313" t="s">
        <v>591</v>
      </c>
      <c r="C313" t="s">
        <v>592</v>
      </c>
      <c r="D313" s="1">
        <v>46224</v>
      </c>
      <c r="E313">
        <v>4.2749990159338502E-2</v>
      </c>
      <c r="F313" s="1">
        <v>46224.771558645836</v>
      </c>
      <c r="G313" t="s">
        <v>593</v>
      </c>
      <c r="H313" s="1">
        <v>46224.771558645836</v>
      </c>
      <c r="I313" t="s">
        <v>593</v>
      </c>
      <c r="J313" t="s">
        <v>4623</v>
      </c>
    </row>
    <row r="314" spans="1:10" x14ac:dyDescent="0.35">
      <c r="A314" t="s">
        <v>2326</v>
      </c>
      <c r="B314" t="s">
        <v>591</v>
      </c>
      <c r="C314" t="s">
        <v>592</v>
      </c>
      <c r="D314" s="1">
        <v>46224</v>
      </c>
      <c r="E314">
        <v>4.2799989940359398E-2</v>
      </c>
      <c r="F314" s="1">
        <v>46224.771573726852</v>
      </c>
      <c r="G314" t="s">
        <v>593</v>
      </c>
      <c r="H314" s="1">
        <v>46224.771573645834</v>
      </c>
      <c r="I314" t="s">
        <v>593</v>
      </c>
      <c r="J314" t="s">
        <v>4624</v>
      </c>
    </row>
    <row r="315" spans="1:10" x14ac:dyDescent="0.35">
      <c r="A315" t="s">
        <v>2223</v>
      </c>
      <c r="B315" t="s">
        <v>591</v>
      </c>
      <c r="C315" t="s">
        <v>592</v>
      </c>
      <c r="D315" s="1">
        <v>46224</v>
      </c>
      <c r="E315">
        <v>4.2838174386500998E-2</v>
      </c>
      <c r="F315" s="1">
        <v>46224.771577002313</v>
      </c>
      <c r="G315" t="s">
        <v>593</v>
      </c>
      <c r="H315" s="1">
        <v>46224.771576967592</v>
      </c>
      <c r="I315" t="s">
        <v>593</v>
      </c>
      <c r="J315" t="s">
        <v>4625</v>
      </c>
    </row>
    <row r="316" spans="1:10" x14ac:dyDescent="0.35">
      <c r="A316" t="s">
        <v>194</v>
      </c>
      <c r="B316" t="s">
        <v>591</v>
      </c>
      <c r="C316" t="s">
        <v>592</v>
      </c>
      <c r="D316" s="1">
        <v>46224</v>
      </c>
      <c r="E316">
        <v>4.49299195106624E-2</v>
      </c>
      <c r="F316" s="1">
        <v>46224.771558796296</v>
      </c>
      <c r="G316" t="s">
        <v>593</v>
      </c>
      <c r="H316" s="1">
        <v>46224.771558831017</v>
      </c>
      <c r="I316" t="s">
        <v>593</v>
      </c>
      <c r="J316" t="s">
        <v>4626</v>
      </c>
    </row>
    <row r="317" spans="1:10" x14ac:dyDescent="0.35">
      <c r="A317" t="s">
        <v>2302</v>
      </c>
      <c r="B317" t="s">
        <v>591</v>
      </c>
      <c r="C317" t="s">
        <v>592</v>
      </c>
      <c r="D317" s="1">
        <v>46224</v>
      </c>
      <c r="E317">
        <v>4.2889989543647401E-2</v>
      </c>
      <c r="F317" s="1">
        <v>46224.771573877311</v>
      </c>
      <c r="G317" t="s">
        <v>593</v>
      </c>
      <c r="H317" s="1">
        <v>46224.77157384259</v>
      </c>
      <c r="I317" t="s">
        <v>593</v>
      </c>
      <c r="J317" t="s">
        <v>4627</v>
      </c>
    </row>
    <row r="318" spans="1:10" x14ac:dyDescent="0.35">
      <c r="A318" t="s">
        <v>2276</v>
      </c>
      <c r="B318" t="s">
        <v>591</v>
      </c>
      <c r="C318" t="s">
        <v>592</v>
      </c>
      <c r="D318" s="1">
        <v>46224</v>
      </c>
      <c r="E318">
        <v>4.2034992265138897E-2</v>
      </c>
      <c r="F318" s="1">
        <v>46224.771558946763</v>
      </c>
      <c r="G318" t="s">
        <v>593</v>
      </c>
      <c r="H318" s="1">
        <v>46224.77155902778</v>
      </c>
      <c r="I318" t="s">
        <v>593</v>
      </c>
      <c r="J318" t="s">
        <v>4628</v>
      </c>
    </row>
    <row r="319" spans="1:10" x14ac:dyDescent="0.35">
      <c r="A319" t="s">
        <v>2304</v>
      </c>
      <c r="B319" t="s">
        <v>591</v>
      </c>
      <c r="C319" t="s">
        <v>592</v>
      </c>
      <c r="D319" s="1">
        <v>46224</v>
      </c>
      <c r="E319">
        <v>4.2114991962201198E-2</v>
      </c>
      <c r="F319" s="1">
        <v>46224.771559108798</v>
      </c>
      <c r="G319" t="s">
        <v>593</v>
      </c>
      <c r="H319" s="1">
        <v>46224.77155902778</v>
      </c>
      <c r="I319" t="s">
        <v>593</v>
      </c>
      <c r="J319" t="s">
        <v>4629</v>
      </c>
    </row>
    <row r="320" spans="1:10" x14ac:dyDescent="0.35">
      <c r="A320" t="s">
        <v>195</v>
      </c>
      <c r="B320" t="s">
        <v>591</v>
      </c>
      <c r="C320" t="s">
        <v>592</v>
      </c>
      <c r="D320" s="1">
        <v>46224</v>
      </c>
      <c r="E320">
        <v>4.3700676572409503E-2</v>
      </c>
      <c r="F320" s="1">
        <v>46224.771571261575</v>
      </c>
      <c r="G320" t="s">
        <v>593</v>
      </c>
      <c r="H320" s="1">
        <v>46224.771571296296</v>
      </c>
      <c r="I320" t="s">
        <v>593</v>
      </c>
      <c r="J320" t="s">
        <v>4630</v>
      </c>
    </row>
    <row r="321" spans="1:10" x14ac:dyDescent="0.35">
      <c r="A321" t="s">
        <v>2280</v>
      </c>
      <c r="B321" t="s">
        <v>591</v>
      </c>
      <c r="C321" t="s">
        <v>592</v>
      </c>
      <c r="D321" s="1">
        <v>46224</v>
      </c>
      <c r="E321">
        <v>4.2250268541111503E-2</v>
      </c>
      <c r="F321" s="1">
        <v>46224.77158148148</v>
      </c>
      <c r="G321" t="s">
        <v>593</v>
      </c>
      <c r="H321" s="1">
        <v>46224.771581597219</v>
      </c>
      <c r="I321" t="s">
        <v>593</v>
      </c>
      <c r="J321" t="s">
        <v>4631</v>
      </c>
    </row>
    <row r="322" spans="1:10" x14ac:dyDescent="0.35">
      <c r="A322" t="s">
        <v>2291</v>
      </c>
      <c r="B322" t="s">
        <v>591</v>
      </c>
      <c r="C322" t="s">
        <v>592</v>
      </c>
      <c r="D322" s="1">
        <v>46224</v>
      </c>
      <c r="E322">
        <v>4.2274991374248901E-2</v>
      </c>
      <c r="F322" s="1">
        <v>46224.771585034723</v>
      </c>
      <c r="G322" t="s">
        <v>593</v>
      </c>
      <c r="H322" s="1">
        <v>46224.771585034723</v>
      </c>
      <c r="I322" t="s">
        <v>593</v>
      </c>
      <c r="J322" t="s">
        <v>4632</v>
      </c>
    </row>
    <row r="323" spans="1:10" x14ac:dyDescent="0.35">
      <c r="A323" t="s">
        <v>2306</v>
      </c>
      <c r="B323" t="s">
        <v>591</v>
      </c>
      <c r="C323" t="s">
        <v>592</v>
      </c>
      <c r="D323" s="1">
        <v>46224</v>
      </c>
      <c r="E323">
        <v>4.2237231939953997E-2</v>
      </c>
      <c r="F323" s="1">
        <v>46224.771571412035</v>
      </c>
      <c r="G323" t="s">
        <v>593</v>
      </c>
      <c r="H323" s="1">
        <v>46224.771571493053</v>
      </c>
      <c r="I323" t="s">
        <v>593</v>
      </c>
      <c r="J323" t="s">
        <v>4633</v>
      </c>
    </row>
    <row r="324" spans="1:10" x14ac:dyDescent="0.35">
      <c r="A324" t="s">
        <v>159</v>
      </c>
      <c r="B324" t="s">
        <v>591</v>
      </c>
      <c r="C324" t="s">
        <v>592</v>
      </c>
      <c r="D324" s="1">
        <v>46224</v>
      </c>
      <c r="E324">
        <v>4.3849801466961803E-2</v>
      </c>
      <c r="F324" s="1">
        <v>46224.771571527781</v>
      </c>
      <c r="G324" t="s">
        <v>593</v>
      </c>
      <c r="H324" s="1">
        <v>46224.771571493053</v>
      </c>
      <c r="I324" t="s">
        <v>593</v>
      </c>
      <c r="J324" t="s">
        <v>4634</v>
      </c>
    </row>
    <row r="325" spans="1:10" x14ac:dyDescent="0.35">
      <c r="A325" t="s">
        <v>2357</v>
      </c>
      <c r="B325" t="s">
        <v>591</v>
      </c>
      <c r="C325" t="s">
        <v>592</v>
      </c>
      <c r="D325" s="1">
        <v>46224</v>
      </c>
      <c r="E325">
        <v>4.2334990761306902E-2</v>
      </c>
      <c r="F325" s="1">
        <v>46224.771585185183</v>
      </c>
      <c r="G325" t="s">
        <v>593</v>
      </c>
      <c r="H325" s="1">
        <v>46224.771585219911</v>
      </c>
      <c r="I325" t="s">
        <v>593</v>
      </c>
      <c r="J325" t="s">
        <v>4635</v>
      </c>
    </row>
    <row r="326" spans="1:10" x14ac:dyDescent="0.35">
      <c r="A326" t="s">
        <v>160</v>
      </c>
      <c r="B326" t="s">
        <v>591</v>
      </c>
      <c r="C326" t="s">
        <v>592</v>
      </c>
      <c r="D326" s="1">
        <v>46224</v>
      </c>
      <c r="E326">
        <v>3.9553669110435799E-2</v>
      </c>
      <c r="F326" s="1">
        <v>46224.771559259258</v>
      </c>
      <c r="G326" t="s">
        <v>593</v>
      </c>
      <c r="H326" s="1">
        <v>46224.771559224537</v>
      </c>
      <c r="I326" t="s">
        <v>593</v>
      </c>
      <c r="J326" t="s">
        <v>4636</v>
      </c>
    </row>
    <row r="327" spans="1:10" x14ac:dyDescent="0.35">
      <c r="A327" t="s">
        <v>196</v>
      </c>
      <c r="B327" t="s">
        <v>591</v>
      </c>
      <c r="C327" t="s">
        <v>592</v>
      </c>
      <c r="D327" s="1">
        <v>46224</v>
      </c>
      <c r="E327">
        <v>2.1837456307695801E-2</v>
      </c>
      <c r="F327" s="1">
        <v>46224.771559409724</v>
      </c>
      <c r="G327" t="s">
        <v>593</v>
      </c>
      <c r="H327" s="1">
        <v>46224.771559375004</v>
      </c>
      <c r="I327" t="s">
        <v>593</v>
      </c>
      <c r="J327" t="s">
        <v>4637</v>
      </c>
    </row>
    <row r="328" spans="1:10" x14ac:dyDescent="0.35">
      <c r="A328" t="s">
        <v>197</v>
      </c>
      <c r="B328" t="s">
        <v>591</v>
      </c>
      <c r="C328" t="s">
        <v>592</v>
      </c>
      <c r="D328" s="1">
        <v>46224</v>
      </c>
      <c r="E328">
        <v>4.1764782229643298E-2</v>
      </c>
      <c r="F328" s="1">
        <v>46224.77155957176</v>
      </c>
      <c r="G328" t="s">
        <v>593</v>
      </c>
      <c r="H328" s="1">
        <v>46224.77155957176</v>
      </c>
      <c r="I328" t="s">
        <v>593</v>
      </c>
      <c r="J328" t="s">
        <v>4638</v>
      </c>
    </row>
    <row r="329" spans="1:10" x14ac:dyDescent="0.35">
      <c r="A329" t="s">
        <v>198</v>
      </c>
      <c r="B329" t="s">
        <v>591</v>
      </c>
      <c r="C329" t="s">
        <v>592</v>
      </c>
      <c r="D329" s="1">
        <v>46224</v>
      </c>
      <c r="E329">
        <v>4.2234856848786403E-2</v>
      </c>
      <c r="F329" s="1">
        <v>46224.771574039354</v>
      </c>
      <c r="G329" t="s">
        <v>593</v>
      </c>
      <c r="H329" s="1">
        <v>46224.771574039354</v>
      </c>
      <c r="I329" t="s">
        <v>593</v>
      </c>
      <c r="J329" t="s">
        <v>4639</v>
      </c>
    </row>
    <row r="330" spans="1:10" x14ac:dyDescent="0.35">
      <c r="A330" t="s">
        <v>236</v>
      </c>
      <c r="B330" t="s">
        <v>591</v>
      </c>
      <c r="C330" t="s">
        <v>592</v>
      </c>
      <c r="D330" s="1">
        <v>46224</v>
      </c>
      <c r="E330">
        <v>2.3571725342863101E-2</v>
      </c>
      <c r="F330" s="1">
        <v>46224.77155972222</v>
      </c>
      <c r="G330" t="s">
        <v>593</v>
      </c>
      <c r="H330" s="1">
        <v>46224.77155972222</v>
      </c>
      <c r="I330" t="s">
        <v>593</v>
      </c>
      <c r="J330" t="s">
        <v>4640</v>
      </c>
    </row>
    <row r="331" spans="1:10" x14ac:dyDescent="0.35">
      <c r="A331" t="s">
        <v>249</v>
      </c>
      <c r="B331" t="s">
        <v>591</v>
      </c>
      <c r="C331" t="s">
        <v>592</v>
      </c>
      <c r="D331" s="1">
        <v>46224</v>
      </c>
      <c r="E331">
        <v>4.2489274954716001E-2</v>
      </c>
      <c r="F331" s="1">
        <v>46224.771559837965</v>
      </c>
      <c r="G331" t="s">
        <v>593</v>
      </c>
      <c r="H331" s="1">
        <v>46224.771559918983</v>
      </c>
      <c r="I331" t="s">
        <v>593</v>
      </c>
      <c r="J331" t="s">
        <v>4641</v>
      </c>
    </row>
    <row r="332" spans="1:10" x14ac:dyDescent="0.35">
      <c r="A332" t="s">
        <v>199</v>
      </c>
      <c r="B332" t="s">
        <v>591</v>
      </c>
      <c r="C332" t="s">
        <v>592</v>
      </c>
      <c r="D332" s="1">
        <v>46224</v>
      </c>
      <c r="E332">
        <v>4.2588696278567602E-2</v>
      </c>
      <c r="F332" s="1">
        <v>46224.771571724537</v>
      </c>
      <c r="G332" t="s">
        <v>593</v>
      </c>
      <c r="H332" s="1">
        <v>46224.77157164352</v>
      </c>
      <c r="I332" t="s">
        <v>593</v>
      </c>
      <c r="J332" t="s">
        <v>4642</v>
      </c>
    </row>
    <row r="333" spans="1:10" x14ac:dyDescent="0.35">
      <c r="A333" t="s">
        <v>200</v>
      </c>
      <c r="B333" t="s">
        <v>591</v>
      </c>
      <c r="C333" t="s">
        <v>592</v>
      </c>
      <c r="D333" s="1">
        <v>46224</v>
      </c>
      <c r="E333">
        <v>4.2748040885292903E-2</v>
      </c>
      <c r="F333" s="1">
        <v>46224.771559988425</v>
      </c>
      <c r="G333" t="s">
        <v>593</v>
      </c>
      <c r="H333" s="1">
        <v>46224.771559918983</v>
      </c>
      <c r="I333" t="s">
        <v>593</v>
      </c>
      <c r="J333" t="s">
        <v>4643</v>
      </c>
    </row>
    <row r="334" spans="1:10" x14ac:dyDescent="0.35">
      <c r="A334" t="s">
        <v>201</v>
      </c>
      <c r="B334" t="s">
        <v>591</v>
      </c>
      <c r="C334" t="s">
        <v>592</v>
      </c>
      <c r="D334" s="1">
        <v>46224</v>
      </c>
      <c r="E334">
        <v>4.2851250821943299E-2</v>
      </c>
      <c r="F334" s="1">
        <v>46224.771571874997</v>
      </c>
      <c r="G334" t="s">
        <v>593</v>
      </c>
      <c r="H334" s="1">
        <v>46224.771571840276</v>
      </c>
      <c r="I334" t="s">
        <v>593</v>
      </c>
      <c r="J334" t="s">
        <v>4644</v>
      </c>
    </row>
    <row r="335" spans="1:10" x14ac:dyDescent="0.35">
      <c r="A335" t="s">
        <v>202</v>
      </c>
      <c r="B335" t="s">
        <v>591</v>
      </c>
      <c r="C335" t="s">
        <v>592</v>
      </c>
      <c r="D335" s="1">
        <v>46224</v>
      </c>
      <c r="E335">
        <v>2.1243441623142699E-2</v>
      </c>
      <c r="F335" s="1">
        <v>46224.771560150461</v>
      </c>
      <c r="G335" t="s">
        <v>593</v>
      </c>
      <c r="H335" s="1">
        <v>46224.771560104164</v>
      </c>
      <c r="I335" t="s">
        <v>593</v>
      </c>
      <c r="J335" t="s">
        <v>4645</v>
      </c>
    </row>
    <row r="336" spans="1:10" x14ac:dyDescent="0.35">
      <c r="A336" t="s">
        <v>237</v>
      </c>
      <c r="B336" t="s">
        <v>591</v>
      </c>
      <c r="C336" t="s">
        <v>592</v>
      </c>
      <c r="D336" s="1">
        <v>46224</v>
      </c>
      <c r="E336">
        <v>4.2919310334268997E-2</v>
      </c>
      <c r="F336" s="1">
        <v>46224.771560300927</v>
      </c>
      <c r="G336" t="s">
        <v>593</v>
      </c>
      <c r="H336" s="1">
        <v>46224.771560266207</v>
      </c>
      <c r="I336" t="s">
        <v>593</v>
      </c>
      <c r="J336" t="s">
        <v>4646</v>
      </c>
    </row>
    <row r="337" spans="1:10" x14ac:dyDescent="0.35">
      <c r="A337" t="s">
        <v>203</v>
      </c>
      <c r="B337" t="s">
        <v>591</v>
      </c>
      <c r="C337" t="s">
        <v>592</v>
      </c>
      <c r="D337" s="1">
        <v>46224</v>
      </c>
      <c r="E337">
        <v>4.2886859686063497E-2</v>
      </c>
      <c r="F337" s="1">
        <v>46224.771581597219</v>
      </c>
      <c r="G337" t="s">
        <v>593</v>
      </c>
      <c r="H337" s="1">
        <v>46224.771581793982</v>
      </c>
      <c r="I337" t="s">
        <v>593</v>
      </c>
      <c r="J337" t="s">
        <v>4647</v>
      </c>
    </row>
    <row r="338" spans="1:10" x14ac:dyDescent="0.35">
      <c r="A338" t="s">
        <v>204</v>
      </c>
      <c r="B338" t="s">
        <v>591</v>
      </c>
      <c r="C338" t="s">
        <v>592</v>
      </c>
      <c r="D338" s="1">
        <v>46224</v>
      </c>
      <c r="E338">
        <v>1.9466337646664101E-2</v>
      </c>
      <c r="F338" s="1">
        <v>46224.771574189814</v>
      </c>
      <c r="G338" t="s">
        <v>593</v>
      </c>
      <c r="H338" s="1">
        <v>46224.771574189814</v>
      </c>
      <c r="I338" t="s">
        <v>593</v>
      </c>
      <c r="J338" t="s">
        <v>4648</v>
      </c>
    </row>
    <row r="339" spans="1:10" x14ac:dyDescent="0.35">
      <c r="A339" t="s">
        <v>238</v>
      </c>
      <c r="B339" t="s">
        <v>591</v>
      </c>
      <c r="C339" t="s">
        <v>592</v>
      </c>
      <c r="D339" s="1">
        <v>46224</v>
      </c>
      <c r="E339">
        <v>3.8546337529236502E-2</v>
      </c>
      <c r="F339" s="1">
        <v>46224.771585335649</v>
      </c>
      <c r="G339" t="s">
        <v>593</v>
      </c>
      <c r="H339" s="1">
        <v>46224.771585416667</v>
      </c>
      <c r="I339" t="s">
        <v>593</v>
      </c>
      <c r="J339" t="s">
        <v>4649</v>
      </c>
    </row>
    <row r="340" spans="1:10" x14ac:dyDescent="0.35">
      <c r="A340" t="s">
        <v>239</v>
      </c>
      <c r="B340" t="s">
        <v>591</v>
      </c>
      <c r="C340" t="s">
        <v>592</v>
      </c>
      <c r="D340" s="1">
        <v>46224</v>
      </c>
      <c r="E340">
        <v>3.2284322390842703E-2</v>
      </c>
      <c r="F340" s="1">
        <v>46224.771574421298</v>
      </c>
      <c r="G340" t="s">
        <v>593</v>
      </c>
      <c r="H340" s="1">
        <v>46224.771574386577</v>
      </c>
      <c r="I340" t="s">
        <v>593</v>
      </c>
      <c r="J340" t="s">
        <v>4650</v>
      </c>
    </row>
    <row r="341" spans="1:10" x14ac:dyDescent="0.35">
      <c r="A341" t="s">
        <v>240</v>
      </c>
      <c r="B341" t="s">
        <v>591</v>
      </c>
      <c r="C341" t="s">
        <v>592</v>
      </c>
      <c r="D341" s="1">
        <v>46224</v>
      </c>
      <c r="E341">
        <v>4.01968047847127E-2</v>
      </c>
      <c r="F341" s="1">
        <v>46224.771574571758</v>
      </c>
      <c r="G341" t="s">
        <v>593</v>
      </c>
      <c r="H341" s="1">
        <v>46224.771574571758</v>
      </c>
      <c r="I341" t="s">
        <v>593</v>
      </c>
      <c r="J341" t="s">
        <v>4651</v>
      </c>
    </row>
    <row r="342" spans="1:10" x14ac:dyDescent="0.35">
      <c r="A342" t="s">
        <v>205</v>
      </c>
      <c r="B342" t="s">
        <v>591</v>
      </c>
      <c r="C342" t="s">
        <v>592</v>
      </c>
      <c r="D342" s="1">
        <v>46224</v>
      </c>
      <c r="E342">
        <v>4.1037444903048503E-2</v>
      </c>
      <c r="F342" s="1">
        <v>46224.771560451387</v>
      </c>
      <c r="G342" t="s">
        <v>593</v>
      </c>
      <c r="H342" s="1">
        <v>46224.771560451387</v>
      </c>
      <c r="I342" t="s">
        <v>593</v>
      </c>
      <c r="J342" t="s">
        <v>4652</v>
      </c>
    </row>
    <row r="343" spans="1:10" x14ac:dyDescent="0.35">
      <c r="A343" t="s">
        <v>206</v>
      </c>
      <c r="B343" t="s">
        <v>591</v>
      </c>
      <c r="C343" t="s">
        <v>592</v>
      </c>
      <c r="D343" s="1">
        <v>46224</v>
      </c>
      <c r="E343">
        <v>2.0010047517931302E-2</v>
      </c>
      <c r="F343" s="1">
        <v>46224.771574733793</v>
      </c>
      <c r="G343" t="s">
        <v>593</v>
      </c>
      <c r="H343" s="1">
        <v>46224.771574733793</v>
      </c>
      <c r="I343" t="s">
        <v>593</v>
      </c>
      <c r="J343" t="s">
        <v>4653</v>
      </c>
    </row>
    <row r="344" spans="1:10" x14ac:dyDescent="0.35">
      <c r="A344" t="s">
        <v>207</v>
      </c>
      <c r="B344" t="s">
        <v>591</v>
      </c>
      <c r="C344" t="s">
        <v>592</v>
      </c>
      <c r="D344" s="1">
        <v>46224</v>
      </c>
      <c r="E344">
        <v>3.33911302877542E-2</v>
      </c>
      <c r="F344" s="1">
        <v>46224.77157488426</v>
      </c>
      <c r="G344" t="s">
        <v>593</v>
      </c>
      <c r="H344" s="1">
        <v>46224.771574918981</v>
      </c>
      <c r="I344" t="s">
        <v>593</v>
      </c>
      <c r="J344" t="s">
        <v>4654</v>
      </c>
    </row>
    <row r="345" spans="1:10" x14ac:dyDescent="0.35">
      <c r="A345" t="s">
        <v>241</v>
      </c>
      <c r="B345" t="s">
        <v>591</v>
      </c>
      <c r="C345" t="s">
        <v>592</v>
      </c>
      <c r="D345" s="1">
        <v>46224</v>
      </c>
      <c r="E345">
        <v>4.2856173753746202E-2</v>
      </c>
      <c r="F345" s="1">
        <v>46224.771560613422</v>
      </c>
      <c r="G345" t="s">
        <v>593</v>
      </c>
      <c r="H345" s="1">
        <v>46224.771560648151</v>
      </c>
      <c r="I345" t="s">
        <v>593</v>
      </c>
      <c r="J345" t="s">
        <v>4655</v>
      </c>
    </row>
    <row r="346" spans="1:10" x14ac:dyDescent="0.35">
      <c r="A346" t="s">
        <v>272</v>
      </c>
      <c r="B346" t="s">
        <v>591</v>
      </c>
      <c r="C346" t="s">
        <v>592</v>
      </c>
      <c r="D346" s="1">
        <v>46224</v>
      </c>
      <c r="E346">
        <v>3.7364044372936202E-2</v>
      </c>
      <c r="F346" s="1">
        <v>46224.771560763889</v>
      </c>
      <c r="G346" t="s">
        <v>593</v>
      </c>
      <c r="H346" s="1">
        <v>46224.771560844907</v>
      </c>
      <c r="I346" t="s">
        <v>593</v>
      </c>
      <c r="J346" t="s">
        <v>4656</v>
      </c>
    </row>
    <row r="347" spans="1:10" x14ac:dyDescent="0.35">
      <c r="A347" t="s">
        <v>242</v>
      </c>
      <c r="B347" t="s">
        <v>591</v>
      </c>
      <c r="C347" t="s">
        <v>592</v>
      </c>
      <c r="D347" s="1">
        <v>46224</v>
      </c>
      <c r="E347">
        <v>3.7763597503669998E-2</v>
      </c>
      <c r="F347" s="1">
        <v>46224.771585497685</v>
      </c>
      <c r="G347" t="s">
        <v>593</v>
      </c>
      <c r="H347" s="1">
        <v>46224.771585567127</v>
      </c>
      <c r="I347" t="s">
        <v>593</v>
      </c>
      <c r="J347" t="s">
        <v>4657</v>
      </c>
    </row>
    <row r="348" spans="1:10" x14ac:dyDescent="0.35">
      <c r="A348" t="s">
        <v>243</v>
      </c>
      <c r="B348" t="s">
        <v>591</v>
      </c>
      <c r="C348" t="s">
        <v>592</v>
      </c>
      <c r="D348" s="1">
        <v>46224</v>
      </c>
      <c r="E348">
        <v>3.8474497274415403E-2</v>
      </c>
      <c r="F348" s="1">
        <v>46224.77157503472</v>
      </c>
      <c r="G348" t="s">
        <v>593</v>
      </c>
      <c r="H348" s="1">
        <v>46224.771575115738</v>
      </c>
      <c r="I348" t="s">
        <v>593</v>
      </c>
      <c r="J348" t="s">
        <v>4658</v>
      </c>
    </row>
    <row r="349" spans="1:10" x14ac:dyDescent="0.35">
      <c r="A349" t="s">
        <v>251</v>
      </c>
      <c r="B349" t="s">
        <v>591</v>
      </c>
      <c r="C349" t="s">
        <v>592</v>
      </c>
      <c r="D349" s="1">
        <v>46224</v>
      </c>
      <c r="E349">
        <v>4.2991377113837603E-2</v>
      </c>
      <c r="F349" s="1">
        <v>46224.771575196763</v>
      </c>
      <c r="G349" t="s">
        <v>593</v>
      </c>
      <c r="H349" s="1">
        <v>46224.771575312501</v>
      </c>
      <c r="I349" t="s">
        <v>593</v>
      </c>
      <c r="J349" t="s">
        <v>4659</v>
      </c>
    </row>
    <row r="350" spans="1:10" x14ac:dyDescent="0.35">
      <c r="A350" t="s">
        <v>252</v>
      </c>
      <c r="B350" t="s">
        <v>591</v>
      </c>
      <c r="C350" t="s">
        <v>592</v>
      </c>
      <c r="D350" s="1">
        <v>46224</v>
      </c>
      <c r="E350">
        <v>3.88443489661041E-2</v>
      </c>
      <c r="F350" s="1">
        <v>46224.771575347222</v>
      </c>
      <c r="G350" t="s">
        <v>593</v>
      </c>
      <c r="H350" s="1">
        <v>46224.771575312501</v>
      </c>
      <c r="I350" t="s">
        <v>593</v>
      </c>
      <c r="J350" t="s">
        <v>4660</v>
      </c>
    </row>
    <row r="351" spans="1:10" x14ac:dyDescent="0.35">
      <c r="A351" t="s">
        <v>208</v>
      </c>
      <c r="B351" t="s">
        <v>591</v>
      </c>
      <c r="C351" t="s">
        <v>592</v>
      </c>
      <c r="D351" s="1">
        <v>46224</v>
      </c>
      <c r="E351">
        <v>3.9486277780865102E-2</v>
      </c>
      <c r="F351" s="1">
        <v>46224.771585648145</v>
      </c>
      <c r="G351" t="s">
        <v>593</v>
      </c>
      <c r="H351" s="1">
        <v>46224.77158576389</v>
      </c>
      <c r="I351" t="s">
        <v>593</v>
      </c>
      <c r="J351" t="s">
        <v>4661</v>
      </c>
    </row>
    <row r="352" spans="1:10" x14ac:dyDescent="0.35">
      <c r="A352" t="s">
        <v>318</v>
      </c>
      <c r="B352" t="s">
        <v>591</v>
      </c>
      <c r="C352" t="s">
        <v>592</v>
      </c>
      <c r="D352" s="1">
        <v>46224</v>
      </c>
      <c r="E352">
        <v>2.0505816454941699E-2</v>
      </c>
      <c r="F352" s="1">
        <v>46224.771575497682</v>
      </c>
      <c r="G352" t="s">
        <v>593</v>
      </c>
      <c r="H352" s="1">
        <v>46224.771575462961</v>
      </c>
      <c r="I352" t="s">
        <v>593</v>
      </c>
      <c r="J352" t="s">
        <v>4662</v>
      </c>
    </row>
    <row r="353" spans="1:10" x14ac:dyDescent="0.35">
      <c r="A353" t="s">
        <v>209</v>
      </c>
      <c r="B353" t="s">
        <v>591</v>
      </c>
      <c r="C353" t="s">
        <v>592</v>
      </c>
      <c r="D353" s="1">
        <v>46224</v>
      </c>
      <c r="E353">
        <v>4.0095852675916303E-2</v>
      </c>
      <c r="F353" s="1">
        <v>46224.771575659724</v>
      </c>
      <c r="G353" t="s">
        <v>593</v>
      </c>
      <c r="H353" s="1">
        <v>46224.771575659724</v>
      </c>
      <c r="I353" t="s">
        <v>593</v>
      </c>
      <c r="J353" t="s">
        <v>4663</v>
      </c>
    </row>
    <row r="354" spans="1:10" x14ac:dyDescent="0.35">
      <c r="A354" t="s">
        <v>244</v>
      </c>
      <c r="B354" t="s">
        <v>591</v>
      </c>
      <c r="C354" t="s">
        <v>592</v>
      </c>
      <c r="D354" s="1">
        <v>46224</v>
      </c>
      <c r="E354">
        <v>4.3190138036947101E-2</v>
      </c>
      <c r="F354" s="1">
        <v>46224.771581747686</v>
      </c>
      <c r="G354" t="s">
        <v>593</v>
      </c>
      <c r="H354" s="1">
        <v>46224.771581793982</v>
      </c>
      <c r="I354" t="s">
        <v>593</v>
      </c>
      <c r="J354" t="s">
        <v>4664</v>
      </c>
    </row>
    <row r="355" spans="1:10" x14ac:dyDescent="0.35">
      <c r="A355" t="s">
        <v>245</v>
      </c>
      <c r="B355" t="s">
        <v>591</v>
      </c>
      <c r="C355" t="s">
        <v>592</v>
      </c>
      <c r="D355" s="1">
        <v>46224</v>
      </c>
      <c r="E355">
        <v>4.0065429485207402E-2</v>
      </c>
      <c r="F355" s="1">
        <v>46224.771560914349</v>
      </c>
      <c r="G355" t="s">
        <v>593</v>
      </c>
      <c r="H355" s="1">
        <v>46224.771560844907</v>
      </c>
      <c r="I355" t="s">
        <v>593</v>
      </c>
      <c r="J355" t="s">
        <v>4665</v>
      </c>
    </row>
    <row r="356" spans="1:10" x14ac:dyDescent="0.35">
      <c r="A356" t="s">
        <v>246</v>
      </c>
      <c r="B356" t="s">
        <v>591</v>
      </c>
      <c r="C356" t="s">
        <v>592</v>
      </c>
      <c r="D356" s="1">
        <v>46224</v>
      </c>
      <c r="E356">
        <v>4.0205492738028703E-2</v>
      </c>
      <c r="F356" s="1">
        <v>46224.771594560189</v>
      </c>
      <c r="G356" t="s">
        <v>593</v>
      </c>
      <c r="H356" s="1">
        <v>46224.771594594909</v>
      </c>
      <c r="I356" t="s">
        <v>593</v>
      </c>
      <c r="J356" t="s">
        <v>4666</v>
      </c>
    </row>
    <row r="357" spans="1:10" x14ac:dyDescent="0.35">
      <c r="A357" t="s">
        <v>276</v>
      </c>
      <c r="B357" t="s">
        <v>591</v>
      </c>
      <c r="C357" t="s">
        <v>592</v>
      </c>
      <c r="D357" s="1">
        <v>46224</v>
      </c>
      <c r="E357">
        <v>4.0804459003761499E-2</v>
      </c>
      <c r="F357" s="1">
        <v>46224.771561076392</v>
      </c>
      <c r="G357" t="s">
        <v>593</v>
      </c>
      <c r="H357" s="1">
        <v>46224.771560995374</v>
      </c>
      <c r="I357" t="s">
        <v>593</v>
      </c>
      <c r="J357" t="s">
        <v>4667</v>
      </c>
    </row>
    <row r="358" spans="1:10" x14ac:dyDescent="0.35">
      <c r="A358" t="s">
        <v>253</v>
      </c>
      <c r="B358" t="s">
        <v>591</v>
      </c>
      <c r="C358" t="s">
        <v>592</v>
      </c>
      <c r="D358" s="1">
        <v>46224</v>
      </c>
      <c r="E358">
        <v>4.3397243224206697E-2</v>
      </c>
      <c r="F358" s="1">
        <v>46224.771561226851</v>
      </c>
      <c r="G358" t="s">
        <v>593</v>
      </c>
      <c r="H358" s="1">
        <v>46224.77156119213</v>
      </c>
      <c r="I358" t="s">
        <v>593</v>
      </c>
      <c r="J358" t="s">
        <v>4668</v>
      </c>
    </row>
    <row r="359" spans="1:10" x14ac:dyDescent="0.35">
      <c r="A359" t="s">
        <v>254</v>
      </c>
      <c r="B359" t="s">
        <v>591</v>
      </c>
      <c r="C359" t="s">
        <v>592</v>
      </c>
      <c r="D359" s="1">
        <v>46224</v>
      </c>
      <c r="E359">
        <v>4.1175968630299202E-2</v>
      </c>
      <c r="F359" s="1">
        <v>46224.771581909721</v>
      </c>
      <c r="G359" t="s">
        <v>593</v>
      </c>
      <c r="H359" s="1">
        <v>46224.771581944442</v>
      </c>
      <c r="I359" t="s">
        <v>593</v>
      </c>
      <c r="J359" t="s">
        <v>4669</v>
      </c>
    </row>
    <row r="360" spans="1:10" x14ac:dyDescent="0.35">
      <c r="A360" t="s">
        <v>302</v>
      </c>
      <c r="B360" t="s">
        <v>591</v>
      </c>
      <c r="C360" t="s">
        <v>592</v>
      </c>
      <c r="D360" s="1">
        <v>46224</v>
      </c>
      <c r="E360">
        <v>4.14103876154642E-2</v>
      </c>
      <c r="F360" s="1">
        <v>46224.771594756945</v>
      </c>
      <c r="G360" t="s">
        <v>593</v>
      </c>
      <c r="H360" s="1">
        <v>46224.771594791666</v>
      </c>
      <c r="I360" t="s">
        <v>593</v>
      </c>
      <c r="J360" t="s">
        <v>4670</v>
      </c>
    </row>
    <row r="361" spans="1:10" x14ac:dyDescent="0.35">
      <c r="A361" t="s">
        <v>255</v>
      </c>
      <c r="B361" t="s">
        <v>591</v>
      </c>
      <c r="C361" t="s">
        <v>592</v>
      </c>
      <c r="D361" s="1">
        <v>46224</v>
      </c>
      <c r="E361">
        <v>1.94763142700306E-2</v>
      </c>
      <c r="F361" s="1">
        <v>46224.771582060188</v>
      </c>
      <c r="G361" t="s">
        <v>593</v>
      </c>
      <c r="H361" s="1">
        <v>46224.771582141206</v>
      </c>
      <c r="I361" t="s">
        <v>593</v>
      </c>
      <c r="J361" t="s">
        <v>4671</v>
      </c>
    </row>
    <row r="362" spans="1:10" x14ac:dyDescent="0.35">
      <c r="A362" t="s">
        <v>256</v>
      </c>
      <c r="B362" t="s">
        <v>591</v>
      </c>
      <c r="C362" t="s">
        <v>592</v>
      </c>
      <c r="D362" s="1">
        <v>46224</v>
      </c>
      <c r="E362">
        <v>4.1804851667947097E-2</v>
      </c>
      <c r="F362" s="1">
        <v>46224.77156134259</v>
      </c>
      <c r="G362" t="s">
        <v>593</v>
      </c>
      <c r="H362" s="1">
        <v>46224.771561377318</v>
      </c>
      <c r="I362" t="s">
        <v>593</v>
      </c>
      <c r="J362" t="s">
        <v>4672</v>
      </c>
    </row>
    <row r="363" spans="1:10" x14ac:dyDescent="0.35">
      <c r="A363" t="s">
        <v>257</v>
      </c>
      <c r="B363" t="s">
        <v>591</v>
      </c>
      <c r="C363" t="s">
        <v>592</v>
      </c>
      <c r="D363" s="1">
        <v>46224</v>
      </c>
      <c r="E363">
        <v>4.3496863703715798E-2</v>
      </c>
      <c r="F363" s="1">
        <v>46224.771561493057</v>
      </c>
      <c r="G363" t="s">
        <v>593</v>
      </c>
      <c r="H363" s="1">
        <v>46224.771561539354</v>
      </c>
      <c r="I363" t="s">
        <v>593</v>
      </c>
      <c r="J363" t="s">
        <v>4673</v>
      </c>
    </row>
    <row r="364" spans="1:10" x14ac:dyDescent="0.35">
      <c r="A364" t="s">
        <v>277</v>
      </c>
      <c r="B364" t="s">
        <v>591</v>
      </c>
      <c r="C364" t="s">
        <v>592</v>
      </c>
      <c r="D364" s="1">
        <v>46224</v>
      </c>
      <c r="E364">
        <v>4.1819502312796603E-2</v>
      </c>
      <c r="F364" s="1">
        <v>46224.771561655092</v>
      </c>
      <c r="G364" t="s">
        <v>593</v>
      </c>
      <c r="H364" s="1">
        <v>46224.771561724534</v>
      </c>
      <c r="I364" t="s">
        <v>593</v>
      </c>
      <c r="J364" t="s">
        <v>4674</v>
      </c>
    </row>
    <row r="365" spans="1:10" x14ac:dyDescent="0.35">
      <c r="A365" t="s">
        <v>258</v>
      </c>
      <c r="B365" t="s">
        <v>591</v>
      </c>
      <c r="C365" t="s">
        <v>592</v>
      </c>
      <c r="D365" s="1">
        <v>46224</v>
      </c>
      <c r="E365">
        <v>4.1985853939341802E-2</v>
      </c>
      <c r="F365" s="1">
        <v>46224.771575810184</v>
      </c>
      <c r="G365" t="s">
        <v>593</v>
      </c>
      <c r="H365" s="1">
        <v>46224.771575844905</v>
      </c>
      <c r="I365" t="s">
        <v>593</v>
      </c>
      <c r="J365" t="s">
        <v>4675</v>
      </c>
    </row>
    <row r="366" spans="1:10" x14ac:dyDescent="0.35">
      <c r="A366" t="s">
        <v>303</v>
      </c>
      <c r="B366" t="s">
        <v>591</v>
      </c>
      <c r="C366" t="s">
        <v>592</v>
      </c>
      <c r="D366" s="1">
        <v>46224</v>
      </c>
      <c r="E366">
        <v>4.2238559630240299E-2</v>
      </c>
      <c r="F366" s="1">
        <v>46224.771561805559</v>
      </c>
      <c r="G366" t="s">
        <v>593</v>
      </c>
      <c r="H366" s="1">
        <v>46224.771561724534</v>
      </c>
      <c r="I366" t="s">
        <v>593</v>
      </c>
      <c r="J366" t="s">
        <v>4676</v>
      </c>
    </row>
    <row r="367" spans="1:10" x14ac:dyDescent="0.35">
      <c r="A367" t="s">
        <v>304</v>
      </c>
      <c r="B367" t="s">
        <v>591</v>
      </c>
      <c r="C367" t="s">
        <v>592</v>
      </c>
      <c r="D367" s="1">
        <v>46224</v>
      </c>
      <c r="E367">
        <v>4.3574265812889403E-2</v>
      </c>
      <c r="F367" s="1">
        <v>46224.771561956019</v>
      </c>
      <c r="G367" t="s">
        <v>593</v>
      </c>
      <c r="H367" s="1">
        <v>46224.771561921298</v>
      </c>
      <c r="I367" t="s">
        <v>593</v>
      </c>
      <c r="J367" t="s">
        <v>4677</v>
      </c>
    </row>
    <row r="368" spans="1:10" x14ac:dyDescent="0.35">
      <c r="A368" t="s">
        <v>278</v>
      </c>
      <c r="B368" t="s">
        <v>591</v>
      </c>
      <c r="C368" t="s">
        <v>592</v>
      </c>
      <c r="D368" s="1">
        <v>46224</v>
      </c>
      <c r="E368">
        <v>4.2262449895565497E-2</v>
      </c>
      <c r="F368" s="1">
        <v>46224.771562118054</v>
      </c>
      <c r="G368" t="s">
        <v>593</v>
      </c>
      <c r="H368" s="1">
        <v>46224.771562118054</v>
      </c>
      <c r="I368" t="s">
        <v>593</v>
      </c>
      <c r="J368" t="s">
        <v>4678</v>
      </c>
    </row>
    <row r="369" spans="1:10" x14ac:dyDescent="0.35">
      <c r="A369" t="s">
        <v>305</v>
      </c>
      <c r="B369" t="s">
        <v>591</v>
      </c>
      <c r="C369" t="s">
        <v>592</v>
      </c>
      <c r="D369" s="1">
        <v>46224</v>
      </c>
      <c r="E369">
        <v>4.2401947120997499E-2</v>
      </c>
      <c r="F369" s="1">
        <v>46224.771562268521</v>
      </c>
      <c r="G369" t="s">
        <v>593</v>
      </c>
      <c r="H369" s="1">
        <v>46224.771562268521</v>
      </c>
      <c r="I369" t="s">
        <v>593</v>
      </c>
      <c r="J369" t="s">
        <v>4679</v>
      </c>
    </row>
    <row r="370" spans="1:10" x14ac:dyDescent="0.35">
      <c r="A370" t="s">
        <v>306</v>
      </c>
      <c r="B370" t="s">
        <v>591</v>
      </c>
      <c r="C370" t="s">
        <v>592</v>
      </c>
      <c r="D370" s="1">
        <v>46224</v>
      </c>
      <c r="E370">
        <v>2.0215632993917199E-2</v>
      </c>
      <c r="F370" s="1">
        <v>46224.77156241898</v>
      </c>
      <c r="G370" t="s">
        <v>593</v>
      </c>
      <c r="H370" s="1">
        <v>46224.771562465277</v>
      </c>
      <c r="I370" t="s">
        <v>593</v>
      </c>
      <c r="J370" t="s">
        <v>4680</v>
      </c>
    </row>
    <row r="371" spans="1:10" x14ac:dyDescent="0.35">
      <c r="A371" t="s">
        <v>319</v>
      </c>
      <c r="B371" t="s">
        <v>591</v>
      </c>
      <c r="C371" t="s">
        <v>592</v>
      </c>
      <c r="D371" s="1">
        <v>46224</v>
      </c>
      <c r="E371">
        <v>4.2511827569055902E-2</v>
      </c>
      <c r="F371" s="1">
        <v>46224.771594907405</v>
      </c>
      <c r="G371" t="s">
        <v>593</v>
      </c>
      <c r="H371" s="1">
        <v>46224.771594942133</v>
      </c>
      <c r="I371" t="s">
        <v>593</v>
      </c>
      <c r="J371" t="s">
        <v>4681</v>
      </c>
    </row>
    <row r="372" spans="1:10" x14ac:dyDescent="0.35">
      <c r="A372" t="s">
        <v>307</v>
      </c>
      <c r="B372" t="s">
        <v>591</v>
      </c>
      <c r="C372" t="s">
        <v>592</v>
      </c>
      <c r="D372" s="1">
        <v>46224</v>
      </c>
      <c r="E372">
        <v>4.34056968929558E-2</v>
      </c>
      <c r="F372" s="1">
        <v>46224.771562581016</v>
      </c>
      <c r="G372" t="s">
        <v>593</v>
      </c>
      <c r="H372" s="1">
        <v>46224.771562650465</v>
      </c>
      <c r="I372" t="s">
        <v>593</v>
      </c>
      <c r="J372" t="s">
        <v>4682</v>
      </c>
    </row>
    <row r="373" spans="1:10" x14ac:dyDescent="0.35">
      <c r="A373" t="s">
        <v>259</v>
      </c>
      <c r="B373" t="s">
        <v>591</v>
      </c>
      <c r="C373" t="s">
        <v>592</v>
      </c>
      <c r="D373" s="1">
        <v>46224</v>
      </c>
      <c r="E373">
        <v>4.2484028587076297E-2</v>
      </c>
      <c r="F373" s="1">
        <v>46224.771585798611</v>
      </c>
      <c r="G373" t="s">
        <v>593</v>
      </c>
      <c r="H373" s="1">
        <v>46224.771585960647</v>
      </c>
      <c r="I373" t="s">
        <v>593</v>
      </c>
      <c r="J373" t="s">
        <v>4683</v>
      </c>
    </row>
    <row r="374" spans="1:10" x14ac:dyDescent="0.35">
      <c r="A374" t="s">
        <v>308</v>
      </c>
      <c r="B374" t="s">
        <v>591</v>
      </c>
      <c r="C374" t="s">
        <v>592</v>
      </c>
      <c r="D374" s="1">
        <v>46224</v>
      </c>
      <c r="E374">
        <v>4.2561650019454299E-2</v>
      </c>
      <c r="F374" s="1">
        <v>46224.771582210647</v>
      </c>
      <c r="G374" t="s">
        <v>593</v>
      </c>
      <c r="H374" s="1">
        <v>46224.771582326386</v>
      </c>
      <c r="I374" t="s">
        <v>593</v>
      </c>
      <c r="J374" t="s">
        <v>4684</v>
      </c>
    </row>
    <row r="375" spans="1:10" x14ac:dyDescent="0.35">
      <c r="A375" t="s">
        <v>312</v>
      </c>
      <c r="B375" t="s">
        <v>591</v>
      </c>
      <c r="C375" t="s">
        <v>592</v>
      </c>
      <c r="D375" s="1">
        <v>46224</v>
      </c>
      <c r="E375">
        <v>4.2659153730579297E-2</v>
      </c>
      <c r="F375" s="1">
        <v>46224.771585960647</v>
      </c>
      <c r="G375" t="s">
        <v>593</v>
      </c>
      <c r="H375" s="1">
        <v>46224.771586111114</v>
      </c>
      <c r="I375" t="s">
        <v>593</v>
      </c>
      <c r="J375" t="s">
        <v>4685</v>
      </c>
    </row>
    <row r="376" spans="1:10" x14ac:dyDescent="0.35">
      <c r="A376" t="s">
        <v>260</v>
      </c>
      <c r="B376" t="s">
        <v>591</v>
      </c>
      <c r="C376" t="s">
        <v>592</v>
      </c>
      <c r="D376" s="1">
        <v>46224</v>
      </c>
      <c r="E376">
        <v>4.37154720012701E-2</v>
      </c>
      <c r="F376" s="1">
        <v>46224.771582372683</v>
      </c>
      <c r="G376" t="s">
        <v>593</v>
      </c>
      <c r="H376" s="1">
        <v>46224.771582488429</v>
      </c>
      <c r="I376" t="s">
        <v>593</v>
      </c>
      <c r="J376" t="s">
        <v>4686</v>
      </c>
    </row>
    <row r="377" spans="1:10" x14ac:dyDescent="0.35">
      <c r="A377" t="s">
        <v>261</v>
      </c>
      <c r="B377" t="s">
        <v>591</v>
      </c>
      <c r="C377" t="s">
        <v>592</v>
      </c>
      <c r="D377" s="1">
        <v>46224</v>
      </c>
      <c r="E377">
        <v>4.2648072474616897E-2</v>
      </c>
      <c r="F377" s="1">
        <v>46224.771562731483</v>
      </c>
      <c r="G377" t="s">
        <v>593</v>
      </c>
      <c r="H377" s="1">
        <v>46224.771562650465</v>
      </c>
      <c r="I377" t="s">
        <v>593</v>
      </c>
      <c r="J377" t="s">
        <v>4687</v>
      </c>
    </row>
    <row r="378" spans="1:10" x14ac:dyDescent="0.35">
      <c r="A378" t="s">
        <v>309</v>
      </c>
      <c r="B378" t="s">
        <v>591</v>
      </c>
      <c r="C378" t="s">
        <v>592</v>
      </c>
      <c r="D378" s="1">
        <v>46224</v>
      </c>
      <c r="E378">
        <v>4.2695527372224498E-2</v>
      </c>
      <c r="F378" s="1">
        <v>46224.77158252315</v>
      </c>
      <c r="G378" t="s">
        <v>593</v>
      </c>
      <c r="H378" s="1">
        <v>46224.771582673609</v>
      </c>
      <c r="I378" t="s">
        <v>593</v>
      </c>
      <c r="J378" t="s">
        <v>4688</v>
      </c>
    </row>
    <row r="379" spans="1:10" x14ac:dyDescent="0.35">
      <c r="A379" t="s">
        <v>320</v>
      </c>
      <c r="B379" t="s">
        <v>591</v>
      </c>
      <c r="C379" t="s">
        <v>592</v>
      </c>
      <c r="D379" s="1">
        <v>46224</v>
      </c>
      <c r="E379">
        <v>1.97135758891138E-2</v>
      </c>
      <c r="F379" s="1">
        <v>46224.771603009256</v>
      </c>
      <c r="G379" t="s">
        <v>593</v>
      </c>
      <c r="H379" s="1">
        <v>46224.771603090281</v>
      </c>
      <c r="I379" t="s">
        <v>593</v>
      </c>
      <c r="J379" t="s">
        <v>4689</v>
      </c>
    </row>
    <row r="380" spans="1:10" x14ac:dyDescent="0.35">
      <c r="A380" t="s">
        <v>262</v>
      </c>
      <c r="B380" t="s">
        <v>591</v>
      </c>
      <c r="C380" t="s">
        <v>592</v>
      </c>
      <c r="D380" s="1">
        <v>46224</v>
      </c>
      <c r="E380">
        <v>3.6022193793169101E-2</v>
      </c>
      <c r="F380" s="1">
        <v>46224.771562881942</v>
      </c>
      <c r="G380" t="s">
        <v>593</v>
      </c>
      <c r="H380" s="1">
        <v>46224.771562812501</v>
      </c>
      <c r="I380" t="s">
        <v>593</v>
      </c>
      <c r="J380" t="s">
        <v>4690</v>
      </c>
    </row>
    <row r="381" spans="1:10" x14ac:dyDescent="0.35">
      <c r="A381" t="s">
        <v>313</v>
      </c>
      <c r="B381" t="s">
        <v>591</v>
      </c>
      <c r="C381" t="s">
        <v>592</v>
      </c>
      <c r="D381" s="1">
        <v>46224</v>
      </c>
      <c r="E381">
        <v>4.2720465469781699E-2</v>
      </c>
      <c r="F381" s="1">
        <v>46224.771563043978</v>
      </c>
      <c r="G381" t="s">
        <v>593</v>
      </c>
      <c r="H381" s="1">
        <v>46224.771562997688</v>
      </c>
      <c r="I381" t="s">
        <v>593</v>
      </c>
      <c r="J381" t="s">
        <v>4691</v>
      </c>
    </row>
    <row r="382" spans="1:10" x14ac:dyDescent="0.35">
      <c r="A382" t="s">
        <v>263</v>
      </c>
      <c r="B382" t="s">
        <v>591</v>
      </c>
      <c r="C382" t="s">
        <v>592</v>
      </c>
      <c r="D382" s="1">
        <v>46224</v>
      </c>
      <c r="E382">
        <v>4.3849938583548999E-2</v>
      </c>
      <c r="F382" s="1">
        <v>46224.771582673609</v>
      </c>
      <c r="G382" t="s">
        <v>593</v>
      </c>
      <c r="H382" s="1">
        <v>46224.771582870373</v>
      </c>
      <c r="I382" t="s">
        <v>593</v>
      </c>
      <c r="J382" t="s">
        <v>4692</v>
      </c>
    </row>
    <row r="383" spans="1:10" x14ac:dyDescent="0.35">
      <c r="A383" t="s">
        <v>310</v>
      </c>
      <c r="B383" t="s">
        <v>591</v>
      </c>
      <c r="C383" t="s">
        <v>592</v>
      </c>
      <c r="D383" s="1">
        <v>46224</v>
      </c>
      <c r="E383">
        <v>4.28124212836479E-2</v>
      </c>
      <c r="F383" s="1">
        <v>46224.771563194445</v>
      </c>
      <c r="G383" t="s">
        <v>593</v>
      </c>
      <c r="H383" s="1">
        <v>46224.771563194445</v>
      </c>
      <c r="I383" t="s">
        <v>593</v>
      </c>
      <c r="J383" t="s">
        <v>4693</v>
      </c>
    </row>
    <row r="384" spans="1:10" x14ac:dyDescent="0.35">
      <c r="A384" t="s">
        <v>311</v>
      </c>
      <c r="B384" t="s">
        <v>591</v>
      </c>
      <c r="C384" t="s">
        <v>592</v>
      </c>
      <c r="D384" s="1">
        <v>46224</v>
      </c>
      <c r="E384">
        <v>3.7339603376718301E-2</v>
      </c>
      <c r="F384" s="1">
        <v>46224.771582835645</v>
      </c>
      <c r="G384" t="s">
        <v>593</v>
      </c>
      <c r="H384" s="1">
        <v>46224.771582870373</v>
      </c>
      <c r="I384" t="s">
        <v>593</v>
      </c>
      <c r="J384" t="s">
        <v>4694</v>
      </c>
    </row>
    <row r="385" spans="1:10" x14ac:dyDescent="0.35">
      <c r="A385" t="s">
        <v>264</v>
      </c>
      <c r="B385" t="s">
        <v>591</v>
      </c>
      <c r="C385" t="s">
        <v>592</v>
      </c>
      <c r="D385" s="1">
        <v>46224</v>
      </c>
      <c r="E385">
        <v>4.2868537395580497E-2</v>
      </c>
      <c r="F385" s="1">
        <v>46224.771563344904</v>
      </c>
      <c r="G385" t="s">
        <v>593</v>
      </c>
      <c r="H385" s="1">
        <v>46224.771563391201</v>
      </c>
      <c r="I385" t="s">
        <v>593</v>
      </c>
      <c r="J385" t="s">
        <v>4695</v>
      </c>
    </row>
    <row r="386" spans="1:10" x14ac:dyDescent="0.35">
      <c r="A386" t="s">
        <v>265</v>
      </c>
      <c r="B386" t="s">
        <v>591</v>
      </c>
      <c r="C386" t="s">
        <v>592</v>
      </c>
      <c r="D386" s="1">
        <v>46224</v>
      </c>
      <c r="E386">
        <v>3.7653658902198101E-2</v>
      </c>
      <c r="F386" s="1">
        <v>46224.771586111114</v>
      </c>
      <c r="G386" t="s">
        <v>593</v>
      </c>
      <c r="H386" s="1">
        <v>46224.771586111114</v>
      </c>
      <c r="I386" t="s">
        <v>593</v>
      </c>
      <c r="J386" t="s">
        <v>4696</v>
      </c>
    </row>
    <row r="387" spans="1:10" x14ac:dyDescent="0.35">
      <c r="A387" t="s">
        <v>331</v>
      </c>
      <c r="B387" t="s">
        <v>591</v>
      </c>
      <c r="C387" t="s">
        <v>592</v>
      </c>
      <c r="D387" s="1">
        <v>46224</v>
      </c>
      <c r="E387">
        <v>3.41277162778095E-2</v>
      </c>
      <c r="F387" s="1">
        <v>46224.771582986112</v>
      </c>
      <c r="G387" t="s">
        <v>593</v>
      </c>
      <c r="H387" s="1">
        <v>46224.77158306713</v>
      </c>
      <c r="I387" t="s">
        <v>593</v>
      </c>
      <c r="J387" t="s">
        <v>4697</v>
      </c>
    </row>
    <row r="388" spans="1:10" x14ac:dyDescent="0.35">
      <c r="A388" t="s">
        <v>266</v>
      </c>
      <c r="B388" t="s">
        <v>591</v>
      </c>
      <c r="C388" t="s">
        <v>592</v>
      </c>
      <c r="D388" s="1">
        <v>46224</v>
      </c>
      <c r="E388">
        <v>4.2875589134493998E-2</v>
      </c>
      <c r="F388" s="1">
        <v>46224.771563506947</v>
      </c>
      <c r="G388" t="s">
        <v>593</v>
      </c>
      <c r="H388" s="1">
        <v>46224.771563541668</v>
      </c>
      <c r="I388" t="s">
        <v>593</v>
      </c>
      <c r="J388" t="s">
        <v>4698</v>
      </c>
    </row>
    <row r="389" spans="1:10" x14ac:dyDescent="0.35">
      <c r="A389" t="s">
        <v>314</v>
      </c>
      <c r="B389" t="s">
        <v>591</v>
      </c>
      <c r="C389" t="s">
        <v>592</v>
      </c>
      <c r="D389" s="1">
        <v>46224</v>
      </c>
      <c r="E389">
        <v>3.85523047003146E-2</v>
      </c>
      <c r="F389" s="1">
        <v>46224.77159502315</v>
      </c>
      <c r="G389" t="s">
        <v>593</v>
      </c>
      <c r="H389" s="1">
        <v>46224.771594942133</v>
      </c>
      <c r="I389" t="s">
        <v>593</v>
      </c>
      <c r="J389" t="s">
        <v>4699</v>
      </c>
    </row>
    <row r="390" spans="1:10" x14ac:dyDescent="0.35">
      <c r="A390" t="s">
        <v>267</v>
      </c>
      <c r="B390" t="s">
        <v>591</v>
      </c>
      <c r="C390" t="s">
        <v>592</v>
      </c>
      <c r="D390" s="1">
        <v>46224</v>
      </c>
      <c r="E390">
        <v>4.4042677321657203E-2</v>
      </c>
      <c r="F390" s="1">
        <v>46224.771586261573</v>
      </c>
      <c r="G390" t="s">
        <v>593</v>
      </c>
      <c r="H390" s="1">
        <v>46224.77158630787</v>
      </c>
      <c r="I390" t="s">
        <v>593</v>
      </c>
      <c r="J390" t="s">
        <v>4700</v>
      </c>
    </row>
    <row r="391" spans="1:10" x14ac:dyDescent="0.35">
      <c r="A391" t="s">
        <v>268</v>
      </c>
      <c r="B391" t="s">
        <v>591</v>
      </c>
      <c r="C391" t="s">
        <v>592</v>
      </c>
      <c r="D391" s="1">
        <v>46224</v>
      </c>
      <c r="E391">
        <v>3.8877524999939697E-2</v>
      </c>
      <c r="F391" s="1">
        <v>46224.771595219907</v>
      </c>
      <c r="G391" t="s">
        <v>593</v>
      </c>
      <c r="H391" s="1">
        <v>46224.771595138889</v>
      </c>
      <c r="I391" t="s">
        <v>593</v>
      </c>
      <c r="J391" t="s">
        <v>4701</v>
      </c>
    </row>
    <row r="392" spans="1:10" x14ac:dyDescent="0.35">
      <c r="A392" t="s">
        <v>279</v>
      </c>
      <c r="B392" t="s">
        <v>591</v>
      </c>
      <c r="C392" t="s">
        <v>592</v>
      </c>
      <c r="D392" s="1">
        <v>46224</v>
      </c>
      <c r="E392">
        <v>4.2862384583455301E-2</v>
      </c>
      <c r="F392" s="1">
        <v>46224.771583136571</v>
      </c>
      <c r="G392" t="s">
        <v>593</v>
      </c>
      <c r="H392" s="1">
        <v>46224.771583217589</v>
      </c>
      <c r="I392" t="s">
        <v>593</v>
      </c>
      <c r="J392" t="s">
        <v>4702</v>
      </c>
    </row>
    <row r="393" spans="1:10" x14ac:dyDescent="0.35">
      <c r="A393" t="s">
        <v>315</v>
      </c>
      <c r="B393" t="s">
        <v>591</v>
      </c>
      <c r="C393" t="s">
        <v>592</v>
      </c>
      <c r="D393" s="1">
        <v>46224</v>
      </c>
      <c r="E393">
        <v>4.2904293479390301E-2</v>
      </c>
      <c r="F393" s="1">
        <v>46224.771563657407</v>
      </c>
      <c r="G393" t="s">
        <v>593</v>
      </c>
      <c r="H393" s="1">
        <v>46224.771563541668</v>
      </c>
      <c r="I393" t="s">
        <v>593</v>
      </c>
      <c r="J393" t="s">
        <v>4703</v>
      </c>
    </row>
    <row r="394" spans="1:10" x14ac:dyDescent="0.35">
      <c r="A394" t="s">
        <v>316</v>
      </c>
      <c r="B394" t="s">
        <v>591</v>
      </c>
      <c r="C394" t="s">
        <v>592</v>
      </c>
      <c r="D394" s="1">
        <v>46224</v>
      </c>
      <c r="E394">
        <v>3.94630619742211E-2</v>
      </c>
      <c r="F394" s="1">
        <v>46224.771563807873</v>
      </c>
      <c r="G394" t="s">
        <v>593</v>
      </c>
      <c r="H394" s="1">
        <v>46224.771563738424</v>
      </c>
      <c r="I394" t="s">
        <v>593</v>
      </c>
      <c r="J394" t="s">
        <v>4704</v>
      </c>
    </row>
    <row r="395" spans="1:10" x14ac:dyDescent="0.35">
      <c r="A395" t="s">
        <v>317</v>
      </c>
      <c r="B395" t="s">
        <v>591</v>
      </c>
      <c r="C395" t="s">
        <v>592</v>
      </c>
      <c r="D395" s="1">
        <v>46224</v>
      </c>
      <c r="E395">
        <v>4.2959903864025803E-2</v>
      </c>
      <c r="F395" s="1">
        <v>46224.771577199077</v>
      </c>
      <c r="G395" t="s">
        <v>593</v>
      </c>
      <c r="H395" s="1">
        <v>46224.771577164349</v>
      </c>
      <c r="I395" t="s">
        <v>593</v>
      </c>
      <c r="J395" t="s">
        <v>4705</v>
      </c>
    </row>
    <row r="396" spans="1:10" x14ac:dyDescent="0.35">
      <c r="A396" t="s">
        <v>321</v>
      </c>
      <c r="B396" t="s">
        <v>591</v>
      </c>
      <c r="C396" t="s">
        <v>592</v>
      </c>
      <c r="D396" s="1">
        <v>46224</v>
      </c>
      <c r="E396">
        <v>2.0688416046407001E-2</v>
      </c>
      <c r="F396" s="1">
        <v>46224.771583298614</v>
      </c>
      <c r="G396" t="s">
        <v>593</v>
      </c>
      <c r="H396" s="1">
        <v>46224.771583414353</v>
      </c>
      <c r="I396" t="s">
        <v>593</v>
      </c>
      <c r="J396" t="s">
        <v>4706</v>
      </c>
    </row>
    <row r="397" spans="1:10" x14ac:dyDescent="0.35">
      <c r="A397" t="s">
        <v>280</v>
      </c>
      <c r="B397" t="s">
        <v>591</v>
      </c>
      <c r="C397" t="s">
        <v>592</v>
      </c>
      <c r="D397" s="1">
        <v>46224</v>
      </c>
      <c r="E397">
        <v>4.4180540264334399E-2</v>
      </c>
      <c r="F397" s="1">
        <v>46224.771577314816</v>
      </c>
      <c r="G397" t="s">
        <v>593</v>
      </c>
      <c r="H397" s="1">
        <v>46224.771577430554</v>
      </c>
      <c r="I397" t="s">
        <v>593</v>
      </c>
      <c r="J397" t="s">
        <v>4707</v>
      </c>
    </row>
    <row r="398" spans="1:10" x14ac:dyDescent="0.35">
      <c r="A398" t="s">
        <v>322</v>
      </c>
      <c r="B398" t="s">
        <v>591</v>
      </c>
      <c r="C398" t="s">
        <v>592</v>
      </c>
      <c r="D398" s="1">
        <v>46224</v>
      </c>
      <c r="E398">
        <v>4.2883337286486099E-2</v>
      </c>
      <c r="F398" s="1">
        <v>46224.771583449074</v>
      </c>
      <c r="G398" t="s">
        <v>593</v>
      </c>
      <c r="H398" s="1">
        <v>46224.77158359954</v>
      </c>
      <c r="I398" t="s">
        <v>593</v>
      </c>
      <c r="J398" t="s">
        <v>4708</v>
      </c>
    </row>
    <row r="399" spans="1:10" x14ac:dyDescent="0.35">
      <c r="A399" t="s">
        <v>281</v>
      </c>
      <c r="B399" t="s">
        <v>591</v>
      </c>
      <c r="C399" t="s">
        <v>592</v>
      </c>
      <c r="D399" s="1">
        <v>46224</v>
      </c>
      <c r="E399">
        <v>4.0109616255287403E-2</v>
      </c>
      <c r="F399" s="1">
        <v>46224.77158359954</v>
      </c>
      <c r="G399" t="s">
        <v>593</v>
      </c>
      <c r="H399" s="1">
        <v>46224.771583761576</v>
      </c>
      <c r="I399" t="s">
        <v>593</v>
      </c>
      <c r="J399" t="s">
        <v>4709</v>
      </c>
    </row>
    <row r="400" spans="1:10" x14ac:dyDescent="0.35">
      <c r="A400" t="s">
        <v>282</v>
      </c>
      <c r="B400" t="s">
        <v>591</v>
      </c>
      <c r="C400" t="s">
        <v>592</v>
      </c>
      <c r="D400" s="1">
        <v>46224</v>
      </c>
      <c r="E400">
        <v>4.2990004926719103E-2</v>
      </c>
      <c r="F400" s="1">
        <v>46224.771577465275</v>
      </c>
      <c r="G400" t="s">
        <v>593</v>
      </c>
      <c r="H400" s="1">
        <v>46224.771577430554</v>
      </c>
      <c r="I400" t="s">
        <v>593</v>
      </c>
      <c r="J400" t="s">
        <v>4710</v>
      </c>
    </row>
    <row r="401" spans="1:10" x14ac:dyDescent="0.35">
      <c r="A401" t="s">
        <v>283</v>
      </c>
      <c r="B401" t="s">
        <v>591</v>
      </c>
      <c r="C401" t="s">
        <v>592</v>
      </c>
      <c r="D401" s="1">
        <v>46224</v>
      </c>
      <c r="E401">
        <v>4.0436994968516903E-2</v>
      </c>
      <c r="F401" s="1">
        <v>46224.771577627318</v>
      </c>
      <c r="G401" t="s">
        <v>593</v>
      </c>
      <c r="H401" s="1">
        <v>46224.771577627318</v>
      </c>
      <c r="I401" t="s">
        <v>593</v>
      </c>
      <c r="J401" t="s">
        <v>4711</v>
      </c>
    </row>
    <row r="402" spans="1:10" x14ac:dyDescent="0.35">
      <c r="A402" t="s">
        <v>284</v>
      </c>
      <c r="B402" t="s">
        <v>591</v>
      </c>
      <c r="C402" t="s">
        <v>592</v>
      </c>
      <c r="D402" s="1">
        <v>46224</v>
      </c>
      <c r="E402">
        <v>2.8885629534640599E-2</v>
      </c>
      <c r="F402" s="1">
        <v>46224.771586423609</v>
      </c>
      <c r="G402" t="s">
        <v>593</v>
      </c>
      <c r="H402" s="1">
        <v>46224.771586493058</v>
      </c>
      <c r="I402" t="s">
        <v>593</v>
      </c>
      <c r="J402" t="s">
        <v>4712</v>
      </c>
    </row>
    <row r="403" spans="1:10" x14ac:dyDescent="0.35">
      <c r="A403" t="s">
        <v>285</v>
      </c>
      <c r="B403" t="s">
        <v>591</v>
      </c>
      <c r="C403" t="s">
        <v>592</v>
      </c>
      <c r="D403" s="1">
        <v>46224</v>
      </c>
      <c r="E403">
        <v>4.2945680844756903E-2</v>
      </c>
      <c r="F403" s="1">
        <v>46224.771577777778</v>
      </c>
      <c r="G403" t="s">
        <v>593</v>
      </c>
      <c r="H403" s="1">
        <v>46224.771577812498</v>
      </c>
      <c r="I403" t="s">
        <v>593</v>
      </c>
      <c r="J403" t="s">
        <v>4713</v>
      </c>
    </row>
    <row r="404" spans="1:10" x14ac:dyDescent="0.35">
      <c r="A404" t="s">
        <v>323</v>
      </c>
      <c r="B404" t="s">
        <v>591</v>
      </c>
      <c r="C404" t="s">
        <v>592</v>
      </c>
      <c r="D404" s="1">
        <v>46224</v>
      </c>
      <c r="E404">
        <v>4.0910890115408299E-2</v>
      </c>
      <c r="F404" s="1">
        <v>46224.771586574076</v>
      </c>
      <c r="G404" t="s">
        <v>593</v>
      </c>
      <c r="H404" s="1">
        <v>46224.771586655093</v>
      </c>
      <c r="I404" t="s">
        <v>593</v>
      </c>
      <c r="J404" t="s">
        <v>4714</v>
      </c>
    </row>
    <row r="405" spans="1:10" x14ac:dyDescent="0.35">
      <c r="A405" t="s">
        <v>286</v>
      </c>
      <c r="B405" t="s">
        <v>591</v>
      </c>
      <c r="C405" t="s">
        <v>592</v>
      </c>
      <c r="D405" s="1">
        <v>46224</v>
      </c>
      <c r="E405">
        <v>4.4322870430197801E-2</v>
      </c>
      <c r="F405" s="1">
        <v>46224.771583761576</v>
      </c>
      <c r="G405" t="s">
        <v>593</v>
      </c>
      <c r="H405" s="1">
        <v>46224.771583761576</v>
      </c>
      <c r="I405" t="s">
        <v>593</v>
      </c>
      <c r="J405" t="s">
        <v>4715</v>
      </c>
    </row>
    <row r="406" spans="1:10" x14ac:dyDescent="0.35">
      <c r="A406" t="s">
        <v>287</v>
      </c>
      <c r="B406" t="s">
        <v>591</v>
      </c>
      <c r="C406" t="s">
        <v>592</v>
      </c>
      <c r="D406" s="1">
        <v>46224</v>
      </c>
      <c r="E406">
        <v>4.2966350179115403E-2</v>
      </c>
      <c r="F406" s="1">
        <v>46224.77160320602</v>
      </c>
      <c r="G406" t="s">
        <v>593</v>
      </c>
      <c r="H406" s="1">
        <v>46224.771603275462</v>
      </c>
      <c r="I406" t="s">
        <v>593</v>
      </c>
      <c r="J406" t="s">
        <v>4716</v>
      </c>
    </row>
    <row r="407" spans="1:10" x14ac:dyDescent="0.35">
      <c r="A407" t="s">
        <v>332</v>
      </c>
      <c r="B407" t="s">
        <v>591</v>
      </c>
      <c r="C407" t="s">
        <v>592</v>
      </c>
      <c r="D407" s="1">
        <v>46224</v>
      </c>
      <c r="E407">
        <v>4.1196022210403097E-2</v>
      </c>
      <c r="F407" s="1">
        <v>46224.771577928244</v>
      </c>
      <c r="G407" t="s">
        <v>593</v>
      </c>
      <c r="H407" s="1">
        <v>46224.771577974534</v>
      </c>
      <c r="I407" t="s">
        <v>593</v>
      </c>
      <c r="J407" t="s">
        <v>4717</v>
      </c>
    </row>
    <row r="408" spans="1:10" x14ac:dyDescent="0.35">
      <c r="A408" t="s">
        <v>324</v>
      </c>
      <c r="B408" t="s">
        <v>591</v>
      </c>
      <c r="C408" t="s">
        <v>592</v>
      </c>
      <c r="D408" s="1">
        <v>46224</v>
      </c>
      <c r="E408">
        <v>4.3036505507501599E-2</v>
      </c>
      <c r="F408" s="1">
        <v>46224.77157809028</v>
      </c>
      <c r="G408" t="s">
        <v>593</v>
      </c>
      <c r="H408" s="1">
        <v>46224.771578159722</v>
      </c>
      <c r="I408" t="s">
        <v>593</v>
      </c>
      <c r="J408" t="s">
        <v>4718</v>
      </c>
    </row>
    <row r="409" spans="1:10" x14ac:dyDescent="0.35">
      <c r="A409" t="s">
        <v>288</v>
      </c>
      <c r="B409" t="s">
        <v>591</v>
      </c>
      <c r="C409" t="s">
        <v>592</v>
      </c>
      <c r="D409" s="1">
        <v>46224</v>
      </c>
      <c r="E409">
        <v>4.1337728151032802E-2</v>
      </c>
      <c r="F409" s="1">
        <v>46224.771603356479</v>
      </c>
      <c r="G409" t="s">
        <v>593</v>
      </c>
      <c r="H409" s="1">
        <v>46224.771603275462</v>
      </c>
      <c r="I409" t="s">
        <v>593</v>
      </c>
      <c r="J409" t="s">
        <v>4719</v>
      </c>
    </row>
    <row r="410" spans="1:10" x14ac:dyDescent="0.35">
      <c r="A410" t="s">
        <v>333</v>
      </c>
      <c r="B410" t="s">
        <v>591</v>
      </c>
      <c r="C410" t="s">
        <v>592</v>
      </c>
      <c r="D410" s="1">
        <v>46224</v>
      </c>
      <c r="E410">
        <v>2.0451880879679699E-2</v>
      </c>
      <c r="F410" s="1">
        <v>46224.77161570602</v>
      </c>
      <c r="G410" t="s">
        <v>593</v>
      </c>
      <c r="H410" s="1">
        <v>46224.771615821759</v>
      </c>
      <c r="I410" t="s">
        <v>593</v>
      </c>
      <c r="J410" t="s">
        <v>4720</v>
      </c>
    </row>
    <row r="411" spans="1:10" x14ac:dyDescent="0.35">
      <c r="A411" t="s">
        <v>289</v>
      </c>
      <c r="B411" t="s">
        <v>591</v>
      </c>
      <c r="C411" t="s">
        <v>592</v>
      </c>
      <c r="D411" s="1">
        <v>46224</v>
      </c>
      <c r="E411">
        <v>4.18109012717926E-2</v>
      </c>
      <c r="F411" s="1">
        <v>46224.771578240739</v>
      </c>
      <c r="G411" t="s">
        <v>593</v>
      </c>
      <c r="H411" s="1">
        <v>46224.771578356478</v>
      </c>
      <c r="I411" t="s">
        <v>593</v>
      </c>
      <c r="J411" t="s">
        <v>4721</v>
      </c>
    </row>
    <row r="412" spans="1:10" x14ac:dyDescent="0.35">
      <c r="A412" t="s">
        <v>325</v>
      </c>
      <c r="B412" t="s">
        <v>591</v>
      </c>
      <c r="C412" t="s">
        <v>592</v>
      </c>
      <c r="D412" s="1">
        <v>46224</v>
      </c>
      <c r="E412">
        <v>4.3023773427325503E-2</v>
      </c>
      <c r="F412" s="1">
        <v>46224.771578472224</v>
      </c>
      <c r="G412" t="s">
        <v>593</v>
      </c>
      <c r="H412" s="1">
        <v>46224.771578506945</v>
      </c>
      <c r="I412" t="s">
        <v>593</v>
      </c>
      <c r="J412" t="s">
        <v>4722</v>
      </c>
    </row>
    <row r="413" spans="1:10" x14ac:dyDescent="0.35">
      <c r="A413" t="s">
        <v>290</v>
      </c>
      <c r="B413" t="s">
        <v>591</v>
      </c>
      <c r="C413" t="s">
        <v>592</v>
      </c>
      <c r="D413" s="1">
        <v>46224</v>
      </c>
      <c r="E413">
        <v>4.44840071138514E-2</v>
      </c>
      <c r="F413" s="1">
        <v>46224.771578587963</v>
      </c>
      <c r="G413" t="s">
        <v>593</v>
      </c>
      <c r="H413" s="1">
        <v>46224.771578703701</v>
      </c>
      <c r="I413" t="s">
        <v>593</v>
      </c>
      <c r="J413" t="s">
        <v>4723</v>
      </c>
    </row>
    <row r="414" spans="1:10" x14ac:dyDescent="0.35">
      <c r="A414" t="s">
        <v>326</v>
      </c>
      <c r="B414" t="s">
        <v>591</v>
      </c>
      <c r="C414" t="s">
        <v>592</v>
      </c>
      <c r="D414" s="1">
        <v>46224</v>
      </c>
      <c r="E414">
        <v>4.1713308713317701E-2</v>
      </c>
      <c r="F414" s="1">
        <v>46224.771603472225</v>
      </c>
      <c r="G414" t="s">
        <v>593</v>
      </c>
      <c r="H414" s="1">
        <v>46224.771603437497</v>
      </c>
      <c r="I414" t="s">
        <v>593</v>
      </c>
      <c r="J414" t="s">
        <v>4724</v>
      </c>
    </row>
    <row r="415" spans="1:10" x14ac:dyDescent="0.35">
      <c r="A415" t="s">
        <v>291</v>
      </c>
      <c r="B415" t="s">
        <v>591</v>
      </c>
      <c r="C415" t="s">
        <v>592</v>
      </c>
      <c r="D415" s="1">
        <v>46224</v>
      </c>
      <c r="E415">
        <v>4.30368152284719E-2</v>
      </c>
      <c r="F415" s="1">
        <v>46224.771586724535</v>
      </c>
      <c r="G415" t="s">
        <v>593</v>
      </c>
      <c r="H415" s="1">
        <v>46224.771586840281</v>
      </c>
      <c r="I415" t="s">
        <v>593</v>
      </c>
      <c r="J415" t="s">
        <v>4725</v>
      </c>
    </row>
    <row r="416" spans="1:10" x14ac:dyDescent="0.35">
      <c r="A416" t="s">
        <v>292</v>
      </c>
      <c r="B416" t="s">
        <v>591</v>
      </c>
      <c r="C416" t="s">
        <v>592</v>
      </c>
      <c r="D416" s="1">
        <v>46224</v>
      </c>
      <c r="E416">
        <v>4.3100279369222998E-2</v>
      </c>
      <c r="F416" s="1">
        <v>46224.771578784719</v>
      </c>
      <c r="G416" t="s">
        <v>593</v>
      </c>
      <c r="H416" s="1">
        <v>46224.771578703701</v>
      </c>
      <c r="I416" t="s">
        <v>593</v>
      </c>
      <c r="J416" t="s">
        <v>4726</v>
      </c>
    </row>
    <row r="417" spans="1:10" x14ac:dyDescent="0.35">
      <c r="A417" t="s">
        <v>327</v>
      </c>
      <c r="B417" t="s">
        <v>591</v>
      </c>
      <c r="C417" t="s">
        <v>592</v>
      </c>
      <c r="D417" s="1">
        <v>46224</v>
      </c>
      <c r="E417">
        <v>4.1970093845864302E-2</v>
      </c>
      <c r="F417" s="1">
        <v>46224.771586886571</v>
      </c>
      <c r="G417" t="s">
        <v>593</v>
      </c>
      <c r="H417" s="1">
        <v>46224.771587037038</v>
      </c>
      <c r="I417" t="s">
        <v>593</v>
      </c>
      <c r="J417" t="s">
        <v>4727</v>
      </c>
    </row>
    <row r="418" spans="1:10" x14ac:dyDescent="0.35">
      <c r="A418" t="s">
        <v>293</v>
      </c>
      <c r="B418" t="s">
        <v>591</v>
      </c>
      <c r="C418" t="s">
        <v>592</v>
      </c>
      <c r="D418" s="1">
        <v>46224</v>
      </c>
      <c r="E418">
        <v>2.1796615192943201E-2</v>
      </c>
      <c r="F418" s="1">
        <v>46224.771611261574</v>
      </c>
      <c r="G418" t="s">
        <v>593</v>
      </c>
      <c r="H418" s="1">
        <v>46224.771611307871</v>
      </c>
      <c r="I418" t="s">
        <v>593</v>
      </c>
      <c r="J418" t="s">
        <v>4728</v>
      </c>
    </row>
    <row r="419" spans="1:10" x14ac:dyDescent="0.35">
      <c r="A419" t="s">
        <v>294</v>
      </c>
      <c r="B419" t="s">
        <v>591</v>
      </c>
      <c r="C419" t="s">
        <v>592</v>
      </c>
      <c r="D419" s="1">
        <v>46224</v>
      </c>
      <c r="E419">
        <v>4.3160926136005501E-2</v>
      </c>
      <c r="F419" s="1">
        <v>46224.771578935186</v>
      </c>
      <c r="G419" t="s">
        <v>593</v>
      </c>
      <c r="H419" s="1">
        <v>46224.771578900465</v>
      </c>
      <c r="I419" t="s">
        <v>593</v>
      </c>
      <c r="J419" t="s">
        <v>4729</v>
      </c>
    </row>
    <row r="420" spans="1:10" x14ac:dyDescent="0.35">
      <c r="A420" t="s">
        <v>334</v>
      </c>
      <c r="B420" t="s">
        <v>591</v>
      </c>
      <c r="C420" t="s">
        <v>592</v>
      </c>
      <c r="D420" s="1">
        <v>46224</v>
      </c>
      <c r="E420">
        <v>4.2017673716044798E-2</v>
      </c>
      <c r="F420" s="1">
        <v>46224.771579050925</v>
      </c>
      <c r="G420" t="s">
        <v>593</v>
      </c>
      <c r="H420" s="1">
        <v>46224.771579050925</v>
      </c>
      <c r="I420" t="s">
        <v>593</v>
      </c>
      <c r="J420" t="s">
        <v>4730</v>
      </c>
    </row>
    <row r="421" spans="1:10" x14ac:dyDescent="0.35">
      <c r="A421" t="s">
        <v>295</v>
      </c>
      <c r="B421" t="s">
        <v>591</v>
      </c>
      <c r="C421" t="s">
        <v>592</v>
      </c>
      <c r="D421" s="1">
        <v>46224</v>
      </c>
      <c r="E421">
        <v>4.4543069392936903E-2</v>
      </c>
      <c r="F421" s="1">
        <v>46224.771579247688</v>
      </c>
      <c r="G421" t="s">
        <v>593</v>
      </c>
      <c r="H421" s="1">
        <v>46224.771579247688</v>
      </c>
      <c r="I421" t="s">
        <v>593</v>
      </c>
      <c r="J421" t="s">
        <v>4731</v>
      </c>
    </row>
    <row r="422" spans="1:10" x14ac:dyDescent="0.35">
      <c r="A422" t="s">
        <v>296</v>
      </c>
      <c r="B422" t="s">
        <v>591</v>
      </c>
      <c r="C422" t="s">
        <v>592</v>
      </c>
      <c r="D422" s="1">
        <v>46224</v>
      </c>
      <c r="E422">
        <v>4.3217378941418999E-2</v>
      </c>
      <c r="F422" s="1">
        <v>46224.771579398148</v>
      </c>
      <c r="G422" t="s">
        <v>593</v>
      </c>
      <c r="H422" s="1">
        <v>46224.771579432869</v>
      </c>
      <c r="I422" t="s">
        <v>593</v>
      </c>
      <c r="J422" t="s">
        <v>4732</v>
      </c>
    </row>
    <row r="423" spans="1:10" x14ac:dyDescent="0.35">
      <c r="A423" t="s">
        <v>335</v>
      </c>
      <c r="B423" t="s">
        <v>591</v>
      </c>
      <c r="C423" t="s">
        <v>592</v>
      </c>
      <c r="D423" s="1">
        <v>46224</v>
      </c>
      <c r="E423">
        <v>4.22619463133799E-2</v>
      </c>
      <c r="F423" s="1">
        <v>46224.771579513887</v>
      </c>
      <c r="G423" t="s">
        <v>593</v>
      </c>
      <c r="H423" s="1">
        <v>46224.771579594904</v>
      </c>
      <c r="I423" t="s">
        <v>593</v>
      </c>
      <c r="J423" t="s">
        <v>4733</v>
      </c>
    </row>
    <row r="424" spans="1:10" x14ac:dyDescent="0.35">
      <c r="A424" t="s">
        <v>297</v>
      </c>
      <c r="B424" t="s">
        <v>591</v>
      </c>
      <c r="C424" t="s">
        <v>592</v>
      </c>
      <c r="D424" s="1">
        <v>46224</v>
      </c>
      <c r="E424">
        <v>4.32605455516719E-2</v>
      </c>
      <c r="F424" s="1">
        <v>46224.771593831021</v>
      </c>
      <c r="G424" t="s">
        <v>593</v>
      </c>
      <c r="H424" s="1">
        <v>46224.771593865742</v>
      </c>
      <c r="I424" t="s">
        <v>593</v>
      </c>
      <c r="J424" t="s">
        <v>4734</v>
      </c>
    </row>
    <row r="425" spans="1:10" x14ac:dyDescent="0.35">
      <c r="A425" t="s">
        <v>298</v>
      </c>
      <c r="B425" t="s">
        <v>591</v>
      </c>
      <c r="C425" t="s">
        <v>592</v>
      </c>
      <c r="D425" s="1">
        <v>46224</v>
      </c>
      <c r="E425">
        <v>4.2406519968872201E-2</v>
      </c>
      <c r="F425" s="1">
        <v>46224.771579664353</v>
      </c>
      <c r="G425" t="s">
        <v>593</v>
      </c>
      <c r="H425" s="1">
        <v>46224.771579780092</v>
      </c>
      <c r="I425" t="s">
        <v>593</v>
      </c>
      <c r="J425" t="s">
        <v>4735</v>
      </c>
    </row>
    <row r="426" spans="1:10" x14ac:dyDescent="0.35">
      <c r="A426" t="s">
        <v>328</v>
      </c>
      <c r="B426" t="s">
        <v>591</v>
      </c>
      <c r="C426" t="s">
        <v>592</v>
      </c>
      <c r="D426" s="1">
        <v>46224</v>
      </c>
      <c r="E426">
        <v>4.2464040355018703E-2</v>
      </c>
      <c r="F426" s="1">
        <v>46224.771579826389</v>
      </c>
      <c r="G426" t="s">
        <v>593</v>
      </c>
      <c r="H426" s="1">
        <v>46224.771579780092</v>
      </c>
      <c r="I426" t="s">
        <v>593</v>
      </c>
      <c r="J426" t="s">
        <v>4736</v>
      </c>
    </row>
    <row r="427" spans="1:10" x14ac:dyDescent="0.35">
      <c r="A427" t="s">
        <v>299</v>
      </c>
      <c r="B427" t="s">
        <v>591</v>
      </c>
      <c r="C427" t="s">
        <v>592</v>
      </c>
      <c r="D427" s="1">
        <v>46224</v>
      </c>
      <c r="E427">
        <v>4.3275867709932997E-2</v>
      </c>
      <c r="F427" s="1">
        <v>46224.771579976848</v>
      </c>
      <c r="G427" t="s">
        <v>593</v>
      </c>
      <c r="H427" s="1">
        <v>46224.771579976848</v>
      </c>
      <c r="I427" t="s">
        <v>593</v>
      </c>
      <c r="J427" t="s">
        <v>4737</v>
      </c>
    </row>
    <row r="428" spans="1:10" x14ac:dyDescent="0.35">
      <c r="A428" t="s">
        <v>300</v>
      </c>
      <c r="B428" t="s">
        <v>591</v>
      </c>
      <c r="C428" t="s">
        <v>592</v>
      </c>
      <c r="D428" s="1">
        <v>46224</v>
      </c>
      <c r="E428">
        <v>2.13752053343144E-2</v>
      </c>
      <c r="F428" s="1">
        <v>46224.771580127315</v>
      </c>
      <c r="G428" t="s">
        <v>593</v>
      </c>
      <c r="H428" s="1">
        <v>46224.771580173612</v>
      </c>
      <c r="I428" t="s">
        <v>593</v>
      </c>
      <c r="J428" t="s">
        <v>4738</v>
      </c>
    </row>
    <row r="429" spans="1:10" x14ac:dyDescent="0.35">
      <c r="A429" t="s">
        <v>301</v>
      </c>
      <c r="B429" t="s">
        <v>591</v>
      </c>
      <c r="C429" t="s">
        <v>592</v>
      </c>
      <c r="D429" s="1">
        <v>46224</v>
      </c>
      <c r="E429">
        <v>4.4762998499447801E-2</v>
      </c>
      <c r="F429" s="1">
        <v>46224.771580289351</v>
      </c>
      <c r="G429" t="s">
        <v>593</v>
      </c>
      <c r="H429" s="1">
        <v>46224.771580324072</v>
      </c>
      <c r="I429" t="s">
        <v>593</v>
      </c>
      <c r="J429" t="s">
        <v>4739</v>
      </c>
    </row>
    <row r="430" spans="1:10" x14ac:dyDescent="0.35">
      <c r="A430" t="s">
        <v>329</v>
      </c>
      <c r="B430" t="s">
        <v>591</v>
      </c>
      <c r="C430" t="s">
        <v>592</v>
      </c>
      <c r="D430" s="1">
        <v>46224</v>
      </c>
      <c r="E430">
        <v>4.2425604605936598E-2</v>
      </c>
      <c r="F430" s="1">
        <v>46224.771580439818</v>
      </c>
      <c r="G430" t="s">
        <v>593</v>
      </c>
      <c r="H430" s="1">
        <v>46224.771580520835</v>
      </c>
      <c r="I430" t="s">
        <v>593</v>
      </c>
      <c r="J430" t="s">
        <v>4740</v>
      </c>
    </row>
    <row r="431" spans="1:10" x14ac:dyDescent="0.35">
      <c r="A431" t="s">
        <v>330</v>
      </c>
      <c r="B431" t="s">
        <v>591</v>
      </c>
      <c r="C431" t="s">
        <v>592</v>
      </c>
      <c r="D431" s="1">
        <v>46224</v>
      </c>
      <c r="E431">
        <v>4.3235987636316399E-2</v>
      </c>
      <c r="F431" s="1">
        <v>46224.771587037038</v>
      </c>
      <c r="G431" t="s">
        <v>593</v>
      </c>
      <c r="H431" s="1">
        <v>46224.771587233794</v>
      </c>
      <c r="I431" t="s">
        <v>593</v>
      </c>
      <c r="J431" t="s">
        <v>4741</v>
      </c>
    </row>
    <row r="432" spans="1:10" x14ac:dyDescent="0.35">
      <c r="A432" t="s">
        <v>377</v>
      </c>
      <c r="B432" t="s">
        <v>591</v>
      </c>
      <c r="C432" t="s">
        <v>592</v>
      </c>
      <c r="D432" s="1">
        <v>46224</v>
      </c>
      <c r="E432">
        <v>4.3325853296005697E-2</v>
      </c>
      <c r="F432" s="1">
        <v>46224.771587187497</v>
      </c>
      <c r="G432" t="s">
        <v>593</v>
      </c>
      <c r="H432" s="1">
        <v>46224.771587384261</v>
      </c>
      <c r="I432" t="s">
        <v>593</v>
      </c>
      <c r="J432" t="s">
        <v>4742</v>
      </c>
    </row>
    <row r="433" spans="1:10" x14ac:dyDescent="0.35">
      <c r="A433" t="s">
        <v>378</v>
      </c>
      <c r="B433" t="s">
        <v>591</v>
      </c>
      <c r="C433" t="s">
        <v>592</v>
      </c>
      <c r="D433" s="1">
        <v>46224</v>
      </c>
      <c r="E433">
        <v>4.25579370316959E-2</v>
      </c>
      <c r="F433" s="1">
        <v>46224.771593981481</v>
      </c>
      <c r="G433" t="s">
        <v>593</v>
      </c>
      <c r="H433" s="1">
        <v>46224.771593865742</v>
      </c>
      <c r="I433" t="s">
        <v>593</v>
      </c>
      <c r="J433" t="s">
        <v>4743</v>
      </c>
    </row>
    <row r="434" spans="1:10" x14ac:dyDescent="0.35">
      <c r="A434" t="s">
        <v>340</v>
      </c>
      <c r="B434" t="s">
        <v>591</v>
      </c>
      <c r="C434" t="s">
        <v>592</v>
      </c>
      <c r="D434" s="1">
        <v>46224</v>
      </c>
      <c r="E434">
        <v>2.3300821776910102E-2</v>
      </c>
      <c r="F434" s="1">
        <v>46224.771616747683</v>
      </c>
      <c r="G434" t="s">
        <v>593</v>
      </c>
      <c r="H434" s="1">
        <v>46224.771616701386</v>
      </c>
      <c r="I434" t="s">
        <v>593</v>
      </c>
      <c r="J434" t="s">
        <v>4744</v>
      </c>
    </row>
    <row r="435" spans="1:10" x14ac:dyDescent="0.35">
      <c r="A435" t="s">
        <v>336</v>
      </c>
      <c r="B435" t="s">
        <v>591</v>
      </c>
      <c r="C435" t="s">
        <v>592</v>
      </c>
      <c r="D435" s="1">
        <v>46224</v>
      </c>
      <c r="E435">
        <v>4.3359892183934601E-2</v>
      </c>
      <c r="F435" s="1">
        <v>46224.771580636574</v>
      </c>
      <c r="G435" t="s">
        <v>593</v>
      </c>
      <c r="H435" s="1">
        <v>46224.771580706016</v>
      </c>
      <c r="I435" t="s">
        <v>593</v>
      </c>
      <c r="J435" t="s">
        <v>4745</v>
      </c>
    </row>
    <row r="436" spans="1:10" x14ac:dyDescent="0.35">
      <c r="A436" t="s">
        <v>341</v>
      </c>
      <c r="B436" t="s">
        <v>591</v>
      </c>
      <c r="C436" t="s">
        <v>592</v>
      </c>
      <c r="D436" s="1">
        <v>46224</v>
      </c>
      <c r="E436">
        <v>4.2639139846112097E-2</v>
      </c>
      <c r="F436" s="1">
        <v>46224.771594131947</v>
      </c>
      <c r="G436" t="s">
        <v>593</v>
      </c>
      <c r="H436" s="1">
        <v>46224.771594062498</v>
      </c>
      <c r="I436" t="s">
        <v>593</v>
      </c>
      <c r="J436" t="s">
        <v>4746</v>
      </c>
    </row>
    <row r="437" spans="1:10" x14ac:dyDescent="0.35">
      <c r="A437" t="s">
        <v>337</v>
      </c>
      <c r="B437" t="s">
        <v>591</v>
      </c>
      <c r="C437" t="s">
        <v>592</v>
      </c>
      <c r="D437" s="1">
        <v>46224</v>
      </c>
      <c r="E437">
        <v>4.4885239523449201E-2</v>
      </c>
      <c r="F437" s="1">
        <v>46224.77158734954</v>
      </c>
      <c r="G437" t="s">
        <v>593</v>
      </c>
      <c r="H437" s="1">
        <v>46224.771587384261</v>
      </c>
      <c r="I437" t="s">
        <v>593</v>
      </c>
      <c r="J437" t="s">
        <v>4747</v>
      </c>
    </row>
    <row r="438" spans="1:10" x14ac:dyDescent="0.35">
      <c r="A438" t="s">
        <v>338</v>
      </c>
      <c r="B438" t="s">
        <v>591</v>
      </c>
      <c r="C438" t="s">
        <v>592</v>
      </c>
      <c r="D438" s="1">
        <v>46224</v>
      </c>
      <c r="E438">
        <v>4.26568821060056E-2</v>
      </c>
      <c r="F438" s="1">
        <v>46224.771587499999</v>
      </c>
      <c r="G438" t="s">
        <v>593</v>
      </c>
      <c r="H438" s="1">
        <v>46224.771587581017</v>
      </c>
      <c r="I438" t="s">
        <v>593</v>
      </c>
      <c r="J438" t="s">
        <v>4748</v>
      </c>
    </row>
    <row r="439" spans="1:10" x14ac:dyDescent="0.35">
      <c r="A439" t="s">
        <v>339</v>
      </c>
      <c r="B439" t="s">
        <v>591</v>
      </c>
      <c r="C439" t="s">
        <v>592</v>
      </c>
      <c r="D439" s="1">
        <v>46224</v>
      </c>
      <c r="E439">
        <v>4.3362892719603197E-2</v>
      </c>
      <c r="F439" s="1">
        <v>46224.771594293983</v>
      </c>
      <c r="G439" t="s">
        <v>593</v>
      </c>
      <c r="H439" s="1">
        <v>46224.771594247686</v>
      </c>
      <c r="I439" t="s">
        <v>593</v>
      </c>
      <c r="J439" t="s">
        <v>3053</v>
      </c>
    </row>
    <row r="440" spans="1:10" x14ac:dyDescent="0.35">
      <c r="A440" t="s">
        <v>381</v>
      </c>
      <c r="B440" t="s">
        <v>591</v>
      </c>
      <c r="C440" t="s">
        <v>592</v>
      </c>
      <c r="D440" s="1">
        <v>46224</v>
      </c>
      <c r="E440">
        <v>4.3430915182347402E-2</v>
      </c>
      <c r="F440" s="1">
        <v>46224.771594444443</v>
      </c>
      <c r="G440" t="s">
        <v>593</v>
      </c>
      <c r="H440" s="1">
        <v>46224.771594409722</v>
      </c>
      <c r="I440" t="s">
        <v>593</v>
      </c>
      <c r="J440" t="s">
        <v>3054</v>
      </c>
    </row>
    <row r="441" spans="1:10" x14ac:dyDescent="0.35">
      <c r="A441" t="s">
        <v>379</v>
      </c>
      <c r="B441" t="s">
        <v>591</v>
      </c>
      <c r="C441" t="s">
        <v>592</v>
      </c>
      <c r="D441" s="1">
        <v>46224</v>
      </c>
      <c r="E441">
        <v>4.26581142024317E-2</v>
      </c>
      <c r="F441" s="1">
        <v>46224.771587650466</v>
      </c>
      <c r="G441" t="s">
        <v>593</v>
      </c>
      <c r="H441" s="1">
        <v>46224.771587766205</v>
      </c>
      <c r="I441" t="s">
        <v>593</v>
      </c>
      <c r="J441" t="s">
        <v>4749</v>
      </c>
    </row>
    <row r="442" spans="1:10" x14ac:dyDescent="0.35">
      <c r="A442" t="s">
        <v>342</v>
      </c>
      <c r="B442" t="s">
        <v>591</v>
      </c>
      <c r="C442" t="s">
        <v>592</v>
      </c>
      <c r="D442" s="1">
        <v>46224</v>
      </c>
      <c r="E442">
        <v>2.1252455347681502E-2</v>
      </c>
      <c r="F442" s="1">
        <v>46224.771587812502</v>
      </c>
      <c r="G442" t="s">
        <v>593</v>
      </c>
      <c r="H442" s="1">
        <v>46224.771587997682</v>
      </c>
      <c r="I442" t="s">
        <v>593</v>
      </c>
      <c r="J442" t="s">
        <v>4750</v>
      </c>
    </row>
    <row r="443" spans="1:10" x14ac:dyDescent="0.35">
      <c r="A443" t="s">
        <v>357</v>
      </c>
      <c r="B443" t="s">
        <v>591</v>
      </c>
      <c r="C443" t="s">
        <v>592</v>
      </c>
      <c r="D443" s="1">
        <v>46224</v>
      </c>
      <c r="E443">
        <v>4.2668548372402797E-2</v>
      </c>
      <c r="F443" s="1">
        <v>46224.771587962961</v>
      </c>
      <c r="G443" t="s">
        <v>593</v>
      </c>
      <c r="H443" s="1">
        <v>46224.771587997682</v>
      </c>
      <c r="I443" t="s">
        <v>593</v>
      </c>
      <c r="J443" t="s">
        <v>4751</v>
      </c>
    </row>
    <row r="444" spans="1:10" x14ac:dyDescent="0.35">
      <c r="A444" t="s">
        <v>382</v>
      </c>
      <c r="B444" t="s">
        <v>591</v>
      </c>
      <c r="C444" t="s">
        <v>592</v>
      </c>
      <c r="D444" s="1">
        <v>46224</v>
      </c>
      <c r="E444">
        <v>4.3426424572595899E-2</v>
      </c>
      <c r="F444" s="1">
        <v>46224.771588113428</v>
      </c>
      <c r="G444" t="s">
        <v>593</v>
      </c>
      <c r="H444" s="1">
        <v>46224.771588159725</v>
      </c>
      <c r="I444" t="s">
        <v>593</v>
      </c>
      <c r="J444" t="s">
        <v>4752</v>
      </c>
    </row>
    <row r="445" spans="1:10" x14ac:dyDescent="0.35">
      <c r="A445" t="s">
        <v>343</v>
      </c>
      <c r="B445" t="s">
        <v>591</v>
      </c>
      <c r="C445" t="s">
        <v>592</v>
      </c>
      <c r="D445" s="1">
        <v>46224</v>
      </c>
      <c r="E445">
        <v>4.5013438173223501E-2</v>
      </c>
      <c r="F445" s="1">
        <v>46224.771588275464</v>
      </c>
      <c r="G445" t="s">
        <v>593</v>
      </c>
      <c r="H445" s="1">
        <v>46224.771588344905</v>
      </c>
      <c r="I445" t="s">
        <v>593</v>
      </c>
      <c r="J445" t="s">
        <v>4753</v>
      </c>
    </row>
    <row r="446" spans="1:10" x14ac:dyDescent="0.35">
      <c r="A446" t="s">
        <v>358</v>
      </c>
      <c r="B446" t="s">
        <v>591</v>
      </c>
      <c r="C446" t="s">
        <v>592</v>
      </c>
      <c r="D446" s="1">
        <v>46224</v>
      </c>
      <c r="E446">
        <v>3.9167128002686499E-2</v>
      </c>
      <c r="F446" s="1">
        <v>46224.77161142361</v>
      </c>
      <c r="G446" t="s">
        <v>593</v>
      </c>
      <c r="H446" s="1">
        <v>46224.771611458331</v>
      </c>
      <c r="I446" t="s">
        <v>593</v>
      </c>
      <c r="J446" t="s">
        <v>4754</v>
      </c>
    </row>
    <row r="447" spans="1:10" x14ac:dyDescent="0.35">
      <c r="A447" t="s">
        <v>359</v>
      </c>
      <c r="B447" t="s">
        <v>591</v>
      </c>
      <c r="C447" t="s">
        <v>592</v>
      </c>
      <c r="D447" s="1">
        <v>46224</v>
      </c>
      <c r="E447">
        <v>4.3504613095856202E-2</v>
      </c>
      <c r="F447" s="1">
        <v>46224.771588425923</v>
      </c>
      <c r="G447" t="s">
        <v>593</v>
      </c>
      <c r="H447" s="1">
        <v>46224.771588541669</v>
      </c>
      <c r="I447" t="s">
        <v>593</v>
      </c>
      <c r="J447" t="s">
        <v>4755</v>
      </c>
    </row>
    <row r="448" spans="1:10" x14ac:dyDescent="0.35">
      <c r="A448" t="s">
        <v>344</v>
      </c>
      <c r="B448" t="s">
        <v>591</v>
      </c>
      <c r="C448" t="s">
        <v>592</v>
      </c>
      <c r="D448" s="1">
        <v>46224</v>
      </c>
      <c r="E448">
        <v>4.2732249550070302E-2</v>
      </c>
      <c r="F448" s="1">
        <v>46224.77158857639</v>
      </c>
      <c r="G448" t="s">
        <v>593</v>
      </c>
      <c r="H448" s="1">
        <v>46224.771588738426</v>
      </c>
      <c r="I448" t="s">
        <v>593</v>
      </c>
      <c r="J448" t="s">
        <v>4756</v>
      </c>
    </row>
    <row r="449" spans="1:10" x14ac:dyDescent="0.35">
      <c r="A449" t="s">
        <v>345</v>
      </c>
      <c r="B449" t="s">
        <v>591</v>
      </c>
      <c r="C449" t="s">
        <v>592</v>
      </c>
      <c r="D449" s="1">
        <v>46224</v>
      </c>
      <c r="E449">
        <v>3.6719547560674803E-2</v>
      </c>
      <c r="F449" s="1">
        <v>46224.771588692129</v>
      </c>
      <c r="G449" t="s">
        <v>593</v>
      </c>
      <c r="H449" s="1">
        <v>46224.771588888892</v>
      </c>
      <c r="I449" t="s">
        <v>593</v>
      </c>
      <c r="J449" t="s">
        <v>4757</v>
      </c>
    </row>
    <row r="450" spans="1:10" x14ac:dyDescent="0.35">
      <c r="A450" t="s">
        <v>360</v>
      </c>
      <c r="B450" t="s">
        <v>591</v>
      </c>
      <c r="C450" t="s">
        <v>592</v>
      </c>
      <c r="D450" s="1">
        <v>46224</v>
      </c>
      <c r="E450">
        <v>4.3465070718922597E-2</v>
      </c>
      <c r="F450" s="1">
        <v>46224.771588854164</v>
      </c>
      <c r="G450" t="s">
        <v>593</v>
      </c>
      <c r="H450" s="1">
        <v>46224.77158896991</v>
      </c>
      <c r="I450" t="s">
        <v>593</v>
      </c>
      <c r="J450" t="s">
        <v>4758</v>
      </c>
    </row>
    <row r="451" spans="1:10" x14ac:dyDescent="0.35">
      <c r="A451" t="s">
        <v>361</v>
      </c>
      <c r="B451" t="s">
        <v>591</v>
      </c>
      <c r="C451" t="s">
        <v>592</v>
      </c>
      <c r="D451" s="1">
        <v>46224</v>
      </c>
      <c r="E451">
        <v>4.2788593606961398E-2</v>
      </c>
      <c r="F451" s="1">
        <v>46224.771589004631</v>
      </c>
      <c r="G451" t="s">
        <v>593</v>
      </c>
      <c r="H451" s="1">
        <v>46224.771589155091</v>
      </c>
      <c r="I451" t="s">
        <v>593</v>
      </c>
      <c r="J451" t="s">
        <v>4759</v>
      </c>
    </row>
    <row r="452" spans="1:10" x14ac:dyDescent="0.35">
      <c r="A452" t="s">
        <v>346</v>
      </c>
      <c r="B452" t="s">
        <v>591</v>
      </c>
      <c r="C452" t="s">
        <v>592</v>
      </c>
      <c r="D452" s="1">
        <v>46224</v>
      </c>
      <c r="E452">
        <v>3.6970738477511297E-2</v>
      </c>
      <c r="F452" s="1">
        <v>46224.771589155091</v>
      </c>
      <c r="G452" t="s">
        <v>593</v>
      </c>
      <c r="H452" s="1">
        <v>46224.771589155091</v>
      </c>
      <c r="I452" t="s">
        <v>593</v>
      </c>
      <c r="J452" t="s">
        <v>4760</v>
      </c>
    </row>
    <row r="453" spans="1:10" x14ac:dyDescent="0.35">
      <c r="A453" t="s">
        <v>347</v>
      </c>
      <c r="B453" t="s">
        <v>591</v>
      </c>
      <c r="C453" t="s">
        <v>592</v>
      </c>
      <c r="D453" s="1">
        <v>46224</v>
      </c>
      <c r="E453">
        <v>4.2875167431275001E-2</v>
      </c>
      <c r="F453" s="1">
        <v>46224.771595370374</v>
      </c>
      <c r="G453" t="s">
        <v>593</v>
      </c>
      <c r="H453" s="1">
        <v>46224.771595335646</v>
      </c>
      <c r="I453" t="s">
        <v>593</v>
      </c>
      <c r="J453" t="s">
        <v>4761</v>
      </c>
    </row>
    <row r="454" spans="1:10" x14ac:dyDescent="0.35">
      <c r="A454" t="s">
        <v>348</v>
      </c>
      <c r="B454" t="s">
        <v>591</v>
      </c>
      <c r="C454" t="s">
        <v>592</v>
      </c>
      <c r="D454" s="1">
        <v>46224</v>
      </c>
      <c r="E454">
        <v>4.3524567175246699E-2</v>
      </c>
      <c r="F454" s="1">
        <v>46224.771589317126</v>
      </c>
      <c r="G454" t="s">
        <v>593</v>
      </c>
      <c r="H454" s="1">
        <v>46224.771589351854</v>
      </c>
      <c r="I454" t="s">
        <v>593</v>
      </c>
      <c r="J454" t="s">
        <v>4762</v>
      </c>
    </row>
    <row r="455" spans="1:10" x14ac:dyDescent="0.35">
      <c r="A455" t="s">
        <v>349</v>
      </c>
      <c r="B455" t="s">
        <v>591</v>
      </c>
      <c r="C455" t="s">
        <v>592</v>
      </c>
      <c r="D455" s="1">
        <v>46224</v>
      </c>
      <c r="E455">
        <v>2.0271713046846902E-2</v>
      </c>
      <c r="F455" s="1">
        <v>46224.771589467593</v>
      </c>
      <c r="G455" t="s">
        <v>593</v>
      </c>
      <c r="H455" s="1">
        <v>46224.771589548611</v>
      </c>
      <c r="I455" t="s">
        <v>593</v>
      </c>
      <c r="J455" t="s">
        <v>4763</v>
      </c>
    </row>
    <row r="456" spans="1:10" x14ac:dyDescent="0.35">
      <c r="A456" t="s">
        <v>350</v>
      </c>
      <c r="B456" t="s">
        <v>591</v>
      </c>
      <c r="C456" t="s">
        <v>592</v>
      </c>
      <c r="D456" s="1">
        <v>46224</v>
      </c>
      <c r="E456">
        <v>4.51044545390678E-2</v>
      </c>
      <c r="F456" s="1">
        <v>46224.771595520833</v>
      </c>
      <c r="G456" t="s">
        <v>593</v>
      </c>
      <c r="H456" s="1">
        <v>46224.771595486112</v>
      </c>
      <c r="I456" t="s">
        <v>593</v>
      </c>
      <c r="J456" t="s">
        <v>4764</v>
      </c>
    </row>
    <row r="457" spans="1:10" x14ac:dyDescent="0.35">
      <c r="A457" t="s">
        <v>351</v>
      </c>
      <c r="B457" t="s">
        <v>591</v>
      </c>
      <c r="C457" t="s">
        <v>592</v>
      </c>
      <c r="D457" s="1">
        <v>46224</v>
      </c>
      <c r="E457">
        <v>3.8706727007447699E-2</v>
      </c>
      <c r="F457" s="1">
        <v>46224.771589618053</v>
      </c>
      <c r="G457" t="s">
        <v>593</v>
      </c>
      <c r="H457" s="1">
        <v>46224.771589699078</v>
      </c>
      <c r="I457" t="s">
        <v>593</v>
      </c>
      <c r="J457" t="s">
        <v>4765</v>
      </c>
    </row>
    <row r="458" spans="1:10" x14ac:dyDescent="0.35">
      <c r="A458" t="s">
        <v>380</v>
      </c>
      <c r="B458" t="s">
        <v>591</v>
      </c>
      <c r="C458" t="s">
        <v>592</v>
      </c>
      <c r="D458" s="1">
        <v>46224</v>
      </c>
      <c r="E458">
        <v>4.3578799154902703E-2</v>
      </c>
      <c r="F458" s="1">
        <v>46224.771589780095</v>
      </c>
      <c r="G458" t="s">
        <v>593</v>
      </c>
      <c r="H458" s="1">
        <v>46224.771589895834</v>
      </c>
      <c r="I458" t="s">
        <v>593</v>
      </c>
      <c r="J458" t="s">
        <v>4766</v>
      </c>
    </row>
    <row r="459" spans="1:10" x14ac:dyDescent="0.35">
      <c r="A459" t="s">
        <v>352</v>
      </c>
      <c r="B459" t="s">
        <v>591</v>
      </c>
      <c r="C459" t="s">
        <v>592</v>
      </c>
      <c r="D459" s="1">
        <v>46224</v>
      </c>
      <c r="E459">
        <v>4.2866646598033402E-2</v>
      </c>
      <c r="F459" s="1">
        <v>46224.771589930555</v>
      </c>
      <c r="G459" t="s">
        <v>593</v>
      </c>
      <c r="H459" s="1">
        <v>46224.771590081022</v>
      </c>
      <c r="I459" t="s">
        <v>593</v>
      </c>
      <c r="J459" t="s">
        <v>4767</v>
      </c>
    </row>
    <row r="460" spans="1:10" x14ac:dyDescent="0.35">
      <c r="A460" t="s">
        <v>353</v>
      </c>
      <c r="B460" t="s">
        <v>591</v>
      </c>
      <c r="C460" t="s">
        <v>592</v>
      </c>
      <c r="D460" s="1">
        <v>46224</v>
      </c>
      <c r="E460">
        <v>3.8410061326844297E-2</v>
      </c>
      <c r="F460" s="1">
        <v>46224.77159679398</v>
      </c>
      <c r="G460" t="s">
        <v>593</v>
      </c>
      <c r="H460" s="1">
        <v>46224.771596759259</v>
      </c>
      <c r="I460" t="s">
        <v>593</v>
      </c>
      <c r="J460" t="s">
        <v>4768</v>
      </c>
    </row>
    <row r="461" spans="1:10" x14ac:dyDescent="0.35">
      <c r="A461" t="s">
        <v>354</v>
      </c>
      <c r="B461" t="s">
        <v>591</v>
      </c>
      <c r="C461" t="s">
        <v>592</v>
      </c>
      <c r="D461" s="1">
        <v>46224</v>
      </c>
      <c r="E461">
        <v>4.3611947108222297E-2</v>
      </c>
      <c r="F461" s="1">
        <v>46224.771595636572</v>
      </c>
      <c r="G461" t="s">
        <v>593</v>
      </c>
      <c r="H461" s="1">
        <v>46224.771595682869</v>
      </c>
      <c r="I461" t="s">
        <v>593</v>
      </c>
      <c r="J461" t="s">
        <v>4769</v>
      </c>
    </row>
    <row r="462" spans="1:10" x14ac:dyDescent="0.35">
      <c r="A462" t="s">
        <v>355</v>
      </c>
      <c r="B462" t="s">
        <v>591</v>
      </c>
      <c r="C462" t="s">
        <v>592</v>
      </c>
      <c r="D462" s="1">
        <v>46224</v>
      </c>
      <c r="E462">
        <v>4.2924032995648502E-2</v>
      </c>
      <c r="F462" s="1">
        <v>46224.771590046294</v>
      </c>
      <c r="G462" t="s">
        <v>593</v>
      </c>
      <c r="H462" s="1">
        <v>46224.771590081022</v>
      </c>
      <c r="I462" t="s">
        <v>593</v>
      </c>
      <c r="J462" t="s">
        <v>4770</v>
      </c>
    </row>
    <row r="463" spans="1:10" x14ac:dyDescent="0.35">
      <c r="A463" t="s">
        <v>356</v>
      </c>
      <c r="B463" t="s">
        <v>591</v>
      </c>
      <c r="C463" t="s">
        <v>592</v>
      </c>
      <c r="D463" s="1">
        <v>46224</v>
      </c>
      <c r="E463">
        <v>3.92254321680943E-2</v>
      </c>
      <c r="F463" s="1">
        <v>46224.771595798615</v>
      </c>
      <c r="G463" t="s">
        <v>593</v>
      </c>
      <c r="H463" s="1">
        <v>46224.771595868056</v>
      </c>
      <c r="I463" t="s">
        <v>593</v>
      </c>
      <c r="J463" t="s">
        <v>4771</v>
      </c>
    </row>
    <row r="464" spans="1:10" x14ac:dyDescent="0.35">
      <c r="A464" t="s">
        <v>362</v>
      </c>
      <c r="B464" t="s">
        <v>591</v>
      </c>
      <c r="C464" t="s">
        <v>592</v>
      </c>
      <c r="D464" s="1">
        <v>46224</v>
      </c>
      <c r="E464">
        <v>4.2964105261487903E-2</v>
      </c>
      <c r="F464" s="1">
        <v>46224.77159019676</v>
      </c>
      <c r="G464" t="s">
        <v>593</v>
      </c>
      <c r="H464" s="1">
        <v>46224.771590243057</v>
      </c>
      <c r="I464" t="s">
        <v>593</v>
      </c>
      <c r="J464" t="s">
        <v>4772</v>
      </c>
    </row>
    <row r="465" spans="1:10" x14ac:dyDescent="0.35">
      <c r="A465" t="s">
        <v>363</v>
      </c>
      <c r="B465" t="s">
        <v>591</v>
      </c>
      <c r="C465" t="s">
        <v>592</v>
      </c>
      <c r="D465" s="1">
        <v>46224</v>
      </c>
      <c r="E465">
        <v>4.3648130902350903E-2</v>
      </c>
      <c r="F465" s="1">
        <v>46224.771595983795</v>
      </c>
      <c r="G465" t="s">
        <v>593</v>
      </c>
      <c r="H465" s="1">
        <v>46224.771596064813</v>
      </c>
      <c r="I465" t="s">
        <v>593</v>
      </c>
      <c r="J465" t="s">
        <v>3051</v>
      </c>
    </row>
    <row r="466" spans="1:10" x14ac:dyDescent="0.35">
      <c r="A466" t="s">
        <v>364</v>
      </c>
      <c r="B466" t="s">
        <v>591</v>
      </c>
      <c r="C466" t="s">
        <v>592</v>
      </c>
      <c r="D466" s="1">
        <v>46224</v>
      </c>
      <c r="E466">
        <v>2.2077187343219399E-2</v>
      </c>
      <c r="F466" s="1">
        <v>46224.771609756943</v>
      </c>
      <c r="G466" t="s">
        <v>593</v>
      </c>
      <c r="H466" s="1">
        <v>46224.77160980324</v>
      </c>
      <c r="I466" t="s">
        <v>593</v>
      </c>
      <c r="J466" t="s">
        <v>4773</v>
      </c>
    </row>
    <row r="467" spans="1:10" x14ac:dyDescent="0.35">
      <c r="A467" t="s">
        <v>365</v>
      </c>
      <c r="B467" t="s">
        <v>591</v>
      </c>
      <c r="C467" t="s">
        <v>592</v>
      </c>
      <c r="D467" s="1">
        <v>46224</v>
      </c>
      <c r="E467">
        <v>4.5289534931869303E-2</v>
      </c>
      <c r="F467" s="1">
        <v>46224.771596145831</v>
      </c>
      <c r="G467" t="s">
        <v>593</v>
      </c>
      <c r="H467" s="1">
        <v>46224.771596064813</v>
      </c>
      <c r="I467" t="s">
        <v>593</v>
      </c>
      <c r="J467" t="s">
        <v>4774</v>
      </c>
    </row>
    <row r="468" spans="1:10" x14ac:dyDescent="0.35">
      <c r="A468" t="s">
        <v>383</v>
      </c>
      <c r="B468" t="s">
        <v>591</v>
      </c>
      <c r="C468" t="s">
        <v>592</v>
      </c>
      <c r="D468" s="1">
        <v>46224</v>
      </c>
      <c r="E468">
        <v>4.0150536522374297E-2</v>
      </c>
      <c r="F468" s="1">
        <v>46224.771590358796</v>
      </c>
      <c r="G468" t="s">
        <v>593</v>
      </c>
      <c r="H468" s="1">
        <v>46224.771590428238</v>
      </c>
      <c r="I468" t="s">
        <v>593</v>
      </c>
      <c r="J468" t="s">
        <v>4775</v>
      </c>
    </row>
    <row r="469" spans="1:10" x14ac:dyDescent="0.35">
      <c r="A469" t="s">
        <v>366</v>
      </c>
      <c r="B469" t="s">
        <v>591</v>
      </c>
      <c r="C469" t="s">
        <v>592</v>
      </c>
      <c r="D469" s="1">
        <v>46224</v>
      </c>
      <c r="E469">
        <v>4.3633802062253903E-2</v>
      </c>
      <c r="F469" s="1">
        <v>46224.771590509263</v>
      </c>
      <c r="G469" t="s">
        <v>593</v>
      </c>
      <c r="H469" s="1">
        <v>46224.771590625001</v>
      </c>
      <c r="I469" t="s">
        <v>593</v>
      </c>
      <c r="J469" t="s">
        <v>4776</v>
      </c>
    </row>
    <row r="470" spans="1:10" x14ac:dyDescent="0.35">
      <c r="A470" t="s">
        <v>405</v>
      </c>
      <c r="B470" t="s">
        <v>591</v>
      </c>
      <c r="C470" t="s">
        <v>592</v>
      </c>
      <c r="D470" s="1">
        <v>46224</v>
      </c>
      <c r="E470">
        <v>4.2867957217484202E-2</v>
      </c>
      <c r="F470" s="1">
        <v>46224.771596956016</v>
      </c>
      <c r="G470" t="s">
        <v>593</v>
      </c>
      <c r="H470" s="1">
        <v>46224.771596956016</v>
      </c>
      <c r="I470" t="s">
        <v>593</v>
      </c>
      <c r="J470" t="s">
        <v>3056</v>
      </c>
    </row>
    <row r="471" spans="1:10" x14ac:dyDescent="0.35">
      <c r="A471" t="s">
        <v>367</v>
      </c>
      <c r="B471" t="s">
        <v>591</v>
      </c>
      <c r="C471" t="s">
        <v>592</v>
      </c>
      <c r="D471" s="1">
        <v>46224</v>
      </c>
      <c r="E471">
        <v>3.9938662030149299E-2</v>
      </c>
      <c r="F471" s="1">
        <v>46224.771590659722</v>
      </c>
      <c r="G471" t="s">
        <v>593</v>
      </c>
      <c r="H471" s="1">
        <v>46224.771590821758</v>
      </c>
      <c r="I471" t="s">
        <v>593</v>
      </c>
      <c r="J471" t="s">
        <v>4777</v>
      </c>
    </row>
    <row r="472" spans="1:10" x14ac:dyDescent="0.35">
      <c r="A472" t="s">
        <v>406</v>
      </c>
      <c r="B472" t="s">
        <v>591</v>
      </c>
      <c r="C472" t="s">
        <v>592</v>
      </c>
      <c r="D472" s="1">
        <v>46224</v>
      </c>
      <c r="E472">
        <v>4.3673813620308699E-2</v>
      </c>
      <c r="F472" s="1">
        <v>46224.771590821758</v>
      </c>
      <c r="G472" t="s">
        <v>593</v>
      </c>
      <c r="H472" s="1">
        <v>46224.771590972225</v>
      </c>
      <c r="I472" t="s">
        <v>593</v>
      </c>
      <c r="J472" t="s">
        <v>4778</v>
      </c>
    </row>
    <row r="473" spans="1:10" x14ac:dyDescent="0.35">
      <c r="A473" t="s">
        <v>410</v>
      </c>
      <c r="B473" t="s">
        <v>591</v>
      </c>
      <c r="C473" t="s">
        <v>592</v>
      </c>
      <c r="D473" s="1">
        <v>46224</v>
      </c>
      <c r="E473">
        <v>4.2937108742657701E-2</v>
      </c>
      <c r="F473" s="1">
        <v>46224.771590972225</v>
      </c>
      <c r="G473" t="s">
        <v>593</v>
      </c>
      <c r="H473" s="1">
        <v>46224.771591168981</v>
      </c>
      <c r="I473" t="s">
        <v>593</v>
      </c>
      <c r="J473" t="s">
        <v>4779</v>
      </c>
    </row>
    <row r="474" spans="1:10" x14ac:dyDescent="0.35">
      <c r="A474" t="s">
        <v>411</v>
      </c>
      <c r="B474" t="s">
        <v>591</v>
      </c>
      <c r="C474" t="s">
        <v>592</v>
      </c>
      <c r="D474" s="1">
        <v>46224</v>
      </c>
      <c r="E474">
        <v>4.0601289190451403E-2</v>
      </c>
      <c r="F474" s="1">
        <v>46224.771615358797</v>
      </c>
      <c r="G474" t="s">
        <v>593</v>
      </c>
      <c r="H474" s="1">
        <v>46224.771615428239</v>
      </c>
      <c r="I474" t="s">
        <v>593</v>
      </c>
      <c r="J474" t="s">
        <v>4780</v>
      </c>
    </row>
    <row r="475" spans="1:10" x14ac:dyDescent="0.35">
      <c r="A475" t="s">
        <v>412</v>
      </c>
      <c r="B475" t="s">
        <v>591</v>
      </c>
      <c r="C475" t="s">
        <v>592</v>
      </c>
      <c r="D475" s="1">
        <v>46224</v>
      </c>
      <c r="E475">
        <v>2.15406073804498E-2</v>
      </c>
      <c r="F475" s="1">
        <v>46224.771591122684</v>
      </c>
      <c r="G475" t="s">
        <v>593</v>
      </c>
      <c r="H475" s="1">
        <v>46224.771591168981</v>
      </c>
      <c r="I475" t="s">
        <v>593</v>
      </c>
      <c r="J475" t="s">
        <v>4781</v>
      </c>
    </row>
    <row r="476" spans="1:10" x14ac:dyDescent="0.35">
      <c r="A476" t="s">
        <v>368</v>
      </c>
      <c r="B476" t="s">
        <v>591</v>
      </c>
      <c r="C476" t="s">
        <v>592</v>
      </c>
      <c r="D476" s="1">
        <v>46224</v>
      </c>
      <c r="E476">
        <v>4.3690899306567797E-2</v>
      </c>
      <c r="F476" s="1">
        <v>46224.771596296298</v>
      </c>
      <c r="G476" t="s">
        <v>593</v>
      </c>
      <c r="H476" s="1">
        <v>46224.77159621528</v>
      </c>
      <c r="I476" t="s">
        <v>593</v>
      </c>
      <c r="J476" t="s">
        <v>4782</v>
      </c>
    </row>
    <row r="477" spans="1:10" x14ac:dyDescent="0.35">
      <c r="A477" t="s">
        <v>407</v>
      </c>
      <c r="B477" t="s">
        <v>591</v>
      </c>
      <c r="C477" t="s">
        <v>592</v>
      </c>
      <c r="D477" s="1">
        <v>46224</v>
      </c>
      <c r="E477">
        <v>4.29379851722963E-2</v>
      </c>
      <c r="F477" s="1">
        <v>46224.77159128472</v>
      </c>
      <c r="G477" t="s">
        <v>593</v>
      </c>
      <c r="H477" s="1">
        <v>46224.771591354169</v>
      </c>
      <c r="I477" t="s">
        <v>593</v>
      </c>
      <c r="J477" t="s">
        <v>4783</v>
      </c>
    </row>
    <row r="478" spans="1:10" x14ac:dyDescent="0.35">
      <c r="A478" t="s">
        <v>369</v>
      </c>
      <c r="B478" t="s">
        <v>591</v>
      </c>
      <c r="C478" t="s">
        <v>592</v>
      </c>
      <c r="D478" s="1">
        <v>46224</v>
      </c>
      <c r="E478">
        <v>4.5383279284482402E-2</v>
      </c>
      <c r="F478" s="1">
        <v>46224.771597106483</v>
      </c>
      <c r="G478" t="s">
        <v>593</v>
      </c>
      <c r="H478" s="1">
        <v>46224.771597141204</v>
      </c>
      <c r="I478" t="s">
        <v>593</v>
      </c>
      <c r="J478" t="s">
        <v>4784</v>
      </c>
    </row>
    <row r="479" spans="1:10" x14ac:dyDescent="0.35">
      <c r="A479" t="s">
        <v>370</v>
      </c>
      <c r="B479" t="s">
        <v>591</v>
      </c>
      <c r="C479" t="s">
        <v>592</v>
      </c>
      <c r="D479" s="1">
        <v>46224</v>
      </c>
      <c r="E479">
        <v>4.1045166987140301E-2</v>
      </c>
      <c r="F479" s="1">
        <v>46224.771591435187</v>
      </c>
      <c r="G479" t="s">
        <v>593</v>
      </c>
      <c r="H479" s="1">
        <v>46224.771591516204</v>
      </c>
      <c r="I479" t="s">
        <v>593</v>
      </c>
      <c r="J479" t="s">
        <v>3057</v>
      </c>
    </row>
    <row r="480" spans="1:10" x14ac:dyDescent="0.35">
      <c r="A480" t="s">
        <v>413</v>
      </c>
      <c r="B480" t="s">
        <v>591</v>
      </c>
      <c r="C480" t="s">
        <v>592</v>
      </c>
      <c r="D480" s="1">
        <v>46224</v>
      </c>
      <c r="E480">
        <v>4.2986482881081998E-2</v>
      </c>
      <c r="F480" s="1">
        <v>46224.771596493054</v>
      </c>
      <c r="G480" t="s">
        <v>593</v>
      </c>
      <c r="H480" s="1">
        <v>46224.771596412036</v>
      </c>
      <c r="I480" t="s">
        <v>593</v>
      </c>
      <c r="J480" t="s">
        <v>4785</v>
      </c>
    </row>
    <row r="481" spans="1:10" x14ac:dyDescent="0.35">
      <c r="A481" t="s">
        <v>371</v>
      </c>
      <c r="B481" t="s">
        <v>591</v>
      </c>
      <c r="C481" t="s">
        <v>592</v>
      </c>
      <c r="D481" s="1">
        <v>46224</v>
      </c>
      <c r="E481">
        <v>4.3750674685321102E-2</v>
      </c>
      <c r="F481" s="1">
        <v>46224.771615509257</v>
      </c>
      <c r="G481" t="s">
        <v>593</v>
      </c>
      <c r="H481" s="1">
        <v>46224.771615625003</v>
      </c>
      <c r="I481" t="s">
        <v>593</v>
      </c>
      <c r="J481" t="s">
        <v>4786</v>
      </c>
    </row>
    <row r="482" spans="1:10" x14ac:dyDescent="0.35">
      <c r="A482" t="s">
        <v>414</v>
      </c>
      <c r="B482" t="s">
        <v>591</v>
      </c>
      <c r="C482" t="s">
        <v>592</v>
      </c>
      <c r="D482" s="1">
        <v>46224</v>
      </c>
      <c r="E482">
        <v>4.09986331969611E-2</v>
      </c>
      <c r="F482" s="1">
        <v>46224.771597256942</v>
      </c>
      <c r="G482" t="s">
        <v>593</v>
      </c>
      <c r="H482" s="1">
        <v>46224.771597303239</v>
      </c>
      <c r="I482" t="s">
        <v>593</v>
      </c>
      <c r="J482" t="s">
        <v>4787</v>
      </c>
    </row>
    <row r="483" spans="1:10" x14ac:dyDescent="0.35">
      <c r="A483" t="s">
        <v>372</v>
      </c>
      <c r="B483" t="s">
        <v>591</v>
      </c>
      <c r="C483" t="s">
        <v>592</v>
      </c>
      <c r="D483" s="1">
        <v>46224</v>
      </c>
      <c r="E483">
        <v>4.3781944652346902E-2</v>
      </c>
      <c r="F483" s="1">
        <v>46224.771591585646</v>
      </c>
      <c r="G483" t="s">
        <v>593</v>
      </c>
      <c r="H483" s="1">
        <v>46224.771591701392</v>
      </c>
      <c r="I483" t="s">
        <v>593</v>
      </c>
      <c r="J483" t="s">
        <v>4788</v>
      </c>
    </row>
    <row r="484" spans="1:10" x14ac:dyDescent="0.35">
      <c r="A484" t="s">
        <v>415</v>
      </c>
      <c r="B484" t="s">
        <v>591</v>
      </c>
      <c r="C484" t="s">
        <v>592</v>
      </c>
      <c r="D484" s="1">
        <v>46224</v>
      </c>
      <c r="E484">
        <v>4.3034185190408997E-2</v>
      </c>
      <c r="F484" s="1">
        <v>46224.771591747682</v>
      </c>
      <c r="G484" t="s">
        <v>593</v>
      </c>
      <c r="H484" s="1">
        <v>46224.771591898148</v>
      </c>
      <c r="I484" t="s">
        <v>593</v>
      </c>
      <c r="J484" t="s">
        <v>4789</v>
      </c>
    </row>
    <row r="485" spans="1:10" x14ac:dyDescent="0.35">
      <c r="A485" t="s">
        <v>373</v>
      </c>
      <c r="B485" t="s">
        <v>591</v>
      </c>
      <c r="C485" t="s">
        <v>592</v>
      </c>
      <c r="D485" s="1">
        <v>46224</v>
      </c>
      <c r="E485">
        <v>4.1586234623076798E-2</v>
      </c>
      <c r="F485" s="1">
        <v>46224.771591898148</v>
      </c>
      <c r="G485" t="s">
        <v>593</v>
      </c>
      <c r="H485" s="1">
        <v>46224.771592048608</v>
      </c>
      <c r="I485" t="s">
        <v>593</v>
      </c>
      <c r="J485" t="s">
        <v>4790</v>
      </c>
    </row>
    <row r="486" spans="1:10" x14ac:dyDescent="0.35">
      <c r="A486" t="s">
        <v>384</v>
      </c>
      <c r="B486" t="s">
        <v>591</v>
      </c>
      <c r="C486" t="s">
        <v>592</v>
      </c>
      <c r="D486" s="1">
        <v>46224</v>
      </c>
      <c r="E486">
        <v>3.5156423856076098E-2</v>
      </c>
      <c r="F486" s="1">
        <v>46224.771592013887</v>
      </c>
      <c r="G486" t="s">
        <v>593</v>
      </c>
      <c r="H486" s="1">
        <v>46224.771592048608</v>
      </c>
      <c r="I486" t="s">
        <v>593</v>
      </c>
      <c r="J486" t="s">
        <v>4791</v>
      </c>
    </row>
    <row r="487" spans="1:10" x14ac:dyDescent="0.35">
      <c r="A487" t="s">
        <v>408</v>
      </c>
      <c r="B487" t="s">
        <v>591</v>
      </c>
      <c r="C487" t="s">
        <v>592</v>
      </c>
      <c r="D487" s="1">
        <v>46224</v>
      </c>
      <c r="E487">
        <v>4.3028934602239298E-2</v>
      </c>
      <c r="F487" s="1">
        <v>46224.771592210651</v>
      </c>
      <c r="G487" t="s">
        <v>593</v>
      </c>
      <c r="H487" s="1">
        <v>46224.771592245372</v>
      </c>
      <c r="I487" t="s">
        <v>593</v>
      </c>
      <c r="J487" t="s">
        <v>4792</v>
      </c>
    </row>
    <row r="488" spans="1:10" x14ac:dyDescent="0.35">
      <c r="A488" t="s">
        <v>416</v>
      </c>
      <c r="B488" t="s">
        <v>591</v>
      </c>
      <c r="C488" t="s">
        <v>592</v>
      </c>
      <c r="D488" s="1">
        <v>46224</v>
      </c>
      <c r="E488">
        <v>4.3792416870560902E-2</v>
      </c>
      <c r="F488" s="1">
        <v>46224.771596643521</v>
      </c>
      <c r="G488" t="s">
        <v>593</v>
      </c>
      <c r="H488" s="1">
        <v>46224.7715966088</v>
      </c>
      <c r="I488" t="s">
        <v>593</v>
      </c>
      <c r="J488" t="s">
        <v>4793</v>
      </c>
    </row>
    <row r="489" spans="1:10" x14ac:dyDescent="0.35">
      <c r="A489" t="s">
        <v>385</v>
      </c>
      <c r="B489" t="s">
        <v>591</v>
      </c>
      <c r="C489" t="s">
        <v>592</v>
      </c>
      <c r="D489" s="1">
        <v>46224</v>
      </c>
      <c r="E489">
        <v>2.2016336146442099E-2</v>
      </c>
      <c r="F489" s="1">
        <v>46224.77159236111</v>
      </c>
      <c r="G489" t="s">
        <v>593</v>
      </c>
      <c r="H489" s="1">
        <v>46224.771592442128</v>
      </c>
      <c r="I489" t="s">
        <v>593</v>
      </c>
      <c r="J489" t="s">
        <v>4794</v>
      </c>
    </row>
    <row r="490" spans="1:10" x14ac:dyDescent="0.35">
      <c r="A490" t="s">
        <v>417</v>
      </c>
      <c r="B490" t="s">
        <v>591</v>
      </c>
      <c r="C490" t="s">
        <v>592</v>
      </c>
      <c r="D490" s="1">
        <v>46224</v>
      </c>
      <c r="E490">
        <v>4.5533046730384899E-2</v>
      </c>
      <c r="F490" s="1">
        <v>46224.771592592595</v>
      </c>
      <c r="G490" t="s">
        <v>593</v>
      </c>
      <c r="H490" s="1">
        <v>46224.771592592595</v>
      </c>
      <c r="I490" t="s">
        <v>593</v>
      </c>
      <c r="J490" t="s">
        <v>4795</v>
      </c>
    </row>
    <row r="491" spans="1:10" x14ac:dyDescent="0.35">
      <c r="A491" t="s">
        <v>386</v>
      </c>
      <c r="B491" t="s">
        <v>591</v>
      </c>
      <c r="C491" t="s">
        <v>592</v>
      </c>
      <c r="D491" s="1">
        <v>46224</v>
      </c>
      <c r="E491">
        <v>4.1810782695913699E-2</v>
      </c>
      <c r="F491" s="1">
        <v>46224.771592743054</v>
      </c>
      <c r="G491" t="s">
        <v>593</v>
      </c>
      <c r="H491" s="1">
        <v>46224.771592789351</v>
      </c>
      <c r="I491" t="s">
        <v>593</v>
      </c>
      <c r="J491" t="s">
        <v>4796</v>
      </c>
    </row>
    <row r="492" spans="1:10" x14ac:dyDescent="0.35">
      <c r="A492" t="s">
        <v>418</v>
      </c>
      <c r="B492" t="s">
        <v>591</v>
      </c>
      <c r="C492" t="s">
        <v>592</v>
      </c>
      <c r="D492" s="1">
        <v>46224</v>
      </c>
      <c r="E492">
        <v>3.7491117842069398E-2</v>
      </c>
      <c r="F492" s="1">
        <v>46224.771597418985</v>
      </c>
      <c r="G492" t="s">
        <v>593</v>
      </c>
      <c r="H492" s="1">
        <v>46224.771597303239</v>
      </c>
      <c r="I492" t="s">
        <v>593</v>
      </c>
      <c r="J492" t="s">
        <v>4797</v>
      </c>
    </row>
    <row r="493" spans="1:10" x14ac:dyDescent="0.35">
      <c r="A493" t="s">
        <v>387</v>
      </c>
      <c r="B493" t="s">
        <v>591</v>
      </c>
      <c r="C493" t="s">
        <v>592</v>
      </c>
      <c r="D493" s="1">
        <v>46224</v>
      </c>
      <c r="E493">
        <v>4.3869891647314599E-2</v>
      </c>
      <c r="F493" s="1">
        <v>46224.77159290509</v>
      </c>
      <c r="G493" t="s">
        <v>593</v>
      </c>
      <c r="H493" s="1">
        <v>46224.771592974539</v>
      </c>
      <c r="I493" t="s">
        <v>593</v>
      </c>
      <c r="J493" t="s">
        <v>4798</v>
      </c>
    </row>
    <row r="494" spans="1:10" x14ac:dyDescent="0.35">
      <c r="A494" t="s">
        <v>419</v>
      </c>
      <c r="B494" t="s">
        <v>591</v>
      </c>
      <c r="C494" t="s">
        <v>592</v>
      </c>
      <c r="D494" s="1">
        <v>46224</v>
      </c>
      <c r="E494">
        <v>4.3086645428193099E-2</v>
      </c>
      <c r="F494" s="1">
        <v>46224.771593055557</v>
      </c>
      <c r="G494" t="s">
        <v>593</v>
      </c>
      <c r="H494" s="1">
        <v>46224.771592974539</v>
      </c>
      <c r="I494" t="s">
        <v>593</v>
      </c>
      <c r="J494" t="s">
        <v>4799</v>
      </c>
    </row>
    <row r="495" spans="1:10" x14ac:dyDescent="0.35">
      <c r="A495" t="s">
        <v>409</v>
      </c>
      <c r="B495" t="s">
        <v>591</v>
      </c>
      <c r="C495" t="s">
        <v>592</v>
      </c>
      <c r="D495" s="1">
        <v>46224</v>
      </c>
      <c r="E495">
        <v>4.1927687639662203E-2</v>
      </c>
      <c r="F495" s="1">
        <v>46224.771593206016</v>
      </c>
      <c r="G495" t="s">
        <v>593</v>
      </c>
      <c r="H495" s="1">
        <v>46224.771593136575</v>
      </c>
      <c r="I495" t="s">
        <v>593</v>
      </c>
      <c r="J495" t="s">
        <v>4800</v>
      </c>
    </row>
    <row r="496" spans="1:10" x14ac:dyDescent="0.35">
      <c r="A496" t="s">
        <v>420</v>
      </c>
      <c r="B496" t="s">
        <v>591</v>
      </c>
      <c r="C496" t="s">
        <v>592</v>
      </c>
      <c r="D496" s="1">
        <v>46224</v>
      </c>
      <c r="E496">
        <v>4.3886516895243997E-2</v>
      </c>
      <c r="F496" s="1">
        <v>46224.771615972226</v>
      </c>
      <c r="G496" t="s">
        <v>593</v>
      </c>
      <c r="H496" s="1">
        <v>46224.771615972226</v>
      </c>
      <c r="I496" t="s">
        <v>593</v>
      </c>
      <c r="J496" t="s">
        <v>4801</v>
      </c>
    </row>
    <row r="497" spans="1:10" x14ac:dyDescent="0.35">
      <c r="A497" t="s">
        <v>388</v>
      </c>
      <c r="B497" t="s">
        <v>591</v>
      </c>
      <c r="C497" t="s">
        <v>592</v>
      </c>
      <c r="D497" s="1">
        <v>46224</v>
      </c>
      <c r="E497">
        <v>4.30967088887345E-2</v>
      </c>
      <c r="F497" s="1">
        <v>46224.771600729167</v>
      </c>
      <c r="G497" t="s">
        <v>593</v>
      </c>
      <c r="H497" s="1">
        <v>46224.771600729167</v>
      </c>
      <c r="I497" t="s">
        <v>593</v>
      </c>
      <c r="J497" t="s">
        <v>3052</v>
      </c>
    </row>
    <row r="498" spans="1:10" x14ac:dyDescent="0.35">
      <c r="A498" t="s">
        <v>389</v>
      </c>
      <c r="B498" t="s">
        <v>591</v>
      </c>
      <c r="C498" t="s">
        <v>592</v>
      </c>
      <c r="D498" s="1">
        <v>46224</v>
      </c>
      <c r="E498">
        <v>3.7780356487257902E-2</v>
      </c>
      <c r="F498" s="1">
        <v>46224.771597569445</v>
      </c>
      <c r="G498" t="s">
        <v>593</v>
      </c>
      <c r="H498" s="1">
        <v>46224.771597488427</v>
      </c>
      <c r="I498" t="s">
        <v>593</v>
      </c>
      <c r="J498" t="s">
        <v>4802</v>
      </c>
    </row>
    <row r="499" spans="1:10" x14ac:dyDescent="0.35">
      <c r="A499" t="s">
        <v>390</v>
      </c>
      <c r="B499" t="s">
        <v>591</v>
      </c>
      <c r="C499" t="s">
        <v>592</v>
      </c>
      <c r="D499" s="1">
        <v>46224</v>
      </c>
      <c r="E499">
        <v>4.2026710894817798E-2</v>
      </c>
      <c r="F499" s="1">
        <v>46224.771593368052</v>
      </c>
      <c r="G499" t="s">
        <v>593</v>
      </c>
      <c r="H499" s="1">
        <v>46224.771593321762</v>
      </c>
      <c r="I499" t="s">
        <v>593</v>
      </c>
      <c r="J499" t="s">
        <v>4803</v>
      </c>
    </row>
    <row r="500" spans="1:10" x14ac:dyDescent="0.35">
      <c r="A500" t="s">
        <v>435</v>
      </c>
      <c r="B500" t="s">
        <v>591</v>
      </c>
      <c r="C500" t="s">
        <v>592</v>
      </c>
      <c r="D500" s="1">
        <v>46224</v>
      </c>
      <c r="E500">
        <v>4.31700542812197E-2</v>
      </c>
      <c r="F500" s="1">
        <v>46224.771593518519</v>
      </c>
      <c r="G500" t="s">
        <v>593</v>
      </c>
      <c r="H500" s="1">
        <v>46224.771593518519</v>
      </c>
      <c r="I500" t="s">
        <v>593</v>
      </c>
      <c r="J500" t="s">
        <v>4804</v>
      </c>
    </row>
    <row r="501" spans="1:10" x14ac:dyDescent="0.35">
      <c r="A501" t="s">
        <v>391</v>
      </c>
      <c r="B501" t="s">
        <v>591</v>
      </c>
      <c r="C501" t="s">
        <v>592</v>
      </c>
      <c r="D501" s="1">
        <v>46224</v>
      </c>
      <c r="E501">
        <v>3.8589628647686301E-2</v>
      </c>
      <c r="F501" s="1">
        <v>46224.771600891203</v>
      </c>
      <c r="G501" t="s">
        <v>593</v>
      </c>
      <c r="H501" s="1">
        <v>46224.771600925924</v>
      </c>
      <c r="I501" t="s">
        <v>593</v>
      </c>
      <c r="J501" t="s">
        <v>4805</v>
      </c>
    </row>
    <row r="502" spans="1:10" x14ac:dyDescent="0.35">
      <c r="A502" t="s">
        <v>421</v>
      </c>
      <c r="B502" t="s">
        <v>591</v>
      </c>
      <c r="C502" t="s">
        <v>592</v>
      </c>
      <c r="D502" s="1">
        <v>46224</v>
      </c>
      <c r="E502">
        <v>4.3935789287178499E-2</v>
      </c>
      <c r="F502" s="1">
        <v>46224.771597719904</v>
      </c>
      <c r="G502" t="s">
        <v>593</v>
      </c>
      <c r="H502" s="1">
        <v>46224.771597685183</v>
      </c>
      <c r="I502" t="s">
        <v>593</v>
      </c>
      <c r="J502" t="s">
        <v>4806</v>
      </c>
    </row>
    <row r="503" spans="1:10" x14ac:dyDescent="0.35">
      <c r="A503" t="s">
        <v>425</v>
      </c>
      <c r="B503" t="s">
        <v>591</v>
      </c>
      <c r="C503" t="s">
        <v>592</v>
      </c>
      <c r="D503" s="1">
        <v>46224</v>
      </c>
      <c r="E503">
        <v>1.9731335471926899E-2</v>
      </c>
      <c r="F503" s="1">
        <v>46224.77160104167</v>
      </c>
      <c r="G503" t="s">
        <v>593</v>
      </c>
      <c r="H503" s="1">
        <v>46224.771601122688</v>
      </c>
      <c r="I503" t="s">
        <v>593</v>
      </c>
      <c r="J503" t="s">
        <v>4807</v>
      </c>
    </row>
    <row r="504" spans="1:10" x14ac:dyDescent="0.35">
      <c r="A504" t="s">
        <v>422</v>
      </c>
      <c r="B504" t="s">
        <v>591</v>
      </c>
      <c r="C504" t="s">
        <v>592</v>
      </c>
      <c r="D504" s="1">
        <v>46224</v>
      </c>
      <c r="E504">
        <v>4.56718241779474E-2</v>
      </c>
      <c r="F504" s="1">
        <v>46224.771593668978</v>
      </c>
      <c r="G504" t="s">
        <v>593</v>
      </c>
      <c r="H504" s="1">
        <v>46224.771593715275</v>
      </c>
      <c r="I504" t="s">
        <v>593</v>
      </c>
      <c r="J504" t="s">
        <v>4808</v>
      </c>
    </row>
    <row r="505" spans="1:10" x14ac:dyDescent="0.35">
      <c r="A505" t="s">
        <v>436</v>
      </c>
      <c r="B505" t="s">
        <v>591</v>
      </c>
      <c r="C505" t="s">
        <v>592</v>
      </c>
      <c r="D505" s="1">
        <v>46224</v>
      </c>
      <c r="E505">
        <v>4.2228286239447403E-2</v>
      </c>
      <c r="F505" s="1">
        <v>46224.771601192129</v>
      </c>
      <c r="G505" t="s">
        <v>593</v>
      </c>
      <c r="H505" s="1">
        <v>46224.771601273147</v>
      </c>
      <c r="I505" t="s">
        <v>593</v>
      </c>
      <c r="J505" t="s">
        <v>4809</v>
      </c>
    </row>
    <row r="506" spans="1:10" x14ac:dyDescent="0.35">
      <c r="A506" t="s">
        <v>426</v>
      </c>
      <c r="B506" t="s">
        <v>591</v>
      </c>
      <c r="C506" t="s">
        <v>592</v>
      </c>
      <c r="D506" s="1">
        <v>46224</v>
      </c>
      <c r="E506">
        <v>3.8780318531567701E-2</v>
      </c>
      <c r="F506" s="1">
        <v>46224.771597881947</v>
      </c>
      <c r="G506" t="s">
        <v>593</v>
      </c>
      <c r="H506" s="1">
        <v>46224.771597881947</v>
      </c>
      <c r="I506" t="s">
        <v>593</v>
      </c>
      <c r="J506" t="s">
        <v>4810</v>
      </c>
    </row>
    <row r="507" spans="1:10" x14ac:dyDescent="0.35">
      <c r="A507" t="s">
        <v>427</v>
      </c>
      <c r="B507" t="s">
        <v>591</v>
      </c>
      <c r="C507" t="s">
        <v>592</v>
      </c>
      <c r="D507" s="1">
        <v>46224</v>
      </c>
      <c r="E507">
        <v>4.3991963448173299E-2</v>
      </c>
      <c r="F507" s="1">
        <v>46224.771601354165</v>
      </c>
      <c r="G507" t="s">
        <v>593</v>
      </c>
      <c r="H507" s="1">
        <v>46224.771601273147</v>
      </c>
      <c r="I507" t="s">
        <v>593</v>
      </c>
      <c r="J507" t="s">
        <v>4811</v>
      </c>
    </row>
    <row r="508" spans="1:10" x14ac:dyDescent="0.35">
      <c r="A508" t="s">
        <v>423</v>
      </c>
      <c r="B508" t="s">
        <v>591</v>
      </c>
      <c r="C508" t="s">
        <v>592</v>
      </c>
      <c r="D508" s="1">
        <v>46224</v>
      </c>
      <c r="E508">
        <v>4.3191928548953797E-2</v>
      </c>
      <c r="F508" s="1">
        <v>46224.771609918978</v>
      </c>
      <c r="G508" t="s">
        <v>593</v>
      </c>
      <c r="H508" s="1">
        <v>46224.771609953707</v>
      </c>
      <c r="I508" t="s">
        <v>593</v>
      </c>
      <c r="J508" t="s">
        <v>4812</v>
      </c>
    </row>
    <row r="509" spans="1:10" x14ac:dyDescent="0.35">
      <c r="A509" t="s">
        <v>392</v>
      </c>
      <c r="B509" t="s">
        <v>591</v>
      </c>
      <c r="C509" t="s">
        <v>592</v>
      </c>
      <c r="D509" s="1">
        <v>46224</v>
      </c>
      <c r="E509">
        <v>4.2313657104760503E-2</v>
      </c>
      <c r="F509" s="1">
        <v>46224.771601504632</v>
      </c>
      <c r="G509" t="s">
        <v>593</v>
      </c>
      <c r="H509" s="1">
        <v>46224.771601469911</v>
      </c>
      <c r="I509" t="s">
        <v>593</v>
      </c>
      <c r="J509" t="s">
        <v>4813</v>
      </c>
    </row>
    <row r="510" spans="1:10" x14ac:dyDescent="0.35">
      <c r="A510" t="s">
        <v>424</v>
      </c>
      <c r="B510" t="s">
        <v>591</v>
      </c>
      <c r="C510" t="s">
        <v>592</v>
      </c>
      <c r="D510" s="1">
        <v>46224</v>
      </c>
      <c r="E510">
        <v>4.4016316647589399E-2</v>
      </c>
      <c r="F510" s="1">
        <v>46224.771598032406</v>
      </c>
      <c r="G510" t="s">
        <v>593</v>
      </c>
      <c r="H510" s="1">
        <v>46224.771598032406</v>
      </c>
      <c r="I510" t="s">
        <v>593</v>
      </c>
      <c r="J510" t="s">
        <v>4814</v>
      </c>
    </row>
    <row r="511" spans="1:10" x14ac:dyDescent="0.35">
      <c r="A511" t="s">
        <v>393</v>
      </c>
      <c r="B511" t="s">
        <v>591</v>
      </c>
      <c r="C511" t="s">
        <v>592</v>
      </c>
      <c r="D511" s="1">
        <v>46224</v>
      </c>
      <c r="E511">
        <v>4.32115588969752E-2</v>
      </c>
      <c r="F511" s="1">
        <v>46224.771598148145</v>
      </c>
      <c r="G511" t="s">
        <v>593</v>
      </c>
      <c r="H511" s="1">
        <v>46224.77159822917</v>
      </c>
      <c r="I511" t="s">
        <v>593</v>
      </c>
      <c r="J511" t="s">
        <v>4815</v>
      </c>
    </row>
    <row r="512" spans="1:10" x14ac:dyDescent="0.35">
      <c r="A512" t="s">
        <v>394</v>
      </c>
      <c r="B512" t="s">
        <v>591</v>
      </c>
      <c r="C512" t="s">
        <v>592</v>
      </c>
      <c r="D512" s="1">
        <v>46224</v>
      </c>
      <c r="E512">
        <v>3.9465750505076197E-2</v>
      </c>
      <c r="F512" s="1">
        <v>46224.771598344909</v>
      </c>
      <c r="G512" t="s">
        <v>593</v>
      </c>
      <c r="H512" s="1">
        <v>46224.771598414351</v>
      </c>
      <c r="I512" t="s">
        <v>593</v>
      </c>
      <c r="J512" t="s">
        <v>4816</v>
      </c>
    </row>
    <row r="513" spans="1:10" x14ac:dyDescent="0.35">
      <c r="A513" t="s">
        <v>395</v>
      </c>
      <c r="B513" t="s">
        <v>591</v>
      </c>
      <c r="C513" t="s">
        <v>592</v>
      </c>
      <c r="D513" s="1">
        <v>46224</v>
      </c>
      <c r="E513">
        <v>4.24118007761322E-2</v>
      </c>
      <c r="F513" s="1">
        <v>46224.771610069445</v>
      </c>
      <c r="G513" t="s">
        <v>593</v>
      </c>
      <c r="H513" s="1">
        <v>46224.771610150463</v>
      </c>
      <c r="I513" t="s">
        <v>593</v>
      </c>
      <c r="J513" t="s">
        <v>4817</v>
      </c>
    </row>
    <row r="514" spans="1:10" x14ac:dyDescent="0.35">
      <c r="A514" t="s">
        <v>396</v>
      </c>
      <c r="B514" t="s">
        <v>591</v>
      </c>
      <c r="C514" t="s">
        <v>592</v>
      </c>
      <c r="D514" s="1">
        <v>46224</v>
      </c>
      <c r="E514">
        <v>4.3293178620183399E-2</v>
      </c>
      <c r="F514" s="1">
        <v>46224.771598495368</v>
      </c>
      <c r="G514" t="s">
        <v>593</v>
      </c>
      <c r="H514" s="1">
        <v>46224.771598414351</v>
      </c>
      <c r="I514" t="s">
        <v>593</v>
      </c>
      <c r="J514" t="s">
        <v>4656</v>
      </c>
    </row>
    <row r="515" spans="1:10" x14ac:dyDescent="0.35">
      <c r="A515" t="s">
        <v>397</v>
      </c>
      <c r="B515" t="s">
        <v>591</v>
      </c>
      <c r="C515" t="s">
        <v>592</v>
      </c>
      <c r="D515" s="1">
        <v>46224</v>
      </c>
      <c r="E515">
        <v>4.0053898818469803E-2</v>
      </c>
      <c r="F515" s="1">
        <v>46224.771601655091</v>
      </c>
      <c r="G515" t="s">
        <v>593</v>
      </c>
      <c r="H515" s="1">
        <v>46224.771601655091</v>
      </c>
      <c r="I515" t="s">
        <v>593</v>
      </c>
      <c r="J515" t="s">
        <v>4818</v>
      </c>
    </row>
    <row r="516" spans="1:10" x14ac:dyDescent="0.35">
      <c r="A516" t="s">
        <v>398</v>
      </c>
      <c r="B516" t="s">
        <v>591</v>
      </c>
      <c r="C516" t="s">
        <v>592</v>
      </c>
      <c r="D516" s="1">
        <v>46224</v>
      </c>
      <c r="E516">
        <v>4.4093551749816599E-2</v>
      </c>
      <c r="F516" s="1">
        <v>46224.771610185184</v>
      </c>
      <c r="G516" t="s">
        <v>593</v>
      </c>
      <c r="H516" s="1">
        <v>46224.771610335651</v>
      </c>
      <c r="I516" t="s">
        <v>593</v>
      </c>
      <c r="J516" t="s">
        <v>4819</v>
      </c>
    </row>
    <row r="517" spans="1:10" x14ac:dyDescent="0.35">
      <c r="A517" t="s">
        <v>428</v>
      </c>
      <c r="B517" t="s">
        <v>591</v>
      </c>
      <c r="C517" t="s">
        <v>592</v>
      </c>
      <c r="D517" s="1">
        <v>46224</v>
      </c>
      <c r="E517">
        <v>2.2818070457642E-2</v>
      </c>
      <c r="F517" s="1">
        <v>46224.771598611114</v>
      </c>
      <c r="G517" t="s">
        <v>593</v>
      </c>
      <c r="H517" s="1">
        <v>46224.771598576386</v>
      </c>
      <c r="I517" t="s">
        <v>593</v>
      </c>
      <c r="J517" t="s">
        <v>4820</v>
      </c>
    </row>
    <row r="518" spans="1:10" x14ac:dyDescent="0.35">
      <c r="A518" t="s">
        <v>399</v>
      </c>
      <c r="B518" t="s">
        <v>591</v>
      </c>
      <c r="C518" t="s">
        <v>592</v>
      </c>
      <c r="D518" s="1">
        <v>46224</v>
      </c>
      <c r="E518">
        <v>4.5745036686361602E-2</v>
      </c>
      <c r="F518" s="1">
        <v>46224.771598761574</v>
      </c>
      <c r="G518" t="s">
        <v>593</v>
      </c>
      <c r="H518" s="1">
        <v>46224.771598761574</v>
      </c>
      <c r="I518" t="s">
        <v>593</v>
      </c>
      <c r="J518" t="s">
        <v>4821</v>
      </c>
    </row>
    <row r="519" spans="1:10" x14ac:dyDescent="0.35">
      <c r="A519" t="s">
        <v>400</v>
      </c>
      <c r="B519" t="s">
        <v>591</v>
      </c>
      <c r="C519" t="s">
        <v>592</v>
      </c>
      <c r="D519" s="1">
        <v>46224</v>
      </c>
      <c r="E519">
        <v>4.2456801161383402E-2</v>
      </c>
      <c r="F519" s="1">
        <v>46224.771601817127</v>
      </c>
      <c r="G519" t="s">
        <v>593</v>
      </c>
      <c r="H519" s="1">
        <v>46224.771601817127</v>
      </c>
      <c r="I519" t="s">
        <v>593</v>
      </c>
      <c r="J519" t="s">
        <v>3055</v>
      </c>
    </row>
    <row r="520" spans="1:10" x14ac:dyDescent="0.35">
      <c r="A520" t="s">
        <v>401</v>
      </c>
      <c r="B520" t="s">
        <v>591</v>
      </c>
      <c r="C520" t="s">
        <v>592</v>
      </c>
      <c r="D520" s="1">
        <v>46224</v>
      </c>
      <c r="E520">
        <v>4.0108951889893003E-2</v>
      </c>
      <c r="F520" s="1">
        <v>46224.771601967594</v>
      </c>
      <c r="G520" t="s">
        <v>593</v>
      </c>
      <c r="H520" s="1">
        <v>46224.771602002314</v>
      </c>
      <c r="I520" t="s">
        <v>593</v>
      </c>
      <c r="J520" t="s">
        <v>4822</v>
      </c>
    </row>
    <row r="521" spans="1:10" x14ac:dyDescent="0.35">
      <c r="A521" t="s">
        <v>429</v>
      </c>
      <c r="B521" t="s">
        <v>591</v>
      </c>
      <c r="C521" t="s">
        <v>592</v>
      </c>
      <c r="D521" s="1">
        <v>46224</v>
      </c>
      <c r="E521">
        <v>4.4107726939678203E-2</v>
      </c>
      <c r="F521" s="1">
        <v>46224.771602118053</v>
      </c>
      <c r="G521" t="s">
        <v>593</v>
      </c>
      <c r="H521" s="1">
        <v>46224.77160216435</v>
      </c>
      <c r="I521" t="s">
        <v>593</v>
      </c>
      <c r="J521" t="s">
        <v>4823</v>
      </c>
    </row>
    <row r="522" spans="1:10" x14ac:dyDescent="0.35">
      <c r="A522" t="s">
        <v>402</v>
      </c>
      <c r="B522" t="s">
        <v>591</v>
      </c>
      <c r="C522" t="s">
        <v>592</v>
      </c>
      <c r="D522" s="1">
        <v>46224</v>
      </c>
      <c r="E522">
        <v>4.2500691859000801E-2</v>
      </c>
      <c r="F522" s="1">
        <v>46224.771598923609</v>
      </c>
      <c r="G522" t="s">
        <v>593</v>
      </c>
      <c r="H522" s="1">
        <v>46224.77159895833</v>
      </c>
      <c r="I522" t="s">
        <v>593</v>
      </c>
      <c r="J522" t="s">
        <v>4824</v>
      </c>
    </row>
    <row r="523" spans="1:10" x14ac:dyDescent="0.35">
      <c r="A523" t="s">
        <v>430</v>
      </c>
      <c r="B523" t="s">
        <v>591</v>
      </c>
      <c r="C523" t="s">
        <v>592</v>
      </c>
      <c r="D523" s="1">
        <v>46224</v>
      </c>
      <c r="E523">
        <v>4.4178456454584403E-2</v>
      </c>
      <c r="F523" s="1">
        <v>46224.771602280096</v>
      </c>
      <c r="G523" t="s">
        <v>593</v>
      </c>
      <c r="H523" s="1">
        <v>46224.77160216435</v>
      </c>
      <c r="I523" t="s">
        <v>593</v>
      </c>
      <c r="J523" t="s">
        <v>4825</v>
      </c>
    </row>
    <row r="524" spans="1:10" x14ac:dyDescent="0.35">
      <c r="A524" t="s">
        <v>431</v>
      </c>
      <c r="B524" t="s">
        <v>591</v>
      </c>
      <c r="C524" t="s">
        <v>592</v>
      </c>
      <c r="D524" s="1">
        <v>46224</v>
      </c>
      <c r="E524">
        <v>4.33157041608664E-2</v>
      </c>
      <c r="F524" s="1">
        <v>46224.771602430556</v>
      </c>
      <c r="G524" t="s">
        <v>593</v>
      </c>
      <c r="H524" s="1">
        <v>46224.771602349538</v>
      </c>
      <c r="I524" t="s">
        <v>593</v>
      </c>
      <c r="J524" t="s">
        <v>4826</v>
      </c>
    </row>
    <row r="525" spans="1:10" x14ac:dyDescent="0.35">
      <c r="A525" t="s">
        <v>437</v>
      </c>
      <c r="B525" t="s">
        <v>591</v>
      </c>
      <c r="C525" t="s">
        <v>592</v>
      </c>
      <c r="D525" s="1">
        <v>46224</v>
      </c>
      <c r="E525">
        <v>4.0302613835245901E-2</v>
      </c>
      <c r="F525" s="1">
        <v>46224.771599074076</v>
      </c>
      <c r="G525" t="s">
        <v>593</v>
      </c>
      <c r="H525" s="1">
        <v>46224.771599155094</v>
      </c>
      <c r="I525" t="s">
        <v>593</v>
      </c>
      <c r="J525" t="s">
        <v>4827</v>
      </c>
    </row>
    <row r="526" spans="1:10" x14ac:dyDescent="0.35">
      <c r="A526" t="s">
        <v>432</v>
      </c>
      <c r="B526" t="s">
        <v>591</v>
      </c>
      <c r="C526" t="s">
        <v>592</v>
      </c>
      <c r="D526" s="1">
        <v>46224</v>
      </c>
      <c r="E526">
        <v>4.2610214296736497E-2</v>
      </c>
      <c r="F526" s="1">
        <v>46224.771599224536</v>
      </c>
      <c r="G526" t="s">
        <v>593</v>
      </c>
      <c r="H526" s="1">
        <v>46224.771599155094</v>
      </c>
      <c r="I526" t="s">
        <v>593</v>
      </c>
      <c r="J526" t="s">
        <v>4828</v>
      </c>
    </row>
    <row r="527" spans="1:10" x14ac:dyDescent="0.35">
      <c r="A527" t="s">
        <v>438</v>
      </c>
      <c r="B527" t="s">
        <v>591</v>
      </c>
      <c r="C527" t="s">
        <v>592</v>
      </c>
      <c r="D527" s="1">
        <v>46224</v>
      </c>
      <c r="E527">
        <v>4.08536012487212E-2</v>
      </c>
      <c r="F527" s="1">
        <v>46224.771602546294</v>
      </c>
      <c r="G527" t="s">
        <v>593</v>
      </c>
      <c r="H527" s="1">
        <v>46224.771602546294</v>
      </c>
      <c r="I527" t="s">
        <v>593</v>
      </c>
      <c r="J527" t="s">
        <v>4829</v>
      </c>
    </row>
    <row r="528" spans="1:10" x14ac:dyDescent="0.35">
      <c r="A528" t="s">
        <v>439</v>
      </c>
      <c r="B528" t="s">
        <v>591</v>
      </c>
      <c r="C528" t="s">
        <v>592</v>
      </c>
      <c r="D528" s="1">
        <v>46224</v>
      </c>
      <c r="E528">
        <v>4.3323678087104897E-2</v>
      </c>
      <c r="F528" s="1">
        <v>46224.771599386571</v>
      </c>
      <c r="G528" t="s">
        <v>593</v>
      </c>
      <c r="H528" s="1">
        <v>46224.771599340274</v>
      </c>
      <c r="I528" t="s">
        <v>593</v>
      </c>
      <c r="J528" t="s">
        <v>4830</v>
      </c>
    </row>
    <row r="529" spans="1:10" x14ac:dyDescent="0.35">
      <c r="A529" t="s">
        <v>403</v>
      </c>
      <c r="B529" t="s">
        <v>591</v>
      </c>
      <c r="C529" t="s">
        <v>592</v>
      </c>
      <c r="D529" s="1">
        <v>46224</v>
      </c>
      <c r="E529">
        <v>4.4222653679410397E-2</v>
      </c>
      <c r="F529" s="1">
        <v>46224.771602743058</v>
      </c>
      <c r="G529" t="s">
        <v>593</v>
      </c>
      <c r="H529" s="1">
        <v>46224.771602743058</v>
      </c>
      <c r="I529" t="s">
        <v>593</v>
      </c>
      <c r="J529" t="s">
        <v>4831</v>
      </c>
    </row>
    <row r="530" spans="1:10" x14ac:dyDescent="0.35">
      <c r="A530" t="s">
        <v>404</v>
      </c>
      <c r="B530" t="s">
        <v>591</v>
      </c>
      <c r="C530" t="s">
        <v>592</v>
      </c>
      <c r="D530" s="1">
        <v>46224</v>
      </c>
      <c r="E530">
        <v>2.0927202082256399E-2</v>
      </c>
      <c r="F530" s="1">
        <v>46224.771610335651</v>
      </c>
      <c r="G530" t="s">
        <v>593</v>
      </c>
      <c r="H530" s="1">
        <v>46224.771610497686</v>
      </c>
      <c r="I530" t="s">
        <v>593</v>
      </c>
      <c r="J530" t="s">
        <v>4832</v>
      </c>
    </row>
    <row r="531" spans="1:10" x14ac:dyDescent="0.35">
      <c r="A531" t="s">
        <v>433</v>
      </c>
      <c r="B531" t="s">
        <v>591</v>
      </c>
      <c r="C531" t="s">
        <v>592</v>
      </c>
      <c r="D531" s="1">
        <v>46224</v>
      </c>
      <c r="E531">
        <v>4.5874265370297797E-2</v>
      </c>
      <c r="F531" s="1">
        <v>46224.771602893517</v>
      </c>
      <c r="G531" t="s">
        <v>593</v>
      </c>
      <c r="H531" s="1">
        <v>46224.771602893517</v>
      </c>
      <c r="I531" t="s">
        <v>593</v>
      </c>
      <c r="J531" t="s">
        <v>4833</v>
      </c>
    </row>
    <row r="532" spans="1:10" x14ac:dyDescent="0.35">
      <c r="A532" t="s">
        <v>440</v>
      </c>
      <c r="B532" t="s">
        <v>591</v>
      </c>
      <c r="C532" t="s">
        <v>592</v>
      </c>
      <c r="D532" s="1">
        <v>46224</v>
      </c>
      <c r="E532">
        <v>4.2612800870648199E-2</v>
      </c>
      <c r="F532" s="1">
        <v>46224.771616122685</v>
      </c>
      <c r="G532" t="s">
        <v>593</v>
      </c>
      <c r="H532" s="1">
        <v>46224.771616168982</v>
      </c>
      <c r="I532" t="s">
        <v>593</v>
      </c>
      <c r="J532" t="s">
        <v>4834</v>
      </c>
    </row>
    <row r="533" spans="1:10" x14ac:dyDescent="0.35">
      <c r="A533" t="s">
        <v>450</v>
      </c>
      <c r="B533" t="s">
        <v>591</v>
      </c>
      <c r="C533" t="s">
        <v>592</v>
      </c>
      <c r="D533" s="1">
        <v>46224</v>
      </c>
      <c r="E533">
        <v>4.1042275405777498E-2</v>
      </c>
      <c r="F533" s="1">
        <v>46224.77161689815</v>
      </c>
      <c r="G533" t="s">
        <v>593</v>
      </c>
      <c r="H533" s="1">
        <v>46224.77161689815</v>
      </c>
      <c r="I533" t="s">
        <v>593</v>
      </c>
      <c r="J533" t="s">
        <v>4835</v>
      </c>
    </row>
    <row r="534" spans="1:10" x14ac:dyDescent="0.35">
      <c r="A534" t="s">
        <v>441</v>
      </c>
      <c r="B534" t="s">
        <v>591</v>
      </c>
      <c r="C534" t="s">
        <v>592</v>
      </c>
      <c r="D534" s="1">
        <v>46224</v>
      </c>
      <c r="E534">
        <v>4.4275515559123499E-2</v>
      </c>
      <c r="F534" s="1">
        <v>46224.771610497686</v>
      </c>
      <c r="G534" t="s">
        <v>593</v>
      </c>
      <c r="H534" s="1">
        <v>46224.771610682874</v>
      </c>
      <c r="I534" t="s">
        <v>593</v>
      </c>
      <c r="J534" t="s">
        <v>4836</v>
      </c>
    </row>
    <row r="535" spans="1:10" x14ac:dyDescent="0.35">
      <c r="A535" t="s">
        <v>434</v>
      </c>
      <c r="B535" t="s">
        <v>591</v>
      </c>
      <c r="C535" t="s">
        <v>592</v>
      </c>
      <c r="D535" s="1">
        <v>46224</v>
      </c>
      <c r="E535">
        <v>4.3363515691624999E-2</v>
      </c>
      <c r="F535" s="1">
        <v>46224.771599537038</v>
      </c>
      <c r="G535" t="s">
        <v>593</v>
      </c>
      <c r="H535" s="1">
        <v>46224.771599537038</v>
      </c>
      <c r="I535" t="s">
        <v>593</v>
      </c>
      <c r="J535" t="s">
        <v>4837</v>
      </c>
    </row>
    <row r="536" spans="1:10" x14ac:dyDescent="0.35">
      <c r="A536" t="s">
        <v>442</v>
      </c>
      <c r="B536" t="s">
        <v>591</v>
      </c>
      <c r="C536" t="s">
        <v>592</v>
      </c>
      <c r="D536" s="1">
        <v>46224</v>
      </c>
      <c r="E536">
        <v>4.2658335645433698E-2</v>
      </c>
      <c r="F536" s="1">
        <v>46224.771599687498</v>
      </c>
      <c r="G536" t="s">
        <v>593</v>
      </c>
      <c r="H536" s="1">
        <v>46224.771599733795</v>
      </c>
      <c r="I536" t="s">
        <v>593</v>
      </c>
      <c r="J536" t="s">
        <v>4838</v>
      </c>
    </row>
    <row r="537" spans="1:10" x14ac:dyDescent="0.35">
      <c r="A537" t="s">
        <v>443</v>
      </c>
      <c r="B537" t="s">
        <v>591</v>
      </c>
      <c r="C537" t="s">
        <v>592</v>
      </c>
      <c r="D537" s="1">
        <v>46224</v>
      </c>
      <c r="E537">
        <v>4.43227013786461E-2</v>
      </c>
      <c r="F537" s="1">
        <v>46224.771599849541</v>
      </c>
      <c r="G537" t="s">
        <v>593</v>
      </c>
      <c r="H537" s="1">
        <v>46224.771599918982</v>
      </c>
      <c r="I537" t="s">
        <v>593</v>
      </c>
      <c r="J537" t="s">
        <v>4839</v>
      </c>
    </row>
    <row r="538" spans="1:10" x14ac:dyDescent="0.35">
      <c r="A538" t="s">
        <v>444</v>
      </c>
      <c r="B538" t="s">
        <v>591</v>
      </c>
      <c r="C538" t="s">
        <v>592</v>
      </c>
      <c r="D538" s="1">
        <v>46224</v>
      </c>
      <c r="E538">
        <v>4.34059677507138E-2</v>
      </c>
      <c r="F538" s="1">
        <v>46224.771616284721</v>
      </c>
      <c r="G538" t="s">
        <v>593</v>
      </c>
      <c r="H538" s="1">
        <v>46224.771616168982</v>
      </c>
      <c r="I538" t="s">
        <v>593</v>
      </c>
      <c r="J538" t="s">
        <v>4840</v>
      </c>
    </row>
    <row r="539" spans="1:10" x14ac:dyDescent="0.35">
      <c r="A539" t="s">
        <v>445</v>
      </c>
      <c r="B539" t="s">
        <v>591</v>
      </c>
      <c r="C539" t="s">
        <v>592</v>
      </c>
      <c r="D539" s="1">
        <v>46224</v>
      </c>
      <c r="E539">
        <v>4.1350164916586898E-2</v>
      </c>
      <c r="F539" s="1">
        <v>46224.7716</v>
      </c>
      <c r="G539" t="s">
        <v>593</v>
      </c>
      <c r="H539" s="1">
        <v>46224.771599918982</v>
      </c>
      <c r="I539" t="s">
        <v>593</v>
      </c>
      <c r="J539" t="s">
        <v>4841</v>
      </c>
    </row>
    <row r="540" spans="1:10" x14ac:dyDescent="0.35">
      <c r="A540" t="s">
        <v>446</v>
      </c>
      <c r="B540" t="s">
        <v>591</v>
      </c>
      <c r="C540" t="s">
        <v>592</v>
      </c>
      <c r="D540" s="1">
        <v>46224</v>
      </c>
      <c r="E540">
        <v>4.2713960984819901E-2</v>
      </c>
      <c r="F540" s="1">
        <v>46224.771600115739</v>
      </c>
      <c r="G540" t="s">
        <v>593</v>
      </c>
      <c r="H540" s="1">
        <v>46224.771600081018</v>
      </c>
      <c r="I540" t="s">
        <v>593</v>
      </c>
      <c r="J540" t="s">
        <v>4842</v>
      </c>
    </row>
    <row r="541" spans="1:10" x14ac:dyDescent="0.35">
      <c r="A541" t="s">
        <v>447</v>
      </c>
      <c r="B541" t="s">
        <v>591</v>
      </c>
      <c r="C541" t="s">
        <v>592</v>
      </c>
      <c r="D541" s="1">
        <v>46224</v>
      </c>
      <c r="E541">
        <v>4.3437201596524901E-2</v>
      </c>
      <c r="F541" s="1">
        <v>46224.771600312502</v>
      </c>
      <c r="G541" t="s">
        <v>593</v>
      </c>
      <c r="H541" s="1">
        <v>46224.771600266205</v>
      </c>
      <c r="I541" t="s">
        <v>593</v>
      </c>
      <c r="J541" t="s">
        <v>4843</v>
      </c>
    </row>
    <row r="542" spans="1:10" x14ac:dyDescent="0.35">
      <c r="A542" t="s">
        <v>448</v>
      </c>
      <c r="B542" t="s">
        <v>591</v>
      </c>
      <c r="C542" t="s">
        <v>592</v>
      </c>
      <c r="D542" s="1">
        <v>46224</v>
      </c>
      <c r="E542">
        <v>4.1828213100434199E-2</v>
      </c>
      <c r="F542" s="1">
        <v>46224.771616435188</v>
      </c>
      <c r="G542" t="s">
        <v>593</v>
      </c>
      <c r="H542" s="1">
        <v>46224.77161635417</v>
      </c>
      <c r="I542" t="s">
        <v>593</v>
      </c>
      <c r="J542" t="s">
        <v>4844</v>
      </c>
    </row>
    <row r="543" spans="1:10" x14ac:dyDescent="0.35">
      <c r="A543" t="s">
        <v>449</v>
      </c>
      <c r="B543" t="s">
        <v>591</v>
      </c>
      <c r="C543" t="s">
        <v>592</v>
      </c>
      <c r="D543" s="1">
        <v>46224</v>
      </c>
      <c r="E543">
        <v>4.4392223372982702E-2</v>
      </c>
      <c r="F543" s="1">
        <v>46224.771610648146</v>
      </c>
      <c r="G543" t="s">
        <v>593</v>
      </c>
      <c r="H543" s="1">
        <v>46224.771610729164</v>
      </c>
      <c r="I543" t="s">
        <v>593</v>
      </c>
      <c r="J543" t="s">
        <v>4845</v>
      </c>
    </row>
    <row r="544" spans="1:10" x14ac:dyDescent="0.35">
      <c r="A544" t="s">
        <v>451</v>
      </c>
      <c r="B544" t="s">
        <v>591</v>
      </c>
      <c r="C544" t="s">
        <v>592</v>
      </c>
      <c r="D544" s="1">
        <v>46224</v>
      </c>
      <c r="E544">
        <v>2.2820903400584801E-2</v>
      </c>
      <c r="F544" s="1">
        <v>46224.771600462962</v>
      </c>
      <c r="G544" t="s">
        <v>593</v>
      </c>
      <c r="H544" s="1">
        <v>46224.77160054398</v>
      </c>
      <c r="I544" t="s">
        <v>593</v>
      </c>
      <c r="J544" t="s">
        <v>4846</v>
      </c>
    </row>
    <row r="545" spans="1:10" x14ac:dyDescent="0.35">
      <c r="A545" t="s">
        <v>452</v>
      </c>
      <c r="B545" t="s">
        <v>591</v>
      </c>
      <c r="C545" t="s">
        <v>592</v>
      </c>
      <c r="D545" s="1">
        <v>46224</v>
      </c>
      <c r="E545">
        <v>4.5973718657235499E-2</v>
      </c>
      <c r="F545" s="1">
        <v>46224.771600578701</v>
      </c>
      <c r="G545" t="s">
        <v>593</v>
      </c>
      <c r="H545" s="1">
        <v>46224.77160054398</v>
      </c>
      <c r="I545" t="s">
        <v>593</v>
      </c>
      <c r="J545" t="s">
        <v>4847</v>
      </c>
    </row>
    <row r="546" spans="1:10" x14ac:dyDescent="0.35">
      <c r="A546" t="s">
        <v>461</v>
      </c>
      <c r="B546" t="s">
        <v>591</v>
      </c>
      <c r="C546" t="s">
        <v>592</v>
      </c>
      <c r="D546" s="1">
        <v>46224</v>
      </c>
      <c r="E546">
        <v>4.2763457211356902E-2</v>
      </c>
      <c r="F546" s="1">
        <v>46224.771603622685</v>
      </c>
      <c r="G546" t="s">
        <v>593</v>
      </c>
      <c r="H546" s="1">
        <v>46224.771603622685</v>
      </c>
      <c r="I546" t="s">
        <v>593</v>
      </c>
      <c r="J546" t="s">
        <v>4848</v>
      </c>
    </row>
    <row r="547" spans="1:10" x14ac:dyDescent="0.35">
      <c r="A547" t="s">
        <v>453</v>
      </c>
      <c r="B547" t="s">
        <v>591</v>
      </c>
      <c r="C547" t="s">
        <v>592</v>
      </c>
      <c r="D547" s="1">
        <v>46224</v>
      </c>
      <c r="E547">
        <v>4.18110852404062E-2</v>
      </c>
      <c r="F547" s="1">
        <v>46224.771611574077</v>
      </c>
      <c r="G547" t="s">
        <v>593</v>
      </c>
      <c r="H547" s="1">
        <v>46224.771611655095</v>
      </c>
      <c r="I547" t="s">
        <v>593</v>
      </c>
      <c r="J547" t="s">
        <v>4849</v>
      </c>
    </row>
    <row r="548" spans="1:10" x14ac:dyDescent="0.35">
      <c r="A548" t="s">
        <v>454</v>
      </c>
      <c r="B548" t="s">
        <v>591</v>
      </c>
      <c r="C548" t="s">
        <v>592</v>
      </c>
      <c r="D548" s="1">
        <v>46224</v>
      </c>
      <c r="E548">
        <v>4.4441830777354897E-2</v>
      </c>
      <c r="F548" s="1">
        <v>46224.77160378472</v>
      </c>
      <c r="G548" t="s">
        <v>593</v>
      </c>
      <c r="H548" s="1">
        <v>46224.771603819441</v>
      </c>
      <c r="I548" t="s">
        <v>593</v>
      </c>
      <c r="J548" t="s">
        <v>4669</v>
      </c>
    </row>
    <row r="549" spans="1:10" x14ac:dyDescent="0.35">
      <c r="A549" t="s">
        <v>462</v>
      </c>
      <c r="B549" t="s">
        <v>591</v>
      </c>
      <c r="C549" t="s">
        <v>592</v>
      </c>
      <c r="D549" s="1">
        <v>46224</v>
      </c>
      <c r="E549">
        <v>4.35072473395706E-2</v>
      </c>
      <c r="F549" s="1">
        <v>46224.771610798613</v>
      </c>
      <c r="G549" t="s">
        <v>593</v>
      </c>
      <c r="H549" s="1">
        <v>46224.77161087963</v>
      </c>
      <c r="I549" t="s">
        <v>593</v>
      </c>
      <c r="J549" t="s">
        <v>3058</v>
      </c>
    </row>
    <row r="550" spans="1:10" x14ac:dyDescent="0.35">
      <c r="A550" t="s">
        <v>471</v>
      </c>
      <c r="B550" t="s">
        <v>591</v>
      </c>
      <c r="C550" t="s">
        <v>592</v>
      </c>
      <c r="D550" s="1">
        <v>46224</v>
      </c>
      <c r="E550">
        <v>4.28013265822881E-2</v>
      </c>
      <c r="F550" s="1">
        <v>46224.771616585647</v>
      </c>
      <c r="G550" t="s">
        <v>593</v>
      </c>
      <c r="H550" s="1">
        <v>46224.771616516206</v>
      </c>
      <c r="I550" t="s">
        <v>593</v>
      </c>
      <c r="J550" t="s">
        <v>4850</v>
      </c>
    </row>
    <row r="551" spans="1:10" x14ac:dyDescent="0.35">
      <c r="A551" t="s">
        <v>455</v>
      </c>
      <c r="B551" t="s">
        <v>591</v>
      </c>
      <c r="C551" t="s">
        <v>592</v>
      </c>
      <c r="D551" s="1">
        <v>46224</v>
      </c>
      <c r="E551">
        <v>4.4520182531922303E-2</v>
      </c>
      <c r="F551" s="1">
        <v>46224.771610960648</v>
      </c>
      <c r="G551" t="s">
        <v>593</v>
      </c>
      <c r="H551" s="1">
        <v>46224.771611111108</v>
      </c>
      <c r="I551" t="s">
        <v>593</v>
      </c>
      <c r="J551" t="s">
        <v>4851</v>
      </c>
    </row>
    <row r="552" spans="1:10" x14ac:dyDescent="0.35">
      <c r="A552" t="s">
        <v>456</v>
      </c>
      <c r="B552" t="s">
        <v>591</v>
      </c>
      <c r="C552" t="s">
        <v>592</v>
      </c>
      <c r="D552" s="1">
        <v>46224</v>
      </c>
      <c r="E552">
        <v>4.34861001768359E-2</v>
      </c>
      <c r="F552" s="1">
        <v>46224.771603935187</v>
      </c>
      <c r="G552" t="s">
        <v>593</v>
      </c>
      <c r="H552" s="1">
        <v>46224.771604016205</v>
      </c>
      <c r="I552" t="s">
        <v>593</v>
      </c>
      <c r="J552" t="s">
        <v>3059</v>
      </c>
    </row>
    <row r="553" spans="1:10" x14ac:dyDescent="0.35">
      <c r="A553" t="s">
        <v>457</v>
      </c>
      <c r="B553" t="s">
        <v>591</v>
      </c>
      <c r="C553" t="s">
        <v>592</v>
      </c>
      <c r="D553" s="1">
        <v>46224</v>
      </c>
      <c r="E553">
        <v>4.19754943127977E-2</v>
      </c>
      <c r="F553" s="1">
        <v>46224.771611111108</v>
      </c>
      <c r="G553" t="s">
        <v>593</v>
      </c>
      <c r="H553" s="1">
        <v>46224.771611307871</v>
      </c>
      <c r="I553" t="s">
        <v>593</v>
      </c>
      <c r="J553" t="s">
        <v>4852</v>
      </c>
    </row>
    <row r="554" spans="1:10" x14ac:dyDescent="0.35">
      <c r="A554" t="s">
        <v>458</v>
      </c>
      <c r="B554" t="s">
        <v>591</v>
      </c>
      <c r="C554" t="s">
        <v>592</v>
      </c>
      <c r="D554" s="1">
        <v>46224</v>
      </c>
      <c r="E554">
        <v>4.2874744260537799E-2</v>
      </c>
      <c r="F554" s="1">
        <v>46224.771604085647</v>
      </c>
      <c r="G554" t="s">
        <v>593</v>
      </c>
      <c r="H554" s="1">
        <v>46224.771604166664</v>
      </c>
      <c r="I554" t="s">
        <v>593</v>
      </c>
      <c r="J554" t="s">
        <v>4853</v>
      </c>
    </row>
    <row r="555" spans="1:10" x14ac:dyDescent="0.35">
      <c r="A555" t="s">
        <v>508</v>
      </c>
      <c r="B555" t="s">
        <v>591</v>
      </c>
      <c r="C555" t="s">
        <v>592</v>
      </c>
      <c r="D555" s="1">
        <v>46224</v>
      </c>
      <c r="E555">
        <v>4.3550207202041502E-2</v>
      </c>
      <c r="F555" s="1">
        <v>46224.771604166664</v>
      </c>
      <c r="G555" t="s">
        <v>593</v>
      </c>
      <c r="H555" s="1">
        <v>46224.771604166664</v>
      </c>
      <c r="I555" t="s">
        <v>593</v>
      </c>
      <c r="J555" t="s">
        <v>3060</v>
      </c>
    </row>
    <row r="556" spans="1:10" x14ac:dyDescent="0.35">
      <c r="A556" t="s">
        <v>463</v>
      </c>
      <c r="B556" t="s">
        <v>591</v>
      </c>
      <c r="C556" t="s">
        <v>592</v>
      </c>
      <c r="D556" s="1">
        <v>46224</v>
      </c>
      <c r="E556">
        <v>4.21826144076171E-2</v>
      </c>
      <c r="F556" s="1">
        <v>46224.77160428241</v>
      </c>
      <c r="G556" t="s">
        <v>593</v>
      </c>
      <c r="H556" s="1">
        <v>46224.771604363428</v>
      </c>
      <c r="I556" t="s">
        <v>593</v>
      </c>
      <c r="J556" t="s">
        <v>4854</v>
      </c>
    </row>
    <row r="557" spans="1:10" x14ac:dyDescent="0.35">
      <c r="A557" t="s">
        <v>464</v>
      </c>
      <c r="B557" t="s">
        <v>591</v>
      </c>
      <c r="C557" t="s">
        <v>592</v>
      </c>
      <c r="D557" s="1">
        <v>46224</v>
      </c>
      <c r="E557">
        <v>4.4573490787308198E-2</v>
      </c>
      <c r="F557" s="1">
        <v>46224.771611724536</v>
      </c>
      <c r="G557" t="s">
        <v>593</v>
      </c>
      <c r="H557" s="1">
        <v>46224.771611840275</v>
      </c>
      <c r="I557" t="s">
        <v>593</v>
      </c>
      <c r="J557" t="s">
        <v>4855</v>
      </c>
    </row>
    <row r="558" spans="1:10" x14ac:dyDescent="0.35">
      <c r="A558" t="s">
        <v>465</v>
      </c>
      <c r="B558" t="s">
        <v>591</v>
      </c>
      <c r="C558" t="s">
        <v>592</v>
      </c>
      <c r="D558" s="1">
        <v>46224</v>
      </c>
      <c r="E558">
        <v>1.9666044916376899E-2</v>
      </c>
      <c r="F558" s="1">
        <v>46224.77160443287</v>
      </c>
      <c r="G558" t="s">
        <v>593</v>
      </c>
      <c r="H558" s="1">
        <v>46224.771604548609</v>
      </c>
      <c r="I558" t="s">
        <v>593</v>
      </c>
      <c r="J558" t="s">
        <v>4856</v>
      </c>
    </row>
    <row r="559" spans="1:10" x14ac:dyDescent="0.35">
      <c r="A559" t="s">
        <v>459</v>
      </c>
      <c r="B559" t="s">
        <v>591</v>
      </c>
      <c r="C559" t="s">
        <v>592</v>
      </c>
      <c r="D559" s="1">
        <v>46224</v>
      </c>
      <c r="E559">
        <v>4.6093560858689799E-2</v>
      </c>
      <c r="F559" s="1">
        <v>46224.771604594906</v>
      </c>
      <c r="G559" t="s">
        <v>593</v>
      </c>
      <c r="H559" s="1">
        <v>46224.771604710651</v>
      </c>
      <c r="I559" t="s">
        <v>593</v>
      </c>
      <c r="J559" t="s">
        <v>4857</v>
      </c>
    </row>
    <row r="560" spans="1:10" x14ac:dyDescent="0.35">
      <c r="A560" t="s">
        <v>466</v>
      </c>
      <c r="B560" t="s">
        <v>591</v>
      </c>
      <c r="C560" t="s">
        <v>592</v>
      </c>
      <c r="D560" s="1">
        <v>46224</v>
      </c>
      <c r="E560">
        <v>4.2893686628814501E-2</v>
      </c>
      <c r="F560" s="1">
        <v>46224.771617048609</v>
      </c>
      <c r="G560" t="s">
        <v>593</v>
      </c>
      <c r="H560" s="1">
        <v>46224.771617094906</v>
      </c>
      <c r="I560" t="s">
        <v>593</v>
      </c>
      <c r="J560" t="s">
        <v>4858</v>
      </c>
    </row>
    <row r="561" spans="1:10" x14ac:dyDescent="0.35">
      <c r="A561" t="s">
        <v>467</v>
      </c>
      <c r="B561" t="s">
        <v>591</v>
      </c>
      <c r="C561" t="s">
        <v>592</v>
      </c>
      <c r="D561" s="1">
        <v>46224</v>
      </c>
      <c r="E561">
        <v>4.2259705276296397E-2</v>
      </c>
      <c r="F561" s="1">
        <v>46224.771604745372</v>
      </c>
      <c r="G561" t="s">
        <v>593</v>
      </c>
      <c r="H561" s="1">
        <v>46224.771604895832</v>
      </c>
      <c r="I561" t="s">
        <v>593</v>
      </c>
      <c r="J561" t="s">
        <v>4859</v>
      </c>
    </row>
    <row r="562" spans="1:10" x14ac:dyDescent="0.35">
      <c r="A562" t="s">
        <v>468</v>
      </c>
      <c r="B562" t="s">
        <v>591</v>
      </c>
      <c r="C562" t="s">
        <v>592</v>
      </c>
      <c r="D562" s="1">
        <v>46224</v>
      </c>
      <c r="E562">
        <v>4.4587481408643999E-2</v>
      </c>
      <c r="F562" s="1">
        <v>46224.771604895832</v>
      </c>
      <c r="G562" t="s">
        <v>593</v>
      </c>
      <c r="H562" s="1">
        <v>46224.771605057867</v>
      </c>
      <c r="I562" t="s">
        <v>593</v>
      </c>
      <c r="J562" t="s">
        <v>4860</v>
      </c>
    </row>
    <row r="563" spans="1:10" x14ac:dyDescent="0.35">
      <c r="A563" t="s">
        <v>460</v>
      </c>
      <c r="B563" t="s">
        <v>591</v>
      </c>
      <c r="C563" t="s">
        <v>592</v>
      </c>
      <c r="D563" s="1">
        <v>46224</v>
      </c>
      <c r="E563">
        <v>4.36076277286448E-2</v>
      </c>
      <c r="F563" s="1">
        <v>46224.771605057867</v>
      </c>
      <c r="G563" t="s">
        <v>593</v>
      </c>
      <c r="H563" s="1">
        <v>46224.771605057867</v>
      </c>
      <c r="I563" t="s">
        <v>593</v>
      </c>
      <c r="J563" t="s">
        <v>4861</v>
      </c>
    </row>
    <row r="564" spans="1:10" x14ac:dyDescent="0.35">
      <c r="A564" t="s">
        <v>509</v>
      </c>
      <c r="B564" t="s">
        <v>591</v>
      </c>
      <c r="C564" t="s">
        <v>592</v>
      </c>
      <c r="D564" s="1">
        <v>46224</v>
      </c>
      <c r="E564">
        <v>4.2879708143081098E-2</v>
      </c>
      <c r="F564" s="1">
        <v>46224.771611886572</v>
      </c>
      <c r="G564" t="s">
        <v>593</v>
      </c>
      <c r="H564" s="1">
        <v>46224.771612002318</v>
      </c>
      <c r="I564" t="s">
        <v>593</v>
      </c>
      <c r="J564" t="s">
        <v>4862</v>
      </c>
    </row>
    <row r="565" spans="1:10" x14ac:dyDescent="0.35">
      <c r="A565" t="s">
        <v>469</v>
      </c>
      <c r="B565" t="s">
        <v>591</v>
      </c>
      <c r="C565" t="s">
        <v>592</v>
      </c>
      <c r="D565" s="1">
        <v>46224</v>
      </c>
      <c r="E565">
        <v>4.4629135906941002E-2</v>
      </c>
      <c r="F565" s="1">
        <v>46224.771617824073</v>
      </c>
      <c r="G565" t="s">
        <v>593</v>
      </c>
      <c r="H565" s="1">
        <v>46224.771617789353</v>
      </c>
      <c r="I565" t="s">
        <v>593</v>
      </c>
      <c r="J565" t="s">
        <v>4863</v>
      </c>
    </row>
    <row r="566" spans="1:10" x14ac:dyDescent="0.35">
      <c r="A566" t="s">
        <v>516</v>
      </c>
      <c r="B566" t="s">
        <v>591</v>
      </c>
      <c r="C566" t="s">
        <v>592</v>
      </c>
      <c r="D566" s="1">
        <v>46224</v>
      </c>
      <c r="E566">
        <v>4.3593069956143003E-2</v>
      </c>
      <c r="F566" s="1">
        <v>46224.771605208334</v>
      </c>
      <c r="G566" t="s">
        <v>593</v>
      </c>
      <c r="H566" s="1">
        <v>46224.771605243055</v>
      </c>
      <c r="I566" t="s">
        <v>593</v>
      </c>
      <c r="J566" t="s">
        <v>3061</v>
      </c>
    </row>
    <row r="567" spans="1:10" x14ac:dyDescent="0.35">
      <c r="A567" t="s">
        <v>470</v>
      </c>
      <c r="B567" t="s">
        <v>591</v>
      </c>
      <c r="C567" t="s">
        <v>592</v>
      </c>
      <c r="D567" s="1">
        <v>46224</v>
      </c>
      <c r="E567">
        <v>4.2393790421321402E-2</v>
      </c>
      <c r="F567" s="1">
        <v>46224.771605358794</v>
      </c>
      <c r="G567" t="s">
        <v>593</v>
      </c>
      <c r="H567" s="1">
        <v>46224.771605439812</v>
      </c>
      <c r="I567" t="s">
        <v>593</v>
      </c>
      <c r="J567" t="s">
        <v>4864</v>
      </c>
    </row>
    <row r="568" spans="1:10" x14ac:dyDescent="0.35">
      <c r="A568" t="s">
        <v>510</v>
      </c>
      <c r="B568" t="s">
        <v>591</v>
      </c>
      <c r="C568" t="s">
        <v>592</v>
      </c>
      <c r="D568" s="1">
        <v>46224</v>
      </c>
      <c r="E568">
        <v>4.2944520017686102E-2</v>
      </c>
      <c r="F568" s="1">
        <v>46224.771617210645</v>
      </c>
      <c r="G568" t="s">
        <v>593</v>
      </c>
      <c r="H568" s="1">
        <v>46224.771617245373</v>
      </c>
      <c r="I568" t="s">
        <v>593</v>
      </c>
      <c r="J568" t="s">
        <v>4865</v>
      </c>
    </row>
    <row r="569" spans="1:10" x14ac:dyDescent="0.35">
      <c r="A569" t="s">
        <v>472</v>
      </c>
      <c r="B569" t="s">
        <v>591</v>
      </c>
      <c r="C569" t="s">
        <v>592</v>
      </c>
      <c r="D569" s="1">
        <v>46224</v>
      </c>
      <c r="E569">
        <v>2.35040039277775E-2</v>
      </c>
      <c r="F569" s="1">
        <v>46224.771617361112</v>
      </c>
      <c r="G569" t="s">
        <v>593</v>
      </c>
      <c r="H569" s="1">
        <v>46224.771617245373</v>
      </c>
      <c r="I569" t="s">
        <v>593</v>
      </c>
      <c r="J569" t="s">
        <v>4866</v>
      </c>
    </row>
    <row r="570" spans="1:10" x14ac:dyDescent="0.35">
      <c r="A570" t="s">
        <v>473</v>
      </c>
      <c r="B570" t="s">
        <v>591</v>
      </c>
      <c r="C570" t="s">
        <v>592</v>
      </c>
      <c r="D570" s="1">
        <v>46224</v>
      </c>
      <c r="E570">
        <v>4.3636320566465901E-2</v>
      </c>
      <c r="F570" s="1">
        <v>46224.771605520837</v>
      </c>
      <c r="G570" t="s">
        <v>593</v>
      </c>
      <c r="H570" s="1">
        <v>46224.771605636575</v>
      </c>
      <c r="I570" t="s">
        <v>593</v>
      </c>
      <c r="J570" t="s">
        <v>4867</v>
      </c>
    </row>
    <row r="571" spans="1:10" x14ac:dyDescent="0.35">
      <c r="A571" t="s">
        <v>474</v>
      </c>
      <c r="B571" t="s">
        <v>591</v>
      </c>
      <c r="C571" t="s">
        <v>592</v>
      </c>
      <c r="D571" s="1">
        <v>46224</v>
      </c>
      <c r="E571">
        <v>4.47017824323169E-2</v>
      </c>
      <c r="F571" s="1">
        <v>46224.771612037039</v>
      </c>
      <c r="G571" t="s">
        <v>593</v>
      </c>
      <c r="H571" s="1">
        <v>46224.771612187498</v>
      </c>
      <c r="I571" t="s">
        <v>593</v>
      </c>
      <c r="J571" t="s">
        <v>4868</v>
      </c>
    </row>
    <row r="572" spans="1:10" x14ac:dyDescent="0.35">
      <c r="A572" t="s">
        <v>475</v>
      </c>
      <c r="B572" t="s">
        <v>591</v>
      </c>
      <c r="C572" t="s">
        <v>592</v>
      </c>
      <c r="D572" s="1">
        <v>46224</v>
      </c>
      <c r="E572">
        <v>4.6191492846314998E-2</v>
      </c>
      <c r="F572" s="1">
        <v>46224.771617511571</v>
      </c>
      <c r="G572" t="s">
        <v>593</v>
      </c>
      <c r="H572" s="1">
        <v>46224.771617442129</v>
      </c>
      <c r="I572" t="s">
        <v>593</v>
      </c>
      <c r="J572" t="s">
        <v>4869</v>
      </c>
    </row>
    <row r="573" spans="1:10" x14ac:dyDescent="0.35">
      <c r="A573" t="s">
        <v>481</v>
      </c>
      <c r="B573" t="s">
        <v>591</v>
      </c>
      <c r="C573" t="s">
        <v>592</v>
      </c>
      <c r="D573" s="1">
        <v>46224</v>
      </c>
      <c r="E573">
        <v>4.2947835718094601E-2</v>
      </c>
      <c r="F573" s="1">
        <v>46224.771605671296</v>
      </c>
      <c r="G573" t="s">
        <v>593</v>
      </c>
      <c r="H573" s="1">
        <v>46224.771605787035</v>
      </c>
      <c r="I573" t="s">
        <v>593</v>
      </c>
      <c r="J573" t="s">
        <v>4870</v>
      </c>
    </row>
    <row r="574" spans="1:10" x14ac:dyDescent="0.35">
      <c r="A574" t="s">
        <v>476</v>
      </c>
      <c r="B574" t="s">
        <v>591</v>
      </c>
      <c r="C574" t="s">
        <v>592</v>
      </c>
      <c r="D574" s="1">
        <v>46224</v>
      </c>
      <c r="E574">
        <v>4.2383484417570602E-2</v>
      </c>
      <c r="F574" s="1">
        <v>46224.771605821756</v>
      </c>
      <c r="G574" t="s">
        <v>593</v>
      </c>
      <c r="H574" s="1">
        <v>46224.771605983799</v>
      </c>
      <c r="I574" t="s">
        <v>593</v>
      </c>
      <c r="J574" t="s">
        <v>4871</v>
      </c>
    </row>
    <row r="575" spans="1:10" x14ac:dyDescent="0.35">
      <c r="A575" t="s">
        <v>511</v>
      </c>
      <c r="B575" t="s">
        <v>591</v>
      </c>
      <c r="C575" t="s">
        <v>592</v>
      </c>
      <c r="D575" s="1">
        <v>46224</v>
      </c>
      <c r="E575">
        <v>4.4695892805870198E-2</v>
      </c>
      <c r="F575" s="1">
        <v>46224.771612187498</v>
      </c>
      <c r="G575" t="s">
        <v>593</v>
      </c>
      <c r="H575" s="1">
        <v>46224.771612187498</v>
      </c>
      <c r="I575" t="s">
        <v>593</v>
      </c>
      <c r="J575" t="s">
        <v>4872</v>
      </c>
    </row>
    <row r="576" spans="1:10" x14ac:dyDescent="0.35">
      <c r="A576" t="s">
        <v>477</v>
      </c>
      <c r="B576" t="s">
        <v>591</v>
      </c>
      <c r="C576" t="s">
        <v>592</v>
      </c>
      <c r="D576" s="1">
        <v>46224</v>
      </c>
      <c r="E576">
        <v>4.3579701929551101E-2</v>
      </c>
      <c r="F576" s="1">
        <v>46224.771612349534</v>
      </c>
      <c r="G576" t="s">
        <v>593</v>
      </c>
      <c r="H576" s="1">
        <v>46224.771612384262</v>
      </c>
      <c r="I576" t="s">
        <v>593</v>
      </c>
      <c r="J576" t="s">
        <v>4873</v>
      </c>
    </row>
    <row r="577" spans="1:10" x14ac:dyDescent="0.35">
      <c r="A577" t="s">
        <v>512</v>
      </c>
      <c r="B577" t="s">
        <v>591</v>
      </c>
      <c r="C577" t="s">
        <v>592</v>
      </c>
      <c r="D577" s="1">
        <v>46224</v>
      </c>
      <c r="E577">
        <v>4.2893084802013599E-2</v>
      </c>
      <c r="F577" s="1">
        <v>46224.771612500001</v>
      </c>
      <c r="G577" t="s">
        <v>593</v>
      </c>
      <c r="H577" s="1">
        <v>46224.771612534721</v>
      </c>
      <c r="I577" t="s">
        <v>593</v>
      </c>
      <c r="J577" t="s">
        <v>4874</v>
      </c>
    </row>
    <row r="578" spans="1:10" x14ac:dyDescent="0.35">
      <c r="A578" t="s">
        <v>478</v>
      </c>
      <c r="B578" t="s">
        <v>591</v>
      </c>
      <c r="C578" t="s">
        <v>592</v>
      </c>
      <c r="D578" s="1">
        <v>46224</v>
      </c>
      <c r="E578">
        <v>4.4761443885549403E-2</v>
      </c>
      <c r="F578" s="1">
        <v>46224.771605983799</v>
      </c>
      <c r="G578" t="s">
        <v>593</v>
      </c>
      <c r="H578" s="1">
        <v>46224.771605983799</v>
      </c>
      <c r="I578" t="s">
        <v>593</v>
      </c>
      <c r="J578" t="s">
        <v>4811</v>
      </c>
    </row>
    <row r="579" spans="1:10" x14ac:dyDescent="0.35">
      <c r="A579" t="s">
        <v>482</v>
      </c>
      <c r="B579" t="s">
        <v>591</v>
      </c>
      <c r="C579" t="s">
        <v>592</v>
      </c>
      <c r="D579" s="1">
        <v>46224</v>
      </c>
      <c r="E579">
        <v>4.36478127725402E-2</v>
      </c>
      <c r="F579" s="1">
        <v>46224.771606134258</v>
      </c>
      <c r="G579" t="s">
        <v>593</v>
      </c>
      <c r="H579" s="1">
        <v>46224.771606168979</v>
      </c>
      <c r="I579" t="s">
        <v>593</v>
      </c>
      <c r="J579" t="s">
        <v>4875</v>
      </c>
    </row>
    <row r="580" spans="1:10" x14ac:dyDescent="0.35">
      <c r="A580" t="s">
        <v>479</v>
      </c>
      <c r="B580" t="s">
        <v>591</v>
      </c>
      <c r="C580" t="s">
        <v>592</v>
      </c>
      <c r="D580" s="1">
        <v>46224</v>
      </c>
      <c r="E580">
        <v>4.2516693254835702E-2</v>
      </c>
      <c r="F580" s="1">
        <v>46224.771606249997</v>
      </c>
      <c r="G580" t="s">
        <v>593</v>
      </c>
      <c r="H580" s="1">
        <v>46224.771606331022</v>
      </c>
      <c r="I580" t="s">
        <v>593</v>
      </c>
      <c r="J580" t="s">
        <v>4876</v>
      </c>
    </row>
    <row r="581" spans="1:10" x14ac:dyDescent="0.35">
      <c r="A581" t="s">
        <v>483</v>
      </c>
      <c r="B581" t="s">
        <v>591</v>
      </c>
      <c r="C581" t="s">
        <v>592</v>
      </c>
      <c r="D581" s="1">
        <v>46224</v>
      </c>
      <c r="E581">
        <v>4.2923327605261498E-2</v>
      </c>
      <c r="F581" s="1">
        <v>46224.771606400463</v>
      </c>
      <c r="G581" t="s">
        <v>593</v>
      </c>
      <c r="H581" s="1">
        <v>46224.771606516202</v>
      </c>
      <c r="I581" t="s">
        <v>593</v>
      </c>
      <c r="J581" t="s">
        <v>4784</v>
      </c>
    </row>
    <row r="582" spans="1:10" x14ac:dyDescent="0.35">
      <c r="A582" t="s">
        <v>484</v>
      </c>
      <c r="B582" t="s">
        <v>591</v>
      </c>
      <c r="C582" t="s">
        <v>592</v>
      </c>
      <c r="D582" s="1">
        <v>46224</v>
      </c>
      <c r="E582">
        <v>4.36434415844748E-2</v>
      </c>
      <c r="F582" s="1">
        <v>46224.771606562499</v>
      </c>
      <c r="G582" t="s">
        <v>593</v>
      </c>
      <c r="H582" s="1">
        <v>46224.771606712966</v>
      </c>
      <c r="I582" t="s">
        <v>593</v>
      </c>
      <c r="J582" t="s">
        <v>4877</v>
      </c>
    </row>
    <row r="583" spans="1:10" x14ac:dyDescent="0.35">
      <c r="A583" t="s">
        <v>517</v>
      </c>
      <c r="B583" t="s">
        <v>591</v>
      </c>
      <c r="C583" t="s">
        <v>592</v>
      </c>
      <c r="D583" s="1">
        <v>46224</v>
      </c>
      <c r="E583">
        <v>4.2504204222124503E-2</v>
      </c>
      <c r="F583" s="1">
        <v>46224.771606712966</v>
      </c>
      <c r="G583" t="s">
        <v>593</v>
      </c>
      <c r="H583" s="1">
        <v>46224.771606909722</v>
      </c>
      <c r="I583" t="s">
        <v>593</v>
      </c>
      <c r="J583" t="s">
        <v>4878</v>
      </c>
    </row>
    <row r="584" spans="1:10" x14ac:dyDescent="0.35">
      <c r="A584" t="s">
        <v>480</v>
      </c>
      <c r="B584" t="s">
        <v>591</v>
      </c>
      <c r="C584" t="s">
        <v>592</v>
      </c>
      <c r="D584" s="1">
        <v>46224</v>
      </c>
      <c r="E584">
        <v>4.4831173067047599E-2</v>
      </c>
      <c r="F584" s="1">
        <v>46224.771606863425</v>
      </c>
      <c r="G584" t="s">
        <v>593</v>
      </c>
      <c r="H584" s="1">
        <v>46224.771607060182</v>
      </c>
      <c r="I584" t="s">
        <v>593</v>
      </c>
      <c r="J584" t="s">
        <v>4879</v>
      </c>
    </row>
    <row r="585" spans="1:10" x14ac:dyDescent="0.35">
      <c r="A585" t="s">
        <v>525</v>
      </c>
      <c r="B585" t="s">
        <v>591</v>
      </c>
      <c r="C585" t="s">
        <v>592</v>
      </c>
      <c r="D585" s="1">
        <v>46224</v>
      </c>
      <c r="E585">
        <v>2.07101209491133E-2</v>
      </c>
      <c r="F585" s="1">
        <v>46224.771612615739</v>
      </c>
      <c r="G585" t="s">
        <v>593</v>
      </c>
      <c r="H585" s="1">
        <v>46224.771612731478</v>
      </c>
      <c r="I585" t="s">
        <v>593</v>
      </c>
      <c r="J585" t="s">
        <v>4880</v>
      </c>
    </row>
    <row r="586" spans="1:10" x14ac:dyDescent="0.35">
      <c r="A586" t="s">
        <v>1659</v>
      </c>
      <c r="B586" t="s">
        <v>591</v>
      </c>
      <c r="C586" t="s">
        <v>592</v>
      </c>
      <c r="D586" s="1">
        <v>46224</v>
      </c>
      <c r="E586">
        <v>4.6270923038853801E-2</v>
      </c>
      <c r="F586" s="1">
        <v>46224.771612766206</v>
      </c>
      <c r="G586" t="s">
        <v>593</v>
      </c>
      <c r="H586" s="1">
        <v>46224.771612928242</v>
      </c>
      <c r="I586" t="s">
        <v>593</v>
      </c>
      <c r="J586" t="s">
        <v>4881</v>
      </c>
    </row>
    <row r="587" spans="1:10" x14ac:dyDescent="0.35">
      <c r="A587" t="s">
        <v>1660</v>
      </c>
      <c r="B587" t="s">
        <v>591</v>
      </c>
      <c r="C587" t="s">
        <v>592</v>
      </c>
      <c r="D587" s="1">
        <v>46224</v>
      </c>
      <c r="E587">
        <v>4.28827233114129E-2</v>
      </c>
      <c r="F587" s="1">
        <v>46224.771607025461</v>
      </c>
      <c r="G587" t="s">
        <v>593</v>
      </c>
      <c r="H587" s="1">
        <v>46224.771607060182</v>
      </c>
      <c r="I587" t="s">
        <v>593</v>
      </c>
      <c r="J587" t="s">
        <v>4882</v>
      </c>
    </row>
    <row r="588" spans="1:10" x14ac:dyDescent="0.35">
      <c r="A588" t="s">
        <v>1743</v>
      </c>
      <c r="B588" t="s">
        <v>591</v>
      </c>
      <c r="C588" t="s">
        <v>592</v>
      </c>
      <c r="D588" s="1">
        <v>46224</v>
      </c>
      <c r="E588">
        <v>4.2615684906866597E-2</v>
      </c>
      <c r="F588" s="1">
        <v>46224.771607175928</v>
      </c>
      <c r="G588" t="s">
        <v>593</v>
      </c>
      <c r="H588" s="1">
        <v>46224.771607256946</v>
      </c>
      <c r="I588" t="s">
        <v>593</v>
      </c>
      <c r="J588" t="s">
        <v>4883</v>
      </c>
    </row>
    <row r="589" spans="1:10" x14ac:dyDescent="0.35">
      <c r="A589" t="s">
        <v>1745</v>
      </c>
      <c r="B589" t="s">
        <v>591</v>
      </c>
      <c r="C589" t="s">
        <v>592</v>
      </c>
      <c r="D589" s="1">
        <v>46224</v>
      </c>
      <c r="E589">
        <v>4.4849824854753299E-2</v>
      </c>
      <c r="F589" s="1">
        <v>46224.771607326387</v>
      </c>
      <c r="G589" t="s">
        <v>593</v>
      </c>
      <c r="H589" s="1">
        <v>46224.771607442133</v>
      </c>
      <c r="I589" t="s">
        <v>593</v>
      </c>
      <c r="J589" t="s">
        <v>4884</v>
      </c>
    </row>
    <row r="590" spans="1:10" x14ac:dyDescent="0.35">
      <c r="A590" t="s">
        <v>1742</v>
      </c>
      <c r="B590" t="s">
        <v>591</v>
      </c>
      <c r="C590" t="s">
        <v>592</v>
      </c>
      <c r="D590" s="1">
        <v>46224</v>
      </c>
      <c r="E590">
        <v>4.3681668306950402E-2</v>
      </c>
      <c r="F590" s="1">
        <v>46224.771607488423</v>
      </c>
      <c r="G590" t="s">
        <v>593</v>
      </c>
      <c r="H590" s="1">
        <v>46224.771607604169</v>
      </c>
      <c r="I590" t="s">
        <v>593</v>
      </c>
      <c r="J590" t="s">
        <v>4885</v>
      </c>
    </row>
    <row r="591" spans="1:10" x14ac:dyDescent="0.35">
      <c r="A591" t="s">
        <v>1744</v>
      </c>
      <c r="B591" t="s">
        <v>591</v>
      </c>
      <c r="C591" t="s">
        <v>592</v>
      </c>
      <c r="D591" s="1">
        <v>46224</v>
      </c>
      <c r="E591">
        <v>4.2930476797586201E-2</v>
      </c>
      <c r="F591" s="1">
        <v>46224.771612928242</v>
      </c>
      <c r="G591" t="s">
        <v>593</v>
      </c>
      <c r="H591" s="1">
        <v>46224.771613078701</v>
      </c>
      <c r="I591" t="s">
        <v>593</v>
      </c>
      <c r="J591" t="s">
        <v>3062</v>
      </c>
    </row>
    <row r="592" spans="1:10" x14ac:dyDescent="0.35">
      <c r="A592" t="s">
        <v>1770</v>
      </c>
      <c r="B592" t="s">
        <v>591</v>
      </c>
      <c r="C592" t="s">
        <v>592</v>
      </c>
      <c r="D592" s="1">
        <v>46224</v>
      </c>
      <c r="E592">
        <v>4.4909740840820001E-2</v>
      </c>
      <c r="F592" s="1">
        <v>46224.771613078701</v>
      </c>
      <c r="G592" t="s">
        <v>593</v>
      </c>
      <c r="H592" s="1">
        <v>46224.771613275465</v>
      </c>
      <c r="I592" t="s">
        <v>593</v>
      </c>
      <c r="J592" t="s">
        <v>4886</v>
      </c>
    </row>
    <row r="593" spans="1:10" x14ac:dyDescent="0.35">
      <c r="A593" t="s">
        <v>1771</v>
      </c>
      <c r="B593" t="s">
        <v>591</v>
      </c>
      <c r="C593" t="s">
        <v>592</v>
      </c>
      <c r="D593" s="1">
        <v>46224</v>
      </c>
      <c r="E593">
        <v>4.3685765867993998E-2</v>
      </c>
      <c r="F593" s="1">
        <v>46224.771613229168</v>
      </c>
      <c r="G593" t="s">
        <v>593</v>
      </c>
      <c r="H593" s="1">
        <v>46224.771613275465</v>
      </c>
      <c r="I593" t="s">
        <v>593</v>
      </c>
      <c r="J593" t="s">
        <v>4887</v>
      </c>
    </row>
    <row r="594" spans="1:10" x14ac:dyDescent="0.35">
      <c r="A594" t="s">
        <v>1769</v>
      </c>
      <c r="B594" t="s">
        <v>591</v>
      </c>
      <c r="C594" t="s">
        <v>592</v>
      </c>
      <c r="D594" s="1">
        <v>46224</v>
      </c>
      <c r="E594">
        <v>4.2604387922577598E-2</v>
      </c>
      <c r="F594" s="1">
        <v>46224.771617673614</v>
      </c>
      <c r="G594" t="s">
        <v>593</v>
      </c>
      <c r="H594" s="1">
        <v>46224.771617627317</v>
      </c>
      <c r="I594" t="s">
        <v>593</v>
      </c>
      <c r="J594" t="s">
        <v>4888</v>
      </c>
    </row>
    <row r="595" spans="1:10" x14ac:dyDescent="0.35">
      <c r="A595" t="s">
        <v>1965</v>
      </c>
      <c r="B595" t="s">
        <v>591</v>
      </c>
      <c r="C595" t="s">
        <v>592</v>
      </c>
      <c r="D595" s="1">
        <v>46224</v>
      </c>
      <c r="E595">
        <v>4.2981590213460603E-2</v>
      </c>
      <c r="F595" s="1">
        <v>46224.77160763889</v>
      </c>
      <c r="G595" t="s">
        <v>593</v>
      </c>
      <c r="H595" s="1">
        <v>46224.771607789349</v>
      </c>
      <c r="I595" t="s">
        <v>593</v>
      </c>
      <c r="J595" t="s">
        <v>3063</v>
      </c>
    </row>
    <row r="596" spans="1:10" x14ac:dyDescent="0.35">
      <c r="A596" t="s">
        <v>485</v>
      </c>
      <c r="B596" t="s">
        <v>591</v>
      </c>
      <c r="C596" t="s">
        <v>592</v>
      </c>
      <c r="D596" s="1">
        <v>46224</v>
      </c>
      <c r="E596">
        <v>4.4584822979312301E-2</v>
      </c>
      <c r="F596" s="1">
        <v>46224.771613391204</v>
      </c>
      <c r="G596" t="s">
        <v>593</v>
      </c>
      <c r="H596" s="1">
        <v>46224.771613460645</v>
      </c>
      <c r="I596" t="s">
        <v>593</v>
      </c>
      <c r="J596" t="s">
        <v>4889</v>
      </c>
    </row>
    <row r="597" spans="1:10" x14ac:dyDescent="0.35">
      <c r="A597" t="s">
        <v>545</v>
      </c>
      <c r="B597" t="s">
        <v>591</v>
      </c>
      <c r="C597" t="s">
        <v>592</v>
      </c>
      <c r="D597" s="1">
        <v>46224</v>
      </c>
      <c r="E597">
        <v>4.4914836179163503E-2</v>
      </c>
      <c r="F597" s="1">
        <v>46224.771622916669</v>
      </c>
      <c r="G597" t="s">
        <v>593</v>
      </c>
      <c r="H597" s="1">
        <v>46224.771622916669</v>
      </c>
      <c r="I597" t="s">
        <v>593</v>
      </c>
      <c r="J597" t="s">
        <v>4890</v>
      </c>
    </row>
    <row r="598" spans="1:10" x14ac:dyDescent="0.35">
      <c r="A598" t="s">
        <v>518</v>
      </c>
      <c r="B598" t="s">
        <v>591</v>
      </c>
      <c r="C598" t="s">
        <v>592</v>
      </c>
      <c r="D598" s="1">
        <v>46224</v>
      </c>
      <c r="E598">
        <v>4.5169871575059098E-2</v>
      </c>
      <c r="F598" s="1">
        <v>46224.771607789349</v>
      </c>
      <c r="G598" t="s">
        <v>593</v>
      </c>
      <c r="H598" s="1">
        <v>46224.771607789349</v>
      </c>
      <c r="I598" t="s">
        <v>593</v>
      </c>
      <c r="J598" t="s">
        <v>4891</v>
      </c>
    </row>
    <row r="599" spans="1:10" x14ac:dyDescent="0.35">
      <c r="A599" t="s">
        <v>531</v>
      </c>
      <c r="B599" t="s">
        <v>591</v>
      </c>
      <c r="C599" t="s">
        <v>592</v>
      </c>
      <c r="D599" s="1">
        <v>46224</v>
      </c>
      <c r="E599">
        <v>4.5494840308633398E-2</v>
      </c>
      <c r="F599" s="1">
        <v>46224.771619942127</v>
      </c>
      <c r="G599" t="s">
        <v>593</v>
      </c>
      <c r="H599" s="1">
        <v>46224.771619988423</v>
      </c>
      <c r="I599" t="s">
        <v>593</v>
      </c>
      <c r="J599" t="s">
        <v>4892</v>
      </c>
    </row>
    <row r="600" spans="1:10" x14ac:dyDescent="0.35">
      <c r="A600" t="s">
        <v>519</v>
      </c>
      <c r="B600" t="s">
        <v>591</v>
      </c>
      <c r="C600" t="s">
        <v>592</v>
      </c>
      <c r="D600" s="1">
        <v>46224</v>
      </c>
      <c r="E600">
        <v>4.57748734165183E-2</v>
      </c>
      <c r="F600" s="1">
        <v>46224.771621377316</v>
      </c>
      <c r="G600" t="s">
        <v>593</v>
      </c>
      <c r="H600" s="1">
        <v>46224.771621412037</v>
      </c>
      <c r="I600" t="s">
        <v>593</v>
      </c>
      <c r="J600" t="s">
        <v>4893</v>
      </c>
    </row>
    <row r="601" spans="1:10" x14ac:dyDescent="0.35">
      <c r="A601" t="s">
        <v>520</v>
      </c>
      <c r="B601" t="s">
        <v>591</v>
      </c>
      <c r="C601" t="s">
        <v>592</v>
      </c>
      <c r="D601" s="1">
        <v>46224</v>
      </c>
      <c r="E601">
        <v>4.6059826140541001E-2</v>
      </c>
      <c r="F601" s="1">
        <v>46224.771620104169</v>
      </c>
      <c r="G601" t="s">
        <v>593</v>
      </c>
      <c r="H601" s="1">
        <v>46224.77162013889</v>
      </c>
      <c r="I601" t="s">
        <v>593</v>
      </c>
      <c r="J601" t="s">
        <v>4894</v>
      </c>
    </row>
    <row r="602" spans="1:10" x14ac:dyDescent="0.35">
      <c r="A602" t="s">
        <v>494</v>
      </c>
      <c r="B602" t="s">
        <v>591</v>
      </c>
      <c r="C602" t="s">
        <v>592</v>
      </c>
      <c r="D602" s="1">
        <v>46224</v>
      </c>
      <c r="E602">
        <v>4.6324806495469398E-2</v>
      </c>
      <c r="F602" s="1">
        <v>46224.771620254629</v>
      </c>
      <c r="G602" t="s">
        <v>593</v>
      </c>
      <c r="H602" s="1">
        <v>46224.77162013889</v>
      </c>
      <c r="I602" t="s">
        <v>593</v>
      </c>
      <c r="J602" t="s">
        <v>4895</v>
      </c>
    </row>
    <row r="603" spans="1:10" x14ac:dyDescent="0.35">
      <c r="A603" t="s">
        <v>526</v>
      </c>
      <c r="B603" t="s">
        <v>591</v>
      </c>
      <c r="C603" t="s">
        <v>592</v>
      </c>
      <c r="D603" s="1">
        <v>46224</v>
      </c>
      <c r="E603">
        <v>4.6624734092488698E-2</v>
      </c>
      <c r="F603" s="1">
        <v>46224.771621527776</v>
      </c>
      <c r="G603" t="s">
        <v>593</v>
      </c>
      <c r="H603" s="1">
        <v>46224.771621412037</v>
      </c>
      <c r="I603" t="s">
        <v>593</v>
      </c>
      <c r="J603" t="s">
        <v>4896</v>
      </c>
    </row>
    <row r="604" spans="1:10" x14ac:dyDescent="0.35">
      <c r="A604" t="s">
        <v>527</v>
      </c>
      <c r="B604" t="s">
        <v>591</v>
      </c>
      <c r="C604" t="s">
        <v>592</v>
      </c>
      <c r="D604" s="1">
        <v>46224</v>
      </c>
      <c r="E604">
        <v>4.6929752768625897E-2</v>
      </c>
      <c r="F604" s="1">
        <v>46224.77161797454</v>
      </c>
      <c r="G604" t="s">
        <v>593</v>
      </c>
      <c r="H604" s="1">
        <v>46224.77161797454</v>
      </c>
      <c r="I604" t="s">
        <v>593</v>
      </c>
      <c r="J604" t="s">
        <v>4897</v>
      </c>
    </row>
    <row r="605" spans="1:10" x14ac:dyDescent="0.35">
      <c r="A605" t="s">
        <v>532</v>
      </c>
      <c r="B605" t="s">
        <v>591</v>
      </c>
      <c r="C605" t="s">
        <v>592</v>
      </c>
      <c r="D605" s="1">
        <v>46224</v>
      </c>
      <c r="E605">
        <v>4.7284728461027797E-2</v>
      </c>
      <c r="F605" s="1">
        <v>46224.771613541663</v>
      </c>
      <c r="G605" t="s">
        <v>593</v>
      </c>
      <c r="H605" s="1">
        <v>46224.771613622688</v>
      </c>
      <c r="I605" t="s">
        <v>593</v>
      </c>
      <c r="J605" t="s">
        <v>4898</v>
      </c>
    </row>
    <row r="606" spans="1:10" x14ac:dyDescent="0.35">
      <c r="A606" t="s">
        <v>486</v>
      </c>
      <c r="B606" t="s">
        <v>591</v>
      </c>
      <c r="C606" t="s">
        <v>592</v>
      </c>
      <c r="D606" s="1">
        <v>46224</v>
      </c>
      <c r="E606">
        <v>4.8099738482205202E-2</v>
      </c>
      <c r="F606" s="1">
        <v>46224.771620405096</v>
      </c>
      <c r="G606" t="s">
        <v>593</v>
      </c>
      <c r="H606" s="1">
        <v>46224.771620335647</v>
      </c>
      <c r="I606" t="s">
        <v>593</v>
      </c>
      <c r="J606" t="s">
        <v>4899</v>
      </c>
    </row>
    <row r="607" spans="1:10" x14ac:dyDescent="0.35">
      <c r="A607" t="s">
        <v>487</v>
      </c>
      <c r="B607" t="s">
        <v>591</v>
      </c>
      <c r="C607" t="s">
        <v>592</v>
      </c>
      <c r="D607" s="1">
        <v>46224</v>
      </c>
      <c r="E607">
        <v>4.4690660028533898E-2</v>
      </c>
      <c r="F607" s="1">
        <v>46224.771618136576</v>
      </c>
      <c r="G607" t="s">
        <v>593</v>
      </c>
      <c r="H607" s="1">
        <v>46224.771618171297</v>
      </c>
      <c r="I607" t="s">
        <v>593</v>
      </c>
      <c r="J607" t="s">
        <v>4900</v>
      </c>
    </row>
    <row r="608" spans="1:10" x14ac:dyDescent="0.35">
      <c r="A608" t="s">
        <v>495</v>
      </c>
      <c r="B608" t="s">
        <v>591</v>
      </c>
      <c r="C608" t="s">
        <v>592</v>
      </c>
      <c r="D608" s="1">
        <v>46224</v>
      </c>
      <c r="E608">
        <v>4.5027903737984203E-2</v>
      </c>
      <c r="F608" s="1">
        <v>46224.771607951392</v>
      </c>
      <c r="G608" t="s">
        <v>593</v>
      </c>
      <c r="H608" s="1">
        <v>46224.771607986113</v>
      </c>
      <c r="I608" t="s">
        <v>593</v>
      </c>
      <c r="J608" t="s">
        <v>4901</v>
      </c>
    </row>
    <row r="609" spans="1:10" x14ac:dyDescent="0.35">
      <c r="A609" t="s">
        <v>521</v>
      </c>
      <c r="B609" t="s">
        <v>591</v>
      </c>
      <c r="C609" t="s">
        <v>592</v>
      </c>
      <c r="D609" s="1">
        <v>46224</v>
      </c>
      <c r="E609">
        <v>4.5297005493887002E-2</v>
      </c>
      <c r="F609" s="1">
        <v>46224.771608067131</v>
      </c>
      <c r="G609" t="s">
        <v>593</v>
      </c>
      <c r="H609" s="1">
        <v>46224.771608182869</v>
      </c>
      <c r="I609" t="s">
        <v>593</v>
      </c>
      <c r="J609" t="s">
        <v>4902</v>
      </c>
    </row>
    <row r="610" spans="1:10" x14ac:dyDescent="0.35">
      <c r="A610" t="s">
        <v>522</v>
      </c>
      <c r="B610" t="s">
        <v>591</v>
      </c>
      <c r="C610" t="s">
        <v>592</v>
      </c>
      <c r="D610" s="1">
        <v>46224</v>
      </c>
      <c r="E610">
        <v>4.56255704047707E-2</v>
      </c>
      <c r="F610" s="1">
        <v>46224.77160821759</v>
      </c>
      <c r="G610" t="s">
        <v>593</v>
      </c>
      <c r="H610" s="1">
        <v>46224.771608333336</v>
      </c>
      <c r="I610" t="s">
        <v>593</v>
      </c>
      <c r="J610" t="s">
        <v>4903</v>
      </c>
    </row>
    <row r="611" spans="1:10" x14ac:dyDescent="0.35">
      <c r="A611" t="s">
        <v>523</v>
      </c>
      <c r="B611" t="s">
        <v>591</v>
      </c>
      <c r="C611" t="s">
        <v>592</v>
      </c>
      <c r="D611" s="1">
        <v>46224</v>
      </c>
      <c r="E611">
        <v>4.5872942228493502E-2</v>
      </c>
      <c r="F611" s="1">
        <v>46224.771620567131</v>
      </c>
      <c r="G611" t="s">
        <v>593</v>
      </c>
      <c r="H611" s="1">
        <v>46224.771620520834</v>
      </c>
      <c r="I611" t="s">
        <v>593</v>
      </c>
      <c r="J611" t="s">
        <v>4904</v>
      </c>
    </row>
    <row r="612" spans="1:10" x14ac:dyDescent="0.35">
      <c r="A612" t="s">
        <v>488</v>
      </c>
      <c r="B612" t="s">
        <v>591</v>
      </c>
      <c r="C612" t="s">
        <v>592</v>
      </c>
      <c r="D612" s="1">
        <v>46224</v>
      </c>
      <c r="E612">
        <v>4.6173077487176202E-2</v>
      </c>
      <c r="F612" s="1">
        <v>46224.771608368057</v>
      </c>
      <c r="G612" t="s">
        <v>593</v>
      </c>
      <c r="H612" s="1">
        <v>46224.771608530093</v>
      </c>
      <c r="I612" t="s">
        <v>593</v>
      </c>
      <c r="J612" t="s">
        <v>4905</v>
      </c>
    </row>
    <row r="613" spans="1:10" x14ac:dyDescent="0.35">
      <c r="A613" t="s">
        <v>533</v>
      </c>
      <c r="B613" t="s">
        <v>591</v>
      </c>
      <c r="C613" t="s">
        <v>592</v>
      </c>
      <c r="D613" s="1">
        <v>46224</v>
      </c>
      <c r="E613">
        <v>4.6468631027192897E-2</v>
      </c>
      <c r="F613" s="1">
        <v>46224.771621678243</v>
      </c>
      <c r="G613" t="s">
        <v>593</v>
      </c>
      <c r="H613" s="1">
        <v>46224.771621608794</v>
      </c>
      <c r="I613" t="s">
        <v>593</v>
      </c>
      <c r="J613" t="s">
        <v>4906</v>
      </c>
    </row>
    <row r="614" spans="1:10" x14ac:dyDescent="0.35">
      <c r="A614" t="s">
        <v>528</v>
      </c>
      <c r="B614" t="s">
        <v>591</v>
      </c>
      <c r="C614" t="s">
        <v>592</v>
      </c>
      <c r="D614" s="1">
        <v>46224</v>
      </c>
      <c r="E614">
        <v>4.6791194088080003E-2</v>
      </c>
      <c r="F614" s="1">
        <v>46224.771620717591</v>
      </c>
      <c r="G614" t="s">
        <v>593</v>
      </c>
      <c r="H614" s="1">
        <v>46224.77162068287</v>
      </c>
      <c r="I614" t="s">
        <v>593</v>
      </c>
      <c r="J614" t="s">
        <v>4907</v>
      </c>
    </row>
    <row r="615" spans="1:10" x14ac:dyDescent="0.35">
      <c r="A615" t="s">
        <v>489</v>
      </c>
      <c r="B615" t="s">
        <v>591</v>
      </c>
      <c r="C615" t="s">
        <v>592</v>
      </c>
      <c r="D615" s="1">
        <v>46224</v>
      </c>
      <c r="E615">
        <v>4.7124191546164998E-2</v>
      </c>
      <c r="F615" s="1">
        <v>46224.771608530093</v>
      </c>
      <c r="G615" t="s">
        <v>593</v>
      </c>
      <c r="H615" s="1">
        <v>46224.771608680552</v>
      </c>
      <c r="I615" t="s">
        <v>593</v>
      </c>
      <c r="J615" t="s">
        <v>4908</v>
      </c>
    </row>
    <row r="616" spans="1:10" x14ac:dyDescent="0.35">
      <c r="A616" t="s">
        <v>490</v>
      </c>
      <c r="B616" t="s">
        <v>591</v>
      </c>
      <c r="C616" t="s">
        <v>592</v>
      </c>
      <c r="D616" s="1">
        <v>46224</v>
      </c>
      <c r="E616">
        <v>4.7402887006555199E-2</v>
      </c>
      <c r="F616" s="1">
        <v>46224.771608680552</v>
      </c>
      <c r="G616" t="s">
        <v>593</v>
      </c>
      <c r="H616" s="1">
        <v>46224.771608680552</v>
      </c>
      <c r="I616" t="s">
        <v>593</v>
      </c>
      <c r="J616" t="s">
        <v>4909</v>
      </c>
    </row>
    <row r="617" spans="1:10" x14ac:dyDescent="0.35">
      <c r="A617" t="s">
        <v>555</v>
      </c>
      <c r="B617" t="s">
        <v>591</v>
      </c>
      <c r="C617" t="s">
        <v>592</v>
      </c>
      <c r="D617" s="1">
        <v>46224</v>
      </c>
      <c r="E617">
        <v>4.79096756701098E-2</v>
      </c>
      <c r="F617" s="1">
        <v>46224.77161369213</v>
      </c>
      <c r="G617" t="s">
        <v>593</v>
      </c>
      <c r="H617" s="1">
        <v>46224.771613807869</v>
      </c>
      <c r="I617" t="s">
        <v>593</v>
      </c>
      <c r="J617" t="s">
        <v>4910</v>
      </c>
    </row>
    <row r="618" spans="1:10" x14ac:dyDescent="0.35">
      <c r="A618" t="s">
        <v>496</v>
      </c>
      <c r="B618" t="s">
        <v>591</v>
      </c>
      <c r="C618" t="s">
        <v>592</v>
      </c>
      <c r="D618" s="1">
        <v>46224</v>
      </c>
      <c r="E618">
        <v>4.8328617725242398E-2</v>
      </c>
      <c r="F618" s="1">
        <v>46224.771618599538</v>
      </c>
      <c r="G618" t="s">
        <v>593</v>
      </c>
      <c r="H618" s="1">
        <v>46224.77161851852</v>
      </c>
      <c r="I618" t="s">
        <v>593</v>
      </c>
      <c r="J618" t="s">
        <v>4911</v>
      </c>
    </row>
    <row r="619" spans="1:10" x14ac:dyDescent="0.35">
      <c r="A619" t="s">
        <v>546</v>
      </c>
      <c r="B619" t="s">
        <v>591</v>
      </c>
      <c r="C619" t="s">
        <v>592</v>
      </c>
      <c r="D619" s="1">
        <v>46224</v>
      </c>
      <c r="E619">
        <v>4.8544714168642901E-2</v>
      </c>
      <c r="F619" s="1">
        <v>46224.771613854165</v>
      </c>
      <c r="G619" t="s">
        <v>593</v>
      </c>
      <c r="H619" s="1">
        <v>46224.771614004632</v>
      </c>
      <c r="I619" t="s">
        <v>593</v>
      </c>
      <c r="J619" t="s">
        <v>4912</v>
      </c>
    </row>
    <row r="620" spans="1:10" x14ac:dyDescent="0.35">
      <c r="A620" t="s">
        <v>497</v>
      </c>
      <c r="B620" t="s">
        <v>591</v>
      </c>
      <c r="C620" t="s">
        <v>592</v>
      </c>
      <c r="D620" s="1">
        <v>46224</v>
      </c>
      <c r="E620">
        <v>4.8949688465557202E-2</v>
      </c>
      <c r="F620" s="1">
        <v>46224.771614004632</v>
      </c>
      <c r="G620" t="s">
        <v>593</v>
      </c>
      <c r="H620" s="1">
        <v>46224.771614201389</v>
      </c>
      <c r="I620" t="s">
        <v>593</v>
      </c>
      <c r="J620" t="s">
        <v>4913</v>
      </c>
    </row>
    <row r="621" spans="1:10" x14ac:dyDescent="0.35">
      <c r="A621" t="s">
        <v>529</v>
      </c>
      <c r="B621" t="s">
        <v>591</v>
      </c>
      <c r="C621" t="s">
        <v>592</v>
      </c>
      <c r="D621" s="1">
        <v>46224</v>
      </c>
      <c r="E621">
        <v>4.88450466008521E-2</v>
      </c>
      <c r="F621" s="1">
        <v>46224.771620868058</v>
      </c>
      <c r="G621" t="s">
        <v>593</v>
      </c>
      <c r="H621" s="1">
        <v>46224.771620868058</v>
      </c>
      <c r="I621" t="s">
        <v>593</v>
      </c>
      <c r="J621" t="s">
        <v>4914</v>
      </c>
    </row>
    <row r="622" spans="1:10" x14ac:dyDescent="0.35">
      <c r="A622" t="s">
        <v>498</v>
      </c>
      <c r="B622" t="s">
        <v>591</v>
      </c>
      <c r="C622" t="s">
        <v>592</v>
      </c>
      <c r="D622" s="1">
        <v>46224</v>
      </c>
      <c r="E622">
        <v>4.9322623649883997E-2</v>
      </c>
      <c r="F622" s="1">
        <v>46224.77162353009</v>
      </c>
      <c r="G622" t="s">
        <v>593</v>
      </c>
      <c r="H622" s="1">
        <v>46224.771623460649</v>
      </c>
      <c r="I622" t="s">
        <v>593</v>
      </c>
      <c r="J622" t="s">
        <v>4915</v>
      </c>
    </row>
    <row r="623" spans="1:10" x14ac:dyDescent="0.35">
      <c r="A623" t="s">
        <v>491</v>
      </c>
      <c r="B623" t="s">
        <v>591</v>
      </c>
      <c r="C623" t="s">
        <v>592</v>
      </c>
      <c r="D623" s="1">
        <v>46224</v>
      </c>
      <c r="E623">
        <v>4.94897032389814E-2</v>
      </c>
      <c r="F623" s="1">
        <v>46224.771618749997</v>
      </c>
      <c r="G623" t="s">
        <v>593</v>
      </c>
      <c r="H623" s="1">
        <v>46224.771618715276</v>
      </c>
      <c r="I623" t="s">
        <v>593</v>
      </c>
      <c r="J623" t="s">
        <v>4916</v>
      </c>
    </row>
    <row r="624" spans="1:10" x14ac:dyDescent="0.35">
      <c r="A624" t="s">
        <v>499</v>
      </c>
      <c r="B624" t="s">
        <v>591</v>
      </c>
      <c r="C624" t="s">
        <v>592</v>
      </c>
      <c r="D624" s="1">
        <v>46224</v>
      </c>
      <c r="E624">
        <v>4.9829329874856103E-2</v>
      </c>
      <c r="F624" s="1">
        <v>46224.771608831019</v>
      </c>
      <c r="G624" t="s">
        <v>593</v>
      </c>
      <c r="H624" s="1">
        <v>46224.771608877316</v>
      </c>
      <c r="I624" t="s">
        <v>593</v>
      </c>
      <c r="J624" t="s">
        <v>4917</v>
      </c>
    </row>
    <row r="625" spans="1:10" x14ac:dyDescent="0.35">
      <c r="A625" t="s">
        <v>534</v>
      </c>
      <c r="B625" t="s">
        <v>591</v>
      </c>
      <c r="C625" t="s">
        <v>592</v>
      </c>
      <c r="D625" s="1">
        <v>46224</v>
      </c>
      <c r="E625">
        <v>4.9754683485433299E-2</v>
      </c>
      <c r="F625" s="1">
        <v>46224.771618287035</v>
      </c>
      <c r="G625" t="s">
        <v>593</v>
      </c>
      <c r="H625" s="1">
        <v>46224.771618321756</v>
      </c>
      <c r="I625" t="s">
        <v>593</v>
      </c>
      <c r="J625" t="s">
        <v>4918</v>
      </c>
    </row>
    <row r="626" spans="1:10" x14ac:dyDescent="0.35">
      <c r="A626" t="s">
        <v>547</v>
      </c>
      <c r="B626" t="s">
        <v>591</v>
      </c>
      <c r="C626" t="s">
        <v>592</v>
      </c>
      <c r="D626" s="1">
        <v>46224</v>
      </c>
      <c r="E626">
        <v>5.00946711905935E-2</v>
      </c>
      <c r="F626" s="1">
        <v>46224.771621030093</v>
      </c>
      <c r="G626" t="s">
        <v>593</v>
      </c>
      <c r="H626" s="1">
        <v>46224.771621064814</v>
      </c>
      <c r="I626" t="s">
        <v>593</v>
      </c>
      <c r="J626" t="s">
        <v>4919</v>
      </c>
    </row>
    <row r="627" spans="1:10" x14ac:dyDescent="0.35">
      <c r="A627" t="s">
        <v>500</v>
      </c>
      <c r="B627" t="s">
        <v>591</v>
      </c>
      <c r="C627" t="s">
        <v>592</v>
      </c>
      <c r="D627" s="1">
        <v>46224</v>
      </c>
      <c r="E627">
        <v>5.0269708202734402E-2</v>
      </c>
      <c r="F627" s="1">
        <v>46224.771618437502</v>
      </c>
      <c r="G627" t="s">
        <v>593</v>
      </c>
      <c r="H627" s="1">
        <v>46224.771618321756</v>
      </c>
      <c r="I627" t="s">
        <v>593</v>
      </c>
      <c r="J627" t="s">
        <v>4920</v>
      </c>
    </row>
    <row r="628" spans="1:10" x14ac:dyDescent="0.35">
      <c r="A628" t="s">
        <v>548</v>
      </c>
      <c r="B628" t="s">
        <v>591</v>
      </c>
      <c r="C628" t="s">
        <v>592</v>
      </c>
      <c r="D628" s="1">
        <v>46224</v>
      </c>
      <c r="E628">
        <v>5.0494716856234301E-2</v>
      </c>
      <c r="F628" s="1">
        <v>46224.771621215281</v>
      </c>
      <c r="G628" t="s">
        <v>593</v>
      </c>
      <c r="H628" s="1">
        <v>46224.771621261571</v>
      </c>
      <c r="I628" t="s">
        <v>593</v>
      </c>
      <c r="J628" t="s">
        <v>4921</v>
      </c>
    </row>
    <row r="629" spans="1:10" x14ac:dyDescent="0.35">
      <c r="A629" t="s">
        <v>501</v>
      </c>
      <c r="B629" t="s">
        <v>591</v>
      </c>
      <c r="C629" t="s">
        <v>592</v>
      </c>
      <c r="D629" s="1">
        <v>46224</v>
      </c>
      <c r="E629">
        <v>5.0769526837359101E-2</v>
      </c>
      <c r="F629" s="1">
        <v>46224.771614155092</v>
      </c>
      <c r="G629" t="s">
        <v>593</v>
      </c>
      <c r="H629" s="1">
        <v>46224.771614201389</v>
      </c>
      <c r="I629" t="s">
        <v>593</v>
      </c>
      <c r="J629" t="s">
        <v>4922</v>
      </c>
    </row>
    <row r="630" spans="1:10" x14ac:dyDescent="0.35">
      <c r="A630" t="s">
        <v>524</v>
      </c>
      <c r="B630" t="s">
        <v>591</v>
      </c>
      <c r="C630" t="s">
        <v>592</v>
      </c>
      <c r="D630" s="1">
        <v>46224</v>
      </c>
      <c r="E630">
        <v>5.0979971202262601E-2</v>
      </c>
      <c r="F630" s="1">
        <v>46224.771608993055</v>
      </c>
      <c r="G630" t="s">
        <v>593</v>
      </c>
      <c r="H630" s="1">
        <v>46224.771609062504</v>
      </c>
      <c r="I630" t="s">
        <v>593</v>
      </c>
      <c r="J630" t="s">
        <v>4923</v>
      </c>
    </row>
    <row r="631" spans="1:10" x14ac:dyDescent="0.35">
      <c r="A631" t="s">
        <v>492</v>
      </c>
      <c r="B631" t="s">
        <v>591</v>
      </c>
      <c r="C631" t="s">
        <v>592</v>
      </c>
      <c r="D631" s="1">
        <v>46224</v>
      </c>
      <c r="E631">
        <v>5.12746739528347E-2</v>
      </c>
      <c r="F631" s="1">
        <v>46224.771618900464</v>
      </c>
      <c r="G631" t="s">
        <v>593</v>
      </c>
      <c r="H631" s="1">
        <v>46224.771618900464</v>
      </c>
      <c r="I631" t="s">
        <v>593</v>
      </c>
      <c r="J631" t="s">
        <v>4924</v>
      </c>
    </row>
    <row r="632" spans="1:10" x14ac:dyDescent="0.35">
      <c r="A632" t="s">
        <v>493</v>
      </c>
      <c r="B632" t="s">
        <v>591</v>
      </c>
      <c r="C632" t="s">
        <v>592</v>
      </c>
      <c r="D632" s="1">
        <v>46224</v>
      </c>
      <c r="E632">
        <v>5.1509650477362001E-2</v>
      </c>
      <c r="F632" s="1">
        <v>46224.771609143521</v>
      </c>
      <c r="G632" t="s">
        <v>593</v>
      </c>
      <c r="H632" s="1">
        <v>46224.771609224539</v>
      </c>
      <c r="I632" t="s">
        <v>593</v>
      </c>
      <c r="J632" t="s">
        <v>4925</v>
      </c>
    </row>
    <row r="633" spans="1:10" x14ac:dyDescent="0.35">
      <c r="A633" t="s">
        <v>513</v>
      </c>
      <c r="B633" t="s">
        <v>591</v>
      </c>
      <c r="C633" t="s">
        <v>592</v>
      </c>
      <c r="D633" s="1">
        <v>46224</v>
      </c>
      <c r="E633">
        <v>5.1719706269254997E-2</v>
      </c>
      <c r="F633" s="1">
        <v>46224.7716190625</v>
      </c>
      <c r="G633" t="s">
        <v>593</v>
      </c>
      <c r="H633" s="1">
        <v>46224.7716190625</v>
      </c>
      <c r="I633" t="s">
        <v>593</v>
      </c>
      <c r="J633" t="s">
        <v>4926</v>
      </c>
    </row>
    <row r="634" spans="1:10" x14ac:dyDescent="0.35">
      <c r="A634" t="s">
        <v>541</v>
      </c>
      <c r="B634" t="s">
        <v>591</v>
      </c>
      <c r="C634" t="s">
        <v>592</v>
      </c>
      <c r="D634" s="1">
        <v>46224</v>
      </c>
      <c r="E634">
        <v>5.38995448411752E-2</v>
      </c>
      <c r="F634" s="1">
        <v>46224.771621840278</v>
      </c>
      <c r="G634" t="s">
        <v>593</v>
      </c>
      <c r="H634" s="1">
        <v>46224.771621793981</v>
      </c>
      <c r="I634" t="s">
        <v>593</v>
      </c>
      <c r="J634" t="s">
        <v>4927</v>
      </c>
    </row>
    <row r="635" spans="1:10" x14ac:dyDescent="0.35">
      <c r="A635" t="s">
        <v>502</v>
      </c>
      <c r="B635" t="s">
        <v>591</v>
      </c>
      <c r="C635" t="s">
        <v>592</v>
      </c>
      <c r="D635" s="1">
        <v>46224</v>
      </c>
      <c r="E635">
        <v>5.19598614543395E-2</v>
      </c>
      <c r="F635" s="1">
        <v>46224.771609293981</v>
      </c>
      <c r="G635" t="s">
        <v>593</v>
      </c>
      <c r="H635" s="1">
        <v>46224.77160940972</v>
      </c>
      <c r="I635" t="s">
        <v>593</v>
      </c>
      <c r="J635" t="s">
        <v>4928</v>
      </c>
    </row>
    <row r="636" spans="1:10" x14ac:dyDescent="0.35">
      <c r="A636" t="s">
        <v>549</v>
      </c>
      <c r="B636" t="s">
        <v>591</v>
      </c>
      <c r="C636" t="s">
        <v>592</v>
      </c>
      <c r="D636" s="1">
        <v>46224</v>
      </c>
      <c r="E636">
        <v>5.20746159807755E-2</v>
      </c>
      <c r="F636" s="1">
        <v>46224.771623113425</v>
      </c>
      <c r="G636" t="s">
        <v>593</v>
      </c>
      <c r="H636" s="1">
        <v>46224.771623113425</v>
      </c>
      <c r="I636" t="s">
        <v>593</v>
      </c>
      <c r="J636" t="s">
        <v>4929</v>
      </c>
    </row>
    <row r="637" spans="1:10" x14ac:dyDescent="0.35">
      <c r="A637" t="s">
        <v>530</v>
      </c>
      <c r="B637" t="s">
        <v>591</v>
      </c>
      <c r="C637" t="s">
        <v>592</v>
      </c>
      <c r="D637" s="1">
        <v>46224</v>
      </c>
      <c r="E637">
        <v>5.2254676144320097E-2</v>
      </c>
      <c r="F637" s="1">
        <v>46224.771614317127</v>
      </c>
      <c r="G637" t="s">
        <v>593</v>
      </c>
      <c r="H637" s="1">
        <v>46224.771614351848</v>
      </c>
      <c r="I637" t="s">
        <v>593</v>
      </c>
      <c r="J637" t="s">
        <v>4930</v>
      </c>
    </row>
    <row r="638" spans="1:10" x14ac:dyDescent="0.35">
      <c r="A638" t="s">
        <v>550</v>
      </c>
      <c r="B638" t="s">
        <v>591</v>
      </c>
      <c r="C638" t="s">
        <v>592</v>
      </c>
      <c r="D638" s="1">
        <v>46224</v>
      </c>
      <c r="E638">
        <v>5.2449686884293599E-2</v>
      </c>
      <c r="F638" s="1">
        <v>46224.771621990738</v>
      </c>
      <c r="G638" t="s">
        <v>593</v>
      </c>
      <c r="H638" s="1">
        <v>46224.771621956017</v>
      </c>
      <c r="I638" t="s">
        <v>593</v>
      </c>
      <c r="J638" t="s">
        <v>4931</v>
      </c>
    </row>
    <row r="639" spans="1:10" x14ac:dyDescent="0.35">
      <c r="A639" t="s">
        <v>514</v>
      </c>
      <c r="B639" t="s">
        <v>591</v>
      </c>
      <c r="C639" t="s">
        <v>592</v>
      </c>
      <c r="D639" s="1">
        <v>46224</v>
      </c>
      <c r="E639">
        <v>5.2624665962627097E-2</v>
      </c>
      <c r="F639" s="1">
        <v>46224.771622337961</v>
      </c>
      <c r="G639" t="s">
        <v>593</v>
      </c>
      <c r="H639" s="1">
        <v>46224.771622337961</v>
      </c>
      <c r="I639" t="s">
        <v>593</v>
      </c>
      <c r="J639" t="s">
        <v>4932</v>
      </c>
    </row>
    <row r="640" spans="1:10" x14ac:dyDescent="0.35">
      <c r="A640" t="s">
        <v>551</v>
      </c>
      <c r="B640" t="s">
        <v>591</v>
      </c>
      <c r="C640" t="s">
        <v>592</v>
      </c>
      <c r="D640" s="1">
        <v>46224</v>
      </c>
      <c r="E640">
        <v>5.2794591449526099E-2</v>
      </c>
      <c r="F640" s="1">
        <v>46224.771623263892</v>
      </c>
      <c r="G640" t="s">
        <v>593</v>
      </c>
      <c r="H640" s="1">
        <v>46224.771623298613</v>
      </c>
      <c r="I640" t="s">
        <v>593</v>
      </c>
      <c r="J640" t="s">
        <v>4933</v>
      </c>
    </row>
    <row r="641" spans="1:10" x14ac:dyDescent="0.35">
      <c r="A641" t="s">
        <v>542</v>
      </c>
      <c r="B641" t="s">
        <v>591</v>
      </c>
      <c r="C641" t="s">
        <v>592</v>
      </c>
      <c r="D641" s="1">
        <v>46224</v>
      </c>
      <c r="E641">
        <v>5.2929603564096997E-2</v>
      </c>
      <c r="F641" s="1">
        <v>46224.771614467594</v>
      </c>
      <c r="G641" t="s">
        <v>593</v>
      </c>
      <c r="H641" s="1">
        <v>46224.771614548612</v>
      </c>
      <c r="I641" t="s">
        <v>593</v>
      </c>
      <c r="J641" t="s">
        <v>4934</v>
      </c>
    </row>
    <row r="642" spans="1:10" x14ac:dyDescent="0.35">
      <c r="A642" t="s">
        <v>552</v>
      </c>
      <c r="B642" t="s">
        <v>591</v>
      </c>
      <c r="C642" t="s">
        <v>592</v>
      </c>
      <c r="D642" s="1">
        <v>46224</v>
      </c>
      <c r="E642">
        <v>5.30445791681394E-2</v>
      </c>
      <c r="F642" s="1">
        <v>46224.771622488428</v>
      </c>
      <c r="G642" t="s">
        <v>593</v>
      </c>
      <c r="H642" s="1">
        <v>46224.771622534725</v>
      </c>
      <c r="I642" t="s">
        <v>593</v>
      </c>
      <c r="J642" t="s">
        <v>4935</v>
      </c>
    </row>
    <row r="643" spans="1:10" x14ac:dyDescent="0.35">
      <c r="A643" t="s">
        <v>535</v>
      </c>
      <c r="B643" t="s">
        <v>591</v>
      </c>
      <c r="C643" t="s">
        <v>592</v>
      </c>
      <c r="D643" s="1">
        <v>46224</v>
      </c>
      <c r="E643">
        <v>5.3184645594936901E-2</v>
      </c>
      <c r="F643" s="1">
        <v>46224.771609456016</v>
      </c>
      <c r="G643" t="s">
        <v>593</v>
      </c>
      <c r="H643" s="1">
        <v>46224.771609606483</v>
      </c>
      <c r="I643" t="s">
        <v>593</v>
      </c>
      <c r="J643" t="s">
        <v>4936</v>
      </c>
    </row>
    <row r="644" spans="1:10" x14ac:dyDescent="0.35">
      <c r="A644" t="s">
        <v>536</v>
      </c>
      <c r="B644" t="s">
        <v>591</v>
      </c>
      <c r="C644" t="s">
        <v>592</v>
      </c>
      <c r="D644" s="1">
        <v>46224</v>
      </c>
      <c r="E644">
        <v>5.3334640480832397E-2</v>
      </c>
      <c r="F644" s="1">
        <v>46224.771614618054</v>
      </c>
      <c r="G644" t="s">
        <v>593</v>
      </c>
      <c r="H644" s="1">
        <v>46224.7716147338</v>
      </c>
      <c r="I644" t="s">
        <v>593</v>
      </c>
      <c r="J644" t="s">
        <v>4937</v>
      </c>
    </row>
    <row r="645" spans="1:10" x14ac:dyDescent="0.35">
      <c r="A645" t="s">
        <v>537</v>
      </c>
      <c r="B645" t="s">
        <v>591</v>
      </c>
      <c r="C645" t="s">
        <v>592</v>
      </c>
      <c r="D645" s="1">
        <v>46224</v>
      </c>
      <c r="E645">
        <v>5.3469541056898502E-2</v>
      </c>
      <c r="F645" s="1">
        <v>46224.771619212966</v>
      </c>
      <c r="G645" t="s">
        <v>593</v>
      </c>
      <c r="H645" s="1">
        <v>46224.771619247687</v>
      </c>
      <c r="I645" t="s">
        <v>593</v>
      </c>
      <c r="J645" t="s">
        <v>4938</v>
      </c>
    </row>
    <row r="646" spans="1:10" x14ac:dyDescent="0.35">
      <c r="A646" t="s">
        <v>503</v>
      </c>
      <c r="B646" t="s">
        <v>591</v>
      </c>
      <c r="C646" t="s">
        <v>592</v>
      </c>
      <c r="D646" s="1">
        <v>46224</v>
      </c>
      <c r="E646">
        <v>5.35591171684697E-2</v>
      </c>
      <c r="F646" s="1">
        <v>46224.771619328705</v>
      </c>
      <c r="G646" t="s">
        <v>593</v>
      </c>
      <c r="H646" s="1">
        <v>46224.771619247687</v>
      </c>
      <c r="I646" t="s">
        <v>593</v>
      </c>
      <c r="J646" t="s">
        <v>4939</v>
      </c>
    </row>
    <row r="647" spans="1:10" x14ac:dyDescent="0.35">
      <c r="A647" t="s">
        <v>538</v>
      </c>
      <c r="B647" t="s">
        <v>591</v>
      </c>
      <c r="C647" t="s">
        <v>592</v>
      </c>
      <c r="D647" s="1">
        <v>46224</v>
      </c>
      <c r="E647">
        <v>5.3699606712618302E-2</v>
      </c>
      <c r="F647" s="1">
        <v>46224.7716147338</v>
      </c>
      <c r="G647" t="s">
        <v>593</v>
      </c>
      <c r="H647" s="1">
        <v>46224.771614895835</v>
      </c>
      <c r="I647" t="s">
        <v>593</v>
      </c>
      <c r="J647" t="s">
        <v>4940</v>
      </c>
    </row>
    <row r="648" spans="1:10" x14ac:dyDescent="0.35">
      <c r="A648" t="s">
        <v>543</v>
      </c>
      <c r="B648" t="s">
        <v>591</v>
      </c>
      <c r="C648" t="s">
        <v>592</v>
      </c>
      <c r="D648" s="1">
        <v>46224</v>
      </c>
      <c r="E648">
        <v>5.37396013237516E-2</v>
      </c>
      <c r="F648" s="1">
        <v>46224.771622650464</v>
      </c>
      <c r="G648" t="s">
        <v>593</v>
      </c>
      <c r="H648" s="1">
        <v>46224.771622534725</v>
      </c>
      <c r="I648" t="s">
        <v>593</v>
      </c>
      <c r="J648" t="s">
        <v>4941</v>
      </c>
    </row>
    <row r="649" spans="1:10" x14ac:dyDescent="0.35">
      <c r="A649" t="s">
        <v>539</v>
      </c>
      <c r="B649" t="s">
        <v>591</v>
      </c>
      <c r="C649" t="s">
        <v>592</v>
      </c>
      <c r="D649" s="1">
        <v>46224</v>
      </c>
      <c r="E649">
        <v>5.3854494087742399E-2</v>
      </c>
      <c r="F649" s="1">
        <v>46224.771609606483</v>
      </c>
      <c r="G649" t="s">
        <v>593</v>
      </c>
      <c r="H649" s="1">
        <v>46224.771609606483</v>
      </c>
      <c r="I649" t="s">
        <v>593</v>
      </c>
      <c r="J649" t="s">
        <v>4942</v>
      </c>
    </row>
    <row r="650" spans="1:10" x14ac:dyDescent="0.35">
      <c r="A650" t="s">
        <v>540</v>
      </c>
      <c r="B650" t="s">
        <v>591</v>
      </c>
      <c r="C650" t="s">
        <v>592</v>
      </c>
      <c r="D650" s="1">
        <v>46224</v>
      </c>
      <c r="E650">
        <v>5.3919363581978699E-2</v>
      </c>
      <c r="F650" s="1">
        <v>46224.771619479165</v>
      </c>
      <c r="G650" t="s">
        <v>593</v>
      </c>
      <c r="H650" s="1">
        <v>46224.771619444444</v>
      </c>
      <c r="I650" t="s">
        <v>593</v>
      </c>
      <c r="J650" t="s">
        <v>4943</v>
      </c>
    </row>
    <row r="651" spans="1:10" x14ac:dyDescent="0.35">
      <c r="A651" t="s">
        <v>544</v>
      </c>
      <c r="B651" t="s">
        <v>591</v>
      </c>
      <c r="C651" t="s">
        <v>592</v>
      </c>
      <c r="D651" s="1">
        <v>46224</v>
      </c>
      <c r="E651">
        <v>5.4019496083343201E-2</v>
      </c>
      <c r="F651" s="1">
        <v>46224.771614930556</v>
      </c>
      <c r="G651" t="s">
        <v>593</v>
      </c>
      <c r="H651" s="1">
        <v>46224.771615081016</v>
      </c>
      <c r="I651" t="s">
        <v>593</v>
      </c>
      <c r="J651" t="s">
        <v>4944</v>
      </c>
    </row>
    <row r="652" spans="1:10" x14ac:dyDescent="0.35">
      <c r="A652" t="s">
        <v>504</v>
      </c>
      <c r="B652" t="s">
        <v>591</v>
      </c>
      <c r="C652" t="s">
        <v>592</v>
      </c>
      <c r="D652" s="1">
        <v>46224</v>
      </c>
      <c r="E652">
        <v>5.4054420945130799E-2</v>
      </c>
      <c r="F652" s="1">
        <v>46224.771615046295</v>
      </c>
      <c r="G652" t="s">
        <v>593</v>
      </c>
      <c r="H652" s="1">
        <v>46224.771615081016</v>
      </c>
      <c r="I652" t="s">
        <v>593</v>
      </c>
      <c r="J652" t="s">
        <v>4945</v>
      </c>
    </row>
    <row r="653" spans="1:10" x14ac:dyDescent="0.35">
      <c r="A653" t="s">
        <v>505</v>
      </c>
      <c r="B653" t="s">
        <v>591</v>
      </c>
      <c r="C653" t="s">
        <v>592</v>
      </c>
      <c r="D653" s="1">
        <v>46224</v>
      </c>
      <c r="E653">
        <v>5.4099483043279203E-2</v>
      </c>
      <c r="F653" s="1">
        <v>46224.7716196412</v>
      </c>
      <c r="G653" t="s">
        <v>593</v>
      </c>
      <c r="H653" s="1">
        <v>46224.771619594911</v>
      </c>
      <c r="I653" t="s">
        <v>593</v>
      </c>
      <c r="J653" t="s">
        <v>4946</v>
      </c>
    </row>
    <row r="654" spans="1:10" x14ac:dyDescent="0.35">
      <c r="A654" t="s">
        <v>515</v>
      </c>
      <c r="B654" t="s">
        <v>591</v>
      </c>
      <c r="C654" t="s">
        <v>592</v>
      </c>
      <c r="D654" s="1">
        <v>46224</v>
      </c>
      <c r="E654">
        <v>5.4084667414323703E-2</v>
      </c>
      <c r="F654" s="1">
        <v>46224.771622800923</v>
      </c>
      <c r="G654" t="s">
        <v>593</v>
      </c>
      <c r="H654" s="1">
        <v>46224.771622766202</v>
      </c>
      <c r="I654" t="s">
        <v>593</v>
      </c>
      <c r="J654" t="s">
        <v>4947</v>
      </c>
    </row>
    <row r="655" spans="1:10" x14ac:dyDescent="0.35">
      <c r="A655" t="s">
        <v>506</v>
      </c>
      <c r="B655" t="s">
        <v>591</v>
      </c>
      <c r="C655" t="s">
        <v>592</v>
      </c>
      <c r="D655" s="1">
        <v>46224</v>
      </c>
      <c r="E655">
        <v>5.4074493120094699E-2</v>
      </c>
      <c r="F655" s="1">
        <v>46224.771619791667</v>
      </c>
      <c r="G655" t="s">
        <v>593</v>
      </c>
      <c r="H655" s="1">
        <v>46224.771619791667</v>
      </c>
      <c r="I655" t="s">
        <v>593</v>
      </c>
      <c r="J655" t="s">
        <v>4948</v>
      </c>
    </row>
    <row r="656" spans="1:10" x14ac:dyDescent="0.35">
      <c r="A656" t="s">
        <v>507</v>
      </c>
      <c r="B656" t="s">
        <v>591</v>
      </c>
      <c r="C656" t="s">
        <v>592</v>
      </c>
      <c r="D656" s="1">
        <v>46224</v>
      </c>
      <c r="E656">
        <v>5.4084486994083698E-2</v>
      </c>
      <c r="F656" s="1">
        <v>46224.771615196762</v>
      </c>
      <c r="G656" t="s">
        <v>593</v>
      </c>
      <c r="H656" s="1">
        <v>46224.771615277779</v>
      </c>
      <c r="I656" t="s">
        <v>593</v>
      </c>
      <c r="J656" t="s">
        <v>4949</v>
      </c>
    </row>
    <row r="657" spans="1:10" x14ac:dyDescent="0.35">
      <c r="A657" t="s">
        <v>604</v>
      </c>
      <c r="B657" t="s">
        <v>591</v>
      </c>
      <c r="C657" t="s">
        <v>592</v>
      </c>
      <c r="D657" s="1">
        <v>46224</v>
      </c>
      <c r="E657">
        <v>3.7743438813809399E-2</v>
      </c>
      <c r="F657" s="1">
        <v>46224.771753125002</v>
      </c>
      <c r="G657" t="s">
        <v>593</v>
      </c>
      <c r="H657" s="1">
        <v>46224.77175320602</v>
      </c>
      <c r="I657" t="s">
        <v>593</v>
      </c>
      <c r="J657" t="s">
        <v>4950</v>
      </c>
    </row>
    <row r="658" spans="1:10" x14ac:dyDescent="0.35">
      <c r="A658" t="s">
        <v>605</v>
      </c>
      <c r="B658" t="s">
        <v>591</v>
      </c>
      <c r="C658" t="s">
        <v>592</v>
      </c>
      <c r="D658" s="1">
        <v>46224</v>
      </c>
      <c r="E658">
        <v>2.6144989313219399E-2</v>
      </c>
      <c r="F658" s="1">
        <v>46224.771748692132</v>
      </c>
      <c r="G658" t="s">
        <v>593</v>
      </c>
      <c r="H658" s="1">
        <v>46224.771748645835</v>
      </c>
      <c r="I658" t="s">
        <v>593</v>
      </c>
      <c r="J658" t="s">
        <v>4951</v>
      </c>
    </row>
    <row r="659" spans="1:10" x14ac:dyDescent="0.35">
      <c r="A659" t="s">
        <v>606</v>
      </c>
      <c r="B659" t="s">
        <v>591</v>
      </c>
      <c r="C659" t="s">
        <v>592</v>
      </c>
      <c r="D659" s="1">
        <v>46224</v>
      </c>
      <c r="E659">
        <v>2.8061155699028201E-2</v>
      </c>
      <c r="F659" s="1">
        <v>46224.771690706017</v>
      </c>
      <c r="G659" t="s">
        <v>593</v>
      </c>
      <c r="H659" s="1">
        <v>46224.771690624999</v>
      </c>
      <c r="I659" t="s">
        <v>593</v>
      </c>
      <c r="J659" t="s">
        <v>4952</v>
      </c>
    </row>
    <row r="660" spans="1:10" x14ac:dyDescent="0.35">
      <c r="A660" t="s">
        <v>607</v>
      </c>
      <c r="B660" t="s">
        <v>591</v>
      </c>
      <c r="C660" t="s">
        <v>592</v>
      </c>
      <c r="D660" s="1">
        <v>46224</v>
      </c>
      <c r="E660">
        <v>2.94360918671609E-2</v>
      </c>
      <c r="F660" s="1">
        <v>46224.771719062497</v>
      </c>
      <c r="G660" t="s">
        <v>593</v>
      </c>
      <c r="H660" s="1">
        <v>46224.771719062497</v>
      </c>
      <c r="I660" t="s">
        <v>593</v>
      </c>
      <c r="J660" t="s">
        <v>4953</v>
      </c>
    </row>
    <row r="661" spans="1:10" x14ac:dyDescent="0.35">
      <c r="A661" t="s">
        <v>608</v>
      </c>
      <c r="B661" t="s">
        <v>591</v>
      </c>
      <c r="C661" t="s">
        <v>592</v>
      </c>
      <c r="D661" s="1">
        <v>46224</v>
      </c>
      <c r="E661">
        <v>3.9050389610496901E-2</v>
      </c>
      <c r="F661" s="1">
        <v>46224.771763888886</v>
      </c>
      <c r="G661" t="s">
        <v>593</v>
      </c>
      <c r="H661" s="1">
        <v>46224.771763854165</v>
      </c>
      <c r="I661" t="s">
        <v>593</v>
      </c>
      <c r="J661" t="s">
        <v>4954</v>
      </c>
    </row>
    <row r="662" spans="1:10" x14ac:dyDescent="0.35">
      <c r="A662" t="s">
        <v>609</v>
      </c>
      <c r="B662" t="s">
        <v>591</v>
      </c>
      <c r="C662" t="s">
        <v>592</v>
      </c>
      <c r="D662" s="1">
        <v>46224</v>
      </c>
      <c r="E662">
        <v>3.6872484575531099E-2</v>
      </c>
      <c r="F662" s="1">
        <v>46224.77170153935</v>
      </c>
      <c r="G662" t="s">
        <v>593</v>
      </c>
      <c r="H662" s="1">
        <v>46224.771701504629</v>
      </c>
      <c r="I662" t="s">
        <v>593</v>
      </c>
      <c r="J662" t="s">
        <v>4955</v>
      </c>
    </row>
    <row r="663" spans="1:10" x14ac:dyDescent="0.35">
      <c r="A663" t="s">
        <v>610</v>
      </c>
      <c r="B663" t="s">
        <v>591</v>
      </c>
      <c r="C663" t="s">
        <v>592</v>
      </c>
      <c r="D663" s="1">
        <v>46224</v>
      </c>
      <c r="E663">
        <v>3.0085973172096998E-2</v>
      </c>
      <c r="F663" s="1">
        <v>46224.771734756941</v>
      </c>
      <c r="G663" t="s">
        <v>593</v>
      </c>
      <c r="H663" s="1">
        <v>46224.771734803238</v>
      </c>
      <c r="I663" t="s">
        <v>593</v>
      </c>
      <c r="J663" t="s">
        <v>4956</v>
      </c>
    </row>
    <row r="664" spans="1:10" x14ac:dyDescent="0.35">
      <c r="A664" t="s">
        <v>611</v>
      </c>
      <c r="B664" t="s">
        <v>591</v>
      </c>
      <c r="C664" t="s">
        <v>592</v>
      </c>
      <c r="D664" s="1">
        <v>46224</v>
      </c>
      <c r="E664">
        <v>3.4314668055618301E-2</v>
      </c>
      <c r="F664" s="1">
        <v>46224.771765127312</v>
      </c>
      <c r="G664" t="s">
        <v>593</v>
      </c>
      <c r="H664" s="1">
        <v>46224.771765127312</v>
      </c>
      <c r="I664" t="s">
        <v>593</v>
      </c>
      <c r="J664" t="s">
        <v>4957</v>
      </c>
    </row>
    <row r="665" spans="1:10" x14ac:dyDescent="0.35">
      <c r="A665" t="s">
        <v>612</v>
      </c>
      <c r="B665" t="s">
        <v>591</v>
      </c>
      <c r="C665" t="s">
        <v>592</v>
      </c>
      <c r="D665" s="1">
        <v>46224</v>
      </c>
      <c r="E665">
        <v>3.10048259625023E-2</v>
      </c>
      <c r="F665" s="1">
        <v>46224.771738738425</v>
      </c>
      <c r="G665" t="s">
        <v>593</v>
      </c>
      <c r="H665" s="1">
        <v>46224.771738807867</v>
      </c>
      <c r="I665" t="s">
        <v>593</v>
      </c>
      <c r="J665" t="s">
        <v>4958</v>
      </c>
    </row>
    <row r="666" spans="1:10" x14ac:dyDescent="0.35">
      <c r="A666" t="s">
        <v>613</v>
      </c>
      <c r="B666" t="s">
        <v>591</v>
      </c>
      <c r="C666" t="s">
        <v>592</v>
      </c>
      <c r="D666" s="1">
        <v>46224</v>
      </c>
      <c r="E666">
        <v>3.8617484126000502E-2</v>
      </c>
      <c r="F666" s="1">
        <v>46224.771725381943</v>
      </c>
      <c r="G666" t="s">
        <v>593</v>
      </c>
      <c r="H666" s="1">
        <v>46224.771725381943</v>
      </c>
      <c r="I666" t="s">
        <v>593</v>
      </c>
      <c r="J666" t="s">
        <v>4959</v>
      </c>
    </row>
    <row r="667" spans="1:10" x14ac:dyDescent="0.35">
      <c r="A667" t="s">
        <v>614</v>
      </c>
      <c r="B667" t="s">
        <v>591</v>
      </c>
      <c r="C667" t="s">
        <v>592</v>
      </c>
      <c r="D667" s="1">
        <v>46224</v>
      </c>
      <c r="E667">
        <v>3.1763224397849801E-2</v>
      </c>
      <c r="F667" s="1">
        <v>46224.771785879631</v>
      </c>
      <c r="G667" t="s">
        <v>593</v>
      </c>
      <c r="H667" s="1">
        <v>46224.771785960649</v>
      </c>
      <c r="I667" t="s">
        <v>593</v>
      </c>
      <c r="J667" t="s">
        <v>4960</v>
      </c>
    </row>
    <row r="668" spans="1:10" x14ac:dyDescent="0.35">
      <c r="A668" t="s">
        <v>615</v>
      </c>
      <c r="B668" t="s">
        <v>591</v>
      </c>
      <c r="C668" t="s">
        <v>592</v>
      </c>
      <c r="D668" s="1">
        <v>46224</v>
      </c>
      <c r="E668">
        <v>3.9128635527912403E-2</v>
      </c>
      <c r="F668" s="1">
        <v>46224.771716319447</v>
      </c>
      <c r="G668" t="s">
        <v>593</v>
      </c>
      <c r="H668" s="1">
        <v>46224.771716354167</v>
      </c>
      <c r="I668" t="s">
        <v>593</v>
      </c>
      <c r="J668" t="s">
        <v>4961</v>
      </c>
    </row>
    <row r="669" spans="1:10" x14ac:dyDescent="0.35">
      <c r="A669" t="s">
        <v>616</v>
      </c>
      <c r="B669" t="s">
        <v>591</v>
      </c>
      <c r="C669" t="s">
        <v>592</v>
      </c>
      <c r="D669" s="1">
        <v>46224</v>
      </c>
      <c r="E669">
        <v>2.9899402526099399E-2</v>
      </c>
      <c r="F669" s="1">
        <v>46224.771702627317</v>
      </c>
      <c r="G669" t="s">
        <v>593</v>
      </c>
      <c r="H669" s="1">
        <v>46224.77170258102</v>
      </c>
      <c r="I669" t="s">
        <v>593</v>
      </c>
      <c r="J669" t="s">
        <v>4962</v>
      </c>
    </row>
    <row r="670" spans="1:10" x14ac:dyDescent="0.35">
      <c r="A670" t="s">
        <v>617</v>
      </c>
      <c r="B670" t="s">
        <v>591</v>
      </c>
      <c r="C670" t="s">
        <v>592</v>
      </c>
      <c r="D670" s="1">
        <v>46224</v>
      </c>
      <c r="E670">
        <v>3.2501637408372502E-2</v>
      </c>
      <c r="F670" s="1">
        <v>46224.771690972222</v>
      </c>
      <c r="G670" t="s">
        <v>593</v>
      </c>
      <c r="H670" s="1">
        <v>46224.771690972222</v>
      </c>
      <c r="I670" t="s">
        <v>593</v>
      </c>
      <c r="J670" t="s">
        <v>4963</v>
      </c>
    </row>
    <row r="671" spans="1:10" x14ac:dyDescent="0.35">
      <c r="A671" t="s">
        <v>618</v>
      </c>
      <c r="B671" t="s">
        <v>591</v>
      </c>
      <c r="C671" t="s">
        <v>592</v>
      </c>
      <c r="D671" s="1">
        <v>46224</v>
      </c>
      <c r="E671">
        <v>3.5890708802855498E-2</v>
      </c>
      <c r="F671" s="1">
        <v>46224.771758796298</v>
      </c>
      <c r="G671" t="s">
        <v>593</v>
      </c>
      <c r="H671" s="1">
        <v>46224.771758796298</v>
      </c>
      <c r="I671" t="s">
        <v>593</v>
      </c>
      <c r="J671" t="s">
        <v>4964</v>
      </c>
    </row>
    <row r="672" spans="1:10" x14ac:dyDescent="0.35">
      <c r="A672" t="s">
        <v>619</v>
      </c>
      <c r="B672" t="s">
        <v>591</v>
      </c>
      <c r="C672" t="s">
        <v>592</v>
      </c>
      <c r="D672" s="1">
        <v>46224</v>
      </c>
      <c r="E672">
        <v>2.9210678479547399E-2</v>
      </c>
      <c r="F672" s="1">
        <v>46224.771758333336</v>
      </c>
      <c r="G672" t="s">
        <v>593</v>
      </c>
      <c r="H672" s="1">
        <v>46224.771758252318</v>
      </c>
      <c r="I672" t="s">
        <v>593</v>
      </c>
      <c r="J672" t="s">
        <v>4965</v>
      </c>
    </row>
    <row r="673" spans="1:10" x14ac:dyDescent="0.35">
      <c r="A673" t="s">
        <v>638</v>
      </c>
      <c r="B673" t="s">
        <v>591</v>
      </c>
      <c r="C673" t="s">
        <v>592</v>
      </c>
      <c r="D673" s="1">
        <v>46224</v>
      </c>
      <c r="E673">
        <v>2.82860082442477E-2</v>
      </c>
      <c r="F673" s="1">
        <v>46224.77170582176</v>
      </c>
      <c r="G673" t="s">
        <v>593</v>
      </c>
      <c r="H673" s="1">
        <v>46224.77170582176</v>
      </c>
      <c r="I673" t="s">
        <v>593</v>
      </c>
      <c r="J673" t="s">
        <v>4966</v>
      </c>
    </row>
    <row r="674" spans="1:10" x14ac:dyDescent="0.35">
      <c r="A674" t="s">
        <v>639</v>
      </c>
      <c r="B674" t="s">
        <v>591</v>
      </c>
      <c r="C674" t="s">
        <v>592</v>
      </c>
      <c r="D674" s="1">
        <v>46224</v>
      </c>
      <c r="E674">
        <v>3.5643283790194602E-2</v>
      </c>
      <c r="F674" s="1">
        <v>46224.771689317131</v>
      </c>
      <c r="G674" t="s">
        <v>593</v>
      </c>
      <c r="H674" s="1">
        <v>46224.771689155095</v>
      </c>
      <c r="I674" t="s">
        <v>593</v>
      </c>
      <c r="J674" t="s">
        <v>4967</v>
      </c>
    </row>
    <row r="675" spans="1:10" x14ac:dyDescent="0.35">
      <c r="A675" t="s">
        <v>640</v>
      </c>
      <c r="B675" t="s">
        <v>591</v>
      </c>
      <c r="C675" t="s">
        <v>592</v>
      </c>
      <c r="D675" s="1">
        <v>46224</v>
      </c>
      <c r="E675">
        <v>4.0546334537206102E-2</v>
      </c>
      <c r="F675" s="1">
        <v>46224.771765474536</v>
      </c>
      <c r="G675" t="s">
        <v>593</v>
      </c>
      <c r="H675" s="1">
        <v>46224.771765474536</v>
      </c>
      <c r="I675" t="s">
        <v>593</v>
      </c>
      <c r="J675" t="s">
        <v>4968</v>
      </c>
    </row>
    <row r="676" spans="1:10" x14ac:dyDescent="0.35">
      <c r="A676" t="s">
        <v>641</v>
      </c>
      <c r="B676" t="s">
        <v>591</v>
      </c>
      <c r="C676" t="s">
        <v>592</v>
      </c>
      <c r="D676" s="1">
        <v>46224</v>
      </c>
      <c r="E676">
        <v>3.22419128683505E-2</v>
      </c>
      <c r="F676" s="1">
        <v>46224.771745104168</v>
      </c>
      <c r="G676" t="s">
        <v>593</v>
      </c>
      <c r="H676" s="1">
        <v>46224.77174502315</v>
      </c>
      <c r="I676" t="s">
        <v>593</v>
      </c>
      <c r="J676" t="s">
        <v>4969</v>
      </c>
    </row>
    <row r="677" spans="1:10" x14ac:dyDescent="0.35">
      <c r="A677" t="s">
        <v>642</v>
      </c>
      <c r="B677" t="s">
        <v>591</v>
      </c>
      <c r="C677" t="s">
        <v>592</v>
      </c>
      <c r="D677" s="1">
        <v>46224</v>
      </c>
      <c r="E677">
        <v>4.2632963182532298E-2</v>
      </c>
      <c r="F677" s="1">
        <v>46224.771759756943</v>
      </c>
      <c r="G677" t="s">
        <v>593</v>
      </c>
      <c r="H677" s="1">
        <v>46224.771759687501</v>
      </c>
      <c r="I677" t="s">
        <v>593</v>
      </c>
      <c r="J677" t="s">
        <v>4970</v>
      </c>
    </row>
    <row r="678" spans="1:10" x14ac:dyDescent="0.35">
      <c r="A678" t="s">
        <v>643</v>
      </c>
      <c r="B678" t="s">
        <v>591</v>
      </c>
      <c r="C678" t="s">
        <v>592</v>
      </c>
      <c r="D678" s="1">
        <v>46224</v>
      </c>
      <c r="E678">
        <v>3.4797456436194397E-2</v>
      </c>
      <c r="F678" s="1">
        <v>46224.771785104167</v>
      </c>
      <c r="G678" t="s">
        <v>593</v>
      </c>
      <c r="H678" s="1">
        <v>46224.771785104167</v>
      </c>
      <c r="I678" t="s">
        <v>593</v>
      </c>
      <c r="J678" t="s">
        <v>4971</v>
      </c>
    </row>
    <row r="679" spans="1:10" x14ac:dyDescent="0.35">
      <c r="A679" t="s">
        <v>644</v>
      </c>
      <c r="B679" t="s">
        <v>591</v>
      </c>
      <c r="C679" t="s">
        <v>592</v>
      </c>
      <c r="D679" s="1">
        <v>46224</v>
      </c>
      <c r="E679">
        <v>3.1641417665792301E-2</v>
      </c>
      <c r="F679" s="1">
        <v>46224.771709687499</v>
      </c>
      <c r="G679" t="s">
        <v>593</v>
      </c>
      <c r="H679" s="1">
        <v>46224.771709606481</v>
      </c>
      <c r="I679" t="s">
        <v>593</v>
      </c>
      <c r="J679" t="s">
        <v>4972</v>
      </c>
    </row>
    <row r="680" spans="1:10" x14ac:dyDescent="0.35">
      <c r="A680" t="s">
        <v>645</v>
      </c>
      <c r="B680" t="s">
        <v>591</v>
      </c>
      <c r="C680" t="s">
        <v>592</v>
      </c>
      <c r="D680" s="1">
        <v>46224</v>
      </c>
      <c r="E680">
        <v>3.8921283688165699E-2</v>
      </c>
      <c r="F680" s="1">
        <v>46224.771703900464</v>
      </c>
      <c r="G680" t="s">
        <v>593</v>
      </c>
      <c r="H680" s="1">
        <v>46224.771703900464</v>
      </c>
      <c r="I680" t="s">
        <v>593</v>
      </c>
      <c r="J680" t="s">
        <v>4973</v>
      </c>
    </row>
    <row r="681" spans="1:10" x14ac:dyDescent="0.35">
      <c r="A681" t="s">
        <v>646</v>
      </c>
      <c r="B681" t="s">
        <v>591</v>
      </c>
      <c r="C681" t="s">
        <v>592</v>
      </c>
      <c r="D681" s="1">
        <v>46224</v>
      </c>
      <c r="E681">
        <v>4.36273915981297E-2</v>
      </c>
      <c r="F681" s="1">
        <v>46224.771701041667</v>
      </c>
      <c r="G681" t="s">
        <v>593</v>
      </c>
      <c r="H681" s="1">
        <v>46224.771700960649</v>
      </c>
      <c r="I681" t="s">
        <v>593</v>
      </c>
      <c r="J681" t="s">
        <v>4974</v>
      </c>
    </row>
    <row r="682" spans="1:10" x14ac:dyDescent="0.35">
      <c r="A682" t="s">
        <v>647</v>
      </c>
      <c r="B682" t="s">
        <v>591</v>
      </c>
      <c r="C682" t="s">
        <v>592</v>
      </c>
      <c r="D682" s="1">
        <v>46224</v>
      </c>
      <c r="E682">
        <v>4.5145695376956702E-2</v>
      </c>
      <c r="F682" s="1">
        <v>46224.771770219908</v>
      </c>
      <c r="G682" t="s">
        <v>593</v>
      </c>
      <c r="H682" s="1">
        <v>46224.771770173611</v>
      </c>
      <c r="I682" t="s">
        <v>593</v>
      </c>
      <c r="J682" t="s">
        <v>4975</v>
      </c>
    </row>
    <row r="683" spans="1:10" x14ac:dyDescent="0.35">
      <c r="A683" t="s">
        <v>648</v>
      </c>
      <c r="B683" t="s">
        <v>591</v>
      </c>
      <c r="C683" t="s">
        <v>592</v>
      </c>
      <c r="D683" s="1">
        <v>46224</v>
      </c>
      <c r="E683">
        <v>2.6836689621284202E-2</v>
      </c>
      <c r="F683" s="1">
        <v>46224.771728437503</v>
      </c>
      <c r="G683" t="s">
        <v>593</v>
      </c>
      <c r="H683" s="1">
        <v>46224.771728437503</v>
      </c>
      <c r="I683" t="s">
        <v>593</v>
      </c>
      <c r="J683" t="s">
        <v>4976</v>
      </c>
    </row>
    <row r="684" spans="1:10" x14ac:dyDescent="0.35">
      <c r="A684" t="s">
        <v>649</v>
      </c>
      <c r="B684" t="s">
        <v>591</v>
      </c>
      <c r="C684" t="s">
        <v>592</v>
      </c>
      <c r="D684" s="1">
        <v>46224</v>
      </c>
      <c r="E684">
        <v>4.5543941234254703E-2</v>
      </c>
      <c r="F684" s="1">
        <v>46224.771769444444</v>
      </c>
      <c r="G684" t="s">
        <v>593</v>
      </c>
      <c r="H684" s="1">
        <v>46224.771769444444</v>
      </c>
      <c r="I684" t="s">
        <v>593</v>
      </c>
      <c r="J684" t="s">
        <v>4977</v>
      </c>
    </row>
    <row r="685" spans="1:10" x14ac:dyDescent="0.35">
      <c r="A685" t="s">
        <v>650</v>
      </c>
      <c r="B685" t="s">
        <v>591</v>
      </c>
      <c r="C685" t="s">
        <v>592</v>
      </c>
      <c r="D685" s="1">
        <v>46224</v>
      </c>
      <c r="E685">
        <v>3.7914960732838801E-2</v>
      </c>
      <c r="F685" s="1">
        <v>46224.77174679398</v>
      </c>
      <c r="G685" t="s">
        <v>593</v>
      </c>
      <c r="H685" s="1">
        <v>46224.771746840277</v>
      </c>
      <c r="I685" t="s">
        <v>593</v>
      </c>
      <c r="J685" t="s">
        <v>4978</v>
      </c>
    </row>
    <row r="686" spans="1:10" x14ac:dyDescent="0.35">
      <c r="A686" t="s">
        <v>651</v>
      </c>
      <c r="B686" t="s">
        <v>591</v>
      </c>
      <c r="C686" t="s">
        <v>592</v>
      </c>
      <c r="D686" s="1">
        <v>46224</v>
      </c>
      <c r="E686">
        <v>2.8275818775068001E-2</v>
      </c>
      <c r="F686" s="1">
        <v>46224.771745405094</v>
      </c>
      <c r="G686" t="s">
        <v>593</v>
      </c>
      <c r="H686" s="1">
        <v>46224.771745405094</v>
      </c>
      <c r="I686" t="s">
        <v>593</v>
      </c>
      <c r="J686" t="s">
        <v>4979</v>
      </c>
    </row>
    <row r="687" spans="1:10" x14ac:dyDescent="0.35">
      <c r="A687" t="s">
        <v>652</v>
      </c>
      <c r="B687" t="s">
        <v>591</v>
      </c>
      <c r="C687" t="s">
        <v>592</v>
      </c>
      <c r="D687" s="1">
        <v>46224</v>
      </c>
      <c r="E687">
        <v>3.3152210937209402E-2</v>
      </c>
      <c r="F687" s="1">
        <v>46224.771757407405</v>
      </c>
      <c r="G687" t="s">
        <v>593</v>
      </c>
      <c r="H687" s="1">
        <v>46224.771757326387</v>
      </c>
      <c r="I687" t="s">
        <v>593</v>
      </c>
      <c r="J687" t="s">
        <v>4980</v>
      </c>
    </row>
    <row r="688" spans="1:10" x14ac:dyDescent="0.35">
      <c r="A688" t="s">
        <v>653</v>
      </c>
      <c r="B688" t="s">
        <v>591</v>
      </c>
      <c r="C688" t="s">
        <v>592</v>
      </c>
      <c r="D688" s="1">
        <v>46224</v>
      </c>
      <c r="E688">
        <v>2.92441609807681E-2</v>
      </c>
      <c r="F688" s="1">
        <v>46224.771762233795</v>
      </c>
      <c r="G688" t="s">
        <v>593</v>
      </c>
      <c r="H688" s="1">
        <v>46224.771762303244</v>
      </c>
      <c r="I688" t="s">
        <v>593</v>
      </c>
      <c r="J688" t="s">
        <v>4981</v>
      </c>
    </row>
    <row r="689" spans="1:10" x14ac:dyDescent="0.35">
      <c r="A689" t="s">
        <v>654</v>
      </c>
      <c r="B689" t="s">
        <v>591</v>
      </c>
      <c r="C689" t="s">
        <v>592</v>
      </c>
      <c r="D689" s="1">
        <v>46224</v>
      </c>
      <c r="E689">
        <v>4.4516524052258699E-2</v>
      </c>
      <c r="F689" s="1">
        <v>46224.771735185182</v>
      </c>
      <c r="G689" t="s">
        <v>593</v>
      </c>
      <c r="H689" s="1">
        <v>46224.771735335649</v>
      </c>
      <c r="I689" t="s">
        <v>593</v>
      </c>
      <c r="J689" t="s">
        <v>4982</v>
      </c>
    </row>
    <row r="690" spans="1:10" x14ac:dyDescent="0.35">
      <c r="A690" t="s">
        <v>655</v>
      </c>
      <c r="B690" t="s">
        <v>591</v>
      </c>
      <c r="C690" t="s">
        <v>592</v>
      </c>
      <c r="D690" s="1">
        <v>46224</v>
      </c>
      <c r="E690">
        <v>3.0448849129895001E-2</v>
      </c>
      <c r="F690" s="1">
        <v>46224.771721412035</v>
      </c>
      <c r="G690" t="s">
        <v>593</v>
      </c>
      <c r="H690" s="1">
        <v>46224.771721412035</v>
      </c>
      <c r="I690" t="s">
        <v>593</v>
      </c>
      <c r="J690" t="s">
        <v>4983</v>
      </c>
    </row>
    <row r="691" spans="1:10" x14ac:dyDescent="0.35">
      <c r="A691" t="s">
        <v>656</v>
      </c>
      <c r="B691" t="s">
        <v>591</v>
      </c>
      <c r="C691" t="s">
        <v>592</v>
      </c>
      <c r="D691" s="1">
        <v>46224</v>
      </c>
      <c r="E691">
        <v>4.0524525049636197E-2</v>
      </c>
      <c r="F691" s="1">
        <v>46224.77169267361</v>
      </c>
      <c r="G691" t="s">
        <v>593</v>
      </c>
      <c r="H691" s="1">
        <v>46224.77169267361</v>
      </c>
      <c r="I691" t="s">
        <v>593</v>
      </c>
      <c r="J691" t="s">
        <v>4984</v>
      </c>
    </row>
    <row r="692" spans="1:10" x14ac:dyDescent="0.35">
      <c r="A692" t="s">
        <v>657</v>
      </c>
      <c r="B692" t="s">
        <v>591</v>
      </c>
      <c r="C692" t="s">
        <v>592</v>
      </c>
      <c r="D692" s="1">
        <v>46224</v>
      </c>
      <c r="E692">
        <v>2.76537280996433E-2</v>
      </c>
      <c r="F692" s="1">
        <v>46224.771744942133</v>
      </c>
      <c r="G692" t="s">
        <v>593</v>
      </c>
      <c r="H692" s="1">
        <v>46224.77174502315</v>
      </c>
      <c r="I692" t="s">
        <v>593</v>
      </c>
      <c r="J692" t="s">
        <v>4985</v>
      </c>
    </row>
    <row r="693" spans="1:10" x14ac:dyDescent="0.35">
      <c r="A693" t="s">
        <v>658</v>
      </c>
      <c r="B693" t="s">
        <v>591</v>
      </c>
      <c r="C693" t="s">
        <v>592</v>
      </c>
      <c r="D693" s="1">
        <v>46224</v>
      </c>
      <c r="E693">
        <v>3.1969854732653701E-2</v>
      </c>
      <c r="F693" s="1">
        <v>46224.771775266207</v>
      </c>
      <c r="G693" t="s">
        <v>593</v>
      </c>
      <c r="H693" s="1">
        <v>46224.771775266207</v>
      </c>
      <c r="I693" t="s">
        <v>593</v>
      </c>
      <c r="J693" t="s">
        <v>4986</v>
      </c>
    </row>
    <row r="694" spans="1:10" x14ac:dyDescent="0.35">
      <c r="A694" t="s">
        <v>659</v>
      </c>
      <c r="B694" t="s">
        <v>591</v>
      </c>
      <c r="C694" t="s">
        <v>592</v>
      </c>
      <c r="D694" s="1">
        <v>46224</v>
      </c>
      <c r="E694">
        <v>4.22305189045169E-2</v>
      </c>
      <c r="F694" s="1">
        <v>46224.771739201387</v>
      </c>
      <c r="G694" t="s">
        <v>593</v>
      </c>
      <c r="H694" s="1">
        <v>46224.771739201387</v>
      </c>
      <c r="I694" t="s">
        <v>593</v>
      </c>
      <c r="J694" t="s">
        <v>4987</v>
      </c>
    </row>
    <row r="695" spans="1:10" x14ac:dyDescent="0.35">
      <c r="A695" t="s">
        <v>660</v>
      </c>
      <c r="B695" t="s">
        <v>591</v>
      </c>
      <c r="C695" t="s">
        <v>592</v>
      </c>
      <c r="D695" s="1">
        <v>46224</v>
      </c>
      <c r="E695">
        <v>3.2702943525361003E-2</v>
      </c>
      <c r="F695" s="1">
        <v>46224.771715856485</v>
      </c>
      <c r="G695" t="s">
        <v>593</v>
      </c>
      <c r="H695" s="1">
        <v>46224.771715821757</v>
      </c>
      <c r="I695" t="s">
        <v>593</v>
      </c>
      <c r="J695" t="s">
        <v>4988</v>
      </c>
    </row>
    <row r="696" spans="1:10" x14ac:dyDescent="0.35">
      <c r="A696" t="s">
        <v>661</v>
      </c>
      <c r="B696" t="s">
        <v>591</v>
      </c>
      <c r="C696" t="s">
        <v>592</v>
      </c>
      <c r="D696" s="1">
        <v>46224</v>
      </c>
      <c r="E696">
        <v>4.4973309333380902E-2</v>
      </c>
      <c r="F696" s="1">
        <v>46224.771762696757</v>
      </c>
      <c r="G696" t="s">
        <v>593</v>
      </c>
      <c r="H696" s="1">
        <v>46224.771762766206</v>
      </c>
      <c r="I696" t="s">
        <v>593</v>
      </c>
      <c r="J696" t="s">
        <v>4989</v>
      </c>
    </row>
    <row r="697" spans="1:10" x14ac:dyDescent="0.35">
      <c r="A697" t="s">
        <v>662</v>
      </c>
      <c r="B697" t="s">
        <v>591</v>
      </c>
      <c r="C697" t="s">
        <v>592</v>
      </c>
      <c r="D697" s="1">
        <v>46224</v>
      </c>
      <c r="E697">
        <v>3.9292622395081897E-2</v>
      </c>
      <c r="F697" s="1">
        <v>46224.771736724535</v>
      </c>
      <c r="G697" t="s">
        <v>593</v>
      </c>
      <c r="H697" s="1">
        <v>46224.771736770832</v>
      </c>
      <c r="I697" t="s">
        <v>593</v>
      </c>
      <c r="J697" t="s">
        <v>4990</v>
      </c>
    </row>
    <row r="698" spans="1:10" x14ac:dyDescent="0.35">
      <c r="A698" t="s">
        <v>663</v>
      </c>
      <c r="B698" t="s">
        <v>591</v>
      </c>
      <c r="C698" t="s">
        <v>592</v>
      </c>
      <c r="D698" s="1">
        <v>46224</v>
      </c>
      <c r="E698">
        <v>3.3725516046454601E-2</v>
      </c>
      <c r="F698" s="1">
        <v>46224.771776041664</v>
      </c>
      <c r="G698" t="s">
        <v>593</v>
      </c>
      <c r="H698" s="1">
        <v>46224.771776006943</v>
      </c>
      <c r="I698" t="s">
        <v>593</v>
      </c>
      <c r="J698" t="s">
        <v>4991</v>
      </c>
    </row>
    <row r="699" spans="1:10" x14ac:dyDescent="0.35">
      <c r="A699" t="s">
        <v>664</v>
      </c>
      <c r="B699" t="s">
        <v>591</v>
      </c>
      <c r="C699" t="s">
        <v>592</v>
      </c>
      <c r="D699" s="1">
        <v>46224</v>
      </c>
      <c r="E699">
        <v>4.5001515613176397E-2</v>
      </c>
      <c r="F699" s="1">
        <v>46224.771764814817</v>
      </c>
      <c r="G699" t="s">
        <v>593</v>
      </c>
      <c r="H699" s="1">
        <v>46224.7717647338</v>
      </c>
      <c r="I699" t="s">
        <v>593</v>
      </c>
      <c r="J699" t="s">
        <v>4992</v>
      </c>
    </row>
    <row r="700" spans="1:10" x14ac:dyDescent="0.35">
      <c r="A700" t="s">
        <v>665</v>
      </c>
      <c r="B700" t="s">
        <v>591</v>
      </c>
      <c r="C700" t="s">
        <v>592</v>
      </c>
      <c r="D700" s="1">
        <v>46224</v>
      </c>
      <c r="E700">
        <v>4.20277613922636E-2</v>
      </c>
      <c r="F700" s="1">
        <v>46224.771741006945</v>
      </c>
      <c r="G700" t="s">
        <v>593</v>
      </c>
      <c r="H700" s="1">
        <v>46224.771741053242</v>
      </c>
      <c r="I700" t="s">
        <v>593</v>
      </c>
      <c r="J700" t="s">
        <v>4993</v>
      </c>
    </row>
    <row r="701" spans="1:10" x14ac:dyDescent="0.35">
      <c r="A701" t="s">
        <v>666</v>
      </c>
      <c r="B701" t="s">
        <v>591</v>
      </c>
      <c r="C701" t="s">
        <v>592</v>
      </c>
      <c r="D701" s="1">
        <v>46224</v>
      </c>
      <c r="E701">
        <v>3.5258518108009597E-2</v>
      </c>
      <c r="F701" s="1">
        <v>46224.771732604167</v>
      </c>
      <c r="G701" t="s">
        <v>593</v>
      </c>
      <c r="H701" s="1">
        <v>46224.771732604167</v>
      </c>
      <c r="I701" t="s">
        <v>593</v>
      </c>
      <c r="J701" t="s">
        <v>4994</v>
      </c>
    </row>
    <row r="702" spans="1:10" x14ac:dyDescent="0.35">
      <c r="A702" t="s">
        <v>667</v>
      </c>
      <c r="B702" t="s">
        <v>591</v>
      </c>
      <c r="C702" t="s">
        <v>592</v>
      </c>
      <c r="D702" s="1">
        <v>46224</v>
      </c>
      <c r="E702">
        <v>4.5369641487730303E-2</v>
      </c>
      <c r="F702" s="1">
        <v>46224.771699155091</v>
      </c>
      <c r="G702" t="s">
        <v>593</v>
      </c>
      <c r="H702" s="1">
        <v>46224.771699155091</v>
      </c>
      <c r="I702" t="s">
        <v>593</v>
      </c>
      <c r="J702" t="s">
        <v>4995</v>
      </c>
    </row>
    <row r="703" spans="1:10" x14ac:dyDescent="0.35">
      <c r="A703" t="s">
        <v>668</v>
      </c>
      <c r="B703" t="s">
        <v>591</v>
      </c>
      <c r="C703" t="s">
        <v>592</v>
      </c>
      <c r="D703" s="1">
        <v>46224</v>
      </c>
      <c r="E703">
        <v>2.96996176573293E-2</v>
      </c>
      <c r="F703" s="1">
        <v>46224.771781597221</v>
      </c>
      <c r="G703" t="s">
        <v>593</v>
      </c>
      <c r="H703" s="1">
        <v>46224.771781631942</v>
      </c>
      <c r="I703" t="s">
        <v>593</v>
      </c>
      <c r="J703" t="s">
        <v>4996</v>
      </c>
    </row>
    <row r="704" spans="1:10" x14ac:dyDescent="0.35">
      <c r="A704" t="s">
        <v>669</v>
      </c>
      <c r="B704" t="s">
        <v>591</v>
      </c>
      <c r="C704" t="s">
        <v>592</v>
      </c>
      <c r="D704" s="1">
        <v>46224</v>
      </c>
      <c r="E704">
        <v>3.6089637687975899E-2</v>
      </c>
      <c r="F704" s="1">
        <v>46224.771696840275</v>
      </c>
      <c r="G704" t="s">
        <v>593</v>
      </c>
      <c r="H704" s="1">
        <v>46224.771696793985</v>
      </c>
      <c r="I704" t="s">
        <v>593</v>
      </c>
      <c r="J704" t="s">
        <v>4997</v>
      </c>
    </row>
    <row r="705" spans="1:10" x14ac:dyDescent="0.35">
      <c r="A705" t="s">
        <v>670</v>
      </c>
      <c r="B705" t="s">
        <v>591</v>
      </c>
      <c r="C705" t="s">
        <v>592</v>
      </c>
      <c r="D705" s="1">
        <v>46224</v>
      </c>
      <c r="E705">
        <v>3.0968285672644199E-2</v>
      </c>
      <c r="F705" s="1">
        <v>46224.771717361109</v>
      </c>
      <c r="G705" t="s">
        <v>593</v>
      </c>
      <c r="H705" s="1">
        <v>46224.771717442127</v>
      </c>
      <c r="I705" t="s">
        <v>593</v>
      </c>
      <c r="J705" t="s">
        <v>4998</v>
      </c>
    </row>
    <row r="706" spans="1:10" x14ac:dyDescent="0.35">
      <c r="A706" t="s">
        <v>671</v>
      </c>
      <c r="B706" t="s">
        <v>591</v>
      </c>
      <c r="C706" t="s">
        <v>592</v>
      </c>
      <c r="D706" s="1">
        <v>46224</v>
      </c>
      <c r="E706">
        <v>3.71287443524006E-2</v>
      </c>
      <c r="F706" s="1">
        <v>46224.771706284722</v>
      </c>
      <c r="G706" t="s">
        <v>593</v>
      </c>
      <c r="H706" s="1">
        <v>46224.771706215281</v>
      </c>
      <c r="I706" t="s">
        <v>593</v>
      </c>
      <c r="J706" t="s">
        <v>4999</v>
      </c>
    </row>
    <row r="707" spans="1:10" x14ac:dyDescent="0.35">
      <c r="A707" t="s">
        <v>672</v>
      </c>
      <c r="B707" t="s">
        <v>591</v>
      </c>
      <c r="C707" t="s">
        <v>592</v>
      </c>
      <c r="D707" s="1">
        <v>46224</v>
      </c>
      <c r="E707">
        <v>4.5565075274130701E-2</v>
      </c>
      <c r="F707" s="1">
        <v>46224.771782523145</v>
      </c>
      <c r="G707" t="s">
        <v>593</v>
      </c>
      <c r="H707" s="1">
        <v>46224.771782523145</v>
      </c>
      <c r="I707" t="s">
        <v>593</v>
      </c>
      <c r="J707" t="s">
        <v>5000</v>
      </c>
    </row>
    <row r="708" spans="1:10" x14ac:dyDescent="0.35">
      <c r="A708" t="s">
        <v>1756</v>
      </c>
      <c r="B708" t="s">
        <v>591</v>
      </c>
      <c r="C708" t="s">
        <v>592</v>
      </c>
      <c r="D708" s="1">
        <v>46224</v>
      </c>
      <c r="E708">
        <v>3.1949025757829298E-2</v>
      </c>
      <c r="F708" s="1">
        <v>46224.771735648152</v>
      </c>
      <c r="G708" t="s">
        <v>593</v>
      </c>
      <c r="H708" s="1">
        <v>46224.771735682873</v>
      </c>
      <c r="I708" t="s">
        <v>593</v>
      </c>
      <c r="J708" t="s">
        <v>5001</v>
      </c>
    </row>
    <row r="709" spans="1:10" x14ac:dyDescent="0.35">
      <c r="A709" t="s">
        <v>704</v>
      </c>
      <c r="B709" t="s">
        <v>600</v>
      </c>
      <c r="C709" t="s">
        <v>592</v>
      </c>
      <c r="D709" s="1">
        <v>46224</v>
      </c>
      <c r="E709">
        <v>106.33499999999999</v>
      </c>
      <c r="F709" s="1">
        <v>46224.77166770833</v>
      </c>
      <c r="G709" t="s">
        <v>593</v>
      </c>
      <c r="H709" s="1">
        <v>46224.77166770833</v>
      </c>
      <c r="I709" t="s">
        <v>593</v>
      </c>
      <c r="J709" t="s">
        <v>4314</v>
      </c>
    </row>
    <row r="710" spans="1:10" x14ac:dyDescent="0.35">
      <c r="A710" t="s">
        <v>705</v>
      </c>
      <c r="B710" t="s">
        <v>600</v>
      </c>
      <c r="C710" t="s">
        <v>592</v>
      </c>
      <c r="D710" s="1">
        <v>46224</v>
      </c>
      <c r="E710">
        <v>105.77</v>
      </c>
      <c r="F710" s="1">
        <v>46224.771667824076</v>
      </c>
      <c r="G710" t="s">
        <v>593</v>
      </c>
      <c r="H710" s="1">
        <v>46224.77166770833</v>
      </c>
      <c r="I710" t="s">
        <v>593</v>
      </c>
      <c r="J710" t="s">
        <v>4314</v>
      </c>
    </row>
    <row r="711" spans="1:10" x14ac:dyDescent="0.35">
      <c r="A711" t="s">
        <v>706</v>
      </c>
      <c r="B711" t="s">
        <v>591</v>
      </c>
      <c r="C711" t="s">
        <v>592</v>
      </c>
      <c r="D711" s="1">
        <v>46224</v>
      </c>
      <c r="E711">
        <v>4.7278403812783899E-2</v>
      </c>
      <c r="F711" s="1">
        <v>46224.771785266203</v>
      </c>
      <c r="G711" t="s">
        <v>593</v>
      </c>
      <c r="H711" s="1">
        <v>46224.771785300924</v>
      </c>
      <c r="I711" t="s">
        <v>593</v>
      </c>
      <c r="J711" t="s">
        <v>5002</v>
      </c>
    </row>
    <row r="712" spans="1:10" x14ac:dyDescent="0.35">
      <c r="A712" t="s">
        <v>707</v>
      </c>
      <c r="B712" t="s">
        <v>591</v>
      </c>
      <c r="C712" t="s">
        <v>592</v>
      </c>
      <c r="D712" s="1">
        <v>46224</v>
      </c>
      <c r="E712">
        <v>4.7309139481878003E-2</v>
      </c>
      <c r="F712" s="1">
        <v>46224.771706446758</v>
      </c>
      <c r="G712" t="s">
        <v>593</v>
      </c>
      <c r="H712" s="1">
        <v>46224.77170636574</v>
      </c>
      <c r="I712" t="s">
        <v>593</v>
      </c>
      <c r="J712" t="s">
        <v>5003</v>
      </c>
    </row>
    <row r="713" spans="1:10" x14ac:dyDescent="0.35">
      <c r="A713" t="s">
        <v>708</v>
      </c>
      <c r="B713" t="s">
        <v>591</v>
      </c>
      <c r="C713" t="s">
        <v>592</v>
      </c>
      <c r="D713" s="1">
        <v>46224</v>
      </c>
      <c r="E713">
        <v>1.88117411510281E-2</v>
      </c>
      <c r="F713" s="1">
        <v>46224.771779016206</v>
      </c>
      <c r="G713" t="s">
        <v>593</v>
      </c>
      <c r="H713" s="1">
        <v>46224.771779085648</v>
      </c>
      <c r="I713" t="s">
        <v>593</v>
      </c>
      <c r="J713" t="s">
        <v>5004</v>
      </c>
    </row>
    <row r="714" spans="1:10" x14ac:dyDescent="0.35">
      <c r="A714" t="s">
        <v>709</v>
      </c>
      <c r="B714" t="s">
        <v>591</v>
      </c>
      <c r="C714" t="s">
        <v>592</v>
      </c>
      <c r="D714" s="1">
        <v>46224</v>
      </c>
      <c r="E714">
        <v>3.9757384425198002E-2</v>
      </c>
      <c r="F714" s="1">
        <v>46224.771711724534</v>
      </c>
      <c r="G714" t="s">
        <v>593</v>
      </c>
      <c r="H714" s="1">
        <v>46224.771711805559</v>
      </c>
      <c r="I714" t="s">
        <v>593</v>
      </c>
      <c r="J714" t="s">
        <v>5005</v>
      </c>
    </row>
    <row r="715" spans="1:10" x14ac:dyDescent="0.35">
      <c r="A715" t="s">
        <v>710</v>
      </c>
      <c r="B715" t="s">
        <v>591</v>
      </c>
      <c r="C715" t="s">
        <v>592</v>
      </c>
      <c r="D715" s="1">
        <v>46224</v>
      </c>
      <c r="E715">
        <v>3.9066619743347401E-2</v>
      </c>
      <c r="F715" s="1">
        <v>46224.771728900465</v>
      </c>
      <c r="G715" t="s">
        <v>593</v>
      </c>
      <c r="H715" s="1">
        <v>46224.771729016204</v>
      </c>
      <c r="I715" t="s">
        <v>593</v>
      </c>
      <c r="J715" t="s">
        <v>5006</v>
      </c>
    </row>
    <row r="716" spans="1:10" x14ac:dyDescent="0.35">
      <c r="A716" t="s">
        <v>711</v>
      </c>
      <c r="B716" t="s">
        <v>591</v>
      </c>
      <c r="C716" t="s">
        <v>592</v>
      </c>
      <c r="D716" s="1">
        <v>46224</v>
      </c>
      <c r="E716">
        <v>2.54060245601463E-2</v>
      </c>
      <c r="F716" s="1">
        <v>46224.771709988425</v>
      </c>
      <c r="G716" t="s">
        <v>593</v>
      </c>
      <c r="H716" s="1">
        <v>46224.771709988425</v>
      </c>
      <c r="I716" t="s">
        <v>593</v>
      </c>
      <c r="J716" t="s">
        <v>5007</v>
      </c>
    </row>
    <row r="717" spans="1:10" x14ac:dyDescent="0.35">
      <c r="A717" t="s">
        <v>712</v>
      </c>
      <c r="B717" t="s">
        <v>591</v>
      </c>
      <c r="C717" t="s">
        <v>592</v>
      </c>
      <c r="D717" s="1">
        <v>46224</v>
      </c>
      <c r="E717">
        <v>1.8859174705166602E-2</v>
      </c>
      <c r="F717" s="1">
        <v>46224.771778090275</v>
      </c>
      <c r="G717" t="s">
        <v>593</v>
      </c>
      <c r="H717" s="1">
        <v>46224.771778009257</v>
      </c>
      <c r="I717" t="s">
        <v>593</v>
      </c>
      <c r="J717" t="s">
        <v>5008</v>
      </c>
    </row>
    <row r="718" spans="1:10" x14ac:dyDescent="0.35">
      <c r="A718" t="s">
        <v>713</v>
      </c>
      <c r="B718" t="s">
        <v>591</v>
      </c>
      <c r="C718" t="s">
        <v>592</v>
      </c>
      <c r="D718" s="1">
        <v>46224</v>
      </c>
      <c r="E718">
        <v>2.80840089138942E-2</v>
      </c>
      <c r="F718" s="1">
        <v>46224.771723993057</v>
      </c>
      <c r="G718" t="s">
        <v>593</v>
      </c>
      <c r="H718" s="1">
        <v>46224.771723958336</v>
      </c>
      <c r="I718" t="s">
        <v>593</v>
      </c>
      <c r="J718" t="s">
        <v>5009</v>
      </c>
    </row>
    <row r="719" spans="1:10" x14ac:dyDescent="0.35">
      <c r="A719" t="s">
        <v>714</v>
      </c>
      <c r="B719" t="s">
        <v>591</v>
      </c>
      <c r="C719" t="s">
        <v>592</v>
      </c>
      <c r="D719" s="1">
        <v>46224</v>
      </c>
      <c r="E719">
        <v>3.9686066013516499E-2</v>
      </c>
      <c r="F719" s="1">
        <v>46224.771734606482</v>
      </c>
      <c r="G719" t="s">
        <v>593</v>
      </c>
      <c r="H719" s="1">
        <v>46224.771734606482</v>
      </c>
      <c r="I719" t="s">
        <v>593</v>
      </c>
      <c r="J719" t="s">
        <v>5010</v>
      </c>
    </row>
    <row r="720" spans="1:10" x14ac:dyDescent="0.35">
      <c r="A720" t="s">
        <v>715</v>
      </c>
      <c r="B720" t="s">
        <v>591</v>
      </c>
      <c r="C720" t="s">
        <v>592</v>
      </c>
      <c r="D720" s="1">
        <v>46224</v>
      </c>
      <c r="E720">
        <v>2.9167881068174899E-2</v>
      </c>
      <c r="F720" s="1">
        <v>46224.771688541667</v>
      </c>
      <c r="G720" t="s">
        <v>593</v>
      </c>
      <c r="H720" s="1">
        <v>46224.771688425928</v>
      </c>
      <c r="I720" t="s">
        <v>593</v>
      </c>
      <c r="J720" t="s">
        <v>5011</v>
      </c>
    </row>
    <row r="721" spans="1:10" x14ac:dyDescent="0.35">
      <c r="A721" t="s">
        <v>716</v>
      </c>
      <c r="B721" t="s">
        <v>591</v>
      </c>
      <c r="C721" t="s">
        <v>592</v>
      </c>
      <c r="D721" s="1">
        <v>46224</v>
      </c>
      <c r="E721">
        <v>3.0871248242368698E-2</v>
      </c>
      <c r="F721" s="1">
        <v>46224.771706747684</v>
      </c>
      <c r="G721" t="s">
        <v>593</v>
      </c>
      <c r="H721" s="1">
        <v>46224.771706712963</v>
      </c>
      <c r="I721" t="s">
        <v>593</v>
      </c>
      <c r="J721" t="s">
        <v>5012</v>
      </c>
    </row>
    <row r="722" spans="1:10" x14ac:dyDescent="0.35">
      <c r="A722" t="s">
        <v>717</v>
      </c>
      <c r="B722" t="s">
        <v>591</v>
      </c>
      <c r="C722" t="s">
        <v>592</v>
      </c>
      <c r="D722" s="1">
        <v>46224</v>
      </c>
      <c r="E722">
        <v>3.1111384896045299E-2</v>
      </c>
      <c r="F722" s="1">
        <v>46224.771743171295</v>
      </c>
      <c r="G722" t="s">
        <v>593</v>
      </c>
      <c r="H722" s="1">
        <v>46224.771743252313</v>
      </c>
      <c r="I722" t="s">
        <v>593</v>
      </c>
      <c r="J722" t="s">
        <v>5013</v>
      </c>
    </row>
    <row r="723" spans="1:10" x14ac:dyDescent="0.35">
      <c r="A723" t="s">
        <v>718</v>
      </c>
      <c r="B723" t="s">
        <v>591</v>
      </c>
      <c r="C723" t="s">
        <v>592</v>
      </c>
      <c r="D723" s="1">
        <v>46224</v>
      </c>
      <c r="E723">
        <v>2.2958709724013301E-2</v>
      </c>
      <c r="F723" s="1">
        <v>46224.771695451389</v>
      </c>
      <c r="G723" t="s">
        <v>593</v>
      </c>
      <c r="H723" s="1">
        <v>46224.77169533565</v>
      </c>
      <c r="I723" t="s">
        <v>593</v>
      </c>
      <c r="J723" t="s">
        <v>5014</v>
      </c>
    </row>
    <row r="724" spans="1:10" x14ac:dyDescent="0.35">
      <c r="A724" t="s">
        <v>719</v>
      </c>
      <c r="B724" t="s">
        <v>591</v>
      </c>
      <c r="C724" t="s">
        <v>592</v>
      </c>
      <c r="D724" s="1">
        <v>46224</v>
      </c>
      <c r="E724">
        <v>3.1735214265364201E-2</v>
      </c>
      <c r="F724" s="1">
        <v>46224.771731053239</v>
      </c>
      <c r="G724" t="s">
        <v>593</v>
      </c>
      <c r="H724" s="1">
        <v>46224.771731168985</v>
      </c>
      <c r="I724" t="s">
        <v>593</v>
      </c>
      <c r="J724" t="s">
        <v>5015</v>
      </c>
    </row>
    <row r="725" spans="1:10" x14ac:dyDescent="0.35">
      <c r="A725" t="s">
        <v>720</v>
      </c>
      <c r="B725" t="s">
        <v>591</v>
      </c>
      <c r="C725" t="s">
        <v>592</v>
      </c>
      <c r="D725" s="1">
        <v>46224</v>
      </c>
      <c r="E725">
        <v>1.8496433406992901E-2</v>
      </c>
      <c r="F725" s="1">
        <v>46224.771737187497</v>
      </c>
      <c r="G725" t="s">
        <v>593</v>
      </c>
      <c r="H725" s="1">
        <v>46224.771737303243</v>
      </c>
      <c r="I725" t="s">
        <v>593</v>
      </c>
      <c r="J725" t="s">
        <v>5016</v>
      </c>
    </row>
    <row r="726" spans="1:10" x14ac:dyDescent="0.35">
      <c r="A726" t="s">
        <v>721</v>
      </c>
      <c r="B726" t="s">
        <v>591</v>
      </c>
      <c r="C726" t="s">
        <v>592</v>
      </c>
      <c r="D726" s="1">
        <v>46224</v>
      </c>
      <c r="E726">
        <v>3.9786160766748402E-2</v>
      </c>
      <c r="F726" s="1">
        <v>46224.771750810185</v>
      </c>
      <c r="G726" t="s">
        <v>593</v>
      </c>
      <c r="H726" s="1">
        <v>46224.771750891203</v>
      </c>
      <c r="I726" t="s">
        <v>593</v>
      </c>
      <c r="J726" t="s">
        <v>5017</v>
      </c>
    </row>
    <row r="727" spans="1:10" x14ac:dyDescent="0.35">
      <c r="A727" t="s">
        <v>722</v>
      </c>
      <c r="B727" t="s">
        <v>591</v>
      </c>
      <c r="C727" t="s">
        <v>592</v>
      </c>
      <c r="D727" s="1">
        <v>46224</v>
      </c>
      <c r="E727">
        <v>2.4516748495669798E-2</v>
      </c>
      <c r="F727" s="1">
        <v>46224.771733993053</v>
      </c>
      <c r="G727" t="s">
        <v>593</v>
      </c>
      <c r="H727" s="1">
        <v>46224.771734062502</v>
      </c>
      <c r="I727" t="s">
        <v>593</v>
      </c>
      <c r="J727" t="s">
        <v>5018</v>
      </c>
    </row>
    <row r="728" spans="1:10" x14ac:dyDescent="0.35">
      <c r="A728" t="s">
        <v>723</v>
      </c>
      <c r="B728" t="s">
        <v>591</v>
      </c>
      <c r="C728" t="s">
        <v>592</v>
      </c>
      <c r="D728" s="1">
        <v>46224</v>
      </c>
      <c r="E728">
        <v>3.21552987187054E-2</v>
      </c>
      <c r="F728" s="1">
        <v>46224.77174571759</v>
      </c>
      <c r="G728" t="s">
        <v>593</v>
      </c>
      <c r="H728" s="1">
        <v>46224.771745752318</v>
      </c>
      <c r="I728" t="s">
        <v>593</v>
      </c>
      <c r="J728" t="s">
        <v>5019</v>
      </c>
    </row>
    <row r="729" spans="1:10" x14ac:dyDescent="0.35">
      <c r="A729" t="s">
        <v>724</v>
      </c>
      <c r="B729" t="s">
        <v>591</v>
      </c>
      <c r="C729" t="s">
        <v>592</v>
      </c>
      <c r="D729" s="1">
        <v>46224</v>
      </c>
      <c r="E729">
        <v>3.2570035963318401E-2</v>
      </c>
      <c r="F729" s="1">
        <v>46224.771772488428</v>
      </c>
      <c r="G729" t="s">
        <v>593</v>
      </c>
      <c r="H729" s="1">
        <v>46224.771772534725</v>
      </c>
      <c r="I729" t="s">
        <v>593</v>
      </c>
      <c r="J729" t="s">
        <v>5020</v>
      </c>
    </row>
    <row r="730" spans="1:10" x14ac:dyDescent="0.35">
      <c r="A730" t="s">
        <v>725</v>
      </c>
      <c r="B730" t="s">
        <v>591</v>
      </c>
      <c r="C730" t="s">
        <v>592</v>
      </c>
      <c r="D730" s="1">
        <v>46224</v>
      </c>
      <c r="E730">
        <v>2.9998874528839599E-2</v>
      </c>
      <c r="F730" s="1">
        <v>46224.771763159719</v>
      </c>
      <c r="G730" t="s">
        <v>593</v>
      </c>
      <c r="H730" s="1">
        <v>46224.771763113429</v>
      </c>
      <c r="I730" t="s">
        <v>593</v>
      </c>
      <c r="J730" t="s">
        <v>5021</v>
      </c>
    </row>
    <row r="731" spans="1:10" x14ac:dyDescent="0.35">
      <c r="A731" t="s">
        <v>726</v>
      </c>
      <c r="B731" t="s">
        <v>591</v>
      </c>
      <c r="C731" t="s">
        <v>592</v>
      </c>
      <c r="D731" s="1">
        <v>46224</v>
      </c>
      <c r="E731">
        <v>2.63783375940079E-2</v>
      </c>
      <c r="F731" s="1">
        <v>46224.771747106483</v>
      </c>
      <c r="G731" t="s">
        <v>593</v>
      </c>
      <c r="H731" s="1">
        <v>46224.771747025465</v>
      </c>
      <c r="I731" t="s">
        <v>593</v>
      </c>
      <c r="J731" t="s">
        <v>5022</v>
      </c>
    </row>
    <row r="732" spans="1:10" x14ac:dyDescent="0.35">
      <c r="A732" t="s">
        <v>727</v>
      </c>
      <c r="B732" t="s">
        <v>591</v>
      </c>
      <c r="C732" t="s">
        <v>592</v>
      </c>
      <c r="D732" s="1">
        <v>46224</v>
      </c>
      <c r="E732">
        <v>3.2932724473368799E-2</v>
      </c>
      <c r="F732" s="1">
        <v>46224.771770636573</v>
      </c>
      <c r="G732" t="s">
        <v>593</v>
      </c>
      <c r="H732" s="1">
        <v>46224.771770717591</v>
      </c>
      <c r="I732" t="s">
        <v>593</v>
      </c>
      <c r="J732" t="s">
        <v>5023</v>
      </c>
    </row>
    <row r="733" spans="1:10" x14ac:dyDescent="0.35">
      <c r="A733" t="s">
        <v>728</v>
      </c>
      <c r="B733" t="s">
        <v>591</v>
      </c>
      <c r="C733" t="s">
        <v>592</v>
      </c>
      <c r="D733" s="1">
        <v>46224</v>
      </c>
      <c r="E733">
        <v>2.7862620203052999E-2</v>
      </c>
      <c r="F733" s="1">
        <v>46224.771729363427</v>
      </c>
      <c r="G733" t="s">
        <v>593</v>
      </c>
      <c r="H733" s="1">
        <v>46224.771729363427</v>
      </c>
      <c r="I733" t="s">
        <v>593</v>
      </c>
      <c r="J733" t="s">
        <v>5024</v>
      </c>
    </row>
    <row r="734" spans="1:10" x14ac:dyDescent="0.35">
      <c r="A734" t="s">
        <v>729</v>
      </c>
      <c r="B734" t="s">
        <v>591</v>
      </c>
      <c r="C734" t="s">
        <v>592</v>
      </c>
      <c r="D734" s="1">
        <v>46224</v>
      </c>
      <c r="E734">
        <v>2.63017987281529E-2</v>
      </c>
      <c r="F734" s="1">
        <v>46224.771737037037</v>
      </c>
      <c r="G734" t="s">
        <v>593</v>
      </c>
      <c r="H734" s="1">
        <v>46224.771737118055</v>
      </c>
      <c r="I734" t="s">
        <v>593</v>
      </c>
      <c r="J734" t="s">
        <v>5025</v>
      </c>
    </row>
    <row r="735" spans="1:10" x14ac:dyDescent="0.35">
      <c r="A735" t="s">
        <v>730</v>
      </c>
      <c r="B735" t="s">
        <v>591</v>
      </c>
      <c r="C735" t="s">
        <v>592</v>
      </c>
      <c r="D735" s="1">
        <v>46224</v>
      </c>
      <c r="E735">
        <v>3.9767863491031299E-2</v>
      </c>
      <c r="F735" s="1">
        <v>46224.771762534721</v>
      </c>
      <c r="G735" t="s">
        <v>593</v>
      </c>
      <c r="H735" s="1">
        <v>46224.771762581018</v>
      </c>
      <c r="I735" t="s">
        <v>593</v>
      </c>
      <c r="J735" t="s">
        <v>5026</v>
      </c>
    </row>
    <row r="736" spans="1:10" x14ac:dyDescent="0.35">
      <c r="A736" t="s">
        <v>731</v>
      </c>
      <c r="B736" t="s">
        <v>591</v>
      </c>
      <c r="C736" t="s">
        <v>592</v>
      </c>
      <c r="D736" s="1">
        <v>46224</v>
      </c>
      <c r="E736">
        <v>3.3301598058684698E-2</v>
      </c>
      <c r="F736" s="1">
        <v>46224.771785729165</v>
      </c>
      <c r="G736" t="s">
        <v>593</v>
      </c>
      <c r="H736" s="1">
        <v>46224.771785798614</v>
      </c>
      <c r="I736" t="s">
        <v>593</v>
      </c>
      <c r="J736" t="s">
        <v>5027</v>
      </c>
    </row>
    <row r="737" spans="1:10" x14ac:dyDescent="0.35">
      <c r="A737" t="s">
        <v>732</v>
      </c>
      <c r="B737" t="s">
        <v>591</v>
      </c>
      <c r="C737" t="s">
        <v>592</v>
      </c>
      <c r="D737" s="1">
        <v>46224</v>
      </c>
      <c r="E737">
        <v>2.8659101967470402E-2</v>
      </c>
      <c r="F737" s="1">
        <v>46224.771766087964</v>
      </c>
      <c r="G737" t="s">
        <v>593</v>
      </c>
      <c r="H737" s="1">
        <v>46224.771766203703</v>
      </c>
      <c r="I737" t="s">
        <v>593</v>
      </c>
      <c r="J737" t="s">
        <v>5028</v>
      </c>
    </row>
    <row r="738" spans="1:10" x14ac:dyDescent="0.35">
      <c r="A738" t="s">
        <v>733</v>
      </c>
      <c r="B738" t="s">
        <v>591</v>
      </c>
      <c r="C738" t="s">
        <v>592</v>
      </c>
      <c r="D738" s="1">
        <v>46224</v>
      </c>
      <c r="E738">
        <v>3.3684900468417198E-2</v>
      </c>
      <c r="F738" s="1">
        <v>46224.771742245372</v>
      </c>
      <c r="G738" t="s">
        <v>593</v>
      </c>
      <c r="H738" s="1">
        <v>46224.771742326389</v>
      </c>
      <c r="I738" t="s">
        <v>593</v>
      </c>
      <c r="J738" t="s">
        <v>5029</v>
      </c>
    </row>
    <row r="739" spans="1:10" x14ac:dyDescent="0.35">
      <c r="A739" t="s">
        <v>734</v>
      </c>
      <c r="B739" t="s">
        <v>591</v>
      </c>
      <c r="C739" t="s">
        <v>592</v>
      </c>
      <c r="D739" s="1">
        <v>46224</v>
      </c>
      <c r="E739">
        <v>2.93499843897242E-2</v>
      </c>
      <c r="F739" s="1">
        <v>46224.771753009256</v>
      </c>
      <c r="G739" t="s">
        <v>593</v>
      </c>
      <c r="H739" s="1">
        <v>46224.771753009256</v>
      </c>
      <c r="I739" t="s">
        <v>593</v>
      </c>
      <c r="J739" t="s">
        <v>5030</v>
      </c>
    </row>
    <row r="740" spans="1:10" x14ac:dyDescent="0.35">
      <c r="A740" t="s">
        <v>735</v>
      </c>
      <c r="B740" t="s">
        <v>591</v>
      </c>
      <c r="C740" t="s">
        <v>592</v>
      </c>
      <c r="D740" s="1">
        <v>46224</v>
      </c>
      <c r="E740">
        <v>3.4063908617101901E-2</v>
      </c>
      <c r="F740" s="1">
        <v>46224.77175177083</v>
      </c>
      <c r="G740" t="s">
        <v>593</v>
      </c>
      <c r="H740" s="1">
        <v>46224.771751736109</v>
      </c>
      <c r="I740" t="s">
        <v>593</v>
      </c>
      <c r="J740" t="s">
        <v>5031</v>
      </c>
    </row>
    <row r="741" spans="1:10" x14ac:dyDescent="0.35">
      <c r="A741" t="s">
        <v>736</v>
      </c>
      <c r="B741" t="s">
        <v>591</v>
      </c>
      <c r="C741" t="s">
        <v>592</v>
      </c>
      <c r="D741" s="1">
        <v>46224</v>
      </c>
      <c r="E741">
        <v>3.3775931795903602E-2</v>
      </c>
      <c r="F741" s="1">
        <v>46224.771712581016</v>
      </c>
      <c r="G741" t="s">
        <v>593</v>
      </c>
      <c r="H741" s="1">
        <v>46224.771712534719</v>
      </c>
      <c r="I741" t="s">
        <v>593</v>
      </c>
      <c r="J741" t="s">
        <v>5032</v>
      </c>
    </row>
    <row r="742" spans="1:10" x14ac:dyDescent="0.35">
      <c r="A742" t="s">
        <v>737</v>
      </c>
      <c r="B742" t="s">
        <v>591</v>
      </c>
      <c r="C742" t="s">
        <v>592</v>
      </c>
      <c r="D742" s="1">
        <v>46224</v>
      </c>
      <c r="E742">
        <v>2.9998392309270001E-2</v>
      </c>
      <c r="F742" s="1">
        <v>46224.771762384262</v>
      </c>
      <c r="G742" t="s">
        <v>593</v>
      </c>
      <c r="H742" s="1">
        <v>46224.771762303244</v>
      </c>
      <c r="I742" t="s">
        <v>593</v>
      </c>
      <c r="J742" t="s">
        <v>5033</v>
      </c>
    </row>
    <row r="743" spans="1:10" x14ac:dyDescent="0.35">
      <c r="A743" t="s">
        <v>738</v>
      </c>
      <c r="B743" t="s">
        <v>591</v>
      </c>
      <c r="C743" t="s">
        <v>592</v>
      </c>
      <c r="D743" s="1">
        <v>46224</v>
      </c>
      <c r="E743">
        <v>2.2016323051086199E-2</v>
      </c>
      <c r="F743" s="1">
        <v>46224.771727511572</v>
      </c>
      <c r="G743" t="s">
        <v>593</v>
      </c>
      <c r="H743" s="1">
        <v>46224.771727627318</v>
      </c>
      <c r="I743" t="s">
        <v>593</v>
      </c>
      <c r="J743" t="s">
        <v>5034</v>
      </c>
    </row>
    <row r="744" spans="1:10" x14ac:dyDescent="0.35">
      <c r="A744" t="s">
        <v>739</v>
      </c>
      <c r="B744" t="s">
        <v>591</v>
      </c>
      <c r="C744" t="s">
        <v>592</v>
      </c>
      <c r="D744" s="1">
        <v>46224</v>
      </c>
      <c r="E744">
        <v>3.4387927368435003E-2</v>
      </c>
      <c r="F744" s="1">
        <v>46224.771707060187</v>
      </c>
      <c r="G744" t="s">
        <v>593</v>
      </c>
      <c r="H744" s="1">
        <v>46224.77170690972</v>
      </c>
      <c r="I744" t="s">
        <v>593</v>
      </c>
      <c r="J744" t="s">
        <v>5035</v>
      </c>
    </row>
    <row r="745" spans="1:10" x14ac:dyDescent="0.35">
      <c r="A745" t="s">
        <v>740</v>
      </c>
      <c r="B745" t="s">
        <v>591</v>
      </c>
      <c r="C745" t="s">
        <v>592</v>
      </c>
      <c r="D745" s="1">
        <v>46224</v>
      </c>
      <c r="E745">
        <v>2.3613498709703199E-2</v>
      </c>
      <c r="F745" s="1">
        <v>46224.771738425923</v>
      </c>
      <c r="G745" t="s">
        <v>593</v>
      </c>
      <c r="H745" s="1">
        <v>46224.771738460651</v>
      </c>
      <c r="I745" t="s">
        <v>593</v>
      </c>
      <c r="J745" t="s">
        <v>5036</v>
      </c>
    </row>
    <row r="746" spans="1:10" x14ac:dyDescent="0.35">
      <c r="A746" t="s">
        <v>741</v>
      </c>
      <c r="B746" t="s">
        <v>591</v>
      </c>
      <c r="C746" t="s">
        <v>592</v>
      </c>
      <c r="D746" s="1">
        <v>46224</v>
      </c>
      <c r="E746">
        <v>3.0678220261428499E-2</v>
      </c>
      <c r="F746" s="1">
        <v>46224.771781134259</v>
      </c>
      <c r="G746" t="s">
        <v>593</v>
      </c>
      <c r="H746" s="1">
        <v>46224.771781249998</v>
      </c>
      <c r="I746" t="s">
        <v>593</v>
      </c>
      <c r="J746" t="s">
        <v>5037</v>
      </c>
    </row>
    <row r="747" spans="1:10" x14ac:dyDescent="0.35">
      <c r="A747" t="s">
        <v>742</v>
      </c>
      <c r="B747" t="s">
        <v>591</v>
      </c>
      <c r="C747" t="s">
        <v>592</v>
      </c>
      <c r="D747" s="1">
        <v>46224</v>
      </c>
      <c r="E747">
        <v>2.41290786513506E-2</v>
      </c>
      <c r="F747" s="1">
        <v>46224.771746180559</v>
      </c>
      <c r="G747" t="s">
        <v>593</v>
      </c>
      <c r="H747" s="1">
        <v>46224.771746145831</v>
      </c>
      <c r="I747" t="s">
        <v>593</v>
      </c>
      <c r="J747" t="s">
        <v>5038</v>
      </c>
    </row>
    <row r="748" spans="1:10" x14ac:dyDescent="0.35">
      <c r="A748" t="s">
        <v>743</v>
      </c>
      <c r="B748" t="s">
        <v>591</v>
      </c>
      <c r="C748" t="s">
        <v>592</v>
      </c>
      <c r="D748" s="1">
        <v>46224</v>
      </c>
      <c r="E748">
        <v>3.4771150471446403E-2</v>
      </c>
      <c r="F748" s="1">
        <v>46224.771773726854</v>
      </c>
      <c r="G748" t="s">
        <v>593</v>
      </c>
      <c r="H748" s="1">
        <v>46224.771773692133</v>
      </c>
      <c r="I748" t="s">
        <v>593</v>
      </c>
      <c r="J748" t="s">
        <v>5039</v>
      </c>
    </row>
    <row r="749" spans="1:10" x14ac:dyDescent="0.35">
      <c r="A749" t="s">
        <v>744</v>
      </c>
      <c r="B749" t="s">
        <v>591</v>
      </c>
      <c r="C749" t="s">
        <v>592</v>
      </c>
      <c r="D749" s="1">
        <v>46224</v>
      </c>
      <c r="E749">
        <v>3.97309089654257E-2</v>
      </c>
      <c r="F749" s="1">
        <v>46224.771747916668</v>
      </c>
      <c r="G749" t="s">
        <v>593</v>
      </c>
      <c r="H749" s="1">
        <v>46224.771747951389</v>
      </c>
      <c r="I749" t="s">
        <v>593</v>
      </c>
      <c r="J749" t="s">
        <v>5040</v>
      </c>
    </row>
    <row r="750" spans="1:10" x14ac:dyDescent="0.35">
      <c r="A750" t="s">
        <v>745</v>
      </c>
      <c r="B750" t="s">
        <v>591</v>
      </c>
      <c r="C750" t="s">
        <v>592</v>
      </c>
      <c r="D750" s="1">
        <v>46224</v>
      </c>
      <c r="E750">
        <v>2.5105973464211898E-2</v>
      </c>
      <c r="F750" s="1">
        <v>46224.77170853009</v>
      </c>
      <c r="G750" t="s">
        <v>593</v>
      </c>
      <c r="H750" s="1">
        <v>46224.771708368055</v>
      </c>
      <c r="I750" t="s">
        <v>593</v>
      </c>
      <c r="J750" t="s">
        <v>5041</v>
      </c>
    </row>
    <row r="751" spans="1:10" x14ac:dyDescent="0.35">
      <c r="A751" t="s">
        <v>746</v>
      </c>
      <c r="B751" t="s">
        <v>591</v>
      </c>
      <c r="C751" t="s">
        <v>592</v>
      </c>
      <c r="D751" s="1">
        <v>46224</v>
      </c>
      <c r="E751">
        <v>3.2188607380572602E-2</v>
      </c>
      <c r="F751" s="1">
        <v>46224.771739814816</v>
      </c>
      <c r="G751" t="s">
        <v>593</v>
      </c>
      <c r="H751" s="1">
        <v>46224.771739780095</v>
      </c>
      <c r="I751" t="s">
        <v>593</v>
      </c>
      <c r="J751" t="s">
        <v>5042</v>
      </c>
    </row>
    <row r="752" spans="1:10" x14ac:dyDescent="0.35">
      <c r="A752" t="s">
        <v>747</v>
      </c>
      <c r="B752" t="s">
        <v>591</v>
      </c>
      <c r="C752" t="s">
        <v>592</v>
      </c>
      <c r="D752" s="1">
        <v>46224</v>
      </c>
      <c r="E752">
        <v>3.11626141425244E-2</v>
      </c>
      <c r="F752" s="1">
        <v>46224.771723379628</v>
      </c>
      <c r="G752" t="s">
        <v>593</v>
      </c>
      <c r="H752" s="1">
        <v>46224.771723414349</v>
      </c>
      <c r="I752" t="s">
        <v>593</v>
      </c>
      <c r="J752" t="s">
        <v>5043</v>
      </c>
    </row>
    <row r="753" spans="1:10" x14ac:dyDescent="0.35">
      <c r="A753" t="s">
        <v>748</v>
      </c>
      <c r="B753" t="s">
        <v>591</v>
      </c>
      <c r="C753" t="s">
        <v>592</v>
      </c>
      <c r="D753" s="1">
        <v>46224</v>
      </c>
      <c r="E753">
        <v>2.61720317323785E-2</v>
      </c>
      <c r="F753" s="1">
        <v>46224.77171508102</v>
      </c>
      <c r="G753" t="s">
        <v>593</v>
      </c>
      <c r="H753" s="1">
        <v>46224.77171508102</v>
      </c>
      <c r="I753" t="s">
        <v>593</v>
      </c>
      <c r="J753" t="s">
        <v>5044</v>
      </c>
    </row>
    <row r="754" spans="1:10" x14ac:dyDescent="0.35">
      <c r="A754" t="s">
        <v>749</v>
      </c>
      <c r="B754" t="s">
        <v>591</v>
      </c>
      <c r="C754" t="s">
        <v>592</v>
      </c>
      <c r="D754" s="1">
        <v>46224</v>
      </c>
      <c r="E754">
        <v>3.5177992815598899E-2</v>
      </c>
      <c r="F754" s="1">
        <v>46224.771737962961</v>
      </c>
      <c r="G754" t="s">
        <v>593</v>
      </c>
      <c r="H754" s="1">
        <v>46224.771738078707</v>
      </c>
      <c r="I754" t="s">
        <v>593</v>
      </c>
      <c r="J754" t="s">
        <v>5045</v>
      </c>
    </row>
    <row r="755" spans="1:10" x14ac:dyDescent="0.35">
      <c r="A755" t="s">
        <v>750</v>
      </c>
      <c r="B755" t="s">
        <v>591</v>
      </c>
      <c r="C755" t="s">
        <v>592</v>
      </c>
      <c r="D755" s="1">
        <v>46224</v>
      </c>
      <c r="E755">
        <v>2.70080297813458E-2</v>
      </c>
      <c r="F755" s="1">
        <v>46224.771767939812</v>
      </c>
      <c r="G755" t="s">
        <v>593</v>
      </c>
      <c r="H755" s="1">
        <v>46224.77176802083</v>
      </c>
      <c r="I755" t="s">
        <v>593</v>
      </c>
      <c r="J755" t="s">
        <v>5046</v>
      </c>
    </row>
    <row r="756" spans="1:10" x14ac:dyDescent="0.35">
      <c r="A756" t="s">
        <v>751</v>
      </c>
      <c r="B756" t="s">
        <v>591</v>
      </c>
      <c r="C756" t="s">
        <v>592</v>
      </c>
      <c r="D756" s="1">
        <v>46224</v>
      </c>
      <c r="E756">
        <v>3.1549115715867299E-2</v>
      </c>
      <c r="F756" s="1">
        <v>46224.771765972226</v>
      </c>
      <c r="G756" t="s">
        <v>593</v>
      </c>
      <c r="H756" s="1">
        <v>46224.771766006947</v>
      </c>
      <c r="I756" t="s">
        <v>593</v>
      </c>
      <c r="J756" t="s">
        <v>5047</v>
      </c>
    </row>
    <row r="757" spans="1:10" x14ac:dyDescent="0.35">
      <c r="A757" t="s">
        <v>752</v>
      </c>
      <c r="B757" t="s">
        <v>591</v>
      </c>
      <c r="C757" t="s">
        <v>592</v>
      </c>
      <c r="D757" s="1">
        <v>46224</v>
      </c>
      <c r="E757">
        <v>3.9723123633426997E-2</v>
      </c>
      <c r="F757" s="1">
        <v>46224.771695138887</v>
      </c>
      <c r="G757" t="s">
        <v>593</v>
      </c>
      <c r="H757" s="1">
        <v>46224.771695138887</v>
      </c>
      <c r="I757" t="s">
        <v>593</v>
      </c>
      <c r="J757" t="s">
        <v>5048</v>
      </c>
    </row>
    <row r="758" spans="1:10" x14ac:dyDescent="0.35">
      <c r="A758" t="s">
        <v>753</v>
      </c>
      <c r="B758" t="s">
        <v>591</v>
      </c>
      <c r="C758" t="s">
        <v>592</v>
      </c>
      <c r="D758" s="1">
        <v>46224</v>
      </c>
      <c r="E758">
        <v>2.76697510697674E-2</v>
      </c>
      <c r="F758" s="1">
        <v>46224.771767789352</v>
      </c>
      <c r="G758" t="s">
        <v>593</v>
      </c>
      <c r="H758" s="1">
        <v>46224.771767824073</v>
      </c>
      <c r="I758" t="s">
        <v>593</v>
      </c>
      <c r="J758" t="s">
        <v>5049</v>
      </c>
    </row>
    <row r="759" spans="1:10" x14ac:dyDescent="0.35">
      <c r="A759" t="s">
        <v>754</v>
      </c>
      <c r="B759" t="s">
        <v>591</v>
      </c>
      <c r="C759" t="s">
        <v>592</v>
      </c>
      <c r="D759" s="1">
        <v>46224</v>
      </c>
      <c r="E759">
        <v>3.5540585438556302E-2</v>
      </c>
      <c r="F759" s="1">
        <v>46224.771783564815</v>
      </c>
      <c r="G759" t="s">
        <v>593</v>
      </c>
      <c r="H759" s="1">
        <v>46224.771783599535</v>
      </c>
      <c r="I759" t="s">
        <v>593</v>
      </c>
      <c r="J759" t="s">
        <v>5050</v>
      </c>
    </row>
    <row r="760" spans="1:10" x14ac:dyDescent="0.35">
      <c r="A760" t="s">
        <v>755</v>
      </c>
      <c r="B760" t="s">
        <v>591</v>
      </c>
      <c r="C760" t="s">
        <v>592</v>
      </c>
      <c r="D760" s="1">
        <v>46224</v>
      </c>
      <c r="E760">
        <v>3.52569131577904E-2</v>
      </c>
      <c r="F760" s="1">
        <v>46224.771698067132</v>
      </c>
      <c r="G760" t="s">
        <v>593</v>
      </c>
      <c r="H760" s="1">
        <v>46224.771698032404</v>
      </c>
      <c r="I760" t="s">
        <v>593</v>
      </c>
      <c r="J760" t="s">
        <v>5051</v>
      </c>
    </row>
    <row r="761" spans="1:10" x14ac:dyDescent="0.35">
      <c r="A761" t="s">
        <v>756</v>
      </c>
      <c r="B761" t="s">
        <v>591</v>
      </c>
      <c r="C761" t="s">
        <v>592</v>
      </c>
      <c r="D761" s="1">
        <v>46224</v>
      </c>
      <c r="E761">
        <v>2.8176325294202099E-2</v>
      </c>
      <c r="F761" s="1">
        <v>46224.771733680558</v>
      </c>
      <c r="G761" t="s">
        <v>593</v>
      </c>
      <c r="H761" s="1">
        <v>46224.771733680558</v>
      </c>
      <c r="I761" t="s">
        <v>593</v>
      </c>
      <c r="J761" t="s">
        <v>5052</v>
      </c>
    </row>
    <row r="762" spans="1:10" x14ac:dyDescent="0.35">
      <c r="A762" t="s">
        <v>757</v>
      </c>
      <c r="B762" t="s">
        <v>591</v>
      </c>
      <c r="C762" t="s">
        <v>592</v>
      </c>
      <c r="D762" s="1">
        <v>46224</v>
      </c>
      <c r="E762">
        <v>3.19320951329908E-2</v>
      </c>
      <c r="F762" s="1">
        <v>46224.771741631943</v>
      </c>
      <c r="G762" t="s">
        <v>593</v>
      </c>
      <c r="H762" s="1">
        <v>46224.771741585646</v>
      </c>
      <c r="I762" t="s">
        <v>593</v>
      </c>
      <c r="J762" t="s">
        <v>5053</v>
      </c>
    </row>
    <row r="763" spans="1:10" x14ac:dyDescent="0.35">
      <c r="A763" t="s">
        <v>1757</v>
      </c>
      <c r="B763" t="s">
        <v>591</v>
      </c>
      <c r="C763" t="s">
        <v>592</v>
      </c>
      <c r="D763" s="1">
        <v>46224</v>
      </c>
      <c r="E763">
        <v>2.8650427164136801E-2</v>
      </c>
      <c r="F763" s="1">
        <v>46224.771741932869</v>
      </c>
      <c r="G763" t="s">
        <v>593</v>
      </c>
      <c r="H763" s="1">
        <v>46224.771741979166</v>
      </c>
      <c r="I763" t="s">
        <v>593</v>
      </c>
      <c r="J763" t="s">
        <v>5054</v>
      </c>
    </row>
    <row r="764" spans="1:10" x14ac:dyDescent="0.35">
      <c r="A764" t="s">
        <v>759</v>
      </c>
      <c r="B764" t="s">
        <v>591</v>
      </c>
      <c r="C764" t="s">
        <v>592</v>
      </c>
      <c r="D764" s="1">
        <v>46224</v>
      </c>
      <c r="E764">
        <v>2.54189795082044E-2</v>
      </c>
      <c r="F764" s="1">
        <v>46224.771760381947</v>
      </c>
      <c r="G764" t="s">
        <v>593</v>
      </c>
      <c r="H764" s="1">
        <v>46224.771760416668</v>
      </c>
      <c r="I764" t="s">
        <v>593</v>
      </c>
      <c r="J764" t="s">
        <v>5055</v>
      </c>
    </row>
    <row r="765" spans="1:10" x14ac:dyDescent="0.35">
      <c r="A765" t="s">
        <v>760</v>
      </c>
      <c r="B765" t="s">
        <v>591</v>
      </c>
      <c r="C765" t="s">
        <v>592</v>
      </c>
      <c r="D765" s="1">
        <v>46224</v>
      </c>
      <c r="E765">
        <v>2.9307684108310798E-2</v>
      </c>
      <c r="F765" s="1">
        <v>46224.771700266203</v>
      </c>
      <c r="G765" t="s">
        <v>593</v>
      </c>
      <c r="H765" s="1">
        <v>46224.771700231482</v>
      </c>
      <c r="I765" t="s">
        <v>593</v>
      </c>
      <c r="J765" t="s">
        <v>5056</v>
      </c>
    </row>
    <row r="766" spans="1:10" x14ac:dyDescent="0.35">
      <c r="A766" t="s">
        <v>761</v>
      </c>
      <c r="B766" t="s">
        <v>591</v>
      </c>
      <c r="C766" t="s">
        <v>592</v>
      </c>
      <c r="D766" s="1">
        <v>46224</v>
      </c>
      <c r="E766">
        <v>1.11193943604589E-2</v>
      </c>
      <c r="F766" s="1">
        <v>46224.771764351855</v>
      </c>
      <c r="G766" t="s">
        <v>593</v>
      </c>
      <c r="H766" s="1">
        <v>46224.771764386576</v>
      </c>
      <c r="I766" t="s">
        <v>593</v>
      </c>
      <c r="J766" t="s">
        <v>5057</v>
      </c>
    </row>
    <row r="767" spans="1:10" x14ac:dyDescent="0.35">
      <c r="A767" t="s">
        <v>762</v>
      </c>
      <c r="B767" t="s">
        <v>591</v>
      </c>
      <c r="C767" t="s">
        <v>592</v>
      </c>
      <c r="D767" s="1">
        <v>46224</v>
      </c>
      <c r="E767">
        <v>3.3278262910630803E-2</v>
      </c>
      <c r="F767" s="1">
        <v>46224.771756365742</v>
      </c>
      <c r="G767" t="s">
        <v>593</v>
      </c>
      <c r="H767" s="1">
        <v>46224.77175644676</v>
      </c>
      <c r="I767" t="s">
        <v>593</v>
      </c>
      <c r="J767" t="s">
        <v>5058</v>
      </c>
    </row>
    <row r="768" spans="1:10" x14ac:dyDescent="0.35">
      <c r="A768" t="s">
        <v>763</v>
      </c>
      <c r="B768" t="s">
        <v>591</v>
      </c>
      <c r="C768" t="s">
        <v>592</v>
      </c>
      <c r="D768" s="1">
        <v>46224</v>
      </c>
      <c r="E768">
        <v>1.39207640597418E-2</v>
      </c>
      <c r="F768" s="1">
        <v>46224.77174178241</v>
      </c>
      <c r="G768" t="s">
        <v>593</v>
      </c>
      <c r="H768" s="1">
        <v>46224.77174178241</v>
      </c>
      <c r="I768" t="s">
        <v>593</v>
      </c>
      <c r="J768" t="s">
        <v>5059</v>
      </c>
    </row>
    <row r="769" spans="1:10" x14ac:dyDescent="0.35">
      <c r="A769" t="s">
        <v>764</v>
      </c>
      <c r="B769" t="s">
        <v>591</v>
      </c>
      <c r="C769" t="s">
        <v>592</v>
      </c>
      <c r="D769" s="1">
        <v>46224</v>
      </c>
      <c r="E769">
        <v>3.6100461854075498E-2</v>
      </c>
      <c r="F769" s="1">
        <v>46224.771774502318</v>
      </c>
      <c r="G769" t="s">
        <v>593</v>
      </c>
      <c r="H769" s="1">
        <v>46224.77177457176</v>
      </c>
      <c r="I769" t="s">
        <v>593</v>
      </c>
      <c r="J769" t="s">
        <v>5060</v>
      </c>
    </row>
    <row r="770" spans="1:10" x14ac:dyDescent="0.35">
      <c r="A770" t="s">
        <v>765</v>
      </c>
      <c r="B770" t="s">
        <v>591</v>
      </c>
      <c r="C770" t="s">
        <v>592</v>
      </c>
      <c r="D770" s="1">
        <v>46224</v>
      </c>
      <c r="E770">
        <v>1.7062315248217899E-2</v>
      </c>
      <c r="F770" s="1">
        <v>46224.771698530094</v>
      </c>
      <c r="G770" t="s">
        <v>593</v>
      </c>
      <c r="H770" s="1">
        <v>46224.771698414355</v>
      </c>
      <c r="I770" t="s">
        <v>593</v>
      </c>
      <c r="J770" t="s">
        <v>5061</v>
      </c>
    </row>
    <row r="771" spans="1:10" x14ac:dyDescent="0.35">
      <c r="A771" t="s">
        <v>766</v>
      </c>
      <c r="B771" t="s">
        <v>591</v>
      </c>
      <c r="C771" t="s">
        <v>592</v>
      </c>
      <c r="D771" s="1">
        <v>46224</v>
      </c>
      <c r="E771">
        <v>3.7496290124690898E-2</v>
      </c>
      <c r="F771" s="1">
        <v>46224.771696678239</v>
      </c>
      <c r="G771" t="s">
        <v>593</v>
      </c>
      <c r="H771" s="1">
        <v>46224.771696608797</v>
      </c>
      <c r="I771" t="s">
        <v>593</v>
      </c>
      <c r="J771" t="s">
        <v>5062</v>
      </c>
    </row>
    <row r="772" spans="1:10" x14ac:dyDescent="0.35">
      <c r="A772" t="s">
        <v>767</v>
      </c>
      <c r="B772" t="s">
        <v>591</v>
      </c>
      <c r="C772" t="s">
        <v>592</v>
      </c>
      <c r="D772" s="1">
        <v>46224</v>
      </c>
      <c r="E772">
        <v>1.8072293876421699E-2</v>
      </c>
      <c r="F772" s="1">
        <v>46224.77173197917</v>
      </c>
      <c r="G772" t="s">
        <v>593</v>
      </c>
      <c r="H772" s="1">
        <v>46224.771732060188</v>
      </c>
      <c r="I772" t="s">
        <v>593</v>
      </c>
      <c r="J772" t="s">
        <v>5063</v>
      </c>
    </row>
    <row r="773" spans="1:10" x14ac:dyDescent="0.35">
      <c r="A773" t="s">
        <v>768</v>
      </c>
      <c r="B773" t="s">
        <v>591</v>
      </c>
      <c r="C773" t="s">
        <v>592</v>
      </c>
      <c r="D773" s="1">
        <v>46224</v>
      </c>
      <c r="E773">
        <v>3.8418722177741699E-2</v>
      </c>
      <c r="F773" s="1">
        <v>46224.771723067126</v>
      </c>
      <c r="G773" t="s">
        <v>593</v>
      </c>
      <c r="H773" s="1">
        <v>46224.771723032405</v>
      </c>
      <c r="I773" t="s">
        <v>593</v>
      </c>
      <c r="J773" t="s">
        <v>5064</v>
      </c>
    </row>
    <row r="774" spans="1:10" x14ac:dyDescent="0.35">
      <c r="A774" t="s">
        <v>769</v>
      </c>
      <c r="B774" t="s">
        <v>591</v>
      </c>
      <c r="C774" t="s">
        <v>592</v>
      </c>
      <c r="D774" s="1">
        <v>46224</v>
      </c>
      <c r="E774">
        <v>2.3343076451094302E-2</v>
      </c>
      <c r="F774" s="1">
        <v>46224.771688854169</v>
      </c>
      <c r="G774" t="s">
        <v>593</v>
      </c>
      <c r="H774" s="1">
        <v>46224.771688807872</v>
      </c>
      <c r="I774" t="s">
        <v>593</v>
      </c>
      <c r="J774" t="s">
        <v>5065</v>
      </c>
    </row>
    <row r="775" spans="1:10" x14ac:dyDescent="0.35">
      <c r="A775" t="s">
        <v>770</v>
      </c>
      <c r="B775" t="s">
        <v>591</v>
      </c>
      <c r="C775" t="s">
        <v>592</v>
      </c>
      <c r="D775" s="1">
        <v>46224</v>
      </c>
      <c r="E775">
        <v>2.5762690793139701E-2</v>
      </c>
      <c r="F775" s="1">
        <v>46224.771739930555</v>
      </c>
      <c r="G775" t="s">
        <v>593</v>
      </c>
      <c r="H775" s="1">
        <v>46224.771739965276</v>
      </c>
      <c r="I775" t="s">
        <v>593</v>
      </c>
      <c r="J775" t="s">
        <v>5066</v>
      </c>
    </row>
    <row r="776" spans="1:10" x14ac:dyDescent="0.35">
      <c r="A776" t="s">
        <v>771</v>
      </c>
      <c r="B776" t="s">
        <v>591</v>
      </c>
      <c r="C776" t="s">
        <v>592</v>
      </c>
      <c r="D776" s="1">
        <v>46224</v>
      </c>
      <c r="E776">
        <v>2.8061653273716999E-2</v>
      </c>
      <c r="F776" s="1">
        <v>46224.771692974537</v>
      </c>
      <c r="G776" t="s">
        <v>593</v>
      </c>
      <c r="H776" s="1">
        <v>46224.771692824077</v>
      </c>
      <c r="I776" t="s">
        <v>593</v>
      </c>
      <c r="J776" t="s">
        <v>5067</v>
      </c>
    </row>
    <row r="777" spans="1:10" x14ac:dyDescent="0.35">
      <c r="A777" t="s">
        <v>772</v>
      </c>
      <c r="B777" t="s">
        <v>591</v>
      </c>
      <c r="C777" t="s">
        <v>592</v>
      </c>
      <c r="D777" s="1">
        <v>46224</v>
      </c>
      <c r="E777">
        <v>2.80588763862335E-2</v>
      </c>
      <c r="F777" s="1">
        <v>46224.771754398149</v>
      </c>
      <c r="G777" t="s">
        <v>593</v>
      </c>
      <c r="H777" s="1">
        <v>46224.77175443287</v>
      </c>
      <c r="I777" t="s">
        <v>593</v>
      </c>
      <c r="J777" t="s">
        <v>5068</v>
      </c>
    </row>
    <row r="778" spans="1:10" x14ac:dyDescent="0.35">
      <c r="A778" t="s">
        <v>773</v>
      </c>
      <c r="B778" t="s">
        <v>591</v>
      </c>
      <c r="C778" t="s">
        <v>592</v>
      </c>
      <c r="D778" s="1">
        <v>46224</v>
      </c>
      <c r="E778">
        <v>2.9430317228332701E-2</v>
      </c>
      <c r="F778" s="1">
        <v>46224.771732291665</v>
      </c>
      <c r="G778" t="s">
        <v>593</v>
      </c>
      <c r="H778" s="1">
        <v>46224.771732256944</v>
      </c>
      <c r="I778" t="s">
        <v>593</v>
      </c>
      <c r="J778" t="s">
        <v>5069</v>
      </c>
    </row>
    <row r="779" spans="1:10" x14ac:dyDescent="0.35">
      <c r="A779" t="s">
        <v>774</v>
      </c>
      <c r="B779" t="s">
        <v>591</v>
      </c>
      <c r="C779" t="s">
        <v>592</v>
      </c>
      <c r="D779" s="1">
        <v>46224</v>
      </c>
      <c r="E779">
        <v>3.0474700263765399E-2</v>
      </c>
      <c r="F779" s="1">
        <v>46224.771724155093</v>
      </c>
      <c r="G779" t="s">
        <v>593</v>
      </c>
      <c r="H779" s="1">
        <v>46224.771724155093</v>
      </c>
      <c r="I779" t="s">
        <v>593</v>
      </c>
      <c r="J779" t="s">
        <v>5070</v>
      </c>
    </row>
    <row r="780" spans="1:10" x14ac:dyDescent="0.35">
      <c r="A780" t="s">
        <v>775</v>
      </c>
      <c r="B780" t="s">
        <v>591</v>
      </c>
      <c r="C780" t="s">
        <v>592</v>
      </c>
      <c r="D780" s="1">
        <v>46224</v>
      </c>
      <c r="E780">
        <v>3.1540895966392903E-2</v>
      </c>
      <c r="F780" s="1">
        <v>46224.771708912034</v>
      </c>
      <c r="G780" t="s">
        <v>593</v>
      </c>
      <c r="H780" s="1">
        <v>46224.771708912034</v>
      </c>
      <c r="I780" t="s">
        <v>593</v>
      </c>
      <c r="J780" t="s">
        <v>5071</v>
      </c>
    </row>
    <row r="781" spans="1:10" x14ac:dyDescent="0.35">
      <c r="A781" t="s">
        <v>776</v>
      </c>
      <c r="B781" t="s">
        <v>591</v>
      </c>
      <c r="C781" t="s">
        <v>592</v>
      </c>
      <c r="D781" s="1">
        <v>46224</v>
      </c>
      <c r="E781">
        <v>3.2366822356852697E-2</v>
      </c>
      <c r="F781" s="1">
        <v>46224.771688229164</v>
      </c>
      <c r="G781" t="s">
        <v>593</v>
      </c>
      <c r="H781" s="1">
        <v>46224.771688275461</v>
      </c>
      <c r="I781" t="s">
        <v>593</v>
      </c>
      <c r="J781" t="s">
        <v>5072</v>
      </c>
    </row>
    <row r="782" spans="1:10" x14ac:dyDescent="0.35">
      <c r="A782" t="s">
        <v>777</v>
      </c>
      <c r="B782" t="s">
        <v>591</v>
      </c>
      <c r="C782" t="s">
        <v>592</v>
      </c>
      <c r="D782" s="1">
        <v>46224</v>
      </c>
      <c r="E782">
        <v>3.2362156311391298E-2</v>
      </c>
      <c r="F782" s="1">
        <v>46224.771759953706</v>
      </c>
      <c r="G782" t="s">
        <v>593</v>
      </c>
      <c r="H782" s="1">
        <v>46224.771759872689</v>
      </c>
      <c r="I782" t="s">
        <v>593</v>
      </c>
      <c r="J782" t="s">
        <v>5073</v>
      </c>
    </row>
    <row r="783" spans="1:10" x14ac:dyDescent="0.35">
      <c r="A783" t="s">
        <v>778</v>
      </c>
      <c r="B783" t="s">
        <v>591</v>
      </c>
      <c r="C783" t="s">
        <v>592</v>
      </c>
      <c r="D783" s="1">
        <v>46224</v>
      </c>
      <c r="E783">
        <v>3.2361780249737501E-2</v>
      </c>
      <c r="F783" s="1">
        <v>46224.771730289351</v>
      </c>
      <c r="G783" t="s">
        <v>593</v>
      </c>
      <c r="H783" s="1">
        <v>46224.771730243054</v>
      </c>
      <c r="I783" t="s">
        <v>593</v>
      </c>
      <c r="J783" t="s">
        <v>5074</v>
      </c>
    </row>
    <row r="784" spans="1:10" x14ac:dyDescent="0.35">
      <c r="A784" t="s">
        <v>779</v>
      </c>
      <c r="B784" t="s">
        <v>591</v>
      </c>
      <c r="C784" t="s">
        <v>592</v>
      </c>
      <c r="D784" s="1">
        <v>46224</v>
      </c>
      <c r="E784">
        <v>3.3130931456320602E-2</v>
      </c>
      <c r="F784" s="1">
        <v>46224.77177619213</v>
      </c>
      <c r="G784" t="s">
        <v>593</v>
      </c>
      <c r="H784" s="1">
        <v>46224.77177619213</v>
      </c>
      <c r="I784" t="s">
        <v>593</v>
      </c>
      <c r="J784" t="s">
        <v>5075</v>
      </c>
    </row>
    <row r="785" spans="1:10" x14ac:dyDescent="0.35">
      <c r="A785" t="s">
        <v>780</v>
      </c>
      <c r="B785" t="s">
        <v>591</v>
      </c>
      <c r="C785" t="s">
        <v>592</v>
      </c>
      <c r="D785" s="1">
        <v>46224</v>
      </c>
      <c r="E785">
        <v>2.3321298801663701E-2</v>
      </c>
      <c r="F785" s="1">
        <v>46224.771698229168</v>
      </c>
      <c r="G785" t="s">
        <v>593</v>
      </c>
      <c r="H785" s="1">
        <v>46224.771698229168</v>
      </c>
      <c r="I785" t="s">
        <v>593</v>
      </c>
      <c r="J785" t="s">
        <v>5076</v>
      </c>
    </row>
    <row r="786" spans="1:10" x14ac:dyDescent="0.35">
      <c r="A786" t="s">
        <v>781</v>
      </c>
      <c r="B786" t="s">
        <v>591</v>
      </c>
      <c r="C786" t="s">
        <v>592</v>
      </c>
      <c r="D786" s="1">
        <v>46224</v>
      </c>
      <c r="E786">
        <v>3.3131478009164099E-2</v>
      </c>
      <c r="F786" s="1">
        <v>46224.771692210648</v>
      </c>
      <c r="G786" t="s">
        <v>593</v>
      </c>
      <c r="H786" s="1">
        <v>46224.771692129631</v>
      </c>
      <c r="I786" t="s">
        <v>593</v>
      </c>
      <c r="J786" t="s">
        <v>5077</v>
      </c>
    </row>
    <row r="787" spans="1:10" x14ac:dyDescent="0.35">
      <c r="A787" t="s">
        <v>782</v>
      </c>
      <c r="B787" t="s">
        <v>591</v>
      </c>
      <c r="C787" t="s">
        <v>592</v>
      </c>
      <c r="D787" s="1">
        <v>46224</v>
      </c>
      <c r="E787">
        <v>2.32816236958929E-2</v>
      </c>
      <c r="F787" s="1">
        <v>46224.77178653935</v>
      </c>
      <c r="G787" t="s">
        <v>593</v>
      </c>
      <c r="H787" s="1">
        <v>46224.77178653935</v>
      </c>
      <c r="I787" t="s">
        <v>593</v>
      </c>
      <c r="J787" t="s">
        <v>5078</v>
      </c>
    </row>
    <row r="788" spans="1:10" x14ac:dyDescent="0.35">
      <c r="A788" t="s">
        <v>783</v>
      </c>
      <c r="B788" t="s">
        <v>591</v>
      </c>
      <c r="C788" t="s">
        <v>592</v>
      </c>
      <c r="D788" s="1">
        <v>46224</v>
      </c>
      <c r="E788">
        <v>3.3109078460646202E-2</v>
      </c>
      <c r="F788" s="1">
        <v>46224.771689004629</v>
      </c>
      <c r="G788" t="s">
        <v>593</v>
      </c>
      <c r="H788" s="1">
        <v>46224.771688969908</v>
      </c>
      <c r="I788" t="s">
        <v>593</v>
      </c>
      <c r="J788" t="s">
        <v>5079</v>
      </c>
    </row>
    <row r="789" spans="1:10" x14ac:dyDescent="0.35">
      <c r="A789" t="s">
        <v>784</v>
      </c>
      <c r="B789" t="s">
        <v>591</v>
      </c>
      <c r="C789" t="s">
        <v>592</v>
      </c>
      <c r="D789" s="1">
        <v>46224</v>
      </c>
      <c r="E789">
        <v>3.3926722867727098E-2</v>
      </c>
      <c r="F789" s="1">
        <v>46224.77171296296</v>
      </c>
      <c r="G789" t="s">
        <v>593</v>
      </c>
      <c r="H789" s="1">
        <v>46224.771712881942</v>
      </c>
      <c r="I789" t="s">
        <v>593</v>
      </c>
      <c r="J789" t="s">
        <v>5080</v>
      </c>
    </row>
    <row r="790" spans="1:10" x14ac:dyDescent="0.35">
      <c r="A790" t="s">
        <v>785</v>
      </c>
      <c r="B790" t="s">
        <v>591</v>
      </c>
      <c r="C790" t="s">
        <v>592</v>
      </c>
      <c r="D790" s="1">
        <v>46224</v>
      </c>
      <c r="E790">
        <v>2.5763338585865998E-2</v>
      </c>
      <c r="F790" s="1">
        <v>46224.771754247682</v>
      </c>
      <c r="G790" t="s">
        <v>593</v>
      </c>
      <c r="H790" s="1">
        <v>46224.77175428241</v>
      </c>
      <c r="I790" t="s">
        <v>593</v>
      </c>
      <c r="J790" t="s">
        <v>5081</v>
      </c>
    </row>
    <row r="791" spans="1:10" x14ac:dyDescent="0.35">
      <c r="A791" t="s">
        <v>786</v>
      </c>
      <c r="B791" t="s">
        <v>591</v>
      </c>
      <c r="C791" t="s">
        <v>592</v>
      </c>
      <c r="D791" s="1">
        <v>46224</v>
      </c>
      <c r="E791">
        <v>2.7396087822517502E-2</v>
      </c>
      <c r="F791" s="1">
        <v>46224.771775428242</v>
      </c>
      <c r="G791" t="s">
        <v>593</v>
      </c>
      <c r="H791" s="1">
        <v>46224.771775462963</v>
      </c>
      <c r="I791" t="s">
        <v>593</v>
      </c>
      <c r="J791" t="s">
        <v>5082</v>
      </c>
    </row>
    <row r="792" spans="1:10" x14ac:dyDescent="0.35">
      <c r="A792" t="s">
        <v>787</v>
      </c>
      <c r="B792" t="s">
        <v>591</v>
      </c>
      <c r="C792" t="s">
        <v>592</v>
      </c>
      <c r="D792" s="1">
        <v>46224</v>
      </c>
      <c r="E792">
        <v>3.4720285507615301E-2</v>
      </c>
      <c r="F792" s="1">
        <v>46224.771745868056</v>
      </c>
      <c r="G792" t="s">
        <v>593</v>
      </c>
      <c r="H792" s="1">
        <v>46224.771745949074</v>
      </c>
      <c r="I792" t="s">
        <v>593</v>
      </c>
      <c r="J792" t="s">
        <v>5083</v>
      </c>
    </row>
    <row r="793" spans="1:10" x14ac:dyDescent="0.35">
      <c r="A793" t="s">
        <v>788</v>
      </c>
      <c r="B793" t="s">
        <v>591</v>
      </c>
      <c r="C793" t="s">
        <v>592</v>
      </c>
      <c r="D793" s="1">
        <v>46224</v>
      </c>
      <c r="E793">
        <v>2.8644824634714398E-2</v>
      </c>
      <c r="F793" s="1">
        <v>46224.771714317132</v>
      </c>
      <c r="G793" t="s">
        <v>593</v>
      </c>
      <c r="H793" s="1">
        <v>46224.771714317132</v>
      </c>
      <c r="I793" t="s">
        <v>593</v>
      </c>
      <c r="J793" t="s">
        <v>5084</v>
      </c>
    </row>
    <row r="794" spans="1:10" x14ac:dyDescent="0.35">
      <c r="A794" t="s">
        <v>789</v>
      </c>
      <c r="B794" t="s">
        <v>591</v>
      </c>
      <c r="C794" t="s">
        <v>592</v>
      </c>
      <c r="D794" s="1">
        <v>46224</v>
      </c>
      <c r="E794">
        <v>2.86455036128276E-2</v>
      </c>
      <c r="F794" s="1">
        <v>46224.771777465277</v>
      </c>
      <c r="G794" t="s">
        <v>593</v>
      </c>
      <c r="H794" s="1">
        <v>46224.771777465277</v>
      </c>
      <c r="I794" t="s">
        <v>593</v>
      </c>
      <c r="J794" t="s">
        <v>5085</v>
      </c>
    </row>
    <row r="795" spans="1:10" x14ac:dyDescent="0.35">
      <c r="A795" t="s">
        <v>1758</v>
      </c>
      <c r="B795" t="s">
        <v>591</v>
      </c>
      <c r="C795" t="s">
        <v>592</v>
      </c>
      <c r="D795" s="1">
        <v>46224</v>
      </c>
      <c r="E795">
        <v>3.2667471806158303E-2</v>
      </c>
      <c r="F795" s="1">
        <v>46224.771762847224</v>
      </c>
      <c r="G795" t="s">
        <v>593</v>
      </c>
      <c r="H795" s="1">
        <v>46224.771762766206</v>
      </c>
      <c r="I795" t="s">
        <v>593</v>
      </c>
      <c r="J795" t="s">
        <v>5086</v>
      </c>
    </row>
    <row r="796" spans="1:10" x14ac:dyDescent="0.35">
      <c r="A796" t="s">
        <v>1665</v>
      </c>
      <c r="B796" t="s">
        <v>591</v>
      </c>
      <c r="C796" t="s">
        <v>592</v>
      </c>
      <c r="D796" s="1">
        <v>46224</v>
      </c>
      <c r="E796">
        <v>3.76716670974978E-2</v>
      </c>
      <c r="F796" s="1">
        <v>46224.771712118054</v>
      </c>
      <c r="G796" t="s">
        <v>593</v>
      </c>
      <c r="H796" s="1">
        <v>46224.771712152775</v>
      </c>
      <c r="I796" t="s">
        <v>593</v>
      </c>
      <c r="J796" t="s">
        <v>5087</v>
      </c>
    </row>
    <row r="797" spans="1:10" x14ac:dyDescent="0.35">
      <c r="A797" t="s">
        <v>792</v>
      </c>
      <c r="B797" t="s">
        <v>591</v>
      </c>
      <c r="C797" t="s">
        <v>592</v>
      </c>
      <c r="D797" s="1">
        <v>46224</v>
      </c>
      <c r="E797">
        <v>3.7680014847139197E-2</v>
      </c>
      <c r="F797" s="1">
        <v>46224.771705474537</v>
      </c>
      <c r="G797" t="s">
        <v>593</v>
      </c>
      <c r="H797" s="1">
        <v>46224.771705474537</v>
      </c>
      <c r="I797" t="s">
        <v>593</v>
      </c>
      <c r="J797" t="s">
        <v>5088</v>
      </c>
    </row>
    <row r="798" spans="1:10" x14ac:dyDescent="0.35">
      <c r="A798" t="s">
        <v>793</v>
      </c>
      <c r="B798" t="s">
        <v>591</v>
      </c>
      <c r="C798" t="s">
        <v>592</v>
      </c>
      <c r="D798" s="1">
        <v>46224</v>
      </c>
      <c r="E798">
        <v>4.41331173790818E-2</v>
      </c>
      <c r="F798" s="1">
        <v>46224.771773414352</v>
      </c>
      <c r="G798" t="s">
        <v>593</v>
      </c>
      <c r="H798" s="1">
        <v>46224.771773495369</v>
      </c>
      <c r="I798" t="s">
        <v>593</v>
      </c>
      <c r="J798" t="s">
        <v>5089</v>
      </c>
    </row>
    <row r="799" spans="1:10" x14ac:dyDescent="0.35">
      <c r="A799" t="s">
        <v>794</v>
      </c>
      <c r="B799" t="s">
        <v>591</v>
      </c>
      <c r="C799" t="s">
        <v>592</v>
      </c>
      <c r="D799" s="1">
        <v>46224</v>
      </c>
      <c r="E799">
        <v>4.0667615599269798E-2</v>
      </c>
      <c r="F799" s="1">
        <v>46224.771729664353</v>
      </c>
      <c r="G799" t="s">
        <v>593</v>
      </c>
      <c r="H799" s="1">
        <v>46224.77172971065</v>
      </c>
      <c r="I799" t="s">
        <v>593</v>
      </c>
      <c r="J799" t="s">
        <v>5090</v>
      </c>
    </row>
    <row r="800" spans="1:10" x14ac:dyDescent="0.35">
      <c r="A800" t="s">
        <v>795</v>
      </c>
      <c r="B800" t="s">
        <v>591</v>
      </c>
      <c r="C800" t="s">
        <v>592</v>
      </c>
      <c r="D800" s="1">
        <v>46224</v>
      </c>
      <c r="E800">
        <v>4.7132546860669797E-2</v>
      </c>
      <c r="F800" s="1">
        <v>46224.771768368053</v>
      </c>
      <c r="G800" t="s">
        <v>593</v>
      </c>
      <c r="H800" s="1">
        <v>46224.771768368053</v>
      </c>
      <c r="I800" t="s">
        <v>593</v>
      </c>
      <c r="J800" t="s">
        <v>5091</v>
      </c>
    </row>
    <row r="801" spans="1:10" x14ac:dyDescent="0.35">
      <c r="A801" t="s">
        <v>796</v>
      </c>
      <c r="B801" t="s">
        <v>591</v>
      </c>
      <c r="C801" t="s">
        <v>592</v>
      </c>
      <c r="D801" s="1">
        <v>46224</v>
      </c>
      <c r="E801">
        <v>2.5627103786394101E-2</v>
      </c>
      <c r="F801" s="1">
        <v>46224.771708333334</v>
      </c>
      <c r="G801" t="s">
        <v>593</v>
      </c>
      <c r="H801" s="1">
        <v>46224.771708182867</v>
      </c>
      <c r="I801" t="s">
        <v>593</v>
      </c>
      <c r="J801" t="s">
        <v>5092</v>
      </c>
    </row>
    <row r="802" spans="1:10" x14ac:dyDescent="0.35">
      <c r="A802" t="s">
        <v>797</v>
      </c>
      <c r="B802" t="s">
        <v>591</v>
      </c>
      <c r="C802" t="s">
        <v>592</v>
      </c>
      <c r="D802" s="1">
        <v>46224</v>
      </c>
      <c r="E802">
        <v>2.6965684479886301E-2</v>
      </c>
      <c r="F802" s="1">
        <v>46224.771746643521</v>
      </c>
      <c r="G802" t="s">
        <v>593</v>
      </c>
      <c r="H802" s="1">
        <v>46224.771746678241</v>
      </c>
      <c r="I802" t="s">
        <v>593</v>
      </c>
      <c r="J802" t="s">
        <v>5093</v>
      </c>
    </row>
    <row r="803" spans="1:10" x14ac:dyDescent="0.35">
      <c r="A803" t="s">
        <v>798</v>
      </c>
      <c r="B803" t="s">
        <v>591</v>
      </c>
      <c r="C803" t="s">
        <v>592</v>
      </c>
      <c r="D803" s="1">
        <v>46224</v>
      </c>
      <c r="E803">
        <v>2.70658392928795E-2</v>
      </c>
      <c r="F803" s="1">
        <v>46224.771760069445</v>
      </c>
      <c r="G803" t="s">
        <v>593</v>
      </c>
      <c r="H803" s="1">
        <v>46224.771760069445</v>
      </c>
      <c r="I803" t="s">
        <v>593</v>
      </c>
      <c r="J803" t="s">
        <v>5094</v>
      </c>
    </row>
    <row r="804" spans="1:10" x14ac:dyDescent="0.35">
      <c r="A804" t="s">
        <v>799</v>
      </c>
      <c r="B804" t="s">
        <v>591</v>
      </c>
      <c r="C804" t="s">
        <v>592</v>
      </c>
      <c r="D804" s="1">
        <v>46224</v>
      </c>
      <c r="E804">
        <v>2.8736089602666701E-2</v>
      </c>
      <c r="F804" s="1">
        <v>46224.771726886574</v>
      </c>
      <c r="G804" t="s">
        <v>593</v>
      </c>
      <c r="H804" s="1">
        <v>46224.771726886574</v>
      </c>
      <c r="I804" t="s">
        <v>593</v>
      </c>
      <c r="J804" t="s">
        <v>5095</v>
      </c>
    </row>
    <row r="805" spans="1:10" x14ac:dyDescent="0.35">
      <c r="A805" t="s">
        <v>800</v>
      </c>
      <c r="B805" t="s">
        <v>591</v>
      </c>
      <c r="C805" t="s">
        <v>592</v>
      </c>
      <c r="D805" s="1">
        <v>46224</v>
      </c>
      <c r="E805">
        <v>3.0521195937697799E-2</v>
      </c>
      <c r="F805" s="1">
        <v>46224.771764965277</v>
      </c>
      <c r="G805" t="s">
        <v>593</v>
      </c>
      <c r="H805" s="1">
        <v>46224.771764930556</v>
      </c>
      <c r="I805" t="s">
        <v>593</v>
      </c>
      <c r="J805" t="s">
        <v>5096</v>
      </c>
    </row>
    <row r="806" spans="1:10" x14ac:dyDescent="0.35">
      <c r="A806" t="s">
        <v>801</v>
      </c>
      <c r="B806" t="s">
        <v>591</v>
      </c>
      <c r="C806" t="s">
        <v>592</v>
      </c>
      <c r="D806" s="1">
        <v>46224</v>
      </c>
      <c r="E806">
        <v>4.7144769087578801E-2</v>
      </c>
      <c r="F806" s="1">
        <v>46224.771786956022</v>
      </c>
      <c r="G806" t="s">
        <v>593</v>
      </c>
      <c r="H806" s="1">
        <v>46224.771787071761</v>
      </c>
      <c r="I806" t="s">
        <v>593</v>
      </c>
      <c r="J806" t="s">
        <v>5097</v>
      </c>
    </row>
    <row r="807" spans="1:10" x14ac:dyDescent="0.35">
      <c r="A807" t="s">
        <v>802</v>
      </c>
      <c r="B807" t="s">
        <v>591</v>
      </c>
      <c r="C807" t="s">
        <v>592</v>
      </c>
      <c r="D807" s="1">
        <v>46224</v>
      </c>
      <c r="E807">
        <v>3.2093033534603202E-2</v>
      </c>
      <c r="F807" s="1">
        <v>46224.771726307874</v>
      </c>
      <c r="G807" t="s">
        <v>593</v>
      </c>
      <c r="H807" s="1">
        <v>46224.771726307874</v>
      </c>
      <c r="I807" t="s">
        <v>593</v>
      </c>
      <c r="J807" t="s">
        <v>5098</v>
      </c>
    </row>
    <row r="808" spans="1:10" x14ac:dyDescent="0.35">
      <c r="A808" t="s">
        <v>803</v>
      </c>
      <c r="B808" t="s">
        <v>591</v>
      </c>
      <c r="C808" t="s">
        <v>592</v>
      </c>
      <c r="D808" s="1">
        <v>46224</v>
      </c>
      <c r="E808">
        <v>4.7055929747665898E-2</v>
      </c>
      <c r="F808" s="1">
        <v>46224.771732951391</v>
      </c>
      <c r="G808" t="s">
        <v>593</v>
      </c>
      <c r="H808" s="1">
        <v>46224.771732986112</v>
      </c>
      <c r="I808" t="s">
        <v>593</v>
      </c>
      <c r="J808" t="s">
        <v>5099</v>
      </c>
    </row>
    <row r="809" spans="1:10" x14ac:dyDescent="0.35">
      <c r="A809" t="s">
        <v>804</v>
      </c>
      <c r="B809" t="s">
        <v>591</v>
      </c>
      <c r="C809" t="s">
        <v>592</v>
      </c>
      <c r="D809" s="1">
        <v>46224</v>
      </c>
      <c r="E809">
        <v>3.3806107419088897E-2</v>
      </c>
      <c r="F809" s="1">
        <v>46224.771690081019</v>
      </c>
      <c r="G809" t="s">
        <v>593</v>
      </c>
      <c r="H809" s="1">
        <v>46224.771690081019</v>
      </c>
      <c r="I809" t="s">
        <v>593</v>
      </c>
      <c r="J809" t="s">
        <v>5100</v>
      </c>
    </row>
    <row r="810" spans="1:10" x14ac:dyDescent="0.35">
      <c r="A810" t="s">
        <v>805</v>
      </c>
      <c r="B810" t="s">
        <v>591</v>
      </c>
      <c r="C810" t="s">
        <v>592</v>
      </c>
      <c r="D810" s="1">
        <v>46224</v>
      </c>
      <c r="E810">
        <v>3.44455999279977E-2</v>
      </c>
      <c r="F810" s="1">
        <v>46224.771706134263</v>
      </c>
      <c r="G810" t="s">
        <v>593</v>
      </c>
      <c r="H810" s="1">
        <v>46224.771706018517</v>
      </c>
      <c r="I810" t="s">
        <v>593</v>
      </c>
      <c r="J810" t="s">
        <v>5101</v>
      </c>
    </row>
    <row r="811" spans="1:10" x14ac:dyDescent="0.35">
      <c r="A811" t="s">
        <v>806</v>
      </c>
      <c r="B811" t="s">
        <v>591</v>
      </c>
      <c r="C811" t="s">
        <v>592</v>
      </c>
      <c r="D811" s="1">
        <v>46224</v>
      </c>
      <c r="E811">
        <v>4.7224866662051598E-2</v>
      </c>
      <c r="F811" s="1">
        <v>46224.771756678238</v>
      </c>
      <c r="G811" t="s">
        <v>593</v>
      </c>
      <c r="H811" s="1">
        <v>46224.771756631948</v>
      </c>
      <c r="I811" t="s">
        <v>593</v>
      </c>
      <c r="J811" t="s">
        <v>5102</v>
      </c>
    </row>
    <row r="812" spans="1:10" x14ac:dyDescent="0.35">
      <c r="A812" t="s">
        <v>807</v>
      </c>
      <c r="B812" t="s">
        <v>591</v>
      </c>
      <c r="C812" t="s">
        <v>592</v>
      </c>
      <c r="D812" s="1">
        <v>46224</v>
      </c>
      <c r="E812">
        <v>3.5723081941982503E-2</v>
      </c>
      <c r="F812" s="1">
        <v>46224.771713541668</v>
      </c>
      <c r="G812" t="s">
        <v>593</v>
      </c>
      <c r="H812" s="1">
        <v>46224.771713622686</v>
      </c>
      <c r="I812" t="s">
        <v>593</v>
      </c>
      <c r="J812" t="s">
        <v>5103</v>
      </c>
    </row>
    <row r="813" spans="1:10" x14ac:dyDescent="0.35">
      <c r="A813" t="s">
        <v>808</v>
      </c>
      <c r="B813" t="s">
        <v>591</v>
      </c>
      <c r="C813" t="s">
        <v>592</v>
      </c>
      <c r="D813" s="1">
        <v>46224</v>
      </c>
      <c r="E813">
        <v>2.93192880423324E-2</v>
      </c>
      <c r="F813" s="1">
        <v>46224.771703240738</v>
      </c>
      <c r="G813" t="s">
        <v>593</v>
      </c>
      <c r="H813" s="1">
        <v>46224.771703124999</v>
      </c>
      <c r="I813" t="s">
        <v>593</v>
      </c>
      <c r="J813" t="s">
        <v>5104</v>
      </c>
    </row>
    <row r="814" spans="1:10" x14ac:dyDescent="0.35">
      <c r="A814" t="s">
        <v>809</v>
      </c>
      <c r="B814" t="s">
        <v>591</v>
      </c>
      <c r="C814" t="s">
        <v>592</v>
      </c>
      <c r="D814" s="1">
        <v>46224</v>
      </c>
      <c r="E814">
        <v>4.7114076256714099E-2</v>
      </c>
      <c r="F814" s="1">
        <v>46224.771702465281</v>
      </c>
      <c r="G814" t="s">
        <v>593</v>
      </c>
      <c r="H814" s="1">
        <v>46224.771702395832</v>
      </c>
      <c r="I814" t="s">
        <v>593</v>
      </c>
      <c r="J814" t="s">
        <v>5105</v>
      </c>
    </row>
    <row r="815" spans="1:10" x14ac:dyDescent="0.35">
      <c r="A815" t="s">
        <v>1666</v>
      </c>
      <c r="B815" t="s">
        <v>600</v>
      </c>
      <c r="C815" t="s">
        <v>592</v>
      </c>
      <c r="D815" s="1">
        <v>46224</v>
      </c>
      <c r="E815">
        <v>119.62</v>
      </c>
      <c r="F815" s="1">
        <v>46224.771667974535</v>
      </c>
      <c r="G815" t="s">
        <v>593</v>
      </c>
      <c r="H815" s="1">
        <v>46224.771667905094</v>
      </c>
      <c r="I815" t="s">
        <v>593</v>
      </c>
      <c r="J815" t="s">
        <v>4314</v>
      </c>
    </row>
    <row r="816" spans="1:10" x14ac:dyDescent="0.35">
      <c r="A816" t="s">
        <v>839</v>
      </c>
      <c r="B816" t="s">
        <v>600</v>
      </c>
      <c r="C816" t="s">
        <v>592</v>
      </c>
      <c r="D816" s="1">
        <v>46224</v>
      </c>
      <c r="E816">
        <v>97.314999999999998</v>
      </c>
      <c r="F816" s="1">
        <v>46224.771669131944</v>
      </c>
      <c r="G816" t="s">
        <v>593</v>
      </c>
      <c r="H816" s="1">
        <v>46224.771669016205</v>
      </c>
      <c r="I816" t="s">
        <v>593</v>
      </c>
      <c r="J816" t="s">
        <v>4314</v>
      </c>
    </row>
    <row r="817" spans="1:10" x14ac:dyDescent="0.35">
      <c r="A817" t="s">
        <v>1759</v>
      </c>
      <c r="B817" t="s">
        <v>600</v>
      </c>
      <c r="C817" t="s">
        <v>592</v>
      </c>
      <c r="D817" s="1">
        <v>46224</v>
      </c>
      <c r="E817">
        <v>96.954999999999998</v>
      </c>
      <c r="F817" s="1">
        <v>46224.771669293979</v>
      </c>
      <c r="G817" t="s">
        <v>593</v>
      </c>
      <c r="H817" s="1">
        <v>46224.771669212962</v>
      </c>
      <c r="I817" t="s">
        <v>593</v>
      </c>
      <c r="J817" t="s">
        <v>4314</v>
      </c>
    </row>
    <row r="818" spans="1:10" x14ac:dyDescent="0.35">
      <c r="A818" t="s">
        <v>840</v>
      </c>
      <c r="B818" t="s">
        <v>600</v>
      </c>
      <c r="C818" t="s">
        <v>592</v>
      </c>
      <c r="D818" s="1">
        <v>46224</v>
      </c>
      <c r="E818">
        <v>97.702500000000001</v>
      </c>
      <c r="F818" s="1">
        <v>46224.771669444446</v>
      </c>
      <c r="G818" t="s">
        <v>593</v>
      </c>
      <c r="H818" s="1">
        <v>46224.771669409725</v>
      </c>
      <c r="I818" t="s">
        <v>593</v>
      </c>
      <c r="J818" t="s">
        <v>4314</v>
      </c>
    </row>
    <row r="819" spans="1:10" x14ac:dyDescent="0.35">
      <c r="A819" t="s">
        <v>841</v>
      </c>
      <c r="B819" t="s">
        <v>600</v>
      </c>
      <c r="C819" t="s">
        <v>592</v>
      </c>
      <c r="D819" s="1">
        <v>46224</v>
      </c>
      <c r="E819">
        <v>97.17</v>
      </c>
      <c r="F819" s="1">
        <v>46224.771669594906</v>
      </c>
      <c r="G819" t="s">
        <v>593</v>
      </c>
      <c r="H819" s="1">
        <v>46224.771669560185</v>
      </c>
      <c r="I819" t="s">
        <v>593</v>
      </c>
      <c r="J819" t="s">
        <v>4314</v>
      </c>
    </row>
    <row r="820" spans="1:10" x14ac:dyDescent="0.35">
      <c r="A820" t="s">
        <v>842</v>
      </c>
      <c r="B820" t="s">
        <v>600</v>
      </c>
      <c r="C820" t="s">
        <v>592</v>
      </c>
      <c r="D820" s="1">
        <v>46224</v>
      </c>
      <c r="E820">
        <v>97.67</v>
      </c>
      <c r="F820" s="1">
        <v>46224.771669756941</v>
      </c>
      <c r="G820" t="s">
        <v>593</v>
      </c>
      <c r="H820" s="1">
        <v>46224.771669756941</v>
      </c>
      <c r="I820" t="s">
        <v>593</v>
      </c>
      <c r="J820" t="s">
        <v>4314</v>
      </c>
    </row>
    <row r="821" spans="1:10" x14ac:dyDescent="0.35">
      <c r="A821" t="s">
        <v>843</v>
      </c>
      <c r="B821" t="s">
        <v>600</v>
      </c>
      <c r="C821" t="s">
        <v>592</v>
      </c>
      <c r="D821" s="1">
        <v>46224</v>
      </c>
      <c r="E821">
        <v>97.064999999999998</v>
      </c>
      <c r="F821" s="1">
        <v>46224.771669907408</v>
      </c>
      <c r="G821" t="s">
        <v>593</v>
      </c>
      <c r="H821" s="1">
        <v>46224.771669942129</v>
      </c>
      <c r="I821" t="s">
        <v>593</v>
      </c>
      <c r="J821" t="s">
        <v>4314</v>
      </c>
    </row>
    <row r="822" spans="1:10" x14ac:dyDescent="0.35">
      <c r="A822" t="s">
        <v>844</v>
      </c>
      <c r="B822" t="s">
        <v>600</v>
      </c>
      <c r="C822" t="s">
        <v>592</v>
      </c>
      <c r="D822" s="1">
        <v>46224</v>
      </c>
      <c r="E822">
        <v>97.5</v>
      </c>
      <c r="F822" s="1">
        <v>46224.77166820602</v>
      </c>
      <c r="G822" t="s">
        <v>593</v>
      </c>
      <c r="H822" s="1">
        <v>46224.771668252317</v>
      </c>
      <c r="I822" t="s">
        <v>593</v>
      </c>
      <c r="J822" t="s">
        <v>4314</v>
      </c>
    </row>
    <row r="823" spans="1:10" x14ac:dyDescent="0.35">
      <c r="A823" t="s">
        <v>845</v>
      </c>
      <c r="B823" t="s">
        <v>600</v>
      </c>
      <c r="C823" t="s">
        <v>592</v>
      </c>
      <c r="D823" s="1">
        <v>46224</v>
      </c>
      <c r="E823">
        <v>97.004999999999995</v>
      </c>
      <c r="F823" s="1">
        <v>46224.771668368056</v>
      </c>
      <c r="G823" t="s">
        <v>593</v>
      </c>
      <c r="H823" s="1">
        <v>46224.771668252317</v>
      </c>
      <c r="I823" t="s">
        <v>593</v>
      </c>
      <c r="J823" t="s">
        <v>4314</v>
      </c>
    </row>
    <row r="824" spans="1:10" x14ac:dyDescent="0.35">
      <c r="A824" t="s">
        <v>846</v>
      </c>
      <c r="B824" t="s">
        <v>600</v>
      </c>
      <c r="C824" t="s">
        <v>592</v>
      </c>
      <c r="D824" s="1">
        <v>46224</v>
      </c>
      <c r="E824">
        <v>105.185</v>
      </c>
      <c r="F824" s="1">
        <v>46224.771668518515</v>
      </c>
      <c r="G824" t="s">
        <v>593</v>
      </c>
      <c r="H824" s="1">
        <v>46224.771668437497</v>
      </c>
      <c r="I824" t="s">
        <v>593</v>
      </c>
      <c r="J824" t="s">
        <v>4314</v>
      </c>
    </row>
    <row r="825" spans="1:10" x14ac:dyDescent="0.35">
      <c r="A825" t="s">
        <v>847</v>
      </c>
      <c r="B825" t="s">
        <v>591</v>
      </c>
      <c r="C825" t="s">
        <v>592</v>
      </c>
      <c r="D825" s="1">
        <v>46224</v>
      </c>
      <c r="E825">
        <v>2.8205248756875901E-2</v>
      </c>
      <c r="F825" s="1">
        <v>46224.771767013888</v>
      </c>
      <c r="G825" t="s">
        <v>593</v>
      </c>
      <c r="H825" s="1">
        <v>46224.771767094906</v>
      </c>
      <c r="I825" t="s">
        <v>593</v>
      </c>
      <c r="J825" t="s">
        <v>5106</v>
      </c>
    </row>
    <row r="826" spans="1:10" x14ac:dyDescent="0.35">
      <c r="A826" t="s">
        <v>848</v>
      </c>
      <c r="B826" t="s">
        <v>591</v>
      </c>
      <c r="C826" t="s">
        <v>592</v>
      </c>
      <c r="D826" s="1">
        <v>46224</v>
      </c>
      <c r="E826">
        <v>3.6548190744911203E-2</v>
      </c>
      <c r="F826" s="1">
        <v>46224.771767326391</v>
      </c>
      <c r="G826" t="s">
        <v>593</v>
      </c>
      <c r="H826" s="1">
        <v>46224.771767280094</v>
      </c>
      <c r="I826" t="s">
        <v>593</v>
      </c>
      <c r="J826" t="s">
        <v>5107</v>
      </c>
    </row>
    <row r="827" spans="1:10" x14ac:dyDescent="0.35">
      <c r="A827" t="s">
        <v>849</v>
      </c>
      <c r="B827" t="s">
        <v>591</v>
      </c>
      <c r="C827" t="s">
        <v>592</v>
      </c>
      <c r="D827" s="1">
        <v>46224</v>
      </c>
      <c r="E827">
        <v>2.8803596156589201E-2</v>
      </c>
      <c r="F827" s="1">
        <v>46224.771783449076</v>
      </c>
      <c r="G827" t="s">
        <v>593</v>
      </c>
      <c r="H827" s="1">
        <v>46224.771783414355</v>
      </c>
      <c r="I827" t="s">
        <v>593</v>
      </c>
      <c r="J827" t="s">
        <v>5108</v>
      </c>
    </row>
    <row r="828" spans="1:10" x14ac:dyDescent="0.35">
      <c r="A828" t="s">
        <v>850</v>
      </c>
      <c r="B828" t="s">
        <v>591</v>
      </c>
      <c r="C828" t="s">
        <v>592</v>
      </c>
      <c r="D828" s="1">
        <v>46224</v>
      </c>
      <c r="E828">
        <v>2.6903309983628099E-2</v>
      </c>
      <c r="F828" s="1">
        <v>46224.77172045139</v>
      </c>
      <c r="G828" t="s">
        <v>593</v>
      </c>
      <c r="H828" s="1">
        <v>46224.771720520832</v>
      </c>
      <c r="I828" t="s">
        <v>593</v>
      </c>
      <c r="J828" t="s">
        <v>5109</v>
      </c>
    </row>
    <row r="829" spans="1:10" x14ac:dyDescent="0.35">
      <c r="A829" t="s">
        <v>851</v>
      </c>
      <c r="B829" t="s">
        <v>591</v>
      </c>
      <c r="C829" t="s">
        <v>592</v>
      </c>
      <c r="D829" s="1">
        <v>46224</v>
      </c>
      <c r="E829">
        <v>3.6500832275580097E-2</v>
      </c>
      <c r="F829" s="1">
        <v>46224.771742708333</v>
      </c>
      <c r="G829" t="s">
        <v>593</v>
      </c>
      <c r="H829" s="1">
        <v>46224.771742673613</v>
      </c>
      <c r="I829" t="s">
        <v>593</v>
      </c>
      <c r="J829" t="s">
        <v>5110</v>
      </c>
    </row>
    <row r="830" spans="1:10" x14ac:dyDescent="0.35">
      <c r="A830" t="s">
        <v>852</v>
      </c>
      <c r="B830" t="s">
        <v>591</v>
      </c>
      <c r="C830" t="s">
        <v>592</v>
      </c>
      <c r="D830" s="1">
        <v>46224</v>
      </c>
      <c r="E830">
        <v>3.5908223085269197E-2</v>
      </c>
      <c r="F830" s="1">
        <v>46224.771704247687</v>
      </c>
      <c r="G830" t="s">
        <v>593</v>
      </c>
      <c r="H830" s="1">
        <v>46224.771704085651</v>
      </c>
      <c r="I830" t="s">
        <v>593</v>
      </c>
      <c r="J830" t="s">
        <v>5111</v>
      </c>
    </row>
    <row r="831" spans="1:10" x14ac:dyDescent="0.35">
      <c r="A831" t="s">
        <v>853</v>
      </c>
      <c r="B831" t="s">
        <v>591</v>
      </c>
      <c r="C831" t="s">
        <v>592</v>
      </c>
      <c r="D831" s="1">
        <v>46224</v>
      </c>
      <c r="E831">
        <v>2.2885128497985501E-2</v>
      </c>
      <c r="F831" s="1">
        <v>46224.771710763889</v>
      </c>
      <c r="G831" t="s">
        <v>593</v>
      </c>
      <c r="H831" s="1">
        <v>46224.771710729168</v>
      </c>
      <c r="I831" t="s">
        <v>593</v>
      </c>
      <c r="J831" t="s">
        <v>5112</v>
      </c>
    </row>
    <row r="832" spans="1:10" x14ac:dyDescent="0.35">
      <c r="A832" t="s">
        <v>854</v>
      </c>
      <c r="B832" t="s">
        <v>591</v>
      </c>
      <c r="C832" t="s">
        <v>592</v>
      </c>
      <c r="D832" s="1">
        <v>46224</v>
      </c>
      <c r="E832">
        <v>2.48245042303697E-2</v>
      </c>
      <c r="F832" s="1">
        <v>46224.771718136573</v>
      </c>
      <c r="G832" t="s">
        <v>593</v>
      </c>
      <c r="H832" s="1">
        <v>46224.771718171294</v>
      </c>
      <c r="I832" t="s">
        <v>593</v>
      </c>
      <c r="J832" t="s">
        <v>5113</v>
      </c>
    </row>
    <row r="833" spans="1:10" x14ac:dyDescent="0.35">
      <c r="A833" t="s">
        <v>855</v>
      </c>
      <c r="B833" t="s">
        <v>591</v>
      </c>
      <c r="C833" t="s">
        <v>592</v>
      </c>
      <c r="D833" s="1">
        <v>46224</v>
      </c>
      <c r="E833">
        <v>2.68898783891308E-2</v>
      </c>
      <c r="F833" s="1">
        <v>46224.771783761571</v>
      </c>
      <c r="G833" t="s">
        <v>593</v>
      </c>
      <c r="H833" s="1">
        <v>46224.771783796299</v>
      </c>
      <c r="I833" t="s">
        <v>593</v>
      </c>
      <c r="J833" t="s">
        <v>5114</v>
      </c>
    </row>
    <row r="834" spans="1:10" x14ac:dyDescent="0.35">
      <c r="A834" t="s">
        <v>856</v>
      </c>
      <c r="B834" t="s">
        <v>591</v>
      </c>
      <c r="C834" t="s">
        <v>592</v>
      </c>
      <c r="D834" s="1">
        <v>46224</v>
      </c>
      <c r="E834">
        <v>3.6370951766438502E-2</v>
      </c>
      <c r="F834" s="1">
        <v>46224.771718750002</v>
      </c>
      <c r="G834" t="s">
        <v>593</v>
      </c>
      <c r="H834" s="1">
        <v>46224.771718715281</v>
      </c>
      <c r="I834" t="s">
        <v>593</v>
      </c>
      <c r="J834" t="s">
        <v>5115</v>
      </c>
    </row>
    <row r="835" spans="1:10" x14ac:dyDescent="0.35">
      <c r="A835" t="s">
        <v>857</v>
      </c>
      <c r="B835" t="s">
        <v>591</v>
      </c>
      <c r="C835" t="s">
        <v>592</v>
      </c>
      <c r="D835" s="1">
        <v>46224</v>
      </c>
      <c r="E835">
        <v>2.7488615159075001E-2</v>
      </c>
      <c r="F835" s="1">
        <v>46224.771768831015</v>
      </c>
      <c r="G835" t="s">
        <v>593</v>
      </c>
      <c r="H835" s="1">
        <v>46224.771768900464</v>
      </c>
      <c r="I835" t="s">
        <v>593</v>
      </c>
      <c r="J835" t="s">
        <v>5116</v>
      </c>
    </row>
    <row r="836" spans="1:10" x14ac:dyDescent="0.35">
      <c r="A836" t="s">
        <v>858</v>
      </c>
      <c r="B836" t="s">
        <v>591</v>
      </c>
      <c r="C836" t="s">
        <v>592</v>
      </c>
      <c r="D836" s="1">
        <v>46224</v>
      </c>
      <c r="E836">
        <v>2.7511354923201999E-2</v>
      </c>
      <c r="F836" s="1">
        <v>46224.771716898147</v>
      </c>
      <c r="G836" t="s">
        <v>593</v>
      </c>
      <c r="H836" s="1">
        <v>46224.771716898147</v>
      </c>
      <c r="I836" t="s">
        <v>593</v>
      </c>
      <c r="J836" t="s">
        <v>5117</v>
      </c>
    </row>
    <row r="837" spans="1:10" x14ac:dyDescent="0.35">
      <c r="A837" t="s">
        <v>859</v>
      </c>
      <c r="B837" t="s">
        <v>591</v>
      </c>
      <c r="C837" t="s">
        <v>592</v>
      </c>
      <c r="D837" s="1">
        <v>46224</v>
      </c>
      <c r="E837">
        <v>2.76322223065418E-2</v>
      </c>
      <c r="F837" s="1">
        <v>46224.771773877314</v>
      </c>
      <c r="G837" t="s">
        <v>593</v>
      </c>
      <c r="H837" s="1">
        <v>46224.771773842593</v>
      </c>
      <c r="I837" t="s">
        <v>593</v>
      </c>
      <c r="J837" t="s">
        <v>5118</v>
      </c>
    </row>
    <row r="838" spans="1:10" x14ac:dyDescent="0.35">
      <c r="A838" t="s">
        <v>860</v>
      </c>
      <c r="B838" t="s">
        <v>591</v>
      </c>
      <c r="C838" t="s">
        <v>592</v>
      </c>
      <c r="D838" s="1">
        <v>46224</v>
      </c>
      <c r="E838">
        <v>2.7878755492938601E-2</v>
      </c>
      <c r="F838" s="1">
        <v>46224.771727349536</v>
      </c>
      <c r="G838" t="s">
        <v>593</v>
      </c>
      <c r="H838" s="1">
        <v>46224.771727430554</v>
      </c>
      <c r="I838" t="s">
        <v>593</v>
      </c>
      <c r="J838" t="s">
        <v>5119</v>
      </c>
    </row>
    <row r="839" spans="1:10" x14ac:dyDescent="0.35">
      <c r="A839" t="s">
        <v>861</v>
      </c>
      <c r="B839" t="s">
        <v>591</v>
      </c>
      <c r="C839" t="s">
        <v>592</v>
      </c>
      <c r="D839" s="1">
        <v>46224</v>
      </c>
      <c r="E839">
        <v>3.6684827716167899E-2</v>
      </c>
      <c r="F839" s="1">
        <v>46224.771750081018</v>
      </c>
      <c r="G839" t="s">
        <v>593</v>
      </c>
      <c r="H839" s="1">
        <v>46224.771749965279</v>
      </c>
      <c r="I839" t="s">
        <v>593</v>
      </c>
      <c r="J839" t="s">
        <v>5120</v>
      </c>
    </row>
    <row r="840" spans="1:10" x14ac:dyDescent="0.35">
      <c r="A840" t="s">
        <v>862</v>
      </c>
      <c r="B840" t="s">
        <v>591</v>
      </c>
      <c r="C840" t="s">
        <v>592</v>
      </c>
      <c r="D840" s="1">
        <v>46224</v>
      </c>
      <c r="E840">
        <v>2.8174857441574101E-2</v>
      </c>
      <c r="F840" s="1">
        <v>46224.771696377313</v>
      </c>
      <c r="G840" t="s">
        <v>593</v>
      </c>
      <c r="H840" s="1">
        <v>46224.771696261574</v>
      </c>
      <c r="I840" t="s">
        <v>593</v>
      </c>
      <c r="J840" t="s">
        <v>5121</v>
      </c>
    </row>
    <row r="841" spans="1:10" x14ac:dyDescent="0.35">
      <c r="A841" t="s">
        <v>863</v>
      </c>
      <c r="B841" t="s">
        <v>591</v>
      </c>
      <c r="C841" t="s">
        <v>592</v>
      </c>
      <c r="D841" s="1">
        <v>46224</v>
      </c>
      <c r="E841">
        <v>2.8259091001887501E-2</v>
      </c>
      <c r="F841" s="1">
        <v>46224.771696215277</v>
      </c>
      <c r="G841" t="s">
        <v>593</v>
      </c>
      <c r="H841" s="1">
        <v>46224.771696261574</v>
      </c>
      <c r="I841" t="s">
        <v>593</v>
      </c>
      <c r="J841" t="s">
        <v>5122</v>
      </c>
    </row>
    <row r="842" spans="1:10" x14ac:dyDescent="0.35">
      <c r="A842" t="s">
        <v>864</v>
      </c>
      <c r="B842" t="s">
        <v>591</v>
      </c>
      <c r="C842" t="s">
        <v>592</v>
      </c>
      <c r="D842" s="1">
        <v>46224</v>
      </c>
      <c r="E842">
        <v>3.1116395921333799E-2</v>
      </c>
      <c r="F842" s="1">
        <v>46224.771714618058</v>
      </c>
      <c r="G842" t="s">
        <v>593</v>
      </c>
      <c r="H842" s="1">
        <v>46224.771714699076</v>
      </c>
      <c r="I842" t="s">
        <v>593</v>
      </c>
      <c r="J842" t="s">
        <v>5123</v>
      </c>
    </row>
    <row r="843" spans="1:10" x14ac:dyDescent="0.35">
      <c r="A843" t="s">
        <v>865</v>
      </c>
      <c r="B843" t="s">
        <v>591</v>
      </c>
      <c r="C843" t="s">
        <v>592</v>
      </c>
      <c r="D843" s="1">
        <v>46224</v>
      </c>
      <c r="E843">
        <v>2.7016734156364401E-2</v>
      </c>
      <c r="F843" s="1">
        <v>46224.771764201389</v>
      </c>
      <c r="G843" t="s">
        <v>593</v>
      </c>
      <c r="H843" s="1">
        <v>46224.771764201389</v>
      </c>
      <c r="I843" t="s">
        <v>593</v>
      </c>
      <c r="J843" t="s">
        <v>5124</v>
      </c>
    </row>
    <row r="844" spans="1:10" x14ac:dyDescent="0.35">
      <c r="A844" t="s">
        <v>866</v>
      </c>
      <c r="B844" t="s">
        <v>591</v>
      </c>
      <c r="C844" t="s">
        <v>592</v>
      </c>
      <c r="D844" s="1">
        <v>46224</v>
      </c>
      <c r="E844">
        <v>2.8488967424110001E-2</v>
      </c>
      <c r="F844" s="1">
        <v>46224.771699305558</v>
      </c>
      <c r="G844" t="s">
        <v>593</v>
      </c>
      <c r="H844" s="1">
        <v>46224.771699305558</v>
      </c>
      <c r="I844" t="s">
        <v>593</v>
      </c>
      <c r="J844" t="s">
        <v>5125</v>
      </c>
    </row>
    <row r="845" spans="1:10" x14ac:dyDescent="0.35">
      <c r="A845" t="s">
        <v>867</v>
      </c>
      <c r="B845" t="s">
        <v>591</v>
      </c>
      <c r="C845" t="s">
        <v>592</v>
      </c>
      <c r="D845" s="1">
        <v>46224</v>
      </c>
      <c r="E845">
        <v>3.1765624955592299E-2</v>
      </c>
      <c r="F845" s="1">
        <v>46224.771774340275</v>
      </c>
      <c r="G845" t="s">
        <v>593</v>
      </c>
      <c r="H845" s="1">
        <v>46224.771774386572</v>
      </c>
      <c r="I845" t="s">
        <v>593</v>
      </c>
      <c r="J845" t="s">
        <v>5126</v>
      </c>
    </row>
    <row r="846" spans="1:10" x14ac:dyDescent="0.35">
      <c r="A846" t="s">
        <v>868</v>
      </c>
      <c r="B846" t="s">
        <v>591</v>
      </c>
      <c r="C846" t="s">
        <v>592</v>
      </c>
      <c r="D846" s="1">
        <v>46224</v>
      </c>
      <c r="E846">
        <v>2.7585952118209901E-2</v>
      </c>
      <c r="F846" s="1">
        <v>46224.771740428238</v>
      </c>
      <c r="G846" t="s">
        <v>593</v>
      </c>
      <c r="H846" s="1">
        <v>46224.771740509263</v>
      </c>
      <c r="I846" t="s">
        <v>593</v>
      </c>
      <c r="J846" t="s">
        <v>5127</v>
      </c>
    </row>
    <row r="847" spans="1:10" x14ac:dyDescent="0.35">
      <c r="A847" t="s">
        <v>869</v>
      </c>
      <c r="B847" t="s">
        <v>591</v>
      </c>
      <c r="C847" t="s">
        <v>592</v>
      </c>
      <c r="D847" s="1">
        <v>46224</v>
      </c>
      <c r="E847">
        <v>2.8844659418969801E-2</v>
      </c>
      <c r="F847" s="1">
        <v>46224.771704398147</v>
      </c>
      <c r="G847" t="s">
        <v>593</v>
      </c>
      <c r="H847" s="1">
        <v>46224.771704282408</v>
      </c>
      <c r="I847" t="s">
        <v>593</v>
      </c>
      <c r="J847" t="s">
        <v>5128</v>
      </c>
    </row>
    <row r="848" spans="1:10" x14ac:dyDescent="0.35">
      <c r="A848" t="s">
        <v>870</v>
      </c>
      <c r="B848" t="s">
        <v>591</v>
      </c>
      <c r="C848" t="s">
        <v>592</v>
      </c>
      <c r="D848" s="1">
        <v>46224</v>
      </c>
      <c r="E848">
        <v>3.6685823366806099E-2</v>
      </c>
      <c r="F848" s="1">
        <v>46224.771712731483</v>
      </c>
      <c r="G848" t="s">
        <v>593</v>
      </c>
      <c r="H848" s="1">
        <v>46224.771712696762</v>
      </c>
      <c r="I848" t="s">
        <v>593</v>
      </c>
      <c r="J848" t="s">
        <v>5129</v>
      </c>
    </row>
    <row r="849" spans="1:10" x14ac:dyDescent="0.35">
      <c r="A849" t="s">
        <v>871</v>
      </c>
      <c r="B849" t="s">
        <v>591</v>
      </c>
      <c r="C849" t="s">
        <v>592</v>
      </c>
      <c r="D849" s="1">
        <v>46224</v>
      </c>
      <c r="E849">
        <v>2.91156652705514E-2</v>
      </c>
      <c r="F849" s="1">
        <v>46224.771700578705</v>
      </c>
      <c r="G849" t="s">
        <v>593</v>
      </c>
      <c r="H849" s="1">
        <v>46224.771700578705</v>
      </c>
      <c r="I849" t="s">
        <v>593</v>
      </c>
      <c r="J849" t="s">
        <v>5130</v>
      </c>
    </row>
    <row r="850" spans="1:10" x14ac:dyDescent="0.35">
      <c r="A850" t="s">
        <v>872</v>
      </c>
      <c r="B850" t="s">
        <v>591</v>
      </c>
      <c r="C850" t="s">
        <v>592</v>
      </c>
      <c r="D850" s="1">
        <v>46224</v>
      </c>
      <c r="E850">
        <v>3.3188191346637398E-2</v>
      </c>
      <c r="F850" s="1">
        <v>46224.771711921298</v>
      </c>
      <c r="G850" t="s">
        <v>593</v>
      </c>
      <c r="H850" s="1">
        <v>46224.771712002315</v>
      </c>
      <c r="I850" t="s">
        <v>593</v>
      </c>
      <c r="J850" t="s">
        <v>5131</v>
      </c>
    </row>
    <row r="851" spans="1:10" x14ac:dyDescent="0.35">
      <c r="A851" t="s">
        <v>873</v>
      </c>
      <c r="B851" t="s">
        <v>591</v>
      </c>
      <c r="C851" t="s">
        <v>592</v>
      </c>
      <c r="D851" s="1">
        <v>46224</v>
      </c>
      <c r="E851">
        <v>2.9273809804607202E-2</v>
      </c>
      <c r="F851" s="1">
        <v>46224.771772025466</v>
      </c>
      <c r="G851" t="s">
        <v>593</v>
      </c>
      <c r="H851" s="1">
        <v>46224.771771990738</v>
      </c>
      <c r="I851" t="s">
        <v>593</v>
      </c>
      <c r="J851" t="s">
        <v>5132</v>
      </c>
    </row>
    <row r="852" spans="1:10" x14ac:dyDescent="0.35">
      <c r="A852" t="s">
        <v>874</v>
      </c>
      <c r="B852" t="s">
        <v>591</v>
      </c>
      <c r="C852" t="s">
        <v>592</v>
      </c>
      <c r="D852" s="1">
        <v>46224</v>
      </c>
      <c r="E852">
        <v>3.6658151827227398E-2</v>
      </c>
      <c r="F852" s="1">
        <v>46224.771696064818</v>
      </c>
      <c r="G852" t="s">
        <v>593</v>
      </c>
      <c r="H852" s="1">
        <v>46224.771696064818</v>
      </c>
      <c r="I852" t="s">
        <v>593</v>
      </c>
      <c r="J852" t="s">
        <v>5133</v>
      </c>
    </row>
    <row r="853" spans="1:10" x14ac:dyDescent="0.35">
      <c r="A853" t="s">
        <v>875</v>
      </c>
      <c r="B853" t="s">
        <v>591</v>
      </c>
      <c r="C853" t="s">
        <v>592</v>
      </c>
      <c r="D853" s="1">
        <v>46224</v>
      </c>
      <c r="E853">
        <v>2.8257225391490198E-2</v>
      </c>
      <c r="F853" s="1">
        <v>46224.771710185189</v>
      </c>
      <c r="G853" t="s">
        <v>593</v>
      </c>
      <c r="H853" s="1">
        <v>46224.77171015046</v>
      </c>
      <c r="I853" t="s">
        <v>593</v>
      </c>
      <c r="J853" t="s">
        <v>5134</v>
      </c>
    </row>
    <row r="854" spans="1:10" x14ac:dyDescent="0.35">
      <c r="A854" t="s">
        <v>876</v>
      </c>
      <c r="B854" t="s">
        <v>591</v>
      </c>
      <c r="C854" t="s">
        <v>592</v>
      </c>
      <c r="D854" s="1">
        <v>46224</v>
      </c>
      <c r="E854">
        <v>2.6436138845564301E-2</v>
      </c>
      <c r="F854" s="1">
        <v>46224.771701388891</v>
      </c>
      <c r="G854" t="s">
        <v>593</v>
      </c>
      <c r="H854" s="1">
        <v>46224.771701307873</v>
      </c>
      <c r="I854" t="s">
        <v>593</v>
      </c>
      <c r="J854" t="s">
        <v>5135</v>
      </c>
    </row>
    <row r="855" spans="1:10" x14ac:dyDescent="0.35">
      <c r="A855" t="s">
        <v>877</v>
      </c>
      <c r="B855" t="s">
        <v>591</v>
      </c>
      <c r="C855" t="s">
        <v>592</v>
      </c>
      <c r="D855" s="1">
        <v>46224</v>
      </c>
      <c r="E855">
        <v>2.7372028130479301E-2</v>
      </c>
      <c r="F855" s="1">
        <v>46224.77174945602</v>
      </c>
      <c r="G855" t="s">
        <v>593</v>
      </c>
      <c r="H855" s="1">
        <v>46224.771749386571</v>
      </c>
      <c r="I855" t="s">
        <v>593</v>
      </c>
      <c r="J855" t="s">
        <v>5136</v>
      </c>
    </row>
    <row r="856" spans="1:10" x14ac:dyDescent="0.35">
      <c r="A856" t="s">
        <v>878</v>
      </c>
      <c r="B856" t="s">
        <v>591</v>
      </c>
      <c r="C856" t="s">
        <v>592</v>
      </c>
      <c r="D856" s="1">
        <v>46224</v>
      </c>
      <c r="E856">
        <v>2.7579608556650901E-2</v>
      </c>
      <c r="F856" s="1">
        <v>46224.771701851852</v>
      </c>
      <c r="G856" t="s">
        <v>593</v>
      </c>
      <c r="H856" s="1">
        <v>46224.771701851852</v>
      </c>
      <c r="I856" t="s">
        <v>593</v>
      </c>
      <c r="J856" t="s">
        <v>5137</v>
      </c>
    </row>
    <row r="857" spans="1:10" x14ac:dyDescent="0.35">
      <c r="A857" t="s">
        <v>879</v>
      </c>
      <c r="B857" t="s">
        <v>591</v>
      </c>
      <c r="C857" t="s">
        <v>592</v>
      </c>
      <c r="D857" s="1">
        <v>46224</v>
      </c>
      <c r="E857">
        <v>2.82434305758952E-2</v>
      </c>
      <c r="F857" s="1">
        <v>46224.771736886571</v>
      </c>
      <c r="G857" t="s">
        <v>593</v>
      </c>
      <c r="H857" s="1">
        <v>46224.77173695602</v>
      </c>
      <c r="I857" t="s">
        <v>593</v>
      </c>
      <c r="J857" t="s">
        <v>5138</v>
      </c>
    </row>
    <row r="858" spans="1:10" x14ac:dyDescent="0.35">
      <c r="A858" t="s">
        <v>880</v>
      </c>
      <c r="B858" t="s">
        <v>591</v>
      </c>
      <c r="C858" t="s">
        <v>592</v>
      </c>
      <c r="D858" s="1">
        <v>46224</v>
      </c>
      <c r="E858">
        <v>2.8640448657530199E-2</v>
      </c>
      <c r="F858" s="1">
        <v>46224.771722303238</v>
      </c>
      <c r="G858" t="s">
        <v>593</v>
      </c>
      <c r="H858" s="1">
        <v>46224.771722303238</v>
      </c>
      <c r="I858" t="s">
        <v>593</v>
      </c>
      <c r="J858" t="s">
        <v>5139</v>
      </c>
    </row>
    <row r="859" spans="1:10" x14ac:dyDescent="0.35">
      <c r="A859" t="s">
        <v>881</v>
      </c>
      <c r="B859" t="s">
        <v>591</v>
      </c>
      <c r="C859" t="s">
        <v>592</v>
      </c>
      <c r="D859" s="1">
        <v>46224</v>
      </c>
      <c r="E859">
        <v>3.0211863225291201E-2</v>
      </c>
      <c r="F859" s="1">
        <v>46224.771732442132</v>
      </c>
      <c r="G859" t="s">
        <v>593</v>
      </c>
      <c r="H859" s="1">
        <v>46224.771732442132</v>
      </c>
      <c r="I859" t="s">
        <v>593</v>
      </c>
      <c r="J859" t="s">
        <v>5140</v>
      </c>
    </row>
    <row r="860" spans="1:10" x14ac:dyDescent="0.35">
      <c r="A860" t="s">
        <v>882</v>
      </c>
      <c r="B860" t="s">
        <v>591</v>
      </c>
      <c r="C860" t="s">
        <v>592</v>
      </c>
      <c r="D860" s="1">
        <v>46224</v>
      </c>
      <c r="E860">
        <v>3.1875229294869599E-2</v>
      </c>
      <c r="F860" s="1">
        <v>46224.771692824077</v>
      </c>
      <c r="G860" t="s">
        <v>593</v>
      </c>
      <c r="H860" s="1">
        <v>46224.771692824077</v>
      </c>
      <c r="I860" t="s">
        <v>593</v>
      </c>
      <c r="J860" t="s">
        <v>5141</v>
      </c>
    </row>
    <row r="861" spans="1:10" x14ac:dyDescent="0.35">
      <c r="A861" t="s">
        <v>883</v>
      </c>
      <c r="B861" t="s">
        <v>591</v>
      </c>
      <c r="C861" t="s">
        <v>592</v>
      </c>
      <c r="D861" s="1">
        <v>46224</v>
      </c>
      <c r="E861">
        <v>3.3425841990144402E-2</v>
      </c>
      <c r="F861" s="1">
        <v>46224.77169390046</v>
      </c>
      <c r="G861" t="s">
        <v>593</v>
      </c>
      <c r="H861" s="1">
        <v>46224.77169390046</v>
      </c>
      <c r="I861" t="s">
        <v>593</v>
      </c>
      <c r="J861" t="s">
        <v>5142</v>
      </c>
    </row>
    <row r="862" spans="1:10" x14ac:dyDescent="0.35">
      <c r="A862" t="s">
        <v>884</v>
      </c>
      <c r="B862" t="s">
        <v>591</v>
      </c>
      <c r="C862" t="s">
        <v>592</v>
      </c>
      <c r="D862" s="1">
        <v>46224</v>
      </c>
      <c r="E862">
        <v>3.39526602020453E-2</v>
      </c>
      <c r="F862" s="1">
        <v>46224.771762997683</v>
      </c>
      <c r="G862" t="s">
        <v>593</v>
      </c>
      <c r="H862" s="1">
        <v>46224.771762928242</v>
      </c>
      <c r="I862" t="s">
        <v>593</v>
      </c>
      <c r="J862" t="s">
        <v>5143</v>
      </c>
    </row>
    <row r="863" spans="1:10" x14ac:dyDescent="0.35">
      <c r="A863" t="s">
        <v>885</v>
      </c>
      <c r="B863" t="s">
        <v>591</v>
      </c>
      <c r="C863" t="s">
        <v>592</v>
      </c>
      <c r="D863" s="1">
        <v>46224</v>
      </c>
      <c r="E863">
        <v>3.4935087746820297E-2</v>
      </c>
      <c r="F863" s="1">
        <v>46224.771722453705</v>
      </c>
      <c r="G863" t="s">
        <v>593</v>
      </c>
      <c r="H863" s="1">
        <v>46224.771722488425</v>
      </c>
      <c r="I863" t="s">
        <v>593</v>
      </c>
      <c r="J863" t="s">
        <v>5144</v>
      </c>
    </row>
    <row r="864" spans="1:10" x14ac:dyDescent="0.35">
      <c r="A864" t="s">
        <v>886</v>
      </c>
      <c r="B864" t="s">
        <v>591</v>
      </c>
      <c r="C864" t="s">
        <v>592</v>
      </c>
      <c r="D864" s="1">
        <v>46224</v>
      </c>
      <c r="E864">
        <v>3.5542707272339498E-2</v>
      </c>
      <c r="F864" s="1">
        <v>46224.771693750001</v>
      </c>
      <c r="G864" t="s">
        <v>593</v>
      </c>
      <c r="H864" s="1">
        <v>46224.77169371528</v>
      </c>
      <c r="I864" t="s">
        <v>593</v>
      </c>
      <c r="J864" t="s">
        <v>5145</v>
      </c>
    </row>
    <row r="865" spans="1:10" x14ac:dyDescent="0.35">
      <c r="A865" t="s">
        <v>887</v>
      </c>
      <c r="B865" t="s">
        <v>591</v>
      </c>
      <c r="C865" t="s">
        <v>592</v>
      </c>
      <c r="D865" s="1">
        <v>46224</v>
      </c>
      <c r="E865">
        <v>2.3420480144967799E-2</v>
      </c>
      <c r="F865" s="1">
        <v>46224.77173734954</v>
      </c>
      <c r="G865" t="s">
        <v>593</v>
      </c>
      <c r="H865" s="1">
        <v>46224.771737303243</v>
      </c>
      <c r="I865" t="s">
        <v>593</v>
      </c>
      <c r="J865" t="s">
        <v>5146</v>
      </c>
    </row>
    <row r="866" spans="1:10" x14ac:dyDescent="0.35">
      <c r="A866" t="s">
        <v>888</v>
      </c>
      <c r="B866" t="s">
        <v>591</v>
      </c>
      <c r="C866" t="s">
        <v>592</v>
      </c>
      <c r="D866" s="1">
        <v>46224</v>
      </c>
      <c r="E866">
        <v>2.57953325551569E-2</v>
      </c>
      <c r="F866" s="1">
        <v>46224.771786689817</v>
      </c>
      <c r="G866" t="s">
        <v>593</v>
      </c>
      <c r="H866" s="1">
        <v>46224.771786689817</v>
      </c>
      <c r="I866" t="s">
        <v>593</v>
      </c>
      <c r="J866" t="s">
        <v>5147</v>
      </c>
    </row>
    <row r="867" spans="1:10" x14ac:dyDescent="0.35">
      <c r="A867" t="s">
        <v>889</v>
      </c>
      <c r="B867" t="s">
        <v>591</v>
      </c>
      <c r="C867" t="s">
        <v>592</v>
      </c>
      <c r="D867" s="1">
        <v>46224</v>
      </c>
      <c r="E867">
        <v>2.7081705309142199E-2</v>
      </c>
      <c r="F867" s="1">
        <v>46224.771722604164</v>
      </c>
      <c r="G867" t="s">
        <v>593</v>
      </c>
      <c r="H867" s="1">
        <v>46224.771722685182</v>
      </c>
      <c r="I867" t="s">
        <v>593</v>
      </c>
      <c r="J867" t="s">
        <v>5148</v>
      </c>
    </row>
    <row r="868" spans="1:10" x14ac:dyDescent="0.35">
      <c r="A868" t="s">
        <v>890</v>
      </c>
      <c r="B868" t="s">
        <v>591</v>
      </c>
      <c r="C868" t="s">
        <v>592</v>
      </c>
      <c r="D868" s="1">
        <v>46224</v>
      </c>
      <c r="E868">
        <v>4.4358459642251803E-2</v>
      </c>
      <c r="F868" s="1">
        <v>46224.771735069444</v>
      </c>
      <c r="G868" t="s">
        <v>593</v>
      </c>
      <c r="H868" s="1">
        <v>46224.771735150462</v>
      </c>
      <c r="I868" t="s">
        <v>593</v>
      </c>
      <c r="J868" t="s">
        <v>5149</v>
      </c>
    </row>
    <row r="869" spans="1:10" x14ac:dyDescent="0.35">
      <c r="A869" t="s">
        <v>891</v>
      </c>
      <c r="B869" t="s">
        <v>591</v>
      </c>
      <c r="C869" t="s">
        <v>592</v>
      </c>
      <c r="D869" s="1">
        <v>46224</v>
      </c>
      <c r="E869">
        <v>2.2879623012221399E-2</v>
      </c>
      <c r="F869" s="1">
        <v>46224.771780671297</v>
      </c>
      <c r="G869" t="s">
        <v>593</v>
      </c>
      <c r="H869" s="1">
        <v>46224.771780706018</v>
      </c>
      <c r="I869" t="s">
        <v>593</v>
      </c>
      <c r="J869" t="s">
        <v>5150</v>
      </c>
    </row>
    <row r="870" spans="1:10" x14ac:dyDescent="0.35">
      <c r="A870" t="s">
        <v>892</v>
      </c>
      <c r="B870" t="s">
        <v>591</v>
      </c>
      <c r="C870" t="s">
        <v>592</v>
      </c>
      <c r="D870" s="1">
        <v>46224</v>
      </c>
      <c r="E870">
        <v>2.41751903883165E-2</v>
      </c>
      <c r="F870" s="1">
        <v>46224.771738275464</v>
      </c>
      <c r="G870" t="s">
        <v>593</v>
      </c>
      <c r="H870" s="1">
        <v>46224.771738275464</v>
      </c>
      <c r="I870" t="s">
        <v>593</v>
      </c>
      <c r="J870" t="s">
        <v>5151</v>
      </c>
    </row>
    <row r="871" spans="1:10" x14ac:dyDescent="0.35">
      <c r="A871" t="s">
        <v>893</v>
      </c>
      <c r="B871" t="s">
        <v>591</v>
      </c>
      <c r="C871" t="s">
        <v>592</v>
      </c>
      <c r="D871" s="1">
        <v>46224</v>
      </c>
      <c r="E871">
        <v>2.5558807299305802E-2</v>
      </c>
      <c r="F871" s="1">
        <v>46224.771696990741</v>
      </c>
      <c r="G871" t="s">
        <v>593</v>
      </c>
      <c r="H871" s="1">
        <v>46224.771696956021</v>
      </c>
      <c r="I871" t="s">
        <v>593</v>
      </c>
      <c r="J871" t="s">
        <v>5152</v>
      </c>
    </row>
    <row r="872" spans="1:10" x14ac:dyDescent="0.35">
      <c r="A872" t="s">
        <v>894</v>
      </c>
      <c r="B872" t="s">
        <v>591</v>
      </c>
      <c r="C872" t="s">
        <v>592</v>
      </c>
      <c r="D872" s="1">
        <v>46224</v>
      </c>
      <c r="E872">
        <v>2.64473321799234E-2</v>
      </c>
      <c r="F872" s="1">
        <v>46224.771739467593</v>
      </c>
      <c r="G872" t="s">
        <v>593</v>
      </c>
      <c r="H872" s="1">
        <v>46224.771739618052</v>
      </c>
      <c r="I872" t="s">
        <v>593</v>
      </c>
      <c r="J872" t="s">
        <v>5153</v>
      </c>
    </row>
    <row r="873" spans="1:10" x14ac:dyDescent="0.35">
      <c r="A873" t="s">
        <v>895</v>
      </c>
      <c r="B873" t="s">
        <v>591</v>
      </c>
      <c r="C873" t="s">
        <v>592</v>
      </c>
      <c r="D873" s="1">
        <v>46224</v>
      </c>
      <c r="E873">
        <v>2.71343818014755E-2</v>
      </c>
      <c r="F873" s="1">
        <v>46224.771771261578</v>
      </c>
      <c r="G873" t="s">
        <v>593</v>
      </c>
      <c r="H873" s="1">
        <v>46224.771771261578</v>
      </c>
      <c r="I873" t="s">
        <v>593</v>
      </c>
      <c r="J873" t="s">
        <v>5154</v>
      </c>
    </row>
    <row r="874" spans="1:10" x14ac:dyDescent="0.35">
      <c r="A874" t="s">
        <v>896</v>
      </c>
      <c r="B874" t="s">
        <v>591</v>
      </c>
      <c r="C874" t="s">
        <v>592</v>
      </c>
      <c r="D874" s="1">
        <v>46224</v>
      </c>
      <c r="E874">
        <v>2.7518394719107601E-2</v>
      </c>
      <c r="F874" s="1">
        <v>46224.771691284725</v>
      </c>
      <c r="G874" t="s">
        <v>593</v>
      </c>
      <c r="H874" s="1">
        <v>46224.771691168979</v>
      </c>
      <c r="I874" t="s">
        <v>593</v>
      </c>
      <c r="J874" t="s">
        <v>5155</v>
      </c>
    </row>
    <row r="875" spans="1:10" x14ac:dyDescent="0.35">
      <c r="A875" t="s">
        <v>897</v>
      </c>
      <c r="B875" t="s">
        <v>591</v>
      </c>
      <c r="C875" t="s">
        <v>592</v>
      </c>
      <c r="D875" s="1">
        <v>46224</v>
      </c>
      <c r="E875">
        <v>2.7801921003567501E-2</v>
      </c>
      <c r="F875" s="1">
        <v>46224.77176087963</v>
      </c>
      <c r="G875" t="s">
        <v>593</v>
      </c>
      <c r="H875" s="1">
        <v>46224.771760798612</v>
      </c>
      <c r="I875" t="s">
        <v>593</v>
      </c>
      <c r="J875" t="s">
        <v>5156</v>
      </c>
    </row>
    <row r="876" spans="1:10" x14ac:dyDescent="0.35">
      <c r="A876" t="s">
        <v>898</v>
      </c>
      <c r="B876" t="s">
        <v>591</v>
      </c>
      <c r="C876" t="s">
        <v>592</v>
      </c>
      <c r="D876" s="1">
        <v>46224</v>
      </c>
      <c r="E876">
        <v>2.7938272707028599E-2</v>
      </c>
      <c r="F876" s="1">
        <v>46224.771760682874</v>
      </c>
      <c r="G876" t="s">
        <v>593</v>
      </c>
      <c r="H876" s="1">
        <v>46224.771760613425</v>
      </c>
      <c r="I876" t="s">
        <v>593</v>
      </c>
      <c r="J876" t="s">
        <v>5157</v>
      </c>
    </row>
    <row r="877" spans="1:10" x14ac:dyDescent="0.35">
      <c r="A877" t="s">
        <v>5158</v>
      </c>
      <c r="B877" t="s">
        <v>591</v>
      </c>
      <c r="C877" t="s">
        <v>592</v>
      </c>
      <c r="D877" s="1">
        <v>46224</v>
      </c>
      <c r="E877">
        <v>2.8018550539148399E-2</v>
      </c>
      <c r="F877" s="1">
        <v>46224.771761608798</v>
      </c>
      <c r="G877" t="s">
        <v>593</v>
      </c>
      <c r="H877" s="1">
        <v>46224.771761574077</v>
      </c>
      <c r="I877" t="s">
        <v>593</v>
      </c>
      <c r="J877" t="s">
        <v>5159</v>
      </c>
    </row>
    <row r="878" spans="1:10" x14ac:dyDescent="0.35">
      <c r="A878" t="s">
        <v>899</v>
      </c>
      <c r="B878" t="s">
        <v>591</v>
      </c>
      <c r="C878" t="s">
        <v>592</v>
      </c>
      <c r="D878" s="1">
        <v>46224</v>
      </c>
      <c r="E878">
        <v>2.7736597233431699E-2</v>
      </c>
      <c r="F878" s="1">
        <v>46224.771719212964</v>
      </c>
      <c r="G878" t="s">
        <v>593</v>
      </c>
      <c r="H878" s="1">
        <v>46224.771719247685</v>
      </c>
      <c r="I878" t="s">
        <v>593</v>
      </c>
      <c r="J878" t="s">
        <v>5160</v>
      </c>
    </row>
    <row r="879" spans="1:10" x14ac:dyDescent="0.35">
      <c r="A879" t="s">
        <v>900</v>
      </c>
      <c r="B879" t="s">
        <v>591</v>
      </c>
      <c r="C879" t="s">
        <v>592</v>
      </c>
      <c r="D879" s="1">
        <v>46224</v>
      </c>
      <c r="E879">
        <v>2.7923119710035499E-2</v>
      </c>
      <c r="F879" s="1">
        <v>46224.771748530089</v>
      </c>
      <c r="G879" t="s">
        <v>593</v>
      </c>
      <c r="H879" s="1">
        <v>46224.771748460647</v>
      </c>
      <c r="I879" t="s">
        <v>593</v>
      </c>
      <c r="J879" t="s">
        <v>5161</v>
      </c>
    </row>
    <row r="880" spans="1:10" x14ac:dyDescent="0.35">
      <c r="A880" t="s">
        <v>901</v>
      </c>
      <c r="B880" t="s">
        <v>591</v>
      </c>
      <c r="C880" t="s">
        <v>592</v>
      </c>
      <c r="D880" s="1">
        <v>46224</v>
      </c>
      <c r="E880">
        <v>2.8036343348337399E-2</v>
      </c>
      <c r="F880" s="1">
        <v>46224.771776967595</v>
      </c>
      <c r="G880" t="s">
        <v>593</v>
      </c>
      <c r="H880" s="1">
        <v>46224.771776932874</v>
      </c>
      <c r="I880" t="s">
        <v>593</v>
      </c>
      <c r="J880" t="s">
        <v>5162</v>
      </c>
    </row>
    <row r="881" spans="1:10" x14ac:dyDescent="0.35">
      <c r="A881" t="s">
        <v>902</v>
      </c>
      <c r="B881" t="s">
        <v>591</v>
      </c>
      <c r="C881" t="s">
        <v>592</v>
      </c>
      <c r="D881" s="1">
        <v>46224</v>
      </c>
      <c r="E881">
        <v>2.8197687313607899E-2</v>
      </c>
      <c r="F881" s="1">
        <v>46224.771720138888</v>
      </c>
      <c r="G881" t="s">
        <v>593</v>
      </c>
      <c r="H881" s="1">
        <v>46224.771720138888</v>
      </c>
      <c r="I881" t="s">
        <v>593</v>
      </c>
      <c r="J881" t="s">
        <v>5163</v>
      </c>
    </row>
    <row r="882" spans="1:10" x14ac:dyDescent="0.35">
      <c r="A882" t="s">
        <v>903</v>
      </c>
      <c r="B882" t="s">
        <v>591</v>
      </c>
      <c r="C882" t="s">
        <v>592</v>
      </c>
      <c r="D882" s="1">
        <v>46224</v>
      </c>
      <c r="E882">
        <v>2.84349068836224E-2</v>
      </c>
      <c r="F882" s="1">
        <v>46224.771755590278</v>
      </c>
      <c r="G882" t="s">
        <v>593</v>
      </c>
      <c r="H882" s="1">
        <v>46224.771755520836</v>
      </c>
      <c r="I882" t="s">
        <v>593</v>
      </c>
      <c r="J882" t="s">
        <v>5164</v>
      </c>
    </row>
    <row r="883" spans="1:10" x14ac:dyDescent="0.35">
      <c r="A883" t="s">
        <v>904</v>
      </c>
      <c r="B883" t="s">
        <v>591</v>
      </c>
      <c r="C883" t="s">
        <v>592</v>
      </c>
      <c r="D883" s="1">
        <v>46224</v>
      </c>
      <c r="E883">
        <v>2.8639902407919599E-2</v>
      </c>
      <c r="F883" s="1">
        <v>46224.771728587963</v>
      </c>
      <c r="G883" t="s">
        <v>593</v>
      </c>
      <c r="H883" s="1">
        <v>46224.771728622683</v>
      </c>
      <c r="I883" t="s">
        <v>593</v>
      </c>
      <c r="J883" t="s">
        <v>5165</v>
      </c>
    </row>
    <row r="884" spans="1:10" x14ac:dyDescent="0.35">
      <c r="A884" t="s">
        <v>905</v>
      </c>
      <c r="B884" t="s">
        <v>591</v>
      </c>
      <c r="C884" t="s">
        <v>592</v>
      </c>
      <c r="D884" s="1">
        <v>46224</v>
      </c>
      <c r="E884">
        <v>2.8903056655952102E-2</v>
      </c>
      <c r="F884" s="1">
        <v>46224.77177496528</v>
      </c>
      <c r="G884" t="s">
        <v>593</v>
      </c>
      <c r="H884" s="1">
        <v>46224.771774918983</v>
      </c>
      <c r="I884" t="s">
        <v>593</v>
      </c>
      <c r="J884" t="s">
        <v>5166</v>
      </c>
    </row>
    <row r="885" spans="1:10" x14ac:dyDescent="0.35">
      <c r="A885" t="s">
        <v>906</v>
      </c>
      <c r="B885" t="s">
        <v>591</v>
      </c>
      <c r="C885" t="s">
        <v>592</v>
      </c>
      <c r="D885" s="1">
        <v>46224</v>
      </c>
      <c r="E885">
        <v>2.8694658247278199E-2</v>
      </c>
      <c r="F885" s="1">
        <v>46224.771720023149</v>
      </c>
      <c r="G885" t="s">
        <v>593</v>
      </c>
      <c r="H885" s="1">
        <v>46224.771719988428</v>
      </c>
      <c r="I885" t="s">
        <v>593</v>
      </c>
      <c r="J885" t="s">
        <v>5167</v>
      </c>
    </row>
    <row r="886" spans="1:10" x14ac:dyDescent="0.35">
      <c r="A886" t="s">
        <v>907</v>
      </c>
      <c r="B886" t="s">
        <v>591</v>
      </c>
      <c r="C886" t="s">
        <v>592</v>
      </c>
      <c r="D886" s="1">
        <v>46224</v>
      </c>
      <c r="E886">
        <v>2.96020876575472E-2</v>
      </c>
      <c r="F886" s="1">
        <v>46224.771727662039</v>
      </c>
      <c r="G886" t="s">
        <v>593</v>
      </c>
      <c r="H886" s="1">
        <v>46224.771727627318</v>
      </c>
      <c r="I886" t="s">
        <v>593</v>
      </c>
      <c r="J886" t="s">
        <v>5168</v>
      </c>
    </row>
    <row r="887" spans="1:10" x14ac:dyDescent="0.35">
      <c r="A887" t="s">
        <v>908</v>
      </c>
      <c r="B887" t="s">
        <v>591</v>
      </c>
      <c r="C887" t="s">
        <v>592</v>
      </c>
      <c r="D887" s="1">
        <v>46224</v>
      </c>
      <c r="E887">
        <v>3.6606511669312197E-2</v>
      </c>
      <c r="F887" s="1">
        <v>46224.771777314818</v>
      </c>
      <c r="G887" t="s">
        <v>593</v>
      </c>
      <c r="H887" s="1">
        <v>46224.77177728009</v>
      </c>
      <c r="I887" t="s">
        <v>593</v>
      </c>
      <c r="J887" t="s">
        <v>5169</v>
      </c>
    </row>
    <row r="888" spans="1:10" x14ac:dyDescent="0.35">
      <c r="A888" t="s">
        <v>909</v>
      </c>
      <c r="B888" t="s">
        <v>591</v>
      </c>
      <c r="C888" t="s">
        <v>592</v>
      </c>
      <c r="D888" s="1">
        <v>46224</v>
      </c>
      <c r="E888">
        <v>3.6631339556582099E-2</v>
      </c>
      <c r="F888" s="1">
        <v>46224.771750694446</v>
      </c>
      <c r="G888" t="s">
        <v>593</v>
      </c>
      <c r="H888" s="1">
        <v>46224.771750694446</v>
      </c>
      <c r="I888" t="s">
        <v>593</v>
      </c>
      <c r="J888" t="s">
        <v>5170</v>
      </c>
    </row>
    <row r="889" spans="1:10" x14ac:dyDescent="0.35">
      <c r="A889" t="s">
        <v>910</v>
      </c>
      <c r="B889" t="s">
        <v>591</v>
      </c>
      <c r="C889" t="s">
        <v>592</v>
      </c>
      <c r="D889" s="1">
        <v>46224</v>
      </c>
      <c r="E889">
        <v>3.4613305374511197E-2</v>
      </c>
      <c r="F889" s="1">
        <v>46224.771756944443</v>
      </c>
      <c r="G889" t="s">
        <v>593</v>
      </c>
      <c r="H889" s="1">
        <v>46224.771756979164</v>
      </c>
      <c r="I889" t="s">
        <v>593</v>
      </c>
      <c r="J889" t="s">
        <v>5171</v>
      </c>
    </row>
    <row r="890" spans="1:10" x14ac:dyDescent="0.35">
      <c r="A890" t="s">
        <v>911</v>
      </c>
      <c r="B890" t="s">
        <v>591</v>
      </c>
      <c r="C890" t="s">
        <v>592</v>
      </c>
      <c r="D890" s="1">
        <v>46224</v>
      </c>
      <c r="E890">
        <v>3.5983715364111997E-2</v>
      </c>
      <c r="F890" s="1">
        <v>46224.771716631942</v>
      </c>
      <c r="G890" t="s">
        <v>593</v>
      </c>
      <c r="H890" s="1">
        <v>46224.771716516203</v>
      </c>
      <c r="I890" t="s">
        <v>593</v>
      </c>
      <c r="J890" t="s">
        <v>5172</v>
      </c>
    </row>
    <row r="891" spans="1:10" x14ac:dyDescent="0.35">
      <c r="A891" t="s">
        <v>912</v>
      </c>
      <c r="B891" t="s">
        <v>591</v>
      </c>
      <c r="C891" t="s">
        <v>592</v>
      </c>
      <c r="D891" s="1">
        <v>46224</v>
      </c>
      <c r="E891">
        <v>2.9787116061143398E-2</v>
      </c>
      <c r="F891" s="1">
        <v>46224.77177295139</v>
      </c>
      <c r="G891" t="s">
        <v>593</v>
      </c>
      <c r="H891" s="1">
        <v>46224.771772916669</v>
      </c>
      <c r="I891" t="s">
        <v>593</v>
      </c>
      <c r="J891" t="s">
        <v>5173</v>
      </c>
    </row>
    <row r="892" spans="1:10" x14ac:dyDescent="0.35">
      <c r="A892" t="s">
        <v>913</v>
      </c>
      <c r="B892" t="s">
        <v>591</v>
      </c>
      <c r="C892" t="s">
        <v>592</v>
      </c>
      <c r="D892" s="1">
        <v>46224</v>
      </c>
      <c r="E892">
        <v>3.0069422798368502E-2</v>
      </c>
      <c r="F892" s="1">
        <v>46224.771766701386</v>
      </c>
      <c r="G892" t="s">
        <v>593</v>
      </c>
      <c r="H892" s="1">
        <v>46224.771766747683</v>
      </c>
      <c r="I892" t="s">
        <v>593</v>
      </c>
      <c r="J892" t="s">
        <v>5174</v>
      </c>
    </row>
    <row r="893" spans="1:10" x14ac:dyDescent="0.35">
      <c r="A893" t="s">
        <v>914</v>
      </c>
      <c r="B893" t="s">
        <v>591</v>
      </c>
      <c r="C893" t="s">
        <v>592</v>
      </c>
      <c r="D893" s="1">
        <v>46224</v>
      </c>
      <c r="E893">
        <v>3.0368266949041399E-2</v>
      </c>
      <c r="F893" s="1">
        <v>46224.771689780093</v>
      </c>
      <c r="G893" t="s">
        <v>593</v>
      </c>
      <c r="H893" s="1">
        <v>46224.771689699075</v>
      </c>
      <c r="I893" t="s">
        <v>593</v>
      </c>
      <c r="J893" t="s">
        <v>5175</v>
      </c>
    </row>
    <row r="894" spans="1:10" x14ac:dyDescent="0.35">
      <c r="A894" t="s">
        <v>915</v>
      </c>
      <c r="B894" t="s">
        <v>591</v>
      </c>
      <c r="C894" t="s">
        <v>592</v>
      </c>
      <c r="D894" s="1">
        <v>46224</v>
      </c>
      <c r="E894">
        <v>3.06149887424947E-2</v>
      </c>
      <c r="F894" s="1">
        <v>46224.77172326389</v>
      </c>
      <c r="G894" t="s">
        <v>593</v>
      </c>
      <c r="H894" s="1">
        <v>46224.771723229169</v>
      </c>
      <c r="I894" t="s">
        <v>593</v>
      </c>
      <c r="J894" t="s">
        <v>5176</v>
      </c>
    </row>
    <row r="895" spans="1:10" x14ac:dyDescent="0.35">
      <c r="A895" t="s">
        <v>916</v>
      </c>
      <c r="B895" t="s">
        <v>591</v>
      </c>
      <c r="C895" t="s">
        <v>592</v>
      </c>
      <c r="D895" s="1">
        <v>46224</v>
      </c>
      <c r="E895">
        <v>3.0840740631780099E-2</v>
      </c>
      <c r="F895" s="1">
        <v>46224.77176959491</v>
      </c>
      <c r="G895" t="s">
        <v>593</v>
      </c>
      <c r="H895" s="1">
        <v>46224.7717696412</v>
      </c>
      <c r="I895" t="s">
        <v>593</v>
      </c>
      <c r="J895" t="s">
        <v>5177</v>
      </c>
    </row>
    <row r="896" spans="1:10" x14ac:dyDescent="0.35">
      <c r="A896" t="s">
        <v>917</v>
      </c>
      <c r="B896" t="s">
        <v>591</v>
      </c>
      <c r="C896" t="s">
        <v>592</v>
      </c>
      <c r="D896" s="1">
        <v>46224</v>
      </c>
      <c r="E896">
        <v>3.1112405154622901E-2</v>
      </c>
      <c r="F896" s="1">
        <v>46224.771705324078</v>
      </c>
      <c r="G896" t="s">
        <v>593</v>
      </c>
      <c r="H896" s="1">
        <v>46224.771705289349</v>
      </c>
      <c r="I896" t="s">
        <v>593</v>
      </c>
      <c r="J896" t="s">
        <v>5178</v>
      </c>
    </row>
    <row r="897" spans="1:10" x14ac:dyDescent="0.35">
      <c r="A897" t="s">
        <v>918</v>
      </c>
      <c r="B897" t="s">
        <v>591</v>
      </c>
      <c r="C897" t="s">
        <v>592</v>
      </c>
      <c r="D897" s="1">
        <v>46224</v>
      </c>
      <c r="E897">
        <v>3.1343946413430197E-2</v>
      </c>
      <c r="F897" s="1">
        <v>46224.771751157408</v>
      </c>
      <c r="G897" t="s">
        <v>593</v>
      </c>
      <c r="H897" s="1">
        <v>46224.771751192129</v>
      </c>
      <c r="I897" t="s">
        <v>593</v>
      </c>
      <c r="J897" t="s">
        <v>5179</v>
      </c>
    </row>
    <row r="898" spans="1:10" x14ac:dyDescent="0.35">
      <c r="A898" t="s">
        <v>1970</v>
      </c>
      <c r="B898" t="s">
        <v>591</v>
      </c>
      <c r="C898" t="s">
        <v>592</v>
      </c>
      <c r="D898" s="1">
        <v>46224</v>
      </c>
      <c r="E898">
        <v>3.1622472281803198E-2</v>
      </c>
      <c r="F898" s="1">
        <v>46224.771780324074</v>
      </c>
      <c r="G898" t="s">
        <v>593</v>
      </c>
      <c r="H898" s="1">
        <v>46224.771780358795</v>
      </c>
      <c r="I898" t="s">
        <v>593</v>
      </c>
      <c r="J898" t="s">
        <v>5180</v>
      </c>
    </row>
    <row r="899" spans="1:10" x14ac:dyDescent="0.35">
      <c r="A899" t="s">
        <v>919</v>
      </c>
      <c r="B899" t="s">
        <v>591</v>
      </c>
      <c r="C899" t="s">
        <v>592</v>
      </c>
      <c r="D899" s="1">
        <v>46224</v>
      </c>
      <c r="E899">
        <v>2.79423917104521E-2</v>
      </c>
      <c r="F899" s="1">
        <v>46224.771693437498</v>
      </c>
      <c r="G899" t="s">
        <v>593</v>
      </c>
      <c r="H899" s="1">
        <v>46224.771693368057</v>
      </c>
      <c r="I899" t="s">
        <v>593</v>
      </c>
      <c r="J899" t="s">
        <v>5181</v>
      </c>
    </row>
    <row r="900" spans="1:10" x14ac:dyDescent="0.35">
      <c r="A900" t="s">
        <v>920</v>
      </c>
      <c r="B900" t="s">
        <v>591</v>
      </c>
      <c r="C900" t="s">
        <v>592</v>
      </c>
      <c r="D900" s="1">
        <v>46224</v>
      </c>
      <c r="E900">
        <v>3.4505432860044198E-2</v>
      </c>
      <c r="F900" s="1">
        <v>46224.771718599535</v>
      </c>
      <c r="G900" t="s">
        <v>593</v>
      </c>
      <c r="H900" s="1">
        <v>46224.771718518517</v>
      </c>
      <c r="I900" t="s">
        <v>593</v>
      </c>
      <c r="J900" t="s">
        <v>5182</v>
      </c>
    </row>
    <row r="901" spans="1:10" x14ac:dyDescent="0.35">
      <c r="A901" t="s">
        <v>921</v>
      </c>
      <c r="B901" t="s">
        <v>591</v>
      </c>
      <c r="C901" t="s">
        <v>592</v>
      </c>
      <c r="D901" s="1">
        <v>46224</v>
      </c>
      <c r="E901">
        <v>2.97792843377633E-2</v>
      </c>
      <c r="F901" s="1">
        <v>46224.771695636577</v>
      </c>
      <c r="G901" t="s">
        <v>593</v>
      </c>
      <c r="H901" s="1">
        <v>46224.771695520831</v>
      </c>
      <c r="I901" t="s">
        <v>593</v>
      </c>
      <c r="J901" t="s">
        <v>5183</v>
      </c>
    </row>
    <row r="902" spans="1:10" x14ac:dyDescent="0.35">
      <c r="A902" t="s">
        <v>922</v>
      </c>
      <c r="B902" t="s">
        <v>591</v>
      </c>
      <c r="C902" t="s">
        <v>592</v>
      </c>
      <c r="D902" s="1">
        <v>46224</v>
      </c>
      <c r="E902">
        <v>3.0810351699755899E-2</v>
      </c>
      <c r="F902" s="1">
        <v>46224.771739039352</v>
      </c>
      <c r="G902" t="s">
        <v>593</v>
      </c>
      <c r="H902" s="1">
        <v>46224.771739004631</v>
      </c>
      <c r="I902" t="s">
        <v>593</v>
      </c>
      <c r="J902" t="s">
        <v>5184</v>
      </c>
    </row>
    <row r="903" spans="1:10" x14ac:dyDescent="0.35">
      <c r="A903" t="s">
        <v>923</v>
      </c>
      <c r="B903" t="s">
        <v>600</v>
      </c>
      <c r="C903" t="s">
        <v>592</v>
      </c>
      <c r="D903" s="1">
        <v>46224</v>
      </c>
      <c r="E903">
        <v>105.455</v>
      </c>
      <c r="F903" s="1">
        <v>46224.771668668982</v>
      </c>
      <c r="G903" t="s">
        <v>593</v>
      </c>
      <c r="H903" s="1">
        <v>46224.771668634261</v>
      </c>
      <c r="I903" t="s">
        <v>593</v>
      </c>
      <c r="J903" t="s">
        <v>4314</v>
      </c>
    </row>
    <row r="904" spans="1:10" x14ac:dyDescent="0.35">
      <c r="A904" t="s">
        <v>924</v>
      </c>
      <c r="B904" t="s">
        <v>600</v>
      </c>
      <c r="C904" t="s">
        <v>592</v>
      </c>
      <c r="D904" s="1">
        <v>46224</v>
      </c>
      <c r="E904">
        <v>105.46</v>
      </c>
      <c r="F904" s="1">
        <v>46224.771668831017</v>
      </c>
      <c r="G904" t="s">
        <v>593</v>
      </c>
      <c r="H904" s="1">
        <v>46224.771668831017</v>
      </c>
      <c r="I904" t="s">
        <v>593</v>
      </c>
      <c r="J904" t="s">
        <v>4314</v>
      </c>
    </row>
    <row r="905" spans="1:10" x14ac:dyDescent="0.35">
      <c r="A905" t="s">
        <v>967</v>
      </c>
      <c r="B905" t="s">
        <v>600</v>
      </c>
      <c r="C905" t="s">
        <v>592</v>
      </c>
      <c r="D905" s="1">
        <v>46224</v>
      </c>
      <c r="E905">
        <v>97.034999999999997</v>
      </c>
      <c r="F905" s="1">
        <v>46224.771668981484</v>
      </c>
      <c r="G905" t="s">
        <v>593</v>
      </c>
      <c r="H905" s="1">
        <v>46224.771669016205</v>
      </c>
      <c r="I905" t="s">
        <v>593</v>
      </c>
      <c r="J905" t="s">
        <v>4314</v>
      </c>
    </row>
    <row r="906" spans="1:10" x14ac:dyDescent="0.35">
      <c r="A906" t="s">
        <v>968</v>
      </c>
      <c r="B906" t="s">
        <v>600</v>
      </c>
      <c r="C906" t="s">
        <v>592</v>
      </c>
      <c r="D906" s="1">
        <v>46224</v>
      </c>
      <c r="E906">
        <v>96.944999999999993</v>
      </c>
      <c r="F906" s="1">
        <v>46224.771665312503</v>
      </c>
      <c r="G906" t="s">
        <v>593</v>
      </c>
      <c r="H906" s="1">
        <v>46224.7716653588</v>
      </c>
      <c r="I906" t="s">
        <v>593</v>
      </c>
      <c r="J906" t="s">
        <v>4314</v>
      </c>
    </row>
    <row r="907" spans="1:10" x14ac:dyDescent="0.35">
      <c r="A907" t="s">
        <v>1760</v>
      </c>
      <c r="B907" t="s">
        <v>600</v>
      </c>
      <c r="C907" t="s">
        <v>592</v>
      </c>
      <c r="D907" s="1">
        <v>46224</v>
      </c>
      <c r="E907">
        <v>96.83</v>
      </c>
      <c r="F907" s="1">
        <v>46224.771665474538</v>
      </c>
      <c r="G907" t="s">
        <v>593</v>
      </c>
      <c r="H907" s="1">
        <v>46224.7716653588</v>
      </c>
      <c r="I907" t="s">
        <v>593</v>
      </c>
      <c r="J907" t="s">
        <v>4314</v>
      </c>
    </row>
    <row r="908" spans="1:10" x14ac:dyDescent="0.35">
      <c r="A908" t="s">
        <v>969</v>
      </c>
      <c r="B908" t="s">
        <v>600</v>
      </c>
      <c r="C908" t="s">
        <v>592</v>
      </c>
      <c r="D908" s="1">
        <v>46224</v>
      </c>
      <c r="E908">
        <v>97.09</v>
      </c>
      <c r="F908" s="1">
        <v>46224.771665624998</v>
      </c>
      <c r="G908" t="s">
        <v>593</v>
      </c>
      <c r="H908" s="1">
        <v>46224.77166554398</v>
      </c>
      <c r="I908" t="s">
        <v>593</v>
      </c>
      <c r="J908" t="s">
        <v>4314</v>
      </c>
    </row>
    <row r="909" spans="1:10" x14ac:dyDescent="0.35">
      <c r="A909" t="s">
        <v>970</v>
      </c>
      <c r="B909" t="s">
        <v>600</v>
      </c>
      <c r="C909" t="s">
        <v>592</v>
      </c>
      <c r="D909" s="1">
        <v>46224</v>
      </c>
      <c r="E909">
        <v>97.114999999999995</v>
      </c>
      <c r="F909" s="1">
        <v>46224.771665821761</v>
      </c>
      <c r="G909" t="s">
        <v>593</v>
      </c>
      <c r="H909" s="1">
        <v>46224.771665706015</v>
      </c>
      <c r="I909" t="s">
        <v>593</v>
      </c>
      <c r="J909" t="s">
        <v>4314</v>
      </c>
    </row>
    <row r="910" spans="1:10" x14ac:dyDescent="0.35">
      <c r="A910" t="s">
        <v>971</v>
      </c>
      <c r="B910" t="s">
        <v>600</v>
      </c>
      <c r="C910" t="s">
        <v>592</v>
      </c>
      <c r="D910" s="1">
        <v>46224</v>
      </c>
      <c r="E910">
        <v>97.094999999999999</v>
      </c>
      <c r="F910" s="1">
        <v>46224.771665972221</v>
      </c>
      <c r="G910" t="s">
        <v>593</v>
      </c>
      <c r="H910" s="1">
        <v>46224.771665891203</v>
      </c>
      <c r="I910" t="s">
        <v>593</v>
      </c>
      <c r="J910" t="s">
        <v>4314</v>
      </c>
    </row>
    <row r="911" spans="1:10" x14ac:dyDescent="0.35">
      <c r="A911" t="s">
        <v>972</v>
      </c>
      <c r="B911" t="s">
        <v>600</v>
      </c>
      <c r="C911" t="s">
        <v>592</v>
      </c>
      <c r="D911" s="1">
        <v>46224</v>
      </c>
      <c r="E911">
        <v>97.015000000000001</v>
      </c>
      <c r="F911" s="1">
        <v>46224.771666122688</v>
      </c>
      <c r="G911" t="s">
        <v>593</v>
      </c>
      <c r="H911" s="1">
        <v>46224.77166608796</v>
      </c>
      <c r="I911" t="s">
        <v>593</v>
      </c>
      <c r="J911" t="s">
        <v>4314</v>
      </c>
    </row>
    <row r="912" spans="1:10" x14ac:dyDescent="0.35">
      <c r="A912" t="s">
        <v>973</v>
      </c>
      <c r="B912" t="s">
        <v>600</v>
      </c>
      <c r="C912" t="s">
        <v>592</v>
      </c>
      <c r="D912" s="1">
        <v>46224</v>
      </c>
      <c r="E912">
        <v>96.92</v>
      </c>
      <c r="F912" s="1">
        <v>46224.771664386572</v>
      </c>
      <c r="G912" t="s">
        <v>593</v>
      </c>
      <c r="H912" s="1">
        <v>46224.771664270833</v>
      </c>
      <c r="I912" t="s">
        <v>593</v>
      </c>
      <c r="J912" t="s">
        <v>4314</v>
      </c>
    </row>
    <row r="913" spans="1:10" x14ac:dyDescent="0.35">
      <c r="A913" t="s">
        <v>974</v>
      </c>
      <c r="B913" t="s">
        <v>600</v>
      </c>
      <c r="C913" t="s">
        <v>592</v>
      </c>
      <c r="D913" s="1">
        <v>46224</v>
      </c>
      <c r="E913">
        <v>97.05</v>
      </c>
      <c r="F913" s="1">
        <v>46224.771664548614</v>
      </c>
      <c r="G913" t="s">
        <v>593</v>
      </c>
      <c r="H913" s="1">
        <v>46224.771664432868</v>
      </c>
      <c r="I913" t="s">
        <v>593</v>
      </c>
      <c r="J913" t="s">
        <v>4314</v>
      </c>
    </row>
    <row r="914" spans="1:10" x14ac:dyDescent="0.35">
      <c r="A914" t="s">
        <v>975</v>
      </c>
      <c r="B914" t="s">
        <v>600</v>
      </c>
      <c r="C914" t="s">
        <v>592</v>
      </c>
      <c r="D914" s="1">
        <v>46224</v>
      </c>
      <c r="E914">
        <v>97.12</v>
      </c>
      <c r="F914" s="1">
        <v>46224.771664699074</v>
      </c>
      <c r="G914" t="s">
        <v>593</v>
      </c>
      <c r="H914" s="1">
        <v>46224.771664618056</v>
      </c>
      <c r="I914" t="s">
        <v>593</v>
      </c>
      <c r="J914" t="s">
        <v>4314</v>
      </c>
    </row>
    <row r="915" spans="1:10" x14ac:dyDescent="0.35">
      <c r="A915" t="s">
        <v>976</v>
      </c>
      <c r="B915" t="s">
        <v>600</v>
      </c>
      <c r="C915" t="s">
        <v>592</v>
      </c>
      <c r="D915" s="1">
        <v>46224</v>
      </c>
      <c r="E915">
        <v>97.084999999999994</v>
      </c>
      <c r="F915" s="1">
        <v>46224.771664849533</v>
      </c>
      <c r="G915" t="s">
        <v>593</v>
      </c>
      <c r="H915" s="1">
        <v>46224.771664814813</v>
      </c>
      <c r="I915" t="s">
        <v>593</v>
      </c>
      <c r="J915" t="s">
        <v>4314</v>
      </c>
    </row>
    <row r="916" spans="1:10" x14ac:dyDescent="0.35">
      <c r="A916" t="s">
        <v>977</v>
      </c>
      <c r="B916" t="s">
        <v>600</v>
      </c>
      <c r="C916" t="s">
        <v>592</v>
      </c>
      <c r="D916" s="1">
        <v>46224</v>
      </c>
      <c r="E916">
        <v>96.995000000000005</v>
      </c>
      <c r="F916" s="1">
        <v>46224.771665011576</v>
      </c>
      <c r="G916" t="s">
        <v>593</v>
      </c>
      <c r="H916" s="1">
        <v>46224.771665011576</v>
      </c>
      <c r="I916" t="s">
        <v>593</v>
      </c>
      <c r="J916" t="s">
        <v>4314</v>
      </c>
    </row>
    <row r="917" spans="1:10" x14ac:dyDescent="0.35">
      <c r="A917" t="s">
        <v>978</v>
      </c>
      <c r="B917" t="s">
        <v>600</v>
      </c>
      <c r="C917" t="s">
        <v>592</v>
      </c>
      <c r="D917" s="1">
        <v>46224</v>
      </c>
      <c r="E917">
        <v>96.89</v>
      </c>
      <c r="F917" s="1">
        <v>46224.771665162036</v>
      </c>
      <c r="G917" t="s">
        <v>593</v>
      </c>
      <c r="H917" s="1">
        <v>46224.771665162036</v>
      </c>
      <c r="I917" t="s">
        <v>593</v>
      </c>
      <c r="J917" t="s">
        <v>4314</v>
      </c>
    </row>
    <row r="918" spans="1:10" x14ac:dyDescent="0.35">
      <c r="A918" t="s">
        <v>979</v>
      </c>
      <c r="B918" t="s">
        <v>600</v>
      </c>
      <c r="C918" t="s">
        <v>592</v>
      </c>
      <c r="D918" s="1">
        <v>46224</v>
      </c>
      <c r="E918">
        <v>97.41</v>
      </c>
      <c r="F918" s="1">
        <v>46224.771663310188</v>
      </c>
      <c r="G918" t="s">
        <v>593</v>
      </c>
      <c r="H918" s="1">
        <v>46224.771663159721</v>
      </c>
      <c r="I918" t="s">
        <v>593</v>
      </c>
      <c r="J918" t="s">
        <v>4314</v>
      </c>
    </row>
    <row r="919" spans="1:10" x14ac:dyDescent="0.35">
      <c r="A919" t="s">
        <v>980</v>
      </c>
      <c r="B919" t="s">
        <v>600</v>
      </c>
      <c r="C919" t="s">
        <v>592</v>
      </c>
      <c r="D919" s="1">
        <v>46224</v>
      </c>
      <c r="E919">
        <v>97.06</v>
      </c>
      <c r="F919" s="1">
        <v>46224.771663460648</v>
      </c>
      <c r="G919" t="s">
        <v>593</v>
      </c>
      <c r="H919" s="1">
        <v>46224.771663344909</v>
      </c>
      <c r="I919" t="s">
        <v>593</v>
      </c>
      <c r="J919" t="s">
        <v>4314</v>
      </c>
    </row>
    <row r="920" spans="1:10" x14ac:dyDescent="0.35">
      <c r="A920" t="s">
        <v>981</v>
      </c>
      <c r="B920" t="s">
        <v>600</v>
      </c>
      <c r="C920" t="s">
        <v>592</v>
      </c>
      <c r="D920" s="1">
        <v>46224</v>
      </c>
      <c r="E920">
        <v>97.114999999999995</v>
      </c>
      <c r="F920" s="1">
        <v>46224.771663622683</v>
      </c>
      <c r="G920" t="s">
        <v>593</v>
      </c>
      <c r="H920" s="1">
        <v>46224.771663541665</v>
      </c>
      <c r="I920" t="s">
        <v>593</v>
      </c>
      <c r="J920" t="s">
        <v>4314</v>
      </c>
    </row>
    <row r="921" spans="1:10" x14ac:dyDescent="0.35">
      <c r="A921" t="s">
        <v>982</v>
      </c>
      <c r="B921" t="s">
        <v>600</v>
      </c>
      <c r="C921" t="s">
        <v>592</v>
      </c>
      <c r="D921" s="1">
        <v>46224</v>
      </c>
      <c r="E921">
        <v>97.07</v>
      </c>
      <c r="F921" s="1">
        <v>46224.77166377315</v>
      </c>
      <c r="G921" t="s">
        <v>593</v>
      </c>
      <c r="H921" s="1">
        <v>46224.771663738429</v>
      </c>
      <c r="I921" t="s">
        <v>593</v>
      </c>
      <c r="J921" t="s">
        <v>4314</v>
      </c>
    </row>
    <row r="922" spans="1:10" x14ac:dyDescent="0.35">
      <c r="A922" t="s">
        <v>983</v>
      </c>
      <c r="B922" t="s">
        <v>600</v>
      </c>
      <c r="C922" t="s">
        <v>592</v>
      </c>
      <c r="D922" s="1">
        <v>46224</v>
      </c>
      <c r="E922">
        <v>96.97</v>
      </c>
      <c r="F922" s="1">
        <v>46224.77166392361</v>
      </c>
      <c r="G922" t="s">
        <v>593</v>
      </c>
      <c r="H922" s="1">
        <v>46224.771663888889</v>
      </c>
      <c r="I922" t="s">
        <v>593</v>
      </c>
      <c r="J922" t="s">
        <v>4314</v>
      </c>
    </row>
    <row r="923" spans="1:10" x14ac:dyDescent="0.35">
      <c r="A923" t="s">
        <v>984</v>
      </c>
      <c r="B923" t="s">
        <v>600</v>
      </c>
      <c r="C923" t="s">
        <v>592</v>
      </c>
      <c r="D923" s="1">
        <v>46224</v>
      </c>
      <c r="E923">
        <v>96.86</v>
      </c>
      <c r="F923" s="1">
        <v>46224.771664085645</v>
      </c>
      <c r="G923" t="s">
        <v>593</v>
      </c>
      <c r="H923" s="1">
        <v>46224.771664085645</v>
      </c>
      <c r="I923" t="s">
        <v>593</v>
      </c>
      <c r="J923" t="s">
        <v>4314</v>
      </c>
    </row>
    <row r="924" spans="1:10" x14ac:dyDescent="0.35">
      <c r="A924" t="s">
        <v>985</v>
      </c>
      <c r="B924" t="s">
        <v>600</v>
      </c>
      <c r="C924" t="s">
        <v>592</v>
      </c>
      <c r="D924" s="1">
        <v>46224</v>
      </c>
      <c r="E924">
        <v>97.21</v>
      </c>
      <c r="F924" s="1">
        <v>46224.771664236112</v>
      </c>
      <c r="G924" t="s">
        <v>593</v>
      </c>
      <c r="H924" s="1">
        <v>46224.771664270833</v>
      </c>
      <c r="I924" t="s">
        <v>593</v>
      </c>
      <c r="J924" t="s">
        <v>4314</v>
      </c>
    </row>
    <row r="925" spans="1:10" x14ac:dyDescent="0.35">
      <c r="A925" t="s">
        <v>986</v>
      </c>
      <c r="B925" t="s">
        <v>600</v>
      </c>
      <c r="C925" t="s">
        <v>592</v>
      </c>
      <c r="D925" s="1">
        <v>46224</v>
      </c>
      <c r="E925">
        <v>97.094999999999999</v>
      </c>
      <c r="F925" s="1">
        <v>46224.771662349536</v>
      </c>
      <c r="G925" t="s">
        <v>593</v>
      </c>
      <c r="H925" s="1">
        <v>46224.771662268518</v>
      </c>
      <c r="I925" t="s">
        <v>593</v>
      </c>
      <c r="J925" t="s">
        <v>4314</v>
      </c>
    </row>
    <row r="926" spans="1:10" x14ac:dyDescent="0.35">
      <c r="A926" t="s">
        <v>987</v>
      </c>
      <c r="B926" t="s">
        <v>600</v>
      </c>
      <c r="C926" t="s">
        <v>592</v>
      </c>
      <c r="D926" s="1">
        <v>46224</v>
      </c>
      <c r="E926">
        <v>97.105000000000004</v>
      </c>
      <c r="F926" s="1">
        <v>46224.771662500003</v>
      </c>
      <c r="G926" t="s">
        <v>593</v>
      </c>
      <c r="H926" s="1">
        <v>46224.771662465275</v>
      </c>
      <c r="I926" t="s">
        <v>593</v>
      </c>
      <c r="J926" t="s">
        <v>4314</v>
      </c>
    </row>
    <row r="927" spans="1:10" x14ac:dyDescent="0.35">
      <c r="A927" t="s">
        <v>988</v>
      </c>
      <c r="B927" t="s">
        <v>600</v>
      </c>
      <c r="C927" t="s">
        <v>592</v>
      </c>
      <c r="D927" s="1">
        <v>46224</v>
      </c>
      <c r="E927">
        <v>97.055000000000007</v>
      </c>
      <c r="F927" s="1">
        <v>46224.771662615742</v>
      </c>
      <c r="G927" t="s">
        <v>593</v>
      </c>
      <c r="H927" s="1">
        <v>46224.771662615742</v>
      </c>
      <c r="I927" t="s">
        <v>593</v>
      </c>
      <c r="J927" t="s">
        <v>4314</v>
      </c>
    </row>
    <row r="928" spans="1:10" x14ac:dyDescent="0.35">
      <c r="A928" t="s">
        <v>989</v>
      </c>
      <c r="B928" t="s">
        <v>591</v>
      </c>
      <c r="C928" t="s">
        <v>592</v>
      </c>
      <c r="D928" s="1">
        <v>46224</v>
      </c>
      <c r="E928">
        <v>2.8603165933394101E-2</v>
      </c>
      <c r="F928" s="1">
        <v>46224.77174074074</v>
      </c>
      <c r="G928" t="s">
        <v>593</v>
      </c>
      <c r="H928" s="1">
        <v>46224.771740706019</v>
      </c>
      <c r="I928" t="s">
        <v>593</v>
      </c>
      <c r="J928" t="s">
        <v>5185</v>
      </c>
    </row>
    <row r="929" spans="1:10" x14ac:dyDescent="0.35">
      <c r="A929" t="s">
        <v>990</v>
      </c>
      <c r="B929" t="s">
        <v>591</v>
      </c>
      <c r="C929" t="s">
        <v>592</v>
      </c>
      <c r="D929" s="1">
        <v>46224</v>
      </c>
      <c r="E929">
        <v>3.8693081136090497E-2</v>
      </c>
      <c r="F929" s="1">
        <v>46224.771768055558</v>
      </c>
      <c r="G929" t="s">
        <v>593</v>
      </c>
      <c r="H929" s="1">
        <v>46224.77176802083</v>
      </c>
      <c r="I929" t="s">
        <v>593</v>
      </c>
      <c r="J929" t="s">
        <v>5186</v>
      </c>
    </row>
    <row r="930" spans="1:10" x14ac:dyDescent="0.35">
      <c r="A930" t="s">
        <v>991</v>
      </c>
      <c r="B930" t="s">
        <v>591</v>
      </c>
      <c r="C930" t="s">
        <v>592</v>
      </c>
      <c r="D930" s="1">
        <v>46224</v>
      </c>
      <c r="E930">
        <v>3.9233541936597498E-2</v>
      </c>
      <c r="F930" s="1">
        <v>46224.771775729168</v>
      </c>
      <c r="G930" t="s">
        <v>593</v>
      </c>
      <c r="H930" s="1">
        <v>46224.771775659719</v>
      </c>
      <c r="I930" t="s">
        <v>593</v>
      </c>
      <c r="J930" t="s">
        <v>5187</v>
      </c>
    </row>
    <row r="931" spans="1:10" x14ac:dyDescent="0.35">
      <c r="A931" t="s">
        <v>992</v>
      </c>
      <c r="B931" t="s">
        <v>591</v>
      </c>
      <c r="C931" t="s">
        <v>592</v>
      </c>
      <c r="D931" s="1">
        <v>46224</v>
      </c>
      <c r="E931">
        <v>2.2733500831574601E-2</v>
      </c>
      <c r="F931" s="1">
        <v>46224.771772800923</v>
      </c>
      <c r="G931" t="s">
        <v>593</v>
      </c>
      <c r="H931" s="1">
        <v>46224.771772719905</v>
      </c>
      <c r="I931" t="s">
        <v>593</v>
      </c>
      <c r="J931" t="s">
        <v>5188</v>
      </c>
    </row>
    <row r="932" spans="1:10" x14ac:dyDescent="0.35">
      <c r="A932" t="s">
        <v>993</v>
      </c>
      <c r="B932" t="s">
        <v>591</v>
      </c>
      <c r="C932" t="s">
        <v>592</v>
      </c>
      <c r="D932" s="1">
        <v>46224</v>
      </c>
      <c r="E932">
        <v>3.1678910300749701E-2</v>
      </c>
      <c r="F932" s="1">
        <v>46224.771697141201</v>
      </c>
      <c r="G932" t="s">
        <v>593</v>
      </c>
      <c r="H932" s="1">
        <v>46224.771697141201</v>
      </c>
      <c r="I932" t="s">
        <v>593</v>
      </c>
      <c r="J932" t="s">
        <v>5189</v>
      </c>
    </row>
    <row r="933" spans="1:10" x14ac:dyDescent="0.35">
      <c r="A933" t="s">
        <v>994</v>
      </c>
      <c r="B933" t="s">
        <v>591</v>
      </c>
      <c r="C933" t="s">
        <v>592</v>
      </c>
      <c r="D933" s="1">
        <v>46224</v>
      </c>
      <c r="E933">
        <v>2.86119566331734E-2</v>
      </c>
      <c r="F933" s="1">
        <v>46224.771782060183</v>
      </c>
      <c r="G933" t="s">
        <v>593</v>
      </c>
      <c r="H933" s="1">
        <v>46224.771782141201</v>
      </c>
      <c r="I933" t="s">
        <v>593</v>
      </c>
      <c r="J933" t="s">
        <v>5190</v>
      </c>
    </row>
    <row r="934" spans="1:10" x14ac:dyDescent="0.35">
      <c r="A934" t="s">
        <v>995</v>
      </c>
      <c r="B934" t="s">
        <v>591</v>
      </c>
      <c r="C934" t="s">
        <v>592</v>
      </c>
      <c r="D934" s="1">
        <v>46224</v>
      </c>
      <c r="E934">
        <v>4.03452401194438E-2</v>
      </c>
      <c r="F934" s="1">
        <v>46224.771743483798</v>
      </c>
      <c r="G934" t="s">
        <v>593</v>
      </c>
      <c r="H934" s="1">
        <v>46224.771743599536</v>
      </c>
      <c r="I934" t="s">
        <v>593</v>
      </c>
      <c r="J934" t="s">
        <v>5191</v>
      </c>
    </row>
    <row r="935" spans="1:10" x14ac:dyDescent="0.35">
      <c r="A935" t="s">
        <v>996</v>
      </c>
      <c r="B935" t="s">
        <v>591</v>
      </c>
      <c r="C935" t="s">
        <v>592</v>
      </c>
      <c r="D935" s="1">
        <v>46224</v>
      </c>
      <c r="E935">
        <v>2.9869211929123701E-2</v>
      </c>
      <c r="F935" s="1">
        <v>46224.771734918984</v>
      </c>
      <c r="G935" t="s">
        <v>593</v>
      </c>
      <c r="H935" s="1">
        <v>46224.771734953705</v>
      </c>
      <c r="I935" t="s">
        <v>593</v>
      </c>
      <c r="J935" t="s">
        <v>5192</v>
      </c>
    </row>
    <row r="936" spans="1:10" x14ac:dyDescent="0.35">
      <c r="A936" t="s">
        <v>997</v>
      </c>
      <c r="B936" t="s">
        <v>591</v>
      </c>
      <c r="C936" t="s">
        <v>592</v>
      </c>
      <c r="D936" s="1">
        <v>46224</v>
      </c>
      <c r="E936">
        <v>4.10857277938112E-2</v>
      </c>
      <c r="F936" s="1">
        <v>46224.771736458337</v>
      </c>
      <c r="G936" t="s">
        <v>593</v>
      </c>
      <c r="H936" s="1">
        <v>46224.771736423609</v>
      </c>
      <c r="I936" t="s">
        <v>593</v>
      </c>
      <c r="J936" t="s">
        <v>5193</v>
      </c>
    </row>
    <row r="937" spans="1:10" x14ac:dyDescent="0.35">
      <c r="A937" t="s">
        <v>998</v>
      </c>
      <c r="B937" t="s">
        <v>591</v>
      </c>
      <c r="C937" t="s">
        <v>592</v>
      </c>
      <c r="D937" s="1">
        <v>46224</v>
      </c>
      <c r="E937">
        <v>4.2932004895178302E-2</v>
      </c>
      <c r="F937" s="1">
        <v>46224.771755127316</v>
      </c>
      <c r="G937" t="s">
        <v>593</v>
      </c>
      <c r="H937" s="1">
        <v>46224.771755173613</v>
      </c>
      <c r="I937" t="s">
        <v>593</v>
      </c>
      <c r="J937" t="s">
        <v>5194</v>
      </c>
    </row>
    <row r="938" spans="1:10" x14ac:dyDescent="0.35">
      <c r="A938" t="s">
        <v>999</v>
      </c>
      <c r="B938" t="s">
        <v>591</v>
      </c>
      <c r="C938" t="s">
        <v>592</v>
      </c>
      <c r="D938" s="1">
        <v>46224</v>
      </c>
      <c r="E938">
        <v>2.4545250710179701E-2</v>
      </c>
      <c r="F938" s="1">
        <v>46224.771719675926</v>
      </c>
      <c r="G938" t="s">
        <v>593</v>
      </c>
      <c r="H938" s="1">
        <v>46224.771719594908</v>
      </c>
      <c r="I938" t="s">
        <v>593</v>
      </c>
      <c r="J938" t="s">
        <v>5195</v>
      </c>
    </row>
    <row r="939" spans="1:10" x14ac:dyDescent="0.35">
      <c r="A939" t="s">
        <v>1000</v>
      </c>
      <c r="B939" t="s">
        <v>591</v>
      </c>
      <c r="C939" t="s">
        <v>592</v>
      </c>
      <c r="D939" s="1">
        <v>46224</v>
      </c>
      <c r="E939">
        <v>2.65793775959953E-2</v>
      </c>
      <c r="F939" s="1">
        <v>46224.771722766207</v>
      </c>
      <c r="G939" t="s">
        <v>593</v>
      </c>
      <c r="H939" s="1">
        <v>46224.771722881946</v>
      </c>
      <c r="I939" t="s">
        <v>593</v>
      </c>
      <c r="J939" t="s">
        <v>5196</v>
      </c>
    </row>
    <row r="940" spans="1:10" x14ac:dyDescent="0.35">
      <c r="A940" t="s">
        <v>1001</v>
      </c>
      <c r="B940" t="s">
        <v>591</v>
      </c>
      <c r="C940" t="s">
        <v>592</v>
      </c>
      <c r="D940" s="1">
        <v>46224</v>
      </c>
      <c r="E940">
        <v>3.3005174004936501E-2</v>
      </c>
      <c r="F940" s="1">
        <v>46224.771715243056</v>
      </c>
      <c r="G940" t="s">
        <v>593</v>
      </c>
      <c r="H940" s="1">
        <v>46224.771715277777</v>
      </c>
      <c r="I940" t="s">
        <v>593</v>
      </c>
      <c r="J940" t="s">
        <v>5197</v>
      </c>
    </row>
    <row r="941" spans="1:10" x14ac:dyDescent="0.35">
      <c r="A941" t="s">
        <v>1002</v>
      </c>
      <c r="B941" t="s">
        <v>591</v>
      </c>
      <c r="C941" t="s">
        <v>592</v>
      </c>
      <c r="D941" s="1">
        <v>46224</v>
      </c>
      <c r="E941">
        <v>3.6413374222283801E-2</v>
      </c>
      <c r="F941" s="1">
        <v>46224.771761458331</v>
      </c>
      <c r="G941" t="s">
        <v>593</v>
      </c>
      <c r="H941" s="1">
        <v>46224.771761539349</v>
      </c>
      <c r="I941" t="s">
        <v>593</v>
      </c>
      <c r="J941" t="s">
        <v>5198</v>
      </c>
    </row>
    <row r="942" spans="1:10" x14ac:dyDescent="0.35">
      <c r="A942" t="s">
        <v>1003</v>
      </c>
      <c r="B942" t="s">
        <v>591</v>
      </c>
      <c r="C942" t="s">
        <v>592</v>
      </c>
      <c r="D942" s="1">
        <v>46224</v>
      </c>
      <c r="E942">
        <v>2.77436269356785E-2</v>
      </c>
      <c r="F942" s="1">
        <v>46224.77171400463</v>
      </c>
      <c r="G942" t="s">
        <v>593</v>
      </c>
      <c r="H942" s="1">
        <v>46224.771713969909</v>
      </c>
      <c r="I942" t="s">
        <v>593</v>
      </c>
      <c r="J942" t="s">
        <v>5199</v>
      </c>
    </row>
    <row r="943" spans="1:10" x14ac:dyDescent="0.35">
      <c r="A943" t="s">
        <v>1004</v>
      </c>
      <c r="B943" t="s">
        <v>591</v>
      </c>
      <c r="C943" t="s">
        <v>592</v>
      </c>
      <c r="D943" s="1">
        <v>46224</v>
      </c>
      <c r="E943">
        <v>2.8287593613292999E-2</v>
      </c>
      <c r="F943" s="1">
        <v>46224.771726157407</v>
      </c>
      <c r="G943" t="s">
        <v>593</v>
      </c>
      <c r="H943" s="1">
        <v>46224.771726122686</v>
      </c>
      <c r="I943" t="s">
        <v>593</v>
      </c>
      <c r="J943" t="s">
        <v>5200</v>
      </c>
    </row>
    <row r="944" spans="1:10" x14ac:dyDescent="0.35">
      <c r="A944" t="s">
        <v>1005</v>
      </c>
      <c r="B944" t="s">
        <v>591</v>
      </c>
      <c r="C944" t="s">
        <v>592</v>
      </c>
      <c r="D944" s="1">
        <v>46224</v>
      </c>
      <c r="E944">
        <v>4.1509658393944798E-2</v>
      </c>
      <c r="F944" s="1">
        <v>46224.771786805555</v>
      </c>
      <c r="G944" t="s">
        <v>593</v>
      </c>
      <c r="H944" s="1">
        <v>46224.771786886573</v>
      </c>
      <c r="I944" t="s">
        <v>593</v>
      </c>
      <c r="J944" t="s">
        <v>5201</v>
      </c>
    </row>
    <row r="945" spans="1:10" x14ac:dyDescent="0.35">
      <c r="A945" t="s">
        <v>1006</v>
      </c>
      <c r="B945" t="s">
        <v>591</v>
      </c>
      <c r="C945" t="s">
        <v>592</v>
      </c>
      <c r="D945" s="1">
        <v>46224</v>
      </c>
      <c r="E945">
        <v>2.8360903063032301E-2</v>
      </c>
      <c r="F945" s="1">
        <v>46224.771763425924</v>
      </c>
      <c r="G945" t="s">
        <v>593</v>
      </c>
      <c r="H945" s="1">
        <v>46224.771763460645</v>
      </c>
      <c r="I945" t="s">
        <v>593</v>
      </c>
      <c r="J945" t="s">
        <v>5202</v>
      </c>
    </row>
    <row r="946" spans="1:10" x14ac:dyDescent="0.35">
      <c r="A946" t="s">
        <v>1007</v>
      </c>
      <c r="B946" t="s">
        <v>591</v>
      </c>
      <c r="C946" t="s">
        <v>592</v>
      </c>
      <c r="D946" s="1">
        <v>46224</v>
      </c>
      <c r="E946">
        <v>2.8862636193306299E-2</v>
      </c>
      <c r="F946" s="1">
        <v>46224.771740856479</v>
      </c>
      <c r="G946" t="s">
        <v>593</v>
      </c>
      <c r="H946" s="1">
        <v>46224.771740891207</v>
      </c>
      <c r="I946" t="s">
        <v>593</v>
      </c>
      <c r="J946" t="s">
        <v>5203</v>
      </c>
    </row>
    <row r="947" spans="1:10" x14ac:dyDescent="0.35">
      <c r="A947" t="s">
        <v>1008</v>
      </c>
      <c r="B947" t="s">
        <v>591</v>
      </c>
      <c r="C947" t="s">
        <v>592</v>
      </c>
      <c r="D947" s="1">
        <v>46224</v>
      </c>
      <c r="E947">
        <v>3.48976511306162E-2</v>
      </c>
      <c r="F947" s="1">
        <v>46224.771747418985</v>
      </c>
      <c r="G947" t="s">
        <v>593</v>
      </c>
      <c r="H947" s="1">
        <v>46224.771747418985</v>
      </c>
      <c r="I947" t="s">
        <v>593</v>
      </c>
      <c r="J947" t="s">
        <v>5204</v>
      </c>
    </row>
    <row r="948" spans="1:10" x14ac:dyDescent="0.35">
      <c r="A948" t="s">
        <v>1009</v>
      </c>
      <c r="B948" t="s">
        <v>591</v>
      </c>
      <c r="C948" t="s">
        <v>592</v>
      </c>
      <c r="D948" s="1">
        <v>46224</v>
      </c>
      <c r="E948">
        <v>2.93683440961983E-2</v>
      </c>
      <c r="F948" s="1">
        <v>46224.771763310186</v>
      </c>
      <c r="G948" t="s">
        <v>593</v>
      </c>
      <c r="H948" s="1">
        <v>46224.771763310186</v>
      </c>
      <c r="I948" t="s">
        <v>593</v>
      </c>
      <c r="J948" t="s">
        <v>5205</v>
      </c>
    </row>
    <row r="949" spans="1:10" x14ac:dyDescent="0.35">
      <c r="A949" t="s">
        <v>1010</v>
      </c>
      <c r="B949" t="s">
        <v>591</v>
      </c>
      <c r="C949" t="s">
        <v>592</v>
      </c>
      <c r="D949" s="1">
        <v>46224</v>
      </c>
      <c r="E949">
        <v>2.9734170150506001E-2</v>
      </c>
      <c r="F949" s="1">
        <v>46224.77169760417</v>
      </c>
      <c r="G949" t="s">
        <v>593</v>
      </c>
      <c r="H949" s="1">
        <v>46224.771697534721</v>
      </c>
      <c r="I949" t="s">
        <v>593</v>
      </c>
      <c r="J949" t="s">
        <v>5206</v>
      </c>
    </row>
    <row r="950" spans="1:10" x14ac:dyDescent="0.35">
      <c r="A950" t="s">
        <v>1011</v>
      </c>
      <c r="B950" t="s">
        <v>591</v>
      </c>
      <c r="C950" t="s">
        <v>592</v>
      </c>
      <c r="D950" s="1">
        <v>46224</v>
      </c>
      <c r="E950">
        <v>4.20335082415619E-2</v>
      </c>
      <c r="F950" s="1">
        <v>46224.771693287039</v>
      </c>
      <c r="G950" t="s">
        <v>593</v>
      </c>
      <c r="H950" s="1">
        <v>46224.771693171293</v>
      </c>
      <c r="I950" t="s">
        <v>593</v>
      </c>
      <c r="J950" t="s">
        <v>5207</v>
      </c>
    </row>
    <row r="951" spans="1:10" x14ac:dyDescent="0.35">
      <c r="A951" t="s">
        <v>1012</v>
      </c>
      <c r="B951" t="s">
        <v>591</v>
      </c>
      <c r="C951" t="s">
        <v>592</v>
      </c>
      <c r="D951" s="1">
        <v>46224</v>
      </c>
      <c r="E951">
        <v>2.7372427445245699E-2</v>
      </c>
      <c r="F951" s="1">
        <v>46224.771778553244</v>
      </c>
      <c r="G951" t="s">
        <v>593</v>
      </c>
      <c r="H951" s="1">
        <v>46224.771778553244</v>
      </c>
      <c r="I951" t="s">
        <v>593</v>
      </c>
      <c r="J951" t="s">
        <v>5208</v>
      </c>
    </row>
    <row r="952" spans="1:10" x14ac:dyDescent="0.35">
      <c r="A952" t="s">
        <v>1013</v>
      </c>
      <c r="B952" t="s">
        <v>591</v>
      </c>
      <c r="C952" t="s">
        <v>592</v>
      </c>
      <c r="D952" s="1">
        <v>46224</v>
      </c>
      <c r="E952">
        <v>3.0146421495700602E-2</v>
      </c>
      <c r="F952" s="1">
        <v>46224.771702002312</v>
      </c>
      <c r="G952" t="s">
        <v>593</v>
      </c>
      <c r="H952" s="1">
        <v>46224.771701851852</v>
      </c>
      <c r="I952" t="s">
        <v>593</v>
      </c>
      <c r="J952" t="s">
        <v>5209</v>
      </c>
    </row>
    <row r="953" spans="1:10" x14ac:dyDescent="0.35">
      <c r="A953" t="s">
        <v>1014</v>
      </c>
      <c r="B953" t="s">
        <v>591</v>
      </c>
      <c r="C953" t="s">
        <v>592</v>
      </c>
      <c r="D953" s="1">
        <v>46224</v>
      </c>
      <c r="E953">
        <v>3.9110233710377702E-2</v>
      </c>
      <c r="F953" s="1">
        <v>46224.771691747686</v>
      </c>
      <c r="G953" t="s">
        <v>593</v>
      </c>
      <c r="H953" s="1">
        <v>46224.771691747686</v>
      </c>
      <c r="I953" t="s">
        <v>593</v>
      </c>
      <c r="J953" t="s">
        <v>5210</v>
      </c>
    </row>
    <row r="954" spans="1:10" x14ac:dyDescent="0.35">
      <c r="A954" t="s">
        <v>1015</v>
      </c>
      <c r="B954" t="s">
        <v>591</v>
      </c>
      <c r="C954" t="s">
        <v>592</v>
      </c>
      <c r="D954" s="1">
        <v>46224</v>
      </c>
      <c r="E954">
        <v>3.0625168779081901E-2</v>
      </c>
      <c r="F954" s="1">
        <v>46224.771722141202</v>
      </c>
      <c r="G954" t="s">
        <v>593</v>
      </c>
      <c r="H954" s="1">
        <v>46224.771722141202</v>
      </c>
      <c r="I954" t="s">
        <v>593</v>
      </c>
      <c r="J954" t="s">
        <v>5211</v>
      </c>
    </row>
    <row r="955" spans="1:10" x14ac:dyDescent="0.35">
      <c r="A955" t="s">
        <v>1016</v>
      </c>
      <c r="B955" t="s">
        <v>591</v>
      </c>
      <c r="C955" t="s">
        <v>592</v>
      </c>
      <c r="D955" s="1">
        <v>46224</v>
      </c>
      <c r="E955">
        <v>4.20653302703968E-2</v>
      </c>
      <c r="F955" s="1">
        <v>46224.771703553241</v>
      </c>
      <c r="G955" t="s">
        <v>593</v>
      </c>
      <c r="H955" s="1">
        <v>46224.771703506944</v>
      </c>
      <c r="I955" t="s">
        <v>593</v>
      </c>
      <c r="J955" t="s">
        <v>5212</v>
      </c>
    </row>
    <row r="956" spans="1:10" x14ac:dyDescent="0.35">
      <c r="A956" t="s">
        <v>1017</v>
      </c>
      <c r="B956" t="s">
        <v>591</v>
      </c>
      <c r="C956" t="s">
        <v>592</v>
      </c>
      <c r="D956" s="1">
        <v>46224</v>
      </c>
      <c r="E956">
        <v>2.7855358323448699E-2</v>
      </c>
      <c r="F956" s="1">
        <v>46224.771758946757</v>
      </c>
      <c r="G956" t="s">
        <v>593</v>
      </c>
      <c r="H956" s="1">
        <v>46224.771758993054</v>
      </c>
      <c r="I956" t="s">
        <v>593</v>
      </c>
      <c r="J956" t="s">
        <v>5213</v>
      </c>
    </row>
    <row r="957" spans="1:10" x14ac:dyDescent="0.35">
      <c r="A957" t="s">
        <v>1018</v>
      </c>
      <c r="B957" t="s">
        <v>591</v>
      </c>
      <c r="C957" t="s">
        <v>592</v>
      </c>
      <c r="D957" s="1">
        <v>46224</v>
      </c>
      <c r="E957">
        <v>3.7178696121202698E-2</v>
      </c>
      <c r="F957" s="1">
        <v>46224.771752233799</v>
      </c>
      <c r="G957" t="s">
        <v>593</v>
      </c>
      <c r="H957" s="1">
        <v>46224.771752280096</v>
      </c>
      <c r="I957" t="s">
        <v>593</v>
      </c>
      <c r="J957" t="s">
        <v>5214</v>
      </c>
    </row>
    <row r="958" spans="1:10" x14ac:dyDescent="0.35">
      <c r="A958" t="s">
        <v>1019</v>
      </c>
      <c r="B958" t="s">
        <v>591</v>
      </c>
      <c r="C958" t="s">
        <v>592</v>
      </c>
      <c r="D958" s="1">
        <v>46224</v>
      </c>
      <c r="E958">
        <v>3.1103890200338099E-2</v>
      </c>
      <c r="F958" s="1">
        <v>46224.771774039349</v>
      </c>
      <c r="G958" t="s">
        <v>593</v>
      </c>
      <c r="H958" s="1">
        <v>46224.771774039349</v>
      </c>
      <c r="I958" t="s">
        <v>593</v>
      </c>
      <c r="J958" t="s">
        <v>5215</v>
      </c>
    </row>
    <row r="959" spans="1:10" x14ac:dyDescent="0.35">
      <c r="A959" t="s">
        <v>1020</v>
      </c>
      <c r="B959" t="s">
        <v>591</v>
      </c>
      <c r="C959" t="s">
        <v>592</v>
      </c>
      <c r="D959" s="1">
        <v>46224</v>
      </c>
      <c r="E959">
        <v>4.00172222295384E-2</v>
      </c>
      <c r="F959" s="1">
        <v>46224.771704710649</v>
      </c>
      <c r="G959" t="s">
        <v>593</v>
      </c>
      <c r="H959" s="1">
        <v>46224.771704710649</v>
      </c>
      <c r="I959" t="s">
        <v>593</v>
      </c>
      <c r="J959" t="s">
        <v>5216</v>
      </c>
    </row>
    <row r="960" spans="1:10" x14ac:dyDescent="0.35">
      <c r="A960" t="s">
        <v>1021</v>
      </c>
      <c r="B960" t="s">
        <v>591</v>
      </c>
      <c r="C960" t="s">
        <v>592</v>
      </c>
      <c r="D960" s="1">
        <v>46224</v>
      </c>
      <c r="E960">
        <v>2.57418274818219E-2</v>
      </c>
      <c r="F960" s="1">
        <v>46224.771702777776</v>
      </c>
      <c r="G960" t="s">
        <v>593</v>
      </c>
      <c r="H960" s="1">
        <v>46224.771702743055</v>
      </c>
      <c r="I960" t="s">
        <v>593</v>
      </c>
      <c r="J960" t="s">
        <v>5217</v>
      </c>
    </row>
    <row r="961" spans="1:10" x14ac:dyDescent="0.35">
      <c r="A961" t="s">
        <v>1022</v>
      </c>
      <c r="B961" t="s">
        <v>591</v>
      </c>
      <c r="C961" t="s">
        <v>592</v>
      </c>
      <c r="D961" s="1">
        <v>46224</v>
      </c>
      <c r="E961">
        <v>3.1703962483640803E-2</v>
      </c>
      <c r="F961" s="1">
        <v>46224.7717849537</v>
      </c>
      <c r="G961" t="s">
        <v>593</v>
      </c>
      <c r="H961" s="1">
        <v>46224.771785104167</v>
      </c>
      <c r="I961" t="s">
        <v>593</v>
      </c>
      <c r="J961" t="s">
        <v>5218</v>
      </c>
    </row>
    <row r="962" spans="1:10" x14ac:dyDescent="0.35">
      <c r="A962" t="s">
        <v>1023</v>
      </c>
      <c r="B962" t="s">
        <v>591</v>
      </c>
      <c r="C962" t="s">
        <v>592</v>
      </c>
      <c r="D962" s="1">
        <v>46224</v>
      </c>
      <c r="E962">
        <v>4.23336770099789E-2</v>
      </c>
      <c r="F962" s="1">
        <v>46224.771777893518</v>
      </c>
      <c r="G962" t="s">
        <v>593</v>
      </c>
      <c r="H962" s="1">
        <v>46224.771778009257</v>
      </c>
      <c r="I962" t="s">
        <v>593</v>
      </c>
      <c r="J962" t="s">
        <v>5219</v>
      </c>
    </row>
    <row r="963" spans="1:10" x14ac:dyDescent="0.35">
      <c r="A963" t="s">
        <v>1024</v>
      </c>
      <c r="B963" t="s">
        <v>591</v>
      </c>
      <c r="C963" t="s">
        <v>592</v>
      </c>
      <c r="D963" s="1">
        <v>46224</v>
      </c>
      <c r="E963">
        <v>2.9440245198311399E-2</v>
      </c>
      <c r="F963" s="1">
        <v>46224.771742858793</v>
      </c>
      <c r="G963" t="s">
        <v>593</v>
      </c>
      <c r="H963" s="1">
        <v>46224.771742858793</v>
      </c>
      <c r="I963" t="s">
        <v>593</v>
      </c>
      <c r="J963" t="s">
        <v>5220</v>
      </c>
    </row>
    <row r="964" spans="1:10" x14ac:dyDescent="0.35">
      <c r="A964" t="s">
        <v>1025</v>
      </c>
      <c r="B964" t="s">
        <v>591</v>
      </c>
      <c r="C964" t="s">
        <v>592</v>
      </c>
      <c r="D964" s="1">
        <v>46224</v>
      </c>
      <c r="E964">
        <v>3.2203666075089399E-2</v>
      </c>
      <c r="F964" s="1">
        <v>46224.771766400459</v>
      </c>
      <c r="G964" t="s">
        <v>593</v>
      </c>
      <c r="H964" s="1">
        <v>46224.77176635417</v>
      </c>
      <c r="I964" t="s">
        <v>593</v>
      </c>
      <c r="J964" t="s">
        <v>5221</v>
      </c>
    </row>
    <row r="965" spans="1:10" x14ac:dyDescent="0.35">
      <c r="A965" t="s">
        <v>1026</v>
      </c>
      <c r="B965" t="s">
        <v>591</v>
      </c>
      <c r="C965" t="s">
        <v>592</v>
      </c>
      <c r="D965" s="1">
        <v>46224</v>
      </c>
      <c r="E965">
        <v>4.0395702545666899E-2</v>
      </c>
      <c r="F965" s="1">
        <v>46224.771747719904</v>
      </c>
      <c r="G965" t="s">
        <v>593</v>
      </c>
      <c r="H965" s="1">
        <v>46224.771747766201</v>
      </c>
      <c r="I965" t="s">
        <v>593</v>
      </c>
      <c r="J965" t="s">
        <v>5222</v>
      </c>
    </row>
    <row r="966" spans="1:10" x14ac:dyDescent="0.35">
      <c r="A966" t="s">
        <v>1027</v>
      </c>
      <c r="B966" t="s">
        <v>591</v>
      </c>
      <c r="C966" t="s">
        <v>592</v>
      </c>
      <c r="D966" s="1">
        <v>46224</v>
      </c>
      <c r="E966">
        <v>3.2837155825780999E-2</v>
      </c>
      <c r="F966" s="1">
        <v>46224.771721527781</v>
      </c>
      <c r="G966" t="s">
        <v>593</v>
      </c>
      <c r="H966" s="1">
        <v>46224.771721608799</v>
      </c>
      <c r="I966" t="s">
        <v>593</v>
      </c>
      <c r="J966" t="s">
        <v>5223</v>
      </c>
    </row>
    <row r="967" spans="1:10" x14ac:dyDescent="0.35">
      <c r="A967" t="s">
        <v>1028</v>
      </c>
      <c r="B967" t="s">
        <v>591</v>
      </c>
      <c r="C967" t="s">
        <v>592</v>
      </c>
      <c r="D967" s="1">
        <v>46224</v>
      </c>
      <c r="E967">
        <v>3.8338783979489699E-2</v>
      </c>
      <c r="F967" s="1">
        <v>46224.77172384259</v>
      </c>
      <c r="G967" t="s">
        <v>593</v>
      </c>
      <c r="H967" s="1">
        <v>46224.771723958336</v>
      </c>
      <c r="I967" t="s">
        <v>593</v>
      </c>
      <c r="J967" t="s">
        <v>5224</v>
      </c>
    </row>
    <row r="968" spans="1:10" x14ac:dyDescent="0.35">
      <c r="A968" t="s">
        <v>1029</v>
      </c>
      <c r="B968" t="s">
        <v>591</v>
      </c>
      <c r="C968" t="s">
        <v>592</v>
      </c>
      <c r="D968" s="1">
        <v>46224</v>
      </c>
      <c r="E968">
        <v>3.3381920899411097E-2</v>
      </c>
      <c r="F968" s="1">
        <v>46224.771770833337</v>
      </c>
      <c r="G968" t="s">
        <v>593</v>
      </c>
      <c r="H968" s="1">
        <v>46224.771770914354</v>
      </c>
      <c r="I968" t="s">
        <v>593</v>
      </c>
      <c r="J968" t="s">
        <v>5225</v>
      </c>
    </row>
    <row r="969" spans="1:10" x14ac:dyDescent="0.35">
      <c r="A969" t="s">
        <v>1030</v>
      </c>
      <c r="B969" t="s">
        <v>591</v>
      </c>
      <c r="C969" t="s">
        <v>592</v>
      </c>
      <c r="D969" s="1">
        <v>46224</v>
      </c>
      <c r="E969">
        <v>2.9182015935334801E-2</v>
      </c>
      <c r="F969" s="1">
        <v>46224.771691898146</v>
      </c>
      <c r="G969" t="s">
        <v>593</v>
      </c>
      <c r="H969" s="1">
        <v>46224.771691898146</v>
      </c>
      <c r="I969" t="s">
        <v>593</v>
      </c>
      <c r="J969" t="s">
        <v>5226</v>
      </c>
    </row>
    <row r="970" spans="1:10" x14ac:dyDescent="0.35">
      <c r="A970" t="s">
        <v>1031</v>
      </c>
      <c r="B970" t="s">
        <v>591</v>
      </c>
      <c r="C970" t="s">
        <v>592</v>
      </c>
      <c r="D970" s="1">
        <v>46224</v>
      </c>
      <c r="E970">
        <v>2.7366966011858399E-2</v>
      </c>
      <c r="F970" s="1">
        <v>46224.77175925926</v>
      </c>
      <c r="G970" t="s">
        <v>593</v>
      </c>
      <c r="H970" s="1">
        <v>46224.771759340278</v>
      </c>
      <c r="I970" t="s">
        <v>593</v>
      </c>
      <c r="J970" t="s">
        <v>5227</v>
      </c>
    </row>
    <row r="971" spans="1:10" x14ac:dyDescent="0.35">
      <c r="A971" t="s">
        <v>1032</v>
      </c>
      <c r="B971" t="s">
        <v>591</v>
      </c>
      <c r="C971" t="s">
        <v>592</v>
      </c>
      <c r="D971" s="1">
        <v>46224</v>
      </c>
      <c r="E971">
        <v>3.3958264841657197E-2</v>
      </c>
      <c r="F971" s="1">
        <v>46224.771758182869</v>
      </c>
      <c r="G971" t="s">
        <v>593</v>
      </c>
      <c r="H971" s="1">
        <v>46224.771758252318</v>
      </c>
      <c r="I971" t="s">
        <v>593</v>
      </c>
      <c r="J971" t="s">
        <v>5228</v>
      </c>
    </row>
    <row r="972" spans="1:10" x14ac:dyDescent="0.35">
      <c r="A972" t="s">
        <v>1033</v>
      </c>
      <c r="B972" t="s">
        <v>591</v>
      </c>
      <c r="C972" t="s">
        <v>592</v>
      </c>
      <c r="D972" s="1">
        <v>46224</v>
      </c>
      <c r="E972">
        <v>4.25999190870021E-2</v>
      </c>
      <c r="F972" s="1">
        <v>46224.771733831018</v>
      </c>
      <c r="G972" t="s">
        <v>593</v>
      </c>
      <c r="H972" s="1">
        <v>46224.771733877315</v>
      </c>
      <c r="I972" t="s">
        <v>593</v>
      </c>
      <c r="J972" t="s">
        <v>5229</v>
      </c>
    </row>
    <row r="973" spans="1:10" x14ac:dyDescent="0.35">
      <c r="A973" t="s">
        <v>1034</v>
      </c>
      <c r="B973" t="s">
        <v>591</v>
      </c>
      <c r="C973" t="s">
        <v>592</v>
      </c>
      <c r="D973" s="1">
        <v>46224</v>
      </c>
      <c r="E973">
        <v>3.4378632848957598E-2</v>
      </c>
      <c r="F973" s="1">
        <v>46224.771734456015</v>
      </c>
      <c r="G973" t="s">
        <v>593</v>
      </c>
      <c r="H973" s="1">
        <v>46224.771734409725</v>
      </c>
      <c r="I973" t="s">
        <v>593</v>
      </c>
      <c r="J973" t="s">
        <v>5230</v>
      </c>
    </row>
    <row r="974" spans="1:10" x14ac:dyDescent="0.35">
      <c r="A974" t="s">
        <v>1035</v>
      </c>
      <c r="B974" t="s">
        <v>591</v>
      </c>
      <c r="C974" t="s">
        <v>592</v>
      </c>
      <c r="D974" s="1">
        <v>46224</v>
      </c>
      <c r="E974">
        <v>3.0987139326655099E-2</v>
      </c>
      <c r="F974" s="1">
        <v>46224.77175162037</v>
      </c>
      <c r="G974" t="s">
        <v>593</v>
      </c>
      <c r="H974" s="1">
        <v>46224.771751539352</v>
      </c>
      <c r="I974" t="s">
        <v>593</v>
      </c>
      <c r="J974" t="s">
        <v>5231</v>
      </c>
    </row>
    <row r="975" spans="1:10" x14ac:dyDescent="0.35">
      <c r="A975" t="s">
        <v>1036</v>
      </c>
      <c r="B975" t="s">
        <v>591</v>
      </c>
      <c r="C975" t="s">
        <v>592</v>
      </c>
      <c r="D975" s="1">
        <v>46224</v>
      </c>
      <c r="E975">
        <v>2.98348002061899E-2</v>
      </c>
      <c r="F975" s="1">
        <v>46224.77177172454</v>
      </c>
      <c r="G975" t="s">
        <v>593</v>
      </c>
      <c r="H975" s="1">
        <v>46224.771771793981</v>
      </c>
      <c r="I975" t="s">
        <v>593</v>
      </c>
      <c r="J975" t="s">
        <v>5232</v>
      </c>
    </row>
    <row r="976" spans="1:10" x14ac:dyDescent="0.35">
      <c r="A976" t="s">
        <v>1037</v>
      </c>
      <c r="B976" t="s">
        <v>591</v>
      </c>
      <c r="C976" t="s">
        <v>592</v>
      </c>
      <c r="D976" s="1">
        <v>46224</v>
      </c>
      <c r="E976">
        <v>2.8437510258848501E-2</v>
      </c>
      <c r="F976" s="1">
        <v>46224.771725694445</v>
      </c>
      <c r="G976" t="s">
        <v>593</v>
      </c>
      <c r="H976" s="1">
        <v>46224.771725775463</v>
      </c>
      <c r="I976" t="s">
        <v>593</v>
      </c>
      <c r="J976" t="s">
        <v>5233</v>
      </c>
    </row>
    <row r="977" spans="1:10" x14ac:dyDescent="0.35">
      <c r="A977" t="s">
        <v>1038</v>
      </c>
      <c r="B977" t="s">
        <v>591</v>
      </c>
      <c r="C977" t="s">
        <v>592</v>
      </c>
      <c r="D977" s="1">
        <v>46224</v>
      </c>
      <c r="E977">
        <v>3.4835046710579701E-2</v>
      </c>
      <c r="F977" s="1">
        <v>46224.771709293978</v>
      </c>
      <c r="G977" t="s">
        <v>593</v>
      </c>
      <c r="H977" s="1">
        <v>46224.771709259257</v>
      </c>
      <c r="I977" t="s">
        <v>593</v>
      </c>
      <c r="J977" t="s">
        <v>5234</v>
      </c>
    </row>
    <row r="978" spans="1:10" x14ac:dyDescent="0.35">
      <c r="A978" t="s">
        <v>1039</v>
      </c>
      <c r="B978" t="s">
        <v>591</v>
      </c>
      <c r="C978" t="s">
        <v>592</v>
      </c>
      <c r="D978" s="1">
        <v>46224</v>
      </c>
      <c r="E978">
        <v>3.9407170602863403E-2</v>
      </c>
      <c r="F978" s="1">
        <v>46224.771785416669</v>
      </c>
      <c r="G978" t="s">
        <v>593</v>
      </c>
      <c r="H978" s="1">
        <v>46224.77178545139</v>
      </c>
      <c r="I978" t="s">
        <v>593</v>
      </c>
      <c r="J978" t="s">
        <v>5235</v>
      </c>
    </row>
    <row r="979" spans="1:10" x14ac:dyDescent="0.35">
      <c r="A979" t="s">
        <v>1040</v>
      </c>
      <c r="B979" t="s">
        <v>591</v>
      </c>
      <c r="C979" t="s">
        <v>592</v>
      </c>
      <c r="D979" s="1">
        <v>46224</v>
      </c>
      <c r="E979">
        <v>3.5268273654402098E-2</v>
      </c>
      <c r="F979" s="1">
        <v>46224.771749155094</v>
      </c>
      <c r="G979" t="s">
        <v>593</v>
      </c>
      <c r="H979" s="1">
        <v>46224.771749189815</v>
      </c>
      <c r="I979" t="s">
        <v>593</v>
      </c>
      <c r="J979" t="s">
        <v>5236</v>
      </c>
    </row>
    <row r="980" spans="1:10" x14ac:dyDescent="0.35">
      <c r="A980" t="s">
        <v>1041</v>
      </c>
      <c r="B980" t="s">
        <v>591</v>
      </c>
      <c r="C980" t="s">
        <v>592</v>
      </c>
      <c r="D980" s="1">
        <v>46224</v>
      </c>
      <c r="E980">
        <v>3.2695782483003401E-2</v>
      </c>
      <c r="F980" s="1">
        <v>46224.771705173611</v>
      </c>
      <c r="G980" t="s">
        <v>593</v>
      </c>
      <c r="H980" s="1">
        <v>46224.771705092593</v>
      </c>
      <c r="I980" t="s">
        <v>593</v>
      </c>
      <c r="J980" t="s">
        <v>5237</v>
      </c>
    </row>
    <row r="981" spans="1:10" x14ac:dyDescent="0.35">
      <c r="A981" t="s">
        <v>1042</v>
      </c>
      <c r="B981" t="s">
        <v>591</v>
      </c>
      <c r="C981" t="s">
        <v>592</v>
      </c>
      <c r="D981" s="1">
        <v>46224</v>
      </c>
      <c r="E981">
        <v>2.94084976766841E-2</v>
      </c>
      <c r="F981" s="1">
        <v>46224.771777164351</v>
      </c>
      <c r="G981" t="s">
        <v>593</v>
      </c>
      <c r="H981" s="1">
        <v>46224.771777083333</v>
      </c>
      <c r="I981" t="s">
        <v>593</v>
      </c>
      <c r="J981" t="s">
        <v>5238</v>
      </c>
    </row>
    <row r="982" spans="1:10" x14ac:dyDescent="0.35">
      <c r="A982" t="s">
        <v>1043</v>
      </c>
      <c r="B982" t="s">
        <v>591</v>
      </c>
      <c r="C982" t="s">
        <v>592</v>
      </c>
      <c r="D982" s="1">
        <v>46224</v>
      </c>
      <c r="E982">
        <v>3.5732865875655898E-2</v>
      </c>
      <c r="F982" s="1">
        <v>46224.771728738429</v>
      </c>
      <c r="G982" t="s">
        <v>593</v>
      </c>
      <c r="H982" s="1">
        <v>46224.771728819447</v>
      </c>
      <c r="I982" t="s">
        <v>593</v>
      </c>
      <c r="J982" t="s">
        <v>5239</v>
      </c>
    </row>
    <row r="983" spans="1:10" x14ac:dyDescent="0.35">
      <c r="A983" t="s">
        <v>1044</v>
      </c>
      <c r="B983" t="s">
        <v>591</v>
      </c>
      <c r="C983" t="s">
        <v>592</v>
      </c>
      <c r="D983" s="1">
        <v>46224</v>
      </c>
      <c r="E983">
        <v>3.0903697330400201E-2</v>
      </c>
      <c r="F983" s="1">
        <v>46224.771703703707</v>
      </c>
      <c r="G983" t="s">
        <v>593</v>
      </c>
      <c r="H983" s="1">
        <v>46224.771703703707</v>
      </c>
      <c r="I983" t="s">
        <v>593</v>
      </c>
      <c r="J983" t="s">
        <v>5240</v>
      </c>
    </row>
    <row r="984" spans="1:10" x14ac:dyDescent="0.35">
      <c r="A984" t="s">
        <v>1045</v>
      </c>
      <c r="B984" t="s">
        <v>591</v>
      </c>
      <c r="C984" t="s">
        <v>592</v>
      </c>
      <c r="D984" s="1">
        <v>46224</v>
      </c>
      <c r="E984">
        <v>4.3044914320310497E-2</v>
      </c>
      <c r="F984" s="1">
        <v>46224.771786030091</v>
      </c>
      <c r="G984" t="s">
        <v>593</v>
      </c>
      <c r="H984" s="1">
        <v>46224.771786145837</v>
      </c>
      <c r="I984" t="s">
        <v>593</v>
      </c>
      <c r="J984" t="s">
        <v>5241</v>
      </c>
    </row>
    <row r="985" spans="1:10" x14ac:dyDescent="0.35">
      <c r="A985" t="s">
        <v>1778</v>
      </c>
      <c r="B985" t="s">
        <v>591</v>
      </c>
      <c r="C985" t="s">
        <v>592</v>
      </c>
      <c r="D985" s="1">
        <v>46224</v>
      </c>
      <c r="E985">
        <v>3.6238222529787902E-2</v>
      </c>
      <c r="F985" s="1">
        <v>46224.771775891204</v>
      </c>
      <c r="G985" t="s">
        <v>593</v>
      </c>
      <c r="H985" s="1">
        <v>46224.771775810186</v>
      </c>
      <c r="I985" t="s">
        <v>593</v>
      </c>
      <c r="J985" t="s">
        <v>5242</v>
      </c>
    </row>
    <row r="986" spans="1:10" x14ac:dyDescent="0.35">
      <c r="A986" t="s">
        <v>1046</v>
      </c>
      <c r="B986" t="s">
        <v>591</v>
      </c>
      <c r="C986" t="s">
        <v>592</v>
      </c>
      <c r="D986" s="1">
        <v>46224</v>
      </c>
      <c r="E986">
        <v>3.1823868779429103E-2</v>
      </c>
      <c r="F986" s="1">
        <v>46224.771764039353</v>
      </c>
      <c r="G986" t="s">
        <v>593</v>
      </c>
      <c r="H986" s="1">
        <v>46224.771764004632</v>
      </c>
      <c r="I986" t="s">
        <v>593</v>
      </c>
      <c r="J986" t="s">
        <v>5243</v>
      </c>
    </row>
    <row r="987" spans="1:10" x14ac:dyDescent="0.35">
      <c r="A987" t="s">
        <v>1047</v>
      </c>
      <c r="B987" t="s">
        <v>591</v>
      </c>
      <c r="C987" t="s">
        <v>592</v>
      </c>
      <c r="D987" s="1">
        <v>46224</v>
      </c>
      <c r="E987">
        <v>3.5982845379179097E-2</v>
      </c>
      <c r="F987" s="1">
        <v>46224.771705636573</v>
      </c>
      <c r="G987" t="s">
        <v>593</v>
      </c>
      <c r="H987" s="1">
        <v>46224.771705474537</v>
      </c>
      <c r="I987" t="s">
        <v>593</v>
      </c>
      <c r="J987" t="s">
        <v>5244</v>
      </c>
    </row>
    <row r="988" spans="1:10" x14ac:dyDescent="0.35">
      <c r="A988" t="s">
        <v>1048</v>
      </c>
      <c r="B988" t="s">
        <v>591</v>
      </c>
      <c r="C988" t="s">
        <v>592</v>
      </c>
      <c r="D988" s="1">
        <v>46224</v>
      </c>
      <c r="E988">
        <v>3.3512538798634597E-2</v>
      </c>
      <c r="F988" s="1">
        <v>46224.771782673612</v>
      </c>
      <c r="G988" t="s">
        <v>593</v>
      </c>
      <c r="H988" s="1">
        <v>46224.771782719909</v>
      </c>
      <c r="I988" t="s">
        <v>593</v>
      </c>
      <c r="J988" t="s">
        <v>5245</v>
      </c>
    </row>
    <row r="989" spans="1:10" x14ac:dyDescent="0.35">
      <c r="A989" t="s">
        <v>1049</v>
      </c>
      <c r="B989" t="s">
        <v>591</v>
      </c>
      <c r="C989" t="s">
        <v>592</v>
      </c>
      <c r="D989" s="1">
        <v>46224</v>
      </c>
      <c r="E989">
        <v>3.7393940801007899E-2</v>
      </c>
      <c r="F989" s="1">
        <v>46224.771704861108</v>
      </c>
      <c r="G989" t="s">
        <v>593</v>
      </c>
      <c r="H989" s="1">
        <v>46224.77170474537</v>
      </c>
      <c r="I989" t="s">
        <v>593</v>
      </c>
      <c r="J989" t="s">
        <v>5246</v>
      </c>
    </row>
    <row r="990" spans="1:10" x14ac:dyDescent="0.35">
      <c r="A990" t="s">
        <v>1050</v>
      </c>
      <c r="B990" t="s">
        <v>591</v>
      </c>
      <c r="C990" t="s">
        <v>592</v>
      </c>
      <c r="D990" s="1">
        <v>46224</v>
      </c>
      <c r="E990">
        <v>2.3830301954377599E-2</v>
      </c>
      <c r="F990" s="1">
        <v>46224.771732754627</v>
      </c>
      <c r="G990" t="s">
        <v>593</v>
      </c>
      <c r="H990" s="1">
        <v>46224.771732789355</v>
      </c>
      <c r="I990" t="s">
        <v>593</v>
      </c>
      <c r="J990" t="s">
        <v>5247</v>
      </c>
    </row>
    <row r="991" spans="1:10" x14ac:dyDescent="0.35">
      <c r="A991" t="s">
        <v>1051</v>
      </c>
      <c r="B991" t="s">
        <v>591</v>
      </c>
      <c r="C991" t="s">
        <v>592</v>
      </c>
      <c r="D991" s="1">
        <v>46224</v>
      </c>
      <c r="E991">
        <v>3.17695063999704E-2</v>
      </c>
      <c r="F991" s="1">
        <v>46224.771724918981</v>
      </c>
      <c r="G991" t="s">
        <v>593</v>
      </c>
      <c r="H991" s="1">
        <v>46224.77172503472</v>
      </c>
      <c r="I991" t="s">
        <v>593</v>
      </c>
      <c r="J991" t="s">
        <v>5248</v>
      </c>
    </row>
    <row r="992" spans="1:10" x14ac:dyDescent="0.35">
      <c r="A992" t="s">
        <v>1052</v>
      </c>
      <c r="B992" t="s">
        <v>591</v>
      </c>
      <c r="C992" t="s">
        <v>592</v>
      </c>
      <c r="D992" s="1">
        <v>46224</v>
      </c>
      <c r="E992">
        <v>3.9788193984744397E-2</v>
      </c>
      <c r="F992" s="1">
        <v>46224.771758020834</v>
      </c>
      <c r="G992" t="s">
        <v>593</v>
      </c>
      <c r="H992" s="1">
        <v>46224.771758067131</v>
      </c>
      <c r="I992" t="s">
        <v>593</v>
      </c>
      <c r="J992" t="s">
        <v>5249</v>
      </c>
    </row>
    <row r="993" spans="1:10" x14ac:dyDescent="0.35">
      <c r="A993" t="s">
        <v>1053</v>
      </c>
      <c r="B993" t="s">
        <v>591</v>
      </c>
      <c r="C993" t="s">
        <v>592</v>
      </c>
      <c r="D993" s="1">
        <v>46224</v>
      </c>
      <c r="E993">
        <v>4.1338077480674501E-2</v>
      </c>
      <c r="F993" s="1">
        <v>46224.771754513888</v>
      </c>
      <c r="G993" t="s">
        <v>593</v>
      </c>
      <c r="H993" s="1">
        <v>46224.77175443287</v>
      </c>
      <c r="I993" t="s">
        <v>593</v>
      </c>
      <c r="J993" t="s">
        <v>5250</v>
      </c>
    </row>
    <row r="994" spans="1:10" x14ac:dyDescent="0.35">
      <c r="A994" t="s">
        <v>1054</v>
      </c>
      <c r="B994" t="s">
        <v>591</v>
      </c>
      <c r="C994" t="s">
        <v>592</v>
      </c>
      <c r="D994" s="1">
        <v>46224</v>
      </c>
      <c r="E994">
        <v>2.7643471566378801E-2</v>
      </c>
      <c r="F994" s="1">
        <v>46224.771726469909</v>
      </c>
      <c r="G994" t="s">
        <v>593</v>
      </c>
      <c r="H994" s="1">
        <v>46224.77172650463</v>
      </c>
      <c r="I994" t="s">
        <v>593</v>
      </c>
      <c r="J994" t="s">
        <v>5251</v>
      </c>
    </row>
    <row r="995" spans="1:10" x14ac:dyDescent="0.35">
      <c r="A995" t="s">
        <v>1055</v>
      </c>
      <c r="B995" t="s">
        <v>591</v>
      </c>
      <c r="C995" t="s">
        <v>592</v>
      </c>
      <c r="D995" s="1">
        <v>46224</v>
      </c>
      <c r="E995">
        <v>4.23232548977929E-2</v>
      </c>
      <c r="F995" s="1">
        <v>46224.771742557874</v>
      </c>
      <c r="G995" t="s">
        <v>593</v>
      </c>
      <c r="H995" s="1">
        <v>46224.771742673613</v>
      </c>
      <c r="I995" t="s">
        <v>593</v>
      </c>
      <c r="J995" t="s">
        <v>5252</v>
      </c>
    </row>
    <row r="996" spans="1:10" x14ac:dyDescent="0.35">
      <c r="A996" t="s">
        <v>1056</v>
      </c>
      <c r="B996" t="s">
        <v>591</v>
      </c>
      <c r="C996" t="s">
        <v>592</v>
      </c>
      <c r="D996" s="1">
        <v>46224</v>
      </c>
      <c r="E996">
        <v>3.9846058420664202E-2</v>
      </c>
      <c r="F996" s="1">
        <v>46224.771751307868</v>
      </c>
      <c r="G996" t="s">
        <v>593</v>
      </c>
      <c r="H996" s="1">
        <v>46224.771751388886</v>
      </c>
      <c r="I996" t="s">
        <v>593</v>
      </c>
      <c r="J996" t="s">
        <v>5253</v>
      </c>
    </row>
    <row r="997" spans="1:10" x14ac:dyDescent="0.35">
      <c r="A997" t="s">
        <v>1057</v>
      </c>
      <c r="B997" t="s">
        <v>591</v>
      </c>
      <c r="C997" t="s">
        <v>592</v>
      </c>
      <c r="D997" s="1">
        <v>46224</v>
      </c>
      <c r="E997">
        <v>3.2268049900038002E-2</v>
      </c>
      <c r="F997" s="1">
        <v>46224.771733368056</v>
      </c>
      <c r="G997" t="s">
        <v>593</v>
      </c>
      <c r="H997" s="1">
        <v>46224.771733530091</v>
      </c>
      <c r="I997" t="s">
        <v>593</v>
      </c>
      <c r="J997" t="s">
        <v>5254</v>
      </c>
    </row>
    <row r="998" spans="1:10" x14ac:dyDescent="0.35">
      <c r="A998" t="s">
        <v>1058</v>
      </c>
      <c r="B998" t="s">
        <v>591</v>
      </c>
      <c r="C998" t="s">
        <v>592</v>
      </c>
      <c r="D998" s="1">
        <v>46224</v>
      </c>
      <c r="E998">
        <v>4.23621355785005E-2</v>
      </c>
      <c r="F998" s="1">
        <v>46224.771748842591</v>
      </c>
      <c r="G998" t="s">
        <v>593</v>
      </c>
      <c r="H998" s="1">
        <v>46224.771748842591</v>
      </c>
      <c r="I998" t="s">
        <v>593</v>
      </c>
      <c r="J998" t="s">
        <v>5255</v>
      </c>
    </row>
    <row r="999" spans="1:10" x14ac:dyDescent="0.35">
      <c r="A999" t="s">
        <v>1059</v>
      </c>
      <c r="B999" t="s">
        <v>591</v>
      </c>
      <c r="C999" t="s">
        <v>592</v>
      </c>
      <c r="D999" s="1">
        <v>46224</v>
      </c>
      <c r="E999">
        <v>4.0324434589897103E-2</v>
      </c>
      <c r="F999" s="1">
        <v>46224.77171385417</v>
      </c>
      <c r="G999" t="s">
        <v>593</v>
      </c>
      <c r="H999" s="1">
        <v>46224.771713773145</v>
      </c>
      <c r="I999" t="s">
        <v>593</v>
      </c>
      <c r="J999" t="s">
        <v>5256</v>
      </c>
    </row>
    <row r="1000" spans="1:10" x14ac:dyDescent="0.35">
      <c r="A1000" t="s">
        <v>1060</v>
      </c>
      <c r="B1000" t="s">
        <v>591</v>
      </c>
      <c r="C1000" t="s">
        <v>592</v>
      </c>
      <c r="D1000" s="1">
        <v>46224</v>
      </c>
      <c r="E1000">
        <v>2.9305361044034701E-2</v>
      </c>
      <c r="F1000" s="1">
        <v>46224.771697766206</v>
      </c>
      <c r="G1000" t="s">
        <v>593</v>
      </c>
      <c r="H1000" s="1">
        <v>46224.771697685188</v>
      </c>
      <c r="I1000" t="s">
        <v>593</v>
      </c>
      <c r="J1000" t="s">
        <v>5257</v>
      </c>
    </row>
    <row r="1001" spans="1:10" x14ac:dyDescent="0.35">
      <c r="A1001" t="s">
        <v>1061</v>
      </c>
      <c r="B1001" t="s">
        <v>591</v>
      </c>
      <c r="C1001" t="s">
        <v>592</v>
      </c>
      <c r="D1001" s="1">
        <v>46224</v>
      </c>
      <c r="E1001">
        <v>3.3791708063397798E-2</v>
      </c>
      <c r="F1001" s="1">
        <v>46224.771697453703</v>
      </c>
      <c r="G1001" t="s">
        <v>593</v>
      </c>
      <c r="H1001" s="1">
        <v>46224.771697337965</v>
      </c>
      <c r="I1001" t="s">
        <v>593</v>
      </c>
      <c r="J1001" t="s">
        <v>5258</v>
      </c>
    </row>
    <row r="1002" spans="1:10" x14ac:dyDescent="0.35">
      <c r="A1002" t="s">
        <v>1062</v>
      </c>
      <c r="B1002" t="s">
        <v>591</v>
      </c>
      <c r="C1002" t="s">
        <v>592</v>
      </c>
      <c r="D1002" s="1">
        <v>46224</v>
      </c>
      <c r="E1002">
        <v>4.1840550722136903E-2</v>
      </c>
      <c r="F1002" s="1">
        <v>46224.771740081022</v>
      </c>
      <c r="G1002" t="s">
        <v>593</v>
      </c>
      <c r="H1002" s="1">
        <v>46224.771740162039</v>
      </c>
      <c r="I1002" t="s">
        <v>593</v>
      </c>
      <c r="J1002" t="s">
        <v>5259</v>
      </c>
    </row>
    <row r="1003" spans="1:10" x14ac:dyDescent="0.35">
      <c r="A1003" t="s">
        <v>1063</v>
      </c>
      <c r="B1003" t="s">
        <v>591</v>
      </c>
      <c r="C1003" t="s">
        <v>592</v>
      </c>
      <c r="D1003" s="1">
        <v>46224</v>
      </c>
      <c r="E1003">
        <v>2.8156383869764101E-2</v>
      </c>
      <c r="F1003" s="1">
        <v>46224.771709803237</v>
      </c>
      <c r="G1003" t="s">
        <v>593</v>
      </c>
      <c r="H1003" s="1">
        <v>46224.771709803237</v>
      </c>
      <c r="I1003" t="s">
        <v>593</v>
      </c>
      <c r="J1003" t="s">
        <v>5260</v>
      </c>
    </row>
    <row r="1004" spans="1:10" x14ac:dyDescent="0.35">
      <c r="A1004" t="s">
        <v>1064</v>
      </c>
      <c r="B1004" t="s">
        <v>591</v>
      </c>
      <c r="C1004" t="s">
        <v>592</v>
      </c>
      <c r="D1004" s="1">
        <v>46224</v>
      </c>
      <c r="E1004">
        <v>4.24018743037596E-2</v>
      </c>
      <c r="F1004" s="1">
        <v>46224.771731516201</v>
      </c>
      <c r="G1004" t="s">
        <v>593</v>
      </c>
      <c r="H1004" s="1">
        <v>46224.771731516201</v>
      </c>
      <c r="I1004" t="s">
        <v>593</v>
      </c>
      <c r="J1004" t="s">
        <v>5261</v>
      </c>
    </row>
    <row r="1005" spans="1:10" x14ac:dyDescent="0.35">
      <c r="A1005" t="s">
        <v>1065</v>
      </c>
      <c r="B1005" t="s">
        <v>591</v>
      </c>
      <c r="C1005" t="s">
        <v>592</v>
      </c>
      <c r="D1005" s="1">
        <v>46224</v>
      </c>
      <c r="E1005">
        <v>2.9898572495460699E-2</v>
      </c>
      <c r="F1005" s="1">
        <v>46224.77178052083</v>
      </c>
      <c r="G1005" t="s">
        <v>593</v>
      </c>
      <c r="H1005" s="1">
        <v>46224.77178052083</v>
      </c>
      <c r="I1005" t="s">
        <v>593</v>
      </c>
      <c r="J1005" t="s">
        <v>5262</v>
      </c>
    </row>
    <row r="1006" spans="1:10" x14ac:dyDescent="0.35">
      <c r="A1006" t="s">
        <v>1066</v>
      </c>
      <c r="B1006" t="s">
        <v>591</v>
      </c>
      <c r="C1006" t="s">
        <v>592</v>
      </c>
      <c r="D1006" s="1">
        <v>46224</v>
      </c>
      <c r="E1006">
        <v>3.0951254410679401E-2</v>
      </c>
      <c r="F1006" s="1">
        <v>46224.771725844905</v>
      </c>
      <c r="G1006" t="s">
        <v>593</v>
      </c>
      <c r="H1006" s="1">
        <v>46224.771725925923</v>
      </c>
      <c r="I1006" t="s">
        <v>593</v>
      </c>
      <c r="J1006" t="s">
        <v>5263</v>
      </c>
    </row>
    <row r="1007" spans="1:10" x14ac:dyDescent="0.35">
      <c r="A1007" t="s">
        <v>1067</v>
      </c>
      <c r="B1007" t="s">
        <v>591</v>
      </c>
      <c r="C1007" t="s">
        <v>592</v>
      </c>
      <c r="D1007" s="1">
        <v>46224</v>
      </c>
      <c r="E1007">
        <v>3.9327600245129601E-2</v>
      </c>
      <c r="F1007" s="1">
        <v>46224.771727974534</v>
      </c>
      <c r="G1007" t="s">
        <v>593</v>
      </c>
      <c r="H1007" s="1">
        <v>46224.77172809028</v>
      </c>
      <c r="I1007" t="s">
        <v>593</v>
      </c>
      <c r="J1007" t="s">
        <v>5264</v>
      </c>
    </row>
    <row r="1008" spans="1:10" x14ac:dyDescent="0.35">
      <c r="A1008" t="s">
        <v>1068</v>
      </c>
      <c r="B1008" t="s">
        <v>591</v>
      </c>
      <c r="C1008" t="s">
        <v>592</v>
      </c>
      <c r="D1008" s="1">
        <v>46224</v>
      </c>
      <c r="E1008">
        <v>4.1333845437841001E-2</v>
      </c>
      <c r="F1008" s="1">
        <v>46224.771739351854</v>
      </c>
      <c r="G1008" t="s">
        <v>593</v>
      </c>
      <c r="H1008" s="1">
        <v>46224.771739432872</v>
      </c>
      <c r="I1008" t="s">
        <v>593</v>
      </c>
      <c r="J1008" t="s">
        <v>5265</v>
      </c>
    </row>
    <row r="1009" spans="1:10" x14ac:dyDescent="0.35">
      <c r="A1009" t="s">
        <v>1069</v>
      </c>
      <c r="B1009" t="s">
        <v>591</v>
      </c>
      <c r="C1009" t="s">
        <v>592</v>
      </c>
      <c r="D1009" s="1">
        <v>46224</v>
      </c>
      <c r="E1009">
        <v>2.9164164387329099E-2</v>
      </c>
      <c r="F1009" s="1">
        <v>46224.771715393515</v>
      </c>
      <c r="G1009" t="s">
        <v>593</v>
      </c>
      <c r="H1009" s="1">
        <v>46224.771715474541</v>
      </c>
      <c r="I1009" t="s">
        <v>593</v>
      </c>
      <c r="J1009" t="s">
        <v>5266</v>
      </c>
    </row>
    <row r="1010" spans="1:10" x14ac:dyDescent="0.35">
      <c r="A1010" t="s">
        <v>1070</v>
      </c>
      <c r="B1010" t="s">
        <v>591</v>
      </c>
      <c r="C1010" t="s">
        <v>592</v>
      </c>
      <c r="D1010" s="1">
        <v>46224</v>
      </c>
      <c r="E1010">
        <v>2.9866126885653699E-2</v>
      </c>
      <c r="F1010" s="1">
        <v>46224.771776817128</v>
      </c>
      <c r="G1010" t="s">
        <v>593</v>
      </c>
      <c r="H1010" s="1">
        <v>46224.771776932874</v>
      </c>
      <c r="I1010" t="s">
        <v>593</v>
      </c>
      <c r="J1010" t="s">
        <v>5267</v>
      </c>
    </row>
    <row r="1011" spans="1:10" x14ac:dyDescent="0.35">
      <c r="A1011" t="s">
        <v>1071</v>
      </c>
      <c r="B1011" t="s">
        <v>591</v>
      </c>
      <c r="C1011" t="s">
        <v>592</v>
      </c>
      <c r="D1011" s="1">
        <v>46224</v>
      </c>
      <c r="E1011">
        <v>3.1436809379581501E-2</v>
      </c>
      <c r="F1011" s="1">
        <v>46224.771692511575</v>
      </c>
      <c r="G1011" t="s">
        <v>593</v>
      </c>
      <c r="H1011" s="1">
        <v>46224.771692476854</v>
      </c>
      <c r="I1011" t="s">
        <v>593</v>
      </c>
      <c r="J1011" t="s">
        <v>5268</v>
      </c>
    </row>
    <row r="1012" spans="1:10" x14ac:dyDescent="0.35">
      <c r="A1012" t="s">
        <v>1072</v>
      </c>
      <c r="B1012" t="s">
        <v>591</v>
      </c>
      <c r="C1012" t="s">
        <v>592</v>
      </c>
      <c r="D1012" s="1">
        <v>46224</v>
      </c>
      <c r="E1012">
        <v>3.0613683383624201E-2</v>
      </c>
      <c r="F1012" s="1">
        <v>46224.771731678244</v>
      </c>
      <c r="G1012" t="s">
        <v>593</v>
      </c>
      <c r="H1012" s="1">
        <v>46224.771731712965</v>
      </c>
      <c r="I1012" t="s">
        <v>593</v>
      </c>
      <c r="J1012" t="s">
        <v>5269</v>
      </c>
    </row>
    <row r="1013" spans="1:10" x14ac:dyDescent="0.35">
      <c r="A1013" t="s">
        <v>1073</v>
      </c>
      <c r="B1013" t="s">
        <v>591</v>
      </c>
      <c r="C1013" t="s">
        <v>592</v>
      </c>
      <c r="D1013" s="1">
        <v>46224</v>
      </c>
      <c r="E1013">
        <v>3.81967094648114E-2</v>
      </c>
      <c r="F1013" s="1">
        <v>46224.771707372682</v>
      </c>
      <c r="G1013" t="s">
        <v>593</v>
      </c>
      <c r="H1013" s="1">
        <v>46224.771707256943</v>
      </c>
      <c r="I1013" t="s">
        <v>593</v>
      </c>
      <c r="J1013" t="s">
        <v>5270</v>
      </c>
    </row>
    <row r="1014" spans="1:10" x14ac:dyDescent="0.35">
      <c r="A1014" t="s">
        <v>1074</v>
      </c>
      <c r="B1014" t="s">
        <v>591</v>
      </c>
      <c r="C1014" t="s">
        <v>592</v>
      </c>
      <c r="D1014" s="1">
        <v>46224</v>
      </c>
      <c r="E1014">
        <v>3.4768451577305799E-2</v>
      </c>
      <c r="F1014" s="1">
        <v>46224.771753275461</v>
      </c>
      <c r="G1014" t="s">
        <v>593</v>
      </c>
      <c r="H1014" s="1">
        <v>46224.771753356479</v>
      </c>
      <c r="I1014" t="s">
        <v>593</v>
      </c>
      <c r="J1014" t="s">
        <v>5271</v>
      </c>
    </row>
    <row r="1015" spans="1:10" x14ac:dyDescent="0.35">
      <c r="A1015" t="s">
        <v>1075</v>
      </c>
      <c r="B1015" t="s">
        <v>591</v>
      </c>
      <c r="C1015" t="s">
        <v>592</v>
      </c>
      <c r="D1015" s="1">
        <v>46224</v>
      </c>
      <c r="E1015">
        <v>4.0783268721286799E-2</v>
      </c>
      <c r="F1015" s="1">
        <v>46224.771691585651</v>
      </c>
      <c r="G1015" t="s">
        <v>593</v>
      </c>
      <c r="H1015" s="1">
        <v>46224.771691516202</v>
      </c>
      <c r="I1015" t="s">
        <v>593</v>
      </c>
      <c r="J1015" t="s">
        <v>5272</v>
      </c>
    </row>
    <row r="1016" spans="1:10" x14ac:dyDescent="0.35">
      <c r="A1016" t="s">
        <v>1077</v>
      </c>
      <c r="B1016" t="s">
        <v>600</v>
      </c>
      <c r="C1016" t="s">
        <v>592</v>
      </c>
      <c r="D1016" s="1">
        <v>46224</v>
      </c>
      <c r="E1016">
        <v>95.984999999999999</v>
      </c>
      <c r="F1016" s="1">
        <v>46224.771662812498</v>
      </c>
      <c r="G1016" t="s">
        <v>593</v>
      </c>
      <c r="H1016" s="1">
        <v>46224.771662812498</v>
      </c>
      <c r="I1016" t="s">
        <v>593</v>
      </c>
      <c r="J1016" t="s">
        <v>4314</v>
      </c>
    </row>
    <row r="1017" spans="1:10" x14ac:dyDescent="0.35">
      <c r="A1017" t="s">
        <v>1078</v>
      </c>
      <c r="B1017" t="s">
        <v>600</v>
      </c>
      <c r="C1017" t="s">
        <v>592</v>
      </c>
      <c r="D1017" s="1">
        <v>46224</v>
      </c>
      <c r="E1017">
        <v>95.944999999999993</v>
      </c>
      <c r="F1017" s="1">
        <v>46224.771662962965</v>
      </c>
      <c r="G1017" t="s">
        <v>593</v>
      </c>
      <c r="H1017" s="1">
        <v>46224.771662997686</v>
      </c>
      <c r="I1017" t="s">
        <v>593</v>
      </c>
      <c r="J1017" t="s">
        <v>4314</v>
      </c>
    </row>
    <row r="1018" spans="1:10" x14ac:dyDescent="0.35">
      <c r="A1018" t="s">
        <v>1079</v>
      </c>
      <c r="B1018" t="s">
        <v>600</v>
      </c>
      <c r="C1018" t="s">
        <v>592</v>
      </c>
      <c r="D1018" s="1">
        <v>46224</v>
      </c>
      <c r="E1018">
        <v>95.915000000000006</v>
      </c>
      <c r="F1018" s="1">
        <v>46224.771663159721</v>
      </c>
      <c r="G1018" t="s">
        <v>593</v>
      </c>
      <c r="H1018" s="1">
        <v>46224.771663159721</v>
      </c>
      <c r="I1018" t="s">
        <v>593</v>
      </c>
      <c r="J1018" t="s">
        <v>4314</v>
      </c>
    </row>
    <row r="1019" spans="1:10" x14ac:dyDescent="0.35">
      <c r="A1019" t="s">
        <v>1080</v>
      </c>
      <c r="B1019" t="s">
        <v>600</v>
      </c>
      <c r="C1019" t="s">
        <v>592</v>
      </c>
      <c r="D1019" s="1">
        <v>46224</v>
      </c>
      <c r="E1019">
        <v>95.885000000000005</v>
      </c>
      <c r="F1019" s="1">
        <v>46224.771655636578</v>
      </c>
      <c r="G1019" t="s">
        <v>593</v>
      </c>
      <c r="H1019" s="1">
        <v>46224.771655520832</v>
      </c>
      <c r="I1019" t="s">
        <v>593</v>
      </c>
      <c r="J1019" t="s">
        <v>4314</v>
      </c>
    </row>
    <row r="1020" spans="1:10" x14ac:dyDescent="0.35">
      <c r="A1020" t="s">
        <v>1081</v>
      </c>
      <c r="B1020" t="s">
        <v>600</v>
      </c>
      <c r="C1020" t="s">
        <v>592</v>
      </c>
      <c r="D1020" s="1">
        <v>46224</v>
      </c>
      <c r="E1020">
        <v>95.864999999999995</v>
      </c>
      <c r="F1020" s="1">
        <v>46224.771655787037</v>
      </c>
      <c r="G1020" t="s">
        <v>593</v>
      </c>
      <c r="H1020" s="1">
        <v>46224.771655706019</v>
      </c>
      <c r="I1020" t="s">
        <v>593</v>
      </c>
      <c r="J1020" t="s">
        <v>4314</v>
      </c>
    </row>
    <row r="1021" spans="1:10" x14ac:dyDescent="0.35">
      <c r="A1021" t="s">
        <v>1082</v>
      </c>
      <c r="B1021" t="s">
        <v>600</v>
      </c>
      <c r="C1021" t="s">
        <v>592</v>
      </c>
      <c r="D1021" s="1">
        <v>46224</v>
      </c>
      <c r="E1021">
        <v>95.87</v>
      </c>
      <c r="F1021" s="1">
        <v>46224.771655937497</v>
      </c>
      <c r="G1021" t="s">
        <v>593</v>
      </c>
      <c r="H1021" s="1">
        <v>46224.771655868055</v>
      </c>
      <c r="I1021" t="s">
        <v>593</v>
      </c>
      <c r="J1021" t="s">
        <v>4314</v>
      </c>
    </row>
    <row r="1022" spans="1:10" x14ac:dyDescent="0.35">
      <c r="A1022" t="s">
        <v>1083</v>
      </c>
      <c r="B1022" t="s">
        <v>600</v>
      </c>
      <c r="C1022" t="s">
        <v>592</v>
      </c>
      <c r="D1022" s="1">
        <v>46224</v>
      </c>
      <c r="E1022">
        <v>96.37</v>
      </c>
      <c r="F1022" s="1">
        <v>46224.77165609954</v>
      </c>
      <c r="G1022" t="s">
        <v>593</v>
      </c>
      <c r="H1022" s="1">
        <v>46224.771656053243</v>
      </c>
      <c r="I1022" t="s">
        <v>593</v>
      </c>
      <c r="J1022" t="s">
        <v>4314</v>
      </c>
    </row>
    <row r="1023" spans="1:10" x14ac:dyDescent="0.35">
      <c r="A1023" t="s">
        <v>1084</v>
      </c>
      <c r="B1023" t="s">
        <v>600</v>
      </c>
      <c r="C1023" t="s">
        <v>592</v>
      </c>
      <c r="D1023" s="1">
        <v>46224</v>
      </c>
      <c r="E1023">
        <v>95.875</v>
      </c>
      <c r="F1023" s="1">
        <v>46224.771656249999</v>
      </c>
      <c r="G1023" t="s">
        <v>593</v>
      </c>
      <c r="H1023" s="1">
        <v>46224.771656249999</v>
      </c>
      <c r="I1023" t="s">
        <v>593</v>
      </c>
      <c r="J1023" t="s">
        <v>4314</v>
      </c>
    </row>
    <row r="1024" spans="1:10" x14ac:dyDescent="0.35">
      <c r="A1024" t="s">
        <v>1085</v>
      </c>
      <c r="B1024" t="s">
        <v>600</v>
      </c>
      <c r="C1024" t="s">
        <v>592</v>
      </c>
      <c r="D1024" s="1">
        <v>46224</v>
      </c>
      <c r="E1024">
        <v>96.31</v>
      </c>
      <c r="F1024" s="1">
        <v>46224.771656365738</v>
      </c>
      <c r="G1024" t="s">
        <v>593</v>
      </c>
      <c r="H1024" s="1">
        <v>46224.771656446763</v>
      </c>
      <c r="I1024" t="s">
        <v>593</v>
      </c>
      <c r="J1024" t="s">
        <v>4314</v>
      </c>
    </row>
    <row r="1025" spans="1:10" x14ac:dyDescent="0.35">
      <c r="A1025" t="s">
        <v>1086</v>
      </c>
      <c r="B1025" t="s">
        <v>600</v>
      </c>
      <c r="C1025" t="s">
        <v>592</v>
      </c>
      <c r="D1025" s="1">
        <v>46224</v>
      </c>
      <c r="E1025">
        <v>95.89</v>
      </c>
      <c r="F1025" s="1">
        <v>46224.771658530095</v>
      </c>
      <c r="G1025" t="s">
        <v>593</v>
      </c>
      <c r="H1025" s="1">
        <v>46224.771658483798</v>
      </c>
      <c r="I1025" t="s">
        <v>593</v>
      </c>
      <c r="J1025" t="s">
        <v>4314</v>
      </c>
    </row>
    <row r="1026" spans="1:10" x14ac:dyDescent="0.35">
      <c r="A1026" t="s">
        <v>1087</v>
      </c>
      <c r="B1026" t="s">
        <v>600</v>
      </c>
      <c r="C1026" t="s">
        <v>592</v>
      </c>
      <c r="D1026" s="1">
        <v>46224</v>
      </c>
      <c r="E1026">
        <v>96.24</v>
      </c>
      <c r="F1026" s="1">
        <v>46224.771658680555</v>
      </c>
      <c r="G1026" t="s">
        <v>593</v>
      </c>
      <c r="H1026" s="1">
        <v>46224.771658645834</v>
      </c>
      <c r="I1026" t="s">
        <v>593</v>
      </c>
      <c r="J1026" t="s">
        <v>4314</v>
      </c>
    </row>
    <row r="1027" spans="1:10" x14ac:dyDescent="0.35">
      <c r="A1027" t="s">
        <v>1761</v>
      </c>
      <c r="B1027" t="s">
        <v>600</v>
      </c>
      <c r="C1027" t="s">
        <v>592</v>
      </c>
      <c r="D1027" s="1">
        <v>46224</v>
      </c>
      <c r="E1027">
        <v>95.905000000000001</v>
      </c>
      <c r="F1027" s="1">
        <v>46224.771658831021</v>
      </c>
      <c r="G1027" t="s">
        <v>593</v>
      </c>
      <c r="H1027" s="1">
        <v>46224.771658831021</v>
      </c>
      <c r="I1027" t="s">
        <v>593</v>
      </c>
      <c r="J1027" t="s">
        <v>4314</v>
      </c>
    </row>
    <row r="1028" spans="1:10" x14ac:dyDescent="0.35">
      <c r="A1028" t="s">
        <v>1088</v>
      </c>
      <c r="B1028" t="s">
        <v>600</v>
      </c>
      <c r="C1028" t="s">
        <v>592</v>
      </c>
      <c r="D1028" s="1">
        <v>46224</v>
      </c>
      <c r="E1028">
        <v>96.155000000000001</v>
      </c>
      <c r="F1028" s="1">
        <v>46224.771658993057</v>
      </c>
      <c r="G1028" t="s">
        <v>593</v>
      </c>
      <c r="H1028" s="1">
        <v>46224.771659027778</v>
      </c>
      <c r="I1028" t="s">
        <v>593</v>
      </c>
      <c r="J1028" t="s">
        <v>4314</v>
      </c>
    </row>
    <row r="1029" spans="1:10" x14ac:dyDescent="0.35">
      <c r="A1029" t="s">
        <v>1971</v>
      </c>
      <c r="B1029" t="s">
        <v>600</v>
      </c>
      <c r="C1029" t="s">
        <v>592</v>
      </c>
      <c r="D1029" s="1">
        <v>46224</v>
      </c>
      <c r="E1029">
        <v>95.92</v>
      </c>
      <c r="F1029" s="1">
        <v>46224.771659143516</v>
      </c>
      <c r="G1029" t="s">
        <v>593</v>
      </c>
      <c r="H1029" s="1">
        <v>46224.771659224534</v>
      </c>
      <c r="I1029" t="s">
        <v>593</v>
      </c>
      <c r="J1029" t="s">
        <v>4314</v>
      </c>
    </row>
    <row r="1030" spans="1:10" x14ac:dyDescent="0.35">
      <c r="A1030" t="s">
        <v>1089</v>
      </c>
      <c r="B1030" t="s">
        <v>600</v>
      </c>
      <c r="C1030" t="s">
        <v>592</v>
      </c>
      <c r="D1030" s="1">
        <v>46224</v>
      </c>
      <c r="E1030">
        <v>96.09</v>
      </c>
      <c r="F1030" s="1">
        <v>46224.771659259262</v>
      </c>
      <c r="G1030" t="s">
        <v>593</v>
      </c>
      <c r="H1030" s="1">
        <v>46224.771659224534</v>
      </c>
      <c r="I1030" t="s">
        <v>593</v>
      </c>
      <c r="J1030" t="s">
        <v>4314</v>
      </c>
    </row>
    <row r="1031" spans="1:10" x14ac:dyDescent="0.35">
      <c r="A1031" t="s">
        <v>1090</v>
      </c>
      <c r="B1031" t="s">
        <v>600</v>
      </c>
      <c r="C1031" t="s">
        <v>592</v>
      </c>
      <c r="D1031" s="1">
        <v>46224</v>
      </c>
      <c r="E1031">
        <v>96.015000000000001</v>
      </c>
      <c r="F1031" s="1">
        <v>46224.771666284723</v>
      </c>
      <c r="G1031" t="s">
        <v>593</v>
      </c>
      <c r="H1031" s="1">
        <v>46224.771666284723</v>
      </c>
      <c r="I1031" t="s">
        <v>593</v>
      </c>
      <c r="J1031" t="s">
        <v>4314</v>
      </c>
    </row>
    <row r="1032" spans="1:10" x14ac:dyDescent="0.35">
      <c r="A1032" t="s">
        <v>1091</v>
      </c>
      <c r="B1032" t="s">
        <v>591</v>
      </c>
      <c r="C1032" t="s">
        <v>592</v>
      </c>
      <c r="D1032" s="1">
        <v>46224</v>
      </c>
      <c r="E1032">
        <v>2.8276889679315201E-2</v>
      </c>
      <c r="F1032" s="1">
        <v>46224.771776504633</v>
      </c>
      <c r="G1032" t="s">
        <v>593</v>
      </c>
      <c r="H1032" s="1">
        <v>46224.771776539354</v>
      </c>
      <c r="I1032" t="s">
        <v>593</v>
      </c>
      <c r="J1032" t="s">
        <v>5273</v>
      </c>
    </row>
    <row r="1033" spans="1:10" x14ac:dyDescent="0.35">
      <c r="A1033" t="s">
        <v>1092</v>
      </c>
      <c r="B1033" t="s">
        <v>591</v>
      </c>
      <c r="C1033" t="s">
        <v>592</v>
      </c>
      <c r="D1033" s="1">
        <v>46224</v>
      </c>
      <c r="E1033">
        <v>3.4727921121059498E-2</v>
      </c>
      <c r="F1033" s="1">
        <v>46224.771770370367</v>
      </c>
      <c r="G1033" t="s">
        <v>593</v>
      </c>
      <c r="H1033" s="1">
        <v>46224.771770370367</v>
      </c>
      <c r="I1033" t="s">
        <v>593</v>
      </c>
      <c r="J1033" t="s">
        <v>5274</v>
      </c>
    </row>
    <row r="1034" spans="1:10" x14ac:dyDescent="0.35">
      <c r="A1034" t="s">
        <v>1093</v>
      </c>
      <c r="B1034" t="s">
        <v>591</v>
      </c>
      <c r="C1034" t="s">
        <v>592</v>
      </c>
      <c r="D1034" s="1">
        <v>46224</v>
      </c>
      <c r="E1034">
        <v>3.5921003927500098E-2</v>
      </c>
      <c r="F1034" s="1">
        <v>46224.771727812498</v>
      </c>
      <c r="G1034" t="s">
        <v>593</v>
      </c>
      <c r="H1034" s="1">
        <v>46224.771727893516</v>
      </c>
      <c r="I1034" t="s">
        <v>593</v>
      </c>
      <c r="J1034" t="s">
        <v>5275</v>
      </c>
    </row>
    <row r="1035" spans="1:10" x14ac:dyDescent="0.35">
      <c r="A1035" t="s">
        <v>1094</v>
      </c>
      <c r="B1035" t="s">
        <v>591</v>
      </c>
      <c r="C1035" t="s">
        <v>592</v>
      </c>
      <c r="D1035" s="1">
        <v>46224</v>
      </c>
      <c r="E1035">
        <v>1.37734768170796E-2</v>
      </c>
      <c r="F1035" s="1">
        <v>46224.771782835647</v>
      </c>
      <c r="G1035" t="s">
        <v>593</v>
      </c>
      <c r="H1035" s="1">
        <v>46224.771782870368</v>
      </c>
      <c r="I1035" t="s">
        <v>593</v>
      </c>
      <c r="J1035" t="s">
        <v>5276</v>
      </c>
    </row>
    <row r="1036" spans="1:10" x14ac:dyDescent="0.35">
      <c r="A1036" t="s">
        <v>1095</v>
      </c>
      <c r="B1036" t="s">
        <v>591</v>
      </c>
      <c r="C1036" t="s">
        <v>592</v>
      </c>
      <c r="D1036" s="1">
        <v>46224</v>
      </c>
      <c r="E1036">
        <v>3.4422574168381397E-2</v>
      </c>
      <c r="F1036" s="1">
        <v>46224.771690856483</v>
      </c>
      <c r="G1036" t="s">
        <v>593</v>
      </c>
      <c r="H1036" s="1">
        <v>46224.771690775466</v>
      </c>
      <c r="I1036" t="s">
        <v>593</v>
      </c>
      <c r="J1036" t="s">
        <v>5277</v>
      </c>
    </row>
    <row r="1037" spans="1:10" x14ac:dyDescent="0.35">
      <c r="A1037" t="s">
        <v>1096</v>
      </c>
      <c r="B1037" t="s">
        <v>591</v>
      </c>
      <c r="C1037" t="s">
        <v>592</v>
      </c>
      <c r="D1037" s="1">
        <v>46224</v>
      </c>
      <c r="E1037">
        <v>1.18523262753401E-2</v>
      </c>
      <c r="F1037" s="1">
        <v>46224.771731828703</v>
      </c>
      <c r="G1037" t="s">
        <v>593</v>
      </c>
      <c r="H1037" s="1">
        <v>46224.771731909721</v>
      </c>
      <c r="I1037" t="s">
        <v>593</v>
      </c>
      <c r="J1037" t="s">
        <v>5278</v>
      </c>
    </row>
    <row r="1038" spans="1:10" x14ac:dyDescent="0.35">
      <c r="A1038" t="s">
        <v>1097</v>
      </c>
      <c r="B1038" t="s">
        <v>591</v>
      </c>
      <c r="C1038" t="s">
        <v>592</v>
      </c>
      <c r="D1038" s="1">
        <v>46224</v>
      </c>
      <c r="E1038">
        <v>3.0133466643225301E-2</v>
      </c>
      <c r="F1038" s="1">
        <v>46224.77172704861</v>
      </c>
      <c r="G1038" t="s">
        <v>593</v>
      </c>
      <c r="H1038" s="1">
        <v>46224.771727083331</v>
      </c>
      <c r="I1038" t="s">
        <v>593</v>
      </c>
      <c r="J1038" t="s">
        <v>5279</v>
      </c>
    </row>
    <row r="1039" spans="1:10" x14ac:dyDescent="0.35">
      <c r="A1039" t="s">
        <v>1098</v>
      </c>
      <c r="B1039" t="s">
        <v>591</v>
      </c>
      <c r="C1039" t="s">
        <v>592</v>
      </c>
      <c r="D1039" s="1">
        <v>46224</v>
      </c>
      <c r="E1039">
        <v>3.7657710115604703E-2</v>
      </c>
      <c r="F1039" s="1">
        <v>46224.771688391207</v>
      </c>
      <c r="G1039" t="s">
        <v>593</v>
      </c>
      <c r="H1039" s="1">
        <v>46224.771688275461</v>
      </c>
      <c r="I1039" t="s">
        <v>593</v>
      </c>
      <c r="J1039" t="s">
        <v>5280</v>
      </c>
    </row>
    <row r="1040" spans="1:10" x14ac:dyDescent="0.35">
      <c r="A1040" t="s">
        <v>1099</v>
      </c>
      <c r="B1040" t="s">
        <v>591</v>
      </c>
      <c r="C1040" t="s">
        <v>592</v>
      </c>
      <c r="D1040" s="1">
        <v>46224</v>
      </c>
      <c r="E1040">
        <v>4.6752390100502299E-2</v>
      </c>
      <c r="F1040" s="1">
        <v>46224.771717974538</v>
      </c>
      <c r="G1040" t="s">
        <v>593</v>
      </c>
      <c r="H1040" s="1">
        <v>46224.771717974538</v>
      </c>
      <c r="I1040" t="s">
        <v>593</v>
      </c>
      <c r="J1040" t="s">
        <v>5281</v>
      </c>
    </row>
    <row r="1041" spans="1:10" x14ac:dyDescent="0.35">
      <c r="A1041" t="s">
        <v>1100</v>
      </c>
      <c r="B1041" t="s">
        <v>591</v>
      </c>
      <c r="C1041" t="s">
        <v>592</v>
      </c>
      <c r="D1041" s="1">
        <v>46224</v>
      </c>
      <c r="E1041">
        <v>4.09666108303188E-2</v>
      </c>
      <c r="F1041" s="1">
        <v>46224.771773263892</v>
      </c>
      <c r="G1041" t="s">
        <v>593</v>
      </c>
      <c r="H1041" s="1">
        <v>46224.771773298613</v>
      </c>
      <c r="I1041" t="s">
        <v>593</v>
      </c>
      <c r="J1041" t="s">
        <v>5282</v>
      </c>
    </row>
    <row r="1042" spans="1:10" x14ac:dyDescent="0.35">
      <c r="A1042" t="s">
        <v>1101</v>
      </c>
      <c r="B1042" t="s">
        <v>591</v>
      </c>
      <c r="C1042" t="s">
        <v>592</v>
      </c>
      <c r="D1042" s="1">
        <v>46224</v>
      </c>
      <c r="E1042">
        <v>1.9840906597548801E-2</v>
      </c>
      <c r="F1042" s="1">
        <v>46224.771731215274</v>
      </c>
      <c r="G1042" t="s">
        <v>593</v>
      </c>
      <c r="H1042" s="1">
        <v>46224.771731168985</v>
      </c>
      <c r="I1042" t="s">
        <v>593</v>
      </c>
      <c r="J1042" t="s">
        <v>5283</v>
      </c>
    </row>
    <row r="1043" spans="1:10" x14ac:dyDescent="0.35">
      <c r="A1043" t="s">
        <v>1102</v>
      </c>
      <c r="B1043" t="s">
        <v>591</v>
      </c>
      <c r="C1043" t="s">
        <v>592</v>
      </c>
      <c r="D1043" s="1">
        <v>46224</v>
      </c>
      <c r="E1043">
        <v>4.2416569622914201E-2</v>
      </c>
      <c r="F1043" s="1">
        <v>46224.771709490742</v>
      </c>
      <c r="G1043" t="s">
        <v>593</v>
      </c>
      <c r="H1043" s="1">
        <v>46224.771709456021</v>
      </c>
      <c r="I1043" t="s">
        <v>593</v>
      </c>
      <c r="J1043" t="s">
        <v>5284</v>
      </c>
    </row>
    <row r="1044" spans="1:10" x14ac:dyDescent="0.35">
      <c r="A1044" t="s">
        <v>1103</v>
      </c>
      <c r="B1044" t="s">
        <v>591</v>
      </c>
      <c r="C1044" t="s">
        <v>592</v>
      </c>
      <c r="D1044" s="1">
        <v>46224</v>
      </c>
      <c r="E1044">
        <v>4.7315530781234703E-2</v>
      </c>
      <c r="F1044" s="1">
        <v>46224.771755752314</v>
      </c>
      <c r="G1044" t="s">
        <v>593</v>
      </c>
      <c r="H1044" s="1">
        <v>46224.771755706017</v>
      </c>
      <c r="I1044" t="s">
        <v>593</v>
      </c>
      <c r="J1044" t="s">
        <v>5285</v>
      </c>
    </row>
    <row r="1045" spans="1:10" x14ac:dyDescent="0.35">
      <c r="A1045" t="s">
        <v>1104</v>
      </c>
      <c r="B1045" t="s">
        <v>591</v>
      </c>
      <c r="C1045" t="s">
        <v>592</v>
      </c>
      <c r="D1045" s="1">
        <v>46224</v>
      </c>
      <c r="E1045">
        <v>1.60029690258696E-3</v>
      </c>
      <c r="F1045" s="1">
        <v>46224.771711539353</v>
      </c>
      <c r="G1045" t="s">
        <v>593</v>
      </c>
      <c r="H1045" s="1">
        <v>46224.771711608795</v>
      </c>
      <c r="I1045" t="s">
        <v>593</v>
      </c>
      <c r="J1045" t="s">
        <v>5286</v>
      </c>
    </row>
    <row r="1046" spans="1:10" x14ac:dyDescent="0.35">
      <c r="A1046" t="s">
        <v>1105</v>
      </c>
      <c r="B1046" t="s">
        <v>591</v>
      </c>
      <c r="C1046" t="s">
        <v>592</v>
      </c>
      <c r="D1046" s="1">
        <v>46224</v>
      </c>
      <c r="E1046">
        <v>2.8567782016893299E-2</v>
      </c>
      <c r="F1046" s="1">
        <v>46224.77175054398</v>
      </c>
      <c r="G1046" t="s">
        <v>593</v>
      </c>
      <c r="H1046" s="1">
        <v>46224.77175054398</v>
      </c>
      <c r="I1046" t="s">
        <v>593</v>
      </c>
      <c r="J1046" t="s">
        <v>5287</v>
      </c>
    </row>
    <row r="1047" spans="1:10" x14ac:dyDescent="0.35">
      <c r="A1047" t="s">
        <v>1106</v>
      </c>
      <c r="B1047" t="s">
        <v>591</v>
      </c>
      <c r="C1047" t="s">
        <v>592</v>
      </c>
      <c r="D1047" s="1">
        <v>46224</v>
      </c>
      <c r="E1047">
        <v>4.4253114041655599E-2</v>
      </c>
      <c r="F1047" s="1">
        <v>46224.771733530091</v>
      </c>
      <c r="G1047" t="s">
        <v>593</v>
      </c>
      <c r="H1047" s="1">
        <v>46224.771733530091</v>
      </c>
      <c r="I1047" t="s">
        <v>593</v>
      </c>
      <c r="J1047" t="s">
        <v>5288</v>
      </c>
    </row>
    <row r="1048" spans="1:10" x14ac:dyDescent="0.35">
      <c r="A1048" t="s">
        <v>1107</v>
      </c>
      <c r="B1048" t="s">
        <v>591</v>
      </c>
      <c r="C1048" t="s">
        <v>592</v>
      </c>
      <c r="D1048" s="1">
        <v>46224</v>
      </c>
      <c r="E1048">
        <v>3.1400051913015703E-2</v>
      </c>
      <c r="F1048" s="1">
        <v>46224.771767164355</v>
      </c>
      <c r="G1048" t="s">
        <v>593</v>
      </c>
      <c r="H1048" s="1">
        <v>46224.771767094906</v>
      </c>
      <c r="I1048" t="s">
        <v>593</v>
      </c>
      <c r="J1048" t="s">
        <v>5289</v>
      </c>
    </row>
    <row r="1049" spans="1:10" x14ac:dyDescent="0.35">
      <c r="A1049" t="s">
        <v>1108</v>
      </c>
      <c r="B1049" t="s">
        <v>591</v>
      </c>
      <c r="C1049" t="s">
        <v>592</v>
      </c>
      <c r="D1049" s="1">
        <v>46224</v>
      </c>
      <c r="E1049">
        <v>3.27002197692388E-2</v>
      </c>
      <c r="F1049" s="1">
        <v>46224.771755289352</v>
      </c>
      <c r="G1049" t="s">
        <v>593</v>
      </c>
      <c r="H1049" s="1">
        <v>46224.771755358794</v>
      </c>
      <c r="I1049" t="s">
        <v>593</v>
      </c>
      <c r="J1049" t="s">
        <v>5290</v>
      </c>
    </row>
    <row r="1050" spans="1:10" x14ac:dyDescent="0.35">
      <c r="A1050" t="s">
        <v>1109</v>
      </c>
      <c r="B1050" t="s">
        <v>591</v>
      </c>
      <c r="C1050" t="s">
        <v>592</v>
      </c>
      <c r="D1050" s="1">
        <v>46224</v>
      </c>
      <c r="E1050">
        <v>4.6361627287736899E-2</v>
      </c>
      <c r="F1050" s="1">
        <v>46224.771704085651</v>
      </c>
      <c r="G1050" t="s">
        <v>593</v>
      </c>
      <c r="H1050" s="1">
        <v>46224.771704085651</v>
      </c>
      <c r="I1050" t="s">
        <v>593</v>
      </c>
      <c r="J1050" t="s">
        <v>5291</v>
      </c>
    </row>
    <row r="1051" spans="1:10" x14ac:dyDescent="0.35">
      <c r="A1051" t="s">
        <v>1110</v>
      </c>
      <c r="B1051" t="s">
        <v>591</v>
      </c>
      <c r="C1051" t="s">
        <v>592</v>
      </c>
      <c r="D1051" s="1">
        <v>46224</v>
      </c>
      <c r="E1051">
        <v>3.9183190461411901E-2</v>
      </c>
      <c r="F1051" s="1">
        <v>46224.771699456018</v>
      </c>
      <c r="G1051" t="s">
        <v>593</v>
      </c>
      <c r="H1051" s="1">
        <v>46224.771699305558</v>
      </c>
      <c r="I1051" t="s">
        <v>593</v>
      </c>
      <c r="J1051" t="s">
        <v>5292</v>
      </c>
    </row>
    <row r="1052" spans="1:10" x14ac:dyDescent="0.35">
      <c r="A1052" t="s">
        <v>1111</v>
      </c>
      <c r="B1052" t="s">
        <v>591</v>
      </c>
      <c r="C1052" t="s">
        <v>592</v>
      </c>
      <c r="D1052" s="1">
        <v>46224</v>
      </c>
      <c r="E1052">
        <v>4.9093559741848897E-2</v>
      </c>
      <c r="F1052" s="1">
        <v>46224.771746331018</v>
      </c>
      <c r="G1052" t="s">
        <v>593</v>
      </c>
      <c r="H1052" s="1">
        <v>46224.771746296297</v>
      </c>
      <c r="I1052" t="s">
        <v>593</v>
      </c>
      <c r="J1052" t="s">
        <v>5293</v>
      </c>
    </row>
    <row r="1053" spans="1:10" x14ac:dyDescent="0.35">
      <c r="A1053" t="s">
        <v>1112</v>
      </c>
      <c r="B1053" t="s">
        <v>591</v>
      </c>
      <c r="C1053" t="s">
        <v>592</v>
      </c>
      <c r="D1053" s="1">
        <v>46224</v>
      </c>
      <c r="E1053">
        <v>2.4988082531312902E-2</v>
      </c>
      <c r="F1053" s="1">
        <v>46224.771689155095</v>
      </c>
      <c r="G1053" t="s">
        <v>593</v>
      </c>
      <c r="H1053" s="1">
        <v>46224.771689155095</v>
      </c>
      <c r="I1053" t="s">
        <v>593</v>
      </c>
      <c r="J1053" t="s">
        <v>5294</v>
      </c>
    </row>
    <row r="1054" spans="1:10" x14ac:dyDescent="0.35">
      <c r="A1054" t="s">
        <v>1113</v>
      </c>
      <c r="B1054" t="s">
        <v>591</v>
      </c>
      <c r="C1054" t="s">
        <v>592</v>
      </c>
      <c r="D1054" s="1">
        <v>46224</v>
      </c>
      <c r="E1054">
        <v>2.24952246592637E-2</v>
      </c>
      <c r="F1054" s="1">
        <v>46224.771708715278</v>
      </c>
      <c r="G1054" t="s">
        <v>593</v>
      </c>
      <c r="H1054" s="1">
        <v>46224.771708715278</v>
      </c>
      <c r="I1054" t="s">
        <v>593</v>
      </c>
      <c r="J1054" t="s">
        <v>5295</v>
      </c>
    </row>
    <row r="1055" spans="1:10" x14ac:dyDescent="0.35">
      <c r="A1055" t="s">
        <v>1114</v>
      </c>
      <c r="B1055" t="s">
        <v>591</v>
      </c>
      <c r="C1055" t="s">
        <v>592</v>
      </c>
      <c r="D1055" s="1">
        <v>46224</v>
      </c>
      <c r="E1055">
        <v>4.1543435387898203E-2</v>
      </c>
      <c r="F1055" s="1">
        <v>46224.771757256945</v>
      </c>
      <c r="G1055" t="s">
        <v>593</v>
      </c>
      <c r="H1055" s="1">
        <v>46224.771757326387</v>
      </c>
      <c r="I1055" t="s">
        <v>593</v>
      </c>
      <c r="J1055" t="s">
        <v>5296</v>
      </c>
    </row>
    <row r="1056" spans="1:10" x14ac:dyDescent="0.35">
      <c r="A1056" t="s">
        <v>1115</v>
      </c>
      <c r="B1056" t="s">
        <v>591</v>
      </c>
      <c r="C1056" t="s">
        <v>592</v>
      </c>
      <c r="D1056" s="1">
        <v>46224</v>
      </c>
      <c r="E1056">
        <v>1.64497707093752E-2</v>
      </c>
      <c r="F1056" s="1">
        <v>46224.771730752313</v>
      </c>
      <c r="G1056" t="s">
        <v>593</v>
      </c>
      <c r="H1056" s="1">
        <v>46224.771730787033</v>
      </c>
      <c r="I1056" t="s">
        <v>593</v>
      </c>
      <c r="J1056" t="s">
        <v>5297</v>
      </c>
    </row>
    <row r="1057" spans="1:10" x14ac:dyDescent="0.35">
      <c r="A1057" t="s">
        <v>1116</v>
      </c>
      <c r="B1057" t="s">
        <v>591</v>
      </c>
      <c r="C1057" t="s">
        <v>592</v>
      </c>
      <c r="D1057" s="1">
        <v>46224</v>
      </c>
      <c r="E1057">
        <v>2.7404779755850799E-2</v>
      </c>
      <c r="F1057" s="1">
        <v>46224.77172060185</v>
      </c>
      <c r="G1057" t="s">
        <v>593</v>
      </c>
      <c r="H1057" s="1">
        <v>46224.771720682867</v>
      </c>
      <c r="I1057" t="s">
        <v>593</v>
      </c>
      <c r="J1057" t="s">
        <v>5298</v>
      </c>
    </row>
    <row r="1058" spans="1:10" x14ac:dyDescent="0.35">
      <c r="A1058" t="s">
        <v>1117</v>
      </c>
      <c r="B1058" t="s">
        <v>591</v>
      </c>
      <c r="C1058" t="s">
        <v>592</v>
      </c>
      <c r="D1058" s="1">
        <v>46224</v>
      </c>
      <c r="E1058">
        <v>4.5472899539697402E-2</v>
      </c>
      <c r="F1058" s="1">
        <v>46224.771747256942</v>
      </c>
      <c r="G1058" t="s">
        <v>593</v>
      </c>
      <c r="H1058" s="1">
        <v>46224.771747222221</v>
      </c>
      <c r="I1058" t="s">
        <v>593</v>
      </c>
      <c r="J1058" t="s">
        <v>5299</v>
      </c>
    </row>
    <row r="1059" spans="1:10" x14ac:dyDescent="0.35">
      <c r="A1059" t="s">
        <v>1118</v>
      </c>
      <c r="B1059" t="s">
        <v>591</v>
      </c>
      <c r="C1059" t="s">
        <v>592</v>
      </c>
      <c r="D1059" s="1">
        <v>46224</v>
      </c>
      <c r="E1059">
        <v>2.9399480069406701E-2</v>
      </c>
      <c r="F1059" s="1">
        <v>46224.77171721065</v>
      </c>
      <c r="G1059" t="s">
        <v>593</v>
      </c>
      <c r="H1059" s="1">
        <v>46224.77171724537</v>
      </c>
      <c r="I1059" t="s">
        <v>593</v>
      </c>
      <c r="J1059" t="s">
        <v>5300</v>
      </c>
    </row>
    <row r="1060" spans="1:10" x14ac:dyDescent="0.35">
      <c r="A1060" t="s">
        <v>1119</v>
      </c>
      <c r="B1060" t="s">
        <v>591</v>
      </c>
      <c r="C1060" t="s">
        <v>592</v>
      </c>
      <c r="D1060" s="1">
        <v>46224</v>
      </c>
      <c r="E1060">
        <v>3.6879934724400203E-2</v>
      </c>
      <c r="F1060" s="1">
        <v>46224.771758483796</v>
      </c>
      <c r="G1060" t="s">
        <v>593</v>
      </c>
      <c r="H1060" s="1">
        <v>46224.771758449075</v>
      </c>
      <c r="I1060" t="s">
        <v>593</v>
      </c>
      <c r="J1060" t="s">
        <v>5301</v>
      </c>
    </row>
    <row r="1061" spans="1:10" x14ac:dyDescent="0.35">
      <c r="A1061" t="s">
        <v>1120</v>
      </c>
      <c r="B1061" t="s">
        <v>591</v>
      </c>
      <c r="C1061" t="s">
        <v>592</v>
      </c>
      <c r="D1061" s="1">
        <v>46224</v>
      </c>
      <c r="E1061">
        <v>2.9858952144519401E-2</v>
      </c>
      <c r="F1061" s="1">
        <v>46224.77173857639</v>
      </c>
      <c r="G1061" t="s">
        <v>593</v>
      </c>
      <c r="H1061" s="1">
        <v>46224.771738622687</v>
      </c>
      <c r="I1061" t="s">
        <v>593</v>
      </c>
      <c r="J1061" t="s">
        <v>5302</v>
      </c>
    </row>
    <row r="1062" spans="1:10" x14ac:dyDescent="0.35">
      <c r="A1062" t="s">
        <v>1121</v>
      </c>
      <c r="B1062" t="s">
        <v>591</v>
      </c>
      <c r="C1062" t="s">
        <v>592</v>
      </c>
      <c r="D1062" s="1">
        <v>46224</v>
      </c>
      <c r="E1062">
        <v>4.5910024331297601E-2</v>
      </c>
      <c r="F1062" s="1">
        <v>46224.771754085647</v>
      </c>
      <c r="G1062" t="s">
        <v>593</v>
      </c>
      <c r="H1062" s="1">
        <v>46224.771754085647</v>
      </c>
      <c r="I1062" t="s">
        <v>593</v>
      </c>
      <c r="J1062" t="s">
        <v>5303</v>
      </c>
    </row>
    <row r="1063" spans="1:10" x14ac:dyDescent="0.35">
      <c r="A1063" t="s">
        <v>1122</v>
      </c>
      <c r="B1063" t="s">
        <v>591</v>
      </c>
      <c r="C1063" t="s">
        <v>592</v>
      </c>
      <c r="D1063" s="1">
        <v>46224</v>
      </c>
      <c r="E1063">
        <v>3.03312856421558E-2</v>
      </c>
      <c r="F1063" s="1">
        <v>46224.77173630787</v>
      </c>
      <c r="G1063" t="s">
        <v>593</v>
      </c>
      <c r="H1063" s="1">
        <v>46224.771736423609</v>
      </c>
      <c r="I1063" t="s">
        <v>593</v>
      </c>
      <c r="J1063" t="s">
        <v>5304</v>
      </c>
    </row>
    <row r="1064" spans="1:10" x14ac:dyDescent="0.35">
      <c r="A1064" t="s">
        <v>1123</v>
      </c>
      <c r="B1064" t="s">
        <v>591</v>
      </c>
      <c r="C1064" t="s">
        <v>592</v>
      </c>
      <c r="D1064" s="1">
        <v>46224</v>
      </c>
      <c r="E1064">
        <v>3.0863703647878198E-2</v>
      </c>
      <c r="F1064" s="1">
        <v>46224.771702314814</v>
      </c>
      <c r="G1064" t="s">
        <v>593</v>
      </c>
      <c r="H1064" s="1">
        <v>46224.771702199076</v>
      </c>
      <c r="I1064" t="s">
        <v>593</v>
      </c>
      <c r="J1064" t="s">
        <v>5305</v>
      </c>
    </row>
    <row r="1065" spans="1:10" x14ac:dyDescent="0.35">
      <c r="A1065" t="s">
        <v>1124</v>
      </c>
      <c r="B1065" t="s">
        <v>591</v>
      </c>
      <c r="C1065" t="s">
        <v>592</v>
      </c>
      <c r="D1065" s="1">
        <v>46224</v>
      </c>
      <c r="E1065">
        <v>4.6233243131380497E-2</v>
      </c>
      <c r="F1065" s="1">
        <v>46224.771688078705</v>
      </c>
      <c r="G1065" t="s">
        <v>593</v>
      </c>
      <c r="H1065" s="1">
        <v>46224.771688078705</v>
      </c>
      <c r="I1065" t="s">
        <v>593</v>
      </c>
      <c r="J1065" t="s">
        <v>5306</v>
      </c>
    </row>
    <row r="1066" spans="1:10" x14ac:dyDescent="0.35">
      <c r="A1066" t="s">
        <v>1125</v>
      </c>
      <c r="B1066" t="s">
        <v>591</v>
      </c>
      <c r="C1066" t="s">
        <v>592</v>
      </c>
      <c r="D1066" s="1">
        <v>46224</v>
      </c>
      <c r="E1066">
        <v>4.2528631954344399E-2</v>
      </c>
      <c r="F1066" s="1">
        <v>46224.771694212963</v>
      </c>
      <c r="G1066" t="s">
        <v>593</v>
      </c>
      <c r="H1066" s="1">
        <v>46224.771694062503</v>
      </c>
      <c r="I1066" t="s">
        <v>593</v>
      </c>
      <c r="J1066" t="s">
        <v>5307</v>
      </c>
    </row>
    <row r="1067" spans="1:10" x14ac:dyDescent="0.35">
      <c r="A1067" t="s">
        <v>1126</v>
      </c>
      <c r="B1067" t="s">
        <v>591</v>
      </c>
      <c r="C1067" t="s">
        <v>592</v>
      </c>
      <c r="D1067" s="1">
        <v>46224</v>
      </c>
      <c r="E1067">
        <v>3.2075068166996103E-2</v>
      </c>
      <c r="F1067" s="1">
        <v>46224.77169436343</v>
      </c>
      <c r="G1067" t="s">
        <v>593</v>
      </c>
      <c r="H1067" s="1">
        <v>46224.771694247684</v>
      </c>
      <c r="I1067" t="s">
        <v>593</v>
      </c>
      <c r="J1067" t="s">
        <v>5308</v>
      </c>
    </row>
    <row r="1068" spans="1:10" x14ac:dyDescent="0.35">
      <c r="A1068" t="s">
        <v>1127</v>
      </c>
      <c r="B1068" t="s">
        <v>591</v>
      </c>
      <c r="C1068" t="s">
        <v>592</v>
      </c>
      <c r="D1068" s="1">
        <v>46224</v>
      </c>
      <c r="E1068">
        <v>4.3536647171398102E-2</v>
      </c>
      <c r="F1068" s="1">
        <v>46224.771730127315</v>
      </c>
      <c r="G1068" t="s">
        <v>593</v>
      </c>
      <c r="H1068" s="1">
        <v>46224.771730243054</v>
      </c>
      <c r="I1068" t="s">
        <v>593</v>
      </c>
      <c r="J1068" t="s">
        <v>5309</v>
      </c>
    </row>
    <row r="1069" spans="1:10" x14ac:dyDescent="0.35">
      <c r="A1069" t="s">
        <v>1128</v>
      </c>
      <c r="B1069" t="s">
        <v>591</v>
      </c>
      <c r="C1069" t="s">
        <v>592</v>
      </c>
      <c r="D1069" s="1">
        <v>46224</v>
      </c>
      <c r="E1069">
        <v>4.4113139870661802E-2</v>
      </c>
      <c r="F1069" s="1">
        <v>46224.771742094905</v>
      </c>
      <c r="G1069" t="s">
        <v>593</v>
      </c>
      <c r="H1069" s="1">
        <v>46224.771742129633</v>
      </c>
      <c r="I1069" t="s">
        <v>593</v>
      </c>
      <c r="J1069" t="s">
        <v>5310</v>
      </c>
    </row>
    <row r="1070" spans="1:10" x14ac:dyDescent="0.35">
      <c r="A1070" t="s">
        <v>1129</v>
      </c>
      <c r="B1070" t="s">
        <v>591</v>
      </c>
      <c r="C1070" t="s">
        <v>592</v>
      </c>
      <c r="D1070" s="1">
        <v>46224</v>
      </c>
      <c r="E1070">
        <v>3.3402987255023997E-2</v>
      </c>
      <c r="F1070" s="1">
        <v>46224.771781909723</v>
      </c>
      <c r="G1070" t="s">
        <v>593</v>
      </c>
      <c r="H1070" s="1">
        <v>46224.771781979165</v>
      </c>
      <c r="I1070" t="s">
        <v>593</v>
      </c>
      <c r="J1070" t="s">
        <v>5311</v>
      </c>
    </row>
    <row r="1071" spans="1:10" x14ac:dyDescent="0.35">
      <c r="A1071" t="s">
        <v>1130</v>
      </c>
      <c r="B1071" t="s">
        <v>591</v>
      </c>
      <c r="C1071" t="s">
        <v>592</v>
      </c>
      <c r="D1071" s="1">
        <v>46224</v>
      </c>
      <c r="E1071">
        <v>2.63257255131009E-2</v>
      </c>
      <c r="F1071" s="1">
        <v>46224.771757557872</v>
      </c>
      <c r="G1071" t="s">
        <v>593</v>
      </c>
      <c r="H1071" s="1">
        <v>46224.771757523151</v>
      </c>
      <c r="I1071" t="s">
        <v>593</v>
      </c>
      <c r="J1071" t="s">
        <v>5312</v>
      </c>
    </row>
    <row r="1072" spans="1:10" x14ac:dyDescent="0.35">
      <c r="A1072" t="s">
        <v>1131</v>
      </c>
      <c r="B1072" t="s">
        <v>591</v>
      </c>
      <c r="C1072" t="s">
        <v>592</v>
      </c>
      <c r="D1072" s="1">
        <v>46224</v>
      </c>
      <c r="E1072">
        <v>1.7473035816920699E-2</v>
      </c>
      <c r="F1072" s="1">
        <v>46224.771701192127</v>
      </c>
      <c r="G1072" t="s">
        <v>593</v>
      </c>
      <c r="H1072" s="1">
        <v>46224.771701122685</v>
      </c>
      <c r="I1072" t="s">
        <v>593</v>
      </c>
      <c r="J1072" t="s">
        <v>5313</v>
      </c>
    </row>
    <row r="1073" spans="1:10" x14ac:dyDescent="0.35">
      <c r="A1073" t="s">
        <v>1132</v>
      </c>
      <c r="B1073" t="s">
        <v>591</v>
      </c>
      <c r="C1073" t="s">
        <v>592</v>
      </c>
      <c r="D1073" s="1">
        <v>46224</v>
      </c>
      <c r="E1073">
        <v>4.6463076114944699E-2</v>
      </c>
      <c r="F1073" s="1">
        <v>46224.771743020836</v>
      </c>
      <c r="G1073" t="s">
        <v>593</v>
      </c>
      <c r="H1073" s="1">
        <v>46224.771743055557</v>
      </c>
      <c r="I1073" t="s">
        <v>593</v>
      </c>
      <c r="J1073" t="s">
        <v>5314</v>
      </c>
    </row>
    <row r="1074" spans="1:10" x14ac:dyDescent="0.35">
      <c r="A1074" t="s">
        <v>1133</v>
      </c>
      <c r="B1074" t="s">
        <v>591</v>
      </c>
      <c r="C1074" t="s">
        <v>592</v>
      </c>
      <c r="D1074" s="1">
        <v>46224</v>
      </c>
      <c r="E1074">
        <v>3.4148985306278003E-2</v>
      </c>
      <c r="F1074" s="1">
        <v>46224.771719525466</v>
      </c>
      <c r="G1074" t="s">
        <v>593</v>
      </c>
      <c r="H1074" s="1">
        <v>46224.771719594908</v>
      </c>
      <c r="I1074" t="s">
        <v>593</v>
      </c>
      <c r="J1074" t="s">
        <v>5315</v>
      </c>
    </row>
    <row r="1075" spans="1:10" x14ac:dyDescent="0.35">
      <c r="A1075" t="s">
        <v>1134</v>
      </c>
      <c r="B1075" t="s">
        <v>591</v>
      </c>
      <c r="C1075" t="s">
        <v>592</v>
      </c>
      <c r="D1075" s="1">
        <v>46224</v>
      </c>
      <c r="E1075">
        <v>4.1107924677720099E-2</v>
      </c>
      <c r="F1075" s="1">
        <v>46224.771719363423</v>
      </c>
      <c r="G1075" t="s">
        <v>593</v>
      </c>
      <c r="H1075" s="1">
        <v>46224.77171940972</v>
      </c>
      <c r="I1075" t="s">
        <v>593</v>
      </c>
      <c r="J1075" t="s">
        <v>5316</v>
      </c>
    </row>
    <row r="1076" spans="1:10" x14ac:dyDescent="0.35">
      <c r="A1076" t="s">
        <v>1135</v>
      </c>
      <c r="B1076" t="s">
        <v>591</v>
      </c>
      <c r="C1076" t="s">
        <v>592</v>
      </c>
      <c r="D1076" s="1">
        <v>46224</v>
      </c>
      <c r="E1076">
        <v>2.9055713500717301E-2</v>
      </c>
      <c r="F1076" s="1">
        <v>46224.771715706018</v>
      </c>
      <c r="G1076" t="s">
        <v>593</v>
      </c>
      <c r="H1076" s="1">
        <v>46224.771715659721</v>
      </c>
      <c r="I1076" t="s">
        <v>593</v>
      </c>
      <c r="J1076" t="s">
        <v>5317</v>
      </c>
    </row>
    <row r="1077" spans="1:10" x14ac:dyDescent="0.35">
      <c r="A1077" t="s">
        <v>1136</v>
      </c>
      <c r="B1077" t="s">
        <v>591</v>
      </c>
      <c r="C1077" t="s">
        <v>592</v>
      </c>
      <c r="D1077" s="1">
        <v>46224</v>
      </c>
      <c r="E1077">
        <v>3.4828995855628299E-2</v>
      </c>
      <c r="F1077" s="1">
        <v>46224.771776655092</v>
      </c>
      <c r="G1077" t="s">
        <v>593</v>
      </c>
      <c r="H1077" s="1">
        <v>46224.77177673611</v>
      </c>
      <c r="I1077" t="s">
        <v>593</v>
      </c>
      <c r="J1077" t="s">
        <v>5318</v>
      </c>
    </row>
    <row r="1078" spans="1:10" x14ac:dyDescent="0.35">
      <c r="A1078" t="s">
        <v>1137</v>
      </c>
      <c r="B1078" t="s">
        <v>591</v>
      </c>
      <c r="C1078" t="s">
        <v>592</v>
      </c>
      <c r="D1078" s="1">
        <v>46224</v>
      </c>
      <c r="E1078">
        <v>4.3778016597525601E-2</v>
      </c>
      <c r="F1078" s="1">
        <v>46224.771769293984</v>
      </c>
      <c r="G1078" t="s">
        <v>593</v>
      </c>
      <c r="H1078" s="1">
        <v>46224.771769247687</v>
      </c>
      <c r="I1078" t="s">
        <v>593</v>
      </c>
      <c r="J1078" t="s">
        <v>5319</v>
      </c>
    </row>
    <row r="1079" spans="1:10" x14ac:dyDescent="0.35">
      <c r="A1079" t="s">
        <v>1138</v>
      </c>
      <c r="B1079" t="s">
        <v>591</v>
      </c>
      <c r="C1079" t="s">
        <v>592</v>
      </c>
      <c r="D1079" s="1">
        <v>46224</v>
      </c>
      <c r="E1079">
        <v>4.6710807602440702E-2</v>
      </c>
      <c r="F1079" s="1">
        <v>46224.771779861112</v>
      </c>
      <c r="G1079" t="s">
        <v>593</v>
      </c>
      <c r="H1079" s="1">
        <v>46224.771779976851</v>
      </c>
      <c r="I1079" t="s">
        <v>593</v>
      </c>
      <c r="J1079" t="s">
        <v>5320</v>
      </c>
    </row>
    <row r="1080" spans="1:10" x14ac:dyDescent="0.35">
      <c r="A1080" t="s">
        <v>1139</v>
      </c>
      <c r="B1080" t="s">
        <v>591</v>
      </c>
      <c r="C1080" t="s">
        <v>592</v>
      </c>
      <c r="D1080" s="1">
        <v>46224</v>
      </c>
      <c r="E1080">
        <v>2.3609954296563301E-2</v>
      </c>
      <c r="F1080" s="1">
        <v>46224.771719826385</v>
      </c>
      <c r="G1080" t="s">
        <v>593</v>
      </c>
      <c r="H1080" s="1">
        <v>46224.771719791665</v>
      </c>
      <c r="I1080" t="s">
        <v>593</v>
      </c>
      <c r="J1080" t="s">
        <v>5321</v>
      </c>
    </row>
    <row r="1081" spans="1:10" x14ac:dyDescent="0.35">
      <c r="A1081" t="s">
        <v>1140</v>
      </c>
      <c r="B1081" t="s">
        <v>591</v>
      </c>
      <c r="C1081" t="s">
        <v>592</v>
      </c>
      <c r="D1081" s="1">
        <v>46224</v>
      </c>
      <c r="E1081">
        <v>3.5526165394411398E-2</v>
      </c>
      <c r="F1081" s="1">
        <v>46224.771765625002</v>
      </c>
      <c r="G1081" t="s">
        <v>593</v>
      </c>
      <c r="H1081" s="1">
        <v>46224.771765659723</v>
      </c>
      <c r="I1081" t="s">
        <v>593</v>
      </c>
      <c r="J1081" t="s">
        <v>5322</v>
      </c>
    </row>
    <row r="1082" spans="1:10" x14ac:dyDescent="0.35">
      <c r="A1082" t="s">
        <v>1141</v>
      </c>
      <c r="B1082" t="s">
        <v>591</v>
      </c>
      <c r="C1082" t="s">
        <v>592</v>
      </c>
      <c r="D1082" s="1">
        <v>46224</v>
      </c>
      <c r="E1082">
        <v>3.01345904109032E-2</v>
      </c>
      <c r="F1082" s="1">
        <v>46224.77170690972</v>
      </c>
      <c r="G1082" t="s">
        <v>593</v>
      </c>
      <c r="H1082" s="1">
        <v>46224.77170690972</v>
      </c>
      <c r="I1082" t="s">
        <v>593</v>
      </c>
      <c r="J1082" t="s">
        <v>5323</v>
      </c>
    </row>
    <row r="1083" spans="1:10" x14ac:dyDescent="0.35">
      <c r="A1083" t="s">
        <v>1142</v>
      </c>
      <c r="B1083" t="s">
        <v>591</v>
      </c>
      <c r="C1083" t="s">
        <v>592</v>
      </c>
      <c r="D1083" s="1">
        <v>46224</v>
      </c>
      <c r="E1083">
        <v>3.6151304259320498E-2</v>
      </c>
      <c r="F1083" s="1">
        <v>46224.771737499999</v>
      </c>
      <c r="G1083" t="s">
        <v>593</v>
      </c>
      <c r="H1083" s="1">
        <v>46224.771737499999</v>
      </c>
      <c r="I1083" t="s">
        <v>593</v>
      </c>
      <c r="J1083" t="s">
        <v>5324</v>
      </c>
    </row>
    <row r="1084" spans="1:10" x14ac:dyDescent="0.35">
      <c r="A1084" t="s">
        <v>1143</v>
      </c>
      <c r="B1084" t="s">
        <v>591</v>
      </c>
      <c r="C1084" t="s">
        <v>592</v>
      </c>
      <c r="D1084" s="1">
        <v>46224</v>
      </c>
      <c r="E1084">
        <v>2.8371297383731699E-2</v>
      </c>
      <c r="F1084" s="1">
        <v>46224.771761770833</v>
      </c>
      <c r="G1084" t="s">
        <v>593</v>
      </c>
      <c r="H1084" s="1">
        <v>46224.771761770833</v>
      </c>
      <c r="I1084" t="s">
        <v>593</v>
      </c>
      <c r="J1084" t="s">
        <v>5325</v>
      </c>
    </row>
    <row r="1085" spans="1:10" x14ac:dyDescent="0.35">
      <c r="A1085" t="s">
        <v>1144</v>
      </c>
      <c r="B1085" t="s">
        <v>591</v>
      </c>
      <c r="C1085" t="s">
        <v>592</v>
      </c>
      <c r="D1085" s="1">
        <v>46224</v>
      </c>
      <c r="E1085">
        <v>4.54867509695457E-2</v>
      </c>
      <c r="F1085" s="1">
        <v>46224.771715543982</v>
      </c>
      <c r="G1085" t="s">
        <v>593</v>
      </c>
      <c r="H1085" s="1">
        <v>46224.771715474541</v>
      </c>
      <c r="I1085" t="s">
        <v>593</v>
      </c>
      <c r="J1085" t="s">
        <v>5326</v>
      </c>
    </row>
    <row r="1086" spans="1:10" x14ac:dyDescent="0.35">
      <c r="A1086" t="s">
        <v>1145</v>
      </c>
      <c r="B1086" t="s">
        <v>591</v>
      </c>
      <c r="C1086" t="s">
        <v>592</v>
      </c>
      <c r="D1086" s="1">
        <v>46224</v>
      </c>
      <c r="E1086">
        <v>4.0885734806695703E-2</v>
      </c>
      <c r="F1086" s="1">
        <v>46224.77172167824</v>
      </c>
      <c r="G1086" t="s">
        <v>593</v>
      </c>
      <c r="H1086" s="1">
        <v>46224.771721759258</v>
      </c>
      <c r="I1086" t="s">
        <v>593</v>
      </c>
      <c r="J1086" t="s">
        <v>5327</v>
      </c>
    </row>
    <row r="1087" spans="1:10" x14ac:dyDescent="0.35">
      <c r="A1087" t="s">
        <v>1146</v>
      </c>
      <c r="B1087" t="s">
        <v>591</v>
      </c>
      <c r="C1087" t="s">
        <v>592</v>
      </c>
      <c r="D1087" s="1">
        <v>46224</v>
      </c>
      <c r="E1087">
        <v>4.6878948273365799E-2</v>
      </c>
      <c r="F1087" s="1">
        <v>46224.7717619213</v>
      </c>
      <c r="G1087" t="s">
        <v>593</v>
      </c>
      <c r="H1087" s="1">
        <v>46224.7717619213</v>
      </c>
      <c r="I1087" t="s">
        <v>593</v>
      </c>
      <c r="J1087" t="s">
        <v>5328</v>
      </c>
    </row>
    <row r="1088" spans="1:10" x14ac:dyDescent="0.35">
      <c r="A1088" t="s">
        <v>1147</v>
      </c>
      <c r="B1088" t="s">
        <v>591</v>
      </c>
      <c r="C1088" t="s">
        <v>592</v>
      </c>
      <c r="D1088" s="1">
        <v>46224</v>
      </c>
      <c r="E1088">
        <v>3.1249312574500501E-2</v>
      </c>
      <c r="F1088" s="1">
        <v>46224.7717184375</v>
      </c>
      <c r="G1088" t="s">
        <v>593</v>
      </c>
      <c r="H1088" s="1">
        <v>46224.771718518517</v>
      </c>
      <c r="I1088" t="s">
        <v>593</v>
      </c>
      <c r="J1088" t="s">
        <v>5329</v>
      </c>
    </row>
    <row r="1089" spans="1:10" x14ac:dyDescent="0.35">
      <c r="A1089" t="s">
        <v>1148</v>
      </c>
      <c r="B1089" t="s">
        <v>591</v>
      </c>
      <c r="C1089" t="s">
        <v>592</v>
      </c>
      <c r="D1089" s="1">
        <v>46224</v>
      </c>
      <c r="E1089">
        <v>3.7356988558837199E-2</v>
      </c>
      <c r="F1089" s="1">
        <v>46224.771780787036</v>
      </c>
      <c r="G1089" t="s">
        <v>593</v>
      </c>
      <c r="H1089" s="1">
        <v>46224.771780902774</v>
      </c>
      <c r="I1089" t="s">
        <v>593</v>
      </c>
      <c r="J1089" t="s">
        <v>5330</v>
      </c>
    </row>
    <row r="1090" spans="1:10" x14ac:dyDescent="0.35">
      <c r="A1090" t="s">
        <v>1149</v>
      </c>
      <c r="B1090" t="s">
        <v>591</v>
      </c>
      <c r="C1090" t="s">
        <v>592</v>
      </c>
      <c r="D1090" s="1">
        <v>46224</v>
      </c>
      <c r="E1090">
        <v>4.3346979821477401E-2</v>
      </c>
      <c r="F1090" s="1">
        <v>46224.77177511574</v>
      </c>
      <c r="G1090" t="s">
        <v>593</v>
      </c>
      <c r="H1090" s="1">
        <v>46224.77177511574</v>
      </c>
      <c r="I1090" t="s">
        <v>593</v>
      </c>
      <c r="J1090" t="s">
        <v>5331</v>
      </c>
    </row>
    <row r="1091" spans="1:10" x14ac:dyDescent="0.35">
      <c r="A1091" t="s">
        <v>1150</v>
      </c>
      <c r="B1091" t="s">
        <v>591</v>
      </c>
      <c r="C1091" t="s">
        <v>592</v>
      </c>
      <c r="D1091" s="1">
        <v>46224</v>
      </c>
      <c r="E1091">
        <v>3.7944484111183299E-2</v>
      </c>
      <c r="F1091" s="1">
        <v>46224.771744131947</v>
      </c>
      <c r="G1091" t="s">
        <v>593</v>
      </c>
      <c r="H1091" s="1">
        <v>46224.771744131947</v>
      </c>
      <c r="I1091" t="s">
        <v>593</v>
      </c>
      <c r="J1091" t="s">
        <v>5332</v>
      </c>
    </row>
    <row r="1092" spans="1:10" x14ac:dyDescent="0.35">
      <c r="A1092" t="s">
        <v>1151</v>
      </c>
      <c r="B1092" t="s">
        <v>591</v>
      </c>
      <c r="C1092" t="s">
        <v>592</v>
      </c>
      <c r="D1092" s="1">
        <v>46224</v>
      </c>
      <c r="E1092">
        <v>4.7073349294780499E-2</v>
      </c>
      <c r="F1092" s="1">
        <v>46224.771748182873</v>
      </c>
      <c r="G1092" t="s">
        <v>593</v>
      </c>
      <c r="H1092" s="1">
        <v>46224.771748113424</v>
      </c>
      <c r="I1092" t="s">
        <v>593</v>
      </c>
      <c r="J1092" t="s">
        <v>5333</v>
      </c>
    </row>
    <row r="1093" spans="1:10" x14ac:dyDescent="0.35">
      <c r="A1093" t="s">
        <v>1152</v>
      </c>
      <c r="B1093" t="s">
        <v>591</v>
      </c>
      <c r="C1093" t="s">
        <v>592</v>
      </c>
      <c r="D1093" s="1">
        <v>46224</v>
      </c>
      <c r="E1093">
        <v>2.9690806773714998E-2</v>
      </c>
      <c r="F1093" s="1">
        <v>46224.771695949072</v>
      </c>
      <c r="G1093" t="s">
        <v>593</v>
      </c>
      <c r="H1093" s="1">
        <v>46224.771695868054</v>
      </c>
      <c r="I1093" t="s">
        <v>593</v>
      </c>
      <c r="J1093" t="s">
        <v>5334</v>
      </c>
    </row>
    <row r="1094" spans="1:10" x14ac:dyDescent="0.35">
      <c r="A1094" t="s">
        <v>1153</v>
      </c>
      <c r="B1094" t="s">
        <v>591</v>
      </c>
      <c r="C1094" t="s">
        <v>592</v>
      </c>
      <c r="D1094" s="1">
        <v>46224</v>
      </c>
      <c r="E1094">
        <v>3.2500948857588099E-2</v>
      </c>
      <c r="F1094" s="1">
        <v>46224.771754664354</v>
      </c>
      <c r="G1094" t="s">
        <v>593</v>
      </c>
      <c r="H1094" s="1">
        <v>46224.771754629626</v>
      </c>
      <c r="I1094" t="s">
        <v>593</v>
      </c>
      <c r="J1094" t="s">
        <v>5335</v>
      </c>
    </row>
    <row r="1095" spans="1:10" x14ac:dyDescent="0.35">
      <c r="A1095" t="s">
        <v>1154</v>
      </c>
      <c r="B1095" t="s">
        <v>591</v>
      </c>
      <c r="C1095" t="s">
        <v>592</v>
      </c>
      <c r="D1095" s="1">
        <v>46224</v>
      </c>
      <c r="E1095">
        <v>3.8535746066639003E-2</v>
      </c>
      <c r="F1095" s="1">
        <v>46224.771764502315</v>
      </c>
      <c r="G1095" t="s">
        <v>593</v>
      </c>
      <c r="H1095" s="1">
        <v>46224.771764548612</v>
      </c>
      <c r="I1095" t="s">
        <v>593</v>
      </c>
      <c r="J1095" t="s">
        <v>5336</v>
      </c>
    </row>
    <row r="1096" spans="1:10" x14ac:dyDescent="0.35">
      <c r="A1096" t="s">
        <v>1155</v>
      </c>
      <c r="B1096" t="s">
        <v>591</v>
      </c>
      <c r="C1096" t="s">
        <v>592</v>
      </c>
      <c r="D1096" s="1">
        <v>46224</v>
      </c>
      <c r="E1096">
        <v>4.4723425262183002E-2</v>
      </c>
      <c r="F1096" s="1">
        <v>46224.771697916665</v>
      </c>
      <c r="G1096" t="s">
        <v>593</v>
      </c>
      <c r="H1096" s="1">
        <v>46224.771697881944</v>
      </c>
      <c r="I1096" t="s">
        <v>593</v>
      </c>
      <c r="J1096" t="s">
        <v>5337</v>
      </c>
    </row>
    <row r="1097" spans="1:10" x14ac:dyDescent="0.35">
      <c r="A1097" t="s">
        <v>1156</v>
      </c>
      <c r="B1097" t="s">
        <v>591</v>
      </c>
      <c r="C1097" t="s">
        <v>592</v>
      </c>
      <c r="D1097" s="1">
        <v>46224</v>
      </c>
      <c r="E1097">
        <v>4.7244749119361502E-2</v>
      </c>
      <c r="F1097" s="1">
        <v>46224.771774189816</v>
      </c>
      <c r="G1097" t="s">
        <v>593</v>
      </c>
      <c r="H1097" s="1">
        <v>46224.771774189816</v>
      </c>
      <c r="I1097" t="s">
        <v>593</v>
      </c>
      <c r="J1097" t="s">
        <v>5338</v>
      </c>
    </row>
    <row r="1098" spans="1:10" x14ac:dyDescent="0.35">
      <c r="A1098" t="s">
        <v>1157</v>
      </c>
      <c r="B1098" t="s">
        <v>591</v>
      </c>
      <c r="C1098" t="s">
        <v>592</v>
      </c>
      <c r="D1098" s="1">
        <v>46224</v>
      </c>
      <c r="E1098">
        <v>3.0766045175115001E-2</v>
      </c>
      <c r="F1098" s="1">
        <v>46224.771749305553</v>
      </c>
      <c r="G1098" t="s">
        <v>593</v>
      </c>
      <c r="H1098" s="1">
        <v>46224.771749386571</v>
      </c>
      <c r="I1098" t="s">
        <v>593</v>
      </c>
      <c r="J1098" t="s">
        <v>5339</v>
      </c>
    </row>
    <row r="1099" spans="1:10" x14ac:dyDescent="0.35">
      <c r="A1099" t="s">
        <v>1762</v>
      </c>
      <c r="B1099" t="s">
        <v>591</v>
      </c>
      <c r="C1099" t="s">
        <v>592</v>
      </c>
      <c r="D1099" s="1">
        <v>46224</v>
      </c>
      <c r="E1099">
        <v>3.38725476344219E-2</v>
      </c>
      <c r="F1099" s="1">
        <v>46224.771713692127</v>
      </c>
      <c r="G1099" t="s">
        <v>593</v>
      </c>
      <c r="H1099" s="1">
        <v>46224.771713773145</v>
      </c>
      <c r="I1099" t="s">
        <v>593</v>
      </c>
      <c r="J1099" t="s">
        <v>5340</v>
      </c>
    </row>
    <row r="1100" spans="1:10" x14ac:dyDescent="0.35">
      <c r="A1100" t="s">
        <v>1763</v>
      </c>
      <c r="B1100" t="s">
        <v>591</v>
      </c>
      <c r="C1100" t="s">
        <v>592</v>
      </c>
      <c r="D1100" s="1">
        <v>46224</v>
      </c>
      <c r="E1100">
        <v>3.9613246855157602E-2</v>
      </c>
      <c r="F1100" s="1">
        <v>46224.771771562497</v>
      </c>
      <c r="G1100" t="s">
        <v>593</v>
      </c>
      <c r="H1100" s="1">
        <v>46224.771771608794</v>
      </c>
      <c r="I1100" t="s">
        <v>593</v>
      </c>
      <c r="J1100" t="s">
        <v>5341</v>
      </c>
    </row>
    <row r="1101" spans="1:10" x14ac:dyDescent="0.35">
      <c r="A1101" t="s">
        <v>1963</v>
      </c>
      <c r="B1101" t="s">
        <v>600</v>
      </c>
      <c r="C1101" t="s">
        <v>592</v>
      </c>
      <c r="D1101" s="1">
        <v>46224</v>
      </c>
      <c r="E1101">
        <v>106.210938</v>
      </c>
      <c r="F1101" s="1">
        <v>46224.771666435183</v>
      </c>
      <c r="G1101" t="s">
        <v>593</v>
      </c>
      <c r="H1101" s="1">
        <v>46224.771666435183</v>
      </c>
      <c r="I1101" t="s">
        <v>593</v>
      </c>
      <c r="J1101" t="s">
        <v>4314</v>
      </c>
    </row>
    <row r="1102" spans="1:10" x14ac:dyDescent="0.35">
      <c r="A1102" t="s">
        <v>1158</v>
      </c>
      <c r="B1102" t="s">
        <v>600</v>
      </c>
      <c r="C1102" t="s">
        <v>592</v>
      </c>
      <c r="D1102" s="1">
        <v>46224</v>
      </c>
      <c r="E1102">
        <v>106.3125</v>
      </c>
      <c r="F1102" s="1">
        <v>46224.77166658565</v>
      </c>
      <c r="G1102" t="s">
        <v>593</v>
      </c>
      <c r="H1102" s="1">
        <v>46224.771666631947</v>
      </c>
      <c r="I1102" t="s">
        <v>593</v>
      </c>
      <c r="J1102" t="s">
        <v>4314</v>
      </c>
    </row>
    <row r="1103" spans="1:10" x14ac:dyDescent="0.35">
      <c r="A1103" t="s">
        <v>1159</v>
      </c>
      <c r="B1103" t="s">
        <v>600</v>
      </c>
      <c r="C1103" t="s">
        <v>592</v>
      </c>
      <c r="D1103" s="1">
        <v>46224</v>
      </c>
      <c r="E1103">
        <v>106.234375</v>
      </c>
      <c r="F1103" s="1">
        <v>46224.771666747685</v>
      </c>
      <c r="G1103" t="s">
        <v>593</v>
      </c>
      <c r="H1103" s="1">
        <v>46224.771666631947</v>
      </c>
      <c r="I1103" t="s">
        <v>593</v>
      </c>
      <c r="J1103" t="s">
        <v>4314</v>
      </c>
    </row>
    <row r="1104" spans="1:10" x14ac:dyDescent="0.35">
      <c r="A1104" t="s">
        <v>1160</v>
      </c>
      <c r="B1104" t="s">
        <v>600</v>
      </c>
      <c r="C1104" t="s">
        <v>592</v>
      </c>
      <c r="D1104" s="1">
        <v>46224</v>
      </c>
      <c r="E1104">
        <v>86.56</v>
      </c>
      <c r="F1104" s="1">
        <v>46224.771666898145</v>
      </c>
      <c r="G1104" t="s">
        <v>593</v>
      </c>
      <c r="H1104" s="1">
        <v>46224.771666782406</v>
      </c>
      <c r="I1104" t="s">
        <v>593</v>
      </c>
      <c r="J1104" t="s">
        <v>4314</v>
      </c>
    </row>
    <row r="1105" spans="1:10" x14ac:dyDescent="0.35">
      <c r="A1105" t="s">
        <v>1161</v>
      </c>
      <c r="B1105" t="s">
        <v>600</v>
      </c>
      <c r="C1105" t="s">
        <v>592</v>
      </c>
      <c r="D1105" s="1">
        <v>46224</v>
      </c>
      <c r="E1105">
        <v>86.55</v>
      </c>
      <c r="F1105" s="1">
        <v>46224.771667094908</v>
      </c>
      <c r="G1105" t="s">
        <v>593</v>
      </c>
      <c r="H1105" s="1">
        <v>46224.77166697917</v>
      </c>
      <c r="I1105" t="s">
        <v>593</v>
      </c>
      <c r="J1105" t="s">
        <v>4314</v>
      </c>
    </row>
    <row r="1106" spans="1:10" x14ac:dyDescent="0.35">
      <c r="A1106" t="s">
        <v>1162</v>
      </c>
      <c r="B1106" t="s">
        <v>591</v>
      </c>
      <c r="C1106" t="s">
        <v>592</v>
      </c>
      <c r="D1106" s="1">
        <v>46224</v>
      </c>
      <c r="E1106">
        <v>4.3020643600684798E-2</v>
      </c>
      <c r="F1106" s="1">
        <v>46224.771714155089</v>
      </c>
      <c r="G1106" t="s">
        <v>593</v>
      </c>
      <c r="H1106" s="1">
        <v>46224.771714155089</v>
      </c>
      <c r="I1106" t="s">
        <v>593</v>
      </c>
      <c r="J1106" t="s">
        <v>5342</v>
      </c>
    </row>
    <row r="1107" spans="1:10" x14ac:dyDescent="0.35">
      <c r="A1107" t="s">
        <v>1163</v>
      </c>
      <c r="B1107" t="s">
        <v>591</v>
      </c>
      <c r="C1107" t="s">
        <v>592</v>
      </c>
      <c r="D1107" s="1">
        <v>46224</v>
      </c>
      <c r="E1107">
        <v>4.6280561701380597E-2</v>
      </c>
      <c r="F1107" s="1">
        <v>46224.771691435184</v>
      </c>
      <c r="G1107" t="s">
        <v>593</v>
      </c>
      <c r="H1107" s="1">
        <v>46224.771691319445</v>
      </c>
      <c r="I1107" t="s">
        <v>593</v>
      </c>
      <c r="J1107" t="s">
        <v>5343</v>
      </c>
    </row>
    <row r="1108" spans="1:10" x14ac:dyDescent="0.35">
      <c r="A1108" t="s">
        <v>1164</v>
      </c>
      <c r="B1108" t="s">
        <v>591</v>
      </c>
      <c r="C1108" t="s">
        <v>592</v>
      </c>
      <c r="D1108" s="1">
        <v>46224</v>
      </c>
      <c r="E1108">
        <v>-0.26288619826976101</v>
      </c>
      <c r="F1108" s="1">
        <v>46224.771770486113</v>
      </c>
      <c r="G1108" t="s">
        <v>593</v>
      </c>
      <c r="H1108" s="1">
        <v>46224.771770520834</v>
      </c>
      <c r="I1108" t="s">
        <v>593</v>
      </c>
      <c r="J1108" t="s">
        <v>5344</v>
      </c>
    </row>
    <row r="1109" spans="1:10" x14ac:dyDescent="0.35">
      <c r="A1109" t="s">
        <v>1165</v>
      </c>
      <c r="B1109" t="s">
        <v>591</v>
      </c>
      <c r="C1109" t="s">
        <v>592</v>
      </c>
      <c r="D1109" s="1">
        <v>46224</v>
      </c>
      <c r="E1109">
        <v>-8.7594944092242902E-2</v>
      </c>
      <c r="F1109" s="1">
        <v>46224.771725231483</v>
      </c>
      <c r="G1109" t="s">
        <v>593</v>
      </c>
      <c r="H1109" s="1">
        <v>46224.771725231483</v>
      </c>
      <c r="I1109" t="s">
        <v>593</v>
      </c>
      <c r="J1109" t="s">
        <v>5345</v>
      </c>
    </row>
    <row r="1110" spans="1:10" x14ac:dyDescent="0.35">
      <c r="A1110" t="s">
        <v>1166</v>
      </c>
      <c r="B1110" t="s">
        <v>591</v>
      </c>
      <c r="C1110" t="s">
        <v>592</v>
      </c>
      <c r="D1110" s="1">
        <v>46224</v>
      </c>
      <c r="E1110">
        <v>5.0564999266141601E-2</v>
      </c>
      <c r="F1110" s="1">
        <v>46224.771735798611</v>
      </c>
      <c r="G1110" t="s">
        <v>593</v>
      </c>
      <c r="H1110" s="1">
        <v>46224.771735879629</v>
      </c>
      <c r="I1110" t="s">
        <v>593</v>
      </c>
      <c r="J1110" t="s">
        <v>5346</v>
      </c>
    </row>
    <row r="1111" spans="1:10" x14ac:dyDescent="0.35">
      <c r="A1111" t="s">
        <v>1167</v>
      </c>
      <c r="B1111" t="s">
        <v>591</v>
      </c>
      <c r="C1111" t="s">
        <v>592</v>
      </c>
      <c r="D1111" s="1">
        <v>46224</v>
      </c>
      <c r="E1111">
        <v>5.2789964266678799E-2</v>
      </c>
      <c r="F1111" s="1">
        <v>46224.771739618052</v>
      </c>
      <c r="G1111" t="s">
        <v>593</v>
      </c>
      <c r="H1111" s="1">
        <v>46224.771739618052</v>
      </c>
      <c r="I1111" t="s">
        <v>593</v>
      </c>
      <c r="J1111" t="s">
        <v>5347</v>
      </c>
    </row>
    <row r="1112" spans="1:10" x14ac:dyDescent="0.35">
      <c r="A1112" t="s">
        <v>1168</v>
      </c>
      <c r="B1112" t="s">
        <v>591</v>
      </c>
      <c r="C1112" t="s">
        <v>592</v>
      </c>
      <c r="D1112" s="1">
        <v>46224</v>
      </c>
      <c r="E1112">
        <v>5.7357521935257297E-2</v>
      </c>
      <c r="F1112" s="1">
        <v>46224.771708136577</v>
      </c>
      <c r="G1112" t="s">
        <v>593</v>
      </c>
      <c r="H1112" s="1">
        <v>46224.77170798611</v>
      </c>
      <c r="I1112" t="s">
        <v>593</v>
      </c>
      <c r="J1112" t="s">
        <v>5348</v>
      </c>
    </row>
    <row r="1113" spans="1:10" x14ac:dyDescent="0.35">
      <c r="A1113" t="s">
        <v>1169</v>
      </c>
      <c r="B1113" t="s">
        <v>591</v>
      </c>
      <c r="C1113" t="s">
        <v>592</v>
      </c>
      <c r="D1113" s="1">
        <v>46224</v>
      </c>
      <c r="E1113">
        <v>2.5014865886062301E-2</v>
      </c>
      <c r="F1113" s="1">
        <v>46224.771720289355</v>
      </c>
      <c r="G1113" t="s">
        <v>593</v>
      </c>
      <c r="H1113" s="1">
        <v>46224.771720335651</v>
      </c>
      <c r="I1113" t="s">
        <v>593</v>
      </c>
      <c r="J1113" t="s">
        <v>5349</v>
      </c>
    </row>
    <row r="1114" spans="1:10" x14ac:dyDescent="0.35">
      <c r="A1114" t="s">
        <v>1170</v>
      </c>
      <c r="B1114" t="s">
        <v>591</v>
      </c>
      <c r="C1114" t="s">
        <v>592</v>
      </c>
      <c r="D1114" s="1">
        <v>46224</v>
      </c>
      <c r="E1114">
        <v>3.8121081508207901E-3</v>
      </c>
      <c r="F1114" s="1">
        <v>46224.771695289353</v>
      </c>
      <c r="G1114" t="s">
        <v>593</v>
      </c>
      <c r="H1114" s="1">
        <v>46224.771695138887</v>
      </c>
      <c r="I1114" t="s">
        <v>593</v>
      </c>
      <c r="J1114" t="s">
        <v>5350</v>
      </c>
    </row>
    <row r="1115" spans="1:10" x14ac:dyDescent="0.35">
      <c r="A1115" t="s">
        <v>1171</v>
      </c>
      <c r="B1115" t="s">
        <v>591</v>
      </c>
      <c r="C1115" t="s">
        <v>592</v>
      </c>
      <c r="D1115" s="1">
        <v>46224</v>
      </c>
      <c r="E1115">
        <v>5.66377010945492E-2</v>
      </c>
      <c r="F1115" s="1">
        <v>46224.771702928243</v>
      </c>
      <c r="G1115" t="s">
        <v>593</v>
      </c>
      <c r="H1115" s="1">
        <v>46224.771702928243</v>
      </c>
      <c r="I1115" t="s">
        <v>593</v>
      </c>
      <c r="J1115" t="s">
        <v>5351</v>
      </c>
    </row>
    <row r="1116" spans="1:10" x14ac:dyDescent="0.35">
      <c r="A1116" t="s">
        <v>1172</v>
      </c>
      <c r="B1116" t="s">
        <v>591</v>
      </c>
      <c r="C1116" t="s">
        <v>592</v>
      </c>
      <c r="D1116" s="1">
        <v>46224</v>
      </c>
      <c r="E1116">
        <v>4.26688303419882E-2</v>
      </c>
      <c r="F1116" s="1">
        <v>46224.771716469906</v>
      </c>
      <c r="G1116" t="s">
        <v>593</v>
      </c>
      <c r="H1116" s="1">
        <v>46224.771716516203</v>
      </c>
      <c r="I1116" t="s">
        <v>593</v>
      </c>
      <c r="J1116" t="s">
        <v>5352</v>
      </c>
    </row>
    <row r="1117" spans="1:10" x14ac:dyDescent="0.35">
      <c r="A1117" t="s">
        <v>1173</v>
      </c>
      <c r="B1117" t="s">
        <v>591</v>
      </c>
      <c r="C1117" t="s">
        <v>592</v>
      </c>
      <c r="D1117" s="1">
        <v>46224</v>
      </c>
      <c r="E1117">
        <v>2.01015888922388E-2</v>
      </c>
      <c r="F1117" s="1">
        <v>46224.77168946759</v>
      </c>
      <c r="G1117" t="s">
        <v>593</v>
      </c>
      <c r="H1117" s="1">
        <v>46224.771689351852</v>
      </c>
      <c r="I1117" t="s">
        <v>593</v>
      </c>
      <c r="J1117" t="s">
        <v>5353</v>
      </c>
    </row>
    <row r="1118" spans="1:10" x14ac:dyDescent="0.35">
      <c r="A1118" t="s">
        <v>1174</v>
      </c>
      <c r="B1118" t="s">
        <v>591</v>
      </c>
      <c r="C1118" t="s">
        <v>592</v>
      </c>
      <c r="D1118" s="1">
        <v>46224</v>
      </c>
      <c r="E1118">
        <v>5.52649460549779E-2</v>
      </c>
      <c r="F1118" s="1">
        <v>46224.771772187501</v>
      </c>
      <c r="G1118" t="s">
        <v>593</v>
      </c>
      <c r="H1118" s="1">
        <v>46224.771772187501</v>
      </c>
      <c r="I1118" t="s">
        <v>593</v>
      </c>
      <c r="J1118" t="s">
        <v>5354</v>
      </c>
    </row>
    <row r="1119" spans="1:10" x14ac:dyDescent="0.35">
      <c r="A1119" t="s">
        <v>1175</v>
      </c>
      <c r="B1119" t="s">
        <v>591</v>
      </c>
      <c r="C1119" t="s">
        <v>592</v>
      </c>
      <c r="D1119" s="1">
        <v>46224</v>
      </c>
      <c r="E1119">
        <v>4.4768564471991103E-2</v>
      </c>
      <c r="F1119" s="1">
        <v>46224.771698379627</v>
      </c>
      <c r="G1119" t="s">
        <v>593</v>
      </c>
      <c r="H1119" s="1">
        <v>46224.771698229168</v>
      </c>
      <c r="I1119" t="s">
        <v>593</v>
      </c>
      <c r="J1119" t="s">
        <v>5355</v>
      </c>
    </row>
    <row r="1120" spans="1:10" x14ac:dyDescent="0.35">
      <c r="A1120" t="s">
        <v>1176</v>
      </c>
      <c r="B1120" t="s">
        <v>591</v>
      </c>
      <c r="C1120" t="s">
        <v>592</v>
      </c>
      <c r="D1120" s="1">
        <v>46224</v>
      </c>
      <c r="E1120">
        <v>2.4996527636620101E-2</v>
      </c>
      <c r="F1120" s="1">
        <v>46224.771729826389</v>
      </c>
      <c r="G1120" t="s">
        <v>593</v>
      </c>
      <c r="H1120" s="1">
        <v>46224.771729895831</v>
      </c>
      <c r="I1120" t="s">
        <v>593</v>
      </c>
      <c r="J1120" t="s">
        <v>5356</v>
      </c>
    </row>
    <row r="1121" spans="1:10" x14ac:dyDescent="0.35">
      <c r="A1121" t="s">
        <v>1177</v>
      </c>
      <c r="B1121" t="s">
        <v>591</v>
      </c>
      <c r="C1121" t="s">
        <v>592</v>
      </c>
      <c r="D1121" s="1">
        <v>46224</v>
      </c>
      <c r="E1121">
        <v>5.7017359401483003E-2</v>
      </c>
      <c r="F1121" s="1">
        <v>46224.77175709491</v>
      </c>
      <c r="G1121" t="s">
        <v>593</v>
      </c>
      <c r="H1121" s="1">
        <v>46224.771757175928</v>
      </c>
      <c r="I1121" t="s">
        <v>593</v>
      </c>
      <c r="J1121" t="s">
        <v>5357</v>
      </c>
    </row>
    <row r="1122" spans="1:10" x14ac:dyDescent="0.35">
      <c r="A1122" t="s">
        <v>1178</v>
      </c>
      <c r="B1122" t="s">
        <v>591</v>
      </c>
      <c r="C1122" t="s">
        <v>592</v>
      </c>
      <c r="D1122" s="1">
        <v>46224</v>
      </c>
      <c r="E1122">
        <v>1.3009043368403E-2</v>
      </c>
      <c r="F1122" s="1">
        <v>46224.771700729165</v>
      </c>
      <c r="G1122" t="s">
        <v>593</v>
      </c>
      <c r="H1122" s="1">
        <v>46224.771700578705</v>
      </c>
      <c r="I1122" t="s">
        <v>593</v>
      </c>
      <c r="J1122" t="s">
        <v>5358</v>
      </c>
    </row>
    <row r="1123" spans="1:10" x14ac:dyDescent="0.35">
      <c r="A1123" t="s">
        <v>1179</v>
      </c>
      <c r="B1123" t="s">
        <v>591</v>
      </c>
      <c r="C1123" t="s">
        <v>592</v>
      </c>
      <c r="D1123" s="1">
        <v>46224</v>
      </c>
      <c r="E1123">
        <v>5.3385917065617898E-2</v>
      </c>
      <c r="F1123" s="1">
        <v>46224.771697303244</v>
      </c>
      <c r="G1123" t="s">
        <v>593</v>
      </c>
      <c r="H1123" s="1">
        <v>46224.771697337965</v>
      </c>
      <c r="I1123" t="s">
        <v>593</v>
      </c>
      <c r="J1123" t="s">
        <v>5359</v>
      </c>
    </row>
    <row r="1124" spans="1:10" x14ac:dyDescent="0.35">
      <c r="A1124" t="s">
        <v>1180</v>
      </c>
      <c r="B1124" t="s">
        <v>591</v>
      </c>
      <c r="C1124" t="s">
        <v>592</v>
      </c>
      <c r="D1124" s="1">
        <v>46224</v>
      </c>
      <c r="E1124">
        <v>2.2494486016268099E-2</v>
      </c>
      <c r="F1124" s="1">
        <v>46224.771730902779</v>
      </c>
      <c r="G1124" t="s">
        <v>593</v>
      </c>
      <c r="H1124" s="1">
        <v>46224.771730983797</v>
      </c>
      <c r="I1124" t="s">
        <v>593</v>
      </c>
      <c r="J1124" t="s">
        <v>5360</v>
      </c>
    </row>
    <row r="1125" spans="1:10" x14ac:dyDescent="0.35">
      <c r="A1125" t="s">
        <v>1181</v>
      </c>
      <c r="B1125" t="s">
        <v>591</v>
      </c>
      <c r="C1125" t="s">
        <v>592</v>
      </c>
      <c r="D1125" s="1">
        <v>46224</v>
      </c>
      <c r="E1125">
        <v>2.35420232720405E-2</v>
      </c>
      <c r="F1125" s="1">
        <v>46224.77173429398</v>
      </c>
      <c r="G1125" t="s">
        <v>593</v>
      </c>
      <c r="H1125" s="1">
        <v>46224.771734409725</v>
      </c>
      <c r="I1125" t="s">
        <v>593</v>
      </c>
      <c r="J1125" t="s">
        <v>5361</v>
      </c>
    </row>
    <row r="1126" spans="1:10" x14ac:dyDescent="0.35">
      <c r="A1126" t="s">
        <v>1182</v>
      </c>
      <c r="B1126" t="s">
        <v>591</v>
      </c>
      <c r="C1126" t="s">
        <v>592</v>
      </c>
      <c r="D1126" s="1">
        <v>46224</v>
      </c>
      <c r="E1126">
        <v>7.4226913113982799E-3</v>
      </c>
      <c r="F1126" s="1">
        <v>46224.771748032406</v>
      </c>
      <c r="G1126" t="s">
        <v>593</v>
      </c>
      <c r="H1126" s="1">
        <v>46224.771748113424</v>
      </c>
      <c r="I1126" t="s">
        <v>593</v>
      </c>
      <c r="J1126" t="s">
        <v>5362</v>
      </c>
    </row>
    <row r="1127" spans="1:10" x14ac:dyDescent="0.35">
      <c r="A1127" t="s">
        <v>1183</v>
      </c>
      <c r="B1127" t="s">
        <v>591</v>
      </c>
      <c r="C1127" t="s">
        <v>592</v>
      </c>
      <c r="D1127" s="1">
        <v>46224</v>
      </c>
      <c r="E1127">
        <v>2.5376475575153601E-2</v>
      </c>
      <c r="F1127" s="1">
        <v>46224.771760532407</v>
      </c>
      <c r="G1127" t="s">
        <v>593</v>
      </c>
      <c r="H1127" s="1">
        <v>46224.771760613425</v>
      </c>
      <c r="I1127" t="s">
        <v>593</v>
      </c>
      <c r="J1127" t="s">
        <v>5363</v>
      </c>
    </row>
    <row r="1128" spans="1:10" x14ac:dyDescent="0.35">
      <c r="A1128" t="s">
        <v>1184</v>
      </c>
      <c r="B1128" t="s">
        <v>591</v>
      </c>
      <c r="C1128" t="s">
        <v>592</v>
      </c>
      <c r="D1128" s="1">
        <v>46224</v>
      </c>
      <c r="E1128">
        <v>1.61878744068275E-2</v>
      </c>
      <c r="F1128" s="1">
        <v>46224.771779166666</v>
      </c>
      <c r="G1128" t="s">
        <v>593</v>
      </c>
      <c r="H1128" s="1">
        <v>46224.771779085648</v>
      </c>
      <c r="I1128" t="s">
        <v>593</v>
      </c>
      <c r="J1128" t="s">
        <v>5364</v>
      </c>
    </row>
    <row r="1129" spans="1:10" x14ac:dyDescent="0.35">
      <c r="A1129" t="s">
        <v>1185</v>
      </c>
      <c r="B1129" t="s">
        <v>591</v>
      </c>
      <c r="C1129" t="s">
        <v>592</v>
      </c>
      <c r="D1129" s="1">
        <v>46224</v>
      </c>
      <c r="E1129">
        <v>2.38656224445889E-2</v>
      </c>
      <c r="F1129" s="1">
        <v>46224.77174059028</v>
      </c>
      <c r="G1129" t="s">
        <v>593</v>
      </c>
      <c r="H1129" s="1">
        <v>46224.771740706019</v>
      </c>
      <c r="I1129" t="s">
        <v>593</v>
      </c>
      <c r="J1129" t="s">
        <v>5365</v>
      </c>
    </row>
    <row r="1130" spans="1:10" x14ac:dyDescent="0.35">
      <c r="A1130" t="s">
        <v>1186</v>
      </c>
      <c r="B1130" t="s">
        <v>591</v>
      </c>
      <c r="C1130" t="s">
        <v>592</v>
      </c>
      <c r="D1130" s="1">
        <v>46224</v>
      </c>
      <c r="E1130">
        <v>4.8850058284557199E-2</v>
      </c>
      <c r="F1130" s="1">
        <v>46224.771778854163</v>
      </c>
      <c r="G1130" t="s">
        <v>593</v>
      </c>
      <c r="H1130" s="1">
        <v>46224.77177890046</v>
      </c>
      <c r="I1130" t="s">
        <v>593</v>
      </c>
      <c r="J1130" t="s">
        <v>5366</v>
      </c>
    </row>
    <row r="1131" spans="1:10" x14ac:dyDescent="0.35">
      <c r="A1131" t="s">
        <v>1187</v>
      </c>
      <c r="B1131" t="s">
        <v>591</v>
      </c>
      <c r="C1131" t="s">
        <v>592</v>
      </c>
      <c r="D1131" s="1">
        <v>46224</v>
      </c>
      <c r="E1131">
        <v>5.70160868472031E-2</v>
      </c>
      <c r="F1131" s="1">
        <v>46224.771752858796</v>
      </c>
      <c r="G1131" t="s">
        <v>593</v>
      </c>
      <c r="H1131" s="1">
        <v>46224.771752812499</v>
      </c>
      <c r="I1131" t="s">
        <v>593</v>
      </c>
      <c r="J1131" t="s">
        <v>5367</v>
      </c>
    </row>
    <row r="1132" spans="1:10" x14ac:dyDescent="0.35">
      <c r="A1132" t="s">
        <v>1188</v>
      </c>
      <c r="B1132" t="s">
        <v>591</v>
      </c>
      <c r="C1132" t="s">
        <v>592</v>
      </c>
      <c r="D1132" s="1">
        <v>46224</v>
      </c>
      <c r="E1132">
        <v>5.4126712581308203E-2</v>
      </c>
      <c r="F1132" s="1">
        <v>46224.771740277778</v>
      </c>
      <c r="G1132" t="s">
        <v>593</v>
      </c>
      <c r="H1132" s="1">
        <v>46224.771740358796</v>
      </c>
      <c r="I1132" t="s">
        <v>593</v>
      </c>
      <c r="J1132" t="s">
        <v>5368</v>
      </c>
    </row>
    <row r="1133" spans="1:10" x14ac:dyDescent="0.35">
      <c r="A1133" t="s">
        <v>1189</v>
      </c>
      <c r="B1133" t="s">
        <v>591</v>
      </c>
      <c r="C1133" t="s">
        <v>592</v>
      </c>
      <c r="D1133" s="1">
        <v>46224</v>
      </c>
      <c r="E1133">
        <v>5.7321458715707201E-2</v>
      </c>
      <c r="F1133" s="1">
        <v>46224.771753472225</v>
      </c>
      <c r="G1133" t="s">
        <v>593</v>
      </c>
      <c r="H1133" s="1">
        <v>46224.771753356479</v>
      </c>
      <c r="I1133" t="s">
        <v>593</v>
      </c>
      <c r="J1133" t="s">
        <v>5369</v>
      </c>
    </row>
    <row r="1134" spans="1:10" x14ac:dyDescent="0.35">
      <c r="A1134" t="s">
        <v>1190</v>
      </c>
      <c r="B1134" t="s">
        <v>591</v>
      </c>
      <c r="C1134" t="s">
        <v>592</v>
      </c>
      <c r="D1134" s="1">
        <v>46224</v>
      </c>
      <c r="E1134">
        <v>2.5300397392312102E-2</v>
      </c>
      <c r="F1134" s="1">
        <v>46224.771765775462</v>
      </c>
      <c r="G1134" t="s">
        <v>593</v>
      </c>
      <c r="H1134" s="1">
        <v>46224.771765821759</v>
      </c>
      <c r="I1134" t="s">
        <v>593</v>
      </c>
      <c r="J1134" t="s">
        <v>5370</v>
      </c>
    </row>
    <row r="1135" spans="1:10" x14ac:dyDescent="0.35">
      <c r="A1135" t="s">
        <v>1191</v>
      </c>
      <c r="B1135" t="s">
        <v>591</v>
      </c>
      <c r="C1135" t="s">
        <v>592</v>
      </c>
      <c r="D1135" s="1">
        <v>46224</v>
      </c>
      <c r="E1135">
        <v>2.44727438693788E-2</v>
      </c>
      <c r="F1135" s="1">
        <v>46224.771707754633</v>
      </c>
      <c r="G1135" t="s">
        <v>593</v>
      </c>
      <c r="H1135" s="1">
        <v>46224.771707638887</v>
      </c>
      <c r="I1135" t="s">
        <v>593</v>
      </c>
      <c r="J1135" t="s">
        <v>5371</v>
      </c>
    </row>
    <row r="1136" spans="1:10" x14ac:dyDescent="0.35">
      <c r="A1136" t="s">
        <v>1192</v>
      </c>
      <c r="B1136" t="s">
        <v>591</v>
      </c>
      <c r="C1136" t="s">
        <v>592</v>
      </c>
      <c r="D1136" s="1">
        <v>46224</v>
      </c>
      <c r="E1136">
        <v>5.6153318949443101E-2</v>
      </c>
      <c r="F1136" s="1">
        <v>46224.771778703704</v>
      </c>
      <c r="G1136" t="s">
        <v>593</v>
      </c>
      <c r="H1136" s="1">
        <v>46224.771778703704</v>
      </c>
      <c r="I1136" t="s">
        <v>593</v>
      </c>
      <c r="J1136" t="s">
        <v>5372</v>
      </c>
    </row>
    <row r="1137" spans="1:10" x14ac:dyDescent="0.35">
      <c r="A1137" t="s">
        <v>1193</v>
      </c>
      <c r="B1137" t="s">
        <v>591</v>
      </c>
      <c r="C1137" t="s">
        <v>592</v>
      </c>
      <c r="D1137" s="1">
        <v>46224</v>
      </c>
      <c r="E1137">
        <v>5.6299441237490699E-2</v>
      </c>
      <c r="F1137" s="1">
        <v>46224.771714780094</v>
      </c>
      <c r="G1137" t="s">
        <v>593</v>
      </c>
      <c r="H1137" s="1">
        <v>46224.771714699076</v>
      </c>
      <c r="I1137" t="s">
        <v>593</v>
      </c>
      <c r="J1137" t="s">
        <v>5373</v>
      </c>
    </row>
    <row r="1138" spans="1:10" x14ac:dyDescent="0.35">
      <c r="A1138" t="s">
        <v>1194</v>
      </c>
      <c r="B1138" t="s">
        <v>591</v>
      </c>
      <c r="C1138" t="s">
        <v>592</v>
      </c>
      <c r="D1138" s="1">
        <v>46224</v>
      </c>
      <c r="E1138">
        <v>5.7285232681849797E-2</v>
      </c>
      <c r="F1138" s="1">
        <v>46224.771702164355</v>
      </c>
      <c r="G1138" t="s">
        <v>593</v>
      </c>
      <c r="H1138" s="1">
        <v>46224.771702048609</v>
      </c>
      <c r="I1138" t="s">
        <v>593</v>
      </c>
      <c r="J1138" t="s">
        <v>5374</v>
      </c>
    </row>
    <row r="1139" spans="1:10" x14ac:dyDescent="0.35">
      <c r="A1139" t="s">
        <v>1195</v>
      </c>
      <c r="B1139" t="s">
        <v>591</v>
      </c>
      <c r="C1139" t="s">
        <v>592</v>
      </c>
      <c r="D1139" s="1">
        <v>46224</v>
      </c>
      <c r="E1139">
        <v>2.30546518002245E-2</v>
      </c>
      <c r="F1139" s="1">
        <v>46224.77177939815</v>
      </c>
      <c r="G1139" t="s">
        <v>593</v>
      </c>
      <c r="H1139" s="1">
        <v>46224.771779432871</v>
      </c>
      <c r="I1139" t="s">
        <v>593</v>
      </c>
      <c r="J1139" t="s">
        <v>5375</v>
      </c>
    </row>
    <row r="1140" spans="1:10" x14ac:dyDescent="0.35">
      <c r="A1140" t="s">
        <v>1196</v>
      </c>
      <c r="B1140" t="s">
        <v>591</v>
      </c>
      <c r="C1140" t="s">
        <v>592</v>
      </c>
      <c r="D1140" s="1">
        <v>46224</v>
      </c>
      <c r="E1140">
        <v>5.71427653825477E-2</v>
      </c>
      <c r="F1140" s="1">
        <v>46224.771737812502</v>
      </c>
      <c r="G1140" t="s">
        <v>593</v>
      </c>
      <c r="H1140" s="1">
        <v>46224.771737847223</v>
      </c>
      <c r="I1140" t="s">
        <v>593</v>
      </c>
      <c r="J1140" t="s">
        <v>5376</v>
      </c>
    </row>
    <row r="1141" spans="1:10" x14ac:dyDescent="0.35">
      <c r="A1141" t="s">
        <v>1197</v>
      </c>
      <c r="B1141" t="s">
        <v>591</v>
      </c>
      <c r="C1141" t="s">
        <v>592</v>
      </c>
      <c r="D1141" s="1">
        <v>46224</v>
      </c>
      <c r="E1141">
        <v>4.2399618126903099E-2</v>
      </c>
      <c r="F1141" s="1">
        <v>46224.771785567129</v>
      </c>
      <c r="G1141" t="s">
        <v>593</v>
      </c>
      <c r="H1141" s="1">
        <v>46224.771785729165</v>
      </c>
      <c r="I1141" t="s">
        <v>593</v>
      </c>
      <c r="J1141" t="s">
        <v>5377</v>
      </c>
    </row>
    <row r="1142" spans="1:10" x14ac:dyDescent="0.35">
      <c r="A1142" t="s">
        <v>1198</v>
      </c>
      <c r="B1142" t="s">
        <v>591</v>
      </c>
      <c r="C1142" t="s">
        <v>592</v>
      </c>
      <c r="D1142" s="1">
        <v>46224</v>
      </c>
      <c r="E1142">
        <v>2.2516680853486602E-2</v>
      </c>
      <c r="F1142" s="1">
        <v>46224.771752083332</v>
      </c>
      <c r="G1142" t="s">
        <v>593</v>
      </c>
      <c r="H1142" s="1">
        <v>46224.771752083332</v>
      </c>
      <c r="I1142" t="s">
        <v>593</v>
      </c>
      <c r="J1142" t="s">
        <v>5378</v>
      </c>
    </row>
    <row r="1143" spans="1:10" x14ac:dyDescent="0.35">
      <c r="A1143" t="s">
        <v>1199</v>
      </c>
      <c r="B1143" t="s">
        <v>591</v>
      </c>
      <c r="C1143" t="s">
        <v>592</v>
      </c>
      <c r="D1143" s="1">
        <v>46224</v>
      </c>
      <c r="E1143">
        <v>5.4297311425580502E-2</v>
      </c>
      <c r="F1143" s="1">
        <v>46224.771753622685</v>
      </c>
      <c r="G1143" t="s">
        <v>593</v>
      </c>
      <c r="H1143" s="1">
        <v>46224.771753553243</v>
      </c>
      <c r="I1143" t="s">
        <v>593</v>
      </c>
      <c r="J1143" t="s">
        <v>5379</v>
      </c>
    </row>
    <row r="1144" spans="1:10" x14ac:dyDescent="0.35">
      <c r="A1144" t="s">
        <v>1200</v>
      </c>
      <c r="B1144" t="s">
        <v>591</v>
      </c>
      <c r="C1144" t="s">
        <v>592</v>
      </c>
      <c r="D1144" s="1">
        <v>46224</v>
      </c>
      <c r="E1144">
        <v>5.7216486844274397E-2</v>
      </c>
      <c r="F1144" s="1">
        <v>46224.771693136572</v>
      </c>
      <c r="G1144" t="s">
        <v>593</v>
      </c>
      <c r="H1144" s="1">
        <v>46224.771693136572</v>
      </c>
      <c r="I1144" t="s">
        <v>593</v>
      </c>
      <c r="J1144" t="s">
        <v>5380</v>
      </c>
    </row>
    <row r="1145" spans="1:10" x14ac:dyDescent="0.35">
      <c r="A1145" t="s">
        <v>1201</v>
      </c>
      <c r="B1145" t="s">
        <v>591</v>
      </c>
      <c r="C1145" t="s">
        <v>592</v>
      </c>
      <c r="D1145" s="1">
        <v>46224</v>
      </c>
      <c r="E1145">
        <v>4.3418619749406001E-2</v>
      </c>
      <c r="F1145" s="1">
        <v>46224.771768668979</v>
      </c>
      <c r="G1145" t="s">
        <v>593</v>
      </c>
      <c r="H1145" s="1">
        <v>46224.771768715276</v>
      </c>
      <c r="I1145" t="s">
        <v>593</v>
      </c>
      <c r="J1145" t="s">
        <v>5381</v>
      </c>
    </row>
    <row r="1146" spans="1:10" x14ac:dyDescent="0.35">
      <c r="A1146" t="s">
        <v>1202</v>
      </c>
      <c r="B1146" t="s">
        <v>591</v>
      </c>
      <c r="C1146" t="s">
        <v>592</v>
      </c>
      <c r="D1146" s="1">
        <v>46224</v>
      </c>
      <c r="E1146">
        <v>5.7548256560585397E-2</v>
      </c>
      <c r="F1146" s="1">
        <v>46224.771749768515</v>
      </c>
      <c r="G1146" t="s">
        <v>593</v>
      </c>
      <c r="H1146" s="1">
        <v>46224.771749768515</v>
      </c>
      <c r="I1146" t="s">
        <v>593</v>
      </c>
      <c r="J1146" t="s">
        <v>5382</v>
      </c>
    </row>
    <row r="1147" spans="1:10" x14ac:dyDescent="0.35">
      <c r="A1147" t="s">
        <v>1203</v>
      </c>
      <c r="B1147" t="s">
        <v>591</v>
      </c>
      <c r="C1147" t="s">
        <v>592</v>
      </c>
      <c r="D1147" s="1">
        <v>46224</v>
      </c>
      <c r="E1147">
        <v>4.4260331623756297E-2</v>
      </c>
      <c r="F1147" s="1">
        <v>46224.771766550926</v>
      </c>
      <c r="G1147" t="s">
        <v>593</v>
      </c>
      <c r="H1147" s="1">
        <v>46224.771766550926</v>
      </c>
      <c r="I1147" t="s">
        <v>593</v>
      </c>
      <c r="J1147" t="s">
        <v>5383</v>
      </c>
    </row>
    <row r="1148" spans="1:10" x14ac:dyDescent="0.35">
      <c r="A1148" t="s">
        <v>1204</v>
      </c>
      <c r="B1148" t="s">
        <v>591</v>
      </c>
      <c r="C1148" t="s">
        <v>592</v>
      </c>
      <c r="D1148" s="1">
        <v>46224</v>
      </c>
      <c r="E1148">
        <v>5.44021869991596E-2</v>
      </c>
      <c r="F1148" s="1">
        <v>46224.771756828704</v>
      </c>
      <c r="G1148" t="s">
        <v>593</v>
      </c>
      <c r="H1148" s="1">
        <v>46224.771756793984</v>
      </c>
      <c r="I1148" t="s">
        <v>593</v>
      </c>
      <c r="J1148" t="s">
        <v>5384</v>
      </c>
    </row>
    <row r="1149" spans="1:10" x14ac:dyDescent="0.35">
      <c r="A1149" t="s">
        <v>1205</v>
      </c>
      <c r="B1149" t="s">
        <v>591</v>
      </c>
      <c r="C1149" t="s">
        <v>592</v>
      </c>
      <c r="D1149" s="1">
        <v>46224</v>
      </c>
      <c r="E1149">
        <v>4.46181854381009E-2</v>
      </c>
      <c r="F1149" s="1">
        <v>46224.771744675927</v>
      </c>
      <c r="G1149" t="s">
        <v>593</v>
      </c>
      <c r="H1149" s="1">
        <v>46224.771744675927</v>
      </c>
      <c r="I1149" t="s">
        <v>593</v>
      </c>
      <c r="J1149" t="s">
        <v>5385</v>
      </c>
    </row>
    <row r="1150" spans="1:10" x14ac:dyDescent="0.35">
      <c r="A1150" t="s">
        <v>1206</v>
      </c>
      <c r="B1150" t="s">
        <v>591</v>
      </c>
      <c r="C1150" t="s">
        <v>592</v>
      </c>
      <c r="D1150" s="1">
        <v>46224</v>
      </c>
      <c r="E1150">
        <v>4.1020748717439701E-2</v>
      </c>
      <c r="F1150" s="1">
        <v>46224.771695798612</v>
      </c>
      <c r="G1150" t="s">
        <v>593</v>
      </c>
      <c r="H1150" s="1">
        <v>46224.771695682874</v>
      </c>
      <c r="I1150" t="s">
        <v>593</v>
      </c>
      <c r="J1150" t="s">
        <v>5386</v>
      </c>
    </row>
    <row r="1151" spans="1:10" x14ac:dyDescent="0.35">
      <c r="A1151" t="s">
        <v>1207</v>
      </c>
      <c r="B1151" t="s">
        <v>591</v>
      </c>
      <c r="C1151" t="s">
        <v>592</v>
      </c>
      <c r="D1151" s="1">
        <v>46224</v>
      </c>
      <c r="E1151">
        <v>5.2929816209600501E-2</v>
      </c>
      <c r="F1151" s="1">
        <v>46224.77175605324</v>
      </c>
      <c r="G1151" t="s">
        <v>593</v>
      </c>
      <c r="H1151" s="1">
        <v>46224.771756099537</v>
      </c>
      <c r="I1151" t="s">
        <v>593</v>
      </c>
      <c r="J1151" t="s">
        <v>5387</v>
      </c>
    </row>
    <row r="1152" spans="1:10" x14ac:dyDescent="0.35">
      <c r="A1152" t="s">
        <v>1208</v>
      </c>
      <c r="B1152" t="s">
        <v>591</v>
      </c>
      <c r="C1152" t="s">
        <v>592</v>
      </c>
      <c r="D1152" s="1">
        <v>46224</v>
      </c>
      <c r="E1152">
        <v>5.7721783204377201E-2</v>
      </c>
      <c r="F1152" s="1">
        <v>46224.771747569444</v>
      </c>
      <c r="G1152" t="s">
        <v>593</v>
      </c>
      <c r="H1152" s="1">
        <v>46224.771747569444</v>
      </c>
      <c r="I1152" t="s">
        <v>593</v>
      </c>
      <c r="J1152" t="s">
        <v>5388</v>
      </c>
    </row>
    <row r="1153" spans="1:10" x14ac:dyDescent="0.35">
      <c r="A1153" t="s">
        <v>1209</v>
      </c>
      <c r="B1153" t="s">
        <v>591</v>
      </c>
      <c r="C1153" t="s">
        <v>592</v>
      </c>
      <c r="D1153" s="1">
        <v>46224</v>
      </c>
      <c r="E1153">
        <v>4.3533023731408799E-2</v>
      </c>
      <c r="F1153" s="1">
        <v>46224.771756516202</v>
      </c>
      <c r="G1153" t="s">
        <v>593</v>
      </c>
      <c r="H1153" s="1">
        <v>46224.77175644676</v>
      </c>
      <c r="I1153" t="s">
        <v>593</v>
      </c>
      <c r="J1153" t="s">
        <v>5389</v>
      </c>
    </row>
    <row r="1154" spans="1:10" x14ac:dyDescent="0.35">
      <c r="A1154" t="s">
        <v>1210</v>
      </c>
      <c r="B1154" t="s">
        <v>591</v>
      </c>
      <c r="C1154" t="s">
        <v>592</v>
      </c>
      <c r="D1154" s="1">
        <v>46224</v>
      </c>
      <c r="E1154">
        <v>5.2817667291930603E-2</v>
      </c>
      <c r="F1154" s="1">
        <v>46224.771784803241</v>
      </c>
      <c r="G1154" t="s">
        <v>593</v>
      </c>
      <c r="H1154" s="1">
        <v>46224.771784918979</v>
      </c>
      <c r="I1154" t="s">
        <v>593</v>
      </c>
      <c r="J1154" t="s">
        <v>5390</v>
      </c>
    </row>
    <row r="1155" spans="1:10" x14ac:dyDescent="0.35">
      <c r="A1155" t="s">
        <v>1211</v>
      </c>
      <c r="B1155" t="s">
        <v>591</v>
      </c>
      <c r="C1155" t="s">
        <v>592</v>
      </c>
      <c r="D1155" s="1">
        <v>46224</v>
      </c>
      <c r="E1155">
        <v>4.8108891450401502E-2</v>
      </c>
      <c r="F1155" s="1">
        <v>46224.771763576391</v>
      </c>
      <c r="G1155" t="s">
        <v>593</v>
      </c>
      <c r="H1155" s="1">
        <v>46224.771763657409</v>
      </c>
      <c r="I1155" t="s">
        <v>593</v>
      </c>
      <c r="J1155" t="s">
        <v>5391</v>
      </c>
    </row>
    <row r="1156" spans="1:10" x14ac:dyDescent="0.35">
      <c r="A1156" t="s">
        <v>1212</v>
      </c>
      <c r="B1156" t="s">
        <v>591</v>
      </c>
      <c r="C1156" t="s">
        <v>592</v>
      </c>
      <c r="D1156" s="1">
        <v>46224</v>
      </c>
      <c r="E1156">
        <v>4.64904474835518E-2</v>
      </c>
      <c r="F1156" s="1">
        <v>46224.771772337961</v>
      </c>
      <c r="G1156" t="s">
        <v>593</v>
      </c>
      <c r="H1156" s="1">
        <v>46224.771772337961</v>
      </c>
      <c r="I1156" t="s">
        <v>593</v>
      </c>
      <c r="J1156" t="s">
        <v>5392</v>
      </c>
    </row>
    <row r="1157" spans="1:10" x14ac:dyDescent="0.35">
      <c r="A1157" t="s">
        <v>1213</v>
      </c>
      <c r="B1157" t="s">
        <v>591</v>
      </c>
      <c r="C1157" t="s">
        <v>592</v>
      </c>
      <c r="D1157" s="1">
        <v>46224</v>
      </c>
      <c r="E1157">
        <v>5.7804369771822302E-2</v>
      </c>
      <c r="F1157" s="1">
        <v>46224.771729976848</v>
      </c>
      <c r="G1157" t="s">
        <v>593</v>
      </c>
      <c r="H1157" s="1">
        <v>46224.771730092594</v>
      </c>
      <c r="I1157" t="s">
        <v>593</v>
      </c>
      <c r="J1157" t="s">
        <v>5393</v>
      </c>
    </row>
    <row r="1158" spans="1:10" x14ac:dyDescent="0.35">
      <c r="A1158" t="s">
        <v>1214</v>
      </c>
      <c r="B1158" t="s">
        <v>591</v>
      </c>
      <c r="C1158" t="s">
        <v>592</v>
      </c>
      <c r="D1158" s="1">
        <v>46224</v>
      </c>
      <c r="E1158">
        <v>1.9674467178227999E-2</v>
      </c>
      <c r="F1158" s="1">
        <v>46224.771699965277</v>
      </c>
      <c r="G1158" t="s">
        <v>593</v>
      </c>
      <c r="H1158" s="1">
        <v>46224.771699849538</v>
      </c>
      <c r="I1158" t="s">
        <v>593</v>
      </c>
      <c r="J1158" t="s">
        <v>5394</v>
      </c>
    </row>
    <row r="1159" spans="1:10" x14ac:dyDescent="0.35">
      <c r="A1159" t="s">
        <v>1215</v>
      </c>
      <c r="B1159" t="s">
        <v>591</v>
      </c>
      <c r="C1159" t="s">
        <v>592</v>
      </c>
      <c r="D1159" s="1">
        <v>46224</v>
      </c>
      <c r="E1159">
        <v>5.4627953768145998E-2</v>
      </c>
      <c r="F1159" s="1">
        <v>46224.771779710645</v>
      </c>
      <c r="G1159" t="s">
        <v>593</v>
      </c>
      <c r="H1159" s="1">
        <v>46224.771779826391</v>
      </c>
      <c r="I1159" t="s">
        <v>593</v>
      </c>
      <c r="J1159" t="s">
        <v>5395</v>
      </c>
    </row>
    <row r="1160" spans="1:10" x14ac:dyDescent="0.35">
      <c r="A1160" t="s">
        <v>1216</v>
      </c>
      <c r="B1160" t="s">
        <v>591</v>
      </c>
      <c r="C1160" t="s">
        <v>592</v>
      </c>
      <c r="D1160" s="1">
        <v>46224</v>
      </c>
      <c r="E1160">
        <v>5.7323466807442901E-2</v>
      </c>
      <c r="F1160" s="1">
        <v>46224.771737650466</v>
      </c>
      <c r="G1160" t="s">
        <v>593</v>
      </c>
      <c r="H1160" s="1">
        <v>46224.771737696756</v>
      </c>
      <c r="I1160" t="s">
        <v>593</v>
      </c>
      <c r="J1160" t="s">
        <v>5396</v>
      </c>
    </row>
    <row r="1161" spans="1:10" x14ac:dyDescent="0.35">
      <c r="A1161" t="s">
        <v>1217</v>
      </c>
      <c r="B1161" t="s">
        <v>591</v>
      </c>
      <c r="C1161" t="s">
        <v>592</v>
      </c>
      <c r="D1161" s="1">
        <v>46224</v>
      </c>
      <c r="E1161">
        <v>4.1617764167725599E-2</v>
      </c>
      <c r="F1161" s="1">
        <v>46224.771731365741</v>
      </c>
      <c r="G1161" t="s">
        <v>593</v>
      </c>
      <c r="H1161" s="1">
        <v>46224.77173133102</v>
      </c>
      <c r="I1161" t="s">
        <v>593</v>
      </c>
      <c r="J1161" t="s">
        <v>5397</v>
      </c>
    </row>
    <row r="1162" spans="1:10" x14ac:dyDescent="0.35">
      <c r="A1162" t="s">
        <v>1218</v>
      </c>
      <c r="B1162" t="s">
        <v>591</v>
      </c>
      <c r="C1162" t="s">
        <v>592</v>
      </c>
      <c r="D1162" s="1">
        <v>46224</v>
      </c>
      <c r="E1162">
        <v>5.6934868522161799E-2</v>
      </c>
      <c r="F1162" s="1">
        <v>46224.771714467592</v>
      </c>
      <c r="G1162" t="s">
        <v>593</v>
      </c>
      <c r="H1162" s="1">
        <v>46224.771714502313</v>
      </c>
      <c r="I1162" t="s">
        <v>593</v>
      </c>
      <c r="J1162" t="s">
        <v>5398</v>
      </c>
    </row>
    <row r="1163" spans="1:10" x14ac:dyDescent="0.35">
      <c r="A1163" t="s">
        <v>1219</v>
      </c>
      <c r="B1163" t="s">
        <v>591</v>
      </c>
      <c r="C1163" t="s">
        <v>592</v>
      </c>
      <c r="D1163" s="1">
        <v>46224</v>
      </c>
      <c r="E1163">
        <v>4.3990239852265599E-2</v>
      </c>
      <c r="F1163" s="1">
        <v>46224.77175378472</v>
      </c>
      <c r="G1163" t="s">
        <v>593</v>
      </c>
      <c r="H1163" s="1">
        <v>46224.771753738423</v>
      </c>
      <c r="I1163" t="s">
        <v>593</v>
      </c>
      <c r="J1163" t="s">
        <v>5399</v>
      </c>
    </row>
    <row r="1164" spans="1:10" x14ac:dyDescent="0.35">
      <c r="A1164" t="s">
        <v>1220</v>
      </c>
      <c r="B1164" t="s">
        <v>591</v>
      </c>
      <c r="C1164" t="s">
        <v>592</v>
      </c>
      <c r="D1164" s="1">
        <v>46224</v>
      </c>
      <c r="E1164">
        <v>4.5055895457045803E-2</v>
      </c>
      <c r="F1164" s="1">
        <v>46224.771777627313</v>
      </c>
      <c r="G1164" t="s">
        <v>593</v>
      </c>
      <c r="H1164" s="1">
        <v>46224.771777627313</v>
      </c>
      <c r="I1164" t="s">
        <v>593</v>
      </c>
      <c r="J1164" t="s">
        <v>5400</v>
      </c>
    </row>
    <row r="1165" spans="1:10" x14ac:dyDescent="0.35">
      <c r="A1165" t="s">
        <v>1221</v>
      </c>
      <c r="B1165" t="s">
        <v>591</v>
      </c>
      <c r="C1165" t="s">
        <v>592</v>
      </c>
      <c r="D1165" s="1">
        <v>46224</v>
      </c>
      <c r="E1165">
        <v>4.9882610664895799E-2</v>
      </c>
      <c r="F1165" s="1">
        <v>46224.771744444442</v>
      </c>
      <c r="G1165" t="s">
        <v>593</v>
      </c>
      <c r="H1165" s="1">
        <v>46224.771744479163</v>
      </c>
      <c r="I1165" t="s">
        <v>593</v>
      </c>
      <c r="J1165" t="s">
        <v>5401</v>
      </c>
    </row>
    <row r="1166" spans="1:10" x14ac:dyDescent="0.35">
      <c r="A1166" t="s">
        <v>1222</v>
      </c>
      <c r="B1166" t="s">
        <v>591</v>
      </c>
      <c r="C1166" t="s">
        <v>592</v>
      </c>
      <c r="D1166" s="1">
        <v>46224</v>
      </c>
      <c r="E1166">
        <v>4.7440013308608399E-2</v>
      </c>
      <c r="F1166" s="1">
        <v>46224.771720949073</v>
      </c>
      <c r="G1166" t="s">
        <v>593</v>
      </c>
      <c r="H1166" s="1">
        <v>46224.771720868055</v>
      </c>
      <c r="I1166" t="s">
        <v>593</v>
      </c>
      <c r="J1166" t="s">
        <v>5402</v>
      </c>
    </row>
    <row r="1167" spans="1:10" x14ac:dyDescent="0.35">
      <c r="A1167" t="s">
        <v>1223</v>
      </c>
      <c r="B1167" t="s">
        <v>591</v>
      </c>
      <c r="C1167" t="s">
        <v>592</v>
      </c>
      <c r="D1167" s="1">
        <v>46224</v>
      </c>
      <c r="E1167">
        <v>5.6365685756402002E-2</v>
      </c>
      <c r="F1167" s="1">
        <v>46224.771757719907</v>
      </c>
      <c r="G1167" t="s">
        <v>593</v>
      </c>
      <c r="H1167" s="1">
        <v>46224.771757719907</v>
      </c>
      <c r="I1167" t="s">
        <v>593</v>
      </c>
      <c r="J1167" t="s">
        <v>5403</v>
      </c>
    </row>
    <row r="1168" spans="1:10" x14ac:dyDescent="0.35">
      <c r="A1168" t="s">
        <v>1224</v>
      </c>
      <c r="B1168" t="s">
        <v>591</v>
      </c>
      <c r="C1168" t="s">
        <v>592</v>
      </c>
      <c r="D1168" s="1">
        <v>46224</v>
      </c>
      <c r="E1168">
        <v>1.01561181428127E-2</v>
      </c>
      <c r="F1168" s="1">
        <v>46224.771746493054</v>
      </c>
      <c r="G1168" t="s">
        <v>593</v>
      </c>
      <c r="H1168" s="1">
        <v>46224.771746493054</v>
      </c>
      <c r="I1168" t="s">
        <v>593</v>
      </c>
      <c r="J1168" t="s">
        <v>5404</v>
      </c>
    </row>
    <row r="1169" spans="1:10" x14ac:dyDescent="0.35">
      <c r="A1169" t="s">
        <v>1225</v>
      </c>
      <c r="B1169" t="s">
        <v>591</v>
      </c>
      <c r="C1169" t="s">
        <v>592</v>
      </c>
      <c r="D1169" s="1">
        <v>46224</v>
      </c>
      <c r="E1169">
        <v>3.7396774051522801E-2</v>
      </c>
      <c r="F1169" s="1">
        <v>46224.771776354166</v>
      </c>
      <c r="G1169" t="s">
        <v>593</v>
      </c>
      <c r="H1169" s="1">
        <v>46224.771776354166</v>
      </c>
      <c r="I1169" t="s">
        <v>593</v>
      </c>
      <c r="J1169" t="s">
        <v>5405</v>
      </c>
    </row>
    <row r="1170" spans="1:10" x14ac:dyDescent="0.35">
      <c r="A1170" t="s">
        <v>1226</v>
      </c>
      <c r="B1170" t="s">
        <v>591</v>
      </c>
      <c r="C1170" t="s">
        <v>592</v>
      </c>
      <c r="D1170" s="1">
        <v>46224</v>
      </c>
      <c r="E1170">
        <v>5.6747733975175997E-2</v>
      </c>
      <c r="F1170" s="1">
        <v>46224.771755902781</v>
      </c>
      <c r="G1170" t="s">
        <v>593</v>
      </c>
      <c r="H1170" s="1">
        <v>46224.771755902781</v>
      </c>
      <c r="I1170" t="s">
        <v>593</v>
      </c>
      <c r="J1170" t="s">
        <v>5406</v>
      </c>
    </row>
    <row r="1171" spans="1:10" x14ac:dyDescent="0.35">
      <c r="A1171" t="s">
        <v>1227</v>
      </c>
      <c r="B1171" t="s">
        <v>591</v>
      </c>
      <c r="C1171" t="s">
        <v>592</v>
      </c>
      <c r="D1171" s="1">
        <v>46224</v>
      </c>
      <c r="E1171">
        <v>2.4365830536845601E-2</v>
      </c>
      <c r="F1171" s="1">
        <v>46224.771769907406</v>
      </c>
      <c r="G1171" t="s">
        <v>593</v>
      </c>
      <c r="H1171" s="1">
        <v>46224.771769988423</v>
      </c>
      <c r="I1171" t="s">
        <v>593</v>
      </c>
      <c r="J1171" t="s">
        <v>5407</v>
      </c>
    </row>
    <row r="1172" spans="1:10" x14ac:dyDescent="0.35">
      <c r="A1172" t="s">
        <v>1228</v>
      </c>
      <c r="B1172" t="s">
        <v>591</v>
      </c>
      <c r="C1172" t="s">
        <v>592</v>
      </c>
      <c r="D1172" s="1">
        <v>46224</v>
      </c>
      <c r="E1172">
        <v>5.7572049936699003E-2</v>
      </c>
      <c r="F1172" s="1">
        <v>46224.771771099535</v>
      </c>
      <c r="G1172" t="s">
        <v>593</v>
      </c>
      <c r="H1172" s="1">
        <v>46224.771771064814</v>
      </c>
      <c r="I1172" t="s">
        <v>593</v>
      </c>
      <c r="J1172" t="s">
        <v>5408</v>
      </c>
    </row>
    <row r="1173" spans="1:10" x14ac:dyDescent="0.35">
      <c r="A1173" t="s">
        <v>1229</v>
      </c>
      <c r="B1173" t="s">
        <v>591</v>
      </c>
      <c r="C1173" t="s">
        <v>592</v>
      </c>
      <c r="D1173" s="1">
        <v>46224</v>
      </c>
      <c r="E1173">
        <v>4.8489838210615102E-2</v>
      </c>
      <c r="F1173" s="1">
        <v>46224.771752546294</v>
      </c>
      <c r="G1173" t="s">
        <v>593</v>
      </c>
      <c r="H1173" s="1">
        <v>46224.771752465276</v>
      </c>
      <c r="I1173" t="s">
        <v>593</v>
      </c>
      <c r="J1173" t="s">
        <v>5409</v>
      </c>
    </row>
    <row r="1174" spans="1:10" x14ac:dyDescent="0.35">
      <c r="A1174" t="s">
        <v>1230</v>
      </c>
      <c r="B1174" t="s">
        <v>591</v>
      </c>
      <c r="C1174" t="s">
        <v>592</v>
      </c>
      <c r="D1174" s="1">
        <v>46224</v>
      </c>
      <c r="E1174">
        <v>5.5923264013050498E-2</v>
      </c>
      <c r="F1174" s="1">
        <v>46224.771733217596</v>
      </c>
      <c r="G1174" t="s">
        <v>593</v>
      </c>
      <c r="H1174" s="1">
        <v>46224.771733333335</v>
      </c>
      <c r="I1174" t="s">
        <v>593</v>
      </c>
      <c r="J1174" t="s">
        <v>5410</v>
      </c>
    </row>
    <row r="1175" spans="1:10" x14ac:dyDescent="0.35">
      <c r="A1175" t="s">
        <v>1231</v>
      </c>
      <c r="B1175" t="s">
        <v>591</v>
      </c>
      <c r="C1175" t="s">
        <v>592</v>
      </c>
      <c r="D1175" s="1">
        <v>46224</v>
      </c>
      <c r="E1175">
        <v>4.1459064021285699E-2</v>
      </c>
      <c r="F1175" s="1">
        <v>46224.771710567133</v>
      </c>
      <c r="G1175" t="s">
        <v>593</v>
      </c>
      <c r="H1175" s="1">
        <v>46224.771710532405</v>
      </c>
      <c r="I1175" t="s">
        <v>593</v>
      </c>
      <c r="J1175" t="s">
        <v>5411</v>
      </c>
    </row>
    <row r="1176" spans="1:10" x14ac:dyDescent="0.35">
      <c r="A1176" t="s">
        <v>1232</v>
      </c>
      <c r="B1176" t="s">
        <v>591</v>
      </c>
      <c r="C1176" t="s">
        <v>592</v>
      </c>
      <c r="D1176" s="1">
        <v>46224</v>
      </c>
      <c r="E1176">
        <v>5.7572404367897699E-2</v>
      </c>
      <c r="F1176" s="1">
        <v>46224.771715972223</v>
      </c>
      <c r="G1176" t="s">
        <v>593</v>
      </c>
      <c r="H1176" s="1">
        <v>46224.771716006944</v>
      </c>
      <c r="I1176" t="s">
        <v>593</v>
      </c>
      <c r="J1176" t="s">
        <v>5412</v>
      </c>
    </row>
    <row r="1177" spans="1:10" x14ac:dyDescent="0.35">
      <c r="A1177" t="s">
        <v>1233</v>
      </c>
      <c r="B1177" t="s">
        <v>591</v>
      </c>
      <c r="C1177" t="s">
        <v>592</v>
      </c>
      <c r="D1177" s="1">
        <v>46224</v>
      </c>
      <c r="E1177">
        <v>4.6194280694526399E-2</v>
      </c>
      <c r="F1177" s="1">
        <v>46224.771779317132</v>
      </c>
      <c r="G1177" t="s">
        <v>593</v>
      </c>
      <c r="H1177" s="1">
        <v>46224.771779247683</v>
      </c>
      <c r="I1177" t="s">
        <v>593</v>
      </c>
      <c r="J1177" t="s">
        <v>5413</v>
      </c>
    </row>
    <row r="1178" spans="1:10" x14ac:dyDescent="0.35">
      <c r="A1178" t="s">
        <v>1234</v>
      </c>
      <c r="B1178" t="s">
        <v>591</v>
      </c>
      <c r="C1178" t="s">
        <v>592</v>
      </c>
      <c r="D1178" s="1">
        <v>46224</v>
      </c>
      <c r="E1178">
        <v>5.2524180967477498E-2</v>
      </c>
      <c r="F1178" s="1">
        <v>46224.77175482639</v>
      </c>
      <c r="G1178" t="s">
        <v>593</v>
      </c>
      <c r="H1178" s="1">
        <v>46224.77175482639</v>
      </c>
      <c r="I1178" t="s">
        <v>593</v>
      </c>
      <c r="J1178" t="s">
        <v>5414</v>
      </c>
    </row>
    <row r="1179" spans="1:10" x14ac:dyDescent="0.35">
      <c r="A1179" t="s">
        <v>1235</v>
      </c>
      <c r="B1179" t="s">
        <v>591</v>
      </c>
      <c r="C1179" t="s">
        <v>592</v>
      </c>
      <c r="D1179" s="1">
        <v>46224</v>
      </c>
      <c r="E1179">
        <v>4.4829872059729603E-2</v>
      </c>
      <c r="F1179" s="1">
        <v>46224.771784027776</v>
      </c>
      <c r="G1179" t="s">
        <v>593</v>
      </c>
      <c r="H1179" s="1">
        <v>46224.771784143515</v>
      </c>
      <c r="I1179" t="s">
        <v>593</v>
      </c>
      <c r="J1179" t="s">
        <v>5415</v>
      </c>
    </row>
    <row r="1180" spans="1:10" x14ac:dyDescent="0.35">
      <c r="A1180" t="s">
        <v>1236</v>
      </c>
      <c r="B1180" t="s">
        <v>591</v>
      </c>
      <c r="C1180" t="s">
        <v>592</v>
      </c>
      <c r="D1180" s="1">
        <v>46224</v>
      </c>
      <c r="E1180">
        <v>4.89687932532425E-2</v>
      </c>
      <c r="F1180" s="1">
        <v>46224.77176851852</v>
      </c>
      <c r="G1180" t="s">
        <v>593</v>
      </c>
      <c r="H1180" s="1">
        <v>46224.771768553241</v>
      </c>
      <c r="I1180" t="s">
        <v>593</v>
      </c>
      <c r="J1180" t="s">
        <v>5416</v>
      </c>
    </row>
    <row r="1181" spans="1:10" x14ac:dyDescent="0.35">
      <c r="A1181" t="s">
        <v>1237</v>
      </c>
      <c r="B1181" t="s">
        <v>591</v>
      </c>
      <c r="C1181" t="s">
        <v>592</v>
      </c>
      <c r="D1181" s="1">
        <v>46224</v>
      </c>
      <c r="E1181">
        <v>5.3780431879868001E-2</v>
      </c>
      <c r="F1181" s="1">
        <v>46224.771735960647</v>
      </c>
      <c r="G1181" t="s">
        <v>593</v>
      </c>
      <c r="H1181" s="1">
        <v>46224.771736076385</v>
      </c>
      <c r="I1181" t="s">
        <v>593</v>
      </c>
      <c r="J1181" t="s">
        <v>5417</v>
      </c>
    </row>
    <row r="1182" spans="1:10" x14ac:dyDescent="0.35">
      <c r="A1182" t="s">
        <v>1238</v>
      </c>
      <c r="B1182" t="s">
        <v>591</v>
      </c>
      <c r="C1182" t="s">
        <v>592</v>
      </c>
      <c r="D1182" s="1">
        <v>46224</v>
      </c>
      <c r="E1182">
        <v>4.3856007926367298E-2</v>
      </c>
      <c r="F1182" s="1">
        <v>46224.771780937503</v>
      </c>
      <c r="G1182" t="s">
        <v>593</v>
      </c>
      <c r="H1182" s="1">
        <v>46224.771781099538</v>
      </c>
      <c r="I1182" t="s">
        <v>593</v>
      </c>
      <c r="J1182" t="s">
        <v>5418</v>
      </c>
    </row>
    <row r="1183" spans="1:10" x14ac:dyDescent="0.35">
      <c r="A1183" t="s">
        <v>1239</v>
      </c>
      <c r="B1183" t="s">
        <v>591</v>
      </c>
      <c r="C1183" t="s">
        <v>592</v>
      </c>
      <c r="D1183" s="1">
        <v>46224</v>
      </c>
      <c r="E1183">
        <v>4.5195947269822401E-2</v>
      </c>
      <c r="F1183" s="1">
        <v>46224.771726620369</v>
      </c>
      <c r="G1183" t="s">
        <v>593</v>
      </c>
      <c r="H1183" s="1">
        <v>46224.771726701387</v>
      </c>
      <c r="I1183" t="s">
        <v>593</v>
      </c>
      <c r="J1183" t="s">
        <v>5419</v>
      </c>
    </row>
    <row r="1184" spans="1:10" x14ac:dyDescent="0.35">
      <c r="A1184" t="s">
        <v>1240</v>
      </c>
      <c r="B1184" t="s">
        <v>591</v>
      </c>
      <c r="C1184" t="s">
        <v>592</v>
      </c>
      <c r="D1184" s="1">
        <v>46224</v>
      </c>
      <c r="E1184">
        <v>4.9650044610291703E-2</v>
      </c>
      <c r="F1184" s="1">
        <v>46224.771750381944</v>
      </c>
      <c r="G1184" t="s">
        <v>593</v>
      </c>
      <c r="H1184" s="1">
        <v>46224.771750347223</v>
      </c>
      <c r="I1184" t="s">
        <v>593</v>
      </c>
      <c r="J1184" t="s">
        <v>5420</v>
      </c>
    </row>
    <row r="1185" spans="1:10" x14ac:dyDescent="0.35">
      <c r="A1185" t="s">
        <v>1241</v>
      </c>
      <c r="B1185" t="s">
        <v>591</v>
      </c>
      <c r="C1185" t="s">
        <v>592</v>
      </c>
      <c r="D1185" s="1">
        <v>46224</v>
      </c>
      <c r="E1185">
        <v>5.7410906649286102E-2</v>
      </c>
      <c r="F1185" s="1">
        <v>46224.771756215276</v>
      </c>
      <c r="G1185" t="s">
        <v>593</v>
      </c>
      <c r="H1185" s="1">
        <v>46224.771756249997</v>
      </c>
      <c r="I1185" t="s">
        <v>593</v>
      </c>
      <c r="J1185" t="s">
        <v>5421</v>
      </c>
    </row>
    <row r="1186" spans="1:10" x14ac:dyDescent="0.35">
      <c r="A1186" t="s">
        <v>1242</v>
      </c>
      <c r="B1186" t="s">
        <v>591</v>
      </c>
      <c r="C1186" t="s">
        <v>592</v>
      </c>
      <c r="D1186" s="1">
        <v>46224</v>
      </c>
      <c r="E1186">
        <v>5.0271088762536699E-2</v>
      </c>
      <c r="F1186" s="1">
        <v>46224.771717048614</v>
      </c>
      <c r="G1186" t="s">
        <v>593</v>
      </c>
      <c r="H1186" s="1">
        <v>46224.771717094911</v>
      </c>
      <c r="I1186" t="s">
        <v>593</v>
      </c>
      <c r="J1186" t="s">
        <v>5422</v>
      </c>
    </row>
    <row r="1187" spans="1:10" x14ac:dyDescent="0.35">
      <c r="A1187" t="s">
        <v>1243</v>
      </c>
      <c r="B1187" t="s">
        <v>591</v>
      </c>
      <c r="C1187" t="s">
        <v>592</v>
      </c>
      <c r="D1187" s="1">
        <v>46224</v>
      </c>
      <c r="E1187">
        <v>4.4825705585692897E-2</v>
      </c>
      <c r="F1187" s="1">
        <v>46224.771723530095</v>
      </c>
      <c r="G1187" t="s">
        <v>593</v>
      </c>
      <c r="H1187" s="1">
        <v>46224.771723576392</v>
      </c>
      <c r="I1187" t="s">
        <v>593</v>
      </c>
      <c r="J1187" t="s">
        <v>5423</v>
      </c>
    </row>
    <row r="1188" spans="1:10" x14ac:dyDescent="0.35">
      <c r="A1188" t="s">
        <v>1244</v>
      </c>
      <c r="B1188" t="s">
        <v>591</v>
      </c>
      <c r="C1188" t="s">
        <v>592</v>
      </c>
      <c r="D1188" s="1">
        <v>46224</v>
      </c>
      <c r="E1188">
        <v>4.5792291249777899E-2</v>
      </c>
      <c r="F1188" s="1">
        <v>46224.771770949075</v>
      </c>
      <c r="G1188" t="s">
        <v>593</v>
      </c>
      <c r="H1188" s="1">
        <v>46224.771770914354</v>
      </c>
      <c r="I1188" t="s">
        <v>593</v>
      </c>
      <c r="J1188" t="s">
        <v>5424</v>
      </c>
    </row>
    <row r="1189" spans="1:10" x14ac:dyDescent="0.35">
      <c r="A1189" t="s">
        <v>1245</v>
      </c>
      <c r="B1189" t="s">
        <v>591</v>
      </c>
      <c r="C1189" t="s">
        <v>592</v>
      </c>
      <c r="D1189" s="1">
        <v>46224</v>
      </c>
      <c r="E1189">
        <v>4.7546531047729997E-2</v>
      </c>
      <c r="F1189" s="1">
        <v>46224.77170795139</v>
      </c>
      <c r="G1189" t="s">
        <v>593</v>
      </c>
      <c r="H1189" s="1">
        <v>46224.771707835651</v>
      </c>
      <c r="I1189" t="s">
        <v>593</v>
      </c>
      <c r="J1189" t="s">
        <v>5425</v>
      </c>
    </row>
    <row r="1190" spans="1:10" x14ac:dyDescent="0.35">
      <c r="A1190" t="s">
        <v>1246</v>
      </c>
      <c r="B1190" t="s">
        <v>591</v>
      </c>
      <c r="C1190" t="s">
        <v>592</v>
      </c>
      <c r="D1190" s="1">
        <v>46224</v>
      </c>
      <c r="E1190">
        <v>5.4317530966357698E-2</v>
      </c>
      <c r="F1190" s="1">
        <v>46224.771722916666</v>
      </c>
      <c r="G1190" t="s">
        <v>593</v>
      </c>
      <c r="H1190" s="1">
        <v>46224.771723032405</v>
      </c>
      <c r="I1190" t="s">
        <v>593</v>
      </c>
      <c r="J1190" t="s">
        <v>5426</v>
      </c>
    </row>
    <row r="1191" spans="1:10" x14ac:dyDescent="0.35">
      <c r="A1191" t="s">
        <v>1247</v>
      </c>
      <c r="B1191" t="s">
        <v>591</v>
      </c>
      <c r="C1191" t="s">
        <v>592</v>
      </c>
      <c r="D1191" s="1">
        <v>46224</v>
      </c>
      <c r="E1191">
        <v>5.16036635296932E-2</v>
      </c>
      <c r="F1191" s="1">
        <v>46224.771703391205</v>
      </c>
      <c r="G1191" t="s">
        <v>593</v>
      </c>
      <c r="H1191" s="1">
        <v>46224.771703321756</v>
      </c>
      <c r="I1191" t="s">
        <v>593</v>
      </c>
      <c r="J1191" t="s">
        <v>5427</v>
      </c>
    </row>
    <row r="1192" spans="1:10" x14ac:dyDescent="0.35">
      <c r="A1192" t="s">
        <v>1248</v>
      </c>
      <c r="B1192" t="s">
        <v>591</v>
      </c>
      <c r="C1192" t="s">
        <v>592</v>
      </c>
      <c r="D1192" s="1">
        <v>46224</v>
      </c>
      <c r="E1192">
        <v>5.0994706778832298E-2</v>
      </c>
      <c r="F1192" s="1">
        <v>46224.77178422454</v>
      </c>
      <c r="G1192" t="s">
        <v>593</v>
      </c>
      <c r="H1192" s="1">
        <v>46224.771784340279</v>
      </c>
      <c r="I1192" t="s">
        <v>593</v>
      </c>
      <c r="J1192" t="s">
        <v>5428</v>
      </c>
    </row>
    <row r="1193" spans="1:10" x14ac:dyDescent="0.35">
      <c r="A1193" t="s">
        <v>1249</v>
      </c>
      <c r="B1193" t="s">
        <v>591</v>
      </c>
      <c r="C1193" t="s">
        <v>592</v>
      </c>
      <c r="D1193" s="1">
        <v>46224</v>
      </c>
      <c r="E1193">
        <v>2.50394730677161E-2</v>
      </c>
      <c r="F1193" s="1">
        <v>46224.771713078706</v>
      </c>
      <c r="G1193" t="s">
        <v>593</v>
      </c>
      <c r="H1193" s="1">
        <v>46224.771713078706</v>
      </c>
      <c r="I1193" t="s">
        <v>593</v>
      </c>
      <c r="J1193" t="s">
        <v>5429</v>
      </c>
    </row>
    <row r="1194" spans="1:10" x14ac:dyDescent="0.35">
      <c r="A1194" t="s">
        <v>1250</v>
      </c>
      <c r="B1194" t="s">
        <v>591</v>
      </c>
      <c r="C1194" t="s">
        <v>592</v>
      </c>
      <c r="D1194" s="1">
        <v>46224</v>
      </c>
      <c r="E1194">
        <v>2.4627468281278798E-2</v>
      </c>
      <c r="F1194" s="1">
        <v>46224.771687928238</v>
      </c>
      <c r="G1194" t="s">
        <v>593</v>
      </c>
      <c r="H1194" s="1">
        <v>46224.771687881941</v>
      </c>
      <c r="I1194" t="s">
        <v>593</v>
      </c>
      <c r="J1194" t="s">
        <v>5430</v>
      </c>
    </row>
    <row r="1195" spans="1:10" x14ac:dyDescent="0.35">
      <c r="A1195" t="s">
        <v>1251</v>
      </c>
      <c r="B1195" t="s">
        <v>591</v>
      </c>
      <c r="C1195" t="s">
        <v>592</v>
      </c>
      <c r="D1195" s="1">
        <v>46224</v>
      </c>
      <c r="E1195">
        <v>5.6455837427823903E-2</v>
      </c>
      <c r="F1195" s="1">
        <v>46224.77172109954</v>
      </c>
      <c r="G1195" t="s">
        <v>593</v>
      </c>
      <c r="H1195" s="1">
        <v>46224.771721064812</v>
      </c>
      <c r="I1195" t="s">
        <v>593</v>
      </c>
      <c r="J1195" t="s">
        <v>5431</v>
      </c>
    </row>
    <row r="1196" spans="1:10" x14ac:dyDescent="0.35">
      <c r="A1196" t="s">
        <v>1252</v>
      </c>
      <c r="B1196" t="s">
        <v>591</v>
      </c>
      <c r="C1196" t="s">
        <v>592</v>
      </c>
      <c r="D1196" s="1">
        <v>46224</v>
      </c>
      <c r="E1196">
        <v>1.9070653721880101E-2</v>
      </c>
      <c r="F1196" s="1">
        <v>46224.771700115743</v>
      </c>
      <c r="G1196" t="s">
        <v>593</v>
      </c>
      <c r="H1196" s="1">
        <v>46224.771700034726</v>
      </c>
      <c r="I1196" t="s">
        <v>593</v>
      </c>
      <c r="J1196" t="s">
        <v>5432</v>
      </c>
    </row>
    <row r="1197" spans="1:10" x14ac:dyDescent="0.35">
      <c r="A1197" t="s">
        <v>1253</v>
      </c>
      <c r="B1197" t="s">
        <v>591</v>
      </c>
      <c r="C1197" t="s">
        <v>592</v>
      </c>
      <c r="D1197" s="1">
        <v>46224</v>
      </c>
      <c r="E1197">
        <v>2.52817454032832E-2</v>
      </c>
      <c r="F1197" s="1">
        <v>46224.771778391201</v>
      </c>
      <c r="G1197" t="s">
        <v>593</v>
      </c>
      <c r="H1197" s="1">
        <v>46224.77177835648</v>
      </c>
      <c r="I1197" t="s">
        <v>593</v>
      </c>
      <c r="J1197" t="s">
        <v>5433</v>
      </c>
    </row>
    <row r="1198" spans="1:10" x14ac:dyDescent="0.35">
      <c r="A1198" t="s">
        <v>1254</v>
      </c>
      <c r="B1198" t="s">
        <v>591</v>
      </c>
      <c r="C1198" t="s">
        <v>592</v>
      </c>
      <c r="D1198" s="1">
        <v>46224</v>
      </c>
      <c r="E1198">
        <v>5.18234406524875E-2</v>
      </c>
      <c r="F1198" s="1">
        <v>46224.771690243055</v>
      </c>
      <c r="G1198" t="s">
        <v>593</v>
      </c>
      <c r="H1198" s="1">
        <v>46224.771690243055</v>
      </c>
      <c r="I1198" t="s">
        <v>593</v>
      </c>
      <c r="J1198" t="s">
        <v>5434</v>
      </c>
    </row>
    <row r="1199" spans="1:10" x14ac:dyDescent="0.35">
      <c r="A1199" t="s">
        <v>1257</v>
      </c>
      <c r="B1199" t="s">
        <v>591</v>
      </c>
      <c r="C1199" t="s">
        <v>592</v>
      </c>
      <c r="D1199" s="1">
        <v>46224</v>
      </c>
      <c r="E1199">
        <v>3.6569829130252599E-2</v>
      </c>
      <c r="F1199" s="1">
        <v>46224.771707210646</v>
      </c>
      <c r="G1199" t="s">
        <v>593</v>
      </c>
      <c r="H1199" s="1">
        <v>46224.771707094907</v>
      </c>
      <c r="I1199" t="s">
        <v>593</v>
      </c>
      <c r="J1199" t="s">
        <v>5435</v>
      </c>
    </row>
    <row r="1200" spans="1:10" x14ac:dyDescent="0.35">
      <c r="A1200" t="s">
        <v>1972</v>
      </c>
      <c r="B1200" t="s">
        <v>591</v>
      </c>
      <c r="C1200" t="s">
        <v>592</v>
      </c>
      <c r="D1200" s="1">
        <v>46224</v>
      </c>
      <c r="E1200">
        <v>3.32476916726629E-2</v>
      </c>
      <c r="F1200" s="1">
        <v>46224.771745254628</v>
      </c>
      <c r="G1200" t="s">
        <v>593</v>
      </c>
      <c r="H1200" s="1">
        <v>46224.771745219907</v>
      </c>
      <c r="I1200" t="s">
        <v>593</v>
      </c>
      <c r="J1200" t="s">
        <v>5436</v>
      </c>
    </row>
    <row r="1201" spans="1:10" x14ac:dyDescent="0.35">
      <c r="A1201" t="s">
        <v>1258</v>
      </c>
      <c r="B1201" t="s">
        <v>591</v>
      </c>
      <c r="C1201" t="s">
        <v>592</v>
      </c>
      <c r="D1201" s="1">
        <v>46224</v>
      </c>
      <c r="E1201">
        <v>3.2515754053485599E-2</v>
      </c>
      <c r="F1201" s="1">
        <v>46224.771717511576</v>
      </c>
      <c r="G1201" t="s">
        <v>593</v>
      </c>
      <c r="H1201" s="1">
        <v>46224.771717627315</v>
      </c>
      <c r="I1201" t="s">
        <v>593</v>
      </c>
      <c r="J1201" t="s">
        <v>5437</v>
      </c>
    </row>
    <row r="1202" spans="1:10" x14ac:dyDescent="0.35">
      <c r="A1202" t="s">
        <v>1259</v>
      </c>
      <c r="B1202" t="s">
        <v>591</v>
      </c>
      <c r="C1202" t="s">
        <v>592</v>
      </c>
      <c r="D1202" s="1">
        <v>46224</v>
      </c>
      <c r="E1202">
        <v>2.92259128411262E-2</v>
      </c>
      <c r="F1202" s="1">
        <v>46224.771759409719</v>
      </c>
      <c r="G1202" t="s">
        <v>593</v>
      </c>
      <c r="H1202" s="1">
        <v>46224.771759340278</v>
      </c>
      <c r="I1202" t="s">
        <v>593</v>
      </c>
      <c r="J1202" t="s">
        <v>5438</v>
      </c>
    </row>
    <row r="1203" spans="1:10" x14ac:dyDescent="0.35">
      <c r="A1203" t="s">
        <v>1260</v>
      </c>
      <c r="B1203" t="s">
        <v>591</v>
      </c>
      <c r="C1203" t="s">
        <v>592</v>
      </c>
      <c r="D1203" s="1">
        <v>46224</v>
      </c>
      <c r="E1203">
        <v>3.0743700939265501E-2</v>
      </c>
      <c r="F1203" s="1">
        <v>46224.771732141206</v>
      </c>
      <c r="G1203" t="s">
        <v>593</v>
      </c>
      <c r="H1203" s="1">
        <v>46224.771732256944</v>
      </c>
      <c r="I1203" t="s">
        <v>593</v>
      </c>
      <c r="J1203" t="s">
        <v>5439</v>
      </c>
    </row>
    <row r="1204" spans="1:10" x14ac:dyDescent="0.35">
      <c r="A1204" t="s">
        <v>1261</v>
      </c>
      <c r="B1204" t="s">
        <v>591</v>
      </c>
      <c r="C1204" t="s">
        <v>592</v>
      </c>
      <c r="D1204" s="1">
        <v>46224</v>
      </c>
      <c r="E1204">
        <v>2.9821642976202999E-2</v>
      </c>
      <c r="F1204" s="1">
        <v>46224.771728125001</v>
      </c>
      <c r="G1204" t="s">
        <v>593</v>
      </c>
      <c r="H1204" s="1">
        <v>46224.77172809028</v>
      </c>
      <c r="I1204" t="s">
        <v>593</v>
      </c>
      <c r="J1204" t="s">
        <v>5440</v>
      </c>
    </row>
    <row r="1205" spans="1:10" x14ac:dyDescent="0.35">
      <c r="A1205" t="s">
        <v>1262</v>
      </c>
      <c r="B1205" t="s">
        <v>591</v>
      </c>
      <c r="C1205" t="s">
        <v>592</v>
      </c>
      <c r="D1205" s="1">
        <v>46224</v>
      </c>
      <c r="E1205">
        <v>3.6066322303280503E-2</v>
      </c>
      <c r="F1205" s="1">
        <v>46224.771786342593</v>
      </c>
      <c r="G1205" t="s">
        <v>593</v>
      </c>
      <c r="H1205" s="1">
        <v>46224.771786342593</v>
      </c>
      <c r="I1205" t="s">
        <v>593</v>
      </c>
      <c r="J1205" t="s">
        <v>5441</v>
      </c>
    </row>
    <row r="1206" spans="1:10" x14ac:dyDescent="0.35">
      <c r="A1206" t="s">
        <v>1263</v>
      </c>
      <c r="B1206" t="s">
        <v>600</v>
      </c>
      <c r="C1206" t="s">
        <v>592</v>
      </c>
      <c r="D1206" s="1">
        <v>46224</v>
      </c>
      <c r="E1206">
        <v>116.31</v>
      </c>
      <c r="F1206" s="1">
        <v>46224.771659456019</v>
      </c>
      <c r="G1206" t="s">
        <v>593</v>
      </c>
      <c r="H1206" s="1">
        <v>46224.771659375001</v>
      </c>
      <c r="I1206" t="s">
        <v>593</v>
      </c>
      <c r="J1206" t="s">
        <v>4314</v>
      </c>
    </row>
    <row r="1207" spans="1:10" x14ac:dyDescent="0.35">
      <c r="A1207" t="s">
        <v>1264</v>
      </c>
      <c r="B1207" t="s">
        <v>591</v>
      </c>
      <c r="C1207" t="s">
        <v>592</v>
      </c>
      <c r="D1207" s="1">
        <v>46224</v>
      </c>
      <c r="E1207">
        <v>2.4050196709178202E-2</v>
      </c>
      <c r="F1207" s="1">
        <v>46224.771736145834</v>
      </c>
      <c r="G1207" t="s">
        <v>593</v>
      </c>
      <c r="H1207" s="1">
        <v>46224.771736226852</v>
      </c>
      <c r="I1207" t="s">
        <v>593</v>
      </c>
      <c r="J1207" t="s">
        <v>5442</v>
      </c>
    </row>
    <row r="1208" spans="1:10" x14ac:dyDescent="0.35">
      <c r="A1208" t="s">
        <v>1265</v>
      </c>
      <c r="B1208" t="s">
        <v>591</v>
      </c>
      <c r="C1208" t="s">
        <v>592</v>
      </c>
      <c r="D1208" s="1">
        <v>46224</v>
      </c>
      <c r="E1208">
        <v>2.8878371242824202E-2</v>
      </c>
      <c r="F1208" s="1">
        <v>46224.771783298609</v>
      </c>
      <c r="G1208" t="s">
        <v>593</v>
      </c>
      <c r="H1208" s="1">
        <v>46224.771783414355</v>
      </c>
      <c r="I1208" t="s">
        <v>593</v>
      </c>
      <c r="J1208" t="s">
        <v>5443</v>
      </c>
    </row>
    <row r="1209" spans="1:10" x14ac:dyDescent="0.35">
      <c r="A1209" t="s">
        <v>1266</v>
      </c>
      <c r="B1209" t="s">
        <v>591</v>
      </c>
      <c r="C1209" t="s">
        <v>592</v>
      </c>
      <c r="D1209" s="1">
        <v>46224</v>
      </c>
      <c r="E1209">
        <v>3.1447852958376203E-2</v>
      </c>
      <c r="F1209" s="1">
        <v>46224.771743981481</v>
      </c>
      <c r="G1209" t="s">
        <v>593</v>
      </c>
      <c r="H1209" s="1">
        <v>46224.77174394676</v>
      </c>
      <c r="I1209" t="s">
        <v>593</v>
      </c>
      <c r="J1209" t="s">
        <v>5444</v>
      </c>
    </row>
    <row r="1210" spans="1:10" x14ac:dyDescent="0.35">
      <c r="A1210" t="s">
        <v>1267</v>
      </c>
      <c r="B1210" t="s">
        <v>591</v>
      </c>
      <c r="C1210" t="s">
        <v>592</v>
      </c>
      <c r="D1210" s="1">
        <v>46224</v>
      </c>
      <c r="E1210">
        <v>3.3371892024085602E-2</v>
      </c>
      <c r="F1210" s="1">
        <v>46224.771746956016</v>
      </c>
      <c r="G1210" t="s">
        <v>593</v>
      </c>
      <c r="H1210" s="1">
        <v>46224.771746840277</v>
      </c>
      <c r="I1210" t="s">
        <v>593</v>
      </c>
      <c r="J1210" t="s">
        <v>5445</v>
      </c>
    </row>
    <row r="1211" spans="1:10" x14ac:dyDescent="0.35">
      <c r="A1211" t="s">
        <v>1268</v>
      </c>
      <c r="B1211" t="s">
        <v>591</v>
      </c>
      <c r="C1211" t="s">
        <v>592</v>
      </c>
      <c r="D1211" s="1">
        <v>46224</v>
      </c>
      <c r="E1211">
        <v>3.5833163776274497E-2</v>
      </c>
      <c r="F1211" s="1">
        <v>46224.771716782408</v>
      </c>
      <c r="G1211" t="s">
        <v>593</v>
      </c>
      <c r="H1211" s="1">
        <v>46224.771716701391</v>
      </c>
      <c r="I1211" t="s">
        <v>593</v>
      </c>
      <c r="J1211" t="s">
        <v>5446</v>
      </c>
    </row>
    <row r="1212" spans="1:10" x14ac:dyDescent="0.35">
      <c r="A1212" t="s">
        <v>1269</v>
      </c>
      <c r="B1212" t="s">
        <v>591</v>
      </c>
      <c r="C1212" t="s">
        <v>592</v>
      </c>
      <c r="D1212" s="1">
        <v>46224</v>
      </c>
      <c r="E1212">
        <v>3.7565923555438099E-2</v>
      </c>
      <c r="F1212" s="1">
        <v>46224.771710960646</v>
      </c>
      <c r="G1212" t="s">
        <v>593</v>
      </c>
      <c r="H1212" s="1">
        <v>46224.771710879628</v>
      </c>
      <c r="I1212" t="s">
        <v>593</v>
      </c>
      <c r="J1212" t="s">
        <v>5447</v>
      </c>
    </row>
    <row r="1213" spans="1:10" x14ac:dyDescent="0.35">
      <c r="A1213" t="s">
        <v>1270</v>
      </c>
      <c r="B1213" t="s">
        <v>591</v>
      </c>
      <c r="C1213" t="s">
        <v>592</v>
      </c>
      <c r="D1213" s="1">
        <v>46224</v>
      </c>
      <c r="E1213">
        <v>1.6371280166887499E-2</v>
      </c>
      <c r="F1213" s="1">
        <v>46224.771693599534</v>
      </c>
      <c r="G1213" t="s">
        <v>593</v>
      </c>
      <c r="H1213" s="1">
        <v>46224.771693518516</v>
      </c>
      <c r="I1213" t="s">
        <v>593</v>
      </c>
      <c r="J1213" t="s">
        <v>5448</v>
      </c>
    </row>
    <row r="1214" spans="1:10" x14ac:dyDescent="0.35">
      <c r="A1214" t="s">
        <v>1271</v>
      </c>
      <c r="B1214" t="s">
        <v>591</v>
      </c>
      <c r="C1214" t="s">
        <v>592</v>
      </c>
      <c r="D1214" s="1">
        <v>46224</v>
      </c>
      <c r="E1214">
        <v>3.9742103120471502E-2</v>
      </c>
      <c r="F1214" s="1">
        <v>46224.771768206017</v>
      </c>
      <c r="G1214" t="s">
        <v>593</v>
      </c>
      <c r="H1214" s="1">
        <v>46224.771768171297</v>
      </c>
      <c r="I1214" t="s">
        <v>593</v>
      </c>
      <c r="J1214" t="s">
        <v>5449</v>
      </c>
    </row>
    <row r="1215" spans="1:10" x14ac:dyDescent="0.35">
      <c r="A1215" t="s">
        <v>1272</v>
      </c>
      <c r="B1215" t="s">
        <v>591</v>
      </c>
      <c r="C1215" t="s">
        <v>592</v>
      </c>
      <c r="D1215" s="1">
        <v>46224</v>
      </c>
      <c r="E1215">
        <v>4.1927770907743002E-2</v>
      </c>
      <c r="F1215" s="1">
        <v>46224.771771412037</v>
      </c>
      <c r="G1215" t="s">
        <v>593</v>
      </c>
      <c r="H1215" s="1">
        <v>46224.771771446758</v>
      </c>
      <c r="I1215" t="s">
        <v>593</v>
      </c>
      <c r="J1215" t="s">
        <v>5450</v>
      </c>
    </row>
    <row r="1216" spans="1:10" x14ac:dyDescent="0.35">
      <c r="A1216" t="s">
        <v>1273</v>
      </c>
      <c r="B1216" t="s">
        <v>591</v>
      </c>
      <c r="C1216" t="s">
        <v>592</v>
      </c>
      <c r="D1216" s="1">
        <v>46224</v>
      </c>
      <c r="E1216">
        <v>4.2521003354183101E-2</v>
      </c>
      <c r="F1216" s="1">
        <v>46224.771726006948</v>
      </c>
      <c r="G1216" t="s">
        <v>593</v>
      </c>
      <c r="H1216" s="1">
        <v>46224.771725925923</v>
      </c>
      <c r="I1216" t="s">
        <v>593</v>
      </c>
      <c r="J1216" t="s">
        <v>5451</v>
      </c>
    </row>
    <row r="1217" spans="1:10" x14ac:dyDescent="0.35">
      <c r="A1217" t="s">
        <v>1274</v>
      </c>
      <c r="B1217" t="s">
        <v>591</v>
      </c>
      <c r="C1217" t="s">
        <v>592</v>
      </c>
      <c r="D1217" s="1">
        <v>46224</v>
      </c>
      <c r="E1217">
        <v>2.1307850809255E-2</v>
      </c>
      <c r="F1217" s="1">
        <v>46224.771692361108</v>
      </c>
      <c r="G1217" t="s">
        <v>593</v>
      </c>
      <c r="H1217" s="1">
        <v>46224.77169228009</v>
      </c>
      <c r="I1217" t="s">
        <v>593</v>
      </c>
      <c r="J1217" t="s">
        <v>5452</v>
      </c>
    </row>
    <row r="1218" spans="1:10" x14ac:dyDescent="0.35">
      <c r="A1218" t="s">
        <v>1275</v>
      </c>
      <c r="B1218" t="s">
        <v>591</v>
      </c>
      <c r="C1218" t="s">
        <v>592</v>
      </c>
      <c r="D1218" s="1">
        <v>46224</v>
      </c>
      <c r="E1218">
        <v>2.5893735918066301E-2</v>
      </c>
      <c r="F1218" s="1">
        <v>46224.771751932873</v>
      </c>
      <c r="G1218" t="s">
        <v>593</v>
      </c>
      <c r="H1218" s="1">
        <v>46224.771751932873</v>
      </c>
      <c r="I1218" t="s">
        <v>593</v>
      </c>
      <c r="J1218" t="s">
        <v>5453</v>
      </c>
    </row>
    <row r="1219" spans="1:10" x14ac:dyDescent="0.35">
      <c r="A1219" t="s">
        <v>1276</v>
      </c>
      <c r="B1219" t="s">
        <v>591</v>
      </c>
      <c r="C1219" t="s">
        <v>592</v>
      </c>
      <c r="D1219" s="1">
        <v>46224</v>
      </c>
      <c r="E1219">
        <v>3.0030247705211399E-2</v>
      </c>
      <c r="F1219" s="1">
        <v>46224.771763738427</v>
      </c>
      <c r="G1219" t="s">
        <v>593</v>
      </c>
      <c r="H1219" s="1">
        <v>46224.771763657409</v>
      </c>
      <c r="I1219" t="s">
        <v>593</v>
      </c>
      <c r="J1219" t="s">
        <v>5454</v>
      </c>
    </row>
    <row r="1220" spans="1:10" x14ac:dyDescent="0.35">
      <c r="A1220" t="s">
        <v>1277</v>
      </c>
      <c r="B1220" t="s">
        <v>591</v>
      </c>
      <c r="C1220" t="s">
        <v>592</v>
      </c>
      <c r="D1220" s="1">
        <v>46224</v>
      </c>
      <c r="E1220">
        <v>4.4419296823629197E-2</v>
      </c>
      <c r="F1220" s="1">
        <v>46224.771753935187</v>
      </c>
      <c r="G1220" t="s">
        <v>593</v>
      </c>
      <c r="H1220" s="1">
        <v>46224.771753900466</v>
      </c>
      <c r="I1220" t="s">
        <v>593</v>
      </c>
      <c r="J1220" t="s">
        <v>5455</v>
      </c>
    </row>
    <row r="1221" spans="1:10" x14ac:dyDescent="0.35">
      <c r="A1221" t="s">
        <v>1278</v>
      </c>
      <c r="B1221" t="s">
        <v>591</v>
      </c>
      <c r="C1221" t="s">
        <v>592</v>
      </c>
      <c r="D1221" s="1">
        <v>46224</v>
      </c>
      <c r="E1221">
        <v>3.1789784448261998E-2</v>
      </c>
      <c r="F1221" s="1">
        <v>46224.771733067129</v>
      </c>
      <c r="G1221" t="s">
        <v>593</v>
      </c>
      <c r="H1221" s="1">
        <v>46224.771733136571</v>
      </c>
      <c r="I1221" t="s">
        <v>593</v>
      </c>
      <c r="J1221" t="s">
        <v>5456</v>
      </c>
    </row>
    <row r="1222" spans="1:10" x14ac:dyDescent="0.35">
      <c r="A1222" t="s">
        <v>1279</v>
      </c>
      <c r="B1222" t="s">
        <v>591</v>
      </c>
      <c r="C1222" t="s">
        <v>592</v>
      </c>
      <c r="D1222" s="1">
        <v>46224</v>
      </c>
      <c r="E1222">
        <v>4.5382659292803398E-2</v>
      </c>
      <c r="F1222" s="1">
        <v>46224.771720798613</v>
      </c>
      <c r="G1222" t="s">
        <v>593</v>
      </c>
      <c r="H1222" s="1">
        <v>46224.771720868055</v>
      </c>
      <c r="I1222" t="s">
        <v>593</v>
      </c>
      <c r="J1222" t="s">
        <v>5457</v>
      </c>
    </row>
    <row r="1223" spans="1:10" x14ac:dyDescent="0.35">
      <c r="A1223" t="s">
        <v>1280</v>
      </c>
      <c r="B1223" t="s">
        <v>591</v>
      </c>
      <c r="C1223" t="s">
        <v>592</v>
      </c>
      <c r="D1223" s="1">
        <v>46224</v>
      </c>
      <c r="E1223">
        <v>3.4366404715009499E-2</v>
      </c>
      <c r="F1223" s="1">
        <v>46224.771770057872</v>
      </c>
      <c r="G1223" t="s">
        <v>593</v>
      </c>
      <c r="H1223" s="1">
        <v>46224.771769988423</v>
      </c>
      <c r="I1223" t="s">
        <v>593</v>
      </c>
      <c r="J1223" t="s">
        <v>5458</v>
      </c>
    </row>
    <row r="1224" spans="1:10" x14ac:dyDescent="0.35">
      <c r="A1224" t="s">
        <v>1281</v>
      </c>
      <c r="B1224" t="s">
        <v>591</v>
      </c>
      <c r="C1224" t="s">
        <v>592</v>
      </c>
      <c r="D1224" s="1">
        <v>46224</v>
      </c>
      <c r="E1224">
        <v>1.24256663866712E-2</v>
      </c>
      <c r="F1224" s="1">
        <v>46224.771743634257</v>
      </c>
      <c r="G1224" t="s">
        <v>593</v>
      </c>
      <c r="H1224" s="1">
        <v>46224.771743784724</v>
      </c>
      <c r="I1224" t="s">
        <v>593</v>
      </c>
      <c r="J1224" t="s">
        <v>5459</v>
      </c>
    </row>
    <row r="1225" spans="1:10" x14ac:dyDescent="0.35">
      <c r="A1225" t="s">
        <v>1282</v>
      </c>
      <c r="B1225" t="s">
        <v>591</v>
      </c>
      <c r="C1225" t="s">
        <v>592</v>
      </c>
      <c r="D1225" s="1">
        <v>46224</v>
      </c>
      <c r="E1225">
        <v>4.5454761739821103E-2</v>
      </c>
      <c r="F1225" s="1">
        <v>46224.771772650463</v>
      </c>
      <c r="G1225" t="s">
        <v>593</v>
      </c>
      <c r="H1225" s="1">
        <v>46224.771772719905</v>
      </c>
      <c r="I1225" t="s">
        <v>593</v>
      </c>
      <c r="J1225" t="s">
        <v>5460</v>
      </c>
    </row>
    <row r="1226" spans="1:10" x14ac:dyDescent="0.35">
      <c r="A1226" t="s">
        <v>1283</v>
      </c>
      <c r="B1226" t="s">
        <v>591</v>
      </c>
      <c r="C1226" t="s">
        <v>592</v>
      </c>
      <c r="D1226" s="1">
        <v>46224</v>
      </c>
      <c r="E1226">
        <v>3.9583250166179397E-2</v>
      </c>
      <c r="F1226" s="1">
        <v>46224.771780208335</v>
      </c>
      <c r="G1226" t="s">
        <v>593</v>
      </c>
      <c r="H1226" s="1">
        <v>46224.771780173614</v>
      </c>
      <c r="I1226" t="s">
        <v>593</v>
      </c>
      <c r="J1226" t="s">
        <v>5461</v>
      </c>
    </row>
    <row r="1227" spans="1:10" x14ac:dyDescent="0.35">
      <c r="A1227" t="s">
        <v>1284</v>
      </c>
      <c r="B1227" t="s">
        <v>591</v>
      </c>
      <c r="C1227" t="s">
        <v>592</v>
      </c>
      <c r="D1227" s="1">
        <v>46224</v>
      </c>
      <c r="E1227">
        <v>2.4462751276405001E-2</v>
      </c>
      <c r="F1227" s="1">
        <v>46224.771761145836</v>
      </c>
      <c r="G1227" t="s">
        <v>593</v>
      </c>
      <c r="H1227" s="1">
        <v>46224.771761192133</v>
      </c>
      <c r="I1227" t="s">
        <v>593</v>
      </c>
      <c r="J1227" t="s">
        <v>5462</v>
      </c>
    </row>
    <row r="1228" spans="1:10" x14ac:dyDescent="0.35">
      <c r="A1228" t="s">
        <v>1285</v>
      </c>
      <c r="B1228" t="s">
        <v>591</v>
      </c>
      <c r="C1228" t="s">
        <v>592</v>
      </c>
      <c r="D1228" s="1">
        <v>46224</v>
      </c>
      <c r="E1228">
        <v>4.6004949069222097E-2</v>
      </c>
      <c r="F1228" s="1">
        <v>46224.771749618056</v>
      </c>
      <c r="G1228" t="s">
        <v>593</v>
      </c>
      <c r="H1228" s="1">
        <v>46224.771749571759</v>
      </c>
      <c r="I1228" t="s">
        <v>593</v>
      </c>
      <c r="J1228" t="s">
        <v>5463</v>
      </c>
    </row>
    <row r="1229" spans="1:10" x14ac:dyDescent="0.35">
      <c r="A1229" t="s">
        <v>1286</v>
      </c>
      <c r="B1229" t="s">
        <v>591</v>
      </c>
      <c r="C1229" t="s">
        <v>592</v>
      </c>
      <c r="D1229" s="1">
        <v>46224</v>
      </c>
      <c r="E1229">
        <v>3.6242487208186097E-2</v>
      </c>
      <c r="F1229" s="1">
        <v>46224.771769756946</v>
      </c>
      <c r="G1229" t="s">
        <v>593</v>
      </c>
      <c r="H1229" s="1">
        <v>46224.771769826388</v>
      </c>
      <c r="I1229" t="s">
        <v>593</v>
      </c>
      <c r="J1229" t="s">
        <v>5464</v>
      </c>
    </row>
    <row r="1230" spans="1:10" x14ac:dyDescent="0.35">
      <c r="A1230" t="s">
        <v>1287</v>
      </c>
      <c r="B1230" t="s">
        <v>591</v>
      </c>
      <c r="C1230" t="s">
        <v>592</v>
      </c>
      <c r="D1230" s="1">
        <v>46224</v>
      </c>
      <c r="E1230">
        <v>2.70287576884795E-2</v>
      </c>
      <c r="F1230" s="1">
        <v>46224.771721990743</v>
      </c>
      <c r="G1230" t="s">
        <v>593</v>
      </c>
      <c r="H1230" s="1">
        <v>46224.771721956022</v>
      </c>
      <c r="I1230" t="s">
        <v>593</v>
      </c>
      <c r="J1230" t="s">
        <v>5465</v>
      </c>
    </row>
    <row r="1231" spans="1:10" x14ac:dyDescent="0.35">
      <c r="A1231" t="s">
        <v>1288</v>
      </c>
      <c r="B1231" t="s">
        <v>591</v>
      </c>
      <c r="C1231" t="s">
        <v>592</v>
      </c>
      <c r="D1231" s="1">
        <v>46224</v>
      </c>
      <c r="E1231">
        <v>4.5650623934070697E-2</v>
      </c>
      <c r="F1231" s="1">
        <v>46224.771755439811</v>
      </c>
      <c r="G1231" t="s">
        <v>593</v>
      </c>
      <c r="H1231" s="1">
        <v>46224.771755358794</v>
      </c>
      <c r="I1231" t="s">
        <v>593</v>
      </c>
      <c r="J1231" t="s">
        <v>5466</v>
      </c>
    </row>
    <row r="1232" spans="1:10" x14ac:dyDescent="0.35">
      <c r="A1232" t="s">
        <v>1289</v>
      </c>
      <c r="B1232" t="s">
        <v>591</v>
      </c>
      <c r="C1232" t="s">
        <v>592</v>
      </c>
      <c r="D1232" s="1">
        <v>46224</v>
      </c>
      <c r="E1232">
        <v>2.7695034103614399E-2</v>
      </c>
      <c r="F1232" s="1">
        <v>46224.771694675925</v>
      </c>
      <c r="G1232" t="s">
        <v>593</v>
      </c>
      <c r="H1232" s="1">
        <v>46224.771694641204</v>
      </c>
      <c r="I1232" t="s">
        <v>593</v>
      </c>
      <c r="J1232" t="s">
        <v>5467</v>
      </c>
    </row>
    <row r="1233" spans="1:10" x14ac:dyDescent="0.35">
      <c r="A1233" t="s">
        <v>1290</v>
      </c>
      <c r="B1233" t="s">
        <v>591</v>
      </c>
      <c r="C1233" t="s">
        <v>592</v>
      </c>
      <c r="D1233" s="1">
        <v>46224</v>
      </c>
      <c r="E1233">
        <v>4.1336893982964099E-2</v>
      </c>
      <c r="F1233" s="1">
        <v>46224.771748993058</v>
      </c>
      <c r="G1233" t="s">
        <v>593</v>
      </c>
      <c r="H1233" s="1">
        <v>46224.771749039355</v>
      </c>
      <c r="I1233" t="s">
        <v>593</v>
      </c>
      <c r="J1233" t="s">
        <v>5468</v>
      </c>
    </row>
    <row r="1234" spans="1:10" x14ac:dyDescent="0.35">
      <c r="A1234" t="s">
        <v>1291</v>
      </c>
      <c r="B1234" t="s">
        <v>591</v>
      </c>
      <c r="C1234" t="s">
        <v>592</v>
      </c>
      <c r="D1234" s="1">
        <v>46224</v>
      </c>
      <c r="E1234">
        <v>2.9050534305535902E-2</v>
      </c>
      <c r="F1234" s="1">
        <v>46224.77171241898</v>
      </c>
      <c r="G1234" t="s">
        <v>593</v>
      </c>
      <c r="H1234" s="1">
        <v>46224.771712349539</v>
      </c>
      <c r="I1234" t="s">
        <v>593</v>
      </c>
      <c r="J1234" t="s">
        <v>5469</v>
      </c>
    </row>
    <row r="1235" spans="1:10" x14ac:dyDescent="0.35">
      <c r="A1235" t="s">
        <v>1292</v>
      </c>
      <c r="B1235" t="s">
        <v>591</v>
      </c>
      <c r="C1235" t="s">
        <v>592</v>
      </c>
      <c r="D1235" s="1">
        <v>46224</v>
      </c>
      <c r="E1235">
        <v>3.00060724776091E-2</v>
      </c>
      <c r="F1235" s="1">
        <v>46224.771752696761</v>
      </c>
      <c r="G1235" t="s">
        <v>593</v>
      </c>
      <c r="H1235" s="1">
        <v>46224.771752627312</v>
      </c>
      <c r="I1235" t="s">
        <v>593</v>
      </c>
      <c r="J1235" t="s">
        <v>5470</v>
      </c>
    </row>
    <row r="1236" spans="1:10" x14ac:dyDescent="0.35">
      <c r="A1236" t="s">
        <v>1293</v>
      </c>
      <c r="B1236" t="s">
        <v>591</v>
      </c>
      <c r="C1236" t="s">
        <v>592</v>
      </c>
      <c r="D1236" s="1">
        <v>46224</v>
      </c>
      <c r="E1236">
        <v>3.8099261515798198E-2</v>
      </c>
      <c r="F1236" s="1">
        <v>46224.771689930552</v>
      </c>
      <c r="G1236" t="s">
        <v>593</v>
      </c>
      <c r="H1236" s="1">
        <v>46224.771689895832</v>
      </c>
      <c r="I1236" t="s">
        <v>593</v>
      </c>
      <c r="J1236" t="s">
        <v>5471</v>
      </c>
    </row>
    <row r="1237" spans="1:10" x14ac:dyDescent="0.35">
      <c r="A1237" t="s">
        <v>1294</v>
      </c>
      <c r="B1237" t="s">
        <v>591</v>
      </c>
      <c r="C1237" t="s">
        <v>592</v>
      </c>
      <c r="D1237" s="1">
        <v>46224</v>
      </c>
      <c r="E1237">
        <v>4.5937688635273297E-2</v>
      </c>
      <c r="F1237" s="1">
        <v>46224.771724305552</v>
      </c>
      <c r="G1237" t="s">
        <v>593</v>
      </c>
      <c r="H1237" s="1">
        <v>46224.771724305552</v>
      </c>
      <c r="I1237" t="s">
        <v>593</v>
      </c>
      <c r="J1237" t="s">
        <v>5472</v>
      </c>
    </row>
    <row r="1238" spans="1:10" x14ac:dyDescent="0.35">
      <c r="A1238" t="s">
        <v>1295</v>
      </c>
      <c r="B1238" t="s">
        <v>591</v>
      </c>
      <c r="C1238" t="s">
        <v>592</v>
      </c>
      <c r="D1238" s="1">
        <v>46224</v>
      </c>
      <c r="E1238">
        <v>3.0945726857435199E-2</v>
      </c>
      <c r="F1238" s="1">
        <v>46224.771688692126</v>
      </c>
      <c r="G1238" t="s">
        <v>593</v>
      </c>
      <c r="H1238" s="1">
        <v>46224.771688622684</v>
      </c>
      <c r="I1238" t="s">
        <v>593</v>
      </c>
      <c r="J1238" t="s">
        <v>5473</v>
      </c>
    </row>
    <row r="1239" spans="1:10" x14ac:dyDescent="0.35">
      <c r="A1239" t="s">
        <v>1296</v>
      </c>
      <c r="B1239" t="s">
        <v>591</v>
      </c>
      <c r="C1239" t="s">
        <v>592</v>
      </c>
      <c r="D1239" s="1">
        <v>46224</v>
      </c>
      <c r="E1239">
        <v>4.2410552891266502E-2</v>
      </c>
      <c r="F1239" s="1">
        <v>46224.771744791666</v>
      </c>
      <c r="G1239" t="s">
        <v>593</v>
      </c>
      <c r="H1239" s="1">
        <v>46224.771744872683</v>
      </c>
      <c r="I1239" t="s">
        <v>593</v>
      </c>
      <c r="J1239" t="s">
        <v>5474</v>
      </c>
    </row>
    <row r="1240" spans="1:10" x14ac:dyDescent="0.35">
      <c r="A1240" t="s">
        <v>1297</v>
      </c>
      <c r="B1240" t="s">
        <v>591</v>
      </c>
      <c r="C1240" t="s">
        <v>592</v>
      </c>
      <c r="D1240" s="1">
        <v>46224</v>
      </c>
      <c r="E1240">
        <v>3.1810762323084503E-2</v>
      </c>
      <c r="F1240" s="1">
        <v>46224.771729201391</v>
      </c>
      <c r="G1240" t="s">
        <v>593</v>
      </c>
      <c r="H1240" s="1">
        <v>46224.771729166663</v>
      </c>
      <c r="I1240" t="s">
        <v>593</v>
      </c>
      <c r="J1240" t="s">
        <v>5475</v>
      </c>
    </row>
    <row r="1241" spans="1:10" x14ac:dyDescent="0.35">
      <c r="A1241" t="s">
        <v>1298</v>
      </c>
      <c r="B1241" t="s">
        <v>591</v>
      </c>
      <c r="C1241" t="s">
        <v>592</v>
      </c>
      <c r="D1241" s="1">
        <v>46224</v>
      </c>
      <c r="E1241">
        <v>2.5063433580110699E-2</v>
      </c>
      <c r="F1241" s="1">
        <v>46224.771758645831</v>
      </c>
      <c r="G1241" t="s">
        <v>593</v>
      </c>
      <c r="H1241" s="1">
        <v>46224.771758599534</v>
      </c>
      <c r="I1241" t="s">
        <v>593</v>
      </c>
      <c r="J1241" t="s">
        <v>5476</v>
      </c>
    </row>
    <row r="1242" spans="1:10" x14ac:dyDescent="0.35">
      <c r="A1242" t="s">
        <v>1299</v>
      </c>
      <c r="B1242" t="s">
        <v>591</v>
      </c>
      <c r="C1242" t="s">
        <v>592</v>
      </c>
      <c r="D1242" s="1">
        <v>46224</v>
      </c>
      <c r="E1242">
        <v>4.6370552682117601E-2</v>
      </c>
      <c r="F1242" s="1">
        <v>46224.771713391201</v>
      </c>
      <c r="G1242" t="s">
        <v>593</v>
      </c>
      <c r="H1242" s="1">
        <v>46224.771713425929</v>
      </c>
      <c r="I1242" t="s">
        <v>593</v>
      </c>
      <c r="J1242" t="s">
        <v>5477</v>
      </c>
    </row>
    <row r="1243" spans="1:10" x14ac:dyDescent="0.35">
      <c r="A1243" t="s">
        <v>1300</v>
      </c>
      <c r="B1243" t="s">
        <v>591</v>
      </c>
      <c r="C1243" t="s">
        <v>592</v>
      </c>
      <c r="D1243" s="1">
        <v>46224</v>
      </c>
      <c r="E1243">
        <v>3.9258668407563903E-2</v>
      </c>
      <c r="F1243" s="1">
        <v>46224.771729050924</v>
      </c>
      <c r="G1243" t="s">
        <v>593</v>
      </c>
      <c r="H1243" s="1">
        <v>46224.771729016204</v>
      </c>
      <c r="I1243" t="s">
        <v>593</v>
      </c>
      <c r="J1243" t="s">
        <v>5478</v>
      </c>
    </row>
    <row r="1244" spans="1:10" x14ac:dyDescent="0.35">
      <c r="A1244" t="s">
        <v>1301</v>
      </c>
      <c r="B1244" t="s">
        <v>591</v>
      </c>
      <c r="C1244" t="s">
        <v>592</v>
      </c>
      <c r="D1244" s="1">
        <v>46224</v>
      </c>
      <c r="E1244">
        <v>3.2456335234234301E-2</v>
      </c>
      <c r="F1244" s="1">
        <v>46224.771717824071</v>
      </c>
      <c r="G1244" t="s">
        <v>593</v>
      </c>
      <c r="H1244" s="1">
        <v>46224.77171778935</v>
      </c>
      <c r="I1244" t="s">
        <v>593</v>
      </c>
      <c r="J1244" t="s">
        <v>5479</v>
      </c>
    </row>
    <row r="1245" spans="1:10" x14ac:dyDescent="0.35">
      <c r="A1245" t="s">
        <v>1302</v>
      </c>
      <c r="B1245" t="s">
        <v>591</v>
      </c>
      <c r="C1245" t="s">
        <v>592</v>
      </c>
      <c r="D1245" s="1">
        <v>46224</v>
      </c>
      <c r="E1245">
        <v>3.29195154547978E-2</v>
      </c>
      <c r="F1245" s="1">
        <v>46224.771707557869</v>
      </c>
      <c r="G1245" t="s">
        <v>593</v>
      </c>
      <c r="H1245" s="1">
        <v>46224.771707442131</v>
      </c>
      <c r="I1245" t="s">
        <v>593</v>
      </c>
      <c r="J1245" t="s">
        <v>5480</v>
      </c>
    </row>
    <row r="1246" spans="1:10" x14ac:dyDescent="0.35">
      <c r="A1246" t="s">
        <v>1667</v>
      </c>
      <c r="B1246" t="s">
        <v>591</v>
      </c>
      <c r="C1246" t="s">
        <v>592</v>
      </c>
      <c r="D1246" s="1">
        <v>46224</v>
      </c>
      <c r="E1246">
        <v>3.05302480485499E-2</v>
      </c>
      <c r="F1246" s="1">
        <v>46224.771709108798</v>
      </c>
      <c r="G1246" t="s">
        <v>593</v>
      </c>
      <c r="H1246" s="1">
        <v>46224.771709108798</v>
      </c>
      <c r="I1246" t="s">
        <v>593</v>
      </c>
      <c r="J1246" t="s">
        <v>5481</v>
      </c>
    </row>
    <row r="1247" spans="1:10" x14ac:dyDescent="0.35">
      <c r="A1247" t="s">
        <v>1303</v>
      </c>
      <c r="B1247" t="s">
        <v>591</v>
      </c>
      <c r="C1247" t="s">
        <v>592</v>
      </c>
      <c r="D1247" s="1">
        <v>46224</v>
      </c>
      <c r="E1247">
        <v>2.8157382290055499E-2</v>
      </c>
      <c r="F1247" s="1">
        <v>46224.77171616898</v>
      </c>
      <c r="G1247" t="s">
        <v>593</v>
      </c>
      <c r="H1247" s="1">
        <v>46224.771716203701</v>
      </c>
      <c r="I1247" t="s">
        <v>593</v>
      </c>
      <c r="J1247" t="s">
        <v>5482</v>
      </c>
    </row>
    <row r="1248" spans="1:10" x14ac:dyDescent="0.35">
      <c r="A1248" t="s">
        <v>1304</v>
      </c>
      <c r="B1248" t="s">
        <v>591</v>
      </c>
      <c r="C1248" t="s">
        <v>592</v>
      </c>
      <c r="D1248" s="1">
        <v>46224</v>
      </c>
      <c r="E1248">
        <v>4.3233650470187297E-2</v>
      </c>
      <c r="F1248" s="1">
        <v>46224.771781747688</v>
      </c>
      <c r="G1248" t="s">
        <v>593</v>
      </c>
      <c r="H1248" s="1">
        <v>46224.771781793985</v>
      </c>
      <c r="I1248" t="s">
        <v>593</v>
      </c>
      <c r="J1248" t="s">
        <v>5483</v>
      </c>
    </row>
    <row r="1249" spans="1:10" x14ac:dyDescent="0.35">
      <c r="A1249" t="s">
        <v>1305</v>
      </c>
      <c r="B1249" t="s">
        <v>591</v>
      </c>
      <c r="C1249" t="s">
        <v>592</v>
      </c>
      <c r="D1249" s="1">
        <v>46224</v>
      </c>
      <c r="E1249">
        <v>3.3294567064590601E-2</v>
      </c>
      <c r="F1249" s="1">
        <v>46224.771703090279</v>
      </c>
      <c r="G1249" t="s">
        <v>593</v>
      </c>
      <c r="H1249" s="1">
        <v>46224.771702928243</v>
      </c>
      <c r="I1249" t="s">
        <v>593</v>
      </c>
      <c r="J1249" t="s">
        <v>5484</v>
      </c>
    </row>
    <row r="1250" spans="1:10" x14ac:dyDescent="0.35">
      <c r="A1250" t="s">
        <v>1306</v>
      </c>
      <c r="B1250" t="s">
        <v>591</v>
      </c>
      <c r="C1250" t="s">
        <v>592</v>
      </c>
      <c r="D1250" s="1">
        <v>46224</v>
      </c>
      <c r="E1250">
        <v>4.65117842300906E-2</v>
      </c>
      <c r="F1250" s="1">
        <v>46224.771701701386</v>
      </c>
      <c r="G1250" t="s">
        <v>593</v>
      </c>
      <c r="H1250" s="1">
        <v>46224.771701655096</v>
      </c>
      <c r="I1250" t="s">
        <v>593</v>
      </c>
      <c r="J1250" t="s">
        <v>5485</v>
      </c>
    </row>
    <row r="1251" spans="1:10" x14ac:dyDescent="0.35">
      <c r="A1251" t="s">
        <v>1307</v>
      </c>
      <c r="B1251" t="s">
        <v>591</v>
      </c>
      <c r="C1251" t="s">
        <v>592</v>
      </c>
      <c r="D1251" s="1">
        <v>46224</v>
      </c>
      <c r="E1251">
        <v>4.0223603314879397E-2</v>
      </c>
      <c r="F1251" s="1">
        <v>46224.77177954861</v>
      </c>
      <c r="G1251" t="s">
        <v>593</v>
      </c>
      <c r="H1251" s="1">
        <v>46224.771779629627</v>
      </c>
      <c r="I1251" t="s">
        <v>593</v>
      </c>
      <c r="J1251" t="s">
        <v>5486</v>
      </c>
    </row>
    <row r="1252" spans="1:10" x14ac:dyDescent="0.35">
      <c r="A1252" t="s">
        <v>1308</v>
      </c>
      <c r="B1252" t="s">
        <v>591</v>
      </c>
      <c r="C1252" t="s">
        <v>592</v>
      </c>
      <c r="D1252" s="1">
        <v>46224</v>
      </c>
      <c r="E1252">
        <v>2.9127871217702699E-2</v>
      </c>
      <c r="F1252" s="1">
        <v>46224.771711145833</v>
      </c>
      <c r="G1252" t="s">
        <v>593</v>
      </c>
      <c r="H1252" s="1">
        <v>46224.771711076392</v>
      </c>
      <c r="I1252" t="s">
        <v>593</v>
      </c>
      <c r="J1252" t="s">
        <v>5487</v>
      </c>
    </row>
    <row r="1253" spans="1:10" x14ac:dyDescent="0.35">
      <c r="A1253" t="s">
        <v>1309</v>
      </c>
      <c r="B1253" t="s">
        <v>591</v>
      </c>
      <c r="C1253" t="s">
        <v>592</v>
      </c>
      <c r="D1253" s="1">
        <v>46224</v>
      </c>
      <c r="E1253">
        <v>3.3661402001805903E-2</v>
      </c>
      <c r="F1253" s="1">
        <v>46224.771760995369</v>
      </c>
      <c r="G1253" t="s">
        <v>593</v>
      </c>
      <c r="H1253" s="1">
        <v>46224.771760960648</v>
      </c>
      <c r="I1253" t="s">
        <v>593</v>
      </c>
      <c r="J1253" t="s">
        <v>5488</v>
      </c>
    </row>
    <row r="1254" spans="1:10" x14ac:dyDescent="0.35">
      <c r="A1254" t="s">
        <v>1310</v>
      </c>
      <c r="B1254" t="s">
        <v>591</v>
      </c>
      <c r="C1254" t="s">
        <v>592</v>
      </c>
      <c r="D1254" s="1">
        <v>46224</v>
      </c>
      <c r="E1254">
        <v>2.4683858097896898E-2</v>
      </c>
      <c r="F1254" s="1">
        <v>46224.771729513886</v>
      </c>
      <c r="G1254" t="s">
        <v>593</v>
      </c>
      <c r="H1254" s="1">
        <v>46224.771729548615</v>
      </c>
      <c r="I1254" t="s">
        <v>593</v>
      </c>
      <c r="J1254" t="s">
        <v>5489</v>
      </c>
    </row>
    <row r="1255" spans="1:10" x14ac:dyDescent="0.35">
      <c r="A1255" t="s">
        <v>1311</v>
      </c>
      <c r="B1255" t="s">
        <v>591</v>
      </c>
      <c r="C1255" t="s">
        <v>592</v>
      </c>
      <c r="D1255" s="1">
        <v>46224</v>
      </c>
      <c r="E1255">
        <v>4.4963418095873398E-2</v>
      </c>
      <c r="F1255" s="1">
        <v>46224.771724618055</v>
      </c>
      <c r="G1255" t="s">
        <v>593</v>
      </c>
      <c r="H1255" s="1">
        <v>46224.771724687504</v>
      </c>
      <c r="I1255" t="s">
        <v>593</v>
      </c>
      <c r="J1255" t="s">
        <v>5490</v>
      </c>
    </row>
    <row r="1256" spans="1:10" x14ac:dyDescent="0.35">
      <c r="A1256" t="s">
        <v>1312</v>
      </c>
      <c r="B1256" t="s">
        <v>591</v>
      </c>
      <c r="C1256" t="s">
        <v>592</v>
      </c>
      <c r="D1256" s="1">
        <v>46224</v>
      </c>
      <c r="E1256">
        <v>4.3941320619451101E-2</v>
      </c>
      <c r="F1256" s="1">
        <v>46224.771752395834</v>
      </c>
      <c r="G1256" t="s">
        <v>593</v>
      </c>
      <c r="H1256" s="1">
        <v>46224.771752465276</v>
      </c>
      <c r="I1256" t="s">
        <v>593</v>
      </c>
      <c r="J1256" t="s">
        <v>5491</v>
      </c>
    </row>
    <row r="1257" spans="1:10" x14ac:dyDescent="0.35">
      <c r="A1257" t="s">
        <v>1313</v>
      </c>
      <c r="B1257" t="s">
        <v>591</v>
      </c>
      <c r="C1257" t="s">
        <v>592</v>
      </c>
      <c r="D1257" s="1">
        <v>46224</v>
      </c>
      <c r="E1257">
        <v>2.94317652435102E-2</v>
      </c>
      <c r="F1257" s="1">
        <v>46224.771746030092</v>
      </c>
      <c r="G1257" t="s">
        <v>593</v>
      </c>
      <c r="H1257" s="1">
        <v>46224.771745949074</v>
      </c>
      <c r="I1257" t="s">
        <v>593</v>
      </c>
      <c r="J1257" t="s">
        <v>5492</v>
      </c>
    </row>
    <row r="1258" spans="1:10" x14ac:dyDescent="0.35">
      <c r="A1258" t="s">
        <v>1314</v>
      </c>
      <c r="B1258" t="s">
        <v>591</v>
      </c>
      <c r="C1258" t="s">
        <v>592</v>
      </c>
      <c r="D1258" s="1">
        <v>46224</v>
      </c>
      <c r="E1258">
        <v>3.4110099811712501E-2</v>
      </c>
      <c r="F1258" s="1">
        <v>46224.771698842589</v>
      </c>
      <c r="G1258" t="s">
        <v>593</v>
      </c>
      <c r="H1258" s="1">
        <v>46224.771698761571</v>
      </c>
      <c r="I1258" t="s">
        <v>593</v>
      </c>
      <c r="J1258" t="s">
        <v>5493</v>
      </c>
    </row>
    <row r="1259" spans="1:10" x14ac:dyDescent="0.35">
      <c r="A1259" t="s">
        <v>1315</v>
      </c>
      <c r="B1259" t="s">
        <v>591</v>
      </c>
      <c r="C1259" t="s">
        <v>592</v>
      </c>
      <c r="D1259" s="1">
        <v>46224</v>
      </c>
      <c r="E1259">
        <v>2.0146521290769701E-2</v>
      </c>
      <c r="F1259" s="1">
        <v>46224.77173414352</v>
      </c>
      <c r="G1259" t="s">
        <v>593</v>
      </c>
      <c r="H1259" s="1">
        <v>46224.771734224538</v>
      </c>
      <c r="I1259" t="s">
        <v>593</v>
      </c>
      <c r="J1259" t="s">
        <v>5494</v>
      </c>
    </row>
    <row r="1260" spans="1:10" x14ac:dyDescent="0.35">
      <c r="A1260" t="s">
        <v>1316</v>
      </c>
      <c r="B1260" t="s">
        <v>591</v>
      </c>
      <c r="C1260" t="s">
        <v>592</v>
      </c>
      <c r="D1260" s="1">
        <v>46224</v>
      </c>
      <c r="E1260">
        <v>3.4685191654479301E-2</v>
      </c>
      <c r="F1260" s="1">
        <v>46224.771694826391</v>
      </c>
      <c r="G1260" t="s">
        <v>593</v>
      </c>
      <c r="H1260" s="1">
        <v>46224.771694791663</v>
      </c>
      <c r="I1260" t="s">
        <v>593</v>
      </c>
      <c r="J1260" t="s">
        <v>5495</v>
      </c>
    </row>
    <row r="1261" spans="1:10" x14ac:dyDescent="0.35">
      <c r="A1261" t="s">
        <v>1317</v>
      </c>
      <c r="B1261" t="s">
        <v>591</v>
      </c>
      <c r="C1261" t="s">
        <v>592</v>
      </c>
      <c r="D1261" s="1">
        <v>46224</v>
      </c>
      <c r="E1261">
        <v>3.04673837706151E-2</v>
      </c>
      <c r="F1261" s="1">
        <v>46224.771730590277</v>
      </c>
      <c r="G1261" t="s">
        <v>593</v>
      </c>
      <c r="H1261" s="1">
        <v>46224.771730636574</v>
      </c>
      <c r="I1261" t="s">
        <v>593</v>
      </c>
      <c r="J1261" t="s">
        <v>5496</v>
      </c>
    </row>
    <row r="1262" spans="1:10" x14ac:dyDescent="0.35">
      <c r="A1262" t="s">
        <v>1318</v>
      </c>
      <c r="B1262" t="s">
        <v>591</v>
      </c>
      <c r="C1262" t="s">
        <v>592</v>
      </c>
      <c r="D1262" s="1">
        <v>46224</v>
      </c>
      <c r="E1262">
        <v>4.6617985058537897E-2</v>
      </c>
      <c r="F1262" s="1">
        <v>46224.771712268521</v>
      </c>
      <c r="G1262" t="s">
        <v>593</v>
      </c>
      <c r="H1262" s="1">
        <v>46224.771712349539</v>
      </c>
      <c r="I1262" t="s">
        <v>593</v>
      </c>
      <c r="J1262" t="s">
        <v>5497</v>
      </c>
    </row>
    <row r="1263" spans="1:10" x14ac:dyDescent="0.35">
      <c r="A1263" t="s">
        <v>1319</v>
      </c>
      <c r="B1263" t="s">
        <v>591</v>
      </c>
      <c r="C1263" t="s">
        <v>592</v>
      </c>
      <c r="D1263" s="1">
        <v>46224</v>
      </c>
      <c r="E1263">
        <v>2.6883755789016601E-2</v>
      </c>
      <c r="F1263" s="1">
        <v>46224.771718900462</v>
      </c>
      <c r="G1263" t="s">
        <v>593</v>
      </c>
      <c r="H1263" s="1">
        <v>46224.771718865741</v>
      </c>
      <c r="I1263" t="s">
        <v>593</v>
      </c>
      <c r="J1263" t="s">
        <v>5498</v>
      </c>
    </row>
    <row r="1264" spans="1:10" x14ac:dyDescent="0.35">
      <c r="A1264" t="s">
        <v>1320</v>
      </c>
      <c r="B1264" t="s">
        <v>591</v>
      </c>
      <c r="C1264" t="s">
        <v>592</v>
      </c>
      <c r="D1264" s="1">
        <v>46224</v>
      </c>
      <c r="E1264">
        <v>3.5353745107479899E-2</v>
      </c>
      <c r="F1264" s="1">
        <v>46224.771781284719</v>
      </c>
      <c r="G1264" t="s">
        <v>593</v>
      </c>
      <c r="H1264" s="1">
        <v>46224.771781249998</v>
      </c>
      <c r="I1264" t="s">
        <v>593</v>
      </c>
      <c r="J1264" t="s">
        <v>5499</v>
      </c>
    </row>
    <row r="1265" spans="1:10" x14ac:dyDescent="0.35">
      <c r="A1265" t="s">
        <v>1321</v>
      </c>
      <c r="B1265" t="s">
        <v>591</v>
      </c>
      <c r="C1265" t="s">
        <v>592</v>
      </c>
      <c r="D1265" s="1">
        <v>46224</v>
      </c>
      <c r="E1265">
        <v>3.1091247431981099E-2</v>
      </c>
      <c r="F1265" s="1">
        <v>46224.771724768521</v>
      </c>
      <c r="G1265" t="s">
        <v>593</v>
      </c>
      <c r="H1265" s="1">
        <v>46224.771724849539</v>
      </c>
      <c r="I1265" t="s">
        <v>593</v>
      </c>
      <c r="J1265" t="s">
        <v>5500</v>
      </c>
    </row>
    <row r="1266" spans="1:10" x14ac:dyDescent="0.35">
      <c r="A1266" t="s">
        <v>1322</v>
      </c>
      <c r="B1266" t="s">
        <v>591</v>
      </c>
      <c r="C1266" t="s">
        <v>592</v>
      </c>
      <c r="D1266" s="1">
        <v>46224</v>
      </c>
      <c r="E1266">
        <v>4.1049786982537799E-2</v>
      </c>
      <c r="F1266" s="1">
        <v>46224.771759108793</v>
      </c>
      <c r="G1266" t="s">
        <v>593</v>
      </c>
      <c r="H1266" s="1">
        <v>46224.771759143521</v>
      </c>
      <c r="I1266" t="s">
        <v>593</v>
      </c>
      <c r="J1266" t="s">
        <v>5501</v>
      </c>
    </row>
    <row r="1267" spans="1:10" x14ac:dyDescent="0.35">
      <c r="A1267" t="s">
        <v>1323</v>
      </c>
      <c r="B1267" t="s">
        <v>591</v>
      </c>
      <c r="C1267" t="s">
        <v>592</v>
      </c>
      <c r="D1267" s="1">
        <v>46224</v>
      </c>
      <c r="E1267">
        <v>2.8803215562949E-2</v>
      </c>
      <c r="F1267" s="1">
        <v>46224.771778240742</v>
      </c>
      <c r="G1267" t="s">
        <v>593</v>
      </c>
      <c r="H1267" s="1">
        <v>46224.771778159724</v>
      </c>
      <c r="I1267" t="s">
        <v>593</v>
      </c>
      <c r="J1267" t="s">
        <v>5502</v>
      </c>
    </row>
    <row r="1268" spans="1:10" x14ac:dyDescent="0.35">
      <c r="A1268" t="s">
        <v>1324</v>
      </c>
      <c r="B1268" t="s">
        <v>591</v>
      </c>
      <c r="C1268" t="s">
        <v>592</v>
      </c>
      <c r="D1268" s="1">
        <v>46224</v>
      </c>
      <c r="E1268">
        <v>3.8334215477525198E-2</v>
      </c>
      <c r="F1268" s="1">
        <v>46224.771705983796</v>
      </c>
      <c r="G1268" t="s">
        <v>593</v>
      </c>
      <c r="H1268" s="1">
        <v>46224.77170582176</v>
      </c>
      <c r="I1268" t="s">
        <v>593</v>
      </c>
      <c r="J1268" t="s">
        <v>5503</v>
      </c>
    </row>
    <row r="1269" spans="1:10" x14ac:dyDescent="0.35">
      <c r="A1269" t="s">
        <v>1325</v>
      </c>
      <c r="B1269" t="s">
        <v>591</v>
      </c>
      <c r="C1269" t="s">
        <v>592</v>
      </c>
      <c r="D1269" s="1">
        <v>46224</v>
      </c>
      <c r="E1269">
        <v>3.6018474969886499E-2</v>
      </c>
      <c r="F1269" s="1">
        <v>46224.771714930554</v>
      </c>
      <c r="G1269" t="s">
        <v>593</v>
      </c>
      <c r="H1269" s="1">
        <v>46224.771714895833</v>
      </c>
      <c r="I1269" t="s">
        <v>593</v>
      </c>
      <c r="J1269" t="s">
        <v>5504</v>
      </c>
    </row>
    <row r="1270" spans="1:10" x14ac:dyDescent="0.35">
      <c r="A1270" t="s">
        <v>1326</v>
      </c>
      <c r="B1270" t="s">
        <v>591</v>
      </c>
      <c r="C1270" t="s">
        <v>592</v>
      </c>
      <c r="D1270" s="1">
        <v>46224</v>
      </c>
      <c r="E1270">
        <v>3.1825437625242703E-2</v>
      </c>
      <c r="F1270" s="1">
        <v>46224.771754976849</v>
      </c>
      <c r="G1270" t="s">
        <v>593</v>
      </c>
      <c r="H1270" s="1">
        <v>46224.771754976849</v>
      </c>
      <c r="I1270" t="s">
        <v>593</v>
      </c>
      <c r="J1270" t="s">
        <v>5505</v>
      </c>
    </row>
    <row r="1271" spans="1:10" x14ac:dyDescent="0.35">
      <c r="A1271" t="s">
        <v>1327</v>
      </c>
      <c r="B1271" t="s">
        <v>591</v>
      </c>
      <c r="C1271" t="s">
        <v>592</v>
      </c>
      <c r="D1271" s="1">
        <v>46224</v>
      </c>
      <c r="E1271">
        <v>2.9552809323588801E-2</v>
      </c>
      <c r="F1271" s="1">
        <v>46224.771766238424</v>
      </c>
      <c r="G1271" t="s">
        <v>593</v>
      </c>
      <c r="H1271" s="1">
        <v>46224.771766203703</v>
      </c>
      <c r="I1271" t="s">
        <v>593</v>
      </c>
      <c r="J1271" t="s">
        <v>5506</v>
      </c>
    </row>
    <row r="1272" spans="1:10" x14ac:dyDescent="0.35">
      <c r="A1272" t="s">
        <v>1328</v>
      </c>
      <c r="B1272" t="s">
        <v>591</v>
      </c>
      <c r="C1272" t="s">
        <v>592</v>
      </c>
      <c r="D1272" s="1">
        <v>46224</v>
      </c>
      <c r="E1272">
        <v>4.4415575072440497E-2</v>
      </c>
      <c r="F1272" s="1">
        <v>46224.77171828704</v>
      </c>
      <c r="G1272" t="s">
        <v>593</v>
      </c>
      <c r="H1272" s="1">
        <v>46224.771718368058</v>
      </c>
      <c r="I1272" t="s">
        <v>593</v>
      </c>
      <c r="J1272" t="s">
        <v>5507</v>
      </c>
    </row>
    <row r="1273" spans="1:10" x14ac:dyDescent="0.35">
      <c r="A1273" t="s">
        <v>1329</v>
      </c>
      <c r="B1273" t="s">
        <v>591</v>
      </c>
      <c r="C1273" t="s">
        <v>592</v>
      </c>
      <c r="D1273" s="1">
        <v>46224</v>
      </c>
      <c r="E1273">
        <v>4.7033460303297601E-2</v>
      </c>
      <c r="F1273" s="1">
        <v>46224.771692048613</v>
      </c>
      <c r="G1273" t="s">
        <v>593</v>
      </c>
      <c r="H1273" s="1">
        <v>46224.771691898146</v>
      </c>
      <c r="I1273" t="s">
        <v>593</v>
      </c>
      <c r="J1273" t="s">
        <v>5508</v>
      </c>
    </row>
    <row r="1274" spans="1:10" x14ac:dyDescent="0.35">
      <c r="A1274" t="s">
        <v>1330</v>
      </c>
      <c r="B1274" t="s">
        <v>591</v>
      </c>
      <c r="C1274" t="s">
        <v>592</v>
      </c>
      <c r="D1274" s="1">
        <v>46224</v>
      </c>
      <c r="E1274">
        <v>3.4008359474059703E-2</v>
      </c>
      <c r="F1274" s="1">
        <v>46224.771706597225</v>
      </c>
      <c r="G1274" t="s">
        <v>593</v>
      </c>
      <c r="H1274" s="1">
        <v>46224.771706562497</v>
      </c>
      <c r="I1274" t="s">
        <v>593</v>
      </c>
      <c r="J1274" t="s">
        <v>5509</v>
      </c>
    </row>
    <row r="1275" spans="1:10" x14ac:dyDescent="0.35">
      <c r="A1275" t="s">
        <v>1331</v>
      </c>
      <c r="B1275" t="s">
        <v>591</v>
      </c>
      <c r="C1275" t="s">
        <v>592</v>
      </c>
      <c r="D1275" s="1">
        <v>46224</v>
      </c>
      <c r="E1275">
        <v>3.2535358939737101E-2</v>
      </c>
      <c r="F1275" s="1">
        <v>46224.771773576387</v>
      </c>
      <c r="G1275" t="s">
        <v>593</v>
      </c>
      <c r="H1275" s="1">
        <v>46224.771773495369</v>
      </c>
      <c r="I1275" t="s">
        <v>593</v>
      </c>
      <c r="J1275" t="s">
        <v>5510</v>
      </c>
    </row>
    <row r="1276" spans="1:10" x14ac:dyDescent="0.35">
      <c r="A1276" t="s">
        <v>1332</v>
      </c>
      <c r="B1276" t="s">
        <v>591</v>
      </c>
      <c r="C1276" t="s">
        <v>592</v>
      </c>
      <c r="D1276" s="1">
        <v>46224</v>
      </c>
      <c r="E1276">
        <v>9.9646739515330002E-3</v>
      </c>
      <c r="F1276" s="1">
        <v>46224.771735532406</v>
      </c>
      <c r="G1276" t="s">
        <v>593</v>
      </c>
      <c r="H1276" s="1">
        <v>46224.771735497685</v>
      </c>
      <c r="I1276" t="s">
        <v>593</v>
      </c>
      <c r="J1276" t="s">
        <v>5511</v>
      </c>
    </row>
    <row r="1277" spans="1:10" x14ac:dyDescent="0.35">
      <c r="A1277" t="s">
        <v>1333</v>
      </c>
      <c r="B1277" t="s">
        <v>591</v>
      </c>
      <c r="C1277" t="s">
        <v>592</v>
      </c>
      <c r="D1277" s="1">
        <v>46224</v>
      </c>
      <c r="E1277">
        <v>3.6849164425488599E-2</v>
      </c>
      <c r="F1277" s="1">
        <v>46224.771698993056</v>
      </c>
      <c r="G1277" t="s">
        <v>593</v>
      </c>
      <c r="H1277" s="1">
        <v>46224.771698958335</v>
      </c>
      <c r="I1277" t="s">
        <v>593</v>
      </c>
      <c r="J1277" t="s">
        <v>5512</v>
      </c>
    </row>
    <row r="1278" spans="1:10" x14ac:dyDescent="0.35">
      <c r="A1278" t="s">
        <v>1334</v>
      </c>
      <c r="B1278" t="s">
        <v>591</v>
      </c>
      <c r="C1278" t="s">
        <v>592</v>
      </c>
      <c r="D1278" s="1">
        <v>46224</v>
      </c>
      <c r="E1278">
        <v>3.00561616296013E-2</v>
      </c>
      <c r="F1278" s="1">
        <v>46224.771699803241</v>
      </c>
      <c r="G1278" t="s">
        <v>593</v>
      </c>
      <c r="H1278" s="1">
        <v>46224.771699687502</v>
      </c>
      <c r="I1278" t="s">
        <v>593</v>
      </c>
      <c r="J1278" t="s">
        <v>5513</v>
      </c>
    </row>
    <row r="1279" spans="1:10" x14ac:dyDescent="0.35">
      <c r="A1279" t="s">
        <v>1335</v>
      </c>
      <c r="B1279" t="s">
        <v>591</v>
      </c>
      <c r="C1279" t="s">
        <v>592</v>
      </c>
      <c r="D1279" s="1">
        <v>46224</v>
      </c>
      <c r="E1279">
        <v>2.4050641044728399E-2</v>
      </c>
      <c r="F1279" s="1">
        <v>46224.771691122682</v>
      </c>
      <c r="G1279" t="s">
        <v>593</v>
      </c>
      <c r="H1279" s="1">
        <v>46224.771691168979</v>
      </c>
      <c r="I1279" t="s">
        <v>593</v>
      </c>
      <c r="J1279" t="s">
        <v>5514</v>
      </c>
    </row>
    <row r="1280" spans="1:10" x14ac:dyDescent="0.35">
      <c r="A1280" t="s">
        <v>1336</v>
      </c>
      <c r="B1280" t="s">
        <v>591</v>
      </c>
      <c r="C1280" t="s">
        <v>592</v>
      </c>
      <c r="D1280" s="1">
        <v>46224</v>
      </c>
      <c r="E1280">
        <v>3.7261448878264797E-2</v>
      </c>
      <c r="F1280" s="1">
        <v>46224.77176747685</v>
      </c>
      <c r="G1280" t="s">
        <v>593</v>
      </c>
      <c r="H1280" s="1">
        <v>46224.771767442129</v>
      </c>
      <c r="I1280" t="s">
        <v>593</v>
      </c>
      <c r="J1280" t="s">
        <v>5515</v>
      </c>
    </row>
    <row r="1281" spans="1:10" x14ac:dyDescent="0.35">
      <c r="A1281" t="s">
        <v>1337</v>
      </c>
      <c r="B1281" t="s">
        <v>591</v>
      </c>
      <c r="C1281" t="s">
        <v>592</v>
      </c>
      <c r="D1281" s="1">
        <v>46224</v>
      </c>
      <c r="E1281">
        <v>3.3175884842818797E-2</v>
      </c>
      <c r="F1281" s="1">
        <v>46224.771766863429</v>
      </c>
      <c r="G1281" t="s">
        <v>593</v>
      </c>
      <c r="H1281" s="1">
        <v>46224.77176689815</v>
      </c>
      <c r="I1281" t="s">
        <v>593</v>
      </c>
      <c r="J1281" t="s">
        <v>5516</v>
      </c>
    </row>
    <row r="1282" spans="1:10" x14ac:dyDescent="0.35">
      <c r="A1282" t="s">
        <v>1338</v>
      </c>
      <c r="B1282" t="s">
        <v>591</v>
      </c>
      <c r="C1282" t="s">
        <v>592</v>
      </c>
      <c r="D1282" s="1">
        <v>46224</v>
      </c>
      <c r="E1282">
        <v>3.0849965551866601E-2</v>
      </c>
      <c r="F1282" s="1">
        <v>46224.771743321762</v>
      </c>
      <c r="G1282" t="s">
        <v>593</v>
      </c>
      <c r="H1282" s="1">
        <v>46224.77174340278</v>
      </c>
      <c r="I1282" t="s">
        <v>593</v>
      </c>
      <c r="J1282" t="s">
        <v>5517</v>
      </c>
    </row>
    <row r="1283" spans="1:10" x14ac:dyDescent="0.35">
      <c r="A1283" t="s">
        <v>1339</v>
      </c>
      <c r="B1283" t="s">
        <v>591</v>
      </c>
      <c r="C1283" t="s">
        <v>592</v>
      </c>
      <c r="D1283" s="1">
        <v>46224</v>
      </c>
      <c r="E1283">
        <v>2.67923766755571E-2</v>
      </c>
      <c r="F1283" s="1">
        <v>46224.771750231484</v>
      </c>
      <c r="G1283" t="s">
        <v>593</v>
      </c>
      <c r="H1283" s="1">
        <v>46224.771750150459</v>
      </c>
      <c r="I1283" t="s">
        <v>593</v>
      </c>
      <c r="J1283" t="s">
        <v>5518</v>
      </c>
    </row>
    <row r="1284" spans="1:10" x14ac:dyDescent="0.35">
      <c r="A1284" t="s">
        <v>1340</v>
      </c>
      <c r="B1284" t="s">
        <v>591</v>
      </c>
      <c r="C1284" t="s">
        <v>592</v>
      </c>
      <c r="D1284" s="1">
        <v>46224</v>
      </c>
      <c r="E1284">
        <v>3.3456183717603998E-2</v>
      </c>
      <c r="F1284" s="1">
        <v>46224.771781446761</v>
      </c>
      <c r="G1284" t="s">
        <v>593</v>
      </c>
      <c r="H1284" s="1">
        <v>46224.771781446761</v>
      </c>
      <c r="I1284" t="s">
        <v>593</v>
      </c>
      <c r="J1284" t="s">
        <v>5519</v>
      </c>
    </row>
    <row r="1285" spans="1:10" x14ac:dyDescent="0.35">
      <c r="A1285" t="s">
        <v>1341</v>
      </c>
      <c r="B1285" t="s">
        <v>591</v>
      </c>
      <c r="C1285" t="s">
        <v>592</v>
      </c>
      <c r="D1285" s="1">
        <v>46224</v>
      </c>
      <c r="E1285">
        <v>4.2268438675167802E-2</v>
      </c>
      <c r="F1285" s="1">
        <v>46224.771783101853</v>
      </c>
      <c r="G1285" t="s">
        <v>593</v>
      </c>
      <c r="H1285" s="1">
        <v>46224.771783252312</v>
      </c>
      <c r="I1285" t="s">
        <v>593</v>
      </c>
      <c r="J1285" t="s">
        <v>5520</v>
      </c>
    </row>
    <row r="1286" spans="1:10" x14ac:dyDescent="0.35">
      <c r="A1286" t="s">
        <v>1342</v>
      </c>
      <c r="B1286" t="s">
        <v>591</v>
      </c>
      <c r="C1286" t="s">
        <v>592</v>
      </c>
      <c r="D1286" s="1">
        <v>46224</v>
      </c>
      <c r="E1286">
        <v>3.1318828205711899E-2</v>
      </c>
      <c r="F1286" s="1">
        <v>46224.771700428239</v>
      </c>
      <c r="G1286" t="s">
        <v>593</v>
      </c>
      <c r="H1286" s="1">
        <v>46224.771700428239</v>
      </c>
      <c r="I1286" t="s">
        <v>593</v>
      </c>
      <c r="J1286" t="s">
        <v>5521</v>
      </c>
    </row>
    <row r="1287" spans="1:10" x14ac:dyDescent="0.35">
      <c r="A1287" t="s">
        <v>1343</v>
      </c>
      <c r="B1287" t="s">
        <v>591</v>
      </c>
      <c r="C1287" t="s">
        <v>592</v>
      </c>
      <c r="D1287" s="1">
        <v>46224</v>
      </c>
      <c r="E1287">
        <v>3.7687054717145903E-2</v>
      </c>
      <c r="F1287" s="1">
        <v>46224.771738888892</v>
      </c>
      <c r="G1287" t="s">
        <v>593</v>
      </c>
      <c r="H1287" s="1">
        <v>46224.771739004631</v>
      </c>
      <c r="I1287" t="s">
        <v>593</v>
      </c>
      <c r="J1287" t="s">
        <v>5522</v>
      </c>
    </row>
    <row r="1288" spans="1:10" x14ac:dyDescent="0.35">
      <c r="A1288" t="s">
        <v>1344</v>
      </c>
      <c r="B1288" t="s">
        <v>591</v>
      </c>
      <c r="C1288" t="s">
        <v>592</v>
      </c>
      <c r="D1288" s="1">
        <v>46224</v>
      </c>
      <c r="E1288">
        <v>3.3873532986830102E-2</v>
      </c>
      <c r="F1288" s="1">
        <v>46224.771742395831</v>
      </c>
      <c r="G1288" t="s">
        <v>593</v>
      </c>
      <c r="H1288" s="1">
        <v>46224.771742511577</v>
      </c>
      <c r="I1288" t="s">
        <v>593</v>
      </c>
      <c r="J1288" t="s">
        <v>5523</v>
      </c>
    </row>
    <row r="1289" spans="1:10" x14ac:dyDescent="0.35">
      <c r="A1289" t="s">
        <v>1345</v>
      </c>
      <c r="B1289" t="s">
        <v>591</v>
      </c>
      <c r="C1289" t="s">
        <v>592</v>
      </c>
      <c r="D1289" s="1">
        <v>46224</v>
      </c>
      <c r="E1289">
        <v>4.0648469299898002E-2</v>
      </c>
      <c r="F1289" s="1">
        <v>46224.771694525465</v>
      </c>
      <c r="G1289" t="s">
        <v>593</v>
      </c>
      <c r="H1289" s="1">
        <v>46224.771694444447</v>
      </c>
      <c r="I1289" t="s">
        <v>593</v>
      </c>
      <c r="J1289" t="s">
        <v>5524</v>
      </c>
    </row>
    <row r="1290" spans="1:10" x14ac:dyDescent="0.35">
      <c r="A1290" t="s">
        <v>1346</v>
      </c>
      <c r="B1290" t="s">
        <v>591</v>
      </c>
      <c r="C1290" t="s">
        <v>592</v>
      </c>
      <c r="D1290" s="1">
        <v>46224</v>
      </c>
      <c r="E1290">
        <v>2.8127052928804699E-2</v>
      </c>
      <c r="F1290" s="1">
        <v>46224.771723692131</v>
      </c>
      <c r="G1290" t="s">
        <v>593</v>
      </c>
      <c r="H1290" s="1">
        <v>46224.771723761573</v>
      </c>
      <c r="I1290" t="s">
        <v>593</v>
      </c>
      <c r="J1290" t="s">
        <v>5525</v>
      </c>
    </row>
    <row r="1291" spans="1:10" x14ac:dyDescent="0.35">
      <c r="A1291" t="s">
        <v>1347</v>
      </c>
      <c r="B1291" t="s">
        <v>591</v>
      </c>
      <c r="C1291" t="s">
        <v>592</v>
      </c>
      <c r="D1291" s="1">
        <v>46224</v>
      </c>
      <c r="E1291">
        <v>2.3949349596325602E-2</v>
      </c>
      <c r="F1291" s="1">
        <v>46224.771717673611</v>
      </c>
      <c r="G1291" t="s">
        <v>593</v>
      </c>
      <c r="H1291" s="1">
        <v>46224.771717627315</v>
      </c>
      <c r="I1291" t="s">
        <v>593</v>
      </c>
      <c r="J1291" t="s">
        <v>5526</v>
      </c>
    </row>
    <row r="1292" spans="1:10" x14ac:dyDescent="0.35">
      <c r="A1292" t="s">
        <v>1348</v>
      </c>
      <c r="B1292" t="s">
        <v>591</v>
      </c>
      <c r="C1292" t="s">
        <v>592</v>
      </c>
      <c r="D1292" s="1">
        <v>46224</v>
      </c>
      <c r="E1292">
        <v>3.8341433636981503E-2</v>
      </c>
      <c r="F1292" s="1">
        <v>46224.771757870367</v>
      </c>
      <c r="G1292" t="s">
        <v>593</v>
      </c>
      <c r="H1292" s="1">
        <v>46224.771757905095</v>
      </c>
      <c r="I1292" t="s">
        <v>593</v>
      </c>
      <c r="J1292" t="s">
        <v>5527</v>
      </c>
    </row>
    <row r="1293" spans="1:10" x14ac:dyDescent="0.35">
      <c r="A1293" t="s">
        <v>1349</v>
      </c>
      <c r="B1293" t="s">
        <v>591</v>
      </c>
      <c r="C1293" t="s">
        <v>592</v>
      </c>
      <c r="D1293" s="1">
        <v>46224</v>
      </c>
      <c r="E1293">
        <v>3.1653792491974302E-2</v>
      </c>
      <c r="F1293" s="1">
        <v>46224.771694988427</v>
      </c>
      <c r="G1293" t="s">
        <v>593</v>
      </c>
      <c r="H1293" s="1">
        <v>46224.771694988427</v>
      </c>
      <c r="I1293" t="s">
        <v>593</v>
      </c>
      <c r="J1293" t="s">
        <v>5528</v>
      </c>
    </row>
    <row r="1294" spans="1:10" x14ac:dyDescent="0.35">
      <c r="A1294" t="s">
        <v>1350</v>
      </c>
      <c r="B1294" t="s">
        <v>591</v>
      </c>
      <c r="C1294" t="s">
        <v>592</v>
      </c>
      <c r="D1294" s="1">
        <v>46224</v>
      </c>
      <c r="E1294">
        <v>4.7195812883903898E-2</v>
      </c>
      <c r="F1294" s="1">
        <v>46224.77171134259</v>
      </c>
      <c r="G1294" t="s">
        <v>593</v>
      </c>
      <c r="H1294" s="1">
        <v>46224.771711423607</v>
      </c>
      <c r="I1294" t="s">
        <v>593</v>
      </c>
      <c r="J1294" t="s">
        <v>5529</v>
      </c>
    </row>
    <row r="1295" spans="1:10" x14ac:dyDescent="0.35">
      <c r="A1295" t="s">
        <v>1351</v>
      </c>
      <c r="B1295" t="s">
        <v>591</v>
      </c>
      <c r="C1295" t="s">
        <v>592</v>
      </c>
      <c r="D1295" s="1">
        <v>46224</v>
      </c>
      <c r="E1295">
        <v>3.4253950267633601E-2</v>
      </c>
      <c r="F1295" s="1">
        <v>46224.771759606483</v>
      </c>
      <c r="G1295" t="s">
        <v>593</v>
      </c>
      <c r="H1295" s="1">
        <v>46224.771759687501</v>
      </c>
      <c r="I1295" t="s">
        <v>593</v>
      </c>
      <c r="J1295" t="s">
        <v>5530</v>
      </c>
    </row>
    <row r="1296" spans="1:10" x14ac:dyDescent="0.35">
      <c r="A1296" t="s">
        <v>1352</v>
      </c>
      <c r="B1296" t="s">
        <v>591</v>
      </c>
      <c r="C1296" t="s">
        <v>592</v>
      </c>
      <c r="D1296" s="1">
        <v>46224</v>
      </c>
      <c r="E1296">
        <v>2.8890470473463801E-2</v>
      </c>
      <c r="F1296" s="1">
        <v>46224.771774803237</v>
      </c>
      <c r="G1296" t="s">
        <v>593</v>
      </c>
      <c r="H1296" s="1">
        <v>46224.771774733796</v>
      </c>
      <c r="I1296" t="s">
        <v>593</v>
      </c>
      <c r="J1296" t="s">
        <v>5531</v>
      </c>
    </row>
    <row r="1297" spans="1:10" x14ac:dyDescent="0.35">
      <c r="A1297" t="s">
        <v>1353</v>
      </c>
      <c r="B1297" t="s">
        <v>591</v>
      </c>
      <c r="C1297" t="s">
        <v>592</v>
      </c>
      <c r="D1297" s="1">
        <v>46224</v>
      </c>
      <c r="E1297">
        <v>3.8871729127152498E-2</v>
      </c>
      <c r="F1297" s="1">
        <v>46224.771784375</v>
      </c>
      <c r="G1297" t="s">
        <v>593</v>
      </c>
      <c r="H1297" s="1">
        <v>46224.771784340279</v>
      </c>
      <c r="I1297" t="s">
        <v>593</v>
      </c>
      <c r="J1297" t="s">
        <v>5532</v>
      </c>
    </row>
    <row r="1298" spans="1:10" x14ac:dyDescent="0.35">
      <c r="A1298" t="s">
        <v>1354</v>
      </c>
      <c r="B1298" t="s">
        <v>591</v>
      </c>
      <c r="C1298" t="s">
        <v>592</v>
      </c>
      <c r="D1298" s="1">
        <v>46224</v>
      </c>
      <c r="E1298">
        <v>4.52997997497529E-2</v>
      </c>
      <c r="F1298" s="1">
        <v>46224.771784641205</v>
      </c>
      <c r="G1298" t="s">
        <v>593</v>
      </c>
      <c r="H1298" s="1">
        <v>46224.771784756944</v>
      </c>
      <c r="I1298" t="s">
        <v>593</v>
      </c>
      <c r="J1298" t="s">
        <v>5533</v>
      </c>
    </row>
    <row r="1299" spans="1:10" x14ac:dyDescent="0.35">
      <c r="A1299" t="s">
        <v>1355</v>
      </c>
      <c r="B1299" t="s">
        <v>591</v>
      </c>
      <c r="C1299" t="s">
        <v>592</v>
      </c>
      <c r="D1299" s="1">
        <v>46224</v>
      </c>
      <c r="E1299">
        <v>2.68663561627797E-2</v>
      </c>
      <c r="F1299" s="1">
        <v>46224.771771874999</v>
      </c>
      <c r="G1299" t="s">
        <v>593</v>
      </c>
      <c r="H1299" s="1">
        <v>46224.771771793981</v>
      </c>
      <c r="I1299" t="s">
        <v>593</v>
      </c>
      <c r="J1299" t="s">
        <v>5534</v>
      </c>
    </row>
    <row r="1300" spans="1:10" x14ac:dyDescent="0.35">
      <c r="A1300" t="s">
        <v>1356</v>
      </c>
      <c r="B1300" t="s">
        <v>591</v>
      </c>
      <c r="C1300" t="s">
        <v>592</v>
      </c>
      <c r="D1300" s="1">
        <v>46224</v>
      </c>
      <c r="E1300">
        <v>4.3018779515969302E-2</v>
      </c>
      <c r="F1300" s="1">
        <v>46224.771690543981</v>
      </c>
      <c r="G1300" t="s">
        <v>593</v>
      </c>
      <c r="H1300" s="1">
        <v>46224.771690428242</v>
      </c>
      <c r="I1300" t="s">
        <v>593</v>
      </c>
      <c r="J1300" t="s">
        <v>5535</v>
      </c>
    </row>
    <row r="1301" spans="1:10" x14ac:dyDescent="0.35">
      <c r="A1301" t="s">
        <v>1357</v>
      </c>
      <c r="B1301" t="s">
        <v>591</v>
      </c>
      <c r="C1301" t="s">
        <v>592</v>
      </c>
      <c r="D1301" s="1">
        <v>46224</v>
      </c>
      <c r="E1301">
        <v>3.2578503739405698E-2</v>
      </c>
      <c r="F1301" s="1">
        <v>46224.771705011575</v>
      </c>
      <c r="G1301" t="s">
        <v>593</v>
      </c>
      <c r="H1301" s="1">
        <v>46224.771704942126</v>
      </c>
      <c r="I1301" t="s">
        <v>593</v>
      </c>
      <c r="J1301" t="s">
        <v>5536</v>
      </c>
    </row>
    <row r="1302" spans="1:10" x14ac:dyDescent="0.35">
      <c r="A1302" t="s">
        <v>1358</v>
      </c>
      <c r="B1302" t="s">
        <v>591</v>
      </c>
      <c r="C1302" t="s">
        <v>592</v>
      </c>
      <c r="D1302" s="1">
        <v>46224</v>
      </c>
      <c r="E1302">
        <v>2.99656241691687E-2</v>
      </c>
      <c r="F1302" s="1">
        <v>46224.771773113425</v>
      </c>
      <c r="G1302" t="s">
        <v>593</v>
      </c>
      <c r="H1302" s="1">
        <v>46224.771773113425</v>
      </c>
      <c r="I1302" t="s">
        <v>593</v>
      </c>
      <c r="J1302" t="s">
        <v>5537</v>
      </c>
    </row>
    <row r="1303" spans="1:10" x14ac:dyDescent="0.35">
      <c r="A1303" t="s">
        <v>1359</v>
      </c>
      <c r="B1303" t="s">
        <v>591</v>
      </c>
      <c r="C1303" t="s">
        <v>592</v>
      </c>
      <c r="D1303" s="1">
        <v>46224</v>
      </c>
      <c r="E1303">
        <v>3.5237549196314701E-2</v>
      </c>
      <c r="F1303" s="1">
        <v>46224.771727199077</v>
      </c>
      <c r="G1303" t="s">
        <v>593</v>
      </c>
      <c r="H1303" s="1">
        <v>46224.771727280095</v>
      </c>
      <c r="I1303" t="s">
        <v>593</v>
      </c>
      <c r="J1303" t="s">
        <v>5538</v>
      </c>
    </row>
    <row r="1304" spans="1:10" x14ac:dyDescent="0.35">
      <c r="A1304" t="s">
        <v>1360</v>
      </c>
      <c r="B1304" t="s">
        <v>591</v>
      </c>
      <c r="C1304" t="s">
        <v>592</v>
      </c>
      <c r="D1304" s="1">
        <v>46224</v>
      </c>
      <c r="E1304">
        <v>2.63491471946861E-2</v>
      </c>
      <c r="F1304" s="1">
        <v>46224.771760219905</v>
      </c>
      <c r="G1304" t="s">
        <v>593</v>
      </c>
      <c r="H1304" s="1">
        <v>46224.771760266201</v>
      </c>
      <c r="I1304" t="s">
        <v>593</v>
      </c>
      <c r="J1304" t="s">
        <v>5539</v>
      </c>
    </row>
    <row r="1305" spans="1:10" x14ac:dyDescent="0.35">
      <c r="A1305" t="s">
        <v>1361</v>
      </c>
      <c r="B1305" t="s">
        <v>591</v>
      </c>
      <c r="C1305" t="s">
        <v>592</v>
      </c>
      <c r="D1305" s="1">
        <v>46224</v>
      </c>
      <c r="E1305">
        <v>3.9066467174205602E-2</v>
      </c>
      <c r="F1305" s="1">
        <v>46224.771725543978</v>
      </c>
      <c r="G1305" t="s">
        <v>593</v>
      </c>
      <c r="H1305" s="1">
        <v>46224.771725578707</v>
      </c>
      <c r="I1305" t="s">
        <v>593</v>
      </c>
      <c r="J1305" t="s">
        <v>5540</v>
      </c>
    </row>
    <row r="1306" spans="1:10" x14ac:dyDescent="0.35">
      <c r="A1306" t="s">
        <v>1362</v>
      </c>
      <c r="B1306" t="s">
        <v>591</v>
      </c>
      <c r="C1306" t="s">
        <v>592</v>
      </c>
      <c r="D1306" s="1">
        <v>46224</v>
      </c>
      <c r="E1306">
        <v>3.3007514209778099E-2</v>
      </c>
      <c r="F1306" s="1">
        <v>46224.771704548613</v>
      </c>
      <c r="G1306" t="s">
        <v>593</v>
      </c>
      <c r="H1306" s="1">
        <v>46224.771704432867</v>
      </c>
      <c r="I1306" t="s">
        <v>593</v>
      </c>
      <c r="J1306" t="s">
        <v>5541</v>
      </c>
    </row>
    <row r="1307" spans="1:10" x14ac:dyDescent="0.35">
      <c r="A1307" t="s">
        <v>1363</v>
      </c>
      <c r="B1307" t="s">
        <v>591</v>
      </c>
      <c r="C1307" t="s">
        <v>592</v>
      </c>
      <c r="D1307" s="1">
        <v>46224</v>
      </c>
      <c r="E1307">
        <v>2.85714360721127E-2</v>
      </c>
      <c r="F1307" s="1">
        <v>46224.771782372685</v>
      </c>
      <c r="G1307" t="s">
        <v>593</v>
      </c>
      <c r="H1307" s="1">
        <v>46224.771782326388</v>
      </c>
      <c r="I1307" t="s">
        <v>593</v>
      </c>
      <c r="J1307" t="s">
        <v>5542</v>
      </c>
    </row>
    <row r="1308" spans="1:10" x14ac:dyDescent="0.35">
      <c r="A1308" t="s">
        <v>1364</v>
      </c>
      <c r="B1308" t="s">
        <v>591</v>
      </c>
      <c r="C1308" t="s">
        <v>592</v>
      </c>
      <c r="D1308" s="1">
        <v>46224</v>
      </c>
      <c r="E1308">
        <v>3.07804645172636E-2</v>
      </c>
      <c r="F1308" s="1">
        <v>46224.771767627317</v>
      </c>
      <c r="G1308" t="s">
        <v>593</v>
      </c>
      <c r="H1308" s="1">
        <v>46224.771767627317</v>
      </c>
      <c r="I1308" t="s">
        <v>593</v>
      </c>
      <c r="J1308" t="s">
        <v>5543</v>
      </c>
    </row>
    <row r="1309" spans="1:10" x14ac:dyDescent="0.35">
      <c r="A1309" t="s">
        <v>1365</v>
      </c>
      <c r="B1309" t="s">
        <v>591</v>
      </c>
      <c r="C1309" t="s">
        <v>592</v>
      </c>
      <c r="D1309" s="1">
        <v>46224</v>
      </c>
      <c r="E1309">
        <v>3.5704144031794699E-2</v>
      </c>
      <c r="F1309" s="1">
        <v>46224.771751006941</v>
      </c>
      <c r="G1309" t="s">
        <v>593</v>
      </c>
      <c r="H1309" s="1">
        <v>46224.771751006941</v>
      </c>
      <c r="I1309" t="s">
        <v>593</v>
      </c>
      <c r="J1309" t="s">
        <v>5544</v>
      </c>
    </row>
    <row r="1310" spans="1:10" x14ac:dyDescent="0.35">
      <c r="A1310" t="s">
        <v>1366</v>
      </c>
      <c r="B1310" t="s">
        <v>591</v>
      </c>
      <c r="C1310" t="s">
        <v>592</v>
      </c>
      <c r="D1310" s="1">
        <v>46224</v>
      </c>
      <c r="E1310">
        <v>4.7512439809190697E-2</v>
      </c>
      <c r="F1310" s="1">
        <v>46224.771783912038</v>
      </c>
      <c r="G1310" t="s">
        <v>593</v>
      </c>
      <c r="H1310" s="1">
        <v>46224.771783993056</v>
      </c>
      <c r="I1310" t="s">
        <v>593</v>
      </c>
      <c r="J1310" t="s">
        <v>5545</v>
      </c>
    </row>
    <row r="1311" spans="1:10" x14ac:dyDescent="0.35">
      <c r="A1311" t="s">
        <v>1367</v>
      </c>
      <c r="B1311" t="s">
        <v>591</v>
      </c>
      <c r="C1311" t="s">
        <v>592</v>
      </c>
      <c r="D1311" s="1">
        <v>46224</v>
      </c>
      <c r="E1311">
        <v>3.3437504452544502E-2</v>
      </c>
      <c r="F1311" s="1">
        <v>46224.771782986114</v>
      </c>
      <c r="G1311" t="s">
        <v>593</v>
      </c>
      <c r="H1311" s="1">
        <v>46224.771783067132</v>
      </c>
      <c r="I1311" t="s">
        <v>593</v>
      </c>
      <c r="J1311" t="s">
        <v>5546</v>
      </c>
    </row>
    <row r="1312" spans="1:10" x14ac:dyDescent="0.35">
      <c r="A1312" t="s">
        <v>1368</v>
      </c>
      <c r="B1312" t="s">
        <v>591</v>
      </c>
      <c r="C1312" t="s">
        <v>592</v>
      </c>
      <c r="D1312" s="1">
        <v>46224</v>
      </c>
      <c r="E1312">
        <v>3.9383449677710597E-2</v>
      </c>
      <c r="F1312" s="1">
        <v>46224.771741203702</v>
      </c>
      <c r="G1312" t="s">
        <v>593</v>
      </c>
      <c r="H1312" s="1">
        <v>46224.771741238423</v>
      </c>
      <c r="I1312" t="s">
        <v>593</v>
      </c>
      <c r="J1312" t="s">
        <v>5547</v>
      </c>
    </row>
    <row r="1313" spans="1:10" x14ac:dyDescent="0.35">
      <c r="A1313" t="s">
        <v>1369</v>
      </c>
      <c r="B1313" t="s">
        <v>591</v>
      </c>
      <c r="C1313" t="s">
        <v>592</v>
      </c>
      <c r="D1313" s="1">
        <v>46224</v>
      </c>
      <c r="E1313">
        <v>3.0902482040243401E-2</v>
      </c>
      <c r="F1313" s="1">
        <v>46224.771725081016</v>
      </c>
      <c r="G1313" t="s">
        <v>593</v>
      </c>
      <c r="H1313" s="1">
        <v>46224.77172503472</v>
      </c>
      <c r="I1313" t="s">
        <v>593</v>
      </c>
      <c r="J1313" t="s">
        <v>5548</v>
      </c>
    </row>
    <row r="1314" spans="1:10" x14ac:dyDescent="0.35">
      <c r="A1314" t="s">
        <v>1370</v>
      </c>
      <c r="B1314" t="s">
        <v>591</v>
      </c>
      <c r="C1314" t="s">
        <v>592</v>
      </c>
      <c r="D1314" s="1">
        <v>46224</v>
      </c>
      <c r="E1314">
        <v>3.6113173387546799E-2</v>
      </c>
      <c r="F1314" s="1">
        <v>46224.771689618057</v>
      </c>
      <c r="G1314" t="s">
        <v>593</v>
      </c>
      <c r="H1314" s="1">
        <v>46224.771689548608</v>
      </c>
      <c r="I1314" t="s">
        <v>593</v>
      </c>
      <c r="J1314" t="s">
        <v>5549</v>
      </c>
    </row>
    <row r="1315" spans="1:10" x14ac:dyDescent="0.35">
      <c r="A1315" t="s">
        <v>1371</v>
      </c>
      <c r="B1315" t="s">
        <v>591</v>
      </c>
      <c r="C1315" t="s">
        <v>592</v>
      </c>
      <c r="D1315" s="1">
        <v>46224</v>
      </c>
      <c r="E1315">
        <v>2.9648970428414599E-2</v>
      </c>
      <c r="F1315" s="1">
        <v>46224.771769131941</v>
      </c>
      <c r="G1315" t="s">
        <v>593</v>
      </c>
      <c r="H1315" s="1">
        <v>46224.77176909722</v>
      </c>
      <c r="I1315" t="s">
        <v>593</v>
      </c>
      <c r="J1315" t="s">
        <v>5550</v>
      </c>
    </row>
    <row r="1316" spans="1:10" x14ac:dyDescent="0.35">
      <c r="A1316" t="s">
        <v>1372</v>
      </c>
      <c r="B1316" t="s">
        <v>591</v>
      </c>
      <c r="C1316" t="s">
        <v>592</v>
      </c>
      <c r="D1316" s="1">
        <v>46224</v>
      </c>
      <c r="E1316">
        <v>4.3706010818433103E-2</v>
      </c>
      <c r="F1316" s="1">
        <v>46224.77177777778</v>
      </c>
      <c r="G1316" t="s">
        <v>593</v>
      </c>
      <c r="H1316" s="1">
        <v>46224.771777812501</v>
      </c>
      <c r="I1316" t="s">
        <v>593</v>
      </c>
      <c r="J1316" t="s">
        <v>5551</v>
      </c>
    </row>
    <row r="1317" spans="1:10" x14ac:dyDescent="0.35">
      <c r="A1317" t="s">
        <v>1373</v>
      </c>
      <c r="B1317" t="s">
        <v>591</v>
      </c>
      <c r="C1317" t="s">
        <v>592</v>
      </c>
      <c r="D1317" s="1">
        <v>46224</v>
      </c>
      <c r="E1317">
        <v>3.6473607869441302E-2</v>
      </c>
      <c r="F1317" s="1">
        <v>46224.771736574075</v>
      </c>
      <c r="G1317" t="s">
        <v>593</v>
      </c>
      <c r="H1317" s="1">
        <v>46224.771736608796</v>
      </c>
      <c r="I1317" t="s">
        <v>593</v>
      </c>
      <c r="J1317" t="s">
        <v>5552</v>
      </c>
    </row>
    <row r="1318" spans="1:10" x14ac:dyDescent="0.35">
      <c r="A1318" t="s">
        <v>1374</v>
      </c>
      <c r="B1318" t="s">
        <v>591</v>
      </c>
      <c r="C1318" t="s">
        <v>592</v>
      </c>
      <c r="D1318" s="1">
        <v>46224</v>
      </c>
      <c r="E1318">
        <v>3.9834406223208899E-2</v>
      </c>
      <c r="F1318" s="1">
        <v>46224.771744293983</v>
      </c>
      <c r="G1318" t="s">
        <v>593</v>
      </c>
      <c r="H1318" s="1">
        <v>46224.771744293983</v>
      </c>
      <c r="I1318" t="s">
        <v>593</v>
      </c>
      <c r="J1318" t="s">
        <v>5553</v>
      </c>
    </row>
    <row r="1319" spans="1:10" x14ac:dyDescent="0.35">
      <c r="A1319" t="s">
        <v>1375</v>
      </c>
      <c r="B1319" t="s">
        <v>591</v>
      </c>
      <c r="C1319" t="s">
        <v>592</v>
      </c>
      <c r="D1319" s="1">
        <v>46224</v>
      </c>
      <c r="E1319">
        <v>2.4612445191237502E-2</v>
      </c>
      <c r="F1319" s="1">
        <v>46224.77169869213</v>
      </c>
      <c r="G1319" t="s">
        <v>593</v>
      </c>
      <c r="H1319" s="1">
        <v>46224.771698576391</v>
      </c>
      <c r="I1319" t="s">
        <v>593</v>
      </c>
      <c r="J1319" t="s">
        <v>5554</v>
      </c>
    </row>
    <row r="1320" spans="1:10" x14ac:dyDescent="0.35">
      <c r="A1320" t="s">
        <v>1973</v>
      </c>
      <c r="B1320" t="s">
        <v>591</v>
      </c>
      <c r="C1320" t="s">
        <v>592</v>
      </c>
      <c r="D1320" s="1">
        <v>46224</v>
      </c>
      <c r="E1320">
        <v>3.3864512401238001E-2</v>
      </c>
      <c r="F1320" s="1">
        <v>46224.771762071759</v>
      </c>
      <c r="G1320" t="s">
        <v>593</v>
      </c>
      <c r="H1320" s="1">
        <v>46224.771762118056</v>
      </c>
      <c r="I1320" t="s">
        <v>593</v>
      </c>
      <c r="J1320" t="s">
        <v>5555</v>
      </c>
    </row>
    <row r="1321" spans="1:10" x14ac:dyDescent="0.35">
      <c r="A1321" t="s">
        <v>1983</v>
      </c>
      <c r="B1321" t="s">
        <v>591</v>
      </c>
      <c r="C1321" t="s">
        <v>592</v>
      </c>
      <c r="D1321" s="1">
        <v>46224</v>
      </c>
      <c r="E1321">
        <v>3.6825197834259402E-2</v>
      </c>
      <c r="F1321" s="1">
        <v>46224.771730439817</v>
      </c>
      <c r="G1321" t="s">
        <v>593</v>
      </c>
      <c r="H1321" s="1">
        <v>46224.771730439817</v>
      </c>
      <c r="I1321" t="s">
        <v>593</v>
      </c>
      <c r="J1321" t="s">
        <v>5556</v>
      </c>
    </row>
    <row r="1322" spans="1:10" x14ac:dyDescent="0.35">
      <c r="A1322" t="s">
        <v>1551</v>
      </c>
      <c r="B1322" t="s">
        <v>591</v>
      </c>
      <c r="C1322" t="s">
        <v>592</v>
      </c>
      <c r="D1322" s="1">
        <v>46224</v>
      </c>
      <c r="E1322">
        <v>3.2953905790463402E-2</v>
      </c>
      <c r="F1322" s="1">
        <v>46224.771699618053</v>
      </c>
      <c r="G1322" t="s">
        <v>593</v>
      </c>
      <c r="H1322" s="1">
        <v>46224.771699502315</v>
      </c>
      <c r="I1322" t="s">
        <v>593</v>
      </c>
      <c r="J1322" t="s">
        <v>5557</v>
      </c>
    </row>
    <row r="1323" spans="1:10" x14ac:dyDescent="0.35">
      <c r="A1323" t="s">
        <v>1552</v>
      </c>
      <c r="B1323" t="s">
        <v>591</v>
      </c>
      <c r="C1323" t="s">
        <v>592</v>
      </c>
      <c r="D1323" s="1">
        <v>46224</v>
      </c>
      <c r="E1323">
        <v>2.7436736553002002E-2</v>
      </c>
      <c r="F1323" s="1">
        <v>46224.771724456019</v>
      </c>
      <c r="G1323" t="s">
        <v>593</v>
      </c>
      <c r="H1323" s="1">
        <v>46224.771724502316</v>
      </c>
      <c r="I1323" t="s">
        <v>593</v>
      </c>
      <c r="J1323" t="s">
        <v>5558</v>
      </c>
    </row>
    <row r="1324" spans="1:10" x14ac:dyDescent="0.35">
      <c r="A1324" t="s">
        <v>1553</v>
      </c>
      <c r="B1324" t="s">
        <v>591</v>
      </c>
      <c r="C1324" t="s">
        <v>592</v>
      </c>
      <c r="D1324" s="1">
        <v>46224</v>
      </c>
      <c r="E1324">
        <v>3.5454892967406698E-2</v>
      </c>
      <c r="F1324" s="1">
        <v>46224.7717008912</v>
      </c>
      <c r="G1324" t="s">
        <v>593</v>
      </c>
      <c r="H1324" s="1">
        <v>46224.771700775462</v>
      </c>
      <c r="I1324" t="s">
        <v>593</v>
      </c>
      <c r="J1324" t="s">
        <v>5559</v>
      </c>
    </row>
    <row r="1325" spans="1:10" x14ac:dyDescent="0.35">
      <c r="A1325" t="s">
        <v>1554</v>
      </c>
      <c r="B1325" t="s">
        <v>591</v>
      </c>
      <c r="C1325" t="s">
        <v>592</v>
      </c>
      <c r="D1325" s="1">
        <v>46224</v>
      </c>
      <c r="E1325">
        <v>3.0547476286835702E-2</v>
      </c>
      <c r="F1325" s="1">
        <v>46224.77178221065</v>
      </c>
      <c r="G1325" t="s">
        <v>593</v>
      </c>
      <c r="H1325" s="1">
        <v>46224.771782326388</v>
      </c>
      <c r="I1325" t="s">
        <v>593</v>
      </c>
      <c r="J1325" t="s">
        <v>5560</v>
      </c>
    </row>
    <row r="1326" spans="1:10" x14ac:dyDescent="0.35">
      <c r="A1326" t="s">
        <v>1555</v>
      </c>
      <c r="B1326" t="s">
        <v>591</v>
      </c>
      <c r="C1326" t="s">
        <v>592</v>
      </c>
      <c r="D1326" s="1">
        <v>46224</v>
      </c>
      <c r="E1326">
        <v>3.6507723561238402E-2</v>
      </c>
      <c r="F1326" s="1">
        <v>46224.77172827546</v>
      </c>
      <c r="G1326" t="s">
        <v>593</v>
      </c>
      <c r="H1326" s="1">
        <v>46224.77172827546</v>
      </c>
      <c r="I1326" t="s">
        <v>593</v>
      </c>
      <c r="J1326" t="s">
        <v>5561</v>
      </c>
    </row>
    <row r="1327" spans="1:10" x14ac:dyDescent="0.35">
      <c r="A1327" t="s">
        <v>1556</v>
      </c>
      <c r="B1327" t="s">
        <v>591</v>
      </c>
      <c r="C1327" t="s">
        <v>592</v>
      </c>
      <c r="D1327" s="1">
        <v>46224</v>
      </c>
      <c r="E1327">
        <v>2.66407784867519E-2</v>
      </c>
      <c r="F1327" s="1">
        <v>46224.771710381945</v>
      </c>
      <c r="G1327" t="s">
        <v>593</v>
      </c>
      <c r="H1327" s="1">
        <v>46224.771710335648</v>
      </c>
      <c r="I1327" t="s">
        <v>593</v>
      </c>
      <c r="J1327" t="s">
        <v>5562</v>
      </c>
    </row>
    <row r="1328" spans="1:10" x14ac:dyDescent="0.35">
      <c r="A1328" t="s">
        <v>1557</v>
      </c>
      <c r="B1328" t="s">
        <v>591</v>
      </c>
      <c r="C1328" t="s">
        <v>592</v>
      </c>
      <c r="D1328" s="1">
        <v>46224</v>
      </c>
      <c r="E1328">
        <v>2.7808540790665401E-2</v>
      </c>
      <c r="F1328" s="1">
        <v>46224.771690393522</v>
      </c>
      <c r="G1328" t="s">
        <v>593</v>
      </c>
      <c r="H1328" s="1">
        <v>46224.771690243055</v>
      </c>
      <c r="I1328" t="s">
        <v>593</v>
      </c>
      <c r="J1328" t="s">
        <v>5563</v>
      </c>
    </row>
    <row r="1329" spans="1:10" x14ac:dyDescent="0.35">
      <c r="A1329" t="s">
        <v>1558</v>
      </c>
      <c r="B1329" t="s">
        <v>591</v>
      </c>
      <c r="C1329" t="s">
        <v>592</v>
      </c>
      <c r="D1329" s="1">
        <v>46224</v>
      </c>
      <c r="E1329">
        <v>2.84455977883585E-2</v>
      </c>
      <c r="F1329" s="1">
        <v>46224.771726736108</v>
      </c>
      <c r="G1329" t="s">
        <v>593</v>
      </c>
      <c r="H1329" s="1">
        <v>46224.771726886574</v>
      </c>
      <c r="I1329" t="s">
        <v>593</v>
      </c>
      <c r="J1329" t="s">
        <v>5564</v>
      </c>
    </row>
    <row r="1330" spans="1:10" x14ac:dyDescent="0.35">
      <c r="A1330" t="s">
        <v>1559</v>
      </c>
      <c r="B1330" t="s">
        <v>591</v>
      </c>
      <c r="C1330" t="s">
        <v>592</v>
      </c>
      <c r="D1330" s="1">
        <v>46224</v>
      </c>
      <c r="E1330">
        <v>3.4891739545885897E-2</v>
      </c>
      <c r="F1330" s="1">
        <v>46224.771751469911</v>
      </c>
      <c r="G1330" t="s">
        <v>593</v>
      </c>
      <c r="H1330" s="1">
        <v>46224.771751388886</v>
      </c>
      <c r="I1330" t="s">
        <v>593</v>
      </c>
      <c r="J1330" t="s">
        <v>5565</v>
      </c>
    </row>
    <row r="1331" spans="1:10" x14ac:dyDescent="0.35">
      <c r="A1331" t="s">
        <v>1560</v>
      </c>
      <c r="B1331" t="s">
        <v>591</v>
      </c>
      <c r="C1331" t="s">
        <v>592</v>
      </c>
      <c r="D1331" s="1">
        <v>46224</v>
      </c>
      <c r="E1331">
        <v>2.90796930904763E-2</v>
      </c>
      <c r="F1331" s="1">
        <v>46224.771786192126</v>
      </c>
      <c r="G1331" t="s">
        <v>593</v>
      </c>
      <c r="H1331" s="1">
        <v>46224.771786342593</v>
      </c>
      <c r="I1331" t="s">
        <v>593</v>
      </c>
      <c r="J1331" t="s">
        <v>5566</v>
      </c>
    </row>
    <row r="1332" spans="1:10" x14ac:dyDescent="0.35">
      <c r="A1332" t="s">
        <v>1561</v>
      </c>
      <c r="B1332" t="s">
        <v>591</v>
      </c>
      <c r="C1332" t="s">
        <v>592</v>
      </c>
      <c r="D1332" s="1">
        <v>46224</v>
      </c>
      <c r="E1332">
        <v>2.9728822265139902E-2</v>
      </c>
      <c r="F1332" s="1">
        <v>46224.771761307871</v>
      </c>
      <c r="G1332" t="s">
        <v>593</v>
      </c>
      <c r="H1332" s="1">
        <v>46224.771761342592</v>
      </c>
      <c r="I1332" t="s">
        <v>593</v>
      </c>
      <c r="J1332" t="s">
        <v>5567</v>
      </c>
    </row>
    <row r="1333" spans="1:10" x14ac:dyDescent="0.35">
      <c r="A1333" t="s">
        <v>1562</v>
      </c>
      <c r="B1333" t="s">
        <v>591</v>
      </c>
      <c r="C1333" t="s">
        <v>592</v>
      </c>
      <c r="D1333" s="1">
        <v>46224</v>
      </c>
      <c r="E1333">
        <v>3.3999533440170697E-2</v>
      </c>
      <c r="F1333" s="1">
        <v>46224.771775578702</v>
      </c>
      <c r="G1333" t="s">
        <v>593</v>
      </c>
      <c r="H1333" s="1">
        <v>46224.771775659719</v>
      </c>
      <c r="I1333" t="s">
        <v>593</v>
      </c>
      <c r="J1333" t="s">
        <v>5568</v>
      </c>
    </row>
    <row r="1334" spans="1:10" x14ac:dyDescent="0.35">
      <c r="A1334" t="s">
        <v>1563</v>
      </c>
      <c r="B1334" t="s">
        <v>591</v>
      </c>
      <c r="C1334" t="s">
        <v>592</v>
      </c>
      <c r="D1334" s="1">
        <v>46224</v>
      </c>
      <c r="E1334">
        <v>2.8135475419020499E-2</v>
      </c>
      <c r="F1334" s="1">
        <v>46224.771721261575</v>
      </c>
      <c r="G1334" t="s">
        <v>593</v>
      </c>
      <c r="H1334" s="1">
        <v>46224.771721261575</v>
      </c>
      <c r="I1334" t="s">
        <v>593</v>
      </c>
      <c r="J1334" t="s">
        <v>5569</v>
      </c>
    </row>
    <row r="1335" spans="1:10" x14ac:dyDescent="0.35">
      <c r="A1335" t="s">
        <v>1564</v>
      </c>
      <c r="B1335" t="s">
        <v>591</v>
      </c>
      <c r="C1335" t="s">
        <v>592</v>
      </c>
      <c r="D1335" s="1">
        <v>46224</v>
      </c>
      <c r="E1335">
        <v>3.0344815005009601E-2</v>
      </c>
      <c r="F1335" s="1">
        <v>46224.771741469907</v>
      </c>
      <c r="G1335" t="s">
        <v>593</v>
      </c>
      <c r="H1335" s="1">
        <v>46224.771741585646</v>
      </c>
      <c r="I1335" t="s">
        <v>593</v>
      </c>
      <c r="J1335" t="s">
        <v>5570</v>
      </c>
    </row>
    <row r="1336" spans="1:10" x14ac:dyDescent="0.35">
      <c r="A1336" t="s">
        <v>1565</v>
      </c>
      <c r="B1336" t="s">
        <v>591</v>
      </c>
      <c r="C1336" t="s">
        <v>592</v>
      </c>
      <c r="D1336" s="1">
        <v>46224</v>
      </c>
      <c r="E1336">
        <v>3.6847350065228303E-2</v>
      </c>
      <c r="F1336" s="1">
        <v>46224.771749918982</v>
      </c>
      <c r="G1336" t="s">
        <v>593</v>
      </c>
      <c r="H1336" s="1">
        <v>46224.771749965279</v>
      </c>
      <c r="I1336" t="s">
        <v>593</v>
      </c>
      <c r="J1336" t="s">
        <v>5571</v>
      </c>
    </row>
    <row r="1337" spans="1:10" x14ac:dyDescent="0.35">
      <c r="A1337" t="s">
        <v>1566</v>
      </c>
      <c r="B1337" t="s">
        <v>591</v>
      </c>
      <c r="C1337" t="s">
        <v>592</v>
      </c>
      <c r="D1337" s="1">
        <v>46224</v>
      </c>
      <c r="E1337">
        <v>3.0973602102732398E-2</v>
      </c>
      <c r="F1337" s="1">
        <v>46224.771738113428</v>
      </c>
      <c r="G1337" t="s">
        <v>593</v>
      </c>
      <c r="H1337" s="1">
        <v>46224.771738275464</v>
      </c>
      <c r="I1337" t="s">
        <v>593</v>
      </c>
      <c r="J1337" t="s">
        <v>5572</v>
      </c>
    </row>
    <row r="1338" spans="1:10" x14ac:dyDescent="0.35">
      <c r="A1338" t="s">
        <v>1567</v>
      </c>
      <c r="B1338" t="s">
        <v>591</v>
      </c>
      <c r="C1338" t="s">
        <v>592</v>
      </c>
      <c r="D1338" s="1">
        <v>46224</v>
      </c>
      <c r="E1338">
        <v>2.8833951640592E-2</v>
      </c>
      <c r="F1338" s="1">
        <v>46224.77174837963</v>
      </c>
      <c r="G1338" t="s">
        <v>593</v>
      </c>
      <c r="H1338" s="1">
        <v>46224.771748298612</v>
      </c>
      <c r="I1338" t="s">
        <v>593</v>
      </c>
      <c r="J1338" t="s">
        <v>5573</v>
      </c>
    </row>
    <row r="1339" spans="1:10" x14ac:dyDescent="0.35">
      <c r="A1339" t="s">
        <v>1568</v>
      </c>
      <c r="B1339" t="s">
        <v>591</v>
      </c>
      <c r="C1339" t="s">
        <v>592</v>
      </c>
      <c r="D1339" s="1">
        <v>46224</v>
      </c>
      <c r="E1339">
        <v>3.59477130063083E-2</v>
      </c>
      <c r="F1339" s="1">
        <v>46224.771743831021</v>
      </c>
      <c r="G1339" t="s">
        <v>593</v>
      </c>
      <c r="H1339" s="1">
        <v>46224.77174394676</v>
      </c>
      <c r="I1339" t="s">
        <v>593</v>
      </c>
      <c r="J1339" t="s">
        <v>5574</v>
      </c>
    </row>
    <row r="1340" spans="1:10" x14ac:dyDescent="0.35">
      <c r="A1340" t="s">
        <v>1569</v>
      </c>
      <c r="B1340" t="s">
        <v>591</v>
      </c>
      <c r="C1340" t="s">
        <v>592</v>
      </c>
      <c r="D1340" s="1">
        <v>46224</v>
      </c>
      <c r="E1340">
        <v>3.1499344144480301E-2</v>
      </c>
      <c r="F1340" s="1">
        <v>46224.77174556713</v>
      </c>
      <c r="G1340" t="s">
        <v>593</v>
      </c>
      <c r="H1340" s="1">
        <v>46224.77174556713</v>
      </c>
      <c r="I1340" t="s">
        <v>593</v>
      </c>
      <c r="J1340" t="s">
        <v>5575</v>
      </c>
    </row>
    <row r="1341" spans="1:10" x14ac:dyDescent="0.35">
      <c r="A1341" t="s">
        <v>1570</v>
      </c>
      <c r="B1341" t="s">
        <v>591</v>
      </c>
      <c r="C1341" t="s">
        <v>592</v>
      </c>
      <c r="D1341" s="1">
        <v>46224</v>
      </c>
      <c r="E1341">
        <v>3.2067474312146099E-2</v>
      </c>
      <c r="F1341" s="1">
        <v>46224.771784490738</v>
      </c>
      <c r="G1341" t="s">
        <v>593</v>
      </c>
      <c r="H1341" s="1">
        <v>46224.771784525467</v>
      </c>
      <c r="I1341" t="s">
        <v>593</v>
      </c>
      <c r="J1341" t="s">
        <v>5576</v>
      </c>
    </row>
    <row r="1342" spans="1:10" x14ac:dyDescent="0.35">
      <c r="A1342" t="s">
        <v>1571</v>
      </c>
      <c r="B1342" t="s">
        <v>591</v>
      </c>
      <c r="C1342" t="s">
        <v>592</v>
      </c>
      <c r="D1342" s="1">
        <v>46224</v>
      </c>
      <c r="E1342">
        <v>3.69018890369169E-2</v>
      </c>
      <c r="F1342" s="1">
        <v>46224.771768981482</v>
      </c>
      <c r="G1342" t="s">
        <v>593</v>
      </c>
      <c r="H1342" s="1">
        <v>46224.771768900464</v>
      </c>
      <c r="I1342" t="s">
        <v>593</v>
      </c>
      <c r="J1342" t="s">
        <v>5577</v>
      </c>
    </row>
    <row r="1343" spans="1:10" x14ac:dyDescent="0.35">
      <c r="A1343" t="s">
        <v>1572</v>
      </c>
      <c r="B1343" t="s">
        <v>591</v>
      </c>
      <c r="C1343" t="s">
        <v>592</v>
      </c>
      <c r="D1343" s="1">
        <v>46224</v>
      </c>
      <c r="E1343">
        <v>2.4753185412852801E-2</v>
      </c>
      <c r="F1343" s="1">
        <v>46224.77169652778</v>
      </c>
      <c r="G1343" t="s">
        <v>593</v>
      </c>
      <c r="H1343" s="1">
        <v>46224.771696412034</v>
      </c>
      <c r="I1343" t="s">
        <v>593</v>
      </c>
      <c r="J1343" t="s">
        <v>5578</v>
      </c>
    </row>
    <row r="1344" spans="1:10" x14ac:dyDescent="0.35">
      <c r="A1344" t="s">
        <v>1573</v>
      </c>
      <c r="B1344" t="s">
        <v>591</v>
      </c>
      <c r="C1344" t="s">
        <v>592</v>
      </c>
      <c r="D1344" s="1">
        <v>46224</v>
      </c>
      <c r="E1344">
        <v>2.9529755946420599E-2</v>
      </c>
      <c r="F1344" s="1">
        <v>46224.77176466435</v>
      </c>
      <c r="G1344" t="s">
        <v>593</v>
      </c>
      <c r="H1344" s="1">
        <v>46224.771764548612</v>
      </c>
      <c r="I1344" t="s">
        <v>593</v>
      </c>
      <c r="J1344" t="s">
        <v>5579</v>
      </c>
    </row>
    <row r="1345" spans="1:10" x14ac:dyDescent="0.35">
      <c r="A1345" t="s">
        <v>1574</v>
      </c>
      <c r="B1345" t="s">
        <v>591</v>
      </c>
      <c r="C1345" t="s">
        <v>592</v>
      </c>
      <c r="D1345" s="1">
        <v>46224</v>
      </c>
      <c r="E1345">
        <v>3.2620524493272803E-2</v>
      </c>
      <c r="F1345" s="1">
        <v>46224.771741319448</v>
      </c>
      <c r="G1345" t="s">
        <v>593</v>
      </c>
      <c r="H1345" s="1">
        <v>46224.771741400466</v>
      </c>
      <c r="I1345" t="s">
        <v>593</v>
      </c>
      <c r="J1345" t="s">
        <v>5580</v>
      </c>
    </row>
    <row r="1346" spans="1:10" x14ac:dyDescent="0.35">
      <c r="A1346" t="s">
        <v>1575</v>
      </c>
      <c r="B1346" t="s">
        <v>591</v>
      </c>
      <c r="C1346" t="s">
        <v>592</v>
      </c>
      <c r="D1346" s="1">
        <v>46224</v>
      </c>
      <c r="E1346">
        <v>3.7037251715889799E-2</v>
      </c>
      <c r="F1346" s="1">
        <v>46224.771694062503</v>
      </c>
      <c r="G1346" t="s">
        <v>593</v>
      </c>
      <c r="H1346" s="1">
        <v>46224.771694062503</v>
      </c>
      <c r="I1346" t="s">
        <v>593</v>
      </c>
      <c r="J1346" t="s">
        <v>5581</v>
      </c>
    </row>
    <row r="1347" spans="1:10" x14ac:dyDescent="0.35">
      <c r="A1347" t="s">
        <v>1576</v>
      </c>
      <c r="B1347" t="s">
        <v>591</v>
      </c>
      <c r="C1347" t="s">
        <v>592</v>
      </c>
      <c r="D1347" s="1">
        <v>46224</v>
      </c>
      <c r="E1347">
        <v>4.3420335508656399E-2</v>
      </c>
      <c r="F1347" s="1">
        <v>46224.771721840276</v>
      </c>
      <c r="G1347" t="s">
        <v>593</v>
      </c>
      <c r="H1347" s="1">
        <v>46224.771721956022</v>
      </c>
      <c r="I1347" t="s">
        <v>593</v>
      </c>
      <c r="J1347" t="s">
        <v>5582</v>
      </c>
    </row>
    <row r="1348" spans="1:10" x14ac:dyDescent="0.35">
      <c r="A1348" t="s">
        <v>1668</v>
      </c>
      <c r="B1348" t="s">
        <v>600</v>
      </c>
      <c r="C1348" t="s">
        <v>592</v>
      </c>
      <c r="D1348" s="1">
        <v>46224</v>
      </c>
      <c r="E1348">
        <v>117.26</v>
      </c>
      <c r="F1348" s="1">
        <v>46224.771659606478</v>
      </c>
      <c r="G1348" t="s">
        <v>593</v>
      </c>
      <c r="H1348" s="1">
        <v>46224.771659571757</v>
      </c>
      <c r="I1348" t="s">
        <v>593</v>
      </c>
      <c r="J1348" t="s">
        <v>4314</v>
      </c>
    </row>
    <row r="1349" spans="1:10" x14ac:dyDescent="0.35">
      <c r="A1349" t="s">
        <v>5583</v>
      </c>
      <c r="B1349" t="s">
        <v>600</v>
      </c>
      <c r="C1349" t="s">
        <v>592</v>
      </c>
      <c r="D1349" s="1">
        <v>46224</v>
      </c>
      <c r="E1349">
        <v>116.72</v>
      </c>
      <c r="F1349" s="1">
        <v>46224.771659722224</v>
      </c>
      <c r="G1349" t="s">
        <v>593</v>
      </c>
      <c r="H1349" s="1">
        <v>46224.771659722224</v>
      </c>
      <c r="I1349" t="s">
        <v>593</v>
      </c>
      <c r="J1349" t="s">
        <v>4314</v>
      </c>
    </row>
    <row r="1350" spans="1:10" x14ac:dyDescent="0.35">
      <c r="A1350" t="s">
        <v>1577</v>
      </c>
      <c r="B1350" t="s">
        <v>600</v>
      </c>
      <c r="C1350" t="s">
        <v>592</v>
      </c>
      <c r="D1350" s="1">
        <v>46224</v>
      </c>
      <c r="E1350">
        <v>113.9</v>
      </c>
      <c r="F1350" s="1">
        <v>46224.771659918981</v>
      </c>
      <c r="G1350" t="s">
        <v>593</v>
      </c>
      <c r="H1350" s="1">
        <v>46224.771659918981</v>
      </c>
      <c r="I1350" t="s">
        <v>593</v>
      </c>
      <c r="J1350" t="s">
        <v>4314</v>
      </c>
    </row>
    <row r="1351" spans="1:10" x14ac:dyDescent="0.35">
      <c r="A1351" t="s">
        <v>1578</v>
      </c>
      <c r="B1351" t="s">
        <v>600</v>
      </c>
      <c r="C1351" t="s">
        <v>592</v>
      </c>
      <c r="D1351" s="1">
        <v>46224</v>
      </c>
      <c r="E1351">
        <v>114.29</v>
      </c>
      <c r="F1351" s="1">
        <v>46224.771660069448</v>
      </c>
      <c r="G1351" t="s">
        <v>593</v>
      </c>
      <c r="H1351" s="1">
        <v>46224.771660104168</v>
      </c>
      <c r="I1351" t="s">
        <v>593</v>
      </c>
      <c r="J1351" t="s">
        <v>4314</v>
      </c>
    </row>
    <row r="1352" spans="1:10" x14ac:dyDescent="0.35">
      <c r="A1352" t="s">
        <v>1579</v>
      </c>
      <c r="B1352" t="s">
        <v>591</v>
      </c>
      <c r="C1352" t="s">
        <v>592</v>
      </c>
      <c r="D1352" s="1">
        <v>46224</v>
      </c>
      <c r="E1352">
        <v>3.4098370755507097E-2</v>
      </c>
      <c r="F1352" s="1">
        <v>46224.771735381946</v>
      </c>
      <c r="G1352" t="s">
        <v>593</v>
      </c>
      <c r="H1352" s="1">
        <v>46224.771735335649</v>
      </c>
      <c r="I1352" t="s">
        <v>593</v>
      </c>
      <c r="J1352" t="s">
        <v>5584</v>
      </c>
    </row>
    <row r="1353" spans="1:10" x14ac:dyDescent="0.35">
      <c r="A1353" t="s">
        <v>1580</v>
      </c>
      <c r="B1353" t="s">
        <v>591</v>
      </c>
      <c r="C1353" t="s">
        <v>592</v>
      </c>
      <c r="D1353" s="1">
        <v>46224</v>
      </c>
      <c r="E1353">
        <v>2.9446126096661002E-2</v>
      </c>
      <c r="F1353" s="1">
        <v>46224.771713229165</v>
      </c>
      <c r="G1353" t="s">
        <v>593</v>
      </c>
      <c r="H1353" s="1">
        <v>46224.771713229165</v>
      </c>
      <c r="I1353" t="s">
        <v>593</v>
      </c>
      <c r="J1353" t="s">
        <v>5585</v>
      </c>
    </row>
    <row r="1354" spans="1:10" x14ac:dyDescent="0.35">
      <c r="A1354" t="s">
        <v>1581</v>
      </c>
      <c r="B1354" t="s">
        <v>591</v>
      </c>
      <c r="C1354" t="s">
        <v>592</v>
      </c>
      <c r="D1354" s="1">
        <v>46224</v>
      </c>
      <c r="E1354">
        <v>3.4480319196106203E-2</v>
      </c>
      <c r="F1354" s="1">
        <v>46224.771780011572</v>
      </c>
      <c r="G1354" t="s">
        <v>593</v>
      </c>
      <c r="H1354" s="1">
        <v>46224.771780173614</v>
      </c>
      <c r="I1354" t="s">
        <v>593</v>
      </c>
      <c r="J1354" t="s">
        <v>5586</v>
      </c>
    </row>
    <row r="1355" spans="1:10" x14ac:dyDescent="0.35">
      <c r="A1355" t="s">
        <v>1582</v>
      </c>
      <c r="B1355" t="s">
        <v>591</v>
      </c>
      <c r="C1355" t="s">
        <v>592</v>
      </c>
      <c r="D1355" s="1">
        <v>46224</v>
      </c>
      <c r="E1355">
        <v>3.04182553313034E-2</v>
      </c>
      <c r="F1355" s="1">
        <v>46224.7717653125</v>
      </c>
      <c r="G1355" t="s">
        <v>593</v>
      </c>
      <c r="H1355" s="1">
        <v>46224.771765277779</v>
      </c>
      <c r="I1355" t="s">
        <v>593</v>
      </c>
      <c r="J1355" t="s">
        <v>5587</v>
      </c>
    </row>
    <row r="1356" spans="1:10" x14ac:dyDescent="0.35">
      <c r="A1356" t="s">
        <v>1583</v>
      </c>
      <c r="B1356" t="s">
        <v>600</v>
      </c>
      <c r="C1356" t="s">
        <v>592</v>
      </c>
      <c r="D1356" s="1">
        <v>46224</v>
      </c>
      <c r="E1356">
        <v>124.6</v>
      </c>
      <c r="F1356" s="1">
        <v>46224.771660185186</v>
      </c>
      <c r="G1356" t="s">
        <v>593</v>
      </c>
      <c r="H1356" s="1">
        <v>46224.771660266204</v>
      </c>
      <c r="I1356" t="s">
        <v>593</v>
      </c>
      <c r="J1356" t="s">
        <v>4314</v>
      </c>
    </row>
    <row r="1357" spans="1:10" x14ac:dyDescent="0.35">
      <c r="A1357" t="s">
        <v>1584</v>
      </c>
      <c r="B1357" t="s">
        <v>600</v>
      </c>
      <c r="C1357" t="s">
        <v>592</v>
      </c>
      <c r="D1357" s="1">
        <v>46224</v>
      </c>
      <c r="E1357">
        <v>123.76</v>
      </c>
      <c r="F1357" s="1">
        <v>46224.771656516205</v>
      </c>
      <c r="G1357" t="s">
        <v>593</v>
      </c>
      <c r="H1357" s="1">
        <v>46224.771656597222</v>
      </c>
      <c r="I1357" t="s">
        <v>593</v>
      </c>
      <c r="J1357" t="s">
        <v>4314</v>
      </c>
    </row>
    <row r="1358" spans="1:10" x14ac:dyDescent="0.35">
      <c r="A1358" t="s">
        <v>1585</v>
      </c>
      <c r="B1358" t="s">
        <v>600</v>
      </c>
      <c r="C1358" t="s">
        <v>592</v>
      </c>
      <c r="D1358" s="1">
        <v>46224</v>
      </c>
      <c r="E1358">
        <v>95.944999999999993</v>
      </c>
      <c r="F1358" s="1">
        <v>46224.77165667824</v>
      </c>
      <c r="G1358" t="s">
        <v>593</v>
      </c>
      <c r="H1358" s="1">
        <v>46224.771656597222</v>
      </c>
      <c r="I1358" t="s">
        <v>593</v>
      </c>
      <c r="J1358" t="s">
        <v>4314</v>
      </c>
    </row>
    <row r="1359" spans="1:10" x14ac:dyDescent="0.35">
      <c r="A1359" t="s">
        <v>1594</v>
      </c>
      <c r="B1359" t="s">
        <v>600</v>
      </c>
      <c r="C1359" t="s">
        <v>592</v>
      </c>
      <c r="D1359" s="1">
        <v>46224</v>
      </c>
      <c r="E1359">
        <v>96.38</v>
      </c>
      <c r="F1359" s="1">
        <v>46224.771656828707</v>
      </c>
      <c r="G1359" t="s">
        <v>593</v>
      </c>
      <c r="H1359" s="1">
        <v>46224.771656793979</v>
      </c>
      <c r="I1359" t="s">
        <v>593</v>
      </c>
      <c r="J1359" t="s">
        <v>4314</v>
      </c>
    </row>
    <row r="1360" spans="1:10" x14ac:dyDescent="0.35">
      <c r="A1360" t="s">
        <v>1596</v>
      </c>
      <c r="B1360" t="s">
        <v>600</v>
      </c>
      <c r="C1360" t="s">
        <v>592</v>
      </c>
      <c r="D1360" s="1">
        <v>46224</v>
      </c>
      <c r="E1360">
        <v>96.29</v>
      </c>
      <c r="F1360" s="1">
        <v>46224.771656979166</v>
      </c>
      <c r="G1360" t="s">
        <v>593</v>
      </c>
      <c r="H1360" s="1">
        <v>46224.771657025463</v>
      </c>
      <c r="I1360" t="s">
        <v>593</v>
      </c>
      <c r="J1360" t="s">
        <v>4314</v>
      </c>
    </row>
    <row r="1361" spans="1:10" x14ac:dyDescent="0.35">
      <c r="A1361" t="s">
        <v>1598</v>
      </c>
      <c r="B1361" t="s">
        <v>600</v>
      </c>
      <c r="C1361" t="s">
        <v>592</v>
      </c>
      <c r="D1361" s="1">
        <v>46224</v>
      </c>
      <c r="E1361">
        <v>96.22</v>
      </c>
      <c r="F1361" s="1">
        <v>46224.771657175923</v>
      </c>
      <c r="G1361" t="s">
        <v>593</v>
      </c>
      <c r="H1361" s="1">
        <v>46224.771657175923</v>
      </c>
      <c r="I1361" t="s">
        <v>593</v>
      </c>
      <c r="J1361" t="s">
        <v>4314</v>
      </c>
    </row>
    <row r="1362" spans="1:10" x14ac:dyDescent="0.35">
      <c r="A1362" t="s">
        <v>1600</v>
      </c>
      <c r="B1362" t="s">
        <v>600</v>
      </c>
      <c r="C1362" t="s">
        <v>592</v>
      </c>
      <c r="D1362" s="1">
        <v>46224</v>
      </c>
      <c r="E1362">
        <v>96.135000000000005</v>
      </c>
      <c r="F1362" s="1">
        <v>46224.771657291669</v>
      </c>
      <c r="G1362" t="s">
        <v>593</v>
      </c>
      <c r="H1362" s="1">
        <v>46224.771657372687</v>
      </c>
      <c r="I1362" t="s">
        <v>593</v>
      </c>
      <c r="J1362" t="s">
        <v>4314</v>
      </c>
    </row>
    <row r="1363" spans="1:10" x14ac:dyDescent="0.35">
      <c r="A1363" t="s">
        <v>1602</v>
      </c>
      <c r="B1363" t="s">
        <v>600</v>
      </c>
      <c r="C1363" t="s">
        <v>592</v>
      </c>
      <c r="D1363" s="1">
        <v>46224</v>
      </c>
      <c r="E1363">
        <v>96.064999999999998</v>
      </c>
      <c r="F1363" s="1">
        <v>46224.771657442128</v>
      </c>
      <c r="G1363" t="s">
        <v>593</v>
      </c>
      <c r="H1363" s="1">
        <v>46224.771657372687</v>
      </c>
      <c r="I1363" t="s">
        <v>593</v>
      </c>
      <c r="J1363" t="s">
        <v>4314</v>
      </c>
    </row>
    <row r="1364" spans="1:10" x14ac:dyDescent="0.35">
      <c r="A1364" t="s">
        <v>1604</v>
      </c>
      <c r="B1364" t="s">
        <v>600</v>
      </c>
      <c r="C1364" t="s">
        <v>592</v>
      </c>
      <c r="D1364" s="1">
        <v>46224</v>
      </c>
      <c r="E1364">
        <v>95.974999999999994</v>
      </c>
      <c r="F1364" s="1">
        <v>46224.771657604164</v>
      </c>
      <c r="G1364" t="s">
        <v>593</v>
      </c>
      <c r="H1364" s="1">
        <v>46224.771657557867</v>
      </c>
      <c r="I1364" t="s">
        <v>593</v>
      </c>
      <c r="J1364" t="s">
        <v>4314</v>
      </c>
    </row>
    <row r="1365" spans="1:10" x14ac:dyDescent="0.35">
      <c r="A1365" t="s">
        <v>1606</v>
      </c>
      <c r="B1365" t="s">
        <v>600</v>
      </c>
      <c r="C1365" t="s">
        <v>592</v>
      </c>
      <c r="D1365" s="1">
        <v>46224</v>
      </c>
      <c r="E1365">
        <v>95.83</v>
      </c>
      <c r="F1365" s="1">
        <v>46224.771657754631</v>
      </c>
      <c r="G1365" t="s">
        <v>593</v>
      </c>
      <c r="H1365" s="1">
        <v>46224.771657754631</v>
      </c>
      <c r="I1365" t="s">
        <v>593</v>
      </c>
      <c r="J1365" t="s">
        <v>4314</v>
      </c>
    </row>
    <row r="1366" spans="1:10" x14ac:dyDescent="0.35">
      <c r="A1366" t="s">
        <v>1768</v>
      </c>
      <c r="B1366" t="s">
        <v>600</v>
      </c>
      <c r="C1366" t="s">
        <v>592</v>
      </c>
      <c r="D1366" s="1">
        <v>46224</v>
      </c>
      <c r="E1366">
        <v>95.965000000000003</v>
      </c>
      <c r="F1366" s="1">
        <v>46224.771657951387</v>
      </c>
      <c r="G1366" t="s">
        <v>593</v>
      </c>
      <c r="H1366" s="1">
        <v>46224.771657951387</v>
      </c>
      <c r="I1366" t="s">
        <v>593</v>
      </c>
      <c r="J1366" t="s">
        <v>4314</v>
      </c>
    </row>
    <row r="1367" spans="1:10" x14ac:dyDescent="0.35">
      <c r="A1367" t="s">
        <v>1607</v>
      </c>
      <c r="B1367" t="s">
        <v>600</v>
      </c>
      <c r="C1367" t="s">
        <v>592</v>
      </c>
      <c r="D1367" s="1">
        <v>46224</v>
      </c>
      <c r="E1367">
        <v>96.317499999999995</v>
      </c>
      <c r="F1367" s="1">
        <v>46224.771658067133</v>
      </c>
      <c r="G1367" t="s">
        <v>593</v>
      </c>
      <c r="H1367" s="1">
        <v>46224.771658101854</v>
      </c>
      <c r="I1367" t="s">
        <v>593</v>
      </c>
      <c r="J1367" t="s">
        <v>4314</v>
      </c>
    </row>
    <row r="1368" spans="1:10" x14ac:dyDescent="0.35">
      <c r="A1368" t="s">
        <v>1608</v>
      </c>
      <c r="B1368" t="s">
        <v>600</v>
      </c>
      <c r="C1368" t="s">
        <v>592</v>
      </c>
      <c r="D1368" s="1">
        <v>46224</v>
      </c>
      <c r="E1368">
        <v>95.825000000000003</v>
      </c>
      <c r="F1368" s="1">
        <v>46224.771658217593</v>
      </c>
      <c r="G1368" t="s">
        <v>593</v>
      </c>
      <c r="H1368" s="1">
        <v>46224.77165829861</v>
      </c>
      <c r="I1368" t="s">
        <v>593</v>
      </c>
      <c r="J1368" t="s">
        <v>4314</v>
      </c>
    </row>
    <row r="1369" spans="1:10" x14ac:dyDescent="0.35">
      <c r="A1369" t="s">
        <v>1609</v>
      </c>
      <c r="B1369" t="s">
        <v>600</v>
      </c>
      <c r="C1369" t="s">
        <v>592</v>
      </c>
      <c r="D1369" s="1">
        <v>46224</v>
      </c>
      <c r="E1369">
        <v>96.08</v>
      </c>
      <c r="F1369" s="1">
        <v>46224.771658368052</v>
      </c>
      <c r="G1369" t="s">
        <v>593</v>
      </c>
      <c r="H1369" s="1">
        <v>46224.771658449077</v>
      </c>
      <c r="I1369" t="s">
        <v>593</v>
      </c>
      <c r="J1369" t="s">
        <v>4314</v>
      </c>
    </row>
    <row r="1370" spans="1:10" x14ac:dyDescent="0.35">
      <c r="A1370" t="s">
        <v>1610</v>
      </c>
      <c r="B1370" t="s">
        <v>600</v>
      </c>
      <c r="C1370" t="s">
        <v>592</v>
      </c>
      <c r="D1370" s="1">
        <v>46224</v>
      </c>
      <c r="E1370">
        <v>95.87</v>
      </c>
      <c r="F1370" s="1">
        <v>46224.771670057868</v>
      </c>
      <c r="G1370" t="s">
        <v>593</v>
      </c>
      <c r="H1370" s="1">
        <v>46224.771670104165</v>
      </c>
      <c r="I1370" t="s">
        <v>593</v>
      </c>
      <c r="J1370" t="s">
        <v>4314</v>
      </c>
    </row>
    <row r="1371" spans="1:10" x14ac:dyDescent="0.35">
      <c r="A1371" t="s">
        <v>1611</v>
      </c>
      <c r="B1371" t="s">
        <v>600</v>
      </c>
      <c r="C1371" t="s">
        <v>592</v>
      </c>
      <c r="D1371" s="1">
        <v>46224</v>
      </c>
      <c r="E1371">
        <v>95.915000000000006</v>
      </c>
      <c r="F1371" s="1">
        <v>46224.77167021991</v>
      </c>
      <c r="G1371" t="s">
        <v>593</v>
      </c>
      <c r="H1371" s="1">
        <v>46224.771670104165</v>
      </c>
      <c r="I1371" t="s">
        <v>593</v>
      </c>
      <c r="J1371" t="s">
        <v>4314</v>
      </c>
    </row>
    <row r="1372" spans="1:10" x14ac:dyDescent="0.35">
      <c r="A1372" t="s">
        <v>1612</v>
      </c>
      <c r="B1372" t="s">
        <v>600</v>
      </c>
      <c r="C1372" t="s">
        <v>592</v>
      </c>
      <c r="D1372" s="1">
        <v>46224</v>
      </c>
      <c r="E1372">
        <v>95.93</v>
      </c>
      <c r="F1372" s="1">
        <v>46224.77167037037</v>
      </c>
      <c r="G1372" t="s">
        <v>593</v>
      </c>
      <c r="H1372" s="1">
        <v>46224.771670289352</v>
      </c>
      <c r="I1372" t="s">
        <v>593</v>
      </c>
      <c r="J1372" t="s">
        <v>4314</v>
      </c>
    </row>
    <row r="1373" spans="1:10" x14ac:dyDescent="0.35">
      <c r="A1373" t="s">
        <v>1964</v>
      </c>
      <c r="B1373" t="s">
        <v>600</v>
      </c>
      <c r="C1373" t="s">
        <v>592</v>
      </c>
      <c r="D1373" s="1">
        <v>46224</v>
      </c>
      <c r="E1373">
        <v>102.738281</v>
      </c>
      <c r="F1373" s="1">
        <v>46224.771670520837</v>
      </c>
      <c r="G1373" t="s">
        <v>593</v>
      </c>
      <c r="H1373" s="1">
        <v>46224.771670486109</v>
      </c>
      <c r="I1373" t="s">
        <v>593</v>
      </c>
      <c r="J1373" t="s">
        <v>4314</v>
      </c>
    </row>
    <row r="1374" spans="1:10" x14ac:dyDescent="0.35">
      <c r="A1374" t="s">
        <v>1613</v>
      </c>
      <c r="B1374" t="s">
        <v>600</v>
      </c>
      <c r="C1374" t="s">
        <v>592</v>
      </c>
      <c r="D1374" s="1">
        <v>46224</v>
      </c>
      <c r="E1374">
        <v>102.859375</v>
      </c>
      <c r="F1374" s="1">
        <v>46224.771670682872</v>
      </c>
      <c r="G1374" t="s">
        <v>593</v>
      </c>
      <c r="H1374" s="1">
        <v>46224.771670636575</v>
      </c>
      <c r="I1374" t="s">
        <v>593</v>
      </c>
      <c r="J1374" t="s">
        <v>4314</v>
      </c>
    </row>
    <row r="1375" spans="1:10" x14ac:dyDescent="0.35">
      <c r="A1375" t="s">
        <v>1614</v>
      </c>
      <c r="B1375" t="s">
        <v>600</v>
      </c>
      <c r="C1375" t="s">
        <v>592</v>
      </c>
      <c r="D1375" s="1">
        <v>46224</v>
      </c>
      <c r="E1375">
        <v>102.773438</v>
      </c>
      <c r="F1375" s="1">
        <v>46224.771670833332</v>
      </c>
      <c r="G1375" t="s">
        <v>593</v>
      </c>
      <c r="H1375" s="1">
        <v>46224.771670833332</v>
      </c>
      <c r="I1375" t="s">
        <v>593</v>
      </c>
      <c r="J1375" t="s">
        <v>4314</v>
      </c>
    </row>
    <row r="1376" spans="1:10" x14ac:dyDescent="0.35">
      <c r="A1376" t="s">
        <v>1772</v>
      </c>
      <c r="B1376" t="s">
        <v>600</v>
      </c>
      <c r="C1376" t="s">
        <v>592</v>
      </c>
      <c r="D1376" s="1">
        <v>46224</v>
      </c>
      <c r="E1376">
        <v>108.328125</v>
      </c>
      <c r="F1376" s="1">
        <v>46224.771670949071</v>
      </c>
      <c r="G1376" t="s">
        <v>593</v>
      </c>
      <c r="H1376" s="1">
        <v>46224.771670833332</v>
      </c>
      <c r="I1376" t="s">
        <v>593</v>
      </c>
      <c r="J1376" t="s">
        <v>4314</v>
      </c>
    </row>
    <row r="1377" spans="1:10" x14ac:dyDescent="0.35">
      <c r="A1377" t="s">
        <v>1615</v>
      </c>
      <c r="B1377" t="s">
        <v>600</v>
      </c>
      <c r="C1377" t="s">
        <v>592</v>
      </c>
      <c r="D1377" s="1">
        <v>46224</v>
      </c>
      <c r="E1377">
        <v>108.640625</v>
      </c>
      <c r="F1377" s="1">
        <v>46224.771660381943</v>
      </c>
      <c r="G1377" t="s">
        <v>593</v>
      </c>
      <c r="H1377" s="1">
        <v>46224.771660266204</v>
      </c>
      <c r="I1377" t="s">
        <v>593</v>
      </c>
      <c r="J1377" t="s">
        <v>4314</v>
      </c>
    </row>
    <row r="1378" spans="1:10" x14ac:dyDescent="0.35">
      <c r="A1378" t="s">
        <v>1616</v>
      </c>
      <c r="B1378" t="s">
        <v>600</v>
      </c>
      <c r="C1378" t="s">
        <v>592</v>
      </c>
      <c r="D1378" s="1">
        <v>46224</v>
      </c>
      <c r="E1378">
        <v>108.421875</v>
      </c>
      <c r="F1378" s="1">
        <v>46224.771660532409</v>
      </c>
      <c r="G1378" t="s">
        <v>593</v>
      </c>
      <c r="H1378" s="1">
        <v>46224.771660451392</v>
      </c>
      <c r="I1378" t="s">
        <v>593</v>
      </c>
      <c r="J1378" t="s">
        <v>4314</v>
      </c>
    </row>
    <row r="1379" spans="1:10" x14ac:dyDescent="0.35">
      <c r="A1379" t="s">
        <v>1617</v>
      </c>
      <c r="B1379" t="s">
        <v>600</v>
      </c>
      <c r="C1379" t="s">
        <v>592</v>
      </c>
      <c r="D1379" s="1">
        <v>46224</v>
      </c>
      <c r="E1379">
        <v>106.24</v>
      </c>
      <c r="F1379" s="1">
        <v>46224.771660648148</v>
      </c>
      <c r="G1379" t="s">
        <v>593</v>
      </c>
      <c r="H1379" s="1">
        <v>46224.771660648148</v>
      </c>
      <c r="I1379" t="s">
        <v>593</v>
      </c>
      <c r="J1379" t="s">
        <v>4314</v>
      </c>
    </row>
    <row r="1380" spans="1:10" x14ac:dyDescent="0.35">
      <c r="A1380" t="s">
        <v>1618</v>
      </c>
      <c r="B1380" t="s">
        <v>600</v>
      </c>
      <c r="C1380" t="s">
        <v>592</v>
      </c>
      <c r="D1380" s="1">
        <v>46224</v>
      </c>
      <c r="E1380">
        <v>105.72</v>
      </c>
      <c r="F1380" s="1">
        <v>46224.771660798608</v>
      </c>
      <c r="G1380" t="s">
        <v>593</v>
      </c>
      <c r="H1380" s="1">
        <v>46224.771660844905</v>
      </c>
      <c r="I1380" t="s">
        <v>593</v>
      </c>
      <c r="J1380" t="s">
        <v>4314</v>
      </c>
    </row>
    <row r="1381" spans="1:10" x14ac:dyDescent="0.35">
      <c r="A1381" t="s">
        <v>1773</v>
      </c>
      <c r="B1381" t="s">
        <v>600</v>
      </c>
      <c r="C1381" t="s">
        <v>592</v>
      </c>
      <c r="D1381" s="1">
        <v>46224</v>
      </c>
      <c r="E1381">
        <v>109.5625</v>
      </c>
      <c r="F1381" s="1">
        <v>46224.77166096065</v>
      </c>
      <c r="G1381" t="s">
        <v>593</v>
      </c>
      <c r="H1381" s="1">
        <v>46224.771660995371</v>
      </c>
      <c r="I1381" t="s">
        <v>593</v>
      </c>
      <c r="J1381" t="s">
        <v>4314</v>
      </c>
    </row>
    <row r="1382" spans="1:10" x14ac:dyDescent="0.35">
      <c r="A1382" t="s">
        <v>1646</v>
      </c>
      <c r="B1382" t="s">
        <v>600</v>
      </c>
      <c r="C1382" t="s">
        <v>592</v>
      </c>
      <c r="D1382" s="1">
        <v>46224</v>
      </c>
      <c r="E1382">
        <v>110.375</v>
      </c>
      <c r="F1382" s="1">
        <v>46224.77166111111</v>
      </c>
      <c r="G1382" t="s">
        <v>593</v>
      </c>
      <c r="H1382" s="1">
        <v>46224.771661192128</v>
      </c>
      <c r="I1382" t="s">
        <v>593</v>
      </c>
      <c r="J1382" t="s">
        <v>4314</v>
      </c>
    </row>
    <row r="1383" spans="1:10" x14ac:dyDescent="0.35">
      <c r="A1383" t="s">
        <v>1647</v>
      </c>
      <c r="B1383" t="s">
        <v>600</v>
      </c>
      <c r="C1383" t="s">
        <v>592</v>
      </c>
      <c r="D1383" s="1">
        <v>46224</v>
      </c>
      <c r="E1383">
        <v>109.96875</v>
      </c>
      <c r="F1383" s="1">
        <v>46224.771661261577</v>
      </c>
      <c r="G1383" t="s">
        <v>593</v>
      </c>
      <c r="H1383" s="1">
        <v>46224.771661192128</v>
      </c>
      <c r="I1383" t="s">
        <v>593</v>
      </c>
      <c r="J1383" t="s">
        <v>4314</v>
      </c>
    </row>
    <row r="1384" spans="1:10" x14ac:dyDescent="0.35">
      <c r="A1384" t="s">
        <v>1648</v>
      </c>
      <c r="B1384" t="s">
        <v>600</v>
      </c>
      <c r="C1384" t="s">
        <v>592</v>
      </c>
      <c r="D1384" s="1">
        <v>46224</v>
      </c>
      <c r="E1384">
        <v>110.6875</v>
      </c>
      <c r="F1384" s="1">
        <v>46224.771661423612</v>
      </c>
      <c r="G1384" t="s">
        <v>593</v>
      </c>
      <c r="H1384" s="1">
        <v>46224.771661377315</v>
      </c>
      <c r="I1384" t="s">
        <v>593</v>
      </c>
      <c r="J1384" t="s">
        <v>4314</v>
      </c>
    </row>
    <row r="1385" spans="1:10" x14ac:dyDescent="0.35">
      <c r="A1385" t="s">
        <v>1669</v>
      </c>
      <c r="B1385" t="s">
        <v>600</v>
      </c>
      <c r="C1385" t="s">
        <v>592</v>
      </c>
      <c r="D1385" s="1">
        <v>46224</v>
      </c>
      <c r="E1385">
        <v>110.453125</v>
      </c>
      <c r="F1385" s="1">
        <v>46224.771661574072</v>
      </c>
      <c r="G1385" t="s">
        <v>593</v>
      </c>
      <c r="H1385" s="1">
        <v>46224.771661539351</v>
      </c>
      <c r="I1385" t="s">
        <v>593</v>
      </c>
      <c r="J1385" t="s">
        <v>4314</v>
      </c>
    </row>
    <row r="1386" spans="1:10" x14ac:dyDescent="0.35">
      <c r="A1386" t="s">
        <v>1774</v>
      </c>
      <c r="B1386" t="s">
        <v>600</v>
      </c>
      <c r="C1386" t="s">
        <v>592</v>
      </c>
      <c r="D1386" s="1">
        <v>46224</v>
      </c>
      <c r="E1386">
        <v>111.75</v>
      </c>
      <c r="F1386" s="1">
        <v>46224.771661724539</v>
      </c>
      <c r="G1386" t="s">
        <v>593</v>
      </c>
      <c r="H1386" s="1">
        <v>46224.771661724539</v>
      </c>
      <c r="I1386" t="s">
        <v>593</v>
      </c>
      <c r="J1386" t="s">
        <v>4314</v>
      </c>
    </row>
    <row r="1387" spans="1:10" x14ac:dyDescent="0.35">
      <c r="A1387" t="s">
        <v>1649</v>
      </c>
      <c r="B1387" t="s">
        <v>600</v>
      </c>
      <c r="C1387" t="s">
        <v>592</v>
      </c>
      <c r="D1387" s="1">
        <v>46224</v>
      </c>
      <c r="E1387">
        <v>112.15625</v>
      </c>
      <c r="F1387" s="1">
        <v>46224.771661886574</v>
      </c>
      <c r="G1387" t="s">
        <v>593</v>
      </c>
      <c r="H1387" s="1">
        <v>46224.771661921295</v>
      </c>
      <c r="I1387" t="s">
        <v>593</v>
      </c>
      <c r="J1387" t="s">
        <v>4314</v>
      </c>
    </row>
    <row r="1388" spans="1:10" x14ac:dyDescent="0.35">
      <c r="A1388" t="s">
        <v>1650</v>
      </c>
      <c r="B1388" t="s">
        <v>600</v>
      </c>
      <c r="C1388" t="s">
        <v>592</v>
      </c>
      <c r="D1388" s="1">
        <v>46224</v>
      </c>
      <c r="E1388">
        <v>111.875</v>
      </c>
      <c r="F1388" s="1">
        <v>46224.771662037034</v>
      </c>
      <c r="G1388" t="s">
        <v>593</v>
      </c>
      <c r="H1388" s="1">
        <v>46224.771662118059</v>
      </c>
      <c r="I1388" t="s">
        <v>593</v>
      </c>
      <c r="J1388" t="s">
        <v>4314</v>
      </c>
    </row>
    <row r="1389" spans="1:10" x14ac:dyDescent="0.35">
      <c r="A1389" t="s">
        <v>1670</v>
      </c>
      <c r="B1389" t="s">
        <v>600</v>
      </c>
      <c r="C1389" t="s">
        <v>592</v>
      </c>
      <c r="D1389" s="1">
        <v>46224</v>
      </c>
      <c r="E1389">
        <v>112.41</v>
      </c>
      <c r="F1389" s="1">
        <v>46224.771662187501</v>
      </c>
      <c r="G1389" t="s">
        <v>593</v>
      </c>
      <c r="H1389" s="1">
        <v>46224.771662118059</v>
      </c>
      <c r="I1389" t="s">
        <v>593</v>
      </c>
      <c r="J1389" t="s">
        <v>4314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2D871-1D37-4A0F-A5A3-A6344EA4F470}">
  <sheetPr codeName="Sheet2"/>
  <dimension ref="A1:J1759"/>
  <sheetViews>
    <sheetView topLeftCell="A13" workbookViewId="0">
      <selection activeCell="F33" sqref="F33"/>
    </sheetView>
  </sheetViews>
  <sheetFormatPr defaultRowHeight="14.5" x14ac:dyDescent="0.35"/>
  <cols>
    <col min="1" max="1" width="15.81640625" bestFit="1" customWidth="1"/>
    <col min="2" max="2" width="5.81640625" bestFit="1" customWidth="1"/>
    <col min="3" max="3" width="6.1796875" bestFit="1" customWidth="1"/>
    <col min="4" max="4" width="13.54296875" bestFit="1" customWidth="1"/>
    <col min="5" max="5" width="12.7265625" bestFit="1" customWidth="1"/>
    <col min="6" max="6" width="69.81640625" bestFit="1" customWidth="1"/>
    <col min="7" max="7" width="14.81640625" bestFit="1" customWidth="1"/>
    <col min="8" max="8" width="25.81640625" bestFit="1" customWidth="1"/>
    <col min="9" max="9" width="15.81640625" bestFit="1" customWidth="1"/>
    <col min="10" max="10" width="25.81640625" bestFit="1" customWidth="1"/>
    <col min="11" max="11" width="68" bestFit="1" customWidth="1"/>
    <col min="12" max="12" width="14.81640625" bestFit="1" customWidth="1"/>
    <col min="13" max="13" width="18.7265625" bestFit="1" customWidth="1"/>
    <col min="14" max="14" width="15.81640625" bestFit="1" customWidth="1"/>
    <col min="15" max="15" width="18.7265625" bestFit="1" customWidth="1"/>
  </cols>
  <sheetData>
    <row r="1" spans="1:10" x14ac:dyDescent="0.35">
      <c r="A1" t="s">
        <v>1</v>
      </c>
      <c r="B1" t="s">
        <v>583</v>
      </c>
      <c r="C1" t="s">
        <v>584</v>
      </c>
      <c r="D1" t="s">
        <v>582</v>
      </c>
      <c r="E1" t="s">
        <v>585</v>
      </c>
      <c r="F1" t="s">
        <v>586</v>
      </c>
      <c r="G1" t="s">
        <v>587</v>
      </c>
      <c r="H1" t="s">
        <v>588</v>
      </c>
      <c r="I1" t="s">
        <v>589</v>
      </c>
      <c r="J1" t="s">
        <v>590</v>
      </c>
    </row>
    <row r="2" spans="1:10" x14ac:dyDescent="0.35">
      <c r="A2" t="s">
        <v>1671</v>
      </c>
      <c r="B2" t="s">
        <v>591</v>
      </c>
      <c r="C2" t="s">
        <v>592</v>
      </c>
      <c r="D2" s="1">
        <v>46224</v>
      </c>
      <c r="E2">
        <v>4.6489068772237102E-2</v>
      </c>
      <c r="G2" s="1">
        <v>46224.770132673613</v>
      </c>
      <c r="H2" t="s">
        <v>5588</v>
      </c>
      <c r="I2" s="1">
        <v>46224.770132638892</v>
      </c>
      <c r="J2" t="s">
        <v>5588</v>
      </c>
    </row>
    <row r="3" spans="1:10" x14ac:dyDescent="0.35">
      <c r="A3" t="s">
        <v>595</v>
      </c>
      <c r="B3" t="s">
        <v>591</v>
      </c>
      <c r="C3" t="s">
        <v>592</v>
      </c>
      <c r="D3" s="1">
        <v>46224</v>
      </c>
      <c r="E3">
        <v>4.2577727351684698E-2</v>
      </c>
      <c r="G3" s="1">
        <v>46224.770132673613</v>
      </c>
      <c r="H3" t="s">
        <v>5588</v>
      </c>
      <c r="I3" s="1">
        <v>46224.770132638892</v>
      </c>
      <c r="J3" t="s">
        <v>5588</v>
      </c>
    </row>
    <row r="4" spans="1:10" x14ac:dyDescent="0.35">
      <c r="A4" t="s">
        <v>596</v>
      </c>
      <c r="B4" t="s">
        <v>591</v>
      </c>
      <c r="C4" t="s">
        <v>592</v>
      </c>
      <c r="D4" s="1">
        <v>46224</v>
      </c>
      <c r="E4">
        <v>4.26137536993395E-2</v>
      </c>
      <c r="G4" s="1">
        <v>46224.770132673613</v>
      </c>
      <c r="H4" t="s">
        <v>5588</v>
      </c>
      <c r="I4" s="1">
        <v>46224.770132638892</v>
      </c>
      <c r="J4" t="s">
        <v>5588</v>
      </c>
    </row>
    <row r="5" spans="1:10" x14ac:dyDescent="0.35">
      <c r="A5" t="s">
        <v>597</v>
      </c>
      <c r="B5" t="s">
        <v>591</v>
      </c>
      <c r="C5" t="s">
        <v>592</v>
      </c>
      <c r="D5" s="1">
        <v>46224</v>
      </c>
      <c r="E5">
        <v>4.2740433077871801E-2</v>
      </c>
      <c r="G5" s="1">
        <v>46224.770132673613</v>
      </c>
      <c r="H5" t="s">
        <v>5588</v>
      </c>
      <c r="I5" s="1">
        <v>46224.770132638892</v>
      </c>
      <c r="J5" t="s">
        <v>5588</v>
      </c>
    </row>
    <row r="6" spans="1:10" x14ac:dyDescent="0.35">
      <c r="A6" t="s">
        <v>1672</v>
      </c>
      <c r="B6" t="s">
        <v>591</v>
      </c>
      <c r="C6" t="s">
        <v>592</v>
      </c>
      <c r="D6" s="1">
        <v>46224</v>
      </c>
      <c r="E6">
        <v>5.1358129924163699E-2</v>
      </c>
      <c r="G6" s="1">
        <v>46224.770132673613</v>
      </c>
      <c r="H6" t="s">
        <v>5588</v>
      </c>
      <c r="I6" s="1">
        <v>46224.770132638892</v>
      </c>
      <c r="J6" t="s">
        <v>5588</v>
      </c>
    </row>
    <row r="7" spans="1:10" x14ac:dyDescent="0.35">
      <c r="A7" t="s">
        <v>598</v>
      </c>
      <c r="B7" t="s">
        <v>591</v>
      </c>
      <c r="C7" t="s">
        <v>592</v>
      </c>
      <c r="D7" s="1">
        <v>46224</v>
      </c>
      <c r="E7">
        <v>4.4992273130452898E-2</v>
      </c>
      <c r="G7" s="1">
        <v>46224.770132673613</v>
      </c>
      <c r="H7" t="s">
        <v>5588</v>
      </c>
      <c r="I7" s="1">
        <v>46224.770132638892</v>
      </c>
      <c r="J7" t="s">
        <v>5588</v>
      </c>
    </row>
    <row r="8" spans="1:10" x14ac:dyDescent="0.35">
      <c r="A8" t="s">
        <v>599</v>
      </c>
      <c r="B8" t="s">
        <v>591</v>
      </c>
      <c r="C8" t="s">
        <v>592</v>
      </c>
      <c r="D8" s="1">
        <v>46224</v>
      </c>
      <c r="E8">
        <v>4.5094610106227902E-2</v>
      </c>
      <c r="G8" s="1">
        <v>46224.770132673613</v>
      </c>
      <c r="H8" t="s">
        <v>5588</v>
      </c>
      <c r="I8" s="1">
        <v>46224.770132638892</v>
      </c>
      <c r="J8" t="s">
        <v>5588</v>
      </c>
    </row>
    <row r="9" spans="1:10" x14ac:dyDescent="0.35">
      <c r="A9" t="s">
        <v>1962</v>
      </c>
      <c r="B9" t="s">
        <v>600</v>
      </c>
      <c r="C9" t="s">
        <v>592</v>
      </c>
      <c r="D9" s="1">
        <v>46224</v>
      </c>
      <c r="E9">
        <v>104.238281</v>
      </c>
      <c r="F9" t="s">
        <v>4314</v>
      </c>
      <c r="G9" s="1">
        <v>46224.771787731479</v>
      </c>
      <c r="H9" t="s">
        <v>593</v>
      </c>
      <c r="I9" s="1">
        <v>46224.771787812497</v>
      </c>
      <c r="J9" t="s">
        <v>593</v>
      </c>
    </row>
    <row r="10" spans="1:10" x14ac:dyDescent="0.35">
      <c r="A10" t="s">
        <v>601</v>
      </c>
      <c r="B10" t="s">
        <v>600</v>
      </c>
      <c r="C10" t="s">
        <v>592</v>
      </c>
      <c r="D10" s="1">
        <v>46224</v>
      </c>
      <c r="E10">
        <v>104.332031</v>
      </c>
      <c r="F10" t="s">
        <v>4314</v>
      </c>
      <c r="G10" s="1">
        <v>46224.771787731479</v>
      </c>
      <c r="H10" t="s">
        <v>593</v>
      </c>
      <c r="I10" s="1">
        <v>46224.771787812497</v>
      </c>
      <c r="J10" t="s">
        <v>593</v>
      </c>
    </row>
    <row r="11" spans="1:10" x14ac:dyDescent="0.35">
      <c r="A11" t="s">
        <v>602</v>
      </c>
      <c r="B11" t="s">
        <v>600</v>
      </c>
      <c r="C11" t="s">
        <v>592</v>
      </c>
      <c r="D11" s="1">
        <v>46224</v>
      </c>
      <c r="E11">
        <v>104.285156</v>
      </c>
      <c r="F11" t="s">
        <v>4314</v>
      </c>
      <c r="G11" s="1">
        <v>46224.771787731479</v>
      </c>
      <c r="H11" t="s">
        <v>593</v>
      </c>
      <c r="I11" s="1">
        <v>46224.771787812497</v>
      </c>
      <c r="J11" t="s">
        <v>593</v>
      </c>
    </row>
    <row r="12" spans="1:10" x14ac:dyDescent="0.35">
      <c r="A12" t="s">
        <v>565</v>
      </c>
      <c r="B12" t="s">
        <v>591</v>
      </c>
      <c r="C12" t="s">
        <v>592</v>
      </c>
      <c r="D12" s="1">
        <v>46224</v>
      </c>
      <c r="E12">
        <v>3.6924019706356101E-2</v>
      </c>
      <c r="F12" t="s">
        <v>4315</v>
      </c>
      <c r="G12" s="1">
        <v>46224.771787731479</v>
      </c>
      <c r="H12" t="s">
        <v>593</v>
      </c>
      <c r="I12" s="1">
        <v>46224.771787812497</v>
      </c>
      <c r="J12" t="s">
        <v>593</v>
      </c>
    </row>
    <row r="13" spans="1:10" x14ac:dyDescent="0.35">
      <c r="A13" t="s">
        <v>556</v>
      </c>
      <c r="B13" t="s">
        <v>591</v>
      </c>
      <c r="C13" t="s">
        <v>592</v>
      </c>
      <c r="D13" s="1">
        <v>46224</v>
      </c>
      <c r="E13">
        <v>3.7372657542984501E-2</v>
      </c>
      <c r="F13" t="s">
        <v>4316</v>
      </c>
      <c r="G13" s="1">
        <v>46224.771787731479</v>
      </c>
      <c r="H13" t="s">
        <v>593</v>
      </c>
      <c r="I13" s="1">
        <v>46224.771787812497</v>
      </c>
      <c r="J13" t="s">
        <v>593</v>
      </c>
    </row>
    <row r="14" spans="1:10" x14ac:dyDescent="0.35">
      <c r="A14" t="s">
        <v>566</v>
      </c>
      <c r="B14" t="s">
        <v>591</v>
      </c>
      <c r="C14" t="s">
        <v>592</v>
      </c>
      <c r="D14" s="1">
        <v>46224</v>
      </c>
      <c r="E14">
        <v>3.7815547704349098E-2</v>
      </c>
      <c r="F14" t="s">
        <v>4317</v>
      </c>
      <c r="G14" s="1">
        <v>46224.771787731479</v>
      </c>
      <c r="H14" t="s">
        <v>593</v>
      </c>
      <c r="I14" s="1">
        <v>46224.771787812497</v>
      </c>
      <c r="J14" t="s">
        <v>593</v>
      </c>
    </row>
    <row r="15" spans="1:10" x14ac:dyDescent="0.35">
      <c r="A15" t="s">
        <v>567</v>
      </c>
      <c r="B15" t="s">
        <v>591</v>
      </c>
      <c r="C15" t="s">
        <v>592</v>
      </c>
      <c r="D15" s="1">
        <v>46224</v>
      </c>
      <c r="E15">
        <v>3.8428586585195199E-2</v>
      </c>
      <c r="F15" t="s">
        <v>4318</v>
      </c>
      <c r="G15" s="1">
        <v>46224.771787731479</v>
      </c>
      <c r="H15" t="s">
        <v>593</v>
      </c>
      <c r="I15" s="1">
        <v>46224.771787812497</v>
      </c>
      <c r="J15" t="s">
        <v>593</v>
      </c>
    </row>
    <row r="16" spans="1:10" x14ac:dyDescent="0.35">
      <c r="A16" t="s">
        <v>568</v>
      </c>
      <c r="B16" t="s">
        <v>591</v>
      </c>
      <c r="C16" t="s">
        <v>592</v>
      </c>
      <c r="D16" s="1">
        <v>46224</v>
      </c>
      <c r="E16">
        <v>3.8862044330322497E-2</v>
      </c>
      <c r="F16" t="s">
        <v>4319</v>
      </c>
      <c r="G16" s="1">
        <v>46224.771787731479</v>
      </c>
      <c r="H16" t="s">
        <v>593</v>
      </c>
      <c r="I16" s="1">
        <v>46224.771787812497</v>
      </c>
      <c r="J16" t="s">
        <v>593</v>
      </c>
    </row>
    <row r="17" spans="1:10" x14ac:dyDescent="0.35">
      <c r="A17" t="s">
        <v>557</v>
      </c>
      <c r="B17" t="s">
        <v>591</v>
      </c>
      <c r="C17" t="s">
        <v>592</v>
      </c>
      <c r="D17" s="1">
        <v>46224</v>
      </c>
      <c r="E17">
        <v>3.9483144757020701E-2</v>
      </c>
      <c r="F17" t="s">
        <v>4320</v>
      </c>
      <c r="G17" s="1">
        <v>46224.771787731479</v>
      </c>
      <c r="H17" t="s">
        <v>593</v>
      </c>
      <c r="I17" s="1">
        <v>46224.771787812497</v>
      </c>
      <c r="J17" t="s">
        <v>593</v>
      </c>
    </row>
    <row r="18" spans="1:10" x14ac:dyDescent="0.35">
      <c r="A18" t="s">
        <v>569</v>
      </c>
      <c r="B18" t="s">
        <v>591</v>
      </c>
      <c r="C18" t="s">
        <v>592</v>
      </c>
      <c r="D18" s="1">
        <v>46224</v>
      </c>
      <c r="E18">
        <v>3.956764379621E-2</v>
      </c>
      <c r="F18" t="s">
        <v>4321</v>
      </c>
      <c r="G18" s="1">
        <v>46224.771787731479</v>
      </c>
      <c r="H18" t="s">
        <v>593</v>
      </c>
      <c r="I18" s="1">
        <v>46224.771787812497</v>
      </c>
      <c r="J18" t="s">
        <v>593</v>
      </c>
    </row>
    <row r="19" spans="1:10" x14ac:dyDescent="0.35">
      <c r="A19" t="s">
        <v>570</v>
      </c>
      <c r="B19" t="s">
        <v>591</v>
      </c>
      <c r="C19" t="s">
        <v>592</v>
      </c>
      <c r="D19" s="1">
        <v>46224</v>
      </c>
      <c r="E19">
        <v>3.6216935349063999E-2</v>
      </c>
      <c r="F19" t="s">
        <v>4322</v>
      </c>
      <c r="G19" s="1">
        <v>46224.771787731479</v>
      </c>
      <c r="H19" t="s">
        <v>593</v>
      </c>
      <c r="I19" s="1">
        <v>46224.771787812497</v>
      </c>
      <c r="J19" t="s">
        <v>593</v>
      </c>
    </row>
    <row r="20" spans="1:10" x14ac:dyDescent="0.35">
      <c r="A20" t="s">
        <v>579</v>
      </c>
      <c r="B20" t="s">
        <v>591</v>
      </c>
      <c r="C20" t="s">
        <v>592</v>
      </c>
      <c r="D20" s="1">
        <v>46224</v>
      </c>
      <c r="E20">
        <v>3.6351424683371401E-2</v>
      </c>
      <c r="F20" t="s">
        <v>4323</v>
      </c>
      <c r="G20" s="1">
        <v>46224.771787731479</v>
      </c>
      <c r="H20" t="s">
        <v>593</v>
      </c>
      <c r="I20" s="1">
        <v>46224.771787812497</v>
      </c>
      <c r="J20" t="s">
        <v>593</v>
      </c>
    </row>
    <row r="21" spans="1:10" x14ac:dyDescent="0.35">
      <c r="A21" t="s">
        <v>571</v>
      </c>
      <c r="B21" t="s">
        <v>591</v>
      </c>
      <c r="C21" t="s">
        <v>592</v>
      </c>
      <c r="D21" s="1">
        <v>46224</v>
      </c>
      <c r="E21">
        <v>3.88912799545253E-2</v>
      </c>
      <c r="F21" t="s">
        <v>4324</v>
      </c>
      <c r="G21" s="1">
        <v>46224.771787731479</v>
      </c>
      <c r="H21" t="s">
        <v>593</v>
      </c>
      <c r="I21" s="1">
        <v>46224.771787812497</v>
      </c>
      <c r="J21" t="s">
        <v>593</v>
      </c>
    </row>
    <row r="22" spans="1:10" x14ac:dyDescent="0.35">
      <c r="A22" t="s">
        <v>558</v>
      </c>
      <c r="B22" t="s">
        <v>591</v>
      </c>
      <c r="C22" t="s">
        <v>592</v>
      </c>
      <c r="D22" s="1">
        <v>46224</v>
      </c>
      <c r="E22">
        <v>3.6994025687662198E-2</v>
      </c>
      <c r="F22" t="s">
        <v>4325</v>
      </c>
      <c r="G22" s="1">
        <v>46224.771787731479</v>
      </c>
      <c r="H22" t="s">
        <v>593</v>
      </c>
      <c r="I22" s="1">
        <v>46224.771787812497</v>
      </c>
      <c r="J22" t="s">
        <v>593</v>
      </c>
    </row>
    <row r="23" spans="1:10" x14ac:dyDescent="0.35">
      <c r="A23" t="s">
        <v>572</v>
      </c>
      <c r="B23" t="s">
        <v>591</v>
      </c>
      <c r="C23" t="s">
        <v>592</v>
      </c>
      <c r="D23" s="1">
        <v>46224</v>
      </c>
      <c r="E23">
        <v>3.7155788191601598E-2</v>
      </c>
      <c r="F23" t="s">
        <v>4326</v>
      </c>
      <c r="G23" s="1">
        <v>46224.771787731479</v>
      </c>
      <c r="H23" t="s">
        <v>593</v>
      </c>
      <c r="I23" s="1">
        <v>46224.771787812497</v>
      </c>
      <c r="J23" t="s">
        <v>593</v>
      </c>
    </row>
    <row r="24" spans="1:10" x14ac:dyDescent="0.35">
      <c r="A24" t="s">
        <v>576</v>
      </c>
      <c r="B24" t="s">
        <v>591</v>
      </c>
      <c r="C24" t="s">
        <v>592</v>
      </c>
      <c r="D24" s="1">
        <v>46224</v>
      </c>
      <c r="E24">
        <v>3.7284099434154797E-2</v>
      </c>
      <c r="F24" t="s">
        <v>4327</v>
      </c>
      <c r="G24" s="1">
        <v>46224.771787731479</v>
      </c>
      <c r="H24" t="s">
        <v>593</v>
      </c>
      <c r="I24" s="1">
        <v>46224.771787812497</v>
      </c>
      <c r="J24" t="s">
        <v>593</v>
      </c>
    </row>
    <row r="25" spans="1:10" x14ac:dyDescent="0.35">
      <c r="A25" t="s">
        <v>559</v>
      </c>
      <c r="B25" t="s">
        <v>591</v>
      </c>
      <c r="C25" t="s">
        <v>592</v>
      </c>
      <c r="D25" s="1">
        <v>46224</v>
      </c>
      <c r="E25">
        <v>3.91279540022254E-2</v>
      </c>
      <c r="F25" t="s">
        <v>4328</v>
      </c>
      <c r="G25" s="1">
        <v>46224.771787731479</v>
      </c>
      <c r="H25" t="s">
        <v>593</v>
      </c>
      <c r="I25" s="1">
        <v>46224.771787812497</v>
      </c>
      <c r="J25" t="s">
        <v>593</v>
      </c>
    </row>
    <row r="26" spans="1:10" x14ac:dyDescent="0.35">
      <c r="A26" t="s">
        <v>560</v>
      </c>
      <c r="B26" t="s">
        <v>591</v>
      </c>
      <c r="C26" t="s">
        <v>592</v>
      </c>
      <c r="D26" s="1">
        <v>46224</v>
      </c>
      <c r="E26">
        <v>3.9584615674371999E-2</v>
      </c>
      <c r="F26" t="s">
        <v>4329</v>
      </c>
      <c r="G26" s="1">
        <v>46224.771787731479</v>
      </c>
      <c r="H26" t="s">
        <v>593</v>
      </c>
      <c r="I26" s="1">
        <v>46224.771787812497</v>
      </c>
      <c r="J26" t="s">
        <v>593</v>
      </c>
    </row>
    <row r="27" spans="1:10" x14ac:dyDescent="0.35">
      <c r="A27" t="s">
        <v>573</v>
      </c>
      <c r="B27" t="s">
        <v>591</v>
      </c>
      <c r="C27" t="s">
        <v>592</v>
      </c>
      <c r="D27" s="1">
        <v>46224</v>
      </c>
      <c r="E27">
        <v>3.7402685842989697E-2</v>
      </c>
      <c r="F27" t="s">
        <v>4330</v>
      </c>
      <c r="G27" s="1">
        <v>46224.771787731479</v>
      </c>
      <c r="H27" t="s">
        <v>593</v>
      </c>
      <c r="I27" s="1">
        <v>46224.771787812497</v>
      </c>
      <c r="J27" t="s">
        <v>593</v>
      </c>
    </row>
    <row r="28" spans="1:10" x14ac:dyDescent="0.35">
      <c r="A28" t="s">
        <v>574</v>
      </c>
      <c r="B28" t="s">
        <v>591</v>
      </c>
      <c r="C28" t="s">
        <v>592</v>
      </c>
      <c r="D28" s="1">
        <v>46224</v>
      </c>
      <c r="E28">
        <v>3.7350682921693898E-2</v>
      </c>
      <c r="F28" t="s">
        <v>4331</v>
      </c>
      <c r="G28" s="1">
        <v>46224.771787731479</v>
      </c>
      <c r="H28" t="s">
        <v>593</v>
      </c>
      <c r="I28" s="1">
        <v>46224.771787812497</v>
      </c>
      <c r="J28" t="s">
        <v>593</v>
      </c>
    </row>
    <row r="29" spans="1:10" x14ac:dyDescent="0.35">
      <c r="A29" t="s">
        <v>561</v>
      </c>
      <c r="B29" t="s">
        <v>591</v>
      </c>
      <c r="C29" t="s">
        <v>592</v>
      </c>
      <c r="D29" s="1">
        <v>46224</v>
      </c>
      <c r="E29">
        <v>3.7403076035794403E-2</v>
      </c>
      <c r="F29" t="s">
        <v>4332</v>
      </c>
      <c r="G29" s="1">
        <v>46224.771787731479</v>
      </c>
      <c r="H29" t="s">
        <v>593</v>
      </c>
      <c r="I29" s="1">
        <v>46224.771787812497</v>
      </c>
      <c r="J29" t="s">
        <v>593</v>
      </c>
    </row>
    <row r="30" spans="1:10" x14ac:dyDescent="0.35">
      <c r="A30" t="s">
        <v>562</v>
      </c>
      <c r="B30" t="s">
        <v>591</v>
      </c>
      <c r="C30" t="s">
        <v>592</v>
      </c>
      <c r="D30" s="1">
        <v>46224</v>
      </c>
      <c r="E30">
        <v>3.8095395360567198E-2</v>
      </c>
      <c r="F30" t="s">
        <v>4333</v>
      </c>
      <c r="G30" s="1">
        <v>46224.771787731479</v>
      </c>
      <c r="H30" t="s">
        <v>593</v>
      </c>
      <c r="I30" s="1">
        <v>46224.771787812497</v>
      </c>
      <c r="J30" t="s">
        <v>593</v>
      </c>
    </row>
    <row r="31" spans="1:10" x14ac:dyDescent="0.35">
      <c r="A31" t="s">
        <v>563</v>
      </c>
      <c r="B31" t="s">
        <v>591</v>
      </c>
      <c r="C31" t="s">
        <v>592</v>
      </c>
      <c r="D31" s="1">
        <v>46224</v>
      </c>
      <c r="E31">
        <v>3.8156782312109602E-2</v>
      </c>
      <c r="F31" t="s">
        <v>4334</v>
      </c>
      <c r="G31" s="1">
        <v>46224.771787731479</v>
      </c>
      <c r="H31" t="s">
        <v>593</v>
      </c>
      <c r="I31" s="1">
        <v>46224.771787812497</v>
      </c>
      <c r="J31" t="s">
        <v>593</v>
      </c>
    </row>
    <row r="32" spans="1:10" x14ac:dyDescent="0.35">
      <c r="A32" t="s">
        <v>575</v>
      </c>
      <c r="B32" t="s">
        <v>591</v>
      </c>
      <c r="C32" t="s">
        <v>592</v>
      </c>
      <c r="D32" s="1">
        <v>46224</v>
      </c>
      <c r="E32">
        <v>3.8313186090046997E-2</v>
      </c>
      <c r="F32" t="s">
        <v>4335</v>
      </c>
      <c r="G32" s="1">
        <v>46224.771787731479</v>
      </c>
      <c r="H32" t="s">
        <v>593</v>
      </c>
      <c r="I32" s="1">
        <v>46224.771787812497</v>
      </c>
      <c r="J32" t="s">
        <v>593</v>
      </c>
    </row>
    <row r="33" spans="1:10" x14ac:dyDescent="0.35">
      <c r="A33" t="s">
        <v>1657</v>
      </c>
      <c r="B33" t="s">
        <v>591</v>
      </c>
      <c r="C33" t="s">
        <v>592</v>
      </c>
      <c r="D33" s="1">
        <v>46224</v>
      </c>
      <c r="E33">
        <v>3.8401008645677401E-2</v>
      </c>
      <c r="F33" t="s">
        <v>4336</v>
      </c>
      <c r="G33" s="1">
        <v>46224.771787731479</v>
      </c>
      <c r="H33" t="s">
        <v>593</v>
      </c>
      <c r="I33" s="1">
        <v>46224.771787812497</v>
      </c>
      <c r="J33" t="s">
        <v>593</v>
      </c>
    </row>
    <row r="34" spans="1:10" x14ac:dyDescent="0.35">
      <c r="A34" t="s">
        <v>564</v>
      </c>
      <c r="B34" t="s">
        <v>591</v>
      </c>
      <c r="C34" t="s">
        <v>592</v>
      </c>
      <c r="D34" s="1">
        <v>46224</v>
      </c>
      <c r="E34">
        <v>3.6217659499777198E-2</v>
      </c>
      <c r="F34" t="s">
        <v>4337</v>
      </c>
      <c r="G34" s="1">
        <v>46224.771787731479</v>
      </c>
      <c r="H34" t="s">
        <v>593</v>
      </c>
      <c r="I34" s="1">
        <v>46224.771787812497</v>
      </c>
      <c r="J34" t="s">
        <v>593</v>
      </c>
    </row>
    <row r="35" spans="1:10" x14ac:dyDescent="0.35">
      <c r="A35" t="s">
        <v>581</v>
      </c>
      <c r="B35" t="s">
        <v>591</v>
      </c>
      <c r="C35" t="s">
        <v>592</v>
      </c>
      <c r="D35" s="1">
        <v>46224</v>
      </c>
      <c r="E35">
        <v>3.6750205686336898E-2</v>
      </c>
      <c r="F35" t="s">
        <v>4338</v>
      </c>
      <c r="G35" s="1">
        <v>46224.771787731479</v>
      </c>
      <c r="H35" t="s">
        <v>593</v>
      </c>
      <c r="I35" s="1">
        <v>46224.771787812497</v>
      </c>
      <c r="J35" t="s">
        <v>593</v>
      </c>
    </row>
    <row r="36" spans="1:10" x14ac:dyDescent="0.35">
      <c r="A36" t="s">
        <v>577</v>
      </c>
      <c r="B36" t="s">
        <v>591</v>
      </c>
      <c r="C36" t="s">
        <v>592</v>
      </c>
      <c r="D36" s="1">
        <v>46224</v>
      </c>
      <c r="E36">
        <v>3.7178084784063301E-2</v>
      </c>
      <c r="F36" t="s">
        <v>4339</v>
      </c>
      <c r="G36" s="1">
        <v>46224.771787731479</v>
      </c>
      <c r="H36" t="s">
        <v>593</v>
      </c>
      <c r="I36" s="1">
        <v>46224.771787812497</v>
      </c>
      <c r="J36" t="s">
        <v>593</v>
      </c>
    </row>
    <row r="37" spans="1:10" x14ac:dyDescent="0.35">
      <c r="A37" t="s">
        <v>578</v>
      </c>
      <c r="B37" t="s">
        <v>591</v>
      </c>
      <c r="C37" t="s">
        <v>592</v>
      </c>
      <c r="D37" s="1">
        <v>46224</v>
      </c>
      <c r="E37">
        <v>3.7315625465436798E-2</v>
      </c>
      <c r="F37" t="s">
        <v>4340</v>
      </c>
      <c r="G37" s="1">
        <v>46224.771787731479</v>
      </c>
      <c r="H37" t="s">
        <v>593</v>
      </c>
      <c r="I37" s="1">
        <v>46224.771787812497</v>
      </c>
      <c r="J37" t="s">
        <v>593</v>
      </c>
    </row>
    <row r="38" spans="1:10" x14ac:dyDescent="0.35">
      <c r="A38" t="s">
        <v>580</v>
      </c>
      <c r="B38" t="s">
        <v>591</v>
      </c>
      <c r="C38" t="s">
        <v>592</v>
      </c>
      <c r="D38" s="1">
        <v>46224</v>
      </c>
      <c r="E38">
        <v>3.71331318771548E-2</v>
      </c>
      <c r="F38" t="s">
        <v>4341</v>
      </c>
      <c r="G38" s="1">
        <v>46224.771787731479</v>
      </c>
      <c r="H38" t="s">
        <v>593</v>
      </c>
      <c r="I38" s="1">
        <v>46224.771787812497</v>
      </c>
      <c r="J38" t="s">
        <v>593</v>
      </c>
    </row>
    <row r="39" spans="1:10" x14ac:dyDescent="0.35">
      <c r="A39" t="s">
        <v>1656</v>
      </c>
      <c r="B39" t="s">
        <v>591</v>
      </c>
      <c r="C39" t="s">
        <v>592</v>
      </c>
      <c r="D39" s="1">
        <v>46224</v>
      </c>
      <c r="E39">
        <v>3.7227262788130003E-2</v>
      </c>
      <c r="F39" t="s">
        <v>5589</v>
      </c>
      <c r="G39" s="1">
        <v>46224.775816782407</v>
      </c>
      <c r="H39" t="s">
        <v>593</v>
      </c>
      <c r="I39" s="1">
        <v>46224.775816782407</v>
      </c>
      <c r="J39" t="s">
        <v>593</v>
      </c>
    </row>
    <row r="40" spans="1:10" x14ac:dyDescent="0.35">
      <c r="A40" t="s">
        <v>1661</v>
      </c>
      <c r="B40" t="s">
        <v>591</v>
      </c>
      <c r="C40" t="s">
        <v>592</v>
      </c>
      <c r="D40" s="1">
        <v>46224</v>
      </c>
      <c r="E40">
        <v>3.95002764784032E-2</v>
      </c>
      <c r="F40" t="s">
        <v>4342</v>
      </c>
      <c r="G40" s="1">
        <v>46224.771787731479</v>
      </c>
      <c r="H40" t="s">
        <v>593</v>
      </c>
      <c r="I40" s="1">
        <v>46224.771787812497</v>
      </c>
      <c r="J40" t="s">
        <v>593</v>
      </c>
    </row>
    <row r="41" spans="1:10" x14ac:dyDescent="0.35">
      <c r="A41" t="s">
        <v>1662</v>
      </c>
      <c r="B41" t="s">
        <v>591</v>
      </c>
      <c r="C41" t="s">
        <v>592</v>
      </c>
      <c r="D41" s="1">
        <v>46224</v>
      </c>
      <c r="E41">
        <v>3.8553758514712197E-2</v>
      </c>
      <c r="F41" t="s">
        <v>4343</v>
      </c>
      <c r="G41" s="1">
        <v>46224.771787731479</v>
      </c>
      <c r="H41" t="s">
        <v>593</v>
      </c>
      <c r="I41" s="1">
        <v>46224.771787812497</v>
      </c>
      <c r="J41" t="s">
        <v>593</v>
      </c>
    </row>
    <row r="42" spans="1:10" x14ac:dyDescent="0.35">
      <c r="A42" t="s">
        <v>1746</v>
      </c>
      <c r="B42" t="s">
        <v>591</v>
      </c>
      <c r="C42" t="s">
        <v>592</v>
      </c>
      <c r="D42" s="1">
        <v>46224</v>
      </c>
      <c r="E42">
        <v>3.8655983858648199E-2</v>
      </c>
      <c r="F42" t="s">
        <v>4344</v>
      </c>
      <c r="G42" s="1">
        <v>46224.771787731479</v>
      </c>
      <c r="H42" t="s">
        <v>593</v>
      </c>
      <c r="I42" s="1">
        <v>46224.771787812497</v>
      </c>
      <c r="J42" t="s">
        <v>593</v>
      </c>
    </row>
    <row r="43" spans="1:10" x14ac:dyDescent="0.35">
      <c r="A43" t="s">
        <v>1747</v>
      </c>
      <c r="B43" t="s">
        <v>591</v>
      </c>
      <c r="C43" t="s">
        <v>592</v>
      </c>
      <c r="D43" s="1">
        <v>46224</v>
      </c>
      <c r="E43">
        <v>3.9077908038417201E-2</v>
      </c>
      <c r="F43" t="s">
        <v>4345</v>
      </c>
      <c r="G43" s="1">
        <v>46224.771787731479</v>
      </c>
      <c r="H43" t="s">
        <v>593</v>
      </c>
      <c r="I43" s="1">
        <v>46224.771787812497</v>
      </c>
      <c r="J43" t="s">
        <v>593</v>
      </c>
    </row>
    <row r="44" spans="1:10" x14ac:dyDescent="0.35">
      <c r="A44" t="s">
        <v>1663</v>
      </c>
      <c r="B44" t="s">
        <v>591</v>
      </c>
      <c r="C44" t="s">
        <v>592</v>
      </c>
      <c r="D44" s="1">
        <v>46224</v>
      </c>
      <c r="E44">
        <v>3.7385354659237098E-2</v>
      </c>
      <c r="F44" t="s">
        <v>4346</v>
      </c>
      <c r="G44" s="1">
        <v>46224.771787731479</v>
      </c>
      <c r="H44" t="s">
        <v>593</v>
      </c>
      <c r="I44" s="1">
        <v>46224.771787812497</v>
      </c>
      <c r="J44" t="s">
        <v>593</v>
      </c>
    </row>
    <row r="45" spans="1:10" x14ac:dyDescent="0.35">
      <c r="A45" t="s">
        <v>1751</v>
      </c>
      <c r="B45" t="s">
        <v>591</v>
      </c>
      <c r="C45" t="s">
        <v>592</v>
      </c>
      <c r="D45" s="1">
        <v>46224</v>
      </c>
      <c r="E45">
        <v>3.7422154115514902E-2</v>
      </c>
      <c r="F45" t="s">
        <v>4347</v>
      </c>
      <c r="G45" s="1">
        <v>46224.771787731479</v>
      </c>
      <c r="H45" t="s">
        <v>593</v>
      </c>
      <c r="I45" s="1">
        <v>46224.771787812497</v>
      </c>
      <c r="J45" t="s">
        <v>593</v>
      </c>
    </row>
    <row r="46" spans="1:10" x14ac:dyDescent="0.35">
      <c r="A46" t="s">
        <v>1753</v>
      </c>
      <c r="B46" t="s">
        <v>591</v>
      </c>
      <c r="C46" t="s">
        <v>592</v>
      </c>
      <c r="D46" s="1">
        <v>46224</v>
      </c>
      <c r="E46">
        <v>3.7252171825145702E-2</v>
      </c>
      <c r="F46" t="s">
        <v>4348</v>
      </c>
      <c r="G46" s="1">
        <v>46224.771787731479</v>
      </c>
      <c r="H46" t="s">
        <v>593</v>
      </c>
      <c r="I46" s="1">
        <v>46224.771787812497</v>
      </c>
      <c r="J46" t="s">
        <v>593</v>
      </c>
    </row>
    <row r="47" spans="1:10" x14ac:dyDescent="0.35">
      <c r="A47" t="s">
        <v>1754</v>
      </c>
      <c r="B47" t="s">
        <v>591</v>
      </c>
      <c r="C47" t="s">
        <v>592</v>
      </c>
      <c r="D47" s="1">
        <v>46224</v>
      </c>
      <c r="E47">
        <v>3.7451686890272999E-2</v>
      </c>
      <c r="F47" t="s">
        <v>4349</v>
      </c>
      <c r="G47" s="1">
        <v>46224.771787731479</v>
      </c>
      <c r="H47" t="s">
        <v>593</v>
      </c>
      <c r="I47" s="1">
        <v>46224.771787812497</v>
      </c>
      <c r="J47" t="s">
        <v>593</v>
      </c>
    </row>
    <row r="48" spans="1:10" x14ac:dyDescent="0.35">
      <c r="A48" t="s">
        <v>1748</v>
      </c>
      <c r="B48" t="s">
        <v>591</v>
      </c>
      <c r="C48" t="s">
        <v>592</v>
      </c>
      <c r="D48" s="1">
        <v>46224</v>
      </c>
      <c r="E48">
        <v>4.0100031940343901E-2</v>
      </c>
      <c r="F48" t="s">
        <v>4350</v>
      </c>
      <c r="G48" s="1">
        <v>46224.771787731479</v>
      </c>
      <c r="H48" t="s">
        <v>593</v>
      </c>
      <c r="I48" s="1">
        <v>46224.771787812497</v>
      </c>
      <c r="J48" t="s">
        <v>593</v>
      </c>
    </row>
    <row r="49" spans="1:10" x14ac:dyDescent="0.35">
      <c r="A49" t="s">
        <v>1752</v>
      </c>
      <c r="B49" t="s">
        <v>591</v>
      </c>
      <c r="C49" t="s">
        <v>592</v>
      </c>
      <c r="D49" s="1">
        <v>46224</v>
      </c>
      <c r="E49">
        <v>3.9184443728845303E-2</v>
      </c>
      <c r="F49" t="s">
        <v>4351</v>
      </c>
      <c r="G49" s="1">
        <v>46224.771787731479</v>
      </c>
      <c r="H49" t="s">
        <v>593</v>
      </c>
      <c r="I49" s="1">
        <v>46224.771787812497</v>
      </c>
      <c r="J49" t="s">
        <v>593</v>
      </c>
    </row>
    <row r="50" spans="1:10" x14ac:dyDescent="0.35">
      <c r="A50" t="s">
        <v>1749</v>
      </c>
      <c r="B50" t="s">
        <v>591</v>
      </c>
      <c r="C50" t="s">
        <v>592</v>
      </c>
      <c r="D50" s="1">
        <v>46224</v>
      </c>
      <c r="E50">
        <v>3.8970860778608798E-2</v>
      </c>
      <c r="F50" t="s">
        <v>4352</v>
      </c>
      <c r="G50" s="1">
        <v>46224.771787731479</v>
      </c>
      <c r="H50" t="s">
        <v>593</v>
      </c>
      <c r="I50" s="1">
        <v>46224.771787812497</v>
      </c>
      <c r="J50" t="s">
        <v>593</v>
      </c>
    </row>
    <row r="51" spans="1:10" x14ac:dyDescent="0.35">
      <c r="A51" t="s">
        <v>1968</v>
      </c>
      <c r="B51" t="s">
        <v>591</v>
      </c>
      <c r="C51" t="s">
        <v>592</v>
      </c>
      <c r="D51" s="1">
        <v>46224</v>
      </c>
      <c r="E51">
        <v>3.9712290294906499E-2</v>
      </c>
      <c r="F51" t="s">
        <v>4353</v>
      </c>
      <c r="G51" s="1">
        <v>46224.771787731479</v>
      </c>
      <c r="H51" t="s">
        <v>593</v>
      </c>
      <c r="I51" s="1">
        <v>46224.771787812497</v>
      </c>
      <c r="J51" t="s">
        <v>593</v>
      </c>
    </row>
    <row r="52" spans="1:10" x14ac:dyDescent="0.35">
      <c r="A52" t="s">
        <v>1755</v>
      </c>
      <c r="B52" t="s">
        <v>591</v>
      </c>
      <c r="C52" t="s">
        <v>592</v>
      </c>
      <c r="D52" s="1">
        <v>46224</v>
      </c>
      <c r="E52">
        <v>3.7827972167300099E-2</v>
      </c>
      <c r="F52" t="s">
        <v>4354</v>
      </c>
      <c r="G52" s="1">
        <v>46224.771787731479</v>
      </c>
      <c r="H52" t="s">
        <v>593</v>
      </c>
      <c r="I52" s="1">
        <v>46224.771787812497</v>
      </c>
      <c r="J52" t="s">
        <v>593</v>
      </c>
    </row>
    <row r="53" spans="1:10" x14ac:dyDescent="0.35">
      <c r="A53" t="s">
        <v>1750</v>
      </c>
      <c r="B53" t="s">
        <v>591</v>
      </c>
      <c r="C53" t="s">
        <v>592</v>
      </c>
      <c r="D53" s="1">
        <v>46224</v>
      </c>
      <c r="E53">
        <v>3.7888622719922001E-2</v>
      </c>
      <c r="F53" t="s">
        <v>4355</v>
      </c>
      <c r="G53" s="1">
        <v>46224.771787731479</v>
      </c>
      <c r="H53" t="s">
        <v>593</v>
      </c>
      <c r="I53" s="1">
        <v>46224.771787812497</v>
      </c>
      <c r="J53" t="s">
        <v>593</v>
      </c>
    </row>
    <row r="54" spans="1:10" x14ac:dyDescent="0.35">
      <c r="A54" t="s">
        <v>1777</v>
      </c>
      <c r="B54" t="s">
        <v>591</v>
      </c>
      <c r="C54" t="s">
        <v>592</v>
      </c>
      <c r="D54" s="1">
        <v>46224</v>
      </c>
      <c r="E54">
        <v>3.8193381600301703E-2</v>
      </c>
      <c r="F54" t="s">
        <v>4356</v>
      </c>
      <c r="G54" s="1">
        <v>46224.771787731479</v>
      </c>
      <c r="H54" t="s">
        <v>593</v>
      </c>
      <c r="I54" s="1">
        <v>46224.771787812497</v>
      </c>
      <c r="J54" t="s">
        <v>593</v>
      </c>
    </row>
    <row r="55" spans="1:10" x14ac:dyDescent="0.35">
      <c r="A55" t="s">
        <v>1782</v>
      </c>
      <c r="B55" t="s">
        <v>591</v>
      </c>
      <c r="C55" t="s">
        <v>592</v>
      </c>
      <c r="D55" s="1">
        <v>46224</v>
      </c>
      <c r="E55">
        <v>3.8449058655960898E-2</v>
      </c>
      <c r="F55" t="s">
        <v>4357</v>
      </c>
      <c r="G55" s="1">
        <v>46224.771787731479</v>
      </c>
      <c r="H55" t="s">
        <v>593</v>
      </c>
      <c r="I55" s="1">
        <v>46224.771787812497</v>
      </c>
      <c r="J55" t="s">
        <v>593</v>
      </c>
    </row>
    <row r="56" spans="1:10" x14ac:dyDescent="0.35">
      <c r="A56" t="s">
        <v>1969</v>
      </c>
      <c r="B56" t="s">
        <v>591</v>
      </c>
      <c r="C56" t="s">
        <v>592</v>
      </c>
      <c r="D56" s="1">
        <v>46224</v>
      </c>
      <c r="E56">
        <v>3.8617386404934201E-2</v>
      </c>
      <c r="F56" t="s">
        <v>4358</v>
      </c>
      <c r="G56" s="1">
        <v>46224.771787731479</v>
      </c>
      <c r="H56" t="s">
        <v>593</v>
      </c>
      <c r="I56" s="1">
        <v>46224.771787812497</v>
      </c>
      <c r="J56" t="s">
        <v>593</v>
      </c>
    </row>
    <row r="57" spans="1:10" x14ac:dyDescent="0.35">
      <c r="A57" t="s">
        <v>1967</v>
      </c>
      <c r="B57" t="s">
        <v>591</v>
      </c>
      <c r="C57" t="s">
        <v>592</v>
      </c>
      <c r="D57" s="1">
        <v>46224</v>
      </c>
      <c r="E57">
        <v>4.06860746279172E-2</v>
      </c>
      <c r="F57" t="s">
        <v>4359</v>
      </c>
      <c r="G57" s="1">
        <v>46224.771787731479</v>
      </c>
      <c r="H57" t="s">
        <v>593</v>
      </c>
      <c r="I57" s="1">
        <v>46224.771787812497</v>
      </c>
      <c r="J57" t="s">
        <v>593</v>
      </c>
    </row>
    <row r="58" spans="1:10" x14ac:dyDescent="0.35">
      <c r="A58" t="s">
        <v>1966</v>
      </c>
      <c r="B58" t="s">
        <v>591</v>
      </c>
      <c r="C58" t="s">
        <v>592</v>
      </c>
      <c r="D58" s="1">
        <v>46224</v>
      </c>
      <c r="E58">
        <v>3.9485864529789999E-2</v>
      </c>
      <c r="F58" t="s">
        <v>4360</v>
      </c>
      <c r="G58" s="1">
        <v>46224.771787731479</v>
      </c>
      <c r="H58" t="s">
        <v>593</v>
      </c>
      <c r="I58" s="1">
        <v>46224.771787812497</v>
      </c>
      <c r="J58" t="s">
        <v>593</v>
      </c>
    </row>
    <row r="59" spans="1:10" x14ac:dyDescent="0.35">
      <c r="A59" t="s">
        <v>4211</v>
      </c>
      <c r="B59" t="s">
        <v>591</v>
      </c>
      <c r="C59" t="s">
        <v>592</v>
      </c>
      <c r="D59" s="1">
        <v>46224</v>
      </c>
      <c r="E59">
        <v>3.9641051138887398E-2</v>
      </c>
      <c r="F59" t="s">
        <v>4361</v>
      </c>
      <c r="G59" s="1">
        <v>46224.771787731479</v>
      </c>
      <c r="H59" t="s">
        <v>593</v>
      </c>
      <c r="I59" s="1">
        <v>46224.771787812497</v>
      </c>
      <c r="J59" t="s">
        <v>593</v>
      </c>
    </row>
    <row r="60" spans="1:10" x14ac:dyDescent="0.35">
      <c r="A60" t="s">
        <v>3064</v>
      </c>
      <c r="B60" t="s">
        <v>591</v>
      </c>
      <c r="C60" t="s">
        <v>592</v>
      </c>
      <c r="D60" s="1">
        <v>46224</v>
      </c>
      <c r="E60">
        <v>3.8761402516581001E-2</v>
      </c>
      <c r="F60" t="s">
        <v>4362</v>
      </c>
      <c r="G60" s="1">
        <v>46224.771787731479</v>
      </c>
      <c r="H60" t="s">
        <v>593</v>
      </c>
      <c r="I60" s="1">
        <v>46224.771787812497</v>
      </c>
      <c r="J60" t="s">
        <v>593</v>
      </c>
    </row>
    <row r="61" spans="1:10" x14ac:dyDescent="0.35">
      <c r="A61" t="s">
        <v>4304</v>
      </c>
      <c r="B61" t="s">
        <v>591</v>
      </c>
      <c r="C61" t="s">
        <v>592</v>
      </c>
      <c r="D61" s="1">
        <v>46224</v>
      </c>
      <c r="E61">
        <v>3.8943840474713103E-2</v>
      </c>
      <c r="F61" t="s">
        <v>4363</v>
      </c>
      <c r="G61" s="1">
        <v>46224.771787731479</v>
      </c>
      <c r="H61" t="s">
        <v>593</v>
      </c>
      <c r="I61" s="1">
        <v>46224.771787812497</v>
      </c>
      <c r="J61" t="s">
        <v>593</v>
      </c>
    </row>
    <row r="62" spans="1:10" x14ac:dyDescent="0.35">
      <c r="A62" t="s">
        <v>603</v>
      </c>
      <c r="B62" t="s">
        <v>591</v>
      </c>
      <c r="C62" t="s">
        <v>592</v>
      </c>
      <c r="D62" s="1">
        <v>46224</v>
      </c>
      <c r="E62">
        <v>3.51199803337209E-2</v>
      </c>
      <c r="F62" t="s">
        <v>4364</v>
      </c>
      <c r="G62" s="1">
        <v>46224.771787731479</v>
      </c>
      <c r="H62" t="s">
        <v>593</v>
      </c>
      <c r="I62" s="1">
        <v>46224.771787812497</v>
      </c>
      <c r="J62" t="s">
        <v>593</v>
      </c>
    </row>
    <row r="63" spans="1:10" x14ac:dyDescent="0.35">
      <c r="A63" t="s">
        <v>39</v>
      </c>
      <c r="B63" t="s">
        <v>591</v>
      </c>
      <c r="C63" t="s">
        <v>592</v>
      </c>
      <c r="D63" s="1">
        <v>46224</v>
      </c>
      <c r="E63">
        <v>3.75549074756064E-2</v>
      </c>
      <c r="F63" t="s">
        <v>4365</v>
      </c>
      <c r="G63" s="1">
        <v>46224.771787731479</v>
      </c>
      <c r="H63" t="s">
        <v>593</v>
      </c>
      <c r="I63" s="1">
        <v>46224.771787812497</v>
      </c>
      <c r="J63" t="s">
        <v>593</v>
      </c>
    </row>
    <row r="64" spans="1:10" x14ac:dyDescent="0.35">
      <c r="A64" t="s">
        <v>114</v>
      </c>
      <c r="B64" t="s">
        <v>591</v>
      </c>
      <c r="C64" t="s">
        <v>592</v>
      </c>
      <c r="D64" s="1">
        <v>46224</v>
      </c>
      <c r="E64">
        <v>3.75006339624799E-2</v>
      </c>
      <c r="F64" t="s">
        <v>4366</v>
      </c>
      <c r="G64" s="1">
        <v>46224.771787731479</v>
      </c>
      <c r="H64" t="s">
        <v>593</v>
      </c>
      <c r="I64" s="1">
        <v>46224.771787812497</v>
      </c>
      <c r="J64" t="s">
        <v>593</v>
      </c>
    </row>
    <row r="65" spans="1:10" x14ac:dyDescent="0.35">
      <c r="A65" t="s">
        <v>40</v>
      </c>
      <c r="B65" t="s">
        <v>591</v>
      </c>
      <c r="C65" t="s">
        <v>592</v>
      </c>
      <c r="D65" s="1">
        <v>46224</v>
      </c>
      <c r="E65">
        <v>4.0924728318524797E-2</v>
      </c>
      <c r="F65" t="s">
        <v>4367</v>
      </c>
      <c r="G65" s="1">
        <v>46224.771787731479</v>
      </c>
      <c r="H65" t="s">
        <v>593</v>
      </c>
      <c r="I65" s="1">
        <v>46224.771787812497</v>
      </c>
      <c r="J65" t="s">
        <v>593</v>
      </c>
    </row>
    <row r="66" spans="1:10" x14ac:dyDescent="0.35">
      <c r="A66" t="s">
        <v>13</v>
      </c>
      <c r="B66" t="s">
        <v>591</v>
      </c>
      <c r="C66" t="s">
        <v>592</v>
      </c>
      <c r="D66" s="1">
        <v>46224</v>
      </c>
      <c r="E66">
        <v>4.1664735916780403E-2</v>
      </c>
      <c r="F66" t="s">
        <v>4368</v>
      </c>
      <c r="G66" s="1">
        <v>46224.771787731479</v>
      </c>
      <c r="H66" t="s">
        <v>593</v>
      </c>
      <c r="I66" s="1">
        <v>46224.771787812497</v>
      </c>
      <c r="J66" t="s">
        <v>593</v>
      </c>
    </row>
    <row r="67" spans="1:10" x14ac:dyDescent="0.35">
      <c r="A67" t="s">
        <v>14</v>
      </c>
      <c r="B67" t="s">
        <v>591</v>
      </c>
      <c r="C67" t="s">
        <v>592</v>
      </c>
      <c r="D67" s="1">
        <v>46224</v>
      </c>
      <c r="E67">
        <v>4.26241610967018E-2</v>
      </c>
      <c r="F67" t="s">
        <v>4369</v>
      </c>
      <c r="G67" s="1">
        <v>46224.771787731479</v>
      </c>
      <c r="H67" t="s">
        <v>593</v>
      </c>
      <c r="I67" s="1">
        <v>46224.771787812497</v>
      </c>
      <c r="J67" t="s">
        <v>593</v>
      </c>
    </row>
    <row r="68" spans="1:10" x14ac:dyDescent="0.35">
      <c r="A68" t="s">
        <v>61</v>
      </c>
      <c r="B68" t="s">
        <v>591</v>
      </c>
      <c r="C68" t="s">
        <v>592</v>
      </c>
      <c r="D68" s="1">
        <v>46224</v>
      </c>
      <c r="E68">
        <v>4.2579867540758702E-2</v>
      </c>
      <c r="F68" t="s">
        <v>4370</v>
      </c>
      <c r="G68" s="1">
        <v>46224.771787731479</v>
      </c>
      <c r="H68" t="s">
        <v>593</v>
      </c>
      <c r="I68" s="1">
        <v>46224.771787812497</v>
      </c>
      <c r="J68" t="s">
        <v>593</v>
      </c>
    </row>
    <row r="69" spans="1:10" x14ac:dyDescent="0.35">
      <c r="A69" t="s">
        <v>41</v>
      </c>
      <c r="B69" t="s">
        <v>591</v>
      </c>
      <c r="C69" t="s">
        <v>592</v>
      </c>
      <c r="D69" s="1">
        <v>46224</v>
      </c>
      <c r="E69">
        <v>4.1744101148620399E-2</v>
      </c>
      <c r="F69" t="s">
        <v>4371</v>
      </c>
      <c r="G69" s="1">
        <v>46224.771787731479</v>
      </c>
      <c r="H69" t="s">
        <v>593</v>
      </c>
      <c r="I69" s="1">
        <v>46224.771787812497</v>
      </c>
      <c r="J69" t="s">
        <v>593</v>
      </c>
    </row>
    <row r="70" spans="1:10" x14ac:dyDescent="0.35">
      <c r="A70" t="s">
        <v>115</v>
      </c>
      <c r="B70" t="s">
        <v>591</v>
      </c>
      <c r="C70" t="s">
        <v>592</v>
      </c>
      <c r="D70" s="1">
        <v>46224</v>
      </c>
      <c r="E70">
        <v>4.2934848073900599E-2</v>
      </c>
      <c r="F70" t="s">
        <v>4372</v>
      </c>
      <c r="G70" s="1">
        <v>46224.771787731479</v>
      </c>
      <c r="H70" t="s">
        <v>593</v>
      </c>
      <c r="I70" s="1">
        <v>46224.771787812497</v>
      </c>
      <c r="J70" t="s">
        <v>593</v>
      </c>
    </row>
    <row r="71" spans="1:10" x14ac:dyDescent="0.35">
      <c r="A71" t="s">
        <v>79</v>
      </c>
      <c r="B71" t="s">
        <v>591</v>
      </c>
      <c r="C71" t="s">
        <v>592</v>
      </c>
      <c r="D71" s="1">
        <v>46224</v>
      </c>
      <c r="E71">
        <v>4.3259916029601497E-2</v>
      </c>
      <c r="F71" t="s">
        <v>4373</v>
      </c>
      <c r="G71" s="1">
        <v>46224.771787731479</v>
      </c>
      <c r="H71" t="s">
        <v>593</v>
      </c>
      <c r="I71" s="1">
        <v>46224.771787812497</v>
      </c>
      <c r="J71" t="s">
        <v>593</v>
      </c>
    </row>
    <row r="72" spans="1:10" x14ac:dyDescent="0.35">
      <c r="A72" t="s">
        <v>15</v>
      </c>
      <c r="B72" t="s">
        <v>591</v>
      </c>
      <c r="C72" t="s">
        <v>592</v>
      </c>
      <c r="D72" s="1">
        <v>46224</v>
      </c>
      <c r="E72">
        <v>4.3284704871232801E-2</v>
      </c>
      <c r="F72" t="s">
        <v>4374</v>
      </c>
      <c r="G72" s="1">
        <v>46224.771787731479</v>
      </c>
      <c r="H72" t="s">
        <v>593</v>
      </c>
      <c r="I72" s="1">
        <v>46224.771787812497</v>
      </c>
      <c r="J72" t="s">
        <v>593</v>
      </c>
    </row>
    <row r="73" spans="1:10" x14ac:dyDescent="0.35">
      <c r="A73" t="s">
        <v>62</v>
      </c>
      <c r="B73" t="s">
        <v>591</v>
      </c>
      <c r="C73" t="s">
        <v>592</v>
      </c>
      <c r="D73" s="1">
        <v>46224</v>
      </c>
      <c r="E73">
        <v>4.5149889254161302E-2</v>
      </c>
      <c r="F73" t="s">
        <v>4375</v>
      </c>
      <c r="G73" s="1">
        <v>46224.771787731479</v>
      </c>
      <c r="H73" t="s">
        <v>593</v>
      </c>
      <c r="I73" s="1">
        <v>46224.771787812497</v>
      </c>
      <c r="J73" t="s">
        <v>593</v>
      </c>
    </row>
    <row r="74" spans="1:10" x14ac:dyDescent="0.35">
      <c r="A74" t="s">
        <v>80</v>
      </c>
      <c r="B74" t="s">
        <v>591</v>
      </c>
      <c r="C74" t="s">
        <v>592</v>
      </c>
      <c r="D74" s="1">
        <v>46224</v>
      </c>
      <c r="E74">
        <v>4.6094886292023102E-2</v>
      </c>
      <c r="F74" t="s">
        <v>4376</v>
      </c>
      <c r="G74" s="1">
        <v>46224.771787731479</v>
      </c>
      <c r="H74" t="s">
        <v>593</v>
      </c>
      <c r="I74" s="1">
        <v>46224.771787812497</v>
      </c>
      <c r="J74" t="s">
        <v>593</v>
      </c>
    </row>
    <row r="75" spans="1:10" x14ac:dyDescent="0.35">
      <c r="A75" t="s">
        <v>16</v>
      </c>
      <c r="B75" t="s">
        <v>591</v>
      </c>
      <c r="C75" t="s">
        <v>592</v>
      </c>
      <c r="D75" s="1">
        <v>46224</v>
      </c>
      <c r="E75">
        <v>4.60931085894149E-2</v>
      </c>
      <c r="F75" t="s">
        <v>4377</v>
      </c>
      <c r="G75" s="1">
        <v>46224.771787731479</v>
      </c>
      <c r="H75" t="s">
        <v>593</v>
      </c>
      <c r="I75" s="1">
        <v>46224.771787812497</v>
      </c>
      <c r="J75" t="s">
        <v>593</v>
      </c>
    </row>
    <row r="76" spans="1:10" x14ac:dyDescent="0.35">
      <c r="A76" t="s">
        <v>63</v>
      </c>
      <c r="B76" t="s">
        <v>591</v>
      </c>
      <c r="C76" t="s">
        <v>592</v>
      </c>
      <c r="D76" s="1">
        <v>46224</v>
      </c>
      <c r="E76">
        <v>4.6639884445635597E-2</v>
      </c>
      <c r="F76" t="s">
        <v>4378</v>
      </c>
      <c r="G76" s="1">
        <v>46224.771787731479</v>
      </c>
      <c r="H76" t="s">
        <v>593</v>
      </c>
      <c r="I76" s="1">
        <v>46224.771787812497</v>
      </c>
      <c r="J76" t="s">
        <v>593</v>
      </c>
    </row>
    <row r="77" spans="1:10" x14ac:dyDescent="0.35">
      <c r="A77" t="s">
        <v>116</v>
      </c>
      <c r="B77" t="s">
        <v>591</v>
      </c>
      <c r="C77" t="s">
        <v>592</v>
      </c>
      <c r="D77" s="1">
        <v>46224</v>
      </c>
      <c r="E77">
        <v>4.70222293950898E-2</v>
      </c>
      <c r="F77" t="s">
        <v>4379</v>
      </c>
      <c r="G77" s="1">
        <v>46224.771787731479</v>
      </c>
      <c r="H77" t="s">
        <v>593</v>
      </c>
      <c r="I77" s="1">
        <v>46224.771787812497</v>
      </c>
      <c r="J77" t="s">
        <v>593</v>
      </c>
    </row>
    <row r="78" spans="1:10" x14ac:dyDescent="0.35">
      <c r="A78" t="s">
        <v>17</v>
      </c>
      <c r="B78" t="s">
        <v>591</v>
      </c>
      <c r="C78" t="s">
        <v>592</v>
      </c>
      <c r="D78" s="1">
        <v>46224</v>
      </c>
      <c r="E78">
        <v>4.7709546122179203E-2</v>
      </c>
      <c r="F78" t="s">
        <v>4380</v>
      </c>
      <c r="G78" s="1">
        <v>46224.771787731479</v>
      </c>
      <c r="H78" t="s">
        <v>593</v>
      </c>
      <c r="I78" s="1">
        <v>46224.771787812497</v>
      </c>
      <c r="J78" t="s">
        <v>593</v>
      </c>
    </row>
    <row r="79" spans="1:10" x14ac:dyDescent="0.35">
      <c r="A79" t="s">
        <v>64</v>
      </c>
      <c r="B79" t="s">
        <v>591</v>
      </c>
      <c r="C79" t="s">
        <v>592</v>
      </c>
      <c r="D79" s="1">
        <v>46224</v>
      </c>
      <c r="E79">
        <v>4.8404898435444502E-2</v>
      </c>
      <c r="F79" t="s">
        <v>4381</v>
      </c>
      <c r="G79" s="1">
        <v>46224.771787731479</v>
      </c>
      <c r="H79" t="s">
        <v>593</v>
      </c>
      <c r="I79" s="1">
        <v>46224.771787812497</v>
      </c>
      <c r="J79" t="s">
        <v>593</v>
      </c>
    </row>
    <row r="80" spans="1:10" x14ac:dyDescent="0.35">
      <c r="A80" t="s">
        <v>65</v>
      </c>
      <c r="B80" t="s">
        <v>591</v>
      </c>
      <c r="C80" t="s">
        <v>592</v>
      </c>
      <c r="D80" s="1">
        <v>46224</v>
      </c>
      <c r="E80">
        <v>4.8904896544263603E-2</v>
      </c>
      <c r="F80" t="s">
        <v>4382</v>
      </c>
      <c r="G80" s="1">
        <v>46224.771787731479</v>
      </c>
      <c r="H80" t="s">
        <v>593</v>
      </c>
      <c r="I80" s="1">
        <v>46224.771787812497</v>
      </c>
      <c r="J80" t="s">
        <v>593</v>
      </c>
    </row>
    <row r="81" spans="1:10" x14ac:dyDescent="0.35">
      <c r="A81" t="s">
        <v>42</v>
      </c>
      <c r="B81" t="s">
        <v>591</v>
      </c>
      <c r="C81" t="s">
        <v>592</v>
      </c>
      <c r="D81" s="1">
        <v>46224</v>
      </c>
      <c r="E81">
        <v>4.91848946642503E-2</v>
      </c>
      <c r="F81" t="s">
        <v>4383</v>
      </c>
      <c r="G81" s="1">
        <v>46224.771787731479</v>
      </c>
      <c r="H81" t="s">
        <v>593</v>
      </c>
      <c r="I81" s="1">
        <v>46224.771787812497</v>
      </c>
      <c r="J81" t="s">
        <v>593</v>
      </c>
    </row>
    <row r="82" spans="1:10" x14ac:dyDescent="0.35">
      <c r="A82" t="s">
        <v>43</v>
      </c>
      <c r="B82" t="s">
        <v>591</v>
      </c>
      <c r="C82" t="s">
        <v>592</v>
      </c>
      <c r="D82" s="1">
        <v>46224</v>
      </c>
      <c r="E82">
        <v>4.9384726792062898E-2</v>
      </c>
      <c r="F82" t="s">
        <v>4384</v>
      </c>
      <c r="G82" s="1">
        <v>46224.771787731479</v>
      </c>
      <c r="H82" t="s">
        <v>593</v>
      </c>
      <c r="I82" s="1">
        <v>46224.771787812497</v>
      </c>
      <c r="J82" t="s">
        <v>593</v>
      </c>
    </row>
    <row r="83" spans="1:10" x14ac:dyDescent="0.35">
      <c r="A83" t="s">
        <v>126</v>
      </c>
      <c r="B83" t="s">
        <v>591</v>
      </c>
      <c r="C83" t="s">
        <v>592</v>
      </c>
      <c r="D83" s="1">
        <v>46224</v>
      </c>
      <c r="E83">
        <v>4.9620099112600798E-2</v>
      </c>
      <c r="F83" t="s">
        <v>4385</v>
      </c>
      <c r="G83" s="1">
        <v>46224.771787731479</v>
      </c>
      <c r="H83" t="s">
        <v>593</v>
      </c>
      <c r="I83" s="1">
        <v>46224.771787812497</v>
      </c>
      <c r="J83" t="s">
        <v>593</v>
      </c>
    </row>
    <row r="84" spans="1:10" x14ac:dyDescent="0.35">
      <c r="A84" t="s">
        <v>44</v>
      </c>
      <c r="B84" t="s">
        <v>591</v>
      </c>
      <c r="C84" t="s">
        <v>592</v>
      </c>
      <c r="D84" s="1">
        <v>46224</v>
      </c>
      <c r="E84">
        <v>4.9959825336075299E-2</v>
      </c>
      <c r="F84" t="s">
        <v>4386</v>
      </c>
      <c r="G84" s="1">
        <v>46224.771787731479</v>
      </c>
      <c r="H84" t="s">
        <v>593</v>
      </c>
      <c r="I84" s="1">
        <v>46224.771787812497</v>
      </c>
      <c r="J84" t="s">
        <v>593</v>
      </c>
    </row>
    <row r="85" spans="1:10" x14ac:dyDescent="0.35">
      <c r="A85" t="s">
        <v>127</v>
      </c>
      <c r="B85" t="s">
        <v>591</v>
      </c>
      <c r="C85" t="s">
        <v>592</v>
      </c>
      <c r="D85" s="1">
        <v>46224</v>
      </c>
      <c r="E85">
        <v>5.0194904436619697E-2</v>
      </c>
      <c r="F85" t="s">
        <v>4387</v>
      </c>
      <c r="G85" s="1">
        <v>46224.771787731479</v>
      </c>
      <c r="H85" t="s">
        <v>593</v>
      </c>
      <c r="I85" s="1">
        <v>46224.771787812497</v>
      </c>
      <c r="J85" t="s">
        <v>593</v>
      </c>
    </row>
    <row r="86" spans="1:10" x14ac:dyDescent="0.35">
      <c r="A86" t="s">
        <v>374</v>
      </c>
      <c r="B86" t="s">
        <v>591</v>
      </c>
      <c r="C86" t="s">
        <v>592</v>
      </c>
      <c r="D86" s="1">
        <v>46224</v>
      </c>
      <c r="E86">
        <v>5.0329911079895803E-2</v>
      </c>
      <c r="F86" t="s">
        <v>4388</v>
      </c>
      <c r="G86" s="1">
        <v>46224.771787731479</v>
      </c>
      <c r="H86" t="s">
        <v>593</v>
      </c>
      <c r="I86" s="1">
        <v>46224.771787812497</v>
      </c>
      <c r="J86" t="s">
        <v>593</v>
      </c>
    </row>
    <row r="87" spans="1:10" x14ac:dyDescent="0.35">
      <c r="A87" t="s">
        <v>117</v>
      </c>
      <c r="B87" t="s">
        <v>591</v>
      </c>
      <c r="C87" t="s">
        <v>592</v>
      </c>
      <c r="D87" s="1">
        <v>46224</v>
      </c>
      <c r="E87">
        <v>5.0570048119757398E-2</v>
      </c>
      <c r="F87" t="s">
        <v>4389</v>
      </c>
      <c r="G87" s="1">
        <v>46224.771787731479</v>
      </c>
      <c r="H87" t="s">
        <v>593</v>
      </c>
      <c r="I87" s="1">
        <v>46224.771787812497</v>
      </c>
      <c r="J87" t="s">
        <v>593</v>
      </c>
    </row>
    <row r="88" spans="1:10" x14ac:dyDescent="0.35">
      <c r="A88" t="s">
        <v>18</v>
      </c>
      <c r="B88" t="s">
        <v>591</v>
      </c>
      <c r="C88" t="s">
        <v>592</v>
      </c>
      <c r="D88" s="1">
        <v>46224</v>
      </c>
      <c r="E88">
        <v>5.0724899613160998E-2</v>
      </c>
      <c r="F88" t="s">
        <v>4390</v>
      </c>
      <c r="G88" s="1">
        <v>46224.771787731479</v>
      </c>
      <c r="H88" t="s">
        <v>593</v>
      </c>
      <c r="I88" s="1">
        <v>46224.771787812497</v>
      </c>
      <c r="J88" t="s">
        <v>593</v>
      </c>
    </row>
    <row r="89" spans="1:10" x14ac:dyDescent="0.35">
      <c r="A89" t="s">
        <v>19</v>
      </c>
      <c r="B89" t="s">
        <v>591</v>
      </c>
      <c r="C89" t="s">
        <v>592</v>
      </c>
      <c r="D89" s="1">
        <v>46224</v>
      </c>
      <c r="E89">
        <v>5.0999906700787002E-2</v>
      </c>
      <c r="F89" t="s">
        <v>4391</v>
      </c>
      <c r="G89" s="1">
        <v>46224.771787731479</v>
      </c>
      <c r="H89" t="s">
        <v>593</v>
      </c>
      <c r="I89" s="1">
        <v>46224.771787812497</v>
      </c>
      <c r="J89" t="s">
        <v>593</v>
      </c>
    </row>
    <row r="90" spans="1:10" x14ac:dyDescent="0.35">
      <c r="A90" t="s">
        <v>20</v>
      </c>
      <c r="B90" t="s">
        <v>591</v>
      </c>
      <c r="C90" t="s">
        <v>592</v>
      </c>
      <c r="D90" s="1">
        <v>46224</v>
      </c>
      <c r="E90">
        <v>5.1249905228259798E-2</v>
      </c>
      <c r="F90" t="s">
        <v>4392</v>
      </c>
      <c r="G90" s="1">
        <v>46224.771787731479</v>
      </c>
      <c r="H90" t="s">
        <v>593</v>
      </c>
      <c r="I90" s="1">
        <v>46224.771787812497</v>
      </c>
      <c r="J90" t="s">
        <v>593</v>
      </c>
    </row>
    <row r="91" spans="1:10" x14ac:dyDescent="0.35">
      <c r="A91" t="s">
        <v>45</v>
      </c>
      <c r="B91" t="s">
        <v>591</v>
      </c>
      <c r="C91" t="s">
        <v>592</v>
      </c>
      <c r="D91" s="1">
        <v>46224</v>
      </c>
      <c r="E91">
        <v>5.1434894820403101E-2</v>
      </c>
      <c r="F91" t="s">
        <v>4393</v>
      </c>
      <c r="G91" s="1">
        <v>46224.771787731479</v>
      </c>
      <c r="H91" t="s">
        <v>593</v>
      </c>
      <c r="I91" s="1">
        <v>46224.771787812497</v>
      </c>
      <c r="J91" t="s">
        <v>593</v>
      </c>
    </row>
    <row r="92" spans="1:10" x14ac:dyDescent="0.35">
      <c r="A92" t="s">
        <v>128</v>
      </c>
      <c r="B92" t="s">
        <v>591</v>
      </c>
      <c r="C92" t="s">
        <v>592</v>
      </c>
      <c r="D92" s="1">
        <v>46224</v>
      </c>
      <c r="E92">
        <v>5.1649902292223299E-2</v>
      </c>
      <c r="F92" t="s">
        <v>4394</v>
      </c>
      <c r="G92" s="1">
        <v>46224.771787731479</v>
      </c>
      <c r="H92" t="s">
        <v>593</v>
      </c>
      <c r="I92" s="1">
        <v>46224.771787812497</v>
      </c>
      <c r="J92" t="s">
        <v>593</v>
      </c>
    </row>
    <row r="93" spans="1:10" x14ac:dyDescent="0.35">
      <c r="A93" t="s">
        <v>46</v>
      </c>
      <c r="B93" t="s">
        <v>591</v>
      </c>
      <c r="C93" t="s">
        <v>592</v>
      </c>
      <c r="D93" s="1">
        <v>46224</v>
      </c>
      <c r="E93">
        <v>5.1844891613345302E-2</v>
      </c>
      <c r="F93" t="s">
        <v>4395</v>
      </c>
      <c r="G93" s="1">
        <v>46224.771787731479</v>
      </c>
      <c r="H93" t="s">
        <v>593</v>
      </c>
      <c r="I93" s="1">
        <v>46224.771787812497</v>
      </c>
      <c r="J93" t="s">
        <v>593</v>
      </c>
    </row>
    <row r="94" spans="1:10" x14ac:dyDescent="0.35">
      <c r="A94" t="s">
        <v>81</v>
      </c>
      <c r="B94" t="s">
        <v>591</v>
      </c>
      <c r="C94" t="s">
        <v>592</v>
      </c>
      <c r="D94" s="1">
        <v>46224</v>
      </c>
      <c r="E94">
        <v>5.2014908306488299E-2</v>
      </c>
      <c r="F94" t="s">
        <v>4396</v>
      </c>
      <c r="G94" s="1">
        <v>46224.771787731479</v>
      </c>
      <c r="H94" t="s">
        <v>593</v>
      </c>
      <c r="I94" s="1">
        <v>46224.771787812497</v>
      </c>
      <c r="J94" t="s">
        <v>593</v>
      </c>
    </row>
    <row r="95" spans="1:10" x14ac:dyDescent="0.35">
      <c r="A95" t="s">
        <v>82</v>
      </c>
      <c r="B95" t="s">
        <v>591</v>
      </c>
      <c r="C95" t="s">
        <v>592</v>
      </c>
      <c r="D95" s="1">
        <v>46224</v>
      </c>
      <c r="E95">
        <v>5.2124906977195698E-2</v>
      </c>
      <c r="F95" t="s">
        <v>4397</v>
      </c>
      <c r="G95" s="1">
        <v>46224.771787731479</v>
      </c>
      <c r="H95" t="s">
        <v>593</v>
      </c>
      <c r="I95" s="1">
        <v>46224.771787812497</v>
      </c>
      <c r="J95" t="s">
        <v>593</v>
      </c>
    </row>
    <row r="96" spans="1:10" x14ac:dyDescent="0.35">
      <c r="A96" t="s">
        <v>47</v>
      </c>
      <c r="B96" t="s">
        <v>591</v>
      </c>
      <c r="C96" t="s">
        <v>592</v>
      </c>
      <c r="D96" s="1">
        <v>46224</v>
      </c>
      <c r="E96">
        <v>5.2299896437066298E-2</v>
      </c>
      <c r="F96" t="s">
        <v>4398</v>
      </c>
      <c r="G96" s="1">
        <v>46224.771787731479</v>
      </c>
      <c r="H96" t="s">
        <v>593</v>
      </c>
      <c r="I96" s="1">
        <v>46224.771787812497</v>
      </c>
      <c r="J96" t="s">
        <v>593</v>
      </c>
    </row>
    <row r="97" spans="1:10" x14ac:dyDescent="0.35">
      <c r="A97" t="s">
        <v>83</v>
      </c>
      <c r="B97" t="s">
        <v>591</v>
      </c>
      <c r="C97" t="s">
        <v>592</v>
      </c>
      <c r="D97" s="1">
        <v>46224</v>
      </c>
      <c r="E97">
        <v>5.2429894970056602E-2</v>
      </c>
      <c r="F97" t="s">
        <v>4399</v>
      </c>
      <c r="G97" s="1">
        <v>46224.771787731479</v>
      </c>
      <c r="H97" t="s">
        <v>593</v>
      </c>
      <c r="I97" s="1">
        <v>46224.771787812497</v>
      </c>
      <c r="J97" t="s">
        <v>593</v>
      </c>
    </row>
    <row r="98" spans="1:10" x14ac:dyDescent="0.35">
      <c r="A98" t="s">
        <v>84</v>
      </c>
      <c r="B98" t="s">
        <v>591</v>
      </c>
      <c r="C98" t="s">
        <v>592</v>
      </c>
      <c r="D98" s="1">
        <v>46224</v>
      </c>
      <c r="E98">
        <v>5.2544493524045603E-2</v>
      </c>
      <c r="F98" t="s">
        <v>4400</v>
      </c>
      <c r="G98" s="1">
        <v>46224.771787731479</v>
      </c>
      <c r="H98" t="s">
        <v>593</v>
      </c>
      <c r="I98" s="1">
        <v>46224.771787812497</v>
      </c>
      <c r="J98" t="s">
        <v>593</v>
      </c>
    </row>
    <row r="99" spans="1:10" x14ac:dyDescent="0.35">
      <c r="A99" t="s">
        <v>118</v>
      </c>
      <c r="B99" t="s">
        <v>591</v>
      </c>
      <c r="C99" t="s">
        <v>592</v>
      </c>
      <c r="D99" s="1">
        <v>46224</v>
      </c>
      <c r="E99">
        <v>5.2574901626171101E-2</v>
      </c>
      <c r="F99" t="s">
        <v>4401</v>
      </c>
      <c r="G99" s="1">
        <v>46224.771787731479</v>
      </c>
      <c r="H99" t="s">
        <v>593</v>
      </c>
      <c r="I99" s="1">
        <v>46224.771787812497</v>
      </c>
      <c r="J99" t="s">
        <v>593</v>
      </c>
    </row>
    <row r="100" spans="1:10" x14ac:dyDescent="0.35">
      <c r="A100" t="s">
        <v>119</v>
      </c>
      <c r="B100" t="s">
        <v>591</v>
      </c>
      <c r="C100" t="s">
        <v>592</v>
      </c>
      <c r="D100" s="1">
        <v>46224</v>
      </c>
      <c r="E100">
        <v>5.2699890564064898E-2</v>
      </c>
      <c r="F100" t="s">
        <v>4402</v>
      </c>
      <c r="G100" s="1">
        <v>46224.771787731479</v>
      </c>
      <c r="H100" t="s">
        <v>593</v>
      </c>
      <c r="I100" s="1">
        <v>46224.771787812497</v>
      </c>
      <c r="J100" t="s">
        <v>593</v>
      </c>
    </row>
    <row r="101" spans="1:10" x14ac:dyDescent="0.35">
      <c r="A101" t="s">
        <v>66</v>
      </c>
      <c r="B101" t="s">
        <v>591</v>
      </c>
      <c r="C101" t="s">
        <v>592</v>
      </c>
      <c r="D101" s="1">
        <v>46224</v>
      </c>
      <c r="E101">
        <v>5.2769889092798797E-2</v>
      </c>
      <c r="F101" t="s">
        <v>4403</v>
      </c>
      <c r="G101" s="1">
        <v>46224.771787731479</v>
      </c>
      <c r="H101" t="s">
        <v>593</v>
      </c>
      <c r="I101" s="1">
        <v>46224.771787812497</v>
      </c>
      <c r="J101" t="s">
        <v>593</v>
      </c>
    </row>
    <row r="102" spans="1:10" x14ac:dyDescent="0.35">
      <c r="A102" t="s">
        <v>21</v>
      </c>
      <c r="B102" t="s">
        <v>591</v>
      </c>
      <c r="C102" t="s">
        <v>592</v>
      </c>
      <c r="D102" s="1">
        <v>46224</v>
      </c>
      <c r="E102">
        <v>5.2789606780923003E-2</v>
      </c>
      <c r="F102" t="s">
        <v>4404</v>
      </c>
      <c r="G102" s="1">
        <v>46224.771787731479</v>
      </c>
      <c r="H102" t="s">
        <v>593</v>
      </c>
      <c r="I102" s="1">
        <v>46224.771787812497</v>
      </c>
      <c r="J102" t="s">
        <v>593</v>
      </c>
    </row>
    <row r="103" spans="1:10" x14ac:dyDescent="0.35">
      <c r="A103" t="s">
        <v>85</v>
      </c>
      <c r="B103" t="s">
        <v>591</v>
      </c>
      <c r="C103" t="s">
        <v>592</v>
      </c>
      <c r="D103" s="1">
        <v>46224</v>
      </c>
      <c r="E103">
        <v>5.2814915084817497E-2</v>
      </c>
      <c r="F103" t="s">
        <v>4405</v>
      </c>
      <c r="G103" s="1">
        <v>46224.771787731479</v>
      </c>
      <c r="H103" t="s">
        <v>593</v>
      </c>
      <c r="I103" s="1">
        <v>46224.771787812497</v>
      </c>
      <c r="J103" t="s">
        <v>593</v>
      </c>
    </row>
    <row r="104" spans="1:10" x14ac:dyDescent="0.35">
      <c r="A104" t="s">
        <v>86</v>
      </c>
      <c r="B104" t="s">
        <v>591</v>
      </c>
      <c r="C104" t="s">
        <v>592</v>
      </c>
      <c r="D104" s="1">
        <v>46224</v>
      </c>
      <c r="E104">
        <v>5.2929904690926302E-2</v>
      </c>
      <c r="F104" t="s">
        <v>4406</v>
      </c>
      <c r="G104" s="1">
        <v>46224.771787731479</v>
      </c>
      <c r="H104" t="s">
        <v>593</v>
      </c>
      <c r="I104" s="1">
        <v>46224.771787812497</v>
      </c>
      <c r="J104" t="s">
        <v>593</v>
      </c>
    </row>
    <row r="105" spans="1:10" x14ac:dyDescent="0.35">
      <c r="A105" t="s">
        <v>22</v>
      </c>
      <c r="B105" t="s">
        <v>591</v>
      </c>
      <c r="C105" t="s">
        <v>592</v>
      </c>
      <c r="D105" s="1">
        <v>46224</v>
      </c>
      <c r="E105">
        <v>5.2964912889977699E-2</v>
      </c>
      <c r="F105" t="s">
        <v>4407</v>
      </c>
      <c r="G105" s="1">
        <v>46224.771787731479</v>
      </c>
      <c r="H105" t="s">
        <v>593</v>
      </c>
      <c r="I105" s="1">
        <v>46224.771787812497</v>
      </c>
      <c r="J105" t="s">
        <v>593</v>
      </c>
    </row>
    <row r="106" spans="1:10" x14ac:dyDescent="0.35">
      <c r="A106" t="s">
        <v>67</v>
      </c>
      <c r="B106" t="s">
        <v>591</v>
      </c>
      <c r="C106" t="s">
        <v>592</v>
      </c>
      <c r="D106" s="1">
        <v>46224</v>
      </c>
      <c r="E106">
        <v>5.2994805791772397E-2</v>
      </c>
      <c r="F106" t="s">
        <v>4408</v>
      </c>
      <c r="G106" s="1">
        <v>46224.771787731479</v>
      </c>
      <c r="H106" t="s">
        <v>593</v>
      </c>
      <c r="I106" s="1">
        <v>46224.771787812497</v>
      </c>
      <c r="J106" t="s">
        <v>593</v>
      </c>
    </row>
    <row r="107" spans="1:10" x14ac:dyDescent="0.35">
      <c r="A107" t="s">
        <v>23</v>
      </c>
      <c r="B107" t="s">
        <v>591</v>
      </c>
      <c r="C107" t="s">
        <v>592</v>
      </c>
      <c r="D107" s="1">
        <v>46224</v>
      </c>
      <c r="E107">
        <v>5.3020041942752401E-2</v>
      </c>
      <c r="F107" t="s">
        <v>4409</v>
      </c>
      <c r="G107" s="1">
        <v>46224.771787731479</v>
      </c>
      <c r="H107" t="s">
        <v>593</v>
      </c>
      <c r="I107" s="1">
        <v>46224.771787812497</v>
      </c>
      <c r="J107" t="s">
        <v>593</v>
      </c>
    </row>
    <row r="108" spans="1:10" x14ac:dyDescent="0.35">
      <c r="A108" t="s">
        <v>68</v>
      </c>
      <c r="B108" t="s">
        <v>591</v>
      </c>
      <c r="C108" t="s">
        <v>592</v>
      </c>
      <c r="D108" s="1">
        <v>46224</v>
      </c>
      <c r="E108">
        <v>5.3024927626669001E-2</v>
      </c>
      <c r="F108" t="s">
        <v>4410</v>
      </c>
      <c r="G108" s="1">
        <v>46224.771787731479</v>
      </c>
      <c r="H108" t="s">
        <v>593</v>
      </c>
      <c r="I108" s="1">
        <v>46224.771787812497</v>
      </c>
      <c r="J108" t="s">
        <v>593</v>
      </c>
    </row>
    <row r="109" spans="1:10" x14ac:dyDescent="0.35">
      <c r="A109" t="s">
        <v>87</v>
      </c>
      <c r="B109" t="s">
        <v>591</v>
      </c>
      <c r="C109" t="s">
        <v>592</v>
      </c>
      <c r="D109" s="1">
        <v>46224</v>
      </c>
      <c r="E109">
        <v>5.3044926742811499E-2</v>
      </c>
      <c r="F109" t="s">
        <v>4411</v>
      </c>
      <c r="G109" s="1">
        <v>46224.771787731479</v>
      </c>
      <c r="H109" t="s">
        <v>593</v>
      </c>
      <c r="I109" s="1">
        <v>46224.771787812497</v>
      </c>
      <c r="J109" t="s">
        <v>593</v>
      </c>
    </row>
    <row r="110" spans="1:10" x14ac:dyDescent="0.35">
      <c r="A110" t="s">
        <v>88</v>
      </c>
      <c r="B110" t="s">
        <v>591</v>
      </c>
      <c r="C110" t="s">
        <v>592</v>
      </c>
      <c r="D110" s="1">
        <v>46224</v>
      </c>
      <c r="E110">
        <v>5.3119875842296702E-2</v>
      </c>
      <c r="F110" t="s">
        <v>4412</v>
      </c>
      <c r="G110" s="1">
        <v>46224.771787731479</v>
      </c>
      <c r="H110" t="s">
        <v>593</v>
      </c>
      <c r="I110" s="1">
        <v>46224.771787812497</v>
      </c>
      <c r="J110" t="s">
        <v>593</v>
      </c>
    </row>
    <row r="111" spans="1:10" x14ac:dyDescent="0.35">
      <c r="A111" t="s">
        <v>48</v>
      </c>
      <c r="B111" t="s">
        <v>591</v>
      </c>
      <c r="C111" t="s">
        <v>592</v>
      </c>
      <c r="D111" s="1">
        <v>46224</v>
      </c>
      <c r="E111">
        <v>5.3134885545772802E-2</v>
      </c>
      <c r="F111" t="s">
        <v>4413</v>
      </c>
      <c r="G111" s="1">
        <v>46224.771787731479</v>
      </c>
      <c r="H111" t="s">
        <v>593</v>
      </c>
      <c r="I111" s="1">
        <v>46224.771787812497</v>
      </c>
      <c r="J111" t="s">
        <v>593</v>
      </c>
    </row>
    <row r="112" spans="1:10" x14ac:dyDescent="0.35">
      <c r="A112" t="s">
        <v>69</v>
      </c>
      <c r="B112" t="s">
        <v>591</v>
      </c>
      <c r="C112" t="s">
        <v>592</v>
      </c>
      <c r="D112" s="1">
        <v>46224</v>
      </c>
      <c r="E112">
        <v>5.3149872900028199E-2</v>
      </c>
      <c r="F112" t="s">
        <v>4414</v>
      </c>
      <c r="G112" s="1">
        <v>46224.771787731479</v>
      </c>
      <c r="H112" t="s">
        <v>593</v>
      </c>
      <c r="I112" s="1">
        <v>46224.771787812497</v>
      </c>
      <c r="J112" t="s">
        <v>593</v>
      </c>
    </row>
    <row r="113" spans="1:10" x14ac:dyDescent="0.35">
      <c r="A113" t="s">
        <v>138</v>
      </c>
      <c r="B113" t="s">
        <v>591</v>
      </c>
      <c r="C113" t="s">
        <v>592</v>
      </c>
      <c r="D113" s="1">
        <v>46224</v>
      </c>
      <c r="E113">
        <v>5.3139893743238499E-2</v>
      </c>
      <c r="F113" t="s">
        <v>4415</v>
      </c>
      <c r="G113" s="1">
        <v>46224.771787731479</v>
      </c>
      <c r="H113" t="s">
        <v>593</v>
      </c>
      <c r="I113" s="1">
        <v>46224.771787812497</v>
      </c>
      <c r="J113" t="s">
        <v>593</v>
      </c>
    </row>
    <row r="114" spans="1:10" x14ac:dyDescent="0.35">
      <c r="A114" t="s">
        <v>89</v>
      </c>
      <c r="B114" t="s">
        <v>591</v>
      </c>
      <c r="C114" t="s">
        <v>592</v>
      </c>
      <c r="D114" s="1">
        <v>46224</v>
      </c>
      <c r="E114">
        <v>5.3199892531823799E-2</v>
      </c>
      <c r="F114" t="s">
        <v>4416</v>
      </c>
      <c r="G114" s="1">
        <v>46224.771787731479</v>
      </c>
      <c r="H114" t="s">
        <v>593</v>
      </c>
      <c r="I114" s="1">
        <v>46224.771787812497</v>
      </c>
      <c r="J114" t="s">
        <v>593</v>
      </c>
    </row>
    <row r="115" spans="1:10" x14ac:dyDescent="0.35">
      <c r="A115" t="s">
        <v>120</v>
      </c>
      <c r="B115" t="s">
        <v>591</v>
      </c>
      <c r="C115" t="s">
        <v>592</v>
      </c>
      <c r="D115" s="1">
        <v>46224</v>
      </c>
      <c r="E115">
        <v>5.32049019075862E-2</v>
      </c>
      <c r="F115" t="s">
        <v>4417</v>
      </c>
      <c r="G115" s="1">
        <v>46224.771787731479</v>
      </c>
      <c r="H115" t="s">
        <v>593</v>
      </c>
      <c r="I115" s="1">
        <v>46224.771787812497</v>
      </c>
      <c r="J115" t="s">
        <v>593</v>
      </c>
    </row>
    <row r="116" spans="1:10" x14ac:dyDescent="0.35">
      <c r="A116" t="s">
        <v>375</v>
      </c>
      <c r="B116" t="s">
        <v>591</v>
      </c>
      <c r="C116" t="s">
        <v>592</v>
      </c>
      <c r="D116" s="1">
        <v>46224</v>
      </c>
      <c r="E116">
        <v>5.3219890091237697E-2</v>
      </c>
      <c r="F116" t="s">
        <v>4418</v>
      </c>
      <c r="G116" s="1">
        <v>46224.771787731479</v>
      </c>
      <c r="H116" t="s">
        <v>593</v>
      </c>
      <c r="I116" s="1">
        <v>46224.771787812497</v>
      </c>
      <c r="J116" t="s">
        <v>593</v>
      </c>
    </row>
    <row r="117" spans="1:10" x14ac:dyDescent="0.35">
      <c r="A117" t="s">
        <v>24</v>
      </c>
      <c r="B117" t="s">
        <v>591</v>
      </c>
      <c r="C117" t="s">
        <v>592</v>
      </c>
      <c r="D117" s="1">
        <v>46224</v>
      </c>
      <c r="E117">
        <v>5.3209888878534499E-2</v>
      </c>
      <c r="F117" t="s">
        <v>4419</v>
      </c>
      <c r="G117" s="1">
        <v>46224.771787731479</v>
      </c>
      <c r="H117" t="s">
        <v>593</v>
      </c>
      <c r="I117" s="1">
        <v>46224.771787812497</v>
      </c>
      <c r="J117" t="s">
        <v>593</v>
      </c>
    </row>
    <row r="118" spans="1:10" x14ac:dyDescent="0.35">
      <c r="A118" t="s">
        <v>25</v>
      </c>
      <c r="B118" t="s">
        <v>591</v>
      </c>
      <c r="C118" t="s">
        <v>592</v>
      </c>
      <c r="D118" s="1">
        <v>46224</v>
      </c>
      <c r="E118">
        <v>5.3199928099242698E-2</v>
      </c>
      <c r="F118" t="s">
        <v>4420</v>
      </c>
      <c r="G118" s="1">
        <v>46224.771787731479</v>
      </c>
      <c r="H118" t="s">
        <v>593</v>
      </c>
      <c r="I118" s="1">
        <v>46224.771787812497</v>
      </c>
      <c r="J118" t="s">
        <v>593</v>
      </c>
    </row>
    <row r="119" spans="1:10" x14ac:dyDescent="0.35">
      <c r="A119" t="s">
        <v>26</v>
      </c>
      <c r="B119" t="s">
        <v>591</v>
      </c>
      <c r="C119" t="s">
        <v>592</v>
      </c>
      <c r="D119" s="1">
        <v>46224</v>
      </c>
      <c r="E119">
        <v>5.3199908018597898E-2</v>
      </c>
      <c r="F119" t="s">
        <v>4421</v>
      </c>
      <c r="G119" s="1">
        <v>46224.771787731479</v>
      </c>
      <c r="H119" t="s">
        <v>593</v>
      </c>
      <c r="I119" s="1">
        <v>46224.771787812497</v>
      </c>
      <c r="J119" t="s">
        <v>593</v>
      </c>
    </row>
    <row r="120" spans="1:10" x14ac:dyDescent="0.35">
      <c r="A120" t="s">
        <v>90</v>
      </c>
      <c r="B120" t="s">
        <v>591</v>
      </c>
      <c r="C120" t="s">
        <v>592</v>
      </c>
      <c r="D120" s="1">
        <v>46224</v>
      </c>
      <c r="E120">
        <v>5.3174917068804402E-2</v>
      </c>
      <c r="F120" t="s">
        <v>4422</v>
      </c>
      <c r="G120" s="1">
        <v>46224.771787731479</v>
      </c>
      <c r="H120" t="s">
        <v>593</v>
      </c>
      <c r="I120" s="1">
        <v>46224.771787812497</v>
      </c>
      <c r="J120" t="s">
        <v>593</v>
      </c>
    </row>
    <row r="121" spans="1:10" x14ac:dyDescent="0.35">
      <c r="A121" t="s">
        <v>27</v>
      </c>
      <c r="B121" t="s">
        <v>591</v>
      </c>
      <c r="C121" t="s">
        <v>592</v>
      </c>
      <c r="D121" s="1">
        <v>46224</v>
      </c>
      <c r="E121">
        <v>5.3204916192645002E-2</v>
      </c>
      <c r="F121" t="s">
        <v>4423</v>
      </c>
      <c r="G121" s="1">
        <v>46224.771787731479</v>
      </c>
      <c r="H121" t="s">
        <v>593</v>
      </c>
      <c r="I121" s="1">
        <v>46224.771787812497</v>
      </c>
      <c r="J121" t="s">
        <v>593</v>
      </c>
    </row>
    <row r="122" spans="1:10" x14ac:dyDescent="0.35">
      <c r="A122" t="s">
        <v>28</v>
      </c>
      <c r="B122" t="s">
        <v>591</v>
      </c>
      <c r="C122" t="s">
        <v>592</v>
      </c>
      <c r="D122" s="1">
        <v>46224</v>
      </c>
      <c r="E122">
        <v>5.31246067045551E-2</v>
      </c>
      <c r="F122" t="s">
        <v>4424</v>
      </c>
      <c r="G122" s="1">
        <v>46224.771787731479</v>
      </c>
      <c r="H122" t="s">
        <v>593</v>
      </c>
      <c r="I122" s="1">
        <v>46224.771787812497</v>
      </c>
      <c r="J122" t="s">
        <v>593</v>
      </c>
    </row>
    <row r="123" spans="1:10" x14ac:dyDescent="0.35">
      <c r="A123" t="s">
        <v>121</v>
      </c>
      <c r="B123" t="s">
        <v>591</v>
      </c>
      <c r="C123" t="s">
        <v>592</v>
      </c>
      <c r="D123" s="1">
        <v>46224</v>
      </c>
      <c r="E123">
        <v>5.2944914428074301E-2</v>
      </c>
      <c r="F123" t="s">
        <v>4425</v>
      </c>
      <c r="G123" s="1">
        <v>46224.771787731479</v>
      </c>
      <c r="H123" t="s">
        <v>593</v>
      </c>
      <c r="I123" s="1">
        <v>46224.771787812497</v>
      </c>
      <c r="J123" t="s">
        <v>593</v>
      </c>
    </row>
    <row r="124" spans="1:10" x14ac:dyDescent="0.35">
      <c r="A124" t="s">
        <v>139</v>
      </c>
      <c r="B124" t="s">
        <v>591</v>
      </c>
      <c r="C124" t="s">
        <v>592</v>
      </c>
      <c r="D124" s="1">
        <v>46224</v>
      </c>
      <c r="E124">
        <v>5.3004913547003402E-2</v>
      </c>
      <c r="F124" t="s">
        <v>4426</v>
      </c>
      <c r="G124" s="1">
        <v>46224.771787731479</v>
      </c>
      <c r="H124" t="s">
        <v>593</v>
      </c>
      <c r="I124" s="1">
        <v>46224.771787812497</v>
      </c>
      <c r="J124" t="s">
        <v>593</v>
      </c>
    </row>
    <row r="125" spans="1:10" x14ac:dyDescent="0.35">
      <c r="A125" t="s">
        <v>129</v>
      </c>
      <c r="B125" t="s">
        <v>591</v>
      </c>
      <c r="C125" t="s">
        <v>592</v>
      </c>
      <c r="D125" s="1">
        <v>46224</v>
      </c>
      <c r="E125">
        <v>5.3074912674826003E-2</v>
      </c>
      <c r="F125" t="s">
        <v>4427</v>
      </c>
      <c r="G125" s="1">
        <v>46224.771787731479</v>
      </c>
      <c r="H125" t="s">
        <v>593</v>
      </c>
      <c r="I125" s="1">
        <v>46224.771787812497</v>
      </c>
      <c r="J125" t="s">
        <v>593</v>
      </c>
    </row>
    <row r="126" spans="1:10" x14ac:dyDescent="0.35">
      <c r="A126" t="s">
        <v>91</v>
      </c>
      <c r="B126" t="s">
        <v>591</v>
      </c>
      <c r="C126" t="s">
        <v>592</v>
      </c>
      <c r="D126" s="1">
        <v>46224</v>
      </c>
      <c r="E126">
        <v>5.3109823210562797E-2</v>
      </c>
      <c r="F126" t="s">
        <v>4428</v>
      </c>
      <c r="G126" s="1">
        <v>46224.771787731479</v>
      </c>
      <c r="H126" t="s">
        <v>593</v>
      </c>
      <c r="I126" s="1">
        <v>46224.771787812497</v>
      </c>
      <c r="J126" t="s">
        <v>593</v>
      </c>
    </row>
    <row r="127" spans="1:10" x14ac:dyDescent="0.35">
      <c r="A127" t="s">
        <v>49</v>
      </c>
      <c r="B127" t="s">
        <v>591</v>
      </c>
      <c r="C127" t="s">
        <v>592</v>
      </c>
      <c r="D127" s="1">
        <v>46224</v>
      </c>
      <c r="E127">
        <v>5.3100116379285203E-2</v>
      </c>
      <c r="F127" t="s">
        <v>4429</v>
      </c>
      <c r="G127" s="1">
        <v>46224.771787731479</v>
      </c>
      <c r="H127" t="s">
        <v>593</v>
      </c>
      <c r="I127" s="1">
        <v>46224.771787812497</v>
      </c>
      <c r="J127" t="s">
        <v>593</v>
      </c>
    </row>
    <row r="128" spans="1:10" x14ac:dyDescent="0.35">
      <c r="A128" t="s">
        <v>376</v>
      </c>
      <c r="B128" t="s">
        <v>591</v>
      </c>
      <c r="C128" t="s">
        <v>592</v>
      </c>
      <c r="D128" s="1">
        <v>46224</v>
      </c>
      <c r="E128">
        <v>5.3064910035915798E-2</v>
      </c>
      <c r="F128" t="s">
        <v>4430</v>
      </c>
      <c r="G128" s="1">
        <v>46224.771787731479</v>
      </c>
      <c r="H128" t="s">
        <v>593</v>
      </c>
      <c r="I128" s="1">
        <v>46224.771787812497</v>
      </c>
      <c r="J128" t="s">
        <v>593</v>
      </c>
    </row>
    <row r="129" spans="1:10" x14ac:dyDescent="0.35">
      <c r="A129" t="s">
        <v>29</v>
      </c>
      <c r="B129" t="s">
        <v>591</v>
      </c>
      <c r="C129" t="s">
        <v>592</v>
      </c>
      <c r="D129" s="1">
        <v>46224</v>
      </c>
      <c r="E129">
        <v>5.3034909148353501E-2</v>
      </c>
      <c r="F129" t="s">
        <v>4431</v>
      </c>
      <c r="G129" s="1">
        <v>46224.771787731479</v>
      </c>
      <c r="H129" t="s">
        <v>593</v>
      </c>
      <c r="I129" s="1">
        <v>46224.771787812497</v>
      </c>
      <c r="J129" t="s">
        <v>593</v>
      </c>
    </row>
    <row r="130" spans="1:10" x14ac:dyDescent="0.35">
      <c r="A130" t="s">
        <v>50</v>
      </c>
      <c r="B130" t="s">
        <v>591</v>
      </c>
      <c r="C130" t="s">
        <v>592</v>
      </c>
      <c r="D130" s="1">
        <v>46224</v>
      </c>
      <c r="E130">
        <v>5.2989918743361598E-2</v>
      </c>
      <c r="F130" t="s">
        <v>4432</v>
      </c>
      <c r="G130" s="1">
        <v>46224.771787731479</v>
      </c>
      <c r="H130" t="s">
        <v>593</v>
      </c>
      <c r="I130" s="1">
        <v>46224.771787812497</v>
      </c>
      <c r="J130" t="s">
        <v>593</v>
      </c>
    </row>
    <row r="131" spans="1:10" x14ac:dyDescent="0.35">
      <c r="A131" t="s">
        <v>92</v>
      </c>
      <c r="B131" t="s">
        <v>591</v>
      </c>
      <c r="C131" t="s">
        <v>592</v>
      </c>
      <c r="D131" s="1">
        <v>46224</v>
      </c>
      <c r="E131">
        <v>5.2964989970300601E-2</v>
      </c>
      <c r="F131" t="s">
        <v>4433</v>
      </c>
      <c r="G131" s="1">
        <v>46224.771787731479</v>
      </c>
      <c r="H131" t="s">
        <v>593</v>
      </c>
      <c r="I131" s="1">
        <v>46224.771787812497</v>
      </c>
      <c r="J131" t="s">
        <v>593</v>
      </c>
    </row>
    <row r="132" spans="1:10" x14ac:dyDescent="0.35">
      <c r="A132" t="s">
        <v>70</v>
      </c>
      <c r="B132" t="s">
        <v>591</v>
      </c>
      <c r="C132" t="s">
        <v>592</v>
      </c>
      <c r="D132" s="1">
        <v>46224</v>
      </c>
      <c r="E132">
        <v>5.2909917183986799E-2</v>
      </c>
      <c r="F132" t="s">
        <v>4434</v>
      </c>
      <c r="G132" s="1">
        <v>46224.771787731479</v>
      </c>
      <c r="H132" t="s">
        <v>593</v>
      </c>
      <c r="I132" s="1">
        <v>46224.771787812497</v>
      </c>
      <c r="J132" t="s">
        <v>593</v>
      </c>
    </row>
    <row r="133" spans="1:10" x14ac:dyDescent="0.35">
      <c r="A133" t="s">
        <v>51</v>
      </c>
      <c r="B133" t="s">
        <v>591</v>
      </c>
      <c r="C133" t="s">
        <v>592</v>
      </c>
      <c r="D133" s="1">
        <v>46224</v>
      </c>
      <c r="E133">
        <v>5.2879916400933598E-2</v>
      </c>
      <c r="F133" t="s">
        <v>4435</v>
      </c>
      <c r="G133" s="1">
        <v>46224.771787731479</v>
      </c>
      <c r="H133" t="s">
        <v>593</v>
      </c>
      <c r="I133" s="1">
        <v>46224.771787812497</v>
      </c>
      <c r="J133" t="s">
        <v>593</v>
      </c>
    </row>
    <row r="134" spans="1:10" x14ac:dyDescent="0.35">
      <c r="A134" t="s">
        <v>71</v>
      </c>
      <c r="B134" t="s">
        <v>591</v>
      </c>
      <c r="C134" t="s">
        <v>592</v>
      </c>
      <c r="D134" s="1">
        <v>46224</v>
      </c>
      <c r="E134">
        <v>5.2764925835241901E-2</v>
      </c>
      <c r="F134" t="s">
        <v>4436</v>
      </c>
      <c r="G134" s="1">
        <v>46224.771787731479</v>
      </c>
      <c r="H134" t="s">
        <v>593</v>
      </c>
      <c r="I134" s="1">
        <v>46224.771787812497</v>
      </c>
      <c r="J134" t="s">
        <v>593</v>
      </c>
    </row>
    <row r="135" spans="1:10" x14ac:dyDescent="0.35">
      <c r="A135" t="s">
        <v>30</v>
      </c>
      <c r="B135" t="s">
        <v>591</v>
      </c>
      <c r="C135" t="s">
        <v>592</v>
      </c>
      <c r="D135" s="1">
        <v>46224</v>
      </c>
      <c r="E135">
        <v>5.2724903857916401E-2</v>
      </c>
      <c r="F135" t="s">
        <v>4437</v>
      </c>
      <c r="G135" s="1">
        <v>46224.771787731479</v>
      </c>
      <c r="H135" t="s">
        <v>593</v>
      </c>
      <c r="I135" s="1">
        <v>46224.771787812497</v>
      </c>
      <c r="J135" t="s">
        <v>593</v>
      </c>
    </row>
    <row r="136" spans="1:10" x14ac:dyDescent="0.35">
      <c r="A136" t="s">
        <v>122</v>
      </c>
      <c r="B136" t="s">
        <v>591</v>
      </c>
      <c r="C136" t="s">
        <v>592</v>
      </c>
      <c r="D136" s="1">
        <v>46224</v>
      </c>
      <c r="E136">
        <v>3.4884061776158097E-2</v>
      </c>
      <c r="F136" t="s">
        <v>4438</v>
      </c>
      <c r="G136" s="1">
        <v>46224.771787731479</v>
      </c>
      <c r="H136" t="s">
        <v>593</v>
      </c>
      <c r="I136" s="1">
        <v>46224.771787812497</v>
      </c>
      <c r="J136" t="s">
        <v>593</v>
      </c>
    </row>
    <row r="137" spans="1:10" x14ac:dyDescent="0.35">
      <c r="A137" t="s">
        <v>31</v>
      </c>
      <c r="B137" t="s">
        <v>591</v>
      </c>
      <c r="C137" t="s">
        <v>592</v>
      </c>
      <c r="D137" s="1">
        <v>46224</v>
      </c>
      <c r="E137">
        <v>3.8326971471536797E-2</v>
      </c>
      <c r="F137" t="s">
        <v>4439</v>
      </c>
      <c r="G137" s="1">
        <v>46224.771787731479</v>
      </c>
      <c r="H137" t="s">
        <v>593</v>
      </c>
      <c r="I137" s="1">
        <v>46224.771787812497</v>
      </c>
      <c r="J137" t="s">
        <v>593</v>
      </c>
    </row>
    <row r="138" spans="1:10" x14ac:dyDescent="0.35">
      <c r="A138" t="s">
        <v>93</v>
      </c>
      <c r="B138" t="s">
        <v>591</v>
      </c>
      <c r="C138" t="s">
        <v>592</v>
      </c>
      <c r="D138" s="1">
        <v>46224</v>
      </c>
      <c r="E138">
        <v>3.8068625881732897E-2</v>
      </c>
      <c r="F138" t="s">
        <v>4440</v>
      </c>
      <c r="G138" s="1">
        <v>46224.771787731479</v>
      </c>
      <c r="H138" t="s">
        <v>593</v>
      </c>
      <c r="I138" s="1">
        <v>46224.771787812497</v>
      </c>
      <c r="J138" t="s">
        <v>593</v>
      </c>
    </row>
    <row r="139" spans="1:10" x14ac:dyDescent="0.35">
      <c r="A139" t="s">
        <v>72</v>
      </c>
      <c r="B139" t="s">
        <v>591</v>
      </c>
      <c r="C139" t="s">
        <v>592</v>
      </c>
      <c r="D139" s="1">
        <v>46224</v>
      </c>
      <c r="E139">
        <v>4.1080443230928299E-2</v>
      </c>
      <c r="F139" t="s">
        <v>4441</v>
      </c>
      <c r="G139" s="1">
        <v>46224.771787731479</v>
      </c>
      <c r="H139" t="s">
        <v>593</v>
      </c>
      <c r="I139" s="1">
        <v>46224.771787812497</v>
      </c>
      <c r="J139" t="s">
        <v>593</v>
      </c>
    </row>
    <row r="140" spans="1:10" x14ac:dyDescent="0.35">
      <c r="A140" t="s">
        <v>32</v>
      </c>
      <c r="B140" t="s">
        <v>591</v>
      </c>
      <c r="C140" t="s">
        <v>592</v>
      </c>
      <c r="D140" s="1">
        <v>46224</v>
      </c>
      <c r="E140">
        <v>4.16613598827495E-2</v>
      </c>
      <c r="F140" t="s">
        <v>4442</v>
      </c>
      <c r="G140" s="1">
        <v>46224.771787731479</v>
      </c>
      <c r="H140" t="s">
        <v>593</v>
      </c>
      <c r="I140" s="1">
        <v>46224.771787812497</v>
      </c>
      <c r="J140" t="s">
        <v>593</v>
      </c>
    </row>
    <row r="141" spans="1:10" x14ac:dyDescent="0.35">
      <c r="A141" t="s">
        <v>123</v>
      </c>
      <c r="B141" t="s">
        <v>591</v>
      </c>
      <c r="C141" t="s">
        <v>592</v>
      </c>
      <c r="D141" s="1">
        <v>46224</v>
      </c>
      <c r="E141">
        <v>2.3481995994424899E-2</v>
      </c>
      <c r="F141" t="s">
        <v>4443</v>
      </c>
      <c r="G141" s="1">
        <v>46224.771787731479</v>
      </c>
      <c r="H141" t="s">
        <v>593</v>
      </c>
      <c r="I141" s="1">
        <v>46224.771787812497</v>
      </c>
      <c r="J141" t="s">
        <v>593</v>
      </c>
    </row>
    <row r="142" spans="1:10" x14ac:dyDescent="0.35">
      <c r="A142" t="s">
        <v>94</v>
      </c>
      <c r="B142" t="s">
        <v>591</v>
      </c>
      <c r="C142" t="s">
        <v>592</v>
      </c>
      <c r="D142" s="1">
        <v>46224</v>
      </c>
      <c r="E142">
        <v>4.2614136277378901E-2</v>
      </c>
      <c r="F142" t="s">
        <v>4444</v>
      </c>
      <c r="G142" s="1">
        <v>46224.771787731479</v>
      </c>
      <c r="H142" t="s">
        <v>593</v>
      </c>
      <c r="I142" s="1">
        <v>46224.771787812497</v>
      </c>
      <c r="J142" t="s">
        <v>593</v>
      </c>
    </row>
    <row r="143" spans="1:10" x14ac:dyDescent="0.35">
      <c r="A143" t="s">
        <v>95</v>
      </c>
      <c r="B143" t="s">
        <v>591</v>
      </c>
      <c r="C143" t="s">
        <v>592</v>
      </c>
      <c r="D143" s="1">
        <v>46224</v>
      </c>
      <c r="E143">
        <v>4.2591647534603101E-2</v>
      </c>
      <c r="F143" t="s">
        <v>4445</v>
      </c>
      <c r="G143" s="1">
        <v>46224.771787731479</v>
      </c>
      <c r="H143" t="s">
        <v>593</v>
      </c>
      <c r="I143" s="1">
        <v>46224.771787812497</v>
      </c>
      <c r="J143" t="s">
        <v>593</v>
      </c>
    </row>
    <row r="144" spans="1:10" x14ac:dyDescent="0.35">
      <c r="A144" t="s">
        <v>73</v>
      </c>
      <c r="B144" t="s">
        <v>591</v>
      </c>
      <c r="C144" t="s">
        <v>592</v>
      </c>
      <c r="D144" s="1">
        <v>46224</v>
      </c>
      <c r="E144">
        <v>4.1628648452021202E-2</v>
      </c>
      <c r="F144" t="s">
        <v>4446</v>
      </c>
      <c r="G144" s="1">
        <v>46224.771787731479</v>
      </c>
      <c r="H144" t="s">
        <v>593</v>
      </c>
      <c r="I144" s="1">
        <v>46224.771787812497</v>
      </c>
      <c r="J144" t="s">
        <v>593</v>
      </c>
    </row>
    <row r="145" spans="1:10" x14ac:dyDescent="0.35">
      <c r="A145" t="s">
        <v>74</v>
      </c>
      <c r="B145" t="s">
        <v>591</v>
      </c>
      <c r="C145" t="s">
        <v>592</v>
      </c>
      <c r="D145" s="1">
        <v>46224</v>
      </c>
      <c r="E145">
        <v>2.1573006505539699E-2</v>
      </c>
      <c r="F145" t="s">
        <v>4447</v>
      </c>
      <c r="G145" s="1">
        <v>46224.771787731479</v>
      </c>
      <c r="H145" t="s">
        <v>593</v>
      </c>
      <c r="I145" s="1">
        <v>46224.771787812497</v>
      </c>
      <c r="J145" t="s">
        <v>593</v>
      </c>
    </row>
    <row r="146" spans="1:10" x14ac:dyDescent="0.35">
      <c r="A146" t="s">
        <v>52</v>
      </c>
      <c r="B146" t="s">
        <v>591</v>
      </c>
      <c r="C146" t="s">
        <v>592</v>
      </c>
      <c r="D146" s="1">
        <v>46224</v>
      </c>
      <c r="E146">
        <v>4.2825256927403403E-2</v>
      </c>
      <c r="F146" t="s">
        <v>4448</v>
      </c>
      <c r="G146" s="1">
        <v>46224.771787731479</v>
      </c>
      <c r="H146" t="s">
        <v>593</v>
      </c>
      <c r="I146" s="1">
        <v>46224.771787812497</v>
      </c>
      <c r="J146" t="s">
        <v>593</v>
      </c>
    </row>
    <row r="147" spans="1:10" x14ac:dyDescent="0.35">
      <c r="A147" t="s">
        <v>53</v>
      </c>
      <c r="B147" t="s">
        <v>591</v>
      </c>
      <c r="C147" t="s">
        <v>592</v>
      </c>
      <c r="D147" s="1">
        <v>46224</v>
      </c>
      <c r="E147">
        <v>4.3219940882360801E-2</v>
      </c>
      <c r="F147" t="s">
        <v>4449</v>
      </c>
      <c r="G147" s="1">
        <v>46224.771787731479</v>
      </c>
      <c r="H147" t="s">
        <v>593</v>
      </c>
      <c r="I147" s="1">
        <v>46224.771787812497</v>
      </c>
      <c r="J147" t="s">
        <v>593</v>
      </c>
    </row>
    <row r="148" spans="1:10" x14ac:dyDescent="0.35">
      <c r="A148" t="s">
        <v>75</v>
      </c>
      <c r="B148" t="s">
        <v>591</v>
      </c>
      <c r="C148" t="s">
        <v>592</v>
      </c>
      <c r="D148" s="1">
        <v>46224</v>
      </c>
      <c r="E148">
        <v>4.3307739050199398E-2</v>
      </c>
      <c r="F148" t="s">
        <v>4450</v>
      </c>
      <c r="G148" s="1">
        <v>46224.771787731479</v>
      </c>
      <c r="H148" t="s">
        <v>593</v>
      </c>
      <c r="I148" s="1">
        <v>46224.771787812497</v>
      </c>
      <c r="J148" t="s">
        <v>593</v>
      </c>
    </row>
    <row r="149" spans="1:10" x14ac:dyDescent="0.35">
      <c r="A149" t="s">
        <v>76</v>
      </c>
      <c r="B149" t="s">
        <v>591</v>
      </c>
      <c r="C149" t="s">
        <v>592</v>
      </c>
      <c r="D149" s="1">
        <v>46224</v>
      </c>
      <c r="E149">
        <v>2.09829560225776E-2</v>
      </c>
      <c r="F149" t="s">
        <v>4451</v>
      </c>
      <c r="G149" s="1">
        <v>46224.771787731479</v>
      </c>
      <c r="H149" t="s">
        <v>593</v>
      </c>
      <c r="I149" s="1">
        <v>46224.771787812497</v>
      </c>
      <c r="J149" t="s">
        <v>593</v>
      </c>
    </row>
    <row r="150" spans="1:10" x14ac:dyDescent="0.35">
      <c r="A150" t="s">
        <v>140</v>
      </c>
      <c r="B150" t="s">
        <v>591</v>
      </c>
      <c r="C150" t="s">
        <v>592</v>
      </c>
      <c r="D150" s="1">
        <v>46224</v>
      </c>
      <c r="E150">
        <v>4.5219544414949901E-2</v>
      </c>
      <c r="F150" t="s">
        <v>4452</v>
      </c>
      <c r="G150" s="1">
        <v>46224.771787731479</v>
      </c>
      <c r="H150" t="s">
        <v>593</v>
      </c>
      <c r="I150" s="1">
        <v>46224.771787812497</v>
      </c>
      <c r="J150" t="s">
        <v>593</v>
      </c>
    </row>
    <row r="151" spans="1:10" x14ac:dyDescent="0.35">
      <c r="A151" t="s">
        <v>54</v>
      </c>
      <c r="B151" t="s">
        <v>591</v>
      </c>
      <c r="C151" t="s">
        <v>592</v>
      </c>
      <c r="D151" s="1">
        <v>46224</v>
      </c>
      <c r="E151">
        <v>3.2147462711402702E-2</v>
      </c>
      <c r="F151" t="s">
        <v>4453</v>
      </c>
      <c r="G151" s="1">
        <v>46224.771787731479</v>
      </c>
      <c r="H151" t="s">
        <v>593</v>
      </c>
      <c r="I151" s="1">
        <v>46224.771787812497</v>
      </c>
      <c r="J151" t="s">
        <v>593</v>
      </c>
    </row>
    <row r="152" spans="1:10" x14ac:dyDescent="0.35">
      <c r="A152" t="s">
        <v>96</v>
      </c>
      <c r="B152" t="s">
        <v>591</v>
      </c>
      <c r="C152" t="s">
        <v>592</v>
      </c>
      <c r="D152" s="1">
        <v>46224</v>
      </c>
      <c r="E152">
        <v>4.6017373862354403E-2</v>
      </c>
      <c r="F152" t="s">
        <v>4454</v>
      </c>
      <c r="G152" s="1">
        <v>46224.771787731479</v>
      </c>
      <c r="H152" t="s">
        <v>593</v>
      </c>
      <c r="I152" s="1">
        <v>46224.771787812497</v>
      </c>
      <c r="J152" t="s">
        <v>593</v>
      </c>
    </row>
    <row r="153" spans="1:10" x14ac:dyDescent="0.35">
      <c r="A153" t="s">
        <v>77</v>
      </c>
      <c r="B153" t="s">
        <v>591</v>
      </c>
      <c r="C153" t="s">
        <v>592</v>
      </c>
      <c r="D153" s="1">
        <v>46224</v>
      </c>
      <c r="E153">
        <v>4.6014388042317701E-2</v>
      </c>
      <c r="F153" t="s">
        <v>4455</v>
      </c>
      <c r="G153" s="1">
        <v>46224.771787731479</v>
      </c>
      <c r="H153" t="s">
        <v>593</v>
      </c>
      <c r="I153" s="1">
        <v>46224.771787812497</v>
      </c>
      <c r="J153" t="s">
        <v>593</v>
      </c>
    </row>
    <row r="154" spans="1:10" x14ac:dyDescent="0.35">
      <c r="A154" t="s">
        <v>130</v>
      </c>
      <c r="B154" t="s">
        <v>591</v>
      </c>
      <c r="C154" t="s">
        <v>592</v>
      </c>
      <c r="D154" s="1">
        <v>46224</v>
      </c>
      <c r="E154">
        <v>2.3681059209705799E-2</v>
      </c>
      <c r="F154" t="s">
        <v>4456</v>
      </c>
      <c r="G154" s="1">
        <v>46224.771787731479</v>
      </c>
      <c r="H154" t="s">
        <v>593</v>
      </c>
      <c r="I154" s="1">
        <v>46224.771787812497</v>
      </c>
      <c r="J154" t="s">
        <v>593</v>
      </c>
    </row>
    <row r="155" spans="1:10" x14ac:dyDescent="0.35">
      <c r="A155" t="s">
        <v>33</v>
      </c>
      <c r="B155" t="s">
        <v>591</v>
      </c>
      <c r="C155" t="s">
        <v>592</v>
      </c>
      <c r="D155" s="1">
        <v>46224</v>
      </c>
      <c r="E155">
        <v>4.6530953421083598E-2</v>
      </c>
      <c r="F155" t="s">
        <v>4457</v>
      </c>
      <c r="G155" s="1">
        <v>46224.771787731479</v>
      </c>
      <c r="H155" t="s">
        <v>593</v>
      </c>
      <c r="I155" s="1">
        <v>46224.771787812497</v>
      </c>
      <c r="J155" t="s">
        <v>593</v>
      </c>
    </row>
    <row r="156" spans="1:10" x14ac:dyDescent="0.35">
      <c r="A156" t="s">
        <v>131</v>
      </c>
      <c r="B156" t="s">
        <v>591</v>
      </c>
      <c r="C156" t="s">
        <v>592</v>
      </c>
      <c r="D156" s="1">
        <v>46224</v>
      </c>
      <c r="E156">
        <v>4.6816893859127899E-2</v>
      </c>
      <c r="F156" t="s">
        <v>4458</v>
      </c>
      <c r="G156" s="1">
        <v>46224.771787731479</v>
      </c>
      <c r="H156" t="s">
        <v>593</v>
      </c>
      <c r="I156" s="1">
        <v>46224.771787812497</v>
      </c>
      <c r="J156" t="s">
        <v>593</v>
      </c>
    </row>
    <row r="157" spans="1:10" x14ac:dyDescent="0.35">
      <c r="A157" t="s">
        <v>55</v>
      </c>
      <c r="B157" t="s">
        <v>591</v>
      </c>
      <c r="C157" t="s">
        <v>592</v>
      </c>
      <c r="D157" s="1">
        <v>46224</v>
      </c>
      <c r="E157">
        <v>2.1423746842286501E-2</v>
      </c>
      <c r="F157" t="s">
        <v>4459</v>
      </c>
      <c r="G157" s="1">
        <v>46224.771787731479</v>
      </c>
      <c r="H157" t="s">
        <v>593</v>
      </c>
      <c r="I157" s="1">
        <v>46224.771787812497</v>
      </c>
      <c r="J157" t="s">
        <v>593</v>
      </c>
    </row>
    <row r="158" spans="1:10" x14ac:dyDescent="0.35">
      <c r="A158" t="s">
        <v>124</v>
      </c>
      <c r="B158" t="s">
        <v>591</v>
      </c>
      <c r="C158" t="s">
        <v>592</v>
      </c>
      <c r="D158" s="1">
        <v>46224</v>
      </c>
      <c r="E158">
        <v>4.7451818011798E-2</v>
      </c>
      <c r="F158" t="s">
        <v>4460</v>
      </c>
      <c r="G158" s="1">
        <v>46224.771787731479</v>
      </c>
      <c r="H158" t="s">
        <v>593</v>
      </c>
      <c r="I158" s="1">
        <v>46224.771787812497</v>
      </c>
      <c r="J158" t="s">
        <v>593</v>
      </c>
    </row>
    <row r="159" spans="1:10" x14ac:dyDescent="0.35">
      <c r="A159" t="s">
        <v>132</v>
      </c>
      <c r="B159" t="s">
        <v>591</v>
      </c>
      <c r="C159" t="s">
        <v>592</v>
      </c>
      <c r="D159" s="1">
        <v>46224</v>
      </c>
      <c r="E159">
        <v>4.7967685838699002E-2</v>
      </c>
      <c r="F159" t="s">
        <v>4461</v>
      </c>
      <c r="G159" s="1">
        <v>46224.771787731479</v>
      </c>
      <c r="H159" t="s">
        <v>593</v>
      </c>
      <c r="I159" s="1">
        <v>46224.771787812497</v>
      </c>
      <c r="J159" t="s">
        <v>593</v>
      </c>
    </row>
    <row r="160" spans="1:10" x14ac:dyDescent="0.35">
      <c r="A160" t="s">
        <v>56</v>
      </c>
      <c r="B160" t="s">
        <v>591</v>
      </c>
      <c r="C160" t="s">
        <v>592</v>
      </c>
      <c r="D160" s="1">
        <v>46224</v>
      </c>
      <c r="E160">
        <v>4.8331766083501503E-2</v>
      </c>
      <c r="F160" t="s">
        <v>4462</v>
      </c>
      <c r="G160" s="1">
        <v>46224.771787731479</v>
      </c>
      <c r="H160" t="s">
        <v>593</v>
      </c>
      <c r="I160" s="1">
        <v>46224.771787812497</v>
      </c>
      <c r="J160" t="s">
        <v>593</v>
      </c>
    </row>
    <row r="161" spans="1:10" x14ac:dyDescent="0.35">
      <c r="A161" t="s">
        <v>78</v>
      </c>
      <c r="B161" t="s">
        <v>591</v>
      </c>
      <c r="C161" t="s">
        <v>592</v>
      </c>
      <c r="D161" s="1">
        <v>46224</v>
      </c>
      <c r="E161">
        <v>4.8565341488542101E-2</v>
      </c>
      <c r="F161" t="s">
        <v>4463</v>
      </c>
      <c r="G161" s="1">
        <v>46224.771787731479</v>
      </c>
      <c r="H161" t="s">
        <v>593</v>
      </c>
      <c r="I161" s="1">
        <v>46224.771787812497</v>
      </c>
      <c r="J161" t="s">
        <v>593</v>
      </c>
    </row>
    <row r="162" spans="1:10" x14ac:dyDescent="0.35">
      <c r="A162" t="s">
        <v>161</v>
      </c>
      <c r="B162" t="s">
        <v>591</v>
      </c>
      <c r="C162" t="s">
        <v>592</v>
      </c>
      <c r="D162" s="1">
        <v>46224</v>
      </c>
      <c r="E162">
        <v>4.86990864191304E-2</v>
      </c>
      <c r="F162" t="s">
        <v>4464</v>
      </c>
      <c r="G162" s="1">
        <v>46224.771787731479</v>
      </c>
      <c r="H162" t="s">
        <v>593</v>
      </c>
      <c r="I162" s="1">
        <v>46224.771787812497</v>
      </c>
      <c r="J162" t="s">
        <v>593</v>
      </c>
    </row>
    <row r="163" spans="1:10" x14ac:dyDescent="0.35">
      <c r="A163" t="s">
        <v>133</v>
      </c>
      <c r="B163" t="s">
        <v>591</v>
      </c>
      <c r="C163" t="s">
        <v>592</v>
      </c>
      <c r="D163" s="1">
        <v>46224</v>
      </c>
      <c r="E163">
        <v>2.5848257764504799E-2</v>
      </c>
      <c r="F163" t="s">
        <v>4465</v>
      </c>
      <c r="G163" s="1">
        <v>46224.771787731479</v>
      </c>
      <c r="H163" t="s">
        <v>593</v>
      </c>
      <c r="I163" s="1">
        <v>46224.771787812497</v>
      </c>
      <c r="J163" t="s">
        <v>593</v>
      </c>
    </row>
    <row r="164" spans="1:10" x14ac:dyDescent="0.35">
      <c r="A164" t="s">
        <v>34</v>
      </c>
      <c r="B164" t="s">
        <v>591</v>
      </c>
      <c r="C164" t="s">
        <v>592</v>
      </c>
      <c r="D164" s="1">
        <v>46224</v>
      </c>
      <c r="E164">
        <v>4.8922193162834401E-2</v>
      </c>
      <c r="F164" t="s">
        <v>4466</v>
      </c>
      <c r="G164" s="1">
        <v>46224.771787731479</v>
      </c>
      <c r="H164" t="s">
        <v>593</v>
      </c>
      <c r="I164" s="1">
        <v>46224.771787812497</v>
      </c>
      <c r="J164" t="s">
        <v>593</v>
      </c>
    </row>
    <row r="165" spans="1:10" x14ac:dyDescent="0.35">
      <c r="A165" t="s">
        <v>57</v>
      </c>
      <c r="B165" t="s">
        <v>591</v>
      </c>
      <c r="C165" t="s">
        <v>592</v>
      </c>
      <c r="D165" s="1">
        <v>46224</v>
      </c>
      <c r="E165">
        <v>4.9251744398798397E-2</v>
      </c>
      <c r="F165" t="s">
        <v>4467</v>
      </c>
      <c r="G165" s="1">
        <v>46224.771787731479</v>
      </c>
      <c r="H165" t="s">
        <v>593</v>
      </c>
      <c r="I165" s="1">
        <v>46224.771787812497</v>
      </c>
      <c r="J165" t="s">
        <v>593</v>
      </c>
    </row>
    <row r="166" spans="1:10" x14ac:dyDescent="0.35">
      <c r="A166" t="s">
        <v>58</v>
      </c>
      <c r="B166" t="s">
        <v>591</v>
      </c>
      <c r="C166" t="s">
        <v>592</v>
      </c>
      <c r="D166" s="1">
        <v>46224</v>
      </c>
      <c r="E166">
        <v>4.9379582840152099E-2</v>
      </c>
      <c r="F166" t="s">
        <v>4468</v>
      </c>
      <c r="G166" s="1">
        <v>46224.771787731479</v>
      </c>
      <c r="H166" t="s">
        <v>593</v>
      </c>
      <c r="I166" s="1">
        <v>46224.771787812497</v>
      </c>
      <c r="J166" t="s">
        <v>593</v>
      </c>
    </row>
    <row r="167" spans="1:10" x14ac:dyDescent="0.35">
      <c r="A167" t="s">
        <v>125</v>
      </c>
      <c r="B167" t="s">
        <v>591</v>
      </c>
      <c r="C167" t="s">
        <v>592</v>
      </c>
      <c r="D167" s="1">
        <v>46224</v>
      </c>
      <c r="E167">
        <v>4.9423838882535799E-2</v>
      </c>
      <c r="F167" t="s">
        <v>4469</v>
      </c>
      <c r="G167" s="1">
        <v>46224.771787731479</v>
      </c>
      <c r="H167" t="s">
        <v>593</v>
      </c>
      <c r="I167" s="1">
        <v>46224.771787812497</v>
      </c>
      <c r="J167" t="s">
        <v>593</v>
      </c>
    </row>
    <row r="168" spans="1:10" x14ac:dyDescent="0.35">
      <c r="A168" t="s">
        <v>35</v>
      </c>
      <c r="B168" t="s">
        <v>591</v>
      </c>
      <c r="C168" t="s">
        <v>592</v>
      </c>
      <c r="D168" s="1">
        <v>46224</v>
      </c>
      <c r="E168">
        <v>2.6535137414209702E-2</v>
      </c>
      <c r="F168" t="s">
        <v>4470</v>
      </c>
      <c r="G168" s="1">
        <v>46224.771787731479</v>
      </c>
      <c r="H168" t="s">
        <v>593</v>
      </c>
      <c r="I168" s="1">
        <v>46224.771787812497</v>
      </c>
      <c r="J168" t="s">
        <v>593</v>
      </c>
    </row>
    <row r="169" spans="1:10" x14ac:dyDescent="0.35">
      <c r="A169" t="s">
        <v>36</v>
      </c>
      <c r="B169" t="s">
        <v>591</v>
      </c>
      <c r="C169" t="s">
        <v>592</v>
      </c>
      <c r="D169" s="1">
        <v>46224</v>
      </c>
      <c r="E169">
        <v>4.9662982789617699E-2</v>
      </c>
      <c r="F169" t="s">
        <v>4471</v>
      </c>
      <c r="G169" s="1">
        <v>46224.771787731479</v>
      </c>
      <c r="H169" t="s">
        <v>593</v>
      </c>
      <c r="I169" s="1">
        <v>46224.771787812497</v>
      </c>
      <c r="J169" t="s">
        <v>593</v>
      </c>
    </row>
    <row r="170" spans="1:10" x14ac:dyDescent="0.35">
      <c r="A170" t="s">
        <v>141</v>
      </c>
      <c r="B170" t="s">
        <v>591</v>
      </c>
      <c r="C170" t="s">
        <v>592</v>
      </c>
      <c r="D170" s="1">
        <v>46224</v>
      </c>
      <c r="E170">
        <v>4.9896501226878602E-2</v>
      </c>
      <c r="F170" t="s">
        <v>4472</v>
      </c>
      <c r="G170" s="1">
        <v>46224.771787731479</v>
      </c>
      <c r="H170" t="s">
        <v>593</v>
      </c>
      <c r="I170" s="1">
        <v>46224.771787812497</v>
      </c>
      <c r="J170" t="s">
        <v>593</v>
      </c>
    </row>
    <row r="171" spans="1:10" x14ac:dyDescent="0.35">
      <c r="A171" t="s">
        <v>59</v>
      </c>
      <c r="B171" t="s">
        <v>591</v>
      </c>
      <c r="C171" t="s">
        <v>592</v>
      </c>
      <c r="D171" s="1">
        <v>46224</v>
      </c>
      <c r="E171">
        <v>5.02233574578939E-2</v>
      </c>
      <c r="F171" t="s">
        <v>4473</v>
      </c>
      <c r="G171" s="1">
        <v>46224.771787731479</v>
      </c>
      <c r="H171" t="s">
        <v>593</v>
      </c>
      <c r="I171" s="1">
        <v>46224.771787812497</v>
      </c>
      <c r="J171" t="s">
        <v>593</v>
      </c>
    </row>
    <row r="172" spans="1:10" x14ac:dyDescent="0.35">
      <c r="A172" t="s">
        <v>60</v>
      </c>
      <c r="B172" t="s">
        <v>591</v>
      </c>
      <c r="C172" t="s">
        <v>592</v>
      </c>
      <c r="D172" s="1">
        <v>46224</v>
      </c>
      <c r="E172">
        <v>5.0410553126258799E-2</v>
      </c>
      <c r="F172" t="s">
        <v>4474</v>
      </c>
      <c r="G172" s="1">
        <v>46224.771787731479</v>
      </c>
      <c r="H172" t="s">
        <v>593</v>
      </c>
      <c r="I172" s="1">
        <v>46224.771787812497</v>
      </c>
      <c r="J172" t="s">
        <v>593</v>
      </c>
    </row>
    <row r="173" spans="1:10" x14ac:dyDescent="0.35">
      <c r="A173" t="s">
        <v>134</v>
      </c>
      <c r="B173" t="s">
        <v>591</v>
      </c>
      <c r="C173" t="s">
        <v>592</v>
      </c>
      <c r="D173" s="1">
        <v>46224</v>
      </c>
      <c r="E173">
        <v>2.7707161498464201E-2</v>
      </c>
      <c r="F173" t="s">
        <v>4475</v>
      </c>
      <c r="G173" s="1">
        <v>46224.771787731479</v>
      </c>
      <c r="H173" t="s">
        <v>593</v>
      </c>
      <c r="I173" s="1">
        <v>46224.771787812497</v>
      </c>
      <c r="J173" t="s">
        <v>593</v>
      </c>
    </row>
    <row r="174" spans="1:10" x14ac:dyDescent="0.35">
      <c r="A174" t="s">
        <v>162</v>
      </c>
      <c r="B174" t="s">
        <v>591</v>
      </c>
      <c r="C174" t="s">
        <v>592</v>
      </c>
      <c r="D174" s="1">
        <v>46224</v>
      </c>
      <c r="E174">
        <v>5.0597416983127197E-2</v>
      </c>
      <c r="F174" t="s">
        <v>4476</v>
      </c>
      <c r="G174" s="1">
        <v>46224.771787731479</v>
      </c>
      <c r="H174" t="s">
        <v>593</v>
      </c>
      <c r="I174" s="1">
        <v>46224.771787812497</v>
      </c>
      <c r="J174" t="s">
        <v>593</v>
      </c>
    </row>
    <row r="175" spans="1:10" x14ac:dyDescent="0.35">
      <c r="A175" t="s">
        <v>163</v>
      </c>
      <c r="B175" t="s">
        <v>591</v>
      </c>
      <c r="C175" t="s">
        <v>592</v>
      </c>
      <c r="D175" s="1">
        <v>46224</v>
      </c>
      <c r="E175">
        <v>5.0826727997308203E-2</v>
      </c>
      <c r="F175" t="s">
        <v>4477</v>
      </c>
      <c r="G175" s="1">
        <v>46224.771787731479</v>
      </c>
      <c r="H175" t="s">
        <v>593</v>
      </c>
      <c r="I175" s="1">
        <v>46224.771787812497</v>
      </c>
      <c r="J175" t="s">
        <v>593</v>
      </c>
    </row>
    <row r="176" spans="1:10" x14ac:dyDescent="0.35">
      <c r="A176" t="s">
        <v>37</v>
      </c>
      <c r="B176" t="s">
        <v>591</v>
      </c>
      <c r="C176" t="s">
        <v>592</v>
      </c>
      <c r="D176" s="1">
        <v>46224</v>
      </c>
      <c r="E176">
        <v>5.0990273155420998E-2</v>
      </c>
      <c r="F176" t="s">
        <v>4478</v>
      </c>
      <c r="G176" s="1">
        <v>46224.771787731479</v>
      </c>
      <c r="H176" t="s">
        <v>593</v>
      </c>
      <c r="I176" s="1">
        <v>46224.771787812497</v>
      </c>
      <c r="J176" t="s">
        <v>593</v>
      </c>
    </row>
    <row r="177" spans="1:10" x14ac:dyDescent="0.35">
      <c r="A177" t="s">
        <v>135</v>
      </c>
      <c r="B177" t="s">
        <v>591</v>
      </c>
      <c r="C177" t="s">
        <v>592</v>
      </c>
      <c r="D177" s="1">
        <v>46224</v>
      </c>
      <c r="E177">
        <v>5.1049558330549201E-2</v>
      </c>
      <c r="F177" t="s">
        <v>4479</v>
      </c>
      <c r="G177" s="1">
        <v>46224.771787731479</v>
      </c>
      <c r="H177" t="s">
        <v>593</v>
      </c>
      <c r="I177" s="1">
        <v>46224.771787812497</v>
      </c>
      <c r="J177" t="s">
        <v>593</v>
      </c>
    </row>
    <row r="178" spans="1:10" x14ac:dyDescent="0.35">
      <c r="A178" t="s">
        <v>164</v>
      </c>
      <c r="B178" t="s">
        <v>591</v>
      </c>
      <c r="C178" t="s">
        <v>592</v>
      </c>
      <c r="D178" s="1">
        <v>46224</v>
      </c>
      <c r="E178">
        <v>2.8217031624773601E-2</v>
      </c>
      <c r="F178" t="s">
        <v>4480</v>
      </c>
      <c r="G178" s="1">
        <v>46224.771787731479</v>
      </c>
      <c r="H178" t="s">
        <v>593</v>
      </c>
      <c r="I178" s="1">
        <v>46224.771787812497</v>
      </c>
      <c r="J178" t="s">
        <v>593</v>
      </c>
    </row>
    <row r="179" spans="1:10" x14ac:dyDescent="0.35">
      <c r="A179" t="s">
        <v>142</v>
      </c>
      <c r="B179" t="s">
        <v>591</v>
      </c>
      <c r="C179" t="s">
        <v>592</v>
      </c>
      <c r="D179" s="1">
        <v>46224</v>
      </c>
      <c r="E179">
        <v>5.1196462463852198E-2</v>
      </c>
      <c r="F179" t="s">
        <v>4481</v>
      </c>
      <c r="G179" s="1">
        <v>46224.771787731479</v>
      </c>
      <c r="H179" t="s">
        <v>593</v>
      </c>
      <c r="I179" s="1">
        <v>46224.771787812497</v>
      </c>
      <c r="J179" t="s">
        <v>593</v>
      </c>
    </row>
    <row r="180" spans="1:10" x14ac:dyDescent="0.35">
      <c r="A180" t="s">
        <v>136</v>
      </c>
      <c r="B180" t="s">
        <v>591</v>
      </c>
      <c r="C180" t="s">
        <v>592</v>
      </c>
      <c r="D180" s="1">
        <v>46224</v>
      </c>
      <c r="E180">
        <v>5.1155773151444102E-2</v>
      </c>
      <c r="F180" t="s">
        <v>4482</v>
      </c>
      <c r="G180" s="1">
        <v>46224.771787731479</v>
      </c>
      <c r="H180" t="s">
        <v>593</v>
      </c>
      <c r="I180" s="1">
        <v>46224.771787812497</v>
      </c>
      <c r="J180" t="s">
        <v>593</v>
      </c>
    </row>
    <row r="181" spans="1:10" x14ac:dyDescent="0.35">
      <c r="A181" t="s">
        <v>38</v>
      </c>
      <c r="B181" t="s">
        <v>591</v>
      </c>
      <c r="C181" t="s">
        <v>592</v>
      </c>
      <c r="D181" s="1">
        <v>46224</v>
      </c>
      <c r="E181">
        <v>5.1234397765237798E-2</v>
      </c>
      <c r="F181" t="s">
        <v>4483</v>
      </c>
      <c r="G181" s="1">
        <v>46224.771787731479</v>
      </c>
      <c r="H181" t="s">
        <v>593</v>
      </c>
      <c r="I181" s="1">
        <v>46224.771787812497</v>
      </c>
      <c r="J181" t="s">
        <v>593</v>
      </c>
    </row>
    <row r="182" spans="1:10" x14ac:dyDescent="0.35">
      <c r="A182" t="s">
        <v>137</v>
      </c>
      <c r="B182" t="s">
        <v>591</v>
      </c>
      <c r="C182" t="s">
        <v>592</v>
      </c>
      <c r="D182" s="1">
        <v>46224</v>
      </c>
      <c r="E182">
        <v>5.1360674069008599E-2</v>
      </c>
      <c r="F182" t="s">
        <v>4484</v>
      </c>
      <c r="G182" s="1">
        <v>46224.771787731479</v>
      </c>
      <c r="H182" t="s">
        <v>593</v>
      </c>
      <c r="I182" s="1">
        <v>46224.771787812497</v>
      </c>
      <c r="J182" t="s">
        <v>593</v>
      </c>
    </row>
    <row r="183" spans="1:10" x14ac:dyDescent="0.35">
      <c r="A183" t="s">
        <v>553</v>
      </c>
      <c r="B183" t="s">
        <v>591</v>
      </c>
      <c r="C183" t="s">
        <v>592</v>
      </c>
      <c r="D183" s="1">
        <v>46224</v>
      </c>
      <c r="E183">
        <v>2.8658689522827598E-2</v>
      </c>
      <c r="F183" t="s">
        <v>4485</v>
      </c>
      <c r="G183" s="1">
        <v>46224.771787731479</v>
      </c>
      <c r="H183" t="s">
        <v>593</v>
      </c>
      <c r="I183" s="1">
        <v>46224.771787812497</v>
      </c>
      <c r="J183" t="s">
        <v>593</v>
      </c>
    </row>
    <row r="184" spans="1:10" x14ac:dyDescent="0.35">
      <c r="A184" t="s">
        <v>221</v>
      </c>
      <c r="B184" t="s">
        <v>591</v>
      </c>
      <c r="C184" t="s">
        <v>592</v>
      </c>
      <c r="D184" s="1">
        <v>46224</v>
      </c>
      <c r="E184">
        <v>5.1444222911849899E-2</v>
      </c>
      <c r="F184" t="s">
        <v>4486</v>
      </c>
      <c r="G184" s="1">
        <v>46224.771787731479</v>
      </c>
      <c r="H184" t="s">
        <v>593</v>
      </c>
      <c r="I184" s="1">
        <v>46224.771787812497</v>
      </c>
      <c r="J184" t="s">
        <v>593</v>
      </c>
    </row>
    <row r="185" spans="1:10" x14ac:dyDescent="0.35">
      <c r="A185" t="s">
        <v>222</v>
      </c>
      <c r="B185" t="s">
        <v>591</v>
      </c>
      <c r="C185" t="s">
        <v>592</v>
      </c>
      <c r="D185" s="1">
        <v>46224</v>
      </c>
      <c r="E185">
        <v>5.1604704869930698E-2</v>
      </c>
      <c r="F185" t="s">
        <v>4487</v>
      </c>
      <c r="G185" s="1">
        <v>46224.771787731479</v>
      </c>
      <c r="H185" t="s">
        <v>593</v>
      </c>
      <c r="I185" s="1">
        <v>46224.771787812497</v>
      </c>
      <c r="J185" t="s">
        <v>593</v>
      </c>
    </row>
    <row r="186" spans="1:10" x14ac:dyDescent="0.35">
      <c r="A186" t="s">
        <v>210</v>
      </c>
      <c r="B186" t="s">
        <v>591</v>
      </c>
      <c r="C186" t="s">
        <v>592</v>
      </c>
      <c r="D186" s="1">
        <v>46224</v>
      </c>
      <c r="E186">
        <v>5.1702894171541502E-2</v>
      </c>
      <c r="F186" t="s">
        <v>4488</v>
      </c>
      <c r="G186" s="1">
        <v>46224.771787731479</v>
      </c>
      <c r="H186" t="s">
        <v>593</v>
      </c>
      <c r="I186" s="1">
        <v>46224.771787812497</v>
      </c>
      <c r="J186" t="s">
        <v>593</v>
      </c>
    </row>
    <row r="187" spans="1:10" x14ac:dyDescent="0.35">
      <c r="A187" t="s">
        <v>97</v>
      </c>
      <c r="B187" t="s">
        <v>591</v>
      </c>
      <c r="C187" t="s">
        <v>592</v>
      </c>
      <c r="D187" s="1">
        <v>46224</v>
      </c>
      <c r="E187">
        <v>5.1865531305236398E-2</v>
      </c>
      <c r="F187" t="s">
        <v>4489</v>
      </c>
      <c r="G187" s="1">
        <v>46224.771787731479</v>
      </c>
      <c r="H187" t="s">
        <v>593</v>
      </c>
      <c r="I187" s="1">
        <v>46224.771787812497</v>
      </c>
      <c r="J187" t="s">
        <v>593</v>
      </c>
    </row>
    <row r="188" spans="1:10" x14ac:dyDescent="0.35">
      <c r="A188" t="s">
        <v>179</v>
      </c>
      <c r="B188" t="s">
        <v>591</v>
      </c>
      <c r="C188" t="s">
        <v>592</v>
      </c>
      <c r="D188" s="1">
        <v>46224</v>
      </c>
      <c r="E188">
        <v>2.9256061377876799E-2</v>
      </c>
      <c r="F188" t="s">
        <v>4490</v>
      </c>
      <c r="G188" s="1">
        <v>46224.771787731479</v>
      </c>
      <c r="H188" t="s">
        <v>593</v>
      </c>
      <c r="I188" s="1">
        <v>46224.771787812497</v>
      </c>
      <c r="J188" t="s">
        <v>593</v>
      </c>
    </row>
    <row r="189" spans="1:10" x14ac:dyDescent="0.35">
      <c r="A189" t="s">
        <v>98</v>
      </c>
      <c r="B189" t="s">
        <v>591</v>
      </c>
      <c r="C189" t="s">
        <v>592</v>
      </c>
      <c r="D189" s="1">
        <v>46224</v>
      </c>
      <c r="E189">
        <v>5.1757034723703001E-2</v>
      </c>
      <c r="F189" t="s">
        <v>4491</v>
      </c>
      <c r="G189" s="1">
        <v>46224.771787731479</v>
      </c>
      <c r="H189" t="s">
        <v>593</v>
      </c>
      <c r="I189" s="1">
        <v>46224.771787812497</v>
      </c>
      <c r="J189" t="s">
        <v>593</v>
      </c>
    </row>
    <row r="190" spans="1:10" x14ac:dyDescent="0.35">
      <c r="A190" t="s">
        <v>180</v>
      </c>
      <c r="B190" t="s">
        <v>591</v>
      </c>
      <c r="C190" t="s">
        <v>592</v>
      </c>
      <c r="D190" s="1">
        <v>46224</v>
      </c>
      <c r="E190">
        <v>5.1881740220669201E-2</v>
      </c>
      <c r="F190" t="s">
        <v>4492</v>
      </c>
      <c r="G190" s="1">
        <v>46224.771787731479</v>
      </c>
      <c r="H190" t="s">
        <v>593</v>
      </c>
      <c r="I190" s="1">
        <v>46224.771787812497</v>
      </c>
      <c r="J190" t="s">
        <v>593</v>
      </c>
    </row>
    <row r="191" spans="1:10" x14ac:dyDescent="0.35">
      <c r="A191" t="s">
        <v>181</v>
      </c>
      <c r="B191" t="s">
        <v>591</v>
      </c>
      <c r="C191" t="s">
        <v>592</v>
      </c>
      <c r="D191" s="1">
        <v>46224</v>
      </c>
      <c r="E191">
        <v>5.1898982906189203E-2</v>
      </c>
      <c r="F191" t="s">
        <v>4493</v>
      </c>
      <c r="G191" s="1">
        <v>46224.771787731479</v>
      </c>
      <c r="H191" t="s">
        <v>593</v>
      </c>
      <c r="I191" s="1">
        <v>46224.771787812497</v>
      </c>
      <c r="J191" t="s">
        <v>593</v>
      </c>
    </row>
    <row r="192" spans="1:10" x14ac:dyDescent="0.35">
      <c r="A192" t="s">
        <v>182</v>
      </c>
      <c r="B192" t="s">
        <v>591</v>
      </c>
      <c r="C192" t="s">
        <v>592</v>
      </c>
      <c r="D192" s="1">
        <v>46224</v>
      </c>
      <c r="E192">
        <v>5.2063839537251598E-2</v>
      </c>
      <c r="F192" t="s">
        <v>4494</v>
      </c>
      <c r="G192" s="1">
        <v>46224.771787731479</v>
      </c>
      <c r="H192" t="s">
        <v>593</v>
      </c>
      <c r="I192" s="1">
        <v>46224.771787812497</v>
      </c>
      <c r="J192" t="s">
        <v>593</v>
      </c>
    </row>
    <row r="193" spans="1:10" x14ac:dyDescent="0.35">
      <c r="A193" t="s">
        <v>99</v>
      </c>
      <c r="B193" t="s">
        <v>591</v>
      </c>
      <c r="C193" t="s">
        <v>592</v>
      </c>
      <c r="D193" s="1">
        <v>46224</v>
      </c>
      <c r="E193">
        <v>2.9394831181192099E-2</v>
      </c>
      <c r="F193" t="s">
        <v>4495</v>
      </c>
      <c r="G193" s="1">
        <v>46224.771787731479</v>
      </c>
      <c r="H193" t="s">
        <v>593</v>
      </c>
      <c r="I193" s="1">
        <v>46224.771787812497</v>
      </c>
      <c r="J193" t="s">
        <v>593</v>
      </c>
    </row>
    <row r="194" spans="1:10" x14ac:dyDescent="0.35">
      <c r="A194" t="s">
        <v>100</v>
      </c>
      <c r="B194" t="s">
        <v>591</v>
      </c>
      <c r="C194" t="s">
        <v>592</v>
      </c>
      <c r="D194" s="1">
        <v>46224</v>
      </c>
      <c r="E194">
        <v>5.2103395695034201E-2</v>
      </c>
      <c r="F194" t="s">
        <v>4496</v>
      </c>
      <c r="G194" s="1">
        <v>46224.771787731479</v>
      </c>
      <c r="H194" t="s">
        <v>593</v>
      </c>
      <c r="I194" s="1">
        <v>46224.771787812497</v>
      </c>
      <c r="J194" t="s">
        <v>593</v>
      </c>
    </row>
    <row r="195" spans="1:10" x14ac:dyDescent="0.35">
      <c r="A195" t="s">
        <v>143</v>
      </c>
      <c r="B195" t="s">
        <v>591</v>
      </c>
      <c r="C195" t="s">
        <v>592</v>
      </c>
      <c r="D195" s="1">
        <v>46224</v>
      </c>
      <c r="E195">
        <v>5.21796235480231E-2</v>
      </c>
      <c r="F195" t="s">
        <v>4497</v>
      </c>
      <c r="G195" s="1">
        <v>46224.771787731479</v>
      </c>
      <c r="H195" t="s">
        <v>593</v>
      </c>
      <c r="I195" s="1">
        <v>46224.771787812497</v>
      </c>
      <c r="J195" t="s">
        <v>593</v>
      </c>
    </row>
    <row r="196" spans="1:10" x14ac:dyDescent="0.35">
      <c r="A196" t="s">
        <v>183</v>
      </c>
      <c r="B196" t="s">
        <v>591</v>
      </c>
      <c r="C196" t="s">
        <v>592</v>
      </c>
      <c r="D196" s="1">
        <v>46224</v>
      </c>
      <c r="E196">
        <v>5.2026402675443797E-2</v>
      </c>
      <c r="F196" t="s">
        <v>4498</v>
      </c>
      <c r="G196" s="1">
        <v>46224.771787731479</v>
      </c>
      <c r="H196" t="s">
        <v>593</v>
      </c>
      <c r="I196" s="1">
        <v>46224.771787812497</v>
      </c>
      <c r="J196" t="s">
        <v>593</v>
      </c>
    </row>
    <row r="197" spans="1:10" x14ac:dyDescent="0.35">
      <c r="A197" t="s">
        <v>223</v>
      </c>
      <c r="B197" t="s">
        <v>591</v>
      </c>
      <c r="C197" t="s">
        <v>592</v>
      </c>
      <c r="D197" s="1">
        <v>46224</v>
      </c>
      <c r="E197">
        <v>5.2057208723417403E-2</v>
      </c>
      <c r="F197" t="s">
        <v>4499</v>
      </c>
      <c r="G197" s="1">
        <v>46224.771787731479</v>
      </c>
      <c r="H197" t="s">
        <v>593</v>
      </c>
      <c r="I197" s="1">
        <v>46224.771787812497</v>
      </c>
      <c r="J197" t="s">
        <v>593</v>
      </c>
    </row>
    <row r="198" spans="1:10" x14ac:dyDescent="0.35">
      <c r="A198" t="s">
        <v>224</v>
      </c>
      <c r="B198" t="s">
        <v>591</v>
      </c>
      <c r="C198" t="s">
        <v>592</v>
      </c>
      <c r="D198" s="1">
        <v>46224</v>
      </c>
      <c r="E198">
        <v>2.94841964505148E-2</v>
      </c>
      <c r="F198" t="s">
        <v>4500</v>
      </c>
      <c r="G198" s="1">
        <v>46224.771787731479</v>
      </c>
      <c r="H198" t="s">
        <v>593</v>
      </c>
      <c r="I198" s="1">
        <v>46224.771787812497</v>
      </c>
      <c r="J198" t="s">
        <v>593</v>
      </c>
    </row>
    <row r="199" spans="1:10" x14ac:dyDescent="0.35">
      <c r="A199" t="s">
        <v>184</v>
      </c>
      <c r="B199" t="s">
        <v>591</v>
      </c>
      <c r="C199" t="s">
        <v>592</v>
      </c>
      <c r="D199" s="1">
        <v>46224</v>
      </c>
      <c r="E199">
        <v>5.2062967276562497E-2</v>
      </c>
      <c r="F199" t="s">
        <v>4501</v>
      </c>
      <c r="G199" s="1">
        <v>46224.771787731479</v>
      </c>
      <c r="H199" t="s">
        <v>593</v>
      </c>
      <c r="I199" s="1">
        <v>46224.771787812497</v>
      </c>
      <c r="J199" t="s">
        <v>593</v>
      </c>
    </row>
    <row r="200" spans="1:10" x14ac:dyDescent="0.35">
      <c r="A200" t="s">
        <v>225</v>
      </c>
      <c r="B200" t="s">
        <v>591</v>
      </c>
      <c r="C200" t="s">
        <v>592</v>
      </c>
      <c r="D200" s="1">
        <v>46224</v>
      </c>
      <c r="E200">
        <v>5.2156656122513502E-2</v>
      </c>
      <c r="F200" t="s">
        <v>4502</v>
      </c>
      <c r="G200" s="1">
        <v>46224.771787731479</v>
      </c>
      <c r="H200" t="s">
        <v>593</v>
      </c>
      <c r="I200" s="1">
        <v>46224.771787812497</v>
      </c>
      <c r="J200" t="s">
        <v>593</v>
      </c>
    </row>
    <row r="201" spans="1:10" x14ac:dyDescent="0.35">
      <c r="A201" t="s">
        <v>211</v>
      </c>
      <c r="B201" t="s">
        <v>591</v>
      </c>
      <c r="C201" t="s">
        <v>592</v>
      </c>
      <c r="D201" s="1">
        <v>46224</v>
      </c>
      <c r="E201">
        <v>5.2162018382020198E-2</v>
      </c>
      <c r="F201" t="s">
        <v>4503</v>
      </c>
      <c r="G201" s="1">
        <v>46224.771787731479</v>
      </c>
      <c r="H201" t="s">
        <v>593</v>
      </c>
      <c r="I201" s="1">
        <v>46224.771787812497</v>
      </c>
      <c r="J201" t="s">
        <v>593</v>
      </c>
    </row>
    <row r="202" spans="1:10" x14ac:dyDescent="0.35">
      <c r="A202" t="s">
        <v>165</v>
      </c>
      <c r="B202" t="s">
        <v>591</v>
      </c>
      <c r="C202" t="s">
        <v>592</v>
      </c>
      <c r="D202" s="1">
        <v>46224</v>
      </c>
      <c r="E202">
        <v>5.2137121927849701E-2</v>
      </c>
      <c r="F202" t="s">
        <v>4504</v>
      </c>
      <c r="G202" s="1">
        <v>46224.771787731479</v>
      </c>
      <c r="H202" t="s">
        <v>593</v>
      </c>
      <c r="I202" s="1">
        <v>46224.771787812497</v>
      </c>
      <c r="J202" t="s">
        <v>593</v>
      </c>
    </row>
    <row r="203" spans="1:10" x14ac:dyDescent="0.35">
      <c r="A203" t="s">
        <v>185</v>
      </c>
      <c r="B203" t="s">
        <v>591</v>
      </c>
      <c r="C203" t="s">
        <v>592</v>
      </c>
      <c r="D203" s="1">
        <v>46224</v>
      </c>
      <c r="E203">
        <v>2.9549727531424999E-2</v>
      </c>
      <c r="F203" t="s">
        <v>4505</v>
      </c>
      <c r="G203" s="1">
        <v>46224.771787731479</v>
      </c>
      <c r="H203" t="s">
        <v>593</v>
      </c>
      <c r="I203" s="1">
        <v>46224.771787812497</v>
      </c>
      <c r="J203" t="s">
        <v>593</v>
      </c>
    </row>
    <row r="204" spans="1:10" x14ac:dyDescent="0.35">
      <c r="A204" t="s">
        <v>166</v>
      </c>
      <c r="B204" t="s">
        <v>591</v>
      </c>
      <c r="C204" t="s">
        <v>592</v>
      </c>
      <c r="D204" s="1">
        <v>46224</v>
      </c>
      <c r="E204">
        <v>5.2129108205136498E-2</v>
      </c>
      <c r="F204" t="s">
        <v>4506</v>
      </c>
      <c r="G204" s="1">
        <v>46224.771787731479</v>
      </c>
      <c r="H204" t="s">
        <v>593</v>
      </c>
      <c r="I204" s="1">
        <v>46224.771787812497</v>
      </c>
      <c r="J204" t="s">
        <v>593</v>
      </c>
    </row>
    <row r="205" spans="1:10" x14ac:dyDescent="0.35">
      <c r="A205" t="s">
        <v>101</v>
      </c>
      <c r="B205" t="s">
        <v>591</v>
      </c>
      <c r="C205" t="s">
        <v>592</v>
      </c>
      <c r="D205" s="1">
        <v>46224</v>
      </c>
      <c r="E205">
        <v>5.2163320865354003E-2</v>
      </c>
      <c r="F205" t="s">
        <v>4507</v>
      </c>
      <c r="G205" s="1">
        <v>46224.771787731479</v>
      </c>
      <c r="H205" t="s">
        <v>593</v>
      </c>
      <c r="I205" s="1">
        <v>46224.771787812497</v>
      </c>
      <c r="J205" t="s">
        <v>593</v>
      </c>
    </row>
    <row r="206" spans="1:10" x14ac:dyDescent="0.35">
      <c r="A206" t="s">
        <v>226</v>
      </c>
      <c r="B206" t="s">
        <v>591</v>
      </c>
      <c r="C206" t="s">
        <v>592</v>
      </c>
      <c r="D206" s="1">
        <v>46224</v>
      </c>
      <c r="E206">
        <v>5.2077197928357202E-2</v>
      </c>
      <c r="F206" t="s">
        <v>4508</v>
      </c>
      <c r="G206" s="1">
        <v>46224.771787731479</v>
      </c>
      <c r="H206" t="s">
        <v>593</v>
      </c>
      <c r="I206" s="1">
        <v>46224.771787812497</v>
      </c>
      <c r="J206" t="s">
        <v>593</v>
      </c>
    </row>
    <row r="207" spans="1:10" x14ac:dyDescent="0.35">
      <c r="A207" t="s">
        <v>167</v>
      </c>
      <c r="B207" t="s">
        <v>591</v>
      </c>
      <c r="C207" t="s">
        <v>592</v>
      </c>
      <c r="D207" s="1">
        <v>46224</v>
      </c>
      <c r="E207">
        <v>5.2160525312509899E-2</v>
      </c>
      <c r="F207" t="s">
        <v>4509</v>
      </c>
      <c r="G207" s="1">
        <v>46224.771787731479</v>
      </c>
      <c r="H207" t="s">
        <v>593</v>
      </c>
      <c r="I207" s="1">
        <v>46224.771787812497</v>
      </c>
      <c r="J207" t="s">
        <v>593</v>
      </c>
    </row>
    <row r="208" spans="1:10" x14ac:dyDescent="0.35">
      <c r="A208" t="s">
        <v>186</v>
      </c>
      <c r="B208" t="s">
        <v>591</v>
      </c>
      <c r="C208" t="s">
        <v>592</v>
      </c>
      <c r="D208" s="1">
        <v>46224</v>
      </c>
      <c r="E208">
        <v>2.9531667725954201E-2</v>
      </c>
      <c r="F208" t="s">
        <v>4510</v>
      </c>
      <c r="G208" s="1">
        <v>46224.771787731479</v>
      </c>
      <c r="H208" t="s">
        <v>593</v>
      </c>
      <c r="I208" s="1">
        <v>46224.771787812497</v>
      </c>
      <c r="J208" t="s">
        <v>593</v>
      </c>
    </row>
    <row r="209" spans="1:10" x14ac:dyDescent="0.35">
      <c r="A209" t="s">
        <v>144</v>
      </c>
      <c r="B209" t="s">
        <v>591</v>
      </c>
      <c r="C209" t="s">
        <v>592</v>
      </c>
      <c r="D209" s="1">
        <v>46224</v>
      </c>
      <c r="E209">
        <v>5.2198661264130301E-2</v>
      </c>
      <c r="F209" t="s">
        <v>4511</v>
      </c>
      <c r="G209" s="1">
        <v>46224.771787731479</v>
      </c>
      <c r="H209" t="s">
        <v>593</v>
      </c>
      <c r="I209" s="1">
        <v>46224.771787812497</v>
      </c>
      <c r="J209" t="s">
        <v>593</v>
      </c>
    </row>
    <row r="210" spans="1:10" x14ac:dyDescent="0.35">
      <c r="A210" t="s">
        <v>145</v>
      </c>
      <c r="B210" t="s">
        <v>591</v>
      </c>
      <c r="C210" t="s">
        <v>592</v>
      </c>
      <c r="D210" s="1">
        <v>46224</v>
      </c>
      <c r="E210">
        <v>5.2351530208176102E-2</v>
      </c>
      <c r="F210" t="s">
        <v>4512</v>
      </c>
      <c r="G210" s="1">
        <v>46224.771787731479</v>
      </c>
      <c r="H210" t="s">
        <v>593</v>
      </c>
      <c r="I210" s="1">
        <v>46224.771787812497</v>
      </c>
      <c r="J210" t="s">
        <v>593</v>
      </c>
    </row>
    <row r="211" spans="1:10" x14ac:dyDescent="0.35">
      <c r="A211" t="s">
        <v>102</v>
      </c>
      <c r="B211" t="s">
        <v>591</v>
      </c>
      <c r="C211" t="s">
        <v>592</v>
      </c>
      <c r="D211" s="1">
        <v>46224</v>
      </c>
      <c r="E211">
        <v>5.23392186121137E-2</v>
      </c>
      <c r="F211" t="s">
        <v>4513</v>
      </c>
      <c r="G211" s="1">
        <v>46224.771787731479</v>
      </c>
      <c r="H211" t="s">
        <v>593</v>
      </c>
      <c r="I211" s="1">
        <v>46224.771787812497</v>
      </c>
      <c r="J211" t="s">
        <v>593</v>
      </c>
    </row>
    <row r="212" spans="1:10" x14ac:dyDescent="0.35">
      <c r="A212" t="s">
        <v>168</v>
      </c>
      <c r="B212" t="s">
        <v>591</v>
      </c>
      <c r="C212" t="s">
        <v>592</v>
      </c>
      <c r="D212" s="1">
        <v>46224</v>
      </c>
      <c r="E212">
        <v>5.2394165861293897E-2</v>
      </c>
      <c r="F212" t="s">
        <v>4514</v>
      </c>
      <c r="G212" s="1">
        <v>46224.771787731479</v>
      </c>
      <c r="H212" t="s">
        <v>593</v>
      </c>
      <c r="I212" s="1">
        <v>46224.771787812497</v>
      </c>
      <c r="J212" t="s">
        <v>593</v>
      </c>
    </row>
    <row r="213" spans="1:10" x14ac:dyDescent="0.35">
      <c r="A213" t="s">
        <v>169</v>
      </c>
      <c r="B213" t="s">
        <v>591</v>
      </c>
      <c r="C213" t="s">
        <v>592</v>
      </c>
      <c r="D213" s="1">
        <v>46224</v>
      </c>
      <c r="E213">
        <v>2.9587752949001199E-2</v>
      </c>
      <c r="F213" t="s">
        <v>4515</v>
      </c>
      <c r="G213" s="1">
        <v>46224.771787731479</v>
      </c>
      <c r="H213" t="s">
        <v>593</v>
      </c>
      <c r="I213" s="1">
        <v>46224.771787812497</v>
      </c>
      <c r="J213" t="s">
        <v>593</v>
      </c>
    </row>
    <row r="214" spans="1:10" x14ac:dyDescent="0.35">
      <c r="A214" t="s">
        <v>212</v>
      </c>
      <c r="B214" t="s">
        <v>591</v>
      </c>
      <c r="C214" t="s">
        <v>592</v>
      </c>
      <c r="D214" s="1">
        <v>46224</v>
      </c>
      <c r="E214">
        <v>5.2481908954165803E-2</v>
      </c>
      <c r="F214" t="s">
        <v>4516</v>
      </c>
      <c r="G214" s="1">
        <v>46224.771787731479</v>
      </c>
      <c r="H214" t="s">
        <v>593</v>
      </c>
      <c r="I214" s="1">
        <v>46224.771787812497</v>
      </c>
      <c r="J214" t="s">
        <v>593</v>
      </c>
    </row>
    <row r="215" spans="1:10" x14ac:dyDescent="0.35">
      <c r="A215" t="s">
        <v>170</v>
      </c>
      <c r="B215" t="s">
        <v>591</v>
      </c>
      <c r="C215" t="s">
        <v>592</v>
      </c>
      <c r="D215" s="1">
        <v>46224</v>
      </c>
      <c r="E215">
        <v>5.2487871765273898E-2</v>
      </c>
      <c r="F215" t="s">
        <v>4517</v>
      </c>
      <c r="G215" s="1">
        <v>46224.771787731479</v>
      </c>
      <c r="H215" t="s">
        <v>593</v>
      </c>
      <c r="I215" s="1">
        <v>46224.771787812497</v>
      </c>
      <c r="J215" t="s">
        <v>593</v>
      </c>
    </row>
    <row r="216" spans="1:10" x14ac:dyDescent="0.35">
      <c r="A216" t="s">
        <v>213</v>
      </c>
      <c r="B216" t="s">
        <v>591</v>
      </c>
      <c r="C216" t="s">
        <v>592</v>
      </c>
      <c r="D216" s="1">
        <v>46224</v>
      </c>
      <c r="E216">
        <v>4.99314784038574E-2</v>
      </c>
      <c r="F216" t="s">
        <v>4518</v>
      </c>
      <c r="G216" s="1">
        <v>46224.771787731479</v>
      </c>
      <c r="H216" t="s">
        <v>593</v>
      </c>
      <c r="I216" s="1">
        <v>46224.771787812497</v>
      </c>
      <c r="J216" t="s">
        <v>593</v>
      </c>
    </row>
    <row r="217" spans="1:10" x14ac:dyDescent="0.35">
      <c r="A217" t="s">
        <v>146</v>
      </c>
      <c r="B217" t="s">
        <v>591</v>
      </c>
      <c r="C217" t="s">
        <v>592</v>
      </c>
      <c r="D217" s="1">
        <v>46224</v>
      </c>
      <c r="E217">
        <v>4.9709647902144299E-2</v>
      </c>
      <c r="F217" t="s">
        <v>4519</v>
      </c>
      <c r="G217" s="1">
        <v>46224.771787731479</v>
      </c>
      <c r="H217" t="s">
        <v>593</v>
      </c>
      <c r="I217" s="1">
        <v>46224.771787812497</v>
      </c>
      <c r="J217" t="s">
        <v>593</v>
      </c>
    </row>
    <row r="218" spans="1:10" x14ac:dyDescent="0.35">
      <c r="A218" t="s">
        <v>227</v>
      </c>
      <c r="B218" t="s">
        <v>591</v>
      </c>
      <c r="C218" t="s">
        <v>592</v>
      </c>
      <c r="D218" s="1">
        <v>46224</v>
      </c>
      <c r="E218">
        <v>5.24678195848364E-2</v>
      </c>
      <c r="F218" t="s">
        <v>4520</v>
      </c>
      <c r="G218" s="1">
        <v>46224.771787731479</v>
      </c>
      <c r="H218" t="s">
        <v>593</v>
      </c>
      <c r="I218" s="1">
        <v>46224.771787812497</v>
      </c>
      <c r="J218" t="s">
        <v>593</v>
      </c>
    </row>
    <row r="219" spans="1:10" x14ac:dyDescent="0.35">
      <c r="A219" t="s">
        <v>171</v>
      </c>
      <c r="B219" t="s">
        <v>591</v>
      </c>
      <c r="C219" t="s">
        <v>592</v>
      </c>
      <c r="D219" s="1">
        <v>46224</v>
      </c>
      <c r="E219">
        <v>5.0071271093769597E-2</v>
      </c>
      <c r="F219" t="s">
        <v>4521</v>
      </c>
      <c r="G219" s="1">
        <v>46224.771787731479</v>
      </c>
      <c r="H219" t="s">
        <v>593</v>
      </c>
      <c r="I219" s="1">
        <v>46224.771787812497</v>
      </c>
      <c r="J219" t="s">
        <v>593</v>
      </c>
    </row>
    <row r="220" spans="1:10" x14ac:dyDescent="0.35">
      <c r="A220" t="s">
        <v>228</v>
      </c>
      <c r="B220" t="s">
        <v>591</v>
      </c>
      <c r="C220" t="s">
        <v>592</v>
      </c>
      <c r="D220" s="1">
        <v>46224</v>
      </c>
      <c r="E220">
        <v>5.24148390186292E-2</v>
      </c>
      <c r="F220" t="s">
        <v>4522</v>
      </c>
      <c r="G220" s="1">
        <v>46224.771787731479</v>
      </c>
      <c r="H220" t="s">
        <v>593</v>
      </c>
      <c r="I220" s="1">
        <v>46224.771787812497</v>
      </c>
      <c r="J220" t="s">
        <v>593</v>
      </c>
    </row>
    <row r="221" spans="1:10" x14ac:dyDescent="0.35">
      <c r="A221" t="s">
        <v>103</v>
      </c>
      <c r="B221" t="s">
        <v>591</v>
      </c>
      <c r="C221" t="s">
        <v>592</v>
      </c>
      <c r="D221" s="1">
        <v>46224</v>
      </c>
      <c r="E221">
        <v>2.9563681376373E-2</v>
      </c>
      <c r="F221" t="s">
        <v>4523</v>
      </c>
      <c r="G221" s="1">
        <v>46224.771787731479</v>
      </c>
      <c r="H221" t="s">
        <v>593</v>
      </c>
      <c r="I221" s="1">
        <v>46224.771787812497</v>
      </c>
      <c r="J221" t="s">
        <v>593</v>
      </c>
    </row>
    <row r="222" spans="1:10" x14ac:dyDescent="0.35">
      <c r="A222" t="s">
        <v>230</v>
      </c>
      <c r="B222" t="s">
        <v>591</v>
      </c>
      <c r="C222" t="s">
        <v>592</v>
      </c>
      <c r="D222" s="1">
        <v>46224</v>
      </c>
      <c r="E222">
        <v>5.01180528321283E-2</v>
      </c>
      <c r="F222" t="s">
        <v>4524</v>
      </c>
      <c r="G222" s="1">
        <v>46224.771787731479</v>
      </c>
      <c r="H222" t="s">
        <v>593</v>
      </c>
      <c r="I222" s="1">
        <v>46224.771787812497</v>
      </c>
      <c r="J222" t="s">
        <v>593</v>
      </c>
    </row>
    <row r="223" spans="1:10" x14ac:dyDescent="0.35">
      <c r="A223" t="s">
        <v>172</v>
      </c>
      <c r="B223" t="s">
        <v>591</v>
      </c>
      <c r="C223" t="s">
        <v>592</v>
      </c>
      <c r="D223" s="1">
        <v>46224</v>
      </c>
      <c r="E223">
        <v>5.2289540102849398E-2</v>
      </c>
      <c r="F223" t="s">
        <v>4525</v>
      </c>
      <c r="G223" s="1">
        <v>46224.771787731479</v>
      </c>
      <c r="H223" t="s">
        <v>593</v>
      </c>
      <c r="I223" s="1">
        <v>46224.771787812497</v>
      </c>
      <c r="J223" t="s">
        <v>593</v>
      </c>
    </row>
    <row r="224" spans="1:10" x14ac:dyDescent="0.35">
      <c r="A224" t="s">
        <v>554</v>
      </c>
      <c r="B224" t="s">
        <v>591</v>
      </c>
      <c r="C224" t="s">
        <v>592</v>
      </c>
      <c r="D224" s="1">
        <v>46224</v>
      </c>
      <c r="E224">
        <v>5.0226795638542501E-2</v>
      </c>
      <c r="F224" t="s">
        <v>4526</v>
      </c>
      <c r="G224" s="1">
        <v>46224.771787731479</v>
      </c>
      <c r="H224" t="s">
        <v>593</v>
      </c>
      <c r="I224" s="1">
        <v>46224.771787812497</v>
      </c>
      <c r="J224" t="s">
        <v>593</v>
      </c>
    </row>
    <row r="225" spans="1:10" x14ac:dyDescent="0.35">
      <c r="A225" t="s">
        <v>147</v>
      </c>
      <c r="B225" t="s">
        <v>591</v>
      </c>
      <c r="C225" t="s">
        <v>592</v>
      </c>
      <c r="D225" s="1">
        <v>46224</v>
      </c>
      <c r="E225">
        <v>5.2364253053372598E-2</v>
      </c>
      <c r="F225" t="s">
        <v>4527</v>
      </c>
      <c r="G225" s="1">
        <v>46224.771787731479</v>
      </c>
      <c r="H225" t="s">
        <v>593</v>
      </c>
      <c r="I225" s="1">
        <v>46224.771787812497</v>
      </c>
      <c r="J225" t="s">
        <v>593</v>
      </c>
    </row>
    <row r="226" spans="1:10" x14ac:dyDescent="0.35">
      <c r="A226" t="s">
        <v>148</v>
      </c>
      <c r="B226" t="s">
        <v>591</v>
      </c>
      <c r="C226" t="s">
        <v>592</v>
      </c>
      <c r="D226" s="1">
        <v>46224</v>
      </c>
      <c r="E226">
        <v>5.0528677699378001E-2</v>
      </c>
      <c r="F226" t="s">
        <v>4528</v>
      </c>
      <c r="G226" s="1">
        <v>46224.771787731479</v>
      </c>
      <c r="H226" t="s">
        <v>593</v>
      </c>
      <c r="I226" s="1">
        <v>46224.771787812497</v>
      </c>
      <c r="J226" t="s">
        <v>593</v>
      </c>
    </row>
    <row r="227" spans="1:10" x14ac:dyDescent="0.35">
      <c r="A227" t="s">
        <v>173</v>
      </c>
      <c r="B227" t="s">
        <v>591</v>
      </c>
      <c r="C227" t="s">
        <v>592</v>
      </c>
      <c r="D227" s="1">
        <v>46224</v>
      </c>
      <c r="E227">
        <v>5.2374018076598999E-2</v>
      </c>
      <c r="F227" t="s">
        <v>4529</v>
      </c>
      <c r="G227" s="1">
        <v>46224.771787731479</v>
      </c>
      <c r="H227" t="s">
        <v>593</v>
      </c>
      <c r="I227" s="1">
        <v>46224.771787812497</v>
      </c>
      <c r="J227" t="s">
        <v>593</v>
      </c>
    </row>
    <row r="228" spans="1:10" x14ac:dyDescent="0.35">
      <c r="A228" t="s">
        <v>104</v>
      </c>
      <c r="B228" t="s">
        <v>591</v>
      </c>
      <c r="C228" t="s">
        <v>592</v>
      </c>
      <c r="D228" s="1">
        <v>46224</v>
      </c>
      <c r="E228">
        <v>5.0644936278604002E-2</v>
      </c>
      <c r="F228" t="s">
        <v>4530</v>
      </c>
      <c r="G228" s="1">
        <v>46224.771787731479</v>
      </c>
      <c r="H228" t="s">
        <v>593</v>
      </c>
      <c r="I228" s="1">
        <v>46224.771787812497</v>
      </c>
      <c r="J228" t="s">
        <v>593</v>
      </c>
    </row>
    <row r="229" spans="1:10" x14ac:dyDescent="0.35">
      <c r="A229" t="s">
        <v>231</v>
      </c>
      <c r="B229" t="s">
        <v>591</v>
      </c>
      <c r="C229" t="s">
        <v>592</v>
      </c>
      <c r="D229" s="1">
        <v>46224</v>
      </c>
      <c r="E229">
        <v>5.2259506319675797E-2</v>
      </c>
      <c r="F229" t="s">
        <v>4531</v>
      </c>
      <c r="G229" s="1">
        <v>46224.771787731479</v>
      </c>
      <c r="H229" t="s">
        <v>593</v>
      </c>
      <c r="I229" s="1">
        <v>46224.771787812497</v>
      </c>
      <c r="J229" t="s">
        <v>593</v>
      </c>
    </row>
    <row r="230" spans="1:10" x14ac:dyDescent="0.35">
      <c r="A230" t="s">
        <v>232</v>
      </c>
      <c r="B230" t="s">
        <v>591</v>
      </c>
      <c r="C230" t="s">
        <v>592</v>
      </c>
      <c r="D230" s="1">
        <v>46224</v>
      </c>
      <c r="E230">
        <v>2.9378237930924901E-2</v>
      </c>
      <c r="F230" t="s">
        <v>4532</v>
      </c>
      <c r="G230" s="1">
        <v>46224.771787731479</v>
      </c>
      <c r="H230" t="s">
        <v>593</v>
      </c>
      <c r="I230" s="1">
        <v>46224.771787812497</v>
      </c>
      <c r="J230" t="s">
        <v>593</v>
      </c>
    </row>
    <row r="231" spans="1:10" x14ac:dyDescent="0.35">
      <c r="A231" t="s">
        <v>187</v>
      </c>
      <c r="B231" t="s">
        <v>591</v>
      </c>
      <c r="C231" t="s">
        <v>592</v>
      </c>
      <c r="D231" s="1">
        <v>46224</v>
      </c>
      <c r="E231">
        <v>5.0697828390398797E-2</v>
      </c>
      <c r="F231" t="s">
        <v>4533</v>
      </c>
      <c r="G231" s="1">
        <v>46224.771787731479</v>
      </c>
      <c r="H231" t="s">
        <v>593</v>
      </c>
      <c r="I231" s="1">
        <v>46224.771787812497</v>
      </c>
      <c r="J231" t="s">
        <v>593</v>
      </c>
    </row>
    <row r="232" spans="1:10" x14ac:dyDescent="0.35">
      <c r="A232" t="s">
        <v>174</v>
      </c>
      <c r="B232" t="s">
        <v>591</v>
      </c>
      <c r="C232" t="s">
        <v>592</v>
      </c>
      <c r="D232" s="1">
        <v>46224</v>
      </c>
      <c r="E232">
        <v>5.2117539965126199E-2</v>
      </c>
      <c r="F232" t="s">
        <v>4534</v>
      </c>
      <c r="G232" s="1">
        <v>46224.771787731479</v>
      </c>
      <c r="H232" t="s">
        <v>593</v>
      </c>
      <c r="I232" s="1">
        <v>46224.771787812497</v>
      </c>
      <c r="J232" t="s">
        <v>593</v>
      </c>
    </row>
    <row r="233" spans="1:10" x14ac:dyDescent="0.35">
      <c r="A233" t="s">
        <v>214</v>
      </c>
      <c r="B233" t="s">
        <v>591</v>
      </c>
      <c r="C233" t="s">
        <v>592</v>
      </c>
      <c r="D233" s="1">
        <v>46224</v>
      </c>
      <c r="E233">
        <v>5.0634165622193202E-2</v>
      </c>
      <c r="F233" t="s">
        <v>4535</v>
      </c>
      <c r="G233" s="1">
        <v>46224.771787731479</v>
      </c>
      <c r="H233" t="s">
        <v>593</v>
      </c>
      <c r="I233" s="1">
        <v>46224.771787812497</v>
      </c>
      <c r="J233" t="s">
        <v>593</v>
      </c>
    </row>
    <row r="234" spans="1:10" x14ac:dyDescent="0.35">
      <c r="A234" t="s">
        <v>175</v>
      </c>
      <c r="B234" t="s">
        <v>591</v>
      </c>
      <c r="C234" t="s">
        <v>592</v>
      </c>
      <c r="D234" s="1">
        <v>46224</v>
      </c>
      <c r="E234">
        <v>5.2063836867885897E-2</v>
      </c>
      <c r="F234" t="s">
        <v>4536</v>
      </c>
      <c r="G234" s="1">
        <v>46224.771787731479</v>
      </c>
      <c r="H234" t="s">
        <v>593</v>
      </c>
      <c r="I234" s="1">
        <v>46224.771787812497</v>
      </c>
      <c r="J234" t="s">
        <v>593</v>
      </c>
    </row>
    <row r="235" spans="1:10" x14ac:dyDescent="0.35">
      <c r="A235" t="s">
        <v>188</v>
      </c>
      <c r="B235" t="s">
        <v>591</v>
      </c>
      <c r="C235" t="s">
        <v>592</v>
      </c>
      <c r="D235" s="1">
        <v>46224</v>
      </c>
      <c r="E235">
        <v>5.07305240114551E-2</v>
      </c>
      <c r="F235" t="s">
        <v>4537</v>
      </c>
      <c r="G235" s="1">
        <v>46224.771787731479</v>
      </c>
      <c r="H235" t="s">
        <v>593</v>
      </c>
      <c r="I235" s="1">
        <v>46224.771787812497</v>
      </c>
      <c r="J235" t="s">
        <v>593</v>
      </c>
    </row>
    <row r="236" spans="1:10" x14ac:dyDescent="0.35">
      <c r="A236" t="s">
        <v>215</v>
      </c>
      <c r="B236" t="s">
        <v>591</v>
      </c>
      <c r="C236" t="s">
        <v>592</v>
      </c>
      <c r="D236" s="1">
        <v>46224</v>
      </c>
      <c r="E236">
        <v>5.1902894920737498E-2</v>
      </c>
      <c r="F236" t="s">
        <v>4538</v>
      </c>
      <c r="G236" s="1">
        <v>46224.771787731479</v>
      </c>
      <c r="H236" t="s">
        <v>593</v>
      </c>
      <c r="I236" s="1">
        <v>46224.771787812497</v>
      </c>
      <c r="J236" t="s">
        <v>593</v>
      </c>
    </row>
    <row r="237" spans="1:10" x14ac:dyDescent="0.35">
      <c r="A237" t="s">
        <v>149</v>
      </c>
      <c r="B237" t="s">
        <v>591</v>
      </c>
      <c r="C237" t="s">
        <v>592</v>
      </c>
      <c r="D237" s="1">
        <v>46224</v>
      </c>
      <c r="E237">
        <v>5.07566795033777E-2</v>
      </c>
      <c r="F237" t="s">
        <v>4539</v>
      </c>
      <c r="G237" s="1">
        <v>46224.771787731479</v>
      </c>
      <c r="H237" t="s">
        <v>593</v>
      </c>
      <c r="I237" s="1">
        <v>46224.771787812497</v>
      </c>
      <c r="J237" t="s">
        <v>593</v>
      </c>
    </row>
    <row r="238" spans="1:10" x14ac:dyDescent="0.35">
      <c r="A238" t="s">
        <v>150</v>
      </c>
      <c r="B238" t="s">
        <v>591</v>
      </c>
      <c r="C238" t="s">
        <v>592</v>
      </c>
      <c r="D238" s="1">
        <v>46224</v>
      </c>
      <c r="E238">
        <v>5.18959382697032E-2</v>
      </c>
      <c r="F238" t="s">
        <v>4540</v>
      </c>
      <c r="G238" s="1">
        <v>46224.771787731479</v>
      </c>
      <c r="H238" t="s">
        <v>593</v>
      </c>
      <c r="I238" s="1">
        <v>46224.771787812497</v>
      </c>
      <c r="J238" t="s">
        <v>593</v>
      </c>
    </row>
    <row r="239" spans="1:10" x14ac:dyDescent="0.35">
      <c r="A239" t="s">
        <v>151</v>
      </c>
      <c r="B239" t="s">
        <v>591</v>
      </c>
      <c r="C239" t="s">
        <v>592</v>
      </c>
      <c r="D239" s="1">
        <v>46224</v>
      </c>
      <c r="E239">
        <v>2.95245889495288E-2</v>
      </c>
      <c r="F239" t="s">
        <v>4541</v>
      </c>
      <c r="G239" s="1">
        <v>46224.771787731479</v>
      </c>
      <c r="H239" t="s">
        <v>593</v>
      </c>
      <c r="I239" s="1">
        <v>46224.771787812497</v>
      </c>
      <c r="J239" t="s">
        <v>593</v>
      </c>
    </row>
    <row r="240" spans="1:10" x14ac:dyDescent="0.35">
      <c r="A240" t="s">
        <v>176</v>
      </c>
      <c r="B240" t="s">
        <v>591</v>
      </c>
      <c r="C240" t="s">
        <v>592</v>
      </c>
      <c r="D240" s="1">
        <v>46224</v>
      </c>
      <c r="E240">
        <v>5.0876767825755197E-2</v>
      </c>
      <c r="F240" t="s">
        <v>4542</v>
      </c>
      <c r="G240" s="1">
        <v>46224.771787731479</v>
      </c>
      <c r="H240" t="s">
        <v>593</v>
      </c>
      <c r="I240" s="1">
        <v>46224.771787812497</v>
      </c>
      <c r="J240" t="s">
        <v>593</v>
      </c>
    </row>
    <row r="241" spans="1:10" x14ac:dyDescent="0.35">
      <c r="A241" t="s">
        <v>177</v>
      </c>
      <c r="B241" t="s">
        <v>591</v>
      </c>
      <c r="C241" t="s">
        <v>592</v>
      </c>
      <c r="D241" s="1">
        <v>46224</v>
      </c>
      <c r="E241">
        <v>5.1883709290607698E-2</v>
      </c>
      <c r="F241" t="s">
        <v>4543</v>
      </c>
      <c r="G241" s="1">
        <v>46224.771787731479</v>
      </c>
      <c r="H241" t="s">
        <v>593</v>
      </c>
      <c r="I241" s="1">
        <v>46224.771787812497</v>
      </c>
      <c r="J241" t="s">
        <v>593</v>
      </c>
    </row>
    <row r="242" spans="1:10" x14ac:dyDescent="0.35">
      <c r="A242" t="s">
        <v>229</v>
      </c>
      <c r="B242" t="s">
        <v>591</v>
      </c>
      <c r="C242" t="s">
        <v>592</v>
      </c>
      <c r="D242" s="1">
        <v>46224</v>
      </c>
      <c r="E242">
        <v>5.0961979418729597E-2</v>
      </c>
      <c r="F242" t="s">
        <v>4544</v>
      </c>
      <c r="G242" s="1">
        <v>46224.771787731479</v>
      </c>
      <c r="H242" t="s">
        <v>593</v>
      </c>
      <c r="I242" s="1">
        <v>46224.771787812497</v>
      </c>
      <c r="J242" t="s">
        <v>593</v>
      </c>
    </row>
    <row r="243" spans="1:10" x14ac:dyDescent="0.35">
      <c r="A243" t="s">
        <v>216</v>
      </c>
      <c r="B243" t="s">
        <v>591</v>
      </c>
      <c r="C243" t="s">
        <v>592</v>
      </c>
      <c r="D243" s="1">
        <v>46224</v>
      </c>
      <c r="E243">
        <v>5.17743518675347E-2</v>
      </c>
      <c r="F243" t="s">
        <v>4545</v>
      </c>
      <c r="G243" s="1">
        <v>46224.771787731479</v>
      </c>
      <c r="H243" t="s">
        <v>593</v>
      </c>
      <c r="I243" s="1">
        <v>46224.771787812497</v>
      </c>
      <c r="J243" t="s">
        <v>593</v>
      </c>
    </row>
    <row r="244" spans="1:10" x14ac:dyDescent="0.35">
      <c r="A244" t="s">
        <v>233</v>
      </c>
      <c r="B244" t="s">
        <v>591</v>
      </c>
      <c r="C244" t="s">
        <v>592</v>
      </c>
      <c r="D244" s="1">
        <v>46224</v>
      </c>
      <c r="E244">
        <v>5.0973602463409901E-2</v>
      </c>
      <c r="F244" t="s">
        <v>4546</v>
      </c>
      <c r="G244" s="1">
        <v>46224.771787731479</v>
      </c>
      <c r="H244" t="s">
        <v>593</v>
      </c>
      <c r="I244" s="1">
        <v>46224.771787812497</v>
      </c>
      <c r="J244" t="s">
        <v>593</v>
      </c>
    </row>
    <row r="245" spans="1:10" x14ac:dyDescent="0.35">
      <c r="A245" t="s">
        <v>105</v>
      </c>
      <c r="B245" t="s">
        <v>591</v>
      </c>
      <c r="C245" t="s">
        <v>592</v>
      </c>
      <c r="D245" s="1">
        <v>46224</v>
      </c>
      <c r="E245">
        <v>5.1678382755991098E-2</v>
      </c>
      <c r="F245" t="s">
        <v>4547</v>
      </c>
      <c r="G245" s="1">
        <v>46224.771787731479</v>
      </c>
      <c r="H245" t="s">
        <v>593</v>
      </c>
      <c r="I245" s="1">
        <v>46224.771787812497</v>
      </c>
      <c r="J245" t="s">
        <v>593</v>
      </c>
    </row>
    <row r="246" spans="1:10" x14ac:dyDescent="0.35">
      <c r="A246" t="s">
        <v>178</v>
      </c>
      <c r="B246" t="s">
        <v>591</v>
      </c>
      <c r="C246" t="s">
        <v>592</v>
      </c>
      <c r="D246" s="1">
        <v>46224</v>
      </c>
      <c r="E246">
        <v>5.0957556976952E-2</v>
      </c>
      <c r="F246" t="s">
        <v>4548</v>
      </c>
      <c r="G246" s="1">
        <v>46224.771787731479</v>
      </c>
      <c r="H246" t="s">
        <v>593</v>
      </c>
      <c r="I246" s="1">
        <v>46224.771787812497</v>
      </c>
      <c r="J246" t="s">
        <v>593</v>
      </c>
    </row>
    <row r="247" spans="1:10" x14ac:dyDescent="0.35">
      <c r="A247" t="s">
        <v>217</v>
      </c>
      <c r="B247" t="s">
        <v>591</v>
      </c>
      <c r="C247" t="s">
        <v>592</v>
      </c>
      <c r="D247" s="1">
        <v>46224</v>
      </c>
      <c r="E247">
        <v>5.16974787244757E-2</v>
      </c>
      <c r="F247" t="s">
        <v>4549</v>
      </c>
      <c r="G247" s="1">
        <v>46224.771787731479</v>
      </c>
      <c r="H247" t="s">
        <v>593</v>
      </c>
      <c r="I247" s="1">
        <v>46224.771787812497</v>
      </c>
      <c r="J247" t="s">
        <v>593</v>
      </c>
    </row>
    <row r="248" spans="1:10" x14ac:dyDescent="0.35">
      <c r="A248" t="s">
        <v>152</v>
      </c>
      <c r="B248" t="s">
        <v>591</v>
      </c>
      <c r="C248" t="s">
        <v>592</v>
      </c>
      <c r="D248" s="1">
        <v>46224</v>
      </c>
      <c r="E248">
        <v>2.9497800890148699E-2</v>
      </c>
      <c r="F248" t="s">
        <v>4550</v>
      </c>
      <c r="G248" s="1">
        <v>46224.771787731479</v>
      </c>
      <c r="H248" t="s">
        <v>593</v>
      </c>
      <c r="I248" s="1">
        <v>46224.771787812497</v>
      </c>
      <c r="J248" t="s">
        <v>593</v>
      </c>
    </row>
    <row r="249" spans="1:10" x14ac:dyDescent="0.35">
      <c r="A249" t="s">
        <v>189</v>
      </c>
      <c r="B249" t="s">
        <v>591</v>
      </c>
      <c r="C249" t="s">
        <v>592</v>
      </c>
      <c r="D249" s="1">
        <v>46224</v>
      </c>
      <c r="E249">
        <v>5.1123916641305202E-2</v>
      </c>
      <c r="F249" t="s">
        <v>4551</v>
      </c>
      <c r="G249" s="1">
        <v>46224.771787731479</v>
      </c>
      <c r="H249" t="s">
        <v>593</v>
      </c>
      <c r="I249" s="1">
        <v>46224.771787812497</v>
      </c>
      <c r="J249" t="s">
        <v>593</v>
      </c>
    </row>
    <row r="250" spans="1:10" x14ac:dyDescent="0.35">
      <c r="A250" t="s">
        <v>190</v>
      </c>
      <c r="B250" t="s">
        <v>591</v>
      </c>
      <c r="C250" t="s">
        <v>592</v>
      </c>
      <c r="D250" s="1">
        <v>46224</v>
      </c>
      <c r="E250">
        <v>5.1575855007035099E-2</v>
      </c>
      <c r="F250" t="s">
        <v>4552</v>
      </c>
      <c r="G250" s="1">
        <v>46224.771787731479</v>
      </c>
      <c r="H250" t="s">
        <v>593</v>
      </c>
      <c r="I250" s="1">
        <v>46224.771787812497</v>
      </c>
      <c r="J250" t="s">
        <v>593</v>
      </c>
    </row>
    <row r="251" spans="1:10" x14ac:dyDescent="0.35">
      <c r="A251" t="s">
        <v>218</v>
      </c>
      <c r="B251" t="s">
        <v>591</v>
      </c>
      <c r="C251" t="s">
        <v>592</v>
      </c>
      <c r="D251" s="1">
        <v>46224</v>
      </c>
      <c r="E251">
        <v>5.1160997084078799E-2</v>
      </c>
      <c r="F251" t="s">
        <v>4553</v>
      </c>
      <c r="G251" s="1">
        <v>46224.771787731479</v>
      </c>
      <c r="H251" t="s">
        <v>593</v>
      </c>
      <c r="I251" s="1">
        <v>46224.771787812497</v>
      </c>
      <c r="J251" t="s">
        <v>593</v>
      </c>
    </row>
    <row r="252" spans="1:10" x14ac:dyDescent="0.35">
      <c r="A252" t="s">
        <v>106</v>
      </c>
      <c r="B252" t="s">
        <v>591</v>
      </c>
      <c r="C252" t="s">
        <v>592</v>
      </c>
      <c r="D252" s="1">
        <v>46224</v>
      </c>
      <c r="E252">
        <v>5.1579571267966397E-2</v>
      </c>
      <c r="F252" t="s">
        <v>4554</v>
      </c>
      <c r="G252" s="1">
        <v>46224.771787731479</v>
      </c>
      <c r="H252" t="s">
        <v>593</v>
      </c>
      <c r="I252" s="1">
        <v>46224.771787812497</v>
      </c>
      <c r="J252" t="s">
        <v>593</v>
      </c>
    </row>
    <row r="253" spans="1:10" x14ac:dyDescent="0.35">
      <c r="A253" t="s">
        <v>247</v>
      </c>
      <c r="B253" t="s">
        <v>591</v>
      </c>
      <c r="C253" t="s">
        <v>592</v>
      </c>
      <c r="D253" s="1">
        <v>46224</v>
      </c>
      <c r="E253">
        <v>5.13306899744864E-2</v>
      </c>
      <c r="F253" t="s">
        <v>4555</v>
      </c>
      <c r="G253" s="1">
        <v>46224.771787731479</v>
      </c>
      <c r="H253" t="s">
        <v>593</v>
      </c>
      <c r="I253" s="1">
        <v>46224.771787812497</v>
      </c>
      <c r="J253" t="s">
        <v>593</v>
      </c>
    </row>
    <row r="254" spans="1:10" x14ac:dyDescent="0.35">
      <c r="A254" t="s">
        <v>107</v>
      </c>
      <c r="B254" t="s">
        <v>591</v>
      </c>
      <c r="C254" t="s">
        <v>592</v>
      </c>
      <c r="D254" s="1">
        <v>46224</v>
      </c>
      <c r="E254">
        <v>5.15480417430354E-2</v>
      </c>
      <c r="F254" t="s">
        <v>4556</v>
      </c>
      <c r="G254" s="1">
        <v>46224.771787731479</v>
      </c>
      <c r="H254" t="s">
        <v>593</v>
      </c>
      <c r="I254" s="1">
        <v>46224.771787812497</v>
      </c>
      <c r="J254" t="s">
        <v>593</v>
      </c>
    </row>
    <row r="255" spans="1:10" x14ac:dyDescent="0.35">
      <c r="A255" t="s">
        <v>219</v>
      </c>
      <c r="B255" t="s">
        <v>591</v>
      </c>
      <c r="C255" t="s">
        <v>592</v>
      </c>
      <c r="D255" s="1">
        <v>46224</v>
      </c>
      <c r="E255">
        <v>5.12956879204527E-2</v>
      </c>
      <c r="F255" t="s">
        <v>4557</v>
      </c>
      <c r="G255" s="1">
        <v>46224.771787731479</v>
      </c>
      <c r="H255" t="s">
        <v>593</v>
      </c>
      <c r="I255" s="1">
        <v>46224.771787812497</v>
      </c>
      <c r="J255" t="s">
        <v>593</v>
      </c>
    </row>
    <row r="256" spans="1:10" x14ac:dyDescent="0.35">
      <c r="A256" t="s">
        <v>108</v>
      </c>
      <c r="B256" t="s">
        <v>591</v>
      </c>
      <c r="C256" t="s">
        <v>592</v>
      </c>
      <c r="D256" s="1">
        <v>46224</v>
      </c>
      <c r="E256">
        <v>5.1488939469362102E-2</v>
      </c>
      <c r="F256" t="s">
        <v>4558</v>
      </c>
      <c r="G256" s="1">
        <v>46224.771787731479</v>
      </c>
      <c r="H256" t="s">
        <v>593</v>
      </c>
      <c r="I256" s="1">
        <v>46224.771787812497</v>
      </c>
      <c r="J256" t="s">
        <v>593</v>
      </c>
    </row>
    <row r="257" spans="1:10" x14ac:dyDescent="0.35">
      <c r="A257" t="s">
        <v>191</v>
      </c>
      <c r="B257" t="s">
        <v>591</v>
      </c>
      <c r="C257" t="s">
        <v>592</v>
      </c>
      <c r="D257" s="1">
        <v>46224</v>
      </c>
      <c r="E257">
        <v>2.94267780111588E-2</v>
      </c>
      <c r="F257" t="s">
        <v>4559</v>
      </c>
      <c r="G257" s="1">
        <v>46224.771787731479</v>
      </c>
      <c r="H257" t="s">
        <v>593</v>
      </c>
      <c r="I257" s="1">
        <v>46224.771787812497</v>
      </c>
      <c r="J257" t="s">
        <v>593</v>
      </c>
    </row>
    <row r="258" spans="1:10" x14ac:dyDescent="0.35">
      <c r="A258" t="s">
        <v>234</v>
      </c>
      <c r="B258" t="s">
        <v>591</v>
      </c>
      <c r="C258" t="s">
        <v>592</v>
      </c>
      <c r="D258" s="1">
        <v>46224</v>
      </c>
      <c r="E258">
        <v>5.1324524863629699E-2</v>
      </c>
      <c r="F258" t="s">
        <v>4560</v>
      </c>
      <c r="G258" s="1">
        <v>46224.771787731479</v>
      </c>
      <c r="H258" t="s">
        <v>593</v>
      </c>
      <c r="I258" s="1">
        <v>46224.771787812497</v>
      </c>
      <c r="J258" t="s">
        <v>593</v>
      </c>
    </row>
    <row r="259" spans="1:10" x14ac:dyDescent="0.35">
      <c r="A259" t="s">
        <v>153</v>
      </c>
      <c r="B259" t="s">
        <v>591</v>
      </c>
      <c r="C259" t="s">
        <v>592</v>
      </c>
      <c r="D259" s="1">
        <v>46224</v>
      </c>
      <c r="E259">
        <v>5.14595908762129E-2</v>
      </c>
      <c r="F259" t="s">
        <v>4561</v>
      </c>
      <c r="G259" s="1">
        <v>46224.771787731479</v>
      </c>
      <c r="H259" t="s">
        <v>593</v>
      </c>
      <c r="I259" s="1">
        <v>46224.771787812497</v>
      </c>
      <c r="J259" t="s">
        <v>593</v>
      </c>
    </row>
    <row r="260" spans="1:10" x14ac:dyDescent="0.35">
      <c r="A260" t="s">
        <v>109</v>
      </c>
      <c r="B260" t="s">
        <v>591</v>
      </c>
      <c r="C260" t="s">
        <v>592</v>
      </c>
      <c r="D260" s="1">
        <v>46224</v>
      </c>
      <c r="E260">
        <v>5.1311562717588098E-2</v>
      </c>
      <c r="F260" t="s">
        <v>4562</v>
      </c>
      <c r="G260" s="1">
        <v>46224.771787731479</v>
      </c>
      <c r="H260" t="s">
        <v>593</v>
      </c>
      <c r="I260" s="1">
        <v>46224.771787812497</v>
      </c>
      <c r="J260" t="s">
        <v>593</v>
      </c>
    </row>
    <row r="261" spans="1:10" x14ac:dyDescent="0.35">
      <c r="A261" t="s">
        <v>110</v>
      </c>
      <c r="B261" t="s">
        <v>591</v>
      </c>
      <c r="C261" t="s">
        <v>592</v>
      </c>
      <c r="D261" s="1">
        <v>46224</v>
      </c>
      <c r="E261">
        <v>5.14191052311989E-2</v>
      </c>
      <c r="F261" t="s">
        <v>4563</v>
      </c>
      <c r="G261" s="1">
        <v>46224.771787731479</v>
      </c>
      <c r="H261" t="s">
        <v>593</v>
      </c>
      <c r="I261" s="1">
        <v>46224.771787812497</v>
      </c>
      <c r="J261" t="s">
        <v>593</v>
      </c>
    </row>
    <row r="262" spans="1:10" x14ac:dyDescent="0.35">
      <c r="A262" t="s">
        <v>154</v>
      </c>
      <c r="B262" t="s">
        <v>591</v>
      </c>
      <c r="C262" t="s">
        <v>592</v>
      </c>
      <c r="D262" s="1">
        <v>46224</v>
      </c>
      <c r="E262">
        <v>5.1402520980234401E-2</v>
      </c>
      <c r="F262" t="s">
        <v>4564</v>
      </c>
      <c r="G262" s="1">
        <v>46224.771787731479</v>
      </c>
      <c r="H262" t="s">
        <v>593</v>
      </c>
      <c r="I262" s="1">
        <v>46224.771787812497</v>
      </c>
      <c r="J262" t="s">
        <v>593</v>
      </c>
    </row>
    <row r="263" spans="1:10" x14ac:dyDescent="0.35">
      <c r="A263" t="s">
        <v>111</v>
      </c>
      <c r="B263" t="s">
        <v>591</v>
      </c>
      <c r="C263" t="s">
        <v>592</v>
      </c>
      <c r="D263" s="1">
        <v>46224</v>
      </c>
      <c r="E263">
        <v>5.13962622466771E-2</v>
      </c>
      <c r="F263" t="s">
        <v>4565</v>
      </c>
      <c r="G263" s="1">
        <v>46224.771787731479</v>
      </c>
      <c r="H263" t="s">
        <v>593</v>
      </c>
      <c r="I263" s="1">
        <v>46224.771787812497</v>
      </c>
      <c r="J263" t="s">
        <v>593</v>
      </c>
    </row>
    <row r="264" spans="1:10" x14ac:dyDescent="0.35">
      <c r="A264" t="s">
        <v>155</v>
      </c>
      <c r="B264" t="s">
        <v>591</v>
      </c>
      <c r="C264" t="s">
        <v>592</v>
      </c>
      <c r="D264" s="1">
        <v>46224</v>
      </c>
      <c r="E264">
        <v>5.14526384431232E-2</v>
      </c>
      <c r="F264" t="s">
        <v>4566</v>
      </c>
      <c r="G264" s="1">
        <v>46224.771787731479</v>
      </c>
      <c r="H264" t="s">
        <v>593</v>
      </c>
      <c r="I264" s="1">
        <v>46224.771787812497</v>
      </c>
      <c r="J264" t="s">
        <v>593</v>
      </c>
    </row>
    <row r="265" spans="1:10" x14ac:dyDescent="0.35">
      <c r="A265" t="s">
        <v>112</v>
      </c>
      <c r="B265" t="s">
        <v>591</v>
      </c>
      <c r="C265" t="s">
        <v>592</v>
      </c>
      <c r="D265" s="1">
        <v>46224</v>
      </c>
      <c r="E265">
        <v>5.1329507364173799E-2</v>
      </c>
      <c r="F265" t="s">
        <v>4567</v>
      </c>
      <c r="G265" s="1">
        <v>46224.771787731479</v>
      </c>
      <c r="H265" t="s">
        <v>593</v>
      </c>
      <c r="I265" s="1">
        <v>46224.771787812497</v>
      </c>
      <c r="J265" t="s">
        <v>593</v>
      </c>
    </row>
    <row r="266" spans="1:10" x14ac:dyDescent="0.35">
      <c r="A266" t="s">
        <v>220</v>
      </c>
      <c r="B266" t="s">
        <v>591</v>
      </c>
      <c r="C266" t="s">
        <v>592</v>
      </c>
      <c r="D266" s="1">
        <v>46224</v>
      </c>
      <c r="E266">
        <v>2.9292648320785201E-2</v>
      </c>
      <c r="F266" t="s">
        <v>4568</v>
      </c>
      <c r="G266" s="1">
        <v>46224.771787731479</v>
      </c>
      <c r="H266" t="s">
        <v>593</v>
      </c>
      <c r="I266" s="1">
        <v>46224.771787812497</v>
      </c>
      <c r="J266" t="s">
        <v>593</v>
      </c>
    </row>
    <row r="267" spans="1:10" x14ac:dyDescent="0.35">
      <c r="A267" t="s">
        <v>113</v>
      </c>
      <c r="B267" t="s">
        <v>591</v>
      </c>
      <c r="C267" t="s">
        <v>592</v>
      </c>
      <c r="D267" s="1">
        <v>46224</v>
      </c>
      <c r="E267">
        <v>5.1494600002811697E-2</v>
      </c>
      <c r="F267" t="s">
        <v>4569</v>
      </c>
      <c r="G267" s="1">
        <v>46224.771787731479</v>
      </c>
      <c r="H267" t="s">
        <v>593</v>
      </c>
      <c r="I267" s="1">
        <v>46224.771787812497</v>
      </c>
      <c r="J267" t="s">
        <v>593</v>
      </c>
    </row>
    <row r="268" spans="1:10" x14ac:dyDescent="0.35">
      <c r="A268" t="s">
        <v>1658</v>
      </c>
      <c r="B268" t="s">
        <v>591</v>
      </c>
      <c r="C268" t="s">
        <v>592</v>
      </c>
      <c r="D268" s="1">
        <v>46224</v>
      </c>
      <c r="E268">
        <v>5.1301719984302302E-2</v>
      </c>
      <c r="F268" t="s">
        <v>4570</v>
      </c>
      <c r="G268" s="1">
        <v>46224.771787731479</v>
      </c>
      <c r="H268" t="s">
        <v>593</v>
      </c>
      <c r="I268" s="1">
        <v>46224.771787812497</v>
      </c>
      <c r="J268" t="s">
        <v>593</v>
      </c>
    </row>
    <row r="269" spans="1:10" x14ac:dyDescent="0.35">
      <c r="A269" t="s">
        <v>1664</v>
      </c>
      <c r="B269" t="s">
        <v>591</v>
      </c>
      <c r="C269" t="s">
        <v>592</v>
      </c>
      <c r="D269" s="1">
        <v>46224</v>
      </c>
      <c r="E269">
        <v>5.1418920153221997E-2</v>
      </c>
      <c r="F269" t="s">
        <v>4571</v>
      </c>
      <c r="G269" s="1">
        <v>46224.771787731479</v>
      </c>
      <c r="H269" t="s">
        <v>593</v>
      </c>
      <c r="I269" s="1">
        <v>46224.771787812497</v>
      </c>
      <c r="J269" t="s">
        <v>593</v>
      </c>
    </row>
    <row r="270" spans="1:10" x14ac:dyDescent="0.35">
      <c r="A270" t="s">
        <v>273</v>
      </c>
      <c r="B270" t="s">
        <v>591</v>
      </c>
      <c r="C270" t="s">
        <v>592</v>
      </c>
      <c r="D270" s="1">
        <v>46224</v>
      </c>
      <c r="E270">
        <v>4.24597765558654E-2</v>
      </c>
      <c r="F270" t="s">
        <v>4572</v>
      </c>
      <c r="G270" s="1">
        <v>46224.771787731479</v>
      </c>
      <c r="H270" t="s">
        <v>593</v>
      </c>
      <c r="I270" s="1">
        <v>46224.771787812497</v>
      </c>
      <c r="J270" t="s">
        <v>593</v>
      </c>
    </row>
    <row r="271" spans="1:10" x14ac:dyDescent="0.35">
      <c r="A271" t="s">
        <v>156</v>
      </c>
      <c r="B271" t="s">
        <v>591</v>
      </c>
      <c r="C271" t="s">
        <v>592</v>
      </c>
      <c r="D271" s="1">
        <v>46224</v>
      </c>
      <c r="E271">
        <v>4.2519605407033603E-2</v>
      </c>
      <c r="F271" t="s">
        <v>4573</v>
      </c>
      <c r="G271" s="1">
        <v>46224.771787731479</v>
      </c>
      <c r="H271" t="s">
        <v>593</v>
      </c>
      <c r="I271" s="1">
        <v>46224.771787812497</v>
      </c>
      <c r="J271" t="s">
        <v>593</v>
      </c>
    </row>
    <row r="272" spans="1:10" x14ac:dyDescent="0.35">
      <c r="A272" t="s">
        <v>235</v>
      </c>
      <c r="B272" t="s">
        <v>591</v>
      </c>
      <c r="C272" t="s">
        <v>592</v>
      </c>
      <c r="D272" s="1">
        <v>46224</v>
      </c>
      <c r="E272">
        <v>4.0914715015443602E-2</v>
      </c>
      <c r="F272" t="s">
        <v>4574</v>
      </c>
      <c r="G272" s="1">
        <v>46224.771787731479</v>
      </c>
      <c r="H272" t="s">
        <v>593</v>
      </c>
      <c r="I272" s="1">
        <v>46224.771787812497</v>
      </c>
      <c r="J272" t="s">
        <v>593</v>
      </c>
    </row>
    <row r="273" spans="1:10" x14ac:dyDescent="0.35">
      <c r="A273" t="s">
        <v>269</v>
      </c>
      <c r="B273" t="s">
        <v>591</v>
      </c>
      <c r="C273" t="s">
        <v>592</v>
      </c>
      <c r="D273" s="1">
        <v>46224</v>
      </c>
      <c r="E273">
        <v>4.2904849036379797E-2</v>
      </c>
      <c r="F273" t="s">
        <v>4575</v>
      </c>
      <c r="G273" s="1">
        <v>46224.771787731479</v>
      </c>
      <c r="H273" t="s">
        <v>593</v>
      </c>
      <c r="I273" s="1">
        <v>46224.771787812497</v>
      </c>
      <c r="J273" t="s">
        <v>593</v>
      </c>
    </row>
    <row r="274" spans="1:10" x14ac:dyDescent="0.35">
      <c r="A274" t="s">
        <v>1982</v>
      </c>
      <c r="B274" t="s">
        <v>591</v>
      </c>
      <c r="C274" t="s">
        <v>592</v>
      </c>
      <c r="D274" s="1">
        <v>46224</v>
      </c>
      <c r="E274">
        <v>3.6244993934413397E-2</v>
      </c>
      <c r="F274" t="s">
        <v>4576</v>
      </c>
      <c r="G274" s="1">
        <v>46224.771787731479</v>
      </c>
      <c r="H274" t="s">
        <v>593</v>
      </c>
      <c r="I274" s="1">
        <v>46224.771787812497</v>
      </c>
      <c r="J274" t="s">
        <v>593</v>
      </c>
    </row>
    <row r="275" spans="1:10" x14ac:dyDescent="0.35">
      <c r="A275" t="s">
        <v>2263</v>
      </c>
      <c r="B275" t="s">
        <v>591</v>
      </c>
      <c r="C275" t="s">
        <v>592</v>
      </c>
      <c r="D275" s="1">
        <v>46224</v>
      </c>
      <c r="E275">
        <v>3.9559996598361603E-2</v>
      </c>
      <c r="F275" t="s">
        <v>4577</v>
      </c>
      <c r="G275" s="1">
        <v>46224.771787731479</v>
      </c>
      <c r="H275" t="s">
        <v>593</v>
      </c>
      <c r="I275" s="1">
        <v>46224.771787812497</v>
      </c>
      <c r="J275" t="s">
        <v>593</v>
      </c>
    </row>
    <row r="276" spans="1:10" x14ac:dyDescent="0.35">
      <c r="A276" t="s">
        <v>2228</v>
      </c>
      <c r="B276" t="s">
        <v>591</v>
      </c>
      <c r="C276" t="s">
        <v>592</v>
      </c>
      <c r="D276" s="1">
        <v>46224</v>
      </c>
      <c r="E276">
        <v>3.96549979085698E-2</v>
      </c>
      <c r="F276" t="s">
        <v>4578</v>
      </c>
      <c r="G276" s="1">
        <v>46224.771787731479</v>
      </c>
      <c r="H276" t="s">
        <v>593</v>
      </c>
      <c r="I276" s="1">
        <v>46224.771787812497</v>
      </c>
      <c r="J276" t="s">
        <v>593</v>
      </c>
    </row>
    <row r="277" spans="1:10" x14ac:dyDescent="0.35">
      <c r="A277" t="s">
        <v>2230</v>
      </c>
      <c r="B277" t="s">
        <v>591</v>
      </c>
      <c r="C277" t="s">
        <v>592</v>
      </c>
      <c r="D277" s="1">
        <v>46224</v>
      </c>
      <c r="E277">
        <v>3.9749998679601599E-2</v>
      </c>
      <c r="F277" t="s">
        <v>4579</v>
      </c>
      <c r="G277" s="1">
        <v>46224.771787731479</v>
      </c>
      <c r="H277" t="s">
        <v>593</v>
      </c>
      <c r="I277" s="1">
        <v>46224.771787812497</v>
      </c>
      <c r="J277" t="s">
        <v>593</v>
      </c>
    </row>
    <row r="278" spans="1:10" x14ac:dyDescent="0.35">
      <c r="A278" t="s">
        <v>274</v>
      </c>
      <c r="B278" t="s">
        <v>591</v>
      </c>
      <c r="C278" t="s">
        <v>592</v>
      </c>
      <c r="D278" s="1">
        <v>46224</v>
      </c>
      <c r="E278">
        <v>4.3004814698863497E-2</v>
      </c>
      <c r="F278" t="s">
        <v>4580</v>
      </c>
      <c r="G278" s="1">
        <v>46224.771787731479</v>
      </c>
      <c r="H278" t="s">
        <v>593</v>
      </c>
      <c r="I278" s="1">
        <v>46224.771787812497</v>
      </c>
      <c r="J278" t="s">
        <v>593</v>
      </c>
    </row>
    <row r="279" spans="1:10" x14ac:dyDescent="0.35">
      <c r="A279" t="s">
        <v>2255</v>
      </c>
      <c r="B279" t="s">
        <v>591</v>
      </c>
      <c r="C279" t="s">
        <v>592</v>
      </c>
      <c r="D279" s="1">
        <v>46224</v>
      </c>
      <c r="E279">
        <v>3.9899999102326701E-2</v>
      </c>
      <c r="F279" t="s">
        <v>4581</v>
      </c>
      <c r="G279" s="1">
        <v>46224.771787731479</v>
      </c>
      <c r="H279" t="s">
        <v>593</v>
      </c>
      <c r="I279" s="1">
        <v>46224.771787812497</v>
      </c>
      <c r="J279" t="s">
        <v>593</v>
      </c>
    </row>
    <row r="280" spans="1:10" x14ac:dyDescent="0.35">
      <c r="A280" t="s">
        <v>2265</v>
      </c>
      <c r="B280" t="s">
        <v>591</v>
      </c>
      <c r="C280" t="s">
        <v>592</v>
      </c>
      <c r="D280" s="1">
        <v>46224</v>
      </c>
      <c r="E280">
        <v>4.0034999074516901E-2</v>
      </c>
      <c r="F280" t="s">
        <v>4582</v>
      </c>
      <c r="G280" s="1">
        <v>46224.771787731479</v>
      </c>
      <c r="H280" t="s">
        <v>593</v>
      </c>
      <c r="I280" s="1">
        <v>46224.771787812497</v>
      </c>
      <c r="J280" t="s">
        <v>593</v>
      </c>
    </row>
    <row r="281" spans="1:10" x14ac:dyDescent="0.35">
      <c r="A281" t="s">
        <v>2193</v>
      </c>
      <c r="B281" t="s">
        <v>591</v>
      </c>
      <c r="C281" t="s">
        <v>592</v>
      </c>
      <c r="D281" s="1">
        <v>46224</v>
      </c>
      <c r="E281">
        <v>4.1109215445607902E-2</v>
      </c>
      <c r="F281" t="s">
        <v>4583</v>
      </c>
      <c r="G281" s="1">
        <v>46224.771787731479</v>
      </c>
      <c r="H281" t="s">
        <v>593</v>
      </c>
      <c r="I281" s="1">
        <v>46224.771787812497</v>
      </c>
      <c r="J281" t="s">
        <v>593</v>
      </c>
    </row>
    <row r="282" spans="1:10" x14ac:dyDescent="0.35">
      <c r="A282" t="s">
        <v>157</v>
      </c>
      <c r="B282" t="s">
        <v>591</v>
      </c>
      <c r="C282" t="s">
        <v>592</v>
      </c>
      <c r="D282" s="1">
        <v>46224</v>
      </c>
      <c r="E282">
        <v>4.3168179563217897E-2</v>
      </c>
      <c r="F282" t="s">
        <v>4584</v>
      </c>
      <c r="G282" s="1">
        <v>46224.771787731479</v>
      </c>
      <c r="H282" t="s">
        <v>593</v>
      </c>
      <c r="I282" s="1">
        <v>46224.771787812497</v>
      </c>
      <c r="J282" t="s">
        <v>593</v>
      </c>
    </row>
    <row r="283" spans="1:10" x14ac:dyDescent="0.35">
      <c r="A283" t="s">
        <v>2257</v>
      </c>
      <c r="B283" t="s">
        <v>591</v>
      </c>
      <c r="C283" t="s">
        <v>592</v>
      </c>
      <c r="D283" s="1">
        <v>46224</v>
      </c>
      <c r="E283">
        <v>4.0320856541214298E-2</v>
      </c>
      <c r="F283" t="s">
        <v>4585</v>
      </c>
      <c r="G283" s="1">
        <v>46224.771787731479</v>
      </c>
      <c r="H283" t="s">
        <v>593</v>
      </c>
      <c r="I283" s="1">
        <v>46224.771787812497</v>
      </c>
      <c r="J283" t="s">
        <v>593</v>
      </c>
    </row>
    <row r="284" spans="1:10" x14ac:dyDescent="0.35">
      <c r="A284" t="s">
        <v>2232</v>
      </c>
      <c r="B284" t="s">
        <v>591</v>
      </c>
      <c r="C284" t="s">
        <v>592</v>
      </c>
      <c r="D284" s="1">
        <v>46224</v>
      </c>
      <c r="E284">
        <v>4.0439998526251499E-2</v>
      </c>
      <c r="F284" t="s">
        <v>4586</v>
      </c>
      <c r="G284" s="1">
        <v>46224.771787731479</v>
      </c>
      <c r="H284" t="s">
        <v>593</v>
      </c>
      <c r="I284" s="1">
        <v>46224.771787812497</v>
      </c>
      <c r="J284" t="s">
        <v>593</v>
      </c>
    </row>
    <row r="285" spans="1:10" x14ac:dyDescent="0.35">
      <c r="A285" t="s">
        <v>2259</v>
      </c>
      <c r="B285" t="s">
        <v>591</v>
      </c>
      <c r="C285" t="s">
        <v>592</v>
      </c>
      <c r="D285" s="1">
        <v>46224</v>
      </c>
      <c r="E285">
        <v>4.0619998481472602E-2</v>
      </c>
      <c r="F285" t="s">
        <v>4587</v>
      </c>
      <c r="G285" s="1">
        <v>46224.771787731479</v>
      </c>
      <c r="H285" t="s">
        <v>593</v>
      </c>
      <c r="I285" s="1">
        <v>46224.771787812497</v>
      </c>
      <c r="J285" t="s">
        <v>593</v>
      </c>
    </row>
    <row r="286" spans="1:10" x14ac:dyDescent="0.35">
      <c r="A286" t="s">
        <v>2284</v>
      </c>
      <c r="B286" t="s">
        <v>591</v>
      </c>
      <c r="C286" t="s">
        <v>592</v>
      </c>
      <c r="D286" s="1">
        <v>46224</v>
      </c>
      <c r="E286">
        <v>4.10437411509312E-2</v>
      </c>
      <c r="F286" t="s">
        <v>4588</v>
      </c>
      <c r="G286" s="1">
        <v>46224.771787731479</v>
      </c>
      <c r="H286" t="s">
        <v>593</v>
      </c>
      <c r="I286" s="1">
        <v>46224.771787812497</v>
      </c>
      <c r="J286" t="s">
        <v>593</v>
      </c>
    </row>
    <row r="287" spans="1:10" x14ac:dyDescent="0.35">
      <c r="A287" t="s">
        <v>2209</v>
      </c>
      <c r="B287" t="s">
        <v>591</v>
      </c>
      <c r="C287" t="s">
        <v>592</v>
      </c>
      <c r="D287" s="1">
        <v>46224</v>
      </c>
      <c r="E287">
        <v>4.1189997411208601E-2</v>
      </c>
      <c r="F287" t="s">
        <v>4589</v>
      </c>
      <c r="G287" s="1">
        <v>46224.771787731479</v>
      </c>
      <c r="H287" t="s">
        <v>593</v>
      </c>
      <c r="I287" s="1">
        <v>46224.771787812497</v>
      </c>
      <c r="J287" t="s">
        <v>593</v>
      </c>
    </row>
    <row r="288" spans="1:10" x14ac:dyDescent="0.35">
      <c r="A288" t="s">
        <v>2234</v>
      </c>
      <c r="B288" t="s">
        <v>591</v>
      </c>
      <c r="C288" t="s">
        <v>592</v>
      </c>
      <c r="D288" s="1">
        <v>46224</v>
      </c>
      <c r="E288">
        <v>4.1404997725413999E-2</v>
      </c>
      <c r="F288" t="s">
        <v>4590</v>
      </c>
      <c r="G288" s="1">
        <v>46224.771787731479</v>
      </c>
      <c r="H288" t="s">
        <v>593</v>
      </c>
      <c r="I288" s="1">
        <v>46224.771787812497</v>
      </c>
      <c r="J288" t="s">
        <v>593</v>
      </c>
    </row>
    <row r="289" spans="1:10" x14ac:dyDescent="0.35">
      <c r="A289" t="s">
        <v>270</v>
      </c>
      <c r="B289" t="s">
        <v>591</v>
      </c>
      <c r="C289" t="s">
        <v>592</v>
      </c>
      <c r="D289" s="1">
        <v>46224</v>
      </c>
      <c r="E289">
        <v>4.3484854689985697E-2</v>
      </c>
      <c r="F289" t="s">
        <v>4591</v>
      </c>
      <c r="G289" s="1">
        <v>46224.771787731479</v>
      </c>
      <c r="H289" t="s">
        <v>593</v>
      </c>
      <c r="I289" s="1">
        <v>46224.771787812497</v>
      </c>
      <c r="J289" t="s">
        <v>593</v>
      </c>
    </row>
    <row r="290" spans="1:10" x14ac:dyDescent="0.35">
      <c r="A290" t="s">
        <v>2318</v>
      </c>
      <c r="B290" t="s">
        <v>591</v>
      </c>
      <c r="C290" t="s">
        <v>592</v>
      </c>
      <c r="D290" s="1">
        <v>46224</v>
      </c>
      <c r="E290">
        <v>4.1484996656061E-2</v>
      </c>
      <c r="F290" t="s">
        <v>4592</v>
      </c>
      <c r="G290" s="1">
        <v>46224.771787731479</v>
      </c>
      <c r="H290" t="s">
        <v>593</v>
      </c>
      <c r="I290" s="1">
        <v>46224.771787812497</v>
      </c>
      <c r="J290" t="s">
        <v>593</v>
      </c>
    </row>
    <row r="291" spans="1:10" x14ac:dyDescent="0.35">
      <c r="A291" t="s">
        <v>2211</v>
      </c>
      <c r="B291" t="s">
        <v>591</v>
      </c>
      <c r="C291" t="s">
        <v>592</v>
      </c>
      <c r="D291" s="1">
        <v>46224</v>
      </c>
      <c r="E291">
        <v>4.1564996465700499E-2</v>
      </c>
      <c r="F291" t="s">
        <v>4593</v>
      </c>
      <c r="G291" s="1">
        <v>46224.771787731479</v>
      </c>
      <c r="H291" t="s">
        <v>593</v>
      </c>
      <c r="I291" s="1">
        <v>46224.771787812497</v>
      </c>
      <c r="J291" t="s">
        <v>593</v>
      </c>
    </row>
    <row r="292" spans="1:10" x14ac:dyDescent="0.35">
      <c r="A292" t="s">
        <v>2351</v>
      </c>
      <c r="B292" t="s">
        <v>591</v>
      </c>
      <c r="C292" t="s">
        <v>592</v>
      </c>
      <c r="D292" s="1">
        <v>46224</v>
      </c>
      <c r="E292">
        <v>4.16705042988397E-2</v>
      </c>
      <c r="F292" t="s">
        <v>4594</v>
      </c>
      <c r="G292" s="1">
        <v>46224.771787731479</v>
      </c>
      <c r="H292" t="s">
        <v>593</v>
      </c>
      <c r="I292" s="1">
        <v>46224.771787812497</v>
      </c>
      <c r="J292" t="s">
        <v>593</v>
      </c>
    </row>
    <row r="293" spans="1:10" x14ac:dyDescent="0.35">
      <c r="A293" t="s">
        <v>192</v>
      </c>
      <c r="B293" t="s">
        <v>591</v>
      </c>
      <c r="C293" t="s">
        <v>592</v>
      </c>
      <c r="D293" s="1">
        <v>46224</v>
      </c>
      <c r="E293">
        <v>4.35647808048997E-2</v>
      </c>
      <c r="F293" t="s">
        <v>4595</v>
      </c>
      <c r="G293" s="1">
        <v>46224.771787731479</v>
      </c>
      <c r="H293" t="s">
        <v>593</v>
      </c>
      <c r="I293" s="1">
        <v>46224.771787812497</v>
      </c>
      <c r="J293" t="s">
        <v>593</v>
      </c>
    </row>
    <row r="294" spans="1:10" x14ac:dyDescent="0.35">
      <c r="A294" t="s">
        <v>2353</v>
      </c>
      <c r="B294" t="s">
        <v>591</v>
      </c>
      <c r="C294" t="s">
        <v>592</v>
      </c>
      <c r="D294" s="1">
        <v>46224</v>
      </c>
      <c r="E294">
        <v>4.1724996146189797E-2</v>
      </c>
      <c r="F294" t="s">
        <v>4596</v>
      </c>
      <c r="G294" s="1">
        <v>46224.771787731479</v>
      </c>
      <c r="H294" t="s">
        <v>593</v>
      </c>
      <c r="I294" s="1">
        <v>46224.771787812497</v>
      </c>
      <c r="J294" t="s">
        <v>593</v>
      </c>
    </row>
    <row r="295" spans="1:10" x14ac:dyDescent="0.35">
      <c r="A295" t="s">
        <v>2286</v>
      </c>
      <c r="B295" t="s">
        <v>591</v>
      </c>
      <c r="C295" t="s">
        <v>592</v>
      </c>
      <c r="D295" s="1">
        <v>46224</v>
      </c>
      <c r="E295">
        <v>4.1779992305238003E-2</v>
      </c>
      <c r="F295" t="s">
        <v>4597</v>
      </c>
      <c r="G295" s="1">
        <v>46224.771787731479</v>
      </c>
      <c r="H295" t="s">
        <v>593</v>
      </c>
      <c r="I295" s="1">
        <v>46224.771787812497</v>
      </c>
      <c r="J295" t="s">
        <v>593</v>
      </c>
    </row>
    <row r="296" spans="1:10" x14ac:dyDescent="0.35">
      <c r="A296" t="s">
        <v>2814</v>
      </c>
      <c r="B296" t="s">
        <v>591</v>
      </c>
      <c r="C296" t="s">
        <v>592</v>
      </c>
      <c r="D296" s="1">
        <v>46224</v>
      </c>
      <c r="E296">
        <v>4.1876238793733499E-2</v>
      </c>
      <c r="F296" t="s">
        <v>4598</v>
      </c>
      <c r="G296" s="1">
        <v>46224.771787731479</v>
      </c>
      <c r="H296" t="s">
        <v>593</v>
      </c>
      <c r="I296" s="1">
        <v>46224.771787812497</v>
      </c>
      <c r="J296" t="s">
        <v>593</v>
      </c>
    </row>
    <row r="297" spans="1:10" x14ac:dyDescent="0.35">
      <c r="A297" t="s">
        <v>2213</v>
      </c>
      <c r="B297" t="s">
        <v>591</v>
      </c>
      <c r="C297" t="s">
        <v>592</v>
      </c>
      <c r="D297" s="1">
        <v>46224</v>
      </c>
      <c r="E297">
        <v>4.19312088613846E-2</v>
      </c>
      <c r="F297" t="s">
        <v>4599</v>
      </c>
      <c r="G297" s="1">
        <v>46224.771787731479</v>
      </c>
      <c r="H297" t="s">
        <v>593</v>
      </c>
      <c r="I297" s="1">
        <v>46224.771787812497</v>
      </c>
      <c r="J297" t="s">
        <v>593</v>
      </c>
    </row>
    <row r="298" spans="1:10" x14ac:dyDescent="0.35">
      <c r="A298" t="s">
        <v>2238</v>
      </c>
      <c r="B298" t="s">
        <v>591</v>
      </c>
      <c r="C298" t="s">
        <v>592</v>
      </c>
      <c r="D298" s="1">
        <v>46224</v>
      </c>
      <c r="E298">
        <v>4.2344990481518498E-2</v>
      </c>
      <c r="F298" t="s">
        <v>4600</v>
      </c>
      <c r="G298" s="1">
        <v>46224.771787731479</v>
      </c>
      <c r="H298" t="s">
        <v>593</v>
      </c>
      <c r="I298" s="1">
        <v>46224.771787812497</v>
      </c>
      <c r="J298" t="s">
        <v>593</v>
      </c>
    </row>
    <row r="299" spans="1:10" x14ac:dyDescent="0.35">
      <c r="A299" t="s">
        <v>2215</v>
      </c>
      <c r="B299" t="s">
        <v>591</v>
      </c>
      <c r="C299" t="s">
        <v>592</v>
      </c>
      <c r="D299" s="1">
        <v>46224</v>
      </c>
      <c r="E299">
        <v>4.2364524856854699E-2</v>
      </c>
      <c r="F299" t="s">
        <v>4601</v>
      </c>
      <c r="G299" s="1">
        <v>46224.771787731479</v>
      </c>
      <c r="H299" t="s">
        <v>593</v>
      </c>
      <c r="I299" s="1">
        <v>46224.771787812497</v>
      </c>
      <c r="J299" t="s">
        <v>593</v>
      </c>
    </row>
    <row r="300" spans="1:10" x14ac:dyDescent="0.35">
      <c r="A300" t="s">
        <v>275</v>
      </c>
      <c r="B300" t="s">
        <v>591</v>
      </c>
      <c r="C300" t="s">
        <v>592</v>
      </c>
      <c r="D300" s="1">
        <v>46224</v>
      </c>
      <c r="E300">
        <v>4.40099078118978E-2</v>
      </c>
      <c r="F300" t="s">
        <v>4602</v>
      </c>
      <c r="G300" s="1">
        <v>46224.771787731479</v>
      </c>
      <c r="H300" t="s">
        <v>593</v>
      </c>
      <c r="I300" s="1">
        <v>46224.771787812497</v>
      </c>
      <c r="J300" t="s">
        <v>593</v>
      </c>
    </row>
    <row r="301" spans="1:10" x14ac:dyDescent="0.35">
      <c r="A301" t="s">
        <v>2355</v>
      </c>
      <c r="B301" t="s">
        <v>591</v>
      </c>
      <c r="C301" t="s">
        <v>592</v>
      </c>
      <c r="D301" s="1">
        <v>46224</v>
      </c>
      <c r="E301">
        <v>4.2359991057422303E-2</v>
      </c>
      <c r="F301" t="s">
        <v>4603</v>
      </c>
      <c r="G301" s="1">
        <v>46224.771787731479</v>
      </c>
      <c r="H301" t="s">
        <v>593</v>
      </c>
      <c r="I301" s="1">
        <v>46224.771787812497</v>
      </c>
      <c r="J301" t="s">
        <v>593</v>
      </c>
    </row>
    <row r="302" spans="1:10" x14ac:dyDescent="0.35">
      <c r="A302" t="s">
        <v>2267</v>
      </c>
      <c r="B302" t="s">
        <v>591</v>
      </c>
      <c r="C302" t="s">
        <v>592</v>
      </c>
      <c r="D302" s="1">
        <v>46224</v>
      </c>
      <c r="E302">
        <v>4.2369990805043702E-2</v>
      </c>
      <c r="F302" t="s">
        <v>4604</v>
      </c>
      <c r="G302" s="1">
        <v>46224.771787731479</v>
      </c>
      <c r="H302" t="s">
        <v>593</v>
      </c>
      <c r="I302" s="1">
        <v>46224.771787812497</v>
      </c>
      <c r="J302" t="s">
        <v>593</v>
      </c>
    </row>
    <row r="303" spans="1:10" x14ac:dyDescent="0.35">
      <c r="A303" t="s">
        <v>2320</v>
      </c>
      <c r="B303" t="s">
        <v>591</v>
      </c>
      <c r="C303" t="s">
        <v>592</v>
      </c>
      <c r="D303" s="1">
        <v>46224</v>
      </c>
      <c r="E303">
        <v>4.2374991682224597E-2</v>
      </c>
      <c r="F303" t="s">
        <v>4605</v>
      </c>
      <c r="G303" s="1">
        <v>46224.771787731479</v>
      </c>
      <c r="H303" t="s">
        <v>593</v>
      </c>
      <c r="I303" s="1">
        <v>46224.771787812497</v>
      </c>
      <c r="J303" t="s">
        <v>593</v>
      </c>
    </row>
    <row r="304" spans="1:10" x14ac:dyDescent="0.35">
      <c r="A304" t="s">
        <v>271</v>
      </c>
      <c r="B304" t="s">
        <v>591</v>
      </c>
      <c r="C304" t="s">
        <v>592</v>
      </c>
      <c r="D304" s="1">
        <v>46224</v>
      </c>
      <c r="E304">
        <v>4.41748871567091E-2</v>
      </c>
      <c r="F304" t="s">
        <v>4606</v>
      </c>
      <c r="G304" s="1">
        <v>46224.771787731479</v>
      </c>
      <c r="H304" t="s">
        <v>593</v>
      </c>
      <c r="I304" s="1">
        <v>46224.771787812497</v>
      </c>
      <c r="J304" t="s">
        <v>593</v>
      </c>
    </row>
    <row r="305" spans="1:10" x14ac:dyDescent="0.35">
      <c r="A305" t="s">
        <v>2241</v>
      </c>
      <c r="B305" t="s">
        <v>591</v>
      </c>
      <c r="C305" t="s">
        <v>592</v>
      </c>
      <c r="D305" s="1">
        <v>46224</v>
      </c>
      <c r="E305">
        <v>4.2379990243662902E-2</v>
      </c>
      <c r="F305" t="s">
        <v>4607</v>
      </c>
      <c r="G305" s="1">
        <v>46224.771787731479</v>
      </c>
      <c r="H305" t="s">
        <v>593</v>
      </c>
      <c r="I305" s="1">
        <v>46224.771787812497</v>
      </c>
      <c r="J305" t="s">
        <v>593</v>
      </c>
    </row>
    <row r="306" spans="1:10" x14ac:dyDescent="0.35">
      <c r="A306" t="s">
        <v>2322</v>
      </c>
      <c r="B306" t="s">
        <v>591</v>
      </c>
      <c r="C306" t="s">
        <v>592</v>
      </c>
      <c r="D306" s="1">
        <v>46224</v>
      </c>
      <c r="E306">
        <v>4.2389989996737598E-2</v>
      </c>
      <c r="F306" t="s">
        <v>4608</v>
      </c>
      <c r="G306" s="1">
        <v>46224.771787731479</v>
      </c>
      <c r="H306" t="s">
        <v>593</v>
      </c>
      <c r="I306" s="1">
        <v>46224.771787812497</v>
      </c>
      <c r="J306" t="s">
        <v>593</v>
      </c>
    </row>
    <row r="307" spans="1:10" x14ac:dyDescent="0.35">
      <c r="A307" t="s">
        <v>2269</v>
      </c>
      <c r="B307" t="s">
        <v>591</v>
      </c>
      <c r="C307" t="s">
        <v>592</v>
      </c>
      <c r="D307" s="1">
        <v>46224</v>
      </c>
      <c r="E307">
        <v>4.2385820122540198E-2</v>
      </c>
      <c r="F307" t="s">
        <v>4609</v>
      </c>
      <c r="G307" s="1">
        <v>46224.771787731479</v>
      </c>
      <c r="H307" t="s">
        <v>593</v>
      </c>
      <c r="I307" s="1">
        <v>46224.771787812497</v>
      </c>
      <c r="J307" t="s">
        <v>593</v>
      </c>
    </row>
    <row r="308" spans="1:10" x14ac:dyDescent="0.35">
      <c r="A308" t="s">
        <v>158</v>
      </c>
      <c r="B308" t="s">
        <v>591</v>
      </c>
      <c r="C308" t="s">
        <v>592</v>
      </c>
      <c r="D308" s="1">
        <v>46224</v>
      </c>
      <c r="E308">
        <v>4.4310150957557803E-2</v>
      </c>
      <c r="F308" t="s">
        <v>4610</v>
      </c>
      <c r="G308" s="1">
        <v>46224.771787731479</v>
      </c>
      <c r="H308" t="s">
        <v>593</v>
      </c>
      <c r="I308" s="1">
        <v>46224.771787812497</v>
      </c>
      <c r="J308" t="s">
        <v>593</v>
      </c>
    </row>
    <row r="309" spans="1:10" x14ac:dyDescent="0.35">
      <c r="A309" t="s">
        <v>2271</v>
      </c>
      <c r="B309" t="s">
        <v>591</v>
      </c>
      <c r="C309" t="s">
        <v>592</v>
      </c>
      <c r="D309" s="1">
        <v>46224</v>
      </c>
      <c r="E309">
        <v>4.2404990752126601E-2</v>
      </c>
      <c r="F309" t="s">
        <v>4611</v>
      </c>
      <c r="G309" s="1">
        <v>46224.771787731479</v>
      </c>
      <c r="H309" t="s">
        <v>593</v>
      </c>
      <c r="I309" s="1">
        <v>46224.771787812497</v>
      </c>
      <c r="J309" t="s">
        <v>593</v>
      </c>
    </row>
    <row r="310" spans="1:10" x14ac:dyDescent="0.35">
      <c r="A310" t="s">
        <v>2243</v>
      </c>
      <c r="B310" t="s">
        <v>591</v>
      </c>
      <c r="C310" t="s">
        <v>592</v>
      </c>
      <c r="D310" s="1">
        <v>46224</v>
      </c>
      <c r="E310">
        <v>4.2404990523757499E-2</v>
      </c>
      <c r="F310" t="s">
        <v>4612</v>
      </c>
      <c r="G310" s="1">
        <v>46224.771787731479</v>
      </c>
      <c r="H310" t="s">
        <v>593</v>
      </c>
      <c r="I310" s="1">
        <v>46224.771787812497</v>
      </c>
      <c r="J310" t="s">
        <v>593</v>
      </c>
    </row>
    <row r="311" spans="1:10" x14ac:dyDescent="0.35">
      <c r="A311" t="s">
        <v>2245</v>
      </c>
      <c r="B311" t="s">
        <v>591</v>
      </c>
      <c r="C311" t="s">
        <v>592</v>
      </c>
      <c r="D311" s="1">
        <v>46224</v>
      </c>
      <c r="E311">
        <v>4.2343244290536902E-2</v>
      </c>
      <c r="F311" t="s">
        <v>4613</v>
      </c>
      <c r="G311" s="1">
        <v>46224.771787731479</v>
      </c>
      <c r="H311" t="s">
        <v>593</v>
      </c>
      <c r="I311" s="1">
        <v>46224.771787812497</v>
      </c>
      <c r="J311" t="s">
        <v>593</v>
      </c>
    </row>
    <row r="312" spans="1:10" x14ac:dyDescent="0.35">
      <c r="A312" t="s">
        <v>193</v>
      </c>
      <c r="B312" t="s">
        <v>591</v>
      </c>
      <c r="C312" t="s">
        <v>592</v>
      </c>
      <c r="D312" s="1">
        <v>46224</v>
      </c>
      <c r="E312">
        <v>4.4489799265649103E-2</v>
      </c>
      <c r="F312" t="s">
        <v>4614</v>
      </c>
      <c r="G312" s="1">
        <v>46224.771787731479</v>
      </c>
      <c r="H312" t="s">
        <v>593</v>
      </c>
      <c r="I312" s="1">
        <v>46224.771787812497</v>
      </c>
      <c r="J312" t="s">
        <v>593</v>
      </c>
    </row>
    <row r="313" spans="1:10" x14ac:dyDescent="0.35">
      <c r="A313" t="s">
        <v>2217</v>
      </c>
      <c r="B313" t="s">
        <v>591</v>
      </c>
      <c r="C313" t="s">
        <v>592</v>
      </c>
      <c r="D313" s="1">
        <v>46224</v>
      </c>
      <c r="E313">
        <v>4.2474990051765603E-2</v>
      </c>
      <c r="F313" t="s">
        <v>4615</v>
      </c>
      <c r="G313" s="1">
        <v>46224.771787731479</v>
      </c>
      <c r="H313" t="s">
        <v>593</v>
      </c>
      <c r="I313" s="1">
        <v>46224.771787812497</v>
      </c>
      <c r="J313" t="s">
        <v>593</v>
      </c>
    </row>
    <row r="314" spans="1:10" x14ac:dyDescent="0.35">
      <c r="A314" t="s">
        <v>2248</v>
      </c>
      <c r="B314" t="s">
        <v>591</v>
      </c>
      <c r="C314" t="s">
        <v>592</v>
      </c>
      <c r="D314" s="1">
        <v>46224</v>
      </c>
      <c r="E314">
        <v>4.2524989828324103E-2</v>
      </c>
      <c r="F314" t="s">
        <v>4616</v>
      </c>
      <c r="G314" s="1">
        <v>46224.771787731479</v>
      </c>
      <c r="H314" t="s">
        <v>593</v>
      </c>
      <c r="I314" s="1">
        <v>46224.771787812497</v>
      </c>
      <c r="J314" t="s">
        <v>593</v>
      </c>
    </row>
    <row r="315" spans="1:10" x14ac:dyDescent="0.35">
      <c r="A315" t="s">
        <v>2299</v>
      </c>
      <c r="B315" t="s">
        <v>591</v>
      </c>
      <c r="C315" t="s">
        <v>592</v>
      </c>
      <c r="D315" s="1">
        <v>46224</v>
      </c>
      <c r="E315">
        <v>4.2569990950589401E-2</v>
      </c>
      <c r="F315" t="s">
        <v>4617</v>
      </c>
      <c r="G315" s="1">
        <v>46224.771787731479</v>
      </c>
      <c r="H315" t="s">
        <v>593</v>
      </c>
      <c r="I315" s="1">
        <v>46224.771787812497</v>
      </c>
      <c r="J315" t="s">
        <v>593</v>
      </c>
    </row>
    <row r="316" spans="1:10" x14ac:dyDescent="0.35">
      <c r="A316" t="s">
        <v>248</v>
      </c>
      <c r="B316" t="s">
        <v>591</v>
      </c>
      <c r="C316" t="s">
        <v>592</v>
      </c>
      <c r="D316" s="1">
        <v>46224</v>
      </c>
      <c r="E316">
        <v>4.4579925003941701E-2</v>
      </c>
      <c r="F316" t="s">
        <v>4618</v>
      </c>
      <c r="G316" s="1">
        <v>46224.771787731479</v>
      </c>
      <c r="H316" t="s">
        <v>593</v>
      </c>
      <c r="I316" s="1">
        <v>46224.771787812497</v>
      </c>
      <c r="J316" t="s">
        <v>593</v>
      </c>
    </row>
    <row r="317" spans="1:10" x14ac:dyDescent="0.35">
      <c r="A317" t="s">
        <v>2274</v>
      </c>
      <c r="B317" t="s">
        <v>591</v>
      </c>
      <c r="C317" t="s">
        <v>592</v>
      </c>
      <c r="D317" s="1">
        <v>46224</v>
      </c>
      <c r="E317">
        <v>4.2614989383484098E-2</v>
      </c>
      <c r="F317" t="s">
        <v>4619</v>
      </c>
      <c r="G317" s="1">
        <v>46224.771787731479</v>
      </c>
      <c r="H317" t="s">
        <v>593</v>
      </c>
      <c r="I317" s="1">
        <v>46224.771787812497</v>
      </c>
      <c r="J317" t="s">
        <v>593</v>
      </c>
    </row>
    <row r="318" spans="1:10" x14ac:dyDescent="0.35">
      <c r="A318" t="s">
        <v>2289</v>
      </c>
      <c r="B318" t="s">
        <v>591</v>
      </c>
      <c r="C318" t="s">
        <v>592</v>
      </c>
      <c r="D318" s="1">
        <v>46224</v>
      </c>
      <c r="E318">
        <v>4.2659909340664E-2</v>
      </c>
      <c r="F318" t="s">
        <v>4620</v>
      </c>
      <c r="G318" s="1">
        <v>46224.771787731479</v>
      </c>
      <c r="H318" t="s">
        <v>593</v>
      </c>
      <c r="I318" s="1">
        <v>46224.771787812497</v>
      </c>
      <c r="J318" t="s">
        <v>593</v>
      </c>
    </row>
    <row r="319" spans="1:10" x14ac:dyDescent="0.35">
      <c r="A319" t="s">
        <v>2219</v>
      </c>
      <c r="B319" t="s">
        <v>591</v>
      </c>
      <c r="C319" t="s">
        <v>592</v>
      </c>
      <c r="D319" s="1">
        <v>46224</v>
      </c>
      <c r="E319">
        <v>4.2709990349081503E-2</v>
      </c>
      <c r="F319" t="s">
        <v>4621</v>
      </c>
      <c r="G319" s="1">
        <v>46224.771787731479</v>
      </c>
      <c r="H319" t="s">
        <v>593</v>
      </c>
      <c r="I319" s="1">
        <v>46224.771787812497</v>
      </c>
      <c r="J319" t="s">
        <v>593</v>
      </c>
    </row>
    <row r="320" spans="1:10" x14ac:dyDescent="0.35">
      <c r="A320" t="s">
        <v>250</v>
      </c>
      <c r="B320" t="s">
        <v>591</v>
      </c>
      <c r="C320" t="s">
        <v>592</v>
      </c>
      <c r="D320" s="1">
        <v>46224</v>
      </c>
      <c r="E320">
        <v>4.4804881721120397E-2</v>
      </c>
      <c r="F320" t="s">
        <v>4622</v>
      </c>
      <c r="G320" s="1">
        <v>46224.771787731479</v>
      </c>
      <c r="H320" t="s">
        <v>593</v>
      </c>
      <c r="I320" s="1">
        <v>46224.771787812497</v>
      </c>
      <c r="J320" t="s">
        <v>593</v>
      </c>
    </row>
    <row r="321" spans="1:10" x14ac:dyDescent="0.35">
      <c r="A321" t="s">
        <v>2221</v>
      </c>
      <c r="B321" t="s">
        <v>591</v>
      </c>
      <c r="C321" t="s">
        <v>592</v>
      </c>
      <c r="D321" s="1">
        <v>46224</v>
      </c>
      <c r="E321">
        <v>4.2749990159338502E-2</v>
      </c>
      <c r="F321" t="s">
        <v>4623</v>
      </c>
      <c r="G321" s="1">
        <v>46224.771787731479</v>
      </c>
      <c r="H321" t="s">
        <v>593</v>
      </c>
      <c r="I321" s="1">
        <v>46224.771787812497</v>
      </c>
      <c r="J321" t="s">
        <v>593</v>
      </c>
    </row>
    <row r="322" spans="1:10" x14ac:dyDescent="0.35">
      <c r="A322" t="s">
        <v>2326</v>
      </c>
      <c r="B322" t="s">
        <v>591</v>
      </c>
      <c r="C322" t="s">
        <v>592</v>
      </c>
      <c r="D322" s="1">
        <v>46224</v>
      </c>
      <c r="E322">
        <v>4.2799989940359398E-2</v>
      </c>
      <c r="F322" t="s">
        <v>4624</v>
      </c>
      <c r="G322" s="1">
        <v>46224.771787731479</v>
      </c>
      <c r="H322" t="s">
        <v>593</v>
      </c>
      <c r="I322" s="1">
        <v>46224.771787812497</v>
      </c>
      <c r="J322" t="s">
        <v>593</v>
      </c>
    </row>
    <row r="323" spans="1:10" x14ac:dyDescent="0.35">
      <c r="A323" t="s">
        <v>2223</v>
      </c>
      <c r="B323" t="s">
        <v>591</v>
      </c>
      <c r="C323" t="s">
        <v>592</v>
      </c>
      <c r="D323" s="1">
        <v>46224</v>
      </c>
      <c r="E323">
        <v>4.2838174386500998E-2</v>
      </c>
      <c r="F323" t="s">
        <v>4625</v>
      </c>
      <c r="G323" s="1">
        <v>46224.771787731479</v>
      </c>
      <c r="H323" t="s">
        <v>593</v>
      </c>
      <c r="I323" s="1">
        <v>46224.771787812497</v>
      </c>
      <c r="J323" t="s">
        <v>593</v>
      </c>
    </row>
    <row r="324" spans="1:10" x14ac:dyDescent="0.35">
      <c r="A324" t="s">
        <v>194</v>
      </c>
      <c r="B324" t="s">
        <v>591</v>
      </c>
      <c r="C324" t="s">
        <v>592</v>
      </c>
      <c r="D324" s="1">
        <v>46224</v>
      </c>
      <c r="E324">
        <v>4.49299195106624E-2</v>
      </c>
      <c r="F324" t="s">
        <v>4626</v>
      </c>
      <c r="G324" s="1">
        <v>46224.771787731479</v>
      </c>
      <c r="H324" t="s">
        <v>593</v>
      </c>
      <c r="I324" s="1">
        <v>46224.771787812497</v>
      </c>
      <c r="J324" t="s">
        <v>593</v>
      </c>
    </row>
    <row r="325" spans="1:10" x14ac:dyDescent="0.35">
      <c r="A325" t="s">
        <v>2302</v>
      </c>
      <c r="B325" t="s">
        <v>591</v>
      </c>
      <c r="C325" t="s">
        <v>592</v>
      </c>
      <c r="D325" s="1">
        <v>46224</v>
      </c>
      <c r="E325">
        <v>4.2889989543647401E-2</v>
      </c>
      <c r="F325" t="s">
        <v>4627</v>
      </c>
      <c r="G325" s="1">
        <v>46224.771787731479</v>
      </c>
      <c r="H325" t="s">
        <v>593</v>
      </c>
      <c r="I325" s="1">
        <v>46224.771787812497</v>
      </c>
      <c r="J325" t="s">
        <v>593</v>
      </c>
    </row>
    <row r="326" spans="1:10" x14ac:dyDescent="0.35">
      <c r="A326" t="s">
        <v>2276</v>
      </c>
      <c r="B326" t="s">
        <v>591</v>
      </c>
      <c r="C326" t="s">
        <v>592</v>
      </c>
      <c r="D326" s="1">
        <v>46224</v>
      </c>
      <c r="E326">
        <v>4.2034992265138897E-2</v>
      </c>
      <c r="F326" t="s">
        <v>4628</v>
      </c>
      <c r="G326" s="1">
        <v>46224.771787731479</v>
      </c>
      <c r="H326" t="s">
        <v>593</v>
      </c>
      <c r="I326" s="1">
        <v>46224.771787812497</v>
      </c>
      <c r="J326" t="s">
        <v>593</v>
      </c>
    </row>
    <row r="327" spans="1:10" x14ac:dyDescent="0.35">
      <c r="A327" t="s">
        <v>2304</v>
      </c>
      <c r="B327" t="s">
        <v>591</v>
      </c>
      <c r="C327" t="s">
        <v>592</v>
      </c>
      <c r="D327" s="1">
        <v>46224</v>
      </c>
      <c r="E327">
        <v>4.2114991962201198E-2</v>
      </c>
      <c r="F327" t="s">
        <v>4629</v>
      </c>
      <c r="G327" s="1">
        <v>46224.771787731479</v>
      </c>
      <c r="H327" t="s">
        <v>593</v>
      </c>
      <c r="I327" s="1">
        <v>46224.771787812497</v>
      </c>
      <c r="J327" t="s">
        <v>593</v>
      </c>
    </row>
    <row r="328" spans="1:10" x14ac:dyDescent="0.35">
      <c r="A328" t="s">
        <v>195</v>
      </c>
      <c r="B328" t="s">
        <v>591</v>
      </c>
      <c r="C328" t="s">
        <v>592</v>
      </c>
      <c r="D328" s="1">
        <v>46224</v>
      </c>
      <c r="E328">
        <v>4.3700676572409503E-2</v>
      </c>
      <c r="F328" t="s">
        <v>4630</v>
      </c>
      <c r="G328" s="1">
        <v>46224.771787731479</v>
      </c>
      <c r="H328" t="s">
        <v>593</v>
      </c>
      <c r="I328" s="1">
        <v>46224.771787812497</v>
      </c>
      <c r="J328" t="s">
        <v>593</v>
      </c>
    </row>
    <row r="329" spans="1:10" x14ac:dyDescent="0.35">
      <c r="A329" t="s">
        <v>2280</v>
      </c>
      <c r="B329" t="s">
        <v>591</v>
      </c>
      <c r="C329" t="s">
        <v>592</v>
      </c>
      <c r="D329" s="1">
        <v>46224</v>
      </c>
      <c r="E329">
        <v>4.2250268541111503E-2</v>
      </c>
      <c r="F329" t="s">
        <v>4631</v>
      </c>
      <c r="G329" s="1">
        <v>46224.771787731479</v>
      </c>
      <c r="H329" t="s">
        <v>593</v>
      </c>
      <c r="I329" s="1">
        <v>46224.771787812497</v>
      </c>
      <c r="J329" t="s">
        <v>593</v>
      </c>
    </row>
    <row r="330" spans="1:10" x14ac:dyDescent="0.35">
      <c r="A330" t="s">
        <v>2291</v>
      </c>
      <c r="B330" t="s">
        <v>591</v>
      </c>
      <c r="C330" t="s">
        <v>592</v>
      </c>
      <c r="D330" s="1">
        <v>46224</v>
      </c>
      <c r="E330">
        <v>4.2274991374248901E-2</v>
      </c>
      <c r="F330" t="s">
        <v>4632</v>
      </c>
      <c r="G330" s="1">
        <v>46224.771787731479</v>
      </c>
      <c r="H330" t="s">
        <v>593</v>
      </c>
      <c r="I330" s="1">
        <v>46224.771787812497</v>
      </c>
      <c r="J330" t="s">
        <v>593</v>
      </c>
    </row>
    <row r="331" spans="1:10" x14ac:dyDescent="0.35">
      <c r="A331" t="s">
        <v>2306</v>
      </c>
      <c r="B331" t="s">
        <v>591</v>
      </c>
      <c r="C331" t="s">
        <v>592</v>
      </c>
      <c r="D331" s="1">
        <v>46224</v>
      </c>
      <c r="E331">
        <v>4.2237231939953997E-2</v>
      </c>
      <c r="F331" t="s">
        <v>4633</v>
      </c>
      <c r="G331" s="1">
        <v>46224.771787731479</v>
      </c>
      <c r="H331" t="s">
        <v>593</v>
      </c>
      <c r="I331" s="1">
        <v>46224.771787812497</v>
      </c>
      <c r="J331" t="s">
        <v>593</v>
      </c>
    </row>
    <row r="332" spans="1:10" x14ac:dyDescent="0.35">
      <c r="A332" t="s">
        <v>159</v>
      </c>
      <c r="B332" t="s">
        <v>591</v>
      </c>
      <c r="C332" t="s">
        <v>592</v>
      </c>
      <c r="D332" s="1">
        <v>46224</v>
      </c>
      <c r="E332">
        <v>4.3849801466961803E-2</v>
      </c>
      <c r="F332" t="s">
        <v>4634</v>
      </c>
      <c r="G332" s="1">
        <v>46224.771787731479</v>
      </c>
      <c r="H332" t="s">
        <v>593</v>
      </c>
      <c r="I332" s="1">
        <v>46224.771787812497</v>
      </c>
      <c r="J332" t="s">
        <v>593</v>
      </c>
    </row>
    <row r="333" spans="1:10" x14ac:dyDescent="0.35">
      <c r="A333" t="s">
        <v>2357</v>
      </c>
      <c r="B333" t="s">
        <v>591</v>
      </c>
      <c r="C333" t="s">
        <v>592</v>
      </c>
      <c r="D333" s="1">
        <v>46224</v>
      </c>
      <c r="E333">
        <v>4.2334990761306902E-2</v>
      </c>
      <c r="F333" t="s">
        <v>4635</v>
      </c>
      <c r="G333" s="1">
        <v>46224.771787731479</v>
      </c>
      <c r="H333" t="s">
        <v>593</v>
      </c>
      <c r="I333" s="1">
        <v>46224.771787812497</v>
      </c>
      <c r="J333" t="s">
        <v>593</v>
      </c>
    </row>
    <row r="334" spans="1:10" x14ac:dyDescent="0.35">
      <c r="A334" t="s">
        <v>160</v>
      </c>
      <c r="B334" t="s">
        <v>591</v>
      </c>
      <c r="C334" t="s">
        <v>592</v>
      </c>
      <c r="D334" s="1">
        <v>46224</v>
      </c>
      <c r="E334">
        <v>3.9553669110435799E-2</v>
      </c>
      <c r="F334" t="s">
        <v>4636</v>
      </c>
      <c r="G334" s="1">
        <v>46224.771787731479</v>
      </c>
      <c r="H334" t="s">
        <v>593</v>
      </c>
      <c r="I334" s="1">
        <v>46224.771787812497</v>
      </c>
      <c r="J334" t="s">
        <v>593</v>
      </c>
    </row>
    <row r="335" spans="1:10" x14ac:dyDescent="0.35">
      <c r="A335" t="s">
        <v>196</v>
      </c>
      <c r="B335" t="s">
        <v>591</v>
      </c>
      <c r="C335" t="s">
        <v>592</v>
      </c>
      <c r="D335" s="1">
        <v>46224</v>
      </c>
      <c r="E335">
        <v>2.1837456307695801E-2</v>
      </c>
      <c r="F335" t="s">
        <v>4637</v>
      </c>
      <c r="G335" s="1">
        <v>46224.771787731479</v>
      </c>
      <c r="H335" t="s">
        <v>593</v>
      </c>
      <c r="I335" s="1">
        <v>46224.771787812497</v>
      </c>
      <c r="J335" t="s">
        <v>593</v>
      </c>
    </row>
    <row r="336" spans="1:10" x14ac:dyDescent="0.35">
      <c r="A336" t="s">
        <v>197</v>
      </c>
      <c r="B336" t="s">
        <v>591</v>
      </c>
      <c r="C336" t="s">
        <v>592</v>
      </c>
      <c r="D336" s="1">
        <v>46224</v>
      </c>
      <c r="E336">
        <v>4.1764782229643298E-2</v>
      </c>
      <c r="F336" t="s">
        <v>4638</v>
      </c>
      <c r="G336" s="1">
        <v>46224.771787731479</v>
      </c>
      <c r="H336" t="s">
        <v>593</v>
      </c>
      <c r="I336" s="1">
        <v>46224.771787812497</v>
      </c>
      <c r="J336" t="s">
        <v>593</v>
      </c>
    </row>
    <row r="337" spans="1:10" x14ac:dyDescent="0.35">
      <c r="A337" t="s">
        <v>198</v>
      </c>
      <c r="B337" t="s">
        <v>591</v>
      </c>
      <c r="C337" t="s">
        <v>592</v>
      </c>
      <c r="D337" s="1">
        <v>46224</v>
      </c>
      <c r="E337">
        <v>4.2234856848786403E-2</v>
      </c>
      <c r="F337" t="s">
        <v>4639</v>
      </c>
      <c r="G337" s="1">
        <v>46224.771787731479</v>
      </c>
      <c r="H337" t="s">
        <v>593</v>
      </c>
      <c r="I337" s="1">
        <v>46224.771787812497</v>
      </c>
      <c r="J337" t="s">
        <v>593</v>
      </c>
    </row>
    <row r="338" spans="1:10" x14ac:dyDescent="0.35">
      <c r="A338" t="s">
        <v>236</v>
      </c>
      <c r="B338" t="s">
        <v>591</v>
      </c>
      <c r="C338" t="s">
        <v>592</v>
      </c>
      <c r="D338" s="1">
        <v>46224</v>
      </c>
      <c r="E338">
        <v>2.3571725342863101E-2</v>
      </c>
      <c r="F338" t="s">
        <v>4640</v>
      </c>
      <c r="G338" s="1">
        <v>46224.771787731479</v>
      </c>
      <c r="H338" t="s">
        <v>593</v>
      </c>
      <c r="I338" s="1">
        <v>46224.771787812497</v>
      </c>
      <c r="J338" t="s">
        <v>593</v>
      </c>
    </row>
    <row r="339" spans="1:10" x14ac:dyDescent="0.35">
      <c r="A339" t="s">
        <v>249</v>
      </c>
      <c r="B339" t="s">
        <v>591</v>
      </c>
      <c r="C339" t="s">
        <v>592</v>
      </c>
      <c r="D339" s="1">
        <v>46224</v>
      </c>
      <c r="E339">
        <v>4.2489274954716001E-2</v>
      </c>
      <c r="F339" t="s">
        <v>4641</v>
      </c>
      <c r="G339" s="1">
        <v>46224.771787731479</v>
      </c>
      <c r="H339" t="s">
        <v>593</v>
      </c>
      <c r="I339" s="1">
        <v>46224.771787812497</v>
      </c>
      <c r="J339" t="s">
        <v>593</v>
      </c>
    </row>
    <row r="340" spans="1:10" x14ac:dyDescent="0.35">
      <c r="A340" t="s">
        <v>199</v>
      </c>
      <c r="B340" t="s">
        <v>591</v>
      </c>
      <c r="C340" t="s">
        <v>592</v>
      </c>
      <c r="D340" s="1">
        <v>46224</v>
      </c>
      <c r="E340">
        <v>4.2588696278567602E-2</v>
      </c>
      <c r="F340" t="s">
        <v>4642</v>
      </c>
      <c r="G340" s="1">
        <v>46224.771787731479</v>
      </c>
      <c r="H340" t="s">
        <v>593</v>
      </c>
      <c r="I340" s="1">
        <v>46224.771787812497</v>
      </c>
      <c r="J340" t="s">
        <v>593</v>
      </c>
    </row>
    <row r="341" spans="1:10" x14ac:dyDescent="0.35">
      <c r="A341" t="s">
        <v>200</v>
      </c>
      <c r="B341" t="s">
        <v>591</v>
      </c>
      <c r="C341" t="s">
        <v>592</v>
      </c>
      <c r="D341" s="1">
        <v>46224</v>
      </c>
      <c r="E341">
        <v>4.2748040885292903E-2</v>
      </c>
      <c r="F341" t="s">
        <v>4643</v>
      </c>
      <c r="G341" s="1">
        <v>46224.771787731479</v>
      </c>
      <c r="H341" t="s">
        <v>593</v>
      </c>
      <c r="I341" s="1">
        <v>46224.771787812497</v>
      </c>
      <c r="J341" t="s">
        <v>593</v>
      </c>
    </row>
    <row r="342" spans="1:10" x14ac:dyDescent="0.35">
      <c r="A342" t="s">
        <v>201</v>
      </c>
      <c r="B342" t="s">
        <v>591</v>
      </c>
      <c r="C342" t="s">
        <v>592</v>
      </c>
      <c r="D342" s="1">
        <v>46224</v>
      </c>
      <c r="E342">
        <v>4.2851250821943299E-2</v>
      </c>
      <c r="F342" t="s">
        <v>4644</v>
      </c>
      <c r="G342" s="1">
        <v>46224.771787731479</v>
      </c>
      <c r="H342" t="s">
        <v>593</v>
      </c>
      <c r="I342" s="1">
        <v>46224.771787812497</v>
      </c>
      <c r="J342" t="s">
        <v>593</v>
      </c>
    </row>
    <row r="343" spans="1:10" x14ac:dyDescent="0.35">
      <c r="A343" t="s">
        <v>202</v>
      </c>
      <c r="B343" t="s">
        <v>591</v>
      </c>
      <c r="C343" t="s">
        <v>592</v>
      </c>
      <c r="D343" s="1">
        <v>46224</v>
      </c>
      <c r="E343">
        <v>2.1243441623142699E-2</v>
      </c>
      <c r="F343" t="s">
        <v>4645</v>
      </c>
      <c r="G343" s="1">
        <v>46224.771787731479</v>
      </c>
      <c r="H343" t="s">
        <v>593</v>
      </c>
      <c r="I343" s="1">
        <v>46224.771787812497</v>
      </c>
      <c r="J343" t="s">
        <v>593</v>
      </c>
    </row>
    <row r="344" spans="1:10" x14ac:dyDescent="0.35">
      <c r="A344" t="s">
        <v>237</v>
      </c>
      <c r="B344" t="s">
        <v>591</v>
      </c>
      <c r="C344" t="s">
        <v>592</v>
      </c>
      <c r="D344" s="1">
        <v>46224</v>
      </c>
      <c r="E344">
        <v>4.2919310334268997E-2</v>
      </c>
      <c r="F344" t="s">
        <v>4646</v>
      </c>
      <c r="G344" s="1">
        <v>46224.771787731479</v>
      </c>
      <c r="H344" t="s">
        <v>593</v>
      </c>
      <c r="I344" s="1">
        <v>46224.771787812497</v>
      </c>
      <c r="J344" t="s">
        <v>593</v>
      </c>
    </row>
    <row r="345" spans="1:10" x14ac:dyDescent="0.35">
      <c r="A345" t="s">
        <v>203</v>
      </c>
      <c r="B345" t="s">
        <v>591</v>
      </c>
      <c r="C345" t="s">
        <v>592</v>
      </c>
      <c r="D345" s="1">
        <v>46224</v>
      </c>
      <c r="E345">
        <v>4.2886859686063497E-2</v>
      </c>
      <c r="F345" t="s">
        <v>4647</v>
      </c>
      <c r="G345" s="1">
        <v>46224.771787731479</v>
      </c>
      <c r="H345" t="s">
        <v>593</v>
      </c>
      <c r="I345" s="1">
        <v>46224.771787812497</v>
      </c>
      <c r="J345" t="s">
        <v>593</v>
      </c>
    </row>
    <row r="346" spans="1:10" x14ac:dyDescent="0.35">
      <c r="A346" t="s">
        <v>204</v>
      </c>
      <c r="B346" t="s">
        <v>591</v>
      </c>
      <c r="C346" t="s">
        <v>592</v>
      </c>
      <c r="D346" s="1">
        <v>46224</v>
      </c>
      <c r="E346">
        <v>1.9466337646664101E-2</v>
      </c>
      <c r="F346" t="s">
        <v>4648</v>
      </c>
      <c r="G346" s="1">
        <v>46224.771787731479</v>
      </c>
      <c r="H346" t="s">
        <v>593</v>
      </c>
      <c r="I346" s="1">
        <v>46224.771787812497</v>
      </c>
      <c r="J346" t="s">
        <v>593</v>
      </c>
    </row>
    <row r="347" spans="1:10" x14ac:dyDescent="0.35">
      <c r="A347" t="s">
        <v>238</v>
      </c>
      <c r="B347" t="s">
        <v>591</v>
      </c>
      <c r="C347" t="s">
        <v>592</v>
      </c>
      <c r="D347" s="1">
        <v>46224</v>
      </c>
      <c r="E347">
        <v>3.8546337529236502E-2</v>
      </c>
      <c r="F347" t="s">
        <v>4649</v>
      </c>
      <c r="G347" s="1">
        <v>46224.771787731479</v>
      </c>
      <c r="H347" t="s">
        <v>593</v>
      </c>
      <c r="I347" s="1">
        <v>46224.771787812497</v>
      </c>
      <c r="J347" t="s">
        <v>593</v>
      </c>
    </row>
    <row r="348" spans="1:10" x14ac:dyDescent="0.35">
      <c r="A348" t="s">
        <v>239</v>
      </c>
      <c r="B348" t="s">
        <v>591</v>
      </c>
      <c r="C348" t="s">
        <v>592</v>
      </c>
      <c r="D348" s="1">
        <v>46224</v>
      </c>
      <c r="E348">
        <v>3.2284322390842703E-2</v>
      </c>
      <c r="F348" t="s">
        <v>4650</v>
      </c>
      <c r="G348" s="1">
        <v>46224.771787731479</v>
      </c>
      <c r="H348" t="s">
        <v>593</v>
      </c>
      <c r="I348" s="1">
        <v>46224.771787812497</v>
      </c>
      <c r="J348" t="s">
        <v>593</v>
      </c>
    </row>
    <row r="349" spans="1:10" x14ac:dyDescent="0.35">
      <c r="A349" t="s">
        <v>240</v>
      </c>
      <c r="B349" t="s">
        <v>591</v>
      </c>
      <c r="C349" t="s">
        <v>592</v>
      </c>
      <c r="D349" s="1">
        <v>46224</v>
      </c>
      <c r="E349">
        <v>4.01968047847127E-2</v>
      </c>
      <c r="F349" t="s">
        <v>4651</v>
      </c>
      <c r="G349" s="1">
        <v>46224.771787731479</v>
      </c>
      <c r="H349" t="s">
        <v>593</v>
      </c>
      <c r="I349" s="1">
        <v>46224.771787812497</v>
      </c>
      <c r="J349" t="s">
        <v>593</v>
      </c>
    </row>
    <row r="350" spans="1:10" x14ac:dyDescent="0.35">
      <c r="A350" t="s">
        <v>205</v>
      </c>
      <c r="B350" t="s">
        <v>591</v>
      </c>
      <c r="C350" t="s">
        <v>592</v>
      </c>
      <c r="D350" s="1">
        <v>46224</v>
      </c>
      <c r="E350">
        <v>4.1037444903048503E-2</v>
      </c>
      <c r="F350" t="s">
        <v>4652</v>
      </c>
      <c r="G350" s="1">
        <v>46224.771787731479</v>
      </c>
      <c r="H350" t="s">
        <v>593</v>
      </c>
      <c r="I350" s="1">
        <v>46224.771787812497</v>
      </c>
      <c r="J350" t="s">
        <v>593</v>
      </c>
    </row>
    <row r="351" spans="1:10" x14ac:dyDescent="0.35">
      <c r="A351" t="s">
        <v>206</v>
      </c>
      <c r="B351" t="s">
        <v>591</v>
      </c>
      <c r="C351" t="s">
        <v>592</v>
      </c>
      <c r="D351" s="1">
        <v>46224</v>
      </c>
      <c r="E351">
        <v>2.0010047517931302E-2</v>
      </c>
      <c r="F351" t="s">
        <v>4653</v>
      </c>
      <c r="G351" s="1">
        <v>46224.771787731479</v>
      </c>
      <c r="H351" t="s">
        <v>593</v>
      </c>
      <c r="I351" s="1">
        <v>46224.771787812497</v>
      </c>
      <c r="J351" t="s">
        <v>593</v>
      </c>
    </row>
    <row r="352" spans="1:10" x14ac:dyDescent="0.35">
      <c r="A352" t="s">
        <v>207</v>
      </c>
      <c r="B352" t="s">
        <v>591</v>
      </c>
      <c r="C352" t="s">
        <v>592</v>
      </c>
      <c r="D352" s="1">
        <v>46224</v>
      </c>
      <c r="E352">
        <v>3.33911302877542E-2</v>
      </c>
      <c r="F352" t="s">
        <v>4654</v>
      </c>
      <c r="G352" s="1">
        <v>46224.771787731479</v>
      </c>
      <c r="H352" t="s">
        <v>593</v>
      </c>
      <c r="I352" s="1">
        <v>46224.771787812497</v>
      </c>
      <c r="J352" t="s">
        <v>593</v>
      </c>
    </row>
    <row r="353" spans="1:10" x14ac:dyDescent="0.35">
      <c r="A353" t="s">
        <v>241</v>
      </c>
      <c r="B353" t="s">
        <v>591</v>
      </c>
      <c r="C353" t="s">
        <v>592</v>
      </c>
      <c r="D353" s="1">
        <v>46224</v>
      </c>
      <c r="E353">
        <v>4.2856173753746202E-2</v>
      </c>
      <c r="F353" t="s">
        <v>4655</v>
      </c>
      <c r="G353" s="1">
        <v>46224.771787731479</v>
      </c>
      <c r="H353" t="s">
        <v>593</v>
      </c>
      <c r="I353" s="1">
        <v>46224.771787812497</v>
      </c>
      <c r="J353" t="s">
        <v>593</v>
      </c>
    </row>
    <row r="354" spans="1:10" x14ac:dyDescent="0.35">
      <c r="A354" t="s">
        <v>272</v>
      </c>
      <c r="B354" t="s">
        <v>591</v>
      </c>
      <c r="C354" t="s">
        <v>592</v>
      </c>
      <c r="D354" s="1">
        <v>46224</v>
      </c>
      <c r="E354">
        <v>3.7364044372936202E-2</v>
      </c>
      <c r="F354" t="s">
        <v>4656</v>
      </c>
      <c r="G354" s="1">
        <v>46224.771787731479</v>
      </c>
      <c r="H354" t="s">
        <v>593</v>
      </c>
      <c r="I354" s="1">
        <v>46224.771787812497</v>
      </c>
      <c r="J354" t="s">
        <v>593</v>
      </c>
    </row>
    <row r="355" spans="1:10" x14ac:dyDescent="0.35">
      <c r="A355" t="s">
        <v>242</v>
      </c>
      <c r="B355" t="s">
        <v>591</v>
      </c>
      <c r="C355" t="s">
        <v>592</v>
      </c>
      <c r="D355" s="1">
        <v>46224</v>
      </c>
      <c r="E355">
        <v>3.7763597503669998E-2</v>
      </c>
      <c r="F355" t="s">
        <v>4657</v>
      </c>
      <c r="G355" s="1">
        <v>46224.771787731479</v>
      </c>
      <c r="H355" t="s">
        <v>593</v>
      </c>
      <c r="I355" s="1">
        <v>46224.771787812497</v>
      </c>
      <c r="J355" t="s">
        <v>593</v>
      </c>
    </row>
    <row r="356" spans="1:10" x14ac:dyDescent="0.35">
      <c r="A356" t="s">
        <v>243</v>
      </c>
      <c r="B356" t="s">
        <v>591</v>
      </c>
      <c r="C356" t="s">
        <v>592</v>
      </c>
      <c r="D356" s="1">
        <v>46224</v>
      </c>
      <c r="E356">
        <v>3.8474497274415403E-2</v>
      </c>
      <c r="F356" t="s">
        <v>4658</v>
      </c>
      <c r="G356" s="1">
        <v>46224.771787731479</v>
      </c>
      <c r="H356" t="s">
        <v>593</v>
      </c>
      <c r="I356" s="1">
        <v>46224.771787812497</v>
      </c>
      <c r="J356" t="s">
        <v>593</v>
      </c>
    </row>
    <row r="357" spans="1:10" x14ac:dyDescent="0.35">
      <c r="A357" t="s">
        <v>251</v>
      </c>
      <c r="B357" t="s">
        <v>591</v>
      </c>
      <c r="C357" t="s">
        <v>592</v>
      </c>
      <c r="D357" s="1">
        <v>46224</v>
      </c>
      <c r="E357">
        <v>4.2991377113837603E-2</v>
      </c>
      <c r="F357" t="s">
        <v>4659</v>
      </c>
      <c r="G357" s="1">
        <v>46224.771787731479</v>
      </c>
      <c r="H357" t="s">
        <v>593</v>
      </c>
      <c r="I357" s="1">
        <v>46224.771787812497</v>
      </c>
      <c r="J357" t="s">
        <v>593</v>
      </c>
    </row>
    <row r="358" spans="1:10" x14ac:dyDescent="0.35">
      <c r="A358" t="s">
        <v>252</v>
      </c>
      <c r="B358" t="s">
        <v>591</v>
      </c>
      <c r="C358" t="s">
        <v>592</v>
      </c>
      <c r="D358" s="1">
        <v>46224</v>
      </c>
      <c r="E358">
        <v>3.88443489661041E-2</v>
      </c>
      <c r="F358" t="s">
        <v>4660</v>
      </c>
      <c r="G358" s="1">
        <v>46224.771787731479</v>
      </c>
      <c r="H358" t="s">
        <v>593</v>
      </c>
      <c r="I358" s="1">
        <v>46224.771787812497</v>
      </c>
      <c r="J358" t="s">
        <v>593</v>
      </c>
    </row>
    <row r="359" spans="1:10" x14ac:dyDescent="0.35">
      <c r="A359" t="s">
        <v>208</v>
      </c>
      <c r="B359" t="s">
        <v>591</v>
      </c>
      <c r="C359" t="s">
        <v>592</v>
      </c>
      <c r="D359" s="1">
        <v>46224</v>
      </c>
      <c r="E359">
        <v>3.9486277780865102E-2</v>
      </c>
      <c r="F359" t="s">
        <v>4661</v>
      </c>
      <c r="G359" s="1">
        <v>46224.771787731479</v>
      </c>
      <c r="H359" t="s">
        <v>593</v>
      </c>
      <c r="I359" s="1">
        <v>46224.771787812497</v>
      </c>
      <c r="J359" t="s">
        <v>593</v>
      </c>
    </row>
    <row r="360" spans="1:10" x14ac:dyDescent="0.35">
      <c r="A360" t="s">
        <v>318</v>
      </c>
      <c r="B360" t="s">
        <v>591</v>
      </c>
      <c r="C360" t="s">
        <v>592</v>
      </c>
      <c r="D360" s="1">
        <v>46224</v>
      </c>
      <c r="E360">
        <v>2.0505816454941699E-2</v>
      </c>
      <c r="F360" t="s">
        <v>4662</v>
      </c>
      <c r="G360" s="1">
        <v>46224.771787731479</v>
      </c>
      <c r="H360" t="s">
        <v>593</v>
      </c>
      <c r="I360" s="1">
        <v>46224.771787812497</v>
      </c>
      <c r="J360" t="s">
        <v>593</v>
      </c>
    </row>
    <row r="361" spans="1:10" x14ac:dyDescent="0.35">
      <c r="A361" t="s">
        <v>209</v>
      </c>
      <c r="B361" t="s">
        <v>591</v>
      </c>
      <c r="C361" t="s">
        <v>592</v>
      </c>
      <c r="D361" s="1">
        <v>46224</v>
      </c>
      <c r="E361">
        <v>4.0095852675916303E-2</v>
      </c>
      <c r="F361" t="s">
        <v>4663</v>
      </c>
      <c r="G361" s="1">
        <v>46224.771787731479</v>
      </c>
      <c r="H361" t="s">
        <v>593</v>
      </c>
      <c r="I361" s="1">
        <v>46224.771787812497</v>
      </c>
      <c r="J361" t="s">
        <v>593</v>
      </c>
    </row>
    <row r="362" spans="1:10" x14ac:dyDescent="0.35">
      <c r="A362" t="s">
        <v>244</v>
      </c>
      <c r="B362" t="s">
        <v>591</v>
      </c>
      <c r="C362" t="s">
        <v>592</v>
      </c>
      <c r="D362" s="1">
        <v>46224</v>
      </c>
      <c r="E362">
        <v>4.3190138036947101E-2</v>
      </c>
      <c r="F362" t="s">
        <v>4664</v>
      </c>
      <c r="G362" s="1">
        <v>46224.771787731479</v>
      </c>
      <c r="H362" t="s">
        <v>593</v>
      </c>
      <c r="I362" s="1">
        <v>46224.771787812497</v>
      </c>
      <c r="J362" t="s">
        <v>593</v>
      </c>
    </row>
    <row r="363" spans="1:10" x14ac:dyDescent="0.35">
      <c r="A363" t="s">
        <v>245</v>
      </c>
      <c r="B363" t="s">
        <v>591</v>
      </c>
      <c r="C363" t="s">
        <v>592</v>
      </c>
      <c r="D363" s="1">
        <v>46224</v>
      </c>
      <c r="E363">
        <v>4.0065429485207402E-2</v>
      </c>
      <c r="F363" t="s">
        <v>4665</v>
      </c>
      <c r="G363" s="1">
        <v>46224.771787731479</v>
      </c>
      <c r="H363" t="s">
        <v>593</v>
      </c>
      <c r="I363" s="1">
        <v>46224.771787812497</v>
      </c>
      <c r="J363" t="s">
        <v>593</v>
      </c>
    </row>
    <row r="364" spans="1:10" x14ac:dyDescent="0.35">
      <c r="A364" t="s">
        <v>246</v>
      </c>
      <c r="B364" t="s">
        <v>591</v>
      </c>
      <c r="C364" t="s">
        <v>592</v>
      </c>
      <c r="D364" s="1">
        <v>46224</v>
      </c>
      <c r="E364">
        <v>4.0205492738028703E-2</v>
      </c>
      <c r="F364" t="s">
        <v>4666</v>
      </c>
      <c r="G364" s="1">
        <v>46224.771787731479</v>
      </c>
      <c r="H364" t="s">
        <v>593</v>
      </c>
      <c r="I364" s="1">
        <v>46224.771787812497</v>
      </c>
      <c r="J364" t="s">
        <v>593</v>
      </c>
    </row>
    <row r="365" spans="1:10" x14ac:dyDescent="0.35">
      <c r="A365" t="s">
        <v>276</v>
      </c>
      <c r="B365" t="s">
        <v>591</v>
      </c>
      <c r="C365" t="s">
        <v>592</v>
      </c>
      <c r="D365" s="1">
        <v>46224</v>
      </c>
      <c r="E365">
        <v>4.0804459003761499E-2</v>
      </c>
      <c r="F365" t="s">
        <v>4667</v>
      </c>
      <c r="G365" s="1">
        <v>46224.771787731479</v>
      </c>
      <c r="H365" t="s">
        <v>593</v>
      </c>
      <c r="I365" s="1">
        <v>46224.771787812497</v>
      </c>
      <c r="J365" t="s">
        <v>593</v>
      </c>
    </row>
    <row r="366" spans="1:10" x14ac:dyDescent="0.35">
      <c r="A366" t="s">
        <v>253</v>
      </c>
      <c r="B366" t="s">
        <v>591</v>
      </c>
      <c r="C366" t="s">
        <v>592</v>
      </c>
      <c r="D366" s="1">
        <v>46224</v>
      </c>
      <c r="E366">
        <v>4.3397243224206697E-2</v>
      </c>
      <c r="F366" t="s">
        <v>4668</v>
      </c>
      <c r="G366" s="1">
        <v>46224.771787731479</v>
      </c>
      <c r="H366" t="s">
        <v>593</v>
      </c>
      <c r="I366" s="1">
        <v>46224.771787812497</v>
      </c>
      <c r="J366" t="s">
        <v>593</v>
      </c>
    </row>
    <row r="367" spans="1:10" x14ac:dyDescent="0.35">
      <c r="A367" t="s">
        <v>254</v>
      </c>
      <c r="B367" t="s">
        <v>591</v>
      </c>
      <c r="C367" t="s">
        <v>592</v>
      </c>
      <c r="D367" s="1">
        <v>46224</v>
      </c>
      <c r="E367">
        <v>4.1175968630299202E-2</v>
      </c>
      <c r="F367" t="s">
        <v>4669</v>
      </c>
      <c r="G367" s="1">
        <v>46224.771787731479</v>
      </c>
      <c r="H367" t="s">
        <v>593</v>
      </c>
      <c r="I367" s="1">
        <v>46224.771787812497</v>
      </c>
      <c r="J367" t="s">
        <v>593</v>
      </c>
    </row>
    <row r="368" spans="1:10" x14ac:dyDescent="0.35">
      <c r="A368" t="s">
        <v>302</v>
      </c>
      <c r="B368" t="s">
        <v>591</v>
      </c>
      <c r="C368" t="s">
        <v>592</v>
      </c>
      <c r="D368" s="1">
        <v>46224</v>
      </c>
      <c r="E368">
        <v>4.14103876154642E-2</v>
      </c>
      <c r="F368" t="s">
        <v>4670</v>
      </c>
      <c r="G368" s="1">
        <v>46224.771787731479</v>
      </c>
      <c r="H368" t="s">
        <v>593</v>
      </c>
      <c r="I368" s="1">
        <v>46224.771787812497</v>
      </c>
      <c r="J368" t="s">
        <v>593</v>
      </c>
    </row>
    <row r="369" spans="1:10" x14ac:dyDescent="0.35">
      <c r="A369" t="s">
        <v>255</v>
      </c>
      <c r="B369" t="s">
        <v>591</v>
      </c>
      <c r="C369" t="s">
        <v>592</v>
      </c>
      <c r="D369" s="1">
        <v>46224</v>
      </c>
      <c r="E369">
        <v>1.94763142700306E-2</v>
      </c>
      <c r="F369" t="s">
        <v>4671</v>
      </c>
      <c r="G369" s="1">
        <v>46224.771787731479</v>
      </c>
      <c r="H369" t="s">
        <v>593</v>
      </c>
      <c r="I369" s="1">
        <v>46224.771787812497</v>
      </c>
      <c r="J369" t="s">
        <v>593</v>
      </c>
    </row>
    <row r="370" spans="1:10" x14ac:dyDescent="0.35">
      <c r="A370" t="s">
        <v>256</v>
      </c>
      <c r="B370" t="s">
        <v>591</v>
      </c>
      <c r="C370" t="s">
        <v>592</v>
      </c>
      <c r="D370" s="1">
        <v>46224</v>
      </c>
      <c r="E370">
        <v>4.1804851667947097E-2</v>
      </c>
      <c r="F370" t="s">
        <v>4672</v>
      </c>
      <c r="G370" s="1">
        <v>46224.771787731479</v>
      </c>
      <c r="H370" t="s">
        <v>593</v>
      </c>
      <c r="I370" s="1">
        <v>46224.771787812497</v>
      </c>
      <c r="J370" t="s">
        <v>593</v>
      </c>
    </row>
    <row r="371" spans="1:10" x14ac:dyDescent="0.35">
      <c r="A371" t="s">
        <v>257</v>
      </c>
      <c r="B371" t="s">
        <v>591</v>
      </c>
      <c r="C371" t="s">
        <v>592</v>
      </c>
      <c r="D371" s="1">
        <v>46224</v>
      </c>
      <c r="E371">
        <v>4.3496863703715798E-2</v>
      </c>
      <c r="F371" t="s">
        <v>4673</v>
      </c>
      <c r="G371" s="1">
        <v>46224.771787731479</v>
      </c>
      <c r="H371" t="s">
        <v>593</v>
      </c>
      <c r="I371" s="1">
        <v>46224.771787812497</v>
      </c>
      <c r="J371" t="s">
        <v>593</v>
      </c>
    </row>
    <row r="372" spans="1:10" x14ac:dyDescent="0.35">
      <c r="A372" t="s">
        <v>277</v>
      </c>
      <c r="B372" t="s">
        <v>591</v>
      </c>
      <c r="C372" t="s">
        <v>592</v>
      </c>
      <c r="D372" s="1">
        <v>46224</v>
      </c>
      <c r="E372">
        <v>4.1819502312796603E-2</v>
      </c>
      <c r="F372" t="s">
        <v>4674</v>
      </c>
      <c r="G372" s="1">
        <v>46224.771787731479</v>
      </c>
      <c r="H372" t="s">
        <v>593</v>
      </c>
      <c r="I372" s="1">
        <v>46224.771787812497</v>
      </c>
      <c r="J372" t="s">
        <v>593</v>
      </c>
    </row>
    <row r="373" spans="1:10" x14ac:dyDescent="0.35">
      <c r="A373" t="s">
        <v>258</v>
      </c>
      <c r="B373" t="s">
        <v>591</v>
      </c>
      <c r="C373" t="s">
        <v>592</v>
      </c>
      <c r="D373" s="1">
        <v>46224</v>
      </c>
      <c r="E373">
        <v>4.1985853939341802E-2</v>
      </c>
      <c r="F373" t="s">
        <v>4675</v>
      </c>
      <c r="G373" s="1">
        <v>46224.771787731479</v>
      </c>
      <c r="H373" t="s">
        <v>593</v>
      </c>
      <c r="I373" s="1">
        <v>46224.771787812497</v>
      </c>
      <c r="J373" t="s">
        <v>593</v>
      </c>
    </row>
    <row r="374" spans="1:10" x14ac:dyDescent="0.35">
      <c r="A374" t="s">
        <v>303</v>
      </c>
      <c r="B374" t="s">
        <v>591</v>
      </c>
      <c r="C374" t="s">
        <v>592</v>
      </c>
      <c r="D374" s="1">
        <v>46224</v>
      </c>
      <c r="E374">
        <v>4.2238559630240299E-2</v>
      </c>
      <c r="F374" t="s">
        <v>4676</v>
      </c>
      <c r="G374" s="1">
        <v>46224.771787731479</v>
      </c>
      <c r="H374" t="s">
        <v>593</v>
      </c>
      <c r="I374" s="1">
        <v>46224.771787812497</v>
      </c>
      <c r="J374" t="s">
        <v>593</v>
      </c>
    </row>
    <row r="375" spans="1:10" x14ac:dyDescent="0.35">
      <c r="A375" t="s">
        <v>304</v>
      </c>
      <c r="B375" t="s">
        <v>591</v>
      </c>
      <c r="C375" t="s">
        <v>592</v>
      </c>
      <c r="D375" s="1">
        <v>46224</v>
      </c>
      <c r="E375">
        <v>4.3574265812889403E-2</v>
      </c>
      <c r="F375" t="s">
        <v>4677</v>
      </c>
      <c r="G375" s="1">
        <v>46224.771787731479</v>
      </c>
      <c r="H375" t="s">
        <v>593</v>
      </c>
      <c r="I375" s="1">
        <v>46224.771787812497</v>
      </c>
      <c r="J375" t="s">
        <v>593</v>
      </c>
    </row>
    <row r="376" spans="1:10" x14ac:dyDescent="0.35">
      <c r="A376" t="s">
        <v>278</v>
      </c>
      <c r="B376" t="s">
        <v>591</v>
      </c>
      <c r="C376" t="s">
        <v>592</v>
      </c>
      <c r="D376" s="1">
        <v>46224</v>
      </c>
      <c r="E376">
        <v>4.2262449895565497E-2</v>
      </c>
      <c r="F376" t="s">
        <v>4678</v>
      </c>
      <c r="G376" s="1">
        <v>46224.771787731479</v>
      </c>
      <c r="H376" t="s">
        <v>593</v>
      </c>
      <c r="I376" s="1">
        <v>46224.771787812497</v>
      </c>
      <c r="J376" t="s">
        <v>593</v>
      </c>
    </row>
    <row r="377" spans="1:10" x14ac:dyDescent="0.35">
      <c r="A377" t="s">
        <v>305</v>
      </c>
      <c r="B377" t="s">
        <v>591</v>
      </c>
      <c r="C377" t="s">
        <v>592</v>
      </c>
      <c r="D377" s="1">
        <v>46224</v>
      </c>
      <c r="E377">
        <v>4.2401947120997499E-2</v>
      </c>
      <c r="F377" t="s">
        <v>4679</v>
      </c>
      <c r="G377" s="1">
        <v>46224.771787731479</v>
      </c>
      <c r="H377" t="s">
        <v>593</v>
      </c>
      <c r="I377" s="1">
        <v>46224.771787812497</v>
      </c>
      <c r="J377" t="s">
        <v>593</v>
      </c>
    </row>
    <row r="378" spans="1:10" x14ac:dyDescent="0.35">
      <c r="A378" t="s">
        <v>306</v>
      </c>
      <c r="B378" t="s">
        <v>591</v>
      </c>
      <c r="C378" t="s">
        <v>592</v>
      </c>
      <c r="D378" s="1">
        <v>46224</v>
      </c>
      <c r="E378">
        <v>2.0215632993917199E-2</v>
      </c>
      <c r="F378" t="s">
        <v>4680</v>
      </c>
      <c r="G378" s="1">
        <v>46224.771787731479</v>
      </c>
      <c r="H378" t="s">
        <v>593</v>
      </c>
      <c r="I378" s="1">
        <v>46224.771787812497</v>
      </c>
      <c r="J378" t="s">
        <v>593</v>
      </c>
    </row>
    <row r="379" spans="1:10" x14ac:dyDescent="0.35">
      <c r="A379" t="s">
        <v>319</v>
      </c>
      <c r="B379" t="s">
        <v>591</v>
      </c>
      <c r="C379" t="s">
        <v>592</v>
      </c>
      <c r="D379" s="1">
        <v>46224</v>
      </c>
      <c r="E379">
        <v>4.2511827569055902E-2</v>
      </c>
      <c r="F379" t="s">
        <v>4681</v>
      </c>
      <c r="G379" s="1">
        <v>46224.771787731479</v>
      </c>
      <c r="H379" t="s">
        <v>593</v>
      </c>
      <c r="I379" s="1">
        <v>46224.771787812497</v>
      </c>
      <c r="J379" t="s">
        <v>593</v>
      </c>
    </row>
    <row r="380" spans="1:10" x14ac:dyDescent="0.35">
      <c r="A380" t="s">
        <v>307</v>
      </c>
      <c r="B380" t="s">
        <v>591</v>
      </c>
      <c r="C380" t="s">
        <v>592</v>
      </c>
      <c r="D380" s="1">
        <v>46224</v>
      </c>
      <c r="E380">
        <v>4.34056968929558E-2</v>
      </c>
      <c r="F380" t="s">
        <v>4682</v>
      </c>
      <c r="G380" s="1">
        <v>46224.771787731479</v>
      </c>
      <c r="H380" t="s">
        <v>593</v>
      </c>
      <c r="I380" s="1">
        <v>46224.771787812497</v>
      </c>
      <c r="J380" t="s">
        <v>593</v>
      </c>
    </row>
    <row r="381" spans="1:10" x14ac:dyDescent="0.35">
      <c r="A381" t="s">
        <v>259</v>
      </c>
      <c r="B381" t="s">
        <v>591</v>
      </c>
      <c r="C381" t="s">
        <v>592</v>
      </c>
      <c r="D381" s="1">
        <v>46224</v>
      </c>
      <c r="E381">
        <v>4.2484028587076297E-2</v>
      </c>
      <c r="F381" t="s">
        <v>4683</v>
      </c>
      <c r="G381" s="1">
        <v>46224.771787731479</v>
      </c>
      <c r="H381" t="s">
        <v>593</v>
      </c>
      <c r="I381" s="1">
        <v>46224.771787812497</v>
      </c>
      <c r="J381" t="s">
        <v>593</v>
      </c>
    </row>
    <row r="382" spans="1:10" x14ac:dyDescent="0.35">
      <c r="A382" t="s">
        <v>308</v>
      </c>
      <c r="B382" t="s">
        <v>591</v>
      </c>
      <c r="C382" t="s">
        <v>592</v>
      </c>
      <c r="D382" s="1">
        <v>46224</v>
      </c>
      <c r="E382">
        <v>4.2561650019454299E-2</v>
      </c>
      <c r="F382" t="s">
        <v>4684</v>
      </c>
      <c r="G382" s="1">
        <v>46224.771787731479</v>
      </c>
      <c r="H382" t="s">
        <v>593</v>
      </c>
      <c r="I382" s="1">
        <v>46224.771787812497</v>
      </c>
      <c r="J382" t="s">
        <v>593</v>
      </c>
    </row>
    <row r="383" spans="1:10" x14ac:dyDescent="0.35">
      <c r="A383" t="s">
        <v>312</v>
      </c>
      <c r="B383" t="s">
        <v>591</v>
      </c>
      <c r="C383" t="s">
        <v>592</v>
      </c>
      <c r="D383" s="1">
        <v>46224</v>
      </c>
      <c r="E383">
        <v>4.2659153730579297E-2</v>
      </c>
      <c r="F383" t="s">
        <v>4685</v>
      </c>
      <c r="G383" s="1">
        <v>46224.771787731479</v>
      </c>
      <c r="H383" t="s">
        <v>593</v>
      </c>
      <c r="I383" s="1">
        <v>46224.771787812497</v>
      </c>
      <c r="J383" t="s">
        <v>593</v>
      </c>
    </row>
    <row r="384" spans="1:10" x14ac:dyDescent="0.35">
      <c r="A384" t="s">
        <v>260</v>
      </c>
      <c r="B384" t="s">
        <v>591</v>
      </c>
      <c r="C384" t="s">
        <v>592</v>
      </c>
      <c r="D384" s="1">
        <v>46224</v>
      </c>
      <c r="E384">
        <v>4.37154720012701E-2</v>
      </c>
      <c r="F384" t="s">
        <v>4686</v>
      </c>
      <c r="G384" s="1">
        <v>46224.771787731479</v>
      </c>
      <c r="H384" t="s">
        <v>593</v>
      </c>
      <c r="I384" s="1">
        <v>46224.771787812497</v>
      </c>
      <c r="J384" t="s">
        <v>593</v>
      </c>
    </row>
    <row r="385" spans="1:10" x14ac:dyDescent="0.35">
      <c r="A385" t="s">
        <v>261</v>
      </c>
      <c r="B385" t="s">
        <v>591</v>
      </c>
      <c r="C385" t="s">
        <v>592</v>
      </c>
      <c r="D385" s="1">
        <v>46224</v>
      </c>
      <c r="E385">
        <v>4.2648072474616897E-2</v>
      </c>
      <c r="F385" t="s">
        <v>4687</v>
      </c>
      <c r="G385" s="1">
        <v>46224.771787731479</v>
      </c>
      <c r="H385" t="s">
        <v>593</v>
      </c>
      <c r="I385" s="1">
        <v>46224.771787812497</v>
      </c>
      <c r="J385" t="s">
        <v>593</v>
      </c>
    </row>
    <row r="386" spans="1:10" x14ac:dyDescent="0.35">
      <c r="A386" t="s">
        <v>309</v>
      </c>
      <c r="B386" t="s">
        <v>591</v>
      </c>
      <c r="C386" t="s">
        <v>592</v>
      </c>
      <c r="D386" s="1">
        <v>46224</v>
      </c>
      <c r="E386">
        <v>4.2695527372224498E-2</v>
      </c>
      <c r="F386" t="s">
        <v>4688</v>
      </c>
      <c r="G386" s="1">
        <v>46224.771787731479</v>
      </c>
      <c r="H386" t="s">
        <v>593</v>
      </c>
      <c r="I386" s="1">
        <v>46224.771787812497</v>
      </c>
      <c r="J386" t="s">
        <v>593</v>
      </c>
    </row>
    <row r="387" spans="1:10" x14ac:dyDescent="0.35">
      <c r="A387" t="s">
        <v>320</v>
      </c>
      <c r="B387" t="s">
        <v>591</v>
      </c>
      <c r="C387" t="s">
        <v>592</v>
      </c>
      <c r="D387" s="1">
        <v>46224</v>
      </c>
      <c r="E387">
        <v>1.97135758891138E-2</v>
      </c>
      <c r="F387" t="s">
        <v>4689</v>
      </c>
      <c r="G387" s="1">
        <v>46224.771787731479</v>
      </c>
      <c r="H387" t="s">
        <v>593</v>
      </c>
      <c r="I387" s="1">
        <v>46224.771787812497</v>
      </c>
      <c r="J387" t="s">
        <v>593</v>
      </c>
    </row>
    <row r="388" spans="1:10" x14ac:dyDescent="0.35">
      <c r="A388" t="s">
        <v>262</v>
      </c>
      <c r="B388" t="s">
        <v>591</v>
      </c>
      <c r="C388" t="s">
        <v>592</v>
      </c>
      <c r="D388" s="1">
        <v>46224</v>
      </c>
      <c r="E388">
        <v>3.6022193793169101E-2</v>
      </c>
      <c r="F388" t="s">
        <v>4690</v>
      </c>
      <c r="G388" s="1">
        <v>46224.771787731479</v>
      </c>
      <c r="H388" t="s">
        <v>593</v>
      </c>
      <c r="I388" s="1">
        <v>46224.771787812497</v>
      </c>
      <c r="J388" t="s">
        <v>593</v>
      </c>
    </row>
    <row r="389" spans="1:10" x14ac:dyDescent="0.35">
      <c r="A389" t="s">
        <v>313</v>
      </c>
      <c r="B389" t="s">
        <v>591</v>
      </c>
      <c r="C389" t="s">
        <v>592</v>
      </c>
      <c r="D389" s="1">
        <v>46224</v>
      </c>
      <c r="E389">
        <v>4.2720465469781699E-2</v>
      </c>
      <c r="F389" t="s">
        <v>4691</v>
      </c>
      <c r="G389" s="1">
        <v>46224.771787731479</v>
      </c>
      <c r="H389" t="s">
        <v>593</v>
      </c>
      <c r="I389" s="1">
        <v>46224.771787812497</v>
      </c>
      <c r="J389" t="s">
        <v>593</v>
      </c>
    </row>
    <row r="390" spans="1:10" x14ac:dyDescent="0.35">
      <c r="A390" t="s">
        <v>263</v>
      </c>
      <c r="B390" t="s">
        <v>591</v>
      </c>
      <c r="C390" t="s">
        <v>592</v>
      </c>
      <c r="D390" s="1">
        <v>46224</v>
      </c>
      <c r="E390">
        <v>4.3849938583548999E-2</v>
      </c>
      <c r="F390" t="s">
        <v>4692</v>
      </c>
      <c r="G390" s="1">
        <v>46224.771787731479</v>
      </c>
      <c r="H390" t="s">
        <v>593</v>
      </c>
      <c r="I390" s="1">
        <v>46224.771787812497</v>
      </c>
      <c r="J390" t="s">
        <v>593</v>
      </c>
    </row>
    <row r="391" spans="1:10" x14ac:dyDescent="0.35">
      <c r="A391" t="s">
        <v>310</v>
      </c>
      <c r="B391" t="s">
        <v>591</v>
      </c>
      <c r="C391" t="s">
        <v>592</v>
      </c>
      <c r="D391" s="1">
        <v>46224</v>
      </c>
      <c r="E391">
        <v>4.28124212836479E-2</v>
      </c>
      <c r="F391" t="s">
        <v>4693</v>
      </c>
      <c r="G391" s="1">
        <v>46224.771787731479</v>
      </c>
      <c r="H391" t="s">
        <v>593</v>
      </c>
      <c r="I391" s="1">
        <v>46224.771787812497</v>
      </c>
      <c r="J391" t="s">
        <v>593</v>
      </c>
    </row>
    <row r="392" spans="1:10" x14ac:dyDescent="0.35">
      <c r="A392" t="s">
        <v>311</v>
      </c>
      <c r="B392" t="s">
        <v>591</v>
      </c>
      <c r="C392" t="s">
        <v>592</v>
      </c>
      <c r="D392" s="1">
        <v>46224</v>
      </c>
      <c r="E392">
        <v>3.7339603376718301E-2</v>
      </c>
      <c r="F392" t="s">
        <v>4694</v>
      </c>
      <c r="G392" s="1">
        <v>46224.771787731479</v>
      </c>
      <c r="H392" t="s">
        <v>593</v>
      </c>
      <c r="I392" s="1">
        <v>46224.771787812497</v>
      </c>
      <c r="J392" t="s">
        <v>593</v>
      </c>
    </row>
    <row r="393" spans="1:10" x14ac:dyDescent="0.35">
      <c r="A393" t="s">
        <v>264</v>
      </c>
      <c r="B393" t="s">
        <v>591</v>
      </c>
      <c r="C393" t="s">
        <v>592</v>
      </c>
      <c r="D393" s="1">
        <v>46224</v>
      </c>
      <c r="E393">
        <v>4.2868537395580497E-2</v>
      </c>
      <c r="F393" t="s">
        <v>4695</v>
      </c>
      <c r="G393" s="1">
        <v>46224.771787731479</v>
      </c>
      <c r="H393" t="s">
        <v>593</v>
      </c>
      <c r="I393" s="1">
        <v>46224.771787812497</v>
      </c>
      <c r="J393" t="s">
        <v>593</v>
      </c>
    </row>
    <row r="394" spans="1:10" x14ac:dyDescent="0.35">
      <c r="A394" t="s">
        <v>265</v>
      </c>
      <c r="B394" t="s">
        <v>591</v>
      </c>
      <c r="C394" t="s">
        <v>592</v>
      </c>
      <c r="D394" s="1">
        <v>46224</v>
      </c>
      <c r="E394">
        <v>3.7653658902198101E-2</v>
      </c>
      <c r="F394" t="s">
        <v>4696</v>
      </c>
      <c r="G394" s="1">
        <v>46224.771787731479</v>
      </c>
      <c r="H394" t="s">
        <v>593</v>
      </c>
      <c r="I394" s="1">
        <v>46224.771787812497</v>
      </c>
      <c r="J394" t="s">
        <v>593</v>
      </c>
    </row>
    <row r="395" spans="1:10" x14ac:dyDescent="0.35">
      <c r="A395" t="s">
        <v>331</v>
      </c>
      <c r="B395" t="s">
        <v>591</v>
      </c>
      <c r="C395" t="s">
        <v>592</v>
      </c>
      <c r="D395" s="1">
        <v>46224</v>
      </c>
      <c r="E395">
        <v>3.41277162778095E-2</v>
      </c>
      <c r="F395" t="s">
        <v>4697</v>
      </c>
      <c r="G395" s="1">
        <v>46224.771787731479</v>
      </c>
      <c r="H395" t="s">
        <v>593</v>
      </c>
      <c r="I395" s="1">
        <v>46224.771787812497</v>
      </c>
      <c r="J395" t="s">
        <v>593</v>
      </c>
    </row>
    <row r="396" spans="1:10" x14ac:dyDescent="0.35">
      <c r="A396" t="s">
        <v>266</v>
      </c>
      <c r="B396" t="s">
        <v>591</v>
      </c>
      <c r="C396" t="s">
        <v>592</v>
      </c>
      <c r="D396" s="1">
        <v>46224</v>
      </c>
      <c r="E396">
        <v>4.2875589134493998E-2</v>
      </c>
      <c r="F396" t="s">
        <v>4698</v>
      </c>
      <c r="G396" s="1">
        <v>46224.771787731479</v>
      </c>
      <c r="H396" t="s">
        <v>593</v>
      </c>
      <c r="I396" s="1">
        <v>46224.771787812497</v>
      </c>
      <c r="J396" t="s">
        <v>593</v>
      </c>
    </row>
    <row r="397" spans="1:10" x14ac:dyDescent="0.35">
      <c r="A397" t="s">
        <v>314</v>
      </c>
      <c r="B397" t="s">
        <v>591</v>
      </c>
      <c r="C397" t="s">
        <v>592</v>
      </c>
      <c r="D397" s="1">
        <v>46224</v>
      </c>
      <c r="E397">
        <v>3.85523047003146E-2</v>
      </c>
      <c r="F397" t="s">
        <v>4699</v>
      </c>
      <c r="G397" s="1">
        <v>46224.771787731479</v>
      </c>
      <c r="H397" t="s">
        <v>593</v>
      </c>
      <c r="I397" s="1">
        <v>46224.771787812497</v>
      </c>
      <c r="J397" t="s">
        <v>593</v>
      </c>
    </row>
    <row r="398" spans="1:10" x14ac:dyDescent="0.35">
      <c r="A398" t="s">
        <v>267</v>
      </c>
      <c r="B398" t="s">
        <v>591</v>
      </c>
      <c r="C398" t="s">
        <v>592</v>
      </c>
      <c r="D398" s="1">
        <v>46224</v>
      </c>
      <c r="E398">
        <v>4.4042677321657203E-2</v>
      </c>
      <c r="F398" t="s">
        <v>4700</v>
      </c>
      <c r="G398" s="1">
        <v>46224.771787731479</v>
      </c>
      <c r="H398" t="s">
        <v>593</v>
      </c>
      <c r="I398" s="1">
        <v>46224.771787812497</v>
      </c>
      <c r="J398" t="s">
        <v>593</v>
      </c>
    </row>
    <row r="399" spans="1:10" x14ac:dyDescent="0.35">
      <c r="A399" t="s">
        <v>268</v>
      </c>
      <c r="B399" t="s">
        <v>591</v>
      </c>
      <c r="C399" t="s">
        <v>592</v>
      </c>
      <c r="D399" s="1">
        <v>46224</v>
      </c>
      <c r="E399">
        <v>3.8877524999939697E-2</v>
      </c>
      <c r="F399" t="s">
        <v>4701</v>
      </c>
      <c r="G399" s="1">
        <v>46224.771787731479</v>
      </c>
      <c r="H399" t="s">
        <v>593</v>
      </c>
      <c r="I399" s="1">
        <v>46224.771787812497</v>
      </c>
      <c r="J399" t="s">
        <v>593</v>
      </c>
    </row>
    <row r="400" spans="1:10" x14ac:dyDescent="0.35">
      <c r="A400" t="s">
        <v>279</v>
      </c>
      <c r="B400" t="s">
        <v>591</v>
      </c>
      <c r="C400" t="s">
        <v>592</v>
      </c>
      <c r="D400" s="1">
        <v>46224</v>
      </c>
      <c r="E400">
        <v>4.2862384583455301E-2</v>
      </c>
      <c r="F400" t="s">
        <v>4702</v>
      </c>
      <c r="G400" s="1">
        <v>46224.771787731479</v>
      </c>
      <c r="H400" t="s">
        <v>593</v>
      </c>
      <c r="I400" s="1">
        <v>46224.771787812497</v>
      </c>
      <c r="J400" t="s">
        <v>593</v>
      </c>
    </row>
    <row r="401" spans="1:10" x14ac:dyDescent="0.35">
      <c r="A401" t="s">
        <v>315</v>
      </c>
      <c r="B401" t="s">
        <v>591</v>
      </c>
      <c r="C401" t="s">
        <v>592</v>
      </c>
      <c r="D401" s="1">
        <v>46224</v>
      </c>
      <c r="E401">
        <v>4.2904293479390301E-2</v>
      </c>
      <c r="F401" t="s">
        <v>4703</v>
      </c>
      <c r="G401" s="1">
        <v>46224.771787731479</v>
      </c>
      <c r="H401" t="s">
        <v>593</v>
      </c>
      <c r="I401" s="1">
        <v>46224.771787812497</v>
      </c>
      <c r="J401" t="s">
        <v>593</v>
      </c>
    </row>
    <row r="402" spans="1:10" x14ac:dyDescent="0.35">
      <c r="A402" t="s">
        <v>316</v>
      </c>
      <c r="B402" t="s">
        <v>591</v>
      </c>
      <c r="C402" t="s">
        <v>592</v>
      </c>
      <c r="D402" s="1">
        <v>46224</v>
      </c>
      <c r="E402">
        <v>3.94630619742211E-2</v>
      </c>
      <c r="F402" t="s">
        <v>4704</v>
      </c>
      <c r="G402" s="1">
        <v>46224.771787731479</v>
      </c>
      <c r="H402" t="s">
        <v>593</v>
      </c>
      <c r="I402" s="1">
        <v>46224.771787812497</v>
      </c>
      <c r="J402" t="s">
        <v>593</v>
      </c>
    </row>
    <row r="403" spans="1:10" x14ac:dyDescent="0.35">
      <c r="A403" t="s">
        <v>317</v>
      </c>
      <c r="B403" t="s">
        <v>591</v>
      </c>
      <c r="C403" t="s">
        <v>592</v>
      </c>
      <c r="D403" s="1">
        <v>46224</v>
      </c>
      <c r="E403">
        <v>4.2959903864025803E-2</v>
      </c>
      <c r="F403" t="s">
        <v>4705</v>
      </c>
      <c r="G403" s="1">
        <v>46224.771787731479</v>
      </c>
      <c r="H403" t="s">
        <v>593</v>
      </c>
      <c r="I403" s="1">
        <v>46224.771787812497</v>
      </c>
      <c r="J403" t="s">
        <v>593</v>
      </c>
    </row>
    <row r="404" spans="1:10" x14ac:dyDescent="0.35">
      <c r="A404" t="s">
        <v>321</v>
      </c>
      <c r="B404" t="s">
        <v>591</v>
      </c>
      <c r="C404" t="s">
        <v>592</v>
      </c>
      <c r="D404" s="1">
        <v>46224</v>
      </c>
      <c r="E404">
        <v>2.0688416046407001E-2</v>
      </c>
      <c r="F404" t="s">
        <v>4706</v>
      </c>
      <c r="G404" s="1">
        <v>46224.771787731479</v>
      </c>
      <c r="H404" t="s">
        <v>593</v>
      </c>
      <c r="I404" s="1">
        <v>46224.771787812497</v>
      </c>
      <c r="J404" t="s">
        <v>593</v>
      </c>
    </row>
    <row r="405" spans="1:10" x14ac:dyDescent="0.35">
      <c r="A405" t="s">
        <v>280</v>
      </c>
      <c r="B405" t="s">
        <v>591</v>
      </c>
      <c r="C405" t="s">
        <v>592</v>
      </c>
      <c r="D405" s="1">
        <v>46224</v>
      </c>
      <c r="E405">
        <v>4.4180540264334399E-2</v>
      </c>
      <c r="F405" t="s">
        <v>4707</v>
      </c>
      <c r="G405" s="1">
        <v>46224.771787731479</v>
      </c>
      <c r="H405" t="s">
        <v>593</v>
      </c>
      <c r="I405" s="1">
        <v>46224.771787812497</v>
      </c>
      <c r="J405" t="s">
        <v>593</v>
      </c>
    </row>
    <row r="406" spans="1:10" x14ac:dyDescent="0.35">
      <c r="A406" t="s">
        <v>322</v>
      </c>
      <c r="B406" t="s">
        <v>591</v>
      </c>
      <c r="C406" t="s">
        <v>592</v>
      </c>
      <c r="D406" s="1">
        <v>46224</v>
      </c>
      <c r="E406">
        <v>4.2883337286486099E-2</v>
      </c>
      <c r="F406" t="s">
        <v>4708</v>
      </c>
      <c r="G406" s="1">
        <v>46224.771787731479</v>
      </c>
      <c r="H406" t="s">
        <v>593</v>
      </c>
      <c r="I406" s="1">
        <v>46224.771787812497</v>
      </c>
      <c r="J406" t="s">
        <v>593</v>
      </c>
    </row>
    <row r="407" spans="1:10" x14ac:dyDescent="0.35">
      <c r="A407" t="s">
        <v>281</v>
      </c>
      <c r="B407" t="s">
        <v>591</v>
      </c>
      <c r="C407" t="s">
        <v>592</v>
      </c>
      <c r="D407" s="1">
        <v>46224</v>
      </c>
      <c r="E407">
        <v>4.0109616255287403E-2</v>
      </c>
      <c r="F407" t="s">
        <v>4709</v>
      </c>
      <c r="G407" s="1">
        <v>46224.771787731479</v>
      </c>
      <c r="H407" t="s">
        <v>593</v>
      </c>
      <c r="I407" s="1">
        <v>46224.771787812497</v>
      </c>
      <c r="J407" t="s">
        <v>593</v>
      </c>
    </row>
    <row r="408" spans="1:10" x14ac:dyDescent="0.35">
      <c r="A408" t="s">
        <v>282</v>
      </c>
      <c r="B408" t="s">
        <v>591</v>
      </c>
      <c r="C408" t="s">
        <v>592</v>
      </c>
      <c r="D408" s="1">
        <v>46224</v>
      </c>
      <c r="E408">
        <v>4.2990004926719103E-2</v>
      </c>
      <c r="F408" t="s">
        <v>4710</v>
      </c>
      <c r="G408" s="1">
        <v>46224.771787731479</v>
      </c>
      <c r="H408" t="s">
        <v>593</v>
      </c>
      <c r="I408" s="1">
        <v>46224.771787812497</v>
      </c>
      <c r="J408" t="s">
        <v>593</v>
      </c>
    </row>
    <row r="409" spans="1:10" x14ac:dyDescent="0.35">
      <c r="A409" t="s">
        <v>283</v>
      </c>
      <c r="B409" t="s">
        <v>591</v>
      </c>
      <c r="C409" t="s">
        <v>592</v>
      </c>
      <c r="D409" s="1">
        <v>46224</v>
      </c>
      <c r="E409">
        <v>4.0436994968516903E-2</v>
      </c>
      <c r="F409" t="s">
        <v>4711</v>
      </c>
      <c r="G409" s="1">
        <v>46224.771787731479</v>
      </c>
      <c r="H409" t="s">
        <v>593</v>
      </c>
      <c r="I409" s="1">
        <v>46224.771787812497</v>
      </c>
      <c r="J409" t="s">
        <v>593</v>
      </c>
    </row>
    <row r="410" spans="1:10" x14ac:dyDescent="0.35">
      <c r="A410" t="s">
        <v>284</v>
      </c>
      <c r="B410" t="s">
        <v>591</v>
      </c>
      <c r="C410" t="s">
        <v>592</v>
      </c>
      <c r="D410" s="1">
        <v>46224</v>
      </c>
      <c r="E410">
        <v>2.8885629534640599E-2</v>
      </c>
      <c r="F410" t="s">
        <v>4712</v>
      </c>
      <c r="G410" s="1">
        <v>46224.771787731479</v>
      </c>
      <c r="H410" t="s">
        <v>593</v>
      </c>
      <c r="I410" s="1">
        <v>46224.771787812497</v>
      </c>
      <c r="J410" t="s">
        <v>593</v>
      </c>
    </row>
    <row r="411" spans="1:10" x14ac:dyDescent="0.35">
      <c r="A411" t="s">
        <v>285</v>
      </c>
      <c r="B411" t="s">
        <v>591</v>
      </c>
      <c r="C411" t="s">
        <v>592</v>
      </c>
      <c r="D411" s="1">
        <v>46224</v>
      </c>
      <c r="E411">
        <v>4.2945680844756903E-2</v>
      </c>
      <c r="F411" t="s">
        <v>4713</v>
      </c>
      <c r="G411" s="1">
        <v>46224.771787731479</v>
      </c>
      <c r="H411" t="s">
        <v>593</v>
      </c>
      <c r="I411" s="1">
        <v>46224.771787812497</v>
      </c>
      <c r="J411" t="s">
        <v>593</v>
      </c>
    </row>
    <row r="412" spans="1:10" x14ac:dyDescent="0.35">
      <c r="A412" t="s">
        <v>323</v>
      </c>
      <c r="B412" t="s">
        <v>591</v>
      </c>
      <c r="C412" t="s">
        <v>592</v>
      </c>
      <c r="D412" s="1">
        <v>46224</v>
      </c>
      <c r="E412">
        <v>4.0910890115408299E-2</v>
      </c>
      <c r="F412" t="s">
        <v>4714</v>
      </c>
      <c r="G412" s="1">
        <v>46224.771787731479</v>
      </c>
      <c r="H412" t="s">
        <v>593</v>
      </c>
      <c r="I412" s="1">
        <v>46224.771787812497</v>
      </c>
      <c r="J412" t="s">
        <v>593</v>
      </c>
    </row>
    <row r="413" spans="1:10" x14ac:dyDescent="0.35">
      <c r="A413" t="s">
        <v>286</v>
      </c>
      <c r="B413" t="s">
        <v>591</v>
      </c>
      <c r="C413" t="s">
        <v>592</v>
      </c>
      <c r="D413" s="1">
        <v>46224</v>
      </c>
      <c r="E413">
        <v>4.4322870430197801E-2</v>
      </c>
      <c r="F413" t="s">
        <v>4715</v>
      </c>
      <c r="G413" s="1">
        <v>46224.771787731479</v>
      </c>
      <c r="H413" t="s">
        <v>593</v>
      </c>
      <c r="I413" s="1">
        <v>46224.771787812497</v>
      </c>
      <c r="J413" t="s">
        <v>593</v>
      </c>
    </row>
    <row r="414" spans="1:10" x14ac:dyDescent="0.35">
      <c r="A414" t="s">
        <v>287</v>
      </c>
      <c r="B414" t="s">
        <v>591</v>
      </c>
      <c r="C414" t="s">
        <v>592</v>
      </c>
      <c r="D414" s="1">
        <v>46224</v>
      </c>
      <c r="E414">
        <v>4.2966350179115403E-2</v>
      </c>
      <c r="F414" t="s">
        <v>4716</v>
      </c>
      <c r="G414" s="1">
        <v>46224.771787731479</v>
      </c>
      <c r="H414" t="s">
        <v>593</v>
      </c>
      <c r="I414" s="1">
        <v>46224.771787812497</v>
      </c>
      <c r="J414" t="s">
        <v>593</v>
      </c>
    </row>
    <row r="415" spans="1:10" x14ac:dyDescent="0.35">
      <c r="A415" t="s">
        <v>332</v>
      </c>
      <c r="B415" t="s">
        <v>591</v>
      </c>
      <c r="C415" t="s">
        <v>592</v>
      </c>
      <c r="D415" s="1">
        <v>46224</v>
      </c>
      <c r="E415">
        <v>4.1196022210403097E-2</v>
      </c>
      <c r="F415" t="s">
        <v>4717</v>
      </c>
      <c r="G415" s="1">
        <v>46224.771787731479</v>
      </c>
      <c r="H415" t="s">
        <v>593</v>
      </c>
      <c r="I415" s="1">
        <v>46224.771787812497</v>
      </c>
      <c r="J415" t="s">
        <v>593</v>
      </c>
    </row>
    <row r="416" spans="1:10" x14ac:dyDescent="0.35">
      <c r="A416" t="s">
        <v>324</v>
      </c>
      <c r="B416" t="s">
        <v>591</v>
      </c>
      <c r="C416" t="s">
        <v>592</v>
      </c>
      <c r="D416" s="1">
        <v>46224</v>
      </c>
      <c r="E416">
        <v>4.3036505507501599E-2</v>
      </c>
      <c r="F416" t="s">
        <v>4718</v>
      </c>
      <c r="G416" s="1">
        <v>46224.771787731479</v>
      </c>
      <c r="H416" t="s">
        <v>593</v>
      </c>
      <c r="I416" s="1">
        <v>46224.771787812497</v>
      </c>
      <c r="J416" t="s">
        <v>593</v>
      </c>
    </row>
    <row r="417" spans="1:10" x14ac:dyDescent="0.35">
      <c r="A417" t="s">
        <v>288</v>
      </c>
      <c r="B417" t="s">
        <v>591</v>
      </c>
      <c r="C417" t="s">
        <v>592</v>
      </c>
      <c r="D417" s="1">
        <v>46224</v>
      </c>
      <c r="E417">
        <v>4.1337728151032802E-2</v>
      </c>
      <c r="F417" t="s">
        <v>4719</v>
      </c>
      <c r="G417" s="1">
        <v>46224.771787731479</v>
      </c>
      <c r="H417" t="s">
        <v>593</v>
      </c>
      <c r="I417" s="1">
        <v>46224.771787812497</v>
      </c>
      <c r="J417" t="s">
        <v>593</v>
      </c>
    </row>
    <row r="418" spans="1:10" x14ac:dyDescent="0.35">
      <c r="A418" t="s">
        <v>333</v>
      </c>
      <c r="B418" t="s">
        <v>591</v>
      </c>
      <c r="C418" t="s">
        <v>592</v>
      </c>
      <c r="D418" s="1">
        <v>46224</v>
      </c>
      <c r="E418">
        <v>2.0451880879679699E-2</v>
      </c>
      <c r="F418" t="s">
        <v>4720</v>
      </c>
      <c r="G418" s="1">
        <v>46224.771787731479</v>
      </c>
      <c r="H418" t="s">
        <v>593</v>
      </c>
      <c r="I418" s="1">
        <v>46224.771787812497</v>
      </c>
      <c r="J418" t="s">
        <v>593</v>
      </c>
    </row>
    <row r="419" spans="1:10" x14ac:dyDescent="0.35">
      <c r="A419" t="s">
        <v>289</v>
      </c>
      <c r="B419" t="s">
        <v>591</v>
      </c>
      <c r="C419" t="s">
        <v>592</v>
      </c>
      <c r="D419" s="1">
        <v>46224</v>
      </c>
      <c r="E419">
        <v>4.18109012717926E-2</v>
      </c>
      <c r="F419" t="s">
        <v>4721</v>
      </c>
      <c r="G419" s="1">
        <v>46224.771787731479</v>
      </c>
      <c r="H419" t="s">
        <v>593</v>
      </c>
      <c r="I419" s="1">
        <v>46224.771787812497</v>
      </c>
      <c r="J419" t="s">
        <v>593</v>
      </c>
    </row>
    <row r="420" spans="1:10" x14ac:dyDescent="0.35">
      <c r="A420" t="s">
        <v>325</v>
      </c>
      <c r="B420" t="s">
        <v>591</v>
      </c>
      <c r="C420" t="s">
        <v>592</v>
      </c>
      <c r="D420" s="1">
        <v>46224</v>
      </c>
      <c r="E420">
        <v>4.3023773427325503E-2</v>
      </c>
      <c r="F420" t="s">
        <v>4722</v>
      </c>
      <c r="G420" s="1">
        <v>46224.771787731479</v>
      </c>
      <c r="H420" t="s">
        <v>593</v>
      </c>
      <c r="I420" s="1">
        <v>46224.771787812497</v>
      </c>
      <c r="J420" t="s">
        <v>593</v>
      </c>
    </row>
    <row r="421" spans="1:10" x14ac:dyDescent="0.35">
      <c r="A421" t="s">
        <v>290</v>
      </c>
      <c r="B421" t="s">
        <v>591</v>
      </c>
      <c r="C421" t="s">
        <v>592</v>
      </c>
      <c r="D421" s="1">
        <v>46224</v>
      </c>
      <c r="E421">
        <v>4.44840071138514E-2</v>
      </c>
      <c r="F421" t="s">
        <v>4723</v>
      </c>
      <c r="G421" s="1">
        <v>46224.771787731479</v>
      </c>
      <c r="H421" t="s">
        <v>593</v>
      </c>
      <c r="I421" s="1">
        <v>46224.771787812497</v>
      </c>
      <c r="J421" t="s">
        <v>593</v>
      </c>
    </row>
    <row r="422" spans="1:10" x14ac:dyDescent="0.35">
      <c r="A422" t="s">
        <v>326</v>
      </c>
      <c r="B422" t="s">
        <v>591</v>
      </c>
      <c r="C422" t="s">
        <v>592</v>
      </c>
      <c r="D422" s="1">
        <v>46224</v>
      </c>
      <c r="E422">
        <v>4.1713308713317701E-2</v>
      </c>
      <c r="F422" t="s">
        <v>4724</v>
      </c>
      <c r="G422" s="1">
        <v>46224.771787731479</v>
      </c>
      <c r="H422" t="s">
        <v>593</v>
      </c>
      <c r="I422" s="1">
        <v>46224.771787812497</v>
      </c>
      <c r="J422" t="s">
        <v>593</v>
      </c>
    </row>
    <row r="423" spans="1:10" x14ac:dyDescent="0.35">
      <c r="A423" t="s">
        <v>291</v>
      </c>
      <c r="B423" t="s">
        <v>591</v>
      </c>
      <c r="C423" t="s">
        <v>592</v>
      </c>
      <c r="D423" s="1">
        <v>46224</v>
      </c>
      <c r="E423">
        <v>4.30368152284719E-2</v>
      </c>
      <c r="F423" t="s">
        <v>4725</v>
      </c>
      <c r="G423" s="1">
        <v>46224.771787731479</v>
      </c>
      <c r="H423" t="s">
        <v>593</v>
      </c>
      <c r="I423" s="1">
        <v>46224.771787812497</v>
      </c>
      <c r="J423" t="s">
        <v>593</v>
      </c>
    </row>
    <row r="424" spans="1:10" x14ac:dyDescent="0.35">
      <c r="A424" t="s">
        <v>292</v>
      </c>
      <c r="B424" t="s">
        <v>591</v>
      </c>
      <c r="C424" t="s">
        <v>592</v>
      </c>
      <c r="D424" s="1">
        <v>46224</v>
      </c>
      <c r="E424">
        <v>4.3100279369222998E-2</v>
      </c>
      <c r="F424" t="s">
        <v>4726</v>
      </c>
      <c r="G424" s="1">
        <v>46224.771787731479</v>
      </c>
      <c r="H424" t="s">
        <v>593</v>
      </c>
      <c r="I424" s="1">
        <v>46224.771787812497</v>
      </c>
      <c r="J424" t="s">
        <v>593</v>
      </c>
    </row>
    <row r="425" spans="1:10" x14ac:dyDescent="0.35">
      <c r="A425" t="s">
        <v>327</v>
      </c>
      <c r="B425" t="s">
        <v>591</v>
      </c>
      <c r="C425" t="s">
        <v>592</v>
      </c>
      <c r="D425" s="1">
        <v>46224</v>
      </c>
      <c r="E425">
        <v>4.1970093845864302E-2</v>
      </c>
      <c r="F425" t="s">
        <v>4727</v>
      </c>
      <c r="G425" s="1">
        <v>46224.771787731479</v>
      </c>
      <c r="H425" t="s">
        <v>593</v>
      </c>
      <c r="I425" s="1">
        <v>46224.771787812497</v>
      </c>
      <c r="J425" t="s">
        <v>593</v>
      </c>
    </row>
    <row r="426" spans="1:10" x14ac:dyDescent="0.35">
      <c r="A426" t="s">
        <v>293</v>
      </c>
      <c r="B426" t="s">
        <v>591</v>
      </c>
      <c r="C426" t="s">
        <v>592</v>
      </c>
      <c r="D426" s="1">
        <v>46224</v>
      </c>
      <c r="E426">
        <v>2.1796615192943201E-2</v>
      </c>
      <c r="F426" t="s">
        <v>4728</v>
      </c>
      <c r="G426" s="1">
        <v>46224.771787731479</v>
      </c>
      <c r="H426" t="s">
        <v>593</v>
      </c>
      <c r="I426" s="1">
        <v>46224.771787812497</v>
      </c>
      <c r="J426" t="s">
        <v>593</v>
      </c>
    </row>
    <row r="427" spans="1:10" x14ac:dyDescent="0.35">
      <c r="A427" t="s">
        <v>294</v>
      </c>
      <c r="B427" t="s">
        <v>591</v>
      </c>
      <c r="C427" t="s">
        <v>592</v>
      </c>
      <c r="D427" s="1">
        <v>46224</v>
      </c>
      <c r="E427">
        <v>4.3160926136005501E-2</v>
      </c>
      <c r="F427" t="s">
        <v>4729</v>
      </c>
      <c r="G427" s="1">
        <v>46224.771787731479</v>
      </c>
      <c r="H427" t="s">
        <v>593</v>
      </c>
      <c r="I427" s="1">
        <v>46224.771787812497</v>
      </c>
      <c r="J427" t="s">
        <v>593</v>
      </c>
    </row>
    <row r="428" spans="1:10" x14ac:dyDescent="0.35">
      <c r="A428" t="s">
        <v>334</v>
      </c>
      <c r="B428" t="s">
        <v>591</v>
      </c>
      <c r="C428" t="s">
        <v>592</v>
      </c>
      <c r="D428" s="1">
        <v>46224</v>
      </c>
      <c r="E428">
        <v>4.2017673716044798E-2</v>
      </c>
      <c r="F428" t="s">
        <v>4730</v>
      </c>
      <c r="G428" s="1">
        <v>46224.771787731479</v>
      </c>
      <c r="H428" t="s">
        <v>593</v>
      </c>
      <c r="I428" s="1">
        <v>46224.771787812497</v>
      </c>
      <c r="J428" t="s">
        <v>593</v>
      </c>
    </row>
    <row r="429" spans="1:10" x14ac:dyDescent="0.35">
      <c r="A429" t="s">
        <v>295</v>
      </c>
      <c r="B429" t="s">
        <v>591</v>
      </c>
      <c r="C429" t="s">
        <v>592</v>
      </c>
      <c r="D429" s="1">
        <v>46224</v>
      </c>
      <c r="E429">
        <v>4.4543069392936903E-2</v>
      </c>
      <c r="F429" t="s">
        <v>4731</v>
      </c>
      <c r="G429" s="1">
        <v>46224.771787731479</v>
      </c>
      <c r="H429" t="s">
        <v>593</v>
      </c>
      <c r="I429" s="1">
        <v>46224.771787812497</v>
      </c>
      <c r="J429" t="s">
        <v>593</v>
      </c>
    </row>
    <row r="430" spans="1:10" x14ac:dyDescent="0.35">
      <c r="A430" t="s">
        <v>296</v>
      </c>
      <c r="B430" t="s">
        <v>591</v>
      </c>
      <c r="C430" t="s">
        <v>592</v>
      </c>
      <c r="D430" s="1">
        <v>46224</v>
      </c>
      <c r="E430">
        <v>4.3217378941418999E-2</v>
      </c>
      <c r="F430" t="s">
        <v>4732</v>
      </c>
      <c r="G430" s="1">
        <v>46224.771787731479</v>
      </c>
      <c r="H430" t="s">
        <v>593</v>
      </c>
      <c r="I430" s="1">
        <v>46224.771787812497</v>
      </c>
      <c r="J430" t="s">
        <v>593</v>
      </c>
    </row>
    <row r="431" spans="1:10" x14ac:dyDescent="0.35">
      <c r="A431" t="s">
        <v>335</v>
      </c>
      <c r="B431" t="s">
        <v>591</v>
      </c>
      <c r="C431" t="s">
        <v>592</v>
      </c>
      <c r="D431" s="1">
        <v>46224</v>
      </c>
      <c r="E431">
        <v>4.22619463133799E-2</v>
      </c>
      <c r="F431" t="s">
        <v>4733</v>
      </c>
      <c r="G431" s="1">
        <v>46224.771787731479</v>
      </c>
      <c r="H431" t="s">
        <v>593</v>
      </c>
      <c r="I431" s="1">
        <v>46224.771787812497</v>
      </c>
      <c r="J431" t="s">
        <v>593</v>
      </c>
    </row>
    <row r="432" spans="1:10" x14ac:dyDescent="0.35">
      <c r="A432" t="s">
        <v>297</v>
      </c>
      <c r="B432" t="s">
        <v>591</v>
      </c>
      <c r="C432" t="s">
        <v>592</v>
      </c>
      <c r="D432" s="1">
        <v>46224</v>
      </c>
      <c r="E432">
        <v>4.32605455516719E-2</v>
      </c>
      <c r="F432" t="s">
        <v>4734</v>
      </c>
      <c r="G432" s="1">
        <v>46224.771787731479</v>
      </c>
      <c r="H432" t="s">
        <v>593</v>
      </c>
      <c r="I432" s="1">
        <v>46224.771787812497</v>
      </c>
      <c r="J432" t="s">
        <v>593</v>
      </c>
    </row>
    <row r="433" spans="1:10" x14ac:dyDescent="0.35">
      <c r="A433" t="s">
        <v>298</v>
      </c>
      <c r="B433" t="s">
        <v>591</v>
      </c>
      <c r="C433" t="s">
        <v>592</v>
      </c>
      <c r="D433" s="1">
        <v>46224</v>
      </c>
      <c r="E433">
        <v>4.2406519968872201E-2</v>
      </c>
      <c r="F433" t="s">
        <v>4735</v>
      </c>
      <c r="G433" s="1">
        <v>46224.771787731479</v>
      </c>
      <c r="H433" t="s">
        <v>593</v>
      </c>
      <c r="I433" s="1">
        <v>46224.771787812497</v>
      </c>
      <c r="J433" t="s">
        <v>593</v>
      </c>
    </row>
    <row r="434" spans="1:10" x14ac:dyDescent="0.35">
      <c r="A434" t="s">
        <v>328</v>
      </c>
      <c r="B434" t="s">
        <v>591</v>
      </c>
      <c r="C434" t="s">
        <v>592</v>
      </c>
      <c r="D434" s="1">
        <v>46224</v>
      </c>
      <c r="E434">
        <v>4.2464040355018703E-2</v>
      </c>
      <c r="F434" t="s">
        <v>4736</v>
      </c>
      <c r="G434" s="1">
        <v>46224.771787731479</v>
      </c>
      <c r="H434" t="s">
        <v>593</v>
      </c>
      <c r="I434" s="1">
        <v>46224.771787812497</v>
      </c>
      <c r="J434" t="s">
        <v>593</v>
      </c>
    </row>
    <row r="435" spans="1:10" x14ac:dyDescent="0.35">
      <c r="A435" t="s">
        <v>299</v>
      </c>
      <c r="B435" t="s">
        <v>591</v>
      </c>
      <c r="C435" t="s">
        <v>592</v>
      </c>
      <c r="D435" s="1">
        <v>46224</v>
      </c>
      <c r="E435">
        <v>4.3275867709932997E-2</v>
      </c>
      <c r="F435" t="s">
        <v>4737</v>
      </c>
      <c r="G435" s="1">
        <v>46224.771787731479</v>
      </c>
      <c r="H435" t="s">
        <v>593</v>
      </c>
      <c r="I435" s="1">
        <v>46224.771787812497</v>
      </c>
      <c r="J435" t="s">
        <v>593</v>
      </c>
    </row>
    <row r="436" spans="1:10" x14ac:dyDescent="0.35">
      <c r="A436" t="s">
        <v>300</v>
      </c>
      <c r="B436" t="s">
        <v>591</v>
      </c>
      <c r="C436" t="s">
        <v>592</v>
      </c>
      <c r="D436" s="1">
        <v>46224</v>
      </c>
      <c r="E436">
        <v>2.13752053343144E-2</v>
      </c>
      <c r="F436" t="s">
        <v>4738</v>
      </c>
      <c r="G436" s="1">
        <v>46224.771787731479</v>
      </c>
      <c r="H436" t="s">
        <v>593</v>
      </c>
      <c r="I436" s="1">
        <v>46224.771787812497</v>
      </c>
      <c r="J436" t="s">
        <v>593</v>
      </c>
    </row>
    <row r="437" spans="1:10" x14ac:dyDescent="0.35">
      <c r="A437" t="s">
        <v>301</v>
      </c>
      <c r="B437" t="s">
        <v>591</v>
      </c>
      <c r="C437" t="s">
        <v>592</v>
      </c>
      <c r="D437" s="1">
        <v>46224</v>
      </c>
      <c r="E437">
        <v>4.4762998499447801E-2</v>
      </c>
      <c r="F437" t="s">
        <v>4739</v>
      </c>
      <c r="G437" s="1">
        <v>46224.771787731479</v>
      </c>
      <c r="H437" t="s">
        <v>593</v>
      </c>
      <c r="I437" s="1">
        <v>46224.771787812497</v>
      </c>
      <c r="J437" t="s">
        <v>593</v>
      </c>
    </row>
    <row r="438" spans="1:10" x14ac:dyDescent="0.35">
      <c r="A438" t="s">
        <v>329</v>
      </c>
      <c r="B438" t="s">
        <v>591</v>
      </c>
      <c r="C438" t="s">
        <v>592</v>
      </c>
      <c r="D438" s="1">
        <v>46224</v>
      </c>
      <c r="E438">
        <v>4.2425604605936598E-2</v>
      </c>
      <c r="F438" t="s">
        <v>4740</v>
      </c>
      <c r="G438" s="1">
        <v>46224.771787731479</v>
      </c>
      <c r="H438" t="s">
        <v>593</v>
      </c>
      <c r="I438" s="1">
        <v>46224.771787812497</v>
      </c>
      <c r="J438" t="s">
        <v>593</v>
      </c>
    </row>
    <row r="439" spans="1:10" x14ac:dyDescent="0.35">
      <c r="A439" t="s">
        <v>330</v>
      </c>
      <c r="B439" t="s">
        <v>591</v>
      </c>
      <c r="C439" t="s">
        <v>592</v>
      </c>
      <c r="D439" s="1">
        <v>46224</v>
      </c>
      <c r="E439">
        <v>4.3235987636316399E-2</v>
      </c>
      <c r="F439" t="s">
        <v>4741</v>
      </c>
      <c r="G439" s="1">
        <v>46224.771787731479</v>
      </c>
      <c r="H439" t="s">
        <v>593</v>
      </c>
      <c r="I439" s="1">
        <v>46224.771787812497</v>
      </c>
      <c r="J439" t="s">
        <v>593</v>
      </c>
    </row>
    <row r="440" spans="1:10" x14ac:dyDescent="0.35">
      <c r="A440" t="s">
        <v>377</v>
      </c>
      <c r="B440" t="s">
        <v>591</v>
      </c>
      <c r="C440" t="s">
        <v>592</v>
      </c>
      <c r="D440" s="1">
        <v>46224</v>
      </c>
      <c r="E440">
        <v>4.3325853296005697E-2</v>
      </c>
      <c r="F440" t="s">
        <v>4742</v>
      </c>
      <c r="G440" s="1">
        <v>46224.771787731479</v>
      </c>
      <c r="H440" t="s">
        <v>593</v>
      </c>
      <c r="I440" s="1">
        <v>46224.771787812497</v>
      </c>
      <c r="J440" t="s">
        <v>593</v>
      </c>
    </row>
    <row r="441" spans="1:10" x14ac:dyDescent="0.35">
      <c r="A441" t="s">
        <v>378</v>
      </c>
      <c r="B441" t="s">
        <v>591</v>
      </c>
      <c r="C441" t="s">
        <v>592</v>
      </c>
      <c r="D441" s="1">
        <v>46224</v>
      </c>
      <c r="E441">
        <v>4.25579370316959E-2</v>
      </c>
      <c r="F441" t="s">
        <v>4743</v>
      </c>
      <c r="G441" s="1">
        <v>46224.771787731479</v>
      </c>
      <c r="H441" t="s">
        <v>593</v>
      </c>
      <c r="I441" s="1">
        <v>46224.771787812497</v>
      </c>
      <c r="J441" t="s">
        <v>593</v>
      </c>
    </row>
    <row r="442" spans="1:10" x14ac:dyDescent="0.35">
      <c r="A442" t="s">
        <v>340</v>
      </c>
      <c r="B442" t="s">
        <v>591</v>
      </c>
      <c r="C442" t="s">
        <v>592</v>
      </c>
      <c r="D442" s="1">
        <v>46224</v>
      </c>
      <c r="E442">
        <v>2.3300821776910102E-2</v>
      </c>
      <c r="F442" t="s">
        <v>4744</v>
      </c>
      <c r="G442" s="1">
        <v>46224.771787731479</v>
      </c>
      <c r="H442" t="s">
        <v>593</v>
      </c>
      <c r="I442" s="1">
        <v>46224.771787812497</v>
      </c>
      <c r="J442" t="s">
        <v>593</v>
      </c>
    </row>
    <row r="443" spans="1:10" x14ac:dyDescent="0.35">
      <c r="A443" t="s">
        <v>336</v>
      </c>
      <c r="B443" t="s">
        <v>591</v>
      </c>
      <c r="C443" t="s">
        <v>592</v>
      </c>
      <c r="D443" s="1">
        <v>46224</v>
      </c>
      <c r="E443">
        <v>4.3359892183934601E-2</v>
      </c>
      <c r="F443" t="s">
        <v>4745</v>
      </c>
      <c r="G443" s="1">
        <v>46224.771787731479</v>
      </c>
      <c r="H443" t="s">
        <v>593</v>
      </c>
      <c r="I443" s="1">
        <v>46224.771787812497</v>
      </c>
      <c r="J443" t="s">
        <v>593</v>
      </c>
    </row>
    <row r="444" spans="1:10" x14ac:dyDescent="0.35">
      <c r="A444" t="s">
        <v>341</v>
      </c>
      <c r="B444" t="s">
        <v>591</v>
      </c>
      <c r="C444" t="s">
        <v>592</v>
      </c>
      <c r="D444" s="1">
        <v>46224</v>
      </c>
      <c r="E444">
        <v>4.2639139846112097E-2</v>
      </c>
      <c r="F444" t="s">
        <v>4746</v>
      </c>
      <c r="G444" s="1">
        <v>46224.771787731479</v>
      </c>
      <c r="H444" t="s">
        <v>593</v>
      </c>
      <c r="I444" s="1">
        <v>46224.771787812497</v>
      </c>
      <c r="J444" t="s">
        <v>593</v>
      </c>
    </row>
    <row r="445" spans="1:10" x14ac:dyDescent="0.35">
      <c r="A445" t="s">
        <v>337</v>
      </c>
      <c r="B445" t="s">
        <v>591</v>
      </c>
      <c r="C445" t="s">
        <v>592</v>
      </c>
      <c r="D445" s="1">
        <v>46224</v>
      </c>
      <c r="E445">
        <v>4.4885239523449201E-2</v>
      </c>
      <c r="F445" t="s">
        <v>4747</v>
      </c>
      <c r="G445" s="1">
        <v>46224.771787731479</v>
      </c>
      <c r="H445" t="s">
        <v>593</v>
      </c>
      <c r="I445" s="1">
        <v>46224.771787812497</v>
      </c>
      <c r="J445" t="s">
        <v>593</v>
      </c>
    </row>
    <row r="446" spans="1:10" x14ac:dyDescent="0.35">
      <c r="A446" t="s">
        <v>338</v>
      </c>
      <c r="B446" t="s">
        <v>591</v>
      </c>
      <c r="C446" t="s">
        <v>592</v>
      </c>
      <c r="D446" s="1">
        <v>46224</v>
      </c>
      <c r="E446">
        <v>4.26568821060056E-2</v>
      </c>
      <c r="F446" t="s">
        <v>4748</v>
      </c>
      <c r="G446" s="1">
        <v>46224.771787731479</v>
      </c>
      <c r="H446" t="s">
        <v>593</v>
      </c>
      <c r="I446" s="1">
        <v>46224.771787812497</v>
      </c>
      <c r="J446" t="s">
        <v>593</v>
      </c>
    </row>
    <row r="447" spans="1:10" x14ac:dyDescent="0.35">
      <c r="A447" t="s">
        <v>339</v>
      </c>
      <c r="B447" t="s">
        <v>591</v>
      </c>
      <c r="C447" t="s">
        <v>592</v>
      </c>
      <c r="D447" s="1">
        <v>46224</v>
      </c>
      <c r="E447">
        <v>4.3362892719603197E-2</v>
      </c>
      <c r="F447" t="s">
        <v>3053</v>
      </c>
      <c r="G447" s="1">
        <v>46224.771787731479</v>
      </c>
      <c r="H447" t="s">
        <v>593</v>
      </c>
      <c r="I447" s="1">
        <v>46224.771787812497</v>
      </c>
      <c r="J447" t="s">
        <v>593</v>
      </c>
    </row>
    <row r="448" spans="1:10" x14ac:dyDescent="0.35">
      <c r="A448" t="s">
        <v>381</v>
      </c>
      <c r="B448" t="s">
        <v>591</v>
      </c>
      <c r="C448" t="s">
        <v>592</v>
      </c>
      <c r="D448" s="1">
        <v>46224</v>
      </c>
      <c r="E448">
        <v>4.3430915182347402E-2</v>
      </c>
      <c r="F448" t="s">
        <v>3054</v>
      </c>
      <c r="G448" s="1">
        <v>46224.771787731479</v>
      </c>
      <c r="H448" t="s">
        <v>593</v>
      </c>
      <c r="I448" s="1">
        <v>46224.771787812497</v>
      </c>
      <c r="J448" t="s">
        <v>593</v>
      </c>
    </row>
    <row r="449" spans="1:10" x14ac:dyDescent="0.35">
      <c r="A449" t="s">
        <v>379</v>
      </c>
      <c r="B449" t="s">
        <v>591</v>
      </c>
      <c r="C449" t="s">
        <v>592</v>
      </c>
      <c r="D449" s="1">
        <v>46224</v>
      </c>
      <c r="E449">
        <v>4.26581142024317E-2</v>
      </c>
      <c r="F449" t="s">
        <v>4749</v>
      </c>
      <c r="G449" s="1">
        <v>46224.771787731479</v>
      </c>
      <c r="H449" t="s">
        <v>593</v>
      </c>
      <c r="I449" s="1">
        <v>46224.771787812497</v>
      </c>
      <c r="J449" t="s">
        <v>593</v>
      </c>
    </row>
    <row r="450" spans="1:10" x14ac:dyDescent="0.35">
      <c r="A450" t="s">
        <v>342</v>
      </c>
      <c r="B450" t="s">
        <v>591</v>
      </c>
      <c r="C450" t="s">
        <v>592</v>
      </c>
      <c r="D450" s="1">
        <v>46224</v>
      </c>
      <c r="E450">
        <v>2.1252455347681502E-2</v>
      </c>
      <c r="F450" t="s">
        <v>4750</v>
      </c>
      <c r="G450" s="1">
        <v>46224.771787731479</v>
      </c>
      <c r="H450" t="s">
        <v>593</v>
      </c>
      <c r="I450" s="1">
        <v>46224.771787812497</v>
      </c>
      <c r="J450" t="s">
        <v>593</v>
      </c>
    </row>
    <row r="451" spans="1:10" x14ac:dyDescent="0.35">
      <c r="A451" t="s">
        <v>357</v>
      </c>
      <c r="B451" t="s">
        <v>591</v>
      </c>
      <c r="C451" t="s">
        <v>592</v>
      </c>
      <c r="D451" s="1">
        <v>46224</v>
      </c>
      <c r="E451">
        <v>4.2668548372402797E-2</v>
      </c>
      <c r="F451" t="s">
        <v>4751</v>
      </c>
      <c r="G451" s="1">
        <v>46224.771787731479</v>
      </c>
      <c r="H451" t="s">
        <v>593</v>
      </c>
      <c r="I451" s="1">
        <v>46224.771787812497</v>
      </c>
      <c r="J451" t="s">
        <v>593</v>
      </c>
    </row>
    <row r="452" spans="1:10" x14ac:dyDescent="0.35">
      <c r="A452" t="s">
        <v>382</v>
      </c>
      <c r="B452" t="s">
        <v>591</v>
      </c>
      <c r="C452" t="s">
        <v>592</v>
      </c>
      <c r="D452" s="1">
        <v>46224</v>
      </c>
      <c r="E452">
        <v>4.3426424572595899E-2</v>
      </c>
      <c r="F452" t="s">
        <v>4752</v>
      </c>
      <c r="G452" s="1">
        <v>46224.771787731479</v>
      </c>
      <c r="H452" t="s">
        <v>593</v>
      </c>
      <c r="I452" s="1">
        <v>46224.771787812497</v>
      </c>
      <c r="J452" t="s">
        <v>593</v>
      </c>
    </row>
    <row r="453" spans="1:10" x14ac:dyDescent="0.35">
      <c r="A453" t="s">
        <v>343</v>
      </c>
      <c r="B453" t="s">
        <v>591</v>
      </c>
      <c r="C453" t="s">
        <v>592</v>
      </c>
      <c r="D453" s="1">
        <v>46224</v>
      </c>
      <c r="E453">
        <v>4.5013438173223501E-2</v>
      </c>
      <c r="F453" t="s">
        <v>4753</v>
      </c>
      <c r="G453" s="1">
        <v>46224.771787731479</v>
      </c>
      <c r="H453" t="s">
        <v>593</v>
      </c>
      <c r="I453" s="1">
        <v>46224.771787812497</v>
      </c>
      <c r="J453" t="s">
        <v>593</v>
      </c>
    </row>
    <row r="454" spans="1:10" x14ac:dyDescent="0.35">
      <c r="A454" t="s">
        <v>358</v>
      </c>
      <c r="B454" t="s">
        <v>591</v>
      </c>
      <c r="C454" t="s">
        <v>592</v>
      </c>
      <c r="D454" s="1">
        <v>46224</v>
      </c>
      <c r="E454">
        <v>3.9167128002686499E-2</v>
      </c>
      <c r="F454" t="s">
        <v>4754</v>
      </c>
      <c r="G454" s="1">
        <v>46224.771787731479</v>
      </c>
      <c r="H454" t="s">
        <v>593</v>
      </c>
      <c r="I454" s="1">
        <v>46224.771787812497</v>
      </c>
      <c r="J454" t="s">
        <v>593</v>
      </c>
    </row>
    <row r="455" spans="1:10" x14ac:dyDescent="0.35">
      <c r="A455" t="s">
        <v>359</v>
      </c>
      <c r="B455" t="s">
        <v>591</v>
      </c>
      <c r="C455" t="s">
        <v>592</v>
      </c>
      <c r="D455" s="1">
        <v>46224</v>
      </c>
      <c r="E455">
        <v>4.3504613095856202E-2</v>
      </c>
      <c r="F455" t="s">
        <v>4755</v>
      </c>
      <c r="G455" s="1">
        <v>46224.771787731479</v>
      </c>
      <c r="H455" t="s">
        <v>593</v>
      </c>
      <c r="I455" s="1">
        <v>46224.771787812497</v>
      </c>
      <c r="J455" t="s">
        <v>593</v>
      </c>
    </row>
    <row r="456" spans="1:10" x14ac:dyDescent="0.35">
      <c r="A456" t="s">
        <v>344</v>
      </c>
      <c r="B456" t="s">
        <v>591</v>
      </c>
      <c r="C456" t="s">
        <v>592</v>
      </c>
      <c r="D456" s="1">
        <v>46224</v>
      </c>
      <c r="E456">
        <v>4.2732249550070302E-2</v>
      </c>
      <c r="F456" t="s">
        <v>4756</v>
      </c>
      <c r="G456" s="1">
        <v>46224.771787731479</v>
      </c>
      <c r="H456" t="s">
        <v>593</v>
      </c>
      <c r="I456" s="1">
        <v>46224.771787812497</v>
      </c>
      <c r="J456" t="s">
        <v>593</v>
      </c>
    </row>
    <row r="457" spans="1:10" x14ac:dyDescent="0.35">
      <c r="A457" t="s">
        <v>345</v>
      </c>
      <c r="B457" t="s">
        <v>591</v>
      </c>
      <c r="C457" t="s">
        <v>592</v>
      </c>
      <c r="D457" s="1">
        <v>46224</v>
      </c>
      <c r="E457">
        <v>3.6719547560674803E-2</v>
      </c>
      <c r="F457" t="s">
        <v>4757</v>
      </c>
      <c r="G457" s="1">
        <v>46224.771787731479</v>
      </c>
      <c r="H457" t="s">
        <v>593</v>
      </c>
      <c r="I457" s="1">
        <v>46224.771787812497</v>
      </c>
      <c r="J457" t="s">
        <v>593</v>
      </c>
    </row>
    <row r="458" spans="1:10" x14ac:dyDescent="0.35">
      <c r="A458" t="s">
        <v>360</v>
      </c>
      <c r="B458" t="s">
        <v>591</v>
      </c>
      <c r="C458" t="s">
        <v>592</v>
      </c>
      <c r="D458" s="1">
        <v>46224</v>
      </c>
      <c r="E458">
        <v>4.3465070718922597E-2</v>
      </c>
      <c r="F458" t="s">
        <v>4758</v>
      </c>
      <c r="G458" s="1">
        <v>46224.771787731479</v>
      </c>
      <c r="H458" t="s">
        <v>593</v>
      </c>
      <c r="I458" s="1">
        <v>46224.771787812497</v>
      </c>
      <c r="J458" t="s">
        <v>593</v>
      </c>
    </row>
    <row r="459" spans="1:10" x14ac:dyDescent="0.35">
      <c r="A459" t="s">
        <v>361</v>
      </c>
      <c r="B459" t="s">
        <v>591</v>
      </c>
      <c r="C459" t="s">
        <v>592</v>
      </c>
      <c r="D459" s="1">
        <v>46224</v>
      </c>
      <c r="E459">
        <v>4.2788593606961398E-2</v>
      </c>
      <c r="F459" t="s">
        <v>4759</v>
      </c>
      <c r="G459" s="1">
        <v>46224.771787731479</v>
      </c>
      <c r="H459" t="s">
        <v>593</v>
      </c>
      <c r="I459" s="1">
        <v>46224.771787812497</v>
      </c>
      <c r="J459" t="s">
        <v>593</v>
      </c>
    </row>
    <row r="460" spans="1:10" x14ac:dyDescent="0.35">
      <c r="A460" t="s">
        <v>346</v>
      </c>
      <c r="B460" t="s">
        <v>591</v>
      </c>
      <c r="C460" t="s">
        <v>592</v>
      </c>
      <c r="D460" s="1">
        <v>46224</v>
      </c>
      <c r="E460">
        <v>3.6970738477511297E-2</v>
      </c>
      <c r="F460" t="s">
        <v>4760</v>
      </c>
      <c r="G460" s="1">
        <v>46224.771787731479</v>
      </c>
      <c r="H460" t="s">
        <v>593</v>
      </c>
      <c r="I460" s="1">
        <v>46224.771787812497</v>
      </c>
      <c r="J460" t="s">
        <v>593</v>
      </c>
    </row>
    <row r="461" spans="1:10" x14ac:dyDescent="0.35">
      <c r="A461" t="s">
        <v>347</v>
      </c>
      <c r="B461" t="s">
        <v>591</v>
      </c>
      <c r="C461" t="s">
        <v>592</v>
      </c>
      <c r="D461" s="1">
        <v>46224</v>
      </c>
      <c r="E461">
        <v>4.2875167431275001E-2</v>
      </c>
      <c r="F461" t="s">
        <v>4761</v>
      </c>
      <c r="G461" s="1">
        <v>46224.771787731479</v>
      </c>
      <c r="H461" t="s">
        <v>593</v>
      </c>
      <c r="I461" s="1">
        <v>46224.771787812497</v>
      </c>
      <c r="J461" t="s">
        <v>593</v>
      </c>
    </row>
    <row r="462" spans="1:10" x14ac:dyDescent="0.35">
      <c r="A462" t="s">
        <v>348</v>
      </c>
      <c r="B462" t="s">
        <v>591</v>
      </c>
      <c r="C462" t="s">
        <v>592</v>
      </c>
      <c r="D462" s="1">
        <v>46224</v>
      </c>
      <c r="E462">
        <v>4.3524567175246699E-2</v>
      </c>
      <c r="F462" t="s">
        <v>4762</v>
      </c>
      <c r="G462" s="1">
        <v>46224.771787731479</v>
      </c>
      <c r="H462" t="s">
        <v>593</v>
      </c>
      <c r="I462" s="1">
        <v>46224.771787812497</v>
      </c>
      <c r="J462" t="s">
        <v>593</v>
      </c>
    </row>
    <row r="463" spans="1:10" x14ac:dyDescent="0.35">
      <c r="A463" t="s">
        <v>349</v>
      </c>
      <c r="B463" t="s">
        <v>591</v>
      </c>
      <c r="C463" t="s">
        <v>592</v>
      </c>
      <c r="D463" s="1">
        <v>46224</v>
      </c>
      <c r="E463">
        <v>2.0271713046846902E-2</v>
      </c>
      <c r="F463" t="s">
        <v>4763</v>
      </c>
      <c r="G463" s="1">
        <v>46224.771787731479</v>
      </c>
      <c r="H463" t="s">
        <v>593</v>
      </c>
      <c r="I463" s="1">
        <v>46224.771787812497</v>
      </c>
      <c r="J463" t="s">
        <v>593</v>
      </c>
    </row>
    <row r="464" spans="1:10" x14ac:dyDescent="0.35">
      <c r="A464" t="s">
        <v>350</v>
      </c>
      <c r="B464" t="s">
        <v>591</v>
      </c>
      <c r="C464" t="s">
        <v>592</v>
      </c>
      <c r="D464" s="1">
        <v>46224</v>
      </c>
      <c r="E464">
        <v>4.51044545390678E-2</v>
      </c>
      <c r="F464" t="s">
        <v>4764</v>
      </c>
      <c r="G464" s="1">
        <v>46224.771787731479</v>
      </c>
      <c r="H464" t="s">
        <v>593</v>
      </c>
      <c r="I464" s="1">
        <v>46224.771787812497</v>
      </c>
      <c r="J464" t="s">
        <v>593</v>
      </c>
    </row>
    <row r="465" spans="1:10" x14ac:dyDescent="0.35">
      <c r="A465" t="s">
        <v>351</v>
      </c>
      <c r="B465" t="s">
        <v>591</v>
      </c>
      <c r="C465" t="s">
        <v>592</v>
      </c>
      <c r="D465" s="1">
        <v>46224</v>
      </c>
      <c r="E465">
        <v>3.8706727007447699E-2</v>
      </c>
      <c r="F465" t="s">
        <v>4765</v>
      </c>
      <c r="G465" s="1">
        <v>46224.771787731479</v>
      </c>
      <c r="H465" t="s">
        <v>593</v>
      </c>
      <c r="I465" s="1">
        <v>46224.771787812497</v>
      </c>
      <c r="J465" t="s">
        <v>593</v>
      </c>
    </row>
    <row r="466" spans="1:10" x14ac:dyDescent="0.35">
      <c r="A466" t="s">
        <v>380</v>
      </c>
      <c r="B466" t="s">
        <v>591</v>
      </c>
      <c r="C466" t="s">
        <v>592</v>
      </c>
      <c r="D466" s="1">
        <v>46224</v>
      </c>
      <c r="E466">
        <v>4.3578799154902703E-2</v>
      </c>
      <c r="F466" t="s">
        <v>4766</v>
      </c>
      <c r="G466" s="1">
        <v>46224.771787731479</v>
      </c>
      <c r="H466" t="s">
        <v>593</v>
      </c>
      <c r="I466" s="1">
        <v>46224.771787812497</v>
      </c>
      <c r="J466" t="s">
        <v>593</v>
      </c>
    </row>
    <row r="467" spans="1:10" x14ac:dyDescent="0.35">
      <c r="A467" t="s">
        <v>352</v>
      </c>
      <c r="B467" t="s">
        <v>591</v>
      </c>
      <c r="C467" t="s">
        <v>592</v>
      </c>
      <c r="D467" s="1">
        <v>46224</v>
      </c>
      <c r="E467">
        <v>4.2866646598033402E-2</v>
      </c>
      <c r="F467" t="s">
        <v>4767</v>
      </c>
      <c r="G467" s="1">
        <v>46224.771787731479</v>
      </c>
      <c r="H467" t="s">
        <v>593</v>
      </c>
      <c r="I467" s="1">
        <v>46224.771787812497</v>
      </c>
      <c r="J467" t="s">
        <v>593</v>
      </c>
    </row>
    <row r="468" spans="1:10" x14ac:dyDescent="0.35">
      <c r="A468" t="s">
        <v>353</v>
      </c>
      <c r="B468" t="s">
        <v>591</v>
      </c>
      <c r="C468" t="s">
        <v>592</v>
      </c>
      <c r="D468" s="1">
        <v>46224</v>
      </c>
      <c r="E468">
        <v>3.8410061326844297E-2</v>
      </c>
      <c r="F468" t="s">
        <v>4768</v>
      </c>
      <c r="G468" s="1">
        <v>46224.771787731479</v>
      </c>
      <c r="H468" t="s">
        <v>593</v>
      </c>
      <c r="I468" s="1">
        <v>46224.771787812497</v>
      </c>
      <c r="J468" t="s">
        <v>593</v>
      </c>
    </row>
    <row r="469" spans="1:10" x14ac:dyDescent="0.35">
      <c r="A469" t="s">
        <v>354</v>
      </c>
      <c r="B469" t="s">
        <v>591</v>
      </c>
      <c r="C469" t="s">
        <v>592</v>
      </c>
      <c r="D469" s="1">
        <v>46224</v>
      </c>
      <c r="E469">
        <v>4.3611947108222297E-2</v>
      </c>
      <c r="F469" t="s">
        <v>4769</v>
      </c>
      <c r="G469" s="1">
        <v>46224.771787731479</v>
      </c>
      <c r="H469" t="s">
        <v>593</v>
      </c>
      <c r="I469" s="1">
        <v>46224.771787812497</v>
      </c>
      <c r="J469" t="s">
        <v>593</v>
      </c>
    </row>
    <row r="470" spans="1:10" x14ac:dyDescent="0.35">
      <c r="A470" t="s">
        <v>355</v>
      </c>
      <c r="B470" t="s">
        <v>591</v>
      </c>
      <c r="C470" t="s">
        <v>592</v>
      </c>
      <c r="D470" s="1">
        <v>46224</v>
      </c>
      <c r="E470">
        <v>4.2924032995648502E-2</v>
      </c>
      <c r="F470" t="s">
        <v>4770</v>
      </c>
      <c r="G470" s="1">
        <v>46224.771787731479</v>
      </c>
      <c r="H470" t="s">
        <v>593</v>
      </c>
      <c r="I470" s="1">
        <v>46224.771787812497</v>
      </c>
      <c r="J470" t="s">
        <v>593</v>
      </c>
    </row>
    <row r="471" spans="1:10" x14ac:dyDescent="0.35">
      <c r="A471" t="s">
        <v>356</v>
      </c>
      <c r="B471" t="s">
        <v>591</v>
      </c>
      <c r="C471" t="s">
        <v>592</v>
      </c>
      <c r="D471" s="1">
        <v>46224</v>
      </c>
      <c r="E471">
        <v>3.92254321680943E-2</v>
      </c>
      <c r="F471" t="s">
        <v>4771</v>
      </c>
      <c r="G471" s="1">
        <v>46224.771787731479</v>
      </c>
      <c r="H471" t="s">
        <v>593</v>
      </c>
      <c r="I471" s="1">
        <v>46224.771787812497</v>
      </c>
      <c r="J471" t="s">
        <v>593</v>
      </c>
    </row>
    <row r="472" spans="1:10" x14ac:dyDescent="0.35">
      <c r="A472" t="s">
        <v>362</v>
      </c>
      <c r="B472" t="s">
        <v>591</v>
      </c>
      <c r="C472" t="s">
        <v>592</v>
      </c>
      <c r="D472" s="1">
        <v>46224</v>
      </c>
      <c r="E472">
        <v>4.2964105261487903E-2</v>
      </c>
      <c r="F472" t="s">
        <v>4772</v>
      </c>
      <c r="G472" s="1">
        <v>46224.771787731479</v>
      </c>
      <c r="H472" t="s">
        <v>593</v>
      </c>
      <c r="I472" s="1">
        <v>46224.771787812497</v>
      </c>
      <c r="J472" t="s">
        <v>593</v>
      </c>
    </row>
    <row r="473" spans="1:10" x14ac:dyDescent="0.35">
      <c r="A473" t="s">
        <v>363</v>
      </c>
      <c r="B473" t="s">
        <v>591</v>
      </c>
      <c r="C473" t="s">
        <v>592</v>
      </c>
      <c r="D473" s="1">
        <v>46224</v>
      </c>
      <c r="E473">
        <v>4.3648130902350903E-2</v>
      </c>
      <c r="F473" t="s">
        <v>3051</v>
      </c>
      <c r="G473" s="1">
        <v>46224.771787731479</v>
      </c>
      <c r="H473" t="s">
        <v>593</v>
      </c>
      <c r="I473" s="1">
        <v>46224.771787812497</v>
      </c>
      <c r="J473" t="s">
        <v>593</v>
      </c>
    </row>
    <row r="474" spans="1:10" x14ac:dyDescent="0.35">
      <c r="A474" t="s">
        <v>364</v>
      </c>
      <c r="B474" t="s">
        <v>591</v>
      </c>
      <c r="C474" t="s">
        <v>592</v>
      </c>
      <c r="D474" s="1">
        <v>46224</v>
      </c>
      <c r="E474">
        <v>2.2077187343219399E-2</v>
      </c>
      <c r="F474" t="s">
        <v>4773</v>
      </c>
      <c r="G474" s="1">
        <v>46224.771787731479</v>
      </c>
      <c r="H474" t="s">
        <v>593</v>
      </c>
      <c r="I474" s="1">
        <v>46224.771787812497</v>
      </c>
      <c r="J474" t="s">
        <v>593</v>
      </c>
    </row>
    <row r="475" spans="1:10" x14ac:dyDescent="0.35">
      <c r="A475" t="s">
        <v>365</v>
      </c>
      <c r="B475" t="s">
        <v>591</v>
      </c>
      <c r="C475" t="s">
        <v>592</v>
      </c>
      <c r="D475" s="1">
        <v>46224</v>
      </c>
      <c r="E475">
        <v>4.5289534931869303E-2</v>
      </c>
      <c r="F475" t="s">
        <v>4774</v>
      </c>
      <c r="G475" s="1">
        <v>46224.771787731479</v>
      </c>
      <c r="H475" t="s">
        <v>593</v>
      </c>
      <c r="I475" s="1">
        <v>46224.771787812497</v>
      </c>
      <c r="J475" t="s">
        <v>593</v>
      </c>
    </row>
    <row r="476" spans="1:10" x14ac:dyDescent="0.35">
      <c r="A476" t="s">
        <v>383</v>
      </c>
      <c r="B476" t="s">
        <v>591</v>
      </c>
      <c r="C476" t="s">
        <v>592</v>
      </c>
      <c r="D476" s="1">
        <v>46224</v>
      </c>
      <c r="E476">
        <v>4.0150536522374297E-2</v>
      </c>
      <c r="F476" t="s">
        <v>4775</v>
      </c>
      <c r="G476" s="1">
        <v>46224.771787731479</v>
      </c>
      <c r="H476" t="s">
        <v>593</v>
      </c>
      <c r="I476" s="1">
        <v>46224.771787812497</v>
      </c>
      <c r="J476" t="s">
        <v>593</v>
      </c>
    </row>
    <row r="477" spans="1:10" x14ac:dyDescent="0.35">
      <c r="A477" t="s">
        <v>366</v>
      </c>
      <c r="B477" t="s">
        <v>591</v>
      </c>
      <c r="C477" t="s">
        <v>592</v>
      </c>
      <c r="D477" s="1">
        <v>46224</v>
      </c>
      <c r="E477">
        <v>4.3633802062253903E-2</v>
      </c>
      <c r="F477" t="s">
        <v>4776</v>
      </c>
      <c r="G477" s="1">
        <v>46224.771787731479</v>
      </c>
      <c r="H477" t="s">
        <v>593</v>
      </c>
      <c r="I477" s="1">
        <v>46224.771787812497</v>
      </c>
      <c r="J477" t="s">
        <v>593</v>
      </c>
    </row>
    <row r="478" spans="1:10" x14ac:dyDescent="0.35">
      <c r="A478" t="s">
        <v>405</v>
      </c>
      <c r="B478" t="s">
        <v>591</v>
      </c>
      <c r="C478" t="s">
        <v>592</v>
      </c>
      <c r="D478" s="1">
        <v>46224</v>
      </c>
      <c r="E478">
        <v>4.2867957217484202E-2</v>
      </c>
      <c r="F478" t="s">
        <v>3056</v>
      </c>
      <c r="G478" s="1">
        <v>46224.771787731479</v>
      </c>
      <c r="H478" t="s">
        <v>593</v>
      </c>
      <c r="I478" s="1">
        <v>46224.771787812497</v>
      </c>
      <c r="J478" t="s">
        <v>593</v>
      </c>
    </row>
    <row r="479" spans="1:10" x14ac:dyDescent="0.35">
      <c r="A479" t="s">
        <v>367</v>
      </c>
      <c r="B479" t="s">
        <v>591</v>
      </c>
      <c r="C479" t="s">
        <v>592</v>
      </c>
      <c r="D479" s="1">
        <v>46224</v>
      </c>
      <c r="E479">
        <v>3.9938662030149299E-2</v>
      </c>
      <c r="F479" t="s">
        <v>4777</v>
      </c>
      <c r="G479" s="1">
        <v>46224.771787731479</v>
      </c>
      <c r="H479" t="s">
        <v>593</v>
      </c>
      <c r="I479" s="1">
        <v>46224.771787812497</v>
      </c>
      <c r="J479" t="s">
        <v>593</v>
      </c>
    </row>
    <row r="480" spans="1:10" x14ac:dyDescent="0.35">
      <c r="A480" t="s">
        <v>406</v>
      </c>
      <c r="B480" t="s">
        <v>591</v>
      </c>
      <c r="C480" t="s">
        <v>592</v>
      </c>
      <c r="D480" s="1">
        <v>46224</v>
      </c>
      <c r="E480">
        <v>4.3673813620308699E-2</v>
      </c>
      <c r="F480" t="s">
        <v>4778</v>
      </c>
      <c r="G480" s="1">
        <v>46224.771787731479</v>
      </c>
      <c r="H480" t="s">
        <v>593</v>
      </c>
      <c r="I480" s="1">
        <v>46224.771787812497</v>
      </c>
      <c r="J480" t="s">
        <v>593</v>
      </c>
    </row>
    <row r="481" spans="1:10" x14ac:dyDescent="0.35">
      <c r="A481" t="s">
        <v>410</v>
      </c>
      <c r="B481" t="s">
        <v>591</v>
      </c>
      <c r="C481" t="s">
        <v>592</v>
      </c>
      <c r="D481" s="1">
        <v>46224</v>
      </c>
      <c r="E481">
        <v>4.2937108742657701E-2</v>
      </c>
      <c r="F481" t="s">
        <v>4779</v>
      </c>
      <c r="G481" s="1">
        <v>46224.771787731479</v>
      </c>
      <c r="H481" t="s">
        <v>593</v>
      </c>
      <c r="I481" s="1">
        <v>46224.771787812497</v>
      </c>
      <c r="J481" t="s">
        <v>593</v>
      </c>
    </row>
    <row r="482" spans="1:10" x14ac:dyDescent="0.35">
      <c r="A482" t="s">
        <v>411</v>
      </c>
      <c r="B482" t="s">
        <v>591</v>
      </c>
      <c r="C482" t="s">
        <v>592</v>
      </c>
      <c r="D482" s="1">
        <v>46224</v>
      </c>
      <c r="E482">
        <v>4.0601289190451403E-2</v>
      </c>
      <c r="F482" t="s">
        <v>4780</v>
      </c>
      <c r="G482" s="1">
        <v>46224.771787731479</v>
      </c>
      <c r="H482" t="s">
        <v>593</v>
      </c>
      <c r="I482" s="1">
        <v>46224.771787812497</v>
      </c>
      <c r="J482" t="s">
        <v>593</v>
      </c>
    </row>
    <row r="483" spans="1:10" x14ac:dyDescent="0.35">
      <c r="A483" t="s">
        <v>412</v>
      </c>
      <c r="B483" t="s">
        <v>591</v>
      </c>
      <c r="C483" t="s">
        <v>592</v>
      </c>
      <c r="D483" s="1">
        <v>46224</v>
      </c>
      <c r="E483">
        <v>2.15406073804498E-2</v>
      </c>
      <c r="F483" t="s">
        <v>4781</v>
      </c>
      <c r="G483" s="1">
        <v>46224.771787731479</v>
      </c>
      <c r="H483" t="s">
        <v>593</v>
      </c>
      <c r="I483" s="1">
        <v>46224.771787812497</v>
      </c>
      <c r="J483" t="s">
        <v>593</v>
      </c>
    </row>
    <row r="484" spans="1:10" x14ac:dyDescent="0.35">
      <c r="A484" t="s">
        <v>368</v>
      </c>
      <c r="B484" t="s">
        <v>591</v>
      </c>
      <c r="C484" t="s">
        <v>592</v>
      </c>
      <c r="D484" s="1">
        <v>46224</v>
      </c>
      <c r="E484">
        <v>4.3690899306567797E-2</v>
      </c>
      <c r="F484" t="s">
        <v>4782</v>
      </c>
      <c r="G484" s="1">
        <v>46224.771787731479</v>
      </c>
      <c r="H484" t="s">
        <v>593</v>
      </c>
      <c r="I484" s="1">
        <v>46224.771787812497</v>
      </c>
      <c r="J484" t="s">
        <v>593</v>
      </c>
    </row>
    <row r="485" spans="1:10" x14ac:dyDescent="0.35">
      <c r="A485" t="s">
        <v>407</v>
      </c>
      <c r="B485" t="s">
        <v>591</v>
      </c>
      <c r="C485" t="s">
        <v>592</v>
      </c>
      <c r="D485" s="1">
        <v>46224</v>
      </c>
      <c r="E485">
        <v>4.29379851722963E-2</v>
      </c>
      <c r="F485" t="s">
        <v>4783</v>
      </c>
      <c r="G485" s="1">
        <v>46224.771787731479</v>
      </c>
      <c r="H485" t="s">
        <v>593</v>
      </c>
      <c r="I485" s="1">
        <v>46224.771787812497</v>
      </c>
      <c r="J485" t="s">
        <v>593</v>
      </c>
    </row>
    <row r="486" spans="1:10" x14ac:dyDescent="0.35">
      <c r="A486" t="s">
        <v>369</v>
      </c>
      <c r="B486" t="s">
        <v>591</v>
      </c>
      <c r="C486" t="s">
        <v>592</v>
      </c>
      <c r="D486" s="1">
        <v>46224</v>
      </c>
      <c r="E486">
        <v>4.5383279284482402E-2</v>
      </c>
      <c r="F486" t="s">
        <v>4784</v>
      </c>
      <c r="G486" s="1">
        <v>46224.771787731479</v>
      </c>
      <c r="H486" t="s">
        <v>593</v>
      </c>
      <c r="I486" s="1">
        <v>46224.771787812497</v>
      </c>
      <c r="J486" t="s">
        <v>593</v>
      </c>
    </row>
    <row r="487" spans="1:10" x14ac:dyDescent="0.35">
      <c r="A487" t="s">
        <v>370</v>
      </c>
      <c r="B487" t="s">
        <v>591</v>
      </c>
      <c r="C487" t="s">
        <v>592</v>
      </c>
      <c r="D487" s="1">
        <v>46224</v>
      </c>
      <c r="E487">
        <v>4.1045166987140301E-2</v>
      </c>
      <c r="F487" t="s">
        <v>3057</v>
      </c>
      <c r="G487" s="1">
        <v>46224.771787731479</v>
      </c>
      <c r="H487" t="s">
        <v>593</v>
      </c>
      <c r="I487" s="1">
        <v>46224.771787812497</v>
      </c>
      <c r="J487" t="s">
        <v>593</v>
      </c>
    </row>
    <row r="488" spans="1:10" x14ac:dyDescent="0.35">
      <c r="A488" t="s">
        <v>413</v>
      </c>
      <c r="B488" t="s">
        <v>591</v>
      </c>
      <c r="C488" t="s">
        <v>592</v>
      </c>
      <c r="D488" s="1">
        <v>46224</v>
      </c>
      <c r="E488">
        <v>4.2986482881081998E-2</v>
      </c>
      <c r="F488" t="s">
        <v>4785</v>
      </c>
      <c r="G488" s="1">
        <v>46224.771787731479</v>
      </c>
      <c r="H488" t="s">
        <v>593</v>
      </c>
      <c r="I488" s="1">
        <v>46224.771787812497</v>
      </c>
      <c r="J488" t="s">
        <v>593</v>
      </c>
    </row>
    <row r="489" spans="1:10" x14ac:dyDescent="0.35">
      <c r="A489" t="s">
        <v>371</v>
      </c>
      <c r="B489" t="s">
        <v>591</v>
      </c>
      <c r="C489" t="s">
        <v>592</v>
      </c>
      <c r="D489" s="1">
        <v>46224</v>
      </c>
      <c r="E489">
        <v>4.3750674685321102E-2</v>
      </c>
      <c r="F489" t="s">
        <v>4786</v>
      </c>
      <c r="G489" s="1">
        <v>46224.771787731479</v>
      </c>
      <c r="H489" t="s">
        <v>593</v>
      </c>
      <c r="I489" s="1">
        <v>46224.771787812497</v>
      </c>
      <c r="J489" t="s">
        <v>593</v>
      </c>
    </row>
    <row r="490" spans="1:10" x14ac:dyDescent="0.35">
      <c r="A490" t="s">
        <v>414</v>
      </c>
      <c r="B490" t="s">
        <v>591</v>
      </c>
      <c r="C490" t="s">
        <v>592</v>
      </c>
      <c r="D490" s="1">
        <v>46224</v>
      </c>
      <c r="E490">
        <v>4.09986331969611E-2</v>
      </c>
      <c r="F490" t="s">
        <v>4787</v>
      </c>
      <c r="G490" s="1">
        <v>46224.771787731479</v>
      </c>
      <c r="H490" t="s">
        <v>593</v>
      </c>
      <c r="I490" s="1">
        <v>46224.771787812497</v>
      </c>
      <c r="J490" t="s">
        <v>593</v>
      </c>
    </row>
    <row r="491" spans="1:10" x14ac:dyDescent="0.35">
      <c r="A491" t="s">
        <v>372</v>
      </c>
      <c r="B491" t="s">
        <v>591</v>
      </c>
      <c r="C491" t="s">
        <v>592</v>
      </c>
      <c r="D491" s="1">
        <v>46224</v>
      </c>
      <c r="E491">
        <v>4.3781944652346902E-2</v>
      </c>
      <c r="F491" t="s">
        <v>4788</v>
      </c>
      <c r="G491" s="1">
        <v>46224.771787731479</v>
      </c>
      <c r="H491" t="s">
        <v>593</v>
      </c>
      <c r="I491" s="1">
        <v>46224.771787812497</v>
      </c>
      <c r="J491" t="s">
        <v>593</v>
      </c>
    </row>
    <row r="492" spans="1:10" x14ac:dyDescent="0.35">
      <c r="A492" t="s">
        <v>415</v>
      </c>
      <c r="B492" t="s">
        <v>591</v>
      </c>
      <c r="C492" t="s">
        <v>592</v>
      </c>
      <c r="D492" s="1">
        <v>46224</v>
      </c>
      <c r="E492">
        <v>4.3034185190408997E-2</v>
      </c>
      <c r="F492" t="s">
        <v>4789</v>
      </c>
      <c r="G492" s="1">
        <v>46224.771787731479</v>
      </c>
      <c r="H492" t="s">
        <v>593</v>
      </c>
      <c r="I492" s="1">
        <v>46224.771787812497</v>
      </c>
      <c r="J492" t="s">
        <v>593</v>
      </c>
    </row>
    <row r="493" spans="1:10" x14ac:dyDescent="0.35">
      <c r="A493" t="s">
        <v>373</v>
      </c>
      <c r="B493" t="s">
        <v>591</v>
      </c>
      <c r="C493" t="s">
        <v>592</v>
      </c>
      <c r="D493" s="1">
        <v>46224</v>
      </c>
      <c r="E493">
        <v>4.1586234623076798E-2</v>
      </c>
      <c r="F493" t="s">
        <v>4790</v>
      </c>
      <c r="G493" s="1">
        <v>46224.771787731479</v>
      </c>
      <c r="H493" t="s">
        <v>593</v>
      </c>
      <c r="I493" s="1">
        <v>46224.771787812497</v>
      </c>
      <c r="J493" t="s">
        <v>593</v>
      </c>
    </row>
    <row r="494" spans="1:10" x14ac:dyDescent="0.35">
      <c r="A494" t="s">
        <v>384</v>
      </c>
      <c r="B494" t="s">
        <v>591</v>
      </c>
      <c r="C494" t="s">
        <v>592</v>
      </c>
      <c r="D494" s="1">
        <v>46224</v>
      </c>
      <c r="E494">
        <v>3.5156423856076098E-2</v>
      </c>
      <c r="F494" t="s">
        <v>4791</v>
      </c>
      <c r="G494" s="1">
        <v>46224.771787731479</v>
      </c>
      <c r="H494" t="s">
        <v>593</v>
      </c>
      <c r="I494" s="1">
        <v>46224.771787812497</v>
      </c>
      <c r="J494" t="s">
        <v>593</v>
      </c>
    </row>
    <row r="495" spans="1:10" x14ac:dyDescent="0.35">
      <c r="A495" t="s">
        <v>408</v>
      </c>
      <c r="B495" t="s">
        <v>591</v>
      </c>
      <c r="C495" t="s">
        <v>592</v>
      </c>
      <c r="D495" s="1">
        <v>46224</v>
      </c>
      <c r="E495">
        <v>4.3028934602239298E-2</v>
      </c>
      <c r="F495" t="s">
        <v>4792</v>
      </c>
      <c r="G495" s="1">
        <v>46224.771787731479</v>
      </c>
      <c r="H495" t="s">
        <v>593</v>
      </c>
      <c r="I495" s="1">
        <v>46224.771787812497</v>
      </c>
      <c r="J495" t="s">
        <v>593</v>
      </c>
    </row>
    <row r="496" spans="1:10" x14ac:dyDescent="0.35">
      <c r="A496" t="s">
        <v>416</v>
      </c>
      <c r="B496" t="s">
        <v>591</v>
      </c>
      <c r="C496" t="s">
        <v>592</v>
      </c>
      <c r="D496" s="1">
        <v>46224</v>
      </c>
      <c r="E496">
        <v>4.3792416870560902E-2</v>
      </c>
      <c r="F496" t="s">
        <v>4793</v>
      </c>
      <c r="G496" s="1">
        <v>46224.771787731479</v>
      </c>
      <c r="H496" t="s">
        <v>593</v>
      </c>
      <c r="I496" s="1">
        <v>46224.771787812497</v>
      </c>
      <c r="J496" t="s">
        <v>593</v>
      </c>
    </row>
    <row r="497" spans="1:10" x14ac:dyDescent="0.35">
      <c r="A497" t="s">
        <v>385</v>
      </c>
      <c r="B497" t="s">
        <v>591</v>
      </c>
      <c r="C497" t="s">
        <v>592</v>
      </c>
      <c r="D497" s="1">
        <v>46224</v>
      </c>
      <c r="E497">
        <v>2.2016336146442099E-2</v>
      </c>
      <c r="F497" t="s">
        <v>4794</v>
      </c>
      <c r="G497" s="1">
        <v>46224.771787731479</v>
      </c>
      <c r="H497" t="s">
        <v>593</v>
      </c>
      <c r="I497" s="1">
        <v>46224.771787812497</v>
      </c>
      <c r="J497" t="s">
        <v>593</v>
      </c>
    </row>
    <row r="498" spans="1:10" x14ac:dyDescent="0.35">
      <c r="A498" t="s">
        <v>417</v>
      </c>
      <c r="B498" t="s">
        <v>591</v>
      </c>
      <c r="C498" t="s">
        <v>592</v>
      </c>
      <c r="D498" s="1">
        <v>46224</v>
      </c>
      <c r="E498">
        <v>4.5533046730384899E-2</v>
      </c>
      <c r="F498" t="s">
        <v>4795</v>
      </c>
      <c r="G498" s="1">
        <v>46224.771787731479</v>
      </c>
      <c r="H498" t="s">
        <v>593</v>
      </c>
      <c r="I498" s="1">
        <v>46224.771787812497</v>
      </c>
      <c r="J498" t="s">
        <v>593</v>
      </c>
    </row>
    <row r="499" spans="1:10" x14ac:dyDescent="0.35">
      <c r="A499" t="s">
        <v>386</v>
      </c>
      <c r="B499" t="s">
        <v>591</v>
      </c>
      <c r="C499" t="s">
        <v>592</v>
      </c>
      <c r="D499" s="1">
        <v>46224</v>
      </c>
      <c r="E499">
        <v>4.1810782695913699E-2</v>
      </c>
      <c r="F499" t="s">
        <v>4796</v>
      </c>
      <c r="G499" s="1">
        <v>46224.771787731479</v>
      </c>
      <c r="H499" t="s">
        <v>593</v>
      </c>
      <c r="I499" s="1">
        <v>46224.771787812497</v>
      </c>
      <c r="J499" t="s">
        <v>593</v>
      </c>
    </row>
    <row r="500" spans="1:10" x14ac:dyDescent="0.35">
      <c r="A500" t="s">
        <v>418</v>
      </c>
      <c r="B500" t="s">
        <v>591</v>
      </c>
      <c r="C500" t="s">
        <v>592</v>
      </c>
      <c r="D500" s="1">
        <v>46224</v>
      </c>
      <c r="E500">
        <v>3.7491117842069398E-2</v>
      </c>
      <c r="F500" t="s">
        <v>4797</v>
      </c>
      <c r="G500" s="1">
        <v>46224.771787731479</v>
      </c>
      <c r="H500" t="s">
        <v>593</v>
      </c>
      <c r="I500" s="1">
        <v>46224.771787812497</v>
      </c>
      <c r="J500" t="s">
        <v>593</v>
      </c>
    </row>
    <row r="501" spans="1:10" x14ac:dyDescent="0.35">
      <c r="A501" t="s">
        <v>387</v>
      </c>
      <c r="B501" t="s">
        <v>591</v>
      </c>
      <c r="C501" t="s">
        <v>592</v>
      </c>
      <c r="D501" s="1">
        <v>46224</v>
      </c>
      <c r="E501">
        <v>4.3869891647314599E-2</v>
      </c>
      <c r="F501" t="s">
        <v>4798</v>
      </c>
      <c r="G501" s="1">
        <v>46224.771787731479</v>
      </c>
      <c r="H501" t="s">
        <v>593</v>
      </c>
      <c r="I501" s="1">
        <v>46224.771787812497</v>
      </c>
      <c r="J501" t="s">
        <v>593</v>
      </c>
    </row>
    <row r="502" spans="1:10" x14ac:dyDescent="0.35">
      <c r="A502" t="s">
        <v>419</v>
      </c>
      <c r="B502" t="s">
        <v>591</v>
      </c>
      <c r="C502" t="s">
        <v>592</v>
      </c>
      <c r="D502" s="1">
        <v>46224</v>
      </c>
      <c r="E502">
        <v>4.3086645428193099E-2</v>
      </c>
      <c r="F502" t="s">
        <v>4799</v>
      </c>
      <c r="G502" s="1">
        <v>46224.771787731479</v>
      </c>
      <c r="H502" t="s">
        <v>593</v>
      </c>
      <c r="I502" s="1">
        <v>46224.771787812497</v>
      </c>
      <c r="J502" t="s">
        <v>593</v>
      </c>
    </row>
    <row r="503" spans="1:10" x14ac:dyDescent="0.35">
      <c r="A503" t="s">
        <v>409</v>
      </c>
      <c r="B503" t="s">
        <v>591</v>
      </c>
      <c r="C503" t="s">
        <v>592</v>
      </c>
      <c r="D503" s="1">
        <v>46224</v>
      </c>
      <c r="E503">
        <v>4.1927687639662203E-2</v>
      </c>
      <c r="F503" t="s">
        <v>4800</v>
      </c>
      <c r="G503" s="1">
        <v>46224.771787731479</v>
      </c>
      <c r="H503" t="s">
        <v>593</v>
      </c>
      <c r="I503" s="1">
        <v>46224.771787812497</v>
      </c>
      <c r="J503" t="s">
        <v>593</v>
      </c>
    </row>
    <row r="504" spans="1:10" x14ac:dyDescent="0.35">
      <c r="A504" t="s">
        <v>420</v>
      </c>
      <c r="B504" t="s">
        <v>591</v>
      </c>
      <c r="C504" t="s">
        <v>592</v>
      </c>
      <c r="D504" s="1">
        <v>46224</v>
      </c>
      <c r="E504">
        <v>4.3886516895243997E-2</v>
      </c>
      <c r="F504" t="s">
        <v>4801</v>
      </c>
      <c r="G504" s="1">
        <v>46224.771787731479</v>
      </c>
      <c r="H504" t="s">
        <v>593</v>
      </c>
      <c r="I504" s="1">
        <v>46224.771787812497</v>
      </c>
      <c r="J504" t="s">
        <v>593</v>
      </c>
    </row>
    <row r="505" spans="1:10" x14ac:dyDescent="0.35">
      <c r="A505" t="s">
        <v>388</v>
      </c>
      <c r="B505" t="s">
        <v>591</v>
      </c>
      <c r="C505" t="s">
        <v>592</v>
      </c>
      <c r="D505" s="1">
        <v>46224</v>
      </c>
      <c r="E505">
        <v>4.30967088887345E-2</v>
      </c>
      <c r="F505" t="s">
        <v>3052</v>
      </c>
      <c r="G505" s="1">
        <v>46224.771787731479</v>
      </c>
      <c r="H505" t="s">
        <v>593</v>
      </c>
      <c r="I505" s="1">
        <v>46224.771787812497</v>
      </c>
      <c r="J505" t="s">
        <v>593</v>
      </c>
    </row>
    <row r="506" spans="1:10" x14ac:dyDescent="0.35">
      <c r="A506" t="s">
        <v>389</v>
      </c>
      <c r="B506" t="s">
        <v>591</v>
      </c>
      <c r="C506" t="s">
        <v>592</v>
      </c>
      <c r="D506" s="1">
        <v>46224</v>
      </c>
      <c r="E506">
        <v>3.7780356487257902E-2</v>
      </c>
      <c r="F506" t="s">
        <v>4802</v>
      </c>
      <c r="G506" s="1">
        <v>46224.771787731479</v>
      </c>
      <c r="H506" t="s">
        <v>593</v>
      </c>
      <c r="I506" s="1">
        <v>46224.771787812497</v>
      </c>
      <c r="J506" t="s">
        <v>593</v>
      </c>
    </row>
    <row r="507" spans="1:10" x14ac:dyDescent="0.35">
      <c r="A507" t="s">
        <v>390</v>
      </c>
      <c r="B507" t="s">
        <v>591</v>
      </c>
      <c r="C507" t="s">
        <v>592</v>
      </c>
      <c r="D507" s="1">
        <v>46224</v>
      </c>
      <c r="E507">
        <v>4.2026710894817798E-2</v>
      </c>
      <c r="F507" t="s">
        <v>4803</v>
      </c>
      <c r="G507" s="1">
        <v>46224.771787731479</v>
      </c>
      <c r="H507" t="s">
        <v>593</v>
      </c>
      <c r="I507" s="1">
        <v>46224.771787812497</v>
      </c>
      <c r="J507" t="s">
        <v>593</v>
      </c>
    </row>
    <row r="508" spans="1:10" x14ac:dyDescent="0.35">
      <c r="A508" t="s">
        <v>435</v>
      </c>
      <c r="B508" t="s">
        <v>591</v>
      </c>
      <c r="C508" t="s">
        <v>592</v>
      </c>
      <c r="D508" s="1">
        <v>46224</v>
      </c>
      <c r="E508">
        <v>4.31700542812197E-2</v>
      </c>
      <c r="F508" t="s">
        <v>4804</v>
      </c>
      <c r="G508" s="1">
        <v>46224.771787731479</v>
      </c>
      <c r="H508" t="s">
        <v>593</v>
      </c>
      <c r="I508" s="1">
        <v>46224.771787812497</v>
      </c>
      <c r="J508" t="s">
        <v>593</v>
      </c>
    </row>
    <row r="509" spans="1:10" x14ac:dyDescent="0.35">
      <c r="A509" t="s">
        <v>391</v>
      </c>
      <c r="B509" t="s">
        <v>591</v>
      </c>
      <c r="C509" t="s">
        <v>592</v>
      </c>
      <c r="D509" s="1">
        <v>46224</v>
      </c>
      <c r="E509">
        <v>3.8589628647686301E-2</v>
      </c>
      <c r="F509" t="s">
        <v>4805</v>
      </c>
      <c r="G509" s="1">
        <v>46224.771787731479</v>
      </c>
      <c r="H509" t="s">
        <v>593</v>
      </c>
      <c r="I509" s="1">
        <v>46224.771787812497</v>
      </c>
      <c r="J509" t="s">
        <v>593</v>
      </c>
    </row>
    <row r="510" spans="1:10" x14ac:dyDescent="0.35">
      <c r="A510" t="s">
        <v>421</v>
      </c>
      <c r="B510" t="s">
        <v>591</v>
      </c>
      <c r="C510" t="s">
        <v>592</v>
      </c>
      <c r="D510" s="1">
        <v>46224</v>
      </c>
      <c r="E510">
        <v>4.3935789287178499E-2</v>
      </c>
      <c r="F510" t="s">
        <v>4806</v>
      </c>
      <c r="G510" s="1">
        <v>46224.771787731479</v>
      </c>
      <c r="H510" t="s">
        <v>593</v>
      </c>
      <c r="I510" s="1">
        <v>46224.771787812497</v>
      </c>
      <c r="J510" t="s">
        <v>593</v>
      </c>
    </row>
    <row r="511" spans="1:10" x14ac:dyDescent="0.35">
      <c r="A511" t="s">
        <v>425</v>
      </c>
      <c r="B511" t="s">
        <v>591</v>
      </c>
      <c r="C511" t="s">
        <v>592</v>
      </c>
      <c r="D511" s="1">
        <v>46224</v>
      </c>
      <c r="E511">
        <v>1.9731335471926899E-2</v>
      </c>
      <c r="F511" t="s">
        <v>4807</v>
      </c>
      <c r="G511" s="1">
        <v>46224.771787731479</v>
      </c>
      <c r="H511" t="s">
        <v>593</v>
      </c>
      <c r="I511" s="1">
        <v>46224.771787812497</v>
      </c>
      <c r="J511" t="s">
        <v>593</v>
      </c>
    </row>
    <row r="512" spans="1:10" x14ac:dyDescent="0.35">
      <c r="A512" t="s">
        <v>422</v>
      </c>
      <c r="B512" t="s">
        <v>591</v>
      </c>
      <c r="C512" t="s">
        <v>592</v>
      </c>
      <c r="D512" s="1">
        <v>46224</v>
      </c>
      <c r="E512">
        <v>4.56718241779474E-2</v>
      </c>
      <c r="F512" t="s">
        <v>4808</v>
      </c>
      <c r="G512" s="1">
        <v>46224.771787731479</v>
      </c>
      <c r="H512" t="s">
        <v>593</v>
      </c>
      <c r="I512" s="1">
        <v>46224.771787812497</v>
      </c>
      <c r="J512" t="s">
        <v>593</v>
      </c>
    </row>
    <row r="513" spans="1:10" x14ac:dyDescent="0.35">
      <c r="A513" t="s">
        <v>436</v>
      </c>
      <c r="B513" t="s">
        <v>591</v>
      </c>
      <c r="C513" t="s">
        <v>592</v>
      </c>
      <c r="D513" s="1">
        <v>46224</v>
      </c>
      <c r="E513">
        <v>4.2228286239447403E-2</v>
      </c>
      <c r="F513" t="s">
        <v>4809</v>
      </c>
      <c r="G513" s="1">
        <v>46224.771787731479</v>
      </c>
      <c r="H513" t="s">
        <v>593</v>
      </c>
      <c r="I513" s="1">
        <v>46224.771787812497</v>
      </c>
      <c r="J513" t="s">
        <v>593</v>
      </c>
    </row>
    <row r="514" spans="1:10" x14ac:dyDescent="0.35">
      <c r="A514" t="s">
        <v>426</v>
      </c>
      <c r="B514" t="s">
        <v>591</v>
      </c>
      <c r="C514" t="s">
        <v>592</v>
      </c>
      <c r="D514" s="1">
        <v>46224</v>
      </c>
      <c r="E514">
        <v>3.8780318531567701E-2</v>
      </c>
      <c r="F514" t="s">
        <v>4810</v>
      </c>
      <c r="G514" s="1">
        <v>46224.771787731479</v>
      </c>
      <c r="H514" t="s">
        <v>593</v>
      </c>
      <c r="I514" s="1">
        <v>46224.771787812497</v>
      </c>
      <c r="J514" t="s">
        <v>593</v>
      </c>
    </row>
    <row r="515" spans="1:10" x14ac:dyDescent="0.35">
      <c r="A515" t="s">
        <v>427</v>
      </c>
      <c r="B515" t="s">
        <v>591</v>
      </c>
      <c r="C515" t="s">
        <v>592</v>
      </c>
      <c r="D515" s="1">
        <v>46224</v>
      </c>
      <c r="E515">
        <v>4.3991963448173299E-2</v>
      </c>
      <c r="F515" t="s">
        <v>4811</v>
      </c>
      <c r="G515" s="1">
        <v>46224.771787731479</v>
      </c>
      <c r="H515" t="s">
        <v>593</v>
      </c>
      <c r="I515" s="1">
        <v>46224.771787812497</v>
      </c>
      <c r="J515" t="s">
        <v>593</v>
      </c>
    </row>
    <row r="516" spans="1:10" x14ac:dyDescent="0.35">
      <c r="A516" t="s">
        <v>423</v>
      </c>
      <c r="B516" t="s">
        <v>591</v>
      </c>
      <c r="C516" t="s">
        <v>592</v>
      </c>
      <c r="D516" s="1">
        <v>46224</v>
      </c>
      <c r="E516">
        <v>4.3191928548953797E-2</v>
      </c>
      <c r="F516" t="s">
        <v>4812</v>
      </c>
      <c r="G516" s="1">
        <v>46224.771787731479</v>
      </c>
      <c r="H516" t="s">
        <v>593</v>
      </c>
      <c r="I516" s="1">
        <v>46224.771787812497</v>
      </c>
      <c r="J516" t="s">
        <v>593</v>
      </c>
    </row>
    <row r="517" spans="1:10" x14ac:dyDescent="0.35">
      <c r="A517" t="s">
        <v>392</v>
      </c>
      <c r="B517" t="s">
        <v>591</v>
      </c>
      <c r="C517" t="s">
        <v>592</v>
      </c>
      <c r="D517" s="1">
        <v>46224</v>
      </c>
      <c r="E517">
        <v>4.2313657104760503E-2</v>
      </c>
      <c r="F517" t="s">
        <v>4813</v>
      </c>
      <c r="G517" s="1">
        <v>46224.771787731479</v>
      </c>
      <c r="H517" t="s">
        <v>593</v>
      </c>
      <c r="I517" s="1">
        <v>46224.771787812497</v>
      </c>
      <c r="J517" t="s">
        <v>593</v>
      </c>
    </row>
    <row r="518" spans="1:10" x14ac:dyDescent="0.35">
      <c r="A518" t="s">
        <v>424</v>
      </c>
      <c r="B518" t="s">
        <v>591</v>
      </c>
      <c r="C518" t="s">
        <v>592</v>
      </c>
      <c r="D518" s="1">
        <v>46224</v>
      </c>
      <c r="E518">
        <v>4.4016316647589399E-2</v>
      </c>
      <c r="F518" t="s">
        <v>4814</v>
      </c>
      <c r="G518" s="1">
        <v>46224.771787731479</v>
      </c>
      <c r="H518" t="s">
        <v>593</v>
      </c>
      <c r="I518" s="1">
        <v>46224.771787812497</v>
      </c>
      <c r="J518" t="s">
        <v>593</v>
      </c>
    </row>
    <row r="519" spans="1:10" x14ac:dyDescent="0.35">
      <c r="A519" t="s">
        <v>393</v>
      </c>
      <c r="B519" t="s">
        <v>591</v>
      </c>
      <c r="C519" t="s">
        <v>592</v>
      </c>
      <c r="D519" s="1">
        <v>46224</v>
      </c>
      <c r="E519">
        <v>4.32115588969752E-2</v>
      </c>
      <c r="F519" t="s">
        <v>4815</v>
      </c>
      <c r="G519" s="1">
        <v>46224.771787731479</v>
      </c>
      <c r="H519" t="s">
        <v>593</v>
      </c>
      <c r="I519" s="1">
        <v>46224.771787812497</v>
      </c>
      <c r="J519" t="s">
        <v>593</v>
      </c>
    </row>
    <row r="520" spans="1:10" x14ac:dyDescent="0.35">
      <c r="A520" t="s">
        <v>394</v>
      </c>
      <c r="B520" t="s">
        <v>591</v>
      </c>
      <c r="C520" t="s">
        <v>592</v>
      </c>
      <c r="D520" s="1">
        <v>46224</v>
      </c>
      <c r="E520">
        <v>3.9465750505076197E-2</v>
      </c>
      <c r="F520" t="s">
        <v>4816</v>
      </c>
      <c r="G520" s="1">
        <v>46224.771787731479</v>
      </c>
      <c r="H520" t="s">
        <v>593</v>
      </c>
      <c r="I520" s="1">
        <v>46224.771787812497</v>
      </c>
      <c r="J520" t="s">
        <v>593</v>
      </c>
    </row>
    <row r="521" spans="1:10" x14ac:dyDescent="0.35">
      <c r="A521" t="s">
        <v>395</v>
      </c>
      <c r="B521" t="s">
        <v>591</v>
      </c>
      <c r="C521" t="s">
        <v>592</v>
      </c>
      <c r="D521" s="1">
        <v>46224</v>
      </c>
      <c r="E521">
        <v>4.24118007761322E-2</v>
      </c>
      <c r="F521" t="s">
        <v>4817</v>
      </c>
      <c r="G521" s="1">
        <v>46224.771787731479</v>
      </c>
      <c r="H521" t="s">
        <v>593</v>
      </c>
      <c r="I521" s="1">
        <v>46224.771787812497</v>
      </c>
      <c r="J521" t="s">
        <v>593</v>
      </c>
    </row>
    <row r="522" spans="1:10" x14ac:dyDescent="0.35">
      <c r="A522" t="s">
        <v>396</v>
      </c>
      <c r="B522" t="s">
        <v>591</v>
      </c>
      <c r="C522" t="s">
        <v>592</v>
      </c>
      <c r="D522" s="1">
        <v>46224</v>
      </c>
      <c r="E522">
        <v>4.3293178620183399E-2</v>
      </c>
      <c r="F522" t="s">
        <v>4656</v>
      </c>
      <c r="G522" s="1">
        <v>46224.771787731479</v>
      </c>
      <c r="H522" t="s">
        <v>593</v>
      </c>
      <c r="I522" s="1">
        <v>46224.771787812497</v>
      </c>
      <c r="J522" t="s">
        <v>593</v>
      </c>
    </row>
    <row r="523" spans="1:10" x14ac:dyDescent="0.35">
      <c r="A523" t="s">
        <v>397</v>
      </c>
      <c r="B523" t="s">
        <v>591</v>
      </c>
      <c r="C523" t="s">
        <v>592</v>
      </c>
      <c r="D523" s="1">
        <v>46224</v>
      </c>
      <c r="E523">
        <v>4.0053898818469803E-2</v>
      </c>
      <c r="F523" t="s">
        <v>4818</v>
      </c>
      <c r="G523" s="1">
        <v>46224.771787731479</v>
      </c>
      <c r="H523" t="s">
        <v>593</v>
      </c>
      <c r="I523" s="1">
        <v>46224.771787812497</v>
      </c>
      <c r="J523" t="s">
        <v>593</v>
      </c>
    </row>
    <row r="524" spans="1:10" x14ac:dyDescent="0.35">
      <c r="A524" t="s">
        <v>398</v>
      </c>
      <c r="B524" t="s">
        <v>591</v>
      </c>
      <c r="C524" t="s">
        <v>592</v>
      </c>
      <c r="D524" s="1">
        <v>46224</v>
      </c>
      <c r="E524">
        <v>4.4093551749816599E-2</v>
      </c>
      <c r="F524" t="s">
        <v>4819</v>
      </c>
      <c r="G524" s="1">
        <v>46224.771787731479</v>
      </c>
      <c r="H524" t="s">
        <v>593</v>
      </c>
      <c r="I524" s="1">
        <v>46224.771787812497</v>
      </c>
      <c r="J524" t="s">
        <v>593</v>
      </c>
    </row>
    <row r="525" spans="1:10" x14ac:dyDescent="0.35">
      <c r="A525" t="s">
        <v>428</v>
      </c>
      <c r="B525" t="s">
        <v>591</v>
      </c>
      <c r="C525" t="s">
        <v>592</v>
      </c>
      <c r="D525" s="1">
        <v>46224</v>
      </c>
      <c r="E525">
        <v>2.2818070457642E-2</v>
      </c>
      <c r="F525" t="s">
        <v>4820</v>
      </c>
      <c r="G525" s="1">
        <v>46224.771787731479</v>
      </c>
      <c r="H525" t="s">
        <v>593</v>
      </c>
      <c r="I525" s="1">
        <v>46224.771787812497</v>
      </c>
      <c r="J525" t="s">
        <v>593</v>
      </c>
    </row>
    <row r="526" spans="1:10" x14ac:dyDescent="0.35">
      <c r="A526" t="s">
        <v>399</v>
      </c>
      <c r="B526" t="s">
        <v>591</v>
      </c>
      <c r="C526" t="s">
        <v>592</v>
      </c>
      <c r="D526" s="1">
        <v>46224</v>
      </c>
      <c r="E526">
        <v>4.5745036686361602E-2</v>
      </c>
      <c r="F526" t="s">
        <v>4821</v>
      </c>
      <c r="G526" s="1">
        <v>46224.771787731479</v>
      </c>
      <c r="H526" t="s">
        <v>593</v>
      </c>
      <c r="I526" s="1">
        <v>46224.771787812497</v>
      </c>
      <c r="J526" t="s">
        <v>593</v>
      </c>
    </row>
    <row r="527" spans="1:10" x14ac:dyDescent="0.35">
      <c r="A527" t="s">
        <v>400</v>
      </c>
      <c r="B527" t="s">
        <v>591</v>
      </c>
      <c r="C527" t="s">
        <v>592</v>
      </c>
      <c r="D527" s="1">
        <v>46224</v>
      </c>
      <c r="E527">
        <v>4.2456801161383402E-2</v>
      </c>
      <c r="F527" t="s">
        <v>3055</v>
      </c>
      <c r="G527" s="1">
        <v>46224.771787731479</v>
      </c>
      <c r="H527" t="s">
        <v>593</v>
      </c>
      <c r="I527" s="1">
        <v>46224.771787812497</v>
      </c>
      <c r="J527" t="s">
        <v>593</v>
      </c>
    </row>
    <row r="528" spans="1:10" x14ac:dyDescent="0.35">
      <c r="A528" t="s">
        <v>401</v>
      </c>
      <c r="B528" t="s">
        <v>591</v>
      </c>
      <c r="C528" t="s">
        <v>592</v>
      </c>
      <c r="D528" s="1">
        <v>46224</v>
      </c>
      <c r="E528">
        <v>4.0108951889893003E-2</v>
      </c>
      <c r="F528" t="s">
        <v>4822</v>
      </c>
      <c r="G528" s="1">
        <v>46224.771787731479</v>
      </c>
      <c r="H528" t="s">
        <v>593</v>
      </c>
      <c r="I528" s="1">
        <v>46224.771787812497</v>
      </c>
      <c r="J528" t="s">
        <v>593</v>
      </c>
    </row>
    <row r="529" spans="1:10" x14ac:dyDescent="0.35">
      <c r="A529" t="s">
        <v>429</v>
      </c>
      <c r="B529" t="s">
        <v>591</v>
      </c>
      <c r="C529" t="s">
        <v>592</v>
      </c>
      <c r="D529" s="1">
        <v>46224</v>
      </c>
      <c r="E529">
        <v>4.4107726939678203E-2</v>
      </c>
      <c r="F529" t="s">
        <v>4823</v>
      </c>
      <c r="G529" s="1">
        <v>46224.771787731479</v>
      </c>
      <c r="H529" t="s">
        <v>593</v>
      </c>
      <c r="I529" s="1">
        <v>46224.771787812497</v>
      </c>
      <c r="J529" t="s">
        <v>593</v>
      </c>
    </row>
    <row r="530" spans="1:10" x14ac:dyDescent="0.35">
      <c r="A530" t="s">
        <v>402</v>
      </c>
      <c r="B530" t="s">
        <v>591</v>
      </c>
      <c r="C530" t="s">
        <v>592</v>
      </c>
      <c r="D530" s="1">
        <v>46224</v>
      </c>
      <c r="E530">
        <v>4.2500691859000801E-2</v>
      </c>
      <c r="F530" t="s">
        <v>4824</v>
      </c>
      <c r="G530" s="1">
        <v>46224.771787731479</v>
      </c>
      <c r="H530" t="s">
        <v>593</v>
      </c>
      <c r="I530" s="1">
        <v>46224.771787812497</v>
      </c>
      <c r="J530" t="s">
        <v>593</v>
      </c>
    </row>
    <row r="531" spans="1:10" x14ac:dyDescent="0.35">
      <c r="A531" t="s">
        <v>430</v>
      </c>
      <c r="B531" t="s">
        <v>591</v>
      </c>
      <c r="C531" t="s">
        <v>592</v>
      </c>
      <c r="D531" s="1">
        <v>46224</v>
      </c>
      <c r="E531">
        <v>4.4178456454584403E-2</v>
      </c>
      <c r="F531" t="s">
        <v>4825</v>
      </c>
      <c r="G531" s="1">
        <v>46224.771787731479</v>
      </c>
      <c r="H531" t="s">
        <v>593</v>
      </c>
      <c r="I531" s="1">
        <v>46224.771787812497</v>
      </c>
      <c r="J531" t="s">
        <v>593</v>
      </c>
    </row>
    <row r="532" spans="1:10" x14ac:dyDescent="0.35">
      <c r="A532" t="s">
        <v>431</v>
      </c>
      <c r="B532" t="s">
        <v>591</v>
      </c>
      <c r="C532" t="s">
        <v>592</v>
      </c>
      <c r="D532" s="1">
        <v>46224</v>
      </c>
      <c r="E532">
        <v>4.33157041608664E-2</v>
      </c>
      <c r="F532" t="s">
        <v>4826</v>
      </c>
      <c r="G532" s="1">
        <v>46224.771787731479</v>
      </c>
      <c r="H532" t="s">
        <v>593</v>
      </c>
      <c r="I532" s="1">
        <v>46224.771787812497</v>
      </c>
      <c r="J532" t="s">
        <v>593</v>
      </c>
    </row>
    <row r="533" spans="1:10" x14ac:dyDescent="0.35">
      <c r="A533" t="s">
        <v>437</v>
      </c>
      <c r="B533" t="s">
        <v>591</v>
      </c>
      <c r="C533" t="s">
        <v>592</v>
      </c>
      <c r="D533" s="1">
        <v>46224</v>
      </c>
      <c r="E533">
        <v>4.0302613835245901E-2</v>
      </c>
      <c r="F533" t="s">
        <v>4827</v>
      </c>
      <c r="G533" s="1">
        <v>46224.771787731479</v>
      </c>
      <c r="H533" t="s">
        <v>593</v>
      </c>
      <c r="I533" s="1">
        <v>46224.771787812497</v>
      </c>
      <c r="J533" t="s">
        <v>593</v>
      </c>
    </row>
    <row r="534" spans="1:10" x14ac:dyDescent="0.35">
      <c r="A534" t="s">
        <v>432</v>
      </c>
      <c r="B534" t="s">
        <v>591</v>
      </c>
      <c r="C534" t="s">
        <v>592</v>
      </c>
      <c r="D534" s="1">
        <v>46224</v>
      </c>
      <c r="E534">
        <v>4.2610214296736497E-2</v>
      </c>
      <c r="F534" t="s">
        <v>4828</v>
      </c>
      <c r="G534" s="1">
        <v>46224.771787731479</v>
      </c>
      <c r="H534" t="s">
        <v>593</v>
      </c>
      <c r="I534" s="1">
        <v>46224.771787812497</v>
      </c>
      <c r="J534" t="s">
        <v>593</v>
      </c>
    </row>
    <row r="535" spans="1:10" x14ac:dyDescent="0.35">
      <c r="A535" t="s">
        <v>438</v>
      </c>
      <c r="B535" t="s">
        <v>591</v>
      </c>
      <c r="C535" t="s">
        <v>592</v>
      </c>
      <c r="D535" s="1">
        <v>46224</v>
      </c>
      <c r="E535">
        <v>4.08536012487212E-2</v>
      </c>
      <c r="F535" t="s">
        <v>4829</v>
      </c>
      <c r="G535" s="1">
        <v>46224.771787731479</v>
      </c>
      <c r="H535" t="s">
        <v>593</v>
      </c>
      <c r="I535" s="1">
        <v>46224.771787812497</v>
      </c>
      <c r="J535" t="s">
        <v>593</v>
      </c>
    </row>
    <row r="536" spans="1:10" x14ac:dyDescent="0.35">
      <c r="A536" t="s">
        <v>439</v>
      </c>
      <c r="B536" t="s">
        <v>591</v>
      </c>
      <c r="C536" t="s">
        <v>592</v>
      </c>
      <c r="D536" s="1">
        <v>46224</v>
      </c>
      <c r="E536">
        <v>4.3323678087104897E-2</v>
      </c>
      <c r="F536" t="s">
        <v>4830</v>
      </c>
      <c r="G536" s="1">
        <v>46224.771787731479</v>
      </c>
      <c r="H536" t="s">
        <v>593</v>
      </c>
      <c r="I536" s="1">
        <v>46224.771787812497</v>
      </c>
      <c r="J536" t="s">
        <v>593</v>
      </c>
    </row>
    <row r="537" spans="1:10" x14ac:dyDescent="0.35">
      <c r="A537" t="s">
        <v>403</v>
      </c>
      <c r="B537" t="s">
        <v>591</v>
      </c>
      <c r="C537" t="s">
        <v>592</v>
      </c>
      <c r="D537" s="1">
        <v>46224</v>
      </c>
      <c r="E537">
        <v>4.4222653679410397E-2</v>
      </c>
      <c r="F537" t="s">
        <v>4831</v>
      </c>
      <c r="G537" s="1">
        <v>46224.771787731479</v>
      </c>
      <c r="H537" t="s">
        <v>593</v>
      </c>
      <c r="I537" s="1">
        <v>46224.771787812497</v>
      </c>
      <c r="J537" t="s">
        <v>593</v>
      </c>
    </row>
    <row r="538" spans="1:10" x14ac:dyDescent="0.35">
      <c r="A538" t="s">
        <v>404</v>
      </c>
      <c r="B538" t="s">
        <v>591</v>
      </c>
      <c r="C538" t="s">
        <v>592</v>
      </c>
      <c r="D538" s="1">
        <v>46224</v>
      </c>
      <c r="E538">
        <v>2.0927202082256399E-2</v>
      </c>
      <c r="F538" t="s">
        <v>4832</v>
      </c>
      <c r="G538" s="1">
        <v>46224.771787731479</v>
      </c>
      <c r="H538" t="s">
        <v>593</v>
      </c>
      <c r="I538" s="1">
        <v>46224.771787812497</v>
      </c>
      <c r="J538" t="s">
        <v>593</v>
      </c>
    </row>
    <row r="539" spans="1:10" x14ac:dyDescent="0.35">
      <c r="A539" t="s">
        <v>433</v>
      </c>
      <c r="B539" t="s">
        <v>591</v>
      </c>
      <c r="C539" t="s">
        <v>592</v>
      </c>
      <c r="D539" s="1">
        <v>46224</v>
      </c>
      <c r="E539">
        <v>4.5874265370297797E-2</v>
      </c>
      <c r="F539" t="s">
        <v>4833</v>
      </c>
      <c r="G539" s="1">
        <v>46224.771787731479</v>
      </c>
      <c r="H539" t="s">
        <v>593</v>
      </c>
      <c r="I539" s="1">
        <v>46224.771787812497</v>
      </c>
      <c r="J539" t="s">
        <v>593</v>
      </c>
    </row>
    <row r="540" spans="1:10" x14ac:dyDescent="0.35">
      <c r="A540" t="s">
        <v>440</v>
      </c>
      <c r="B540" t="s">
        <v>591</v>
      </c>
      <c r="C540" t="s">
        <v>592</v>
      </c>
      <c r="D540" s="1">
        <v>46224</v>
      </c>
      <c r="E540">
        <v>4.2612800870648199E-2</v>
      </c>
      <c r="F540" t="s">
        <v>4834</v>
      </c>
      <c r="G540" s="1">
        <v>46224.771787731479</v>
      </c>
      <c r="H540" t="s">
        <v>593</v>
      </c>
      <c r="I540" s="1">
        <v>46224.771787812497</v>
      </c>
      <c r="J540" t="s">
        <v>593</v>
      </c>
    </row>
    <row r="541" spans="1:10" x14ac:dyDescent="0.35">
      <c r="A541" t="s">
        <v>450</v>
      </c>
      <c r="B541" t="s">
        <v>591</v>
      </c>
      <c r="C541" t="s">
        <v>592</v>
      </c>
      <c r="D541" s="1">
        <v>46224</v>
      </c>
      <c r="E541">
        <v>4.1042275405777498E-2</v>
      </c>
      <c r="F541" t="s">
        <v>4835</v>
      </c>
      <c r="G541" s="1">
        <v>46224.771787731479</v>
      </c>
      <c r="H541" t="s">
        <v>593</v>
      </c>
      <c r="I541" s="1">
        <v>46224.771787812497</v>
      </c>
      <c r="J541" t="s">
        <v>593</v>
      </c>
    </row>
    <row r="542" spans="1:10" x14ac:dyDescent="0.35">
      <c r="A542" t="s">
        <v>441</v>
      </c>
      <c r="B542" t="s">
        <v>591</v>
      </c>
      <c r="C542" t="s">
        <v>592</v>
      </c>
      <c r="D542" s="1">
        <v>46224</v>
      </c>
      <c r="E542">
        <v>4.4275515559123499E-2</v>
      </c>
      <c r="F542" t="s">
        <v>4836</v>
      </c>
      <c r="G542" s="1">
        <v>46224.771787731479</v>
      </c>
      <c r="H542" t="s">
        <v>593</v>
      </c>
      <c r="I542" s="1">
        <v>46224.771787812497</v>
      </c>
      <c r="J542" t="s">
        <v>593</v>
      </c>
    </row>
    <row r="543" spans="1:10" x14ac:dyDescent="0.35">
      <c r="A543" t="s">
        <v>434</v>
      </c>
      <c r="B543" t="s">
        <v>591</v>
      </c>
      <c r="C543" t="s">
        <v>592</v>
      </c>
      <c r="D543" s="1">
        <v>46224</v>
      </c>
      <c r="E543">
        <v>4.3363515691624999E-2</v>
      </c>
      <c r="F543" t="s">
        <v>4837</v>
      </c>
      <c r="G543" s="1">
        <v>46224.771787731479</v>
      </c>
      <c r="H543" t="s">
        <v>593</v>
      </c>
      <c r="I543" s="1">
        <v>46224.771787812497</v>
      </c>
      <c r="J543" t="s">
        <v>593</v>
      </c>
    </row>
    <row r="544" spans="1:10" x14ac:dyDescent="0.35">
      <c r="A544" t="s">
        <v>442</v>
      </c>
      <c r="B544" t="s">
        <v>591</v>
      </c>
      <c r="C544" t="s">
        <v>592</v>
      </c>
      <c r="D544" s="1">
        <v>46224</v>
      </c>
      <c r="E544">
        <v>4.2658335645433698E-2</v>
      </c>
      <c r="F544" t="s">
        <v>4838</v>
      </c>
      <c r="G544" s="1">
        <v>46224.771787731479</v>
      </c>
      <c r="H544" t="s">
        <v>593</v>
      </c>
      <c r="I544" s="1">
        <v>46224.771787812497</v>
      </c>
      <c r="J544" t="s">
        <v>593</v>
      </c>
    </row>
    <row r="545" spans="1:10" x14ac:dyDescent="0.35">
      <c r="A545" t="s">
        <v>443</v>
      </c>
      <c r="B545" t="s">
        <v>591</v>
      </c>
      <c r="C545" t="s">
        <v>592</v>
      </c>
      <c r="D545" s="1">
        <v>46224</v>
      </c>
      <c r="E545">
        <v>4.43227013786461E-2</v>
      </c>
      <c r="F545" t="s">
        <v>4839</v>
      </c>
      <c r="G545" s="1">
        <v>46224.771787731479</v>
      </c>
      <c r="H545" t="s">
        <v>593</v>
      </c>
      <c r="I545" s="1">
        <v>46224.771787812497</v>
      </c>
      <c r="J545" t="s">
        <v>593</v>
      </c>
    </row>
    <row r="546" spans="1:10" x14ac:dyDescent="0.35">
      <c r="A546" t="s">
        <v>444</v>
      </c>
      <c r="B546" t="s">
        <v>591</v>
      </c>
      <c r="C546" t="s">
        <v>592</v>
      </c>
      <c r="D546" s="1">
        <v>46224</v>
      </c>
      <c r="E546">
        <v>4.34059677507138E-2</v>
      </c>
      <c r="F546" t="s">
        <v>4840</v>
      </c>
      <c r="G546" s="1">
        <v>46224.771787731479</v>
      </c>
      <c r="H546" t="s">
        <v>593</v>
      </c>
      <c r="I546" s="1">
        <v>46224.771787812497</v>
      </c>
      <c r="J546" t="s">
        <v>593</v>
      </c>
    </row>
    <row r="547" spans="1:10" x14ac:dyDescent="0.35">
      <c r="A547" t="s">
        <v>445</v>
      </c>
      <c r="B547" t="s">
        <v>591</v>
      </c>
      <c r="C547" t="s">
        <v>592</v>
      </c>
      <c r="D547" s="1">
        <v>46224</v>
      </c>
      <c r="E547">
        <v>4.1350164916586898E-2</v>
      </c>
      <c r="F547" t="s">
        <v>4841</v>
      </c>
      <c r="G547" s="1">
        <v>46224.771787731479</v>
      </c>
      <c r="H547" t="s">
        <v>593</v>
      </c>
      <c r="I547" s="1">
        <v>46224.771787812497</v>
      </c>
      <c r="J547" t="s">
        <v>593</v>
      </c>
    </row>
    <row r="548" spans="1:10" x14ac:dyDescent="0.35">
      <c r="A548" t="s">
        <v>446</v>
      </c>
      <c r="B548" t="s">
        <v>591</v>
      </c>
      <c r="C548" t="s">
        <v>592</v>
      </c>
      <c r="D548" s="1">
        <v>46224</v>
      </c>
      <c r="E548">
        <v>4.2713960984819901E-2</v>
      </c>
      <c r="F548" t="s">
        <v>4842</v>
      </c>
      <c r="G548" s="1">
        <v>46224.771787731479</v>
      </c>
      <c r="H548" t="s">
        <v>593</v>
      </c>
      <c r="I548" s="1">
        <v>46224.771787812497</v>
      </c>
      <c r="J548" t="s">
        <v>593</v>
      </c>
    </row>
    <row r="549" spans="1:10" x14ac:dyDescent="0.35">
      <c r="A549" t="s">
        <v>447</v>
      </c>
      <c r="B549" t="s">
        <v>591</v>
      </c>
      <c r="C549" t="s">
        <v>592</v>
      </c>
      <c r="D549" s="1">
        <v>46224</v>
      </c>
      <c r="E549">
        <v>4.3437201596524901E-2</v>
      </c>
      <c r="F549" t="s">
        <v>4843</v>
      </c>
      <c r="G549" s="1">
        <v>46224.771787731479</v>
      </c>
      <c r="H549" t="s">
        <v>593</v>
      </c>
      <c r="I549" s="1">
        <v>46224.771787812497</v>
      </c>
      <c r="J549" t="s">
        <v>593</v>
      </c>
    </row>
    <row r="550" spans="1:10" x14ac:dyDescent="0.35">
      <c r="A550" t="s">
        <v>448</v>
      </c>
      <c r="B550" t="s">
        <v>591</v>
      </c>
      <c r="C550" t="s">
        <v>592</v>
      </c>
      <c r="D550" s="1">
        <v>46224</v>
      </c>
      <c r="E550">
        <v>4.1828213100434199E-2</v>
      </c>
      <c r="F550" t="s">
        <v>4844</v>
      </c>
      <c r="G550" s="1">
        <v>46224.771787731479</v>
      </c>
      <c r="H550" t="s">
        <v>593</v>
      </c>
      <c r="I550" s="1">
        <v>46224.771787812497</v>
      </c>
      <c r="J550" t="s">
        <v>593</v>
      </c>
    </row>
    <row r="551" spans="1:10" x14ac:dyDescent="0.35">
      <c r="A551" t="s">
        <v>449</v>
      </c>
      <c r="B551" t="s">
        <v>591</v>
      </c>
      <c r="C551" t="s">
        <v>592</v>
      </c>
      <c r="D551" s="1">
        <v>46224</v>
      </c>
      <c r="E551">
        <v>4.4392223372982702E-2</v>
      </c>
      <c r="F551" t="s">
        <v>4845</v>
      </c>
      <c r="G551" s="1">
        <v>46224.771787731479</v>
      </c>
      <c r="H551" t="s">
        <v>593</v>
      </c>
      <c r="I551" s="1">
        <v>46224.771787812497</v>
      </c>
      <c r="J551" t="s">
        <v>593</v>
      </c>
    </row>
    <row r="552" spans="1:10" x14ac:dyDescent="0.35">
      <c r="A552" t="s">
        <v>451</v>
      </c>
      <c r="B552" t="s">
        <v>591</v>
      </c>
      <c r="C552" t="s">
        <v>592</v>
      </c>
      <c r="D552" s="1">
        <v>46224</v>
      </c>
      <c r="E552">
        <v>2.2820903400584801E-2</v>
      </c>
      <c r="F552" t="s">
        <v>4846</v>
      </c>
      <c r="G552" s="1">
        <v>46224.771787731479</v>
      </c>
      <c r="H552" t="s">
        <v>593</v>
      </c>
      <c r="I552" s="1">
        <v>46224.771787812497</v>
      </c>
      <c r="J552" t="s">
        <v>593</v>
      </c>
    </row>
    <row r="553" spans="1:10" x14ac:dyDescent="0.35">
      <c r="A553" t="s">
        <v>452</v>
      </c>
      <c r="B553" t="s">
        <v>591</v>
      </c>
      <c r="C553" t="s">
        <v>592</v>
      </c>
      <c r="D553" s="1">
        <v>46224</v>
      </c>
      <c r="E553">
        <v>4.5973718657235499E-2</v>
      </c>
      <c r="F553" t="s">
        <v>4847</v>
      </c>
      <c r="G553" s="1">
        <v>46224.771787731479</v>
      </c>
      <c r="H553" t="s">
        <v>593</v>
      </c>
      <c r="I553" s="1">
        <v>46224.771787812497</v>
      </c>
      <c r="J553" t="s">
        <v>593</v>
      </c>
    </row>
    <row r="554" spans="1:10" x14ac:dyDescent="0.35">
      <c r="A554" t="s">
        <v>461</v>
      </c>
      <c r="B554" t="s">
        <v>591</v>
      </c>
      <c r="C554" t="s">
        <v>592</v>
      </c>
      <c r="D554" s="1">
        <v>46224</v>
      </c>
      <c r="E554">
        <v>4.2763457211356902E-2</v>
      </c>
      <c r="F554" t="s">
        <v>4848</v>
      </c>
      <c r="G554" s="1">
        <v>46224.771787731479</v>
      </c>
      <c r="H554" t="s">
        <v>593</v>
      </c>
      <c r="I554" s="1">
        <v>46224.771787812497</v>
      </c>
      <c r="J554" t="s">
        <v>593</v>
      </c>
    </row>
    <row r="555" spans="1:10" x14ac:dyDescent="0.35">
      <c r="A555" t="s">
        <v>453</v>
      </c>
      <c r="B555" t="s">
        <v>591</v>
      </c>
      <c r="C555" t="s">
        <v>592</v>
      </c>
      <c r="D555" s="1">
        <v>46224</v>
      </c>
      <c r="E555">
        <v>4.18110852404062E-2</v>
      </c>
      <c r="F555" t="s">
        <v>4849</v>
      </c>
      <c r="G555" s="1">
        <v>46224.771787731479</v>
      </c>
      <c r="H555" t="s">
        <v>593</v>
      </c>
      <c r="I555" s="1">
        <v>46224.771787812497</v>
      </c>
      <c r="J555" t="s">
        <v>593</v>
      </c>
    </row>
    <row r="556" spans="1:10" x14ac:dyDescent="0.35">
      <c r="A556" t="s">
        <v>454</v>
      </c>
      <c r="B556" t="s">
        <v>591</v>
      </c>
      <c r="C556" t="s">
        <v>592</v>
      </c>
      <c r="D556" s="1">
        <v>46224</v>
      </c>
      <c r="E556">
        <v>4.4441830777354897E-2</v>
      </c>
      <c r="F556" t="s">
        <v>4669</v>
      </c>
      <c r="G556" s="1">
        <v>46224.771787731479</v>
      </c>
      <c r="H556" t="s">
        <v>593</v>
      </c>
      <c r="I556" s="1">
        <v>46224.771787812497</v>
      </c>
      <c r="J556" t="s">
        <v>593</v>
      </c>
    </row>
    <row r="557" spans="1:10" x14ac:dyDescent="0.35">
      <c r="A557" t="s">
        <v>462</v>
      </c>
      <c r="B557" t="s">
        <v>591</v>
      </c>
      <c r="C557" t="s">
        <v>592</v>
      </c>
      <c r="D557" s="1">
        <v>46224</v>
      </c>
      <c r="E557">
        <v>4.35072473395706E-2</v>
      </c>
      <c r="F557" t="s">
        <v>3058</v>
      </c>
      <c r="G557" s="1">
        <v>46224.771787731479</v>
      </c>
      <c r="H557" t="s">
        <v>593</v>
      </c>
      <c r="I557" s="1">
        <v>46224.771787812497</v>
      </c>
      <c r="J557" t="s">
        <v>593</v>
      </c>
    </row>
    <row r="558" spans="1:10" x14ac:dyDescent="0.35">
      <c r="A558" t="s">
        <v>471</v>
      </c>
      <c r="B558" t="s">
        <v>591</v>
      </c>
      <c r="C558" t="s">
        <v>592</v>
      </c>
      <c r="D558" s="1">
        <v>46224</v>
      </c>
      <c r="E558">
        <v>4.28013265822881E-2</v>
      </c>
      <c r="F558" t="s">
        <v>4850</v>
      </c>
      <c r="G558" s="1">
        <v>46224.771787731479</v>
      </c>
      <c r="H558" t="s">
        <v>593</v>
      </c>
      <c r="I558" s="1">
        <v>46224.771787812497</v>
      </c>
      <c r="J558" t="s">
        <v>593</v>
      </c>
    </row>
    <row r="559" spans="1:10" x14ac:dyDescent="0.35">
      <c r="A559" t="s">
        <v>455</v>
      </c>
      <c r="B559" t="s">
        <v>591</v>
      </c>
      <c r="C559" t="s">
        <v>592</v>
      </c>
      <c r="D559" s="1">
        <v>46224</v>
      </c>
      <c r="E559">
        <v>4.4520182531922303E-2</v>
      </c>
      <c r="F559" t="s">
        <v>4851</v>
      </c>
      <c r="G559" s="1">
        <v>46224.771787731479</v>
      </c>
      <c r="H559" t="s">
        <v>593</v>
      </c>
      <c r="I559" s="1">
        <v>46224.771787812497</v>
      </c>
      <c r="J559" t="s">
        <v>593</v>
      </c>
    </row>
    <row r="560" spans="1:10" x14ac:dyDescent="0.35">
      <c r="A560" t="s">
        <v>456</v>
      </c>
      <c r="B560" t="s">
        <v>591</v>
      </c>
      <c r="C560" t="s">
        <v>592</v>
      </c>
      <c r="D560" s="1">
        <v>46224</v>
      </c>
      <c r="E560">
        <v>4.34861001768359E-2</v>
      </c>
      <c r="F560" t="s">
        <v>3059</v>
      </c>
      <c r="G560" s="1">
        <v>46224.771787731479</v>
      </c>
      <c r="H560" t="s">
        <v>593</v>
      </c>
      <c r="I560" s="1">
        <v>46224.771787812497</v>
      </c>
      <c r="J560" t="s">
        <v>593</v>
      </c>
    </row>
    <row r="561" spans="1:10" x14ac:dyDescent="0.35">
      <c r="A561" t="s">
        <v>457</v>
      </c>
      <c r="B561" t="s">
        <v>591</v>
      </c>
      <c r="C561" t="s">
        <v>592</v>
      </c>
      <c r="D561" s="1">
        <v>46224</v>
      </c>
      <c r="E561">
        <v>4.19754943127977E-2</v>
      </c>
      <c r="F561" t="s">
        <v>4852</v>
      </c>
      <c r="G561" s="1">
        <v>46224.771787731479</v>
      </c>
      <c r="H561" t="s">
        <v>593</v>
      </c>
      <c r="I561" s="1">
        <v>46224.771787812497</v>
      </c>
      <c r="J561" t="s">
        <v>593</v>
      </c>
    </row>
    <row r="562" spans="1:10" x14ac:dyDescent="0.35">
      <c r="A562" t="s">
        <v>458</v>
      </c>
      <c r="B562" t="s">
        <v>591</v>
      </c>
      <c r="C562" t="s">
        <v>592</v>
      </c>
      <c r="D562" s="1">
        <v>46224</v>
      </c>
      <c r="E562">
        <v>4.2874744260537799E-2</v>
      </c>
      <c r="F562" t="s">
        <v>4853</v>
      </c>
      <c r="G562" s="1">
        <v>46224.771787731479</v>
      </c>
      <c r="H562" t="s">
        <v>593</v>
      </c>
      <c r="I562" s="1">
        <v>46224.771787812497</v>
      </c>
      <c r="J562" t="s">
        <v>593</v>
      </c>
    </row>
    <row r="563" spans="1:10" x14ac:dyDescent="0.35">
      <c r="A563" t="s">
        <v>508</v>
      </c>
      <c r="B563" t="s">
        <v>591</v>
      </c>
      <c r="C563" t="s">
        <v>592</v>
      </c>
      <c r="D563" s="1">
        <v>46224</v>
      </c>
      <c r="E563">
        <v>4.3550207202041502E-2</v>
      </c>
      <c r="F563" t="s">
        <v>3060</v>
      </c>
      <c r="G563" s="1">
        <v>46224.771787731479</v>
      </c>
      <c r="H563" t="s">
        <v>593</v>
      </c>
      <c r="I563" s="1">
        <v>46224.771787812497</v>
      </c>
      <c r="J563" t="s">
        <v>593</v>
      </c>
    </row>
    <row r="564" spans="1:10" x14ac:dyDescent="0.35">
      <c r="A564" t="s">
        <v>463</v>
      </c>
      <c r="B564" t="s">
        <v>591</v>
      </c>
      <c r="C564" t="s">
        <v>592</v>
      </c>
      <c r="D564" s="1">
        <v>46224</v>
      </c>
      <c r="E564">
        <v>4.21826144076171E-2</v>
      </c>
      <c r="F564" t="s">
        <v>4854</v>
      </c>
      <c r="G564" s="1">
        <v>46224.771787731479</v>
      </c>
      <c r="H564" t="s">
        <v>593</v>
      </c>
      <c r="I564" s="1">
        <v>46224.771787812497</v>
      </c>
      <c r="J564" t="s">
        <v>593</v>
      </c>
    </row>
    <row r="565" spans="1:10" x14ac:dyDescent="0.35">
      <c r="A565" t="s">
        <v>464</v>
      </c>
      <c r="B565" t="s">
        <v>591</v>
      </c>
      <c r="C565" t="s">
        <v>592</v>
      </c>
      <c r="D565" s="1">
        <v>46224</v>
      </c>
      <c r="E565">
        <v>4.4573490787308198E-2</v>
      </c>
      <c r="F565" t="s">
        <v>4855</v>
      </c>
      <c r="G565" s="1">
        <v>46224.771787731479</v>
      </c>
      <c r="H565" t="s">
        <v>593</v>
      </c>
      <c r="I565" s="1">
        <v>46224.771787812497</v>
      </c>
      <c r="J565" t="s">
        <v>593</v>
      </c>
    </row>
    <row r="566" spans="1:10" x14ac:dyDescent="0.35">
      <c r="A566" t="s">
        <v>465</v>
      </c>
      <c r="B566" t="s">
        <v>591</v>
      </c>
      <c r="C566" t="s">
        <v>592</v>
      </c>
      <c r="D566" s="1">
        <v>46224</v>
      </c>
      <c r="E566">
        <v>1.9666044916376899E-2</v>
      </c>
      <c r="F566" t="s">
        <v>4856</v>
      </c>
      <c r="G566" s="1">
        <v>46224.771787731479</v>
      </c>
      <c r="H566" t="s">
        <v>593</v>
      </c>
      <c r="I566" s="1">
        <v>46224.771787812497</v>
      </c>
      <c r="J566" t="s">
        <v>593</v>
      </c>
    </row>
    <row r="567" spans="1:10" x14ac:dyDescent="0.35">
      <c r="A567" t="s">
        <v>459</v>
      </c>
      <c r="B567" t="s">
        <v>591</v>
      </c>
      <c r="C567" t="s">
        <v>592</v>
      </c>
      <c r="D567" s="1">
        <v>46224</v>
      </c>
      <c r="E567">
        <v>4.6093560858689799E-2</v>
      </c>
      <c r="F567" t="s">
        <v>4857</v>
      </c>
      <c r="G567" s="1">
        <v>46224.771787731479</v>
      </c>
      <c r="H567" t="s">
        <v>593</v>
      </c>
      <c r="I567" s="1">
        <v>46224.771787812497</v>
      </c>
      <c r="J567" t="s">
        <v>593</v>
      </c>
    </row>
    <row r="568" spans="1:10" x14ac:dyDescent="0.35">
      <c r="A568" t="s">
        <v>466</v>
      </c>
      <c r="B568" t="s">
        <v>591</v>
      </c>
      <c r="C568" t="s">
        <v>592</v>
      </c>
      <c r="D568" s="1">
        <v>46224</v>
      </c>
      <c r="E568">
        <v>4.2893686628814501E-2</v>
      </c>
      <c r="F568" t="s">
        <v>4858</v>
      </c>
      <c r="G568" s="1">
        <v>46224.771787731479</v>
      </c>
      <c r="H568" t="s">
        <v>593</v>
      </c>
      <c r="I568" s="1">
        <v>46224.771787812497</v>
      </c>
      <c r="J568" t="s">
        <v>593</v>
      </c>
    </row>
    <row r="569" spans="1:10" x14ac:dyDescent="0.35">
      <c r="A569" t="s">
        <v>467</v>
      </c>
      <c r="B569" t="s">
        <v>591</v>
      </c>
      <c r="C569" t="s">
        <v>592</v>
      </c>
      <c r="D569" s="1">
        <v>46224</v>
      </c>
      <c r="E569">
        <v>4.2259705276296397E-2</v>
      </c>
      <c r="F569" t="s">
        <v>4859</v>
      </c>
      <c r="G569" s="1">
        <v>46224.771787731479</v>
      </c>
      <c r="H569" t="s">
        <v>593</v>
      </c>
      <c r="I569" s="1">
        <v>46224.771787812497</v>
      </c>
      <c r="J569" t="s">
        <v>593</v>
      </c>
    </row>
    <row r="570" spans="1:10" x14ac:dyDescent="0.35">
      <c r="A570" t="s">
        <v>468</v>
      </c>
      <c r="B570" t="s">
        <v>591</v>
      </c>
      <c r="C570" t="s">
        <v>592</v>
      </c>
      <c r="D570" s="1">
        <v>46224</v>
      </c>
      <c r="E570">
        <v>4.4587481408643999E-2</v>
      </c>
      <c r="F570" t="s">
        <v>4860</v>
      </c>
      <c r="G570" s="1">
        <v>46224.771787731479</v>
      </c>
      <c r="H570" t="s">
        <v>593</v>
      </c>
      <c r="I570" s="1">
        <v>46224.771787812497</v>
      </c>
      <c r="J570" t="s">
        <v>593</v>
      </c>
    </row>
    <row r="571" spans="1:10" x14ac:dyDescent="0.35">
      <c r="A571" t="s">
        <v>460</v>
      </c>
      <c r="B571" t="s">
        <v>591</v>
      </c>
      <c r="C571" t="s">
        <v>592</v>
      </c>
      <c r="D571" s="1">
        <v>46224</v>
      </c>
      <c r="E571">
        <v>4.36076277286448E-2</v>
      </c>
      <c r="F571" t="s">
        <v>4861</v>
      </c>
      <c r="G571" s="1">
        <v>46224.771787731479</v>
      </c>
      <c r="H571" t="s">
        <v>593</v>
      </c>
      <c r="I571" s="1">
        <v>46224.771787812497</v>
      </c>
      <c r="J571" t="s">
        <v>593</v>
      </c>
    </row>
    <row r="572" spans="1:10" x14ac:dyDescent="0.35">
      <c r="A572" t="s">
        <v>509</v>
      </c>
      <c r="B572" t="s">
        <v>591</v>
      </c>
      <c r="C572" t="s">
        <v>592</v>
      </c>
      <c r="D572" s="1">
        <v>46224</v>
      </c>
      <c r="E572">
        <v>4.2879708143081098E-2</v>
      </c>
      <c r="F572" t="s">
        <v>4862</v>
      </c>
      <c r="G572" s="1">
        <v>46224.771787731479</v>
      </c>
      <c r="H572" t="s">
        <v>593</v>
      </c>
      <c r="I572" s="1">
        <v>46224.771787812497</v>
      </c>
      <c r="J572" t="s">
        <v>593</v>
      </c>
    </row>
    <row r="573" spans="1:10" x14ac:dyDescent="0.35">
      <c r="A573" t="s">
        <v>469</v>
      </c>
      <c r="B573" t="s">
        <v>591</v>
      </c>
      <c r="C573" t="s">
        <v>592</v>
      </c>
      <c r="D573" s="1">
        <v>46224</v>
      </c>
      <c r="E573">
        <v>4.4629135906941002E-2</v>
      </c>
      <c r="F573" t="s">
        <v>4863</v>
      </c>
      <c r="G573" s="1">
        <v>46224.771787731479</v>
      </c>
      <c r="H573" t="s">
        <v>593</v>
      </c>
      <c r="I573" s="1">
        <v>46224.771787812497</v>
      </c>
      <c r="J573" t="s">
        <v>593</v>
      </c>
    </row>
    <row r="574" spans="1:10" x14ac:dyDescent="0.35">
      <c r="A574" t="s">
        <v>516</v>
      </c>
      <c r="B574" t="s">
        <v>591</v>
      </c>
      <c r="C574" t="s">
        <v>592</v>
      </c>
      <c r="D574" s="1">
        <v>46224</v>
      </c>
      <c r="E574">
        <v>4.3593069956143003E-2</v>
      </c>
      <c r="F574" t="s">
        <v>3061</v>
      </c>
      <c r="G574" s="1">
        <v>46224.771787731479</v>
      </c>
      <c r="H574" t="s">
        <v>593</v>
      </c>
      <c r="I574" s="1">
        <v>46224.771787812497</v>
      </c>
      <c r="J574" t="s">
        <v>593</v>
      </c>
    </row>
    <row r="575" spans="1:10" x14ac:dyDescent="0.35">
      <c r="A575" t="s">
        <v>470</v>
      </c>
      <c r="B575" t="s">
        <v>591</v>
      </c>
      <c r="C575" t="s">
        <v>592</v>
      </c>
      <c r="D575" s="1">
        <v>46224</v>
      </c>
      <c r="E575">
        <v>4.2393790421321402E-2</v>
      </c>
      <c r="F575" t="s">
        <v>4864</v>
      </c>
      <c r="G575" s="1">
        <v>46224.771787731479</v>
      </c>
      <c r="H575" t="s">
        <v>593</v>
      </c>
      <c r="I575" s="1">
        <v>46224.771787812497</v>
      </c>
      <c r="J575" t="s">
        <v>593</v>
      </c>
    </row>
    <row r="576" spans="1:10" x14ac:dyDescent="0.35">
      <c r="A576" t="s">
        <v>510</v>
      </c>
      <c r="B576" t="s">
        <v>591</v>
      </c>
      <c r="C576" t="s">
        <v>592</v>
      </c>
      <c r="D576" s="1">
        <v>46224</v>
      </c>
      <c r="E576">
        <v>4.2944520017686102E-2</v>
      </c>
      <c r="F576" t="s">
        <v>4865</v>
      </c>
      <c r="G576" s="1">
        <v>46224.771787731479</v>
      </c>
      <c r="H576" t="s">
        <v>593</v>
      </c>
      <c r="I576" s="1">
        <v>46224.771787812497</v>
      </c>
      <c r="J576" t="s">
        <v>593</v>
      </c>
    </row>
    <row r="577" spans="1:10" x14ac:dyDescent="0.35">
      <c r="A577" t="s">
        <v>472</v>
      </c>
      <c r="B577" t="s">
        <v>591</v>
      </c>
      <c r="C577" t="s">
        <v>592</v>
      </c>
      <c r="D577" s="1">
        <v>46224</v>
      </c>
      <c r="E577">
        <v>2.35040039277775E-2</v>
      </c>
      <c r="F577" t="s">
        <v>4866</v>
      </c>
      <c r="G577" s="1">
        <v>46224.771787731479</v>
      </c>
      <c r="H577" t="s">
        <v>593</v>
      </c>
      <c r="I577" s="1">
        <v>46224.771787812497</v>
      </c>
      <c r="J577" t="s">
        <v>593</v>
      </c>
    </row>
    <row r="578" spans="1:10" x14ac:dyDescent="0.35">
      <c r="A578" t="s">
        <v>473</v>
      </c>
      <c r="B578" t="s">
        <v>591</v>
      </c>
      <c r="C578" t="s">
        <v>592</v>
      </c>
      <c r="D578" s="1">
        <v>46224</v>
      </c>
      <c r="E578">
        <v>4.3636320566465901E-2</v>
      </c>
      <c r="F578" t="s">
        <v>4867</v>
      </c>
      <c r="G578" s="1">
        <v>46224.771787731479</v>
      </c>
      <c r="H578" t="s">
        <v>593</v>
      </c>
      <c r="I578" s="1">
        <v>46224.771787812497</v>
      </c>
      <c r="J578" t="s">
        <v>593</v>
      </c>
    </row>
    <row r="579" spans="1:10" x14ac:dyDescent="0.35">
      <c r="A579" t="s">
        <v>474</v>
      </c>
      <c r="B579" t="s">
        <v>591</v>
      </c>
      <c r="C579" t="s">
        <v>592</v>
      </c>
      <c r="D579" s="1">
        <v>46224</v>
      </c>
      <c r="E579">
        <v>4.47017824323169E-2</v>
      </c>
      <c r="F579" t="s">
        <v>4868</v>
      </c>
      <c r="G579" s="1">
        <v>46224.771787731479</v>
      </c>
      <c r="H579" t="s">
        <v>593</v>
      </c>
      <c r="I579" s="1">
        <v>46224.771787812497</v>
      </c>
      <c r="J579" t="s">
        <v>593</v>
      </c>
    </row>
    <row r="580" spans="1:10" x14ac:dyDescent="0.35">
      <c r="A580" t="s">
        <v>475</v>
      </c>
      <c r="B580" t="s">
        <v>591</v>
      </c>
      <c r="C580" t="s">
        <v>592</v>
      </c>
      <c r="D580" s="1">
        <v>46224</v>
      </c>
      <c r="E580">
        <v>4.6191492846314998E-2</v>
      </c>
      <c r="F580" t="s">
        <v>4869</v>
      </c>
      <c r="G580" s="1">
        <v>46224.771787731479</v>
      </c>
      <c r="H580" t="s">
        <v>593</v>
      </c>
      <c r="I580" s="1">
        <v>46224.771787812497</v>
      </c>
      <c r="J580" t="s">
        <v>593</v>
      </c>
    </row>
    <row r="581" spans="1:10" x14ac:dyDescent="0.35">
      <c r="A581" t="s">
        <v>481</v>
      </c>
      <c r="B581" t="s">
        <v>591</v>
      </c>
      <c r="C581" t="s">
        <v>592</v>
      </c>
      <c r="D581" s="1">
        <v>46224</v>
      </c>
      <c r="E581">
        <v>4.2947835718094601E-2</v>
      </c>
      <c r="F581" t="s">
        <v>4870</v>
      </c>
      <c r="G581" s="1">
        <v>46224.771787731479</v>
      </c>
      <c r="H581" t="s">
        <v>593</v>
      </c>
      <c r="I581" s="1">
        <v>46224.771787812497</v>
      </c>
      <c r="J581" t="s">
        <v>593</v>
      </c>
    </row>
    <row r="582" spans="1:10" x14ac:dyDescent="0.35">
      <c r="A582" t="s">
        <v>476</v>
      </c>
      <c r="B582" t="s">
        <v>591</v>
      </c>
      <c r="C582" t="s">
        <v>592</v>
      </c>
      <c r="D582" s="1">
        <v>46224</v>
      </c>
      <c r="E582">
        <v>4.2383484417570602E-2</v>
      </c>
      <c r="F582" t="s">
        <v>4871</v>
      </c>
      <c r="G582" s="1">
        <v>46224.771787731479</v>
      </c>
      <c r="H582" t="s">
        <v>593</v>
      </c>
      <c r="I582" s="1">
        <v>46224.771787812497</v>
      </c>
      <c r="J582" t="s">
        <v>593</v>
      </c>
    </row>
    <row r="583" spans="1:10" x14ac:dyDescent="0.35">
      <c r="A583" t="s">
        <v>511</v>
      </c>
      <c r="B583" t="s">
        <v>591</v>
      </c>
      <c r="C583" t="s">
        <v>592</v>
      </c>
      <c r="D583" s="1">
        <v>46224</v>
      </c>
      <c r="E583">
        <v>4.4695892805870198E-2</v>
      </c>
      <c r="F583" t="s">
        <v>4872</v>
      </c>
      <c r="G583" s="1">
        <v>46224.771787731479</v>
      </c>
      <c r="H583" t="s">
        <v>593</v>
      </c>
      <c r="I583" s="1">
        <v>46224.771787812497</v>
      </c>
      <c r="J583" t="s">
        <v>593</v>
      </c>
    </row>
    <row r="584" spans="1:10" x14ac:dyDescent="0.35">
      <c r="A584" t="s">
        <v>477</v>
      </c>
      <c r="B584" t="s">
        <v>591</v>
      </c>
      <c r="C584" t="s">
        <v>592</v>
      </c>
      <c r="D584" s="1">
        <v>46224</v>
      </c>
      <c r="E584">
        <v>4.3579701929551101E-2</v>
      </c>
      <c r="F584" t="s">
        <v>4873</v>
      </c>
      <c r="G584" s="1">
        <v>46224.771787731479</v>
      </c>
      <c r="H584" t="s">
        <v>593</v>
      </c>
      <c r="I584" s="1">
        <v>46224.771787812497</v>
      </c>
      <c r="J584" t="s">
        <v>593</v>
      </c>
    </row>
    <row r="585" spans="1:10" x14ac:dyDescent="0.35">
      <c r="A585" t="s">
        <v>512</v>
      </c>
      <c r="B585" t="s">
        <v>591</v>
      </c>
      <c r="C585" t="s">
        <v>592</v>
      </c>
      <c r="D585" s="1">
        <v>46224</v>
      </c>
      <c r="E585">
        <v>4.2893084802013599E-2</v>
      </c>
      <c r="F585" t="s">
        <v>4874</v>
      </c>
      <c r="G585" s="1">
        <v>46224.771787731479</v>
      </c>
      <c r="H585" t="s">
        <v>593</v>
      </c>
      <c r="I585" s="1">
        <v>46224.771787812497</v>
      </c>
      <c r="J585" t="s">
        <v>593</v>
      </c>
    </row>
    <row r="586" spans="1:10" x14ac:dyDescent="0.35">
      <c r="A586" t="s">
        <v>478</v>
      </c>
      <c r="B586" t="s">
        <v>591</v>
      </c>
      <c r="C586" t="s">
        <v>592</v>
      </c>
      <c r="D586" s="1">
        <v>46224</v>
      </c>
      <c r="E586">
        <v>4.4761443885549403E-2</v>
      </c>
      <c r="F586" t="s">
        <v>4811</v>
      </c>
      <c r="G586" s="1">
        <v>46224.771787731479</v>
      </c>
      <c r="H586" t="s">
        <v>593</v>
      </c>
      <c r="I586" s="1">
        <v>46224.771787812497</v>
      </c>
      <c r="J586" t="s">
        <v>593</v>
      </c>
    </row>
    <row r="587" spans="1:10" x14ac:dyDescent="0.35">
      <c r="A587" t="s">
        <v>482</v>
      </c>
      <c r="B587" t="s">
        <v>591</v>
      </c>
      <c r="C587" t="s">
        <v>592</v>
      </c>
      <c r="D587" s="1">
        <v>46224</v>
      </c>
      <c r="E587">
        <v>4.36478127725402E-2</v>
      </c>
      <c r="F587" t="s">
        <v>4875</v>
      </c>
      <c r="G587" s="1">
        <v>46224.771787731479</v>
      </c>
      <c r="H587" t="s">
        <v>593</v>
      </c>
      <c r="I587" s="1">
        <v>46224.771787812497</v>
      </c>
      <c r="J587" t="s">
        <v>593</v>
      </c>
    </row>
    <row r="588" spans="1:10" x14ac:dyDescent="0.35">
      <c r="A588" t="s">
        <v>479</v>
      </c>
      <c r="B588" t="s">
        <v>591</v>
      </c>
      <c r="C588" t="s">
        <v>592</v>
      </c>
      <c r="D588" s="1">
        <v>46224</v>
      </c>
      <c r="E588">
        <v>4.2516693254835702E-2</v>
      </c>
      <c r="F588" t="s">
        <v>4876</v>
      </c>
      <c r="G588" s="1">
        <v>46224.771787731479</v>
      </c>
      <c r="H588" t="s">
        <v>593</v>
      </c>
      <c r="I588" s="1">
        <v>46224.771787812497</v>
      </c>
      <c r="J588" t="s">
        <v>593</v>
      </c>
    </row>
    <row r="589" spans="1:10" x14ac:dyDescent="0.35">
      <c r="A589" t="s">
        <v>483</v>
      </c>
      <c r="B589" t="s">
        <v>591</v>
      </c>
      <c r="C589" t="s">
        <v>592</v>
      </c>
      <c r="D589" s="1">
        <v>46224</v>
      </c>
      <c r="E589">
        <v>4.2923327605261498E-2</v>
      </c>
      <c r="F589" t="s">
        <v>4784</v>
      </c>
      <c r="G589" s="1">
        <v>46224.771787731479</v>
      </c>
      <c r="H589" t="s">
        <v>593</v>
      </c>
      <c r="I589" s="1">
        <v>46224.771787812497</v>
      </c>
      <c r="J589" t="s">
        <v>593</v>
      </c>
    </row>
    <row r="590" spans="1:10" x14ac:dyDescent="0.35">
      <c r="A590" t="s">
        <v>484</v>
      </c>
      <c r="B590" t="s">
        <v>591</v>
      </c>
      <c r="C590" t="s">
        <v>592</v>
      </c>
      <c r="D590" s="1">
        <v>46224</v>
      </c>
      <c r="E590">
        <v>4.36434415844748E-2</v>
      </c>
      <c r="F590" t="s">
        <v>4877</v>
      </c>
      <c r="G590" s="1">
        <v>46224.771787731479</v>
      </c>
      <c r="H590" t="s">
        <v>593</v>
      </c>
      <c r="I590" s="1">
        <v>46224.771787812497</v>
      </c>
      <c r="J590" t="s">
        <v>593</v>
      </c>
    </row>
    <row r="591" spans="1:10" x14ac:dyDescent="0.35">
      <c r="A591" t="s">
        <v>517</v>
      </c>
      <c r="B591" t="s">
        <v>591</v>
      </c>
      <c r="C591" t="s">
        <v>592</v>
      </c>
      <c r="D591" s="1">
        <v>46224</v>
      </c>
      <c r="E591">
        <v>4.2504204222124503E-2</v>
      </c>
      <c r="F591" t="s">
        <v>4878</v>
      </c>
      <c r="G591" s="1">
        <v>46224.771787731479</v>
      </c>
      <c r="H591" t="s">
        <v>593</v>
      </c>
      <c r="I591" s="1">
        <v>46224.771787812497</v>
      </c>
      <c r="J591" t="s">
        <v>593</v>
      </c>
    </row>
    <row r="592" spans="1:10" x14ac:dyDescent="0.35">
      <c r="A592" t="s">
        <v>480</v>
      </c>
      <c r="B592" t="s">
        <v>591</v>
      </c>
      <c r="C592" t="s">
        <v>592</v>
      </c>
      <c r="D592" s="1">
        <v>46224</v>
      </c>
      <c r="E592">
        <v>4.4831173067047599E-2</v>
      </c>
      <c r="F592" t="s">
        <v>4879</v>
      </c>
      <c r="G592" s="1">
        <v>46224.771787731479</v>
      </c>
      <c r="H592" t="s">
        <v>593</v>
      </c>
      <c r="I592" s="1">
        <v>46224.771787812497</v>
      </c>
      <c r="J592" t="s">
        <v>593</v>
      </c>
    </row>
    <row r="593" spans="1:10" x14ac:dyDescent="0.35">
      <c r="A593" t="s">
        <v>525</v>
      </c>
      <c r="B593" t="s">
        <v>591</v>
      </c>
      <c r="C593" t="s">
        <v>592</v>
      </c>
      <c r="D593" s="1">
        <v>46224</v>
      </c>
      <c r="E593">
        <v>2.07101209491133E-2</v>
      </c>
      <c r="F593" t="s">
        <v>4880</v>
      </c>
      <c r="G593" s="1">
        <v>46224.771787731479</v>
      </c>
      <c r="H593" t="s">
        <v>593</v>
      </c>
      <c r="I593" s="1">
        <v>46224.771787812497</v>
      </c>
      <c r="J593" t="s">
        <v>593</v>
      </c>
    </row>
    <row r="594" spans="1:10" x14ac:dyDescent="0.35">
      <c r="A594" t="s">
        <v>1659</v>
      </c>
      <c r="B594" t="s">
        <v>591</v>
      </c>
      <c r="C594" t="s">
        <v>592</v>
      </c>
      <c r="D594" s="1">
        <v>46224</v>
      </c>
      <c r="E594">
        <v>4.6270923038853801E-2</v>
      </c>
      <c r="F594" t="s">
        <v>4881</v>
      </c>
      <c r="G594" s="1">
        <v>46224.771787731479</v>
      </c>
      <c r="H594" t="s">
        <v>593</v>
      </c>
      <c r="I594" s="1">
        <v>46224.771787812497</v>
      </c>
      <c r="J594" t="s">
        <v>593</v>
      </c>
    </row>
    <row r="595" spans="1:10" x14ac:dyDescent="0.35">
      <c r="A595" t="s">
        <v>1660</v>
      </c>
      <c r="B595" t="s">
        <v>591</v>
      </c>
      <c r="C595" t="s">
        <v>592</v>
      </c>
      <c r="D595" s="1">
        <v>46224</v>
      </c>
      <c r="E595">
        <v>4.28827233114129E-2</v>
      </c>
      <c r="F595" t="s">
        <v>4882</v>
      </c>
      <c r="G595" s="1">
        <v>46224.771787731479</v>
      </c>
      <c r="H595" t="s">
        <v>593</v>
      </c>
      <c r="I595" s="1">
        <v>46224.771787812497</v>
      </c>
      <c r="J595" t="s">
        <v>593</v>
      </c>
    </row>
    <row r="596" spans="1:10" x14ac:dyDescent="0.35">
      <c r="A596" t="s">
        <v>1743</v>
      </c>
      <c r="B596" t="s">
        <v>591</v>
      </c>
      <c r="C596" t="s">
        <v>592</v>
      </c>
      <c r="D596" s="1">
        <v>46224</v>
      </c>
      <c r="E596">
        <v>4.2615684906866597E-2</v>
      </c>
      <c r="F596" t="s">
        <v>4883</v>
      </c>
      <c r="G596" s="1">
        <v>46224.771787731479</v>
      </c>
      <c r="H596" t="s">
        <v>593</v>
      </c>
      <c r="I596" s="1">
        <v>46224.771787812497</v>
      </c>
      <c r="J596" t="s">
        <v>593</v>
      </c>
    </row>
    <row r="597" spans="1:10" x14ac:dyDescent="0.35">
      <c r="A597" t="s">
        <v>1745</v>
      </c>
      <c r="B597" t="s">
        <v>591</v>
      </c>
      <c r="C597" t="s">
        <v>592</v>
      </c>
      <c r="D597" s="1">
        <v>46224</v>
      </c>
      <c r="E597">
        <v>4.4849824854753299E-2</v>
      </c>
      <c r="F597" t="s">
        <v>4884</v>
      </c>
      <c r="G597" s="1">
        <v>46224.771787731479</v>
      </c>
      <c r="H597" t="s">
        <v>593</v>
      </c>
      <c r="I597" s="1">
        <v>46224.771787812497</v>
      </c>
      <c r="J597" t="s">
        <v>593</v>
      </c>
    </row>
    <row r="598" spans="1:10" x14ac:dyDescent="0.35">
      <c r="A598" t="s">
        <v>1742</v>
      </c>
      <c r="B598" t="s">
        <v>591</v>
      </c>
      <c r="C598" t="s">
        <v>592</v>
      </c>
      <c r="D598" s="1">
        <v>46224</v>
      </c>
      <c r="E598">
        <v>4.3681668306950402E-2</v>
      </c>
      <c r="F598" t="s">
        <v>4885</v>
      </c>
      <c r="G598" s="1">
        <v>46224.771787731479</v>
      </c>
      <c r="H598" t="s">
        <v>593</v>
      </c>
      <c r="I598" s="1">
        <v>46224.771787812497</v>
      </c>
      <c r="J598" t="s">
        <v>593</v>
      </c>
    </row>
    <row r="599" spans="1:10" x14ac:dyDescent="0.35">
      <c r="A599" t="s">
        <v>1744</v>
      </c>
      <c r="B599" t="s">
        <v>591</v>
      </c>
      <c r="C599" t="s">
        <v>592</v>
      </c>
      <c r="D599" s="1">
        <v>46224</v>
      </c>
      <c r="E599">
        <v>4.2930476797586201E-2</v>
      </c>
      <c r="F599" t="s">
        <v>3062</v>
      </c>
      <c r="G599" s="1">
        <v>46224.771787731479</v>
      </c>
      <c r="H599" t="s">
        <v>593</v>
      </c>
      <c r="I599" s="1">
        <v>46224.771787812497</v>
      </c>
      <c r="J599" t="s">
        <v>593</v>
      </c>
    </row>
    <row r="600" spans="1:10" x14ac:dyDescent="0.35">
      <c r="A600" t="s">
        <v>1770</v>
      </c>
      <c r="B600" t="s">
        <v>591</v>
      </c>
      <c r="C600" t="s">
        <v>592</v>
      </c>
      <c r="D600" s="1">
        <v>46224</v>
      </c>
      <c r="E600">
        <v>4.4909740840820001E-2</v>
      </c>
      <c r="F600" t="s">
        <v>4886</v>
      </c>
      <c r="G600" s="1">
        <v>46224.771787731479</v>
      </c>
      <c r="H600" t="s">
        <v>593</v>
      </c>
      <c r="I600" s="1">
        <v>46224.771787812497</v>
      </c>
      <c r="J600" t="s">
        <v>593</v>
      </c>
    </row>
    <row r="601" spans="1:10" x14ac:dyDescent="0.35">
      <c r="A601" t="s">
        <v>1771</v>
      </c>
      <c r="B601" t="s">
        <v>591</v>
      </c>
      <c r="C601" t="s">
        <v>592</v>
      </c>
      <c r="D601" s="1">
        <v>46224</v>
      </c>
      <c r="E601">
        <v>4.3685765867993998E-2</v>
      </c>
      <c r="F601" t="s">
        <v>4887</v>
      </c>
      <c r="G601" s="1">
        <v>46224.771787731479</v>
      </c>
      <c r="H601" t="s">
        <v>593</v>
      </c>
      <c r="I601" s="1">
        <v>46224.771787812497</v>
      </c>
      <c r="J601" t="s">
        <v>593</v>
      </c>
    </row>
    <row r="602" spans="1:10" x14ac:dyDescent="0.35">
      <c r="A602" t="s">
        <v>1769</v>
      </c>
      <c r="B602" t="s">
        <v>591</v>
      </c>
      <c r="C602" t="s">
        <v>592</v>
      </c>
      <c r="D602" s="1">
        <v>46224</v>
      </c>
      <c r="E602">
        <v>4.2604387922577598E-2</v>
      </c>
      <c r="F602" t="s">
        <v>4888</v>
      </c>
      <c r="G602" s="1">
        <v>46224.771787731479</v>
      </c>
      <c r="H602" t="s">
        <v>593</v>
      </c>
      <c r="I602" s="1">
        <v>46224.771787812497</v>
      </c>
      <c r="J602" t="s">
        <v>593</v>
      </c>
    </row>
    <row r="603" spans="1:10" x14ac:dyDescent="0.35">
      <c r="A603" t="s">
        <v>1965</v>
      </c>
      <c r="B603" t="s">
        <v>591</v>
      </c>
      <c r="C603" t="s">
        <v>592</v>
      </c>
      <c r="D603" s="1">
        <v>46224</v>
      </c>
      <c r="E603">
        <v>4.2981590213460603E-2</v>
      </c>
      <c r="F603" t="s">
        <v>3063</v>
      </c>
      <c r="G603" s="1">
        <v>46224.771787731479</v>
      </c>
      <c r="H603" t="s">
        <v>593</v>
      </c>
      <c r="I603" s="1">
        <v>46224.771787812497</v>
      </c>
      <c r="J603" t="s">
        <v>593</v>
      </c>
    </row>
    <row r="604" spans="1:10" x14ac:dyDescent="0.35">
      <c r="A604" t="s">
        <v>485</v>
      </c>
      <c r="B604" t="s">
        <v>591</v>
      </c>
      <c r="C604" t="s">
        <v>592</v>
      </c>
      <c r="D604" s="1">
        <v>46224</v>
      </c>
      <c r="E604">
        <v>4.4584822979312301E-2</v>
      </c>
      <c r="F604" t="s">
        <v>4889</v>
      </c>
      <c r="G604" s="1">
        <v>46224.771787731479</v>
      </c>
      <c r="H604" t="s">
        <v>593</v>
      </c>
      <c r="I604" s="1">
        <v>46224.771787812497</v>
      </c>
      <c r="J604" t="s">
        <v>593</v>
      </c>
    </row>
    <row r="605" spans="1:10" x14ac:dyDescent="0.35">
      <c r="A605" t="s">
        <v>545</v>
      </c>
      <c r="B605" t="s">
        <v>591</v>
      </c>
      <c r="C605" t="s">
        <v>592</v>
      </c>
      <c r="D605" s="1">
        <v>46224</v>
      </c>
      <c r="E605">
        <v>4.4914836179163503E-2</v>
      </c>
      <c r="F605" t="s">
        <v>4890</v>
      </c>
      <c r="G605" s="1">
        <v>46224.771787731479</v>
      </c>
      <c r="H605" t="s">
        <v>593</v>
      </c>
      <c r="I605" s="1">
        <v>46224.771787812497</v>
      </c>
      <c r="J605" t="s">
        <v>593</v>
      </c>
    </row>
    <row r="606" spans="1:10" x14ac:dyDescent="0.35">
      <c r="A606" t="s">
        <v>518</v>
      </c>
      <c r="B606" t="s">
        <v>591</v>
      </c>
      <c r="C606" t="s">
        <v>592</v>
      </c>
      <c r="D606" s="1">
        <v>46224</v>
      </c>
      <c r="E606">
        <v>4.5169871575059098E-2</v>
      </c>
      <c r="F606" t="s">
        <v>4891</v>
      </c>
      <c r="G606" s="1">
        <v>46224.771787731479</v>
      </c>
      <c r="H606" t="s">
        <v>593</v>
      </c>
      <c r="I606" s="1">
        <v>46224.771787812497</v>
      </c>
      <c r="J606" t="s">
        <v>593</v>
      </c>
    </row>
    <row r="607" spans="1:10" x14ac:dyDescent="0.35">
      <c r="A607" t="s">
        <v>531</v>
      </c>
      <c r="B607" t="s">
        <v>591</v>
      </c>
      <c r="C607" t="s">
        <v>592</v>
      </c>
      <c r="D607" s="1">
        <v>46224</v>
      </c>
      <c r="E607">
        <v>4.5494840308633398E-2</v>
      </c>
      <c r="F607" t="s">
        <v>4892</v>
      </c>
      <c r="G607" s="1">
        <v>46224.771787731479</v>
      </c>
      <c r="H607" t="s">
        <v>593</v>
      </c>
      <c r="I607" s="1">
        <v>46224.771787812497</v>
      </c>
      <c r="J607" t="s">
        <v>593</v>
      </c>
    </row>
    <row r="608" spans="1:10" x14ac:dyDescent="0.35">
      <c r="A608" t="s">
        <v>519</v>
      </c>
      <c r="B608" t="s">
        <v>591</v>
      </c>
      <c r="C608" t="s">
        <v>592</v>
      </c>
      <c r="D608" s="1">
        <v>46224</v>
      </c>
      <c r="E608">
        <v>4.57748734165183E-2</v>
      </c>
      <c r="F608" t="s">
        <v>4893</v>
      </c>
      <c r="G608" s="1">
        <v>46224.771787731479</v>
      </c>
      <c r="H608" t="s">
        <v>593</v>
      </c>
      <c r="I608" s="1">
        <v>46224.771787812497</v>
      </c>
      <c r="J608" t="s">
        <v>593</v>
      </c>
    </row>
    <row r="609" spans="1:10" x14ac:dyDescent="0.35">
      <c r="A609" t="s">
        <v>520</v>
      </c>
      <c r="B609" t="s">
        <v>591</v>
      </c>
      <c r="C609" t="s">
        <v>592</v>
      </c>
      <c r="D609" s="1">
        <v>46224</v>
      </c>
      <c r="E609">
        <v>4.6059826140541001E-2</v>
      </c>
      <c r="F609" t="s">
        <v>4894</v>
      </c>
      <c r="G609" s="1">
        <v>46224.771787731479</v>
      </c>
      <c r="H609" t="s">
        <v>593</v>
      </c>
      <c r="I609" s="1">
        <v>46224.771787812497</v>
      </c>
      <c r="J609" t="s">
        <v>593</v>
      </c>
    </row>
    <row r="610" spans="1:10" x14ac:dyDescent="0.35">
      <c r="A610" t="s">
        <v>494</v>
      </c>
      <c r="B610" t="s">
        <v>591</v>
      </c>
      <c r="C610" t="s">
        <v>592</v>
      </c>
      <c r="D610" s="1">
        <v>46224</v>
      </c>
      <c r="E610">
        <v>4.6324806495469398E-2</v>
      </c>
      <c r="F610" t="s">
        <v>4895</v>
      </c>
      <c r="G610" s="1">
        <v>46224.771787731479</v>
      </c>
      <c r="H610" t="s">
        <v>593</v>
      </c>
      <c r="I610" s="1">
        <v>46224.771787812497</v>
      </c>
      <c r="J610" t="s">
        <v>593</v>
      </c>
    </row>
    <row r="611" spans="1:10" x14ac:dyDescent="0.35">
      <c r="A611" t="s">
        <v>526</v>
      </c>
      <c r="B611" t="s">
        <v>591</v>
      </c>
      <c r="C611" t="s">
        <v>592</v>
      </c>
      <c r="D611" s="1">
        <v>46224</v>
      </c>
      <c r="E611">
        <v>4.6624734092488698E-2</v>
      </c>
      <c r="F611" t="s">
        <v>4896</v>
      </c>
      <c r="G611" s="1">
        <v>46224.771787731479</v>
      </c>
      <c r="H611" t="s">
        <v>593</v>
      </c>
      <c r="I611" s="1">
        <v>46224.771787812497</v>
      </c>
      <c r="J611" t="s">
        <v>593</v>
      </c>
    </row>
    <row r="612" spans="1:10" x14ac:dyDescent="0.35">
      <c r="A612" t="s">
        <v>527</v>
      </c>
      <c r="B612" t="s">
        <v>591</v>
      </c>
      <c r="C612" t="s">
        <v>592</v>
      </c>
      <c r="D612" s="1">
        <v>46224</v>
      </c>
      <c r="E612">
        <v>4.6929752768625897E-2</v>
      </c>
      <c r="F612" t="s">
        <v>4897</v>
      </c>
      <c r="G612" s="1">
        <v>46224.771787731479</v>
      </c>
      <c r="H612" t="s">
        <v>593</v>
      </c>
      <c r="I612" s="1">
        <v>46224.771787812497</v>
      </c>
      <c r="J612" t="s">
        <v>593</v>
      </c>
    </row>
    <row r="613" spans="1:10" x14ac:dyDescent="0.35">
      <c r="A613" t="s">
        <v>532</v>
      </c>
      <c r="B613" t="s">
        <v>591</v>
      </c>
      <c r="C613" t="s">
        <v>592</v>
      </c>
      <c r="D613" s="1">
        <v>46224</v>
      </c>
      <c r="E613">
        <v>4.7284728461027797E-2</v>
      </c>
      <c r="F613" t="s">
        <v>4898</v>
      </c>
      <c r="G613" s="1">
        <v>46224.771787731479</v>
      </c>
      <c r="H613" t="s">
        <v>593</v>
      </c>
      <c r="I613" s="1">
        <v>46224.771787812497</v>
      </c>
      <c r="J613" t="s">
        <v>593</v>
      </c>
    </row>
    <row r="614" spans="1:10" x14ac:dyDescent="0.35">
      <c r="A614" t="s">
        <v>486</v>
      </c>
      <c r="B614" t="s">
        <v>591</v>
      </c>
      <c r="C614" t="s">
        <v>592</v>
      </c>
      <c r="D614" s="1">
        <v>46224</v>
      </c>
      <c r="E614">
        <v>4.8099738482205202E-2</v>
      </c>
      <c r="F614" t="s">
        <v>4899</v>
      </c>
      <c r="G614" s="1">
        <v>46224.771787731479</v>
      </c>
      <c r="H614" t="s">
        <v>593</v>
      </c>
      <c r="I614" s="1">
        <v>46224.771787812497</v>
      </c>
      <c r="J614" t="s">
        <v>593</v>
      </c>
    </row>
    <row r="615" spans="1:10" x14ac:dyDescent="0.35">
      <c r="A615" t="s">
        <v>487</v>
      </c>
      <c r="B615" t="s">
        <v>591</v>
      </c>
      <c r="C615" t="s">
        <v>592</v>
      </c>
      <c r="D615" s="1">
        <v>46224</v>
      </c>
      <c r="E615">
        <v>4.4690660028533898E-2</v>
      </c>
      <c r="F615" t="s">
        <v>4900</v>
      </c>
      <c r="G615" s="1">
        <v>46224.771787731479</v>
      </c>
      <c r="H615" t="s">
        <v>593</v>
      </c>
      <c r="I615" s="1">
        <v>46224.771787812497</v>
      </c>
      <c r="J615" t="s">
        <v>593</v>
      </c>
    </row>
    <row r="616" spans="1:10" x14ac:dyDescent="0.35">
      <c r="A616" t="s">
        <v>495</v>
      </c>
      <c r="B616" t="s">
        <v>591</v>
      </c>
      <c r="C616" t="s">
        <v>592</v>
      </c>
      <c r="D616" s="1">
        <v>46224</v>
      </c>
      <c r="E616">
        <v>4.5027903737984203E-2</v>
      </c>
      <c r="F616" t="s">
        <v>4901</v>
      </c>
      <c r="G616" s="1">
        <v>46224.771787731479</v>
      </c>
      <c r="H616" t="s">
        <v>593</v>
      </c>
      <c r="I616" s="1">
        <v>46224.771787812497</v>
      </c>
      <c r="J616" t="s">
        <v>593</v>
      </c>
    </row>
    <row r="617" spans="1:10" x14ac:dyDescent="0.35">
      <c r="A617" t="s">
        <v>521</v>
      </c>
      <c r="B617" t="s">
        <v>591</v>
      </c>
      <c r="C617" t="s">
        <v>592</v>
      </c>
      <c r="D617" s="1">
        <v>46224</v>
      </c>
      <c r="E617">
        <v>4.5297005493887002E-2</v>
      </c>
      <c r="F617" t="s">
        <v>4902</v>
      </c>
      <c r="G617" s="1">
        <v>46224.771787731479</v>
      </c>
      <c r="H617" t="s">
        <v>593</v>
      </c>
      <c r="I617" s="1">
        <v>46224.771787812497</v>
      </c>
      <c r="J617" t="s">
        <v>593</v>
      </c>
    </row>
    <row r="618" spans="1:10" x14ac:dyDescent="0.35">
      <c r="A618" t="s">
        <v>522</v>
      </c>
      <c r="B618" t="s">
        <v>591</v>
      </c>
      <c r="C618" t="s">
        <v>592</v>
      </c>
      <c r="D618" s="1">
        <v>46224</v>
      </c>
      <c r="E618">
        <v>4.56255704047707E-2</v>
      </c>
      <c r="F618" t="s">
        <v>4903</v>
      </c>
      <c r="G618" s="1">
        <v>46224.771787731479</v>
      </c>
      <c r="H618" t="s">
        <v>593</v>
      </c>
      <c r="I618" s="1">
        <v>46224.771787812497</v>
      </c>
      <c r="J618" t="s">
        <v>593</v>
      </c>
    </row>
    <row r="619" spans="1:10" x14ac:dyDescent="0.35">
      <c r="A619" t="s">
        <v>523</v>
      </c>
      <c r="B619" t="s">
        <v>591</v>
      </c>
      <c r="C619" t="s">
        <v>592</v>
      </c>
      <c r="D619" s="1">
        <v>46224</v>
      </c>
      <c r="E619">
        <v>4.5872942228493502E-2</v>
      </c>
      <c r="F619" t="s">
        <v>4904</v>
      </c>
      <c r="G619" s="1">
        <v>46224.771787731479</v>
      </c>
      <c r="H619" t="s">
        <v>593</v>
      </c>
      <c r="I619" s="1">
        <v>46224.771787812497</v>
      </c>
      <c r="J619" t="s">
        <v>593</v>
      </c>
    </row>
    <row r="620" spans="1:10" x14ac:dyDescent="0.35">
      <c r="A620" t="s">
        <v>488</v>
      </c>
      <c r="B620" t="s">
        <v>591</v>
      </c>
      <c r="C620" t="s">
        <v>592</v>
      </c>
      <c r="D620" s="1">
        <v>46224</v>
      </c>
      <c r="E620">
        <v>4.6173077487176202E-2</v>
      </c>
      <c r="F620" t="s">
        <v>4905</v>
      </c>
      <c r="G620" s="1">
        <v>46224.771787731479</v>
      </c>
      <c r="H620" t="s">
        <v>593</v>
      </c>
      <c r="I620" s="1">
        <v>46224.771787812497</v>
      </c>
      <c r="J620" t="s">
        <v>593</v>
      </c>
    </row>
    <row r="621" spans="1:10" x14ac:dyDescent="0.35">
      <c r="A621" t="s">
        <v>533</v>
      </c>
      <c r="B621" t="s">
        <v>591</v>
      </c>
      <c r="C621" t="s">
        <v>592</v>
      </c>
      <c r="D621" s="1">
        <v>46224</v>
      </c>
      <c r="E621">
        <v>4.6468631027192897E-2</v>
      </c>
      <c r="F621" t="s">
        <v>4906</v>
      </c>
      <c r="G621" s="1">
        <v>46224.771787731479</v>
      </c>
      <c r="H621" t="s">
        <v>593</v>
      </c>
      <c r="I621" s="1">
        <v>46224.771787812497</v>
      </c>
      <c r="J621" t="s">
        <v>593</v>
      </c>
    </row>
    <row r="622" spans="1:10" x14ac:dyDescent="0.35">
      <c r="A622" t="s">
        <v>528</v>
      </c>
      <c r="B622" t="s">
        <v>591</v>
      </c>
      <c r="C622" t="s">
        <v>592</v>
      </c>
      <c r="D622" s="1">
        <v>46224</v>
      </c>
      <c r="E622">
        <v>4.6791194088080003E-2</v>
      </c>
      <c r="F622" t="s">
        <v>4907</v>
      </c>
      <c r="G622" s="1">
        <v>46224.771787731479</v>
      </c>
      <c r="H622" t="s">
        <v>593</v>
      </c>
      <c r="I622" s="1">
        <v>46224.771787812497</v>
      </c>
      <c r="J622" t="s">
        <v>593</v>
      </c>
    </row>
    <row r="623" spans="1:10" x14ac:dyDescent="0.35">
      <c r="A623" t="s">
        <v>489</v>
      </c>
      <c r="B623" t="s">
        <v>591</v>
      </c>
      <c r="C623" t="s">
        <v>592</v>
      </c>
      <c r="D623" s="1">
        <v>46224</v>
      </c>
      <c r="E623">
        <v>4.7124191546164998E-2</v>
      </c>
      <c r="F623" t="s">
        <v>4908</v>
      </c>
      <c r="G623" s="1">
        <v>46224.771787731479</v>
      </c>
      <c r="H623" t="s">
        <v>593</v>
      </c>
      <c r="I623" s="1">
        <v>46224.771787812497</v>
      </c>
      <c r="J623" t="s">
        <v>593</v>
      </c>
    </row>
    <row r="624" spans="1:10" x14ac:dyDescent="0.35">
      <c r="A624" t="s">
        <v>490</v>
      </c>
      <c r="B624" t="s">
        <v>591</v>
      </c>
      <c r="C624" t="s">
        <v>592</v>
      </c>
      <c r="D624" s="1">
        <v>46224</v>
      </c>
      <c r="E624">
        <v>4.7402887006555199E-2</v>
      </c>
      <c r="F624" t="s">
        <v>4909</v>
      </c>
      <c r="G624" s="1">
        <v>46224.771787731479</v>
      </c>
      <c r="H624" t="s">
        <v>593</v>
      </c>
      <c r="I624" s="1">
        <v>46224.771787812497</v>
      </c>
      <c r="J624" t="s">
        <v>593</v>
      </c>
    </row>
    <row r="625" spans="1:10" x14ac:dyDescent="0.35">
      <c r="A625" t="s">
        <v>555</v>
      </c>
      <c r="B625" t="s">
        <v>591</v>
      </c>
      <c r="C625" t="s">
        <v>592</v>
      </c>
      <c r="D625" s="1">
        <v>46224</v>
      </c>
      <c r="E625">
        <v>4.79096756701098E-2</v>
      </c>
      <c r="F625" t="s">
        <v>4910</v>
      </c>
      <c r="G625" s="1">
        <v>46224.771787731479</v>
      </c>
      <c r="H625" t="s">
        <v>593</v>
      </c>
      <c r="I625" s="1">
        <v>46224.771787812497</v>
      </c>
      <c r="J625" t="s">
        <v>593</v>
      </c>
    </row>
    <row r="626" spans="1:10" x14ac:dyDescent="0.35">
      <c r="A626" t="s">
        <v>496</v>
      </c>
      <c r="B626" t="s">
        <v>591</v>
      </c>
      <c r="C626" t="s">
        <v>592</v>
      </c>
      <c r="D626" s="1">
        <v>46224</v>
      </c>
      <c r="E626">
        <v>4.8328617725242398E-2</v>
      </c>
      <c r="F626" t="s">
        <v>4911</v>
      </c>
      <c r="G626" s="1">
        <v>46224.771787731479</v>
      </c>
      <c r="H626" t="s">
        <v>593</v>
      </c>
      <c r="I626" s="1">
        <v>46224.771787812497</v>
      </c>
      <c r="J626" t="s">
        <v>593</v>
      </c>
    </row>
    <row r="627" spans="1:10" x14ac:dyDescent="0.35">
      <c r="A627" t="s">
        <v>546</v>
      </c>
      <c r="B627" t="s">
        <v>591</v>
      </c>
      <c r="C627" t="s">
        <v>592</v>
      </c>
      <c r="D627" s="1">
        <v>46224</v>
      </c>
      <c r="E627">
        <v>4.8544714168642901E-2</v>
      </c>
      <c r="F627" t="s">
        <v>4912</v>
      </c>
      <c r="G627" s="1">
        <v>46224.771787731479</v>
      </c>
      <c r="H627" t="s">
        <v>593</v>
      </c>
      <c r="I627" s="1">
        <v>46224.771787812497</v>
      </c>
      <c r="J627" t="s">
        <v>593</v>
      </c>
    </row>
    <row r="628" spans="1:10" x14ac:dyDescent="0.35">
      <c r="A628" t="s">
        <v>497</v>
      </c>
      <c r="B628" t="s">
        <v>591</v>
      </c>
      <c r="C628" t="s">
        <v>592</v>
      </c>
      <c r="D628" s="1">
        <v>46224</v>
      </c>
      <c r="E628">
        <v>4.8949688465557202E-2</v>
      </c>
      <c r="F628" t="s">
        <v>4913</v>
      </c>
      <c r="G628" s="1">
        <v>46224.771787731479</v>
      </c>
      <c r="H628" t="s">
        <v>593</v>
      </c>
      <c r="I628" s="1">
        <v>46224.771787812497</v>
      </c>
      <c r="J628" t="s">
        <v>593</v>
      </c>
    </row>
    <row r="629" spans="1:10" x14ac:dyDescent="0.35">
      <c r="A629" t="s">
        <v>529</v>
      </c>
      <c r="B629" t="s">
        <v>591</v>
      </c>
      <c r="C629" t="s">
        <v>592</v>
      </c>
      <c r="D629" s="1">
        <v>46224</v>
      </c>
      <c r="E629">
        <v>4.88450466008521E-2</v>
      </c>
      <c r="F629" t="s">
        <v>4914</v>
      </c>
      <c r="G629" s="1">
        <v>46224.771787731479</v>
      </c>
      <c r="H629" t="s">
        <v>593</v>
      </c>
      <c r="I629" s="1">
        <v>46224.771787812497</v>
      </c>
      <c r="J629" t="s">
        <v>593</v>
      </c>
    </row>
    <row r="630" spans="1:10" x14ac:dyDescent="0.35">
      <c r="A630" t="s">
        <v>498</v>
      </c>
      <c r="B630" t="s">
        <v>591</v>
      </c>
      <c r="C630" t="s">
        <v>592</v>
      </c>
      <c r="D630" s="1">
        <v>46224</v>
      </c>
      <c r="E630">
        <v>4.9322623649883997E-2</v>
      </c>
      <c r="F630" t="s">
        <v>4915</v>
      </c>
      <c r="G630" s="1">
        <v>46224.771787731479</v>
      </c>
      <c r="H630" t="s">
        <v>593</v>
      </c>
      <c r="I630" s="1">
        <v>46224.771787812497</v>
      </c>
      <c r="J630" t="s">
        <v>593</v>
      </c>
    </row>
    <row r="631" spans="1:10" x14ac:dyDescent="0.35">
      <c r="A631" t="s">
        <v>491</v>
      </c>
      <c r="B631" t="s">
        <v>591</v>
      </c>
      <c r="C631" t="s">
        <v>592</v>
      </c>
      <c r="D631" s="1">
        <v>46224</v>
      </c>
      <c r="E631">
        <v>4.94897032389814E-2</v>
      </c>
      <c r="F631" t="s">
        <v>4916</v>
      </c>
      <c r="G631" s="1">
        <v>46224.771787731479</v>
      </c>
      <c r="H631" t="s">
        <v>593</v>
      </c>
      <c r="I631" s="1">
        <v>46224.771787812497</v>
      </c>
      <c r="J631" t="s">
        <v>593</v>
      </c>
    </row>
    <row r="632" spans="1:10" x14ac:dyDescent="0.35">
      <c r="A632" t="s">
        <v>499</v>
      </c>
      <c r="B632" t="s">
        <v>591</v>
      </c>
      <c r="C632" t="s">
        <v>592</v>
      </c>
      <c r="D632" s="1">
        <v>46224</v>
      </c>
      <c r="E632">
        <v>4.9829329874856103E-2</v>
      </c>
      <c r="F632" t="s">
        <v>4917</v>
      </c>
      <c r="G632" s="1">
        <v>46224.771787731479</v>
      </c>
      <c r="H632" t="s">
        <v>593</v>
      </c>
      <c r="I632" s="1">
        <v>46224.771787812497</v>
      </c>
      <c r="J632" t="s">
        <v>593</v>
      </c>
    </row>
    <row r="633" spans="1:10" x14ac:dyDescent="0.35">
      <c r="A633" t="s">
        <v>534</v>
      </c>
      <c r="B633" t="s">
        <v>591</v>
      </c>
      <c r="C633" t="s">
        <v>592</v>
      </c>
      <c r="D633" s="1">
        <v>46224</v>
      </c>
      <c r="E633">
        <v>4.9754683485433299E-2</v>
      </c>
      <c r="F633" t="s">
        <v>4918</v>
      </c>
      <c r="G633" s="1">
        <v>46224.771787731479</v>
      </c>
      <c r="H633" t="s">
        <v>593</v>
      </c>
      <c r="I633" s="1">
        <v>46224.771787812497</v>
      </c>
      <c r="J633" t="s">
        <v>593</v>
      </c>
    </row>
    <row r="634" spans="1:10" x14ac:dyDescent="0.35">
      <c r="A634" t="s">
        <v>547</v>
      </c>
      <c r="B634" t="s">
        <v>591</v>
      </c>
      <c r="C634" t="s">
        <v>592</v>
      </c>
      <c r="D634" s="1">
        <v>46224</v>
      </c>
      <c r="E634">
        <v>5.00946711905935E-2</v>
      </c>
      <c r="F634" t="s">
        <v>4919</v>
      </c>
      <c r="G634" s="1">
        <v>46224.771787731479</v>
      </c>
      <c r="H634" t="s">
        <v>593</v>
      </c>
      <c r="I634" s="1">
        <v>46224.771787812497</v>
      </c>
      <c r="J634" t="s">
        <v>593</v>
      </c>
    </row>
    <row r="635" spans="1:10" x14ac:dyDescent="0.35">
      <c r="A635" t="s">
        <v>500</v>
      </c>
      <c r="B635" t="s">
        <v>591</v>
      </c>
      <c r="C635" t="s">
        <v>592</v>
      </c>
      <c r="D635" s="1">
        <v>46224</v>
      </c>
      <c r="E635">
        <v>5.0269708202734402E-2</v>
      </c>
      <c r="F635" t="s">
        <v>4920</v>
      </c>
      <c r="G635" s="1">
        <v>46224.771787731479</v>
      </c>
      <c r="H635" t="s">
        <v>593</v>
      </c>
      <c r="I635" s="1">
        <v>46224.771787812497</v>
      </c>
      <c r="J635" t="s">
        <v>593</v>
      </c>
    </row>
    <row r="636" spans="1:10" x14ac:dyDescent="0.35">
      <c r="A636" t="s">
        <v>548</v>
      </c>
      <c r="B636" t="s">
        <v>591</v>
      </c>
      <c r="C636" t="s">
        <v>592</v>
      </c>
      <c r="D636" s="1">
        <v>46224</v>
      </c>
      <c r="E636">
        <v>5.0494716856234301E-2</v>
      </c>
      <c r="F636" t="s">
        <v>4921</v>
      </c>
      <c r="G636" s="1">
        <v>46224.771787731479</v>
      </c>
      <c r="H636" t="s">
        <v>593</v>
      </c>
      <c r="I636" s="1">
        <v>46224.771787812497</v>
      </c>
      <c r="J636" t="s">
        <v>593</v>
      </c>
    </row>
    <row r="637" spans="1:10" x14ac:dyDescent="0.35">
      <c r="A637" t="s">
        <v>501</v>
      </c>
      <c r="B637" t="s">
        <v>591</v>
      </c>
      <c r="C637" t="s">
        <v>592</v>
      </c>
      <c r="D637" s="1">
        <v>46224</v>
      </c>
      <c r="E637">
        <v>5.0769526837359101E-2</v>
      </c>
      <c r="F637" t="s">
        <v>4922</v>
      </c>
      <c r="G637" s="1">
        <v>46224.771787731479</v>
      </c>
      <c r="H637" t="s">
        <v>593</v>
      </c>
      <c r="I637" s="1">
        <v>46224.771787812497</v>
      </c>
      <c r="J637" t="s">
        <v>593</v>
      </c>
    </row>
    <row r="638" spans="1:10" x14ac:dyDescent="0.35">
      <c r="A638" t="s">
        <v>524</v>
      </c>
      <c r="B638" t="s">
        <v>591</v>
      </c>
      <c r="C638" t="s">
        <v>592</v>
      </c>
      <c r="D638" s="1">
        <v>46224</v>
      </c>
      <c r="E638">
        <v>5.0979971202262601E-2</v>
      </c>
      <c r="F638" t="s">
        <v>4923</v>
      </c>
      <c r="G638" s="1">
        <v>46224.771787731479</v>
      </c>
      <c r="H638" t="s">
        <v>593</v>
      </c>
      <c r="I638" s="1">
        <v>46224.771787812497</v>
      </c>
      <c r="J638" t="s">
        <v>593</v>
      </c>
    </row>
    <row r="639" spans="1:10" x14ac:dyDescent="0.35">
      <c r="A639" t="s">
        <v>492</v>
      </c>
      <c r="B639" t="s">
        <v>591</v>
      </c>
      <c r="C639" t="s">
        <v>592</v>
      </c>
      <c r="D639" s="1">
        <v>46224</v>
      </c>
      <c r="E639">
        <v>5.12746739528347E-2</v>
      </c>
      <c r="F639" t="s">
        <v>4924</v>
      </c>
      <c r="G639" s="1">
        <v>46224.771787731479</v>
      </c>
      <c r="H639" t="s">
        <v>593</v>
      </c>
      <c r="I639" s="1">
        <v>46224.771787812497</v>
      </c>
      <c r="J639" t="s">
        <v>593</v>
      </c>
    </row>
    <row r="640" spans="1:10" x14ac:dyDescent="0.35">
      <c r="A640" t="s">
        <v>493</v>
      </c>
      <c r="B640" t="s">
        <v>591</v>
      </c>
      <c r="C640" t="s">
        <v>592</v>
      </c>
      <c r="D640" s="1">
        <v>46224</v>
      </c>
      <c r="E640">
        <v>5.1509650477362001E-2</v>
      </c>
      <c r="F640" t="s">
        <v>4925</v>
      </c>
      <c r="G640" s="1">
        <v>46224.771787731479</v>
      </c>
      <c r="H640" t="s">
        <v>593</v>
      </c>
      <c r="I640" s="1">
        <v>46224.771787812497</v>
      </c>
      <c r="J640" t="s">
        <v>593</v>
      </c>
    </row>
    <row r="641" spans="1:10" x14ac:dyDescent="0.35">
      <c r="A641" t="s">
        <v>513</v>
      </c>
      <c r="B641" t="s">
        <v>591</v>
      </c>
      <c r="C641" t="s">
        <v>592</v>
      </c>
      <c r="D641" s="1">
        <v>46224</v>
      </c>
      <c r="E641">
        <v>5.1719706269254997E-2</v>
      </c>
      <c r="F641" t="s">
        <v>4926</v>
      </c>
      <c r="G641" s="1">
        <v>46224.771787731479</v>
      </c>
      <c r="H641" t="s">
        <v>593</v>
      </c>
      <c r="I641" s="1">
        <v>46224.771787812497</v>
      </c>
      <c r="J641" t="s">
        <v>593</v>
      </c>
    </row>
    <row r="642" spans="1:10" x14ac:dyDescent="0.35">
      <c r="A642" t="s">
        <v>541</v>
      </c>
      <c r="B642" t="s">
        <v>591</v>
      </c>
      <c r="C642" t="s">
        <v>592</v>
      </c>
      <c r="D642" s="1">
        <v>46224</v>
      </c>
      <c r="E642">
        <v>5.38995448411752E-2</v>
      </c>
      <c r="F642" t="s">
        <v>4927</v>
      </c>
      <c r="G642" s="1">
        <v>46224.771787731479</v>
      </c>
      <c r="H642" t="s">
        <v>593</v>
      </c>
      <c r="I642" s="1">
        <v>46224.771787812497</v>
      </c>
      <c r="J642" t="s">
        <v>593</v>
      </c>
    </row>
    <row r="643" spans="1:10" x14ac:dyDescent="0.35">
      <c r="A643" t="s">
        <v>502</v>
      </c>
      <c r="B643" t="s">
        <v>591</v>
      </c>
      <c r="C643" t="s">
        <v>592</v>
      </c>
      <c r="D643" s="1">
        <v>46224</v>
      </c>
      <c r="E643">
        <v>5.19598614543395E-2</v>
      </c>
      <c r="F643" t="s">
        <v>4928</v>
      </c>
      <c r="G643" s="1">
        <v>46224.771787731479</v>
      </c>
      <c r="H643" t="s">
        <v>593</v>
      </c>
      <c r="I643" s="1">
        <v>46224.771787812497</v>
      </c>
      <c r="J643" t="s">
        <v>593</v>
      </c>
    </row>
    <row r="644" spans="1:10" x14ac:dyDescent="0.35">
      <c r="A644" t="s">
        <v>549</v>
      </c>
      <c r="B644" t="s">
        <v>591</v>
      </c>
      <c r="C644" t="s">
        <v>592</v>
      </c>
      <c r="D644" s="1">
        <v>46224</v>
      </c>
      <c r="E644">
        <v>5.20746159807755E-2</v>
      </c>
      <c r="F644" t="s">
        <v>4929</v>
      </c>
      <c r="G644" s="1">
        <v>46224.771787731479</v>
      </c>
      <c r="H644" t="s">
        <v>593</v>
      </c>
      <c r="I644" s="1">
        <v>46224.771787812497</v>
      </c>
      <c r="J644" t="s">
        <v>593</v>
      </c>
    </row>
    <row r="645" spans="1:10" x14ac:dyDescent="0.35">
      <c r="A645" t="s">
        <v>530</v>
      </c>
      <c r="B645" t="s">
        <v>591</v>
      </c>
      <c r="C645" t="s">
        <v>592</v>
      </c>
      <c r="D645" s="1">
        <v>46224</v>
      </c>
      <c r="E645">
        <v>5.2254676144320097E-2</v>
      </c>
      <c r="F645" t="s">
        <v>4930</v>
      </c>
      <c r="G645" s="1">
        <v>46224.771787731479</v>
      </c>
      <c r="H645" t="s">
        <v>593</v>
      </c>
      <c r="I645" s="1">
        <v>46224.771787812497</v>
      </c>
      <c r="J645" t="s">
        <v>593</v>
      </c>
    </row>
    <row r="646" spans="1:10" x14ac:dyDescent="0.35">
      <c r="A646" t="s">
        <v>550</v>
      </c>
      <c r="B646" t="s">
        <v>591</v>
      </c>
      <c r="C646" t="s">
        <v>592</v>
      </c>
      <c r="D646" s="1">
        <v>46224</v>
      </c>
      <c r="E646">
        <v>5.2449686884293599E-2</v>
      </c>
      <c r="F646" t="s">
        <v>4931</v>
      </c>
      <c r="G646" s="1">
        <v>46224.771787731479</v>
      </c>
      <c r="H646" t="s">
        <v>593</v>
      </c>
      <c r="I646" s="1">
        <v>46224.771787812497</v>
      </c>
      <c r="J646" t="s">
        <v>593</v>
      </c>
    </row>
    <row r="647" spans="1:10" x14ac:dyDescent="0.35">
      <c r="A647" t="s">
        <v>514</v>
      </c>
      <c r="B647" t="s">
        <v>591</v>
      </c>
      <c r="C647" t="s">
        <v>592</v>
      </c>
      <c r="D647" s="1">
        <v>46224</v>
      </c>
      <c r="E647">
        <v>5.2624665962627097E-2</v>
      </c>
      <c r="F647" t="s">
        <v>4932</v>
      </c>
      <c r="G647" s="1">
        <v>46224.771787731479</v>
      </c>
      <c r="H647" t="s">
        <v>593</v>
      </c>
      <c r="I647" s="1">
        <v>46224.771787812497</v>
      </c>
      <c r="J647" t="s">
        <v>593</v>
      </c>
    </row>
    <row r="648" spans="1:10" x14ac:dyDescent="0.35">
      <c r="A648" t="s">
        <v>551</v>
      </c>
      <c r="B648" t="s">
        <v>591</v>
      </c>
      <c r="C648" t="s">
        <v>592</v>
      </c>
      <c r="D648" s="1">
        <v>46224</v>
      </c>
      <c r="E648">
        <v>5.2794591449526099E-2</v>
      </c>
      <c r="F648" t="s">
        <v>4933</v>
      </c>
      <c r="G648" s="1">
        <v>46224.771787731479</v>
      </c>
      <c r="H648" t="s">
        <v>593</v>
      </c>
      <c r="I648" s="1">
        <v>46224.771787812497</v>
      </c>
      <c r="J648" t="s">
        <v>593</v>
      </c>
    </row>
    <row r="649" spans="1:10" x14ac:dyDescent="0.35">
      <c r="A649" t="s">
        <v>542</v>
      </c>
      <c r="B649" t="s">
        <v>591</v>
      </c>
      <c r="C649" t="s">
        <v>592</v>
      </c>
      <c r="D649" s="1">
        <v>46224</v>
      </c>
      <c r="E649">
        <v>5.2929603564096997E-2</v>
      </c>
      <c r="F649" t="s">
        <v>4934</v>
      </c>
      <c r="G649" s="1">
        <v>46224.771787731479</v>
      </c>
      <c r="H649" t="s">
        <v>593</v>
      </c>
      <c r="I649" s="1">
        <v>46224.771787812497</v>
      </c>
      <c r="J649" t="s">
        <v>593</v>
      </c>
    </row>
    <row r="650" spans="1:10" x14ac:dyDescent="0.35">
      <c r="A650" t="s">
        <v>552</v>
      </c>
      <c r="B650" t="s">
        <v>591</v>
      </c>
      <c r="C650" t="s">
        <v>592</v>
      </c>
      <c r="D650" s="1">
        <v>46224</v>
      </c>
      <c r="E650">
        <v>5.30445791681394E-2</v>
      </c>
      <c r="F650" t="s">
        <v>4935</v>
      </c>
      <c r="G650" s="1">
        <v>46224.771787731479</v>
      </c>
      <c r="H650" t="s">
        <v>593</v>
      </c>
      <c r="I650" s="1">
        <v>46224.771787812497</v>
      </c>
      <c r="J650" t="s">
        <v>593</v>
      </c>
    </row>
    <row r="651" spans="1:10" x14ac:dyDescent="0.35">
      <c r="A651" t="s">
        <v>535</v>
      </c>
      <c r="B651" t="s">
        <v>591</v>
      </c>
      <c r="C651" t="s">
        <v>592</v>
      </c>
      <c r="D651" s="1">
        <v>46224</v>
      </c>
      <c r="E651">
        <v>5.3184645594936901E-2</v>
      </c>
      <c r="F651" t="s">
        <v>4936</v>
      </c>
      <c r="G651" s="1">
        <v>46224.771787731479</v>
      </c>
      <c r="H651" t="s">
        <v>593</v>
      </c>
      <c r="I651" s="1">
        <v>46224.771787812497</v>
      </c>
      <c r="J651" t="s">
        <v>593</v>
      </c>
    </row>
    <row r="652" spans="1:10" x14ac:dyDescent="0.35">
      <c r="A652" t="s">
        <v>536</v>
      </c>
      <c r="B652" t="s">
        <v>591</v>
      </c>
      <c r="C652" t="s">
        <v>592</v>
      </c>
      <c r="D652" s="1">
        <v>46224</v>
      </c>
      <c r="E652">
        <v>5.3334640480832397E-2</v>
      </c>
      <c r="F652" t="s">
        <v>4937</v>
      </c>
      <c r="G652" s="1">
        <v>46224.771787731479</v>
      </c>
      <c r="H652" t="s">
        <v>593</v>
      </c>
      <c r="I652" s="1">
        <v>46224.771787812497</v>
      </c>
      <c r="J652" t="s">
        <v>593</v>
      </c>
    </row>
    <row r="653" spans="1:10" x14ac:dyDescent="0.35">
      <c r="A653" t="s">
        <v>537</v>
      </c>
      <c r="B653" t="s">
        <v>591</v>
      </c>
      <c r="C653" t="s">
        <v>592</v>
      </c>
      <c r="D653" s="1">
        <v>46224</v>
      </c>
      <c r="E653">
        <v>5.3469541056898502E-2</v>
      </c>
      <c r="F653" t="s">
        <v>4938</v>
      </c>
      <c r="G653" s="1">
        <v>46224.771787731479</v>
      </c>
      <c r="H653" t="s">
        <v>593</v>
      </c>
      <c r="I653" s="1">
        <v>46224.771787812497</v>
      </c>
      <c r="J653" t="s">
        <v>593</v>
      </c>
    </row>
    <row r="654" spans="1:10" x14ac:dyDescent="0.35">
      <c r="A654" t="s">
        <v>503</v>
      </c>
      <c r="B654" t="s">
        <v>591</v>
      </c>
      <c r="C654" t="s">
        <v>592</v>
      </c>
      <c r="D654" s="1">
        <v>46224</v>
      </c>
      <c r="E654">
        <v>5.35591171684697E-2</v>
      </c>
      <c r="F654" t="s">
        <v>4939</v>
      </c>
      <c r="G654" s="1">
        <v>46224.771787731479</v>
      </c>
      <c r="H654" t="s">
        <v>593</v>
      </c>
      <c r="I654" s="1">
        <v>46224.771787812497</v>
      </c>
      <c r="J654" t="s">
        <v>593</v>
      </c>
    </row>
    <row r="655" spans="1:10" x14ac:dyDescent="0.35">
      <c r="A655" t="s">
        <v>538</v>
      </c>
      <c r="B655" t="s">
        <v>591</v>
      </c>
      <c r="C655" t="s">
        <v>592</v>
      </c>
      <c r="D655" s="1">
        <v>46224</v>
      </c>
      <c r="E655">
        <v>5.3699606712618302E-2</v>
      </c>
      <c r="F655" t="s">
        <v>4940</v>
      </c>
      <c r="G655" s="1">
        <v>46224.771787731479</v>
      </c>
      <c r="H655" t="s">
        <v>593</v>
      </c>
      <c r="I655" s="1">
        <v>46224.771787812497</v>
      </c>
      <c r="J655" t="s">
        <v>593</v>
      </c>
    </row>
    <row r="656" spans="1:10" x14ac:dyDescent="0.35">
      <c r="A656" t="s">
        <v>543</v>
      </c>
      <c r="B656" t="s">
        <v>591</v>
      </c>
      <c r="C656" t="s">
        <v>592</v>
      </c>
      <c r="D656" s="1">
        <v>46224</v>
      </c>
      <c r="E656">
        <v>5.37396013237516E-2</v>
      </c>
      <c r="F656" t="s">
        <v>4941</v>
      </c>
      <c r="G656" s="1">
        <v>46224.771787731479</v>
      </c>
      <c r="H656" t="s">
        <v>593</v>
      </c>
      <c r="I656" s="1">
        <v>46224.771787812497</v>
      </c>
      <c r="J656" t="s">
        <v>593</v>
      </c>
    </row>
    <row r="657" spans="1:10" x14ac:dyDescent="0.35">
      <c r="A657" t="s">
        <v>539</v>
      </c>
      <c r="B657" t="s">
        <v>591</v>
      </c>
      <c r="C657" t="s">
        <v>592</v>
      </c>
      <c r="D657" s="1">
        <v>46224</v>
      </c>
      <c r="E657">
        <v>5.3854494087742399E-2</v>
      </c>
      <c r="F657" t="s">
        <v>4942</v>
      </c>
      <c r="G657" s="1">
        <v>46224.771787731479</v>
      </c>
      <c r="H657" t="s">
        <v>593</v>
      </c>
      <c r="I657" s="1">
        <v>46224.771787812497</v>
      </c>
      <c r="J657" t="s">
        <v>593</v>
      </c>
    </row>
    <row r="658" spans="1:10" x14ac:dyDescent="0.35">
      <c r="A658" t="s">
        <v>540</v>
      </c>
      <c r="B658" t="s">
        <v>591</v>
      </c>
      <c r="C658" t="s">
        <v>592</v>
      </c>
      <c r="D658" s="1">
        <v>46224</v>
      </c>
      <c r="E658">
        <v>5.3919363581978699E-2</v>
      </c>
      <c r="F658" t="s">
        <v>4943</v>
      </c>
      <c r="G658" s="1">
        <v>46224.771787731479</v>
      </c>
      <c r="H658" t="s">
        <v>593</v>
      </c>
      <c r="I658" s="1">
        <v>46224.771787812497</v>
      </c>
      <c r="J658" t="s">
        <v>593</v>
      </c>
    </row>
    <row r="659" spans="1:10" x14ac:dyDescent="0.35">
      <c r="A659" t="s">
        <v>544</v>
      </c>
      <c r="B659" t="s">
        <v>591</v>
      </c>
      <c r="C659" t="s">
        <v>592</v>
      </c>
      <c r="D659" s="1">
        <v>46224</v>
      </c>
      <c r="E659">
        <v>5.4019496083343201E-2</v>
      </c>
      <c r="F659" t="s">
        <v>4944</v>
      </c>
      <c r="G659" s="1">
        <v>46224.771787731479</v>
      </c>
      <c r="H659" t="s">
        <v>593</v>
      </c>
      <c r="I659" s="1">
        <v>46224.771787812497</v>
      </c>
      <c r="J659" t="s">
        <v>593</v>
      </c>
    </row>
    <row r="660" spans="1:10" x14ac:dyDescent="0.35">
      <c r="A660" t="s">
        <v>504</v>
      </c>
      <c r="B660" t="s">
        <v>591</v>
      </c>
      <c r="C660" t="s">
        <v>592</v>
      </c>
      <c r="D660" s="1">
        <v>46224</v>
      </c>
      <c r="E660">
        <v>5.4054420945130799E-2</v>
      </c>
      <c r="F660" t="s">
        <v>4945</v>
      </c>
      <c r="G660" s="1">
        <v>46224.771787731479</v>
      </c>
      <c r="H660" t="s">
        <v>593</v>
      </c>
      <c r="I660" s="1">
        <v>46224.771787812497</v>
      </c>
      <c r="J660" t="s">
        <v>593</v>
      </c>
    </row>
    <row r="661" spans="1:10" x14ac:dyDescent="0.35">
      <c r="A661" t="s">
        <v>505</v>
      </c>
      <c r="B661" t="s">
        <v>591</v>
      </c>
      <c r="C661" t="s">
        <v>592</v>
      </c>
      <c r="D661" s="1">
        <v>46224</v>
      </c>
      <c r="E661">
        <v>5.4099483043279203E-2</v>
      </c>
      <c r="F661" t="s">
        <v>4946</v>
      </c>
      <c r="G661" s="1">
        <v>46224.771787731479</v>
      </c>
      <c r="H661" t="s">
        <v>593</v>
      </c>
      <c r="I661" s="1">
        <v>46224.771787812497</v>
      </c>
      <c r="J661" t="s">
        <v>593</v>
      </c>
    </row>
    <row r="662" spans="1:10" x14ac:dyDescent="0.35">
      <c r="A662" t="s">
        <v>515</v>
      </c>
      <c r="B662" t="s">
        <v>591</v>
      </c>
      <c r="C662" t="s">
        <v>592</v>
      </c>
      <c r="D662" s="1">
        <v>46224</v>
      </c>
      <c r="E662">
        <v>5.4084667414323703E-2</v>
      </c>
      <c r="F662" t="s">
        <v>4947</v>
      </c>
      <c r="G662" s="1">
        <v>46224.771787731479</v>
      </c>
      <c r="H662" t="s">
        <v>593</v>
      </c>
      <c r="I662" s="1">
        <v>46224.771787812497</v>
      </c>
      <c r="J662" t="s">
        <v>593</v>
      </c>
    </row>
    <row r="663" spans="1:10" x14ac:dyDescent="0.35">
      <c r="A663" t="s">
        <v>506</v>
      </c>
      <c r="B663" t="s">
        <v>591</v>
      </c>
      <c r="C663" t="s">
        <v>592</v>
      </c>
      <c r="D663" s="1">
        <v>46224</v>
      </c>
      <c r="E663">
        <v>5.4074493120094699E-2</v>
      </c>
      <c r="F663" t="s">
        <v>4948</v>
      </c>
      <c r="G663" s="1">
        <v>46224.771787731479</v>
      </c>
      <c r="H663" t="s">
        <v>593</v>
      </c>
      <c r="I663" s="1">
        <v>46224.771787812497</v>
      </c>
      <c r="J663" t="s">
        <v>593</v>
      </c>
    </row>
    <row r="664" spans="1:10" x14ac:dyDescent="0.35">
      <c r="A664" t="s">
        <v>507</v>
      </c>
      <c r="B664" t="s">
        <v>591</v>
      </c>
      <c r="C664" t="s">
        <v>592</v>
      </c>
      <c r="D664" s="1">
        <v>46224</v>
      </c>
      <c r="E664">
        <v>5.4084486994083698E-2</v>
      </c>
      <c r="F664" t="s">
        <v>4949</v>
      </c>
      <c r="G664" s="1">
        <v>46224.771787731479</v>
      </c>
      <c r="H664" t="s">
        <v>593</v>
      </c>
      <c r="I664" s="1">
        <v>46224.771787812497</v>
      </c>
      <c r="J664" t="s">
        <v>593</v>
      </c>
    </row>
    <row r="665" spans="1:10" x14ac:dyDescent="0.35">
      <c r="A665" t="s">
        <v>604</v>
      </c>
      <c r="B665" t="s">
        <v>591</v>
      </c>
      <c r="C665" t="s">
        <v>592</v>
      </c>
      <c r="D665" s="1">
        <v>46224</v>
      </c>
      <c r="E665">
        <v>3.7743438813809399E-2</v>
      </c>
      <c r="F665" t="s">
        <v>4950</v>
      </c>
      <c r="G665" s="1">
        <v>46224.771787731479</v>
      </c>
      <c r="H665" t="s">
        <v>593</v>
      </c>
      <c r="I665" s="1">
        <v>46224.771787812497</v>
      </c>
      <c r="J665" t="s">
        <v>593</v>
      </c>
    </row>
    <row r="666" spans="1:10" x14ac:dyDescent="0.35">
      <c r="A666" t="s">
        <v>605</v>
      </c>
      <c r="B666" t="s">
        <v>591</v>
      </c>
      <c r="C666" t="s">
        <v>592</v>
      </c>
      <c r="D666" s="1">
        <v>46224</v>
      </c>
      <c r="E666">
        <v>2.6144989313219399E-2</v>
      </c>
      <c r="F666" t="s">
        <v>4951</v>
      </c>
      <c r="G666" s="1">
        <v>46224.771787731479</v>
      </c>
      <c r="H666" t="s">
        <v>593</v>
      </c>
      <c r="I666" s="1">
        <v>46224.771787812497</v>
      </c>
      <c r="J666" t="s">
        <v>593</v>
      </c>
    </row>
    <row r="667" spans="1:10" x14ac:dyDescent="0.35">
      <c r="A667" t="s">
        <v>606</v>
      </c>
      <c r="B667" t="s">
        <v>591</v>
      </c>
      <c r="C667" t="s">
        <v>592</v>
      </c>
      <c r="D667" s="1">
        <v>46224</v>
      </c>
      <c r="E667">
        <v>2.8061155699028201E-2</v>
      </c>
      <c r="F667" t="s">
        <v>4952</v>
      </c>
      <c r="G667" s="1">
        <v>46224.771787731479</v>
      </c>
      <c r="H667" t="s">
        <v>593</v>
      </c>
      <c r="I667" s="1">
        <v>46224.771787812497</v>
      </c>
      <c r="J667" t="s">
        <v>593</v>
      </c>
    </row>
    <row r="668" spans="1:10" x14ac:dyDescent="0.35">
      <c r="A668" t="s">
        <v>607</v>
      </c>
      <c r="B668" t="s">
        <v>591</v>
      </c>
      <c r="C668" t="s">
        <v>592</v>
      </c>
      <c r="D668" s="1">
        <v>46224</v>
      </c>
      <c r="E668">
        <v>2.94360918671609E-2</v>
      </c>
      <c r="F668" t="s">
        <v>4953</v>
      </c>
      <c r="G668" s="1">
        <v>46224.771787731479</v>
      </c>
      <c r="H668" t="s">
        <v>593</v>
      </c>
      <c r="I668" s="1">
        <v>46224.771787812497</v>
      </c>
      <c r="J668" t="s">
        <v>593</v>
      </c>
    </row>
    <row r="669" spans="1:10" x14ac:dyDescent="0.35">
      <c r="A669" t="s">
        <v>608</v>
      </c>
      <c r="B669" t="s">
        <v>591</v>
      </c>
      <c r="C669" t="s">
        <v>592</v>
      </c>
      <c r="D669" s="1">
        <v>46224</v>
      </c>
      <c r="E669">
        <v>3.9050389610496901E-2</v>
      </c>
      <c r="F669" t="s">
        <v>4954</v>
      </c>
      <c r="G669" s="1">
        <v>46224.771787731479</v>
      </c>
      <c r="H669" t="s">
        <v>593</v>
      </c>
      <c r="I669" s="1">
        <v>46224.771787812497</v>
      </c>
      <c r="J669" t="s">
        <v>593</v>
      </c>
    </row>
    <row r="670" spans="1:10" x14ac:dyDescent="0.35">
      <c r="A670" t="s">
        <v>609</v>
      </c>
      <c r="B670" t="s">
        <v>591</v>
      </c>
      <c r="C670" t="s">
        <v>592</v>
      </c>
      <c r="D670" s="1">
        <v>46224</v>
      </c>
      <c r="E670">
        <v>3.6872484575531099E-2</v>
      </c>
      <c r="F670" t="s">
        <v>4955</v>
      </c>
      <c r="G670" s="1">
        <v>46224.771787731479</v>
      </c>
      <c r="H670" t="s">
        <v>593</v>
      </c>
      <c r="I670" s="1">
        <v>46224.771787812497</v>
      </c>
      <c r="J670" t="s">
        <v>593</v>
      </c>
    </row>
    <row r="671" spans="1:10" x14ac:dyDescent="0.35">
      <c r="A671" t="s">
        <v>610</v>
      </c>
      <c r="B671" t="s">
        <v>591</v>
      </c>
      <c r="C671" t="s">
        <v>592</v>
      </c>
      <c r="D671" s="1">
        <v>46224</v>
      </c>
      <c r="E671">
        <v>3.0085973172096998E-2</v>
      </c>
      <c r="F671" t="s">
        <v>4956</v>
      </c>
      <c r="G671" s="1">
        <v>46224.771787731479</v>
      </c>
      <c r="H671" t="s">
        <v>593</v>
      </c>
      <c r="I671" s="1">
        <v>46224.771787812497</v>
      </c>
      <c r="J671" t="s">
        <v>593</v>
      </c>
    </row>
    <row r="672" spans="1:10" x14ac:dyDescent="0.35">
      <c r="A672" t="s">
        <v>611</v>
      </c>
      <c r="B672" t="s">
        <v>591</v>
      </c>
      <c r="C672" t="s">
        <v>592</v>
      </c>
      <c r="D672" s="1">
        <v>46224</v>
      </c>
      <c r="E672">
        <v>3.4314668055618301E-2</v>
      </c>
      <c r="F672" t="s">
        <v>4957</v>
      </c>
      <c r="G672" s="1">
        <v>46224.771787731479</v>
      </c>
      <c r="H672" t="s">
        <v>593</v>
      </c>
      <c r="I672" s="1">
        <v>46224.771787812497</v>
      </c>
      <c r="J672" t="s">
        <v>593</v>
      </c>
    </row>
    <row r="673" spans="1:10" x14ac:dyDescent="0.35">
      <c r="A673" t="s">
        <v>612</v>
      </c>
      <c r="B673" t="s">
        <v>591</v>
      </c>
      <c r="C673" t="s">
        <v>592</v>
      </c>
      <c r="D673" s="1">
        <v>46224</v>
      </c>
      <c r="E673">
        <v>3.10048259625023E-2</v>
      </c>
      <c r="F673" t="s">
        <v>4958</v>
      </c>
      <c r="G673" s="1">
        <v>46224.771787731479</v>
      </c>
      <c r="H673" t="s">
        <v>593</v>
      </c>
      <c r="I673" s="1">
        <v>46224.771787812497</v>
      </c>
      <c r="J673" t="s">
        <v>593</v>
      </c>
    </row>
    <row r="674" spans="1:10" x14ac:dyDescent="0.35">
      <c r="A674" t="s">
        <v>613</v>
      </c>
      <c r="B674" t="s">
        <v>591</v>
      </c>
      <c r="C674" t="s">
        <v>592</v>
      </c>
      <c r="D674" s="1">
        <v>46224</v>
      </c>
      <c r="E674">
        <v>3.8617484126000502E-2</v>
      </c>
      <c r="F674" t="s">
        <v>4959</v>
      </c>
      <c r="G674" s="1">
        <v>46224.771787731479</v>
      </c>
      <c r="H674" t="s">
        <v>593</v>
      </c>
      <c r="I674" s="1">
        <v>46224.771787812497</v>
      </c>
      <c r="J674" t="s">
        <v>593</v>
      </c>
    </row>
    <row r="675" spans="1:10" x14ac:dyDescent="0.35">
      <c r="A675" t="s">
        <v>614</v>
      </c>
      <c r="B675" t="s">
        <v>591</v>
      </c>
      <c r="C675" t="s">
        <v>592</v>
      </c>
      <c r="D675" s="1">
        <v>46224</v>
      </c>
      <c r="E675">
        <v>3.1763224397849801E-2</v>
      </c>
      <c r="F675" t="s">
        <v>4960</v>
      </c>
      <c r="G675" s="1">
        <v>46224.771787731479</v>
      </c>
      <c r="H675" t="s">
        <v>593</v>
      </c>
      <c r="I675" s="1">
        <v>46224.771787812497</v>
      </c>
      <c r="J675" t="s">
        <v>593</v>
      </c>
    </row>
    <row r="676" spans="1:10" x14ac:dyDescent="0.35">
      <c r="A676" t="s">
        <v>615</v>
      </c>
      <c r="B676" t="s">
        <v>591</v>
      </c>
      <c r="C676" t="s">
        <v>592</v>
      </c>
      <c r="D676" s="1">
        <v>46224</v>
      </c>
      <c r="E676">
        <v>3.9128635527912403E-2</v>
      </c>
      <c r="F676" t="s">
        <v>4961</v>
      </c>
      <c r="G676" s="1">
        <v>46224.771787731479</v>
      </c>
      <c r="H676" t="s">
        <v>593</v>
      </c>
      <c r="I676" s="1">
        <v>46224.771787812497</v>
      </c>
      <c r="J676" t="s">
        <v>593</v>
      </c>
    </row>
    <row r="677" spans="1:10" x14ac:dyDescent="0.35">
      <c r="A677" t="s">
        <v>616</v>
      </c>
      <c r="B677" t="s">
        <v>591</v>
      </c>
      <c r="C677" t="s">
        <v>592</v>
      </c>
      <c r="D677" s="1">
        <v>46224</v>
      </c>
      <c r="E677">
        <v>2.9899402526099399E-2</v>
      </c>
      <c r="F677" t="s">
        <v>4962</v>
      </c>
      <c r="G677" s="1">
        <v>46224.771787731479</v>
      </c>
      <c r="H677" t="s">
        <v>593</v>
      </c>
      <c r="I677" s="1">
        <v>46224.771787812497</v>
      </c>
      <c r="J677" t="s">
        <v>593</v>
      </c>
    </row>
    <row r="678" spans="1:10" x14ac:dyDescent="0.35">
      <c r="A678" t="s">
        <v>617</v>
      </c>
      <c r="B678" t="s">
        <v>591</v>
      </c>
      <c r="C678" t="s">
        <v>592</v>
      </c>
      <c r="D678" s="1">
        <v>46224</v>
      </c>
      <c r="E678">
        <v>3.2501637408372502E-2</v>
      </c>
      <c r="F678" t="s">
        <v>4963</v>
      </c>
      <c r="G678" s="1">
        <v>46224.771787731479</v>
      </c>
      <c r="H678" t="s">
        <v>593</v>
      </c>
      <c r="I678" s="1">
        <v>46224.771787812497</v>
      </c>
      <c r="J678" t="s">
        <v>593</v>
      </c>
    </row>
    <row r="679" spans="1:10" x14ac:dyDescent="0.35">
      <c r="A679" t="s">
        <v>618</v>
      </c>
      <c r="B679" t="s">
        <v>591</v>
      </c>
      <c r="C679" t="s">
        <v>592</v>
      </c>
      <c r="D679" s="1">
        <v>46224</v>
      </c>
      <c r="E679">
        <v>3.5890708802855498E-2</v>
      </c>
      <c r="F679" t="s">
        <v>4964</v>
      </c>
      <c r="G679" s="1">
        <v>46224.771787731479</v>
      </c>
      <c r="H679" t="s">
        <v>593</v>
      </c>
      <c r="I679" s="1">
        <v>46224.771787812497</v>
      </c>
      <c r="J679" t="s">
        <v>593</v>
      </c>
    </row>
    <row r="680" spans="1:10" x14ac:dyDescent="0.35">
      <c r="A680" t="s">
        <v>619</v>
      </c>
      <c r="B680" t="s">
        <v>591</v>
      </c>
      <c r="C680" t="s">
        <v>592</v>
      </c>
      <c r="D680" s="1">
        <v>46224</v>
      </c>
      <c r="E680">
        <v>2.9210678479547399E-2</v>
      </c>
      <c r="F680" t="s">
        <v>4965</v>
      </c>
      <c r="G680" s="1">
        <v>46224.771787731479</v>
      </c>
      <c r="H680" t="s">
        <v>593</v>
      </c>
      <c r="I680" s="1">
        <v>46224.771787812497</v>
      </c>
      <c r="J680" t="s">
        <v>593</v>
      </c>
    </row>
    <row r="681" spans="1:10" x14ac:dyDescent="0.35">
      <c r="A681" t="s">
        <v>620</v>
      </c>
      <c r="B681" t="s">
        <v>591</v>
      </c>
      <c r="C681" t="s">
        <v>592</v>
      </c>
      <c r="D681" s="1">
        <v>46224</v>
      </c>
      <c r="E681">
        <v>4.6664999999999998E-2</v>
      </c>
      <c r="F681" t="s">
        <v>5590</v>
      </c>
      <c r="G681" s="1">
        <v>46224.775779895834</v>
      </c>
      <c r="H681" t="s">
        <v>593</v>
      </c>
      <c r="I681" s="1">
        <v>46224.775779895834</v>
      </c>
      <c r="J681" t="s">
        <v>593</v>
      </c>
    </row>
    <row r="682" spans="1:10" x14ac:dyDescent="0.35">
      <c r="A682" t="s">
        <v>621</v>
      </c>
      <c r="B682" t="s">
        <v>591</v>
      </c>
      <c r="C682" t="s">
        <v>592</v>
      </c>
      <c r="D682" s="1">
        <v>46224</v>
      </c>
      <c r="E682">
        <v>4.6207999999999999E-2</v>
      </c>
      <c r="F682" t="s">
        <v>5591</v>
      </c>
      <c r="G682" s="1">
        <v>46224.775780057869</v>
      </c>
      <c r="H682" t="s">
        <v>593</v>
      </c>
      <c r="I682" s="1">
        <v>46224.775780057869</v>
      </c>
      <c r="J682" t="s">
        <v>593</v>
      </c>
    </row>
    <row r="683" spans="1:10" x14ac:dyDescent="0.35">
      <c r="A683" t="s">
        <v>622</v>
      </c>
      <c r="B683" t="s">
        <v>591</v>
      </c>
      <c r="C683" t="s">
        <v>592</v>
      </c>
      <c r="D683" s="1">
        <v>46224</v>
      </c>
      <c r="E683">
        <v>4.4506999999999998E-2</v>
      </c>
      <c r="F683" t="s">
        <v>5592</v>
      </c>
      <c r="G683" s="1">
        <v>46224.775780208336</v>
      </c>
      <c r="H683" t="s">
        <v>593</v>
      </c>
      <c r="I683" s="1">
        <v>46224.775780243057</v>
      </c>
      <c r="J683" t="s">
        <v>593</v>
      </c>
    </row>
    <row r="684" spans="1:10" x14ac:dyDescent="0.35">
      <c r="A684" t="s">
        <v>623</v>
      </c>
      <c r="B684" t="s">
        <v>591</v>
      </c>
      <c r="C684" t="s">
        <v>592</v>
      </c>
      <c r="D684" s="1">
        <v>46224</v>
      </c>
      <c r="E684">
        <v>4.7155500000000003E-2</v>
      </c>
      <c r="F684" t="s">
        <v>5593</v>
      </c>
      <c r="G684" s="1">
        <v>46224.775780405093</v>
      </c>
      <c r="H684" t="s">
        <v>593</v>
      </c>
      <c r="I684" s="1">
        <v>46224.775780405093</v>
      </c>
      <c r="J684" t="s">
        <v>593</v>
      </c>
    </row>
    <row r="685" spans="1:10" x14ac:dyDescent="0.35">
      <c r="A685" t="s">
        <v>624</v>
      </c>
      <c r="B685" t="s">
        <v>591</v>
      </c>
      <c r="C685" t="s">
        <v>592</v>
      </c>
      <c r="D685" s="1">
        <v>46224</v>
      </c>
      <c r="E685">
        <v>4.7907499999999999E-2</v>
      </c>
      <c r="F685" t="s">
        <v>5594</v>
      </c>
      <c r="G685" s="1">
        <v>46224.775780555552</v>
      </c>
      <c r="H685" t="s">
        <v>593</v>
      </c>
      <c r="I685" s="1">
        <v>46224.775780405093</v>
      </c>
      <c r="J685" t="s">
        <v>593</v>
      </c>
    </row>
    <row r="686" spans="1:10" x14ac:dyDescent="0.35">
      <c r="A686" t="s">
        <v>625</v>
      </c>
      <c r="B686" t="s">
        <v>591</v>
      </c>
      <c r="C686" t="s">
        <v>592</v>
      </c>
      <c r="D686" s="1">
        <v>46224</v>
      </c>
      <c r="E686">
        <v>4.8765500000000003E-2</v>
      </c>
      <c r="F686" t="s">
        <v>5595</v>
      </c>
      <c r="G686" s="1">
        <v>46224.775780706019</v>
      </c>
      <c r="H686" t="s">
        <v>593</v>
      </c>
      <c r="I686" s="1">
        <v>46224.77578059028</v>
      </c>
      <c r="J686" t="s">
        <v>593</v>
      </c>
    </row>
    <row r="687" spans="1:10" x14ac:dyDescent="0.35">
      <c r="A687" t="s">
        <v>626</v>
      </c>
      <c r="B687" t="s">
        <v>591</v>
      </c>
      <c r="C687" t="s">
        <v>592</v>
      </c>
      <c r="D687" s="1">
        <v>46224</v>
      </c>
      <c r="E687">
        <v>4.9339500000000001E-2</v>
      </c>
      <c r="F687" t="s">
        <v>5596</v>
      </c>
      <c r="G687" s="1">
        <v>46224.775780868054</v>
      </c>
      <c r="H687" t="s">
        <v>593</v>
      </c>
      <c r="I687" s="1">
        <v>46224.775780787037</v>
      </c>
      <c r="J687" t="s">
        <v>593</v>
      </c>
    </row>
    <row r="688" spans="1:10" x14ac:dyDescent="0.35">
      <c r="A688" t="s">
        <v>627</v>
      </c>
      <c r="B688" t="s">
        <v>591</v>
      </c>
      <c r="C688" t="s">
        <v>592</v>
      </c>
      <c r="D688" s="1">
        <v>46224</v>
      </c>
      <c r="E688">
        <v>2.5642499999999999E-2</v>
      </c>
      <c r="F688" t="s">
        <v>5597</v>
      </c>
      <c r="G688" s="1">
        <v>46224.775781018521</v>
      </c>
      <c r="H688" t="s">
        <v>593</v>
      </c>
      <c r="I688" s="1">
        <v>46224.775780983793</v>
      </c>
      <c r="J688" t="s">
        <v>593</v>
      </c>
    </row>
    <row r="689" spans="1:10" x14ac:dyDescent="0.35">
      <c r="A689" t="s">
        <v>628</v>
      </c>
      <c r="B689" t="s">
        <v>591</v>
      </c>
      <c r="C689" t="s">
        <v>592</v>
      </c>
      <c r="D689" s="1">
        <v>46224</v>
      </c>
      <c r="E689">
        <v>4.7403500000000001E-2</v>
      </c>
      <c r="F689" t="s">
        <v>5598</v>
      </c>
      <c r="G689" s="1">
        <v>46224.77578113426</v>
      </c>
      <c r="H689" t="s">
        <v>593</v>
      </c>
      <c r="I689" s="1">
        <v>46224.77578113426</v>
      </c>
      <c r="J689" t="s">
        <v>593</v>
      </c>
    </row>
    <row r="690" spans="1:10" x14ac:dyDescent="0.35">
      <c r="A690" t="s">
        <v>629</v>
      </c>
      <c r="B690" t="s">
        <v>591</v>
      </c>
      <c r="C690" t="s">
        <v>592</v>
      </c>
      <c r="D690" s="1">
        <v>46224</v>
      </c>
      <c r="E690">
        <v>4.9154999999999997E-2</v>
      </c>
      <c r="F690" t="s">
        <v>5599</v>
      </c>
      <c r="G690" s="1">
        <v>46224.775781249999</v>
      </c>
      <c r="H690" t="s">
        <v>593</v>
      </c>
      <c r="I690" s="1">
        <v>46224.775781331016</v>
      </c>
      <c r="J690" t="s">
        <v>593</v>
      </c>
    </row>
    <row r="691" spans="1:10" x14ac:dyDescent="0.35">
      <c r="A691" t="s">
        <v>630</v>
      </c>
      <c r="B691" t="s">
        <v>591</v>
      </c>
      <c r="C691" t="s">
        <v>592</v>
      </c>
      <c r="D691" s="1">
        <v>46224</v>
      </c>
      <c r="E691">
        <v>2.8819500000000001E-2</v>
      </c>
      <c r="F691" t="s">
        <v>5600</v>
      </c>
      <c r="G691" s="1">
        <v>46224.775781400465</v>
      </c>
      <c r="H691" t="s">
        <v>593</v>
      </c>
      <c r="I691" s="1">
        <v>46224.775781516204</v>
      </c>
      <c r="J691" t="s">
        <v>593</v>
      </c>
    </row>
    <row r="692" spans="1:10" x14ac:dyDescent="0.35">
      <c r="A692" t="s">
        <v>631</v>
      </c>
      <c r="B692" t="s">
        <v>591</v>
      </c>
      <c r="C692" t="s">
        <v>592</v>
      </c>
      <c r="D692" s="1">
        <v>46224</v>
      </c>
      <c r="E692">
        <v>4.5825499999999998E-2</v>
      </c>
      <c r="F692" t="s">
        <v>5601</v>
      </c>
      <c r="G692" s="1">
        <v>46224.775781597222</v>
      </c>
      <c r="H692" t="s">
        <v>593</v>
      </c>
      <c r="I692" s="1">
        <v>46224.775781516204</v>
      </c>
      <c r="J692" t="s">
        <v>593</v>
      </c>
    </row>
    <row r="693" spans="1:10" x14ac:dyDescent="0.35">
      <c r="A693" t="s">
        <v>632</v>
      </c>
      <c r="B693" t="s">
        <v>591</v>
      </c>
      <c r="C693" t="s">
        <v>592</v>
      </c>
      <c r="D693" s="1">
        <v>46224</v>
      </c>
      <c r="E693">
        <v>4.5514499999999999E-2</v>
      </c>
      <c r="F693" t="s">
        <v>5602</v>
      </c>
      <c r="G693" s="1">
        <v>46224.775781793978</v>
      </c>
      <c r="H693" t="s">
        <v>593</v>
      </c>
      <c r="I693" s="1">
        <v>46224.775781863427</v>
      </c>
      <c r="J693" t="s">
        <v>593</v>
      </c>
    </row>
    <row r="694" spans="1:10" x14ac:dyDescent="0.35">
      <c r="A694" t="s">
        <v>633</v>
      </c>
      <c r="B694" t="s">
        <v>591</v>
      </c>
      <c r="C694" t="s">
        <v>592</v>
      </c>
      <c r="D694" s="1">
        <v>46224</v>
      </c>
      <c r="E694">
        <v>5.3905000000000002E-2</v>
      </c>
      <c r="F694" t="s">
        <v>5603</v>
      </c>
      <c r="G694" s="1">
        <v>46224.775781944445</v>
      </c>
      <c r="H694" t="s">
        <v>593</v>
      </c>
      <c r="I694" s="1">
        <v>46224.775781863427</v>
      </c>
      <c r="J694" t="s">
        <v>593</v>
      </c>
    </row>
    <row r="695" spans="1:10" x14ac:dyDescent="0.35">
      <c r="A695" t="s">
        <v>634</v>
      </c>
      <c r="B695" t="s">
        <v>591</v>
      </c>
      <c r="C695" t="s">
        <v>592</v>
      </c>
      <c r="D695" s="1">
        <v>46224</v>
      </c>
      <c r="E695">
        <v>4.5356E-2</v>
      </c>
      <c r="F695" t="s">
        <v>5604</v>
      </c>
      <c r="G695" s="1">
        <v>46224.775782094905</v>
      </c>
      <c r="H695" t="s">
        <v>593</v>
      </c>
      <c r="I695" s="1">
        <v>46224.775782060184</v>
      </c>
      <c r="J695" t="s">
        <v>593</v>
      </c>
    </row>
    <row r="696" spans="1:10" x14ac:dyDescent="0.35">
      <c r="A696" t="s">
        <v>635</v>
      </c>
      <c r="B696" t="s">
        <v>591</v>
      </c>
      <c r="C696" t="s">
        <v>592</v>
      </c>
      <c r="D696" s="1">
        <v>46224</v>
      </c>
      <c r="E696">
        <v>4.5558500000000002E-2</v>
      </c>
      <c r="F696" t="s">
        <v>5605</v>
      </c>
      <c r="G696" s="1">
        <v>46224.775782256947</v>
      </c>
      <c r="H696" t="s">
        <v>593</v>
      </c>
      <c r="I696" s="1">
        <v>46224.775782256947</v>
      </c>
      <c r="J696" t="s">
        <v>593</v>
      </c>
    </row>
    <row r="697" spans="1:10" x14ac:dyDescent="0.35">
      <c r="A697" t="s">
        <v>636</v>
      </c>
      <c r="B697" t="s">
        <v>591</v>
      </c>
      <c r="C697" t="s">
        <v>592</v>
      </c>
      <c r="D697" s="1">
        <v>46224</v>
      </c>
      <c r="E697">
        <v>4.5367999999999999E-2</v>
      </c>
      <c r="F697" t="s">
        <v>5606</v>
      </c>
      <c r="G697" s="1">
        <v>46224.775782407407</v>
      </c>
      <c r="H697" t="s">
        <v>593</v>
      </c>
      <c r="I697" s="1">
        <v>46224.775782407407</v>
      </c>
      <c r="J697" t="s">
        <v>593</v>
      </c>
    </row>
    <row r="698" spans="1:10" x14ac:dyDescent="0.35">
      <c r="A698" t="s">
        <v>637</v>
      </c>
      <c r="B698" t="s">
        <v>591</v>
      </c>
      <c r="C698" t="s">
        <v>592</v>
      </c>
      <c r="D698" s="1">
        <v>46224</v>
      </c>
      <c r="E698">
        <v>5.0019000000000001E-2</v>
      </c>
      <c r="F698" t="s">
        <v>5607</v>
      </c>
      <c r="G698" s="1">
        <v>46224.775782557874</v>
      </c>
      <c r="H698" t="s">
        <v>593</v>
      </c>
      <c r="I698" s="1">
        <v>46224.775782604163</v>
      </c>
      <c r="J698" t="s">
        <v>593</v>
      </c>
    </row>
    <row r="699" spans="1:10" x14ac:dyDescent="0.35">
      <c r="A699" t="s">
        <v>638</v>
      </c>
      <c r="B699" t="s">
        <v>591</v>
      </c>
      <c r="C699" t="s">
        <v>592</v>
      </c>
      <c r="D699" s="1">
        <v>46224</v>
      </c>
      <c r="E699">
        <v>2.82860082442477E-2</v>
      </c>
      <c r="F699" t="s">
        <v>4966</v>
      </c>
      <c r="G699" s="1">
        <v>46224.771787731479</v>
      </c>
      <c r="H699" t="s">
        <v>593</v>
      </c>
      <c r="I699" s="1">
        <v>46224.771787812497</v>
      </c>
      <c r="J699" t="s">
        <v>593</v>
      </c>
    </row>
    <row r="700" spans="1:10" x14ac:dyDescent="0.35">
      <c r="A700" t="s">
        <v>639</v>
      </c>
      <c r="B700" t="s">
        <v>591</v>
      </c>
      <c r="C700" t="s">
        <v>592</v>
      </c>
      <c r="D700" s="1">
        <v>46224</v>
      </c>
      <c r="E700">
        <v>3.5643283790194602E-2</v>
      </c>
      <c r="F700" t="s">
        <v>4967</v>
      </c>
      <c r="G700" s="1">
        <v>46224.771787731479</v>
      </c>
      <c r="H700" t="s">
        <v>593</v>
      </c>
      <c r="I700" s="1">
        <v>46224.771787812497</v>
      </c>
      <c r="J700" t="s">
        <v>593</v>
      </c>
    </row>
    <row r="701" spans="1:10" x14ac:dyDescent="0.35">
      <c r="A701" t="s">
        <v>640</v>
      </c>
      <c r="B701" t="s">
        <v>591</v>
      </c>
      <c r="C701" t="s">
        <v>592</v>
      </c>
      <c r="D701" s="1">
        <v>46224</v>
      </c>
      <c r="E701">
        <v>4.0546334537206102E-2</v>
      </c>
      <c r="F701" t="s">
        <v>4968</v>
      </c>
      <c r="G701" s="1">
        <v>46224.771787731479</v>
      </c>
      <c r="H701" t="s">
        <v>593</v>
      </c>
      <c r="I701" s="1">
        <v>46224.771787812497</v>
      </c>
      <c r="J701" t="s">
        <v>593</v>
      </c>
    </row>
    <row r="702" spans="1:10" x14ac:dyDescent="0.35">
      <c r="A702" t="s">
        <v>641</v>
      </c>
      <c r="B702" t="s">
        <v>591</v>
      </c>
      <c r="C702" t="s">
        <v>592</v>
      </c>
      <c r="D702" s="1">
        <v>46224</v>
      </c>
      <c r="E702">
        <v>3.22419128683505E-2</v>
      </c>
      <c r="F702" t="s">
        <v>4969</v>
      </c>
      <c r="G702" s="1">
        <v>46224.771787731479</v>
      </c>
      <c r="H702" t="s">
        <v>593</v>
      </c>
      <c r="I702" s="1">
        <v>46224.771787812497</v>
      </c>
      <c r="J702" t="s">
        <v>593</v>
      </c>
    </row>
    <row r="703" spans="1:10" x14ac:dyDescent="0.35">
      <c r="A703" t="s">
        <v>642</v>
      </c>
      <c r="B703" t="s">
        <v>591</v>
      </c>
      <c r="C703" t="s">
        <v>592</v>
      </c>
      <c r="D703" s="1">
        <v>46224</v>
      </c>
      <c r="E703">
        <v>4.2632963182532298E-2</v>
      </c>
      <c r="F703" t="s">
        <v>4970</v>
      </c>
      <c r="G703" s="1">
        <v>46224.771787731479</v>
      </c>
      <c r="H703" t="s">
        <v>593</v>
      </c>
      <c r="I703" s="1">
        <v>46224.771787812497</v>
      </c>
      <c r="J703" t="s">
        <v>593</v>
      </c>
    </row>
    <row r="704" spans="1:10" x14ac:dyDescent="0.35">
      <c r="A704" t="s">
        <v>643</v>
      </c>
      <c r="B704" t="s">
        <v>591</v>
      </c>
      <c r="C704" t="s">
        <v>592</v>
      </c>
      <c r="D704" s="1">
        <v>46224</v>
      </c>
      <c r="E704">
        <v>3.4797456436194397E-2</v>
      </c>
      <c r="F704" t="s">
        <v>4971</v>
      </c>
      <c r="G704" s="1">
        <v>46224.771787731479</v>
      </c>
      <c r="H704" t="s">
        <v>593</v>
      </c>
      <c r="I704" s="1">
        <v>46224.771787812497</v>
      </c>
      <c r="J704" t="s">
        <v>593</v>
      </c>
    </row>
    <row r="705" spans="1:10" x14ac:dyDescent="0.35">
      <c r="A705" t="s">
        <v>644</v>
      </c>
      <c r="B705" t="s">
        <v>591</v>
      </c>
      <c r="C705" t="s">
        <v>592</v>
      </c>
      <c r="D705" s="1">
        <v>46224</v>
      </c>
      <c r="E705">
        <v>3.1641417665792301E-2</v>
      </c>
      <c r="F705" t="s">
        <v>4972</v>
      </c>
      <c r="G705" s="1">
        <v>46224.771787731479</v>
      </c>
      <c r="H705" t="s">
        <v>593</v>
      </c>
      <c r="I705" s="1">
        <v>46224.771787812497</v>
      </c>
      <c r="J705" t="s">
        <v>593</v>
      </c>
    </row>
    <row r="706" spans="1:10" x14ac:dyDescent="0.35">
      <c r="A706" t="s">
        <v>645</v>
      </c>
      <c r="B706" t="s">
        <v>591</v>
      </c>
      <c r="C706" t="s">
        <v>592</v>
      </c>
      <c r="D706" s="1">
        <v>46224</v>
      </c>
      <c r="E706">
        <v>3.8921283688165699E-2</v>
      </c>
      <c r="F706" t="s">
        <v>4973</v>
      </c>
      <c r="G706" s="1">
        <v>46224.771787731479</v>
      </c>
      <c r="H706" t="s">
        <v>593</v>
      </c>
      <c r="I706" s="1">
        <v>46224.771787812497</v>
      </c>
      <c r="J706" t="s">
        <v>593</v>
      </c>
    </row>
    <row r="707" spans="1:10" x14ac:dyDescent="0.35">
      <c r="A707" t="s">
        <v>646</v>
      </c>
      <c r="B707" t="s">
        <v>591</v>
      </c>
      <c r="C707" t="s">
        <v>592</v>
      </c>
      <c r="D707" s="1">
        <v>46224</v>
      </c>
      <c r="E707">
        <v>4.36273915981297E-2</v>
      </c>
      <c r="F707" t="s">
        <v>4974</v>
      </c>
      <c r="G707" s="1">
        <v>46224.771787731479</v>
      </c>
      <c r="H707" t="s">
        <v>593</v>
      </c>
      <c r="I707" s="1">
        <v>46224.771787812497</v>
      </c>
      <c r="J707" t="s">
        <v>593</v>
      </c>
    </row>
    <row r="708" spans="1:10" x14ac:dyDescent="0.35">
      <c r="A708" t="s">
        <v>647</v>
      </c>
      <c r="B708" t="s">
        <v>591</v>
      </c>
      <c r="C708" t="s">
        <v>592</v>
      </c>
      <c r="D708" s="1">
        <v>46224</v>
      </c>
      <c r="E708">
        <v>4.5145695376956702E-2</v>
      </c>
      <c r="F708" t="s">
        <v>4975</v>
      </c>
      <c r="G708" s="1">
        <v>46224.771787731479</v>
      </c>
      <c r="H708" t="s">
        <v>593</v>
      </c>
      <c r="I708" s="1">
        <v>46224.771787812497</v>
      </c>
      <c r="J708" t="s">
        <v>593</v>
      </c>
    </row>
    <row r="709" spans="1:10" x14ac:dyDescent="0.35">
      <c r="A709" t="s">
        <v>648</v>
      </c>
      <c r="B709" t="s">
        <v>591</v>
      </c>
      <c r="C709" t="s">
        <v>592</v>
      </c>
      <c r="D709" s="1">
        <v>46224</v>
      </c>
      <c r="E709">
        <v>2.6836689621284202E-2</v>
      </c>
      <c r="F709" t="s">
        <v>4976</v>
      </c>
      <c r="G709" s="1">
        <v>46224.771787731479</v>
      </c>
      <c r="H709" t="s">
        <v>593</v>
      </c>
      <c r="I709" s="1">
        <v>46224.771787812497</v>
      </c>
      <c r="J709" t="s">
        <v>593</v>
      </c>
    </row>
    <row r="710" spans="1:10" x14ac:dyDescent="0.35">
      <c r="A710" t="s">
        <v>649</v>
      </c>
      <c r="B710" t="s">
        <v>591</v>
      </c>
      <c r="C710" t="s">
        <v>592</v>
      </c>
      <c r="D710" s="1">
        <v>46224</v>
      </c>
      <c r="E710">
        <v>4.5543941234254703E-2</v>
      </c>
      <c r="F710" t="s">
        <v>4977</v>
      </c>
      <c r="G710" s="1">
        <v>46224.771787731479</v>
      </c>
      <c r="H710" t="s">
        <v>593</v>
      </c>
      <c r="I710" s="1">
        <v>46224.771787812497</v>
      </c>
      <c r="J710" t="s">
        <v>593</v>
      </c>
    </row>
    <row r="711" spans="1:10" x14ac:dyDescent="0.35">
      <c r="A711" t="s">
        <v>650</v>
      </c>
      <c r="B711" t="s">
        <v>591</v>
      </c>
      <c r="C711" t="s">
        <v>592</v>
      </c>
      <c r="D711" s="1">
        <v>46224</v>
      </c>
      <c r="E711">
        <v>3.7914960732838801E-2</v>
      </c>
      <c r="F711" t="s">
        <v>4978</v>
      </c>
      <c r="G711" s="1">
        <v>46224.771787731479</v>
      </c>
      <c r="H711" t="s">
        <v>593</v>
      </c>
      <c r="I711" s="1">
        <v>46224.771787812497</v>
      </c>
      <c r="J711" t="s">
        <v>593</v>
      </c>
    </row>
    <row r="712" spans="1:10" x14ac:dyDescent="0.35">
      <c r="A712" t="s">
        <v>651</v>
      </c>
      <c r="B712" t="s">
        <v>591</v>
      </c>
      <c r="C712" t="s">
        <v>592</v>
      </c>
      <c r="D712" s="1">
        <v>46224</v>
      </c>
      <c r="E712">
        <v>2.8275818775068001E-2</v>
      </c>
      <c r="F712" t="s">
        <v>4979</v>
      </c>
      <c r="G712" s="1">
        <v>46224.771787731479</v>
      </c>
      <c r="H712" t="s">
        <v>593</v>
      </c>
      <c r="I712" s="1">
        <v>46224.771787812497</v>
      </c>
      <c r="J712" t="s">
        <v>593</v>
      </c>
    </row>
    <row r="713" spans="1:10" x14ac:dyDescent="0.35">
      <c r="A713" t="s">
        <v>652</v>
      </c>
      <c r="B713" t="s">
        <v>591</v>
      </c>
      <c r="C713" t="s">
        <v>592</v>
      </c>
      <c r="D713" s="1">
        <v>46224</v>
      </c>
      <c r="E713">
        <v>3.3152210937209402E-2</v>
      </c>
      <c r="F713" t="s">
        <v>4980</v>
      </c>
      <c r="G713" s="1">
        <v>46224.771787731479</v>
      </c>
      <c r="H713" t="s">
        <v>593</v>
      </c>
      <c r="I713" s="1">
        <v>46224.771787812497</v>
      </c>
      <c r="J713" t="s">
        <v>593</v>
      </c>
    </row>
    <row r="714" spans="1:10" x14ac:dyDescent="0.35">
      <c r="A714" t="s">
        <v>653</v>
      </c>
      <c r="B714" t="s">
        <v>591</v>
      </c>
      <c r="C714" t="s">
        <v>592</v>
      </c>
      <c r="D714" s="1">
        <v>46224</v>
      </c>
      <c r="E714">
        <v>2.92441609807681E-2</v>
      </c>
      <c r="F714" t="s">
        <v>4981</v>
      </c>
      <c r="G714" s="1">
        <v>46224.771787731479</v>
      </c>
      <c r="H714" t="s">
        <v>593</v>
      </c>
      <c r="I714" s="1">
        <v>46224.771787812497</v>
      </c>
      <c r="J714" t="s">
        <v>593</v>
      </c>
    </row>
    <row r="715" spans="1:10" x14ac:dyDescent="0.35">
      <c r="A715" t="s">
        <v>654</v>
      </c>
      <c r="B715" t="s">
        <v>591</v>
      </c>
      <c r="C715" t="s">
        <v>592</v>
      </c>
      <c r="D715" s="1">
        <v>46224</v>
      </c>
      <c r="E715">
        <v>4.4516524052258699E-2</v>
      </c>
      <c r="F715" t="s">
        <v>4982</v>
      </c>
      <c r="G715" s="1">
        <v>46224.771787731479</v>
      </c>
      <c r="H715" t="s">
        <v>593</v>
      </c>
      <c r="I715" s="1">
        <v>46224.771787812497</v>
      </c>
      <c r="J715" t="s">
        <v>593</v>
      </c>
    </row>
    <row r="716" spans="1:10" x14ac:dyDescent="0.35">
      <c r="A716" t="s">
        <v>655</v>
      </c>
      <c r="B716" t="s">
        <v>591</v>
      </c>
      <c r="C716" t="s">
        <v>592</v>
      </c>
      <c r="D716" s="1">
        <v>46224</v>
      </c>
      <c r="E716">
        <v>3.0448849129895001E-2</v>
      </c>
      <c r="F716" t="s">
        <v>4983</v>
      </c>
      <c r="G716" s="1">
        <v>46224.771787731479</v>
      </c>
      <c r="H716" t="s">
        <v>593</v>
      </c>
      <c r="I716" s="1">
        <v>46224.771787812497</v>
      </c>
      <c r="J716" t="s">
        <v>593</v>
      </c>
    </row>
    <row r="717" spans="1:10" x14ac:dyDescent="0.35">
      <c r="A717" t="s">
        <v>656</v>
      </c>
      <c r="B717" t="s">
        <v>591</v>
      </c>
      <c r="C717" t="s">
        <v>592</v>
      </c>
      <c r="D717" s="1">
        <v>46224</v>
      </c>
      <c r="E717">
        <v>4.0524525049636197E-2</v>
      </c>
      <c r="F717" t="s">
        <v>4984</v>
      </c>
      <c r="G717" s="1">
        <v>46224.771787731479</v>
      </c>
      <c r="H717" t="s">
        <v>593</v>
      </c>
      <c r="I717" s="1">
        <v>46224.771787812497</v>
      </c>
      <c r="J717" t="s">
        <v>593</v>
      </c>
    </row>
    <row r="718" spans="1:10" x14ac:dyDescent="0.35">
      <c r="A718" t="s">
        <v>657</v>
      </c>
      <c r="B718" t="s">
        <v>591</v>
      </c>
      <c r="C718" t="s">
        <v>592</v>
      </c>
      <c r="D718" s="1">
        <v>46224</v>
      </c>
      <c r="E718">
        <v>2.76537280996433E-2</v>
      </c>
      <c r="F718" t="s">
        <v>4985</v>
      </c>
      <c r="G718" s="1">
        <v>46224.771787731479</v>
      </c>
      <c r="H718" t="s">
        <v>593</v>
      </c>
      <c r="I718" s="1">
        <v>46224.771787812497</v>
      </c>
      <c r="J718" t="s">
        <v>593</v>
      </c>
    </row>
    <row r="719" spans="1:10" x14ac:dyDescent="0.35">
      <c r="A719" t="s">
        <v>658</v>
      </c>
      <c r="B719" t="s">
        <v>591</v>
      </c>
      <c r="C719" t="s">
        <v>592</v>
      </c>
      <c r="D719" s="1">
        <v>46224</v>
      </c>
      <c r="E719">
        <v>3.1969854732653701E-2</v>
      </c>
      <c r="F719" t="s">
        <v>4986</v>
      </c>
      <c r="G719" s="1">
        <v>46224.771787731479</v>
      </c>
      <c r="H719" t="s">
        <v>593</v>
      </c>
      <c r="I719" s="1">
        <v>46224.771787812497</v>
      </c>
      <c r="J719" t="s">
        <v>593</v>
      </c>
    </row>
    <row r="720" spans="1:10" x14ac:dyDescent="0.35">
      <c r="A720" t="s">
        <v>659</v>
      </c>
      <c r="B720" t="s">
        <v>591</v>
      </c>
      <c r="C720" t="s">
        <v>592</v>
      </c>
      <c r="D720" s="1">
        <v>46224</v>
      </c>
      <c r="E720">
        <v>4.22305189045169E-2</v>
      </c>
      <c r="F720" t="s">
        <v>4987</v>
      </c>
      <c r="G720" s="1">
        <v>46224.771787731479</v>
      </c>
      <c r="H720" t="s">
        <v>593</v>
      </c>
      <c r="I720" s="1">
        <v>46224.771787812497</v>
      </c>
      <c r="J720" t="s">
        <v>593</v>
      </c>
    </row>
    <row r="721" spans="1:10" x14ac:dyDescent="0.35">
      <c r="A721" t="s">
        <v>660</v>
      </c>
      <c r="B721" t="s">
        <v>591</v>
      </c>
      <c r="C721" t="s">
        <v>592</v>
      </c>
      <c r="D721" s="1">
        <v>46224</v>
      </c>
      <c r="E721">
        <v>3.2702943525361003E-2</v>
      </c>
      <c r="F721" t="s">
        <v>4988</v>
      </c>
      <c r="G721" s="1">
        <v>46224.771787731479</v>
      </c>
      <c r="H721" t="s">
        <v>593</v>
      </c>
      <c r="I721" s="1">
        <v>46224.771787812497</v>
      </c>
      <c r="J721" t="s">
        <v>593</v>
      </c>
    </row>
    <row r="722" spans="1:10" x14ac:dyDescent="0.35">
      <c r="A722" t="s">
        <v>661</v>
      </c>
      <c r="B722" t="s">
        <v>591</v>
      </c>
      <c r="C722" t="s">
        <v>592</v>
      </c>
      <c r="D722" s="1">
        <v>46224</v>
      </c>
      <c r="E722">
        <v>4.4973309333380902E-2</v>
      </c>
      <c r="F722" t="s">
        <v>4989</v>
      </c>
      <c r="G722" s="1">
        <v>46224.771787731479</v>
      </c>
      <c r="H722" t="s">
        <v>593</v>
      </c>
      <c r="I722" s="1">
        <v>46224.771787812497</v>
      </c>
      <c r="J722" t="s">
        <v>593</v>
      </c>
    </row>
    <row r="723" spans="1:10" x14ac:dyDescent="0.35">
      <c r="A723" t="s">
        <v>662</v>
      </c>
      <c r="B723" t="s">
        <v>591</v>
      </c>
      <c r="C723" t="s">
        <v>592</v>
      </c>
      <c r="D723" s="1">
        <v>46224</v>
      </c>
      <c r="E723">
        <v>3.9292622395081897E-2</v>
      </c>
      <c r="F723" t="s">
        <v>4990</v>
      </c>
      <c r="G723" s="1">
        <v>46224.771787731479</v>
      </c>
      <c r="H723" t="s">
        <v>593</v>
      </c>
      <c r="I723" s="1">
        <v>46224.771787812497</v>
      </c>
      <c r="J723" t="s">
        <v>593</v>
      </c>
    </row>
    <row r="724" spans="1:10" x14ac:dyDescent="0.35">
      <c r="A724" t="s">
        <v>663</v>
      </c>
      <c r="B724" t="s">
        <v>591</v>
      </c>
      <c r="C724" t="s">
        <v>592</v>
      </c>
      <c r="D724" s="1">
        <v>46224</v>
      </c>
      <c r="E724">
        <v>3.3725516046454601E-2</v>
      </c>
      <c r="F724" t="s">
        <v>4991</v>
      </c>
      <c r="G724" s="1">
        <v>46224.771787731479</v>
      </c>
      <c r="H724" t="s">
        <v>593</v>
      </c>
      <c r="I724" s="1">
        <v>46224.771787812497</v>
      </c>
      <c r="J724" t="s">
        <v>593</v>
      </c>
    </row>
    <row r="725" spans="1:10" x14ac:dyDescent="0.35">
      <c r="A725" t="s">
        <v>664</v>
      </c>
      <c r="B725" t="s">
        <v>591</v>
      </c>
      <c r="C725" t="s">
        <v>592</v>
      </c>
      <c r="D725" s="1">
        <v>46224</v>
      </c>
      <c r="E725">
        <v>4.5001515613176397E-2</v>
      </c>
      <c r="F725" t="s">
        <v>4992</v>
      </c>
      <c r="G725" s="1">
        <v>46224.771787731479</v>
      </c>
      <c r="H725" t="s">
        <v>593</v>
      </c>
      <c r="I725" s="1">
        <v>46224.771787812497</v>
      </c>
      <c r="J725" t="s">
        <v>593</v>
      </c>
    </row>
    <row r="726" spans="1:10" x14ac:dyDescent="0.35">
      <c r="A726" t="s">
        <v>665</v>
      </c>
      <c r="B726" t="s">
        <v>591</v>
      </c>
      <c r="C726" t="s">
        <v>592</v>
      </c>
      <c r="D726" s="1">
        <v>46224</v>
      </c>
      <c r="E726">
        <v>4.20277613922636E-2</v>
      </c>
      <c r="F726" t="s">
        <v>4993</v>
      </c>
      <c r="G726" s="1">
        <v>46224.771787731479</v>
      </c>
      <c r="H726" t="s">
        <v>593</v>
      </c>
      <c r="I726" s="1">
        <v>46224.771787812497</v>
      </c>
      <c r="J726" t="s">
        <v>593</v>
      </c>
    </row>
    <row r="727" spans="1:10" x14ac:dyDescent="0.35">
      <c r="A727" t="s">
        <v>666</v>
      </c>
      <c r="B727" t="s">
        <v>591</v>
      </c>
      <c r="C727" t="s">
        <v>592</v>
      </c>
      <c r="D727" s="1">
        <v>46224</v>
      </c>
      <c r="E727">
        <v>3.5258518108009597E-2</v>
      </c>
      <c r="F727" t="s">
        <v>4994</v>
      </c>
      <c r="G727" s="1">
        <v>46224.771787731479</v>
      </c>
      <c r="H727" t="s">
        <v>593</v>
      </c>
      <c r="I727" s="1">
        <v>46224.771787812497</v>
      </c>
      <c r="J727" t="s">
        <v>593</v>
      </c>
    </row>
    <row r="728" spans="1:10" x14ac:dyDescent="0.35">
      <c r="A728" t="s">
        <v>667</v>
      </c>
      <c r="B728" t="s">
        <v>591</v>
      </c>
      <c r="C728" t="s">
        <v>592</v>
      </c>
      <c r="D728" s="1">
        <v>46224</v>
      </c>
      <c r="E728">
        <v>4.5369641487730303E-2</v>
      </c>
      <c r="F728" t="s">
        <v>4995</v>
      </c>
      <c r="G728" s="1">
        <v>46224.771787731479</v>
      </c>
      <c r="H728" t="s">
        <v>593</v>
      </c>
      <c r="I728" s="1">
        <v>46224.771787812497</v>
      </c>
      <c r="J728" t="s">
        <v>593</v>
      </c>
    </row>
    <row r="729" spans="1:10" x14ac:dyDescent="0.35">
      <c r="A729" t="s">
        <v>668</v>
      </c>
      <c r="B729" t="s">
        <v>591</v>
      </c>
      <c r="C729" t="s">
        <v>592</v>
      </c>
      <c r="D729" s="1">
        <v>46224</v>
      </c>
      <c r="E729">
        <v>2.96996176573293E-2</v>
      </c>
      <c r="F729" t="s">
        <v>4996</v>
      </c>
      <c r="G729" s="1">
        <v>46224.771787731479</v>
      </c>
      <c r="H729" t="s">
        <v>593</v>
      </c>
      <c r="I729" s="1">
        <v>46224.771787812497</v>
      </c>
      <c r="J729" t="s">
        <v>593</v>
      </c>
    </row>
    <row r="730" spans="1:10" x14ac:dyDescent="0.35">
      <c r="A730" t="s">
        <v>669</v>
      </c>
      <c r="B730" t="s">
        <v>591</v>
      </c>
      <c r="C730" t="s">
        <v>592</v>
      </c>
      <c r="D730" s="1">
        <v>46224</v>
      </c>
      <c r="E730">
        <v>3.6089637687975899E-2</v>
      </c>
      <c r="F730" t="s">
        <v>4997</v>
      </c>
      <c r="G730" s="1">
        <v>46224.771787731479</v>
      </c>
      <c r="H730" t="s">
        <v>593</v>
      </c>
      <c r="I730" s="1">
        <v>46224.771787812497</v>
      </c>
      <c r="J730" t="s">
        <v>593</v>
      </c>
    </row>
    <row r="731" spans="1:10" x14ac:dyDescent="0.35">
      <c r="A731" t="s">
        <v>670</v>
      </c>
      <c r="B731" t="s">
        <v>591</v>
      </c>
      <c r="C731" t="s">
        <v>592</v>
      </c>
      <c r="D731" s="1">
        <v>46224</v>
      </c>
      <c r="E731">
        <v>3.0968285672644199E-2</v>
      </c>
      <c r="F731" t="s">
        <v>4998</v>
      </c>
      <c r="G731" s="1">
        <v>46224.771787731479</v>
      </c>
      <c r="H731" t="s">
        <v>593</v>
      </c>
      <c r="I731" s="1">
        <v>46224.771787812497</v>
      </c>
      <c r="J731" t="s">
        <v>593</v>
      </c>
    </row>
    <row r="732" spans="1:10" x14ac:dyDescent="0.35">
      <c r="A732" t="s">
        <v>671</v>
      </c>
      <c r="B732" t="s">
        <v>591</v>
      </c>
      <c r="C732" t="s">
        <v>592</v>
      </c>
      <c r="D732" s="1">
        <v>46224</v>
      </c>
      <c r="E732">
        <v>3.71287443524006E-2</v>
      </c>
      <c r="F732" t="s">
        <v>4999</v>
      </c>
      <c r="G732" s="1">
        <v>46224.771787731479</v>
      </c>
      <c r="H732" t="s">
        <v>593</v>
      </c>
      <c r="I732" s="1">
        <v>46224.771787812497</v>
      </c>
      <c r="J732" t="s">
        <v>593</v>
      </c>
    </row>
    <row r="733" spans="1:10" x14ac:dyDescent="0.35">
      <c r="A733" t="s">
        <v>672</v>
      </c>
      <c r="B733" t="s">
        <v>591</v>
      </c>
      <c r="C733" t="s">
        <v>592</v>
      </c>
      <c r="D733" s="1">
        <v>46224</v>
      </c>
      <c r="E733">
        <v>4.5565075274130701E-2</v>
      </c>
      <c r="F733" t="s">
        <v>5000</v>
      </c>
      <c r="G733" s="1">
        <v>46224.771787731479</v>
      </c>
      <c r="H733" t="s">
        <v>593</v>
      </c>
      <c r="I733" s="1">
        <v>46224.771787812497</v>
      </c>
      <c r="J733" t="s">
        <v>593</v>
      </c>
    </row>
    <row r="734" spans="1:10" x14ac:dyDescent="0.35">
      <c r="A734" t="s">
        <v>1756</v>
      </c>
      <c r="B734" t="s">
        <v>591</v>
      </c>
      <c r="C734" t="s">
        <v>592</v>
      </c>
      <c r="D734" s="1">
        <v>46224</v>
      </c>
      <c r="E734">
        <v>3.1949025757829298E-2</v>
      </c>
      <c r="F734" t="s">
        <v>5001</v>
      </c>
      <c r="G734" s="1">
        <v>46224.771787731479</v>
      </c>
      <c r="H734" t="s">
        <v>593</v>
      </c>
      <c r="I734" s="1">
        <v>46224.771787812497</v>
      </c>
      <c r="J734" t="s">
        <v>593</v>
      </c>
    </row>
    <row r="735" spans="1:10" x14ac:dyDescent="0.35">
      <c r="A735" t="s">
        <v>673</v>
      </c>
      <c r="B735" t="s">
        <v>591</v>
      </c>
      <c r="C735" t="s">
        <v>592</v>
      </c>
      <c r="D735" s="1">
        <v>46224</v>
      </c>
      <c r="E735">
        <v>4.1907050000000001E-2</v>
      </c>
      <c r="F735" t="s">
        <v>5608</v>
      </c>
      <c r="G735" s="1">
        <v>46224.775896296298</v>
      </c>
      <c r="H735" t="s">
        <v>593</v>
      </c>
      <c r="I735" s="1">
        <v>46224.775896412037</v>
      </c>
      <c r="J735" t="s">
        <v>593</v>
      </c>
    </row>
    <row r="736" spans="1:10" x14ac:dyDescent="0.35">
      <c r="A736" t="s">
        <v>674</v>
      </c>
      <c r="B736" t="s">
        <v>591</v>
      </c>
      <c r="C736" t="s">
        <v>592</v>
      </c>
      <c r="D736" s="1">
        <v>46224</v>
      </c>
      <c r="E736">
        <v>4.6230300000000002E-2</v>
      </c>
      <c r="F736" t="s">
        <v>5609</v>
      </c>
      <c r="G736" s="1">
        <v>46224.775897835651</v>
      </c>
      <c r="H736" t="s">
        <v>593</v>
      </c>
      <c r="I736" s="1">
        <v>46224.775897881947</v>
      </c>
      <c r="J736" t="s">
        <v>593</v>
      </c>
    </row>
    <row r="737" spans="1:10" x14ac:dyDescent="0.35">
      <c r="A737" t="s">
        <v>675</v>
      </c>
      <c r="B737" t="s">
        <v>591</v>
      </c>
      <c r="C737" t="s">
        <v>592</v>
      </c>
      <c r="D737" s="1">
        <v>46224</v>
      </c>
      <c r="E737">
        <v>4.7264899999999999E-2</v>
      </c>
      <c r="F737" t="s">
        <v>5610</v>
      </c>
      <c r="G737" s="1">
        <v>46224.775897997686</v>
      </c>
      <c r="H737" t="s">
        <v>593</v>
      </c>
      <c r="I737" s="1">
        <v>46224.775898032407</v>
      </c>
      <c r="J737" t="s">
        <v>593</v>
      </c>
    </row>
    <row r="738" spans="1:10" x14ac:dyDescent="0.35">
      <c r="A738" t="s">
        <v>676</v>
      </c>
      <c r="B738" t="s">
        <v>591</v>
      </c>
      <c r="C738" t="s">
        <v>592</v>
      </c>
      <c r="D738" s="1">
        <v>46224</v>
      </c>
      <c r="E738">
        <v>4.8561550000000002E-2</v>
      </c>
      <c r="F738" t="s">
        <v>5611</v>
      </c>
      <c r="G738" s="1">
        <v>46224.775898148146</v>
      </c>
      <c r="H738" t="s">
        <v>593</v>
      </c>
      <c r="I738" s="1">
        <v>46224.775898229163</v>
      </c>
      <c r="J738" t="s">
        <v>593</v>
      </c>
    </row>
    <row r="739" spans="1:10" x14ac:dyDescent="0.35">
      <c r="A739" t="s">
        <v>677</v>
      </c>
      <c r="B739" t="s">
        <v>591</v>
      </c>
      <c r="C739" t="s">
        <v>592</v>
      </c>
      <c r="D739" s="1">
        <v>46224</v>
      </c>
      <c r="E739">
        <v>4.2595550000000003E-2</v>
      </c>
      <c r="F739" t="s">
        <v>5612</v>
      </c>
      <c r="G739" s="1">
        <v>46224.775896446758</v>
      </c>
      <c r="H739" t="s">
        <v>593</v>
      </c>
      <c r="I739" s="1">
        <v>46224.775896412037</v>
      </c>
      <c r="J739" t="s">
        <v>593</v>
      </c>
    </row>
    <row r="740" spans="1:10" x14ac:dyDescent="0.35">
      <c r="A740" t="s">
        <v>678</v>
      </c>
      <c r="B740" t="s">
        <v>591</v>
      </c>
      <c r="C740" t="s">
        <v>592</v>
      </c>
      <c r="D740" s="1">
        <v>46224</v>
      </c>
      <c r="E740">
        <v>3.7361400000000003E-2</v>
      </c>
      <c r="F740" t="s">
        <v>5613</v>
      </c>
      <c r="G740" s="1">
        <v>46224.775894293984</v>
      </c>
      <c r="H740" t="s">
        <v>593</v>
      </c>
      <c r="I740" s="1">
        <v>46224.775894247687</v>
      </c>
      <c r="J740" t="s">
        <v>593</v>
      </c>
    </row>
    <row r="741" spans="1:10" x14ac:dyDescent="0.35">
      <c r="A741" t="s">
        <v>679</v>
      </c>
      <c r="B741" t="s">
        <v>591</v>
      </c>
      <c r="C741" t="s">
        <v>592</v>
      </c>
      <c r="D741" s="1">
        <v>46224</v>
      </c>
      <c r="E741">
        <v>4.3002100000000001E-2</v>
      </c>
      <c r="F741" t="s">
        <v>5614</v>
      </c>
      <c r="G741" s="1">
        <v>46224.775896643521</v>
      </c>
      <c r="H741" t="s">
        <v>593</v>
      </c>
      <c r="I741" s="1">
        <v>46224.775896608793</v>
      </c>
      <c r="J741" t="s">
        <v>593</v>
      </c>
    </row>
    <row r="742" spans="1:10" x14ac:dyDescent="0.35">
      <c r="A742" t="s">
        <v>680</v>
      </c>
      <c r="B742" t="s">
        <v>591</v>
      </c>
      <c r="C742" t="s">
        <v>592</v>
      </c>
      <c r="D742" s="1">
        <v>46224</v>
      </c>
      <c r="E742">
        <v>4.9878649999999997E-2</v>
      </c>
      <c r="F742" t="s">
        <v>5615</v>
      </c>
      <c r="G742" s="1">
        <v>46224.775898298612</v>
      </c>
      <c r="H742" t="s">
        <v>593</v>
      </c>
      <c r="I742" s="1">
        <v>46224.77589837963</v>
      </c>
      <c r="J742" t="s">
        <v>593</v>
      </c>
    </row>
    <row r="743" spans="1:10" x14ac:dyDescent="0.35">
      <c r="A743" t="s">
        <v>681</v>
      </c>
      <c r="B743" t="s">
        <v>591</v>
      </c>
      <c r="C743" t="s">
        <v>592</v>
      </c>
      <c r="D743" s="1">
        <v>46224</v>
      </c>
      <c r="E743">
        <v>5.0396999999999997E-2</v>
      </c>
      <c r="F743" t="s">
        <v>5616</v>
      </c>
      <c r="G743" s="1">
        <v>46224.775898460648</v>
      </c>
      <c r="H743" t="s">
        <v>593</v>
      </c>
      <c r="I743" s="1">
        <v>46224.775898576387</v>
      </c>
      <c r="J743" t="s">
        <v>593</v>
      </c>
    </row>
    <row r="744" spans="1:10" x14ac:dyDescent="0.35">
      <c r="A744" t="s">
        <v>682</v>
      </c>
      <c r="B744" t="s">
        <v>591</v>
      </c>
      <c r="C744" t="s">
        <v>592</v>
      </c>
      <c r="D744" s="1">
        <v>46224</v>
      </c>
      <c r="E744">
        <v>3.744165E-2</v>
      </c>
      <c r="F744" t="s">
        <v>5617</v>
      </c>
      <c r="G744" s="1">
        <v>46224.775894444443</v>
      </c>
      <c r="H744" t="s">
        <v>593</v>
      </c>
      <c r="I744" s="1">
        <v>46224.775894525461</v>
      </c>
      <c r="J744" t="s">
        <v>593</v>
      </c>
    </row>
    <row r="745" spans="1:10" x14ac:dyDescent="0.35">
      <c r="A745" t="s">
        <v>683</v>
      </c>
      <c r="B745" t="s">
        <v>591</v>
      </c>
      <c r="C745" t="s">
        <v>592</v>
      </c>
      <c r="D745" s="1">
        <v>46224</v>
      </c>
      <c r="E745">
        <v>4.3200950000000002E-2</v>
      </c>
      <c r="F745" t="s">
        <v>5618</v>
      </c>
      <c r="G745" s="1">
        <v>46224.77589675926</v>
      </c>
      <c r="H745" t="s">
        <v>593</v>
      </c>
      <c r="I745" s="1">
        <v>46224.77589675926</v>
      </c>
      <c r="J745" t="s">
        <v>593</v>
      </c>
    </row>
    <row r="746" spans="1:10" x14ac:dyDescent="0.35">
      <c r="A746" t="s">
        <v>684</v>
      </c>
      <c r="B746" t="s">
        <v>591</v>
      </c>
      <c r="C746" t="s">
        <v>592</v>
      </c>
      <c r="D746" s="1">
        <v>46224</v>
      </c>
      <c r="E746">
        <v>5.03884E-2</v>
      </c>
      <c r="F746" t="s">
        <v>5619</v>
      </c>
      <c r="G746" s="1">
        <v>46224.775898611108</v>
      </c>
      <c r="H746" t="s">
        <v>593</v>
      </c>
      <c r="I746" s="1">
        <v>46224.775898576387</v>
      </c>
      <c r="J746" t="s">
        <v>593</v>
      </c>
    </row>
    <row r="747" spans="1:10" x14ac:dyDescent="0.35">
      <c r="A747" t="s">
        <v>685</v>
      </c>
      <c r="B747" t="s">
        <v>591</v>
      </c>
      <c r="C747" t="s">
        <v>592</v>
      </c>
      <c r="D747" s="1">
        <v>46224</v>
      </c>
      <c r="E747">
        <v>4.3391949999999999E-2</v>
      </c>
      <c r="F747" t="s">
        <v>5620</v>
      </c>
      <c r="G747" s="1">
        <v>46224.775896909719</v>
      </c>
      <c r="H747" t="s">
        <v>593</v>
      </c>
      <c r="I747" s="1">
        <v>46224.775896956016</v>
      </c>
      <c r="J747" t="s">
        <v>593</v>
      </c>
    </row>
    <row r="748" spans="1:10" x14ac:dyDescent="0.35">
      <c r="A748" t="s">
        <v>686</v>
      </c>
      <c r="B748" t="s">
        <v>591</v>
      </c>
      <c r="C748" t="s">
        <v>592</v>
      </c>
      <c r="D748" s="1">
        <v>46224</v>
      </c>
      <c r="E748">
        <v>4.9708200000000001E-2</v>
      </c>
      <c r="F748" t="s">
        <v>5621</v>
      </c>
      <c r="G748" s="1">
        <v>46224.775898761574</v>
      </c>
      <c r="H748" t="s">
        <v>593</v>
      </c>
      <c r="I748" s="1">
        <v>46224.775898761574</v>
      </c>
      <c r="J748" t="s">
        <v>593</v>
      </c>
    </row>
    <row r="749" spans="1:10" x14ac:dyDescent="0.35">
      <c r="A749" t="s">
        <v>687</v>
      </c>
      <c r="B749" t="s">
        <v>591</v>
      </c>
      <c r="C749" t="s">
        <v>592</v>
      </c>
      <c r="D749" s="1">
        <v>46224</v>
      </c>
      <c r="E749">
        <v>4.3692099999999998E-2</v>
      </c>
      <c r="F749" t="s">
        <v>5622</v>
      </c>
      <c r="G749" s="1">
        <v>46224.775897106483</v>
      </c>
      <c r="H749" t="s">
        <v>593</v>
      </c>
      <c r="I749" s="1">
        <v>46224.775897141204</v>
      </c>
      <c r="J749" t="s">
        <v>593</v>
      </c>
    </row>
    <row r="750" spans="1:10" x14ac:dyDescent="0.35">
      <c r="A750" t="s">
        <v>688</v>
      </c>
      <c r="B750" t="s">
        <v>591</v>
      </c>
      <c r="C750" t="s">
        <v>592</v>
      </c>
      <c r="D750" s="1">
        <v>46224</v>
      </c>
      <c r="E750">
        <v>4.8780450000000003E-2</v>
      </c>
      <c r="F750" t="s">
        <v>5623</v>
      </c>
      <c r="G750" s="1">
        <v>46224.77589892361</v>
      </c>
      <c r="H750" t="s">
        <v>593</v>
      </c>
      <c r="I750" s="1">
        <v>46224.77589892361</v>
      </c>
      <c r="J750" t="s">
        <v>593</v>
      </c>
    </row>
    <row r="751" spans="1:10" x14ac:dyDescent="0.35">
      <c r="A751" t="s">
        <v>689</v>
      </c>
      <c r="B751" t="s">
        <v>591</v>
      </c>
      <c r="C751" t="s">
        <v>592</v>
      </c>
      <c r="D751" s="1">
        <v>46224</v>
      </c>
      <c r="E751">
        <v>4.4106100000000002E-2</v>
      </c>
      <c r="F751" t="s">
        <v>5624</v>
      </c>
      <c r="G751" s="1">
        <v>46224.775897256943</v>
      </c>
      <c r="H751" t="s">
        <v>593</v>
      </c>
      <c r="I751" s="1">
        <v>46224.77589730324</v>
      </c>
      <c r="J751" t="s">
        <v>593</v>
      </c>
    </row>
    <row r="752" spans="1:10" x14ac:dyDescent="0.35">
      <c r="A752" t="s">
        <v>690</v>
      </c>
      <c r="B752" t="s">
        <v>591</v>
      </c>
      <c r="C752" t="s">
        <v>592</v>
      </c>
      <c r="D752" s="1">
        <v>46224</v>
      </c>
      <c r="E752">
        <v>4.458815E-2</v>
      </c>
      <c r="F752" t="s">
        <v>5625</v>
      </c>
      <c r="G752" s="1">
        <v>46224.775897418978</v>
      </c>
      <c r="H752" t="s">
        <v>593</v>
      </c>
      <c r="I752" s="1">
        <v>46224.775897488427</v>
      </c>
      <c r="J752" t="s">
        <v>593</v>
      </c>
    </row>
    <row r="753" spans="1:10" x14ac:dyDescent="0.35">
      <c r="A753" t="s">
        <v>691</v>
      </c>
      <c r="B753" t="s">
        <v>591</v>
      </c>
      <c r="C753" t="s">
        <v>592</v>
      </c>
      <c r="D753" s="1">
        <v>46224</v>
      </c>
      <c r="E753">
        <v>4.5124699999999997E-2</v>
      </c>
      <c r="F753" t="s">
        <v>5626</v>
      </c>
      <c r="G753" s="1">
        <v>46224.775897569445</v>
      </c>
      <c r="H753" t="s">
        <v>593</v>
      </c>
      <c r="I753" s="1">
        <v>46224.775897488427</v>
      </c>
      <c r="J753" t="s">
        <v>593</v>
      </c>
    </row>
    <row r="754" spans="1:10" x14ac:dyDescent="0.35">
      <c r="A754" t="s">
        <v>692</v>
      </c>
      <c r="B754" t="s">
        <v>591</v>
      </c>
      <c r="C754" t="s">
        <v>592</v>
      </c>
      <c r="D754" s="1">
        <v>46224</v>
      </c>
      <c r="E754">
        <v>4.5679400000000002E-2</v>
      </c>
      <c r="F754" t="s">
        <v>5627</v>
      </c>
      <c r="G754" s="1">
        <v>46224.775897719905</v>
      </c>
      <c r="H754" t="s">
        <v>593</v>
      </c>
      <c r="I754" s="1">
        <v>46224.775897685184</v>
      </c>
      <c r="J754" t="s">
        <v>593</v>
      </c>
    </row>
    <row r="755" spans="1:10" x14ac:dyDescent="0.35">
      <c r="A755" t="s">
        <v>693</v>
      </c>
      <c r="B755" t="s">
        <v>591</v>
      </c>
      <c r="C755" t="s">
        <v>592</v>
      </c>
      <c r="D755" s="1">
        <v>46224</v>
      </c>
      <c r="E755">
        <v>3.7540299999999999E-2</v>
      </c>
      <c r="F755" t="s">
        <v>5628</v>
      </c>
      <c r="G755" s="1">
        <v>46224.77589459491</v>
      </c>
      <c r="H755" t="s">
        <v>593</v>
      </c>
      <c r="I755" s="1">
        <v>46224.77589459491</v>
      </c>
      <c r="J755" t="s">
        <v>593</v>
      </c>
    </row>
    <row r="756" spans="1:10" x14ac:dyDescent="0.35">
      <c r="A756" t="s">
        <v>694</v>
      </c>
      <c r="B756" t="s">
        <v>591</v>
      </c>
      <c r="C756" t="s">
        <v>592</v>
      </c>
      <c r="D756" s="1">
        <v>46224</v>
      </c>
      <c r="E756">
        <v>3.7711500000000002E-2</v>
      </c>
      <c r="F756" t="s">
        <v>5629</v>
      </c>
      <c r="G756" s="1">
        <v>46224.775894756945</v>
      </c>
      <c r="H756" t="s">
        <v>593</v>
      </c>
      <c r="I756" s="1">
        <v>46224.775894791666</v>
      </c>
      <c r="J756" t="s">
        <v>593</v>
      </c>
    </row>
    <row r="757" spans="1:10" x14ac:dyDescent="0.35">
      <c r="A757" t="s">
        <v>695</v>
      </c>
      <c r="B757" t="s">
        <v>591</v>
      </c>
      <c r="C757" t="s">
        <v>592</v>
      </c>
      <c r="D757" s="1">
        <v>46224</v>
      </c>
      <c r="E757">
        <v>3.8174699999999999E-2</v>
      </c>
      <c r="F757" t="s">
        <v>5630</v>
      </c>
      <c r="G757" s="1">
        <v>46224.775894907405</v>
      </c>
      <c r="H757" t="s">
        <v>593</v>
      </c>
      <c r="I757" s="1">
        <v>46224.775894988423</v>
      </c>
      <c r="J757" t="s">
        <v>593</v>
      </c>
    </row>
    <row r="758" spans="1:10" x14ac:dyDescent="0.35">
      <c r="A758" t="s">
        <v>696</v>
      </c>
      <c r="B758" t="s">
        <v>591</v>
      </c>
      <c r="C758" t="s">
        <v>592</v>
      </c>
      <c r="D758" s="1">
        <v>46224</v>
      </c>
      <c r="E758">
        <v>3.8672199999999997E-2</v>
      </c>
      <c r="F758" t="s">
        <v>5631</v>
      </c>
      <c r="G758" s="1">
        <v>46224.775895057872</v>
      </c>
      <c r="H758" t="s">
        <v>593</v>
      </c>
      <c r="I758" s="1">
        <v>46224.77589513889</v>
      </c>
      <c r="J758" t="s">
        <v>593</v>
      </c>
    </row>
    <row r="759" spans="1:10" x14ac:dyDescent="0.35">
      <c r="A759" t="s">
        <v>697</v>
      </c>
      <c r="B759" t="s">
        <v>591</v>
      </c>
      <c r="C759" t="s">
        <v>592</v>
      </c>
      <c r="D759" s="1">
        <v>46224</v>
      </c>
      <c r="E759">
        <v>3.9104100000000003E-2</v>
      </c>
      <c r="F759" t="s">
        <v>5632</v>
      </c>
      <c r="G759" s="1">
        <v>46224.775895219907</v>
      </c>
      <c r="H759" t="s">
        <v>593</v>
      </c>
      <c r="I759" s="1">
        <v>46224.775895335646</v>
      </c>
      <c r="J759" t="s">
        <v>593</v>
      </c>
    </row>
    <row r="760" spans="1:10" x14ac:dyDescent="0.35">
      <c r="A760" t="s">
        <v>698</v>
      </c>
      <c r="B760" t="s">
        <v>591</v>
      </c>
      <c r="C760" t="s">
        <v>592</v>
      </c>
      <c r="D760" s="1">
        <v>46224</v>
      </c>
      <c r="E760">
        <v>3.9622549999999999E-2</v>
      </c>
      <c r="F760" t="s">
        <v>5633</v>
      </c>
      <c r="G760" s="1">
        <v>46224.775895370367</v>
      </c>
      <c r="H760" t="s">
        <v>593</v>
      </c>
      <c r="I760" s="1">
        <v>46224.775895335646</v>
      </c>
      <c r="J760" t="s">
        <v>593</v>
      </c>
    </row>
    <row r="761" spans="1:10" x14ac:dyDescent="0.35">
      <c r="A761" t="s">
        <v>699</v>
      </c>
      <c r="B761" t="s">
        <v>591</v>
      </c>
      <c r="C761" t="s">
        <v>592</v>
      </c>
      <c r="D761" s="1">
        <v>46224</v>
      </c>
      <c r="E761">
        <v>4.0090750000000001E-2</v>
      </c>
      <c r="F761" t="s">
        <v>5634</v>
      </c>
      <c r="G761" s="1">
        <v>46224.775895567131</v>
      </c>
      <c r="H761" t="s">
        <v>593</v>
      </c>
      <c r="I761" s="1">
        <v>46224.775895486113</v>
      </c>
      <c r="J761" t="s">
        <v>593</v>
      </c>
    </row>
    <row r="762" spans="1:10" x14ac:dyDescent="0.35">
      <c r="A762" t="s">
        <v>700</v>
      </c>
      <c r="B762" t="s">
        <v>591</v>
      </c>
      <c r="C762" t="s">
        <v>592</v>
      </c>
      <c r="D762" s="1">
        <v>46224</v>
      </c>
      <c r="E762">
        <v>4.0472099999999997E-2</v>
      </c>
      <c r="F762" t="s">
        <v>5635</v>
      </c>
      <c r="G762" s="1">
        <v>46224.77589571759</v>
      </c>
      <c r="H762" t="s">
        <v>593</v>
      </c>
      <c r="I762" s="1">
        <v>46224.775895682869</v>
      </c>
      <c r="J762" t="s">
        <v>593</v>
      </c>
    </row>
    <row r="763" spans="1:10" x14ac:dyDescent="0.35">
      <c r="A763" t="s">
        <v>701</v>
      </c>
      <c r="B763" t="s">
        <v>591</v>
      </c>
      <c r="C763" t="s">
        <v>592</v>
      </c>
      <c r="D763" s="1">
        <v>46224</v>
      </c>
      <c r="E763">
        <v>4.088075E-2</v>
      </c>
      <c r="F763" t="s">
        <v>5636</v>
      </c>
      <c r="G763" s="1">
        <v>46224.775895833336</v>
      </c>
      <c r="H763" t="s">
        <v>593</v>
      </c>
      <c r="I763" s="1">
        <v>46224.775895868057</v>
      </c>
      <c r="J763" t="s">
        <v>593</v>
      </c>
    </row>
    <row r="764" spans="1:10" x14ac:dyDescent="0.35">
      <c r="A764" t="s">
        <v>702</v>
      </c>
      <c r="B764" t="s">
        <v>591</v>
      </c>
      <c r="C764" t="s">
        <v>592</v>
      </c>
      <c r="D764" s="1">
        <v>46224</v>
      </c>
      <c r="E764">
        <v>4.1254350000000002E-2</v>
      </c>
      <c r="F764" t="s">
        <v>5637</v>
      </c>
      <c r="G764" s="1">
        <v>46224.775895983796</v>
      </c>
      <c r="H764" t="s">
        <v>593</v>
      </c>
      <c r="I764" s="1">
        <v>46224.775896030093</v>
      </c>
      <c r="J764" t="s">
        <v>593</v>
      </c>
    </row>
    <row r="765" spans="1:10" x14ac:dyDescent="0.35">
      <c r="A765" t="s">
        <v>703</v>
      </c>
      <c r="B765" t="s">
        <v>591</v>
      </c>
      <c r="C765" t="s">
        <v>592</v>
      </c>
      <c r="D765" s="1">
        <v>46224</v>
      </c>
      <c r="E765">
        <v>4.1599499999999998E-2</v>
      </c>
      <c r="F765" t="s">
        <v>5638</v>
      </c>
      <c r="G765" s="1">
        <v>46224.775896145831</v>
      </c>
      <c r="H765" t="s">
        <v>593</v>
      </c>
      <c r="I765" s="1">
        <v>46224.77589621528</v>
      </c>
      <c r="J765" t="s">
        <v>593</v>
      </c>
    </row>
    <row r="766" spans="1:10" x14ac:dyDescent="0.35">
      <c r="A766" t="s">
        <v>704</v>
      </c>
      <c r="B766" t="s">
        <v>600</v>
      </c>
      <c r="C766" t="s">
        <v>592</v>
      </c>
      <c r="D766" s="1">
        <v>46224</v>
      </c>
      <c r="E766">
        <v>106.33499999999999</v>
      </c>
      <c r="F766" t="s">
        <v>4314</v>
      </c>
      <c r="G766" s="1">
        <v>46224.771787731479</v>
      </c>
      <c r="H766" t="s">
        <v>593</v>
      </c>
      <c r="I766" s="1">
        <v>46224.771787812497</v>
      </c>
      <c r="J766" t="s">
        <v>593</v>
      </c>
    </row>
    <row r="767" spans="1:10" x14ac:dyDescent="0.35">
      <c r="A767" t="s">
        <v>705</v>
      </c>
      <c r="B767" t="s">
        <v>600</v>
      </c>
      <c r="C767" t="s">
        <v>592</v>
      </c>
      <c r="D767" s="1">
        <v>46224</v>
      </c>
      <c r="E767">
        <v>105.77</v>
      </c>
      <c r="F767" t="s">
        <v>4314</v>
      </c>
      <c r="G767" s="1">
        <v>46224.771787731479</v>
      </c>
      <c r="H767" t="s">
        <v>593</v>
      </c>
      <c r="I767" s="1">
        <v>46224.771787812497</v>
      </c>
      <c r="J767" t="s">
        <v>593</v>
      </c>
    </row>
    <row r="768" spans="1:10" x14ac:dyDescent="0.35">
      <c r="A768" t="s">
        <v>706</v>
      </c>
      <c r="B768" t="s">
        <v>591</v>
      </c>
      <c r="C768" t="s">
        <v>592</v>
      </c>
      <c r="D768" s="1">
        <v>46224</v>
      </c>
      <c r="E768">
        <v>4.7278403812783899E-2</v>
      </c>
      <c r="F768" t="s">
        <v>5002</v>
      </c>
      <c r="G768" s="1">
        <v>46224.771787731479</v>
      </c>
      <c r="H768" t="s">
        <v>593</v>
      </c>
      <c r="I768" s="1">
        <v>46224.771787812497</v>
      </c>
      <c r="J768" t="s">
        <v>593</v>
      </c>
    </row>
    <row r="769" spans="1:10" x14ac:dyDescent="0.35">
      <c r="A769" t="s">
        <v>707</v>
      </c>
      <c r="B769" t="s">
        <v>591</v>
      </c>
      <c r="C769" t="s">
        <v>592</v>
      </c>
      <c r="D769" s="1">
        <v>46224</v>
      </c>
      <c r="E769">
        <v>4.7309139481878003E-2</v>
      </c>
      <c r="F769" t="s">
        <v>5003</v>
      </c>
      <c r="G769" s="1">
        <v>46224.771787731479</v>
      </c>
      <c r="H769" t="s">
        <v>593</v>
      </c>
      <c r="I769" s="1">
        <v>46224.771787812497</v>
      </c>
      <c r="J769" t="s">
        <v>593</v>
      </c>
    </row>
    <row r="770" spans="1:10" x14ac:dyDescent="0.35">
      <c r="A770" t="s">
        <v>708</v>
      </c>
      <c r="B770" t="s">
        <v>600</v>
      </c>
      <c r="C770" t="s">
        <v>592</v>
      </c>
      <c r="D770" s="1">
        <v>46224</v>
      </c>
      <c r="E770">
        <v>106.55</v>
      </c>
      <c r="G770" s="1">
        <v>46224.770106215277</v>
      </c>
      <c r="H770" t="s">
        <v>5588</v>
      </c>
      <c r="I770" s="1">
        <v>46224.770106099539</v>
      </c>
      <c r="J770" t="s">
        <v>5588</v>
      </c>
    </row>
    <row r="771" spans="1:10" x14ac:dyDescent="0.35">
      <c r="A771" t="s">
        <v>708</v>
      </c>
      <c r="B771" t="s">
        <v>591</v>
      </c>
      <c r="C771" t="s">
        <v>592</v>
      </c>
      <c r="D771" s="1">
        <v>46224</v>
      </c>
      <c r="E771">
        <v>1.88117411510281E-2</v>
      </c>
      <c r="F771" t="s">
        <v>5004</v>
      </c>
      <c r="G771" s="1">
        <v>46224.771787731479</v>
      </c>
      <c r="H771" t="s">
        <v>593</v>
      </c>
      <c r="I771" s="1">
        <v>46224.771787812497</v>
      </c>
      <c r="J771" t="s">
        <v>593</v>
      </c>
    </row>
    <row r="772" spans="1:10" x14ac:dyDescent="0.35">
      <c r="A772" t="s">
        <v>709</v>
      </c>
      <c r="B772" t="s">
        <v>591</v>
      </c>
      <c r="C772" t="s">
        <v>592</v>
      </c>
      <c r="D772" s="1">
        <v>46224</v>
      </c>
      <c r="E772">
        <v>3.9757384425198002E-2</v>
      </c>
      <c r="F772" t="s">
        <v>5005</v>
      </c>
      <c r="G772" s="1">
        <v>46224.771787731479</v>
      </c>
      <c r="H772" t="s">
        <v>593</v>
      </c>
      <c r="I772" s="1">
        <v>46224.771787812497</v>
      </c>
      <c r="J772" t="s">
        <v>593</v>
      </c>
    </row>
    <row r="773" spans="1:10" x14ac:dyDescent="0.35">
      <c r="A773" t="s">
        <v>710</v>
      </c>
      <c r="B773" t="s">
        <v>591</v>
      </c>
      <c r="C773" t="s">
        <v>592</v>
      </c>
      <c r="D773" s="1">
        <v>46224</v>
      </c>
      <c r="E773">
        <v>3.9066619743347401E-2</v>
      </c>
      <c r="F773" t="s">
        <v>5006</v>
      </c>
      <c r="G773" s="1">
        <v>46224.771787731479</v>
      </c>
      <c r="H773" t="s">
        <v>593</v>
      </c>
      <c r="I773" s="1">
        <v>46224.771787812497</v>
      </c>
      <c r="J773" t="s">
        <v>593</v>
      </c>
    </row>
    <row r="774" spans="1:10" x14ac:dyDescent="0.35">
      <c r="A774" t="s">
        <v>711</v>
      </c>
      <c r="B774" t="s">
        <v>591</v>
      </c>
      <c r="C774" t="s">
        <v>592</v>
      </c>
      <c r="D774" s="1">
        <v>46224</v>
      </c>
      <c r="E774">
        <v>2.54060245601463E-2</v>
      </c>
      <c r="F774" t="s">
        <v>5007</v>
      </c>
      <c r="G774" s="1">
        <v>46224.771787731479</v>
      </c>
      <c r="H774" t="s">
        <v>593</v>
      </c>
      <c r="I774" s="1">
        <v>46224.771787812497</v>
      </c>
      <c r="J774" t="s">
        <v>593</v>
      </c>
    </row>
    <row r="775" spans="1:10" x14ac:dyDescent="0.35">
      <c r="A775" t="s">
        <v>712</v>
      </c>
      <c r="B775" t="s">
        <v>600</v>
      </c>
      <c r="C775" t="s">
        <v>592</v>
      </c>
      <c r="D775" s="1">
        <v>46224</v>
      </c>
      <c r="E775">
        <v>0</v>
      </c>
      <c r="G775" s="1">
        <v>46224.770106215277</v>
      </c>
      <c r="H775" t="s">
        <v>5588</v>
      </c>
      <c r="I775" s="1">
        <v>46224.770106099539</v>
      </c>
      <c r="J775" t="s">
        <v>5588</v>
      </c>
    </row>
    <row r="776" spans="1:10" x14ac:dyDescent="0.35">
      <c r="A776" t="s">
        <v>712</v>
      </c>
      <c r="B776" t="s">
        <v>591</v>
      </c>
      <c r="C776" t="s">
        <v>592</v>
      </c>
      <c r="D776" s="1">
        <v>46224</v>
      </c>
      <c r="E776">
        <v>1.8859174705166602E-2</v>
      </c>
      <c r="F776" t="s">
        <v>5008</v>
      </c>
      <c r="G776" s="1">
        <v>46224.771787731479</v>
      </c>
      <c r="H776" t="s">
        <v>593</v>
      </c>
      <c r="I776" s="1">
        <v>46224.771787812497</v>
      </c>
      <c r="J776" t="s">
        <v>593</v>
      </c>
    </row>
    <row r="777" spans="1:10" x14ac:dyDescent="0.35">
      <c r="A777" t="s">
        <v>713</v>
      </c>
      <c r="B777" t="s">
        <v>591</v>
      </c>
      <c r="C777" t="s">
        <v>592</v>
      </c>
      <c r="D777" s="1">
        <v>46224</v>
      </c>
      <c r="E777">
        <v>2.80840089138942E-2</v>
      </c>
      <c r="F777" t="s">
        <v>5009</v>
      </c>
      <c r="G777" s="1">
        <v>46224.771787731479</v>
      </c>
      <c r="H777" t="s">
        <v>593</v>
      </c>
      <c r="I777" s="1">
        <v>46224.771787812497</v>
      </c>
      <c r="J777" t="s">
        <v>593</v>
      </c>
    </row>
    <row r="778" spans="1:10" x14ac:dyDescent="0.35">
      <c r="A778" t="s">
        <v>714</v>
      </c>
      <c r="B778" t="s">
        <v>591</v>
      </c>
      <c r="C778" t="s">
        <v>592</v>
      </c>
      <c r="D778" s="1">
        <v>46224</v>
      </c>
      <c r="E778">
        <v>3.9686066013516499E-2</v>
      </c>
      <c r="F778" t="s">
        <v>5010</v>
      </c>
      <c r="G778" s="1">
        <v>46224.771787731479</v>
      </c>
      <c r="H778" t="s">
        <v>593</v>
      </c>
      <c r="I778" s="1">
        <v>46224.771787812497</v>
      </c>
      <c r="J778" t="s">
        <v>593</v>
      </c>
    </row>
    <row r="779" spans="1:10" x14ac:dyDescent="0.35">
      <c r="A779" t="s">
        <v>715</v>
      </c>
      <c r="B779" t="s">
        <v>591</v>
      </c>
      <c r="C779" t="s">
        <v>592</v>
      </c>
      <c r="D779" s="1">
        <v>46224</v>
      </c>
      <c r="E779">
        <v>2.9167881068174899E-2</v>
      </c>
      <c r="F779" t="s">
        <v>5011</v>
      </c>
      <c r="G779" s="1">
        <v>46224.771787731479</v>
      </c>
      <c r="H779" t="s">
        <v>593</v>
      </c>
      <c r="I779" s="1">
        <v>46224.771787812497</v>
      </c>
      <c r="J779" t="s">
        <v>593</v>
      </c>
    </row>
    <row r="780" spans="1:10" x14ac:dyDescent="0.35">
      <c r="A780" t="s">
        <v>716</v>
      </c>
      <c r="B780" t="s">
        <v>591</v>
      </c>
      <c r="C780" t="s">
        <v>592</v>
      </c>
      <c r="D780" s="1">
        <v>46224</v>
      </c>
      <c r="E780">
        <v>3.0871248242368698E-2</v>
      </c>
      <c r="F780" t="s">
        <v>5012</v>
      </c>
      <c r="G780" s="1">
        <v>46224.771787731479</v>
      </c>
      <c r="H780" t="s">
        <v>593</v>
      </c>
      <c r="I780" s="1">
        <v>46224.771787812497</v>
      </c>
      <c r="J780" t="s">
        <v>593</v>
      </c>
    </row>
    <row r="781" spans="1:10" x14ac:dyDescent="0.35">
      <c r="A781" t="s">
        <v>717</v>
      </c>
      <c r="B781" t="s">
        <v>591</v>
      </c>
      <c r="C781" t="s">
        <v>592</v>
      </c>
      <c r="D781" s="1">
        <v>46224</v>
      </c>
      <c r="E781">
        <v>3.1111384896045299E-2</v>
      </c>
      <c r="F781" t="s">
        <v>5013</v>
      </c>
      <c r="G781" s="1">
        <v>46224.771787731479</v>
      </c>
      <c r="H781" t="s">
        <v>593</v>
      </c>
      <c r="I781" s="1">
        <v>46224.771787812497</v>
      </c>
      <c r="J781" t="s">
        <v>593</v>
      </c>
    </row>
    <row r="782" spans="1:10" x14ac:dyDescent="0.35">
      <c r="A782" t="s">
        <v>718</v>
      </c>
      <c r="B782" t="s">
        <v>591</v>
      </c>
      <c r="C782" t="s">
        <v>592</v>
      </c>
      <c r="D782" s="1">
        <v>46224</v>
      </c>
      <c r="E782">
        <v>2.2958709724013301E-2</v>
      </c>
      <c r="F782" t="s">
        <v>5014</v>
      </c>
      <c r="G782" s="1">
        <v>46224.771787731479</v>
      </c>
      <c r="H782" t="s">
        <v>593</v>
      </c>
      <c r="I782" s="1">
        <v>46224.771787812497</v>
      </c>
      <c r="J782" t="s">
        <v>593</v>
      </c>
    </row>
    <row r="783" spans="1:10" x14ac:dyDescent="0.35">
      <c r="A783" t="s">
        <v>719</v>
      </c>
      <c r="B783" t="s">
        <v>591</v>
      </c>
      <c r="C783" t="s">
        <v>592</v>
      </c>
      <c r="D783" s="1">
        <v>46224</v>
      </c>
      <c r="E783">
        <v>3.1735214265364201E-2</v>
      </c>
      <c r="F783" t="s">
        <v>5015</v>
      </c>
      <c r="G783" s="1">
        <v>46224.771787731479</v>
      </c>
      <c r="H783" t="s">
        <v>593</v>
      </c>
      <c r="I783" s="1">
        <v>46224.771787812497</v>
      </c>
      <c r="J783" t="s">
        <v>593</v>
      </c>
    </row>
    <row r="784" spans="1:10" x14ac:dyDescent="0.35">
      <c r="A784" t="s">
        <v>720</v>
      </c>
      <c r="B784" t="s">
        <v>600</v>
      </c>
      <c r="C784" t="s">
        <v>592</v>
      </c>
      <c r="D784" s="1">
        <v>46224</v>
      </c>
      <c r="E784">
        <v>0</v>
      </c>
      <c r="G784" s="1">
        <v>46224.770106215277</v>
      </c>
      <c r="H784" t="s">
        <v>5588</v>
      </c>
      <c r="I784" s="1">
        <v>46224.770106099539</v>
      </c>
      <c r="J784" t="s">
        <v>5588</v>
      </c>
    </row>
    <row r="785" spans="1:10" x14ac:dyDescent="0.35">
      <c r="A785" t="s">
        <v>720</v>
      </c>
      <c r="B785" t="s">
        <v>591</v>
      </c>
      <c r="C785" t="s">
        <v>592</v>
      </c>
      <c r="D785" s="1">
        <v>46224</v>
      </c>
      <c r="E785">
        <v>1.8496433406992901E-2</v>
      </c>
      <c r="F785" t="s">
        <v>5016</v>
      </c>
      <c r="G785" s="1">
        <v>46224.771787731479</v>
      </c>
      <c r="H785" t="s">
        <v>593</v>
      </c>
      <c r="I785" s="1">
        <v>46224.771787812497</v>
      </c>
      <c r="J785" t="s">
        <v>593</v>
      </c>
    </row>
    <row r="786" spans="1:10" x14ac:dyDescent="0.35">
      <c r="A786" t="s">
        <v>721</v>
      </c>
      <c r="B786" t="s">
        <v>591</v>
      </c>
      <c r="C786" t="s">
        <v>592</v>
      </c>
      <c r="D786" s="1">
        <v>46224</v>
      </c>
      <c r="E786">
        <v>3.9786160766748402E-2</v>
      </c>
      <c r="F786" t="s">
        <v>5017</v>
      </c>
      <c r="G786" s="1">
        <v>46224.771787731479</v>
      </c>
      <c r="H786" t="s">
        <v>593</v>
      </c>
      <c r="I786" s="1">
        <v>46224.771787812497</v>
      </c>
      <c r="J786" t="s">
        <v>593</v>
      </c>
    </row>
    <row r="787" spans="1:10" x14ac:dyDescent="0.35">
      <c r="A787" t="s">
        <v>722</v>
      </c>
      <c r="B787" t="s">
        <v>591</v>
      </c>
      <c r="C787" t="s">
        <v>592</v>
      </c>
      <c r="D787" s="1">
        <v>46224</v>
      </c>
      <c r="E787">
        <v>2.4516748495669798E-2</v>
      </c>
      <c r="F787" t="s">
        <v>5018</v>
      </c>
      <c r="G787" s="1">
        <v>46224.771787731479</v>
      </c>
      <c r="H787" t="s">
        <v>593</v>
      </c>
      <c r="I787" s="1">
        <v>46224.771787812497</v>
      </c>
      <c r="J787" t="s">
        <v>593</v>
      </c>
    </row>
    <row r="788" spans="1:10" x14ac:dyDescent="0.35">
      <c r="A788" t="s">
        <v>723</v>
      </c>
      <c r="B788" t="s">
        <v>591</v>
      </c>
      <c r="C788" t="s">
        <v>592</v>
      </c>
      <c r="D788" s="1">
        <v>46224</v>
      </c>
      <c r="E788">
        <v>3.21552987187054E-2</v>
      </c>
      <c r="F788" t="s">
        <v>5019</v>
      </c>
      <c r="G788" s="1">
        <v>46224.771787731479</v>
      </c>
      <c r="H788" t="s">
        <v>593</v>
      </c>
      <c r="I788" s="1">
        <v>46224.771787812497</v>
      </c>
      <c r="J788" t="s">
        <v>593</v>
      </c>
    </row>
    <row r="789" spans="1:10" x14ac:dyDescent="0.35">
      <c r="A789" t="s">
        <v>724</v>
      </c>
      <c r="B789" t="s">
        <v>591</v>
      </c>
      <c r="C789" t="s">
        <v>592</v>
      </c>
      <c r="D789" s="1">
        <v>46224</v>
      </c>
      <c r="E789">
        <v>3.2570035963318401E-2</v>
      </c>
      <c r="F789" t="s">
        <v>5020</v>
      </c>
      <c r="G789" s="1">
        <v>46224.771787731479</v>
      </c>
      <c r="H789" t="s">
        <v>593</v>
      </c>
      <c r="I789" s="1">
        <v>46224.771787812497</v>
      </c>
      <c r="J789" t="s">
        <v>593</v>
      </c>
    </row>
    <row r="790" spans="1:10" x14ac:dyDescent="0.35">
      <c r="A790" t="s">
        <v>725</v>
      </c>
      <c r="B790" t="s">
        <v>591</v>
      </c>
      <c r="C790" t="s">
        <v>592</v>
      </c>
      <c r="D790" s="1">
        <v>46224</v>
      </c>
      <c r="E790">
        <v>2.9998874528839599E-2</v>
      </c>
      <c r="F790" t="s">
        <v>5021</v>
      </c>
      <c r="G790" s="1">
        <v>46224.771787731479</v>
      </c>
      <c r="H790" t="s">
        <v>593</v>
      </c>
      <c r="I790" s="1">
        <v>46224.771787812497</v>
      </c>
      <c r="J790" t="s">
        <v>593</v>
      </c>
    </row>
    <row r="791" spans="1:10" x14ac:dyDescent="0.35">
      <c r="A791" t="s">
        <v>726</v>
      </c>
      <c r="B791" t="s">
        <v>591</v>
      </c>
      <c r="C791" t="s">
        <v>592</v>
      </c>
      <c r="D791" s="1">
        <v>46224</v>
      </c>
      <c r="E791">
        <v>2.63783375940079E-2</v>
      </c>
      <c r="F791" t="s">
        <v>5022</v>
      </c>
      <c r="G791" s="1">
        <v>46224.771787731479</v>
      </c>
      <c r="H791" t="s">
        <v>593</v>
      </c>
      <c r="I791" s="1">
        <v>46224.771787812497</v>
      </c>
      <c r="J791" t="s">
        <v>593</v>
      </c>
    </row>
    <row r="792" spans="1:10" x14ac:dyDescent="0.35">
      <c r="A792" t="s">
        <v>727</v>
      </c>
      <c r="B792" t="s">
        <v>591</v>
      </c>
      <c r="C792" t="s">
        <v>592</v>
      </c>
      <c r="D792" s="1">
        <v>46224</v>
      </c>
      <c r="E792">
        <v>3.2932724473368799E-2</v>
      </c>
      <c r="F792" t="s">
        <v>5023</v>
      </c>
      <c r="G792" s="1">
        <v>46224.771787731479</v>
      </c>
      <c r="H792" t="s">
        <v>593</v>
      </c>
      <c r="I792" s="1">
        <v>46224.771787812497</v>
      </c>
      <c r="J792" t="s">
        <v>593</v>
      </c>
    </row>
    <row r="793" spans="1:10" x14ac:dyDescent="0.35">
      <c r="A793" t="s">
        <v>728</v>
      </c>
      <c r="B793" t="s">
        <v>591</v>
      </c>
      <c r="C793" t="s">
        <v>592</v>
      </c>
      <c r="D793" s="1">
        <v>46224</v>
      </c>
      <c r="E793">
        <v>2.7862620203052999E-2</v>
      </c>
      <c r="F793" t="s">
        <v>5024</v>
      </c>
      <c r="G793" s="1">
        <v>46224.771787731479</v>
      </c>
      <c r="H793" t="s">
        <v>593</v>
      </c>
      <c r="I793" s="1">
        <v>46224.771787812497</v>
      </c>
      <c r="J793" t="s">
        <v>593</v>
      </c>
    </row>
    <row r="794" spans="1:10" x14ac:dyDescent="0.35">
      <c r="A794" t="s">
        <v>729</v>
      </c>
      <c r="B794" t="s">
        <v>591</v>
      </c>
      <c r="C794" t="s">
        <v>592</v>
      </c>
      <c r="D794" s="1">
        <v>46224</v>
      </c>
      <c r="E794">
        <v>2.63017987281529E-2</v>
      </c>
      <c r="F794" t="s">
        <v>5025</v>
      </c>
      <c r="G794" s="1">
        <v>46224.771787731479</v>
      </c>
      <c r="H794" t="s">
        <v>593</v>
      </c>
      <c r="I794" s="1">
        <v>46224.771787812497</v>
      </c>
      <c r="J794" t="s">
        <v>593</v>
      </c>
    </row>
    <row r="795" spans="1:10" x14ac:dyDescent="0.35">
      <c r="A795" t="s">
        <v>730</v>
      </c>
      <c r="B795" t="s">
        <v>591</v>
      </c>
      <c r="C795" t="s">
        <v>592</v>
      </c>
      <c r="D795" s="1">
        <v>46224</v>
      </c>
      <c r="E795">
        <v>3.9767863491031299E-2</v>
      </c>
      <c r="F795" t="s">
        <v>5026</v>
      </c>
      <c r="G795" s="1">
        <v>46224.771787731479</v>
      </c>
      <c r="H795" t="s">
        <v>593</v>
      </c>
      <c r="I795" s="1">
        <v>46224.771787812497</v>
      </c>
      <c r="J795" t="s">
        <v>593</v>
      </c>
    </row>
    <row r="796" spans="1:10" x14ac:dyDescent="0.35">
      <c r="A796" t="s">
        <v>731</v>
      </c>
      <c r="B796" t="s">
        <v>591</v>
      </c>
      <c r="C796" t="s">
        <v>592</v>
      </c>
      <c r="D796" s="1">
        <v>46224</v>
      </c>
      <c r="E796">
        <v>3.3301598058684698E-2</v>
      </c>
      <c r="F796" t="s">
        <v>5027</v>
      </c>
      <c r="G796" s="1">
        <v>46224.771787731479</v>
      </c>
      <c r="H796" t="s">
        <v>593</v>
      </c>
      <c r="I796" s="1">
        <v>46224.771787812497</v>
      </c>
      <c r="J796" t="s">
        <v>593</v>
      </c>
    </row>
    <row r="797" spans="1:10" x14ac:dyDescent="0.35">
      <c r="A797" t="s">
        <v>732</v>
      </c>
      <c r="B797" t="s">
        <v>591</v>
      </c>
      <c r="C797" t="s">
        <v>592</v>
      </c>
      <c r="D797" s="1">
        <v>46224</v>
      </c>
      <c r="E797">
        <v>2.8659101967470402E-2</v>
      </c>
      <c r="F797" t="s">
        <v>5028</v>
      </c>
      <c r="G797" s="1">
        <v>46224.771787731479</v>
      </c>
      <c r="H797" t="s">
        <v>593</v>
      </c>
      <c r="I797" s="1">
        <v>46224.771787812497</v>
      </c>
      <c r="J797" t="s">
        <v>593</v>
      </c>
    </row>
    <row r="798" spans="1:10" x14ac:dyDescent="0.35">
      <c r="A798" t="s">
        <v>733</v>
      </c>
      <c r="B798" t="s">
        <v>591</v>
      </c>
      <c r="C798" t="s">
        <v>592</v>
      </c>
      <c r="D798" s="1">
        <v>46224</v>
      </c>
      <c r="E798">
        <v>3.3684900468417198E-2</v>
      </c>
      <c r="F798" t="s">
        <v>5029</v>
      </c>
      <c r="G798" s="1">
        <v>46224.771787731479</v>
      </c>
      <c r="H798" t="s">
        <v>593</v>
      </c>
      <c r="I798" s="1">
        <v>46224.771787812497</v>
      </c>
      <c r="J798" t="s">
        <v>593</v>
      </c>
    </row>
    <row r="799" spans="1:10" x14ac:dyDescent="0.35">
      <c r="A799" t="s">
        <v>734</v>
      </c>
      <c r="B799" t="s">
        <v>591</v>
      </c>
      <c r="C799" t="s">
        <v>592</v>
      </c>
      <c r="D799" s="1">
        <v>46224</v>
      </c>
      <c r="E799">
        <v>2.93499843897242E-2</v>
      </c>
      <c r="F799" t="s">
        <v>5030</v>
      </c>
      <c r="G799" s="1">
        <v>46224.771787731479</v>
      </c>
      <c r="H799" t="s">
        <v>593</v>
      </c>
      <c r="I799" s="1">
        <v>46224.771787812497</v>
      </c>
      <c r="J799" t="s">
        <v>593</v>
      </c>
    </row>
    <row r="800" spans="1:10" x14ac:dyDescent="0.35">
      <c r="A800" t="s">
        <v>735</v>
      </c>
      <c r="B800" t="s">
        <v>591</v>
      </c>
      <c r="C800" t="s">
        <v>592</v>
      </c>
      <c r="D800" s="1">
        <v>46224</v>
      </c>
      <c r="E800">
        <v>3.4063908617101901E-2</v>
      </c>
      <c r="F800" t="s">
        <v>5031</v>
      </c>
      <c r="G800" s="1">
        <v>46224.771787731479</v>
      </c>
      <c r="H800" t="s">
        <v>593</v>
      </c>
      <c r="I800" s="1">
        <v>46224.771787812497</v>
      </c>
      <c r="J800" t="s">
        <v>593</v>
      </c>
    </row>
    <row r="801" spans="1:10" x14ac:dyDescent="0.35">
      <c r="A801" t="s">
        <v>736</v>
      </c>
      <c r="B801" t="s">
        <v>591</v>
      </c>
      <c r="C801" t="s">
        <v>592</v>
      </c>
      <c r="D801" s="1">
        <v>46224</v>
      </c>
      <c r="E801">
        <v>3.3775931795903602E-2</v>
      </c>
      <c r="F801" t="s">
        <v>5032</v>
      </c>
      <c r="G801" s="1">
        <v>46224.771787731479</v>
      </c>
      <c r="H801" t="s">
        <v>593</v>
      </c>
      <c r="I801" s="1">
        <v>46224.771787812497</v>
      </c>
      <c r="J801" t="s">
        <v>593</v>
      </c>
    </row>
    <row r="802" spans="1:10" x14ac:dyDescent="0.35">
      <c r="A802" t="s">
        <v>737</v>
      </c>
      <c r="B802" t="s">
        <v>591</v>
      </c>
      <c r="C802" t="s">
        <v>592</v>
      </c>
      <c r="D802" s="1">
        <v>46224</v>
      </c>
      <c r="E802">
        <v>2.9998392309270001E-2</v>
      </c>
      <c r="F802" t="s">
        <v>5033</v>
      </c>
      <c r="G802" s="1">
        <v>46224.771787731479</v>
      </c>
      <c r="H802" t="s">
        <v>593</v>
      </c>
      <c r="I802" s="1">
        <v>46224.771787812497</v>
      </c>
      <c r="J802" t="s">
        <v>593</v>
      </c>
    </row>
    <row r="803" spans="1:10" x14ac:dyDescent="0.35">
      <c r="A803" t="s">
        <v>738</v>
      </c>
      <c r="B803" t="s">
        <v>591</v>
      </c>
      <c r="C803" t="s">
        <v>592</v>
      </c>
      <c r="D803" s="1">
        <v>46224</v>
      </c>
      <c r="E803">
        <v>2.2016323051086199E-2</v>
      </c>
      <c r="F803" t="s">
        <v>5034</v>
      </c>
      <c r="G803" s="1">
        <v>46224.771787731479</v>
      </c>
      <c r="H803" t="s">
        <v>593</v>
      </c>
      <c r="I803" s="1">
        <v>46224.771787812497</v>
      </c>
      <c r="J803" t="s">
        <v>593</v>
      </c>
    </row>
    <row r="804" spans="1:10" x14ac:dyDescent="0.35">
      <c r="A804" t="s">
        <v>739</v>
      </c>
      <c r="B804" t="s">
        <v>591</v>
      </c>
      <c r="C804" t="s">
        <v>592</v>
      </c>
      <c r="D804" s="1">
        <v>46224</v>
      </c>
      <c r="E804">
        <v>3.4387927368435003E-2</v>
      </c>
      <c r="F804" t="s">
        <v>5035</v>
      </c>
      <c r="G804" s="1">
        <v>46224.771787731479</v>
      </c>
      <c r="H804" t="s">
        <v>593</v>
      </c>
      <c r="I804" s="1">
        <v>46224.771787812497</v>
      </c>
      <c r="J804" t="s">
        <v>593</v>
      </c>
    </row>
    <row r="805" spans="1:10" x14ac:dyDescent="0.35">
      <c r="A805" t="s">
        <v>740</v>
      </c>
      <c r="B805" t="s">
        <v>591</v>
      </c>
      <c r="C805" t="s">
        <v>592</v>
      </c>
      <c r="D805" s="1">
        <v>46224</v>
      </c>
      <c r="E805">
        <v>2.3613498709703199E-2</v>
      </c>
      <c r="F805" t="s">
        <v>5036</v>
      </c>
      <c r="G805" s="1">
        <v>46224.771787731479</v>
      </c>
      <c r="H805" t="s">
        <v>593</v>
      </c>
      <c r="I805" s="1">
        <v>46224.771787812497</v>
      </c>
      <c r="J805" t="s">
        <v>593</v>
      </c>
    </row>
    <row r="806" spans="1:10" x14ac:dyDescent="0.35">
      <c r="A806" t="s">
        <v>741</v>
      </c>
      <c r="B806" t="s">
        <v>591</v>
      </c>
      <c r="C806" t="s">
        <v>592</v>
      </c>
      <c r="D806" s="1">
        <v>46224</v>
      </c>
      <c r="E806">
        <v>3.0678220261428499E-2</v>
      </c>
      <c r="F806" t="s">
        <v>5037</v>
      </c>
      <c r="G806" s="1">
        <v>46224.771787731479</v>
      </c>
      <c r="H806" t="s">
        <v>593</v>
      </c>
      <c r="I806" s="1">
        <v>46224.771787812497</v>
      </c>
      <c r="J806" t="s">
        <v>593</v>
      </c>
    </row>
    <row r="807" spans="1:10" x14ac:dyDescent="0.35">
      <c r="A807" t="s">
        <v>742</v>
      </c>
      <c r="B807" t="s">
        <v>591</v>
      </c>
      <c r="C807" t="s">
        <v>592</v>
      </c>
      <c r="D807" s="1">
        <v>46224</v>
      </c>
      <c r="E807">
        <v>2.41290786513506E-2</v>
      </c>
      <c r="F807" t="s">
        <v>5038</v>
      </c>
      <c r="G807" s="1">
        <v>46224.771787731479</v>
      </c>
      <c r="H807" t="s">
        <v>593</v>
      </c>
      <c r="I807" s="1">
        <v>46224.771787812497</v>
      </c>
      <c r="J807" t="s">
        <v>593</v>
      </c>
    </row>
    <row r="808" spans="1:10" x14ac:dyDescent="0.35">
      <c r="A808" t="s">
        <v>743</v>
      </c>
      <c r="B808" t="s">
        <v>591</v>
      </c>
      <c r="C808" t="s">
        <v>592</v>
      </c>
      <c r="D808" s="1">
        <v>46224</v>
      </c>
      <c r="E808">
        <v>3.4771150471446403E-2</v>
      </c>
      <c r="F808" t="s">
        <v>5039</v>
      </c>
      <c r="G808" s="1">
        <v>46224.771787731479</v>
      </c>
      <c r="H808" t="s">
        <v>593</v>
      </c>
      <c r="I808" s="1">
        <v>46224.771787812497</v>
      </c>
      <c r="J808" t="s">
        <v>593</v>
      </c>
    </row>
    <row r="809" spans="1:10" x14ac:dyDescent="0.35">
      <c r="A809" t="s">
        <v>744</v>
      </c>
      <c r="B809" t="s">
        <v>591</v>
      </c>
      <c r="C809" t="s">
        <v>592</v>
      </c>
      <c r="D809" s="1">
        <v>46224</v>
      </c>
      <c r="E809">
        <v>3.97309089654257E-2</v>
      </c>
      <c r="F809" t="s">
        <v>5040</v>
      </c>
      <c r="G809" s="1">
        <v>46224.771787731479</v>
      </c>
      <c r="H809" t="s">
        <v>593</v>
      </c>
      <c r="I809" s="1">
        <v>46224.771787812497</v>
      </c>
      <c r="J809" t="s">
        <v>593</v>
      </c>
    </row>
    <row r="810" spans="1:10" x14ac:dyDescent="0.35">
      <c r="A810" t="s">
        <v>745</v>
      </c>
      <c r="B810" t="s">
        <v>591</v>
      </c>
      <c r="C810" t="s">
        <v>592</v>
      </c>
      <c r="D810" s="1">
        <v>46224</v>
      </c>
      <c r="E810">
        <v>2.5105973464211898E-2</v>
      </c>
      <c r="F810" t="s">
        <v>5041</v>
      </c>
      <c r="G810" s="1">
        <v>46224.771787731479</v>
      </c>
      <c r="H810" t="s">
        <v>593</v>
      </c>
      <c r="I810" s="1">
        <v>46224.771787812497</v>
      </c>
      <c r="J810" t="s">
        <v>593</v>
      </c>
    </row>
    <row r="811" spans="1:10" x14ac:dyDescent="0.35">
      <c r="A811" t="s">
        <v>746</v>
      </c>
      <c r="B811" t="s">
        <v>591</v>
      </c>
      <c r="C811" t="s">
        <v>592</v>
      </c>
      <c r="D811" s="1">
        <v>46224</v>
      </c>
      <c r="E811">
        <v>3.2188607380572602E-2</v>
      </c>
      <c r="F811" t="s">
        <v>5042</v>
      </c>
      <c r="G811" s="1">
        <v>46224.771787731479</v>
      </c>
      <c r="H811" t="s">
        <v>593</v>
      </c>
      <c r="I811" s="1">
        <v>46224.771787812497</v>
      </c>
      <c r="J811" t="s">
        <v>593</v>
      </c>
    </row>
    <row r="812" spans="1:10" x14ac:dyDescent="0.35">
      <c r="A812" t="s">
        <v>747</v>
      </c>
      <c r="B812" t="s">
        <v>591</v>
      </c>
      <c r="C812" t="s">
        <v>592</v>
      </c>
      <c r="D812" s="1">
        <v>46224</v>
      </c>
      <c r="E812">
        <v>3.11626141425244E-2</v>
      </c>
      <c r="F812" t="s">
        <v>5043</v>
      </c>
      <c r="G812" s="1">
        <v>46224.771787731479</v>
      </c>
      <c r="H812" t="s">
        <v>593</v>
      </c>
      <c r="I812" s="1">
        <v>46224.771787812497</v>
      </c>
      <c r="J812" t="s">
        <v>593</v>
      </c>
    </row>
    <row r="813" spans="1:10" x14ac:dyDescent="0.35">
      <c r="A813" t="s">
        <v>748</v>
      </c>
      <c r="B813" t="s">
        <v>591</v>
      </c>
      <c r="C813" t="s">
        <v>592</v>
      </c>
      <c r="D813" s="1">
        <v>46224</v>
      </c>
      <c r="E813">
        <v>2.61720317323785E-2</v>
      </c>
      <c r="F813" t="s">
        <v>5044</v>
      </c>
      <c r="G813" s="1">
        <v>46224.771787731479</v>
      </c>
      <c r="H813" t="s">
        <v>593</v>
      </c>
      <c r="I813" s="1">
        <v>46224.771787812497</v>
      </c>
      <c r="J813" t="s">
        <v>593</v>
      </c>
    </row>
    <row r="814" spans="1:10" x14ac:dyDescent="0.35">
      <c r="A814" t="s">
        <v>749</v>
      </c>
      <c r="B814" t="s">
        <v>591</v>
      </c>
      <c r="C814" t="s">
        <v>592</v>
      </c>
      <c r="D814" s="1">
        <v>46224</v>
      </c>
      <c r="E814">
        <v>3.5177992815598899E-2</v>
      </c>
      <c r="F814" t="s">
        <v>5045</v>
      </c>
      <c r="G814" s="1">
        <v>46224.771787731479</v>
      </c>
      <c r="H814" t="s">
        <v>593</v>
      </c>
      <c r="I814" s="1">
        <v>46224.771787812497</v>
      </c>
      <c r="J814" t="s">
        <v>593</v>
      </c>
    </row>
    <row r="815" spans="1:10" x14ac:dyDescent="0.35">
      <c r="A815" t="s">
        <v>750</v>
      </c>
      <c r="B815" t="s">
        <v>591</v>
      </c>
      <c r="C815" t="s">
        <v>592</v>
      </c>
      <c r="D815" s="1">
        <v>46224</v>
      </c>
      <c r="E815">
        <v>2.70080297813458E-2</v>
      </c>
      <c r="F815" t="s">
        <v>5046</v>
      </c>
      <c r="G815" s="1">
        <v>46224.771787731479</v>
      </c>
      <c r="H815" t="s">
        <v>593</v>
      </c>
      <c r="I815" s="1">
        <v>46224.771787812497</v>
      </c>
      <c r="J815" t="s">
        <v>593</v>
      </c>
    </row>
    <row r="816" spans="1:10" x14ac:dyDescent="0.35">
      <c r="A816" t="s">
        <v>751</v>
      </c>
      <c r="B816" t="s">
        <v>591</v>
      </c>
      <c r="C816" t="s">
        <v>592</v>
      </c>
      <c r="D816" s="1">
        <v>46224</v>
      </c>
      <c r="E816">
        <v>3.1549115715867299E-2</v>
      </c>
      <c r="F816" t="s">
        <v>5047</v>
      </c>
      <c r="G816" s="1">
        <v>46224.771787731479</v>
      </c>
      <c r="H816" t="s">
        <v>593</v>
      </c>
      <c r="I816" s="1">
        <v>46224.771787812497</v>
      </c>
      <c r="J816" t="s">
        <v>593</v>
      </c>
    </row>
    <row r="817" spans="1:10" x14ac:dyDescent="0.35">
      <c r="A817" t="s">
        <v>752</v>
      </c>
      <c r="B817" t="s">
        <v>591</v>
      </c>
      <c r="C817" t="s">
        <v>592</v>
      </c>
      <c r="D817" s="1">
        <v>46224</v>
      </c>
      <c r="E817">
        <v>3.9723123633426997E-2</v>
      </c>
      <c r="F817" t="s">
        <v>5048</v>
      </c>
      <c r="G817" s="1">
        <v>46224.771787731479</v>
      </c>
      <c r="H817" t="s">
        <v>593</v>
      </c>
      <c r="I817" s="1">
        <v>46224.771787812497</v>
      </c>
      <c r="J817" t="s">
        <v>593</v>
      </c>
    </row>
    <row r="818" spans="1:10" x14ac:dyDescent="0.35">
      <c r="A818" t="s">
        <v>753</v>
      </c>
      <c r="B818" t="s">
        <v>591</v>
      </c>
      <c r="C818" t="s">
        <v>592</v>
      </c>
      <c r="D818" s="1">
        <v>46224</v>
      </c>
      <c r="E818">
        <v>2.76697510697674E-2</v>
      </c>
      <c r="F818" t="s">
        <v>5049</v>
      </c>
      <c r="G818" s="1">
        <v>46224.771787731479</v>
      </c>
      <c r="H818" t="s">
        <v>593</v>
      </c>
      <c r="I818" s="1">
        <v>46224.771787812497</v>
      </c>
      <c r="J818" t="s">
        <v>593</v>
      </c>
    </row>
    <row r="819" spans="1:10" x14ac:dyDescent="0.35">
      <c r="A819" t="s">
        <v>754</v>
      </c>
      <c r="B819" t="s">
        <v>591</v>
      </c>
      <c r="C819" t="s">
        <v>592</v>
      </c>
      <c r="D819" s="1">
        <v>46224</v>
      </c>
      <c r="E819">
        <v>3.5540585438556302E-2</v>
      </c>
      <c r="F819" t="s">
        <v>5050</v>
      </c>
      <c r="G819" s="1">
        <v>46224.771787731479</v>
      </c>
      <c r="H819" t="s">
        <v>593</v>
      </c>
      <c r="I819" s="1">
        <v>46224.771787812497</v>
      </c>
      <c r="J819" t="s">
        <v>593</v>
      </c>
    </row>
    <row r="820" spans="1:10" x14ac:dyDescent="0.35">
      <c r="A820" t="s">
        <v>755</v>
      </c>
      <c r="B820" t="s">
        <v>591</v>
      </c>
      <c r="C820" t="s">
        <v>592</v>
      </c>
      <c r="D820" s="1">
        <v>46224</v>
      </c>
      <c r="E820">
        <v>3.52569131577904E-2</v>
      </c>
      <c r="F820" t="s">
        <v>5051</v>
      </c>
      <c r="G820" s="1">
        <v>46224.771787731479</v>
      </c>
      <c r="H820" t="s">
        <v>593</v>
      </c>
      <c r="I820" s="1">
        <v>46224.771787812497</v>
      </c>
      <c r="J820" t="s">
        <v>593</v>
      </c>
    </row>
    <row r="821" spans="1:10" x14ac:dyDescent="0.35">
      <c r="A821" t="s">
        <v>756</v>
      </c>
      <c r="B821" t="s">
        <v>591</v>
      </c>
      <c r="C821" t="s">
        <v>592</v>
      </c>
      <c r="D821" s="1">
        <v>46224</v>
      </c>
      <c r="E821">
        <v>2.8176325294202099E-2</v>
      </c>
      <c r="F821" t="s">
        <v>5052</v>
      </c>
      <c r="G821" s="1">
        <v>46224.771787731479</v>
      </c>
      <c r="H821" t="s">
        <v>593</v>
      </c>
      <c r="I821" s="1">
        <v>46224.771787812497</v>
      </c>
      <c r="J821" t="s">
        <v>593</v>
      </c>
    </row>
    <row r="822" spans="1:10" x14ac:dyDescent="0.35">
      <c r="A822" t="s">
        <v>757</v>
      </c>
      <c r="B822" t="s">
        <v>591</v>
      </c>
      <c r="C822" t="s">
        <v>592</v>
      </c>
      <c r="D822" s="1">
        <v>46224</v>
      </c>
      <c r="E822">
        <v>3.19320951329908E-2</v>
      </c>
      <c r="F822" t="s">
        <v>5053</v>
      </c>
      <c r="G822" s="1">
        <v>46224.771787731479</v>
      </c>
      <c r="H822" t="s">
        <v>593</v>
      </c>
      <c r="I822" s="1">
        <v>46224.771787812497</v>
      </c>
      <c r="J822" t="s">
        <v>593</v>
      </c>
    </row>
    <row r="823" spans="1:10" x14ac:dyDescent="0.35">
      <c r="A823" t="s">
        <v>1757</v>
      </c>
      <c r="B823" t="s">
        <v>591</v>
      </c>
      <c r="C823" t="s">
        <v>592</v>
      </c>
      <c r="D823" s="1">
        <v>46224</v>
      </c>
      <c r="E823">
        <v>2.8650427164136801E-2</v>
      </c>
      <c r="F823" t="s">
        <v>5054</v>
      </c>
      <c r="G823" s="1">
        <v>46224.771787731479</v>
      </c>
      <c r="H823" t="s">
        <v>593</v>
      </c>
      <c r="I823" s="1">
        <v>46224.771787812497</v>
      </c>
      <c r="J823" t="s">
        <v>593</v>
      </c>
    </row>
    <row r="824" spans="1:10" x14ac:dyDescent="0.35">
      <c r="A824" t="s">
        <v>758</v>
      </c>
      <c r="B824" t="s">
        <v>600</v>
      </c>
      <c r="C824" t="s">
        <v>592</v>
      </c>
      <c r="D824" s="1">
        <v>46224</v>
      </c>
      <c r="E824">
        <v>0</v>
      </c>
      <c r="G824" s="1">
        <v>46224.770106215277</v>
      </c>
      <c r="H824" t="s">
        <v>5588</v>
      </c>
      <c r="I824" s="1">
        <v>46224.770106099539</v>
      </c>
      <c r="J824" t="s">
        <v>5588</v>
      </c>
    </row>
    <row r="825" spans="1:10" x14ac:dyDescent="0.35">
      <c r="A825" t="s">
        <v>759</v>
      </c>
      <c r="B825" t="s">
        <v>591</v>
      </c>
      <c r="C825" t="s">
        <v>592</v>
      </c>
      <c r="D825" s="1">
        <v>46224</v>
      </c>
      <c r="E825">
        <v>2.54189795082044E-2</v>
      </c>
      <c r="F825" t="s">
        <v>5055</v>
      </c>
      <c r="G825" s="1">
        <v>46224.771787731479</v>
      </c>
      <c r="H825" t="s">
        <v>593</v>
      </c>
      <c r="I825" s="1">
        <v>46224.771787812497</v>
      </c>
      <c r="J825" t="s">
        <v>593</v>
      </c>
    </row>
    <row r="826" spans="1:10" x14ac:dyDescent="0.35">
      <c r="A826" t="s">
        <v>760</v>
      </c>
      <c r="B826" t="s">
        <v>591</v>
      </c>
      <c r="C826" t="s">
        <v>592</v>
      </c>
      <c r="D826" s="1">
        <v>46224</v>
      </c>
      <c r="E826">
        <v>2.9307684108310798E-2</v>
      </c>
      <c r="F826" t="s">
        <v>5056</v>
      </c>
      <c r="G826" s="1">
        <v>46224.771787731479</v>
      </c>
      <c r="H826" t="s">
        <v>593</v>
      </c>
      <c r="I826" s="1">
        <v>46224.771787812497</v>
      </c>
      <c r="J826" t="s">
        <v>593</v>
      </c>
    </row>
    <row r="827" spans="1:10" x14ac:dyDescent="0.35">
      <c r="A827" t="s">
        <v>761</v>
      </c>
      <c r="B827" t="s">
        <v>600</v>
      </c>
      <c r="C827" t="s">
        <v>592</v>
      </c>
      <c r="D827" s="1">
        <v>46224</v>
      </c>
      <c r="E827">
        <v>0</v>
      </c>
      <c r="G827" s="1">
        <v>46224.770106215277</v>
      </c>
      <c r="H827" t="s">
        <v>5588</v>
      </c>
      <c r="I827" s="1">
        <v>46224.770106099539</v>
      </c>
      <c r="J827" t="s">
        <v>5588</v>
      </c>
    </row>
    <row r="828" spans="1:10" x14ac:dyDescent="0.35">
      <c r="A828" t="s">
        <v>761</v>
      </c>
      <c r="B828" t="s">
        <v>591</v>
      </c>
      <c r="C828" t="s">
        <v>592</v>
      </c>
      <c r="D828" s="1">
        <v>46224</v>
      </c>
      <c r="E828">
        <v>1.11193943604589E-2</v>
      </c>
      <c r="F828" t="s">
        <v>5057</v>
      </c>
      <c r="G828" s="1">
        <v>46224.771787731479</v>
      </c>
      <c r="H828" t="s">
        <v>593</v>
      </c>
      <c r="I828" s="1">
        <v>46224.771787812497</v>
      </c>
      <c r="J828" t="s">
        <v>593</v>
      </c>
    </row>
    <row r="829" spans="1:10" x14ac:dyDescent="0.35">
      <c r="A829" t="s">
        <v>762</v>
      </c>
      <c r="B829" t="s">
        <v>591</v>
      </c>
      <c r="C829" t="s">
        <v>592</v>
      </c>
      <c r="D829" s="1">
        <v>46224</v>
      </c>
      <c r="E829">
        <v>3.3278262910630803E-2</v>
      </c>
      <c r="F829" t="s">
        <v>5058</v>
      </c>
      <c r="G829" s="1">
        <v>46224.771787731479</v>
      </c>
      <c r="H829" t="s">
        <v>593</v>
      </c>
      <c r="I829" s="1">
        <v>46224.771787812497</v>
      </c>
      <c r="J829" t="s">
        <v>593</v>
      </c>
    </row>
    <row r="830" spans="1:10" x14ac:dyDescent="0.35">
      <c r="A830" t="s">
        <v>763</v>
      </c>
      <c r="B830" t="s">
        <v>600</v>
      </c>
      <c r="C830" t="s">
        <v>592</v>
      </c>
      <c r="D830" s="1">
        <v>46224</v>
      </c>
      <c r="E830">
        <v>0</v>
      </c>
      <c r="G830" s="1">
        <v>46224.770106215277</v>
      </c>
      <c r="H830" t="s">
        <v>5588</v>
      </c>
      <c r="I830" s="1">
        <v>46224.770106099539</v>
      </c>
      <c r="J830" t="s">
        <v>5588</v>
      </c>
    </row>
    <row r="831" spans="1:10" x14ac:dyDescent="0.35">
      <c r="A831" t="s">
        <v>763</v>
      </c>
      <c r="B831" t="s">
        <v>591</v>
      </c>
      <c r="C831" t="s">
        <v>592</v>
      </c>
      <c r="D831" s="1">
        <v>46224</v>
      </c>
      <c r="E831">
        <v>1.39207640597418E-2</v>
      </c>
      <c r="F831" t="s">
        <v>5059</v>
      </c>
      <c r="G831" s="1">
        <v>46224.771787731479</v>
      </c>
      <c r="H831" t="s">
        <v>593</v>
      </c>
      <c r="I831" s="1">
        <v>46224.771787812497</v>
      </c>
      <c r="J831" t="s">
        <v>593</v>
      </c>
    </row>
    <row r="832" spans="1:10" x14ac:dyDescent="0.35">
      <c r="A832" t="s">
        <v>764</v>
      </c>
      <c r="B832" t="s">
        <v>591</v>
      </c>
      <c r="C832" t="s">
        <v>592</v>
      </c>
      <c r="D832" s="1">
        <v>46224</v>
      </c>
      <c r="E832">
        <v>3.6100461854075498E-2</v>
      </c>
      <c r="F832" t="s">
        <v>5060</v>
      </c>
      <c r="G832" s="1">
        <v>46224.771787731479</v>
      </c>
      <c r="H832" t="s">
        <v>593</v>
      </c>
      <c r="I832" s="1">
        <v>46224.771787812497</v>
      </c>
      <c r="J832" t="s">
        <v>593</v>
      </c>
    </row>
    <row r="833" spans="1:10" x14ac:dyDescent="0.35">
      <c r="A833" t="s">
        <v>765</v>
      </c>
      <c r="B833" t="s">
        <v>600</v>
      </c>
      <c r="C833" t="s">
        <v>592</v>
      </c>
      <c r="D833" s="1">
        <v>46224</v>
      </c>
      <c r="E833">
        <v>0</v>
      </c>
      <c r="G833" s="1">
        <v>46224.770106215277</v>
      </c>
      <c r="H833" t="s">
        <v>5588</v>
      </c>
      <c r="I833" s="1">
        <v>46224.770106099539</v>
      </c>
      <c r="J833" t="s">
        <v>5588</v>
      </c>
    </row>
    <row r="834" spans="1:10" x14ac:dyDescent="0.35">
      <c r="A834" t="s">
        <v>765</v>
      </c>
      <c r="B834" t="s">
        <v>591</v>
      </c>
      <c r="C834" t="s">
        <v>592</v>
      </c>
      <c r="D834" s="1">
        <v>46224</v>
      </c>
      <c r="E834">
        <v>1.7062315248217899E-2</v>
      </c>
      <c r="F834" t="s">
        <v>5061</v>
      </c>
      <c r="G834" s="1">
        <v>46224.771787731479</v>
      </c>
      <c r="H834" t="s">
        <v>593</v>
      </c>
      <c r="I834" s="1">
        <v>46224.771787812497</v>
      </c>
      <c r="J834" t="s">
        <v>593</v>
      </c>
    </row>
    <row r="835" spans="1:10" x14ac:dyDescent="0.35">
      <c r="A835" t="s">
        <v>766</v>
      </c>
      <c r="B835" t="s">
        <v>591</v>
      </c>
      <c r="C835" t="s">
        <v>592</v>
      </c>
      <c r="D835" s="1">
        <v>46224</v>
      </c>
      <c r="E835">
        <v>3.7496290124690898E-2</v>
      </c>
      <c r="F835" t="s">
        <v>5062</v>
      </c>
      <c r="G835" s="1">
        <v>46224.771787731479</v>
      </c>
      <c r="H835" t="s">
        <v>593</v>
      </c>
      <c r="I835" s="1">
        <v>46224.771787812497</v>
      </c>
      <c r="J835" t="s">
        <v>593</v>
      </c>
    </row>
    <row r="836" spans="1:10" x14ac:dyDescent="0.35">
      <c r="A836" t="s">
        <v>767</v>
      </c>
      <c r="B836" t="s">
        <v>600</v>
      </c>
      <c r="C836" t="s">
        <v>592</v>
      </c>
      <c r="D836" s="1">
        <v>46224</v>
      </c>
      <c r="E836">
        <v>0</v>
      </c>
      <c r="G836" s="1">
        <v>46224.770106215277</v>
      </c>
      <c r="H836" t="s">
        <v>5588</v>
      </c>
      <c r="I836" s="1">
        <v>46224.770106099539</v>
      </c>
      <c r="J836" t="s">
        <v>5588</v>
      </c>
    </row>
    <row r="837" spans="1:10" x14ac:dyDescent="0.35">
      <c r="A837" t="s">
        <v>767</v>
      </c>
      <c r="B837" t="s">
        <v>591</v>
      </c>
      <c r="C837" t="s">
        <v>592</v>
      </c>
      <c r="D837" s="1">
        <v>46224</v>
      </c>
      <c r="E837">
        <v>1.8072293876421699E-2</v>
      </c>
      <c r="F837" t="s">
        <v>5063</v>
      </c>
      <c r="G837" s="1">
        <v>46224.771787731479</v>
      </c>
      <c r="H837" t="s">
        <v>593</v>
      </c>
      <c r="I837" s="1">
        <v>46224.771787812497</v>
      </c>
      <c r="J837" t="s">
        <v>593</v>
      </c>
    </row>
    <row r="838" spans="1:10" x14ac:dyDescent="0.35">
      <c r="A838" t="s">
        <v>768</v>
      </c>
      <c r="B838" t="s">
        <v>591</v>
      </c>
      <c r="C838" t="s">
        <v>592</v>
      </c>
      <c r="D838" s="1">
        <v>46224</v>
      </c>
      <c r="E838">
        <v>3.8418722177741699E-2</v>
      </c>
      <c r="F838" t="s">
        <v>5064</v>
      </c>
      <c r="G838" s="1">
        <v>46224.771787731479</v>
      </c>
      <c r="H838" t="s">
        <v>593</v>
      </c>
      <c r="I838" s="1">
        <v>46224.771787812497</v>
      </c>
      <c r="J838" t="s">
        <v>593</v>
      </c>
    </row>
    <row r="839" spans="1:10" x14ac:dyDescent="0.35">
      <c r="A839" t="s">
        <v>769</v>
      </c>
      <c r="B839" t="s">
        <v>591</v>
      </c>
      <c r="C839" t="s">
        <v>592</v>
      </c>
      <c r="D839" s="1">
        <v>46224</v>
      </c>
      <c r="E839">
        <v>2.3343076451094302E-2</v>
      </c>
      <c r="F839" t="s">
        <v>5065</v>
      </c>
      <c r="G839" s="1">
        <v>46224.771787731479</v>
      </c>
      <c r="H839" t="s">
        <v>593</v>
      </c>
      <c r="I839" s="1">
        <v>46224.771787812497</v>
      </c>
      <c r="J839" t="s">
        <v>593</v>
      </c>
    </row>
    <row r="840" spans="1:10" x14ac:dyDescent="0.35">
      <c r="A840" t="s">
        <v>770</v>
      </c>
      <c r="B840" t="s">
        <v>591</v>
      </c>
      <c r="C840" t="s">
        <v>592</v>
      </c>
      <c r="D840" s="1">
        <v>46224</v>
      </c>
      <c r="E840">
        <v>2.5762690793139701E-2</v>
      </c>
      <c r="F840" t="s">
        <v>5066</v>
      </c>
      <c r="G840" s="1">
        <v>46224.771787731479</v>
      </c>
      <c r="H840" t="s">
        <v>593</v>
      </c>
      <c r="I840" s="1">
        <v>46224.771787812497</v>
      </c>
      <c r="J840" t="s">
        <v>593</v>
      </c>
    </row>
    <row r="841" spans="1:10" x14ac:dyDescent="0.35">
      <c r="A841" t="s">
        <v>771</v>
      </c>
      <c r="B841" t="s">
        <v>591</v>
      </c>
      <c r="C841" t="s">
        <v>592</v>
      </c>
      <c r="D841" s="1">
        <v>46224</v>
      </c>
      <c r="E841">
        <v>2.8061653273716999E-2</v>
      </c>
      <c r="F841" t="s">
        <v>5067</v>
      </c>
      <c r="G841" s="1">
        <v>46224.771787731479</v>
      </c>
      <c r="H841" t="s">
        <v>593</v>
      </c>
      <c r="I841" s="1">
        <v>46224.771787812497</v>
      </c>
      <c r="J841" t="s">
        <v>593</v>
      </c>
    </row>
    <row r="842" spans="1:10" x14ac:dyDescent="0.35">
      <c r="A842" t="s">
        <v>772</v>
      </c>
      <c r="B842" t="s">
        <v>591</v>
      </c>
      <c r="C842" t="s">
        <v>592</v>
      </c>
      <c r="D842" s="1">
        <v>46224</v>
      </c>
      <c r="E842">
        <v>2.80588763862335E-2</v>
      </c>
      <c r="F842" t="s">
        <v>5068</v>
      </c>
      <c r="G842" s="1">
        <v>46224.771787731479</v>
      </c>
      <c r="H842" t="s">
        <v>593</v>
      </c>
      <c r="I842" s="1">
        <v>46224.771787812497</v>
      </c>
      <c r="J842" t="s">
        <v>593</v>
      </c>
    </row>
    <row r="843" spans="1:10" x14ac:dyDescent="0.35">
      <c r="A843" t="s">
        <v>773</v>
      </c>
      <c r="B843" t="s">
        <v>591</v>
      </c>
      <c r="C843" t="s">
        <v>592</v>
      </c>
      <c r="D843" s="1">
        <v>46224</v>
      </c>
      <c r="E843">
        <v>2.9430317228332701E-2</v>
      </c>
      <c r="F843" t="s">
        <v>5069</v>
      </c>
      <c r="G843" s="1">
        <v>46224.771787731479</v>
      </c>
      <c r="H843" t="s">
        <v>593</v>
      </c>
      <c r="I843" s="1">
        <v>46224.771787812497</v>
      </c>
      <c r="J843" t="s">
        <v>593</v>
      </c>
    </row>
    <row r="844" spans="1:10" x14ac:dyDescent="0.35">
      <c r="A844" t="s">
        <v>774</v>
      </c>
      <c r="B844" t="s">
        <v>591</v>
      </c>
      <c r="C844" t="s">
        <v>592</v>
      </c>
      <c r="D844" s="1">
        <v>46224</v>
      </c>
      <c r="E844">
        <v>3.0474700263765399E-2</v>
      </c>
      <c r="F844" t="s">
        <v>5070</v>
      </c>
      <c r="G844" s="1">
        <v>46224.771787731479</v>
      </c>
      <c r="H844" t="s">
        <v>593</v>
      </c>
      <c r="I844" s="1">
        <v>46224.771787812497</v>
      </c>
      <c r="J844" t="s">
        <v>593</v>
      </c>
    </row>
    <row r="845" spans="1:10" x14ac:dyDescent="0.35">
      <c r="A845" t="s">
        <v>775</v>
      </c>
      <c r="B845" t="s">
        <v>591</v>
      </c>
      <c r="C845" t="s">
        <v>592</v>
      </c>
      <c r="D845" s="1">
        <v>46224</v>
      </c>
      <c r="E845">
        <v>3.1540895966392903E-2</v>
      </c>
      <c r="F845" t="s">
        <v>5071</v>
      </c>
      <c r="G845" s="1">
        <v>46224.771787731479</v>
      </c>
      <c r="H845" t="s">
        <v>593</v>
      </c>
      <c r="I845" s="1">
        <v>46224.771787812497</v>
      </c>
      <c r="J845" t="s">
        <v>593</v>
      </c>
    </row>
    <row r="846" spans="1:10" x14ac:dyDescent="0.35">
      <c r="A846" t="s">
        <v>776</v>
      </c>
      <c r="B846" t="s">
        <v>591</v>
      </c>
      <c r="C846" t="s">
        <v>592</v>
      </c>
      <c r="D846" s="1">
        <v>46224</v>
      </c>
      <c r="E846">
        <v>3.2366822356852697E-2</v>
      </c>
      <c r="F846" t="s">
        <v>5072</v>
      </c>
      <c r="G846" s="1">
        <v>46224.771787731479</v>
      </c>
      <c r="H846" t="s">
        <v>593</v>
      </c>
      <c r="I846" s="1">
        <v>46224.771787812497</v>
      </c>
      <c r="J846" t="s">
        <v>593</v>
      </c>
    </row>
    <row r="847" spans="1:10" x14ac:dyDescent="0.35">
      <c r="A847" t="s">
        <v>777</v>
      </c>
      <c r="B847" t="s">
        <v>591</v>
      </c>
      <c r="C847" t="s">
        <v>592</v>
      </c>
      <c r="D847" s="1">
        <v>46224</v>
      </c>
      <c r="E847">
        <v>3.2362156311391298E-2</v>
      </c>
      <c r="F847" t="s">
        <v>5073</v>
      </c>
      <c r="G847" s="1">
        <v>46224.771787731479</v>
      </c>
      <c r="H847" t="s">
        <v>593</v>
      </c>
      <c r="I847" s="1">
        <v>46224.771787812497</v>
      </c>
      <c r="J847" t="s">
        <v>593</v>
      </c>
    </row>
    <row r="848" spans="1:10" x14ac:dyDescent="0.35">
      <c r="A848" t="s">
        <v>778</v>
      </c>
      <c r="B848" t="s">
        <v>591</v>
      </c>
      <c r="C848" t="s">
        <v>592</v>
      </c>
      <c r="D848" s="1">
        <v>46224</v>
      </c>
      <c r="E848">
        <v>3.2361780249737501E-2</v>
      </c>
      <c r="F848" t="s">
        <v>5074</v>
      </c>
      <c r="G848" s="1">
        <v>46224.771787731479</v>
      </c>
      <c r="H848" t="s">
        <v>593</v>
      </c>
      <c r="I848" s="1">
        <v>46224.771787812497</v>
      </c>
      <c r="J848" t="s">
        <v>593</v>
      </c>
    </row>
    <row r="849" spans="1:10" x14ac:dyDescent="0.35">
      <c r="A849" t="s">
        <v>779</v>
      </c>
      <c r="B849" t="s">
        <v>591</v>
      </c>
      <c r="C849" t="s">
        <v>592</v>
      </c>
      <c r="D849" s="1">
        <v>46224</v>
      </c>
      <c r="E849">
        <v>3.3130931456320602E-2</v>
      </c>
      <c r="F849" t="s">
        <v>5075</v>
      </c>
      <c r="G849" s="1">
        <v>46224.771787731479</v>
      </c>
      <c r="H849" t="s">
        <v>593</v>
      </c>
      <c r="I849" s="1">
        <v>46224.771787812497</v>
      </c>
      <c r="J849" t="s">
        <v>593</v>
      </c>
    </row>
    <row r="850" spans="1:10" x14ac:dyDescent="0.35">
      <c r="A850" t="s">
        <v>780</v>
      </c>
      <c r="B850" t="s">
        <v>591</v>
      </c>
      <c r="C850" t="s">
        <v>592</v>
      </c>
      <c r="D850" s="1">
        <v>46224</v>
      </c>
      <c r="E850">
        <v>2.3321298801663701E-2</v>
      </c>
      <c r="F850" t="s">
        <v>5076</v>
      </c>
      <c r="G850" s="1">
        <v>46224.771787731479</v>
      </c>
      <c r="H850" t="s">
        <v>593</v>
      </c>
      <c r="I850" s="1">
        <v>46224.771787812497</v>
      </c>
      <c r="J850" t="s">
        <v>593</v>
      </c>
    </row>
    <row r="851" spans="1:10" x14ac:dyDescent="0.35">
      <c r="A851" t="s">
        <v>781</v>
      </c>
      <c r="B851" t="s">
        <v>591</v>
      </c>
      <c r="C851" t="s">
        <v>592</v>
      </c>
      <c r="D851" s="1">
        <v>46224</v>
      </c>
      <c r="E851">
        <v>3.3131478009164099E-2</v>
      </c>
      <c r="F851" t="s">
        <v>5077</v>
      </c>
      <c r="G851" s="1">
        <v>46224.771787731479</v>
      </c>
      <c r="H851" t="s">
        <v>593</v>
      </c>
      <c r="I851" s="1">
        <v>46224.771787812497</v>
      </c>
      <c r="J851" t="s">
        <v>593</v>
      </c>
    </row>
    <row r="852" spans="1:10" x14ac:dyDescent="0.35">
      <c r="A852" t="s">
        <v>782</v>
      </c>
      <c r="B852" t="s">
        <v>591</v>
      </c>
      <c r="C852" t="s">
        <v>592</v>
      </c>
      <c r="D852" s="1">
        <v>46224</v>
      </c>
      <c r="E852">
        <v>2.32816236958929E-2</v>
      </c>
      <c r="F852" t="s">
        <v>5078</v>
      </c>
      <c r="G852" s="1">
        <v>46224.771787731479</v>
      </c>
      <c r="H852" t="s">
        <v>593</v>
      </c>
      <c r="I852" s="1">
        <v>46224.771787812497</v>
      </c>
      <c r="J852" t="s">
        <v>593</v>
      </c>
    </row>
    <row r="853" spans="1:10" x14ac:dyDescent="0.35">
      <c r="A853" t="s">
        <v>783</v>
      </c>
      <c r="B853" t="s">
        <v>591</v>
      </c>
      <c r="C853" t="s">
        <v>592</v>
      </c>
      <c r="D853" s="1">
        <v>46224</v>
      </c>
      <c r="E853">
        <v>3.3109078460646202E-2</v>
      </c>
      <c r="F853" t="s">
        <v>5079</v>
      </c>
      <c r="G853" s="1">
        <v>46224.771787731479</v>
      </c>
      <c r="H853" t="s">
        <v>593</v>
      </c>
      <c r="I853" s="1">
        <v>46224.771787812497</v>
      </c>
      <c r="J853" t="s">
        <v>593</v>
      </c>
    </row>
    <row r="854" spans="1:10" x14ac:dyDescent="0.35">
      <c r="A854" t="s">
        <v>784</v>
      </c>
      <c r="B854" t="s">
        <v>591</v>
      </c>
      <c r="C854" t="s">
        <v>592</v>
      </c>
      <c r="D854" s="1">
        <v>46224</v>
      </c>
      <c r="E854">
        <v>3.3926722867727098E-2</v>
      </c>
      <c r="F854" t="s">
        <v>5080</v>
      </c>
      <c r="G854" s="1">
        <v>46224.771787731479</v>
      </c>
      <c r="H854" t="s">
        <v>593</v>
      </c>
      <c r="I854" s="1">
        <v>46224.771787812497</v>
      </c>
      <c r="J854" t="s">
        <v>593</v>
      </c>
    </row>
    <row r="855" spans="1:10" x14ac:dyDescent="0.35">
      <c r="A855" t="s">
        <v>785</v>
      </c>
      <c r="B855" t="s">
        <v>591</v>
      </c>
      <c r="C855" t="s">
        <v>592</v>
      </c>
      <c r="D855" s="1">
        <v>46224</v>
      </c>
      <c r="E855">
        <v>2.5763338585865998E-2</v>
      </c>
      <c r="F855" t="s">
        <v>5081</v>
      </c>
      <c r="G855" s="1">
        <v>46224.771787731479</v>
      </c>
      <c r="H855" t="s">
        <v>593</v>
      </c>
      <c r="I855" s="1">
        <v>46224.771787812497</v>
      </c>
      <c r="J855" t="s">
        <v>593</v>
      </c>
    </row>
    <row r="856" spans="1:10" x14ac:dyDescent="0.35">
      <c r="A856" t="s">
        <v>786</v>
      </c>
      <c r="B856" t="s">
        <v>591</v>
      </c>
      <c r="C856" t="s">
        <v>592</v>
      </c>
      <c r="D856" s="1">
        <v>46224</v>
      </c>
      <c r="E856">
        <v>2.7396087822517502E-2</v>
      </c>
      <c r="F856" t="s">
        <v>5082</v>
      </c>
      <c r="G856" s="1">
        <v>46224.771787731479</v>
      </c>
      <c r="H856" t="s">
        <v>593</v>
      </c>
      <c r="I856" s="1">
        <v>46224.771787812497</v>
      </c>
      <c r="J856" t="s">
        <v>593</v>
      </c>
    </row>
    <row r="857" spans="1:10" x14ac:dyDescent="0.35">
      <c r="A857" t="s">
        <v>787</v>
      </c>
      <c r="B857" t="s">
        <v>591</v>
      </c>
      <c r="C857" t="s">
        <v>592</v>
      </c>
      <c r="D857" s="1">
        <v>46224</v>
      </c>
      <c r="E857">
        <v>3.4720285507615301E-2</v>
      </c>
      <c r="F857" t="s">
        <v>5083</v>
      </c>
      <c r="G857" s="1">
        <v>46224.771787731479</v>
      </c>
      <c r="H857" t="s">
        <v>593</v>
      </c>
      <c r="I857" s="1">
        <v>46224.771787812497</v>
      </c>
      <c r="J857" t="s">
        <v>593</v>
      </c>
    </row>
    <row r="858" spans="1:10" x14ac:dyDescent="0.35">
      <c r="A858" t="s">
        <v>788</v>
      </c>
      <c r="B858" t="s">
        <v>591</v>
      </c>
      <c r="C858" t="s">
        <v>592</v>
      </c>
      <c r="D858" s="1">
        <v>46224</v>
      </c>
      <c r="E858">
        <v>2.8644824634714398E-2</v>
      </c>
      <c r="F858" t="s">
        <v>5084</v>
      </c>
      <c r="G858" s="1">
        <v>46224.771787731479</v>
      </c>
      <c r="H858" t="s">
        <v>593</v>
      </c>
      <c r="I858" s="1">
        <v>46224.771787812497</v>
      </c>
      <c r="J858" t="s">
        <v>593</v>
      </c>
    </row>
    <row r="859" spans="1:10" x14ac:dyDescent="0.35">
      <c r="A859" t="s">
        <v>789</v>
      </c>
      <c r="B859" t="s">
        <v>591</v>
      </c>
      <c r="C859" t="s">
        <v>592</v>
      </c>
      <c r="D859" s="1">
        <v>46224</v>
      </c>
      <c r="E859">
        <v>2.86455036128276E-2</v>
      </c>
      <c r="F859" t="s">
        <v>5085</v>
      </c>
      <c r="G859" s="1">
        <v>46224.771787731479</v>
      </c>
      <c r="H859" t="s">
        <v>593</v>
      </c>
      <c r="I859" s="1">
        <v>46224.771787812497</v>
      </c>
      <c r="J859" t="s">
        <v>593</v>
      </c>
    </row>
    <row r="860" spans="1:10" x14ac:dyDescent="0.35">
      <c r="A860" t="s">
        <v>1758</v>
      </c>
      <c r="B860" t="s">
        <v>591</v>
      </c>
      <c r="C860" t="s">
        <v>592</v>
      </c>
      <c r="D860" s="1">
        <v>46224</v>
      </c>
      <c r="E860">
        <v>3.2667471806158303E-2</v>
      </c>
      <c r="F860" t="s">
        <v>5086</v>
      </c>
      <c r="G860" s="1">
        <v>46224.771787731479</v>
      </c>
      <c r="H860" t="s">
        <v>593</v>
      </c>
      <c r="I860" s="1">
        <v>46224.771787812497</v>
      </c>
      <c r="J860" t="s">
        <v>593</v>
      </c>
    </row>
    <row r="861" spans="1:10" x14ac:dyDescent="0.35">
      <c r="A861" t="s">
        <v>1665</v>
      </c>
      <c r="B861" t="s">
        <v>591</v>
      </c>
      <c r="C861" t="s">
        <v>592</v>
      </c>
      <c r="D861" s="1">
        <v>46224</v>
      </c>
      <c r="E861">
        <v>3.76716670974978E-2</v>
      </c>
      <c r="F861" t="s">
        <v>5087</v>
      </c>
      <c r="G861" s="1">
        <v>46224.771787731479</v>
      </c>
      <c r="H861" t="s">
        <v>593</v>
      </c>
      <c r="I861" s="1">
        <v>46224.771787812497</v>
      </c>
      <c r="J861" t="s">
        <v>593</v>
      </c>
    </row>
    <row r="862" spans="1:10" x14ac:dyDescent="0.35">
      <c r="A862" t="s">
        <v>790</v>
      </c>
      <c r="B862" t="s">
        <v>591</v>
      </c>
      <c r="C862" t="s">
        <v>592</v>
      </c>
      <c r="D862" s="1">
        <v>46224</v>
      </c>
      <c r="E862">
        <v>2.6510598139697899E-2</v>
      </c>
      <c r="F862" t="s">
        <v>5639</v>
      </c>
      <c r="G862" s="1">
        <v>46224.775782719909</v>
      </c>
      <c r="H862" t="s">
        <v>593</v>
      </c>
      <c r="I862" s="1">
        <v>46224.77578275463</v>
      </c>
      <c r="J862" t="s">
        <v>593</v>
      </c>
    </row>
    <row r="863" spans="1:10" x14ac:dyDescent="0.35">
      <c r="A863" t="s">
        <v>791</v>
      </c>
      <c r="B863" t="s">
        <v>591</v>
      </c>
      <c r="C863" t="s">
        <v>592</v>
      </c>
      <c r="D863" s="1">
        <v>46224</v>
      </c>
      <c r="E863">
        <v>2.5949427022716801E-2</v>
      </c>
      <c r="F863" t="s">
        <v>1981</v>
      </c>
      <c r="G863" s="1">
        <v>46224.775782870369</v>
      </c>
      <c r="H863" t="s">
        <v>593</v>
      </c>
      <c r="I863" s="1">
        <v>46224.775782951387</v>
      </c>
      <c r="J863" t="s">
        <v>593</v>
      </c>
    </row>
    <row r="864" spans="1:10" x14ac:dyDescent="0.35">
      <c r="A864" t="s">
        <v>792</v>
      </c>
      <c r="B864" t="s">
        <v>591</v>
      </c>
      <c r="C864" t="s">
        <v>592</v>
      </c>
      <c r="D864" s="1">
        <v>46224</v>
      </c>
      <c r="E864">
        <v>3.7680014847139197E-2</v>
      </c>
      <c r="F864" t="s">
        <v>5088</v>
      </c>
      <c r="G864" s="1">
        <v>46224.771787731479</v>
      </c>
      <c r="H864" t="s">
        <v>593</v>
      </c>
      <c r="I864" s="1">
        <v>46224.771787812497</v>
      </c>
      <c r="J864" t="s">
        <v>593</v>
      </c>
    </row>
    <row r="865" spans="1:10" x14ac:dyDescent="0.35">
      <c r="A865" t="s">
        <v>793</v>
      </c>
      <c r="B865" t="s">
        <v>591</v>
      </c>
      <c r="C865" t="s">
        <v>592</v>
      </c>
      <c r="D865" s="1">
        <v>46224</v>
      </c>
      <c r="E865">
        <v>4.41331173790818E-2</v>
      </c>
      <c r="F865" t="s">
        <v>5089</v>
      </c>
      <c r="G865" s="1">
        <v>46224.771787731479</v>
      </c>
      <c r="H865" t="s">
        <v>593</v>
      </c>
      <c r="I865" s="1">
        <v>46224.771787812497</v>
      </c>
      <c r="J865" t="s">
        <v>593</v>
      </c>
    </row>
    <row r="866" spans="1:10" x14ac:dyDescent="0.35">
      <c r="A866" t="s">
        <v>794</v>
      </c>
      <c r="B866" t="s">
        <v>591</v>
      </c>
      <c r="C866" t="s">
        <v>592</v>
      </c>
      <c r="D866" s="1">
        <v>46224</v>
      </c>
      <c r="E866">
        <v>4.0667615599269798E-2</v>
      </c>
      <c r="F866" t="s">
        <v>5090</v>
      </c>
      <c r="G866" s="1">
        <v>46224.771787731479</v>
      </c>
      <c r="H866" t="s">
        <v>593</v>
      </c>
      <c r="I866" s="1">
        <v>46224.771787812497</v>
      </c>
      <c r="J866" t="s">
        <v>593</v>
      </c>
    </row>
    <row r="867" spans="1:10" x14ac:dyDescent="0.35">
      <c r="A867" t="s">
        <v>795</v>
      </c>
      <c r="B867" t="s">
        <v>591</v>
      </c>
      <c r="C867" t="s">
        <v>592</v>
      </c>
      <c r="D867" s="1">
        <v>46224</v>
      </c>
      <c r="E867">
        <v>4.7132546860669797E-2</v>
      </c>
      <c r="F867" t="s">
        <v>5091</v>
      </c>
      <c r="G867" s="1">
        <v>46224.771787731479</v>
      </c>
      <c r="H867" t="s">
        <v>593</v>
      </c>
      <c r="I867" s="1">
        <v>46224.771787812497</v>
      </c>
      <c r="J867" t="s">
        <v>593</v>
      </c>
    </row>
    <row r="868" spans="1:10" x14ac:dyDescent="0.35">
      <c r="A868" t="s">
        <v>796</v>
      </c>
      <c r="B868" t="s">
        <v>591</v>
      </c>
      <c r="C868" t="s">
        <v>592</v>
      </c>
      <c r="D868" s="1">
        <v>46224</v>
      </c>
      <c r="E868">
        <v>2.5627103786394101E-2</v>
      </c>
      <c r="F868" t="s">
        <v>5092</v>
      </c>
      <c r="G868" s="1">
        <v>46224.771787731479</v>
      </c>
      <c r="H868" t="s">
        <v>593</v>
      </c>
      <c r="I868" s="1">
        <v>46224.771787812497</v>
      </c>
      <c r="J868" t="s">
        <v>593</v>
      </c>
    </row>
    <row r="869" spans="1:10" x14ac:dyDescent="0.35">
      <c r="A869" t="s">
        <v>797</v>
      </c>
      <c r="B869" t="s">
        <v>591</v>
      </c>
      <c r="C869" t="s">
        <v>592</v>
      </c>
      <c r="D869" s="1">
        <v>46224</v>
      </c>
      <c r="E869">
        <v>2.6965684479886301E-2</v>
      </c>
      <c r="F869" t="s">
        <v>5093</v>
      </c>
      <c r="G869" s="1">
        <v>46224.771787731479</v>
      </c>
      <c r="H869" t="s">
        <v>593</v>
      </c>
      <c r="I869" s="1">
        <v>46224.771787812497</v>
      </c>
      <c r="J869" t="s">
        <v>593</v>
      </c>
    </row>
    <row r="870" spans="1:10" x14ac:dyDescent="0.35">
      <c r="A870" t="s">
        <v>798</v>
      </c>
      <c r="B870" t="s">
        <v>591</v>
      </c>
      <c r="C870" t="s">
        <v>592</v>
      </c>
      <c r="D870" s="1">
        <v>46224</v>
      </c>
      <c r="E870">
        <v>2.70658392928795E-2</v>
      </c>
      <c r="F870" t="s">
        <v>5094</v>
      </c>
      <c r="G870" s="1">
        <v>46224.771787731479</v>
      </c>
      <c r="H870" t="s">
        <v>593</v>
      </c>
      <c r="I870" s="1">
        <v>46224.771787812497</v>
      </c>
      <c r="J870" t="s">
        <v>593</v>
      </c>
    </row>
    <row r="871" spans="1:10" x14ac:dyDescent="0.35">
      <c r="A871" t="s">
        <v>799</v>
      </c>
      <c r="B871" t="s">
        <v>591</v>
      </c>
      <c r="C871" t="s">
        <v>592</v>
      </c>
      <c r="D871" s="1">
        <v>46224</v>
      </c>
      <c r="E871">
        <v>2.8736089602666701E-2</v>
      </c>
      <c r="F871" t="s">
        <v>5095</v>
      </c>
      <c r="G871" s="1">
        <v>46224.771787731479</v>
      </c>
      <c r="H871" t="s">
        <v>593</v>
      </c>
      <c r="I871" s="1">
        <v>46224.771787812497</v>
      </c>
      <c r="J871" t="s">
        <v>593</v>
      </c>
    </row>
    <row r="872" spans="1:10" x14ac:dyDescent="0.35">
      <c r="A872" t="s">
        <v>800</v>
      </c>
      <c r="B872" t="s">
        <v>591</v>
      </c>
      <c r="C872" t="s">
        <v>592</v>
      </c>
      <c r="D872" s="1">
        <v>46224</v>
      </c>
      <c r="E872">
        <v>3.0521195937697799E-2</v>
      </c>
      <c r="F872" t="s">
        <v>5096</v>
      </c>
      <c r="G872" s="1">
        <v>46224.771787731479</v>
      </c>
      <c r="H872" t="s">
        <v>593</v>
      </c>
      <c r="I872" s="1">
        <v>46224.771787812497</v>
      </c>
      <c r="J872" t="s">
        <v>593</v>
      </c>
    </row>
    <row r="873" spans="1:10" x14ac:dyDescent="0.35">
      <c r="A873" t="s">
        <v>801</v>
      </c>
      <c r="B873" t="s">
        <v>591</v>
      </c>
      <c r="C873" t="s">
        <v>592</v>
      </c>
      <c r="D873" s="1">
        <v>46224</v>
      </c>
      <c r="E873">
        <v>4.7144769087578801E-2</v>
      </c>
      <c r="F873" t="s">
        <v>5097</v>
      </c>
      <c r="G873" s="1">
        <v>46224.771787731479</v>
      </c>
      <c r="H873" t="s">
        <v>593</v>
      </c>
      <c r="I873" s="1">
        <v>46224.771787812497</v>
      </c>
      <c r="J873" t="s">
        <v>593</v>
      </c>
    </row>
    <row r="874" spans="1:10" x14ac:dyDescent="0.35">
      <c r="A874" t="s">
        <v>802</v>
      </c>
      <c r="B874" t="s">
        <v>591</v>
      </c>
      <c r="C874" t="s">
        <v>592</v>
      </c>
      <c r="D874" s="1">
        <v>46224</v>
      </c>
      <c r="E874">
        <v>3.2093033534603202E-2</v>
      </c>
      <c r="F874" t="s">
        <v>5098</v>
      </c>
      <c r="G874" s="1">
        <v>46224.771787731479</v>
      </c>
      <c r="H874" t="s">
        <v>593</v>
      </c>
      <c r="I874" s="1">
        <v>46224.771787812497</v>
      </c>
      <c r="J874" t="s">
        <v>593</v>
      </c>
    </row>
    <row r="875" spans="1:10" x14ac:dyDescent="0.35">
      <c r="A875" t="s">
        <v>803</v>
      </c>
      <c r="B875" t="s">
        <v>591</v>
      </c>
      <c r="C875" t="s">
        <v>592</v>
      </c>
      <c r="D875" s="1">
        <v>46224</v>
      </c>
      <c r="E875">
        <v>4.7055929747665898E-2</v>
      </c>
      <c r="F875" t="s">
        <v>5099</v>
      </c>
      <c r="G875" s="1">
        <v>46224.771787731479</v>
      </c>
      <c r="H875" t="s">
        <v>593</v>
      </c>
      <c r="I875" s="1">
        <v>46224.771787812497</v>
      </c>
      <c r="J875" t="s">
        <v>593</v>
      </c>
    </row>
    <row r="876" spans="1:10" x14ac:dyDescent="0.35">
      <c r="A876" t="s">
        <v>804</v>
      </c>
      <c r="B876" t="s">
        <v>591</v>
      </c>
      <c r="C876" t="s">
        <v>592</v>
      </c>
      <c r="D876" s="1">
        <v>46224</v>
      </c>
      <c r="E876">
        <v>3.3806107419088897E-2</v>
      </c>
      <c r="F876" t="s">
        <v>5100</v>
      </c>
      <c r="G876" s="1">
        <v>46224.771787731479</v>
      </c>
      <c r="H876" t="s">
        <v>593</v>
      </c>
      <c r="I876" s="1">
        <v>46224.771787812497</v>
      </c>
      <c r="J876" t="s">
        <v>593</v>
      </c>
    </row>
    <row r="877" spans="1:10" x14ac:dyDescent="0.35">
      <c r="A877" t="s">
        <v>805</v>
      </c>
      <c r="B877" t="s">
        <v>591</v>
      </c>
      <c r="C877" t="s">
        <v>592</v>
      </c>
      <c r="D877" s="1">
        <v>46224</v>
      </c>
      <c r="E877">
        <v>3.44455999279977E-2</v>
      </c>
      <c r="F877" t="s">
        <v>5101</v>
      </c>
      <c r="G877" s="1">
        <v>46224.771787731479</v>
      </c>
      <c r="H877" t="s">
        <v>593</v>
      </c>
      <c r="I877" s="1">
        <v>46224.771787812497</v>
      </c>
      <c r="J877" t="s">
        <v>593</v>
      </c>
    </row>
    <row r="878" spans="1:10" x14ac:dyDescent="0.35">
      <c r="A878" t="s">
        <v>806</v>
      </c>
      <c r="B878" t="s">
        <v>591</v>
      </c>
      <c r="C878" t="s">
        <v>592</v>
      </c>
      <c r="D878" s="1">
        <v>46224</v>
      </c>
      <c r="E878">
        <v>4.7224866662051598E-2</v>
      </c>
      <c r="F878" t="s">
        <v>5102</v>
      </c>
      <c r="G878" s="1">
        <v>46224.771787731479</v>
      </c>
      <c r="H878" t="s">
        <v>593</v>
      </c>
      <c r="I878" s="1">
        <v>46224.771787812497</v>
      </c>
      <c r="J878" t="s">
        <v>593</v>
      </c>
    </row>
    <row r="879" spans="1:10" x14ac:dyDescent="0.35">
      <c r="A879" t="s">
        <v>807</v>
      </c>
      <c r="B879" t="s">
        <v>591</v>
      </c>
      <c r="C879" t="s">
        <v>592</v>
      </c>
      <c r="D879" s="1">
        <v>46224</v>
      </c>
      <c r="E879">
        <v>3.5723081941982503E-2</v>
      </c>
      <c r="F879" t="s">
        <v>5103</v>
      </c>
      <c r="G879" s="1">
        <v>46224.771787731479</v>
      </c>
      <c r="H879" t="s">
        <v>593</v>
      </c>
      <c r="I879" s="1">
        <v>46224.771787812497</v>
      </c>
      <c r="J879" t="s">
        <v>593</v>
      </c>
    </row>
    <row r="880" spans="1:10" x14ac:dyDescent="0.35">
      <c r="A880" t="s">
        <v>808</v>
      </c>
      <c r="B880" t="s">
        <v>591</v>
      </c>
      <c r="C880" t="s">
        <v>592</v>
      </c>
      <c r="D880" s="1">
        <v>46224</v>
      </c>
      <c r="E880">
        <v>2.93192880423324E-2</v>
      </c>
      <c r="F880" t="s">
        <v>5104</v>
      </c>
      <c r="G880" s="1">
        <v>46224.771787731479</v>
      </c>
      <c r="H880" t="s">
        <v>593</v>
      </c>
      <c r="I880" s="1">
        <v>46224.771787812497</v>
      </c>
      <c r="J880" t="s">
        <v>593</v>
      </c>
    </row>
    <row r="881" spans="1:10" x14ac:dyDescent="0.35">
      <c r="A881" t="s">
        <v>809</v>
      </c>
      <c r="B881" t="s">
        <v>591</v>
      </c>
      <c r="C881" t="s">
        <v>592</v>
      </c>
      <c r="D881" s="1">
        <v>46224</v>
      </c>
      <c r="E881">
        <v>4.7114076256714099E-2</v>
      </c>
      <c r="F881" t="s">
        <v>5105</v>
      </c>
      <c r="G881" s="1">
        <v>46224.771787731479</v>
      </c>
      <c r="H881" t="s">
        <v>593</v>
      </c>
      <c r="I881" s="1">
        <v>46224.771787812497</v>
      </c>
      <c r="J881" t="s">
        <v>593</v>
      </c>
    </row>
    <row r="882" spans="1:10" x14ac:dyDescent="0.35">
      <c r="A882" t="s">
        <v>810</v>
      </c>
      <c r="B882" t="s">
        <v>600</v>
      </c>
      <c r="C882" t="s">
        <v>592</v>
      </c>
      <c r="D882" s="1">
        <v>46224</v>
      </c>
      <c r="E882">
        <v>0.70884999999999998</v>
      </c>
      <c r="F882" t="s">
        <v>5640</v>
      </c>
      <c r="G882" s="1">
        <v>46224.775820636576</v>
      </c>
      <c r="H882" t="s">
        <v>593</v>
      </c>
      <c r="I882" s="1">
        <v>46224.775820752315</v>
      </c>
      <c r="J882" t="s">
        <v>593</v>
      </c>
    </row>
    <row r="883" spans="1:10" x14ac:dyDescent="0.35">
      <c r="A883" t="s">
        <v>811</v>
      </c>
      <c r="B883" t="s">
        <v>600</v>
      </c>
      <c r="C883" t="s">
        <v>592</v>
      </c>
      <c r="D883" s="1">
        <v>46224</v>
      </c>
      <c r="E883">
        <v>2.29</v>
      </c>
      <c r="F883" t="s">
        <v>5641</v>
      </c>
      <c r="G883" s="1">
        <v>46224.775953668985</v>
      </c>
      <c r="H883" t="s">
        <v>593</v>
      </c>
      <c r="I883" s="1">
        <v>46224.77595358796</v>
      </c>
      <c r="J883" t="s">
        <v>593</v>
      </c>
    </row>
    <row r="884" spans="1:10" x14ac:dyDescent="0.35">
      <c r="A884" t="s">
        <v>812</v>
      </c>
      <c r="B884" t="s">
        <v>591</v>
      </c>
      <c r="C884" t="s">
        <v>592</v>
      </c>
      <c r="D884" s="1">
        <v>46224</v>
      </c>
      <c r="E884">
        <v>2.5214E-2</v>
      </c>
      <c r="F884" t="s">
        <v>5642</v>
      </c>
      <c r="G884" s="1">
        <v>46224.775900810186</v>
      </c>
      <c r="H884" t="s">
        <v>593</v>
      </c>
      <c r="I884" s="1">
        <v>46224.775900925924</v>
      </c>
      <c r="J884" t="s">
        <v>593</v>
      </c>
    </row>
    <row r="885" spans="1:10" x14ac:dyDescent="0.35">
      <c r="A885" t="s">
        <v>813</v>
      </c>
      <c r="B885" t="s">
        <v>591</v>
      </c>
      <c r="C885" t="s">
        <v>592</v>
      </c>
      <c r="D885" s="1">
        <v>46224</v>
      </c>
      <c r="E885">
        <v>3.3149999999999999E-2</v>
      </c>
      <c r="F885" t="s">
        <v>5643</v>
      </c>
      <c r="G885" s="1">
        <v>46224.775902199071</v>
      </c>
      <c r="H885" t="s">
        <v>593</v>
      </c>
      <c r="I885" s="1">
        <v>46224.775902199071</v>
      </c>
      <c r="J885" t="s">
        <v>593</v>
      </c>
    </row>
    <row r="886" spans="1:10" x14ac:dyDescent="0.35">
      <c r="A886" t="s">
        <v>814</v>
      </c>
      <c r="B886" t="s">
        <v>591</v>
      </c>
      <c r="C886" t="s">
        <v>592</v>
      </c>
      <c r="D886" s="1">
        <v>46224</v>
      </c>
      <c r="E886">
        <v>3.4224999999999998E-2</v>
      </c>
      <c r="F886" t="s">
        <v>5644</v>
      </c>
      <c r="G886" s="1">
        <v>46224.775902349538</v>
      </c>
      <c r="H886" t="s">
        <v>593</v>
      </c>
      <c r="I886" s="1">
        <v>46224.775902395835</v>
      </c>
      <c r="J886" t="s">
        <v>593</v>
      </c>
    </row>
    <row r="887" spans="1:10" x14ac:dyDescent="0.35">
      <c r="A887" t="s">
        <v>815</v>
      </c>
      <c r="B887" t="s">
        <v>591</v>
      </c>
      <c r="C887" t="s">
        <v>592</v>
      </c>
      <c r="D887" s="1">
        <v>46224</v>
      </c>
      <c r="E887">
        <v>3.5494999999999999E-2</v>
      </c>
      <c r="F887" t="s">
        <v>5645</v>
      </c>
      <c r="G887" s="1">
        <v>46224.775902511574</v>
      </c>
      <c r="H887" t="s">
        <v>593</v>
      </c>
      <c r="I887" s="1">
        <v>46224.775902546295</v>
      </c>
      <c r="J887" t="s">
        <v>593</v>
      </c>
    </row>
    <row r="888" spans="1:10" x14ac:dyDescent="0.35">
      <c r="A888" t="s">
        <v>816</v>
      </c>
      <c r="B888" t="s">
        <v>591</v>
      </c>
      <c r="C888" t="s">
        <v>592</v>
      </c>
      <c r="D888" s="1">
        <v>46224</v>
      </c>
      <c r="E888">
        <v>2.7408999999999999E-2</v>
      </c>
      <c r="F888" t="s">
        <v>5646</v>
      </c>
      <c r="G888" s="1">
        <v>46224.775900960645</v>
      </c>
      <c r="H888" t="s">
        <v>593</v>
      </c>
      <c r="I888" s="1">
        <v>46224.775900925924</v>
      </c>
      <c r="J888" t="s">
        <v>593</v>
      </c>
    </row>
    <row r="889" spans="1:10" x14ac:dyDescent="0.35">
      <c r="A889" t="s">
        <v>817</v>
      </c>
      <c r="B889" t="s">
        <v>591</v>
      </c>
      <c r="C889" t="s">
        <v>592</v>
      </c>
      <c r="D889" s="1">
        <v>46224</v>
      </c>
      <c r="E889">
        <v>3.6760000000000001E-2</v>
      </c>
      <c r="F889" t="s">
        <v>5647</v>
      </c>
      <c r="G889" s="1">
        <v>46224.775902662041</v>
      </c>
      <c r="H889" t="s">
        <v>593</v>
      </c>
      <c r="I889" s="1">
        <v>46224.775902743058</v>
      </c>
      <c r="J889" t="s">
        <v>593</v>
      </c>
    </row>
    <row r="890" spans="1:10" x14ac:dyDescent="0.35">
      <c r="A890" t="s">
        <v>818</v>
      </c>
      <c r="B890" t="s">
        <v>591</v>
      </c>
      <c r="C890" t="s">
        <v>592</v>
      </c>
      <c r="D890" s="1">
        <v>46224</v>
      </c>
      <c r="E890">
        <v>3.6940000000000001E-2</v>
      </c>
      <c r="F890" t="s">
        <v>5648</v>
      </c>
      <c r="G890" s="1">
        <v>46224.7759028125</v>
      </c>
      <c r="H890" t="s">
        <v>593</v>
      </c>
      <c r="I890" s="1">
        <v>46224.775902928239</v>
      </c>
      <c r="J890" t="s">
        <v>593</v>
      </c>
    </row>
    <row r="891" spans="1:10" x14ac:dyDescent="0.35">
      <c r="A891" t="s">
        <v>819</v>
      </c>
      <c r="B891" t="s">
        <v>591</v>
      </c>
      <c r="C891" t="s">
        <v>592</v>
      </c>
      <c r="D891" s="1">
        <v>46224</v>
      </c>
      <c r="E891">
        <v>2.8630050000000001E-2</v>
      </c>
      <c r="F891" t="s">
        <v>5649</v>
      </c>
      <c r="G891" s="1">
        <v>46224.775901122688</v>
      </c>
      <c r="H891" t="s">
        <v>593</v>
      </c>
      <c r="I891" s="1">
        <v>46224.775901122688</v>
      </c>
      <c r="J891" t="s">
        <v>593</v>
      </c>
    </row>
    <row r="892" spans="1:10" x14ac:dyDescent="0.35">
      <c r="A892" t="s">
        <v>820</v>
      </c>
      <c r="B892" t="s">
        <v>591</v>
      </c>
      <c r="C892" t="s">
        <v>592</v>
      </c>
      <c r="D892" s="1">
        <v>46224</v>
      </c>
      <c r="E892">
        <v>3.6635000000000001E-2</v>
      </c>
      <c r="F892" t="s">
        <v>5650</v>
      </c>
      <c r="G892" s="1">
        <v>46224.775902974536</v>
      </c>
      <c r="H892" t="s">
        <v>593</v>
      </c>
      <c r="I892" s="1">
        <v>46224.775903090274</v>
      </c>
      <c r="J892" t="s">
        <v>593</v>
      </c>
    </row>
    <row r="893" spans="1:10" x14ac:dyDescent="0.35">
      <c r="A893" t="s">
        <v>821</v>
      </c>
      <c r="B893" t="s">
        <v>591</v>
      </c>
      <c r="C893" t="s">
        <v>592</v>
      </c>
      <c r="D893" s="1">
        <v>46224</v>
      </c>
      <c r="E893">
        <v>2.9389999999999999E-2</v>
      </c>
      <c r="F893" t="s">
        <v>5651</v>
      </c>
      <c r="G893" s="1">
        <v>46224.775901273148</v>
      </c>
      <c r="H893" t="s">
        <v>593</v>
      </c>
      <c r="I893" s="1">
        <v>46224.775901307868</v>
      </c>
      <c r="J893" t="s">
        <v>593</v>
      </c>
    </row>
    <row r="894" spans="1:10" x14ac:dyDescent="0.35">
      <c r="A894" t="s">
        <v>822</v>
      </c>
      <c r="B894" t="s">
        <v>591</v>
      </c>
      <c r="C894" t="s">
        <v>592</v>
      </c>
      <c r="D894" s="1">
        <v>46224</v>
      </c>
      <c r="E894">
        <v>3.5284999999999997E-2</v>
      </c>
      <c r="F894" t="s">
        <v>5652</v>
      </c>
      <c r="G894" s="1">
        <v>46224.775903125003</v>
      </c>
      <c r="H894" t="s">
        <v>593</v>
      </c>
      <c r="I894" s="1">
        <v>46224.775903090274</v>
      </c>
      <c r="J894" t="s">
        <v>593</v>
      </c>
    </row>
    <row r="895" spans="1:10" x14ac:dyDescent="0.35">
      <c r="A895" t="s">
        <v>823</v>
      </c>
      <c r="B895" t="s">
        <v>591</v>
      </c>
      <c r="C895" t="s">
        <v>592</v>
      </c>
      <c r="D895" s="1">
        <v>46224</v>
      </c>
      <c r="E895">
        <v>2.997505E-2</v>
      </c>
      <c r="F895" t="s">
        <v>5653</v>
      </c>
      <c r="G895" s="1">
        <v>46224.775901423614</v>
      </c>
      <c r="H895" t="s">
        <v>593</v>
      </c>
      <c r="I895" s="1">
        <v>46224.775901469904</v>
      </c>
      <c r="J895" t="s">
        <v>593</v>
      </c>
    </row>
    <row r="896" spans="1:10" x14ac:dyDescent="0.35">
      <c r="A896" t="s">
        <v>824</v>
      </c>
      <c r="B896" t="s">
        <v>591</v>
      </c>
      <c r="C896" t="s">
        <v>592</v>
      </c>
      <c r="D896" s="1">
        <v>46224</v>
      </c>
      <c r="E896">
        <v>3.057205E-2</v>
      </c>
      <c r="F896" t="s">
        <v>5654</v>
      </c>
      <c r="G896" s="1">
        <v>46224.77590158565</v>
      </c>
      <c r="H896" t="s">
        <v>593</v>
      </c>
      <c r="I896" s="1">
        <v>46224.775901655092</v>
      </c>
      <c r="J896" t="s">
        <v>593</v>
      </c>
    </row>
    <row r="897" spans="1:10" x14ac:dyDescent="0.35">
      <c r="A897" t="s">
        <v>825</v>
      </c>
      <c r="B897" t="s">
        <v>591</v>
      </c>
      <c r="C897" t="s">
        <v>592</v>
      </c>
      <c r="D897" s="1">
        <v>46224</v>
      </c>
      <c r="E897">
        <v>3.1222E-2</v>
      </c>
      <c r="F897" t="s">
        <v>5655</v>
      </c>
      <c r="G897" s="1">
        <v>46224.77590173611</v>
      </c>
      <c r="H897" t="s">
        <v>593</v>
      </c>
      <c r="I897" s="1">
        <v>46224.775901851855</v>
      </c>
      <c r="J897" t="s">
        <v>593</v>
      </c>
    </row>
    <row r="898" spans="1:10" x14ac:dyDescent="0.35">
      <c r="A898" t="s">
        <v>826</v>
      </c>
      <c r="B898" t="s">
        <v>591</v>
      </c>
      <c r="C898" t="s">
        <v>592</v>
      </c>
      <c r="D898" s="1">
        <v>46224</v>
      </c>
      <c r="E898">
        <v>3.1879999999999999E-2</v>
      </c>
      <c r="F898" t="s">
        <v>5656</v>
      </c>
      <c r="G898" s="1">
        <v>46224.775901886576</v>
      </c>
      <c r="H898" t="s">
        <v>593</v>
      </c>
      <c r="I898" s="1">
        <v>46224.775902048612</v>
      </c>
      <c r="J898" t="s">
        <v>593</v>
      </c>
    </row>
    <row r="899" spans="1:10" x14ac:dyDescent="0.35">
      <c r="A899" t="s">
        <v>827</v>
      </c>
      <c r="B899" t="s">
        <v>591</v>
      </c>
      <c r="C899" t="s">
        <v>592</v>
      </c>
      <c r="D899" s="1">
        <v>46224</v>
      </c>
      <c r="E899">
        <v>3.2539999999999999E-2</v>
      </c>
      <c r="F899" t="s">
        <v>5657</v>
      </c>
      <c r="G899" s="1">
        <v>46224.775902048612</v>
      </c>
      <c r="H899" t="s">
        <v>593</v>
      </c>
      <c r="I899" s="1">
        <v>46224.775902048612</v>
      </c>
      <c r="J899" t="s">
        <v>593</v>
      </c>
    </row>
    <row r="900" spans="1:10" x14ac:dyDescent="0.35">
      <c r="A900" t="s">
        <v>828</v>
      </c>
      <c r="B900" t="s">
        <v>591</v>
      </c>
      <c r="C900" t="s">
        <v>592</v>
      </c>
      <c r="D900" s="1">
        <v>46224</v>
      </c>
      <c r="E900">
        <v>2.2794999999999999E-2</v>
      </c>
      <c r="F900" t="s">
        <v>5658</v>
      </c>
      <c r="G900" s="1">
        <v>46224.775899074077</v>
      </c>
      <c r="H900" t="s">
        <v>593</v>
      </c>
      <c r="I900" s="1">
        <v>46224.775899108798</v>
      </c>
      <c r="J900" t="s">
        <v>593</v>
      </c>
    </row>
    <row r="901" spans="1:10" x14ac:dyDescent="0.35">
      <c r="A901" t="s">
        <v>829</v>
      </c>
      <c r="B901" t="s">
        <v>591</v>
      </c>
      <c r="C901" t="s">
        <v>592</v>
      </c>
      <c r="D901" s="1">
        <v>46224</v>
      </c>
      <c r="E901">
        <v>2.286005E-2</v>
      </c>
      <c r="F901" t="s">
        <v>5659</v>
      </c>
      <c r="G901" s="1">
        <v>46224.775899270833</v>
      </c>
      <c r="H901" t="s">
        <v>593</v>
      </c>
      <c r="I901" s="1">
        <v>46224.775899305554</v>
      </c>
      <c r="J901" t="s">
        <v>593</v>
      </c>
    </row>
    <row r="902" spans="1:10" x14ac:dyDescent="0.35">
      <c r="A902" t="s">
        <v>830</v>
      </c>
      <c r="B902" t="s">
        <v>591</v>
      </c>
      <c r="C902" t="s">
        <v>592</v>
      </c>
      <c r="D902" s="1">
        <v>46224</v>
      </c>
      <c r="E902">
        <v>2.2915000000000001E-2</v>
      </c>
      <c r="F902" t="s">
        <v>5660</v>
      </c>
      <c r="G902" s="1">
        <v>46224.775899421293</v>
      </c>
      <c r="H902" t="s">
        <v>593</v>
      </c>
      <c r="I902" s="1">
        <v>46224.775899502318</v>
      </c>
      <c r="J902" t="s">
        <v>593</v>
      </c>
    </row>
    <row r="903" spans="1:10" x14ac:dyDescent="0.35">
      <c r="A903" t="s">
        <v>831</v>
      </c>
      <c r="B903" t="s">
        <v>591</v>
      </c>
      <c r="C903" t="s">
        <v>592</v>
      </c>
      <c r="D903" s="1">
        <v>46224</v>
      </c>
      <c r="E903">
        <v>2.3045E-2</v>
      </c>
      <c r="F903" t="s">
        <v>5661</v>
      </c>
      <c r="G903" s="1">
        <v>46224.775899537039</v>
      </c>
      <c r="H903" t="s">
        <v>593</v>
      </c>
      <c r="I903" s="1">
        <v>46224.775899652777</v>
      </c>
      <c r="J903" t="s">
        <v>593</v>
      </c>
    </row>
    <row r="904" spans="1:10" x14ac:dyDescent="0.35">
      <c r="A904" t="s">
        <v>832</v>
      </c>
      <c r="B904" t="s">
        <v>591</v>
      </c>
      <c r="C904" t="s">
        <v>592</v>
      </c>
      <c r="D904" s="1">
        <v>46224</v>
      </c>
      <c r="E904">
        <v>2.3220000000000001E-2</v>
      </c>
      <c r="F904" t="s">
        <v>5662</v>
      </c>
      <c r="G904" s="1">
        <v>46224.775899733795</v>
      </c>
      <c r="H904" t="s">
        <v>593</v>
      </c>
      <c r="I904" s="1">
        <v>46224.775899849534</v>
      </c>
      <c r="J904" t="s">
        <v>593</v>
      </c>
    </row>
    <row r="905" spans="1:10" x14ac:dyDescent="0.35">
      <c r="A905" t="s">
        <v>833</v>
      </c>
      <c r="B905" t="s">
        <v>591</v>
      </c>
      <c r="C905" t="s">
        <v>592</v>
      </c>
      <c r="D905" s="1">
        <v>46224</v>
      </c>
      <c r="E905">
        <v>2.3449999999999999E-2</v>
      </c>
      <c r="F905" t="s">
        <v>5663</v>
      </c>
      <c r="G905" s="1">
        <v>46224.775899884262</v>
      </c>
      <c r="H905" t="s">
        <v>593</v>
      </c>
      <c r="I905" s="1">
        <v>46224.775899849534</v>
      </c>
      <c r="J905" t="s">
        <v>593</v>
      </c>
    </row>
    <row r="906" spans="1:10" x14ac:dyDescent="0.35">
      <c r="A906" t="s">
        <v>834</v>
      </c>
      <c r="B906" t="s">
        <v>591</v>
      </c>
      <c r="C906" t="s">
        <v>592</v>
      </c>
      <c r="D906" s="1">
        <v>46224</v>
      </c>
      <c r="E906">
        <v>2.376555E-2</v>
      </c>
      <c r="F906" t="s">
        <v>5664</v>
      </c>
      <c r="G906" s="1">
        <v>46224.775900034721</v>
      </c>
      <c r="H906" t="s">
        <v>593</v>
      </c>
      <c r="I906" s="1">
        <v>46224.775900034721</v>
      </c>
      <c r="J906" t="s">
        <v>593</v>
      </c>
    </row>
    <row r="907" spans="1:10" x14ac:dyDescent="0.35">
      <c r="A907" t="s">
        <v>835</v>
      </c>
      <c r="B907" t="s">
        <v>591</v>
      </c>
      <c r="C907" t="s">
        <v>592</v>
      </c>
      <c r="D907" s="1">
        <v>46224</v>
      </c>
      <c r="E907">
        <v>2.4011500000000002E-2</v>
      </c>
      <c r="F907" t="s">
        <v>5665</v>
      </c>
      <c r="G907" s="1">
        <v>46224.775900196757</v>
      </c>
      <c r="H907" t="s">
        <v>593</v>
      </c>
      <c r="I907" s="1">
        <v>46224.775900196757</v>
      </c>
      <c r="J907" t="s">
        <v>593</v>
      </c>
    </row>
    <row r="908" spans="1:10" x14ac:dyDescent="0.35">
      <c r="A908" t="s">
        <v>836</v>
      </c>
      <c r="B908" t="s">
        <v>591</v>
      </c>
      <c r="C908" t="s">
        <v>592</v>
      </c>
      <c r="D908" s="1">
        <v>46224</v>
      </c>
      <c r="E908">
        <v>2.4315050000000001E-2</v>
      </c>
      <c r="F908" t="s">
        <v>5666</v>
      </c>
      <c r="G908" s="1">
        <v>46224.775900347224</v>
      </c>
      <c r="H908" t="s">
        <v>593</v>
      </c>
      <c r="I908" s="1">
        <v>46224.775900381945</v>
      </c>
      <c r="J908" t="s">
        <v>593</v>
      </c>
    </row>
    <row r="909" spans="1:10" x14ac:dyDescent="0.35">
      <c r="A909" t="s">
        <v>837</v>
      </c>
      <c r="B909" t="s">
        <v>591</v>
      </c>
      <c r="C909" t="s">
        <v>592</v>
      </c>
      <c r="D909" s="1">
        <v>46224</v>
      </c>
      <c r="E909">
        <v>2.4649999999999998E-2</v>
      </c>
      <c r="F909" t="s">
        <v>5667</v>
      </c>
      <c r="G909" s="1">
        <v>46224.775900497683</v>
      </c>
      <c r="H909" t="s">
        <v>593</v>
      </c>
      <c r="I909" s="1">
        <v>46224.775900578701</v>
      </c>
      <c r="J909" t="s">
        <v>593</v>
      </c>
    </row>
    <row r="910" spans="1:10" x14ac:dyDescent="0.35">
      <c r="A910" t="s">
        <v>838</v>
      </c>
      <c r="B910" t="s">
        <v>591</v>
      </c>
      <c r="C910" t="s">
        <v>592</v>
      </c>
      <c r="D910" s="1">
        <v>46224</v>
      </c>
      <c r="E910">
        <v>2.4921499999999999E-2</v>
      </c>
      <c r="F910" t="s">
        <v>5668</v>
      </c>
      <c r="G910" s="1">
        <v>46224.775900659719</v>
      </c>
      <c r="H910" t="s">
        <v>593</v>
      </c>
      <c r="I910" s="1">
        <v>46224.775900775465</v>
      </c>
      <c r="J910" t="s">
        <v>593</v>
      </c>
    </row>
    <row r="911" spans="1:10" x14ac:dyDescent="0.35">
      <c r="A911" t="s">
        <v>1666</v>
      </c>
      <c r="B911" t="s">
        <v>600</v>
      </c>
      <c r="C911" t="s">
        <v>592</v>
      </c>
      <c r="D911" s="1">
        <v>46224</v>
      </c>
      <c r="E911">
        <v>119.62</v>
      </c>
      <c r="F911" t="s">
        <v>4314</v>
      </c>
      <c r="G911" s="1">
        <v>46224.771787731479</v>
      </c>
      <c r="H911" t="s">
        <v>593</v>
      </c>
      <c r="I911" s="1">
        <v>46224.771787812497</v>
      </c>
      <c r="J911" t="s">
        <v>593</v>
      </c>
    </row>
    <row r="912" spans="1:10" x14ac:dyDescent="0.35">
      <c r="A912" t="s">
        <v>839</v>
      </c>
      <c r="B912" t="s">
        <v>600</v>
      </c>
      <c r="C912" t="s">
        <v>592</v>
      </c>
      <c r="D912" s="1">
        <v>46224</v>
      </c>
      <c r="E912">
        <v>97.314999999999998</v>
      </c>
      <c r="F912" t="s">
        <v>4314</v>
      </c>
      <c r="G912" s="1">
        <v>46224.771787731479</v>
      </c>
      <c r="H912" t="s">
        <v>593</v>
      </c>
      <c r="I912" s="1">
        <v>46224.771787812497</v>
      </c>
      <c r="J912" t="s">
        <v>593</v>
      </c>
    </row>
    <row r="913" spans="1:10" x14ac:dyDescent="0.35">
      <c r="A913" t="s">
        <v>1759</v>
      </c>
      <c r="B913" t="s">
        <v>600</v>
      </c>
      <c r="C913" t="s">
        <v>592</v>
      </c>
      <c r="D913" s="1">
        <v>46224</v>
      </c>
      <c r="E913">
        <v>96.954999999999998</v>
      </c>
      <c r="F913" t="s">
        <v>4314</v>
      </c>
      <c r="G913" s="1">
        <v>46224.771787731479</v>
      </c>
      <c r="H913" t="s">
        <v>593</v>
      </c>
      <c r="I913" s="1">
        <v>46224.771787812497</v>
      </c>
      <c r="J913" t="s">
        <v>593</v>
      </c>
    </row>
    <row r="914" spans="1:10" x14ac:dyDescent="0.35">
      <c r="A914" t="s">
        <v>840</v>
      </c>
      <c r="B914" t="s">
        <v>600</v>
      </c>
      <c r="C914" t="s">
        <v>592</v>
      </c>
      <c r="D914" s="1">
        <v>46224</v>
      </c>
      <c r="E914">
        <v>97.702500000000001</v>
      </c>
      <c r="F914" t="s">
        <v>4314</v>
      </c>
      <c r="G914" s="1">
        <v>46224.771787731479</v>
      </c>
      <c r="H914" t="s">
        <v>593</v>
      </c>
      <c r="I914" s="1">
        <v>46224.771787812497</v>
      </c>
      <c r="J914" t="s">
        <v>593</v>
      </c>
    </row>
    <row r="915" spans="1:10" x14ac:dyDescent="0.35">
      <c r="A915" t="s">
        <v>841</v>
      </c>
      <c r="B915" t="s">
        <v>600</v>
      </c>
      <c r="C915" t="s">
        <v>592</v>
      </c>
      <c r="D915" s="1">
        <v>46224</v>
      </c>
      <c r="E915">
        <v>97.17</v>
      </c>
      <c r="F915" t="s">
        <v>4314</v>
      </c>
      <c r="G915" s="1">
        <v>46224.771787731479</v>
      </c>
      <c r="H915" t="s">
        <v>593</v>
      </c>
      <c r="I915" s="1">
        <v>46224.771787812497</v>
      </c>
      <c r="J915" t="s">
        <v>593</v>
      </c>
    </row>
    <row r="916" spans="1:10" x14ac:dyDescent="0.35">
      <c r="A916" t="s">
        <v>842</v>
      </c>
      <c r="B916" t="s">
        <v>600</v>
      </c>
      <c r="C916" t="s">
        <v>592</v>
      </c>
      <c r="D916" s="1">
        <v>46224</v>
      </c>
      <c r="E916">
        <v>97.67</v>
      </c>
      <c r="F916" t="s">
        <v>4314</v>
      </c>
      <c r="G916" s="1">
        <v>46224.771787731479</v>
      </c>
      <c r="H916" t="s">
        <v>593</v>
      </c>
      <c r="I916" s="1">
        <v>46224.771787812497</v>
      </c>
      <c r="J916" t="s">
        <v>593</v>
      </c>
    </row>
    <row r="917" spans="1:10" x14ac:dyDescent="0.35">
      <c r="A917" t="s">
        <v>843</v>
      </c>
      <c r="B917" t="s">
        <v>600</v>
      </c>
      <c r="C917" t="s">
        <v>592</v>
      </c>
      <c r="D917" s="1">
        <v>46224</v>
      </c>
      <c r="E917">
        <v>97.064999999999998</v>
      </c>
      <c r="F917" t="s">
        <v>4314</v>
      </c>
      <c r="G917" s="1">
        <v>46224.771787731479</v>
      </c>
      <c r="H917" t="s">
        <v>593</v>
      </c>
      <c r="I917" s="1">
        <v>46224.771787812497</v>
      </c>
      <c r="J917" t="s">
        <v>593</v>
      </c>
    </row>
    <row r="918" spans="1:10" x14ac:dyDescent="0.35">
      <c r="A918" t="s">
        <v>844</v>
      </c>
      <c r="B918" t="s">
        <v>600</v>
      </c>
      <c r="C918" t="s">
        <v>592</v>
      </c>
      <c r="D918" s="1">
        <v>46224</v>
      </c>
      <c r="E918">
        <v>97.5</v>
      </c>
      <c r="F918" t="s">
        <v>4314</v>
      </c>
      <c r="G918" s="1">
        <v>46224.771787731479</v>
      </c>
      <c r="H918" t="s">
        <v>593</v>
      </c>
      <c r="I918" s="1">
        <v>46224.771787812497</v>
      </c>
      <c r="J918" t="s">
        <v>593</v>
      </c>
    </row>
    <row r="919" spans="1:10" x14ac:dyDescent="0.35">
      <c r="A919" t="s">
        <v>845</v>
      </c>
      <c r="B919" t="s">
        <v>600</v>
      </c>
      <c r="C919" t="s">
        <v>592</v>
      </c>
      <c r="D919" s="1">
        <v>46224</v>
      </c>
      <c r="E919">
        <v>97.004999999999995</v>
      </c>
      <c r="F919" t="s">
        <v>4314</v>
      </c>
      <c r="G919" s="1">
        <v>46224.771787731479</v>
      </c>
      <c r="H919" t="s">
        <v>593</v>
      </c>
      <c r="I919" s="1">
        <v>46224.771787812497</v>
      </c>
      <c r="J919" t="s">
        <v>593</v>
      </c>
    </row>
    <row r="920" spans="1:10" x14ac:dyDescent="0.35">
      <c r="A920" t="s">
        <v>846</v>
      </c>
      <c r="B920" t="s">
        <v>600</v>
      </c>
      <c r="C920" t="s">
        <v>592</v>
      </c>
      <c r="D920" s="1">
        <v>46224</v>
      </c>
      <c r="E920">
        <v>105.185</v>
      </c>
      <c r="F920" t="s">
        <v>4314</v>
      </c>
      <c r="G920" s="1">
        <v>46224.771787731479</v>
      </c>
      <c r="H920" t="s">
        <v>593</v>
      </c>
      <c r="I920" s="1">
        <v>46224.771787812497</v>
      </c>
      <c r="J920" t="s">
        <v>593</v>
      </c>
    </row>
    <row r="921" spans="1:10" x14ac:dyDescent="0.35">
      <c r="A921" t="s">
        <v>847</v>
      </c>
      <c r="B921" t="s">
        <v>591</v>
      </c>
      <c r="C921" t="s">
        <v>592</v>
      </c>
      <c r="D921" s="1">
        <v>46224</v>
      </c>
      <c r="E921">
        <v>2.8205248756875901E-2</v>
      </c>
      <c r="F921" t="s">
        <v>5106</v>
      </c>
      <c r="G921" s="1">
        <v>46224.771787731479</v>
      </c>
      <c r="H921" t="s">
        <v>593</v>
      </c>
      <c r="I921" s="1">
        <v>46224.771787812497</v>
      </c>
      <c r="J921" t="s">
        <v>593</v>
      </c>
    </row>
    <row r="922" spans="1:10" x14ac:dyDescent="0.35">
      <c r="A922" t="s">
        <v>848</v>
      </c>
      <c r="B922" t="s">
        <v>591</v>
      </c>
      <c r="C922" t="s">
        <v>592</v>
      </c>
      <c r="D922" s="1">
        <v>46224</v>
      </c>
      <c r="E922">
        <v>3.6548190744911203E-2</v>
      </c>
      <c r="F922" t="s">
        <v>5107</v>
      </c>
      <c r="G922" s="1">
        <v>46224.771787731479</v>
      </c>
      <c r="H922" t="s">
        <v>593</v>
      </c>
      <c r="I922" s="1">
        <v>46224.771787812497</v>
      </c>
      <c r="J922" t="s">
        <v>593</v>
      </c>
    </row>
    <row r="923" spans="1:10" x14ac:dyDescent="0.35">
      <c r="A923" t="s">
        <v>849</v>
      </c>
      <c r="B923" t="s">
        <v>591</v>
      </c>
      <c r="C923" t="s">
        <v>592</v>
      </c>
      <c r="D923" s="1">
        <v>46224</v>
      </c>
      <c r="E923">
        <v>2.8803596156589201E-2</v>
      </c>
      <c r="F923" t="s">
        <v>5108</v>
      </c>
      <c r="G923" s="1">
        <v>46224.771787731479</v>
      </c>
      <c r="H923" t="s">
        <v>593</v>
      </c>
      <c r="I923" s="1">
        <v>46224.771787812497</v>
      </c>
      <c r="J923" t="s">
        <v>593</v>
      </c>
    </row>
    <row r="924" spans="1:10" x14ac:dyDescent="0.35">
      <c r="A924" t="s">
        <v>850</v>
      </c>
      <c r="B924" t="s">
        <v>591</v>
      </c>
      <c r="C924" t="s">
        <v>592</v>
      </c>
      <c r="D924" s="1">
        <v>46224</v>
      </c>
      <c r="E924">
        <v>2.6903309983628099E-2</v>
      </c>
      <c r="F924" t="s">
        <v>5109</v>
      </c>
      <c r="G924" s="1">
        <v>46224.771787731479</v>
      </c>
      <c r="H924" t="s">
        <v>593</v>
      </c>
      <c r="I924" s="1">
        <v>46224.771787812497</v>
      </c>
      <c r="J924" t="s">
        <v>593</v>
      </c>
    </row>
    <row r="925" spans="1:10" x14ac:dyDescent="0.35">
      <c r="A925" t="s">
        <v>851</v>
      </c>
      <c r="B925" t="s">
        <v>591</v>
      </c>
      <c r="C925" t="s">
        <v>592</v>
      </c>
      <c r="D925" s="1">
        <v>46224</v>
      </c>
      <c r="E925">
        <v>3.6500832275580097E-2</v>
      </c>
      <c r="F925" t="s">
        <v>5110</v>
      </c>
      <c r="G925" s="1">
        <v>46224.771787731479</v>
      </c>
      <c r="H925" t="s">
        <v>593</v>
      </c>
      <c r="I925" s="1">
        <v>46224.771787812497</v>
      </c>
      <c r="J925" t="s">
        <v>593</v>
      </c>
    </row>
    <row r="926" spans="1:10" x14ac:dyDescent="0.35">
      <c r="A926" t="s">
        <v>852</v>
      </c>
      <c r="B926" t="s">
        <v>591</v>
      </c>
      <c r="C926" t="s">
        <v>592</v>
      </c>
      <c r="D926" s="1">
        <v>46224</v>
      </c>
      <c r="E926">
        <v>3.5908223085269197E-2</v>
      </c>
      <c r="F926" t="s">
        <v>5111</v>
      </c>
      <c r="G926" s="1">
        <v>46224.771787731479</v>
      </c>
      <c r="H926" t="s">
        <v>593</v>
      </c>
      <c r="I926" s="1">
        <v>46224.771787812497</v>
      </c>
      <c r="J926" t="s">
        <v>593</v>
      </c>
    </row>
    <row r="927" spans="1:10" x14ac:dyDescent="0.35">
      <c r="A927" t="s">
        <v>853</v>
      </c>
      <c r="B927" t="s">
        <v>591</v>
      </c>
      <c r="C927" t="s">
        <v>592</v>
      </c>
      <c r="D927" s="1">
        <v>46224</v>
      </c>
      <c r="E927">
        <v>2.2885128497985501E-2</v>
      </c>
      <c r="F927" t="s">
        <v>5112</v>
      </c>
      <c r="G927" s="1">
        <v>46224.771787731479</v>
      </c>
      <c r="H927" t="s">
        <v>593</v>
      </c>
      <c r="I927" s="1">
        <v>46224.771787812497</v>
      </c>
      <c r="J927" t="s">
        <v>593</v>
      </c>
    </row>
    <row r="928" spans="1:10" x14ac:dyDescent="0.35">
      <c r="A928" t="s">
        <v>854</v>
      </c>
      <c r="B928" t="s">
        <v>591</v>
      </c>
      <c r="C928" t="s">
        <v>592</v>
      </c>
      <c r="D928" s="1">
        <v>46224</v>
      </c>
      <c r="E928">
        <v>2.48245042303697E-2</v>
      </c>
      <c r="F928" t="s">
        <v>5113</v>
      </c>
      <c r="G928" s="1">
        <v>46224.771787731479</v>
      </c>
      <c r="H928" t="s">
        <v>593</v>
      </c>
      <c r="I928" s="1">
        <v>46224.771787812497</v>
      </c>
      <c r="J928" t="s">
        <v>593</v>
      </c>
    </row>
    <row r="929" spans="1:10" x14ac:dyDescent="0.35">
      <c r="A929" t="s">
        <v>855</v>
      </c>
      <c r="B929" t="s">
        <v>591</v>
      </c>
      <c r="C929" t="s">
        <v>592</v>
      </c>
      <c r="D929" s="1">
        <v>46224</v>
      </c>
      <c r="E929">
        <v>2.68898783891308E-2</v>
      </c>
      <c r="F929" t="s">
        <v>5114</v>
      </c>
      <c r="G929" s="1">
        <v>46224.771787731479</v>
      </c>
      <c r="H929" t="s">
        <v>593</v>
      </c>
      <c r="I929" s="1">
        <v>46224.771787812497</v>
      </c>
      <c r="J929" t="s">
        <v>593</v>
      </c>
    </row>
    <row r="930" spans="1:10" x14ac:dyDescent="0.35">
      <c r="A930" t="s">
        <v>856</v>
      </c>
      <c r="B930" t="s">
        <v>591</v>
      </c>
      <c r="C930" t="s">
        <v>592</v>
      </c>
      <c r="D930" s="1">
        <v>46224</v>
      </c>
      <c r="E930">
        <v>3.6370951766438502E-2</v>
      </c>
      <c r="F930" t="s">
        <v>5115</v>
      </c>
      <c r="G930" s="1">
        <v>46224.771787731479</v>
      </c>
      <c r="H930" t="s">
        <v>593</v>
      </c>
      <c r="I930" s="1">
        <v>46224.771787812497</v>
      </c>
      <c r="J930" t="s">
        <v>593</v>
      </c>
    </row>
    <row r="931" spans="1:10" x14ac:dyDescent="0.35">
      <c r="A931" t="s">
        <v>857</v>
      </c>
      <c r="B931" t="s">
        <v>591</v>
      </c>
      <c r="C931" t="s">
        <v>592</v>
      </c>
      <c r="D931" s="1">
        <v>46224</v>
      </c>
      <c r="E931">
        <v>2.7488615159075001E-2</v>
      </c>
      <c r="F931" t="s">
        <v>5116</v>
      </c>
      <c r="G931" s="1">
        <v>46224.771787731479</v>
      </c>
      <c r="H931" t="s">
        <v>593</v>
      </c>
      <c r="I931" s="1">
        <v>46224.771787812497</v>
      </c>
      <c r="J931" t="s">
        <v>593</v>
      </c>
    </row>
    <row r="932" spans="1:10" x14ac:dyDescent="0.35">
      <c r="A932" t="s">
        <v>858</v>
      </c>
      <c r="B932" t="s">
        <v>591</v>
      </c>
      <c r="C932" t="s">
        <v>592</v>
      </c>
      <c r="D932" s="1">
        <v>46224</v>
      </c>
      <c r="E932">
        <v>2.7511354923201999E-2</v>
      </c>
      <c r="F932" t="s">
        <v>5117</v>
      </c>
      <c r="G932" s="1">
        <v>46224.771787731479</v>
      </c>
      <c r="H932" t="s">
        <v>593</v>
      </c>
      <c r="I932" s="1">
        <v>46224.771787812497</v>
      </c>
      <c r="J932" t="s">
        <v>593</v>
      </c>
    </row>
    <row r="933" spans="1:10" x14ac:dyDescent="0.35">
      <c r="A933" t="s">
        <v>859</v>
      </c>
      <c r="B933" t="s">
        <v>591</v>
      </c>
      <c r="C933" t="s">
        <v>592</v>
      </c>
      <c r="D933" s="1">
        <v>46224</v>
      </c>
      <c r="E933">
        <v>2.76322223065418E-2</v>
      </c>
      <c r="F933" t="s">
        <v>5118</v>
      </c>
      <c r="G933" s="1">
        <v>46224.771787731479</v>
      </c>
      <c r="H933" t="s">
        <v>593</v>
      </c>
      <c r="I933" s="1">
        <v>46224.771787812497</v>
      </c>
      <c r="J933" t="s">
        <v>593</v>
      </c>
    </row>
    <row r="934" spans="1:10" x14ac:dyDescent="0.35">
      <c r="A934" t="s">
        <v>860</v>
      </c>
      <c r="B934" t="s">
        <v>591</v>
      </c>
      <c r="C934" t="s">
        <v>592</v>
      </c>
      <c r="D934" s="1">
        <v>46224</v>
      </c>
      <c r="E934">
        <v>2.7878755492938601E-2</v>
      </c>
      <c r="F934" t="s">
        <v>5119</v>
      </c>
      <c r="G934" s="1">
        <v>46224.771787731479</v>
      </c>
      <c r="H934" t="s">
        <v>593</v>
      </c>
      <c r="I934" s="1">
        <v>46224.771787812497</v>
      </c>
      <c r="J934" t="s">
        <v>593</v>
      </c>
    </row>
    <row r="935" spans="1:10" x14ac:dyDescent="0.35">
      <c r="A935" t="s">
        <v>861</v>
      </c>
      <c r="B935" t="s">
        <v>591</v>
      </c>
      <c r="C935" t="s">
        <v>592</v>
      </c>
      <c r="D935" s="1">
        <v>46224</v>
      </c>
      <c r="E935">
        <v>3.6684827716167899E-2</v>
      </c>
      <c r="F935" t="s">
        <v>5120</v>
      </c>
      <c r="G935" s="1">
        <v>46224.771787731479</v>
      </c>
      <c r="H935" t="s">
        <v>593</v>
      </c>
      <c r="I935" s="1">
        <v>46224.771787812497</v>
      </c>
      <c r="J935" t="s">
        <v>593</v>
      </c>
    </row>
    <row r="936" spans="1:10" x14ac:dyDescent="0.35">
      <c r="A936" t="s">
        <v>862</v>
      </c>
      <c r="B936" t="s">
        <v>591</v>
      </c>
      <c r="C936" t="s">
        <v>592</v>
      </c>
      <c r="D936" s="1">
        <v>46224</v>
      </c>
      <c r="E936">
        <v>2.8174857441574101E-2</v>
      </c>
      <c r="F936" t="s">
        <v>5121</v>
      </c>
      <c r="G936" s="1">
        <v>46224.771787731479</v>
      </c>
      <c r="H936" t="s">
        <v>593</v>
      </c>
      <c r="I936" s="1">
        <v>46224.771787812497</v>
      </c>
      <c r="J936" t="s">
        <v>593</v>
      </c>
    </row>
    <row r="937" spans="1:10" x14ac:dyDescent="0.35">
      <c r="A937" t="s">
        <v>863</v>
      </c>
      <c r="B937" t="s">
        <v>591</v>
      </c>
      <c r="C937" t="s">
        <v>592</v>
      </c>
      <c r="D937" s="1">
        <v>46224</v>
      </c>
      <c r="E937">
        <v>2.8259091001887501E-2</v>
      </c>
      <c r="F937" t="s">
        <v>5122</v>
      </c>
      <c r="G937" s="1">
        <v>46224.771787731479</v>
      </c>
      <c r="H937" t="s">
        <v>593</v>
      </c>
      <c r="I937" s="1">
        <v>46224.771787812497</v>
      </c>
      <c r="J937" t="s">
        <v>593</v>
      </c>
    </row>
    <row r="938" spans="1:10" x14ac:dyDescent="0.35">
      <c r="A938" t="s">
        <v>864</v>
      </c>
      <c r="B938" t="s">
        <v>591</v>
      </c>
      <c r="C938" t="s">
        <v>592</v>
      </c>
      <c r="D938" s="1">
        <v>46224</v>
      </c>
      <c r="E938">
        <v>3.1116395921333799E-2</v>
      </c>
      <c r="F938" t="s">
        <v>5123</v>
      </c>
      <c r="G938" s="1">
        <v>46224.771787731479</v>
      </c>
      <c r="H938" t="s">
        <v>593</v>
      </c>
      <c r="I938" s="1">
        <v>46224.771787812497</v>
      </c>
      <c r="J938" t="s">
        <v>593</v>
      </c>
    </row>
    <row r="939" spans="1:10" x14ac:dyDescent="0.35">
      <c r="A939" t="s">
        <v>865</v>
      </c>
      <c r="B939" t="s">
        <v>591</v>
      </c>
      <c r="C939" t="s">
        <v>592</v>
      </c>
      <c r="D939" s="1">
        <v>46224</v>
      </c>
      <c r="E939">
        <v>2.7016734156364401E-2</v>
      </c>
      <c r="F939" t="s">
        <v>5124</v>
      </c>
      <c r="G939" s="1">
        <v>46224.771787731479</v>
      </c>
      <c r="H939" t="s">
        <v>593</v>
      </c>
      <c r="I939" s="1">
        <v>46224.771787812497</v>
      </c>
      <c r="J939" t="s">
        <v>593</v>
      </c>
    </row>
    <row r="940" spans="1:10" x14ac:dyDescent="0.35">
      <c r="A940" t="s">
        <v>866</v>
      </c>
      <c r="B940" t="s">
        <v>591</v>
      </c>
      <c r="C940" t="s">
        <v>592</v>
      </c>
      <c r="D940" s="1">
        <v>46224</v>
      </c>
      <c r="E940">
        <v>2.8488967424110001E-2</v>
      </c>
      <c r="F940" t="s">
        <v>5125</v>
      </c>
      <c r="G940" s="1">
        <v>46224.771787731479</v>
      </c>
      <c r="H940" t="s">
        <v>593</v>
      </c>
      <c r="I940" s="1">
        <v>46224.771787812497</v>
      </c>
      <c r="J940" t="s">
        <v>593</v>
      </c>
    </row>
    <row r="941" spans="1:10" x14ac:dyDescent="0.35">
      <c r="A941" t="s">
        <v>867</v>
      </c>
      <c r="B941" t="s">
        <v>591</v>
      </c>
      <c r="C941" t="s">
        <v>592</v>
      </c>
      <c r="D941" s="1">
        <v>46224</v>
      </c>
      <c r="E941">
        <v>3.1765624955592299E-2</v>
      </c>
      <c r="F941" t="s">
        <v>5126</v>
      </c>
      <c r="G941" s="1">
        <v>46224.771787731479</v>
      </c>
      <c r="H941" t="s">
        <v>593</v>
      </c>
      <c r="I941" s="1">
        <v>46224.771787812497</v>
      </c>
      <c r="J941" t="s">
        <v>593</v>
      </c>
    </row>
    <row r="942" spans="1:10" x14ac:dyDescent="0.35">
      <c r="A942" t="s">
        <v>868</v>
      </c>
      <c r="B942" t="s">
        <v>591</v>
      </c>
      <c r="C942" t="s">
        <v>592</v>
      </c>
      <c r="D942" s="1">
        <v>46224</v>
      </c>
      <c r="E942">
        <v>2.7585952118209901E-2</v>
      </c>
      <c r="F942" t="s">
        <v>5127</v>
      </c>
      <c r="G942" s="1">
        <v>46224.771787731479</v>
      </c>
      <c r="H942" t="s">
        <v>593</v>
      </c>
      <c r="I942" s="1">
        <v>46224.771787812497</v>
      </c>
      <c r="J942" t="s">
        <v>593</v>
      </c>
    </row>
    <row r="943" spans="1:10" x14ac:dyDescent="0.35">
      <c r="A943" t="s">
        <v>869</v>
      </c>
      <c r="B943" t="s">
        <v>591</v>
      </c>
      <c r="C943" t="s">
        <v>592</v>
      </c>
      <c r="D943" s="1">
        <v>46224</v>
      </c>
      <c r="E943">
        <v>2.8844659418969801E-2</v>
      </c>
      <c r="F943" t="s">
        <v>5128</v>
      </c>
      <c r="G943" s="1">
        <v>46224.771787731479</v>
      </c>
      <c r="H943" t="s">
        <v>593</v>
      </c>
      <c r="I943" s="1">
        <v>46224.771787812497</v>
      </c>
      <c r="J943" t="s">
        <v>593</v>
      </c>
    </row>
    <row r="944" spans="1:10" x14ac:dyDescent="0.35">
      <c r="A944" t="s">
        <v>870</v>
      </c>
      <c r="B944" t="s">
        <v>591</v>
      </c>
      <c r="C944" t="s">
        <v>592</v>
      </c>
      <c r="D944" s="1">
        <v>46224</v>
      </c>
      <c r="E944">
        <v>3.6685823366806099E-2</v>
      </c>
      <c r="F944" t="s">
        <v>5129</v>
      </c>
      <c r="G944" s="1">
        <v>46224.771787731479</v>
      </c>
      <c r="H944" t="s">
        <v>593</v>
      </c>
      <c r="I944" s="1">
        <v>46224.771787812497</v>
      </c>
      <c r="J944" t="s">
        <v>593</v>
      </c>
    </row>
    <row r="945" spans="1:10" x14ac:dyDescent="0.35">
      <c r="A945" t="s">
        <v>871</v>
      </c>
      <c r="B945" t="s">
        <v>591</v>
      </c>
      <c r="C945" t="s">
        <v>592</v>
      </c>
      <c r="D945" s="1">
        <v>46224</v>
      </c>
      <c r="E945">
        <v>2.91156652705514E-2</v>
      </c>
      <c r="F945" t="s">
        <v>5130</v>
      </c>
      <c r="G945" s="1">
        <v>46224.771787731479</v>
      </c>
      <c r="H945" t="s">
        <v>593</v>
      </c>
      <c r="I945" s="1">
        <v>46224.771787812497</v>
      </c>
      <c r="J945" t="s">
        <v>593</v>
      </c>
    </row>
    <row r="946" spans="1:10" x14ac:dyDescent="0.35">
      <c r="A946" t="s">
        <v>872</v>
      </c>
      <c r="B946" t="s">
        <v>591</v>
      </c>
      <c r="C946" t="s">
        <v>592</v>
      </c>
      <c r="D946" s="1">
        <v>46224</v>
      </c>
      <c r="E946">
        <v>3.3188191346637398E-2</v>
      </c>
      <c r="F946" t="s">
        <v>5131</v>
      </c>
      <c r="G946" s="1">
        <v>46224.771787731479</v>
      </c>
      <c r="H946" t="s">
        <v>593</v>
      </c>
      <c r="I946" s="1">
        <v>46224.771787812497</v>
      </c>
      <c r="J946" t="s">
        <v>593</v>
      </c>
    </row>
    <row r="947" spans="1:10" x14ac:dyDescent="0.35">
      <c r="A947" t="s">
        <v>873</v>
      </c>
      <c r="B947" t="s">
        <v>591</v>
      </c>
      <c r="C947" t="s">
        <v>592</v>
      </c>
      <c r="D947" s="1">
        <v>46224</v>
      </c>
      <c r="E947">
        <v>2.9273809804607202E-2</v>
      </c>
      <c r="F947" t="s">
        <v>5132</v>
      </c>
      <c r="G947" s="1">
        <v>46224.771787731479</v>
      </c>
      <c r="H947" t="s">
        <v>593</v>
      </c>
      <c r="I947" s="1">
        <v>46224.771787812497</v>
      </c>
      <c r="J947" t="s">
        <v>593</v>
      </c>
    </row>
    <row r="948" spans="1:10" x14ac:dyDescent="0.35">
      <c r="A948" t="s">
        <v>874</v>
      </c>
      <c r="B948" t="s">
        <v>591</v>
      </c>
      <c r="C948" t="s">
        <v>592</v>
      </c>
      <c r="D948" s="1">
        <v>46224</v>
      </c>
      <c r="E948">
        <v>3.6658151827227398E-2</v>
      </c>
      <c r="F948" t="s">
        <v>5133</v>
      </c>
      <c r="G948" s="1">
        <v>46224.771787731479</v>
      </c>
      <c r="H948" t="s">
        <v>593</v>
      </c>
      <c r="I948" s="1">
        <v>46224.771787812497</v>
      </c>
      <c r="J948" t="s">
        <v>593</v>
      </c>
    </row>
    <row r="949" spans="1:10" x14ac:dyDescent="0.35">
      <c r="A949" t="s">
        <v>875</v>
      </c>
      <c r="B949" t="s">
        <v>591</v>
      </c>
      <c r="C949" t="s">
        <v>592</v>
      </c>
      <c r="D949" s="1">
        <v>46224</v>
      </c>
      <c r="E949">
        <v>2.8257225391490198E-2</v>
      </c>
      <c r="F949" t="s">
        <v>5134</v>
      </c>
      <c r="G949" s="1">
        <v>46224.771787731479</v>
      </c>
      <c r="H949" t="s">
        <v>593</v>
      </c>
      <c r="I949" s="1">
        <v>46224.771787812497</v>
      </c>
      <c r="J949" t="s">
        <v>593</v>
      </c>
    </row>
    <row r="950" spans="1:10" x14ac:dyDescent="0.35">
      <c r="A950" t="s">
        <v>876</v>
      </c>
      <c r="B950" t="s">
        <v>591</v>
      </c>
      <c r="C950" t="s">
        <v>592</v>
      </c>
      <c r="D950" s="1">
        <v>46224</v>
      </c>
      <c r="E950">
        <v>2.6436138845564301E-2</v>
      </c>
      <c r="F950" t="s">
        <v>5135</v>
      </c>
      <c r="G950" s="1">
        <v>46224.771787731479</v>
      </c>
      <c r="H950" t="s">
        <v>593</v>
      </c>
      <c r="I950" s="1">
        <v>46224.771787812497</v>
      </c>
      <c r="J950" t="s">
        <v>593</v>
      </c>
    </row>
    <row r="951" spans="1:10" x14ac:dyDescent="0.35">
      <c r="A951" t="s">
        <v>877</v>
      </c>
      <c r="B951" t="s">
        <v>591</v>
      </c>
      <c r="C951" t="s">
        <v>592</v>
      </c>
      <c r="D951" s="1">
        <v>46224</v>
      </c>
      <c r="E951">
        <v>2.7372028130479301E-2</v>
      </c>
      <c r="F951" t="s">
        <v>5136</v>
      </c>
      <c r="G951" s="1">
        <v>46224.771787731479</v>
      </c>
      <c r="H951" t="s">
        <v>593</v>
      </c>
      <c r="I951" s="1">
        <v>46224.771787812497</v>
      </c>
      <c r="J951" t="s">
        <v>593</v>
      </c>
    </row>
    <row r="952" spans="1:10" x14ac:dyDescent="0.35">
      <c r="A952" t="s">
        <v>878</v>
      </c>
      <c r="B952" t="s">
        <v>591</v>
      </c>
      <c r="C952" t="s">
        <v>592</v>
      </c>
      <c r="D952" s="1">
        <v>46224</v>
      </c>
      <c r="E952">
        <v>2.7579608556650901E-2</v>
      </c>
      <c r="F952" t="s">
        <v>5137</v>
      </c>
      <c r="G952" s="1">
        <v>46224.771787731479</v>
      </c>
      <c r="H952" t="s">
        <v>593</v>
      </c>
      <c r="I952" s="1">
        <v>46224.771787812497</v>
      </c>
      <c r="J952" t="s">
        <v>593</v>
      </c>
    </row>
    <row r="953" spans="1:10" x14ac:dyDescent="0.35">
      <c r="A953" t="s">
        <v>879</v>
      </c>
      <c r="B953" t="s">
        <v>591</v>
      </c>
      <c r="C953" t="s">
        <v>592</v>
      </c>
      <c r="D953" s="1">
        <v>46224</v>
      </c>
      <c r="E953">
        <v>2.82434305758952E-2</v>
      </c>
      <c r="F953" t="s">
        <v>5138</v>
      </c>
      <c r="G953" s="1">
        <v>46224.771787731479</v>
      </c>
      <c r="H953" t="s">
        <v>593</v>
      </c>
      <c r="I953" s="1">
        <v>46224.771787812497</v>
      </c>
      <c r="J953" t="s">
        <v>593</v>
      </c>
    </row>
    <row r="954" spans="1:10" x14ac:dyDescent="0.35">
      <c r="A954" t="s">
        <v>880</v>
      </c>
      <c r="B954" t="s">
        <v>591</v>
      </c>
      <c r="C954" t="s">
        <v>592</v>
      </c>
      <c r="D954" s="1">
        <v>46224</v>
      </c>
      <c r="E954">
        <v>2.8640448657530199E-2</v>
      </c>
      <c r="F954" t="s">
        <v>5139</v>
      </c>
      <c r="G954" s="1">
        <v>46224.771787731479</v>
      </c>
      <c r="H954" t="s">
        <v>593</v>
      </c>
      <c r="I954" s="1">
        <v>46224.771787812497</v>
      </c>
      <c r="J954" t="s">
        <v>593</v>
      </c>
    </row>
    <row r="955" spans="1:10" x14ac:dyDescent="0.35">
      <c r="A955" t="s">
        <v>881</v>
      </c>
      <c r="B955" t="s">
        <v>591</v>
      </c>
      <c r="C955" t="s">
        <v>592</v>
      </c>
      <c r="D955" s="1">
        <v>46224</v>
      </c>
      <c r="E955">
        <v>3.0211863225291201E-2</v>
      </c>
      <c r="F955" t="s">
        <v>5140</v>
      </c>
      <c r="G955" s="1">
        <v>46224.771787731479</v>
      </c>
      <c r="H955" t="s">
        <v>593</v>
      </c>
      <c r="I955" s="1">
        <v>46224.771787812497</v>
      </c>
      <c r="J955" t="s">
        <v>593</v>
      </c>
    </row>
    <row r="956" spans="1:10" x14ac:dyDescent="0.35">
      <c r="A956" t="s">
        <v>882</v>
      </c>
      <c r="B956" t="s">
        <v>591</v>
      </c>
      <c r="C956" t="s">
        <v>592</v>
      </c>
      <c r="D956" s="1">
        <v>46224</v>
      </c>
      <c r="E956">
        <v>3.1875229294869599E-2</v>
      </c>
      <c r="F956" t="s">
        <v>5141</v>
      </c>
      <c r="G956" s="1">
        <v>46224.771787731479</v>
      </c>
      <c r="H956" t="s">
        <v>593</v>
      </c>
      <c r="I956" s="1">
        <v>46224.771787812497</v>
      </c>
      <c r="J956" t="s">
        <v>593</v>
      </c>
    </row>
    <row r="957" spans="1:10" x14ac:dyDescent="0.35">
      <c r="A957" t="s">
        <v>883</v>
      </c>
      <c r="B957" t="s">
        <v>591</v>
      </c>
      <c r="C957" t="s">
        <v>592</v>
      </c>
      <c r="D957" s="1">
        <v>46224</v>
      </c>
      <c r="E957">
        <v>3.3425841990144402E-2</v>
      </c>
      <c r="F957" t="s">
        <v>5142</v>
      </c>
      <c r="G957" s="1">
        <v>46224.771787731479</v>
      </c>
      <c r="H957" t="s">
        <v>593</v>
      </c>
      <c r="I957" s="1">
        <v>46224.771787812497</v>
      </c>
      <c r="J957" t="s">
        <v>593</v>
      </c>
    </row>
    <row r="958" spans="1:10" x14ac:dyDescent="0.35">
      <c r="A958" t="s">
        <v>884</v>
      </c>
      <c r="B958" t="s">
        <v>591</v>
      </c>
      <c r="C958" t="s">
        <v>592</v>
      </c>
      <c r="D958" s="1">
        <v>46224</v>
      </c>
      <c r="E958">
        <v>3.39526602020453E-2</v>
      </c>
      <c r="F958" t="s">
        <v>5143</v>
      </c>
      <c r="G958" s="1">
        <v>46224.771787731479</v>
      </c>
      <c r="H958" t="s">
        <v>593</v>
      </c>
      <c r="I958" s="1">
        <v>46224.771787812497</v>
      </c>
      <c r="J958" t="s">
        <v>593</v>
      </c>
    </row>
    <row r="959" spans="1:10" x14ac:dyDescent="0.35">
      <c r="A959" t="s">
        <v>885</v>
      </c>
      <c r="B959" t="s">
        <v>591</v>
      </c>
      <c r="C959" t="s">
        <v>592</v>
      </c>
      <c r="D959" s="1">
        <v>46224</v>
      </c>
      <c r="E959">
        <v>3.4935087746820297E-2</v>
      </c>
      <c r="F959" t="s">
        <v>5144</v>
      </c>
      <c r="G959" s="1">
        <v>46224.771787731479</v>
      </c>
      <c r="H959" t="s">
        <v>593</v>
      </c>
      <c r="I959" s="1">
        <v>46224.771787812497</v>
      </c>
      <c r="J959" t="s">
        <v>593</v>
      </c>
    </row>
    <row r="960" spans="1:10" x14ac:dyDescent="0.35">
      <c r="A960" t="s">
        <v>886</v>
      </c>
      <c r="B960" t="s">
        <v>591</v>
      </c>
      <c r="C960" t="s">
        <v>592</v>
      </c>
      <c r="D960" s="1">
        <v>46224</v>
      </c>
      <c r="E960">
        <v>3.5542707272339498E-2</v>
      </c>
      <c r="F960" t="s">
        <v>5145</v>
      </c>
      <c r="G960" s="1">
        <v>46224.771787731479</v>
      </c>
      <c r="H960" t="s">
        <v>593</v>
      </c>
      <c r="I960" s="1">
        <v>46224.771787812497</v>
      </c>
      <c r="J960" t="s">
        <v>593</v>
      </c>
    </row>
    <row r="961" spans="1:10" x14ac:dyDescent="0.35">
      <c r="A961" t="s">
        <v>887</v>
      </c>
      <c r="B961" t="s">
        <v>591</v>
      </c>
      <c r="C961" t="s">
        <v>592</v>
      </c>
      <c r="D961" s="1">
        <v>46224</v>
      </c>
      <c r="E961">
        <v>2.3420480144967799E-2</v>
      </c>
      <c r="F961" t="s">
        <v>5146</v>
      </c>
      <c r="G961" s="1">
        <v>46224.771787731479</v>
      </c>
      <c r="H961" t="s">
        <v>593</v>
      </c>
      <c r="I961" s="1">
        <v>46224.771787812497</v>
      </c>
      <c r="J961" t="s">
        <v>593</v>
      </c>
    </row>
    <row r="962" spans="1:10" x14ac:dyDescent="0.35">
      <c r="A962" t="s">
        <v>888</v>
      </c>
      <c r="B962" t="s">
        <v>591</v>
      </c>
      <c r="C962" t="s">
        <v>592</v>
      </c>
      <c r="D962" s="1">
        <v>46224</v>
      </c>
      <c r="E962">
        <v>2.57953325551569E-2</v>
      </c>
      <c r="F962" t="s">
        <v>5147</v>
      </c>
      <c r="G962" s="1">
        <v>46224.771787731479</v>
      </c>
      <c r="H962" t="s">
        <v>593</v>
      </c>
      <c r="I962" s="1">
        <v>46224.771787812497</v>
      </c>
      <c r="J962" t="s">
        <v>593</v>
      </c>
    </row>
    <row r="963" spans="1:10" x14ac:dyDescent="0.35">
      <c r="A963" t="s">
        <v>889</v>
      </c>
      <c r="B963" t="s">
        <v>591</v>
      </c>
      <c r="C963" t="s">
        <v>592</v>
      </c>
      <c r="D963" s="1">
        <v>46224</v>
      </c>
      <c r="E963">
        <v>2.7081705309142199E-2</v>
      </c>
      <c r="F963" t="s">
        <v>5148</v>
      </c>
      <c r="G963" s="1">
        <v>46224.771787731479</v>
      </c>
      <c r="H963" t="s">
        <v>593</v>
      </c>
      <c r="I963" s="1">
        <v>46224.771787812497</v>
      </c>
      <c r="J963" t="s">
        <v>593</v>
      </c>
    </row>
    <row r="964" spans="1:10" x14ac:dyDescent="0.35">
      <c r="A964" t="s">
        <v>890</v>
      </c>
      <c r="B964" t="s">
        <v>591</v>
      </c>
      <c r="C964" t="s">
        <v>592</v>
      </c>
      <c r="D964" s="1">
        <v>46224</v>
      </c>
      <c r="E964">
        <v>4.4358459642251803E-2</v>
      </c>
      <c r="F964" t="s">
        <v>5149</v>
      </c>
      <c r="G964" s="1">
        <v>46224.771787731479</v>
      </c>
      <c r="H964" t="s">
        <v>593</v>
      </c>
      <c r="I964" s="1">
        <v>46224.771787812497</v>
      </c>
      <c r="J964" t="s">
        <v>593</v>
      </c>
    </row>
    <row r="965" spans="1:10" x14ac:dyDescent="0.35">
      <c r="A965" t="s">
        <v>891</v>
      </c>
      <c r="B965" t="s">
        <v>591</v>
      </c>
      <c r="C965" t="s">
        <v>592</v>
      </c>
      <c r="D965" s="1">
        <v>46224</v>
      </c>
      <c r="E965">
        <v>2.2879623012221399E-2</v>
      </c>
      <c r="F965" t="s">
        <v>5150</v>
      </c>
      <c r="G965" s="1">
        <v>46224.771787731479</v>
      </c>
      <c r="H965" t="s">
        <v>593</v>
      </c>
      <c r="I965" s="1">
        <v>46224.771787812497</v>
      </c>
      <c r="J965" t="s">
        <v>593</v>
      </c>
    </row>
    <row r="966" spans="1:10" x14ac:dyDescent="0.35">
      <c r="A966" t="s">
        <v>892</v>
      </c>
      <c r="B966" t="s">
        <v>591</v>
      </c>
      <c r="C966" t="s">
        <v>592</v>
      </c>
      <c r="D966" s="1">
        <v>46224</v>
      </c>
      <c r="E966">
        <v>2.41751903883165E-2</v>
      </c>
      <c r="F966" t="s">
        <v>5151</v>
      </c>
      <c r="G966" s="1">
        <v>46224.771787731479</v>
      </c>
      <c r="H966" t="s">
        <v>593</v>
      </c>
      <c r="I966" s="1">
        <v>46224.771787812497</v>
      </c>
      <c r="J966" t="s">
        <v>593</v>
      </c>
    </row>
    <row r="967" spans="1:10" x14ac:dyDescent="0.35">
      <c r="A967" t="s">
        <v>893</v>
      </c>
      <c r="B967" t="s">
        <v>591</v>
      </c>
      <c r="C967" t="s">
        <v>592</v>
      </c>
      <c r="D967" s="1">
        <v>46224</v>
      </c>
      <c r="E967">
        <v>2.5558807299305802E-2</v>
      </c>
      <c r="F967" t="s">
        <v>5152</v>
      </c>
      <c r="G967" s="1">
        <v>46224.771787731479</v>
      </c>
      <c r="H967" t="s">
        <v>593</v>
      </c>
      <c r="I967" s="1">
        <v>46224.771787812497</v>
      </c>
      <c r="J967" t="s">
        <v>593</v>
      </c>
    </row>
    <row r="968" spans="1:10" x14ac:dyDescent="0.35">
      <c r="A968" t="s">
        <v>894</v>
      </c>
      <c r="B968" t="s">
        <v>591</v>
      </c>
      <c r="C968" t="s">
        <v>592</v>
      </c>
      <c r="D968" s="1">
        <v>46224</v>
      </c>
      <c r="E968">
        <v>2.64473321799234E-2</v>
      </c>
      <c r="F968" t="s">
        <v>5153</v>
      </c>
      <c r="G968" s="1">
        <v>46224.771787731479</v>
      </c>
      <c r="H968" t="s">
        <v>593</v>
      </c>
      <c r="I968" s="1">
        <v>46224.771787812497</v>
      </c>
      <c r="J968" t="s">
        <v>593</v>
      </c>
    </row>
    <row r="969" spans="1:10" x14ac:dyDescent="0.35">
      <c r="A969" t="s">
        <v>895</v>
      </c>
      <c r="B969" t="s">
        <v>591</v>
      </c>
      <c r="C969" t="s">
        <v>592</v>
      </c>
      <c r="D969" s="1">
        <v>46224</v>
      </c>
      <c r="E969">
        <v>2.71343818014755E-2</v>
      </c>
      <c r="F969" t="s">
        <v>5154</v>
      </c>
      <c r="G969" s="1">
        <v>46224.771787731479</v>
      </c>
      <c r="H969" t="s">
        <v>593</v>
      </c>
      <c r="I969" s="1">
        <v>46224.771787812497</v>
      </c>
      <c r="J969" t="s">
        <v>593</v>
      </c>
    </row>
    <row r="970" spans="1:10" x14ac:dyDescent="0.35">
      <c r="A970" t="s">
        <v>896</v>
      </c>
      <c r="B970" t="s">
        <v>591</v>
      </c>
      <c r="C970" t="s">
        <v>592</v>
      </c>
      <c r="D970" s="1">
        <v>46224</v>
      </c>
      <c r="E970">
        <v>2.7518394719107601E-2</v>
      </c>
      <c r="F970" t="s">
        <v>5155</v>
      </c>
      <c r="G970" s="1">
        <v>46224.771787731479</v>
      </c>
      <c r="H970" t="s">
        <v>593</v>
      </c>
      <c r="I970" s="1">
        <v>46224.771787812497</v>
      </c>
      <c r="J970" t="s">
        <v>593</v>
      </c>
    </row>
    <row r="971" spans="1:10" x14ac:dyDescent="0.35">
      <c r="A971" t="s">
        <v>897</v>
      </c>
      <c r="B971" t="s">
        <v>591</v>
      </c>
      <c r="C971" t="s">
        <v>592</v>
      </c>
      <c r="D971" s="1">
        <v>46224</v>
      </c>
      <c r="E971">
        <v>2.7801921003567501E-2</v>
      </c>
      <c r="F971" t="s">
        <v>5156</v>
      </c>
      <c r="G971" s="1">
        <v>46224.771787731479</v>
      </c>
      <c r="H971" t="s">
        <v>593</v>
      </c>
      <c r="I971" s="1">
        <v>46224.771787812497</v>
      </c>
      <c r="J971" t="s">
        <v>593</v>
      </c>
    </row>
    <row r="972" spans="1:10" x14ac:dyDescent="0.35">
      <c r="A972" t="s">
        <v>898</v>
      </c>
      <c r="B972" t="s">
        <v>591</v>
      </c>
      <c r="C972" t="s">
        <v>592</v>
      </c>
      <c r="D972" s="1">
        <v>46224</v>
      </c>
      <c r="E972">
        <v>2.7938272707028599E-2</v>
      </c>
      <c r="F972" t="s">
        <v>5157</v>
      </c>
      <c r="G972" s="1">
        <v>46224.771787731479</v>
      </c>
      <c r="H972" t="s">
        <v>593</v>
      </c>
      <c r="I972" s="1">
        <v>46224.771787812497</v>
      </c>
      <c r="J972" t="s">
        <v>593</v>
      </c>
    </row>
    <row r="973" spans="1:10" x14ac:dyDescent="0.35">
      <c r="A973" t="s">
        <v>5158</v>
      </c>
      <c r="B973" t="s">
        <v>591</v>
      </c>
      <c r="C973" t="s">
        <v>592</v>
      </c>
      <c r="D973" s="1">
        <v>46224</v>
      </c>
      <c r="E973">
        <v>2.8018550539148399E-2</v>
      </c>
      <c r="F973" t="s">
        <v>5159</v>
      </c>
      <c r="G973" s="1">
        <v>46224.771787731479</v>
      </c>
      <c r="H973" t="s">
        <v>593</v>
      </c>
      <c r="I973" s="1">
        <v>46224.771787812497</v>
      </c>
      <c r="J973" t="s">
        <v>593</v>
      </c>
    </row>
    <row r="974" spans="1:10" x14ac:dyDescent="0.35">
      <c r="A974" t="s">
        <v>899</v>
      </c>
      <c r="B974" t="s">
        <v>591</v>
      </c>
      <c r="C974" t="s">
        <v>592</v>
      </c>
      <c r="D974" s="1">
        <v>46224</v>
      </c>
      <c r="E974">
        <v>2.7736597233431699E-2</v>
      </c>
      <c r="F974" t="s">
        <v>5160</v>
      </c>
      <c r="G974" s="1">
        <v>46224.771787731479</v>
      </c>
      <c r="H974" t="s">
        <v>593</v>
      </c>
      <c r="I974" s="1">
        <v>46224.771787812497</v>
      </c>
      <c r="J974" t="s">
        <v>593</v>
      </c>
    </row>
    <row r="975" spans="1:10" x14ac:dyDescent="0.35">
      <c r="A975" t="s">
        <v>900</v>
      </c>
      <c r="B975" t="s">
        <v>591</v>
      </c>
      <c r="C975" t="s">
        <v>592</v>
      </c>
      <c r="D975" s="1">
        <v>46224</v>
      </c>
      <c r="E975">
        <v>2.7923119710035499E-2</v>
      </c>
      <c r="F975" t="s">
        <v>5161</v>
      </c>
      <c r="G975" s="1">
        <v>46224.771787731479</v>
      </c>
      <c r="H975" t="s">
        <v>593</v>
      </c>
      <c r="I975" s="1">
        <v>46224.771787812497</v>
      </c>
      <c r="J975" t="s">
        <v>593</v>
      </c>
    </row>
    <row r="976" spans="1:10" x14ac:dyDescent="0.35">
      <c r="A976" t="s">
        <v>901</v>
      </c>
      <c r="B976" t="s">
        <v>591</v>
      </c>
      <c r="C976" t="s">
        <v>592</v>
      </c>
      <c r="D976" s="1">
        <v>46224</v>
      </c>
      <c r="E976">
        <v>2.8036343348337399E-2</v>
      </c>
      <c r="F976" t="s">
        <v>5162</v>
      </c>
      <c r="G976" s="1">
        <v>46224.771787731479</v>
      </c>
      <c r="H976" t="s">
        <v>593</v>
      </c>
      <c r="I976" s="1">
        <v>46224.771787812497</v>
      </c>
      <c r="J976" t="s">
        <v>593</v>
      </c>
    </row>
    <row r="977" spans="1:10" x14ac:dyDescent="0.35">
      <c r="A977" t="s">
        <v>902</v>
      </c>
      <c r="B977" t="s">
        <v>591</v>
      </c>
      <c r="C977" t="s">
        <v>592</v>
      </c>
      <c r="D977" s="1">
        <v>46224</v>
      </c>
      <c r="E977">
        <v>2.8197687313607899E-2</v>
      </c>
      <c r="F977" t="s">
        <v>5163</v>
      </c>
      <c r="G977" s="1">
        <v>46224.771787731479</v>
      </c>
      <c r="H977" t="s">
        <v>593</v>
      </c>
      <c r="I977" s="1">
        <v>46224.771787812497</v>
      </c>
      <c r="J977" t="s">
        <v>593</v>
      </c>
    </row>
    <row r="978" spans="1:10" x14ac:dyDescent="0.35">
      <c r="A978" t="s">
        <v>903</v>
      </c>
      <c r="B978" t="s">
        <v>591</v>
      </c>
      <c r="C978" t="s">
        <v>592</v>
      </c>
      <c r="D978" s="1">
        <v>46224</v>
      </c>
      <c r="E978">
        <v>2.84349068836224E-2</v>
      </c>
      <c r="F978" t="s">
        <v>5164</v>
      </c>
      <c r="G978" s="1">
        <v>46224.771787731479</v>
      </c>
      <c r="H978" t="s">
        <v>593</v>
      </c>
      <c r="I978" s="1">
        <v>46224.771787812497</v>
      </c>
      <c r="J978" t="s">
        <v>593</v>
      </c>
    </row>
    <row r="979" spans="1:10" x14ac:dyDescent="0.35">
      <c r="A979" t="s">
        <v>904</v>
      </c>
      <c r="B979" t="s">
        <v>591</v>
      </c>
      <c r="C979" t="s">
        <v>592</v>
      </c>
      <c r="D979" s="1">
        <v>46224</v>
      </c>
      <c r="E979">
        <v>2.8639902407919599E-2</v>
      </c>
      <c r="F979" t="s">
        <v>5165</v>
      </c>
      <c r="G979" s="1">
        <v>46224.771787731479</v>
      </c>
      <c r="H979" t="s">
        <v>593</v>
      </c>
      <c r="I979" s="1">
        <v>46224.771787812497</v>
      </c>
      <c r="J979" t="s">
        <v>593</v>
      </c>
    </row>
    <row r="980" spans="1:10" x14ac:dyDescent="0.35">
      <c r="A980" t="s">
        <v>905</v>
      </c>
      <c r="B980" t="s">
        <v>591</v>
      </c>
      <c r="C980" t="s">
        <v>592</v>
      </c>
      <c r="D980" s="1">
        <v>46224</v>
      </c>
      <c r="E980">
        <v>2.8903056655952102E-2</v>
      </c>
      <c r="F980" t="s">
        <v>5166</v>
      </c>
      <c r="G980" s="1">
        <v>46224.771787731479</v>
      </c>
      <c r="H980" t="s">
        <v>593</v>
      </c>
      <c r="I980" s="1">
        <v>46224.771787812497</v>
      </c>
      <c r="J980" t="s">
        <v>593</v>
      </c>
    </row>
    <row r="981" spans="1:10" x14ac:dyDescent="0.35">
      <c r="A981" t="s">
        <v>5669</v>
      </c>
      <c r="B981" t="s">
        <v>591</v>
      </c>
      <c r="C981" t="s">
        <v>592</v>
      </c>
      <c r="D981" s="1">
        <v>46224</v>
      </c>
      <c r="E981">
        <v>2.91481017473194E-2</v>
      </c>
      <c r="F981" t="s">
        <v>5670</v>
      </c>
      <c r="G981" s="1">
        <v>46224.775783020836</v>
      </c>
      <c r="H981" t="s">
        <v>593</v>
      </c>
      <c r="I981" s="1">
        <v>46224.775782951387</v>
      </c>
      <c r="J981" t="s">
        <v>593</v>
      </c>
    </row>
    <row r="982" spans="1:10" x14ac:dyDescent="0.35">
      <c r="A982" t="s">
        <v>906</v>
      </c>
      <c r="B982" t="s">
        <v>591</v>
      </c>
      <c r="C982" t="s">
        <v>592</v>
      </c>
      <c r="D982" s="1">
        <v>46224</v>
      </c>
      <c r="E982">
        <v>2.8694658247278199E-2</v>
      </c>
      <c r="F982" t="s">
        <v>5167</v>
      </c>
      <c r="G982" s="1">
        <v>46224.771787731479</v>
      </c>
      <c r="H982" t="s">
        <v>593</v>
      </c>
      <c r="I982" s="1">
        <v>46224.771787812497</v>
      </c>
      <c r="J982" t="s">
        <v>593</v>
      </c>
    </row>
    <row r="983" spans="1:10" x14ac:dyDescent="0.35">
      <c r="A983" t="s">
        <v>907</v>
      </c>
      <c r="B983" t="s">
        <v>591</v>
      </c>
      <c r="C983" t="s">
        <v>592</v>
      </c>
      <c r="D983" s="1">
        <v>46224</v>
      </c>
      <c r="E983">
        <v>2.96020876575472E-2</v>
      </c>
      <c r="F983" t="s">
        <v>5168</v>
      </c>
      <c r="G983" s="1">
        <v>46224.771787731479</v>
      </c>
      <c r="H983" t="s">
        <v>593</v>
      </c>
      <c r="I983" s="1">
        <v>46224.771787812497</v>
      </c>
      <c r="J983" t="s">
        <v>593</v>
      </c>
    </row>
    <row r="984" spans="1:10" x14ac:dyDescent="0.35">
      <c r="A984" t="s">
        <v>908</v>
      </c>
      <c r="B984" t="s">
        <v>591</v>
      </c>
      <c r="C984" t="s">
        <v>592</v>
      </c>
      <c r="D984" s="1">
        <v>46224</v>
      </c>
      <c r="E984">
        <v>3.6606511669312197E-2</v>
      </c>
      <c r="F984" t="s">
        <v>5169</v>
      </c>
      <c r="G984" s="1">
        <v>46224.771787731479</v>
      </c>
      <c r="H984" t="s">
        <v>593</v>
      </c>
      <c r="I984" s="1">
        <v>46224.771787812497</v>
      </c>
      <c r="J984" t="s">
        <v>593</v>
      </c>
    </row>
    <row r="985" spans="1:10" x14ac:dyDescent="0.35">
      <c r="A985" t="s">
        <v>909</v>
      </c>
      <c r="B985" t="s">
        <v>591</v>
      </c>
      <c r="C985" t="s">
        <v>592</v>
      </c>
      <c r="D985" s="1">
        <v>46224</v>
      </c>
      <c r="E985">
        <v>3.6631339556582099E-2</v>
      </c>
      <c r="F985" t="s">
        <v>5170</v>
      </c>
      <c r="G985" s="1">
        <v>46224.771787731479</v>
      </c>
      <c r="H985" t="s">
        <v>593</v>
      </c>
      <c r="I985" s="1">
        <v>46224.771787812497</v>
      </c>
      <c r="J985" t="s">
        <v>593</v>
      </c>
    </row>
    <row r="986" spans="1:10" x14ac:dyDescent="0.35">
      <c r="A986" t="s">
        <v>910</v>
      </c>
      <c r="B986" t="s">
        <v>591</v>
      </c>
      <c r="C986" t="s">
        <v>592</v>
      </c>
      <c r="D986" s="1">
        <v>46224</v>
      </c>
      <c r="E986">
        <v>3.4613305374511197E-2</v>
      </c>
      <c r="F986" t="s">
        <v>5171</v>
      </c>
      <c r="G986" s="1">
        <v>46224.771787731479</v>
      </c>
      <c r="H986" t="s">
        <v>593</v>
      </c>
      <c r="I986" s="1">
        <v>46224.771787812497</v>
      </c>
      <c r="J986" t="s">
        <v>593</v>
      </c>
    </row>
    <row r="987" spans="1:10" x14ac:dyDescent="0.35">
      <c r="A987" t="s">
        <v>911</v>
      </c>
      <c r="B987" t="s">
        <v>591</v>
      </c>
      <c r="C987" t="s">
        <v>592</v>
      </c>
      <c r="D987" s="1">
        <v>46224</v>
      </c>
      <c r="E987">
        <v>3.5983715364111997E-2</v>
      </c>
      <c r="F987" t="s">
        <v>5172</v>
      </c>
      <c r="G987" s="1">
        <v>46224.771787731479</v>
      </c>
      <c r="H987" t="s">
        <v>593</v>
      </c>
      <c r="I987" s="1">
        <v>46224.771787812497</v>
      </c>
      <c r="J987" t="s">
        <v>593</v>
      </c>
    </row>
    <row r="988" spans="1:10" x14ac:dyDescent="0.35">
      <c r="A988" t="s">
        <v>912</v>
      </c>
      <c r="B988" t="s">
        <v>591</v>
      </c>
      <c r="C988" t="s">
        <v>592</v>
      </c>
      <c r="D988" s="1">
        <v>46224</v>
      </c>
      <c r="E988">
        <v>2.9787116061143398E-2</v>
      </c>
      <c r="F988" t="s">
        <v>5173</v>
      </c>
      <c r="G988" s="1">
        <v>46224.771787731479</v>
      </c>
      <c r="H988" t="s">
        <v>593</v>
      </c>
      <c r="I988" s="1">
        <v>46224.771787812497</v>
      </c>
      <c r="J988" t="s">
        <v>593</v>
      </c>
    </row>
    <row r="989" spans="1:10" x14ac:dyDescent="0.35">
      <c r="A989" t="s">
        <v>913</v>
      </c>
      <c r="B989" t="s">
        <v>591</v>
      </c>
      <c r="C989" t="s">
        <v>592</v>
      </c>
      <c r="D989" s="1">
        <v>46224</v>
      </c>
      <c r="E989">
        <v>3.0069422798368502E-2</v>
      </c>
      <c r="F989" t="s">
        <v>5174</v>
      </c>
      <c r="G989" s="1">
        <v>46224.771787731479</v>
      </c>
      <c r="H989" t="s">
        <v>593</v>
      </c>
      <c r="I989" s="1">
        <v>46224.771787812497</v>
      </c>
      <c r="J989" t="s">
        <v>593</v>
      </c>
    </row>
    <row r="990" spans="1:10" x14ac:dyDescent="0.35">
      <c r="A990" t="s">
        <v>914</v>
      </c>
      <c r="B990" t="s">
        <v>591</v>
      </c>
      <c r="C990" t="s">
        <v>592</v>
      </c>
      <c r="D990" s="1">
        <v>46224</v>
      </c>
      <c r="E990">
        <v>3.0368266949041399E-2</v>
      </c>
      <c r="F990" t="s">
        <v>5175</v>
      </c>
      <c r="G990" s="1">
        <v>46224.771787731479</v>
      </c>
      <c r="H990" t="s">
        <v>593</v>
      </c>
      <c r="I990" s="1">
        <v>46224.771787812497</v>
      </c>
      <c r="J990" t="s">
        <v>593</v>
      </c>
    </row>
    <row r="991" spans="1:10" x14ac:dyDescent="0.35">
      <c r="A991" t="s">
        <v>915</v>
      </c>
      <c r="B991" t="s">
        <v>591</v>
      </c>
      <c r="C991" t="s">
        <v>592</v>
      </c>
      <c r="D991" s="1">
        <v>46224</v>
      </c>
      <c r="E991">
        <v>3.06149887424947E-2</v>
      </c>
      <c r="F991" t="s">
        <v>5176</v>
      </c>
      <c r="G991" s="1">
        <v>46224.771787731479</v>
      </c>
      <c r="H991" t="s">
        <v>593</v>
      </c>
      <c r="I991" s="1">
        <v>46224.771787812497</v>
      </c>
      <c r="J991" t="s">
        <v>593</v>
      </c>
    </row>
    <row r="992" spans="1:10" x14ac:dyDescent="0.35">
      <c r="A992" t="s">
        <v>916</v>
      </c>
      <c r="B992" t="s">
        <v>591</v>
      </c>
      <c r="C992" t="s">
        <v>592</v>
      </c>
      <c r="D992" s="1">
        <v>46224</v>
      </c>
      <c r="E992">
        <v>3.0840740631780099E-2</v>
      </c>
      <c r="F992" t="s">
        <v>5177</v>
      </c>
      <c r="G992" s="1">
        <v>46224.771787731479</v>
      </c>
      <c r="H992" t="s">
        <v>593</v>
      </c>
      <c r="I992" s="1">
        <v>46224.771787812497</v>
      </c>
      <c r="J992" t="s">
        <v>593</v>
      </c>
    </row>
    <row r="993" spans="1:10" x14ac:dyDescent="0.35">
      <c r="A993" t="s">
        <v>917</v>
      </c>
      <c r="B993" t="s">
        <v>591</v>
      </c>
      <c r="C993" t="s">
        <v>592</v>
      </c>
      <c r="D993" s="1">
        <v>46224</v>
      </c>
      <c r="E993">
        <v>3.1112405154622901E-2</v>
      </c>
      <c r="F993" t="s">
        <v>5178</v>
      </c>
      <c r="G993" s="1">
        <v>46224.771787731479</v>
      </c>
      <c r="H993" t="s">
        <v>593</v>
      </c>
      <c r="I993" s="1">
        <v>46224.771787812497</v>
      </c>
      <c r="J993" t="s">
        <v>593</v>
      </c>
    </row>
    <row r="994" spans="1:10" x14ac:dyDescent="0.35">
      <c r="A994" t="s">
        <v>918</v>
      </c>
      <c r="B994" t="s">
        <v>591</v>
      </c>
      <c r="C994" t="s">
        <v>592</v>
      </c>
      <c r="D994" s="1">
        <v>46224</v>
      </c>
      <c r="E994">
        <v>3.1343946413430197E-2</v>
      </c>
      <c r="F994" t="s">
        <v>5179</v>
      </c>
      <c r="G994" s="1">
        <v>46224.771787731479</v>
      </c>
      <c r="H994" t="s">
        <v>593</v>
      </c>
      <c r="I994" s="1">
        <v>46224.771787812497</v>
      </c>
      <c r="J994" t="s">
        <v>593</v>
      </c>
    </row>
    <row r="995" spans="1:10" x14ac:dyDescent="0.35">
      <c r="A995" t="s">
        <v>1970</v>
      </c>
      <c r="B995" t="s">
        <v>591</v>
      </c>
      <c r="C995" t="s">
        <v>592</v>
      </c>
      <c r="D995" s="1">
        <v>46224</v>
      </c>
      <c r="E995">
        <v>3.1622472281803198E-2</v>
      </c>
      <c r="F995" t="s">
        <v>5180</v>
      </c>
      <c r="G995" s="1">
        <v>46224.771787731479</v>
      </c>
      <c r="H995" t="s">
        <v>593</v>
      </c>
      <c r="I995" s="1">
        <v>46224.771787812497</v>
      </c>
      <c r="J995" t="s">
        <v>593</v>
      </c>
    </row>
    <row r="996" spans="1:10" x14ac:dyDescent="0.35">
      <c r="A996" t="s">
        <v>919</v>
      </c>
      <c r="B996" t="s">
        <v>591</v>
      </c>
      <c r="C996" t="s">
        <v>592</v>
      </c>
      <c r="D996" s="1">
        <v>46224</v>
      </c>
      <c r="E996">
        <v>2.79423917104521E-2</v>
      </c>
      <c r="F996" t="s">
        <v>5181</v>
      </c>
      <c r="G996" s="1">
        <v>46224.771787731479</v>
      </c>
      <c r="H996" t="s">
        <v>593</v>
      </c>
      <c r="I996" s="1">
        <v>46224.771787812497</v>
      </c>
      <c r="J996" t="s">
        <v>593</v>
      </c>
    </row>
    <row r="997" spans="1:10" x14ac:dyDescent="0.35">
      <c r="A997" t="s">
        <v>920</v>
      </c>
      <c r="B997" t="s">
        <v>591</v>
      </c>
      <c r="C997" t="s">
        <v>592</v>
      </c>
      <c r="D997" s="1">
        <v>46224</v>
      </c>
      <c r="E997">
        <v>3.4505432860044198E-2</v>
      </c>
      <c r="F997" t="s">
        <v>5182</v>
      </c>
      <c r="G997" s="1">
        <v>46224.771787731479</v>
      </c>
      <c r="H997" t="s">
        <v>593</v>
      </c>
      <c r="I997" s="1">
        <v>46224.771787812497</v>
      </c>
      <c r="J997" t="s">
        <v>593</v>
      </c>
    </row>
    <row r="998" spans="1:10" x14ac:dyDescent="0.35">
      <c r="A998" t="s">
        <v>921</v>
      </c>
      <c r="B998" t="s">
        <v>591</v>
      </c>
      <c r="C998" t="s">
        <v>592</v>
      </c>
      <c r="D998" s="1">
        <v>46224</v>
      </c>
      <c r="E998">
        <v>2.97792843377633E-2</v>
      </c>
      <c r="F998" t="s">
        <v>5183</v>
      </c>
      <c r="G998" s="1">
        <v>46224.771787731479</v>
      </c>
      <c r="H998" t="s">
        <v>593</v>
      </c>
      <c r="I998" s="1">
        <v>46224.771787812497</v>
      </c>
      <c r="J998" t="s">
        <v>593</v>
      </c>
    </row>
    <row r="999" spans="1:10" x14ac:dyDescent="0.35">
      <c r="A999" t="s">
        <v>922</v>
      </c>
      <c r="B999" t="s">
        <v>591</v>
      </c>
      <c r="C999" t="s">
        <v>592</v>
      </c>
      <c r="D999" s="1">
        <v>46224</v>
      </c>
      <c r="E999">
        <v>3.0810351699755899E-2</v>
      </c>
      <c r="F999" t="s">
        <v>5184</v>
      </c>
      <c r="G999" s="1">
        <v>46224.771787731479</v>
      </c>
      <c r="H999" t="s">
        <v>593</v>
      </c>
      <c r="I999" s="1">
        <v>46224.771787812497</v>
      </c>
      <c r="J999" t="s">
        <v>593</v>
      </c>
    </row>
    <row r="1000" spans="1:10" x14ac:dyDescent="0.35">
      <c r="A1000" t="s">
        <v>923</v>
      </c>
      <c r="B1000" t="s">
        <v>600</v>
      </c>
      <c r="C1000" t="s">
        <v>592</v>
      </c>
      <c r="D1000" s="1">
        <v>46224</v>
      </c>
      <c r="E1000">
        <v>105.455</v>
      </c>
      <c r="F1000" t="s">
        <v>4314</v>
      </c>
      <c r="G1000" s="1">
        <v>46224.771787731479</v>
      </c>
      <c r="H1000" t="s">
        <v>593</v>
      </c>
      <c r="I1000" s="1">
        <v>46224.771787812497</v>
      </c>
      <c r="J1000" t="s">
        <v>593</v>
      </c>
    </row>
    <row r="1001" spans="1:10" x14ac:dyDescent="0.35">
      <c r="A1001" t="s">
        <v>924</v>
      </c>
      <c r="B1001" t="s">
        <v>600</v>
      </c>
      <c r="C1001" t="s">
        <v>592</v>
      </c>
      <c r="D1001" s="1">
        <v>46224</v>
      </c>
      <c r="E1001">
        <v>105.46</v>
      </c>
      <c r="F1001" t="s">
        <v>4314</v>
      </c>
      <c r="G1001" s="1">
        <v>46224.771787731479</v>
      </c>
      <c r="H1001" t="s">
        <v>593</v>
      </c>
      <c r="I1001" s="1">
        <v>46224.771787812497</v>
      </c>
      <c r="J1001" t="s">
        <v>593</v>
      </c>
    </row>
    <row r="1002" spans="1:10" x14ac:dyDescent="0.35">
      <c r="A1002" t="s">
        <v>925</v>
      </c>
      <c r="B1002" t="s">
        <v>591</v>
      </c>
      <c r="C1002" t="s">
        <v>592</v>
      </c>
      <c r="D1002" s="1">
        <v>46224</v>
      </c>
      <c r="E1002">
        <v>2.5961000000000001E-2</v>
      </c>
      <c r="F1002" t="s">
        <v>5671</v>
      </c>
      <c r="G1002" s="1">
        <v>46224.775889895835</v>
      </c>
      <c r="H1002" t="s">
        <v>593</v>
      </c>
      <c r="I1002" s="1">
        <v>46224.775889849538</v>
      </c>
      <c r="J1002" t="s">
        <v>593</v>
      </c>
    </row>
    <row r="1003" spans="1:10" x14ac:dyDescent="0.35">
      <c r="A1003" t="s">
        <v>926</v>
      </c>
      <c r="B1003" t="s">
        <v>591</v>
      </c>
      <c r="C1003" t="s">
        <v>592</v>
      </c>
      <c r="D1003" s="1">
        <v>46224</v>
      </c>
      <c r="E1003">
        <v>2.9628499999999999E-2</v>
      </c>
      <c r="F1003" t="s">
        <v>5672</v>
      </c>
      <c r="G1003" s="1">
        <v>46224.775891747682</v>
      </c>
      <c r="H1003" t="s">
        <v>593</v>
      </c>
      <c r="I1003" s="1">
        <v>46224.775891863428</v>
      </c>
      <c r="J1003" t="s">
        <v>593</v>
      </c>
    </row>
    <row r="1004" spans="1:10" x14ac:dyDescent="0.35">
      <c r="A1004" t="s">
        <v>927</v>
      </c>
      <c r="B1004" t="s">
        <v>591</v>
      </c>
      <c r="C1004" t="s">
        <v>592</v>
      </c>
      <c r="D1004" s="1">
        <v>46224</v>
      </c>
      <c r="E1004">
        <v>3.0037999999999999E-2</v>
      </c>
      <c r="F1004" t="s">
        <v>5673</v>
      </c>
      <c r="G1004" s="1">
        <v>46224.775891898149</v>
      </c>
      <c r="H1004" t="s">
        <v>593</v>
      </c>
      <c r="I1004" s="1">
        <v>46224.775891863428</v>
      </c>
      <c r="J1004" t="s">
        <v>593</v>
      </c>
    </row>
    <row r="1005" spans="1:10" x14ac:dyDescent="0.35">
      <c r="A1005" t="s">
        <v>928</v>
      </c>
      <c r="B1005" t="s">
        <v>591</v>
      </c>
      <c r="C1005" t="s">
        <v>592</v>
      </c>
      <c r="D1005" s="1">
        <v>46224</v>
      </c>
      <c r="E1005">
        <v>3.04158E-2</v>
      </c>
      <c r="F1005" t="s">
        <v>5674</v>
      </c>
      <c r="G1005" s="1">
        <v>46224.775892048609</v>
      </c>
      <c r="H1005" t="s">
        <v>593</v>
      </c>
      <c r="I1005" s="1">
        <v>46224.775892013888</v>
      </c>
      <c r="J1005" t="s">
        <v>593</v>
      </c>
    </row>
    <row r="1006" spans="1:10" x14ac:dyDescent="0.35">
      <c r="A1006" t="s">
        <v>929</v>
      </c>
      <c r="B1006" t="s">
        <v>591</v>
      </c>
      <c r="C1006" t="s">
        <v>592</v>
      </c>
      <c r="D1006" s="1">
        <v>46224</v>
      </c>
      <c r="E1006">
        <v>3.07995E-2</v>
      </c>
      <c r="F1006" t="s">
        <v>5675</v>
      </c>
      <c r="G1006" s="1">
        <v>46224.775892245372</v>
      </c>
      <c r="H1006" t="s">
        <v>593</v>
      </c>
      <c r="I1006" s="1">
        <v>46224.775892210651</v>
      </c>
      <c r="J1006" t="s">
        <v>593</v>
      </c>
    </row>
    <row r="1007" spans="1:10" x14ac:dyDescent="0.35">
      <c r="A1007" t="s">
        <v>930</v>
      </c>
      <c r="B1007" t="s">
        <v>591</v>
      </c>
      <c r="C1007" t="s">
        <v>592</v>
      </c>
      <c r="D1007" s="1">
        <v>46224</v>
      </c>
      <c r="E1007">
        <v>3.1119999999999998E-2</v>
      </c>
      <c r="F1007" t="s">
        <v>5676</v>
      </c>
      <c r="G1007" s="1">
        <v>46224.775892361111</v>
      </c>
      <c r="H1007" t="s">
        <v>593</v>
      </c>
      <c r="I1007" s="1">
        <v>46224.775892395832</v>
      </c>
      <c r="J1007" t="s">
        <v>593</v>
      </c>
    </row>
    <row r="1008" spans="1:10" x14ac:dyDescent="0.35">
      <c r="A1008" t="s">
        <v>931</v>
      </c>
      <c r="B1008" t="s">
        <v>591</v>
      </c>
      <c r="C1008" t="s">
        <v>592</v>
      </c>
      <c r="D1008" s="1">
        <v>46224</v>
      </c>
      <c r="E1008">
        <v>3.1397050000000003E-2</v>
      </c>
      <c r="F1008" t="s">
        <v>5677</v>
      </c>
      <c r="G1008" s="1">
        <v>46224.775892511578</v>
      </c>
      <c r="H1008" t="s">
        <v>593</v>
      </c>
      <c r="I1008" s="1">
        <v>46224.775892557867</v>
      </c>
      <c r="J1008" t="s">
        <v>593</v>
      </c>
    </row>
    <row r="1009" spans="1:10" x14ac:dyDescent="0.35">
      <c r="A1009" t="s">
        <v>932</v>
      </c>
      <c r="B1009" t="s">
        <v>591</v>
      </c>
      <c r="C1009" t="s">
        <v>592</v>
      </c>
      <c r="D1009" s="1">
        <v>46224</v>
      </c>
      <c r="E1009">
        <v>3.1619500000000002E-2</v>
      </c>
      <c r="F1009" t="s">
        <v>5678</v>
      </c>
      <c r="G1009" s="1">
        <v>46224.775892708334</v>
      </c>
      <c r="H1009" t="s">
        <v>593</v>
      </c>
      <c r="I1009" s="1">
        <v>46224.775892743055</v>
      </c>
      <c r="J1009" t="s">
        <v>593</v>
      </c>
    </row>
    <row r="1010" spans="1:10" x14ac:dyDescent="0.35">
      <c r="A1010" t="s">
        <v>933</v>
      </c>
      <c r="B1010" t="s">
        <v>591</v>
      </c>
      <c r="C1010" t="s">
        <v>592</v>
      </c>
      <c r="D1010" s="1">
        <v>46224</v>
      </c>
      <c r="E1010">
        <v>3.1800000000000002E-2</v>
      </c>
      <c r="F1010" t="s">
        <v>5679</v>
      </c>
      <c r="G1010" s="1">
        <v>46224.775892905091</v>
      </c>
      <c r="H1010" t="s">
        <v>593</v>
      </c>
      <c r="I1010" s="1">
        <v>46224.775892905091</v>
      </c>
      <c r="J1010" t="s">
        <v>593</v>
      </c>
    </row>
    <row r="1011" spans="1:10" x14ac:dyDescent="0.35">
      <c r="A1011" t="s">
        <v>934</v>
      </c>
      <c r="B1011" t="s">
        <v>591</v>
      </c>
      <c r="C1011" t="s">
        <v>592</v>
      </c>
      <c r="D1011" s="1">
        <v>46224</v>
      </c>
      <c r="E1011">
        <v>3.1933499999999997E-2</v>
      </c>
      <c r="F1011" t="s">
        <v>5680</v>
      </c>
      <c r="G1011" s="1">
        <v>46224.775893055557</v>
      </c>
      <c r="H1011" t="s">
        <v>593</v>
      </c>
      <c r="I1011" s="1">
        <v>46224.775893136575</v>
      </c>
      <c r="J1011" t="s">
        <v>593</v>
      </c>
    </row>
    <row r="1012" spans="1:10" x14ac:dyDescent="0.35">
      <c r="A1012" t="s">
        <v>935</v>
      </c>
      <c r="B1012" t="s">
        <v>591</v>
      </c>
      <c r="C1012" t="s">
        <v>592</v>
      </c>
      <c r="D1012" s="1">
        <v>46224</v>
      </c>
      <c r="E1012">
        <v>3.2034E-2</v>
      </c>
      <c r="F1012" t="s">
        <v>5681</v>
      </c>
      <c r="G1012" s="1">
        <v>46224.775893171296</v>
      </c>
      <c r="H1012" t="s">
        <v>593</v>
      </c>
      <c r="I1012" s="1">
        <v>46224.775893136575</v>
      </c>
      <c r="J1012" t="s">
        <v>593</v>
      </c>
    </row>
    <row r="1013" spans="1:10" x14ac:dyDescent="0.35">
      <c r="A1013" t="s">
        <v>936</v>
      </c>
      <c r="B1013" t="s">
        <v>591</v>
      </c>
      <c r="C1013" t="s">
        <v>592</v>
      </c>
      <c r="D1013" s="1">
        <v>46224</v>
      </c>
      <c r="E1013">
        <v>2.63585E-2</v>
      </c>
      <c r="F1013" t="s">
        <v>5682</v>
      </c>
      <c r="G1013" s="1">
        <v>46224.775890046294</v>
      </c>
      <c r="H1013" t="s">
        <v>593</v>
      </c>
      <c r="I1013" s="1">
        <v>46224.775890011573</v>
      </c>
      <c r="J1013" t="s">
        <v>593</v>
      </c>
    </row>
    <row r="1014" spans="1:10" x14ac:dyDescent="0.35">
      <c r="A1014" t="s">
        <v>937</v>
      </c>
      <c r="B1014" t="s">
        <v>591</v>
      </c>
      <c r="C1014" t="s">
        <v>592</v>
      </c>
      <c r="D1014" s="1">
        <v>46224</v>
      </c>
      <c r="E1014">
        <v>2.6589999999999999E-2</v>
      </c>
      <c r="F1014" t="s">
        <v>5683</v>
      </c>
      <c r="G1014" s="1">
        <v>46224.775890196761</v>
      </c>
      <c r="H1014" t="s">
        <v>593</v>
      </c>
      <c r="I1014" s="1">
        <v>46224.775890196761</v>
      </c>
      <c r="J1014" t="s">
        <v>593</v>
      </c>
    </row>
    <row r="1015" spans="1:10" x14ac:dyDescent="0.35">
      <c r="A1015" t="s">
        <v>938</v>
      </c>
      <c r="B1015" t="s">
        <v>591</v>
      </c>
      <c r="C1015" t="s">
        <v>592</v>
      </c>
      <c r="D1015" s="1">
        <v>46224</v>
      </c>
      <c r="E1015">
        <v>2.6745000000000001E-2</v>
      </c>
      <c r="F1015" t="s">
        <v>5684</v>
      </c>
      <c r="G1015" s="1">
        <v>46224.775890358796</v>
      </c>
      <c r="H1015" t="s">
        <v>593</v>
      </c>
      <c r="I1015" s="1">
        <v>46224.775890393517</v>
      </c>
      <c r="J1015" t="s">
        <v>593</v>
      </c>
    </row>
    <row r="1016" spans="1:10" x14ac:dyDescent="0.35">
      <c r="A1016" t="s">
        <v>939</v>
      </c>
      <c r="B1016" t="s">
        <v>591</v>
      </c>
      <c r="C1016" t="s">
        <v>592</v>
      </c>
      <c r="D1016" s="1">
        <v>46224</v>
      </c>
      <c r="E1016">
        <v>2.1870000000000001E-2</v>
      </c>
      <c r="F1016" t="s">
        <v>5685</v>
      </c>
      <c r="G1016" s="1">
        <v>46224.775887731485</v>
      </c>
      <c r="H1016" t="s">
        <v>593</v>
      </c>
      <c r="I1016" s="1">
        <v>46224.775887696756</v>
      </c>
      <c r="J1016" t="s">
        <v>593</v>
      </c>
    </row>
    <row r="1017" spans="1:10" x14ac:dyDescent="0.35">
      <c r="A1017" t="s">
        <v>940</v>
      </c>
      <c r="B1017" t="s">
        <v>591</v>
      </c>
      <c r="C1017" t="s">
        <v>592</v>
      </c>
      <c r="D1017" s="1">
        <v>46224</v>
      </c>
      <c r="E1017">
        <v>2.6879050000000002E-2</v>
      </c>
      <c r="F1017" t="s">
        <v>5686</v>
      </c>
      <c r="G1017" s="1">
        <v>46224.775890509256</v>
      </c>
      <c r="H1017" t="s">
        <v>593</v>
      </c>
      <c r="I1017" s="1">
        <v>46224.775890590281</v>
      </c>
      <c r="J1017" t="s">
        <v>593</v>
      </c>
    </row>
    <row r="1018" spans="1:10" x14ac:dyDescent="0.35">
      <c r="A1018" t="s">
        <v>941</v>
      </c>
      <c r="B1018" t="s">
        <v>591</v>
      </c>
      <c r="C1018" t="s">
        <v>592</v>
      </c>
      <c r="D1018" s="1">
        <v>46224</v>
      </c>
      <c r="E1018">
        <v>3.2100999999999998E-2</v>
      </c>
      <c r="F1018" t="s">
        <v>5687</v>
      </c>
      <c r="G1018" s="1">
        <v>46224.775893368052</v>
      </c>
      <c r="H1018" t="s">
        <v>593</v>
      </c>
      <c r="I1018" s="1">
        <v>46224.775893321763</v>
      </c>
      <c r="J1018" t="s">
        <v>593</v>
      </c>
    </row>
    <row r="1019" spans="1:10" x14ac:dyDescent="0.35">
      <c r="A1019" t="s">
        <v>942</v>
      </c>
      <c r="B1019" t="s">
        <v>591</v>
      </c>
      <c r="C1019" t="s">
        <v>592</v>
      </c>
      <c r="D1019" s="1">
        <v>46224</v>
      </c>
      <c r="E1019">
        <v>3.2085000000000002E-2</v>
      </c>
      <c r="F1019" t="s">
        <v>5688</v>
      </c>
      <c r="G1019" s="1">
        <v>46224.775893518519</v>
      </c>
      <c r="H1019" t="s">
        <v>593</v>
      </c>
      <c r="I1019" s="1">
        <v>46224.775893518519</v>
      </c>
      <c r="J1019" t="s">
        <v>593</v>
      </c>
    </row>
    <row r="1020" spans="1:10" x14ac:dyDescent="0.35">
      <c r="A1020" t="s">
        <v>943</v>
      </c>
      <c r="B1020" t="s">
        <v>591</v>
      </c>
      <c r="C1020" t="s">
        <v>592</v>
      </c>
      <c r="D1020" s="1">
        <v>46224</v>
      </c>
      <c r="E1020">
        <v>2.1909999999999999E-2</v>
      </c>
      <c r="F1020" t="s">
        <v>5689</v>
      </c>
      <c r="G1020" s="1">
        <v>46224.775887881944</v>
      </c>
      <c r="H1020" t="s">
        <v>593</v>
      </c>
      <c r="I1020" s="1">
        <v>46224.775887847223</v>
      </c>
      <c r="J1020" t="s">
        <v>593</v>
      </c>
    </row>
    <row r="1021" spans="1:10" x14ac:dyDescent="0.35">
      <c r="A1021" t="s">
        <v>944</v>
      </c>
      <c r="B1021" t="s">
        <v>591</v>
      </c>
      <c r="C1021" t="s">
        <v>592</v>
      </c>
      <c r="D1021" s="1">
        <v>46224</v>
      </c>
      <c r="E1021">
        <v>2.7119000000000001E-2</v>
      </c>
      <c r="F1021" t="s">
        <v>5690</v>
      </c>
      <c r="G1021" s="1">
        <v>46224.775890659723</v>
      </c>
      <c r="H1021" t="s">
        <v>593</v>
      </c>
      <c r="I1021" s="1">
        <v>46224.775890740741</v>
      </c>
      <c r="J1021" t="s">
        <v>593</v>
      </c>
    </row>
    <row r="1022" spans="1:10" x14ac:dyDescent="0.35">
      <c r="A1022" t="s">
        <v>945</v>
      </c>
      <c r="B1022" t="s">
        <v>591</v>
      </c>
      <c r="C1022" t="s">
        <v>592</v>
      </c>
      <c r="D1022" s="1">
        <v>46224</v>
      </c>
      <c r="E1022">
        <v>3.1739999999999997E-2</v>
      </c>
      <c r="F1022" t="s">
        <v>5691</v>
      </c>
      <c r="G1022" s="1">
        <v>46224.775893634258</v>
      </c>
      <c r="H1022" t="s">
        <v>593</v>
      </c>
      <c r="I1022" s="1">
        <v>46224.775893715276</v>
      </c>
      <c r="J1022" t="s">
        <v>593</v>
      </c>
    </row>
    <row r="1023" spans="1:10" x14ac:dyDescent="0.35">
      <c r="A1023" t="s">
        <v>946</v>
      </c>
      <c r="B1023" t="s">
        <v>591</v>
      </c>
      <c r="C1023" t="s">
        <v>592</v>
      </c>
      <c r="D1023" s="1">
        <v>46224</v>
      </c>
      <c r="E1023">
        <v>3.1274999999999997E-2</v>
      </c>
      <c r="F1023" t="s">
        <v>5692</v>
      </c>
      <c r="G1023" s="1">
        <v>46224.775893831022</v>
      </c>
      <c r="H1023" t="s">
        <v>593</v>
      </c>
      <c r="I1023" s="1">
        <v>46224.775893865743</v>
      </c>
      <c r="J1023" t="s">
        <v>593</v>
      </c>
    </row>
    <row r="1024" spans="1:10" x14ac:dyDescent="0.35">
      <c r="A1024" t="s">
        <v>947</v>
      </c>
      <c r="B1024" t="s">
        <v>591</v>
      </c>
      <c r="C1024" t="s">
        <v>592</v>
      </c>
      <c r="D1024" s="1">
        <v>46224</v>
      </c>
      <c r="E1024">
        <v>2.1933999999999999E-2</v>
      </c>
      <c r="F1024" t="s">
        <v>5693</v>
      </c>
      <c r="G1024" s="1">
        <v>46224.77588804398</v>
      </c>
      <c r="H1024" t="s">
        <v>593</v>
      </c>
      <c r="I1024" s="1">
        <v>46224.77588804398</v>
      </c>
      <c r="J1024" t="s">
        <v>593</v>
      </c>
    </row>
    <row r="1025" spans="1:10" x14ac:dyDescent="0.35">
      <c r="A1025" t="s">
        <v>948</v>
      </c>
      <c r="B1025" t="s">
        <v>591</v>
      </c>
      <c r="C1025" t="s">
        <v>592</v>
      </c>
      <c r="D1025" s="1">
        <v>46224</v>
      </c>
      <c r="E1025">
        <v>2.7345350000000001E-2</v>
      </c>
      <c r="F1025" t="s">
        <v>5694</v>
      </c>
      <c r="G1025" s="1">
        <v>46224.775890821758</v>
      </c>
      <c r="H1025" t="s">
        <v>593</v>
      </c>
      <c r="I1025" s="1">
        <v>46224.775890740741</v>
      </c>
      <c r="J1025" t="s">
        <v>593</v>
      </c>
    </row>
    <row r="1026" spans="1:10" x14ac:dyDescent="0.35">
      <c r="A1026" t="s">
        <v>949</v>
      </c>
      <c r="B1026" t="s">
        <v>591</v>
      </c>
      <c r="C1026" t="s">
        <v>592</v>
      </c>
      <c r="D1026" s="1">
        <v>46224</v>
      </c>
      <c r="E1026">
        <v>3.0673499999999999E-2</v>
      </c>
      <c r="F1026" t="s">
        <v>5695</v>
      </c>
      <c r="G1026" s="1">
        <v>46224.775893981481</v>
      </c>
      <c r="H1026" t="s">
        <v>593</v>
      </c>
      <c r="I1026" s="1">
        <v>46224.775894062499</v>
      </c>
      <c r="J1026" t="s">
        <v>593</v>
      </c>
    </row>
    <row r="1027" spans="1:10" x14ac:dyDescent="0.35">
      <c r="A1027" t="s">
        <v>950</v>
      </c>
      <c r="B1027" t="s">
        <v>591</v>
      </c>
      <c r="C1027" t="s">
        <v>592</v>
      </c>
      <c r="D1027" s="1">
        <v>46224</v>
      </c>
      <c r="E1027">
        <v>2.7635E-2</v>
      </c>
      <c r="F1027" t="s">
        <v>5696</v>
      </c>
      <c r="G1027" s="1">
        <v>46224.775890972225</v>
      </c>
      <c r="H1027" t="s">
        <v>593</v>
      </c>
      <c r="I1027" s="1">
        <v>46224.775890937497</v>
      </c>
      <c r="J1027" t="s">
        <v>593</v>
      </c>
    </row>
    <row r="1028" spans="1:10" x14ac:dyDescent="0.35">
      <c r="A1028" t="s">
        <v>951</v>
      </c>
      <c r="B1028" t="s">
        <v>591</v>
      </c>
      <c r="C1028" t="s">
        <v>592</v>
      </c>
      <c r="D1028" s="1">
        <v>46224</v>
      </c>
      <c r="E1028">
        <v>2.93006E-2</v>
      </c>
      <c r="F1028" t="s">
        <v>5697</v>
      </c>
      <c r="G1028" s="1">
        <v>46224.77589409722</v>
      </c>
      <c r="H1028" t="s">
        <v>593</v>
      </c>
      <c r="I1028" s="1">
        <v>46224.775894062499</v>
      </c>
      <c r="J1028" t="s">
        <v>593</v>
      </c>
    </row>
    <row r="1029" spans="1:10" x14ac:dyDescent="0.35">
      <c r="A1029" t="s">
        <v>952</v>
      </c>
      <c r="B1029" t="s">
        <v>591</v>
      </c>
      <c r="C1029" t="s">
        <v>592</v>
      </c>
      <c r="D1029" s="1">
        <v>46224</v>
      </c>
      <c r="E1029">
        <v>2.7963999999999999E-2</v>
      </c>
      <c r="F1029" t="s">
        <v>5698</v>
      </c>
      <c r="G1029" s="1">
        <v>46224.775891122685</v>
      </c>
      <c r="H1029" t="s">
        <v>593</v>
      </c>
      <c r="I1029" s="1">
        <v>46224.775891122685</v>
      </c>
      <c r="J1029" t="s">
        <v>593</v>
      </c>
    </row>
    <row r="1030" spans="1:10" x14ac:dyDescent="0.35">
      <c r="A1030" t="s">
        <v>953</v>
      </c>
      <c r="B1030" t="s">
        <v>591</v>
      </c>
      <c r="C1030" t="s">
        <v>592</v>
      </c>
      <c r="D1030" s="1">
        <v>46224</v>
      </c>
      <c r="E1030">
        <v>2.8353E-2</v>
      </c>
      <c r="F1030" t="s">
        <v>5699</v>
      </c>
      <c r="G1030" s="1">
        <v>46224.77589128472</v>
      </c>
      <c r="H1030" t="s">
        <v>593</v>
      </c>
      <c r="I1030" s="1">
        <v>46224.77589128472</v>
      </c>
      <c r="J1030" t="s">
        <v>593</v>
      </c>
    </row>
    <row r="1031" spans="1:10" x14ac:dyDescent="0.35">
      <c r="A1031" t="s">
        <v>954</v>
      </c>
      <c r="B1031" t="s">
        <v>591</v>
      </c>
      <c r="C1031" t="s">
        <v>592</v>
      </c>
      <c r="D1031" s="1">
        <v>46224</v>
      </c>
      <c r="E1031">
        <v>2.8764100000000001E-2</v>
      </c>
      <c r="F1031" t="s">
        <v>5700</v>
      </c>
      <c r="G1031" s="1">
        <v>46224.775891435187</v>
      </c>
      <c r="H1031" t="s">
        <v>593</v>
      </c>
      <c r="I1031" s="1">
        <v>46224.775891469908</v>
      </c>
      <c r="J1031" t="s">
        <v>593</v>
      </c>
    </row>
    <row r="1032" spans="1:10" x14ac:dyDescent="0.35">
      <c r="A1032" t="s">
        <v>955</v>
      </c>
      <c r="B1032" t="s">
        <v>591</v>
      </c>
      <c r="C1032" t="s">
        <v>592</v>
      </c>
      <c r="D1032" s="1">
        <v>46224</v>
      </c>
      <c r="E1032">
        <v>2.9204049999999999E-2</v>
      </c>
      <c r="F1032" t="s">
        <v>5701</v>
      </c>
      <c r="G1032" s="1">
        <v>46224.775891585647</v>
      </c>
      <c r="H1032" t="s">
        <v>593</v>
      </c>
      <c r="I1032" s="1">
        <v>46224.775891666664</v>
      </c>
      <c r="J1032" t="s">
        <v>593</v>
      </c>
    </row>
    <row r="1033" spans="1:10" x14ac:dyDescent="0.35">
      <c r="A1033" t="s">
        <v>956</v>
      </c>
      <c r="B1033" t="s">
        <v>591</v>
      </c>
      <c r="C1033" t="s">
        <v>592</v>
      </c>
      <c r="D1033" s="1">
        <v>46224</v>
      </c>
      <c r="E1033">
        <v>2.19502E-2</v>
      </c>
      <c r="F1033" t="s">
        <v>5702</v>
      </c>
      <c r="G1033" s="1">
        <v>46224.775888194446</v>
      </c>
      <c r="H1033" t="s">
        <v>593</v>
      </c>
      <c r="I1033" s="1">
        <v>46224.775888194446</v>
      </c>
      <c r="J1033" t="s">
        <v>593</v>
      </c>
    </row>
    <row r="1034" spans="1:10" x14ac:dyDescent="0.35">
      <c r="A1034" t="s">
        <v>957</v>
      </c>
      <c r="B1034" t="s">
        <v>591</v>
      </c>
      <c r="C1034" t="s">
        <v>592</v>
      </c>
      <c r="D1034" s="1">
        <v>46224</v>
      </c>
      <c r="E1034">
        <v>2.2223E-2</v>
      </c>
      <c r="F1034" t="s">
        <v>5703</v>
      </c>
      <c r="G1034" s="1">
        <v>46224.775888310185</v>
      </c>
      <c r="H1034" t="s">
        <v>593</v>
      </c>
      <c r="I1034" s="1">
        <v>46224.775888391203</v>
      </c>
      <c r="J1034" t="s">
        <v>593</v>
      </c>
    </row>
    <row r="1035" spans="1:10" x14ac:dyDescent="0.35">
      <c r="A1035" t="s">
        <v>958</v>
      </c>
      <c r="B1035" t="s">
        <v>591</v>
      </c>
      <c r="C1035" t="s">
        <v>592</v>
      </c>
      <c r="D1035" s="1">
        <v>46224</v>
      </c>
      <c r="E1035">
        <v>2.2870000000000001E-2</v>
      </c>
      <c r="F1035" t="s">
        <v>5704</v>
      </c>
      <c r="G1035" s="1">
        <v>46224.775888506942</v>
      </c>
      <c r="H1035" t="s">
        <v>593</v>
      </c>
      <c r="I1035" s="1">
        <v>46224.775888576391</v>
      </c>
      <c r="J1035" t="s">
        <v>593</v>
      </c>
    </row>
    <row r="1036" spans="1:10" x14ac:dyDescent="0.35">
      <c r="A1036" t="s">
        <v>959</v>
      </c>
      <c r="B1036" t="s">
        <v>591</v>
      </c>
      <c r="C1036" t="s">
        <v>592</v>
      </c>
      <c r="D1036" s="1">
        <v>46224</v>
      </c>
      <c r="E1036">
        <v>2.3338000000000001E-2</v>
      </c>
      <c r="F1036" t="s">
        <v>5705</v>
      </c>
      <c r="G1036" s="1">
        <v>46224.775888657408</v>
      </c>
      <c r="H1036" t="s">
        <v>593</v>
      </c>
      <c r="I1036" s="1">
        <v>46224.775888576391</v>
      </c>
      <c r="J1036" t="s">
        <v>593</v>
      </c>
    </row>
    <row r="1037" spans="1:10" x14ac:dyDescent="0.35">
      <c r="A1037" t="s">
        <v>960</v>
      </c>
      <c r="B1037" t="s">
        <v>591</v>
      </c>
      <c r="C1037" t="s">
        <v>592</v>
      </c>
      <c r="D1037" s="1">
        <v>46224</v>
      </c>
      <c r="E1037">
        <v>2.3692499999999998E-2</v>
      </c>
      <c r="F1037" t="s">
        <v>5706</v>
      </c>
      <c r="G1037" s="1">
        <v>46224.775888807868</v>
      </c>
      <c r="H1037" t="s">
        <v>593</v>
      </c>
      <c r="I1037" s="1">
        <v>46224.775888738426</v>
      </c>
      <c r="J1037" t="s">
        <v>593</v>
      </c>
    </row>
    <row r="1038" spans="1:10" x14ac:dyDescent="0.35">
      <c r="A1038" t="s">
        <v>961</v>
      </c>
      <c r="B1038" t="s">
        <v>591</v>
      </c>
      <c r="C1038" t="s">
        <v>592</v>
      </c>
      <c r="D1038" s="1">
        <v>46224</v>
      </c>
      <c r="E1038">
        <v>2.4194E-2</v>
      </c>
      <c r="F1038" t="s">
        <v>5707</v>
      </c>
      <c r="G1038" s="1">
        <v>46224.775888969911</v>
      </c>
      <c r="H1038" t="s">
        <v>593</v>
      </c>
      <c r="I1038" s="1">
        <v>46224.775888923614</v>
      </c>
      <c r="J1038" t="s">
        <v>593</v>
      </c>
    </row>
    <row r="1039" spans="1:10" x14ac:dyDescent="0.35">
      <c r="A1039" t="s">
        <v>962</v>
      </c>
      <c r="B1039" t="s">
        <v>591</v>
      </c>
      <c r="C1039" t="s">
        <v>592</v>
      </c>
      <c r="D1039" s="1">
        <v>46224</v>
      </c>
      <c r="E1039">
        <v>2.4551050000000001E-2</v>
      </c>
      <c r="F1039" t="s">
        <v>5708</v>
      </c>
      <c r="G1039" s="1">
        <v>46224.77588912037</v>
      </c>
      <c r="H1039" t="s">
        <v>593</v>
      </c>
      <c r="I1039" s="1">
        <v>46224.77588912037</v>
      </c>
      <c r="J1039" t="s">
        <v>593</v>
      </c>
    </row>
    <row r="1040" spans="1:10" x14ac:dyDescent="0.35">
      <c r="A1040" t="s">
        <v>963</v>
      </c>
      <c r="B1040" t="s">
        <v>591</v>
      </c>
      <c r="C1040" t="s">
        <v>592</v>
      </c>
      <c r="D1040" s="1">
        <v>46224</v>
      </c>
      <c r="E1040">
        <v>2.4851999999999999E-2</v>
      </c>
      <c r="F1040" t="s">
        <v>5709</v>
      </c>
      <c r="G1040" s="1">
        <v>46224.77588927083</v>
      </c>
      <c r="H1040" t="s">
        <v>593</v>
      </c>
      <c r="I1040" s="1">
        <v>46224.775889317127</v>
      </c>
      <c r="J1040" t="s">
        <v>593</v>
      </c>
    </row>
    <row r="1041" spans="1:10" x14ac:dyDescent="0.35">
      <c r="A1041" t="s">
        <v>964</v>
      </c>
      <c r="B1041" t="s">
        <v>591</v>
      </c>
      <c r="C1041" t="s">
        <v>592</v>
      </c>
      <c r="D1041" s="1">
        <v>46224</v>
      </c>
      <c r="E1041">
        <v>2.5191999999999999E-2</v>
      </c>
      <c r="F1041" t="s">
        <v>5710</v>
      </c>
      <c r="G1041" s="1">
        <v>46224.775889432873</v>
      </c>
      <c r="H1041" t="s">
        <v>593</v>
      </c>
      <c r="I1041" s="1">
        <v>46224.775889467594</v>
      </c>
      <c r="J1041" t="s">
        <v>593</v>
      </c>
    </row>
    <row r="1042" spans="1:10" x14ac:dyDescent="0.35">
      <c r="A1042" t="s">
        <v>965</v>
      </c>
      <c r="B1042" t="s">
        <v>591</v>
      </c>
      <c r="C1042" t="s">
        <v>592</v>
      </c>
      <c r="D1042" s="1">
        <v>46224</v>
      </c>
      <c r="E1042">
        <v>2.5486999999999999E-2</v>
      </c>
      <c r="F1042" t="s">
        <v>5711</v>
      </c>
      <c r="G1042" s="1">
        <v>46224.775889583332</v>
      </c>
      <c r="H1042" t="s">
        <v>593</v>
      </c>
      <c r="I1042" s="1">
        <v>46224.77588966435</v>
      </c>
      <c r="J1042" t="s">
        <v>593</v>
      </c>
    </row>
    <row r="1043" spans="1:10" x14ac:dyDescent="0.35">
      <c r="A1043" t="s">
        <v>966</v>
      </c>
      <c r="B1043" t="s">
        <v>591</v>
      </c>
      <c r="C1043" t="s">
        <v>592</v>
      </c>
      <c r="D1043" s="1">
        <v>46224</v>
      </c>
      <c r="E1043">
        <v>2.5736999999999999E-2</v>
      </c>
      <c r="F1043" t="s">
        <v>5712</v>
      </c>
      <c r="G1043" s="1">
        <v>46224.775889733799</v>
      </c>
      <c r="H1043" t="s">
        <v>593</v>
      </c>
      <c r="I1043" s="1">
        <v>46224.775889849538</v>
      </c>
      <c r="J1043" t="s">
        <v>593</v>
      </c>
    </row>
    <row r="1044" spans="1:10" x14ac:dyDescent="0.35">
      <c r="A1044" t="s">
        <v>967</v>
      </c>
      <c r="B1044" t="s">
        <v>600</v>
      </c>
      <c r="C1044" t="s">
        <v>592</v>
      </c>
      <c r="D1044" s="1">
        <v>46224</v>
      </c>
      <c r="E1044">
        <v>97.034999999999997</v>
      </c>
      <c r="F1044" t="s">
        <v>4314</v>
      </c>
      <c r="G1044" s="1">
        <v>46224.771787731479</v>
      </c>
      <c r="H1044" t="s">
        <v>593</v>
      </c>
      <c r="I1044" s="1">
        <v>46224.771787812497</v>
      </c>
      <c r="J1044" t="s">
        <v>593</v>
      </c>
    </row>
    <row r="1045" spans="1:10" x14ac:dyDescent="0.35">
      <c r="A1045" t="s">
        <v>968</v>
      </c>
      <c r="B1045" t="s">
        <v>600</v>
      </c>
      <c r="C1045" t="s">
        <v>592</v>
      </c>
      <c r="D1045" s="1">
        <v>46224</v>
      </c>
      <c r="E1045">
        <v>96.944999999999993</v>
      </c>
      <c r="F1045" t="s">
        <v>4314</v>
      </c>
      <c r="G1045" s="1">
        <v>46224.771787731479</v>
      </c>
      <c r="H1045" t="s">
        <v>593</v>
      </c>
      <c r="I1045" s="1">
        <v>46224.771787812497</v>
      </c>
      <c r="J1045" t="s">
        <v>593</v>
      </c>
    </row>
    <row r="1046" spans="1:10" x14ac:dyDescent="0.35">
      <c r="A1046" t="s">
        <v>1760</v>
      </c>
      <c r="B1046" t="s">
        <v>600</v>
      </c>
      <c r="C1046" t="s">
        <v>592</v>
      </c>
      <c r="D1046" s="1">
        <v>46224</v>
      </c>
      <c r="E1046">
        <v>96.83</v>
      </c>
      <c r="F1046" t="s">
        <v>4314</v>
      </c>
      <c r="G1046" s="1">
        <v>46224.771787731479</v>
      </c>
      <c r="H1046" t="s">
        <v>593</v>
      </c>
      <c r="I1046" s="1">
        <v>46224.771787812497</v>
      </c>
      <c r="J1046" t="s">
        <v>593</v>
      </c>
    </row>
    <row r="1047" spans="1:10" x14ac:dyDescent="0.35">
      <c r="A1047" t="s">
        <v>969</v>
      </c>
      <c r="B1047" t="s">
        <v>600</v>
      </c>
      <c r="C1047" t="s">
        <v>592</v>
      </c>
      <c r="D1047" s="1">
        <v>46224</v>
      </c>
      <c r="E1047">
        <v>97.09</v>
      </c>
      <c r="F1047" t="s">
        <v>4314</v>
      </c>
      <c r="G1047" s="1">
        <v>46224.771787731479</v>
      </c>
      <c r="H1047" t="s">
        <v>593</v>
      </c>
      <c r="I1047" s="1">
        <v>46224.771787812497</v>
      </c>
      <c r="J1047" t="s">
        <v>593</v>
      </c>
    </row>
    <row r="1048" spans="1:10" x14ac:dyDescent="0.35">
      <c r="A1048" t="s">
        <v>970</v>
      </c>
      <c r="B1048" t="s">
        <v>600</v>
      </c>
      <c r="C1048" t="s">
        <v>592</v>
      </c>
      <c r="D1048" s="1">
        <v>46224</v>
      </c>
      <c r="E1048">
        <v>97.114999999999995</v>
      </c>
      <c r="F1048" t="s">
        <v>4314</v>
      </c>
      <c r="G1048" s="1">
        <v>46224.771787731479</v>
      </c>
      <c r="H1048" t="s">
        <v>593</v>
      </c>
      <c r="I1048" s="1">
        <v>46224.771787812497</v>
      </c>
      <c r="J1048" t="s">
        <v>593</v>
      </c>
    </row>
    <row r="1049" spans="1:10" x14ac:dyDescent="0.35">
      <c r="A1049" t="s">
        <v>971</v>
      </c>
      <c r="B1049" t="s">
        <v>600</v>
      </c>
      <c r="C1049" t="s">
        <v>592</v>
      </c>
      <c r="D1049" s="1">
        <v>46224</v>
      </c>
      <c r="E1049">
        <v>97.094999999999999</v>
      </c>
      <c r="F1049" t="s">
        <v>4314</v>
      </c>
      <c r="G1049" s="1">
        <v>46224.771787731479</v>
      </c>
      <c r="H1049" t="s">
        <v>593</v>
      </c>
      <c r="I1049" s="1">
        <v>46224.771787812497</v>
      </c>
      <c r="J1049" t="s">
        <v>593</v>
      </c>
    </row>
    <row r="1050" spans="1:10" x14ac:dyDescent="0.35">
      <c r="A1050" t="s">
        <v>972</v>
      </c>
      <c r="B1050" t="s">
        <v>600</v>
      </c>
      <c r="C1050" t="s">
        <v>592</v>
      </c>
      <c r="D1050" s="1">
        <v>46224</v>
      </c>
      <c r="E1050">
        <v>97.015000000000001</v>
      </c>
      <c r="F1050" t="s">
        <v>4314</v>
      </c>
      <c r="G1050" s="1">
        <v>46224.771787731479</v>
      </c>
      <c r="H1050" t="s">
        <v>593</v>
      </c>
      <c r="I1050" s="1">
        <v>46224.771787812497</v>
      </c>
      <c r="J1050" t="s">
        <v>593</v>
      </c>
    </row>
    <row r="1051" spans="1:10" x14ac:dyDescent="0.35">
      <c r="A1051" t="s">
        <v>973</v>
      </c>
      <c r="B1051" t="s">
        <v>600</v>
      </c>
      <c r="C1051" t="s">
        <v>592</v>
      </c>
      <c r="D1051" s="1">
        <v>46224</v>
      </c>
      <c r="E1051">
        <v>96.92</v>
      </c>
      <c r="F1051" t="s">
        <v>4314</v>
      </c>
      <c r="G1051" s="1">
        <v>46224.771787731479</v>
      </c>
      <c r="H1051" t="s">
        <v>593</v>
      </c>
      <c r="I1051" s="1">
        <v>46224.771787812497</v>
      </c>
      <c r="J1051" t="s">
        <v>593</v>
      </c>
    </row>
    <row r="1052" spans="1:10" x14ac:dyDescent="0.35">
      <c r="A1052" t="s">
        <v>974</v>
      </c>
      <c r="B1052" t="s">
        <v>600</v>
      </c>
      <c r="C1052" t="s">
        <v>592</v>
      </c>
      <c r="D1052" s="1">
        <v>46224</v>
      </c>
      <c r="E1052">
        <v>97.05</v>
      </c>
      <c r="F1052" t="s">
        <v>4314</v>
      </c>
      <c r="G1052" s="1">
        <v>46224.771787731479</v>
      </c>
      <c r="H1052" t="s">
        <v>593</v>
      </c>
      <c r="I1052" s="1">
        <v>46224.771787812497</v>
      </c>
      <c r="J1052" t="s">
        <v>593</v>
      </c>
    </row>
    <row r="1053" spans="1:10" x14ac:dyDescent="0.35">
      <c r="A1053" t="s">
        <v>975</v>
      </c>
      <c r="B1053" t="s">
        <v>600</v>
      </c>
      <c r="C1053" t="s">
        <v>592</v>
      </c>
      <c r="D1053" s="1">
        <v>46224</v>
      </c>
      <c r="E1053">
        <v>97.12</v>
      </c>
      <c r="F1053" t="s">
        <v>4314</v>
      </c>
      <c r="G1053" s="1">
        <v>46224.771787731479</v>
      </c>
      <c r="H1053" t="s">
        <v>593</v>
      </c>
      <c r="I1053" s="1">
        <v>46224.771787812497</v>
      </c>
      <c r="J1053" t="s">
        <v>593</v>
      </c>
    </row>
    <row r="1054" spans="1:10" x14ac:dyDescent="0.35">
      <c r="A1054" t="s">
        <v>976</v>
      </c>
      <c r="B1054" t="s">
        <v>600</v>
      </c>
      <c r="C1054" t="s">
        <v>592</v>
      </c>
      <c r="D1054" s="1">
        <v>46224</v>
      </c>
      <c r="E1054">
        <v>97.084999999999994</v>
      </c>
      <c r="F1054" t="s">
        <v>4314</v>
      </c>
      <c r="G1054" s="1">
        <v>46224.771787731479</v>
      </c>
      <c r="H1054" t="s">
        <v>593</v>
      </c>
      <c r="I1054" s="1">
        <v>46224.771787812497</v>
      </c>
      <c r="J1054" t="s">
        <v>593</v>
      </c>
    </row>
    <row r="1055" spans="1:10" x14ac:dyDescent="0.35">
      <c r="A1055" t="s">
        <v>977</v>
      </c>
      <c r="B1055" t="s">
        <v>600</v>
      </c>
      <c r="C1055" t="s">
        <v>592</v>
      </c>
      <c r="D1055" s="1">
        <v>46224</v>
      </c>
      <c r="E1055">
        <v>96.995000000000005</v>
      </c>
      <c r="F1055" t="s">
        <v>4314</v>
      </c>
      <c r="G1055" s="1">
        <v>46224.771787731479</v>
      </c>
      <c r="H1055" t="s">
        <v>593</v>
      </c>
      <c r="I1055" s="1">
        <v>46224.771787812497</v>
      </c>
      <c r="J1055" t="s">
        <v>593</v>
      </c>
    </row>
    <row r="1056" spans="1:10" x14ac:dyDescent="0.35">
      <c r="A1056" t="s">
        <v>978</v>
      </c>
      <c r="B1056" t="s">
        <v>600</v>
      </c>
      <c r="C1056" t="s">
        <v>592</v>
      </c>
      <c r="D1056" s="1">
        <v>46224</v>
      </c>
      <c r="E1056">
        <v>96.89</v>
      </c>
      <c r="F1056" t="s">
        <v>4314</v>
      </c>
      <c r="G1056" s="1">
        <v>46224.771787731479</v>
      </c>
      <c r="H1056" t="s">
        <v>593</v>
      </c>
      <c r="I1056" s="1">
        <v>46224.771787812497</v>
      </c>
      <c r="J1056" t="s">
        <v>593</v>
      </c>
    </row>
    <row r="1057" spans="1:10" x14ac:dyDescent="0.35">
      <c r="A1057" t="s">
        <v>979</v>
      </c>
      <c r="B1057" t="s">
        <v>600</v>
      </c>
      <c r="C1057" t="s">
        <v>592</v>
      </c>
      <c r="D1057" s="1">
        <v>46224</v>
      </c>
      <c r="E1057">
        <v>97.41</v>
      </c>
      <c r="F1057" t="s">
        <v>4314</v>
      </c>
      <c r="G1057" s="1">
        <v>46224.771787731479</v>
      </c>
      <c r="H1057" t="s">
        <v>593</v>
      </c>
      <c r="I1057" s="1">
        <v>46224.771787812497</v>
      </c>
      <c r="J1057" t="s">
        <v>593</v>
      </c>
    </row>
    <row r="1058" spans="1:10" x14ac:dyDescent="0.35">
      <c r="A1058" t="s">
        <v>980</v>
      </c>
      <c r="B1058" t="s">
        <v>600</v>
      </c>
      <c r="C1058" t="s">
        <v>592</v>
      </c>
      <c r="D1058" s="1">
        <v>46224</v>
      </c>
      <c r="E1058">
        <v>97.06</v>
      </c>
      <c r="F1058" t="s">
        <v>4314</v>
      </c>
      <c r="G1058" s="1">
        <v>46224.771787731479</v>
      </c>
      <c r="H1058" t="s">
        <v>593</v>
      </c>
      <c r="I1058" s="1">
        <v>46224.771787812497</v>
      </c>
      <c r="J1058" t="s">
        <v>593</v>
      </c>
    </row>
    <row r="1059" spans="1:10" x14ac:dyDescent="0.35">
      <c r="A1059" t="s">
        <v>981</v>
      </c>
      <c r="B1059" t="s">
        <v>600</v>
      </c>
      <c r="C1059" t="s">
        <v>592</v>
      </c>
      <c r="D1059" s="1">
        <v>46224</v>
      </c>
      <c r="E1059">
        <v>97.114999999999995</v>
      </c>
      <c r="F1059" t="s">
        <v>4314</v>
      </c>
      <c r="G1059" s="1">
        <v>46224.771787731479</v>
      </c>
      <c r="H1059" t="s">
        <v>593</v>
      </c>
      <c r="I1059" s="1">
        <v>46224.771787812497</v>
      </c>
      <c r="J1059" t="s">
        <v>593</v>
      </c>
    </row>
    <row r="1060" spans="1:10" x14ac:dyDescent="0.35">
      <c r="A1060" t="s">
        <v>982</v>
      </c>
      <c r="B1060" t="s">
        <v>600</v>
      </c>
      <c r="C1060" t="s">
        <v>592</v>
      </c>
      <c r="D1060" s="1">
        <v>46224</v>
      </c>
      <c r="E1060">
        <v>97.07</v>
      </c>
      <c r="F1060" t="s">
        <v>4314</v>
      </c>
      <c r="G1060" s="1">
        <v>46224.771787731479</v>
      </c>
      <c r="H1060" t="s">
        <v>593</v>
      </c>
      <c r="I1060" s="1">
        <v>46224.771787812497</v>
      </c>
      <c r="J1060" t="s">
        <v>593</v>
      </c>
    </row>
    <row r="1061" spans="1:10" x14ac:dyDescent="0.35">
      <c r="A1061" t="s">
        <v>983</v>
      </c>
      <c r="B1061" t="s">
        <v>600</v>
      </c>
      <c r="C1061" t="s">
        <v>592</v>
      </c>
      <c r="D1061" s="1">
        <v>46224</v>
      </c>
      <c r="E1061">
        <v>96.97</v>
      </c>
      <c r="F1061" t="s">
        <v>4314</v>
      </c>
      <c r="G1061" s="1">
        <v>46224.771787731479</v>
      </c>
      <c r="H1061" t="s">
        <v>593</v>
      </c>
      <c r="I1061" s="1">
        <v>46224.771787812497</v>
      </c>
      <c r="J1061" t="s">
        <v>593</v>
      </c>
    </row>
    <row r="1062" spans="1:10" x14ac:dyDescent="0.35">
      <c r="A1062" t="s">
        <v>984</v>
      </c>
      <c r="B1062" t="s">
        <v>600</v>
      </c>
      <c r="C1062" t="s">
        <v>592</v>
      </c>
      <c r="D1062" s="1">
        <v>46224</v>
      </c>
      <c r="E1062">
        <v>96.86</v>
      </c>
      <c r="F1062" t="s">
        <v>4314</v>
      </c>
      <c r="G1062" s="1">
        <v>46224.771787731479</v>
      </c>
      <c r="H1062" t="s">
        <v>593</v>
      </c>
      <c r="I1062" s="1">
        <v>46224.771787812497</v>
      </c>
      <c r="J1062" t="s">
        <v>593</v>
      </c>
    </row>
    <row r="1063" spans="1:10" x14ac:dyDescent="0.35">
      <c r="A1063" t="s">
        <v>985</v>
      </c>
      <c r="B1063" t="s">
        <v>600</v>
      </c>
      <c r="C1063" t="s">
        <v>592</v>
      </c>
      <c r="D1063" s="1">
        <v>46224</v>
      </c>
      <c r="E1063">
        <v>97.21</v>
      </c>
      <c r="F1063" t="s">
        <v>4314</v>
      </c>
      <c r="G1063" s="1">
        <v>46224.771787731479</v>
      </c>
      <c r="H1063" t="s">
        <v>593</v>
      </c>
      <c r="I1063" s="1">
        <v>46224.771787812497</v>
      </c>
      <c r="J1063" t="s">
        <v>593</v>
      </c>
    </row>
    <row r="1064" spans="1:10" x14ac:dyDescent="0.35">
      <c r="A1064" t="s">
        <v>986</v>
      </c>
      <c r="B1064" t="s">
        <v>600</v>
      </c>
      <c r="C1064" t="s">
        <v>592</v>
      </c>
      <c r="D1064" s="1">
        <v>46224</v>
      </c>
      <c r="E1064">
        <v>97.094999999999999</v>
      </c>
      <c r="F1064" t="s">
        <v>4314</v>
      </c>
      <c r="G1064" s="1">
        <v>46224.771787731479</v>
      </c>
      <c r="H1064" t="s">
        <v>593</v>
      </c>
      <c r="I1064" s="1">
        <v>46224.771787812497</v>
      </c>
      <c r="J1064" t="s">
        <v>593</v>
      </c>
    </row>
    <row r="1065" spans="1:10" x14ac:dyDescent="0.35">
      <c r="A1065" t="s">
        <v>987</v>
      </c>
      <c r="B1065" t="s">
        <v>600</v>
      </c>
      <c r="C1065" t="s">
        <v>592</v>
      </c>
      <c r="D1065" s="1">
        <v>46224</v>
      </c>
      <c r="E1065">
        <v>97.105000000000004</v>
      </c>
      <c r="F1065" t="s">
        <v>4314</v>
      </c>
      <c r="G1065" s="1">
        <v>46224.771787731479</v>
      </c>
      <c r="H1065" t="s">
        <v>593</v>
      </c>
      <c r="I1065" s="1">
        <v>46224.771787812497</v>
      </c>
      <c r="J1065" t="s">
        <v>593</v>
      </c>
    </row>
    <row r="1066" spans="1:10" x14ac:dyDescent="0.35">
      <c r="A1066" t="s">
        <v>988</v>
      </c>
      <c r="B1066" t="s">
        <v>600</v>
      </c>
      <c r="C1066" t="s">
        <v>592</v>
      </c>
      <c r="D1066" s="1">
        <v>46224</v>
      </c>
      <c r="E1066">
        <v>97.055000000000007</v>
      </c>
      <c r="F1066" t="s">
        <v>4314</v>
      </c>
      <c r="G1066" s="1">
        <v>46224.771787731479</v>
      </c>
      <c r="H1066" t="s">
        <v>593</v>
      </c>
      <c r="I1066" s="1">
        <v>46224.771787812497</v>
      </c>
      <c r="J1066" t="s">
        <v>593</v>
      </c>
    </row>
    <row r="1067" spans="1:10" x14ac:dyDescent="0.35">
      <c r="A1067" t="s">
        <v>989</v>
      </c>
      <c r="B1067" t="s">
        <v>591</v>
      </c>
      <c r="C1067" t="s">
        <v>592</v>
      </c>
      <c r="D1067" s="1">
        <v>46224</v>
      </c>
      <c r="E1067">
        <v>2.8603165933394101E-2</v>
      </c>
      <c r="F1067" t="s">
        <v>5185</v>
      </c>
      <c r="G1067" s="1">
        <v>46224.771787731479</v>
      </c>
      <c r="H1067" t="s">
        <v>593</v>
      </c>
      <c r="I1067" s="1">
        <v>46224.771787812497</v>
      </c>
      <c r="J1067" t="s">
        <v>593</v>
      </c>
    </row>
    <row r="1068" spans="1:10" x14ac:dyDescent="0.35">
      <c r="A1068" t="s">
        <v>990</v>
      </c>
      <c r="B1068" t="s">
        <v>591</v>
      </c>
      <c r="C1068" t="s">
        <v>592</v>
      </c>
      <c r="D1068" s="1">
        <v>46224</v>
      </c>
      <c r="E1068">
        <v>3.8693081136090497E-2</v>
      </c>
      <c r="F1068" t="s">
        <v>5186</v>
      </c>
      <c r="G1068" s="1">
        <v>46224.771787731479</v>
      </c>
      <c r="H1068" t="s">
        <v>593</v>
      </c>
      <c r="I1068" s="1">
        <v>46224.771787812497</v>
      </c>
      <c r="J1068" t="s">
        <v>593</v>
      </c>
    </row>
    <row r="1069" spans="1:10" x14ac:dyDescent="0.35">
      <c r="A1069" t="s">
        <v>991</v>
      </c>
      <c r="B1069" t="s">
        <v>591</v>
      </c>
      <c r="C1069" t="s">
        <v>592</v>
      </c>
      <c r="D1069" s="1">
        <v>46224</v>
      </c>
      <c r="E1069">
        <v>3.9233541936597498E-2</v>
      </c>
      <c r="F1069" t="s">
        <v>5187</v>
      </c>
      <c r="G1069" s="1">
        <v>46224.771787731479</v>
      </c>
      <c r="H1069" t="s">
        <v>593</v>
      </c>
      <c r="I1069" s="1">
        <v>46224.771787812497</v>
      </c>
      <c r="J1069" t="s">
        <v>593</v>
      </c>
    </row>
    <row r="1070" spans="1:10" x14ac:dyDescent="0.35">
      <c r="A1070" t="s">
        <v>992</v>
      </c>
      <c r="B1070" t="s">
        <v>591</v>
      </c>
      <c r="C1070" t="s">
        <v>592</v>
      </c>
      <c r="D1070" s="1">
        <v>46224</v>
      </c>
      <c r="E1070">
        <v>2.2733500831574601E-2</v>
      </c>
      <c r="F1070" t="s">
        <v>5188</v>
      </c>
      <c r="G1070" s="1">
        <v>46224.771787731479</v>
      </c>
      <c r="H1070" t="s">
        <v>593</v>
      </c>
      <c r="I1070" s="1">
        <v>46224.771787812497</v>
      </c>
      <c r="J1070" t="s">
        <v>593</v>
      </c>
    </row>
    <row r="1071" spans="1:10" x14ac:dyDescent="0.35">
      <c r="A1071" t="s">
        <v>993</v>
      </c>
      <c r="B1071" t="s">
        <v>591</v>
      </c>
      <c r="C1071" t="s">
        <v>592</v>
      </c>
      <c r="D1071" s="1">
        <v>46224</v>
      </c>
      <c r="E1071">
        <v>3.1678910300749701E-2</v>
      </c>
      <c r="F1071" t="s">
        <v>5189</v>
      </c>
      <c r="G1071" s="1">
        <v>46224.771787731479</v>
      </c>
      <c r="H1071" t="s">
        <v>593</v>
      </c>
      <c r="I1071" s="1">
        <v>46224.771787812497</v>
      </c>
      <c r="J1071" t="s">
        <v>593</v>
      </c>
    </row>
    <row r="1072" spans="1:10" x14ac:dyDescent="0.35">
      <c r="A1072" t="s">
        <v>994</v>
      </c>
      <c r="B1072" t="s">
        <v>591</v>
      </c>
      <c r="C1072" t="s">
        <v>592</v>
      </c>
      <c r="D1072" s="1">
        <v>46224</v>
      </c>
      <c r="E1072">
        <v>2.86119566331734E-2</v>
      </c>
      <c r="F1072" t="s">
        <v>5190</v>
      </c>
      <c r="G1072" s="1">
        <v>46224.771787731479</v>
      </c>
      <c r="H1072" t="s">
        <v>593</v>
      </c>
      <c r="I1072" s="1">
        <v>46224.771787812497</v>
      </c>
      <c r="J1072" t="s">
        <v>593</v>
      </c>
    </row>
    <row r="1073" spans="1:10" x14ac:dyDescent="0.35">
      <c r="A1073" t="s">
        <v>995</v>
      </c>
      <c r="B1073" t="s">
        <v>591</v>
      </c>
      <c r="C1073" t="s">
        <v>592</v>
      </c>
      <c r="D1073" s="1">
        <v>46224</v>
      </c>
      <c r="E1073">
        <v>4.03452401194438E-2</v>
      </c>
      <c r="F1073" t="s">
        <v>5191</v>
      </c>
      <c r="G1073" s="1">
        <v>46224.771787731479</v>
      </c>
      <c r="H1073" t="s">
        <v>593</v>
      </c>
      <c r="I1073" s="1">
        <v>46224.771787812497</v>
      </c>
      <c r="J1073" t="s">
        <v>593</v>
      </c>
    </row>
    <row r="1074" spans="1:10" x14ac:dyDescent="0.35">
      <c r="A1074" t="s">
        <v>996</v>
      </c>
      <c r="B1074" t="s">
        <v>591</v>
      </c>
      <c r="C1074" t="s">
        <v>592</v>
      </c>
      <c r="D1074" s="1">
        <v>46224</v>
      </c>
      <c r="E1074">
        <v>2.9869211929123701E-2</v>
      </c>
      <c r="F1074" t="s">
        <v>5192</v>
      </c>
      <c r="G1074" s="1">
        <v>46224.771787731479</v>
      </c>
      <c r="H1074" t="s">
        <v>593</v>
      </c>
      <c r="I1074" s="1">
        <v>46224.771787812497</v>
      </c>
      <c r="J1074" t="s">
        <v>593</v>
      </c>
    </row>
    <row r="1075" spans="1:10" x14ac:dyDescent="0.35">
      <c r="A1075" t="s">
        <v>997</v>
      </c>
      <c r="B1075" t="s">
        <v>591</v>
      </c>
      <c r="C1075" t="s">
        <v>592</v>
      </c>
      <c r="D1075" s="1">
        <v>46224</v>
      </c>
      <c r="E1075">
        <v>4.10857277938112E-2</v>
      </c>
      <c r="F1075" t="s">
        <v>5193</v>
      </c>
      <c r="G1075" s="1">
        <v>46224.771787731479</v>
      </c>
      <c r="H1075" t="s">
        <v>593</v>
      </c>
      <c r="I1075" s="1">
        <v>46224.771787812497</v>
      </c>
      <c r="J1075" t="s">
        <v>593</v>
      </c>
    </row>
    <row r="1076" spans="1:10" x14ac:dyDescent="0.35">
      <c r="A1076" t="s">
        <v>998</v>
      </c>
      <c r="B1076" t="s">
        <v>591</v>
      </c>
      <c r="C1076" t="s">
        <v>592</v>
      </c>
      <c r="D1076" s="1">
        <v>46224</v>
      </c>
      <c r="E1076">
        <v>4.2932004895178302E-2</v>
      </c>
      <c r="F1076" t="s">
        <v>5194</v>
      </c>
      <c r="G1076" s="1">
        <v>46224.771787731479</v>
      </c>
      <c r="H1076" t="s">
        <v>593</v>
      </c>
      <c r="I1076" s="1">
        <v>46224.771787812497</v>
      </c>
      <c r="J1076" t="s">
        <v>593</v>
      </c>
    </row>
    <row r="1077" spans="1:10" x14ac:dyDescent="0.35">
      <c r="A1077" t="s">
        <v>999</v>
      </c>
      <c r="B1077" t="s">
        <v>591</v>
      </c>
      <c r="C1077" t="s">
        <v>592</v>
      </c>
      <c r="D1077" s="1">
        <v>46224</v>
      </c>
      <c r="E1077">
        <v>2.4545250710179701E-2</v>
      </c>
      <c r="F1077" t="s">
        <v>5195</v>
      </c>
      <c r="G1077" s="1">
        <v>46224.771787731479</v>
      </c>
      <c r="H1077" t="s">
        <v>593</v>
      </c>
      <c r="I1077" s="1">
        <v>46224.771787812497</v>
      </c>
      <c r="J1077" t="s">
        <v>593</v>
      </c>
    </row>
    <row r="1078" spans="1:10" x14ac:dyDescent="0.35">
      <c r="A1078" t="s">
        <v>1000</v>
      </c>
      <c r="B1078" t="s">
        <v>591</v>
      </c>
      <c r="C1078" t="s">
        <v>592</v>
      </c>
      <c r="D1078" s="1">
        <v>46224</v>
      </c>
      <c r="E1078">
        <v>2.65793775959953E-2</v>
      </c>
      <c r="F1078" t="s">
        <v>5196</v>
      </c>
      <c r="G1078" s="1">
        <v>46224.771787731479</v>
      </c>
      <c r="H1078" t="s">
        <v>593</v>
      </c>
      <c r="I1078" s="1">
        <v>46224.771787812497</v>
      </c>
      <c r="J1078" t="s">
        <v>593</v>
      </c>
    </row>
    <row r="1079" spans="1:10" x14ac:dyDescent="0.35">
      <c r="A1079" t="s">
        <v>1001</v>
      </c>
      <c r="B1079" t="s">
        <v>591</v>
      </c>
      <c r="C1079" t="s">
        <v>592</v>
      </c>
      <c r="D1079" s="1">
        <v>46224</v>
      </c>
      <c r="E1079">
        <v>3.3005174004936501E-2</v>
      </c>
      <c r="F1079" t="s">
        <v>5197</v>
      </c>
      <c r="G1079" s="1">
        <v>46224.771787731479</v>
      </c>
      <c r="H1079" t="s">
        <v>593</v>
      </c>
      <c r="I1079" s="1">
        <v>46224.771787812497</v>
      </c>
      <c r="J1079" t="s">
        <v>593</v>
      </c>
    </row>
    <row r="1080" spans="1:10" x14ac:dyDescent="0.35">
      <c r="A1080" t="s">
        <v>1002</v>
      </c>
      <c r="B1080" t="s">
        <v>591</v>
      </c>
      <c r="C1080" t="s">
        <v>592</v>
      </c>
      <c r="D1080" s="1">
        <v>46224</v>
      </c>
      <c r="E1080">
        <v>3.6413374222283801E-2</v>
      </c>
      <c r="F1080" t="s">
        <v>5198</v>
      </c>
      <c r="G1080" s="1">
        <v>46224.771787731479</v>
      </c>
      <c r="H1080" t="s">
        <v>593</v>
      </c>
      <c r="I1080" s="1">
        <v>46224.771787812497</v>
      </c>
      <c r="J1080" t="s">
        <v>593</v>
      </c>
    </row>
    <row r="1081" spans="1:10" x14ac:dyDescent="0.35">
      <c r="A1081" t="s">
        <v>1003</v>
      </c>
      <c r="B1081" t="s">
        <v>591</v>
      </c>
      <c r="C1081" t="s">
        <v>592</v>
      </c>
      <c r="D1081" s="1">
        <v>46224</v>
      </c>
      <c r="E1081">
        <v>2.77436269356785E-2</v>
      </c>
      <c r="F1081" t="s">
        <v>5199</v>
      </c>
      <c r="G1081" s="1">
        <v>46224.771787731479</v>
      </c>
      <c r="H1081" t="s">
        <v>593</v>
      </c>
      <c r="I1081" s="1">
        <v>46224.771787812497</v>
      </c>
      <c r="J1081" t="s">
        <v>593</v>
      </c>
    </row>
    <row r="1082" spans="1:10" x14ac:dyDescent="0.35">
      <c r="A1082" t="s">
        <v>1004</v>
      </c>
      <c r="B1082" t="s">
        <v>591</v>
      </c>
      <c r="C1082" t="s">
        <v>592</v>
      </c>
      <c r="D1082" s="1">
        <v>46224</v>
      </c>
      <c r="E1082">
        <v>2.8287593613292999E-2</v>
      </c>
      <c r="F1082" t="s">
        <v>5200</v>
      </c>
      <c r="G1082" s="1">
        <v>46224.771787731479</v>
      </c>
      <c r="H1082" t="s">
        <v>593</v>
      </c>
      <c r="I1082" s="1">
        <v>46224.771787812497</v>
      </c>
      <c r="J1082" t="s">
        <v>593</v>
      </c>
    </row>
    <row r="1083" spans="1:10" x14ac:dyDescent="0.35">
      <c r="A1083" t="s">
        <v>1005</v>
      </c>
      <c r="B1083" t="s">
        <v>591</v>
      </c>
      <c r="C1083" t="s">
        <v>592</v>
      </c>
      <c r="D1083" s="1">
        <v>46224</v>
      </c>
      <c r="E1083">
        <v>4.1509658393944798E-2</v>
      </c>
      <c r="F1083" t="s">
        <v>5201</v>
      </c>
      <c r="G1083" s="1">
        <v>46224.771787731479</v>
      </c>
      <c r="H1083" t="s">
        <v>593</v>
      </c>
      <c r="I1083" s="1">
        <v>46224.771787812497</v>
      </c>
      <c r="J1083" t="s">
        <v>593</v>
      </c>
    </row>
    <row r="1084" spans="1:10" x14ac:dyDescent="0.35">
      <c r="A1084" t="s">
        <v>1006</v>
      </c>
      <c r="B1084" t="s">
        <v>591</v>
      </c>
      <c r="C1084" t="s">
        <v>592</v>
      </c>
      <c r="D1084" s="1">
        <v>46224</v>
      </c>
      <c r="E1084">
        <v>2.8360903063032301E-2</v>
      </c>
      <c r="F1084" t="s">
        <v>5202</v>
      </c>
      <c r="G1084" s="1">
        <v>46224.771787731479</v>
      </c>
      <c r="H1084" t="s">
        <v>593</v>
      </c>
      <c r="I1084" s="1">
        <v>46224.771787812497</v>
      </c>
      <c r="J1084" t="s">
        <v>593</v>
      </c>
    </row>
    <row r="1085" spans="1:10" x14ac:dyDescent="0.35">
      <c r="A1085" t="s">
        <v>1007</v>
      </c>
      <c r="B1085" t="s">
        <v>591</v>
      </c>
      <c r="C1085" t="s">
        <v>592</v>
      </c>
      <c r="D1085" s="1">
        <v>46224</v>
      </c>
      <c r="E1085">
        <v>2.8862636193306299E-2</v>
      </c>
      <c r="F1085" t="s">
        <v>5203</v>
      </c>
      <c r="G1085" s="1">
        <v>46224.771787731479</v>
      </c>
      <c r="H1085" t="s">
        <v>593</v>
      </c>
      <c r="I1085" s="1">
        <v>46224.771787812497</v>
      </c>
      <c r="J1085" t="s">
        <v>593</v>
      </c>
    </row>
    <row r="1086" spans="1:10" x14ac:dyDescent="0.35">
      <c r="A1086" t="s">
        <v>1008</v>
      </c>
      <c r="B1086" t="s">
        <v>591</v>
      </c>
      <c r="C1086" t="s">
        <v>592</v>
      </c>
      <c r="D1086" s="1">
        <v>46224</v>
      </c>
      <c r="E1086">
        <v>3.48976511306162E-2</v>
      </c>
      <c r="F1086" t="s">
        <v>5204</v>
      </c>
      <c r="G1086" s="1">
        <v>46224.771787731479</v>
      </c>
      <c r="H1086" t="s">
        <v>593</v>
      </c>
      <c r="I1086" s="1">
        <v>46224.771787812497</v>
      </c>
      <c r="J1086" t="s">
        <v>593</v>
      </c>
    </row>
    <row r="1087" spans="1:10" x14ac:dyDescent="0.35">
      <c r="A1087" t="s">
        <v>1009</v>
      </c>
      <c r="B1087" t="s">
        <v>591</v>
      </c>
      <c r="C1087" t="s">
        <v>592</v>
      </c>
      <c r="D1087" s="1">
        <v>46224</v>
      </c>
      <c r="E1087">
        <v>2.93683440961983E-2</v>
      </c>
      <c r="F1087" t="s">
        <v>5205</v>
      </c>
      <c r="G1087" s="1">
        <v>46224.771787731479</v>
      </c>
      <c r="H1087" t="s">
        <v>593</v>
      </c>
      <c r="I1087" s="1">
        <v>46224.771787812497</v>
      </c>
      <c r="J1087" t="s">
        <v>593</v>
      </c>
    </row>
    <row r="1088" spans="1:10" x14ac:dyDescent="0.35">
      <c r="A1088" t="s">
        <v>1010</v>
      </c>
      <c r="B1088" t="s">
        <v>591</v>
      </c>
      <c r="C1088" t="s">
        <v>592</v>
      </c>
      <c r="D1088" s="1">
        <v>46224</v>
      </c>
      <c r="E1088">
        <v>2.9734170150506001E-2</v>
      </c>
      <c r="F1088" t="s">
        <v>5206</v>
      </c>
      <c r="G1088" s="1">
        <v>46224.771787731479</v>
      </c>
      <c r="H1088" t="s">
        <v>593</v>
      </c>
      <c r="I1088" s="1">
        <v>46224.771787812497</v>
      </c>
      <c r="J1088" t="s">
        <v>593</v>
      </c>
    </row>
    <row r="1089" spans="1:10" x14ac:dyDescent="0.35">
      <c r="A1089" t="s">
        <v>1011</v>
      </c>
      <c r="B1089" t="s">
        <v>591</v>
      </c>
      <c r="C1089" t="s">
        <v>592</v>
      </c>
      <c r="D1089" s="1">
        <v>46224</v>
      </c>
      <c r="E1089">
        <v>4.20335082415619E-2</v>
      </c>
      <c r="F1089" t="s">
        <v>5207</v>
      </c>
      <c r="G1089" s="1">
        <v>46224.771787731479</v>
      </c>
      <c r="H1089" t="s">
        <v>593</v>
      </c>
      <c r="I1089" s="1">
        <v>46224.771787812497</v>
      </c>
      <c r="J1089" t="s">
        <v>593</v>
      </c>
    </row>
    <row r="1090" spans="1:10" x14ac:dyDescent="0.35">
      <c r="A1090" t="s">
        <v>1012</v>
      </c>
      <c r="B1090" t="s">
        <v>591</v>
      </c>
      <c r="C1090" t="s">
        <v>592</v>
      </c>
      <c r="D1090" s="1">
        <v>46224</v>
      </c>
      <c r="E1090">
        <v>2.7372427445245699E-2</v>
      </c>
      <c r="F1090" t="s">
        <v>5208</v>
      </c>
      <c r="G1090" s="1">
        <v>46224.771787731479</v>
      </c>
      <c r="H1090" t="s">
        <v>593</v>
      </c>
      <c r="I1090" s="1">
        <v>46224.771787812497</v>
      </c>
      <c r="J1090" t="s">
        <v>593</v>
      </c>
    </row>
    <row r="1091" spans="1:10" x14ac:dyDescent="0.35">
      <c r="A1091" t="s">
        <v>1013</v>
      </c>
      <c r="B1091" t="s">
        <v>591</v>
      </c>
      <c r="C1091" t="s">
        <v>592</v>
      </c>
      <c r="D1091" s="1">
        <v>46224</v>
      </c>
      <c r="E1091">
        <v>3.0146421495700602E-2</v>
      </c>
      <c r="F1091" t="s">
        <v>5209</v>
      </c>
      <c r="G1091" s="1">
        <v>46224.771787731479</v>
      </c>
      <c r="H1091" t="s">
        <v>593</v>
      </c>
      <c r="I1091" s="1">
        <v>46224.771787812497</v>
      </c>
      <c r="J1091" t="s">
        <v>593</v>
      </c>
    </row>
    <row r="1092" spans="1:10" x14ac:dyDescent="0.35">
      <c r="A1092" t="s">
        <v>1014</v>
      </c>
      <c r="B1092" t="s">
        <v>591</v>
      </c>
      <c r="C1092" t="s">
        <v>592</v>
      </c>
      <c r="D1092" s="1">
        <v>46224</v>
      </c>
      <c r="E1092">
        <v>3.9110233710377702E-2</v>
      </c>
      <c r="F1092" t="s">
        <v>5210</v>
      </c>
      <c r="G1092" s="1">
        <v>46224.771787731479</v>
      </c>
      <c r="H1092" t="s">
        <v>593</v>
      </c>
      <c r="I1092" s="1">
        <v>46224.771787812497</v>
      </c>
      <c r="J1092" t="s">
        <v>593</v>
      </c>
    </row>
    <row r="1093" spans="1:10" x14ac:dyDescent="0.35">
      <c r="A1093" t="s">
        <v>1015</v>
      </c>
      <c r="B1093" t="s">
        <v>591</v>
      </c>
      <c r="C1093" t="s">
        <v>592</v>
      </c>
      <c r="D1093" s="1">
        <v>46224</v>
      </c>
      <c r="E1093">
        <v>3.0625168779081901E-2</v>
      </c>
      <c r="F1093" t="s">
        <v>5211</v>
      </c>
      <c r="G1093" s="1">
        <v>46224.771787731479</v>
      </c>
      <c r="H1093" t="s">
        <v>593</v>
      </c>
      <c r="I1093" s="1">
        <v>46224.771787812497</v>
      </c>
      <c r="J1093" t="s">
        <v>593</v>
      </c>
    </row>
    <row r="1094" spans="1:10" x14ac:dyDescent="0.35">
      <c r="A1094" t="s">
        <v>1016</v>
      </c>
      <c r="B1094" t="s">
        <v>591</v>
      </c>
      <c r="C1094" t="s">
        <v>592</v>
      </c>
      <c r="D1094" s="1">
        <v>46224</v>
      </c>
      <c r="E1094">
        <v>4.20653302703968E-2</v>
      </c>
      <c r="F1094" t="s">
        <v>5212</v>
      </c>
      <c r="G1094" s="1">
        <v>46224.771787731479</v>
      </c>
      <c r="H1094" t="s">
        <v>593</v>
      </c>
      <c r="I1094" s="1">
        <v>46224.771787812497</v>
      </c>
      <c r="J1094" t="s">
        <v>593</v>
      </c>
    </row>
    <row r="1095" spans="1:10" x14ac:dyDescent="0.35">
      <c r="A1095" t="s">
        <v>1017</v>
      </c>
      <c r="B1095" t="s">
        <v>591</v>
      </c>
      <c r="C1095" t="s">
        <v>592</v>
      </c>
      <c r="D1095" s="1">
        <v>46224</v>
      </c>
      <c r="E1095">
        <v>2.7855358323448699E-2</v>
      </c>
      <c r="F1095" t="s">
        <v>5213</v>
      </c>
      <c r="G1095" s="1">
        <v>46224.771787731479</v>
      </c>
      <c r="H1095" t="s">
        <v>593</v>
      </c>
      <c r="I1095" s="1">
        <v>46224.771787812497</v>
      </c>
      <c r="J1095" t="s">
        <v>593</v>
      </c>
    </row>
    <row r="1096" spans="1:10" x14ac:dyDescent="0.35">
      <c r="A1096" t="s">
        <v>1018</v>
      </c>
      <c r="B1096" t="s">
        <v>591</v>
      </c>
      <c r="C1096" t="s">
        <v>592</v>
      </c>
      <c r="D1096" s="1">
        <v>46224</v>
      </c>
      <c r="E1096">
        <v>3.7178696121202698E-2</v>
      </c>
      <c r="F1096" t="s">
        <v>5214</v>
      </c>
      <c r="G1096" s="1">
        <v>46224.771787731479</v>
      </c>
      <c r="H1096" t="s">
        <v>593</v>
      </c>
      <c r="I1096" s="1">
        <v>46224.771787812497</v>
      </c>
      <c r="J1096" t="s">
        <v>593</v>
      </c>
    </row>
    <row r="1097" spans="1:10" x14ac:dyDescent="0.35">
      <c r="A1097" t="s">
        <v>1019</v>
      </c>
      <c r="B1097" t="s">
        <v>591</v>
      </c>
      <c r="C1097" t="s">
        <v>592</v>
      </c>
      <c r="D1097" s="1">
        <v>46224</v>
      </c>
      <c r="E1097">
        <v>3.1103890200338099E-2</v>
      </c>
      <c r="F1097" t="s">
        <v>5215</v>
      </c>
      <c r="G1097" s="1">
        <v>46224.771787731479</v>
      </c>
      <c r="H1097" t="s">
        <v>593</v>
      </c>
      <c r="I1097" s="1">
        <v>46224.771787812497</v>
      </c>
      <c r="J1097" t="s">
        <v>593</v>
      </c>
    </row>
    <row r="1098" spans="1:10" x14ac:dyDescent="0.35">
      <c r="A1098" t="s">
        <v>1020</v>
      </c>
      <c r="B1098" t="s">
        <v>591</v>
      </c>
      <c r="C1098" t="s">
        <v>592</v>
      </c>
      <c r="D1098" s="1">
        <v>46224</v>
      </c>
      <c r="E1098">
        <v>4.00172222295384E-2</v>
      </c>
      <c r="F1098" t="s">
        <v>5216</v>
      </c>
      <c r="G1098" s="1">
        <v>46224.771787731479</v>
      </c>
      <c r="H1098" t="s">
        <v>593</v>
      </c>
      <c r="I1098" s="1">
        <v>46224.771787812497</v>
      </c>
      <c r="J1098" t="s">
        <v>593</v>
      </c>
    </row>
    <row r="1099" spans="1:10" x14ac:dyDescent="0.35">
      <c r="A1099" t="s">
        <v>1021</v>
      </c>
      <c r="B1099" t="s">
        <v>591</v>
      </c>
      <c r="C1099" t="s">
        <v>592</v>
      </c>
      <c r="D1099" s="1">
        <v>46224</v>
      </c>
      <c r="E1099">
        <v>2.57418274818219E-2</v>
      </c>
      <c r="F1099" t="s">
        <v>5217</v>
      </c>
      <c r="G1099" s="1">
        <v>46224.771787731479</v>
      </c>
      <c r="H1099" t="s">
        <v>593</v>
      </c>
      <c r="I1099" s="1">
        <v>46224.771787812497</v>
      </c>
      <c r="J1099" t="s">
        <v>593</v>
      </c>
    </row>
    <row r="1100" spans="1:10" x14ac:dyDescent="0.35">
      <c r="A1100" t="s">
        <v>1022</v>
      </c>
      <c r="B1100" t="s">
        <v>591</v>
      </c>
      <c r="C1100" t="s">
        <v>592</v>
      </c>
      <c r="D1100" s="1">
        <v>46224</v>
      </c>
      <c r="E1100">
        <v>3.1703962483640803E-2</v>
      </c>
      <c r="F1100" t="s">
        <v>5218</v>
      </c>
      <c r="G1100" s="1">
        <v>46224.771787731479</v>
      </c>
      <c r="H1100" t="s">
        <v>593</v>
      </c>
      <c r="I1100" s="1">
        <v>46224.771787812497</v>
      </c>
      <c r="J1100" t="s">
        <v>593</v>
      </c>
    </row>
    <row r="1101" spans="1:10" x14ac:dyDescent="0.35">
      <c r="A1101" t="s">
        <v>1023</v>
      </c>
      <c r="B1101" t="s">
        <v>591</v>
      </c>
      <c r="C1101" t="s">
        <v>592</v>
      </c>
      <c r="D1101" s="1">
        <v>46224</v>
      </c>
      <c r="E1101">
        <v>4.23336770099789E-2</v>
      </c>
      <c r="F1101" t="s">
        <v>5219</v>
      </c>
      <c r="G1101" s="1">
        <v>46224.771787731479</v>
      </c>
      <c r="H1101" t="s">
        <v>593</v>
      </c>
      <c r="I1101" s="1">
        <v>46224.771787812497</v>
      </c>
      <c r="J1101" t="s">
        <v>593</v>
      </c>
    </row>
    <row r="1102" spans="1:10" x14ac:dyDescent="0.35">
      <c r="A1102" t="s">
        <v>1024</v>
      </c>
      <c r="B1102" t="s">
        <v>591</v>
      </c>
      <c r="C1102" t="s">
        <v>592</v>
      </c>
      <c r="D1102" s="1">
        <v>46224</v>
      </c>
      <c r="E1102">
        <v>2.9440245198311399E-2</v>
      </c>
      <c r="F1102" t="s">
        <v>5220</v>
      </c>
      <c r="G1102" s="1">
        <v>46224.771787731479</v>
      </c>
      <c r="H1102" t="s">
        <v>593</v>
      </c>
      <c r="I1102" s="1">
        <v>46224.771787812497</v>
      </c>
      <c r="J1102" t="s">
        <v>593</v>
      </c>
    </row>
    <row r="1103" spans="1:10" x14ac:dyDescent="0.35">
      <c r="A1103" t="s">
        <v>1025</v>
      </c>
      <c r="B1103" t="s">
        <v>591</v>
      </c>
      <c r="C1103" t="s">
        <v>592</v>
      </c>
      <c r="D1103" s="1">
        <v>46224</v>
      </c>
      <c r="E1103">
        <v>3.2203666075089399E-2</v>
      </c>
      <c r="F1103" t="s">
        <v>5221</v>
      </c>
      <c r="G1103" s="1">
        <v>46224.771787731479</v>
      </c>
      <c r="H1103" t="s">
        <v>593</v>
      </c>
      <c r="I1103" s="1">
        <v>46224.771787812497</v>
      </c>
      <c r="J1103" t="s">
        <v>593</v>
      </c>
    </row>
    <row r="1104" spans="1:10" x14ac:dyDescent="0.35">
      <c r="A1104" t="s">
        <v>1026</v>
      </c>
      <c r="B1104" t="s">
        <v>591</v>
      </c>
      <c r="C1104" t="s">
        <v>592</v>
      </c>
      <c r="D1104" s="1">
        <v>46224</v>
      </c>
      <c r="E1104">
        <v>4.0395702545666899E-2</v>
      </c>
      <c r="F1104" t="s">
        <v>5222</v>
      </c>
      <c r="G1104" s="1">
        <v>46224.771787731479</v>
      </c>
      <c r="H1104" t="s">
        <v>593</v>
      </c>
      <c r="I1104" s="1">
        <v>46224.771787812497</v>
      </c>
      <c r="J1104" t="s">
        <v>593</v>
      </c>
    </row>
    <row r="1105" spans="1:10" x14ac:dyDescent="0.35">
      <c r="A1105" t="s">
        <v>1027</v>
      </c>
      <c r="B1105" t="s">
        <v>591</v>
      </c>
      <c r="C1105" t="s">
        <v>592</v>
      </c>
      <c r="D1105" s="1">
        <v>46224</v>
      </c>
      <c r="E1105">
        <v>3.2837155825780999E-2</v>
      </c>
      <c r="F1105" t="s">
        <v>5223</v>
      </c>
      <c r="G1105" s="1">
        <v>46224.771787731479</v>
      </c>
      <c r="H1105" t="s">
        <v>593</v>
      </c>
      <c r="I1105" s="1">
        <v>46224.771787812497</v>
      </c>
      <c r="J1105" t="s">
        <v>593</v>
      </c>
    </row>
    <row r="1106" spans="1:10" x14ac:dyDescent="0.35">
      <c r="A1106" t="s">
        <v>1028</v>
      </c>
      <c r="B1106" t="s">
        <v>591</v>
      </c>
      <c r="C1106" t="s">
        <v>592</v>
      </c>
      <c r="D1106" s="1">
        <v>46224</v>
      </c>
      <c r="E1106">
        <v>3.8338783979489699E-2</v>
      </c>
      <c r="F1106" t="s">
        <v>5224</v>
      </c>
      <c r="G1106" s="1">
        <v>46224.771787731479</v>
      </c>
      <c r="H1106" t="s">
        <v>593</v>
      </c>
      <c r="I1106" s="1">
        <v>46224.771787812497</v>
      </c>
      <c r="J1106" t="s">
        <v>593</v>
      </c>
    </row>
    <row r="1107" spans="1:10" x14ac:dyDescent="0.35">
      <c r="A1107" t="s">
        <v>1029</v>
      </c>
      <c r="B1107" t="s">
        <v>591</v>
      </c>
      <c r="C1107" t="s">
        <v>592</v>
      </c>
      <c r="D1107" s="1">
        <v>46224</v>
      </c>
      <c r="E1107">
        <v>3.3381920899411097E-2</v>
      </c>
      <c r="F1107" t="s">
        <v>5225</v>
      </c>
      <c r="G1107" s="1">
        <v>46224.771787731479</v>
      </c>
      <c r="H1107" t="s">
        <v>593</v>
      </c>
      <c r="I1107" s="1">
        <v>46224.771787812497</v>
      </c>
      <c r="J1107" t="s">
        <v>593</v>
      </c>
    </row>
    <row r="1108" spans="1:10" x14ac:dyDescent="0.35">
      <c r="A1108" t="s">
        <v>1030</v>
      </c>
      <c r="B1108" t="s">
        <v>591</v>
      </c>
      <c r="C1108" t="s">
        <v>592</v>
      </c>
      <c r="D1108" s="1">
        <v>46224</v>
      </c>
      <c r="E1108">
        <v>2.9182015935334801E-2</v>
      </c>
      <c r="F1108" t="s">
        <v>5226</v>
      </c>
      <c r="G1108" s="1">
        <v>46224.771787731479</v>
      </c>
      <c r="H1108" t="s">
        <v>593</v>
      </c>
      <c r="I1108" s="1">
        <v>46224.771787812497</v>
      </c>
      <c r="J1108" t="s">
        <v>593</v>
      </c>
    </row>
    <row r="1109" spans="1:10" x14ac:dyDescent="0.35">
      <c r="A1109" t="s">
        <v>1031</v>
      </c>
      <c r="B1109" t="s">
        <v>591</v>
      </c>
      <c r="C1109" t="s">
        <v>592</v>
      </c>
      <c r="D1109" s="1">
        <v>46224</v>
      </c>
      <c r="E1109">
        <v>2.7366966011858399E-2</v>
      </c>
      <c r="F1109" t="s">
        <v>5227</v>
      </c>
      <c r="G1109" s="1">
        <v>46224.771787731479</v>
      </c>
      <c r="H1109" t="s">
        <v>593</v>
      </c>
      <c r="I1109" s="1">
        <v>46224.771787812497</v>
      </c>
      <c r="J1109" t="s">
        <v>593</v>
      </c>
    </row>
    <row r="1110" spans="1:10" x14ac:dyDescent="0.35">
      <c r="A1110" t="s">
        <v>1032</v>
      </c>
      <c r="B1110" t="s">
        <v>591</v>
      </c>
      <c r="C1110" t="s">
        <v>592</v>
      </c>
      <c r="D1110" s="1">
        <v>46224</v>
      </c>
      <c r="E1110">
        <v>3.3958264841657197E-2</v>
      </c>
      <c r="F1110" t="s">
        <v>5228</v>
      </c>
      <c r="G1110" s="1">
        <v>46224.771787731479</v>
      </c>
      <c r="H1110" t="s">
        <v>593</v>
      </c>
      <c r="I1110" s="1">
        <v>46224.771787812497</v>
      </c>
      <c r="J1110" t="s">
        <v>593</v>
      </c>
    </row>
    <row r="1111" spans="1:10" x14ac:dyDescent="0.35">
      <c r="A1111" t="s">
        <v>1033</v>
      </c>
      <c r="B1111" t="s">
        <v>591</v>
      </c>
      <c r="C1111" t="s">
        <v>592</v>
      </c>
      <c r="D1111" s="1">
        <v>46224</v>
      </c>
      <c r="E1111">
        <v>4.25999190870021E-2</v>
      </c>
      <c r="F1111" t="s">
        <v>5229</v>
      </c>
      <c r="G1111" s="1">
        <v>46224.771787731479</v>
      </c>
      <c r="H1111" t="s">
        <v>593</v>
      </c>
      <c r="I1111" s="1">
        <v>46224.771787812497</v>
      </c>
      <c r="J1111" t="s">
        <v>593</v>
      </c>
    </row>
    <row r="1112" spans="1:10" x14ac:dyDescent="0.35">
      <c r="A1112" t="s">
        <v>1034</v>
      </c>
      <c r="B1112" t="s">
        <v>591</v>
      </c>
      <c r="C1112" t="s">
        <v>592</v>
      </c>
      <c r="D1112" s="1">
        <v>46224</v>
      </c>
      <c r="E1112">
        <v>3.4378632848957598E-2</v>
      </c>
      <c r="F1112" t="s">
        <v>5230</v>
      </c>
      <c r="G1112" s="1">
        <v>46224.771787731479</v>
      </c>
      <c r="H1112" t="s">
        <v>593</v>
      </c>
      <c r="I1112" s="1">
        <v>46224.771787812497</v>
      </c>
      <c r="J1112" t="s">
        <v>593</v>
      </c>
    </row>
    <row r="1113" spans="1:10" x14ac:dyDescent="0.35">
      <c r="A1113" t="s">
        <v>1035</v>
      </c>
      <c r="B1113" t="s">
        <v>591</v>
      </c>
      <c r="C1113" t="s">
        <v>592</v>
      </c>
      <c r="D1113" s="1">
        <v>46224</v>
      </c>
      <c r="E1113">
        <v>3.0987139326655099E-2</v>
      </c>
      <c r="F1113" t="s">
        <v>5231</v>
      </c>
      <c r="G1113" s="1">
        <v>46224.771787731479</v>
      </c>
      <c r="H1113" t="s">
        <v>593</v>
      </c>
      <c r="I1113" s="1">
        <v>46224.771787812497</v>
      </c>
      <c r="J1113" t="s">
        <v>593</v>
      </c>
    </row>
    <row r="1114" spans="1:10" x14ac:dyDescent="0.35">
      <c r="A1114" t="s">
        <v>1036</v>
      </c>
      <c r="B1114" t="s">
        <v>591</v>
      </c>
      <c r="C1114" t="s">
        <v>592</v>
      </c>
      <c r="D1114" s="1">
        <v>46224</v>
      </c>
      <c r="E1114">
        <v>2.98348002061899E-2</v>
      </c>
      <c r="F1114" t="s">
        <v>5232</v>
      </c>
      <c r="G1114" s="1">
        <v>46224.771787731479</v>
      </c>
      <c r="H1114" t="s">
        <v>593</v>
      </c>
      <c r="I1114" s="1">
        <v>46224.771787812497</v>
      </c>
      <c r="J1114" t="s">
        <v>593</v>
      </c>
    </row>
    <row r="1115" spans="1:10" x14ac:dyDescent="0.35">
      <c r="A1115" t="s">
        <v>1037</v>
      </c>
      <c r="B1115" t="s">
        <v>591</v>
      </c>
      <c r="C1115" t="s">
        <v>592</v>
      </c>
      <c r="D1115" s="1">
        <v>46224</v>
      </c>
      <c r="E1115">
        <v>2.8437510258848501E-2</v>
      </c>
      <c r="F1115" t="s">
        <v>5233</v>
      </c>
      <c r="G1115" s="1">
        <v>46224.771787731479</v>
      </c>
      <c r="H1115" t="s">
        <v>593</v>
      </c>
      <c r="I1115" s="1">
        <v>46224.771787812497</v>
      </c>
      <c r="J1115" t="s">
        <v>593</v>
      </c>
    </row>
    <row r="1116" spans="1:10" x14ac:dyDescent="0.35">
      <c r="A1116" t="s">
        <v>1038</v>
      </c>
      <c r="B1116" t="s">
        <v>591</v>
      </c>
      <c r="C1116" t="s">
        <v>592</v>
      </c>
      <c r="D1116" s="1">
        <v>46224</v>
      </c>
      <c r="E1116">
        <v>3.4835046710579701E-2</v>
      </c>
      <c r="F1116" t="s">
        <v>5234</v>
      </c>
      <c r="G1116" s="1">
        <v>46224.771787731479</v>
      </c>
      <c r="H1116" t="s">
        <v>593</v>
      </c>
      <c r="I1116" s="1">
        <v>46224.771787812497</v>
      </c>
      <c r="J1116" t="s">
        <v>593</v>
      </c>
    </row>
    <row r="1117" spans="1:10" x14ac:dyDescent="0.35">
      <c r="A1117" t="s">
        <v>1039</v>
      </c>
      <c r="B1117" t="s">
        <v>591</v>
      </c>
      <c r="C1117" t="s">
        <v>592</v>
      </c>
      <c r="D1117" s="1">
        <v>46224</v>
      </c>
      <c r="E1117">
        <v>3.9407170602863403E-2</v>
      </c>
      <c r="F1117" t="s">
        <v>5235</v>
      </c>
      <c r="G1117" s="1">
        <v>46224.771787731479</v>
      </c>
      <c r="H1117" t="s">
        <v>593</v>
      </c>
      <c r="I1117" s="1">
        <v>46224.771787812497</v>
      </c>
      <c r="J1117" t="s">
        <v>593</v>
      </c>
    </row>
    <row r="1118" spans="1:10" x14ac:dyDescent="0.35">
      <c r="A1118" t="s">
        <v>1040</v>
      </c>
      <c r="B1118" t="s">
        <v>591</v>
      </c>
      <c r="C1118" t="s">
        <v>592</v>
      </c>
      <c r="D1118" s="1">
        <v>46224</v>
      </c>
      <c r="E1118">
        <v>3.5268273654402098E-2</v>
      </c>
      <c r="F1118" t="s">
        <v>5236</v>
      </c>
      <c r="G1118" s="1">
        <v>46224.771787731479</v>
      </c>
      <c r="H1118" t="s">
        <v>593</v>
      </c>
      <c r="I1118" s="1">
        <v>46224.771787812497</v>
      </c>
      <c r="J1118" t="s">
        <v>593</v>
      </c>
    </row>
    <row r="1119" spans="1:10" x14ac:dyDescent="0.35">
      <c r="A1119" t="s">
        <v>1041</v>
      </c>
      <c r="B1119" t="s">
        <v>591</v>
      </c>
      <c r="C1119" t="s">
        <v>592</v>
      </c>
      <c r="D1119" s="1">
        <v>46224</v>
      </c>
      <c r="E1119">
        <v>3.2695782483003401E-2</v>
      </c>
      <c r="F1119" t="s">
        <v>5237</v>
      </c>
      <c r="G1119" s="1">
        <v>46224.771787731479</v>
      </c>
      <c r="H1119" t="s">
        <v>593</v>
      </c>
      <c r="I1119" s="1">
        <v>46224.771787812497</v>
      </c>
      <c r="J1119" t="s">
        <v>593</v>
      </c>
    </row>
    <row r="1120" spans="1:10" x14ac:dyDescent="0.35">
      <c r="A1120" t="s">
        <v>1042</v>
      </c>
      <c r="B1120" t="s">
        <v>591</v>
      </c>
      <c r="C1120" t="s">
        <v>592</v>
      </c>
      <c r="D1120" s="1">
        <v>46224</v>
      </c>
      <c r="E1120">
        <v>2.94084976766841E-2</v>
      </c>
      <c r="F1120" t="s">
        <v>5238</v>
      </c>
      <c r="G1120" s="1">
        <v>46224.771787731479</v>
      </c>
      <c r="H1120" t="s">
        <v>593</v>
      </c>
      <c r="I1120" s="1">
        <v>46224.771787812497</v>
      </c>
      <c r="J1120" t="s">
        <v>593</v>
      </c>
    </row>
    <row r="1121" spans="1:10" x14ac:dyDescent="0.35">
      <c r="A1121" t="s">
        <v>1043</v>
      </c>
      <c r="B1121" t="s">
        <v>591</v>
      </c>
      <c r="C1121" t="s">
        <v>592</v>
      </c>
      <c r="D1121" s="1">
        <v>46224</v>
      </c>
      <c r="E1121">
        <v>3.5732865875655898E-2</v>
      </c>
      <c r="F1121" t="s">
        <v>5239</v>
      </c>
      <c r="G1121" s="1">
        <v>46224.771787731479</v>
      </c>
      <c r="H1121" t="s">
        <v>593</v>
      </c>
      <c r="I1121" s="1">
        <v>46224.771787812497</v>
      </c>
      <c r="J1121" t="s">
        <v>593</v>
      </c>
    </row>
    <row r="1122" spans="1:10" x14ac:dyDescent="0.35">
      <c r="A1122" t="s">
        <v>1044</v>
      </c>
      <c r="B1122" t="s">
        <v>591</v>
      </c>
      <c r="C1122" t="s">
        <v>592</v>
      </c>
      <c r="D1122" s="1">
        <v>46224</v>
      </c>
      <c r="E1122">
        <v>3.0903697330400201E-2</v>
      </c>
      <c r="F1122" t="s">
        <v>5240</v>
      </c>
      <c r="G1122" s="1">
        <v>46224.771787731479</v>
      </c>
      <c r="H1122" t="s">
        <v>593</v>
      </c>
      <c r="I1122" s="1">
        <v>46224.771787812497</v>
      </c>
      <c r="J1122" t="s">
        <v>593</v>
      </c>
    </row>
    <row r="1123" spans="1:10" x14ac:dyDescent="0.35">
      <c r="A1123" t="s">
        <v>1045</v>
      </c>
      <c r="B1123" t="s">
        <v>591</v>
      </c>
      <c r="C1123" t="s">
        <v>592</v>
      </c>
      <c r="D1123" s="1">
        <v>46224</v>
      </c>
      <c r="E1123">
        <v>4.3044914320310497E-2</v>
      </c>
      <c r="F1123" t="s">
        <v>5241</v>
      </c>
      <c r="G1123" s="1">
        <v>46224.771787731479</v>
      </c>
      <c r="H1123" t="s">
        <v>593</v>
      </c>
      <c r="I1123" s="1">
        <v>46224.771787812497</v>
      </c>
      <c r="J1123" t="s">
        <v>593</v>
      </c>
    </row>
    <row r="1124" spans="1:10" x14ac:dyDescent="0.35">
      <c r="A1124" t="s">
        <v>1778</v>
      </c>
      <c r="B1124" t="s">
        <v>591</v>
      </c>
      <c r="C1124" t="s">
        <v>592</v>
      </c>
      <c r="D1124" s="1">
        <v>46224</v>
      </c>
      <c r="E1124">
        <v>3.6238222529787902E-2</v>
      </c>
      <c r="F1124" t="s">
        <v>5242</v>
      </c>
      <c r="G1124" s="1">
        <v>46224.771787731479</v>
      </c>
      <c r="H1124" t="s">
        <v>593</v>
      </c>
      <c r="I1124" s="1">
        <v>46224.771787812497</v>
      </c>
      <c r="J1124" t="s">
        <v>593</v>
      </c>
    </row>
    <row r="1125" spans="1:10" x14ac:dyDescent="0.35">
      <c r="A1125" t="s">
        <v>1046</v>
      </c>
      <c r="B1125" t="s">
        <v>591</v>
      </c>
      <c r="C1125" t="s">
        <v>592</v>
      </c>
      <c r="D1125" s="1">
        <v>46224</v>
      </c>
      <c r="E1125">
        <v>3.1823868779429103E-2</v>
      </c>
      <c r="F1125" t="s">
        <v>5243</v>
      </c>
      <c r="G1125" s="1">
        <v>46224.771787731479</v>
      </c>
      <c r="H1125" t="s">
        <v>593</v>
      </c>
      <c r="I1125" s="1">
        <v>46224.771787812497</v>
      </c>
      <c r="J1125" t="s">
        <v>593</v>
      </c>
    </row>
    <row r="1126" spans="1:10" x14ac:dyDescent="0.35">
      <c r="A1126" t="s">
        <v>1047</v>
      </c>
      <c r="B1126" t="s">
        <v>591</v>
      </c>
      <c r="C1126" t="s">
        <v>592</v>
      </c>
      <c r="D1126" s="1">
        <v>46224</v>
      </c>
      <c r="E1126">
        <v>3.5982845379179097E-2</v>
      </c>
      <c r="F1126" t="s">
        <v>5244</v>
      </c>
      <c r="G1126" s="1">
        <v>46224.771787731479</v>
      </c>
      <c r="H1126" t="s">
        <v>593</v>
      </c>
      <c r="I1126" s="1">
        <v>46224.771787812497</v>
      </c>
      <c r="J1126" t="s">
        <v>593</v>
      </c>
    </row>
    <row r="1127" spans="1:10" x14ac:dyDescent="0.35">
      <c r="A1127" t="s">
        <v>1048</v>
      </c>
      <c r="B1127" t="s">
        <v>591</v>
      </c>
      <c r="C1127" t="s">
        <v>592</v>
      </c>
      <c r="D1127" s="1">
        <v>46224</v>
      </c>
      <c r="E1127">
        <v>3.3512538798634597E-2</v>
      </c>
      <c r="F1127" t="s">
        <v>5245</v>
      </c>
      <c r="G1127" s="1">
        <v>46224.771787731479</v>
      </c>
      <c r="H1127" t="s">
        <v>593</v>
      </c>
      <c r="I1127" s="1">
        <v>46224.771787812497</v>
      </c>
      <c r="J1127" t="s">
        <v>593</v>
      </c>
    </row>
    <row r="1128" spans="1:10" x14ac:dyDescent="0.35">
      <c r="A1128" t="s">
        <v>1049</v>
      </c>
      <c r="B1128" t="s">
        <v>591</v>
      </c>
      <c r="C1128" t="s">
        <v>592</v>
      </c>
      <c r="D1128" s="1">
        <v>46224</v>
      </c>
      <c r="E1128">
        <v>3.7393940801007899E-2</v>
      </c>
      <c r="F1128" t="s">
        <v>5246</v>
      </c>
      <c r="G1128" s="1">
        <v>46224.771787731479</v>
      </c>
      <c r="H1128" t="s">
        <v>593</v>
      </c>
      <c r="I1128" s="1">
        <v>46224.771787812497</v>
      </c>
      <c r="J1128" t="s">
        <v>593</v>
      </c>
    </row>
    <row r="1129" spans="1:10" x14ac:dyDescent="0.35">
      <c r="A1129" t="s">
        <v>1050</v>
      </c>
      <c r="B1129" t="s">
        <v>591</v>
      </c>
      <c r="C1129" t="s">
        <v>592</v>
      </c>
      <c r="D1129" s="1">
        <v>46224</v>
      </c>
      <c r="E1129">
        <v>2.3830301954377599E-2</v>
      </c>
      <c r="F1129" t="s">
        <v>5247</v>
      </c>
      <c r="G1129" s="1">
        <v>46224.771787731479</v>
      </c>
      <c r="H1129" t="s">
        <v>593</v>
      </c>
      <c r="I1129" s="1">
        <v>46224.771787812497</v>
      </c>
      <c r="J1129" t="s">
        <v>593</v>
      </c>
    </row>
    <row r="1130" spans="1:10" x14ac:dyDescent="0.35">
      <c r="A1130" t="s">
        <v>1051</v>
      </c>
      <c r="B1130" t="s">
        <v>591</v>
      </c>
      <c r="C1130" t="s">
        <v>592</v>
      </c>
      <c r="D1130" s="1">
        <v>46224</v>
      </c>
      <c r="E1130">
        <v>3.17695063999704E-2</v>
      </c>
      <c r="F1130" t="s">
        <v>5248</v>
      </c>
      <c r="G1130" s="1">
        <v>46224.771787731479</v>
      </c>
      <c r="H1130" t="s">
        <v>593</v>
      </c>
      <c r="I1130" s="1">
        <v>46224.771787812497</v>
      </c>
      <c r="J1130" t="s">
        <v>593</v>
      </c>
    </row>
    <row r="1131" spans="1:10" x14ac:dyDescent="0.35">
      <c r="A1131" t="s">
        <v>1052</v>
      </c>
      <c r="B1131" t="s">
        <v>591</v>
      </c>
      <c r="C1131" t="s">
        <v>592</v>
      </c>
      <c r="D1131" s="1">
        <v>46224</v>
      </c>
      <c r="E1131">
        <v>3.9788193984744397E-2</v>
      </c>
      <c r="F1131" t="s">
        <v>5249</v>
      </c>
      <c r="G1131" s="1">
        <v>46224.771787731479</v>
      </c>
      <c r="H1131" t="s">
        <v>593</v>
      </c>
      <c r="I1131" s="1">
        <v>46224.771787812497</v>
      </c>
      <c r="J1131" t="s">
        <v>593</v>
      </c>
    </row>
    <row r="1132" spans="1:10" x14ac:dyDescent="0.35">
      <c r="A1132" t="s">
        <v>1053</v>
      </c>
      <c r="B1132" t="s">
        <v>591</v>
      </c>
      <c r="C1132" t="s">
        <v>592</v>
      </c>
      <c r="D1132" s="1">
        <v>46224</v>
      </c>
      <c r="E1132">
        <v>4.1338077480674501E-2</v>
      </c>
      <c r="F1132" t="s">
        <v>5250</v>
      </c>
      <c r="G1132" s="1">
        <v>46224.771787731479</v>
      </c>
      <c r="H1132" t="s">
        <v>593</v>
      </c>
      <c r="I1132" s="1">
        <v>46224.771787812497</v>
      </c>
      <c r="J1132" t="s">
        <v>593</v>
      </c>
    </row>
    <row r="1133" spans="1:10" x14ac:dyDescent="0.35">
      <c r="A1133" t="s">
        <v>1054</v>
      </c>
      <c r="B1133" t="s">
        <v>591</v>
      </c>
      <c r="C1133" t="s">
        <v>592</v>
      </c>
      <c r="D1133" s="1">
        <v>46224</v>
      </c>
      <c r="E1133">
        <v>2.7643471566378801E-2</v>
      </c>
      <c r="F1133" t="s">
        <v>5251</v>
      </c>
      <c r="G1133" s="1">
        <v>46224.771787731479</v>
      </c>
      <c r="H1133" t="s">
        <v>593</v>
      </c>
      <c r="I1133" s="1">
        <v>46224.771787812497</v>
      </c>
      <c r="J1133" t="s">
        <v>593</v>
      </c>
    </row>
    <row r="1134" spans="1:10" x14ac:dyDescent="0.35">
      <c r="A1134" t="s">
        <v>1055</v>
      </c>
      <c r="B1134" t="s">
        <v>591</v>
      </c>
      <c r="C1134" t="s">
        <v>592</v>
      </c>
      <c r="D1134" s="1">
        <v>46224</v>
      </c>
      <c r="E1134">
        <v>4.23232548977929E-2</v>
      </c>
      <c r="F1134" t="s">
        <v>5252</v>
      </c>
      <c r="G1134" s="1">
        <v>46224.771787731479</v>
      </c>
      <c r="H1134" t="s">
        <v>593</v>
      </c>
      <c r="I1134" s="1">
        <v>46224.771787812497</v>
      </c>
      <c r="J1134" t="s">
        <v>593</v>
      </c>
    </row>
    <row r="1135" spans="1:10" x14ac:dyDescent="0.35">
      <c r="A1135" t="s">
        <v>1056</v>
      </c>
      <c r="B1135" t="s">
        <v>591</v>
      </c>
      <c r="C1135" t="s">
        <v>592</v>
      </c>
      <c r="D1135" s="1">
        <v>46224</v>
      </c>
      <c r="E1135">
        <v>3.9846058420664202E-2</v>
      </c>
      <c r="F1135" t="s">
        <v>5253</v>
      </c>
      <c r="G1135" s="1">
        <v>46224.771787731479</v>
      </c>
      <c r="H1135" t="s">
        <v>593</v>
      </c>
      <c r="I1135" s="1">
        <v>46224.771787812497</v>
      </c>
      <c r="J1135" t="s">
        <v>593</v>
      </c>
    </row>
    <row r="1136" spans="1:10" x14ac:dyDescent="0.35">
      <c r="A1136" t="s">
        <v>1057</v>
      </c>
      <c r="B1136" t="s">
        <v>591</v>
      </c>
      <c r="C1136" t="s">
        <v>592</v>
      </c>
      <c r="D1136" s="1">
        <v>46224</v>
      </c>
      <c r="E1136">
        <v>3.2268049900038002E-2</v>
      </c>
      <c r="F1136" t="s">
        <v>5254</v>
      </c>
      <c r="G1136" s="1">
        <v>46224.771787731479</v>
      </c>
      <c r="H1136" t="s">
        <v>593</v>
      </c>
      <c r="I1136" s="1">
        <v>46224.771787812497</v>
      </c>
      <c r="J1136" t="s">
        <v>593</v>
      </c>
    </row>
    <row r="1137" spans="1:10" x14ac:dyDescent="0.35">
      <c r="A1137" t="s">
        <v>1058</v>
      </c>
      <c r="B1137" t="s">
        <v>591</v>
      </c>
      <c r="C1137" t="s">
        <v>592</v>
      </c>
      <c r="D1137" s="1">
        <v>46224</v>
      </c>
      <c r="E1137">
        <v>4.23621355785005E-2</v>
      </c>
      <c r="F1137" t="s">
        <v>5255</v>
      </c>
      <c r="G1137" s="1">
        <v>46224.771787731479</v>
      </c>
      <c r="H1137" t="s">
        <v>593</v>
      </c>
      <c r="I1137" s="1">
        <v>46224.771787812497</v>
      </c>
      <c r="J1137" t="s">
        <v>593</v>
      </c>
    </row>
    <row r="1138" spans="1:10" x14ac:dyDescent="0.35">
      <c r="A1138" t="s">
        <v>1059</v>
      </c>
      <c r="B1138" t="s">
        <v>591</v>
      </c>
      <c r="C1138" t="s">
        <v>592</v>
      </c>
      <c r="D1138" s="1">
        <v>46224</v>
      </c>
      <c r="E1138">
        <v>4.0324434589897103E-2</v>
      </c>
      <c r="F1138" t="s">
        <v>5256</v>
      </c>
      <c r="G1138" s="1">
        <v>46224.771787731479</v>
      </c>
      <c r="H1138" t="s">
        <v>593</v>
      </c>
      <c r="I1138" s="1">
        <v>46224.771787812497</v>
      </c>
      <c r="J1138" t="s">
        <v>593</v>
      </c>
    </row>
    <row r="1139" spans="1:10" x14ac:dyDescent="0.35">
      <c r="A1139" t="s">
        <v>1060</v>
      </c>
      <c r="B1139" t="s">
        <v>591</v>
      </c>
      <c r="C1139" t="s">
        <v>592</v>
      </c>
      <c r="D1139" s="1">
        <v>46224</v>
      </c>
      <c r="E1139">
        <v>2.9305361044034701E-2</v>
      </c>
      <c r="F1139" t="s">
        <v>5257</v>
      </c>
      <c r="G1139" s="1">
        <v>46224.771787731479</v>
      </c>
      <c r="H1139" t="s">
        <v>593</v>
      </c>
      <c r="I1139" s="1">
        <v>46224.771787812497</v>
      </c>
      <c r="J1139" t="s">
        <v>593</v>
      </c>
    </row>
    <row r="1140" spans="1:10" x14ac:dyDescent="0.35">
      <c r="A1140" t="s">
        <v>1061</v>
      </c>
      <c r="B1140" t="s">
        <v>591</v>
      </c>
      <c r="C1140" t="s">
        <v>592</v>
      </c>
      <c r="D1140" s="1">
        <v>46224</v>
      </c>
      <c r="E1140">
        <v>3.3791708063397798E-2</v>
      </c>
      <c r="F1140" t="s">
        <v>5258</v>
      </c>
      <c r="G1140" s="1">
        <v>46224.771787731479</v>
      </c>
      <c r="H1140" t="s">
        <v>593</v>
      </c>
      <c r="I1140" s="1">
        <v>46224.771787812497</v>
      </c>
      <c r="J1140" t="s">
        <v>593</v>
      </c>
    </row>
    <row r="1141" spans="1:10" x14ac:dyDescent="0.35">
      <c r="A1141" t="s">
        <v>1062</v>
      </c>
      <c r="B1141" t="s">
        <v>591</v>
      </c>
      <c r="C1141" t="s">
        <v>592</v>
      </c>
      <c r="D1141" s="1">
        <v>46224</v>
      </c>
      <c r="E1141">
        <v>4.1840550722136903E-2</v>
      </c>
      <c r="F1141" t="s">
        <v>5259</v>
      </c>
      <c r="G1141" s="1">
        <v>46224.771787731479</v>
      </c>
      <c r="H1141" t="s">
        <v>593</v>
      </c>
      <c r="I1141" s="1">
        <v>46224.771787812497</v>
      </c>
      <c r="J1141" t="s">
        <v>593</v>
      </c>
    </row>
    <row r="1142" spans="1:10" x14ac:dyDescent="0.35">
      <c r="A1142" t="s">
        <v>1063</v>
      </c>
      <c r="B1142" t="s">
        <v>591</v>
      </c>
      <c r="C1142" t="s">
        <v>592</v>
      </c>
      <c r="D1142" s="1">
        <v>46224</v>
      </c>
      <c r="E1142">
        <v>2.8156383869764101E-2</v>
      </c>
      <c r="F1142" t="s">
        <v>5260</v>
      </c>
      <c r="G1142" s="1">
        <v>46224.771787731479</v>
      </c>
      <c r="H1142" t="s">
        <v>593</v>
      </c>
      <c r="I1142" s="1">
        <v>46224.771787812497</v>
      </c>
      <c r="J1142" t="s">
        <v>593</v>
      </c>
    </row>
    <row r="1143" spans="1:10" x14ac:dyDescent="0.35">
      <c r="A1143" t="s">
        <v>1064</v>
      </c>
      <c r="B1143" t="s">
        <v>591</v>
      </c>
      <c r="C1143" t="s">
        <v>592</v>
      </c>
      <c r="D1143" s="1">
        <v>46224</v>
      </c>
      <c r="E1143">
        <v>4.24018743037596E-2</v>
      </c>
      <c r="F1143" t="s">
        <v>5261</v>
      </c>
      <c r="G1143" s="1">
        <v>46224.771787731479</v>
      </c>
      <c r="H1143" t="s">
        <v>593</v>
      </c>
      <c r="I1143" s="1">
        <v>46224.771787812497</v>
      </c>
      <c r="J1143" t="s">
        <v>593</v>
      </c>
    </row>
    <row r="1144" spans="1:10" x14ac:dyDescent="0.35">
      <c r="A1144" t="s">
        <v>1065</v>
      </c>
      <c r="B1144" t="s">
        <v>591</v>
      </c>
      <c r="C1144" t="s">
        <v>592</v>
      </c>
      <c r="D1144" s="1">
        <v>46224</v>
      </c>
      <c r="E1144">
        <v>2.9898572495460699E-2</v>
      </c>
      <c r="F1144" t="s">
        <v>5262</v>
      </c>
      <c r="G1144" s="1">
        <v>46224.771787731479</v>
      </c>
      <c r="H1144" t="s">
        <v>593</v>
      </c>
      <c r="I1144" s="1">
        <v>46224.771787812497</v>
      </c>
      <c r="J1144" t="s">
        <v>593</v>
      </c>
    </row>
    <row r="1145" spans="1:10" x14ac:dyDescent="0.35">
      <c r="A1145" t="s">
        <v>1066</v>
      </c>
      <c r="B1145" t="s">
        <v>591</v>
      </c>
      <c r="C1145" t="s">
        <v>592</v>
      </c>
      <c r="D1145" s="1">
        <v>46224</v>
      </c>
      <c r="E1145">
        <v>3.0951254410679401E-2</v>
      </c>
      <c r="F1145" t="s">
        <v>5263</v>
      </c>
      <c r="G1145" s="1">
        <v>46224.771787731479</v>
      </c>
      <c r="H1145" t="s">
        <v>593</v>
      </c>
      <c r="I1145" s="1">
        <v>46224.771787812497</v>
      </c>
      <c r="J1145" t="s">
        <v>593</v>
      </c>
    </row>
    <row r="1146" spans="1:10" x14ac:dyDescent="0.35">
      <c r="A1146" t="s">
        <v>1067</v>
      </c>
      <c r="B1146" t="s">
        <v>591</v>
      </c>
      <c r="C1146" t="s">
        <v>592</v>
      </c>
      <c r="D1146" s="1">
        <v>46224</v>
      </c>
      <c r="E1146">
        <v>3.9327600245129601E-2</v>
      </c>
      <c r="F1146" t="s">
        <v>5264</v>
      </c>
      <c r="G1146" s="1">
        <v>46224.771787731479</v>
      </c>
      <c r="H1146" t="s">
        <v>593</v>
      </c>
      <c r="I1146" s="1">
        <v>46224.771787812497</v>
      </c>
      <c r="J1146" t="s">
        <v>593</v>
      </c>
    </row>
    <row r="1147" spans="1:10" x14ac:dyDescent="0.35">
      <c r="A1147" t="s">
        <v>1068</v>
      </c>
      <c r="B1147" t="s">
        <v>591</v>
      </c>
      <c r="C1147" t="s">
        <v>592</v>
      </c>
      <c r="D1147" s="1">
        <v>46224</v>
      </c>
      <c r="E1147">
        <v>4.1333845437841001E-2</v>
      </c>
      <c r="F1147" t="s">
        <v>5265</v>
      </c>
      <c r="G1147" s="1">
        <v>46224.771787731479</v>
      </c>
      <c r="H1147" t="s">
        <v>593</v>
      </c>
      <c r="I1147" s="1">
        <v>46224.771787812497</v>
      </c>
      <c r="J1147" t="s">
        <v>593</v>
      </c>
    </row>
    <row r="1148" spans="1:10" x14ac:dyDescent="0.35">
      <c r="A1148" t="s">
        <v>1069</v>
      </c>
      <c r="B1148" t="s">
        <v>591</v>
      </c>
      <c r="C1148" t="s">
        <v>592</v>
      </c>
      <c r="D1148" s="1">
        <v>46224</v>
      </c>
      <c r="E1148">
        <v>2.9164164387329099E-2</v>
      </c>
      <c r="F1148" t="s">
        <v>5266</v>
      </c>
      <c r="G1148" s="1">
        <v>46224.771787731479</v>
      </c>
      <c r="H1148" t="s">
        <v>593</v>
      </c>
      <c r="I1148" s="1">
        <v>46224.771787812497</v>
      </c>
      <c r="J1148" t="s">
        <v>593</v>
      </c>
    </row>
    <row r="1149" spans="1:10" x14ac:dyDescent="0.35">
      <c r="A1149" t="s">
        <v>1070</v>
      </c>
      <c r="B1149" t="s">
        <v>591</v>
      </c>
      <c r="C1149" t="s">
        <v>592</v>
      </c>
      <c r="D1149" s="1">
        <v>46224</v>
      </c>
      <c r="E1149">
        <v>2.9866126885653699E-2</v>
      </c>
      <c r="F1149" t="s">
        <v>5267</v>
      </c>
      <c r="G1149" s="1">
        <v>46224.771787731479</v>
      </c>
      <c r="H1149" t="s">
        <v>593</v>
      </c>
      <c r="I1149" s="1">
        <v>46224.771787812497</v>
      </c>
      <c r="J1149" t="s">
        <v>593</v>
      </c>
    </row>
    <row r="1150" spans="1:10" x14ac:dyDescent="0.35">
      <c r="A1150" t="s">
        <v>1071</v>
      </c>
      <c r="B1150" t="s">
        <v>591</v>
      </c>
      <c r="C1150" t="s">
        <v>592</v>
      </c>
      <c r="D1150" s="1">
        <v>46224</v>
      </c>
      <c r="E1150">
        <v>3.1436809379581501E-2</v>
      </c>
      <c r="F1150" t="s">
        <v>5268</v>
      </c>
      <c r="G1150" s="1">
        <v>46224.771787731479</v>
      </c>
      <c r="H1150" t="s">
        <v>593</v>
      </c>
      <c r="I1150" s="1">
        <v>46224.771787812497</v>
      </c>
      <c r="J1150" t="s">
        <v>593</v>
      </c>
    </row>
    <row r="1151" spans="1:10" x14ac:dyDescent="0.35">
      <c r="A1151" t="s">
        <v>1072</v>
      </c>
      <c r="B1151" t="s">
        <v>591</v>
      </c>
      <c r="C1151" t="s">
        <v>592</v>
      </c>
      <c r="D1151" s="1">
        <v>46224</v>
      </c>
      <c r="E1151">
        <v>3.0613683383624201E-2</v>
      </c>
      <c r="F1151" t="s">
        <v>5269</v>
      </c>
      <c r="G1151" s="1">
        <v>46224.771787731479</v>
      </c>
      <c r="H1151" t="s">
        <v>593</v>
      </c>
      <c r="I1151" s="1">
        <v>46224.771787812497</v>
      </c>
      <c r="J1151" t="s">
        <v>593</v>
      </c>
    </row>
    <row r="1152" spans="1:10" x14ac:dyDescent="0.35">
      <c r="A1152" t="s">
        <v>1073</v>
      </c>
      <c r="B1152" t="s">
        <v>591</v>
      </c>
      <c r="C1152" t="s">
        <v>592</v>
      </c>
      <c r="D1152" s="1">
        <v>46224</v>
      </c>
      <c r="E1152">
        <v>3.81967094648114E-2</v>
      </c>
      <c r="F1152" t="s">
        <v>5270</v>
      </c>
      <c r="G1152" s="1">
        <v>46224.771787731479</v>
      </c>
      <c r="H1152" t="s">
        <v>593</v>
      </c>
      <c r="I1152" s="1">
        <v>46224.771787812497</v>
      </c>
      <c r="J1152" t="s">
        <v>593</v>
      </c>
    </row>
    <row r="1153" spans="1:10" x14ac:dyDescent="0.35">
      <c r="A1153" t="s">
        <v>1074</v>
      </c>
      <c r="B1153" t="s">
        <v>591</v>
      </c>
      <c r="C1153" t="s">
        <v>592</v>
      </c>
      <c r="D1153" s="1">
        <v>46224</v>
      </c>
      <c r="E1153">
        <v>3.4768451577305799E-2</v>
      </c>
      <c r="F1153" t="s">
        <v>5271</v>
      </c>
      <c r="G1153" s="1">
        <v>46224.771787731479</v>
      </c>
      <c r="H1153" t="s">
        <v>593</v>
      </c>
      <c r="I1153" s="1">
        <v>46224.771787812497</v>
      </c>
      <c r="J1153" t="s">
        <v>593</v>
      </c>
    </row>
    <row r="1154" spans="1:10" x14ac:dyDescent="0.35">
      <c r="A1154" t="s">
        <v>1075</v>
      </c>
      <c r="B1154" t="s">
        <v>591</v>
      </c>
      <c r="C1154" t="s">
        <v>592</v>
      </c>
      <c r="D1154" s="1">
        <v>46224</v>
      </c>
      <c r="E1154">
        <v>4.0783268721286799E-2</v>
      </c>
      <c r="F1154" t="s">
        <v>5272</v>
      </c>
      <c r="G1154" s="1">
        <v>46224.771787731479</v>
      </c>
      <c r="H1154" t="s">
        <v>593</v>
      </c>
      <c r="I1154" s="1">
        <v>46224.771787812497</v>
      </c>
      <c r="J1154" t="s">
        <v>593</v>
      </c>
    </row>
    <row r="1155" spans="1:10" x14ac:dyDescent="0.35">
      <c r="A1155" t="s">
        <v>1076</v>
      </c>
      <c r="B1155" t="s">
        <v>600</v>
      </c>
      <c r="C1155" t="s">
        <v>592</v>
      </c>
      <c r="D1155" s="1">
        <v>46224</v>
      </c>
      <c r="E1155">
        <v>1.1414</v>
      </c>
      <c r="F1155" t="s">
        <v>5713</v>
      </c>
      <c r="G1155" s="1">
        <v>46224.77582033565</v>
      </c>
      <c r="H1155" t="s">
        <v>593</v>
      </c>
      <c r="I1155" s="1">
        <v>46224.775820405092</v>
      </c>
      <c r="J1155" t="s">
        <v>593</v>
      </c>
    </row>
    <row r="1156" spans="1:10" x14ac:dyDescent="0.35">
      <c r="A1156" t="s">
        <v>1077</v>
      </c>
      <c r="B1156" t="s">
        <v>600</v>
      </c>
      <c r="C1156" t="s">
        <v>592</v>
      </c>
      <c r="D1156" s="1">
        <v>46224</v>
      </c>
      <c r="E1156">
        <v>95.984999999999999</v>
      </c>
      <c r="F1156" t="s">
        <v>4314</v>
      </c>
      <c r="G1156" s="1">
        <v>46224.771787731479</v>
      </c>
      <c r="H1156" t="s">
        <v>593</v>
      </c>
      <c r="I1156" s="1">
        <v>46224.771787812497</v>
      </c>
      <c r="J1156" t="s">
        <v>593</v>
      </c>
    </row>
    <row r="1157" spans="1:10" x14ac:dyDescent="0.35">
      <c r="A1157" t="s">
        <v>1078</v>
      </c>
      <c r="B1157" t="s">
        <v>600</v>
      </c>
      <c r="C1157" t="s">
        <v>592</v>
      </c>
      <c r="D1157" s="1">
        <v>46224</v>
      </c>
      <c r="E1157">
        <v>95.944999999999993</v>
      </c>
      <c r="F1157" t="s">
        <v>4314</v>
      </c>
      <c r="G1157" s="1">
        <v>46224.771787731479</v>
      </c>
      <c r="H1157" t="s">
        <v>593</v>
      </c>
      <c r="I1157" s="1">
        <v>46224.771787812497</v>
      </c>
      <c r="J1157" t="s">
        <v>593</v>
      </c>
    </row>
    <row r="1158" spans="1:10" x14ac:dyDescent="0.35">
      <c r="A1158" t="s">
        <v>1079</v>
      </c>
      <c r="B1158" t="s">
        <v>600</v>
      </c>
      <c r="C1158" t="s">
        <v>592</v>
      </c>
      <c r="D1158" s="1">
        <v>46224</v>
      </c>
      <c r="E1158">
        <v>95.915000000000006</v>
      </c>
      <c r="F1158" t="s">
        <v>4314</v>
      </c>
      <c r="G1158" s="1">
        <v>46224.771787731479</v>
      </c>
      <c r="H1158" t="s">
        <v>593</v>
      </c>
      <c r="I1158" s="1">
        <v>46224.771787812497</v>
      </c>
      <c r="J1158" t="s">
        <v>593</v>
      </c>
    </row>
    <row r="1159" spans="1:10" x14ac:dyDescent="0.35">
      <c r="A1159" t="s">
        <v>1080</v>
      </c>
      <c r="B1159" t="s">
        <v>600</v>
      </c>
      <c r="C1159" t="s">
        <v>592</v>
      </c>
      <c r="D1159" s="1">
        <v>46224</v>
      </c>
      <c r="E1159">
        <v>95.885000000000005</v>
      </c>
      <c r="F1159" t="s">
        <v>4314</v>
      </c>
      <c r="G1159" s="1">
        <v>46224.771787731479</v>
      </c>
      <c r="H1159" t="s">
        <v>593</v>
      </c>
      <c r="I1159" s="1">
        <v>46224.771787812497</v>
      </c>
      <c r="J1159" t="s">
        <v>593</v>
      </c>
    </row>
    <row r="1160" spans="1:10" x14ac:dyDescent="0.35">
      <c r="A1160" t="s">
        <v>1081</v>
      </c>
      <c r="B1160" t="s">
        <v>600</v>
      </c>
      <c r="C1160" t="s">
        <v>592</v>
      </c>
      <c r="D1160" s="1">
        <v>46224</v>
      </c>
      <c r="E1160">
        <v>95.864999999999995</v>
      </c>
      <c r="F1160" t="s">
        <v>4314</v>
      </c>
      <c r="G1160" s="1">
        <v>46224.771787731479</v>
      </c>
      <c r="H1160" t="s">
        <v>593</v>
      </c>
      <c r="I1160" s="1">
        <v>46224.771787812497</v>
      </c>
      <c r="J1160" t="s">
        <v>593</v>
      </c>
    </row>
    <row r="1161" spans="1:10" x14ac:dyDescent="0.35">
      <c r="A1161" t="s">
        <v>1082</v>
      </c>
      <c r="B1161" t="s">
        <v>600</v>
      </c>
      <c r="C1161" t="s">
        <v>592</v>
      </c>
      <c r="D1161" s="1">
        <v>46224</v>
      </c>
      <c r="E1161">
        <v>95.87</v>
      </c>
      <c r="F1161" t="s">
        <v>4314</v>
      </c>
      <c r="G1161" s="1">
        <v>46224.771787731479</v>
      </c>
      <c r="H1161" t="s">
        <v>593</v>
      </c>
      <c r="I1161" s="1">
        <v>46224.771787812497</v>
      </c>
      <c r="J1161" t="s">
        <v>593</v>
      </c>
    </row>
    <row r="1162" spans="1:10" x14ac:dyDescent="0.35">
      <c r="A1162" t="s">
        <v>1083</v>
      </c>
      <c r="B1162" t="s">
        <v>600</v>
      </c>
      <c r="C1162" t="s">
        <v>592</v>
      </c>
      <c r="D1162" s="1">
        <v>46224</v>
      </c>
      <c r="E1162">
        <v>96.37</v>
      </c>
      <c r="F1162" t="s">
        <v>4314</v>
      </c>
      <c r="G1162" s="1">
        <v>46224.771787731479</v>
      </c>
      <c r="H1162" t="s">
        <v>593</v>
      </c>
      <c r="I1162" s="1">
        <v>46224.771787812497</v>
      </c>
      <c r="J1162" t="s">
        <v>593</v>
      </c>
    </row>
    <row r="1163" spans="1:10" x14ac:dyDescent="0.35">
      <c r="A1163" t="s">
        <v>1084</v>
      </c>
      <c r="B1163" t="s">
        <v>600</v>
      </c>
      <c r="C1163" t="s">
        <v>592</v>
      </c>
      <c r="D1163" s="1">
        <v>46224</v>
      </c>
      <c r="E1163">
        <v>95.875</v>
      </c>
      <c r="F1163" t="s">
        <v>4314</v>
      </c>
      <c r="G1163" s="1">
        <v>46224.771787731479</v>
      </c>
      <c r="H1163" t="s">
        <v>593</v>
      </c>
      <c r="I1163" s="1">
        <v>46224.771787812497</v>
      </c>
      <c r="J1163" t="s">
        <v>593</v>
      </c>
    </row>
    <row r="1164" spans="1:10" x14ac:dyDescent="0.35">
      <c r="A1164" t="s">
        <v>1085</v>
      </c>
      <c r="B1164" t="s">
        <v>600</v>
      </c>
      <c r="C1164" t="s">
        <v>592</v>
      </c>
      <c r="D1164" s="1">
        <v>46224</v>
      </c>
      <c r="E1164">
        <v>96.31</v>
      </c>
      <c r="F1164" t="s">
        <v>4314</v>
      </c>
      <c r="G1164" s="1">
        <v>46224.771787731479</v>
      </c>
      <c r="H1164" t="s">
        <v>593</v>
      </c>
      <c r="I1164" s="1">
        <v>46224.771787812497</v>
      </c>
      <c r="J1164" t="s">
        <v>593</v>
      </c>
    </row>
    <row r="1165" spans="1:10" x14ac:dyDescent="0.35">
      <c r="A1165" t="s">
        <v>1086</v>
      </c>
      <c r="B1165" t="s">
        <v>600</v>
      </c>
      <c r="C1165" t="s">
        <v>592</v>
      </c>
      <c r="D1165" s="1">
        <v>46224</v>
      </c>
      <c r="E1165">
        <v>95.89</v>
      </c>
      <c r="F1165" t="s">
        <v>4314</v>
      </c>
      <c r="G1165" s="1">
        <v>46224.771787731479</v>
      </c>
      <c r="H1165" t="s">
        <v>593</v>
      </c>
      <c r="I1165" s="1">
        <v>46224.771787812497</v>
      </c>
      <c r="J1165" t="s">
        <v>593</v>
      </c>
    </row>
    <row r="1166" spans="1:10" x14ac:dyDescent="0.35">
      <c r="A1166" t="s">
        <v>1087</v>
      </c>
      <c r="B1166" t="s">
        <v>600</v>
      </c>
      <c r="C1166" t="s">
        <v>592</v>
      </c>
      <c r="D1166" s="1">
        <v>46224</v>
      </c>
      <c r="E1166">
        <v>96.24</v>
      </c>
      <c r="F1166" t="s">
        <v>4314</v>
      </c>
      <c r="G1166" s="1">
        <v>46224.771787731479</v>
      </c>
      <c r="H1166" t="s">
        <v>593</v>
      </c>
      <c r="I1166" s="1">
        <v>46224.771787812497</v>
      </c>
      <c r="J1166" t="s">
        <v>593</v>
      </c>
    </row>
    <row r="1167" spans="1:10" x14ac:dyDescent="0.35">
      <c r="A1167" t="s">
        <v>1761</v>
      </c>
      <c r="B1167" t="s">
        <v>600</v>
      </c>
      <c r="C1167" t="s">
        <v>592</v>
      </c>
      <c r="D1167" s="1">
        <v>46224</v>
      </c>
      <c r="E1167">
        <v>95.905000000000001</v>
      </c>
      <c r="F1167" t="s">
        <v>4314</v>
      </c>
      <c r="G1167" s="1">
        <v>46224.771787731479</v>
      </c>
      <c r="H1167" t="s">
        <v>593</v>
      </c>
      <c r="I1167" s="1">
        <v>46224.771787812497</v>
      </c>
      <c r="J1167" t="s">
        <v>593</v>
      </c>
    </row>
    <row r="1168" spans="1:10" x14ac:dyDescent="0.35">
      <c r="A1168" t="s">
        <v>1088</v>
      </c>
      <c r="B1168" t="s">
        <v>600</v>
      </c>
      <c r="C1168" t="s">
        <v>592</v>
      </c>
      <c r="D1168" s="1">
        <v>46224</v>
      </c>
      <c r="E1168">
        <v>96.155000000000001</v>
      </c>
      <c r="F1168" t="s">
        <v>4314</v>
      </c>
      <c r="G1168" s="1">
        <v>46224.771787731479</v>
      </c>
      <c r="H1168" t="s">
        <v>593</v>
      </c>
      <c r="I1168" s="1">
        <v>46224.771787812497</v>
      </c>
      <c r="J1168" t="s">
        <v>593</v>
      </c>
    </row>
    <row r="1169" spans="1:10" x14ac:dyDescent="0.35">
      <c r="A1169" t="s">
        <v>1971</v>
      </c>
      <c r="B1169" t="s">
        <v>600</v>
      </c>
      <c r="C1169" t="s">
        <v>592</v>
      </c>
      <c r="D1169" s="1">
        <v>46224</v>
      </c>
      <c r="E1169">
        <v>95.92</v>
      </c>
      <c r="F1169" t="s">
        <v>4314</v>
      </c>
      <c r="G1169" s="1">
        <v>46224.771787731479</v>
      </c>
      <c r="H1169" t="s">
        <v>593</v>
      </c>
      <c r="I1169" s="1">
        <v>46224.771787812497</v>
      </c>
      <c r="J1169" t="s">
        <v>593</v>
      </c>
    </row>
    <row r="1170" spans="1:10" x14ac:dyDescent="0.35">
      <c r="A1170" t="s">
        <v>1089</v>
      </c>
      <c r="B1170" t="s">
        <v>600</v>
      </c>
      <c r="C1170" t="s">
        <v>592</v>
      </c>
      <c r="D1170" s="1">
        <v>46224</v>
      </c>
      <c r="E1170">
        <v>96.09</v>
      </c>
      <c r="F1170" t="s">
        <v>4314</v>
      </c>
      <c r="G1170" s="1">
        <v>46224.771787731479</v>
      </c>
      <c r="H1170" t="s">
        <v>593</v>
      </c>
      <c r="I1170" s="1">
        <v>46224.771787812497</v>
      </c>
      <c r="J1170" t="s">
        <v>593</v>
      </c>
    </row>
    <row r="1171" spans="1:10" x14ac:dyDescent="0.35">
      <c r="A1171" t="s">
        <v>1090</v>
      </c>
      <c r="B1171" t="s">
        <v>600</v>
      </c>
      <c r="C1171" t="s">
        <v>592</v>
      </c>
      <c r="D1171" s="1">
        <v>46224</v>
      </c>
      <c r="E1171">
        <v>96.015000000000001</v>
      </c>
      <c r="F1171" t="s">
        <v>4314</v>
      </c>
      <c r="G1171" s="1">
        <v>46224.771787731479</v>
      </c>
      <c r="H1171" t="s">
        <v>593</v>
      </c>
      <c r="I1171" s="1">
        <v>46224.771787812497</v>
      </c>
      <c r="J1171" t="s">
        <v>593</v>
      </c>
    </row>
    <row r="1172" spans="1:10" x14ac:dyDescent="0.35">
      <c r="A1172" t="s">
        <v>1091</v>
      </c>
      <c r="B1172" t="s">
        <v>591</v>
      </c>
      <c r="C1172" t="s">
        <v>592</v>
      </c>
      <c r="D1172" s="1">
        <v>46224</v>
      </c>
      <c r="E1172">
        <v>2.8276889679315201E-2</v>
      </c>
      <c r="F1172" t="s">
        <v>5273</v>
      </c>
      <c r="G1172" s="1">
        <v>46224.771787731479</v>
      </c>
      <c r="H1172" t="s">
        <v>593</v>
      </c>
      <c r="I1172" s="1">
        <v>46224.771787812497</v>
      </c>
      <c r="J1172" t="s">
        <v>593</v>
      </c>
    </row>
    <row r="1173" spans="1:10" x14ac:dyDescent="0.35">
      <c r="A1173" t="s">
        <v>1092</v>
      </c>
      <c r="B1173" t="s">
        <v>591</v>
      </c>
      <c r="C1173" t="s">
        <v>592</v>
      </c>
      <c r="D1173" s="1">
        <v>46224</v>
      </c>
      <c r="E1173">
        <v>3.4727921121059498E-2</v>
      </c>
      <c r="F1173" t="s">
        <v>5274</v>
      </c>
      <c r="G1173" s="1">
        <v>46224.771787731479</v>
      </c>
      <c r="H1173" t="s">
        <v>593</v>
      </c>
      <c r="I1173" s="1">
        <v>46224.771787812497</v>
      </c>
      <c r="J1173" t="s">
        <v>593</v>
      </c>
    </row>
    <row r="1174" spans="1:10" x14ac:dyDescent="0.35">
      <c r="A1174" t="s">
        <v>1093</v>
      </c>
      <c r="B1174" t="s">
        <v>591</v>
      </c>
      <c r="C1174" t="s">
        <v>592</v>
      </c>
      <c r="D1174" s="1">
        <v>46224</v>
      </c>
      <c r="E1174">
        <v>3.5921003927500098E-2</v>
      </c>
      <c r="F1174" t="s">
        <v>5275</v>
      </c>
      <c r="G1174" s="1">
        <v>46224.771787731479</v>
      </c>
      <c r="H1174" t="s">
        <v>593</v>
      </c>
      <c r="I1174" s="1">
        <v>46224.771787812497</v>
      </c>
      <c r="J1174" t="s">
        <v>593</v>
      </c>
    </row>
    <row r="1175" spans="1:10" x14ac:dyDescent="0.35">
      <c r="A1175" t="s">
        <v>1094</v>
      </c>
      <c r="B1175" t="s">
        <v>591</v>
      </c>
      <c r="C1175" t="s">
        <v>592</v>
      </c>
      <c r="D1175" s="1">
        <v>46224</v>
      </c>
      <c r="E1175">
        <v>1.37734768170796E-2</v>
      </c>
      <c r="F1175" t="s">
        <v>5276</v>
      </c>
      <c r="G1175" s="1">
        <v>46224.771787731479</v>
      </c>
      <c r="H1175" t="s">
        <v>593</v>
      </c>
      <c r="I1175" s="1">
        <v>46224.771787812497</v>
      </c>
      <c r="J1175" t="s">
        <v>593</v>
      </c>
    </row>
    <row r="1176" spans="1:10" x14ac:dyDescent="0.35">
      <c r="A1176" t="s">
        <v>1095</v>
      </c>
      <c r="B1176" t="s">
        <v>591</v>
      </c>
      <c r="C1176" t="s">
        <v>592</v>
      </c>
      <c r="D1176" s="1">
        <v>46224</v>
      </c>
      <c r="E1176">
        <v>3.4422574168381397E-2</v>
      </c>
      <c r="F1176" t="s">
        <v>5277</v>
      </c>
      <c r="G1176" s="1">
        <v>46224.771787731479</v>
      </c>
      <c r="H1176" t="s">
        <v>593</v>
      </c>
      <c r="I1176" s="1">
        <v>46224.771787812497</v>
      </c>
      <c r="J1176" t="s">
        <v>593</v>
      </c>
    </row>
    <row r="1177" spans="1:10" x14ac:dyDescent="0.35">
      <c r="A1177" t="s">
        <v>1096</v>
      </c>
      <c r="B1177" t="s">
        <v>591</v>
      </c>
      <c r="C1177" t="s">
        <v>592</v>
      </c>
      <c r="D1177" s="1">
        <v>46224</v>
      </c>
      <c r="E1177">
        <v>1.18523262753401E-2</v>
      </c>
      <c r="F1177" t="s">
        <v>5278</v>
      </c>
      <c r="G1177" s="1">
        <v>46224.771787731479</v>
      </c>
      <c r="H1177" t="s">
        <v>593</v>
      </c>
      <c r="I1177" s="1">
        <v>46224.771787812497</v>
      </c>
      <c r="J1177" t="s">
        <v>593</v>
      </c>
    </row>
    <row r="1178" spans="1:10" x14ac:dyDescent="0.35">
      <c r="A1178" t="s">
        <v>1097</v>
      </c>
      <c r="B1178" t="s">
        <v>591</v>
      </c>
      <c r="C1178" t="s">
        <v>592</v>
      </c>
      <c r="D1178" s="1">
        <v>46224</v>
      </c>
      <c r="E1178">
        <v>3.0133466643225301E-2</v>
      </c>
      <c r="F1178" t="s">
        <v>5279</v>
      </c>
      <c r="G1178" s="1">
        <v>46224.771787731479</v>
      </c>
      <c r="H1178" t="s">
        <v>593</v>
      </c>
      <c r="I1178" s="1">
        <v>46224.771787812497</v>
      </c>
      <c r="J1178" t="s">
        <v>593</v>
      </c>
    </row>
    <row r="1179" spans="1:10" x14ac:dyDescent="0.35">
      <c r="A1179" t="s">
        <v>1098</v>
      </c>
      <c r="B1179" t="s">
        <v>591</v>
      </c>
      <c r="C1179" t="s">
        <v>592</v>
      </c>
      <c r="D1179" s="1">
        <v>46224</v>
      </c>
      <c r="E1179">
        <v>3.7657710115604703E-2</v>
      </c>
      <c r="F1179" t="s">
        <v>5280</v>
      </c>
      <c r="G1179" s="1">
        <v>46224.771787731479</v>
      </c>
      <c r="H1179" t="s">
        <v>593</v>
      </c>
      <c r="I1179" s="1">
        <v>46224.771787812497</v>
      </c>
      <c r="J1179" t="s">
        <v>593</v>
      </c>
    </row>
    <row r="1180" spans="1:10" x14ac:dyDescent="0.35">
      <c r="A1180" t="s">
        <v>1099</v>
      </c>
      <c r="B1180" t="s">
        <v>591</v>
      </c>
      <c r="C1180" t="s">
        <v>592</v>
      </c>
      <c r="D1180" s="1">
        <v>46224</v>
      </c>
      <c r="E1180">
        <v>4.6752390100502299E-2</v>
      </c>
      <c r="F1180" t="s">
        <v>5281</v>
      </c>
      <c r="G1180" s="1">
        <v>46224.771787731479</v>
      </c>
      <c r="H1180" t="s">
        <v>593</v>
      </c>
      <c r="I1180" s="1">
        <v>46224.771787812497</v>
      </c>
      <c r="J1180" t="s">
        <v>593</v>
      </c>
    </row>
    <row r="1181" spans="1:10" x14ac:dyDescent="0.35">
      <c r="A1181" t="s">
        <v>1100</v>
      </c>
      <c r="B1181" t="s">
        <v>591</v>
      </c>
      <c r="C1181" t="s">
        <v>592</v>
      </c>
      <c r="D1181" s="1">
        <v>46224</v>
      </c>
      <c r="E1181">
        <v>4.09666108303188E-2</v>
      </c>
      <c r="F1181" t="s">
        <v>5282</v>
      </c>
      <c r="G1181" s="1">
        <v>46224.771787731479</v>
      </c>
      <c r="H1181" t="s">
        <v>593</v>
      </c>
      <c r="I1181" s="1">
        <v>46224.771787812497</v>
      </c>
      <c r="J1181" t="s">
        <v>593</v>
      </c>
    </row>
    <row r="1182" spans="1:10" x14ac:dyDescent="0.35">
      <c r="A1182" t="s">
        <v>1101</v>
      </c>
      <c r="B1182" t="s">
        <v>591</v>
      </c>
      <c r="C1182" t="s">
        <v>592</v>
      </c>
      <c r="D1182" s="1">
        <v>46224</v>
      </c>
      <c r="E1182">
        <v>1.9840906597548801E-2</v>
      </c>
      <c r="F1182" t="s">
        <v>5283</v>
      </c>
      <c r="G1182" s="1">
        <v>46224.771787731479</v>
      </c>
      <c r="H1182" t="s">
        <v>593</v>
      </c>
      <c r="I1182" s="1">
        <v>46224.771787812497</v>
      </c>
      <c r="J1182" t="s">
        <v>593</v>
      </c>
    </row>
    <row r="1183" spans="1:10" x14ac:dyDescent="0.35">
      <c r="A1183" t="s">
        <v>1102</v>
      </c>
      <c r="B1183" t="s">
        <v>591</v>
      </c>
      <c r="C1183" t="s">
        <v>592</v>
      </c>
      <c r="D1183" s="1">
        <v>46224</v>
      </c>
      <c r="E1183">
        <v>4.2416569622914201E-2</v>
      </c>
      <c r="F1183" t="s">
        <v>5284</v>
      </c>
      <c r="G1183" s="1">
        <v>46224.771787731479</v>
      </c>
      <c r="H1183" t="s">
        <v>593</v>
      </c>
      <c r="I1183" s="1">
        <v>46224.771787812497</v>
      </c>
      <c r="J1183" t="s">
        <v>593</v>
      </c>
    </row>
    <row r="1184" spans="1:10" x14ac:dyDescent="0.35">
      <c r="A1184" t="s">
        <v>1103</v>
      </c>
      <c r="B1184" t="s">
        <v>591</v>
      </c>
      <c r="C1184" t="s">
        <v>592</v>
      </c>
      <c r="D1184" s="1">
        <v>46224</v>
      </c>
      <c r="E1184">
        <v>4.7315530781234703E-2</v>
      </c>
      <c r="F1184" t="s">
        <v>5285</v>
      </c>
      <c r="G1184" s="1">
        <v>46224.771787731479</v>
      </c>
      <c r="H1184" t="s">
        <v>593</v>
      </c>
      <c r="I1184" s="1">
        <v>46224.771787812497</v>
      </c>
      <c r="J1184" t="s">
        <v>593</v>
      </c>
    </row>
    <row r="1185" spans="1:10" x14ac:dyDescent="0.35">
      <c r="A1185" t="s">
        <v>1104</v>
      </c>
      <c r="B1185" t="s">
        <v>591</v>
      </c>
      <c r="C1185" t="s">
        <v>592</v>
      </c>
      <c r="D1185" s="1">
        <v>46224</v>
      </c>
      <c r="E1185">
        <v>1.60029690258696E-3</v>
      </c>
      <c r="F1185" t="s">
        <v>5286</v>
      </c>
      <c r="G1185" s="1">
        <v>46224.771787731479</v>
      </c>
      <c r="H1185" t="s">
        <v>593</v>
      </c>
      <c r="I1185" s="1">
        <v>46224.771787812497</v>
      </c>
      <c r="J1185" t="s">
        <v>593</v>
      </c>
    </row>
    <row r="1186" spans="1:10" x14ac:dyDescent="0.35">
      <c r="A1186" t="s">
        <v>1105</v>
      </c>
      <c r="B1186" t="s">
        <v>591</v>
      </c>
      <c r="C1186" t="s">
        <v>592</v>
      </c>
      <c r="D1186" s="1">
        <v>46224</v>
      </c>
      <c r="E1186">
        <v>2.8567782016893299E-2</v>
      </c>
      <c r="F1186" t="s">
        <v>5287</v>
      </c>
      <c r="G1186" s="1">
        <v>46224.771787731479</v>
      </c>
      <c r="H1186" t="s">
        <v>593</v>
      </c>
      <c r="I1186" s="1">
        <v>46224.771787812497</v>
      </c>
      <c r="J1186" t="s">
        <v>593</v>
      </c>
    </row>
    <row r="1187" spans="1:10" x14ac:dyDescent="0.35">
      <c r="A1187" t="s">
        <v>1106</v>
      </c>
      <c r="B1187" t="s">
        <v>591</v>
      </c>
      <c r="C1187" t="s">
        <v>592</v>
      </c>
      <c r="D1187" s="1">
        <v>46224</v>
      </c>
      <c r="E1187">
        <v>4.4253114041655599E-2</v>
      </c>
      <c r="F1187" t="s">
        <v>5288</v>
      </c>
      <c r="G1187" s="1">
        <v>46224.771787731479</v>
      </c>
      <c r="H1187" t="s">
        <v>593</v>
      </c>
      <c r="I1187" s="1">
        <v>46224.771787812497</v>
      </c>
      <c r="J1187" t="s">
        <v>593</v>
      </c>
    </row>
    <row r="1188" spans="1:10" x14ac:dyDescent="0.35">
      <c r="A1188" t="s">
        <v>1107</v>
      </c>
      <c r="B1188" t="s">
        <v>591</v>
      </c>
      <c r="C1188" t="s">
        <v>592</v>
      </c>
      <c r="D1188" s="1">
        <v>46224</v>
      </c>
      <c r="E1188">
        <v>3.1400051913015703E-2</v>
      </c>
      <c r="F1188" t="s">
        <v>5289</v>
      </c>
      <c r="G1188" s="1">
        <v>46224.771787731479</v>
      </c>
      <c r="H1188" t="s">
        <v>593</v>
      </c>
      <c r="I1188" s="1">
        <v>46224.771787812497</v>
      </c>
      <c r="J1188" t="s">
        <v>593</v>
      </c>
    </row>
    <row r="1189" spans="1:10" x14ac:dyDescent="0.35">
      <c r="A1189" t="s">
        <v>1108</v>
      </c>
      <c r="B1189" t="s">
        <v>591</v>
      </c>
      <c r="C1189" t="s">
        <v>592</v>
      </c>
      <c r="D1189" s="1">
        <v>46224</v>
      </c>
      <c r="E1189">
        <v>3.27002197692388E-2</v>
      </c>
      <c r="F1189" t="s">
        <v>5290</v>
      </c>
      <c r="G1189" s="1">
        <v>46224.771787731479</v>
      </c>
      <c r="H1189" t="s">
        <v>593</v>
      </c>
      <c r="I1189" s="1">
        <v>46224.771787812497</v>
      </c>
      <c r="J1189" t="s">
        <v>593</v>
      </c>
    </row>
    <row r="1190" spans="1:10" x14ac:dyDescent="0.35">
      <c r="A1190" t="s">
        <v>1109</v>
      </c>
      <c r="B1190" t="s">
        <v>591</v>
      </c>
      <c r="C1190" t="s">
        <v>592</v>
      </c>
      <c r="D1190" s="1">
        <v>46224</v>
      </c>
      <c r="E1190">
        <v>4.6361627287736899E-2</v>
      </c>
      <c r="F1190" t="s">
        <v>5291</v>
      </c>
      <c r="G1190" s="1">
        <v>46224.771787731479</v>
      </c>
      <c r="H1190" t="s">
        <v>593</v>
      </c>
      <c r="I1190" s="1">
        <v>46224.771787812497</v>
      </c>
      <c r="J1190" t="s">
        <v>593</v>
      </c>
    </row>
    <row r="1191" spans="1:10" x14ac:dyDescent="0.35">
      <c r="A1191" t="s">
        <v>1110</v>
      </c>
      <c r="B1191" t="s">
        <v>591</v>
      </c>
      <c r="C1191" t="s">
        <v>592</v>
      </c>
      <c r="D1191" s="1">
        <v>46224</v>
      </c>
      <c r="E1191">
        <v>3.9183190461411901E-2</v>
      </c>
      <c r="F1191" t="s">
        <v>5292</v>
      </c>
      <c r="G1191" s="1">
        <v>46224.771787731479</v>
      </c>
      <c r="H1191" t="s">
        <v>593</v>
      </c>
      <c r="I1191" s="1">
        <v>46224.771787812497</v>
      </c>
      <c r="J1191" t="s">
        <v>593</v>
      </c>
    </row>
    <row r="1192" spans="1:10" x14ac:dyDescent="0.35">
      <c r="A1192" t="s">
        <v>1111</v>
      </c>
      <c r="B1192" t="s">
        <v>591</v>
      </c>
      <c r="C1192" t="s">
        <v>592</v>
      </c>
      <c r="D1192" s="1">
        <v>46224</v>
      </c>
      <c r="E1192">
        <v>4.9093559741848897E-2</v>
      </c>
      <c r="F1192" t="s">
        <v>5293</v>
      </c>
      <c r="G1192" s="1">
        <v>46224.771787731479</v>
      </c>
      <c r="H1192" t="s">
        <v>593</v>
      </c>
      <c r="I1192" s="1">
        <v>46224.771787812497</v>
      </c>
      <c r="J1192" t="s">
        <v>593</v>
      </c>
    </row>
    <row r="1193" spans="1:10" x14ac:dyDescent="0.35">
      <c r="A1193" t="s">
        <v>1112</v>
      </c>
      <c r="B1193" t="s">
        <v>591</v>
      </c>
      <c r="C1193" t="s">
        <v>592</v>
      </c>
      <c r="D1193" s="1">
        <v>46224</v>
      </c>
      <c r="E1193">
        <v>2.4988082531312902E-2</v>
      </c>
      <c r="F1193" t="s">
        <v>5294</v>
      </c>
      <c r="G1193" s="1">
        <v>46224.771787731479</v>
      </c>
      <c r="H1193" t="s">
        <v>593</v>
      </c>
      <c r="I1193" s="1">
        <v>46224.771787812497</v>
      </c>
      <c r="J1193" t="s">
        <v>593</v>
      </c>
    </row>
    <row r="1194" spans="1:10" x14ac:dyDescent="0.35">
      <c r="A1194" t="s">
        <v>1113</v>
      </c>
      <c r="B1194" t="s">
        <v>591</v>
      </c>
      <c r="C1194" t="s">
        <v>592</v>
      </c>
      <c r="D1194" s="1">
        <v>46224</v>
      </c>
      <c r="E1194">
        <v>2.24952246592637E-2</v>
      </c>
      <c r="F1194" t="s">
        <v>5295</v>
      </c>
      <c r="G1194" s="1">
        <v>46224.771787731479</v>
      </c>
      <c r="H1194" t="s">
        <v>593</v>
      </c>
      <c r="I1194" s="1">
        <v>46224.771787812497</v>
      </c>
      <c r="J1194" t="s">
        <v>593</v>
      </c>
    </row>
    <row r="1195" spans="1:10" x14ac:dyDescent="0.35">
      <c r="A1195" t="s">
        <v>1114</v>
      </c>
      <c r="B1195" t="s">
        <v>591</v>
      </c>
      <c r="C1195" t="s">
        <v>592</v>
      </c>
      <c r="D1195" s="1">
        <v>46224</v>
      </c>
      <c r="E1195">
        <v>4.1543435387898203E-2</v>
      </c>
      <c r="F1195" t="s">
        <v>5296</v>
      </c>
      <c r="G1195" s="1">
        <v>46224.771787731479</v>
      </c>
      <c r="H1195" t="s">
        <v>593</v>
      </c>
      <c r="I1195" s="1">
        <v>46224.771787812497</v>
      </c>
      <c r="J1195" t="s">
        <v>593</v>
      </c>
    </row>
    <row r="1196" spans="1:10" x14ac:dyDescent="0.35">
      <c r="A1196" t="s">
        <v>1115</v>
      </c>
      <c r="B1196" t="s">
        <v>591</v>
      </c>
      <c r="C1196" t="s">
        <v>592</v>
      </c>
      <c r="D1196" s="1">
        <v>46224</v>
      </c>
      <c r="E1196">
        <v>1.64497707093752E-2</v>
      </c>
      <c r="F1196" t="s">
        <v>5297</v>
      </c>
      <c r="G1196" s="1">
        <v>46224.771787731479</v>
      </c>
      <c r="H1196" t="s">
        <v>593</v>
      </c>
      <c r="I1196" s="1">
        <v>46224.771787812497</v>
      </c>
      <c r="J1196" t="s">
        <v>593</v>
      </c>
    </row>
    <row r="1197" spans="1:10" x14ac:dyDescent="0.35">
      <c r="A1197" t="s">
        <v>1116</v>
      </c>
      <c r="B1197" t="s">
        <v>591</v>
      </c>
      <c r="C1197" t="s">
        <v>592</v>
      </c>
      <c r="D1197" s="1">
        <v>46224</v>
      </c>
      <c r="E1197">
        <v>2.7404779755850799E-2</v>
      </c>
      <c r="F1197" t="s">
        <v>5298</v>
      </c>
      <c r="G1197" s="1">
        <v>46224.771787731479</v>
      </c>
      <c r="H1197" t="s">
        <v>593</v>
      </c>
      <c r="I1197" s="1">
        <v>46224.771787812497</v>
      </c>
      <c r="J1197" t="s">
        <v>593</v>
      </c>
    </row>
    <row r="1198" spans="1:10" x14ac:dyDescent="0.35">
      <c r="A1198" t="s">
        <v>1117</v>
      </c>
      <c r="B1198" t="s">
        <v>591</v>
      </c>
      <c r="C1198" t="s">
        <v>592</v>
      </c>
      <c r="D1198" s="1">
        <v>46224</v>
      </c>
      <c r="E1198">
        <v>4.5472899539697402E-2</v>
      </c>
      <c r="F1198" t="s">
        <v>5299</v>
      </c>
      <c r="G1198" s="1">
        <v>46224.771787731479</v>
      </c>
      <c r="H1198" t="s">
        <v>593</v>
      </c>
      <c r="I1198" s="1">
        <v>46224.771787812497</v>
      </c>
      <c r="J1198" t="s">
        <v>593</v>
      </c>
    </row>
    <row r="1199" spans="1:10" x14ac:dyDescent="0.35">
      <c r="A1199" t="s">
        <v>1118</v>
      </c>
      <c r="B1199" t="s">
        <v>591</v>
      </c>
      <c r="C1199" t="s">
        <v>592</v>
      </c>
      <c r="D1199" s="1">
        <v>46224</v>
      </c>
      <c r="E1199">
        <v>2.9399480069406701E-2</v>
      </c>
      <c r="F1199" t="s">
        <v>5300</v>
      </c>
      <c r="G1199" s="1">
        <v>46224.771787731479</v>
      </c>
      <c r="H1199" t="s">
        <v>593</v>
      </c>
      <c r="I1199" s="1">
        <v>46224.771787812497</v>
      </c>
      <c r="J1199" t="s">
        <v>593</v>
      </c>
    </row>
    <row r="1200" spans="1:10" x14ac:dyDescent="0.35">
      <c r="A1200" t="s">
        <v>1119</v>
      </c>
      <c r="B1200" t="s">
        <v>591</v>
      </c>
      <c r="C1200" t="s">
        <v>592</v>
      </c>
      <c r="D1200" s="1">
        <v>46224</v>
      </c>
      <c r="E1200">
        <v>3.6879934724400203E-2</v>
      </c>
      <c r="F1200" t="s">
        <v>5301</v>
      </c>
      <c r="G1200" s="1">
        <v>46224.771787731479</v>
      </c>
      <c r="H1200" t="s">
        <v>593</v>
      </c>
      <c r="I1200" s="1">
        <v>46224.771787812497</v>
      </c>
      <c r="J1200" t="s">
        <v>593</v>
      </c>
    </row>
    <row r="1201" spans="1:10" x14ac:dyDescent="0.35">
      <c r="A1201" t="s">
        <v>1120</v>
      </c>
      <c r="B1201" t="s">
        <v>591</v>
      </c>
      <c r="C1201" t="s">
        <v>592</v>
      </c>
      <c r="D1201" s="1">
        <v>46224</v>
      </c>
      <c r="E1201">
        <v>2.9858952144519401E-2</v>
      </c>
      <c r="F1201" t="s">
        <v>5302</v>
      </c>
      <c r="G1201" s="1">
        <v>46224.771787731479</v>
      </c>
      <c r="H1201" t="s">
        <v>593</v>
      </c>
      <c r="I1201" s="1">
        <v>46224.771787812497</v>
      </c>
      <c r="J1201" t="s">
        <v>593</v>
      </c>
    </row>
    <row r="1202" spans="1:10" x14ac:dyDescent="0.35">
      <c r="A1202" t="s">
        <v>1121</v>
      </c>
      <c r="B1202" t="s">
        <v>591</v>
      </c>
      <c r="C1202" t="s">
        <v>592</v>
      </c>
      <c r="D1202" s="1">
        <v>46224</v>
      </c>
      <c r="E1202">
        <v>4.5910024331297601E-2</v>
      </c>
      <c r="F1202" t="s">
        <v>5303</v>
      </c>
      <c r="G1202" s="1">
        <v>46224.771787731479</v>
      </c>
      <c r="H1202" t="s">
        <v>593</v>
      </c>
      <c r="I1202" s="1">
        <v>46224.771787812497</v>
      </c>
      <c r="J1202" t="s">
        <v>593</v>
      </c>
    </row>
    <row r="1203" spans="1:10" x14ac:dyDescent="0.35">
      <c r="A1203" t="s">
        <v>1122</v>
      </c>
      <c r="B1203" t="s">
        <v>591</v>
      </c>
      <c r="C1203" t="s">
        <v>592</v>
      </c>
      <c r="D1203" s="1">
        <v>46224</v>
      </c>
      <c r="E1203">
        <v>3.03312856421558E-2</v>
      </c>
      <c r="F1203" t="s">
        <v>5304</v>
      </c>
      <c r="G1203" s="1">
        <v>46224.771787731479</v>
      </c>
      <c r="H1203" t="s">
        <v>593</v>
      </c>
      <c r="I1203" s="1">
        <v>46224.771787812497</v>
      </c>
      <c r="J1203" t="s">
        <v>593</v>
      </c>
    </row>
    <row r="1204" spans="1:10" x14ac:dyDescent="0.35">
      <c r="A1204" t="s">
        <v>1123</v>
      </c>
      <c r="B1204" t="s">
        <v>591</v>
      </c>
      <c r="C1204" t="s">
        <v>592</v>
      </c>
      <c r="D1204" s="1">
        <v>46224</v>
      </c>
      <c r="E1204">
        <v>3.0863703647878198E-2</v>
      </c>
      <c r="F1204" t="s">
        <v>5305</v>
      </c>
      <c r="G1204" s="1">
        <v>46224.771787731479</v>
      </c>
      <c r="H1204" t="s">
        <v>593</v>
      </c>
      <c r="I1204" s="1">
        <v>46224.771787812497</v>
      </c>
      <c r="J1204" t="s">
        <v>593</v>
      </c>
    </row>
    <row r="1205" spans="1:10" x14ac:dyDescent="0.35">
      <c r="A1205" t="s">
        <v>1124</v>
      </c>
      <c r="B1205" t="s">
        <v>591</v>
      </c>
      <c r="C1205" t="s">
        <v>592</v>
      </c>
      <c r="D1205" s="1">
        <v>46224</v>
      </c>
      <c r="E1205">
        <v>4.6233243131380497E-2</v>
      </c>
      <c r="F1205" t="s">
        <v>5306</v>
      </c>
      <c r="G1205" s="1">
        <v>46224.771787731479</v>
      </c>
      <c r="H1205" t="s">
        <v>593</v>
      </c>
      <c r="I1205" s="1">
        <v>46224.771787812497</v>
      </c>
      <c r="J1205" t="s">
        <v>593</v>
      </c>
    </row>
    <row r="1206" spans="1:10" x14ac:dyDescent="0.35">
      <c r="A1206" t="s">
        <v>1125</v>
      </c>
      <c r="B1206" t="s">
        <v>591</v>
      </c>
      <c r="C1206" t="s">
        <v>592</v>
      </c>
      <c r="D1206" s="1">
        <v>46224</v>
      </c>
      <c r="E1206">
        <v>4.2528631954344399E-2</v>
      </c>
      <c r="F1206" t="s">
        <v>5307</v>
      </c>
      <c r="G1206" s="1">
        <v>46224.771787731479</v>
      </c>
      <c r="H1206" t="s">
        <v>593</v>
      </c>
      <c r="I1206" s="1">
        <v>46224.771787812497</v>
      </c>
      <c r="J1206" t="s">
        <v>593</v>
      </c>
    </row>
    <row r="1207" spans="1:10" x14ac:dyDescent="0.35">
      <c r="A1207" t="s">
        <v>1126</v>
      </c>
      <c r="B1207" t="s">
        <v>591</v>
      </c>
      <c r="C1207" t="s">
        <v>592</v>
      </c>
      <c r="D1207" s="1">
        <v>46224</v>
      </c>
      <c r="E1207">
        <v>3.2075068166996103E-2</v>
      </c>
      <c r="F1207" t="s">
        <v>5308</v>
      </c>
      <c r="G1207" s="1">
        <v>46224.771787731479</v>
      </c>
      <c r="H1207" t="s">
        <v>593</v>
      </c>
      <c r="I1207" s="1">
        <v>46224.771787812497</v>
      </c>
      <c r="J1207" t="s">
        <v>593</v>
      </c>
    </row>
    <row r="1208" spans="1:10" x14ac:dyDescent="0.35">
      <c r="A1208" t="s">
        <v>1127</v>
      </c>
      <c r="B1208" t="s">
        <v>591</v>
      </c>
      <c r="C1208" t="s">
        <v>592</v>
      </c>
      <c r="D1208" s="1">
        <v>46224</v>
      </c>
      <c r="E1208">
        <v>4.3536647171398102E-2</v>
      </c>
      <c r="F1208" t="s">
        <v>5309</v>
      </c>
      <c r="G1208" s="1">
        <v>46224.771787731479</v>
      </c>
      <c r="H1208" t="s">
        <v>593</v>
      </c>
      <c r="I1208" s="1">
        <v>46224.771787812497</v>
      </c>
      <c r="J1208" t="s">
        <v>593</v>
      </c>
    </row>
    <row r="1209" spans="1:10" x14ac:dyDescent="0.35">
      <c r="A1209" t="s">
        <v>1128</v>
      </c>
      <c r="B1209" t="s">
        <v>591</v>
      </c>
      <c r="C1209" t="s">
        <v>592</v>
      </c>
      <c r="D1209" s="1">
        <v>46224</v>
      </c>
      <c r="E1209">
        <v>4.4113139870661802E-2</v>
      </c>
      <c r="F1209" t="s">
        <v>5310</v>
      </c>
      <c r="G1209" s="1">
        <v>46224.771787731479</v>
      </c>
      <c r="H1209" t="s">
        <v>593</v>
      </c>
      <c r="I1209" s="1">
        <v>46224.771787812497</v>
      </c>
      <c r="J1209" t="s">
        <v>593</v>
      </c>
    </row>
    <row r="1210" spans="1:10" x14ac:dyDescent="0.35">
      <c r="A1210" t="s">
        <v>1129</v>
      </c>
      <c r="B1210" t="s">
        <v>591</v>
      </c>
      <c r="C1210" t="s">
        <v>592</v>
      </c>
      <c r="D1210" s="1">
        <v>46224</v>
      </c>
      <c r="E1210">
        <v>3.3402987255023997E-2</v>
      </c>
      <c r="F1210" t="s">
        <v>5311</v>
      </c>
      <c r="G1210" s="1">
        <v>46224.771787731479</v>
      </c>
      <c r="H1210" t="s">
        <v>593</v>
      </c>
      <c r="I1210" s="1">
        <v>46224.771787812497</v>
      </c>
      <c r="J1210" t="s">
        <v>593</v>
      </c>
    </row>
    <row r="1211" spans="1:10" x14ac:dyDescent="0.35">
      <c r="A1211" t="s">
        <v>1130</v>
      </c>
      <c r="B1211" t="s">
        <v>591</v>
      </c>
      <c r="C1211" t="s">
        <v>592</v>
      </c>
      <c r="D1211" s="1">
        <v>46224</v>
      </c>
      <c r="E1211">
        <v>2.63257255131009E-2</v>
      </c>
      <c r="F1211" t="s">
        <v>5312</v>
      </c>
      <c r="G1211" s="1">
        <v>46224.771787731479</v>
      </c>
      <c r="H1211" t="s">
        <v>593</v>
      </c>
      <c r="I1211" s="1">
        <v>46224.771787812497</v>
      </c>
      <c r="J1211" t="s">
        <v>593</v>
      </c>
    </row>
    <row r="1212" spans="1:10" x14ac:dyDescent="0.35">
      <c r="A1212" t="s">
        <v>1131</v>
      </c>
      <c r="B1212" t="s">
        <v>591</v>
      </c>
      <c r="C1212" t="s">
        <v>592</v>
      </c>
      <c r="D1212" s="1">
        <v>46224</v>
      </c>
      <c r="E1212">
        <v>1.7473035816920699E-2</v>
      </c>
      <c r="F1212" t="s">
        <v>5313</v>
      </c>
      <c r="G1212" s="1">
        <v>46224.771787731479</v>
      </c>
      <c r="H1212" t="s">
        <v>593</v>
      </c>
      <c r="I1212" s="1">
        <v>46224.771787812497</v>
      </c>
      <c r="J1212" t="s">
        <v>593</v>
      </c>
    </row>
    <row r="1213" spans="1:10" x14ac:dyDescent="0.35">
      <c r="A1213" t="s">
        <v>1132</v>
      </c>
      <c r="B1213" t="s">
        <v>591</v>
      </c>
      <c r="C1213" t="s">
        <v>592</v>
      </c>
      <c r="D1213" s="1">
        <v>46224</v>
      </c>
      <c r="E1213">
        <v>4.6463076114944699E-2</v>
      </c>
      <c r="F1213" t="s">
        <v>5314</v>
      </c>
      <c r="G1213" s="1">
        <v>46224.771787731479</v>
      </c>
      <c r="H1213" t="s">
        <v>593</v>
      </c>
      <c r="I1213" s="1">
        <v>46224.771787812497</v>
      </c>
      <c r="J1213" t="s">
        <v>593</v>
      </c>
    </row>
    <row r="1214" spans="1:10" x14ac:dyDescent="0.35">
      <c r="A1214" t="s">
        <v>1133</v>
      </c>
      <c r="B1214" t="s">
        <v>591</v>
      </c>
      <c r="C1214" t="s">
        <v>592</v>
      </c>
      <c r="D1214" s="1">
        <v>46224</v>
      </c>
      <c r="E1214">
        <v>3.4148985306278003E-2</v>
      </c>
      <c r="F1214" t="s">
        <v>5315</v>
      </c>
      <c r="G1214" s="1">
        <v>46224.771787731479</v>
      </c>
      <c r="H1214" t="s">
        <v>593</v>
      </c>
      <c r="I1214" s="1">
        <v>46224.771787812497</v>
      </c>
      <c r="J1214" t="s">
        <v>593</v>
      </c>
    </row>
    <row r="1215" spans="1:10" x14ac:dyDescent="0.35">
      <c r="A1215" t="s">
        <v>1134</v>
      </c>
      <c r="B1215" t="s">
        <v>591</v>
      </c>
      <c r="C1215" t="s">
        <v>592</v>
      </c>
      <c r="D1215" s="1">
        <v>46224</v>
      </c>
      <c r="E1215">
        <v>4.1107924677720099E-2</v>
      </c>
      <c r="F1215" t="s">
        <v>5316</v>
      </c>
      <c r="G1215" s="1">
        <v>46224.771787731479</v>
      </c>
      <c r="H1215" t="s">
        <v>593</v>
      </c>
      <c r="I1215" s="1">
        <v>46224.771787812497</v>
      </c>
      <c r="J1215" t="s">
        <v>593</v>
      </c>
    </row>
    <row r="1216" spans="1:10" x14ac:dyDescent="0.35">
      <c r="A1216" t="s">
        <v>1135</v>
      </c>
      <c r="B1216" t="s">
        <v>591</v>
      </c>
      <c r="C1216" t="s">
        <v>592</v>
      </c>
      <c r="D1216" s="1">
        <v>46224</v>
      </c>
      <c r="E1216">
        <v>2.9055713500717301E-2</v>
      </c>
      <c r="F1216" t="s">
        <v>5317</v>
      </c>
      <c r="G1216" s="1">
        <v>46224.771787731479</v>
      </c>
      <c r="H1216" t="s">
        <v>593</v>
      </c>
      <c r="I1216" s="1">
        <v>46224.771787812497</v>
      </c>
      <c r="J1216" t="s">
        <v>593</v>
      </c>
    </row>
    <row r="1217" spans="1:10" x14ac:dyDescent="0.35">
      <c r="A1217" t="s">
        <v>1136</v>
      </c>
      <c r="B1217" t="s">
        <v>591</v>
      </c>
      <c r="C1217" t="s">
        <v>592</v>
      </c>
      <c r="D1217" s="1">
        <v>46224</v>
      </c>
      <c r="E1217">
        <v>3.4828995855628299E-2</v>
      </c>
      <c r="F1217" t="s">
        <v>5318</v>
      </c>
      <c r="G1217" s="1">
        <v>46224.771787731479</v>
      </c>
      <c r="H1217" t="s">
        <v>593</v>
      </c>
      <c r="I1217" s="1">
        <v>46224.771787812497</v>
      </c>
      <c r="J1217" t="s">
        <v>593</v>
      </c>
    </row>
    <row r="1218" spans="1:10" x14ac:dyDescent="0.35">
      <c r="A1218" t="s">
        <v>1137</v>
      </c>
      <c r="B1218" t="s">
        <v>591</v>
      </c>
      <c r="C1218" t="s">
        <v>592</v>
      </c>
      <c r="D1218" s="1">
        <v>46224</v>
      </c>
      <c r="E1218">
        <v>4.3778016597525601E-2</v>
      </c>
      <c r="F1218" t="s">
        <v>5319</v>
      </c>
      <c r="G1218" s="1">
        <v>46224.771787731479</v>
      </c>
      <c r="H1218" t="s">
        <v>593</v>
      </c>
      <c r="I1218" s="1">
        <v>46224.771787812497</v>
      </c>
      <c r="J1218" t="s">
        <v>593</v>
      </c>
    </row>
    <row r="1219" spans="1:10" x14ac:dyDescent="0.35">
      <c r="A1219" t="s">
        <v>1138</v>
      </c>
      <c r="B1219" t="s">
        <v>591</v>
      </c>
      <c r="C1219" t="s">
        <v>592</v>
      </c>
      <c r="D1219" s="1">
        <v>46224</v>
      </c>
      <c r="E1219">
        <v>4.6710807602440702E-2</v>
      </c>
      <c r="F1219" t="s">
        <v>5320</v>
      </c>
      <c r="G1219" s="1">
        <v>46224.771787731479</v>
      </c>
      <c r="H1219" t="s">
        <v>593</v>
      </c>
      <c r="I1219" s="1">
        <v>46224.771787812497</v>
      </c>
      <c r="J1219" t="s">
        <v>593</v>
      </c>
    </row>
    <row r="1220" spans="1:10" x14ac:dyDescent="0.35">
      <c r="A1220" t="s">
        <v>1139</v>
      </c>
      <c r="B1220" t="s">
        <v>591</v>
      </c>
      <c r="C1220" t="s">
        <v>592</v>
      </c>
      <c r="D1220" s="1">
        <v>46224</v>
      </c>
      <c r="E1220">
        <v>2.3609954296563301E-2</v>
      </c>
      <c r="F1220" t="s">
        <v>5321</v>
      </c>
      <c r="G1220" s="1">
        <v>46224.771787731479</v>
      </c>
      <c r="H1220" t="s">
        <v>593</v>
      </c>
      <c r="I1220" s="1">
        <v>46224.771787812497</v>
      </c>
      <c r="J1220" t="s">
        <v>593</v>
      </c>
    </row>
    <row r="1221" spans="1:10" x14ac:dyDescent="0.35">
      <c r="A1221" t="s">
        <v>1140</v>
      </c>
      <c r="B1221" t="s">
        <v>591</v>
      </c>
      <c r="C1221" t="s">
        <v>592</v>
      </c>
      <c r="D1221" s="1">
        <v>46224</v>
      </c>
      <c r="E1221">
        <v>3.5526165394411398E-2</v>
      </c>
      <c r="F1221" t="s">
        <v>5322</v>
      </c>
      <c r="G1221" s="1">
        <v>46224.771787731479</v>
      </c>
      <c r="H1221" t="s">
        <v>593</v>
      </c>
      <c r="I1221" s="1">
        <v>46224.771787812497</v>
      </c>
      <c r="J1221" t="s">
        <v>593</v>
      </c>
    </row>
    <row r="1222" spans="1:10" x14ac:dyDescent="0.35">
      <c r="A1222" t="s">
        <v>1141</v>
      </c>
      <c r="B1222" t="s">
        <v>591</v>
      </c>
      <c r="C1222" t="s">
        <v>592</v>
      </c>
      <c r="D1222" s="1">
        <v>46224</v>
      </c>
      <c r="E1222">
        <v>3.01345904109032E-2</v>
      </c>
      <c r="F1222" t="s">
        <v>5323</v>
      </c>
      <c r="G1222" s="1">
        <v>46224.771787731479</v>
      </c>
      <c r="H1222" t="s">
        <v>593</v>
      </c>
      <c r="I1222" s="1">
        <v>46224.771787812497</v>
      </c>
      <c r="J1222" t="s">
        <v>593</v>
      </c>
    </row>
    <row r="1223" spans="1:10" x14ac:dyDescent="0.35">
      <c r="A1223" t="s">
        <v>1142</v>
      </c>
      <c r="B1223" t="s">
        <v>591</v>
      </c>
      <c r="C1223" t="s">
        <v>592</v>
      </c>
      <c r="D1223" s="1">
        <v>46224</v>
      </c>
      <c r="E1223">
        <v>3.6151304259320498E-2</v>
      </c>
      <c r="F1223" t="s">
        <v>5324</v>
      </c>
      <c r="G1223" s="1">
        <v>46224.771787731479</v>
      </c>
      <c r="H1223" t="s">
        <v>593</v>
      </c>
      <c r="I1223" s="1">
        <v>46224.771787812497</v>
      </c>
      <c r="J1223" t="s">
        <v>593</v>
      </c>
    </row>
    <row r="1224" spans="1:10" x14ac:dyDescent="0.35">
      <c r="A1224" t="s">
        <v>1143</v>
      </c>
      <c r="B1224" t="s">
        <v>591</v>
      </c>
      <c r="C1224" t="s">
        <v>592</v>
      </c>
      <c r="D1224" s="1">
        <v>46224</v>
      </c>
      <c r="E1224">
        <v>2.8371297383731699E-2</v>
      </c>
      <c r="F1224" t="s">
        <v>5325</v>
      </c>
      <c r="G1224" s="1">
        <v>46224.771787731479</v>
      </c>
      <c r="H1224" t="s">
        <v>593</v>
      </c>
      <c r="I1224" s="1">
        <v>46224.771787812497</v>
      </c>
      <c r="J1224" t="s">
        <v>593</v>
      </c>
    </row>
    <row r="1225" spans="1:10" x14ac:dyDescent="0.35">
      <c r="A1225" t="s">
        <v>1144</v>
      </c>
      <c r="B1225" t="s">
        <v>591</v>
      </c>
      <c r="C1225" t="s">
        <v>592</v>
      </c>
      <c r="D1225" s="1">
        <v>46224</v>
      </c>
      <c r="E1225">
        <v>4.54867509695457E-2</v>
      </c>
      <c r="F1225" t="s">
        <v>5326</v>
      </c>
      <c r="G1225" s="1">
        <v>46224.771787731479</v>
      </c>
      <c r="H1225" t="s">
        <v>593</v>
      </c>
      <c r="I1225" s="1">
        <v>46224.771787812497</v>
      </c>
      <c r="J1225" t="s">
        <v>593</v>
      </c>
    </row>
    <row r="1226" spans="1:10" x14ac:dyDescent="0.35">
      <c r="A1226" t="s">
        <v>1145</v>
      </c>
      <c r="B1226" t="s">
        <v>591</v>
      </c>
      <c r="C1226" t="s">
        <v>592</v>
      </c>
      <c r="D1226" s="1">
        <v>46224</v>
      </c>
      <c r="E1226">
        <v>4.0885734806695703E-2</v>
      </c>
      <c r="F1226" t="s">
        <v>5327</v>
      </c>
      <c r="G1226" s="1">
        <v>46224.771787731479</v>
      </c>
      <c r="H1226" t="s">
        <v>593</v>
      </c>
      <c r="I1226" s="1">
        <v>46224.771787812497</v>
      </c>
      <c r="J1226" t="s">
        <v>593</v>
      </c>
    </row>
    <row r="1227" spans="1:10" x14ac:dyDescent="0.35">
      <c r="A1227" t="s">
        <v>1146</v>
      </c>
      <c r="B1227" t="s">
        <v>591</v>
      </c>
      <c r="C1227" t="s">
        <v>592</v>
      </c>
      <c r="D1227" s="1">
        <v>46224</v>
      </c>
      <c r="E1227">
        <v>4.6878948273365799E-2</v>
      </c>
      <c r="F1227" t="s">
        <v>5328</v>
      </c>
      <c r="G1227" s="1">
        <v>46224.771787731479</v>
      </c>
      <c r="H1227" t="s">
        <v>593</v>
      </c>
      <c r="I1227" s="1">
        <v>46224.771787812497</v>
      </c>
      <c r="J1227" t="s">
        <v>593</v>
      </c>
    </row>
    <row r="1228" spans="1:10" x14ac:dyDescent="0.35">
      <c r="A1228" t="s">
        <v>1147</v>
      </c>
      <c r="B1228" t="s">
        <v>591</v>
      </c>
      <c r="C1228" t="s">
        <v>592</v>
      </c>
      <c r="D1228" s="1">
        <v>46224</v>
      </c>
      <c r="E1228">
        <v>3.1249312574500501E-2</v>
      </c>
      <c r="F1228" t="s">
        <v>5329</v>
      </c>
      <c r="G1228" s="1">
        <v>46224.771787731479</v>
      </c>
      <c r="H1228" t="s">
        <v>593</v>
      </c>
      <c r="I1228" s="1">
        <v>46224.771787812497</v>
      </c>
      <c r="J1228" t="s">
        <v>593</v>
      </c>
    </row>
    <row r="1229" spans="1:10" x14ac:dyDescent="0.35">
      <c r="A1229" t="s">
        <v>1148</v>
      </c>
      <c r="B1229" t="s">
        <v>591</v>
      </c>
      <c r="C1229" t="s">
        <v>592</v>
      </c>
      <c r="D1229" s="1">
        <v>46224</v>
      </c>
      <c r="E1229">
        <v>3.7356988558837199E-2</v>
      </c>
      <c r="F1229" t="s">
        <v>5330</v>
      </c>
      <c r="G1229" s="1">
        <v>46224.771787731479</v>
      </c>
      <c r="H1229" t="s">
        <v>593</v>
      </c>
      <c r="I1229" s="1">
        <v>46224.771787812497</v>
      </c>
      <c r="J1229" t="s">
        <v>593</v>
      </c>
    </row>
    <row r="1230" spans="1:10" x14ac:dyDescent="0.35">
      <c r="A1230" t="s">
        <v>1149</v>
      </c>
      <c r="B1230" t="s">
        <v>591</v>
      </c>
      <c r="C1230" t="s">
        <v>592</v>
      </c>
      <c r="D1230" s="1">
        <v>46224</v>
      </c>
      <c r="E1230">
        <v>4.3346979821477401E-2</v>
      </c>
      <c r="F1230" t="s">
        <v>5331</v>
      </c>
      <c r="G1230" s="1">
        <v>46224.771787731479</v>
      </c>
      <c r="H1230" t="s">
        <v>593</v>
      </c>
      <c r="I1230" s="1">
        <v>46224.771787812497</v>
      </c>
      <c r="J1230" t="s">
        <v>593</v>
      </c>
    </row>
    <row r="1231" spans="1:10" x14ac:dyDescent="0.35">
      <c r="A1231" t="s">
        <v>1150</v>
      </c>
      <c r="B1231" t="s">
        <v>591</v>
      </c>
      <c r="C1231" t="s">
        <v>592</v>
      </c>
      <c r="D1231" s="1">
        <v>46224</v>
      </c>
      <c r="E1231">
        <v>3.7944484111183299E-2</v>
      </c>
      <c r="F1231" t="s">
        <v>5332</v>
      </c>
      <c r="G1231" s="1">
        <v>46224.771787731479</v>
      </c>
      <c r="H1231" t="s">
        <v>593</v>
      </c>
      <c r="I1231" s="1">
        <v>46224.771787812497</v>
      </c>
      <c r="J1231" t="s">
        <v>593</v>
      </c>
    </row>
    <row r="1232" spans="1:10" x14ac:dyDescent="0.35">
      <c r="A1232" t="s">
        <v>1151</v>
      </c>
      <c r="B1232" t="s">
        <v>591</v>
      </c>
      <c r="C1232" t="s">
        <v>592</v>
      </c>
      <c r="D1232" s="1">
        <v>46224</v>
      </c>
      <c r="E1232">
        <v>4.7073349294780499E-2</v>
      </c>
      <c r="F1232" t="s">
        <v>5333</v>
      </c>
      <c r="G1232" s="1">
        <v>46224.771787731479</v>
      </c>
      <c r="H1232" t="s">
        <v>593</v>
      </c>
      <c r="I1232" s="1">
        <v>46224.771787812497</v>
      </c>
      <c r="J1232" t="s">
        <v>593</v>
      </c>
    </row>
    <row r="1233" spans="1:10" x14ac:dyDescent="0.35">
      <c r="A1233" t="s">
        <v>1152</v>
      </c>
      <c r="B1233" t="s">
        <v>591</v>
      </c>
      <c r="C1233" t="s">
        <v>592</v>
      </c>
      <c r="D1233" s="1">
        <v>46224</v>
      </c>
      <c r="E1233">
        <v>2.9690806773714998E-2</v>
      </c>
      <c r="F1233" t="s">
        <v>5334</v>
      </c>
      <c r="G1233" s="1">
        <v>46224.771787731479</v>
      </c>
      <c r="H1233" t="s">
        <v>593</v>
      </c>
      <c r="I1233" s="1">
        <v>46224.771787812497</v>
      </c>
      <c r="J1233" t="s">
        <v>593</v>
      </c>
    </row>
    <row r="1234" spans="1:10" x14ac:dyDescent="0.35">
      <c r="A1234" t="s">
        <v>1153</v>
      </c>
      <c r="B1234" t="s">
        <v>591</v>
      </c>
      <c r="C1234" t="s">
        <v>592</v>
      </c>
      <c r="D1234" s="1">
        <v>46224</v>
      </c>
      <c r="E1234">
        <v>3.2500948857588099E-2</v>
      </c>
      <c r="F1234" t="s">
        <v>5335</v>
      </c>
      <c r="G1234" s="1">
        <v>46224.771787731479</v>
      </c>
      <c r="H1234" t="s">
        <v>593</v>
      </c>
      <c r="I1234" s="1">
        <v>46224.771787812497</v>
      </c>
      <c r="J1234" t="s">
        <v>593</v>
      </c>
    </row>
    <row r="1235" spans="1:10" x14ac:dyDescent="0.35">
      <c r="A1235" t="s">
        <v>1154</v>
      </c>
      <c r="B1235" t="s">
        <v>591</v>
      </c>
      <c r="C1235" t="s">
        <v>592</v>
      </c>
      <c r="D1235" s="1">
        <v>46224</v>
      </c>
      <c r="E1235">
        <v>3.8535746066639003E-2</v>
      </c>
      <c r="F1235" t="s">
        <v>5336</v>
      </c>
      <c r="G1235" s="1">
        <v>46224.771787731479</v>
      </c>
      <c r="H1235" t="s">
        <v>593</v>
      </c>
      <c r="I1235" s="1">
        <v>46224.771787812497</v>
      </c>
      <c r="J1235" t="s">
        <v>593</v>
      </c>
    </row>
    <row r="1236" spans="1:10" x14ac:dyDescent="0.35">
      <c r="A1236" t="s">
        <v>1155</v>
      </c>
      <c r="B1236" t="s">
        <v>591</v>
      </c>
      <c r="C1236" t="s">
        <v>592</v>
      </c>
      <c r="D1236" s="1">
        <v>46224</v>
      </c>
      <c r="E1236">
        <v>4.4723425262183002E-2</v>
      </c>
      <c r="F1236" t="s">
        <v>5337</v>
      </c>
      <c r="G1236" s="1">
        <v>46224.771787731479</v>
      </c>
      <c r="H1236" t="s">
        <v>593</v>
      </c>
      <c r="I1236" s="1">
        <v>46224.771787812497</v>
      </c>
      <c r="J1236" t="s">
        <v>593</v>
      </c>
    </row>
    <row r="1237" spans="1:10" x14ac:dyDescent="0.35">
      <c r="A1237" t="s">
        <v>1156</v>
      </c>
      <c r="B1237" t="s">
        <v>591</v>
      </c>
      <c r="C1237" t="s">
        <v>592</v>
      </c>
      <c r="D1237" s="1">
        <v>46224</v>
      </c>
      <c r="E1237">
        <v>4.7244749119361502E-2</v>
      </c>
      <c r="F1237" t="s">
        <v>5338</v>
      </c>
      <c r="G1237" s="1">
        <v>46224.771787731479</v>
      </c>
      <c r="H1237" t="s">
        <v>593</v>
      </c>
      <c r="I1237" s="1">
        <v>46224.771787812497</v>
      </c>
      <c r="J1237" t="s">
        <v>593</v>
      </c>
    </row>
    <row r="1238" spans="1:10" x14ac:dyDescent="0.35">
      <c r="A1238" t="s">
        <v>1157</v>
      </c>
      <c r="B1238" t="s">
        <v>591</v>
      </c>
      <c r="C1238" t="s">
        <v>592</v>
      </c>
      <c r="D1238" s="1">
        <v>46224</v>
      </c>
      <c r="E1238">
        <v>3.0766045175115001E-2</v>
      </c>
      <c r="F1238" t="s">
        <v>5339</v>
      </c>
      <c r="G1238" s="1">
        <v>46224.771787731479</v>
      </c>
      <c r="H1238" t="s">
        <v>593</v>
      </c>
      <c r="I1238" s="1">
        <v>46224.771787812497</v>
      </c>
      <c r="J1238" t="s">
        <v>593</v>
      </c>
    </row>
    <row r="1239" spans="1:10" x14ac:dyDescent="0.35">
      <c r="A1239" t="s">
        <v>1762</v>
      </c>
      <c r="B1239" t="s">
        <v>591</v>
      </c>
      <c r="C1239" t="s">
        <v>592</v>
      </c>
      <c r="D1239" s="1">
        <v>46224</v>
      </c>
      <c r="E1239">
        <v>3.38725476344219E-2</v>
      </c>
      <c r="F1239" t="s">
        <v>5340</v>
      </c>
      <c r="G1239" s="1">
        <v>46224.771787731479</v>
      </c>
      <c r="H1239" t="s">
        <v>593</v>
      </c>
      <c r="I1239" s="1">
        <v>46224.771787812497</v>
      </c>
      <c r="J1239" t="s">
        <v>593</v>
      </c>
    </row>
    <row r="1240" spans="1:10" x14ac:dyDescent="0.35">
      <c r="A1240" t="s">
        <v>1763</v>
      </c>
      <c r="B1240" t="s">
        <v>591</v>
      </c>
      <c r="C1240" t="s">
        <v>592</v>
      </c>
      <c r="D1240" s="1">
        <v>46224</v>
      </c>
      <c r="E1240">
        <v>3.9613246855157602E-2</v>
      </c>
      <c r="F1240" t="s">
        <v>5341</v>
      </c>
      <c r="G1240" s="1">
        <v>46224.771787731479</v>
      </c>
      <c r="H1240" t="s">
        <v>593</v>
      </c>
      <c r="I1240" s="1">
        <v>46224.771787812497</v>
      </c>
      <c r="J1240" t="s">
        <v>593</v>
      </c>
    </row>
    <row r="1241" spans="1:10" x14ac:dyDescent="0.35">
      <c r="A1241" t="s">
        <v>1963</v>
      </c>
      <c r="B1241" t="s">
        <v>600</v>
      </c>
      <c r="C1241" t="s">
        <v>592</v>
      </c>
      <c r="D1241" s="1">
        <v>46224</v>
      </c>
      <c r="E1241">
        <v>106.210938</v>
      </c>
      <c r="F1241" t="s">
        <v>4314</v>
      </c>
      <c r="G1241" s="1">
        <v>46224.771787731479</v>
      </c>
      <c r="H1241" t="s">
        <v>593</v>
      </c>
      <c r="I1241" s="1">
        <v>46224.771787812497</v>
      </c>
      <c r="J1241" t="s">
        <v>593</v>
      </c>
    </row>
    <row r="1242" spans="1:10" x14ac:dyDescent="0.35">
      <c r="A1242" t="s">
        <v>1158</v>
      </c>
      <c r="B1242" t="s">
        <v>600</v>
      </c>
      <c r="C1242" t="s">
        <v>592</v>
      </c>
      <c r="D1242" s="1">
        <v>46224</v>
      </c>
      <c r="E1242">
        <v>106.3125</v>
      </c>
      <c r="F1242" t="s">
        <v>4314</v>
      </c>
      <c r="G1242" s="1">
        <v>46224.771787731479</v>
      </c>
      <c r="H1242" t="s">
        <v>593</v>
      </c>
      <c r="I1242" s="1">
        <v>46224.771787812497</v>
      </c>
      <c r="J1242" t="s">
        <v>593</v>
      </c>
    </row>
    <row r="1243" spans="1:10" x14ac:dyDescent="0.35">
      <c r="A1243" t="s">
        <v>1159</v>
      </c>
      <c r="B1243" t="s">
        <v>600</v>
      </c>
      <c r="C1243" t="s">
        <v>592</v>
      </c>
      <c r="D1243" s="1">
        <v>46224</v>
      </c>
      <c r="E1243">
        <v>106.234375</v>
      </c>
      <c r="F1243" t="s">
        <v>4314</v>
      </c>
      <c r="G1243" s="1">
        <v>46224.771787731479</v>
      </c>
      <c r="H1243" t="s">
        <v>593</v>
      </c>
      <c r="I1243" s="1">
        <v>46224.771787812497</v>
      </c>
      <c r="J1243" t="s">
        <v>593</v>
      </c>
    </row>
    <row r="1244" spans="1:10" x14ac:dyDescent="0.35">
      <c r="A1244" t="s">
        <v>1160</v>
      </c>
      <c r="B1244" t="s">
        <v>600</v>
      </c>
      <c r="C1244" t="s">
        <v>592</v>
      </c>
      <c r="D1244" s="1">
        <v>46224</v>
      </c>
      <c r="E1244">
        <v>86.56</v>
      </c>
      <c r="F1244" t="s">
        <v>4314</v>
      </c>
      <c r="G1244" s="1">
        <v>46224.771787731479</v>
      </c>
      <c r="H1244" t="s">
        <v>593</v>
      </c>
      <c r="I1244" s="1">
        <v>46224.771787812497</v>
      </c>
      <c r="J1244" t="s">
        <v>593</v>
      </c>
    </row>
    <row r="1245" spans="1:10" x14ac:dyDescent="0.35">
      <c r="A1245" t="s">
        <v>1161</v>
      </c>
      <c r="B1245" t="s">
        <v>600</v>
      </c>
      <c r="C1245" t="s">
        <v>592</v>
      </c>
      <c r="D1245" s="1">
        <v>46224</v>
      </c>
      <c r="E1245">
        <v>86.55</v>
      </c>
      <c r="F1245" t="s">
        <v>4314</v>
      </c>
      <c r="G1245" s="1">
        <v>46224.771787731479</v>
      </c>
      <c r="H1245" t="s">
        <v>593</v>
      </c>
      <c r="I1245" s="1">
        <v>46224.771787812497</v>
      </c>
      <c r="J1245" t="s">
        <v>593</v>
      </c>
    </row>
    <row r="1246" spans="1:10" x14ac:dyDescent="0.35">
      <c r="A1246" t="s">
        <v>1162</v>
      </c>
      <c r="B1246" t="s">
        <v>591</v>
      </c>
      <c r="C1246" t="s">
        <v>592</v>
      </c>
      <c r="D1246" s="1">
        <v>46224</v>
      </c>
      <c r="E1246">
        <v>4.3020643600684798E-2</v>
      </c>
      <c r="F1246" t="s">
        <v>5342</v>
      </c>
      <c r="G1246" s="1">
        <v>46224.771787731479</v>
      </c>
      <c r="H1246" t="s">
        <v>593</v>
      </c>
      <c r="I1246" s="1">
        <v>46224.771787812497</v>
      </c>
      <c r="J1246" t="s">
        <v>593</v>
      </c>
    </row>
    <row r="1247" spans="1:10" x14ac:dyDescent="0.35">
      <c r="A1247" t="s">
        <v>1163</v>
      </c>
      <c r="B1247" t="s">
        <v>591</v>
      </c>
      <c r="C1247" t="s">
        <v>592</v>
      </c>
      <c r="D1247" s="1">
        <v>46224</v>
      </c>
      <c r="E1247">
        <v>4.6280561701380597E-2</v>
      </c>
      <c r="F1247" t="s">
        <v>5343</v>
      </c>
      <c r="G1247" s="1">
        <v>46224.771787731479</v>
      </c>
      <c r="H1247" t="s">
        <v>593</v>
      </c>
      <c r="I1247" s="1">
        <v>46224.771787812497</v>
      </c>
      <c r="J1247" t="s">
        <v>593</v>
      </c>
    </row>
    <row r="1248" spans="1:10" x14ac:dyDescent="0.35">
      <c r="A1248" t="s">
        <v>1164</v>
      </c>
      <c r="B1248" t="s">
        <v>591</v>
      </c>
      <c r="C1248" t="s">
        <v>592</v>
      </c>
      <c r="D1248" s="1">
        <v>46224</v>
      </c>
      <c r="E1248">
        <v>-0.26288619826976101</v>
      </c>
      <c r="F1248" t="s">
        <v>5344</v>
      </c>
      <c r="G1248" s="1">
        <v>46224.771787731479</v>
      </c>
      <c r="H1248" t="s">
        <v>593</v>
      </c>
      <c r="I1248" s="1">
        <v>46224.771787812497</v>
      </c>
      <c r="J1248" t="s">
        <v>593</v>
      </c>
    </row>
    <row r="1249" spans="1:10" x14ac:dyDescent="0.35">
      <c r="A1249" t="s">
        <v>1165</v>
      </c>
      <c r="B1249" t="s">
        <v>591</v>
      </c>
      <c r="C1249" t="s">
        <v>592</v>
      </c>
      <c r="D1249" s="1">
        <v>46224</v>
      </c>
      <c r="E1249">
        <v>-8.7594944092242902E-2</v>
      </c>
      <c r="F1249" t="s">
        <v>5345</v>
      </c>
      <c r="G1249" s="1">
        <v>46224.771787731479</v>
      </c>
      <c r="H1249" t="s">
        <v>593</v>
      </c>
      <c r="I1249" s="1">
        <v>46224.771787812497</v>
      </c>
      <c r="J1249" t="s">
        <v>593</v>
      </c>
    </row>
    <row r="1250" spans="1:10" x14ac:dyDescent="0.35">
      <c r="A1250" t="s">
        <v>1166</v>
      </c>
      <c r="B1250" t="s">
        <v>591</v>
      </c>
      <c r="C1250" t="s">
        <v>592</v>
      </c>
      <c r="D1250" s="1">
        <v>46224</v>
      </c>
      <c r="E1250">
        <v>5.0564999266141601E-2</v>
      </c>
      <c r="F1250" t="s">
        <v>5346</v>
      </c>
      <c r="G1250" s="1">
        <v>46224.771787731479</v>
      </c>
      <c r="H1250" t="s">
        <v>593</v>
      </c>
      <c r="I1250" s="1">
        <v>46224.771787812497</v>
      </c>
      <c r="J1250" t="s">
        <v>593</v>
      </c>
    </row>
    <row r="1251" spans="1:10" x14ac:dyDescent="0.35">
      <c r="A1251" t="s">
        <v>1167</v>
      </c>
      <c r="B1251" t="s">
        <v>591</v>
      </c>
      <c r="C1251" t="s">
        <v>592</v>
      </c>
      <c r="D1251" s="1">
        <v>46224</v>
      </c>
      <c r="E1251">
        <v>5.2789964266678799E-2</v>
      </c>
      <c r="F1251" t="s">
        <v>5347</v>
      </c>
      <c r="G1251" s="1">
        <v>46224.771787731479</v>
      </c>
      <c r="H1251" t="s">
        <v>593</v>
      </c>
      <c r="I1251" s="1">
        <v>46224.771787812497</v>
      </c>
      <c r="J1251" t="s">
        <v>593</v>
      </c>
    </row>
    <row r="1252" spans="1:10" x14ac:dyDescent="0.35">
      <c r="A1252" t="s">
        <v>1168</v>
      </c>
      <c r="B1252" t="s">
        <v>591</v>
      </c>
      <c r="C1252" t="s">
        <v>592</v>
      </c>
      <c r="D1252" s="1">
        <v>46224</v>
      </c>
      <c r="E1252">
        <v>5.7357521935257297E-2</v>
      </c>
      <c r="F1252" t="s">
        <v>5348</v>
      </c>
      <c r="G1252" s="1">
        <v>46224.771787731479</v>
      </c>
      <c r="H1252" t="s">
        <v>593</v>
      </c>
      <c r="I1252" s="1">
        <v>46224.771787812497</v>
      </c>
      <c r="J1252" t="s">
        <v>593</v>
      </c>
    </row>
    <row r="1253" spans="1:10" x14ac:dyDescent="0.35">
      <c r="A1253" t="s">
        <v>1169</v>
      </c>
      <c r="B1253" t="s">
        <v>591</v>
      </c>
      <c r="C1253" t="s">
        <v>592</v>
      </c>
      <c r="D1253" s="1">
        <v>46224</v>
      </c>
      <c r="E1253">
        <v>2.5014865886062301E-2</v>
      </c>
      <c r="F1253" t="s">
        <v>5349</v>
      </c>
      <c r="G1253" s="1">
        <v>46224.771787731479</v>
      </c>
      <c r="H1253" t="s">
        <v>593</v>
      </c>
      <c r="I1253" s="1">
        <v>46224.771787812497</v>
      </c>
      <c r="J1253" t="s">
        <v>593</v>
      </c>
    </row>
    <row r="1254" spans="1:10" x14ac:dyDescent="0.35">
      <c r="A1254" t="s">
        <v>1170</v>
      </c>
      <c r="B1254" t="s">
        <v>591</v>
      </c>
      <c r="C1254" t="s">
        <v>592</v>
      </c>
      <c r="D1254" s="1">
        <v>46224</v>
      </c>
      <c r="E1254">
        <v>3.8121081508207901E-3</v>
      </c>
      <c r="F1254" t="s">
        <v>5350</v>
      </c>
      <c r="G1254" s="1">
        <v>46224.771787731479</v>
      </c>
      <c r="H1254" t="s">
        <v>593</v>
      </c>
      <c r="I1254" s="1">
        <v>46224.771787812497</v>
      </c>
      <c r="J1254" t="s">
        <v>593</v>
      </c>
    </row>
    <row r="1255" spans="1:10" x14ac:dyDescent="0.35">
      <c r="A1255" t="s">
        <v>1171</v>
      </c>
      <c r="B1255" t="s">
        <v>591</v>
      </c>
      <c r="C1255" t="s">
        <v>592</v>
      </c>
      <c r="D1255" s="1">
        <v>46224</v>
      </c>
      <c r="E1255">
        <v>5.66377010945492E-2</v>
      </c>
      <c r="F1255" t="s">
        <v>5351</v>
      </c>
      <c r="G1255" s="1">
        <v>46224.771787731479</v>
      </c>
      <c r="H1255" t="s">
        <v>593</v>
      </c>
      <c r="I1255" s="1">
        <v>46224.771787812497</v>
      </c>
      <c r="J1255" t="s">
        <v>593</v>
      </c>
    </row>
    <row r="1256" spans="1:10" x14ac:dyDescent="0.35">
      <c r="A1256" t="s">
        <v>1172</v>
      </c>
      <c r="B1256" t="s">
        <v>591</v>
      </c>
      <c r="C1256" t="s">
        <v>592</v>
      </c>
      <c r="D1256" s="1">
        <v>46224</v>
      </c>
      <c r="E1256">
        <v>4.26688303419882E-2</v>
      </c>
      <c r="F1256" t="s">
        <v>5352</v>
      </c>
      <c r="G1256" s="1">
        <v>46224.771787731479</v>
      </c>
      <c r="H1256" t="s">
        <v>593</v>
      </c>
      <c r="I1256" s="1">
        <v>46224.771787812497</v>
      </c>
      <c r="J1256" t="s">
        <v>593</v>
      </c>
    </row>
    <row r="1257" spans="1:10" x14ac:dyDescent="0.35">
      <c r="A1257" t="s">
        <v>1173</v>
      </c>
      <c r="B1257" t="s">
        <v>591</v>
      </c>
      <c r="C1257" t="s">
        <v>592</v>
      </c>
      <c r="D1257" s="1">
        <v>46224</v>
      </c>
      <c r="E1257">
        <v>2.01015888922388E-2</v>
      </c>
      <c r="F1257" t="s">
        <v>5353</v>
      </c>
      <c r="G1257" s="1">
        <v>46224.771787731479</v>
      </c>
      <c r="H1257" t="s">
        <v>593</v>
      </c>
      <c r="I1257" s="1">
        <v>46224.771787812497</v>
      </c>
      <c r="J1257" t="s">
        <v>593</v>
      </c>
    </row>
    <row r="1258" spans="1:10" x14ac:dyDescent="0.35">
      <c r="A1258" t="s">
        <v>1174</v>
      </c>
      <c r="B1258" t="s">
        <v>591</v>
      </c>
      <c r="C1258" t="s">
        <v>592</v>
      </c>
      <c r="D1258" s="1">
        <v>46224</v>
      </c>
      <c r="E1258">
        <v>5.52649460549779E-2</v>
      </c>
      <c r="F1258" t="s">
        <v>5354</v>
      </c>
      <c r="G1258" s="1">
        <v>46224.771787731479</v>
      </c>
      <c r="H1258" t="s">
        <v>593</v>
      </c>
      <c r="I1258" s="1">
        <v>46224.771787812497</v>
      </c>
      <c r="J1258" t="s">
        <v>593</v>
      </c>
    </row>
    <row r="1259" spans="1:10" x14ac:dyDescent="0.35">
      <c r="A1259" t="s">
        <v>1175</v>
      </c>
      <c r="B1259" t="s">
        <v>591</v>
      </c>
      <c r="C1259" t="s">
        <v>592</v>
      </c>
      <c r="D1259" s="1">
        <v>46224</v>
      </c>
      <c r="E1259">
        <v>4.4768564471991103E-2</v>
      </c>
      <c r="F1259" t="s">
        <v>5355</v>
      </c>
      <c r="G1259" s="1">
        <v>46224.771787731479</v>
      </c>
      <c r="H1259" t="s">
        <v>593</v>
      </c>
      <c r="I1259" s="1">
        <v>46224.771787812497</v>
      </c>
      <c r="J1259" t="s">
        <v>593</v>
      </c>
    </row>
    <row r="1260" spans="1:10" x14ac:dyDescent="0.35">
      <c r="A1260" t="s">
        <v>1176</v>
      </c>
      <c r="B1260" t="s">
        <v>591</v>
      </c>
      <c r="C1260" t="s">
        <v>592</v>
      </c>
      <c r="D1260" s="1">
        <v>46224</v>
      </c>
      <c r="E1260">
        <v>2.4996527636620101E-2</v>
      </c>
      <c r="F1260" t="s">
        <v>5356</v>
      </c>
      <c r="G1260" s="1">
        <v>46224.771787731479</v>
      </c>
      <c r="H1260" t="s">
        <v>593</v>
      </c>
      <c r="I1260" s="1">
        <v>46224.771787812497</v>
      </c>
      <c r="J1260" t="s">
        <v>593</v>
      </c>
    </row>
    <row r="1261" spans="1:10" x14ac:dyDescent="0.35">
      <c r="A1261" t="s">
        <v>1177</v>
      </c>
      <c r="B1261" t="s">
        <v>591</v>
      </c>
      <c r="C1261" t="s">
        <v>592</v>
      </c>
      <c r="D1261" s="1">
        <v>46224</v>
      </c>
      <c r="E1261">
        <v>5.7017359401483003E-2</v>
      </c>
      <c r="F1261" t="s">
        <v>5357</v>
      </c>
      <c r="G1261" s="1">
        <v>46224.771787731479</v>
      </c>
      <c r="H1261" t="s">
        <v>593</v>
      </c>
      <c r="I1261" s="1">
        <v>46224.771787812497</v>
      </c>
      <c r="J1261" t="s">
        <v>593</v>
      </c>
    </row>
    <row r="1262" spans="1:10" x14ac:dyDescent="0.35">
      <c r="A1262" t="s">
        <v>1178</v>
      </c>
      <c r="B1262" t="s">
        <v>591</v>
      </c>
      <c r="C1262" t="s">
        <v>592</v>
      </c>
      <c r="D1262" s="1">
        <v>46224</v>
      </c>
      <c r="E1262">
        <v>1.3009043368403E-2</v>
      </c>
      <c r="F1262" t="s">
        <v>5358</v>
      </c>
      <c r="G1262" s="1">
        <v>46224.771787731479</v>
      </c>
      <c r="H1262" t="s">
        <v>593</v>
      </c>
      <c r="I1262" s="1">
        <v>46224.771787812497</v>
      </c>
      <c r="J1262" t="s">
        <v>593</v>
      </c>
    </row>
    <row r="1263" spans="1:10" x14ac:dyDescent="0.35">
      <c r="A1263" t="s">
        <v>1179</v>
      </c>
      <c r="B1263" t="s">
        <v>591</v>
      </c>
      <c r="C1263" t="s">
        <v>592</v>
      </c>
      <c r="D1263" s="1">
        <v>46224</v>
      </c>
      <c r="E1263">
        <v>5.3385917065617898E-2</v>
      </c>
      <c r="F1263" t="s">
        <v>5359</v>
      </c>
      <c r="G1263" s="1">
        <v>46224.771787731479</v>
      </c>
      <c r="H1263" t="s">
        <v>593</v>
      </c>
      <c r="I1263" s="1">
        <v>46224.771787812497</v>
      </c>
      <c r="J1263" t="s">
        <v>593</v>
      </c>
    </row>
    <row r="1264" spans="1:10" x14ac:dyDescent="0.35">
      <c r="A1264" t="s">
        <v>1180</v>
      </c>
      <c r="B1264" t="s">
        <v>591</v>
      </c>
      <c r="C1264" t="s">
        <v>592</v>
      </c>
      <c r="D1264" s="1">
        <v>46224</v>
      </c>
      <c r="E1264">
        <v>2.2494486016268099E-2</v>
      </c>
      <c r="F1264" t="s">
        <v>5360</v>
      </c>
      <c r="G1264" s="1">
        <v>46224.771787731479</v>
      </c>
      <c r="H1264" t="s">
        <v>593</v>
      </c>
      <c r="I1264" s="1">
        <v>46224.771787812497</v>
      </c>
      <c r="J1264" t="s">
        <v>593</v>
      </c>
    </row>
    <row r="1265" spans="1:10" x14ac:dyDescent="0.35">
      <c r="A1265" t="s">
        <v>1181</v>
      </c>
      <c r="B1265" t="s">
        <v>591</v>
      </c>
      <c r="C1265" t="s">
        <v>592</v>
      </c>
      <c r="D1265" s="1">
        <v>46224</v>
      </c>
      <c r="E1265">
        <v>2.35420232720405E-2</v>
      </c>
      <c r="F1265" t="s">
        <v>5361</v>
      </c>
      <c r="G1265" s="1">
        <v>46224.771787731479</v>
      </c>
      <c r="H1265" t="s">
        <v>593</v>
      </c>
      <c r="I1265" s="1">
        <v>46224.771787812497</v>
      </c>
      <c r="J1265" t="s">
        <v>593</v>
      </c>
    </row>
    <row r="1266" spans="1:10" x14ac:dyDescent="0.35">
      <c r="A1266" t="s">
        <v>1182</v>
      </c>
      <c r="B1266" t="s">
        <v>591</v>
      </c>
      <c r="C1266" t="s">
        <v>592</v>
      </c>
      <c r="D1266" s="1">
        <v>46224</v>
      </c>
      <c r="E1266">
        <v>7.4226913113982799E-3</v>
      </c>
      <c r="F1266" t="s">
        <v>5362</v>
      </c>
      <c r="G1266" s="1">
        <v>46224.771787731479</v>
      </c>
      <c r="H1266" t="s">
        <v>593</v>
      </c>
      <c r="I1266" s="1">
        <v>46224.771787812497</v>
      </c>
      <c r="J1266" t="s">
        <v>593</v>
      </c>
    </row>
    <row r="1267" spans="1:10" x14ac:dyDescent="0.35">
      <c r="A1267" t="s">
        <v>1183</v>
      </c>
      <c r="B1267" t="s">
        <v>591</v>
      </c>
      <c r="C1267" t="s">
        <v>592</v>
      </c>
      <c r="D1267" s="1">
        <v>46224</v>
      </c>
      <c r="E1267">
        <v>2.5376475575153601E-2</v>
      </c>
      <c r="F1267" t="s">
        <v>5363</v>
      </c>
      <c r="G1267" s="1">
        <v>46224.771787731479</v>
      </c>
      <c r="H1267" t="s">
        <v>593</v>
      </c>
      <c r="I1267" s="1">
        <v>46224.771787812497</v>
      </c>
      <c r="J1267" t="s">
        <v>593</v>
      </c>
    </row>
    <row r="1268" spans="1:10" x14ac:dyDescent="0.35">
      <c r="A1268" t="s">
        <v>1184</v>
      </c>
      <c r="B1268" t="s">
        <v>591</v>
      </c>
      <c r="C1268" t="s">
        <v>592</v>
      </c>
      <c r="D1268" s="1">
        <v>46224</v>
      </c>
      <c r="E1268">
        <v>1.61878744068275E-2</v>
      </c>
      <c r="F1268" t="s">
        <v>5364</v>
      </c>
      <c r="G1268" s="1">
        <v>46224.771787731479</v>
      </c>
      <c r="H1268" t="s">
        <v>593</v>
      </c>
      <c r="I1268" s="1">
        <v>46224.771787812497</v>
      </c>
      <c r="J1268" t="s">
        <v>593</v>
      </c>
    </row>
    <row r="1269" spans="1:10" x14ac:dyDescent="0.35">
      <c r="A1269" t="s">
        <v>1185</v>
      </c>
      <c r="B1269" t="s">
        <v>591</v>
      </c>
      <c r="C1269" t="s">
        <v>592</v>
      </c>
      <c r="D1269" s="1">
        <v>46224</v>
      </c>
      <c r="E1269">
        <v>2.38656224445889E-2</v>
      </c>
      <c r="F1269" t="s">
        <v>5365</v>
      </c>
      <c r="G1269" s="1">
        <v>46224.771787731479</v>
      </c>
      <c r="H1269" t="s">
        <v>593</v>
      </c>
      <c r="I1269" s="1">
        <v>46224.771787812497</v>
      </c>
      <c r="J1269" t="s">
        <v>593</v>
      </c>
    </row>
    <row r="1270" spans="1:10" x14ac:dyDescent="0.35">
      <c r="A1270" t="s">
        <v>1186</v>
      </c>
      <c r="B1270" t="s">
        <v>591</v>
      </c>
      <c r="C1270" t="s">
        <v>592</v>
      </c>
      <c r="D1270" s="1">
        <v>46224</v>
      </c>
      <c r="E1270">
        <v>4.8850058284557199E-2</v>
      </c>
      <c r="F1270" t="s">
        <v>5366</v>
      </c>
      <c r="G1270" s="1">
        <v>46224.771787731479</v>
      </c>
      <c r="H1270" t="s">
        <v>593</v>
      </c>
      <c r="I1270" s="1">
        <v>46224.771787812497</v>
      </c>
      <c r="J1270" t="s">
        <v>593</v>
      </c>
    </row>
    <row r="1271" spans="1:10" x14ac:dyDescent="0.35">
      <c r="A1271" t="s">
        <v>1187</v>
      </c>
      <c r="B1271" t="s">
        <v>591</v>
      </c>
      <c r="C1271" t="s">
        <v>592</v>
      </c>
      <c r="D1271" s="1">
        <v>46224</v>
      </c>
      <c r="E1271">
        <v>5.70160868472031E-2</v>
      </c>
      <c r="F1271" t="s">
        <v>5367</v>
      </c>
      <c r="G1271" s="1">
        <v>46224.771787731479</v>
      </c>
      <c r="H1271" t="s">
        <v>593</v>
      </c>
      <c r="I1271" s="1">
        <v>46224.771787812497</v>
      </c>
      <c r="J1271" t="s">
        <v>593</v>
      </c>
    </row>
    <row r="1272" spans="1:10" x14ac:dyDescent="0.35">
      <c r="A1272" t="s">
        <v>1188</v>
      </c>
      <c r="B1272" t="s">
        <v>591</v>
      </c>
      <c r="C1272" t="s">
        <v>592</v>
      </c>
      <c r="D1272" s="1">
        <v>46224</v>
      </c>
      <c r="E1272">
        <v>5.4126712581308203E-2</v>
      </c>
      <c r="F1272" t="s">
        <v>5368</v>
      </c>
      <c r="G1272" s="1">
        <v>46224.771787731479</v>
      </c>
      <c r="H1272" t="s">
        <v>593</v>
      </c>
      <c r="I1272" s="1">
        <v>46224.771787812497</v>
      </c>
      <c r="J1272" t="s">
        <v>593</v>
      </c>
    </row>
    <row r="1273" spans="1:10" x14ac:dyDescent="0.35">
      <c r="A1273" t="s">
        <v>1189</v>
      </c>
      <c r="B1273" t="s">
        <v>591</v>
      </c>
      <c r="C1273" t="s">
        <v>592</v>
      </c>
      <c r="D1273" s="1">
        <v>46224</v>
      </c>
      <c r="E1273">
        <v>5.7321458715707201E-2</v>
      </c>
      <c r="F1273" t="s">
        <v>5369</v>
      </c>
      <c r="G1273" s="1">
        <v>46224.771787731479</v>
      </c>
      <c r="H1273" t="s">
        <v>593</v>
      </c>
      <c r="I1273" s="1">
        <v>46224.771787812497</v>
      </c>
      <c r="J1273" t="s">
        <v>593</v>
      </c>
    </row>
    <row r="1274" spans="1:10" x14ac:dyDescent="0.35">
      <c r="A1274" t="s">
        <v>1190</v>
      </c>
      <c r="B1274" t="s">
        <v>591</v>
      </c>
      <c r="C1274" t="s">
        <v>592</v>
      </c>
      <c r="D1274" s="1">
        <v>46224</v>
      </c>
      <c r="E1274">
        <v>2.5300397392312102E-2</v>
      </c>
      <c r="F1274" t="s">
        <v>5370</v>
      </c>
      <c r="G1274" s="1">
        <v>46224.771787731479</v>
      </c>
      <c r="H1274" t="s">
        <v>593</v>
      </c>
      <c r="I1274" s="1">
        <v>46224.771787812497</v>
      </c>
      <c r="J1274" t="s">
        <v>593</v>
      </c>
    </row>
    <row r="1275" spans="1:10" x14ac:dyDescent="0.35">
      <c r="A1275" t="s">
        <v>1191</v>
      </c>
      <c r="B1275" t="s">
        <v>591</v>
      </c>
      <c r="C1275" t="s">
        <v>592</v>
      </c>
      <c r="D1275" s="1">
        <v>46224</v>
      </c>
      <c r="E1275">
        <v>2.44727438693788E-2</v>
      </c>
      <c r="F1275" t="s">
        <v>5371</v>
      </c>
      <c r="G1275" s="1">
        <v>46224.771787731479</v>
      </c>
      <c r="H1275" t="s">
        <v>593</v>
      </c>
      <c r="I1275" s="1">
        <v>46224.771787812497</v>
      </c>
      <c r="J1275" t="s">
        <v>593</v>
      </c>
    </row>
    <row r="1276" spans="1:10" x14ac:dyDescent="0.35">
      <c r="A1276" t="s">
        <v>1192</v>
      </c>
      <c r="B1276" t="s">
        <v>591</v>
      </c>
      <c r="C1276" t="s">
        <v>592</v>
      </c>
      <c r="D1276" s="1">
        <v>46224</v>
      </c>
      <c r="E1276">
        <v>5.6153318949443101E-2</v>
      </c>
      <c r="F1276" t="s">
        <v>5372</v>
      </c>
      <c r="G1276" s="1">
        <v>46224.771787731479</v>
      </c>
      <c r="H1276" t="s">
        <v>593</v>
      </c>
      <c r="I1276" s="1">
        <v>46224.771787812497</v>
      </c>
      <c r="J1276" t="s">
        <v>593</v>
      </c>
    </row>
    <row r="1277" spans="1:10" x14ac:dyDescent="0.35">
      <c r="A1277" t="s">
        <v>1193</v>
      </c>
      <c r="B1277" t="s">
        <v>591</v>
      </c>
      <c r="C1277" t="s">
        <v>592</v>
      </c>
      <c r="D1277" s="1">
        <v>46224</v>
      </c>
      <c r="E1277">
        <v>5.6299441237490699E-2</v>
      </c>
      <c r="F1277" t="s">
        <v>5373</v>
      </c>
      <c r="G1277" s="1">
        <v>46224.771787731479</v>
      </c>
      <c r="H1277" t="s">
        <v>593</v>
      </c>
      <c r="I1277" s="1">
        <v>46224.771787812497</v>
      </c>
      <c r="J1277" t="s">
        <v>593</v>
      </c>
    </row>
    <row r="1278" spans="1:10" x14ac:dyDescent="0.35">
      <c r="A1278" t="s">
        <v>1194</v>
      </c>
      <c r="B1278" t="s">
        <v>591</v>
      </c>
      <c r="C1278" t="s">
        <v>592</v>
      </c>
      <c r="D1278" s="1">
        <v>46224</v>
      </c>
      <c r="E1278">
        <v>5.7285232681849797E-2</v>
      </c>
      <c r="F1278" t="s">
        <v>5374</v>
      </c>
      <c r="G1278" s="1">
        <v>46224.771787731479</v>
      </c>
      <c r="H1278" t="s">
        <v>593</v>
      </c>
      <c r="I1278" s="1">
        <v>46224.771787812497</v>
      </c>
      <c r="J1278" t="s">
        <v>593</v>
      </c>
    </row>
    <row r="1279" spans="1:10" x14ac:dyDescent="0.35">
      <c r="A1279" t="s">
        <v>1195</v>
      </c>
      <c r="B1279" t="s">
        <v>591</v>
      </c>
      <c r="C1279" t="s">
        <v>592</v>
      </c>
      <c r="D1279" s="1">
        <v>46224</v>
      </c>
      <c r="E1279">
        <v>2.30546518002245E-2</v>
      </c>
      <c r="F1279" t="s">
        <v>5375</v>
      </c>
      <c r="G1279" s="1">
        <v>46224.771787731479</v>
      </c>
      <c r="H1279" t="s">
        <v>593</v>
      </c>
      <c r="I1279" s="1">
        <v>46224.771787812497</v>
      </c>
      <c r="J1279" t="s">
        <v>593</v>
      </c>
    </row>
    <row r="1280" spans="1:10" x14ac:dyDescent="0.35">
      <c r="A1280" t="s">
        <v>1196</v>
      </c>
      <c r="B1280" t="s">
        <v>591</v>
      </c>
      <c r="C1280" t="s">
        <v>592</v>
      </c>
      <c r="D1280" s="1">
        <v>46224</v>
      </c>
      <c r="E1280">
        <v>5.71427653825477E-2</v>
      </c>
      <c r="F1280" t="s">
        <v>5376</v>
      </c>
      <c r="G1280" s="1">
        <v>46224.771787731479</v>
      </c>
      <c r="H1280" t="s">
        <v>593</v>
      </c>
      <c r="I1280" s="1">
        <v>46224.771787812497</v>
      </c>
      <c r="J1280" t="s">
        <v>593</v>
      </c>
    </row>
    <row r="1281" spans="1:10" x14ac:dyDescent="0.35">
      <c r="A1281" t="s">
        <v>1197</v>
      </c>
      <c r="B1281" t="s">
        <v>591</v>
      </c>
      <c r="C1281" t="s">
        <v>592</v>
      </c>
      <c r="D1281" s="1">
        <v>46224</v>
      </c>
      <c r="E1281">
        <v>4.2399618126903099E-2</v>
      </c>
      <c r="F1281" t="s">
        <v>5377</v>
      </c>
      <c r="G1281" s="1">
        <v>46224.771787731479</v>
      </c>
      <c r="H1281" t="s">
        <v>593</v>
      </c>
      <c r="I1281" s="1">
        <v>46224.771787812497</v>
      </c>
      <c r="J1281" t="s">
        <v>593</v>
      </c>
    </row>
    <row r="1282" spans="1:10" x14ac:dyDescent="0.35">
      <c r="A1282" t="s">
        <v>1198</v>
      </c>
      <c r="B1282" t="s">
        <v>591</v>
      </c>
      <c r="C1282" t="s">
        <v>592</v>
      </c>
      <c r="D1282" s="1">
        <v>46224</v>
      </c>
      <c r="E1282">
        <v>2.2516680853486602E-2</v>
      </c>
      <c r="F1282" t="s">
        <v>5378</v>
      </c>
      <c r="G1282" s="1">
        <v>46224.771787731479</v>
      </c>
      <c r="H1282" t="s">
        <v>593</v>
      </c>
      <c r="I1282" s="1">
        <v>46224.771787812497</v>
      </c>
      <c r="J1282" t="s">
        <v>593</v>
      </c>
    </row>
    <row r="1283" spans="1:10" x14ac:dyDescent="0.35">
      <c r="A1283" t="s">
        <v>1199</v>
      </c>
      <c r="B1283" t="s">
        <v>591</v>
      </c>
      <c r="C1283" t="s">
        <v>592</v>
      </c>
      <c r="D1283" s="1">
        <v>46224</v>
      </c>
      <c r="E1283">
        <v>5.4297311425580502E-2</v>
      </c>
      <c r="F1283" t="s">
        <v>5379</v>
      </c>
      <c r="G1283" s="1">
        <v>46224.771787731479</v>
      </c>
      <c r="H1283" t="s">
        <v>593</v>
      </c>
      <c r="I1283" s="1">
        <v>46224.771787812497</v>
      </c>
      <c r="J1283" t="s">
        <v>593</v>
      </c>
    </row>
    <row r="1284" spans="1:10" x14ac:dyDescent="0.35">
      <c r="A1284" t="s">
        <v>1200</v>
      </c>
      <c r="B1284" t="s">
        <v>591</v>
      </c>
      <c r="C1284" t="s">
        <v>592</v>
      </c>
      <c r="D1284" s="1">
        <v>46224</v>
      </c>
      <c r="E1284">
        <v>5.7216486844274397E-2</v>
      </c>
      <c r="F1284" t="s">
        <v>5380</v>
      </c>
      <c r="G1284" s="1">
        <v>46224.771787731479</v>
      </c>
      <c r="H1284" t="s">
        <v>593</v>
      </c>
      <c r="I1284" s="1">
        <v>46224.771787812497</v>
      </c>
      <c r="J1284" t="s">
        <v>593</v>
      </c>
    </row>
    <row r="1285" spans="1:10" x14ac:dyDescent="0.35">
      <c r="A1285" t="s">
        <v>1201</v>
      </c>
      <c r="B1285" t="s">
        <v>591</v>
      </c>
      <c r="C1285" t="s">
        <v>592</v>
      </c>
      <c r="D1285" s="1">
        <v>46224</v>
      </c>
      <c r="E1285">
        <v>4.3418619749406001E-2</v>
      </c>
      <c r="F1285" t="s">
        <v>5381</v>
      </c>
      <c r="G1285" s="1">
        <v>46224.771787731479</v>
      </c>
      <c r="H1285" t="s">
        <v>593</v>
      </c>
      <c r="I1285" s="1">
        <v>46224.771787812497</v>
      </c>
      <c r="J1285" t="s">
        <v>593</v>
      </c>
    </row>
    <row r="1286" spans="1:10" x14ac:dyDescent="0.35">
      <c r="A1286" t="s">
        <v>1202</v>
      </c>
      <c r="B1286" t="s">
        <v>591</v>
      </c>
      <c r="C1286" t="s">
        <v>592</v>
      </c>
      <c r="D1286" s="1">
        <v>46224</v>
      </c>
      <c r="E1286">
        <v>5.7548256560585397E-2</v>
      </c>
      <c r="F1286" t="s">
        <v>5382</v>
      </c>
      <c r="G1286" s="1">
        <v>46224.771787731479</v>
      </c>
      <c r="H1286" t="s">
        <v>593</v>
      </c>
      <c r="I1286" s="1">
        <v>46224.771787812497</v>
      </c>
      <c r="J1286" t="s">
        <v>593</v>
      </c>
    </row>
    <row r="1287" spans="1:10" x14ac:dyDescent="0.35">
      <c r="A1287" t="s">
        <v>1203</v>
      </c>
      <c r="B1287" t="s">
        <v>591</v>
      </c>
      <c r="C1287" t="s">
        <v>592</v>
      </c>
      <c r="D1287" s="1">
        <v>46224</v>
      </c>
      <c r="E1287">
        <v>4.4260331623756297E-2</v>
      </c>
      <c r="F1287" t="s">
        <v>5383</v>
      </c>
      <c r="G1287" s="1">
        <v>46224.771787731479</v>
      </c>
      <c r="H1287" t="s">
        <v>593</v>
      </c>
      <c r="I1287" s="1">
        <v>46224.771787812497</v>
      </c>
      <c r="J1287" t="s">
        <v>593</v>
      </c>
    </row>
    <row r="1288" spans="1:10" x14ac:dyDescent="0.35">
      <c r="A1288" t="s">
        <v>1204</v>
      </c>
      <c r="B1288" t="s">
        <v>591</v>
      </c>
      <c r="C1288" t="s">
        <v>592</v>
      </c>
      <c r="D1288" s="1">
        <v>46224</v>
      </c>
      <c r="E1288">
        <v>5.44021869991596E-2</v>
      </c>
      <c r="F1288" t="s">
        <v>5384</v>
      </c>
      <c r="G1288" s="1">
        <v>46224.771787731479</v>
      </c>
      <c r="H1288" t="s">
        <v>593</v>
      </c>
      <c r="I1288" s="1">
        <v>46224.771787812497</v>
      </c>
      <c r="J1288" t="s">
        <v>593</v>
      </c>
    </row>
    <row r="1289" spans="1:10" x14ac:dyDescent="0.35">
      <c r="A1289" t="s">
        <v>1205</v>
      </c>
      <c r="B1289" t="s">
        <v>591</v>
      </c>
      <c r="C1289" t="s">
        <v>592</v>
      </c>
      <c r="D1289" s="1">
        <v>46224</v>
      </c>
      <c r="E1289">
        <v>4.46181854381009E-2</v>
      </c>
      <c r="F1289" t="s">
        <v>5385</v>
      </c>
      <c r="G1289" s="1">
        <v>46224.771787731479</v>
      </c>
      <c r="H1289" t="s">
        <v>593</v>
      </c>
      <c r="I1289" s="1">
        <v>46224.771787812497</v>
      </c>
      <c r="J1289" t="s">
        <v>593</v>
      </c>
    </row>
    <row r="1290" spans="1:10" x14ac:dyDescent="0.35">
      <c r="A1290" t="s">
        <v>1206</v>
      </c>
      <c r="B1290" t="s">
        <v>591</v>
      </c>
      <c r="C1290" t="s">
        <v>592</v>
      </c>
      <c r="D1290" s="1">
        <v>46224</v>
      </c>
      <c r="E1290">
        <v>4.1020748717439701E-2</v>
      </c>
      <c r="F1290" t="s">
        <v>5386</v>
      </c>
      <c r="G1290" s="1">
        <v>46224.771787731479</v>
      </c>
      <c r="H1290" t="s">
        <v>593</v>
      </c>
      <c r="I1290" s="1">
        <v>46224.771787812497</v>
      </c>
      <c r="J1290" t="s">
        <v>593</v>
      </c>
    </row>
    <row r="1291" spans="1:10" x14ac:dyDescent="0.35">
      <c r="A1291" t="s">
        <v>1207</v>
      </c>
      <c r="B1291" t="s">
        <v>591</v>
      </c>
      <c r="C1291" t="s">
        <v>592</v>
      </c>
      <c r="D1291" s="1">
        <v>46224</v>
      </c>
      <c r="E1291">
        <v>5.2929816209600501E-2</v>
      </c>
      <c r="F1291" t="s">
        <v>5387</v>
      </c>
      <c r="G1291" s="1">
        <v>46224.771787731479</v>
      </c>
      <c r="H1291" t="s">
        <v>593</v>
      </c>
      <c r="I1291" s="1">
        <v>46224.771787812497</v>
      </c>
      <c r="J1291" t="s">
        <v>593</v>
      </c>
    </row>
    <row r="1292" spans="1:10" x14ac:dyDescent="0.35">
      <c r="A1292" t="s">
        <v>1208</v>
      </c>
      <c r="B1292" t="s">
        <v>591</v>
      </c>
      <c r="C1292" t="s">
        <v>592</v>
      </c>
      <c r="D1292" s="1">
        <v>46224</v>
      </c>
      <c r="E1292">
        <v>5.7721783204377201E-2</v>
      </c>
      <c r="F1292" t="s">
        <v>5388</v>
      </c>
      <c r="G1292" s="1">
        <v>46224.771787731479</v>
      </c>
      <c r="H1292" t="s">
        <v>593</v>
      </c>
      <c r="I1292" s="1">
        <v>46224.771787812497</v>
      </c>
      <c r="J1292" t="s">
        <v>593</v>
      </c>
    </row>
    <row r="1293" spans="1:10" x14ac:dyDescent="0.35">
      <c r="A1293" t="s">
        <v>1209</v>
      </c>
      <c r="B1293" t="s">
        <v>591</v>
      </c>
      <c r="C1293" t="s">
        <v>592</v>
      </c>
      <c r="D1293" s="1">
        <v>46224</v>
      </c>
      <c r="E1293">
        <v>4.3533023731408799E-2</v>
      </c>
      <c r="F1293" t="s">
        <v>5389</v>
      </c>
      <c r="G1293" s="1">
        <v>46224.771787731479</v>
      </c>
      <c r="H1293" t="s">
        <v>593</v>
      </c>
      <c r="I1293" s="1">
        <v>46224.771787812497</v>
      </c>
      <c r="J1293" t="s">
        <v>593</v>
      </c>
    </row>
    <row r="1294" spans="1:10" x14ac:dyDescent="0.35">
      <c r="A1294" t="s">
        <v>1210</v>
      </c>
      <c r="B1294" t="s">
        <v>591</v>
      </c>
      <c r="C1294" t="s">
        <v>592</v>
      </c>
      <c r="D1294" s="1">
        <v>46224</v>
      </c>
      <c r="E1294">
        <v>5.2817667291930603E-2</v>
      </c>
      <c r="F1294" t="s">
        <v>5390</v>
      </c>
      <c r="G1294" s="1">
        <v>46224.771787731479</v>
      </c>
      <c r="H1294" t="s">
        <v>593</v>
      </c>
      <c r="I1294" s="1">
        <v>46224.771787812497</v>
      </c>
      <c r="J1294" t="s">
        <v>593</v>
      </c>
    </row>
    <row r="1295" spans="1:10" x14ac:dyDescent="0.35">
      <c r="A1295" t="s">
        <v>1211</v>
      </c>
      <c r="B1295" t="s">
        <v>591</v>
      </c>
      <c r="C1295" t="s">
        <v>592</v>
      </c>
      <c r="D1295" s="1">
        <v>46224</v>
      </c>
      <c r="E1295">
        <v>4.8108891450401502E-2</v>
      </c>
      <c r="F1295" t="s">
        <v>5391</v>
      </c>
      <c r="G1295" s="1">
        <v>46224.771787731479</v>
      </c>
      <c r="H1295" t="s">
        <v>593</v>
      </c>
      <c r="I1295" s="1">
        <v>46224.771787812497</v>
      </c>
      <c r="J1295" t="s">
        <v>593</v>
      </c>
    </row>
    <row r="1296" spans="1:10" x14ac:dyDescent="0.35">
      <c r="A1296" t="s">
        <v>1212</v>
      </c>
      <c r="B1296" t="s">
        <v>591</v>
      </c>
      <c r="C1296" t="s">
        <v>592</v>
      </c>
      <c r="D1296" s="1">
        <v>46224</v>
      </c>
      <c r="E1296">
        <v>4.64904474835518E-2</v>
      </c>
      <c r="F1296" t="s">
        <v>5392</v>
      </c>
      <c r="G1296" s="1">
        <v>46224.771787731479</v>
      </c>
      <c r="H1296" t="s">
        <v>593</v>
      </c>
      <c r="I1296" s="1">
        <v>46224.771787812497</v>
      </c>
      <c r="J1296" t="s">
        <v>593</v>
      </c>
    </row>
    <row r="1297" spans="1:10" x14ac:dyDescent="0.35">
      <c r="A1297" t="s">
        <v>1213</v>
      </c>
      <c r="B1297" t="s">
        <v>591</v>
      </c>
      <c r="C1297" t="s">
        <v>592</v>
      </c>
      <c r="D1297" s="1">
        <v>46224</v>
      </c>
      <c r="E1297">
        <v>5.7804369771822302E-2</v>
      </c>
      <c r="F1297" t="s">
        <v>5393</v>
      </c>
      <c r="G1297" s="1">
        <v>46224.771787731479</v>
      </c>
      <c r="H1297" t="s">
        <v>593</v>
      </c>
      <c r="I1297" s="1">
        <v>46224.771787812497</v>
      </c>
      <c r="J1297" t="s">
        <v>593</v>
      </c>
    </row>
    <row r="1298" spans="1:10" x14ac:dyDescent="0.35">
      <c r="A1298" t="s">
        <v>1214</v>
      </c>
      <c r="B1298" t="s">
        <v>591</v>
      </c>
      <c r="C1298" t="s">
        <v>592</v>
      </c>
      <c r="D1298" s="1">
        <v>46224</v>
      </c>
      <c r="E1298">
        <v>1.9674467178227999E-2</v>
      </c>
      <c r="F1298" t="s">
        <v>5394</v>
      </c>
      <c r="G1298" s="1">
        <v>46224.771787731479</v>
      </c>
      <c r="H1298" t="s">
        <v>593</v>
      </c>
      <c r="I1298" s="1">
        <v>46224.771787812497</v>
      </c>
      <c r="J1298" t="s">
        <v>593</v>
      </c>
    </row>
    <row r="1299" spans="1:10" x14ac:dyDescent="0.35">
      <c r="A1299" t="s">
        <v>1215</v>
      </c>
      <c r="B1299" t="s">
        <v>591</v>
      </c>
      <c r="C1299" t="s">
        <v>592</v>
      </c>
      <c r="D1299" s="1">
        <v>46224</v>
      </c>
      <c r="E1299">
        <v>5.4627953768145998E-2</v>
      </c>
      <c r="F1299" t="s">
        <v>5395</v>
      </c>
      <c r="G1299" s="1">
        <v>46224.771787731479</v>
      </c>
      <c r="H1299" t="s">
        <v>593</v>
      </c>
      <c r="I1299" s="1">
        <v>46224.771787812497</v>
      </c>
      <c r="J1299" t="s">
        <v>593</v>
      </c>
    </row>
    <row r="1300" spans="1:10" x14ac:dyDescent="0.35">
      <c r="A1300" t="s">
        <v>1216</v>
      </c>
      <c r="B1300" t="s">
        <v>591</v>
      </c>
      <c r="C1300" t="s">
        <v>592</v>
      </c>
      <c r="D1300" s="1">
        <v>46224</v>
      </c>
      <c r="E1300">
        <v>5.7323466807442901E-2</v>
      </c>
      <c r="F1300" t="s">
        <v>5396</v>
      </c>
      <c r="G1300" s="1">
        <v>46224.771787731479</v>
      </c>
      <c r="H1300" t="s">
        <v>593</v>
      </c>
      <c r="I1300" s="1">
        <v>46224.771787812497</v>
      </c>
      <c r="J1300" t="s">
        <v>593</v>
      </c>
    </row>
    <row r="1301" spans="1:10" x14ac:dyDescent="0.35">
      <c r="A1301" t="s">
        <v>1217</v>
      </c>
      <c r="B1301" t="s">
        <v>591</v>
      </c>
      <c r="C1301" t="s">
        <v>592</v>
      </c>
      <c r="D1301" s="1">
        <v>46224</v>
      </c>
      <c r="E1301">
        <v>4.1617764167725599E-2</v>
      </c>
      <c r="F1301" t="s">
        <v>5397</v>
      </c>
      <c r="G1301" s="1">
        <v>46224.771787731479</v>
      </c>
      <c r="H1301" t="s">
        <v>593</v>
      </c>
      <c r="I1301" s="1">
        <v>46224.771787812497</v>
      </c>
      <c r="J1301" t="s">
        <v>593</v>
      </c>
    </row>
    <row r="1302" spans="1:10" x14ac:dyDescent="0.35">
      <c r="A1302" t="s">
        <v>1218</v>
      </c>
      <c r="B1302" t="s">
        <v>591</v>
      </c>
      <c r="C1302" t="s">
        <v>592</v>
      </c>
      <c r="D1302" s="1">
        <v>46224</v>
      </c>
      <c r="E1302">
        <v>5.6934868522161799E-2</v>
      </c>
      <c r="F1302" t="s">
        <v>5398</v>
      </c>
      <c r="G1302" s="1">
        <v>46224.771787731479</v>
      </c>
      <c r="H1302" t="s">
        <v>593</v>
      </c>
      <c r="I1302" s="1">
        <v>46224.771787812497</v>
      </c>
      <c r="J1302" t="s">
        <v>593</v>
      </c>
    </row>
    <row r="1303" spans="1:10" x14ac:dyDescent="0.35">
      <c r="A1303" t="s">
        <v>1219</v>
      </c>
      <c r="B1303" t="s">
        <v>591</v>
      </c>
      <c r="C1303" t="s">
        <v>592</v>
      </c>
      <c r="D1303" s="1">
        <v>46224</v>
      </c>
      <c r="E1303">
        <v>4.3990239852265599E-2</v>
      </c>
      <c r="F1303" t="s">
        <v>5399</v>
      </c>
      <c r="G1303" s="1">
        <v>46224.771787731479</v>
      </c>
      <c r="H1303" t="s">
        <v>593</v>
      </c>
      <c r="I1303" s="1">
        <v>46224.771787812497</v>
      </c>
      <c r="J1303" t="s">
        <v>593</v>
      </c>
    </row>
    <row r="1304" spans="1:10" x14ac:dyDescent="0.35">
      <c r="A1304" t="s">
        <v>1220</v>
      </c>
      <c r="B1304" t="s">
        <v>591</v>
      </c>
      <c r="C1304" t="s">
        <v>592</v>
      </c>
      <c r="D1304" s="1">
        <v>46224</v>
      </c>
      <c r="E1304">
        <v>4.5055895457045803E-2</v>
      </c>
      <c r="F1304" t="s">
        <v>5400</v>
      </c>
      <c r="G1304" s="1">
        <v>46224.771787731479</v>
      </c>
      <c r="H1304" t="s">
        <v>593</v>
      </c>
      <c r="I1304" s="1">
        <v>46224.771787812497</v>
      </c>
      <c r="J1304" t="s">
        <v>593</v>
      </c>
    </row>
    <row r="1305" spans="1:10" x14ac:dyDescent="0.35">
      <c r="A1305" t="s">
        <v>1221</v>
      </c>
      <c r="B1305" t="s">
        <v>591</v>
      </c>
      <c r="C1305" t="s">
        <v>592</v>
      </c>
      <c r="D1305" s="1">
        <v>46224</v>
      </c>
      <c r="E1305">
        <v>4.9882610664895799E-2</v>
      </c>
      <c r="F1305" t="s">
        <v>5401</v>
      </c>
      <c r="G1305" s="1">
        <v>46224.771787731479</v>
      </c>
      <c r="H1305" t="s">
        <v>593</v>
      </c>
      <c r="I1305" s="1">
        <v>46224.771787812497</v>
      </c>
      <c r="J1305" t="s">
        <v>593</v>
      </c>
    </row>
    <row r="1306" spans="1:10" x14ac:dyDescent="0.35">
      <c r="A1306" t="s">
        <v>1222</v>
      </c>
      <c r="B1306" t="s">
        <v>591</v>
      </c>
      <c r="C1306" t="s">
        <v>592</v>
      </c>
      <c r="D1306" s="1">
        <v>46224</v>
      </c>
      <c r="E1306">
        <v>4.7440013308608399E-2</v>
      </c>
      <c r="F1306" t="s">
        <v>5402</v>
      </c>
      <c r="G1306" s="1">
        <v>46224.771787731479</v>
      </c>
      <c r="H1306" t="s">
        <v>593</v>
      </c>
      <c r="I1306" s="1">
        <v>46224.771787812497</v>
      </c>
      <c r="J1306" t="s">
        <v>593</v>
      </c>
    </row>
    <row r="1307" spans="1:10" x14ac:dyDescent="0.35">
      <c r="A1307" t="s">
        <v>1223</v>
      </c>
      <c r="B1307" t="s">
        <v>591</v>
      </c>
      <c r="C1307" t="s">
        <v>592</v>
      </c>
      <c r="D1307" s="1">
        <v>46224</v>
      </c>
      <c r="E1307">
        <v>5.6365685756402002E-2</v>
      </c>
      <c r="F1307" t="s">
        <v>5403</v>
      </c>
      <c r="G1307" s="1">
        <v>46224.771787731479</v>
      </c>
      <c r="H1307" t="s">
        <v>593</v>
      </c>
      <c r="I1307" s="1">
        <v>46224.771787812497</v>
      </c>
      <c r="J1307" t="s">
        <v>593</v>
      </c>
    </row>
    <row r="1308" spans="1:10" x14ac:dyDescent="0.35">
      <c r="A1308" t="s">
        <v>1224</v>
      </c>
      <c r="B1308" t="s">
        <v>591</v>
      </c>
      <c r="C1308" t="s">
        <v>592</v>
      </c>
      <c r="D1308" s="1">
        <v>46224</v>
      </c>
      <c r="E1308">
        <v>1.01561181428127E-2</v>
      </c>
      <c r="F1308" t="s">
        <v>5404</v>
      </c>
      <c r="G1308" s="1">
        <v>46224.771787731479</v>
      </c>
      <c r="H1308" t="s">
        <v>593</v>
      </c>
      <c r="I1308" s="1">
        <v>46224.771787812497</v>
      </c>
      <c r="J1308" t="s">
        <v>593</v>
      </c>
    </row>
    <row r="1309" spans="1:10" x14ac:dyDescent="0.35">
      <c r="A1309" t="s">
        <v>1225</v>
      </c>
      <c r="B1309" t="s">
        <v>591</v>
      </c>
      <c r="C1309" t="s">
        <v>592</v>
      </c>
      <c r="D1309" s="1">
        <v>46224</v>
      </c>
      <c r="E1309">
        <v>3.7396774051522801E-2</v>
      </c>
      <c r="F1309" t="s">
        <v>5405</v>
      </c>
      <c r="G1309" s="1">
        <v>46224.771787731479</v>
      </c>
      <c r="H1309" t="s">
        <v>593</v>
      </c>
      <c r="I1309" s="1">
        <v>46224.771787812497</v>
      </c>
      <c r="J1309" t="s">
        <v>593</v>
      </c>
    </row>
    <row r="1310" spans="1:10" x14ac:dyDescent="0.35">
      <c r="A1310" t="s">
        <v>1226</v>
      </c>
      <c r="B1310" t="s">
        <v>591</v>
      </c>
      <c r="C1310" t="s">
        <v>592</v>
      </c>
      <c r="D1310" s="1">
        <v>46224</v>
      </c>
      <c r="E1310">
        <v>5.6747733975175997E-2</v>
      </c>
      <c r="F1310" t="s">
        <v>5406</v>
      </c>
      <c r="G1310" s="1">
        <v>46224.771787731479</v>
      </c>
      <c r="H1310" t="s">
        <v>593</v>
      </c>
      <c r="I1310" s="1">
        <v>46224.771787812497</v>
      </c>
      <c r="J1310" t="s">
        <v>593</v>
      </c>
    </row>
    <row r="1311" spans="1:10" x14ac:dyDescent="0.35">
      <c r="A1311" t="s">
        <v>1227</v>
      </c>
      <c r="B1311" t="s">
        <v>591</v>
      </c>
      <c r="C1311" t="s">
        <v>592</v>
      </c>
      <c r="D1311" s="1">
        <v>46224</v>
      </c>
      <c r="E1311">
        <v>2.4365830536845601E-2</v>
      </c>
      <c r="F1311" t="s">
        <v>5407</v>
      </c>
      <c r="G1311" s="1">
        <v>46224.771787731479</v>
      </c>
      <c r="H1311" t="s">
        <v>593</v>
      </c>
      <c r="I1311" s="1">
        <v>46224.771787812497</v>
      </c>
      <c r="J1311" t="s">
        <v>593</v>
      </c>
    </row>
    <row r="1312" spans="1:10" x14ac:dyDescent="0.35">
      <c r="A1312" t="s">
        <v>1228</v>
      </c>
      <c r="B1312" t="s">
        <v>591</v>
      </c>
      <c r="C1312" t="s">
        <v>592</v>
      </c>
      <c r="D1312" s="1">
        <v>46224</v>
      </c>
      <c r="E1312">
        <v>5.7572049936699003E-2</v>
      </c>
      <c r="F1312" t="s">
        <v>5408</v>
      </c>
      <c r="G1312" s="1">
        <v>46224.771787731479</v>
      </c>
      <c r="H1312" t="s">
        <v>593</v>
      </c>
      <c r="I1312" s="1">
        <v>46224.771787812497</v>
      </c>
      <c r="J1312" t="s">
        <v>593</v>
      </c>
    </row>
    <row r="1313" spans="1:10" x14ac:dyDescent="0.35">
      <c r="A1313" t="s">
        <v>1229</v>
      </c>
      <c r="B1313" t="s">
        <v>591</v>
      </c>
      <c r="C1313" t="s">
        <v>592</v>
      </c>
      <c r="D1313" s="1">
        <v>46224</v>
      </c>
      <c r="E1313">
        <v>4.8489838210615102E-2</v>
      </c>
      <c r="F1313" t="s">
        <v>5409</v>
      </c>
      <c r="G1313" s="1">
        <v>46224.771787731479</v>
      </c>
      <c r="H1313" t="s">
        <v>593</v>
      </c>
      <c r="I1313" s="1">
        <v>46224.771787812497</v>
      </c>
      <c r="J1313" t="s">
        <v>593</v>
      </c>
    </row>
    <row r="1314" spans="1:10" x14ac:dyDescent="0.35">
      <c r="A1314" t="s">
        <v>1230</v>
      </c>
      <c r="B1314" t="s">
        <v>591</v>
      </c>
      <c r="C1314" t="s">
        <v>592</v>
      </c>
      <c r="D1314" s="1">
        <v>46224</v>
      </c>
      <c r="E1314">
        <v>5.5923264013050498E-2</v>
      </c>
      <c r="F1314" t="s">
        <v>5410</v>
      </c>
      <c r="G1314" s="1">
        <v>46224.771787731479</v>
      </c>
      <c r="H1314" t="s">
        <v>593</v>
      </c>
      <c r="I1314" s="1">
        <v>46224.771787812497</v>
      </c>
      <c r="J1314" t="s">
        <v>593</v>
      </c>
    </row>
    <row r="1315" spans="1:10" x14ac:dyDescent="0.35">
      <c r="A1315" t="s">
        <v>1231</v>
      </c>
      <c r="B1315" t="s">
        <v>591</v>
      </c>
      <c r="C1315" t="s">
        <v>592</v>
      </c>
      <c r="D1315" s="1">
        <v>46224</v>
      </c>
      <c r="E1315">
        <v>4.1459064021285699E-2</v>
      </c>
      <c r="F1315" t="s">
        <v>5411</v>
      </c>
      <c r="G1315" s="1">
        <v>46224.771787731479</v>
      </c>
      <c r="H1315" t="s">
        <v>593</v>
      </c>
      <c r="I1315" s="1">
        <v>46224.771787812497</v>
      </c>
      <c r="J1315" t="s">
        <v>593</v>
      </c>
    </row>
    <row r="1316" spans="1:10" x14ac:dyDescent="0.35">
      <c r="A1316" t="s">
        <v>1232</v>
      </c>
      <c r="B1316" t="s">
        <v>591</v>
      </c>
      <c r="C1316" t="s">
        <v>592</v>
      </c>
      <c r="D1316" s="1">
        <v>46224</v>
      </c>
      <c r="E1316">
        <v>5.7572404367897699E-2</v>
      </c>
      <c r="F1316" t="s">
        <v>5412</v>
      </c>
      <c r="G1316" s="1">
        <v>46224.771787731479</v>
      </c>
      <c r="H1316" t="s">
        <v>593</v>
      </c>
      <c r="I1316" s="1">
        <v>46224.771787812497</v>
      </c>
      <c r="J1316" t="s">
        <v>593</v>
      </c>
    </row>
    <row r="1317" spans="1:10" x14ac:dyDescent="0.35">
      <c r="A1317" t="s">
        <v>1233</v>
      </c>
      <c r="B1317" t="s">
        <v>591</v>
      </c>
      <c r="C1317" t="s">
        <v>592</v>
      </c>
      <c r="D1317" s="1">
        <v>46224</v>
      </c>
      <c r="E1317">
        <v>4.6194280694526399E-2</v>
      </c>
      <c r="F1317" t="s">
        <v>5413</v>
      </c>
      <c r="G1317" s="1">
        <v>46224.771787731479</v>
      </c>
      <c r="H1317" t="s">
        <v>593</v>
      </c>
      <c r="I1317" s="1">
        <v>46224.771787812497</v>
      </c>
      <c r="J1317" t="s">
        <v>593</v>
      </c>
    </row>
    <row r="1318" spans="1:10" x14ac:dyDescent="0.35">
      <c r="A1318" t="s">
        <v>1234</v>
      </c>
      <c r="B1318" t="s">
        <v>591</v>
      </c>
      <c r="C1318" t="s">
        <v>592</v>
      </c>
      <c r="D1318" s="1">
        <v>46224</v>
      </c>
      <c r="E1318">
        <v>5.2524180967477498E-2</v>
      </c>
      <c r="F1318" t="s">
        <v>5414</v>
      </c>
      <c r="G1318" s="1">
        <v>46224.771787731479</v>
      </c>
      <c r="H1318" t="s">
        <v>593</v>
      </c>
      <c r="I1318" s="1">
        <v>46224.771787812497</v>
      </c>
      <c r="J1318" t="s">
        <v>593</v>
      </c>
    </row>
    <row r="1319" spans="1:10" x14ac:dyDescent="0.35">
      <c r="A1319" t="s">
        <v>1235</v>
      </c>
      <c r="B1319" t="s">
        <v>591</v>
      </c>
      <c r="C1319" t="s">
        <v>592</v>
      </c>
      <c r="D1319" s="1">
        <v>46224</v>
      </c>
      <c r="E1319">
        <v>4.4829872059729603E-2</v>
      </c>
      <c r="F1319" t="s">
        <v>5415</v>
      </c>
      <c r="G1319" s="1">
        <v>46224.771787731479</v>
      </c>
      <c r="H1319" t="s">
        <v>593</v>
      </c>
      <c r="I1319" s="1">
        <v>46224.771787812497</v>
      </c>
      <c r="J1319" t="s">
        <v>593</v>
      </c>
    </row>
    <row r="1320" spans="1:10" x14ac:dyDescent="0.35">
      <c r="A1320" t="s">
        <v>1236</v>
      </c>
      <c r="B1320" t="s">
        <v>591</v>
      </c>
      <c r="C1320" t="s">
        <v>592</v>
      </c>
      <c r="D1320" s="1">
        <v>46224</v>
      </c>
      <c r="E1320">
        <v>4.89687932532425E-2</v>
      </c>
      <c r="F1320" t="s">
        <v>5416</v>
      </c>
      <c r="G1320" s="1">
        <v>46224.771787731479</v>
      </c>
      <c r="H1320" t="s">
        <v>593</v>
      </c>
      <c r="I1320" s="1">
        <v>46224.771787812497</v>
      </c>
      <c r="J1320" t="s">
        <v>593</v>
      </c>
    </row>
    <row r="1321" spans="1:10" x14ac:dyDescent="0.35">
      <c r="A1321" t="s">
        <v>1237</v>
      </c>
      <c r="B1321" t="s">
        <v>591</v>
      </c>
      <c r="C1321" t="s">
        <v>592</v>
      </c>
      <c r="D1321" s="1">
        <v>46224</v>
      </c>
      <c r="E1321">
        <v>5.3780431879868001E-2</v>
      </c>
      <c r="F1321" t="s">
        <v>5417</v>
      </c>
      <c r="G1321" s="1">
        <v>46224.771787731479</v>
      </c>
      <c r="H1321" t="s">
        <v>593</v>
      </c>
      <c r="I1321" s="1">
        <v>46224.771787812497</v>
      </c>
      <c r="J1321" t="s">
        <v>593</v>
      </c>
    </row>
    <row r="1322" spans="1:10" x14ac:dyDescent="0.35">
      <c r="A1322" t="s">
        <v>1238</v>
      </c>
      <c r="B1322" t="s">
        <v>591</v>
      </c>
      <c r="C1322" t="s">
        <v>592</v>
      </c>
      <c r="D1322" s="1">
        <v>46224</v>
      </c>
      <c r="E1322">
        <v>4.3856007926367298E-2</v>
      </c>
      <c r="F1322" t="s">
        <v>5418</v>
      </c>
      <c r="G1322" s="1">
        <v>46224.771787731479</v>
      </c>
      <c r="H1322" t="s">
        <v>593</v>
      </c>
      <c r="I1322" s="1">
        <v>46224.771787812497</v>
      </c>
      <c r="J1322" t="s">
        <v>593</v>
      </c>
    </row>
    <row r="1323" spans="1:10" x14ac:dyDescent="0.35">
      <c r="A1323" t="s">
        <v>1239</v>
      </c>
      <c r="B1323" t="s">
        <v>591</v>
      </c>
      <c r="C1323" t="s">
        <v>592</v>
      </c>
      <c r="D1323" s="1">
        <v>46224</v>
      </c>
      <c r="E1323">
        <v>4.5195947269822401E-2</v>
      </c>
      <c r="F1323" t="s">
        <v>5419</v>
      </c>
      <c r="G1323" s="1">
        <v>46224.771787731479</v>
      </c>
      <c r="H1323" t="s">
        <v>593</v>
      </c>
      <c r="I1323" s="1">
        <v>46224.771787812497</v>
      </c>
      <c r="J1323" t="s">
        <v>593</v>
      </c>
    </row>
    <row r="1324" spans="1:10" x14ac:dyDescent="0.35">
      <c r="A1324" t="s">
        <v>1240</v>
      </c>
      <c r="B1324" t="s">
        <v>591</v>
      </c>
      <c r="C1324" t="s">
        <v>592</v>
      </c>
      <c r="D1324" s="1">
        <v>46224</v>
      </c>
      <c r="E1324">
        <v>4.9650044610291703E-2</v>
      </c>
      <c r="F1324" t="s">
        <v>5420</v>
      </c>
      <c r="G1324" s="1">
        <v>46224.771787731479</v>
      </c>
      <c r="H1324" t="s">
        <v>593</v>
      </c>
      <c r="I1324" s="1">
        <v>46224.771787812497</v>
      </c>
      <c r="J1324" t="s">
        <v>593</v>
      </c>
    </row>
    <row r="1325" spans="1:10" x14ac:dyDescent="0.35">
      <c r="A1325" t="s">
        <v>1241</v>
      </c>
      <c r="B1325" t="s">
        <v>591</v>
      </c>
      <c r="C1325" t="s">
        <v>592</v>
      </c>
      <c r="D1325" s="1">
        <v>46224</v>
      </c>
      <c r="E1325">
        <v>5.7410906649286102E-2</v>
      </c>
      <c r="F1325" t="s">
        <v>5421</v>
      </c>
      <c r="G1325" s="1">
        <v>46224.771787731479</v>
      </c>
      <c r="H1325" t="s">
        <v>593</v>
      </c>
      <c r="I1325" s="1">
        <v>46224.771787812497</v>
      </c>
      <c r="J1325" t="s">
        <v>593</v>
      </c>
    </row>
    <row r="1326" spans="1:10" x14ac:dyDescent="0.35">
      <c r="A1326" t="s">
        <v>1242</v>
      </c>
      <c r="B1326" t="s">
        <v>591</v>
      </c>
      <c r="C1326" t="s">
        <v>592</v>
      </c>
      <c r="D1326" s="1">
        <v>46224</v>
      </c>
      <c r="E1326">
        <v>5.0271088762536699E-2</v>
      </c>
      <c r="F1326" t="s">
        <v>5422</v>
      </c>
      <c r="G1326" s="1">
        <v>46224.771787731479</v>
      </c>
      <c r="H1326" t="s">
        <v>593</v>
      </c>
      <c r="I1326" s="1">
        <v>46224.771787812497</v>
      </c>
      <c r="J1326" t="s">
        <v>593</v>
      </c>
    </row>
    <row r="1327" spans="1:10" x14ac:dyDescent="0.35">
      <c r="A1327" t="s">
        <v>1243</v>
      </c>
      <c r="B1327" t="s">
        <v>591</v>
      </c>
      <c r="C1327" t="s">
        <v>592</v>
      </c>
      <c r="D1327" s="1">
        <v>46224</v>
      </c>
      <c r="E1327">
        <v>4.4825705585692897E-2</v>
      </c>
      <c r="F1327" t="s">
        <v>5423</v>
      </c>
      <c r="G1327" s="1">
        <v>46224.771787731479</v>
      </c>
      <c r="H1327" t="s">
        <v>593</v>
      </c>
      <c r="I1327" s="1">
        <v>46224.771787812497</v>
      </c>
      <c r="J1327" t="s">
        <v>593</v>
      </c>
    </row>
    <row r="1328" spans="1:10" x14ac:dyDescent="0.35">
      <c r="A1328" t="s">
        <v>1244</v>
      </c>
      <c r="B1328" t="s">
        <v>591</v>
      </c>
      <c r="C1328" t="s">
        <v>592</v>
      </c>
      <c r="D1328" s="1">
        <v>46224</v>
      </c>
      <c r="E1328">
        <v>4.5792291249777899E-2</v>
      </c>
      <c r="F1328" t="s">
        <v>5424</v>
      </c>
      <c r="G1328" s="1">
        <v>46224.771787731479</v>
      </c>
      <c r="H1328" t="s">
        <v>593</v>
      </c>
      <c r="I1328" s="1">
        <v>46224.771787812497</v>
      </c>
      <c r="J1328" t="s">
        <v>593</v>
      </c>
    </row>
    <row r="1329" spans="1:10" x14ac:dyDescent="0.35">
      <c r="A1329" t="s">
        <v>1245</v>
      </c>
      <c r="B1329" t="s">
        <v>591</v>
      </c>
      <c r="C1329" t="s">
        <v>592</v>
      </c>
      <c r="D1329" s="1">
        <v>46224</v>
      </c>
      <c r="E1329">
        <v>4.7546531047729997E-2</v>
      </c>
      <c r="F1329" t="s">
        <v>5425</v>
      </c>
      <c r="G1329" s="1">
        <v>46224.771787731479</v>
      </c>
      <c r="H1329" t="s">
        <v>593</v>
      </c>
      <c r="I1329" s="1">
        <v>46224.771787812497</v>
      </c>
      <c r="J1329" t="s">
        <v>593</v>
      </c>
    </row>
    <row r="1330" spans="1:10" x14ac:dyDescent="0.35">
      <c r="A1330" t="s">
        <v>1246</v>
      </c>
      <c r="B1330" t="s">
        <v>591</v>
      </c>
      <c r="C1330" t="s">
        <v>592</v>
      </c>
      <c r="D1330" s="1">
        <v>46224</v>
      </c>
      <c r="E1330">
        <v>5.4317530966357698E-2</v>
      </c>
      <c r="F1330" t="s">
        <v>5426</v>
      </c>
      <c r="G1330" s="1">
        <v>46224.771787731479</v>
      </c>
      <c r="H1330" t="s">
        <v>593</v>
      </c>
      <c r="I1330" s="1">
        <v>46224.771787812497</v>
      </c>
      <c r="J1330" t="s">
        <v>593</v>
      </c>
    </row>
    <row r="1331" spans="1:10" x14ac:dyDescent="0.35">
      <c r="A1331" t="s">
        <v>1247</v>
      </c>
      <c r="B1331" t="s">
        <v>591</v>
      </c>
      <c r="C1331" t="s">
        <v>592</v>
      </c>
      <c r="D1331" s="1">
        <v>46224</v>
      </c>
      <c r="E1331">
        <v>5.16036635296932E-2</v>
      </c>
      <c r="F1331" t="s">
        <v>5427</v>
      </c>
      <c r="G1331" s="1">
        <v>46224.771787731479</v>
      </c>
      <c r="H1331" t="s">
        <v>593</v>
      </c>
      <c r="I1331" s="1">
        <v>46224.771787812497</v>
      </c>
      <c r="J1331" t="s">
        <v>593</v>
      </c>
    </row>
    <row r="1332" spans="1:10" x14ac:dyDescent="0.35">
      <c r="A1332" t="s">
        <v>1248</v>
      </c>
      <c r="B1332" t="s">
        <v>591</v>
      </c>
      <c r="C1332" t="s">
        <v>592</v>
      </c>
      <c r="D1332" s="1">
        <v>46224</v>
      </c>
      <c r="E1332">
        <v>5.0994706778832298E-2</v>
      </c>
      <c r="F1332" t="s">
        <v>5428</v>
      </c>
      <c r="G1332" s="1">
        <v>46224.771787731479</v>
      </c>
      <c r="H1332" t="s">
        <v>593</v>
      </c>
      <c r="I1332" s="1">
        <v>46224.771787812497</v>
      </c>
      <c r="J1332" t="s">
        <v>593</v>
      </c>
    </row>
    <row r="1333" spans="1:10" x14ac:dyDescent="0.35">
      <c r="A1333" t="s">
        <v>1249</v>
      </c>
      <c r="B1333" t="s">
        <v>591</v>
      </c>
      <c r="C1333" t="s">
        <v>592</v>
      </c>
      <c r="D1333" s="1">
        <v>46224</v>
      </c>
      <c r="E1333">
        <v>2.50394730677161E-2</v>
      </c>
      <c r="F1333" t="s">
        <v>5429</v>
      </c>
      <c r="G1333" s="1">
        <v>46224.771787731479</v>
      </c>
      <c r="H1333" t="s">
        <v>593</v>
      </c>
      <c r="I1333" s="1">
        <v>46224.771787812497</v>
      </c>
      <c r="J1333" t="s">
        <v>593</v>
      </c>
    </row>
    <row r="1334" spans="1:10" x14ac:dyDescent="0.35">
      <c r="A1334" t="s">
        <v>1250</v>
      </c>
      <c r="B1334" t="s">
        <v>591</v>
      </c>
      <c r="C1334" t="s">
        <v>592</v>
      </c>
      <c r="D1334" s="1">
        <v>46224</v>
      </c>
      <c r="E1334">
        <v>2.4627468281278798E-2</v>
      </c>
      <c r="F1334" t="s">
        <v>5430</v>
      </c>
      <c r="G1334" s="1">
        <v>46224.771787731479</v>
      </c>
      <c r="H1334" t="s">
        <v>593</v>
      </c>
      <c r="I1334" s="1">
        <v>46224.771787812497</v>
      </c>
      <c r="J1334" t="s">
        <v>593</v>
      </c>
    </row>
    <row r="1335" spans="1:10" x14ac:dyDescent="0.35">
      <c r="A1335" t="s">
        <v>1251</v>
      </c>
      <c r="B1335" t="s">
        <v>591</v>
      </c>
      <c r="C1335" t="s">
        <v>592</v>
      </c>
      <c r="D1335" s="1">
        <v>46224</v>
      </c>
      <c r="E1335">
        <v>5.6455837427823903E-2</v>
      </c>
      <c r="F1335" t="s">
        <v>5431</v>
      </c>
      <c r="G1335" s="1">
        <v>46224.771787731479</v>
      </c>
      <c r="H1335" t="s">
        <v>593</v>
      </c>
      <c r="I1335" s="1">
        <v>46224.771787812497</v>
      </c>
      <c r="J1335" t="s">
        <v>593</v>
      </c>
    </row>
    <row r="1336" spans="1:10" x14ac:dyDescent="0.35">
      <c r="A1336" t="s">
        <v>1252</v>
      </c>
      <c r="B1336" t="s">
        <v>591</v>
      </c>
      <c r="C1336" t="s">
        <v>592</v>
      </c>
      <c r="D1336" s="1">
        <v>46224</v>
      </c>
      <c r="E1336">
        <v>1.9070653721880101E-2</v>
      </c>
      <c r="F1336" t="s">
        <v>5432</v>
      </c>
      <c r="G1336" s="1">
        <v>46224.771787731479</v>
      </c>
      <c r="H1336" t="s">
        <v>593</v>
      </c>
      <c r="I1336" s="1">
        <v>46224.771787812497</v>
      </c>
      <c r="J1336" t="s">
        <v>593</v>
      </c>
    </row>
    <row r="1337" spans="1:10" x14ac:dyDescent="0.35">
      <c r="A1337" t="s">
        <v>1253</v>
      </c>
      <c r="B1337" t="s">
        <v>591</v>
      </c>
      <c r="C1337" t="s">
        <v>592</v>
      </c>
      <c r="D1337" s="1">
        <v>46224</v>
      </c>
      <c r="E1337">
        <v>2.52817454032832E-2</v>
      </c>
      <c r="F1337" t="s">
        <v>5433</v>
      </c>
      <c r="G1337" s="1">
        <v>46224.771787731479</v>
      </c>
      <c r="H1337" t="s">
        <v>593</v>
      </c>
      <c r="I1337" s="1">
        <v>46224.771787812497</v>
      </c>
      <c r="J1337" t="s">
        <v>593</v>
      </c>
    </row>
    <row r="1338" spans="1:10" x14ac:dyDescent="0.35">
      <c r="A1338" t="s">
        <v>1254</v>
      </c>
      <c r="B1338" t="s">
        <v>591</v>
      </c>
      <c r="C1338" t="s">
        <v>592</v>
      </c>
      <c r="D1338" s="1">
        <v>46224</v>
      </c>
      <c r="E1338">
        <v>5.18234406524875E-2</v>
      </c>
      <c r="F1338" t="s">
        <v>5434</v>
      </c>
      <c r="G1338" s="1">
        <v>46224.771787731479</v>
      </c>
      <c r="H1338" t="s">
        <v>593</v>
      </c>
      <c r="I1338" s="1">
        <v>46224.771787812497</v>
      </c>
      <c r="J1338" t="s">
        <v>593</v>
      </c>
    </row>
    <row r="1339" spans="1:10" x14ac:dyDescent="0.35">
      <c r="A1339" t="s">
        <v>1255</v>
      </c>
      <c r="B1339" t="s">
        <v>600</v>
      </c>
      <c r="C1339" t="s">
        <v>592</v>
      </c>
      <c r="D1339" s="1">
        <v>46224</v>
      </c>
      <c r="E1339">
        <v>1.3432999999999999</v>
      </c>
      <c r="F1339" t="s">
        <v>5714</v>
      </c>
      <c r="G1339" s="1">
        <v>46224.775820486109</v>
      </c>
      <c r="H1339" t="s">
        <v>593</v>
      </c>
      <c r="I1339" s="1">
        <v>46224.775820601855</v>
      </c>
      <c r="J1339" t="s">
        <v>593</v>
      </c>
    </row>
    <row r="1340" spans="1:10" x14ac:dyDescent="0.35">
      <c r="A1340" t="s">
        <v>1256</v>
      </c>
      <c r="B1340" t="s">
        <v>600</v>
      </c>
      <c r="C1340" t="s">
        <v>592</v>
      </c>
      <c r="D1340" s="1">
        <v>46224</v>
      </c>
      <c r="E1340">
        <v>3.6579999999999999</v>
      </c>
      <c r="F1340" t="s">
        <v>5715</v>
      </c>
      <c r="G1340" s="1">
        <v>46224.775953506942</v>
      </c>
      <c r="H1340" t="s">
        <v>593</v>
      </c>
      <c r="I1340" s="1">
        <v>46224.775953391203</v>
      </c>
      <c r="J1340" t="s">
        <v>593</v>
      </c>
    </row>
    <row r="1341" spans="1:10" x14ac:dyDescent="0.35">
      <c r="A1341" t="s">
        <v>1257</v>
      </c>
      <c r="B1341" t="s">
        <v>591</v>
      </c>
      <c r="C1341" t="s">
        <v>592</v>
      </c>
      <c r="D1341" s="1">
        <v>46224</v>
      </c>
      <c r="E1341">
        <v>3.6569829130252599E-2</v>
      </c>
      <c r="F1341" t="s">
        <v>5435</v>
      </c>
      <c r="G1341" s="1">
        <v>46224.771787731479</v>
      </c>
      <c r="H1341" t="s">
        <v>593</v>
      </c>
      <c r="I1341" s="1">
        <v>46224.771787812497</v>
      </c>
      <c r="J1341" t="s">
        <v>593</v>
      </c>
    </row>
    <row r="1342" spans="1:10" x14ac:dyDescent="0.35">
      <c r="A1342" t="s">
        <v>1972</v>
      </c>
      <c r="B1342" t="s">
        <v>591</v>
      </c>
      <c r="C1342" t="s">
        <v>592</v>
      </c>
      <c r="D1342" s="1">
        <v>46224</v>
      </c>
      <c r="E1342">
        <v>3.32476916726629E-2</v>
      </c>
      <c r="F1342" t="s">
        <v>5436</v>
      </c>
      <c r="G1342" s="1">
        <v>46224.771787731479</v>
      </c>
      <c r="H1342" t="s">
        <v>593</v>
      </c>
      <c r="I1342" s="1">
        <v>46224.771787812497</v>
      </c>
      <c r="J1342" t="s">
        <v>593</v>
      </c>
    </row>
    <row r="1343" spans="1:10" x14ac:dyDescent="0.35">
      <c r="A1343" t="s">
        <v>1258</v>
      </c>
      <c r="B1343" t="s">
        <v>591</v>
      </c>
      <c r="C1343" t="s">
        <v>592</v>
      </c>
      <c r="D1343" s="1">
        <v>46224</v>
      </c>
      <c r="E1343">
        <v>3.2515754053485599E-2</v>
      </c>
      <c r="F1343" t="s">
        <v>5437</v>
      </c>
      <c r="G1343" s="1">
        <v>46224.771787731479</v>
      </c>
      <c r="H1343" t="s">
        <v>593</v>
      </c>
      <c r="I1343" s="1">
        <v>46224.771787812497</v>
      </c>
      <c r="J1343" t="s">
        <v>593</v>
      </c>
    </row>
    <row r="1344" spans="1:10" x14ac:dyDescent="0.35">
      <c r="A1344" t="s">
        <v>1259</v>
      </c>
      <c r="B1344" t="s">
        <v>591</v>
      </c>
      <c r="C1344" t="s">
        <v>592</v>
      </c>
      <c r="D1344" s="1">
        <v>46224</v>
      </c>
      <c r="E1344">
        <v>2.92259128411262E-2</v>
      </c>
      <c r="F1344" t="s">
        <v>5438</v>
      </c>
      <c r="G1344" s="1">
        <v>46224.771787731479</v>
      </c>
      <c r="H1344" t="s">
        <v>593</v>
      </c>
      <c r="I1344" s="1">
        <v>46224.771787812497</v>
      </c>
      <c r="J1344" t="s">
        <v>593</v>
      </c>
    </row>
    <row r="1345" spans="1:10" x14ac:dyDescent="0.35">
      <c r="A1345" t="s">
        <v>1260</v>
      </c>
      <c r="B1345" t="s">
        <v>591</v>
      </c>
      <c r="C1345" t="s">
        <v>592</v>
      </c>
      <c r="D1345" s="1">
        <v>46224</v>
      </c>
      <c r="E1345">
        <v>3.0743700939265501E-2</v>
      </c>
      <c r="F1345" t="s">
        <v>5439</v>
      </c>
      <c r="G1345" s="1">
        <v>46224.771787731479</v>
      </c>
      <c r="H1345" t="s">
        <v>593</v>
      </c>
      <c r="I1345" s="1">
        <v>46224.771787812497</v>
      </c>
      <c r="J1345" t="s">
        <v>593</v>
      </c>
    </row>
    <row r="1346" spans="1:10" x14ac:dyDescent="0.35">
      <c r="A1346" t="s">
        <v>1261</v>
      </c>
      <c r="B1346" t="s">
        <v>591</v>
      </c>
      <c r="C1346" t="s">
        <v>592</v>
      </c>
      <c r="D1346" s="1">
        <v>46224</v>
      </c>
      <c r="E1346">
        <v>2.9821642976202999E-2</v>
      </c>
      <c r="F1346" t="s">
        <v>5440</v>
      </c>
      <c r="G1346" s="1">
        <v>46224.771787731479</v>
      </c>
      <c r="H1346" t="s">
        <v>593</v>
      </c>
      <c r="I1346" s="1">
        <v>46224.771787812497</v>
      </c>
      <c r="J1346" t="s">
        <v>593</v>
      </c>
    </row>
    <row r="1347" spans="1:10" x14ac:dyDescent="0.35">
      <c r="A1347" t="s">
        <v>1262</v>
      </c>
      <c r="B1347" t="s">
        <v>591</v>
      </c>
      <c r="C1347" t="s">
        <v>592</v>
      </c>
      <c r="D1347" s="1">
        <v>46224</v>
      </c>
      <c r="E1347">
        <v>3.6066322303280503E-2</v>
      </c>
      <c r="F1347" t="s">
        <v>5441</v>
      </c>
      <c r="G1347" s="1">
        <v>46224.771787731479</v>
      </c>
      <c r="H1347" t="s">
        <v>593</v>
      </c>
      <c r="I1347" s="1">
        <v>46224.771787812497</v>
      </c>
      <c r="J1347" t="s">
        <v>593</v>
      </c>
    </row>
    <row r="1348" spans="1:10" x14ac:dyDescent="0.35">
      <c r="A1348" t="s">
        <v>1263</v>
      </c>
      <c r="B1348" t="s">
        <v>600</v>
      </c>
      <c r="C1348" t="s">
        <v>592</v>
      </c>
      <c r="D1348" s="1">
        <v>46224</v>
      </c>
      <c r="E1348">
        <v>116.31</v>
      </c>
      <c r="F1348" t="s">
        <v>4314</v>
      </c>
      <c r="G1348" s="1">
        <v>46224.771787731479</v>
      </c>
      <c r="H1348" t="s">
        <v>593</v>
      </c>
      <c r="I1348" s="1">
        <v>46224.771787812497</v>
      </c>
      <c r="J1348" t="s">
        <v>593</v>
      </c>
    </row>
    <row r="1349" spans="1:10" x14ac:dyDescent="0.35">
      <c r="A1349" t="s">
        <v>1264</v>
      </c>
      <c r="B1349" t="s">
        <v>591</v>
      </c>
      <c r="C1349" t="s">
        <v>592</v>
      </c>
      <c r="D1349" s="1">
        <v>46224</v>
      </c>
      <c r="E1349">
        <v>2.4050196709178202E-2</v>
      </c>
      <c r="F1349" t="s">
        <v>5442</v>
      </c>
      <c r="G1349" s="1">
        <v>46224.771787731479</v>
      </c>
      <c r="H1349" t="s">
        <v>593</v>
      </c>
      <c r="I1349" s="1">
        <v>46224.771787812497</v>
      </c>
      <c r="J1349" t="s">
        <v>593</v>
      </c>
    </row>
    <row r="1350" spans="1:10" x14ac:dyDescent="0.35">
      <c r="A1350" t="s">
        <v>1265</v>
      </c>
      <c r="B1350" t="s">
        <v>591</v>
      </c>
      <c r="C1350" t="s">
        <v>592</v>
      </c>
      <c r="D1350" s="1">
        <v>46224</v>
      </c>
      <c r="E1350">
        <v>2.8878371242824202E-2</v>
      </c>
      <c r="F1350" t="s">
        <v>5443</v>
      </c>
      <c r="G1350" s="1">
        <v>46224.771787731479</v>
      </c>
      <c r="H1350" t="s">
        <v>593</v>
      </c>
      <c r="I1350" s="1">
        <v>46224.771787812497</v>
      </c>
      <c r="J1350" t="s">
        <v>593</v>
      </c>
    </row>
    <row r="1351" spans="1:10" x14ac:dyDescent="0.35">
      <c r="A1351" t="s">
        <v>1266</v>
      </c>
      <c r="B1351" t="s">
        <v>591</v>
      </c>
      <c r="C1351" t="s">
        <v>592</v>
      </c>
      <c r="D1351" s="1">
        <v>46224</v>
      </c>
      <c r="E1351">
        <v>3.1447852958376203E-2</v>
      </c>
      <c r="F1351" t="s">
        <v>5444</v>
      </c>
      <c r="G1351" s="1">
        <v>46224.771787731479</v>
      </c>
      <c r="H1351" t="s">
        <v>593</v>
      </c>
      <c r="I1351" s="1">
        <v>46224.771787812497</v>
      </c>
      <c r="J1351" t="s">
        <v>593</v>
      </c>
    </row>
    <row r="1352" spans="1:10" x14ac:dyDescent="0.35">
      <c r="A1352" t="s">
        <v>1267</v>
      </c>
      <c r="B1352" t="s">
        <v>591</v>
      </c>
      <c r="C1352" t="s">
        <v>592</v>
      </c>
      <c r="D1352" s="1">
        <v>46224</v>
      </c>
      <c r="E1352">
        <v>3.3371892024085602E-2</v>
      </c>
      <c r="F1352" t="s">
        <v>5445</v>
      </c>
      <c r="G1352" s="1">
        <v>46224.771787731479</v>
      </c>
      <c r="H1352" t="s">
        <v>593</v>
      </c>
      <c r="I1352" s="1">
        <v>46224.771787812497</v>
      </c>
      <c r="J1352" t="s">
        <v>593</v>
      </c>
    </row>
    <row r="1353" spans="1:10" x14ac:dyDescent="0.35">
      <c r="A1353" t="s">
        <v>1268</v>
      </c>
      <c r="B1353" t="s">
        <v>591</v>
      </c>
      <c r="C1353" t="s">
        <v>592</v>
      </c>
      <c r="D1353" s="1">
        <v>46224</v>
      </c>
      <c r="E1353">
        <v>3.5833163776274497E-2</v>
      </c>
      <c r="F1353" t="s">
        <v>5446</v>
      </c>
      <c r="G1353" s="1">
        <v>46224.771787731479</v>
      </c>
      <c r="H1353" t="s">
        <v>593</v>
      </c>
      <c r="I1353" s="1">
        <v>46224.771787812497</v>
      </c>
      <c r="J1353" t="s">
        <v>593</v>
      </c>
    </row>
    <row r="1354" spans="1:10" x14ac:dyDescent="0.35">
      <c r="A1354" t="s">
        <v>1269</v>
      </c>
      <c r="B1354" t="s">
        <v>591</v>
      </c>
      <c r="C1354" t="s">
        <v>592</v>
      </c>
      <c r="D1354" s="1">
        <v>46224</v>
      </c>
      <c r="E1354">
        <v>3.7565923555438099E-2</v>
      </c>
      <c r="F1354" t="s">
        <v>5447</v>
      </c>
      <c r="G1354" s="1">
        <v>46224.771787731479</v>
      </c>
      <c r="H1354" t="s">
        <v>593</v>
      </c>
      <c r="I1354" s="1">
        <v>46224.771787812497</v>
      </c>
      <c r="J1354" t="s">
        <v>593</v>
      </c>
    </row>
    <row r="1355" spans="1:10" x14ac:dyDescent="0.35">
      <c r="A1355" t="s">
        <v>1270</v>
      </c>
      <c r="B1355" t="s">
        <v>591</v>
      </c>
      <c r="C1355" t="s">
        <v>592</v>
      </c>
      <c r="D1355" s="1">
        <v>46224</v>
      </c>
      <c r="E1355">
        <v>1.6371280166887499E-2</v>
      </c>
      <c r="F1355" t="s">
        <v>5448</v>
      </c>
      <c r="G1355" s="1">
        <v>46224.771787731479</v>
      </c>
      <c r="H1355" t="s">
        <v>593</v>
      </c>
      <c r="I1355" s="1">
        <v>46224.771787812497</v>
      </c>
      <c r="J1355" t="s">
        <v>593</v>
      </c>
    </row>
    <row r="1356" spans="1:10" x14ac:dyDescent="0.35">
      <c r="A1356" t="s">
        <v>1271</v>
      </c>
      <c r="B1356" t="s">
        <v>591</v>
      </c>
      <c r="C1356" t="s">
        <v>592</v>
      </c>
      <c r="D1356" s="1">
        <v>46224</v>
      </c>
      <c r="E1356">
        <v>3.9742103120471502E-2</v>
      </c>
      <c r="F1356" t="s">
        <v>5449</v>
      </c>
      <c r="G1356" s="1">
        <v>46224.771787731479</v>
      </c>
      <c r="H1356" t="s">
        <v>593</v>
      </c>
      <c r="I1356" s="1">
        <v>46224.771787812497</v>
      </c>
      <c r="J1356" t="s">
        <v>593</v>
      </c>
    </row>
    <row r="1357" spans="1:10" x14ac:dyDescent="0.35">
      <c r="A1357" t="s">
        <v>1272</v>
      </c>
      <c r="B1357" t="s">
        <v>591</v>
      </c>
      <c r="C1357" t="s">
        <v>592</v>
      </c>
      <c r="D1357" s="1">
        <v>46224</v>
      </c>
      <c r="E1357">
        <v>4.1927770907743002E-2</v>
      </c>
      <c r="F1357" t="s">
        <v>5450</v>
      </c>
      <c r="G1357" s="1">
        <v>46224.771787731479</v>
      </c>
      <c r="H1357" t="s">
        <v>593</v>
      </c>
      <c r="I1357" s="1">
        <v>46224.771787812497</v>
      </c>
      <c r="J1357" t="s">
        <v>593</v>
      </c>
    </row>
    <row r="1358" spans="1:10" x14ac:dyDescent="0.35">
      <c r="A1358" t="s">
        <v>1273</v>
      </c>
      <c r="B1358" t="s">
        <v>591</v>
      </c>
      <c r="C1358" t="s">
        <v>592</v>
      </c>
      <c r="D1358" s="1">
        <v>46224</v>
      </c>
      <c r="E1358">
        <v>4.2521003354183101E-2</v>
      </c>
      <c r="F1358" t="s">
        <v>5451</v>
      </c>
      <c r="G1358" s="1">
        <v>46224.771787731479</v>
      </c>
      <c r="H1358" t="s">
        <v>593</v>
      </c>
      <c r="I1358" s="1">
        <v>46224.771787812497</v>
      </c>
      <c r="J1358" t="s">
        <v>593</v>
      </c>
    </row>
    <row r="1359" spans="1:10" x14ac:dyDescent="0.35">
      <c r="A1359" t="s">
        <v>1274</v>
      </c>
      <c r="B1359" t="s">
        <v>591</v>
      </c>
      <c r="C1359" t="s">
        <v>592</v>
      </c>
      <c r="D1359" s="1">
        <v>46224</v>
      </c>
      <c r="E1359">
        <v>2.1307850809255E-2</v>
      </c>
      <c r="F1359" t="s">
        <v>5452</v>
      </c>
      <c r="G1359" s="1">
        <v>46224.771787731479</v>
      </c>
      <c r="H1359" t="s">
        <v>593</v>
      </c>
      <c r="I1359" s="1">
        <v>46224.771787812497</v>
      </c>
      <c r="J1359" t="s">
        <v>593</v>
      </c>
    </row>
    <row r="1360" spans="1:10" x14ac:dyDescent="0.35">
      <c r="A1360" t="s">
        <v>1275</v>
      </c>
      <c r="B1360" t="s">
        <v>591</v>
      </c>
      <c r="C1360" t="s">
        <v>592</v>
      </c>
      <c r="D1360" s="1">
        <v>46224</v>
      </c>
      <c r="E1360">
        <v>2.5893735918066301E-2</v>
      </c>
      <c r="F1360" t="s">
        <v>5453</v>
      </c>
      <c r="G1360" s="1">
        <v>46224.771787731479</v>
      </c>
      <c r="H1360" t="s">
        <v>593</v>
      </c>
      <c r="I1360" s="1">
        <v>46224.771787812497</v>
      </c>
      <c r="J1360" t="s">
        <v>593</v>
      </c>
    </row>
    <row r="1361" spans="1:10" x14ac:dyDescent="0.35">
      <c r="A1361" t="s">
        <v>1276</v>
      </c>
      <c r="B1361" t="s">
        <v>591</v>
      </c>
      <c r="C1361" t="s">
        <v>592</v>
      </c>
      <c r="D1361" s="1">
        <v>46224</v>
      </c>
      <c r="E1361">
        <v>3.0030247705211399E-2</v>
      </c>
      <c r="F1361" t="s">
        <v>5454</v>
      </c>
      <c r="G1361" s="1">
        <v>46224.771787731479</v>
      </c>
      <c r="H1361" t="s">
        <v>593</v>
      </c>
      <c r="I1361" s="1">
        <v>46224.771787812497</v>
      </c>
      <c r="J1361" t="s">
        <v>593</v>
      </c>
    </row>
    <row r="1362" spans="1:10" x14ac:dyDescent="0.35">
      <c r="A1362" t="s">
        <v>1277</v>
      </c>
      <c r="B1362" t="s">
        <v>591</v>
      </c>
      <c r="C1362" t="s">
        <v>592</v>
      </c>
      <c r="D1362" s="1">
        <v>46224</v>
      </c>
      <c r="E1362">
        <v>4.4419296823629197E-2</v>
      </c>
      <c r="F1362" t="s">
        <v>5455</v>
      </c>
      <c r="G1362" s="1">
        <v>46224.771787731479</v>
      </c>
      <c r="H1362" t="s">
        <v>593</v>
      </c>
      <c r="I1362" s="1">
        <v>46224.771787812497</v>
      </c>
      <c r="J1362" t="s">
        <v>593</v>
      </c>
    </row>
    <row r="1363" spans="1:10" x14ac:dyDescent="0.35">
      <c r="A1363" t="s">
        <v>1278</v>
      </c>
      <c r="B1363" t="s">
        <v>591</v>
      </c>
      <c r="C1363" t="s">
        <v>592</v>
      </c>
      <c r="D1363" s="1">
        <v>46224</v>
      </c>
      <c r="E1363">
        <v>3.1789784448261998E-2</v>
      </c>
      <c r="F1363" t="s">
        <v>5456</v>
      </c>
      <c r="G1363" s="1">
        <v>46224.771787731479</v>
      </c>
      <c r="H1363" t="s">
        <v>593</v>
      </c>
      <c r="I1363" s="1">
        <v>46224.771787812497</v>
      </c>
      <c r="J1363" t="s">
        <v>593</v>
      </c>
    </row>
    <row r="1364" spans="1:10" x14ac:dyDescent="0.35">
      <c r="A1364" t="s">
        <v>1279</v>
      </c>
      <c r="B1364" t="s">
        <v>591</v>
      </c>
      <c r="C1364" t="s">
        <v>592</v>
      </c>
      <c r="D1364" s="1">
        <v>46224</v>
      </c>
      <c r="E1364">
        <v>4.5382659292803398E-2</v>
      </c>
      <c r="F1364" t="s">
        <v>5457</v>
      </c>
      <c r="G1364" s="1">
        <v>46224.771787731479</v>
      </c>
      <c r="H1364" t="s">
        <v>593</v>
      </c>
      <c r="I1364" s="1">
        <v>46224.771787812497</v>
      </c>
      <c r="J1364" t="s">
        <v>593</v>
      </c>
    </row>
    <row r="1365" spans="1:10" x14ac:dyDescent="0.35">
      <c r="A1365" t="s">
        <v>1280</v>
      </c>
      <c r="B1365" t="s">
        <v>591</v>
      </c>
      <c r="C1365" t="s">
        <v>592</v>
      </c>
      <c r="D1365" s="1">
        <v>46224</v>
      </c>
      <c r="E1365">
        <v>3.4366404715009499E-2</v>
      </c>
      <c r="F1365" t="s">
        <v>5458</v>
      </c>
      <c r="G1365" s="1">
        <v>46224.771787731479</v>
      </c>
      <c r="H1365" t="s">
        <v>593</v>
      </c>
      <c r="I1365" s="1">
        <v>46224.771787812497</v>
      </c>
      <c r="J1365" t="s">
        <v>593</v>
      </c>
    </row>
    <row r="1366" spans="1:10" x14ac:dyDescent="0.35">
      <c r="A1366" t="s">
        <v>1281</v>
      </c>
      <c r="B1366" t="s">
        <v>591</v>
      </c>
      <c r="C1366" t="s">
        <v>592</v>
      </c>
      <c r="D1366" s="1">
        <v>46224</v>
      </c>
      <c r="E1366">
        <v>1.24256663866712E-2</v>
      </c>
      <c r="F1366" t="s">
        <v>5459</v>
      </c>
      <c r="G1366" s="1">
        <v>46224.771787731479</v>
      </c>
      <c r="H1366" t="s">
        <v>593</v>
      </c>
      <c r="I1366" s="1">
        <v>46224.771787812497</v>
      </c>
      <c r="J1366" t="s">
        <v>593</v>
      </c>
    </row>
    <row r="1367" spans="1:10" x14ac:dyDescent="0.35">
      <c r="A1367" t="s">
        <v>1282</v>
      </c>
      <c r="B1367" t="s">
        <v>591</v>
      </c>
      <c r="C1367" t="s">
        <v>592</v>
      </c>
      <c r="D1367" s="1">
        <v>46224</v>
      </c>
      <c r="E1367">
        <v>4.5454761739821103E-2</v>
      </c>
      <c r="F1367" t="s">
        <v>5460</v>
      </c>
      <c r="G1367" s="1">
        <v>46224.771787731479</v>
      </c>
      <c r="H1367" t="s">
        <v>593</v>
      </c>
      <c r="I1367" s="1">
        <v>46224.771787812497</v>
      </c>
      <c r="J1367" t="s">
        <v>593</v>
      </c>
    </row>
    <row r="1368" spans="1:10" x14ac:dyDescent="0.35">
      <c r="A1368" t="s">
        <v>1283</v>
      </c>
      <c r="B1368" t="s">
        <v>591</v>
      </c>
      <c r="C1368" t="s">
        <v>592</v>
      </c>
      <c r="D1368" s="1">
        <v>46224</v>
      </c>
      <c r="E1368">
        <v>3.9583250166179397E-2</v>
      </c>
      <c r="F1368" t="s">
        <v>5461</v>
      </c>
      <c r="G1368" s="1">
        <v>46224.771787731479</v>
      </c>
      <c r="H1368" t="s">
        <v>593</v>
      </c>
      <c r="I1368" s="1">
        <v>46224.771787812497</v>
      </c>
      <c r="J1368" t="s">
        <v>593</v>
      </c>
    </row>
    <row r="1369" spans="1:10" x14ac:dyDescent="0.35">
      <c r="A1369" t="s">
        <v>1284</v>
      </c>
      <c r="B1369" t="s">
        <v>591</v>
      </c>
      <c r="C1369" t="s">
        <v>592</v>
      </c>
      <c r="D1369" s="1">
        <v>46224</v>
      </c>
      <c r="E1369">
        <v>2.4462751276405001E-2</v>
      </c>
      <c r="F1369" t="s">
        <v>5462</v>
      </c>
      <c r="G1369" s="1">
        <v>46224.771787731479</v>
      </c>
      <c r="H1369" t="s">
        <v>593</v>
      </c>
      <c r="I1369" s="1">
        <v>46224.771787812497</v>
      </c>
      <c r="J1369" t="s">
        <v>593</v>
      </c>
    </row>
    <row r="1370" spans="1:10" x14ac:dyDescent="0.35">
      <c r="A1370" t="s">
        <v>1285</v>
      </c>
      <c r="B1370" t="s">
        <v>591</v>
      </c>
      <c r="C1370" t="s">
        <v>592</v>
      </c>
      <c r="D1370" s="1">
        <v>46224</v>
      </c>
      <c r="E1370">
        <v>4.6004949069222097E-2</v>
      </c>
      <c r="F1370" t="s">
        <v>5463</v>
      </c>
      <c r="G1370" s="1">
        <v>46224.771787731479</v>
      </c>
      <c r="H1370" t="s">
        <v>593</v>
      </c>
      <c r="I1370" s="1">
        <v>46224.771787812497</v>
      </c>
      <c r="J1370" t="s">
        <v>593</v>
      </c>
    </row>
    <row r="1371" spans="1:10" x14ac:dyDescent="0.35">
      <c r="A1371" t="s">
        <v>1286</v>
      </c>
      <c r="B1371" t="s">
        <v>591</v>
      </c>
      <c r="C1371" t="s">
        <v>592</v>
      </c>
      <c r="D1371" s="1">
        <v>46224</v>
      </c>
      <c r="E1371">
        <v>3.6242487208186097E-2</v>
      </c>
      <c r="F1371" t="s">
        <v>5464</v>
      </c>
      <c r="G1371" s="1">
        <v>46224.771787731479</v>
      </c>
      <c r="H1371" t="s">
        <v>593</v>
      </c>
      <c r="I1371" s="1">
        <v>46224.771787812497</v>
      </c>
      <c r="J1371" t="s">
        <v>593</v>
      </c>
    </row>
    <row r="1372" spans="1:10" x14ac:dyDescent="0.35">
      <c r="A1372" t="s">
        <v>1287</v>
      </c>
      <c r="B1372" t="s">
        <v>591</v>
      </c>
      <c r="C1372" t="s">
        <v>592</v>
      </c>
      <c r="D1372" s="1">
        <v>46224</v>
      </c>
      <c r="E1372">
        <v>2.70287576884795E-2</v>
      </c>
      <c r="F1372" t="s">
        <v>5465</v>
      </c>
      <c r="G1372" s="1">
        <v>46224.771787731479</v>
      </c>
      <c r="H1372" t="s">
        <v>593</v>
      </c>
      <c r="I1372" s="1">
        <v>46224.771787812497</v>
      </c>
      <c r="J1372" t="s">
        <v>593</v>
      </c>
    </row>
    <row r="1373" spans="1:10" x14ac:dyDescent="0.35">
      <c r="A1373" t="s">
        <v>1288</v>
      </c>
      <c r="B1373" t="s">
        <v>591</v>
      </c>
      <c r="C1373" t="s">
        <v>592</v>
      </c>
      <c r="D1373" s="1">
        <v>46224</v>
      </c>
      <c r="E1373">
        <v>4.5650623934070697E-2</v>
      </c>
      <c r="F1373" t="s">
        <v>5466</v>
      </c>
      <c r="G1373" s="1">
        <v>46224.771787731479</v>
      </c>
      <c r="H1373" t="s">
        <v>593</v>
      </c>
      <c r="I1373" s="1">
        <v>46224.771787812497</v>
      </c>
      <c r="J1373" t="s">
        <v>593</v>
      </c>
    </row>
    <row r="1374" spans="1:10" x14ac:dyDescent="0.35">
      <c r="A1374" t="s">
        <v>1289</v>
      </c>
      <c r="B1374" t="s">
        <v>591</v>
      </c>
      <c r="C1374" t="s">
        <v>592</v>
      </c>
      <c r="D1374" s="1">
        <v>46224</v>
      </c>
      <c r="E1374">
        <v>2.7695034103614399E-2</v>
      </c>
      <c r="F1374" t="s">
        <v>5467</v>
      </c>
      <c r="G1374" s="1">
        <v>46224.771787731479</v>
      </c>
      <c r="H1374" t="s">
        <v>593</v>
      </c>
      <c r="I1374" s="1">
        <v>46224.771787812497</v>
      </c>
      <c r="J1374" t="s">
        <v>593</v>
      </c>
    </row>
    <row r="1375" spans="1:10" x14ac:dyDescent="0.35">
      <c r="A1375" t="s">
        <v>1290</v>
      </c>
      <c r="B1375" t="s">
        <v>591</v>
      </c>
      <c r="C1375" t="s">
        <v>592</v>
      </c>
      <c r="D1375" s="1">
        <v>46224</v>
      </c>
      <c r="E1375">
        <v>4.1336893982964099E-2</v>
      </c>
      <c r="F1375" t="s">
        <v>5468</v>
      </c>
      <c r="G1375" s="1">
        <v>46224.771787731479</v>
      </c>
      <c r="H1375" t="s">
        <v>593</v>
      </c>
      <c r="I1375" s="1">
        <v>46224.771787812497</v>
      </c>
      <c r="J1375" t="s">
        <v>593</v>
      </c>
    </row>
    <row r="1376" spans="1:10" x14ac:dyDescent="0.35">
      <c r="A1376" t="s">
        <v>1291</v>
      </c>
      <c r="B1376" t="s">
        <v>591</v>
      </c>
      <c r="C1376" t="s">
        <v>592</v>
      </c>
      <c r="D1376" s="1">
        <v>46224</v>
      </c>
      <c r="E1376">
        <v>2.9050534305535902E-2</v>
      </c>
      <c r="F1376" t="s">
        <v>5469</v>
      </c>
      <c r="G1376" s="1">
        <v>46224.771787731479</v>
      </c>
      <c r="H1376" t="s">
        <v>593</v>
      </c>
      <c r="I1376" s="1">
        <v>46224.771787812497</v>
      </c>
      <c r="J1376" t="s">
        <v>593</v>
      </c>
    </row>
    <row r="1377" spans="1:10" x14ac:dyDescent="0.35">
      <c r="A1377" t="s">
        <v>1292</v>
      </c>
      <c r="B1377" t="s">
        <v>591</v>
      </c>
      <c r="C1377" t="s">
        <v>592</v>
      </c>
      <c r="D1377" s="1">
        <v>46224</v>
      </c>
      <c r="E1377">
        <v>3.00060724776091E-2</v>
      </c>
      <c r="F1377" t="s">
        <v>5470</v>
      </c>
      <c r="G1377" s="1">
        <v>46224.771787731479</v>
      </c>
      <c r="H1377" t="s">
        <v>593</v>
      </c>
      <c r="I1377" s="1">
        <v>46224.771787812497</v>
      </c>
      <c r="J1377" t="s">
        <v>593</v>
      </c>
    </row>
    <row r="1378" spans="1:10" x14ac:dyDescent="0.35">
      <c r="A1378" t="s">
        <v>1293</v>
      </c>
      <c r="B1378" t="s">
        <v>591</v>
      </c>
      <c r="C1378" t="s">
        <v>592</v>
      </c>
      <c r="D1378" s="1">
        <v>46224</v>
      </c>
      <c r="E1378">
        <v>3.8099261515798198E-2</v>
      </c>
      <c r="F1378" t="s">
        <v>5471</v>
      </c>
      <c r="G1378" s="1">
        <v>46224.771787731479</v>
      </c>
      <c r="H1378" t="s">
        <v>593</v>
      </c>
      <c r="I1378" s="1">
        <v>46224.771787812497</v>
      </c>
      <c r="J1378" t="s">
        <v>593</v>
      </c>
    </row>
    <row r="1379" spans="1:10" x14ac:dyDescent="0.35">
      <c r="A1379" t="s">
        <v>1294</v>
      </c>
      <c r="B1379" t="s">
        <v>591</v>
      </c>
      <c r="C1379" t="s">
        <v>592</v>
      </c>
      <c r="D1379" s="1">
        <v>46224</v>
      </c>
      <c r="E1379">
        <v>4.5937688635273297E-2</v>
      </c>
      <c r="F1379" t="s">
        <v>5472</v>
      </c>
      <c r="G1379" s="1">
        <v>46224.771787731479</v>
      </c>
      <c r="H1379" t="s">
        <v>593</v>
      </c>
      <c r="I1379" s="1">
        <v>46224.771787812497</v>
      </c>
      <c r="J1379" t="s">
        <v>593</v>
      </c>
    </row>
    <row r="1380" spans="1:10" x14ac:dyDescent="0.35">
      <c r="A1380" t="s">
        <v>1295</v>
      </c>
      <c r="B1380" t="s">
        <v>591</v>
      </c>
      <c r="C1380" t="s">
        <v>592</v>
      </c>
      <c r="D1380" s="1">
        <v>46224</v>
      </c>
      <c r="E1380">
        <v>3.0945726857435199E-2</v>
      </c>
      <c r="F1380" t="s">
        <v>5473</v>
      </c>
      <c r="G1380" s="1">
        <v>46224.771787731479</v>
      </c>
      <c r="H1380" t="s">
        <v>593</v>
      </c>
      <c r="I1380" s="1">
        <v>46224.771787812497</v>
      </c>
      <c r="J1380" t="s">
        <v>593</v>
      </c>
    </row>
    <row r="1381" spans="1:10" x14ac:dyDescent="0.35">
      <c r="A1381" t="s">
        <v>1296</v>
      </c>
      <c r="B1381" t="s">
        <v>591</v>
      </c>
      <c r="C1381" t="s">
        <v>592</v>
      </c>
      <c r="D1381" s="1">
        <v>46224</v>
      </c>
      <c r="E1381">
        <v>4.2410552891266502E-2</v>
      </c>
      <c r="F1381" t="s">
        <v>5474</v>
      </c>
      <c r="G1381" s="1">
        <v>46224.771787731479</v>
      </c>
      <c r="H1381" t="s">
        <v>593</v>
      </c>
      <c r="I1381" s="1">
        <v>46224.771787812497</v>
      </c>
      <c r="J1381" t="s">
        <v>593</v>
      </c>
    </row>
    <row r="1382" spans="1:10" x14ac:dyDescent="0.35">
      <c r="A1382" t="s">
        <v>1297</v>
      </c>
      <c r="B1382" t="s">
        <v>591</v>
      </c>
      <c r="C1382" t="s">
        <v>592</v>
      </c>
      <c r="D1382" s="1">
        <v>46224</v>
      </c>
      <c r="E1382">
        <v>3.1810762323084503E-2</v>
      </c>
      <c r="F1382" t="s">
        <v>5475</v>
      </c>
      <c r="G1382" s="1">
        <v>46224.771787731479</v>
      </c>
      <c r="H1382" t="s">
        <v>593</v>
      </c>
      <c r="I1382" s="1">
        <v>46224.771787812497</v>
      </c>
      <c r="J1382" t="s">
        <v>593</v>
      </c>
    </row>
    <row r="1383" spans="1:10" x14ac:dyDescent="0.35">
      <c r="A1383" t="s">
        <v>1298</v>
      </c>
      <c r="B1383" t="s">
        <v>591</v>
      </c>
      <c r="C1383" t="s">
        <v>592</v>
      </c>
      <c r="D1383" s="1">
        <v>46224</v>
      </c>
      <c r="E1383">
        <v>2.5063433580110699E-2</v>
      </c>
      <c r="F1383" t="s">
        <v>5476</v>
      </c>
      <c r="G1383" s="1">
        <v>46224.771787731479</v>
      </c>
      <c r="H1383" t="s">
        <v>593</v>
      </c>
      <c r="I1383" s="1">
        <v>46224.771787812497</v>
      </c>
      <c r="J1383" t="s">
        <v>593</v>
      </c>
    </row>
    <row r="1384" spans="1:10" x14ac:dyDescent="0.35">
      <c r="A1384" t="s">
        <v>1299</v>
      </c>
      <c r="B1384" t="s">
        <v>591</v>
      </c>
      <c r="C1384" t="s">
        <v>592</v>
      </c>
      <c r="D1384" s="1">
        <v>46224</v>
      </c>
      <c r="E1384">
        <v>4.6370552682117601E-2</v>
      </c>
      <c r="F1384" t="s">
        <v>5477</v>
      </c>
      <c r="G1384" s="1">
        <v>46224.771787731479</v>
      </c>
      <c r="H1384" t="s">
        <v>593</v>
      </c>
      <c r="I1384" s="1">
        <v>46224.771787812497</v>
      </c>
      <c r="J1384" t="s">
        <v>593</v>
      </c>
    </row>
    <row r="1385" spans="1:10" x14ac:dyDescent="0.35">
      <c r="A1385" t="s">
        <v>1300</v>
      </c>
      <c r="B1385" t="s">
        <v>591</v>
      </c>
      <c r="C1385" t="s">
        <v>592</v>
      </c>
      <c r="D1385" s="1">
        <v>46224</v>
      </c>
      <c r="E1385">
        <v>3.9258668407563903E-2</v>
      </c>
      <c r="F1385" t="s">
        <v>5478</v>
      </c>
      <c r="G1385" s="1">
        <v>46224.771787731479</v>
      </c>
      <c r="H1385" t="s">
        <v>593</v>
      </c>
      <c r="I1385" s="1">
        <v>46224.771787812497</v>
      </c>
      <c r="J1385" t="s">
        <v>593</v>
      </c>
    </row>
    <row r="1386" spans="1:10" x14ac:dyDescent="0.35">
      <c r="A1386" t="s">
        <v>1301</v>
      </c>
      <c r="B1386" t="s">
        <v>591</v>
      </c>
      <c r="C1386" t="s">
        <v>592</v>
      </c>
      <c r="D1386" s="1">
        <v>46224</v>
      </c>
      <c r="E1386">
        <v>3.2456335234234301E-2</v>
      </c>
      <c r="F1386" t="s">
        <v>5479</v>
      </c>
      <c r="G1386" s="1">
        <v>46224.771787731479</v>
      </c>
      <c r="H1386" t="s">
        <v>593</v>
      </c>
      <c r="I1386" s="1">
        <v>46224.771787812497</v>
      </c>
      <c r="J1386" t="s">
        <v>593</v>
      </c>
    </row>
    <row r="1387" spans="1:10" x14ac:dyDescent="0.35">
      <c r="A1387" t="s">
        <v>1302</v>
      </c>
      <c r="B1387" t="s">
        <v>591</v>
      </c>
      <c r="C1387" t="s">
        <v>592</v>
      </c>
      <c r="D1387" s="1">
        <v>46224</v>
      </c>
      <c r="E1387">
        <v>3.29195154547978E-2</v>
      </c>
      <c r="F1387" t="s">
        <v>5480</v>
      </c>
      <c r="G1387" s="1">
        <v>46224.771787731479</v>
      </c>
      <c r="H1387" t="s">
        <v>593</v>
      </c>
      <c r="I1387" s="1">
        <v>46224.771787812497</v>
      </c>
      <c r="J1387" t="s">
        <v>593</v>
      </c>
    </row>
    <row r="1388" spans="1:10" x14ac:dyDescent="0.35">
      <c r="A1388" t="s">
        <v>1667</v>
      </c>
      <c r="B1388" t="s">
        <v>591</v>
      </c>
      <c r="C1388" t="s">
        <v>592</v>
      </c>
      <c r="D1388" s="1">
        <v>46224</v>
      </c>
      <c r="E1388">
        <v>3.05302480485499E-2</v>
      </c>
      <c r="F1388" t="s">
        <v>5481</v>
      </c>
      <c r="G1388" s="1">
        <v>46224.771787731479</v>
      </c>
      <c r="H1388" t="s">
        <v>593</v>
      </c>
      <c r="I1388" s="1">
        <v>46224.771787812497</v>
      </c>
      <c r="J1388" t="s">
        <v>593</v>
      </c>
    </row>
    <row r="1389" spans="1:10" x14ac:dyDescent="0.35">
      <c r="A1389" t="s">
        <v>1303</v>
      </c>
      <c r="B1389" t="s">
        <v>591</v>
      </c>
      <c r="C1389" t="s">
        <v>592</v>
      </c>
      <c r="D1389" s="1">
        <v>46224</v>
      </c>
      <c r="E1389">
        <v>2.8157382290055499E-2</v>
      </c>
      <c r="F1389" t="s">
        <v>5482</v>
      </c>
      <c r="G1389" s="1">
        <v>46224.771787731479</v>
      </c>
      <c r="H1389" t="s">
        <v>593</v>
      </c>
      <c r="I1389" s="1">
        <v>46224.771787812497</v>
      </c>
      <c r="J1389" t="s">
        <v>593</v>
      </c>
    </row>
    <row r="1390" spans="1:10" x14ac:dyDescent="0.35">
      <c r="A1390" t="s">
        <v>1304</v>
      </c>
      <c r="B1390" t="s">
        <v>591</v>
      </c>
      <c r="C1390" t="s">
        <v>592</v>
      </c>
      <c r="D1390" s="1">
        <v>46224</v>
      </c>
      <c r="E1390">
        <v>4.3233650470187297E-2</v>
      </c>
      <c r="F1390" t="s">
        <v>5483</v>
      </c>
      <c r="G1390" s="1">
        <v>46224.771787731479</v>
      </c>
      <c r="H1390" t="s">
        <v>593</v>
      </c>
      <c r="I1390" s="1">
        <v>46224.771787812497</v>
      </c>
      <c r="J1390" t="s">
        <v>593</v>
      </c>
    </row>
    <row r="1391" spans="1:10" x14ac:dyDescent="0.35">
      <c r="A1391" t="s">
        <v>1305</v>
      </c>
      <c r="B1391" t="s">
        <v>591</v>
      </c>
      <c r="C1391" t="s">
        <v>592</v>
      </c>
      <c r="D1391" s="1">
        <v>46224</v>
      </c>
      <c r="E1391">
        <v>3.3294567064590601E-2</v>
      </c>
      <c r="F1391" t="s">
        <v>5484</v>
      </c>
      <c r="G1391" s="1">
        <v>46224.771787731479</v>
      </c>
      <c r="H1391" t="s">
        <v>593</v>
      </c>
      <c r="I1391" s="1">
        <v>46224.771787812497</v>
      </c>
      <c r="J1391" t="s">
        <v>593</v>
      </c>
    </row>
    <row r="1392" spans="1:10" x14ac:dyDescent="0.35">
      <c r="A1392" t="s">
        <v>1306</v>
      </c>
      <c r="B1392" t="s">
        <v>591</v>
      </c>
      <c r="C1392" t="s">
        <v>592</v>
      </c>
      <c r="D1392" s="1">
        <v>46224</v>
      </c>
      <c r="E1392">
        <v>4.65117842300906E-2</v>
      </c>
      <c r="F1392" t="s">
        <v>5485</v>
      </c>
      <c r="G1392" s="1">
        <v>46224.771787731479</v>
      </c>
      <c r="H1392" t="s">
        <v>593</v>
      </c>
      <c r="I1392" s="1">
        <v>46224.771787812497</v>
      </c>
      <c r="J1392" t="s">
        <v>593</v>
      </c>
    </row>
    <row r="1393" spans="1:10" x14ac:dyDescent="0.35">
      <c r="A1393" t="s">
        <v>1307</v>
      </c>
      <c r="B1393" t="s">
        <v>591</v>
      </c>
      <c r="C1393" t="s">
        <v>592</v>
      </c>
      <c r="D1393" s="1">
        <v>46224</v>
      </c>
      <c r="E1393">
        <v>4.0223603314879397E-2</v>
      </c>
      <c r="F1393" t="s">
        <v>5486</v>
      </c>
      <c r="G1393" s="1">
        <v>46224.771787731479</v>
      </c>
      <c r="H1393" t="s">
        <v>593</v>
      </c>
      <c r="I1393" s="1">
        <v>46224.771787812497</v>
      </c>
      <c r="J1393" t="s">
        <v>593</v>
      </c>
    </row>
    <row r="1394" spans="1:10" x14ac:dyDescent="0.35">
      <c r="A1394" t="s">
        <v>1308</v>
      </c>
      <c r="B1394" t="s">
        <v>591</v>
      </c>
      <c r="C1394" t="s">
        <v>592</v>
      </c>
      <c r="D1394" s="1">
        <v>46224</v>
      </c>
      <c r="E1394">
        <v>2.9127871217702699E-2</v>
      </c>
      <c r="F1394" t="s">
        <v>5487</v>
      </c>
      <c r="G1394" s="1">
        <v>46224.771787731479</v>
      </c>
      <c r="H1394" t="s">
        <v>593</v>
      </c>
      <c r="I1394" s="1">
        <v>46224.771787812497</v>
      </c>
      <c r="J1394" t="s">
        <v>593</v>
      </c>
    </row>
    <row r="1395" spans="1:10" x14ac:dyDescent="0.35">
      <c r="A1395" t="s">
        <v>1309</v>
      </c>
      <c r="B1395" t="s">
        <v>591</v>
      </c>
      <c r="C1395" t="s">
        <v>592</v>
      </c>
      <c r="D1395" s="1">
        <v>46224</v>
      </c>
      <c r="E1395">
        <v>3.3661402001805903E-2</v>
      </c>
      <c r="F1395" t="s">
        <v>5488</v>
      </c>
      <c r="G1395" s="1">
        <v>46224.771787731479</v>
      </c>
      <c r="H1395" t="s">
        <v>593</v>
      </c>
      <c r="I1395" s="1">
        <v>46224.771787812497</v>
      </c>
      <c r="J1395" t="s">
        <v>593</v>
      </c>
    </row>
    <row r="1396" spans="1:10" x14ac:dyDescent="0.35">
      <c r="A1396" t="s">
        <v>1310</v>
      </c>
      <c r="B1396" t="s">
        <v>591</v>
      </c>
      <c r="C1396" t="s">
        <v>592</v>
      </c>
      <c r="D1396" s="1">
        <v>46224</v>
      </c>
      <c r="E1396">
        <v>2.4683858097896898E-2</v>
      </c>
      <c r="F1396" t="s">
        <v>5489</v>
      </c>
      <c r="G1396" s="1">
        <v>46224.771787731479</v>
      </c>
      <c r="H1396" t="s">
        <v>593</v>
      </c>
      <c r="I1396" s="1">
        <v>46224.771787812497</v>
      </c>
      <c r="J1396" t="s">
        <v>593</v>
      </c>
    </row>
    <row r="1397" spans="1:10" x14ac:dyDescent="0.35">
      <c r="A1397" t="s">
        <v>1311</v>
      </c>
      <c r="B1397" t="s">
        <v>591</v>
      </c>
      <c r="C1397" t="s">
        <v>592</v>
      </c>
      <c r="D1397" s="1">
        <v>46224</v>
      </c>
      <c r="E1397">
        <v>4.4963418095873398E-2</v>
      </c>
      <c r="F1397" t="s">
        <v>5490</v>
      </c>
      <c r="G1397" s="1">
        <v>46224.771787731479</v>
      </c>
      <c r="H1397" t="s">
        <v>593</v>
      </c>
      <c r="I1397" s="1">
        <v>46224.771787812497</v>
      </c>
      <c r="J1397" t="s">
        <v>593</v>
      </c>
    </row>
    <row r="1398" spans="1:10" x14ac:dyDescent="0.35">
      <c r="A1398" t="s">
        <v>1312</v>
      </c>
      <c r="B1398" t="s">
        <v>591</v>
      </c>
      <c r="C1398" t="s">
        <v>592</v>
      </c>
      <c r="D1398" s="1">
        <v>46224</v>
      </c>
      <c r="E1398">
        <v>4.3941320619451101E-2</v>
      </c>
      <c r="F1398" t="s">
        <v>5491</v>
      </c>
      <c r="G1398" s="1">
        <v>46224.771787731479</v>
      </c>
      <c r="H1398" t="s">
        <v>593</v>
      </c>
      <c r="I1398" s="1">
        <v>46224.771787812497</v>
      </c>
      <c r="J1398" t="s">
        <v>593</v>
      </c>
    </row>
    <row r="1399" spans="1:10" x14ac:dyDescent="0.35">
      <c r="A1399" t="s">
        <v>1313</v>
      </c>
      <c r="B1399" t="s">
        <v>591</v>
      </c>
      <c r="C1399" t="s">
        <v>592</v>
      </c>
      <c r="D1399" s="1">
        <v>46224</v>
      </c>
      <c r="E1399">
        <v>2.94317652435102E-2</v>
      </c>
      <c r="F1399" t="s">
        <v>5492</v>
      </c>
      <c r="G1399" s="1">
        <v>46224.771787731479</v>
      </c>
      <c r="H1399" t="s">
        <v>593</v>
      </c>
      <c r="I1399" s="1">
        <v>46224.771787812497</v>
      </c>
      <c r="J1399" t="s">
        <v>593</v>
      </c>
    </row>
    <row r="1400" spans="1:10" x14ac:dyDescent="0.35">
      <c r="A1400" t="s">
        <v>1314</v>
      </c>
      <c r="B1400" t="s">
        <v>591</v>
      </c>
      <c r="C1400" t="s">
        <v>592</v>
      </c>
      <c r="D1400" s="1">
        <v>46224</v>
      </c>
      <c r="E1400">
        <v>3.4110099811712501E-2</v>
      </c>
      <c r="F1400" t="s">
        <v>5493</v>
      </c>
      <c r="G1400" s="1">
        <v>46224.771787731479</v>
      </c>
      <c r="H1400" t="s">
        <v>593</v>
      </c>
      <c r="I1400" s="1">
        <v>46224.771787812497</v>
      </c>
      <c r="J1400" t="s">
        <v>593</v>
      </c>
    </row>
    <row r="1401" spans="1:10" x14ac:dyDescent="0.35">
      <c r="A1401" t="s">
        <v>1315</v>
      </c>
      <c r="B1401" t="s">
        <v>591</v>
      </c>
      <c r="C1401" t="s">
        <v>592</v>
      </c>
      <c r="D1401" s="1">
        <v>46224</v>
      </c>
      <c r="E1401">
        <v>2.0146521290769701E-2</v>
      </c>
      <c r="F1401" t="s">
        <v>5494</v>
      </c>
      <c r="G1401" s="1">
        <v>46224.771787731479</v>
      </c>
      <c r="H1401" t="s">
        <v>593</v>
      </c>
      <c r="I1401" s="1">
        <v>46224.771787812497</v>
      </c>
      <c r="J1401" t="s">
        <v>593</v>
      </c>
    </row>
    <row r="1402" spans="1:10" x14ac:dyDescent="0.35">
      <c r="A1402" t="s">
        <v>1316</v>
      </c>
      <c r="B1402" t="s">
        <v>591</v>
      </c>
      <c r="C1402" t="s">
        <v>592</v>
      </c>
      <c r="D1402" s="1">
        <v>46224</v>
      </c>
      <c r="E1402">
        <v>3.4685191654479301E-2</v>
      </c>
      <c r="F1402" t="s">
        <v>5495</v>
      </c>
      <c r="G1402" s="1">
        <v>46224.771787731479</v>
      </c>
      <c r="H1402" t="s">
        <v>593</v>
      </c>
      <c r="I1402" s="1">
        <v>46224.771787812497</v>
      </c>
      <c r="J1402" t="s">
        <v>593</v>
      </c>
    </row>
    <row r="1403" spans="1:10" x14ac:dyDescent="0.35">
      <c r="A1403" t="s">
        <v>1317</v>
      </c>
      <c r="B1403" t="s">
        <v>591</v>
      </c>
      <c r="C1403" t="s">
        <v>592</v>
      </c>
      <c r="D1403" s="1">
        <v>46224</v>
      </c>
      <c r="E1403">
        <v>3.04673837706151E-2</v>
      </c>
      <c r="F1403" t="s">
        <v>5496</v>
      </c>
      <c r="G1403" s="1">
        <v>46224.771787731479</v>
      </c>
      <c r="H1403" t="s">
        <v>593</v>
      </c>
      <c r="I1403" s="1">
        <v>46224.771787812497</v>
      </c>
      <c r="J1403" t="s">
        <v>593</v>
      </c>
    </row>
    <row r="1404" spans="1:10" x14ac:dyDescent="0.35">
      <c r="A1404" t="s">
        <v>1318</v>
      </c>
      <c r="B1404" t="s">
        <v>591</v>
      </c>
      <c r="C1404" t="s">
        <v>592</v>
      </c>
      <c r="D1404" s="1">
        <v>46224</v>
      </c>
      <c r="E1404">
        <v>4.6617985058537897E-2</v>
      </c>
      <c r="F1404" t="s">
        <v>5497</v>
      </c>
      <c r="G1404" s="1">
        <v>46224.771787731479</v>
      </c>
      <c r="H1404" t="s">
        <v>593</v>
      </c>
      <c r="I1404" s="1">
        <v>46224.771787812497</v>
      </c>
      <c r="J1404" t="s">
        <v>593</v>
      </c>
    </row>
    <row r="1405" spans="1:10" x14ac:dyDescent="0.35">
      <c r="A1405" t="s">
        <v>1319</v>
      </c>
      <c r="B1405" t="s">
        <v>591</v>
      </c>
      <c r="C1405" t="s">
        <v>592</v>
      </c>
      <c r="D1405" s="1">
        <v>46224</v>
      </c>
      <c r="E1405">
        <v>2.6883755789016601E-2</v>
      </c>
      <c r="F1405" t="s">
        <v>5498</v>
      </c>
      <c r="G1405" s="1">
        <v>46224.771787731479</v>
      </c>
      <c r="H1405" t="s">
        <v>593</v>
      </c>
      <c r="I1405" s="1">
        <v>46224.771787812497</v>
      </c>
      <c r="J1405" t="s">
        <v>593</v>
      </c>
    </row>
    <row r="1406" spans="1:10" x14ac:dyDescent="0.35">
      <c r="A1406" t="s">
        <v>1320</v>
      </c>
      <c r="B1406" t="s">
        <v>591</v>
      </c>
      <c r="C1406" t="s">
        <v>592</v>
      </c>
      <c r="D1406" s="1">
        <v>46224</v>
      </c>
      <c r="E1406">
        <v>3.5353745107479899E-2</v>
      </c>
      <c r="F1406" t="s">
        <v>5499</v>
      </c>
      <c r="G1406" s="1">
        <v>46224.771787731479</v>
      </c>
      <c r="H1406" t="s">
        <v>593</v>
      </c>
      <c r="I1406" s="1">
        <v>46224.771787812497</v>
      </c>
      <c r="J1406" t="s">
        <v>593</v>
      </c>
    </row>
    <row r="1407" spans="1:10" x14ac:dyDescent="0.35">
      <c r="A1407" t="s">
        <v>1321</v>
      </c>
      <c r="B1407" t="s">
        <v>591</v>
      </c>
      <c r="C1407" t="s">
        <v>592</v>
      </c>
      <c r="D1407" s="1">
        <v>46224</v>
      </c>
      <c r="E1407">
        <v>3.1091247431981099E-2</v>
      </c>
      <c r="F1407" t="s">
        <v>5500</v>
      </c>
      <c r="G1407" s="1">
        <v>46224.771787731479</v>
      </c>
      <c r="H1407" t="s">
        <v>593</v>
      </c>
      <c r="I1407" s="1">
        <v>46224.771787812497</v>
      </c>
      <c r="J1407" t="s">
        <v>593</v>
      </c>
    </row>
    <row r="1408" spans="1:10" x14ac:dyDescent="0.35">
      <c r="A1408" t="s">
        <v>1322</v>
      </c>
      <c r="B1408" t="s">
        <v>591</v>
      </c>
      <c r="C1408" t="s">
        <v>592</v>
      </c>
      <c r="D1408" s="1">
        <v>46224</v>
      </c>
      <c r="E1408">
        <v>4.1049786982537799E-2</v>
      </c>
      <c r="F1408" t="s">
        <v>5501</v>
      </c>
      <c r="G1408" s="1">
        <v>46224.771787731479</v>
      </c>
      <c r="H1408" t="s">
        <v>593</v>
      </c>
      <c r="I1408" s="1">
        <v>46224.771787812497</v>
      </c>
      <c r="J1408" t="s">
        <v>593</v>
      </c>
    </row>
    <row r="1409" spans="1:10" x14ac:dyDescent="0.35">
      <c r="A1409" t="s">
        <v>1323</v>
      </c>
      <c r="B1409" t="s">
        <v>591</v>
      </c>
      <c r="C1409" t="s">
        <v>592</v>
      </c>
      <c r="D1409" s="1">
        <v>46224</v>
      </c>
      <c r="E1409">
        <v>2.8803215562949E-2</v>
      </c>
      <c r="F1409" t="s">
        <v>5502</v>
      </c>
      <c r="G1409" s="1">
        <v>46224.771787731479</v>
      </c>
      <c r="H1409" t="s">
        <v>593</v>
      </c>
      <c r="I1409" s="1">
        <v>46224.771787812497</v>
      </c>
      <c r="J1409" t="s">
        <v>593</v>
      </c>
    </row>
    <row r="1410" spans="1:10" x14ac:dyDescent="0.35">
      <c r="A1410" t="s">
        <v>1324</v>
      </c>
      <c r="B1410" t="s">
        <v>591</v>
      </c>
      <c r="C1410" t="s">
        <v>592</v>
      </c>
      <c r="D1410" s="1">
        <v>46224</v>
      </c>
      <c r="E1410">
        <v>3.8334215477525198E-2</v>
      </c>
      <c r="F1410" t="s">
        <v>5503</v>
      </c>
      <c r="G1410" s="1">
        <v>46224.771787731479</v>
      </c>
      <c r="H1410" t="s">
        <v>593</v>
      </c>
      <c r="I1410" s="1">
        <v>46224.771787812497</v>
      </c>
      <c r="J1410" t="s">
        <v>593</v>
      </c>
    </row>
    <row r="1411" spans="1:10" x14ac:dyDescent="0.35">
      <c r="A1411" t="s">
        <v>1325</v>
      </c>
      <c r="B1411" t="s">
        <v>591</v>
      </c>
      <c r="C1411" t="s">
        <v>592</v>
      </c>
      <c r="D1411" s="1">
        <v>46224</v>
      </c>
      <c r="E1411">
        <v>3.6018474969886499E-2</v>
      </c>
      <c r="F1411" t="s">
        <v>5504</v>
      </c>
      <c r="G1411" s="1">
        <v>46224.771787731479</v>
      </c>
      <c r="H1411" t="s">
        <v>593</v>
      </c>
      <c r="I1411" s="1">
        <v>46224.771787812497</v>
      </c>
      <c r="J1411" t="s">
        <v>593</v>
      </c>
    </row>
    <row r="1412" spans="1:10" x14ac:dyDescent="0.35">
      <c r="A1412" t="s">
        <v>1326</v>
      </c>
      <c r="B1412" t="s">
        <v>591</v>
      </c>
      <c r="C1412" t="s">
        <v>592</v>
      </c>
      <c r="D1412" s="1">
        <v>46224</v>
      </c>
      <c r="E1412">
        <v>3.1825437625242703E-2</v>
      </c>
      <c r="F1412" t="s">
        <v>5505</v>
      </c>
      <c r="G1412" s="1">
        <v>46224.771787731479</v>
      </c>
      <c r="H1412" t="s">
        <v>593</v>
      </c>
      <c r="I1412" s="1">
        <v>46224.771787812497</v>
      </c>
      <c r="J1412" t="s">
        <v>593</v>
      </c>
    </row>
    <row r="1413" spans="1:10" x14ac:dyDescent="0.35">
      <c r="A1413" t="s">
        <v>1327</v>
      </c>
      <c r="B1413" t="s">
        <v>591</v>
      </c>
      <c r="C1413" t="s">
        <v>592</v>
      </c>
      <c r="D1413" s="1">
        <v>46224</v>
      </c>
      <c r="E1413">
        <v>2.9552809323588801E-2</v>
      </c>
      <c r="F1413" t="s">
        <v>5506</v>
      </c>
      <c r="G1413" s="1">
        <v>46224.771787731479</v>
      </c>
      <c r="H1413" t="s">
        <v>593</v>
      </c>
      <c r="I1413" s="1">
        <v>46224.771787812497</v>
      </c>
      <c r="J1413" t="s">
        <v>593</v>
      </c>
    </row>
    <row r="1414" spans="1:10" x14ac:dyDescent="0.35">
      <c r="A1414" t="s">
        <v>1328</v>
      </c>
      <c r="B1414" t="s">
        <v>591</v>
      </c>
      <c r="C1414" t="s">
        <v>592</v>
      </c>
      <c r="D1414" s="1">
        <v>46224</v>
      </c>
      <c r="E1414">
        <v>4.4415575072440497E-2</v>
      </c>
      <c r="F1414" t="s">
        <v>5507</v>
      </c>
      <c r="G1414" s="1">
        <v>46224.771787731479</v>
      </c>
      <c r="H1414" t="s">
        <v>593</v>
      </c>
      <c r="I1414" s="1">
        <v>46224.771787812497</v>
      </c>
      <c r="J1414" t="s">
        <v>593</v>
      </c>
    </row>
    <row r="1415" spans="1:10" x14ac:dyDescent="0.35">
      <c r="A1415" t="s">
        <v>1329</v>
      </c>
      <c r="B1415" t="s">
        <v>591</v>
      </c>
      <c r="C1415" t="s">
        <v>592</v>
      </c>
      <c r="D1415" s="1">
        <v>46224</v>
      </c>
      <c r="E1415">
        <v>4.7033460303297601E-2</v>
      </c>
      <c r="F1415" t="s">
        <v>5508</v>
      </c>
      <c r="G1415" s="1">
        <v>46224.771787731479</v>
      </c>
      <c r="H1415" t="s">
        <v>593</v>
      </c>
      <c r="I1415" s="1">
        <v>46224.771787812497</v>
      </c>
      <c r="J1415" t="s">
        <v>593</v>
      </c>
    </row>
    <row r="1416" spans="1:10" x14ac:dyDescent="0.35">
      <c r="A1416" t="s">
        <v>1330</v>
      </c>
      <c r="B1416" t="s">
        <v>591</v>
      </c>
      <c r="C1416" t="s">
        <v>592</v>
      </c>
      <c r="D1416" s="1">
        <v>46224</v>
      </c>
      <c r="E1416">
        <v>3.4008359474059703E-2</v>
      </c>
      <c r="F1416" t="s">
        <v>5509</v>
      </c>
      <c r="G1416" s="1">
        <v>46224.771787731479</v>
      </c>
      <c r="H1416" t="s">
        <v>593</v>
      </c>
      <c r="I1416" s="1">
        <v>46224.771787812497</v>
      </c>
      <c r="J1416" t="s">
        <v>593</v>
      </c>
    </row>
    <row r="1417" spans="1:10" x14ac:dyDescent="0.35">
      <c r="A1417" t="s">
        <v>1331</v>
      </c>
      <c r="B1417" t="s">
        <v>591</v>
      </c>
      <c r="C1417" t="s">
        <v>592</v>
      </c>
      <c r="D1417" s="1">
        <v>46224</v>
      </c>
      <c r="E1417">
        <v>3.2535358939737101E-2</v>
      </c>
      <c r="F1417" t="s">
        <v>5510</v>
      </c>
      <c r="G1417" s="1">
        <v>46224.771787731479</v>
      </c>
      <c r="H1417" t="s">
        <v>593</v>
      </c>
      <c r="I1417" s="1">
        <v>46224.771787812497</v>
      </c>
      <c r="J1417" t="s">
        <v>593</v>
      </c>
    </row>
    <row r="1418" spans="1:10" x14ac:dyDescent="0.35">
      <c r="A1418" t="s">
        <v>1332</v>
      </c>
      <c r="B1418" t="s">
        <v>591</v>
      </c>
      <c r="C1418" t="s">
        <v>592</v>
      </c>
      <c r="D1418" s="1">
        <v>46224</v>
      </c>
      <c r="E1418">
        <v>9.9646739515330002E-3</v>
      </c>
      <c r="F1418" t="s">
        <v>5511</v>
      </c>
      <c r="G1418" s="1">
        <v>46224.771787731479</v>
      </c>
      <c r="H1418" t="s">
        <v>593</v>
      </c>
      <c r="I1418" s="1">
        <v>46224.771787812497</v>
      </c>
      <c r="J1418" t="s">
        <v>593</v>
      </c>
    </row>
    <row r="1419" spans="1:10" x14ac:dyDescent="0.35">
      <c r="A1419" t="s">
        <v>1333</v>
      </c>
      <c r="B1419" t="s">
        <v>591</v>
      </c>
      <c r="C1419" t="s">
        <v>592</v>
      </c>
      <c r="D1419" s="1">
        <v>46224</v>
      </c>
      <c r="E1419">
        <v>3.6849164425488599E-2</v>
      </c>
      <c r="F1419" t="s">
        <v>5512</v>
      </c>
      <c r="G1419" s="1">
        <v>46224.771787731479</v>
      </c>
      <c r="H1419" t="s">
        <v>593</v>
      </c>
      <c r="I1419" s="1">
        <v>46224.771787812497</v>
      </c>
      <c r="J1419" t="s">
        <v>593</v>
      </c>
    </row>
    <row r="1420" spans="1:10" x14ac:dyDescent="0.35">
      <c r="A1420" t="s">
        <v>1334</v>
      </c>
      <c r="B1420" t="s">
        <v>591</v>
      </c>
      <c r="C1420" t="s">
        <v>592</v>
      </c>
      <c r="D1420" s="1">
        <v>46224</v>
      </c>
      <c r="E1420">
        <v>3.00561616296013E-2</v>
      </c>
      <c r="F1420" t="s">
        <v>5513</v>
      </c>
      <c r="G1420" s="1">
        <v>46224.771787731479</v>
      </c>
      <c r="H1420" t="s">
        <v>593</v>
      </c>
      <c r="I1420" s="1">
        <v>46224.771787812497</v>
      </c>
      <c r="J1420" t="s">
        <v>593</v>
      </c>
    </row>
    <row r="1421" spans="1:10" x14ac:dyDescent="0.35">
      <c r="A1421" t="s">
        <v>1335</v>
      </c>
      <c r="B1421" t="s">
        <v>591</v>
      </c>
      <c r="C1421" t="s">
        <v>592</v>
      </c>
      <c r="D1421" s="1">
        <v>46224</v>
      </c>
      <c r="E1421">
        <v>2.4050641044728399E-2</v>
      </c>
      <c r="F1421" t="s">
        <v>5514</v>
      </c>
      <c r="G1421" s="1">
        <v>46224.771787731479</v>
      </c>
      <c r="H1421" t="s">
        <v>593</v>
      </c>
      <c r="I1421" s="1">
        <v>46224.771787812497</v>
      </c>
      <c r="J1421" t="s">
        <v>593</v>
      </c>
    </row>
    <row r="1422" spans="1:10" x14ac:dyDescent="0.35">
      <c r="A1422" t="s">
        <v>1336</v>
      </c>
      <c r="B1422" t="s">
        <v>591</v>
      </c>
      <c r="C1422" t="s">
        <v>592</v>
      </c>
      <c r="D1422" s="1">
        <v>46224</v>
      </c>
      <c r="E1422">
        <v>3.7261448878264797E-2</v>
      </c>
      <c r="F1422" t="s">
        <v>5515</v>
      </c>
      <c r="G1422" s="1">
        <v>46224.771787731479</v>
      </c>
      <c r="H1422" t="s">
        <v>593</v>
      </c>
      <c r="I1422" s="1">
        <v>46224.771787812497</v>
      </c>
      <c r="J1422" t="s">
        <v>593</v>
      </c>
    </row>
    <row r="1423" spans="1:10" x14ac:dyDescent="0.35">
      <c r="A1423" t="s">
        <v>1337</v>
      </c>
      <c r="B1423" t="s">
        <v>591</v>
      </c>
      <c r="C1423" t="s">
        <v>592</v>
      </c>
      <c r="D1423" s="1">
        <v>46224</v>
      </c>
      <c r="E1423">
        <v>3.3175884842818797E-2</v>
      </c>
      <c r="F1423" t="s">
        <v>5516</v>
      </c>
      <c r="G1423" s="1">
        <v>46224.771787731479</v>
      </c>
      <c r="H1423" t="s">
        <v>593</v>
      </c>
      <c r="I1423" s="1">
        <v>46224.771787812497</v>
      </c>
      <c r="J1423" t="s">
        <v>593</v>
      </c>
    </row>
    <row r="1424" spans="1:10" x14ac:dyDescent="0.35">
      <c r="A1424" t="s">
        <v>1338</v>
      </c>
      <c r="B1424" t="s">
        <v>591</v>
      </c>
      <c r="C1424" t="s">
        <v>592</v>
      </c>
      <c r="D1424" s="1">
        <v>46224</v>
      </c>
      <c r="E1424">
        <v>3.0849965551866601E-2</v>
      </c>
      <c r="F1424" t="s">
        <v>5517</v>
      </c>
      <c r="G1424" s="1">
        <v>46224.771787731479</v>
      </c>
      <c r="H1424" t="s">
        <v>593</v>
      </c>
      <c r="I1424" s="1">
        <v>46224.771787812497</v>
      </c>
      <c r="J1424" t="s">
        <v>593</v>
      </c>
    </row>
    <row r="1425" spans="1:10" x14ac:dyDescent="0.35">
      <c r="A1425" t="s">
        <v>1339</v>
      </c>
      <c r="B1425" t="s">
        <v>591</v>
      </c>
      <c r="C1425" t="s">
        <v>592</v>
      </c>
      <c r="D1425" s="1">
        <v>46224</v>
      </c>
      <c r="E1425">
        <v>2.67923766755571E-2</v>
      </c>
      <c r="F1425" t="s">
        <v>5518</v>
      </c>
      <c r="G1425" s="1">
        <v>46224.771787731479</v>
      </c>
      <c r="H1425" t="s">
        <v>593</v>
      </c>
      <c r="I1425" s="1">
        <v>46224.771787812497</v>
      </c>
      <c r="J1425" t="s">
        <v>593</v>
      </c>
    </row>
    <row r="1426" spans="1:10" x14ac:dyDescent="0.35">
      <c r="A1426" t="s">
        <v>1340</v>
      </c>
      <c r="B1426" t="s">
        <v>591</v>
      </c>
      <c r="C1426" t="s">
        <v>592</v>
      </c>
      <c r="D1426" s="1">
        <v>46224</v>
      </c>
      <c r="E1426">
        <v>3.3456183717603998E-2</v>
      </c>
      <c r="F1426" t="s">
        <v>5519</v>
      </c>
      <c r="G1426" s="1">
        <v>46224.771787731479</v>
      </c>
      <c r="H1426" t="s">
        <v>593</v>
      </c>
      <c r="I1426" s="1">
        <v>46224.771787812497</v>
      </c>
      <c r="J1426" t="s">
        <v>593</v>
      </c>
    </row>
    <row r="1427" spans="1:10" x14ac:dyDescent="0.35">
      <c r="A1427" t="s">
        <v>1341</v>
      </c>
      <c r="B1427" t="s">
        <v>591</v>
      </c>
      <c r="C1427" t="s">
        <v>592</v>
      </c>
      <c r="D1427" s="1">
        <v>46224</v>
      </c>
      <c r="E1427">
        <v>4.2268438675167802E-2</v>
      </c>
      <c r="F1427" t="s">
        <v>5520</v>
      </c>
      <c r="G1427" s="1">
        <v>46224.771787731479</v>
      </c>
      <c r="H1427" t="s">
        <v>593</v>
      </c>
      <c r="I1427" s="1">
        <v>46224.771787812497</v>
      </c>
      <c r="J1427" t="s">
        <v>593</v>
      </c>
    </row>
    <row r="1428" spans="1:10" x14ac:dyDescent="0.35">
      <c r="A1428" t="s">
        <v>1342</v>
      </c>
      <c r="B1428" t="s">
        <v>591</v>
      </c>
      <c r="C1428" t="s">
        <v>592</v>
      </c>
      <c r="D1428" s="1">
        <v>46224</v>
      </c>
      <c r="E1428">
        <v>3.1318828205711899E-2</v>
      </c>
      <c r="F1428" t="s">
        <v>5521</v>
      </c>
      <c r="G1428" s="1">
        <v>46224.771787731479</v>
      </c>
      <c r="H1428" t="s">
        <v>593</v>
      </c>
      <c r="I1428" s="1">
        <v>46224.771787812497</v>
      </c>
      <c r="J1428" t="s">
        <v>593</v>
      </c>
    </row>
    <row r="1429" spans="1:10" x14ac:dyDescent="0.35">
      <c r="A1429" t="s">
        <v>1343</v>
      </c>
      <c r="B1429" t="s">
        <v>591</v>
      </c>
      <c r="C1429" t="s">
        <v>592</v>
      </c>
      <c r="D1429" s="1">
        <v>46224</v>
      </c>
      <c r="E1429">
        <v>3.7687054717145903E-2</v>
      </c>
      <c r="F1429" t="s">
        <v>5522</v>
      </c>
      <c r="G1429" s="1">
        <v>46224.771787731479</v>
      </c>
      <c r="H1429" t="s">
        <v>593</v>
      </c>
      <c r="I1429" s="1">
        <v>46224.771787812497</v>
      </c>
      <c r="J1429" t="s">
        <v>593</v>
      </c>
    </row>
    <row r="1430" spans="1:10" x14ac:dyDescent="0.35">
      <c r="A1430" t="s">
        <v>1344</v>
      </c>
      <c r="B1430" t="s">
        <v>591</v>
      </c>
      <c r="C1430" t="s">
        <v>592</v>
      </c>
      <c r="D1430" s="1">
        <v>46224</v>
      </c>
      <c r="E1430">
        <v>3.3873532986830102E-2</v>
      </c>
      <c r="F1430" t="s">
        <v>5523</v>
      </c>
      <c r="G1430" s="1">
        <v>46224.771787731479</v>
      </c>
      <c r="H1430" t="s">
        <v>593</v>
      </c>
      <c r="I1430" s="1">
        <v>46224.771787812497</v>
      </c>
      <c r="J1430" t="s">
        <v>593</v>
      </c>
    </row>
    <row r="1431" spans="1:10" x14ac:dyDescent="0.35">
      <c r="A1431" t="s">
        <v>1345</v>
      </c>
      <c r="B1431" t="s">
        <v>591</v>
      </c>
      <c r="C1431" t="s">
        <v>592</v>
      </c>
      <c r="D1431" s="1">
        <v>46224</v>
      </c>
      <c r="E1431">
        <v>4.0648469299898002E-2</v>
      </c>
      <c r="F1431" t="s">
        <v>5524</v>
      </c>
      <c r="G1431" s="1">
        <v>46224.771787731479</v>
      </c>
      <c r="H1431" t="s">
        <v>593</v>
      </c>
      <c r="I1431" s="1">
        <v>46224.771787812497</v>
      </c>
      <c r="J1431" t="s">
        <v>593</v>
      </c>
    </row>
    <row r="1432" spans="1:10" x14ac:dyDescent="0.35">
      <c r="A1432" t="s">
        <v>1346</v>
      </c>
      <c r="B1432" t="s">
        <v>591</v>
      </c>
      <c r="C1432" t="s">
        <v>592</v>
      </c>
      <c r="D1432" s="1">
        <v>46224</v>
      </c>
      <c r="E1432">
        <v>2.8127052928804699E-2</v>
      </c>
      <c r="F1432" t="s">
        <v>5525</v>
      </c>
      <c r="G1432" s="1">
        <v>46224.771787731479</v>
      </c>
      <c r="H1432" t="s">
        <v>593</v>
      </c>
      <c r="I1432" s="1">
        <v>46224.771787812497</v>
      </c>
      <c r="J1432" t="s">
        <v>593</v>
      </c>
    </row>
    <row r="1433" spans="1:10" x14ac:dyDescent="0.35">
      <c r="A1433" t="s">
        <v>1347</v>
      </c>
      <c r="B1433" t="s">
        <v>591</v>
      </c>
      <c r="C1433" t="s">
        <v>592</v>
      </c>
      <c r="D1433" s="1">
        <v>46224</v>
      </c>
      <c r="E1433">
        <v>2.3949349596325602E-2</v>
      </c>
      <c r="F1433" t="s">
        <v>5526</v>
      </c>
      <c r="G1433" s="1">
        <v>46224.771787731479</v>
      </c>
      <c r="H1433" t="s">
        <v>593</v>
      </c>
      <c r="I1433" s="1">
        <v>46224.771787812497</v>
      </c>
      <c r="J1433" t="s">
        <v>593</v>
      </c>
    </row>
    <row r="1434" spans="1:10" x14ac:dyDescent="0.35">
      <c r="A1434" t="s">
        <v>1348</v>
      </c>
      <c r="B1434" t="s">
        <v>591</v>
      </c>
      <c r="C1434" t="s">
        <v>592</v>
      </c>
      <c r="D1434" s="1">
        <v>46224</v>
      </c>
      <c r="E1434">
        <v>3.8341433636981503E-2</v>
      </c>
      <c r="F1434" t="s">
        <v>5527</v>
      </c>
      <c r="G1434" s="1">
        <v>46224.771787731479</v>
      </c>
      <c r="H1434" t="s">
        <v>593</v>
      </c>
      <c r="I1434" s="1">
        <v>46224.771787812497</v>
      </c>
      <c r="J1434" t="s">
        <v>593</v>
      </c>
    </row>
    <row r="1435" spans="1:10" x14ac:dyDescent="0.35">
      <c r="A1435" t="s">
        <v>1349</v>
      </c>
      <c r="B1435" t="s">
        <v>591</v>
      </c>
      <c r="C1435" t="s">
        <v>592</v>
      </c>
      <c r="D1435" s="1">
        <v>46224</v>
      </c>
      <c r="E1435">
        <v>3.1653792491974302E-2</v>
      </c>
      <c r="F1435" t="s">
        <v>5528</v>
      </c>
      <c r="G1435" s="1">
        <v>46224.771787731479</v>
      </c>
      <c r="H1435" t="s">
        <v>593</v>
      </c>
      <c r="I1435" s="1">
        <v>46224.771787812497</v>
      </c>
      <c r="J1435" t="s">
        <v>593</v>
      </c>
    </row>
    <row r="1436" spans="1:10" x14ac:dyDescent="0.35">
      <c r="A1436" t="s">
        <v>1350</v>
      </c>
      <c r="B1436" t="s">
        <v>591</v>
      </c>
      <c r="C1436" t="s">
        <v>592</v>
      </c>
      <c r="D1436" s="1">
        <v>46224</v>
      </c>
      <c r="E1436">
        <v>4.7195812883903898E-2</v>
      </c>
      <c r="F1436" t="s">
        <v>5529</v>
      </c>
      <c r="G1436" s="1">
        <v>46224.771787731479</v>
      </c>
      <c r="H1436" t="s">
        <v>593</v>
      </c>
      <c r="I1436" s="1">
        <v>46224.771787812497</v>
      </c>
      <c r="J1436" t="s">
        <v>593</v>
      </c>
    </row>
    <row r="1437" spans="1:10" x14ac:dyDescent="0.35">
      <c r="A1437" t="s">
        <v>1351</v>
      </c>
      <c r="B1437" t="s">
        <v>591</v>
      </c>
      <c r="C1437" t="s">
        <v>592</v>
      </c>
      <c r="D1437" s="1">
        <v>46224</v>
      </c>
      <c r="E1437">
        <v>3.4253950267633601E-2</v>
      </c>
      <c r="F1437" t="s">
        <v>5530</v>
      </c>
      <c r="G1437" s="1">
        <v>46224.771787731479</v>
      </c>
      <c r="H1437" t="s">
        <v>593</v>
      </c>
      <c r="I1437" s="1">
        <v>46224.771787812497</v>
      </c>
      <c r="J1437" t="s">
        <v>593</v>
      </c>
    </row>
    <row r="1438" spans="1:10" x14ac:dyDescent="0.35">
      <c r="A1438" t="s">
        <v>1352</v>
      </c>
      <c r="B1438" t="s">
        <v>591</v>
      </c>
      <c r="C1438" t="s">
        <v>592</v>
      </c>
      <c r="D1438" s="1">
        <v>46224</v>
      </c>
      <c r="E1438">
        <v>2.8890470473463801E-2</v>
      </c>
      <c r="F1438" t="s">
        <v>5531</v>
      </c>
      <c r="G1438" s="1">
        <v>46224.771787731479</v>
      </c>
      <c r="H1438" t="s">
        <v>593</v>
      </c>
      <c r="I1438" s="1">
        <v>46224.771787812497</v>
      </c>
      <c r="J1438" t="s">
        <v>593</v>
      </c>
    </row>
    <row r="1439" spans="1:10" x14ac:dyDescent="0.35">
      <c r="A1439" t="s">
        <v>1353</v>
      </c>
      <c r="B1439" t="s">
        <v>591</v>
      </c>
      <c r="C1439" t="s">
        <v>592</v>
      </c>
      <c r="D1439" s="1">
        <v>46224</v>
      </c>
      <c r="E1439">
        <v>3.8871729127152498E-2</v>
      </c>
      <c r="F1439" t="s">
        <v>5532</v>
      </c>
      <c r="G1439" s="1">
        <v>46224.771787731479</v>
      </c>
      <c r="H1439" t="s">
        <v>593</v>
      </c>
      <c r="I1439" s="1">
        <v>46224.771787812497</v>
      </c>
      <c r="J1439" t="s">
        <v>593</v>
      </c>
    </row>
    <row r="1440" spans="1:10" x14ac:dyDescent="0.35">
      <c r="A1440" t="s">
        <v>1354</v>
      </c>
      <c r="B1440" t="s">
        <v>591</v>
      </c>
      <c r="C1440" t="s">
        <v>592</v>
      </c>
      <c r="D1440" s="1">
        <v>46224</v>
      </c>
      <c r="E1440">
        <v>4.52997997497529E-2</v>
      </c>
      <c r="F1440" t="s">
        <v>5533</v>
      </c>
      <c r="G1440" s="1">
        <v>46224.771787731479</v>
      </c>
      <c r="H1440" t="s">
        <v>593</v>
      </c>
      <c r="I1440" s="1">
        <v>46224.771787812497</v>
      </c>
      <c r="J1440" t="s">
        <v>593</v>
      </c>
    </row>
    <row r="1441" spans="1:10" x14ac:dyDescent="0.35">
      <c r="A1441" t="s">
        <v>1355</v>
      </c>
      <c r="B1441" t="s">
        <v>591</v>
      </c>
      <c r="C1441" t="s">
        <v>592</v>
      </c>
      <c r="D1441" s="1">
        <v>46224</v>
      </c>
      <c r="E1441">
        <v>2.68663561627797E-2</v>
      </c>
      <c r="F1441" t="s">
        <v>5534</v>
      </c>
      <c r="G1441" s="1">
        <v>46224.771787731479</v>
      </c>
      <c r="H1441" t="s">
        <v>593</v>
      </c>
      <c r="I1441" s="1">
        <v>46224.771787812497</v>
      </c>
      <c r="J1441" t="s">
        <v>593</v>
      </c>
    </row>
    <row r="1442" spans="1:10" x14ac:dyDescent="0.35">
      <c r="A1442" t="s">
        <v>1356</v>
      </c>
      <c r="B1442" t="s">
        <v>591</v>
      </c>
      <c r="C1442" t="s">
        <v>592</v>
      </c>
      <c r="D1442" s="1">
        <v>46224</v>
      </c>
      <c r="E1442">
        <v>4.3018779515969302E-2</v>
      </c>
      <c r="F1442" t="s">
        <v>5535</v>
      </c>
      <c r="G1442" s="1">
        <v>46224.771787731479</v>
      </c>
      <c r="H1442" t="s">
        <v>593</v>
      </c>
      <c r="I1442" s="1">
        <v>46224.771787812497</v>
      </c>
      <c r="J1442" t="s">
        <v>593</v>
      </c>
    </row>
    <row r="1443" spans="1:10" x14ac:dyDescent="0.35">
      <c r="A1443" t="s">
        <v>1357</v>
      </c>
      <c r="B1443" t="s">
        <v>591</v>
      </c>
      <c r="C1443" t="s">
        <v>592</v>
      </c>
      <c r="D1443" s="1">
        <v>46224</v>
      </c>
      <c r="E1443">
        <v>3.2578503739405698E-2</v>
      </c>
      <c r="F1443" t="s">
        <v>5536</v>
      </c>
      <c r="G1443" s="1">
        <v>46224.771787731479</v>
      </c>
      <c r="H1443" t="s">
        <v>593</v>
      </c>
      <c r="I1443" s="1">
        <v>46224.771787812497</v>
      </c>
      <c r="J1443" t="s">
        <v>593</v>
      </c>
    </row>
    <row r="1444" spans="1:10" x14ac:dyDescent="0.35">
      <c r="A1444" t="s">
        <v>1358</v>
      </c>
      <c r="B1444" t="s">
        <v>591</v>
      </c>
      <c r="C1444" t="s">
        <v>592</v>
      </c>
      <c r="D1444" s="1">
        <v>46224</v>
      </c>
      <c r="E1444">
        <v>2.99656241691687E-2</v>
      </c>
      <c r="F1444" t="s">
        <v>5537</v>
      </c>
      <c r="G1444" s="1">
        <v>46224.771787731479</v>
      </c>
      <c r="H1444" t="s">
        <v>593</v>
      </c>
      <c r="I1444" s="1">
        <v>46224.771787812497</v>
      </c>
      <c r="J1444" t="s">
        <v>593</v>
      </c>
    </row>
    <row r="1445" spans="1:10" x14ac:dyDescent="0.35">
      <c r="A1445" t="s">
        <v>1359</v>
      </c>
      <c r="B1445" t="s">
        <v>591</v>
      </c>
      <c r="C1445" t="s">
        <v>592</v>
      </c>
      <c r="D1445" s="1">
        <v>46224</v>
      </c>
      <c r="E1445">
        <v>3.5237549196314701E-2</v>
      </c>
      <c r="F1445" t="s">
        <v>5538</v>
      </c>
      <c r="G1445" s="1">
        <v>46224.771787731479</v>
      </c>
      <c r="H1445" t="s">
        <v>593</v>
      </c>
      <c r="I1445" s="1">
        <v>46224.771787812497</v>
      </c>
      <c r="J1445" t="s">
        <v>593</v>
      </c>
    </row>
    <row r="1446" spans="1:10" x14ac:dyDescent="0.35">
      <c r="A1446" t="s">
        <v>1360</v>
      </c>
      <c r="B1446" t="s">
        <v>591</v>
      </c>
      <c r="C1446" t="s">
        <v>592</v>
      </c>
      <c r="D1446" s="1">
        <v>46224</v>
      </c>
      <c r="E1446">
        <v>2.63491471946861E-2</v>
      </c>
      <c r="F1446" t="s">
        <v>5539</v>
      </c>
      <c r="G1446" s="1">
        <v>46224.771787731479</v>
      </c>
      <c r="H1446" t="s">
        <v>593</v>
      </c>
      <c r="I1446" s="1">
        <v>46224.771787812497</v>
      </c>
      <c r="J1446" t="s">
        <v>593</v>
      </c>
    </row>
    <row r="1447" spans="1:10" x14ac:dyDescent="0.35">
      <c r="A1447" t="s">
        <v>1361</v>
      </c>
      <c r="B1447" t="s">
        <v>591</v>
      </c>
      <c r="C1447" t="s">
        <v>592</v>
      </c>
      <c r="D1447" s="1">
        <v>46224</v>
      </c>
      <c r="E1447">
        <v>3.9066467174205602E-2</v>
      </c>
      <c r="F1447" t="s">
        <v>5540</v>
      </c>
      <c r="G1447" s="1">
        <v>46224.771787731479</v>
      </c>
      <c r="H1447" t="s">
        <v>593</v>
      </c>
      <c r="I1447" s="1">
        <v>46224.771787812497</v>
      </c>
      <c r="J1447" t="s">
        <v>593</v>
      </c>
    </row>
    <row r="1448" spans="1:10" x14ac:dyDescent="0.35">
      <c r="A1448" t="s">
        <v>1362</v>
      </c>
      <c r="B1448" t="s">
        <v>591</v>
      </c>
      <c r="C1448" t="s">
        <v>592</v>
      </c>
      <c r="D1448" s="1">
        <v>46224</v>
      </c>
      <c r="E1448">
        <v>3.3007514209778099E-2</v>
      </c>
      <c r="F1448" t="s">
        <v>5541</v>
      </c>
      <c r="G1448" s="1">
        <v>46224.771787731479</v>
      </c>
      <c r="H1448" t="s">
        <v>593</v>
      </c>
      <c r="I1448" s="1">
        <v>46224.771787812497</v>
      </c>
      <c r="J1448" t="s">
        <v>593</v>
      </c>
    </row>
    <row r="1449" spans="1:10" x14ac:dyDescent="0.35">
      <c r="A1449" t="s">
        <v>1363</v>
      </c>
      <c r="B1449" t="s">
        <v>591</v>
      </c>
      <c r="C1449" t="s">
        <v>592</v>
      </c>
      <c r="D1449" s="1">
        <v>46224</v>
      </c>
      <c r="E1449">
        <v>2.85714360721127E-2</v>
      </c>
      <c r="F1449" t="s">
        <v>5542</v>
      </c>
      <c r="G1449" s="1">
        <v>46224.771787731479</v>
      </c>
      <c r="H1449" t="s">
        <v>593</v>
      </c>
      <c r="I1449" s="1">
        <v>46224.771787812497</v>
      </c>
      <c r="J1449" t="s">
        <v>593</v>
      </c>
    </row>
    <row r="1450" spans="1:10" x14ac:dyDescent="0.35">
      <c r="A1450" t="s">
        <v>1364</v>
      </c>
      <c r="B1450" t="s">
        <v>591</v>
      </c>
      <c r="C1450" t="s">
        <v>592</v>
      </c>
      <c r="D1450" s="1">
        <v>46224</v>
      </c>
      <c r="E1450">
        <v>3.07804645172636E-2</v>
      </c>
      <c r="F1450" t="s">
        <v>5543</v>
      </c>
      <c r="G1450" s="1">
        <v>46224.771787731479</v>
      </c>
      <c r="H1450" t="s">
        <v>593</v>
      </c>
      <c r="I1450" s="1">
        <v>46224.771787812497</v>
      </c>
      <c r="J1450" t="s">
        <v>593</v>
      </c>
    </row>
    <row r="1451" spans="1:10" x14ac:dyDescent="0.35">
      <c r="A1451" t="s">
        <v>1365</v>
      </c>
      <c r="B1451" t="s">
        <v>591</v>
      </c>
      <c r="C1451" t="s">
        <v>592</v>
      </c>
      <c r="D1451" s="1">
        <v>46224</v>
      </c>
      <c r="E1451">
        <v>3.5704144031794699E-2</v>
      </c>
      <c r="F1451" t="s">
        <v>5544</v>
      </c>
      <c r="G1451" s="1">
        <v>46224.771787731479</v>
      </c>
      <c r="H1451" t="s">
        <v>593</v>
      </c>
      <c r="I1451" s="1">
        <v>46224.771787812497</v>
      </c>
      <c r="J1451" t="s">
        <v>593</v>
      </c>
    </row>
    <row r="1452" spans="1:10" x14ac:dyDescent="0.35">
      <c r="A1452" t="s">
        <v>1366</v>
      </c>
      <c r="B1452" t="s">
        <v>591</v>
      </c>
      <c r="C1452" t="s">
        <v>592</v>
      </c>
      <c r="D1452" s="1">
        <v>46224</v>
      </c>
      <c r="E1452">
        <v>4.7512439809190697E-2</v>
      </c>
      <c r="F1452" t="s">
        <v>5545</v>
      </c>
      <c r="G1452" s="1">
        <v>46224.771787731479</v>
      </c>
      <c r="H1452" t="s">
        <v>593</v>
      </c>
      <c r="I1452" s="1">
        <v>46224.771787812497</v>
      </c>
      <c r="J1452" t="s">
        <v>593</v>
      </c>
    </row>
    <row r="1453" spans="1:10" x14ac:dyDescent="0.35">
      <c r="A1453" t="s">
        <v>1367</v>
      </c>
      <c r="B1453" t="s">
        <v>591</v>
      </c>
      <c r="C1453" t="s">
        <v>592</v>
      </c>
      <c r="D1453" s="1">
        <v>46224</v>
      </c>
      <c r="E1453">
        <v>3.3437504452544502E-2</v>
      </c>
      <c r="F1453" t="s">
        <v>5546</v>
      </c>
      <c r="G1453" s="1">
        <v>46224.771787731479</v>
      </c>
      <c r="H1453" t="s">
        <v>593</v>
      </c>
      <c r="I1453" s="1">
        <v>46224.771787812497</v>
      </c>
      <c r="J1453" t="s">
        <v>593</v>
      </c>
    </row>
    <row r="1454" spans="1:10" x14ac:dyDescent="0.35">
      <c r="A1454" t="s">
        <v>1368</v>
      </c>
      <c r="B1454" t="s">
        <v>591</v>
      </c>
      <c r="C1454" t="s">
        <v>592</v>
      </c>
      <c r="D1454" s="1">
        <v>46224</v>
      </c>
      <c r="E1454">
        <v>3.9383449677710597E-2</v>
      </c>
      <c r="F1454" t="s">
        <v>5547</v>
      </c>
      <c r="G1454" s="1">
        <v>46224.771787731479</v>
      </c>
      <c r="H1454" t="s">
        <v>593</v>
      </c>
      <c r="I1454" s="1">
        <v>46224.771787812497</v>
      </c>
      <c r="J1454" t="s">
        <v>593</v>
      </c>
    </row>
    <row r="1455" spans="1:10" x14ac:dyDescent="0.35">
      <c r="A1455" t="s">
        <v>1369</v>
      </c>
      <c r="B1455" t="s">
        <v>591</v>
      </c>
      <c r="C1455" t="s">
        <v>592</v>
      </c>
      <c r="D1455" s="1">
        <v>46224</v>
      </c>
      <c r="E1455">
        <v>3.0902482040243401E-2</v>
      </c>
      <c r="F1455" t="s">
        <v>5548</v>
      </c>
      <c r="G1455" s="1">
        <v>46224.771787731479</v>
      </c>
      <c r="H1455" t="s">
        <v>593</v>
      </c>
      <c r="I1455" s="1">
        <v>46224.771787812497</v>
      </c>
      <c r="J1455" t="s">
        <v>593</v>
      </c>
    </row>
    <row r="1456" spans="1:10" x14ac:dyDescent="0.35">
      <c r="A1456" t="s">
        <v>1370</v>
      </c>
      <c r="B1456" t="s">
        <v>591</v>
      </c>
      <c r="C1456" t="s">
        <v>592</v>
      </c>
      <c r="D1456" s="1">
        <v>46224</v>
      </c>
      <c r="E1456">
        <v>3.6113173387546799E-2</v>
      </c>
      <c r="F1456" t="s">
        <v>5549</v>
      </c>
      <c r="G1456" s="1">
        <v>46224.771787731479</v>
      </c>
      <c r="H1456" t="s">
        <v>593</v>
      </c>
      <c r="I1456" s="1">
        <v>46224.771787812497</v>
      </c>
      <c r="J1456" t="s">
        <v>593</v>
      </c>
    </row>
    <row r="1457" spans="1:10" x14ac:dyDescent="0.35">
      <c r="A1457" t="s">
        <v>1371</v>
      </c>
      <c r="B1457" t="s">
        <v>591</v>
      </c>
      <c r="C1457" t="s">
        <v>592</v>
      </c>
      <c r="D1457" s="1">
        <v>46224</v>
      </c>
      <c r="E1457">
        <v>2.9648970428414599E-2</v>
      </c>
      <c r="F1457" t="s">
        <v>5550</v>
      </c>
      <c r="G1457" s="1">
        <v>46224.771787731479</v>
      </c>
      <c r="H1457" t="s">
        <v>593</v>
      </c>
      <c r="I1457" s="1">
        <v>46224.771787812497</v>
      </c>
      <c r="J1457" t="s">
        <v>593</v>
      </c>
    </row>
    <row r="1458" spans="1:10" x14ac:dyDescent="0.35">
      <c r="A1458" t="s">
        <v>1372</v>
      </c>
      <c r="B1458" t="s">
        <v>591</v>
      </c>
      <c r="C1458" t="s">
        <v>592</v>
      </c>
      <c r="D1458" s="1">
        <v>46224</v>
      </c>
      <c r="E1458">
        <v>4.3706010818433103E-2</v>
      </c>
      <c r="F1458" t="s">
        <v>5551</v>
      </c>
      <c r="G1458" s="1">
        <v>46224.771787731479</v>
      </c>
      <c r="H1458" t="s">
        <v>593</v>
      </c>
      <c r="I1458" s="1">
        <v>46224.771787812497</v>
      </c>
      <c r="J1458" t="s">
        <v>593</v>
      </c>
    </row>
    <row r="1459" spans="1:10" x14ac:dyDescent="0.35">
      <c r="A1459" t="s">
        <v>1373</v>
      </c>
      <c r="B1459" t="s">
        <v>591</v>
      </c>
      <c r="C1459" t="s">
        <v>592</v>
      </c>
      <c r="D1459" s="1">
        <v>46224</v>
      </c>
      <c r="E1459">
        <v>3.6473607869441302E-2</v>
      </c>
      <c r="F1459" t="s">
        <v>5552</v>
      </c>
      <c r="G1459" s="1">
        <v>46224.771787731479</v>
      </c>
      <c r="H1459" t="s">
        <v>593</v>
      </c>
      <c r="I1459" s="1">
        <v>46224.771787812497</v>
      </c>
      <c r="J1459" t="s">
        <v>593</v>
      </c>
    </row>
    <row r="1460" spans="1:10" x14ac:dyDescent="0.35">
      <c r="A1460" t="s">
        <v>1374</v>
      </c>
      <c r="B1460" t="s">
        <v>591</v>
      </c>
      <c r="C1460" t="s">
        <v>592</v>
      </c>
      <c r="D1460" s="1">
        <v>46224</v>
      </c>
      <c r="E1460">
        <v>3.9834406223208899E-2</v>
      </c>
      <c r="F1460" t="s">
        <v>5553</v>
      </c>
      <c r="G1460" s="1">
        <v>46224.771787731479</v>
      </c>
      <c r="H1460" t="s">
        <v>593</v>
      </c>
      <c r="I1460" s="1">
        <v>46224.771787812497</v>
      </c>
      <c r="J1460" t="s">
        <v>593</v>
      </c>
    </row>
    <row r="1461" spans="1:10" x14ac:dyDescent="0.35">
      <c r="A1461" t="s">
        <v>1375</v>
      </c>
      <c r="B1461" t="s">
        <v>591</v>
      </c>
      <c r="C1461" t="s">
        <v>592</v>
      </c>
      <c r="D1461" s="1">
        <v>46224</v>
      </c>
      <c r="E1461">
        <v>2.4612445191237502E-2</v>
      </c>
      <c r="F1461" t="s">
        <v>5554</v>
      </c>
      <c r="G1461" s="1">
        <v>46224.771787731479</v>
      </c>
      <c r="H1461" t="s">
        <v>593</v>
      </c>
      <c r="I1461" s="1">
        <v>46224.771787812497</v>
      </c>
      <c r="J1461" t="s">
        <v>593</v>
      </c>
    </row>
    <row r="1462" spans="1:10" x14ac:dyDescent="0.35">
      <c r="A1462" t="s">
        <v>1973</v>
      </c>
      <c r="B1462" t="s">
        <v>591</v>
      </c>
      <c r="C1462" t="s">
        <v>592</v>
      </c>
      <c r="D1462" s="1">
        <v>46224</v>
      </c>
      <c r="E1462">
        <v>3.3864512401238001E-2</v>
      </c>
      <c r="F1462" t="s">
        <v>5555</v>
      </c>
      <c r="G1462" s="1">
        <v>46224.771787731479</v>
      </c>
      <c r="H1462" t="s">
        <v>593</v>
      </c>
      <c r="I1462" s="1">
        <v>46224.771787812497</v>
      </c>
      <c r="J1462" t="s">
        <v>593</v>
      </c>
    </row>
    <row r="1463" spans="1:10" x14ac:dyDescent="0.35">
      <c r="A1463" t="s">
        <v>1983</v>
      </c>
      <c r="B1463" t="s">
        <v>591</v>
      </c>
      <c r="C1463" t="s">
        <v>592</v>
      </c>
      <c r="D1463" s="1">
        <v>46224</v>
      </c>
      <c r="E1463">
        <v>3.6825197834259402E-2</v>
      </c>
      <c r="F1463" t="s">
        <v>5556</v>
      </c>
      <c r="G1463" s="1">
        <v>46224.771787731479</v>
      </c>
      <c r="H1463" t="s">
        <v>593</v>
      </c>
      <c r="I1463" s="1">
        <v>46224.771787812497</v>
      </c>
      <c r="J1463" t="s">
        <v>593</v>
      </c>
    </row>
    <row r="1464" spans="1:10" x14ac:dyDescent="0.35">
      <c r="A1464" t="s">
        <v>1376</v>
      </c>
      <c r="B1464" t="s">
        <v>591</v>
      </c>
      <c r="C1464" t="s">
        <v>592</v>
      </c>
      <c r="D1464" s="1">
        <v>46224</v>
      </c>
      <c r="E1464">
        <v>0</v>
      </c>
      <c r="F1464" t="s">
        <v>1783</v>
      </c>
      <c r="G1464" s="1">
        <v>46224.775783182871</v>
      </c>
      <c r="H1464" t="s">
        <v>593</v>
      </c>
      <c r="I1464" s="1">
        <v>46224.775783136574</v>
      </c>
      <c r="J1464" t="s">
        <v>593</v>
      </c>
    </row>
    <row r="1465" spans="1:10" x14ac:dyDescent="0.35">
      <c r="A1465" t="s">
        <v>1377</v>
      </c>
      <c r="B1465" t="s">
        <v>591</v>
      </c>
      <c r="C1465" t="s">
        <v>592</v>
      </c>
      <c r="D1465" s="1">
        <v>46224</v>
      </c>
      <c r="E1465">
        <v>0</v>
      </c>
      <c r="F1465" t="s">
        <v>1784</v>
      </c>
      <c r="G1465" s="1">
        <v>46224.775783333331</v>
      </c>
      <c r="H1465" t="s">
        <v>593</v>
      </c>
      <c r="I1465" s="1">
        <v>46224.77578329861</v>
      </c>
      <c r="J1465" t="s">
        <v>593</v>
      </c>
    </row>
    <row r="1466" spans="1:10" x14ac:dyDescent="0.35">
      <c r="A1466" t="s">
        <v>1655</v>
      </c>
      <c r="B1466" t="s">
        <v>591</v>
      </c>
      <c r="C1466" t="s">
        <v>592</v>
      </c>
      <c r="D1466" s="1">
        <v>46224</v>
      </c>
      <c r="E1466">
        <v>0</v>
      </c>
      <c r="F1466" t="s">
        <v>1785</v>
      </c>
      <c r="G1466" s="1">
        <v>46224.775783483798</v>
      </c>
      <c r="H1466" t="s">
        <v>593</v>
      </c>
      <c r="I1466" s="1">
        <v>46224.775783483798</v>
      </c>
      <c r="J1466" t="s">
        <v>593</v>
      </c>
    </row>
    <row r="1467" spans="1:10" x14ac:dyDescent="0.35">
      <c r="A1467" t="s">
        <v>1764</v>
      </c>
      <c r="B1467" t="s">
        <v>591</v>
      </c>
      <c r="C1467" t="s">
        <v>592</v>
      </c>
      <c r="D1467" s="1">
        <v>46224</v>
      </c>
      <c r="E1467">
        <v>0</v>
      </c>
      <c r="F1467" t="s">
        <v>1786</v>
      </c>
      <c r="G1467" s="1">
        <v>46224.775783645833</v>
      </c>
      <c r="H1467" t="s">
        <v>593</v>
      </c>
      <c r="I1467" s="1">
        <v>46224.775783680554</v>
      </c>
      <c r="J1467" t="s">
        <v>593</v>
      </c>
    </row>
    <row r="1468" spans="1:10" x14ac:dyDescent="0.35">
      <c r="A1468" t="s">
        <v>1974</v>
      </c>
      <c r="B1468" t="s">
        <v>591</v>
      </c>
      <c r="C1468" t="s">
        <v>592</v>
      </c>
      <c r="D1468" s="1">
        <v>46224</v>
      </c>
      <c r="E1468">
        <v>0</v>
      </c>
      <c r="F1468" t="s">
        <v>1975</v>
      </c>
      <c r="G1468" s="1">
        <v>46224.775783796293</v>
      </c>
      <c r="H1468" t="s">
        <v>593</v>
      </c>
      <c r="I1468" s="1">
        <v>46224.775783877318</v>
      </c>
      <c r="J1468" t="s">
        <v>593</v>
      </c>
    </row>
    <row r="1469" spans="1:10" x14ac:dyDescent="0.35">
      <c r="A1469" t="s">
        <v>1378</v>
      </c>
      <c r="B1469" t="s">
        <v>591</v>
      </c>
      <c r="C1469" t="s">
        <v>592</v>
      </c>
      <c r="D1469" s="1">
        <v>46224</v>
      </c>
      <c r="E1469">
        <v>0</v>
      </c>
      <c r="F1469" t="s">
        <v>1787</v>
      </c>
      <c r="G1469" s="1">
        <v>46224.775783946759</v>
      </c>
      <c r="H1469" t="s">
        <v>593</v>
      </c>
      <c r="I1469" s="1">
        <v>46224.775783877318</v>
      </c>
      <c r="J1469" t="s">
        <v>593</v>
      </c>
    </row>
    <row r="1470" spans="1:10" x14ac:dyDescent="0.35">
      <c r="A1470" t="s">
        <v>1379</v>
      </c>
      <c r="B1470" t="s">
        <v>591</v>
      </c>
      <c r="C1470" t="s">
        <v>592</v>
      </c>
      <c r="D1470" s="1">
        <v>46224</v>
      </c>
      <c r="E1470">
        <v>0</v>
      </c>
      <c r="F1470" t="s">
        <v>1788</v>
      </c>
      <c r="G1470" s="1">
        <v>46224.775784108795</v>
      </c>
      <c r="H1470" t="s">
        <v>593</v>
      </c>
      <c r="I1470" s="1">
        <v>46224.775784027777</v>
      </c>
      <c r="J1470" t="s">
        <v>593</v>
      </c>
    </row>
    <row r="1471" spans="1:10" x14ac:dyDescent="0.35">
      <c r="A1471" t="s">
        <v>1380</v>
      </c>
      <c r="B1471" t="s">
        <v>591</v>
      </c>
      <c r="C1471" t="s">
        <v>592</v>
      </c>
      <c r="D1471" s="1">
        <v>46224</v>
      </c>
      <c r="E1471">
        <v>0</v>
      </c>
      <c r="F1471" t="s">
        <v>1789</v>
      </c>
      <c r="G1471" s="1">
        <v>46224.775784259262</v>
      </c>
      <c r="H1471" t="s">
        <v>593</v>
      </c>
      <c r="I1471" s="1">
        <v>46224.775784224534</v>
      </c>
      <c r="J1471" t="s">
        <v>593</v>
      </c>
    </row>
    <row r="1472" spans="1:10" x14ac:dyDescent="0.35">
      <c r="A1472" t="s">
        <v>1765</v>
      </c>
      <c r="B1472" t="s">
        <v>591</v>
      </c>
      <c r="C1472" t="s">
        <v>592</v>
      </c>
      <c r="D1472" s="1">
        <v>46224</v>
      </c>
      <c r="E1472">
        <v>0</v>
      </c>
      <c r="F1472" t="s">
        <v>1790</v>
      </c>
      <c r="G1472" s="1">
        <v>46224.775784409721</v>
      </c>
      <c r="H1472" t="s">
        <v>593</v>
      </c>
      <c r="I1472" s="1">
        <v>46224.775784409721</v>
      </c>
      <c r="J1472" t="s">
        <v>593</v>
      </c>
    </row>
    <row r="1473" spans="1:10" x14ac:dyDescent="0.35">
      <c r="A1473" t="s">
        <v>1984</v>
      </c>
      <c r="B1473" t="s">
        <v>591</v>
      </c>
      <c r="C1473" t="s">
        <v>592</v>
      </c>
      <c r="D1473" s="1">
        <v>46224</v>
      </c>
      <c r="E1473">
        <v>0</v>
      </c>
      <c r="F1473" t="s">
        <v>1985</v>
      </c>
      <c r="G1473" s="1">
        <v>46224.775784571757</v>
      </c>
      <c r="H1473" t="s">
        <v>593</v>
      </c>
      <c r="I1473" s="1">
        <v>46224.775784571757</v>
      </c>
      <c r="J1473" t="s">
        <v>593</v>
      </c>
    </row>
    <row r="1474" spans="1:10" x14ac:dyDescent="0.35">
      <c r="A1474" t="s">
        <v>1381</v>
      </c>
      <c r="B1474" t="s">
        <v>591</v>
      </c>
      <c r="C1474" t="s">
        <v>592</v>
      </c>
      <c r="D1474" s="1">
        <v>46224</v>
      </c>
      <c r="E1474">
        <v>0</v>
      </c>
      <c r="F1474" t="s">
        <v>1791</v>
      </c>
      <c r="G1474" s="1">
        <v>46224.775784722224</v>
      </c>
      <c r="H1474" t="s">
        <v>593</v>
      </c>
      <c r="I1474" s="1">
        <v>46224.775784756945</v>
      </c>
      <c r="J1474" t="s">
        <v>593</v>
      </c>
    </row>
    <row r="1475" spans="1:10" x14ac:dyDescent="0.35">
      <c r="A1475" t="s">
        <v>1382</v>
      </c>
      <c r="B1475" t="s">
        <v>591</v>
      </c>
      <c r="C1475" t="s">
        <v>592</v>
      </c>
      <c r="D1475" s="1">
        <v>46224</v>
      </c>
      <c r="E1475">
        <v>0</v>
      </c>
      <c r="F1475" t="s">
        <v>1792</v>
      </c>
      <c r="G1475" s="1">
        <v>46224.775784872683</v>
      </c>
      <c r="H1475" t="s">
        <v>593</v>
      </c>
      <c r="I1475" s="1">
        <v>46224.775784953701</v>
      </c>
      <c r="J1475" t="s">
        <v>593</v>
      </c>
    </row>
    <row r="1476" spans="1:10" x14ac:dyDescent="0.35">
      <c r="A1476" t="s">
        <v>1383</v>
      </c>
      <c r="B1476" t="s">
        <v>591</v>
      </c>
      <c r="C1476" t="s">
        <v>592</v>
      </c>
      <c r="D1476" s="1">
        <v>46224</v>
      </c>
      <c r="E1476">
        <v>0</v>
      </c>
      <c r="F1476" t="s">
        <v>1793</v>
      </c>
      <c r="G1476" s="1">
        <v>46224.775785034719</v>
      </c>
      <c r="H1476" t="s">
        <v>593</v>
      </c>
      <c r="I1476" s="1">
        <v>46224.775784953701</v>
      </c>
      <c r="J1476" t="s">
        <v>593</v>
      </c>
    </row>
    <row r="1477" spans="1:10" x14ac:dyDescent="0.35">
      <c r="A1477" t="s">
        <v>1384</v>
      </c>
      <c r="B1477" t="s">
        <v>591</v>
      </c>
      <c r="C1477" t="s">
        <v>592</v>
      </c>
      <c r="D1477" s="1">
        <v>46224</v>
      </c>
      <c r="E1477">
        <v>0</v>
      </c>
      <c r="F1477" t="s">
        <v>1794</v>
      </c>
      <c r="G1477" s="1">
        <v>46224.775785185186</v>
      </c>
      <c r="H1477" t="s">
        <v>593</v>
      </c>
      <c r="I1477" s="1">
        <v>46224.775785150465</v>
      </c>
      <c r="J1477" t="s">
        <v>593</v>
      </c>
    </row>
    <row r="1478" spans="1:10" x14ac:dyDescent="0.35">
      <c r="A1478" t="s">
        <v>1385</v>
      </c>
      <c r="B1478" t="s">
        <v>591</v>
      </c>
      <c r="C1478" t="s">
        <v>592</v>
      </c>
      <c r="D1478" s="1">
        <v>46224</v>
      </c>
      <c r="E1478">
        <v>0</v>
      </c>
      <c r="F1478" t="s">
        <v>1795</v>
      </c>
      <c r="G1478" s="1">
        <v>46224.775785335645</v>
      </c>
      <c r="H1478" t="s">
        <v>593</v>
      </c>
      <c r="I1478" s="1">
        <v>46224.775785300924</v>
      </c>
      <c r="J1478" t="s">
        <v>593</v>
      </c>
    </row>
    <row r="1479" spans="1:10" x14ac:dyDescent="0.35">
      <c r="A1479" t="s">
        <v>1386</v>
      </c>
      <c r="B1479" t="s">
        <v>591</v>
      </c>
      <c r="C1479" t="s">
        <v>592</v>
      </c>
      <c r="D1479" s="1">
        <v>46224</v>
      </c>
      <c r="E1479">
        <v>0</v>
      </c>
      <c r="F1479" t="s">
        <v>1796</v>
      </c>
      <c r="G1479" s="1">
        <v>46224.775785497688</v>
      </c>
      <c r="H1479" t="s">
        <v>593</v>
      </c>
      <c r="I1479" s="1">
        <v>46224.775785497688</v>
      </c>
      <c r="J1479" t="s">
        <v>593</v>
      </c>
    </row>
    <row r="1480" spans="1:10" x14ac:dyDescent="0.35">
      <c r="A1480" t="s">
        <v>1387</v>
      </c>
      <c r="B1480" t="s">
        <v>591</v>
      </c>
      <c r="C1480" t="s">
        <v>592</v>
      </c>
      <c r="D1480" s="1">
        <v>46224</v>
      </c>
      <c r="E1480">
        <v>0</v>
      </c>
      <c r="F1480" t="s">
        <v>1797</v>
      </c>
      <c r="G1480" s="1">
        <v>46224.775785648148</v>
      </c>
      <c r="H1480" t="s">
        <v>593</v>
      </c>
      <c r="I1480" s="1">
        <v>46224.775785682868</v>
      </c>
      <c r="J1480" t="s">
        <v>593</v>
      </c>
    </row>
    <row r="1481" spans="1:10" x14ac:dyDescent="0.35">
      <c r="A1481" t="s">
        <v>1388</v>
      </c>
      <c r="B1481" t="s">
        <v>591</v>
      </c>
      <c r="C1481" t="s">
        <v>592</v>
      </c>
      <c r="D1481" s="1">
        <v>46224</v>
      </c>
      <c r="E1481">
        <v>0</v>
      </c>
      <c r="F1481" t="s">
        <v>1798</v>
      </c>
      <c r="G1481" s="1">
        <v>46224.775785798614</v>
      </c>
      <c r="H1481" t="s">
        <v>593</v>
      </c>
      <c r="I1481" s="1">
        <v>46224.775785844904</v>
      </c>
      <c r="J1481" t="s">
        <v>593</v>
      </c>
    </row>
    <row r="1482" spans="1:10" x14ac:dyDescent="0.35">
      <c r="A1482" t="s">
        <v>1389</v>
      </c>
      <c r="B1482" t="s">
        <v>591</v>
      </c>
      <c r="C1482" t="s">
        <v>592</v>
      </c>
      <c r="D1482" s="1">
        <v>46224</v>
      </c>
      <c r="E1482">
        <v>0</v>
      </c>
      <c r="F1482" t="s">
        <v>1799</v>
      </c>
      <c r="G1482" s="1">
        <v>46224.77578596065</v>
      </c>
      <c r="H1482" t="s">
        <v>593</v>
      </c>
      <c r="I1482" s="1">
        <v>46224.775786030092</v>
      </c>
      <c r="J1482" t="s">
        <v>593</v>
      </c>
    </row>
    <row r="1483" spans="1:10" x14ac:dyDescent="0.35">
      <c r="A1483" t="s">
        <v>1390</v>
      </c>
      <c r="B1483" t="s">
        <v>591</v>
      </c>
      <c r="C1483" t="s">
        <v>592</v>
      </c>
      <c r="D1483" s="1">
        <v>46224</v>
      </c>
      <c r="E1483">
        <v>0</v>
      </c>
      <c r="F1483" t="s">
        <v>1800</v>
      </c>
      <c r="G1483" s="1">
        <v>46224.775786111109</v>
      </c>
      <c r="H1483" t="s">
        <v>593</v>
      </c>
      <c r="I1483" s="1">
        <v>46224.775786030092</v>
      </c>
      <c r="J1483" t="s">
        <v>593</v>
      </c>
    </row>
    <row r="1484" spans="1:10" x14ac:dyDescent="0.35">
      <c r="A1484" t="s">
        <v>1391</v>
      </c>
      <c r="B1484" t="s">
        <v>591</v>
      </c>
      <c r="C1484" t="s">
        <v>592</v>
      </c>
      <c r="D1484" s="1">
        <v>46224</v>
      </c>
      <c r="E1484">
        <v>0</v>
      </c>
      <c r="F1484" t="s">
        <v>1801</v>
      </c>
      <c r="G1484" s="1">
        <v>46224.775786261576</v>
      </c>
      <c r="H1484" t="s">
        <v>593</v>
      </c>
      <c r="I1484" s="1">
        <v>46224.775786226855</v>
      </c>
      <c r="J1484" t="s">
        <v>593</v>
      </c>
    </row>
    <row r="1485" spans="1:10" x14ac:dyDescent="0.35">
      <c r="A1485" t="s">
        <v>1392</v>
      </c>
      <c r="B1485" t="s">
        <v>591</v>
      </c>
      <c r="C1485" t="s">
        <v>592</v>
      </c>
      <c r="D1485" s="1">
        <v>46224</v>
      </c>
      <c r="E1485">
        <v>0</v>
      </c>
      <c r="F1485" t="s">
        <v>1802</v>
      </c>
      <c r="G1485" s="1">
        <v>46224.775786423612</v>
      </c>
      <c r="H1485" t="s">
        <v>593</v>
      </c>
      <c r="I1485" s="1">
        <v>46224.775786423612</v>
      </c>
      <c r="J1485" t="s">
        <v>593</v>
      </c>
    </row>
    <row r="1486" spans="1:10" x14ac:dyDescent="0.35">
      <c r="A1486" t="s">
        <v>1393</v>
      </c>
      <c r="B1486" t="s">
        <v>591</v>
      </c>
      <c r="C1486" t="s">
        <v>592</v>
      </c>
      <c r="D1486" s="1">
        <v>46224</v>
      </c>
      <c r="E1486">
        <v>0</v>
      </c>
      <c r="F1486" t="s">
        <v>1803</v>
      </c>
      <c r="G1486" s="1">
        <v>46224.775786574071</v>
      </c>
      <c r="H1486" t="s">
        <v>593</v>
      </c>
      <c r="I1486" s="1">
        <v>46224.775786574071</v>
      </c>
      <c r="J1486" t="s">
        <v>593</v>
      </c>
    </row>
    <row r="1487" spans="1:10" x14ac:dyDescent="0.35">
      <c r="A1487" t="s">
        <v>1394</v>
      </c>
      <c r="B1487" t="s">
        <v>591</v>
      </c>
      <c r="C1487" t="s">
        <v>592</v>
      </c>
      <c r="D1487" s="1">
        <v>46224</v>
      </c>
      <c r="E1487">
        <v>0</v>
      </c>
      <c r="F1487" t="s">
        <v>1804</v>
      </c>
      <c r="G1487" s="1">
        <v>46224.775786724538</v>
      </c>
      <c r="H1487" t="s">
        <v>593</v>
      </c>
      <c r="I1487" s="1">
        <v>46224.775786770835</v>
      </c>
      <c r="J1487" t="s">
        <v>593</v>
      </c>
    </row>
    <row r="1488" spans="1:10" x14ac:dyDescent="0.35">
      <c r="A1488" t="s">
        <v>1395</v>
      </c>
      <c r="B1488" t="s">
        <v>591</v>
      </c>
      <c r="C1488" t="s">
        <v>592</v>
      </c>
      <c r="D1488" s="1">
        <v>46224</v>
      </c>
      <c r="E1488">
        <v>0</v>
      </c>
      <c r="F1488" t="s">
        <v>1805</v>
      </c>
      <c r="G1488" s="1">
        <v>46224.775786886574</v>
      </c>
      <c r="H1488" t="s">
        <v>593</v>
      </c>
      <c r="I1488" s="1">
        <v>46224.775786921295</v>
      </c>
      <c r="J1488" t="s">
        <v>593</v>
      </c>
    </row>
    <row r="1489" spans="1:10" x14ac:dyDescent="0.35">
      <c r="A1489" t="s">
        <v>1396</v>
      </c>
      <c r="B1489" t="s">
        <v>591</v>
      </c>
      <c r="C1489" t="s">
        <v>592</v>
      </c>
      <c r="D1489" s="1">
        <v>46224</v>
      </c>
      <c r="E1489">
        <v>0</v>
      </c>
      <c r="F1489" t="s">
        <v>1806</v>
      </c>
      <c r="G1489" s="1">
        <v>46224.775787037041</v>
      </c>
      <c r="H1489" t="s">
        <v>593</v>
      </c>
      <c r="I1489" s="1">
        <v>46224.775787118058</v>
      </c>
      <c r="J1489" t="s">
        <v>593</v>
      </c>
    </row>
    <row r="1490" spans="1:10" x14ac:dyDescent="0.35">
      <c r="A1490" t="s">
        <v>1397</v>
      </c>
      <c r="B1490" t="s">
        <v>591</v>
      </c>
      <c r="C1490" t="s">
        <v>592</v>
      </c>
      <c r="D1490" s="1">
        <v>46224</v>
      </c>
      <c r="E1490">
        <v>0</v>
      </c>
      <c r="F1490" t="s">
        <v>1807</v>
      </c>
      <c r="G1490" s="1">
        <v>46224.7757871875</v>
      </c>
      <c r="H1490" t="s">
        <v>593</v>
      </c>
      <c r="I1490" s="1">
        <v>46224.775787118058</v>
      </c>
      <c r="J1490" t="s">
        <v>593</v>
      </c>
    </row>
    <row r="1491" spans="1:10" x14ac:dyDescent="0.35">
      <c r="A1491" t="s">
        <v>1398</v>
      </c>
      <c r="B1491" t="s">
        <v>591</v>
      </c>
      <c r="C1491" t="s">
        <v>592</v>
      </c>
      <c r="D1491" s="1">
        <v>46224</v>
      </c>
      <c r="E1491">
        <v>0</v>
      </c>
      <c r="F1491" t="s">
        <v>1808</v>
      </c>
      <c r="G1491" s="1">
        <v>46224.775787349536</v>
      </c>
      <c r="H1491" t="s">
        <v>593</v>
      </c>
      <c r="I1491" s="1">
        <v>46224.775787303239</v>
      </c>
      <c r="J1491" t="s">
        <v>593</v>
      </c>
    </row>
    <row r="1492" spans="1:10" x14ac:dyDescent="0.35">
      <c r="A1492" t="s">
        <v>1399</v>
      </c>
      <c r="B1492" t="s">
        <v>591</v>
      </c>
      <c r="C1492" t="s">
        <v>592</v>
      </c>
      <c r="D1492" s="1">
        <v>46224</v>
      </c>
      <c r="E1492">
        <v>0</v>
      </c>
      <c r="F1492" t="s">
        <v>1809</v>
      </c>
      <c r="G1492" s="1">
        <v>46224.775787534723</v>
      </c>
      <c r="H1492" t="s">
        <v>593</v>
      </c>
      <c r="I1492" s="1">
        <v>46224.775787465274</v>
      </c>
      <c r="J1492" t="s">
        <v>593</v>
      </c>
    </row>
    <row r="1493" spans="1:10" x14ac:dyDescent="0.35">
      <c r="A1493" t="s">
        <v>1400</v>
      </c>
      <c r="B1493" t="s">
        <v>591</v>
      </c>
      <c r="C1493" t="s">
        <v>592</v>
      </c>
      <c r="D1493" s="1">
        <v>46224</v>
      </c>
      <c r="E1493">
        <v>0</v>
      </c>
      <c r="F1493" t="s">
        <v>1810</v>
      </c>
      <c r="G1493" s="1">
        <v>46224.77578773148</v>
      </c>
      <c r="H1493" t="s">
        <v>593</v>
      </c>
      <c r="I1493" s="1">
        <v>46224.775787650462</v>
      </c>
      <c r="J1493" t="s">
        <v>593</v>
      </c>
    </row>
    <row r="1494" spans="1:10" x14ac:dyDescent="0.35">
      <c r="A1494" t="s">
        <v>1401</v>
      </c>
      <c r="B1494" t="s">
        <v>591</v>
      </c>
      <c r="C1494" t="s">
        <v>592</v>
      </c>
      <c r="D1494" s="1">
        <v>46224</v>
      </c>
      <c r="E1494">
        <v>0</v>
      </c>
      <c r="F1494" t="s">
        <v>1811</v>
      </c>
      <c r="G1494" s="1">
        <v>46224.775787847226</v>
      </c>
      <c r="H1494" t="s">
        <v>593</v>
      </c>
      <c r="I1494" s="1">
        <v>46224.775787847226</v>
      </c>
      <c r="J1494" t="s">
        <v>593</v>
      </c>
    </row>
    <row r="1495" spans="1:10" x14ac:dyDescent="0.35">
      <c r="A1495" t="s">
        <v>1402</v>
      </c>
      <c r="B1495" t="s">
        <v>591</v>
      </c>
      <c r="C1495" t="s">
        <v>592</v>
      </c>
      <c r="D1495" s="1">
        <v>46224</v>
      </c>
      <c r="E1495">
        <v>0</v>
      </c>
      <c r="F1495" t="s">
        <v>1812</v>
      </c>
      <c r="G1495" s="1">
        <v>46224.775787997685</v>
      </c>
      <c r="H1495" t="s">
        <v>593</v>
      </c>
      <c r="I1495" s="1">
        <v>46224.775788043982</v>
      </c>
      <c r="J1495" t="s">
        <v>593</v>
      </c>
    </row>
    <row r="1496" spans="1:10" x14ac:dyDescent="0.35">
      <c r="A1496" t="s">
        <v>1976</v>
      </c>
      <c r="B1496" t="s">
        <v>591</v>
      </c>
      <c r="C1496" t="s">
        <v>592</v>
      </c>
      <c r="D1496" s="1">
        <v>46224</v>
      </c>
      <c r="E1496">
        <v>0</v>
      </c>
      <c r="F1496" t="s">
        <v>1977</v>
      </c>
      <c r="G1496" s="1">
        <v>46224.775788159721</v>
      </c>
      <c r="H1496" t="s">
        <v>593</v>
      </c>
      <c r="I1496" s="1">
        <v>46224.775788194442</v>
      </c>
      <c r="J1496" t="s">
        <v>593</v>
      </c>
    </row>
    <row r="1497" spans="1:10" x14ac:dyDescent="0.35">
      <c r="A1497" t="s">
        <v>1403</v>
      </c>
      <c r="B1497" t="s">
        <v>591</v>
      </c>
      <c r="C1497" t="s">
        <v>592</v>
      </c>
      <c r="D1497" s="1">
        <v>46224</v>
      </c>
      <c r="E1497">
        <v>0</v>
      </c>
      <c r="F1497" t="s">
        <v>1813</v>
      </c>
      <c r="G1497" s="1">
        <v>46224.775788310188</v>
      </c>
      <c r="H1497" t="s">
        <v>593</v>
      </c>
      <c r="I1497" s="1">
        <v>46224.775788391205</v>
      </c>
      <c r="J1497" t="s">
        <v>593</v>
      </c>
    </row>
    <row r="1498" spans="1:10" x14ac:dyDescent="0.35">
      <c r="A1498" t="s">
        <v>1404</v>
      </c>
      <c r="B1498" t="s">
        <v>591</v>
      </c>
      <c r="C1498" t="s">
        <v>592</v>
      </c>
      <c r="D1498" s="1">
        <v>46224</v>
      </c>
      <c r="E1498">
        <v>0</v>
      </c>
      <c r="F1498" t="s">
        <v>1814</v>
      </c>
      <c r="G1498" s="1">
        <v>46224.775788460647</v>
      </c>
      <c r="H1498" t="s">
        <v>593</v>
      </c>
      <c r="I1498" s="1">
        <v>46224.775788576386</v>
      </c>
      <c r="J1498" t="s">
        <v>593</v>
      </c>
    </row>
    <row r="1499" spans="1:10" x14ac:dyDescent="0.35">
      <c r="A1499" t="s">
        <v>1405</v>
      </c>
      <c r="B1499" t="s">
        <v>591</v>
      </c>
      <c r="C1499" t="s">
        <v>592</v>
      </c>
      <c r="D1499" s="1">
        <v>46224</v>
      </c>
      <c r="E1499">
        <v>0</v>
      </c>
      <c r="F1499" t="s">
        <v>1815</v>
      </c>
      <c r="G1499" s="1">
        <v>46224.775788657411</v>
      </c>
      <c r="H1499" t="s">
        <v>593</v>
      </c>
      <c r="I1499" s="1">
        <v>46224.775788576386</v>
      </c>
      <c r="J1499" t="s">
        <v>593</v>
      </c>
    </row>
    <row r="1500" spans="1:10" x14ac:dyDescent="0.35">
      <c r="A1500" t="s">
        <v>1406</v>
      </c>
      <c r="B1500" t="s">
        <v>591</v>
      </c>
      <c r="C1500" t="s">
        <v>592</v>
      </c>
      <c r="D1500" s="1">
        <v>46224</v>
      </c>
      <c r="E1500">
        <v>0</v>
      </c>
      <c r="F1500" t="s">
        <v>1816</v>
      </c>
      <c r="G1500" s="1">
        <v>46224.775788888888</v>
      </c>
      <c r="H1500" t="s">
        <v>593</v>
      </c>
      <c r="I1500" s="1">
        <v>46224.775788969906</v>
      </c>
      <c r="J1500" t="s">
        <v>593</v>
      </c>
    </row>
    <row r="1501" spans="1:10" x14ac:dyDescent="0.35">
      <c r="A1501" t="s">
        <v>1407</v>
      </c>
      <c r="B1501" t="s">
        <v>591</v>
      </c>
      <c r="C1501" t="s">
        <v>592</v>
      </c>
      <c r="D1501" s="1">
        <v>46224</v>
      </c>
      <c r="E1501">
        <v>0</v>
      </c>
      <c r="F1501" t="s">
        <v>1817</v>
      </c>
      <c r="G1501" s="1">
        <v>46224.775789039355</v>
      </c>
      <c r="H1501" t="s">
        <v>593</v>
      </c>
      <c r="I1501" s="1">
        <v>46224.775788969906</v>
      </c>
      <c r="J1501" t="s">
        <v>593</v>
      </c>
    </row>
    <row r="1502" spans="1:10" x14ac:dyDescent="0.35">
      <c r="A1502" t="s">
        <v>1408</v>
      </c>
      <c r="B1502" t="s">
        <v>591</v>
      </c>
      <c r="C1502" t="s">
        <v>592</v>
      </c>
      <c r="D1502" s="1">
        <v>46224</v>
      </c>
      <c r="E1502">
        <v>0</v>
      </c>
      <c r="F1502" t="s">
        <v>1818</v>
      </c>
      <c r="G1502" s="1">
        <v>46224.775789201391</v>
      </c>
      <c r="H1502" t="s">
        <v>593</v>
      </c>
      <c r="I1502" s="1">
        <v>46224.775789120373</v>
      </c>
      <c r="J1502" t="s">
        <v>593</v>
      </c>
    </row>
    <row r="1503" spans="1:10" x14ac:dyDescent="0.35">
      <c r="A1503" t="s">
        <v>1409</v>
      </c>
      <c r="B1503" t="s">
        <v>591</v>
      </c>
      <c r="C1503" t="s">
        <v>592</v>
      </c>
      <c r="D1503" s="1">
        <v>46224</v>
      </c>
      <c r="E1503">
        <v>0</v>
      </c>
      <c r="F1503" t="s">
        <v>1819</v>
      </c>
      <c r="G1503" s="1">
        <v>46224.77578935185</v>
      </c>
      <c r="H1503" t="s">
        <v>593</v>
      </c>
      <c r="I1503" s="1">
        <v>46224.77578935185</v>
      </c>
      <c r="J1503" t="s">
        <v>593</v>
      </c>
    </row>
    <row r="1504" spans="1:10" x14ac:dyDescent="0.35">
      <c r="A1504" t="s">
        <v>1410</v>
      </c>
      <c r="B1504" t="s">
        <v>591</v>
      </c>
      <c r="C1504" t="s">
        <v>592</v>
      </c>
      <c r="D1504" s="1">
        <v>46224</v>
      </c>
      <c r="E1504">
        <v>0</v>
      </c>
      <c r="F1504" t="s">
        <v>1820</v>
      </c>
      <c r="G1504" s="1">
        <v>46224.775789502317</v>
      </c>
      <c r="H1504" t="s">
        <v>593</v>
      </c>
      <c r="I1504" s="1">
        <v>46224.775789548614</v>
      </c>
      <c r="J1504" t="s">
        <v>593</v>
      </c>
    </row>
    <row r="1505" spans="1:10" x14ac:dyDescent="0.35">
      <c r="A1505" t="s">
        <v>1411</v>
      </c>
      <c r="B1505" t="s">
        <v>591</v>
      </c>
      <c r="C1505" t="s">
        <v>592</v>
      </c>
      <c r="D1505" s="1">
        <v>46224</v>
      </c>
      <c r="E1505">
        <v>0</v>
      </c>
      <c r="F1505" t="s">
        <v>1821</v>
      </c>
      <c r="G1505" s="1">
        <v>46224.775789664352</v>
      </c>
      <c r="H1505" t="s">
        <v>593</v>
      </c>
      <c r="I1505" s="1">
        <v>46224.775789699073</v>
      </c>
      <c r="J1505" t="s">
        <v>593</v>
      </c>
    </row>
    <row r="1506" spans="1:10" x14ac:dyDescent="0.35">
      <c r="A1506" t="s">
        <v>1412</v>
      </c>
      <c r="B1506" t="s">
        <v>591</v>
      </c>
      <c r="C1506" t="s">
        <v>592</v>
      </c>
      <c r="D1506" s="1">
        <v>46224</v>
      </c>
      <c r="E1506">
        <v>0</v>
      </c>
      <c r="F1506" t="s">
        <v>1822</v>
      </c>
      <c r="G1506" s="1">
        <v>46224.775789814812</v>
      </c>
      <c r="H1506" t="s">
        <v>593</v>
      </c>
      <c r="I1506" s="1">
        <v>46224.77578989583</v>
      </c>
      <c r="J1506" t="s">
        <v>593</v>
      </c>
    </row>
    <row r="1507" spans="1:10" x14ac:dyDescent="0.35">
      <c r="A1507" t="s">
        <v>1413</v>
      </c>
      <c r="B1507" t="s">
        <v>591</v>
      </c>
      <c r="C1507" t="s">
        <v>592</v>
      </c>
      <c r="D1507" s="1">
        <v>46224</v>
      </c>
      <c r="E1507">
        <v>0</v>
      </c>
      <c r="F1507" t="s">
        <v>1823</v>
      </c>
      <c r="G1507" s="1">
        <v>46224.775789965279</v>
      </c>
      <c r="H1507" t="s">
        <v>593</v>
      </c>
      <c r="I1507" s="1">
        <v>46224.77578989583</v>
      </c>
      <c r="J1507" t="s">
        <v>593</v>
      </c>
    </row>
    <row r="1508" spans="1:10" x14ac:dyDescent="0.35">
      <c r="A1508" t="s">
        <v>1414</v>
      </c>
      <c r="B1508" t="s">
        <v>591</v>
      </c>
      <c r="C1508" t="s">
        <v>592</v>
      </c>
      <c r="D1508" s="1">
        <v>46224</v>
      </c>
      <c r="E1508">
        <v>0</v>
      </c>
      <c r="F1508" t="s">
        <v>1824</v>
      </c>
      <c r="G1508" s="1">
        <v>46224.775790127314</v>
      </c>
      <c r="H1508" t="s">
        <v>593</v>
      </c>
      <c r="I1508" s="1">
        <v>46224.775790081017</v>
      </c>
      <c r="J1508" t="s">
        <v>593</v>
      </c>
    </row>
    <row r="1509" spans="1:10" x14ac:dyDescent="0.35">
      <c r="A1509" t="s">
        <v>1415</v>
      </c>
      <c r="B1509" t="s">
        <v>591</v>
      </c>
      <c r="C1509" t="s">
        <v>592</v>
      </c>
      <c r="D1509" s="1">
        <v>46224</v>
      </c>
      <c r="E1509">
        <v>0</v>
      </c>
      <c r="F1509" t="s">
        <v>1825</v>
      </c>
      <c r="G1509" s="1">
        <v>46224.775790277781</v>
      </c>
      <c r="H1509" t="s">
        <v>593</v>
      </c>
      <c r="I1509" s="1">
        <v>46224.775790358799</v>
      </c>
      <c r="J1509" t="s">
        <v>593</v>
      </c>
    </row>
    <row r="1510" spans="1:10" x14ac:dyDescent="0.35">
      <c r="A1510" t="s">
        <v>1416</v>
      </c>
      <c r="B1510" t="s">
        <v>591</v>
      </c>
      <c r="C1510" t="s">
        <v>592</v>
      </c>
      <c r="D1510" s="1">
        <v>46224</v>
      </c>
      <c r="E1510">
        <v>0</v>
      </c>
      <c r="F1510" t="s">
        <v>1826</v>
      </c>
      <c r="G1510" s="1">
        <v>46224.775790428241</v>
      </c>
      <c r="H1510" t="s">
        <v>593</v>
      </c>
      <c r="I1510" s="1">
        <v>46224.775790358799</v>
      </c>
      <c r="J1510" t="s">
        <v>593</v>
      </c>
    </row>
    <row r="1511" spans="1:10" x14ac:dyDescent="0.35">
      <c r="A1511" t="s">
        <v>1417</v>
      </c>
      <c r="B1511" t="s">
        <v>591</v>
      </c>
      <c r="C1511" t="s">
        <v>592</v>
      </c>
      <c r="D1511" s="1">
        <v>46224</v>
      </c>
      <c r="E1511">
        <v>0</v>
      </c>
      <c r="F1511" t="s">
        <v>1827</v>
      </c>
      <c r="G1511" s="1">
        <v>46224.775790590276</v>
      </c>
      <c r="H1511" t="s">
        <v>593</v>
      </c>
      <c r="I1511" s="1">
        <v>46224.775790543979</v>
      </c>
      <c r="J1511" t="s">
        <v>593</v>
      </c>
    </row>
    <row r="1512" spans="1:10" x14ac:dyDescent="0.35">
      <c r="A1512" t="s">
        <v>1418</v>
      </c>
      <c r="B1512" t="s">
        <v>591</v>
      </c>
      <c r="C1512" t="s">
        <v>592</v>
      </c>
      <c r="D1512" s="1">
        <v>46224</v>
      </c>
      <c r="E1512">
        <v>0</v>
      </c>
      <c r="F1512" t="s">
        <v>1828</v>
      </c>
      <c r="G1512" s="1">
        <v>46224.775790740743</v>
      </c>
      <c r="H1512" t="s">
        <v>593</v>
      </c>
      <c r="I1512" s="1">
        <v>46224.775790706015</v>
      </c>
      <c r="J1512" t="s">
        <v>593</v>
      </c>
    </row>
    <row r="1513" spans="1:10" x14ac:dyDescent="0.35">
      <c r="A1513" t="s">
        <v>1419</v>
      </c>
      <c r="B1513" t="s">
        <v>591</v>
      </c>
      <c r="C1513" t="s">
        <v>592</v>
      </c>
      <c r="D1513" s="1">
        <v>46224</v>
      </c>
      <c r="E1513">
        <v>0</v>
      </c>
      <c r="F1513" t="s">
        <v>1829</v>
      </c>
      <c r="G1513" s="1">
        <v>46224.775790891203</v>
      </c>
      <c r="H1513" t="s">
        <v>593</v>
      </c>
      <c r="I1513" s="1">
        <v>46224.775790891203</v>
      </c>
      <c r="J1513" t="s">
        <v>593</v>
      </c>
    </row>
    <row r="1514" spans="1:10" x14ac:dyDescent="0.35">
      <c r="A1514" t="s">
        <v>1420</v>
      </c>
      <c r="B1514" t="s">
        <v>591</v>
      </c>
      <c r="C1514" t="s">
        <v>592</v>
      </c>
      <c r="D1514" s="1">
        <v>46224</v>
      </c>
      <c r="E1514">
        <v>0</v>
      </c>
      <c r="F1514" t="s">
        <v>1830</v>
      </c>
      <c r="G1514" s="1">
        <v>46224.775791053238</v>
      </c>
      <c r="H1514" t="s">
        <v>593</v>
      </c>
      <c r="I1514" s="1">
        <v>46224.775791087966</v>
      </c>
      <c r="J1514" t="s">
        <v>593</v>
      </c>
    </row>
    <row r="1515" spans="1:10" x14ac:dyDescent="0.35">
      <c r="A1515" t="s">
        <v>1421</v>
      </c>
      <c r="B1515" t="s">
        <v>591</v>
      </c>
      <c r="C1515" t="s">
        <v>592</v>
      </c>
      <c r="D1515" s="1">
        <v>46224</v>
      </c>
      <c r="E1515">
        <v>0</v>
      </c>
      <c r="F1515" t="s">
        <v>1831</v>
      </c>
      <c r="G1515" s="1">
        <v>46224.775791203705</v>
      </c>
      <c r="H1515" t="s">
        <v>593</v>
      </c>
      <c r="I1515" s="1">
        <v>46224.775791284723</v>
      </c>
      <c r="J1515" t="s">
        <v>593</v>
      </c>
    </row>
    <row r="1516" spans="1:10" x14ac:dyDescent="0.35">
      <c r="A1516" t="s">
        <v>1422</v>
      </c>
      <c r="B1516" t="s">
        <v>591</v>
      </c>
      <c r="C1516" t="s">
        <v>592</v>
      </c>
      <c r="D1516" s="1">
        <v>46224</v>
      </c>
      <c r="E1516">
        <v>0</v>
      </c>
      <c r="F1516" t="s">
        <v>1832</v>
      </c>
      <c r="G1516" s="1">
        <v>46224.775791354165</v>
      </c>
      <c r="H1516" t="s">
        <v>593</v>
      </c>
      <c r="I1516" s="1">
        <v>46224.775791284723</v>
      </c>
      <c r="J1516" t="s">
        <v>593</v>
      </c>
    </row>
    <row r="1517" spans="1:10" x14ac:dyDescent="0.35">
      <c r="A1517" t="s">
        <v>1423</v>
      </c>
      <c r="B1517" t="s">
        <v>591</v>
      </c>
      <c r="C1517" t="s">
        <v>592</v>
      </c>
      <c r="D1517" s="1">
        <v>46224</v>
      </c>
      <c r="E1517">
        <v>0</v>
      </c>
      <c r="F1517" t="s">
        <v>1833</v>
      </c>
      <c r="G1517" s="1">
        <v>46224.7757915162</v>
      </c>
      <c r="H1517" t="s">
        <v>593</v>
      </c>
      <c r="I1517" s="1">
        <v>46224.775791435182</v>
      </c>
      <c r="J1517" t="s">
        <v>593</v>
      </c>
    </row>
    <row r="1518" spans="1:10" x14ac:dyDescent="0.35">
      <c r="A1518" t="s">
        <v>1424</v>
      </c>
      <c r="B1518" t="s">
        <v>591</v>
      </c>
      <c r="C1518" t="s">
        <v>592</v>
      </c>
      <c r="D1518" s="1">
        <v>46224</v>
      </c>
      <c r="E1518">
        <v>0</v>
      </c>
      <c r="F1518" t="s">
        <v>1834</v>
      </c>
      <c r="G1518" s="1">
        <v>46224.775791666667</v>
      </c>
      <c r="H1518" t="s">
        <v>593</v>
      </c>
      <c r="I1518" s="1">
        <v>46224.775791631946</v>
      </c>
      <c r="J1518" t="s">
        <v>593</v>
      </c>
    </row>
    <row r="1519" spans="1:10" x14ac:dyDescent="0.35">
      <c r="A1519" t="s">
        <v>1425</v>
      </c>
      <c r="B1519" t="s">
        <v>591</v>
      </c>
      <c r="C1519" t="s">
        <v>592</v>
      </c>
      <c r="D1519" s="1">
        <v>46224</v>
      </c>
      <c r="E1519">
        <v>0</v>
      </c>
      <c r="F1519" t="s">
        <v>1835</v>
      </c>
      <c r="G1519" s="1">
        <v>46224.775791817126</v>
      </c>
      <c r="H1519" t="s">
        <v>593</v>
      </c>
      <c r="I1519" s="1">
        <v>46224.775791817126</v>
      </c>
      <c r="J1519" t="s">
        <v>593</v>
      </c>
    </row>
    <row r="1520" spans="1:10" x14ac:dyDescent="0.35">
      <c r="A1520" t="s">
        <v>1426</v>
      </c>
      <c r="B1520" t="s">
        <v>591</v>
      </c>
      <c r="C1520" t="s">
        <v>592</v>
      </c>
      <c r="D1520" s="1">
        <v>46224</v>
      </c>
      <c r="E1520">
        <v>0</v>
      </c>
      <c r="F1520" t="s">
        <v>1836</v>
      </c>
      <c r="G1520" s="1">
        <v>46224.775791979169</v>
      </c>
      <c r="H1520" t="s">
        <v>593</v>
      </c>
      <c r="I1520" s="1">
        <v>46224.775791979169</v>
      </c>
      <c r="J1520" t="s">
        <v>593</v>
      </c>
    </row>
    <row r="1521" spans="1:10" x14ac:dyDescent="0.35">
      <c r="A1521" t="s">
        <v>1427</v>
      </c>
      <c r="B1521" t="s">
        <v>591</v>
      </c>
      <c r="C1521" t="s">
        <v>592</v>
      </c>
      <c r="D1521" s="1">
        <v>46224</v>
      </c>
      <c r="E1521">
        <v>0</v>
      </c>
      <c r="F1521" t="s">
        <v>1837</v>
      </c>
      <c r="G1521" s="1">
        <v>46224.775792129629</v>
      </c>
      <c r="H1521" t="s">
        <v>593</v>
      </c>
      <c r="I1521" s="1">
        <v>46224.77579216435</v>
      </c>
      <c r="J1521" t="s">
        <v>593</v>
      </c>
    </row>
    <row r="1522" spans="1:10" x14ac:dyDescent="0.35">
      <c r="A1522" t="s">
        <v>1428</v>
      </c>
      <c r="B1522" t="s">
        <v>591</v>
      </c>
      <c r="C1522" t="s">
        <v>592</v>
      </c>
      <c r="D1522" s="1">
        <v>46224</v>
      </c>
      <c r="E1522">
        <v>0</v>
      </c>
      <c r="F1522" t="s">
        <v>1838</v>
      </c>
      <c r="G1522" s="1">
        <v>46224.775792280096</v>
      </c>
      <c r="H1522" t="s">
        <v>593</v>
      </c>
      <c r="I1522" s="1">
        <v>46224.775792361113</v>
      </c>
      <c r="J1522" t="s">
        <v>593</v>
      </c>
    </row>
    <row r="1523" spans="1:10" x14ac:dyDescent="0.35">
      <c r="A1523" t="s">
        <v>1429</v>
      </c>
      <c r="B1523" t="s">
        <v>591</v>
      </c>
      <c r="C1523" t="s">
        <v>592</v>
      </c>
      <c r="D1523" s="1">
        <v>46224</v>
      </c>
      <c r="E1523">
        <v>0</v>
      </c>
      <c r="F1523" t="s">
        <v>1839</v>
      </c>
      <c r="G1523" s="1">
        <v>46224.775792442131</v>
      </c>
      <c r="H1523" t="s">
        <v>593</v>
      </c>
      <c r="I1523" s="1">
        <v>46224.775792361113</v>
      </c>
      <c r="J1523" t="s">
        <v>593</v>
      </c>
    </row>
    <row r="1524" spans="1:10" x14ac:dyDescent="0.35">
      <c r="A1524" t="s">
        <v>1430</v>
      </c>
      <c r="B1524" t="s">
        <v>591</v>
      </c>
      <c r="C1524" t="s">
        <v>592</v>
      </c>
      <c r="D1524" s="1">
        <v>46224</v>
      </c>
      <c r="E1524">
        <v>0</v>
      </c>
      <c r="F1524" t="s">
        <v>1840</v>
      </c>
      <c r="G1524" s="1">
        <v>46224.775792592591</v>
      </c>
      <c r="H1524" t="s">
        <v>593</v>
      </c>
      <c r="I1524" s="1">
        <v>46224.77579255787</v>
      </c>
      <c r="J1524" t="s">
        <v>593</v>
      </c>
    </row>
    <row r="1525" spans="1:10" x14ac:dyDescent="0.35">
      <c r="A1525" t="s">
        <v>1431</v>
      </c>
      <c r="B1525" t="s">
        <v>591</v>
      </c>
      <c r="C1525" t="s">
        <v>592</v>
      </c>
      <c r="D1525" s="1">
        <v>46224</v>
      </c>
      <c r="E1525">
        <v>0</v>
      </c>
      <c r="F1525" t="s">
        <v>1841</v>
      </c>
      <c r="G1525" s="1">
        <v>46224.775792708337</v>
      </c>
      <c r="H1525" t="s">
        <v>593</v>
      </c>
      <c r="I1525" s="1">
        <v>46224.775792708337</v>
      </c>
      <c r="J1525" t="s">
        <v>593</v>
      </c>
    </row>
    <row r="1526" spans="1:10" x14ac:dyDescent="0.35">
      <c r="A1526" t="s">
        <v>1432</v>
      </c>
      <c r="B1526" t="s">
        <v>591</v>
      </c>
      <c r="C1526" t="s">
        <v>592</v>
      </c>
      <c r="D1526" s="1">
        <v>46224</v>
      </c>
      <c r="E1526">
        <v>0</v>
      </c>
      <c r="F1526" t="s">
        <v>1842</v>
      </c>
      <c r="G1526" s="1">
        <v>46224.775792858796</v>
      </c>
      <c r="H1526" t="s">
        <v>593</v>
      </c>
      <c r="I1526" s="1">
        <v>46224.775792905093</v>
      </c>
      <c r="J1526" t="s">
        <v>593</v>
      </c>
    </row>
    <row r="1527" spans="1:10" x14ac:dyDescent="0.35">
      <c r="A1527" t="s">
        <v>1433</v>
      </c>
      <c r="B1527" t="s">
        <v>591</v>
      </c>
      <c r="C1527" t="s">
        <v>592</v>
      </c>
      <c r="D1527" s="1">
        <v>46224</v>
      </c>
      <c r="E1527">
        <v>0</v>
      </c>
      <c r="F1527" t="s">
        <v>1843</v>
      </c>
      <c r="G1527" s="1">
        <v>46224.775793020832</v>
      </c>
      <c r="H1527" t="s">
        <v>593</v>
      </c>
      <c r="I1527" s="1">
        <v>46224.775793090281</v>
      </c>
      <c r="J1527" t="s">
        <v>593</v>
      </c>
    </row>
    <row r="1528" spans="1:10" x14ac:dyDescent="0.35">
      <c r="A1528" t="s">
        <v>1434</v>
      </c>
      <c r="B1528" t="s">
        <v>591</v>
      </c>
      <c r="C1528" t="s">
        <v>592</v>
      </c>
      <c r="D1528" s="1">
        <v>46224</v>
      </c>
      <c r="E1528">
        <v>0</v>
      </c>
      <c r="F1528" t="s">
        <v>1844</v>
      </c>
      <c r="G1528" s="1">
        <v>46224.775793171299</v>
      </c>
      <c r="H1528" t="s">
        <v>593</v>
      </c>
      <c r="I1528" s="1">
        <v>46224.775793252316</v>
      </c>
      <c r="J1528" t="s">
        <v>593</v>
      </c>
    </row>
    <row r="1529" spans="1:10" x14ac:dyDescent="0.35">
      <c r="A1529" t="s">
        <v>1435</v>
      </c>
      <c r="B1529" t="s">
        <v>591</v>
      </c>
      <c r="C1529" t="s">
        <v>592</v>
      </c>
      <c r="D1529" s="1">
        <v>46224</v>
      </c>
      <c r="E1529">
        <v>0</v>
      </c>
      <c r="F1529" t="s">
        <v>1845</v>
      </c>
      <c r="G1529" s="1">
        <v>46224.775793321758</v>
      </c>
      <c r="H1529" t="s">
        <v>593</v>
      </c>
      <c r="I1529" s="1">
        <v>46224.775793437497</v>
      </c>
      <c r="J1529" t="s">
        <v>593</v>
      </c>
    </row>
    <row r="1530" spans="1:10" x14ac:dyDescent="0.35">
      <c r="A1530" t="s">
        <v>1436</v>
      </c>
      <c r="B1530" t="s">
        <v>591</v>
      </c>
      <c r="C1530" t="s">
        <v>592</v>
      </c>
      <c r="D1530" s="1">
        <v>46224</v>
      </c>
      <c r="E1530">
        <v>0</v>
      </c>
      <c r="F1530" t="s">
        <v>1846</v>
      </c>
      <c r="G1530" s="1">
        <v>46224.775793483794</v>
      </c>
      <c r="H1530" t="s">
        <v>593</v>
      </c>
      <c r="I1530" s="1">
        <v>46224.775793437497</v>
      </c>
      <c r="J1530" t="s">
        <v>593</v>
      </c>
    </row>
    <row r="1531" spans="1:10" x14ac:dyDescent="0.35">
      <c r="A1531" t="s">
        <v>1437</v>
      </c>
      <c r="B1531" t="s">
        <v>591</v>
      </c>
      <c r="C1531" t="s">
        <v>592</v>
      </c>
      <c r="D1531" s="1">
        <v>46224</v>
      </c>
      <c r="E1531">
        <v>0</v>
      </c>
      <c r="F1531" t="s">
        <v>1847</v>
      </c>
      <c r="G1531" s="1">
        <v>46224.77579363426</v>
      </c>
      <c r="H1531" t="s">
        <v>593</v>
      </c>
      <c r="I1531" s="1">
        <v>46224.77579359954</v>
      </c>
      <c r="J1531" t="s">
        <v>593</v>
      </c>
    </row>
    <row r="1532" spans="1:10" x14ac:dyDescent="0.35">
      <c r="A1532" t="s">
        <v>1438</v>
      </c>
      <c r="B1532" t="s">
        <v>591</v>
      </c>
      <c r="C1532" t="s">
        <v>592</v>
      </c>
      <c r="D1532" s="1">
        <v>46224</v>
      </c>
      <c r="E1532">
        <v>0</v>
      </c>
      <c r="F1532" t="s">
        <v>1848</v>
      </c>
      <c r="G1532" s="1">
        <v>46224.77579378472</v>
      </c>
      <c r="H1532" t="s">
        <v>593</v>
      </c>
      <c r="I1532" s="1">
        <v>46224.77579378472</v>
      </c>
      <c r="J1532" t="s">
        <v>593</v>
      </c>
    </row>
    <row r="1533" spans="1:10" x14ac:dyDescent="0.35">
      <c r="A1533" t="s">
        <v>1439</v>
      </c>
      <c r="B1533" t="s">
        <v>591</v>
      </c>
      <c r="C1533" t="s">
        <v>592</v>
      </c>
      <c r="D1533" s="1">
        <v>46224</v>
      </c>
      <c r="E1533">
        <v>0</v>
      </c>
      <c r="F1533" t="s">
        <v>1849</v>
      </c>
      <c r="G1533" s="1">
        <v>46224.775793946763</v>
      </c>
      <c r="H1533" t="s">
        <v>593</v>
      </c>
      <c r="I1533" s="1">
        <v>46224.775793981484</v>
      </c>
      <c r="J1533" t="s">
        <v>593</v>
      </c>
    </row>
    <row r="1534" spans="1:10" x14ac:dyDescent="0.35">
      <c r="A1534" t="s">
        <v>1440</v>
      </c>
      <c r="B1534" t="s">
        <v>591</v>
      </c>
      <c r="C1534" t="s">
        <v>592</v>
      </c>
      <c r="D1534" s="1">
        <v>46224</v>
      </c>
      <c r="E1534">
        <v>0</v>
      </c>
      <c r="F1534" t="s">
        <v>1850</v>
      </c>
      <c r="G1534" s="1">
        <v>46224.775794097222</v>
      </c>
      <c r="H1534" t="s">
        <v>593</v>
      </c>
      <c r="I1534" s="1">
        <v>46224.77579417824</v>
      </c>
      <c r="J1534" t="s">
        <v>593</v>
      </c>
    </row>
    <row r="1535" spans="1:10" x14ac:dyDescent="0.35">
      <c r="A1535" t="s">
        <v>1441</v>
      </c>
      <c r="B1535" t="s">
        <v>591</v>
      </c>
      <c r="C1535" t="s">
        <v>592</v>
      </c>
      <c r="D1535" s="1">
        <v>46224</v>
      </c>
      <c r="E1535">
        <v>0</v>
      </c>
      <c r="F1535" t="s">
        <v>1851</v>
      </c>
      <c r="G1535" s="1">
        <v>46224.775794247682</v>
      </c>
      <c r="H1535" t="s">
        <v>593</v>
      </c>
      <c r="I1535" s="1">
        <v>46224.775794328707</v>
      </c>
      <c r="J1535" t="s">
        <v>593</v>
      </c>
    </row>
    <row r="1536" spans="1:10" x14ac:dyDescent="0.35">
      <c r="A1536" t="s">
        <v>1442</v>
      </c>
      <c r="B1536" t="s">
        <v>591</v>
      </c>
      <c r="C1536" t="s">
        <v>592</v>
      </c>
      <c r="D1536" s="1">
        <v>46224</v>
      </c>
      <c r="E1536">
        <v>0</v>
      </c>
      <c r="F1536" t="s">
        <v>1852</v>
      </c>
      <c r="G1536" s="1">
        <v>46224.775794409725</v>
      </c>
      <c r="H1536" t="s">
        <v>593</v>
      </c>
      <c r="I1536" s="1">
        <v>46224.775794525463</v>
      </c>
      <c r="J1536" t="s">
        <v>593</v>
      </c>
    </row>
    <row r="1537" spans="1:10" x14ac:dyDescent="0.35">
      <c r="A1537" t="s">
        <v>1443</v>
      </c>
      <c r="B1537" t="s">
        <v>591</v>
      </c>
      <c r="C1537" t="s">
        <v>592</v>
      </c>
      <c r="D1537" s="1">
        <v>46224</v>
      </c>
      <c r="E1537">
        <v>0</v>
      </c>
      <c r="F1537" t="s">
        <v>1853</v>
      </c>
      <c r="G1537" s="1">
        <v>46224.775794560184</v>
      </c>
      <c r="H1537" t="s">
        <v>593</v>
      </c>
      <c r="I1537" s="1">
        <v>46224.775794525463</v>
      </c>
      <c r="J1537" t="s">
        <v>593</v>
      </c>
    </row>
    <row r="1538" spans="1:10" x14ac:dyDescent="0.35">
      <c r="A1538" t="s">
        <v>1444</v>
      </c>
      <c r="B1538" t="s">
        <v>591</v>
      </c>
      <c r="C1538" t="s">
        <v>592</v>
      </c>
      <c r="D1538" s="1">
        <v>46224</v>
      </c>
      <c r="E1538">
        <v>0</v>
      </c>
      <c r="F1538" t="s">
        <v>1854</v>
      </c>
      <c r="G1538" s="1">
        <v>46224.775794710651</v>
      </c>
      <c r="H1538" t="s">
        <v>593</v>
      </c>
      <c r="I1538" s="1">
        <v>46224.775794710651</v>
      </c>
      <c r="J1538" t="s">
        <v>593</v>
      </c>
    </row>
    <row r="1539" spans="1:10" x14ac:dyDescent="0.35">
      <c r="A1539" t="s">
        <v>1445</v>
      </c>
      <c r="B1539" t="s">
        <v>591</v>
      </c>
      <c r="C1539" t="s">
        <v>592</v>
      </c>
      <c r="D1539" s="1">
        <v>46224</v>
      </c>
      <c r="E1539">
        <v>0</v>
      </c>
      <c r="F1539" t="s">
        <v>1855</v>
      </c>
      <c r="G1539" s="1">
        <v>46224.775794872687</v>
      </c>
      <c r="H1539" t="s">
        <v>593</v>
      </c>
      <c r="I1539" s="1">
        <v>46224.775794872687</v>
      </c>
      <c r="J1539" t="s">
        <v>593</v>
      </c>
    </row>
    <row r="1540" spans="1:10" x14ac:dyDescent="0.35">
      <c r="A1540" t="s">
        <v>1446</v>
      </c>
      <c r="B1540" t="s">
        <v>591</v>
      </c>
      <c r="C1540" t="s">
        <v>592</v>
      </c>
      <c r="D1540" s="1">
        <v>46224</v>
      </c>
      <c r="E1540">
        <v>0</v>
      </c>
      <c r="F1540" t="s">
        <v>1856</v>
      </c>
      <c r="G1540" s="1">
        <v>46224.775795023146</v>
      </c>
      <c r="H1540" t="s">
        <v>593</v>
      </c>
      <c r="I1540" s="1">
        <v>46224.775795057867</v>
      </c>
      <c r="J1540" t="s">
        <v>593</v>
      </c>
    </row>
    <row r="1541" spans="1:10" x14ac:dyDescent="0.35">
      <c r="A1541" t="s">
        <v>1447</v>
      </c>
      <c r="B1541" t="s">
        <v>591</v>
      </c>
      <c r="C1541" t="s">
        <v>592</v>
      </c>
      <c r="D1541" s="1">
        <v>46224</v>
      </c>
      <c r="E1541">
        <v>0</v>
      </c>
      <c r="F1541" t="s">
        <v>1857</v>
      </c>
      <c r="G1541" s="1">
        <v>46224.775795173613</v>
      </c>
      <c r="H1541" t="s">
        <v>593</v>
      </c>
      <c r="I1541" s="1">
        <v>46224.775795254631</v>
      </c>
      <c r="J1541" t="s">
        <v>593</v>
      </c>
    </row>
    <row r="1542" spans="1:10" x14ac:dyDescent="0.35">
      <c r="A1542" t="s">
        <v>1448</v>
      </c>
      <c r="B1542" t="s">
        <v>591</v>
      </c>
      <c r="C1542" t="s">
        <v>592</v>
      </c>
      <c r="D1542" s="1">
        <v>46224</v>
      </c>
      <c r="E1542">
        <v>0</v>
      </c>
      <c r="F1542" t="s">
        <v>1858</v>
      </c>
      <c r="G1542" s="1">
        <v>46224.775795335649</v>
      </c>
      <c r="H1542" t="s">
        <v>593</v>
      </c>
      <c r="I1542" s="1">
        <v>46224.775795451387</v>
      </c>
      <c r="J1542" t="s">
        <v>593</v>
      </c>
    </row>
    <row r="1543" spans="1:10" x14ac:dyDescent="0.35">
      <c r="A1543" t="s">
        <v>1449</v>
      </c>
      <c r="B1543" t="s">
        <v>591</v>
      </c>
      <c r="C1543" t="s">
        <v>592</v>
      </c>
      <c r="D1543" s="1">
        <v>46224</v>
      </c>
      <c r="E1543">
        <v>0</v>
      </c>
      <c r="F1543" t="s">
        <v>1859</v>
      </c>
      <c r="G1543" s="1">
        <v>46224.775795486108</v>
      </c>
      <c r="H1543" t="s">
        <v>593</v>
      </c>
      <c r="I1543" s="1">
        <v>46224.775795601854</v>
      </c>
      <c r="J1543" t="s">
        <v>593</v>
      </c>
    </row>
    <row r="1544" spans="1:10" x14ac:dyDescent="0.35">
      <c r="A1544" t="s">
        <v>1450</v>
      </c>
      <c r="B1544" t="s">
        <v>591</v>
      </c>
      <c r="C1544" t="s">
        <v>592</v>
      </c>
      <c r="D1544" s="1">
        <v>46224</v>
      </c>
      <c r="E1544">
        <v>0</v>
      </c>
      <c r="F1544" t="s">
        <v>1860</v>
      </c>
      <c r="G1544" s="1">
        <v>46224.775795636575</v>
      </c>
      <c r="H1544" t="s">
        <v>593</v>
      </c>
      <c r="I1544" s="1">
        <v>46224.775795601854</v>
      </c>
      <c r="J1544" t="s">
        <v>593</v>
      </c>
    </row>
    <row r="1545" spans="1:10" x14ac:dyDescent="0.35">
      <c r="A1545" t="s">
        <v>1451</v>
      </c>
      <c r="B1545" t="s">
        <v>591</v>
      </c>
      <c r="C1545" t="s">
        <v>592</v>
      </c>
      <c r="D1545" s="1">
        <v>46224</v>
      </c>
      <c r="E1545">
        <v>0</v>
      </c>
      <c r="F1545" t="s">
        <v>1861</v>
      </c>
      <c r="G1545" s="1">
        <v>46224.77579579861</v>
      </c>
      <c r="H1545" t="s">
        <v>593</v>
      </c>
      <c r="I1545" s="1">
        <v>46224.77579579861</v>
      </c>
      <c r="J1545" t="s">
        <v>593</v>
      </c>
    </row>
    <row r="1546" spans="1:10" x14ac:dyDescent="0.35">
      <c r="A1546" t="s">
        <v>1452</v>
      </c>
      <c r="B1546" t="s">
        <v>591</v>
      </c>
      <c r="C1546" t="s">
        <v>592</v>
      </c>
      <c r="D1546" s="1">
        <v>46224</v>
      </c>
      <c r="E1546">
        <v>0</v>
      </c>
      <c r="F1546" t="s">
        <v>1862</v>
      </c>
      <c r="G1546" s="1">
        <v>46224.775795949077</v>
      </c>
      <c r="H1546" t="s">
        <v>593</v>
      </c>
      <c r="I1546" s="1">
        <v>46224.775795983798</v>
      </c>
      <c r="J1546" t="s">
        <v>593</v>
      </c>
    </row>
    <row r="1547" spans="1:10" x14ac:dyDescent="0.35">
      <c r="A1547" t="s">
        <v>1453</v>
      </c>
      <c r="B1547" t="s">
        <v>591</v>
      </c>
      <c r="C1547" t="s">
        <v>592</v>
      </c>
      <c r="D1547" s="1">
        <v>46224</v>
      </c>
      <c r="E1547">
        <v>0</v>
      </c>
      <c r="F1547" t="s">
        <v>1863</v>
      </c>
      <c r="G1547" s="1">
        <v>46224.775796099537</v>
      </c>
      <c r="H1547" t="s">
        <v>593</v>
      </c>
      <c r="I1547" s="1">
        <v>46224.775796145834</v>
      </c>
      <c r="J1547" t="s">
        <v>593</v>
      </c>
    </row>
    <row r="1548" spans="1:10" x14ac:dyDescent="0.35">
      <c r="A1548" t="s">
        <v>1454</v>
      </c>
      <c r="B1548" t="s">
        <v>591</v>
      </c>
      <c r="C1548" t="s">
        <v>592</v>
      </c>
      <c r="D1548" s="1">
        <v>46224</v>
      </c>
      <c r="E1548">
        <v>0</v>
      </c>
      <c r="F1548" t="s">
        <v>1864</v>
      </c>
      <c r="G1548" s="1">
        <v>46224.775796296293</v>
      </c>
      <c r="H1548" t="s">
        <v>593</v>
      </c>
      <c r="I1548" s="1">
        <v>46224.775796331021</v>
      </c>
      <c r="J1548" t="s">
        <v>593</v>
      </c>
    </row>
    <row r="1549" spans="1:10" x14ac:dyDescent="0.35">
      <c r="A1549" t="s">
        <v>1455</v>
      </c>
      <c r="B1549" t="s">
        <v>591</v>
      </c>
      <c r="C1549" t="s">
        <v>592</v>
      </c>
      <c r="D1549" s="1">
        <v>46224</v>
      </c>
      <c r="E1549">
        <v>0</v>
      </c>
      <c r="F1549" t="s">
        <v>1865</v>
      </c>
      <c r="G1549" s="1">
        <v>46224.775796527778</v>
      </c>
      <c r="H1549" t="s">
        <v>593</v>
      </c>
      <c r="I1549" s="1">
        <v>46224.775796493057</v>
      </c>
      <c r="J1549" t="s">
        <v>593</v>
      </c>
    </row>
    <row r="1550" spans="1:10" x14ac:dyDescent="0.35">
      <c r="A1550" t="s">
        <v>1456</v>
      </c>
      <c r="B1550" t="s">
        <v>591</v>
      </c>
      <c r="C1550" t="s">
        <v>592</v>
      </c>
      <c r="D1550" s="1">
        <v>46224</v>
      </c>
      <c r="E1550">
        <v>0</v>
      </c>
      <c r="F1550" t="s">
        <v>1866</v>
      </c>
      <c r="G1550" s="1">
        <v>46224.775796724534</v>
      </c>
      <c r="H1550" t="s">
        <v>593</v>
      </c>
      <c r="I1550" s="1">
        <v>46224.775796678237</v>
      </c>
      <c r="J1550" t="s">
        <v>593</v>
      </c>
    </row>
    <row r="1551" spans="1:10" x14ac:dyDescent="0.35">
      <c r="A1551" t="s">
        <v>1457</v>
      </c>
      <c r="B1551" t="s">
        <v>591</v>
      </c>
      <c r="C1551" t="s">
        <v>592</v>
      </c>
      <c r="D1551" s="1">
        <v>46224</v>
      </c>
      <c r="E1551">
        <v>0</v>
      </c>
      <c r="F1551" t="s">
        <v>1867</v>
      </c>
      <c r="G1551" s="1">
        <v>46224.775796875001</v>
      </c>
      <c r="H1551" t="s">
        <v>593</v>
      </c>
      <c r="I1551" s="1">
        <v>46224.775796875001</v>
      </c>
      <c r="J1551" t="s">
        <v>593</v>
      </c>
    </row>
    <row r="1552" spans="1:10" x14ac:dyDescent="0.35">
      <c r="A1552" t="s">
        <v>1458</v>
      </c>
      <c r="B1552" t="s">
        <v>591</v>
      </c>
      <c r="C1552" t="s">
        <v>592</v>
      </c>
      <c r="D1552" s="1">
        <v>46224</v>
      </c>
      <c r="E1552">
        <v>0</v>
      </c>
      <c r="F1552" t="s">
        <v>1868</v>
      </c>
      <c r="G1552" s="1">
        <v>46224.775797025461</v>
      </c>
      <c r="H1552" t="s">
        <v>593</v>
      </c>
      <c r="I1552" s="1">
        <v>46224.775797071758</v>
      </c>
      <c r="J1552" t="s">
        <v>593</v>
      </c>
    </row>
    <row r="1553" spans="1:10" x14ac:dyDescent="0.35">
      <c r="A1553" t="s">
        <v>1459</v>
      </c>
      <c r="B1553" t="s">
        <v>591</v>
      </c>
      <c r="C1553" t="s">
        <v>592</v>
      </c>
      <c r="D1553" s="1">
        <v>46224</v>
      </c>
      <c r="E1553">
        <v>0</v>
      </c>
      <c r="F1553" t="s">
        <v>1869</v>
      </c>
      <c r="G1553" s="1">
        <v>46224.775797187503</v>
      </c>
      <c r="H1553" t="s">
        <v>593</v>
      </c>
      <c r="I1553" s="1">
        <v>46224.775797222224</v>
      </c>
      <c r="J1553" t="s">
        <v>593</v>
      </c>
    </row>
    <row r="1554" spans="1:10" x14ac:dyDescent="0.35">
      <c r="A1554" t="s">
        <v>1460</v>
      </c>
      <c r="B1554" t="s">
        <v>591</v>
      </c>
      <c r="C1554" t="s">
        <v>592</v>
      </c>
      <c r="D1554" s="1">
        <v>46224</v>
      </c>
      <c r="E1554">
        <v>0</v>
      </c>
      <c r="F1554" t="s">
        <v>1870</v>
      </c>
      <c r="G1554" s="1">
        <v>46224.775797337963</v>
      </c>
      <c r="H1554" t="s">
        <v>593</v>
      </c>
      <c r="I1554" s="1">
        <v>46224.775797418981</v>
      </c>
      <c r="J1554" t="s">
        <v>593</v>
      </c>
    </row>
    <row r="1555" spans="1:10" x14ac:dyDescent="0.35">
      <c r="A1555" t="s">
        <v>1461</v>
      </c>
      <c r="B1555" t="s">
        <v>591</v>
      </c>
      <c r="C1555" t="s">
        <v>592</v>
      </c>
      <c r="D1555" s="1">
        <v>46224</v>
      </c>
      <c r="E1555">
        <v>0</v>
      </c>
      <c r="F1555" t="s">
        <v>1871</v>
      </c>
      <c r="G1555" s="1">
        <v>46224.775797534719</v>
      </c>
      <c r="H1555" t="s">
        <v>593</v>
      </c>
      <c r="I1555" s="1">
        <v>46224.775797604168</v>
      </c>
      <c r="J1555" t="s">
        <v>593</v>
      </c>
    </row>
    <row r="1556" spans="1:10" x14ac:dyDescent="0.35">
      <c r="A1556" t="s">
        <v>1462</v>
      </c>
      <c r="B1556" t="s">
        <v>591</v>
      </c>
      <c r="C1556" t="s">
        <v>592</v>
      </c>
      <c r="D1556" s="1">
        <v>46224</v>
      </c>
      <c r="E1556">
        <v>0</v>
      </c>
      <c r="F1556" t="s">
        <v>1872</v>
      </c>
      <c r="G1556" s="1">
        <v>46224.775797719907</v>
      </c>
      <c r="H1556" t="s">
        <v>593</v>
      </c>
      <c r="I1556" s="1">
        <v>46224.775797766204</v>
      </c>
      <c r="J1556" t="s">
        <v>593</v>
      </c>
    </row>
    <row r="1557" spans="1:10" x14ac:dyDescent="0.35">
      <c r="A1557" t="s">
        <v>1463</v>
      </c>
      <c r="B1557" t="s">
        <v>591</v>
      </c>
      <c r="C1557" t="s">
        <v>592</v>
      </c>
      <c r="D1557" s="1">
        <v>46224</v>
      </c>
      <c r="E1557">
        <v>0</v>
      </c>
      <c r="F1557" t="s">
        <v>1873</v>
      </c>
      <c r="G1557" s="1">
        <v>46224.775797881943</v>
      </c>
      <c r="H1557" t="s">
        <v>593</v>
      </c>
      <c r="I1557" s="1">
        <v>46224.775797951392</v>
      </c>
      <c r="J1557" t="s">
        <v>593</v>
      </c>
    </row>
    <row r="1558" spans="1:10" x14ac:dyDescent="0.35">
      <c r="A1558" t="s">
        <v>1464</v>
      </c>
      <c r="B1558" t="s">
        <v>591</v>
      </c>
      <c r="C1558" t="s">
        <v>592</v>
      </c>
      <c r="D1558" s="1">
        <v>46224</v>
      </c>
      <c r="E1558">
        <v>0</v>
      </c>
      <c r="F1558" t="s">
        <v>1874</v>
      </c>
      <c r="G1558" s="1">
        <v>46224.77579803241</v>
      </c>
      <c r="H1558" t="s">
        <v>593</v>
      </c>
      <c r="I1558" s="1">
        <v>46224.775798148148</v>
      </c>
      <c r="J1558" t="s">
        <v>593</v>
      </c>
    </row>
    <row r="1559" spans="1:10" x14ac:dyDescent="0.35">
      <c r="A1559" t="s">
        <v>1465</v>
      </c>
      <c r="B1559" t="s">
        <v>591</v>
      </c>
      <c r="C1559" t="s">
        <v>592</v>
      </c>
      <c r="D1559" s="1">
        <v>46224</v>
      </c>
      <c r="E1559">
        <v>0</v>
      </c>
      <c r="F1559" t="s">
        <v>1875</v>
      </c>
      <c r="G1559" s="1">
        <v>46224.775798229166</v>
      </c>
      <c r="H1559" t="s">
        <v>593</v>
      </c>
      <c r="I1559" s="1">
        <v>46224.775798344905</v>
      </c>
      <c r="J1559" t="s">
        <v>593</v>
      </c>
    </row>
    <row r="1560" spans="1:10" x14ac:dyDescent="0.35">
      <c r="A1560" t="s">
        <v>1466</v>
      </c>
      <c r="B1560" t="s">
        <v>591</v>
      </c>
      <c r="C1560" t="s">
        <v>592</v>
      </c>
      <c r="D1560" s="1">
        <v>46224</v>
      </c>
      <c r="E1560">
        <v>0</v>
      </c>
      <c r="F1560" t="s">
        <v>1876</v>
      </c>
      <c r="G1560" s="1">
        <v>46224.775798379633</v>
      </c>
      <c r="H1560" t="s">
        <v>593</v>
      </c>
      <c r="I1560" s="1">
        <v>46224.775798344905</v>
      </c>
      <c r="J1560" t="s">
        <v>593</v>
      </c>
    </row>
    <row r="1561" spans="1:10" x14ac:dyDescent="0.35">
      <c r="A1561" t="s">
        <v>1467</v>
      </c>
      <c r="B1561" t="s">
        <v>591</v>
      </c>
      <c r="C1561" t="s">
        <v>592</v>
      </c>
      <c r="D1561" s="1">
        <v>46224</v>
      </c>
      <c r="E1561">
        <v>0</v>
      </c>
      <c r="F1561" t="s">
        <v>1877</v>
      </c>
      <c r="G1561" s="1">
        <v>46224.77579861111</v>
      </c>
      <c r="H1561" t="s">
        <v>593</v>
      </c>
      <c r="I1561" s="1">
        <v>46224.775798692128</v>
      </c>
      <c r="J1561" t="s">
        <v>593</v>
      </c>
    </row>
    <row r="1562" spans="1:10" x14ac:dyDescent="0.35">
      <c r="A1562" t="s">
        <v>1468</v>
      </c>
      <c r="B1562" t="s">
        <v>591</v>
      </c>
      <c r="C1562" t="s">
        <v>592</v>
      </c>
      <c r="D1562" s="1">
        <v>46224</v>
      </c>
      <c r="E1562">
        <v>0</v>
      </c>
      <c r="F1562" t="s">
        <v>1878</v>
      </c>
      <c r="G1562" s="1">
        <v>46224.775798761577</v>
      </c>
      <c r="H1562" t="s">
        <v>593</v>
      </c>
      <c r="I1562" s="1">
        <v>46224.775798877316</v>
      </c>
      <c r="J1562" t="s">
        <v>593</v>
      </c>
    </row>
    <row r="1563" spans="1:10" x14ac:dyDescent="0.35">
      <c r="A1563" t="s">
        <v>1469</v>
      </c>
      <c r="B1563" t="s">
        <v>591</v>
      </c>
      <c r="C1563" t="s">
        <v>592</v>
      </c>
      <c r="D1563" s="1">
        <v>46224</v>
      </c>
      <c r="E1563">
        <v>0</v>
      </c>
      <c r="F1563" t="s">
        <v>1879</v>
      </c>
      <c r="G1563" s="1">
        <v>46224.775798923612</v>
      </c>
      <c r="H1563" t="s">
        <v>593</v>
      </c>
      <c r="I1563" s="1">
        <v>46224.775799039351</v>
      </c>
      <c r="J1563" t="s">
        <v>593</v>
      </c>
    </row>
    <row r="1564" spans="1:10" x14ac:dyDescent="0.35">
      <c r="A1564" t="s">
        <v>1470</v>
      </c>
      <c r="B1564" t="s">
        <v>591</v>
      </c>
      <c r="C1564" t="s">
        <v>592</v>
      </c>
      <c r="D1564" s="1">
        <v>46224</v>
      </c>
      <c r="E1564">
        <v>0</v>
      </c>
      <c r="F1564" t="s">
        <v>1880</v>
      </c>
      <c r="G1564" s="1">
        <v>46224.775799074072</v>
      </c>
      <c r="H1564" t="s">
        <v>593</v>
      </c>
      <c r="I1564" s="1">
        <v>46224.775799039351</v>
      </c>
      <c r="J1564" t="s">
        <v>593</v>
      </c>
    </row>
    <row r="1565" spans="1:10" x14ac:dyDescent="0.35">
      <c r="A1565" t="s">
        <v>1471</v>
      </c>
      <c r="B1565" t="s">
        <v>591</v>
      </c>
      <c r="C1565" t="s">
        <v>592</v>
      </c>
      <c r="D1565" s="1">
        <v>46224</v>
      </c>
      <c r="E1565">
        <v>0</v>
      </c>
      <c r="F1565" t="s">
        <v>1881</v>
      </c>
      <c r="G1565" s="1">
        <v>46224.775799270836</v>
      </c>
      <c r="H1565" t="s">
        <v>593</v>
      </c>
      <c r="I1565" s="1">
        <v>46224.775799224539</v>
      </c>
      <c r="J1565" t="s">
        <v>593</v>
      </c>
    </row>
    <row r="1566" spans="1:10" x14ac:dyDescent="0.35">
      <c r="A1566" t="s">
        <v>1472</v>
      </c>
      <c r="B1566" t="s">
        <v>591</v>
      </c>
      <c r="C1566" t="s">
        <v>592</v>
      </c>
      <c r="D1566" s="1">
        <v>46224</v>
      </c>
      <c r="E1566">
        <v>0</v>
      </c>
      <c r="F1566" t="s">
        <v>1882</v>
      </c>
      <c r="G1566" s="1">
        <v>46224.775799456016</v>
      </c>
      <c r="H1566" t="s">
        <v>593</v>
      </c>
      <c r="I1566" s="1">
        <v>46224.775799618059</v>
      </c>
      <c r="J1566" t="s">
        <v>593</v>
      </c>
    </row>
    <row r="1567" spans="1:10" x14ac:dyDescent="0.35">
      <c r="A1567" t="s">
        <v>1473</v>
      </c>
      <c r="B1567" t="s">
        <v>591</v>
      </c>
      <c r="C1567" t="s">
        <v>592</v>
      </c>
      <c r="D1567" s="1">
        <v>46224</v>
      </c>
      <c r="E1567">
        <v>0</v>
      </c>
      <c r="F1567" t="s">
        <v>1883</v>
      </c>
      <c r="G1567" s="1">
        <v>46224.77579965278</v>
      </c>
      <c r="H1567" t="s">
        <v>593</v>
      </c>
      <c r="I1567" s="1">
        <v>46224.775799768518</v>
      </c>
      <c r="J1567" t="s">
        <v>593</v>
      </c>
    </row>
    <row r="1568" spans="1:10" x14ac:dyDescent="0.35">
      <c r="A1568" t="s">
        <v>1474</v>
      </c>
      <c r="B1568" t="s">
        <v>591</v>
      </c>
      <c r="C1568" t="s">
        <v>592</v>
      </c>
      <c r="D1568" s="1">
        <v>46224</v>
      </c>
      <c r="E1568">
        <v>0</v>
      </c>
      <c r="F1568" t="s">
        <v>1884</v>
      </c>
      <c r="G1568" s="1">
        <v>46224.775799849536</v>
      </c>
      <c r="H1568" t="s">
        <v>593</v>
      </c>
      <c r="I1568" s="1">
        <v>46224.775799965275</v>
      </c>
      <c r="J1568" t="s">
        <v>593</v>
      </c>
    </row>
    <row r="1569" spans="1:10" x14ac:dyDescent="0.35">
      <c r="A1569" t="s">
        <v>1475</v>
      </c>
      <c r="B1569" t="s">
        <v>591</v>
      </c>
      <c r="C1569" t="s">
        <v>592</v>
      </c>
      <c r="D1569" s="1">
        <v>46224</v>
      </c>
      <c r="E1569">
        <v>0</v>
      </c>
      <c r="F1569" t="s">
        <v>1885</v>
      </c>
      <c r="G1569" s="1">
        <v>46224.775800034724</v>
      </c>
      <c r="H1569" t="s">
        <v>593</v>
      </c>
      <c r="I1569" s="1">
        <v>46224.775800115742</v>
      </c>
      <c r="J1569" t="s">
        <v>593</v>
      </c>
    </row>
    <row r="1570" spans="1:10" x14ac:dyDescent="0.35">
      <c r="A1570" t="s">
        <v>1476</v>
      </c>
      <c r="B1570" t="s">
        <v>591</v>
      </c>
      <c r="C1570" t="s">
        <v>592</v>
      </c>
      <c r="D1570" s="1">
        <v>46224</v>
      </c>
      <c r="E1570">
        <v>0</v>
      </c>
      <c r="F1570" t="s">
        <v>1886</v>
      </c>
      <c r="G1570" s="1">
        <v>46224.77580023148</v>
      </c>
      <c r="H1570" t="s">
        <v>593</v>
      </c>
      <c r="I1570" s="1">
        <v>46224.775800312498</v>
      </c>
      <c r="J1570" t="s">
        <v>593</v>
      </c>
    </row>
    <row r="1571" spans="1:10" x14ac:dyDescent="0.35">
      <c r="A1571" t="s">
        <v>1477</v>
      </c>
      <c r="B1571" t="s">
        <v>591</v>
      </c>
      <c r="C1571" t="s">
        <v>592</v>
      </c>
      <c r="D1571" s="1">
        <v>46224</v>
      </c>
      <c r="E1571">
        <v>0</v>
      </c>
      <c r="F1571" t="s">
        <v>1887</v>
      </c>
      <c r="G1571" s="1">
        <v>46224.775800428244</v>
      </c>
      <c r="H1571" t="s">
        <v>593</v>
      </c>
      <c r="I1571" s="1">
        <v>46224.775800543983</v>
      </c>
      <c r="J1571" t="s">
        <v>593</v>
      </c>
    </row>
    <row r="1572" spans="1:10" x14ac:dyDescent="0.35">
      <c r="A1572" t="s">
        <v>1478</v>
      </c>
      <c r="B1572" t="s">
        <v>591</v>
      </c>
      <c r="C1572" t="s">
        <v>592</v>
      </c>
      <c r="D1572" s="1">
        <v>46224</v>
      </c>
      <c r="E1572">
        <v>0</v>
      </c>
      <c r="F1572" t="s">
        <v>1888</v>
      </c>
      <c r="G1572" s="1">
        <v>46224.775800613425</v>
      </c>
      <c r="H1572" t="s">
        <v>593</v>
      </c>
      <c r="I1572" s="1">
        <v>46224.775800694442</v>
      </c>
      <c r="J1572" t="s">
        <v>593</v>
      </c>
    </row>
    <row r="1573" spans="1:10" x14ac:dyDescent="0.35">
      <c r="A1573" t="s">
        <v>1479</v>
      </c>
      <c r="B1573" t="s">
        <v>591</v>
      </c>
      <c r="C1573" t="s">
        <v>592</v>
      </c>
      <c r="D1573" s="1">
        <v>46224</v>
      </c>
      <c r="E1573">
        <v>0</v>
      </c>
      <c r="F1573" t="s">
        <v>1889</v>
      </c>
      <c r="G1573" s="1">
        <v>46224.77580077546</v>
      </c>
      <c r="H1573" t="s">
        <v>593</v>
      </c>
      <c r="I1573" s="1">
        <v>46224.775800891206</v>
      </c>
      <c r="J1573" t="s">
        <v>593</v>
      </c>
    </row>
    <row r="1574" spans="1:10" x14ac:dyDescent="0.35">
      <c r="A1574" t="s">
        <v>1480</v>
      </c>
      <c r="B1574" t="s">
        <v>591</v>
      </c>
      <c r="C1574" t="s">
        <v>592</v>
      </c>
      <c r="D1574" s="1">
        <v>46224</v>
      </c>
      <c r="E1574">
        <v>0</v>
      </c>
      <c r="F1574" t="s">
        <v>1890</v>
      </c>
      <c r="G1574" s="1">
        <v>46224.775800925927</v>
      </c>
      <c r="H1574" t="s">
        <v>593</v>
      </c>
      <c r="I1574" s="1">
        <v>46224.775800925927</v>
      </c>
      <c r="J1574" t="s">
        <v>593</v>
      </c>
    </row>
    <row r="1575" spans="1:10" x14ac:dyDescent="0.35">
      <c r="A1575" t="s">
        <v>5716</v>
      </c>
      <c r="B1575" t="s">
        <v>591</v>
      </c>
      <c r="C1575" t="s">
        <v>592</v>
      </c>
      <c r="D1575" s="1">
        <v>46224</v>
      </c>
      <c r="E1575">
        <v>0</v>
      </c>
      <c r="F1575" t="s">
        <v>5717</v>
      </c>
      <c r="G1575" s="1">
        <v>46224.775801076386</v>
      </c>
      <c r="H1575" t="s">
        <v>593</v>
      </c>
      <c r="I1575" s="1">
        <v>46224.775801076386</v>
      </c>
      <c r="J1575" t="s">
        <v>593</v>
      </c>
    </row>
    <row r="1576" spans="1:10" x14ac:dyDescent="0.35">
      <c r="A1576" t="s">
        <v>1481</v>
      </c>
      <c r="B1576" t="s">
        <v>591</v>
      </c>
      <c r="C1576" t="s">
        <v>592</v>
      </c>
      <c r="D1576" s="1">
        <v>46224</v>
      </c>
      <c r="E1576">
        <v>0</v>
      </c>
      <c r="F1576" t="s">
        <v>1891</v>
      </c>
      <c r="G1576" s="1">
        <v>46224.775801238429</v>
      </c>
      <c r="H1576" t="s">
        <v>593</v>
      </c>
      <c r="I1576" s="1">
        <v>46224.77580127315</v>
      </c>
      <c r="J1576" t="s">
        <v>593</v>
      </c>
    </row>
    <row r="1577" spans="1:10" x14ac:dyDescent="0.35">
      <c r="A1577" t="s">
        <v>1482</v>
      </c>
      <c r="B1577" t="s">
        <v>591</v>
      </c>
      <c r="C1577" t="s">
        <v>592</v>
      </c>
      <c r="D1577" s="1">
        <v>46224</v>
      </c>
      <c r="E1577">
        <v>0</v>
      </c>
      <c r="F1577" t="s">
        <v>1892</v>
      </c>
      <c r="G1577" s="1">
        <v>46224.775801388889</v>
      </c>
      <c r="H1577" t="s">
        <v>593</v>
      </c>
      <c r="I1577" s="1">
        <v>46224.775801469907</v>
      </c>
      <c r="J1577" t="s">
        <v>593</v>
      </c>
    </row>
    <row r="1578" spans="1:10" x14ac:dyDescent="0.35">
      <c r="A1578" t="s">
        <v>1483</v>
      </c>
      <c r="B1578" t="s">
        <v>591</v>
      </c>
      <c r="C1578" t="s">
        <v>592</v>
      </c>
      <c r="D1578" s="1">
        <v>46224</v>
      </c>
      <c r="E1578">
        <v>0</v>
      </c>
      <c r="F1578" t="s">
        <v>1893</v>
      </c>
      <c r="G1578" s="1">
        <v>46224.775801539348</v>
      </c>
      <c r="H1578" t="s">
        <v>593</v>
      </c>
      <c r="I1578" s="1">
        <v>46224.775801620373</v>
      </c>
      <c r="J1578" t="s">
        <v>593</v>
      </c>
    </row>
    <row r="1579" spans="1:10" x14ac:dyDescent="0.35">
      <c r="A1579" t="s">
        <v>1484</v>
      </c>
      <c r="B1579" t="s">
        <v>591</v>
      </c>
      <c r="C1579" t="s">
        <v>592</v>
      </c>
      <c r="D1579" s="1">
        <v>46224</v>
      </c>
      <c r="E1579">
        <v>0</v>
      </c>
      <c r="F1579" t="s">
        <v>1894</v>
      </c>
      <c r="G1579" s="1">
        <v>46224.775801701391</v>
      </c>
      <c r="H1579" t="s">
        <v>593</v>
      </c>
      <c r="I1579" s="1">
        <v>46224.77580181713</v>
      </c>
      <c r="J1579" t="s">
        <v>593</v>
      </c>
    </row>
    <row r="1580" spans="1:10" x14ac:dyDescent="0.35">
      <c r="A1580" t="s">
        <v>1485</v>
      </c>
      <c r="B1580" t="s">
        <v>591</v>
      </c>
      <c r="C1580" t="s">
        <v>592</v>
      </c>
      <c r="D1580" s="1">
        <v>46224</v>
      </c>
      <c r="E1580">
        <v>0</v>
      </c>
      <c r="F1580" t="s">
        <v>1895</v>
      </c>
      <c r="G1580" s="1">
        <v>46224.775801851851</v>
      </c>
      <c r="H1580" t="s">
        <v>593</v>
      </c>
      <c r="I1580" s="1">
        <v>46224.775801967589</v>
      </c>
      <c r="J1580" t="s">
        <v>593</v>
      </c>
    </row>
    <row r="1581" spans="1:10" x14ac:dyDescent="0.35">
      <c r="A1581" t="s">
        <v>1486</v>
      </c>
      <c r="B1581" t="s">
        <v>591</v>
      </c>
      <c r="C1581" t="s">
        <v>592</v>
      </c>
      <c r="D1581" s="1">
        <v>46224</v>
      </c>
      <c r="E1581">
        <v>0</v>
      </c>
      <c r="F1581" t="s">
        <v>1896</v>
      </c>
      <c r="G1581" s="1">
        <v>46224.775802002318</v>
      </c>
      <c r="H1581" t="s">
        <v>593</v>
      </c>
      <c r="I1581" s="1">
        <v>46224.775802002318</v>
      </c>
      <c r="J1581" t="s">
        <v>593</v>
      </c>
    </row>
    <row r="1582" spans="1:10" x14ac:dyDescent="0.35">
      <c r="A1582" t="s">
        <v>1487</v>
      </c>
      <c r="B1582" t="s">
        <v>591</v>
      </c>
      <c r="C1582" t="s">
        <v>592</v>
      </c>
      <c r="D1582" s="1">
        <v>46224</v>
      </c>
      <c r="E1582">
        <v>0</v>
      </c>
      <c r="F1582" t="s">
        <v>1897</v>
      </c>
      <c r="G1582" s="1">
        <v>46224.775802164353</v>
      </c>
      <c r="H1582" t="s">
        <v>593</v>
      </c>
      <c r="I1582" s="1">
        <v>46224.775802199074</v>
      </c>
      <c r="J1582" t="s">
        <v>593</v>
      </c>
    </row>
    <row r="1583" spans="1:10" x14ac:dyDescent="0.35">
      <c r="A1583" t="s">
        <v>1488</v>
      </c>
      <c r="B1583" t="s">
        <v>591</v>
      </c>
      <c r="C1583" t="s">
        <v>592</v>
      </c>
      <c r="D1583" s="1">
        <v>46224</v>
      </c>
      <c r="E1583">
        <v>0</v>
      </c>
      <c r="F1583" t="s">
        <v>1898</v>
      </c>
      <c r="G1583" s="1">
        <v>46224.775802314813</v>
      </c>
      <c r="H1583" t="s">
        <v>593</v>
      </c>
      <c r="I1583" s="1">
        <v>46224.775802349533</v>
      </c>
      <c r="J1583" t="s">
        <v>593</v>
      </c>
    </row>
    <row r="1584" spans="1:10" x14ac:dyDescent="0.35">
      <c r="A1584" t="s">
        <v>1489</v>
      </c>
      <c r="B1584" t="s">
        <v>591</v>
      </c>
      <c r="C1584" t="s">
        <v>592</v>
      </c>
      <c r="D1584" s="1">
        <v>46224</v>
      </c>
      <c r="E1584">
        <v>0</v>
      </c>
      <c r="F1584" t="s">
        <v>1899</v>
      </c>
      <c r="G1584" s="1">
        <v>46224.775802430559</v>
      </c>
      <c r="H1584" t="s">
        <v>593</v>
      </c>
      <c r="I1584" s="1">
        <v>46224.775802546297</v>
      </c>
      <c r="J1584" t="s">
        <v>593</v>
      </c>
    </row>
    <row r="1585" spans="1:10" x14ac:dyDescent="0.35">
      <c r="A1585" t="s">
        <v>1490</v>
      </c>
      <c r="B1585" t="s">
        <v>591</v>
      </c>
      <c r="C1585" t="s">
        <v>592</v>
      </c>
      <c r="D1585" s="1">
        <v>46224</v>
      </c>
      <c r="E1585">
        <v>0</v>
      </c>
      <c r="F1585" t="s">
        <v>1900</v>
      </c>
      <c r="G1585" s="1">
        <v>46224.775802581018</v>
      </c>
      <c r="H1585" t="s">
        <v>593</v>
      </c>
      <c r="I1585" s="1">
        <v>46224.775802743054</v>
      </c>
      <c r="J1585" t="s">
        <v>593</v>
      </c>
    </row>
    <row r="1586" spans="1:10" x14ac:dyDescent="0.35">
      <c r="A1586" t="s">
        <v>1491</v>
      </c>
      <c r="B1586" t="s">
        <v>591</v>
      </c>
      <c r="C1586" t="s">
        <v>592</v>
      </c>
      <c r="D1586" s="1">
        <v>46224</v>
      </c>
      <c r="E1586">
        <v>0</v>
      </c>
      <c r="F1586" t="s">
        <v>1901</v>
      </c>
      <c r="G1586" s="1">
        <v>46224.775802777775</v>
      </c>
      <c r="H1586" t="s">
        <v>593</v>
      </c>
      <c r="I1586" s="1">
        <v>46224.775802743054</v>
      </c>
      <c r="J1586" t="s">
        <v>593</v>
      </c>
    </row>
    <row r="1587" spans="1:10" x14ac:dyDescent="0.35">
      <c r="A1587" t="s">
        <v>1492</v>
      </c>
      <c r="B1587" t="s">
        <v>591</v>
      </c>
      <c r="C1587" t="s">
        <v>592</v>
      </c>
      <c r="D1587" s="1">
        <v>46224</v>
      </c>
      <c r="E1587">
        <v>0</v>
      </c>
      <c r="F1587" t="s">
        <v>1902</v>
      </c>
      <c r="G1587" s="1">
        <v>46224.775802928241</v>
      </c>
      <c r="H1587" t="s">
        <v>593</v>
      </c>
      <c r="I1587" s="1">
        <v>46224.77580289352</v>
      </c>
      <c r="J1587" t="s">
        <v>593</v>
      </c>
    </row>
    <row r="1588" spans="1:10" x14ac:dyDescent="0.35">
      <c r="A1588" t="s">
        <v>1493</v>
      </c>
      <c r="B1588" t="s">
        <v>591</v>
      </c>
      <c r="C1588" t="s">
        <v>592</v>
      </c>
      <c r="D1588" s="1">
        <v>46224</v>
      </c>
      <c r="E1588">
        <v>0</v>
      </c>
      <c r="F1588" t="s">
        <v>1903</v>
      </c>
      <c r="G1588" s="1">
        <v>46224.775803090277</v>
      </c>
      <c r="H1588" t="s">
        <v>593</v>
      </c>
      <c r="I1588" s="1">
        <v>46224.775803090277</v>
      </c>
      <c r="J1588" t="s">
        <v>593</v>
      </c>
    </row>
    <row r="1589" spans="1:10" x14ac:dyDescent="0.35">
      <c r="A1589" t="s">
        <v>1494</v>
      </c>
      <c r="B1589" t="s">
        <v>591</v>
      </c>
      <c r="C1589" t="s">
        <v>592</v>
      </c>
      <c r="D1589" s="1">
        <v>46224</v>
      </c>
      <c r="E1589">
        <v>0</v>
      </c>
      <c r="F1589" t="s">
        <v>1904</v>
      </c>
      <c r="G1589" s="1">
        <v>46224.775803240744</v>
      </c>
      <c r="H1589" t="s">
        <v>593</v>
      </c>
      <c r="I1589" s="1">
        <v>46224.775803275465</v>
      </c>
      <c r="J1589" t="s">
        <v>593</v>
      </c>
    </row>
    <row r="1590" spans="1:10" x14ac:dyDescent="0.35">
      <c r="A1590" t="s">
        <v>1495</v>
      </c>
      <c r="B1590" t="s">
        <v>591</v>
      </c>
      <c r="C1590" t="s">
        <v>592</v>
      </c>
      <c r="D1590" s="1">
        <v>46224</v>
      </c>
      <c r="E1590">
        <v>0</v>
      </c>
      <c r="F1590" t="s">
        <v>1905</v>
      </c>
      <c r="G1590" s="1">
        <v>46224.775803356482</v>
      </c>
      <c r="H1590" t="s">
        <v>593</v>
      </c>
      <c r="I1590" s="1">
        <v>46224.7758034375</v>
      </c>
      <c r="J1590" t="s">
        <v>593</v>
      </c>
    </row>
    <row r="1591" spans="1:10" x14ac:dyDescent="0.35">
      <c r="A1591" t="s">
        <v>1496</v>
      </c>
      <c r="B1591" t="s">
        <v>591</v>
      </c>
      <c r="C1591" t="s">
        <v>592</v>
      </c>
      <c r="D1591" s="1">
        <v>46224</v>
      </c>
      <c r="E1591">
        <v>0</v>
      </c>
      <c r="F1591" t="s">
        <v>1906</v>
      </c>
      <c r="G1591" s="1">
        <v>46224.775803506942</v>
      </c>
      <c r="H1591" t="s">
        <v>593</v>
      </c>
      <c r="I1591" s="1">
        <v>46224.775803622688</v>
      </c>
      <c r="J1591" t="s">
        <v>593</v>
      </c>
    </row>
    <row r="1592" spans="1:10" x14ac:dyDescent="0.35">
      <c r="A1592" t="s">
        <v>1497</v>
      </c>
      <c r="B1592" t="s">
        <v>591</v>
      </c>
      <c r="C1592" t="s">
        <v>592</v>
      </c>
      <c r="D1592" s="1">
        <v>46224</v>
      </c>
      <c r="E1592">
        <v>0</v>
      </c>
      <c r="F1592" t="s">
        <v>1907</v>
      </c>
      <c r="G1592" s="1">
        <v>46224.775803703706</v>
      </c>
      <c r="H1592" t="s">
        <v>593</v>
      </c>
      <c r="I1592" s="1">
        <v>46224.775803819444</v>
      </c>
      <c r="J1592" t="s">
        <v>593</v>
      </c>
    </row>
    <row r="1593" spans="1:10" x14ac:dyDescent="0.35">
      <c r="A1593" t="s">
        <v>1498</v>
      </c>
      <c r="B1593" t="s">
        <v>591</v>
      </c>
      <c r="C1593" t="s">
        <v>592</v>
      </c>
      <c r="D1593" s="1">
        <v>46224</v>
      </c>
      <c r="E1593">
        <v>0</v>
      </c>
      <c r="F1593" t="s">
        <v>1908</v>
      </c>
      <c r="G1593" s="1">
        <v>46224.775803854165</v>
      </c>
      <c r="H1593" t="s">
        <v>593</v>
      </c>
      <c r="I1593" s="1">
        <v>46224.775803819444</v>
      </c>
      <c r="J1593" t="s">
        <v>593</v>
      </c>
    </row>
    <row r="1594" spans="1:10" x14ac:dyDescent="0.35">
      <c r="A1594" t="s">
        <v>1499</v>
      </c>
      <c r="B1594" t="s">
        <v>591</v>
      </c>
      <c r="C1594" t="s">
        <v>592</v>
      </c>
      <c r="D1594" s="1">
        <v>46224</v>
      </c>
      <c r="E1594">
        <v>0</v>
      </c>
      <c r="F1594" t="s">
        <v>1909</v>
      </c>
      <c r="G1594" s="1">
        <v>46224.775804016201</v>
      </c>
      <c r="H1594" t="s">
        <v>593</v>
      </c>
      <c r="I1594" s="1">
        <v>46224.775804016201</v>
      </c>
      <c r="J1594" t="s">
        <v>593</v>
      </c>
    </row>
    <row r="1595" spans="1:10" x14ac:dyDescent="0.35">
      <c r="A1595" t="s">
        <v>1500</v>
      </c>
      <c r="B1595" t="s">
        <v>591</v>
      </c>
      <c r="C1595" t="s">
        <v>592</v>
      </c>
      <c r="D1595" s="1">
        <v>46224</v>
      </c>
      <c r="E1595">
        <v>0</v>
      </c>
      <c r="F1595" t="s">
        <v>1910</v>
      </c>
      <c r="G1595" s="1">
        <v>46224.775804166668</v>
      </c>
      <c r="H1595" t="s">
        <v>593</v>
      </c>
      <c r="I1595" s="1">
        <v>46224.775804166668</v>
      </c>
      <c r="J1595" t="s">
        <v>593</v>
      </c>
    </row>
    <row r="1596" spans="1:10" x14ac:dyDescent="0.35">
      <c r="A1596" t="s">
        <v>1501</v>
      </c>
      <c r="B1596" t="s">
        <v>591</v>
      </c>
      <c r="C1596" t="s">
        <v>592</v>
      </c>
      <c r="D1596" s="1">
        <v>46224</v>
      </c>
      <c r="E1596">
        <v>0</v>
      </c>
      <c r="F1596" t="s">
        <v>1911</v>
      </c>
      <c r="G1596" s="1">
        <v>46224.775804317127</v>
      </c>
      <c r="H1596" t="s">
        <v>593</v>
      </c>
      <c r="I1596" s="1">
        <v>46224.775804363424</v>
      </c>
      <c r="J1596" t="s">
        <v>593</v>
      </c>
    </row>
    <row r="1597" spans="1:10" x14ac:dyDescent="0.35">
      <c r="A1597" t="s">
        <v>1502</v>
      </c>
      <c r="B1597" t="s">
        <v>591</v>
      </c>
      <c r="C1597" t="s">
        <v>592</v>
      </c>
      <c r="D1597" s="1">
        <v>46224</v>
      </c>
      <c r="E1597">
        <v>0</v>
      </c>
      <c r="F1597" t="s">
        <v>1912</v>
      </c>
      <c r="G1597" s="1">
        <v>46224.77580447917</v>
      </c>
      <c r="H1597" t="s">
        <v>593</v>
      </c>
      <c r="I1597" s="1">
        <v>46224.775804548612</v>
      </c>
      <c r="J1597" t="s">
        <v>593</v>
      </c>
    </row>
    <row r="1598" spans="1:10" x14ac:dyDescent="0.35">
      <c r="A1598" t="s">
        <v>1503</v>
      </c>
      <c r="B1598" t="s">
        <v>591</v>
      </c>
      <c r="C1598" t="s">
        <v>592</v>
      </c>
      <c r="D1598" s="1">
        <v>46224</v>
      </c>
      <c r="E1598">
        <v>0</v>
      </c>
      <c r="F1598" t="s">
        <v>1913</v>
      </c>
      <c r="G1598" s="1">
        <v>46224.775804629629</v>
      </c>
      <c r="H1598" t="s">
        <v>593</v>
      </c>
      <c r="I1598" s="1">
        <v>46224.775804710647</v>
      </c>
      <c r="J1598" t="s">
        <v>593</v>
      </c>
    </row>
    <row r="1599" spans="1:10" x14ac:dyDescent="0.35">
      <c r="A1599" t="s">
        <v>1504</v>
      </c>
      <c r="B1599" t="s">
        <v>591</v>
      </c>
      <c r="C1599" t="s">
        <v>592</v>
      </c>
      <c r="D1599" s="1">
        <v>46224</v>
      </c>
      <c r="E1599">
        <v>0</v>
      </c>
      <c r="F1599" t="s">
        <v>1914</v>
      </c>
      <c r="G1599" s="1">
        <v>46224.775804780096</v>
      </c>
      <c r="H1599" t="s">
        <v>593</v>
      </c>
      <c r="I1599" s="1">
        <v>46224.775804710647</v>
      </c>
      <c r="J1599" t="s">
        <v>593</v>
      </c>
    </row>
    <row r="1600" spans="1:10" x14ac:dyDescent="0.35">
      <c r="A1600" t="s">
        <v>1505</v>
      </c>
      <c r="B1600" t="s">
        <v>591</v>
      </c>
      <c r="C1600" t="s">
        <v>592</v>
      </c>
      <c r="D1600" s="1">
        <v>46224</v>
      </c>
      <c r="E1600">
        <v>0</v>
      </c>
      <c r="F1600" t="s">
        <v>1915</v>
      </c>
      <c r="G1600" s="1">
        <v>46224.775804942132</v>
      </c>
      <c r="H1600" t="s">
        <v>593</v>
      </c>
      <c r="I1600" s="1">
        <v>46224.775804895835</v>
      </c>
      <c r="J1600" t="s">
        <v>593</v>
      </c>
    </row>
    <row r="1601" spans="1:10" x14ac:dyDescent="0.35">
      <c r="A1601" t="s">
        <v>1506</v>
      </c>
      <c r="B1601" t="s">
        <v>591</v>
      </c>
      <c r="C1601" t="s">
        <v>592</v>
      </c>
      <c r="D1601" s="1">
        <v>46224</v>
      </c>
      <c r="E1601">
        <v>0</v>
      </c>
      <c r="F1601" t="s">
        <v>1916</v>
      </c>
      <c r="G1601" s="1">
        <v>46224.775805092591</v>
      </c>
      <c r="H1601" t="s">
        <v>593</v>
      </c>
      <c r="I1601" s="1">
        <v>46224.775805092591</v>
      </c>
      <c r="J1601" t="s">
        <v>593</v>
      </c>
    </row>
    <row r="1602" spans="1:10" x14ac:dyDescent="0.35">
      <c r="A1602" t="s">
        <v>1507</v>
      </c>
      <c r="B1602" t="s">
        <v>591</v>
      </c>
      <c r="C1602" t="s">
        <v>592</v>
      </c>
      <c r="D1602" s="1">
        <v>46224</v>
      </c>
      <c r="E1602">
        <v>0</v>
      </c>
      <c r="F1602" t="s">
        <v>1917</v>
      </c>
      <c r="G1602" s="1">
        <v>46224.775805243058</v>
      </c>
      <c r="H1602" t="s">
        <v>593</v>
      </c>
      <c r="I1602" s="1">
        <v>46224.775805243058</v>
      </c>
      <c r="J1602" t="s">
        <v>593</v>
      </c>
    </row>
    <row r="1603" spans="1:10" x14ac:dyDescent="0.35">
      <c r="A1603" t="s">
        <v>1508</v>
      </c>
      <c r="B1603" t="s">
        <v>591</v>
      </c>
      <c r="C1603" t="s">
        <v>592</v>
      </c>
      <c r="D1603" s="1">
        <v>46224</v>
      </c>
      <c r="E1603">
        <v>0</v>
      </c>
      <c r="F1603" t="s">
        <v>1918</v>
      </c>
      <c r="G1603" s="1">
        <v>46224.775805405094</v>
      </c>
      <c r="H1603" t="s">
        <v>593</v>
      </c>
      <c r="I1603" s="1">
        <v>46224.775805439815</v>
      </c>
      <c r="J1603" t="s">
        <v>593</v>
      </c>
    </row>
    <row r="1604" spans="1:10" x14ac:dyDescent="0.35">
      <c r="A1604" t="s">
        <v>1509</v>
      </c>
      <c r="B1604" t="s">
        <v>591</v>
      </c>
      <c r="C1604" t="s">
        <v>592</v>
      </c>
      <c r="D1604" s="1">
        <v>46224</v>
      </c>
      <c r="E1604">
        <v>0</v>
      </c>
      <c r="F1604" t="s">
        <v>1919</v>
      </c>
      <c r="G1604" s="1">
        <v>46224.775805590281</v>
      </c>
      <c r="H1604" t="s">
        <v>593</v>
      </c>
      <c r="I1604" s="1">
        <v>46224.775805636571</v>
      </c>
      <c r="J1604" t="s">
        <v>593</v>
      </c>
    </row>
    <row r="1605" spans="1:10" x14ac:dyDescent="0.35">
      <c r="A1605" t="s">
        <v>1510</v>
      </c>
      <c r="B1605" t="s">
        <v>591</v>
      </c>
      <c r="C1605" t="s">
        <v>592</v>
      </c>
      <c r="D1605" s="1">
        <v>46224</v>
      </c>
      <c r="E1605">
        <v>0</v>
      </c>
      <c r="F1605" t="s">
        <v>1920</v>
      </c>
      <c r="G1605" s="1">
        <v>46224.775805752317</v>
      </c>
      <c r="H1605" t="s">
        <v>593</v>
      </c>
      <c r="I1605" s="1">
        <v>46224.775805787038</v>
      </c>
      <c r="J1605" t="s">
        <v>593</v>
      </c>
    </row>
    <row r="1606" spans="1:10" x14ac:dyDescent="0.35">
      <c r="A1606" t="s">
        <v>1511</v>
      </c>
      <c r="B1606" t="s">
        <v>591</v>
      </c>
      <c r="C1606" t="s">
        <v>592</v>
      </c>
      <c r="D1606" s="1">
        <v>46224</v>
      </c>
      <c r="E1606">
        <v>0</v>
      </c>
      <c r="F1606" t="s">
        <v>1921</v>
      </c>
      <c r="G1606" s="1">
        <v>46224.775805902776</v>
      </c>
      <c r="H1606" t="s">
        <v>593</v>
      </c>
      <c r="I1606" s="1">
        <v>46224.775805983794</v>
      </c>
      <c r="J1606" t="s">
        <v>593</v>
      </c>
    </row>
    <row r="1607" spans="1:10" x14ac:dyDescent="0.35">
      <c r="A1607" t="s">
        <v>1512</v>
      </c>
      <c r="B1607" t="s">
        <v>591</v>
      </c>
      <c r="C1607" t="s">
        <v>592</v>
      </c>
      <c r="D1607" s="1">
        <v>46224</v>
      </c>
      <c r="E1607">
        <v>0</v>
      </c>
      <c r="F1607" t="s">
        <v>1922</v>
      </c>
      <c r="G1607" s="1">
        <v>46224.775806053243</v>
      </c>
      <c r="H1607" t="s">
        <v>593</v>
      </c>
      <c r="I1607" s="1">
        <v>46224.775806168982</v>
      </c>
      <c r="J1607" t="s">
        <v>593</v>
      </c>
    </row>
    <row r="1608" spans="1:10" x14ac:dyDescent="0.35">
      <c r="A1608" t="s">
        <v>1513</v>
      </c>
      <c r="B1608" t="s">
        <v>591</v>
      </c>
      <c r="C1608" t="s">
        <v>592</v>
      </c>
      <c r="D1608" s="1">
        <v>46224</v>
      </c>
      <c r="E1608">
        <v>0</v>
      </c>
      <c r="F1608" t="s">
        <v>1923</v>
      </c>
      <c r="G1608" s="1">
        <v>46224.775806215279</v>
      </c>
      <c r="H1608" t="s">
        <v>593</v>
      </c>
      <c r="I1608" s="1">
        <v>46224.775806168982</v>
      </c>
      <c r="J1608" t="s">
        <v>593</v>
      </c>
    </row>
    <row r="1609" spans="1:10" x14ac:dyDescent="0.35">
      <c r="A1609" t="s">
        <v>1514</v>
      </c>
      <c r="B1609" t="s">
        <v>591</v>
      </c>
      <c r="C1609" t="s">
        <v>592</v>
      </c>
      <c r="D1609" s="1">
        <v>46224</v>
      </c>
      <c r="E1609">
        <v>0</v>
      </c>
      <c r="F1609" t="s">
        <v>1924</v>
      </c>
      <c r="G1609" s="1">
        <v>46224.775806365738</v>
      </c>
      <c r="H1609" t="s">
        <v>593</v>
      </c>
      <c r="I1609" s="1">
        <v>46224.775806331018</v>
      </c>
      <c r="J1609" t="s">
        <v>593</v>
      </c>
    </row>
    <row r="1610" spans="1:10" x14ac:dyDescent="0.35">
      <c r="A1610" t="s">
        <v>1515</v>
      </c>
      <c r="B1610" t="s">
        <v>591</v>
      </c>
      <c r="C1610" t="s">
        <v>592</v>
      </c>
      <c r="D1610" s="1">
        <v>46224</v>
      </c>
      <c r="E1610">
        <v>0</v>
      </c>
      <c r="F1610" t="s">
        <v>1925</v>
      </c>
      <c r="G1610" s="1">
        <v>46224.775806516205</v>
      </c>
      <c r="H1610" t="s">
        <v>593</v>
      </c>
      <c r="I1610" s="1">
        <v>46224.775806516205</v>
      </c>
      <c r="J1610" t="s">
        <v>593</v>
      </c>
    </row>
    <row r="1611" spans="1:10" x14ac:dyDescent="0.35">
      <c r="A1611" t="s">
        <v>1516</v>
      </c>
      <c r="B1611" t="s">
        <v>591</v>
      </c>
      <c r="C1611" t="s">
        <v>592</v>
      </c>
      <c r="D1611" s="1">
        <v>46224</v>
      </c>
      <c r="E1611">
        <v>0</v>
      </c>
      <c r="F1611" t="s">
        <v>1926</v>
      </c>
      <c r="G1611" s="1">
        <v>46224.775806678241</v>
      </c>
      <c r="H1611" t="s">
        <v>593</v>
      </c>
      <c r="I1611" s="1">
        <v>46224.775806712962</v>
      </c>
      <c r="J1611" t="s">
        <v>593</v>
      </c>
    </row>
    <row r="1612" spans="1:10" x14ac:dyDescent="0.35">
      <c r="A1612" t="s">
        <v>1517</v>
      </c>
      <c r="B1612" t="s">
        <v>591</v>
      </c>
      <c r="C1612" t="s">
        <v>592</v>
      </c>
      <c r="D1612" s="1">
        <v>46224</v>
      </c>
      <c r="E1612">
        <v>0</v>
      </c>
      <c r="F1612" t="s">
        <v>1927</v>
      </c>
      <c r="G1612" s="1">
        <v>46224.7758068287</v>
      </c>
      <c r="H1612" t="s">
        <v>593</v>
      </c>
      <c r="I1612" s="1">
        <v>46224.775806909725</v>
      </c>
      <c r="J1612" t="s">
        <v>593</v>
      </c>
    </row>
    <row r="1613" spans="1:10" x14ac:dyDescent="0.35">
      <c r="A1613" t="s">
        <v>1518</v>
      </c>
      <c r="B1613" t="s">
        <v>591</v>
      </c>
      <c r="C1613" t="s">
        <v>592</v>
      </c>
      <c r="D1613" s="1">
        <v>46224</v>
      </c>
      <c r="E1613">
        <v>0</v>
      </c>
      <c r="F1613" t="s">
        <v>1928</v>
      </c>
      <c r="G1613" s="1">
        <v>46224.775806979167</v>
      </c>
      <c r="H1613" t="s">
        <v>593</v>
      </c>
      <c r="I1613" s="1">
        <v>46224.775807060185</v>
      </c>
      <c r="J1613" t="s">
        <v>593</v>
      </c>
    </row>
    <row r="1614" spans="1:10" x14ac:dyDescent="0.35">
      <c r="A1614" t="s">
        <v>1519</v>
      </c>
      <c r="B1614" t="s">
        <v>591</v>
      </c>
      <c r="C1614" t="s">
        <v>592</v>
      </c>
      <c r="D1614" s="1">
        <v>46224</v>
      </c>
      <c r="E1614">
        <v>0</v>
      </c>
      <c r="F1614" t="s">
        <v>1929</v>
      </c>
      <c r="G1614" s="1">
        <v>46224.775807141203</v>
      </c>
      <c r="H1614" t="s">
        <v>593</v>
      </c>
      <c r="I1614" s="1">
        <v>46224.775807060185</v>
      </c>
      <c r="J1614" t="s">
        <v>593</v>
      </c>
    </row>
    <row r="1615" spans="1:10" x14ac:dyDescent="0.35">
      <c r="A1615" t="s">
        <v>1520</v>
      </c>
      <c r="B1615" t="s">
        <v>591</v>
      </c>
      <c r="C1615" t="s">
        <v>592</v>
      </c>
      <c r="D1615" s="1">
        <v>46224</v>
      </c>
      <c r="E1615">
        <v>0</v>
      </c>
      <c r="F1615" t="s">
        <v>1930</v>
      </c>
      <c r="G1615" s="1">
        <v>46224.775807291669</v>
      </c>
      <c r="H1615" t="s">
        <v>593</v>
      </c>
      <c r="I1615" s="1">
        <v>46224.775807256941</v>
      </c>
      <c r="J1615" t="s">
        <v>593</v>
      </c>
    </row>
    <row r="1616" spans="1:10" x14ac:dyDescent="0.35">
      <c r="A1616" t="s">
        <v>1521</v>
      </c>
      <c r="B1616" t="s">
        <v>591</v>
      </c>
      <c r="C1616" t="s">
        <v>592</v>
      </c>
      <c r="D1616" s="1">
        <v>46224</v>
      </c>
      <c r="E1616">
        <v>0</v>
      </c>
      <c r="F1616" t="s">
        <v>1931</v>
      </c>
      <c r="G1616" s="1">
        <v>46224.775807442129</v>
      </c>
      <c r="H1616" t="s">
        <v>593</v>
      </c>
      <c r="I1616" s="1">
        <v>46224.775807442129</v>
      </c>
      <c r="J1616" t="s">
        <v>593</v>
      </c>
    </row>
    <row r="1617" spans="1:10" x14ac:dyDescent="0.35">
      <c r="A1617" t="s">
        <v>1522</v>
      </c>
      <c r="B1617" t="s">
        <v>591</v>
      </c>
      <c r="C1617" t="s">
        <v>592</v>
      </c>
      <c r="D1617" s="1">
        <v>46224</v>
      </c>
      <c r="E1617">
        <v>0</v>
      </c>
      <c r="F1617" t="s">
        <v>1932</v>
      </c>
      <c r="G1617" s="1">
        <v>46224.775807638885</v>
      </c>
      <c r="H1617" t="s">
        <v>593</v>
      </c>
      <c r="I1617" s="1">
        <v>46224.775807604165</v>
      </c>
      <c r="J1617" t="s">
        <v>593</v>
      </c>
    </row>
    <row r="1618" spans="1:10" x14ac:dyDescent="0.35">
      <c r="A1618" t="s">
        <v>1523</v>
      </c>
      <c r="B1618" t="s">
        <v>591</v>
      </c>
      <c r="C1618" t="s">
        <v>592</v>
      </c>
      <c r="D1618" s="1">
        <v>46224</v>
      </c>
      <c r="E1618">
        <v>0</v>
      </c>
      <c r="F1618" t="s">
        <v>1933</v>
      </c>
      <c r="G1618" s="1">
        <v>46224.775807789352</v>
      </c>
      <c r="H1618" t="s">
        <v>593</v>
      </c>
      <c r="I1618" s="1">
        <v>46224.775807789352</v>
      </c>
      <c r="J1618" t="s">
        <v>593</v>
      </c>
    </row>
    <row r="1619" spans="1:10" x14ac:dyDescent="0.35">
      <c r="A1619" t="s">
        <v>1524</v>
      </c>
      <c r="B1619" t="s">
        <v>591</v>
      </c>
      <c r="C1619" t="s">
        <v>592</v>
      </c>
      <c r="D1619" s="1">
        <v>46224</v>
      </c>
      <c r="E1619">
        <v>0</v>
      </c>
      <c r="F1619" t="s">
        <v>1934</v>
      </c>
      <c r="G1619" s="1">
        <v>46224.775807951388</v>
      </c>
      <c r="H1619" t="s">
        <v>593</v>
      </c>
      <c r="I1619" s="1">
        <v>46224.775807986109</v>
      </c>
      <c r="J1619" t="s">
        <v>593</v>
      </c>
    </row>
    <row r="1620" spans="1:10" x14ac:dyDescent="0.35">
      <c r="A1620" t="s">
        <v>1525</v>
      </c>
      <c r="B1620" t="s">
        <v>591</v>
      </c>
      <c r="C1620" t="s">
        <v>592</v>
      </c>
      <c r="D1620" s="1">
        <v>46224</v>
      </c>
      <c r="E1620">
        <v>0</v>
      </c>
      <c r="F1620" t="s">
        <v>1935</v>
      </c>
      <c r="G1620" s="1">
        <v>46224.775808101855</v>
      </c>
      <c r="H1620" t="s">
        <v>593</v>
      </c>
      <c r="I1620" s="1">
        <v>46224.775808136576</v>
      </c>
      <c r="J1620" t="s">
        <v>593</v>
      </c>
    </row>
    <row r="1621" spans="1:10" x14ac:dyDescent="0.35">
      <c r="A1621" t="s">
        <v>1526</v>
      </c>
      <c r="B1621" t="s">
        <v>591</v>
      </c>
      <c r="C1621" t="s">
        <v>592</v>
      </c>
      <c r="D1621" s="1">
        <v>46224</v>
      </c>
      <c r="E1621">
        <v>0</v>
      </c>
      <c r="F1621" t="s">
        <v>1936</v>
      </c>
      <c r="G1621" s="1">
        <v>46224.775808252314</v>
      </c>
      <c r="H1621" t="s">
        <v>593</v>
      </c>
      <c r="I1621" s="1">
        <v>46224.775808333332</v>
      </c>
      <c r="J1621" t="s">
        <v>593</v>
      </c>
    </row>
    <row r="1622" spans="1:10" x14ac:dyDescent="0.35">
      <c r="A1622" t="s">
        <v>1527</v>
      </c>
      <c r="B1622" t="s">
        <v>591</v>
      </c>
      <c r="C1622" t="s">
        <v>592</v>
      </c>
      <c r="D1622" s="1">
        <v>46224</v>
      </c>
      <c r="E1622">
        <v>0</v>
      </c>
      <c r="F1622" t="s">
        <v>1937</v>
      </c>
      <c r="G1622" s="1">
        <v>46224.77580841435</v>
      </c>
      <c r="H1622" t="s">
        <v>593</v>
      </c>
      <c r="I1622" s="1">
        <v>46224.775808333332</v>
      </c>
      <c r="J1622" t="s">
        <v>593</v>
      </c>
    </row>
    <row r="1623" spans="1:10" x14ac:dyDescent="0.35">
      <c r="A1623" t="s">
        <v>1528</v>
      </c>
      <c r="B1623" t="s">
        <v>591</v>
      </c>
      <c r="C1623" t="s">
        <v>592</v>
      </c>
      <c r="D1623" s="1">
        <v>46224</v>
      </c>
      <c r="E1623">
        <v>0</v>
      </c>
      <c r="F1623" t="s">
        <v>1938</v>
      </c>
      <c r="G1623" s="1">
        <v>46224.775808564817</v>
      </c>
      <c r="H1623" t="s">
        <v>593</v>
      </c>
      <c r="I1623" s="1">
        <v>46224.775808530096</v>
      </c>
      <c r="J1623" t="s">
        <v>593</v>
      </c>
    </row>
    <row r="1624" spans="1:10" x14ac:dyDescent="0.35">
      <c r="A1624" t="s">
        <v>1529</v>
      </c>
      <c r="B1624" t="s">
        <v>591</v>
      </c>
      <c r="C1624" t="s">
        <v>592</v>
      </c>
      <c r="D1624" s="1">
        <v>46224</v>
      </c>
      <c r="E1624">
        <v>0</v>
      </c>
      <c r="F1624" t="s">
        <v>1939</v>
      </c>
      <c r="G1624" s="1">
        <v>46224.775808715276</v>
      </c>
      <c r="H1624" t="s">
        <v>593</v>
      </c>
      <c r="I1624" s="1">
        <v>46224.775808715276</v>
      </c>
      <c r="J1624" t="s">
        <v>593</v>
      </c>
    </row>
    <row r="1625" spans="1:10" x14ac:dyDescent="0.35">
      <c r="A1625" t="s">
        <v>1530</v>
      </c>
      <c r="B1625" t="s">
        <v>591</v>
      </c>
      <c r="C1625" t="s">
        <v>592</v>
      </c>
      <c r="D1625" s="1">
        <v>46224</v>
      </c>
      <c r="E1625">
        <v>0</v>
      </c>
      <c r="F1625" t="s">
        <v>1940</v>
      </c>
      <c r="G1625" s="1">
        <v>46224.775808877312</v>
      </c>
      <c r="H1625" t="s">
        <v>593</v>
      </c>
      <c r="I1625" s="1">
        <v>46224.775808877312</v>
      </c>
      <c r="J1625" t="s">
        <v>593</v>
      </c>
    </row>
    <row r="1626" spans="1:10" x14ac:dyDescent="0.35">
      <c r="A1626" t="s">
        <v>1531</v>
      </c>
      <c r="B1626" t="s">
        <v>591</v>
      </c>
      <c r="C1626" t="s">
        <v>592</v>
      </c>
      <c r="D1626" s="1">
        <v>46224</v>
      </c>
      <c r="E1626">
        <v>0</v>
      </c>
      <c r="F1626" t="s">
        <v>1941</v>
      </c>
      <c r="G1626" s="1">
        <v>46224.775809027778</v>
      </c>
      <c r="H1626" t="s">
        <v>593</v>
      </c>
      <c r="I1626" s="1">
        <v>46224.775809062499</v>
      </c>
      <c r="J1626" t="s">
        <v>593</v>
      </c>
    </row>
    <row r="1627" spans="1:10" x14ac:dyDescent="0.35">
      <c r="A1627" t="s">
        <v>1532</v>
      </c>
      <c r="B1627" t="s">
        <v>591</v>
      </c>
      <c r="C1627" t="s">
        <v>592</v>
      </c>
      <c r="D1627" s="1">
        <v>46224</v>
      </c>
      <c r="E1627">
        <v>0</v>
      </c>
      <c r="F1627" t="s">
        <v>1942</v>
      </c>
      <c r="G1627" s="1">
        <v>46224.775809143517</v>
      </c>
      <c r="H1627" t="s">
        <v>593</v>
      </c>
      <c r="I1627" s="1">
        <v>46224.775809259256</v>
      </c>
      <c r="J1627" t="s">
        <v>593</v>
      </c>
    </row>
    <row r="1628" spans="1:10" x14ac:dyDescent="0.35">
      <c r="A1628" t="s">
        <v>1533</v>
      </c>
      <c r="B1628" t="s">
        <v>591</v>
      </c>
      <c r="C1628" t="s">
        <v>592</v>
      </c>
      <c r="D1628" s="1">
        <v>46224</v>
      </c>
      <c r="E1628">
        <v>0</v>
      </c>
      <c r="F1628" t="s">
        <v>1943</v>
      </c>
      <c r="G1628" s="1">
        <v>46224.775809340281</v>
      </c>
      <c r="H1628" t="s">
        <v>593</v>
      </c>
      <c r="I1628" s="1">
        <v>46224.775809409723</v>
      </c>
      <c r="J1628" t="s">
        <v>593</v>
      </c>
    </row>
    <row r="1629" spans="1:10" x14ac:dyDescent="0.35">
      <c r="A1629" t="s">
        <v>1534</v>
      </c>
      <c r="B1629" t="s">
        <v>591</v>
      </c>
      <c r="C1629" t="s">
        <v>592</v>
      </c>
      <c r="D1629" s="1">
        <v>46224</v>
      </c>
      <c r="E1629">
        <v>0</v>
      </c>
      <c r="F1629" t="s">
        <v>1944</v>
      </c>
      <c r="G1629" s="1">
        <v>46224.77580949074</v>
      </c>
      <c r="H1629" t="s">
        <v>593</v>
      </c>
      <c r="I1629" s="1">
        <v>46224.775809409723</v>
      </c>
      <c r="J1629" t="s">
        <v>593</v>
      </c>
    </row>
    <row r="1630" spans="1:10" x14ac:dyDescent="0.35">
      <c r="A1630" t="s">
        <v>1535</v>
      </c>
      <c r="B1630" t="s">
        <v>591</v>
      </c>
      <c r="C1630" t="s">
        <v>592</v>
      </c>
      <c r="D1630" s="1">
        <v>46224</v>
      </c>
      <c r="E1630">
        <v>0</v>
      </c>
      <c r="F1630" t="s">
        <v>1945</v>
      </c>
      <c r="G1630" s="1">
        <v>46224.775809641207</v>
      </c>
      <c r="H1630" t="s">
        <v>593</v>
      </c>
      <c r="I1630" s="1">
        <v>46224.775809606479</v>
      </c>
      <c r="J1630" t="s">
        <v>593</v>
      </c>
    </row>
    <row r="1631" spans="1:10" x14ac:dyDescent="0.35">
      <c r="A1631" t="s">
        <v>1536</v>
      </c>
      <c r="B1631" t="s">
        <v>591</v>
      </c>
      <c r="C1631" t="s">
        <v>592</v>
      </c>
      <c r="D1631" s="1">
        <v>46224</v>
      </c>
      <c r="E1631">
        <v>0</v>
      </c>
      <c r="F1631" t="s">
        <v>1946</v>
      </c>
      <c r="G1631" s="1">
        <v>46224.775809803243</v>
      </c>
      <c r="H1631" t="s">
        <v>593</v>
      </c>
      <c r="I1631" s="1">
        <v>46224.775809803243</v>
      </c>
      <c r="J1631" t="s">
        <v>593</v>
      </c>
    </row>
    <row r="1632" spans="1:10" x14ac:dyDescent="0.35">
      <c r="A1632" t="s">
        <v>1537</v>
      </c>
      <c r="B1632" t="s">
        <v>591</v>
      </c>
      <c r="C1632" t="s">
        <v>592</v>
      </c>
      <c r="D1632" s="1">
        <v>46224</v>
      </c>
      <c r="E1632">
        <v>0</v>
      </c>
      <c r="F1632" t="s">
        <v>1947</v>
      </c>
      <c r="G1632" s="1">
        <v>46224.775809953702</v>
      </c>
      <c r="H1632" t="s">
        <v>593</v>
      </c>
      <c r="I1632" s="1">
        <v>46224.775809953702</v>
      </c>
      <c r="J1632" t="s">
        <v>593</v>
      </c>
    </row>
    <row r="1633" spans="1:10" x14ac:dyDescent="0.35">
      <c r="A1633" t="s">
        <v>1538</v>
      </c>
      <c r="B1633" t="s">
        <v>591</v>
      </c>
      <c r="C1633" t="s">
        <v>592</v>
      </c>
      <c r="D1633" s="1">
        <v>46224</v>
      </c>
      <c r="E1633">
        <v>0</v>
      </c>
      <c r="F1633" t="s">
        <v>1948</v>
      </c>
      <c r="G1633" s="1">
        <v>46224.775810104169</v>
      </c>
      <c r="H1633" t="s">
        <v>593</v>
      </c>
      <c r="I1633" s="1">
        <v>46224.775810150466</v>
      </c>
      <c r="J1633" t="s">
        <v>593</v>
      </c>
    </row>
    <row r="1634" spans="1:10" x14ac:dyDescent="0.35">
      <c r="A1634" t="s">
        <v>1539</v>
      </c>
      <c r="B1634" t="s">
        <v>591</v>
      </c>
      <c r="C1634" t="s">
        <v>592</v>
      </c>
      <c r="D1634" s="1">
        <v>46224</v>
      </c>
      <c r="E1634">
        <v>0</v>
      </c>
      <c r="F1634" t="s">
        <v>1949</v>
      </c>
      <c r="G1634" s="1">
        <v>46224.775810266205</v>
      </c>
      <c r="H1634" t="s">
        <v>593</v>
      </c>
      <c r="I1634" s="1">
        <v>46224.775810335646</v>
      </c>
      <c r="J1634" t="s">
        <v>593</v>
      </c>
    </row>
    <row r="1635" spans="1:10" x14ac:dyDescent="0.35">
      <c r="A1635" t="s">
        <v>1978</v>
      </c>
      <c r="B1635" t="s">
        <v>591</v>
      </c>
      <c r="C1635" t="s">
        <v>592</v>
      </c>
      <c r="D1635" s="1">
        <v>46224</v>
      </c>
      <c r="E1635">
        <v>0</v>
      </c>
      <c r="F1635" t="s">
        <v>1979</v>
      </c>
      <c r="G1635" s="1">
        <v>46224.775810416664</v>
      </c>
      <c r="H1635" t="s">
        <v>593</v>
      </c>
      <c r="I1635" s="1">
        <v>46224.775810335646</v>
      </c>
      <c r="J1635" t="s">
        <v>593</v>
      </c>
    </row>
    <row r="1636" spans="1:10" x14ac:dyDescent="0.35">
      <c r="A1636" t="s">
        <v>1540</v>
      </c>
      <c r="B1636" t="s">
        <v>591</v>
      </c>
      <c r="C1636" t="s">
        <v>592</v>
      </c>
      <c r="D1636" s="1">
        <v>46224</v>
      </c>
      <c r="E1636">
        <v>0</v>
      </c>
      <c r="F1636" t="s">
        <v>1950</v>
      </c>
      <c r="G1636" s="1">
        <v>46224.775810613428</v>
      </c>
      <c r="H1636" t="s">
        <v>593</v>
      </c>
      <c r="I1636" s="1">
        <v>46224.77581068287</v>
      </c>
      <c r="J1636" t="s">
        <v>593</v>
      </c>
    </row>
    <row r="1637" spans="1:10" x14ac:dyDescent="0.35">
      <c r="A1637" t="s">
        <v>1541</v>
      </c>
      <c r="B1637" t="s">
        <v>591</v>
      </c>
      <c r="C1637" t="s">
        <v>592</v>
      </c>
      <c r="D1637" s="1">
        <v>46224</v>
      </c>
      <c r="E1637">
        <v>0</v>
      </c>
      <c r="F1637" t="s">
        <v>1951</v>
      </c>
      <c r="G1637" s="1">
        <v>46224.775810798608</v>
      </c>
      <c r="H1637" t="s">
        <v>593</v>
      </c>
      <c r="I1637" s="1">
        <v>46224.775810879626</v>
      </c>
      <c r="J1637" t="s">
        <v>593</v>
      </c>
    </row>
    <row r="1638" spans="1:10" x14ac:dyDescent="0.35">
      <c r="A1638" t="s">
        <v>1542</v>
      </c>
      <c r="B1638" t="s">
        <v>591</v>
      </c>
      <c r="C1638" t="s">
        <v>592</v>
      </c>
      <c r="D1638" s="1">
        <v>46224</v>
      </c>
      <c r="E1638">
        <v>0</v>
      </c>
      <c r="F1638" t="s">
        <v>1952</v>
      </c>
      <c r="G1638" s="1">
        <v>46224.775810960651</v>
      </c>
      <c r="H1638" t="s">
        <v>593</v>
      </c>
      <c r="I1638" s="1">
        <v>46224.77581107639</v>
      </c>
      <c r="J1638" t="s">
        <v>593</v>
      </c>
    </row>
    <row r="1639" spans="1:10" x14ac:dyDescent="0.35">
      <c r="A1639" t="s">
        <v>1543</v>
      </c>
      <c r="B1639" t="s">
        <v>591</v>
      </c>
      <c r="C1639" t="s">
        <v>592</v>
      </c>
      <c r="D1639" s="1">
        <v>46224</v>
      </c>
      <c r="E1639">
        <v>0</v>
      </c>
      <c r="F1639" t="s">
        <v>1953</v>
      </c>
      <c r="G1639" s="1">
        <v>46224.775811111111</v>
      </c>
      <c r="H1639" t="s">
        <v>593</v>
      </c>
      <c r="I1639" s="1">
        <v>46224.77581107639</v>
      </c>
      <c r="J1639" t="s">
        <v>593</v>
      </c>
    </row>
    <row r="1640" spans="1:10" x14ac:dyDescent="0.35">
      <c r="A1640" t="s">
        <v>1544</v>
      </c>
      <c r="B1640" t="s">
        <v>591</v>
      </c>
      <c r="C1640" t="s">
        <v>592</v>
      </c>
      <c r="D1640" s="1">
        <v>46224</v>
      </c>
      <c r="E1640">
        <v>0</v>
      </c>
      <c r="F1640" t="s">
        <v>1954</v>
      </c>
      <c r="G1640" s="1">
        <v>46224.775811261577</v>
      </c>
      <c r="H1640" t="s">
        <v>593</v>
      </c>
      <c r="I1640" s="1">
        <v>46224.775811226849</v>
      </c>
      <c r="J1640" t="s">
        <v>593</v>
      </c>
    </row>
    <row r="1641" spans="1:10" x14ac:dyDescent="0.35">
      <c r="A1641" t="s">
        <v>1545</v>
      </c>
      <c r="B1641" t="s">
        <v>591</v>
      </c>
      <c r="C1641" t="s">
        <v>592</v>
      </c>
      <c r="D1641" s="1">
        <v>46224</v>
      </c>
      <c r="E1641">
        <v>0</v>
      </c>
      <c r="F1641" t="s">
        <v>1955</v>
      </c>
      <c r="G1641" s="1">
        <v>46224.775811423613</v>
      </c>
      <c r="H1641" t="s">
        <v>593</v>
      </c>
      <c r="I1641" s="1">
        <v>46224.775811423613</v>
      </c>
      <c r="J1641" t="s">
        <v>593</v>
      </c>
    </row>
    <row r="1642" spans="1:10" x14ac:dyDescent="0.35">
      <c r="A1642" t="s">
        <v>1546</v>
      </c>
      <c r="B1642" t="s">
        <v>591</v>
      </c>
      <c r="C1642" t="s">
        <v>592</v>
      </c>
      <c r="D1642" s="1">
        <v>46224</v>
      </c>
      <c r="E1642">
        <v>0</v>
      </c>
      <c r="F1642" t="s">
        <v>1956</v>
      </c>
      <c r="G1642" s="1">
        <v>46224.775811574073</v>
      </c>
      <c r="H1642" t="s">
        <v>593</v>
      </c>
      <c r="I1642" s="1">
        <v>46224.775811608793</v>
      </c>
      <c r="J1642" t="s">
        <v>593</v>
      </c>
    </row>
    <row r="1643" spans="1:10" x14ac:dyDescent="0.35">
      <c r="A1643" t="s">
        <v>1547</v>
      </c>
      <c r="B1643" t="s">
        <v>591</v>
      </c>
      <c r="C1643" t="s">
        <v>592</v>
      </c>
      <c r="D1643" s="1">
        <v>46224</v>
      </c>
      <c r="E1643">
        <v>0</v>
      </c>
      <c r="F1643" t="s">
        <v>1957</v>
      </c>
      <c r="G1643" s="1">
        <v>46224.775811724539</v>
      </c>
      <c r="H1643" t="s">
        <v>593</v>
      </c>
      <c r="I1643" s="1">
        <v>46224.775811770836</v>
      </c>
      <c r="J1643" t="s">
        <v>593</v>
      </c>
    </row>
    <row r="1644" spans="1:10" x14ac:dyDescent="0.35">
      <c r="A1644" t="s">
        <v>1548</v>
      </c>
      <c r="B1644" t="s">
        <v>591</v>
      </c>
      <c r="C1644" t="s">
        <v>592</v>
      </c>
      <c r="D1644" s="1">
        <v>46224</v>
      </c>
      <c r="E1644">
        <v>0</v>
      </c>
      <c r="F1644" t="s">
        <v>1958</v>
      </c>
      <c r="G1644" s="1">
        <v>46224.775811886575</v>
      </c>
      <c r="H1644" t="s">
        <v>593</v>
      </c>
      <c r="I1644" s="1">
        <v>46224.775811956017</v>
      </c>
      <c r="J1644" t="s">
        <v>593</v>
      </c>
    </row>
    <row r="1645" spans="1:10" x14ac:dyDescent="0.35">
      <c r="A1645" t="s">
        <v>1549</v>
      </c>
      <c r="B1645" t="s">
        <v>591</v>
      </c>
      <c r="C1645" t="s">
        <v>592</v>
      </c>
      <c r="D1645" s="1">
        <v>46224</v>
      </c>
      <c r="E1645">
        <v>0</v>
      </c>
      <c r="F1645" t="s">
        <v>1959</v>
      </c>
      <c r="G1645" s="1">
        <v>46224.775812037034</v>
      </c>
      <c r="H1645" t="s">
        <v>593</v>
      </c>
      <c r="I1645" s="1">
        <v>46224.775811956017</v>
      </c>
      <c r="J1645" t="s">
        <v>593</v>
      </c>
    </row>
    <row r="1646" spans="1:10" x14ac:dyDescent="0.35">
      <c r="A1646" t="s">
        <v>1550</v>
      </c>
      <c r="B1646" t="s">
        <v>591</v>
      </c>
      <c r="C1646" t="s">
        <v>592</v>
      </c>
      <c r="D1646" s="1">
        <v>46224</v>
      </c>
      <c r="E1646">
        <v>0</v>
      </c>
      <c r="F1646" t="s">
        <v>1960</v>
      </c>
      <c r="G1646" s="1">
        <v>46224.775812187501</v>
      </c>
      <c r="H1646" t="s">
        <v>593</v>
      </c>
      <c r="I1646" s="1">
        <v>46224.77581215278</v>
      </c>
      <c r="J1646" t="s">
        <v>593</v>
      </c>
    </row>
    <row r="1647" spans="1:10" x14ac:dyDescent="0.35">
      <c r="A1647" t="s">
        <v>1766</v>
      </c>
      <c r="B1647" t="s">
        <v>591</v>
      </c>
      <c r="C1647" t="s">
        <v>592</v>
      </c>
      <c r="D1647" s="1">
        <v>46224</v>
      </c>
      <c r="E1647">
        <v>0</v>
      </c>
      <c r="F1647" t="s">
        <v>1961</v>
      </c>
      <c r="G1647" s="1">
        <v>46224.775812349537</v>
      </c>
      <c r="H1647" t="s">
        <v>593</v>
      </c>
      <c r="I1647" s="1">
        <v>46224.775812349537</v>
      </c>
      <c r="J1647" t="s">
        <v>593</v>
      </c>
    </row>
    <row r="1648" spans="1:10" x14ac:dyDescent="0.35">
      <c r="A1648" t="s">
        <v>1551</v>
      </c>
      <c r="B1648" t="s">
        <v>591</v>
      </c>
      <c r="C1648" t="s">
        <v>592</v>
      </c>
      <c r="D1648" s="1">
        <v>46224</v>
      </c>
      <c r="E1648">
        <v>3.2953905790463402E-2</v>
      </c>
      <c r="F1648" t="s">
        <v>5557</v>
      </c>
      <c r="G1648" s="1">
        <v>46224.771787731479</v>
      </c>
      <c r="H1648" t="s">
        <v>593</v>
      </c>
      <c r="I1648" s="1">
        <v>46224.771787812497</v>
      </c>
      <c r="J1648" t="s">
        <v>593</v>
      </c>
    </row>
    <row r="1649" spans="1:10" x14ac:dyDescent="0.35">
      <c r="A1649" t="s">
        <v>1552</v>
      </c>
      <c r="B1649" t="s">
        <v>591</v>
      </c>
      <c r="C1649" t="s">
        <v>592</v>
      </c>
      <c r="D1649" s="1">
        <v>46224</v>
      </c>
      <c r="E1649">
        <v>2.7436736553002002E-2</v>
      </c>
      <c r="F1649" t="s">
        <v>5558</v>
      </c>
      <c r="G1649" s="1">
        <v>46224.771787731479</v>
      </c>
      <c r="H1649" t="s">
        <v>593</v>
      </c>
      <c r="I1649" s="1">
        <v>46224.771787812497</v>
      </c>
      <c r="J1649" t="s">
        <v>593</v>
      </c>
    </row>
    <row r="1650" spans="1:10" x14ac:dyDescent="0.35">
      <c r="A1650" t="s">
        <v>1553</v>
      </c>
      <c r="B1650" t="s">
        <v>591</v>
      </c>
      <c r="C1650" t="s">
        <v>592</v>
      </c>
      <c r="D1650" s="1">
        <v>46224</v>
      </c>
      <c r="E1650">
        <v>3.5454892967406698E-2</v>
      </c>
      <c r="F1650" t="s">
        <v>5559</v>
      </c>
      <c r="G1650" s="1">
        <v>46224.771787731479</v>
      </c>
      <c r="H1650" t="s">
        <v>593</v>
      </c>
      <c r="I1650" s="1">
        <v>46224.771787812497</v>
      </c>
      <c r="J1650" t="s">
        <v>593</v>
      </c>
    </row>
    <row r="1651" spans="1:10" x14ac:dyDescent="0.35">
      <c r="A1651" t="s">
        <v>1554</v>
      </c>
      <c r="B1651" t="s">
        <v>591</v>
      </c>
      <c r="C1651" t="s">
        <v>592</v>
      </c>
      <c r="D1651" s="1">
        <v>46224</v>
      </c>
      <c r="E1651">
        <v>3.0547476286835702E-2</v>
      </c>
      <c r="F1651" t="s">
        <v>5560</v>
      </c>
      <c r="G1651" s="1">
        <v>46224.771787731479</v>
      </c>
      <c r="H1651" t="s">
        <v>593</v>
      </c>
      <c r="I1651" s="1">
        <v>46224.771787812497</v>
      </c>
      <c r="J1651" t="s">
        <v>593</v>
      </c>
    </row>
    <row r="1652" spans="1:10" x14ac:dyDescent="0.35">
      <c r="A1652" t="s">
        <v>1555</v>
      </c>
      <c r="B1652" t="s">
        <v>591</v>
      </c>
      <c r="C1652" t="s">
        <v>592</v>
      </c>
      <c r="D1652" s="1">
        <v>46224</v>
      </c>
      <c r="E1652">
        <v>3.6507723561238402E-2</v>
      </c>
      <c r="F1652" t="s">
        <v>5561</v>
      </c>
      <c r="G1652" s="1">
        <v>46224.771787731479</v>
      </c>
      <c r="H1652" t="s">
        <v>593</v>
      </c>
      <c r="I1652" s="1">
        <v>46224.771787812497</v>
      </c>
      <c r="J1652" t="s">
        <v>593</v>
      </c>
    </row>
    <row r="1653" spans="1:10" x14ac:dyDescent="0.35">
      <c r="A1653" t="s">
        <v>1556</v>
      </c>
      <c r="B1653" t="s">
        <v>591</v>
      </c>
      <c r="C1653" t="s">
        <v>592</v>
      </c>
      <c r="D1653" s="1">
        <v>46224</v>
      </c>
      <c r="E1653">
        <v>2.66407784867519E-2</v>
      </c>
      <c r="F1653" t="s">
        <v>5562</v>
      </c>
      <c r="G1653" s="1">
        <v>46224.771787731479</v>
      </c>
      <c r="H1653" t="s">
        <v>593</v>
      </c>
      <c r="I1653" s="1">
        <v>46224.771787812497</v>
      </c>
      <c r="J1653" t="s">
        <v>593</v>
      </c>
    </row>
    <row r="1654" spans="1:10" x14ac:dyDescent="0.35">
      <c r="A1654" t="s">
        <v>1557</v>
      </c>
      <c r="B1654" t="s">
        <v>591</v>
      </c>
      <c r="C1654" t="s">
        <v>592</v>
      </c>
      <c r="D1654" s="1">
        <v>46224</v>
      </c>
      <c r="E1654">
        <v>2.7808540790665401E-2</v>
      </c>
      <c r="F1654" t="s">
        <v>5563</v>
      </c>
      <c r="G1654" s="1">
        <v>46224.771787731479</v>
      </c>
      <c r="H1654" t="s">
        <v>593</v>
      </c>
      <c r="I1654" s="1">
        <v>46224.771787812497</v>
      </c>
      <c r="J1654" t="s">
        <v>593</v>
      </c>
    </row>
    <row r="1655" spans="1:10" x14ac:dyDescent="0.35">
      <c r="A1655" t="s">
        <v>1558</v>
      </c>
      <c r="B1655" t="s">
        <v>591</v>
      </c>
      <c r="C1655" t="s">
        <v>592</v>
      </c>
      <c r="D1655" s="1">
        <v>46224</v>
      </c>
      <c r="E1655">
        <v>2.84455977883585E-2</v>
      </c>
      <c r="F1655" t="s">
        <v>5564</v>
      </c>
      <c r="G1655" s="1">
        <v>46224.771787731479</v>
      </c>
      <c r="H1655" t="s">
        <v>593</v>
      </c>
      <c r="I1655" s="1">
        <v>46224.771787812497</v>
      </c>
      <c r="J1655" t="s">
        <v>593</v>
      </c>
    </row>
    <row r="1656" spans="1:10" x14ac:dyDescent="0.35">
      <c r="A1656" t="s">
        <v>1559</v>
      </c>
      <c r="B1656" t="s">
        <v>591</v>
      </c>
      <c r="C1656" t="s">
        <v>592</v>
      </c>
      <c r="D1656" s="1">
        <v>46224</v>
      </c>
      <c r="E1656">
        <v>3.4891739545885897E-2</v>
      </c>
      <c r="F1656" t="s">
        <v>5565</v>
      </c>
      <c r="G1656" s="1">
        <v>46224.771787731479</v>
      </c>
      <c r="H1656" t="s">
        <v>593</v>
      </c>
      <c r="I1656" s="1">
        <v>46224.771787812497</v>
      </c>
      <c r="J1656" t="s">
        <v>593</v>
      </c>
    </row>
    <row r="1657" spans="1:10" x14ac:dyDescent="0.35">
      <c r="A1657" t="s">
        <v>1560</v>
      </c>
      <c r="B1657" t="s">
        <v>591</v>
      </c>
      <c r="C1657" t="s">
        <v>592</v>
      </c>
      <c r="D1657" s="1">
        <v>46224</v>
      </c>
      <c r="E1657">
        <v>2.90796930904763E-2</v>
      </c>
      <c r="F1657" t="s">
        <v>5566</v>
      </c>
      <c r="G1657" s="1">
        <v>46224.771787731479</v>
      </c>
      <c r="H1657" t="s">
        <v>593</v>
      </c>
      <c r="I1657" s="1">
        <v>46224.771787812497</v>
      </c>
      <c r="J1657" t="s">
        <v>593</v>
      </c>
    </row>
    <row r="1658" spans="1:10" x14ac:dyDescent="0.35">
      <c r="A1658" t="s">
        <v>1561</v>
      </c>
      <c r="B1658" t="s">
        <v>591</v>
      </c>
      <c r="C1658" t="s">
        <v>592</v>
      </c>
      <c r="D1658" s="1">
        <v>46224</v>
      </c>
      <c r="E1658">
        <v>2.9728822265139902E-2</v>
      </c>
      <c r="F1658" t="s">
        <v>5567</v>
      </c>
      <c r="G1658" s="1">
        <v>46224.771787731479</v>
      </c>
      <c r="H1658" t="s">
        <v>593</v>
      </c>
      <c r="I1658" s="1">
        <v>46224.771787812497</v>
      </c>
      <c r="J1658" t="s">
        <v>593</v>
      </c>
    </row>
    <row r="1659" spans="1:10" x14ac:dyDescent="0.35">
      <c r="A1659" t="s">
        <v>1562</v>
      </c>
      <c r="B1659" t="s">
        <v>591</v>
      </c>
      <c r="C1659" t="s">
        <v>592</v>
      </c>
      <c r="D1659" s="1">
        <v>46224</v>
      </c>
      <c r="E1659">
        <v>3.3999533440170697E-2</v>
      </c>
      <c r="F1659" t="s">
        <v>5568</v>
      </c>
      <c r="G1659" s="1">
        <v>46224.771787731479</v>
      </c>
      <c r="H1659" t="s">
        <v>593</v>
      </c>
      <c r="I1659" s="1">
        <v>46224.771787812497</v>
      </c>
      <c r="J1659" t="s">
        <v>593</v>
      </c>
    </row>
    <row r="1660" spans="1:10" x14ac:dyDescent="0.35">
      <c r="A1660" t="s">
        <v>1563</v>
      </c>
      <c r="B1660" t="s">
        <v>591</v>
      </c>
      <c r="C1660" t="s">
        <v>592</v>
      </c>
      <c r="D1660" s="1">
        <v>46224</v>
      </c>
      <c r="E1660">
        <v>2.8135475419020499E-2</v>
      </c>
      <c r="F1660" t="s">
        <v>5569</v>
      </c>
      <c r="G1660" s="1">
        <v>46224.771787731479</v>
      </c>
      <c r="H1660" t="s">
        <v>593</v>
      </c>
      <c r="I1660" s="1">
        <v>46224.771787812497</v>
      </c>
      <c r="J1660" t="s">
        <v>593</v>
      </c>
    </row>
    <row r="1661" spans="1:10" x14ac:dyDescent="0.35">
      <c r="A1661" t="s">
        <v>1564</v>
      </c>
      <c r="B1661" t="s">
        <v>591</v>
      </c>
      <c r="C1661" t="s">
        <v>592</v>
      </c>
      <c r="D1661" s="1">
        <v>46224</v>
      </c>
      <c r="E1661">
        <v>3.0344815005009601E-2</v>
      </c>
      <c r="F1661" t="s">
        <v>5570</v>
      </c>
      <c r="G1661" s="1">
        <v>46224.771787731479</v>
      </c>
      <c r="H1661" t="s">
        <v>593</v>
      </c>
      <c r="I1661" s="1">
        <v>46224.771787812497</v>
      </c>
      <c r="J1661" t="s">
        <v>593</v>
      </c>
    </row>
    <row r="1662" spans="1:10" x14ac:dyDescent="0.35">
      <c r="A1662" t="s">
        <v>1565</v>
      </c>
      <c r="B1662" t="s">
        <v>591</v>
      </c>
      <c r="C1662" t="s">
        <v>592</v>
      </c>
      <c r="D1662" s="1">
        <v>46224</v>
      </c>
      <c r="E1662">
        <v>3.6847350065228303E-2</v>
      </c>
      <c r="F1662" t="s">
        <v>5571</v>
      </c>
      <c r="G1662" s="1">
        <v>46224.771787731479</v>
      </c>
      <c r="H1662" t="s">
        <v>593</v>
      </c>
      <c r="I1662" s="1">
        <v>46224.771787812497</v>
      </c>
      <c r="J1662" t="s">
        <v>593</v>
      </c>
    </row>
    <row r="1663" spans="1:10" x14ac:dyDescent="0.35">
      <c r="A1663" t="s">
        <v>1566</v>
      </c>
      <c r="B1663" t="s">
        <v>591</v>
      </c>
      <c r="C1663" t="s">
        <v>592</v>
      </c>
      <c r="D1663" s="1">
        <v>46224</v>
      </c>
      <c r="E1663">
        <v>3.0973602102732398E-2</v>
      </c>
      <c r="F1663" t="s">
        <v>5572</v>
      </c>
      <c r="G1663" s="1">
        <v>46224.771787731479</v>
      </c>
      <c r="H1663" t="s">
        <v>593</v>
      </c>
      <c r="I1663" s="1">
        <v>46224.771787812497</v>
      </c>
      <c r="J1663" t="s">
        <v>593</v>
      </c>
    </row>
    <row r="1664" spans="1:10" x14ac:dyDescent="0.35">
      <c r="A1664" t="s">
        <v>1567</v>
      </c>
      <c r="B1664" t="s">
        <v>591</v>
      </c>
      <c r="C1664" t="s">
        <v>592</v>
      </c>
      <c r="D1664" s="1">
        <v>46224</v>
      </c>
      <c r="E1664">
        <v>2.8833951640592E-2</v>
      </c>
      <c r="F1664" t="s">
        <v>5573</v>
      </c>
      <c r="G1664" s="1">
        <v>46224.771787731479</v>
      </c>
      <c r="H1664" t="s">
        <v>593</v>
      </c>
      <c r="I1664" s="1">
        <v>46224.771787812497</v>
      </c>
      <c r="J1664" t="s">
        <v>593</v>
      </c>
    </row>
    <row r="1665" spans="1:10" x14ac:dyDescent="0.35">
      <c r="A1665" t="s">
        <v>1568</v>
      </c>
      <c r="B1665" t="s">
        <v>591</v>
      </c>
      <c r="C1665" t="s">
        <v>592</v>
      </c>
      <c r="D1665" s="1">
        <v>46224</v>
      </c>
      <c r="E1665">
        <v>3.59477130063083E-2</v>
      </c>
      <c r="F1665" t="s">
        <v>5574</v>
      </c>
      <c r="G1665" s="1">
        <v>46224.771787731479</v>
      </c>
      <c r="H1665" t="s">
        <v>593</v>
      </c>
      <c r="I1665" s="1">
        <v>46224.771787812497</v>
      </c>
      <c r="J1665" t="s">
        <v>593</v>
      </c>
    </row>
    <row r="1666" spans="1:10" x14ac:dyDescent="0.35">
      <c r="A1666" t="s">
        <v>1569</v>
      </c>
      <c r="B1666" t="s">
        <v>591</v>
      </c>
      <c r="C1666" t="s">
        <v>592</v>
      </c>
      <c r="D1666" s="1">
        <v>46224</v>
      </c>
      <c r="E1666">
        <v>3.1499344144480301E-2</v>
      </c>
      <c r="F1666" t="s">
        <v>5575</v>
      </c>
      <c r="G1666" s="1">
        <v>46224.771787731479</v>
      </c>
      <c r="H1666" t="s">
        <v>593</v>
      </c>
      <c r="I1666" s="1">
        <v>46224.771787812497</v>
      </c>
      <c r="J1666" t="s">
        <v>593</v>
      </c>
    </row>
    <row r="1667" spans="1:10" x14ac:dyDescent="0.35">
      <c r="A1667" t="s">
        <v>1570</v>
      </c>
      <c r="B1667" t="s">
        <v>591</v>
      </c>
      <c r="C1667" t="s">
        <v>592</v>
      </c>
      <c r="D1667" s="1">
        <v>46224</v>
      </c>
      <c r="E1667">
        <v>3.2067474312146099E-2</v>
      </c>
      <c r="F1667" t="s">
        <v>5576</v>
      </c>
      <c r="G1667" s="1">
        <v>46224.771787731479</v>
      </c>
      <c r="H1667" t="s">
        <v>593</v>
      </c>
      <c r="I1667" s="1">
        <v>46224.771787812497</v>
      </c>
      <c r="J1667" t="s">
        <v>593</v>
      </c>
    </row>
    <row r="1668" spans="1:10" x14ac:dyDescent="0.35">
      <c r="A1668" t="s">
        <v>1571</v>
      </c>
      <c r="B1668" t="s">
        <v>591</v>
      </c>
      <c r="C1668" t="s">
        <v>592</v>
      </c>
      <c r="D1668" s="1">
        <v>46224</v>
      </c>
      <c r="E1668">
        <v>3.69018890369169E-2</v>
      </c>
      <c r="F1668" t="s">
        <v>5577</v>
      </c>
      <c r="G1668" s="1">
        <v>46224.771787731479</v>
      </c>
      <c r="H1668" t="s">
        <v>593</v>
      </c>
      <c r="I1668" s="1">
        <v>46224.771787812497</v>
      </c>
      <c r="J1668" t="s">
        <v>593</v>
      </c>
    </row>
    <row r="1669" spans="1:10" x14ac:dyDescent="0.35">
      <c r="A1669" t="s">
        <v>1572</v>
      </c>
      <c r="B1669" t="s">
        <v>591</v>
      </c>
      <c r="C1669" t="s">
        <v>592</v>
      </c>
      <c r="D1669" s="1">
        <v>46224</v>
      </c>
      <c r="E1669">
        <v>2.4753185412852801E-2</v>
      </c>
      <c r="F1669" t="s">
        <v>5578</v>
      </c>
      <c r="G1669" s="1">
        <v>46224.771787731479</v>
      </c>
      <c r="H1669" t="s">
        <v>593</v>
      </c>
      <c r="I1669" s="1">
        <v>46224.771787812497</v>
      </c>
      <c r="J1669" t="s">
        <v>593</v>
      </c>
    </row>
    <row r="1670" spans="1:10" x14ac:dyDescent="0.35">
      <c r="A1670" t="s">
        <v>1573</v>
      </c>
      <c r="B1670" t="s">
        <v>591</v>
      </c>
      <c r="C1670" t="s">
        <v>592</v>
      </c>
      <c r="D1670" s="1">
        <v>46224</v>
      </c>
      <c r="E1670">
        <v>2.9529755946420599E-2</v>
      </c>
      <c r="F1670" t="s">
        <v>5579</v>
      </c>
      <c r="G1670" s="1">
        <v>46224.771787731479</v>
      </c>
      <c r="H1670" t="s">
        <v>593</v>
      </c>
      <c r="I1670" s="1">
        <v>46224.771787812497</v>
      </c>
      <c r="J1670" t="s">
        <v>593</v>
      </c>
    </row>
    <row r="1671" spans="1:10" x14ac:dyDescent="0.35">
      <c r="A1671" t="s">
        <v>1574</v>
      </c>
      <c r="B1671" t="s">
        <v>591</v>
      </c>
      <c r="C1671" t="s">
        <v>592</v>
      </c>
      <c r="D1671" s="1">
        <v>46224</v>
      </c>
      <c r="E1671">
        <v>3.2620524493272803E-2</v>
      </c>
      <c r="F1671" t="s">
        <v>5580</v>
      </c>
      <c r="G1671" s="1">
        <v>46224.771787731479</v>
      </c>
      <c r="H1671" t="s">
        <v>593</v>
      </c>
      <c r="I1671" s="1">
        <v>46224.771787812497</v>
      </c>
      <c r="J1671" t="s">
        <v>593</v>
      </c>
    </row>
    <row r="1672" spans="1:10" x14ac:dyDescent="0.35">
      <c r="A1672" t="s">
        <v>1575</v>
      </c>
      <c r="B1672" t="s">
        <v>591</v>
      </c>
      <c r="C1672" t="s">
        <v>592</v>
      </c>
      <c r="D1672" s="1">
        <v>46224</v>
      </c>
      <c r="E1672">
        <v>3.7037251715889799E-2</v>
      </c>
      <c r="F1672" t="s">
        <v>5581</v>
      </c>
      <c r="G1672" s="1">
        <v>46224.771787731479</v>
      </c>
      <c r="H1672" t="s">
        <v>593</v>
      </c>
      <c r="I1672" s="1">
        <v>46224.771787812497</v>
      </c>
      <c r="J1672" t="s">
        <v>593</v>
      </c>
    </row>
    <row r="1673" spans="1:10" x14ac:dyDescent="0.35">
      <c r="A1673" t="s">
        <v>1576</v>
      </c>
      <c r="B1673" t="s">
        <v>591</v>
      </c>
      <c r="C1673" t="s">
        <v>592</v>
      </c>
      <c r="D1673" s="1">
        <v>46224</v>
      </c>
      <c r="E1673">
        <v>4.3420335508656399E-2</v>
      </c>
      <c r="F1673" t="s">
        <v>5582</v>
      </c>
      <c r="G1673" s="1">
        <v>46224.771787731479</v>
      </c>
      <c r="H1673" t="s">
        <v>593</v>
      </c>
      <c r="I1673" s="1">
        <v>46224.771787812497</v>
      </c>
      <c r="J1673" t="s">
        <v>593</v>
      </c>
    </row>
    <row r="1674" spans="1:10" x14ac:dyDescent="0.35">
      <c r="A1674" t="s">
        <v>1668</v>
      </c>
      <c r="B1674" t="s">
        <v>600</v>
      </c>
      <c r="C1674" t="s">
        <v>592</v>
      </c>
      <c r="D1674" s="1">
        <v>46224</v>
      </c>
      <c r="E1674">
        <v>117.26</v>
      </c>
      <c r="F1674" t="s">
        <v>4314</v>
      </c>
      <c r="G1674" s="1">
        <v>46224.771787731479</v>
      </c>
      <c r="H1674" t="s">
        <v>593</v>
      </c>
      <c r="I1674" s="1">
        <v>46224.771787812497</v>
      </c>
      <c r="J1674" t="s">
        <v>593</v>
      </c>
    </row>
    <row r="1675" spans="1:10" x14ac:dyDescent="0.35">
      <c r="A1675" t="s">
        <v>5583</v>
      </c>
      <c r="B1675" t="s">
        <v>600</v>
      </c>
      <c r="C1675" t="s">
        <v>592</v>
      </c>
      <c r="D1675" s="1">
        <v>46224</v>
      </c>
      <c r="E1675">
        <v>116.72</v>
      </c>
      <c r="F1675" t="s">
        <v>4314</v>
      </c>
      <c r="G1675" s="1">
        <v>46224.771787731479</v>
      </c>
      <c r="H1675" t="s">
        <v>593</v>
      </c>
      <c r="I1675" s="1">
        <v>46224.771787812497</v>
      </c>
      <c r="J1675" t="s">
        <v>593</v>
      </c>
    </row>
    <row r="1676" spans="1:10" x14ac:dyDescent="0.35">
      <c r="A1676" t="s">
        <v>1577</v>
      </c>
      <c r="B1676" t="s">
        <v>600</v>
      </c>
      <c r="C1676" t="s">
        <v>592</v>
      </c>
      <c r="D1676" s="1">
        <v>46224</v>
      </c>
      <c r="E1676">
        <v>113.9</v>
      </c>
      <c r="F1676" t="s">
        <v>4314</v>
      </c>
      <c r="G1676" s="1">
        <v>46224.771787731479</v>
      </c>
      <c r="H1676" t="s">
        <v>593</v>
      </c>
      <c r="I1676" s="1">
        <v>46224.771787812497</v>
      </c>
      <c r="J1676" t="s">
        <v>593</v>
      </c>
    </row>
    <row r="1677" spans="1:10" x14ac:dyDescent="0.35">
      <c r="A1677" t="s">
        <v>1578</v>
      </c>
      <c r="B1677" t="s">
        <v>600</v>
      </c>
      <c r="C1677" t="s">
        <v>592</v>
      </c>
      <c r="D1677" s="1">
        <v>46224</v>
      </c>
      <c r="E1677">
        <v>114.29</v>
      </c>
      <c r="F1677" t="s">
        <v>4314</v>
      </c>
      <c r="G1677" s="1">
        <v>46224.771787731479</v>
      </c>
      <c r="H1677" t="s">
        <v>593</v>
      </c>
      <c r="I1677" s="1">
        <v>46224.771787812497</v>
      </c>
      <c r="J1677" t="s">
        <v>593</v>
      </c>
    </row>
    <row r="1678" spans="1:10" x14ac:dyDescent="0.35">
      <c r="A1678" t="s">
        <v>1579</v>
      </c>
      <c r="B1678" t="s">
        <v>591</v>
      </c>
      <c r="C1678" t="s">
        <v>592</v>
      </c>
      <c r="D1678" s="1">
        <v>46224</v>
      </c>
      <c r="E1678">
        <v>3.4098370755507097E-2</v>
      </c>
      <c r="F1678" t="s">
        <v>5584</v>
      </c>
      <c r="G1678" s="1">
        <v>46224.771787731479</v>
      </c>
      <c r="H1678" t="s">
        <v>593</v>
      </c>
      <c r="I1678" s="1">
        <v>46224.771787812497</v>
      </c>
      <c r="J1678" t="s">
        <v>593</v>
      </c>
    </row>
    <row r="1679" spans="1:10" x14ac:dyDescent="0.35">
      <c r="A1679" t="s">
        <v>1580</v>
      </c>
      <c r="B1679" t="s">
        <v>591</v>
      </c>
      <c r="C1679" t="s">
        <v>592</v>
      </c>
      <c r="D1679" s="1">
        <v>46224</v>
      </c>
      <c r="E1679">
        <v>2.9446126096661002E-2</v>
      </c>
      <c r="F1679" t="s">
        <v>5585</v>
      </c>
      <c r="G1679" s="1">
        <v>46224.771787731479</v>
      </c>
      <c r="H1679" t="s">
        <v>593</v>
      </c>
      <c r="I1679" s="1">
        <v>46224.771787812497</v>
      </c>
      <c r="J1679" t="s">
        <v>593</v>
      </c>
    </row>
    <row r="1680" spans="1:10" x14ac:dyDescent="0.35">
      <c r="A1680" t="s">
        <v>1581</v>
      </c>
      <c r="B1680" t="s">
        <v>591</v>
      </c>
      <c r="C1680" t="s">
        <v>592</v>
      </c>
      <c r="D1680" s="1">
        <v>46224</v>
      </c>
      <c r="E1680">
        <v>3.4480319196106203E-2</v>
      </c>
      <c r="F1680" t="s">
        <v>5586</v>
      </c>
      <c r="G1680" s="1">
        <v>46224.771787731479</v>
      </c>
      <c r="H1680" t="s">
        <v>593</v>
      </c>
      <c r="I1680" s="1">
        <v>46224.771787812497</v>
      </c>
      <c r="J1680" t="s">
        <v>593</v>
      </c>
    </row>
    <row r="1681" spans="1:10" x14ac:dyDescent="0.35">
      <c r="A1681" t="s">
        <v>1582</v>
      </c>
      <c r="B1681" t="s">
        <v>591</v>
      </c>
      <c r="C1681" t="s">
        <v>592</v>
      </c>
      <c r="D1681" s="1">
        <v>46224</v>
      </c>
      <c r="E1681">
        <v>3.04182553313034E-2</v>
      </c>
      <c r="F1681" t="s">
        <v>5587</v>
      </c>
      <c r="G1681" s="1">
        <v>46224.771787731479</v>
      </c>
      <c r="H1681" t="s">
        <v>593</v>
      </c>
      <c r="I1681" s="1">
        <v>46224.771787812497</v>
      </c>
      <c r="J1681" t="s">
        <v>593</v>
      </c>
    </row>
    <row r="1682" spans="1:10" x14ac:dyDescent="0.35">
      <c r="A1682" t="s">
        <v>1583</v>
      </c>
      <c r="B1682" t="s">
        <v>600</v>
      </c>
      <c r="C1682" t="s">
        <v>592</v>
      </c>
      <c r="D1682" s="1">
        <v>46224</v>
      </c>
      <c r="E1682">
        <v>124.6</v>
      </c>
      <c r="F1682" t="s">
        <v>4314</v>
      </c>
      <c r="G1682" s="1">
        <v>46224.771787731479</v>
      </c>
      <c r="H1682" t="s">
        <v>593</v>
      </c>
      <c r="I1682" s="1">
        <v>46224.771787812497</v>
      </c>
      <c r="J1682" t="s">
        <v>593</v>
      </c>
    </row>
    <row r="1683" spans="1:10" x14ac:dyDescent="0.35">
      <c r="A1683" t="s">
        <v>1584</v>
      </c>
      <c r="B1683" t="s">
        <v>600</v>
      </c>
      <c r="C1683" t="s">
        <v>592</v>
      </c>
      <c r="D1683" s="1">
        <v>46224</v>
      </c>
      <c r="E1683">
        <v>123.76</v>
      </c>
      <c r="F1683" t="s">
        <v>4314</v>
      </c>
      <c r="G1683" s="1">
        <v>46224.771787731479</v>
      </c>
      <c r="H1683" t="s">
        <v>593</v>
      </c>
      <c r="I1683" s="1">
        <v>46224.771787812497</v>
      </c>
      <c r="J1683" t="s">
        <v>593</v>
      </c>
    </row>
    <row r="1684" spans="1:10" x14ac:dyDescent="0.35">
      <c r="A1684" t="s">
        <v>1585</v>
      </c>
      <c r="B1684" t="s">
        <v>600</v>
      </c>
      <c r="C1684" t="s">
        <v>592</v>
      </c>
      <c r="D1684" s="1">
        <v>46224</v>
      </c>
      <c r="E1684">
        <v>95.944999999999993</v>
      </c>
      <c r="G1684" s="1">
        <v>46224.770106331016</v>
      </c>
      <c r="H1684" t="s">
        <v>5588</v>
      </c>
      <c r="I1684" s="1">
        <v>46224.770106284719</v>
      </c>
      <c r="J1684" t="s">
        <v>5588</v>
      </c>
    </row>
    <row r="1685" spans="1:10" x14ac:dyDescent="0.35">
      <c r="A1685" t="s">
        <v>1586</v>
      </c>
      <c r="B1685" t="s">
        <v>600</v>
      </c>
      <c r="C1685" t="s">
        <v>592</v>
      </c>
      <c r="D1685" s="1">
        <v>46224</v>
      </c>
      <c r="E1685">
        <v>95.93</v>
      </c>
      <c r="G1685" s="1">
        <v>46224.770106331016</v>
      </c>
      <c r="H1685" t="s">
        <v>5588</v>
      </c>
      <c r="I1685" s="1">
        <v>46224.770106284719</v>
      </c>
      <c r="J1685" t="s">
        <v>5588</v>
      </c>
    </row>
    <row r="1686" spans="1:10" x14ac:dyDescent="0.35">
      <c r="A1686" t="s">
        <v>1587</v>
      </c>
      <c r="B1686" t="s">
        <v>600</v>
      </c>
      <c r="C1686" t="s">
        <v>592</v>
      </c>
      <c r="D1686" s="1">
        <v>46224</v>
      </c>
      <c r="E1686">
        <v>95.92</v>
      </c>
      <c r="G1686" s="1">
        <v>46224.770106331016</v>
      </c>
      <c r="H1686" t="s">
        <v>5588</v>
      </c>
      <c r="I1686" s="1">
        <v>46224.770106284719</v>
      </c>
      <c r="J1686" t="s">
        <v>5588</v>
      </c>
    </row>
    <row r="1687" spans="1:10" x14ac:dyDescent="0.35">
      <c r="A1687" t="s">
        <v>1588</v>
      </c>
      <c r="B1687" t="s">
        <v>600</v>
      </c>
      <c r="C1687" t="s">
        <v>592</v>
      </c>
      <c r="D1687" s="1">
        <v>46224</v>
      </c>
      <c r="E1687">
        <v>95.95</v>
      </c>
      <c r="G1687" s="1">
        <v>46224.770106331016</v>
      </c>
      <c r="H1687" t="s">
        <v>5588</v>
      </c>
      <c r="I1687" s="1">
        <v>46224.770106284719</v>
      </c>
      <c r="J1687" t="s">
        <v>5588</v>
      </c>
    </row>
    <row r="1688" spans="1:10" x14ac:dyDescent="0.35">
      <c r="A1688" t="s">
        <v>1589</v>
      </c>
      <c r="B1688" t="s">
        <v>600</v>
      </c>
      <c r="C1688" t="s">
        <v>592</v>
      </c>
      <c r="D1688" s="1">
        <v>46224</v>
      </c>
      <c r="E1688">
        <v>95.89</v>
      </c>
      <c r="G1688" s="1">
        <v>46224.770106331016</v>
      </c>
      <c r="H1688" t="s">
        <v>5588</v>
      </c>
      <c r="I1688" s="1">
        <v>46224.770106284719</v>
      </c>
      <c r="J1688" t="s">
        <v>5588</v>
      </c>
    </row>
    <row r="1689" spans="1:10" x14ac:dyDescent="0.35">
      <c r="A1689" t="s">
        <v>1590</v>
      </c>
      <c r="B1689" t="s">
        <v>600</v>
      </c>
      <c r="C1689" t="s">
        <v>592</v>
      </c>
      <c r="D1689" s="1">
        <v>46224</v>
      </c>
      <c r="E1689">
        <v>95.97</v>
      </c>
      <c r="G1689" s="1">
        <v>46224.770106331016</v>
      </c>
      <c r="H1689" t="s">
        <v>5588</v>
      </c>
      <c r="I1689" s="1">
        <v>46224.770106284719</v>
      </c>
      <c r="J1689" t="s">
        <v>5588</v>
      </c>
    </row>
    <row r="1690" spans="1:10" x14ac:dyDescent="0.35">
      <c r="A1690" t="s">
        <v>1591</v>
      </c>
      <c r="B1690" t="s">
        <v>600</v>
      </c>
      <c r="C1690" t="s">
        <v>592</v>
      </c>
      <c r="D1690" s="1">
        <v>46224</v>
      </c>
      <c r="E1690">
        <v>95.86</v>
      </c>
      <c r="G1690" s="1">
        <v>46224.770106331016</v>
      </c>
      <c r="H1690" t="s">
        <v>5588</v>
      </c>
      <c r="I1690" s="1">
        <v>46224.770106284719</v>
      </c>
      <c r="J1690" t="s">
        <v>5588</v>
      </c>
    </row>
    <row r="1691" spans="1:10" x14ac:dyDescent="0.35">
      <c r="A1691" t="s">
        <v>1767</v>
      </c>
      <c r="B1691" t="s">
        <v>600</v>
      </c>
      <c r="C1691" t="s">
        <v>592</v>
      </c>
      <c r="D1691" s="1">
        <v>46224</v>
      </c>
      <c r="E1691">
        <v>95.99</v>
      </c>
      <c r="G1691" s="1">
        <v>46224.770106331016</v>
      </c>
      <c r="H1691" t="s">
        <v>5588</v>
      </c>
      <c r="I1691" s="1">
        <v>46224.770106284719</v>
      </c>
      <c r="J1691" t="s">
        <v>5588</v>
      </c>
    </row>
    <row r="1692" spans="1:10" x14ac:dyDescent="0.35">
      <c r="A1692" t="s">
        <v>1592</v>
      </c>
      <c r="B1692" t="s">
        <v>600</v>
      </c>
      <c r="C1692" t="s">
        <v>592</v>
      </c>
      <c r="D1692" s="1">
        <v>46224</v>
      </c>
      <c r="E1692">
        <v>95.86</v>
      </c>
      <c r="G1692" s="1">
        <v>46224.770106331016</v>
      </c>
      <c r="H1692" t="s">
        <v>5588</v>
      </c>
      <c r="I1692" s="1">
        <v>46224.770106284719</v>
      </c>
      <c r="J1692" t="s">
        <v>5588</v>
      </c>
    </row>
    <row r="1693" spans="1:10" x14ac:dyDescent="0.35">
      <c r="A1693" t="s">
        <v>1980</v>
      </c>
      <c r="B1693" t="s">
        <v>600</v>
      </c>
      <c r="C1693" t="s">
        <v>592</v>
      </c>
      <c r="D1693" s="1">
        <v>46224</v>
      </c>
      <c r="E1693">
        <v>96.01</v>
      </c>
      <c r="G1693" s="1">
        <v>46224.770106331016</v>
      </c>
      <c r="H1693" t="s">
        <v>5588</v>
      </c>
      <c r="I1693" s="1">
        <v>46224.770106284719</v>
      </c>
      <c r="J1693" t="s">
        <v>5588</v>
      </c>
    </row>
    <row r="1694" spans="1:10" x14ac:dyDescent="0.35">
      <c r="A1694" t="s">
        <v>1593</v>
      </c>
      <c r="B1694" t="s">
        <v>600</v>
      </c>
      <c r="C1694" t="s">
        <v>592</v>
      </c>
      <c r="D1694" s="1">
        <v>46224</v>
      </c>
      <c r="E1694">
        <v>95.86</v>
      </c>
      <c r="G1694" s="1">
        <v>46224.770106331016</v>
      </c>
      <c r="H1694" t="s">
        <v>5588</v>
      </c>
      <c r="I1694" s="1">
        <v>46224.770106284719</v>
      </c>
      <c r="J1694" t="s">
        <v>5588</v>
      </c>
    </row>
    <row r="1695" spans="1:10" x14ac:dyDescent="0.35">
      <c r="A1695" t="s">
        <v>1594</v>
      </c>
      <c r="B1695" t="s">
        <v>600</v>
      </c>
      <c r="C1695" t="s">
        <v>592</v>
      </c>
      <c r="D1695" s="1">
        <v>46224</v>
      </c>
      <c r="E1695">
        <v>96.38</v>
      </c>
      <c r="G1695" s="1">
        <v>46224.770106331016</v>
      </c>
      <c r="H1695" t="s">
        <v>5588</v>
      </c>
      <c r="I1695" s="1">
        <v>46224.770106284719</v>
      </c>
      <c r="J1695" t="s">
        <v>5588</v>
      </c>
    </row>
    <row r="1696" spans="1:10" x14ac:dyDescent="0.35">
      <c r="A1696" t="s">
        <v>1595</v>
      </c>
      <c r="B1696" t="s">
        <v>600</v>
      </c>
      <c r="C1696" t="s">
        <v>592</v>
      </c>
      <c r="D1696" s="1">
        <v>46224</v>
      </c>
      <c r="E1696">
        <v>95.86</v>
      </c>
      <c r="G1696" s="1">
        <v>46224.770106331016</v>
      </c>
      <c r="H1696" t="s">
        <v>5588</v>
      </c>
      <c r="I1696" s="1">
        <v>46224.770106284719</v>
      </c>
      <c r="J1696" t="s">
        <v>5588</v>
      </c>
    </row>
    <row r="1697" spans="1:10" x14ac:dyDescent="0.35">
      <c r="A1697" t="s">
        <v>1596</v>
      </c>
      <c r="B1697" t="s">
        <v>600</v>
      </c>
      <c r="C1697" t="s">
        <v>592</v>
      </c>
      <c r="D1697" s="1">
        <v>46224</v>
      </c>
      <c r="E1697">
        <v>96.29</v>
      </c>
      <c r="G1697" s="1">
        <v>46224.770106331016</v>
      </c>
      <c r="H1697" t="s">
        <v>5588</v>
      </c>
      <c r="I1697" s="1">
        <v>46224.770106284719</v>
      </c>
      <c r="J1697" t="s">
        <v>5588</v>
      </c>
    </row>
    <row r="1698" spans="1:10" x14ac:dyDescent="0.35">
      <c r="A1698" t="s">
        <v>1597</v>
      </c>
      <c r="B1698" t="s">
        <v>600</v>
      </c>
      <c r="C1698" t="s">
        <v>592</v>
      </c>
      <c r="D1698" s="1">
        <v>46224</v>
      </c>
      <c r="E1698">
        <v>95.86</v>
      </c>
      <c r="G1698" s="1">
        <v>46224.770106331016</v>
      </c>
      <c r="H1698" t="s">
        <v>5588</v>
      </c>
      <c r="I1698" s="1">
        <v>46224.770106284719</v>
      </c>
      <c r="J1698" t="s">
        <v>5588</v>
      </c>
    </row>
    <row r="1699" spans="1:10" x14ac:dyDescent="0.35">
      <c r="A1699" t="s">
        <v>1598</v>
      </c>
      <c r="B1699" t="s">
        <v>600</v>
      </c>
      <c r="C1699" t="s">
        <v>592</v>
      </c>
      <c r="D1699" s="1">
        <v>46224</v>
      </c>
      <c r="E1699">
        <v>96.22</v>
      </c>
      <c r="G1699" s="1">
        <v>46224.770106331016</v>
      </c>
      <c r="H1699" t="s">
        <v>5588</v>
      </c>
      <c r="I1699" s="1">
        <v>46224.770106284719</v>
      </c>
      <c r="J1699" t="s">
        <v>5588</v>
      </c>
    </row>
    <row r="1700" spans="1:10" x14ac:dyDescent="0.35">
      <c r="A1700" t="s">
        <v>1599</v>
      </c>
      <c r="B1700" t="s">
        <v>600</v>
      </c>
      <c r="C1700" t="s">
        <v>592</v>
      </c>
      <c r="D1700" s="1">
        <v>46224</v>
      </c>
      <c r="E1700">
        <v>95.87</v>
      </c>
      <c r="G1700" s="1">
        <v>46224.770106331016</v>
      </c>
      <c r="H1700" t="s">
        <v>5588</v>
      </c>
      <c r="I1700" s="1">
        <v>46224.770106284719</v>
      </c>
      <c r="J1700" t="s">
        <v>5588</v>
      </c>
    </row>
    <row r="1701" spans="1:10" x14ac:dyDescent="0.35">
      <c r="A1701" t="s">
        <v>1600</v>
      </c>
      <c r="B1701" t="s">
        <v>600</v>
      </c>
      <c r="C1701" t="s">
        <v>592</v>
      </c>
      <c r="D1701" s="1">
        <v>46224</v>
      </c>
      <c r="E1701">
        <v>96.135000000000005</v>
      </c>
      <c r="G1701" s="1">
        <v>46224.770106331016</v>
      </c>
      <c r="H1701" t="s">
        <v>5588</v>
      </c>
      <c r="I1701" s="1">
        <v>46224.770106284719</v>
      </c>
      <c r="J1701" t="s">
        <v>5588</v>
      </c>
    </row>
    <row r="1702" spans="1:10" x14ac:dyDescent="0.35">
      <c r="A1702" t="s">
        <v>1601</v>
      </c>
      <c r="B1702" t="s">
        <v>600</v>
      </c>
      <c r="C1702" t="s">
        <v>592</v>
      </c>
      <c r="D1702" s="1">
        <v>46224</v>
      </c>
      <c r="E1702">
        <v>95.88</v>
      </c>
      <c r="G1702" s="1">
        <v>46224.770106331016</v>
      </c>
      <c r="H1702" t="s">
        <v>5588</v>
      </c>
      <c r="I1702" s="1">
        <v>46224.770106284719</v>
      </c>
      <c r="J1702" t="s">
        <v>5588</v>
      </c>
    </row>
    <row r="1703" spans="1:10" x14ac:dyDescent="0.35">
      <c r="A1703" t="s">
        <v>1602</v>
      </c>
      <c r="B1703" t="s">
        <v>600</v>
      </c>
      <c r="C1703" t="s">
        <v>592</v>
      </c>
      <c r="D1703" s="1">
        <v>46224</v>
      </c>
      <c r="E1703">
        <v>96.064999999999998</v>
      </c>
      <c r="G1703" s="1">
        <v>46224.770106331016</v>
      </c>
      <c r="H1703" t="s">
        <v>5588</v>
      </c>
      <c r="I1703" s="1">
        <v>46224.770106284719</v>
      </c>
      <c r="J1703" t="s">
        <v>5588</v>
      </c>
    </row>
    <row r="1704" spans="1:10" x14ac:dyDescent="0.35">
      <c r="A1704" t="s">
        <v>1603</v>
      </c>
      <c r="B1704" t="s">
        <v>600</v>
      </c>
      <c r="C1704" t="s">
        <v>592</v>
      </c>
      <c r="D1704" s="1">
        <v>46224</v>
      </c>
      <c r="E1704">
        <v>95.89</v>
      </c>
      <c r="G1704" s="1">
        <v>46224.770106331016</v>
      </c>
      <c r="H1704" t="s">
        <v>5588</v>
      </c>
      <c r="I1704" s="1">
        <v>46224.770106284719</v>
      </c>
      <c r="J1704" t="s">
        <v>5588</v>
      </c>
    </row>
    <row r="1705" spans="1:10" x14ac:dyDescent="0.35">
      <c r="A1705" t="s">
        <v>1604</v>
      </c>
      <c r="B1705" t="s">
        <v>600</v>
      </c>
      <c r="C1705" t="s">
        <v>592</v>
      </c>
      <c r="D1705" s="1">
        <v>46224</v>
      </c>
      <c r="E1705">
        <v>95.974999999999994</v>
      </c>
      <c r="G1705" s="1">
        <v>46224.770106331016</v>
      </c>
      <c r="H1705" t="s">
        <v>5588</v>
      </c>
      <c r="I1705" s="1">
        <v>46224.770106284719</v>
      </c>
      <c r="J1705" t="s">
        <v>5588</v>
      </c>
    </row>
    <row r="1706" spans="1:10" x14ac:dyDescent="0.35">
      <c r="A1706" t="s">
        <v>1605</v>
      </c>
      <c r="B1706" t="s">
        <v>600</v>
      </c>
      <c r="C1706" t="s">
        <v>592</v>
      </c>
      <c r="D1706" s="1">
        <v>46224</v>
      </c>
      <c r="E1706">
        <v>95.91</v>
      </c>
      <c r="G1706" s="1">
        <v>46224.770106331016</v>
      </c>
      <c r="H1706" t="s">
        <v>5588</v>
      </c>
      <c r="I1706" s="1">
        <v>46224.770106284719</v>
      </c>
      <c r="J1706" t="s">
        <v>5588</v>
      </c>
    </row>
    <row r="1707" spans="1:10" x14ac:dyDescent="0.35">
      <c r="A1707" t="s">
        <v>1606</v>
      </c>
      <c r="B1707" t="s">
        <v>600</v>
      </c>
      <c r="C1707" t="s">
        <v>592</v>
      </c>
      <c r="D1707" s="1">
        <v>46224</v>
      </c>
      <c r="E1707">
        <v>95.83</v>
      </c>
      <c r="F1707" t="s">
        <v>4314</v>
      </c>
      <c r="G1707" s="1">
        <v>46224.771787731479</v>
      </c>
      <c r="H1707" t="s">
        <v>593</v>
      </c>
      <c r="I1707" s="1">
        <v>46224.771787812497</v>
      </c>
      <c r="J1707" t="s">
        <v>593</v>
      </c>
    </row>
    <row r="1708" spans="1:10" x14ac:dyDescent="0.35">
      <c r="A1708" t="s">
        <v>1768</v>
      </c>
      <c r="B1708" t="s">
        <v>600</v>
      </c>
      <c r="C1708" t="s">
        <v>592</v>
      </c>
      <c r="D1708" s="1">
        <v>46224</v>
      </c>
      <c r="E1708">
        <v>95.965000000000003</v>
      </c>
      <c r="F1708" t="s">
        <v>4314</v>
      </c>
      <c r="G1708" s="1">
        <v>46224.771787731479</v>
      </c>
      <c r="H1708" t="s">
        <v>593</v>
      </c>
      <c r="I1708" s="1">
        <v>46224.771787812497</v>
      </c>
      <c r="J1708" t="s">
        <v>593</v>
      </c>
    </row>
    <row r="1709" spans="1:10" x14ac:dyDescent="0.35">
      <c r="A1709" t="s">
        <v>1607</v>
      </c>
      <c r="B1709" t="s">
        <v>600</v>
      </c>
      <c r="C1709" t="s">
        <v>592</v>
      </c>
      <c r="D1709" s="1">
        <v>46224</v>
      </c>
      <c r="E1709">
        <v>96.317499999999995</v>
      </c>
      <c r="F1709" t="s">
        <v>4314</v>
      </c>
      <c r="G1709" s="1">
        <v>46224.771787731479</v>
      </c>
      <c r="H1709" t="s">
        <v>593</v>
      </c>
      <c r="I1709" s="1">
        <v>46224.771787812497</v>
      </c>
      <c r="J1709" t="s">
        <v>593</v>
      </c>
    </row>
    <row r="1710" spans="1:10" x14ac:dyDescent="0.35">
      <c r="A1710" t="s">
        <v>1608</v>
      </c>
      <c r="B1710" t="s">
        <v>600</v>
      </c>
      <c r="C1710" t="s">
        <v>592</v>
      </c>
      <c r="D1710" s="1">
        <v>46224</v>
      </c>
      <c r="E1710">
        <v>95.825000000000003</v>
      </c>
      <c r="F1710" t="s">
        <v>4314</v>
      </c>
      <c r="G1710" s="1">
        <v>46224.771787731479</v>
      </c>
      <c r="H1710" t="s">
        <v>593</v>
      </c>
      <c r="I1710" s="1">
        <v>46224.771787812497</v>
      </c>
      <c r="J1710" t="s">
        <v>593</v>
      </c>
    </row>
    <row r="1711" spans="1:10" x14ac:dyDescent="0.35">
      <c r="A1711" t="s">
        <v>1609</v>
      </c>
      <c r="B1711" t="s">
        <v>600</v>
      </c>
      <c r="C1711" t="s">
        <v>592</v>
      </c>
      <c r="D1711" s="1">
        <v>46224</v>
      </c>
      <c r="E1711">
        <v>96.08</v>
      </c>
      <c r="F1711" t="s">
        <v>4314</v>
      </c>
      <c r="G1711" s="1">
        <v>46224.771787731479</v>
      </c>
      <c r="H1711" t="s">
        <v>593</v>
      </c>
      <c r="I1711" s="1">
        <v>46224.771787812497</v>
      </c>
      <c r="J1711" t="s">
        <v>593</v>
      </c>
    </row>
    <row r="1712" spans="1:10" x14ac:dyDescent="0.35">
      <c r="A1712" t="s">
        <v>1610</v>
      </c>
      <c r="B1712" t="s">
        <v>600</v>
      </c>
      <c r="C1712" t="s">
        <v>592</v>
      </c>
      <c r="D1712" s="1">
        <v>46224</v>
      </c>
      <c r="E1712">
        <v>95.87</v>
      </c>
      <c r="F1712" t="s">
        <v>4314</v>
      </c>
      <c r="G1712" s="1">
        <v>46224.771787731479</v>
      </c>
      <c r="H1712" t="s">
        <v>593</v>
      </c>
      <c r="I1712" s="1">
        <v>46224.771787812497</v>
      </c>
      <c r="J1712" t="s">
        <v>593</v>
      </c>
    </row>
    <row r="1713" spans="1:10" x14ac:dyDescent="0.35">
      <c r="A1713" t="s">
        <v>1611</v>
      </c>
      <c r="B1713" t="s">
        <v>600</v>
      </c>
      <c r="C1713" t="s">
        <v>592</v>
      </c>
      <c r="D1713" s="1">
        <v>46224</v>
      </c>
      <c r="E1713">
        <v>95.915000000000006</v>
      </c>
      <c r="F1713" t="s">
        <v>4314</v>
      </c>
      <c r="G1713" s="1">
        <v>46224.771787731479</v>
      </c>
      <c r="H1713" t="s">
        <v>593</v>
      </c>
      <c r="I1713" s="1">
        <v>46224.771787812497</v>
      </c>
      <c r="J1713" t="s">
        <v>593</v>
      </c>
    </row>
    <row r="1714" spans="1:10" x14ac:dyDescent="0.35">
      <c r="A1714" t="s">
        <v>1612</v>
      </c>
      <c r="B1714" t="s">
        <v>600</v>
      </c>
      <c r="C1714" t="s">
        <v>592</v>
      </c>
      <c r="D1714" s="1">
        <v>46224</v>
      </c>
      <c r="E1714">
        <v>95.93</v>
      </c>
      <c r="F1714" t="s">
        <v>4314</v>
      </c>
      <c r="G1714" s="1">
        <v>46224.771787731479</v>
      </c>
      <c r="H1714" t="s">
        <v>593</v>
      </c>
      <c r="I1714" s="1">
        <v>46224.771787812497</v>
      </c>
      <c r="J1714" t="s">
        <v>593</v>
      </c>
    </row>
    <row r="1715" spans="1:10" x14ac:dyDescent="0.35">
      <c r="A1715" t="s">
        <v>1964</v>
      </c>
      <c r="B1715" t="s">
        <v>600</v>
      </c>
      <c r="C1715" t="s">
        <v>592</v>
      </c>
      <c r="D1715" s="1">
        <v>46224</v>
      </c>
      <c r="E1715">
        <v>102.738281</v>
      </c>
      <c r="F1715" t="s">
        <v>4314</v>
      </c>
      <c r="G1715" s="1">
        <v>46224.771787731479</v>
      </c>
      <c r="H1715" t="s">
        <v>593</v>
      </c>
      <c r="I1715" s="1">
        <v>46224.771787812497</v>
      </c>
      <c r="J1715" t="s">
        <v>593</v>
      </c>
    </row>
    <row r="1716" spans="1:10" x14ac:dyDescent="0.35">
      <c r="A1716" t="s">
        <v>1613</v>
      </c>
      <c r="B1716" t="s">
        <v>600</v>
      </c>
      <c r="C1716" t="s">
        <v>592</v>
      </c>
      <c r="D1716" s="1">
        <v>46224</v>
      </c>
      <c r="E1716">
        <v>102.859375</v>
      </c>
      <c r="F1716" t="s">
        <v>4314</v>
      </c>
      <c r="G1716" s="1">
        <v>46224.771787731479</v>
      </c>
      <c r="H1716" t="s">
        <v>593</v>
      </c>
      <c r="I1716" s="1">
        <v>46224.771787812497</v>
      </c>
      <c r="J1716" t="s">
        <v>593</v>
      </c>
    </row>
    <row r="1717" spans="1:10" x14ac:dyDescent="0.35">
      <c r="A1717" t="s">
        <v>1614</v>
      </c>
      <c r="B1717" t="s">
        <v>600</v>
      </c>
      <c r="C1717" t="s">
        <v>592</v>
      </c>
      <c r="D1717" s="1">
        <v>46224</v>
      </c>
      <c r="E1717">
        <v>102.773438</v>
      </c>
      <c r="F1717" t="s">
        <v>4314</v>
      </c>
      <c r="G1717" s="1">
        <v>46224.771787731479</v>
      </c>
      <c r="H1717" t="s">
        <v>593</v>
      </c>
      <c r="I1717" s="1">
        <v>46224.771787812497</v>
      </c>
      <c r="J1717" t="s">
        <v>593</v>
      </c>
    </row>
    <row r="1718" spans="1:10" x14ac:dyDescent="0.35">
      <c r="A1718" t="s">
        <v>1772</v>
      </c>
      <c r="B1718" t="s">
        <v>600</v>
      </c>
      <c r="C1718" t="s">
        <v>592</v>
      </c>
      <c r="D1718" s="1">
        <v>46224</v>
      </c>
      <c r="E1718">
        <v>108.328125</v>
      </c>
      <c r="F1718" t="s">
        <v>4314</v>
      </c>
      <c r="G1718" s="1">
        <v>46224.771787731479</v>
      </c>
      <c r="H1718" t="s">
        <v>593</v>
      </c>
      <c r="I1718" s="1">
        <v>46224.771787812497</v>
      </c>
      <c r="J1718" t="s">
        <v>593</v>
      </c>
    </row>
    <row r="1719" spans="1:10" x14ac:dyDescent="0.35">
      <c r="A1719" t="s">
        <v>1615</v>
      </c>
      <c r="B1719" t="s">
        <v>600</v>
      </c>
      <c r="C1719" t="s">
        <v>592</v>
      </c>
      <c r="D1719" s="1">
        <v>46224</v>
      </c>
      <c r="E1719">
        <v>108.640625</v>
      </c>
      <c r="F1719" t="s">
        <v>4314</v>
      </c>
      <c r="G1719" s="1">
        <v>46224.771787731479</v>
      </c>
      <c r="H1719" t="s">
        <v>593</v>
      </c>
      <c r="I1719" s="1">
        <v>46224.771787812497</v>
      </c>
      <c r="J1719" t="s">
        <v>593</v>
      </c>
    </row>
    <row r="1720" spans="1:10" x14ac:dyDescent="0.35">
      <c r="A1720" t="s">
        <v>1616</v>
      </c>
      <c r="B1720" t="s">
        <v>600</v>
      </c>
      <c r="C1720" t="s">
        <v>592</v>
      </c>
      <c r="D1720" s="1">
        <v>46224</v>
      </c>
      <c r="E1720">
        <v>108.421875</v>
      </c>
      <c r="F1720" t="s">
        <v>4314</v>
      </c>
      <c r="G1720" s="1">
        <v>46224.771787731479</v>
      </c>
      <c r="H1720" t="s">
        <v>593</v>
      </c>
      <c r="I1720" s="1">
        <v>46224.771787812497</v>
      </c>
      <c r="J1720" t="s">
        <v>593</v>
      </c>
    </row>
    <row r="1721" spans="1:10" x14ac:dyDescent="0.35">
      <c r="A1721" t="s">
        <v>1617</v>
      </c>
      <c r="B1721" t="s">
        <v>600</v>
      </c>
      <c r="C1721" t="s">
        <v>592</v>
      </c>
      <c r="D1721" s="1">
        <v>46224</v>
      </c>
      <c r="E1721">
        <v>106.24</v>
      </c>
      <c r="F1721" t="s">
        <v>4314</v>
      </c>
      <c r="G1721" s="1">
        <v>46224.771787731479</v>
      </c>
      <c r="H1721" t="s">
        <v>593</v>
      </c>
      <c r="I1721" s="1">
        <v>46224.771787812497</v>
      </c>
      <c r="J1721" t="s">
        <v>593</v>
      </c>
    </row>
    <row r="1722" spans="1:10" x14ac:dyDescent="0.35">
      <c r="A1722" t="s">
        <v>1618</v>
      </c>
      <c r="B1722" t="s">
        <v>600</v>
      </c>
      <c r="C1722" t="s">
        <v>592</v>
      </c>
      <c r="D1722" s="1">
        <v>46224</v>
      </c>
      <c r="E1722">
        <v>105.72</v>
      </c>
      <c r="F1722" t="s">
        <v>4314</v>
      </c>
      <c r="G1722" s="1">
        <v>46224.771787731479</v>
      </c>
      <c r="H1722" t="s">
        <v>593</v>
      </c>
      <c r="I1722" s="1">
        <v>46224.771787812497</v>
      </c>
      <c r="J1722" t="s">
        <v>593</v>
      </c>
    </row>
    <row r="1723" spans="1:10" x14ac:dyDescent="0.35">
      <c r="A1723" t="s">
        <v>1773</v>
      </c>
      <c r="B1723" t="s">
        <v>600</v>
      </c>
      <c r="C1723" t="s">
        <v>592</v>
      </c>
      <c r="D1723" s="1">
        <v>46224</v>
      </c>
      <c r="E1723">
        <v>109.5625</v>
      </c>
      <c r="F1723" t="s">
        <v>4314</v>
      </c>
      <c r="G1723" s="1">
        <v>46224.771787731479</v>
      </c>
      <c r="H1723" t="s">
        <v>593</v>
      </c>
      <c r="I1723" s="1">
        <v>46224.771787812497</v>
      </c>
      <c r="J1723" t="s">
        <v>593</v>
      </c>
    </row>
    <row r="1724" spans="1:10" x14ac:dyDescent="0.35">
      <c r="A1724" t="s">
        <v>1619</v>
      </c>
      <c r="B1724" t="s">
        <v>591</v>
      </c>
      <c r="C1724" t="s">
        <v>592</v>
      </c>
      <c r="D1724" s="1">
        <v>46224</v>
      </c>
      <c r="E1724">
        <v>4.0556450000000001E-2</v>
      </c>
      <c r="G1724" s="1">
        <v>46224.770106481483</v>
      </c>
      <c r="H1724" t="s">
        <v>5588</v>
      </c>
      <c r="I1724" s="1">
        <v>46224.770106481483</v>
      </c>
      <c r="J1724" t="s">
        <v>5588</v>
      </c>
    </row>
    <row r="1725" spans="1:10" x14ac:dyDescent="0.35">
      <c r="A1725" t="s">
        <v>1620</v>
      </c>
      <c r="B1725" t="s">
        <v>591</v>
      </c>
      <c r="C1725" t="s">
        <v>592</v>
      </c>
      <c r="D1725" s="1">
        <v>46224</v>
      </c>
      <c r="E1725">
        <v>4.1617300000000003E-2</v>
      </c>
      <c r="G1725" s="1">
        <v>46224.770106481483</v>
      </c>
      <c r="H1725" t="s">
        <v>5588</v>
      </c>
      <c r="I1725" s="1">
        <v>46224.770106481483</v>
      </c>
      <c r="J1725" t="s">
        <v>5588</v>
      </c>
    </row>
    <row r="1726" spans="1:10" x14ac:dyDescent="0.35">
      <c r="A1726" t="s">
        <v>1621</v>
      </c>
      <c r="B1726" t="s">
        <v>591</v>
      </c>
      <c r="C1726" t="s">
        <v>592</v>
      </c>
      <c r="D1726" s="1">
        <v>46224</v>
      </c>
      <c r="E1726">
        <v>4.2247350000000003E-2</v>
      </c>
      <c r="G1726" s="1">
        <v>46224.770106481483</v>
      </c>
      <c r="H1726" t="s">
        <v>5588</v>
      </c>
      <c r="I1726" s="1">
        <v>46224.770106481483</v>
      </c>
      <c r="J1726" t="s">
        <v>5588</v>
      </c>
    </row>
    <row r="1727" spans="1:10" x14ac:dyDescent="0.35">
      <c r="A1727" t="s">
        <v>1622</v>
      </c>
      <c r="B1727" t="s">
        <v>591</v>
      </c>
      <c r="C1727" t="s">
        <v>592</v>
      </c>
      <c r="D1727" s="1">
        <v>46224</v>
      </c>
      <c r="E1727">
        <v>4.3076799999999998E-2</v>
      </c>
      <c r="G1727" s="1">
        <v>46224.770106481483</v>
      </c>
      <c r="H1727" t="s">
        <v>5588</v>
      </c>
      <c r="I1727" s="1">
        <v>46224.770106481483</v>
      </c>
      <c r="J1727" t="s">
        <v>5588</v>
      </c>
    </row>
    <row r="1728" spans="1:10" x14ac:dyDescent="0.35">
      <c r="A1728" t="s">
        <v>1623</v>
      </c>
      <c r="B1728" t="s">
        <v>591</v>
      </c>
      <c r="C1728" t="s">
        <v>592</v>
      </c>
      <c r="D1728" s="1">
        <v>46224</v>
      </c>
      <c r="E1728">
        <v>4.0743399999999999E-2</v>
      </c>
      <c r="G1728" s="1">
        <v>46224.770106481483</v>
      </c>
      <c r="H1728" t="s">
        <v>5588</v>
      </c>
      <c r="I1728" s="1">
        <v>46224.770106481483</v>
      </c>
      <c r="J1728" t="s">
        <v>5588</v>
      </c>
    </row>
    <row r="1729" spans="1:10" x14ac:dyDescent="0.35">
      <c r="A1729" t="s">
        <v>1624</v>
      </c>
      <c r="B1729" t="s">
        <v>591</v>
      </c>
      <c r="C1729" t="s">
        <v>592</v>
      </c>
      <c r="D1729" s="1">
        <v>46224</v>
      </c>
      <c r="E1729">
        <v>4.3772350000000002E-2</v>
      </c>
      <c r="G1729" s="1">
        <v>46224.770106481483</v>
      </c>
      <c r="H1729" t="s">
        <v>5588</v>
      </c>
      <c r="I1729" s="1">
        <v>46224.770106481483</v>
      </c>
      <c r="J1729" t="s">
        <v>5588</v>
      </c>
    </row>
    <row r="1730" spans="1:10" x14ac:dyDescent="0.35">
      <c r="A1730" t="s">
        <v>1625</v>
      </c>
      <c r="B1730" t="s">
        <v>591</v>
      </c>
      <c r="C1730" t="s">
        <v>592</v>
      </c>
      <c r="D1730" s="1">
        <v>46224</v>
      </c>
      <c r="E1730">
        <v>4.3723100000000001E-2</v>
      </c>
      <c r="G1730" s="1">
        <v>46224.770106481483</v>
      </c>
      <c r="H1730" t="s">
        <v>5588</v>
      </c>
      <c r="I1730" s="1">
        <v>46224.770106481483</v>
      </c>
      <c r="J1730" t="s">
        <v>5588</v>
      </c>
    </row>
    <row r="1731" spans="1:10" x14ac:dyDescent="0.35">
      <c r="A1731" t="s">
        <v>1626</v>
      </c>
      <c r="B1731" t="s">
        <v>591</v>
      </c>
      <c r="C1731" t="s">
        <v>592</v>
      </c>
      <c r="D1731" s="1">
        <v>46224</v>
      </c>
      <c r="E1731">
        <v>4.0499599999999997E-2</v>
      </c>
      <c r="G1731" s="1">
        <v>46224.770106481483</v>
      </c>
      <c r="H1731" t="s">
        <v>5588</v>
      </c>
      <c r="I1731" s="1">
        <v>46224.770106481483</v>
      </c>
      <c r="J1731" t="s">
        <v>5588</v>
      </c>
    </row>
    <row r="1732" spans="1:10" x14ac:dyDescent="0.35">
      <c r="A1732" t="s">
        <v>1627</v>
      </c>
      <c r="B1732" t="s">
        <v>591</v>
      </c>
      <c r="C1732" t="s">
        <v>592</v>
      </c>
      <c r="D1732" s="1">
        <v>46224</v>
      </c>
      <c r="E1732">
        <v>4.3316449999999999E-2</v>
      </c>
      <c r="G1732" s="1">
        <v>46224.770106481483</v>
      </c>
      <c r="H1732" t="s">
        <v>5588</v>
      </c>
      <c r="I1732" s="1">
        <v>46224.770106481483</v>
      </c>
      <c r="J1732" t="s">
        <v>5588</v>
      </c>
    </row>
    <row r="1733" spans="1:10" x14ac:dyDescent="0.35">
      <c r="A1733" t="s">
        <v>1628</v>
      </c>
      <c r="B1733" t="s">
        <v>591</v>
      </c>
      <c r="C1733" t="s">
        <v>592</v>
      </c>
      <c r="D1733" s="1">
        <v>46224</v>
      </c>
      <c r="E1733">
        <v>4.0340000000000001E-2</v>
      </c>
      <c r="F1733" t="s">
        <v>5718</v>
      </c>
      <c r="G1733" s="1">
        <v>46224.775885069444</v>
      </c>
      <c r="H1733" t="s">
        <v>593</v>
      </c>
      <c r="I1733" s="1">
        <v>46224.775884953706</v>
      </c>
      <c r="J1733" t="s">
        <v>593</v>
      </c>
    </row>
    <row r="1734" spans="1:10" x14ac:dyDescent="0.35">
      <c r="A1734" t="s">
        <v>1629</v>
      </c>
      <c r="B1734" t="s">
        <v>591</v>
      </c>
      <c r="C1734" t="s">
        <v>592</v>
      </c>
      <c r="D1734" s="1">
        <v>46224</v>
      </c>
      <c r="E1734">
        <v>4.0366100000000002E-2</v>
      </c>
      <c r="G1734" s="1">
        <v>46224.770106481483</v>
      </c>
      <c r="H1734" t="s">
        <v>5588</v>
      </c>
      <c r="I1734" s="1">
        <v>46224.770106481483</v>
      </c>
      <c r="J1734" t="s">
        <v>5588</v>
      </c>
    </row>
    <row r="1735" spans="1:10" x14ac:dyDescent="0.35">
      <c r="A1735" t="s">
        <v>1630</v>
      </c>
      <c r="B1735" t="s">
        <v>591</v>
      </c>
      <c r="C1735" t="s">
        <v>592</v>
      </c>
      <c r="D1735" s="1">
        <v>46224</v>
      </c>
      <c r="E1735">
        <v>4.2099999999999999E-2</v>
      </c>
      <c r="F1735" t="s">
        <v>5719</v>
      </c>
      <c r="G1735" s="1">
        <v>46224.775887534721</v>
      </c>
      <c r="H1735" t="s">
        <v>593</v>
      </c>
      <c r="I1735" s="1">
        <v>46224.7758875</v>
      </c>
      <c r="J1735" t="s">
        <v>593</v>
      </c>
    </row>
    <row r="1736" spans="1:10" x14ac:dyDescent="0.35">
      <c r="A1736" t="s">
        <v>1631</v>
      </c>
      <c r="B1736" t="s">
        <v>591</v>
      </c>
      <c r="C1736" t="s">
        <v>592</v>
      </c>
      <c r="D1736" s="1">
        <v>46224</v>
      </c>
      <c r="E1736">
        <v>4.0289999999999999E-2</v>
      </c>
      <c r="F1736" t="s">
        <v>5720</v>
      </c>
      <c r="G1736" s="1">
        <v>46224.775885451389</v>
      </c>
      <c r="H1736" t="s">
        <v>593</v>
      </c>
      <c r="I1736" s="1">
        <v>46224.775885300929</v>
      </c>
      <c r="J1736" t="s">
        <v>593</v>
      </c>
    </row>
    <row r="1737" spans="1:10" x14ac:dyDescent="0.35">
      <c r="A1737" t="s">
        <v>1632</v>
      </c>
      <c r="B1737" t="s">
        <v>591</v>
      </c>
      <c r="C1737" t="s">
        <v>592</v>
      </c>
      <c r="D1737" s="1">
        <v>46224</v>
      </c>
      <c r="E1737">
        <v>4.0388199999999999E-2</v>
      </c>
      <c r="G1737" s="1">
        <v>46224.770106481483</v>
      </c>
      <c r="H1737" t="s">
        <v>5588</v>
      </c>
      <c r="I1737" s="1">
        <v>46224.770106481483</v>
      </c>
      <c r="J1737" t="s">
        <v>5588</v>
      </c>
    </row>
    <row r="1738" spans="1:10" x14ac:dyDescent="0.35">
      <c r="A1738" t="s">
        <v>1633</v>
      </c>
      <c r="B1738" t="s">
        <v>591</v>
      </c>
      <c r="C1738" t="s">
        <v>592</v>
      </c>
      <c r="D1738" s="1">
        <v>46224</v>
      </c>
      <c r="E1738">
        <v>4.0552449999999997E-2</v>
      </c>
      <c r="G1738" s="1">
        <v>46224.770106481483</v>
      </c>
      <c r="H1738" t="s">
        <v>5588</v>
      </c>
      <c r="I1738" s="1">
        <v>46224.770106481483</v>
      </c>
      <c r="J1738" t="s">
        <v>5588</v>
      </c>
    </row>
    <row r="1739" spans="1:10" x14ac:dyDescent="0.35">
      <c r="A1739" t="s">
        <v>1634</v>
      </c>
      <c r="B1739" t="s">
        <v>591</v>
      </c>
      <c r="C1739" t="s">
        <v>592</v>
      </c>
      <c r="D1739" s="1">
        <v>46224</v>
      </c>
      <c r="E1739">
        <v>4.0775600000000002E-2</v>
      </c>
      <c r="G1739" s="1">
        <v>46224.770106481483</v>
      </c>
      <c r="H1739" t="s">
        <v>5588</v>
      </c>
      <c r="I1739" s="1">
        <v>46224.770106481483</v>
      </c>
      <c r="J1739" t="s">
        <v>5588</v>
      </c>
    </row>
    <row r="1740" spans="1:10" x14ac:dyDescent="0.35">
      <c r="A1740" t="s">
        <v>1635</v>
      </c>
      <c r="B1740" t="s">
        <v>591</v>
      </c>
      <c r="C1740" t="s">
        <v>592</v>
      </c>
      <c r="D1740" s="1">
        <v>46224</v>
      </c>
      <c r="E1740">
        <v>4.1032100000000002E-2</v>
      </c>
      <c r="G1740" s="1">
        <v>46224.770106481483</v>
      </c>
      <c r="H1740" t="s">
        <v>5588</v>
      </c>
      <c r="I1740" s="1">
        <v>46224.770106481483</v>
      </c>
      <c r="J1740" t="s">
        <v>5588</v>
      </c>
    </row>
    <row r="1741" spans="1:10" x14ac:dyDescent="0.35">
      <c r="A1741" t="s">
        <v>1636</v>
      </c>
      <c r="B1741" t="s">
        <v>591</v>
      </c>
      <c r="C1741" t="s">
        <v>592</v>
      </c>
      <c r="D1741" s="1">
        <v>46224</v>
      </c>
      <c r="E1741">
        <v>4.1312599999999998E-2</v>
      </c>
      <c r="G1741" s="1">
        <v>46224.770106481483</v>
      </c>
      <c r="H1741" t="s">
        <v>5588</v>
      </c>
      <c r="I1741" s="1">
        <v>46224.770106481483</v>
      </c>
      <c r="J1741" t="s">
        <v>5588</v>
      </c>
    </row>
    <row r="1742" spans="1:10" x14ac:dyDescent="0.35">
      <c r="A1742" t="s">
        <v>1637</v>
      </c>
      <c r="B1742" t="s">
        <v>591</v>
      </c>
      <c r="C1742" t="s">
        <v>592</v>
      </c>
      <c r="D1742" s="1">
        <v>46224</v>
      </c>
      <c r="E1742">
        <v>3.6853200000000003E-2</v>
      </c>
      <c r="G1742" s="1">
        <v>46224.770106481483</v>
      </c>
      <c r="H1742" t="s">
        <v>5588</v>
      </c>
      <c r="I1742" s="1">
        <v>46224.770106481483</v>
      </c>
      <c r="J1742" t="s">
        <v>5588</v>
      </c>
    </row>
    <row r="1743" spans="1:10" x14ac:dyDescent="0.35">
      <c r="A1743" t="s">
        <v>1638</v>
      </c>
      <c r="B1743" t="s">
        <v>591</v>
      </c>
      <c r="C1743" t="s">
        <v>592</v>
      </c>
      <c r="D1743" s="1">
        <v>46224</v>
      </c>
      <c r="E1743">
        <v>3.7119100000000002E-2</v>
      </c>
      <c r="G1743" s="1">
        <v>46224.770106481483</v>
      </c>
      <c r="H1743" t="s">
        <v>5588</v>
      </c>
      <c r="I1743" s="1">
        <v>46224.770106481483</v>
      </c>
      <c r="J1743" t="s">
        <v>5588</v>
      </c>
    </row>
    <row r="1744" spans="1:10" x14ac:dyDescent="0.35">
      <c r="A1744" t="s">
        <v>1639</v>
      </c>
      <c r="B1744" t="s">
        <v>591</v>
      </c>
      <c r="C1744" t="s">
        <v>592</v>
      </c>
      <c r="D1744" s="1">
        <v>46224</v>
      </c>
      <c r="E1744">
        <v>3.7634050000000002E-2</v>
      </c>
      <c r="G1744" s="1">
        <v>46224.770106481483</v>
      </c>
      <c r="H1744" t="s">
        <v>5588</v>
      </c>
      <c r="I1744" s="1">
        <v>46224.770106481483</v>
      </c>
      <c r="J1744" t="s">
        <v>5588</v>
      </c>
    </row>
    <row r="1745" spans="1:10" x14ac:dyDescent="0.35">
      <c r="A1745" t="s">
        <v>1640</v>
      </c>
      <c r="B1745" t="s">
        <v>591</v>
      </c>
      <c r="C1745" t="s">
        <v>592</v>
      </c>
      <c r="D1745" s="1">
        <v>46224</v>
      </c>
      <c r="E1745">
        <v>3.8078300000000002E-2</v>
      </c>
      <c r="G1745" s="1">
        <v>46224.770106481483</v>
      </c>
      <c r="H1745" t="s">
        <v>5588</v>
      </c>
      <c r="I1745" s="1">
        <v>46224.770106481483</v>
      </c>
      <c r="J1745" t="s">
        <v>5588</v>
      </c>
    </row>
    <row r="1746" spans="1:10" x14ac:dyDescent="0.35">
      <c r="A1746" t="s">
        <v>1641</v>
      </c>
      <c r="B1746" t="s">
        <v>591</v>
      </c>
      <c r="C1746" t="s">
        <v>592</v>
      </c>
      <c r="D1746" s="1">
        <v>46224</v>
      </c>
      <c r="E1746">
        <v>3.8479449999999998E-2</v>
      </c>
      <c r="G1746" s="1">
        <v>46224.770106481483</v>
      </c>
      <c r="H1746" t="s">
        <v>5588</v>
      </c>
      <c r="I1746" s="1">
        <v>46224.770106481483</v>
      </c>
      <c r="J1746" t="s">
        <v>5588</v>
      </c>
    </row>
    <row r="1747" spans="1:10" x14ac:dyDescent="0.35">
      <c r="A1747" t="s">
        <v>1642</v>
      </c>
      <c r="B1747" t="s">
        <v>591</v>
      </c>
      <c r="C1747" t="s">
        <v>592</v>
      </c>
      <c r="D1747" s="1">
        <v>46224</v>
      </c>
      <c r="E1747">
        <v>3.8896399999999998E-2</v>
      </c>
      <c r="G1747" s="1">
        <v>46224.770106481483</v>
      </c>
      <c r="H1747" t="s">
        <v>5588</v>
      </c>
      <c r="I1747" s="1">
        <v>46224.770106481483</v>
      </c>
      <c r="J1747" t="s">
        <v>5588</v>
      </c>
    </row>
    <row r="1748" spans="1:10" x14ac:dyDescent="0.35">
      <c r="A1748" t="s">
        <v>1643</v>
      </c>
      <c r="B1748" t="s">
        <v>591</v>
      </c>
      <c r="C1748" t="s">
        <v>592</v>
      </c>
      <c r="D1748" s="1">
        <v>46224</v>
      </c>
      <c r="E1748">
        <v>3.9230399999999999E-2</v>
      </c>
      <c r="G1748" s="1">
        <v>46224.770106481483</v>
      </c>
      <c r="H1748" t="s">
        <v>5588</v>
      </c>
      <c r="I1748" s="1">
        <v>46224.770106481483</v>
      </c>
      <c r="J1748" t="s">
        <v>5588</v>
      </c>
    </row>
    <row r="1749" spans="1:10" x14ac:dyDescent="0.35">
      <c r="A1749" t="s">
        <v>1644</v>
      </c>
      <c r="B1749" t="s">
        <v>591</v>
      </c>
      <c r="C1749" t="s">
        <v>592</v>
      </c>
      <c r="D1749" s="1">
        <v>46224</v>
      </c>
      <c r="E1749">
        <v>3.9510799999999999E-2</v>
      </c>
      <c r="G1749" s="1">
        <v>46224.770106481483</v>
      </c>
      <c r="H1749" t="s">
        <v>5588</v>
      </c>
      <c r="I1749" s="1">
        <v>46224.770106481483</v>
      </c>
      <c r="J1749" t="s">
        <v>5588</v>
      </c>
    </row>
    <row r="1750" spans="1:10" x14ac:dyDescent="0.35">
      <c r="A1750" t="s">
        <v>1645</v>
      </c>
      <c r="B1750" t="s">
        <v>591</v>
      </c>
      <c r="C1750" t="s">
        <v>592</v>
      </c>
      <c r="D1750" s="1">
        <v>46224</v>
      </c>
      <c r="E1750">
        <v>3.9824749999999999E-2</v>
      </c>
      <c r="G1750" s="1">
        <v>46224.770106481483</v>
      </c>
      <c r="H1750" t="s">
        <v>5588</v>
      </c>
      <c r="I1750" s="1">
        <v>46224.770106481483</v>
      </c>
      <c r="J1750" t="s">
        <v>5588</v>
      </c>
    </row>
    <row r="1751" spans="1:10" x14ac:dyDescent="0.35">
      <c r="A1751" t="s">
        <v>1646</v>
      </c>
      <c r="B1751" t="s">
        <v>600</v>
      </c>
      <c r="C1751" t="s">
        <v>592</v>
      </c>
      <c r="D1751" s="1">
        <v>46224</v>
      </c>
      <c r="E1751">
        <v>110.375</v>
      </c>
      <c r="F1751" t="s">
        <v>4314</v>
      </c>
      <c r="G1751" s="1">
        <v>46224.771787731479</v>
      </c>
      <c r="H1751" t="s">
        <v>593</v>
      </c>
      <c r="I1751" s="1">
        <v>46224.771787812497</v>
      </c>
      <c r="J1751" t="s">
        <v>593</v>
      </c>
    </row>
    <row r="1752" spans="1:10" x14ac:dyDescent="0.35">
      <c r="A1752" t="s">
        <v>1647</v>
      </c>
      <c r="B1752" t="s">
        <v>600</v>
      </c>
      <c r="C1752" t="s">
        <v>592</v>
      </c>
      <c r="D1752" s="1">
        <v>46224</v>
      </c>
      <c r="E1752">
        <v>109.96875</v>
      </c>
      <c r="F1752" t="s">
        <v>4314</v>
      </c>
      <c r="G1752" s="1">
        <v>46224.771787731479</v>
      </c>
      <c r="H1752" t="s">
        <v>593</v>
      </c>
      <c r="I1752" s="1">
        <v>46224.771787812497</v>
      </c>
      <c r="J1752" t="s">
        <v>593</v>
      </c>
    </row>
    <row r="1753" spans="1:10" x14ac:dyDescent="0.35">
      <c r="A1753" t="s">
        <v>1648</v>
      </c>
      <c r="B1753" t="s">
        <v>600</v>
      </c>
      <c r="C1753" t="s">
        <v>592</v>
      </c>
      <c r="D1753" s="1">
        <v>46224</v>
      </c>
      <c r="E1753">
        <v>110.6875</v>
      </c>
      <c r="F1753" t="s">
        <v>4314</v>
      </c>
      <c r="G1753" s="1">
        <v>46224.771787731479</v>
      </c>
      <c r="H1753" t="s">
        <v>593</v>
      </c>
      <c r="I1753" s="1">
        <v>46224.771787812497</v>
      </c>
      <c r="J1753" t="s">
        <v>593</v>
      </c>
    </row>
    <row r="1754" spans="1:10" x14ac:dyDescent="0.35">
      <c r="A1754" t="s">
        <v>1669</v>
      </c>
      <c r="B1754" t="s">
        <v>600</v>
      </c>
      <c r="C1754" t="s">
        <v>592</v>
      </c>
      <c r="D1754" s="1">
        <v>46224</v>
      </c>
      <c r="E1754">
        <v>110.453125</v>
      </c>
      <c r="F1754" t="s">
        <v>4314</v>
      </c>
      <c r="G1754" s="1">
        <v>46224.771787731479</v>
      </c>
      <c r="H1754" t="s">
        <v>593</v>
      </c>
      <c r="I1754" s="1">
        <v>46224.771787812497</v>
      </c>
      <c r="J1754" t="s">
        <v>593</v>
      </c>
    </row>
    <row r="1755" spans="1:10" x14ac:dyDescent="0.35">
      <c r="A1755" t="s">
        <v>1774</v>
      </c>
      <c r="B1755" t="s">
        <v>600</v>
      </c>
      <c r="C1755" t="s">
        <v>592</v>
      </c>
      <c r="D1755" s="1">
        <v>46224</v>
      </c>
      <c r="E1755">
        <v>111.75</v>
      </c>
      <c r="F1755" t="s">
        <v>4314</v>
      </c>
      <c r="G1755" s="1">
        <v>46224.771787731479</v>
      </c>
      <c r="H1755" t="s">
        <v>593</v>
      </c>
      <c r="I1755" s="1">
        <v>46224.771787812497</v>
      </c>
      <c r="J1755" t="s">
        <v>593</v>
      </c>
    </row>
    <row r="1756" spans="1:10" x14ac:dyDescent="0.35">
      <c r="A1756" t="s">
        <v>1649</v>
      </c>
      <c r="B1756" t="s">
        <v>600</v>
      </c>
      <c r="C1756" t="s">
        <v>592</v>
      </c>
      <c r="D1756" s="1">
        <v>46224</v>
      </c>
      <c r="E1756">
        <v>112.15625</v>
      </c>
      <c r="F1756" t="s">
        <v>4314</v>
      </c>
      <c r="G1756" s="1">
        <v>46224.771787731479</v>
      </c>
      <c r="H1756" t="s">
        <v>593</v>
      </c>
      <c r="I1756" s="1">
        <v>46224.771787812497</v>
      </c>
      <c r="J1756" t="s">
        <v>593</v>
      </c>
    </row>
    <row r="1757" spans="1:10" x14ac:dyDescent="0.35">
      <c r="A1757" t="s">
        <v>1650</v>
      </c>
      <c r="B1757" t="s">
        <v>600</v>
      </c>
      <c r="C1757" t="s">
        <v>592</v>
      </c>
      <c r="D1757" s="1">
        <v>46224</v>
      </c>
      <c r="E1757">
        <v>111.875</v>
      </c>
      <c r="F1757" t="s">
        <v>4314</v>
      </c>
      <c r="G1757" s="1">
        <v>46224.771787731479</v>
      </c>
      <c r="H1757" t="s">
        <v>593</v>
      </c>
      <c r="I1757" s="1">
        <v>46224.771787812497</v>
      </c>
      <c r="J1757" t="s">
        <v>593</v>
      </c>
    </row>
    <row r="1758" spans="1:10" x14ac:dyDescent="0.35">
      <c r="A1758" t="s">
        <v>1670</v>
      </c>
      <c r="B1758" t="s">
        <v>600</v>
      </c>
      <c r="C1758" t="s">
        <v>592</v>
      </c>
      <c r="D1758" s="1">
        <v>46224</v>
      </c>
      <c r="E1758">
        <v>112.41</v>
      </c>
      <c r="F1758" t="s">
        <v>4314</v>
      </c>
      <c r="G1758" s="1">
        <v>46224.771787731479</v>
      </c>
      <c r="H1758" t="s">
        <v>593</v>
      </c>
      <c r="I1758" s="1">
        <v>46224.771787812497</v>
      </c>
      <c r="J1758" t="s">
        <v>593</v>
      </c>
    </row>
    <row r="1759" spans="1:10" x14ac:dyDescent="0.35">
      <c r="A1759" t="s">
        <v>1651</v>
      </c>
      <c r="B1759" t="s">
        <v>591</v>
      </c>
      <c r="C1759" t="s">
        <v>592</v>
      </c>
      <c r="D1759" s="1">
        <v>46224</v>
      </c>
      <c r="E1759">
        <v>2.75124953511925E-2</v>
      </c>
      <c r="F1759" t="s">
        <v>5721</v>
      </c>
      <c r="G1759" s="1">
        <v>46224.775812499996</v>
      </c>
      <c r="H1759" t="s">
        <v>593</v>
      </c>
      <c r="I1759" s="1">
        <v>46224.775812581021</v>
      </c>
      <c r="J1759" t="s">
        <v>593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6CCF6-4802-4B90-B4FF-A44830E76192}">
  <sheetPr codeName="Sheet4"/>
  <dimension ref="A1:X2035"/>
  <sheetViews>
    <sheetView topLeftCell="I1" zoomScale="85" zoomScaleNormal="85" workbookViewId="0">
      <selection activeCell="J47" sqref="J47"/>
    </sheetView>
  </sheetViews>
  <sheetFormatPr defaultRowHeight="14.5" x14ac:dyDescent="0.35"/>
  <cols>
    <col min="1" max="1" width="12.453125" bestFit="1" customWidth="1"/>
    <col min="2" max="2" width="12.453125" customWidth="1"/>
    <col min="3" max="3" width="16.1796875" bestFit="1" customWidth="1"/>
    <col min="4" max="4" width="9.26953125" style="5" customWidth="1"/>
    <col min="5" max="5" width="11.26953125" style="2" bestFit="1" customWidth="1"/>
    <col min="6" max="6" width="14.26953125" bestFit="1" customWidth="1"/>
    <col min="7" max="7" width="14.26953125" customWidth="1"/>
    <col min="8" max="8" width="15.453125" bestFit="1" customWidth="1"/>
    <col min="9" max="10" width="13.453125" bestFit="1" customWidth="1"/>
    <col min="11" max="11" width="12.81640625" bestFit="1" customWidth="1"/>
    <col min="12" max="12" width="24.7265625" style="20" bestFit="1" customWidth="1"/>
    <col min="13" max="13" width="69.81640625" bestFit="1" customWidth="1"/>
    <col min="14" max="14" width="32" customWidth="1"/>
    <col min="15" max="15" width="11.81640625" bestFit="1" customWidth="1"/>
    <col min="16" max="16" width="11.54296875" bestFit="1" customWidth="1"/>
    <col min="17" max="17" width="15" bestFit="1" customWidth="1"/>
    <col min="18" max="18" width="29.1796875" bestFit="1" customWidth="1"/>
    <col min="19" max="19" width="22.54296875" bestFit="1" customWidth="1"/>
    <col min="20" max="20" width="12.26953125" bestFit="1" customWidth="1"/>
    <col min="21" max="22" width="16.81640625" bestFit="1" customWidth="1"/>
    <col min="23" max="23" width="19.1796875" bestFit="1" customWidth="1"/>
    <col min="24" max="24" width="19.7265625" bestFit="1" customWidth="1"/>
  </cols>
  <sheetData>
    <row r="1" spans="1:24" x14ac:dyDescent="0.35">
      <c r="A1" t="str" cm="1">
        <f t="array" ref="A1:A653">_xlfn._xlws.FILTER(_xlfn.UNIQUE('BBT3'!A:A),_xlfn.UNIQUE('BBT3'!A:A)&lt;&gt;0)</f>
        <v>ID</v>
      </c>
      <c r="B1" t="s">
        <v>1652</v>
      </c>
      <c r="C1" t="s">
        <v>2</v>
      </c>
      <c r="D1" s="5" t="s">
        <v>3</v>
      </c>
      <c r="E1" s="2" t="s">
        <v>4</v>
      </c>
      <c r="F1" t="s">
        <v>5</v>
      </c>
      <c r="G1" t="s">
        <v>1673</v>
      </c>
      <c r="H1" t="s">
        <v>1675</v>
      </c>
      <c r="I1" t="s">
        <v>594</v>
      </c>
      <c r="J1" t="s">
        <v>1775</v>
      </c>
      <c r="K1" t="s">
        <v>1654</v>
      </c>
      <c r="L1" s="20" t="s">
        <v>3065</v>
      </c>
      <c r="M1" t="s">
        <v>586</v>
      </c>
      <c r="O1" s="3"/>
      <c r="Q1" t="str" cm="1">
        <f t="array" ref="Q1">_xll.qwCtxTrade()</f>
        <v>ctx.46239.Live</v>
      </c>
      <c r="R1" s="6" cm="1">
        <f t="array" aca="1" ref="R1" ca="1">_xll.qwCalAddBusDays("US",TODAY(),O3)</f>
        <v>46238</v>
      </c>
    </row>
    <row r="2" spans="1:24" x14ac:dyDescent="0.35">
      <c r="A2" t="str">
        <v>912797RG4</v>
      </c>
      <c r="B2" t="str">
        <f>IF(NOT(ISBLANK(A2)),VLOOKUP(A2,'BBT3'!A:F,2,0),"")</f>
        <v>Bill</v>
      </c>
      <c r="C2" t="str">
        <f>IF(NOT(ISBLANK(A2)),VLOOKUP(A2,'BBT3'!A:F,3,0),"")</f>
        <v>US912797RG48</v>
      </c>
      <c r="D2" s="5">
        <f>IF(NOT(ISBLANK(A2)),VLOOKUP(A2,'BBT3'!A:F,4,1),"")</f>
        <v>0</v>
      </c>
      <c r="E2">
        <f>IF(NOT(ISBLANK(A2)),VLOOKUP(A2,'BBT3'!A:F,5,0),"")</f>
        <v>46240</v>
      </c>
      <c r="F2" t="str">
        <f>IF(NOT(ISBLANK(A2)),VLOOKUP(A2,'BBT3'!A:F,6,0),"")</f>
        <v>N</v>
      </c>
      <c r="G2" t="str">
        <f>IF(NOT(ISBLANK(A2)),IF(D2=0,"Y","N"),"")</f>
        <v>Y</v>
      </c>
      <c r="H2">
        <f>IF(NOT(ISBLANK(A2)),VLOOKUP(A2,'Close - PriceSaver'!A:J,5,0),"")</f>
        <v>3.6924019706356101E-2</v>
      </c>
      <c r="I2" s="4" t="e" cm="1">
        <f t="array" ref="I2">IF(NOT(ISBLANK(A2)),((_xlfn.XLOOKUP(1,(_bbt3[[#All],[ID]]=A2)*(_bbt3[[#All],[METRIC_NAME]]="YLD_YTM_ASK"),_bbt3[[#All],[METRIC_VALUE]])*0.5)+(_xlfn.XLOOKUP(1,(_bbt3[[#All],[ID]]=A2)*(_bbt3[[#All],[METRIC_NAME]]="YLD_YTM_BID"),_bbt3[[#All],[METRIC_VALUE]])*0.5))/100,"")</f>
        <v>#N/A</v>
      </c>
      <c r="J2">
        <f>IF(ISNA(VLOOKUP(A2,'CloseDL - PriceSaverBBT3'!A:E,5,0)),0,VLOOKUP(A2,'CloseDL - PriceSaverBBT3'!A:E,5,0))</f>
        <v>3.6924019706356101E-2</v>
      </c>
      <c r="K2" s="7">
        <f>IF(ISNA(IF(NOT(ISBLANK(A2)),ABS(H2-J2),"")),0,(IF(NOT(ISBLANK(A2)),ABS(H2-J2)*10000,"")))</f>
        <v>0</v>
      </c>
      <c r="L2" s="20">
        <f>IF(Close[[#This Row],[CreatedBy]]="MARINER\SilverAdm",1,0)</f>
        <v>0</v>
      </c>
      <c r="M2" t="str">
        <f>IF(NOT(ISBLANK(A2)),VLOOKUP(A2,'Close - PriceSaver'!A:J,6,0),"")</f>
        <v>DL Bill input Discount = 3.60590000  PX_ASK = 3.59560000 PX_BID = 3.61620000</v>
      </c>
      <c r="R2" t="s">
        <v>1653</v>
      </c>
      <c r="S2">
        <f>COUNTA(A:A)</f>
        <v>653</v>
      </c>
    </row>
    <row r="3" spans="1:24" x14ac:dyDescent="0.35">
      <c r="A3" t="str">
        <v>912797RS8</v>
      </c>
      <c r="B3" t="str">
        <f>IF(NOT(ISBLANK(A3)),VLOOKUP(A3,'BBT3'!A:F,2,0),"")</f>
        <v>Bill</v>
      </c>
      <c r="C3" t="str">
        <f>IF(NOT(ISBLANK(A3)),VLOOKUP(A3,'BBT3'!A:F,3,0),"")</f>
        <v>US912797RS85</v>
      </c>
      <c r="D3" s="5">
        <f>IF(NOT(ISBLANK(A3)),VLOOKUP(A3,'BBT3'!A:F,4,1),"")</f>
        <v>0</v>
      </c>
      <c r="E3">
        <f>IF(NOT(ISBLANK(A3)),VLOOKUP(A3,'BBT3'!A:F,5,0),"")</f>
        <v>46268</v>
      </c>
      <c r="F3" t="str">
        <f>IF(NOT(ISBLANK(A3)),VLOOKUP(A3,'BBT3'!A:F,6,0),"")</f>
        <v>N</v>
      </c>
      <c r="G3" t="str">
        <f t="shared" ref="G3:G66" si="0">IF(NOT(ISBLANK(A3)),IF(D3=0,"Y","N"),"")</f>
        <v>Y</v>
      </c>
      <c r="H3">
        <f>IF(NOT(ISBLANK(A3)),VLOOKUP(A3,'Close - PriceSaver'!A:J,5,0),"")</f>
        <v>3.7372657542984501E-2</v>
      </c>
      <c r="I3" s="4" cm="1">
        <f t="array" ref="I3">IF(NOT(ISBLANK(A3)),((_xlfn.XLOOKUP(1,(_bbt3[[#All],[ID]]=A3)*(_bbt3[[#All],[METRIC_NAME]]="YLD_YTM_ASK"),_bbt3[[#All],[METRIC_VALUE]])*0.5)+(_xlfn.XLOOKUP(1,(_bbt3[[#All],[ID]]=A3)*(_bbt3[[#All],[METRIC_NAME]]="YLD_YTM_BID"),_bbt3[[#All],[METRIC_VALUE]])*0.5))/100,"")</f>
        <v>3.7110000000000004E-2</v>
      </c>
      <c r="J3">
        <f>IF(ISNA(VLOOKUP(A3,'CloseDL - PriceSaverBBT3'!A:E,5,0)),0,VLOOKUP(A3,'CloseDL - PriceSaverBBT3'!A:E,5,0))</f>
        <v>3.7372657542984501E-2</v>
      </c>
      <c r="K3" s="7">
        <f t="shared" ref="K3:K66" si="1">IF(ISNA(IF(NOT(ISBLANK(A3)),ABS(H3-J3),"")),0,(IF(NOT(ISBLANK(A3)),ABS(H3-J3)*10000,"")))</f>
        <v>0</v>
      </c>
      <c r="L3" s="20">
        <f>IF(Close[[#This Row],[CreatedBy]]="MARINER\SilverAdm",1,0)</f>
        <v>0</v>
      </c>
      <c r="M3" t="str">
        <f>IF(NOT(ISBLANK(A3)),VLOOKUP(A3,'Close - PriceSaver'!A:J,6,0),"")</f>
        <v>DL Bill input Discount = 3.64410000  PX_ASK = 3.63810000 PX_BID = 3.65010000</v>
      </c>
      <c r="O3">
        <v>-1</v>
      </c>
      <c r="R3" t="s">
        <v>1741</v>
      </c>
      <c r="S3" cm="1">
        <f t="array" ref="S3">COUNT(_xlfn._xlws.FILTER(K2:K3500,ISNUMBER(K2:K3500)*(F2:F3500="N")*(B2:B3500="Bond")*(G2:G3500="N")))</f>
        <v>352</v>
      </c>
    </row>
    <row r="4" spans="1:24" x14ac:dyDescent="0.35">
      <c r="A4" t="str">
        <v>912797SA6</v>
      </c>
      <c r="B4" t="str">
        <f>IF(NOT(ISBLANK(A4)),VLOOKUP(A4,'BBT3'!A:F,2,0),"")</f>
        <v>Bill</v>
      </c>
      <c r="C4" t="str">
        <f>IF(NOT(ISBLANK(A4)),VLOOKUP(A4,'BBT3'!A:F,3,0),"")</f>
        <v>US912797SA68</v>
      </c>
      <c r="D4" s="5">
        <f>IF(NOT(ISBLANK(A4)),VLOOKUP(A4,'BBT3'!A:F,4,1),"")</f>
        <v>0</v>
      </c>
      <c r="E4">
        <f>IF(NOT(ISBLANK(A4)),VLOOKUP(A4,'BBT3'!A:F,5,0),"")</f>
        <v>46296</v>
      </c>
      <c r="F4" t="str">
        <f>IF(NOT(ISBLANK(A4)),VLOOKUP(A4,'BBT3'!A:F,6,0),"")</f>
        <v>N</v>
      </c>
      <c r="G4" t="str">
        <f t="shared" si="0"/>
        <v>Y</v>
      </c>
      <c r="H4">
        <f>IF(NOT(ISBLANK(A4)),VLOOKUP(A4,'Close - PriceSaver'!A:J,5,0),"")</f>
        <v>3.7815547704349098E-2</v>
      </c>
      <c r="I4" s="4" cm="1">
        <f t="array" ref="I4">IF(NOT(ISBLANK(A4)),((_xlfn.XLOOKUP(1,(_bbt3[[#All],[ID]]=A4)*(_bbt3[[#All],[METRIC_NAME]]="YLD_YTM_ASK"),_bbt3[[#All],[METRIC_VALUE]])*0.5)+(_xlfn.XLOOKUP(1,(_bbt3[[#All],[ID]]=A4)*(_bbt3[[#All],[METRIC_NAME]]="YLD_YTM_BID"),_bbt3[[#All],[METRIC_VALUE]])*0.5))/100,"")</f>
        <v>3.7599999999999995E-2</v>
      </c>
      <c r="J4">
        <f>IF(ISNA(VLOOKUP(A4,'CloseDL - PriceSaverBBT3'!A:E,5,0)),0,VLOOKUP(A4,'CloseDL - PriceSaverBBT3'!A:E,5,0))</f>
        <v>3.7815547704349098E-2</v>
      </c>
      <c r="K4" s="7">
        <f t="shared" si="1"/>
        <v>0</v>
      </c>
      <c r="L4" s="20">
        <f>IF(Close[[#This Row],[CreatedBy]]="MARINER\SilverAdm",1,0)</f>
        <v>0</v>
      </c>
      <c r="M4" t="str">
        <f>IF(NOT(ISBLANK(A4)),VLOOKUP(A4,'Close - PriceSaver'!A:J,6,0),"")</f>
        <v>DL Bill input Discount = 3.68150000  PX_ASK = 3.67630000 PX_BID = 3.68670000</v>
      </c>
      <c r="S4" s="13" cm="1">
        <f t="array" ref="S4">MAX(_xlfn._xlws.FILTER(K2:K3500,ISNUMBER(K2:K3500)*(F2:F3500="N")*(B2:B3500="Bond")*(G2:G3500="N")))</f>
        <v>0</v>
      </c>
    </row>
    <row r="5" spans="1:24" x14ac:dyDescent="0.35">
      <c r="A5" t="str">
        <v>912797SK4</v>
      </c>
      <c r="B5" t="str">
        <f>IF(NOT(ISBLANK(A5)),VLOOKUP(A5,'BBT3'!A:F,2,0),"")</f>
        <v>Bill</v>
      </c>
      <c r="C5" t="str">
        <f>IF(NOT(ISBLANK(A5)),VLOOKUP(A5,'BBT3'!A:F,3,0),"")</f>
        <v>US912797SK41</v>
      </c>
      <c r="D5" s="5">
        <f>IF(NOT(ISBLANK(A5)),VLOOKUP(A5,'BBT3'!A:F,4,1),"")</f>
        <v>0</v>
      </c>
      <c r="E5">
        <f>IF(NOT(ISBLANK(A5)),VLOOKUP(A5,'BBT3'!A:F,5,0),"")</f>
        <v>46324</v>
      </c>
      <c r="F5" t="str">
        <f>IF(NOT(ISBLANK(A5)),VLOOKUP(A5,'BBT3'!A:F,6,0),"")</f>
        <v>N</v>
      </c>
      <c r="G5" t="str">
        <f t="shared" si="0"/>
        <v>Y</v>
      </c>
      <c r="H5">
        <f>IF(NOT(ISBLANK(A5)),VLOOKUP(A5,'Close - PriceSaver'!A:J,5,0),"")</f>
        <v>3.8428586585195199E-2</v>
      </c>
      <c r="I5" s="4" cm="1">
        <f t="array" ref="I5">IF(NOT(ISBLANK(A5)),((_xlfn.XLOOKUP(1,(_bbt3[[#All],[ID]]=A5)*(_bbt3[[#All],[METRIC_NAME]]="YLD_YTM_ASK"),_bbt3[[#All],[METRIC_VALUE]])*0.5)+(_xlfn.XLOOKUP(1,(_bbt3[[#All],[ID]]=A5)*(_bbt3[[#All],[METRIC_NAME]]="YLD_YTM_BID"),_bbt3[[#All],[METRIC_VALUE]])*0.5))/100,"")</f>
        <v>3.8265E-2</v>
      </c>
      <c r="J5">
        <f>IF(ISNA(VLOOKUP(A5,'CloseDL - PriceSaverBBT3'!A:E,5,0)),0,VLOOKUP(A5,'CloseDL - PriceSaverBBT3'!A:E,5,0))</f>
        <v>3.8428586585195199E-2</v>
      </c>
      <c r="K5" s="7">
        <f t="shared" si="1"/>
        <v>0</v>
      </c>
      <c r="L5" s="20">
        <f>IF(Close[[#This Row],[CreatedBy]]="MARINER\SilverAdm",1,0)</f>
        <v>0</v>
      </c>
      <c r="M5" t="str">
        <f>IF(NOT(ISBLANK(A5)),VLOOKUP(A5,'Close - PriceSaver'!A:J,6,0),"")</f>
        <v>DL Bill input Discount = 3.73495000  PX_ASK = 3.72960000 PX_BID = 3.74030000</v>
      </c>
      <c r="S5" s="19" cm="1">
        <f t="array" ref="S5">COUNT(_xlfn._xlws.FILTER(K2:K3500,ISNUMBER(K2:K3500)*(F2:F3500="N")*(B2:B3500="Bond")*(G2:G3500="N")*(L2:L3500=1)))</f>
        <v>0</v>
      </c>
    </row>
    <row r="6" spans="1:24" x14ac:dyDescent="0.35">
      <c r="A6" t="str">
        <v>912797SU2</v>
      </c>
      <c r="B6" t="str">
        <f>IF(NOT(ISBLANK(A6)),VLOOKUP(A6,'BBT3'!A:F,2,0),"")</f>
        <v>Bill</v>
      </c>
      <c r="C6" t="str">
        <f>IF(NOT(ISBLANK(A6)),VLOOKUP(A6,'BBT3'!A:F,3,0),"")</f>
        <v>US912797SU23</v>
      </c>
      <c r="D6" s="5">
        <f>IF(NOT(ISBLANK(A6)),VLOOKUP(A6,'BBT3'!A:F,4,1),"")</f>
        <v>0</v>
      </c>
      <c r="E6">
        <f>IF(NOT(ISBLANK(A6)),VLOOKUP(A6,'BBT3'!A:F,5,0),"")</f>
        <v>46353</v>
      </c>
      <c r="F6" t="str">
        <f>IF(NOT(ISBLANK(A6)),VLOOKUP(A6,'BBT3'!A:F,6,0),"")</f>
        <v>N</v>
      </c>
      <c r="G6" t="str">
        <f t="shared" si="0"/>
        <v>Y</v>
      </c>
      <c r="H6">
        <f>IF(NOT(ISBLANK(A6)),VLOOKUP(A6,'Close - PriceSaver'!A:J,5,0),"")</f>
        <v>3.8862044330322497E-2</v>
      </c>
      <c r="I6" s="4" cm="1">
        <f t="array" ref="I6">IF(NOT(ISBLANK(A6)),((_xlfn.XLOOKUP(1,(_bbt3[[#All],[ID]]=A6)*(_bbt3[[#All],[METRIC_NAME]]="YLD_YTM_ASK"),_bbt3[[#All],[METRIC_VALUE]])*0.5)+(_xlfn.XLOOKUP(1,(_bbt3[[#All],[ID]]=A6)*(_bbt3[[#All],[METRIC_NAME]]="YLD_YTM_BID"),_bbt3[[#All],[METRIC_VALUE]])*0.5))/100,"")</f>
        <v>3.875E-2</v>
      </c>
      <c r="J6">
        <f>IF(ISNA(VLOOKUP(A6,'CloseDL - PriceSaverBBT3'!A:E,5,0)),0,VLOOKUP(A6,'CloseDL - PriceSaverBBT3'!A:E,5,0))</f>
        <v>3.8862044330322497E-2</v>
      </c>
      <c r="K6" s="7">
        <f t="shared" si="1"/>
        <v>0</v>
      </c>
      <c r="L6" s="20">
        <f>IF(Close[[#This Row],[CreatedBy]]="MARINER\SilverAdm",1,0)</f>
        <v>0</v>
      </c>
      <c r="M6" t="str">
        <f>IF(NOT(ISBLANK(A6)),VLOOKUP(A6,'Close - PriceSaver'!A:J,6,0),"")</f>
        <v>DL Bill input Discount = 3.77070000  PX_ASK = 3.76210000 PX_BID = 3.77930000</v>
      </c>
      <c r="S6" cm="1">
        <f t="array" ref="S6">COUNT(_xlfn._xlws.FILTER(K2:K3500,ISNUMBER(K2:K3500)*(F2:F3500="N")*(B2:B3500="Bond")*(G2:G3500="N")*(L2:L3500=1)))</f>
        <v>0</v>
      </c>
    </row>
    <row r="7" spans="1:24" x14ac:dyDescent="0.35">
      <c r="A7" t="str">
        <v>912797TC1</v>
      </c>
      <c r="B7" t="str">
        <f>IF(NOT(ISBLANK(A7)),VLOOKUP(A7,'BBT3'!A:F,2,0),"")</f>
        <v>Bill</v>
      </c>
      <c r="C7" t="str">
        <f>IF(NOT(ISBLANK(A7)),VLOOKUP(A7,'BBT3'!A:F,3,0),"")</f>
        <v>US912797TC16</v>
      </c>
      <c r="D7" s="5">
        <f>IF(NOT(ISBLANK(A7)),VLOOKUP(A7,'BBT3'!A:F,4,1),"")</f>
        <v>0</v>
      </c>
      <c r="E7">
        <f>IF(NOT(ISBLANK(A7)),VLOOKUP(A7,'BBT3'!A:F,5,0),"")</f>
        <v>46380</v>
      </c>
      <c r="F7" t="str">
        <f>IF(NOT(ISBLANK(A7)),VLOOKUP(A7,'BBT3'!A:F,6,0),"")</f>
        <v>N</v>
      </c>
      <c r="G7" t="str">
        <f t="shared" si="0"/>
        <v>Y</v>
      </c>
      <c r="H7">
        <f>IF(NOT(ISBLANK(A7)),VLOOKUP(A7,'Close - PriceSaver'!A:J,5,0),"")</f>
        <v>3.9483144757020701E-2</v>
      </c>
      <c r="I7" s="4" cm="1">
        <f t="array" ref="I7">IF(NOT(ISBLANK(A7)),((_xlfn.XLOOKUP(1,(_bbt3[[#All],[ID]]=A7)*(_bbt3[[#All],[METRIC_NAME]]="YLD_YTM_ASK"),_bbt3[[#All],[METRIC_VALUE]])*0.5)+(_xlfn.XLOOKUP(1,(_bbt3[[#All],[ID]]=A7)*(_bbt3[[#All],[METRIC_NAME]]="YLD_YTM_BID"),_bbt3[[#All],[METRIC_VALUE]])*0.5))/100,"")</f>
        <v>3.9425000000000002E-2</v>
      </c>
      <c r="J7">
        <f>IF(ISNA(VLOOKUP(A7,'CloseDL - PriceSaverBBT3'!A:E,5,0)),0,VLOOKUP(A7,'CloseDL - PriceSaverBBT3'!A:E,5,0))</f>
        <v>3.9483144757020701E-2</v>
      </c>
      <c r="K7" s="7">
        <f t="shared" si="1"/>
        <v>0</v>
      </c>
      <c r="L7" s="20">
        <f>IF(Close[[#This Row],[CreatedBy]]="MARINER\SilverAdm",1,0)</f>
        <v>0</v>
      </c>
      <c r="M7" t="str">
        <f>IF(NOT(ISBLANK(A7)),VLOOKUP(A7,'Close - PriceSaver'!A:J,6,0),"")</f>
        <v>DL Bill input Discount = 3.82445000  PX_ASK = 3.81830000 PX_BID = 3.83060000</v>
      </c>
    </row>
    <row r="8" spans="1:24" x14ac:dyDescent="0.35">
      <c r="A8" t="str">
        <v>912797TM9</v>
      </c>
      <c r="B8" t="str">
        <f>IF(NOT(ISBLANK(A8)),VLOOKUP(A8,'BBT3'!A:F,2,0),"")</f>
        <v>Bill</v>
      </c>
      <c r="C8" t="str">
        <f>IF(NOT(ISBLANK(A8)),VLOOKUP(A8,'BBT3'!A:F,3,0),"")</f>
        <v>US912797TM97</v>
      </c>
      <c r="D8" s="5">
        <f>IF(NOT(ISBLANK(A8)),VLOOKUP(A8,'BBT3'!A:F,4,1),"")</f>
        <v>0</v>
      </c>
      <c r="E8">
        <f>IF(NOT(ISBLANK(A8)),VLOOKUP(A8,'BBT3'!A:F,5,0),"")</f>
        <v>46408</v>
      </c>
      <c r="F8" t="str">
        <f>IF(NOT(ISBLANK(A8)),VLOOKUP(A8,'BBT3'!A:F,6,0),"")</f>
        <v>N</v>
      </c>
      <c r="G8" t="str">
        <f t="shared" si="0"/>
        <v>Y</v>
      </c>
      <c r="H8">
        <f>IF(NOT(ISBLANK(A8)),VLOOKUP(A8,'Close - PriceSaver'!A:J,5,0),"")</f>
        <v>3.956764379621E-2</v>
      </c>
      <c r="I8" s="4" cm="1">
        <f t="array" ref="I8">IF(NOT(ISBLANK(A8)),((_xlfn.XLOOKUP(1,(_bbt3[[#All],[ID]]=A8)*(_bbt3[[#All],[METRIC_NAME]]="YLD_YTM_ASK"),_bbt3[[#All],[METRIC_VALUE]])*0.5)+(_xlfn.XLOOKUP(1,(_bbt3[[#All],[ID]]=A8)*(_bbt3[[#All],[METRIC_NAME]]="YLD_YTM_BID"),_bbt3[[#All],[METRIC_VALUE]])*0.5))/100,"")</f>
        <v>3.9565000000000003E-2</v>
      </c>
      <c r="J8">
        <f>IF(ISNA(VLOOKUP(A8,'CloseDL - PriceSaverBBT3'!A:E,5,0)),0,VLOOKUP(A8,'CloseDL - PriceSaverBBT3'!A:E,5,0))</f>
        <v>3.956764379621E-2</v>
      </c>
      <c r="K8" s="7">
        <f t="shared" si="1"/>
        <v>0</v>
      </c>
      <c r="L8" s="20">
        <f>IF(Close[[#This Row],[CreatedBy]]="MARINER\SilverAdm",1,0)</f>
        <v>0</v>
      </c>
      <c r="M8" t="str">
        <f>IF(NOT(ISBLANK(A8)),VLOOKUP(A8,'Close - PriceSaver'!A:J,6,0),"")</f>
        <v>DL Bill input Discount = 3.82675000  PX_ASK = 3.81470000 PX_BID = 3.83880000</v>
      </c>
    </row>
    <row r="9" spans="1:24" x14ac:dyDescent="0.35">
      <c r="A9" t="str">
        <v>912797TP2</v>
      </c>
      <c r="B9" t="str">
        <f>IF(NOT(ISBLANK(A9)),VLOOKUP(A9,'BBT3'!A:F,2,0),"")</f>
        <v>Bill</v>
      </c>
      <c r="C9" t="str">
        <f>IF(NOT(ISBLANK(A9)),VLOOKUP(A9,'BBT3'!A:F,3,0),"")</f>
        <v>US912797TP29</v>
      </c>
      <c r="D9" s="5">
        <f>IF(NOT(ISBLANK(A9)),VLOOKUP(A9,'BBT3'!A:F,4,1),"")</f>
        <v>0</v>
      </c>
      <c r="E9">
        <f>IF(NOT(ISBLANK(A9)),VLOOKUP(A9,'BBT3'!A:F,5,0),"")</f>
        <v>46226</v>
      </c>
      <c r="F9" t="str">
        <f>IF(NOT(ISBLANK(A9)),VLOOKUP(A9,'BBT3'!A:F,6,0),"")</f>
        <v>N</v>
      </c>
      <c r="G9" t="str">
        <f t="shared" si="0"/>
        <v>Y</v>
      </c>
      <c r="H9">
        <f>IF(NOT(ISBLANK(A9)),VLOOKUP(A9,'Close - PriceSaver'!A:J,5,0),"")</f>
        <v>3.6216935349063999E-2</v>
      </c>
      <c r="I9" s="4" cm="1">
        <f t="array" ref="I9">IF(NOT(ISBLANK(A9)),((_xlfn.XLOOKUP(1,(_bbt3[[#All],[ID]]=A9)*(_bbt3[[#All],[METRIC_NAME]]="YLD_YTM_ASK"),_bbt3[[#All],[METRIC_VALUE]])*0.5)+(_xlfn.XLOOKUP(1,(_bbt3[[#All],[ID]]=A9)*(_bbt3[[#All],[METRIC_NAME]]="YLD_YTM_BID"),_bbt3[[#All],[METRIC_VALUE]])*0.5))/100,"")</f>
        <v>3.5895000000000003E-2</v>
      </c>
      <c r="J9">
        <f>IF(ISNA(VLOOKUP(A9,'CloseDL - PriceSaverBBT3'!A:E,5,0)),0,VLOOKUP(A9,'CloseDL - PriceSaverBBT3'!A:E,5,0))</f>
        <v>3.6216935349063999E-2</v>
      </c>
      <c r="K9" s="7">
        <f t="shared" si="1"/>
        <v>0</v>
      </c>
      <c r="L9" s="20">
        <f>IF(Close[[#This Row],[CreatedBy]]="MARINER\SilverAdm",1,0)</f>
        <v>1</v>
      </c>
      <c r="M9" t="str">
        <f>IF(NOT(ISBLANK(A9)),VLOOKUP(A9,'Close - PriceSaver'!A:J,6,0),"")</f>
        <v>DL Bill input Discount = 3.53995000  PX_ASK = 3.52780000 PX_BID = 3.55210000</v>
      </c>
    </row>
    <row r="10" spans="1:24" x14ac:dyDescent="0.35">
      <c r="A10" t="str">
        <v>912797TQ0</v>
      </c>
      <c r="B10" t="str">
        <f>IF(NOT(ISBLANK(A10)),VLOOKUP(A10,'BBT3'!A:F,2,0),"")</f>
        <v>Bill</v>
      </c>
      <c r="C10" t="str">
        <f>IF(NOT(ISBLANK(A10)),VLOOKUP(A10,'BBT3'!A:F,3,0),"")</f>
        <v>US912797TQ02</v>
      </c>
      <c r="D10" s="5">
        <f>IF(NOT(ISBLANK(A10)),VLOOKUP(A10,'BBT3'!A:F,4,1),"")</f>
        <v>0</v>
      </c>
      <c r="E10">
        <f>IF(NOT(ISBLANK(A10)),VLOOKUP(A10,'BBT3'!A:F,5,0),"")</f>
        <v>46233</v>
      </c>
      <c r="F10" t="str">
        <f>IF(NOT(ISBLANK(A10)),VLOOKUP(A10,'BBT3'!A:F,6,0),"")</f>
        <v>N</v>
      </c>
      <c r="G10" t="str">
        <f t="shared" si="0"/>
        <v>Y</v>
      </c>
      <c r="H10">
        <f>IF(NOT(ISBLANK(A10)),VLOOKUP(A10,'Close - PriceSaver'!A:J,5,0),"")</f>
        <v>3.6351424683371401E-2</v>
      </c>
      <c r="I10" s="4" cm="1">
        <f t="array" ref="I10">IF(NOT(ISBLANK(A10)),((_xlfn.XLOOKUP(1,(_bbt3[[#All],[ID]]=A10)*(_bbt3[[#All],[METRIC_NAME]]="YLD_YTM_ASK"),_bbt3[[#All],[METRIC_VALUE]])*0.5)+(_xlfn.XLOOKUP(1,(_bbt3[[#All],[ID]]=A10)*(_bbt3[[#All],[METRIC_NAME]]="YLD_YTM_BID"),_bbt3[[#All],[METRIC_VALUE]])*0.5))/100,"")</f>
        <v>3.6040000000000003E-2</v>
      </c>
      <c r="J10">
        <f>IF(ISNA(VLOOKUP(A10,'CloseDL - PriceSaverBBT3'!A:E,5,0)),0,VLOOKUP(A10,'CloseDL - PriceSaverBBT3'!A:E,5,0))</f>
        <v>3.6351424683371401E-2</v>
      </c>
      <c r="K10" s="7">
        <f t="shared" si="1"/>
        <v>0</v>
      </c>
      <c r="L10" s="20">
        <f>IF(Close[[#This Row],[CreatedBy]]="MARINER\SilverAdm",1,0)</f>
        <v>1</v>
      </c>
      <c r="M10" t="str">
        <f>IF(NOT(ISBLANK(A10)),VLOOKUP(A10,'Close - PriceSaver'!A:J,6,0),"")</f>
        <v>DL Bill input Discount = 3.55175000  PX_ASK = 3.54230000 PX_BID = 3.56120000</v>
      </c>
    </row>
    <row r="11" spans="1:24" x14ac:dyDescent="0.35">
      <c r="A11" t="str">
        <v>912797TV9</v>
      </c>
      <c r="B11" t="str">
        <f>IF(NOT(ISBLANK(A11)),VLOOKUP(A11,'BBT3'!A:F,2,0),"")</f>
        <v>Bill</v>
      </c>
      <c r="C11" t="str">
        <f>IF(NOT(ISBLANK(A11)),VLOOKUP(A11,'BBT3'!A:F,3,0),"")</f>
        <v>US912797TV96</v>
      </c>
      <c r="D11" s="5">
        <f>IF(NOT(ISBLANK(A11)),VLOOKUP(A11,'BBT3'!A:F,4,1),"")</f>
        <v>0</v>
      </c>
      <c r="E11">
        <f>IF(NOT(ISBLANK(A11)),VLOOKUP(A11,'BBT3'!A:F,5,0),"")</f>
        <v>46436</v>
      </c>
      <c r="F11" t="str">
        <f>IF(NOT(ISBLANK(A11)),VLOOKUP(A11,'BBT3'!A:F,6,0),"")</f>
        <v>N</v>
      </c>
      <c r="G11" t="str">
        <f t="shared" si="0"/>
        <v>Y</v>
      </c>
      <c r="H11">
        <f>IF(NOT(ISBLANK(A11)),VLOOKUP(A11,'Close - PriceSaver'!A:J,5,0),"")</f>
        <v>3.88912799545253E-2</v>
      </c>
      <c r="I11" s="4" cm="1">
        <f t="array" ref="I11">IF(NOT(ISBLANK(A11)),((_xlfn.XLOOKUP(1,(_bbt3[[#All],[ID]]=A11)*(_bbt3[[#All],[METRIC_NAME]]="YLD_YTM_ASK"),_bbt3[[#All],[METRIC_VALUE]])*0.5)+(_xlfn.XLOOKUP(1,(_bbt3[[#All],[ID]]=A11)*(_bbt3[[#All],[METRIC_NAME]]="YLD_YTM_BID"),_bbt3[[#All],[METRIC_VALUE]])*0.5))/100,"")</f>
        <v>3.8849999999999996E-2</v>
      </c>
      <c r="J11">
        <f>IF(ISNA(VLOOKUP(A11,'CloseDL - PriceSaverBBT3'!A:E,5,0)),0,VLOOKUP(A11,'CloseDL - PriceSaverBBT3'!A:E,5,0))</f>
        <v>3.88912799545253E-2</v>
      </c>
      <c r="K11" s="7">
        <f t="shared" si="1"/>
        <v>0</v>
      </c>
      <c r="L11" s="20">
        <f>IF(Close[[#This Row],[CreatedBy]]="MARINER\SilverAdm",1,0)</f>
        <v>1</v>
      </c>
      <c r="M11" t="str">
        <f>IF(NOT(ISBLANK(A11)),VLOOKUP(A11,'Close - PriceSaver'!A:J,6,0),"")</f>
        <v>DL Bill input Discount = 3.75705000  PX_ASK = 3.73450000 PX_BID = 3.77960000</v>
      </c>
    </row>
    <row r="12" spans="1:24" x14ac:dyDescent="0.35">
      <c r="A12" t="str">
        <v>912797TW7</v>
      </c>
      <c r="B12" t="str">
        <f>IF(NOT(ISBLANK(A12)),VLOOKUP(A12,'BBT3'!A:F,2,0),"")</f>
        <v>Bill</v>
      </c>
      <c r="C12" t="str">
        <f>IF(NOT(ISBLANK(A12)),VLOOKUP(A12,'BBT3'!A:F,3,0),"")</f>
        <v>US912797TW79</v>
      </c>
      <c r="D12" s="5">
        <f>IF(NOT(ISBLANK(A12)),VLOOKUP(A12,'BBT3'!A:F,4,1),"")</f>
        <v>0</v>
      </c>
      <c r="E12">
        <f>IF(NOT(ISBLANK(A12)),VLOOKUP(A12,'BBT3'!A:F,5,0),"")</f>
        <v>46247</v>
      </c>
      <c r="F12" t="str">
        <f>IF(NOT(ISBLANK(A12)),VLOOKUP(A12,'BBT3'!A:F,6,0),"")</f>
        <v>N</v>
      </c>
      <c r="G12" t="str">
        <f t="shared" si="0"/>
        <v>Y</v>
      </c>
      <c r="H12">
        <f>IF(NOT(ISBLANK(A12)),VLOOKUP(A12,'Close - PriceSaver'!A:J,5,0),"")</f>
        <v>3.6994025687662198E-2</v>
      </c>
      <c r="I12" s="4" cm="1">
        <f t="array" ref="I12">IF(NOT(ISBLANK(A12)),((_xlfn.XLOOKUP(1,(_bbt3[[#All],[ID]]=A12)*(_bbt3[[#All],[METRIC_NAME]]="YLD_YTM_ASK"),_bbt3[[#All],[METRIC_VALUE]])*0.5)+(_xlfn.XLOOKUP(1,(_bbt3[[#All],[ID]]=A12)*(_bbt3[[#All],[METRIC_NAME]]="YLD_YTM_BID"),_bbt3[[#All],[METRIC_VALUE]])*0.5))/100,"")</f>
        <v>3.6699999999999997E-2</v>
      </c>
      <c r="J12">
        <f>IF(ISNA(VLOOKUP(A12,'CloseDL - PriceSaverBBT3'!A:E,5,0)),0,VLOOKUP(A12,'CloseDL - PriceSaverBBT3'!A:E,5,0))</f>
        <v>3.6994025687662198E-2</v>
      </c>
      <c r="K12" s="7">
        <f t="shared" si="1"/>
        <v>0</v>
      </c>
      <c r="L12" s="20">
        <f>IF(Close[[#This Row],[CreatedBy]]="MARINER\SilverAdm",1,0)</f>
        <v>1</v>
      </c>
      <c r="M12" t="str">
        <f>IF(NOT(ISBLANK(A12)),VLOOKUP(A12,'Close - PriceSaver'!A:J,6,0),"")</f>
        <v>DL Bill input Discount = 3.61140000  PX_ASK = 3.60170000 PX_BID = 3.62110000</v>
      </c>
      <c r="P12" t="s">
        <v>2</v>
      </c>
      <c r="R12" t="s">
        <v>1781</v>
      </c>
      <c r="S12" t="s">
        <v>1674</v>
      </c>
      <c r="T12" t="s">
        <v>4</v>
      </c>
      <c r="U12" t="s">
        <v>1675</v>
      </c>
      <c r="V12" t="s">
        <v>1776</v>
      </c>
      <c r="W12" t="s">
        <v>1779</v>
      </c>
      <c r="X12" t="s">
        <v>1780</v>
      </c>
    </row>
    <row r="13" spans="1:24" x14ac:dyDescent="0.35">
      <c r="A13" t="str">
        <v>912797TX5</v>
      </c>
      <c r="B13" t="str">
        <f>IF(NOT(ISBLANK(A13)),VLOOKUP(A13,'BBT3'!A:F,2,0),"")</f>
        <v>Bill</v>
      </c>
      <c r="C13" t="str">
        <f>IF(NOT(ISBLANK(A13)),VLOOKUP(A13,'BBT3'!A:F,3,0),"")</f>
        <v>US912797TX52</v>
      </c>
      <c r="D13" s="5">
        <f>IF(NOT(ISBLANK(A13)),VLOOKUP(A13,'BBT3'!A:F,4,1),"")</f>
        <v>0</v>
      </c>
      <c r="E13">
        <f>IF(NOT(ISBLANK(A13)),VLOOKUP(A13,'BBT3'!A:F,5,0),"")</f>
        <v>46254</v>
      </c>
      <c r="F13" t="str">
        <f>IF(NOT(ISBLANK(A13)),VLOOKUP(A13,'BBT3'!A:F,6,0),"")</f>
        <v>N</v>
      </c>
      <c r="G13" t="str">
        <f t="shared" si="0"/>
        <v>Y</v>
      </c>
      <c r="H13">
        <f>IF(NOT(ISBLANK(A13)),VLOOKUP(A13,'Close - PriceSaver'!A:J,5,0),"")</f>
        <v>3.7155788191601598E-2</v>
      </c>
      <c r="I13" s="4" cm="1">
        <f t="array" ref="I13">IF(NOT(ISBLANK(A13)),((_xlfn.XLOOKUP(1,(_bbt3[[#All],[ID]]=A13)*(_bbt3[[#All],[METRIC_NAME]]="YLD_YTM_ASK"),_bbt3[[#All],[METRIC_VALUE]])*0.5)+(_xlfn.XLOOKUP(1,(_bbt3[[#All],[ID]]=A13)*(_bbt3[[#All],[METRIC_NAME]]="YLD_YTM_BID"),_bbt3[[#All],[METRIC_VALUE]])*0.5))/100,"")</f>
        <v>3.687E-2</v>
      </c>
      <c r="J13">
        <f>IF(ISNA(VLOOKUP(A13,'CloseDL - PriceSaverBBT3'!A:E,5,0)),0,VLOOKUP(A13,'CloseDL - PriceSaverBBT3'!A:E,5,0))</f>
        <v>3.7155788191601598E-2</v>
      </c>
      <c r="K13" s="7">
        <f t="shared" si="1"/>
        <v>0</v>
      </c>
      <c r="L13" s="20">
        <f>IF(Close[[#This Row],[CreatedBy]]="MARINER\SilverAdm",1,0)</f>
        <v>1</v>
      </c>
      <c r="M13" t="str">
        <f>IF(NOT(ISBLANK(A13)),VLOOKUP(A13,'Close - PriceSaver'!A:J,6,0),"")</f>
        <v>DL Bill input Discount = 3.62575000  PX_ASK = 3.61790000 PX_BID = 3.63360000</v>
      </c>
      <c r="P13" t="e" cm="1" vm="1">
        <f t="array" ref="P13">_xlfn._xlws.FILTER(A2:A3500,(K2:K3500&gt;S4*0.1%)*(G2:G3500="N")*(B2:B3500="Bond")*(F2:F3500="N"))</f>
        <v>#VALUE!</v>
      </c>
      <c r="Q13" t="e" vm="2">
        <f>VLOOKUP(P13,A:C,3,0)</f>
        <v>#VALUE!</v>
      </c>
      <c r="R13" t="e" vm="2">
        <f t="shared" ref="R13:R76" si="2">VLOOKUP(P13,A:B,2,0)</f>
        <v>#VALUE!</v>
      </c>
      <c r="S13" t="e" vm="2">
        <f t="shared" ref="S13:S76" si="3">VLOOKUP(P13,A:E,4,0)</f>
        <v>#VALUE!</v>
      </c>
      <c r="T13" s="15" t="e" vm="2">
        <f t="shared" ref="T13:T24" si="4">VLOOKUP(P13,A:K,5,0)</f>
        <v>#VALUE!</v>
      </c>
      <c r="U13" s="18" t="e" vm="2">
        <f t="shared" ref="U13:U24" si="5">VLOOKUP(P13,A:K,8,0)</f>
        <v>#VALUE!</v>
      </c>
      <c r="V13" s="18" t="e" vm="2">
        <f t="shared" ref="V13:V24" si="6">VLOOKUP(P13,A:K,10,0)</f>
        <v>#VALUE!</v>
      </c>
      <c r="W13" s="19" t="e" vm="2">
        <f>(V13-U13)*100</f>
        <v>#VALUE!</v>
      </c>
      <c r="X13" t="e" vm="2">
        <f>VLOOKUP(P13,Close[[ID]:[CreatedBy]],8,0)</f>
        <v>#VALUE!</v>
      </c>
    </row>
    <row r="14" spans="1:24" x14ac:dyDescent="0.35">
      <c r="A14" t="str">
        <v>912797TY3</v>
      </c>
      <c r="B14" t="str">
        <f>IF(NOT(ISBLANK(A14)),VLOOKUP(A14,'BBT3'!A:F,2,0),"")</f>
        <v>Bill</v>
      </c>
      <c r="C14" t="str">
        <f>IF(NOT(ISBLANK(A14)),VLOOKUP(A14,'BBT3'!A:F,3,0),"")</f>
        <v>US912797TY36</v>
      </c>
      <c r="D14" s="5">
        <f>IF(NOT(ISBLANK(A14)),VLOOKUP(A14,'BBT3'!A:F,4,1),"")</f>
        <v>0</v>
      </c>
      <c r="E14">
        <f>IF(NOT(ISBLANK(A14)),VLOOKUP(A14,'BBT3'!A:F,5,0),"")</f>
        <v>46261</v>
      </c>
      <c r="F14" t="str">
        <f>IF(NOT(ISBLANK(A14)),VLOOKUP(A14,'BBT3'!A:F,6,0),"")</f>
        <v>N</v>
      </c>
      <c r="G14" t="str">
        <f t="shared" si="0"/>
        <v>Y</v>
      </c>
      <c r="H14">
        <f>IF(NOT(ISBLANK(A14)),VLOOKUP(A14,'Close - PriceSaver'!A:J,5,0),"")</f>
        <v>3.7284099434154797E-2</v>
      </c>
      <c r="I14" s="4" cm="1">
        <f t="array" ref="I14">IF(NOT(ISBLANK(A14)),((_xlfn.XLOOKUP(1,(_bbt3[[#All],[ID]]=A14)*(_bbt3[[#All],[METRIC_NAME]]="YLD_YTM_ASK"),_bbt3[[#All],[METRIC_VALUE]])*0.5)+(_xlfn.XLOOKUP(1,(_bbt3[[#All],[ID]]=A14)*(_bbt3[[#All],[METRIC_NAME]]="YLD_YTM_BID"),_bbt3[[#All],[METRIC_VALUE]])*0.5))/100,"")</f>
        <v>3.7010000000000001E-2</v>
      </c>
      <c r="J14">
        <f>IF(ISNA(VLOOKUP(A14,'CloseDL - PriceSaverBBT3'!A:E,5,0)),0,VLOOKUP(A14,'CloseDL - PriceSaverBBT3'!A:E,5,0))</f>
        <v>3.7284099434154797E-2</v>
      </c>
      <c r="K14" s="7">
        <f t="shared" si="1"/>
        <v>0</v>
      </c>
      <c r="L14" s="20">
        <f>IF(Close[[#This Row],[CreatedBy]]="MARINER\SilverAdm",1,0)</f>
        <v>1</v>
      </c>
      <c r="M14" t="str">
        <f>IF(NOT(ISBLANK(A14)),VLOOKUP(A14,'Close - PriceSaver'!A:J,6,0),"")</f>
        <v>DL Bill input Discount = 3.63685000  PX_ASK = 3.63180000 PX_BID = 3.64190000</v>
      </c>
      <c r="Q14" t="e">
        <f t="shared" ref="Q14:Q77" si="7">VLOOKUP(P14,A:C,3,0)</f>
        <v>#N/A</v>
      </c>
      <c r="R14" t="e">
        <f t="shared" si="2"/>
        <v>#N/A</v>
      </c>
      <c r="S14" t="e">
        <f t="shared" si="3"/>
        <v>#N/A</v>
      </c>
      <c r="T14" s="15" t="e">
        <f t="shared" si="4"/>
        <v>#N/A</v>
      </c>
      <c r="U14" s="18" t="e">
        <f t="shared" si="5"/>
        <v>#N/A</v>
      </c>
      <c r="V14" s="18" t="e">
        <f t="shared" si="6"/>
        <v>#N/A</v>
      </c>
      <c r="W14" s="19" t="e">
        <f t="shared" ref="W14:W24" si="8">(V14-U14)*100</f>
        <v>#N/A</v>
      </c>
      <c r="X14" t="e">
        <f>VLOOKUP(P14,Close[[ID]:[CreatedBy]],8,0)</f>
        <v>#N/A</v>
      </c>
    </row>
    <row r="15" spans="1:24" x14ac:dyDescent="0.35">
      <c r="A15" t="str">
        <v>912797UD7</v>
      </c>
      <c r="B15" t="str">
        <f>IF(NOT(ISBLANK(A15)),VLOOKUP(A15,'BBT3'!A:F,2,0),"")</f>
        <v>Bill</v>
      </c>
      <c r="C15" t="str">
        <f>IF(NOT(ISBLANK(A15)),VLOOKUP(A15,'BBT3'!A:F,3,0),"")</f>
        <v>US912797UD79</v>
      </c>
      <c r="D15" s="5">
        <f>IF(NOT(ISBLANK(A15)),VLOOKUP(A15,'BBT3'!A:F,4,1),"")</f>
        <v>0</v>
      </c>
      <c r="E15">
        <f>IF(NOT(ISBLANK(A15)),VLOOKUP(A15,'BBT3'!A:F,5,0),"")</f>
        <v>46464</v>
      </c>
      <c r="F15" t="str">
        <f>IF(NOT(ISBLANK(A15)),VLOOKUP(A15,'BBT3'!A:F,6,0),"")</f>
        <v>N</v>
      </c>
      <c r="G15" t="str">
        <f t="shared" si="0"/>
        <v>Y</v>
      </c>
      <c r="H15">
        <f>IF(NOT(ISBLANK(A15)),VLOOKUP(A15,'Close - PriceSaver'!A:J,5,0),"")</f>
        <v>3.91279540022254E-2</v>
      </c>
      <c r="I15" s="4" cm="1">
        <f t="array" ref="I15">IF(NOT(ISBLANK(A15)),((_xlfn.XLOOKUP(1,(_bbt3[[#All],[ID]]=A15)*(_bbt3[[#All],[METRIC_NAME]]="YLD_YTM_ASK"),_bbt3[[#All],[METRIC_VALUE]])*0.5)+(_xlfn.XLOOKUP(1,(_bbt3[[#All],[ID]]=A15)*(_bbt3[[#All],[METRIC_NAME]]="YLD_YTM_BID"),_bbt3[[#All],[METRIC_VALUE]])*0.5))/100,"")</f>
        <v>3.9064999999999996E-2</v>
      </c>
      <c r="J15">
        <f>IF(ISNA(VLOOKUP(A15,'CloseDL - PriceSaverBBT3'!A:E,5,0)),0,VLOOKUP(A15,'CloseDL - PriceSaverBBT3'!A:E,5,0))</f>
        <v>3.91279540022254E-2</v>
      </c>
      <c r="K15" s="7">
        <f t="shared" si="1"/>
        <v>0</v>
      </c>
      <c r="L15" s="20">
        <f>IF(Close[[#This Row],[CreatedBy]]="MARINER\SilverAdm",1,0)</f>
        <v>1</v>
      </c>
      <c r="M15" t="str">
        <f>IF(NOT(ISBLANK(A15)),VLOOKUP(A15,'Close - PriceSaver'!A:J,6,0),"")</f>
        <v>DL Bill input Discount = 3.77385000  PX_ASK = 3.75390000 PX_BID = 3.79380000</v>
      </c>
      <c r="Q15" t="e">
        <f t="shared" si="7"/>
        <v>#N/A</v>
      </c>
      <c r="R15" t="e">
        <f t="shared" si="2"/>
        <v>#N/A</v>
      </c>
      <c r="S15" t="e">
        <f t="shared" si="3"/>
        <v>#N/A</v>
      </c>
      <c r="T15" s="15" t="e">
        <f t="shared" si="4"/>
        <v>#N/A</v>
      </c>
      <c r="U15" s="18" t="e">
        <f t="shared" si="5"/>
        <v>#N/A</v>
      </c>
      <c r="V15" s="18" t="e">
        <f t="shared" si="6"/>
        <v>#N/A</v>
      </c>
      <c r="W15" s="19" t="e">
        <f t="shared" si="8"/>
        <v>#N/A</v>
      </c>
      <c r="X15" t="e">
        <f>VLOOKUP(P15,Close[[ID]:[CreatedBy]],8,0)</f>
        <v>#N/A</v>
      </c>
    </row>
    <row r="16" spans="1:24" x14ac:dyDescent="0.35">
      <c r="A16" t="str">
        <v>912797UE5</v>
      </c>
      <c r="B16" t="str">
        <f>IF(NOT(ISBLANK(A16)),VLOOKUP(A16,'BBT3'!A:F,2,0),"")</f>
        <v>Bill</v>
      </c>
      <c r="C16" t="str">
        <f>IF(NOT(ISBLANK(A16)),VLOOKUP(A16,'BBT3'!A:F,3,0),"")</f>
        <v>US912797UE52</v>
      </c>
      <c r="D16" s="5">
        <f>IF(NOT(ISBLANK(A16)),VLOOKUP(A16,'BBT3'!A:F,4,1),"")</f>
        <v>0</v>
      </c>
      <c r="E16">
        <f>IF(NOT(ISBLANK(A16)),VLOOKUP(A16,'BBT3'!A:F,5,0),"")</f>
        <v>46492</v>
      </c>
      <c r="F16" t="str">
        <f>IF(NOT(ISBLANK(A16)),VLOOKUP(A16,'BBT3'!A:F,6,0),"")</f>
        <v>N</v>
      </c>
      <c r="G16" t="str">
        <f t="shared" si="0"/>
        <v>Y</v>
      </c>
      <c r="H16">
        <f>IF(NOT(ISBLANK(A16)),VLOOKUP(A16,'Close - PriceSaver'!A:J,5,0),"")</f>
        <v>3.9584615674371999E-2</v>
      </c>
      <c r="I16" s="4" cm="1">
        <f t="array" ref="I16">IF(NOT(ISBLANK(A16)),((_xlfn.XLOOKUP(1,(_bbt3[[#All],[ID]]=A16)*(_bbt3[[#All],[METRIC_NAME]]="YLD_YTM_ASK"),_bbt3[[#All],[METRIC_VALUE]])*0.5)+(_xlfn.XLOOKUP(1,(_bbt3[[#All],[ID]]=A16)*(_bbt3[[#All],[METRIC_NAME]]="YLD_YTM_BID"),_bbt3[[#All],[METRIC_VALUE]])*0.5))/100,"")</f>
        <v>3.9515000000000002E-2</v>
      </c>
      <c r="J16">
        <f>IF(ISNA(VLOOKUP(A16,'CloseDL - PriceSaverBBT3'!A:E,5,0)),0,VLOOKUP(A16,'CloseDL - PriceSaverBBT3'!A:E,5,0))</f>
        <v>3.9584615674371999E-2</v>
      </c>
      <c r="K16" s="7">
        <f t="shared" si="1"/>
        <v>0</v>
      </c>
      <c r="L16" s="20">
        <f>IF(Close[[#This Row],[CreatedBy]]="MARINER\SilverAdm",1,0)</f>
        <v>1</v>
      </c>
      <c r="M16" t="str">
        <f>IF(NOT(ISBLANK(A16)),VLOOKUP(A16,'Close - PriceSaver'!A:J,6,0),"")</f>
        <v>DL Bill input Discount = 3.81120000  PX_ASK = 3.79100000 PX_BID = 3.83140000</v>
      </c>
      <c r="Q16" t="e">
        <f t="shared" si="7"/>
        <v>#N/A</v>
      </c>
      <c r="R16" t="e">
        <f t="shared" si="2"/>
        <v>#N/A</v>
      </c>
      <c r="S16" t="e">
        <f t="shared" si="3"/>
        <v>#N/A</v>
      </c>
      <c r="T16" s="15" t="e">
        <f t="shared" si="4"/>
        <v>#N/A</v>
      </c>
      <c r="U16" s="18" t="e">
        <f t="shared" si="5"/>
        <v>#N/A</v>
      </c>
      <c r="V16" s="18" t="e">
        <f t="shared" si="6"/>
        <v>#N/A</v>
      </c>
      <c r="W16" s="19" t="e">
        <f t="shared" si="8"/>
        <v>#N/A</v>
      </c>
      <c r="X16" t="e">
        <f>VLOOKUP(P16,Close[[ID]:[CreatedBy]],8,0)</f>
        <v>#N/A</v>
      </c>
    </row>
    <row r="17" spans="1:24" x14ac:dyDescent="0.35">
      <c r="A17" t="str">
        <v>912797UF2</v>
      </c>
      <c r="B17" t="str">
        <f>IF(NOT(ISBLANK(A17)),VLOOKUP(A17,'BBT3'!A:F,2,0),"")</f>
        <v>Bill</v>
      </c>
      <c r="C17" t="str">
        <f>IF(NOT(ISBLANK(A17)),VLOOKUP(A17,'BBT3'!A:F,3,0),"")</f>
        <v>US912797UF28</v>
      </c>
      <c r="D17" s="5">
        <f>IF(NOT(ISBLANK(A17)),VLOOKUP(A17,'BBT3'!A:F,4,1),"")</f>
        <v>0</v>
      </c>
      <c r="E17">
        <f>IF(NOT(ISBLANK(A17)),VLOOKUP(A17,'BBT3'!A:F,5,0),"")</f>
        <v>46275</v>
      </c>
      <c r="F17" t="str">
        <f>IF(NOT(ISBLANK(A17)),VLOOKUP(A17,'BBT3'!A:F,6,0),"")</f>
        <v>N</v>
      </c>
      <c r="G17" t="str">
        <f t="shared" si="0"/>
        <v>Y</v>
      </c>
      <c r="H17">
        <f>IF(NOT(ISBLANK(A17)),VLOOKUP(A17,'Close - PriceSaver'!A:J,5,0),"")</f>
        <v>3.7402685842989697E-2</v>
      </c>
      <c r="I17" s="4" cm="1">
        <f t="array" ref="I17">IF(NOT(ISBLANK(A17)),((_xlfn.XLOOKUP(1,(_bbt3[[#All],[ID]]=A17)*(_bbt3[[#All],[METRIC_NAME]]="YLD_YTM_ASK"),_bbt3[[#All],[METRIC_VALUE]])*0.5)+(_xlfn.XLOOKUP(1,(_bbt3[[#All],[ID]]=A17)*(_bbt3[[#All],[METRIC_NAME]]="YLD_YTM_BID"),_bbt3[[#All],[METRIC_VALUE]])*0.5))/100,"")</f>
        <v>3.7149999999999996E-2</v>
      </c>
      <c r="J17">
        <f>IF(ISNA(VLOOKUP(A17,'CloseDL - PriceSaverBBT3'!A:E,5,0)),0,VLOOKUP(A17,'CloseDL - PriceSaverBBT3'!A:E,5,0))</f>
        <v>3.7402685842989697E-2</v>
      </c>
      <c r="K17" s="7">
        <f t="shared" si="1"/>
        <v>0</v>
      </c>
      <c r="L17" s="20">
        <f>IF(Close[[#This Row],[CreatedBy]]="MARINER\SilverAdm",1,0)</f>
        <v>1</v>
      </c>
      <c r="M17" t="str">
        <f>IF(NOT(ISBLANK(A17)),VLOOKUP(A17,'Close - PriceSaver'!A:J,6,0),"")</f>
        <v>DL Bill input Discount = 3.64570000  PX_ASK = 3.63990000 PX_BID = 3.65150000</v>
      </c>
      <c r="Q17" t="e">
        <f t="shared" si="7"/>
        <v>#N/A</v>
      </c>
      <c r="R17" t="e">
        <f t="shared" si="2"/>
        <v>#N/A</v>
      </c>
      <c r="S17" t="e">
        <f t="shared" si="3"/>
        <v>#N/A</v>
      </c>
      <c r="T17" s="15" t="e">
        <f t="shared" si="4"/>
        <v>#N/A</v>
      </c>
      <c r="U17" s="18" t="e">
        <f t="shared" si="5"/>
        <v>#N/A</v>
      </c>
      <c r="V17" s="18" t="e">
        <f t="shared" si="6"/>
        <v>#N/A</v>
      </c>
      <c r="W17" s="19" t="e">
        <f t="shared" si="8"/>
        <v>#N/A</v>
      </c>
      <c r="X17" t="e">
        <f>VLOOKUP(P17,Close[[ID]:[CreatedBy]],8,0)</f>
        <v>#N/A</v>
      </c>
    </row>
    <row r="18" spans="1:24" x14ac:dyDescent="0.35">
      <c r="A18" t="str">
        <v>912797UG0</v>
      </c>
      <c r="B18" t="str">
        <f>IF(NOT(ISBLANK(A18)),VLOOKUP(A18,'BBT3'!A:F,2,0),"")</f>
        <v>Bill</v>
      </c>
      <c r="C18" t="str">
        <f>IF(NOT(ISBLANK(A18)),VLOOKUP(A18,'BBT3'!A:F,3,0),"")</f>
        <v>US912797UG01</v>
      </c>
      <c r="D18" s="5">
        <f>IF(NOT(ISBLANK(A18)),VLOOKUP(A18,'BBT3'!A:F,4,1),"")</f>
        <v>0</v>
      </c>
      <c r="E18">
        <f>IF(NOT(ISBLANK(A18)),VLOOKUP(A18,'BBT3'!A:F,5,0),"")</f>
        <v>46282</v>
      </c>
      <c r="F18" t="str">
        <f>IF(NOT(ISBLANK(A18)),VLOOKUP(A18,'BBT3'!A:F,6,0),"")</f>
        <v>N</v>
      </c>
      <c r="G18" t="str">
        <f t="shared" si="0"/>
        <v>Y</v>
      </c>
      <c r="H18">
        <f>IF(NOT(ISBLANK(A18)),VLOOKUP(A18,'Close - PriceSaver'!A:J,5,0),"")</f>
        <v>3.7350682921693898E-2</v>
      </c>
      <c r="I18" s="4" t="e" cm="1">
        <f t="array" ref="I18">IF(NOT(ISBLANK(A18)),((_xlfn.XLOOKUP(1,(_bbt3[[#All],[ID]]=A18)*(_bbt3[[#All],[METRIC_NAME]]="YLD_YTM_ASK"),_bbt3[[#All],[METRIC_VALUE]])*0.5)+(_xlfn.XLOOKUP(1,(_bbt3[[#All],[ID]]=A18)*(_bbt3[[#All],[METRIC_NAME]]="YLD_YTM_BID"),_bbt3[[#All],[METRIC_VALUE]])*0.5))/100,"")</f>
        <v>#N/A</v>
      </c>
      <c r="J18">
        <f>IF(ISNA(VLOOKUP(A18,'CloseDL - PriceSaverBBT3'!A:E,5,0)),0,VLOOKUP(A18,'CloseDL - PriceSaverBBT3'!A:E,5,0))</f>
        <v>3.7350682921693898E-2</v>
      </c>
      <c r="K18" s="7">
        <f t="shared" si="1"/>
        <v>0</v>
      </c>
      <c r="L18" s="20">
        <f>IF(Close[[#This Row],[CreatedBy]]="MARINER\SilverAdm",1,0)</f>
        <v>1</v>
      </c>
      <c r="M18" t="str">
        <f>IF(NOT(ISBLANK(A18)),VLOOKUP(A18,'Close - PriceSaver'!A:J,6,0),"")</f>
        <v>DL Bill input Discount = 3.63940000  PX_ASK = 3.63170000 PX_BID = 3.64710000</v>
      </c>
      <c r="Q18" t="e">
        <f t="shared" si="7"/>
        <v>#N/A</v>
      </c>
      <c r="R18" t="e">
        <f t="shared" si="2"/>
        <v>#N/A</v>
      </c>
      <c r="S18" t="e">
        <f t="shared" si="3"/>
        <v>#N/A</v>
      </c>
      <c r="T18" s="15" t="e">
        <f t="shared" si="4"/>
        <v>#N/A</v>
      </c>
      <c r="U18" s="18" t="e">
        <f t="shared" si="5"/>
        <v>#N/A</v>
      </c>
      <c r="V18" s="18" t="e">
        <f t="shared" si="6"/>
        <v>#N/A</v>
      </c>
      <c r="W18" s="19" t="e">
        <f t="shared" si="8"/>
        <v>#N/A</v>
      </c>
      <c r="X18" t="e">
        <f>VLOOKUP(P18,Close[[ID]:[CreatedBy]],8,0)</f>
        <v>#N/A</v>
      </c>
    </row>
    <row r="19" spans="1:24" x14ac:dyDescent="0.35">
      <c r="A19" t="str">
        <v>912797UH8</v>
      </c>
      <c r="B19" t="str">
        <f>IF(NOT(ISBLANK(A19)),VLOOKUP(A19,'BBT3'!A:F,2,0),"")</f>
        <v>Bill</v>
      </c>
      <c r="C19" t="str">
        <f>IF(NOT(ISBLANK(A19)),VLOOKUP(A19,'BBT3'!A:F,3,0),"")</f>
        <v>US912797UH83</v>
      </c>
      <c r="D19" s="5">
        <f>IF(NOT(ISBLANK(A19)),VLOOKUP(A19,'BBT3'!A:F,4,1),"")</f>
        <v>0</v>
      </c>
      <c r="E19">
        <f>IF(NOT(ISBLANK(A19)),VLOOKUP(A19,'BBT3'!A:F,5,0),"")</f>
        <v>46289</v>
      </c>
      <c r="F19" t="str">
        <f>IF(NOT(ISBLANK(A19)),VLOOKUP(A19,'BBT3'!A:F,6,0),"")</f>
        <v>N</v>
      </c>
      <c r="G19" t="str">
        <f t="shared" si="0"/>
        <v>Y</v>
      </c>
      <c r="H19">
        <f>IF(NOT(ISBLANK(A19)),VLOOKUP(A19,'Close - PriceSaver'!A:J,5,0),"")</f>
        <v>3.7403076035794403E-2</v>
      </c>
      <c r="I19" s="4" cm="1">
        <f t="array" ref="I19">IF(NOT(ISBLANK(A19)),((_xlfn.XLOOKUP(1,(_bbt3[[#All],[ID]]=A19)*(_bbt3[[#All],[METRIC_NAME]]="YLD_YTM_ASK"),_bbt3[[#All],[METRIC_VALUE]])*0.5)+(_xlfn.XLOOKUP(1,(_bbt3[[#All],[ID]]=A19)*(_bbt3[[#All],[METRIC_NAME]]="YLD_YTM_BID"),_bbt3[[#All],[METRIC_VALUE]])*0.5))/100,"")</f>
        <v>3.7179999999999998E-2</v>
      </c>
      <c r="J19">
        <f>IF(ISNA(VLOOKUP(A19,'CloseDL - PriceSaverBBT3'!A:E,5,0)),0,VLOOKUP(A19,'CloseDL - PriceSaverBBT3'!A:E,5,0))</f>
        <v>3.7403076035794403E-2</v>
      </c>
      <c r="K19" s="7">
        <f t="shared" si="1"/>
        <v>0</v>
      </c>
      <c r="L19" s="20">
        <f>IF(Close[[#This Row],[CreatedBy]]="MARINER\SilverAdm",1,0)</f>
        <v>1</v>
      </c>
      <c r="M19" t="str">
        <f>IF(NOT(ISBLANK(A19)),VLOOKUP(A19,'Close - PriceSaver'!A:J,6,0),"")</f>
        <v>DL Bill input Discount = 3.64315000  PX_ASK = 3.63850000 PX_BID = 3.64780000</v>
      </c>
      <c r="Q19" t="e">
        <f t="shared" si="7"/>
        <v>#N/A</v>
      </c>
      <c r="R19" t="e">
        <f t="shared" si="2"/>
        <v>#N/A</v>
      </c>
      <c r="S19" t="e">
        <f t="shared" si="3"/>
        <v>#N/A</v>
      </c>
      <c r="T19" s="15" t="e">
        <f t="shared" si="4"/>
        <v>#N/A</v>
      </c>
      <c r="U19" s="18" t="e">
        <f t="shared" si="5"/>
        <v>#N/A</v>
      </c>
      <c r="V19" s="18" t="e">
        <f t="shared" si="6"/>
        <v>#N/A</v>
      </c>
      <c r="W19" s="19" t="e">
        <f t="shared" si="8"/>
        <v>#N/A</v>
      </c>
      <c r="X19" t="e">
        <f>VLOOKUP(P19,Close[[ID]:[CreatedBy]],8,0)</f>
        <v>#N/A</v>
      </c>
    </row>
    <row r="20" spans="1:24" x14ac:dyDescent="0.35">
      <c r="A20" t="str">
        <v>912797UJ4</v>
      </c>
      <c r="B20" t="str">
        <f>IF(NOT(ISBLANK(A20)),VLOOKUP(A20,'BBT3'!A:F,2,0),"")</f>
        <v>Bill</v>
      </c>
      <c r="C20" t="str">
        <f>IF(NOT(ISBLANK(A20)),VLOOKUP(A20,'BBT3'!A:F,3,0),"")</f>
        <v>US912797UJ40</v>
      </c>
      <c r="D20" s="5">
        <f>IF(NOT(ISBLANK(A20)),VLOOKUP(A20,'BBT3'!A:F,4,1),"")</f>
        <v>0</v>
      </c>
      <c r="E20">
        <f>IF(NOT(ISBLANK(A20)),VLOOKUP(A20,'BBT3'!A:F,5,0),"")</f>
        <v>46303</v>
      </c>
      <c r="F20" t="str">
        <f>IF(NOT(ISBLANK(A20)),VLOOKUP(A20,'BBT3'!A:F,6,0),"")</f>
        <v>N</v>
      </c>
      <c r="G20" t="str">
        <f t="shared" si="0"/>
        <v>Y</v>
      </c>
      <c r="H20">
        <f>IF(NOT(ISBLANK(A20)),VLOOKUP(A20,'Close - PriceSaver'!A:J,5,0),"")</f>
        <v>3.8095395360567198E-2</v>
      </c>
      <c r="I20" s="4" cm="1">
        <f t="array" ref="I20">IF(NOT(ISBLANK(A20)),((_xlfn.XLOOKUP(1,(_bbt3[[#All],[ID]]=A20)*(_bbt3[[#All],[METRIC_NAME]]="YLD_YTM_ASK"),_bbt3[[#All],[METRIC_VALUE]])*0.5)+(_xlfn.XLOOKUP(1,(_bbt3[[#All],[ID]]=A20)*(_bbt3[[#All],[METRIC_NAME]]="YLD_YTM_BID"),_bbt3[[#All],[METRIC_VALUE]])*0.5))/100,"")</f>
        <v>3.789E-2</v>
      </c>
      <c r="J20">
        <f>IF(ISNA(VLOOKUP(A20,'CloseDL - PriceSaverBBT3'!A:E,5,0)),0,VLOOKUP(A20,'CloseDL - PriceSaverBBT3'!A:E,5,0))</f>
        <v>3.8095395360567198E-2</v>
      </c>
      <c r="K20" s="7">
        <f t="shared" si="1"/>
        <v>0</v>
      </c>
      <c r="L20" s="20">
        <f>IF(Close[[#This Row],[CreatedBy]]="MARINER\SilverAdm",1,0)</f>
        <v>1</v>
      </c>
      <c r="M20" t="str">
        <f>IF(NOT(ISBLANK(A20)),VLOOKUP(A20,'Close - PriceSaver'!A:J,6,0),"")</f>
        <v>DL Bill input Discount = 3.70705000  PX_ASK = 3.70350000 PX_BID = 3.71060000</v>
      </c>
      <c r="Q20" t="e">
        <f t="shared" si="7"/>
        <v>#N/A</v>
      </c>
      <c r="R20" t="e">
        <f t="shared" si="2"/>
        <v>#N/A</v>
      </c>
      <c r="S20" t="e">
        <f t="shared" si="3"/>
        <v>#N/A</v>
      </c>
      <c r="T20" s="15" t="e">
        <f t="shared" si="4"/>
        <v>#N/A</v>
      </c>
      <c r="U20" s="18" t="e">
        <f t="shared" si="5"/>
        <v>#N/A</v>
      </c>
      <c r="V20" s="18" t="e">
        <f t="shared" si="6"/>
        <v>#N/A</v>
      </c>
      <c r="W20" s="19" t="e">
        <f t="shared" si="8"/>
        <v>#N/A</v>
      </c>
      <c r="X20" t="e">
        <f>VLOOKUP(P20,Close[[ID]:[CreatedBy]],8,0)</f>
        <v>#N/A</v>
      </c>
    </row>
    <row r="21" spans="1:24" x14ac:dyDescent="0.35">
      <c r="A21" t="str">
        <v>912797UK1</v>
      </c>
      <c r="B21" t="str">
        <f>IF(NOT(ISBLANK(A21)),VLOOKUP(A21,'BBT3'!A:F,2,0),"")</f>
        <v>Bill</v>
      </c>
      <c r="C21" t="str">
        <f>IF(NOT(ISBLANK(A21)),VLOOKUP(A21,'BBT3'!A:F,3,0),"")</f>
        <v>US912797UK13</v>
      </c>
      <c r="D21" s="5">
        <f>IF(NOT(ISBLANK(A21)),VLOOKUP(A21,'BBT3'!A:F,4,1),"")</f>
        <v>0</v>
      </c>
      <c r="E21">
        <f>IF(NOT(ISBLANK(A21)),VLOOKUP(A21,'BBT3'!A:F,5,0),"")</f>
        <v>46310</v>
      </c>
      <c r="F21" t="str">
        <f>IF(NOT(ISBLANK(A21)),VLOOKUP(A21,'BBT3'!A:F,6,0),"")</f>
        <v>N</v>
      </c>
      <c r="G21" t="str">
        <f t="shared" si="0"/>
        <v>Y</v>
      </c>
      <c r="H21">
        <f>IF(NOT(ISBLANK(A21)),VLOOKUP(A21,'Close - PriceSaver'!A:J,5,0),"")</f>
        <v>3.8156782312109602E-2</v>
      </c>
      <c r="I21" s="4" cm="1">
        <f t="array" ref="I21">IF(NOT(ISBLANK(A21)),((_xlfn.XLOOKUP(1,(_bbt3[[#All],[ID]]=A21)*(_bbt3[[#All],[METRIC_NAME]]="YLD_YTM_ASK"),_bbt3[[#All],[METRIC_VALUE]])*0.5)+(_xlfn.XLOOKUP(1,(_bbt3[[#All],[ID]]=A21)*(_bbt3[[#All],[METRIC_NAME]]="YLD_YTM_BID"),_bbt3[[#All],[METRIC_VALUE]])*0.5))/100,"")</f>
        <v>3.7964999999999999E-2</v>
      </c>
      <c r="J21">
        <f>IF(ISNA(VLOOKUP(A21,'CloseDL - PriceSaverBBT3'!A:E,5,0)),0,VLOOKUP(A21,'CloseDL - PriceSaverBBT3'!A:E,5,0))</f>
        <v>3.8156782312109602E-2</v>
      </c>
      <c r="K21" s="7">
        <f t="shared" si="1"/>
        <v>0</v>
      </c>
      <c r="L21" s="20">
        <f>IF(Close[[#This Row],[CreatedBy]]="MARINER\SilverAdm",1,0)</f>
        <v>1</v>
      </c>
      <c r="M21" t="str">
        <f>IF(NOT(ISBLANK(A21)),VLOOKUP(A21,'Close - PriceSaver'!A:J,6,0),"")</f>
        <v>DL Bill input Discount = 3.71160000  PX_ASK = 3.70700000 PX_BID = 3.71620000</v>
      </c>
      <c r="Q21" t="e">
        <f t="shared" si="7"/>
        <v>#N/A</v>
      </c>
      <c r="R21" t="e">
        <f t="shared" si="2"/>
        <v>#N/A</v>
      </c>
      <c r="S21" t="e">
        <f t="shared" si="3"/>
        <v>#N/A</v>
      </c>
      <c r="T21" s="15" t="e">
        <f t="shared" si="4"/>
        <v>#N/A</v>
      </c>
      <c r="U21" s="18" t="e">
        <f t="shared" si="5"/>
        <v>#N/A</v>
      </c>
      <c r="V21" s="18" t="e">
        <f t="shared" si="6"/>
        <v>#N/A</v>
      </c>
      <c r="W21" s="19" t="e">
        <f t="shared" si="8"/>
        <v>#N/A</v>
      </c>
      <c r="X21" t="e">
        <f>VLOOKUP(P21,Close[[ID]:[CreatedBy]],8,0)</f>
        <v>#N/A</v>
      </c>
    </row>
    <row r="22" spans="1:24" x14ac:dyDescent="0.35">
      <c r="A22" t="str">
        <v>912797UL9</v>
      </c>
      <c r="B22" t="str">
        <f>IF(NOT(ISBLANK(A22)),VLOOKUP(A22,'BBT3'!A:F,2,0),"")</f>
        <v>Bill</v>
      </c>
      <c r="C22" t="str">
        <f>IF(NOT(ISBLANK(A22)),VLOOKUP(A22,'BBT3'!A:F,3,0),"")</f>
        <v>US912797UL95</v>
      </c>
      <c r="D22" s="5">
        <f>IF(NOT(ISBLANK(A22)),VLOOKUP(A22,'BBT3'!A:F,4,1),"")</f>
        <v>0</v>
      </c>
      <c r="E22">
        <f>IF(NOT(ISBLANK(A22)),VLOOKUP(A22,'BBT3'!A:F,5,0),"")</f>
        <v>46317</v>
      </c>
      <c r="F22" t="str">
        <f>IF(NOT(ISBLANK(A22)),VLOOKUP(A22,'BBT3'!A:F,6,0),"")</f>
        <v>N</v>
      </c>
      <c r="G22" t="str">
        <f t="shared" si="0"/>
        <v>Y</v>
      </c>
      <c r="H22">
        <f>IF(NOT(ISBLANK(A22)),VLOOKUP(A22,'Close - PriceSaver'!A:J,5,0),"")</f>
        <v>3.8313186090046997E-2</v>
      </c>
      <c r="I22" s="4" cm="1">
        <f t="array" ref="I22">IF(NOT(ISBLANK(A22)),((_xlfn.XLOOKUP(1,(_bbt3[[#All],[ID]]=A22)*(_bbt3[[#All],[METRIC_NAME]]="YLD_YTM_ASK"),_bbt3[[#All],[METRIC_VALUE]])*0.5)+(_xlfn.XLOOKUP(1,(_bbt3[[#All],[ID]]=A22)*(_bbt3[[#All],[METRIC_NAME]]="YLD_YTM_BID"),_bbt3[[#All],[METRIC_VALUE]])*0.5))/100,"")</f>
        <v>3.8130000000000004E-2</v>
      </c>
      <c r="J22">
        <f>IF(ISNA(VLOOKUP(A22,'CloseDL - PriceSaverBBT3'!A:E,5,0)),0,VLOOKUP(A22,'CloseDL - PriceSaverBBT3'!A:E,5,0))</f>
        <v>3.8313186090046997E-2</v>
      </c>
      <c r="K22" s="7">
        <f t="shared" si="1"/>
        <v>0</v>
      </c>
      <c r="L22" s="20">
        <f>IF(Close[[#This Row],[CreatedBy]]="MARINER\SilverAdm",1,0)</f>
        <v>1</v>
      </c>
      <c r="M22" t="str">
        <f>IF(NOT(ISBLANK(A22)),VLOOKUP(A22,'Close - PriceSaver'!A:J,6,0),"")</f>
        <v>DL Bill input Discount = 3.72525000  PX_ASK = 3.71760000 PX_BID = 3.73290000</v>
      </c>
      <c r="Q22" t="e">
        <f t="shared" si="7"/>
        <v>#N/A</v>
      </c>
      <c r="R22" t="e">
        <f t="shared" si="2"/>
        <v>#N/A</v>
      </c>
      <c r="S22" t="e">
        <f t="shared" si="3"/>
        <v>#N/A</v>
      </c>
      <c r="T22" s="15" t="e">
        <f t="shared" si="4"/>
        <v>#N/A</v>
      </c>
      <c r="U22" s="18" t="e">
        <f t="shared" si="5"/>
        <v>#N/A</v>
      </c>
      <c r="V22" s="18" t="e">
        <f t="shared" si="6"/>
        <v>#N/A</v>
      </c>
      <c r="W22" s="19" t="e">
        <f t="shared" si="8"/>
        <v>#N/A</v>
      </c>
      <c r="X22" t="e">
        <f>VLOOKUP(P22,Close[[ID]:[CreatedBy]],8,0)</f>
        <v>#N/A</v>
      </c>
    </row>
    <row r="23" spans="1:24" x14ac:dyDescent="0.35">
      <c r="A23" t="str">
        <v>912797UM7</v>
      </c>
      <c r="B23" t="str">
        <f>IF(NOT(ISBLANK(A23)),VLOOKUP(A23,'BBT3'!A:F,2,0),"")</f>
        <v>Bill</v>
      </c>
      <c r="C23" t="str">
        <f>IF(NOT(ISBLANK(A23)),VLOOKUP(A23,'BBT3'!A:F,3,0),"")</f>
        <v>US912797UM78</v>
      </c>
      <c r="D23" s="5">
        <f>IF(NOT(ISBLANK(A23)),VLOOKUP(A23,'BBT3'!A:F,4,1),"")</f>
        <v>0</v>
      </c>
      <c r="E23">
        <f>IF(NOT(ISBLANK(A23)),VLOOKUP(A23,'BBT3'!A:F,5,0),"")</f>
        <v>46331</v>
      </c>
      <c r="F23" t="str">
        <f>IF(NOT(ISBLANK(A23)),VLOOKUP(A23,'BBT3'!A:F,6,0),"")</f>
        <v>N</v>
      </c>
      <c r="G23" t="str">
        <f t="shared" si="0"/>
        <v>Y</v>
      </c>
      <c r="H23">
        <f>IF(NOT(ISBLANK(A23)),VLOOKUP(A23,'Close - PriceSaver'!A:J,5,0),"")</f>
        <v>3.8401008645677401E-2</v>
      </c>
      <c r="I23" s="4" cm="1">
        <f t="array" ref="I23">IF(NOT(ISBLANK(A23)),((_xlfn.XLOOKUP(1,(_bbt3[[#All],[ID]]=A23)*(_bbt3[[#All],[METRIC_NAME]]="YLD_YTM_ASK"),_bbt3[[#All],[METRIC_VALUE]])*0.5)+(_xlfn.XLOOKUP(1,(_bbt3[[#All],[ID]]=A23)*(_bbt3[[#All],[METRIC_NAME]]="YLD_YTM_BID"),_bbt3[[#All],[METRIC_VALUE]])*0.5))/100,"")</f>
        <v>3.8245000000000001E-2</v>
      </c>
      <c r="J23">
        <f>IF(ISNA(VLOOKUP(A23,'CloseDL - PriceSaverBBT3'!A:E,5,0)),0,VLOOKUP(A23,'CloseDL - PriceSaverBBT3'!A:E,5,0))</f>
        <v>3.8401008645677401E-2</v>
      </c>
      <c r="K23" s="7">
        <f t="shared" si="1"/>
        <v>0</v>
      </c>
      <c r="L23" s="20">
        <f>IF(Close[[#This Row],[CreatedBy]]="MARINER\SilverAdm",1,0)</f>
        <v>1</v>
      </c>
      <c r="M23" t="str">
        <f>IF(NOT(ISBLANK(A23)),VLOOKUP(A23,'Close - PriceSaver'!A:J,6,0),"")</f>
        <v>DL Bill input Discount = 3.73095000  PX_ASK = 3.72180000 PX_BID = 3.74010000</v>
      </c>
      <c r="Q23" t="e">
        <f t="shared" si="7"/>
        <v>#N/A</v>
      </c>
      <c r="R23" t="e">
        <f t="shared" si="2"/>
        <v>#N/A</v>
      </c>
      <c r="S23" t="e">
        <f t="shared" si="3"/>
        <v>#N/A</v>
      </c>
      <c r="T23" s="15" t="e">
        <f t="shared" si="4"/>
        <v>#N/A</v>
      </c>
      <c r="U23" s="18" t="e">
        <f t="shared" si="5"/>
        <v>#N/A</v>
      </c>
      <c r="V23" s="18" t="e">
        <f t="shared" si="6"/>
        <v>#N/A</v>
      </c>
      <c r="W23" s="19" t="e">
        <f t="shared" si="8"/>
        <v>#N/A</v>
      </c>
      <c r="X23" t="e">
        <f>VLOOKUP(P23,Close[[ID]:[CreatedBy]],8,0)</f>
        <v>#N/A</v>
      </c>
    </row>
    <row r="24" spans="1:24" x14ac:dyDescent="0.35">
      <c r="A24" t="str">
        <v>912797UR6</v>
      </c>
      <c r="B24" t="str">
        <f>IF(NOT(ISBLANK(A24)),VLOOKUP(A24,'BBT3'!A:F,2,0),"")</f>
        <v>Bill</v>
      </c>
      <c r="C24" t="str">
        <f>IF(NOT(ISBLANK(A24)),VLOOKUP(A24,'BBT3'!A:F,3,0),"")</f>
        <v>US912797UR65</v>
      </c>
      <c r="D24" s="5">
        <f>IF(NOT(ISBLANK(A24)),VLOOKUP(A24,'BBT3'!A:F,4,1),"")</f>
        <v>0</v>
      </c>
      <c r="E24">
        <f>IF(NOT(ISBLANK(A24)),VLOOKUP(A24,'BBT3'!A:F,5,0),"")</f>
        <v>46231</v>
      </c>
      <c r="F24" t="str">
        <f>IF(NOT(ISBLANK(A24)),VLOOKUP(A24,'BBT3'!A:F,6,0),"")</f>
        <v>N</v>
      </c>
      <c r="G24" t="str">
        <f t="shared" si="0"/>
        <v>Y</v>
      </c>
      <c r="H24">
        <f>IF(NOT(ISBLANK(A24)),VLOOKUP(A24,'Close - PriceSaver'!A:J,5,0),"")</f>
        <v>3.6217659499777198E-2</v>
      </c>
      <c r="I24" s="4" cm="1">
        <f t="array" ref="I24">IF(NOT(ISBLANK(A24)),((_xlfn.XLOOKUP(1,(_bbt3[[#All],[ID]]=A24)*(_bbt3[[#All],[METRIC_NAME]]="YLD_YTM_ASK"),_bbt3[[#All],[METRIC_VALUE]])*0.5)+(_xlfn.XLOOKUP(1,(_bbt3[[#All],[ID]]=A24)*(_bbt3[[#All],[METRIC_NAME]]="YLD_YTM_BID"),_bbt3[[#All],[METRIC_VALUE]])*0.5))/100,"")</f>
        <v>3.5904999999999999E-2</v>
      </c>
      <c r="J24">
        <f>IF(ISNA(VLOOKUP(A24,'CloseDL - PriceSaverBBT3'!A:E,5,0)),0,VLOOKUP(A24,'CloseDL - PriceSaverBBT3'!A:E,5,0))</f>
        <v>3.6217659499777198E-2</v>
      </c>
      <c r="K24" s="7">
        <f t="shared" si="1"/>
        <v>0</v>
      </c>
      <c r="L24" s="20">
        <f>IF(Close[[#This Row],[CreatedBy]]="MARINER\SilverAdm",1,0)</f>
        <v>1</v>
      </c>
      <c r="M24" t="str">
        <f>IF(NOT(ISBLANK(A24)),VLOOKUP(A24,'Close - PriceSaver'!A:J,6,0),"")</f>
        <v>DL Bill input Discount = 3.53915000  PX_ASK = 3.53170000 PX_BID = 3.54660000</v>
      </c>
      <c r="Q24" t="e">
        <f t="shared" si="7"/>
        <v>#N/A</v>
      </c>
      <c r="R24" t="e">
        <f t="shared" si="2"/>
        <v>#N/A</v>
      </c>
      <c r="S24" t="e">
        <f t="shared" si="3"/>
        <v>#N/A</v>
      </c>
      <c r="T24" s="15" t="e">
        <f t="shared" si="4"/>
        <v>#N/A</v>
      </c>
      <c r="U24" s="18" t="e">
        <f t="shared" si="5"/>
        <v>#N/A</v>
      </c>
      <c r="V24" s="18" t="e">
        <f t="shared" si="6"/>
        <v>#N/A</v>
      </c>
      <c r="W24" s="19" t="e">
        <f t="shared" si="8"/>
        <v>#N/A</v>
      </c>
      <c r="X24" t="e">
        <f>VLOOKUP(P24,Close[[ID]:[CreatedBy]],8,0)</f>
        <v>#N/A</v>
      </c>
    </row>
    <row r="25" spans="1:24" x14ac:dyDescent="0.35">
      <c r="A25" t="str">
        <v>912797US4</v>
      </c>
      <c r="B25" t="str">
        <f>IF(NOT(ISBLANK(A25)),VLOOKUP(A25,'BBT3'!A:F,2,0),"")</f>
        <v>Bill</v>
      </c>
      <c r="C25" t="str">
        <f>IF(NOT(ISBLANK(A25)),VLOOKUP(A25,'BBT3'!A:F,3,0),"")</f>
        <v>US912797US49</v>
      </c>
      <c r="D25" s="5">
        <f>IF(NOT(ISBLANK(A25)),VLOOKUP(A25,'BBT3'!A:F,4,1),"")</f>
        <v>0</v>
      </c>
      <c r="E25">
        <f>IF(NOT(ISBLANK(A25)),VLOOKUP(A25,'BBT3'!A:F,5,0),"")</f>
        <v>46238</v>
      </c>
      <c r="F25" t="str">
        <f>IF(NOT(ISBLANK(A25)),VLOOKUP(A25,'BBT3'!A:F,6,0),"")</f>
        <v>N</v>
      </c>
      <c r="G25" t="str">
        <f t="shared" si="0"/>
        <v>Y</v>
      </c>
      <c r="H25">
        <f>IF(NOT(ISBLANK(A25)),VLOOKUP(A25,'Close - PriceSaver'!A:J,5,0),"")</f>
        <v>3.6750205686336898E-2</v>
      </c>
      <c r="I25" s="4" cm="1">
        <f t="array" ref="I25">IF(NOT(ISBLANK(A25)),((_xlfn.XLOOKUP(1,(_bbt3[[#All],[ID]]=A25)*(_bbt3[[#All],[METRIC_NAME]]="YLD_YTM_ASK"),_bbt3[[#All],[METRIC_VALUE]])*0.5)+(_xlfn.XLOOKUP(1,(_bbt3[[#All],[ID]]=A25)*(_bbt3[[#All],[METRIC_NAME]]="YLD_YTM_BID"),_bbt3[[#All],[METRIC_VALUE]])*0.5))/100,"")</f>
        <v>3.644E-2</v>
      </c>
      <c r="J25">
        <f>IF(ISNA(VLOOKUP(A25,'CloseDL - PriceSaverBBT3'!A:E,5,0)),0,VLOOKUP(A25,'CloseDL - PriceSaverBBT3'!A:E,5,0))</f>
        <v>3.6750205686336898E-2</v>
      </c>
      <c r="K25" s="7">
        <f t="shared" si="1"/>
        <v>0</v>
      </c>
      <c r="L25" s="20">
        <f>IF(Close[[#This Row],[CreatedBy]]="MARINER\SilverAdm",1,0)</f>
        <v>1</v>
      </c>
      <c r="M25" t="str">
        <f>IF(NOT(ISBLANK(A25)),VLOOKUP(A25,'Close - PriceSaver'!A:J,6,0),"")</f>
        <v>DL Bill input Discount = 3.58945000  PX_ASK = 3.58070000 PX_BID = 3.59820000</v>
      </c>
      <c r="Q25" t="e">
        <f t="shared" si="7"/>
        <v>#N/A</v>
      </c>
      <c r="R25" t="e">
        <f t="shared" si="2"/>
        <v>#N/A</v>
      </c>
      <c r="S25" t="e">
        <f t="shared" si="3"/>
        <v>#N/A</v>
      </c>
      <c r="T25" s="15" t="e">
        <f t="shared" ref="T25:T88" si="9">VLOOKUP(P25,A:K,5,0)</f>
        <v>#N/A</v>
      </c>
      <c r="U25" s="18" t="e">
        <f t="shared" ref="U25:U88" si="10">VLOOKUP(P25,A:K,8,0)</f>
        <v>#N/A</v>
      </c>
      <c r="V25" s="18" t="e">
        <f t="shared" ref="V25:V88" si="11">VLOOKUP(P25,A:K,10,0)</f>
        <v>#N/A</v>
      </c>
      <c r="W25" s="19" t="e">
        <f t="shared" ref="W25:W88" si="12">(V25-U25)*100</f>
        <v>#N/A</v>
      </c>
      <c r="X25" t="e">
        <f>VLOOKUP(P25,Close[[ID]:[CreatedBy]],8,0)</f>
        <v>#N/A</v>
      </c>
    </row>
    <row r="26" spans="1:24" x14ac:dyDescent="0.35">
      <c r="A26" t="str">
        <v>912797UT2</v>
      </c>
      <c r="B26" t="str">
        <f>IF(NOT(ISBLANK(A26)),VLOOKUP(A26,'BBT3'!A:F,2,0),"")</f>
        <v>Bill</v>
      </c>
      <c r="C26" t="str">
        <f>IF(NOT(ISBLANK(A26)),VLOOKUP(A26,'BBT3'!A:F,3,0),"")</f>
        <v>US912797UT22</v>
      </c>
      <c r="D26" s="5">
        <f>IF(NOT(ISBLANK(A26)),VLOOKUP(A26,'BBT3'!A:F,4,1),"")</f>
        <v>0</v>
      </c>
      <c r="E26">
        <f>IF(NOT(ISBLANK(A26)),VLOOKUP(A26,'BBT3'!A:F,5,0),"")</f>
        <v>46245</v>
      </c>
      <c r="F26" t="str">
        <f>IF(NOT(ISBLANK(A26)),VLOOKUP(A26,'BBT3'!A:F,6,0),"")</f>
        <v>N</v>
      </c>
      <c r="G26" t="str">
        <f t="shared" si="0"/>
        <v>Y</v>
      </c>
      <c r="H26">
        <f>IF(NOT(ISBLANK(A26)),VLOOKUP(A26,'Close - PriceSaver'!A:J,5,0),"")</f>
        <v>3.7178084784063301E-2</v>
      </c>
      <c r="I26" s="4" t="e" cm="1">
        <f t="array" ref="I26">IF(NOT(ISBLANK(A26)),((_xlfn.XLOOKUP(1,(_bbt3[[#All],[ID]]=A26)*(_bbt3[[#All],[METRIC_NAME]]="YLD_YTM_ASK"),_bbt3[[#All],[METRIC_VALUE]])*0.5)+(_xlfn.XLOOKUP(1,(_bbt3[[#All],[ID]]=A26)*(_bbt3[[#All],[METRIC_NAME]]="YLD_YTM_BID"),_bbt3[[#All],[METRIC_VALUE]])*0.5))/100,"")</f>
        <v>#N/A</v>
      </c>
      <c r="J26">
        <f>IF(ISNA(VLOOKUP(A26,'CloseDL - PriceSaverBBT3'!A:E,5,0)),0,VLOOKUP(A26,'CloseDL - PriceSaverBBT3'!A:E,5,0))</f>
        <v>3.7178084784063301E-2</v>
      </c>
      <c r="K26" s="7">
        <f t="shared" si="1"/>
        <v>0</v>
      </c>
      <c r="L26" s="20">
        <f>IF(Close[[#This Row],[CreatedBy]]="MARINER\SilverAdm",1,0)</f>
        <v>1</v>
      </c>
      <c r="M26" t="str">
        <f>IF(NOT(ISBLANK(A26)),VLOOKUP(A26,'Close - PriceSaver'!A:J,6,0),"")</f>
        <v>DL Bill input Discount = 3.62955000  PX_ASK = 3.62430000 PX_BID = 3.63480000</v>
      </c>
      <c r="Q26" t="e">
        <f t="shared" si="7"/>
        <v>#N/A</v>
      </c>
      <c r="R26" t="e">
        <f t="shared" si="2"/>
        <v>#N/A</v>
      </c>
      <c r="S26" t="e">
        <f t="shared" si="3"/>
        <v>#N/A</v>
      </c>
      <c r="T26" s="15" t="e">
        <f t="shared" si="9"/>
        <v>#N/A</v>
      </c>
      <c r="U26" s="18" t="e">
        <f t="shared" si="10"/>
        <v>#N/A</v>
      </c>
      <c r="V26" s="18" t="e">
        <f t="shared" si="11"/>
        <v>#N/A</v>
      </c>
      <c r="W26" s="19" t="e">
        <f t="shared" si="12"/>
        <v>#N/A</v>
      </c>
      <c r="X26" t="e">
        <f>VLOOKUP(P26,Close[[ID]:[CreatedBy]],8,0)</f>
        <v>#N/A</v>
      </c>
    </row>
    <row r="27" spans="1:24" x14ac:dyDescent="0.35">
      <c r="A27" t="str">
        <v>912797UU9</v>
      </c>
      <c r="B27" t="str">
        <f>IF(NOT(ISBLANK(A27)),VLOOKUP(A27,'BBT3'!A:F,2,0),"")</f>
        <v>Bill</v>
      </c>
      <c r="C27" t="str">
        <f>IF(NOT(ISBLANK(A27)),VLOOKUP(A27,'BBT3'!A:F,3,0),"")</f>
        <v>US912797UU94</v>
      </c>
      <c r="D27" s="5">
        <f>IF(NOT(ISBLANK(A27)),VLOOKUP(A27,'BBT3'!A:F,4,1),"")</f>
        <v>0</v>
      </c>
      <c r="E27">
        <f>IF(NOT(ISBLANK(A27)),VLOOKUP(A27,'BBT3'!A:F,5,0),"")</f>
        <v>46252</v>
      </c>
      <c r="F27" t="str">
        <f>IF(NOT(ISBLANK(A27)),VLOOKUP(A27,'BBT3'!A:F,6,0),"")</f>
        <v>N</v>
      </c>
      <c r="G27" t="str">
        <f t="shared" si="0"/>
        <v>Y</v>
      </c>
      <c r="H27">
        <f>IF(NOT(ISBLANK(A27)),VLOOKUP(A27,'Close - PriceSaver'!A:J,5,0),"")</f>
        <v>3.7315625465436798E-2</v>
      </c>
      <c r="I27" s="4" cm="1">
        <f t="array" ref="I27">IF(NOT(ISBLANK(A27)),((_xlfn.XLOOKUP(1,(_bbt3[[#All],[ID]]=A27)*(_bbt3[[#All],[METRIC_NAME]]="YLD_YTM_ASK"),_bbt3[[#All],[METRIC_VALUE]])*0.5)+(_xlfn.XLOOKUP(1,(_bbt3[[#All],[ID]]=A27)*(_bbt3[[#All],[METRIC_NAME]]="YLD_YTM_BID"),_bbt3[[#All],[METRIC_VALUE]])*0.5))/100,"")</f>
        <v>3.7019999999999997E-2</v>
      </c>
      <c r="J27">
        <f>IF(ISNA(VLOOKUP(A27,'CloseDL - PriceSaverBBT3'!A:E,5,0)),0,VLOOKUP(A27,'CloseDL - PriceSaverBBT3'!A:E,5,0))</f>
        <v>3.7315625465436798E-2</v>
      </c>
      <c r="K27" s="7">
        <f t="shared" si="1"/>
        <v>0</v>
      </c>
      <c r="L27" s="20">
        <f>IF(Close[[#This Row],[CreatedBy]]="MARINER\SilverAdm",1,0)</f>
        <v>1</v>
      </c>
      <c r="M27" t="str">
        <f>IF(NOT(ISBLANK(A27)),VLOOKUP(A27,'Close - PriceSaver'!A:J,6,0),"")</f>
        <v>DL Bill input Discount = 3.64155000  PX_ASK = 3.63690000 PX_BID = 3.64620000</v>
      </c>
      <c r="Q27" t="e">
        <f t="shared" si="7"/>
        <v>#N/A</v>
      </c>
      <c r="R27" t="e">
        <f t="shared" si="2"/>
        <v>#N/A</v>
      </c>
      <c r="S27" t="e">
        <f t="shared" si="3"/>
        <v>#N/A</v>
      </c>
      <c r="T27" s="15" t="e">
        <f t="shared" si="9"/>
        <v>#N/A</v>
      </c>
      <c r="U27" s="18" t="e">
        <f t="shared" si="10"/>
        <v>#N/A</v>
      </c>
      <c r="V27" s="18" t="e">
        <f t="shared" si="11"/>
        <v>#N/A</v>
      </c>
      <c r="W27" s="19" t="e">
        <f t="shared" si="12"/>
        <v>#N/A</v>
      </c>
      <c r="X27" t="e">
        <f>VLOOKUP(P27,Close[[ID]:[CreatedBy]],8,0)</f>
        <v>#N/A</v>
      </c>
    </row>
    <row r="28" spans="1:24" x14ac:dyDescent="0.35">
      <c r="A28" t="str">
        <v>912797UV7</v>
      </c>
      <c r="B28" t="str">
        <f>IF(NOT(ISBLANK(A28)),VLOOKUP(A28,'BBT3'!A:F,2,0),"")</f>
        <v>Bill</v>
      </c>
      <c r="C28" t="str">
        <f>IF(NOT(ISBLANK(A28)),VLOOKUP(A28,'BBT3'!A:F,3,0),"")</f>
        <v>US912797UV77</v>
      </c>
      <c r="D28" s="5">
        <f>IF(NOT(ISBLANK(A28)),VLOOKUP(A28,'BBT3'!A:F,4,1),"")</f>
        <v>0</v>
      </c>
      <c r="E28">
        <f>IF(NOT(ISBLANK(A28)),VLOOKUP(A28,'BBT3'!A:F,5,0),"")</f>
        <v>46259</v>
      </c>
      <c r="F28" t="str">
        <f>IF(NOT(ISBLANK(A28)),VLOOKUP(A28,'BBT3'!A:F,6,0),"")</f>
        <v>N</v>
      </c>
      <c r="G28" t="str">
        <f t="shared" si="0"/>
        <v>Y</v>
      </c>
      <c r="H28">
        <f>IF(NOT(ISBLANK(A28)),VLOOKUP(A28,'Close - PriceSaver'!A:J,5,0),"")</f>
        <v>3.71331318771548E-2</v>
      </c>
      <c r="I28" s="4" cm="1">
        <f t="array" ref="I28">IF(NOT(ISBLANK(A28)),((_xlfn.XLOOKUP(1,(_bbt3[[#All],[ID]]=A28)*(_bbt3[[#All],[METRIC_NAME]]="YLD_YTM_ASK"),_bbt3[[#All],[METRIC_VALUE]])*0.5)+(_xlfn.XLOOKUP(1,(_bbt3[[#All],[ID]]=A28)*(_bbt3[[#All],[METRIC_NAME]]="YLD_YTM_BID"),_bbt3[[#All],[METRIC_VALUE]])*0.5))/100,"")</f>
        <v>3.6854999999999999E-2</v>
      </c>
      <c r="J28">
        <f>IF(ISNA(VLOOKUP(A28,'CloseDL - PriceSaverBBT3'!A:E,5,0)),0,VLOOKUP(A28,'CloseDL - PriceSaverBBT3'!A:E,5,0))</f>
        <v>3.71331318771548E-2</v>
      </c>
      <c r="K28" s="7">
        <f t="shared" si="1"/>
        <v>0</v>
      </c>
      <c r="L28" s="20">
        <f>IF(Close[[#This Row],[CreatedBy]]="MARINER\SilverAdm",1,0)</f>
        <v>1</v>
      </c>
      <c r="M28" t="str">
        <f>IF(NOT(ISBLANK(A28)),VLOOKUP(A28,'Close - PriceSaver'!A:J,6,0),"")</f>
        <v>DL Bill input Discount = 3.62265000  PX_ASK = 3.61800000 PX_BID = 3.62730000</v>
      </c>
      <c r="Q28" t="e">
        <f t="shared" si="7"/>
        <v>#N/A</v>
      </c>
      <c r="R28" t="e">
        <f t="shared" si="2"/>
        <v>#N/A</v>
      </c>
      <c r="S28" t="e">
        <f t="shared" si="3"/>
        <v>#N/A</v>
      </c>
      <c r="T28" s="15" t="e">
        <f t="shared" si="9"/>
        <v>#N/A</v>
      </c>
      <c r="U28" s="18" t="e">
        <f t="shared" si="10"/>
        <v>#N/A</v>
      </c>
      <c r="V28" s="18" t="e">
        <f t="shared" si="11"/>
        <v>#N/A</v>
      </c>
      <c r="W28" s="19" t="e">
        <f t="shared" si="12"/>
        <v>#N/A</v>
      </c>
      <c r="X28" t="e">
        <f>VLOOKUP(P28,Close[[ID]:[CreatedBy]],8,0)</f>
        <v>#N/A</v>
      </c>
    </row>
    <row r="29" spans="1:24" x14ac:dyDescent="0.35">
      <c r="A29" t="str">
        <v>912797UX3</v>
      </c>
      <c r="B29" t="str">
        <f>IF(NOT(ISBLANK(A29)),VLOOKUP(A29,'BBT3'!A:F,2,0),"")</f>
        <v>Bill</v>
      </c>
      <c r="C29" t="str">
        <f>IF(NOT(ISBLANK(A29)),VLOOKUP(A29,'BBT3'!A:F,3,0),"")</f>
        <v>US912797UX34</v>
      </c>
      <c r="D29" s="5">
        <f>IF(NOT(ISBLANK(A29)),VLOOKUP(A29,'BBT3'!A:F,4,1),"")</f>
        <v>0</v>
      </c>
      <c r="E29">
        <f>IF(NOT(ISBLANK(A29)),VLOOKUP(A29,'BBT3'!A:F,5,0),"")</f>
        <v>46520</v>
      </c>
      <c r="F29" t="str">
        <f>IF(NOT(ISBLANK(A29)),VLOOKUP(A29,'BBT3'!A:F,6,0),"")</f>
        <v>N</v>
      </c>
      <c r="G29" t="str">
        <f t="shared" si="0"/>
        <v>Y</v>
      </c>
      <c r="H29">
        <f>IF(NOT(ISBLANK(A29)),VLOOKUP(A29,'Close - PriceSaver'!A:J,5,0),"")</f>
        <v>3.95002764784032E-2</v>
      </c>
      <c r="I29" s="4" cm="1">
        <f t="array" ref="I29">IF(NOT(ISBLANK(A29)),((_xlfn.XLOOKUP(1,(_bbt3[[#All],[ID]]=A29)*(_bbt3[[#All],[METRIC_NAME]]="YLD_YTM_ASK"),_bbt3[[#All],[METRIC_VALUE]])*0.5)+(_xlfn.XLOOKUP(1,(_bbt3[[#All],[ID]]=A29)*(_bbt3[[#All],[METRIC_NAME]]="YLD_YTM_BID"),_bbt3[[#All],[METRIC_VALUE]])*0.5))/100,"")</f>
        <v>3.9444999999999994E-2</v>
      </c>
      <c r="J29">
        <f>IF(ISNA(VLOOKUP(A29,'CloseDL - PriceSaverBBT3'!A:E,5,0)),0,VLOOKUP(A29,'CloseDL - PriceSaverBBT3'!A:E,5,0))</f>
        <v>3.95002764784032E-2</v>
      </c>
      <c r="K29" s="7">
        <f t="shared" si="1"/>
        <v>0</v>
      </c>
      <c r="L29" s="20">
        <f>IF(Close[[#This Row],[CreatedBy]]="MARINER\SilverAdm",1,0)</f>
        <v>1</v>
      </c>
      <c r="M29" t="str">
        <f>IF(NOT(ISBLANK(A29)),VLOOKUP(A29,'Close - PriceSaver'!A:J,6,0),"")</f>
        <v>DL Bill input Discount = 3.79760000  PX_ASK = 3.78320000 PX_BID = 3.81200000</v>
      </c>
      <c r="Q29" t="e">
        <f t="shared" si="7"/>
        <v>#N/A</v>
      </c>
      <c r="R29" t="e">
        <f t="shared" si="2"/>
        <v>#N/A</v>
      </c>
      <c r="S29" t="e">
        <f t="shared" si="3"/>
        <v>#N/A</v>
      </c>
      <c r="T29" s="15" t="e">
        <f t="shared" si="9"/>
        <v>#N/A</v>
      </c>
      <c r="U29" s="18" t="e">
        <f t="shared" si="10"/>
        <v>#N/A</v>
      </c>
      <c r="V29" s="18" t="e">
        <f t="shared" si="11"/>
        <v>#N/A</v>
      </c>
      <c r="W29" s="19" t="e">
        <f t="shared" si="12"/>
        <v>#N/A</v>
      </c>
      <c r="X29" t="e">
        <f>VLOOKUP(P29,Close[[ID]:[CreatedBy]],8,0)</f>
        <v>#N/A</v>
      </c>
    </row>
    <row r="30" spans="1:24" x14ac:dyDescent="0.35">
      <c r="A30" t="str">
        <v>912797UY1</v>
      </c>
      <c r="B30" t="str">
        <f>IF(NOT(ISBLANK(A30)),VLOOKUP(A30,'BBT3'!A:F,2,0),"")</f>
        <v>Bill</v>
      </c>
      <c r="C30" t="str">
        <f>IF(NOT(ISBLANK(A30)),VLOOKUP(A30,'BBT3'!A:F,3,0),"")</f>
        <v>US912797UY17</v>
      </c>
      <c r="D30" s="5">
        <f>IF(NOT(ISBLANK(A30)),VLOOKUP(A30,'BBT3'!A:F,4,1),"")</f>
        <v>0</v>
      </c>
      <c r="E30">
        <f>IF(NOT(ISBLANK(A30)),VLOOKUP(A30,'BBT3'!A:F,5,0),"")</f>
        <v>46338</v>
      </c>
      <c r="F30" t="str">
        <f>IF(NOT(ISBLANK(A30)),VLOOKUP(A30,'BBT3'!A:F,6,0),"")</f>
        <v>N</v>
      </c>
      <c r="G30" t="str">
        <f t="shared" si="0"/>
        <v>Y</v>
      </c>
      <c r="H30">
        <f>IF(NOT(ISBLANK(A30)),VLOOKUP(A30,'Close - PriceSaver'!A:J,5,0),"")</f>
        <v>3.8553758514712197E-2</v>
      </c>
      <c r="I30" s="4" cm="1">
        <f t="array" ref="I30">IF(NOT(ISBLANK(A30)),((_xlfn.XLOOKUP(1,(_bbt3[[#All],[ID]]=A30)*(_bbt3[[#All],[METRIC_NAME]]="YLD_YTM_ASK"),_bbt3[[#All],[METRIC_VALUE]])*0.5)+(_xlfn.XLOOKUP(1,(_bbt3[[#All],[ID]]=A30)*(_bbt3[[#All],[METRIC_NAME]]="YLD_YTM_BID"),_bbt3[[#All],[METRIC_VALUE]])*0.5))/100,"")</f>
        <v>3.841E-2</v>
      </c>
      <c r="J30">
        <f>IF(ISNA(VLOOKUP(A30,'CloseDL - PriceSaverBBT3'!A:E,5,0)),0,VLOOKUP(A30,'CloseDL - PriceSaverBBT3'!A:E,5,0))</f>
        <v>3.8553758514712197E-2</v>
      </c>
      <c r="K30" s="7">
        <f t="shared" si="1"/>
        <v>0</v>
      </c>
      <c r="L30" s="20">
        <f>IF(Close[[#This Row],[CreatedBy]]="MARINER\SilverAdm",1,0)</f>
        <v>1</v>
      </c>
      <c r="M30" t="str">
        <f>IF(NOT(ISBLANK(A30)),VLOOKUP(A30,'Close - PriceSaver'!A:J,6,0),"")</f>
        <v>DL Bill input Discount = 3.74420000  PX_ASK = 3.73560000 PX_BID = 3.75280000</v>
      </c>
      <c r="Q30" t="e">
        <f t="shared" si="7"/>
        <v>#N/A</v>
      </c>
      <c r="R30" t="e">
        <f t="shared" si="2"/>
        <v>#N/A</v>
      </c>
      <c r="S30" t="e">
        <f t="shared" si="3"/>
        <v>#N/A</v>
      </c>
      <c r="T30" s="15" t="e">
        <f t="shared" si="9"/>
        <v>#N/A</v>
      </c>
      <c r="U30" s="18" t="e">
        <f t="shared" si="10"/>
        <v>#N/A</v>
      </c>
      <c r="V30" s="18" t="e">
        <f t="shared" si="11"/>
        <v>#N/A</v>
      </c>
      <c r="W30" s="19" t="e">
        <f t="shared" si="12"/>
        <v>#N/A</v>
      </c>
      <c r="X30" t="e">
        <f>VLOOKUP(P30,Close[[ID]:[CreatedBy]],8,0)</f>
        <v>#N/A</v>
      </c>
    </row>
    <row r="31" spans="1:24" x14ac:dyDescent="0.35">
      <c r="A31" t="str">
        <v>912797UZ8</v>
      </c>
      <c r="B31" t="str">
        <f>IF(NOT(ISBLANK(A31)),VLOOKUP(A31,'BBT3'!A:F,2,0),"")</f>
        <v>Bill</v>
      </c>
      <c r="C31" t="str">
        <f>IF(NOT(ISBLANK(A31)),VLOOKUP(A31,'BBT3'!A:F,3,0),"")</f>
        <v>US912797UZ81</v>
      </c>
      <c r="D31" s="5">
        <f>IF(NOT(ISBLANK(A31)),VLOOKUP(A31,'BBT3'!A:F,4,1),"")</f>
        <v>0</v>
      </c>
      <c r="E31">
        <f>IF(NOT(ISBLANK(A31)),VLOOKUP(A31,'BBT3'!A:F,5,0),"")</f>
        <v>46345</v>
      </c>
      <c r="F31" t="str">
        <f>IF(NOT(ISBLANK(A31)),VLOOKUP(A31,'BBT3'!A:F,6,0),"")</f>
        <v>N</v>
      </c>
      <c r="G31" t="str">
        <f t="shared" si="0"/>
        <v>Y</v>
      </c>
      <c r="H31">
        <f>IF(NOT(ISBLANK(A31)),VLOOKUP(A31,'Close - PriceSaver'!A:J,5,0),"")</f>
        <v>3.8655983858648199E-2</v>
      </c>
      <c r="I31" s="4" cm="1">
        <f t="array" ref="I31">IF(NOT(ISBLANK(A31)),((_xlfn.XLOOKUP(1,(_bbt3[[#All],[ID]]=A31)*(_bbt3[[#All],[METRIC_NAME]]="YLD_YTM_ASK"),_bbt3[[#All],[METRIC_VALUE]])*0.5)+(_xlfn.XLOOKUP(1,(_bbt3[[#All],[ID]]=A31)*(_bbt3[[#All],[METRIC_NAME]]="YLD_YTM_BID"),_bbt3[[#All],[METRIC_VALUE]])*0.5))/100,"")</f>
        <v>3.8529999999999995E-2</v>
      </c>
      <c r="J31">
        <f>IF(ISNA(VLOOKUP(A31,'CloseDL - PriceSaverBBT3'!A:E,5,0)),0,VLOOKUP(A31,'CloseDL - PriceSaverBBT3'!A:E,5,0))</f>
        <v>3.8655983858648199E-2</v>
      </c>
      <c r="K31" s="7">
        <f t="shared" si="1"/>
        <v>0</v>
      </c>
      <c r="L31" s="20">
        <f>IF(Close[[#This Row],[CreatedBy]]="MARINER\SilverAdm",1,0)</f>
        <v>1</v>
      </c>
      <c r="M31" t="str">
        <f>IF(NOT(ISBLANK(A31)),VLOOKUP(A31,'Close - PriceSaver'!A:J,6,0),"")</f>
        <v>DL Bill input Discount = 3.75260000  PX_ASK = 3.74390000 PX_BID = 3.76130000</v>
      </c>
      <c r="Q31" t="e">
        <f t="shared" si="7"/>
        <v>#N/A</v>
      </c>
      <c r="R31" t="e">
        <f t="shared" si="2"/>
        <v>#N/A</v>
      </c>
      <c r="S31" t="e">
        <f t="shared" si="3"/>
        <v>#N/A</v>
      </c>
      <c r="T31" s="15" t="e">
        <f t="shared" si="9"/>
        <v>#N/A</v>
      </c>
      <c r="U31" s="18" t="e">
        <f t="shared" si="10"/>
        <v>#N/A</v>
      </c>
      <c r="V31" s="18" t="e">
        <f t="shared" si="11"/>
        <v>#N/A</v>
      </c>
      <c r="W31" s="19" t="e">
        <f t="shared" si="12"/>
        <v>#N/A</v>
      </c>
      <c r="X31" t="e">
        <f>VLOOKUP(P31,Close[[ID]:[CreatedBy]],8,0)</f>
        <v>#N/A</v>
      </c>
    </row>
    <row r="32" spans="1:24" x14ac:dyDescent="0.35">
      <c r="A32" t="str">
        <v>912797VA2</v>
      </c>
      <c r="B32" t="str">
        <f>IF(NOT(ISBLANK(A32)),VLOOKUP(A32,'BBT3'!A:F,2,0),"")</f>
        <v>Bill</v>
      </c>
      <c r="C32" t="str">
        <f>IF(NOT(ISBLANK(A32)),VLOOKUP(A32,'BBT3'!A:F,3,0),"")</f>
        <v>US912797VA22</v>
      </c>
      <c r="D32" s="5">
        <f>IF(NOT(ISBLANK(A32)),VLOOKUP(A32,'BBT3'!A:F,4,1),"")</f>
        <v>0</v>
      </c>
      <c r="E32">
        <f>IF(NOT(ISBLANK(A32)),VLOOKUP(A32,'BBT3'!A:F,5,0),"")</f>
        <v>46359</v>
      </c>
      <c r="F32" t="str">
        <f>IF(NOT(ISBLANK(A32)),VLOOKUP(A32,'BBT3'!A:F,6,0),"")</f>
        <v>N</v>
      </c>
      <c r="G32" t="str">
        <f t="shared" si="0"/>
        <v>Y</v>
      </c>
      <c r="H32">
        <f>IF(NOT(ISBLANK(A32)),VLOOKUP(A32,'Close - PriceSaver'!A:J,5,0),"")</f>
        <v>3.9077908038417201E-2</v>
      </c>
      <c r="I32" s="4" cm="1">
        <f t="array" ref="I32">IF(NOT(ISBLANK(A32)),((_xlfn.XLOOKUP(1,(_bbt3[[#All],[ID]]=A32)*(_bbt3[[#All],[METRIC_NAME]]="YLD_YTM_ASK"),_bbt3[[#All],[METRIC_VALUE]])*0.5)+(_xlfn.XLOOKUP(1,(_bbt3[[#All],[ID]]=A32)*(_bbt3[[#All],[METRIC_NAME]]="YLD_YTM_BID"),_bbt3[[#All],[METRIC_VALUE]])*0.5))/100,"")</f>
        <v>3.8979999999999994E-2</v>
      </c>
      <c r="J32">
        <f>IF(ISNA(VLOOKUP(A32,'CloseDL - PriceSaverBBT3'!A:E,5,0)),0,VLOOKUP(A32,'CloseDL - PriceSaverBBT3'!A:E,5,0))</f>
        <v>3.9077908038417201E-2</v>
      </c>
      <c r="K32" s="7">
        <f t="shared" si="1"/>
        <v>0</v>
      </c>
      <c r="L32" s="20">
        <f>IF(Close[[#This Row],[CreatedBy]]="MARINER\SilverAdm",1,0)</f>
        <v>1</v>
      </c>
      <c r="M32" t="str">
        <f>IF(NOT(ISBLANK(A32)),VLOOKUP(A32,'Close - PriceSaver'!A:J,6,0),"")</f>
        <v>DL Bill input Discount = 3.79010000  PX_ASK = 3.78350000 PX_BID = 3.79670000</v>
      </c>
      <c r="Q32" t="e">
        <f t="shared" si="7"/>
        <v>#N/A</v>
      </c>
      <c r="R32" t="e">
        <f t="shared" si="2"/>
        <v>#N/A</v>
      </c>
      <c r="S32" t="e">
        <f t="shared" si="3"/>
        <v>#N/A</v>
      </c>
      <c r="T32" s="15" t="e">
        <f t="shared" si="9"/>
        <v>#N/A</v>
      </c>
      <c r="U32" s="18" t="e">
        <f t="shared" si="10"/>
        <v>#N/A</v>
      </c>
      <c r="V32" s="18" t="e">
        <f t="shared" si="11"/>
        <v>#N/A</v>
      </c>
      <c r="W32" s="19" t="e">
        <f t="shared" si="12"/>
        <v>#N/A</v>
      </c>
      <c r="X32" t="e">
        <f>VLOOKUP(P32,Close[[ID]:[CreatedBy]],8,0)</f>
        <v>#N/A</v>
      </c>
    </row>
    <row r="33" spans="1:24" x14ac:dyDescent="0.35">
      <c r="A33" t="str">
        <v>912797VB0</v>
      </c>
      <c r="B33" t="str">
        <f>IF(NOT(ISBLANK(A33)),VLOOKUP(A33,'BBT3'!A:F,2,0),"")</f>
        <v>Bill</v>
      </c>
      <c r="C33" t="str">
        <f>IF(NOT(ISBLANK(A33)),VLOOKUP(A33,'BBT3'!A:F,3,0),"")</f>
        <v>US912797VB05</v>
      </c>
      <c r="D33" s="5">
        <f>IF(NOT(ISBLANK(A33)),VLOOKUP(A33,'BBT3'!A:F,4,1),"")</f>
        <v>0</v>
      </c>
      <c r="E33">
        <f>IF(NOT(ISBLANK(A33)),VLOOKUP(A33,'BBT3'!A:F,5,0),"")</f>
        <v>46273</v>
      </c>
      <c r="F33" t="str">
        <f>IF(NOT(ISBLANK(A33)),VLOOKUP(A33,'BBT3'!A:F,6,0),"")</f>
        <v>N</v>
      </c>
      <c r="G33" t="str">
        <f t="shared" si="0"/>
        <v>Y</v>
      </c>
      <c r="H33">
        <f>IF(NOT(ISBLANK(A33)),VLOOKUP(A33,'Close - PriceSaver'!A:J,5,0),"")</f>
        <v>3.7385354659237098E-2</v>
      </c>
      <c r="I33" s="4" cm="1">
        <f t="array" ref="I33">IF(NOT(ISBLANK(A33)),((_xlfn.XLOOKUP(1,(_bbt3[[#All],[ID]]=A33)*(_bbt3[[#All],[METRIC_NAME]]="YLD_YTM_ASK"),_bbt3[[#All],[METRIC_VALUE]])*0.5)+(_xlfn.XLOOKUP(1,(_bbt3[[#All],[ID]]=A33)*(_bbt3[[#All],[METRIC_NAME]]="YLD_YTM_BID"),_bbt3[[#All],[METRIC_VALUE]])*0.5))/100,"")</f>
        <v>3.7130000000000003E-2</v>
      </c>
      <c r="J33">
        <f>IF(ISNA(VLOOKUP(A33,'CloseDL - PriceSaverBBT3'!A:E,5,0)),0,VLOOKUP(A33,'CloseDL - PriceSaverBBT3'!A:E,5,0))</f>
        <v>3.7385354659237098E-2</v>
      </c>
      <c r="K33" s="7">
        <f t="shared" si="1"/>
        <v>0</v>
      </c>
      <c r="L33" s="20">
        <f>IF(Close[[#This Row],[CreatedBy]]="MARINER\SilverAdm",1,0)</f>
        <v>1</v>
      </c>
      <c r="M33" t="str">
        <f>IF(NOT(ISBLANK(A33)),VLOOKUP(A33,'Close - PriceSaver'!A:J,6,0),"")</f>
        <v>DL Bill input Discount = 3.64440000  PX_ASK = 3.63980000 PX_BID = 3.64900000</v>
      </c>
      <c r="Q33" t="e">
        <f t="shared" si="7"/>
        <v>#N/A</v>
      </c>
      <c r="R33" t="e">
        <f t="shared" si="2"/>
        <v>#N/A</v>
      </c>
      <c r="S33" t="e">
        <f t="shared" si="3"/>
        <v>#N/A</v>
      </c>
      <c r="T33" s="15" t="e">
        <f t="shared" si="9"/>
        <v>#N/A</v>
      </c>
      <c r="U33" s="18" t="e">
        <f t="shared" si="10"/>
        <v>#N/A</v>
      </c>
      <c r="V33" s="18" t="e">
        <f t="shared" si="11"/>
        <v>#N/A</v>
      </c>
      <c r="W33" s="19" t="e">
        <f t="shared" si="12"/>
        <v>#N/A</v>
      </c>
      <c r="X33" t="e">
        <f>VLOOKUP(P33,Close[[ID]:[CreatedBy]],8,0)</f>
        <v>#N/A</v>
      </c>
    </row>
    <row r="34" spans="1:24" x14ac:dyDescent="0.35">
      <c r="A34" t="str">
        <v>912797VC8</v>
      </c>
      <c r="B34" t="str">
        <f>IF(NOT(ISBLANK(A34)),VLOOKUP(A34,'BBT3'!A:F,2,0),"")</f>
        <v>Bill</v>
      </c>
      <c r="C34" t="str">
        <f>IF(NOT(ISBLANK(A34)),VLOOKUP(A34,'BBT3'!A:F,3,0),"")</f>
        <v>US912797VC87</v>
      </c>
      <c r="D34" s="5">
        <f>IF(NOT(ISBLANK(A34)),VLOOKUP(A34,'BBT3'!A:F,4,1),"")</f>
        <v>0</v>
      </c>
      <c r="E34">
        <f>IF(NOT(ISBLANK(A34)),VLOOKUP(A34,'BBT3'!A:F,5,0),"")</f>
        <v>46280</v>
      </c>
      <c r="F34" t="str">
        <f>IF(NOT(ISBLANK(A34)),VLOOKUP(A34,'BBT3'!A:F,6,0),"")</f>
        <v>N</v>
      </c>
      <c r="G34" t="str">
        <f t="shared" si="0"/>
        <v>Y</v>
      </c>
      <c r="H34">
        <f>IF(NOT(ISBLANK(A34)),VLOOKUP(A34,'Close - PriceSaver'!A:J,5,0),"")</f>
        <v>3.7422154115514902E-2</v>
      </c>
      <c r="I34" s="4" cm="1">
        <f t="array" ref="I34">IF(NOT(ISBLANK(A34)),((_xlfn.XLOOKUP(1,(_bbt3[[#All],[ID]]=A34)*(_bbt3[[#All],[METRIC_NAME]]="YLD_YTM_ASK"),_bbt3[[#All],[METRIC_VALUE]])*0.5)+(_xlfn.XLOOKUP(1,(_bbt3[[#All],[ID]]=A34)*(_bbt3[[#All],[METRIC_NAME]]="YLD_YTM_BID"),_bbt3[[#All],[METRIC_VALUE]])*0.5))/100,"")</f>
        <v>3.7179999999999998E-2</v>
      </c>
      <c r="J34">
        <f>IF(ISNA(VLOOKUP(A34,'CloseDL - PriceSaverBBT3'!A:E,5,0)),0,VLOOKUP(A34,'CloseDL - PriceSaverBBT3'!A:E,5,0))</f>
        <v>3.7422154115514902E-2</v>
      </c>
      <c r="K34" s="7">
        <f t="shared" si="1"/>
        <v>0</v>
      </c>
      <c r="L34" s="20">
        <f>IF(Close[[#This Row],[CreatedBy]]="MARINER\SilverAdm",1,0)</f>
        <v>1</v>
      </c>
      <c r="M34" t="str">
        <f>IF(NOT(ISBLANK(A34)),VLOOKUP(A34,'Close - PriceSaver'!A:J,6,0),"")</f>
        <v>DL Bill input Discount = 3.64665000  PX_ASK = 3.64290000 PX_BID = 3.65040000</v>
      </c>
      <c r="Q34" t="e">
        <f t="shared" si="7"/>
        <v>#N/A</v>
      </c>
      <c r="R34" t="e">
        <f t="shared" si="2"/>
        <v>#N/A</v>
      </c>
      <c r="S34" t="e">
        <f t="shared" si="3"/>
        <v>#N/A</v>
      </c>
      <c r="T34" s="15" t="e">
        <f t="shared" si="9"/>
        <v>#N/A</v>
      </c>
      <c r="U34" s="18" t="e">
        <f t="shared" si="10"/>
        <v>#N/A</v>
      </c>
      <c r="V34" s="18" t="e">
        <f t="shared" si="11"/>
        <v>#N/A</v>
      </c>
      <c r="W34" s="19" t="e">
        <f t="shared" si="12"/>
        <v>#N/A</v>
      </c>
      <c r="X34" t="e">
        <f>VLOOKUP(P34,Close[[ID]:[CreatedBy]],8,0)</f>
        <v>#N/A</v>
      </c>
    </row>
    <row r="35" spans="1:24" x14ac:dyDescent="0.35">
      <c r="A35" t="str">
        <v>912797VD6</v>
      </c>
      <c r="B35" t="str">
        <f>IF(NOT(ISBLANK(A35)),VLOOKUP(A35,'BBT3'!A:F,2,0),"")</f>
        <v>Bill</v>
      </c>
      <c r="C35" t="str">
        <f>IF(NOT(ISBLANK(A35)),VLOOKUP(A35,'BBT3'!A:F,3,0),"")</f>
        <v>US912797VD60</v>
      </c>
      <c r="D35" s="5">
        <f>IF(NOT(ISBLANK(A35)),VLOOKUP(A35,'BBT3'!A:F,4,1),"")</f>
        <v>0</v>
      </c>
      <c r="E35">
        <f>IF(NOT(ISBLANK(A35)),VLOOKUP(A35,'BBT3'!A:F,5,0),"")</f>
        <v>46287</v>
      </c>
      <c r="F35" t="str">
        <f>IF(NOT(ISBLANK(A35)),VLOOKUP(A35,'BBT3'!A:F,6,0),"")</f>
        <v>N</v>
      </c>
      <c r="G35" t="str">
        <f t="shared" si="0"/>
        <v>Y</v>
      </c>
      <c r="H35">
        <f>IF(NOT(ISBLANK(A35)),VLOOKUP(A35,'Close - PriceSaver'!A:J,5,0),"")</f>
        <v>3.7252171825145702E-2</v>
      </c>
      <c r="I35" s="4" t="e" cm="1">
        <f t="array" ref="I35">IF(NOT(ISBLANK(A35)),((_xlfn.XLOOKUP(1,(_bbt3[[#All],[ID]]=A35)*(_bbt3[[#All],[METRIC_NAME]]="YLD_YTM_ASK"),_bbt3[[#All],[METRIC_VALUE]])*0.5)+(_xlfn.XLOOKUP(1,(_bbt3[[#All],[ID]]=A35)*(_bbt3[[#All],[METRIC_NAME]]="YLD_YTM_BID"),_bbt3[[#All],[METRIC_VALUE]])*0.5))/100,"")</f>
        <v>#N/A</v>
      </c>
      <c r="J35">
        <f>IF(ISNA(VLOOKUP(A35,'CloseDL - PriceSaverBBT3'!A:E,5,0)),0,VLOOKUP(A35,'CloseDL - PriceSaverBBT3'!A:E,5,0))</f>
        <v>3.7252171825145702E-2</v>
      </c>
      <c r="K35" s="7">
        <f t="shared" si="1"/>
        <v>0</v>
      </c>
      <c r="L35" s="20">
        <f>IF(Close[[#This Row],[CreatedBy]]="MARINER\SilverAdm",1,0)</f>
        <v>1</v>
      </c>
      <c r="M35" t="str">
        <f>IF(NOT(ISBLANK(A35)),VLOOKUP(A35,'Close - PriceSaver'!A:J,6,0),"")</f>
        <v>DL Bill input Discount = 3.62900000  PX_ASK = 3.62120000 PX_BID = 3.63680000</v>
      </c>
      <c r="Q35" t="e">
        <f t="shared" si="7"/>
        <v>#N/A</v>
      </c>
      <c r="R35" t="e">
        <f t="shared" si="2"/>
        <v>#N/A</v>
      </c>
      <c r="S35" t="e">
        <f t="shared" si="3"/>
        <v>#N/A</v>
      </c>
      <c r="T35" s="15" t="e">
        <f t="shared" si="9"/>
        <v>#N/A</v>
      </c>
      <c r="U35" s="18" t="e">
        <f t="shared" si="10"/>
        <v>#N/A</v>
      </c>
      <c r="V35" s="18" t="e">
        <f t="shared" si="11"/>
        <v>#N/A</v>
      </c>
      <c r="W35" s="19" t="e">
        <f t="shared" si="12"/>
        <v>#N/A</v>
      </c>
      <c r="X35" t="e">
        <f>VLOOKUP(P35,Close[[ID]:[CreatedBy]],8,0)</f>
        <v>#N/A</v>
      </c>
    </row>
    <row r="36" spans="1:24" x14ac:dyDescent="0.35">
      <c r="A36" t="str">
        <v>912797VE4</v>
      </c>
      <c r="B36" t="str">
        <f>IF(NOT(ISBLANK(A36)),VLOOKUP(A36,'BBT3'!A:F,2,0),"")</f>
        <v>Bill</v>
      </c>
      <c r="C36" t="str">
        <f>IF(NOT(ISBLANK(A36)),VLOOKUP(A36,'BBT3'!A:F,3,0),"")</f>
        <v>US912797VE44</v>
      </c>
      <c r="D36" s="5">
        <f>IF(NOT(ISBLANK(A36)),VLOOKUP(A36,'BBT3'!A:F,4,1),"")</f>
        <v>0</v>
      </c>
      <c r="E36">
        <f>IF(NOT(ISBLANK(A36)),VLOOKUP(A36,'BBT3'!A:F,5,0),"")</f>
        <v>46294</v>
      </c>
      <c r="F36" t="str">
        <f>IF(NOT(ISBLANK(A36)),VLOOKUP(A36,'BBT3'!A:F,6,0),"")</f>
        <v>N</v>
      </c>
      <c r="G36" t="str">
        <f t="shared" si="0"/>
        <v>Y</v>
      </c>
      <c r="H36">
        <f>IF(NOT(ISBLANK(A36)),VLOOKUP(A36,'Close - PriceSaver'!A:J,5,0),"")</f>
        <v>3.7451686890272999E-2</v>
      </c>
      <c r="I36" s="4" t="e" cm="1">
        <f t="array" ref="I36">IF(NOT(ISBLANK(A36)),((_xlfn.XLOOKUP(1,(_bbt3[[#All],[ID]]=A36)*(_bbt3[[#All],[METRIC_NAME]]="YLD_YTM_ASK"),_bbt3[[#All],[METRIC_VALUE]])*0.5)+(_xlfn.XLOOKUP(1,(_bbt3[[#All],[ID]]=A36)*(_bbt3[[#All],[METRIC_NAME]]="YLD_YTM_BID"),_bbt3[[#All],[METRIC_VALUE]])*0.5))/100,"")</f>
        <v>#N/A</v>
      </c>
      <c r="J36">
        <f>IF(ISNA(VLOOKUP(A36,'CloseDL - PriceSaverBBT3'!A:E,5,0)),0,VLOOKUP(A36,'CloseDL - PriceSaverBBT3'!A:E,5,0))</f>
        <v>3.7451686890272999E-2</v>
      </c>
      <c r="K36" s="7">
        <f t="shared" si="1"/>
        <v>0</v>
      </c>
      <c r="L36" s="20">
        <f>IF(Close[[#This Row],[CreatedBy]]="MARINER\SilverAdm",1,0)</f>
        <v>1</v>
      </c>
      <c r="M36" t="str">
        <f>IF(NOT(ISBLANK(A36)),VLOOKUP(A36,'Close - PriceSaver'!A:J,6,0),"")</f>
        <v>DL Bill input Discount = 3.64690000  PX_ASK = 3.64270000 PX_BID = 3.65110000</v>
      </c>
      <c r="Q36" t="e">
        <f t="shared" si="7"/>
        <v>#N/A</v>
      </c>
      <c r="R36" t="e">
        <f t="shared" si="2"/>
        <v>#N/A</v>
      </c>
      <c r="S36" t="e">
        <f t="shared" si="3"/>
        <v>#N/A</v>
      </c>
      <c r="T36" s="15" t="e">
        <f t="shared" si="9"/>
        <v>#N/A</v>
      </c>
      <c r="U36" s="18" t="e">
        <f t="shared" si="10"/>
        <v>#N/A</v>
      </c>
      <c r="V36" s="18" t="e">
        <f t="shared" si="11"/>
        <v>#N/A</v>
      </c>
      <c r="W36" s="19" t="e">
        <f t="shared" si="12"/>
        <v>#N/A</v>
      </c>
      <c r="X36" t="e">
        <f>VLOOKUP(P36,Close[[ID]:[CreatedBy]],8,0)</f>
        <v>#N/A</v>
      </c>
    </row>
    <row r="37" spans="1:24" x14ac:dyDescent="0.35">
      <c r="A37" t="str">
        <v>912797VF1</v>
      </c>
      <c r="B37" t="str">
        <f>IF(NOT(ISBLANK(A37)),VLOOKUP(A37,'BBT3'!A:F,2,0),"")</f>
        <v>Bill</v>
      </c>
      <c r="C37" t="str">
        <f>IF(NOT(ISBLANK(A37)),VLOOKUP(A37,'BBT3'!A:F,3,0),"")</f>
        <v>US912797VF19</v>
      </c>
      <c r="D37" s="5">
        <f>IF(NOT(ISBLANK(A37)),VLOOKUP(A37,'BBT3'!A:F,4,1),"")</f>
        <v>0</v>
      </c>
      <c r="E37">
        <f>IF(NOT(ISBLANK(A37)),VLOOKUP(A37,'BBT3'!A:F,5,0),"")</f>
        <v>46548</v>
      </c>
      <c r="F37" t="str">
        <f>IF(NOT(ISBLANK(A37)),VLOOKUP(A37,'BBT3'!A:F,6,0),"")</f>
        <v>N</v>
      </c>
      <c r="G37" t="str">
        <f t="shared" si="0"/>
        <v>Y</v>
      </c>
      <c r="H37">
        <f>IF(NOT(ISBLANK(A37)),VLOOKUP(A37,'Close - PriceSaver'!A:J,5,0),"")</f>
        <v>4.0100031940343901E-2</v>
      </c>
      <c r="I37" s="4" cm="1">
        <f t="array" ref="I37">IF(NOT(ISBLANK(A37)),((_xlfn.XLOOKUP(1,(_bbt3[[#All],[ID]]=A37)*(_bbt3[[#All],[METRIC_NAME]]="YLD_YTM_ASK"),_bbt3[[#All],[METRIC_VALUE]])*0.5)+(_xlfn.XLOOKUP(1,(_bbt3[[#All],[ID]]=A37)*(_bbt3[[#All],[METRIC_NAME]]="YLD_YTM_BID"),_bbt3[[#All],[METRIC_VALUE]])*0.5))/100,"")</f>
        <v>4.0060000000000005E-2</v>
      </c>
      <c r="J37">
        <f>IF(ISNA(VLOOKUP(A37,'CloseDL - PriceSaverBBT3'!A:E,5,0)),0,VLOOKUP(A37,'CloseDL - PriceSaverBBT3'!A:E,5,0))</f>
        <v>4.0100031940343901E-2</v>
      </c>
      <c r="K37" s="7">
        <f t="shared" si="1"/>
        <v>0</v>
      </c>
      <c r="L37" s="20">
        <f>IF(Close[[#This Row],[CreatedBy]]="MARINER\SilverAdm",1,0)</f>
        <v>1</v>
      </c>
      <c r="M37" t="str">
        <f>IF(NOT(ISBLANK(A37)),VLOOKUP(A37,'Close - PriceSaver'!A:J,6,0),"")</f>
        <v>DL Bill input Discount = 3.84795000  PX_ASK = 3.84130000 PX_BID = 3.85460000</v>
      </c>
      <c r="Q37" t="e">
        <f t="shared" si="7"/>
        <v>#N/A</v>
      </c>
      <c r="R37" t="e">
        <f t="shared" si="2"/>
        <v>#N/A</v>
      </c>
      <c r="S37" t="e">
        <f t="shared" si="3"/>
        <v>#N/A</v>
      </c>
      <c r="T37" s="15" t="e">
        <f t="shared" si="9"/>
        <v>#N/A</v>
      </c>
      <c r="U37" s="18" t="e">
        <f t="shared" si="10"/>
        <v>#N/A</v>
      </c>
      <c r="V37" s="18" t="e">
        <f t="shared" si="11"/>
        <v>#N/A</v>
      </c>
      <c r="W37" s="19" t="e">
        <f t="shared" si="12"/>
        <v>#N/A</v>
      </c>
      <c r="X37" t="e">
        <f>VLOOKUP(P37,Close[[ID]:[CreatedBy]],8,0)</f>
        <v>#N/A</v>
      </c>
    </row>
    <row r="38" spans="1:24" x14ac:dyDescent="0.35">
      <c r="A38" t="str">
        <v>912797VG9</v>
      </c>
      <c r="B38" t="str">
        <f>IF(NOT(ISBLANK(A38)),VLOOKUP(A38,'BBT3'!A:F,2,0),"")</f>
        <v>Bill</v>
      </c>
      <c r="C38" t="str">
        <f>IF(NOT(ISBLANK(A38)),VLOOKUP(A38,'BBT3'!A:F,3,0),"")</f>
        <v>US912797VG91</v>
      </c>
      <c r="D38" s="5">
        <f>IF(NOT(ISBLANK(A38)),VLOOKUP(A38,'BBT3'!A:F,4,1),"")</f>
        <v>0</v>
      </c>
      <c r="E38">
        <f>IF(NOT(ISBLANK(A38)),VLOOKUP(A38,'BBT3'!A:F,5,0),"")</f>
        <v>46366</v>
      </c>
      <c r="F38" t="str">
        <f>IF(NOT(ISBLANK(A38)),VLOOKUP(A38,'BBT3'!A:F,6,0),"")</f>
        <v>N</v>
      </c>
      <c r="G38" t="str">
        <f t="shared" si="0"/>
        <v>Y</v>
      </c>
      <c r="H38">
        <f>IF(NOT(ISBLANK(A38)),VLOOKUP(A38,'Close - PriceSaver'!A:J,5,0),"")</f>
        <v>3.9184443728845303E-2</v>
      </c>
      <c r="I38" s="4" t="e" cm="1">
        <f t="array" ref="I38">IF(NOT(ISBLANK(A38)),((_xlfn.XLOOKUP(1,(_bbt3[[#All],[ID]]=A38)*(_bbt3[[#All],[METRIC_NAME]]="YLD_YTM_ASK"),_bbt3[[#All],[METRIC_VALUE]])*0.5)+(_xlfn.XLOOKUP(1,(_bbt3[[#All],[ID]]=A38)*(_bbt3[[#All],[METRIC_NAME]]="YLD_YTM_BID"),_bbt3[[#All],[METRIC_VALUE]])*0.5))/100,"")</f>
        <v>#N/A</v>
      </c>
      <c r="J38">
        <f>IF(ISNA(VLOOKUP(A38,'CloseDL - PriceSaverBBT3'!A:E,5,0)),0,VLOOKUP(A38,'CloseDL - PriceSaverBBT3'!A:E,5,0))</f>
        <v>3.9184443728845303E-2</v>
      </c>
      <c r="K38" s="7">
        <f t="shared" si="1"/>
        <v>0</v>
      </c>
      <c r="L38" s="20">
        <f>IF(Close[[#This Row],[CreatedBy]]="MARINER\SilverAdm",1,0)</f>
        <v>1</v>
      </c>
      <c r="M38" t="str">
        <f>IF(NOT(ISBLANK(A38)),VLOOKUP(A38,'Close - PriceSaver'!A:J,6,0),"")</f>
        <v>DL Bill input Discount = 3.79885000  PX_ASK = 3.79130000 PX_BID = 3.80640000</v>
      </c>
      <c r="Q38" t="e">
        <f t="shared" si="7"/>
        <v>#N/A</v>
      </c>
      <c r="R38" t="e">
        <f t="shared" si="2"/>
        <v>#N/A</v>
      </c>
      <c r="S38" t="e">
        <f t="shared" si="3"/>
        <v>#N/A</v>
      </c>
      <c r="T38" s="15" t="e">
        <f t="shared" si="9"/>
        <v>#N/A</v>
      </c>
      <c r="U38" s="18" t="e">
        <f t="shared" si="10"/>
        <v>#N/A</v>
      </c>
      <c r="V38" s="18" t="e">
        <f t="shared" si="11"/>
        <v>#N/A</v>
      </c>
      <c r="W38" s="19" t="e">
        <f t="shared" si="12"/>
        <v>#N/A</v>
      </c>
      <c r="X38" t="e">
        <f>VLOOKUP(P38,Close[[ID]:[CreatedBy]],8,0)</f>
        <v>#N/A</v>
      </c>
    </row>
    <row r="39" spans="1:24" x14ac:dyDescent="0.35">
      <c r="A39" t="str">
        <v>912797VH7</v>
      </c>
      <c r="B39" t="str">
        <f>IF(NOT(ISBLANK(A39)),VLOOKUP(A39,'BBT3'!A:F,2,0),"")</f>
        <v>Bill</v>
      </c>
      <c r="C39" t="str">
        <f>IF(NOT(ISBLANK(A39)),VLOOKUP(A39,'BBT3'!A:F,3,0),"")</f>
        <v>US912797VH74</v>
      </c>
      <c r="D39" s="5">
        <f>IF(NOT(ISBLANK(A39)),VLOOKUP(A39,'BBT3'!A:F,4,1),"")</f>
        <v>0</v>
      </c>
      <c r="E39">
        <f>IF(NOT(ISBLANK(A39)),VLOOKUP(A39,'BBT3'!A:F,5,0),"")</f>
        <v>46373</v>
      </c>
      <c r="F39" t="str">
        <f>IF(NOT(ISBLANK(A39)),VLOOKUP(A39,'BBT3'!A:F,6,0),"")</f>
        <v>N</v>
      </c>
      <c r="G39" t="str">
        <f t="shared" si="0"/>
        <v>Y</v>
      </c>
      <c r="H39">
        <f>IF(NOT(ISBLANK(A39)),VLOOKUP(A39,'Close - PriceSaver'!A:J,5,0),"")</f>
        <v>3.8970860778608798E-2</v>
      </c>
      <c r="I39" s="4" cm="1">
        <f t="array" ref="I39">IF(NOT(ISBLANK(A39)),((_xlfn.XLOOKUP(1,(_bbt3[[#All],[ID]]=A39)*(_bbt3[[#All],[METRIC_NAME]]="YLD_YTM_ASK"),_bbt3[[#All],[METRIC_VALUE]])*0.5)+(_xlfn.XLOOKUP(1,(_bbt3[[#All],[ID]]=A39)*(_bbt3[[#All],[METRIC_NAME]]="YLD_YTM_BID"),_bbt3[[#All],[METRIC_VALUE]])*0.5))/100,"")</f>
        <v>3.8900000000000004E-2</v>
      </c>
      <c r="J39">
        <f>IF(ISNA(VLOOKUP(A39,'CloseDL - PriceSaverBBT3'!A:E,5,0)),0,VLOOKUP(A39,'CloseDL - PriceSaverBBT3'!A:E,5,0))</f>
        <v>3.8970860778608798E-2</v>
      </c>
      <c r="K39" s="7">
        <f t="shared" si="1"/>
        <v>0</v>
      </c>
      <c r="L39" s="20">
        <f>IF(Close[[#This Row],[CreatedBy]]="MARINER\SilverAdm",1,0)</f>
        <v>1</v>
      </c>
      <c r="M39" t="str">
        <f>IF(NOT(ISBLANK(A39)),VLOOKUP(A39,'Close - PriceSaver'!A:J,6,0),"")</f>
        <v>DL Bill input Discount = 3.77710000  PX_ASK = 3.76940000 PX_BID = 3.78480000</v>
      </c>
      <c r="Q39" t="e">
        <f t="shared" si="7"/>
        <v>#N/A</v>
      </c>
      <c r="R39" t="e">
        <f t="shared" si="2"/>
        <v>#N/A</v>
      </c>
      <c r="S39" t="e">
        <f t="shared" si="3"/>
        <v>#N/A</v>
      </c>
      <c r="T39" s="15" t="e">
        <f t="shared" si="9"/>
        <v>#N/A</v>
      </c>
      <c r="U39" s="18" t="e">
        <f t="shared" si="10"/>
        <v>#N/A</v>
      </c>
      <c r="V39" s="18" t="e">
        <f t="shared" si="11"/>
        <v>#N/A</v>
      </c>
      <c r="W39" s="19" t="e">
        <f t="shared" si="12"/>
        <v>#N/A</v>
      </c>
      <c r="X39" t="e">
        <f>VLOOKUP(P39,Close[[ID]:[CreatedBy]],8,0)</f>
        <v>#N/A</v>
      </c>
    </row>
    <row r="40" spans="1:24" x14ac:dyDescent="0.35">
      <c r="A40" t="str">
        <v>912797VJ3</v>
      </c>
      <c r="B40" t="str">
        <f>IF(NOT(ISBLANK(A40)),VLOOKUP(A40,'BBT3'!A:F,2,0),"")</f>
        <v>Bill</v>
      </c>
      <c r="C40" t="str">
        <f>IF(NOT(ISBLANK(A40)),VLOOKUP(A40,'BBT3'!A:F,3,0),"")</f>
        <v>US912797VJ31</v>
      </c>
      <c r="D40" s="5">
        <f>IF(NOT(ISBLANK(A40)),VLOOKUP(A40,'BBT3'!A:F,4,1),"")</f>
        <v>0</v>
      </c>
      <c r="E40">
        <f>IF(NOT(ISBLANK(A40)),VLOOKUP(A40,'BBT3'!A:F,5,0),"")</f>
        <v>46387</v>
      </c>
      <c r="F40" t="str">
        <f>IF(NOT(ISBLANK(A40)),VLOOKUP(A40,'BBT3'!A:F,6,0),"")</f>
        <v>N</v>
      </c>
      <c r="G40" t="str">
        <f t="shared" si="0"/>
        <v>Y</v>
      </c>
      <c r="H40">
        <f>IF(NOT(ISBLANK(A40)),VLOOKUP(A40,'Close - PriceSaver'!A:J,5,0),"")</f>
        <v>3.9712290294906499E-2</v>
      </c>
      <c r="I40" s="4" cm="1">
        <f t="array" ref="I40">IF(NOT(ISBLANK(A40)),((_xlfn.XLOOKUP(1,(_bbt3[[#All],[ID]]=A40)*(_bbt3[[#All],[METRIC_NAME]]="YLD_YTM_ASK"),_bbt3[[#All],[METRIC_VALUE]])*0.5)+(_xlfn.XLOOKUP(1,(_bbt3[[#All],[ID]]=A40)*(_bbt3[[#All],[METRIC_NAME]]="YLD_YTM_BID"),_bbt3[[#All],[METRIC_VALUE]])*0.5))/100,"")</f>
        <v>3.9670000000000004E-2</v>
      </c>
      <c r="J40">
        <f>IF(ISNA(VLOOKUP(A40,'CloseDL - PriceSaverBBT3'!A:E,5,0)),0,VLOOKUP(A40,'CloseDL - PriceSaverBBT3'!A:E,5,0))</f>
        <v>3.9712290294906499E-2</v>
      </c>
      <c r="K40" s="7">
        <f t="shared" si="1"/>
        <v>0</v>
      </c>
      <c r="L40" s="20">
        <f>IF(Close[[#This Row],[CreatedBy]]="MARINER\SilverAdm",1,0)</f>
        <v>1</v>
      </c>
      <c r="M40" t="str">
        <f>IF(NOT(ISBLANK(A40)),VLOOKUP(A40,'Close - PriceSaver'!A:J,6,0),"")</f>
        <v>DL Bill input Discount = 3.84480000  PX_ASK = 3.84010000 PX_BID = 3.84950000</v>
      </c>
      <c r="Q40" t="e">
        <f t="shared" si="7"/>
        <v>#N/A</v>
      </c>
      <c r="R40" t="e">
        <f t="shared" si="2"/>
        <v>#N/A</v>
      </c>
      <c r="S40" t="e">
        <f t="shared" si="3"/>
        <v>#N/A</v>
      </c>
      <c r="T40" s="15" t="e">
        <f t="shared" si="9"/>
        <v>#N/A</v>
      </c>
      <c r="U40" s="18" t="e">
        <f t="shared" si="10"/>
        <v>#N/A</v>
      </c>
      <c r="V40" s="18" t="e">
        <f t="shared" si="11"/>
        <v>#N/A</v>
      </c>
      <c r="W40" s="19" t="e">
        <f t="shared" si="12"/>
        <v>#N/A</v>
      </c>
      <c r="X40" t="e">
        <f>VLOOKUP(P40,Close[[ID]:[CreatedBy]],8,0)</f>
        <v>#N/A</v>
      </c>
    </row>
    <row r="41" spans="1:24" x14ac:dyDescent="0.35">
      <c r="A41" t="str">
        <v>912797VK0</v>
      </c>
      <c r="B41" t="str">
        <f>IF(NOT(ISBLANK(A41)),VLOOKUP(A41,'BBT3'!A:F,2,0),"")</f>
        <v>Bill</v>
      </c>
      <c r="C41" t="str">
        <f>IF(NOT(ISBLANK(A41)),VLOOKUP(A41,'BBT3'!A:F,3,0),"")</f>
        <v>US912797VK04</v>
      </c>
      <c r="D41" s="5">
        <f>IF(NOT(ISBLANK(A41)),VLOOKUP(A41,'BBT3'!A:F,4,1),"")</f>
        <v>0</v>
      </c>
      <c r="E41">
        <f>IF(NOT(ISBLANK(A41)),VLOOKUP(A41,'BBT3'!A:F,5,0),"")</f>
        <v>46301</v>
      </c>
      <c r="F41" t="str">
        <f>IF(NOT(ISBLANK(A41)),VLOOKUP(A41,'BBT3'!A:F,6,0),"")</f>
        <v>N</v>
      </c>
      <c r="G41" t="str">
        <f t="shared" si="0"/>
        <v>Y</v>
      </c>
      <c r="H41">
        <f>IF(NOT(ISBLANK(A41)),VLOOKUP(A41,'Close - PriceSaver'!A:J,5,0),"")</f>
        <v>3.7827972167300099E-2</v>
      </c>
      <c r="I41" s="4" t="e" cm="1">
        <f t="array" ref="I41">IF(NOT(ISBLANK(A41)),((_xlfn.XLOOKUP(1,(_bbt3[[#All],[ID]]=A41)*(_bbt3[[#All],[METRIC_NAME]]="YLD_YTM_ASK"),_bbt3[[#All],[METRIC_VALUE]])*0.5)+(_xlfn.XLOOKUP(1,(_bbt3[[#All],[ID]]=A41)*(_bbt3[[#All],[METRIC_NAME]]="YLD_YTM_BID"),_bbt3[[#All],[METRIC_VALUE]])*0.5))/100,"")</f>
        <v>#N/A</v>
      </c>
      <c r="J41">
        <f>IF(ISNA(VLOOKUP(A41,'CloseDL - PriceSaverBBT3'!A:E,5,0)),0,VLOOKUP(A41,'CloseDL - PriceSaverBBT3'!A:E,5,0))</f>
        <v>3.7827972167300099E-2</v>
      </c>
      <c r="K41" s="7">
        <f t="shared" si="1"/>
        <v>0</v>
      </c>
      <c r="L41" s="20">
        <f>IF(Close[[#This Row],[CreatedBy]]="MARINER\SilverAdm",1,0)</f>
        <v>1</v>
      </c>
      <c r="M41" t="str">
        <f>IF(NOT(ISBLANK(A41)),VLOOKUP(A41,'Close - PriceSaver'!A:J,6,0),"")</f>
        <v>DL Bill input Discount = 3.68175000  PX_ASK = 3.67780000 PX_BID = 3.68570000</v>
      </c>
      <c r="Q41" t="e">
        <f t="shared" si="7"/>
        <v>#N/A</v>
      </c>
      <c r="R41" t="e">
        <f t="shared" si="2"/>
        <v>#N/A</v>
      </c>
      <c r="S41" t="e">
        <f t="shared" si="3"/>
        <v>#N/A</v>
      </c>
      <c r="T41" s="15" t="e">
        <f t="shared" si="9"/>
        <v>#N/A</v>
      </c>
      <c r="U41" s="18" t="e">
        <f t="shared" si="10"/>
        <v>#N/A</v>
      </c>
      <c r="V41" s="18" t="e">
        <f t="shared" si="11"/>
        <v>#N/A</v>
      </c>
      <c r="W41" s="19" t="e">
        <f t="shared" si="12"/>
        <v>#N/A</v>
      </c>
      <c r="X41" t="e">
        <f>VLOOKUP(P41,Close[[ID]:[CreatedBy]],8,0)</f>
        <v>#N/A</v>
      </c>
    </row>
    <row r="42" spans="1:24" x14ac:dyDescent="0.35">
      <c r="A42" t="str">
        <v>912797VL8</v>
      </c>
      <c r="B42" t="str">
        <f>IF(NOT(ISBLANK(A42)),VLOOKUP(A42,'BBT3'!A:F,2,0),"")</f>
        <v>Bill</v>
      </c>
      <c r="C42" t="str">
        <f>IF(NOT(ISBLANK(A42)),VLOOKUP(A42,'BBT3'!A:F,3,0),"")</f>
        <v>US912797VL86</v>
      </c>
      <c r="D42" s="5">
        <f>IF(NOT(ISBLANK(A42)),VLOOKUP(A42,'BBT3'!A:F,4,1),"")</f>
        <v>0</v>
      </c>
      <c r="E42">
        <f>IF(NOT(ISBLANK(A42)),VLOOKUP(A42,'BBT3'!A:F,5,0),"")</f>
        <v>46308</v>
      </c>
      <c r="F42" t="str">
        <f>IF(NOT(ISBLANK(A42)),VLOOKUP(A42,'BBT3'!A:F,6,0),"")</f>
        <v>N</v>
      </c>
      <c r="G42" t="str">
        <f t="shared" si="0"/>
        <v>Y</v>
      </c>
      <c r="H42">
        <f>IF(NOT(ISBLANK(A42)),VLOOKUP(A42,'Close - PriceSaver'!A:J,5,0),"")</f>
        <v>3.7888622719922001E-2</v>
      </c>
      <c r="I42" s="4" t="e" cm="1">
        <f t="array" ref="I42">IF(NOT(ISBLANK(A42)),((_xlfn.XLOOKUP(1,(_bbt3[[#All],[ID]]=A42)*(_bbt3[[#All],[METRIC_NAME]]="YLD_YTM_ASK"),_bbt3[[#All],[METRIC_VALUE]])*0.5)+(_xlfn.XLOOKUP(1,(_bbt3[[#All],[ID]]=A42)*(_bbt3[[#All],[METRIC_NAME]]="YLD_YTM_BID"),_bbt3[[#All],[METRIC_VALUE]])*0.5))/100,"")</f>
        <v>#N/A</v>
      </c>
      <c r="J42">
        <f>IF(ISNA(VLOOKUP(A42,'CloseDL - PriceSaverBBT3'!A:E,5,0)),0,VLOOKUP(A42,'CloseDL - PriceSaverBBT3'!A:E,5,0))</f>
        <v>3.7888622719922001E-2</v>
      </c>
      <c r="K42" s="7">
        <f t="shared" si="1"/>
        <v>0</v>
      </c>
      <c r="L42" s="20">
        <f>IF(Close[[#This Row],[CreatedBy]]="MARINER\SilverAdm",1,0)</f>
        <v>1</v>
      </c>
      <c r="M42" t="str">
        <f>IF(NOT(ISBLANK(A42)),VLOOKUP(A42,'Close - PriceSaver'!A:J,6,0),"")</f>
        <v>DL Bill input Discount = 3.68625000  PX_ASK = 3.67750000 PX_BID = 3.69500000</v>
      </c>
      <c r="Q42" t="e">
        <f t="shared" si="7"/>
        <v>#N/A</v>
      </c>
      <c r="R42" t="e">
        <f t="shared" si="2"/>
        <v>#N/A</v>
      </c>
      <c r="S42" t="e">
        <f t="shared" si="3"/>
        <v>#N/A</v>
      </c>
      <c r="T42" s="15" t="e">
        <f t="shared" si="9"/>
        <v>#N/A</v>
      </c>
      <c r="U42" s="18" t="e">
        <f t="shared" si="10"/>
        <v>#N/A</v>
      </c>
      <c r="V42" s="18" t="e">
        <f t="shared" si="11"/>
        <v>#N/A</v>
      </c>
      <c r="W42" s="19" t="e">
        <f t="shared" si="12"/>
        <v>#N/A</v>
      </c>
      <c r="X42" t="e">
        <f>VLOOKUP(P42,Close[[ID]:[CreatedBy]],8,0)</f>
        <v>#N/A</v>
      </c>
    </row>
    <row r="43" spans="1:24" x14ac:dyDescent="0.35">
      <c r="A43" t="str">
        <v>912797VM6</v>
      </c>
      <c r="B43" t="str">
        <f>IF(NOT(ISBLANK(A43)),VLOOKUP(A43,'BBT3'!A:F,2,0),"")</f>
        <v>Bill</v>
      </c>
      <c r="C43" t="str">
        <f>IF(NOT(ISBLANK(A43)),VLOOKUP(A43,'BBT3'!A:F,3,0),"")</f>
        <v>US912797VM69</v>
      </c>
      <c r="D43" s="5">
        <f>IF(NOT(ISBLANK(A43)),VLOOKUP(A43,'BBT3'!A:F,4,1),"")</f>
        <v>0</v>
      </c>
      <c r="E43">
        <f>IF(NOT(ISBLANK(A43)),VLOOKUP(A43,'BBT3'!A:F,5,0),"")</f>
        <v>46315</v>
      </c>
      <c r="F43" t="str">
        <f>IF(NOT(ISBLANK(A43)),VLOOKUP(A43,'BBT3'!A:F,6,0),"")</f>
        <v>N</v>
      </c>
      <c r="G43" t="str">
        <f t="shared" si="0"/>
        <v>Y</v>
      </c>
      <c r="H43">
        <f>IF(NOT(ISBLANK(A43)),VLOOKUP(A43,'Close - PriceSaver'!A:J,5,0),"")</f>
        <v>3.8193381600301703E-2</v>
      </c>
      <c r="I43" s="4" t="e" cm="1">
        <f t="array" ref="I43">IF(NOT(ISBLANK(A43)),((_xlfn.XLOOKUP(1,(_bbt3[[#All],[ID]]=A43)*(_bbt3[[#All],[METRIC_NAME]]="YLD_YTM_ASK"),_bbt3[[#All],[METRIC_VALUE]])*0.5)+(_xlfn.XLOOKUP(1,(_bbt3[[#All],[ID]]=A43)*(_bbt3[[#All],[METRIC_NAME]]="YLD_YTM_BID"),_bbt3[[#All],[METRIC_VALUE]])*0.5))/100,"")</f>
        <v>#N/A</v>
      </c>
      <c r="J43">
        <f>IF(ISNA(VLOOKUP(A43,'CloseDL - PriceSaverBBT3'!A:E,5,0)),0,VLOOKUP(A43,'CloseDL - PriceSaverBBT3'!A:E,5,0))</f>
        <v>3.8193381600301703E-2</v>
      </c>
      <c r="K43" s="7">
        <f t="shared" si="1"/>
        <v>0</v>
      </c>
      <c r="L43" s="20">
        <f>IF(Close[[#This Row],[CreatedBy]]="MARINER\SilverAdm",1,0)</f>
        <v>1</v>
      </c>
      <c r="M43" t="str">
        <f>IF(NOT(ISBLANK(A43)),VLOOKUP(A43,'Close - PriceSaver'!A:J,6,0),"")</f>
        <v>DL Bill input Discount = 3.71415000  PX_ASK = 3.70770000 PX_BID = 3.72060000</v>
      </c>
      <c r="Q43" t="e">
        <f t="shared" si="7"/>
        <v>#N/A</v>
      </c>
      <c r="R43" t="e">
        <f t="shared" si="2"/>
        <v>#N/A</v>
      </c>
      <c r="S43" t="e">
        <f t="shared" si="3"/>
        <v>#N/A</v>
      </c>
      <c r="T43" s="15" t="e">
        <f t="shared" si="9"/>
        <v>#N/A</v>
      </c>
      <c r="U43" s="18" t="e">
        <f t="shared" si="10"/>
        <v>#N/A</v>
      </c>
      <c r="V43" s="18" t="e">
        <f t="shared" si="11"/>
        <v>#N/A</v>
      </c>
      <c r="W43" s="19" t="e">
        <f t="shared" si="12"/>
        <v>#N/A</v>
      </c>
      <c r="X43" t="e">
        <f>VLOOKUP(P43,Close[[ID]:[CreatedBy]],8,0)</f>
        <v>#N/A</v>
      </c>
    </row>
    <row r="44" spans="1:24" x14ac:dyDescent="0.35">
      <c r="A44" t="str">
        <v>912797VN4</v>
      </c>
      <c r="B44" t="str">
        <f>IF(NOT(ISBLANK(A44)),VLOOKUP(A44,'BBT3'!A:F,2,0),"")</f>
        <v>Bill</v>
      </c>
      <c r="C44" t="str">
        <f>IF(NOT(ISBLANK(A44)),VLOOKUP(A44,'BBT3'!A:F,3,0),"")</f>
        <v>US912797VN43</v>
      </c>
      <c r="D44" s="5">
        <f>IF(NOT(ISBLANK(A44)),VLOOKUP(A44,'BBT3'!A:F,4,1),"")</f>
        <v>0</v>
      </c>
      <c r="E44">
        <f>IF(NOT(ISBLANK(A44)),VLOOKUP(A44,'BBT3'!A:F,5,0),"")</f>
        <v>46322</v>
      </c>
      <c r="F44" t="str">
        <f>IF(NOT(ISBLANK(A44)),VLOOKUP(A44,'BBT3'!A:F,6,0),"")</f>
        <v>N</v>
      </c>
      <c r="G44" t="str">
        <f t="shared" si="0"/>
        <v>Y</v>
      </c>
      <c r="H44">
        <f>IF(NOT(ISBLANK(A44)),VLOOKUP(A44,'Close - PriceSaver'!A:J,5,0),"")</f>
        <v>3.8449058655960898E-2</v>
      </c>
      <c r="I44" s="4" t="e" cm="1">
        <f t="array" ref="I44">IF(NOT(ISBLANK(A44)),((_xlfn.XLOOKUP(1,(_bbt3[[#All],[ID]]=A44)*(_bbt3[[#All],[METRIC_NAME]]="YLD_YTM_ASK"),_bbt3[[#All],[METRIC_VALUE]])*0.5)+(_xlfn.XLOOKUP(1,(_bbt3[[#All],[ID]]=A44)*(_bbt3[[#All],[METRIC_NAME]]="YLD_YTM_BID"),_bbt3[[#All],[METRIC_VALUE]])*0.5))/100,"")</f>
        <v>#N/A</v>
      </c>
      <c r="J44">
        <f>IF(ISNA(VLOOKUP(A44,'CloseDL - PriceSaverBBT3'!A:E,5,0)),0,VLOOKUP(A44,'CloseDL - PriceSaverBBT3'!A:E,5,0))</f>
        <v>3.8449058655960898E-2</v>
      </c>
      <c r="K44" s="7">
        <f t="shared" si="1"/>
        <v>0</v>
      </c>
      <c r="L44" s="20">
        <f>IF(Close[[#This Row],[CreatedBy]]="MARINER\SilverAdm",1,0)</f>
        <v>1</v>
      </c>
      <c r="M44" t="str">
        <f>IF(NOT(ISBLANK(A44)),VLOOKUP(A44,'Close - PriceSaver'!A:J,6,0),"")</f>
        <v>DL Bill input Discount = 3.73730000  PX_ASK = 3.73250000 PX_BID = 3.74210000</v>
      </c>
      <c r="Q44" t="e">
        <f t="shared" si="7"/>
        <v>#N/A</v>
      </c>
      <c r="R44" t="e">
        <f t="shared" si="2"/>
        <v>#N/A</v>
      </c>
      <c r="S44" t="e">
        <f t="shared" si="3"/>
        <v>#N/A</v>
      </c>
      <c r="T44" s="15" t="e">
        <f t="shared" si="9"/>
        <v>#N/A</v>
      </c>
      <c r="U44" s="18" t="e">
        <f t="shared" si="10"/>
        <v>#N/A</v>
      </c>
      <c r="V44" s="18" t="e">
        <f t="shared" si="11"/>
        <v>#N/A</v>
      </c>
      <c r="W44" s="19" t="e">
        <f t="shared" si="12"/>
        <v>#N/A</v>
      </c>
      <c r="X44" t="e">
        <f>VLOOKUP(P44,Close[[ID]:[CreatedBy]],8,0)</f>
        <v>#N/A</v>
      </c>
    </row>
    <row r="45" spans="1:24" x14ac:dyDescent="0.35">
      <c r="A45" t="str">
        <v>912797VP9</v>
      </c>
      <c r="B45" t="str">
        <f>IF(NOT(ISBLANK(A45)),VLOOKUP(A45,'BBT3'!A:F,2,0),"")</f>
        <v>Bill</v>
      </c>
      <c r="C45" t="str">
        <f>IF(NOT(ISBLANK(A45)),VLOOKUP(A45,'BBT3'!A:F,3,0),"")</f>
        <v>US912797VP90</v>
      </c>
      <c r="D45" s="5">
        <f>IF(NOT(ISBLANK(A45)),VLOOKUP(A45,'BBT3'!A:F,4,1),"")</f>
        <v>0</v>
      </c>
      <c r="E45">
        <f>IF(NOT(ISBLANK(A45)),VLOOKUP(A45,'BBT3'!A:F,5,0),"")</f>
        <v>46329</v>
      </c>
      <c r="F45" t="str">
        <f>IF(NOT(ISBLANK(A45)),VLOOKUP(A45,'BBT3'!A:F,6,0),"")</f>
        <v>N</v>
      </c>
      <c r="G45" t="str">
        <f t="shared" si="0"/>
        <v>Y</v>
      </c>
      <c r="H45">
        <f>IF(NOT(ISBLANK(A45)),VLOOKUP(A45,'Close - PriceSaver'!A:J,5,0),"")</f>
        <v>3.8617386404934201E-2</v>
      </c>
      <c r="I45" s="4" t="e" cm="1">
        <f t="array" ref="I45">IF(NOT(ISBLANK(A45)),((_xlfn.XLOOKUP(1,(_bbt3[[#All],[ID]]=A45)*(_bbt3[[#All],[METRIC_NAME]]="YLD_YTM_ASK"),_bbt3[[#All],[METRIC_VALUE]])*0.5)+(_xlfn.XLOOKUP(1,(_bbt3[[#All],[ID]]=A45)*(_bbt3[[#All],[METRIC_NAME]]="YLD_YTM_BID"),_bbt3[[#All],[METRIC_VALUE]])*0.5))/100,"")</f>
        <v>#N/A</v>
      </c>
      <c r="J45">
        <f>IF(ISNA(VLOOKUP(A45,'CloseDL - PriceSaverBBT3'!A:E,5,0)),0,VLOOKUP(A45,'CloseDL - PriceSaverBBT3'!A:E,5,0))</f>
        <v>3.8617386404934201E-2</v>
      </c>
      <c r="K45" s="7">
        <f t="shared" si="1"/>
        <v>0</v>
      </c>
      <c r="L45" s="20">
        <f>IF(Close[[#This Row],[CreatedBy]]="MARINER\SilverAdm",1,0)</f>
        <v>1</v>
      </c>
      <c r="M45" t="str">
        <f>IF(NOT(ISBLANK(A45)),VLOOKUP(A45,'Close - PriceSaver'!A:J,6,0),"")</f>
        <v>DL Bill input Discount = 3.75205000  PX_ASK = 3.74540000 PX_BID = 3.75870000</v>
      </c>
      <c r="Q45" t="e">
        <f t="shared" si="7"/>
        <v>#N/A</v>
      </c>
      <c r="R45" t="e">
        <f t="shared" si="2"/>
        <v>#N/A</v>
      </c>
      <c r="S45" t="e">
        <f t="shared" si="3"/>
        <v>#N/A</v>
      </c>
      <c r="T45" s="15" t="e">
        <f t="shared" si="9"/>
        <v>#N/A</v>
      </c>
      <c r="U45" s="18" t="e">
        <f t="shared" si="10"/>
        <v>#N/A</v>
      </c>
      <c r="V45" s="18" t="e">
        <f t="shared" si="11"/>
        <v>#N/A</v>
      </c>
      <c r="W45" s="19" t="e">
        <f t="shared" si="12"/>
        <v>#N/A</v>
      </c>
      <c r="X45" t="e">
        <f>VLOOKUP(P45,Close[[ID]:[CreatedBy]],8,0)</f>
        <v>#N/A</v>
      </c>
    </row>
    <row r="46" spans="1:24" x14ac:dyDescent="0.35">
      <c r="A46" t="str">
        <v>912797VQ7</v>
      </c>
      <c r="B46" t="str">
        <f>IF(NOT(ISBLANK(A46)),VLOOKUP(A46,'BBT3'!A:F,2,0),"")</f>
        <v>Bill</v>
      </c>
      <c r="C46" t="str">
        <f>IF(NOT(ISBLANK(A46)),VLOOKUP(A46,'BBT3'!A:F,3,0),"")</f>
        <v>US912797VQ73</v>
      </c>
      <c r="D46" s="5">
        <f>IF(NOT(ISBLANK(A46)),VLOOKUP(A46,'BBT3'!A:F,4,1),"")</f>
        <v>0</v>
      </c>
      <c r="E46">
        <f>IF(NOT(ISBLANK(A46)),VLOOKUP(A46,'BBT3'!A:F,5,0),"")</f>
        <v>46576</v>
      </c>
      <c r="F46" t="str">
        <f>IF(NOT(ISBLANK(A46)),VLOOKUP(A46,'BBT3'!A:F,6,0),"")</f>
        <v>N</v>
      </c>
      <c r="G46" t="str">
        <f t="shared" si="0"/>
        <v>Y</v>
      </c>
      <c r="H46">
        <f>IF(NOT(ISBLANK(A46)),VLOOKUP(A46,'Close - PriceSaver'!A:J,5,0),"")</f>
        <v>4.06860746279172E-2</v>
      </c>
      <c r="I46" s="4" cm="1">
        <f t="array" ref="I46">IF(NOT(ISBLANK(A46)),((_xlfn.XLOOKUP(1,(_bbt3[[#All],[ID]]=A46)*(_bbt3[[#All],[METRIC_NAME]]="YLD_YTM_ASK"),_bbt3[[#All],[METRIC_VALUE]])*0.5)+(_xlfn.XLOOKUP(1,(_bbt3[[#All],[ID]]=A46)*(_bbt3[[#All],[METRIC_NAME]]="YLD_YTM_BID"),_bbt3[[#All],[METRIC_VALUE]])*0.5))/100,"")</f>
        <v>4.0674999999999996E-2</v>
      </c>
      <c r="J46">
        <f>IF(ISNA(VLOOKUP(A46,'CloseDL - PriceSaverBBT3'!A:E,5,0)),0,VLOOKUP(A46,'CloseDL - PriceSaverBBT3'!A:E,5,0))</f>
        <v>4.06860746279172E-2</v>
      </c>
      <c r="K46" s="7">
        <f t="shared" si="1"/>
        <v>0</v>
      </c>
      <c r="L46" s="20">
        <f>IF(Close[[#This Row],[CreatedBy]]="MARINER\SilverAdm",1,0)</f>
        <v>1</v>
      </c>
      <c r="M46" t="str">
        <f>IF(NOT(ISBLANK(A46)),VLOOKUP(A46,'Close - PriceSaver'!A:J,6,0),"")</f>
        <v>DL Bill input Discount = 3.89665000  PX_ASK = 3.89240000 PX_BID = 3.90090000</v>
      </c>
      <c r="Q46" t="e">
        <f t="shared" si="7"/>
        <v>#N/A</v>
      </c>
      <c r="R46" t="e">
        <f t="shared" si="2"/>
        <v>#N/A</v>
      </c>
      <c r="S46" t="e">
        <f t="shared" si="3"/>
        <v>#N/A</v>
      </c>
      <c r="T46" s="15" t="e">
        <f t="shared" si="9"/>
        <v>#N/A</v>
      </c>
      <c r="U46" s="18" t="e">
        <f t="shared" si="10"/>
        <v>#N/A</v>
      </c>
      <c r="V46" s="18" t="e">
        <f t="shared" si="11"/>
        <v>#N/A</v>
      </c>
      <c r="W46" s="19" t="e">
        <f t="shared" si="12"/>
        <v>#N/A</v>
      </c>
      <c r="X46" t="e">
        <f>VLOOKUP(P46,Close[[ID]:[CreatedBy]],8,0)</f>
        <v>#N/A</v>
      </c>
    </row>
    <row r="47" spans="1:24" x14ac:dyDescent="0.35">
      <c r="A47" t="str">
        <v>912797VS3</v>
      </c>
      <c r="B47" t="str">
        <f>IF(NOT(ISBLANK(A47)),VLOOKUP(A47,'BBT3'!A:F,2,0),"")</f>
        <v>Bill</v>
      </c>
      <c r="C47" t="str">
        <f>IF(NOT(ISBLANK(A47)),VLOOKUP(A47,'BBT3'!A:F,3,0),"")</f>
        <v>US912797VS30</v>
      </c>
      <c r="D47" s="5">
        <f>IF(NOT(ISBLANK(A47)),VLOOKUP(A47,'BBT3'!A:F,4,1),"")</f>
        <v>0</v>
      </c>
      <c r="E47">
        <f>IF(NOT(ISBLANK(A47)),VLOOKUP(A47,'BBT3'!A:F,5,0),"")</f>
        <v>46394</v>
      </c>
      <c r="F47" t="str">
        <f>IF(NOT(ISBLANK(A47)),VLOOKUP(A47,'BBT3'!A:F,6,0),"")</f>
        <v>N</v>
      </c>
      <c r="G47" t="str">
        <f t="shared" si="0"/>
        <v>Y</v>
      </c>
      <c r="H47">
        <f>IF(NOT(ISBLANK(A47)),VLOOKUP(A47,'Close - PriceSaver'!A:J,5,0),"")</f>
        <v>3.9485864529789999E-2</v>
      </c>
      <c r="I47" s="4" cm="1">
        <f t="array" ref="I47">IF(NOT(ISBLANK(A47)),((_xlfn.XLOOKUP(1,(_bbt3[[#All],[ID]]=A47)*(_bbt3[[#All],[METRIC_NAME]]="YLD_YTM_ASK"),_bbt3[[#All],[METRIC_VALUE]])*0.5)+(_xlfn.XLOOKUP(1,(_bbt3[[#All],[ID]]=A47)*(_bbt3[[#All],[METRIC_NAME]]="YLD_YTM_BID"),_bbt3[[#All],[METRIC_VALUE]])*0.5))/100,"")</f>
        <v>3.9454999999999997E-2</v>
      </c>
      <c r="J47">
        <f>IF(ISNA(VLOOKUP(A47,'CloseDL - PriceSaverBBT3'!A:E,5,0)),0,VLOOKUP(A47,'CloseDL - PriceSaverBBT3'!A:E,5,0))</f>
        <v>3.9485864529789999E-2</v>
      </c>
      <c r="K47" s="7">
        <f t="shared" si="1"/>
        <v>0</v>
      </c>
      <c r="L47" s="20">
        <f>IF(Close[[#This Row],[CreatedBy]]="MARINER\SilverAdm",1,0)</f>
        <v>1</v>
      </c>
      <c r="M47" t="str">
        <f>IF(NOT(ISBLANK(A47)),VLOOKUP(A47,'Close - PriceSaver'!A:J,6,0),"")</f>
        <v>DL Bill input Discount = 3.82185000  PX_ASK = 3.81680000 PX_BID = 3.82690000</v>
      </c>
      <c r="Q47" t="e">
        <f t="shared" si="7"/>
        <v>#N/A</v>
      </c>
      <c r="R47" t="e">
        <f t="shared" si="2"/>
        <v>#N/A</v>
      </c>
      <c r="S47" t="e">
        <f t="shared" si="3"/>
        <v>#N/A</v>
      </c>
      <c r="T47" s="15" t="e">
        <f t="shared" si="9"/>
        <v>#N/A</v>
      </c>
      <c r="U47" s="18" t="e">
        <f t="shared" si="10"/>
        <v>#N/A</v>
      </c>
      <c r="V47" s="18" t="e">
        <f t="shared" si="11"/>
        <v>#N/A</v>
      </c>
      <c r="W47" s="19" t="e">
        <f t="shared" si="12"/>
        <v>#N/A</v>
      </c>
      <c r="X47" t="e">
        <f>VLOOKUP(P47,Close[[ID]:[CreatedBy]],8,0)</f>
        <v>#N/A</v>
      </c>
    </row>
    <row r="48" spans="1:24" x14ac:dyDescent="0.35">
      <c r="A48" t="str">
        <v>912797VT1</v>
      </c>
      <c r="B48" t="str">
        <f>IF(NOT(ISBLANK(A48)),VLOOKUP(A48,'BBT3'!A:F,2,0),"")</f>
        <v>Bill</v>
      </c>
      <c r="C48" t="str">
        <f>IF(NOT(ISBLANK(A48)),VLOOKUP(A48,'BBT3'!A:F,3,0),"")</f>
        <v>US912797VT13</v>
      </c>
      <c r="D48" s="5">
        <f>IF(NOT(ISBLANK(A48)),VLOOKUP(A48,'BBT3'!A:F,4,1),"")</f>
        <v>0</v>
      </c>
      <c r="E48">
        <f>IF(NOT(ISBLANK(A48)),VLOOKUP(A48,'BBT3'!A:F,5,0),"")</f>
        <v>46401</v>
      </c>
      <c r="F48" t="str">
        <f>IF(NOT(ISBLANK(A48)),VLOOKUP(A48,'BBT3'!A:F,6,0),"")</f>
        <v>N</v>
      </c>
      <c r="G48" t="str">
        <f t="shared" si="0"/>
        <v>Y</v>
      </c>
      <c r="H48">
        <f>IF(NOT(ISBLANK(A48)),VLOOKUP(A48,'Close - PriceSaver'!A:J,5,0),"")</f>
        <v>3.9641051138887398E-2</v>
      </c>
      <c r="I48" s="4" cm="1">
        <f t="array" ref="I48">IF(NOT(ISBLANK(A48)),((_xlfn.XLOOKUP(1,(_bbt3[[#All],[ID]]=A48)*(_bbt3[[#All],[METRIC_NAME]]="YLD_YTM_ASK"),_bbt3[[#All],[METRIC_VALUE]])*0.5)+(_xlfn.XLOOKUP(1,(_bbt3[[#All],[ID]]=A48)*(_bbt3[[#All],[METRIC_NAME]]="YLD_YTM_BID"),_bbt3[[#All],[METRIC_VALUE]])*0.5))/100,"")</f>
        <v>3.9629999999999999E-2</v>
      </c>
      <c r="J48">
        <f>IF(ISNA(VLOOKUP(A48,'CloseDL - PriceSaverBBT3'!A:E,5,0)),0,VLOOKUP(A48,'CloseDL - PriceSaverBBT3'!A:E,5,0))</f>
        <v>3.9641051138887398E-2</v>
      </c>
      <c r="K48" s="7">
        <f t="shared" si="1"/>
        <v>0</v>
      </c>
      <c r="L48" s="20">
        <f>IF(Close[[#This Row],[CreatedBy]]="MARINER\SilverAdm",1,0)</f>
        <v>1</v>
      </c>
      <c r="M48" t="str">
        <f>IF(NOT(ISBLANK(A48)),VLOOKUP(A48,'Close - PriceSaver'!A:J,6,0),"")</f>
        <v>DL Bill input Discount = 3.83515000  PX_ASK = 3.83030000 PX_BID = 3.84000000</v>
      </c>
      <c r="Q48" t="e">
        <f t="shared" si="7"/>
        <v>#N/A</v>
      </c>
      <c r="R48" t="e">
        <f t="shared" si="2"/>
        <v>#N/A</v>
      </c>
      <c r="S48" t="e">
        <f t="shared" si="3"/>
        <v>#N/A</v>
      </c>
      <c r="T48" s="15" t="e">
        <f t="shared" si="9"/>
        <v>#N/A</v>
      </c>
      <c r="U48" s="18" t="e">
        <f t="shared" si="10"/>
        <v>#N/A</v>
      </c>
      <c r="V48" s="18" t="e">
        <f t="shared" si="11"/>
        <v>#N/A</v>
      </c>
      <c r="W48" s="19" t="e">
        <f t="shared" si="12"/>
        <v>#N/A</v>
      </c>
      <c r="X48" t="e">
        <f>VLOOKUP(P48,Close[[ID]:[CreatedBy]],8,0)</f>
        <v>#N/A</v>
      </c>
    </row>
    <row r="49" spans="1:24" x14ac:dyDescent="0.35">
      <c r="A49" t="str">
        <v>912797VW4</v>
      </c>
      <c r="B49" t="str">
        <f>IF(NOT(ISBLANK(A49)),VLOOKUP(A49,'BBT3'!A:F,2,0),"")</f>
        <v>Bill</v>
      </c>
      <c r="C49" t="str">
        <f>IF(NOT(ISBLANK(A49)),VLOOKUP(A49,'BBT3'!A:F,3,0),"")</f>
        <v>US912797VW42</v>
      </c>
      <c r="D49" s="5">
        <f>IF(NOT(ISBLANK(A49)),VLOOKUP(A49,'BBT3'!A:F,4,1),"")</f>
        <v>0</v>
      </c>
      <c r="E49">
        <f>IF(NOT(ISBLANK(A49)),VLOOKUP(A49,'BBT3'!A:F,5,0),"")</f>
        <v>46336</v>
      </c>
      <c r="F49" t="str">
        <f>IF(NOT(ISBLANK(A49)),VLOOKUP(A49,'BBT3'!A:F,6,0),"")</f>
        <v>N</v>
      </c>
      <c r="G49" t="str">
        <f t="shared" si="0"/>
        <v>Y</v>
      </c>
      <c r="H49">
        <f>IF(NOT(ISBLANK(A49)),VLOOKUP(A49,'Close - PriceSaver'!A:J,5,0),"")</f>
        <v>3.8761402516581001E-2</v>
      </c>
      <c r="I49" s="4" t="e" cm="1">
        <f t="array" ref="I49">IF(NOT(ISBLANK(A49)),((_xlfn.XLOOKUP(1,(_bbt3[[#All],[ID]]=A49)*(_bbt3[[#All],[METRIC_NAME]]="YLD_YTM_ASK"),_bbt3[[#All],[METRIC_VALUE]])*0.5)+(_xlfn.XLOOKUP(1,(_bbt3[[#All],[ID]]=A49)*(_bbt3[[#All],[METRIC_NAME]]="YLD_YTM_BID"),_bbt3[[#All],[METRIC_VALUE]])*0.5))/100,"")</f>
        <v>#N/A</v>
      </c>
      <c r="J49">
        <f>IF(ISNA(VLOOKUP(A49,'CloseDL - PriceSaverBBT3'!A:E,5,0)),0,VLOOKUP(A49,'CloseDL - PriceSaverBBT3'!A:E,5,0))</f>
        <v>3.8761402516581001E-2</v>
      </c>
      <c r="K49" s="7">
        <f t="shared" si="1"/>
        <v>0</v>
      </c>
      <c r="L49" s="20">
        <f>IF(Close[[#This Row],[CreatedBy]]="MARINER\SilverAdm",1,0)</f>
        <v>1</v>
      </c>
      <c r="M49" t="str">
        <f>IF(NOT(ISBLANK(A49)),VLOOKUP(A49,'Close - PriceSaver'!A:J,6,0),"")</f>
        <v>DL Bill input Discount = 3.76445000  PX_ASK = 3.75970000 PX_BID = 3.76920000</v>
      </c>
      <c r="Q49" t="e">
        <f t="shared" si="7"/>
        <v>#N/A</v>
      </c>
      <c r="R49" t="e">
        <f t="shared" si="2"/>
        <v>#N/A</v>
      </c>
      <c r="S49" t="e">
        <f t="shared" si="3"/>
        <v>#N/A</v>
      </c>
      <c r="T49" s="15" t="e">
        <f t="shared" si="9"/>
        <v>#N/A</v>
      </c>
      <c r="U49" s="18" t="e">
        <f t="shared" si="10"/>
        <v>#N/A</v>
      </c>
      <c r="V49" s="18" t="e">
        <f t="shared" si="11"/>
        <v>#N/A</v>
      </c>
      <c r="W49" s="19" t="e">
        <f t="shared" si="12"/>
        <v>#N/A</v>
      </c>
      <c r="X49" t="e">
        <f>VLOOKUP(P49,Close[[ID]:[CreatedBy]],8,0)</f>
        <v>#N/A</v>
      </c>
    </row>
    <row r="50" spans="1:24" x14ac:dyDescent="0.35">
      <c r="A50" t="str">
        <v>912797VX2</v>
      </c>
      <c r="B50" t="str">
        <f>IF(NOT(ISBLANK(A50)),VLOOKUP(A50,'BBT3'!A:F,2,0),"")</f>
        <v>Bill</v>
      </c>
      <c r="C50" t="str">
        <f>IF(NOT(ISBLANK(A50)),VLOOKUP(A50,'BBT3'!A:F,3,0),"")</f>
        <v>US912797VX25</v>
      </c>
      <c r="D50" s="5">
        <f>IF(NOT(ISBLANK(A50)),VLOOKUP(A50,'BBT3'!A:F,4,1),"")</f>
        <v>0</v>
      </c>
      <c r="E50">
        <f>IF(NOT(ISBLANK(A50)),VLOOKUP(A50,'BBT3'!A:F,5,0),"")</f>
        <v>46343</v>
      </c>
      <c r="F50" t="str">
        <f>IF(NOT(ISBLANK(A50)),VLOOKUP(A50,'BBT3'!A:F,6,0),"")</f>
        <v>N</v>
      </c>
      <c r="G50" t="str">
        <f t="shared" si="0"/>
        <v>Y</v>
      </c>
      <c r="H50">
        <f>IF(NOT(ISBLANK(A50)),VLOOKUP(A50,'Close - PriceSaver'!A:J,5,0),"")</f>
        <v>3.8943840474713103E-2</v>
      </c>
      <c r="I50" s="4" t="e" cm="1">
        <f t="array" ref="I50">IF(NOT(ISBLANK(A50)),((_xlfn.XLOOKUP(1,(_bbt3[[#All],[ID]]=A50)*(_bbt3[[#All],[METRIC_NAME]]="YLD_YTM_ASK"),_bbt3[[#All],[METRIC_VALUE]])*0.5)+(_xlfn.XLOOKUP(1,(_bbt3[[#All],[ID]]=A50)*(_bbt3[[#All],[METRIC_NAME]]="YLD_YTM_BID"),_bbt3[[#All],[METRIC_VALUE]])*0.5))/100,"")</f>
        <v>#N/A</v>
      </c>
      <c r="J50">
        <f>IF(ISNA(VLOOKUP(A50,'CloseDL - PriceSaverBBT3'!A:E,5,0)),0,VLOOKUP(A50,'CloseDL - PriceSaverBBT3'!A:E,5,0))</f>
        <v>3.8943840474713103E-2</v>
      </c>
      <c r="K50" s="7">
        <f t="shared" si="1"/>
        <v>0</v>
      </c>
      <c r="L50" s="20">
        <f>IF(Close[[#This Row],[CreatedBy]]="MARINER\SilverAdm",1,0)</f>
        <v>1</v>
      </c>
      <c r="M50" t="str">
        <f>IF(NOT(ISBLANK(A50)),VLOOKUP(A50,'Close - PriceSaver'!A:J,6,0),"")</f>
        <v>DL Bill input Discount = 3.78050000  PX_ASK = 3.77580000 PX_BID = 3.78520000</v>
      </c>
      <c r="Q50" t="e">
        <f t="shared" si="7"/>
        <v>#N/A</v>
      </c>
      <c r="R50" t="e">
        <f t="shared" si="2"/>
        <v>#N/A</v>
      </c>
      <c r="S50" t="e">
        <f t="shared" si="3"/>
        <v>#N/A</v>
      </c>
      <c r="T50" s="15" t="e">
        <f t="shared" si="9"/>
        <v>#N/A</v>
      </c>
      <c r="U50" s="18" t="e">
        <f t="shared" si="10"/>
        <v>#N/A</v>
      </c>
      <c r="V50" s="18" t="e">
        <f t="shared" si="11"/>
        <v>#N/A</v>
      </c>
      <c r="W50" s="19" t="e">
        <f t="shared" si="12"/>
        <v>#N/A</v>
      </c>
      <c r="X50" t="e">
        <f>VLOOKUP(P50,Close[[ID]:[CreatedBy]],8,0)</f>
        <v>#N/A</v>
      </c>
    </row>
    <row r="51" spans="1:24" x14ac:dyDescent="0.35">
      <c r="A51" t="str">
        <v>912803BH5</v>
      </c>
      <c r="B51" t="str">
        <f>IF(NOT(ISBLANK(A51)),VLOOKUP(A51,'BBT3'!A:F,2,0),"")</f>
        <v>Bond</v>
      </c>
      <c r="C51" t="str">
        <f>IF(NOT(ISBLANK(A51)),VLOOKUP(A51,'BBT3'!A:F,3,0),"")</f>
        <v>US912803BH54</v>
      </c>
      <c r="D51" s="5">
        <f>IF(NOT(ISBLANK(A51)),VLOOKUP(A51,'BBT3'!A:F,4,1),"")</f>
        <v>0</v>
      </c>
      <c r="E51">
        <f>IF(NOT(ISBLANK(A51)),VLOOKUP(A51,'BBT3'!A:F,5,0),"")</f>
        <v>46249</v>
      </c>
      <c r="F51" t="str">
        <f>IF(NOT(ISBLANK(A51)),VLOOKUP(A51,'BBT3'!A:F,6,0),"")</f>
        <v>N</v>
      </c>
      <c r="G51" t="str">
        <f t="shared" si="0"/>
        <v>Y</v>
      </c>
      <c r="H51">
        <f>IF(NOT(ISBLANK(A51)),VLOOKUP(A51,'Close - PriceSaver'!A:J,5,0),"")</f>
        <v>3.51199803337209E-2</v>
      </c>
      <c r="I51" s="4" t="e" cm="1">
        <f t="array" ref="I51">IF(NOT(ISBLANK(A51)),((_xlfn.XLOOKUP(1,(_bbt3[[#All],[ID]]=A51)*(_bbt3[[#All],[METRIC_NAME]]="YLD_YTM_ASK"),_bbt3[[#All],[METRIC_VALUE]])*0.5)+(_xlfn.XLOOKUP(1,(_bbt3[[#All],[ID]]=A51)*(_bbt3[[#All],[METRIC_NAME]]="YLD_YTM_BID"),_bbt3[[#All],[METRIC_VALUE]])*0.5))/100,"")</f>
        <v>#N/A</v>
      </c>
      <c r="J51">
        <f>IF(ISNA(VLOOKUP(A51,'CloseDL - PriceSaverBBT3'!A:E,5,0)),0,VLOOKUP(A51,'CloseDL - PriceSaverBBT3'!A:E,5,0))</f>
        <v>3.51199803337209E-2</v>
      </c>
      <c r="K51" s="7">
        <f t="shared" si="1"/>
        <v>0</v>
      </c>
      <c r="L51" s="20">
        <f>IF(Close[[#This Row],[CreatedBy]]="MARINER\SilverAdm",1,0)</f>
        <v>1</v>
      </c>
      <c r="M51" t="str">
        <f>IF(NOT(ISBLANK(A51)),VLOOKUP(A51,'Close - PriceSaver'!A:J,6,0),"")</f>
        <v>DL input prc = 99.76770124  PX_ASK = 99.77133072 PX_BID = 99.76407175</v>
      </c>
      <c r="Q51" t="e">
        <f t="shared" si="7"/>
        <v>#N/A</v>
      </c>
      <c r="R51" t="e">
        <f t="shared" si="2"/>
        <v>#N/A</v>
      </c>
      <c r="S51" t="e">
        <f t="shared" si="3"/>
        <v>#N/A</v>
      </c>
      <c r="T51" s="15" t="e">
        <f t="shared" si="9"/>
        <v>#N/A</v>
      </c>
      <c r="U51" s="18" t="e">
        <f t="shared" si="10"/>
        <v>#N/A</v>
      </c>
      <c r="V51" s="18" t="e">
        <f t="shared" si="11"/>
        <v>#N/A</v>
      </c>
      <c r="W51" s="19" t="e">
        <f t="shared" si="12"/>
        <v>#N/A</v>
      </c>
      <c r="X51" t="e">
        <f>VLOOKUP(P51,Close[[ID]:[CreatedBy]],8,0)</f>
        <v>#N/A</v>
      </c>
    </row>
    <row r="52" spans="1:24" x14ac:dyDescent="0.35">
      <c r="A52" t="str">
        <v>912803BJ1</v>
      </c>
      <c r="B52" t="str">
        <f>IF(NOT(ISBLANK(A52)),VLOOKUP(A52,'BBT3'!A:F,2,0),"")</f>
        <v>Bond</v>
      </c>
      <c r="C52" t="str">
        <f>IF(NOT(ISBLANK(A52)),VLOOKUP(A52,'BBT3'!A:F,3,0),"")</f>
        <v>US912803BJ11</v>
      </c>
      <c r="D52" s="5">
        <f>IF(NOT(ISBLANK(A52)),VLOOKUP(A52,'BBT3'!A:F,4,1),"")</f>
        <v>0</v>
      </c>
      <c r="E52">
        <f>IF(NOT(ISBLANK(A52)),VLOOKUP(A52,'BBT3'!A:F,5,0),"")</f>
        <v>46341</v>
      </c>
      <c r="F52" t="str">
        <f>IF(NOT(ISBLANK(A52)),VLOOKUP(A52,'BBT3'!A:F,6,0),"")</f>
        <v>N</v>
      </c>
      <c r="G52" t="str">
        <f t="shared" si="0"/>
        <v>Y</v>
      </c>
      <c r="H52">
        <f>IF(NOT(ISBLANK(A52)),VLOOKUP(A52,'Close - PriceSaver'!A:J,5,0),"")</f>
        <v>3.75549074756064E-2</v>
      </c>
      <c r="I52" s="4" t="e" cm="1">
        <f t="array" ref="I52">IF(NOT(ISBLANK(A52)),((_xlfn.XLOOKUP(1,(_bbt3[[#All],[ID]]=A52)*(_bbt3[[#All],[METRIC_NAME]]="YLD_YTM_ASK"),_bbt3[[#All],[METRIC_VALUE]])*0.5)+(_xlfn.XLOOKUP(1,(_bbt3[[#All],[ID]]=A52)*(_bbt3[[#All],[METRIC_NAME]]="YLD_YTM_BID"),_bbt3[[#All],[METRIC_VALUE]])*0.5))/100,"")</f>
        <v>#N/A</v>
      </c>
      <c r="J52">
        <f>IF(ISNA(VLOOKUP(A52,'CloseDL - PriceSaverBBT3'!A:E,5,0)),0,VLOOKUP(A52,'CloseDL - PriceSaverBBT3'!A:E,5,0))</f>
        <v>3.75549074756064E-2</v>
      </c>
      <c r="K52" s="7">
        <f t="shared" si="1"/>
        <v>0</v>
      </c>
      <c r="L52" s="20">
        <f>IF(Close[[#This Row],[CreatedBy]]="MARINER\SilverAdm",1,0)</f>
        <v>1</v>
      </c>
      <c r="M52" t="str">
        <f>IF(NOT(ISBLANK(A52)),VLOOKUP(A52,'Close - PriceSaver'!A:J,6,0),"")</f>
        <v>DL input prc = 98.83005378  PX_ASK = 98.84683350 PX_BID = 98.81327406</v>
      </c>
      <c r="Q52" t="e">
        <f t="shared" si="7"/>
        <v>#N/A</v>
      </c>
      <c r="R52" t="e">
        <f t="shared" si="2"/>
        <v>#N/A</v>
      </c>
      <c r="S52" t="e">
        <f t="shared" si="3"/>
        <v>#N/A</v>
      </c>
      <c r="T52" s="15" t="e">
        <f t="shared" si="9"/>
        <v>#N/A</v>
      </c>
      <c r="U52" s="18" t="e">
        <f t="shared" si="10"/>
        <v>#N/A</v>
      </c>
      <c r="V52" s="18" t="e">
        <f t="shared" si="11"/>
        <v>#N/A</v>
      </c>
      <c r="W52" s="19" t="e">
        <f t="shared" si="12"/>
        <v>#N/A</v>
      </c>
      <c r="X52" t="e">
        <f>VLOOKUP(P52,Close[[ID]:[CreatedBy]],8,0)</f>
        <v>#N/A</v>
      </c>
    </row>
    <row r="53" spans="1:24" x14ac:dyDescent="0.35">
      <c r="A53" t="str">
        <v>912803BK8</v>
      </c>
      <c r="B53" t="str">
        <f>IF(NOT(ISBLANK(A53)),VLOOKUP(A53,'BBT3'!A:F,2,0),"")</f>
        <v>Bond</v>
      </c>
      <c r="C53" t="str">
        <f>IF(NOT(ISBLANK(A53)),VLOOKUP(A53,'BBT3'!A:F,3,0),"")</f>
        <v>US912803BK83</v>
      </c>
      <c r="D53" s="5">
        <f>IF(NOT(ISBLANK(A53)),VLOOKUP(A53,'BBT3'!A:F,4,1),"")</f>
        <v>0</v>
      </c>
      <c r="E53">
        <f>IF(NOT(ISBLANK(A53)),VLOOKUP(A53,'BBT3'!A:F,5,0),"")</f>
        <v>46433</v>
      </c>
      <c r="F53" t="str">
        <f>IF(NOT(ISBLANK(A53)),VLOOKUP(A53,'BBT3'!A:F,6,0),"")</f>
        <v>N</v>
      </c>
      <c r="G53" t="str">
        <f t="shared" si="0"/>
        <v>Y</v>
      </c>
      <c r="H53">
        <f>IF(NOT(ISBLANK(A53)),VLOOKUP(A53,'Close - PriceSaver'!A:J,5,0),"")</f>
        <v>3.75006339624799E-2</v>
      </c>
      <c r="I53" s="4" t="e" cm="1">
        <f t="array" ref="I53">IF(NOT(ISBLANK(A53)),((_xlfn.XLOOKUP(1,(_bbt3[[#All],[ID]]=A53)*(_bbt3[[#All],[METRIC_NAME]]="YLD_YTM_ASK"),_bbt3[[#All],[METRIC_VALUE]])*0.5)+(_xlfn.XLOOKUP(1,(_bbt3[[#All],[ID]]=A53)*(_bbt3[[#All],[METRIC_NAME]]="YLD_YTM_BID"),_bbt3[[#All],[METRIC_VALUE]])*0.5))/100,"")</f>
        <v>#N/A</v>
      </c>
      <c r="J53">
        <f>IF(ISNA(VLOOKUP(A53,'CloseDL - PriceSaverBBT3'!A:E,5,0)),0,VLOOKUP(A53,'CloseDL - PriceSaverBBT3'!A:E,5,0))</f>
        <v>3.75006339624799E-2</v>
      </c>
      <c r="K53" s="7">
        <f t="shared" si="1"/>
        <v>0</v>
      </c>
      <c r="L53" s="20">
        <f>IF(Close[[#This Row],[CreatedBy]]="MARINER\SilverAdm",1,0)</f>
        <v>1</v>
      </c>
      <c r="M53" t="str">
        <f>IF(NOT(ISBLANK(A53)),VLOOKUP(A53,'Close - PriceSaver'!A:J,6,0),"")</f>
        <v>DL input prc = 97.91749739  PX_ASK = 97.96104114 PX_BID = 97.87395364</v>
      </c>
      <c r="Q53" t="e">
        <f t="shared" si="7"/>
        <v>#N/A</v>
      </c>
      <c r="R53" t="e">
        <f t="shared" si="2"/>
        <v>#N/A</v>
      </c>
      <c r="S53" t="e">
        <f t="shared" si="3"/>
        <v>#N/A</v>
      </c>
      <c r="T53" s="15" t="e">
        <f t="shared" si="9"/>
        <v>#N/A</v>
      </c>
      <c r="U53" s="18" t="e">
        <f t="shared" si="10"/>
        <v>#N/A</v>
      </c>
      <c r="V53" s="18" t="e">
        <f t="shared" si="11"/>
        <v>#N/A</v>
      </c>
      <c r="W53" s="19" t="e">
        <f t="shared" si="12"/>
        <v>#N/A</v>
      </c>
      <c r="X53" t="e">
        <f>VLOOKUP(P53,Close[[ID]:[CreatedBy]],8,0)</f>
        <v>#N/A</v>
      </c>
    </row>
    <row r="54" spans="1:24" x14ac:dyDescent="0.35">
      <c r="A54" t="str">
        <v>912803BL6</v>
      </c>
      <c r="B54" t="str">
        <f>IF(NOT(ISBLANK(A54)),VLOOKUP(A54,'BBT3'!A:F,2,0),"")</f>
        <v>Bond</v>
      </c>
      <c r="C54" t="str">
        <f>IF(NOT(ISBLANK(A54)),VLOOKUP(A54,'BBT3'!A:F,3,0),"")</f>
        <v>US912803BL66</v>
      </c>
      <c r="D54" s="5">
        <f>IF(NOT(ISBLANK(A54)),VLOOKUP(A54,'BBT3'!A:F,4,1),"")</f>
        <v>0</v>
      </c>
      <c r="E54">
        <f>IF(NOT(ISBLANK(A54)),VLOOKUP(A54,'BBT3'!A:F,5,0),"")</f>
        <v>46614</v>
      </c>
      <c r="F54" t="str">
        <f>IF(NOT(ISBLANK(A54)),VLOOKUP(A54,'BBT3'!A:F,6,0),"")</f>
        <v>N</v>
      </c>
      <c r="G54" t="str">
        <f t="shared" si="0"/>
        <v>Y</v>
      </c>
      <c r="H54">
        <f>IF(NOT(ISBLANK(A54)),VLOOKUP(A54,'Close - PriceSaver'!A:J,5,0),"")</f>
        <v>4.0924728318524797E-2</v>
      </c>
      <c r="I54" s="4" t="e" cm="1">
        <f t="array" ref="I54">IF(NOT(ISBLANK(A54)),((_xlfn.XLOOKUP(1,(_bbt3[[#All],[ID]]=A54)*(_bbt3[[#All],[METRIC_NAME]]="YLD_YTM_ASK"),_bbt3[[#All],[METRIC_VALUE]])*0.5)+(_xlfn.XLOOKUP(1,(_bbt3[[#All],[ID]]=A54)*(_bbt3[[#All],[METRIC_NAME]]="YLD_YTM_BID"),_bbt3[[#All],[METRIC_VALUE]])*0.5))/100,"")</f>
        <v>#N/A</v>
      </c>
      <c r="J54">
        <f>IF(ISNA(VLOOKUP(A54,'CloseDL - PriceSaverBBT3'!A:E,5,0)),0,VLOOKUP(A54,'CloseDL - PriceSaverBBT3'!A:E,5,0))</f>
        <v>4.0924728318524797E-2</v>
      </c>
      <c r="K54" s="7">
        <f t="shared" si="1"/>
        <v>0</v>
      </c>
      <c r="L54" s="20">
        <f>IF(Close[[#This Row],[CreatedBy]]="MARINER\SilverAdm",1,0)</f>
        <v>1</v>
      </c>
      <c r="M54" t="str">
        <f>IF(NOT(ISBLANK(A54)),VLOOKUP(A54,'Close - PriceSaver'!A:J,6,0),"")</f>
        <v>DL input prc = 95.77222208  PX_ASK = 95.83176610 PX_BID = 95.71267805</v>
      </c>
      <c r="Q54" t="e">
        <f t="shared" si="7"/>
        <v>#N/A</v>
      </c>
      <c r="R54" t="e">
        <f t="shared" si="2"/>
        <v>#N/A</v>
      </c>
      <c r="S54" t="e">
        <f t="shared" si="3"/>
        <v>#N/A</v>
      </c>
      <c r="T54" s="15" t="e">
        <f t="shared" si="9"/>
        <v>#N/A</v>
      </c>
      <c r="U54" s="18" t="e">
        <f t="shared" si="10"/>
        <v>#N/A</v>
      </c>
      <c r="V54" s="18" t="e">
        <f t="shared" si="11"/>
        <v>#N/A</v>
      </c>
      <c r="W54" s="19" t="e">
        <f t="shared" si="12"/>
        <v>#N/A</v>
      </c>
      <c r="X54" t="e">
        <f>VLOOKUP(P54,Close[[ID]:[CreatedBy]],8,0)</f>
        <v>#N/A</v>
      </c>
    </row>
    <row r="55" spans="1:24" x14ac:dyDescent="0.35">
      <c r="A55" t="str">
        <v>912803BM4</v>
      </c>
      <c r="B55" t="str">
        <f>IF(NOT(ISBLANK(A55)),VLOOKUP(A55,'BBT3'!A:F,2,0),"")</f>
        <v>Bond</v>
      </c>
      <c r="C55" t="str">
        <f>IF(NOT(ISBLANK(A55)),VLOOKUP(A55,'BBT3'!A:F,3,0),"")</f>
        <v>US912803BM40</v>
      </c>
      <c r="D55" s="5">
        <f>IF(NOT(ISBLANK(A55)),VLOOKUP(A55,'BBT3'!A:F,4,1),"")</f>
        <v>0</v>
      </c>
      <c r="E55">
        <f>IF(NOT(ISBLANK(A55)),VLOOKUP(A55,'BBT3'!A:F,5,0),"")</f>
        <v>46706</v>
      </c>
      <c r="F55" t="str">
        <f>IF(NOT(ISBLANK(A55)),VLOOKUP(A55,'BBT3'!A:F,6,0),"")</f>
        <v>N</v>
      </c>
      <c r="G55" t="str">
        <f t="shared" si="0"/>
        <v>Y</v>
      </c>
      <c r="H55">
        <f>IF(NOT(ISBLANK(A55)),VLOOKUP(A55,'Close - PriceSaver'!A:J,5,0),"")</f>
        <v>4.1664735916780403E-2</v>
      </c>
      <c r="I55" s="4" t="e" cm="1">
        <f t="array" ref="I55">IF(NOT(ISBLANK(A55)),((_xlfn.XLOOKUP(1,(_bbt3[[#All],[ID]]=A55)*(_bbt3[[#All],[METRIC_NAME]]="YLD_YTM_ASK"),_bbt3[[#All],[METRIC_VALUE]])*0.5)+(_xlfn.XLOOKUP(1,(_bbt3[[#All],[ID]]=A55)*(_bbt3[[#All],[METRIC_NAME]]="YLD_YTM_BID"),_bbt3[[#All],[METRIC_VALUE]])*0.5))/100,"")</f>
        <v>#N/A</v>
      </c>
      <c r="J55">
        <f>IF(ISNA(VLOOKUP(A55,'CloseDL - PriceSaverBBT3'!A:E,5,0)),0,VLOOKUP(A55,'CloseDL - PriceSaverBBT3'!A:E,5,0))</f>
        <v>4.1664735916780403E-2</v>
      </c>
      <c r="K55" s="7">
        <f t="shared" si="1"/>
        <v>0</v>
      </c>
      <c r="L55" s="20">
        <f>IF(Close[[#This Row],[CreatedBy]]="MARINER\SilverAdm",1,0)</f>
        <v>1</v>
      </c>
      <c r="M55" t="str">
        <f>IF(NOT(ISBLANK(A55)),VLOOKUP(A55,'Close - PriceSaver'!A:J,6,0),"")</f>
        <v>DL input prc = 94.72092941  PX_ASK = 94.78743918 PX_BID = 94.65441964</v>
      </c>
      <c r="Q55" t="e">
        <f t="shared" si="7"/>
        <v>#N/A</v>
      </c>
      <c r="R55" t="e">
        <f t="shared" si="2"/>
        <v>#N/A</v>
      </c>
      <c r="S55" t="e">
        <f t="shared" si="3"/>
        <v>#N/A</v>
      </c>
      <c r="T55" s="15" t="e">
        <f t="shared" si="9"/>
        <v>#N/A</v>
      </c>
      <c r="U55" s="18" t="e">
        <f t="shared" si="10"/>
        <v>#N/A</v>
      </c>
      <c r="V55" s="18" t="e">
        <f t="shared" si="11"/>
        <v>#N/A</v>
      </c>
      <c r="W55" s="19" t="e">
        <f t="shared" si="12"/>
        <v>#N/A</v>
      </c>
      <c r="X55" t="e">
        <f>VLOOKUP(P55,Close[[ID]:[CreatedBy]],8,0)</f>
        <v>#N/A</v>
      </c>
    </row>
    <row r="56" spans="1:24" x14ac:dyDescent="0.35">
      <c r="A56" t="str">
        <v>912803BP7</v>
      </c>
      <c r="B56" t="str">
        <f>IF(NOT(ISBLANK(A56)),VLOOKUP(A56,'BBT3'!A:F,2,0),"")</f>
        <v>Bond</v>
      </c>
      <c r="C56" t="str">
        <f>IF(NOT(ISBLANK(A56)),VLOOKUP(A56,'BBT3'!A:F,3,0),"")</f>
        <v>US912803BP70</v>
      </c>
      <c r="D56" s="5">
        <f>IF(NOT(ISBLANK(A56)),VLOOKUP(A56,'BBT3'!A:F,4,1),"")</f>
        <v>0</v>
      </c>
      <c r="E56">
        <f>IF(NOT(ISBLANK(A56)),VLOOKUP(A56,'BBT3'!A:F,5,0),"")</f>
        <v>46980</v>
      </c>
      <c r="F56" t="str">
        <f>IF(NOT(ISBLANK(A56)),VLOOKUP(A56,'BBT3'!A:F,6,0),"")</f>
        <v>N</v>
      </c>
      <c r="G56" t="str">
        <f t="shared" si="0"/>
        <v>Y</v>
      </c>
      <c r="H56">
        <f>IF(NOT(ISBLANK(A56)),VLOOKUP(A56,'Close - PriceSaver'!A:J,5,0),"")</f>
        <v>4.26241610967018E-2</v>
      </c>
      <c r="I56" s="4" t="e" cm="1">
        <f t="array" ref="I56">IF(NOT(ISBLANK(A56)),((_xlfn.XLOOKUP(1,(_bbt3[[#All],[ID]]=A56)*(_bbt3[[#All],[METRIC_NAME]]="YLD_YTM_ASK"),_bbt3[[#All],[METRIC_VALUE]])*0.5)+(_xlfn.XLOOKUP(1,(_bbt3[[#All],[ID]]=A56)*(_bbt3[[#All],[METRIC_NAME]]="YLD_YTM_BID"),_bbt3[[#All],[METRIC_VALUE]])*0.5))/100,"")</f>
        <v>#N/A</v>
      </c>
      <c r="J56">
        <f>IF(ISNA(VLOOKUP(A56,'CloseDL - PriceSaverBBT3'!A:E,5,0)),0,VLOOKUP(A56,'CloseDL - PriceSaverBBT3'!A:E,5,0))</f>
        <v>4.26241610967018E-2</v>
      </c>
      <c r="K56" s="7">
        <f t="shared" si="1"/>
        <v>0</v>
      </c>
      <c r="L56" s="20">
        <f>IF(Close[[#This Row],[CreatedBy]]="MARINER\SilverAdm",1,0)</f>
        <v>1</v>
      </c>
      <c r="M56" t="str">
        <f>IF(NOT(ISBLANK(A56)),VLOOKUP(A56,'Close - PriceSaver'!A:J,6,0),"")</f>
        <v>DL input prc = 91.65394979  PX_ASK = 91.72904989 PX_BID = 91.57884969</v>
      </c>
      <c r="Q56" t="e">
        <f t="shared" si="7"/>
        <v>#N/A</v>
      </c>
      <c r="R56" t="e">
        <f t="shared" si="2"/>
        <v>#N/A</v>
      </c>
      <c r="S56" t="e">
        <f t="shared" si="3"/>
        <v>#N/A</v>
      </c>
      <c r="T56" s="15" t="e">
        <f t="shared" si="9"/>
        <v>#N/A</v>
      </c>
      <c r="U56" s="18" t="e">
        <f t="shared" si="10"/>
        <v>#N/A</v>
      </c>
      <c r="V56" s="18" t="e">
        <f t="shared" si="11"/>
        <v>#N/A</v>
      </c>
      <c r="W56" s="19" t="e">
        <f t="shared" si="12"/>
        <v>#N/A</v>
      </c>
      <c r="X56" t="e">
        <f>VLOOKUP(P56,Close[[ID]:[CreatedBy]],8,0)</f>
        <v>#N/A</v>
      </c>
    </row>
    <row r="57" spans="1:24" x14ac:dyDescent="0.35">
      <c r="A57" t="str">
        <v>912803BV4</v>
      </c>
      <c r="B57" t="str">
        <f>IF(NOT(ISBLANK(A57)),VLOOKUP(A57,'BBT3'!A:F,2,0),"")</f>
        <v>Bond</v>
      </c>
      <c r="C57" t="str">
        <f>IF(NOT(ISBLANK(A57)),VLOOKUP(A57,'BBT3'!A:F,3,0),"")</f>
        <v>US912803BV49</v>
      </c>
      <c r="D57" s="5">
        <f>IF(NOT(ISBLANK(A57)),VLOOKUP(A57,'BBT3'!A:F,4,1),"")</f>
        <v>0</v>
      </c>
      <c r="E57">
        <f>IF(NOT(ISBLANK(A57)),VLOOKUP(A57,'BBT3'!A:F,5,0),"")</f>
        <v>47072</v>
      </c>
      <c r="F57" t="str">
        <f>IF(NOT(ISBLANK(A57)),VLOOKUP(A57,'BBT3'!A:F,6,0),"")</f>
        <v>N</v>
      </c>
      <c r="G57" t="str">
        <f t="shared" si="0"/>
        <v>Y</v>
      </c>
      <c r="H57">
        <f>IF(NOT(ISBLANK(A57)),VLOOKUP(A57,'Close - PriceSaver'!A:J,5,0),"")</f>
        <v>4.2579867540758702E-2</v>
      </c>
      <c r="I57" s="4" t="e" cm="1">
        <f t="array" ref="I57">IF(NOT(ISBLANK(A57)),((_xlfn.XLOOKUP(1,(_bbt3[[#All],[ID]]=A57)*(_bbt3[[#All],[METRIC_NAME]]="YLD_YTM_ASK"),_bbt3[[#All],[METRIC_VALUE]])*0.5)+(_xlfn.XLOOKUP(1,(_bbt3[[#All],[ID]]=A57)*(_bbt3[[#All],[METRIC_NAME]]="YLD_YTM_BID"),_bbt3[[#All],[METRIC_VALUE]])*0.5))/100,"")</f>
        <v>#N/A</v>
      </c>
      <c r="J57">
        <f>IF(ISNA(VLOOKUP(A57,'CloseDL - PriceSaverBBT3'!A:E,5,0)),0,VLOOKUP(A57,'CloseDL - PriceSaverBBT3'!A:E,5,0))</f>
        <v>4.2579867540758702E-2</v>
      </c>
      <c r="K57" s="7">
        <f t="shared" si="1"/>
        <v>0</v>
      </c>
      <c r="L57" s="20">
        <f>IF(Close[[#This Row],[CreatedBy]]="MARINER\SilverAdm",1,0)</f>
        <v>1</v>
      </c>
      <c r="M57" t="str">
        <f>IF(NOT(ISBLANK(A57)),VLOOKUP(A57,'Close - PriceSaver'!A:J,6,0),"")</f>
        <v>DL input prc = 90.70597886  PX_ASK = 90.76972299 PX_BID = 90.64223472</v>
      </c>
      <c r="Q57" t="e">
        <f t="shared" si="7"/>
        <v>#N/A</v>
      </c>
      <c r="R57" t="e">
        <f t="shared" si="2"/>
        <v>#N/A</v>
      </c>
      <c r="S57" t="e">
        <f t="shared" si="3"/>
        <v>#N/A</v>
      </c>
      <c r="T57" s="15" t="e">
        <f t="shared" si="9"/>
        <v>#N/A</v>
      </c>
      <c r="U57" s="18" t="e">
        <f t="shared" si="10"/>
        <v>#N/A</v>
      </c>
      <c r="V57" s="18" t="e">
        <f t="shared" si="11"/>
        <v>#N/A</v>
      </c>
      <c r="W57" s="19" t="e">
        <f t="shared" si="12"/>
        <v>#N/A</v>
      </c>
      <c r="X57" t="e">
        <f>VLOOKUP(P57,Close[[ID]:[CreatedBy]],8,0)</f>
        <v>#N/A</v>
      </c>
    </row>
    <row r="58" spans="1:24" x14ac:dyDescent="0.35">
      <c r="A58" t="str">
        <v>912803BW2</v>
      </c>
      <c r="B58" t="str">
        <f>IF(NOT(ISBLANK(A58)),VLOOKUP(A58,'BBT3'!A:F,2,0),"")</f>
        <v>Bond</v>
      </c>
      <c r="C58" t="str">
        <f>IF(NOT(ISBLANK(A58)),VLOOKUP(A58,'BBT3'!A:F,3,0),"")</f>
        <v>US912803BW22</v>
      </c>
      <c r="D58" s="5">
        <f>IF(NOT(ISBLANK(A58)),VLOOKUP(A58,'BBT3'!A:F,4,1),"")</f>
        <v>0</v>
      </c>
      <c r="E58">
        <f>IF(NOT(ISBLANK(A58)),VLOOKUP(A58,'BBT3'!A:F,5,0),"")</f>
        <v>47164</v>
      </c>
      <c r="F58" t="str">
        <f>IF(NOT(ISBLANK(A58)),VLOOKUP(A58,'BBT3'!A:F,6,0),"")</f>
        <v>N</v>
      </c>
      <c r="G58" t="str">
        <f t="shared" si="0"/>
        <v>Y</v>
      </c>
      <c r="H58">
        <f>IF(NOT(ISBLANK(A58)),VLOOKUP(A58,'Close - PriceSaver'!A:J,5,0),"")</f>
        <v>4.1744101148620399E-2</v>
      </c>
      <c r="I58" s="4" t="e" cm="1">
        <f t="array" ref="I58">IF(NOT(ISBLANK(A58)),((_xlfn.XLOOKUP(1,(_bbt3[[#All],[ID]]=A58)*(_bbt3[[#All],[METRIC_NAME]]="YLD_YTM_ASK"),_bbt3[[#All],[METRIC_VALUE]])*0.5)+(_xlfn.XLOOKUP(1,(_bbt3[[#All],[ID]]=A58)*(_bbt3[[#All],[METRIC_NAME]]="YLD_YTM_BID"),_bbt3[[#All],[METRIC_VALUE]])*0.5))/100,"")</f>
        <v>#N/A</v>
      </c>
      <c r="J58">
        <f>IF(ISNA(VLOOKUP(A58,'CloseDL - PriceSaverBBT3'!A:E,5,0)),0,VLOOKUP(A58,'CloseDL - PriceSaverBBT3'!A:E,5,0))</f>
        <v>4.1744101148620399E-2</v>
      </c>
      <c r="K58" s="7">
        <f t="shared" si="1"/>
        <v>0</v>
      </c>
      <c r="L58" s="20">
        <f>IF(Close[[#This Row],[CreatedBy]]="MARINER\SilverAdm",1,0)</f>
        <v>1</v>
      </c>
      <c r="M58" t="str">
        <f>IF(NOT(ISBLANK(A58)),VLOOKUP(A58,'Close - PriceSaver'!A:J,6,0),"")</f>
        <v>DL input prc = 89.94003579  PX_ASK = 90.01351627 PX_BID = 89.86655531</v>
      </c>
      <c r="Q58" t="e">
        <f t="shared" si="7"/>
        <v>#N/A</v>
      </c>
      <c r="R58" t="e">
        <f t="shared" si="2"/>
        <v>#N/A</v>
      </c>
      <c r="S58" t="e">
        <f t="shared" si="3"/>
        <v>#N/A</v>
      </c>
      <c r="T58" s="15" t="e">
        <f t="shared" si="9"/>
        <v>#N/A</v>
      </c>
      <c r="U58" s="18" t="e">
        <f t="shared" si="10"/>
        <v>#N/A</v>
      </c>
      <c r="V58" s="18" t="e">
        <f t="shared" si="11"/>
        <v>#N/A</v>
      </c>
      <c r="W58" s="19" t="e">
        <f t="shared" si="12"/>
        <v>#N/A</v>
      </c>
      <c r="X58" t="e">
        <f>VLOOKUP(P58,Close[[ID]:[CreatedBy]],8,0)</f>
        <v>#N/A</v>
      </c>
    </row>
    <row r="59" spans="1:24" x14ac:dyDescent="0.35">
      <c r="A59" t="str">
        <v>912803CG6</v>
      </c>
      <c r="B59" t="str">
        <f>IF(NOT(ISBLANK(A59)),VLOOKUP(A59,'BBT3'!A:F,2,0),"")</f>
        <v>Bond</v>
      </c>
      <c r="C59" t="str">
        <f>IF(NOT(ISBLANK(A59)),VLOOKUP(A59,'BBT3'!A:F,3,0),"")</f>
        <v>US912803CG62</v>
      </c>
      <c r="D59" s="5">
        <f>IF(NOT(ISBLANK(A59)),VLOOKUP(A59,'BBT3'!A:F,4,1),"")</f>
        <v>0</v>
      </c>
      <c r="E59">
        <f>IF(NOT(ISBLANK(A59)),VLOOKUP(A59,'BBT3'!A:F,5,0),"")</f>
        <v>47345</v>
      </c>
      <c r="F59" t="str">
        <f>IF(NOT(ISBLANK(A59)),VLOOKUP(A59,'BBT3'!A:F,6,0),"")</f>
        <v>N</v>
      </c>
      <c r="G59" t="str">
        <f t="shared" si="0"/>
        <v>Y</v>
      </c>
      <c r="H59">
        <f>IF(NOT(ISBLANK(A59)),VLOOKUP(A59,'Close - PriceSaver'!A:J,5,0),"")</f>
        <v>4.2934848073900599E-2</v>
      </c>
      <c r="I59" s="4" t="e" cm="1">
        <f t="array" ref="I59">IF(NOT(ISBLANK(A59)),((_xlfn.XLOOKUP(1,(_bbt3[[#All],[ID]]=A59)*(_bbt3[[#All],[METRIC_NAME]]="YLD_YTM_ASK"),_bbt3[[#All],[METRIC_VALUE]])*0.5)+(_xlfn.XLOOKUP(1,(_bbt3[[#All],[ID]]=A59)*(_bbt3[[#All],[METRIC_NAME]]="YLD_YTM_BID"),_bbt3[[#All],[METRIC_VALUE]])*0.5))/100,"")</f>
        <v>#N/A</v>
      </c>
      <c r="J59">
        <f>IF(ISNA(VLOOKUP(A59,'CloseDL - PriceSaverBBT3'!A:E,5,0)),0,VLOOKUP(A59,'CloseDL - PriceSaverBBT3'!A:E,5,0))</f>
        <v>4.2934848073900599E-2</v>
      </c>
      <c r="K59" s="7">
        <f t="shared" si="1"/>
        <v>0</v>
      </c>
      <c r="L59" s="20">
        <f>IF(Close[[#This Row],[CreatedBy]]="MARINER\SilverAdm",1,0)</f>
        <v>1</v>
      </c>
      <c r="M59" t="str">
        <f>IF(NOT(ISBLANK(A59)),VLOOKUP(A59,'Close - PriceSaver'!A:J,6,0),"")</f>
        <v>DL input prc = 87.78690409  PX_ASK = 87.86464354 PX_BID = 87.70916463</v>
      </c>
      <c r="Q59" t="e">
        <f t="shared" si="7"/>
        <v>#N/A</v>
      </c>
      <c r="R59" t="e">
        <f t="shared" si="2"/>
        <v>#N/A</v>
      </c>
      <c r="S59" t="e">
        <f t="shared" si="3"/>
        <v>#N/A</v>
      </c>
      <c r="T59" s="15" t="e">
        <f t="shared" si="9"/>
        <v>#N/A</v>
      </c>
      <c r="U59" s="18" t="e">
        <f t="shared" si="10"/>
        <v>#N/A</v>
      </c>
      <c r="V59" s="18" t="e">
        <f t="shared" si="11"/>
        <v>#N/A</v>
      </c>
      <c r="W59" s="19" t="e">
        <f t="shared" si="12"/>
        <v>#N/A</v>
      </c>
      <c r="X59" t="e">
        <f>VLOOKUP(P59,Close[[ID]:[CreatedBy]],8,0)</f>
        <v>#N/A</v>
      </c>
    </row>
    <row r="60" spans="1:24" x14ac:dyDescent="0.35">
      <c r="A60" t="str">
        <v>912803CH4</v>
      </c>
      <c r="B60" t="str">
        <f>IF(NOT(ISBLANK(A60)),VLOOKUP(A60,'BBT3'!A:F,2,0),"")</f>
        <v>Bond</v>
      </c>
      <c r="C60" t="str">
        <f>IF(NOT(ISBLANK(A60)),VLOOKUP(A60,'BBT3'!A:F,3,0),"")</f>
        <v>US912803CH46</v>
      </c>
      <c r="D60" s="5">
        <f>IF(NOT(ISBLANK(A60)),VLOOKUP(A60,'BBT3'!A:F,4,1),"")</f>
        <v>0</v>
      </c>
      <c r="E60">
        <f>IF(NOT(ISBLANK(A60)),VLOOKUP(A60,'BBT3'!A:F,5,0),"")</f>
        <v>47618</v>
      </c>
      <c r="F60" t="str">
        <f>IF(NOT(ISBLANK(A60)),VLOOKUP(A60,'BBT3'!A:F,6,0),"")</f>
        <v>N</v>
      </c>
      <c r="G60" t="str">
        <f t="shared" si="0"/>
        <v>Y</v>
      </c>
      <c r="H60">
        <f>IF(NOT(ISBLANK(A60)),VLOOKUP(A60,'Close - PriceSaver'!A:J,5,0),"")</f>
        <v>4.3259916029601497E-2</v>
      </c>
      <c r="I60" s="4" t="e" cm="1">
        <f t="array" ref="I60">IF(NOT(ISBLANK(A60)),((_xlfn.XLOOKUP(1,(_bbt3[[#All],[ID]]=A60)*(_bbt3[[#All],[METRIC_NAME]]="YLD_YTM_ASK"),_bbt3[[#All],[METRIC_VALUE]])*0.5)+(_xlfn.XLOOKUP(1,(_bbt3[[#All],[ID]]=A60)*(_bbt3[[#All],[METRIC_NAME]]="YLD_YTM_BID"),_bbt3[[#All],[METRIC_VALUE]])*0.5))/100,"")</f>
        <v>#N/A</v>
      </c>
      <c r="J60">
        <f>IF(ISNA(VLOOKUP(A60,'CloseDL - PriceSaverBBT3'!A:E,5,0)),0,VLOOKUP(A60,'CloseDL - PriceSaverBBT3'!A:E,5,0))</f>
        <v>4.3259916029601497E-2</v>
      </c>
      <c r="K60" s="7">
        <f t="shared" si="1"/>
        <v>0</v>
      </c>
      <c r="L60" s="20">
        <f>IF(Close[[#This Row],[CreatedBy]]="MARINER\SilverAdm",1,0)</f>
        <v>1</v>
      </c>
      <c r="M60" t="str">
        <f>IF(NOT(ISBLANK(A60)),VLOOKUP(A60,'Close - PriceSaver'!A:J,6,0),"")</f>
        <v>DL input prc = 84.94592873  PX_ASK = 85.03951185 PX_BID = 84.85234561</v>
      </c>
      <c r="Q60" t="e">
        <f t="shared" si="7"/>
        <v>#N/A</v>
      </c>
      <c r="R60" t="e">
        <f t="shared" si="2"/>
        <v>#N/A</v>
      </c>
      <c r="S60" t="e">
        <f t="shared" si="3"/>
        <v>#N/A</v>
      </c>
      <c r="T60" s="15" t="e">
        <f t="shared" si="9"/>
        <v>#N/A</v>
      </c>
      <c r="U60" s="18" t="e">
        <f t="shared" si="10"/>
        <v>#N/A</v>
      </c>
      <c r="V60" s="18" t="e">
        <f t="shared" si="11"/>
        <v>#N/A</v>
      </c>
      <c r="W60" s="19" t="e">
        <f t="shared" si="12"/>
        <v>#N/A</v>
      </c>
      <c r="X60" t="e">
        <f>VLOOKUP(P60,Close[[ID]:[CreatedBy]],8,0)</f>
        <v>#N/A</v>
      </c>
    </row>
    <row r="61" spans="1:24" x14ac:dyDescent="0.35">
      <c r="A61" t="str">
        <v>912803CK7</v>
      </c>
      <c r="B61" t="str">
        <f>IF(NOT(ISBLANK(A61)),VLOOKUP(A61,'BBT3'!A:F,2,0),"")</f>
        <v>Bond</v>
      </c>
      <c r="C61" t="str">
        <f>IF(NOT(ISBLANK(A61)),VLOOKUP(A61,'BBT3'!A:F,3,0),"")</f>
        <v>US912803CK74</v>
      </c>
      <c r="D61" s="5">
        <f>IF(NOT(ISBLANK(A61)),VLOOKUP(A61,'BBT3'!A:F,4,1),"")</f>
        <v>0</v>
      </c>
      <c r="E61">
        <f>IF(NOT(ISBLANK(A61)),VLOOKUP(A61,'BBT3'!A:F,5,0),"")</f>
        <v>47894</v>
      </c>
      <c r="F61" t="str">
        <f>IF(NOT(ISBLANK(A61)),VLOOKUP(A61,'BBT3'!A:F,6,0),"")</f>
        <v>N</v>
      </c>
      <c r="G61" t="str">
        <f t="shared" si="0"/>
        <v>Y</v>
      </c>
      <c r="H61">
        <f>IF(NOT(ISBLANK(A61)),VLOOKUP(A61,'Close - PriceSaver'!A:J,5,0),"")</f>
        <v>4.3284704871232801E-2</v>
      </c>
      <c r="I61" s="4" t="e" cm="1">
        <f t="array" ref="I61">IF(NOT(ISBLANK(A61)),((_xlfn.XLOOKUP(1,(_bbt3[[#All],[ID]]=A61)*(_bbt3[[#All],[METRIC_NAME]]="YLD_YTM_ASK"),_bbt3[[#All],[METRIC_VALUE]])*0.5)+(_xlfn.XLOOKUP(1,(_bbt3[[#All],[ID]]=A61)*(_bbt3[[#All],[METRIC_NAME]]="YLD_YTM_BID"),_bbt3[[#All],[METRIC_VALUE]])*0.5))/100,"")</f>
        <v>#N/A</v>
      </c>
      <c r="J61">
        <f>IF(ISNA(VLOOKUP(A61,'CloseDL - PriceSaverBBT3'!A:E,5,0)),0,VLOOKUP(A61,'CloseDL - PriceSaverBBT3'!A:E,5,0))</f>
        <v>4.3284704871232801E-2</v>
      </c>
      <c r="K61" s="7">
        <f t="shared" si="1"/>
        <v>0</v>
      </c>
      <c r="L61" s="20">
        <f>IF(Close[[#This Row],[CreatedBy]]="MARINER\SilverAdm",1,0)</f>
        <v>1</v>
      </c>
      <c r="M61" t="str">
        <f>IF(NOT(ISBLANK(A61)),VLOOKUP(A61,'Close - PriceSaver'!A:J,6,0),"")</f>
        <v>DL input prc = 82.23884505  PX_ASK = 82.36565726 PX_BID = 82.11203283</v>
      </c>
      <c r="Q61" t="e">
        <f t="shared" si="7"/>
        <v>#N/A</v>
      </c>
      <c r="R61" t="e">
        <f t="shared" si="2"/>
        <v>#N/A</v>
      </c>
      <c r="S61" t="e">
        <f t="shared" si="3"/>
        <v>#N/A</v>
      </c>
      <c r="T61" s="15" t="e">
        <f t="shared" si="9"/>
        <v>#N/A</v>
      </c>
      <c r="U61" s="18" t="e">
        <f t="shared" si="10"/>
        <v>#N/A</v>
      </c>
      <c r="V61" s="18" t="e">
        <f t="shared" si="11"/>
        <v>#N/A</v>
      </c>
      <c r="W61" s="19" t="e">
        <f t="shared" si="12"/>
        <v>#N/A</v>
      </c>
      <c r="X61" t="e">
        <f>VLOOKUP(P61,Close[[ID]:[CreatedBy]],8,0)</f>
        <v>#N/A</v>
      </c>
    </row>
    <row r="62" spans="1:24" x14ac:dyDescent="0.35">
      <c r="A62" t="str">
        <v>912803CX9</v>
      </c>
      <c r="B62" t="str">
        <f>IF(NOT(ISBLANK(A62)),VLOOKUP(A62,'BBT3'!A:F,2,0),"")</f>
        <v>Bond</v>
      </c>
      <c r="C62" t="str">
        <f>IF(NOT(ISBLANK(A62)),VLOOKUP(A62,'BBT3'!A:F,3,0),"")</f>
        <v>US912803CX95</v>
      </c>
      <c r="D62" s="5">
        <f>IF(NOT(ISBLANK(A62)),VLOOKUP(A62,'BBT3'!A:F,4,1),"")</f>
        <v>0</v>
      </c>
      <c r="E62">
        <f>IF(NOT(ISBLANK(A62)),VLOOKUP(A62,'BBT3'!A:F,5,0),"")</f>
        <v>49720</v>
      </c>
      <c r="F62" t="str">
        <f>IF(NOT(ISBLANK(A62)),VLOOKUP(A62,'BBT3'!A:F,6,0),"")</f>
        <v>N</v>
      </c>
      <c r="G62" t="str">
        <f t="shared" si="0"/>
        <v>Y</v>
      </c>
      <c r="H62">
        <f>IF(NOT(ISBLANK(A62)),VLOOKUP(A62,'Close - PriceSaver'!A:J,5,0),"")</f>
        <v>4.5149889254161302E-2</v>
      </c>
      <c r="I62" s="4" t="e" cm="1">
        <f t="array" ref="I62">IF(NOT(ISBLANK(A62)),((_xlfn.XLOOKUP(1,(_bbt3[[#All],[ID]]=A62)*(_bbt3[[#All],[METRIC_NAME]]="YLD_YTM_ASK"),_bbt3[[#All],[METRIC_VALUE]])*0.5)+(_xlfn.XLOOKUP(1,(_bbt3[[#All],[ID]]=A62)*(_bbt3[[#All],[METRIC_NAME]]="YLD_YTM_BID"),_bbt3[[#All],[METRIC_VALUE]])*0.5))/100,"")</f>
        <v>#N/A</v>
      </c>
      <c r="J62">
        <f>IF(ISNA(VLOOKUP(A62,'CloseDL - PriceSaverBBT3'!A:E,5,0)),0,VLOOKUP(A62,'CloseDL - PriceSaverBBT3'!A:E,5,0))</f>
        <v>4.5149889254161302E-2</v>
      </c>
      <c r="K62" s="7">
        <f t="shared" si="1"/>
        <v>0</v>
      </c>
      <c r="L62" s="20">
        <f>IF(Close[[#This Row],[CreatedBy]]="MARINER\SilverAdm",1,0)</f>
        <v>1</v>
      </c>
      <c r="M62" t="str">
        <f>IF(NOT(ISBLANK(A62)),VLOOKUP(A62,'Close - PriceSaver'!A:J,6,0),"")</f>
        <v>DL input prc = 65.23890398  PX_ASK = 65.33045146 PX_BID = 65.14735650</v>
      </c>
      <c r="Q62" t="e">
        <f t="shared" si="7"/>
        <v>#N/A</v>
      </c>
      <c r="R62" t="e">
        <f t="shared" si="2"/>
        <v>#N/A</v>
      </c>
      <c r="S62" t="e">
        <f t="shared" si="3"/>
        <v>#N/A</v>
      </c>
      <c r="T62" s="15" t="e">
        <f t="shared" si="9"/>
        <v>#N/A</v>
      </c>
      <c r="U62" s="18" t="e">
        <f t="shared" si="10"/>
        <v>#N/A</v>
      </c>
      <c r="V62" s="18" t="e">
        <f t="shared" si="11"/>
        <v>#N/A</v>
      </c>
      <c r="W62" s="19" t="e">
        <f t="shared" si="12"/>
        <v>#N/A</v>
      </c>
      <c r="X62" t="e">
        <f>VLOOKUP(P62,Close[[ID]:[CreatedBy]],8,0)</f>
        <v>#N/A</v>
      </c>
    </row>
    <row r="63" spans="1:24" x14ac:dyDescent="0.35">
      <c r="A63" t="str">
        <v>912803CZ4</v>
      </c>
      <c r="B63" t="str">
        <f>IF(NOT(ISBLANK(A63)),VLOOKUP(A63,'BBT3'!A:F,2,0),"")</f>
        <v>Bond</v>
      </c>
      <c r="C63" t="str">
        <f>IF(NOT(ISBLANK(A63)),VLOOKUP(A63,'BBT3'!A:F,3,0),"")</f>
        <v>US912803CZ44</v>
      </c>
      <c r="D63" s="5">
        <f>IF(NOT(ISBLANK(A63)),VLOOKUP(A63,'BBT3'!A:F,4,1),"")</f>
        <v>0</v>
      </c>
      <c r="E63">
        <f>IF(NOT(ISBLANK(A63)),VLOOKUP(A63,'BBT3'!A:F,5,0),"")</f>
        <v>50086</v>
      </c>
      <c r="F63" t="str">
        <f>IF(NOT(ISBLANK(A63)),VLOOKUP(A63,'BBT3'!A:F,6,0),"")</f>
        <v>N</v>
      </c>
      <c r="G63" t="str">
        <f t="shared" si="0"/>
        <v>Y</v>
      </c>
      <c r="H63">
        <f>IF(NOT(ISBLANK(A63)),VLOOKUP(A63,'Close - PriceSaver'!A:J,5,0),"")</f>
        <v>4.6094886292023102E-2</v>
      </c>
      <c r="I63" s="4" t="e" cm="1">
        <f t="array" ref="I63">IF(NOT(ISBLANK(A63)),((_xlfn.XLOOKUP(1,(_bbt3[[#All],[ID]]=A63)*(_bbt3[[#All],[METRIC_NAME]]="YLD_YTM_ASK"),_bbt3[[#All],[METRIC_VALUE]])*0.5)+(_xlfn.XLOOKUP(1,(_bbt3[[#All],[ID]]=A63)*(_bbt3[[#All],[METRIC_NAME]]="YLD_YTM_BID"),_bbt3[[#All],[METRIC_VALUE]])*0.5))/100,"")</f>
        <v>#N/A</v>
      </c>
      <c r="J63">
        <f>IF(ISNA(VLOOKUP(A63,'CloseDL - PriceSaverBBT3'!A:E,5,0)),0,VLOOKUP(A63,'CloseDL - PriceSaverBBT3'!A:E,5,0))</f>
        <v>4.6094886292023102E-2</v>
      </c>
      <c r="K63" s="7">
        <f t="shared" si="1"/>
        <v>0</v>
      </c>
      <c r="L63" s="20">
        <f>IF(Close[[#This Row],[CreatedBy]]="MARINER\SilverAdm",1,0)</f>
        <v>1</v>
      </c>
      <c r="M63" t="str">
        <f>IF(NOT(ISBLANK(A63)),VLOOKUP(A63,'Close - PriceSaver'!A:J,6,0),"")</f>
        <v>DL input prc = 61.78408124  PX_ASK = 61.87660885 PX_BID = 61.69155363</v>
      </c>
      <c r="Q63" t="e">
        <f t="shared" si="7"/>
        <v>#N/A</v>
      </c>
      <c r="R63" t="e">
        <f t="shared" si="2"/>
        <v>#N/A</v>
      </c>
      <c r="S63" t="e">
        <f t="shared" si="3"/>
        <v>#N/A</v>
      </c>
      <c r="T63" s="15" t="e">
        <f t="shared" si="9"/>
        <v>#N/A</v>
      </c>
      <c r="U63" s="18" t="e">
        <f t="shared" si="10"/>
        <v>#N/A</v>
      </c>
      <c r="V63" s="18" t="e">
        <f t="shared" si="11"/>
        <v>#N/A</v>
      </c>
      <c r="W63" s="19" t="e">
        <f t="shared" si="12"/>
        <v>#N/A</v>
      </c>
      <c r="X63" t="e">
        <f>VLOOKUP(P63,Close[[ID]:[CreatedBy]],8,0)</f>
        <v>#N/A</v>
      </c>
    </row>
    <row r="64" spans="1:24" x14ac:dyDescent="0.35">
      <c r="A64" t="str">
        <v>912803DA8</v>
      </c>
      <c r="B64" t="str">
        <f>IF(NOT(ISBLANK(A64)),VLOOKUP(A64,'BBT3'!A:F,2,0),"")</f>
        <v>Bond</v>
      </c>
      <c r="C64" t="str">
        <f>IF(NOT(ISBLANK(A64)),VLOOKUP(A64,'BBT3'!A:F,3,0),"")</f>
        <v>US912803DA83</v>
      </c>
      <c r="D64" s="5">
        <f>IF(NOT(ISBLANK(A64)),VLOOKUP(A64,'BBT3'!A:F,4,1),"")</f>
        <v>0</v>
      </c>
      <c r="E64">
        <f>IF(NOT(ISBLANK(A64)),VLOOKUP(A64,'BBT3'!A:F,5,0),"")</f>
        <v>50175</v>
      </c>
      <c r="F64" t="str">
        <f>IF(NOT(ISBLANK(A64)),VLOOKUP(A64,'BBT3'!A:F,6,0),"")</f>
        <v>N</v>
      </c>
      <c r="G64" t="str">
        <f t="shared" si="0"/>
        <v>Y</v>
      </c>
      <c r="H64">
        <f>IF(NOT(ISBLANK(A64)),VLOOKUP(A64,'Close - PriceSaver'!A:J,5,0),"")</f>
        <v>4.60931085894149E-2</v>
      </c>
      <c r="I64" s="4" t="e" cm="1">
        <f t="array" ref="I64">IF(NOT(ISBLANK(A64)),((_xlfn.XLOOKUP(1,(_bbt3[[#All],[ID]]=A64)*(_bbt3[[#All],[METRIC_NAME]]="YLD_YTM_ASK"),_bbt3[[#All],[METRIC_VALUE]])*0.5)+(_xlfn.XLOOKUP(1,(_bbt3[[#All],[ID]]=A64)*(_bbt3[[#All],[METRIC_NAME]]="YLD_YTM_BID"),_bbt3[[#All],[METRIC_VALUE]])*0.5))/100,"")</f>
        <v>#N/A</v>
      </c>
      <c r="J64">
        <f>IF(ISNA(VLOOKUP(A64,'CloseDL - PriceSaverBBT3'!A:E,5,0)),0,VLOOKUP(A64,'CloseDL - PriceSaverBBT3'!A:E,5,0))</f>
        <v>4.60931085894149E-2</v>
      </c>
      <c r="K64" s="7">
        <f t="shared" si="1"/>
        <v>0</v>
      </c>
      <c r="L64" s="20">
        <f>IF(Close[[#This Row],[CreatedBy]]="MARINER\SilverAdm",1,0)</f>
        <v>1</v>
      </c>
      <c r="M64" t="str">
        <f>IF(NOT(ISBLANK(A64)),VLOOKUP(A64,'Close - PriceSaver'!A:J,6,0),"")</f>
        <v>DL input prc = 61.09685769  PX_ASK = 61.18082391 PX_BID = 61.01289147</v>
      </c>
      <c r="Q64" t="e">
        <f t="shared" si="7"/>
        <v>#N/A</v>
      </c>
      <c r="R64" t="e">
        <f t="shared" si="2"/>
        <v>#N/A</v>
      </c>
      <c r="S64" t="e">
        <f t="shared" si="3"/>
        <v>#N/A</v>
      </c>
      <c r="T64" s="15" t="e">
        <f t="shared" si="9"/>
        <v>#N/A</v>
      </c>
      <c r="U64" s="18" t="e">
        <f t="shared" si="10"/>
        <v>#N/A</v>
      </c>
      <c r="V64" s="18" t="e">
        <f t="shared" si="11"/>
        <v>#N/A</v>
      </c>
      <c r="W64" s="19" t="e">
        <f t="shared" si="12"/>
        <v>#N/A</v>
      </c>
      <c r="X64" t="e">
        <f>VLOOKUP(P64,Close[[ID]:[CreatedBy]],8,0)</f>
        <v>#N/A</v>
      </c>
    </row>
    <row r="65" spans="1:24" x14ac:dyDescent="0.35">
      <c r="A65" t="str">
        <v>912803DC4</v>
      </c>
      <c r="B65" t="str">
        <f>IF(NOT(ISBLANK(A65)),VLOOKUP(A65,'BBT3'!A:F,2,0),"")</f>
        <v>Bond</v>
      </c>
      <c r="C65" t="str">
        <f>IF(NOT(ISBLANK(A65)),VLOOKUP(A65,'BBT3'!A:F,3,0),"")</f>
        <v>US912803DC40</v>
      </c>
      <c r="D65" s="5">
        <f>IF(NOT(ISBLANK(A65)),VLOOKUP(A65,'BBT3'!A:F,4,1),"")</f>
        <v>0</v>
      </c>
      <c r="E65">
        <f>IF(NOT(ISBLANK(A65)),VLOOKUP(A65,'BBT3'!A:F,5,0),"")</f>
        <v>50451</v>
      </c>
      <c r="F65" t="str">
        <f>IF(NOT(ISBLANK(A65)),VLOOKUP(A65,'BBT3'!A:F,6,0),"")</f>
        <v>N</v>
      </c>
      <c r="G65" t="str">
        <f t="shared" si="0"/>
        <v>Y</v>
      </c>
      <c r="H65">
        <f>IF(NOT(ISBLANK(A65)),VLOOKUP(A65,'Close - PriceSaver'!A:J,5,0),"")</f>
        <v>4.6639884445635597E-2</v>
      </c>
      <c r="I65" s="4" t="e" cm="1">
        <f t="array" ref="I65">IF(NOT(ISBLANK(A65)),((_xlfn.XLOOKUP(1,(_bbt3[[#All],[ID]]=A65)*(_bbt3[[#All],[METRIC_NAME]]="YLD_YTM_ASK"),_bbt3[[#All],[METRIC_VALUE]])*0.5)+(_xlfn.XLOOKUP(1,(_bbt3[[#All],[ID]]=A65)*(_bbt3[[#All],[METRIC_NAME]]="YLD_YTM_BID"),_bbt3[[#All],[METRIC_VALUE]])*0.5))/100,"")</f>
        <v>#N/A</v>
      </c>
      <c r="J65">
        <f>IF(ISNA(VLOOKUP(A65,'CloseDL - PriceSaverBBT3'!A:E,5,0)),0,VLOOKUP(A65,'CloseDL - PriceSaverBBT3'!A:E,5,0))</f>
        <v>4.6639884445635597E-2</v>
      </c>
      <c r="K65" s="7">
        <f t="shared" si="1"/>
        <v>0</v>
      </c>
      <c r="L65" s="20">
        <f>IF(Close[[#This Row],[CreatedBy]]="MARINER\SilverAdm",1,0)</f>
        <v>1</v>
      </c>
      <c r="M65" t="str">
        <f>IF(NOT(ISBLANK(A65)),VLOOKUP(A65,'Close - PriceSaver'!A:J,6,0),"")</f>
        <v>DL input prc = 58.66910335  PX_ASK = 58.76194012 PX_BID = 58.57626657</v>
      </c>
      <c r="Q65" t="e">
        <f t="shared" si="7"/>
        <v>#N/A</v>
      </c>
      <c r="R65" t="e">
        <f t="shared" si="2"/>
        <v>#N/A</v>
      </c>
      <c r="S65" t="e">
        <f t="shared" si="3"/>
        <v>#N/A</v>
      </c>
      <c r="T65" s="15" t="e">
        <f t="shared" si="9"/>
        <v>#N/A</v>
      </c>
      <c r="U65" s="18" t="e">
        <f t="shared" si="10"/>
        <v>#N/A</v>
      </c>
      <c r="V65" s="18" t="e">
        <f t="shared" si="11"/>
        <v>#N/A</v>
      </c>
      <c r="W65" s="19" t="e">
        <f t="shared" si="12"/>
        <v>#N/A</v>
      </c>
      <c r="X65" t="e">
        <f>VLOOKUP(P65,Close[[ID]:[CreatedBy]],8,0)</f>
        <v>#N/A</v>
      </c>
    </row>
    <row r="66" spans="1:24" x14ac:dyDescent="0.35">
      <c r="A66" t="str">
        <v>912803DD2</v>
      </c>
      <c r="B66" t="str">
        <f>IF(NOT(ISBLANK(A66)),VLOOKUP(A66,'BBT3'!A:F,2,0),"")</f>
        <v>Bond</v>
      </c>
      <c r="C66" t="str">
        <f>IF(NOT(ISBLANK(A66)),VLOOKUP(A66,'BBT3'!A:F,3,0),"")</f>
        <v>US912803DD23</v>
      </c>
      <c r="D66" s="5">
        <f>IF(NOT(ISBLANK(A66)),VLOOKUP(A66,'BBT3'!A:F,4,1),"")</f>
        <v>0</v>
      </c>
      <c r="E66">
        <f>IF(NOT(ISBLANK(A66)),VLOOKUP(A66,'BBT3'!A:F,5,0),"")</f>
        <v>50540</v>
      </c>
      <c r="F66" t="str">
        <f>IF(NOT(ISBLANK(A66)),VLOOKUP(A66,'BBT3'!A:F,6,0),"")</f>
        <v>N</v>
      </c>
      <c r="G66" t="str">
        <f t="shared" si="0"/>
        <v>Y</v>
      </c>
      <c r="H66">
        <f>IF(NOT(ISBLANK(A66)),VLOOKUP(A66,'Close - PriceSaver'!A:J,5,0),"")</f>
        <v>4.70222293950898E-2</v>
      </c>
      <c r="I66" s="4" t="e" cm="1">
        <f t="array" ref="I66">IF(NOT(ISBLANK(A66)),((_xlfn.XLOOKUP(1,(_bbt3[[#All],[ID]]=A66)*(_bbt3[[#All],[METRIC_NAME]]="YLD_YTM_ASK"),_bbt3[[#All],[METRIC_VALUE]])*0.5)+(_xlfn.XLOOKUP(1,(_bbt3[[#All],[ID]]=A66)*(_bbt3[[#All],[METRIC_NAME]]="YLD_YTM_BID"),_bbt3[[#All],[METRIC_VALUE]])*0.5))/100,"")</f>
        <v>#N/A</v>
      </c>
      <c r="J66">
        <f>IF(ISNA(VLOOKUP(A66,'CloseDL - PriceSaverBBT3'!A:E,5,0)),0,VLOOKUP(A66,'CloseDL - PriceSaverBBT3'!A:E,5,0))</f>
        <v>4.70222293950898E-2</v>
      </c>
      <c r="K66" s="7">
        <f t="shared" si="1"/>
        <v>0</v>
      </c>
      <c r="L66" s="20">
        <f>IF(Close[[#This Row],[CreatedBy]]="MARINER\SilverAdm",1,0)</f>
        <v>1</v>
      </c>
      <c r="M66" t="str">
        <f>IF(NOT(ISBLANK(A66)),VLOOKUP(A66,'Close - PriceSaver'!A:J,6,0),"")</f>
        <v>DL input prc = 57.75241699  PX_ASK = 57.83908622 PX_BID = 57.66574776</v>
      </c>
      <c r="Q66" t="e">
        <f t="shared" si="7"/>
        <v>#N/A</v>
      </c>
      <c r="R66" t="e">
        <f t="shared" si="2"/>
        <v>#N/A</v>
      </c>
      <c r="S66" t="e">
        <f t="shared" si="3"/>
        <v>#N/A</v>
      </c>
      <c r="T66" s="15" t="e">
        <f t="shared" si="9"/>
        <v>#N/A</v>
      </c>
      <c r="U66" s="18" t="e">
        <f t="shared" si="10"/>
        <v>#N/A</v>
      </c>
      <c r="V66" s="18" t="e">
        <f t="shared" si="11"/>
        <v>#N/A</v>
      </c>
      <c r="W66" s="19" t="e">
        <f t="shared" si="12"/>
        <v>#N/A</v>
      </c>
      <c r="X66" t="e">
        <f>VLOOKUP(P66,Close[[ID]:[CreatedBy]],8,0)</f>
        <v>#N/A</v>
      </c>
    </row>
    <row r="67" spans="1:24" x14ac:dyDescent="0.35">
      <c r="A67" t="str">
        <v>912803DF7</v>
      </c>
      <c r="B67" t="str">
        <f>IF(NOT(ISBLANK(A67)),VLOOKUP(A67,'BBT3'!A:F,2,0),"")</f>
        <v>Bond</v>
      </c>
      <c r="C67" t="str">
        <f>IF(NOT(ISBLANK(A67)),VLOOKUP(A67,'BBT3'!A:F,3,0),"")</f>
        <v>US912803DF70</v>
      </c>
      <c r="D67" s="5">
        <f>IF(NOT(ISBLANK(A67)),VLOOKUP(A67,'BBT3'!A:F,4,1),"")</f>
        <v>0</v>
      </c>
      <c r="E67">
        <f>IF(NOT(ISBLANK(A67)),VLOOKUP(A67,'BBT3'!A:F,5,0),"")</f>
        <v>50816</v>
      </c>
      <c r="F67" t="str">
        <f>IF(NOT(ISBLANK(A67)),VLOOKUP(A67,'BBT3'!A:F,6,0),"")</f>
        <v>N</v>
      </c>
      <c r="G67" t="str">
        <f t="shared" ref="G67:G130" si="13">IF(NOT(ISBLANK(A67)),IF(D67=0,"Y","N"),"")</f>
        <v>Y</v>
      </c>
      <c r="H67">
        <f>IF(NOT(ISBLANK(A67)),VLOOKUP(A67,'Close - PriceSaver'!A:J,5,0),"")</f>
        <v>4.7709546122179203E-2</v>
      </c>
      <c r="I67" s="4" t="e" cm="1">
        <f t="array" ref="I67">IF(NOT(ISBLANK(A67)),((_xlfn.XLOOKUP(1,(_bbt3[[#All],[ID]]=A67)*(_bbt3[[#All],[METRIC_NAME]]="YLD_YTM_ASK"),_bbt3[[#All],[METRIC_VALUE]])*0.5)+(_xlfn.XLOOKUP(1,(_bbt3[[#All],[ID]]=A67)*(_bbt3[[#All],[METRIC_NAME]]="YLD_YTM_BID"),_bbt3[[#All],[METRIC_VALUE]])*0.5))/100,"")</f>
        <v>#N/A</v>
      </c>
      <c r="J67">
        <f>IF(ISNA(VLOOKUP(A67,'CloseDL - PriceSaverBBT3'!A:E,5,0)),0,VLOOKUP(A67,'CloseDL - PriceSaverBBT3'!A:E,5,0))</f>
        <v>4.7709546122179203E-2</v>
      </c>
      <c r="K67" s="7">
        <f t="shared" ref="K67:K130" si="14">IF(ISNA(IF(NOT(ISBLANK(A67)),ABS(H67-J67),"")),0,(IF(NOT(ISBLANK(A67)),ABS(H67-J67)*10000,"")))</f>
        <v>0</v>
      </c>
      <c r="L67" s="20">
        <f>IF(Close[[#This Row],[CreatedBy]]="MARINER\SilverAdm",1,0)</f>
        <v>1</v>
      </c>
      <c r="M67" t="str">
        <f>IF(NOT(ISBLANK(A67)),VLOOKUP(A67,'Close - PriceSaver'!A:J,6,0),"")</f>
        <v>DL input prc = 55.29445754  PX_ASK = 55.38268291 PX_BID = 55.20623217</v>
      </c>
      <c r="Q67" t="e">
        <f t="shared" si="7"/>
        <v>#N/A</v>
      </c>
      <c r="R67" t="e">
        <f t="shared" si="2"/>
        <v>#N/A</v>
      </c>
      <c r="S67" t="e">
        <f t="shared" si="3"/>
        <v>#N/A</v>
      </c>
      <c r="T67" s="15" t="e">
        <f t="shared" si="9"/>
        <v>#N/A</v>
      </c>
      <c r="U67" s="18" t="e">
        <f t="shared" si="10"/>
        <v>#N/A</v>
      </c>
      <c r="V67" s="18" t="e">
        <f t="shared" si="11"/>
        <v>#N/A</v>
      </c>
      <c r="W67" s="19" t="e">
        <f t="shared" si="12"/>
        <v>#N/A</v>
      </c>
      <c r="X67" t="e">
        <f>VLOOKUP(P67,Close[[ID]:[CreatedBy]],8,0)</f>
        <v>#N/A</v>
      </c>
    </row>
    <row r="68" spans="1:24" x14ac:dyDescent="0.35">
      <c r="A68" t="str">
        <v>912803DG5</v>
      </c>
      <c r="B68" t="str">
        <f>IF(NOT(ISBLANK(A68)),VLOOKUP(A68,'BBT3'!A:F,2,0),"")</f>
        <v>Bond</v>
      </c>
      <c r="C68" t="str">
        <f>IF(NOT(ISBLANK(A68)),VLOOKUP(A68,'BBT3'!A:F,3,0),"")</f>
        <v>US912803DG53</v>
      </c>
      <c r="D68" s="5">
        <f>IF(NOT(ISBLANK(A68)),VLOOKUP(A68,'BBT3'!A:F,4,1),"")</f>
        <v>0</v>
      </c>
      <c r="E68">
        <f>IF(NOT(ISBLANK(A68)),VLOOKUP(A68,'BBT3'!A:F,5,0),"")</f>
        <v>50905</v>
      </c>
      <c r="F68" t="str">
        <f>IF(NOT(ISBLANK(A68)),VLOOKUP(A68,'BBT3'!A:F,6,0),"")</f>
        <v>N</v>
      </c>
      <c r="G68" t="str">
        <f t="shared" si="13"/>
        <v>Y</v>
      </c>
      <c r="H68">
        <f>IF(NOT(ISBLANK(A68)),VLOOKUP(A68,'Close - PriceSaver'!A:J,5,0),"")</f>
        <v>4.8404898435444502E-2</v>
      </c>
      <c r="I68" s="4" t="e" cm="1">
        <f t="array" ref="I68">IF(NOT(ISBLANK(A68)),((_xlfn.XLOOKUP(1,(_bbt3[[#All],[ID]]=A68)*(_bbt3[[#All],[METRIC_NAME]]="YLD_YTM_ASK"),_bbt3[[#All],[METRIC_VALUE]])*0.5)+(_xlfn.XLOOKUP(1,(_bbt3[[#All],[ID]]=A68)*(_bbt3[[#All],[METRIC_NAME]]="YLD_YTM_BID"),_bbt3[[#All],[METRIC_VALUE]])*0.5))/100,"")</f>
        <v>#N/A</v>
      </c>
      <c r="J68">
        <f>IF(ISNA(VLOOKUP(A68,'CloseDL - PriceSaverBBT3'!A:E,5,0)),0,VLOOKUP(A68,'CloseDL - PriceSaverBBT3'!A:E,5,0))</f>
        <v>4.8404898435444502E-2</v>
      </c>
      <c r="K68" s="7">
        <f t="shared" si="14"/>
        <v>0</v>
      </c>
      <c r="L68" s="20">
        <f>IF(Close[[#This Row],[CreatedBy]]="MARINER\SilverAdm",1,0)</f>
        <v>1</v>
      </c>
      <c r="M68" t="str">
        <f>IF(NOT(ISBLANK(A68)),VLOOKUP(A68,'Close - PriceSaver'!A:J,6,0),"")</f>
        <v>DL input prc = 54.17602951  PX_ASK = 54.26076336 PX_BID = 54.09129565</v>
      </c>
      <c r="Q68" t="e">
        <f t="shared" si="7"/>
        <v>#N/A</v>
      </c>
      <c r="R68" t="e">
        <f t="shared" si="2"/>
        <v>#N/A</v>
      </c>
      <c r="S68" t="e">
        <f t="shared" si="3"/>
        <v>#N/A</v>
      </c>
      <c r="T68" s="15" t="e">
        <f t="shared" si="9"/>
        <v>#N/A</v>
      </c>
      <c r="U68" s="18" t="e">
        <f t="shared" si="10"/>
        <v>#N/A</v>
      </c>
      <c r="V68" s="18" t="e">
        <f t="shared" si="11"/>
        <v>#N/A</v>
      </c>
      <c r="W68" s="19" t="e">
        <f t="shared" si="12"/>
        <v>#N/A</v>
      </c>
      <c r="X68" t="e">
        <f>VLOOKUP(P68,Close[[ID]:[CreatedBy]],8,0)</f>
        <v>#N/A</v>
      </c>
    </row>
    <row r="69" spans="1:24" x14ac:dyDescent="0.35">
      <c r="A69" t="str">
        <v>912803DH3</v>
      </c>
      <c r="B69" t="str">
        <f>IF(NOT(ISBLANK(A69)),VLOOKUP(A69,'BBT3'!A:F,2,0),"")</f>
        <v>Bond</v>
      </c>
      <c r="C69" t="str">
        <f>IF(NOT(ISBLANK(A69)),VLOOKUP(A69,'BBT3'!A:F,3,0),"")</f>
        <v>US912803DH37</v>
      </c>
      <c r="D69" s="5">
        <f>IF(NOT(ISBLANK(A69)),VLOOKUP(A69,'BBT3'!A:F,4,1),"")</f>
        <v>0</v>
      </c>
      <c r="E69">
        <f>IF(NOT(ISBLANK(A69)),VLOOKUP(A69,'BBT3'!A:F,5,0),"")</f>
        <v>50997</v>
      </c>
      <c r="F69" t="str">
        <f>IF(NOT(ISBLANK(A69)),VLOOKUP(A69,'BBT3'!A:F,6,0),"")</f>
        <v>N</v>
      </c>
      <c r="G69" t="str">
        <f t="shared" si="13"/>
        <v>Y</v>
      </c>
      <c r="H69">
        <f>IF(NOT(ISBLANK(A69)),VLOOKUP(A69,'Close - PriceSaver'!A:J,5,0),"")</f>
        <v>4.8904896544263603E-2</v>
      </c>
      <c r="I69" s="4" t="e" cm="1">
        <f t="array" ref="I69">IF(NOT(ISBLANK(A69)),((_xlfn.XLOOKUP(1,(_bbt3[[#All],[ID]]=A69)*(_bbt3[[#All],[METRIC_NAME]]="YLD_YTM_ASK"),_bbt3[[#All],[METRIC_VALUE]])*0.5)+(_xlfn.XLOOKUP(1,(_bbt3[[#All],[ID]]=A69)*(_bbt3[[#All],[METRIC_NAME]]="YLD_YTM_BID"),_bbt3[[#All],[METRIC_VALUE]])*0.5))/100,"")</f>
        <v>#N/A</v>
      </c>
      <c r="J69">
        <f>IF(ISNA(VLOOKUP(A69,'CloseDL - PriceSaverBBT3'!A:E,5,0)),0,VLOOKUP(A69,'CloseDL - PriceSaverBBT3'!A:E,5,0))</f>
        <v>4.8904896544263603E-2</v>
      </c>
      <c r="K69" s="7">
        <f t="shared" si="14"/>
        <v>0</v>
      </c>
      <c r="L69" s="20">
        <f>IF(Close[[#This Row],[CreatedBy]]="MARINER\SilverAdm",1,0)</f>
        <v>1</v>
      </c>
      <c r="M69" t="str">
        <f>IF(NOT(ISBLANK(A69)),VLOOKUP(A69,'Close - PriceSaver'!A:J,6,0),"")</f>
        <v>DL input prc = 53.18900914  PX_ASK = 53.27380844 PX_BID = 53.10420983</v>
      </c>
      <c r="Q69" t="e">
        <f t="shared" si="7"/>
        <v>#N/A</v>
      </c>
      <c r="R69" t="e">
        <f t="shared" si="2"/>
        <v>#N/A</v>
      </c>
      <c r="S69" t="e">
        <f t="shared" si="3"/>
        <v>#N/A</v>
      </c>
      <c r="T69" s="15" t="e">
        <f t="shared" si="9"/>
        <v>#N/A</v>
      </c>
      <c r="U69" s="18" t="e">
        <f t="shared" si="10"/>
        <v>#N/A</v>
      </c>
      <c r="V69" s="18" t="e">
        <f t="shared" si="11"/>
        <v>#N/A</v>
      </c>
      <c r="W69" s="19" t="e">
        <f t="shared" si="12"/>
        <v>#N/A</v>
      </c>
      <c r="X69" t="e">
        <f>VLOOKUP(P69,Close[[ID]:[CreatedBy]],8,0)</f>
        <v>#N/A</v>
      </c>
    </row>
    <row r="70" spans="1:24" x14ac:dyDescent="0.35">
      <c r="A70" t="str">
        <v>912803DJ9</v>
      </c>
      <c r="B70" t="str">
        <f>IF(NOT(ISBLANK(A70)),VLOOKUP(A70,'BBT3'!A:F,2,0),"")</f>
        <v>Bond</v>
      </c>
      <c r="C70" t="str">
        <f>IF(NOT(ISBLANK(A70)),VLOOKUP(A70,'BBT3'!A:F,3,0),"")</f>
        <v>US912803DJ92</v>
      </c>
      <c r="D70" s="5">
        <f>IF(NOT(ISBLANK(A70)),VLOOKUP(A70,'BBT3'!A:F,4,1),"")</f>
        <v>0</v>
      </c>
      <c r="E70">
        <f>IF(NOT(ISBLANK(A70)),VLOOKUP(A70,'BBT3'!A:F,5,0),"")</f>
        <v>51089</v>
      </c>
      <c r="F70" t="str">
        <f>IF(NOT(ISBLANK(A70)),VLOOKUP(A70,'BBT3'!A:F,6,0),"")</f>
        <v>N</v>
      </c>
      <c r="G70" t="str">
        <f t="shared" si="13"/>
        <v>Y</v>
      </c>
      <c r="H70">
        <f>IF(NOT(ISBLANK(A70)),VLOOKUP(A70,'Close - PriceSaver'!A:J,5,0),"")</f>
        <v>4.91848946642503E-2</v>
      </c>
      <c r="I70" s="4" t="e" cm="1">
        <f t="array" ref="I70">IF(NOT(ISBLANK(A70)),((_xlfn.XLOOKUP(1,(_bbt3[[#All],[ID]]=A70)*(_bbt3[[#All],[METRIC_NAME]]="YLD_YTM_ASK"),_bbt3[[#All],[METRIC_VALUE]])*0.5)+(_xlfn.XLOOKUP(1,(_bbt3[[#All],[ID]]=A70)*(_bbt3[[#All],[METRIC_NAME]]="YLD_YTM_BID"),_bbt3[[#All],[METRIC_VALUE]])*0.5))/100,"")</f>
        <v>#N/A</v>
      </c>
      <c r="J70">
        <f>IF(ISNA(VLOOKUP(A70,'CloseDL - PriceSaverBBT3'!A:E,5,0)),0,VLOOKUP(A70,'CloseDL - PriceSaverBBT3'!A:E,5,0))</f>
        <v>4.91848946642503E-2</v>
      </c>
      <c r="K70" s="7">
        <f t="shared" si="14"/>
        <v>0</v>
      </c>
      <c r="L70" s="20">
        <f>IF(Close[[#This Row],[CreatedBy]]="MARINER\SilverAdm",1,0)</f>
        <v>1</v>
      </c>
      <c r="M70" t="str">
        <f>IF(NOT(ISBLANK(A70)),VLOOKUP(A70,'Close - PriceSaver'!A:J,6,0),"")</f>
        <v>DL input prc = 52.36224794  PX_ASK = 52.44730786 PX_BID = 52.27718801</v>
      </c>
      <c r="Q70" t="e">
        <f t="shared" si="7"/>
        <v>#N/A</v>
      </c>
      <c r="R70" t="e">
        <f t="shared" si="2"/>
        <v>#N/A</v>
      </c>
      <c r="S70" t="e">
        <f t="shared" si="3"/>
        <v>#N/A</v>
      </c>
      <c r="T70" s="15" t="e">
        <f t="shared" si="9"/>
        <v>#N/A</v>
      </c>
      <c r="U70" s="18" t="e">
        <f t="shared" si="10"/>
        <v>#N/A</v>
      </c>
      <c r="V70" s="18" t="e">
        <f t="shared" si="11"/>
        <v>#N/A</v>
      </c>
      <c r="W70" s="19" t="e">
        <f t="shared" si="12"/>
        <v>#N/A</v>
      </c>
      <c r="X70" t="e">
        <f>VLOOKUP(P70,Close[[ID]:[CreatedBy]],8,0)</f>
        <v>#N/A</v>
      </c>
    </row>
    <row r="71" spans="1:24" x14ac:dyDescent="0.35">
      <c r="A71" t="str">
        <v>912803DK6</v>
      </c>
      <c r="B71" t="str">
        <f>IF(NOT(ISBLANK(A71)),VLOOKUP(A71,'BBT3'!A:F,2,0),"")</f>
        <v>Bond</v>
      </c>
      <c r="C71" t="str">
        <f>IF(NOT(ISBLANK(A71)),VLOOKUP(A71,'BBT3'!A:F,3,0),"")</f>
        <v>US912803DK65</v>
      </c>
      <c r="D71" s="5">
        <f>IF(NOT(ISBLANK(A71)),VLOOKUP(A71,'BBT3'!A:F,4,1),"")</f>
        <v>0</v>
      </c>
      <c r="E71">
        <f>IF(NOT(ISBLANK(A71)),VLOOKUP(A71,'BBT3'!A:F,5,0),"")</f>
        <v>51181</v>
      </c>
      <c r="F71" t="str">
        <f>IF(NOT(ISBLANK(A71)),VLOOKUP(A71,'BBT3'!A:F,6,0),"")</f>
        <v>N</v>
      </c>
      <c r="G71" t="str">
        <f t="shared" si="13"/>
        <v>Y</v>
      </c>
      <c r="H71">
        <f>IF(NOT(ISBLANK(A71)),VLOOKUP(A71,'Close - PriceSaver'!A:J,5,0),"")</f>
        <v>4.9384726792062898E-2</v>
      </c>
      <c r="I71" s="4" t="e" cm="1">
        <f t="array" ref="I71">IF(NOT(ISBLANK(A71)),((_xlfn.XLOOKUP(1,(_bbt3[[#All],[ID]]=A71)*(_bbt3[[#All],[METRIC_NAME]]="YLD_YTM_ASK"),_bbt3[[#All],[METRIC_VALUE]])*0.5)+(_xlfn.XLOOKUP(1,(_bbt3[[#All],[ID]]=A71)*(_bbt3[[#All],[METRIC_NAME]]="YLD_YTM_BID"),_bbt3[[#All],[METRIC_VALUE]])*0.5))/100,"")</f>
        <v>#N/A</v>
      </c>
      <c r="J71">
        <f>IF(ISNA(VLOOKUP(A71,'CloseDL - PriceSaverBBT3'!A:E,5,0)),0,VLOOKUP(A71,'CloseDL - PriceSaverBBT3'!A:E,5,0))</f>
        <v>4.9384726792062898E-2</v>
      </c>
      <c r="K71" s="7">
        <f t="shared" si="14"/>
        <v>0</v>
      </c>
      <c r="L71" s="20">
        <f>IF(Close[[#This Row],[CreatedBy]]="MARINER\SilverAdm",1,0)</f>
        <v>1</v>
      </c>
      <c r="M71" t="str">
        <f>IF(NOT(ISBLANK(A71)),VLOOKUP(A71,'Close - PriceSaver'!A:J,6,0),"")</f>
        <v>DL input prc = 51.59051860  PX_ASK = 51.67589686 PX_BID = 51.50514034</v>
      </c>
      <c r="Q71" t="e">
        <f t="shared" si="7"/>
        <v>#N/A</v>
      </c>
      <c r="R71" t="e">
        <f t="shared" si="2"/>
        <v>#N/A</v>
      </c>
      <c r="S71" t="e">
        <f t="shared" si="3"/>
        <v>#N/A</v>
      </c>
      <c r="T71" s="15" t="e">
        <f t="shared" si="9"/>
        <v>#N/A</v>
      </c>
      <c r="U71" s="18" t="e">
        <f t="shared" si="10"/>
        <v>#N/A</v>
      </c>
      <c r="V71" s="18" t="e">
        <f t="shared" si="11"/>
        <v>#N/A</v>
      </c>
      <c r="W71" s="19" t="e">
        <f t="shared" si="12"/>
        <v>#N/A</v>
      </c>
      <c r="X71" t="e">
        <f>VLOOKUP(P71,Close[[ID]:[CreatedBy]],8,0)</f>
        <v>#N/A</v>
      </c>
    </row>
    <row r="72" spans="1:24" x14ac:dyDescent="0.35">
      <c r="A72" t="str">
        <v>912803DM2</v>
      </c>
      <c r="B72" t="str">
        <f>IF(NOT(ISBLANK(A72)),VLOOKUP(A72,'BBT3'!A:F,2,0),"")</f>
        <v>Bond</v>
      </c>
      <c r="C72" t="str">
        <f>IF(NOT(ISBLANK(A72)),VLOOKUP(A72,'BBT3'!A:F,3,0),"")</f>
        <v>US912803DM22</v>
      </c>
      <c r="D72" s="5">
        <f>IF(NOT(ISBLANK(A72)),VLOOKUP(A72,'BBT3'!A:F,4,1),"")</f>
        <v>0</v>
      </c>
      <c r="E72">
        <f>IF(NOT(ISBLANK(A72)),VLOOKUP(A72,'BBT3'!A:F,5,0),"")</f>
        <v>51271</v>
      </c>
      <c r="F72" t="str">
        <f>IF(NOT(ISBLANK(A72)),VLOOKUP(A72,'BBT3'!A:F,6,0),"")</f>
        <v>N</v>
      </c>
      <c r="G72" t="str">
        <f t="shared" si="13"/>
        <v>Y</v>
      </c>
      <c r="H72">
        <f>IF(NOT(ISBLANK(A72)),VLOOKUP(A72,'Close - PriceSaver'!A:J,5,0),"")</f>
        <v>4.9620099112600798E-2</v>
      </c>
      <c r="I72" s="4" t="e" cm="1">
        <f t="array" ref="I72">IF(NOT(ISBLANK(A72)),((_xlfn.XLOOKUP(1,(_bbt3[[#All],[ID]]=A72)*(_bbt3[[#All],[METRIC_NAME]]="YLD_YTM_ASK"),_bbt3[[#All],[METRIC_VALUE]])*0.5)+(_xlfn.XLOOKUP(1,(_bbt3[[#All],[ID]]=A72)*(_bbt3[[#All],[METRIC_NAME]]="YLD_YTM_BID"),_bbt3[[#All],[METRIC_VALUE]])*0.5))/100,"")</f>
        <v>#N/A</v>
      </c>
      <c r="J72">
        <f>IF(ISNA(VLOOKUP(A72,'CloseDL - PriceSaverBBT3'!A:E,5,0)),0,VLOOKUP(A72,'CloseDL - PriceSaverBBT3'!A:E,5,0))</f>
        <v>4.9620099112600798E-2</v>
      </c>
      <c r="K72" s="7">
        <f t="shared" si="14"/>
        <v>0</v>
      </c>
      <c r="L72" s="20">
        <f>IF(Close[[#This Row],[CreatedBy]]="MARINER\SilverAdm",1,0)</f>
        <v>1</v>
      </c>
      <c r="M72" t="str">
        <f>IF(NOT(ISBLANK(A72)),VLOOKUP(A72,'Close - PriceSaver'!A:J,6,0),"")</f>
        <v>DL input prc = 50.80660518  PX_ASK = 50.89564360 PX_BID = 50.71756675</v>
      </c>
      <c r="Q72" t="e">
        <f t="shared" si="7"/>
        <v>#N/A</v>
      </c>
      <c r="R72" t="e">
        <f t="shared" si="2"/>
        <v>#N/A</v>
      </c>
      <c r="S72" t="e">
        <f t="shared" si="3"/>
        <v>#N/A</v>
      </c>
      <c r="T72" s="15" t="e">
        <f t="shared" si="9"/>
        <v>#N/A</v>
      </c>
      <c r="U72" s="18" t="e">
        <f t="shared" si="10"/>
        <v>#N/A</v>
      </c>
      <c r="V72" s="18" t="e">
        <f t="shared" si="11"/>
        <v>#N/A</v>
      </c>
      <c r="W72" s="19" t="e">
        <f t="shared" si="12"/>
        <v>#N/A</v>
      </c>
      <c r="X72" t="e">
        <f>VLOOKUP(P72,Close[[ID]:[CreatedBy]],8,0)</f>
        <v>#N/A</v>
      </c>
    </row>
    <row r="73" spans="1:24" x14ac:dyDescent="0.35">
      <c r="A73" t="str">
        <v>912803DN0</v>
      </c>
      <c r="B73" t="str">
        <f>IF(NOT(ISBLANK(A73)),VLOOKUP(A73,'BBT3'!A:F,2,0),"")</f>
        <v>Bond</v>
      </c>
      <c r="C73" t="str">
        <f>IF(NOT(ISBLANK(A73)),VLOOKUP(A73,'BBT3'!A:F,3,0),"")</f>
        <v>US912803DN05</v>
      </c>
      <c r="D73" s="5">
        <f>IF(NOT(ISBLANK(A73)),VLOOKUP(A73,'BBT3'!A:F,4,1),"")</f>
        <v>0</v>
      </c>
      <c r="E73">
        <f>IF(NOT(ISBLANK(A73)),VLOOKUP(A73,'BBT3'!A:F,5,0),"")</f>
        <v>51363</v>
      </c>
      <c r="F73" t="str">
        <f>IF(NOT(ISBLANK(A73)),VLOOKUP(A73,'BBT3'!A:F,6,0),"")</f>
        <v>N</v>
      </c>
      <c r="G73" t="str">
        <f t="shared" si="13"/>
        <v>Y</v>
      </c>
      <c r="H73">
        <f>IF(NOT(ISBLANK(A73)),VLOOKUP(A73,'Close - PriceSaver'!A:J,5,0),"")</f>
        <v>4.9959825336075299E-2</v>
      </c>
      <c r="I73" s="4" t="e" cm="1">
        <f t="array" ref="I73">IF(NOT(ISBLANK(A73)),((_xlfn.XLOOKUP(1,(_bbt3[[#All],[ID]]=A73)*(_bbt3[[#All],[METRIC_NAME]]="YLD_YTM_ASK"),_bbt3[[#All],[METRIC_VALUE]])*0.5)+(_xlfn.XLOOKUP(1,(_bbt3[[#All],[ID]]=A73)*(_bbt3[[#All],[METRIC_NAME]]="YLD_YTM_BID"),_bbt3[[#All],[METRIC_VALUE]])*0.5))/100,"")</f>
        <v>#N/A</v>
      </c>
      <c r="J73">
        <f>IF(ISNA(VLOOKUP(A73,'CloseDL - PriceSaverBBT3'!A:E,5,0)),0,VLOOKUP(A73,'CloseDL - PriceSaverBBT3'!A:E,5,0))</f>
        <v>4.9959825336075299E-2</v>
      </c>
      <c r="K73" s="7">
        <f t="shared" si="14"/>
        <v>0</v>
      </c>
      <c r="L73" s="20">
        <f>IF(Close[[#This Row],[CreatedBy]]="MARINER\SilverAdm",1,0)</f>
        <v>1</v>
      </c>
      <c r="M73" t="str">
        <f>IF(NOT(ISBLANK(A73)),VLOOKUP(A73,'Close - PriceSaver'!A:J,6,0),"")</f>
        <v>DL input prc = 49.95154607  PX_ASK = 50.04066219 PX_BID = 49.86242995</v>
      </c>
      <c r="Q73" t="e">
        <f t="shared" si="7"/>
        <v>#N/A</v>
      </c>
      <c r="R73" t="e">
        <f t="shared" si="2"/>
        <v>#N/A</v>
      </c>
      <c r="S73" t="e">
        <f t="shared" si="3"/>
        <v>#N/A</v>
      </c>
      <c r="T73" s="15" t="e">
        <f t="shared" si="9"/>
        <v>#N/A</v>
      </c>
      <c r="U73" s="18" t="e">
        <f t="shared" si="10"/>
        <v>#N/A</v>
      </c>
      <c r="V73" s="18" t="e">
        <f t="shared" si="11"/>
        <v>#N/A</v>
      </c>
      <c r="W73" s="19" t="e">
        <f t="shared" si="12"/>
        <v>#N/A</v>
      </c>
      <c r="X73" t="e">
        <f>VLOOKUP(P73,Close[[ID]:[CreatedBy]],8,0)</f>
        <v>#N/A</v>
      </c>
    </row>
    <row r="74" spans="1:24" x14ac:dyDescent="0.35">
      <c r="A74" t="str">
        <v>912803DP5</v>
      </c>
      <c r="B74" t="str">
        <f>IF(NOT(ISBLANK(A74)),VLOOKUP(A74,'BBT3'!A:F,2,0),"")</f>
        <v>Bond</v>
      </c>
      <c r="C74" t="str">
        <f>IF(NOT(ISBLANK(A74)),VLOOKUP(A74,'BBT3'!A:F,3,0),"")</f>
        <v>US912803DP52</v>
      </c>
      <c r="D74" s="5">
        <f>IF(NOT(ISBLANK(A74)),VLOOKUP(A74,'BBT3'!A:F,4,1),"")</f>
        <v>0</v>
      </c>
      <c r="E74">
        <f>IF(NOT(ISBLANK(A74)),VLOOKUP(A74,'BBT3'!A:F,5,0),"")</f>
        <v>51455</v>
      </c>
      <c r="F74" t="str">
        <f>IF(NOT(ISBLANK(A74)),VLOOKUP(A74,'BBT3'!A:F,6,0),"")</f>
        <v>N</v>
      </c>
      <c r="G74" t="str">
        <f t="shared" si="13"/>
        <v>Y</v>
      </c>
      <c r="H74">
        <f>IF(NOT(ISBLANK(A74)),VLOOKUP(A74,'Close - PriceSaver'!A:J,5,0),"")</f>
        <v>5.0194904436619697E-2</v>
      </c>
      <c r="I74" s="4" t="e" cm="1">
        <f t="array" ref="I74">IF(NOT(ISBLANK(A74)),((_xlfn.XLOOKUP(1,(_bbt3[[#All],[ID]]=A74)*(_bbt3[[#All],[METRIC_NAME]]="YLD_YTM_ASK"),_bbt3[[#All],[METRIC_VALUE]])*0.5)+(_xlfn.XLOOKUP(1,(_bbt3[[#All],[ID]]=A74)*(_bbt3[[#All],[METRIC_NAME]]="YLD_YTM_BID"),_bbt3[[#All],[METRIC_VALUE]])*0.5))/100,"")</f>
        <v>#N/A</v>
      </c>
      <c r="J74">
        <f>IF(ISNA(VLOOKUP(A74,'CloseDL - PriceSaverBBT3'!A:E,5,0)),0,VLOOKUP(A74,'CloseDL - PriceSaverBBT3'!A:E,5,0))</f>
        <v>5.0194904436619697E-2</v>
      </c>
      <c r="K74" s="7">
        <f t="shared" si="14"/>
        <v>0</v>
      </c>
      <c r="L74" s="20">
        <f>IF(Close[[#This Row],[CreatedBy]]="MARINER\SilverAdm",1,0)</f>
        <v>1</v>
      </c>
      <c r="M74" t="str">
        <f>IF(NOT(ISBLANK(A74)),VLOOKUP(A74,'Close - PriceSaver'!A:J,6,0),"")</f>
        <v>DL input prc = 49.18004899  PX_ASK = 49.25902936 PX_BID = 49.10106861</v>
      </c>
      <c r="Q74" t="e">
        <f t="shared" si="7"/>
        <v>#N/A</v>
      </c>
      <c r="R74" t="e">
        <f t="shared" si="2"/>
        <v>#N/A</v>
      </c>
      <c r="S74" t="e">
        <f t="shared" si="3"/>
        <v>#N/A</v>
      </c>
      <c r="T74" s="15" t="e">
        <f t="shared" si="9"/>
        <v>#N/A</v>
      </c>
      <c r="U74" s="18" t="e">
        <f t="shared" si="10"/>
        <v>#N/A</v>
      </c>
      <c r="V74" s="18" t="e">
        <f t="shared" si="11"/>
        <v>#N/A</v>
      </c>
      <c r="W74" s="19" t="e">
        <f t="shared" si="12"/>
        <v>#N/A</v>
      </c>
      <c r="X74" t="e">
        <f>VLOOKUP(P74,Close[[ID]:[CreatedBy]],8,0)</f>
        <v>#N/A</v>
      </c>
    </row>
    <row r="75" spans="1:24" x14ac:dyDescent="0.35">
      <c r="A75" t="str">
        <v>912803DQ3</v>
      </c>
      <c r="B75" t="str">
        <f>IF(NOT(ISBLANK(A75)),VLOOKUP(A75,'BBT3'!A:F,2,0),"")</f>
        <v>Bond</v>
      </c>
      <c r="C75" t="str">
        <f>IF(NOT(ISBLANK(A75)),VLOOKUP(A75,'BBT3'!A:F,3,0),"")</f>
        <v>US912803DQ36</v>
      </c>
      <c r="D75" s="5">
        <f>IF(NOT(ISBLANK(A75)),VLOOKUP(A75,'BBT3'!A:F,4,1),"")</f>
        <v>0</v>
      </c>
      <c r="E75">
        <f>IF(NOT(ISBLANK(A75)),VLOOKUP(A75,'BBT3'!A:F,5,0),"")</f>
        <v>51547</v>
      </c>
      <c r="F75" t="str">
        <f>IF(NOT(ISBLANK(A75)),VLOOKUP(A75,'BBT3'!A:F,6,0),"")</f>
        <v>N</v>
      </c>
      <c r="G75" t="str">
        <f t="shared" si="13"/>
        <v>Y</v>
      </c>
      <c r="H75">
        <f>IF(NOT(ISBLANK(A75)),VLOOKUP(A75,'Close - PriceSaver'!A:J,5,0),"")</f>
        <v>5.0329911079895803E-2</v>
      </c>
      <c r="I75" s="4" t="e" cm="1">
        <f t="array" ref="I75">IF(NOT(ISBLANK(A75)),((_xlfn.XLOOKUP(1,(_bbt3[[#All],[ID]]=A75)*(_bbt3[[#All],[METRIC_NAME]]="YLD_YTM_ASK"),_bbt3[[#All],[METRIC_VALUE]])*0.5)+(_xlfn.XLOOKUP(1,(_bbt3[[#All],[ID]]=A75)*(_bbt3[[#All],[METRIC_NAME]]="YLD_YTM_BID"),_bbt3[[#All],[METRIC_VALUE]])*0.5))/100,"")</f>
        <v>#N/A</v>
      </c>
      <c r="J75">
        <f>IF(ISNA(VLOOKUP(A75,'CloseDL - PriceSaverBBT3'!A:E,5,0)),0,VLOOKUP(A75,'CloseDL - PriceSaverBBT3'!A:E,5,0))</f>
        <v>5.0329911079895803E-2</v>
      </c>
      <c r="K75" s="7">
        <f t="shared" si="14"/>
        <v>0</v>
      </c>
      <c r="L75" s="20">
        <f>IF(Close[[#This Row],[CreatedBy]]="MARINER\SilverAdm",1,0)</f>
        <v>1</v>
      </c>
      <c r="M75" t="str">
        <f>IF(NOT(ISBLANK(A75)),VLOOKUP(A75,'Close - PriceSaver'!A:J,6,0),"")</f>
        <v>DL input prc = 48.47859041  PX_ASK = 48.55436049 PX_BID = 48.40282033</v>
      </c>
      <c r="Q75" t="e">
        <f t="shared" si="7"/>
        <v>#N/A</v>
      </c>
      <c r="R75" t="e">
        <f t="shared" si="2"/>
        <v>#N/A</v>
      </c>
      <c r="S75" t="e">
        <f t="shared" si="3"/>
        <v>#N/A</v>
      </c>
      <c r="T75" s="15" t="e">
        <f t="shared" si="9"/>
        <v>#N/A</v>
      </c>
      <c r="U75" s="18" t="e">
        <f t="shared" si="10"/>
        <v>#N/A</v>
      </c>
      <c r="V75" s="18" t="e">
        <f t="shared" si="11"/>
        <v>#N/A</v>
      </c>
      <c r="W75" s="19" t="e">
        <f t="shared" si="12"/>
        <v>#N/A</v>
      </c>
      <c r="X75" t="e">
        <f>VLOOKUP(P75,Close[[ID]:[CreatedBy]],8,0)</f>
        <v>#N/A</v>
      </c>
    </row>
    <row r="76" spans="1:24" x14ac:dyDescent="0.35">
      <c r="A76" t="str">
        <v>912803DS9</v>
      </c>
      <c r="B76" t="str">
        <f>IF(NOT(ISBLANK(A76)),VLOOKUP(A76,'BBT3'!A:F,2,0),"")</f>
        <v>Bond</v>
      </c>
      <c r="C76" t="str">
        <f>IF(NOT(ISBLANK(A76)),VLOOKUP(A76,'BBT3'!A:F,3,0),"")</f>
        <v>US912803DS91</v>
      </c>
      <c r="D76" s="5">
        <f>IF(NOT(ISBLANK(A76)),VLOOKUP(A76,'BBT3'!A:F,4,1),"")</f>
        <v>0</v>
      </c>
      <c r="E76">
        <f>IF(NOT(ISBLANK(A76)),VLOOKUP(A76,'BBT3'!A:F,5,0),"")</f>
        <v>51636</v>
      </c>
      <c r="F76" t="str">
        <f>IF(NOT(ISBLANK(A76)),VLOOKUP(A76,'BBT3'!A:F,6,0),"")</f>
        <v>N</v>
      </c>
      <c r="G76" t="str">
        <f t="shared" si="13"/>
        <v>Y</v>
      </c>
      <c r="H76">
        <f>IF(NOT(ISBLANK(A76)),VLOOKUP(A76,'Close - PriceSaver'!A:J,5,0),"")</f>
        <v>5.0570048119757398E-2</v>
      </c>
      <c r="I76" s="4" t="e" cm="1">
        <f t="array" ref="I76">IF(NOT(ISBLANK(A76)),((_xlfn.XLOOKUP(1,(_bbt3[[#All],[ID]]=A76)*(_bbt3[[#All],[METRIC_NAME]]="YLD_YTM_ASK"),_bbt3[[#All],[METRIC_VALUE]])*0.5)+(_xlfn.XLOOKUP(1,(_bbt3[[#All],[ID]]=A76)*(_bbt3[[#All],[METRIC_NAME]]="YLD_YTM_BID"),_bbt3[[#All],[METRIC_VALUE]])*0.5))/100,"")</f>
        <v>#N/A</v>
      </c>
      <c r="J76">
        <f>IF(ISNA(VLOOKUP(A76,'CloseDL - PriceSaverBBT3'!A:E,5,0)),0,VLOOKUP(A76,'CloseDL - PriceSaverBBT3'!A:E,5,0))</f>
        <v>5.0570048119757398E-2</v>
      </c>
      <c r="K76" s="7">
        <f t="shared" si="14"/>
        <v>0</v>
      </c>
      <c r="L76" s="20">
        <f>IF(Close[[#This Row],[CreatedBy]]="MARINER\SilverAdm",1,0)</f>
        <v>1</v>
      </c>
      <c r="M76" t="str">
        <f>IF(NOT(ISBLANK(A76)),VLOOKUP(A76,'Close - PriceSaver'!A:J,6,0),"")</f>
        <v>DL input prc = 47.71669478  PX_ASK = 47.79943460 PX_BID = 47.63395495</v>
      </c>
      <c r="Q76" t="e">
        <f t="shared" si="7"/>
        <v>#N/A</v>
      </c>
      <c r="R76" t="e">
        <f t="shared" si="2"/>
        <v>#N/A</v>
      </c>
      <c r="S76" t="e">
        <f t="shared" si="3"/>
        <v>#N/A</v>
      </c>
      <c r="T76" s="15" t="e">
        <f t="shared" si="9"/>
        <v>#N/A</v>
      </c>
      <c r="U76" s="18" t="e">
        <f t="shared" si="10"/>
        <v>#N/A</v>
      </c>
      <c r="V76" s="18" t="e">
        <f t="shared" si="11"/>
        <v>#N/A</v>
      </c>
      <c r="W76" s="19" t="e">
        <f t="shared" si="12"/>
        <v>#N/A</v>
      </c>
      <c r="X76" t="e">
        <f>VLOOKUP(P76,Close[[ID]:[CreatedBy]],8,0)</f>
        <v>#N/A</v>
      </c>
    </row>
    <row r="77" spans="1:24" x14ac:dyDescent="0.35">
      <c r="A77" t="str">
        <v>912803DT7</v>
      </c>
      <c r="B77" t="str">
        <f>IF(NOT(ISBLANK(A77)),VLOOKUP(A77,'BBT3'!A:F,2,0),"")</f>
        <v>Bond</v>
      </c>
      <c r="C77" t="str">
        <f>IF(NOT(ISBLANK(A77)),VLOOKUP(A77,'BBT3'!A:F,3,0),"")</f>
        <v>US912803DT74</v>
      </c>
      <c r="D77" s="5">
        <f>IF(NOT(ISBLANK(A77)),VLOOKUP(A77,'BBT3'!A:F,4,1),"")</f>
        <v>0</v>
      </c>
      <c r="E77">
        <f>IF(NOT(ISBLANK(A77)),VLOOKUP(A77,'BBT3'!A:F,5,0),"")</f>
        <v>51728</v>
      </c>
      <c r="F77" t="str">
        <f>IF(NOT(ISBLANK(A77)),VLOOKUP(A77,'BBT3'!A:F,6,0),"")</f>
        <v>N</v>
      </c>
      <c r="G77" t="str">
        <f t="shared" si="13"/>
        <v>Y</v>
      </c>
      <c r="H77">
        <f>IF(NOT(ISBLANK(A77)),VLOOKUP(A77,'Close - PriceSaver'!A:J,5,0),"")</f>
        <v>5.0724899613160998E-2</v>
      </c>
      <c r="I77" s="4" t="e" cm="1">
        <f t="array" ref="I77">IF(NOT(ISBLANK(A77)),((_xlfn.XLOOKUP(1,(_bbt3[[#All],[ID]]=A77)*(_bbt3[[#All],[METRIC_NAME]]="YLD_YTM_ASK"),_bbt3[[#All],[METRIC_VALUE]])*0.5)+(_xlfn.XLOOKUP(1,(_bbt3[[#All],[ID]]=A77)*(_bbt3[[#All],[METRIC_NAME]]="YLD_YTM_BID"),_bbt3[[#All],[METRIC_VALUE]])*0.5))/100,"")</f>
        <v>#N/A</v>
      </c>
      <c r="J77">
        <f>IF(ISNA(VLOOKUP(A77,'CloseDL - PriceSaverBBT3'!A:E,5,0)),0,VLOOKUP(A77,'CloseDL - PriceSaverBBT3'!A:E,5,0))</f>
        <v>5.0724899613160998E-2</v>
      </c>
      <c r="K77" s="7">
        <f t="shared" si="14"/>
        <v>0</v>
      </c>
      <c r="L77" s="20">
        <f>IF(Close[[#This Row],[CreatedBy]]="MARINER\SilverAdm",1,0)</f>
        <v>1</v>
      </c>
      <c r="M77" t="str">
        <f>IF(NOT(ISBLANK(A77)),VLOOKUP(A77,'Close - PriceSaver'!A:J,6,0),"")</f>
        <v>DL input prc = 47.01488994  PX_ASK = 47.09433410 PX_BID = 46.93544577</v>
      </c>
      <c r="Q77" t="e">
        <f t="shared" si="7"/>
        <v>#N/A</v>
      </c>
      <c r="R77" t="e">
        <f t="shared" ref="R77:R116" si="15">VLOOKUP(P77,A:B,2,0)</f>
        <v>#N/A</v>
      </c>
      <c r="S77" t="e">
        <f t="shared" ref="S77:S116" si="16">VLOOKUP(P77,A:E,4,0)</f>
        <v>#N/A</v>
      </c>
      <c r="T77" s="15" t="e">
        <f t="shared" si="9"/>
        <v>#N/A</v>
      </c>
      <c r="U77" s="18" t="e">
        <f t="shared" si="10"/>
        <v>#N/A</v>
      </c>
      <c r="V77" s="18" t="e">
        <f t="shared" si="11"/>
        <v>#N/A</v>
      </c>
      <c r="W77" s="19" t="e">
        <f t="shared" si="12"/>
        <v>#N/A</v>
      </c>
      <c r="X77" t="e">
        <f>VLOOKUP(P77,Close[[ID]:[CreatedBy]],8,0)</f>
        <v>#N/A</v>
      </c>
    </row>
    <row r="78" spans="1:24" x14ac:dyDescent="0.35">
      <c r="A78" t="str">
        <v>912803DU4</v>
      </c>
      <c r="B78" t="str">
        <f>IF(NOT(ISBLANK(A78)),VLOOKUP(A78,'BBT3'!A:F,2,0),"")</f>
        <v>Bond</v>
      </c>
      <c r="C78" t="str">
        <f>IF(NOT(ISBLANK(A78)),VLOOKUP(A78,'BBT3'!A:F,3,0),"")</f>
        <v>US912803DU48</v>
      </c>
      <c r="D78" s="5">
        <f>IF(NOT(ISBLANK(A78)),VLOOKUP(A78,'BBT3'!A:F,4,1),"")</f>
        <v>0</v>
      </c>
      <c r="E78">
        <f>IF(NOT(ISBLANK(A78)),VLOOKUP(A78,'BBT3'!A:F,5,0),"")</f>
        <v>51820</v>
      </c>
      <c r="F78" t="str">
        <f>IF(NOT(ISBLANK(A78)),VLOOKUP(A78,'BBT3'!A:F,6,0),"")</f>
        <v>N</v>
      </c>
      <c r="G78" t="str">
        <f t="shared" si="13"/>
        <v>Y</v>
      </c>
      <c r="H78">
        <f>IF(NOT(ISBLANK(A78)),VLOOKUP(A78,'Close - PriceSaver'!A:J,5,0),"")</f>
        <v>5.0999906700787002E-2</v>
      </c>
      <c r="I78" s="4" t="e" cm="1">
        <f t="array" ref="I78">IF(NOT(ISBLANK(A78)),((_xlfn.XLOOKUP(1,(_bbt3[[#All],[ID]]=A78)*(_bbt3[[#All],[METRIC_NAME]]="YLD_YTM_ASK"),_bbt3[[#All],[METRIC_VALUE]])*0.5)+(_xlfn.XLOOKUP(1,(_bbt3[[#All],[ID]]=A78)*(_bbt3[[#All],[METRIC_NAME]]="YLD_YTM_BID"),_bbt3[[#All],[METRIC_VALUE]])*0.5))/100,"")</f>
        <v>#N/A</v>
      </c>
      <c r="J78">
        <f>IF(ISNA(VLOOKUP(A78,'CloseDL - PriceSaverBBT3'!A:E,5,0)),0,VLOOKUP(A78,'CloseDL - PriceSaverBBT3'!A:E,5,0))</f>
        <v>5.0999906700787002E-2</v>
      </c>
      <c r="K78" s="7">
        <f t="shared" si="14"/>
        <v>0</v>
      </c>
      <c r="L78" s="20">
        <f>IF(Close[[#This Row],[CreatedBy]]="MARINER\SilverAdm",1,0)</f>
        <v>1</v>
      </c>
      <c r="M78" t="str">
        <f>IF(NOT(ISBLANK(A78)),VLOOKUP(A78,'Close - PriceSaver'!A:J,6,0),"")</f>
        <v>DL input prc = 46.24198203  PX_ASK = 46.31794750 PX_BID = 46.16601656</v>
      </c>
      <c r="Q78" t="e">
        <f t="shared" ref="Q78:Q116" si="17">VLOOKUP(P78,A:C,3,0)</f>
        <v>#N/A</v>
      </c>
      <c r="R78" t="e">
        <f t="shared" si="15"/>
        <v>#N/A</v>
      </c>
      <c r="S78" t="e">
        <f t="shared" si="16"/>
        <v>#N/A</v>
      </c>
      <c r="T78" s="15" t="e">
        <f t="shared" si="9"/>
        <v>#N/A</v>
      </c>
      <c r="U78" s="18" t="e">
        <f t="shared" si="10"/>
        <v>#N/A</v>
      </c>
      <c r="V78" s="18" t="e">
        <f t="shared" si="11"/>
        <v>#N/A</v>
      </c>
      <c r="W78" s="19" t="e">
        <f t="shared" si="12"/>
        <v>#N/A</v>
      </c>
      <c r="X78" t="e">
        <f>VLOOKUP(P78,Close[[ID]:[CreatedBy]],8,0)</f>
        <v>#N/A</v>
      </c>
    </row>
    <row r="79" spans="1:24" x14ac:dyDescent="0.35">
      <c r="A79" t="str">
        <v>912803DV2</v>
      </c>
      <c r="B79" t="str">
        <f>IF(NOT(ISBLANK(A79)),VLOOKUP(A79,'BBT3'!A:F,2,0),"")</f>
        <v>Bond</v>
      </c>
      <c r="C79" t="str">
        <f>IF(NOT(ISBLANK(A79)),VLOOKUP(A79,'BBT3'!A:F,3,0),"")</f>
        <v>US912803DV21</v>
      </c>
      <c r="D79" s="5">
        <f>IF(NOT(ISBLANK(A79)),VLOOKUP(A79,'BBT3'!A:F,4,1),"")</f>
        <v>0</v>
      </c>
      <c r="E79">
        <f>IF(NOT(ISBLANK(A79)),VLOOKUP(A79,'BBT3'!A:F,5,0),"")</f>
        <v>51912</v>
      </c>
      <c r="F79" t="str">
        <f>IF(NOT(ISBLANK(A79)),VLOOKUP(A79,'BBT3'!A:F,6,0),"")</f>
        <v>N</v>
      </c>
      <c r="G79" t="str">
        <f t="shared" si="13"/>
        <v>Y</v>
      </c>
      <c r="H79">
        <f>IF(NOT(ISBLANK(A79)),VLOOKUP(A79,'Close - PriceSaver'!A:J,5,0),"")</f>
        <v>5.1249905228259798E-2</v>
      </c>
      <c r="I79" s="4" t="e" cm="1">
        <f t="array" ref="I79">IF(NOT(ISBLANK(A79)),((_xlfn.XLOOKUP(1,(_bbt3[[#All],[ID]]=A79)*(_bbt3[[#All],[METRIC_NAME]]="YLD_YTM_ASK"),_bbt3[[#All],[METRIC_VALUE]])*0.5)+(_xlfn.XLOOKUP(1,(_bbt3[[#All],[ID]]=A79)*(_bbt3[[#All],[METRIC_NAME]]="YLD_YTM_BID"),_bbt3[[#All],[METRIC_VALUE]])*0.5))/100,"")</f>
        <v>#N/A</v>
      </c>
      <c r="J79">
        <f>IF(ISNA(VLOOKUP(A79,'CloseDL - PriceSaverBBT3'!A:E,5,0)),0,VLOOKUP(A79,'CloseDL - PriceSaverBBT3'!A:E,5,0))</f>
        <v>5.1249905228259798E-2</v>
      </c>
      <c r="K79" s="7">
        <f t="shared" si="14"/>
        <v>0</v>
      </c>
      <c r="L79" s="20">
        <f>IF(Close[[#This Row],[CreatedBy]]="MARINER\SilverAdm",1,0)</f>
        <v>1</v>
      </c>
      <c r="M79" t="str">
        <f>IF(NOT(ISBLANK(A79)),VLOOKUP(A79,'Close - PriceSaver'!A:J,6,0),"")</f>
        <v>DL input prc = 45.48801889  PX_ASK = 45.56396159 PX_BID = 45.41207618</v>
      </c>
      <c r="Q79" t="e">
        <f t="shared" si="17"/>
        <v>#N/A</v>
      </c>
      <c r="R79" t="e">
        <f t="shared" si="15"/>
        <v>#N/A</v>
      </c>
      <c r="S79" t="e">
        <f t="shared" si="16"/>
        <v>#N/A</v>
      </c>
      <c r="T79" s="15" t="e">
        <f t="shared" si="9"/>
        <v>#N/A</v>
      </c>
      <c r="U79" s="18" t="e">
        <f t="shared" si="10"/>
        <v>#N/A</v>
      </c>
      <c r="V79" s="18" t="e">
        <f t="shared" si="11"/>
        <v>#N/A</v>
      </c>
      <c r="W79" s="19" t="e">
        <f t="shared" si="12"/>
        <v>#N/A</v>
      </c>
      <c r="X79" t="e">
        <f>VLOOKUP(P79,Close[[ID]:[CreatedBy]],8,0)</f>
        <v>#N/A</v>
      </c>
    </row>
    <row r="80" spans="1:24" x14ac:dyDescent="0.35">
      <c r="A80" t="str">
        <v>912803DX8</v>
      </c>
      <c r="B80" t="str">
        <f>IF(NOT(ISBLANK(A80)),VLOOKUP(A80,'BBT3'!A:F,2,0),"")</f>
        <v>Bond</v>
      </c>
      <c r="C80" t="str">
        <f>IF(NOT(ISBLANK(A80)),VLOOKUP(A80,'BBT3'!A:F,3,0),"")</f>
        <v>US912803DX86</v>
      </c>
      <c r="D80" s="5">
        <f>IF(NOT(ISBLANK(A80)),VLOOKUP(A80,'BBT3'!A:F,4,1),"")</f>
        <v>0</v>
      </c>
      <c r="E80">
        <f>IF(NOT(ISBLANK(A80)),VLOOKUP(A80,'BBT3'!A:F,5,0),"")</f>
        <v>52001</v>
      </c>
      <c r="F80" t="str">
        <f>IF(NOT(ISBLANK(A80)),VLOOKUP(A80,'BBT3'!A:F,6,0),"")</f>
        <v>N</v>
      </c>
      <c r="G80" t="str">
        <f t="shared" si="13"/>
        <v>Y</v>
      </c>
      <c r="H80">
        <f>IF(NOT(ISBLANK(A80)),VLOOKUP(A80,'Close - PriceSaver'!A:J,5,0),"")</f>
        <v>5.1434894820403101E-2</v>
      </c>
      <c r="I80" s="4" t="e" cm="1">
        <f t="array" ref="I80">IF(NOT(ISBLANK(A80)),((_xlfn.XLOOKUP(1,(_bbt3[[#All],[ID]]=A80)*(_bbt3[[#All],[METRIC_NAME]]="YLD_YTM_ASK"),_bbt3[[#All],[METRIC_VALUE]])*0.5)+(_xlfn.XLOOKUP(1,(_bbt3[[#All],[ID]]=A80)*(_bbt3[[#All],[METRIC_NAME]]="YLD_YTM_BID"),_bbt3[[#All],[METRIC_VALUE]])*0.5))/100,"")</f>
        <v>#N/A</v>
      </c>
      <c r="J80">
        <f>IF(ISNA(VLOOKUP(A80,'CloseDL - PriceSaverBBT3'!A:E,5,0)),0,VLOOKUP(A80,'CloseDL - PriceSaverBBT3'!A:E,5,0))</f>
        <v>5.1434894820403101E-2</v>
      </c>
      <c r="K80" s="7">
        <f t="shared" si="14"/>
        <v>0</v>
      </c>
      <c r="L80" s="20">
        <f>IF(Close[[#This Row],[CreatedBy]]="MARINER\SilverAdm",1,0)</f>
        <v>1</v>
      </c>
      <c r="M80" t="str">
        <f>IF(NOT(ISBLANK(A80)),VLOOKUP(A80,'Close - PriceSaver'!A:J,6,0),"")</f>
        <v>DL input prc = 44.79068426  PX_ASK = 44.87010473 PX_BID = 44.71126378</v>
      </c>
      <c r="Q80" t="e">
        <f t="shared" si="17"/>
        <v>#N/A</v>
      </c>
      <c r="R80" t="e">
        <f t="shared" si="15"/>
        <v>#N/A</v>
      </c>
      <c r="S80" t="e">
        <f t="shared" si="16"/>
        <v>#N/A</v>
      </c>
      <c r="T80" s="15" t="e">
        <f t="shared" si="9"/>
        <v>#N/A</v>
      </c>
      <c r="U80" s="18" t="e">
        <f t="shared" si="10"/>
        <v>#N/A</v>
      </c>
      <c r="V80" s="18" t="e">
        <f t="shared" si="11"/>
        <v>#N/A</v>
      </c>
      <c r="W80" s="19" t="e">
        <f t="shared" si="12"/>
        <v>#N/A</v>
      </c>
      <c r="X80" t="e">
        <f>VLOOKUP(P80,Close[[ID]:[CreatedBy]],8,0)</f>
        <v>#N/A</v>
      </c>
    </row>
    <row r="81" spans="1:24" x14ac:dyDescent="0.35">
      <c r="A81" t="str">
        <v>912803DY6</v>
      </c>
      <c r="B81" t="str">
        <f>IF(NOT(ISBLANK(A81)),VLOOKUP(A81,'BBT3'!A:F,2,0),"")</f>
        <v>Bond</v>
      </c>
      <c r="C81" t="str">
        <f>IF(NOT(ISBLANK(A81)),VLOOKUP(A81,'BBT3'!A:F,3,0),"")</f>
        <v>US912803DY69</v>
      </c>
      <c r="D81" s="5">
        <f>IF(NOT(ISBLANK(A81)),VLOOKUP(A81,'BBT3'!A:F,4,1),"")</f>
        <v>0</v>
      </c>
      <c r="E81">
        <f>IF(NOT(ISBLANK(A81)),VLOOKUP(A81,'BBT3'!A:F,5,0),"")</f>
        <v>52093</v>
      </c>
      <c r="F81" t="str">
        <f>IF(NOT(ISBLANK(A81)),VLOOKUP(A81,'BBT3'!A:F,6,0),"")</f>
        <v>N</v>
      </c>
      <c r="G81" t="str">
        <f t="shared" si="13"/>
        <v>Y</v>
      </c>
      <c r="H81">
        <f>IF(NOT(ISBLANK(A81)),VLOOKUP(A81,'Close - PriceSaver'!A:J,5,0),"")</f>
        <v>5.1649902292223299E-2</v>
      </c>
      <c r="I81" s="4" t="e" cm="1">
        <f t="array" ref="I81">IF(NOT(ISBLANK(A81)),((_xlfn.XLOOKUP(1,(_bbt3[[#All],[ID]]=A81)*(_bbt3[[#All],[METRIC_NAME]]="YLD_YTM_ASK"),_bbt3[[#All],[METRIC_VALUE]])*0.5)+(_xlfn.XLOOKUP(1,(_bbt3[[#All],[ID]]=A81)*(_bbt3[[#All],[METRIC_NAME]]="YLD_YTM_BID"),_bbt3[[#All],[METRIC_VALUE]])*0.5))/100,"")</f>
        <v>#N/A</v>
      </c>
      <c r="J81">
        <f>IF(ISNA(VLOOKUP(A81,'CloseDL - PriceSaverBBT3'!A:E,5,0)),0,VLOOKUP(A81,'CloseDL - PriceSaverBBT3'!A:E,5,0))</f>
        <v>5.1649902292223299E-2</v>
      </c>
      <c r="K81" s="7">
        <f t="shared" si="14"/>
        <v>0</v>
      </c>
      <c r="L81" s="20">
        <f>IF(Close[[#This Row],[CreatedBy]]="MARINER\SilverAdm",1,0)</f>
        <v>1</v>
      </c>
      <c r="M81" t="str">
        <f>IF(NOT(ISBLANK(A81)),VLOOKUP(A81,'Close - PriceSaver'!A:J,6,0),"")</f>
        <v>DL input prc = 44.07450669  PX_ASK = 44.15043824 PX_BID = 43.99857514</v>
      </c>
      <c r="Q81" t="e">
        <f t="shared" si="17"/>
        <v>#N/A</v>
      </c>
      <c r="R81" t="e">
        <f t="shared" si="15"/>
        <v>#N/A</v>
      </c>
      <c r="S81" t="e">
        <f t="shared" si="16"/>
        <v>#N/A</v>
      </c>
      <c r="T81" s="15" t="e">
        <f t="shared" si="9"/>
        <v>#N/A</v>
      </c>
      <c r="U81" s="18" t="e">
        <f t="shared" si="10"/>
        <v>#N/A</v>
      </c>
      <c r="V81" s="18" t="e">
        <f t="shared" si="11"/>
        <v>#N/A</v>
      </c>
      <c r="W81" s="19" t="e">
        <f t="shared" si="12"/>
        <v>#N/A</v>
      </c>
      <c r="X81" t="e">
        <f>VLOOKUP(P81,Close[[ID]:[CreatedBy]],8,0)</f>
        <v>#N/A</v>
      </c>
    </row>
    <row r="82" spans="1:24" x14ac:dyDescent="0.35">
      <c r="A82" t="str">
        <v>912803DZ3</v>
      </c>
      <c r="B82" t="str">
        <f>IF(NOT(ISBLANK(A82)),VLOOKUP(A82,'BBT3'!A:F,2,0),"")</f>
        <v>Bond</v>
      </c>
      <c r="C82" t="str">
        <f>IF(NOT(ISBLANK(A82)),VLOOKUP(A82,'BBT3'!A:F,3,0),"")</f>
        <v>US912803DZ35</v>
      </c>
      <c r="D82" s="5">
        <f>IF(NOT(ISBLANK(A82)),VLOOKUP(A82,'BBT3'!A:F,4,1),"")</f>
        <v>0</v>
      </c>
      <c r="E82">
        <f>IF(NOT(ISBLANK(A82)),VLOOKUP(A82,'BBT3'!A:F,5,0),"")</f>
        <v>52185</v>
      </c>
      <c r="F82" t="str">
        <f>IF(NOT(ISBLANK(A82)),VLOOKUP(A82,'BBT3'!A:F,6,0),"")</f>
        <v>N</v>
      </c>
      <c r="G82" t="str">
        <f t="shared" si="13"/>
        <v>Y</v>
      </c>
      <c r="H82">
        <f>IF(NOT(ISBLANK(A82)),VLOOKUP(A82,'Close - PriceSaver'!A:J,5,0),"")</f>
        <v>5.1844891613345302E-2</v>
      </c>
      <c r="I82" s="4" t="e" cm="1">
        <f t="array" ref="I82">IF(NOT(ISBLANK(A82)),((_xlfn.XLOOKUP(1,(_bbt3[[#All],[ID]]=A82)*(_bbt3[[#All],[METRIC_NAME]]="YLD_YTM_ASK"),_bbt3[[#All],[METRIC_VALUE]])*0.5)+(_xlfn.XLOOKUP(1,(_bbt3[[#All],[ID]]=A82)*(_bbt3[[#All],[METRIC_NAME]]="YLD_YTM_BID"),_bbt3[[#All],[METRIC_VALUE]])*0.5))/100,"")</f>
        <v>#N/A</v>
      </c>
      <c r="J82">
        <f>IF(ISNA(VLOOKUP(A82,'CloseDL - PriceSaverBBT3'!A:E,5,0)),0,VLOOKUP(A82,'CloseDL - PriceSaverBBT3'!A:E,5,0))</f>
        <v>5.1844891613345302E-2</v>
      </c>
      <c r="K82" s="7">
        <f t="shared" si="14"/>
        <v>0</v>
      </c>
      <c r="L82" s="20">
        <f>IF(Close[[#This Row],[CreatedBy]]="MARINER\SilverAdm",1,0)</f>
        <v>1</v>
      </c>
      <c r="M82" t="str">
        <f>IF(NOT(ISBLANK(A82)),VLOOKUP(A82,'Close - PriceSaver'!A:J,6,0),"")</f>
        <v>DL input prc = 43.38384085  PX_ASK = 43.46318294 PX_BID = 43.30449875</v>
      </c>
      <c r="Q82" t="e">
        <f t="shared" si="17"/>
        <v>#N/A</v>
      </c>
      <c r="R82" t="e">
        <f t="shared" si="15"/>
        <v>#N/A</v>
      </c>
      <c r="S82" t="e">
        <f t="shared" si="16"/>
        <v>#N/A</v>
      </c>
      <c r="T82" s="15" t="e">
        <f t="shared" si="9"/>
        <v>#N/A</v>
      </c>
      <c r="U82" s="18" t="e">
        <f t="shared" si="10"/>
        <v>#N/A</v>
      </c>
      <c r="V82" s="18" t="e">
        <f t="shared" si="11"/>
        <v>#N/A</v>
      </c>
      <c r="W82" s="19" t="e">
        <f t="shared" si="12"/>
        <v>#N/A</v>
      </c>
      <c r="X82" t="e">
        <f>VLOOKUP(P82,Close[[ID]:[CreatedBy]],8,0)</f>
        <v>#N/A</v>
      </c>
    </row>
    <row r="83" spans="1:24" x14ac:dyDescent="0.35">
      <c r="A83" t="str">
        <v>912803EA7</v>
      </c>
      <c r="B83" t="str">
        <f>IF(NOT(ISBLANK(A83)),VLOOKUP(A83,'BBT3'!A:F,2,0),"")</f>
        <v>Bond</v>
      </c>
      <c r="C83" t="str">
        <f>IF(NOT(ISBLANK(A83)),VLOOKUP(A83,'BBT3'!A:F,3,0),"")</f>
        <v>US912803EA74</v>
      </c>
      <c r="D83" s="5">
        <f>IF(NOT(ISBLANK(A83)),VLOOKUP(A83,'BBT3'!A:F,4,1),"")</f>
        <v>0</v>
      </c>
      <c r="E83">
        <f>IF(NOT(ISBLANK(A83)),VLOOKUP(A83,'BBT3'!A:F,5,0),"")</f>
        <v>52277</v>
      </c>
      <c r="F83" t="str">
        <f>IF(NOT(ISBLANK(A83)),VLOOKUP(A83,'BBT3'!A:F,6,0),"")</f>
        <v>N</v>
      </c>
      <c r="G83" t="str">
        <f t="shared" si="13"/>
        <v>Y</v>
      </c>
      <c r="H83">
        <f>IF(NOT(ISBLANK(A83)),VLOOKUP(A83,'Close - PriceSaver'!A:J,5,0),"")</f>
        <v>5.2014908306488299E-2</v>
      </c>
      <c r="I83" s="4" t="e" cm="1">
        <f t="array" ref="I83">IF(NOT(ISBLANK(A83)),((_xlfn.XLOOKUP(1,(_bbt3[[#All],[ID]]=A83)*(_bbt3[[#All],[METRIC_NAME]]="YLD_YTM_ASK"),_bbt3[[#All],[METRIC_VALUE]])*0.5)+(_xlfn.XLOOKUP(1,(_bbt3[[#All],[ID]]=A83)*(_bbt3[[#All],[METRIC_NAME]]="YLD_YTM_BID"),_bbt3[[#All],[METRIC_VALUE]])*0.5))/100,"")</f>
        <v>#N/A</v>
      </c>
      <c r="J83">
        <f>IF(ISNA(VLOOKUP(A83,'CloseDL - PriceSaverBBT3'!A:E,5,0)),0,VLOOKUP(A83,'CloseDL - PriceSaverBBT3'!A:E,5,0))</f>
        <v>5.2014908306488299E-2</v>
      </c>
      <c r="K83" s="7">
        <f t="shared" si="14"/>
        <v>0</v>
      </c>
      <c r="L83" s="20">
        <f>IF(Close[[#This Row],[CreatedBy]]="MARINER\SilverAdm",1,0)</f>
        <v>1</v>
      </c>
      <c r="M83" t="str">
        <f>IF(NOT(ISBLANK(A83)),VLOOKUP(A83,'Close - PriceSaver'!A:J,6,0),"")</f>
        <v>DL input prc = 42.71244669  PX_ASK = 42.78485997 PX_BID = 42.64003340</v>
      </c>
      <c r="Q83" t="e">
        <f t="shared" si="17"/>
        <v>#N/A</v>
      </c>
      <c r="R83" t="e">
        <f t="shared" si="15"/>
        <v>#N/A</v>
      </c>
      <c r="S83" t="e">
        <f t="shared" si="16"/>
        <v>#N/A</v>
      </c>
      <c r="T83" s="15" t="e">
        <f t="shared" si="9"/>
        <v>#N/A</v>
      </c>
      <c r="U83" s="18" t="e">
        <f t="shared" si="10"/>
        <v>#N/A</v>
      </c>
      <c r="V83" s="18" t="e">
        <f t="shared" si="11"/>
        <v>#N/A</v>
      </c>
      <c r="W83" s="19" t="e">
        <f t="shared" si="12"/>
        <v>#N/A</v>
      </c>
      <c r="X83" t="e">
        <f>VLOOKUP(P83,Close[[ID]:[CreatedBy]],8,0)</f>
        <v>#N/A</v>
      </c>
    </row>
    <row r="84" spans="1:24" x14ac:dyDescent="0.35">
      <c r="A84" t="str">
        <v>912803EC3</v>
      </c>
      <c r="B84" t="str">
        <f>IF(NOT(ISBLANK(A84)),VLOOKUP(A84,'BBT3'!A:F,2,0),"")</f>
        <v>Bond</v>
      </c>
      <c r="C84" t="str">
        <f>IF(NOT(ISBLANK(A84)),VLOOKUP(A84,'BBT3'!A:F,3,0),"")</f>
        <v>US912803EC31</v>
      </c>
      <c r="D84" s="5">
        <f>IF(NOT(ISBLANK(A84)),VLOOKUP(A84,'BBT3'!A:F,4,1),"")</f>
        <v>0</v>
      </c>
      <c r="E84">
        <f>IF(NOT(ISBLANK(A84)),VLOOKUP(A84,'BBT3'!A:F,5,0),"")</f>
        <v>52366</v>
      </c>
      <c r="F84" t="str">
        <f>IF(NOT(ISBLANK(A84)),VLOOKUP(A84,'BBT3'!A:F,6,0),"")</f>
        <v>N</v>
      </c>
      <c r="G84" t="str">
        <f t="shared" si="13"/>
        <v>Y</v>
      </c>
      <c r="H84">
        <f>IF(NOT(ISBLANK(A84)),VLOOKUP(A84,'Close - PriceSaver'!A:J,5,0),"")</f>
        <v>5.2124906977195698E-2</v>
      </c>
      <c r="I84" s="4" t="e" cm="1">
        <f t="array" ref="I84">IF(NOT(ISBLANK(A84)),((_xlfn.XLOOKUP(1,(_bbt3[[#All],[ID]]=A84)*(_bbt3[[#All],[METRIC_NAME]]="YLD_YTM_ASK"),_bbt3[[#All],[METRIC_VALUE]])*0.5)+(_xlfn.XLOOKUP(1,(_bbt3[[#All],[ID]]=A84)*(_bbt3[[#All],[METRIC_NAME]]="YLD_YTM_BID"),_bbt3[[#All],[METRIC_VALUE]])*0.5))/100,"")</f>
        <v>#N/A</v>
      </c>
      <c r="J84">
        <f>IF(ISNA(VLOOKUP(A84,'CloseDL - PriceSaverBBT3'!A:E,5,0)),0,VLOOKUP(A84,'CloseDL - PriceSaverBBT3'!A:E,5,0))</f>
        <v>5.2124906977195698E-2</v>
      </c>
      <c r="K84" s="7">
        <f t="shared" si="14"/>
        <v>0</v>
      </c>
      <c r="L84" s="20">
        <f>IF(Close[[#This Row],[CreatedBy]]="MARINER\SilverAdm",1,0)</f>
        <v>1</v>
      </c>
      <c r="M84" t="str">
        <f>IF(NOT(ISBLANK(A84)),VLOOKUP(A84,'Close - PriceSaver'!A:J,6,0),"")</f>
        <v>DL input prc = 42.09401850  PX_ASK = 42.16645174 PX_BID = 42.02158526</v>
      </c>
      <c r="Q84" t="e">
        <f t="shared" si="17"/>
        <v>#N/A</v>
      </c>
      <c r="R84" t="e">
        <f t="shared" si="15"/>
        <v>#N/A</v>
      </c>
      <c r="S84" t="e">
        <f t="shared" si="16"/>
        <v>#N/A</v>
      </c>
      <c r="T84" s="15" t="e">
        <f t="shared" si="9"/>
        <v>#N/A</v>
      </c>
      <c r="U84" s="18" t="e">
        <f t="shared" si="10"/>
        <v>#N/A</v>
      </c>
      <c r="V84" s="18" t="e">
        <f t="shared" si="11"/>
        <v>#N/A</v>
      </c>
      <c r="W84" s="19" t="e">
        <f t="shared" si="12"/>
        <v>#N/A</v>
      </c>
      <c r="X84" t="e">
        <f>VLOOKUP(P84,Close[[ID]:[CreatedBy]],8,0)</f>
        <v>#N/A</v>
      </c>
    </row>
    <row r="85" spans="1:24" x14ac:dyDescent="0.35">
      <c r="A85" t="str">
        <v>912803ED1</v>
      </c>
      <c r="B85" t="str">
        <f>IF(NOT(ISBLANK(A85)),VLOOKUP(A85,'BBT3'!A:F,2,0),"")</f>
        <v>Bond</v>
      </c>
      <c r="C85" t="str">
        <f>IF(NOT(ISBLANK(A85)),VLOOKUP(A85,'BBT3'!A:F,3,0),"")</f>
        <v>US912803ED14</v>
      </c>
      <c r="D85" s="5">
        <f>IF(NOT(ISBLANK(A85)),VLOOKUP(A85,'BBT3'!A:F,4,1),"")</f>
        <v>0</v>
      </c>
      <c r="E85">
        <f>IF(NOT(ISBLANK(A85)),VLOOKUP(A85,'BBT3'!A:F,5,0),"")</f>
        <v>52458</v>
      </c>
      <c r="F85" t="str">
        <f>IF(NOT(ISBLANK(A85)),VLOOKUP(A85,'BBT3'!A:F,6,0),"")</f>
        <v>N</v>
      </c>
      <c r="G85" t="str">
        <f t="shared" si="13"/>
        <v>Y</v>
      </c>
      <c r="H85">
        <f>IF(NOT(ISBLANK(A85)),VLOOKUP(A85,'Close - PriceSaver'!A:J,5,0),"")</f>
        <v>5.2299896437066298E-2</v>
      </c>
      <c r="I85" s="4" t="e" cm="1">
        <f t="array" ref="I85">IF(NOT(ISBLANK(A85)),((_xlfn.XLOOKUP(1,(_bbt3[[#All],[ID]]=A85)*(_bbt3[[#All],[METRIC_NAME]]="YLD_YTM_ASK"),_bbt3[[#All],[METRIC_VALUE]])*0.5)+(_xlfn.XLOOKUP(1,(_bbt3[[#All],[ID]]=A85)*(_bbt3[[#All],[METRIC_NAME]]="YLD_YTM_BID"),_bbt3[[#All],[METRIC_VALUE]])*0.5))/100,"")</f>
        <v>#N/A</v>
      </c>
      <c r="J85">
        <f>IF(ISNA(VLOOKUP(A85,'CloseDL - PriceSaverBBT3'!A:E,5,0)),0,VLOOKUP(A85,'CloseDL - PriceSaverBBT3'!A:E,5,0))</f>
        <v>5.2299896437066298E-2</v>
      </c>
      <c r="K85" s="7">
        <f t="shared" si="14"/>
        <v>0</v>
      </c>
      <c r="L85" s="20">
        <f>IF(Close[[#This Row],[CreatedBy]]="MARINER\SilverAdm",1,0)</f>
        <v>1</v>
      </c>
      <c r="M85" t="str">
        <f>IF(NOT(ISBLANK(A85)),VLOOKUP(A85,'Close - PriceSaver'!A:J,6,0),"")</f>
        <v>DL input prc = 41.43290119  PX_ASK = 41.50870063 PX_BID = 41.35710174</v>
      </c>
      <c r="Q85" t="e">
        <f t="shared" si="17"/>
        <v>#N/A</v>
      </c>
      <c r="R85" t="e">
        <f t="shared" si="15"/>
        <v>#N/A</v>
      </c>
      <c r="S85" t="e">
        <f t="shared" si="16"/>
        <v>#N/A</v>
      </c>
      <c r="T85" s="15" t="e">
        <f t="shared" si="9"/>
        <v>#N/A</v>
      </c>
      <c r="U85" s="18" t="e">
        <f t="shared" si="10"/>
        <v>#N/A</v>
      </c>
      <c r="V85" s="18" t="e">
        <f t="shared" si="11"/>
        <v>#N/A</v>
      </c>
      <c r="W85" s="19" t="e">
        <f t="shared" si="12"/>
        <v>#N/A</v>
      </c>
      <c r="X85" t="e">
        <f>VLOOKUP(P85,Close[[ID]:[CreatedBy]],8,0)</f>
        <v>#N/A</v>
      </c>
    </row>
    <row r="86" spans="1:24" x14ac:dyDescent="0.35">
      <c r="A86" t="str">
        <v>912803EE9</v>
      </c>
      <c r="B86" t="str">
        <f>IF(NOT(ISBLANK(A86)),VLOOKUP(A86,'BBT3'!A:F,2,0),"")</f>
        <v>Bond</v>
      </c>
      <c r="C86" t="str">
        <f>IF(NOT(ISBLANK(A86)),VLOOKUP(A86,'BBT3'!A:F,3,0),"")</f>
        <v>US912803EE96</v>
      </c>
      <c r="D86" s="5">
        <f>IF(NOT(ISBLANK(A86)),VLOOKUP(A86,'BBT3'!A:F,4,1),"")</f>
        <v>0</v>
      </c>
      <c r="E86">
        <f>IF(NOT(ISBLANK(A86)),VLOOKUP(A86,'BBT3'!A:F,5,0),"")</f>
        <v>52550</v>
      </c>
      <c r="F86" t="str">
        <f>IF(NOT(ISBLANK(A86)),VLOOKUP(A86,'BBT3'!A:F,6,0),"")</f>
        <v>N</v>
      </c>
      <c r="G86" t="str">
        <f t="shared" si="13"/>
        <v>Y</v>
      </c>
      <c r="H86">
        <f>IF(NOT(ISBLANK(A86)),VLOOKUP(A86,'Close - PriceSaver'!A:J,5,0),"")</f>
        <v>5.2429894970056602E-2</v>
      </c>
      <c r="I86" s="4" t="e" cm="1">
        <f t="array" ref="I86">IF(NOT(ISBLANK(A86)),((_xlfn.XLOOKUP(1,(_bbt3[[#All],[ID]]=A86)*(_bbt3[[#All],[METRIC_NAME]]="YLD_YTM_ASK"),_bbt3[[#All],[METRIC_VALUE]])*0.5)+(_xlfn.XLOOKUP(1,(_bbt3[[#All],[ID]]=A86)*(_bbt3[[#All],[METRIC_NAME]]="YLD_YTM_BID"),_bbt3[[#All],[METRIC_VALUE]])*0.5))/100,"")</f>
        <v>#N/A</v>
      </c>
      <c r="J86">
        <f>IF(ISNA(VLOOKUP(A86,'CloseDL - PriceSaverBBT3'!A:E,5,0)),0,VLOOKUP(A86,'CloseDL - PriceSaverBBT3'!A:E,5,0))</f>
        <v>5.2429894970056602E-2</v>
      </c>
      <c r="K86" s="7">
        <f t="shared" si="14"/>
        <v>0</v>
      </c>
      <c r="L86" s="20">
        <f>IF(Close[[#This Row],[CreatedBy]]="MARINER\SilverAdm",1,0)</f>
        <v>1</v>
      </c>
      <c r="M86" t="str">
        <f>IF(NOT(ISBLANK(A86)),VLOOKUP(A86,'Close - PriceSaver'!A:J,6,0),"")</f>
        <v>DL input prc = 40.81422300  PX_ASK = 40.88997486 PX_BID = 40.73847114</v>
      </c>
      <c r="Q86" t="e">
        <f t="shared" si="17"/>
        <v>#N/A</v>
      </c>
      <c r="R86" t="e">
        <f t="shared" si="15"/>
        <v>#N/A</v>
      </c>
      <c r="S86" t="e">
        <f t="shared" si="16"/>
        <v>#N/A</v>
      </c>
      <c r="T86" s="15" t="e">
        <f t="shared" si="9"/>
        <v>#N/A</v>
      </c>
      <c r="U86" s="18" t="e">
        <f t="shared" si="10"/>
        <v>#N/A</v>
      </c>
      <c r="V86" s="18" t="e">
        <f t="shared" si="11"/>
        <v>#N/A</v>
      </c>
      <c r="W86" s="19" t="e">
        <f t="shared" si="12"/>
        <v>#N/A</v>
      </c>
      <c r="X86" t="e">
        <f>VLOOKUP(P86,Close[[ID]:[CreatedBy]],8,0)</f>
        <v>#N/A</v>
      </c>
    </row>
    <row r="87" spans="1:24" x14ac:dyDescent="0.35">
      <c r="A87" t="str">
        <v>912803EF6</v>
      </c>
      <c r="B87" t="str">
        <f>IF(NOT(ISBLANK(A87)),VLOOKUP(A87,'BBT3'!A:F,2,0),"")</f>
        <v>Bond</v>
      </c>
      <c r="C87" t="str">
        <f>IF(NOT(ISBLANK(A87)),VLOOKUP(A87,'BBT3'!A:F,3,0),"")</f>
        <v>US912803EF61</v>
      </c>
      <c r="D87" s="5">
        <f>IF(NOT(ISBLANK(A87)),VLOOKUP(A87,'BBT3'!A:F,4,1),"")</f>
        <v>0</v>
      </c>
      <c r="E87">
        <f>IF(NOT(ISBLANK(A87)),VLOOKUP(A87,'BBT3'!A:F,5,0),"")</f>
        <v>52642</v>
      </c>
      <c r="F87" t="str">
        <f>IF(NOT(ISBLANK(A87)),VLOOKUP(A87,'BBT3'!A:F,6,0),"")</f>
        <v>N</v>
      </c>
      <c r="G87" t="str">
        <f t="shared" si="13"/>
        <v>Y</v>
      </c>
      <c r="H87">
        <f>IF(NOT(ISBLANK(A87)),VLOOKUP(A87,'Close - PriceSaver'!A:J,5,0),"")</f>
        <v>5.2544493524045603E-2</v>
      </c>
      <c r="I87" s="4" t="e" cm="1">
        <f t="array" ref="I87">IF(NOT(ISBLANK(A87)),((_xlfn.XLOOKUP(1,(_bbt3[[#All],[ID]]=A87)*(_bbt3[[#All],[METRIC_NAME]]="YLD_YTM_ASK"),_bbt3[[#All],[METRIC_VALUE]])*0.5)+(_xlfn.XLOOKUP(1,(_bbt3[[#All],[ID]]=A87)*(_bbt3[[#All],[METRIC_NAME]]="YLD_YTM_BID"),_bbt3[[#All],[METRIC_VALUE]])*0.5))/100,"")</f>
        <v>#N/A</v>
      </c>
      <c r="J87">
        <f>IF(ISNA(VLOOKUP(A87,'CloseDL - PriceSaverBBT3'!A:E,5,0)),0,VLOOKUP(A87,'CloseDL - PriceSaverBBT3'!A:E,5,0))</f>
        <v>5.2544493524045603E-2</v>
      </c>
      <c r="K87" s="7">
        <f t="shared" si="14"/>
        <v>0</v>
      </c>
      <c r="L87" s="20">
        <f>IF(Close[[#This Row],[CreatedBy]]="MARINER\SilverAdm",1,0)</f>
        <v>1</v>
      </c>
      <c r="M87" t="str">
        <f>IF(NOT(ISBLANK(A87)),VLOOKUP(A87,'Close - PriceSaver'!A:J,6,0),"")</f>
        <v>DL input prc = 40.20805971  PX_ASK = 40.28032329 PX_BID = 40.13579612</v>
      </c>
      <c r="Q87" t="e">
        <f t="shared" si="17"/>
        <v>#N/A</v>
      </c>
      <c r="R87" t="e">
        <f t="shared" si="15"/>
        <v>#N/A</v>
      </c>
      <c r="S87" t="e">
        <f t="shared" si="16"/>
        <v>#N/A</v>
      </c>
      <c r="T87" s="15" t="e">
        <f t="shared" si="9"/>
        <v>#N/A</v>
      </c>
      <c r="U87" s="18" t="e">
        <f t="shared" si="10"/>
        <v>#N/A</v>
      </c>
      <c r="V87" s="18" t="e">
        <f t="shared" si="11"/>
        <v>#N/A</v>
      </c>
      <c r="W87" s="19" t="e">
        <f t="shared" si="12"/>
        <v>#N/A</v>
      </c>
      <c r="X87" t="e">
        <f>VLOOKUP(P87,Close[[ID]:[CreatedBy]],8,0)</f>
        <v>#N/A</v>
      </c>
    </row>
    <row r="88" spans="1:24" x14ac:dyDescent="0.35">
      <c r="A88" t="str">
        <v>912803EH2</v>
      </c>
      <c r="B88" t="str">
        <f>IF(NOT(ISBLANK(A88)),VLOOKUP(A88,'BBT3'!A:F,2,0),"")</f>
        <v>Bond</v>
      </c>
      <c r="C88" t="str">
        <f>IF(NOT(ISBLANK(A88)),VLOOKUP(A88,'BBT3'!A:F,3,0),"")</f>
        <v>US912803EH28</v>
      </c>
      <c r="D88" s="5">
        <f>IF(NOT(ISBLANK(A88)),VLOOKUP(A88,'BBT3'!A:F,4,1),"")</f>
        <v>0</v>
      </c>
      <c r="E88">
        <f>IF(NOT(ISBLANK(A88)),VLOOKUP(A88,'BBT3'!A:F,5,0),"")</f>
        <v>52732</v>
      </c>
      <c r="F88" t="str">
        <f>IF(NOT(ISBLANK(A88)),VLOOKUP(A88,'BBT3'!A:F,6,0),"")</f>
        <v>N</v>
      </c>
      <c r="G88" t="str">
        <f t="shared" si="13"/>
        <v>Y</v>
      </c>
      <c r="H88">
        <f>IF(NOT(ISBLANK(A88)),VLOOKUP(A88,'Close - PriceSaver'!A:J,5,0),"")</f>
        <v>5.2574901626171101E-2</v>
      </c>
      <c r="I88" s="4" t="e" cm="1">
        <f t="array" ref="I88">IF(NOT(ISBLANK(A88)),((_xlfn.XLOOKUP(1,(_bbt3[[#All],[ID]]=A88)*(_bbt3[[#All],[METRIC_NAME]]="YLD_YTM_ASK"),_bbt3[[#All],[METRIC_VALUE]])*0.5)+(_xlfn.XLOOKUP(1,(_bbt3[[#All],[ID]]=A88)*(_bbt3[[#All],[METRIC_NAME]]="YLD_YTM_BID"),_bbt3[[#All],[METRIC_VALUE]])*0.5))/100,"")</f>
        <v>#N/A</v>
      </c>
      <c r="J88">
        <f>IF(ISNA(VLOOKUP(A88,'CloseDL - PriceSaverBBT3'!A:E,5,0)),0,VLOOKUP(A88,'CloseDL - PriceSaverBBT3'!A:E,5,0))</f>
        <v>5.2574901626171101E-2</v>
      </c>
      <c r="K88" s="7">
        <f t="shared" si="14"/>
        <v>0</v>
      </c>
      <c r="L88" s="20">
        <f>IF(Close[[#This Row],[CreatedBy]]="MARINER\SilverAdm",1,0)</f>
        <v>1</v>
      </c>
      <c r="M88" t="str">
        <f>IF(NOT(ISBLANK(A88)),VLOOKUP(A88,'Close - PriceSaver'!A:J,6,0),"")</f>
        <v>DL input prc = 39.67162331  PX_ASK = 39.74393206 PX_BID = 39.59931455</v>
      </c>
      <c r="Q88" t="e">
        <f t="shared" si="17"/>
        <v>#N/A</v>
      </c>
      <c r="R88" t="e">
        <f t="shared" si="15"/>
        <v>#N/A</v>
      </c>
      <c r="S88" t="e">
        <f t="shared" si="16"/>
        <v>#N/A</v>
      </c>
      <c r="T88" s="15" t="e">
        <f t="shared" si="9"/>
        <v>#N/A</v>
      </c>
      <c r="U88" s="18" t="e">
        <f t="shared" si="10"/>
        <v>#N/A</v>
      </c>
      <c r="V88" s="18" t="e">
        <f t="shared" si="11"/>
        <v>#N/A</v>
      </c>
      <c r="W88" s="19" t="e">
        <f t="shared" si="12"/>
        <v>#N/A</v>
      </c>
      <c r="X88" t="e">
        <f>VLOOKUP(P88,Close[[ID]:[CreatedBy]],8,0)</f>
        <v>#N/A</v>
      </c>
    </row>
    <row r="89" spans="1:24" x14ac:dyDescent="0.35">
      <c r="A89" t="str">
        <v>912803EJ8</v>
      </c>
      <c r="B89" t="str">
        <f>IF(NOT(ISBLANK(A89)),VLOOKUP(A89,'BBT3'!A:F,2,0),"")</f>
        <v>Bond</v>
      </c>
      <c r="C89" t="str">
        <f>IF(NOT(ISBLANK(A89)),VLOOKUP(A89,'BBT3'!A:F,3,0),"")</f>
        <v>US912803EJ83</v>
      </c>
      <c r="D89" s="5">
        <f>IF(NOT(ISBLANK(A89)),VLOOKUP(A89,'BBT3'!A:F,4,1),"")</f>
        <v>0</v>
      </c>
      <c r="E89">
        <f>IF(NOT(ISBLANK(A89)),VLOOKUP(A89,'BBT3'!A:F,5,0),"")</f>
        <v>52824</v>
      </c>
      <c r="F89" t="str">
        <f>IF(NOT(ISBLANK(A89)),VLOOKUP(A89,'BBT3'!A:F,6,0),"")</f>
        <v>N</v>
      </c>
      <c r="G89" t="str">
        <f t="shared" si="13"/>
        <v>Y</v>
      </c>
      <c r="H89">
        <f>IF(NOT(ISBLANK(A89)),VLOOKUP(A89,'Close - PriceSaver'!A:J,5,0),"")</f>
        <v>5.2699890564064898E-2</v>
      </c>
      <c r="I89" s="4" t="e" cm="1">
        <f t="array" ref="I89">IF(NOT(ISBLANK(A89)),((_xlfn.XLOOKUP(1,(_bbt3[[#All],[ID]]=A89)*(_bbt3[[#All],[METRIC_NAME]]="YLD_YTM_ASK"),_bbt3[[#All],[METRIC_VALUE]])*0.5)+(_xlfn.XLOOKUP(1,(_bbt3[[#All],[ID]]=A89)*(_bbt3[[#All],[METRIC_NAME]]="YLD_YTM_BID"),_bbt3[[#All],[METRIC_VALUE]])*0.5))/100,"")</f>
        <v>#N/A</v>
      </c>
      <c r="J89">
        <f>IF(ISNA(VLOOKUP(A89,'CloseDL - PriceSaverBBT3'!A:E,5,0)),0,VLOOKUP(A89,'CloseDL - PriceSaverBBT3'!A:E,5,0))</f>
        <v>5.2699890564064898E-2</v>
      </c>
      <c r="K89" s="7">
        <f t="shared" si="14"/>
        <v>0</v>
      </c>
      <c r="L89" s="20">
        <f>IF(Close[[#This Row],[CreatedBy]]="MARINER\SilverAdm",1,0)</f>
        <v>1</v>
      </c>
      <c r="M89" t="str">
        <f>IF(NOT(ISBLANK(A89)),VLOOKUP(A89,'Close - PriceSaver'!A:J,6,0),"")</f>
        <v>DL input prc = 39.07199378  PX_ASK = 39.14764769 PX_BID = 38.99633986</v>
      </c>
      <c r="Q89" t="e">
        <f t="shared" si="17"/>
        <v>#N/A</v>
      </c>
      <c r="R89" t="e">
        <f t="shared" si="15"/>
        <v>#N/A</v>
      </c>
      <c r="S89" t="e">
        <f t="shared" si="16"/>
        <v>#N/A</v>
      </c>
      <c r="T89" s="15" t="e">
        <f t="shared" ref="T89:T116" si="18">VLOOKUP(P89,A:K,5,0)</f>
        <v>#N/A</v>
      </c>
      <c r="U89" s="18" t="e">
        <f t="shared" ref="U89:U116" si="19">VLOOKUP(P89,A:K,8,0)</f>
        <v>#N/A</v>
      </c>
      <c r="V89" s="18" t="e">
        <f t="shared" ref="V89:V116" si="20">VLOOKUP(P89,A:K,10,0)</f>
        <v>#N/A</v>
      </c>
      <c r="W89" s="19" t="e">
        <f t="shared" ref="W89:W116" si="21">(V89-U89)*100</f>
        <v>#N/A</v>
      </c>
      <c r="X89" t="e">
        <f>VLOOKUP(P89,Close[[ID]:[CreatedBy]],8,0)</f>
        <v>#N/A</v>
      </c>
    </row>
    <row r="90" spans="1:24" x14ac:dyDescent="0.35">
      <c r="A90" t="str">
        <v>912803EK5</v>
      </c>
      <c r="B90" t="str">
        <f>IF(NOT(ISBLANK(A90)),VLOOKUP(A90,'BBT3'!A:F,2,0),"")</f>
        <v>Bond</v>
      </c>
      <c r="C90" t="str">
        <f>IF(NOT(ISBLANK(A90)),VLOOKUP(A90,'BBT3'!A:F,3,0),"")</f>
        <v>US912803EK56</v>
      </c>
      <c r="D90" s="5">
        <f>IF(NOT(ISBLANK(A90)),VLOOKUP(A90,'BBT3'!A:F,4,1),"")</f>
        <v>0</v>
      </c>
      <c r="E90">
        <f>IF(NOT(ISBLANK(A90)),VLOOKUP(A90,'BBT3'!A:F,5,0),"")</f>
        <v>52916</v>
      </c>
      <c r="F90" t="str">
        <f>IF(NOT(ISBLANK(A90)),VLOOKUP(A90,'BBT3'!A:F,6,0),"")</f>
        <v>N</v>
      </c>
      <c r="G90" t="str">
        <f t="shared" si="13"/>
        <v>Y</v>
      </c>
      <c r="H90">
        <f>IF(NOT(ISBLANK(A90)),VLOOKUP(A90,'Close - PriceSaver'!A:J,5,0),"")</f>
        <v>5.2769889092798797E-2</v>
      </c>
      <c r="I90" s="4" t="e" cm="1">
        <f t="array" ref="I90">IF(NOT(ISBLANK(A90)),((_xlfn.XLOOKUP(1,(_bbt3[[#All],[ID]]=A90)*(_bbt3[[#All],[METRIC_NAME]]="YLD_YTM_ASK"),_bbt3[[#All],[METRIC_VALUE]])*0.5)+(_xlfn.XLOOKUP(1,(_bbt3[[#All],[ID]]=A90)*(_bbt3[[#All],[METRIC_NAME]]="YLD_YTM_BID"),_bbt3[[#All],[METRIC_VALUE]])*0.5))/100,"")</f>
        <v>#N/A</v>
      </c>
      <c r="J90">
        <f>IF(ISNA(VLOOKUP(A90,'CloseDL - PriceSaverBBT3'!A:E,5,0)),0,VLOOKUP(A90,'CloseDL - PriceSaverBBT3'!A:E,5,0))</f>
        <v>5.2769889092798797E-2</v>
      </c>
      <c r="K90" s="7">
        <f t="shared" si="14"/>
        <v>0</v>
      </c>
      <c r="L90" s="20">
        <f>IF(Close[[#This Row],[CreatedBy]]="MARINER\SilverAdm",1,0)</f>
        <v>1</v>
      </c>
      <c r="M90" t="str">
        <f>IF(NOT(ISBLANK(A90)),VLOOKUP(A90,'Close - PriceSaver'!A:J,6,0),"")</f>
        <v>DL input prc = 38.52119778  PX_ASK = 38.59681030 PX_BID = 38.44558526</v>
      </c>
      <c r="Q90" t="e">
        <f t="shared" si="17"/>
        <v>#N/A</v>
      </c>
      <c r="R90" t="e">
        <f t="shared" si="15"/>
        <v>#N/A</v>
      </c>
      <c r="S90" t="e">
        <f t="shared" si="16"/>
        <v>#N/A</v>
      </c>
      <c r="T90" s="15" t="e">
        <f t="shared" si="18"/>
        <v>#N/A</v>
      </c>
      <c r="U90" s="18" t="e">
        <f t="shared" si="19"/>
        <v>#N/A</v>
      </c>
      <c r="V90" s="18" t="e">
        <f t="shared" si="20"/>
        <v>#N/A</v>
      </c>
      <c r="W90" s="19" t="e">
        <f t="shared" si="21"/>
        <v>#N/A</v>
      </c>
      <c r="X90" t="e">
        <f>VLOOKUP(P90,Close[[ID]:[CreatedBy]],8,0)</f>
        <v>#N/A</v>
      </c>
    </row>
    <row r="91" spans="1:24" x14ac:dyDescent="0.35">
      <c r="A91" t="str">
        <v>912803EL3</v>
      </c>
      <c r="B91" t="str">
        <f>IF(NOT(ISBLANK(A91)),VLOOKUP(A91,'BBT3'!A:F,2,0),"")</f>
        <v>Bond</v>
      </c>
      <c r="C91" t="str">
        <f>IF(NOT(ISBLANK(A91)),VLOOKUP(A91,'BBT3'!A:F,3,0),"")</f>
        <v>US912803EL30</v>
      </c>
      <c r="D91" s="5">
        <f>IF(NOT(ISBLANK(A91)),VLOOKUP(A91,'BBT3'!A:F,4,1),"")</f>
        <v>0</v>
      </c>
      <c r="E91">
        <f>IF(NOT(ISBLANK(A91)),VLOOKUP(A91,'BBT3'!A:F,5,0),"")</f>
        <v>53008</v>
      </c>
      <c r="F91" t="str">
        <f>IF(NOT(ISBLANK(A91)),VLOOKUP(A91,'BBT3'!A:F,6,0),"")</f>
        <v>N</v>
      </c>
      <c r="G91" t="str">
        <f t="shared" si="13"/>
        <v>Y</v>
      </c>
      <c r="H91">
        <f>IF(NOT(ISBLANK(A91)),VLOOKUP(A91,'Close - PriceSaver'!A:J,5,0),"")</f>
        <v>5.2789606780923003E-2</v>
      </c>
      <c r="I91" s="4" t="e" cm="1">
        <f t="array" ref="I91">IF(NOT(ISBLANK(A91)),((_xlfn.XLOOKUP(1,(_bbt3[[#All],[ID]]=A91)*(_bbt3[[#All],[METRIC_NAME]]="YLD_YTM_ASK"),_bbt3[[#All],[METRIC_VALUE]])*0.5)+(_xlfn.XLOOKUP(1,(_bbt3[[#All],[ID]]=A91)*(_bbt3[[#All],[METRIC_NAME]]="YLD_YTM_BID"),_bbt3[[#All],[METRIC_VALUE]])*0.5))/100,"")</f>
        <v>#N/A</v>
      </c>
      <c r="J91">
        <f>IF(ISNA(VLOOKUP(A91,'CloseDL - PriceSaverBBT3'!A:E,5,0)),0,VLOOKUP(A91,'CloseDL - PriceSaverBBT3'!A:E,5,0))</f>
        <v>5.2789606780923003E-2</v>
      </c>
      <c r="K91" s="7">
        <f t="shared" si="14"/>
        <v>0</v>
      </c>
      <c r="L91" s="20">
        <f>IF(Close[[#This Row],[CreatedBy]]="MARINER\SilverAdm",1,0)</f>
        <v>1</v>
      </c>
      <c r="M91" t="str">
        <f>IF(NOT(ISBLANK(A91)),VLOOKUP(A91,'Close - PriceSaver'!A:J,6,0),"")</f>
        <v>DL input prc = 38.00697064  PX_ASK = 38.08947077 PX_BID = 37.92447051</v>
      </c>
      <c r="Q91" t="e">
        <f t="shared" si="17"/>
        <v>#N/A</v>
      </c>
      <c r="R91" t="e">
        <f t="shared" si="15"/>
        <v>#N/A</v>
      </c>
      <c r="S91" t="e">
        <f t="shared" si="16"/>
        <v>#N/A</v>
      </c>
      <c r="T91" s="15" t="e">
        <f t="shared" si="18"/>
        <v>#N/A</v>
      </c>
      <c r="U91" s="18" t="e">
        <f t="shared" si="19"/>
        <v>#N/A</v>
      </c>
      <c r="V91" s="18" t="e">
        <f t="shared" si="20"/>
        <v>#N/A</v>
      </c>
      <c r="W91" s="19" t="e">
        <f t="shared" si="21"/>
        <v>#N/A</v>
      </c>
      <c r="X91" t="e">
        <f>VLOOKUP(P91,Close[[ID]:[CreatedBy]],8,0)</f>
        <v>#N/A</v>
      </c>
    </row>
    <row r="92" spans="1:24" x14ac:dyDescent="0.35">
      <c r="A92" t="str">
        <v>912803EN9</v>
      </c>
      <c r="B92" t="str">
        <f>IF(NOT(ISBLANK(A92)),VLOOKUP(A92,'BBT3'!A:F,2,0),"")</f>
        <v>Bond</v>
      </c>
      <c r="C92" t="str">
        <f>IF(NOT(ISBLANK(A92)),VLOOKUP(A92,'BBT3'!A:F,3,0),"")</f>
        <v>US912803EN95</v>
      </c>
      <c r="D92" s="5">
        <f>IF(NOT(ISBLANK(A92)),VLOOKUP(A92,'BBT3'!A:F,4,1),"")</f>
        <v>0</v>
      </c>
      <c r="E92">
        <f>IF(NOT(ISBLANK(A92)),VLOOKUP(A92,'BBT3'!A:F,5,0),"")</f>
        <v>53097</v>
      </c>
      <c r="F92" t="str">
        <f>IF(NOT(ISBLANK(A92)),VLOOKUP(A92,'BBT3'!A:F,6,0),"")</f>
        <v>N</v>
      </c>
      <c r="G92" t="str">
        <f t="shared" si="13"/>
        <v>Y</v>
      </c>
      <c r="H92">
        <f>IF(NOT(ISBLANK(A92)),VLOOKUP(A92,'Close - PriceSaver'!A:J,5,0),"")</f>
        <v>5.2814915084817497E-2</v>
      </c>
      <c r="I92" s="4" t="e" cm="1">
        <f t="array" ref="I92">IF(NOT(ISBLANK(A92)),((_xlfn.XLOOKUP(1,(_bbt3[[#All],[ID]]=A92)*(_bbt3[[#All],[METRIC_NAME]]="YLD_YTM_ASK"),_bbt3[[#All],[METRIC_VALUE]])*0.5)+(_xlfn.XLOOKUP(1,(_bbt3[[#All],[ID]]=A92)*(_bbt3[[#All],[METRIC_NAME]]="YLD_YTM_BID"),_bbt3[[#All],[METRIC_VALUE]])*0.5))/100,"")</f>
        <v>#N/A</v>
      </c>
      <c r="J92">
        <f>IF(ISNA(VLOOKUP(A92,'CloseDL - PriceSaverBBT3'!A:E,5,0)),0,VLOOKUP(A92,'CloseDL - PriceSaverBBT3'!A:E,5,0))</f>
        <v>5.2814915084817497E-2</v>
      </c>
      <c r="K92" s="7">
        <f t="shared" si="14"/>
        <v>0</v>
      </c>
      <c r="L92" s="20">
        <f>IF(Close[[#This Row],[CreatedBy]]="MARINER\SilverAdm",1,0)</f>
        <v>1</v>
      </c>
      <c r="M92" t="str">
        <f>IF(NOT(ISBLANK(A92)),VLOOKUP(A92,'Close - PriceSaver'!A:J,6,0),"")</f>
        <v>DL input prc = 37.49998109  PX_ASK = 37.56528567 PX_BID = 37.43467651</v>
      </c>
      <c r="Q92" t="e">
        <f t="shared" si="17"/>
        <v>#N/A</v>
      </c>
      <c r="R92" t="e">
        <f t="shared" si="15"/>
        <v>#N/A</v>
      </c>
      <c r="S92" t="e">
        <f t="shared" si="16"/>
        <v>#N/A</v>
      </c>
      <c r="T92" s="15" t="e">
        <f t="shared" si="18"/>
        <v>#N/A</v>
      </c>
      <c r="U92" s="18" t="e">
        <f t="shared" si="19"/>
        <v>#N/A</v>
      </c>
      <c r="V92" s="18" t="e">
        <f t="shared" si="20"/>
        <v>#N/A</v>
      </c>
      <c r="W92" s="19" t="e">
        <f t="shared" si="21"/>
        <v>#N/A</v>
      </c>
      <c r="X92" t="e">
        <f>VLOOKUP(P92,Close[[ID]:[CreatedBy]],8,0)</f>
        <v>#N/A</v>
      </c>
    </row>
    <row r="93" spans="1:24" x14ac:dyDescent="0.35">
      <c r="A93" t="str">
        <v>912803EP4</v>
      </c>
      <c r="B93" t="str">
        <f>IF(NOT(ISBLANK(A93)),VLOOKUP(A93,'BBT3'!A:F,2,0),"")</f>
        <v>Bond</v>
      </c>
      <c r="C93" t="str">
        <f>IF(NOT(ISBLANK(A93)),VLOOKUP(A93,'BBT3'!A:F,3,0),"")</f>
        <v>US912803EP44</v>
      </c>
      <c r="D93" s="5">
        <f>IF(NOT(ISBLANK(A93)),VLOOKUP(A93,'BBT3'!A:F,4,1),"")</f>
        <v>0</v>
      </c>
      <c r="E93">
        <f>IF(NOT(ISBLANK(A93)),VLOOKUP(A93,'BBT3'!A:F,5,0),"")</f>
        <v>53189</v>
      </c>
      <c r="F93" t="str">
        <f>IF(NOT(ISBLANK(A93)),VLOOKUP(A93,'BBT3'!A:F,6,0),"")</f>
        <v>N</v>
      </c>
      <c r="G93" t="str">
        <f t="shared" si="13"/>
        <v>Y</v>
      </c>
      <c r="H93">
        <f>IF(NOT(ISBLANK(A93)),VLOOKUP(A93,'Close - PriceSaver'!A:J,5,0),"")</f>
        <v>5.2929904690926302E-2</v>
      </c>
      <c r="I93" s="4" t="e" cm="1">
        <f t="array" ref="I93">IF(NOT(ISBLANK(A93)),((_xlfn.XLOOKUP(1,(_bbt3[[#All],[ID]]=A93)*(_bbt3[[#All],[METRIC_NAME]]="YLD_YTM_ASK"),_bbt3[[#All],[METRIC_VALUE]])*0.5)+(_xlfn.XLOOKUP(1,(_bbt3[[#All],[ID]]=A93)*(_bbt3[[#All],[METRIC_NAME]]="YLD_YTM_BID"),_bbt3[[#All],[METRIC_VALUE]])*0.5))/100,"")</f>
        <v>#N/A</v>
      </c>
      <c r="J93">
        <f>IF(ISNA(VLOOKUP(A93,'CloseDL - PriceSaverBBT3'!A:E,5,0)),0,VLOOKUP(A93,'CloseDL - PriceSaverBBT3'!A:E,5,0))</f>
        <v>5.2929904690926302E-2</v>
      </c>
      <c r="K93" s="7">
        <f t="shared" si="14"/>
        <v>0</v>
      </c>
      <c r="L93" s="20">
        <f>IF(Close[[#This Row],[CreatedBy]]="MARINER\SilverAdm",1,0)</f>
        <v>1</v>
      </c>
      <c r="M93" t="str">
        <f>IF(NOT(ISBLANK(A93)),VLOOKUP(A93,'Close - PriceSaver'!A:J,6,0),"")</f>
        <v>DL input prc = 36.93337891  PX_ASK = 37.00198154 PX_BID = 36.86477628</v>
      </c>
      <c r="Q93" t="e">
        <f t="shared" si="17"/>
        <v>#N/A</v>
      </c>
      <c r="R93" t="e">
        <f t="shared" si="15"/>
        <v>#N/A</v>
      </c>
      <c r="S93" t="e">
        <f t="shared" si="16"/>
        <v>#N/A</v>
      </c>
      <c r="T93" s="15" t="e">
        <f t="shared" si="18"/>
        <v>#N/A</v>
      </c>
      <c r="U93" s="18" t="e">
        <f t="shared" si="19"/>
        <v>#N/A</v>
      </c>
      <c r="V93" s="18" t="e">
        <f t="shared" si="20"/>
        <v>#N/A</v>
      </c>
      <c r="W93" s="19" t="e">
        <f t="shared" si="21"/>
        <v>#N/A</v>
      </c>
      <c r="X93" t="e">
        <f>VLOOKUP(P93,Close[[ID]:[CreatedBy]],8,0)</f>
        <v>#N/A</v>
      </c>
    </row>
    <row r="94" spans="1:24" x14ac:dyDescent="0.35">
      <c r="A94" t="str">
        <v>912803EQ2</v>
      </c>
      <c r="B94" t="str">
        <f>IF(NOT(ISBLANK(A94)),VLOOKUP(A94,'BBT3'!A:F,2,0),"")</f>
        <v>Bond</v>
      </c>
      <c r="C94" t="str">
        <f>IF(NOT(ISBLANK(A94)),VLOOKUP(A94,'BBT3'!A:F,3,0),"")</f>
        <v>US912803EQ27</v>
      </c>
      <c r="D94" s="5">
        <f>IF(NOT(ISBLANK(A94)),VLOOKUP(A94,'BBT3'!A:F,4,1),"")</f>
        <v>0</v>
      </c>
      <c r="E94">
        <f>IF(NOT(ISBLANK(A94)),VLOOKUP(A94,'BBT3'!A:F,5,0),"")</f>
        <v>53281</v>
      </c>
      <c r="F94" t="str">
        <f>IF(NOT(ISBLANK(A94)),VLOOKUP(A94,'BBT3'!A:F,6,0),"")</f>
        <v>N</v>
      </c>
      <c r="G94" t="str">
        <f t="shared" si="13"/>
        <v>Y</v>
      </c>
      <c r="H94">
        <f>IF(NOT(ISBLANK(A94)),VLOOKUP(A94,'Close - PriceSaver'!A:J,5,0),"")</f>
        <v>5.2964912889977699E-2</v>
      </c>
      <c r="I94" s="4" t="e" cm="1">
        <f t="array" ref="I94">IF(NOT(ISBLANK(A94)),((_xlfn.XLOOKUP(1,(_bbt3[[#All],[ID]]=A94)*(_bbt3[[#All],[METRIC_NAME]]="YLD_YTM_ASK"),_bbt3[[#All],[METRIC_VALUE]])*0.5)+(_xlfn.XLOOKUP(1,(_bbt3[[#All],[ID]]=A94)*(_bbt3[[#All],[METRIC_NAME]]="YLD_YTM_BID"),_bbt3[[#All],[METRIC_VALUE]])*0.5))/100,"")</f>
        <v>#N/A</v>
      </c>
      <c r="J94">
        <f>IF(ISNA(VLOOKUP(A94,'CloseDL - PriceSaverBBT3'!A:E,5,0)),0,VLOOKUP(A94,'CloseDL - PriceSaverBBT3'!A:E,5,0))</f>
        <v>5.2964912889977699E-2</v>
      </c>
      <c r="K94" s="7">
        <f t="shared" si="14"/>
        <v>0</v>
      </c>
      <c r="L94" s="20">
        <f>IF(Close[[#This Row],[CreatedBy]]="MARINER\SilverAdm",1,0)</f>
        <v>1</v>
      </c>
      <c r="M94" t="str">
        <f>IF(NOT(ISBLANK(A94)),VLOOKUP(A94,'Close - PriceSaver'!A:J,6,0),"")</f>
        <v>DL input prc = 36.43220120  PX_ASK = 36.49732753 PX_BID = 36.36707487</v>
      </c>
      <c r="Q94" t="e">
        <f t="shared" si="17"/>
        <v>#N/A</v>
      </c>
      <c r="R94" t="e">
        <f t="shared" si="15"/>
        <v>#N/A</v>
      </c>
      <c r="S94" t="e">
        <f t="shared" si="16"/>
        <v>#N/A</v>
      </c>
      <c r="T94" s="15" t="e">
        <f t="shared" si="18"/>
        <v>#N/A</v>
      </c>
      <c r="U94" s="18" t="e">
        <f t="shared" si="19"/>
        <v>#N/A</v>
      </c>
      <c r="V94" s="18" t="e">
        <f t="shared" si="20"/>
        <v>#N/A</v>
      </c>
      <c r="W94" s="19" t="e">
        <f t="shared" si="21"/>
        <v>#N/A</v>
      </c>
      <c r="X94" t="e">
        <f>VLOOKUP(P94,Close[[ID]:[CreatedBy]],8,0)</f>
        <v>#N/A</v>
      </c>
    </row>
    <row r="95" spans="1:24" x14ac:dyDescent="0.35">
      <c r="A95" t="str">
        <v>912803ER0</v>
      </c>
      <c r="B95" t="str">
        <f>IF(NOT(ISBLANK(A95)),VLOOKUP(A95,'BBT3'!A:F,2,0),"")</f>
        <v>Bond</v>
      </c>
      <c r="C95" t="str">
        <f>IF(NOT(ISBLANK(A95)),VLOOKUP(A95,'BBT3'!A:F,3,0),"")</f>
        <v>US912803ER00</v>
      </c>
      <c r="D95" s="5">
        <f>IF(NOT(ISBLANK(A95)),VLOOKUP(A95,'BBT3'!A:F,4,1),"")</f>
        <v>0</v>
      </c>
      <c r="E95">
        <f>IF(NOT(ISBLANK(A95)),VLOOKUP(A95,'BBT3'!A:F,5,0),"")</f>
        <v>53373</v>
      </c>
      <c r="F95" t="str">
        <f>IF(NOT(ISBLANK(A95)),VLOOKUP(A95,'BBT3'!A:F,6,0),"")</f>
        <v>N</v>
      </c>
      <c r="G95" t="str">
        <f t="shared" si="13"/>
        <v>Y</v>
      </c>
      <c r="H95">
        <f>IF(NOT(ISBLANK(A95)),VLOOKUP(A95,'Close - PriceSaver'!A:J,5,0),"")</f>
        <v>5.2994805791772397E-2</v>
      </c>
      <c r="I95" s="4" t="e" cm="1">
        <f t="array" ref="I95">IF(NOT(ISBLANK(A95)),((_xlfn.XLOOKUP(1,(_bbt3[[#All],[ID]]=A95)*(_bbt3[[#All],[METRIC_NAME]]="YLD_YTM_ASK"),_bbt3[[#All],[METRIC_VALUE]])*0.5)+(_xlfn.XLOOKUP(1,(_bbt3[[#All],[ID]]=A95)*(_bbt3[[#All],[METRIC_NAME]]="YLD_YTM_BID"),_bbt3[[#All],[METRIC_VALUE]])*0.5))/100,"")</f>
        <v>#N/A</v>
      </c>
      <c r="J95">
        <f>IF(ISNA(VLOOKUP(A95,'CloseDL - PriceSaverBBT3'!A:E,5,0)),0,VLOOKUP(A95,'CloseDL - PriceSaverBBT3'!A:E,5,0))</f>
        <v>5.2994805791772397E-2</v>
      </c>
      <c r="K95" s="7">
        <f t="shared" si="14"/>
        <v>0</v>
      </c>
      <c r="L95" s="20">
        <f>IF(Close[[#This Row],[CreatedBy]]="MARINER\SilverAdm",1,0)</f>
        <v>1</v>
      </c>
      <c r="M95" t="str">
        <f>IF(NOT(ISBLANK(A95)),VLOOKUP(A95,'Close - PriceSaver'!A:J,6,0),"")</f>
        <v>DL input prc = 35.93656985  PX_ASK = 35.99479437 PX_BID = 35.87834533</v>
      </c>
      <c r="Q95" t="e">
        <f t="shared" si="17"/>
        <v>#N/A</v>
      </c>
      <c r="R95" t="e">
        <f t="shared" si="15"/>
        <v>#N/A</v>
      </c>
      <c r="S95" t="e">
        <f t="shared" si="16"/>
        <v>#N/A</v>
      </c>
      <c r="T95" s="15" t="e">
        <f t="shared" si="18"/>
        <v>#N/A</v>
      </c>
      <c r="U95" s="18" t="e">
        <f t="shared" si="19"/>
        <v>#N/A</v>
      </c>
      <c r="V95" s="18" t="e">
        <f t="shared" si="20"/>
        <v>#N/A</v>
      </c>
      <c r="W95" s="19" t="e">
        <f t="shared" si="21"/>
        <v>#N/A</v>
      </c>
      <c r="X95" t="e">
        <f>VLOOKUP(P95,Close[[ID]:[CreatedBy]],8,0)</f>
        <v>#N/A</v>
      </c>
    </row>
    <row r="96" spans="1:24" x14ac:dyDescent="0.35">
      <c r="A96" t="str">
        <v>912803ET6</v>
      </c>
      <c r="B96" t="str">
        <f>IF(NOT(ISBLANK(A96)),VLOOKUP(A96,'BBT3'!A:F,2,0),"")</f>
        <v>Bond</v>
      </c>
      <c r="C96" t="str">
        <f>IF(NOT(ISBLANK(A96)),VLOOKUP(A96,'BBT3'!A:F,3,0),"")</f>
        <v>US912803ET65</v>
      </c>
      <c r="D96" s="5">
        <f>IF(NOT(ISBLANK(A96)),VLOOKUP(A96,'BBT3'!A:F,4,1),"")</f>
        <v>0</v>
      </c>
      <c r="E96">
        <f>IF(NOT(ISBLANK(A96)),VLOOKUP(A96,'BBT3'!A:F,5,0),"")</f>
        <v>53462</v>
      </c>
      <c r="F96" t="str">
        <f>IF(NOT(ISBLANK(A96)),VLOOKUP(A96,'BBT3'!A:F,6,0),"")</f>
        <v>N</v>
      </c>
      <c r="G96" t="str">
        <f t="shared" si="13"/>
        <v>Y</v>
      </c>
      <c r="H96">
        <f>IF(NOT(ISBLANK(A96)),VLOOKUP(A96,'Close - PriceSaver'!A:J,5,0),"")</f>
        <v>5.3020041942752401E-2</v>
      </c>
      <c r="I96" s="4" t="e" cm="1">
        <f t="array" ref="I96">IF(NOT(ISBLANK(A96)),((_xlfn.XLOOKUP(1,(_bbt3[[#All],[ID]]=A96)*(_bbt3[[#All],[METRIC_NAME]]="YLD_YTM_ASK"),_bbt3[[#All],[METRIC_VALUE]])*0.5)+(_xlfn.XLOOKUP(1,(_bbt3[[#All],[ID]]=A96)*(_bbt3[[#All],[METRIC_NAME]]="YLD_YTM_BID"),_bbt3[[#All],[METRIC_VALUE]])*0.5))/100,"")</f>
        <v>#N/A</v>
      </c>
      <c r="J96">
        <f>IF(ISNA(VLOOKUP(A96,'CloseDL - PriceSaverBBT3'!A:E,5,0)),0,VLOOKUP(A96,'CloseDL - PriceSaverBBT3'!A:E,5,0))</f>
        <v>5.3020041942752401E-2</v>
      </c>
      <c r="K96" s="7">
        <f t="shared" si="14"/>
        <v>0</v>
      </c>
      <c r="L96" s="20">
        <f>IF(Close[[#This Row],[CreatedBy]]="MARINER\SilverAdm",1,0)</f>
        <v>1</v>
      </c>
      <c r="M96" t="str">
        <f>IF(NOT(ISBLANK(A96)),VLOOKUP(A96,'Close - PriceSaver'!A:J,6,0),"")</f>
        <v>DL input prc = 35.45461136  PX_ASK = 35.51620707 PX_BID = 35.39301565</v>
      </c>
      <c r="Q96" t="e">
        <f t="shared" si="17"/>
        <v>#N/A</v>
      </c>
      <c r="R96" t="e">
        <f t="shared" si="15"/>
        <v>#N/A</v>
      </c>
      <c r="S96" t="e">
        <f t="shared" si="16"/>
        <v>#N/A</v>
      </c>
      <c r="T96" s="15" t="e">
        <f t="shared" si="18"/>
        <v>#N/A</v>
      </c>
      <c r="U96" s="18" t="e">
        <f t="shared" si="19"/>
        <v>#N/A</v>
      </c>
      <c r="V96" s="18" t="e">
        <f t="shared" si="20"/>
        <v>#N/A</v>
      </c>
      <c r="W96" s="19" t="e">
        <f t="shared" si="21"/>
        <v>#N/A</v>
      </c>
      <c r="X96" t="e">
        <f>VLOOKUP(P96,Close[[ID]:[CreatedBy]],8,0)</f>
        <v>#N/A</v>
      </c>
    </row>
    <row r="97" spans="1:24" x14ac:dyDescent="0.35">
      <c r="A97" t="str">
        <v>912803EU3</v>
      </c>
      <c r="B97" t="str">
        <f>IF(NOT(ISBLANK(A97)),VLOOKUP(A97,'BBT3'!A:F,2,0),"")</f>
        <v>Bond</v>
      </c>
      <c r="C97" t="str">
        <f>IF(NOT(ISBLANK(A97)),VLOOKUP(A97,'BBT3'!A:F,3,0),"")</f>
        <v>US912803EU39</v>
      </c>
      <c r="D97" s="5">
        <f>IF(NOT(ISBLANK(A97)),VLOOKUP(A97,'BBT3'!A:F,4,1),"")</f>
        <v>0</v>
      </c>
      <c r="E97">
        <f>IF(NOT(ISBLANK(A97)),VLOOKUP(A97,'BBT3'!A:F,5,0),"")</f>
        <v>53554</v>
      </c>
      <c r="F97" t="str">
        <f>IF(NOT(ISBLANK(A97)),VLOOKUP(A97,'BBT3'!A:F,6,0),"")</f>
        <v>N</v>
      </c>
      <c r="G97" t="str">
        <f t="shared" si="13"/>
        <v>Y</v>
      </c>
      <c r="H97">
        <f>IF(NOT(ISBLANK(A97)),VLOOKUP(A97,'Close - PriceSaver'!A:J,5,0),"")</f>
        <v>5.3024927626669001E-2</v>
      </c>
      <c r="I97" s="4" t="e" cm="1">
        <f t="array" ref="I97">IF(NOT(ISBLANK(A97)),((_xlfn.XLOOKUP(1,(_bbt3[[#All],[ID]]=A97)*(_bbt3[[#All],[METRIC_NAME]]="YLD_YTM_ASK"),_bbt3[[#All],[METRIC_VALUE]])*0.5)+(_xlfn.XLOOKUP(1,(_bbt3[[#All],[ID]]=A97)*(_bbt3[[#All],[METRIC_NAME]]="YLD_YTM_BID"),_bbt3[[#All],[METRIC_VALUE]])*0.5))/100,"")</f>
        <v>#N/A</v>
      </c>
      <c r="J97">
        <f>IF(ISNA(VLOOKUP(A97,'CloseDL - PriceSaverBBT3'!A:E,5,0)),0,VLOOKUP(A97,'CloseDL - PriceSaverBBT3'!A:E,5,0))</f>
        <v>5.3024927626669001E-2</v>
      </c>
      <c r="K97" s="7">
        <f t="shared" si="14"/>
        <v>0</v>
      </c>
      <c r="L97" s="20">
        <f>IF(Close[[#This Row],[CreatedBy]]="MARINER\SilverAdm",1,0)</f>
        <v>1</v>
      </c>
      <c r="M97" t="str">
        <f>IF(NOT(ISBLANK(A97)),VLOOKUP(A97,'Close - PriceSaver'!A:J,6,0),"")</f>
        <v>DL input prc = 34.98839858  PX_ASK = 35.04653464 PX_BID = 34.93026251</v>
      </c>
      <c r="Q97" t="e">
        <f t="shared" si="17"/>
        <v>#N/A</v>
      </c>
      <c r="R97" t="e">
        <f t="shared" si="15"/>
        <v>#N/A</v>
      </c>
      <c r="S97" t="e">
        <f t="shared" si="16"/>
        <v>#N/A</v>
      </c>
      <c r="T97" s="15" t="e">
        <f t="shared" si="18"/>
        <v>#N/A</v>
      </c>
      <c r="U97" s="18" t="e">
        <f t="shared" si="19"/>
        <v>#N/A</v>
      </c>
      <c r="V97" s="18" t="e">
        <f t="shared" si="20"/>
        <v>#N/A</v>
      </c>
      <c r="W97" s="19" t="e">
        <f t="shared" si="21"/>
        <v>#N/A</v>
      </c>
      <c r="X97" t="e">
        <f>VLOOKUP(P97,Close[[ID]:[CreatedBy]],8,0)</f>
        <v>#N/A</v>
      </c>
    </row>
    <row r="98" spans="1:24" x14ac:dyDescent="0.35">
      <c r="A98" t="str">
        <v>912803EV1</v>
      </c>
      <c r="B98" t="str">
        <f>IF(NOT(ISBLANK(A98)),VLOOKUP(A98,'BBT3'!A:F,2,0),"")</f>
        <v>Bond</v>
      </c>
      <c r="C98" t="str">
        <f>IF(NOT(ISBLANK(A98)),VLOOKUP(A98,'BBT3'!A:F,3,0),"")</f>
        <v>US912803EV12</v>
      </c>
      <c r="D98" s="5">
        <f>IF(NOT(ISBLANK(A98)),VLOOKUP(A98,'BBT3'!A:F,4,1),"")</f>
        <v>0</v>
      </c>
      <c r="E98">
        <f>IF(NOT(ISBLANK(A98)),VLOOKUP(A98,'BBT3'!A:F,5,0),"")</f>
        <v>53646</v>
      </c>
      <c r="F98" t="str">
        <f>IF(NOT(ISBLANK(A98)),VLOOKUP(A98,'BBT3'!A:F,6,0),"")</f>
        <v>N</v>
      </c>
      <c r="G98" t="str">
        <f t="shared" si="13"/>
        <v>Y</v>
      </c>
      <c r="H98">
        <f>IF(NOT(ISBLANK(A98)),VLOOKUP(A98,'Close - PriceSaver'!A:J,5,0),"")</f>
        <v>5.3044926742811499E-2</v>
      </c>
      <c r="I98" s="4" t="e" cm="1">
        <f t="array" ref="I98">IF(NOT(ISBLANK(A98)),((_xlfn.XLOOKUP(1,(_bbt3[[#All],[ID]]=A98)*(_bbt3[[#All],[METRIC_NAME]]="YLD_YTM_ASK"),_bbt3[[#All],[METRIC_VALUE]])*0.5)+(_xlfn.XLOOKUP(1,(_bbt3[[#All],[ID]]=A98)*(_bbt3[[#All],[METRIC_NAME]]="YLD_YTM_BID"),_bbt3[[#All],[METRIC_VALUE]])*0.5))/100,"")</f>
        <v>#N/A</v>
      </c>
      <c r="J98">
        <f>IF(ISNA(VLOOKUP(A98,'CloseDL - PriceSaverBBT3'!A:E,5,0)),0,VLOOKUP(A98,'CloseDL - PriceSaverBBT3'!A:E,5,0))</f>
        <v>5.3044926742811499E-2</v>
      </c>
      <c r="K98" s="7">
        <f t="shared" si="14"/>
        <v>0</v>
      </c>
      <c r="L98" s="20">
        <f>IF(Close[[#This Row],[CreatedBy]]="MARINER\SilverAdm",1,0)</f>
        <v>1</v>
      </c>
      <c r="M98" t="str">
        <f>IF(NOT(ISBLANK(A98)),VLOOKUP(A98,'Close - PriceSaver'!A:J,6,0),"")</f>
        <v>DL input prc = 34.52189524  PX_ASK = 34.57996715 PX_BID = 34.46382332</v>
      </c>
      <c r="Q98" t="e">
        <f t="shared" si="17"/>
        <v>#N/A</v>
      </c>
      <c r="R98" t="e">
        <f t="shared" si="15"/>
        <v>#N/A</v>
      </c>
      <c r="S98" t="e">
        <f t="shared" si="16"/>
        <v>#N/A</v>
      </c>
      <c r="T98" s="15" t="e">
        <f t="shared" si="18"/>
        <v>#N/A</v>
      </c>
      <c r="U98" s="18" t="e">
        <f t="shared" si="19"/>
        <v>#N/A</v>
      </c>
      <c r="V98" s="18" t="e">
        <f t="shared" si="20"/>
        <v>#N/A</v>
      </c>
      <c r="W98" s="19" t="e">
        <f t="shared" si="21"/>
        <v>#N/A</v>
      </c>
      <c r="X98" t="e">
        <f>VLOOKUP(P98,Close[[ID]:[CreatedBy]],8,0)</f>
        <v>#N/A</v>
      </c>
    </row>
    <row r="99" spans="1:24" x14ac:dyDescent="0.35">
      <c r="A99" t="str">
        <v>912803EW9</v>
      </c>
      <c r="B99" t="str">
        <f>IF(NOT(ISBLANK(A99)),VLOOKUP(A99,'BBT3'!A:F,2,0),"")</f>
        <v>Bond</v>
      </c>
      <c r="C99" t="str">
        <f>IF(NOT(ISBLANK(A99)),VLOOKUP(A99,'BBT3'!A:F,3,0),"")</f>
        <v>US912803EW94</v>
      </c>
      <c r="D99" s="5">
        <f>IF(NOT(ISBLANK(A99)),VLOOKUP(A99,'BBT3'!A:F,4,1),"")</f>
        <v>0</v>
      </c>
      <c r="E99">
        <f>IF(NOT(ISBLANK(A99)),VLOOKUP(A99,'BBT3'!A:F,5,0),"")</f>
        <v>53738</v>
      </c>
      <c r="F99" t="str">
        <f>IF(NOT(ISBLANK(A99)),VLOOKUP(A99,'BBT3'!A:F,6,0),"")</f>
        <v>N</v>
      </c>
      <c r="G99" t="str">
        <f t="shared" si="13"/>
        <v>Y</v>
      </c>
      <c r="H99">
        <f>IF(NOT(ISBLANK(A99)),VLOOKUP(A99,'Close - PriceSaver'!A:J,5,0),"")</f>
        <v>5.3119875842296702E-2</v>
      </c>
      <c r="I99" s="4" t="e" cm="1">
        <f t="array" ref="I99">IF(NOT(ISBLANK(A99)),((_xlfn.XLOOKUP(1,(_bbt3[[#All],[ID]]=A99)*(_bbt3[[#All],[METRIC_NAME]]="YLD_YTM_ASK"),_bbt3[[#All],[METRIC_VALUE]])*0.5)+(_xlfn.XLOOKUP(1,(_bbt3[[#All],[ID]]=A99)*(_bbt3[[#All],[METRIC_NAME]]="YLD_YTM_BID"),_bbt3[[#All],[METRIC_VALUE]])*0.5))/100,"")</f>
        <v>#N/A</v>
      </c>
      <c r="J99">
        <f>IF(ISNA(VLOOKUP(A99,'CloseDL - PriceSaverBBT3'!A:E,5,0)),0,VLOOKUP(A99,'CloseDL - PriceSaverBBT3'!A:E,5,0))</f>
        <v>5.3119875842296702E-2</v>
      </c>
      <c r="K99" s="7">
        <f t="shared" si="14"/>
        <v>0</v>
      </c>
      <c r="L99" s="20">
        <f>IF(Close[[#This Row],[CreatedBy]]="MARINER\SilverAdm",1,0)</f>
        <v>1</v>
      </c>
      <c r="M99" t="str">
        <f>IF(NOT(ISBLANK(A99)),VLOOKUP(A99,'Close - PriceSaver'!A:J,6,0),"")</f>
        <v>DL input prc = 34.01995224  PX_ASK = 34.09492396 PX_BID = 33.94498052</v>
      </c>
      <c r="Q99" t="e">
        <f t="shared" si="17"/>
        <v>#N/A</v>
      </c>
      <c r="R99" t="e">
        <f t="shared" si="15"/>
        <v>#N/A</v>
      </c>
      <c r="S99" t="e">
        <f t="shared" si="16"/>
        <v>#N/A</v>
      </c>
      <c r="T99" s="15" t="e">
        <f t="shared" si="18"/>
        <v>#N/A</v>
      </c>
      <c r="U99" s="18" t="e">
        <f t="shared" si="19"/>
        <v>#N/A</v>
      </c>
      <c r="V99" s="18" t="e">
        <f t="shared" si="20"/>
        <v>#N/A</v>
      </c>
      <c r="W99" s="19" t="e">
        <f t="shared" si="21"/>
        <v>#N/A</v>
      </c>
      <c r="X99" t="e">
        <f>VLOOKUP(P99,Close[[ID]:[CreatedBy]],8,0)</f>
        <v>#N/A</v>
      </c>
    </row>
    <row r="100" spans="1:24" x14ac:dyDescent="0.35">
      <c r="A100" t="str">
        <v>912803EY5</v>
      </c>
      <c r="B100" t="str">
        <f>IF(NOT(ISBLANK(A100)),VLOOKUP(A100,'BBT3'!A:F,2,0),"")</f>
        <v>Bond</v>
      </c>
      <c r="C100" t="str">
        <f>IF(NOT(ISBLANK(A100)),VLOOKUP(A100,'BBT3'!A:F,3,0),"")</f>
        <v>US912803EY50</v>
      </c>
      <c r="D100" s="5">
        <f>IF(NOT(ISBLANK(A100)),VLOOKUP(A100,'BBT3'!A:F,4,1),"")</f>
        <v>0</v>
      </c>
      <c r="E100">
        <f>IF(NOT(ISBLANK(A100)),VLOOKUP(A100,'BBT3'!A:F,5,0),"")</f>
        <v>53827</v>
      </c>
      <c r="F100" t="str">
        <f>IF(NOT(ISBLANK(A100)),VLOOKUP(A100,'BBT3'!A:F,6,0),"")</f>
        <v>N</v>
      </c>
      <c r="G100" t="str">
        <f t="shared" si="13"/>
        <v>Y</v>
      </c>
      <c r="H100">
        <f>IF(NOT(ISBLANK(A100)),VLOOKUP(A100,'Close - PriceSaver'!A:J,5,0),"")</f>
        <v>5.3134885545772802E-2</v>
      </c>
      <c r="I100" s="4" t="e" cm="1">
        <f t="array" ref="I100">IF(NOT(ISBLANK(A100)),((_xlfn.XLOOKUP(1,(_bbt3[[#All],[ID]]=A100)*(_bbt3[[#All],[METRIC_NAME]]="YLD_YTM_ASK"),_bbt3[[#All],[METRIC_VALUE]])*0.5)+(_xlfn.XLOOKUP(1,(_bbt3[[#All],[ID]]=A100)*(_bbt3[[#All],[METRIC_NAME]]="YLD_YTM_BID"),_bbt3[[#All],[METRIC_VALUE]])*0.5))/100,"")</f>
        <v>#N/A</v>
      </c>
      <c r="J100">
        <f>IF(ISNA(VLOOKUP(A100,'CloseDL - PriceSaverBBT3'!A:E,5,0)),0,VLOOKUP(A100,'CloseDL - PriceSaverBBT3'!A:E,5,0))</f>
        <v>5.3134885545772802E-2</v>
      </c>
      <c r="K100" s="7">
        <f t="shared" si="14"/>
        <v>0</v>
      </c>
      <c r="L100" s="20">
        <f>IF(Close[[#This Row],[CreatedBy]]="MARINER\SilverAdm",1,0)</f>
        <v>1</v>
      </c>
      <c r="M100" t="str">
        <f>IF(NOT(ISBLANK(A100)),VLOOKUP(A100,'Close - PriceSaver'!A:J,6,0),"")</f>
        <v>DL input prc = 33.56865803  PX_ASK = 33.64012676 PX_BID = 33.49718930</v>
      </c>
      <c r="Q100" t="e">
        <f t="shared" si="17"/>
        <v>#N/A</v>
      </c>
      <c r="R100" t="e">
        <f t="shared" si="15"/>
        <v>#N/A</v>
      </c>
      <c r="S100" t="e">
        <f t="shared" si="16"/>
        <v>#N/A</v>
      </c>
      <c r="T100" s="15" t="e">
        <f t="shared" si="18"/>
        <v>#N/A</v>
      </c>
      <c r="U100" s="18" t="e">
        <f t="shared" si="19"/>
        <v>#N/A</v>
      </c>
      <c r="V100" s="18" t="e">
        <f t="shared" si="20"/>
        <v>#N/A</v>
      </c>
      <c r="W100" s="19" t="e">
        <f t="shared" si="21"/>
        <v>#N/A</v>
      </c>
      <c r="X100" t="e">
        <f>VLOOKUP(P100,Close[[ID]:[CreatedBy]],8,0)</f>
        <v>#N/A</v>
      </c>
    </row>
    <row r="101" spans="1:24" x14ac:dyDescent="0.35">
      <c r="A101" t="str">
        <v>912803EZ2</v>
      </c>
      <c r="B101" t="str">
        <f>IF(NOT(ISBLANK(A101)),VLOOKUP(A101,'BBT3'!A:F,2,0),"")</f>
        <v>Bond</v>
      </c>
      <c r="C101" t="str">
        <f>IF(NOT(ISBLANK(A101)),VLOOKUP(A101,'BBT3'!A:F,3,0),"")</f>
        <v>US912803EZ26</v>
      </c>
      <c r="D101" s="5">
        <f>IF(NOT(ISBLANK(A101)),VLOOKUP(A101,'BBT3'!A:F,4,1),"")</f>
        <v>0</v>
      </c>
      <c r="E101">
        <f>IF(NOT(ISBLANK(A101)),VLOOKUP(A101,'BBT3'!A:F,5,0),"")</f>
        <v>53919</v>
      </c>
      <c r="F101" t="str">
        <f>IF(NOT(ISBLANK(A101)),VLOOKUP(A101,'BBT3'!A:F,6,0),"")</f>
        <v>N</v>
      </c>
      <c r="G101" t="str">
        <f t="shared" si="13"/>
        <v>Y</v>
      </c>
      <c r="H101">
        <f>IF(NOT(ISBLANK(A101)),VLOOKUP(A101,'Close - PriceSaver'!A:J,5,0),"")</f>
        <v>5.3149872900028199E-2</v>
      </c>
      <c r="I101" s="4" t="e" cm="1">
        <f t="array" ref="I101">IF(NOT(ISBLANK(A101)),((_xlfn.XLOOKUP(1,(_bbt3[[#All],[ID]]=A101)*(_bbt3[[#All],[METRIC_NAME]]="YLD_YTM_ASK"),_bbt3[[#All],[METRIC_VALUE]])*0.5)+(_xlfn.XLOOKUP(1,(_bbt3[[#All],[ID]]=A101)*(_bbt3[[#All],[METRIC_NAME]]="YLD_YTM_BID"),_bbt3[[#All],[METRIC_VALUE]])*0.5))/100,"")</f>
        <v>#N/A</v>
      </c>
      <c r="J101">
        <f>IF(ISNA(VLOOKUP(A101,'CloseDL - PriceSaverBBT3'!A:E,5,0)),0,VLOOKUP(A101,'CloseDL - PriceSaverBBT3'!A:E,5,0))</f>
        <v>5.3149872900028199E-2</v>
      </c>
      <c r="K101" s="7">
        <f t="shared" si="14"/>
        <v>0</v>
      </c>
      <c r="L101" s="20">
        <f>IF(Close[[#This Row],[CreatedBy]]="MARINER\SilverAdm",1,0)</f>
        <v>1</v>
      </c>
      <c r="M101" t="str">
        <f>IF(NOT(ISBLANK(A101)),VLOOKUP(A101,'Close - PriceSaver'!A:J,6,0),"")</f>
        <v>DL input prc = 33.11936856  PX_ASK = 33.19412894 PX_BID = 33.04460817</v>
      </c>
      <c r="Q101" t="e">
        <f t="shared" si="17"/>
        <v>#N/A</v>
      </c>
      <c r="R101" t="e">
        <f t="shared" si="15"/>
        <v>#N/A</v>
      </c>
      <c r="S101" t="e">
        <f t="shared" si="16"/>
        <v>#N/A</v>
      </c>
      <c r="T101" s="15" t="e">
        <f t="shared" si="18"/>
        <v>#N/A</v>
      </c>
      <c r="U101" s="18" t="e">
        <f t="shared" si="19"/>
        <v>#N/A</v>
      </c>
      <c r="V101" s="18" t="e">
        <f t="shared" si="20"/>
        <v>#N/A</v>
      </c>
      <c r="W101" s="19" t="e">
        <f t="shared" si="21"/>
        <v>#N/A</v>
      </c>
      <c r="X101" t="e">
        <f>VLOOKUP(P101,Close[[ID]:[CreatedBy]],8,0)</f>
        <v>#N/A</v>
      </c>
    </row>
    <row r="102" spans="1:24" x14ac:dyDescent="0.35">
      <c r="A102" t="str">
        <v>912803FA6</v>
      </c>
      <c r="B102" t="str">
        <f>IF(NOT(ISBLANK(A102)),VLOOKUP(A102,'BBT3'!A:F,2,0),"")</f>
        <v>Bond</v>
      </c>
      <c r="C102" t="str">
        <f>IF(NOT(ISBLANK(A102)),VLOOKUP(A102,'BBT3'!A:F,3,0),"")</f>
        <v>US912803FA65</v>
      </c>
      <c r="D102" s="5">
        <f>IF(NOT(ISBLANK(A102)),VLOOKUP(A102,'BBT3'!A:F,4,1),"")</f>
        <v>0</v>
      </c>
      <c r="E102">
        <f>IF(NOT(ISBLANK(A102)),VLOOKUP(A102,'BBT3'!A:F,5,0),"")</f>
        <v>54011</v>
      </c>
      <c r="F102" t="str">
        <f>IF(NOT(ISBLANK(A102)),VLOOKUP(A102,'BBT3'!A:F,6,0),"")</f>
        <v>N</v>
      </c>
      <c r="G102" t="str">
        <f t="shared" si="13"/>
        <v>Y</v>
      </c>
      <c r="H102">
        <f>IF(NOT(ISBLANK(A102)),VLOOKUP(A102,'Close - PriceSaver'!A:J,5,0),"")</f>
        <v>5.3139893743238499E-2</v>
      </c>
      <c r="I102" s="4" t="e" cm="1">
        <f t="array" ref="I102">IF(NOT(ISBLANK(A102)),((_xlfn.XLOOKUP(1,(_bbt3[[#All],[ID]]=A102)*(_bbt3[[#All],[METRIC_NAME]]="YLD_YTM_ASK"),_bbt3[[#All],[METRIC_VALUE]])*0.5)+(_xlfn.XLOOKUP(1,(_bbt3[[#All],[ID]]=A102)*(_bbt3[[#All],[METRIC_NAME]]="YLD_YTM_BID"),_bbt3[[#All],[METRIC_VALUE]])*0.5))/100,"")</f>
        <v>#N/A</v>
      </c>
      <c r="J102">
        <f>IF(ISNA(VLOOKUP(A102,'CloseDL - PriceSaverBBT3'!A:E,5,0)),0,VLOOKUP(A102,'CloseDL - PriceSaverBBT3'!A:E,5,0))</f>
        <v>5.3139893743238499E-2</v>
      </c>
      <c r="K102" s="7">
        <f t="shared" si="14"/>
        <v>0</v>
      </c>
      <c r="L102" s="20">
        <f>IF(Close[[#This Row],[CreatedBy]]="MARINER\SilverAdm",1,0)</f>
        <v>1</v>
      </c>
      <c r="M102" t="str">
        <f>IF(NOT(ISBLANK(A102)),VLOOKUP(A102,'Close - PriceSaver'!A:J,6,0),"")</f>
        <v>DL input prc = 32.69650495  PX_ASK = 32.76439434 PX_BID = 32.62861556</v>
      </c>
      <c r="Q102" t="e">
        <f t="shared" si="17"/>
        <v>#N/A</v>
      </c>
      <c r="R102" t="e">
        <f t="shared" si="15"/>
        <v>#N/A</v>
      </c>
      <c r="S102" t="e">
        <f t="shared" si="16"/>
        <v>#N/A</v>
      </c>
      <c r="T102" s="15" t="e">
        <f t="shared" si="18"/>
        <v>#N/A</v>
      </c>
      <c r="U102" s="18" t="e">
        <f t="shared" si="19"/>
        <v>#N/A</v>
      </c>
      <c r="V102" s="18" t="e">
        <f t="shared" si="20"/>
        <v>#N/A</v>
      </c>
      <c r="W102" s="19" t="e">
        <f t="shared" si="21"/>
        <v>#N/A</v>
      </c>
      <c r="X102" t="e">
        <f>VLOOKUP(P102,Close[[ID]:[CreatedBy]],8,0)</f>
        <v>#N/A</v>
      </c>
    </row>
    <row r="103" spans="1:24" x14ac:dyDescent="0.35">
      <c r="A103" t="str">
        <v>912803FB4</v>
      </c>
      <c r="B103" t="str">
        <f>IF(NOT(ISBLANK(A103)),VLOOKUP(A103,'BBT3'!A:F,2,0),"")</f>
        <v>Bond</v>
      </c>
      <c r="C103" t="str">
        <f>IF(NOT(ISBLANK(A103)),VLOOKUP(A103,'BBT3'!A:F,3,0),"")</f>
        <v>US912803FB49</v>
      </c>
      <c r="D103" s="5">
        <f>IF(NOT(ISBLANK(A103)),VLOOKUP(A103,'BBT3'!A:F,4,1),"")</f>
        <v>0</v>
      </c>
      <c r="E103">
        <f>IF(NOT(ISBLANK(A103)),VLOOKUP(A103,'BBT3'!A:F,5,0),"")</f>
        <v>54103</v>
      </c>
      <c r="F103" t="str">
        <f>IF(NOT(ISBLANK(A103)),VLOOKUP(A103,'BBT3'!A:F,6,0),"")</f>
        <v>N</v>
      </c>
      <c r="G103" t="str">
        <f t="shared" si="13"/>
        <v>Y</v>
      </c>
      <c r="H103">
        <f>IF(NOT(ISBLANK(A103)),VLOOKUP(A103,'Close - PriceSaver'!A:J,5,0),"")</f>
        <v>5.3199892531823799E-2</v>
      </c>
      <c r="I103" s="4" t="e" cm="1">
        <f t="array" ref="I103">IF(NOT(ISBLANK(A103)),((_xlfn.XLOOKUP(1,(_bbt3[[#All],[ID]]=A103)*(_bbt3[[#All],[METRIC_NAME]]="YLD_YTM_ASK"),_bbt3[[#All],[METRIC_VALUE]])*0.5)+(_xlfn.XLOOKUP(1,(_bbt3[[#All],[ID]]=A103)*(_bbt3[[#All],[METRIC_NAME]]="YLD_YTM_BID"),_bbt3[[#All],[METRIC_VALUE]])*0.5))/100,"")</f>
        <v>#N/A</v>
      </c>
      <c r="J103">
        <f>IF(ISNA(VLOOKUP(A103,'CloseDL - PriceSaverBBT3'!A:E,5,0)),0,VLOOKUP(A103,'CloseDL - PriceSaverBBT3'!A:E,5,0))</f>
        <v>5.3199892531823799E-2</v>
      </c>
      <c r="K103" s="7">
        <f t="shared" si="14"/>
        <v>0</v>
      </c>
      <c r="L103" s="20">
        <f>IF(Close[[#This Row],[CreatedBy]]="MARINER\SilverAdm",1,0)</f>
        <v>1</v>
      </c>
      <c r="M103" t="str">
        <f>IF(NOT(ISBLANK(A103)),VLOOKUP(A103,'Close - PriceSaver'!A:J,6,0),"")</f>
        <v>DL input prc = 32.22812463  PX_ASK = 32.29582776 PX_BID = 32.16042150</v>
      </c>
      <c r="Q103" t="e">
        <f t="shared" si="17"/>
        <v>#N/A</v>
      </c>
      <c r="R103" t="e">
        <f t="shared" si="15"/>
        <v>#N/A</v>
      </c>
      <c r="S103" t="e">
        <f t="shared" si="16"/>
        <v>#N/A</v>
      </c>
      <c r="T103" s="15" t="e">
        <f t="shared" si="18"/>
        <v>#N/A</v>
      </c>
      <c r="U103" s="18" t="e">
        <f t="shared" si="19"/>
        <v>#N/A</v>
      </c>
      <c r="V103" s="18" t="e">
        <f t="shared" si="20"/>
        <v>#N/A</v>
      </c>
      <c r="W103" s="19" t="e">
        <f t="shared" si="21"/>
        <v>#N/A</v>
      </c>
      <c r="X103" t="e">
        <f>VLOOKUP(P103,Close[[ID]:[CreatedBy]],8,0)</f>
        <v>#N/A</v>
      </c>
    </row>
    <row r="104" spans="1:24" x14ac:dyDescent="0.35">
      <c r="A104" t="str">
        <v>912803FD0</v>
      </c>
      <c r="B104" t="str">
        <f>IF(NOT(ISBLANK(A104)),VLOOKUP(A104,'BBT3'!A:F,2,0),"")</f>
        <v>Bond</v>
      </c>
      <c r="C104" t="str">
        <f>IF(NOT(ISBLANK(A104)),VLOOKUP(A104,'BBT3'!A:F,3,0),"")</f>
        <v>US912803FD05</v>
      </c>
      <c r="D104" s="5">
        <f>IF(NOT(ISBLANK(A104)),VLOOKUP(A104,'BBT3'!A:F,4,1),"")</f>
        <v>0</v>
      </c>
      <c r="E104">
        <f>IF(NOT(ISBLANK(A104)),VLOOKUP(A104,'BBT3'!A:F,5,0),"")</f>
        <v>54193</v>
      </c>
      <c r="F104" t="str">
        <f>IF(NOT(ISBLANK(A104)),VLOOKUP(A104,'BBT3'!A:F,6,0),"")</f>
        <v>N</v>
      </c>
      <c r="G104" t="str">
        <f t="shared" si="13"/>
        <v>Y</v>
      </c>
      <c r="H104">
        <f>IF(NOT(ISBLANK(A104)),VLOOKUP(A104,'Close - PriceSaver'!A:J,5,0),"")</f>
        <v>5.32049019075862E-2</v>
      </c>
      <c r="I104" s="4" t="e" cm="1">
        <f t="array" ref="I104">IF(NOT(ISBLANK(A104)),((_xlfn.XLOOKUP(1,(_bbt3[[#All],[ID]]=A104)*(_bbt3[[#All],[METRIC_NAME]]="YLD_YTM_ASK"),_bbt3[[#All],[METRIC_VALUE]])*0.5)+(_xlfn.XLOOKUP(1,(_bbt3[[#All],[ID]]=A104)*(_bbt3[[#All],[METRIC_NAME]]="YLD_YTM_BID"),_bbt3[[#All],[METRIC_VALUE]])*0.5))/100,"")</f>
        <v>#N/A</v>
      </c>
      <c r="J104">
        <f>IF(ISNA(VLOOKUP(A104,'CloseDL - PriceSaverBBT3'!A:E,5,0)),0,VLOOKUP(A104,'CloseDL - PriceSaverBBT3'!A:E,5,0))</f>
        <v>5.32049019075862E-2</v>
      </c>
      <c r="K104" s="7">
        <f t="shared" si="14"/>
        <v>0</v>
      </c>
      <c r="L104" s="20">
        <f>IF(Close[[#This Row],[CreatedBy]]="MARINER\SilverAdm",1,0)</f>
        <v>1</v>
      </c>
      <c r="M104" t="str">
        <f>IF(NOT(ISBLANK(A104)),VLOOKUP(A104,'Close - PriceSaver'!A:J,6,0),"")</f>
        <v>DL input prc = 31.80627679  PX_ASK = 31.87048537 PX_BID = 31.74206821</v>
      </c>
      <c r="Q104" t="e">
        <f t="shared" si="17"/>
        <v>#N/A</v>
      </c>
      <c r="R104" t="e">
        <f t="shared" si="15"/>
        <v>#N/A</v>
      </c>
      <c r="S104" t="e">
        <f t="shared" si="16"/>
        <v>#N/A</v>
      </c>
      <c r="T104" s="15" t="e">
        <f t="shared" si="18"/>
        <v>#N/A</v>
      </c>
      <c r="U104" s="18" t="e">
        <f t="shared" si="19"/>
        <v>#N/A</v>
      </c>
      <c r="V104" s="18" t="e">
        <f t="shared" si="20"/>
        <v>#N/A</v>
      </c>
      <c r="W104" s="19" t="e">
        <f t="shared" si="21"/>
        <v>#N/A</v>
      </c>
      <c r="X104" t="e">
        <f>VLOOKUP(P104,Close[[ID]:[CreatedBy]],8,0)</f>
        <v>#N/A</v>
      </c>
    </row>
    <row r="105" spans="1:24" x14ac:dyDescent="0.35">
      <c r="A105" t="str">
        <v>912803FE8</v>
      </c>
      <c r="B105" t="str">
        <f>IF(NOT(ISBLANK(A105)),VLOOKUP(A105,'BBT3'!A:F,2,0),"")</f>
        <v>Bond</v>
      </c>
      <c r="C105" t="str">
        <f>IF(NOT(ISBLANK(A105)),VLOOKUP(A105,'BBT3'!A:F,3,0),"")</f>
        <v>US912803FE87</v>
      </c>
      <c r="D105" s="5">
        <f>IF(NOT(ISBLANK(A105)),VLOOKUP(A105,'BBT3'!A:F,4,1),"")</f>
        <v>0</v>
      </c>
      <c r="E105">
        <f>IF(NOT(ISBLANK(A105)),VLOOKUP(A105,'BBT3'!A:F,5,0),"")</f>
        <v>54285</v>
      </c>
      <c r="F105" t="str">
        <f>IF(NOT(ISBLANK(A105)),VLOOKUP(A105,'BBT3'!A:F,6,0),"")</f>
        <v>N</v>
      </c>
      <c r="G105" t="str">
        <f t="shared" si="13"/>
        <v>Y</v>
      </c>
      <c r="H105">
        <f>IF(NOT(ISBLANK(A105)),VLOOKUP(A105,'Close - PriceSaver'!A:J,5,0),"")</f>
        <v>5.3219890091237697E-2</v>
      </c>
      <c r="I105" s="4" t="e" cm="1">
        <f t="array" ref="I105">IF(NOT(ISBLANK(A105)),((_xlfn.XLOOKUP(1,(_bbt3[[#All],[ID]]=A105)*(_bbt3[[#All],[METRIC_NAME]]="YLD_YTM_ASK"),_bbt3[[#All],[METRIC_VALUE]])*0.5)+(_xlfn.XLOOKUP(1,(_bbt3[[#All],[ID]]=A105)*(_bbt3[[#All],[METRIC_NAME]]="YLD_YTM_BID"),_bbt3[[#All],[METRIC_VALUE]])*0.5))/100,"")</f>
        <v>#N/A</v>
      </c>
      <c r="J105">
        <f>IF(ISNA(VLOOKUP(A105,'CloseDL - PriceSaverBBT3'!A:E,5,0)),0,VLOOKUP(A105,'CloseDL - PriceSaverBBT3'!A:E,5,0))</f>
        <v>5.3219890091237697E-2</v>
      </c>
      <c r="K105" s="7">
        <f t="shared" si="14"/>
        <v>0</v>
      </c>
      <c r="L105" s="20">
        <f>IF(Close[[#This Row],[CreatedBy]]="MARINER\SilverAdm",1,0)</f>
        <v>1</v>
      </c>
      <c r="M105" t="str">
        <f>IF(NOT(ISBLANK(A105)),VLOOKUP(A105,'Close - PriceSaver'!A:J,6,0),"")</f>
        <v>DL input prc = 31.37957966  PX_ASK = 31.44702787 PX_BID = 31.31213144</v>
      </c>
      <c r="Q105" t="e">
        <f t="shared" si="17"/>
        <v>#N/A</v>
      </c>
      <c r="R105" t="e">
        <f t="shared" si="15"/>
        <v>#N/A</v>
      </c>
      <c r="S105" t="e">
        <f t="shared" si="16"/>
        <v>#N/A</v>
      </c>
      <c r="T105" s="15" t="e">
        <f t="shared" si="18"/>
        <v>#N/A</v>
      </c>
      <c r="U105" s="18" t="e">
        <f t="shared" si="19"/>
        <v>#N/A</v>
      </c>
      <c r="V105" s="18" t="e">
        <f t="shared" si="20"/>
        <v>#N/A</v>
      </c>
      <c r="W105" s="19" t="e">
        <f t="shared" si="21"/>
        <v>#N/A</v>
      </c>
      <c r="X105" t="e">
        <f>VLOOKUP(P105,Close[[ID]:[CreatedBy]],8,0)</f>
        <v>#N/A</v>
      </c>
    </row>
    <row r="106" spans="1:24" x14ac:dyDescent="0.35">
      <c r="A106" t="str">
        <v>912803FF5</v>
      </c>
      <c r="B106" t="str">
        <f>IF(NOT(ISBLANK(A106)),VLOOKUP(A106,'BBT3'!A:F,2,0),"")</f>
        <v>Bond</v>
      </c>
      <c r="C106" t="str">
        <f>IF(NOT(ISBLANK(A106)),VLOOKUP(A106,'BBT3'!A:F,3,0),"")</f>
        <v>US912803FF52</v>
      </c>
      <c r="D106" s="5">
        <f>IF(NOT(ISBLANK(A106)),VLOOKUP(A106,'BBT3'!A:F,4,1),"")</f>
        <v>0</v>
      </c>
      <c r="E106">
        <f>IF(NOT(ISBLANK(A106)),VLOOKUP(A106,'BBT3'!A:F,5,0),"")</f>
        <v>54377</v>
      </c>
      <c r="F106" t="str">
        <f>IF(NOT(ISBLANK(A106)),VLOOKUP(A106,'BBT3'!A:F,6,0),"")</f>
        <v>N</v>
      </c>
      <c r="G106" t="str">
        <f t="shared" si="13"/>
        <v>Y</v>
      </c>
      <c r="H106">
        <f>IF(NOT(ISBLANK(A106)),VLOOKUP(A106,'Close - PriceSaver'!A:J,5,0),"")</f>
        <v>5.3209888878534499E-2</v>
      </c>
      <c r="I106" s="4" t="e" cm="1">
        <f t="array" ref="I106">IF(NOT(ISBLANK(A106)),((_xlfn.XLOOKUP(1,(_bbt3[[#All],[ID]]=A106)*(_bbt3[[#All],[METRIC_NAME]]="YLD_YTM_ASK"),_bbt3[[#All],[METRIC_VALUE]])*0.5)+(_xlfn.XLOOKUP(1,(_bbt3[[#All],[ID]]=A106)*(_bbt3[[#All],[METRIC_NAME]]="YLD_YTM_BID"),_bbt3[[#All],[METRIC_VALUE]])*0.5))/100,"")</f>
        <v>#N/A</v>
      </c>
      <c r="J106">
        <f>IF(ISNA(VLOOKUP(A106,'CloseDL - PriceSaverBBT3'!A:E,5,0)),0,VLOOKUP(A106,'CloseDL - PriceSaverBBT3'!A:E,5,0))</f>
        <v>5.3209888878534499E-2</v>
      </c>
      <c r="K106" s="7">
        <f t="shared" si="14"/>
        <v>0</v>
      </c>
      <c r="L106" s="20">
        <f>IF(Close[[#This Row],[CreatedBy]]="MARINER\SilverAdm",1,0)</f>
        <v>1</v>
      </c>
      <c r="M106" t="str">
        <f>IF(NOT(ISBLANK(A106)),VLOOKUP(A106,'Close - PriceSaver'!A:J,6,0),"")</f>
        <v>DL input prc = 30.97871927  PX_ASK = 31.04605732 PX_BID = 30.91138122</v>
      </c>
      <c r="Q106" t="e">
        <f t="shared" si="17"/>
        <v>#N/A</v>
      </c>
      <c r="R106" t="e">
        <f t="shared" si="15"/>
        <v>#N/A</v>
      </c>
      <c r="S106" t="e">
        <f t="shared" si="16"/>
        <v>#N/A</v>
      </c>
      <c r="T106" s="15" t="e">
        <f t="shared" si="18"/>
        <v>#N/A</v>
      </c>
      <c r="U106" s="18" t="e">
        <f t="shared" si="19"/>
        <v>#N/A</v>
      </c>
      <c r="V106" s="18" t="e">
        <f t="shared" si="20"/>
        <v>#N/A</v>
      </c>
      <c r="W106" s="19" t="e">
        <f t="shared" si="21"/>
        <v>#N/A</v>
      </c>
      <c r="X106" t="e">
        <f>VLOOKUP(P106,Close[[ID]:[CreatedBy]],8,0)</f>
        <v>#N/A</v>
      </c>
    </row>
    <row r="107" spans="1:24" x14ac:dyDescent="0.35">
      <c r="A107" t="str">
        <v>912803FG3</v>
      </c>
      <c r="B107" t="str">
        <f>IF(NOT(ISBLANK(A107)),VLOOKUP(A107,'BBT3'!A:F,2,0),"")</f>
        <v>Bond</v>
      </c>
      <c r="C107" t="str">
        <f>IF(NOT(ISBLANK(A107)),VLOOKUP(A107,'BBT3'!A:F,3,0),"")</f>
        <v>US912803FG36</v>
      </c>
      <c r="D107" s="5">
        <f>IF(NOT(ISBLANK(A107)),VLOOKUP(A107,'BBT3'!A:F,4,1),"")</f>
        <v>0</v>
      </c>
      <c r="E107">
        <f>IF(NOT(ISBLANK(A107)),VLOOKUP(A107,'BBT3'!A:F,5,0),"")</f>
        <v>54469</v>
      </c>
      <c r="F107" t="str">
        <f>IF(NOT(ISBLANK(A107)),VLOOKUP(A107,'BBT3'!A:F,6,0),"")</f>
        <v>N</v>
      </c>
      <c r="G107" t="str">
        <f t="shared" si="13"/>
        <v>Y</v>
      </c>
      <c r="H107">
        <f>IF(NOT(ISBLANK(A107)),VLOOKUP(A107,'Close - PriceSaver'!A:J,5,0),"")</f>
        <v>5.3199928099242698E-2</v>
      </c>
      <c r="I107" s="4" t="e" cm="1">
        <f t="array" ref="I107">IF(NOT(ISBLANK(A107)),((_xlfn.XLOOKUP(1,(_bbt3[[#All],[ID]]=A107)*(_bbt3[[#All],[METRIC_NAME]]="YLD_YTM_ASK"),_bbt3[[#All],[METRIC_VALUE]])*0.5)+(_xlfn.XLOOKUP(1,(_bbt3[[#All],[ID]]=A107)*(_bbt3[[#All],[METRIC_NAME]]="YLD_YTM_BID"),_bbt3[[#All],[METRIC_VALUE]])*0.5))/100,"")</f>
        <v>#N/A</v>
      </c>
      <c r="J107">
        <f>IF(ISNA(VLOOKUP(A107,'CloseDL - PriceSaverBBT3'!A:E,5,0)),0,VLOOKUP(A107,'CloseDL - PriceSaverBBT3'!A:E,5,0))</f>
        <v>5.3199928099242698E-2</v>
      </c>
      <c r="K107" s="7">
        <f t="shared" si="14"/>
        <v>0</v>
      </c>
      <c r="L107" s="20">
        <f>IF(Close[[#This Row],[CreatedBy]]="MARINER\SilverAdm",1,0)</f>
        <v>1</v>
      </c>
      <c r="M107" t="str">
        <f>IF(NOT(ISBLANK(A107)),VLOOKUP(A107,'Close - PriceSaver'!A:J,6,0),"")</f>
        <v>DL input prc = 30.57962959  PX_ASK = 30.63340464 PX_BID = 30.52585454</v>
      </c>
      <c r="Q107" t="e">
        <f t="shared" si="17"/>
        <v>#N/A</v>
      </c>
      <c r="R107" t="e">
        <f t="shared" si="15"/>
        <v>#N/A</v>
      </c>
      <c r="S107" t="e">
        <f t="shared" si="16"/>
        <v>#N/A</v>
      </c>
      <c r="T107" s="15" t="e">
        <f t="shared" si="18"/>
        <v>#N/A</v>
      </c>
      <c r="U107" s="18" t="e">
        <f t="shared" si="19"/>
        <v>#N/A</v>
      </c>
      <c r="V107" s="18" t="e">
        <f t="shared" si="20"/>
        <v>#N/A</v>
      </c>
      <c r="W107" s="19" t="e">
        <f t="shared" si="21"/>
        <v>#N/A</v>
      </c>
      <c r="X107" t="e">
        <f>VLOOKUP(P107,Close[[ID]:[CreatedBy]],8,0)</f>
        <v>#N/A</v>
      </c>
    </row>
    <row r="108" spans="1:24" x14ac:dyDescent="0.35">
      <c r="A108" t="str">
        <v>912803FJ7</v>
      </c>
      <c r="B108" t="str">
        <f>IF(NOT(ISBLANK(A108)),VLOOKUP(A108,'BBT3'!A:F,2,0),"")</f>
        <v>Bond</v>
      </c>
      <c r="C108" t="str">
        <f>IF(NOT(ISBLANK(A108)),VLOOKUP(A108,'BBT3'!A:F,3,0),"")</f>
        <v>US912803FJ74</v>
      </c>
      <c r="D108" s="5">
        <f>IF(NOT(ISBLANK(A108)),VLOOKUP(A108,'BBT3'!A:F,4,1),"")</f>
        <v>0</v>
      </c>
      <c r="E108">
        <f>IF(NOT(ISBLANK(A108)),VLOOKUP(A108,'BBT3'!A:F,5,0),"")</f>
        <v>54558</v>
      </c>
      <c r="F108" t="str">
        <f>IF(NOT(ISBLANK(A108)),VLOOKUP(A108,'BBT3'!A:F,6,0),"")</f>
        <v>N</v>
      </c>
      <c r="G108" t="str">
        <f t="shared" si="13"/>
        <v>Y</v>
      </c>
      <c r="H108">
        <f>IF(NOT(ISBLANK(A108)),VLOOKUP(A108,'Close - PriceSaver'!A:J,5,0),"")</f>
        <v>5.3199908018597898E-2</v>
      </c>
      <c r="I108" s="4" t="e" cm="1">
        <f t="array" ref="I108">IF(NOT(ISBLANK(A108)),((_xlfn.XLOOKUP(1,(_bbt3[[#All],[ID]]=A108)*(_bbt3[[#All],[METRIC_NAME]]="YLD_YTM_ASK"),_bbt3[[#All],[METRIC_VALUE]])*0.5)+(_xlfn.XLOOKUP(1,(_bbt3[[#All],[ID]]=A108)*(_bbt3[[#All],[METRIC_NAME]]="YLD_YTM_BID"),_bbt3[[#All],[METRIC_VALUE]])*0.5))/100,"")</f>
        <v>#N/A</v>
      </c>
      <c r="J108">
        <f>IF(ISNA(VLOOKUP(A108,'CloseDL - PriceSaverBBT3'!A:E,5,0)),0,VLOOKUP(A108,'CloseDL - PriceSaverBBT3'!A:E,5,0))</f>
        <v>5.3199908018597898E-2</v>
      </c>
      <c r="K108" s="7">
        <f t="shared" si="14"/>
        <v>0</v>
      </c>
      <c r="L108" s="20">
        <f>IF(Close[[#This Row],[CreatedBy]]="MARINER\SilverAdm",1,0)</f>
        <v>1</v>
      </c>
      <c r="M108" t="str">
        <f>IF(NOT(ISBLANK(A108)),VLOOKUP(A108,'Close - PriceSaver'!A:J,6,0),"")</f>
        <v>DL input prc = 30.18258556  PX_ASK = 30.24295563 PX_BID = 30.12221548</v>
      </c>
      <c r="Q108" t="e">
        <f t="shared" si="17"/>
        <v>#N/A</v>
      </c>
      <c r="R108" t="e">
        <f t="shared" si="15"/>
        <v>#N/A</v>
      </c>
      <c r="S108" t="e">
        <f t="shared" si="16"/>
        <v>#N/A</v>
      </c>
      <c r="T108" s="15" t="e">
        <f t="shared" si="18"/>
        <v>#N/A</v>
      </c>
      <c r="U108" s="18" t="e">
        <f t="shared" si="19"/>
        <v>#N/A</v>
      </c>
      <c r="V108" s="18" t="e">
        <f t="shared" si="20"/>
        <v>#N/A</v>
      </c>
      <c r="W108" s="19" t="e">
        <f t="shared" si="21"/>
        <v>#N/A</v>
      </c>
      <c r="X108" t="e">
        <f>VLOOKUP(P108,Close[[ID]:[CreatedBy]],8,0)</f>
        <v>#N/A</v>
      </c>
    </row>
    <row r="109" spans="1:24" x14ac:dyDescent="0.35">
      <c r="A109" t="str">
        <v>912803FK4</v>
      </c>
      <c r="B109" t="str">
        <f>IF(NOT(ISBLANK(A109)),VLOOKUP(A109,'BBT3'!A:F,2,0),"")</f>
        <v>Bond</v>
      </c>
      <c r="C109" t="str">
        <f>IF(NOT(ISBLANK(A109)),VLOOKUP(A109,'BBT3'!A:F,3,0),"")</f>
        <v>US912803FK48</v>
      </c>
      <c r="D109" s="5">
        <f>IF(NOT(ISBLANK(A109)),VLOOKUP(A109,'BBT3'!A:F,4,1),"")</f>
        <v>0</v>
      </c>
      <c r="E109">
        <f>IF(NOT(ISBLANK(A109)),VLOOKUP(A109,'BBT3'!A:F,5,0),"")</f>
        <v>54650</v>
      </c>
      <c r="F109" t="str">
        <f>IF(NOT(ISBLANK(A109)),VLOOKUP(A109,'BBT3'!A:F,6,0),"")</f>
        <v>N</v>
      </c>
      <c r="G109" t="str">
        <f t="shared" si="13"/>
        <v>Y</v>
      </c>
      <c r="H109">
        <f>IF(NOT(ISBLANK(A109)),VLOOKUP(A109,'Close - PriceSaver'!A:J,5,0),"")</f>
        <v>5.3174917068804402E-2</v>
      </c>
      <c r="I109" s="4" t="e" cm="1">
        <f t="array" ref="I109">IF(NOT(ISBLANK(A109)),((_xlfn.XLOOKUP(1,(_bbt3[[#All],[ID]]=A109)*(_bbt3[[#All],[METRIC_NAME]]="YLD_YTM_ASK"),_bbt3[[#All],[METRIC_VALUE]])*0.5)+(_xlfn.XLOOKUP(1,(_bbt3[[#All],[ID]]=A109)*(_bbt3[[#All],[METRIC_NAME]]="YLD_YTM_BID"),_bbt3[[#All],[METRIC_VALUE]])*0.5))/100,"")</f>
        <v>#N/A</v>
      </c>
      <c r="J109">
        <f>IF(ISNA(VLOOKUP(A109,'CloseDL - PriceSaverBBT3'!A:E,5,0)),0,VLOOKUP(A109,'CloseDL - PriceSaverBBT3'!A:E,5,0))</f>
        <v>5.3174917068804402E-2</v>
      </c>
      <c r="K109" s="7">
        <f t="shared" si="14"/>
        <v>0</v>
      </c>
      <c r="L109" s="20">
        <f>IF(Close[[#This Row],[CreatedBy]]="MARINER\SilverAdm",1,0)</f>
        <v>1</v>
      </c>
      <c r="M109" t="str">
        <f>IF(NOT(ISBLANK(A109)),VLOOKUP(A109,'Close - PriceSaver'!A:J,6,0),"")</f>
        <v>DL input prc = 29.80403296  PX_ASK = 29.86095433 PX_BID = 29.74711159</v>
      </c>
      <c r="Q109" t="e">
        <f t="shared" si="17"/>
        <v>#N/A</v>
      </c>
      <c r="R109" t="e">
        <f t="shared" si="15"/>
        <v>#N/A</v>
      </c>
      <c r="S109" t="e">
        <f t="shared" si="16"/>
        <v>#N/A</v>
      </c>
      <c r="T109" s="15" t="e">
        <f t="shared" si="18"/>
        <v>#N/A</v>
      </c>
      <c r="U109" s="18" t="e">
        <f t="shared" si="19"/>
        <v>#N/A</v>
      </c>
      <c r="V109" s="18" t="e">
        <f t="shared" si="20"/>
        <v>#N/A</v>
      </c>
      <c r="W109" s="19" t="e">
        <f t="shared" si="21"/>
        <v>#N/A</v>
      </c>
      <c r="X109" t="e">
        <f>VLOOKUP(P109,Close[[ID]:[CreatedBy]],8,0)</f>
        <v>#N/A</v>
      </c>
    </row>
    <row r="110" spans="1:24" x14ac:dyDescent="0.35">
      <c r="A110" t="str">
        <v>912803FL2</v>
      </c>
      <c r="B110" t="str">
        <f>IF(NOT(ISBLANK(A110)),VLOOKUP(A110,'BBT3'!A:F,2,0),"")</f>
        <v>Bond</v>
      </c>
      <c r="C110" t="str">
        <f>IF(NOT(ISBLANK(A110)),VLOOKUP(A110,'BBT3'!A:F,3,0),"")</f>
        <v>US912803FL21</v>
      </c>
      <c r="D110" s="5">
        <f>IF(NOT(ISBLANK(A110)),VLOOKUP(A110,'BBT3'!A:F,4,1),"")</f>
        <v>0</v>
      </c>
      <c r="E110">
        <f>IF(NOT(ISBLANK(A110)),VLOOKUP(A110,'BBT3'!A:F,5,0),"")</f>
        <v>54742</v>
      </c>
      <c r="F110" t="str">
        <f>IF(NOT(ISBLANK(A110)),VLOOKUP(A110,'BBT3'!A:F,6,0),"")</f>
        <v>N</v>
      </c>
      <c r="G110" t="str">
        <f t="shared" si="13"/>
        <v>Y</v>
      </c>
      <c r="H110">
        <f>IF(NOT(ISBLANK(A110)),VLOOKUP(A110,'Close - PriceSaver'!A:J,5,0),"")</f>
        <v>5.3204916192645002E-2</v>
      </c>
      <c r="I110" s="4" t="e" cm="1">
        <f t="array" ref="I110">IF(NOT(ISBLANK(A110)),((_xlfn.XLOOKUP(1,(_bbt3[[#All],[ID]]=A110)*(_bbt3[[#All],[METRIC_NAME]]="YLD_YTM_ASK"),_bbt3[[#All],[METRIC_VALUE]])*0.5)+(_xlfn.XLOOKUP(1,(_bbt3[[#All],[ID]]=A110)*(_bbt3[[#All],[METRIC_NAME]]="YLD_YTM_BID"),_bbt3[[#All],[METRIC_VALUE]])*0.5))/100,"")</f>
        <v>#N/A</v>
      </c>
      <c r="J110">
        <f>IF(ISNA(VLOOKUP(A110,'CloseDL - PriceSaverBBT3'!A:E,5,0)),0,VLOOKUP(A110,'CloseDL - PriceSaverBBT3'!A:E,5,0))</f>
        <v>5.3204916192645002E-2</v>
      </c>
      <c r="K110" s="7">
        <f t="shared" si="14"/>
        <v>0</v>
      </c>
      <c r="L110" s="20">
        <f>IF(Close[[#This Row],[CreatedBy]]="MARINER\SilverAdm",1,0)</f>
        <v>1</v>
      </c>
      <c r="M110" t="str">
        <f>IF(NOT(ISBLANK(A110)),VLOOKUP(A110,'Close - PriceSaver'!A:J,6,0),"")</f>
        <v>DL input prc = 29.39718888  PX_ASK = 29.45393829 PX_BID = 29.34043947</v>
      </c>
      <c r="Q110" t="e">
        <f t="shared" si="17"/>
        <v>#N/A</v>
      </c>
      <c r="R110" t="e">
        <f t="shared" si="15"/>
        <v>#N/A</v>
      </c>
      <c r="S110" t="e">
        <f t="shared" si="16"/>
        <v>#N/A</v>
      </c>
      <c r="T110" s="15" t="e">
        <f t="shared" si="18"/>
        <v>#N/A</v>
      </c>
      <c r="U110" s="18" t="e">
        <f t="shared" si="19"/>
        <v>#N/A</v>
      </c>
      <c r="V110" s="18" t="e">
        <f t="shared" si="20"/>
        <v>#N/A</v>
      </c>
      <c r="W110" s="19" t="e">
        <f t="shared" si="21"/>
        <v>#N/A</v>
      </c>
      <c r="X110" t="e">
        <f>VLOOKUP(P110,Close[[ID]:[CreatedBy]],8,0)</f>
        <v>#N/A</v>
      </c>
    </row>
    <row r="111" spans="1:24" x14ac:dyDescent="0.35">
      <c r="A111" t="str">
        <v>912803FM0</v>
      </c>
      <c r="B111" t="str">
        <f>IF(NOT(ISBLANK(A111)),VLOOKUP(A111,'BBT3'!A:F,2,0),"")</f>
        <v>Bond</v>
      </c>
      <c r="C111" t="str">
        <f>IF(NOT(ISBLANK(A111)),VLOOKUP(A111,'BBT3'!A:F,3,0),"")</f>
        <v>US912803FM04</v>
      </c>
      <c r="D111" s="5">
        <f>IF(NOT(ISBLANK(A111)),VLOOKUP(A111,'BBT3'!A:F,4,1),"")</f>
        <v>0</v>
      </c>
      <c r="E111">
        <f>IF(NOT(ISBLANK(A111)),VLOOKUP(A111,'BBT3'!A:F,5,0),"")</f>
        <v>54834</v>
      </c>
      <c r="F111" t="str">
        <f>IF(NOT(ISBLANK(A111)),VLOOKUP(A111,'BBT3'!A:F,6,0),"")</f>
        <v>N</v>
      </c>
      <c r="G111" t="str">
        <f t="shared" si="13"/>
        <v>Y</v>
      </c>
      <c r="H111">
        <f>IF(NOT(ISBLANK(A111)),VLOOKUP(A111,'Close - PriceSaver'!A:J,5,0),"")</f>
        <v>5.31246067045551E-2</v>
      </c>
      <c r="I111" s="4" t="e" cm="1">
        <f t="array" ref="I111">IF(NOT(ISBLANK(A111)),((_xlfn.XLOOKUP(1,(_bbt3[[#All],[ID]]=A111)*(_bbt3[[#All],[METRIC_NAME]]="YLD_YTM_ASK"),_bbt3[[#All],[METRIC_VALUE]])*0.5)+(_xlfn.XLOOKUP(1,(_bbt3[[#All],[ID]]=A111)*(_bbt3[[#All],[METRIC_NAME]]="YLD_YTM_BID"),_bbt3[[#All],[METRIC_VALUE]])*0.5))/100,"")</f>
        <v>#N/A</v>
      </c>
      <c r="J111">
        <f>IF(ISNA(VLOOKUP(A111,'CloseDL - PriceSaverBBT3'!A:E,5,0)),0,VLOOKUP(A111,'CloseDL - PriceSaverBBT3'!A:E,5,0))</f>
        <v>5.31246067045551E-2</v>
      </c>
      <c r="K111" s="7">
        <f t="shared" si="14"/>
        <v>0</v>
      </c>
      <c r="L111" s="20">
        <f>IF(Close[[#This Row],[CreatedBy]]="MARINER\SilverAdm",1,0)</f>
        <v>1</v>
      </c>
      <c r="M111" t="str">
        <f>IF(NOT(ISBLANK(A111)),VLOOKUP(A111,'Close - PriceSaver'!A:J,6,0),"")</f>
        <v>DL input prc = 29.06548583  PX_ASK = 29.12220135 PX_BID = 29.00877031</v>
      </c>
      <c r="Q111" t="e">
        <f t="shared" si="17"/>
        <v>#N/A</v>
      </c>
      <c r="R111" t="e">
        <f t="shared" si="15"/>
        <v>#N/A</v>
      </c>
      <c r="S111" t="e">
        <f t="shared" si="16"/>
        <v>#N/A</v>
      </c>
      <c r="T111" s="15" t="e">
        <f t="shared" si="18"/>
        <v>#N/A</v>
      </c>
      <c r="U111" s="18" t="e">
        <f t="shared" si="19"/>
        <v>#N/A</v>
      </c>
      <c r="V111" s="18" t="e">
        <f t="shared" si="20"/>
        <v>#N/A</v>
      </c>
      <c r="W111" s="19" t="e">
        <f t="shared" si="21"/>
        <v>#N/A</v>
      </c>
      <c r="X111" t="e">
        <f>VLOOKUP(P111,Close[[ID]:[CreatedBy]],8,0)</f>
        <v>#N/A</v>
      </c>
    </row>
    <row r="112" spans="1:24" x14ac:dyDescent="0.35">
      <c r="A112" t="str">
        <v>912803FP3</v>
      </c>
      <c r="B112" t="str">
        <f>IF(NOT(ISBLANK(A112)),VLOOKUP(A112,'BBT3'!A:F,2,0),"")</f>
        <v>Bond</v>
      </c>
      <c r="C112" t="str">
        <f>IF(NOT(ISBLANK(A112)),VLOOKUP(A112,'BBT3'!A:F,3,0),"")</f>
        <v>US912803FP35</v>
      </c>
      <c r="D112" s="5">
        <f>IF(NOT(ISBLANK(A112)),VLOOKUP(A112,'BBT3'!A:F,4,1),"")</f>
        <v>0</v>
      </c>
      <c r="E112">
        <f>IF(NOT(ISBLANK(A112)),VLOOKUP(A112,'BBT3'!A:F,5,0),"")</f>
        <v>54923</v>
      </c>
      <c r="F112" t="str">
        <f>IF(NOT(ISBLANK(A112)),VLOOKUP(A112,'BBT3'!A:F,6,0),"")</f>
        <v>N</v>
      </c>
      <c r="G112" t="str">
        <f t="shared" si="13"/>
        <v>Y</v>
      </c>
      <c r="H112">
        <f>IF(NOT(ISBLANK(A112)),VLOOKUP(A112,'Close - PriceSaver'!A:J,5,0),"")</f>
        <v>5.2944914428074301E-2</v>
      </c>
      <c r="I112" s="4" t="e" cm="1">
        <f t="array" ref="I112">IF(NOT(ISBLANK(A112)),((_xlfn.XLOOKUP(1,(_bbt3[[#All],[ID]]=A112)*(_bbt3[[#All],[METRIC_NAME]]="YLD_YTM_ASK"),_bbt3[[#All],[METRIC_VALUE]])*0.5)+(_xlfn.XLOOKUP(1,(_bbt3[[#All],[ID]]=A112)*(_bbt3[[#All],[METRIC_NAME]]="YLD_YTM_BID"),_bbt3[[#All],[METRIC_VALUE]])*0.5))/100,"")</f>
        <v>#N/A</v>
      </c>
      <c r="J112">
        <f>IF(ISNA(VLOOKUP(A112,'CloseDL - PriceSaverBBT3'!A:E,5,0)),0,VLOOKUP(A112,'CloseDL - PriceSaverBBT3'!A:E,5,0))</f>
        <v>5.2944914428074301E-2</v>
      </c>
      <c r="K112" s="7">
        <f t="shared" si="14"/>
        <v>0</v>
      </c>
      <c r="L112" s="20">
        <f>IF(Close[[#This Row],[CreatedBy]]="MARINER\SilverAdm",1,0)</f>
        <v>1</v>
      </c>
      <c r="M112" t="str">
        <f>IF(NOT(ISBLANK(A112)),VLOOKUP(A112,'Close - PriceSaver'!A:J,6,0),"")</f>
        <v>DL input prc = 28.80866513  PX_ASK = 28.86547826 PX_BID = 28.75185200</v>
      </c>
      <c r="Q112" t="e">
        <f t="shared" si="17"/>
        <v>#N/A</v>
      </c>
      <c r="R112" t="e">
        <f t="shared" si="15"/>
        <v>#N/A</v>
      </c>
      <c r="S112" t="e">
        <f t="shared" si="16"/>
        <v>#N/A</v>
      </c>
      <c r="T112" s="15" t="e">
        <f t="shared" si="18"/>
        <v>#N/A</v>
      </c>
      <c r="U112" s="18" t="e">
        <f t="shared" si="19"/>
        <v>#N/A</v>
      </c>
      <c r="V112" s="18" t="e">
        <f t="shared" si="20"/>
        <v>#N/A</v>
      </c>
      <c r="W112" s="19" t="e">
        <f t="shared" si="21"/>
        <v>#N/A</v>
      </c>
      <c r="X112" t="e">
        <f>VLOOKUP(P112,Close[[ID]:[CreatedBy]],8,0)</f>
        <v>#N/A</v>
      </c>
    </row>
    <row r="113" spans="1:24" x14ac:dyDescent="0.35">
      <c r="A113" t="str">
        <v>912803FR9</v>
      </c>
      <c r="B113" t="str">
        <f>IF(NOT(ISBLANK(A113)),VLOOKUP(A113,'BBT3'!A:F,2,0),"")</f>
        <v>Bond</v>
      </c>
      <c r="C113" t="str">
        <f>IF(NOT(ISBLANK(A113)),VLOOKUP(A113,'BBT3'!A:F,3,0),"")</f>
        <v>US912803FR90</v>
      </c>
      <c r="D113" s="5">
        <f>IF(NOT(ISBLANK(A113)),VLOOKUP(A113,'BBT3'!A:F,4,1),"")</f>
        <v>0</v>
      </c>
      <c r="E113">
        <f>IF(NOT(ISBLANK(A113)),VLOOKUP(A113,'BBT3'!A:F,5,0),"")</f>
        <v>55015</v>
      </c>
      <c r="F113" t="str">
        <f>IF(NOT(ISBLANK(A113)),VLOOKUP(A113,'BBT3'!A:F,6,0),"")</f>
        <v>N</v>
      </c>
      <c r="G113" t="str">
        <f t="shared" si="13"/>
        <v>Y</v>
      </c>
      <c r="H113">
        <f>IF(NOT(ISBLANK(A113)),VLOOKUP(A113,'Close - PriceSaver'!A:J,5,0),"")</f>
        <v>5.3004913547003402E-2</v>
      </c>
      <c r="I113" s="4" t="e" cm="1">
        <f t="array" ref="I113">IF(NOT(ISBLANK(A113)),((_xlfn.XLOOKUP(1,(_bbt3[[#All],[ID]]=A113)*(_bbt3[[#All],[METRIC_NAME]]="YLD_YTM_ASK"),_bbt3[[#All],[METRIC_VALUE]])*0.5)+(_xlfn.XLOOKUP(1,(_bbt3[[#All],[ID]]=A113)*(_bbt3[[#All],[METRIC_NAME]]="YLD_YTM_BID"),_bbt3[[#All],[METRIC_VALUE]])*0.5))/100,"")</f>
        <v>#N/A</v>
      </c>
      <c r="J113">
        <f>IF(ISNA(VLOOKUP(A113,'CloseDL - PriceSaverBBT3'!A:E,5,0)),0,VLOOKUP(A113,'CloseDL - PriceSaverBBT3'!A:E,5,0))</f>
        <v>5.3004913547003402E-2</v>
      </c>
      <c r="K113" s="7">
        <f t="shared" si="14"/>
        <v>0</v>
      </c>
      <c r="L113" s="20">
        <f>IF(Close[[#This Row],[CreatedBy]]="MARINER\SilverAdm",1,0)</f>
        <v>1</v>
      </c>
      <c r="M113" t="str">
        <f>IF(NOT(ISBLANK(A113)),VLOOKUP(A113,'Close - PriceSaver'!A:J,6,0),"")</f>
        <v>DL input prc = 28.39317980  PX_ASK = 28.44976224 PX_BID = 28.33659736</v>
      </c>
      <c r="Q113" t="e">
        <f t="shared" si="17"/>
        <v>#N/A</v>
      </c>
      <c r="R113" t="e">
        <f t="shared" si="15"/>
        <v>#N/A</v>
      </c>
      <c r="S113" t="e">
        <f t="shared" si="16"/>
        <v>#N/A</v>
      </c>
      <c r="T113" s="15" t="e">
        <f t="shared" si="18"/>
        <v>#N/A</v>
      </c>
      <c r="U113" s="18" t="e">
        <f t="shared" si="19"/>
        <v>#N/A</v>
      </c>
      <c r="V113" s="18" t="e">
        <f t="shared" si="20"/>
        <v>#N/A</v>
      </c>
      <c r="W113" s="19" t="e">
        <f t="shared" si="21"/>
        <v>#N/A</v>
      </c>
      <c r="X113" t="e">
        <f>VLOOKUP(P113,Close[[ID]:[CreatedBy]],8,0)</f>
        <v>#N/A</v>
      </c>
    </row>
    <row r="114" spans="1:24" x14ac:dyDescent="0.35">
      <c r="A114" t="str">
        <v>912803FT5</v>
      </c>
      <c r="B114" t="str">
        <f>IF(NOT(ISBLANK(A114)),VLOOKUP(A114,'BBT3'!A:F,2,0),"")</f>
        <v>Bond</v>
      </c>
      <c r="C114" t="str">
        <f>IF(NOT(ISBLANK(A114)),VLOOKUP(A114,'BBT3'!A:F,3,0),"")</f>
        <v>US912803FT56</v>
      </c>
      <c r="D114" s="5">
        <f>IF(NOT(ISBLANK(A114)),VLOOKUP(A114,'BBT3'!A:F,4,1),"")</f>
        <v>0</v>
      </c>
      <c r="E114">
        <f>IF(NOT(ISBLANK(A114)),VLOOKUP(A114,'BBT3'!A:F,5,0),"")</f>
        <v>55107</v>
      </c>
      <c r="F114" t="str">
        <f>IF(NOT(ISBLANK(A114)),VLOOKUP(A114,'BBT3'!A:F,6,0),"")</f>
        <v>N</v>
      </c>
      <c r="G114" t="str">
        <f t="shared" si="13"/>
        <v>Y</v>
      </c>
      <c r="H114">
        <f>IF(NOT(ISBLANK(A114)),VLOOKUP(A114,'Close - PriceSaver'!A:J,5,0),"")</f>
        <v>5.3074912674826003E-2</v>
      </c>
      <c r="I114" s="4" t="e" cm="1">
        <f t="array" ref="I114">IF(NOT(ISBLANK(A114)),((_xlfn.XLOOKUP(1,(_bbt3[[#All],[ID]]=A114)*(_bbt3[[#All],[METRIC_NAME]]="YLD_YTM_ASK"),_bbt3[[#All],[METRIC_VALUE]])*0.5)+(_xlfn.XLOOKUP(1,(_bbt3[[#All],[ID]]=A114)*(_bbt3[[#All],[METRIC_NAME]]="YLD_YTM_BID"),_bbt3[[#All],[METRIC_VALUE]])*0.5))/100,"")</f>
        <v>#N/A</v>
      </c>
      <c r="J114">
        <f>IF(ISNA(VLOOKUP(A114,'CloseDL - PriceSaverBBT3'!A:E,5,0)),0,VLOOKUP(A114,'CloseDL - PriceSaverBBT3'!A:E,5,0))</f>
        <v>5.3074912674826003E-2</v>
      </c>
      <c r="K114" s="7">
        <f t="shared" si="14"/>
        <v>0</v>
      </c>
      <c r="L114" s="20">
        <f>IF(Close[[#This Row],[CreatedBy]]="MARINER\SilverAdm",1,0)</f>
        <v>1</v>
      </c>
      <c r="M114" t="str">
        <f>IF(NOT(ISBLANK(A114)),VLOOKUP(A114,'Close - PriceSaver'!A:J,6,0),"")</f>
        <v>DL input prc = 27.97940687  PX_ASK = 28.03573952 PX_BID = 27.92307422</v>
      </c>
      <c r="Q114" t="e">
        <f t="shared" si="17"/>
        <v>#N/A</v>
      </c>
      <c r="R114" t="e">
        <f t="shared" si="15"/>
        <v>#N/A</v>
      </c>
      <c r="S114" t="e">
        <f t="shared" si="16"/>
        <v>#N/A</v>
      </c>
      <c r="T114" s="15" t="e">
        <f t="shared" si="18"/>
        <v>#N/A</v>
      </c>
      <c r="U114" s="18" t="e">
        <f t="shared" si="19"/>
        <v>#N/A</v>
      </c>
      <c r="V114" s="18" t="e">
        <f t="shared" si="20"/>
        <v>#N/A</v>
      </c>
      <c r="W114" s="19" t="e">
        <f t="shared" si="21"/>
        <v>#N/A</v>
      </c>
      <c r="X114" t="e">
        <f>VLOOKUP(P114,Close[[ID]:[CreatedBy]],8,0)</f>
        <v>#N/A</v>
      </c>
    </row>
    <row r="115" spans="1:24" x14ac:dyDescent="0.35">
      <c r="A115" t="str">
        <v>912803FV0</v>
      </c>
      <c r="B115" t="str">
        <f>IF(NOT(ISBLANK(A115)),VLOOKUP(A115,'BBT3'!A:F,2,0),"")</f>
        <v>Bond</v>
      </c>
      <c r="C115" t="str">
        <f>IF(NOT(ISBLANK(A115)),VLOOKUP(A115,'BBT3'!A:F,3,0),"")</f>
        <v>US912803FV03</v>
      </c>
      <c r="D115" s="5">
        <f>IF(NOT(ISBLANK(A115)),VLOOKUP(A115,'BBT3'!A:F,4,1),"")</f>
        <v>0</v>
      </c>
      <c r="E115">
        <f>IF(NOT(ISBLANK(A115)),VLOOKUP(A115,'BBT3'!A:F,5,0),"")</f>
        <v>55199</v>
      </c>
      <c r="F115" t="str">
        <f>IF(NOT(ISBLANK(A115)),VLOOKUP(A115,'BBT3'!A:F,6,0),"")</f>
        <v>N</v>
      </c>
      <c r="G115" t="str">
        <f t="shared" si="13"/>
        <v>Y</v>
      </c>
      <c r="H115">
        <f>IF(NOT(ISBLANK(A115)),VLOOKUP(A115,'Close - PriceSaver'!A:J,5,0),"")</f>
        <v>5.3109823210562797E-2</v>
      </c>
      <c r="I115" s="4" t="e" cm="1">
        <f t="array" ref="I115">IF(NOT(ISBLANK(A115)),((_xlfn.XLOOKUP(1,(_bbt3[[#All],[ID]]=A115)*(_bbt3[[#All],[METRIC_NAME]]="YLD_YTM_ASK"),_bbt3[[#All],[METRIC_VALUE]])*0.5)+(_xlfn.XLOOKUP(1,(_bbt3[[#All],[ID]]=A115)*(_bbt3[[#All],[METRIC_NAME]]="YLD_YTM_BID"),_bbt3[[#All],[METRIC_VALUE]])*0.5))/100,"")</f>
        <v>#N/A</v>
      </c>
      <c r="J115">
        <f>IF(ISNA(VLOOKUP(A115,'CloseDL - PriceSaverBBT3'!A:E,5,0)),0,VLOOKUP(A115,'CloseDL - PriceSaverBBT3'!A:E,5,0))</f>
        <v>5.3109823210562797E-2</v>
      </c>
      <c r="K115" s="7">
        <f t="shared" si="14"/>
        <v>0</v>
      </c>
      <c r="L115" s="20">
        <f>IF(Close[[#This Row],[CreatedBy]]="MARINER\SilverAdm",1,0)</f>
        <v>1</v>
      </c>
      <c r="M115" t="str">
        <f>IF(NOT(ISBLANK(A115)),VLOOKUP(A115,'Close - PriceSaver'!A:J,6,0),"")</f>
        <v>DL input prc = 27.59069612  PX_ASK = 27.64351748 PX_BID = 27.53787475</v>
      </c>
      <c r="Q115" t="e">
        <f t="shared" si="17"/>
        <v>#N/A</v>
      </c>
      <c r="R115" t="e">
        <f t="shared" si="15"/>
        <v>#N/A</v>
      </c>
      <c r="S115" t="e">
        <f t="shared" si="16"/>
        <v>#N/A</v>
      </c>
      <c r="T115" s="15" t="e">
        <f t="shared" si="18"/>
        <v>#N/A</v>
      </c>
      <c r="U115" s="18" t="e">
        <f t="shared" si="19"/>
        <v>#N/A</v>
      </c>
      <c r="V115" s="18" t="e">
        <f t="shared" si="20"/>
        <v>#N/A</v>
      </c>
      <c r="W115" s="19" t="e">
        <f t="shared" si="21"/>
        <v>#N/A</v>
      </c>
      <c r="X115" t="e">
        <f>VLOOKUP(P115,Close[[ID]:[CreatedBy]],8,0)</f>
        <v>#N/A</v>
      </c>
    </row>
    <row r="116" spans="1:24" x14ac:dyDescent="0.35">
      <c r="A116" t="str">
        <v>912803FY4</v>
      </c>
      <c r="B116" t="str">
        <f>IF(NOT(ISBLANK(A116)),VLOOKUP(A116,'BBT3'!A:F,2,0),"")</f>
        <v>Bond</v>
      </c>
      <c r="C116" t="str">
        <f>IF(NOT(ISBLANK(A116)),VLOOKUP(A116,'BBT3'!A:F,3,0),"")</f>
        <v>US912803FY42</v>
      </c>
      <c r="D116" s="5">
        <f>IF(NOT(ISBLANK(A116)),VLOOKUP(A116,'BBT3'!A:F,4,1),"")</f>
        <v>0</v>
      </c>
      <c r="E116">
        <f>IF(NOT(ISBLANK(A116)),VLOOKUP(A116,'BBT3'!A:F,5,0),"")</f>
        <v>55288</v>
      </c>
      <c r="F116" t="str">
        <f>IF(NOT(ISBLANK(A116)),VLOOKUP(A116,'BBT3'!A:F,6,0),"")</f>
        <v>N</v>
      </c>
      <c r="G116" t="str">
        <f t="shared" si="13"/>
        <v>Y</v>
      </c>
      <c r="H116">
        <f>IF(NOT(ISBLANK(A116)),VLOOKUP(A116,'Close - PriceSaver'!A:J,5,0),"")</f>
        <v>5.3100116379285203E-2</v>
      </c>
      <c r="I116" s="4" t="e" cm="1">
        <f t="array" ref="I116">IF(NOT(ISBLANK(A116)),((_xlfn.XLOOKUP(1,(_bbt3[[#All],[ID]]=A116)*(_bbt3[[#All],[METRIC_NAME]]="YLD_YTM_ASK"),_bbt3[[#All],[METRIC_VALUE]])*0.5)+(_xlfn.XLOOKUP(1,(_bbt3[[#All],[ID]]=A116)*(_bbt3[[#All],[METRIC_NAME]]="YLD_YTM_BID"),_bbt3[[#All],[METRIC_VALUE]])*0.5))/100,"")</f>
        <v>#N/A</v>
      </c>
      <c r="J116">
        <f>IF(ISNA(VLOOKUP(A116,'CloseDL - PriceSaverBBT3'!A:E,5,0)),0,VLOOKUP(A116,'CloseDL - PriceSaverBBT3'!A:E,5,0))</f>
        <v>5.3100116379285203E-2</v>
      </c>
      <c r="K116" s="7">
        <f t="shared" si="14"/>
        <v>0</v>
      </c>
      <c r="L116" s="20">
        <f>IF(Close[[#This Row],[CreatedBy]]="MARINER\SilverAdm",1,0)</f>
        <v>1</v>
      </c>
      <c r="M116" t="str">
        <f>IF(NOT(ISBLANK(A116)),VLOOKUP(A116,'Close - PriceSaver'!A:J,6,0),"")</f>
        <v>DL input prc = 27.23962684  PX_ASK = 27.29230475 PX_BID = 27.18694892</v>
      </c>
      <c r="Q116" t="e">
        <f t="shared" si="17"/>
        <v>#N/A</v>
      </c>
      <c r="R116" t="e">
        <f t="shared" si="15"/>
        <v>#N/A</v>
      </c>
      <c r="S116" t="e">
        <f t="shared" si="16"/>
        <v>#N/A</v>
      </c>
      <c r="T116" s="15" t="e">
        <f t="shared" si="18"/>
        <v>#N/A</v>
      </c>
      <c r="U116" s="18" t="e">
        <f t="shared" si="19"/>
        <v>#N/A</v>
      </c>
      <c r="V116" s="18" t="e">
        <f t="shared" si="20"/>
        <v>#N/A</v>
      </c>
      <c r="W116" s="19" t="e">
        <f t="shared" si="21"/>
        <v>#N/A</v>
      </c>
      <c r="X116" t="e">
        <f>VLOOKUP(P116,Close[[ID]:[CreatedBy]],8,0)</f>
        <v>#N/A</v>
      </c>
    </row>
    <row r="117" spans="1:24" x14ac:dyDescent="0.35">
      <c r="A117" t="str">
        <v>912803GA5</v>
      </c>
      <c r="B117" t="str">
        <f>IF(NOT(ISBLANK(A117)),VLOOKUP(A117,'BBT3'!A:F,2,0),"")</f>
        <v>Bond</v>
      </c>
      <c r="C117" t="str">
        <f>IF(NOT(ISBLANK(A117)),VLOOKUP(A117,'BBT3'!A:F,3,0),"")</f>
        <v>US912803GA56</v>
      </c>
      <c r="D117" s="5">
        <f>IF(NOT(ISBLANK(A117)),VLOOKUP(A117,'BBT3'!A:F,4,1),"")</f>
        <v>0</v>
      </c>
      <c r="E117">
        <f>IF(NOT(ISBLANK(A117)),VLOOKUP(A117,'BBT3'!A:F,5,0),"")</f>
        <v>55380</v>
      </c>
      <c r="F117" t="str">
        <f>IF(NOT(ISBLANK(A117)),VLOOKUP(A117,'BBT3'!A:F,6,0),"")</f>
        <v>N</v>
      </c>
      <c r="G117" t="str">
        <f t="shared" si="13"/>
        <v>Y</v>
      </c>
      <c r="H117">
        <f>IF(NOT(ISBLANK(A117)),VLOOKUP(A117,'Close - PriceSaver'!A:J,5,0),"")</f>
        <v>5.3064910035915798E-2</v>
      </c>
      <c r="I117" s="4" t="e" cm="1">
        <f t="array" ref="I117">IF(NOT(ISBLANK(A117)),((_xlfn.XLOOKUP(1,(_bbt3[[#All],[ID]]=A117)*(_bbt3[[#All],[METRIC_NAME]]="YLD_YTM_ASK"),_bbt3[[#All],[METRIC_VALUE]])*0.5)+(_xlfn.XLOOKUP(1,(_bbt3[[#All],[ID]]=A117)*(_bbt3[[#All],[METRIC_NAME]]="YLD_YTM_BID"),_bbt3[[#All],[METRIC_VALUE]])*0.5))/100,"")</f>
        <v>#N/A</v>
      </c>
      <c r="J117">
        <f>IF(ISNA(VLOOKUP(A117,'CloseDL - PriceSaverBBT3'!A:E,5,0)),0,VLOOKUP(A117,'CloseDL - PriceSaverBBT3'!A:E,5,0))</f>
        <v>5.3064910035915798E-2</v>
      </c>
      <c r="K117" s="7">
        <f t="shared" si="14"/>
        <v>0</v>
      </c>
      <c r="L117" s="20">
        <f>IF(Close[[#This Row],[CreatedBy]]="MARINER\SilverAdm",1,0)</f>
        <v>1</v>
      </c>
      <c r="M117" t="str">
        <f>IF(NOT(ISBLANK(A117)),VLOOKUP(A117,'Close - PriceSaver'!A:J,6,0),"")</f>
        <v>DL input prc = 26.90653587  PX_ASK = 26.96238206 PX_BID = 26.85068967</v>
      </c>
      <c r="Q117" t="e">
        <f t="shared" ref="Q117:Q180" si="22">VLOOKUP(P117,A:C,3,0)</f>
        <v>#N/A</v>
      </c>
      <c r="R117" t="e">
        <f t="shared" ref="R117:R180" si="23">VLOOKUP(P117,A:B,2,0)</f>
        <v>#N/A</v>
      </c>
      <c r="S117" t="e">
        <f t="shared" ref="S117:S180" si="24">VLOOKUP(P117,A:E,4,0)</f>
        <v>#N/A</v>
      </c>
      <c r="T117" s="15" t="e">
        <f t="shared" ref="T117:T180" si="25">VLOOKUP(P117,A:K,5,0)</f>
        <v>#N/A</v>
      </c>
      <c r="U117" s="18" t="e">
        <f t="shared" ref="U117:U180" si="26">VLOOKUP(P117,A:K,8,0)</f>
        <v>#N/A</v>
      </c>
      <c r="V117" s="18" t="e">
        <f t="shared" ref="V117:V180" si="27">VLOOKUP(P117,A:K,10,0)</f>
        <v>#N/A</v>
      </c>
      <c r="W117" s="19" t="e">
        <f t="shared" ref="W117:W180" si="28">(V117-U117)*100</f>
        <v>#N/A</v>
      </c>
      <c r="X117" t="e">
        <f>VLOOKUP(P117,Close[[ID]:[CreatedBy]],8,0)</f>
        <v>#N/A</v>
      </c>
    </row>
    <row r="118" spans="1:24" x14ac:dyDescent="0.35">
      <c r="A118" t="str">
        <v>912803GC1</v>
      </c>
      <c r="B118" t="str">
        <f>IF(NOT(ISBLANK(A118)),VLOOKUP(A118,'BBT3'!A:F,2,0),"")</f>
        <v>Bond</v>
      </c>
      <c r="C118" t="str">
        <f>IF(NOT(ISBLANK(A118)),VLOOKUP(A118,'BBT3'!A:F,3,0),"")</f>
        <v>US912803GC13</v>
      </c>
      <c r="D118" s="5">
        <f>IF(NOT(ISBLANK(A118)),VLOOKUP(A118,'BBT3'!A:F,4,1),"")</f>
        <v>0</v>
      </c>
      <c r="E118">
        <f>IF(NOT(ISBLANK(A118)),VLOOKUP(A118,'BBT3'!A:F,5,0),"")</f>
        <v>55472</v>
      </c>
      <c r="F118" t="str">
        <f>IF(NOT(ISBLANK(A118)),VLOOKUP(A118,'BBT3'!A:F,6,0),"")</f>
        <v>N</v>
      </c>
      <c r="G118" t="str">
        <f t="shared" si="13"/>
        <v>Y</v>
      </c>
      <c r="H118">
        <f>IF(NOT(ISBLANK(A118)),VLOOKUP(A118,'Close - PriceSaver'!A:J,5,0),"")</f>
        <v>5.3034909148353501E-2</v>
      </c>
      <c r="I118" s="4" t="e" cm="1">
        <f t="array" ref="I118">IF(NOT(ISBLANK(A118)),((_xlfn.XLOOKUP(1,(_bbt3[[#All],[ID]]=A118)*(_bbt3[[#All],[METRIC_NAME]]="YLD_YTM_ASK"),_bbt3[[#All],[METRIC_VALUE]])*0.5)+(_xlfn.XLOOKUP(1,(_bbt3[[#All],[ID]]=A118)*(_bbt3[[#All],[METRIC_NAME]]="YLD_YTM_BID"),_bbt3[[#All],[METRIC_VALUE]])*0.5))/100,"")</f>
        <v>#N/A</v>
      </c>
      <c r="J118">
        <f>IF(ISNA(VLOOKUP(A118,'CloseDL - PriceSaverBBT3'!A:E,5,0)),0,VLOOKUP(A118,'CloseDL - PriceSaverBBT3'!A:E,5,0))</f>
        <v>5.3034909148353501E-2</v>
      </c>
      <c r="K118" s="7">
        <f t="shared" si="14"/>
        <v>0</v>
      </c>
      <c r="L118" s="20">
        <f>IF(Close[[#This Row],[CreatedBy]]="MARINER\SilverAdm",1,0)</f>
        <v>1</v>
      </c>
      <c r="M118" t="str">
        <f>IF(NOT(ISBLANK(A118)),VLOOKUP(A118,'Close - PriceSaver'!A:J,6,0),"")</f>
        <v>DL input prc = 26.57769702  PX_ASK = 26.63340930 PX_BID = 26.52198474</v>
      </c>
      <c r="Q118" t="e">
        <f t="shared" si="22"/>
        <v>#N/A</v>
      </c>
      <c r="R118" t="e">
        <f t="shared" si="23"/>
        <v>#N/A</v>
      </c>
      <c r="S118" t="e">
        <f t="shared" si="24"/>
        <v>#N/A</v>
      </c>
      <c r="T118" s="15" t="e">
        <f t="shared" si="25"/>
        <v>#N/A</v>
      </c>
      <c r="U118" s="18" t="e">
        <f t="shared" si="26"/>
        <v>#N/A</v>
      </c>
      <c r="V118" s="18" t="e">
        <f t="shared" si="27"/>
        <v>#N/A</v>
      </c>
      <c r="W118" s="19" t="e">
        <f t="shared" si="28"/>
        <v>#N/A</v>
      </c>
      <c r="X118" t="e">
        <f>VLOOKUP(P118,Close[[ID]:[CreatedBy]],8,0)</f>
        <v>#N/A</v>
      </c>
    </row>
    <row r="119" spans="1:24" x14ac:dyDescent="0.35">
      <c r="A119" t="str">
        <v>912803GE7</v>
      </c>
      <c r="B119" t="str">
        <f>IF(NOT(ISBLANK(A119)),VLOOKUP(A119,'BBT3'!A:F,2,0),"")</f>
        <v>Bond</v>
      </c>
      <c r="C119" t="str">
        <f>IF(NOT(ISBLANK(A119)),VLOOKUP(A119,'BBT3'!A:F,3,0),"")</f>
        <v>US912803GE78</v>
      </c>
      <c r="D119" s="5">
        <f>IF(NOT(ISBLANK(A119)),VLOOKUP(A119,'BBT3'!A:F,4,1),"")</f>
        <v>0</v>
      </c>
      <c r="E119">
        <f>IF(NOT(ISBLANK(A119)),VLOOKUP(A119,'BBT3'!A:F,5,0),"")</f>
        <v>55564</v>
      </c>
      <c r="F119" t="str">
        <f>IF(NOT(ISBLANK(A119)),VLOOKUP(A119,'BBT3'!A:F,6,0),"")</f>
        <v>N</v>
      </c>
      <c r="G119" t="str">
        <f t="shared" si="13"/>
        <v>Y</v>
      </c>
      <c r="H119">
        <f>IF(NOT(ISBLANK(A119)),VLOOKUP(A119,'Close - PriceSaver'!A:J,5,0),"")</f>
        <v>5.2989918743361598E-2</v>
      </c>
      <c r="I119" s="4" t="e" cm="1">
        <f t="array" ref="I119">IF(NOT(ISBLANK(A119)),((_xlfn.XLOOKUP(1,(_bbt3[[#All],[ID]]=A119)*(_bbt3[[#All],[METRIC_NAME]]="YLD_YTM_ASK"),_bbt3[[#All],[METRIC_VALUE]])*0.5)+(_xlfn.XLOOKUP(1,(_bbt3[[#All],[ID]]=A119)*(_bbt3[[#All],[METRIC_NAME]]="YLD_YTM_BID"),_bbt3[[#All],[METRIC_VALUE]])*0.5))/100,"")</f>
        <v>#N/A</v>
      </c>
      <c r="J119">
        <f>IF(ISNA(VLOOKUP(A119,'CloseDL - PriceSaverBBT3'!A:E,5,0)),0,VLOOKUP(A119,'CloseDL - PriceSaverBBT3'!A:E,5,0))</f>
        <v>5.2989918743361598E-2</v>
      </c>
      <c r="K119" s="7">
        <f t="shared" si="14"/>
        <v>0</v>
      </c>
      <c r="L119" s="20">
        <f>IF(Close[[#This Row],[CreatedBy]]="MARINER\SilverAdm",1,0)</f>
        <v>1</v>
      </c>
      <c r="M119" t="str">
        <f>IF(NOT(ISBLANK(A119)),VLOOKUP(A119,'Close - PriceSaver'!A:J,6,0),"")</f>
        <v>DL input prc = 26.26009224  PX_ASK = 26.31241572 PX_BID = 26.20776875</v>
      </c>
      <c r="Q119" t="e">
        <f t="shared" si="22"/>
        <v>#N/A</v>
      </c>
      <c r="R119" t="e">
        <f t="shared" si="23"/>
        <v>#N/A</v>
      </c>
      <c r="S119" t="e">
        <f t="shared" si="24"/>
        <v>#N/A</v>
      </c>
      <c r="T119" s="15" t="e">
        <f t="shared" si="25"/>
        <v>#N/A</v>
      </c>
      <c r="U119" s="18" t="e">
        <f t="shared" si="26"/>
        <v>#N/A</v>
      </c>
      <c r="V119" s="18" t="e">
        <f t="shared" si="27"/>
        <v>#N/A</v>
      </c>
      <c r="W119" s="19" t="e">
        <f t="shared" si="28"/>
        <v>#N/A</v>
      </c>
      <c r="X119" t="e">
        <f>VLOOKUP(P119,Close[[ID]:[CreatedBy]],8,0)</f>
        <v>#N/A</v>
      </c>
    </row>
    <row r="120" spans="1:24" x14ac:dyDescent="0.35">
      <c r="A120" t="str">
        <v>912803GH0</v>
      </c>
      <c r="B120" t="str">
        <f>IF(NOT(ISBLANK(A120)),VLOOKUP(A120,'BBT3'!A:F,2,0),"")</f>
        <v>Bond</v>
      </c>
      <c r="C120" t="str">
        <f>IF(NOT(ISBLANK(A120)),VLOOKUP(A120,'BBT3'!A:F,3,0),"")</f>
        <v>US912803GH00</v>
      </c>
      <c r="D120" s="5">
        <f>IF(NOT(ISBLANK(A120)),VLOOKUP(A120,'BBT3'!A:F,4,1),"")</f>
        <v>0</v>
      </c>
      <c r="E120">
        <f>IF(NOT(ISBLANK(A120)),VLOOKUP(A120,'BBT3'!A:F,5,0),"")</f>
        <v>55654</v>
      </c>
      <c r="F120" t="str">
        <f>IF(NOT(ISBLANK(A120)),VLOOKUP(A120,'BBT3'!A:F,6,0),"")</f>
        <v>N</v>
      </c>
      <c r="G120" t="str">
        <f t="shared" si="13"/>
        <v>Y</v>
      </c>
      <c r="H120">
        <f>IF(NOT(ISBLANK(A120)),VLOOKUP(A120,'Close - PriceSaver'!A:J,5,0),"")</f>
        <v>5.2964989970300601E-2</v>
      </c>
      <c r="I120" s="4" t="e" cm="1">
        <f t="array" ref="I120">IF(NOT(ISBLANK(A120)),((_xlfn.XLOOKUP(1,(_bbt3[[#All],[ID]]=A120)*(_bbt3[[#All],[METRIC_NAME]]="YLD_YTM_ASK"),_bbt3[[#All],[METRIC_VALUE]])*0.5)+(_xlfn.XLOOKUP(1,(_bbt3[[#All],[ID]]=A120)*(_bbt3[[#All],[METRIC_NAME]]="YLD_YTM_BID"),_bbt3[[#All],[METRIC_VALUE]])*0.5))/100,"")</f>
        <v>#N/A</v>
      </c>
      <c r="J120">
        <f>IF(ISNA(VLOOKUP(A120,'CloseDL - PriceSaverBBT3'!A:E,5,0)),0,VLOOKUP(A120,'CloseDL - PriceSaverBBT3'!A:E,5,0))</f>
        <v>5.2964989970300601E-2</v>
      </c>
      <c r="K120" s="7">
        <f t="shared" si="14"/>
        <v>0</v>
      </c>
      <c r="L120" s="20">
        <f>IF(Close[[#This Row],[CreatedBy]]="MARINER\SilverAdm",1,0)</f>
        <v>1</v>
      </c>
      <c r="M120" t="str">
        <f>IF(NOT(ISBLANK(A120)),VLOOKUP(A120,'Close - PriceSaver'!A:J,6,0),"")</f>
        <v>DL input prc = 25.93673718  PX_ASK = 25.98565874 PX_BID = 25.88781562</v>
      </c>
      <c r="Q120" t="e">
        <f t="shared" si="22"/>
        <v>#N/A</v>
      </c>
      <c r="R120" t="e">
        <f t="shared" si="23"/>
        <v>#N/A</v>
      </c>
      <c r="S120" t="e">
        <f t="shared" si="24"/>
        <v>#N/A</v>
      </c>
      <c r="T120" s="15" t="e">
        <f t="shared" si="25"/>
        <v>#N/A</v>
      </c>
      <c r="U120" s="18" t="e">
        <f t="shared" si="26"/>
        <v>#N/A</v>
      </c>
      <c r="V120" s="18" t="e">
        <f t="shared" si="27"/>
        <v>#N/A</v>
      </c>
      <c r="W120" s="19" t="e">
        <f t="shared" si="28"/>
        <v>#N/A</v>
      </c>
      <c r="X120" t="e">
        <f>VLOOKUP(P120,Close[[ID]:[CreatedBy]],8,0)</f>
        <v>#N/A</v>
      </c>
    </row>
    <row r="121" spans="1:24" x14ac:dyDescent="0.35">
      <c r="A121" t="str">
        <v>912803GK3</v>
      </c>
      <c r="B121" t="str">
        <f>IF(NOT(ISBLANK(A121)),VLOOKUP(A121,'BBT3'!A:F,2,0),"")</f>
        <v>Bond</v>
      </c>
      <c r="C121" t="str">
        <f>IF(NOT(ISBLANK(A121)),VLOOKUP(A121,'BBT3'!A:F,3,0),"")</f>
        <v>US912803GK39</v>
      </c>
      <c r="D121" s="5">
        <f>IF(NOT(ISBLANK(A121)),VLOOKUP(A121,'BBT3'!A:F,4,1),"")</f>
        <v>0</v>
      </c>
      <c r="E121">
        <f>IF(NOT(ISBLANK(A121)),VLOOKUP(A121,'BBT3'!A:F,5,0),"")</f>
        <v>55746</v>
      </c>
      <c r="F121" t="str">
        <f>IF(NOT(ISBLANK(A121)),VLOOKUP(A121,'BBT3'!A:F,6,0),"")</f>
        <v>N</v>
      </c>
      <c r="G121" t="str">
        <f t="shared" si="13"/>
        <v>Y</v>
      </c>
      <c r="H121">
        <f>IF(NOT(ISBLANK(A121)),VLOOKUP(A121,'Close - PriceSaver'!A:J,5,0),"")</f>
        <v>5.2909917183986799E-2</v>
      </c>
      <c r="I121" s="4" t="e" cm="1">
        <f t="array" ref="I121">IF(NOT(ISBLANK(A121)),((_xlfn.XLOOKUP(1,(_bbt3[[#All],[ID]]=A121)*(_bbt3[[#All],[METRIC_NAME]]="YLD_YTM_ASK"),_bbt3[[#All],[METRIC_VALUE]])*0.5)+(_xlfn.XLOOKUP(1,(_bbt3[[#All],[ID]]=A121)*(_bbt3[[#All],[METRIC_NAME]]="YLD_YTM_BID"),_bbt3[[#All],[METRIC_VALUE]])*0.5))/100,"")</f>
        <v>#N/A</v>
      </c>
      <c r="J121">
        <f>IF(ISNA(VLOOKUP(A121,'CloseDL - PriceSaverBBT3'!A:E,5,0)),0,VLOOKUP(A121,'CloseDL - PriceSaverBBT3'!A:E,5,0))</f>
        <v>5.2909917183986799E-2</v>
      </c>
      <c r="K121" s="7">
        <f t="shared" si="14"/>
        <v>0</v>
      </c>
      <c r="L121" s="20">
        <f>IF(Close[[#This Row],[CreatedBy]]="MARINER\SilverAdm",1,0)</f>
        <v>1</v>
      </c>
      <c r="M121" t="str">
        <f>IF(NOT(ISBLANK(A121)),VLOOKUP(A121,'Close - PriceSaver'!A:J,6,0),"")</f>
        <v>DL input prc = 25.63431525  PX_ASK = 25.68639280 PX_BID = 25.58223770</v>
      </c>
      <c r="Q121" t="e">
        <f t="shared" si="22"/>
        <v>#N/A</v>
      </c>
      <c r="R121" t="e">
        <f t="shared" si="23"/>
        <v>#N/A</v>
      </c>
      <c r="S121" t="e">
        <f t="shared" si="24"/>
        <v>#N/A</v>
      </c>
      <c r="T121" s="15" t="e">
        <f t="shared" si="25"/>
        <v>#N/A</v>
      </c>
      <c r="U121" s="18" t="e">
        <f t="shared" si="26"/>
        <v>#N/A</v>
      </c>
      <c r="V121" s="18" t="e">
        <f t="shared" si="27"/>
        <v>#N/A</v>
      </c>
      <c r="W121" s="19" t="e">
        <f t="shared" si="28"/>
        <v>#N/A</v>
      </c>
      <c r="X121" t="e">
        <f>VLOOKUP(P121,Close[[ID]:[CreatedBy]],8,0)</f>
        <v>#N/A</v>
      </c>
    </row>
    <row r="122" spans="1:24" x14ac:dyDescent="0.35">
      <c r="A122" t="str">
        <v>912803GM9</v>
      </c>
      <c r="B122" t="str">
        <f>IF(NOT(ISBLANK(A122)),VLOOKUP(A122,'BBT3'!A:F,2,0),"")</f>
        <v>Bond</v>
      </c>
      <c r="C122" t="str">
        <f>IF(NOT(ISBLANK(A122)),VLOOKUP(A122,'BBT3'!A:F,3,0),"")</f>
        <v>US912803GM94</v>
      </c>
      <c r="D122" s="5">
        <f>IF(NOT(ISBLANK(A122)),VLOOKUP(A122,'BBT3'!A:F,4,1),"")</f>
        <v>0</v>
      </c>
      <c r="E122">
        <f>IF(NOT(ISBLANK(A122)),VLOOKUP(A122,'BBT3'!A:F,5,0),"")</f>
        <v>55838</v>
      </c>
      <c r="F122" t="str">
        <f>IF(NOT(ISBLANK(A122)),VLOOKUP(A122,'BBT3'!A:F,6,0),"")</f>
        <v>N</v>
      </c>
      <c r="G122" t="str">
        <f t="shared" si="13"/>
        <v>Y</v>
      </c>
      <c r="H122">
        <f>IF(NOT(ISBLANK(A122)),VLOOKUP(A122,'Close - PriceSaver'!A:J,5,0),"")</f>
        <v>5.2879916400933598E-2</v>
      </c>
      <c r="I122" s="4" t="e" cm="1">
        <f t="array" ref="I122">IF(NOT(ISBLANK(A122)),((_xlfn.XLOOKUP(1,(_bbt3[[#All],[ID]]=A122)*(_bbt3[[#All],[METRIC_NAME]]="YLD_YTM_ASK"),_bbt3[[#All],[METRIC_VALUE]])*0.5)+(_xlfn.XLOOKUP(1,(_bbt3[[#All],[ID]]=A122)*(_bbt3[[#All],[METRIC_NAME]]="YLD_YTM_BID"),_bbt3[[#All],[METRIC_VALUE]])*0.5))/100,"")</f>
        <v>#N/A</v>
      </c>
      <c r="J122">
        <f>IF(ISNA(VLOOKUP(A122,'CloseDL - PriceSaverBBT3'!A:E,5,0)),0,VLOOKUP(A122,'CloseDL - PriceSaverBBT3'!A:E,5,0))</f>
        <v>5.2879916400933598E-2</v>
      </c>
      <c r="K122" s="7">
        <f t="shared" si="14"/>
        <v>0</v>
      </c>
      <c r="L122" s="20">
        <f>IF(Close[[#This Row],[CreatedBy]]="MARINER\SilverAdm",1,0)</f>
        <v>1</v>
      </c>
      <c r="M122" t="str">
        <f>IF(NOT(ISBLANK(A122)),VLOOKUP(A122,'Close - PriceSaver'!A:J,6,0),"")</f>
        <v>DL input prc = 25.32271805  PX_ASK = 25.37465460 PX_BID = 25.27078150</v>
      </c>
      <c r="Q122" t="e">
        <f t="shared" si="22"/>
        <v>#N/A</v>
      </c>
      <c r="R122" t="e">
        <f t="shared" si="23"/>
        <v>#N/A</v>
      </c>
      <c r="S122" t="e">
        <f t="shared" si="24"/>
        <v>#N/A</v>
      </c>
      <c r="T122" s="15" t="e">
        <f t="shared" si="25"/>
        <v>#N/A</v>
      </c>
      <c r="U122" s="18" t="e">
        <f t="shared" si="26"/>
        <v>#N/A</v>
      </c>
      <c r="V122" s="18" t="e">
        <f t="shared" si="27"/>
        <v>#N/A</v>
      </c>
      <c r="W122" s="19" t="e">
        <f t="shared" si="28"/>
        <v>#N/A</v>
      </c>
      <c r="X122" t="e">
        <f>VLOOKUP(P122,Close[[ID]:[CreatedBy]],8,0)</f>
        <v>#N/A</v>
      </c>
    </row>
    <row r="123" spans="1:24" x14ac:dyDescent="0.35">
      <c r="A123" t="str">
        <v>912803GP2</v>
      </c>
      <c r="B123" t="str">
        <f>IF(NOT(ISBLANK(A123)),VLOOKUP(A123,'BBT3'!A:F,2,0),"")</f>
        <v>Bond</v>
      </c>
      <c r="C123" t="str">
        <f>IF(NOT(ISBLANK(A123)),VLOOKUP(A123,'BBT3'!A:F,3,0),"")</f>
        <v>US912803GP26</v>
      </c>
      <c r="D123" s="5">
        <f>IF(NOT(ISBLANK(A123)),VLOOKUP(A123,'BBT3'!A:F,4,1),"")</f>
        <v>0</v>
      </c>
      <c r="E123">
        <f>IF(NOT(ISBLANK(A123)),VLOOKUP(A123,'BBT3'!A:F,5,0),"")</f>
        <v>55930</v>
      </c>
      <c r="F123" t="str">
        <f>IF(NOT(ISBLANK(A123)),VLOOKUP(A123,'BBT3'!A:F,6,0),"")</f>
        <v>N</v>
      </c>
      <c r="G123" t="str">
        <f t="shared" si="13"/>
        <v>Y</v>
      </c>
      <c r="H123">
        <f>IF(NOT(ISBLANK(A123)),VLOOKUP(A123,'Close - PriceSaver'!A:J,5,0),"")</f>
        <v>5.2764925835241901E-2</v>
      </c>
      <c r="I123" s="4" t="e" cm="1">
        <f t="array" ref="I123">IF(NOT(ISBLANK(A123)),((_xlfn.XLOOKUP(1,(_bbt3[[#All],[ID]]=A123)*(_bbt3[[#All],[METRIC_NAME]]="YLD_YTM_ASK"),_bbt3[[#All],[METRIC_VALUE]])*0.5)+(_xlfn.XLOOKUP(1,(_bbt3[[#All],[ID]]=A123)*(_bbt3[[#All],[METRIC_NAME]]="YLD_YTM_BID"),_bbt3[[#All],[METRIC_VALUE]])*0.5))/100,"")</f>
        <v>#N/A</v>
      </c>
      <c r="J123">
        <f>IF(ISNA(VLOOKUP(A123,'CloseDL - PriceSaverBBT3'!A:E,5,0)),0,VLOOKUP(A123,'CloseDL - PriceSaverBBT3'!A:E,5,0))</f>
        <v>5.2764925835241901E-2</v>
      </c>
      <c r="K123" s="7">
        <f t="shared" si="14"/>
        <v>0</v>
      </c>
      <c r="L123" s="20">
        <f>IF(Close[[#This Row],[CreatedBy]]="MARINER\SilverAdm",1,0)</f>
        <v>1</v>
      </c>
      <c r="M123" t="str">
        <f>IF(NOT(ISBLANK(A123)),VLOOKUP(A123,'Close - PriceSaver'!A:J,6,0),"")</f>
        <v>DL input prc = 25.06753434  PX_ASK = 25.11619681 PX_BID = 25.01887187</v>
      </c>
      <c r="Q123" t="e">
        <f t="shared" si="22"/>
        <v>#N/A</v>
      </c>
      <c r="R123" t="e">
        <f t="shared" si="23"/>
        <v>#N/A</v>
      </c>
      <c r="S123" t="e">
        <f t="shared" si="24"/>
        <v>#N/A</v>
      </c>
      <c r="T123" s="15" t="e">
        <f t="shared" si="25"/>
        <v>#N/A</v>
      </c>
      <c r="U123" s="18" t="e">
        <f t="shared" si="26"/>
        <v>#N/A</v>
      </c>
      <c r="V123" s="18" t="e">
        <f t="shared" si="27"/>
        <v>#N/A</v>
      </c>
      <c r="W123" s="19" t="e">
        <f t="shared" si="28"/>
        <v>#N/A</v>
      </c>
      <c r="X123" t="e">
        <f>VLOOKUP(P123,Close[[ID]:[CreatedBy]],8,0)</f>
        <v>#N/A</v>
      </c>
    </row>
    <row r="124" spans="1:24" x14ac:dyDescent="0.35">
      <c r="A124" t="str">
        <v>912803GS6</v>
      </c>
      <c r="B124" t="str">
        <f>IF(NOT(ISBLANK(A124)),VLOOKUP(A124,'BBT3'!A:F,2,0),"")</f>
        <v>Bond</v>
      </c>
      <c r="C124" t="str">
        <f>IF(NOT(ISBLANK(A124)),VLOOKUP(A124,'BBT3'!A:F,3,0),"")</f>
        <v>US912803GS64</v>
      </c>
      <c r="D124" s="5">
        <f>IF(NOT(ISBLANK(A124)),VLOOKUP(A124,'BBT3'!A:F,4,1),"")</f>
        <v>0</v>
      </c>
      <c r="E124">
        <f>IF(NOT(ISBLANK(A124)),VLOOKUP(A124,'BBT3'!A:F,5,0),"")</f>
        <v>56019</v>
      </c>
      <c r="F124" t="str">
        <f>IF(NOT(ISBLANK(A124)),VLOOKUP(A124,'BBT3'!A:F,6,0),"")</f>
        <v>N</v>
      </c>
      <c r="G124" t="str">
        <f t="shared" si="13"/>
        <v>Y</v>
      </c>
      <c r="H124">
        <f>IF(NOT(ISBLANK(A124)),VLOOKUP(A124,'Close - PriceSaver'!A:J,5,0),"")</f>
        <v>5.2724903857916401E-2</v>
      </c>
      <c r="I124" s="4" t="e" cm="1">
        <f t="array" ref="I124">IF(NOT(ISBLANK(A124)),((_xlfn.XLOOKUP(1,(_bbt3[[#All],[ID]]=A124)*(_bbt3[[#All],[METRIC_NAME]]="YLD_YTM_ASK"),_bbt3[[#All],[METRIC_VALUE]])*0.5)+(_xlfn.XLOOKUP(1,(_bbt3[[#All],[ID]]=A124)*(_bbt3[[#All],[METRIC_NAME]]="YLD_YTM_BID"),_bbt3[[#All],[METRIC_VALUE]])*0.5))/100,"")</f>
        <v>#N/A</v>
      </c>
      <c r="J124">
        <f>IF(ISNA(VLOOKUP(A124,'CloseDL - PriceSaverBBT3'!A:E,5,0)),0,VLOOKUP(A124,'CloseDL - PriceSaverBBT3'!A:E,5,0))</f>
        <v>5.2724903857916401E-2</v>
      </c>
      <c r="K124" s="12">
        <f t="shared" si="14"/>
        <v>0</v>
      </c>
      <c r="L124" s="20">
        <f>IF(Close[[#This Row],[CreatedBy]]="MARINER\SilverAdm",1,0)</f>
        <v>1</v>
      </c>
      <c r="M124" t="str">
        <f>IF(NOT(ISBLANK(A124)),VLOOKUP(A124,'Close - PriceSaver'!A:J,6,0),"")</f>
        <v>DL input prc = 24.77054515  PX_ASK = 24.82555422 PX_BID = 24.71553607</v>
      </c>
      <c r="Q124" t="e">
        <f t="shared" si="22"/>
        <v>#N/A</v>
      </c>
      <c r="R124" t="e">
        <f t="shared" si="23"/>
        <v>#N/A</v>
      </c>
      <c r="S124" t="e">
        <f t="shared" si="24"/>
        <v>#N/A</v>
      </c>
      <c r="T124" s="15" t="e">
        <f t="shared" si="25"/>
        <v>#N/A</v>
      </c>
      <c r="U124" s="18" t="e">
        <f t="shared" si="26"/>
        <v>#N/A</v>
      </c>
      <c r="V124" s="18" t="e">
        <f t="shared" si="27"/>
        <v>#N/A</v>
      </c>
      <c r="W124" s="19" t="e">
        <f t="shared" si="28"/>
        <v>#N/A</v>
      </c>
      <c r="X124" t="e">
        <f>VLOOKUP(P124,Close[[ID]:[CreatedBy]],8,0)</f>
        <v>#N/A</v>
      </c>
    </row>
    <row r="125" spans="1:24" x14ac:dyDescent="0.35">
      <c r="A125" t="str">
        <v>912810EX2</v>
      </c>
      <c r="B125" t="str">
        <f>IF(NOT(ISBLANK(A125)),VLOOKUP(A125,'BBT3'!A:F,2,0),"")</f>
        <v>Bond</v>
      </c>
      <c r="C125" t="str">
        <f>IF(NOT(ISBLANK(A125)),VLOOKUP(A125,'BBT3'!A:F,3,0),"")</f>
        <v>US912810EX29</v>
      </c>
      <c r="D125" s="5">
        <f>IF(NOT(ISBLANK(A125)),VLOOKUP(A125,'BBT3'!A:F,4,1),"")</f>
        <v>6.75</v>
      </c>
      <c r="E125">
        <f>IF(NOT(ISBLANK(A125)),VLOOKUP(A125,'BBT3'!A:F,5,0),"")</f>
        <v>46249</v>
      </c>
      <c r="F125" t="str">
        <f>IF(NOT(ISBLANK(A125)),VLOOKUP(A125,'BBT3'!A:F,6,0),"")</f>
        <v>N</v>
      </c>
      <c r="G125" t="str">
        <f t="shared" si="13"/>
        <v>N</v>
      </c>
      <c r="H125">
        <f>IF(NOT(ISBLANK(A125)),VLOOKUP(A125,'Close - PriceSaver'!A:J,5,0),"")</f>
        <v>3.4884061776158097E-2</v>
      </c>
      <c r="I125" s="4" t="e" cm="1">
        <f t="array" ref="I125">IF(NOT(ISBLANK(A125)),((_xlfn.XLOOKUP(1,(_bbt3[[#All],[ID]]=A125)*(_bbt3[[#All],[METRIC_NAME]]="YLD_YTM_ASK"),_bbt3[[#All],[METRIC_VALUE]])*0.5)+(_xlfn.XLOOKUP(1,(_bbt3[[#All],[ID]]=A125)*(_bbt3[[#All],[METRIC_NAME]]="YLD_YTM_BID"),_bbt3[[#All],[METRIC_VALUE]])*0.5))/100,"")</f>
        <v>#N/A</v>
      </c>
      <c r="J125">
        <f>IF(ISNA(VLOOKUP(A125,'CloseDL - PriceSaverBBT3'!A:E,5,0)),0,VLOOKUP(A125,'CloseDL - PriceSaverBBT3'!A:E,5,0))</f>
        <v>3.4884061776158097E-2</v>
      </c>
      <c r="K125" s="7">
        <f t="shared" si="14"/>
        <v>0</v>
      </c>
      <c r="L125" s="20">
        <f>IF(Close[[#This Row],[CreatedBy]]="MARINER\SilverAdm",1,0)</f>
        <v>1</v>
      </c>
      <c r="M125" t="str">
        <f>IF(NOT(ISBLANK(A125)),VLOOKUP(A125,'Close - PriceSaver'!A:J,6,0),"")</f>
        <v>DL input prc = 100.20898438  PX_ASK = 100.47656250 PX_BID = 99.94140625</v>
      </c>
      <c r="Q125" t="e">
        <f t="shared" si="22"/>
        <v>#N/A</v>
      </c>
      <c r="R125" t="e">
        <f t="shared" si="23"/>
        <v>#N/A</v>
      </c>
      <c r="S125" t="e">
        <f t="shared" si="24"/>
        <v>#N/A</v>
      </c>
      <c r="T125" s="15" t="e">
        <f t="shared" si="25"/>
        <v>#N/A</v>
      </c>
      <c r="U125" s="18" t="e">
        <f t="shared" si="26"/>
        <v>#N/A</v>
      </c>
      <c r="V125" s="18" t="e">
        <f t="shared" si="27"/>
        <v>#N/A</v>
      </c>
      <c r="W125" s="19" t="e">
        <f t="shared" si="28"/>
        <v>#N/A</v>
      </c>
      <c r="X125" t="e">
        <f>VLOOKUP(P125,Close[[ID]:[CreatedBy]],8,0)</f>
        <v>#N/A</v>
      </c>
    </row>
    <row r="126" spans="1:24" x14ac:dyDescent="0.35">
      <c r="A126" t="str">
        <v>912810EY0</v>
      </c>
      <c r="B126" t="str">
        <f>IF(NOT(ISBLANK(A126)),VLOOKUP(A126,'BBT3'!A:F,2,0),"")</f>
        <v>Bond</v>
      </c>
      <c r="C126" t="str">
        <f>IF(NOT(ISBLANK(A126)),VLOOKUP(A126,'BBT3'!A:F,3,0),"")</f>
        <v>US912810EY02</v>
      </c>
      <c r="D126" s="5">
        <f>IF(NOT(ISBLANK(A126)),VLOOKUP(A126,'BBT3'!A:F,4,1),"")</f>
        <v>6.5</v>
      </c>
      <c r="E126">
        <f>IF(NOT(ISBLANK(A126)),VLOOKUP(A126,'BBT3'!A:F,5,0),"")</f>
        <v>46341</v>
      </c>
      <c r="F126" t="str">
        <f>IF(NOT(ISBLANK(A126)),VLOOKUP(A126,'BBT3'!A:F,6,0),"")</f>
        <v>N</v>
      </c>
      <c r="G126" t="str">
        <f t="shared" si="13"/>
        <v>N</v>
      </c>
      <c r="H126">
        <f>IF(NOT(ISBLANK(A126)),VLOOKUP(A126,'Close - PriceSaver'!A:J,5,0),"")</f>
        <v>3.8326971471536797E-2</v>
      </c>
      <c r="I126" s="4" t="e" cm="1">
        <f t="array" ref="I126">IF(NOT(ISBLANK(A126)),((_xlfn.XLOOKUP(1,(_bbt3[[#All],[ID]]=A126)*(_bbt3[[#All],[METRIC_NAME]]="YLD_YTM_ASK"),_bbt3[[#All],[METRIC_VALUE]])*0.5)+(_xlfn.XLOOKUP(1,(_bbt3[[#All],[ID]]=A126)*(_bbt3[[#All],[METRIC_NAME]]="YLD_YTM_BID"),_bbt3[[#All],[METRIC_VALUE]])*0.5))/100,"")</f>
        <v>#N/A</v>
      </c>
      <c r="J126">
        <f>IF(ISNA(VLOOKUP(A126,'CloseDL - PriceSaverBBT3'!A:E,5,0)),0,VLOOKUP(A126,'CloseDL - PriceSaverBBT3'!A:E,5,0))</f>
        <v>3.8326971471536797E-2</v>
      </c>
      <c r="K126" s="7">
        <f t="shared" si="14"/>
        <v>0</v>
      </c>
      <c r="L126" s="20">
        <f>IF(Close[[#This Row],[CreatedBy]]="MARINER\SilverAdm",1,0)</f>
        <v>1</v>
      </c>
      <c r="M126" t="str">
        <f>IF(NOT(ISBLANK(A126)),VLOOKUP(A126,'Close - PriceSaver'!A:J,6,0),"")</f>
        <v>DL input prc = 100.81640625  PX_ASK = 101.03906250 PX_BID = 100.59375000</v>
      </c>
      <c r="Q126" t="e">
        <f t="shared" si="22"/>
        <v>#N/A</v>
      </c>
      <c r="R126" t="e">
        <f t="shared" si="23"/>
        <v>#N/A</v>
      </c>
      <c r="S126" t="e">
        <f t="shared" si="24"/>
        <v>#N/A</v>
      </c>
      <c r="T126" s="15" t="e">
        <f t="shared" si="25"/>
        <v>#N/A</v>
      </c>
      <c r="U126" s="18" t="e">
        <f t="shared" si="26"/>
        <v>#N/A</v>
      </c>
      <c r="V126" s="18" t="e">
        <f t="shared" si="27"/>
        <v>#N/A</v>
      </c>
      <c r="W126" s="19" t="e">
        <f t="shared" si="28"/>
        <v>#N/A</v>
      </c>
      <c r="X126" t="e">
        <f>VLOOKUP(P126,Close[[ID]:[CreatedBy]],8,0)</f>
        <v>#N/A</v>
      </c>
    </row>
    <row r="127" spans="1:24" x14ac:dyDescent="0.35">
      <c r="A127" t="str">
        <v>912810EZ7</v>
      </c>
      <c r="B127" t="str">
        <f>IF(NOT(ISBLANK(A127)),VLOOKUP(A127,'BBT3'!A:F,2,0),"")</f>
        <v>Bond</v>
      </c>
      <c r="C127" t="str">
        <f>IF(NOT(ISBLANK(A127)),VLOOKUP(A127,'BBT3'!A:F,3,0),"")</f>
        <v>US912810EZ76</v>
      </c>
      <c r="D127" s="5">
        <f>IF(NOT(ISBLANK(A127)),VLOOKUP(A127,'BBT3'!A:F,4,1),"")</f>
        <v>6.625</v>
      </c>
      <c r="E127">
        <f>IF(NOT(ISBLANK(A127)),VLOOKUP(A127,'BBT3'!A:F,5,0),"")</f>
        <v>46433</v>
      </c>
      <c r="F127" t="str">
        <f>IF(NOT(ISBLANK(A127)),VLOOKUP(A127,'BBT3'!A:F,6,0),"")</f>
        <v>N</v>
      </c>
      <c r="G127" t="str">
        <f t="shared" si="13"/>
        <v>N</v>
      </c>
      <c r="H127">
        <f>IF(NOT(ISBLANK(A127)),VLOOKUP(A127,'Close - PriceSaver'!A:J,5,0),"")</f>
        <v>3.8068625881732897E-2</v>
      </c>
      <c r="I127" s="4" t="e" cm="1">
        <f t="array" ref="I127">IF(NOT(ISBLANK(A127)),((_xlfn.XLOOKUP(1,(_bbt3[[#All],[ID]]=A127)*(_bbt3[[#All],[METRIC_NAME]]="YLD_YTM_ASK"),_bbt3[[#All],[METRIC_VALUE]])*0.5)+(_xlfn.XLOOKUP(1,(_bbt3[[#All],[ID]]=A127)*(_bbt3[[#All],[METRIC_NAME]]="YLD_YTM_BID"),_bbt3[[#All],[METRIC_VALUE]])*0.5))/100,"")</f>
        <v>#N/A</v>
      </c>
      <c r="J127">
        <f>IF(ISNA(VLOOKUP(A127,'CloseDL - PriceSaverBBT3'!A:E,5,0)),0,VLOOKUP(A127,'CloseDL - PriceSaverBBT3'!A:E,5,0))</f>
        <v>3.8068625881732897E-2</v>
      </c>
      <c r="K127" s="7">
        <f t="shared" si="14"/>
        <v>0</v>
      </c>
      <c r="L127" s="20">
        <f>IF(Close[[#This Row],[CreatedBy]]="MARINER\SilverAdm",1,0)</f>
        <v>1</v>
      </c>
      <c r="M127" t="str">
        <f>IF(NOT(ISBLANK(A127)),VLOOKUP(A127,'Close - PriceSaver'!A:J,6,0),"")</f>
        <v>DL input prc = 101.56054688  PX_ASK = 101.80078125 PX_BID = 101.32031250</v>
      </c>
      <c r="Q127" t="e">
        <f t="shared" si="22"/>
        <v>#N/A</v>
      </c>
      <c r="R127" t="e">
        <f t="shared" si="23"/>
        <v>#N/A</v>
      </c>
      <c r="S127" t="e">
        <f t="shared" si="24"/>
        <v>#N/A</v>
      </c>
      <c r="T127" s="15" t="e">
        <f t="shared" si="25"/>
        <v>#N/A</v>
      </c>
      <c r="U127" s="18" t="e">
        <f t="shared" si="26"/>
        <v>#N/A</v>
      </c>
      <c r="V127" s="18" t="e">
        <f t="shared" si="27"/>
        <v>#N/A</v>
      </c>
      <c r="W127" s="19" t="e">
        <f t="shared" si="28"/>
        <v>#N/A</v>
      </c>
      <c r="X127" t="e">
        <f>VLOOKUP(P127,Close[[ID]:[CreatedBy]],8,0)</f>
        <v>#N/A</v>
      </c>
    </row>
    <row r="128" spans="1:24" x14ac:dyDescent="0.35">
      <c r="A128" t="str">
        <v>912810FA1</v>
      </c>
      <c r="B128" t="str">
        <f>IF(NOT(ISBLANK(A128)),VLOOKUP(A128,'BBT3'!A:F,2,0),"")</f>
        <v>Bond</v>
      </c>
      <c r="C128" t="str">
        <f>IF(NOT(ISBLANK(A128)),VLOOKUP(A128,'BBT3'!A:F,3,0),"")</f>
        <v>US912810FA17</v>
      </c>
      <c r="D128" s="5">
        <f>IF(NOT(ISBLANK(A128)),VLOOKUP(A128,'BBT3'!A:F,4,1),"")</f>
        <v>6.375</v>
      </c>
      <c r="E128">
        <f>IF(NOT(ISBLANK(A128)),VLOOKUP(A128,'BBT3'!A:F,5,0),"")</f>
        <v>46614</v>
      </c>
      <c r="F128" t="str">
        <f>IF(NOT(ISBLANK(A128)),VLOOKUP(A128,'BBT3'!A:F,6,0),"")</f>
        <v>N</v>
      </c>
      <c r="G128" t="str">
        <f t="shared" si="13"/>
        <v>N</v>
      </c>
      <c r="H128">
        <f>IF(NOT(ISBLANK(A128)),VLOOKUP(A128,'Close - PriceSaver'!A:J,5,0),"")</f>
        <v>4.1080443230928299E-2</v>
      </c>
      <c r="I128" s="4" t="e" cm="1">
        <f t="array" ref="I128">IF(NOT(ISBLANK(A128)),((_xlfn.XLOOKUP(1,(_bbt3[[#All],[ID]]=A128)*(_bbt3[[#All],[METRIC_NAME]]="YLD_YTM_ASK"),_bbt3[[#All],[METRIC_VALUE]])*0.5)+(_xlfn.XLOOKUP(1,(_bbt3[[#All],[ID]]=A128)*(_bbt3[[#All],[METRIC_NAME]]="YLD_YTM_BID"),_bbt3[[#All],[METRIC_VALUE]])*0.5))/100,"")</f>
        <v>#N/A</v>
      </c>
      <c r="J128">
        <f>IF(ISNA(VLOOKUP(A128,'CloseDL - PriceSaverBBT3'!A:E,5,0)),0,VLOOKUP(A128,'CloseDL - PriceSaverBBT3'!A:E,5,0))</f>
        <v>4.1080443230928299E-2</v>
      </c>
      <c r="K128" s="7">
        <f t="shared" si="14"/>
        <v>0</v>
      </c>
      <c r="L128" s="20">
        <f>IF(Close[[#This Row],[CreatedBy]]="MARINER\SilverAdm",1,0)</f>
        <v>1</v>
      </c>
      <c r="M128" t="str">
        <f>IF(NOT(ISBLANK(A128)),VLOOKUP(A128,'Close - PriceSaver'!A:J,6,0),"")</f>
        <v>DL input prc = 102.33789063  PX_ASK = 102.55468750 PX_BID = 102.12109375</v>
      </c>
      <c r="Q128" t="e">
        <f t="shared" si="22"/>
        <v>#N/A</v>
      </c>
      <c r="R128" t="e">
        <f t="shared" si="23"/>
        <v>#N/A</v>
      </c>
      <c r="S128" t="e">
        <f t="shared" si="24"/>
        <v>#N/A</v>
      </c>
      <c r="T128" s="15" t="e">
        <f t="shared" si="25"/>
        <v>#N/A</v>
      </c>
      <c r="U128" s="18" t="e">
        <f t="shared" si="26"/>
        <v>#N/A</v>
      </c>
      <c r="V128" s="18" t="e">
        <f t="shared" si="27"/>
        <v>#N/A</v>
      </c>
      <c r="W128" s="19" t="e">
        <f t="shared" si="28"/>
        <v>#N/A</v>
      </c>
      <c r="X128" t="e">
        <f>VLOOKUP(P128,Close[[ID]:[CreatedBy]],8,0)</f>
        <v>#N/A</v>
      </c>
    </row>
    <row r="129" spans="1:24" x14ac:dyDescent="0.35">
      <c r="A129" s="8" t="str">
        <v>912810FB9</v>
      </c>
      <c r="B129" s="8" t="str">
        <f>IF(NOT(ISBLANK(A129)),VLOOKUP(A129,'BBT3'!A:F,2,0),"")</f>
        <v>Bond</v>
      </c>
      <c r="C129" s="8" t="str">
        <f>IF(NOT(ISBLANK(A129)),VLOOKUP(A129,'BBT3'!A:F,3,0),"")</f>
        <v>US912810FB99</v>
      </c>
      <c r="D129" s="9">
        <f>IF(NOT(ISBLANK(A129)),VLOOKUP(A129,'BBT3'!A:F,4,1),"")</f>
        <v>6.125</v>
      </c>
      <c r="E129" s="8">
        <f>IF(NOT(ISBLANK(A129)),VLOOKUP(A129,'BBT3'!A:F,5,0),"")</f>
        <v>46706</v>
      </c>
      <c r="F129" s="8" t="str">
        <f>IF(NOT(ISBLANK(A129)),VLOOKUP(A129,'BBT3'!A:F,6,0),"")</f>
        <v>N</v>
      </c>
      <c r="G129" t="str">
        <f t="shared" si="13"/>
        <v>N</v>
      </c>
      <c r="H129" s="8">
        <f>IF(NOT(ISBLANK(A129)),VLOOKUP(A129,'Close - PriceSaver'!A:J,5,0),"")</f>
        <v>4.16613598827495E-2</v>
      </c>
      <c r="I129" s="10" t="e" cm="1">
        <f t="array" ref="I129">IF(NOT(ISBLANK(A129)),((_xlfn.XLOOKUP(1,(_bbt3[[#All],[ID]]=A129)*(_bbt3[[#All],[METRIC_NAME]]="YLD_YTM_ASK"),_bbt3[[#All],[METRIC_VALUE]])*0.5)+(_xlfn.XLOOKUP(1,(_bbt3[[#All],[ID]]=A129)*(_bbt3[[#All],[METRIC_NAME]]="YLD_YTM_BID"),_bbt3[[#All],[METRIC_VALUE]])*0.5))/100,"")</f>
        <v>#N/A</v>
      </c>
      <c r="J129" s="8">
        <f>IF(ISNA(VLOOKUP(A129,'CloseDL - PriceSaverBBT3'!A:E,5,0)),0,VLOOKUP(A129,'CloseDL - PriceSaverBBT3'!A:E,5,0))</f>
        <v>4.16613598827495E-2</v>
      </c>
      <c r="K129" s="11">
        <f t="shared" si="14"/>
        <v>0</v>
      </c>
      <c r="L129" s="20">
        <f>IF(Close[[#This Row],[CreatedBy]]="MARINER\SilverAdm",1,0)</f>
        <v>1</v>
      </c>
      <c r="M129" t="str">
        <f>IF(NOT(ISBLANK(A129)),VLOOKUP(A129,'Close - PriceSaver'!A:J,6,0),"")</f>
        <v>DL input prc = 102.47460938  PX_ASK = 102.66796875 PX_BID = 102.28125000</v>
      </c>
      <c r="Q129" t="e">
        <f t="shared" si="22"/>
        <v>#N/A</v>
      </c>
      <c r="R129" t="e">
        <f t="shared" si="23"/>
        <v>#N/A</v>
      </c>
      <c r="S129" t="e">
        <f t="shared" si="24"/>
        <v>#N/A</v>
      </c>
      <c r="T129" s="15" t="e">
        <f t="shared" si="25"/>
        <v>#N/A</v>
      </c>
      <c r="U129" s="18" t="e">
        <f t="shared" si="26"/>
        <v>#N/A</v>
      </c>
      <c r="V129" s="18" t="e">
        <f t="shared" si="27"/>
        <v>#N/A</v>
      </c>
      <c r="W129" s="19" t="e">
        <f t="shared" si="28"/>
        <v>#N/A</v>
      </c>
      <c r="X129" t="e">
        <f>VLOOKUP(P129,Close[[ID]:[CreatedBy]],8,0)</f>
        <v>#N/A</v>
      </c>
    </row>
    <row r="130" spans="1:24" x14ac:dyDescent="0.35">
      <c r="A130" t="str">
        <v>912810FD5</v>
      </c>
      <c r="B130" t="str">
        <f>IF(NOT(ISBLANK(A130)),VLOOKUP(A130,'BBT3'!A:F,2,0),"")</f>
        <v>Bond</v>
      </c>
      <c r="C130" t="str">
        <f>IF(NOT(ISBLANK(A130)),VLOOKUP(A130,'BBT3'!A:F,3,0),"")</f>
        <v>US912810FD55</v>
      </c>
      <c r="D130" s="5">
        <f>IF(NOT(ISBLANK(A130)),VLOOKUP(A130,'BBT3'!A:F,4,1),"")</f>
        <v>3.625</v>
      </c>
      <c r="E130">
        <f>IF(NOT(ISBLANK(A130)),VLOOKUP(A130,'BBT3'!A:F,5,0),"")</f>
        <v>46858</v>
      </c>
      <c r="F130" t="str">
        <f>IF(NOT(ISBLANK(A130)),VLOOKUP(A130,'BBT3'!A:F,6,0),"")</f>
        <v>Y</v>
      </c>
      <c r="G130" t="str">
        <f t="shared" si="13"/>
        <v>N</v>
      </c>
      <c r="H130">
        <f>IF(NOT(ISBLANK(A130)),VLOOKUP(A130,'Close - PriceSaver'!A:J,5,0),"")</f>
        <v>2.3481995994424899E-2</v>
      </c>
      <c r="I130" s="4" t="e" cm="1">
        <f t="array" ref="I130">IF(NOT(ISBLANK(A130)),((_xlfn.XLOOKUP(1,(_bbt3[[#All],[ID]]=A130)*(_bbt3[[#All],[METRIC_NAME]]="YLD_YTM_ASK"),_bbt3[[#All],[METRIC_VALUE]])*0.5)+(_xlfn.XLOOKUP(1,(_bbt3[[#All],[ID]]=A130)*(_bbt3[[#All],[METRIC_NAME]]="YLD_YTM_BID"),_bbt3[[#All],[METRIC_VALUE]])*0.5))/100,"")</f>
        <v>#N/A</v>
      </c>
      <c r="J130">
        <f>IF(ISNA(VLOOKUP(A130,'CloseDL - PriceSaverBBT3'!A:E,5,0)),0,VLOOKUP(A130,'CloseDL - PriceSaverBBT3'!A:E,5,0))</f>
        <v>2.3481995994424899E-2</v>
      </c>
      <c r="K130" s="7">
        <f t="shared" si="14"/>
        <v>0</v>
      </c>
      <c r="L130" s="20">
        <f>IF(Close[[#This Row],[CreatedBy]]="MARINER\SilverAdm",1,0)</f>
        <v>1</v>
      </c>
      <c r="M130" t="str">
        <f>IF(NOT(ISBLANK(A130)),VLOOKUP(A130,'Close - PriceSaver'!A:J,6,0),"")</f>
        <v>DL input prc = 102.15234375  PX_ASK = 102.19531250 PX_BID = 102.10937500</v>
      </c>
      <c r="Q130" t="e">
        <f t="shared" si="22"/>
        <v>#N/A</v>
      </c>
      <c r="R130" t="e">
        <f t="shared" si="23"/>
        <v>#N/A</v>
      </c>
      <c r="S130" t="e">
        <f t="shared" si="24"/>
        <v>#N/A</v>
      </c>
      <c r="T130" s="15" t="e">
        <f t="shared" si="25"/>
        <v>#N/A</v>
      </c>
      <c r="U130" s="18" t="e">
        <f t="shared" si="26"/>
        <v>#N/A</v>
      </c>
      <c r="V130" s="18" t="e">
        <f t="shared" si="27"/>
        <v>#N/A</v>
      </c>
      <c r="W130" s="19" t="e">
        <f t="shared" si="28"/>
        <v>#N/A</v>
      </c>
      <c r="X130" t="e">
        <f>VLOOKUP(P130,Close[[ID]:[CreatedBy]],8,0)</f>
        <v>#N/A</v>
      </c>
    </row>
    <row r="131" spans="1:24" x14ac:dyDescent="0.35">
      <c r="A131" t="str">
        <v>912810FE3</v>
      </c>
      <c r="B131" t="str">
        <f>IF(NOT(ISBLANK(A131)),VLOOKUP(A131,'BBT3'!A:F,2,0),"")</f>
        <v>Bond</v>
      </c>
      <c r="C131" t="str">
        <f>IF(NOT(ISBLANK(A131)),VLOOKUP(A131,'BBT3'!A:F,3,0),"")</f>
        <v>US912810FE39</v>
      </c>
      <c r="D131" s="5">
        <f>IF(NOT(ISBLANK(A131)),VLOOKUP(A131,'BBT3'!A:F,4,1),"")</f>
        <v>5.5</v>
      </c>
      <c r="E131">
        <f>IF(NOT(ISBLANK(A131)),VLOOKUP(A131,'BBT3'!A:F,5,0),"")</f>
        <v>46980</v>
      </c>
      <c r="F131" t="str">
        <f>IF(NOT(ISBLANK(A131)),VLOOKUP(A131,'BBT3'!A:F,6,0),"")</f>
        <v>N</v>
      </c>
      <c r="G131" t="str">
        <f t="shared" ref="G131:G194" si="29">IF(NOT(ISBLANK(A131)),IF(D131=0,"Y","N"),"")</f>
        <v>N</v>
      </c>
      <c r="H131">
        <f>IF(NOT(ISBLANK(A131)),VLOOKUP(A131,'Close - PriceSaver'!A:J,5,0),"")</f>
        <v>4.2614136277378901E-2</v>
      </c>
      <c r="I131" s="4" t="e" cm="1">
        <f t="array" ref="I131">IF(NOT(ISBLANK(A131)),((_xlfn.XLOOKUP(1,(_bbt3[[#All],[ID]]=A131)*(_bbt3[[#All],[METRIC_NAME]]="YLD_YTM_ASK"),_bbt3[[#All],[METRIC_VALUE]])*0.5)+(_xlfn.XLOOKUP(1,(_bbt3[[#All],[ID]]=A131)*(_bbt3[[#All],[METRIC_NAME]]="YLD_YTM_BID"),_bbt3[[#All],[METRIC_VALUE]])*0.5))/100,"")</f>
        <v>#N/A</v>
      </c>
      <c r="J131">
        <f>IF(ISNA(VLOOKUP(A131,'CloseDL - PriceSaverBBT3'!A:E,5,0)),0,VLOOKUP(A131,'CloseDL - PriceSaverBBT3'!A:E,5,0))</f>
        <v>4.2614136277378901E-2</v>
      </c>
      <c r="K131" s="7">
        <f t="shared" ref="K131:K194" si="30">IF(ISNA(IF(NOT(ISBLANK(A131)),ABS(H131-J131),"")),0,(IF(NOT(ISBLANK(A131)),ABS(H131-J131)*10000,"")))</f>
        <v>0</v>
      </c>
      <c r="L131" s="20">
        <f>IF(Close[[#This Row],[CreatedBy]]="MARINER\SilverAdm",1,0)</f>
        <v>1</v>
      </c>
      <c r="M131" t="str">
        <f>IF(NOT(ISBLANK(A131)),VLOOKUP(A131,'Close - PriceSaver'!A:J,6,0),"")</f>
        <v>DL input prc = 102.42187500  PX_ASK = 102.63281250 PX_BID = 102.21093750</v>
      </c>
      <c r="Q131" t="e">
        <f t="shared" si="22"/>
        <v>#N/A</v>
      </c>
      <c r="R131" t="e">
        <f t="shared" si="23"/>
        <v>#N/A</v>
      </c>
      <c r="S131" t="e">
        <f t="shared" si="24"/>
        <v>#N/A</v>
      </c>
      <c r="T131" s="15" t="e">
        <f t="shared" si="25"/>
        <v>#N/A</v>
      </c>
      <c r="U131" s="18" t="e">
        <f t="shared" si="26"/>
        <v>#N/A</v>
      </c>
      <c r="V131" s="18" t="e">
        <f t="shared" si="27"/>
        <v>#N/A</v>
      </c>
      <c r="W131" s="19" t="e">
        <f t="shared" si="28"/>
        <v>#N/A</v>
      </c>
      <c r="X131" t="e">
        <f>VLOOKUP(P131,Close[[ID]:[CreatedBy]],8,0)</f>
        <v>#N/A</v>
      </c>
    </row>
    <row r="132" spans="1:24" x14ac:dyDescent="0.35">
      <c r="A132" t="str">
        <v>912810FF0</v>
      </c>
      <c r="B132" t="str">
        <f>IF(NOT(ISBLANK(A132)),VLOOKUP(A132,'BBT3'!A:F,2,0),"")</f>
        <v>Bond</v>
      </c>
      <c r="C132" t="str">
        <f>IF(NOT(ISBLANK(A132)),VLOOKUP(A132,'BBT3'!A:F,3,0),"")</f>
        <v>US912810FF04</v>
      </c>
      <c r="D132" s="5">
        <f>IF(NOT(ISBLANK(A132)),VLOOKUP(A132,'BBT3'!A:F,4,1),"")</f>
        <v>5.25</v>
      </c>
      <c r="E132">
        <f>IF(NOT(ISBLANK(A132)),VLOOKUP(A132,'BBT3'!A:F,5,0),"")</f>
        <v>47072</v>
      </c>
      <c r="F132" t="str">
        <f>IF(NOT(ISBLANK(A132)),VLOOKUP(A132,'BBT3'!A:F,6,0),"")</f>
        <v>N</v>
      </c>
      <c r="G132" t="str">
        <f t="shared" si="29"/>
        <v>N</v>
      </c>
      <c r="H132">
        <f>IF(NOT(ISBLANK(A132)),VLOOKUP(A132,'Close - PriceSaver'!A:J,5,0),"")</f>
        <v>4.2591647534603101E-2</v>
      </c>
      <c r="I132" s="4" t="e" cm="1">
        <f t="array" ref="I132">IF(NOT(ISBLANK(A132)),((_xlfn.XLOOKUP(1,(_bbt3[[#All],[ID]]=A132)*(_bbt3[[#All],[METRIC_NAME]]="YLD_YTM_ASK"),_bbt3[[#All],[METRIC_VALUE]])*0.5)+(_xlfn.XLOOKUP(1,(_bbt3[[#All],[ID]]=A132)*(_bbt3[[#All],[METRIC_NAME]]="YLD_YTM_BID"),_bbt3[[#All],[METRIC_VALUE]])*0.5))/100,"")</f>
        <v>#N/A</v>
      </c>
      <c r="J132">
        <f>IF(ISNA(VLOOKUP(A132,'CloseDL - PriceSaverBBT3'!A:E,5,0)),0,VLOOKUP(A132,'CloseDL - PriceSaverBBT3'!A:E,5,0))</f>
        <v>4.2591647534603101E-2</v>
      </c>
      <c r="K132" s="7">
        <f t="shared" si="30"/>
        <v>0</v>
      </c>
      <c r="L132" s="20">
        <f>IF(Close[[#This Row],[CreatedBy]]="MARINER\SilverAdm",1,0)</f>
        <v>1</v>
      </c>
      <c r="M132" t="str">
        <f>IF(NOT(ISBLANK(A132)),VLOOKUP(A132,'Close - PriceSaver'!A:J,6,0),"")</f>
        <v>DL input prc = 102.15625000  PX_ASK = 102.33593750 PX_BID = 101.97656250</v>
      </c>
      <c r="Q132" t="e">
        <f t="shared" si="22"/>
        <v>#N/A</v>
      </c>
      <c r="R132" t="e">
        <f t="shared" si="23"/>
        <v>#N/A</v>
      </c>
      <c r="S132" t="e">
        <f t="shared" si="24"/>
        <v>#N/A</v>
      </c>
      <c r="T132" s="15" t="e">
        <f t="shared" si="25"/>
        <v>#N/A</v>
      </c>
      <c r="U132" s="18" t="e">
        <f t="shared" si="26"/>
        <v>#N/A</v>
      </c>
      <c r="V132" s="18" t="e">
        <f t="shared" si="27"/>
        <v>#N/A</v>
      </c>
      <c r="W132" s="19" t="e">
        <f t="shared" si="28"/>
        <v>#N/A</v>
      </c>
      <c r="X132" t="e">
        <f>VLOOKUP(P132,Close[[ID]:[CreatedBy]],8,0)</f>
        <v>#N/A</v>
      </c>
    </row>
    <row r="133" spans="1:24" x14ac:dyDescent="0.35">
      <c r="A133" t="str">
        <v>912810FG8</v>
      </c>
      <c r="B133" t="str">
        <f>IF(NOT(ISBLANK(A133)),VLOOKUP(A133,'BBT3'!A:F,2,0),"")</f>
        <v>Bond</v>
      </c>
      <c r="C133" t="str">
        <f>IF(NOT(ISBLANK(A133)),VLOOKUP(A133,'BBT3'!A:F,3,0),"")</f>
        <v>US912810FG86</v>
      </c>
      <c r="D133" s="5">
        <f>IF(NOT(ISBLANK(A133)),VLOOKUP(A133,'BBT3'!A:F,4,1),"")</f>
        <v>5.25</v>
      </c>
      <c r="E133">
        <f>IF(NOT(ISBLANK(A133)),VLOOKUP(A133,'BBT3'!A:F,5,0),"")</f>
        <v>47164</v>
      </c>
      <c r="F133" t="str">
        <f>IF(NOT(ISBLANK(A133)),VLOOKUP(A133,'BBT3'!A:F,6,0),"")</f>
        <v>N</v>
      </c>
      <c r="G133" t="str">
        <f t="shared" si="29"/>
        <v>N</v>
      </c>
      <c r="H133">
        <f>IF(NOT(ISBLANK(A133)),VLOOKUP(A133,'Close - PriceSaver'!A:J,5,0),"")</f>
        <v>4.1628648452021202E-2</v>
      </c>
      <c r="I133" s="4" t="e" cm="1">
        <f t="array" ref="I133">IF(NOT(ISBLANK(A133)),((_xlfn.XLOOKUP(1,(_bbt3[[#All],[ID]]=A133)*(_bbt3[[#All],[METRIC_NAME]]="YLD_YTM_ASK"),_bbt3[[#All],[METRIC_VALUE]])*0.5)+(_xlfn.XLOOKUP(1,(_bbt3[[#All],[ID]]=A133)*(_bbt3[[#All],[METRIC_NAME]]="YLD_YTM_BID"),_bbt3[[#All],[METRIC_VALUE]])*0.5))/100,"")</f>
        <v>#N/A</v>
      </c>
      <c r="J133">
        <f>IF(ISNA(VLOOKUP(A133,'CloseDL - PriceSaverBBT3'!A:E,5,0)),0,VLOOKUP(A133,'CloseDL - PriceSaverBBT3'!A:E,5,0))</f>
        <v>4.1628648452021202E-2</v>
      </c>
      <c r="K133" s="7">
        <f t="shared" si="30"/>
        <v>0</v>
      </c>
      <c r="L133" s="20">
        <f>IF(Close[[#This Row],[CreatedBy]]="MARINER\SilverAdm",1,0)</f>
        <v>1</v>
      </c>
      <c r="M133" t="str">
        <f>IF(NOT(ISBLANK(A133)),VLOOKUP(A133,'Close - PriceSaver'!A:J,6,0),"")</f>
        <v>DL input prc = 102.61718750  PX_ASK = 102.80468750 PX_BID = 102.42968750</v>
      </c>
      <c r="Q133" t="e">
        <f t="shared" si="22"/>
        <v>#N/A</v>
      </c>
      <c r="R133" t="e">
        <f t="shared" si="23"/>
        <v>#N/A</v>
      </c>
      <c r="S133" t="e">
        <f t="shared" si="24"/>
        <v>#N/A</v>
      </c>
      <c r="T133" s="15" t="e">
        <f t="shared" si="25"/>
        <v>#N/A</v>
      </c>
      <c r="U133" s="18" t="e">
        <f t="shared" si="26"/>
        <v>#N/A</v>
      </c>
      <c r="V133" s="18" t="e">
        <f t="shared" si="27"/>
        <v>#N/A</v>
      </c>
      <c r="W133" s="19" t="e">
        <f t="shared" si="28"/>
        <v>#N/A</v>
      </c>
      <c r="X133" t="e">
        <f>VLOOKUP(P133,Close[[ID]:[CreatedBy]],8,0)</f>
        <v>#N/A</v>
      </c>
    </row>
    <row r="134" spans="1:24" x14ac:dyDescent="0.35">
      <c r="A134" t="str">
        <v>912810FH6</v>
      </c>
      <c r="B134" t="str">
        <f>IF(NOT(ISBLANK(A134)),VLOOKUP(A134,'BBT3'!A:F,2,0),"")</f>
        <v>Bond</v>
      </c>
      <c r="C134" t="str">
        <f>IF(NOT(ISBLANK(A134)),VLOOKUP(A134,'BBT3'!A:F,3,0),"")</f>
        <v>US912810FH69</v>
      </c>
      <c r="D134" s="5">
        <f>IF(NOT(ISBLANK(A134)),VLOOKUP(A134,'BBT3'!A:F,4,1),"")</f>
        <v>3.875</v>
      </c>
      <c r="E134">
        <f>IF(NOT(ISBLANK(A134)),VLOOKUP(A134,'BBT3'!A:F,5,0),"")</f>
        <v>47223</v>
      </c>
      <c r="F134" t="str">
        <f>IF(NOT(ISBLANK(A134)),VLOOKUP(A134,'BBT3'!A:F,6,0),"")</f>
        <v>Y</v>
      </c>
      <c r="G134" t="str">
        <f t="shared" si="29"/>
        <v>N</v>
      </c>
      <c r="H134">
        <f>IF(NOT(ISBLANK(A134)),VLOOKUP(A134,'Close - PriceSaver'!A:J,5,0),"")</f>
        <v>2.1573006505539699E-2</v>
      </c>
      <c r="I134" s="4" t="e" cm="1">
        <f t="array" ref="I134">IF(NOT(ISBLANK(A134)),((_xlfn.XLOOKUP(1,(_bbt3[[#All],[ID]]=A134)*(_bbt3[[#All],[METRIC_NAME]]="YLD_YTM_ASK"),_bbt3[[#All],[METRIC_VALUE]])*0.5)+(_xlfn.XLOOKUP(1,(_bbt3[[#All],[ID]]=A134)*(_bbt3[[#All],[METRIC_NAME]]="YLD_YTM_BID"),_bbt3[[#All],[METRIC_VALUE]])*0.5))/100,"")</f>
        <v>#N/A</v>
      </c>
      <c r="J134">
        <f>IF(ISNA(VLOOKUP(A134,'CloseDL - PriceSaverBBT3'!A:E,5,0)),0,VLOOKUP(A134,'CloseDL - PriceSaverBBT3'!A:E,5,0))</f>
        <v>2.1573006505539699E-2</v>
      </c>
      <c r="K134" s="7">
        <f t="shared" si="30"/>
        <v>0</v>
      </c>
      <c r="L134" s="20">
        <f>IF(Close[[#This Row],[CreatedBy]]="MARINER\SilverAdm",1,0)</f>
        <v>1</v>
      </c>
      <c r="M134" t="str">
        <f>IF(NOT(ISBLANK(A134)),VLOOKUP(A134,'Close - PriceSaver'!A:J,6,0),"")</f>
        <v>DL input prc = 104.53125000  PX_ASK = 104.57031250 PX_BID = 104.49218750</v>
      </c>
      <c r="Q134" t="e">
        <f t="shared" si="22"/>
        <v>#N/A</v>
      </c>
      <c r="R134" t="e">
        <f t="shared" si="23"/>
        <v>#N/A</v>
      </c>
      <c r="S134" t="e">
        <f t="shared" si="24"/>
        <v>#N/A</v>
      </c>
      <c r="T134" s="15" t="e">
        <f t="shared" si="25"/>
        <v>#N/A</v>
      </c>
      <c r="U134" s="18" t="e">
        <f t="shared" si="26"/>
        <v>#N/A</v>
      </c>
      <c r="V134" s="18" t="e">
        <f t="shared" si="27"/>
        <v>#N/A</v>
      </c>
      <c r="W134" s="19" t="e">
        <f t="shared" si="28"/>
        <v>#N/A</v>
      </c>
      <c r="X134" t="e">
        <f>VLOOKUP(P134,Close[[ID]:[CreatedBy]],8,0)</f>
        <v>#N/A</v>
      </c>
    </row>
    <row r="135" spans="1:24" x14ac:dyDescent="0.35">
      <c r="A135" t="str">
        <v>912810FJ2</v>
      </c>
      <c r="B135" t="str">
        <f>IF(NOT(ISBLANK(A135)),VLOOKUP(A135,'BBT3'!A:F,2,0),"")</f>
        <v>Bond</v>
      </c>
      <c r="C135" t="str">
        <f>IF(NOT(ISBLANK(A135)),VLOOKUP(A135,'BBT3'!A:F,3,0),"")</f>
        <v>US912810FJ26</v>
      </c>
      <c r="D135" s="5">
        <f>IF(NOT(ISBLANK(A135)),VLOOKUP(A135,'BBT3'!A:F,4,1),"")</f>
        <v>6.125</v>
      </c>
      <c r="E135">
        <f>IF(NOT(ISBLANK(A135)),VLOOKUP(A135,'BBT3'!A:F,5,0),"")</f>
        <v>47345</v>
      </c>
      <c r="F135" t="str">
        <f>IF(NOT(ISBLANK(A135)),VLOOKUP(A135,'BBT3'!A:F,6,0),"")</f>
        <v>N</v>
      </c>
      <c r="G135" t="str">
        <f t="shared" si="29"/>
        <v>N</v>
      </c>
      <c r="H135">
        <f>IF(NOT(ISBLANK(A135)),VLOOKUP(A135,'Close - PriceSaver'!A:J,5,0),"")</f>
        <v>4.2825256927403403E-2</v>
      </c>
      <c r="I135" s="4" t="e" cm="1">
        <f t="array" ref="I135">IF(NOT(ISBLANK(A135)),((_xlfn.XLOOKUP(1,(_bbt3[[#All],[ID]]=A135)*(_bbt3[[#All],[METRIC_NAME]]="YLD_YTM_ASK"),_bbt3[[#All],[METRIC_VALUE]])*0.5)+(_xlfn.XLOOKUP(1,(_bbt3[[#All],[ID]]=A135)*(_bbt3[[#All],[METRIC_NAME]]="YLD_YTM_BID"),_bbt3[[#All],[METRIC_VALUE]])*0.5))/100,"")</f>
        <v>#N/A</v>
      </c>
      <c r="J135">
        <f>IF(ISNA(VLOOKUP(A135,'CloseDL - PriceSaverBBT3'!A:E,5,0)),0,VLOOKUP(A135,'CloseDL - PriceSaverBBT3'!A:E,5,0))</f>
        <v>4.2825256927403403E-2</v>
      </c>
      <c r="K135" s="7">
        <f t="shared" si="30"/>
        <v>0</v>
      </c>
      <c r="L135" s="20">
        <f>IF(Close[[#This Row],[CreatedBy]]="MARINER\SilverAdm",1,0)</f>
        <v>1</v>
      </c>
      <c r="M135" t="str">
        <f>IF(NOT(ISBLANK(A135)),VLOOKUP(A135,'Close - PriceSaver'!A:J,6,0),"")</f>
        <v>DL input prc = 105.23828125  PX_ASK = 105.42187500 PX_BID = 105.05468750</v>
      </c>
      <c r="Q135" t="e">
        <f t="shared" si="22"/>
        <v>#N/A</v>
      </c>
      <c r="R135" t="e">
        <f t="shared" si="23"/>
        <v>#N/A</v>
      </c>
      <c r="S135" t="e">
        <f t="shared" si="24"/>
        <v>#N/A</v>
      </c>
      <c r="T135" s="15" t="e">
        <f t="shared" si="25"/>
        <v>#N/A</v>
      </c>
      <c r="U135" s="18" t="e">
        <f t="shared" si="26"/>
        <v>#N/A</v>
      </c>
      <c r="V135" s="18" t="e">
        <f t="shared" si="27"/>
        <v>#N/A</v>
      </c>
      <c r="W135" s="19" t="e">
        <f t="shared" si="28"/>
        <v>#N/A</v>
      </c>
      <c r="X135" t="e">
        <f>VLOOKUP(P135,Close[[ID]:[CreatedBy]],8,0)</f>
        <v>#N/A</v>
      </c>
    </row>
    <row r="136" spans="1:24" x14ac:dyDescent="0.35">
      <c r="A136" t="str">
        <v>912810FM5</v>
      </c>
      <c r="B136" t="str">
        <f>IF(NOT(ISBLANK(A136)),VLOOKUP(A136,'BBT3'!A:F,2,0),"")</f>
        <v>Bond</v>
      </c>
      <c r="C136" t="str">
        <f>IF(NOT(ISBLANK(A136)),VLOOKUP(A136,'BBT3'!A:F,3,0),"")</f>
        <v>US912810FM54</v>
      </c>
      <c r="D136" s="5">
        <f>IF(NOT(ISBLANK(A136)),VLOOKUP(A136,'BBT3'!A:F,4,1),"")</f>
        <v>6.25</v>
      </c>
      <c r="E136">
        <f>IF(NOT(ISBLANK(A136)),VLOOKUP(A136,'BBT3'!A:F,5,0),"")</f>
        <v>47618</v>
      </c>
      <c r="F136" t="str">
        <f>IF(NOT(ISBLANK(A136)),VLOOKUP(A136,'BBT3'!A:F,6,0),"")</f>
        <v>N</v>
      </c>
      <c r="G136" t="str">
        <f t="shared" si="29"/>
        <v>N</v>
      </c>
      <c r="H136">
        <f>IF(NOT(ISBLANK(A136)),VLOOKUP(A136,'Close - PriceSaver'!A:J,5,0),"")</f>
        <v>4.3219940882360801E-2</v>
      </c>
      <c r="I136" s="4" t="e" cm="1">
        <f t="array" ref="I136">IF(NOT(ISBLANK(A136)),((_xlfn.XLOOKUP(1,(_bbt3[[#All],[ID]]=A136)*(_bbt3[[#All],[METRIC_NAME]]="YLD_YTM_ASK"),_bbt3[[#All],[METRIC_VALUE]])*0.5)+(_xlfn.XLOOKUP(1,(_bbt3[[#All],[ID]]=A136)*(_bbt3[[#All],[METRIC_NAME]]="YLD_YTM_BID"),_bbt3[[#All],[METRIC_VALUE]])*0.5))/100,"")</f>
        <v>#N/A</v>
      </c>
      <c r="J136">
        <f>IF(ISNA(VLOOKUP(A136,'CloseDL - PriceSaverBBT3'!A:E,5,0)),0,VLOOKUP(A136,'CloseDL - PriceSaverBBT3'!A:E,5,0))</f>
        <v>4.3219940882360801E-2</v>
      </c>
      <c r="K136" s="7">
        <f t="shared" si="30"/>
        <v>0</v>
      </c>
      <c r="L136" s="20">
        <f>IF(Close[[#This Row],[CreatedBy]]="MARINER\SilverAdm",1,0)</f>
        <v>1</v>
      </c>
      <c r="M136" t="str">
        <f>IF(NOT(ISBLANK(A136)),VLOOKUP(A136,'Close - PriceSaver'!A:J,6,0),"")</f>
        <v>DL input prc = 106.70703125  PX_ASK = 106.87500000 PX_BID = 106.53906250</v>
      </c>
      <c r="Q136" t="e">
        <f t="shared" si="22"/>
        <v>#N/A</v>
      </c>
      <c r="R136" t="e">
        <f t="shared" si="23"/>
        <v>#N/A</v>
      </c>
      <c r="S136" t="e">
        <f t="shared" si="24"/>
        <v>#N/A</v>
      </c>
      <c r="T136" s="15" t="e">
        <f t="shared" si="25"/>
        <v>#N/A</v>
      </c>
      <c r="U136" s="18" t="e">
        <f t="shared" si="26"/>
        <v>#N/A</v>
      </c>
      <c r="V136" s="18" t="e">
        <f t="shared" si="27"/>
        <v>#N/A</v>
      </c>
      <c r="W136" s="19" t="e">
        <f t="shared" si="28"/>
        <v>#N/A</v>
      </c>
      <c r="X136" t="e">
        <f>VLOOKUP(P136,Close[[ID]:[CreatedBy]],8,0)</f>
        <v>#N/A</v>
      </c>
    </row>
    <row r="137" spans="1:24" x14ac:dyDescent="0.35">
      <c r="A137" t="str">
        <v>912810FP8</v>
      </c>
      <c r="B137" t="str">
        <f>IF(NOT(ISBLANK(A137)),VLOOKUP(A137,'BBT3'!A:F,2,0),"")</f>
        <v>Bond</v>
      </c>
      <c r="C137" t="str">
        <f>IF(NOT(ISBLANK(A137)),VLOOKUP(A137,'BBT3'!A:F,3,0),"")</f>
        <v>US912810FP85</v>
      </c>
      <c r="D137" s="5">
        <f>IF(NOT(ISBLANK(A137)),VLOOKUP(A137,'BBT3'!A:F,4,1),"")</f>
        <v>5.375</v>
      </c>
      <c r="E137">
        <f>IF(NOT(ISBLANK(A137)),VLOOKUP(A137,'BBT3'!A:F,5,0),"")</f>
        <v>47894</v>
      </c>
      <c r="F137" t="str">
        <f>IF(NOT(ISBLANK(A137)),VLOOKUP(A137,'BBT3'!A:F,6,0),"")</f>
        <v>N</v>
      </c>
      <c r="G137" t="str">
        <f t="shared" si="29"/>
        <v>N</v>
      </c>
      <c r="H137">
        <f>IF(NOT(ISBLANK(A137)),VLOOKUP(A137,'Close - PriceSaver'!A:J,5,0),"")</f>
        <v>4.3307739050199398E-2</v>
      </c>
      <c r="I137" s="4" t="e" cm="1">
        <f t="array" ref="I137">IF(NOT(ISBLANK(A137)),((_xlfn.XLOOKUP(1,(_bbt3[[#All],[ID]]=A137)*(_bbt3[[#All],[METRIC_NAME]]="YLD_YTM_ASK"),_bbt3[[#All],[METRIC_VALUE]])*0.5)+(_xlfn.XLOOKUP(1,(_bbt3[[#All],[ID]]=A137)*(_bbt3[[#All],[METRIC_NAME]]="YLD_YTM_BID"),_bbt3[[#All],[METRIC_VALUE]])*0.5))/100,"")</f>
        <v>#N/A</v>
      </c>
      <c r="J137">
        <f>IF(ISNA(VLOOKUP(A137,'CloseDL - PriceSaverBBT3'!A:E,5,0)),0,VLOOKUP(A137,'CloseDL - PriceSaverBBT3'!A:E,5,0))</f>
        <v>4.3307739050199398E-2</v>
      </c>
      <c r="K137" s="7">
        <f t="shared" si="30"/>
        <v>0</v>
      </c>
      <c r="L137" s="20">
        <f>IF(Close[[#This Row],[CreatedBy]]="MARINER\SilverAdm",1,0)</f>
        <v>1</v>
      </c>
      <c r="M137" t="str">
        <f>IF(NOT(ISBLANK(A137)),VLOOKUP(A137,'Close - PriceSaver'!A:J,6,0),"")</f>
        <v>DL input prc = 104.28125000  PX_ASK = 104.44531250 PX_BID = 104.11718750</v>
      </c>
      <c r="Q137" t="e">
        <f t="shared" si="22"/>
        <v>#N/A</v>
      </c>
      <c r="R137" t="e">
        <f t="shared" si="23"/>
        <v>#N/A</v>
      </c>
      <c r="S137" t="e">
        <f t="shared" si="24"/>
        <v>#N/A</v>
      </c>
      <c r="T137" s="15" t="e">
        <f t="shared" si="25"/>
        <v>#N/A</v>
      </c>
      <c r="U137" s="18" t="e">
        <f t="shared" si="26"/>
        <v>#N/A</v>
      </c>
      <c r="V137" s="18" t="e">
        <f t="shared" si="27"/>
        <v>#N/A</v>
      </c>
      <c r="W137" s="19" t="e">
        <f t="shared" si="28"/>
        <v>#N/A</v>
      </c>
      <c r="X137" t="e">
        <f>VLOOKUP(P137,Close[[ID]:[CreatedBy]],8,0)</f>
        <v>#N/A</v>
      </c>
    </row>
    <row r="138" spans="1:24" x14ac:dyDescent="0.35">
      <c r="A138" t="str">
        <v>912810FQ6</v>
      </c>
      <c r="B138" t="str">
        <f>IF(NOT(ISBLANK(A138)),VLOOKUP(A138,'BBT3'!A:F,2,0),"")</f>
        <v>Bond</v>
      </c>
      <c r="C138" t="str">
        <f>IF(NOT(ISBLANK(A138)),VLOOKUP(A138,'BBT3'!A:F,3,0),"")</f>
        <v>US912810FQ68</v>
      </c>
      <c r="D138" s="5">
        <f>IF(NOT(ISBLANK(A138)),VLOOKUP(A138,'BBT3'!A:F,4,1),"")</f>
        <v>3.375</v>
      </c>
      <c r="E138">
        <f>IF(NOT(ISBLANK(A138)),VLOOKUP(A138,'BBT3'!A:F,5,0),"")</f>
        <v>48319</v>
      </c>
      <c r="F138" t="str">
        <f>IF(NOT(ISBLANK(A138)),VLOOKUP(A138,'BBT3'!A:F,6,0),"")</f>
        <v>Y</v>
      </c>
      <c r="G138" t="str">
        <f t="shared" si="29"/>
        <v>N</v>
      </c>
      <c r="H138">
        <f>IF(NOT(ISBLANK(A138)),VLOOKUP(A138,'Close - PriceSaver'!A:J,5,0),"")</f>
        <v>2.09829560225776E-2</v>
      </c>
      <c r="I138" s="4" t="e" cm="1">
        <f t="array" ref="I138">IF(NOT(ISBLANK(A138)),((_xlfn.XLOOKUP(1,(_bbt3[[#All],[ID]]=A138)*(_bbt3[[#All],[METRIC_NAME]]="YLD_YTM_ASK"),_bbt3[[#All],[METRIC_VALUE]])*0.5)+(_xlfn.XLOOKUP(1,(_bbt3[[#All],[ID]]=A138)*(_bbt3[[#All],[METRIC_NAME]]="YLD_YTM_BID"),_bbt3[[#All],[METRIC_VALUE]])*0.5))/100,"")</f>
        <v>#N/A</v>
      </c>
      <c r="J138">
        <f>IF(ISNA(VLOOKUP(A138,'CloseDL - PriceSaverBBT3'!A:E,5,0)),0,VLOOKUP(A138,'CloseDL - PriceSaverBBT3'!A:E,5,0))</f>
        <v>2.09829560225776E-2</v>
      </c>
      <c r="K138" s="7">
        <f t="shared" si="30"/>
        <v>0</v>
      </c>
      <c r="L138" s="20">
        <f>IF(Close[[#This Row],[CreatedBy]]="MARINER\SilverAdm",1,0)</f>
        <v>1</v>
      </c>
      <c r="M138" t="str">
        <f>IF(NOT(ISBLANK(A138)),VLOOKUP(A138,'Close - PriceSaver'!A:J,6,0),"")</f>
        <v>DL input prc = 106.85937500  PX_ASK = 106.89843750 PX_BID = 106.82031250</v>
      </c>
      <c r="Q138" t="e">
        <f t="shared" si="22"/>
        <v>#N/A</v>
      </c>
      <c r="R138" t="e">
        <f t="shared" si="23"/>
        <v>#N/A</v>
      </c>
      <c r="S138" t="e">
        <f t="shared" si="24"/>
        <v>#N/A</v>
      </c>
      <c r="T138" s="15" t="e">
        <f t="shared" si="25"/>
        <v>#N/A</v>
      </c>
      <c r="U138" s="18" t="e">
        <f t="shared" si="26"/>
        <v>#N/A</v>
      </c>
      <c r="V138" s="18" t="e">
        <f t="shared" si="27"/>
        <v>#N/A</v>
      </c>
      <c r="W138" s="19" t="e">
        <f t="shared" si="28"/>
        <v>#N/A</v>
      </c>
      <c r="X138" t="e">
        <f>VLOOKUP(P138,Close[[ID]:[CreatedBy]],8,0)</f>
        <v>#N/A</v>
      </c>
    </row>
    <row r="139" spans="1:24" x14ac:dyDescent="0.35">
      <c r="A139" t="str">
        <v>912810FT0</v>
      </c>
      <c r="B139" t="str">
        <f>IF(NOT(ISBLANK(A139)),VLOOKUP(A139,'BBT3'!A:F,2,0),"")</f>
        <v>Bond</v>
      </c>
      <c r="C139" t="str">
        <f>IF(NOT(ISBLANK(A139)),VLOOKUP(A139,'BBT3'!A:F,3,0),"")</f>
        <v>US912810FT08</v>
      </c>
      <c r="D139" s="5">
        <f>IF(NOT(ISBLANK(A139)),VLOOKUP(A139,'BBT3'!A:F,4,1),"")</f>
        <v>4.5</v>
      </c>
      <c r="E139">
        <f>IF(NOT(ISBLANK(A139)),VLOOKUP(A139,'BBT3'!A:F,5,0),"")</f>
        <v>49720</v>
      </c>
      <c r="F139" t="str">
        <f>IF(NOT(ISBLANK(A139)),VLOOKUP(A139,'BBT3'!A:F,6,0),"")</f>
        <v>N</v>
      </c>
      <c r="G139" t="str">
        <f t="shared" si="29"/>
        <v>N</v>
      </c>
      <c r="H139">
        <f>IF(NOT(ISBLANK(A139)),VLOOKUP(A139,'Close - PriceSaver'!A:J,5,0),"")</f>
        <v>4.5219544414949901E-2</v>
      </c>
      <c r="I139" s="4" t="e" cm="1">
        <f t="array" ref="I139">IF(NOT(ISBLANK(A139)),((_xlfn.XLOOKUP(1,(_bbt3[[#All],[ID]]=A139)*(_bbt3[[#All],[METRIC_NAME]]="YLD_YTM_ASK"),_bbt3[[#All],[METRIC_VALUE]])*0.5)+(_xlfn.XLOOKUP(1,(_bbt3[[#All],[ID]]=A139)*(_bbt3[[#All],[METRIC_NAME]]="YLD_YTM_BID"),_bbt3[[#All],[METRIC_VALUE]])*0.5))/100,"")</f>
        <v>#N/A</v>
      </c>
      <c r="J139">
        <f>IF(ISNA(VLOOKUP(A139,'CloseDL - PriceSaverBBT3'!A:E,5,0)),0,VLOOKUP(A139,'CloseDL - PriceSaverBBT3'!A:E,5,0))</f>
        <v>4.5219544414949901E-2</v>
      </c>
      <c r="K139" s="7">
        <f t="shared" si="30"/>
        <v>0</v>
      </c>
      <c r="L139" s="20">
        <f>IF(Close[[#This Row],[CreatedBy]]="MARINER\SilverAdm",1,0)</f>
        <v>1</v>
      </c>
      <c r="M139" t="str">
        <f>IF(NOT(ISBLANK(A139)),VLOOKUP(A139,'Close - PriceSaver'!A:J,6,0),"")</f>
        <v>DL input prc = 99.82812500  PX_ASK = 99.98437500 PX_BID = 99.67187500</v>
      </c>
      <c r="Q139" t="e">
        <f t="shared" si="22"/>
        <v>#N/A</v>
      </c>
      <c r="R139" t="e">
        <f t="shared" si="23"/>
        <v>#N/A</v>
      </c>
      <c r="S139" t="e">
        <f t="shared" si="24"/>
        <v>#N/A</v>
      </c>
      <c r="T139" s="15" t="e">
        <f t="shared" si="25"/>
        <v>#N/A</v>
      </c>
      <c r="U139" s="18" t="e">
        <f t="shared" si="26"/>
        <v>#N/A</v>
      </c>
      <c r="V139" s="18" t="e">
        <f t="shared" si="27"/>
        <v>#N/A</v>
      </c>
      <c r="W139" s="19" t="e">
        <f t="shared" si="28"/>
        <v>#N/A</v>
      </c>
      <c r="X139" t="e">
        <f>VLOOKUP(P139,Close[[ID]:[CreatedBy]],8,0)</f>
        <v>#N/A</v>
      </c>
    </row>
    <row r="140" spans="1:24" x14ac:dyDescent="0.35">
      <c r="A140" t="str">
        <v>912810PS1</v>
      </c>
      <c r="B140" t="str">
        <f>IF(NOT(ISBLANK(A140)),VLOOKUP(A140,'BBT3'!A:F,2,0),"")</f>
        <v>Bond</v>
      </c>
      <c r="C140" t="str">
        <f>IF(NOT(ISBLANK(A140)),VLOOKUP(A140,'BBT3'!A:F,3,0),"")</f>
        <v>US912810PS15</v>
      </c>
      <c r="D140" s="5">
        <f>IF(NOT(ISBLANK(A140)),VLOOKUP(A140,'BBT3'!A:F,4,1),"")</f>
        <v>2.375</v>
      </c>
      <c r="E140">
        <f>IF(NOT(ISBLANK(A140)),VLOOKUP(A140,'BBT3'!A:F,5,0),"")</f>
        <v>46402</v>
      </c>
      <c r="F140" t="str">
        <f>IF(NOT(ISBLANK(A140)),VLOOKUP(A140,'BBT3'!A:F,6,0),"")</f>
        <v>Y</v>
      </c>
      <c r="G140" t="str">
        <f t="shared" si="29"/>
        <v>N</v>
      </c>
      <c r="H140">
        <f>IF(NOT(ISBLANK(A140)),VLOOKUP(A140,'Close - PriceSaver'!A:J,5,0),"")</f>
        <v>3.2147462711402702E-2</v>
      </c>
      <c r="I140" s="4" t="e" cm="1">
        <f t="array" ref="I140">IF(NOT(ISBLANK(A140)),((_xlfn.XLOOKUP(1,(_bbt3[[#All],[ID]]=A140)*(_bbt3[[#All],[METRIC_NAME]]="YLD_YTM_ASK"),_bbt3[[#All],[METRIC_VALUE]])*0.5)+(_xlfn.XLOOKUP(1,(_bbt3[[#All],[ID]]=A140)*(_bbt3[[#All],[METRIC_NAME]]="YLD_YTM_BID"),_bbt3[[#All],[METRIC_VALUE]])*0.5))/100,"")</f>
        <v>#N/A</v>
      </c>
      <c r="J140">
        <f>IF(ISNA(VLOOKUP(A140,'CloseDL - PriceSaverBBT3'!A:E,5,0)),0,VLOOKUP(A140,'CloseDL - PriceSaverBBT3'!A:E,5,0))</f>
        <v>3.2147462711402702E-2</v>
      </c>
      <c r="K140" s="7">
        <f t="shared" si="30"/>
        <v>0</v>
      </c>
      <c r="L140" s="20">
        <f>IF(Close[[#This Row],[CreatedBy]]="MARINER\SilverAdm",1,0)</f>
        <v>1</v>
      </c>
      <c r="M140" t="str">
        <f>IF(NOT(ISBLANK(A140)),VLOOKUP(A140,'Close - PriceSaver'!A:J,6,0),"")</f>
        <v>DL input prc = 99.60156250  PX_ASK = 99.64062500 PX_BID = 99.56250000</v>
      </c>
      <c r="Q140" t="e">
        <f t="shared" si="22"/>
        <v>#N/A</v>
      </c>
      <c r="R140" t="e">
        <f t="shared" si="23"/>
        <v>#N/A</v>
      </c>
      <c r="S140" t="e">
        <f t="shared" si="24"/>
        <v>#N/A</v>
      </c>
      <c r="T140" s="15" t="e">
        <f t="shared" si="25"/>
        <v>#N/A</v>
      </c>
      <c r="U140" s="18" t="e">
        <f t="shared" si="26"/>
        <v>#N/A</v>
      </c>
      <c r="V140" s="18" t="e">
        <f t="shared" si="27"/>
        <v>#N/A</v>
      </c>
      <c r="W140" s="19" t="e">
        <f t="shared" si="28"/>
        <v>#N/A</v>
      </c>
      <c r="X140" t="e">
        <f>VLOOKUP(P140,Close[[ID]:[CreatedBy]],8,0)</f>
        <v>#N/A</v>
      </c>
    </row>
    <row r="141" spans="1:24" x14ac:dyDescent="0.35">
      <c r="A141" t="str">
        <v>912810PT9</v>
      </c>
      <c r="B141" t="str">
        <f>IF(NOT(ISBLANK(A141)),VLOOKUP(A141,'BBT3'!A:F,2,0),"")</f>
        <v>Bond</v>
      </c>
      <c r="C141" t="str">
        <f>IF(NOT(ISBLANK(A141)),VLOOKUP(A141,'BBT3'!A:F,3,0),"")</f>
        <v>US912810PT97</v>
      </c>
      <c r="D141" s="5">
        <f>IF(NOT(ISBLANK(A141)),VLOOKUP(A141,'BBT3'!A:F,4,1),"")</f>
        <v>4.75</v>
      </c>
      <c r="E141">
        <f>IF(NOT(ISBLANK(A141)),VLOOKUP(A141,'BBT3'!A:F,5,0),"")</f>
        <v>50086</v>
      </c>
      <c r="F141" t="str">
        <f>IF(NOT(ISBLANK(A141)),VLOOKUP(A141,'BBT3'!A:F,6,0),"")</f>
        <v>N</v>
      </c>
      <c r="G141" t="str">
        <f t="shared" si="29"/>
        <v>N</v>
      </c>
      <c r="H141">
        <f>IF(NOT(ISBLANK(A141)),VLOOKUP(A141,'Close - PriceSaver'!A:J,5,0),"")</f>
        <v>4.6017373862354403E-2</v>
      </c>
      <c r="I141" s="4" t="e" cm="1">
        <f t="array" ref="I141">IF(NOT(ISBLANK(A141)),((_xlfn.XLOOKUP(1,(_bbt3[[#All],[ID]]=A141)*(_bbt3[[#All],[METRIC_NAME]]="YLD_YTM_ASK"),_bbt3[[#All],[METRIC_VALUE]])*0.5)+(_xlfn.XLOOKUP(1,(_bbt3[[#All],[ID]]=A141)*(_bbt3[[#All],[METRIC_NAME]]="YLD_YTM_BID"),_bbt3[[#All],[METRIC_VALUE]])*0.5))/100,"")</f>
        <v>#N/A</v>
      </c>
      <c r="J141">
        <f>IF(ISNA(VLOOKUP(A141,'CloseDL - PriceSaverBBT3'!A:E,5,0)),0,VLOOKUP(A141,'CloseDL - PriceSaverBBT3'!A:E,5,0))</f>
        <v>4.6017373862354403E-2</v>
      </c>
      <c r="K141" s="7">
        <f t="shared" si="30"/>
        <v>0</v>
      </c>
      <c r="L141" s="20">
        <f>IF(Close[[#This Row],[CreatedBy]]="MARINER\SilverAdm",1,0)</f>
        <v>1</v>
      </c>
      <c r="M141" t="str">
        <f>IF(NOT(ISBLANK(A141)),VLOOKUP(A141,'Close - PriceSaver'!A:J,6,0),"")</f>
        <v>DL input prc = 101.22656250  PX_ASK = 101.29687500 PX_BID = 101.15625000</v>
      </c>
      <c r="Q141" t="e">
        <f t="shared" si="22"/>
        <v>#N/A</v>
      </c>
      <c r="R141" t="e">
        <f t="shared" si="23"/>
        <v>#N/A</v>
      </c>
      <c r="S141" t="e">
        <f t="shared" si="24"/>
        <v>#N/A</v>
      </c>
      <c r="T141" s="15" t="e">
        <f t="shared" si="25"/>
        <v>#N/A</v>
      </c>
      <c r="U141" s="18" t="e">
        <f t="shared" si="26"/>
        <v>#N/A</v>
      </c>
      <c r="V141" s="18" t="e">
        <f t="shared" si="27"/>
        <v>#N/A</v>
      </c>
      <c r="W141" s="19" t="e">
        <f t="shared" si="28"/>
        <v>#N/A</v>
      </c>
      <c r="X141" t="e">
        <f>VLOOKUP(P141,Close[[ID]:[CreatedBy]],8,0)</f>
        <v>#N/A</v>
      </c>
    </row>
    <row r="142" spans="1:24" x14ac:dyDescent="0.35">
      <c r="A142" t="str">
        <v>912810PU6</v>
      </c>
      <c r="B142" t="str">
        <f>IF(NOT(ISBLANK(A142)),VLOOKUP(A142,'BBT3'!A:F,2,0),"")</f>
        <v>Bond</v>
      </c>
      <c r="C142" t="str">
        <f>IF(NOT(ISBLANK(A142)),VLOOKUP(A142,'BBT3'!A:F,3,0),"")</f>
        <v>US912810PU60</v>
      </c>
      <c r="D142" s="5">
        <f>IF(NOT(ISBLANK(A142)),VLOOKUP(A142,'BBT3'!A:F,4,1),"")</f>
        <v>5</v>
      </c>
      <c r="E142">
        <f>IF(NOT(ISBLANK(A142)),VLOOKUP(A142,'BBT3'!A:F,5,0),"")</f>
        <v>50175</v>
      </c>
      <c r="F142" t="str">
        <f>IF(NOT(ISBLANK(A142)),VLOOKUP(A142,'BBT3'!A:F,6,0),"")</f>
        <v>N</v>
      </c>
      <c r="G142" t="str">
        <f t="shared" si="29"/>
        <v>N</v>
      </c>
      <c r="H142">
        <f>IF(NOT(ISBLANK(A142)),VLOOKUP(A142,'Close - PriceSaver'!A:J,5,0),"")</f>
        <v>4.6014388042317701E-2</v>
      </c>
      <c r="I142" s="4" t="e" cm="1">
        <f t="array" ref="I142">IF(NOT(ISBLANK(A142)),((_xlfn.XLOOKUP(1,(_bbt3[[#All],[ID]]=A142)*(_bbt3[[#All],[METRIC_NAME]]="YLD_YTM_ASK"),_bbt3[[#All],[METRIC_VALUE]])*0.5)+(_xlfn.XLOOKUP(1,(_bbt3[[#All],[ID]]=A142)*(_bbt3[[#All],[METRIC_NAME]]="YLD_YTM_BID"),_bbt3[[#All],[METRIC_VALUE]])*0.5))/100,"")</f>
        <v>#N/A</v>
      </c>
      <c r="J142">
        <f>IF(ISNA(VLOOKUP(A142,'CloseDL - PriceSaverBBT3'!A:E,5,0)),0,VLOOKUP(A142,'CloseDL - PriceSaverBBT3'!A:E,5,0))</f>
        <v>4.6014388042317701E-2</v>
      </c>
      <c r="K142" s="7">
        <f t="shared" si="30"/>
        <v>0</v>
      </c>
      <c r="L142" s="20">
        <f>IF(Close[[#This Row],[CreatedBy]]="MARINER\SilverAdm",1,0)</f>
        <v>1</v>
      </c>
      <c r="M142" t="str">
        <f>IF(NOT(ISBLANK(A142)),VLOOKUP(A142,'Close - PriceSaver'!A:J,6,0),"")</f>
        <v>DL input prc = 103.35937500  PX_ASK = 103.43750000 PX_BID = 103.28125000</v>
      </c>
      <c r="Q142" t="e">
        <f t="shared" si="22"/>
        <v>#N/A</v>
      </c>
      <c r="R142" t="e">
        <f t="shared" si="23"/>
        <v>#N/A</v>
      </c>
      <c r="S142" t="e">
        <f t="shared" si="24"/>
        <v>#N/A</v>
      </c>
      <c r="T142" s="15" t="e">
        <f t="shared" si="25"/>
        <v>#N/A</v>
      </c>
      <c r="U142" s="18" t="e">
        <f t="shared" si="26"/>
        <v>#N/A</v>
      </c>
      <c r="V142" s="18" t="e">
        <f t="shared" si="27"/>
        <v>#N/A</v>
      </c>
      <c r="W142" s="19" t="e">
        <f t="shared" si="28"/>
        <v>#N/A</v>
      </c>
      <c r="X142" t="e">
        <f>VLOOKUP(P142,Close[[ID]:[CreatedBy]],8,0)</f>
        <v>#N/A</v>
      </c>
    </row>
    <row r="143" spans="1:24" x14ac:dyDescent="0.35">
      <c r="A143" t="str">
        <v>912810PV4</v>
      </c>
      <c r="B143" t="str">
        <f>IF(NOT(ISBLANK(A143)),VLOOKUP(A143,'BBT3'!A:F,2,0),"")</f>
        <v>Bond</v>
      </c>
      <c r="C143" t="str">
        <f>IF(NOT(ISBLANK(A143)),VLOOKUP(A143,'BBT3'!A:F,3,0),"")</f>
        <v>US912810PV44</v>
      </c>
      <c r="D143" s="5">
        <f>IF(NOT(ISBLANK(A143)),VLOOKUP(A143,'BBT3'!A:F,4,1),"")</f>
        <v>1.75</v>
      </c>
      <c r="E143">
        <f>IF(NOT(ISBLANK(A143)),VLOOKUP(A143,'BBT3'!A:F,5,0),"")</f>
        <v>46767</v>
      </c>
      <c r="F143" t="str">
        <f>IF(NOT(ISBLANK(A143)),VLOOKUP(A143,'BBT3'!A:F,6,0),"")</f>
        <v>Y</v>
      </c>
      <c r="G143" t="str">
        <f t="shared" si="29"/>
        <v>N</v>
      </c>
      <c r="H143">
        <f>IF(NOT(ISBLANK(A143)),VLOOKUP(A143,'Close - PriceSaver'!A:J,5,0),"")</f>
        <v>2.3681059209705799E-2</v>
      </c>
      <c r="I143" s="4" t="e" cm="1">
        <f t="array" ref="I143">IF(NOT(ISBLANK(A143)),((_xlfn.XLOOKUP(1,(_bbt3[[#All],[ID]]=A143)*(_bbt3[[#All],[METRIC_NAME]]="YLD_YTM_ASK"),_bbt3[[#All],[METRIC_VALUE]])*0.5)+(_xlfn.XLOOKUP(1,(_bbt3[[#All],[ID]]=A143)*(_bbt3[[#All],[METRIC_NAME]]="YLD_YTM_BID"),_bbt3[[#All],[METRIC_VALUE]])*0.5))/100,"")</f>
        <v>#N/A</v>
      </c>
      <c r="J143">
        <f>IF(ISNA(VLOOKUP(A143,'CloseDL - PriceSaverBBT3'!A:E,5,0)),0,VLOOKUP(A143,'CloseDL - PriceSaverBBT3'!A:E,5,0))</f>
        <v>2.3681059209705799E-2</v>
      </c>
      <c r="K143" s="7">
        <f t="shared" si="30"/>
        <v>0</v>
      </c>
      <c r="L143" s="20">
        <f>IF(Close[[#This Row],[CreatedBy]]="MARINER\SilverAdm",1,0)</f>
        <v>1</v>
      </c>
      <c r="M143" t="str">
        <f>IF(NOT(ISBLANK(A143)),VLOOKUP(A143,'Close - PriceSaver'!A:J,6,0),"")</f>
        <v>DL input prc = 99.10546875  PX_ASK = 99.14843750 PX_BID = 99.06250000</v>
      </c>
      <c r="Q143" t="e">
        <f t="shared" si="22"/>
        <v>#N/A</v>
      </c>
      <c r="R143" t="e">
        <f t="shared" si="23"/>
        <v>#N/A</v>
      </c>
      <c r="S143" t="e">
        <f t="shared" si="24"/>
        <v>#N/A</v>
      </c>
      <c r="T143" s="15" t="e">
        <f t="shared" si="25"/>
        <v>#N/A</v>
      </c>
      <c r="U143" s="18" t="e">
        <f t="shared" si="26"/>
        <v>#N/A</v>
      </c>
      <c r="V143" s="18" t="e">
        <f t="shared" si="27"/>
        <v>#N/A</v>
      </c>
      <c r="W143" s="19" t="e">
        <f t="shared" si="28"/>
        <v>#N/A</v>
      </c>
      <c r="X143" t="e">
        <f>VLOOKUP(P143,Close[[ID]:[CreatedBy]],8,0)</f>
        <v>#N/A</v>
      </c>
    </row>
    <row r="144" spans="1:24" x14ac:dyDescent="0.35">
      <c r="A144" t="str">
        <v>912810PW2</v>
      </c>
      <c r="B144" t="str">
        <f>IF(NOT(ISBLANK(A144)),VLOOKUP(A144,'BBT3'!A:F,2,0),"")</f>
        <v>Bond</v>
      </c>
      <c r="C144" t="str">
        <f>IF(NOT(ISBLANK(A144)),VLOOKUP(A144,'BBT3'!A:F,3,0),"")</f>
        <v>US912810PW27</v>
      </c>
      <c r="D144" s="5">
        <f>IF(NOT(ISBLANK(A144)),VLOOKUP(A144,'BBT3'!A:F,4,1),"")</f>
        <v>4.375</v>
      </c>
      <c r="E144">
        <f>IF(NOT(ISBLANK(A144)),VLOOKUP(A144,'BBT3'!A:F,5,0),"")</f>
        <v>50451</v>
      </c>
      <c r="F144" t="str">
        <f>IF(NOT(ISBLANK(A144)),VLOOKUP(A144,'BBT3'!A:F,6,0),"")</f>
        <v>N</v>
      </c>
      <c r="G144" t="str">
        <f t="shared" si="29"/>
        <v>N</v>
      </c>
      <c r="H144">
        <f>IF(NOT(ISBLANK(A144)),VLOOKUP(A144,'Close - PriceSaver'!A:J,5,0),"")</f>
        <v>4.6530953421083598E-2</v>
      </c>
      <c r="I144" s="4" t="e" cm="1">
        <f t="array" ref="I144">IF(NOT(ISBLANK(A144)),((_xlfn.XLOOKUP(1,(_bbt3[[#All],[ID]]=A144)*(_bbt3[[#All],[METRIC_NAME]]="YLD_YTM_ASK"),_bbt3[[#All],[METRIC_VALUE]])*0.5)+(_xlfn.XLOOKUP(1,(_bbt3[[#All],[ID]]=A144)*(_bbt3[[#All],[METRIC_NAME]]="YLD_YTM_BID"),_bbt3[[#All],[METRIC_VALUE]])*0.5))/100,"")</f>
        <v>#N/A</v>
      </c>
      <c r="J144">
        <f>IF(ISNA(VLOOKUP(A144,'CloseDL - PriceSaverBBT3'!A:E,5,0)),0,VLOOKUP(A144,'CloseDL - PriceSaverBBT3'!A:E,5,0))</f>
        <v>4.6530953421083598E-2</v>
      </c>
      <c r="K144" s="7">
        <f t="shared" si="30"/>
        <v>0</v>
      </c>
      <c r="L144" s="20">
        <f>IF(Close[[#This Row],[CreatedBy]]="MARINER\SilverAdm",1,0)</f>
        <v>1</v>
      </c>
      <c r="M144" t="str">
        <f>IF(NOT(ISBLANK(A144)),VLOOKUP(A144,'Close - PriceSaver'!A:J,6,0),"")</f>
        <v>DL input prc = 97.53125000  PX_ASK = 97.60937500 PX_BID = 97.45312500</v>
      </c>
      <c r="Q144" t="e">
        <f t="shared" si="22"/>
        <v>#N/A</v>
      </c>
      <c r="R144" t="e">
        <f t="shared" si="23"/>
        <v>#N/A</v>
      </c>
      <c r="S144" t="e">
        <f t="shared" si="24"/>
        <v>#N/A</v>
      </c>
      <c r="T144" s="15" t="e">
        <f t="shared" si="25"/>
        <v>#N/A</v>
      </c>
      <c r="U144" s="18" t="e">
        <f t="shared" si="26"/>
        <v>#N/A</v>
      </c>
      <c r="V144" s="18" t="e">
        <f t="shared" si="27"/>
        <v>#N/A</v>
      </c>
      <c r="W144" s="19" t="e">
        <f t="shared" si="28"/>
        <v>#N/A</v>
      </c>
      <c r="X144" t="e">
        <f>VLOOKUP(P144,Close[[ID]:[CreatedBy]],8,0)</f>
        <v>#N/A</v>
      </c>
    </row>
    <row r="145" spans="1:24" x14ac:dyDescent="0.35">
      <c r="A145" t="str">
        <v>912810PX0</v>
      </c>
      <c r="B145" t="str">
        <f>IF(NOT(ISBLANK(A145)),VLOOKUP(A145,'BBT3'!A:F,2,0),"")</f>
        <v>Bond</v>
      </c>
      <c r="C145" t="str">
        <f>IF(NOT(ISBLANK(A145)),VLOOKUP(A145,'BBT3'!A:F,3,0),"")</f>
        <v>US912810PX00</v>
      </c>
      <c r="D145" s="5">
        <f>IF(NOT(ISBLANK(A145)),VLOOKUP(A145,'BBT3'!A:F,4,1),"")</f>
        <v>4.5</v>
      </c>
      <c r="E145">
        <f>IF(NOT(ISBLANK(A145)),VLOOKUP(A145,'BBT3'!A:F,5,0),"")</f>
        <v>50540</v>
      </c>
      <c r="F145" t="str">
        <f>IF(NOT(ISBLANK(A145)),VLOOKUP(A145,'BBT3'!A:F,6,0),"")</f>
        <v>N</v>
      </c>
      <c r="G145" t="str">
        <f t="shared" si="29"/>
        <v>N</v>
      </c>
      <c r="H145">
        <f>IF(NOT(ISBLANK(A145)),VLOOKUP(A145,'Close - PriceSaver'!A:J,5,0),"")</f>
        <v>4.6816893859127899E-2</v>
      </c>
      <c r="I145" s="4" t="e" cm="1">
        <f t="array" ref="I145">IF(NOT(ISBLANK(A145)),((_xlfn.XLOOKUP(1,(_bbt3[[#All],[ID]]=A145)*(_bbt3[[#All],[METRIC_NAME]]="YLD_YTM_ASK"),_bbt3[[#All],[METRIC_VALUE]])*0.5)+(_xlfn.XLOOKUP(1,(_bbt3[[#All],[ID]]=A145)*(_bbt3[[#All],[METRIC_NAME]]="YLD_YTM_BID"),_bbt3[[#All],[METRIC_VALUE]])*0.5))/100,"")</f>
        <v>#N/A</v>
      </c>
      <c r="J145">
        <f>IF(ISNA(VLOOKUP(A145,'CloseDL - PriceSaverBBT3'!A:E,5,0)),0,VLOOKUP(A145,'CloseDL - PriceSaverBBT3'!A:E,5,0))</f>
        <v>4.6816893859127899E-2</v>
      </c>
      <c r="K145" s="7">
        <f t="shared" si="30"/>
        <v>0</v>
      </c>
      <c r="L145" s="20">
        <f>IF(Close[[#This Row],[CreatedBy]]="MARINER\SilverAdm",1,0)</f>
        <v>1</v>
      </c>
      <c r="M145" t="str">
        <f>IF(NOT(ISBLANK(A145)),VLOOKUP(A145,'Close - PriceSaver'!A:J,6,0),"")</f>
        <v>DL input prc = 98.35937500  PX_ASK = 98.43750000 PX_BID = 98.28125000</v>
      </c>
      <c r="Q145" t="e">
        <f t="shared" si="22"/>
        <v>#N/A</v>
      </c>
      <c r="R145" t="e">
        <f t="shared" si="23"/>
        <v>#N/A</v>
      </c>
      <c r="S145" t="e">
        <f t="shared" si="24"/>
        <v>#N/A</v>
      </c>
      <c r="T145" s="15" t="e">
        <f t="shared" si="25"/>
        <v>#N/A</v>
      </c>
      <c r="U145" s="18" t="e">
        <f t="shared" si="26"/>
        <v>#N/A</v>
      </c>
      <c r="V145" s="18" t="e">
        <f t="shared" si="27"/>
        <v>#N/A</v>
      </c>
      <c r="W145" s="19" t="e">
        <f t="shared" si="28"/>
        <v>#N/A</v>
      </c>
      <c r="X145" t="e">
        <f>VLOOKUP(P145,Close[[ID]:[CreatedBy]],8,0)</f>
        <v>#N/A</v>
      </c>
    </row>
    <row r="146" spans="1:24" x14ac:dyDescent="0.35">
      <c r="A146" t="str">
        <v>912810PZ5</v>
      </c>
      <c r="B146" t="str">
        <f>IF(NOT(ISBLANK(A146)),VLOOKUP(A146,'BBT3'!A:F,2,0),"")</f>
        <v>Bond</v>
      </c>
      <c r="C146" t="str">
        <f>IF(NOT(ISBLANK(A146)),VLOOKUP(A146,'BBT3'!A:F,3,0),"")</f>
        <v>US912810PZ57</v>
      </c>
      <c r="D146" s="5">
        <f>IF(NOT(ISBLANK(A146)),VLOOKUP(A146,'BBT3'!A:F,4,1),"")</f>
        <v>2.5</v>
      </c>
      <c r="E146">
        <f>IF(NOT(ISBLANK(A146)),VLOOKUP(A146,'BBT3'!A:F,5,0),"")</f>
        <v>47133</v>
      </c>
      <c r="F146" t="str">
        <f>IF(NOT(ISBLANK(A146)),VLOOKUP(A146,'BBT3'!A:F,6,0),"")</f>
        <v>Y</v>
      </c>
      <c r="G146" t="str">
        <f t="shared" si="29"/>
        <v>N</v>
      </c>
      <c r="H146">
        <f>IF(NOT(ISBLANK(A146)),VLOOKUP(A146,'Close - PriceSaver'!A:J,5,0),"")</f>
        <v>2.1423746842286501E-2</v>
      </c>
      <c r="I146" s="4" t="e" cm="1">
        <f t="array" ref="I146">IF(NOT(ISBLANK(A146)),((_xlfn.XLOOKUP(1,(_bbt3[[#All],[ID]]=A146)*(_bbt3[[#All],[METRIC_NAME]]="YLD_YTM_ASK"),_bbt3[[#All],[METRIC_VALUE]])*0.5)+(_xlfn.XLOOKUP(1,(_bbt3[[#All],[ID]]=A146)*(_bbt3[[#All],[METRIC_NAME]]="YLD_YTM_BID"),_bbt3[[#All],[METRIC_VALUE]])*0.5))/100,"")</f>
        <v>#N/A</v>
      </c>
      <c r="J146">
        <f>IF(ISNA(VLOOKUP(A146,'CloseDL - PriceSaverBBT3'!A:E,5,0)),0,VLOOKUP(A146,'CloseDL - PriceSaverBBT3'!A:E,5,0))</f>
        <v>2.1423746842286501E-2</v>
      </c>
      <c r="K146" s="7">
        <f t="shared" si="30"/>
        <v>0</v>
      </c>
      <c r="L146" s="20">
        <f>IF(Close[[#This Row],[CreatedBy]]="MARINER\SilverAdm",1,0)</f>
        <v>1</v>
      </c>
      <c r="M146" t="str">
        <f>IF(NOT(ISBLANK(A146)),VLOOKUP(A146,'Close - PriceSaver'!A:J,6,0),"")</f>
        <v>DL input prc = 100.85937500  PX_ASK = 100.89843750 PX_BID = 100.82031250</v>
      </c>
      <c r="Q146" t="e">
        <f t="shared" si="22"/>
        <v>#N/A</v>
      </c>
      <c r="R146" t="e">
        <f t="shared" si="23"/>
        <v>#N/A</v>
      </c>
      <c r="S146" t="e">
        <f t="shared" si="24"/>
        <v>#N/A</v>
      </c>
      <c r="T146" s="15" t="e">
        <f t="shared" si="25"/>
        <v>#N/A</v>
      </c>
      <c r="U146" s="18" t="e">
        <f t="shared" si="26"/>
        <v>#N/A</v>
      </c>
      <c r="V146" s="18" t="e">
        <f t="shared" si="27"/>
        <v>#N/A</v>
      </c>
      <c r="W146" s="19" t="e">
        <f t="shared" si="28"/>
        <v>#N/A</v>
      </c>
      <c r="X146" t="e">
        <f>VLOOKUP(P146,Close[[ID]:[CreatedBy]],8,0)</f>
        <v>#N/A</v>
      </c>
    </row>
    <row r="147" spans="1:24" x14ac:dyDescent="0.35">
      <c r="A147" t="str">
        <v>912810QA9</v>
      </c>
      <c r="B147" t="str">
        <f>IF(NOT(ISBLANK(A147)),VLOOKUP(A147,'BBT3'!A:F,2,0),"")</f>
        <v>Bond</v>
      </c>
      <c r="C147" t="str">
        <f>IF(NOT(ISBLANK(A147)),VLOOKUP(A147,'BBT3'!A:F,3,0),"")</f>
        <v>US912810QA97</v>
      </c>
      <c r="D147" s="5">
        <f>IF(NOT(ISBLANK(A147)),VLOOKUP(A147,'BBT3'!A:F,4,1),"")</f>
        <v>3.5</v>
      </c>
      <c r="E147">
        <f>IF(NOT(ISBLANK(A147)),VLOOKUP(A147,'BBT3'!A:F,5,0),"")</f>
        <v>50816</v>
      </c>
      <c r="F147" t="str">
        <f>IF(NOT(ISBLANK(A147)),VLOOKUP(A147,'BBT3'!A:F,6,0),"")</f>
        <v>N</v>
      </c>
      <c r="G147" t="str">
        <f t="shared" si="29"/>
        <v>N</v>
      </c>
      <c r="H147">
        <f>IF(NOT(ISBLANK(A147)),VLOOKUP(A147,'Close - PriceSaver'!A:J,5,0),"")</f>
        <v>4.7451818011798E-2</v>
      </c>
      <c r="I147" s="4" t="e" cm="1">
        <f t="array" ref="I147">IF(NOT(ISBLANK(A147)),((_xlfn.XLOOKUP(1,(_bbt3[[#All],[ID]]=A147)*(_bbt3[[#All],[METRIC_NAME]]="YLD_YTM_ASK"),_bbt3[[#All],[METRIC_VALUE]])*0.5)+(_xlfn.XLOOKUP(1,(_bbt3[[#All],[ID]]=A147)*(_bbt3[[#All],[METRIC_NAME]]="YLD_YTM_BID"),_bbt3[[#All],[METRIC_VALUE]])*0.5))/100,"")</f>
        <v>#N/A</v>
      </c>
      <c r="J147">
        <f>IF(ISNA(VLOOKUP(A147,'CloseDL - PriceSaverBBT3'!A:E,5,0)),0,VLOOKUP(A147,'CloseDL - PriceSaverBBT3'!A:E,5,0))</f>
        <v>4.7451818011798E-2</v>
      </c>
      <c r="K147" s="7">
        <f t="shared" si="30"/>
        <v>0</v>
      </c>
      <c r="L147" s="20">
        <f>IF(Close[[#This Row],[CreatedBy]]="MARINER\SilverAdm",1,0)</f>
        <v>1</v>
      </c>
      <c r="M147" t="str">
        <f>IF(NOT(ISBLANK(A147)),VLOOKUP(A147,'Close - PriceSaver'!A:J,6,0),"")</f>
        <v>DL input prc = 88.31250000  PX_ASK = 88.42187500 PX_BID = 88.20312500</v>
      </c>
      <c r="Q147" t="e">
        <f t="shared" si="22"/>
        <v>#N/A</v>
      </c>
      <c r="R147" t="e">
        <f t="shared" si="23"/>
        <v>#N/A</v>
      </c>
      <c r="S147" t="e">
        <f t="shared" si="24"/>
        <v>#N/A</v>
      </c>
      <c r="T147" s="15" t="e">
        <f t="shared" si="25"/>
        <v>#N/A</v>
      </c>
      <c r="U147" s="18" t="e">
        <f t="shared" si="26"/>
        <v>#N/A</v>
      </c>
      <c r="V147" s="18" t="e">
        <f t="shared" si="27"/>
        <v>#N/A</v>
      </c>
      <c r="W147" s="19" t="e">
        <f t="shared" si="28"/>
        <v>#N/A</v>
      </c>
      <c r="X147" t="e">
        <f>VLOOKUP(P147,Close[[ID]:[CreatedBy]],8,0)</f>
        <v>#N/A</v>
      </c>
    </row>
    <row r="148" spans="1:24" x14ac:dyDescent="0.35">
      <c r="A148" t="str">
        <v>912810QB7</v>
      </c>
      <c r="B148" t="str">
        <f>IF(NOT(ISBLANK(A148)),VLOOKUP(A148,'BBT3'!A:F,2,0),"")</f>
        <v>Bond</v>
      </c>
      <c r="C148" t="str">
        <f>IF(NOT(ISBLANK(A148)),VLOOKUP(A148,'BBT3'!A:F,3,0),"")</f>
        <v>US912810QB70</v>
      </c>
      <c r="D148" s="5">
        <f>IF(NOT(ISBLANK(A148)),VLOOKUP(A148,'BBT3'!A:F,4,1),"")</f>
        <v>4.25</v>
      </c>
      <c r="E148">
        <f>IF(NOT(ISBLANK(A148)),VLOOKUP(A148,'BBT3'!A:F,5,0),"")</f>
        <v>50905</v>
      </c>
      <c r="F148" t="str">
        <f>IF(NOT(ISBLANK(A148)),VLOOKUP(A148,'BBT3'!A:F,6,0),"")</f>
        <v>N</v>
      </c>
      <c r="G148" t="str">
        <f t="shared" si="29"/>
        <v>N</v>
      </c>
      <c r="H148">
        <f>IF(NOT(ISBLANK(A148)),VLOOKUP(A148,'Close - PriceSaver'!A:J,5,0),"")</f>
        <v>4.7967685838699002E-2</v>
      </c>
      <c r="I148" s="4" t="e" cm="1">
        <f t="array" ref="I148">IF(NOT(ISBLANK(A148)),((_xlfn.XLOOKUP(1,(_bbt3[[#All],[ID]]=A148)*(_bbt3[[#All],[METRIC_NAME]]="YLD_YTM_ASK"),_bbt3[[#All],[METRIC_VALUE]])*0.5)+(_xlfn.XLOOKUP(1,(_bbt3[[#All],[ID]]=A148)*(_bbt3[[#All],[METRIC_NAME]]="YLD_YTM_BID"),_bbt3[[#All],[METRIC_VALUE]])*0.5))/100,"")</f>
        <v>#N/A</v>
      </c>
      <c r="J148">
        <f>IF(ISNA(VLOOKUP(A148,'CloseDL - PriceSaverBBT3'!A:E,5,0)),0,VLOOKUP(A148,'CloseDL - PriceSaverBBT3'!A:E,5,0))</f>
        <v>4.7967685838699002E-2</v>
      </c>
      <c r="K148" s="7">
        <f t="shared" si="30"/>
        <v>0</v>
      </c>
      <c r="L148" s="20">
        <f>IF(Close[[#This Row],[CreatedBy]]="MARINER\SilverAdm",1,0)</f>
        <v>1</v>
      </c>
      <c r="M148" t="str">
        <f>IF(NOT(ISBLANK(A148)),VLOOKUP(A148,'Close - PriceSaver'!A:J,6,0),"")</f>
        <v>DL input prc = 94.80468750  PX_ASK = 94.87500000 PX_BID = 94.73437500</v>
      </c>
      <c r="Q148" t="e">
        <f t="shared" si="22"/>
        <v>#N/A</v>
      </c>
      <c r="R148" t="e">
        <f t="shared" si="23"/>
        <v>#N/A</v>
      </c>
      <c r="S148" t="e">
        <f t="shared" si="24"/>
        <v>#N/A</v>
      </c>
      <c r="T148" s="15" t="e">
        <f t="shared" si="25"/>
        <v>#N/A</v>
      </c>
      <c r="U148" s="18" t="e">
        <f t="shared" si="26"/>
        <v>#N/A</v>
      </c>
      <c r="V148" s="18" t="e">
        <f t="shared" si="27"/>
        <v>#N/A</v>
      </c>
      <c r="W148" s="19" t="e">
        <f t="shared" si="28"/>
        <v>#N/A</v>
      </c>
      <c r="X148" t="e">
        <f>VLOOKUP(P148,Close[[ID]:[CreatedBy]],8,0)</f>
        <v>#N/A</v>
      </c>
    </row>
    <row r="149" spans="1:24" x14ac:dyDescent="0.35">
      <c r="A149" t="str">
        <v>912810QC5</v>
      </c>
      <c r="B149" t="str">
        <f>IF(NOT(ISBLANK(A149)),VLOOKUP(A149,'BBT3'!A:F,2,0),"")</f>
        <v>Bond</v>
      </c>
      <c r="C149" t="str">
        <f>IF(NOT(ISBLANK(A149)),VLOOKUP(A149,'BBT3'!A:F,3,0),"")</f>
        <v>US912810QC53</v>
      </c>
      <c r="D149" s="5">
        <f>IF(NOT(ISBLANK(A149)),VLOOKUP(A149,'BBT3'!A:F,4,1),"")</f>
        <v>4.5</v>
      </c>
      <c r="E149">
        <f>IF(NOT(ISBLANK(A149)),VLOOKUP(A149,'BBT3'!A:F,5,0),"")</f>
        <v>50997</v>
      </c>
      <c r="F149" t="str">
        <f>IF(NOT(ISBLANK(A149)),VLOOKUP(A149,'BBT3'!A:F,6,0),"")</f>
        <v>N</v>
      </c>
      <c r="G149" t="str">
        <f t="shared" si="29"/>
        <v>N</v>
      </c>
      <c r="H149">
        <f>IF(NOT(ISBLANK(A149)),VLOOKUP(A149,'Close - PriceSaver'!A:J,5,0),"")</f>
        <v>4.8331766083501503E-2</v>
      </c>
      <c r="I149" s="4" t="e" cm="1">
        <f t="array" ref="I149">IF(NOT(ISBLANK(A149)),((_xlfn.XLOOKUP(1,(_bbt3[[#All],[ID]]=A149)*(_bbt3[[#All],[METRIC_NAME]]="YLD_YTM_ASK"),_bbt3[[#All],[METRIC_VALUE]])*0.5)+(_xlfn.XLOOKUP(1,(_bbt3[[#All],[ID]]=A149)*(_bbt3[[#All],[METRIC_NAME]]="YLD_YTM_BID"),_bbt3[[#All],[METRIC_VALUE]])*0.5))/100,"")</f>
        <v>#N/A</v>
      </c>
      <c r="J149">
        <f>IF(ISNA(VLOOKUP(A149,'CloseDL - PriceSaverBBT3'!A:E,5,0)),0,VLOOKUP(A149,'CloseDL - PriceSaverBBT3'!A:E,5,0))</f>
        <v>4.8331766083501503E-2</v>
      </c>
      <c r="K149" s="7">
        <f t="shared" si="30"/>
        <v>0</v>
      </c>
      <c r="L149" s="20">
        <f>IF(Close[[#This Row],[CreatedBy]]="MARINER\SilverAdm",1,0)</f>
        <v>1</v>
      </c>
      <c r="M149" t="str">
        <f>IF(NOT(ISBLANK(A149)),VLOOKUP(A149,'Close - PriceSaver'!A:J,6,0),"")</f>
        <v>DL input prc = 96.79687500  PX_ASK = 96.87500000 PX_BID = 96.71875000</v>
      </c>
      <c r="Q149" t="e">
        <f t="shared" si="22"/>
        <v>#N/A</v>
      </c>
      <c r="R149" t="e">
        <f t="shared" si="23"/>
        <v>#N/A</v>
      </c>
      <c r="S149" t="e">
        <f t="shared" si="24"/>
        <v>#N/A</v>
      </c>
      <c r="T149" s="15" t="e">
        <f t="shared" si="25"/>
        <v>#N/A</v>
      </c>
      <c r="U149" s="18" t="e">
        <f t="shared" si="26"/>
        <v>#N/A</v>
      </c>
      <c r="V149" s="18" t="e">
        <f t="shared" si="27"/>
        <v>#N/A</v>
      </c>
      <c r="W149" s="19" t="e">
        <f t="shared" si="28"/>
        <v>#N/A</v>
      </c>
      <c r="X149" t="e">
        <f>VLOOKUP(P149,Close[[ID]:[CreatedBy]],8,0)</f>
        <v>#N/A</v>
      </c>
    </row>
    <row r="150" spans="1:24" x14ac:dyDescent="0.35">
      <c r="A150" t="str">
        <v>912810QD3</v>
      </c>
      <c r="B150" t="str">
        <f>IF(NOT(ISBLANK(A150)),VLOOKUP(A150,'BBT3'!A:F,2,0),"")</f>
        <v>Bond</v>
      </c>
      <c r="C150" t="str">
        <f>IF(NOT(ISBLANK(A150)),VLOOKUP(A150,'BBT3'!A:F,3,0),"")</f>
        <v>US912810QD37</v>
      </c>
      <c r="D150" s="5">
        <f>IF(NOT(ISBLANK(A150)),VLOOKUP(A150,'BBT3'!A:F,4,1),"")</f>
        <v>4.375</v>
      </c>
      <c r="E150">
        <f>IF(NOT(ISBLANK(A150)),VLOOKUP(A150,'BBT3'!A:F,5,0),"")</f>
        <v>51089</v>
      </c>
      <c r="F150" t="str">
        <f>IF(NOT(ISBLANK(A150)),VLOOKUP(A150,'BBT3'!A:F,6,0),"")</f>
        <v>N</v>
      </c>
      <c r="G150" t="str">
        <f t="shared" si="29"/>
        <v>N</v>
      </c>
      <c r="H150">
        <f>IF(NOT(ISBLANK(A150)),VLOOKUP(A150,'Close - PriceSaver'!A:J,5,0),"")</f>
        <v>4.8565341488542101E-2</v>
      </c>
      <c r="I150" s="4" t="e" cm="1">
        <f t="array" ref="I150">IF(NOT(ISBLANK(A150)),((_xlfn.XLOOKUP(1,(_bbt3[[#All],[ID]]=A150)*(_bbt3[[#All],[METRIC_NAME]]="YLD_YTM_ASK"),_bbt3[[#All],[METRIC_VALUE]])*0.5)+(_xlfn.XLOOKUP(1,(_bbt3[[#All],[ID]]=A150)*(_bbt3[[#All],[METRIC_NAME]]="YLD_YTM_BID"),_bbt3[[#All],[METRIC_VALUE]])*0.5))/100,"")</f>
        <v>#N/A</v>
      </c>
      <c r="J150">
        <f>IF(ISNA(VLOOKUP(A150,'CloseDL - PriceSaverBBT3'!A:E,5,0)),0,VLOOKUP(A150,'CloseDL - PriceSaverBBT3'!A:E,5,0))</f>
        <v>4.8565341488542101E-2</v>
      </c>
      <c r="K150" s="7">
        <f t="shared" si="30"/>
        <v>0</v>
      </c>
      <c r="L150" s="20">
        <f>IF(Close[[#This Row],[CreatedBy]]="MARINER\SilverAdm",1,0)</f>
        <v>1</v>
      </c>
      <c r="M150" t="str">
        <f>IF(NOT(ISBLANK(A150)),VLOOKUP(A150,'Close - PriceSaver'!A:J,6,0),"")</f>
        <v>DL input prc = 95.31250000  PX_ASK = 95.37500000 PX_BID = 95.25000000</v>
      </c>
      <c r="Q150" t="e">
        <f t="shared" si="22"/>
        <v>#N/A</v>
      </c>
      <c r="R150" t="e">
        <f t="shared" si="23"/>
        <v>#N/A</v>
      </c>
      <c r="S150" t="e">
        <f t="shared" si="24"/>
        <v>#N/A</v>
      </c>
      <c r="T150" s="15" t="e">
        <f t="shared" si="25"/>
        <v>#N/A</v>
      </c>
      <c r="U150" s="18" t="e">
        <f t="shared" si="26"/>
        <v>#N/A</v>
      </c>
      <c r="V150" s="18" t="e">
        <f t="shared" si="27"/>
        <v>#N/A</v>
      </c>
      <c r="W150" s="19" t="e">
        <f t="shared" si="28"/>
        <v>#N/A</v>
      </c>
      <c r="X150" t="e">
        <f>VLOOKUP(P150,Close[[ID]:[CreatedBy]],8,0)</f>
        <v>#N/A</v>
      </c>
    </row>
    <row r="151" spans="1:24" x14ac:dyDescent="0.35">
      <c r="A151" t="str">
        <v>912810QE1</v>
      </c>
      <c r="B151" t="str">
        <f>IF(NOT(ISBLANK(A151)),VLOOKUP(A151,'BBT3'!A:F,2,0),"")</f>
        <v>Bond</v>
      </c>
      <c r="C151" t="str">
        <f>IF(NOT(ISBLANK(A151)),VLOOKUP(A151,'BBT3'!A:F,3,0),"")</f>
        <v>US912810QE10</v>
      </c>
      <c r="D151" s="5">
        <f>IF(NOT(ISBLANK(A151)),VLOOKUP(A151,'BBT3'!A:F,4,1),"")</f>
        <v>4.625</v>
      </c>
      <c r="E151">
        <f>IF(NOT(ISBLANK(A151)),VLOOKUP(A151,'BBT3'!A:F,5,0),"")</f>
        <v>51181</v>
      </c>
      <c r="F151" t="str">
        <f>IF(NOT(ISBLANK(A151)),VLOOKUP(A151,'BBT3'!A:F,6,0),"")</f>
        <v>N</v>
      </c>
      <c r="G151" t="str">
        <f t="shared" si="29"/>
        <v>N</v>
      </c>
      <c r="H151">
        <f>IF(NOT(ISBLANK(A151)),VLOOKUP(A151,'Close - PriceSaver'!A:J,5,0),"")</f>
        <v>4.86990864191304E-2</v>
      </c>
      <c r="I151" s="4" t="e" cm="1">
        <f t="array" ref="I151">IF(NOT(ISBLANK(A151)),((_xlfn.XLOOKUP(1,(_bbt3[[#All],[ID]]=A151)*(_bbt3[[#All],[METRIC_NAME]]="YLD_YTM_ASK"),_bbt3[[#All],[METRIC_VALUE]])*0.5)+(_xlfn.XLOOKUP(1,(_bbt3[[#All],[ID]]=A151)*(_bbt3[[#All],[METRIC_NAME]]="YLD_YTM_BID"),_bbt3[[#All],[METRIC_VALUE]])*0.5))/100,"")</f>
        <v>#N/A</v>
      </c>
      <c r="J151">
        <f>IF(ISNA(VLOOKUP(A151,'CloseDL - PriceSaverBBT3'!A:E,5,0)),0,VLOOKUP(A151,'CloseDL - PriceSaverBBT3'!A:E,5,0))</f>
        <v>4.86990864191304E-2</v>
      </c>
      <c r="K151" s="7">
        <f t="shared" si="30"/>
        <v>0</v>
      </c>
      <c r="L151" s="20">
        <f>IF(Close[[#This Row],[CreatedBy]]="MARINER\SilverAdm",1,0)</f>
        <v>1</v>
      </c>
      <c r="M151" t="str">
        <f>IF(NOT(ISBLANK(A151)),VLOOKUP(A151,'Close - PriceSaver'!A:J,6,0),"")</f>
        <v>DL input prc = 97.58593750  PX_ASK = 97.65625000 PX_BID = 97.51562500</v>
      </c>
      <c r="Q151" t="e">
        <f t="shared" si="22"/>
        <v>#N/A</v>
      </c>
      <c r="R151" t="e">
        <f t="shared" si="23"/>
        <v>#N/A</v>
      </c>
      <c r="S151" t="e">
        <f t="shared" si="24"/>
        <v>#N/A</v>
      </c>
      <c r="T151" s="15" t="e">
        <f t="shared" si="25"/>
        <v>#N/A</v>
      </c>
      <c r="U151" s="18" t="e">
        <f t="shared" si="26"/>
        <v>#N/A</v>
      </c>
      <c r="V151" s="18" t="e">
        <f t="shared" si="27"/>
        <v>#N/A</v>
      </c>
      <c r="W151" s="19" t="e">
        <f t="shared" si="28"/>
        <v>#N/A</v>
      </c>
      <c r="X151" t="e">
        <f>VLOOKUP(P151,Close[[ID]:[CreatedBy]],8,0)</f>
        <v>#N/A</v>
      </c>
    </row>
    <row r="152" spans="1:24" x14ac:dyDescent="0.35">
      <c r="A152" t="str">
        <v>912810QF8</v>
      </c>
      <c r="B152" t="str">
        <f>IF(NOT(ISBLANK(A152)),VLOOKUP(A152,'BBT3'!A:F,2,0),"")</f>
        <v>Bond</v>
      </c>
      <c r="C152" t="str">
        <f>IF(NOT(ISBLANK(A152)),VLOOKUP(A152,'BBT3'!A:F,3,0),"")</f>
        <v>US912810QF84</v>
      </c>
      <c r="D152" s="5">
        <f>IF(NOT(ISBLANK(A152)),VLOOKUP(A152,'BBT3'!A:F,4,1),"")</f>
        <v>2.125</v>
      </c>
      <c r="E152">
        <f>IF(NOT(ISBLANK(A152)),VLOOKUP(A152,'BBT3'!A:F,5,0),"")</f>
        <v>51181</v>
      </c>
      <c r="F152" t="str">
        <f>IF(NOT(ISBLANK(A152)),VLOOKUP(A152,'BBT3'!A:F,6,0),"")</f>
        <v>Y</v>
      </c>
      <c r="G152" t="str">
        <f t="shared" si="29"/>
        <v>N</v>
      </c>
      <c r="H152">
        <f>IF(NOT(ISBLANK(A152)),VLOOKUP(A152,'Close - PriceSaver'!A:J,5,0),"")</f>
        <v>2.5848257764504799E-2</v>
      </c>
      <c r="I152" s="4" t="e" cm="1">
        <f t="array" ref="I152">IF(NOT(ISBLANK(A152)),((_xlfn.XLOOKUP(1,(_bbt3[[#All],[ID]]=A152)*(_bbt3[[#All],[METRIC_NAME]]="YLD_YTM_ASK"),_bbt3[[#All],[METRIC_VALUE]])*0.5)+(_xlfn.XLOOKUP(1,(_bbt3[[#All],[ID]]=A152)*(_bbt3[[#All],[METRIC_NAME]]="YLD_YTM_BID"),_bbt3[[#All],[METRIC_VALUE]])*0.5))/100,"")</f>
        <v>#N/A</v>
      </c>
      <c r="J152">
        <f>IF(ISNA(VLOOKUP(A152,'CloseDL - PriceSaverBBT3'!A:E,5,0)),0,VLOOKUP(A152,'CloseDL - PriceSaverBBT3'!A:E,5,0))</f>
        <v>2.5848257764504799E-2</v>
      </c>
      <c r="K152" s="7">
        <f t="shared" si="30"/>
        <v>0</v>
      </c>
      <c r="L152" s="20">
        <f>IF(Close[[#This Row],[CreatedBy]]="MARINER\SilverAdm",1,0)</f>
        <v>1</v>
      </c>
      <c r="M152" t="str">
        <f>IF(NOT(ISBLANK(A152)),VLOOKUP(A152,'Close - PriceSaver'!A:J,6,0),"")</f>
        <v>DL input prc = 94.76562500  PX_ASK = 94.83593750 PX_BID = 94.69531250</v>
      </c>
      <c r="Q152" t="e">
        <f t="shared" si="22"/>
        <v>#N/A</v>
      </c>
      <c r="R152" t="e">
        <f t="shared" si="23"/>
        <v>#N/A</v>
      </c>
      <c r="S152" t="e">
        <f t="shared" si="24"/>
        <v>#N/A</v>
      </c>
      <c r="T152" s="15" t="e">
        <f t="shared" si="25"/>
        <v>#N/A</v>
      </c>
      <c r="U152" s="18" t="e">
        <f t="shared" si="26"/>
        <v>#N/A</v>
      </c>
      <c r="V152" s="18" t="e">
        <f t="shared" si="27"/>
        <v>#N/A</v>
      </c>
      <c r="W152" s="19" t="e">
        <f t="shared" si="28"/>
        <v>#N/A</v>
      </c>
      <c r="X152" t="e">
        <f>VLOOKUP(P152,Close[[ID]:[CreatedBy]],8,0)</f>
        <v>#N/A</v>
      </c>
    </row>
    <row r="153" spans="1:24" x14ac:dyDescent="0.35">
      <c r="A153" t="str">
        <v>912810QH4</v>
      </c>
      <c r="B153" t="str">
        <f>IF(NOT(ISBLANK(A153)),VLOOKUP(A153,'BBT3'!A:F,2,0),"")</f>
        <v>Bond</v>
      </c>
      <c r="C153" t="str">
        <f>IF(NOT(ISBLANK(A153)),VLOOKUP(A153,'BBT3'!A:F,3,0),"")</f>
        <v>US912810QH41</v>
      </c>
      <c r="D153" s="5">
        <f>IF(NOT(ISBLANK(A153)),VLOOKUP(A153,'BBT3'!A:F,4,1),"")</f>
        <v>4.375</v>
      </c>
      <c r="E153">
        <f>IF(NOT(ISBLANK(A153)),VLOOKUP(A153,'BBT3'!A:F,5,0),"")</f>
        <v>51271</v>
      </c>
      <c r="F153" t="str">
        <f>IF(NOT(ISBLANK(A153)),VLOOKUP(A153,'BBT3'!A:F,6,0),"")</f>
        <v>N</v>
      </c>
      <c r="G153" t="str">
        <f t="shared" si="29"/>
        <v>N</v>
      </c>
      <c r="H153">
        <f>IF(NOT(ISBLANK(A153)),VLOOKUP(A153,'Close - PriceSaver'!A:J,5,0),"")</f>
        <v>4.8922193162834401E-2</v>
      </c>
      <c r="I153" s="4" t="e" cm="1">
        <f t="array" ref="I153">IF(NOT(ISBLANK(A153)),((_xlfn.XLOOKUP(1,(_bbt3[[#All],[ID]]=A153)*(_bbt3[[#All],[METRIC_NAME]]="YLD_YTM_ASK"),_bbt3[[#All],[METRIC_VALUE]])*0.5)+(_xlfn.XLOOKUP(1,(_bbt3[[#All],[ID]]=A153)*(_bbt3[[#All],[METRIC_NAME]]="YLD_YTM_BID"),_bbt3[[#All],[METRIC_VALUE]])*0.5))/100,"")</f>
        <v>#N/A</v>
      </c>
      <c r="J153">
        <f>IF(ISNA(VLOOKUP(A153,'CloseDL - PriceSaverBBT3'!A:E,5,0)),0,VLOOKUP(A153,'CloseDL - PriceSaverBBT3'!A:E,5,0))</f>
        <v>4.8922193162834401E-2</v>
      </c>
      <c r="K153" s="7">
        <f t="shared" si="30"/>
        <v>0</v>
      </c>
      <c r="L153" s="20">
        <f>IF(Close[[#This Row],[CreatedBy]]="MARINER\SilverAdm",1,0)</f>
        <v>1</v>
      </c>
      <c r="M153" t="str">
        <f>IF(NOT(ISBLANK(A153)),VLOOKUP(A153,'Close - PriceSaver'!A:J,6,0),"")</f>
        <v>DL input prc = 94.84375000  PX_ASK = 94.89062500 PX_BID = 94.79687500</v>
      </c>
      <c r="Q153" t="e">
        <f t="shared" si="22"/>
        <v>#N/A</v>
      </c>
      <c r="R153" t="e">
        <f t="shared" si="23"/>
        <v>#N/A</v>
      </c>
      <c r="S153" t="e">
        <f t="shared" si="24"/>
        <v>#N/A</v>
      </c>
      <c r="T153" s="15" t="e">
        <f t="shared" si="25"/>
        <v>#N/A</v>
      </c>
      <c r="U153" s="18" t="e">
        <f t="shared" si="26"/>
        <v>#N/A</v>
      </c>
      <c r="V153" s="18" t="e">
        <f t="shared" si="27"/>
        <v>#N/A</v>
      </c>
      <c r="W153" s="19" t="e">
        <f t="shared" si="28"/>
        <v>#N/A</v>
      </c>
      <c r="X153" t="e">
        <f>VLOOKUP(P153,Close[[ID]:[CreatedBy]],8,0)</f>
        <v>#N/A</v>
      </c>
    </row>
    <row r="154" spans="1:24" x14ac:dyDescent="0.35">
      <c r="A154" t="str">
        <v>912810QK7</v>
      </c>
      <c r="B154" t="str">
        <f>IF(NOT(ISBLANK(A154)),VLOOKUP(A154,'BBT3'!A:F,2,0),"")</f>
        <v>Bond</v>
      </c>
      <c r="C154" t="str">
        <f>IF(NOT(ISBLANK(A154)),VLOOKUP(A154,'BBT3'!A:F,3,0),"")</f>
        <v>US912810QK79</v>
      </c>
      <c r="D154" s="5">
        <f>IF(NOT(ISBLANK(A154)),VLOOKUP(A154,'BBT3'!A:F,4,1),"")</f>
        <v>3.875</v>
      </c>
      <c r="E154">
        <f>IF(NOT(ISBLANK(A154)),VLOOKUP(A154,'BBT3'!A:F,5,0),"")</f>
        <v>51363</v>
      </c>
      <c r="F154" t="str">
        <f>IF(NOT(ISBLANK(A154)),VLOOKUP(A154,'BBT3'!A:F,6,0),"")</f>
        <v>N</v>
      </c>
      <c r="G154" t="str">
        <f t="shared" si="29"/>
        <v>N</v>
      </c>
      <c r="H154">
        <f>IF(NOT(ISBLANK(A154)),VLOOKUP(A154,'Close - PriceSaver'!A:J,5,0),"")</f>
        <v>4.9251744398798397E-2</v>
      </c>
      <c r="I154" s="4" t="e" cm="1">
        <f t="array" ref="I154">IF(NOT(ISBLANK(A154)),((_xlfn.XLOOKUP(1,(_bbt3[[#All],[ID]]=A154)*(_bbt3[[#All],[METRIC_NAME]]="YLD_YTM_ASK"),_bbt3[[#All],[METRIC_VALUE]])*0.5)+(_xlfn.XLOOKUP(1,(_bbt3[[#All],[ID]]=A154)*(_bbt3[[#All],[METRIC_NAME]]="YLD_YTM_BID"),_bbt3[[#All],[METRIC_VALUE]])*0.5))/100,"")</f>
        <v>#N/A</v>
      </c>
      <c r="J154">
        <f>IF(ISNA(VLOOKUP(A154,'CloseDL - PriceSaverBBT3'!A:E,5,0)),0,VLOOKUP(A154,'CloseDL - PriceSaverBBT3'!A:E,5,0))</f>
        <v>4.9251744398798397E-2</v>
      </c>
      <c r="K154" s="7">
        <f t="shared" si="30"/>
        <v>0</v>
      </c>
      <c r="L154" s="20">
        <f>IF(Close[[#This Row],[CreatedBy]]="MARINER\SilverAdm",1,0)</f>
        <v>1</v>
      </c>
      <c r="M154" t="str">
        <f>IF(NOT(ISBLANK(A154)),VLOOKUP(A154,'Close - PriceSaver'!A:J,6,0),"")</f>
        <v>DL input prc = 89.42968750  PX_ASK = 89.48437500 PX_BID = 89.37500000</v>
      </c>
      <c r="Q154" t="e">
        <f t="shared" si="22"/>
        <v>#N/A</v>
      </c>
      <c r="R154" t="e">
        <f t="shared" si="23"/>
        <v>#N/A</v>
      </c>
      <c r="S154" t="e">
        <f t="shared" si="24"/>
        <v>#N/A</v>
      </c>
      <c r="T154" s="15" t="e">
        <f t="shared" si="25"/>
        <v>#N/A</v>
      </c>
      <c r="U154" s="18" t="e">
        <f t="shared" si="26"/>
        <v>#N/A</v>
      </c>
      <c r="V154" s="18" t="e">
        <f t="shared" si="27"/>
        <v>#N/A</v>
      </c>
      <c r="W154" s="19" t="e">
        <f t="shared" si="28"/>
        <v>#N/A</v>
      </c>
      <c r="X154" t="e">
        <f>VLOOKUP(P154,Close[[ID]:[CreatedBy]],8,0)</f>
        <v>#N/A</v>
      </c>
    </row>
    <row r="155" spans="1:24" x14ac:dyDescent="0.35">
      <c r="A155" t="str">
        <v>912810QL5</v>
      </c>
      <c r="B155" t="str">
        <f>IF(NOT(ISBLANK(A155)),VLOOKUP(A155,'BBT3'!A:F,2,0),"")</f>
        <v>Bond</v>
      </c>
      <c r="C155" t="str">
        <f>IF(NOT(ISBLANK(A155)),VLOOKUP(A155,'BBT3'!A:F,3,0),"")</f>
        <v>US912810QL52</v>
      </c>
      <c r="D155" s="5">
        <f>IF(NOT(ISBLANK(A155)),VLOOKUP(A155,'BBT3'!A:F,4,1),"")</f>
        <v>4.25</v>
      </c>
      <c r="E155">
        <f>IF(NOT(ISBLANK(A155)),VLOOKUP(A155,'BBT3'!A:F,5,0),"")</f>
        <v>51455</v>
      </c>
      <c r="F155" t="str">
        <f>IF(NOT(ISBLANK(A155)),VLOOKUP(A155,'BBT3'!A:F,6,0),"")</f>
        <v>N</v>
      </c>
      <c r="G155" t="str">
        <f t="shared" si="29"/>
        <v>N</v>
      </c>
      <c r="H155">
        <f>IF(NOT(ISBLANK(A155)),VLOOKUP(A155,'Close - PriceSaver'!A:J,5,0),"")</f>
        <v>4.9379582840152099E-2</v>
      </c>
      <c r="I155" s="4" t="e" cm="1">
        <f t="array" ref="I155">IF(NOT(ISBLANK(A155)),((_xlfn.XLOOKUP(1,(_bbt3[[#All],[ID]]=A155)*(_bbt3[[#All],[METRIC_NAME]]="YLD_YTM_ASK"),_bbt3[[#All],[METRIC_VALUE]])*0.5)+(_xlfn.XLOOKUP(1,(_bbt3[[#All],[ID]]=A155)*(_bbt3[[#All],[METRIC_NAME]]="YLD_YTM_BID"),_bbt3[[#All],[METRIC_VALUE]])*0.5))/100,"")</f>
        <v>#N/A</v>
      </c>
      <c r="J155">
        <f>IF(ISNA(VLOOKUP(A155,'CloseDL - PriceSaverBBT3'!A:E,5,0)),0,VLOOKUP(A155,'CloseDL - PriceSaverBBT3'!A:E,5,0))</f>
        <v>4.9379582840152099E-2</v>
      </c>
      <c r="K155" s="7">
        <f t="shared" si="30"/>
        <v>0</v>
      </c>
      <c r="L155" s="20">
        <f>IF(Close[[#This Row],[CreatedBy]]="MARINER\SilverAdm",1,0)</f>
        <v>1</v>
      </c>
      <c r="M155" t="str">
        <f>IF(NOT(ISBLANK(A155)),VLOOKUP(A155,'Close - PriceSaver'!A:J,6,0),"")</f>
        <v>DL input prc = 92.99218750  PX_ASK = 93.04687500 PX_BID = 92.93750000</v>
      </c>
      <c r="Q155" t="e">
        <f t="shared" si="22"/>
        <v>#N/A</v>
      </c>
      <c r="R155" t="e">
        <f t="shared" si="23"/>
        <v>#N/A</v>
      </c>
      <c r="S155" t="e">
        <f t="shared" si="24"/>
        <v>#N/A</v>
      </c>
      <c r="T155" s="15" t="e">
        <f t="shared" si="25"/>
        <v>#N/A</v>
      </c>
      <c r="U155" s="18" t="e">
        <f t="shared" si="26"/>
        <v>#N/A</v>
      </c>
      <c r="V155" s="18" t="e">
        <f t="shared" si="27"/>
        <v>#N/A</v>
      </c>
      <c r="W155" s="19" t="e">
        <f t="shared" si="28"/>
        <v>#N/A</v>
      </c>
      <c r="X155" t="e">
        <f>VLOOKUP(P155,Close[[ID]:[CreatedBy]],8,0)</f>
        <v>#N/A</v>
      </c>
    </row>
    <row r="156" spans="1:24" x14ac:dyDescent="0.35">
      <c r="A156" t="str">
        <v>912810QN1</v>
      </c>
      <c r="B156" t="str">
        <f>IF(NOT(ISBLANK(A156)),VLOOKUP(A156,'BBT3'!A:F,2,0),"")</f>
        <v>Bond</v>
      </c>
      <c r="C156" t="str">
        <f>IF(NOT(ISBLANK(A156)),VLOOKUP(A156,'BBT3'!A:F,3,0),"")</f>
        <v>US912810QN19</v>
      </c>
      <c r="D156" s="5">
        <f>IF(NOT(ISBLANK(A156)),VLOOKUP(A156,'BBT3'!A:F,4,1),"")</f>
        <v>4.75</v>
      </c>
      <c r="E156">
        <f>IF(NOT(ISBLANK(A156)),VLOOKUP(A156,'BBT3'!A:F,5,0),"")</f>
        <v>51547</v>
      </c>
      <c r="F156" t="str">
        <f>IF(NOT(ISBLANK(A156)),VLOOKUP(A156,'BBT3'!A:F,6,0),"")</f>
        <v>N</v>
      </c>
      <c r="G156" t="str">
        <f t="shared" si="29"/>
        <v>N</v>
      </c>
      <c r="H156">
        <f>IF(NOT(ISBLANK(A156)),VLOOKUP(A156,'Close - PriceSaver'!A:J,5,0),"")</f>
        <v>4.9423838882535799E-2</v>
      </c>
      <c r="I156" s="4" t="e" cm="1">
        <f t="array" ref="I156">IF(NOT(ISBLANK(A156)),((_xlfn.XLOOKUP(1,(_bbt3[[#All],[ID]]=A156)*(_bbt3[[#All],[METRIC_NAME]]="YLD_YTM_ASK"),_bbt3[[#All],[METRIC_VALUE]])*0.5)+(_xlfn.XLOOKUP(1,(_bbt3[[#All],[ID]]=A156)*(_bbt3[[#All],[METRIC_NAME]]="YLD_YTM_BID"),_bbt3[[#All],[METRIC_VALUE]])*0.5))/100,"")</f>
        <v>#N/A</v>
      </c>
      <c r="J156">
        <f>IF(ISNA(VLOOKUP(A156,'CloseDL - PriceSaverBBT3'!A:E,5,0)),0,VLOOKUP(A156,'CloseDL - PriceSaverBBT3'!A:E,5,0))</f>
        <v>4.9423838882535799E-2</v>
      </c>
      <c r="K156" s="7">
        <f t="shared" si="30"/>
        <v>0</v>
      </c>
      <c r="L156" s="20">
        <f>IF(Close[[#This Row],[CreatedBy]]="MARINER\SilverAdm",1,0)</f>
        <v>1</v>
      </c>
      <c r="M156" t="str">
        <f>IF(NOT(ISBLANK(A156)),VLOOKUP(A156,'Close - PriceSaver'!A:J,6,0),"")</f>
        <v>DL input prc = 98.01562500  PX_ASK = 98.06250000 PX_BID = 97.96875000</v>
      </c>
      <c r="Q156" t="e">
        <f t="shared" si="22"/>
        <v>#N/A</v>
      </c>
      <c r="R156" t="e">
        <f t="shared" si="23"/>
        <v>#N/A</v>
      </c>
      <c r="S156" t="e">
        <f t="shared" si="24"/>
        <v>#N/A</v>
      </c>
      <c r="T156" s="15" t="e">
        <f t="shared" si="25"/>
        <v>#N/A</v>
      </c>
      <c r="U156" s="18" t="e">
        <f t="shared" si="26"/>
        <v>#N/A</v>
      </c>
      <c r="V156" s="18" t="e">
        <f t="shared" si="27"/>
        <v>#N/A</v>
      </c>
      <c r="W156" s="19" t="e">
        <f t="shared" si="28"/>
        <v>#N/A</v>
      </c>
      <c r="X156" t="e">
        <f>VLOOKUP(P156,Close[[ID]:[CreatedBy]],8,0)</f>
        <v>#N/A</v>
      </c>
    </row>
    <row r="157" spans="1:24" x14ac:dyDescent="0.35">
      <c r="A157" t="str">
        <v>912810QP6</v>
      </c>
      <c r="B157" t="str">
        <f>IF(NOT(ISBLANK(A157)),VLOOKUP(A157,'BBT3'!A:F,2,0),"")</f>
        <v>Bond</v>
      </c>
      <c r="C157" t="str">
        <f>IF(NOT(ISBLANK(A157)),VLOOKUP(A157,'BBT3'!A:F,3,0),"")</f>
        <v>US912810QP66</v>
      </c>
      <c r="D157" s="5">
        <f>IF(NOT(ISBLANK(A157)),VLOOKUP(A157,'BBT3'!A:F,4,1),"")</f>
        <v>2.125</v>
      </c>
      <c r="E157">
        <f>IF(NOT(ISBLANK(A157)),VLOOKUP(A157,'BBT3'!A:F,5,0),"")</f>
        <v>51547</v>
      </c>
      <c r="F157" t="str">
        <f>IF(NOT(ISBLANK(A157)),VLOOKUP(A157,'BBT3'!A:F,6,0),"")</f>
        <v>Y</v>
      </c>
      <c r="G157" t="str">
        <f t="shared" si="29"/>
        <v>N</v>
      </c>
      <c r="H157">
        <f>IF(NOT(ISBLANK(A157)),VLOOKUP(A157,'Close - PriceSaver'!A:J,5,0),"")</f>
        <v>2.6535137414209702E-2</v>
      </c>
      <c r="I157" s="4" t="e" cm="1">
        <f t="array" ref="I157">IF(NOT(ISBLANK(A157)),((_xlfn.XLOOKUP(1,(_bbt3[[#All],[ID]]=A157)*(_bbt3[[#All],[METRIC_NAME]]="YLD_YTM_ASK"),_bbt3[[#All],[METRIC_VALUE]])*0.5)+(_xlfn.XLOOKUP(1,(_bbt3[[#All],[ID]]=A157)*(_bbt3[[#All],[METRIC_NAME]]="YLD_YTM_BID"),_bbt3[[#All],[METRIC_VALUE]])*0.5))/100,"")</f>
        <v>#N/A</v>
      </c>
      <c r="J157">
        <f>IF(ISNA(VLOOKUP(A157,'CloseDL - PriceSaverBBT3'!A:E,5,0)),0,VLOOKUP(A157,'CloseDL - PriceSaverBBT3'!A:E,5,0))</f>
        <v>2.6535137414209702E-2</v>
      </c>
      <c r="K157" s="7">
        <f t="shared" si="30"/>
        <v>0</v>
      </c>
      <c r="L157" s="20">
        <f>IF(Close[[#This Row],[CreatedBy]]="MARINER\SilverAdm",1,0)</f>
        <v>1</v>
      </c>
      <c r="M157" t="str">
        <f>IF(NOT(ISBLANK(A157)),VLOOKUP(A157,'Close - PriceSaver'!A:J,6,0),"")</f>
        <v>DL input prc = 93.64843750  PX_ASK = 93.71093750 PX_BID = 93.58593750</v>
      </c>
      <c r="Q157" t="e">
        <f t="shared" si="22"/>
        <v>#N/A</v>
      </c>
      <c r="R157" t="e">
        <f t="shared" si="23"/>
        <v>#N/A</v>
      </c>
      <c r="S157" t="e">
        <f t="shared" si="24"/>
        <v>#N/A</v>
      </c>
      <c r="T157" s="15" t="e">
        <f t="shared" si="25"/>
        <v>#N/A</v>
      </c>
      <c r="U157" s="18" t="e">
        <f t="shared" si="26"/>
        <v>#N/A</v>
      </c>
      <c r="V157" s="18" t="e">
        <f t="shared" si="27"/>
        <v>#N/A</v>
      </c>
      <c r="W157" s="19" t="e">
        <f t="shared" si="28"/>
        <v>#N/A</v>
      </c>
      <c r="X157" t="e">
        <f>VLOOKUP(P157,Close[[ID]:[CreatedBy]],8,0)</f>
        <v>#N/A</v>
      </c>
    </row>
    <row r="158" spans="1:24" x14ac:dyDescent="0.35">
      <c r="A158" t="str">
        <v>912810QQ4</v>
      </c>
      <c r="B158" t="str">
        <f>IF(NOT(ISBLANK(A158)),VLOOKUP(A158,'BBT3'!A:F,2,0),"")</f>
        <v>Bond</v>
      </c>
      <c r="C158" t="str">
        <f>IF(NOT(ISBLANK(A158)),VLOOKUP(A158,'BBT3'!A:F,3,0),"")</f>
        <v>US912810QQ40</v>
      </c>
      <c r="D158" s="5">
        <f>IF(NOT(ISBLANK(A158)),VLOOKUP(A158,'BBT3'!A:F,4,1),"")</f>
        <v>4.375</v>
      </c>
      <c r="E158">
        <f>IF(NOT(ISBLANK(A158)),VLOOKUP(A158,'BBT3'!A:F,5,0),"")</f>
        <v>51636</v>
      </c>
      <c r="F158" t="str">
        <f>IF(NOT(ISBLANK(A158)),VLOOKUP(A158,'BBT3'!A:F,6,0),"")</f>
        <v>N</v>
      </c>
      <c r="G158" t="str">
        <f t="shared" si="29"/>
        <v>N</v>
      </c>
      <c r="H158">
        <f>IF(NOT(ISBLANK(A158)),VLOOKUP(A158,'Close - PriceSaver'!A:J,5,0),"")</f>
        <v>4.9662982789617699E-2</v>
      </c>
      <c r="I158" s="4" cm="1">
        <f t="array" ref="I158">IF(NOT(ISBLANK(A158)),((_xlfn.XLOOKUP(1,(_bbt3[[#All],[ID]]=A158)*(_bbt3[[#All],[METRIC_NAME]]="YLD_YTM_ASK"),_bbt3[[#All],[METRIC_VALUE]])*0.5)+(_xlfn.XLOOKUP(1,(_bbt3[[#All],[ID]]=A158)*(_bbt3[[#All],[METRIC_NAME]]="YLD_YTM_BID"),_bbt3[[#All],[METRIC_VALUE]])*0.5))/100,"")</f>
        <v>4.9665000000000001E-2</v>
      </c>
      <c r="J158">
        <f>IF(ISNA(VLOOKUP(A158,'CloseDL - PriceSaverBBT3'!A:E,5,0)),0,VLOOKUP(A158,'CloseDL - PriceSaverBBT3'!A:E,5,0))</f>
        <v>4.9662982789617699E-2</v>
      </c>
      <c r="K158" s="7">
        <f t="shared" si="30"/>
        <v>0</v>
      </c>
      <c r="L158" s="20">
        <f>IF(Close[[#This Row],[CreatedBy]]="MARINER\SilverAdm",1,0)</f>
        <v>1</v>
      </c>
      <c r="M158" t="str">
        <f>IF(NOT(ISBLANK(A158)),VLOOKUP(A158,'Close - PriceSaver'!A:J,6,0),"")</f>
        <v>DL input prc = 93.84375000  PX_ASK = 93.89062500 PX_BID = 93.79687500</v>
      </c>
      <c r="Q158" t="e">
        <f t="shared" si="22"/>
        <v>#N/A</v>
      </c>
      <c r="R158" t="e">
        <f t="shared" si="23"/>
        <v>#N/A</v>
      </c>
      <c r="S158" t="e">
        <f t="shared" si="24"/>
        <v>#N/A</v>
      </c>
      <c r="T158" s="15" t="e">
        <f t="shared" si="25"/>
        <v>#N/A</v>
      </c>
      <c r="U158" s="18" t="e">
        <f t="shared" si="26"/>
        <v>#N/A</v>
      </c>
      <c r="V158" s="18" t="e">
        <f t="shared" si="27"/>
        <v>#N/A</v>
      </c>
      <c r="W158" s="19" t="e">
        <f t="shared" si="28"/>
        <v>#N/A</v>
      </c>
      <c r="X158" t="e">
        <f>VLOOKUP(P158,Close[[ID]:[CreatedBy]],8,0)</f>
        <v>#N/A</v>
      </c>
    </row>
    <row r="159" spans="1:24" x14ac:dyDescent="0.35">
      <c r="A159" t="str">
        <v>912810QS0</v>
      </c>
      <c r="B159" t="str">
        <f>IF(NOT(ISBLANK(A159)),VLOOKUP(A159,'BBT3'!A:F,2,0),"")</f>
        <v>Bond</v>
      </c>
      <c r="C159" t="str">
        <f>IF(NOT(ISBLANK(A159)),VLOOKUP(A159,'BBT3'!A:F,3,0),"")</f>
        <v>US912810QS06</v>
      </c>
      <c r="D159" s="5">
        <f>IF(NOT(ISBLANK(A159)),VLOOKUP(A159,'BBT3'!A:F,4,1),"")</f>
        <v>3.75</v>
      </c>
      <c r="E159">
        <f>IF(NOT(ISBLANK(A159)),VLOOKUP(A159,'BBT3'!A:F,5,0),"")</f>
        <v>51728</v>
      </c>
      <c r="F159" t="str">
        <f>IF(NOT(ISBLANK(A159)),VLOOKUP(A159,'BBT3'!A:F,6,0),"")</f>
        <v>N</v>
      </c>
      <c r="G159" t="str">
        <f t="shared" si="29"/>
        <v>N</v>
      </c>
      <c r="H159">
        <f>IF(NOT(ISBLANK(A159)),VLOOKUP(A159,'Close - PriceSaver'!A:J,5,0),"")</f>
        <v>4.9896501226878602E-2</v>
      </c>
      <c r="I159" s="4" t="e" cm="1">
        <f t="array" ref="I159">IF(NOT(ISBLANK(A159)),((_xlfn.XLOOKUP(1,(_bbt3[[#All],[ID]]=A159)*(_bbt3[[#All],[METRIC_NAME]]="YLD_YTM_ASK"),_bbt3[[#All],[METRIC_VALUE]])*0.5)+(_xlfn.XLOOKUP(1,(_bbt3[[#All],[ID]]=A159)*(_bbt3[[#All],[METRIC_NAME]]="YLD_YTM_BID"),_bbt3[[#All],[METRIC_VALUE]])*0.5))/100,"")</f>
        <v>#N/A</v>
      </c>
      <c r="J159">
        <f>IF(ISNA(VLOOKUP(A159,'CloseDL - PriceSaverBBT3'!A:E,5,0)),0,VLOOKUP(A159,'CloseDL - PriceSaverBBT3'!A:E,5,0))</f>
        <v>4.9896501226878602E-2</v>
      </c>
      <c r="K159" s="7">
        <f t="shared" si="30"/>
        <v>0</v>
      </c>
      <c r="L159" s="20">
        <f>IF(Close[[#This Row],[CreatedBy]]="MARINER\SilverAdm",1,0)</f>
        <v>1</v>
      </c>
      <c r="M159" t="str">
        <f>IF(NOT(ISBLANK(A159)),VLOOKUP(A159,'Close - PriceSaver'!A:J,6,0),"")</f>
        <v>DL input prc = 86.97656250  PX_ASK = 87.03125000 PX_BID = 86.92187500</v>
      </c>
      <c r="Q159" t="e">
        <f t="shared" si="22"/>
        <v>#N/A</v>
      </c>
      <c r="R159" t="e">
        <f t="shared" si="23"/>
        <v>#N/A</v>
      </c>
      <c r="S159" t="e">
        <f t="shared" si="24"/>
        <v>#N/A</v>
      </c>
      <c r="T159" s="15" t="e">
        <f t="shared" si="25"/>
        <v>#N/A</v>
      </c>
      <c r="U159" s="18" t="e">
        <f t="shared" si="26"/>
        <v>#N/A</v>
      </c>
      <c r="V159" s="18" t="e">
        <f t="shared" si="27"/>
        <v>#N/A</v>
      </c>
      <c r="W159" s="19" t="e">
        <f t="shared" si="28"/>
        <v>#N/A</v>
      </c>
      <c r="X159" t="e">
        <f>VLOOKUP(P159,Close[[ID]:[CreatedBy]],8,0)</f>
        <v>#N/A</v>
      </c>
    </row>
    <row r="160" spans="1:24" x14ac:dyDescent="0.35">
      <c r="A160" t="str">
        <v>912810QT8</v>
      </c>
      <c r="B160" t="str">
        <f>IF(NOT(ISBLANK(A160)),VLOOKUP(A160,'BBT3'!A:F,2,0),"")</f>
        <v>Bond</v>
      </c>
      <c r="C160" t="str">
        <f>IF(NOT(ISBLANK(A160)),VLOOKUP(A160,'BBT3'!A:F,3,0),"")</f>
        <v>US912810QT88</v>
      </c>
      <c r="D160" s="5">
        <f>IF(NOT(ISBLANK(A160)),VLOOKUP(A160,'BBT3'!A:F,4,1),"")</f>
        <v>3.125</v>
      </c>
      <c r="E160">
        <f>IF(NOT(ISBLANK(A160)),VLOOKUP(A160,'BBT3'!A:F,5,0),"")</f>
        <v>51820</v>
      </c>
      <c r="F160" t="str">
        <f>IF(NOT(ISBLANK(A160)),VLOOKUP(A160,'BBT3'!A:F,6,0),"")</f>
        <v>N</v>
      </c>
      <c r="G160" t="str">
        <f t="shared" si="29"/>
        <v>N</v>
      </c>
      <c r="H160">
        <f>IF(NOT(ISBLANK(A160)),VLOOKUP(A160,'Close - PriceSaver'!A:J,5,0),"")</f>
        <v>5.02233574578939E-2</v>
      </c>
      <c r="I160" s="4" t="e" cm="1">
        <f t="array" ref="I160">IF(NOT(ISBLANK(A160)),((_xlfn.XLOOKUP(1,(_bbt3[[#All],[ID]]=A160)*(_bbt3[[#All],[METRIC_NAME]]="YLD_YTM_ASK"),_bbt3[[#All],[METRIC_VALUE]])*0.5)+(_xlfn.XLOOKUP(1,(_bbt3[[#All],[ID]]=A160)*(_bbt3[[#All],[METRIC_NAME]]="YLD_YTM_BID"),_bbt3[[#All],[METRIC_VALUE]])*0.5))/100,"")</f>
        <v>#N/A</v>
      </c>
      <c r="J160">
        <f>IF(ISNA(VLOOKUP(A160,'CloseDL - PriceSaverBBT3'!A:E,5,0)),0,VLOOKUP(A160,'CloseDL - PriceSaverBBT3'!A:E,5,0))</f>
        <v>5.02233574578939E-2</v>
      </c>
      <c r="K160" s="7">
        <f t="shared" si="30"/>
        <v>0</v>
      </c>
      <c r="L160" s="20">
        <f>IF(Close[[#This Row],[CreatedBy]]="MARINER\SilverAdm",1,0)</f>
        <v>1</v>
      </c>
      <c r="M160" t="str">
        <f>IF(NOT(ISBLANK(A160)),VLOOKUP(A160,'Close - PriceSaver'!A:J,6,0),"")</f>
        <v>DL input prc = 79.89062500  PX_ASK = 79.93750000 PX_BID = 79.84375000</v>
      </c>
      <c r="Q160" t="e">
        <f t="shared" si="22"/>
        <v>#N/A</v>
      </c>
      <c r="R160" t="e">
        <f t="shared" si="23"/>
        <v>#N/A</v>
      </c>
      <c r="S160" t="e">
        <f t="shared" si="24"/>
        <v>#N/A</v>
      </c>
      <c r="T160" s="15" t="e">
        <f t="shared" si="25"/>
        <v>#N/A</v>
      </c>
      <c r="U160" s="18" t="e">
        <f t="shared" si="26"/>
        <v>#N/A</v>
      </c>
      <c r="V160" s="18" t="e">
        <f t="shared" si="27"/>
        <v>#N/A</v>
      </c>
      <c r="W160" s="19" t="e">
        <f t="shared" si="28"/>
        <v>#N/A</v>
      </c>
      <c r="X160" t="e">
        <f>VLOOKUP(P160,Close[[ID]:[CreatedBy]],8,0)</f>
        <v>#N/A</v>
      </c>
    </row>
    <row r="161" spans="1:24" x14ac:dyDescent="0.35">
      <c r="A161" t="str">
        <v>912810QU5</v>
      </c>
      <c r="B161" t="str">
        <f>IF(NOT(ISBLANK(A161)),VLOOKUP(A161,'BBT3'!A:F,2,0),"")</f>
        <v>Bond</v>
      </c>
      <c r="C161" t="str">
        <f>IF(NOT(ISBLANK(A161)),VLOOKUP(A161,'BBT3'!A:F,3,0),"")</f>
        <v>US912810QU51</v>
      </c>
      <c r="D161" s="5">
        <f>IF(NOT(ISBLANK(A161)),VLOOKUP(A161,'BBT3'!A:F,4,1),"")</f>
        <v>3.125</v>
      </c>
      <c r="E161">
        <f>IF(NOT(ISBLANK(A161)),VLOOKUP(A161,'BBT3'!A:F,5,0),"")</f>
        <v>51912</v>
      </c>
      <c r="F161" t="str">
        <f>IF(NOT(ISBLANK(A161)),VLOOKUP(A161,'BBT3'!A:F,6,0),"")</f>
        <v>N</v>
      </c>
      <c r="G161" t="str">
        <f t="shared" si="29"/>
        <v>N</v>
      </c>
      <c r="H161">
        <f>IF(NOT(ISBLANK(A161)),VLOOKUP(A161,'Close - PriceSaver'!A:J,5,0),"")</f>
        <v>5.0410553126258799E-2</v>
      </c>
      <c r="I161" s="4" t="e" cm="1">
        <f t="array" ref="I161">IF(NOT(ISBLANK(A161)),((_xlfn.XLOOKUP(1,(_bbt3[[#All],[ID]]=A161)*(_bbt3[[#All],[METRIC_NAME]]="YLD_YTM_ASK"),_bbt3[[#All],[METRIC_VALUE]])*0.5)+(_xlfn.XLOOKUP(1,(_bbt3[[#All],[ID]]=A161)*(_bbt3[[#All],[METRIC_NAME]]="YLD_YTM_BID"),_bbt3[[#All],[METRIC_VALUE]])*0.5))/100,"")</f>
        <v>#N/A</v>
      </c>
      <c r="J161">
        <f>IF(ISNA(VLOOKUP(A161,'CloseDL - PriceSaverBBT3'!A:E,5,0)),0,VLOOKUP(A161,'CloseDL - PriceSaverBBT3'!A:E,5,0))</f>
        <v>5.0410553126258799E-2</v>
      </c>
      <c r="K161" s="7">
        <f t="shared" si="30"/>
        <v>0</v>
      </c>
      <c r="L161" s="20">
        <f>IF(Close[[#This Row],[CreatedBy]]="MARINER\SilverAdm",1,0)</f>
        <v>1</v>
      </c>
      <c r="M161" t="str">
        <f>IF(NOT(ISBLANK(A161)),VLOOKUP(A161,'Close - PriceSaver'!A:J,6,0),"")</f>
        <v>DL input prc = 79.50000000  PX_ASK = 79.54687500 PX_BID = 79.45312500</v>
      </c>
      <c r="Q161" t="e">
        <f t="shared" si="22"/>
        <v>#N/A</v>
      </c>
      <c r="R161" t="e">
        <f t="shared" si="23"/>
        <v>#N/A</v>
      </c>
      <c r="S161" t="e">
        <f t="shared" si="24"/>
        <v>#N/A</v>
      </c>
      <c r="T161" s="15" t="e">
        <f t="shared" si="25"/>
        <v>#N/A</v>
      </c>
      <c r="U161" s="18" t="e">
        <f t="shared" si="26"/>
        <v>#N/A</v>
      </c>
      <c r="V161" s="18" t="e">
        <f t="shared" si="27"/>
        <v>#N/A</v>
      </c>
      <c r="W161" s="19" t="e">
        <f t="shared" si="28"/>
        <v>#N/A</v>
      </c>
      <c r="X161" t="e">
        <f>VLOOKUP(P161,Close[[ID]:[CreatedBy]],8,0)</f>
        <v>#N/A</v>
      </c>
    </row>
    <row r="162" spans="1:24" x14ac:dyDescent="0.35">
      <c r="A162" t="str">
        <v>912810QV3</v>
      </c>
      <c r="B162" t="str">
        <f>IF(NOT(ISBLANK(A162)),VLOOKUP(A162,'BBT3'!A:F,2,0),"")</f>
        <v>Bond</v>
      </c>
      <c r="C162" t="str">
        <f>IF(NOT(ISBLANK(A162)),VLOOKUP(A162,'BBT3'!A:F,3,0),"")</f>
        <v>US912810QV35</v>
      </c>
      <c r="D162" s="5">
        <f>IF(NOT(ISBLANK(A162)),VLOOKUP(A162,'BBT3'!A:F,4,1),"")</f>
        <v>0.75</v>
      </c>
      <c r="E162">
        <f>IF(NOT(ISBLANK(A162)),VLOOKUP(A162,'BBT3'!A:F,5,0),"")</f>
        <v>51912</v>
      </c>
      <c r="F162" t="str">
        <f>IF(NOT(ISBLANK(A162)),VLOOKUP(A162,'BBT3'!A:F,6,0),"")</f>
        <v>Y</v>
      </c>
      <c r="G162" t="str">
        <f t="shared" si="29"/>
        <v>N</v>
      </c>
      <c r="H162">
        <f>IF(NOT(ISBLANK(A162)),VLOOKUP(A162,'Close - PriceSaver'!A:J,5,0),"")</f>
        <v>2.7707161498464201E-2</v>
      </c>
      <c r="I162" s="4" t="e" cm="1">
        <f t="array" ref="I162">IF(NOT(ISBLANK(A162)),((_xlfn.XLOOKUP(1,(_bbt3[[#All],[ID]]=A162)*(_bbt3[[#All],[METRIC_NAME]]="YLD_YTM_ASK"),_bbt3[[#All],[METRIC_VALUE]])*0.5)+(_xlfn.XLOOKUP(1,(_bbt3[[#All],[ID]]=A162)*(_bbt3[[#All],[METRIC_NAME]]="YLD_YTM_BID"),_bbt3[[#All],[METRIC_VALUE]])*0.5))/100,"")</f>
        <v>#N/A</v>
      </c>
      <c r="J162">
        <f>IF(ISNA(VLOOKUP(A162,'CloseDL - PriceSaverBBT3'!A:E,5,0)),0,VLOOKUP(A162,'CloseDL - PriceSaverBBT3'!A:E,5,0))</f>
        <v>2.7707161498464201E-2</v>
      </c>
      <c r="K162" s="7">
        <f t="shared" si="30"/>
        <v>0</v>
      </c>
      <c r="L162" s="20">
        <f>IF(Close[[#This Row],[CreatedBy]]="MARINER\SilverAdm",1,0)</f>
        <v>1</v>
      </c>
      <c r="M162" t="str">
        <f>IF(NOT(ISBLANK(A162)),VLOOKUP(A162,'Close - PriceSaver'!A:J,6,0),"")</f>
        <v>DL input prc = 74.58984375  PX_ASK = 74.64843750 PX_BID = 74.53125000</v>
      </c>
      <c r="Q162" t="e">
        <f t="shared" si="22"/>
        <v>#N/A</v>
      </c>
      <c r="R162" t="e">
        <f t="shared" si="23"/>
        <v>#N/A</v>
      </c>
      <c r="S162" t="e">
        <f t="shared" si="24"/>
        <v>#N/A</v>
      </c>
      <c r="T162" s="15" t="e">
        <f t="shared" si="25"/>
        <v>#N/A</v>
      </c>
      <c r="U162" s="18" t="e">
        <f t="shared" si="26"/>
        <v>#N/A</v>
      </c>
      <c r="V162" s="18" t="e">
        <f t="shared" si="27"/>
        <v>#N/A</v>
      </c>
      <c r="W162" s="19" t="e">
        <f t="shared" si="28"/>
        <v>#N/A</v>
      </c>
      <c r="X162" t="e">
        <f>VLOOKUP(P162,Close[[ID]:[CreatedBy]],8,0)</f>
        <v>#N/A</v>
      </c>
    </row>
    <row r="163" spans="1:24" x14ac:dyDescent="0.35">
      <c r="A163" t="str">
        <v>912810QW1</v>
      </c>
      <c r="B163" t="str">
        <f>IF(NOT(ISBLANK(A163)),VLOOKUP(A163,'BBT3'!A:F,2,0),"")</f>
        <v>Bond</v>
      </c>
      <c r="C163" t="str">
        <f>IF(NOT(ISBLANK(A163)),VLOOKUP(A163,'BBT3'!A:F,3,0),"")</f>
        <v>US912810QW18</v>
      </c>
      <c r="D163" s="5">
        <f>IF(NOT(ISBLANK(A163)),VLOOKUP(A163,'BBT3'!A:F,4,1),"")</f>
        <v>3</v>
      </c>
      <c r="E163">
        <f>IF(NOT(ISBLANK(A163)),VLOOKUP(A163,'BBT3'!A:F,5,0),"")</f>
        <v>52001</v>
      </c>
      <c r="F163" t="str">
        <f>IF(NOT(ISBLANK(A163)),VLOOKUP(A163,'BBT3'!A:F,6,0),"")</f>
        <v>N</v>
      </c>
      <c r="G163" t="str">
        <f t="shared" si="29"/>
        <v>N</v>
      </c>
      <c r="H163">
        <f>IF(NOT(ISBLANK(A163)),VLOOKUP(A163,'Close - PriceSaver'!A:J,5,0),"")</f>
        <v>5.0597416983127197E-2</v>
      </c>
      <c r="I163" s="4" t="e" cm="1">
        <f t="array" ref="I163">IF(NOT(ISBLANK(A163)),((_xlfn.XLOOKUP(1,(_bbt3[[#All],[ID]]=A163)*(_bbt3[[#All],[METRIC_NAME]]="YLD_YTM_ASK"),_bbt3[[#All],[METRIC_VALUE]])*0.5)+(_xlfn.XLOOKUP(1,(_bbt3[[#All],[ID]]=A163)*(_bbt3[[#All],[METRIC_NAME]]="YLD_YTM_BID"),_bbt3[[#All],[METRIC_VALUE]])*0.5))/100,"")</f>
        <v>#N/A</v>
      </c>
      <c r="J163">
        <f>IF(ISNA(VLOOKUP(A163,'CloseDL - PriceSaverBBT3'!A:E,5,0)),0,VLOOKUP(A163,'CloseDL - PriceSaverBBT3'!A:E,5,0))</f>
        <v>5.0597416983127197E-2</v>
      </c>
      <c r="K163" s="7">
        <f t="shared" si="30"/>
        <v>0</v>
      </c>
      <c r="L163" s="20">
        <f>IF(Close[[#This Row],[CreatedBy]]="MARINER\SilverAdm",1,0)</f>
        <v>1</v>
      </c>
      <c r="M163" t="str">
        <f>IF(NOT(ISBLANK(A163)),VLOOKUP(A163,'Close - PriceSaver'!A:J,6,0),"")</f>
        <v>DL input prc = 77.75781250  PX_ASK = 77.81250000 PX_BID = 77.70312500</v>
      </c>
      <c r="Q163" t="e">
        <f t="shared" si="22"/>
        <v>#N/A</v>
      </c>
      <c r="R163" t="e">
        <f t="shared" si="23"/>
        <v>#N/A</v>
      </c>
      <c r="S163" t="e">
        <f t="shared" si="24"/>
        <v>#N/A</v>
      </c>
      <c r="T163" s="15" t="e">
        <f t="shared" si="25"/>
        <v>#N/A</v>
      </c>
      <c r="U163" s="18" t="e">
        <f t="shared" si="26"/>
        <v>#N/A</v>
      </c>
      <c r="V163" s="18" t="e">
        <f t="shared" si="27"/>
        <v>#N/A</v>
      </c>
      <c r="W163" s="19" t="e">
        <f t="shared" si="28"/>
        <v>#N/A</v>
      </c>
      <c r="X163" t="e">
        <f>VLOOKUP(P163,Close[[ID]:[CreatedBy]],8,0)</f>
        <v>#N/A</v>
      </c>
    </row>
    <row r="164" spans="1:24" x14ac:dyDescent="0.35">
      <c r="A164" t="str">
        <v>912810QX9</v>
      </c>
      <c r="B164" t="str">
        <f>IF(NOT(ISBLANK(A164)),VLOOKUP(A164,'BBT3'!A:F,2,0),"")</f>
        <v>Bond</v>
      </c>
      <c r="C164" t="str">
        <f>IF(NOT(ISBLANK(A164)),VLOOKUP(A164,'BBT3'!A:F,3,0),"")</f>
        <v>US912810QX90</v>
      </c>
      <c r="D164" s="5">
        <f>IF(NOT(ISBLANK(A164)),VLOOKUP(A164,'BBT3'!A:F,4,1),"")</f>
        <v>2.75</v>
      </c>
      <c r="E164">
        <f>IF(NOT(ISBLANK(A164)),VLOOKUP(A164,'BBT3'!A:F,5,0),"")</f>
        <v>52093</v>
      </c>
      <c r="F164" t="str">
        <f>IF(NOT(ISBLANK(A164)),VLOOKUP(A164,'BBT3'!A:F,6,0),"")</f>
        <v>N</v>
      </c>
      <c r="G164" t="str">
        <f t="shared" si="29"/>
        <v>N</v>
      </c>
      <c r="H164">
        <f>IF(NOT(ISBLANK(A164)),VLOOKUP(A164,'Close - PriceSaver'!A:J,5,0),"")</f>
        <v>5.0826727997308203E-2</v>
      </c>
      <c r="I164" s="4" t="e" cm="1">
        <f t="array" ref="I164">IF(NOT(ISBLANK(A164)),((_xlfn.XLOOKUP(1,(_bbt3[[#All],[ID]]=A164)*(_bbt3[[#All],[METRIC_NAME]]="YLD_YTM_ASK"),_bbt3[[#All],[METRIC_VALUE]])*0.5)+(_xlfn.XLOOKUP(1,(_bbt3[[#All],[ID]]=A164)*(_bbt3[[#All],[METRIC_NAME]]="YLD_YTM_BID"),_bbt3[[#All],[METRIC_VALUE]])*0.5))/100,"")</f>
        <v>#N/A</v>
      </c>
      <c r="J164">
        <f>IF(ISNA(VLOOKUP(A164,'CloseDL - PriceSaverBBT3'!A:E,5,0)),0,VLOOKUP(A164,'CloseDL - PriceSaverBBT3'!A:E,5,0))</f>
        <v>5.0826727997308203E-2</v>
      </c>
      <c r="K164" s="7">
        <f t="shared" si="30"/>
        <v>0</v>
      </c>
      <c r="L164" s="20">
        <f>IF(Close[[#This Row],[CreatedBy]]="MARINER\SilverAdm",1,0)</f>
        <v>1</v>
      </c>
      <c r="M164" t="str">
        <f>IF(NOT(ISBLANK(A164)),VLOOKUP(A164,'Close - PriceSaver'!A:J,6,0),"")</f>
        <v>DL input prc = 74.59375000  PX_ASK = 74.64062500 PX_BID = 74.54687500</v>
      </c>
      <c r="Q164" t="e">
        <f t="shared" si="22"/>
        <v>#N/A</v>
      </c>
      <c r="R164" t="e">
        <f t="shared" si="23"/>
        <v>#N/A</v>
      </c>
      <c r="S164" t="e">
        <f t="shared" si="24"/>
        <v>#N/A</v>
      </c>
      <c r="T164" s="15" t="e">
        <f t="shared" si="25"/>
        <v>#N/A</v>
      </c>
      <c r="U164" s="18" t="e">
        <f t="shared" si="26"/>
        <v>#N/A</v>
      </c>
      <c r="V164" s="18" t="e">
        <f t="shared" si="27"/>
        <v>#N/A</v>
      </c>
      <c r="W164" s="19" t="e">
        <f t="shared" si="28"/>
        <v>#N/A</v>
      </c>
      <c r="X164" t="e">
        <f>VLOOKUP(P164,Close[[ID]:[CreatedBy]],8,0)</f>
        <v>#N/A</v>
      </c>
    </row>
    <row r="165" spans="1:24" x14ac:dyDescent="0.35">
      <c r="A165" t="str">
        <v>912810QY7</v>
      </c>
      <c r="B165" t="str">
        <f>IF(NOT(ISBLANK(A165)),VLOOKUP(A165,'BBT3'!A:F,2,0),"")</f>
        <v>Bond</v>
      </c>
      <c r="C165" t="str">
        <f>IF(NOT(ISBLANK(A165)),VLOOKUP(A165,'BBT3'!A:F,3,0),"")</f>
        <v>US912810QY73</v>
      </c>
      <c r="D165" s="5">
        <f>IF(NOT(ISBLANK(A165)),VLOOKUP(A165,'BBT3'!A:F,4,1),"")</f>
        <v>2.75</v>
      </c>
      <c r="E165">
        <f>IF(NOT(ISBLANK(A165)),VLOOKUP(A165,'BBT3'!A:F,5,0),"")</f>
        <v>52185</v>
      </c>
      <c r="F165" t="str">
        <f>IF(NOT(ISBLANK(A165)),VLOOKUP(A165,'BBT3'!A:F,6,0),"")</f>
        <v>N</v>
      </c>
      <c r="G165" t="str">
        <f t="shared" si="29"/>
        <v>N</v>
      </c>
      <c r="H165">
        <f>IF(NOT(ISBLANK(A165)),VLOOKUP(A165,'Close - PriceSaver'!A:J,5,0),"")</f>
        <v>5.0990273155420998E-2</v>
      </c>
      <c r="I165" s="4" t="e" cm="1">
        <f t="array" ref="I165">IF(NOT(ISBLANK(A165)),((_xlfn.XLOOKUP(1,(_bbt3[[#All],[ID]]=A165)*(_bbt3[[#All],[METRIC_NAME]]="YLD_YTM_ASK"),_bbt3[[#All],[METRIC_VALUE]])*0.5)+(_xlfn.XLOOKUP(1,(_bbt3[[#All],[ID]]=A165)*(_bbt3[[#All],[METRIC_NAME]]="YLD_YTM_BID"),_bbt3[[#All],[METRIC_VALUE]])*0.5))/100,"")</f>
        <v>#N/A</v>
      </c>
      <c r="J165">
        <f>IF(ISNA(VLOOKUP(A165,'CloseDL - PriceSaverBBT3'!A:E,5,0)),0,VLOOKUP(A165,'CloseDL - PriceSaverBBT3'!A:E,5,0))</f>
        <v>5.0990273155420998E-2</v>
      </c>
      <c r="K165" s="7">
        <f t="shared" si="30"/>
        <v>0</v>
      </c>
      <c r="L165" s="20">
        <f>IF(Close[[#This Row],[CreatedBy]]="MARINER\SilverAdm",1,0)</f>
        <v>1</v>
      </c>
      <c r="M165" t="str">
        <f>IF(NOT(ISBLANK(A165)),VLOOKUP(A165,'Close - PriceSaver'!A:J,6,0),"")</f>
        <v>DL input prc = 74.18750000  PX_ASK = 74.23437500 PX_BID = 74.14062500</v>
      </c>
      <c r="Q165" t="e">
        <f t="shared" si="22"/>
        <v>#N/A</v>
      </c>
      <c r="R165" t="e">
        <f t="shared" si="23"/>
        <v>#N/A</v>
      </c>
      <c r="S165" t="e">
        <f t="shared" si="24"/>
        <v>#N/A</v>
      </c>
      <c r="T165" s="15" t="e">
        <f t="shared" si="25"/>
        <v>#N/A</v>
      </c>
      <c r="U165" s="18" t="e">
        <f t="shared" si="26"/>
        <v>#N/A</v>
      </c>
      <c r="V165" s="18" t="e">
        <f t="shared" si="27"/>
        <v>#N/A</v>
      </c>
      <c r="W165" s="19" t="e">
        <f t="shared" si="28"/>
        <v>#N/A</v>
      </c>
      <c r="X165" t="e">
        <f>VLOOKUP(P165,Close[[ID]:[CreatedBy]],8,0)</f>
        <v>#N/A</v>
      </c>
    </row>
    <row r="166" spans="1:24" x14ac:dyDescent="0.35">
      <c r="A166" t="str">
        <v>912810QZ4</v>
      </c>
      <c r="B166" t="str">
        <f>IF(NOT(ISBLANK(A166)),VLOOKUP(A166,'BBT3'!A:F,2,0),"")</f>
        <v>Bond</v>
      </c>
      <c r="C166" t="str">
        <f>IF(NOT(ISBLANK(A166)),VLOOKUP(A166,'BBT3'!A:F,3,0),"")</f>
        <v>US912810QZ49</v>
      </c>
      <c r="D166" s="5">
        <f>IF(NOT(ISBLANK(A166)),VLOOKUP(A166,'BBT3'!A:F,4,1),"")</f>
        <v>3.125</v>
      </c>
      <c r="E166">
        <f>IF(NOT(ISBLANK(A166)),VLOOKUP(A166,'BBT3'!A:F,5,0),"")</f>
        <v>52277</v>
      </c>
      <c r="F166" t="str">
        <f>IF(NOT(ISBLANK(A166)),VLOOKUP(A166,'BBT3'!A:F,6,0),"")</f>
        <v>N</v>
      </c>
      <c r="G166" t="str">
        <f t="shared" si="29"/>
        <v>N</v>
      </c>
      <c r="H166">
        <f>IF(NOT(ISBLANK(A166)),VLOOKUP(A166,'Close - PriceSaver'!A:J,5,0),"")</f>
        <v>5.1049558330549201E-2</v>
      </c>
      <c r="I166" s="4" t="e" cm="1">
        <f t="array" ref="I166">IF(NOT(ISBLANK(A166)),((_xlfn.XLOOKUP(1,(_bbt3[[#All],[ID]]=A166)*(_bbt3[[#All],[METRIC_NAME]]="YLD_YTM_ASK"),_bbt3[[#All],[METRIC_VALUE]])*0.5)+(_xlfn.XLOOKUP(1,(_bbt3[[#All],[ID]]=A166)*(_bbt3[[#All],[METRIC_NAME]]="YLD_YTM_BID"),_bbt3[[#All],[METRIC_VALUE]])*0.5))/100,"")</f>
        <v>#N/A</v>
      </c>
      <c r="J166">
        <f>IF(ISNA(VLOOKUP(A166,'CloseDL - PriceSaverBBT3'!A:E,5,0)),0,VLOOKUP(A166,'CloseDL - PriceSaverBBT3'!A:E,5,0))</f>
        <v>5.1049558330549201E-2</v>
      </c>
      <c r="K166" s="7">
        <f t="shared" si="30"/>
        <v>0</v>
      </c>
      <c r="L166" s="20">
        <f>IF(Close[[#This Row],[CreatedBy]]="MARINER\SilverAdm",1,0)</f>
        <v>1</v>
      </c>
      <c r="M166" t="str">
        <f>IF(NOT(ISBLANK(A166)),VLOOKUP(A166,'Close - PriceSaver'!A:J,6,0),"")</f>
        <v>DL input prc = 78.03906250  PX_ASK = 78.09375000 PX_BID = 77.98437500</v>
      </c>
      <c r="Q166" t="e">
        <f t="shared" si="22"/>
        <v>#N/A</v>
      </c>
      <c r="R166" t="e">
        <f t="shared" si="23"/>
        <v>#N/A</v>
      </c>
      <c r="S166" t="e">
        <f t="shared" si="24"/>
        <v>#N/A</v>
      </c>
      <c r="T166" s="15" t="e">
        <f t="shared" si="25"/>
        <v>#N/A</v>
      </c>
      <c r="U166" s="18" t="e">
        <f t="shared" si="26"/>
        <v>#N/A</v>
      </c>
      <c r="V166" s="18" t="e">
        <f t="shared" si="27"/>
        <v>#N/A</v>
      </c>
      <c r="W166" s="19" t="e">
        <f t="shared" si="28"/>
        <v>#N/A</v>
      </c>
      <c r="X166" t="e">
        <f>VLOOKUP(P166,Close[[ID]:[CreatedBy]],8,0)</f>
        <v>#N/A</v>
      </c>
    </row>
    <row r="167" spans="1:24" x14ac:dyDescent="0.35">
      <c r="A167" t="str">
        <v>912810RA8</v>
      </c>
      <c r="B167" t="str">
        <f>IF(NOT(ISBLANK(A167)),VLOOKUP(A167,'BBT3'!A:F,2,0),"")</f>
        <v>Bond</v>
      </c>
      <c r="C167" t="str">
        <f>IF(NOT(ISBLANK(A167)),VLOOKUP(A167,'BBT3'!A:F,3,0),"")</f>
        <v>US912810RA88</v>
      </c>
      <c r="D167" s="5">
        <f>IF(NOT(ISBLANK(A167)),VLOOKUP(A167,'BBT3'!A:F,4,1),"")</f>
        <v>0.625</v>
      </c>
      <c r="E167">
        <f>IF(NOT(ISBLANK(A167)),VLOOKUP(A167,'BBT3'!A:F,5,0),"")</f>
        <v>52277</v>
      </c>
      <c r="F167" t="str">
        <f>IF(NOT(ISBLANK(A167)),VLOOKUP(A167,'BBT3'!A:F,6,0),"")</f>
        <v>Y</v>
      </c>
      <c r="G167" t="str">
        <f t="shared" si="29"/>
        <v>N</v>
      </c>
      <c r="H167">
        <f>IF(NOT(ISBLANK(A167)),VLOOKUP(A167,'Close - PriceSaver'!A:J,5,0),"")</f>
        <v>2.8217031624773601E-2</v>
      </c>
      <c r="I167" s="4" t="e" cm="1">
        <f t="array" ref="I167">IF(NOT(ISBLANK(A167)),((_xlfn.XLOOKUP(1,(_bbt3[[#All],[ID]]=A167)*(_bbt3[[#All],[METRIC_NAME]]="YLD_YTM_ASK"),_bbt3[[#All],[METRIC_VALUE]])*0.5)+(_xlfn.XLOOKUP(1,(_bbt3[[#All],[ID]]=A167)*(_bbt3[[#All],[METRIC_NAME]]="YLD_YTM_BID"),_bbt3[[#All],[METRIC_VALUE]])*0.5))/100,"")</f>
        <v>#N/A</v>
      </c>
      <c r="J167">
        <f>IF(ISNA(VLOOKUP(A167,'CloseDL - PriceSaverBBT3'!A:E,5,0)),0,VLOOKUP(A167,'CloseDL - PriceSaverBBT3'!A:E,5,0))</f>
        <v>2.8217031624773601E-2</v>
      </c>
      <c r="K167" s="7">
        <f t="shared" si="30"/>
        <v>0</v>
      </c>
      <c r="L167" s="20">
        <f>IF(Close[[#This Row],[CreatedBy]]="MARINER\SilverAdm",1,0)</f>
        <v>1</v>
      </c>
      <c r="M167" t="str">
        <f>IF(NOT(ISBLANK(A167)),VLOOKUP(A167,'Close - PriceSaver'!A:J,6,0),"")</f>
        <v>DL input prc = 71.08984375  PX_ASK = 71.14843750 PX_BID = 71.03125000</v>
      </c>
      <c r="Q167" t="e">
        <f t="shared" si="22"/>
        <v>#N/A</v>
      </c>
      <c r="R167" t="e">
        <f t="shared" si="23"/>
        <v>#N/A</v>
      </c>
      <c r="S167" t="e">
        <f t="shared" si="24"/>
        <v>#N/A</v>
      </c>
      <c r="T167" s="15" t="e">
        <f t="shared" si="25"/>
        <v>#N/A</v>
      </c>
      <c r="U167" s="18" t="e">
        <f t="shared" si="26"/>
        <v>#N/A</v>
      </c>
      <c r="V167" s="18" t="e">
        <f t="shared" si="27"/>
        <v>#N/A</v>
      </c>
      <c r="W167" s="19" t="e">
        <f t="shared" si="28"/>
        <v>#N/A</v>
      </c>
      <c r="X167" t="e">
        <f>VLOOKUP(P167,Close[[ID]:[CreatedBy]],8,0)</f>
        <v>#N/A</v>
      </c>
    </row>
    <row r="168" spans="1:24" x14ac:dyDescent="0.35">
      <c r="A168" t="str">
        <v>912810RB6</v>
      </c>
      <c r="B168" t="str">
        <f>IF(NOT(ISBLANK(A168)),VLOOKUP(A168,'BBT3'!A:F,2,0),"")</f>
        <v>Bond</v>
      </c>
      <c r="C168" t="str">
        <f>IF(NOT(ISBLANK(A168)),VLOOKUP(A168,'BBT3'!A:F,3,0),"")</f>
        <v>US912810RB61</v>
      </c>
      <c r="D168" s="5">
        <f>IF(NOT(ISBLANK(A168)),VLOOKUP(A168,'BBT3'!A:F,4,1),"")</f>
        <v>2.875</v>
      </c>
      <c r="E168">
        <f>IF(NOT(ISBLANK(A168)),VLOOKUP(A168,'BBT3'!A:F,5,0),"")</f>
        <v>52366</v>
      </c>
      <c r="F168" t="str">
        <f>IF(NOT(ISBLANK(A168)),VLOOKUP(A168,'BBT3'!A:F,6,0),"")</f>
        <v>N</v>
      </c>
      <c r="G168" t="str">
        <f t="shared" si="29"/>
        <v>N</v>
      </c>
      <c r="H168">
        <f>IF(NOT(ISBLANK(A168)),VLOOKUP(A168,'Close - PriceSaver'!A:J,5,0),"")</f>
        <v>5.1196462463852198E-2</v>
      </c>
      <c r="I168" s="4" t="e" cm="1">
        <f t="array" ref="I168">IF(NOT(ISBLANK(A168)),((_xlfn.XLOOKUP(1,(_bbt3[[#All],[ID]]=A168)*(_bbt3[[#All],[METRIC_NAME]]="YLD_YTM_ASK"),_bbt3[[#All],[METRIC_VALUE]])*0.5)+(_xlfn.XLOOKUP(1,(_bbt3[[#All],[ID]]=A168)*(_bbt3[[#All],[METRIC_NAME]]="YLD_YTM_BID"),_bbt3[[#All],[METRIC_VALUE]])*0.5))/100,"")</f>
        <v>#N/A</v>
      </c>
      <c r="J168">
        <f>IF(ISNA(VLOOKUP(A168,'CloseDL - PriceSaverBBT3'!A:E,5,0)),0,VLOOKUP(A168,'CloseDL - PriceSaverBBT3'!A:E,5,0))</f>
        <v>5.1196462463852198E-2</v>
      </c>
      <c r="K168" s="7">
        <f t="shared" si="30"/>
        <v>0</v>
      </c>
      <c r="L168" s="20">
        <f>IF(Close[[#This Row],[CreatedBy]]="MARINER\SilverAdm",1,0)</f>
        <v>1</v>
      </c>
      <c r="M168" t="str">
        <f>IF(NOT(ISBLANK(A168)),VLOOKUP(A168,'Close - PriceSaver'!A:J,6,0),"")</f>
        <v>DL input prc = 74.89062500  PX_ASK = 74.93750000 PX_BID = 74.84375000</v>
      </c>
      <c r="Q168" t="e">
        <f t="shared" si="22"/>
        <v>#N/A</v>
      </c>
      <c r="R168" t="e">
        <f t="shared" si="23"/>
        <v>#N/A</v>
      </c>
      <c r="S168" t="e">
        <f t="shared" si="24"/>
        <v>#N/A</v>
      </c>
      <c r="T168" s="15" t="e">
        <f t="shared" si="25"/>
        <v>#N/A</v>
      </c>
      <c r="U168" s="18" t="e">
        <f t="shared" si="26"/>
        <v>#N/A</v>
      </c>
      <c r="V168" s="18" t="e">
        <f t="shared" si="27"/>
        <v>#N/A</v>
      </c>
      <c r="W168" s="19" t="e">
        <f t="shared" si="28"/>
        <v>#N/A</v>
      </c>
      <c r="X168" t="e">
        <f>VLOOKUP(P168,Close[[ID]:[CreatedBy]],8,0)</f>
        <v>#N/A</v>
      </c>
    </row>
    <row r="169" spans="1:24" x14ac:dyDescent="0.35">
      <c r="A169" t="str">
        <v>912810RC4</v>
      </c>
      <c r="B169" t="str">
        <f>IF(NOT(ISBLANK(A169)),VLOOKUP(A169,'BBT3'!A:F,2,0),"")</f>
        <v>Bond</v>
      </c>
      <c r="C169" t="str">
        <f>IF(NOT(ISBLANK(A169)),VLOOKUP(A169,'BBT3'!A:F,3,0),"")</f>
        <v>US912810RC45</v>
      </c>
      <c r="D169" s="5">
        <f>IF(NOT(ISBLANK(A169)),VLOOKUP(A169,'BBT3'!A:F,4,1),"")</f>
        <v>3.625</v>
      </c>
      <c r="E169">
        <f>IF(NOT(ISBLANK(A169)),VLOOKUP(A169,'BBT3'!A:F,5,0),"")</f>
        <v>52458</v>
      </c>
      <c r="F169" t="str">
        <f>IF(NOT(ISBLANK(A169)),VLOOKUP(A169,'BBT3'!A:F,6,0),"")</f>
        <v>N</v>
      </c>
      <c r="G169" t="str">
        <f t="shared" si="29"/>
        <v>N</v>
      </c>
      <c r="H169">
        <f>IF(NOT(ISBLANK(A169)),VLOOKUP(A169,'Close - PriceSaver'!A:J,5,0),"")</f>
        <v>5.1155773151444102E-2</v>
      </c>
      <c r="I169" s="4" t="e" cm="1">
        <f t="array" ref="I169">IF(NOT(ISBLANK(A169)),((_xlfn.XLOOKUP(1,(_bbt3[[#All],[ID]]=A169)*(_bbt3[[#All],[METRIC_NAME]]="YLD_YTM_ASK"),_bbt3[[#All],[METRIC_VALUE]])*0.5)+(_xlfn.XLOOKUP(1,(_bbt3[[#All],[ID]]=A169)*(_bbt3[[#All],[METRIC_NAME]]="YLD_YTM_BID"),_bbt3[[#All],[METRIC_VALUE]])*0.5))/100,"")</f>
        <v>#N/A</v>
      </c>
      <c r="J169">
        <f>IF(ISNA(VLOOKUP(A169,'CloseDL - PriceSaverBBT3'!A:E,5,0)),0,VLOOKUP(A169,'CloseDL - PriceSaverBBT3'!A:E,5,0))</f>
        <v>5.1155773151444102E-2</v>
      </c>
      <c r="K169" s="7">
        <f t="shared" si="30"/>
        <v>0</v>
      </c>
      <c r="L169" s="20">
        <f>IF(Close[[#This Row],[CreatedBy]]="MARINER\SilverAdm",1,0)</f>
        <v>1</v>
      </c>
      <c r="M169" t="str">
        <f>IF(NOT(ISBLANK(A169)),VLOOKUP(A169,'Close - PriceSaver'!A:J,6,0),"")</f>
        <v>DL input prc = 83.16406250  PX_ASK = 83.20312500 PX_BID = 83.12500000</v>
      </c>
      <c r="Q169" t="e">
        <f t="shared" si="22"/>
        <v>#N/A</v>
      </c>
      <c r="R169" t="e">
        <f t="shared" si="23"/>
        <v>#N/A</v>
      </c>
      <c r="S169" t="e">
        <f t="shared" si="24"/>
        <v>#N/A</v>
      </c>
      <c r="T169" s="15" t="e">
        <f t="shared" si="25"/>
        <v>#N/A</v>
      </c>
      <c r="U169" s="18" t="e">
        <f t="shared" si="26"/>
        <v>#N/A</v>
      </c>
      <c r="V169" s="18" t="e">
        <f t="shared" si="27"/>
        <v>#N/A</v>
      </c>
      <c r="W169" s="19" t="e">
        <f t="shared" si="28"/>
        <v>#N/A</v>
      </c>
      <c r="X169" t="e">
        <f>VLOOKUP(P169,Close[[ID]:[CreatedBy]],8,0)</f>
        <v>#N/A</v>
      </c>
    </row>
    <row r="170" spans="1:24" x14ac:dyDescent="0.35">
      <c r="A170" t="str">
        <v>912810RD2</v>
      </c>
      <c r="B170" t="str">
        <f>IF(NOT(ISBLANK(A170)),VLOOKUP(A170,'BBT3'!A:F,2,0),"")</f>
        <v>Bond</v>
      </c>
      <c r="C170" t="str">
        <f>IF(NOT(ISBLANK(A170)),VLOOKUP(A170,'BBT3'!A:F,3,0),"")</f>
        <v>US912810RD28</v>
      </c>
      <c r="D170" s="5">
        <f>IF(NOT(ISBLANK(A170)),VLOOKUP(A170,'BBT3'!A:F,4,1),"")</f>
        <v>3.75</v>
      </c>
      <c r="E170">
        <f>IF(NOT(ISBLANK(A170)),VLOOKUP(A170,'BBT3'!A:F,5,0),"")</f>
        <v>52550</v>
      </c>
      <c r="F170" t="str">
        <f>IF(NOT(ISBLANK(A170)),VLOOKUP(A170,'BBT3'!A:F,6,0),"")</f>
        <v>N</v>
      </c>
      <c r="G170" t="str">
        <f t="shared" si="29"/>
        <v>N</v>
      </c>
      <c r="H170">
        <f>IF(NOT(ISBLANK(A170)),VLOOKUP(A170,'Close - PriceSaver'!A:J,5,0),"")</f>
        <v>5.1234397765237798E-2</v>
      </c>
      <c r="I170" s="4" t="e" cm="1">
        <f t="array" ref="I170">IF(NOT(ISBLANK(A170)),((_xlfn.XLOOKUP(1,(_bbt3[[#All],[ID]]=A170)*(_bbt3[[#All],[METRIC_NAME]]="YLD_YTM_ASK"),_bbt3[[#All],[METRIC_VALUE]])*0.5)+(_xlfn.XLOOKUP(1,(_bbt3[[#All],[ID]]=A170)*(_bbt3[[#All],[METRIC_NAME]]="YLD_YTM_BID"),_bbt3[[#All],[METRIC_VALUE]])*0.5))/100,"")</f>
        <v>#N/A</v>
      </c>
      <c r="J170">
        <f>IF(ISNA(VLOOKUP(A170,'CloseDL - PriceSaverBBT3'!A:E,5,0)),0,VLOOKUP(A170,'CloseDL - PriceSaverBBT3'!A:E,5,0))</f>
        <v>5.1234397765237798E-2</v>
      </c>
      <c r="K170" s="7">
        <f t="shared" si="30"/>
        <v>0</v>
      </c>
      <c r="L170" s="20">
        <f>IF(Close[[#This Row],[CreatedBy]]="MARINER\SilverAdm",1,0)</f>
        <v>1</v>
      </c>
      <c r="M170" t="str">
        <f>IF(NOT(ISBLANK(A170)),VLOOKUP(A170,'Close - PriceSaver'!A:J,6,0),"")</f>
        <v>DL input prc = 84.35156250  PX_ASK = 84.37500000 PX_BID = 84.32812500</v>
      </c>
      <c r="Q170" t="e">
        <f t="shared" si="22"/>
        <v>#N/A</v>
      </c>
      <c r="R170" t="e">
        <f t="shared" si="23"/>
        <v>#N/A</v>
      </c>
      <c r="S170" t="e">
        <f t="shared" si="24"/>
        <v>#N/A</v>
      </c>
      <c r="T170" s="15" t="e">
        <f t="shared" si="25"/>
        <v>#N/A</v>
      </c>
      <c r="U170" s="18" t="e">
        <f t="shared" si="26"/>
        <v>#N/A</v>
      </c>
      <c r="V170" s="18" t="e">
        <f t="shared" si="27"/>
        <v>#N/A</v>
      </c>
      <c r="W170" s="19" t="e">
        <f t="shared" si="28"/>
        <v>#N/A</v>
      </c>
      <c r="X170" t="e">
        <f>VLOOKUP(P170,Close[[ID]:[CreatedBy]],8,0)</f>
        <v>#N/A</v>
      </c>
    </row>
    <row r="171" spans="1:24" x14ac:dyDescent="0.35">
      <c r="A171" t="str">
        <v>912810RE0</v>
      </c>
      <c r="B171" t="str">
        <f>IF(NOT(ISBLANK(A171)),VLOOKUP(A171,'BBT3'!A:F,2,0),"")</f>
        <v>Bond</v>
      </c>
      <c r="C171" t="str">
        <f>IF(NOT(ISBLANK(A171)),VLOOKUP(A171,'BBT3'!A:F,3,0),"")</f>
        <v>US912810RE01</v>
      </c>
      <c r="D171" s="5">
        <f>IF(NOT(ISBLANK(A171)),VLOOKUP(A171,'BBT3'!A:F,4,1),"")</f>
        <v>3.625</v>
      </c>
      <c r="E171">
        <f>IF(NOT(ISBLANK(A171)),VLOOKUP(A171,'BBT3'!A:F,5,0),"")</f>
        <v>52642</v>
      </c>
      <c r="F171" t="str">
        <f>IF(NOT(ISBLANK(A171)),VLOOKUP(A171,'BBT3'!A:F,6,0),"")</f>
        <v>N</v>
      </c>
      <c r="G171" t="str">
        <f t="shared" si="29"/>
        <v>N</v>
      </c>
      <c r="H171">
        <f>IF(NOT(ISBLANK(A171)),VLOOKUP(A171,'Close - PriceSaver'!A:J,5,0),"")</f>
        <v>5.1360674069008599E-2</v>
      </c>
      <c r="I171" s="4" t="e" cm="1">
        <f t="array" ref="I171">IF(NOT(ISBLANK(A171)),((_xlfn.XLOOKUP(1,(_bbt3[[#All],[ID]]=A171)*(_bbt3[[#All],[METRIC_NAME]]="YLD_YTM_ASK"),_bbt3[[#All],[METRIC_VALUE]])*0.5)+(_xlfn.XLOOKUP(1,(_bbt3[[#All],[ID]]=A171)*(_bbt3[[#All],[METRIC_NAME]]="YLD_YTM_BID"),_bbt3[[#All],[METRIC_VALUE]])*0.5))/100,"")</f>
        <v>#N/A</v>
      </c>
      <c r="J171">
        <f>IF(ISNA(VLOOKUP(A171,'CloseDL - PriceSaverBBT3'!A:E,5,0)),0,VLOOKUP(A171,'CloseDL - PriceSaverBBT3'!A:E,5,0))</f>
        <v>5.1360674069008599E-2</v>
      </c>
      <c r="K171" s="7">
        <f t="shared" si="30"/>
        <v>0</v>
      </c>
      <c r="L171" s="20">
        <f>IF(Close[[#This Row],[CreatedBy]]="MARINER\SilverAdm",1,0)</f>
        <v>1</v>
      </c>
      <c r="M171" t="str">
        <f>IF(NOT(ISBLANK(A171)),VLOOKUP(A171,'Close - PriceSaver'!A:J,6,0),"")</f>
        <v>DL input prc = 82.64843750  PX_ASK = 82.67187500 PX_BID = 82.62500000</v>
      </c>
      <c r="Q171" t="e">
        <f t="shared" si="22"/>
        <v>#N/A</v>
      </c>
      <c r="R171" t="e">
        <f t="shared" si="23"/>
        <v>#N/A</v>
      </c>
      <c r="S171" t="e">
        <f t="shared" si="24"/>
        <v>#N/A</v>
      </c>
      <c r="T171" s="15" t="e">
        <f t="shared" si="25"/>
        <v>#N/A</v>
      </c>
      <c r="U171" s="18" t="e">
        <f t="shared" si="26"/>
        <v>#N/A</v>
      </c>
      <c r="V171" s="18" t="e">
        <f t="shared" si="27"/>
        <v>#N/A</v>
      </c>
      <c r="W171" s="19" t="e">
        <f t="shared" si="28"/>
        <v>#N/A</v>
      </c>
      <c r="X171" t="e">
        <f>VLOOKUP(P171,Close[[ID]:[CreatedBy]],8,0)</f>
        <v>#N/A</v>
      </c>
    </row>
    <row r="172" spans="1:24" x14ac:dyDescent="0.35">
      <c r="A172" t="str">
        <v>912810RF7</v>
      </c>
      <c r="B172" t="str">
        <f>IF(NOT(ISBLANK(A172)),VLOOKUP(A172,'BBT3'!A:F,2,0),"")</f>
        <v>Bond</v>
      </c>
      <c r="C172" t="str">
        <f>IF(NOT(ISBLANK(A172)),VLOOKUP(A172,'BBT3'!A:F,3,0),"")</f>
        <v>US912810RF75</v>
      </c>
      <c r="D172" s="5">
        <f>IF(NOT(ISBLANK(A172)),VLOOKUP(A172,'BBT3'!A:F,4,1),"")</f>
        <v>1.375</v>
      </c>
      <c r="E172">
        <f>IF(NOT(ISBLANK(A172)),VLOOKUP(A172,'BBT3'!A:F,5,0),"")</f>
        <v>52642</v>
      </c>
      <c r="F172" t="str">
        <f>IF(NOT(ISBLANK(A172)),VLOOKUP(A172,'BBT3'!A:F,6,0),"")</f>
        <v>Y</v>
      </c>
      <c r="G172" t="str">
        <f t="shared" si="29"/>
        <v>N</v>
      </c>
      <c r="H172">
        <f>IF(NOT(ISBLANK(A172)),VLOOKUP(A172,'Close - PriceSaver'!A:J,5,0),"")</f>
        <v>2.8658689522827598E-2</v>
      </c>
      <c r="I172" s="4" t="e" cm="1">
        <f t="array" ref="I172">IF(NOT(ISBLANK(A172)),((_xlfn.XLOOKUP(1,(_bbt3[[#All],[ID]]=A172)*(_bbt3[[#All],[METRIC_NAME]]="YLD_YTM_ASK"),_bbt3[[#All],[METRIC_VALUE]])*0.5)+(_xlfn.XLOOKUP(1,(_bbt3[[#All],[ID]]=A172)*(_bbt3[[#All],[METRIC_NAME]]="YLD_YTM_BID"),_bbt3[[#All],[METRIC_VALUE]])*0.5))/100,"")</f>
        <v>#N/A</v>
      </c>
      <c r="J172">
        <f>IF(ISNA(VLOOKUP(A172,'CloseDL - PriceSaverBBT3'!A:E,5,0)),0,VLOOKUP(A172,'CloseDL - PriceSaverBBT3'!A:E,5,0))</f>
        <v>2.8658689522827598E-2</v>
      </c>
      <c r="K172" s="7">
        <f t="shared" si="30"/>
        <v>0</v>
      </c>
      <c r="L172" s="20">
        <f>IF(Close[[#This Row],[CreatedBy]]="MARINER\SilverAdm",1,0)</f>
        <v>1</v>
      </c>
      <c r="M172" t="str">
        <f>IF(NOT(ISBLANK(A172)),VLOOKUP(A172,'Close - PriceSaver'!A:J,6,0),"")</f>
        <v>DL input prc = 79.53515625  PX_ASK = 79.59375000 PX_BID = 79.47656250</v>
      </c>
      <c r="Q172" t="e">
        <f t="shared" si="22"/>
        <v>#N/A</v>
      </c>
      <c r="R172" t="e">
        <f t="shared" si="23"/>
        <v>#N/A</v>
      </c>
      <c r="S172" t="e">
        <f t="shared" si="24"/>
        <v>#N/A</v>
      </c>
      <c r="T172" s="15" t="e">
        <f t="shared" si="25"/>
        <v>#N/A</v>
      </c>
      <c r="U172" s="18" t="e">
        <f t="shared" si="26"/>
        <v>#N/A</v>
      </c>
      <c r="V172" s="18" t="e">
        <f t="shared" si="27"/>
        <v>#N/A</v>
      </c>
      <c r="W172" s="19" t="e">
        <f t="shared" si="28"/>
        <v>#N/A</v>
      </c>
      <c r="X172" t="e">
        <f>VLOOKUP(P172,Close[[ID]:[CreatedBy]],8,0)</f>
        <v>#N/A</v>
      </c>
    </row>
    <row r="173" spans="1:24" x14ac:dyDescent="0.35">
      <c r="A173" t="str">
        <v>912810RG5</v>
      </c>
      <c r="B173" t="str">
        <f>IF(NOT(ISBLANK(A173)),VLOOKUP(A173,'BBT3'!A:F,2,0),"")</f>
        <v>Bond</v>
      </c>
      <c r="C173" t="str">
        <f>IF(NOT(ISBLANK(A173)),VLOOKUP(A173,'BBT3'!A:F,3,0),"")</f>
        <v>US912810RG58</v>
      </c>
      <c r="D173" s="5">
        <f>IF(NOT(ISBLANK(A173)),VLOOKUP(A173,'BBT3'!A:F,4,1),"")</f>
        <v>3.375</v>
      </c>
      <c r="E173">
        <f>IF(NOT(ISBLANK(A173)),VLOOKUP(A173,'BBT3'!A:F,5,0),"")</f>
        <v>52732</v>
      </c>
      <c r="F173" t="str">
        <f>IF(NOT(ISBLANK(A173)),VLOOKUP(A173,'BBT3'!A:F,6,0),"")</f>
        <v>N</v>
      </c>
      <c r="G173" t="str">
        <f t="shared" si="29"/>
        <v>N</v>
      </c>
      <c r="H173">
        <f>IF(NOT(ISBLANK(A173)),VLOOKUP(A173,'Close - PriceSaver'!A:J,5,0),"")</f>
        <v>5.1444222911849899E-2</v>
      </c>
      <c r="I173" s="4" t="e" cm="1">
        <f t="array" ref="I173">IF(NOT(ISBLANK(A173)),((_xlfn.XLOOKUP(1,(_bbt3[[#All],[ID]]=A173)*(_bbt3[[#All],[METRIC_NAME]]="YLD_YTM_ASK"),_bbt3[[#All],[METRIC_VALUE]])*0.5)+(_xlfn.XLOOKUP(1,(_bbt3[[#All],[ID]]=A173)*(_bbt3[[#All],[METRIC_NAME]]="YLD_YTM_BID"),_bbt3[[#All],[METRIC_VALUE]])*0.5))/100,"")</f>
        <v>#N/A</v>
      </c>
      <c r="J173">
        <f>IF(ISNA(VLOOKUP(A173,'CloseDL - PriceSaverBBT3'!A:E,5,0)),0,VLOOKUP(A173,'CloseDL - PriceSaverBBT3'!A:E,5,0))</f>
        <v>5.1444222911849899E-2</v>
      </c>
      <c r="K173" s="7">
        <f t="shared" si="30"/>
        <v>0</v>
      </c>
      <c r="L173" s="20">
        <f>IF(Close[[#This Row],[CreatedBy]]="MARINER\SilverAdm",1,0)</f>
        <v>1</v>
      </c>
      <c r="M173" t="str">
        <f>IF(NOT(ISBLANK(A173)),VLOOKUP(A173,'Close - PriceSaver'!A:J,6,0),"")</f>
        <v>DL input prc = 79.51562500  PX_ASK = 79.54687500 PX_BID = 79.48437500</v>
      </c>
      <c r="Q173" t="e">
        <f t="shared" si="22"/>
        <v>#N/A</v>
      </c>
      <c r="R173" t="e">
        <f t="shared" si="23"/>
        <v>#N/A</v>
      </c>
      <c r="S173" t="e">
        <f t="shared" si="24"/>
        <v>#N/A</v>
      </c>
      <c r="T173" s="15" t="e">
        <f t="shared" si="25"/>
        <v>#N/A</v>
      </c>
      <c r="U173" s="18" t="e">
        <f t="shared" si="26"/>
        <v>#N/A</v>
      </c>
      <c r="V173" s="18" t="e">
        <f t="shared" si="27"/>
        <v>#N/A</v>
      </c>
      <c r="W173" s="19" t="e">
        <f t="shared" si="28"/>
        <v>#N/A</v>
      </c>
      <c r="X173" t="e">
        <f>VLOOKUP(P173,Close[[ID]:[CreatedBy]],8,0)</f>
        <v>#N/A</v>
      </c>
    </row>
    <row r="174" spans="1:24" x14ac:dyDescent="0.35">
      <c r="A174" t="str">
        <v>912810RH3</v>
      </c>
      <c r="B174" t="str">
        <f>IF(NOT(ISBLANK(A174)),VLOOKUP(A174,'BBT3'!A:F,2,0),"")</f>
        <v>Bond</v>
      </c>
      <c r="C174" t="str">
        <f>IF(NOT(ISBLANK(A174)),VLOOKUP(A174,'BBT3'!A:F,3,0),"")</f>
        <v>US912810RH32</v>
      </c>
      <c r="D174" s="5">
        <f>IF(NOT(ISBLANK(A174)),VLOOKUP(A174,'BBT3'!A:F,4,1),"")</f>
        <v>3.125</v>
      </c>
      <c r="E174">
        <f>IF(NOT(ISBLANK(A174)),VLOOKUP(A174,'BBT3'!A:F,5,0),"")</f>
        <v>52824</v>
      </c>
      <c r="F174" t="str">
        <f>IF(NOT(ISBLANK(A174)),VLOOKUP(A174,'BBT3'!A:F,6,0),"")</f>
        <v>N</v>
      </c>
      <c r="G174" t="str">
        <f t="shared" si="29"/>
        <v>N</v>
      </c>
      <c r="H174">
        <f>IF(NOT(ISBLANK(A174)),VLOOKUP(A174,'Close - PriceSaver'!A:J,5,0),"")</f>
        <v>5.1604704869930698E-2</v>
      </c>
      <c r="I174" s="4" t="e" cm="1">
        <f t="array" ref="I174">IF(NOT(ISBLANK(A174)),((_xlfn.XLOOKUP(1,(_bbt3[[#All],[ID]]=A174)*(_bbt3[[#All],[METRIC_NAME]]="YLD_YTM_ASK"),_bbt3[[#All],[METRIC_VALUE]])*0.5)+(_xlfn.XLOOKUP(1,(_bbt3[[#All],[ID]]=A174)*(_bbt3[[#All],[METRIC_NAME]]="YLD_YTM_BID"),_bbt3[[#All],[METRIC_VALUE]])*0.5))/100,"")</f>
        <v>#N/A</v>
      </c>
      <c r="J174">
        <f>IF(ISNA(VLOOKUP(A174,'CloseDL - PriceSaverBBT3'!A:E,5,0)),0,VLOOKUP(A174,'CloseDL - PriceSaverBBT3'!A:E,5,0))</f>
        <v>5.1604704869930698E-2</v>
      </c>
      <c r="K174" s="7">
        <f t="shared" si="30"/>
        <v>0</v>
      </c>
      <c r="L174" s="20">
        <f>IF(Close[[#This Row],[CreatedBy]]="MARINER\SilverAdm",1,0)</f>
        <v>1</v>
      </c>
      <c r="M174" t="str">
        <f>IF(NOT(ISBLANK(A174)),VLOOKUP(A174,'Close - PriceSaver'!A:J,6,0),"")</f>
        <v>DL input prc = 76.26562500  PX_ASK = 76.29687500 PX_BID = 76.23437500</v>
      </c>
      <c r="Q174" t="e">
        <f t="shared" si="22"/>
        <v>#N/A</v>
      </c>
      <c r="R174" t="e">
        <f t="shared" si="23"/>
        <v>#N/A</v>
      </c>
      <c r="S174" t="e">
        <f t="shared" si="24"/>
        <v>#N/A</v>
      </c>
      <c r="T174" s="15" t="e">
        <f t="shared" si="25"/>
        <v>#N/A</v>
      </c>
      <c r="U174" s="18" t="e">
        <f t="shared" si="26"/>
        <v>#N/A</v>
      </c>
      <c r="V174" s="18" t="e">
        <f t="shared" si="27"/>
        <v>#N/A</v>
      </c>
      <c r="W174" s="19" t="e">
        <f t="shared" si="28"/>
        <v>#N/A</v>
      </c>
      <c r="X174" t="e">
        <f>VLOOKUP(P174,Close[[ID]:[CreatedBy]],8,0)</f>
        <v>#N/A</v>
      </c>
    </row>
    <row r="175" spans="1:24" x14ac:dyDescent="0.35">
      <c r="A175" t="str">
        <v>912810RJ9</v>
      </c>
      <c r="B175" t="str">
        <f>IF(NOT(ISBLANK(A175)),VLOOKUP(A175,'BBT3'!A:F,2,0),"")</f>
        <v>Bond</v>
      </c>
      <c r="C175" t="str">
        <f>IF(NOT(ISBLANK(A175)),VLOOKUP(A175,'BBT3'!A:F,3,0),"")</f>
        <v>US912810RJ97</v>
      </c>
      <c r="D175" s="5">
        <f>IF(NOT(ISBLANK(A175)),VLOOKUP(A175,'BBT3'!A:F,4,1),"")</f>
        <v>3</v>
      </c>
      <c r="E175">
        <f>IF(NOT(ISBLANK(A175)),VLOOKUP(A175,'BBT3'!A:F,5,0),"")</f>
        <v>52916</v>
      </c>
      <c r="F175" t="str">
        <f>IF(NOT(ISBLANK(A175)),VLOOKUP(A175,'BBT3'!A:F,6,0),"")</f>
        <v>N</v>
      </c>
      <c r="G175" t="str">
        <f t="shared" si="29"/>
        <v>N</v>
      </c>
      <c r="H175">
        <f>IF(NOT(ISBLANK(A175)),VLOOKUP(A175,'Close - PriceSaver'!A:J,5,0),"")</f>
        <v>5.1702894171541502E-2</v>
      </c>
      <c r="I175" s="4" t="e" cm="1">
        <f t="array" ref="I175">IF(NOT(ISBLANK(A175)),((_xlfn.XLOOKUP(1,(_bbt3[[#All],[ID]]=A175)*(_bbt3[[#All],[METRIC_NAME]]="YLD_YTM_ASK"),_bbt3[[#All],[METRIC_VALUE]])*0.5)+(_xlfn.XLOOKUP(1,(_bbt3[[#All],[ID]]=A175)*(_bbt3[[#All],[METRIC_NAME]]="YLD_YTM_BID"),_bbt3[[#All],[METRIC_VALUE]])*0.5))/100,"")</f>
        <v>#N/A</v>
      </c>
      <c r="J175">
        <f>IF(ISNA(VLOOKUP(A175,'CloseDL - PriceSaverBBT3'!A:E,5,0)),0,VLOOKUP(A175,'CloseDL - PriceSaverBBT3'!A:E,5,0))</f>
        <v>5.1702894171541502E-2</v>
      </c>
      <c r="K175" s="7">
        <f t="shared" si="30"/>
        <v>0</v>
      </c>
      <c r="L175" s="20">
        <f>IF(Close[[#This Row],[CreatedBy]]="MARINER\SilverAdm",1,0)</f>
        <v>1</v>
      </c>
      <c r="M175" t="str">
        <f>IF(NOT(ISBLANK(A175)),VLOOKUP(A175,'Close - PriceSaver'!A:J,6,0),"")</f>
        <v>DL input prc = 74.50000000  PX_ASK = 74.53125000 PX_BID = 74.46875000</v>
      </c>
      <c r="Q175" t="e">
        <f t="shared" si="22"/>
        <v>#N/A</v>
      </c>
      <c r="R175" t="e">
        <f t="shared" si="23"/>
        <v>#N/A</v>
      </c>
      <c r="S175" t="e">
        <f t="shared" si="24"/>
        <v>#N/A</v>
      </c>
      <c r="T175" s="15" t="e">
        <f t="shared" si="25"/>
        <v>#N/A</v>
      </c>
      <c r="U175" s="18" t="e">
        <f t="shared" si="26"/>
        <v>#N/A</v>
      </c>
      <c r="V175" s="18" t="e">
        <f t="shared" si="27"/>
        <v>#N/A</v>
      </c>
      <c r="W175" s="19" t="e">
        <f t="shared" si="28"/>
        <v>#N/A</v>
      </c>
      <c r="X175" t="e">
        <f>VLOOKUP(P175,Close[[ID]:[CreatedBy]],8,0)</f>
        <v>#N/A</v>
      </c>
    </row>
    <row r="176" spans="1:24" x14ac:dyDescent="0.35">
      <c r="A176" t="str">
        <v>912810RK6</v>
      </c>
      <c r="B176" t="str">
        <f>IF(NOT(ISBLANK(A176)),VLOOKUP(A176,'BBT3'!A:F,2,0),"")</f>
        <v>Bond</v>
      </c>
      <c r="C176" t="str">
        <f>IF(NOT(ISBLANK(A176)),VLOOKUP(A176,'BBT3'!A:F,3,0),"")</f>
        <v>US912810RK60</v>
      </c>
      <c r="D176" s="5">
        <f>IF(NOT(ISBLANK(A176)),VLOOKUP(A176,'BBT3'!A:F,4,1),"")</f>
        <v>2.5</v>
      </c>
      <c r="E176">
        <f>IF(NOT(ISBLANK(A176)),VLOOKUP(A176,'BBT3'!A:F,5,0),"")</f>
        <v>53008</v>
      </c>
      <c r="F176" t="str">
        <f>IF(NOT(ISBLANK(A176)),VLOOKUP(A176,'BBT3'!A:F,6,0),"")</f>
        <v>N</v>
      </c>
      <c r="G176" t="str">
        <f t="shared" si="29"/>
        <v>N</v>
      </c>
      <c r="H176">
        <f>IF(NOT(ISBLANK(A176)),VLOOKUP(A176,'Close - PriceSaver'!A:J,5,0),"")</f>
        <v>5.1865531305236398E-2</v>
      </c>
      <c r="I176" s="4" t="e" cm="1">
        <f t="array" ref="I176">IF(NOT(ISBLANK(A176)),((_xlfn.XLOOKUP(1,(_bbt3[[#All],[ID]]=A176)*(_bbt3[[#All],[METRIC_NAME]]="YLD_YTM_ASK"),_bbt3[[#All],[METRIC_VALUE]])*0.5)+(_xlfn.XLOOKUP(1,(_bbt3[[#All],[ID]]=A176)*(_bbt3[[#All],[METRIC_NAME]]="YLD_YTM_BID"),_bbt3[[#All],[METRIC_VALUE]])*0.5))/100,"")</f>
        <v>#N/A</v>
      </c>
      <c r="J176">
        <f>IF(ISNA(VLOOKUP(A176,'CloseDL - PriceSaverBBT3'!A:E,5,0)),0,VLOOKUP(A176,'CloseDL - PriceSaverBBT3'!A:E,5,0))</f>
        <v>5.1865531305236398E-2</v>
      </c>
      <c r="K176" s="7">
        <f t="shared" si="30"/>
        <v>0</v>
      </c>
      <c r="L176" s="20">
        <f>IF(Close[[#This Row],[CreatedBy]]="MARINER\SilverAdm",1,0)</f>
        <v>1</v>
      </c>
      <c r="M176" t="str">
        <f>IF(NOT(ISBLANK(A176)),VLOOKUP(A176,'Close - PriceSaver'!A:J,6,0),"")</f>
        <v>DL input prc = 68.21875000  PX_ASK = 68.25000000 PX_BID = 68.18750000</v>
      </c>
      <c r="Q176" t="e">
        <f t="shared" si="22"/>
        <v>#N/A</v>
      </c>
      <c r="R176" t="e">
        <f t="shared" si="23"/>
        <v>#N/A</v>
      </c>
      <c r="S176" t="e">
        <f t="shared" si="24"/>
        <v>#N/A</v>
      </c>
      <c r="T176" s="15" t="e">
        <f t="shared" si="25"/>
        <v>#N/A</v>
      </c>
      <c r="U176" s="18" t="e">
        <f t="shared" si="26"/>
        <v>#N/A</v>
      </c>
      <c r="V176" s="18" t="e">
        <f t="shared" si="27"/>
        <v>#N/A</v>
      </c>
      <c r="W176" s="19" t="e">
        <f t="shared" si="28"/>
        <v>#N/A</v>
      </c>
      <c r="X176" t="e">
        <f>VLOOKUP(P176,Close[[ID]:[CreatedBy]],8,0)</f>
        <v>#N/A</v>
      </c>
    </row>
    <row r="177" spans="1:24" x14ac:dyDescent="0.35">
      <c r="A177" t="str">
        <v>912810RL4</v>
      </c>
      <c r="B177" t="str">
        <f>IF(NOT(ISBLANK(A177)),VLOOKUP(A177,'BBT3'!A:F,2,0),"")</f>
        <v>Bond</v>
      </c>
      <c r="C177" t="str">
        <f>IF(NOT(ISBLANK(A177)),VLOOKUP(A177,'BBT3'!A:F,3,0),"")</f>
        <v>US912810RL44</v>
      </c>
      <c r="D177" s="5">
        <f>IF(NOT(ISBLANK(A177)),VLOOKUP(A177,'BBT3'!A:F,4,1),"")</f>
        <v>0.75</v>
      </c>
      <c r="E177">
        <f>IF(NOT(ISBLANK(A177)),VLOOKUP(A177,'BBT3'!A:F,5,0),"")</f>
        <v>53008</v>
      </c>
      <c r="F177" t="str">
        <f>IF(NOT(ISBLANK(A177)),VLOOKUP(A177,'BBT3'!A:F,6,0),"")</f>
        <v>Y</v>
      </c>
      <c r="G177" t="str">
        <f t="shared" si="29"/>
        <v>N</v>
      </c>
      <c r="H177">
        <f>IF(NOT(ISBLANK(A177)),VLOOKUP(A177,'Close - PriceSaver'!A:J,5,0),"")</f>
        <v>2.9256061377876799E-2</v>
      </c>
      <c r="I177" s="4" t="e" cm="1">
        <f t="array" ref="I177">IF(NOT(ISBLANK(A177)),((_xlfn.XLOOKUP(1,(_bbt3[[#All],[ID]]=A177)*(_bbt3[[#All],[METRIC_NAME]]="YLD_YTM_ASK"),_bbt3[[#All],[METRIC_VALUE]])*0.5)+(_xlfn.XLOOKUP(1,(_bbt3[[#All],[ID]]=A177)*(_bbt3[[#All],[METRIC_NAME]]="YLD_YTM_BID"),_bbt3[[#All],[METRIC_VALUE]])*0.5))/100,"")</f>
        <v>#N/A</v>
      </c>
      <c r="J177">
        <f>IF(ISNA(VLOOKUP(A177,'CloseDL - PriceSaverBBT3'!A:E,5,0)),0,VLOOKUP(A177,'CloseDL - PriceSaverBBT3'!A:E,5,0))</f>
        <v>2.9256061377876799E-2</v>
      </c>
      <c r="K177" s="7">
        <f t="shared" si="30"/>
        <v>0</v>
      </c>
      <c r="L177" s="20">
        <f>IF(Close[[#This Row],[CreatedBy]]="MARINER\SilverAdm",1,0)</f>
        <v>1</v>
      </c>
      <c r="M177" t="str">
        <f>IF(NOT(ISBLANK(A177)),VLOOKUP(A177,'Close - PriceSaver'!A:J,6,0),"")</f>
        <v>DL input prc = 69.00390625  PX_ASK = 69.06250000 PX_BID = 68.94531250</v>
      </c>
      <c r="Q177" t="e">
        <f t="shared" si="22"/>
        <v>#N/A</v>
      </c>
      <c r="R177" t="e">
        <f t="shared" si="23"/>
        <v>#N/A</v>
      </c>
      <c r="S177" t="e">
        <f t="shared" si="24"/>
        <v>#N/A</v>
      </c>
      <c r="T177" s="15" t="e">
        <f t="shared" si="25"/>
        <v>#N/A</v>
      </c>
      <c r="U177" s="18" t="e">
        <f t="shared" si="26"/>
        <v>#N/A</v>
      </c>
      <c r="V177" s="18" t="e">
        <f t="shared" si="27"/>
        <v>#N/A</v>
      </c>
      <c r="W177" s="19" t="e">
        <f t="shared" si="28"/>
        <v>#N/A</v>
      </c>
      <c r="X177" t="e">
        <f>VLOOKUP(P177,Close[[ID]:[CreatedBy]],8,0)</f>
        <v>#N/A</v>
      </c>
    </row>
    <row r="178" spans="1:24" x14ac:dyDescent="0.35">
      <c r="A178" t="str">
        <v>912810RM2</v>
      </c>
      <c r="B178" t="str">
        <f>IF(NOT(ISBLANK(A178)),VLOOKUP(A178,'BBT3'!A:F,2,0),"")</f>
        <v>Bond</v>
      </c>
      <c r="C178" t="str">
        <f>IF(NOT(ISBLANK(A178)),VLOOKUP(A178,'BBT3'!A:F,3,0),"")</f>
        <v>US912810RM27</v>
      </c>
      <c r="D178" s="5">
        <f>IF(NOT(ISBLANK(A178)),VLOOKUP(A178,'BBT3'!A:F,4,1),"")</f>
        <v>3</v>
      </c>
      <c r="E178">
        <f>IF(NOT(ISBLANK(A178)),VLOOKUP(A178,'BBT3'!A:F,5,0),"")</f>
        <v>53097</v>
      </c>
      <c r="F178" t="str">
        <f>IF(NOT(ISBLANK(A178)),VLOOKUP(A178,'BBT3'!A:F,6,0),"")</f>
        <v>N</v>
      </c>
      <c r="G178" t="str">
        <f t="shared" si="29"/>
        <v>N</v>
      </c>
      <c r="H178">
        <f>IF(NOT(ISBLANK(A178)),VLOOKUP(A178,'Close - PriceSaver'!A:J,5,0),"")</f>
        <v>5.1757034723703001E-2</v>
      </c>
      <c r="I178" s="4" t="e" cm="1">
        <f t="array" ref="I178">IF(NOT(ISBLANK(A178)),((_xlfn.XLOOKUP(1,(_bbt3[[#All],[ID]]=A178)*(_bbt3[[#All],[METRIC_NAME]]="YLD_YTM_ASK"),_bbt3[[#All],[METRIC_VALUE]])*0.5)+(_xlfn.XLOOKUP(1,(_bbt3[[#All],[ID]]=A178)*(_bbt3[[#All],[METRIC_NAME]]="YLD_YTM_BID"),_bbt3[[#All],[METRIC_VALUE]])*0.5))/100,"")</f>
        <v>#N/A</v>
      </c>
      <c r="J178">
        <f>IF(ISNA(VLOOKUP(A178,'CloseDL - PriceSaverBBT3'!A:E,5,0)),0,VLOOKUP(A178,'CloseDL - PriceSaverBBT3'!A:E,5,0))</f>
        <v>5.1757034723703001E-2</v>
      </c>
      <c r="K178" s="7">
        <f t="shared" si="30"/>
        <v>0</v>
      </c>
      <c r="L178" s="20">
        <f>IF(Close[[#This Row],[CreatedBy]]="MARINER\SilverAdm",1,0)</f>
        <v>1</v>
      </c>
      <c r="M178" t="str">
        <f>IF(NOT(ISBLANK(A178)),VLOOKUP(A178,'Close - PriceSaver'!A:J,6,0),"")</f>
        <v>DL input prc = 74.03125000  PX_ASK = 74.06250000 PX_BID = 74.00000000</v>
      </c>
      <c r="Q178" t="e">
        <f t="shared" si="22"/>
        <v>#N/A</v>
      </c>
      <c r="R178" t="e">
        <f t="shared" si="23"/>
        <v>#N/A</v>
      </c>
      <c r="S178" t="e">
        <f t="shared" si="24"/>
        <v>#N/A</v>
      </c>
      <c r="T178" s="15" t="e">
        <f t="shared" si="25"/>
        <v>#N/A</v>
      </c>
      <c r="U178" s="18" t="e">
        <f t="shared" si="26"/>
        <v>#N/A</v>
      </c>
      <c r="V178" s="18" t="e">
        <f t="shared" si="27"/>
        <v>#N/A</v>
      </c>
      <c r="W178" s="19" t="e">
        <f t="shared" si="28"/>
        <v>#N/A</v>
      </c>
      <c r="X178" t="e">
        <f>VLOOKUP(P178,Close[[ID]:[CreatedBy]],8,0)</f>
        <v>#N/A</v>
      </c>
    </row>
    <row r="179" spans="1:24" x14ac:dyDescent="0.35">
      <c r="A179" t="str">
        <v>912810RN0</v>
      </c>
      <c r="B179" t="str">
        <f>IF(NOT(ISBLANK(A179)),VLOOKUP(A179,'BBT3'!A:F,2,0),"")</f>
        <v>Bond</v>
      </c>
      <c r="C179" t="str">
        <f>IF(NOT(ISBLANK(A179)),VLOOKUP(A179,'BBT3'!A:F,3,0),"")</f>
        <v>US912810RN00</v>
      </c>
      <c r="D179" s="5">
        <f>IF(NOT(ISBLANK(A179)),VLOOKUP(A179,'BBT3'!A:F,4,1),"")</f>
        <v>2.875</v>
      </c>
      <c r="E179">
        <f>IF(NOT(ISBLANK(A179)),VLOOKUP(A179,'BBT3'!A:F,5,0),"")</f>
        <v>53189</v>
      </c>
      <c r="F179" t="str">
        <f>IF(NOT(ISBLANK(A179)),VLOOKUP(A179,'BBT3'!A:F,6,0),"")</f>
        <v>N</v>
      </c>
      <c r="G179" t="str">
        <f t="shared" si="29"/>
        <v>N</v>
      </c>
      <c r="H179">
        <f>IF(NOT(ISBLANK(A179)),VLOOKUP(A179,'Close - PriceSaver'!A:J,5,0),"")</f>
        <v>5.1881740220669201E-2</v>
      </c>
      <c r="I179" s="4" t="e" cm="1">
        <f t="array" ref="I179">IF(NOT(ISBLANK(A179)),((_xlfn.XLOOKUP(1,(_bbt3[[#All],[ID]]=A179)*(_bbt3[[#All],[METRIC_NAME]]="YLD_YTM_ASK"),_bbt3[[#All],[METRIC_VALUE]])*0.5)+(_xlfn.XLOOKUP(1,(_bbt3[[#All],[ID]]=A179)*(_bbt3[[#All],[METRIC_NAME]]="YLD_YTM_BID"),_bbt3[[#All],[METRIC_VALUE]])*0.5))/100,"")</f>
        <v>#N/A</v>
      </c>
      <c r="J179">
        <f>IF(ISNA(VLOOKUP(A179,'CloseDL - PriceSaverBBT3'!A:E,5,0)),0,VLOOKUP(A179,'CloseDL - PriceSaverBBT3'!A:E,5,0))</f>
        <v>5.1881740220669201E-2</v>
      </c>
      <c r="K179" s="7">
        <f t="shared" si="30"/>
        <v>0</v>
      </c>
      <c r="L179" s="20">
        <f>IF(Close[[#This Row],[CreatedBy]]="MARINER\SilverAdm",1,0)</f>
        <v>1</v>
      </c>
      <c r="M179" t="str">
        <f>IF(NOT(ISBLANK(A179)),VLOOKUP(A179,'Close - PriceSaver'!A:J,6,0),"")</f>
        <v>DL input prc = 72.20312500  PX_ASK = 72.23437500 PX_BID = 72.17187500</v>
      </c>
      <c r="Q179" t="e">
        <f t="shared" si="22"/>
        <v>#N/A</v>
      </c>
      <c r="R179" t="e">
        <f t="shared" si="23"/>
        <v>#N/A</v>
      </c>
      <c r="S179" t="e">
        <f t="shared" si="24"/>
        <v>#N/A</v>
      </c>
      <c r="T179" s="15" t="e">
        <f t="shared" si="25"/>
        <v>#N/A</v>
      </c>
      <c r="U179" s="18" t="e">
        <f t="shared" si="26"/>
        <v>#N/A</v>
      </c>
      <c r="V179" s="18" t="e">
        <f t="shared" si="27"/>
        <v>#N/A</v>
      </c>
      <c r="W179" s="19" t="e">
        <f t="shared" si="28"/>
        <v>#N/A</v>
      </c>
      <c r="X179" t="e">
        <f>VLOOKUP(P179,Close[[ID]:[CreatedBy]],8,0)</f>
        <v>#N/A</v>
      </c>
    </row>
    <row r="180" spans="1:24" x14ac:dyDescent="0.35">
      <c r="A180" t="str">
        <v>912810RP5</v>
      </c>
      <c r="B180" t="str">
        <f>IF(NOT(ISBLANK(A180)),VLOOKUP(A180,'BBT3'!A:F,2,0),"")</f>
        <v>Bond</v>
      </c>
      <c r="C180" t="str">
        <f>IF(NOT(ISBLANK(A180)),VLOOKUP(A180,'BBT3'!A:F,3,0),"")</f>
        <v>US912810RP57</v>
      </c>
      <c r="D180" s="5">
        <f>IF(NOT(ISBLANK(A180)),VLOOKUP(A180,'BBT3'!A:F,4,1),"")</f>
        <v>3</v>
      </c>
      <c r="E180">
        <f>IF(NOT(ISBLANK(A180)),VLOOKUP(A180,'BBT3'!A:F,5,0),"")</f>
        <v>53281</v>
      </c>
      <c r="F180" t="str">
        <f>IF(NOT(ISBLANK(A180)),VLOOKUP(A180,'BBT3'!A:F,6,0),"")</f>
        <v>N</v>
      </c>
      <c r="G180" t="str">
        <f t="shared" si="29"/>
        <v>N</v>
      </c>
      <c r="H180">
        <f>IF(NOT(ISBLANK(A180)),VLOOKUP(A180,'Close - PriceSaver'!A:J,5,0),"")</f>
        <v>5.1898982906189203E-2</v>
      </c>
      <c r="I180" s="4" t="e" cm="1">
        <f t="array" ref="I180">IF(NOT(ISBLANK(A180)),((_xlfn.XLOOKUP(1,(_bbt3[[#All],[ID]]=A180)*(_bbt3[[#All],[METRIC_NAME]]="YLD_YTM_ASK"),_bbt3[[#All],[METRIC_VALUE]])*0.5)+(_xlfn.XLOOKUP(1,(_bbt3[[#All],[ID]]=A180)*(_bbt3[[#All],[METRIC_NAME]]="YLD_YTM_BID"),_bbt3[[#All],[METRIC_VALUE]])*0.5))/100,"")</f>
        <v>#N/A</v>
      </c>
      <c r="J180">
        <f>IF(ISNA(VLOOKUP(A180,'CloseDL - PriceSaverBBT3'!A:E,5,0)),0,VLOOKUP(A180,'CloseDL - PriceSaverBBT3'!A:E,5,0))</f>
        <v>5.1898982906189203E-2</v>
      </c>
      <c r="K180" s="7">
        <f t="shared" si="30"/>
        <v>0</v>
      </c>
      <c r="L180" s="20">
        <f>IF(Close[[#This Row],[CreatedBy]]="MARINER\SilverAdm",1,0)</f>
        <v>1</v>
      </c>
      <c r="M180" t="str">
        <f>IF(NOT(ISBLANK(A180)),VLOOKUP(A180,'Close - PriceSaver'!A:J,6,0),"")</f>
        <v>DL input prc = 73.48437500  PX_ASK = 73.51562500 PX_BID = 73.45312500</v>
      </c>
      <c r="Q180" t="e">
        <f t="shared" si="22"/>
        <v>#N/A</v>
      </c>
      <c r="R180" t="e">
        <f t="shared" si="23"/>
        <v>#N/A</v>
      </c>
      <c r="S180" t="e">
        <f t="shared" si="24"/>
        <v>#N/A</v>
      </c>
      <c r="T180" s="15" t="e">
        <f t="shared" si="25"/>
        <v>#N/A</v>
      </c>
      <c r="U180" s="18" t="e">
        <f t="shared" si="26"/>
        <v>#N/A</v>
      </c>
      <c r="V180" s="18" t="e">
        <f t="shared" si="27"/>
        <v>#N/A</v>
      </c>
      <c r="W180" s="19" t="e">
        <f t="shared" si="28"/>
        <v>#N/A</v>
      </c>
      <c r="X180" t="e">
        <f>VLOOKUP(P180,Close[[ID]:[CreatedBy]],8,0)</f>
        <v>#N/A</v>
      </c>
    </row>
    <row r="181" spans="1:24" x14ac:dyDescent="0.35">
      <c r="A181" t="str">
        <v>912810RQ3</v>
      </c>
      <c r="B181" t="str">
        <f>IF(NOT(ISBLANK(A181)),VLOOKUP(A181,'BBT3'!A:F,2,0),"")</f>
        <v>Bond</v>
      </c>
      <c r="C181" t="str">
        <f>IF(NOT(ISBLANK(A181)),VLOOKUP(A181,'BBT3'!A:F,3,0),"")</f>
        <v>US912810RQ31</v>
      </c>
      <c r="D181" s="5">
        <f>IF(NOT(ISBLANK(A181)),VLOOKUP(A181,'BBT3'!A:F,4,1),"")</f>
        <v>2.5</v>
      </c>
      <c r="E181">
        <f>IF(NOT(ISBLANK(A181)),VLOOKUP(A181,'BBT3'!A:F,5,0),"")</f>
        <v>53373</v>
      </c>
      <c r="F181" t="str">
        <f>IF(NOT(ISBLANK(A181)),VLOOKUP(A181,'BBT3'!A:F,6,0),"")</f>
        <v>N</v>
      </c>
      <c r="G181" t="str">
        <f t="shared" si="29"/>
        <v>N</v>
      </c>
      <c r="H181">
        <f>IF(NOT(ISBLANK(A181)),VLOOKUP(A181,'Close - PriceSaver'!A:J,5,0),"")</f>
        <v>5.2063839537251598E-2</v>
      </c>
      <c r="I181" s="4" t="e" cm="1">
        <f t="array" ref="I181">IF(NOT(ISBLANK(A181)),((_xlfn.XLOOKUP(1,(_bbt3[[#All],[ID]]=A181)*(_bbt3[[#All],[METRIC_NAME]]="YLD_YTM_ASK"),_bbt3[[#All],[METRIC_VALUE]])*0.5)+(_xlfn.XLOOKUP(1,(_bbt3[[#All],[ID]]=A181)*(_bbt3[[#All],[METRIC_NAME]]="YLD_YTM_BID"),_bbt3[[#All],[METRIC_VALUE]])*0.5))/100,"")</f>
        <v>#N/A</v>
      </c>
      <c r="J181">
        <f>IF(ISNA(VLOOKUP(A181,'CloseDL - PriceSaverBBT3'!A:E,5,0)),0,VLOOKUP(A181,'CloseDL - PriceSaverBBT3'!A:E,5,0))</f>
        <v>5.2063839537251598E-2</v>
      </c>
      <c r="K181" s="7">
        <f t="shared" si="30"/>
        <v>0</v>
      </c>
      <c r="L181" s="20">
        <f>IF(Close[[#This Row],[CreatedBy]]="MARINER\SilverAdm",1,0)</f>
        <v>1</v>
      </c>
      <c r="M181" t="str">
        <f>IF(NOT(ISBLANK(A181)),VLOOKUP(A181,'Close - PriceSaver'!A:J,6,0),"")</f>
        <v>DL input prc = 67.03125000  PX_ASK = 67.06250000 PX_BID = 67.00000000</v>
      </c>
      <c r="Q181" t="e">
        <f t="shared" ref="Q181:Q244" si="31">VLOOKUP(P181,A:C,3,0)</f>
        <v>#N/A</v>
      </c>
      <c r="R181" t="e">
        <f t="shared" ref="R181:R244" si="32">VLOOKUP(P181,A:B,2,0)</f>
        <v>#N/A</v>
      </c>
      <c r="S181" t="e">
        <f t="shared" ref="S181:S244" si="33">VLOOKUP(P181,A:E,4,0)</f>
        <v>#N/A</v>
      </c>
      <c r="T181" s="15" t="e">
        <f t="shared" ref="T181:T244" si="34">VLOOKUP(P181,A:K,5,0)</f>
        <v>#N/A</v>
      </c>
      <c r="U181" s="18" t="e">
        <f t="shared" ref="U181:U244" si="35">VLOOKUP(P181,A:K,8,0)</f>
        <v>#N/A</v>
      </c>
      <c r="V181" s="18" t="e">
        <f t="shared" ref="V181:V244" si="36">VLOOKUP(P181,A:K,10,0)</f>
        <v>#N/A</v>
      </c>
      <c r="W181" s="19" t="e">
        <f t="shared" ref="W181:W244" si="37">(V181-U181)*100</f>
        <v>#N/A</v>
      </c>
      <c r="X181" t="e">
        <f>VLOOKUP(P181,Close[[ID]:[CreatedBy]],8,0)</f>
        <v>#N/A</v>
      </c>
    </row>
    <row r="182" spans="1:24" x14ac:dyDescent="0.35">
      <c r="A182" t="str">
        <v>912810RR1</v>
      </c>
      <c r="B182" t="str">
        <f>IF(NOT(ISBLANK(A182)),VLOOKUP(A182,'BBT3'!A:F,2,0),"")</f>
        <v>Bond</v>
      </c>
      <c r="C182" t="str">
        <f>IF(NOT(ISBLANK(A182)),VLOOKUP(A182,'BBT3'!A:F,3,0),"")</f>
        <v>US912810RR14</v>
      </c>
      <c r="D182" s="5">
        <f>IF(NOT(ISBLANK(A182)),VLOOKUP(A182,'BBT3'!A:F,4,1),"")</f>
        <v>1</v>
      </c>
      <c r="E182">
        <f>IF(NOT(ISBLANK(A182)),VLOOKUP(A182,'BBT3'!A:F,5,0),"")</f>
        <v>53373</v>
      </c>
      <c r="F182" t="str">
        <f>IF(NOT(ISBLANK(A182)),VLOOKUP(A182,'BBT3'!A:F,6,0),"")</f>
        <v>Y</v>
      </c>
      <c r="G182" t="str">
        <f t="shared" si="29"/>
        <v>N</v>
      </c>
      <c r="H182">
        <f>IF(NOT(ISBLANK(A182)),VLOOKUP(A182,'Close - PriceSaver'!A:J,5,0),"")</f>
        <v>2.9394831181192099E-2</v>
      </c>
      <c r="I182" s="4" t="e" cm="1">
        <f t="array" ref="I182">IF(NOT(ISBLANK(A182)),((_xlfn.XLOOKUP(1,(_bbt3[[#All],[ID]]=A182)*(_bbt3[[#All],[METRIC_NAME]]="YLD_YTM_ASK"),_bbt3[[#All],[METRIC_VALUE]])*0.5)+(_xlfn.XLOOKUP(1,(_bbt3[[#All],[ID]]=A182)*(_bbt3[[#All],[METRIC_NAME]]="YLD_YTM_BID"),_bbt3[[#All],[METRIC_VALUE]])*0.5))/100,"")</f>
        <v>#N/A</v>
      </c>
      <c r="J182">
        <f>IF(ISNA(VLOOKUP(A182,'CloseDL - PriceSaverBBT3'!A:E,5,0)),0,VLOOKUP(A182,'CloseDL - PriceSaverBBT3'!A:E,5,0))</f>
        <v>2.9394831181192099E-2</v>
      </c>
      <c r="K182" s="7">
        <f t="shared" si="30"/>
        <v>0</v>
      </c>
      <c r="L182" s="20">
        <f>IF(Close[[#This Row],[CreatedBy]]="MARINER\SilverAdm",1,0)</f>
        <v>1</v>
      </c>
      <c r="M182" t="str">
        <f>IF(NOT(ISBLANK(A182)),VLOOKUP(A182,'Close - PriceSaver'!A:J,6,0),"")</f>
        <v>DL input prc = 71.29687500  PX_ASK = 71.35937500 PX_BID = 71.23437500</v>
      </c>
      <c r="Q182" t="e">
        <f t="shared" si="31"/>
        <v>#N/A</v>
      </c>
      <c r="R182" t="e">
        <f t="shared" si="32"/>
        <v>#N/A</v>
      </c>
      <c r="S182" t="e">
        <f t="shared" si="33"/>
        <v>#N/A</v>
      </c>
      <c r="T182" s="15" t="e">
        <f t="shared" si="34"/>
        <v>#N/A</v>
      </c>
      <c r="U182" s="18" t="e">
        <f t="shared" si="35"/>
        <v>#N/A</v>
      </c>
      <c r="V182" s="18" t="e">
        <f t="shared" si="36"/>
        <v>#N/A</v>
      </c>
      <c r="W182" s="19" t="e">
        <f t="shared" si="37"/>
        <v>#N/A</v>
      </c>
      <c r="X182" t="e">
        <f>VLOOKUP(P182,Close[[ID]:[CreatedBy]],8,0)</f>
        <v>#N/A</v>
      </c>
    </row>
    <row r="183" spans="1:24" x14ac:dyDescent="0.35">
      <c r="A183" t="str">
        <v>912810RS9</v>
      </c>
      <c r="B183" t="str">
        <f>IF(NOT(ISBLANK(A183)),VLOOKUP(A183,'BBT3'!A:F,2,0),"")</f>
        <v>Bond</v>
      </c>
      <c r="C183" t="str">
        <f>IF(NOT(ISBLANK(A183)),VLOOKUP(A183,'BBT3'!A:F,3,0),"")</f>
        <v>US912810RS96</v>
      </c>
      <c r="D183" s="5">
        <f>IF(NOT(ISBLANK(A183)),VLOOKUP(A183,'BBT3'!A:F,4,1),"")</f>
        <v>2.5</v>
      </c>
      <c r="E183">
        <f>IF(NOT(ISBLANK(A183)),VLOOKUP(A183,'BBT3'!A:F,5,0),"")</f>
        <v>53462</v>
      </c>
      <c r="F183" t="str">
        <f>IF(NOT(ISBLANK(A183)),VLOOKUP(A183,'BBT3'!A:F,6,0),"")</f>
        <v>N</v>
      </c>
      <c r="G183" t="str">
        <f t="shared" si="29"/>
        <v>N</v>
      </c>
      <c r="H183">
        <f>IF(NOT(ISBLANK(A183)),VLOOKUP(A183,'Close - PriceSaver'!A:J,5,0),"")</f>
        <v>5.2103395695034201E-2</v>
      </c>
      <c r="I183" s="4" t="e" cm="1">
        <f t="array" ref="I183">IF(NOT(ISBLANK(A183)),((_xlfn.XLOOKUP(1,(_bbt3[[#All],[ID]]=A183)*(_bbt3[[#All],[METRIC_NAME]]="YLD_YTM_ASK"),_bbt3[[#All],[METRIC_VALUE]])*0.5)+(_xlfn.XLOOKUP(1,(_bbt3[[#All],[ID]]=A183)*(_bbt3[[#All],[METRIC_NAME]]="YLD_YTM_BID"),_bbt3[[#All],[METRIC_VALUE]])*0.5))/100,"")</f>
        <v>#N/A</v>
      </c>
      <c r="J183">
        <f>IF(ISNA(VLOOKUP(A183,'CloseDL - PriceSaverBBT3'!A:E,5,0)),0,VLOOKUP(A183,'CloseDL - PriceSaverBBT3'!A:E,5,0))</f>
        <v>5.2103395695034201E-2</v>
      </c>
      <c r="K183" s="7">
        <f t="shared" si="30"/>
        <v>0</v>
      </c>
      <c r="L183" s="20">
        <f>IF(Close[[#This Row],[CreatedBy]]="MARINER\SilverAdm",1,0)</f>
        <v>1</v>
      </c>
      <c r="M183" t="str">
        <f>IF(NOT(ISBLANK(A183)),VLOOKUP(A183,'Close - PriceSaver'!A:J,6,0),"")</f>
        <v>DL input prc = 66.75000000  PX_ASK = 66.79687500 PX_BID = 66.70312500</v>
      </c>
      <c r="Q183" t="e">
        <f t="shared" si="31"/>
        <v>#N/A</v>
      </c>
      <c r="R183" t="e">
        <f t="shared" si="32"/>
        <v>#N/A</v>
      </c>
      <c r="S183" t="e">
        <f t="shared" si="33"/>
        <v>#N/A</v>
      </c>
      <c r="T183" s="15" t="e">
        <f t="shared" si="34"/>
        <v>#N/A</v>
      </c>
      <c r="U183" s="18" t="e">
        <f t="shared" si="35"/>
        <v>#N/A</v>
      </c>
      <c r="V183" s="18" t="e">
        <f t="shared" si="36"/>
        <v>#N/A</v>
      </c>
      <c r="W183" s="19" t="e">
        <f t="shared" si="37"/>
        <v>#N/A</v>
      </c>
      <c r="X183" t="e">
        <f>VLOOKUP(P183,Close[[ID]:[CreatedBy]],8,0)</f>
        <v>#N/A</v>
      </c>
    </row>
    <row r="184" spans="1:24" x14ac:dyDescent="0.35">
      <c r="A184" t="str">
        <v>912810RT7</v>
      </c>
      <c r="B184" t="str">
        <f>IF(NOT(ISBLANK(A184)),VLOOKUP(A184,'BBT3'!A:F,2,0),"")</f>
        <v>Bond</v>
      </c>
      <c r="C184" t="str">
        <f>IF(NOT(ISBLANK(A184)),VLOOKUP(A184,'BBT3'!A:F,3,0),"")</f>
        <v>US912810RT79</v>
      </c>
      <c r="D184" s="5">
        <f>IF(NOT(ISBLANK(A184)),VLOOKUP(A184,'BBT3'!A:F,4,1),"")</f>
        <v>2.25</v>
      </c>
      <c r="E184">
        <f>IF(NOT(ISBLANK(A184)),VLOOKUP(A184,'BBT3'!A:F,5,0),"")</f>
        <v>53554</v>
      </c>
      <c r="F184" t="str">
        <f>IF(NOT(ISBLANK(A184)),VLOOKUP(A184,'BBT3'!A:F,6,0),"")</f>
        <v>N</v>
      </c>
      <c r="G184" t="str">
        <f t="shared" si="29"/>
        <v>N</v>
      </c>
      <c r="H184">
        <f>IF(NOT(ISBLANK(A184)),VLOOKUP(A184,'Close - PriceSaver'!A:J,5,0),"")</f>
        <v>5.21796235480231E-2</v>
      </c>
      <c r="I184" s="4" t="e" cm="1">
        <f t="array" ref="I184">IF(NOT(ISBLANK(A184)),((_xlfn.XLOOKUP(1,(_bbt3[[#All],[ID]]=A184)*(_bbt3[[#All],[METRIC_NAME]]="YLD_YTM_ASK"),_bbt3[[#All],[METRIC_VALUE]])*0.5)+(_xlfn.XLOOKUP(1,(_bbt3[[#All],[ID]]=A184)*(_bbt3[[#All],[METRIC_NAME]]="YLD_YTM_BID"),_bbt3[[#All],[METRIC_VALUE]])*0.5))/100,"")</f>
        <v>#N/A</v>
      </c>
      <c r="J184">
        <f>IF(ISNA(VLOOKUP(A184,'CloseDL - PriceSaverBBT3'!A:E,5,0)),0,VLOOKUP(A184,'CloseDL - PriceSaverBBT3'!A:E,5,0))</f>
        <v>5.21796235480231E-2</v>
      </c>
      <c r="K184" s="7">
        <f t="shared" si="30"/>
        <v>0</v>
      </c>
      <c r="L184" s="20">
        <f>IF(Close[[#This Row],[CreatedBy]]="MARINER\SilverAdm",1,0)</f>
        <v>1</v>
      </c>
      <c r="M184" t="str">
        <f>IF(NOT(ISBLANK(A184)),VLOOKUP(A184,'Close - PriceSaver'!A:J,6,0),"")</f>
        <v>DL input prc = 63.35156250  PX_ASK = 63.37500000 PX_BID = 63.32812500</v>
      </c>
      <c r="Q184" t="e">
        <f t="shared" si="31"/>
        <v>#N/A</v>
      </c>
      <c r="R184" t="e">
        <f t="shared" si="32"/>
        <v>#N/A</v>
      </c>
      <c r="S184" t="e">
        <f t="shared" si="33"/>
        <v>#N/A</v>
      </c>
      <c r="T184" s="15" t="e">
        <f t="shared" si="34"/>
        <v>#N/A</v>
      </c>
      <c r="U184" s="18" t="e">
        <f t="shared" si="35"/>
        <v>#N/A</v>
      </c>
      <c r="V184" s="18" t="e">
        <f t="shared" si="36"/>
        <v>#N/A</v>
      </c>
      <c r="W184" s="19" t="e">
        <f t="shared" si="37"/>
        <v>#N/A</v>
      </c>
      <c r="X184" t="e">
        <f>VLOOKUP(P184,Close[[ID]:[CreatedBy]],8,0)</f>
        <v>#N/A</v>
      </c>
    </row>
    <row r="185" spans="1:24" x14ac:dyDescent="0.35">
      <c r="A185" t="str">
        <v>912810RU4</v>
      </c>
      <c r="B185" t="str">
        <f>IF(NOT(ISBLANK(A185)),VLOOKUP(A185,'BBT3'!A:F,2,0),"")</f>
        <v>Bond</v>
      </c>
      <c r="C185" t="str">
        <f>IF(NOT(ISBLANK(A185)),VLOOKUP(A185,'BBT3'!A:F,3,0),"")</f>
        <v>US912810RU43</v>
      </c>
      <c r="D185" s="5">
        <f>IF(NOT(ISBLANK(A185)),VLOOKUP(A185,'BBT3'!A:F,4,1),"")</f>
        <v>2.875</v>
      </c>
      <c r="E185">
        <f>IF(NOT(ISBLANK(A185)),VLOOKUP(A185,'BBT3'!A:F,5,0),"")</f>
        <v>53646</v>
      </c>
      <c r="F185" t="str">
        <f>IF(NOT(ISBLANK(A185)),VLOOKUP(A185,'BBT3'!A:F,6,0),"")</f>
        <v>N</v>
      </c>
      <c r="G185" t="str">
        <f t="shared" si="29"/>
        <v>N</v>
      </c>
      <c r="H185">
        <f>IF(NOT(ISBLANK(A185)),VLOOKUP(A185,'Close - PriceSaver'!A:J,5,0),"")</f>
        <v>5.2026402675443797E-2</v>
      </c>
      <c r="I185" s="4" t="e" cm="1">
        <f t="array" ref="I185">IF(NOT(ISBLANK(A185)),((_xlfn.XLOOKUP(1,(_bbt3[[#All],[ID]]=A185)*(_bbt3[[#All],[METRIC_NAME]]="YLD_YTM_ASK"),_bbt3[[#All],[METRIC_VALUE]])*0.5)+(_xlfn.XLOOKUP(1,(_bbt3[[#All],[ID]]=A185)*(_bbt3[[#All],[METRIC_NAME]]="YLD_YTM_BID"),_bbt3[[#All],[METRIC_VALUE]])*0.5))/100,"")</f>
        <v>#N/A</v>
      </c>
      <c r="J185">
        <f>IF(ISNA(VLOOKUP(A185,'CloseDL - PriceSaverBBT3'!A:E,5,0)),0,VLOOKUP(A185,'CloseDL - PriceSaverBBT3'!A:E,5,0))</f>
        <v>5.2026402675443797E-2</v>
      </c>
      <c r="K185" s="7">
        <f t="shared" si="30"/>
        <v>0</v>
      </c>
      <c r="L185" s="20">
        <f>IF(Close[[#This Row],[CreatedBy]]="MARINER\SilverAdm",1,0)</f>
        <v>1</v>
      </c>
      <c r="M185" t="str">
        <f>IF(NOT(ISBLANK(A185)),VLOOKUP(A185,'Close - PriceSaver'!A:J,6,0),"")</f>
        <v>DL input prc = 71.01562500  PX_ASK = 71.04687500 PX_BID = 70.98437500</v>
      </c>
      <c r="Q185" t="e">
        <f t="shared" si="31"/>
        <v>#N/A</v>
      </c>
      <c r="R185" t="e">
        <f t="shared" si="32"/>
        <v>#N/A</v>
      </c>
      <c r="S185" t="e">
        <f t="shared" si="33"/>
        <v>#N/A</v>
      </c>
      <c r="T185" s="15" t="e">
        <f t="shared" si="34"/>
        <v>#N/A</v>
      </c>
      <c r="U185" s="18" t="e">
        <f t="shared" si="35"/>
        <v>#N/A</v>
      </c>
      <c r="V185" s="18" t="e">
        <f t="shared" si="36"/>
        <v>#N/A</v>
      </c>
      <c r="W185" s="19" t="e">
        <f t="shared" si="37"/>
        <v>#N/A</v>
      </c>
      <c r="X185" t="e">
        <f>VLOOKUP(P185,Close[[ID]:[CreatedBy]],8,0)</f>
        <v>#N/A</v>
      </c>
    </row>
    <row r="186" spans="1:24" x14ac:dyDescent="0.35">
      <c r="A186" t="str">
        <v>912810RV2</v>
      </c>
      <c r="B186" t="str">
        <f>IF(NOT(ISBLANK(A186)),VLOOKUP(A186,'BBT3'!A:F,2,0),"")</f>
        <v>Bond</v>
      </c>
      <c r="C186" t="str">
        <f>IF(NOT(ISBLANK(A186)),VLOOKUP(A186,'BBT3'!A:F,3,0),"")</f>
        <v>US912810RV26</v>
      </c>
      <c r="D186" s="5">
        <f>IF(NOT(ISBLANK(A186)),VLOOKUP(A186,'BBT3'!A:F,4,1),"")</f>
        <v>3</v>
      </c>
      <c r="E186">
        <f>IF(NOT(ISBLANK(A186)),VLOOKUP(A186,'BBT3'!A:F,5,0),"")</f>
        <v>53738</v>
      </c>
      <c r="F186" t="str">
        <f>IF(NOT(ISBLANK(A186)),VLOOKUP(A186,'BBT3'!A:F,6,0),"")</f>
        <v>N</v>
      </c>
      <c r="G186" t="str">
        <f t="shared" si="29"/>
        <v>N</v>
      </c>
      <c r="H186">
        <f>IF(NOT(ISBLANK(A186)),VLOOKUP(A186,'Close - PriceSaver'!A:J,5,0),"")</f>
        <v>5.2057208723417403E-2</v>
      </c>
      <c r="I186" s="4" t="e" cm="1">
        <f t="array" ref="I186">IF(NOT(ISBLANK(A186)),((_xlfn.XLOOKUP(1,(_bbt3[[#All],[ID]]=A186)*(_bbt3[[#All],[METRIC_NAME]]="YLD_YTM_ASK"),_bbt3[[#All],[METRIC_VALUE]])*0.5)+(_xlfn.XLOOKUP(1,(_bbt3[[#All],[ID]]=A186)*(_bbt3[[#All],[METRIC_NAME]]="YLD_YTM_BID"),_bbt3[[#All],[METRIC_VALUE]])*0.5))/100,"")</f>
        <v>#N/A</v>
      </c>
      <c r="J186">
        <f>IF(ISNA(VLOOKUP(A186,'CloseDL - PriceSaverBBT3'!A:E,5,0)),0,VLOOKUP(A186,'CloseDL - PriceSaverBBT3'!A:E,5,0))</f>
        <v>5.2057208723417403E-2</v>
      </c>
      <c r="K186" s="7">
        <f t="shared" si="30"/>
        <v>0</v>
      </c>
      <c r="L186" s="20">
        <f>IF(Close[[#This Row],[CreatedBy]]="MARINER\SilverAdm",1,0)</f>
        <v>1</v>
      </c>
      <c r="M186" t="str">
        <f>IF(NOT(ISBLANK(A186)),VLOOKUP(A186,'Close - PriceSaver'!A:J,6,0),"")</f>
        <v>DL input prc = 72.35156250  PX_ASK = 72.37500000 PX_BID = 72.32812500</v>
      </c>
      <c r="Q186" t="e">
        <f t="shared" si="31"/>
        <v>#N/A</v>
      </c>
      <c r="R186" t="e">
        <f t="shared" si="32"/>
        <v>#N/A</v>
      </c>
      <c r="S186" t="e">
        <f t="shared" si="33"/>
        <v>#N/A</v>
      </c>
      <c r="T186" s="15" t="e">
        <f t="shared" si="34"/>
        <v>#N/A</v>
      </c>
      <c r="U186" s="18" t="e">
        <f t="shared" si="35"/>
        <v>#N/A</v>
      </c>
      <c r="V186" s="18" t="e">
        <f t="shared" si="36"/>
        <v>#N/A</v>
      </c>
      <c r="W186" s="19" t="e">
        <f t="shared" si="37"/>
        <v>#N/A</v>
      </c>
      <c r="X186" t="e">
        <f>VLOOKUP(P186,Close[[ID]:[CreatedBy]],8,0)</f>
        <v>#N/A</v>
      </c>
    </row>
    <row r="187" spans="1:24" x14ac:dyDescent="0.35">
      <c r="A187" t="str">
        <v>912810RW0</v>
      </c>
      <c r="B187" t="str">
        <f>IF(NOT(ISBLANK(A187)),VLOOKUP(A187,'BBT3'!A:F,2,0),"")</f>
        <v>Bond</v>
      </c>
      <c r="C187" t="str">
        <f>IF(NOT(ISBLANK(A187)),VLOOKUP(A187,'BBT3'!A:F,3,0),"")</f>
        <v>US912810RW09</v>
      </c>
      <c r="D187" s="5">
        <f>IF(NOT(ISBLANK(A187)),VLOOKUP(A187,'BBT3'!A:F,4,1),"")</f>
        <v>0.875</v>
      </c>
      <c r="E187">
        <f>IF(NOT(ISBLANK(A187)),VLOOKUP(A187,'BBT3'!A:F,5,0),"")</f>
        <v>53738</v>
      </c>
      <c r="F187" t="str">
        <f>IF(NOT(ISBLANK(A187)),VLOOKUP(A187,'BBT3'!A:F,6,0),"")</f>
        <v>Y</v>
      </c>
      <c r="G187" t="str">
        <f t="shared" si="29"/>
        <v>N</v>
      </c>
      <c r="H187">
        <f>IF(NOT(ISBLANK(A187)),VLOOKUP(A187,'Close - PriceSaver'!A:J,5,0),"")</f>
        <v>2.94841964505148E-2</v>
      </c>
      <c r="I187" s="4" t="e" cm="1">
        <f t="array" ref="I187">IF(NOT(ISBLANK(A187)),((_xlfn.XLOOKUP(1,(_bbt3[[#All],[ID]]=A187)*(_bbt3[[#All],[METRIC_NAME]]="YLD_YTM_ASK"),_bbt3[[#All],[METRIC_VALUE]])*0.5)+(_xlfn.XLOOKUP(1,(_bbt3[[#All],[ID]]=A187)*(_bbt3[[#All],[METRIC_NAME]]="YLD_YTM_BID"),_bbt3[[#All],[METRIC_VALUE]])*0.5))/100,"")</f>
        <v>#N/A</v>
      </c>
      <c r="J187">
        <f>IF(ISNA(VLOOKUP(A187,'CloseDL - PriceSaverBBT3'!A:E,5,0)),0,VLOOKUP(A187,'CloseDL - PriceSaverBBT3'!A:E,5,0))</f>
        <v>2.94841964505148E-2</v>
      </c>
      <c r="K187" s="7">
        <f t="shared" si="30"/>
        <v>0</v>
      </c>
      <c r="L187" s="20">
        <f>IF(Close[[#This Row],[CreatedBy]]="MARINER\SilverAdm",1,0)</f>
        <v>1</v>
      </c>
      <c r="M187" t="str">
        <f>IF(NOT(ISBLANK(A187)),VLOOKUP(A187,'Close - PriceSaver'!A:J,6,0),"")</f>
        <v>DL input prc = 68.19531250  PX_ASK = 68.25781250 PX_BID = 68.13281250</v>
      </c>
      <c r="Q187" t="e">
        <f t="shared" si="31"/>
        <v>#N/A</v>
      </c>
      <c r="R187" t="e">
        <f t="shared" si="32"/>
        <v>#N/A</v>
      </c>
      <c r="S187" t="e">
        <f t="shared" si="33"/>
        <v>#N/A</v>
      </c>
      <c r="T187" s="15" t="e">
        <f t="shared" si="34"/>
        <v>#N/A</v>
      </c>
      <c r="U187" s="18" t="e">
        <f t="shared" si="35"/>
        <v>#N/A</v>
      </c>
      <c r="V187" s="18" t="e">
        <f t="shared" si="36"/>
        <v>#N/A</v>
      </c>
      <c r="W187" s="19" t="e">
        <f t="shared" si="37"/>
        <v>#N/A</v>
      </c>
      <c r="X187" t="e">
        <f>VLOOKUP(P187,Close[[ID]:[CreatedBy]],8,0)</f>
        <v>#N/A</v>
      </c>
    </row>
    <row r="188" spans="1:24" x14ac:dyDescent="0.35">
      <c r="A188" t="str">
        <v>912810RX8</v>
      </c>
      <c r="B188" t="str">
        <f>IF(NOT(ISBLANK(A188)),VLOOKUP(A188,'BBT3'!A:F,2,0),"")</f>
        <v>Bond</v>
      </c>
      <c r="C188" t="str">
        <f>IF(NOT(ISBLANK(A188)),VLOOKUP(A188,'BBT3'!A:F,3,0),"")</f>
        <v>US912810RX81</v>
      </c>
      <c r="D188" s="5">
        <f>IF(NOT(ISBLANK(A188)),VLOOKUP(A188,'BBT3'!A:F,4,1),"")</f>
        <v>3</v>
      </c>
      <c r="E188">
        <f>IF(NOT(ISBLANK(A188)),VLOOKUP(A188,'BBT3'!A:F,5,0),"")</f>
        <v>53827</v>
      </c>
      <c r="F188" t="str">
        <f>IF(NOT(ISBLANK(A188)),VLOOKUP(A188,'BBT3'!A:F,6,0),"")</f>
        <v>N</v>
      </c>
      <c r="G188" t="str">
        <f t="shared" si="29"/>
        <v>N</v>
      </c>
      <c r="H188">
        <f>IF(NOT(ISBLANK(A188)),VLOOKUP(A188,'Close - PriceSaver'!A:J,5,0),"")</f>
        <v>5.2062967276562497E-2</v>
      </c>
      <c r="I188" s="4" t="e" cm="1">
        <f t="array" ref="I188">IF(NOT(ISBLANK(A188)),((_xlfn.XLOOKUP(1,(_bbt3[[#All],[ID]]=A188)*(_bbt3[[#All],[METRIC_NAME]]="YLD_YTM_ASK"),_bbt3[[#All],[METRIC_VALUE]])*0.5)+(_xlfn.XLOOKUP(1,(_bbt3[[#All],[ID]]=A188)*(_bbt3[[#All],[METRIC_NAME]]="YLD_YTM_BID"),_bbt3[[#All],[METRIC_VALUE]])*0.5))/100,"")</f>
        <v>#N/A</v>
      </c>
      <c r="J188">
        <f>IF(ISNA(VLOOKUP(A188,'CloseDL - PriceSaverBBT3'!A:E,5,0)),0,VLOOKUP(A188,'CloseDL - PriceSaverBBT3'!A:E,5,0))</f>
        <v>5.2062967276562497E-2</v>
      </c>
      <c r="K188" s="7">
        <f t="shared" si="30"/>
        <v>0</v>
      </c>
      <c r="L188" s="20">
        <f>IF(Close[[#This Row],[CreatedBy]]="MARINER\SilverAdm",1,0)</f>
        <v>1</v>
      </c>
      <c r="M188" t="str">
        <f>IF(NOT(ISBLANK(A188)),VLOOKUP(A188,'Close - PriceSaver'!A:J,6,0),"")</f>
        <v>DL input prc = 72.15625000  PX_ASK = 72.18750000 PX_BID = 72.12500000</v>
      </c>
      <c r="Q188" t="e">
        <f t="shared" si="31"/>
        <v>#N/A</v>
      </c>
      <c r="R188" t="e">
        <f t="shared" si="32"/>
        <v>#N/A</v>
      </c>
      <c r="S188" t="e">
        <f t="shared" si="33"/>
        <v>#N/A</v>
      </c>
      <c r="T188" s="15" t="e">
        <f t="shared" si="34"/>
        <v>#N/A</v>
      </c>
      <c r="U188" s="18" t="e">
        <f t="shared" si="35"/>
        <v>#N/A</v>
      </c>
      <c r="V188" s="18" t="e">
        <f t="shared" si="36"/>
        <v>#N/A</v>
      </c>
      <c r="W188" s="19" t="e">
        <f t="shared" si="37"/>
        <v>#N/A</v>
      </c>
      <c r="X188" t="e">
        <f>VLOOKUP(P188,Close[[ID]:[CreatedBy]],8,0)</f>
        <v>#N/A</v>
      </c>
    </row>
    <row r="189" spans="1:24" x14ac:dyDescent="0.35">
      <c r="A189" t="str">
        <v>912810RY6</v>
      </c>
      <c r="B189" t="str">
        <f>IF(NOT(ISBLANK(A189)),VLOOKUP(A189,'BBT3'!A:F,2,0),"")</f>
        <v>Bond</v>
      </c>
      <c r="C189" t="str">
        <f>IF(NOT(ISBLANK(A189)),VLOOKUP(A189,'BBT3'!A:F,3,0),"")</f>
        <v>US912810RY64</v>
      </c>
      <c r="D189" s="5">
        <f>IF(NOT(ISBLANK(A189)),VLOOKUP(A189,'BBT3'!A:F,4,1),"")</f>
        <v>2.75</v>
      </c>
      <c r="E189">
        <f>IF(NOT(ISBLANK(A189)),VLOOKUP(A189,'BBT3'!A:F,5,0),"")</f>
        <v>53919</v>
      </c>
      <c r="F189" t="str">
        <f>IF(NOT(ISBLANK(A189)),VLOOKUP(A189,'BBT3'!A:F,6,0),"")</f>
        <v>N</v>
      </c>
      <c r="G189" t="str">
        <f t="shared" si="29"/>
        <v>N</v>
      </c>
      <c r="H189">
        <f>IF(NOT(ISBLANK(A189)),VLOOKUP(A189,'Close - PriceSaver'!A:J,5,0),"")</f>
        <v>5.2156656122513502E-2</v>
      </c>
      <c r="I189" s="4" t="e" cm="1">
        <f t="array" ref="I189">IF(NOT(ISBLANK(A189)),((_xlfn.XLOOKUP(1,(_bbt3[[#All],[ID]]=A189)*(_bbt3[[#All],[METRIC_NAME]]="YLD_YTM_ASK"),_bbt3[[#All],[METRIC_VALUE]])*0.5)+(_xlfn.XLOOKUP(1,(_bbt3[[#All],[ID]]=A189)*(_bbt3[[#All],[METRIC_NAME]]="YLD_YTM_BID"),_bbt3[[#All],[METRIC_VALUE]])*0.5))/100,"")</f>
        <v>#N/A</v>
      </c>
      <c r="J189">
        <f>IF(ISNA(VLOOKUP(A189,'CloseDL - PriceSaverBBT3'!A:E,5,0)),0,VLOOKUP(A189,'CloseDL - PriceSaverBBT3'!A:E,5,0))</f>
        <v>5.2156656122513502E-2</v>
      </c>
      <c r="K189" s="7">
        <f t="shared" si="30"/>
        <v>0</v>
      </c>
      <c r="L189" s="20">
        <f>IF(Close[[#This Row],[CreatedBy]]="MARINER\SilverAdm",1,0)</f>
        <v>1</v>
      </c>
      <c r="M189" t="str">
        <f>IF(NOT(ISBLANK(A189)),VLOOKUP(A189,'Close - PriceSaver'!A:J,6,0),"")</f>
        <v>DL input prc = 68.70312500  PX_ASK = 68.73437500 PX_BID = 68.67187500</v>
      </c>
      <c r="Q189" t="e">
        <f t="shared" si="31"/>
        <v>#N/A</v>
      </c>
      <c r="R189" t="e">
        <f t="shared" si="32"/>
        <v>#N/A</v>
      </c>
      <c r="S189" t="e">
        <f t="shared" si="33"/>
        <v>#N/A</v>
      </c>
      <c r="T189" s="15" t="e">
        <f t="shared" si="34"/>
        <v>#N/A</v>
      </c>
      <c r="U189" s="18" t="e">
        <f t="shared" si="35"/>
        <v>#N/A</v>
      </c>
      <c r="V189" s="18" t="e">
        <f t="shared" si="36"/>
        <v>#N/A</v>
      </c>
      <c r="W189" s="19" t="e">
        <f t="shared" si="37"/>
        <v>#N/A</v>
      </c>
      <c r="X189" t="e">
        <f>VLOOKUP(P189,Close[[ID]:[CreatedBy]],8,0)</f>
        <v>#N/A</v>
      </c>
    </row>
    <row r="190" spans="1:24" x14ac:dyDescent="0.35">
      <c r="A190" t="str">
        <v>912810RZ3</v>
      </c>
      <c r="B190" t="str">
        <f>IF(NOT(ISBLANK(A190)),VLOOKUP(A190,'BBT3'!A:F,2,0),"")</f>
        <v>Bond</v>
      </c>
      <c r="C190" t="str">
        <f>IF(NOT(ISBLANK(A190)),VLOOKUP(A190,'BBT3'!A:F,3,0),"")</f>
        <v>US912810RZ30</v>
      </c>
      <c r="D190" s="5">
        <f>IF(NOT(ISBLANK(A190)),VLOOKUP(A190,'BBT3'!A:F,4,1),"")</f>
        <v>2.75</v>
      </c>
      <c r="E190">
        <f>IF(NOT(ISBLANK(A190)),VLOOKUP(A190,'BBT3'!A:F,5,0),"")</f>
        <v>54011</v>
      </c>
      <c r="F190" t="str">
        <f>IF(NOT(ISBLANK(A190)),VLOOKUP(A190,'BBT3'!A:F,6,0),"")</f>
        <v>N</v>
      </c>
      <c r="G190" t="str">
        <f t="shared" si="29"/>
        <v>N</v>
      </c>
      <c r="H190">
        <f>IF(NOT(ISBLANK(A190)),VLOOKUP(A190,'Close - PriceSaver'!A:J,5,0),"")</f>
        <v>5.2162018382020198E-2</v>
      </c>
      <c r="I190" s="4" t="e" cm="1">
        <f t="array" ref="I190">IF(NOT(ISBLANK(A190)),((_xlfn.XLOOKUP(1,(_bbt3[[#All],[ID]]=A190)*(_bbt3[[#All],[METRIC_NAME]]="YLD_YTM_ASK"),_bbt3[[#All],[METRIC_VALUE]])*0.5)+(_xlfn.XLOOKUP(1,(_bbt3[[#All],[ID]]=A190)*(_bbt3[[#All],[METRIC_NAME]]="YLD_YTM_BID"),_bbt3[[#All],[METRIC_VALUE]])*0.5))/100,"")</f>
        <v>#N/A</v>
      </c>
      <c r="J190">
        <f>IF(ISNA(VLOOKUP(A190,'CloseDL - PriceSaverBBT3'!A:E,5,0)),0,VLOOKUP(A190,'CloseDL - PriceSaverBBT3'!A:E,5,0))</f>
        <v>5.2162018382020198E-2</v>
      </c>
      <c r="K190" s="7">
        <f t="shared" si="30"/>
        <v>0</v>
      </c>
      <c r="L190" s="20">
        <f>IF(Close[[#This Row],[CreatedBy]]="MARINER\SilverAdm",1,0)</f>
        <v>1</v>
      </c>
      <c r="M190" t="str">
        <f>IF(NOT(ISBLANK(A190)),VLOOKUP(A190,'Close - PriceSaver'!A:J,6,0),"")</f>
        <v>DL input prc = 68.49218750  PX_ASK = 68.51562500 PX_BID = 68.46875000</v>
      </c>
      <c r="Q190" t="e">
        <f t="shared" si="31"/>
        <v>#N/A</v>
      </c>
      <c r="R190" t="e">
        <f t="shared" si="32"/>
        <v>#N/A</v>
      </c>
      <c r="S190" t="e">
        <f t="shared" si="33"/>
        <v>#N/A</v>
      </c>
      <c r="T190" s="15" t="e">
        <f t="shared" si="34"/>
        <v>#N/A</v>
      </c>
      <c r="U190" s="18" t="e">
        <f t="shared" si="35"/>
        <v>#N/A</v>
      </c>
      <c r="V190" s="18" t="e">
        <f t="shared" si="36"/>
        <v>#N/A</v>
      </c>
      <c r="W190" s="19" t="e">
        <f t="shared" si="37"/>
        <v>#N/A</v>
      </c>
      <c r="X190" t="e">
        <f>VLOOKUP(P190,Close[[ID]:[CreatedBy]],8,0)</f>
        <v>#N/A</v>
      </c>
    </row>
    <row r="191" spans="1:24" x14ac:dyDescent="0.35">
      <c r="A191" t="str">
        <v>912810SA7</v>
      </c>
      <c r="B191" t="str">
        <f>IF(NOT(ISBLANK(A191)),VLOOKUP(A191,'BBT3'!A:F,2,0),"")</f>
        <v>Bond</v>
      </c>
      <c r="C191" t="str">
        <f>IF(NOT(ISBLANK(A191)),VLOOKUP(A191,'BBT3'!A:F,3,0),"")</f>
        <v>US912810SA79</v>
      </c>
      <c r="D191" s="5">
        <f>IF(NOT(ISBLANK(A191)),VLOOKUP(A191,'BBT3'!A:F,4,1),"")</f>
        <v>3</v>
      </c>
      <c r="E191">
        <f>IF(NOT(ISBLANK(A191)),VLOOKUP(A191,'BBT3'!A:F,5,0),"")</f>
        <v>54103</v>
      </c>
      <c r="F191" t="str">
        <f>IF(NOT(ISBLANK(A191)),VLOOKUP(A191,'BBT3'!A:F,6,0),"")</f>
        <v>N</v>
      </c>
      <c r="G191" t="str">
        <f t="shared" si="29"/>
        <v>N</v>
      </c>
      <c r="H191">
        <f>IF(NOT(ISBLANK(A191)),VLOOKUP(A191,'Close - PriceSaver'!A:J,5,0),"")</f>
        <v>5.2137121927849701E-2</v>
      </c>
      <c r="I191" s="4" t="e" cm="1">
        <f t="array" ref="I191">IF(NOT(ISBLANK(A191)),((_xlfn.XLOOKUP(1,(_bbt3[[#All],[ID]]=A191)*(_bbt3[[#All],[METRIC_NAME]]="YLD_YTM_ASK"),_bbt3[[#All],[METRIC_VALUE]])*0.5)+(_xlfn.XLOOKUP(1,(_bbt3[[#All],[ID]]=A191)*(_bbt3[[#All],[METRIC_NAME]]="YLD_YTM_BID"),_bbt3[[#All],[METRIC_VALUE]])*0.5))/100,"")</f>
        <v>#N/A</v>
      </c>
      <c r="J191">
        <f>IF(ISNA(VLOOKUP(A191,'CloseDL - PriceSaverBBT3'!A:E,5,0)),0,VLOOKUP(A191,'CloseDL - PriceSaverBBT3'!A:E,5,0))</f>
        <v>5.2137121927849701E-2</v>
      </c>
      <c r="K191" s="7">
        <f t="shared" si="30"/>
        <v>0</v>
      </c>
      <c r="L191" s="20">
        <f>IF(Close[[#This Row],[CreatedBy]]="MARINER\SilverAdm",1,0)</f>
        <v>1</v>
      </c>
      <c r="M191" t="str">
        <f>IF(NOT(ISBLANK(A191)),VLOOKUP(A191,'Close - PriceSaver'!A:J,6,0),"")</f>
        <v>DL input prc = 71.53125000  PX_ASK = 71.54687500 PX_BID = 71.51562500</v>
      </c>
      <c r="Q191" t="e">
        <f t="shared" si="31"/>
        <v>#N/A</v>
      </c>
      <c r="R191" t="e">
        <f t="shared" si="32"/>
        <v>#N/A</v>
      </c>
      <c r="S191" t="e">
        <f t="shared" si="33"/>
        <v>#N/A</v>
      </c>
      <c r="T191" s="15" t="e">
        <f t="shared" si="34"/>
        <v>#N/A</v>
      </c>
      <c r="U191" s="18" t="e">
        <f t="shared" si="35"/>
        <v>#N/A</v>
      </c>
      <c r="V191" s="18" t="e">
        <f t="shared" si="36"/>
        <v>#N/A</v>
      </c>
      <c r="W191" s="19" t="e">
        <f t="shared" si="37"/>
        <v>#N/A</v>
      </c>
      <c r="X191" t="e">
        <f>VLOOKUP(P191,Close[[ID]:[CreatedBy]],8,0)</f>
        <v>#N/A</v>
      </c>
    </row>
    <row r="192" spans="1:24" x14ac:dyDescent="0.35">
      <c r="A192" t="str">
        <v>912810SB5</v>
      </c>
      <c r="B192" t="str">
        <f>IF(NOT(ISBLANK(A192)),VLOOKUP(A192,'BBT3'!A:F,2,0),"")</f>
        <v>Bond</v>
      </c>
      <c r="C192" t="str">
        <f>IF(NOT(ISBLANK(A192)),VLOOKUP(A192,'BBT3'!A:F,3,0),"")</f>
        <v>US912810SB52</v>
      </c>
      <c r="D192" s="5">
        <f>IF(NOT(ISBLANK(A192)),VLOOKUP(A192,'BBT3'!A:F,4,1),"")</f>
        <v>1</v>
      </c>
      <c r="E192">
        <f>IF(NOT(ISBLANK(A192)),VLOOKUP(A192,'BBT3'!A:F,5,0),"")</f>
        <v>54103</v>
      </c>
      <c r="F192" t="str">
        <f>IF(NOT(ISBLANK(A192)),VLOOKUP(A192,'BBT3'!A:F,6,0),"")</f>
        <v>Y</v>
      </c>
      <c r="G192" t="str">
        <f t="shared" si="29"/>
        <v>N</v>
      </c>
      <c r="H192">
        <f>IF(NOT(ISBLANK(A192)),VLOOKUP(A192,'Close - PriceSaver'!A:J,5,0),"")</f>
        <v>2.9549727531424999E-2</v>
      </c>
      <c r="I192" s="4" t="e" cm="1">
        <f t="array" ref="I192">IF(NOT(ISBLANK(A192)),((_xlfn.XLOOKUP(1,(_bbt3[[#All],[ID]]=A192)*(_bbt3[[#All],[METRIC_NAME]]="YLD_YTM_ASK"),_bbt3[[#All],[METRIC_VALUE]])*0.5)+(_xlfn.XLOOKUP(1,(_bbt3[[#All],[ID]]=A192)*(_bbt3[[#All],[METRIC_NAME]]="YLD_YTM_BID"),_bbt3[[#All],[METRIC_VALUE]])*0.5))/100,"")</f>
        <v>#N/A</v>
      </c>
      <c r="J192">
        <f>IF(ISNA(VLOOKUP(A192,'CloseDL - PriceSaverBBT3'!A:E,5,0)),0,VLOOKUP(A192,'CloseDL - PriceSaverBBT3'!A:E,5,0))</f>
        <v>2.9549727531424999E-2</v>
      </c>
      <c r="K192" s="7">
        <f t="shared" si="30"/>
        <v>0</v>
      </c>
      <c r="L192" s="20">
        <f>IF(Close[[#This Row],[CreatedBy]]="MARINER\SilverAdm",1,0)</f>
        <v>1</v>
      </c>
      <c r="M192" t="str">
        <f>IF(NOT(ISBLANK(A192)),VLOOKUP(A192,'Close - PriceSaver'!A:J,6,0),"")</f>
        <v>DL input prc = 68.98437500  PX_ASK = 69.04687500 PX_BID = 68.92187500</v>
      </c>
      <c r="Q192" t="e">
        <f t="shared" si="31"/>
        <v>#N/A</v>
      </c>
      <c r="R192" t="e">
        <f t="shared" si="32"/>
        <v>#N/A</v>
      </c>
      <c r="S192" t="e">
        <f t="shared" si="33"/>
        <v>#N/A</v>
      </c>
      <c r="T192" s="15" t="e">
        <f t="shared" si="34"/>
        <v>#N/A</v>
      </c>
      <c r="U192" s="18" t="e">
        <f t="shared" si="35"/>
        <v>#N/A</v>
      </c>
      <c r="V192" s="18" t="e">
        <f t="shared" si="36"/>
        <v>#N/A</v>
      </c>
      <c r="W192" s="19" t="e">
        <f t="shared" si="37"/>
        <v>#N/A</v>
      </c>
      <c r="X192" t="e">
        <f>VLOOKUP(P192,Close[[ID]:[CreatedBy]],8,0)</f>
        <v>#N/A</v>
      </c>
    </row>
    <row r="193" spans="1:24" x14ac:dyDescent="0.35">
      <c r="A193" t="str">
        <v>912810SC3</v>
      </c>
      <c r="B193" t="str">
        <f>IF(NOT(ISBLANK(A193)),VLOOKUP(A193,'BBT3'!A:F,2,0),"")</f>
        <v>Bond</v>
      </c>
      <c r="C193" t="str">
        <f>IF(NOT(ISBLANK(A193)),VLOOKUP(A193,'BBT3'!A:F,3,0),"")</f>
        <v>US912810SC36</v>
      </c>
      <c r="D193" s="5">
        <f>IF(NOT(ISBLANK(A193)),VLOOKUP(A193,'BBT3'!A:F,4,1),"")</f>
        <v>3.125</v>
      </c>
      <c r="E193">
        <f>IF(NOT(ISBLANK(A193)),VLOOKUP(A193,'BBT3'!A:F,5,0),"")</f>
        <v>54193</v>
      </c>
      <c r="F193" t="str">
        <f>IF(NOT(ISBLANK(A193)),VLOOKUP(A193,'BBT3'!A:F,6,0),"")</f>
        <v>N</v>
      </c>
      <c r="G193" t="str">
        <f t="shared" si="29"/>
        <v>N</v>
      </c>
      <c r="H193">
        <f>IF(NOT(ISBLANK(A193)),VLOOKUP(A193,'Close - PriceSaver'!A:J,5,0),"")</f>
        <v>5.2129108205136498E-2</v>
      </c>
      <c r="I193" s="4" t="e" cm="1">
        <f t="array" ref="I193">IF(NOT(ISBLANK(A193)),((_xlfn.XLOOKUP(1,(_bbt3[[#All],[ID]]=A193)*(_bbt3[[#All],[METRIC_NAME]]="YLD_YTM_ASK"),_bbt3[[#All],[METRIC_VALUE]])*0.5)+(_xlfn.XLOOKUP(1,(_bbt3[[#All],[ID]]=A193)*(_bbt3[[#All],[METRIC_NAME]]="YLD_YTM_BID"),_bbt3[[#All],[METRIC_VALUE]])*0.5))/100,"")</f>
        <v>#N/A</v>
      </c>
      <c r="J193">
        <f>IF(ISNA(VLOOKUP(A193,'CloseDL - PriceSaverBBT3'!A:E,5,0)),0,VLOOKUP(A193,'CloseDL - PriceSaverBBT3'!A:E,5,0))</f>
        <v>5.2129108205136498E-2</v>
      </c>
      <c r="K193" s="7">
        <f t="shared" si="30"/>
        <v>0</v>
      </c>
      <c r="L193" s="20">
        <f>IF(Close[[#This Row],[CreatedBy]]="MARINER\SilverAdm",1,0)</f>
        <v>1</v>
      </c>
      <c r="M193" t="str">
        <f>IF(NOT(ISBLANK(A193)),VLOOKUP(A193,'Close - PriceSaver'!A:J,6,0),"")</f>
        <v>DL input prc = 72.97656250  PX_ASK = 73.00000000 PX_BID = 72.95312500</v>
      </c>
      <c r="Q193" t="e">
        <f t="shared" si="31"/>
        <v>#N/A</v>
      </c>
      <c r="R193" t="e">
        <f t="shared" si="32"/>
        <v>#N/A</v>
      </c>
      <c r="S193" t="e">
        <f t="shared" si="33"/>
        <v>#N/A</v>
      </c>
      <c r="T193" s="15" t="e">
        <f t="shared" si="34"/>
        <v>#N/A</v>
      </c>
      <c r="U193" s="18" t="e">
        <f t="shared" si="35"/>
        <v>#N/A</v>
      </c>
      <c r="V193" s="18" t="e">
        <f t="shared" si="36"/>
        <v>#N/A</v>
      </c>
      <c r="W193" s="19" t="e">
        <f t="shared" si="37"/>
        <v>#N/A</v>
      </c>
      <c r="X193" t="e">
        <f>VLOOKUP(P193,Close[[ID]:[CreatedBy]],8,0)</f>
        <v>#N/A</v>
      </c>
    </row>
    <row r="194" spans="1:24" x14ac:dyDescent="0.35">
      <c r="A194" t="str">
        <v>912810SD1</v>
      </c>
      <c r="B194" t="str">
        <f>IF(NOT(ISBLANK(A194)),VLOOKUP(A194,'BBT3'!A:F,2,0),"")</f>
        <v>Bond</v>
      </c>
      <c r="C194" t="str">
        <f>IF(NOT(ISBLANK(A194)),VLOOKUP(A194,'BBT3'!A:F,3,0),"")</f>
        <v>US912810SD19</v>
      </c>
      <c r="D194" s="5">
        <f>IF(NOT(ISBLANK(A194)),VLOOKUP(A194,'BBT3'!A:F,4,1),"")</f>
        <v>3</v>
      </c>
      <c r="E194">
        <f>IF(NOT(ISBLANK(A194)),VLOOKUP(A194,'BBT3'!A:F,5,0),"")</f>
        <v>54285</v>
      </c>
      <c r="F194" t="str">
        <f>IF(NOT(ISBLANK(A194)),VLOOKUP(A194,'BBT3'!A:F,6,0),"")</f>
        <v>N</v>
      </c>
      <c r="G194" t="str">
        <f t="shared" si="29"/>
        <v>N</v>
      </c>
      <c r="H194">
        <f>IF(NOT(ISBLANK(A194)),VLOOKUP(A194,'Close - PriceSaver'!A:J,5,0),"")</f>
        <v>5.2163320865354003E-2</v>
      </c>
      <c r="I194" s="4" t="e" cm="1">
        <f t="array" ref="I194">IF(NOT(ISBLANK(A194)),((_xlfn.XLOOKUP(1,(_bbt3[[#All],[ID]]=A194)*(_bbt3[[#All],[METRIC_NAME]]="YLD_YTM_ASK"),_bbt3[[#All],[METRIC_VALUE]])*0.5)+(_xlfn.XLOOKUP(1,(_bbt3[[#All],[ID]]=A194)*(_bbt3[[#All],[METRIC_NAME]]="YLD_YTM_BID"),_bbt3[[#All],[METRIC_VALUE]])*0.5))/100,"")</f>
        <v>#N/A</v>
      </c>
      <c r="J194">
        <f>IF(ISNA(VLOOKUP(A194,'CloseDL - PriceSaverBBT3'!A:E,5,0)),0,VLOOKUP(A194,'CloseDL - PriceSaverBBT3'!A:E,5,0))</f>
        <v>5.2163320865354003E-2</v>
      </c>
      <c r="K194" s="7">
        <f t="shared" si="30"/>
        <v>0</v>
      </c>
      <c r="L194" s="20">
        <f>IF(Close[[#This Row],[CreatedBy]]="MARINER\SilverAdm",1,0)</f>
        <v>1</v>
      </c>
      <c r="M194" t="str">
        <f>IF(NOT(ISBLANK(A194)),VLOOKUP(A194,'Close - PriceSaver'!A:J,6,0),"")</f>
        <v>DL input prc = 71.14843750  PX_ASK = 71.17187500 PX_BID = 71.12500000</v>
      </c>
      <c r="Q194" t="e">
        <f t="shared" si="31"/>
        <v>#N/A</v>
      </c>
      <c r="R194" t="e">
        <f t="shared" si="32"/>
        <v>#N/A</v>
      </c>
      <c r="S194" t="e">
        <f t="shared" si="33"/>
        <v>#N/A</v>
      </c>
      <c r="T194" s="15" t="e">
        <f t="shared" si="34"/>
        <v>#N/A</v>
      </c>
      <c r="U194" s="18" t="e">
        <f t="shared" si="35"/>
        <v>#N/A</v>
      </c>
      <c r="V194" s="18" t="e">
        <f t="shared" si="36"/>
        <v>#N/A</v>
      </c>
      <c r="W194" s="19" t="e">
        <f t="shared" si="37"/>
        <v>#N/A</v>
      </c>
      <c r="X194" t="e">
        <f>VLOOKUP(P194,Close[[ID]:[CreatedBy]],8,0)</f>
        <v>#N/A</v>
      </c>
    </row>
    <row r="195" spans="1:24" x14ac:dyDescent="0.35">
      <c r="A195" t="str">
        <v>912810SE9</v>
      </c>
      <c r="B195" t="str">
        <f>IF(NOT(ISBLANK(A195)),VLOOKUP(A195,'BBT3'!A:F,2,0),"")</f>
        <v>Bond</v>
      </c>
      <c r="C195" t="str">
        <f>IF(NOT(ISBLANK(A195)),VLOOKUP(A195,'BBT3'!A:F,3,0),"")</f>
        <v>US912810SE91</v>
      </c>
      <c r="D195" s="5">
        <f>IF(NOT(ISBLANK(A195)),VLOOKUP(A195,'BBT3'!A:F,4,1),"")</f>
        <v>3.375</v>
      </c>
      <c r="E195">
        <f>IF(NOT(ISBLANK(A195)),VLOOKUP(A195,'BBT3'!A:F,5,0),"")</f>
        <v>54377</v>
      </c>
      <c r="F195" t="str">
        <f>IF(NOT(ISBLANK(A195)),VLOOKUP(A195,'BBT3'!A:F,6,0),"")</f>
        <v>N</v>
      </c>
      <c r="G195" t="str">
        <f t="shared" ref="G195:G258" si="38">IF(NOT(ISBLANK(A195)),IF(D195=0,"Y","N"),"")</f>
        <v>N</v>
      </c>
      <c r="H195">
        <f>IF(NOT(ISBLANK(A195)),VLOOKUP(A195,'Close - PriceSaver'!A:J,5,0),"")</f>
        <v>5.2077197928357202E-2</v>
      </c>
      <c r="I195" s="4" t="e" cm="1">
        <f t="array" ref="I195">IF(NOT(ISBLANK(A195)),((_xlfn.XLOOKUP(1,(_bbt3[[#All],[ID]]=A195)*(_bbt3[[#All],[METRIC_NAME]]="YLD_YTM_ASK"),_bbt3[[#All],[METRIC_VALUE]])*0.5)+(_xlfn.XLOOKUP(1,(_bbt3[[#All],[ID]]=A195)*(_bbt3[[#All],[METRIC_NAME]]="YLD_YTM_BID"),_bbt3[[#All],[METRIC_VALUE]])*0.5))/100,"")</f>
        <v>#N/A</v>
      </c>
      <c r="J195">
        <f>IF(ISNA(VLOOKUP(A195,'CloseDL - PriceSaverBBT3'!A:E,5,0)),0,VLOOKUP(A195,'CloseDL - PriceSaverBBT3'!A:E,5,0))</f>
        <v>5.2077197928357202E-2</v>
      </c>
      <c r="K195" s="7">
        <f t="shared" ref="K195:K258" si="39">IF(ISNA(IF(NOT(ISBLANK(A195)),ABS(H195-J195),"")),0,(IF(NOT(ISBLANK(A195)),ABS(H195-J195)*10000,"")))</f>
        <v>0</v>
      </c>
      <c r="L195" s="20">
        <f>IF(Close[[#This Row],[CreatedBy]]="MARINER\SilverAdm",1,0)</f>
        <v>1</v>
      </c>
      <c r="M195" t="str">
        <f>IF(NOT(ISBLANK(A195)),VLOOKUP(A195,'Close - PriceSaver'!A:J,6,0),"")</f>
        <v>DL input prc = 75.97656250  PX_ASK = 76.00000000 PX_BID = 75.95312500</v>
      </c>
      <c r="Q195" t="e">
        <f t="shared" si="31"/>
        <v>#N/A</v>
      </c>
      <c r="R195" t="e">
        <f t="shared" si="32"/>
        <v>#N/A</v>
      </c>
      <c r="S195" t="e">
        <f t="shared" si="33"/>
        <v>#N/A</v>
      </c>
      <c r="T195" s="15" t="e">
        <f t="shared" si="34"/>
        <v>#N/A</v>
      </c>
      <c r="U195" s="18" t="e">
        <f t="shared" si="35"/>
        <v>#N/A</v>
      </c>
      <c r="V195" s="18" t="e">
        <f t="shared" si="36"/>
        <v>#N/A</v>
      </c>
      <c r="W195" s="19" t="e">
        <f t="shared" si="37"/>
        <v>#N/A</v>
      </c>
      <c r="X195" t="e">
        <f>VLOOKUP(P195,Close[[ID]:[CreatedBy]],8,0)</f>
        <v>#N/A</v>
      </c>
    </row>
    <row r="196" spans="1:24" x14ac:dyDescent="0.35">
      <c r="A196" t="str">
        <v>912810SF6</v>
      </c>
      <c r="B196" t="str">
        <f>IF(NOT(ISBLANK(A196)),VLOOKUP(A196,'BBT3'!A:F,2,0),"")</f>
        <v>Bond</v>
      </c>
      <c r="C196" t="str">
        <f>IF(NOT(ISBLANK(A196)),VLOOKUP(A196,'BBT3'!A:F,3,0),"")</f>
        <v>US912810SF66</v>
      </c>
      <c r="D196" s="5">
        <f>IF(NOT(ISBLANK(A196)),VLOOKUP(A196,'BBT3'!A:F,4,1),"")</f>
        <v>3</v>
      </c>
      <c r="E196">
        <f>IF(NOT(ISBLANK(A196)),VLOOKUP(A196,'BBT3'!A:F,5,0),"")</f>
        <v>54469</v>
      </c>
      <c r="F196" t="str">
        <f>IF(NOT(ISBLANK(A196)),VLOOKUP(A196,'BBT3'!A:F,6,0),"")</f>
        <v>N</v>
      </c>
      <c r="G196" t="str">
        <f t="shared" si="38"/>
        <v>N</v>
      </c>
      <c r="H196">
        <f>IF(NOT(ISBLANK(A196)),VLOOKUP(A196,'Close - PriceSaver'!A:J,5,0),"")</f>
        <v>5.2160525312509899E-2</v>
      </c>
      <c r="I196" s="4" t="e" cm="1">
        <f t="array" ref="I196">IF(NOT(ISBLANK(A196)),((_xlfn.XLOOKUP(1,(_bbt3[[#All],[ID]]=A196)*(_bbt3[[#All],[METRIC_NAME]]="YLD_YTM_ASK"),_bbt3[[#All],[METRIC_VALUE]])*0.5)+(_xlfn.XLOOKUP(1,(_bbt3[[#All],[ID]]=A196)*(_bbt3[[#All],[METRIC_NAME]]="YLD_YTM_BID"),_bbt3[[#All],[METRIC_VALUE]])*0.5))/100,"")</f>
        <v>#N/A</v>
      </c>
      <c r="J196">
        <f>IF(ISNA(VLOOKUP(A196,'CloseDL - PriceSaverBBT3'!A:E,5,0)),0,VLOOKUP(A196,'CloseDL - PriceSaverBBT3'!A:E,5,0))</f>
        <v>5.2160525312509899E-2</v>
      </c>
      <c r="K196" s="7">
        <f t="shared" si="39"/>
        <v>0</v>
      </c>
      <c r="L196" s="20">
        <f>IF(Close[[#This Row],[CreatedBy]]="MARINER\SilverAdm",1,0)</f>
        <v>1</v>
      </c>
      <c r="M196" t="str">
        <f>IF(NOT(ISBLANK(A196)),VLOOKUP(A196,'Close - PriceSaver'!A:J,6,0),"")</f>
        <v>DL input prc = 70.80468750  PX_ASK = 70.82812500 PX_BID = 70.78125000</v>
      </c>
      <c r="Q196" t="e">
        <f t="shared" si="31"/>
        <v>#N/A</v>
      </c>
      <c r="R196" t="e">
        <f t="shared" si="32"/>
        <v>#N/A</v>
      </c>
      <c r="S196" t="e">
        <f t="shared" si="33"/>
        <v>#N/A</v>
      </c>
      <c r="T196" s="15" t="e">
        <f t="shared" si="34"/>
        <v>#N/A</v>
      </c>
      <c r="U196" s="18" t="e">
        <f t="shared" si="35"/>
        <v>#N/A</v>
      </c>
      <c r="V196" s="18" t="e">
        <f t="shared" si="36"/>
        <v>#N/A</v>
      </c>
      <c r="W196" s="19" t="e">
        <f t="shared" si="37"/>
        <v>#N/A</v>
      </c>
      <c r="X196" t="e">
        <f>VLOOKUP(P196,Close[[ID]:[CreatedBy]],8,0)</f>
        <v>#N/A</v>
      </c>
    </row>
    <row r="197" spans="1:24" x14ac:dyDescent="0.35">
      <c r="A197" t="str">
        <v>912810SG4</v>
      </c>
      <c r="B197" t="str">
        <f>IF(NOT(ISBLANK(A197)),VLOOKUP(A197,'BBT3'!A:F,2,0),"")</f>
        <v>Bond</v>
      </c>
      <c r="C197" t="str">
        <f>IF(NOT(ISBLANK(A197)),VLOOKUP(A197,'BBT3'!A:F,3,0),"")</f>
        <v>US912810SG40</v>
      </c>
      <c r="D197" s="5">
        <f>IF(NOT(ISBLANK(A197)),VLOOKUP(A197,'BBT3'!A:F,4,1),"")</f>
        <v>1</v>
      </c>
      <c r="E197">
        <f>IF(NOT(ISBLANK(A197)),VLOOKUP(A197,'BBT3'!A:F,5,0),"")</f>
        <v>54469</v>
      </c>
      <c r="F197" t="str">
        <f>IF(NOT(ISBLANK(A197)),VLOOKUP(A197,'BBT3'!A:F,6,0),"")</f>
        <v>Y</v>
      </c>
      <c r="G197" t="str">
        <f t="shared" si="38"/>
        <v>N</v>
      </c>
      <c r="H197">
        <f>IF(NOT(ISBLANK(A197)),VLOOKUP(A197,'Close - PriceSaver'!A:J,5,0),"")</f>
        <v>2.9531667725954201E-2</v>
      </c>
      <c r="I197" s="4" t="e" cm="1">
        <f t="array" ref="I197">IF(NOT(ISBLANK(A197)),((_xlfn.XLOOKUP(1,(_bbt3[[#All],[ID]]=A197)*(_bbt3[[#All],[METRIC_NAME]]="YLD_YTM_ASK"),_bbt3[[#All],[METRIC_VALUE]])*0.5)+(_xlfn.XLOOKUP(1,(_bbt3[[#All],[ID]]=A197)*(_bbt3[[#All],[METRIC_NAME]]="YLD_YTM_BID"),_bbt3[[#All],[METRIC_VALUE]])*0.5))/100,"")</f>
        <v>#N/A</v>
      </c>
      <c r="J197">
        <f>IF(ISNA(VLOOKUP(A197,'CloseDL - PriceSaverBBT3'!A:E,5,0)),0,VLOOKUP(A197,'CloseDL - PriceSaverBBT3'!A:E,5,0))</f>
        <v>2.9531667725954201E-2</v>
      </c>
      <c r="K197" s="7">
        <f t="shared" si="39"/>
        <v>0</v>
      </c>
      <c r="L197" s="20">
        <f>IF(Close[[#This Row],[CreatedBy]]="MARINER\SilverAdm",1,0)</f>
        <v>1</v>
      </c>
      <c r="M197" t="str">
        <f>IF(NOT(ISBLANK(A197)),VLOOKUP(A197,'Close - PriceSaver'!A:J,6,0),"")</f>
        <v>DL input prc = 67.99218750  PX_ASK = 68.05468750 PX_BID = 67.92968750</v>
      </c>
      <c r="Q197" t="e">
        <f t="shared" si="31"/>
        <v>#N/A</v>
      </c>
      <c r="R197" t="e">
        <f t="shared" si="32"/>
        <v>#N/A</v>
      </c>
      <c r="S197" t="e">
        <f t="shared" si="33"/>
        <v>#N/A</v>
      </c>
      <c r="T197" s="15" t="e">
        <f t="shared" si="34"/>
        <v>#N/A</v>
      </c>
      <c r="U197" s="18" t="e">
        <f t="shared" si="35"/>
        <v>#N/A</v>
      </c>
      <c r="V197" s="18" t="e">
        <f t="shared" si="36"/>
        <v>#N/A</v>
      </c>
      <c r="W197" s="19" t="e">
        <f t="shared" si="37"/>
        <v>#N/A</v>
      </c>
      <c r="X197" t="e">
        <f>VLOOKUP(P197,Close[[ID]:[CreatedBy]],8,0)</f>
        <v>#N/A</v>
      </c>
    </row>
    <row r="198" spans="1:24" x14ac:dyDescent="0.35">
      <c r="A198" t="str">
        <v>912810SH2</v>
      </c>
      <c r="B198" t="str">
        <f>IF(NOT(ISBLANK(A198)),VLOOKUP(A198,'BBT3'!A:F,2,0),"")</f>
        <v>Bond</v>
      </c>
      <c r="C198" t="str">
        <f>IF(NOT(ISBLANK(A198)),VLOOKUP(A198,'BBT3'!A:F,3,0),"")</f>
        <v>US912810SH23</v>
      </c>
      <c r="D198" s="5">
        <f>IF(NOT(ISBLANK(A198)),VLOOKUP(A198,'BBT3'!A:F,4,1),"")</f>
        <v>2.875</v>
      </c>
      <c r="E198">
        <f>IF(NOT(ISBLANK(A198)),VLOOKUP(A198,'BBT3'!A:F,5,0),"")</f>
        <v>54558</v>
      </c>
      <c r="F198" t="str">
        <f>IF(NOT(ISBLANK(A198)),VLOOKUP(A198,'BBT3'!A:F,6,0),"")</f>
        <v>N</v>
      </c>
      <c r="G198" t="str">
        <f t="shared" si="38"/>
        <v>N</v>
      </c>
      <c r="H198">
        <f>IF(NOT(ISBLANK(A198)),VLOOKUP(A198,'Close - PriceSaver'!A:J,5,0),"")</f>
        <v>5.2198661264130301E-2</v>
      </c>
      <c r="I198" s="4" t="e" cm="1">
        <f t="array" ref="I198">IF(NOT(ISBLANK(A198)),((_xlfn.XLOOKUP(1,(_bbt3[[#All],[ID]]=A198)*(_bbt3[[#All],[METRIC_NAME]]="YLD_YTM_ASK"),_bbt3[[#All],[METRIC_VALUE]])*0.5)+(_xlfn.XLOOKUP(1,(_bbt3[[#All],[ID]]=A198)*(_bbt3[[#All],[METRIC_NAME]]="YLD_YTM_BID"),_bbt3[[#All],[METRIC_VALUE]])*0.5))/100,"")</f>
        <v>#N/A</v>
      </c>
      <c r="J198">
        <f>IF(ISNA(VLOOKUP(A198,'CloseDL - PriceSaverBBT3'!A:E,5,0)),0,VLOOKUP(A198,'CloseDL - PriceSaverBBT3'!A:E,5,0))</f>
        <v>5.2198661264130301E-2</v>
      </c>
      <c r="K198" s="7">
        <f t="shared" si="39"/>
        <v>0</v>
      </c>
      <c r="L198" s="20">
        <f>IF(Close[[#This Row],[CreatedBy]]="MARINER\SilverAdm",1,0)</f>
        <v>1</v>
      </c>
      <c r="M198" t="str">
        <f>IF(NOT(ISBLANK(A198)),VLOOKUP(A198,'Close - PriceSaver'!A:J,6,0),"")</f>
        <v>DL input prc = 68.93750000  PX_ASK = 68.95312500 PX_BID = 68.92187500</v>
      </c>
      <c r="Q198" t="e">
        <f t="shared" si="31"/>
        <v>#N/A</v>
      </c>
      <c r="R198" t="e">
        <f t="shared" si="32"/>
        <v>#N/A</v>
      </c>
      <c r="S198" t="e">
        <f t="shared" si="33"/>
        <v>#N/A</v>
      </c>
      <c r="T198" s="15" t="e">
        <f t="shared" si="34"/>
        <v>#N/A</v>
      </c>
      <c r="U198" s="18" t="e">
        <f t="shared" si="35"/>
        <v>#N/A</v>
      </c>
      <c r="V198" s="18" t="e">
        <f t="shared" si="36"/>
        <v>#N/A</v>
      </c>
      <c r="W198" s="19" t="e">
        <f t="shared" si="37"/>
        <v>#N/A</v>
      </c>
      <c r="X198" t="e">
        <f>VLOOKUP(P198,Close[[ID]:[CreatedBy]],8,0)</f>
        <v>#N/A</v>
      </c>
    </row>
    <row r="199" spans="1:24" x14ac:dyDescent="0.35">
      <c r="A199" t="str">
        <v>912810SJ8</v>
      </c>
      <c r="B199" t="str">
        <f>IF(NOT(ISBLANK(A199)),VLOOKUP(A199,'BBT3'!A:F,2,0),"")</f>
        <v>Bond</v>
      </c>
      <c r="C199" t="str">
        <f>IF(NOT(ISBLANK(A199)),VLOOKUP(A199,'BBT3'!A:F,3,0),"")</f>
        <v>US912810SJ88</v>
      </c>
      <c r="D199" s="5">
        <f>IF(NOT(ISBLANK(A199)),VLOOKUP(A199,'BBT3'!A:F,4,1),"")</f>
        <v>2.25</v>
      </c>
      <c r="E199">
        <f>IF(NOT(ISBLANK(A199)),VLOOKUP(A199,'BBT3'!A:F,5,0),"")</f>
        <v>54650</v>
      </c>
      <c r="F199" t="str">
        <f>IF(NOT(ISBLANK(A199)),VLOOKUP(A199,'BBT3'!A:F,6,0),"")</f>
        <v>N</v>
      </c>
      <c r="G199" t="str">
        <f t="shared" si="38"/>
        <v>N</v>
      </c>
      <c r="H199">
        <f>IF(NOT(ISBLANK(A199)),VLOOKUP(A199,'Close - PriceSaver'!A:J,5,0),"")</f>
        <v>5.2351530208176102E-2</v>
      </c>
      <c r="I199" s="4" t="e" cm="1">
        <f t="array" ref="I199">IF(NOT(ISBLANK(A199)),((_xlfn.XLOOKUP(1,(_bbt3[[#All],[ID]]=A199)*(_bbt3[[#All],[METRIC_NAME]]="YLD_YTM_ASK"),_bbt3[[#All],[METRIC_VALUE]])*0.5)+(_xlfn.XLOOKUP(1,(_bbt3[[#All],[ID]]=A199)*(_bbt3[[#All],[METRIC_NAME]]="YLD_YTM_BID"),_bbt3[[#All],[METRIC_VALUE]])*0.5))/100,"")</f>
        <v>#N/A</v>
      </c>
      <c r="J199">
        <f>IF(ISNA(VLOOKUP(A199,'CloseDL - PriceSaverBBT3'!A:E,5,0)),0,VLOOKUP(A199,'CloseDL - PriceSaverBBT3'!A:E,5,0))</f>
        <v>5.2351530208176102E-2</v>
      </c>
      <c r="K199" s="7">
        <f t="shared" si="39"/>
        <v>0</v>
      </c>
      <c r="L199" s="20">
        <f>IF(Close[[#This Row],[CreatedBy]]="MARINER\SilverAdm",1,0)</f>
        <v>1</v>
      </c>
      <c r="M199" t="str">
        <f>IF(NOT(ISBLANK(A199)),VLOOKUP(A199,'Close - PriceSaver'!A:J,6,0),"")</f>
        <v>DL input prc = 60.28906250  PX_ASK = 60.31250000 PX_BID = 60.26562500</v>
      </c>
      <c r="Q199" t="e">
        <f t="shared" si="31"/>
        <v>#N/A</v>
      </c>
      <c r="R199" t="e">
        <f t="shared" si="32"/>
        <v>#N/A</v>
      </c>
      <c r="S199" t="e">
        <f t="shared" si="33"/>
        <v>#N/A</v>
      </c>
      <c r="T199" s="15" t="e">
        <f t="shared" si="34"/>
        <v>#N/A</v>
      </c>
      <c r="U199" s="18" t="e">
        <f t="shared" si="35"/>
        <v>#N/A</v>
      </c>
      <c r="V199" s="18" t="e">
        <f t="shared" si="36"/>
        <v>#N/A</v>
      </c>
      <c r="W199" s="19" t="e">
        <f t="shared" si="37"/>
        <v>#N/A</v>
      </c>
      <c r="X199" t="e">
        <f>VLOOKUP(P199,Close[[ID]:[CreatedBy]],8,0)</f>
        <v>#N/A</v>
      </c>
    </row>
    <row r="200" spans="1:24" x14ac:dyDescent="0.35">
      <c r="A200" t="str">
        <v>912810SK5</v>
      </c>
      <c r="B200" t="str">
        <f>IF(NOT(ISBLANK(A200)),VLOOKUP(A200,'BBT3'!A:F,2,0),"")</f>
        <v>Bond</v>
      </c>
      <c r="C200" t="str">
        <f>IF(NOT(ISBLANK(A200)),VLOOKUP(A200,'BBT3'!A:F,3,0),"")</f>
        <v>US912810SK51</v>
      </c>
      <c r="D200" s="5">
        <f>IF(NOT(ISBLANK(A200)),VLOOKUP(A200,'BBT3'!A:F,4,1),"")</f>
        <v>2.375</v>
      </c>
      <c r="E200">
        <f>IF(NOT(ISBLANK(A200)),VLOOKUP(A200,'BBT3'!A:F,5,0),"")</f>
        <v>54742</v>
      </c>
      <c r="F200" t="str">
        <f>IF(NOT(ISBLANK(A200)),VLOOKUP(A200,'BBT3'!A:F,6,0),"")</f>
        <v>N</v>
      </c>
      <c r="G200" t="str">
        <f t="shared" si="38"/>
        <v>N</v>
      </c>
      <c r="H200">
        <f>IF(NOT(ISBLANK(A200)),VLOOKUP(A200,'Close - PriceSaver'!A:J,5,0),"")</f>
        <v>5.23392186121137E-2</v>
      </c>
      <c r="I200" s="4" t="e" cm="1">
        <f t="array" ref="I200">IF(NOT(ISBLANK(A200)),((_xlfn.XLOOKUP(1,(_bbt3[[#All],[ID]]=A200)*(_bbt3[[#All],[METRIC_NAME]]="YLD_YTM_ASK"),_bbt3[[#All],[METRIC_VALUE]])*0.5)+(_xlfn.XLOOKUP(1,(_bbt3[[#All],[ID]]=A200)*(_bbt3[[#All],[METRIC_NAME]]="YLD_YTM_BID"),_bbt3[[#All],[METRIC_VALUE]])*0.5))/100,"")</f>
        <v>#N/A</v>
      </c>
      <c r="J200">
        <f>IF(ISNA(VLOOKUP(A200,'CloseDL - PriceSaverBBT3'!A:E,5,0)),0,VLOOKUP(A200,'CloseDL - PriceSaverBBT3'!A:E,5,0))</f>
        <v>5.23392186121137E-2</v>
      </c>
      <c r="K200" s="7">
        <f t="shared" si="39"/>
        <v>0</v>
      </c>
      <c r="L200" s="20">
        <f>IF(Close[[#This Row],[CreatedBy]]="MARINER\SilverAdm",1,0)</f>
        <v>1</v>
      </c>
      <c r="M200" t="str">
        <f>IF(NOT(ISBLANK(A200)),VLOOKUP(A200,'Close - PriceSaver'!A:J,6,0),"")</f>
        <v>DL input prc = 61.75000000  PX_ASK = 61.78125000 PX_BID = 61.71875000</v>
      </c>
      <c r="Q200" t="e">
        <f t="shared" si="31"/>
        <v>#N/A</v>
      </c>
      <c r="R200" t="e">
        <f t="shared" si="32"/>
        <v>#N/A</v>
      </c>
      <c r="S200" t="e">
        <f t="shared" si="33"/>
        <v>#N/A</v>
      </c>
      <c r="T200" s="15" t="e">
        <f t="shared" si="34"/>
        <v>#N/A</v>
      </c>
      <c r="U200" s="18" t="e">
        <f t="shared" si="35"/>
        <v>#N/A</v>
      </c>
      <c r="V200" s="18" t="e">
        <f t="shared" si="36"/>
        <v>#N/A</v>
      </c>
      <c r="W200" s="19" t="e">
        <f t="shared" si="37"/>
        <v>#N/A</v>
      </c>
      <c r="X200" t="e">
        <f>VLOOKUP(P200,Close[[ID]:[CreatedBy]],8,0)</f>
        <v>#N/A</v>
      </c>
    </row>
    <row r="201" spans="1:24" x14ac:dyDescent="0.35">
      <c r="A201" t="str">
        <v>912810SL3</v>
      </c>
      <c r="B201" t="str">
        <f>IF(NOT(ISBLANK(A201)),VLOOKUP(A201,'BBT3'!A:F,2,0),"")</f>
        <v>Bond</v>
      </c>
      <c r="C201" t="str">
        <f>IF(NOT(ISBLANK(A201)),VLOOKUP(A201,'BBT3'!A:F,3,0),"")</f>
        <v>US912810SL35</v>
      </c>
      <c r="D201" s="5">
        <f>IF(NOT(ISBLANK(A201)),VLOOKUP(A201,'BBT3'!A:F,4,1),"")</f>
        <v>2</v>
      </c>
      <c r="E201">
        <f>IF(NOT(ISBLANK(A201)),VLOOKUP(A201,'BBT3'!A:F,5,0),"")</f>
        <v>54834</v>
      </c>
      <c r="F201" t="str">
        <f>IF(NOT(ISBLANK(A201)),VLOOKUP(A201,'BBT3'!A:F,6,0),"")</f>
        <v>N</v>
      </c>
      <c r="G201" t="str">
        <f t="shared" si="38"/>
        <v>N</v>
      </c>
      <c r="H201">
        <f>IF(NOT(ISBLANK(A201)),VLOOKUP(A201,'Close - PriceSaver'!A:J,5,0),"")</f>
        <v>5.2394165861293897E-2</v>
      </c>
      <c r="I201" s="4" t="e" cm="1">
        <f t="array" ref="I201">IF(NOT(ISBLANK(A201)),((_xlfn.XLOOKUP(1,(_bbt3[[#All],[ID]]=A201)*(_bbt3[[#All],[METRIC_NAME]]="YLD_YTM_ASK"),_bbt3[[#All],[METRIC_VALUE]])*0.5)+(_xlfn.XLOOKUP(1,(_bbt3[[#All],[ID]]=A201)*(_bbt3[[#All],[METRIC_NAME]]="YLD_YTM_BID"),_bbt3[[#All],[METRIC_VALUE]])*0.5))/100,"")</f>
        <v>#N/A</v>
      </c>
      <c r="J201">
        <f>IF(ISNA(VLOOKUP(A201,'CloseDL - PriceSaverBBT3'!A:E,5,0)),0,VLOOKUP(A201,'CloseDL - PriceSaverBBT3'!A:E,5,0))</f>
        <v>5.2394165861293897E-2</v>
      </c>
      <c r="K201" s="7">
        <f t="shared" si="39"/>
        <v>0</v>
      </c>
      <c r="L201" s="20">
        <f>IF(Close[[#This Row],[CreatedBy]]="MARINER\SilverAdm",1,0)</f>
        <v>1</v>
      </c>
      <c r="M201" t="str">
        <f>IF(NOT(ISBLANK(A201)),VLOOKUP(A201,'Close - PriceSaver'!A:J,6,0),"")</f>
        <v>DL input prc = 56.44531250  PX_ASK = 56.46875000 PX_BID = 56.42187500</v>
      </c>
      <c r="Q201" t="e">
        <f t="shared" si="31"/>
        <v>#N/A</v>
      </c>
      <c r="R201" t="e">
        <f t="shared" si="32"/>
        <v>#N/A</v>
      </c>
      <c r="S201" t="e">
        <f t="shared" si="33"/>
        <v>#N/A</v>
      </c>
      <c r="T201" s="15" t="e">
        <f t="shared" si="34"/>
        <v>#N/A</v>
      </c>
      <c r="U201" s="18" t="e">
        <f t="shared" si="35"/>
        <v>#N/A</v>
      </c>
      <c r="V201" s="18" t="e">
        <f t="shared" si="36"/>
        <v>#N/A</v>
      </c>
      <c r="W201" s="19" t="e">
        <f t="shared" si="37"/>
        <v>#N/A</v>
      </c>
      <c r="X201" t="e">
        <f>VLOOKUP(P201,Close[[ID]:[CreatedBy]],8,0)</f>
        <v>#N/A</v>
      </c>
    </row>
    <row r="202" spans="1:24" x14ac:dyDescent="0.35">
      <c r="A202" t="str">
        <v>912810SM1</v>
      </c>
      <c r="B202" t="str">
        <f>IF(NOT(ISBLANK(A202)),VLOOKUP(A202,'BBT3'!A:F,2,0),"")</f>
        <v>Bond</v>
      </c>
      <c r="C202" t="str">
        <f>IF(NOT(ISBLANK(A202)),VLOOKUP(A202,'BBT3'!A:F,3,0),"")</f>
        <v>US912810SM18</v>
      </c>
      <c r="D202" s="5">
        <f>IF(NOT(ISBLANK(A202)),VLOOKUP(A202,'BBT3'!A:F,4,1),"")</f>
        <v>0.25</v>
      </c>
      <c r="E202">
        <f>IF(NOT(ISBLANK(A202)),VLOOKUP(A202,'BBT3'!A:F,5,0),"")</f>
        <v>54834</v>
      </c>
      <c r="F202" t="str">
        <f>IF(NOT(ISBLANK(A202)),VLOOKUP(A202,'BBT3'!A:F,6,0),"")</f>
        <v>Y</v>
      </c>
      <c r="G202" t="str">
        <f t="shared" si="38"/>
        <v>N</v>
      </c>
      <c r="H202">
        <f>IF(NOT(ISBLANK(A202)),VLOOKUP(A202,'Close - PriceSaver'!A:J,5,0),"")</f>
        <v>2.9587752949001199E-2</v>
      </c>
      <c r="I202" s="4" t="e" cm="1">
        <f t="array" ref="I202">IF(NOT(ISBLANK(A202)),((_xlfn.XLOOKUP(1,(_bbt3[[#All],[ID]]=A202)*(_bbt3[[#All],[METRIC_NAME]]="YLD_YTM_ASK"),_bbt3[[#All],[METRIC_VALUE]])*0.5)+(_xlfn.XLOOKUP(1,(_bbt3[[#All],[ID]]=A202)*(_bbt3[[#All],[METRIC_NAME]]="YLD_YTM_BID"),_bbt3[[#All],[METRIC_VALUE]])*0.5))/100,"")</f>
        <v>#N/A</v>
      </c>
      <c r="J202">
        <f>IF(ISNA(VLOOKUP(A202,'CloseDL - PriceSaverBBT3'!A:E,5,0)),0,VLOOKUP(A202,'CloseDL - PriceSaverBBT3'!A:E,5,0))</f>
        <v>2.9587752949001199E-2</v>
      </c>
      <c r="K202" s="7">
        <f t="shared" si="39"/>
        <v>0</v>
      </c>
      <c r="L202" s="20">
        <f>IF(Close[[#This Row],[CreatedBy]]="MARINER\SilverAdm",1,0)</f>
        <v>1</v>
      </c>
      <c r="M202" t="str">
        <f>IF(NOT(ISBLANK(A202)),VLOOKUP(A202,'Close - PriceSaver'!A:J,6,0),"")</f>
        <v>DL input prc = 54.26953125  PX_ASK = 54.32812500 PX_BID = 54.21093750</v>
      </c>
      <c r="Q202" t="e">
        <f t="shared" si="31"/>
        <v>#N/A</v>
      </c>
      <c r="R202" t="e">
        <f t="shared" si="32"/>
        <v>#N/A</v>
      </c>
      <c r="S202" t="e">
        <f t="shared" si="33"/>
        <v>#N/A</v>
      </c>
      <c r="T202" s="15" t="e">
        <f t="shared" si="34"/>
        <v>#N/A</v>
      </c>
      <c r="U202" s="18" t="e">
        <f t="shared" si="35"/>
        <v>#N/A</v>
      </c>
      <c r="V202" s="18" t="e">
        <f t="shared" si="36"/>
        <v>#N/A</v>
      </c>
      <c r="W202" s="19" t="e">
        <f t="shared" si="37"/>
        <v>#N/A</v>
      </c>
      <c r="X202" t="e">
        <f>VLOOKUP(P202,Close[[ID]:[CreatedBy]],8,0)</f>
        <v>#N/A</v>
      </c>
    </row>
    <row r="203" spans="1:24" x14ac:dyDescent="0.35">
      <c r="A203" t="str">
        <v>912810SN9</v>
      </c>
      <c r="B203" t="str">
        <f>IF(NOT(ISBLANK(A203)),VLOOKUP(A203,'BBT3'!A:F,2,0),"")</f>
        <v>Bond</v>
      </c>
      <c r="C203" t="str">
        <f>IF(NOT(ISBLANK(A203)),VLOOKUP(A203,'BBT3'!A:F,3,0),"")</f>
        <v>US912810SN90</v>
      </c>
      <c r="D203" s="5">
        <f>IF(NOT(ISBLANK(A203)),VLOOKUP(A203,'BBT3'!A:F,4,1),"")</f>
        <v>1.25</v>
      </c>
      <c r="E203">
        <f>IF(NOT(ISBLANK(A203)),VLOOKUP(A203,'BBT3'!A:F,5,0),"")</f>
        <v>54923</v>
      </c>
      <c r="F203" t="str">
        <f>IF(NOT(ISBLANK(A203)),VLOOKUP(A203,'BBT3'!A:F,6,0),"")</f>
        <v>N</v>
      </c>
      <c r="G203" t="str">
        <f t="shared" si="38"/>
        <v>N</v>
      </c>
      <c r="H203">
        <f>IF(NOT(ISBLANK(A203)),VLOOKUP(A203,'Close - PriceSaver'!A:J,5,0),"")</f>
        <v>5.2481908954165803E-2</v>
      </c>
      <c r="I203" s="4" t="e" cm="1">
        <f t="array" ref="I203">IF(NOT(ISBLANK(A203)),((_xlfn.XLOOKUP(1,(_bbt3[[#All],[ID]]=A203)*(_bbt3[[#All],[METRIC_NAME]]="YLD_YTM_ASK"),_bbt3[[#All],[METRIC_VALUE]])*0.5)+(_xlfn.XLOOKUP(1,(_bbt3[[#All],[ID]]=A203)*(_bbt3[[#All],[METRIC_NAME]]="YLD_YTM_BID"),_bbt3[[#All],[METRIC_VALUE]])*0.5))/100,"")</f>
        <v>#N/A</v>
      </c>
      <c r="J203">
        <f>IF(ISNA(VLOOKUP(A203,'CloseDL - PriceSaverBBT3'!A:E,5,0)),0,VLOOKUP(A203,'CloseDL - PriceSaverBBT3'!A:E,5,0))</f>
        <v>5.2481908954165803E-2</v>
      </c>
      <c r="K203" s="7">
        <f t="shared" si="39"/>
        <v>0</v>
      </c>
      <c r="L203" s="20">
        <f>IF(Close[[#This Row],[CreatedBy]]="MARINER\SilverAdm",1,0)</f>
        <v>1</v>
      </c>
      <c r="M203" t="str">
        <f>IF(NOT(ISBLANK(A203)),VLOOKUP(A203,'Close - PriceSaver'!A:J,6,0),"")</f>
        <v>DL input prc = 46.00000000  PX_ASK = 46.01562500 PX_BID = 45.98437500</v>
      </c>
      <c r="Q203" t="e">
        <f t="shared" si="31"/>
        <v>#N/A</v>
      </c>
      <c r="R203" t="e">
        <f t="shared" si="32"/>
        <v>#N/A</v>
      </c>
      <c r="S203" t="e">
        <f t="shared" si="33"/>
        <v>#N/A</v>
      </c>
      <c r="T203" s="15" t="e">
        <f t="shared" si="34"/>
        <v>#N/A</v>
      </c>
      <c r="U203" s="18" t="e">
        <f t="shared" si="35"/>
        <v>#N/A</v>
      </c>
      <c r="V203" s="18" t="e">
        <f t="shared" si="36"/>
        <v>#N/A</v>
      </c>
      <c r="W203" s="19" t="e">
        <f t="shared" si="37"/>
        <v>#N/A</v>
      </c>
      <c r="X203" t="e">
        <f>VLOOKUP(P203,Close[[ID]:[CreatedBy]],8,0)</f>
        <v>#N/A</v>
      </c>
    </row>
    <row r="204" spans="1:24" x14ac:dyDescent="0.35">
      <c r="A204" t="str">
        <v>912810SP4</v>
      </c>
      <c r="B204" t="str">
        <f>IF(NOT(ISBLANK(A204)),VLOOKUP(A204,'BBT3'!A:F,2,0),"")</f>
        <v>Bond</v>
      </c>
      <c r="C204" t="str">
        <f>IF(NOT(ISBLANK(A204)),VLOOKUP(A204,'BBT3'!A:F,3,0),"")</f>
        <v>US912810SP49</v>
      </c>
      <c r="D204" s="5">
        <f>IF(NOT(ISBLANK(A204)),VLOOKUP(A204,'BBT3'!A:F,4,1),"")</f>
        <v>1.375</v>
      </c>
      <c r="E204">
        <f>IF(NOT(ISBLANK(A204)),VLOOKUP(A204,'BBT3'!A:F,5,0),"")</f>
        <v>55015</v>
      </c>
      <c r="F204" t="str">
        <f>IF(NOT(ISBLANK(A204)),VLOOKUP(A204,'BBT3'!A:F,6,0),"")</f>
        <v>N</v>
      </c>
      <c r="G204" t="str">
        <f t="shared" si="38"/>
        <v>N</v>
      </c>
      <c r="H204">
        <f>IF(NOT(ISBLANK(A204)),VLOOKUP(A204,'Close - PriceSaver'!A:J,5,0),"")</f>
        <v>5.2487871765273898E-2</v>
      </c>
      <c r="I204" s="4" t="e" cm="1">
        <f t="array" ref="I204">IF(NOT(ISBLANK(A204)),((_xlfn.XLOOKUP(1,(_bbt3[[#All],[ID]]=A204)*(_bbt3[[#All],[METRIC_NAME]]="YLD_YTM_ASK"),_bbt3[[#All],[METRIC_VALUE]])*0.5)+(_xlfn.XLOOKUP(1,(_bbt3[[#All],[ID]]=A204)*(_bbt3[[#All],[METRIC_NAME]]="YLD_YTM_BID"),_bbt3[[#All],[METRIC_VALUE]])*0.5))/100,"")</f>
        <v>#N/A</v>
      </c>
      <c r="J204">
        <f>IF(ISNA(VLOOKUP(A204,'CloseDL - PriceSaverBBT3'!A:E,5,0)),0,VLOOKUP(A204,'CloseDL - PriceSaverBBT3'!A:E,5,0))</f>
        <v>5.2487871765273898E-2</v>
      </c>
      <c r="K204" s="7">
        <f t="shared" si="39"/>
        <v>0</v>
      </c>
      <c r="L204" s="20">
        <f>IF(Close[[#This Row],[CreatedBy]]="MARINER\SilverAdm",1,0)</f>
        <v>1</v>
      </c>
      <c r="M204" t="str">
        <f>IF(NOT(ISBLANK(A204)),VLOOKUP(A204,'Close - PriceSaver'!A:J,6,0),"")</f>
        <v>DL input prc = 47.40625000  PX_ASK = 47.42187500 PX_BID = 47.39062500</v>
      </c>
      <c r="Q204" t="e">
        <f t="shared" si="31"/>
        <v>#N/A</v>
      </c>
      <c r="R204" t="e">
        <f t="shared" si="32"/>
        <v>#N/A</v>
      </c>
      <c r="S204" t="e">
        <f t="shared" si="33"/>
        <v>#N/A</v>
      </c>
      <c r="T204" s="15" t="e">
        <f t="shared" si="34"/>
        <v>#N/A</v>
      </c>
      <c r="U204" s="18" t="e">
        <f t="shared" si="35"/>
        <v>#N/A</v>
      </c>
      <c r="V204" s="18" t="e">
        <f t="shared" si="36"/>
        <v>#N/A</v>
      </c>
      <c r="W204" s="19" t="e">
        <f t="shared" si="37"/>
        <v>#N/A</v>
      </c>
      <c r="X204" t="e">
        <f>VLOOKUP(P204,Close[[ID]:[CreatedBy]],8,0)</f>
        <v>#N/A</v>
      </c>
    </row>
    <row r="205" spans="1:24" x14ac:dyDescent="0.35">
      <c r="A205" t="str">
        <v>912810SQ2</v>
      </c>
      <c r="B205" t="str">
        <f>IF(NOT(ISBLANK(A205)),VLOOKUP(A205,'BBT3'!A:F,2,0),"")</f>
        <v>Bond</v>
      </c>
      <c r="C205" t="str">
        <f>IF(NOT(ISBLANK(A205)),VLOOKUP(A205,'BBT3'!A:F,3,0),"")</f>
        <v>US912810SQ22</v>
      </c>
      <c r="D205" s="5">
        <f>IF(NOT(ISBLANK(A205)),VLOOKUP(A205,'BBT3'!A:F,4,1),"")</f>
        <v>1.125</v>
      </c>
      <c r="E205">
        <f>IF(NOT(ISBLANK(A205)),VLOOKUP(A205,'BBT3'!A:F,5,0),"")</f>
        <v>51363</v>
      </c>
      <c r="F205" t="str">
        <f>IF(NOT(ISBLANK(A205)),VLOOKUP(A205,'BBT3'!A:F,6,0),"")</f>
        <v>N</v>
      </c>
      <c r="G205" t="str">
        <f t="shared" si="38"/>
        <v>N</v>
      </c>
      <c r="H205">
        <f>IF(NOT(ISBLANK(A205)),VLOOKUP(A205,'Close - PriceSaver'!A:J,5,0),"")</f>
        <v>4.99314784038574E-2</v>
      </c>
      <c r="I205" s="4" t="e" cm="1">
        <f t="array" ref="I205">IF(NOT(ISBLANK(A205)),((_xlfn.XLOOKUP(1,(_bbt3[[#All],[ID]]=A205)*(_bbt3[[#All],[METRIC_NAME]]="YLD_YTM_ASK"),_bbt3[[#All],[METRIC_VALUE]])*0.5)+(_xlfn.XLOOKUP(1,(_bbt3[[#All],[ID]]=A205)*(_bbt3[[#All],[METRIC_NAME]]="YLD_YTM_BID"),_bbt3[[#All],[METRIC_VALUE]])*0.5))/100,"")</f>
        <v>#N/A</v>
      </c>
      <c r="J205">
        <f>IF(ISNA(VLOOKUP(A205,'CloseDL - PriceSaverBBT3'!A:E,5,0)),0,VLOOKUP(A205,'CloseDL - PriceSaverBBT3'!A:E,5,0))</f>
        <v>4.99314784038574E-2</v>
      </c>
      <c r="K205" s="7">
        <f t="shared" si="39"/>
        <v>0</v>
      </c>
      <c r="L205" s="20">
        <f>IF(Close[[#This Row],[CreatedBy]]="MARINER\SilverAdm",1,0)</f>
        <v>1</v>
      </c>
      <c r="M205" t="str">
        <f>IF(NOT(ISBLANK(A205)),VLOOKUP(A205,'Close - PriceSaver'!A:J,6,0),"")</f>
        <v>DL input prc = 61.24218750  PX_ASK = 61.29687500 PX_BID = 61.18750000</v>
      </c>
      <c r="Q205" t="e">
        <f t="shared" si="31"/>
        <v>#N/A</v>
      </c>
      <c r="R205" t="e">
        <f t="shared" si="32"/>
        <v>#N/A</v>
      </c>
      <c r="S205" t="e">
        <f t="shared" si="33"/>
        <v>#N/A</v>
      </c>
      <c r="T205" s="15" t="e">
        <f t="shared" si="34"/>
        <v>#N/A</v>
      </c>
      <c r="U205" s="18" t="e">
        <f t="shared" si="35"/>
        <v>#N/A</v>
      </c>
      <c r="V205" s="18" t="e">
        <f t="shared" si="36"/>
        <v>#N/A</v>
      </c>
      <c r="W205" s="19" t="e">
        <f t="shared" si="37"/>
        <v>#N/A</v>
      </c>
      <c r="X205" t="e">
        <f>VLOOKUP(P205,Close[[ID]:[CreatedBy]],8,0)</f>
        <v>#N/A</v>
      </c>
    </row>
    <row r="206" spans="1:24" x14ac:dyDescent="0.35">
      <c r="A206" t="str">
        <v>912810SR0</v>
      </c>
      <c r="B206" t="str">
        <f>IF(NOT(ISBLANK(A206)),VLOOKUP(A206,'BBT3'!A:F,2,0),"")</f>
        <v>Bond</v>
      </c>
      <c r="C206" t="str">
        <f>IF(NOT(ISBLANK(A206)),VLOOKUP(A206,'BBT3'!A:F,3,0),"")</f>
        <v>US912810SR05</v>
      </c>
      <c r="D206" s="5">
        <f>IF(NOT(ISBLANK(A206)),VLOOKUP(A206,'BBT3'!A:F,4,1),"")</f>
        <v>1.125</v>
      </c>
      <c r="E206">
        <f>IF(NOT(ISBLANK(A206)),VLOOKUP(A206,'BBT3'!A:F,5,0),"")</f>
        <v>51271</v>
      </c>
      <c r="F206" t="str">
        <f>IF(NOT(ISBLANK(A206)),VLOOKUP(A206,'BBT3'!A:F,6,0),"")</f>
        <v>N</v>
      </c>
      <c r="G206" t="str">
        <f t="shared" si="38"/>
        <v>N</v>
      </c>
      <c r="H206">
        <f>IF(NOT(ISBLANK(A206)),VLOOKUP(A206,'Close - PriceSaver'!A:J,5,0),"")</f>
        <v>4.9709647902144299E-2</v>
      </c>
      <c r="I206" s="4" t="e" cm="1">
        <f t="array" ref="I206">IF(NOT(ISBLANK(A206)),((_xlfn.XLOOKUP(1,(_bbt3[[#All],[ID]]=A206)*(_bbt3[[#All],[METRIC_NAME]]="YLD_YTM_ASK"),_bbt3[[#All],[METRIC_VALUE]])*0.5)+(_xlfn.XLOOKUP(1,(_bbt3[[#All],[ID]]=A206)*(_bbt3[[#All],[METRIC_NAME]]="YLD_YTM_BID"),_bbt3[[#All],[METRIC_VALUE]])*0.5))/100,"")</f>
        <v>#N/A</v>
      </c>
      <c r="J206">
        <f>IF(ISNA(VLOOKUP(A206,'CloseDL - PriceSaverBBT3'!A:E,5,0)),0,VLOOKUP(A206,'CloseDL - PriceSaverBBT3'!A:E,5,0))</f>
        <v>4.9709647902144299E-2</v>
      </c>
      <c r="K206" s="7">
        <f t="shared" si="39"/>
        <v>0</v>
      </c>
      <c r="L206" s="20">
        <f>IF(Close[[#This Row],[CreatedBy]]="MARINER\SilverAdm",1,0)</f>
        <v>1</v>
      </c>
      <c r="M206" t="str">
        <f>IF(NOT(ISBLANK(A206)),VLOOKUP(A206,'Close - PriceSaver'!A:J,6,0),"")</f>
        <v>DL input prc = 61.89062500  PX_ASK = 61.96875000 PX_BID = 61.81250000</v>
      </c>
      <c r="Q206" t="e">
        <f t="shared" si="31"/>
        <v>#N/A</v>
      </c>
      <c r="R206" t="e">
        <f t="shared" si="32"/>
        <v>#N/A</v>
      </c>
      <c r="S206" t="e">
        <f t="shared" si="33"/>
        <v>#N/A</v>
      </c>
      <c r="T206" s="15" t="e">
        <f t="shared" si="34"/>
        <v>#N/A</v>
      </c>
      <c r="U206" s="18" t="e">
        <f t="shared" si="35"/>
        <v>#N/A</v>
      </c>
      <c r="V206" s="18" t="e">
        <f t="shared" si="36"/>
        <v>#N/A</v>
      </c>
      <c r="W206" s="19" t="e">
        <f t="shared" si="37"/>
        <v>#N/A</v>
      </c>
      <c r="X206" t="e">
        <f>VLOOKUP(P206,Close[[ID]:[CreatedBy]],8,0)</f>
        <v>#N/A</v>
      </c>
    </row>
    <row r="207" spans="1:24" x14ac:dyDescent="0.35">
      <c r="A207" t="str">
        <v>912810SS8</v>
      </c>
      <c r="B207" t="str">
        <f>IF(NOT(ISBLANK(A207)),VLOOKUP(A207,'BBT3'!A:F,2,0),"")</f>
        <v>Bond</v>
      </c>
      <c r="C207" t="str">
        <f>IF(NOT(ISBLANK(A207)),VLOOKUP(A207,'BBT3'!A:F,3,0),"")</f>
        <v>US912810SS87</v>
      </c>
      <c r="D207" s="5">
        <f>IF(NOT(ISBLANK(A207)),VLOOKUP(A207,'BBT3'!A:F,4,1),"")</f>
        <v>1.625</v>
      </c>
      <c r="E207">
        <f>IF(NOT(ISBLANK(A207)),VLOOKUP(A207,'BBT3'!A:F,5,0),"")</f>
        <v>55107</v>
      </c>
      <c r="F207" t="str">
        <f>IF(NOT(ISBLANK(A207)),VLOOKUP(A207,'BBT3'!A:F,6,0),"")</f>
        <v>N</v>
      </c>
      <c r="G207" t="str">
        <f t="shared" si="38"/>
        <v>N</v>
      </c>
      <c r="H207">
        <f>IF(NOT(ISBLANK(A207)),VLOOKUP(A207,'Close - PriceSaver'!A:J,5,0),"")</f>
        <v>5.24678195848364E-2</v>
      </c>
      <c r="I207" s="4" t="e" cm="1">
        <f t="array" ref="I207">IF(NOT(ISBLANK(A207)),((_xlfn.XLOOKUP(1,(_bbt3[[#All],[ID]]=A207)*(_bbt3[[#All],[METRIC_NAME]]="YLD_YTM_ASK"),_bbt3[[#All],[METRIC_VALUE]])*0.5)+(_xlfn.XLOOKUP(1,(_bbt3[[#All],[ID]]=A207)*(_bbt3[[#All],[METRIC_NAME]]="YLD_YTM_BID"),_bbt3[[#All],[METRIC_VALUE]])*0.5))/100,"")</f>
        <v>#N/A</v>
      </c>
      <c r="J207">
        <f>IF(ISNA(VLOOKUP(A207,'CloseDL - PriceSaverBBT3'!A:E,5,0)),0,VLOOKUP(A207,'CloseDL - PriceSaverBBT3'!A:E,5,0))</f>
        <v>5.24678195848364E-2</v>
      </c>
      <c r="K207" s="7">
        <f t="shared" si="39"/>
        <v>0</v>
      </c>
      <c r="L207" s="20">
        <f>IF(Close[[#This Row],[CreatedBy]]="MARINER\SilverAdm",1,0)</f>
        <v>1</v>
      </c>
      <c r="M207" t="str">
        <f>IF(NOT(ISBLANK(A207)),VLOOKUP(A207,'Close - PriceSaver'!A:J,6,0),"")</f>
        <v>DL input prc = 50.56250000  PX_ASK = 50.57812500 PX_BID = 50.54687500</v>
      </c>
      <c r="Q207" t="e">
        <f t="shared" si="31"/>
        <v>#N/A</v>
      </c>
      <c r="R207" t="e">
        <f t="shared" si="32"/>
        <v>#N/A</v>
      </c>
      <c r="S207" t="e">
        <f t="shared" si="33"/>
        <v>#N/A</v>
      </c>
      <c r="T207" s="15" t="e">
        <f t="shared" si="34"/>
        <v>#N/A</v>
      </c>
      <c r="U207" s="18" t="e">
        <f t="shared" si="35"/>
        <v>#N/A</v>
      </c>
      <c r="V207" s="18" t="e">
        <f t="shared" si="36"/>
        <v>#N/A</v>
      </c>
      <c r="W207" s="19" t="e">
        <f t="shared" si="37"/>
        <v>#N/A</v>
      </c>
      <c r="X207" t="e">
        <f>VLOOKUP(P207,Close[[ID]:[CreatedBy]],8,0)</f>
        <v>#N/A</v>
      </c>
    </row>
    <row r="208" spans="1:24" x14ac:dyDescent="0.35">
      <c r="A208" t="str">
        <v>912810ST6</v>
      </c>
      <c r="B208" t="str">
        <f>IF(NOT(ISBLANK(A208)),VLOOKUP(A208,'BBT3'!A:F,2,0),"")</f>
        <v>Bond</v>
      </c>
      <c r="C208" t="str">
        <f>IF(NOT(ISBLANK(A208)),VLOOKUP(A208,'BBT3'!A:F,3,0),"")</f>
        <v>US912810ST60</v>
      </c>
      <c r="D208" s="5">
        <f>IF(NOT(ISBLANK(A208)),VLOOKUP(A208,'BBT3'!A:F,4,1),"")</f>
        <v>1.375</v>
      </c>
      <c r="E208">
        <f>IF(NOT(ISBLANK(A208)),VLOOKUP(A208,'BBT3'!A:F,5,0),"")</f>
        <v>51455</v>
      </c>
      <c r="F208" t="str">
        <f>IF(NOT(ISBLANK(A208)),VLOOKUP(A208,'BBT3'!A:F,6,0),"")</f>
        <v>N</v>
      </c>
      <c r="G208" t="str">
        <f t="shared" si="38"/>
        <v>N</v>
      </c>
      <c r="H208">
        <f>IF(NOT(ISBLANK(A208)),VLOOKUP(A208,'Close - PriceSaver'!A:J,5,0),"")</f>
        <v>5.0071271093769597E-2</v>
      </c>
      <c r="I208" s="4" t="e" cm="1">
        <f t="array" ref="I208">IF(NOT(ISBLANK(A208)),((_xlfn.XLOOKUP(1,(_bbt3[[#All],[ID]]=A208)*(_bbt3[[#All],[METRIC_NAME]]="YLD_YTM_ASK"),_bbt3[[#All],[METRIC_VALUE]])*0.5)+(_xlfn.XLOOKUP(1,(_bbt3[[#All],[ID]]=A208)*(_bbt3[[#All],[METRIC_NAME]]="YLD_YTM_BID"),_bbt3[[#All],[METRIC_VALUE]])*0.5))/100,"")</f>
        <v>#N/A</v>
      </c>
      <c r="J208">
        <f>IF(ISNA(VLOOKUP(A208,'CloseDL - PriceSaverBBT3'!A:E,5,0)),0,VLOOKUP(A208,'CloseDL - PriceSaverBBT3'!A:E,5,0))</f>
        <v>5.0071271093769597E-2</v>
      </c>
      <c r="K208" s="7">
        <f t="shared" si="39"/>
        <v>0</v>
      </c>
      <c r="L208" s="20">
        <f>IF(Close[[#This Row],[CreatedBy]]="MARINER\SilverAdm",1,0)</f>
        <v>1</v>
      </c>
      <c r="M208" t="str">
        <f>IF(NOT(ISBLANK(A208)),VLOOKUP(A208,'Close - PriceSaver'!A:J,6,0),"")</f>
        <v>DL input prc = 63.19531250  PX_ASK = 63.25000000 PX_BID = 63.14062500</v>
      </c>
      <c r="Q208" t="e">
        <f t="shared" si="31"/>
        <v>#N/A</v>
      </c>
      <c r="R208" t="e">
        <f t="shared" si="32"/>
        <v>#N/A</v>
      </c>
      <c r="S208" t="e">
        <f t="shared" si="33"/>
        <v>#N/A</v>
      </c>
      <c r="T208" s="15" t="e">
        <f t="shared" si="34"/>
        <v>#N/A</v>
      </c>
      <c r="U208" s="18" t="e">
        <f t="shared" si="35"/>
        <v>#N/A</v>
      </c>
      <c r="V208" s="18" t="e">
        <f t="shared" si="36"/>
        <v>#N/A</v>
      </c>
      <c r="W208" s="19" t="e">
        <f t="shared" si="37"/>
        <v>#N/A</v>
      </c>
      <c r="X208" t="e">
        <f>VLOOKUP(P208,Close[[ID]:[CreatedBy]],8,0)</f>
        <v>#N/A</v>
      </c>
    </row>
    <row r="209" spans="1:24" x14ac:dyDescent="0.35">
      <c r="A209" t="str">
        <v>912810SU3</v>
      </c>
      <c r="B209" t="str">
        <f>IF(NOT(ISBLANK(A209)),VLOOKUP(A209,'BBT3'!A:F,2,0),"")</f>
        <v>Bond</v>
      </c>
      <c r="C209" t="str">
        <f>IF(NOT(ISBLANK(A209)),VLOOKUP(A209,'BBT3'!A:F,3,0),"")</f>
        <v>US912810SU34</v>
      </c>
      <c r="D209" s="5">
        <f>IF(NOT(ISBLANK(A209)),VLOOKUP(A209,'BBT3'!A:F,4,1),"")</f>
        <v>1.875</v>
      </c>
      <c r="E209">
        <f>IF(NOT(ISBLANK(A209)),VLOOKUP(A209,'BBT3'!A:F,5,0),"")</f>
        <v>55199</v>
      </c>
      <c r="F209" t="str">
        <f>IF(NOT(ISBLANK(A209)),VLOOKUP(A209,'BBT3'!A:F,6,0),"")</f>
        <v>N</v>
      </c>
      <c r="G209" t="str">
        <f t="shared" si="38"/>
        <v>N</v>
      </c>
      <c r="H209">
        <f>IF(NOT(ISBLANK(A209)),VLOOKUP(A209,'Close - PriceSaver'!A:J,5,0),"")</f>
        <v>5.24148390186292E-2</v>
      </c>
      <c r="I209" s="4" t="e" cm="1">
        <f t="array" ref="I209">IF(NOT(ISBLANK(A209)),((_xlfn.XLOOKUP(1,(_bbt3[[#All],[ID]]=A209)*(_bbt3[[#All],[METRIC_NAME]]="YLD_YTM_ASK"),_bbt3[[#All],[METRIC_VALUE]])*0.5)+(_xlfn.XLOOKUP(1,(_bbt3[[#All],[ID]]=A209)*(_bbt3[[#All],[METRIC_NAME]]="YLD_YTM_BID"),_bbt3[[#All],[METRIC_VALUE]])*0.5))/100,"")</f>
        <v>#N/A</v>
      </c>
      <c r="J209">
        <f>IF(ISNA(VLOOKUP(A209,'CloseDL - PriceSaverBBT3'!A:E,5,0)),0,VLOOKUP(A209,'CloseDL - PriceSaverBBT3'!A:E,5,0))</f>
        <v>5.24148390186292E-2</v>
      </c>
      <c r="K209" s="7">
        <f t="shared" si="39"/>
        <v>0</v>
      </c>
      <c r="L209" s="20">
        <f>IF(Close[[#This Row],[CreatedBy]]="MARINER\SilverAdm",1,0)</f>
        <v>1</v>
      </c>
      <c r="M209" t="str">
        <f>IF(NOT(ISBLANK(A209)),VLOOKUP(A209,'Close - PriceSaver'!A:J,6,0),"")</f>
        <v>DL input prc = 53.78906250  PX_ASK = 53.81250000 PX_BID = 53.76562500</v>
      </c>
      <c r="Q209" t="e">
        <f t="shared" si="31"/>
        <v>#N/A</v>
      </c>
      <c r="R209" t="e">
        <f t="shared" si="32"/>
        <v>#N/A</v>
      </c>
      <c r="S209" t="e">
        <f t="shared" si="33"/>
        <v>#N/A</v>
      </c>
      <c r="T209" s="15" t="e">
        <f t="shared" si="34"/>
        <v>#N/A</v>
      </c>
      <c r="U209" s="18" t="e">
        <f t="shared" si="35"/>
        <v>#N/A</v>
      </c>
      <c r="V209" s="18" t="e">
        <f t="shared" si="36"/>
        <v>#N/A</v>
      </c>
      <c r="W209" s="19" t="e">
        <f t="shared" si="37"/>
        <v>#N/A</v>
      </c>
      <c r="X209" t="e">
        <f>VLOOKUP(P209,Close[[ID]:[CreatedBy]],8,0)</f>
        <v>#N/A</v>
      </c>
    </row>
    <row r="210" spans="1:24" x14ac:dyDescent="0.35">
      <c r="A210" t="str">
        <v>912810SV1</v>
      </c>
      <c r="B210" t="str">
        <f>IF(NOT(ISBLANK(A210)),VLOOKUP(A210,'BBT3'!A:F,2,0),"")</f>
        <v>Bond</v>
      </c>
      <c r="C210" t="str">
        <f>IF(NOT(ISBLANK(A210)),VLOOKUP(A210,'BBT3'!A:F,3,0),"")</f>
        <v>US912810SV17</v>
      </c>
      <c r="D210" s="5">
        <f>IF(NOT(ISBLANK(A210)),VLOOKUP(A210,'BBT3'!A:F,4,1),"")</f>
        <v>0.125</v>
      </c>
      <c r="E210">
        <f>IF(NOT(ISBLANK(A210)),VLOOKUP(A210,'BBT3'!A:F,5,0),"")</f>
        <v>55199</v>
      </c>
      <c r="F210" t="str">
        <f>IF(NOT(ISBLANK(A210)),VLOOKUP(A210,'BBT3'!A:F,6,0),"")</f>
        <v>Y</v>
      </c>
      <c r="G210" t="str">
        <f t="shared" si="38"/>
        <v>N</v>
      </c>
      <c r="H210">
        <f>IF(NOT(ISBLANK(A210)),VLOOKUP(A210,'Close - PriceSaver'!A:J,5,0),"")</f>
        <v>2.9563681376373E-2</v>
      </c>
      <c r="I210" s="4" t="e" cm="1">
        <f t="array" ref="I210">IF(NOT(ISBLANK(A210)),((_xlfn.XLOOKUP(1,(_bbt3[[#All],[ID]]=A210)*(_bbt3[[#All],[METRIC_NAME]]="YLD_YTM_ASK"),_bbt3[[#All],[METRIC_VALUE]])*0.5)+(_xlfn.XLOOKUP(1,(_bbt3[[#All],[ID]]=A210)*(_bbt3[[#All],[METRIC_NAME]]="YLD_YTM_BID"),_bbt3[[#All],[METRIC_VALUE]])*0.5))/100,"")</f>
        <v>#N/A</v>
      </c>
      <c r="J210">
        <f>IF(ISNA(VLOOKUP(A210,'CloseDL - PriceSaverBBT3'!A:E,5,0)),0,VLOOKUP(A210,'CloseDL - PriceSaverBBT3'!A:E,5,0))</f>
        <v>2.9563681376373E-2</v>
      </c>
      <c r="K210" s="7">
        <f t="shared" si="39"/>
        <v>0</v>
      </c>
      <c r="L210" s="20">
        <f>IF(Close[[#This Row],[CreatedBy]]="MARINER\SilverAdm",1,0)</f>
        <v>1</v>
      </c>
      <c r="M210" t="str">
        <f>IF(NOT(ISBLANK(A210)),VLOOKUP(A210,'Close - PriceSaver'!A:J,6,0),"")</f>
        <v>DL input prc = 50.80078125  PX_ASK = 50.85937500 PX_BID = 50.74218750</v>
      </c>
      <c r="Q210" t="e">
        <f t="shared" si="31"/>
        <v>#N/A</v>
      </c>
      <c r="R210" t="e">
        <f t="shared" si="32"/>
        <v>#N/A</v>
      </c>
      <c r="S210" t="e">
        <f t="shared" si="33"/>
        <v>#N/A</v>
      </c>
      <c r="T210" s="15" t="e">
        <f t="shared" si="34"/>
        <v>#N/A</v>
      </c>
      <c r="U210" s="18" t="e">
        <f t="shared" si="35"/>
        <v>#N/A</v>
      </c>
      <c r="V210" s="18" t="e">
        <f t="shared" si="36"/>
        <v>#N/A</v>
      </c>
      <c r="W210" s="19" t="e">
        <f t="shared" si="37"/>
        <v>#N/A</v>
      </c>
      <c r="X210" t="e">
        <f>VLOOKUP(P210,Close[[ID]:[CreatedBy]],8,0)</f>
        <v>#N/A</v>
      </c>
    </row>
    <row r="211" spans="1:24" x14ac:dyDescent="0.35">
      <c r="A211" t="str">
        <v>912810SW9</v>
      </c>
      <c r="B211" t="str">
        <f>IF(NOT(ISBLANK(A211)),VLOOKUP(A211,'BBT3'!A:F,2,0),"")</f>
        <v>Bond</v>
      </c>
      <c r="C211" t="str">
        <f>IF(NOT(ISBLANK(A211)),VLOOKUP(A211,'BBT3'!A:F,3,0),"")</f>
        <v>US912810SW99</v>
      </c>
      <c r="D211" s="5">
        <f>IF(NOT(ISBLANK(A211)),VLOOKUP(A211,'BBT3'!A:F,4,1),"")</f>
        <v>1.875</v>
      </c>
      <c r="E211">
        <f>IF(NOT(ISBLANK(A211)),VLOOKUP(A211,'BBT3'!A:F,5,0),"")</f>
        <v>51547</v>
      </c>
      <c r="F211" t="str">
        <f>IF(NOT(ISBLANK(A211)),VLOOKUP(A211,'BBT3'!A:F,6,0),"")</f>
        <v>N</v>
      </c>
      <c r="G211" t="str">
        <f t="shared" si="38"/>
        <v>N</v>
      </c>
      <c r="H211">
        <f>IF(NOT(ISBLANK(A211)),VLOOKUP(A211,'Close - PriceSaver'!A:J,5,0),"")</f>
        <v>5.01180528321283E-2</v>
      </c>
      <c r="I211" s="4" t="e" cm="1">
        <f t="array" ref="I211">IF(NOT(ISBLANK(A211)),((_xlfn.XLOOKUP(1,(_bbt3[[#All],[ID]]=A211)*(_bbt3[[#All],[METRIC_NAME]]="YLD_YTM_ASK"),_bbt3[[#All],[METRIC_VALUE]])*0.5)+(_xlfn.XLOOKUP(1,(_bbt3[[#All],[ID]]=A211)*(_bbt3[[#All],[METRIC_NAME]]="YLD_YTM_BID"),_bbt3[[#All],[METRIC_VALUE]])*0.5))/100,"")</f>
        <v>#N/A</v>
      </c>
      <c r="J211">
        <f>IF(ISNA(VLOOKUP(A211,'CloseDL - PriceSaverBBT3'!A:E,5,0)),0,VLOOKUP(A211,'CloseDL - PriceSaverBBT3'!A:E,5,0))</f>
        <v>5.01180528321283E-2</v>
      </c>
      <c r="K211" s="7">
        <f t="shared" si="39"/>
        <v>0</v>
      </c>
      <c r="L211" s="20">
        <f>IF(Close[[#This Row],[CreatedBy]]="MARINER\SilverAdm",1,0)</f>
        <v>1</v>
      </c>
      <c r="M211" t="str">
        <f>IF(NOT(ISBLANK(A211)),VLOOKUP(A211,'Close - PriceSaver'!A:J,6,0),"")</f>
        <v>DL input prc = 67.84375000  PX_ASK = 67.89062500 PX_BID = 67.79687500</v>
      </c>
      <c r="Q211" t="e">
        <f t="shared" si="31"/>
        <v>#N/A</v>
      </c>
      <c r="R211" t="e">
        <f t="shared" si="32"/>
        <v>#N/A</v>
      </c>
      <c r="S211" t="e">
        <f t="shared" si="33"/>
        <v>#N/A</v>
      </c>
      <c r="T211" s="15" t="e">
        <f t="shared" si="34"/>
        <v>#N/A</v>
      </c>
      <c r="U211" s="18" t="e">
        <f t="shared" si="35"/>
        <v>#N/A</v>
      </c>
      <c r="V211" s="18" t="e">
        <f t="shared" si="36"/>
        <v>#N/A</v>
      </c>
      <c r="W211" s="19" t="e">
        <f t="shared" si="37"/>
        <v>#N/A</v>
      </c>
      <c r="X211" t="e">
        <f>VLOOKUP(P211,Close[[ID]:[CreatedBy]],8,0)</f>
        <v>#N/A</v>
      </c>
    </row>
    <row r="212" spans="1:24" x14ac:dyDescent="0.35">
      <c r="A212" t="str">
        <v>912810SX7</v>
      </c>
      <c r="B212" t="str">
        <f>IF(NOT(ISBLANK(A212)),VLOOKUP(A212,'BBT3'!A:F,2,0),"")</f>
        <v>Bond</v>
      </c>
      <c r="C212" t="str">
        <f>IF(NOT(ISBLANK(A212)),VLOOKUP(A212,'BBT3'!A:F,3,0),"")</f>
        <v>US912810SX72</v>
      </c>
      <c r="D212" s="5">
        <f>IF(NOT(ISBLANK(A212)),VLOOKUP(A212,'BBT3'!A:F,4,1),"")</f>
        <v>2.375</v>
      </c>
      <c r="E212">
        <f>IF(NOT(ISBLANK(A212)),VLOOKUP(A212,'BBT3'!A:F,5,0),"")</f>
        <v>55288</v>
      </c>
      <c r="F212" t="str">
        <f>IF(NOT(ISBLANK(A212)),VLOOKUP(A212,'BBT3'!A:F,6,0),"")</f>
        <v>N</v>
      </c>
      <c r="G212" t="str">
        <f t="shared" si="38"/>
        <v>N</v>
      </c>
      <c r="H212">
        <f>IF(NOT(ISBLANK(A212)),VLOOKUP(A212,'Close - PriceSaver'!A:J,5,0),"")</f>
        <v>5.2289540102849398E-2</v>
      </c>
      <c r="I212" s="4" t="e" cm="1">
        <f t="array" ref="I212">IF(NOT(ISBLANK(A212)),((_xlfn.XLOOKUP(1,(_bbt3[[#All],[ID]]=A212)*(_bbt3[[#All],[METRIC_NAME]]="YLD_YTM_ASK"),_bbt3[[#All],[METRIC_VALUE]])*0.5)+(_xlfn.XLOOKUP(1,(_bbt3[[#All],[ID]]=A212)*(_bbt3[[#All],[METRIC_NAME]]="YLD_YTM_BID"),_bbt3[[#All],[METRIC_VALUE]])*0.5))/100,"")</f>
        <v>#N/A</v>
      </c>
      <c r="J212">
        <f>IF(ISNA(VLOOKUP(A212,'CloseDL - PriceSaverBBT3'!A:E,5,0)),0,VLOOKUP(A212,'CloseDL - PriceSaverBBT3'!A:E,5,0))</f>
        <v>5.2289540102849398E-2</v>
      </c>
      <c r="K212" s="7">
        <f t="shared" si="39"/>
        <v>0</v>
      </c>
      <c r="L212" s="20">
        <f>IF(Close[[#This Row],[CreatedBy]]="MARINER\SilverAdm",1,0)</f>
        <v>1</v>
      </c>
      <c r="M212" t="str">
        <f>IF(NOT(ISBLANK(A212)),VLOOKUP(A212,'Close - PriceSaver'!A:J,6,0),"")</f>
        <v>DL input prc = 60.57812500  PX_ASK = 60.59375000 PX_BID = 60.56250000</v>
      </c>
      <c r="Q212" t="e">
        <f t="shared" si="31"/>
        <v>#N/A</v>
      </c>
      <c r="R212" t="e">
        <f t="shared" si="32"/>
        <v>#N/A</v>
      </c>
      <c r="S212" t="e">
        <f t="shared" si="33"/>
        <v>#N/A</v>
      </c>
      <c r="T212" s="15" t="e">
        <f t="shared" si="34"/>
        <v>#N/A</v>
      </c>
      <c r="U212" s="18" t="e">
        <f t="shared" si="35"/>
        <v>#N/A</v>
      </c>
      <c r="V212" s="18" t="e">
        <f t="shared" si="36"/>
        <v>#N/A</v>
      </c>
      <c r="W212" s="19" t="e">
        <f t="shared" si="37"/>
        <v>#N/A</v>
      </c>
      <c r="X212" t="e">
        <f>VLOOKUP(P212,Close[[ID]:[CreatedBy]],8,0)</f>
        <v>#N/A</v>
      </c>
    </row>
    <row r="213" spans="1:24" x14ac:dyDescent="0.35">
      <c r="A213" t="str">
        <v>912810SY5</v>
      </c>
      <c r="B213" t="str">
        <f>IF(NOT(ISBLANK(A213)),VLOOKUP(A213,'BBT3'!A:F,2,0),"")</f>
        <v>Bond</v>
      </c>
      <c r="C213" t="str">
        <f>IF(NOT(ISBLANK(A213)),VLOOKUP(A213,'BBT3'!A:F,3,0),"")</f>
        <v>US912810SY55</v>
      </c>
      <c r="D213" s="5">
        <f>IF(NOT(ISBLANK(A213)),VLOOKUP(A213,'BBT3'!A:F,4,1),"")</f>
        <v>2.25</v>
      </c>
      <c r="E213">
        <f>IF(NOT(ISBLANK(A213)),VLOOKUP(A213,'BBT3'!A:F,5,0),"")</f>
        <v>51636</v>
      </c>
      <c r="F213" t="str">
        <f>IF(NOT(ISBLANK(A213)),VLOOKUP(A213,'BBT3'!A:F,6,0),"")</f>
        <v>N</v>
      </c>
      <c r="G213" t="str">
        <f t="shared" si="38"/>
        <v>N</v>
      </c>
      <c r="H213">
        <f>IF(NOT(ISBLANK(A213)),VLOOKUP(A213,'Close - PriceSaver'!A:J,5,0),"")</f>
        <v>5.0226795638542501E-2</v>
      </c>
      <c r="I213" s="4" t="e" cm="1">
        <f t="array" ref="I213">IF(NOT(ISBLANK(A213)),((_xlfn.XLOOKUP(1,(_bbt3[[#All],[ID]]=A213)*(_bbt3[[#All],[METRIC_NAME]]="YLD_YTM_ASK"),_bbt3[[#All],[METRIC_VALUE]])*0.5)+(_xlfn.XLOOKUP(1,(_bbt3[[#All],[ID]]=A213)*(_bbt3[[#All],[METRIC_NAME]]="YLD_YTM_BID"),_bbt3[[#All],[METRIC_VALUE]])*0.5))/100,"")</f>
        <v>#N/A</v>
      </c>
      <c r="J213">
        <f>IF(ISNA(VLOOKUP(A213,'CloseDL - PriceSaverBBT3'!A:E,5,0)),0,VLOOKUP(A213,'CloseDL - PriceSaverBBT3'!A:E,5,0))</f>
        <v>5.0226795638542501E-2</v>
      </c>
      <c r="K213" s="7">
        <f t="shared" si="39"/>
        <v>0</v>
      </c>
      <c r="L213" s="20">
        <f>IF(Close[[#This Row],[CreatedBy]]="MARINER\SilverAdm",1,0)</f>
        <v>1</v>
      </c>
      <c r="M213" t="str">
        <f>IF(NOT(ISBLANK(A213)),VLOOKUP(A213,'Close - PriceSaver'!A:J,6,0),"")</f>
        <v>DL input prc = 71.26562500  PX_ASK = 71.31250000 PX_BID = 71.21875000</v>
      </c>
      <c r="Q213" t="e">
        <f t="shared" si="31"/>
        <v>#N/A</v>
      </c>
      <c r="R213" t="e">
        <f t="shared" si="32"/>
        <v>#N/A</v>
      </c>
      <c r="S213" t="e">
        <f t="shared" si="33"/>
        <v>#N/A</v>
      </c>
      <c r="T213" s="15" t="e">
        <f t="shared" si="34"/>
        <v>#N/A</v>
      </c>
      <c r="U213" s="18" t="e">
        <f t="shared" si="35"/>
        <v>#N/A</v>
      </c>
      <c r="V213" s="18" t="e">
        <f t="shared" si="36"/>
        <v>#N/A</v>
      </c>
      <c r="W213" s="19" t="e">
        <f t="shared" si="37"/>
        <v>#N/A</v>
      </c>
      <c r="X213" t="e">
        <f>VLOOKUP(P213,Close[[ID]:[CreatedBy]],8,0)</f>
        <v>#N/A</v>
      </c>
    </row>
    <row r="214" spans="1:24" x14ac:dyDescent="0.35">
      <c r="A214" t="str">
        <v>912810SZ2</v>
      </c>
      <c r="B214" t="str">
        <f>IF(NOT(ISBLANK(A214)),VLOOKUP(A214,'BBT3'!A:F,2,0),"")</f>
        <v>Bond</v>
      </c>
      <c r="C214" t="str">
        <f>IF(NOT(ISBLANK(A214)),VLOOKUP(A214,'BBT3'!A:F,3,0),"")</f>
        <v>US912810SZ21</v>
      </c>
      <c r="D214" s="5">
        <f>IF(NOT(ISBLANK(A214)),VLOOKUP(A214,'BBT3'!A:F,4,1),"")</f>
        <v>2</v>
      </c>
      <c r="E214">
        <f>IF(NOT(ISBLANK(A214)),VLOOKUP(A214,'BBT3'!A:F,5,0),"")</f>
        <v>55380</v>
      </c>
      <c r="F214" t="str">
        <f>IF(NOT(ISBLANK(A214)),VLOOKUP(A214,'BBT3'!A:F,6,0),"")</f>
        <v>N</v>
      </c>
      <c r="G214" t="str">
        <f t="shared" si="38"/>
        <v>N</v>
      </c>
      <c r="H214">
        <f>IF(NOT(ISBLANK(A214)),VLOOKUP(A214,'Close - PriceSaver'!A:J,5,0),"")</f>
        <v>5.2364253053372598E-2</v>
      </c>
      <c r="I214" s="4" t="e" cm="1">
        <f t="array" ref="I214">IF(NOT(ISBLANK(A214)),((_xlfn.XLOOKUP(1,(_bbt3[[#All],[ID]]=A214)*(_bbt3[[#All],[METRIC_NAME]]="YLD_YTM_ASK"),_bbt3[[#All],[METRIC_VALUE]])*0.5)+(_xlfn.XLOOKUP(1,(_bbt3[[#All],[ID]]=A214)*(_bbt3[[#All],[METRIC_NAME]]="YLD_YTM_BID"),_bbt3[[#All],[METRIC_VALUE]])*0.5))/100,"")</f>
        <v>#N/A</v>
      </c>
      <c r="J214">
        <f>IF(ISNA(VLOOKUP(A214,'CloseDL - PriceSaverBBT3'!A:E,5,0)),0,VLOOKUP(A214,'CloseDL - PriceSaverBBT3'!A:E,5,0))</f>
        <v>5.2364253053372598E-2</v>
      </c>
      <c r="K214" s="7">
        <f t="shared" si="39"/>
        <v>0</v>
      </c>
      <c r="L214" s="20">
        <f>IF(Close[[#This Row],[CreatedBy]]="MARINER\SilverAdm",1,0)</f>
        <v>1</v>
      </c>
      <c r="M214" t="str">
        <f>IF(NOT(ISBLANK(A214)),VLOOKUP(A214,'Close - PriceSaver'!A:J,6,0),"")</f>
        <v>DL input prc = 55.10937500  PX_ASK = 55.12500000 PX_BID = 55.09375000</v>
      </c>
      <c r="Q214" t="e">
        <f t="shared" si="31"/>
        <v>#N/A</v>
      </c>
      <c r="R214" t="e">
        <f t="shared" si="32"/>
        <v>#N/A</v>
      </c>
      <c r="S214" t="e">
        <f t="shared" si="33"/>
        <v>#N/A</v>
      </c>
      <c r="T214" s="15" t="e">
        <f t="shared" si="34"/>
        <v>#N/A</v>
      </c>
      <c r="U214" s="18" t="e">
        <f t="shared" si="35"/>
        <v>#N/A</v>
      </c>
      <c r="V214" s="18" t="e">
        <f t="shared" si="36"/>
        <v>#N/A</v>
      </c>
      <c r="W214" s="19" t="e">
        <f t="shared" si="37"/>
        <v>#N/A</v>
      </c>
      <c r="X214" t="e">
        <f>VLOOKUP(P214,Close[[ID]:[CreatedBy]],8,0)</f>
        <v>#N/A</v>
      </c>
    </row>
    <row r="215" spans="1:24" x14ac:dyDescent="0.35">
      <c r="A215" t="str">
        <v>912810TA6</v>
      </c>
      <c r="B215" t="str">
        <f>IF(NOT(ISBLANK(A215)),VLOOKUP(A215,'BBT3'!A:F,2,0),"")</f>
        <v>Bond</v>
      </c>
      <c r="C215" t="str">
        <f>IF(NOT(ISBLANK(A215)),VLOOKUP(A215,'BBT3'!A:F,3,0),"")</f>
        <v>US912810TA60</v>
      </c>
      <c r="D215" s="5">
        <f>IF(NOT(ISBLANK(A215)),VLOOKUP(A215,'BBT3'!A:F,4,1),"")</f>
        <v>1.75</v>
      </c>
      <c r="E215">
        <f>IF(NOT(ISBLANK(A215)),VLOOKUP(A215,'BBT3'!A:F,5,0),"")</f>
        <v>51728</v>
      </c>
      <c r="F215" t="str">
        <f>IF(NOT(ISBLANK(A215)),VLOOKUP(A215,'BBT3'!A:F,6,0),"")</f>
        <v>N</v>
      </c>
      <c r="G215" t="str">
        <f t="shared" si="38"/>
        <v>N</v>
      </c>
      <c r="H215">
        <f>IF(NOT(ISBLANK(A215)),VLOOKUP(A215,'Close - PriceSaver'!A:J,5,0),"")</f>
        <v>5.0528677699378001E-2</v>
      </c>
      <c r="I215" s="4" t="e" cm="1">
        <f t="array" ref="I215">IF(NOT(ISBLANK(A215)),((_xlfn.XLOOKUP(1,(_bbt3[[#All],[ID]]=A215)*(_bbt3[[#All],[METRIC_NAME]]="YLD_YTM_ASK"),_bbt3[[#All],[METRIC_VALUE]])*0.5)+(_xlfn.XLOOKUP(1,(_bbt3[[#All],[ID]]=A215)*(_bbt3[[#All],[METRIC_NAME]]="YLD_YTM_BID"),_bbt3[[#All],[METRIC_VALUE]])*0.5))/100,"")</f>
        <v>#N/A</v>
      </c>
      <c r="J215">
        <f>IF(ISNA(VLOOKUP(A215,'CloseDL - PriceSaverBBT3'!A:E,5,0)),0,VLOOKUP(A215,'CloseDL - PriceSaverBBT3'!A:E,5,0))</f>
        <v>5.0528677699378001E-2</v>
      </c>
      <c r="K215" s="7">
        <f t="shared" si="39"/>
        <v>0</v>
      </c>
      <c r="L215" s="20">
        <f>IF(Close[[#This Row],[CreatedBy]]="MARINER\SilverAdm",1,0)</f>
        <v>1</v>
      </c>
      <c r="M215" t="str">
        <f>IF(NOT(ISBLANK(A215)),VLOOKUP(A215,'Close - PriceSaver'!A:J,6,0),"")</f>
        <v>DL input prc = 65.45312500  PX_ASK = 65.50000000 PX_BID = 65.40625000</v>
      </c>
      <c r="Q215" t="e">
        <f t="shared" si="31"/>
        <v>#N/A</v>
      </c>
      <c r="R215" t="e">
        <f t="shared" si="32"/>
        <v>#N/A</v>
      </c>
      <c r="S215" t="e">
        <f t="shared" si="33"/>
        <v>#N/A</v>
      </c>
      <c r="T215" s="15" t="e">
        <f t="shared" si="34"/>
        <v>#N/A</v>
      </c>
      <c r="U215" s="18" t="e">
        <f t="shared" si="35"/>
        <v>#N/A</v>
      </c>
      <c r="V215" s="18" t="e">
        <f t="shared" si="36"/>
        <v>#N/A</v>
      </c>
      <c r="W215" s="19" t="e">
        <f t="shared" si="37"/>
        <v>#N/A</v>
      </c>
      <c r="X215" t="e">
        <f>VLOOKUP(P215,Close[[ID]:[CreatedBy]],8,0)</f>
        <v>#N/A</v>
      </c>
    </row>
    <row r="216" spans="1:24" x14ac:dyDescent="0.35">
      <c r="A216" t="str">
        <v>912810TB4</v>
      </c>
      <c r="B216" t="str">
        <f>IF(NOT(ISBLANK(A216)),VLOOKUP(A216,'BBT3'!A:F,2,0),"")</f>
        <v>Bond</v>
      </c>
      <c r="C216" t="str">
        <f>IF(NOT(ISBLANK(A216)),VLOOKUP(A216,'BBT3'!A:F,3,0),"")</f>
        <v>US912810TB44</v>
      </c>
      <c r="D216" s="5">
        <f>IF(NOT(ISBLANK(A216)),VLOOKUP(A216,'BBT3'!A:F,4,1),"")</f>
        <v>1.875</v>
      </c>
      <c r="E216">
        <f>IF(NOT(ISBLANK(A216)),VLOOKUP(A216,'BBT3'!A:F,5,0),"")</f>
        <v>55472</v>
      </c>
      <c r="F216" t="str">
        <f>IF(NOT(ISBLANK(A216)),VLOOKUP(A216,'BBT3'!A:F,6,0),"")</f>
        <v>N</v>
      </c>
      <c r="G216" t="str">
        <f t="shared" si="38"/>
        <v>N</v>
      </c>
      <c r="H216">
        <f>IF(NOT(ISBLANK(A216)),VLOOKUP(A216,'Close - PriceSaver'!A:J,5,0),"")</f>
        <v>5.2374018076598999E-2</v>
      </c>
      <c r="I216" s="4" t="e" cm="1">
        <f t="array" ref="I216">IF(NOT(ISBLANK(A216)),((_xlfn.XLOOKUP(1,(_bbt3[[#All],[ID]]=A216)*(_bbt3[[#All],[METRIC_NAME]]="YLD_YTM_ASK"),_bbt3[[#All],[METRIC_VALUE]])*0.5)+(_xlfn.XLOOKUP(1,(_bbt3[[#All],[ID]]=A216)*(_bbt3[[#All],[METRIC_NAME]]="YLD_YTM_BID"),_bbt3[[#All],[METRIC_VALUE]])*0.5))/100,"")</f>
        <v>#N/A</v>
      </c>
      <c r="J216">
        <f>IF(ISNA(VLOOKUP(A216,'CloseDL - PriceSaverBBT3'!A:E,5,0)),0,VLOOKUP(A216,'CloseDL - PriceSaverBBT3'!A:E,5,0))</f>
        <v>5.2374018076598999E-2</v>
      </c>
      <c r="K216" s="7">
        <f t="shared" si="39"/>
        <v>0</v>
      </c>
      <c r="L216" s="20">
        <f>IF(Close[[#This Row],[CreatedBy]]="MARINER\SilverAdm",1,0)</f>
        <v>1</v>
      </c>
      <c r="M216" t="str">
        <f>IF(NOT(ISBLANK(A216)),VLOOKUP(A216,'Close - PriceSaver'!A:J,6,0),"")</f>
        <v>DL input prc = 53.14062500  PX_ASK = 53.15625000 PX_BID = 53.12500000</v>
      </c>
      <c r="Q216" t="e">
        <f t="shared" si="31"/>
        <v>#N/A</v>
      </c>
      <c r="R216" t="e">
        <f t="shared" si="32"/>
        <v>#N/A</v>
      </c>
      <c r="S216" t="e">
        <f t="shared" si="33"/>
        <v>#N/A</v>
      </c>
      <c r="T216" s="15" t="e">
        <f t="shared" si="34"/>
        <v>#N/A</v>
      </c>
      <c r="U216" s="18" t="e">
        <f t="shared" si="35"/>
        <v>#N/A</v>
      </c>
      <c r="V216" s="18" t="e">
        <f t="shared" si="36"/>
        <v>#N/A</v>
      </c>
      <c r="W216" s="19" t="e">
        <f t="shared" si="37"/>
        <v>#N/A</v>
      </c>
      <c r="X216" t="e">
        <f>VLOOKUP(P216,Close[[ID]:[CreatedBy]],8,0)</f>
        <v>#N/A</v>
      </c>
    </row>
    <row r="217" spans="1:24" x14ac:dyDescent="0.35">
      <c r="A217" t="str">
        <v>912810TC2</v>
      </c>
      <c r="B217" t="str">
        <f>IF(NOT(ISBLANK(A217)),VLOOKUP(A217,'BBT3'!A:F,2,0),"")</f>
        <v>Bond</v>
      </c>
      <c r="C217" t="str">
        <f>IF(NOT(ISBLANK(A217)),VLOOKUP(A217,'BBT3'!A:F,3,0),"")</f>
        <v>US912810TC27</v>
      </c>
      <c r="D217" s="5">
        <f>IF(NOT(ISBLANK(A217)),VLOOKUP(A217,'BBT3'!A:F,4,1),"")</f>
        <v>2</v>
      </c>
      <c r="E217">
        <f>IF(NOT(ISBLANK(A217)),VLOOKUP(A217,'BBT3'!A:F,5,0),"")</f>
        <v>51820</v>
      </c>
      <c r="F217" t="str">
        <f>IF(NOT(ISBLANK(A217)),VLOOKUP(A217,'BBT3'!A:F,6,0),"")</f>
        <v>N</v>
      </c>
      <c r="G217" t="str">
        <f t="shared" si="38"/>
        <v>N</v>
      </c>
      <c r="H217">
        <f>IF(NOT(ISBLANK(A217)),VLOOKUP(A217,'Close - PriceSaver'!A:J,5,0),"")</f>
        <v>5.0644936278604002E-2</v>
      </c>
      <c r="I217" s="4" t="e" cm="1">
        <f t="array" ref="I217">IF(NOT(ISBLANK(A217)),((_xlfn.XLOOKUP(1,(_bbt3[[#All],[ID]]=A217)*(_bbt3[[#All],[METRIC_NAME]]="YLD_YTM_ASK"),_bbt3[[#All],[METRIC_VALUE]])*0.5)+(_xlfn.XLOOKUP(1,(_bbt3[[#All],[ID]]=A217)*(_bbt3[[#All],[METRIC_NAME]]="YLD_YTM_BID"),_bbt3[[#All],[METRIC_VALUE]])*0.5))/100,"")</f>
        <v>#N/A</v>
      </c>
      <c r="J217">
        <f>IF(ISNA(VLOOKUP(A217,'CloseDL - PriceSaverBBT3'!A:E,5,0)),0,VLOOKUP(A217,'CloseDL - PriceSaverBBT3'!A:E,5,0))</f>
        <v>5.0644936278604002E-2</v>
      </c>
      <c r="K217" s="7">
        <f t="shared" si="39"/>
        <v>0</v>
      </c>
      <c r="L217" s="20">
        <f>IF(Close[[#This Row],[CreatedBy]]="MARINER\SilverAdm",1,0)</f>
        <v>1</v>
      </c>
      <c r="M217" t="str">
        <f>IF(NOT(ISBLANK(A217)),VLOOKUP(A217,'Close - PriceSaver'!A:J,6,0),"")</f>
        <v>DL input prc = 67.61718750  PX_ASK = 67.67187500 PX_BID = 67.56250000</v>
      </c>
      <c r="Q217" t="e">
        <f t="shared" si="31"/>
        <v>#N/A</v>
      </c>
      <c r="R217" t="e">
        <f t="shared" si="32"/>
        <v>#N/A</v>
      </c>
      <c r="S217" t="e">
        <f t="shared" si="33"/>
        <v>#N/A</v>
      </c>
      <c r="T217" s="15" t="e">
        <f t="shared" si="34"/>
        <v>#N/A</v>
      </c>
      <c r="U217" s="18" t="e">
        <f t="shared" si="35"/>
        <v>#N/A</v>
      </c>
      <c r="V217" s="18" t="e">
        <f t="shared" si="36"/>
        <v>#N/A</v>
      </c>
      <c r="W217" s="19" t="e">
        <f t="shared" si="37"/>
        <v>#N/A</v>
      </c>
      <c r="X217" t="e">
        <f>VLOOKUP(P217,Close[[ID]:[CreatedBy]],8,0)</f>
        <v>#N/A</v>
      </c>
    </row>
    <row r="218" spans="1:24" x14ac:dyDescent="0.35">
      <c r="A218" t="str">
        <v>912810TD0</v>
      </c>
      <c r="B218" t="str">
        <f>IF(NOT(ISBLANK(A218)),VLOOKUP(A218,'BBT3'!A:F,2,0),"")</f>
        <v>Bond</v>
      </c>
      <c r="C218" t="str">
        <f>IF(NOT(ISBLANK(A218)),VLOOKUP(A218,'BBT3'!A:F,3,0),"")</f>
        <v>US912810TD00</v>
      </c>
      <c r="D218" s="5">
        <f>IF(NOT(ISBLANK(A218)),VLOOKUP(A218,'BBT3'!A:F,4,1),"")</f>
        <v>2.25</v>
      </c>
      <c r="E218">
        <f>IF(NOT(ISBLANK(A218)),VLOOKUP(A218,'BBT3'!A:F,5,0),"")</f>
        <v>55564</v>
      </c>
      <c r="F218" t="str">
        <f>IF(NOT(ISBLANK(A218)),VLOOKUP(A218,'BBT3'!A:F,6,0),"")</f>
        <v>N</v>
      </c>
      <c r="G218" t="str">
        <f t="shared" si="38"/>
        <v>N</v>
      </c>
      <c r="H218">
        <f>IF(NOT(ISBLANK(A218)),VLOOKUP(A218,'Close - PriceSaver'!A:J,5,0),"")</f>
        <v>5.2259506319675797E-2</v>
      </c>
      <c r="I218" s="4" t="e" cm="1">
        <f t="array" ref="I218">IF(NOT(ISBLANK(A218)),((_xlfn.XLOOKUP(1,(_bbt3[[#All],[ID]]=A218)*(_bbt3[[#All],[METRIC_NAME]]="YLD_YTM_ASK"),_bbt3[[#All],[METRIC_VALUE]])*0.5)+(_xlfn.XLOOKUP(1,(_bbt3[[#All],[ID]]=A218)*(_bbt3[[#All],[METRIC_NAME]]="YLD_YTM_BID"),_bbt3[[#All],[METRIC_VALUE]])*0.5))/100,"")</f>
        <v>#N/A</v>
      </c>
      <c r="J218">
        <f>IF(ISNA(VLOOKUP(A218,'CloseDL - PriceSaverBBT3'!A:E,5,0)),0,VLOOKUP(A218,'CloseDL - PriceSaverBBT3'!A:E,5,0))</f>
        <v>5.2259506319675797E-2</v>
      </c>
      <c r="K218" s="7">
        <f t="shared" si="39"/>
        <v>0</v>
      </c>
      <c r="L218" s="20">
        <f>IF(Close[[#This Row],[CreatedBy]]="MARINER\SilverAdm",1,0)</f>
        <v>1</v>
      </c>
      <c r="M218" t="str">
        <f>IF(NOT(ISBLANK(A218)),VLOOKUP(A218,'Close - PriceSaver'!A:J,6,0),"")</f>
        <v>DL input prc = 58.28125000  PX_ASK = 58.29687500 PX_BID = 58.26562500</v>
      </c>
      <c r="Q218" t="e">
        <f t="shared" si="31"/>
        <v>#N/A</v>
      </c>
      <c r="R218" t="e">
        <f t="shared" si="32"/>
        <v>#N/A</v>
      </c>
      <c r="S218" t="e">
        <f t="shared" si="33"/>
        <v>#N/A</v>
      </c>
      <c r="T218" s="15" t="e">
        <f t="shared" si="34"/>
        <v>#N/A</v>
      </c>
      <c r="U218" s="18" t="e">
        <f t="shared" si="35"/>
        <v>#N/A</v>
      </c>
      <c r="V218" s="18" t="e">
        <f t="shared" si="36"/>
        <v>#N/A</v>
      </c>
      <c r="W218" s="19" t="e">
        <f t="shared" si="37"/>
        <v>#N/A</v>
      </c>
      <c r="X218" t="e">
        <f>VLOOKUP(P218,Close[[ID]:[CreatedBy]],8,0)</f>
        <v>#N/A</v>
      </c>
    </row>
    <row r="219" spans="1:24" x14ac:dyDescent="0.35">
      <c r="A219" t="str">
        <v>912810TE8</v>
      </c>
      <c r="B219" t="str">
        <f>IF(NOT(ISBLANK(A219)),VLOOKUP(A219,'BBT3'!A:F,2,0),"")</f>
        <v>Bond</v>
      </c>
      <c r="C219" t="str">
        <f>IF(NOT(ISBLANK(A219)),VLOOKUP(A219,'BBT3'!A:F,3,0),"")</f>
        <v>US912810TE82</v>
      </c>
      <c r="D219" s="5">
        <f>IF(NOT(ISBLANK(A219)),VLOOKUP(A219,'BBT3'!A:F,4,1),"")</f>
        <v>0.125</v>
      </c>
      <c r="E219">
        <f>IF(NOT(ISBLANK(A219)),VLOOKUP(A219,'BBT3'!A:F,5,0),"")</f>
        <v>55564</v>
      </c>
      <c r="F219" t="str">
        <f>IF(NOT(ISBLANK(A219)),VLOOKUP(A219,'BBT3'!A:F,6,0),"")</f>
        <v>Y</v>
      </c>
      <c r="G219" t="str">
        <f t="shared" si="38"/>
        <v>N</v>
      </c>
      <c r="H219">
        <f>IF(NOT(ISBLANK(A219)),VLOOKUP(A219,'Close - PriceSaver'!A:J,5,0),"")</f>
        <v>2.9378237930924901E-2</v>
      </c>
      <c r="I219" s="4" t="e" cm="1">
        <f t="array" ref="I219">IF(NOT(ISBLANK(A219)),((_xlfn.XLOOKUP(1,(_bbt3[[#All],[ID]]=A219)*(_bbt3[[#All],[METRIC_NAME]]="YLD_YTM_ASK"),_bbt3[[#All],[METRIC_VALUE]])*0.5)+(_xlfn.XLOOKUP(1,(_bbt3[[#All],[ID]]=A219)*(_bbt3[[#All],[METRIC_NAME]]="YLD_YTM_BID"),_bbt3[[#All],[METRIC_VALUE]])*0.5))/100,"")</f>
        <v>#N/A</v>
      </c>
      <c r="J219">
        <f>IF(ISNA(VLOOKUP(A219,'CloseDL - PriceSaverBBT3'!A:E,5,0)),0,VLOOKUP(A219,'CloseDL - PriceSaverBBT3'!A:E,5,0))</f>
        <v>2.9378237930924901E-2</v>
      </c>
      <c r="K219" s="7">
        <f t="shared" si="39"/>
        <v>0</v>
      </c>
      <c r="L219" s="20">
        <f>IF(Close[[#This Row],[CreatedBy]]="MARINER\SilverAdm",1,0)</f>
        <v>1</v>
      </c>
      <c r="M219" t="str">
        <f>IF(NOT(ISBLANK(A219)),VLOOKUP(A219,'Close - PriceSaver'!A:J,6,0),"")</f>
        <v>DL input prc = 49.67968750  PX_ASK = 49.74218750 PX_BID = 49.61718750</v>
      </c>
      <c r="Q219" t="e">
        <f t="shared" si="31"/>
        <v>#N/A</v>
      </c>
      <c r="R219" t="e">
        <f t="shared" si="32"/>
        <v>#N/A</v>
      </c>
      <c r="S219" t="e">
        <f t="shared" si="33"/>
        <v>#N/A</v>
      </c>
      <c r="T219" s="15" t="e">
        <f t="shared" si="34"/>
        <v>#N/A</v>
      </c>
      <c r="U219" s="18" t="e">
        <f t="shared" si="35"/>
        <v>#N/A</v>
      </c>
      <c r="V219" s="18" t="e">
        <f t="shared" si="36"/>
        <v>#N/A</v>
      </c>
      <c r="W219" s="19" t="e">
        <f t="shared" si="37"/>
        <v>#N/A</v>
      </c>
      <c r="X219" t="e">
        <f>VLOOKUP(P219,Close[[ID]:[CreatedBy]],8,0)</f>
        <v>#N/A</v>
      </c>
    </row>
    <row r="220" spans="1:24" x14ac:dyDescent="0.35">
      <c r="A220" t="str">
        <v>912810TF5</v>
      </c>
      <c r="B220" t="str">
        <f>IF(NOT(ISBLANK(A220)),VLOOKUP(A220,'BBT3'!A:F,2,0),"")</f>
        <v>Bond</v>
      </c>
      <c r="C220" t="str">
        <f>IF(NOT(ISBLANK(A220)),VLOOKUP(A220,'BBT3'!A:F,3,0),"")</f>
        <v>US912810TF57</v>
      </c>
      <c r="D220" s="5">
        <f>IF(NOT(ISBLANK(A220)),VLOOKUP(A220,'BBT3'!A:F,4,1),"")</f>
        <v>2.375</v>
      </c>
      <c r="E220">
        <f>IF(NOT(ISBLANK(A220)),VLOOKUP(A220,'BBT3'!A:F,5,0),"")</f>
        <v>51912</v>
      </c>
      <c r="F220" t="str">
        <f>IF(NOT(ISBLANK(A220)),VLOOKUP(A220,'BBT3'!A:F,6,0),"")</f>
        <v>N</v>
      </c>
      <c r="G220" t="str">
        <f t="shared" si="38"/>
        <v>N</v>
      </c>
      <c r="H220">
        <f>IF(NOT(ISBLANK(A220)),VLOOKUP(A220,'Close - PriceSaver'!A:J,5,0),"")</f>
        <v>5.0697828390398797E-2</v>
      </c>
      <c r="I220" s="4" t="e" cm="1">
        <f t="array" ref="I220">IF(NOT(ISBLANK(A220)),((_xlfn.XLOOKUP(1,(_bbt3[[#All],[ID]]=A220)*(_bbt3[[#All],[METRIC_NAME]]="YLD_YTM_ASK"),_bbt3[[#All],[METRIC_VALUE]])*0.5)+(_xlfn.XLOOKUP(1,(_bbt3[[#All],[ID]]=A220)*(_bbt3[[#All],[METRIC_NAME]]="YLD_YTM_BID"),_bbt3[[#All],[METRIC_VALUE]])*0.5))/100,"")</f>
        <v>#N/A</v>
      </c>
      <c r="J220">
        <f>IF(ISNA(VLOOKUP(A220,'CloseDL - PriceSaverBBT3'!A:E,5,0)),0,VLOOKUP(A220,'CloseDL - PriceSaverBBT3'!A:E,5,0))</f>
        <v>5.0697828390398797E-2</v>
      </c>
      <c r="K220" s="7">
        <f t="shared" si="39"/>
        <v>0</v>
      </c>
      <c r="L220" s="20">
        <f>IF(Close[[#This Row],[CreatedBy]]="MARINER\SilverAdm",1,0)</f>
        <v>1</v>
      </c>
      <c r="M220" t="str">
        <f>IF(NOT(ISBLANK(A220)),VLOOKUP(A220,'Close - PriceSaver'!A:J,6,0),"")</f>
        <v>DL input prc = 71.22656250  PX_ASK = 71.26562500 PX_BID = 71.18750000</v>
      </c>
      <c r="Q220" t="e">
        <f t="shared" si="31"/>
        <v>#N/A</v>
      </c>
      <c r="R220" t="e">
        <f t="shared" si="32"/>
        <v>#N/A</v>
      </c>
      <c r="S220" t="e">
        <f t="shared" si="33"/>
        <v>#N/A</v>
      </c>
      <c r="T220" s="15" t="e">
        <f t="shared" si="34"/>
        <v>#N/A</v>
      </c>
      <c r="U220" s="18" t="e">
        <f t="shared" si="35"/>
        <v>#N/A</v>
      </c>
      <c r="V220" s="18" t="e">
        <f t="shared" si="36"/>
        <v>#N/A</v>
      </c>
      <c r="W220" s="19" t="e">
        <f t="shared" si="37"/>
        <v>#N/A</v>
      </c>
      <c r="X220" t="e">
        <f>VLOOKUP(P220,Close[[ID]:[CreatedBy]],8,0)</f>
        <v>#N/A</v>
      </c>
    </row>
    <row r="221" spans="1:24" x14ac:dyDescent="0.35">
      <c r="A221" t="str">
        <v>912810TG3</v>
      </c>
      <c r="B221" t="str">
        <f>IF(NOT(ISBLANK(A221)),VLOOKUP(A221,'BBT3'!A:F,2,0),"")</f>
        <v>Bond</v>
      </c>
      <c r="C221" t="str">
        <f>IF(NOT(ISBLANK(A221)),VLOOKUP(A221,'BBT3'!A:F,3,0),"")</f>
        <v>US912810TG31</v>
      </c>
      <c r="D221" s="5">
        <f>IF(NOT(ISBLANK(A221)),VLOOKUP(A221,'BBT3'!A:F,4,1),"")</f>
        <v>2.875</v>
      </c>
      <c r="E221">
        <f>IF(NOT(ISBLANK(A221)),VLOOKUP(A221,'BBT3'!A:F,5,0),"")</f>
        <v>55654</v>
      </c>
      <c r="F221" t="str">
        <f>IF(NOT(ISBLANK(A221)),VLOOKUP(A221,'BBT3'!A:F,6,0),"")</f>
        <v>N</v>
      </c>
      <c r="G221" t="str">
        <f t="shared" si="38"/>
        <v>N</v>
      </c>
      <c r="H221">
        <f>IF(NOT(ISBLANK(A221)),VLOOKUP(A221,'Close - PriceSaver'!A:J,5,0),"")</f>
        <v>5.2117539965126199E-2</v>
      </c>
      <c r="I221" s="4" t="e" cm="1">
        <f t="array" ref="I221">IF(NOT(ISBLANK(A221)),((_xlfn.XLOOKUP(1,(_bbt3[[#All],[ID]]=A221)*(_bbt3[[#All],[METRIC_NAME]]="YLD_YTM_ASK"),_bbt3[[#All],[METRIC_VALUE]])*0.5)+(_xlfn.XLOOKUP(1,(_bbt3[[#All],[ID]]=A221)*(_bbt3[[#All],[METRIC_NAME]]="YLD_YTM_BID"),_bbt3[[#All],[METRIC_VALUE]])*0.5))/100,"")</f>
        <v>#N/A</v>
      </c>
      <c r="J221">
        <f>IF(ISNA(VLOOKUP(A221,'CloseDL - PriceSaverBBT3'!A:E,5,0)),0,VLOOKUP(A221,'CloseDL - PriceSaverBBT3'!A:E,5,0))</f>
        <v>5.2117539965126199E-2</v>
      </c>
      <c r="K221" s="7">
        <f t="shared" si="39"/>
        <v>0</v>
      </c>
      <c r="L221" s="20">
        <f>IF(Close[[#This Row],[CreatedBy]]="MARINER\SilverAdm",1,0)</f>
        <v>1</v>
      </c>
      <c r="M221" t="str">
        <f>IF(NOT(ISBLANK(A221)),VLOOKUP(A221,'Close - PriceSaver'!A:J,6,0),"")</f>
        <v>DL input prc = 67.03906250  PX_ASK = 67.06250000 PX_BID = 67.01562500</v>
      </c>
      <c r="Q221" t="e">
        <f t="shared" si="31"/>
        <v>#N/A</v>
      </c>
      <c r="R221" t="e">
        <f t="shared" si="32"/>
        <v>#N/A</v>
      </c>
      <c r="S221" t="e">
        <f t="shared" si="33"/>
        <v>#N/A</v>
      </c>
      <c r="T221" s="15" t="e">
        <f t="shared" si="34"/>
        <v>#N/A</v>
      </c>
      <c r="U221" s="18" t="e">
        <f t="shared" si="35"/>
        <v>#N/A</v>
      </c>
      <c r="V221" s="18" t="e">
        <f t="shared" si="36"/>
        <v>#N/A</v>
      </c>
      <c r="W221" s="19" t="e">
        <f t="shared" si="37"/>
        <v>#N/A</v>
      </c>
      <c r="X221" t="e">
        <f>VLOOKUP(P221,Close[[ID]:[CreatedBy]],8,0)</f>
        <v>#N/A</v>
      </c>
    </row>
    <row r="222" spans="1:24" x14ac:dyDescent="0.35">
      <c r="A222" t="str">
        <v>912810TH1</v>
      </c>
      <c r="B222" t="str">
        <f>IF(NOT(ISBLANK(A222)),VLOOKUP(A222,'BBT3'!A:F,2,0),"")</f>
        <v>Bond</v>
      </c>
      <c r="C222" t="str">
        <f>IF(NOT(ISBLANK(A222)),VLOOKUP(A222,'BBT3'!A:F,3,0),"")</f>
        <v>US912810TH14</v>
      </c>
      <c r="D222" s="5">
        <f>IF(NOT(ISBLANK(A222)),VLOOKUP(A222,'BBT3'!A:F,4,1),"")</f>
        <v>3.25</v>
      </c>
      <c r="E222">
        <f>IF(NOT(ISBLANK(A222)),VLOOKUP(A222,'BBT3'!A:F,5,0),"")</f>
        <v>52001</v>
      </c>
      <c r="F222" t="str">
        <f>IF(NOT(ISBLANK(A222)),VLOOKUP(A222,'BBT3'!A:F,6,0),"")</f>
        <v>N</v>
      </c>
      <c r="G222" t="str">
        <f t="shared" si="38"/>
        <v>N</v>
      </c>
      <c r="H222">
        <f>IF(NOT(ISBLANK(A222)),VLOOKUP(A222,'Close - PriceSaver'!A:J,5,0),"")</f>
        <v>5.0634165622193202E-2</v>
      </c>
      <c r="I222" s="4" t="e" cm="1">
        <f t="array" ref="I222">IF(NOT(ISBLANK(A222)),((_xlfn.XLOOKUP(1,(_bbt3[[#All],[ID]]=A222)*(_bbt3[[#All],[METRIC_NAME]]="YLD_YTM_ASK"),_bbt3[[#All],[METRIC_VALUE]])*0.5)+(_xlfn.XLOOKUP(1,(_bbt3[[#All],[ID]]=A222)*(_bbt3[[#All],[METRIC_NAME]]="YLD_YTM_BID"),_bbt3[[#All],[METRIC_VALUE]])*0.5))/100,"")</f>
        <v>#N/A</v>
      </c>
      <c r="J222">
        <f>IF(ISNA(VLOOKUP(A222,'CloseDL - PriceSaverBBT3'!A:E,5,0)),0,VLOOKUP(A222,'CloseDL - PriceSaverBBT3'!A:E,5,0))</f>
        <v>5.0634165622193202E-2</v>
      </c>
      <c r="K222" s="7">
        <f t="shared" si="39"/>
        <v>0</v>
      </c>
      <c r="L222" s="20">
        <f>IF(Close[[#This Row],[CreatedBy]]="MARINER\SilverAdm",1,0)</f>
        <v>1</v>
      </c>
      <c r="M222" t="str">
        <f>IF(NOT(ISBLANK(A222)),VLOOKUP(A222,'Close - PriceSaver'!A:J,6,0),"")</f>
        <v>DL input prc = 80.42187500  PX_ASK = 80.46875000 PX_BID = 80.37500000</v>
      </c>
      <c r="Q222" t="e">
        <f t="shared" si="31"/>
        <v>#N/A</v>
      </c>
      <c r="R222" t="e">
        <f t="shared" si="32"/>
        <v>#N/A</v>
      </c>
      <c r="S222" t="e">
        <f t="shared" si="33"/>
        <v>#N/A</v>
      </c>
      <c r="T222" s="15" t="e">
        <f t="shared" si="34"/>
        <v>#N/A</v>
      </c>
      <c r="U222" s="18" t="e">
        <f t="shared" si="35"/>
        <v>#N/A</v>
      </c>
      <c r="V222" s="18" t="e">
        <f t="shared" si="36"/>
        <v>#N/A</v>
      </c>
      <c r="W222" s="19" t="e">
        <f t="shared" si="37"/>
        <v>#N/A</v>
      </c>
      <c r="X222" t="e">
        <f>VLOOKUP(P222,Close[[ID]:[CreatedBy]],8,0)</f>
        <v>#N/A</v>
      </c>
    </row>
    <row r="223" spans="1:24" x14ac:dyDescent="0.35">
      <c r="A223" t="str">
        <v>912810TJ7</v>
      </c>
      <c r="B223" t="str">
        <f>IF(NOT(ISBLANK(A223)),VLOOKUP(A223,'BBT3'!A:F,2,0),"")</f>
        <v>Bond</v>
      </c>
      <c r="C223" t="str">
        <f>IF(NOT(ISBLANK(A223)),VLOOKUP(A223,'BBT3'!A:F,3,0),"")</f>
        <v>US912810TJ79</v>
      </c>
      <c r="D223" s="5">
        <f>IF(NOT(ISBLANK(A223)),VLOOKUP(A223,'BBT3'!A:F,4,1),"")</f>
        <v>3</v>
      </c>
      <c r="E223">
        <f>IF(NOT(ISBLANK(A223)),VLOOKUP(A223,'BBT3'!A:F,5,0),"")</f>
        <v>55746</v>
      </c>
      <c r="F223" t="str">
        <f>IF(NOT(ISBLANK(A223)),VLOOKUP(A223,'BBT3'!A:F,6,0),"")</f>
        <v>N</v>
      </c>
      <c r="G223" t="str">
        <f t="shared" si="38"/>
        <v>N</v>
      </c>
      <c r="H223">
        <f>IF(NOT(ISBLANK(A223)),VLOOKUP(A223,'Close - PriceSaver'!A:J,5,0),"")</f>
        <v>5.2063836867885897E-2</v>
      </c>
      <c r="I223" s="4" t="e" cm="1">
        <f t="array" ref="I223">IF(NOT(ISBLANK(A223)),((_xlfn.XLOOKUP(1,(_bbt3[[#All],[ID]]=A223)*(_bbt3[[#All],[METRIC_NAME]]="YLD_YTM_ASK"),_bbt3[[#All],[METRIC_VALUE]])*0.5)+(_xlfn.XLOOKUP(1,(_bbt3[[#All],[ID]]=A223)*(_bbt3[[#All],[METRIC_NAME]]="YLD_YTM_BID"),_bbt3[[#All],[METRIC_VALUE]])*0.5))/100,"")</f>
        <v>#N/A</v>
      </c>
      <c r="J223">
        <f>IF(ISNA(VLOOKUP(A223,'CloseDL - PriceSaverBBT3'!A:E,5,0)),0,VLOOKUP(A223,'CloseDL - PriceSaverBBT3'!A:E,5,0))</f>
        <v>5.2063836867885897E-2</v>
      </c>
      <c r="K223" s="7">
        <f t="shared" si="39"/>
        <v>0</v>
      </c>
      <c r="L223" s="20">
        <f>IF(Close[[#This Row],[CreatedBy]]="MARINER\SilverAdm",1,0)</f>
        <v>1</v>
      </c>
      <c r="M223" t="str">
        <f>IF(NOT(ISBLANK(A223)),VLOOKUP(A223,'Close - PriceSaver'!A:J,6,0),"")</f>
        <v>DL input prc = 68.71875000  PX_ASK = 68.73437500 PX_BID = 68.70312500</v>
      </c>
      <c r="Q223" t="e">
        <f t="shared" si="31"/>
        <v>#N/A</v>
      </c>
      <c r="R223" t="e">
        <f t="shared" si="32"/>
        <v>#N/A</v>
      </c>
      <c r="S223" t="e">
        <f t="shared" si="33"/>
        <v>#N/A</v>
      </c>
      <c r="T223" s="15" t="e">
        <f t="shared" si="34"/>
        <v>#N/A</v>
      </c>
      <c r="U223" s="18" t="e">
        <f t="shared" si="35"/>
        <v>#N/A</v>
      </c>
      <c r="V223" s="18" t="e">
        <f t="shared" si="36"/>
        <v>#N/A</v>
      </c>
      <c r="W223" s="19" t="e">
        <f t="shared" si="37"/>
        <v>#N/A</v>
      </c>
      <c r="X223" t="e">
        <f>VLOOKUP(P223,Close[[ID]:[CreatedBy]],8,0)</f>
        <v>#N/A</v>
      </c>
    </row>
    <row r="224" spans="1:24" x14ac:dyDescent="0.35">
      <c r="A224" t="str">
        <v>912810TK4</v>
      </c>
      <c r="B224" t="str">
        <f>IF(NOT(ISBLANK(A224)),VLOOKUP(A224,'BBT3'!A:F,2,0),"")</f>
        <v>Bond</v>
      </c>
      <c r="C224" t="str">
        <f>IF(NOT(ISBLANK(A224)),VLOOKUP(A224,'BBT3'!A:F,3,0),"")</f>
        <v>US912810TK43</v>
      </c>
      <c r="D224" s="5">
        <f>IF(NOT(ISBLANK(A224)),VLOOKUP(A224,'BBT3'!A:F,4,1),"")</f>
        <v>3.375</v>
      </c>
      <c r="E224">
        <f>IF(NOT(ISBLANK(A224)),VLOOKUP(A224,'BBT3'!A:F,5,0),"")</f>
        <v>52093</v>
      </c>
      <c r="F224" t="str">
        <f>IF(NOT(ISBLANK(A224)),VLOOKUP(A224,'BBT3'!A:F,6,0),"")</f>
        <v>N</v>
      </c>
      <c r="G224" t="str">
        <f t="shared" si="38"/>
        <v>N</v>
      </c>
      <c r="H224">
        <f>IF(NOT(ISBLANK(A224)),VLOOKUP(A224,'Close - PriceSaver'!A:J,5,0),"")</f>
        <v>5.07305240114551E-2</v>
      </c>
      <c r="I224" s="4" t="e" cm="1">
        <f t="array" ref="I224">IF(NOT(ISBLANK(A224)),((_xlfn.XLOOKUP(1,(_bbt3[[#All],[ID]]=A224)*(_bbt3[[#All],[METRIC_NAME]]="YLD_YTM_ASK"),_bbt3[[#All],[METRIC_VALUE]])*0.5)+(_xlfn.XLOOKUP(1,(_bbt3[[#All],[ID]]=A224)*(_bbt3[[#All],[METRIC_NAME]]="YLD_YTM_BID"),_bbt3[[#All],[METRIC_VALUE]])*0.5))/100,"")</f>
        <v>#N/A</v>
      </c>
      <c r="J224">
        <f>IF(ISNA(VLOOKUP(A224,'CloseDL - PriceSaverBBT3'!A:E,5,0)),0,VLOOKUP(A224,'CloseDL - PriceSaverBBT3'!A:E,5,0))</f>
        <v>5.07305240114551E-2</v>
      </c>
      <c r="K224" s="7">
        <f t="shared" si="39"/>
        <v>0</v>
      </c>
      <c r="L224" s="20">
        <f>IF(Close[[#This Row],[CreatedBy]]="MARINER\SilverAdm",1,0)</f>
        <v>1</v>
      </c>
      <c r="M224" t="str">
        <f>IF(NOT(ISBLANK(A224)),VLOOKUP(A224,'Close - PriceSaver'!A:J,6,0),"")</f>
        <v>DL input prc = 81.49218750  PX_ASK = 81.53125000 PX_BID = 81.45312500</v>
      </c>
      <c r="Q224" t="e">
        <f t="shared" si="31"/>
        <v>#N/A</v>
      </c>
      <c r="R224" t="e">
        <f t="shared" si="32"/>
        <v>#N/A</v>
      </c>
      <c r="S224" t="e">
        <f t="shared" si="33"/>
        <v>#N/A</v>
      </c>
      <c r="T224" s="15" t="e">
        <f t="shared" si="34"/>
        <v>#N/A</v>
      </c>
      <c r="U224" s="18" t="e">
        <f t="shared" si="35"/>
        <v>#N/A</v>
      </c>
      <c r="V224" s="18" t="e">
        <f t="shared" si="36"/>
        <v>#N/A</v>
      </c>
      <c r="W224" s="19" t="e">
        <f t="shared" si="37"/>
        <v>#N/A</v>
      </c>
      <c r="X224" t="e">
        <f>VLOOKUP(P224,Close[[ID]:[CreatedBy]],8,0)</f>
        <v>#N/A</v>
      </c>
    </row>
    <row r="225" spans="1:24" x14ac:dyDescent="0.35">
      <c r="A225" t="str">
        <v>912810TL2</v>
      </c>
      <c r="B225" t="str">
        <f>IF(NOT(ISBLANK(A225)),VLOOKUP(A225,'BBT3'!A:F,2,0),"")</f>
        <v>Bond</v>
      </c>
      <c r="C225" t="str">
        <f>IF(NOT(ISBLANK(A225)),VLOOKUP(A225,'BBT3'!A:F,3,0),"")</f>
        <v>US912810TL26</v>
      </c>
      <c r="D225" s="5">
        <f>IF(NOT(ISBLANK(A225)),VLOOKUP(A225,'BBT3'!A:F,4,1),"")</f>
        <v>4</v>
      </c>
      <c r="E225">
        <f>IF(NOT(ISBLANK(A225)),VLOOKUP(A225,'BBT3'!A:F,5,0),"")</f>
        <v>55838</v>
      </c>
      <c r="F225" t="str">
        <f>IF(NOT(ISBLANK(A225)),VLOOKUP(A225,'BBT3'!A:F,6,0),"")</f>
        <v>N</v>
      </c>
      <c r="G225" t="str">
        <f t="shared" si="38"/>
        <v>N</v>
      </c>
      <c r="H225">
        <f>IF(NOT(ISBLANK(A225)),VLOOKUP(A225,'Close - PriceSaver'!A:J,5,0),"")</f>
        <v>5.1902894920737498E-2</v>
      </c>
      <c r="I225" s="4" t="e" cm="1">
        <f t="array" ref="I225">IF(NOT(ISBLANK(A225)),((_xlfn.XLOOKUP(1,(_bbt3[[#All],[ID]]=A225)*(_bbt3[[#All],[METRIC_NAME]]="YLD_YTM_ASK"),_bbt3[[#All],[METRIC_VALUE]])*0.5)+(_xlfn.XLOOKUP(1,(_bbt3[[#All],[ID]]=A225)*(_bbt3[[#All],[METRIC_NAME]]="YLD_YTM_BID"),_bbt3[[#All],[METRIC_VALUE]])*0.5))/100,"")</f>
        <v>#N/A</v>
      </c>
      <c r="J225">
        <f>IF(ISNA(VLOOKUP(A225,'CloseDL - PriceSaverBBT3'!A:E,5,0)),0,VLOOKUP(A225,'CloseDL - PriceSaverBBT3'!A:E,5,0))</f>
        <v>5.1902894920737498E-2</v>
      </c>
      <c r="K225" s="7">
        <f t="shared" si="39"/>
        <v>0</v>
      </c>
      <c r="L225" s="20">
        <f>IF(Close[[#This Row],[CreatedBy]]="MARINER\SilverAdm",1,0)</f>
        <v>1</v>
      </c>
      <c r="M225" t="str">
        <f>IF(NOT(ISBLANK(A225)),VLOOKUP(A225,'Close - PriceSaver'!A:J,6,0),"")</f>
        <v>DL input prc = 83.01562500  PX_ASK = 83.03125000 PX_BID = 83.00000000</v>
      </c>
      <c r="Q225" t="e">
        <f t="shared" si="31"/>
        <v>#N/A</v>
      </c>
      <c r="R225" t="e">
        <f t="shared" si="32"/>
        <v>#N/A</v>
      </c>
      <c r="S225" t="e">
        <f t="shared" si="33"/>
        <v>#N/A</v>
      </c>
      <c r="T225" s="15" t="e">
        <f t="shared" si="34"/>
        <v>#N/A</v>
      </c>
      <c r="U225" s="18" t="e">
        <f t="shared" si="35"/>
        <v>#N/A</v>
      </c>
      <c r="V225" s="18" t="e">
        <f t="shared" si="36"/>
        <v>#N/A</v>
      </c>
      <c r="W225" s="19" t="e">
        <f t="shared" si="37"/>
        <v>#N/A</v>
      </c>
      <c r="X225" t="e">
        <f>VLOOKUP(P225,Close[[ID]:[CreatedBy]],8,0)</f>
        <v>#N/A</v>
      </c>
    </row>
    <row r="226" spans="1:24" x14ac:dyDescent="0.35">
      <c r="A226" t="str">
        <v>912810TM0</v>
      </c>
      <c r="B226" t="str">
        <f>IF(NOT(ISBLANK(A226)),VLOOKUP(A226,'BBT3'!A:F,2,0),"")</f>
        <v>Bond</v>
      </c>
      <c r="C226" t="str">
        <f>IF(NOT(ISBLANK(A226)),VLOOKUP(A226,'BBT3'!A:F,3,0),"")</f>
        <v>US912810TM09</v>
      </c>
      <c r="D226" s="5">
        <f>IF(NOT(ISBLANK(A226)),VLOOKUP(A226,'BBT3'!A:F,4,1),"")</f>
        <v>4</v>
      </c>
      <c r="E226">
        <f>IF(NOT(ISBLANK(A226)),VLOOKUP(A226,'BBT3'!A:F,5,0),"")</f>
        <v>52185</v>
      </c>
      <c r="F226" t="str">
        <f>IF(NOT(ISBLANK(A226)),VLOOKUP(A226,'BBT3'!A:F,6,0),"")</f>
        <v>N</v>
      </c>
      <c r="G226" t="str">
        <f t="shared" si="38"/>
        <v>N</v>
      </c>
      <c r="H226">
        <f>IF(NOT(ISBLANK(A226)),VLOOKUP(A226,'Close - PriceSaver'!A:J,5,0),"")</f>
        <v>5.07566795033777E-2</v>
      </c>
      <c r="I226" s="4" t="e" cm="1">
        <f t="array" ref="I226">IF(NOT(ISBLANK(A226)),((_xlfn.XLOOKUP(1,(_bbt3[[#All],[ID]]=A226)*(_bbt3[[#All],[METRIC_NAME]]="YLD_YTM_ASK"),_bbt3[[#All],[METRIC_VALUE]])*0.5)+(_xlfn.XLOOKUP(1,(_bbt3[[#All],[ID]]=A226)*(_bbt3[[#All],[METRIC_NAME]]="YLD_YTM_BID"),_bbt3[[#All],[METRIC_VALUE]])*0.5))/100,"")</f>
        <v>#N/A</v>
      </c>
      <c r="J226">
        <f>IF(ISNA(VLOOKUP(A226,'CloseDL - PriceSaverBBT3'!A:E,5,0)),0,VLOOKUP(A226,'CloseDL - PriceSaverBBT3'!A:E,5,0))</f>
        <v>5.07566795033777E-2</v>
      </c>
      <c r="K226" s="7">
        <f t="shared" si="39"/>
        <v>0</v>
      </c>
      <c r="L226" s="20">
        <f>IF(Close[[#This Row],[CreatedBy]]="MARINER\SilverAdm",1,0)</f>
        <v>1</v>
      </c>
      <c r="M226" t="str">
        <f>IF(NOT(ISBLANK(A226)),VLOOKUP(A226,'Close - PriceSaver'!A:J,6,0),"")</f>
        <v>DL input prc = 88.15625000  PX_ASK = 88.18750000 PX_BID = 88.12500000</v>
      </c>
      <c r="Q226" t="e">
        <f t="shared" si="31"/>
        <v>#N/A</v>
      </c>
      <c r="R226" t="e">
        <f t="shared" si="32"/>
        <v>#N/A</v>
      </c>
      <c r="S226" t="e">
        <f t="shared" si="33"/>
        <v>#N/A</v>
      </c>
      <c r="T226" s="15" t="e">
        <f t="shared" si="34"/>
        <v>#N/A</v>
      </c>
      <c r="U226" s="18" t="e">
        <f t="shared" si="35"/>
        <v>#N/A</v>
      </c>
      <c r="V226" s="18" t="e">
        <f t="shared" si="36"/>
        <v>#N/A</v>
      </c>
      <c r="W226" s="19" t="e">
        <f t="shared" si="37"/>
        <v>#N/A</v>
      </c>
      <c r="X226" t="e">
        <f>VLOOKUP(P226,Close[[ID]:[CreatedBy]],8,0)</f>
        <v>#N/A</v>
      </c>
    </row>
    <row r="227" spans="1:24" x14ac:dyDescent="0.35">
      <c r="A227" t="str">
        <v>912810TN8</v>
      </c>
      <c r="B227" t="str">
        <f>IF(NOT(ISBLANK(A227)),VLOOKUP(A227,'BBT3'!A:F,2,0),"")</f>
        <v>Bond</v>
      </c>
      <c r="C227" t="str">
        <f>IF(NOT(ISBLANK(A227)),VLOOKUP(A227,'BBT3'!A:F,3,0),"")</f>
        <v>US912810TN81</v>
      </c>
      <c r="D227" s="5">
        <f>IF(NOT(ISBLANK(A227)),VLOOKUP(A227,'BBT3'!A:F,4,1),"")</f>
        <v>3.625</v>
      </c>
      <c r="E227">
        <f>IF(NOT(ISBLANK(A227)),VLOOKUP(A227,'BBT3'!A:F,5,0),"")</f>
        <v>55930</v>
      </c>
      <c r="F227" t="str">
        <f>IF(NOT(ISBLANK(A227)),VLOOKUP(A227,'BBT3'!A:F,6,0),"")</f>
        <v>N</v>
      </c>
      <c r="G227" t="str">
        <f t="shared" si="38"/>
        <v>N</v>
      </c>
      <c r="H227">
        <f>IF(NOT(ISBLANK(A227)),VLOOKUP(A227,'Close - PriceSaver'!A:J,5,0),"")</f>
        <v>5.18959382697032E-2</v>
      </c>
      <c r="I227" s="4" t="e" cm="1">
        <f t="array" ref="I227">IF(NOT(ISBLANK(A227)),((_xlfn.XLOOKUP(1,(_bbt3[[#All],[ID]]=A227)*(_bbt3[[#All],[METRIC_NAME]]="YLD_YTM_ASK"),_bbt3[[#All],[METRIC_VALUE]])*0.5)+(_xlfn.XLOOKUP(1,(_bbt3[[#All],[ID]]=A227)*(_bbt3[[#All],[METRIC_NAME]]="YLD_YTM_BID"),_bbt3[[#All],[METRIC_VALUE]])*0.5))/100,"")</f>
        <v>#N/A</v>
      </c>
      <c r="J227">
        <f>IF(ISNA(VLOOKUP(A227,'CloseDL - PriceSaverBBT3'!A:E,5,0)),0,VLOOKUP(A227,'CloseDL - PriceSaverBBT3'!A:E,5,0))</f>
        <v>5.18959382697032E-2</v>
      </c>
      <c r="K227" s="7">
        <f t="shared" si="39"/>
        <v>0</v>
      </c>
      <c r="L227" s="20">
        <f>IF(Close[[#This Row],[CreatedBy]]="MARINER\SilverAdm",1,0)</f>
        <v>1</v>
      </c>
      <c r="M227" t="str">
        <f>IF(NOT(ISBLANK(A227)),VLOOKUP(A227,'Close - PriceSaver'!A:J,6,0),"")</f>
        <v>DL input prc = 77.57812500  PX_ASK = 77.59375000 PX_BID = 77.56250000</v>
      </c>
      <c r="Q227" t="e">
        <f t="shared" si="31"/>
        <v>#N/A</v>
      </c>
      <c r="R227" t="e">
        <f t="shared" si="32"/>
        <v>#N/A</v>
      </c>
      <c r="S227" t="e">
        <f t="shared" si="33"/>
        <v>#N/A</v>
      </c>
      <c r="T227" s="15" t="e">
        <f t="shared" si="34"/>
        <v>#N/A</v>
      </c>
      <c r="U227" s="18" t="e">
        <f t="shared" si="35"/>
        <v>#N/A</v>
      </c>
      <c r="V227" s="18" t="e">
        <f t="shared" si="36"/>
        <v>#N/A</v>
      </c>
      <c r="W227" s="19" t="e">
        <f t="shared" si="37"/>
        <v>#N/A</v>
      </c>
      <c r="X227" t="e">
        <f>VLOOKUP(P227,Close[[ID]:[CreatedBy]],8,0)</f>
        <v>#N/A</v>
      </c>
    </row>
    <row r="228" spans="1:24" x14ac:dyDescent="0.35">
      <c r="A228" t="str">
        <v>912810TP3</v>
      </c>
      <c r="B228" t="str">
        <f>IF(NOT(ISBLANK(A228)),VLOOKUP(A228,'BBT3'!A:F,2,0),"")</f>
        <v>Bond</v>
      </c>
      <c r="C228" t="str">
        <f>IF(NOT(ISBLANK(A228)),VLOOKUP(A228,'BBT3'!A:F,3,0),"")</f>
        <v>US912810TP30</v>
      </c>
      <c r="D228" s="5">
        <f>IF(NOT(ISBLANK(A228)),VLOOKUP(A228,'BBT3'!A:F,4,1),"")</f>
        <v>1.5</v>
      </c>
      <c r="E228">
        <f>IF(NOT(ISBLANK(A228)),VLOOKUP(A228,'BBT3'!A:F,5,0),"")</f>
        <v>55930</v>
      </c>
      <c r="F228" t="str">
        <f>IF(NOT(ISBLANK(A228)),VLOOKUP(A228,'BBT3'!A:F,6,0),"")</f>
        <v>Y</v>
      </c>
      <c r="G228" t="str">
        <f t="shared" si="38"/>
        <v>N</v>
      </c>
      <c r="H228">
        <f>IF(NOT(ISBLANK(A228)),VLOOKUP(A228,'Close - PriceSaver'!A:J,5,0),"")</f>
        <v>2.95245889495288E-2</v>
      </c>
      <c r="I228" s="4" t="e" cm="1">
        <f t="array" ref="I228">IF(NOT(ISBLANK(A228)),((_xlfn.XLOOKUP(1,(_bbt3[[#All],[ID]]=A228)*(_bbt3[[#All],[METRIC_NAME]]="YLD_YTM_ASK"),_bbt3[[#All],[METRIC_VALUE]])*0.5)+(_xlfn.XLOOKUP(1,(_bbt3[[#All],[ID]]=A228)*(_bbt3[[#All],[METRIC_NAME]]="YLD_YTM_BID"),_bbt3[[#All],[METRIC_VALUE]])*0.5))/100,"")</f>
        <v>#N/A</v>
      </c>
      <c r="J228">
        <f>IF(ISNA(VLOOKUP(A228,'CloseDL - PriceSaverBBT3'!A:E,5,0)),0,VLOOKUP(A228,'CloseDL - PriceSaverBBT3'!A:E,5,0))</f>
        <v>2.95245889495288E-2</v>
      </c>
      <c r="K228" s="7">
        <f t="shared" si="39"/>
        <v>0</v>
      </c>
      <c r="L228" s="20">
        <f>IF(Close[[#This Row],[CreatedBy]]="MARINER\SilverAdm",1,0)</f>
        <v>1</v>
      </c>
      <c r="M228" t="str">
        <f>IF(NOT(ISBLANK(A228)),VLOOKUP(A228,'Close - PriceSaver'!A:J,6,0),"")</f>
        <v>DL input prc = 73.38671875  PX_ASK = 73.45312500 PX_BID = 73.32031250</v>
      </c>
      <c r="Q228" t="e">
        <f t="shared" si="31"/>
        <v>#N/A</v>
      </c>
      <c r="R228" t="e">
        <f t="shared" si="32"/>
        <v>#N/A</v>
      </c>
      <c r="S228" t="e">
        <f t="shared" si="33"/>
        <v>#N/A</v>
      </c>
      <c r="T228" s="15" t="e">
        <f t="shared" si="34"/>
        <v>#N/A</v>
      </c>
      <c r="U228" s="18" t="e">
        <f t="shared" si="35"/>
        <v>#N/A</v>
      </c>
      <c r="V228" s="18" t="e">
        <f t="shared" si="36"/>
        <v>#N/A</v>
      </c>
      <c r="W228" s="19" t="e">
        <f t="shared" si="37"/>
        <v>#N/A</v>
      </c>
      <c r="X228" t="e">
        <f>VLOOKUP(P228,Close[[ID]:[CreatedBy]],8,0)</f>
        <v>#N/A</v>
      </c>
    </row>
    <row r="229" spans="1:24" x14ac:dyDescent="0.35">
      <c r="A229" t="str">
        <v>912810TQ1</v>
      </c>
      <c r="B229" t="str">
        <f>IF(NOT(ISBLANK(A229)),VLOOKUP(A229,'BBT3'!A:F,2,0),"")</f>
        <v>Bond</v>
      </c>
      <c r="C229" t="str">
        <f>IF(NOT(ISBLANK(A229)),VLOOKUP(A229,'BBT3'!A:F,3,0),"")</f>
        <v>US912810TQ13</v>
      </c>
      <c r="D229" s="5">
        <f>IF(NOT(ISBLANK(A229)),VLOOKUP(A229,'BBT3'!A:F,4,1),"")</f>
        <v>3.875</v>
      </c>
      <c r="E229">
        <f>IF(NOT(ISBLANK(A229)),VLOOKUP(A229,'BBT3'!A:F,5,0),"")</f>
        <v>52277</v>
      </c>
      <c r="F229" t="str">
        <f>IF(NOT(ISBLANK(A229)),VLOOKUP(A229,'BBT3'!A:F,6,0),"")</f>
        <v>N</v>
      </c>
      <c r="G229" t="str">
        <f t="shared" si="38"/>
        <v>N</v>
      </c>
      <c r="H229">
        <f>IF(NOT(ISBLANK(A229)),VLOOKUP(A229,'Close - PriceSaver'!A:J,5,0),"")</f>
        <v>5.0876767825755197E-2</v>
      </c>
      <c r="I229" s="4" t="e" cm="1">
        <f t="array" ref="I229">IF(NOT(ISBLANK(A229)),((_xlfn.XLOOKUP(1,(_bbt3[[#All],[ID]]=A229)*(_bbt3[[#All],[METRIC_NAME]]="YLD_YTM_ASK"),_bbt3[[#All],[METRIC_VALUE]])*0.5)+(_xlfn.XLOOKUP(1,(_bbt3[[#All],[ID]]=A229)*(_bbt3[[#All],[METRIC_NAME]]="YLD_YTM_BID"),_bbt3[[#All],[METRIC_VALUE]])*0.5))/100,"")</f>
        <v>#N/A</v>
      </c>
      <c r="J229">
        <f>IF(ISNA(VLOOKUP(A229,'CloseDL - PriceSaverBBT3'!A:E,5,0)),0,VLOOKUP(A229,'CloseDL - PriceSaverBBT3'!A:E,5,0))</f>
        <v>5.0876767825755197E-2</v>
      </c>
      <c r="K229" s="7">
        <f t="shared" si="39"/>
        <v>0</v>
      </c>
      <c r="L229" s="20">
        <f>IF(Close[[#This Row],[CreatedBy]]="MARINER\SilverAdm",1,0)</f>
        <v>1</v>
      </c>
      <c r="M229" t="str">
        <f>IF(NOT(ISBLANK(A229)),VLOOKUP(A229,'Close - PriceSaver'!A:J,6,0),"")</f>
        <v>DL input prc = 86.53125000  PX_ASK = 86.56250000 PX_BID = 86.50000000</v>
      </c>
      <c r="Q229" t="e">
        <f t="shared" si="31"/>
        <v>#N/A</v>
      </c>
      <c r="R229" t="e">
        <f t="shared" si="32"/>
        <v>#N/A</v>
      </c>
      <c r="S229" t="e">
        <f t="shared" si="33"/>
        <v>#N/A</v>
      </c>
      <c r="T229" s="15" t="e">
        <f t="shared" si="34"/>
        <v>#N/A</v>
      </c>
      <c r="U229" s="18" t="e">
        <f t="shared" si="35"/>
        <v>#N/A</v>
      </c>
      <c r="V229" s="18" t="e">
        <f t="shared" si="36"/>
        <v>#N/A</v>
      </c>
      <c r="W229" s="19" t="e">
        <f t="shared" si="37"/>
        <v>#N/A</v>
      </c>
      <c r="X229" t="e">
        <f>VLOOKUP(P229,Close[[ID]:[CreatedBy]],8,0)</f>
        <v>#N/A</v>
      </c>
    </row>
    <row r="230" spans="1:24" x14ac:dyDescent="0.35">
      <c r="A230" t="str">
        <v>912810TR9</v>
      </c>
      <c r="B230" t="str">
        <f>IF(NOT(ISBLANK(A230)),VLOOKUP(A230,'BBT3'!A:F,2,0),"")</f>
        <v>Bond</v>
      </c>
      <c r="C230" t="str">
        <f>IF(NOT(ISBLANK(A230)),VLOOKUP(A230,'BBT3'!A:F,3,0),"")</f>
        <v>US912810TR95</v>
      </c>
      <c r="D230" s="5">
        <f>IF(NOT(ISBLANK(A230)),VLOOKUP(A230,'BBT3'!A:F,4,1),"")</f>
        <v>3.625</v>
      </c>
      <c r="E230">
        <f>IF(NOT(ISBLANK(A230)),VLOOKUP(A230,'BBT3'!A:F,5,0),"")</f>
        <v>56019</v>
      </c>
      <c r="F230" t="str">
        <f>IF(NOT(ISBLANK(A230)),VLOOKUP(A230,'BBT3'!A:F,6,0),"")</f>
        <v>N</v>
      </c>
      <c r="G230" t="str">
        <f t="shared" si="38"/>
        <v>N</v>
      </c>
      <c r="H230">
        <f>IF(NOT(ISBLANK(A230)),VLOOKUP(A230,'Close - PriceSaver'!A:J,5,0),"")</f>
        <v>5.1883709290607698E-2</v>
      </c>
      <c r="I230" s="4" t="e" cm="1">
        <f t="array" ref="I230">IF(NOT(ISBLANK(A230)),((_xlfn.XLOOKUP(1,(_bbt3[[#All],[ID]]=A230)*(_bbt3[[#All],[METRIC_NAME]]="YLD_YTM_ASK"),_bbt3[[#All],[METRIC_VALUE]])*0.5)+(_xlfn.XLOOKUP(1,(_bbt3[[#All],[ID]]=A230)*(_bbt3[[#All],[METRIC_NAME]]="YLD_YTM_BID"),_bbt3[[#All],[METRIC_VALUE]])*0.5))/100,"")</f>
        <v>#N/A</v>
      </c>
      <c r="J230">
        <f>IF(ISNA(VLOOKUP(A230,'CloseDL - PriceSaverBBT3'!A:E,5,0)),0,VLOOKUP(A230,'CloseDL - PriceSaverBBT3'!A:E,5,0))</f>
        <v>5.1883709290607698E-2</v>
      </c>
      <c r="K230" s="7">
        <f t="shared" si="39"/>
        <v>0</v>
      </c>
      <c r="L230" s="20">
        <f>IF(Close[[#This Row],[CreatedBy]]="MARINER\SilverAdm",1,0)</f>
        <v>1</v>
      </c>
      <c r="M230" t="str">
        <f>IF(NOT(ISBLANK(A230)),VLOOKUP(A230,'Close - PriceSaver'!A:J,6,0),"")</f>
        <v>DL input prc = 77.49218750  PX_ASK = 77.51562500 PX_BID = 77.46875000</v>
      </c>
      <c r="Q230" t="e">
        <f t="shared" si="31"/>
        <v>#N/A</v>
      </c>
      <c r="R230" t="e">
        <f t="shared" si="32"/>
        <v>#N/A</v>
      </c>
      <c r="S230" t="e">
        <f t="shared" si="33"/>
        <v>#N/A</v>
      </c>
      <c r="T230" s="15" t="e">
        <f t="shared" si="34"/>
        <v>#N/A</v>
      </c>
      <c r="U230" s="18" t="e">
        <f t="shared" si="35"/>
        <v>#N/A</v>
      </c>
      <c r="V230" s="18" t="e">
        <f t="shared" si="36"/>
        <v>#N/A</v>
      </c>
      <c r="W230" s="19" t="e">
        <f t="shared" si="37"/>
        <v>#N/A</v>
      </c>
      <c r="X230" t="e">
        <f>VLOOKUP(P230,Close[[ID]:[CreatedBy]],8,0)</f>
        <v>#N/A</v>
      </c>
    </row>
    <row r="231" spans="1:24" x14ac:dyDescent="0.35">
      <c r="A231" t="str">
        <v>912810TS7</v>
      </c>
      <c r="B231" t="str">
        <f>IF(NOT(ISBLANK(A231)),VLOOKUP(A231,'BBT3'!A:F,2,0),"")</f>
        <v>Bond</v>
      </c>
      <c r="C231" t="str">
        <f>IF(NOT(ISBLANK(A231)),VLOOKUP(A231,'BBT3'!A:F,3,0),"")</f>
        <v>US912810TS78</v>
      </c>
      <c r="D231" s="5">
        <f>IF(NOT(ISBLANK(A231)),VLOOKUP(A231,'BBT3'!A:F,4,1),"")</f>
        <v>3.875</v>
      </c>
      <c r="E231">
        <f>IF(NOT(ISBLANK(A231)),VLOOKUP(A231,'BBT3'!A:F,5,0),"")</f>
        <v>52366</v>
      </c>
      <c r="F231" t="str">
        <f>IF(NOT(ISBLANK(A231)),VLOOKUP(A231,'BBT3'!A:F,6,0),"")</f>
        <v>N</v>
      </c>
      <c r="G231" t="str">
        <f t="shared" si="38"/>
        <v>N</v>
      </c>
      <c r="H231">
        <f>IF(NOT(ISBLANK(A231)),VLOOKUP(A231,'Close - PriceSaver'!A:J,5,0),"")</f>
        <v>5.0961979418729597E-2</v>
      </c>
      <c r="I231" s="4" t="e" cm="1">
        <f t="array" ref="I231">IF(NOT(ISBLANK(A231)),((_xlfn.XLOOKUP(1,(_bbt3[[#All],[ID]]=A231)*(_bbt3[[#All],[METRIC_NAME]]="YLD_YTM_ASK"),_bbt3[[#All],[METRIC_VALUE]])*0.5)+(_xlfn.XLOOKUP(1,(_bbt3[[#All],[ID]]=A231)*(_bbt3[[#All],[METRIC_NAME]]="YLD_YTM_BID"),_bbt3[[#All],[METRIC_VALUE]])*0.5))/100,"")</f>
        <v>#N/A</v>
      </c>
      <c r="J231">
        <f>IF(ISNA(VLOOKUP(A231,'CloseDL - PriceSaverBBT3'!A:E,5,0)),0,VLOOKUP(A231,'CloseDL - PriceSaverBBT3'!A:E,5,0))</f>
        <v>5.0961979418729597E-2</v>
      </c>
      <c r="K231" s="7">
        <f t="shared" si="39"/>
        <v>0</v>
      </c>
      <c r="L231" s="20">
        <f>IF(Close[[#This Row],[CreatedBy]]="MARINER\SilverAdm",1,0)</f>
        <v>1</v>
      </c>
      <c r="M231" t="str">
        <f>IF(NOT(ISBLANK(A231)),VLOOKUP(A231,'Close - PriceSaver'!A:J,6,0),"")</f>
        <v>DL input prc = 86.31250000  PX_ASK = 86.34375000 PX_BID = 86.28125000</v>
      </c>
      <c r="Q231" t="e">
        <f t="shared" si="31"/>
        <v>#N/A</v>
      </c>
      <c r="R231" t="e">
        <f t="shared" si="32"/>
        <v>#N/A</v>
      </c>
      <c r="S231" t="e">
        <f t="shared" si="33"/>
        <v>#N/A</v>
      </c>
      <c r="T231" s="15" t="e">
        <f t="shared" si="34"/>
        <v>#N/A</v>
      </c>
      <c r="U231" s="18" t="e">
        <f t="shared" si="35"/>
        <v>#N/A</v>
      </c>
      <c r="V231" s="18" t="e">
        <f t="shared" si="36"/>
        <v>#N/A</v>
      </c>
      <c r="W231" s="19" t="e">
        <f t="shared" si="37"/>
        <v>#N/A</v>
      </c>
      <c r="X231" t="e">
        <f>VLOOKUP(P231,Close[[ID]:[CreatedBy]],8,0)</f>
        <v>#N/A</v>
      </c>
    </row>
    <row r="232" spans="1:24" x14ac:dyDescent="0.35">
      <c r="A232" t="str">
        <v>912810TT5</v>
      </c>
      <c r="B232" t="str">
        <f>IF(NOT(ISBLANK(A232)),VLOOKUP(A232,'BBT3'!A:F,2,0),"")</f>
        <v>Bond</v>
      </c>
      <c r="C232" t="str">
        <f>IF(NOT(ISBLANK(A232)),VLOOKUP(A232,'BBT3'!A:F,3,0),"")</f>
        <v>US912810TT51</v>
      </c>
      <c r="D232" s="5">
        <f>IF(NOT(ISBLANK(A232)),VLOOKUP(A232,'BBT3'!A:F,4,1),"")</f>
        <v>4.125</v>
      </c>
      <c r="E232">
        <f>IF(NOT(ISBLANK(A232)),VLOOKUP(A232,'BBT3'!A:F,5,0),"")</f>
        <v>56111</v>
      </c>
      <c r="F232" t="str">
        <f>IF(NOT(ISBLANK(A232)),VLOOKUP(A232,'BBT3'!A:F,6,0),"")</f>
        <v>N</v>
      </c>
      <c r="G232" t="str">
        <f t="shared" si="38"/>
        <v>N</v>
      </c>
      <c r="H232">
        <f>IF(NOT(ISBLANK(A232)),VLOOKUP(A232,'Close - PriceSaver'!A:J,5,0),"")</f>
        <v>5.17743518675347E-2</v>
      </c>
      <c r="I232" s="4" t="e" cm="1">
        <f t="array" ref="I232">IF(NOT(ISBLANK(A232)),((_xlfn.XLOOKUP(1,(_bbt3[[#All],[ID]]=A232)*(_bbt3[[#All],[METRIC_NAME]]="YLD_YTM_ASK"),_bbt3[[#All],[METRIC_VALUE]])*0.5)+(_xlfn.XLOOKUP(1,(_bbt3[[#All],[ID]]=A232)*(_bbt3[[#All],[METRIC_NAME]]="YLD_YTM_BID"),_bbt3[[#All],[METRIC_VALUE]])*0.5))/100,"")</f>
        <v>#N/A</v>
      </c>
      <c r="J232">
        <f>IF(ISNA(VLOOKUP(A232,'CloseDL - PriceSaverBBT3'!A:E,5,0)),0,VLOOKUP(A232,'CloseDL - PriceSaverBBT3'!A:E,5,0))</f>
        <v>5.17743518675347E-2</v>
      </c>
      <c r="K232" s="7">
        <f t="shared" si="39"/>
        <v>0</v>
      </c>
      <c r="L232" s="20">
        <f>IF(Close[[#This Row],[CreatedBy]]="MARINER\SilverAdm",1,0)</f>
        <v>1</v>
      </c>
      <c r="M232" t="str">
        <f>IF(NOT(ISBLANK(A232)),VLOOKUP(A232,'Close - PriceSaver'!A:J,6,0),"")</f>
        <v>DL input prc = 84.76562500  PX_ASK = 84.78125000 PX_BID = 84.75000000</v>
      </c>
      <c r="Q232" t="e">
        <f t="shared" si="31"/>
        <v>#N/A</v>
      </c>
      <c r="R232" t="e">
        <f t="shared" si="32"/>
        <v>#N/A</v>
      </c>
      <c r="S232" t="e">
        <f t="shared" si="33"/>
        <v>#N/A</v>
      </c>
      <c r="T232" s="15" t="e">
        <f t="shared" si="34"/>
        <v>#N/A</v>
      </c>
      <c r="U232" s="18" t="e">
        <f t="shared" si="35"/>
        <v>#N/A</v>
      </c>
      <c r="V232" s="18" t="e">
        <f t="shared" si="36"/>
        <v>#N/A</v>
      </c>
      <c r="W232" s="19" t="e">
        <f t="shared" si="37"/>
        <v>#N/A</v>
      </c>
      <c r="X232" t="e">
        <f>VLOOKUP(P232,Close[[ID]:[CreatedBy]],8,0)</f>
        <v>#N/A</v>
      </c>
    </row>
    <row r="233" spans="1:24" x14ac:dyDescent="0.35">
      <c r="A233" t="str">
        <v>912810TU2</v>
      </c>
      <c r="B233" t="str">
        <f>IF(NOT(ISBLANK(A233)),VLOOKUP(A233,'BBT3'!A:F,2,0),"")</f>
        <v>Bond</v>
      </c>
      <c r="C233" t="str">
        <f>IF(NOT(ISBLANK(A233)),VLOOKUP(A233,'BBT3'!A:F,3,0),"")</f>
        <v>US912810TU25</v>
      </c>
      <c r="D233" s="5">
        <f>IF(NOT(ISBLANK(A233)),VLOOKUP(A233,'BBT3'!A:F,4,1),"")</f>
        <v>4.375</v>
      </c>
      <c r="E233">
        <f>IF(NOT(ISBLANK(A233)),VLOOKUP(A233,'BBT3'!A:F,5,0),"")</f>
        <v>52458</v>
      </c>
      <c r="F233" t="str">
        <f>IF(NOT(ISBLANK(A233)),VLOOKUP(A233,'BBT3'!A:F,6,0),"")</f>
        <v>N</v>
      </c>
      <c r="G233" t="str">
        <f t="shared" si="38"/>
        <v>N</v>
      </c>
      <c r="H233">
        <f>IF(NOT(ISBLANK(A233)),VLOOKUP(A233,'Close - PriceSaver'!A:J,5,0),"")</f>
        <v>5.0973602463409901E-2</v>
      </c>
      <c r="I233" s="4" t="e" cm="1">
        <f t="array" ref="I233">IF(NOT(ISBLANK(A233)),((_xlfn.XLOOKUP(1,(_bbt3[[#All],[ID]]=A233)*(_bbt3[[#All],[METRIC_NAME]]="YLD_YTM_ASK"),_bbt3[[#All],[METRIC_VALUE]])*0.5)+(_xlfn.XLOOKUP(1,(_bbt3[[#All],[ID]]=A233)*(_bbt3[[#All],[METRIC_NAME]]="YLD_YTM_BID"),_bbt3[[#All],[METRIC_VALUE]])*0.5))/100,"")</f>
        <v>#N/A</v>
      </c>
      <c r="J233">
        <f>IF(ISNA(VLOOKUP(A233,'CloseDL - PriceSaverBBT3'!A:E,5,0)),0,VLOOKUP(A233,'CloseDL - PriceSaverBBT3'!A:E,5,0))</f>
        <v>5.0973602463409901E-2</v>
      </c>
      <c r="K233" s="7">
        <f t="shared" si="39"/>
        <v>0</v>
      </c>
      <c r="L233" s="20">
        <f>IF(Close[[#This Row],[CreatedBy]]="MARINER\SilverAdm",1,0)</f>
        <v>1</v>
      </c>
      <c r="M233" t="str">
        <f>IF(NOT(ISBLANK(A233)),VLOOKUP(A233,'Close - PriceSaver'!A:J,6,0),"")</f>
        <v>DL input prc = 91.82812500  PX_ASK = 91.85937500 PX_BID = 91.79687500</v>
      </c>
      <c r="Q233" t="e">
        <f t="shared" si="31"/>
        <v>#N/A</v>
      </c>
      <c r="R233" t="e">
        <f t="shared" si="32"/>
        <v>#N/A</v>
      </c>
      <c r="S233" t="e">
        <f t="shared" si="33"/>
        <v>#N/A</v>
      </c>
      <c r="T233" s="15" t="e">
        <f t="shared" si="34"/>
        <v>#N/A</v>
      </c>
      <c r="U233" s="18" t="e">
        <f t="shared" si="35"/>
        <v>#N/A</v>
      </c>
      <c r="V233" s="18" t="e">
        <f t="shared" si="36"/>
        <v>#N/A</v>
      </c>
      <c r="W233" s="19" t="e">
        <f t="shared" si="37"/>
        <v>#N/A</v>
      </c>
      <c r="X233" t="e">
        <f>VLOOKUP(P233,Close[[ID]:[CreatedBy]],8,0)</f>
        <v>#N/A</v>
      </c>
    </row>
    <row r="234" spans="1:24" x14ac:dyDescent="0.35">
      <c r="A234" t="str">
        <v>912810TV0</v>
      </c>
      <c r="B234" t="str">
        <f>IF(NOT(ISBLANK(A234)),VLOOKUP(A234,'BBT3'!A:F,2,0),"")</f>
        <v>Bond</v>
      </c>
      <c r="C234" t="str">
        <f>IF(NOT(ISBLANK(A234)),VLOOKUP(A234,'BBT3'!A:F,3,0),"")</f>
        <v>US912810TV08</v>
      </c>
      <c r="D234" s="5">
        <f>IF(NOT(ISBLANK(A234)),VLOOKUP(A234,'BBT3'!A:F,4,1),"")</f>
        <v>4.75</v>
      </c>
      <c r="E234">
        <f>IF(NOT(ISBLANK(A234)),VLOOKUP(A234,'BBT3'!A:F,5,0),"")</f>
        <v>56203</v>
      </c>
      <c r="F234" t="str">
        <f>IF(NOT(ISBLANK(A234)),VLOOKUP(A234,'BBT3'!A:F,6,0),"")</f>
        <v>N</v>
      </c>
      <c r="G234" t="str">
        <f t="shared" si="38"/>
        <v>N</v>
      </c>
      <c r="H234">
        <f>IF(NOT(ISBLANK(A234)),VLOOKUP(A234,'Close - PriceSaver'!A:J,5,0),"")</f>
        <v>5.1678382755991098E-2</v>
      </c>
      <c r="I234" s="4" t="e" cm="1">
        <f t="array" ref="I234">IF(NOT(ISBLANK(A234)),((_xlfn.XLOOKUP(1,(_bbt3[[#All],[ID]]=A234)*(_bbt3[[#All],[METRIC_NAME]]="YLD_YTM_ASK"),_bbt3[[#All],[METRIC_VALUE]])*0.5)+(_xlfn.XLOOKUP(1,(_bbt3[[#All],[ID]]=A234)*(_bbt3[[#All],[METRIC_NAME]]="YLD_YTM_BID"),_bbt3[[#All],[METRIC_VALUE]])*0.5))/100,"")</f>
        <v>#N/A</v>
      </c>
      <c r="J234">
        <f>IF(ISNA(VLOOKUP(A234,'CloseDL - PriceSaverBBT3'!A:E,5,0)),0,VLOOKUP(A234,'CloseDL - PriceSaverBBT3'!A:E,5,0))</f>
        <v>5.1678382755991098E-2</v>
      </c>
      <c r="K234" s="7">
        <f t="shared" si="39"/>
        <v>0</v>
      </c>
      <c r="L234" s="20">
        <f>IF(Close[[#This Row],[CreatedBy]]="MARINER\SilverAdm",1,0)</f>
        <v>1</v>
      </c>
      <c r="M234" t="str">
        <f>IF(NOT(ISBLANK(A234)),VLOOKUP(A234,'Close - PriceSaver'!A:J,6,0),"")</f>
        <v>DL input prc = 93.91406250  PX_ASK = 93.92187500 PX_BID = 93.90625000</v>
      </c>
      <c r="Q234" t="e">
        <f t="shared" si="31"/>
        <v>#N/A</v>
      </c>
      <c r="R234" t="e">
        <f t="shared" si="32"/>
        <v>#N/A</v>
      </c>
      <c r="S234" t="e">
        <f t="shared" si="33"/>
        <v>#N/A</v>
      </c>
      <c r="T234" s="15" t="e">
        <f t="shared" si="34"/>
        <v>#N/A</v>
      </c>
      <c r="U234" s="18" t="e">
        <f t="shared" si="35"/>
        <v>#N/A</v>
      </c>
      <c r="V234" s="18" t="e">
        <f t="shared" si="36"/>
        <v>#N/A</v>
      </c>
      <c r="W234" s="19" t="e">
        <f t="shared" si="37"/>
        <v>#N/A</v>
      </c>
      <c r="X234" t="e">
        <f>VLOOKUP(P234,Close[[ID]:[CreatedBy]],8,0)</f>
        <v>#N/A</v>
      </c>
    </row>
    <row r="235" spans="1:24" x14ac:dyDescent="0.35">
      <c r="A235" t="str">
        <v>912810TW8</v>
      </c>
      <c r="B235" t="str">
        <f>IF(NOT(ISBLANK(A235)),VLOOKUP(A235,'BBT3'!A:F,2,0),"")</f>
        <v>Bond</v>
      </c>
      <c r="C235" t="str">
        <f>IF(NOT(ISBLANK(A235)),VLOOKUP(A235,'BBT3'!A:F,3,0),"")</f>
        <v>US912810TW80</v>
      </c>
      <c r="D235" s="5">
        <f>IF(NOT(ISBLANK(A235)),VLOOKUP(A235,'BBT3'!A:F,4,1),"")</f>
        <v>4.75</v>
      </c>
      <c r="E235">
        <f>IF(NOT(ISBLANK(A235)),VLOOKUP(A235,'BBT3'!A:F,5,0),"")</f>
        <v>52550</v>
      </c>
      <c r="F235" t="str">
        <f>IF(NOT(ISBLANK(A235)),VLOOKUP(A235,'BBT3'!A:F,6,0),"")</f>
        <v>N</v>
      </c>
      <c r="G235" t="str">
        <f t="shared" si="38"/>
        <v>N</v>
      </c>
      <c r="H235">
        <f>IF(NOT(ISBLANK(A235)),VLOOKUP(A235,'Close - PriceSaver'!A:J,5,0),"")</f>
        <v>5.0957556976952E-2</v>
      </c>
      <c r="I235" s="4" t="e" cm="1">
        <f t="array" ref="I235">IF(NOT(ISBLANK(A235)),((_xlfn.XLOOKUP(1,(_bbt3[[#All],[ID]]=A235)*(_bbt3[[#All],[METRIC_NAME]]="YLD_YTM_ASK"),_bbt3[[#All],[METRIC_VALUE]])*0.5)+(_xlfn.XLOOKUP(1,(_bbt3[[#All],[ID]]=A235)*(_bbt3[[#All],[METRIC_NAME]]="YLD_YTM_BID"),_bbt3[[#All],[METRIC_VALUE]])*0.5))/100,"")</f>
        <v>#N/A</v>
      </c>
      <c r="J235">
        <f>IF(ISNA(VLOOKUP(A235,'CloseDL - PriceSaverBBT3'!A:E,5,0)),0,VLOOKUP(A235,'CloseDL - PriceSaverBBT3'!A:E,5,0))</f>
        <v>5.0957556976952E-2</v>
      </c>
      <c r="K235" s="7">
        <f t="shared" si="39"/>
        <v>0</v>
      </c>
      <c r="L235" s="20">
        <f>IF(Close[[#This Row],[CreatedBy]]="MARINER\SilverAdm",1,0)</f>
        <v>1</v>
      </c>
      <c r="M235" t="str">
        <f>IF(NOT(ISBLANK(A235)),VLOOKUP(A235,'Close - PriceSaver'!A:J,6,0),"")</f>
        <v>DL input prc = 96.04687500  PX_ASK = 96.06250000 PX_BID = 96.03125000</v>
      </c>
      <c r="Q235" t="e">
        <f t="shared" si="31"/>
        <v>#N/A</v>
      </c>
      <c r="R235" t="e">
        <f t="shared" si="32"/>
        <v>#N/A</v>
      </c>
      <c r="S235" t="e">
        <f t="shared" si="33"/>
        <v>#N/A</v>
      </c>
      <c r="T235" s="15" t="e">
        <f t="shared" si="34"/>
        <v>#N/A</v>
      </c>
      <c r="U235" s="18" t="e">
        <f t="shared" si="35"/>
        <v>#N/A</v>
      </c>
      <c r="V235" s="18" t="e">
        <f t="shared" si="36"/>
        <v>#N/A</v>
      </c>
      <c r="W235" s="19" t="e">
        <f t="shared" si="37"/>
        <v>#N/A</v>
      </c>
      <c r="X235" t="e">
        <f>VLOOKUP(P235,Close[[ID]:[CreatedBy]],8,0)</f>
        <v>#N/A</v>
      </c>
    </row>
    <row r="236" spans="1:24" x14ac:dyDescent="0.35">
      <c r="A236" t="str">
        <v>912810TX6</v>
      </c>
      <c r="B236" t="str">
        <f>IF(NOT(ISBLANK(A236)),VLOOKUP(A236,'BBT3'!A:F,2,0),"")</f>
        <v>Bond</v>
      </c>
      <c r="C236" t="str">
        <f>IF(NOT(ISBLANK(A236)),VLOOKUP(A236,'BBT3'!A:F,3,0),"")</f>
        <v>US912810TX63</v>
      </c>
      <c r="D236" s="5">
        <f>IF(NOT(ISBLANK(A236)),VLOOKUP(A236,'BBT3'!A:F,4,1),"")</f>
        <v>4.25</v>
      </c>
      <c r="E236">
        <f>IF(NOT(ISBLANK(A236)),VLOOKUP(A236,'BBT3'!A:F,5,0),"")</f>
        <v>56295</v>
      </c>
      <c r="F236" t="str">
        <f>IF(NOT(ISBLANK(A236)),VLOOKUP(A236,'BBT3'!A:F,6,0),"")</f>
        <v>N</v>
      </c>
      <c r="G236" t="str">
        <f t="shared" si="38"/>
        <v>N</v>
      </c>
      <c r="H236">
        <f>IF(NOT(ISBLANK(A236)),VLOOKUP(A236,'Close - PriceSaver'!A:J,5,0),"")</f>
        <v>5.16974787244757E-2</v>
      </c>
      <c r="I236" s="4" t="e" cm="1">
        <f t="array" ref="I236">IF(NOT(ISBLANK(A236)),((_xlfn.XLOOKUP(1,(_bbt3[[#All],[ID]]=A236)*(_bbt3[[#All],[METRIC_NAME]]="YLD_YTM_ASK"),_bbt3[[#All],[METRIC_VALUE]])*0.5)+(_xlfn.XLOOKUP(1,(_bbt3[[#All],[ID]]=A236)*(_bbt3[[#All],[METRIC_NAME]]="YLD_YTM_BID"),_bbt3[[#All],[METRIC_VALUE]])*0.5))/100,"")</f>
        <v>#N/A</v>
      </c>
      <c r="J236">
        <f>IF(ISNA(VLOOKUP(A236,'CloseDL - PriceSaverBBT3'!A:E,5,0)),0,VLOOKUP(A236,'CloseDL - PriceSaverBBT3'!A:E,5,0))</f>
        <v>5.16974787244757E-2</v>
      </c>
      <c r="K236" s="7">
        <f t="shared" si="39"/>
        <v>0</v>
      </c>
      <c r="L236" s="20">
        <f>IF(Close[[#This Row],[CreatedBy]]="MARINER\SilverAdm",1,0)</f>
        <v>1</v>
      </c>
      <c r="M236" t="str">
        <f>IF(NOT(ISBLANK(A236)),VLOOKUP(A236,'Close - PriceSaver'!A:J,6,0),"")</f>
        <v>DL input prc = 86.56250000  PX_ASK = 86.57812500 PX_BID = 86.54687500</v>
      </c>
      <c r="Q236" t="e">
        <f t="shared" si="31"/>
        <v>#N/A</v>
      </c>
      <c r="R236" t="e">
        <f t="shared" si="32"/>
        <v>#N/A</v>
      </c>
      <c r="S236" t="e">
        <f t="shared" si="33"/>
        <v>#N/A</v>
      </c>
      <c r="T236" s="15" t="e">
        <f t="shared" si="34"/>
        <v>#N/A</v>
      </c>
      <c r="U236" s="18" t="e">
        <f t="shared" si="35"/>
        <v>#N/A</v>
      </c>
      <c r="V236" s="18" t="e">
        <f t="shared" si="36"/>
        <v>#N/A</v>
      </c>
      <c r="W236" s="19" t="e">
        <f t="shared" si="37"/>
        <v>#N/A</v>
      </c>
      <c r="X236" t="e">
        <f>VLOOKUP(P236,Close[[ID]:[CreatedBy]],8,0)</f>
        <v>#N/A</v>
      </c>
    </row>
    <row r="237" spans="1:24" x14ac:dyDescent="0.35">
      <c r="A237" t="str">
        <v>912810TY4</v>
      </c>
      <c r="B237" t="str">
        <f>IF(NOT(ISBLANK(A237)),VLOOKUP(A237,'BBT3'!A:F,2,0),"")</f>
        <v>Bond</v>
      </c>
      <c r="C237" t="str">
        <f>IF(NOT(ISBLANK(A237)),VLOOKUP(A237,'BBT3'!A:F,3,0),"")</f>
        <v>US912810TY47</v>
      </c>
      <c r="D237" s="5">
        <f>IF(NOT(ISBLANK(A237)),VLOOKUP(A237,'BBT3'!A:F,4,1),"")</f>
        <v>2.125</v>
      </c>
      <c r="E237">
        <f>IF(NOT(ISBLANK(A237)),VLOOKUP(A237,'BBT3'!A:F,5,0),"")</f>
        <v>56295</v>
      </c>
      <c r="F237" t="str">
        <f>IF(NOT(ISBLANK(A237)),VLOOKUP(A237,'BBT3'!A:F,6,0),"")</f>
        <v>Y</v>
      </c>
      <c r="G237" t="str">
        <f t="shared" si="38"/>
        <v>N</v>
      </c>
      <c r="H237">
        <f>IF(NOT(ISBLANK(A237)),VLOOKUP(A237,'Close - PriceSaver'!A:J,5,0),"")</f>
        <v>2.9497800890148699E-2</v>
      </c>
      <c r="I237" s="4" t="e" cm="1">
        <f t="array" ref="I237">IF(NOT(ISBLANK(A237)),((_xlfn.XLOOKUP(1,(_bbt3[[#All],[ID]]=A237)*(_bbt3[[#All],[METRIC_NAME]]="YLD_YTM_ASK"),_bbt3[[#All],[METRIC_VALUE]])*0.5)+(_xlfn.XLOOKUP(1,(_bbt3[[#All],[ID]]=A237)*(_bbt3[[#All],[METRIC_NAME]]="YLD_YTM_BID"),_bbt3[[#All],[METRIC_VALUE]])*0.5))/100,"")</f>
        <v>#N/A</v>
      </c>
      <c r="J237">
        <f>IF(ISNA(VLOOKUP(A237,'CloseDL - PriceSaverBBT3'!A:E,5,0)),0,VLOOKUP(A237,'CloseDL - PriceSaverBBT3'!A:E,5,0))</f>
        <v>2.9497800890148699E-2</v>
      </c>
      <c r="K237" s="7">
        <f t="shared" si="39"/>
        <v>0</v>
      </c>
      <c r="L237" s="20">
        <f>IF(Close[[#This Row],[CreatedBy]]="MARINER\SilverAdm",1,0)</f>
        <v>1</v>
      </c>
      <c r="M237" t="str">
        <f>IF(NOT(ISBLANK(A237)),VLOOKUP(A237,'Close - PriceSaver'!A:J,6,0),"")</f>
        <v>DL input prc = 84.51171875  PX_ASK = 84.57031250 PX_BID = 84.45312500</v>
      </c>
      <c r="Q237" t="e">
        <f t="shared" si="31"/>
        <v>#N/A</v>
      </c>
      <c r="R237" t="e">
        <f t="shared" si="32"/>
        <v>#N/A</v>
      </c>
      <c r="S237" t="e">
        <f t="shared" si="33"/>
        <v>#N/A</v>
      </c>
      <c r="T237" s="15" t="e">
        <f t="shared" si="34"/>
        <v>#N/A</v>
      </c>
      <c r="U237" s="18" t="e">
        <f t="shared" si="35"/>
        <v>#N/A</v>
      </c>
      <c r="V237" s="18" t="e">
        <f t="shared" si="36"/>
        <v>#N/A</v>
      </c>
      <c r="W237" s="19" t="e">
        <f t="shared" si="37"/>
        <v>#N/A</v>
      </c>
      <c r="X237" t="e">
        <f>VLOOKUP(P237,Close[[ID]:[CreatedBy]],8,0)</f>
        <v>#N/A</v>
      </c>
    </row>
    <row r="238" spans="1:24" x14ac:dyDescent="0.35">
      <c r="A238" t="str">
        <v>912810TZ1</v>
      </c>
      <c r="B238" t="str">
        <f>IF(NOT(ISBLANK(A238)),VLOOKUP(A238,'BBT3'!A:F,2,0),"")</f>
        <v>Bond</v>
      </c>
      <c r="C238" t="str">
        <f>IF(NOT(ISBLANK(A238)),VLOOKUP(A238,'BBT3'!A:F,3,0),"")</f>
        <v>US912810TZ12</v>
      </c>
      <c r="D238" s="5">
        <f>IF(NOT(ISBLANK(A238)),VLOOKUP(A238,'BBT3'!A:F,4,1),"")</f>
        <v>4.5</v>
      </c>
      <c r="E238">
        <f>IF(NOT(ISBLANK(A238)),VLOOKUP(A238,'BBT3'!A:F,5,0),"")</f>
        <v>52642</v>
      </c>
      <c r="F238" t="str">
        <f>IF(NOT(ISBLANK(A238)),VLOOKUP(A238,'BBT3'!A:F,6,0),"")</f>
        <v>N</v>
      </c>
      <c r="G238" t="str">
        <f t="shared" si="38"/>
        <v>N</v>
      </c>
      <c r="H238">
        <f>IF(NOT(ISBLANK(A238)),VLOOKUP(A238,'Close - PriceSaver'!A:J,5,0),"")</f>
        <v>5.1123916641305202E-2</v>
      </c>
      <c r="I238" s="4" t="e" cm="1">
        <f t="array" ref="I238">IF(NOT(ISBLANK(A238)),((_xlfn.XLOOKUP(1,(_bbt3[[#All],[ID]]=A238)*(_bbt3[[#All],[METRIC_NAME]]="YLD_YTM_ASK"),_bbt3[[#All],[METRIC_VALUE]])*0.5)+(_xlfn.XLOOKUP(1,(_bbt3[[#All],[ID]]=A238)*(_bbt3[[#All],[METRIC_NAME]]="YLD_YTM_BID"),_bbt3[[#All],[METRIC_VALUE]])*0.5))/100,"")</f>
        <v>#N/A</v>
      </c>
      <c r="J238">
        <f>IF(ISNA(VLOOKUP(A238,'CloseDL - PriceSaverBBT3'!A:E,5,0)),0,VLOOKUP(A238,'CloseDL - PriceSaverBBT3'!A:E,5,0))</f>
        <v>5.1123916641305202E-2</v>
      </c>
      <c r="K238" s="7">
        <f t="shared" si="39"/>
        <v>0</v>
      </c>
      <c r="L238" s="20">
        <f>IF(Close[[#This Row],[CreatedBy]]="MARINER\SilverAdm",1,0)</f>
        <v>1</v>
      </c>
      <c r="M238" t="str">
        <f>IF(NOT(ISBLANK(A238)),VLOOKUP(A238,'Close - PriceSaver'!A:J,6,0),"")</f>
        <v>DL input prc = 92.95312500  PX_ASK = 92.96875000 PX_BID = 92.93750000</v>
      </c>
      <c r="Q238" t="e">
        <f t="shared" si="31"/>
        <v>#N/A</v>
      </c>
      <c r="R238" t="e">
        <f t="shared" si="32"/>
        <v>#N/A</v>
      </c>
      <c r="S238" t="e">
        <f t="shared" si="33"/>
        <v>#N/A</v>
      </c>
      <c r="T238" s="15" t="e">
        <f t="shared" si="34"/>
        <v>#N/A</v>
      </c>
      <c r="U238" s="18" t="e">
        <f t="shared" si="35"/>
        <v>#N/A</v>
      </c>
      <c r="V238" s="18" t="e">
        <f t="shared" si="36"/>
        <v>#N/A</v>
      </c>
      <c r="W238" s="19" t="e">
        <f t="shared" si="37"/>
        <v>#N/A</v>
      </c>
      <c r="X238" t="e">
        <f>VLOOKUP(P238,Close[[ID]:[CreatedBy]],8,0)</f>
        <v>#N/A</v>
      </c>
    </row>
    <row r="239" spans="1:24" x14ac:dyDescent="0.35">
      <c r="A239" t="str">
        <v>912810UA4</v>
      </c>
      <c r="B239" t="str">
        <f>IF(NOT(ISBLANK(A239)),VLOOKUP(A239,'BBT3'!A:F,2,0),"")</f>
        <v>Bond</v>
      </c>
      <c r="C239" t="str">
        <f>IF(NOT(ISBLANK(A239)),VLOOKUP(A239,'BBT3'!A:F,3,0),"")</f>
        <v>US912810UA42</v>
      </c>
      <c r="D239" s="5">
        <f>IF(NOT(ISBLANK(A239)),VLOOKUP(A239,'BBT3'!A:F,4,1),"")</f>
        <v>4.625</v>
      </c>
      <c r="E239">
        <f>IF(NOT(ISBLANK(A239)),VLOOKUP(A239,'BBT3'!A:F,5,0),"")</f>
        <v>56384</v>
      </c>
      <c r="F239" t="str">
        <f>IF(NOT(ISBLANK(A239)),VLOOKUP(A239,'BBT3'!A:F,6,0),"")</f>
        <v>N</v>
      </c>
      <c r="G239" t="str">
        <f t="shared" si="38"/>
        <v>N</v>
      </c>
      <c r="H239">
        <f>IF(NOT(ISBLANK(A239)),VLOOKUP(A239,'Close - PriceSaver'!A:J,5,0),"")</f>
        <v>5.1575855007035099E-2</v>
      </c>
      <c r="I239" s="4" t="e" cm="1">
        <f t="array" ref="I239">IF(NOT(ISBLANK(A239)),((_xlfn.XLOOKUP(1,(_bbt3[[#All],[ID]]=A239)*(_bbt3[[#All],[METRIC_NAME]]="YLD_YTM_ASK"),_bbt3[[#All],[METRIC_VALUE]])*0.5)+(_xlfn.XLOOKUP(1,(_bbt3[[#All],[ID]]=A239)*(_bbt3[[#All],[METRIC_NAME]]="YLD_YTM_BID"),_bbt3[[#All],[METRIC_VALUE]])*0.5))/100,"")</f>
        <v>#N/A</v>
      </c>
      <c r="J239">
        <f>IF(ISNA(VLOOKUP(A239,'CloseDL - PriceSaverBBT3'!A:E,5,0)),0,VLOOKUP(A239,'CloseDL - PriceSaverBBT3'!A:E,5,0))</f>
        <v>5.1575855007035099E-2</v>
      </c>
      <c r="K239" s="7">
        <f t="shared" si="39"/>
        <v>0</v>
      </c>
      <c r="L239" s="20">
        <f>IF(Close[[#This Row],[CreatedBy]]="MARINER\SilverAdm",1,0)</f>
        <v>1</v>
      </c>
      <c r="M239" t="str">
        <f>IF(NOT(ISBLANK(A239)),VLOOKUP(A239,'Close - PriceSaver'!A:J,6,0),"")</f>
        <v>DL input prc = 92.17187500  PX_ASK = 92.18750000 PX_BID = 92.15625000</v>
      </c>
      <c r="Q239" t="e">
        <f t="shared" si="31"/>
        <v>#N/A</v>
      </c>
      <c r="R239" t="e">
        <f t="shared" si="32"/>
        <v>#N/A</v>
      </c>
      <c r="S239" t="e">
        <f t="shared" si="33"/>
        <v>#N/A</v>
      </c>
      <c r="T239" s="15" t="e">
        <f t="shared" si="34"/>
        <v>#N/A</v>
      </c>
      <c r="U239" s="18" t="e">
        <f t="shared" si="35"/>
        <v>#N/A</v>
      </c>
      <c r="V239" s="18" t="e">
        <f t="shared" si="36"/>
        <v>#N/A</v>
      </c>
      <c r="W239" s="19" t="e">
        <f t="shared" si="37"/>
        <v>#N/A</v>
      </c>
      <c r="X239" t="e">
        <f>VLOOKUP(P239,Close[[ID]:[CreatedBy]],8,0)</f>
        <v>#N/A</v>
      </c>
    </row>
    <row r="240" spans="1:24" x14ac:dyDescent="0.35">
      <c r="A240" t="str">
        <v>912810UB2</v>
      </c>
      <c r="B240" t="str">
        <f>IF(NOT(ISBLANK(A240)),VLOOKUP(A240,'BBT3'!A:F,2,0),"")</f>
        <v>Bond</v>
      </c>
      <c r="C240" t="str">
        <f>IF(NOT(ISBLANK(A240)),VLOOKUP(A240,'BBT3'!A:F,3,0),"")</f>
        <v>US912810UB25</v>
      </c>
      <c r="D240" s="5">
        <f>IF(NOT(ISBLANK(A240)),VLOOKUP(A240,'BBT3'!A:F,4,1),"")</f>
        <v>4.625</v>
      </c>
      <c r="E240">
        <f>IF(NOT(ISBLANK(A240)),VLOOKUP(A240,'BBT3'!A:F,5,0),"")</f>
        <v>52732</v>
      </c>
      <c r="F240" t="str">
        <f>IF(NOT(ISBLANK(A240)),VLOOKUP(A240,'BBT3'!A:F,6,0),"")</f>
        <v>N</v>
      </c>
      <c r="G240" t="str">
        <f t="shared" si="38"/>
        <v>N</v>
      </c>
      <c r="H240">
        <f>IF(NOT(ISBLANK(A240)),VLOOKUP(A240,'Close - PriceSaver'!A:J,5,0),"")</f>
        <v>5.1160997084078799E-2</v>
      </c>
      <c r="I240" s="4" t="e" cm="1">
        <f t="array" ref="I240">IF(NOT(ISBLANK(A240)),((_xlfn.XLOOKUP(1,(_bbt3[[#All],[ID]]=A240)*(_bbt3[[#All],[METRIC_NAME]]="YLD_YTM_ASK"),_bbt3[[#All],[METRIC_VALUE]])*0.5)+(_xlfn.XLOOKUP(1,(_bbt3[[#All],[ID]]=A240)*(_bbt3[[#All],[METRIC_NAME]]="YLD_YTM_BID"),_bbt3[[#All],[METRIC_VALUE]])*0.5))/100,"")</f>
        <v>#N/A</v>
      </c>
      <c r="J240">
        <f>IF(ISNA(VLOOKUP(A240,'CloseDL - PriceSaverBBT3'!A:E,5,0)),0,VLOOKUP(A240,'CloseDL - PriceSaverBBT3'!A:E,5,0))</f>
        <v>5.1160997084078799E-2</v>
      </c>
      <c r="K240" s="7">
        <f t="shared" si="39"/>
        <v>0</v>
      </c>
      <c r="L240" s="20">
        <f>IF(Close[[#This Row],[CreatedBy]]="MARINER\SilverAdm",1,0)</f>
        <v>1</v>
      </c>
      <c r="M240" t="str">
        <f>IF(NOT(ISBLANK(A240)),VLOOKUP(A240,'Close - PriceSaver'!A:J,6,0),"")</f>
        <v>DL input prc = 94.29687500  PX_ASK = 94.31250000 PX_BID = 94.28125000</v>
      </c>
      <c r="Q240" t="e">
        <f t="shared" si="31"/>
        <v>#N/A</v>
      </c>
      <c r="R240" t="e">
        <f t="shared" si="32"/>
        <v>#N/A</v>
      </c>
      <c r="S240" t="e">
        <f t="shared" si="33"/>
        <v>#N/A</v>
      </c>
      <c r="T240" s="15" t="e">
        <f t="shared" si="34"/>
        <v>#N/A</v>
      </c>
      <c r="U240" s="18" t="e">
        <f t="shared" si="35"/>
        <v>#N/A</v>
      </c>
      <c r="V240" s="18" t="e">
        <f t="shared" si="36"/>
        <v>#N/A</v>
      </c>
      <c r="W240" s="19" t="e">
        <f t="shared" si="37"/>
        <v>#N/A</v>
      </c>
      <c r="X240" t="e">
        <f>VLOOKUP(P240,Close[[ID]:[CreatedBy]],8,0)</f>
        <v>#N/A</v>
      </c>
    </row>
    <row r="241" spans="1:24" x14ac:dyDescent="0.35">
      <c r="A241" t="str">
        <v>912810UC0</v>
      </c>
      <c r="B241" t="str">
        <f>IF(NOT(ISBLANK(A241)),VLOOKUP(A241,'BBT3'!A:F,2,0),"")</f>
        <v>Bond</v>
      </c>
      <c r="C241" t="str">
        <f>IF(NOT(ISBLANK(A241)),VLOOKUP(A241,'BBT3'!A:F,3,0),"")</f>
        <v>US912810UC08</v>
      </c>
      <c r="D241" s="5">
        <f>IF(NOT(ISBLANK(A241)),VLOOKUP(A241,'BBT3'!A:F,4,1),"")</f>
        <v>4.25</v>
      </c>
      <c r="E241">
        <f>IF(NOT(ISBLANK(A241)),VLOOKUP(A241,'BBT3'!A:F,5,0),"")</f>
        <v>56476</v>
      </c>
      <c r="F241" t="str">
        <f>IF(NOT(ISBLANK(A241)),VLOOKUP(A241,'BBT3'!A:F,6,0),"")</f>
        <v>N</v>
      </c>
      <c r="G241" t="str">
        <f t="shared" si="38"/>
        <v>N</v>
      </c>
      <c r="H241">
        <f>IF(NOT(ISBLANK(A241)),VLOOKUP(A241,'Close - PriceSaver'!A:J,5,0),"")</f>
        <v>5.1579571267966397E-2</v>
      </c>
      <c r="I241" s="4" t="e" cm="1">
        <f t="array" ref="I241">IF(NOT(ISBLANK(A241)),((_xlfn.XLOOKUP(1,(_bbt3[[#All],[ID]]=A241)*(_bbt3[[#All],[METRIC_NAME]]="YLD_YTM_ASK"),_bbt3[[#All],[METRIC_VALUE]])*0.5)+(_xlfn.XLOOKUP(1,(_bbt3[[#All],[ID]]=A241)*(_bbt3[[#All],[METRIC_NAME]]="YLD_YTM_BID"),_bbt3[[#All],[METRIC_VALUE]])*0.5))/100,"")</f>
        <v>#N/A</v>
      </c>
      <c r="J241">
        <f>IF(ISNA(VLOOKUP(A241,'CloseDL - PriceSaverBBT3'!A:E,5,0)),0,VLOOKUP(A241,'CloseDL - PriceSaverBBT3'!A:E,5,0))</f>
        <v>5.1579571267966397E-2</v>
      </c>
      <c r="K241" s="7">
        <f t="shared" si="39"/>
        <v>0</v>
      </c>
      <c r="L241" s="20">
        <f>IF(Close[[#This Row],[CreatedBy]]="MARINER\SilverAdm",1,0)</f>
        <v>1</v>
      </c>
      <c r="M241" t="str">
        <f>IF(NOT(ISBLANK(A241)),VLOOKUP(A241,'Close - PriceSaver'!A:J,6,0),"")</f>
        <v>DL input prc = 86.60937500  PX_ASK = 86.62500000 PX_BID = 86.59375000</v>
      </c>
      <c r="Q241" t="e">
        <f t="shared" si="31"/>
        <v>#N/A</v>
      </c>
      <c r="R241" t="e">
        <f t="shared" si="32"/>
        <v>#N/A</v>
      </c>
      <c r="S241" t="e">
        <f t="shared" si="33"/>
        <v>#N/A</v>
      </c>
      <c r="T241" s="15" t="e">
        <f t="shared" si="34"/>
        <v>#N/A</v>
      </c>
      <c r="U241" s="18" t="e">
        <f t="shared" si="35"/>
        <v>#N/A</v>
      </c>
      <c r="V241" s="18" t="e">
        <f t="shared" si="36"/>
        <v>#N/A</v>
      </c>
      <c r="W241" s="19" t="e">
        <f t="shared" si="37"/>
        <v>#N/A</v>
      </c>
      <c r="X241" t="e">
        <f>VLOOKUP(P241,Close[[ID]:[CreatedBy]],8,0)</f>
        <v>#N/A</v>
      </c>
    </row>
    <row r="242" spans="1:24" x14ac:dyDescent="0.35">
      <c r="A242" t="str">
        <v>912810UD8</v>
      </c>
      <c r="B242" t="str">
        <f>IF(NOT(ISBLANK(A242)),VLOOKUP(A242,'BBT3'!A:F,2,0),"")</f>
        <v>Bond</v>
      </c>
      <c r="C242" t="str">
        <f>IF(NOT(ISBLANK(A242)),VLOOKUP(A242,'BBT3'!A:F,3,0),"")</f>
        <v>US912810UD80</v>
      </c>
      <c r="D242" s="5">
        <f>IF(NOT(ISBLANK(A242)),VLOOKUP(A242,'BBT3'!A:F,4,1),"")</f>
        <v>4.125</v>
      </c>
      <c r="E242">
        <f>IF(NOT(ISBLANK(A242)),VLOOKUP(A242,'BBT3'!A:F,5,0),"")</f>
        <v>52824</v>
      </c>
      <c r="F242" t="str">
        <f>IF(NOT(ISBLANK(A242)),VLOOKUP(A242,'BBT3'!A:F,6,0),"")</f>
        <v>N</v>
      </c>
      <c r="G242" t="str">
        <f t="shared" si="38"/>
        <v>N</v>
      </c>
      <c r="H242">
        <f>IF(NOT(ISBLANK(A242)),VLOOKUP(A242,'Close - PriceSaver'!A:J,5,0),"")</f>
        <v>5.13306899744864E-2</v>
      </c>
      <c r="I242" s="4" t="e" cm="1">
        <f t="array" ref="I242">IF(NOT(ISBLANK(A242)),((_xlfn.XLOOKUP(1,(_bbt3[[#All],[ID]]=A242)*(_bbt3[[#All],[METRIC_NAME]]="YLD_YTM_ASK"),_bbt3[[#All],[METRIC_VALUE]])*0.5)+(_xlfn.XLOOKUP(1,(_bbt3[[#All],[ID]]=A242)*(_bbt3[[#All],[METRIC_NAME]]="YLD_YTM_BID"),_bbt3[[#All],[METRIC_VALUE]])*0.5))/100,"")</f>
        <v>#N/A</v>
      </c>
      <c r="J242">
        <f>IF(ISNA(VLOOKUP(A242,'CloseDL - PriceSaverBBT3'!A:E,5,0)),0,VLOOKUP(A242,'CloseDL - PriceSaverBBT3'!A:E,5,0))</f>
        <v>5.13306899744864E-2</v>
      </c>
      <c r="K242" s="7">
        <f t="shared" si="39"/>
        <v>0</v>
      </c>
      <c r="L242" s="20">
        <f>IF(Close[[#This Row],[CreatedBy]]="MARINER\SilverAdm",1,0)</f>
        <v>1</v>
      </c>
      <c r="M242" t="str">
        <f>IF(NOT(ISBLANK(A242)),VLOOKUP(A242,'Close - PriceSaver'!A:J,6,0),"")</f>
        <v>DL input prc = 88.21875000  PX_ASK = 88.23437500 PX_BID = 88.20312500</v>
      </c>
      <c r="Q242" t="e">
        <f t="shared" si="31"/>
        <v>#N/A</v>
      </c>
      <c r="R242" t="e">
        <f t="shared" si="32"/>
        <v>#N/A</v>
      </c>
      <c r="S242" t="e">
        <f t="shared" si="33"/>
        <v>#N/A</v>
      </c>
      <c r="T242" s="15" t="e">
        <f t="shared" si="34"/>
        <v>#N/A</v>
      </c>
      <c r="U242" s="18" t="e">
        <f t="shared" si="35"/>
        <v>#N/A</v>
      </c>
      <c r="V242" s="18" t="e">
        <f t="shared" si="36"/>
        <v>#N/A</v>
      </c>
      <c r="W242" s="19" t="e">
        <f t="shared" si="37"/>
        <v>#N/A</v>
      </c>
      <c r="X242" t="e">
        <f>VLOOKUP(P242,Close[[ID]:[CreatedBy]],8,0)</f>
        <v>#N/A</v>
      </c>
    </row>
    <row r="243" spans="1:24" x14ac:dyDescent="0.35">
      <c r="A243" t="str">
        <v>912810UE6</v>
      </c>
      <c r="B243" t="str">
        <f>IF(NOT(ISBLANK(A243)),VLOOKUP(A243,'BBT3'!A:F,2,0),"")</f>
        <v>Bond</v>
      </c>
      <c r="C243" t="str">
        <f>IF(NOT(ISBLANK(A243)),VLOOKUP(A243,'BBT3'!A:F,3,0),"")</f>
        <v>US912810UE63</v>
      </c>
      <c r="D243" s="5">
        <f>IF(NOT(ISBLANK(A243)),VLOOKUP(A243,'BBT3'!A:F,4,1),"")</f>
        <v>4.5</v>
      </c>
      <c r="E243">
        <f>IF(NOT(ISBLANK(A243)),VLOOKUP(A243,'BBT3'!A:F,5,0),"")</f>
        <v>56568</v>
      </c>
      <c r="F243" t="str">
        <f>IF(NOT(ISBLANK(A243)),VLOOKUP(A243,'BBT3'!A:F,6,0),"")</f>
        <v>N</v>
      </c>
      <c r="G243" t="str">
        <f t="shared" si="38"/>
        <v>N</v>
      </c>
      <c r="H243">
        <f>IF(NOT(ISBLANK(A243)),VLOOKUP(A243,'Close - PriceSaver'!A:J,5,0),"")</f>
        <v>5.15480417430354E-2</v>
      </c>
      <c r="I243" s="4" t="e" cm="1">
        <f t="array" ref="I243">IF(NOT(ISBLANK(A243)),((_xlfn.XLOOKUP(1,(_bbt3[[#All],[ID]]=A243)*(_bbt3[[#All],[METRIC_NAME]]="YLD_YTM_ASK"),_bbt3[[#All],[METRIC_VALUE]])*0.5)+(_xlfn.XLOOKUP(1,(_bbt3[[#All],[ID]]=A243)*(_bbt3[[#All],[METRIC_NAME]]="YLD_YTM_BID"),_bbt3[[#All],[METRIC_VALUE]])*0.5))/100,"")</f>
        <v>#N/A</v>
      </c>
      <c r="J243">
        <f>IF(ISNA(VLOOKUP(A243,'CloseDL - PriceSaverBBT3'!A:E,5,0)),0,VLOOKUP(A243,'CloseDL - PriceSaverBBT3'!A:E,5,0))</f>
        <v>5.15480417430354E-2</v>
      </c>
      <c r="K243" s="7">
        <f t="shared" si="39"/>
        <v>0</v>
      </c>
      <c r="L243" s="20">
        <f>IF(Close[[#This Row],[CreatedBy]]="MARINER\SilverAdm",1,0)</f>
        <v>1</v>
      </c>
      <c r="M243" t="str">
        <f>IF(NOT(ISBLANK(A243)),VLOOKUP(A243,'Close - PriceSaver'!A:J,6,0),"")</f>
        <v>DL input prc = 90.29687500  PX_ASK = 90.31250000 PX_BID = 90.28125000</v>
      </c>
      <c r="Q243" t="e">
        <f t="shared" si="31"/>
        <v>#N/A</v>
      </c>
      <c r="R243" t="e">
        <f t="shared" si="32"/>
        <v>#N/A</v>
      </c>
      <c r="S243" t="e">
        <f t="shared" si="33"/>
        <v>#N/A</v>
      </c>
      <c r="T243" s="15" t="e">
        <f t="shared" si="34"/>
        <v>#N/A</v>
      </c>
      <c r="U243" s="18" t="e">
        <f t="shared" si="35"/>
        <v>#N/A</v>
      </c>
      <c r="V243" s="18" t="e">
        <f t="shared" si="36"/>
        <v>#N/A</v>
      </c>
      <c r="W243" s="19" t="e">
        <f t="shared" si="37"/>
        <v>#N/A</v>
      </c>
      <c r="X243" t="e">
        <f>VLOOKUP(P243,Close[[ID]:[CreatedBy]],8,0)</f>
        <v>#N/A</v>
      </c>
    </row>
    <row r="244" spans="1:24" x14ac:dyDescent="0.35">
      <c r="A244" t="str">
        <v>912810UF3</v>
      </c>
      <c r="B244" t="str">
        <f>IF(NOT(ISBLANK(A244)),VLOOKUP(A244,'BBT3'!A:F,2,0),"")</f>
        <v>Bond</v>
      </c>
      <c r="C244" t="str">
        <f>IF(NOT(ISBLANK(A244)),VLOOKUP(A244,'BBT3'!A:F,3,0),"")</f>
        <v>US912810UF39</v>
      </c>
      <c r="D244" s="5">
        <f>IF(NOT(ISBLANK(A244)),VLOOKUP(A244,'BBT3'!A:F,4,1),"")</f>
        <v>4.625</v>
      </c>
      <c r="E244">
        <f>IF(NOT(ISBLANK(A244)),VLOOKUP(A244,'BBT3'!A:F,5,0),"")</f>
        <v>52916</v>
      </c>
      <c r="F244" t="str">
        <f>IF(NOT(ISBLANK(A244)),VLOOKUP(A244,'BBT3'!A:F,6,0),"")</f>
        <v>N</v>
      </c>
      <c r="G244" t="str">
        <f t="shared" si="38"/>
        <v>N</v>
      </c>
      <c r="H244">
        <f>IF(NOT(ISBLANK(A244)),VLOOKUP(A244,'Close - PriceSaver'!A:J,5,0),"")</f>
        <v>5.12956879204527E-2</v>
      </c>
      <c r="I244" s="4" t="e" cm="1">
        <f t="array" ref="I244">IF(NOT(ISBLANK(A244)),((_xlfn.XLOOKUP(1,(_bbt3[[#All],[ID]]=A244)*(_bbt3[[#All],[METRIC_NAME]]="YLD_YTM_ASK"),_bbt3[[#All],[METRIC_VALUE]])*0.5)+(_xlfn.XLOOKUP(1,(_bbt3[[#All],[ID]]=A244)*(_bbt3[[#All],[METRIC_NAME]]="YLD_YTM_BID"),_bbt3[[#All],[METRIC_VALUE]])*0.5))/100,"")</f>
        <v>#N/A</v>
      </c>
      <c r="J244">
        <f>IF(ISNA(VLOOKUP(A244,'CloseDL - PriceSaverBBT3'!A:E,5,0)),0,VLOOKUP(A244,'CloseDL - PriceSaverBBT3'!A:E,5,0))</f>
        <v>5.12956879204527E-2</v>
      </c>
      <c r="K244" s="7">
        <f t="shared" si="39"/>
        <v>0</v>
      </c>
      <c r="L244" s="20">
        <f>IF(Close[[#This Row],[CreatedBy]]="MARINER\SilverAdm",1,0)</f>
        <v>1</v>
      </c>
      <c r="M244" t="str">
        <f>IF(NOT(ISBLANK(A244)),VLOOKUP(A244,'Close - PriceSaver'!A:J,6,0),"")</f>
        <v>DL input prc = 94.04687500  PX_ASK = 94.06250000 PX_BID = 94.03125000</v>
      </c>
      <c r="Q244" t="e">
        <f t="shared" si="31"/>
        <v>#N/A</v>
      </c>
      <c r="R244" t="e">
        <f t="shared" si="32"/>
        <v>#N/A</v>
      </c>
      <c r="S244" t="e">
        <f t="shared" si="33"/>
        <v>#N/A</v>
      </c>
      <c r="T244" s="15" t="e">
        <f t="shared" si="34"/>
        <v>#N/A</v>
      </c>
      <c r="U244" s="18" t="e">
        <f t="shared" si="35"/>
        <v>#N/A</v>
      </c>
      <c r="V244" s="18" t="e">
        <f t="shared" si="36"/>
        <v>#N/A</v>
      </c>
      <c r="W244" s="19" t="e">
        <f t="shared" si="37"/>
        <v>#N/A</v>
      </c>
      <c r="X244" t="e">
        <f>VLOOKUP(P244,Close[[ID]:[CreatedBy]],8,0)</f>
        <v>#N/A</v>
      </c>
    </row>
    <row r="245" spans="1:24" x14ac:dyDescent="0.35">
      <c r="A245" t="str">
        <v>912810UG1</v>
      </c>
      <c r="B245" t="str">
        <f>IF(NOT(ISBLANK(A245)),VLOOKUP(A245,'BBT3'!A:F,2,0),"")</f>
        <v>Bond</v>
      </c>
      <c r="C245" t="str">
        <f>IF(NOT(ISBLANK(A245)),VLOOKUP(A245,'BBT3'!A:F,3,0),"")</f>
        <v>US912810UG12</v>
      </c>
      <c r="D245" s="5">
        <f>IF(NOT(ISBLANK(A245)),VLOOKUP(A245,'BBT3'!A:F,4,1),"")</f>
        <v>4.625</v>
      </c>
      <c r="E245">
        <f>IF(NOT(ISBLANK(A245)),VLOOKUP(A245,'BBT3'!A:F,5,0),"")</f>
        <v>56660</v>
      </c>
      <c r="F245" t="str">
        <f>IF(NOT(ISBLANK(A245)),VLOOKUP(A245,'BBT3'!A:F,6,0),"")</f>
        <v>N</v>
      </c>
      <c r="G245" t="str">
        <f t="shared" si="38"/>
        <v>N</v>
      </c>
      <c r="H245">
        <f>IF(NOT(ISBLANK(A245)),VLOOKUP(A245,'Close - PriceSaver'!A:J,5,0),"")</f>
        <v>5.1488939469362102E-2</v>
      </c>
      <c r="I245" s="4" t="e" cm="1">
        <f t="array" ref="I245">IF(NOT(ISBLANK(A245)),((_xlfn.XLOOKUP(1,(_bbt3[[#All],[ID]]=A245)*(_bbt3[[#All],[METRIC_NAME]]="YLD_YTM_ASK"),_bbt3[[#All],[METRIC_VALUE]])*0.5)+(_xlfn.XLOOKUP(1,(_bbt3[[#All],[ID]]=A245)*(_bbt3[[#All],[METRIC_NAME]]="YLD_YTM_BID"),_bbt3[[#All],[METRIC_VALUE]])*0.5))/100,"")</f>
        <v>#N/A</v>
      </c>
      <c r="J245">
        <f>IF(ISNA(VLOOKUP(A245,'CloseDL - PriceSaverBBT3'!A:E,5,0)),0,VLOOKUP(A245,'CloseDL - PriceSaverBBT3'!A:E,5,0))</f>
        <v>5.1488939469362102E-2</v>
      </c>
      <c r="K245" s="7">
        <f t="shared" si="39"/>
        <v>0</v>
      </c>
      <c r="L245" s="20">
        <f>IF(Close[[#This Row],[CreatedBy]]="MARINER\SilverAdm",1,0)</f>
        <v>1</v>
      </c>
      <c r="M245" t="str">
        <f>IF(NOT(ISBLANK(A245)),VLOOKUP(A245,'Close - PriceSaver'!A:J,6,0),"")</f>
        <v>DL input prc = 92.20312500  PX_ASK = 92.21875000 PX_BID = 92.18750000</v>
      </c>
      <c r="Q245" t="e">
        <f t="shared" ref="Q245:Q308" si="40">VLOOKUP(P245,A:C,3,0)</f>
        <v>#N/A</v>
      </c>
      <c r="R245" t="e">
        <f t="shared" ref="R245:R308" si="41">VLOOKUP(P245,A:B,2,0)</f>
        <v>#N/A</v>
      </c>
      <c r="S245" t="e">
        <f t="shared" ref="S245:S308" si="42">VLOOKUP(P245,A:E,4,0)</f>
        <v>#N/A</v>
      </c>
      <c r="T245" s="15" t="e">
        <f t="shared" ref="T245:T308" si="43">VLOOKUP(P245,A:K,5,0)</f>
        <v>#N/A</v>
      </c>
      <c r="U245" s="18" t="e">
        <f t="shared" ref="U245:U308" si="44">VLOOKUP(P245,A:K,8,0)</f>
        <v>#N/A</v>
      </c>
      <c r="V245" s="18" t="e">
        <f t="shared" ref="V245:V308" si="45">VLOOKUP(P245,A:K,10,0)</f>
        <v>#N/A</v>
      </c>
      <c r="W245" s="19" t="e">
        <f t="shared" ref="W245:W308" si="46">(V245-U245)*100</f>
        <v>#N/A</v>
      </c>
      <c r="X245" t="e">
        <f>VLOOKUP(P245,Close[[ID]:[CreatedBy]],8,0)</f>
        <v>#N/A</v>
      </c>
    </row>
    <row r="246" spans="1:24" x14ac:dyDescent="0.35">
      <c r="A246" t="str">
        <v>912810UH9</v>
      </c>
      <c r="B246" t="str">
        <f>IF(NOT(ISBLANK(A246)),VLOOKUP(A246,'BBT3'!A:F,2,0),"")</f>
        <v>Bond</v>
      </c>
      <c r="C246" t="str">
        <f>IF(NOT(ISBLANK(A246)),VLOOKUP(A246,'BBT3'!A:F,3,0),"")</f>
        <v>US912810UH94</v>
      </c>
      <c r="D246" s="5">
        <f>IF(NOT(ISBLANK(A246)),VLOOKUP(A246,'BBT3'!A:F,4,1),"")</f>
        <v>2.375</v>
      </c>
      <c r="E246">
        <f>IF(NOT(ISBLANK(A246)),VLOOKUP(A246,'BBT3'!A:F,5,0),"")</f>
        <v>56660</v>
      </c>
      <c r="F246" t="str">
        <f>IF(NOT(ISBLANK(A246)),VLOOKUP(A246,'BBT3'!A:F,6,0),"")</f>
        <v>Y</v>
      </c>
      <c r="G246" t="str">
        <f t="shared" si="38"/>
        <v>N</v>
      </c>
      <c r="H246">
        <f>IF(NOT(ISBLANK(A246)),VLOOKUP(A246,'Close - PriceSaver'!A:J,5,0),"")</f>
        <v>2.94267780111588E-2</v>
      </c>
      <c r="I246" s="4" t="e" cm="1">
        <f t="array" ref="I246">IF(NOT(ISBLANK(A246)),((_xlfn.XLOOKUP(1,(_bbt3[[#All],[ID]]=A246)*(_bbt3[[#All],[METRIC_NAME]]="YLD_YTM_ASK"),_bbt3[[#All],[METRIC_VALUE]])*0.5)+(_xlfn.XLOOKUP(1,(_bbt3[[#All],[ID]]=A246)*(_bbt3[[#All],[METRIC_NAME]]="YLD_YTM_BID"),_bbt3[[#All],[METRIC_VALUE]])*0.5))/100,"")</f>
        <v>#N/A</v>
      </c>
      <c r="J246">
        <f>IF(ISNA(VLOOKUP(A246,'CloseDL - PriceSaverBBT3'!A:E,5,0)),0,VLOOKUP(A246,'CloseDL - PriceSaverBBT3'!A:E,5,0))</f>
        <v>2.94267780111588E-2</v>
      </c>
      <c r="K246" s="7">
        <f t="shared" si="39"/>
        <v>0</v>
      </c>
      <c r="L246" s="20">
        <f>IF(Close[[#This Row],[CreatedBy]]="MARINER\SilverAdm",1,0)</f>
        <v>1</v>
      </c>
      <c r="M246" t="str">
        <f>IF(NOT(ISBLANK(A246)),VLOOKUP(A246,'Close - PriceSaver'!A:J,6,0),"")</f>
        <v>DL input prc = 89.08203125  PX_ASK = 89.14062500 PX_BID = 89.02343750</v>
      </c>
      <c r="Q246" t="e">
        <f t="shared" si="40"/>
        <v>#N/A</v>
      </c>
      <c r="R246" t="e">
        <f t="shared" si="41"/>
        <v>#N/A</v>
      </c>
      <c r="S246" t="e">
        <f t="shared" si="42"/>
        <v>#N/A</v>
      </c>
      <c r="T246" s="15" t="e">
        <f t="shared" si="43"/>
        <v>#N/A</v>
      </c>
      <c r="U246" s="18" t="e">
        <f t="shared" si="44"/>
        <v>#N/A</v>
      </c>
      <c r="V246" s="18" t="e">
        <f t="shared" si="45"/>
        <v>#N/A</v>
      </c>
      <c r="W246" s="19" t="e">
        <f t="shared" si="46"/>
        <v>#N/A</v>
      </c>
      <c r="X246" t="e">
        <f>VLOOKUP(P246,Close[[ID]:[CreatedBy]],8,0)</f>
        <v>#N/A</v>
      </c>
    </row>
    <row r="247" spans="1:24" x14ac:dyDescent="0.35">
      <c r="A247" t="str">
        <v>912810UJ5</v>
      </c>
      <c r="B247" t="str">
        <f>IF(NOT(ISBLANK(A247)),VLOOKUP(A247,'BBT3'!A:F,2,0),"")</f>
        <v>Bond</v>
      </c>
      <c r="C247" t="str">
        <f>IF(NOT(ISBLANK(A247)),VLOOKUP(A247,'BBT3'!A:F,3,0),"")</f>
        <v>US912810UJ50</v>
      </c>
      <c r="D247" s="5">
        <f>IF(NOT(ISBLANK(A247)),VLOOKUP(A247,'BBT3'!A:F,4,1),"")</f>
        <v>4.75</v>
      </c>
      <c r="E247">
        <f>IF(NOT(ISBLANK(A247)),VLOOKUP(A247,'BBT3'!A:F,5,0),"")</f>
        <v>53008</v>
      </c>
      <c r="F247" t="str">
        <f>IF(NOT(ISBLANK(A247)),VLOOKUP(A247,'BBT3'!A:F,6,0),"")</f>
        <v>N</v>
      </c>
      <c r="G247" t="str">
        <f t="shared" si="38"/>
        <v>N</v>
      </c>
      <c r="H247">
        <f>IF(NOT(ISBLANK(A247)),VLOOKUP(A247,'Close - PriceSaver'!A:J,5,0),"")</f>
        <v>5.1324524863629699E-2</v>
      </c>
      <c r="I247" s="4" t="e" cm="1">
        <f t="array" ref="I247">IF(NOT(ISBLANK(A247)),((_xlfn.XLOOKUP(1,(_bbt3[[#All],[ID]]=A247)*(_bbt3[[#All],[METRIC_NAME]]="YLD_YTM_ASK"),_bbt3[[#All],[METRIC_VALUE]])*0.5)+(_xlfn.XLOOKUP(1,(_bbt3[[#All],[ID]]=A247)*(_bbt3[[#All],[METRIC_NAME]]="YLD_YTM_BID"),_bbt3[[#All],[METRIC_VALUE]])*0.5))/100,"")</f>
        <v>#N/A</v>
      </c>
      <c r="J247">
        <f>IF(ISNA(VLOOKUP(A247,'CloseDL - PriceSaverBBT3'!A:E,5,0)),0,VLOOKUP(A247,'CloseDL - PriceSaverBBT3'!A:E,5,0))</f>
        <v>5.1324524863629699E-2</v>
      </c>
      <c r="K247" s="7">
        <f t="shared" si="39"/>
        <v>0</v>
      </c>
      <c r="L247" s="20">
        <f>IF(Close[[#This Row],[CreatedBy]]="MARINER\SilverAdm",1,0)</f>
        <v>1</v>
      </c>
      <c r="M247" t="str">
        <f>IF(NOT(ISBLANK(A247)),VLOOKUP(A247,'Close - PriceSaver'!A:J,6,0),"")</f>
        <v>DL input prc = 95.45312500  PX_ASK = 95.46875000 PX_BID = 95.43750000</v>
      </c>
      <c r="Q247" t="e">
        <f t="shared" si="40"/>
        <v>#N/A</v>
      </c>
      <c r="R247" t="e">
        <f t="shared" si="41"/>
        <v>#N/A</v>
      </c>
      <c r="S247" t="e">
        <f t="shared" si="42"/>
        <v>#N/A</v>
      </c>
      <c r="T247" s="15" t="e">
        <f t="shared" si="43"/>
        <v>#N/A</v>
      </c>
      <c r="U247" s="18" t="e">
        <f t="shared" si="44"/>
        <v>#N/A</v>
      </c>
      <c r="V247" s="18" t="e">
        <f t="shared" si="45"/>
        <v>#N/A</v>
      </c>
      <c r="W247" s="19" t="e">
        <f t="shared" si="46"/>
        <v>#N/A</v>
      </c>
      <c r="X247" t="e">
        <f>VLOOKUP(P247,Close[[ID]:[CreatedBy]],8,0)</f>
        <v>#N/A</v>
      </c>
    </row>
    <row r="248" spans="1:24" x14ac:dyDescent="0.35">
      <c r="A248" t="str">
        <v>912810UK2</v>
      </c>
      <c r="B248" t="str">
        <f>IF(NOT(ISBLANK(A248)),VLOOKUP(A248,'BBT3'!A:F,2,0),"")</f>
        <v>Bond</v>
      </c>
      <c r="C248" t="str">
        <f>IF(NOT(ISBLANK(A248)),VLOOKUP(A248,'BBT3'!A:F,3,0),"")</f>
        <v>US912810UK24</v>
      </c>
      <c r="D248" s="5">
        <f>IF(NOT(ISBLANK(A248)),VLOOKUP(A248,'BBT3'!A:F,4,1),"")</f>
        <v>4.75</v>
      </c>
      <c r="E248">
        <f>IF(NOT(ISBLANK(A248)),VLOOKUP(A248,'BBT3'!A:F,5,0),"")</f>
        <v>56749</v>
      </c>
      <c r="F248" t="str">
        <f>IF(NOT(ISBLANK(A248)),VLOOKUP(A248,'BBT3'!A:F,6,0),"")</f>
        <v>N</v>
      </c>
      <c r="G248" t="str">
        <f t="shared" si="38"/>
        <v>N</v>
      </c>
      <c r="H248">
        <f>IF(NOT(ISBLANK(A248)),VLOOKUP(A248,'Close - PriceSaver'!A:J,5,0),"")</f>
        <v>5.14595908762129E-2</v>
      </c>
      <c r="I248" s="4" cm="1">
        <f t="array" ref="I248">IF(NOT(ISBLANK(A248)),((_xlfn.XLOOKUP(1,(_bbt3[[#All],[ID]]=A248)*(_bbt3[[#All],[METRIC_NAME]]="YLD_YTM_ASK"),_bbt3[[#All],[METRIC_VALUE]])*0.5)+(_xlfn.XLOOKUP(1,(_bbt3[[#All],[ID]]=A248)*(_bbt3[[#All],[METRIC_NAME]]="YLD_YTM_BID"),_bbt3[[#All],[METRIC_VALUE]])*0.5))/100,"")</f>
        <v>5.1459999999999999E-2</v>
      </c>
      <c r="J248">
        <f>IF(ISNA(VLOOKUP(A248,'CloseDL - PriceSaverBBT3'!A:E,5,0)),0,VLOOKUP(A248,'CloseDL - PriceSaverBBT3'!A:E,5,0))</f>
        <v>5.14595908762129E-2</v>
      </c>
      <c r="K248" s="7">
        <f t="shared" si="39"/>
        <v>0</v>
      </c>
      <c r="L248" s="20">
        <f>IF(Close[[#This Row],[CreatedBy]]="MARINER\SilverAdm",1,0)</f>
        <v>1</v>
      </c>
      <c r="M248" t="str">
        <f>IF(NOT(ISBLANK(A248)),VLOOKUP(A248,'Close - PriceSaver'!A:J,6,0),"")</f>
        <v>DL input prc = 94.07812500  PX_ASK = 94.09375000 PX_BID = 94.06250000</v>
      </c>
      <c r="Q248" t="e">
        <f t="shared" si="40"/>
        <v>#N/A</v>
      </c>
      <c r="R248" t="e">
        <f t="shared" si="41"/>
        <v>#N/A</v>
      </c>
      <c r="S248" t="e">
        <f t="shared" si="42"/>
        <v>#N/A</v>
      </c>
      <c r="T248" s="15" t="e">
        <f t="shared" si="43"/>
        <v>#N/A</v>
      </c>
      <c r="U248" s="18" t="e">
        <f t="shared" si="44"/>
        <v>#N/A</v>
      </c>
      <c r="V248" s="18" t="e">
        <f t="shared" si="45"/>
        <v>#N/A</v>
      </c>
      <c r="W248" s="19" t="e">
        <f t="shared" si="46"/>
        <v>#N/A</v>
      </c>
      <c r="X248" t="e">
        <f>VLOOKUP(P248,Close[[ID]:[CreatedBy]],8,0)</f>
        <v>#N/A</v>
      </c>
    </row>
    <row r="249" spans="1:24" x14ac:dyDescent="0.35">
      <c r="A249" t="str">
        <v>912810UL0</v>
      </c>
      <c r="B249" t="str">
        <f>IF(NOT(ISBLANK(A249)),VLOOKUP(A249,'BBT3'!A:F,2,0),"")</f>
        <v>Bond</v>
      </c>
      <c r="C249" t="str">
        <f>IF(NOT(ISBLANK(A249)),VLOOKUP(A249,'BBT3'!A:F,3,0),"")</f>
        <v>US912810UL07</v>
      </c>
      <c r="D249" s="5">
        <f>IF(NOT(ISBLANK(A249)),VLOOKUP(A249,'BBT3'!A:F,4,1),"")</f>
        <v>5</v>
      </c>
      <c r="E249">
        <f>IF(NOT(ISBLANK(A249)),VLOOKUP(A249,'BBT3'!A:F,5,0),"")</f>
        <v>53097</v>
      </c>
      <c r="F249" t="str">
        <f>IF(NOT(ISBLANK(A249)),VLOOKUP(A249,'BBT3'!A:F,6,0),"")</f>
        <v>N</v>
      </c>
      <c r="G249" t="str">
        <f t="shared" si="38"/>
        <v>N</v>
      </c>
      <c r="H249">
        <f>IF(NOT(ISBLANK(A249)),VLOOKUP(A249,'Close - PriceSaver'!A:J,5,0),"")</f>
        <v>5.1311562717588098E-2</v>
      </c>
      <c r="I249" s="4" cm="1">
        <f t="array" ref="I249">IF(NOT(ISBLANK(A249)),((_xlfn.XLOOKUP(1,(_bbt3[[#All],[ID]]=A249)*(_bbt3[[#All],[METRIC_NAME]]="YLD_YTM_ASK"),_bbt3[[#All],[METRIC_VALUE]])*0.5)+(_xlfn.XLOOKUP(1,(_bbt3[[#All],[ID]]=A249)*(_bbt3[[#All],[METRIC_NAME]]="YLD_YTM_BID"),_bbt3[[#All],[METRIC_VALUE]])*0.5))/100,"")</f>
        <v>5.1310000000000001E-2</v>
      </c>
      <c r="J249">
        <f>IF(ISNA(VLOOKUP(A249,'CloseDL - PriceSaverBBT3'!A:E,5,0)),0,VLOOKUP(A249,'CloseDL - PriceSaverBBT3'!A:E,5,0))</f>
        <v>5.1311562717588098E-2</v>
      </c>
      <c r="K249" s="7">
        <f t="shared" si="39"/>
        <v>0</v>
      </c>
      <c r="L249" s="20">
        <f>IF(Close[[#This Row],[CreatedBy]]="MARINER\SilverAdm",1,0)</f>
        <v>1</v>
      </c>
      <c r="M249" t="str">
        <f>IF(NOT(ISBLANK(A249)),VLOOKUP(A249,'Close - PriceSaver'!A:J,6,0),"")</f>
        <v>DL input prc = 98.42187500  PX_ASK = 98.43750000 PX_BID = 98.40625000</v>
      </c>
      <c r="Q249" t="e">
        <f t="shared" si="40"/>
        <v>#N/A</v>
      </c>
      <c r="R249" t="e">
        <f t="shared" si="41"/>
        <v>#N/A</v>
      </c>
      <c r="S249" t="e">
        <f t="shared" si="42"/>
        <v>#N/A</v>
      </c>
      <c r="T249" s="15" t="e">
        <f t="shared" si="43"/>
        <v>#N/A</v>
      </c>
      <c r="U249" s="18" t="e">
        <f t="shared" si="44"/>
        <v>#N/A</v>
      </c>
      <c r="V249" s="18" t="e">
        <f t="shared" si="45"/>
        <v>#N/A</v>
      </c>
      <c r="W249" s="19" t="e">
        <f t="shared" si="46"/>
        <v>#N/A</v>
      </c>
      <c r="X249" t="e">
        <f>VLOOKUP(P249,Close[[ID]:[CreatedBy]],8,0)</f>
        <v>#N/A</v>
      </c>
    </row>
    <row r="250" spans="1:24" x14ac:dyDescent="0.35">
      <c r="A250" t="str">
        <v>912810UM8</v>
      </c>
      <c r="B250" t="str">
        <f>IF(NOT(ISBLANK(A250)),VLOOKUP(A250,'BBT3'!A:F,2,0),"")</f>
        <v>Bond</v>
      </c>
      <c r="C250" t="str">
        <f>IF(NOT(ISBLANK(A250)),VLOOKUP(A250,'BBT3'!A:F,3,0),"")</f>
        <v>US912810UM89</v>
      </c>
      <c r="D250" s="5">
        <f>IF(NOT(ISBLANK(A250)),VLOOKUP(A250,'BBT3'!A:F,4,1),"")</f>
        <v>4.75</v>
      </c>
      <c r="E250">
        <f>IF(NOT(ISBLANK(A250)),VLOOKUP(A250,'BBT3'!A:F,5,0),"")</f>
        <v>56841</v>
      </c>
      <c r="F250" t="str">
        <f>IF(NOT(ISBLANK(A250)),VLOOKUP(A250,'BBT3'!A:F,6,0),"")</f>
        <v>N</v>
      </c>
      <c r="G250" t="str">
        <f t="shared" si="38"/>
        <v>N</v>
      </c>
      <c r="H250">
        <f>IF(NOT(ISBLANK(A250)),VLOOKUP(A250,'Close - PriceSaver'!A:J,5,0),"")</f>
        <v>5.14191052311989E-2</v>
      </c>
      <c r="I250" s="4" cm="1">
        <f t="array" ref="I250">IF(NOT(ISBLANK(A250)),((_xlfn.XLOOKUP(1,(_bbt3[[#All],[ID]]=A250)*(_bbt3[[#All],[METRIC_NAME]]="YLD_YTM_ASK"),_bbt3[[#All],[METRIC_VALUE]])*0.5)+(_xlfn.XLOOKUP(1,(_bbt3[[#All],[ID]]=A250)*(_bbt3[[#All],[METRIC_NAME]]="YLD_YTM_BID"),_bbt3[[#All],[METRIC_VALUE]])*0.5))/100,"")</f>
        <v>5.1415000000000009E-2</v>
      </c>
      <c r="J250">
        <f>IF(ISNA(VLOOKUP(A250,'CloseDL - PriceSaverBBT3'!A:E,5,0)),0,VLOOKUP(A250,'CloseDL - PriceSaverBBT3'!A:E,5,0))</f>
        <v>5.14191052311989E-2</v>
      </c>
      <c r="K250" s="7">
        <f t="shared" si="39"/>
        <v>0</v>
      </c>
      <c r="L250" s="20">
        <f>IF(Close[[#This Row],[CreatedBy]]="MARINER\SilverAdm",1,0)</f>
        <v>1</v>
      </c>
      <c r="M250" t="str">
        <f>IF(NOT(ISBLANK(A250)),VLOOKUP(A250,'Close - PriceSaver'!A:J,6,0),"")</f>
        <v>DL input prc = 94.11718750  PX_ASK = 94.12500000 PX_BID = 94.10937500</v>
      </c>
      <c r="Q250" t="e">
        <f t="shared" si="40"/>
        <v>#N/A</v>
      </c>
      <c r="R250" t="e">
        <f t="shared" si="41"/>
        <v>#N/A</v>
      </c>
      <c r="S250" t="e">
        <f t="shared" si="42"/>
        <v>#N/A</v>
      </c>
      <c r="T250" s="15" t="e">
        <f t="shared" si="43"/>
        <v>#N/A</v>
      </c>
      <c r="U250" s="18" t="e">
        <f t="shared" si="44"/>
        <v>#N/A</v>
      </c>
      <c r="V250" s="18" t="e">
        <f t="shared" si="45"/>
        <v>#N/A</v>
      </c>
      <c r="W250" s="19" t="e">
        <f t="shared" si="46"/>
        <v>#N/A</v>
      </c>
      <c r="X250" t="e">
        <f>VLOOKUP(P250,Close[[ID]:[CreatedBy]],8,0)</f>
        <v>#N/A</v>
      </c>
    </row>
    <row r="251" spans="1:24" x14ac:dyDescent="0.35">
      <c r="A251" t="str">
        <v>912810UN6</v>
      </c>
      <c r="B251" t="str">
        <f>IF(NOT(ISBLANK(A251)),VLOOKUP(A251,'BBT3'!A:F,2,0),"")</f>
        <v>Bond</v>
      </c>
      <c r="C251" t="str">
        <f>IF(NOT(ISBLANK(A251)),VLOOKUP(A251,'BBT3'!A:F,3,0),"")</f>
        <v>US912810UN62</v>
      </c>
      <c r="D251" s="5">
        <f>IF(NOT(ISBLANK(A251)),VLOOKUP(A251,'BBT3'!A:F,4,1),"")</f>
        <v>4.875</v>
      </c>
      <c r="E251">
        <f>IF(NOT(ISBLANK(A251)),VLOOKUP(A251,'BBT3'!A:F,5,0),"")</f>
        <v>53189</v>
      </c>
      <c r="F251" t="str">
        <f>IF(NOT(ISBLANK(A251)),VLOOKUP(A251,'BBT3'!A:F,6,0),"")</f>
        <v>N</v>
      </c>
      <c r="G251" t="str">
        <f t="shared" si="38"/>
        <v>N</v>
      </c>
      <c r="H251">
        <f>IF(NOT(ISBLANK(A251)),VLOOKUP(A251,'Close - PriceSaver'!A:J,5,0),"")</f>
        <v>5.1402520980234401E-2</v>
      </c>
      <c r="I251" s="4" cm="1">
        <f t="array" ref="I251">IF(NOT(ISBLANK(A251)),((_xlfn.XLOOKUP(1,(_bbt3[[#All],[ID]]=A251)*(_bbt3[[#All],[METRIC_NAME]]="YLD_YTM_ASK"),_bbt3[[#All],[METRIC_VALUE]])*0.5)+(_xlfn.XLOOKUP(1,(_bbt3[[#All],[ID]]=A251)*(_bbt3[[#All],[METRIC_NAME]]="YLD_YTM_BID"),_bbt3[[#All],[METRIC_VALUE]])*0.5))/100,"")</f>
        <v>5.1405000000000006E-2</v>
      </c>
      <c r="J251">
        <f>IF(ISNA(VLOOKUP(A251,'CloseDL - PriceSaverBBT3'!A:E,5,0)),0,VLOOKUP(A251,'CloseDL - PriceSaverBBT3'!A:E,5,0))</f>
        <v>5.1402520980234401E-2</v>
      </c>
      <c r="K251" s="7">
        <f t="shared" si="39"/>
        <v>0</v>
      </c>
      <c r="L251" s="20">
        <f>IF(Close[[#This Row],[CreatedBy]]="MARINER\SilverAdm",1,0)</f>
        <v>1</v>
      </c>
      <c r="M251" t="str">
        <f>IF(NOT(ISBLANK(A251)),VLOOKUP(A251,'Close - PriceSaver'!A:J,6,0),"")</f>
        <v>DL input prc = 96.79687500  PX_ASK = 96.81250000 PX_BID = 96.78125000</v>
      </c>
      <c r="Q251" t="e">
        <f t="shared" si="40"/>
        <v>#N/A</v>
      </c>
      <c r="R251" t="e">
        <f t="shared" si="41"/>
        <v>#N/A</v>
      </c>
      <c r="S251" t="e">
        <f t="shared" si="42"/>
        <v>#N/A</v>
      </c>
      <c r="T251" s="15" t="e">
        <f t="shared" si="43"/>
        <v>#N/A</v>
      </c>
      <c r="U251" s="18" t="e">
        <f t="shared" si="44"/>
        <v>#N/A</v>
      </c>
      <c r="V251" s="18" t="e">
        <f t="shared" si="45"/>
        <v>#N/A</v>
      </c>
      <c r="W251" s="19" t="e">
        <f t="shared" si="46"/>
        <v>#N/A</v>
      </c>
      <c r="X251" t="e">
        <f>VLOOKUP(P251,Close[[ID]:[CreatedBy]],8,0)</f>
        <v>#N/A</v>
      </c>
    </row>
    <row r="252" spans="1:24" x14ac:dyDescent="0.35">
      <c r="A252" t="str">
        <v>912810UP1</v>
      </c>
      <c r="B252" t="str">
        <f>IF(NOT(ISBLANK(A252)),VLOOKUP(A252,'BBT3'!A:F,2,0),"")</f>
        <v>Bond</v>
      </c>
      <c r="C252" t="str">
        <f>IF(NOT(ISBLANK(A252)),VLOOKUP(A252,'BBT3'!A:F,3,0),"")</f>
        <v>US912810UP11</v>
      </c>
      <c r="D252" s="5">
        <f>IF(NOT(ISBLANK(A252)),VLOOKUP(A252,'BBT3'!A:F,4,1),"")</f>
        <v>4.625</v>
      </c>
      <c r="E252">
        <f>IF(NOT(ISBLANK(A252)),VLOOKUP(A252,'BBT3'!A:F,5,0),"")</f>
        <v>56933</v>
      </c>
      <c r="F252" t="str">
        <f>IF(NOT(ISBLANK(A252)),VLOOKUP(A252,'BBT3'!A:F,6,0),"")</f>
        <v>N</v>
      </c>
      <c r="G252" t="str">
        <f t="shared" si="38"/>
        <v>N</v>
      </c>
      <c r="H252">
        <f>IF(NOT(ISBLANK(A252)),VLOOKUP(A252,'Close - PriceSaver'!A:J,5,0),"")</f>
        <v>5.13962622466771E-2</v>
      </c>
      <c r="I252" s="4" cm="1">
        <f t="array" ref="I252">IF(NOT(ISBLANK(A252)),((_xlfn.XLOOKUP(1,(_bbt3[[#All],[ID]]=A252)*(_bbt3[[#All],[METRIC_NAME]]="YLD_YTM_ASK"),_bbt3[[#All],[METRIC_VALUE]])*0.5)+(_xlfn.XLOOKUP(1,(_bbt3[[#All],[ID]]=A252)*(_bbt3[[#All],[METRIC_NAME]]="YLD_YTM_BID"),_bbt3[[#All],[METRIC_VALUE]])*0.5))/100,"")</f>
        <v>5.1394999999999996E-2</v>
      </c>
      <c r="J252">
        <f>IF(ISNA(VLOOKUP(A252,'CloseDL - PriceSaverBBT3'!A:E,5,0)),0,VLOOKUP(A252,'CloseDL - PriceSaverBBT3'!A:E,5,0))</f>
        <v>5.13962622466771E-2</v>
      </c>
      <c r="K252" s="7">
        <f t="shared" si="39"/>
        <v>0</v>
      </c>
      <c r="L252" s="20">
        <f>IF(Close[[#This Row],[CreatedBy]]="MARINER\SilverAdm",1,0)</f>
        <v>1</v>
      </c>
      <c r="M252" t="str">
        <f>IF(NOT(ISBLANK(A252)),VLOOKUP(A252,'Close - PriceSaver'!A:J,6,0),"")</f>
        <v>DL input prc = 92.24218750  PX_ASK = 92.25000000 PX_BID = 92.23437500</v>
      </c>
      <c r="Q252" t="e">
        <f t="shared" si="40"/>
        <v>#N/A</v>
      </c>
      <c r="R252" t="e">
        <f t="shared" si="41"/>
        <v>#N/A</v>
      </c>
      <c r="S252" t="e">
        <f t="shared" si="42"/>
        <v>#N/A</v>
      </c>
      <c r="T252" s="15" t="e">
        <f t="shared" si="43"/>
        <v>#N/A</v>
      </c>
      <c r="U252" s="18" t="e">
        <f t="shared" si="44"/>
        <v>#N/A</v>
      </c>
      <c r="V252" s="18" t="e">
        <f t="shared" si="45"/>
        <v>#N/A</v>
      </c>
      <c r="W252" s="19" t="e">
        <f t="shared" si="46"/>
        <v>#N/A</v>
      </c>
      <c r="X252" t="e">
        <f>VLOOKUP(P252,Close[[ID]:[CreatedBy]],8,0)</f>
        <v>#N/A</v>
      </c>
    </row>
    <row r="253" spans="1:24" x14ac:dyDescent="0.35">
      <c r="A253" t="str">
        <v>912810UQ9</v>
      </c>
      <c r="B253" t="str">
        <f>IF(NOT(ISBLANK(A253)),VLOOKUP(A253,'BBT3'!A:F,2,0),"")</f>
        <v>Bond</v>
      </c>
      <c r="C253" t="str">
        <f>IF(NOT(ISBLANK(A253)),VLOOKUP(A253,'BBT3'!A:F,3,0),"")</f>
        <v>US912810UQ93</v>
      </c>
      <c r="D253" s="5">
        <f>IF(NOT(ISBLANK(A253)),VLOOKUP(A253,'BBT3'!A:F,4,1),"")</f>
        <v>4.625</v>
      </c>
      <c r="E253">
        <f>IF(NOT(ISBLANK(A253)),VLOOKUP(A253,'BBT3'!A:F,5,0),"")</f>
        <v>53281</v>
      </c>
      <c r="F253" t="str">
        <f>IF(NOT(ISBLANK(A253)),VLOOKUP(A253,'BBT3'!A:F,6,0),"")</f>
        <v>N</v>
      </c>
      <c r="G253" t="str">
        <f t="shared" si="38"/>
        <v>N</v>
      </c>
      <c r="H253">
        <f>IF(NOT(ISBLANK(A253)),VLOOKUP(A253,'Close - PriceSaver'!A:J,5,0),"")</f>
        <v>5.14526384431232E-2</v>
      </c>
      <c r="I253" s="4" cm="1">
        <f t="array" ref="I253">IF(NOT(ISBLANK(A253)),((_xlfn.XLOOKUP(1,(_bbt3[[#All],[ID]]=A253)*(_bbt3[[#All],[METRIC_NAME]]="YLD_YTM_ASK"),_bbt3[[#All],[METRIC_VALUE]])*0.5)+(_xlfn.XLOOKUP(1,(_bbt3[[#All],[ID]]=A253)*(_bbt3[[#All],[METRIC_NAME]]="YLD_YTM_BID"),_bbt3[[#All],[METRIC_VALUE]])*0.5))/100,"")</f>
        <v>5.1455000000000001E-2</v>
      </c>
      <c r="J253">
        <f>IF(ISNA(VLOOKUP(A253,'CloseDL - PriceSaverBBT3'!A:E,5,0)),0,VLOOKUP(A253,'CloseDL - PriceSaverBBT3'!A:E,5,0))</f>
        <v>5.14526384431232E-2</v>
      </c>
      <c r="K253" s="7">
        <f t="shared" si="39"/>
        <v>0</v>
      </c>
      <c r="L253" s="20">
        <f>IF(Close[[#This Row],[CreatedBy]]="MARINER\SilverAdm",1,0)</f>
        <v>1</v>
      </c>
      <c r="M253" t="str">
        <f>IF(NOT(ISBLANK(A253)),VLOOKUP(A253,'Close - PriceSaver'!A:J,6,0),"")</f>
        <v>DL input prc = 93.67187500  PX_ASK = 93.68750000 PX_BID = 93.65625000</v>
      </c>
      <c r="Q253" t="e">
        <f t="shared" si="40"/>
        <v>#N/A</v>
      </c>
      <c r="R253" t="e">
        <f t="shared" si="41"/>
        <v>#N/A</v>
      </c>
      <c r="S253" t="e">
        <f t="shared" si="42"/>
        <v>#N/A</v>
      </c>
      <c r="T253" s="15" t="e">
        <f t="shared" si="43"/>
        <v>#N/A</v>
      </c>
      <c r="U253" s="18" t="e">
        <f t="shared" si="44"/>
        <v>#N/A</v>
      </c>
      <c r="V253" s="18" t="e">
        <f t="shared" si="45"/>
        <v>#N/A</v>
      </c>
      <c r="W253" s="19" t="e">
        <f t="shared" si="46"/>
        <v>#N/A</v>
      </c>
      <c r="X253" t="e">
        <f>VLOOKUP(P253,Close[[ID]:[CreatedBy]],8,0)</f>
        <v>#N/A</v>
      </c>
    </row>
    <row r="254" spans="1:24" x14ac:dyDescent="0.35">
      <c r="A254" t="str">
        <v>912810UR7</v>
      </c>
      <c r="B254" t="str">
        <f>IF(NOT(ISBLANK(A254)),VLOOKUP(A254,'BBT3'!A:F,2,0),"")</f>
        <v>Bond</v>
      </c>
      <c r="C254" t="str">
        <f>IF(NOT(ISBLANK(A254)),VLOOKUP(A254,'BBT3'!A:F,3,0),"")</f>
        <v>US912810UR76</v>
      </c>
      <c r="D254" s="5">
        <f>IF(NOT(ISBLANK(A254)),VLOOKUP(A254,'BBT3'!A:F,4,1),"")</f>
        <v>4.75</v>
      </c>
      <c r="E254">
        <f>IF(NOT(ISBLANK(A254)),VLOOKUP(A254,'BBT3'!A:F,5,0),"")</f>
        <v>57025</v>
      </c>
      <c r="F254" t="str">
        <f>IF(NOT(ISBLANK(A254)),VLOOKUP(A254,'BBT3'!A:F,6,0),"")</f>
        <v>N</v>
      </c>
      <c r="G254" t="str">
        <f t="shared" si="38"/>
        <v>N</v>
      </c>
      <c r="H254">
        <f>IF(NOT(ISBLANK(A254)),VLOOKUP(A254,'Close - PriceSaver'!A:J,5,0),"")</f>
        <v>5.1329507364173799E-2</v>
      </c>
      <c r="I254" s="4" cm="1">
        <f t="array" ref="I254">IF(NOT(ISBLANK(A254)),((_xlfn.XLOOKUP(1,(_bbt3[[#All],[ID]]=A254)*(_bbt3[[#All],[METRIC_NAME]]="YLD_YTM_ASK"),_bbt3[[#All],[METRIC_VALUE]])*0.5)+(_xlfn.XLOOKUP(1,(_bbt3[[#All],[ID]]=A254)*(_bbt3[[#All],[METRIC_NAME]]="YLD_YTM_BID"),_bbt3[[#All],[METRIC_VALUE]])*0.5))/100,"")</f>
        <v>5.1330000000000001E-2</v>
      </c>
      <c r="J254">
        <f>IF(ISNA(VLOOKUP(A254,'CloseDL - PriceSaverBBT3'!A:E,5,0)),0,VLOOKUP(A254,'CloseDL - PriceSaverBBT3'!A:E,5,0))</f>
        <v>5.1329507364173799E-2</v>
      </c>
      <c r="K254" s="7">
        <f t="shared" si="39"/>
        <v>0</v>
      </c>
      <c r="L254" s="20">
        <f>IF(Close[[#This Row],[CreatedBy]]="MARINER\SilverAdm",1,0)</f>
        <v>1</v>
      </c>
      <c r="M254" t="str">
        <f>IF(NOT(ISBLANK(A254)),VLOOKUP(A254,'Close - PriceSaver'!A:J,6,0),"")</f>
        <v>DL input prc = 94.20312500  PX_ASK = 94.21875000 PX_BID = 94.18750000</v>
      </c>
      <c r="Q254" t="e">
        <f t="shared" si="40"/>
        <v>#N/A</v>
      </c>
      <c r="R254" t="e">
        <f t="shared" si="41"/>
        <v>#N/A</v>
      </c>
      <c r="S254" t="e">
        <f t="shared" si="42"/>
        <v>#N/A</v>
      </c>
      <c r="T254" s="15" t="e">
        <f t="shared" si="43"/>
        <v>#N/A</v>
      </c>
      <c r="U254" s="18" t="e">
        <f t="shared" si="44"/>
        <v>#N/A</v>
      </c>
      <c r="V254" s="18" t="e">
        <f t="shared" si="45"/>
        <v>#N/A</v>
      </c>
      <c r="W254" s="19" t="e">
        <f t="shared" si="46"/>
        <v>#N/A</v>
      </c>
      <c r="X254" t="e">
        <f>VLOOKUP(P254,Close[[ID]:[CreatedBy]],8,0)</f>
        <v>#N/A</v>
      </c>
    </row>
    <row r="255" spans="1:24" x14ac:dyDescent="0.35">
      <c r="A255" t="str">
        <v>912810US5</v>
      </c>
      <c r="B255" t="str">
        <f>IF(NOT(ISBLANK(A255)),VLOOKUP(A255,'BBT3'!A:F,2,0),"")</f>
        <v>Bond</v>
      </c>
      <c r="C255" t="str">
        <f>IF(NOT(ISBLANK(A255)),VLOOKUP(A255,'BBT3'!A:F,3,0),"")</f>
        <v>US912810US59</v>
      </c>
      <c r="D255" s="5">
        <f>IF(NOT(ISBLANK(A255)),VLOOKUP(A255,'BBT3'!A:F,4,1),"")</f>
        <v>2.375</v>
      </c>
      <c r="E255">
        <f>IF(NOT(ISBLANK(A255)),VLOOKUP(A255,'BBT3'!A:F,5,0),"")</f>
        <v>57025</v>
      </c>
      <c r="F255" t="str">
        <f>IF(NOT(ISBLANK(A255)),VLOOKUP(A255,'BBT3'!A:F,6,0),"")</f>
        <v>Y</v>
      </c>
      <c r="G255" t="str">
        <f t="shared" si="38"/>
        <v>N</v>
      </c>
      <c r="H255">
        <f>IF(NOT(ISBLANK(A255)),VLOOKUP(A255,'Close - PriceSaver'!A:J,5,0),"")</f>
        <v>2.9292648320785201E-2</v>
      </c>
      <c r="I255" s="4" t="e" cm="1">
        <f t="array" ref="I255">IF(NOT(ISBLANK(A255)),((_xlfn.XLOOKUP(1,(_bbt3[[#All],[ID]]=A255)*(_bbt3[[#All],[METRIC_NAME]]="YLD_YTM_ASK"),_bbt3[[#All],[METRIC_VALUE]])*0.5)+(_xlfn.XLOOKUP(1,(_bbt3[[#All],[ID]]=A255)*(_bbt3[[#All],[METRIC_NAME]]="YLD_YTM_BID"),_bbt3[[#All],[METRIC_VALUE]])*0.5))/100,"")</f>
        <v>#N/A</v>
      </c>
      <c r="J255">
        <f>IF(ISNA(VLOOKUP(A255,'CloseDL - PriceSaverBBT3'!A:E,5,0)),0,VLOOKUP(A255,'CloseDL - PriceSaverBBT3'!A:E,5,0))</f>
        <v>2.9292648320785201E-2</v>
      </c>
      <c r="K255" s="7">
        <f t="shared" si="39"/>
        <v>0</v>
      </c>
      <c r="L255" s="20">
        <f>IF(Close[[#This Row],[CreatedBy]]="MARINER\SilverAdm",1,0)</f>
        <v>1</v>
      </c>
      <c r="M255" t="str">
        <f>IF(NOT(ISBLANK(A255)),VLOOKUP(A255,'Close - PriceSaver'!A:J,6,0),"")</f>
        <v>DL input prc = 89.08593750  PX_ASK = 89.13281250 PX_BID = 89.03906250</v>
      </c>
      <c r="Q255" t="e">
        <f t="shared" si="40"/>
        <v>#N/A</v>
      </c>
      <c r="R255" t="e">
        <f t="shared" si="41"/>
        <v>#N/A</v>
      </c>
      <c r="S255" t="e">
        <f t="shared" si="42"/>
        <v>#N/A</v>
      </c>
      <c r="T255" s="15" t="e">
        <f t="shared" si="43"/>
        <v>#N/A</v>
      </c>
      <c r="U255" s="18" t="e">
        <f t="shared" si="44"/>
        <v>#N/A</v>
      </c>
      <c r="V255" s="18" t="e">
        <f t="shared" si="45"/>
        <v>#N/A</v>
      </c>
      <c r="W255" s="19" t="e">
        <f t="shared" si="46"/>
        <v>#N/A</v>
      </c>
      <c r="X255" t="e">
        <f>VLOOKUP(P255,Close[[ID]:[CreatedBy]],8,0)</f>
        <v>#N/A</v>
      </c>
    </row>
    <row r="256" spans="1:24" x14ac:dyDescent="0.35">
      <c r="A256" t="str">
        <v>912810UT3</v>
      </c>
      <c r="B256" t="str">
        <f>IF(NOT(ISBLANK(A256)),VLOOKUP(A256,'BBT3'!A:F,2,0),"")</f>
        <v>Bond</v>
      </c>
      <c r="C256" t="str">
        <f>IF(NOT(ISBLANK(A256)),VLOOKUP(A256,'BBT3'!A:F,3,0),"")</f>
        <v>US912810UT33</v>
      </c>
      <c r="D256" s="5">
        <f>IF(NOT(ISBLANK(A256)),VLOOKUP(A256,'BBT3'!A:F,4,1),"")</f>
        <v>4.625</v>
      </c>
      <c r="E256">
        <f>IF(NOT(ISBLANK(A256)),VLOOKUP(A256,'BBT3'!A:F,5,0),"")</f>
        <v>53373</v>
      </c>
      <c r="F256" t="str">
        <f>IF(NOT(ISBLANK(A256)),VLOOKUP(A256,'BBT3'!A:F,6,0),"")</f>
        <v>N</v>
      </c>
      <c r="G256" t="str">
        <f t="shared" si="38"/>
        <v>N</v>
      </c>
      <c r="H256">
        <f>IF(NOT(ISBLANK(A256)),VLOOKUP(A256,'Close - PriceSaver'!A:J,5,0),"")</f>
        <v>5.1494600002811697E-2</v>
      </c>
      <c r="I256" s="4" cm="1">
        <f t="array" ref="I256">IF(NOT(ISBLANK(A256)),((_xlfn.XLOOKUP(1,(_bbt3[[#All],[ID]]=A256)*(_bbt3[[#All],[METRIC_NAME]]="YLD_YTM_ASK"),_bbt3[[#All],[METRIC_VALUE]])*0.5)+(_xlfn.XLOOKUP(1,(_bbt3[[#All],[ID]]=A256)*(_bbt3[[#All],[METRIC_NAME]]="YLD_YTM_BID"),_bbt3[[#All],[METRIC_VALUE]])*0.5))/100,"")</f>
        <v>5.1494999999999999E-2</v>
      </c>
      <c r="J256">
        <f>IF(ISNA(VLOOKUP(A256,'CloseDL - PriceSaverBBT3'!A:E,5,0)),0,VLOOKUP(A256,'CloseDL - PriceSaverBBT3'!A:E,5,0))</f>
        <v>5.1494600002811697E-2</v>
      </c>
      <c r="K256" s="7">
        <f t="shared" si="39"/>
        <v>0</v>
      </c>
      <c r="L256" s="20">
        <f>IF(Close[[#This Row],[CreatedBy]]="MARINER\SilverAdm",1,0)</f>
        <v>1</v>
      </c>
      <c r="M256" t="str">
        <f>IF(NOT(ISBLANK(A256)),VLOOKUP(A256,'Close - PriceSaver'!A:J,6,0),"")</f>
        <v>DL input prc = 93.57812500  PX_ASK = 93.59375000 PX_BID = 93.56250000</v>
      </c>
      <c r="Q256" t="e">
        <f t="shared" si="40"/>
        <v>#N/A</v>
      </c>
      <c r="R256" t="e">
        <f t="shared" si="41"/>
        <v>#N/A</v>
      </c>
      <c r="S256" t="e">
        <f t="shared" si="42"/>
        <v>#N/A</v>
      </c>
      <c r="T256" s="15" t="e">
        <f t="shared" si="43"/>
        <v>#N/A</v>
      </c>
      <c r="U256" s="18" t="e">
        <f t="shared" si="44"/>
        <v>#N/A</v>
      </c>
      <c r="V256" s="18" t="e">
        <f t="shared" si="45"/>
        <v>#N/A</v>
      </c>
      <c r="W256" s="19" t="e">
        <f t="shared" si="46"/>
        <v>#N/A</v>
      </c>
      <c r="X256" t="e">
        <f>VLOOKUP(P256,Close[[ID]:[CreatedBy]],8,0)</f>
        <v>#N/A</v>
      </c>
    </row>
    <row r="257" spans="1:24" x14ac:dyDescent="0.35">
      <c r="A257" t="str">
        <v>912810UU0</v>
      </c>
      <c r="B257" t="str">
        <f>IF(NOT(ISBLANK(A257)),VLOOKUP(A257,'BBT3'!A:F,2,0),"")</f>
        <v>Bond</v>
      </c>
      <c r="C257" t="str">
        <f>IF(NOT(ISBLANK(A257)),VLOOKUP(A257,'BBT3'!A:F,3,0),"")</f>
        <v>US912810UU06</v>
      </c>
      <c r="D257" s="5">
        <f>IF(NOT(ISBLANK(A257)),VLOOKUP(A257,'BBT3'!A:F,4,1),"")</f>
        <v>5</v>
      </c>
      <c r="E257">
        <f>IF(NOT(ISBLANK(A257)),VLOOKUP(A257,'BBT3'!A:F,5,0),"")</f>
        <v>57115</v>
      </c>
      <c r="F257" t="str">
        <f>IF(NOT(ISBLANK(A257)),VLOOKUP(A257,'BBT3'!A:F,6,0),"")</f>
        <v>N</v>
      </c>
      <c r="G257" t="str">
        <f t="shared" si="38"/>
        <v>N</v>
      </c>
      <c r="H257">
        <f>IF(NOT(ISBLANK(A257)),VLOOKUP(A257,'Close - PriceSaver'!A:J,5,0),"")</f>
        <v>5.1301719984302302E-2</v>
      </c>
      <c r="I257" s="4" cm="1">
        <f t="array" ref="I257">IF(NOT(ISBLANK(A257)),((_xlfn.XLOOKUP(1,(_bbt3[[#All],[ID]]=A257)*(_bbt3[[#All],[METRIC_NAME]]="YLD_YTM_ASK"),_bbt3[[#All],[METRIC_VALUE]])*0.5)+(_xlfn.XLOOKUP(1,(_bbt3[[#All],[ID]]=A257)*(_bbt3[[#All],[METRIC_NAME]]="YLD_YTM_BID"),_bbt3[[#All],[METRIC_VALUE]])*0.5))/100,"")</f>
        <v>5.1299999999999998E-2</v>
      </c>
      <c r="J257">
        <f>IF(ISNA(VLOOKUP(A257,'CloseDL - PriceSaverBBT3'!A:E,5,0)),0,VLOOKUP(A257,'CloseDL - PriceSaverBBT3'!A:E,5,0))</f>
        <v>5.1301719984302302E-2</v>
      </c>
      <c r="K257" s="7">
        <f t="shared" si="39"/>
        <v>0</v>
      </c>
      <c r="L257" s="20">
        <f>IF(Close[[#This Row],[CreatedBy]]="MARINER\SilverAdm",1,0)</f>
        <v>1</v>
      </c>
      <c r="M257" t="str">
        <f>IF(NOT(ISBLANK(A257)),VLOOKUP(A257,'Close - PriceSaver'!A:J,6,0),"")</f>
        <v>DL input prc = 98.01562500  PX_ASK = 98.03125000 PX_BID = 98.00000000</v>
      </c>
      <c r="Q257" t="e">
        <f t="shared" si="40"/>
        <v>#N/A</v>
      </c>
      <c r="R257" t="e">
        <f t="shared" si="41"/>
        <v>#N/A</v>
      </c>
      <c r="S257" t="e">
        <f t="shared" si="42"/>
        <v>#N/A</v>
      </c>
      <c r="T257" s="15" t="e">
        <f t="shared" si="43"/>
        <v>#N/A</v>
      </c>
      <c r="U257" s="18" t="e">
        <f t="shared" si="44"/>
        <v>#N/A</v>
      </c>
      <c r="V257" s="18" t="e">
        <f t="shared" si="45"/>
        <v>#N/A</v>
      </c>
      <c r="W257" s="19" t="e">
        <f t="shared" si="46"/>
        <v>#N/A</v>
      </c>
      <c r="X257" t="e">
        <f>VLOOKUP(P257,Close[[ID]:[CreatedBy]],8,0)</f>
        <v>#N/A</v>
      </c>
    </row>
    <row r="258" spans="1:24" x14ac:dyDescent="0.35">
      <c r="A258" t="str">
        <v>912810UV8</v>
      </c>
      <c r="B258" t="str">
        <f>IF(NOT(ISBLANK(A258)),VLOOKUP(A258,'BBT3'!A:F,2,0),"")</f>
        <v>Bond</v>
      </c>
      <c r="C258" t="str">
        <f>IF(NOT(ISBLANK(A258)),VLOOKUP(A258,'BBT3'!A:F,3,0),"")</f>
        <v>US912810UV88</v>
      </c>
      <c r="D258" s="5">
        <f>IF(NOT(ISBLANK(A258)),VLOOKUP(A258,'BBT3'!A:F,4,1),"")</f>
        <v>5</v>
      </c>
      <c r="E258">
        <f>IF(NOT(ISBLANK(A258)),VLOOKUP(A258,'BBT3'!A:F,5,0),"")</f>
        <v>53462</v>
      </c>
      <c r="F258" t="str">
        <f>IF(NOT(ISBLANK(A258)),VLOOKUP(A258,'BBT3'!A:F,6,0),"")</f>
        <v>N</v>
      </c>
      <c r="G258" t="str">
        <f t="shared" si="38"/>
        <v>N</v>
      </c>
      <c r="H258">
        <f>IF(NOT(ISBLANK(A258)),VLOOKUP(A258,'Close - PriceSaver'!A:J,5,0),"")</f>
        <v>5.1418920153221997E-2</v>
      </c>
      <c r="I258" s="4" cm="1">
        <f t="array" ref="I258">IF(NOT(ISBLANK(A258)),((_xlfn.XLOOKUP(1,(_bbt3[[#All],[ID]]=A258)*(_bbt3[[#All],[METRIC_NAME]]="YLD_YTM_ASK"),_bbt3[[#All],[METRIC_VALUE]])*0.5)+(_xlfn.XLOOKUP(1,(_bbt3[[#All],[ID]]=A258)*(_bbt3[[#All],[METRIC_NAME]]="YLD_YTM_BID"),_bbt3[[#All],[METRIC_VALUE]])*0.5))/100,"")</f>
        <v>5.1419999999999993E-2</v>
      </c>
      <c r="J258">
        <f>IF(ISNA(VLOOKUP(A258,'CloseDL - PriceSaverBBT3'!A:E,5,0)),0,VLOOKUP(A258,'CloseDL - PriceSaverBBT3'!A:E,5,0))</f>
        <v>5.1418920153221997E-2</v>
      </c>
      <c r="K258" s="7">
        <f t="shared" si="39"/>
        <v>0</v>
      </c>
      <c r="L258" s="20">
        <f>IF(Close[[#This Row],[CreatedBy]]="MARINER\SilverAdm",1,0)</f>
        <v>1</v>
      </c>
      <c r="M258" t="str">
        <f>IF(NOT(ISBLANK(A258)),VLOOKUP(A258,'Close - PriceSaver'!A:J,6,0),"")</f>
        <v>DL input prc = 98.24218750  PX_ASK = 98.25000000 PX_BID = 98.23437500</v>
      </c>
      <c r="Q258" t="e">
        <f t="shared" si="40"/>
        <v>#N/A</v>
      </c>
      <c r="R258" t="e">
        <f t="shared" si="41"/>
        <v>#N/A</v>
      </c>
      <c r="S258" t="e">
        <f t="shared" si="42"/>
        <v>#N/A</v>
      </c>
      <c r="T258" s="15" t="e">
        <f t="shared" si="43"/>
        <v>#N/A</v>
      </c>
      <c r="U258" s="18" t="e">
        <f t="shared" si="44"/>
        <v>#N/A</v>
      </c>
      <c r="V258" s="18" t="e">
        <f t="shared" si="45"/>
        <v>#N/A</v>
      </c>
      <c r="W258" s="19" t="e">
        <f t="shared" si="46"/>
        <v>#N/A</v>
      </c>
      <c r="X258" t="e">
        <f>VLOOKUP(P258,Close[[ID]:[CreatedBy]],8,0)</f>
        <v>#N/A</v>
      </c>
    </row>
    <row r="259" spans="1:24" x14ac:dyDescent="0.35">
      <c r="A259" t="str">
        <v>9128204M6</v>
      </c>
      <c r="B259" t="str">
        <f>IF(NOT(ISBLANK(A259)),VLOOKUP(A259,'BBT3'!A:F,2,0),"")</f>
        <v>Bond</v>
      </c>
      <c r="C259" t="str">
        <f>IF(NOT(ISBLANK(A259)),VLOOKUP(A259,'BBT3'!A:F,3,0),"")</f>
        <v>US9128204M63</v>
      </c>
      <c r="D259" s="5">
        <f>IF(NOT(ISBLANK(A259)),VLOOKUP(A259,'BBT3'!A:F,4,1),"")</f>
        <v>0</v>
      </c>
      <c r="E259">
        <f>IF(NOT(ISBLANK(A259)),VLOOKUP(A259,'BBT3'!A:F,5,0),"")</f>
        <v>46798</v>
      </c>
      <c r="F259" t="str">
        <f>IF(NOT(ISBLANK(A259)),VLOOKUP(A259,'BBT3'!A:F,6,0),"")</f>
        <v>N</v>
      </c>
      <c r="G259" t="str">
        <f t="shared" ref="G259:G322" si="47">IF(NOT(ISBLANK(A259)),IF(D259=0,"Y","N"),"")</f>
        <v>Y</v>
      </c>
      <c r="H259">
        <f>IF(NOT(ISBLANK(A259)),VLOOKUP(A259,'Close - PriceSaver'!A:J,5,0),"")</f>
        <v>4.24597765558654E-2</v>
      </c>
      <c r="I259" s="4" t="e" cm="1">
        <f t="array" ref="I259">IF(NOT(ISBLANK(A259)),((_xlfn.XLOOKUP(1,(_bbt3[[#All],[ID]]=A259)*(_bbt3[[#All],[METRIC_NAME]]="YLD_YTM_ASK"),_bbt3[[#All],[METRIC_VALUE]])*0.5)+(_xlfn.XLOOKUP(1,(_bbt3[[#All],[ID]]=A259)*(_bbt3[[#All],[METRIC_NAME]]="YLD_YTM_BID"),_bbt3[[#All],[METRIC_VALUE]])*0.5))/100,"")</f>
        <v>#N/A</v>
      </c>
      <c r="J259">
        <f>IF(ISNA(VLOOKUP(A259,'CloseDL - PriceSaverBBT3'!A:E,5,0)),0,VLOOKUP(A259,'CloseDL - PriceSaverBBT3'!A:E,5,0))</f>
        <v>4.24597765558654E-2</v>
      </c>
      <c r="K259" s="7">
        <f t="shared" ref="K259:K322" si="48">IF(ISNA(IF(NOT(ISBLANK(A259)),ABS(H259-J259),"")),0,(IF(NOT(ISBLANK(A259)),ABS(H259-J259)*10000,"")))</f>
        <v>0</v>
      </c>
      <c r="L259" s="20">
        <f>IF(Close[[#This Row],[CreatedBy]]="MARINER\SilverAdm",1,0)</f>
        <v>1</v>
      </c>
      <c r="M259" t="str">
        <f>IF(NOT(ISBLANK(A259)),VLOOKUP(A259,'Close - PriceSaver'!A:J,6,0),"")</f>
        <v>DL input prc = 93.63100858  PX_ASK = 93.69850308 PX_BID = 93.56351407</v>
      </c>
      <c r="Q259" t="e">
        <f t="shared" si="40"/>
        <v>#N/A</v>
      </c>
      <c r="R259" t="e">
        <f t="shared" si="41"/>
        <v>#N/A</v>
      </c>
      <c r="S259" t="e">
        <f t="shared" si="42"/>
        <v>#N/A</v>
      </c>
      <c r="T259" s="15" t="e">
        <f t="shared" si="43"/>
        <v>#N/A</v>
      </c>
      <c r="U259" s="18" t="e">
        <f t="shared" si="44"/>
        <v>#N/A</v>
      </c>
      <c r="V259" s="18" t="e">
        <f t="shared" si="45"/>
        <v>#N/A</v>
      </c>
      <c r="W259" s="19" t="e">
        <f t="shared" si="46"/>
        <v>#N/A</v>
      </c>
      <c r="X259" t="e">
        <f>VLOOKUP(P259,Close[[ID]:[CreatedBy]],8,0)</f>
        <v>#N/A</v>
      </c>
    </row>
    <row r="260" spans="1:24" x14ac:dyDescent="0.35">
      <c r="A260" t="str">
        <v>9128205B9</v>
      </c>
      <c r="B260" t="str">
        <f>IF(NOT(ISBLANK(A260)),VLOOKUP(A260,'BBT3'!A:F,2,0),"")</f>
        <v>Bond</v>
      </c>
      <c r="C260" t="str">
        <f>IF(NOT(ISBLANK(A260)),VLOOKUP(A260,'BBT3'!A:F,3,0),"")</f>
        <v>US9128205B99</v>
      </c>
      <c r="D260" s="5">
        <f>IF(NOT(ISBLANK(A260)),VLOOKUP(A260,'BBT3'!A:F,4,1),"")</f>
        <v>0</v>
      </c>
      <c r="E260">
        <f>IF(NOT(ISBLANK(A260)),VLOOKUP(A260,'BBT3'!A:F,5,0),"")</f>
        <v>46888</v>
      </c>
      <c r="F260" t="str">
        <f>IF(NOT(ISBLANK(A260)),VLOOKUP(A260,'BBT3'!A:F,6,0),"")</f>
        <v>N</v>
      </c>
      <c r="G260" t="str">
        <f t="shared" si="47"/>
        <v>Y</v>
      </c>
      <c r="H260">
        <f>IF(NOT(ISBLANK(A260)),VLOOKUP(A260,'Close - PriceSaver'!A:J,5,0),"")</f>
        <v>4.2519605407033603E-2</v>
      </c>
      <c r="I260" s="4" t="e" cm="1">
        <f t="array" ref="I260">IF(NOT(ISBLANK(A260)),((_xlfn.XLOOKUP(1,(_bbt3[[#All],[ID]]=A260)*(_bbt3[[#All],[METRIC_NAME]]="YLD_YTM_ASK"),_bbt3[[#All],[METRIC_VALUE]])*0.5)+(_xlfn.XLOOKUP(1,(_bbt3[[#All],[ID]]=A260)*(_bbt3[[#All],[METRIC_NAME]]="YLD_YTM_BID"),_bbt3[[#All],[METRIC_VALUE]])*0.5))/100,"")</f>
        <v>#N/A</v>
      </c>
      <c r="J260">
        <f>IF(ISNA(VLOOKUP(A260,'CloseDL - PriceSaverBBT3'!A:E,5,0)),0,VLOOKUP(A260,'CloseDL - PriceSaverBBT3'!A:E,5,0))</f>
        <v>4.2519605407033603E-2</v>
      </c>
      <c r="K260" s="7">
        <f t="shared" si="48"/>
        <v>0</v>
      </c>
      <c r="L260" s="20">
        <f>IF(Close[[#This Row],[CreatedBy]]="MARINER\SilverAdm",1,0)</f>
        <v>1</v>
      </c>
      <c r="M260" t="str">
        <f>IF(NOT(ISBLANK(A260)),VLOOKUP(A260,'Close - PriceSaver'!A:J,6,0),"")</f>
        <v>DL input prc = 92.64702604  PX_ASK = 92.74418339 PX_BID = 92.54986869</v>
      </c>
      <c r="Q260" t="e">
        <f t="shared" si="40"/>
        <v>#N/A</v>
      </c>
      <c r="R260" t="e">
        <f t="shared" si="41"/>
        <v>#N/A</v>
      </c>
      <c r="S260" t="e">
        <f t="shared" si="42"/>
        <v>#N/A</v>
      </c>
      <c r="T260" s="15" t="e">
        <f t="shared" si="43"/>
        <v>#N/A</v>
      </c>
      <c r="U260" s="18" t="e">
        <f t="shared" si="44"/>
        <v>#N/A</v>
      </c>
      <c r="V260" s="18" t="e">
        <f t="shared" si="45"/>
        <v>#N/A</v>
      </c>
      <c r="W260" s="19" t="e">
        <f t="shared" si="46"/>
        <v>#N/A</v>
      </c>
      <c r="X260" t="e">
        <f>VLOOKUP(P260,Close[[ID]:[CreatedBy]],8,0)</f>
        <v>#N/A</v>
      </c>
    </row>
    <row r="261" spans="1:24" x14ac:dyDescent="0.35">
      <c r="A261" t="str">
        <v>9128207D3</v>
      </c>
      <c r="B261" t="str">
        <f>IF(NOT(ISBLANK(A261)),VLOOKUP(A261,'BBT3'!A:F,2,0),"")</f>
        <v>Bond</v>
      </c>
      <c r="C261" t="str">
        <f>IF(NOT(ISBLANK(A261)),VLOOKUP(A261,'BBT3'!A:F,3,0),"")</f>
        <v>US9128207D38</v>
      </c>
      <c r="D261" s="5">
        <f>IF(NOT(ISBLANK(A261)),VLOOKUP(A261,'BBT3'!A:F,4,1),"")</f>
        <v>0</v>
      </c>
      <c r="E261">
        <f>IF(NOT(ISBLANK(A261)),VLOOKUP(A261,'BBT3'!A:F,5,0),"")</f>
        <v>46522</v>
      </c>
      <c r="F261" t="str">
        <f>IF(NOT(ISBLANK(A261)),VLOOKUP(A261,'BBT3'!A:F,6,0),"")</f>
        <v>N</v>
      </c>
      <c r="G261" t="str">
        <f t="shared" si="47"/>
        <v>Y</v>
      </c>
      <c r="H261">
        <f>IF(NOT(ISBLANK(A261)),VLOOKUP(A261,'Close - PriceSaver'!A:J,5,0),"")</f>
        <v>4.0914715015443602E-2</v>
      </c>
      <c r="I261" s="4" t="e" cm="1">
        <f t="array" ref="I261">IF(NOT(ISBLANK(A261)),((_xlfn.XLOOKUP(1,(_bbt3[[#All],[ID]]=A261)*(_bbt3[[#All],[METRIC_NAME]]="YLD_YTM_ASK"),_bbt3[[#All],[METRIC_VALUE]])*0.5)+(_xlfn.XLOOKUP(1,(_bbt3[[#All],[ID]]=A261)*(_bbt3[[#All],[METRIC_NAME]]="YLD_YTM_BID"),_bbt3[[#All],[METRIC_VALUE]])*0.5))/100,"")</f>
        <v>#N/A</v>
      </c>
      <c r="J261">
        <f>IF(ISNA(VLOOKUP(A261,'CloseDL - PriceSaverBBT3'!A:E,5,0)),0,VLOOKUP(A261,'CloseDL - PriceSaverBBT3'!A:E,5,0))</f>
        <v>4.0914715015443602E-2</v>
      </c>
      <c r="K261" s="7">
        <f t="shared" si="48"/>
        <v>0</v>
      </c>
      <c r="L261" s="20">
        <f>IF(Close[[#This Row],[CreatedBy]]="MARINER\SilverAdm",1,0)</f>
        <v>1</v>
      </c>
      <c r="M261" t="str">
        <f>IF(NOT(ISBLANK(A261)),VLOOKUP(A261,'Close - PriceSaver'!A:J,6,0),"")</f>
        <v>DL input prc = 96.75213389  PX_ASK = 96.80353360 PX_BID = 96.70073417</v>
      </c>
      <c r="Q261" t="e">
        <f t="shared" si="40"/>
        <v>#N/A</v>
      </c>
      <c r="R261" t="e">
        <f t="shared" si="41"/>
        <v>#N/A</v>
      </c>
      <c r="S261" t="e">
        <f t="shared" si="42"/>
        <v>#N/A</v>
      </c>
      <c r="T261" s="15" t="e">
        <f t="shared" si="43"/>
        <v>#N/A</v>
      </c>
      <c r="U261" s="18" t="e">
        <f t="shared" si="44"/>
        <v>#N/A</v>
      </c>
      <c r="V261" s="18" t="e">
        <f t="shared" si="45"/>
        <v>#N/A</v>
      </c>
      <c r="W261" s="19" t="e">
        <f t="shared" si="46"/>
        <v>#N/A</v>
      </c>
      <c r="X261" t="e">
        <f>VLOOKUP(P261,Close[[ID]:[CreatedBy]],8,0)</f>
        <v>#N/A</v>
      </c>
    </row>
    <row r="262" spans="1:24" x14ac:dyDescent="0.35">
      <c r="A262" t="str">
        <v>912821CA1</v>
      </c>
      <c r="B262" t="str">
        <f>IF(NOT(ISBLANK(A262)),VLOOKUP(A262,'BBT3'!A:F,2,0),"")</f>
        <v>Bond</v>
      </c>
      <c r="C262" t="str">
        <f>IF(NOT(ISBLANK(A262)),VLOOKUP(A262,'BBT3'!A:F,3,0),"")</f>
        <v>US912821CA17</v>
      </c>
      <c r="D262" s="5">
        <f>IF(NOT(ISBLANK(A262)),VLOOKUP(A262,'BBT3'!A:F,4,1),"")</f>
        <v>0</v>
      </c>
      <c r="E262">
        <f>IF(NOT(ISBLANK(A262)),VLOOKUP(A262,'BBT3'!A:F,5,0),"")</f>
        <v>47253</v>
      </c>
      <c r="F262" t="str">
        <f>IF(NOT(ISBLANK(A262)),VLOOKUP(A262,'BBT3'!A:F,6,0),"")</f>
        <v>N</v>
      </c>
      <c r="G262" t="str">
        <f t="shared" si="47"/>
        <v>Y</v>
      </c>
      <c r="H262">
        <f>IF(NOT(ISBLANK(A262)),VLOOKUP(A262,'Close - PriceSaver'!A:J,5,0),"")</f>
        <v>4.2904849036379797E-2</v>
      </c>
      <c r="I262" s="4" t="e" cm="1">
        <f t="array" ref="I262">IF(NOT(ISBLANK(A262)),((_xlfn.XLOOKUP(1,(_bbt3[[#All],[ID]]=A262)*(_bbt3[[#All],[METRIC_NAME]]="YLD_YTM_ASK"),_bbt3[[#All],[METRIC_VALUE]])*0.5)+(_xlfn.XLOOKUP(1,(_bbt3[[#All],[ID]]=A262)*(_bbt3[[#All],[METRIC_NAME]]="YLD_YTM_BID"),_bbt3[[#All],[METRIC_VALUE]])*0.5))/100,"")</f>
        <v>#N/A</v>
      </c>
      <c r="J262">
        <f>IF(ISNA(VLOOKUP(A262,'CloseDL - PriceSaverBBT3'!A:E,5,0)),0,VLOOKUP(A262,'CloseDL - PriceSaverBBT3'!A:E,5,0))</f>
        <v>4.2904849036379797E-2</v>
      </c>
      <c r="K262" s="7">
        <f t="shared" si="48"/>
        <v>0</v>
      </c>
      <c r="L262" s="20">
        <f>IF(Close[[#This Row],[CreatedBy]]="MARINER\SilverAdm",1,0)</f>
        <v>1</v>
      </c>
      <c r="M262" t="str">
        <f>IF(NOT(ISBLANK(A262)),VLOOKUP(A262,'Close - PriceSaver'!A:J,6,0),"")</f>
        <v>DL input prc = 88.73559048  PX_ASK = 88.81018232 PX_BID = 88.66099864</v>
      </c>
      <c r="Q262" t="e">
        <f t="shared" si="40"/>
        <v>#N/A</v>
      </c>
      <c r="R262" t="e">
        <f t="shared" si="41"/>
        <v>#N/A</v>
      </c>
      <c r="S262" t="e">
        <f t="shared" si="42"/>
        <v>#N/A</v>
      </c>
      <c r="T262" s="15" t="e">
        <f t="shared" si="43"/>
        <v>#N/A</v>
      </c>
      <c r="U262" s="18" t="e">
        <f t="shared" si="44"/>
        <v>#N/A</v>
      </c>
      <c r="V262" s="18" t="e">
        <f t="shared" si="45"/>
        <v>#N/A</v>
      </c>
      <c r="W262" s="19" t="e">
        <f t="shared" si="46"/>
        <v>#N/A</v>
      </c>
      <c r="X262" t="e">
        <f>VLOOKUP(P262,Close[[ID]:[CreatedBy]],8,0)</f>
        <v>#N/A</v>
      </c>
    </row>
    <row r="263" spans="1:24" x14ac:dyDescent="0.35">
      <c r="A263" t="str">
        <v>912821CP8</v>
      </c>
      <c r="B263" t="str">
        <f>IF(NOT(ISBLANK(A263)),VLOOKUP(A263,'BBT3'!A:F,2,0),"")</f>
        <v>Bond</v>
      </c>
      <c r="C263" t="str">
        <f>IF(NOT(ISBLANK(A263)),VLOOKUP(A263,'BBT3'!A:F,3,0),"")</f>
        <v>US912821CP85</v>
      </c>
      <c r="D263" s="5">
        <f>IF(NOT(ISBLANK(A263)),VLOOKUP(A263,'BBT3'!A:F,4,1),"")</f>
        <v>0</v>
      </c>
      <c r="E263">
        <f>IF(NOT(ISBLANK(A263)),VLOOKUP(A263,'BBT3'!A:F,5,0),"")</f>
        <v>46234</v>
      </c>
      <c r="F263" t="str">
        <f>IF(NOT(ISBLANK(A263)),VLOOKUP(A263,'BBT3'!A:F,6,0),"")</f>
        <v>N</v>
      </c>
      <c r="G263" t="str">
        <f t="shared" si="47"/>
        <v>Y</v>
      </c>
      <c r="H263">
        <f>IF(NOT(ISBLANK(A263)),VLOOKUP(A263,'Close - PriceSaver'!A:J,5,0),"")</f>
        <v>3.6244993934413397E-2</v>
      </c>
      <c r="I263" s="4" t="e" cm="1">
        <f t="array" ref="I263">IF(NOT(ISBLANK(A263)),((_xlfn.XLOOKUP(1,(_bbt3[[#All],[ID]]=A263)*(_bbt3[[#All],[METRIC_NAME]]="YLD_YTM_ASK"),_bbt3[[#All],[METRIC_VALUE]])*0.5)+(_xlfn.XLOOKUP(1,(_bbt3[[#All],[ID]]=A263)*(_bbt3[[#All],[METRIC_NAME]]="YLD_YTM_BID"),_bbt3[[#All],[METRIC_VALUE]])*0.5))/100,"")</f>
        <v>#N/A</v>
      </c>
      <c r="J263">
        <f>IF(ISNA(VLOOKUP(A263,'CloseDL - PriceSaverBBT3'!A:E,5,0)),0,VLOOKUP(A263,'CloseDL - PriceSaverBBT3'!A:E,5,0))</f>
        <v>3.6244993934413397E-2</v>
      </c>
      <c r="K263" s="7">
        <f t="shared" si="48"/>
        <v>0</v>
      </c>
      <c r="L263" s="20">
        <f>IF(Close[[#This Row],[CreatedBy]]="MARINER\SilverAdm",1,0)</f>
        <v>1</v>
      </c>
      <c r="M263" t="str">
        <f>IF(NOT(ISBLANK(A263)),VLOOKUP(A263,'Close - PriceSaver'!A:J,6,0),"")</f>
        <v>DL input prc = 99.90996927  PX_ASK = 99.91104881 PX_BID = 99.90888972</v>
      </c>
      <c r="Q263" t="e">
        <f t="shared" si="40"/>
        <v>#N/A</v>
      </c>
      <c r="R263" t="e">
        <f t="shared" si="41"/>
        <v>#N/A</v>
      </c>
      <c r="S263" t="e">
        <f t="shared" si="42"/>
        <v>#N/A</v>
      </c>
      <c r="T263" s="15" t="e">
        <f t="shared" si="43"/>
        <v>#N/A</v>
      </c>
      <c r="U263" s="18" t="e">
        <f t="shared" si="44"/>
        <v>#N/A</v>
      </c>
      <c r="V263" s="18" t="e">
        <f t="shared" si="45"/>
        <v>#N/A</v>
      </c>
      <c r="W263" s="19" t="e">
        <f t="shared" si="46"/>
        <v>#N/A</v>
      </c>
      <c r="X263" t="e">
        <f>VLOOKUP(P263,Close[[ID]:[CreatedBy]],8,0)</f>
        <v>#N/A</v>
      </c>
    </row>
    <row r="264" spans="1:24" x14ac:dyDescent="0.35">
      <c r="A264" t="str">
        <v>912821CU7</v>
      </c>
      <c r="B264" t="str">
        <f>IF(NOT(ISBLANK(A264)),VLOOKUP(A264,'BBT3'!A:F,2,0),"")</f>
        <v>Bond</v>
      </c>
      <c r="C264" t="str">
        <f>IF(NOT(ISBLANK(A264)),VLOOKUP(A264,'BBT3'!A:F,3,0),"")</f>
        <v>US912821CU70</v>
      </c>
      <c r="D264" s="5">
        <f>IF(NOT(ISBLANK(A264)),VLOOKUP(A264,'BBT3'!A:F,4,1),"")</f>
        <v>0</v>
      </c>
      <c r="E264">
        <f>IF(NOT(ISBLANK(A264)),VLOOKUP(A264,'BBT3'!A:F,5,0),"")</f>
        <v>46265</v>
      </c>
      <c r="F264" t="str">
        <f>IF(NOT(ISBLANK(A264)),VLOOKUP(A264,'BBT3'!A:F,6,0),"")</f>
        <v>N</v>
      </c>
      <c r="G264" t="str">
        <f t="shared" si="47"/>
        <v>Y</v>
      </c>
      <c r="H264">
        <f>IF(NOT(ISBLANK(A264)),VLOOKUP(A264,'Close - PriceSaver'!A:J,5,0),"")</f>
        <v>3.9559996598361603E-2</v>
      </c>
      <c r="I264" s="4" t="e" cm="1">
        <f t="array" ref="I264">IF(NOT(ISBLANK(A264)),((_xlfn.XLOOKUP(1,(_bbt3[[#All],[ID]]=A264)*(_bbt3[[#All],[METRIC_NAME]]="YLD_YTM_ASK"),_bbt3[[#All],[METRIC_VALUE]])*0.5)+(_xlfn.XLOOKUP(1,(_bbt3[[#All],[ID]]=A264)*(_bbt3[[#All],[METRIC_NAME]]="YLD_YTM_BID"),_bbt3[[#All],[METRIC_VALUE]])*0.5))/100,"")</f>
        <v>#N/A</v>
      </c>
      <c r="J264">
        <f>IF(ISNA(VLOOKUP(A264,'CloseDL - PriceSaverBBT3'!A:E,5,0)),0,VLOOKUP(A264,'CloseDL - PriceSaverBBT3'!A:E,5,0))</f>
        <v>3.9559996598361603E-2</v>
      </c>
      <c r="K264" s="7">
        <f t="shared" si="48"/>
        <v>0</v>
      </c>
      <c r="L264" s="20">
        <f>IF(Close[[#This Row],[CreatedBy]]="MARINER\SilverAdm",1,0)</f>
        <v>1</v>
      </c>
      <c r="M264" t="str">
        <f>IF(NOT(ISBLANK(A264)),VLOOKUP(A264,'Close - PriceSaver'!A:J,6,0),"")</f>
        <v>DL input prc = 99.57184112  PX_ASK = 99.57378092 PX_BID = 99.56990132</v>
      </c>
      <c r="Q264" t="e">
        <f t="shared" si="40"/>
        <v>#N/A</v>
      </c>
      <c r="R264" t="e">
        <f t="shared" si="41"/>
        <v>#N/A</v>
      </c>
      <c r="S264" t="e">
        <f t="shared" si="42"/>
        <v>#N/A</v>
      </c>
      <c r="T264" s="15" t="e">
        <f t="shared" si="43"/>
        <v>#N/A</v>
      </c>
      <c r="U264" s="18" t="e">
        <f t="shared" si="44"/>
        <v>#N/A</v>
      </c>
      <c r="V264" s="18" t="e">
        <f t="shared" si="45"/>
        <v>#N/A</v>
      </c>
      <c r="W264" s="19" t="e">
        <f t="shared" si="46"/>
        <v>#N/A</v>
      </c>
      <c r="X264" t="e">
        <f>VLOOKUP(P264,Close[[ID]:[CreatedBy]],8,0)</f>
        <v>#N/A</v>
      </c>
    </row>
    <row r="265" spans="1:24" x14ac:dyDescent="0.35">
      <c r="A265" t="str">
        <v>912821CY9</v>
      </c>
      <c r="B265" t="str">
        <f>IF(NOT(ISBLANK(A265)),VLOOKUP(A265,'BBT3'!A:F,2,0),"")</f>
        <v>Bond</v>
      </c>
      <c r="C265" t="str">
        <f>IF(NOT(ISBLANK(A265)),VLOOKUP(A265,'BBT3'!A:F,3,0),"")</f>
        <v>US912821CY92</v>
      </c>
      <c r="D265" s="5">
        <f>IF(NOT(ISBLANK(A265)),VLOOKUP(A265,'BBT3'!A:F,4,1),"")</f>
        <v>0</v>
      </c>
      <c r="E265">
        <f>IF(NOT(ISBLANK(A265)),VLOOKUP(A265,'BBT3'!A:F,5,0),"")</f>
        <v>46295</v>
      </c>
      <c r="F265" t="str">
        <f>IF(NOT(ISBLANK(A265)),VLOOKUP(A265,'BBT3'!A:F,6,0),"")</f>
        <v>N</v>
      </c>
      <c r="G265" t="str">
        <f t="shared" si="47"/>
        <v>Y</v>
      </c>
      <c r="H265">
        <f>IF(NOT(ISBLANK(A265)),VLOOKUP(A265,'Close - PriceSaver'!A:J,5,0),"")</f>
        <v>3.96549979085698E-2</v>
      </c>
      <c r="I265" s="4" t="e" cm="1">
        <f t="array" ref="I265">IF(NOT(ISBLANK(A265)),((_xlfn.XLOOKUP(1,(_bbt3[[#All],[ID]]=A265)*(_bbt3[[#All],[METRIC_NAME]]="YLD_YTM_ASK"),_bbt3[[#All],[METRIC_VALUE]])*0.5)+(_xlfn.XLOOKUP(1,(_bbt3[[#All],[ID]]=A265)*(_bbt3[[#All],[METRIC_NAME]]="YLD_YTM_BID"),_bbt3[[#All],[METRIC_VALUE]])*0.5))/100,"")</f>
        <v>#N/A</v>
      </c>
      <c r="J265">
        <f>IF(ISNA(VLOOKUP(A265,'CloseDL - PriceSaverBBT3'!A:E,5,0)),0,VLOOKUP(A265,'CloseDL - PriceSaverBBT3'!A:E,5,0))</f>
        <v>3.96549979085698E-2</v>
      </c>
      <c r="K265" s="7">
        <f t="shared" si="48"/>
        <v>0</v>
      </c>
      <c r="L265" s="20">
        <f>IF(Close[[#This Row],[CreatedBy]]="MARINER\SilverAdm",1,0)</f>
        <v>1</v>
      </c>
      <c r="M265" t="str">
        <f>IF(NOT(ISBLANK(A265)),VLOOKUP(A265,'Close - PriceSaver'!A:J,6,0),"")</f>
        <v>DL input prc = 99.24727993  PX_ASK = 99.24925800 PX_BID = 99.24530185</v>
      </c>
      <c r="Q265" t="e">
        <f t="shared" si="40"/>
        <v>#N/A</v>
      </c>
      <c r="R265" t="e">
        <f t="shared" si="41"/>
        <v>#N/A</v>
      </c>
      <c r="S265" t="e">
        <f t="shared" si="42"/>
        <v>#N/A</v>
      </c>
      <c r="T265" s="15" t="e">
        <f t="shared" si="43"/>
        <v>#N/A</v>
      </c>
      <c r="U265" s="18" t="e">
        <f t="shared" si="44"/>
        <v>#N/A</v>
      </c>
      <c r="V265" s="18" t="e">
        <f t="shared" si="45"/>
        <v>#N/A</v>
      </c>
      <c r="W265" s="19" t="e">
        <f t="shared" si="46"/>
        <v>#N/A</v>
      </c>
      <c r="X265" t="e">
        <f>VLOOKUP(P265,Close[[ID]:[CreatedBy]],8,0)</f>
        <v>#N/A</v>
      </c>
    </row>
    <row r="266" spans="1:24" x14ac:dyDescent="0.35">
      <c r="A266" t="str">
        <v>912821DD4</v>
      </c>
      <c r="B266" t="str">
        <f>IF(NOT(ISBLANK(A266)),VLOOKUP(A266,'BBT3'!A:F,2,0),"")</f>
        <v>Bond</v>
      </c>
      <c r="C266" t="str">
        <f>IF(NOT(ISBLANK(A266)),VLOOKUP(A266,'BBT3'!A:F,3,0),"")</f>
        <v>US912821DD47</v>
      </c>
      <c r="D266" s="5">
        <f>IF(NOT(ISBLANK(A266)),VLOOKUP(A266,'BBT3'!A:F,4,1),"")</f>
        <v>0</v>
      </c>
      <c r="E266">
        <f>IF(NOT(ISBLANK(A266)),VLOOKUP(A266,'BBT3'!A:F,5,0),"")</f>
        <v>46326</v>
      </c>
      <c r="F266" t="str">
        <f>IF(NOT(ISBLANK(A266)),VLOOKUP(A266,'BBT3'!A:F,6,0),"")</f>
        <v>N</v>
      </c>
      <c r="G266" t="str">
        <f t="shared" si="47"/>
        <v>Y</v>
      </c>
      <c r="H266">
        <f>IF(NOT(ISBLANK(A266)),VLOOKUP(A266,'Close - PriceSaver'!A:J,5,0),"")</f>
        <v>3.9749998679601599E-2</v>
      </c>
      <c r="I266" s="4" t="e" cm="1">
        <f t="array" ref="I266">IF(NOT(ISBLANK(A266)),((_xlfn.XLOOKUP(1,(_bbt3[[#All],[ID]]=A266)*(_bbt3[[#All],[METRIC_NAME]]="YLD_YTM_ASK"),_bbt3[[#All],[METRIC_VALUE]])*0.5)+(_xlfn.XLOOKUP(1,(_bbt3[[#All],[ID]]=A266)*(_bbt3[[#All],[METRIC_NAME]]="YLD_YTM_BID"),_bbt3[[#All],[METRIC_VALUE]])*0.5))/100,"")</f>
        <v>#N/A</v>
      </c>
      <c r="J266">
        <f>IF(ISNA(VLOOKUP(A266,'CloseDL - PriceSaverBBT3'!A:E,5,0)),0,VLOOKUP(A266,'CloseDL - PriceSaverBBT3'!A:E,5,0))</f>
        <v>3.9749998679601599E-2</v>
      </c>
      <c r="K266" s="7">
        <f t="shared" si="48"/>
        <v>0</v>
      </c>
      <c r="L266" s="20">
        <f>IF(Close[[#This Row],[CreatedBy]]="MARINER\SilverAdm",1,0)</f>
        <v>1</v>
      </c>
      <c r="M266" t="str">
        <f>IF(NOT(ISBLANK(A266)),VLOOKUP(A266,'Close - PriceSaver'!A:J,6,0),"")</f>
        <v>DL input prc = 98.92080896  PX_ASK = 98.92268891 PX_BID = 98.91892900</v>
      </c>
      <c r="Q266" t="e">
        <f t="shared" si="40"/>
        <v>#N/A</v>
      </c>
      <c r="R266" t="e">
        <f t="shared" si="41"/>
        <v>#N/A</v>
      </c>
      <c r="S266" t="e">
        <f t="shared" si="42"/>
        <v>#N/A</v>
      </c>
      <c r="T266" s="15" t="e">
        <f t="shared" si="43"/>
        <v>#N/A</v>
      </c>
      <c r="U266" s="18" t="e">
        <f t="shared" si="44"/>
        <v>#N/A</v>
      </c>
      <c r="V266" s="18" t="e">
        <f t="shared" si="45"/>
        <v>#N/A</v>
      </c>
      <c r="W266" s="19" t="e">
        <f t="shared" si="46"/>
        <v>#N/A</v>
      </c>
      <c r="X266" t="e">
        <f>VLOOKUP(P266,Close[[ID]:[CreatedBy]],8,0)</f>
        <v>#N/A</v>
      </c>
    </row>
    <row r="267" spans="1:24" x14ac:dyDescent="0.35">
      <c r="A267" t="str">
        <v>912821DF9</v>
      </c>
      <c r="B267" t="str">
        <f>IF(NOT(ISBLANK(A267)),VLOOKUP(A267,'BBT3'!A:F,2,0),"")</f>
        <v>Bond</v>
      </c>
      <c r="C267" t="str">
        <f>IF(NOT(ISBLANK(A267)),VLOOKUP(A267,'BBT3'!A:F,3,0),"")</f>
        <v>US912821DF94</v>
      </c>
      <c r="D267" s="5">
        <f>IF(NOT(ISBLANK(A267)),VLOOKUP(A267,'BBT3'!A:F,4,1),"")</f>
        <v>0</v>
      </c>
      <c r="E267">
        <f>IF(NOT(ISBLANK(A267)),VLOOKUP(A267,'BBT3'!A:F,5,0),"")</f>
        <v>47437</v>
      </c>
      <c r="F267" t="str">
        <f>IF(NOT(ISBLANK(A267)),VLOOKUP(A267,'BBT3'!A:F,6,0),"")</f>
        <v>N</v>
      </c>
      <c r="G267" t="str">
        <f t="shared" si="47"/>
        <v>Y</v>
      </c>
      <c r="H267">
        <f>IF(NOT(ISBLANK(A267)),VLOOKUP(A267,'Close - PriceSaver'!A:J,5,0),"")</f>
        <v>4.3004814698863497E-2</v>
      </c>
      <c r="I267" s="4" t="e" cm="1">
        <f t="array" ref="I267">IF(NOT(ISBLANK(A267)),((_xlfn.XLOOKUP(1,(_bbt3[[#All],[ID]]=A267)*(_bbt3[[#All],[METRIC_NAME]]="YLD_YTM_ASK"),_bbt3[[#All],[METRIC_VALUE]])*0.5)+(_xlfn.XLOOKUP(1,(_bbt3[[#All],[ID]]=A267)*(_bbt3[[#All],[METRIC_NAME]]="YLD_YTM_BID"),_bbt3[[#All],[METRIC_VALUE]])*0.5))/100,"")</f>
        <v>#N/A</v>
      </c>
      <c r="J267">
        <f>IF(ISNA(VLOOKUP(A267,'CloseDL - PriceSaverBBT3'!A:E,5,0)),0,VLOOKUP(A267,'CloseDL - PriceSaverBBT3'!A:E,5,0))</f>
        <v>4.3004814698863497E-2</v>
      </c>
      <c r="K267" s="7">
        <f t="shared" si="48"/>
        <v>0</v>
      </c>
      <c r="L267" s="20">
        <f>IF(Close[[#This Row],[CreatedBy]]="MARINER\SilverAdm",1,0)</f>
        <v>1</v>
      </c>
      <c r="M267" t="str">
        <f>IF(NOT(ISBLANK(A267)),VLOOKUP(A267,'Close - PriceSaver'!A:J,6,0),"")</f>
        <v>DL input prc = 86.84379582  PX_ASK = 86.93257718 PX_BID = 86.75501446</v>
      </c>
      <c r="Q267" t="e">
        <f t="shared" si="40"/>
        <v>#N/A</v>
      </c>
      <c r="R267" t="e">
        <f t="shared" si="41"/>
        <v>#N/A</v>
      </c>
      <c r="S267" t="e">
        <f t="shared" si="42"/>
        <v>#N/A</v>
      </c>
      <c r="T267" s="15" t="e">
        <f t="shared" si="43"/>
        <v>#N/A</v>
      </c>
      <c r="U267" s="18" t="e">
        <f t="shared" si="44"/>
        <v>#N/A</v>
      </c>
      <c r="V267" s="18" t="e">
        <f t="shared" si="45"/>
        <v>#N/A</v>
      </c>
      <c r="W267" s="19" t="e">
        <f t="shared" si="46"/>
        <v>#N/A</v>
      </c>
      <c r="X267" t="e">
        <f>VLOOKUP(P267,Close[[ID]:[CreatedBy]],8,0)</f>
        <v>#N/A</v>
      </c>
    </row>
    <row r="268" spans="1:24" x14ac:dyDescent="0.35">
      <c r="A268" t="str">
        <v>912821DJ1</v>
      </c>
      <c r="B268" t="str">
        <f>IF(NOT(ISBLANK(A268)),VLOOKUP(A268,'BBT3'!A:F,2,0),"")</f>
        <v>Bond</v>
      </c>
      <c r="C268" t="str">
        <f>IF(NOT(ISBLANK(A268)),VLOOKUP(A268,'BBT3'!A:F,3,0),"")</f>
        <v>US912821DJ17</v>
      </c>
      <c r="D268" s="5">
        <f>IF(NOT(ISBLANK(A268)),VLOOKUP(A268,'BBT3'!A:F,4,1),"")</f>
        <v>0</v>
      </c>
      <c r="E268">
        <f>IF(NOT(ISBLANK(A268)),VLOOKUP(A268,'BBT3'!A:F,5,0),"")</f>
        <v>46356</v>
      </c>
      <c r="F268" t="str">
        <f>IF(NOT(ISBLANK(A268)),VLOOKUP(A268,'BBT3'!A:F,6,0),"")</f>
        <v>N</v>
      </c>
      <c r="G268" t="str">
        <f t="shared" si="47"/>
        <v>Y</v>
      </c>
      <c r="H268">
        <f>IF(NOT(ISBLANK(A268)),VLOOKUP(A268,'Close - PriceSaver'!A:J,5,0),"")</f>
        <v>3.9899999102326701E-2</v>
      </c>
      <c r="I268" s="4" t="e" cm="1">
        <f t="array" ref="I268">IF(NOT(ISBLANK(A268)),((_xlfn.XLOOKUP(1,(_bbt3[[#All],[ID]]=A268)*(_bbt3[[#All],[METRIC_NAME]]="YLD_YTM_ASK"),_bbt3[[#All],[METRIC_VALUE]])*0.5)+(_xlfn.XLOOKUP(1,(_bbt3[[#All],[ID]]=A268)*(_bbt3[[#All],[METRIC_NAME]]="YLD_YTM_BID"),_bbt3[[#All],[METRIC_VALUE]])*0.5))/100,"")</f>
        <v>#N/A</v>
      </c>
      <c r="J268">
        <f>IF(ISNA(VLOOKUP(A268,'CloseDL - PriceSaverBBT3'!A:E,5,0)),0,VLOOKUP(A268,'CloseDL - PriceSaverBBT3'!A:E,5,0))</f>
        <v>3.9899999102326701E-2</v>
      </c>
      <c r="K268" s="7">
        <f t="shared" si="48"/>
        <v>0</v>
      </c>
      <c r="L268" s="20">
        <f>IF(Close[[#This Row],[CreatedBy]]="MARINER\SilverAdm",1,0)</f>
        <v>1</v>
      </c>
      <c r="M268" t="str">
        <f>IF(NOT(ISBLANK(A268)),VLOOKUP(A268,'Close - PriceSaver'!A:J,6,0),"")</f>
        <v>DL input prc = 98.59199323  PX_ASK = 98.59373281 PX_BID = 98.59025365</v>
      </c>
      <c r="Q268" t="e">
        <f t="shared" si="40"/>
        <v>#N/A</v>
      </c>
      <c r="R268" t="e">
        <f t="shared" si="41"/>
        <v>#N/A</v>
      </c>
      <c r="S268" t="e">
        <f t="shared" si="42"/>
        <v>#N/A</v>
      </c>
      <c r="T268" s="15" t="e">
        <f t="shared" si="43"/>
        <v>#N/A</v>
      </c>
      <c r="U268" s="18" t="e">
        <f t="shared" si="44"/>
        <v>#N/A</v>
      </c>
      <c r="V268" s="18" t="e">
        <f t="shared" si="45"/>
        <v>#N/A</v>
      </c>
      <c r="W268" s="19" t="e">
        <f t="shared" si="46"/>
        <v>#N/A</v>
      </c>
      <c r="X268" t="e">
        <f>VLOOKUP(P268,Close[[ID]:[CreatedBy]],8,0)</f>
        <v>#N/A</v>
      </c>
    </row>
    <row r="269" spans="1:24" x14ac:dyDescent="0.35">
      <c r="A269" t="str">
        <v>912821DN2</v>
      </c>
      <c r="B269" t="str">
        <f>IF(NOT(ISBLANK(A269)),VLOOKUP(A269,'BBT3'!A:F,2,0),"")</f>
        <v>Bond</v>
      </c>
      <c r="C269" t="str">
        <f>IF(NOT(ISBLANK(A269)),VLOOKUP(A269,'BBT3'!A:F,3,0),"")</f>
        <v>US912821DN29</v>
      </c>
      <c r="D269" s="5">
        <f>IF(NOT(ISBLANK(A269)),VLOOKUP(A269,'BBT3'!A:F,4,1),"")</f>
        <v>0</v>
      </c>
      <c r="E269">
        <f>IF(NOT(ISBLANK(A269)),VLOOKUP(A269,'BBT3'!A:F,5,0),"")</f>
        <v>46387</v>
      </c>
      <c r="F269" t="str">
        <f>IF(NOT(ISBLANK(A269)),VLOOKUP(A269,'BBT3'!A:F,6,0),"")</f>
        <v>N</v>
      </c>
      <c r="G269" t="str">
        <f t="shared" si="47"/>
        <v>Y</v>
      </c>
      <c r="H269">
        <f>IF(NOT(ISBLANK(A269)),VLOOKUP(A269,'Close - PriceSaver'!A:J,5,0),"")</f>
        <v>4.0034999074516901E-2</v>
      </c>
      <c r="I269" s="4" t="e" cm="1">
        <f t="array" ref="I269">IF(NOT(ISBLANK(A269)),((_xlfn.XLOOKUP(1,(_bbt3[[#All],[ID]]=A269)*(_bbt3[[#All],[METRIC_NAME]]="YLD_YTM_ASK"),_bbt3[[#All],[METRIC_VALUE]])*0.5)+(_xlfn.XLOOKUP(1,(_bbt3[[#All],[ID]]=A269)*(_bbt3[[#All],[METRIC_NAME]]="YLD_YTM_BID"),_bbt3[[#All],[METRIC_VALUE]])*0.5))/100,"")</f>
        <v>#N/A</v>
      </c>
      <c r="J269">
        <f>IF(ISNA(VLOOKUP(A269,'CloseDL - PriceSaverBBT3'!A:E,5,0)),0,VLOOKUP(A269,'CloseDL - PriceSaverBBT3'!A:E,5,0))</f>
        <v>4.0034999074516901E-2</v>
      </c>
      <c r="K269" s="7">
        <f t="shared" si="48"/>
        <v>0</v>
      </c>
      <c r="L269" s="20">
        <f>IF(Close[[#This Row],[CreatedBy]]="MARINER\SilverAdm",1,0)</f>
        <v>1</v>
      </c>
      <c r="M269" t="str">
        <f>IF(NOT(ISBLANK(A269)),VLOOKUP(A269,'Close - PriceSaver'!A:J,6,0),"")</f>
        <v>DL input prc = 98.26811268  PX_ASK = 98.27002563 PX_BID = 98.26619972</v>
      </c>
      <c r="Q269" t="e">
        <f t="shared" si="40"/>
        <v>#N/A</v>
      </c>
      <c r="R269" t="e">
        <f t="shared" si="41"/>
        <v>#N/A</v>
      </c>
      <c r="S269" t="e">
        <f t="shared" si="42"/>
        <v>#N/A</v>
      </c>
      <c r="T269" s="15" t="e">
        <f t="shared" si="43"/>
        <v>#N/A</v>
      </c>
      <c r="U269" s="18" t="e">
        <f t="shared" si="44"/>
        <v>#N/A</v>
      </c>
      <c r="V269" s="18" t="e">
        <f t="shared" si="45"/>
        <v>#N/A</v>
      </c>
      <c r="W269" s="19" t="e">
        <f t="shared" si="46"/>
        <v>#N/A</v>
      </c>
      <c r="X269" t="e">
        <f>VLOOKUP(P269,Close[[ID]:[CreatedBy]],8,0)</f>
        <v>#N/A</v>
      </c>
    </row>
    <row r="270" spans="1:24" x14ac:dyDescent="0.35">
      <c r="A270" t="str">
        <v>912821DT9</v>
      </c>
      <c r="B270" t="str">
        <f>IF(NOT(ISBLANK(A270)),VLOOKUP(A270,'BBT3'!A:F,2,0),"")</f>
        <v>Bond</v>
      </c>
      <c r="C270" t="str">
        <f>IF(NOT(ISBLANK(A270)),VLOOKUP(A270,'BBT3'!A:F,3,0),"")</f>
        <v>US912821DT98</v>
      </c>
      <c r="D270" s="5">
        <f>IF(NOT(ISBLANK(A270)),VLOOKUP(A270,'BBT3'!A:F,4,1),"")</f>
        <v>0</v>
      </c>
      <c r="E270">
        <f>IF(NOT(ISBLANK(A270)),VLOOKUP(A270,'BBT3'!A:F,5,0),"")</f>
        <v>46418</v>
      </c>
      <c r="F270" t="str">
        <f>IF(NOT(ISBLANK(A270)),VLOOKUP(A270,'BBT3'!A:F,6,0),"")</f>
        <v>N</v>
      </c>
      <c r="G270" t="str">
        <f t="shared" si="47"/>
        <v>Y</v>
      </c>
      <c r="H270">
        <f>IF(NOT(ISBLANK(A270)),VLOOKUP(A270,'Close - PriceSaver'!A:J,5,0),"")</f>
        <v>4.1109215445607902E-2</v>
      </c>
      <c r="I270" s="4" t="e" cm="1">
        <f t="array" ref="I270">IF(NOT(ISBLANK(A270)),((_xlfn.XLOOKUP(1,(_bbt3[[#All],[ID]]=A270)*(_bbt3[[#All],[METRIC_NAME]]="YLD_YTM_ASK"),_bbt3[[#All],[METRIC_VALUE]])*0.5)+(_xlfn.XLOOKUP(1,(_bbt3[[#All],[ID]]=A270)*(_bbt3[[#All],[METRIC_NAME]]="YLD_YTM_BID"),_bbt3[[#All],[METRIC_VALUE]])*0.5))/100,"")</f>
        <v>#N/A</v>
      </c>
      <c r="J270">
        <f>IF(ISNA(VLOOKUP(A270,'CloseDL - PriceSaverBBT3'!A:E,5,0)),0,VLOOKUP(A270,'CloseDL - PriceSaverBBT3'!A:E,5,0))</f>
        <v>4.1109215445607902E-2</v>
      </c>
      <c r="K270" s="7">
        <f t="shared" si="48"/>
        <v>0</v>
      </c>
      <c r="L270" s="20">
        <f>IF(Close[[#This Row],[CreatedBy]]="MARINER\SilverAdm",1,0)</f>
        <v>1</v>
      </c>
      <c r="M270" t="str">
        <f>IF(NOT(ISBLANK(A270)),VLOOKUP(A270,'Close - PriceSaver'!A:J,6,0),"")</f>
        <v>DL input prc = 97.88685622  PX_ASK = 97.94978408 PX_BID = 97.82392835</v>
      </c>
      <c r="Q270" t="e">
        <f t="shared" si="40"/>
        <v>#N/A</v>
      </c>
      <c r="R270" t="e">
        <f t="shared" si="41"/>
        <v>#N/A</v>
      </c>
      <c r="S270" t="e">
        <f t="shared" si="42"/>
        <v>#N/A</v>
      </c>
      <c r="T270" s="15" t="e">
        <f t="shared" si="43"/>
        <v>#N/A</v>
      </c>
      <c r="U270" s="18" t="e">
        <f t="shared" si="44"/>
        <v>#N/A</v>
      </c>
      <c r="V270" s="18" t="e">
        <f t="shared" si="45"/>
        <v>#N/A</v>
      </c>
      <c r="W270" s="19" t="e">
        <f t="shared" si="46"/>
        <v>#N/A</v>
      </c>
      <c r="X270" t="e">
        <f>VLOOKUP(P270,Close[[ID]:[CreatedBy]],8,0)</f>
        <v>#N/A</v>
      </c>
    </row>
    <row r="271" spans="1:24" x14ac:dyDescent="0.35">
      <c r="A271" t="str">
        <v>912821DV4</v>
      </c>
      <c r="B271" t="str">
        <f>IF(NOT(ISBLANK(A271)),VLOOKUP(A271,'BBT3'!A:F,2,0),"")</f>
        <v>Bond</v>
      </c>
      <c r="C271" t="str">
        <f>IF(NOT(ISBLANK(A271)),VLOOKUP(A271,'BBT3'!A:F,3,0),"")</f>
        <v>US912821DV45</v>
      </c>
      <c r="D271" s="5">
        <f>IF(NOT(ISBLANK(A271)),VLOOKUP(A271,'BBT3'!A:F,4,1),"")</f>
        <v>0</v>
      </c>
      <c r="E271">
        <f>IF(NOT(ISBLANK(A271)),VLOOKUP(A271,'BBT3'!A:F,5,0),"")</f>
        <v>47529</v>
      </c>
      <c r="F271" t="str">
        <f>IF(NOT(ISBLANK(A271)),VLOOKUP(A271,'BBT3'!A:F,6,0),"")</f>
        <v>N</v>
      </c>
      <c r="G271" t="str">
        <f t="shared" si="47"/>
        <v>Y</v>
      </c>
      <c r="H271">
        <f>IF(NOT(ISBLANK(A271)),VLOOKUP(A271,'Close - PriceSaver'!A:J,5,0),"")</f>
        <v>4.3168179563217897E-2</v>
      </c>
      <c r="I271" s="4" cm="1">
        <f t="array" ref="I271">IF(NOT(ISBLANK(A271)),((_xlfn.XLOOKUP(1,(_bbt3[[#All],[ID]]=A271)*(_bbt3[[#All],[METRIC_NAME]]="YLD_YTM_ASK"),_bbt3[[#All],[METRIC_VALUE]])*0.5)+(_xlfn.XLOOKUP(1,(_bbt3[[#All],[ID]]=A271)*(_bbt3[[#All],[METRIC_NAME]]="YLD_YTM_BID"),_bbt3[[#All],[METRIC_VALUE]])*0.5))/100,"")</f>
        <v>4.317E-2</v>
      </c>
      <c r="J271">
        <f>IF(ISNA(VLOOKUP(A271,'CloseDL - PriceSaverBBT3'!A:E,5,0)),0,VLOOKUP(A271,'CloseDL - PriceSaverBBT3'!A:E,5,0))</f>
        <v>4.3168179563217897E-2</v>
      </c>
      <c r="K271" s="7">
        <f t="shared" si="48"/>
        <v>0</v>
      </c>
      <c r="L271" s="20">
        <f>IF(Close[[#This Row],[CreatedBy]]="MARINER\SilverAdm",1,0)</f>
        <v>1</v>
      </c>
      <c r="M271" t="str">
        <f>IF(NOT(ISBLANK(A271)),VLOOKUP(A271,'Close - PriceSaver'!A:J,6,0),"")</f>
        <v>DL input prc = 85.87147685  PX_ASK = 85.95841090 PX_BID = 85.78454279</v>
      </c>
      <c r="Q271" t="e">
        <f t="shared" si="40"/>
        <v>#N/A</v>
      </c>
      <c r="R271" t="e">
        <f t="shared" si="41"/>
        <v>#N/A</v>
      </c>
      <c r="S271" t="e">
        <f t="shared" si="42"/>
        <v>#N/A</v>
      </c>
      <c r="T271" s="15" t="e">
        <f t="shared" si="43"/>
        <v>#N/A</v>
      </c>
      <c r="U271" s="18" t="e">
        <f t="shared" si="44"/>
        <v>#N/A</v>
      </c>
      <c r="V271" s="18" t="e">
        <f t="shared" si="45"/>
        <v>#N/A</v>
      </c>
      <c r="W271" s="19" t="e">
        <f t="shared" si="46"/>
        <v>#N/A</v>
      </c>
      <c r="X271" t="e">
        <f>VLOOKUP(P271,Close[[ID]:[CreatedBy]],8,0)</f>
        <v>#N/A</v>
      </c>
    </row>
    <row r="272" spans="1:24" x14ac:dyDescent="0.35">
      <c r="A272" t="str">
        <v>912821DY8</v>
      </c>
      <c r="B272" t="str">
        <f>IF(NOT(ISBLANK(A272)),VLOOKUP(A272,'BBT3'!A:F,2,0),"")</f>
        <v>Bond</v>
      </c>
      <c r="C272" t="str">
        <f>IF(NOT(ISBLANK(A272)),VLOOKUP(A272,'BBT3'!A:F,3,0),"")</f>
        <v>US912821DY83</v>
      </c>
      <c r="D272" s="5">
        <f>IF(NOT(ISBLANK(A272)),VLOOKUP(A272,'BBT3'!A:F,4,1),"")</f>
        <v>0</v>
      </c>
      <c r="E272">
        <f>IF(NOT(ISBLANK(A272)),VLOOKUP(A272,'BBT3'!A:F,5,0),"")</f>
        <v>46446</v>
      </c>
      <c r="F272" t="str">
        <f>IF(NOT(ISBLANK(A272)),VLOOKUP(A272,'BBT3'!A:F,6,0),"")</f>
        <v>N</v>
      </c>
      <c r="G272" t="str">
        <f t="shared" si="47"/>
        <v>Y</v>
      </c>
      <c r="H272">
        <f>IF(NOT(ISBLANK(A272)),VLOOKUP(A272,'Close - PriceSaver'!A:J,5,0),"")</f>
        <v>4.0320856541214298E-2</v>
      </c>
      <c r="I272" s="4" t="e" cm="1">
        <f t="array" ref="I272">IF(NOT(ISBLANK(A272)),((_xlfn.XLOOKUP(1,(_bbt3[[#All],[ID]]=A272)*(_bbt3[[#All],[METRIC_NAME]]="YLD_YTM_ASK"),_bbt3[[#All],[METRIC_VALUE]])*0.5)+(_xlfn.XLOOKUP(1,(_bbt3[[#All],[ID]]=A272)*(_bbt3[[#All],[METRIC_NAME]]="YLD_YTM_BID"),_bbt3[[#All],[METRIC_VALUE]])*0.5))/100,"")</f>
        <v>#N/A</v>
      </c>
      <c r="J272">
        <f>IF(ISNA(VLOOKUP(A272,'CloseDL - PriceSaverBBT3'!A:E,5,0)),0,VLOOKUP(A272,'CloseDL - PriceSaverBBT3'!A:E,5,0))</f>
        <v>4.0320856541214298E-2</v>
      </c>
      <c r="K272" s="7">
        <f t="shared" si="48"/>
        <v>0</v>
      </c>
      <c r="L272" s="20">
        <f>IF(Close[[#This Row],[CreatedBy]]="MARINER\SilverAdm",1,0)</f>
        <v>1</v>
      </c>
      <c r="M272" t="str">
        <f>IF(NOT(ISBLANK(A272)),VLOOKUP(A272,'Close - PriceSaver'!A:J,6,0),"")</f>
        <v>DL input prc = 97.60059847  PX_ASK = 97.60292789 PX_BID = 97.59826905</v>
      </c>
      <c r="Q272" t="e">
        <f t="shared" si="40"/>
        <v>#N/A</v>
      </c>
      <c r="R272" t="e">
        <f t="shared" si="41"/>
        <v>#N/A</v>
      </c>
      <c r="S272" t="e">
        <f t="shared" si="42"/>
        <v>#N/A</v>
      </c>
      <c r="T272" s="15" t="e">
        <f t="shared" si="43"/>
        <v>#N/A</v>
      </c>
      <c r="U272" s="18" t="e">
        <f t="shared" si="44"/>
        <v>#N/A</v>
      </c>
      <c r="V272" s="18" t="e">
        <f t="shared" si="45"/>
        <v>#N/A</v>
      </c>
      <c r="W272" s="19" t="e">
        <f t="shared" si="46"/>
        <v>#N/A</v>
      </c>
      <c r="X272" t="e">
        <f>VLOOKUP(P272,Close[[ID]:[CreatedBy]],8,0)</f>
        <v>#N/A</v>
      </c>
    </row>
    <row r="273" spans="1:24" x14ac:dyDescent="0.35">
      <c r="A273" t="str">
        <v>912821EC5</v>
      </c>
      <c r="B273" t="str">
        <f>IF(NOT(ISBLANK(A273)),VLOOKUP(A273,'BBT3'!A:F,2,0),"")</f>
        <v>Bond</v>
      </c>
      <c r="C273" t="str">
        <f>IF(NOT(ISBLANK(A273)),VLOOKUP(A273,'BBT3'!A:F,3,0),"")</f>
        <v>US912821EC54</v>
      </c>
      <c r="D273" s="5">
        <f>IF(NOT(ISBLANK(A273)),VLOOKUP(A273,'BBT3'!A:F,4,1),"")</f>
        <v>0</v>
      </c>
      <c r="E273">
        <f>IF(NOT(ISBLANK(A273)),VLOOKUP(A273,'BBT3'!A:F,5,0),"")</f>
        <v>46477</v>
      </c>
      <c r="F273" t="str">
        <f>IF(NOT(ISBLANK(A273)),VLOOKUP(A273,'BBT3'!A:F,6,0),"")</f>
        <v>N</v>
      </c>
      <c r="G273" t="str">
        <f t="shared" si="47"/>
        <v>Y</v>
      </c>
      <c r="H273">
        <f>IF(NOT(ISBLANK(A273)),VLOOKUP(A273,'Close - PriceSaver'!A:J,5,0),"")</f>
        <v>4.0439998526251499E-2</v>
      </c>
      <c r="I273" s="4" t="e" cm="1">
        <f t="array" ref="I273">IF(NOT(ISBLANK(A273)),((_xlfn.XLOOKUP(1,(_bbt3[[#All],[ID]]=A273)*(_bbt3[[#All],[METRIC_NAME]]="YLD_YTM_ASK"),_bbt3[[#All],[METRIC_VALUE]])*0.5)+(_xlfn.XLOOKUP(1,(_bbt3[[#All],[ID]]=A273)*(_bbt3[[#All],[METRIC_NAME]]="YLD_YTM_BID"),_bbt3[[#All],[METRIC_VALUE]])*0.5))/100,"")</f>
        <v>#N/A</v>
      </c>
      <c r="J273">
        <f>IF(ISNA(VLOOKUP(A273,'CloseDL - PriceSaverBBT3'!A:E,5,0)),0,VLOOKUP(A273,'CloseDL - PriceSaverBBT3'!A:E,5,0))</f>
        <v>4.0439998526251499E-2</v>
      </c>
      <c r="K273" s="7">
        <f t="shared" si="48"/>
        <v>0</v>
      </c>
      <c r="L273" s="20">
        <f>IF(Close[[#This Row],[CreatedBy]]="MARINER\SilverAdm",1,0)</f>
        <v>1</v>
      </c>
      <c r="M273" t="str">
        <f>IF(NOT(ISBLANK(A273)),VLOOKUP(A273,'Close - PriceSaver'!A:J,6,0),"")</f>
        <v>DL input prc = 97.27039008  PX_ASK = 97.27368539 PX_BID = 97.26709477</v>
      </c>
      <c r="Q273" t="e">
        <f t="shared" si="40"/>
        <v>#N/A</v>
      </c>
      <c r="R273" t="e">
        <f t="shared" si="41"/>
        <v>#N/A</v>
      </c>
      <c r="S273" t="e">
        <f t="shared" si="42"/>
        <v>#N/A</v>
      </c>
      <c r="T273" s="15" t="e">
        <f t="shared" si="43"/>
        <v>#N/A</v>
      </c>
      <c r="U273" s="18" t="e">
        <f t="shared" si="44"/>
        <v>#N/A</v>
      </c>
      <c r="V273" s="18" t="e">
        <f t="shared" si="45"/>
        <v>#N/A</v>
      </c>
      <c r="W273" s="19" t="e">
        <f t="shared" si="46"/>
        <v>#N/A</v>
      </c>
      <c r="X273" t="e">
        <f>VLOOKUP(P273,Close[[ID]:[CreatedBy]],8,0)</f>
        <v>#N/A</v>
      </c>
    </row>
    <row r="274" spans="1:24" x14ac:dyDescent="0.35">
      <c r="A274" t="str">
        <v>912821EH4</v>
      </c>
      <c r="B274" t="str">
        <f>IF(NOT(ISBLANK(A274)),VLOOKUP(A274,'BBT3'!A:F,2,0),"")</f>
        <v>Bond</v>
      </c>
      <c r="C274" t="str">
        <f>IF(NOT(ISBLANK(A274)),VLOOKUP(A274,'BBT3'!A:F,3,0),"")</f>
        <v>US912821EH42</v>
      </c>
      <c r="D274" s="5">
        <f>IF(NOT(ISBLANK(A274)),VLOOKUP(A274,'BBT3'!A:F,4,1),"")</f>
        <v>0</v>
      </c>
      <c r="E274">
        <f>IF(NOT(ISBLANK(A274)),VLOOKUP(A274,'BBT3'!A:F,5,0),"")</f>
        <v>46507</v>
      </c>
      <c r="F274" t="str">
        <f>IF(NOT(ISBLANK(A274)),VLOOKUP(A274,'BBT3'!A:F,6,0),"")</f>
        <v>N</v>
      </c>
      <c r="G274" t="str">
        <f t="shared" si="47"/>
        <v>Y</v>
      </c>
      <c r="H274">
        <f>IF(NOT(ISBLANK(A274)),VLOOKUP(A274,'Close - PriceSaver'!A:J,5,0),"")</f>
        <v>4.0619998481472602E-2</v>
      </c>
      <c r="I274" s="4" t="e" cm="1">
        <f t="array" ref="I274">IF(NOT(ISBLANK(A274)),((_xlfn.XLOOKUP(1,(_bbt3[[#All],[ID]]=A274)*(_bbt3[[#All],[METRIC_NAME]]="YLD_YTM_ASK"),_bbt3[[#All],[METRIC_VALUE]])*0.5)+(_xlfn.XLOOKUP(1,(_bbt3[[#All],[ID]]=A274)*(_bbt3[[#All],[METRIC_NAME]]="YLD_YTM_BID"),_bbt3[[#All],[METRIC_VALUE]])*0.5))/100,"")</f>
        <v>#N/A</v>
      </c>
      <c r="J274">
        <f>IF(ISNA(VLOOKUP(A274,'CloseDL - PriceSaverBBT3'!A:E,5,0)),0,VLOOKUP(A274,'CloseDL - PriceSaverBBT3'!A:E,5,0))</f>
        <v>4.0619998481472602E-2</v>
      </c>
      <c r="K274" s="7">
        <f t="shared" si="48"/>
        <v>0</v>
      </c>
      <c r="L274" s="20">
        <f>IF(Close[[#This Row],[CreatedBy]]="MARINER\SilverAdm",1,0)</f>
        <v>1</v>
      </c>
      <c r="M274" t="str">
        <f>IF(NOT(ISBLANK(A274)),VLOOKUP(A274,'Close - PriceSaver'!A:J,6,0),"")</f>
        <v>DL input prc = 96.93367317  PX_ASK = 96.93735200 PX_BID = 96.92999434</v>
      </c>
      <c r="Q274" t="e">
        <f t="shared" si="40"/>
        <v>#N/A</v>
      </c>
      <c r="R274" t="e">
        <f t="shared" si="41"/>
        <v>#N/A</v>
      </c>
      <c r="S274" t="e">
        <f t="shared" si="42"/>
        <v>#N/A</v>
      </c>
      <c r="T274" s="15" t="e">
        <f t="shared" si="43"/>
        <v>#N/A</v>
      </c>
      <c r="U274" s="18" t="e">
        <f t="shared" si="44"/>
        <v>#N/A</v>
      </c>
      <c r="V274" s="18" t="e">
        <f t="shared" si="45"/>
        <v>#N/A</v>
      </c>
      <c r="W274" s="19" t="e">
        <f t="shared" si="46"/>
        <v>#N/A</v>
      </c>
      <c r="X274" t="e">
        <f>VLOOKUP(P274,Close[[ID]:[CreatedBy]],8,0)</f>
        <v>#N/A</v>
      </c>
    </row>
    <row r="275" spans="1:24" x14ac:dyDescent="0.35">
      <c r="A275" t="str">
        <v>912821EN1</v>
      </c>
      <c r="B275" t="str">
        <f>IF(NOT(ISBLANK(A275)),VLOOKUP(A275,'BBT3'!A:F,2,0),"")</f>
        <v>Bond</v>
      </c>
      <c r="C275" t="str">
        <f>IF(NOT(ISBLANK(A275)),VLOOKUP(A275,'BBT3'!A:F,3,0),"")</f>
        <v>US912821EN10</v>
      </c>
      <c r="D275" s="5">
        <f>IF(NOT(ISBLANK(A275)),VLOOKUP(A275,'BBT3'!A:F,4,1),"")</f>
        <v>0</v>
      </c>
      <c r="E275">
        <f>IF(NOT(ISBLANK(A275)),VLOOKUP(A275,'BBT3'!A:F,5,0),"")</f>
        <v>46538</v>
      </c>
      <c r="F275" t="str">
        <f>IF(NOT(ISBLANK(A275)),VLOOKUP(A275,'BBT3'!A:F,6,0),"")</f>
        <v>N</v>
      </c>
      <c r="G275" t="str">
        <f t="shared" si="47"/>
        <v>Y</v>
      </c>
      <c r="H275">
        <f>IF(NOT(ISBLANK(A275)),VLOOKUP(A275,'Close - PriceSaver'!A:J,5,0),"")</f>
        <v>4.10437411509312E-2</v>
      </c>
      <c r="I275" s="4" t="e" cm="1">
        <f t="array" ref="I275">IF(NOT(ISBLANK(A275)),((_xlfn.XLOOKUP(1,(_bbt3[[#All],[ID]]=A275)*(_bbt3[[#All],[METRIC_NAME]]="YLD_YTM_ASK"),_bbt3[[#All],[METRIC_VALUE]])*0.5)+(_xlfn.XLOOKUP(1,(_bbt3[[#All],[ID]]=A275)*(_bbt3[[#All],[METRIC_NAME]]="YLD_YTM_BID"),_bbt3[[#All],[METRIC_VALUE]])*0.5))/100,"")</f>
        <v>#N/A</v>
      </c>
      <c r="J275">
        <f>IF(ISNA(VLOOKUP(A275,'CloseDL - PriceSaverBBT3'!A:E,5,0)),0,VLOOKUP(A275,'CloseDL - PriceSaverBBT3'!A:E,5,0))</f>
        <v>4.10437411509312E-2</v>
      </c>
      <c r="K275" s="7">
        <f t="shared" si="48"/>
        <v>0</v>
      </c>
      <c r="L275" s="20">
        <f>IF(Close[[#This Row],[CreatedBy]]="MARINER\SilverAdm",1,0)</f>
        <v>1</v>
      </c>
      <c r="M275" t="str">
        <f>IF(NOT(ISBLANK(A275)),VLOOKUP(A275,'Close - PriceSaver'!A:J,6,0),"")</f>
        <v>DL input prc = 96.58571777  PX_ASK = 96.59018390 PX_BID = 96.58125164</v>
      </c>
      <c r="Q275" t="e">
        <f t="shared" si="40"/>
        <v>#N/A</v>
      </c>
      <c r="R275" t="e">
        <f t="shared" si="41"/>
        <v>#N/A</v>
      </c>
      <c r="S275" t="e">
        <f t="shared" si="42"/>
        <v>#N/A</v>
      </c>
      <c r="T275" s="15" t="e">
        <f t="shared" si="43"/>
        <v>#N/A</v>
      </c>
      <c r="U275" s="18" t="e">
        <f t="shared" si="44"/>
        <v>#N/A</v>
      </c>
      <c r="V275" s="18" t="e">
        <f t="shared" si="45"/>
        <v>#N/A</v>
      </c>
      <c r="W275" s="19" t="e">
        <f t="shared" si="46"/>
        <v>#N/A</v>
      </c>
      <c r="X275" t="e">
        <f>VLOOKUP(P275,Close[[ID]:[CreatedBy]],8,0)</f>
        <v>#N/A</v>
      </c>
    </row>
    <row r="276" spans="1:24" x14ac:dyDescent="0.35">
      <c r="A276" t="str">
        <v>912821ES0</v>
      </c>
      <c r="B276" t="str">
        <f>IF(NOT(ISBLANK(A276)),VLOOKUP(A276,'BBT3'!A:F,2,0),"")</f>
        <v>Bond</v>
      </c>
      <c r="C276" t="str">
        <f>IF(NOT(ISBLANK(A276)),VLOOKUP(A276,'BBT3'!A:F,3,0),"")</f>
        <v>US912821ES07</v>
      </c>
      <c r="D276" s="5">
        <f>IF(NOT(ISBLANK(A276)),VLOOKUP(A276,'BBT3'!A:F,4,1),"")</f>
        <v>0</v>
      </c>
      <c r="E276">
        <f>IF(NOT(ISBLANK(A276)),VLOOKUP(A276,'BBT3'!A:F,5,0),"")</f>
        <v>46568</v>
      </c>
      <c r="F276" t="str">
        <f>IF(NOT(ISBLANK(A276)),VLOOKUP(A276,'BBT3'!A:F,6,0),"")</f>
        <v>N</v>
      </c>
      <c r="G276" t="str">
        <f t="shared" si="47"/>
        <v>Y</v>
      </c>
      <c r="H276">
        <f>IF(NOT(ISBLANK(A276)),VLOOKUP(A276,'Close - PriceSaver'!A:J,5,0),"")</f>
        <v>4.1189997411208601E-2</v>
      </c>
      <c r="I276" s="4" t="e" cm="1">
        <f t="array" ref="I276">IF(NOT(ISBLANK(A276)),((_xlfn.XLOOKUP(1,(_bbt3[[#All],[ID]]=A276)*(_bbt3[[#All],[METRIC_NAME]]="YLD_YTM_ASK"),_bbt3[[#All],[METRIC_VALUE]])*0.5)+(_xlfn.XLOOKUP(1,(_bbt3[[#All],[ID]]=A276)*(_bbt3[[#All],[METRIC_NAME]]="YLD_YTM_BID"),_bbt3[[#All],[METRIC_VALUE]])*0.5))/100,"")</f>
        <v>#N/A</v>
      </c>
      <c r="J276">
        <f>IF(ISNA(VLOOKUP(A276,'CloseDL - PriceSaverBBT3'!A:E,5,0)),0,VLOOKUP(A276,'CloseDL - PriceSaverBBT3'!A:E,5,0))</f>
        <v>4.1189997411208601E-2</v>
      </c>
      <c r="K276" s="7">
        <f t="shared" si="48"/>
        <v>0</v>
      </c>
      <c r="L276" s="20">
        <f>IF(Close[[#This Row],[CreatedBy]]="MARINER\SilverAdm",1,0)</f>
        <v>1</v>
      </c>
      <c r="M276" t="str">
        <f>IF(NOT(ISBLANK(A276)),VLOOKUP(A276,'Close - PriceSaver'!A:J,6,0),"")</f>
        <v>DL input prc = 96.23913068  PX_ASK = 96.24445026 PX_BID = 96.23381109</v>
      </c>
      <c r="Q276" t="e">
        <f t="shared" si="40"/>
        <v>#N/A</v>
      </c>
      <c r="R276" t="e">
        <f t="shared" si="41"/>
        <v>#N/A</v>
      </c>
      <c r="S276" t="e">
        <f t="shared" si="42"/>
        <v>#N/A</v>
      </c>
      <c r="T276" s="15" t="e">
        <f t="shared" si="43"/>
        <v>#N/A</v>
      </c>
      <c r="U276" s="18" t="e">
        <f t="shared" si="44"/>
        <v>#N/A</v>
      </c>
      <c r="V276" s="18" t="e">
        <f t="shared" si="45"/>
        <v>#N/A</v>
      </c>
      <c r="W276" s="19" t="e">
        <f t="shared" si="46"/>
        <v>#N/A</v>
      </c>
      <c r="X276" t="e">
        <f>VLOOKUP(P276,Close[[ID]:[CreatedBy]],8,0)</f>
        <v>#N/A</v>
      </c>
    </row>
    <row r="277" spans="1:24" x14ac:dyDescent="0.35">
      <c r="A277" t="str">
        <v>912821EX9</v>
      </c>
      <c r="B277" t="str">
        <f>IF(NOT(ISBLANK(A277)),VLOOKUP(A277,'BBT3'!A:F,2,0),"")</f>
        <v>Bond</v>
      </c>
      <c r="C277" t="str">
        <f>IF(NOT(ISBLANK(A277)),VLOOKUP(A277,'BBT3'!A:F,3,0),"")</f>
        <v>US912821EX91</v>
      </c>
      <c r="D277" s="5">
        <f>IF(NOT(ISBLANK(A277)),VLOOKUP(A277,'BBT3'!A:F,4,1),"")</f>
        <v>0</v>
      </c>
      <c r="E277">
        <f>IF(NOT(ISBLANK(A277)),VLOOKUP(A277,'BBT3'!A:F,5,0),"")</f>
        <v>46599</v>
      </c>
      <c r="F277" t="str">
        <f>IF(NOT(ISBLANK(A277)),VLOOKUP(A277,'BBT3'!A:F,6,0),"")</f>
        <v>N</v>
      </c>
      <c r="G277" t="str">
        <f t="shared" si="47"/>
        <v>Y</v>
      </c>
      <c r="H277">
        <f>IF(NOT(ISBLANK(A277)),VLOOKUP(A277,'Close - PriceSaver'!A:J,5,0),"")</f>
        <v>4.1404997725413999E-2</v>
      </c>
      <c r="I277" s="4" t="e" cm="1">
        <f t="array" ref="I277">IF(NOT(ISBLANK(A277)),((_xlfn.XLOOKUP(1,(_bbt3[[#All],[ID]]=A277)*(_bbt3[[#All],[METRIC_NAME]]="YLD_YTM_ASK"),_bbt3[[#All],[METRIC_VALUE]])*0.5)+(_xlfn.XLOOKUP(1,(_bbt3[[#All],[ID]]=A277)*(_bbt3[[#All],[METRIC_NAME]]="YLD_YTM_BID"),_bbt3[[#All],[METRIC_VALUE]])*0.5))/100,"")</f>
        <v>#N/A</v>
      </c>
      <c r="J277">
        <f>IF(ISNA(VLOOKUP(A277,'CloseDL - PriceSaverBBT3'!A:E,5,0)),0,VLOOKUP(A277,'CloseDL - PriceSaverBBT3'!A:E,5,0))</f>
        <v>4.1404997725413999E-2</v>
      </c>
      <c r="K277" s="7">
        <f t="shared" si="48"/>
        <v>0</v>
      </c>
      <c r="L277" s="20">
        <f>IF(Close[[#This Row],[CreatedBy]]="MARINER\SilverAdm",1,0)</f>
        <v>1</v>
      </c>
      <c r="M277" t="str">
        <f>IF(NOT(ISBLANK(A277)),VLOOKUP(A277,'Close - PriceSaver'!A:J,6,0),"")</f>
        <v>DL input prc = 95.88687024  PX_ASK = 95.89216551 PX_BID = 95.88157497</v>
      </c>
      <c r="Q277" t="e">
        <f t="shared" si="40"/>
        <v>#N/A</v>
      </c>
      <c r="R277" t="e">
        <f t="shared" si="41"/>
        <v>#N/A</v>
      </c>
      <c r="S277" t="e">
        <f t="shared" si="42"/>
        <v>#N/A</v>
      </c>
      <c r="T277" s="15" t="e">
        <f t="shared" si="43"/>
        <v>#N/A</v>
      </c>
      <c r="U277" s="18" t="e">
        <f t="shared" si="44"/>
        <v>#N/A</v>
      </c>
      <c r="V277" s="18" t="e">
        <f t="shared" si="45"/>
        <v>#N/A</v>
      </c>
      <c r="W277" s="19" t="e">
        <f t="shared" si="46"/>
        <v>#N/A</v>
      </c>
      <c r="X277" t="e">
        <f>VLOOKUP(P277,Close[[ID]:[CreatedBy]],8,0)</f>
        <v>#N/A</v>
      </c>
    </row>
    <row r="278" spans="1:24" x14ac:dyDescent="0.35">
      <c r="A278" t="str">
        <v>912821EZ4</v>
      </c>
      <c r="B278" t="str">
        <f>IF(NOT(ISBLANK(A278)),VLOOKUP(A278,'BBT3'!A:F,2,0),"")</f>
        <v>Bond</v>
      </c>
      <c r="C278" t="str">
        <f>IF(NOT(ISBLANK(A278)),VLOOKUP(A278,'BBT3'!A:F,3,0),"")</f>
        <v>US912821EZ40</v>
      </c>
      <c r="D278" s="5">
        <f>IF(NOT(ISBLANK(A278)),VLOOKUP(A278,'BBT3'!A:F,4,1),"")</f>
        <v>0</v>
      </c>
      <c r="E278">
        <f>IF(NOT(ISBLANK(A278)),VLOOKUP(A278,'BBT3'!A:F,5,0),"")</f>
        <v>47710</v>
      </c>
      <c r="F278" t="str">
        <f>IF(NOT(ISBLANK(A278)),VLOOKUP(A278,'BBT3'!A:F,6,0),"")</f>
        <v>N</v>
      </c>
      <c r="G278" t="str">
        <f t="shared" si="47"/>
        <v>Y</v>
      </c>
      <c r="H278">
        <f>IF(NOT(ISBLANK(A278)),VLOOKUP(A278,'Close - PriceSaver'!A:J,5,0),"")</f>
        <v>4.3484854689985697E-2</v>
      </c>
      <c r="I278" s="4" t="e" cm="1">
        <f t="array" ref="I278">IF(NOT(ISBLANK(A278)),((_xlfn.XLOOKUP(1,(_bbt3[[#All],[ID]]=A278)*(_bbt3[[#All],[METRIC_NAME]]="YLD_YTM_ASK"),_bbt3[[#All],[METRIC_VALUE]])*0.5)+(_xlfn.XLOOKUP(1,(_bbt3[[#All],[ID]]=A278)*(_bbt3[[#All],[METRIC_NAME]]="YLD_YTM_BID"),_bbt3[[#All],[METRIC_VALUE]])*0.5))/100,"")</f>
        <v>#N/A</v>
      </c>
      <c r="J278">
        <f>IF(ISNA(VLOOKUP(A278,'CloseDL - PriceSaverBBT3'!A:E,5,0)),0,VLOOKUP(A278,'CloseDL - PriceSaverBBT3'!A:E,5,0))</f>
        <v>4.3484854689985697E-2</v>
      </c>
      <c r="K278" s="7">
        <f t="shared" si="48"/>
        <v>0</v>
      </c>
      <c r="L278" s="20">
        <f>IF(Close[[#This Row],[CreatedBy]]="MARINER\SilverAdm",1,0)</f>
        <v>1</v>
      </c>
      <c r="M278" t="str">
        <f>IF(NOT(ISBLANK(A278)),VLOOKUP(A278,'Close - PriceSaver'!A:J,6,0),"")</f>
        <v>DL input prc = 83.95178541  PX_ASK = 84.03698308 PX_BID = 83.86658773</v>
      </c>
      <c r="Q278" t="e">
        <f t="shared" si="40"/>
        <v>#N/A</v>
      </c>
      <c r="R278" t="e">
        <f t="shared" si="41"/>
        <v>#N/A</v>
      </c>
      <c r="S278" t="e">
        <f t="shared" si="42"/>
        <v>#N/A</v>
      </c>
      <c r="T278" s="15" t="e">
        <f t="shared" si="43"/>
        <v>#N/A</v>
      </c>
      <c r="U278" s="18" t="e">
        <f t="shared" si="44"/>
        <v>#N/A</v>
      </c>
      <c r="V278" s="18" t="e">
        <f t="shared" si="45"/>
        <v>#N/A</v>
      </c>
      <c r="W278" s="19" t="e">
        <f t="shared" si="46"/>
        <v>#N/A</v>
      </c>
      <c r="X278" t="e">
        <f>VLOOKUP(P278,Close[[ID]:[CreatedBy]],8,0)</f>
        <v>#N/A</v>
      </c>
    </row>
    <row r="279" spans="1:24" x14ac:dyDescent="0.35">
      <c r="A279" t="str">
        <v>912821FC4</v>
      </c>
      <c r="B279" t="str">
        <f>IF(NOT(ISBLANK(A279)),VLOOKUP(A279,'BBT3'!A:F,2,0),"")</f>
        <v>Bond</v>
      </c>
      <c r="C279" t="str">
        <f>IF(NOT(ISBLANK(A279)),VLOOKUP(A279,'BBT3'!A:F,3,0),"")</f>
        <v>US912821FC46</v>
      </c>
      <c r="D279" s="5">
        <f>IF(NOT(ISBLANK(A279)),VLOOKUP(A279,'BBT3'!A:F,4,1),"")</f>
        <v>0</v>
      </c>
      <c r="E279">
        <f>IF(NOT(ISBLANK(A279)),VLOOKUP(A279,'BBT3'!A:F,5,0),"")</f>
        <v>46630</v>
      </c>
      <c r="F279" t="str">
        <f>IF(NOT(ISBLANK(A279)),VLOOKUP(A279,'BBT3'!A:F,6,0),"")</f>
        <v>N</v>
      </c>
      <c r="G279" t="str">
        <f t="shared" si="47"/>
        <v>Y</v>
      </c>
      <c r="H279">
        <f>IF(NOT(ISBLANK(A279)),VLOOKUP(A279,'Close - PriceSaver'!A:J,5,0),"")</f>
        <v>4.1484996656061E-2</v>
      </c>
      <c r="I279" s="4" t="e" cm="1">
        <f t="array" ref="I279">IF(NOT(ISBLANK(A279)),((_xlfn.XLOOKUP(1,(_bbt3[[#All],[ID]]=A279)*(_bbt3[[#All],[METRIC_NAME]]="YLD_YTM_ASK"),_bbt3[[#All],[METRIC_VALUE]])*0.5)+(_xlfn.XLOOKUP(1,(_bbt3[[#All],[ID]]=A279)*(_bbt3[[#All],[METRIC_NAME]]="YLD_YTM_BID"),_bbt3[[#All],[METRIC_VALUE]])*0.5))/100,"")</f>
        <v>#N/A</v>
      </c>
      <c r="J279">
        <f>IF(ISNA(VLOOKUP(A279,'CloseDL - PriceSaverBBT3'!A:E,5,0)),0,VLOOKUP(A279,'CloseDL - PriceSaverBBT3'!A:E,5,0))</f>
        <v>4.1484996656061E-2</v>
      </c>
      <c r="K279" s="7">
        <f t="shared" si="48"/>
        <v>0</v>
      </c>
      <c r="L279" s="20">
        <f>IF(Close[[#This Row],[CreatedBy]]="MARINER\SilverAdm",1,0)</f>
        <v>1</v>
      </c>
      <c r="M279" t="str">
        <f>IF(NOT(ISBLANK(A279)),VLOOKUP(A279,'Close - PriceSaver'!A:J,6,0),"")</f>
        <v>DL input prc = 95.54969445  PX_ASK = 95.55644033 PX_BID = 95.54294856</v>
      </c>
      <c r="Q279" t="e">
        <f t="shared" si="40"/>
        <v>#N/A</v>
      </c>
      <c r="R279" t="e">
        <f t="shared" si="41"/>
        <v>#N/A</v>
      </c>
      <c r="S279" t="e">
        <f t="shared" si="42"/>
        <v>#N/A</v>
      </c>
      <c r="T279" s="15" t="e">
        <f t="shared" si="43"/>
        <v>#N/A</v>
      </c>
      <c r="U279" s="18" t="e">
        <f t="shared" si="44"/>
        <v>#N/A</v>
      </c>
      <c r="V279" s="18" t="e">
        <f t="shared" si="45"/>
        <v>#N/A</v>
      </c>
      <c r="W279" s="19" t="e">
        <f t="shared" si="46"/>
        <v>#N/A</v>
      </c>
      <c r="X279" t="e">
        <f>VLOOKUP(P279,Close[[ID]:[CreatedBy]],8,0)</f>
        <v>#N/A</v>
      </c>
    </row>
    <row r="280" spans="1:24" x14ac:dyDescent="0.35">
      <c r="A280" t="str">
        <v>912821FG5</v>
      </c>
      <c r="B280" t="str">
        <f>IF(NOT(ISBLANK(A280)),VLOOKUP(A280,'BBT3'!A:F,2,0),"")</f>
        <v>Bond</v>
      </c>
      <c r="C280" t="str">
        <f>IF(NOT(ISBLANK(A280)),VLOOKUP(A280,'BBT3'!A:F,3,0),"")</f>
        <v>US912821FG59</v>
      </c>
      <c r="D280" s="5">
        <f>IF(NOT(ISBLANK(A280)),VLOOKUP(A280,'BBT3'!A:F,4,1),"")</f>
        <v>0</v>
      </c>
      <c r="E280">
        <f>IF(NOT(ISBLANK(A280)),VLOOKUP(A280,'BBT3'!A:F,5,0),"")</f>
        <v>46660</v>
      </c>
      <c r="F280" t="str">
        <f>IF(NOT(ISBLANK(A280)),VLOOKUP(A280,'BBT3'!A:F,6,0),"")</f>
        <v>N</v>
      </c>
      <c r="G280" t="str">
        <f t="shared" si="47"/>
        <v>Y</v>
      </c>
      <c r="H280">
        <f>IF(NOT(ISBLANK(A280)),VLOOKUP(A280,'Close - PriceSaver'!A:J,5,0),"")</f>
        <v>4.1564996465700499E-2</v>
      </c>
      <c r="I280" s="4" t="e" cm="1">
        <f t="array" ref="I280">IF(NOT(ISBLANK(A280)),((_xlfn.XLOOKUP(1,(_bbt3[[#All],[ID]]=A280)*(_bbt3[[#All],[METRIC_NAME]]="YLD_YTM_ASK"),_bbt3[[#All],[METRIC_VALUE]])*0.5)+(_xlfn.XLOOKUP(1,(_bbt3[[#All],[ID]]=A280)*(_bbt3[[#All],[METRIC_NAME]]="YLD_YTM_BID"),_bbt3[[#All],[METRIC_VALUE]])*0.5))/100,"")</f>
        <v>#N/A</v>
      </c>
      <c r="J280">
        <f>IF(ISNA(VLOOKUP(A280,'CloseDL - PriceSaverBBT3'!A:E,5,0)),0,VLOOKUP(A280,'CloseDL - PriceSaverBBT3'!A:E,5,0))</f>
        <v>4.1564996465700499E-2</v>
      </c>
      <c r="K280" s="7">
        <f t="shared" si="48"/>
        <v>0</v>
      </c>
      <c r="L280" s="20">
        <f>IF(Close[[#This Row],[CreatedBy]]="MARINER\SilverAdm",1,0)</f>
        <v>1</v>
      </c>
      <c r="M280" t="str">
        <f>IF(NOT(ISBLANK(A280)),VLOOKUP(A280,'Close - PriceSaver'!A:J,6,0),"")</f>
        <v>DL input prc = 95.21743817  PX_ASK = 95.22466091 PX_BID = 95.21021543</v>
      </c>
      <c r="Q280" t="e">
        <f t="shared" si="40"/>
        <v>#N/A</v>
      </c>
      <c r="R280" t="e">
        <f t="shared" si="41"/>
        <v>#N/A</v>
      </c>
      <c r="S280" t="e">
        <f t="shared" si="42"/>
        <v>#N/A</v>
      </c>
      <c r="T280" s="15" t="e">
        <f t="shared" si="43"/>
        <v>#N/A</v>
      </c>
      <c r="U280" s="18" t="e">
        <f t="shared" si="44"/>
        <v>#N/A</v>
      </c>
      <c r="V280" s="18" t="e">
        <f t="shared" si="45"/>
        <v>#N/A</v>
      </c>
      <c r="W280" s="19" t="e">
        <f t="shared" si="46"/>
        <v>#N/A</v>
      </c>
      <c r="X280" t="e">
        <f>VLOOKUP(P280,Close[[ID]:[CreatedBy]],8,0)</f>
        <v>#N/A</v>
      </c>
    </row>
    <row r="281" spans="1:24" x14ac:dyDescent="0.35">
      <c r="A281" t="str">
        <v>912821FM2</v>
      </c>
      <c r="B281" t="str">
        <f>IF(NOT(ISBLANK(A281)),VLOOKUP(A281,'BBT3'!A:F,2,0),"")</f>
        <v>Bond</v>
      </c>
      <c r="C281" t="str">
        <f>IF(NOT(ISBLANK(A281)),VLOOKUP(A281,'BBT3'!A:F,3,0),"")</f>
        <v>US912821FM28</v>
      </c>
      <c r="D281" s="5">
        <f>IF(NOT(ISBLANK(A281)),VLOOKUP(A281,'BBT3'!A:F,4,1),"")</f>
        <v>0</v>
      </c>
      <c r="E281">
        <f>IF(NOT(ISBLANK(A281)),VLOOKUP(A281,'BBT3'!A:F,5,0),"")</f>
        <v>46691</v>
      </c>
      <c r="F281" t="str">
        <f>IF(NOT(ISBLANK(A281)),VLOOKUP(A281,'BBT3'!A:F,6,0),"")</f>
        <v>N</v>
      </c>
      <c r="G281" t="str">
        <f t="shared" si="47"/>
        <v>Y</v>
      </c>
      <c r="H281">
        <f>IF(NOT(ISBLANK(A281)),VLOOKUP(A281,'Close - PriceSaver'!A:J,5,0),"")</f>
        <v>4.16705042988397E-2</v>
      </c>
      <c r="I281" s="4" t="e" cm="1">
        <f t="array" ref="I281">IF(NOT(ISBLANK(A281)),((_xlfn.XLOOKUP(1,(_bbt3[[#All],[ID]]=A281)*(_bbt3[[#All],[METRIC_NAME]]="YLD_YTM_ASK"),_bbt3[[#All],[METRIC_VALUE]])*0.5)+(_xlfn.XLOOKUP(1,(_bbt3[[#All],[ID]]=A281)*(_bbt3[[#All],[METRIC_NAME]]="YLD_YTM_BID"),_bbt3[[#All],[METRIC_VALUE]])*0.5))/100,"")</f>
        <v>#N/A</v>
      </c>
      <c r="J281">
        <f>IF(ISNA(VLOOKUP(A281,'CloseDL - PriceSaverBBT3'!A:E,5,0)),0,VLOOKUP(A281,'CloseDL - PriceSaverBBT3'!A:E,5,0))</f>
        <v>4.16705042988397E-2</v>
      </c>
      <c r="K281" s="7">
        <f t="shared" si="48"/>
        <v>0</v>
      </c>
      <c r="L281" s="20">
        <f>IF(Close[[#This Row],[CreatedBy]]="MARINER\SilverAdm",1,0)</f>
        <v>1</v>
      </c>
      <c r="M281" t="str">
        <f>IF(NOT(ISBLANK(A281)),VLOOKUP(A281,'Close - PriceSaver'!A:J,6,0),"")</f>
        <v>DL input prc = 94.88261256  PX_ASK = 94.89031228 PX_BID = 94.87491284</v>
      </c>
      <c r="Q281" t="e">
        <f t="shared" si="40"/>
        <v>#N/A</v>
      </c>
      <c r="R281" t="e">
        <f t="shared" si="41"/>
        <v>#N/A</v>
      </c>
      <c r="S281" t="e">
        <f t="shared" si="42"/>
        <v>#N/A</v>
      </c>
      <c r="T281" s="15" t="e">
        <f t="shared" si="43"/>
        <v>#N/A</v>
      </c>
      <c r="U281" s="18" t="e">
        <f t="shared" si="44"/>
        <v>#N/A</v>
      </c>
      <c r="V281" s="18" t="e">
        <f t="shared" si="45"/>
        <v>#N/A</v>
      </c>
      <c r="W281" s="19" t="e">
        <f t="shared" si="46"/>
        <v>#N/A</v>
      </c>
      <c r="X281" t="e">
        <f>VLOOKUP(P281,Close[[ID]:[CreatedBy]],8,0)</f>
        <v>#N/A</v>
      </c>
    </row>
    <row r="282" spans="1:24" x14ac:dyDescent="0.35">
      <c r="A282" t="str">
        <v>912821FP5</v>
      </c>
      <c r="B282" t="str">
        <f>IF(NOT(ISBLANK(A282)),VLOOKUP(A282,'BBT3'!A:F,2,0),"")</f>
        <v>Bond</v>
      </c>
      <c r="C282" t="str">
        <f>IF(NOT(ISBLANK(A282)),VLOOKUP(A282,'BBT3'!A:F,3,0),"")</f>
        <v>US912821FP58</v>
      </c>
      <c r="D282" s="5">
        <f>IF(NOT(ISBLANK(A282)),VLOOKUP(A282,'BBT3'!A:F,4,1),"")</f>
        <v>0</v>
      </c>
      <c r="E282">
        <f>IF(NOT(ISBLANK(A282)),VLOOKUP(A282,'BBT3'!A:F,5,0),"")</f>
        <v>47802</v>
      </c>
      <c r="F282" t="str">
        <f>IF(NOT(ISBLANK(A282)),VLOOKUP(A282,'BBT3'!A:F,6,0),"")</f>
        <v>N</v>
      </c>
      <c r="G282" t="str">
        <f t="shared" si="47"/>
        <v>Y</v>
      </c>
      <c r="H282">
        <f>IF(NOT(ISBLANK(A282)),VLOOKUP(A282,'Close - PriceSaver'!A:J,5,0),"")</f>
        <v>4.35647808048997E-2</v>
      </c>
      <c r="I282" s="4" t="e" cm="1">
        <f t="array" ref="I282">IF(NOT(ISBLANK(A282)),((_xlfn.XLOOKUP(1,(_bbt3[[#All],[ID]]=A282)*(_bbt3[[#All],[METRIC_NAME]]="YLD_YTM_ASK"),_bbt3[[#All],[METRIC_VALUE]])*0.5)+(_xlfn.XLOOKUP(1,(_bbt3[[#All],[ID]]=A282)*(_bbt3[[#All],[METRIC_NAME]]="YLD_YTM_BID"),_bbt3[[#All],[METRIC_VALUE]])*0.5))/100,"")</f>
        <v>#N/A</v>
      </c>
      <c r="J282">
        <f>IF(ISNA(VLOOKUP(A282,'CloseDL - PriceSaverBBT3'!A:E,5,0)),0,VLOOKUP(A282,'CloseDL - PriceSaverBBT3'!A:E,5,0))</f>
        <v>4.35647808048997E-2</v>
      </c>
      <c r="K282" s="7">
        <f t="shared" si="48"/>
        <v>0</v>
      </c>
      <c r="L282" s="20">
        <f>IF(Close[[#This Row],[CreatedBy]]="MARINER\SilverAdm",1,0)</f>
        <v>1</v>
      </c>
      <c r="M282" t="str">
        <f>IF(NOT(ISBLANK(A282)),VLOOKUP(A282,'Close - PriceSaver'!A:J,6,0),"")</f>
        <v>DL input prc = 83.02957615  PX_ASK = 83.13652513 PX_BID = 82.92262717</v>
      </c>
      <c r="Q282" t="e">
        <f t="shared" si="40"/>
        <v>#N/A</v>
      </c>
      <c r="R282" t="e">
        <f t="shared" si="41"/>
        <v>#N/A</v>
      </c>
      <c r="S282" t="e">
        <f t="shared" si="42"/>
        <v>#N/A</v>
      </c>
      <c r="T282" s="15" t="e">
        <f t="shared" si="43"/>
        <v>#N/A</v>
      </c>
      <c r="U282" s="18" t="e">
        <f t="shared" si="44"/>
        <v>#N/A</v>
      </c>
      <c r="V282" s="18" t="e">
        <f t="shared" si="45"/>
        <v>#N/A</v>
      </c>
      <c r="W282" s="19" t="e">
        <f t="shared" si="46"/>
        <v>#N/A</v>
      </c>
      <c r="X282" t="e">
        <f>VLOOKUP(P282,Close[[ID]:[CreatedBy]],8,0)</f>
        <v>#N/A</v>
      </c>
    </row>
    <row r="283" spans="1:24" x14ac:dyDescent="0.35">
      <c r="A283" t="str">
        <v>912821FS9</v>
      </c>
      <c r="B283" t="str">
        <f>IF(NOT(ISBLANK(A283)),VLOOKUP(A283,'BBT3'!A:F,2,0),"")</f>
        <v>Bond</v>
      </c>
      <c r="C283" t="str">
        <f>IF(NOT(ISBLANK(A283)),VLOOKUP(A283,'BBT3'!A:F,3,0),"")</f>
        <v>US912821FS97</v>
      </c>
      <c r="D283" s="5">
        <f>IF(NOT(ISBLANK(A283)),VLOOKUP(A283,'BBT3'!A:F,4,1),"")</f>
        <v>0</v>
      </c>
      <c r="E283">
        <f>IF(NOT(ISBLANK(A283)),VLOOKUP(A283,'BBT3'!A:F,5,0),"")</f>
        <v>46721</v>
      </c>
      <c r="F283" t="str">
        <f>IF(NOT(ISBLANK(A283)),VLOOKUP(A283,'BBT3'!A:F,6,0),"")</f>
        <v>N</v>
      </c>
      <c r="G283" t="str">
        <f t="shared" si="47"/>
        <v>Y</v>
      </c>
      <c r="H283">
        <f>IF(NOT(ISBLANK(A283)),VLOOKUP(A283,'Close - PriceSaver'!A:J,5,0),"")</f>
        <v>4.1724996146189797E-2</v>
      </c>
      <c r="I283" s="4" t="e" cm="1">
        <f t="array" ref="I283">IF(NOT(ISBLANK(A283)),((_xlfn.XLOOKUP(1,(_bbt3[[#All],[ID]]=A283)*(_bbt3[[#All],[METRIC_NAME]]="YLD_YTM_ASK"),_bbt3[[#All],[METRIC_VALUE]])*0.5)+(_xlfn.XLOOKUP(1,(_bbt3[[#All],[ID]]=A283)*(_bbt3[[#All],[METRIC_NAME]]="YLD_YTM_BID"),_bbt3[[#All],[METRIC_VALUE]])*0.5))/100,"")</f>
        <v>#N/A</v>
      </c>
      <c r="J283">
        <f>IF(ISNA(VLOOKUP(A283,'CloseDL - PriceSaverBBT3'!A:E,5,0)),0,VLOOKUP(A283,'CloseDL - PriceSaverBBT3'!A:E,5,0))</f>
        <v>4.1724996146189797E-2</v>
      </c>
      <c r="K283" s="7">
        <f t="shared" si="48"/>
        <v>0</v>
      </c>
      <c r="L283" s="20">
        <f>IF(Close[[#This Row],[CreatedBy]]="MARINER\SilverAdm",1,0)</f>
        <v>1</v>
      </c>
      <c r="M283" t="str">
        <f>IF(NOT(ISBLANK(A283)),VLOOKUP(A283,'Close - PriceSaver'!A:J,6,0),"")</f>
        <v>DL input prc = 94.54668819  PX_ASK = 94.55486281 PX_BID = 94.53851357</v>
      </c>
      <c r="Q283" t="e">
        <f t="shared" si="40"/>
        <v>#N/A</v>
      </c>
      <c r="R283" t="e">
        <f t="shared" si="41"/>
        <v>#N/A</v>
      </c>
      <c r="S283" t="e">
        <f t="shared" si="42"/>
        <v>#N/A</v>
      </c>
      <c r="T283" s="15" t="e">
        <f t="shared" si="43"/>
        <v>#N/A</v>
      </c>
      <c r="U283" s="18" t="e">
        <f t="shared" si="44"/>
        <v>#N/A</v>
      </c>
      <c r="V283" s="18" t="e">
        <f t="shared" si="45"/>
        <v>#N/A</v>
      </c>
      <c r="W283" s="19" t="e">
        <f t="shared" si="46"/>
        <v>#N/A</v>
      </c>
      <c r="X283" t="e">
        <f>VLOOKUP(P283,Close[[ID]:[CreatedBy]],8,0)</f>
        <v>#N/A</v>
      </c>
    </row>
    <row r="284" spans="1:24" x14ac:dyDescent="0.35">
      <c r="A284" t="str">
        <v>912821FW0</v>
      </c>
      <c r="B284" t="str">
        <f>IF(NOT(ISBLANK(A284)),VLOOKUP(A284,'BBT3'!A:F,2,0),"")</f>
        <v>Bond</v>
      </c>
      <c r="C284" t="str">
        <f>IF(NOT(ISBLANK(A284)),VLOOKUP(A284,'BBT3'!A:F,3,0),"")</f>
        <v>US912821FW00</v>
      </c>
      <c r="D284" s="5">
        <f>IF(NOT(ISBLANK(A284)),VLOOKUP(A284,'BBT3'!A:F,4,1),"")</f>
        <v>0</v>
      </c>
      <c r="E284">
        <f>IF(NOT(ISBLANK(A284)),VLOOKUP(A284,'BBT3'!A:F,5,0),"")</f>
        <v>46752</v>
      </c>
      <c r="F284" t="str">
        <f>IF(NOT(ISBLANK(A284)),VLOOKUP(A284,'BBT3'!A:F,6,0),"")</f>
        <v>N</v>
      </c>
      <c r="G284" t="str">
        <f t="shared" si="47"/>
        <v>Y</v>
      </c>
      <c r="H284">
        <f>IF(NOT(ISBLANK(A284)),VLOOKUP(A284,'Close - PriceSaver'!A:J,5,0),"")</f>
        <v>4.1779992305238003E-2</v>
      </c>
      <c r="I284" s="4" t="e" cm="1">
        <f t="array" ref="I284">IF(NOT(ISBLANK(A284)),((_xlfn.XLOOKUP(1,(_bbt3[[#All],[ID]]=A284)*(_bbt3[[#All],[METRIC_NAME]]="YLD_YTM_ASK"),_bbt3[[#All],[METRIC_VALUE]])*0.5)+(_xlfn.XLOOKUP(1,(_bbt3[[#All],[ID]]=A284)*(_bbt3[[#All],[METRIC_NAME]]="YLD_YTM_BID"),_bbt3[[#All],[METRIC_VALUE]])*0.5))/100,"")</f>
        <v>#N/A</v>
      </c>
      <c r="J284">
        <f>IF(ISNA(VLOOKUP(A284,'CloseDL - PriceSaverBBT3'!A:E,5,0)),0,VLOOKUP(A284,'CloseDL - PriceSaverBBT3'!A:E,5,0))</f>
        <v>4.1779992305238003E-2</v>
      </c>
      <c r="K284" s="7">
        <f t="shared" si="48"/>
        <v>0</v>
      </c>
      <c r="L284" s="20">
        <f>IF(Close[[#This Row],[CreatedBy]]="MARINER\SilverAdm",1,0)</f>
        <v>1</v>
      </c>
      <c r="M284" t="str">
        <f>IF(NOT(ISBLANK(A284)),VLOOKUP(A284,'Close - PriceSaver'!A:J,6,0),"")</f>
        <v>DL input prc = 94.21861709  PX_ASK = 94.23057977 PX_BID = 94.20665441</v>
      </c>
      <c r="Q284" t="e">
        <f t="shared" si="40"/>
        <v>#N/A</v>
      </c>
      <c r="R284" t="e">
        <f t="shared" si="41"/>
        <v>#N/A</v>
      </c>
      <c r="S284" t="e">
        <f t="shared" si="42"/>
        <v>#N/A</v>
      </c>
      <c r="T284" s="15" t="e">
        <f t="shared" si="43"/>
        <v>#N/A</v>
      </c>
      <c r="U284" s="18" t="e">
        <f t="shared" si="44"/>
        <v>#N/A</v>
      </c>
      <c r="V284" s="18" t="e">
        <f t="shared" si="45"/>
        <v>#N/A</v>
      </c>
      <c r="W284" s="19" t="e">
        <f t="shared" si="46"/>
        <v>#N/A</v>
      </c>
      <c r="X284" t="e">
        <f>VLOOKUP(P284,Close[[ID]:[CreatedBy]],8,0)</f>
        <v>#N/A</v>
      </c>
    </row>
    <row r="285" spans="1:24" x14ac:dyDescent="0.35">
      <c r="A285" t="str">
        <v>912821GB5</v>
      </c>
      <c r="B285" t="str">
        <f>IF(NOT(ISBLANK(A285)),VLOOKUP(A285,'BBT3'!A:F,2,0),"")</f>
        <v>Bond</v>
      </c>
      <c r="C285" t="str">
        <f>IF(NOT(ISBLANK(A285)),VLOOKUP(A285,'BBT3'!A:F,3,0),"")</f>
        <v>US912821GB53</v>
      </c>
      <c r="D285" s="5">
        <f>IF(NOT(ISBLANK(A285)),VLOOKUP(A285,'BBT3'!A:F,4,1),"")</f>
        <v>0</v>
      </c>
      <c r="E285">
        <f>IF(NOT(ISBLANK(A285)),VLOOKUP(A285,'BBT3'!A:F,5,0),"")</f>
        <v>46783</v>
      </c>
      <c r="F285" t="str">
        <f>IF(NOT(ISBLANK(A285)),VLOOKUP(A285,'BBT3'!A:F,6,0),"")</f>
        <v>N</v>
      </c>
      <c r="G285" t="str">
        <f t="shared" si="47"/>
        <v>Y</v>
      </c>
      <c r="H285">
        <f>IF(NOT(ISBLANK(A285)),VLOOKUP(A285,'Close - PriceSaver'!A:J,5,0),"")</f>
        <v>4.1876238793733499E-2</v>
      </c>
      <c r="I285" s="4" t="e" cm="1">
        <f t="array" ref="I285">IF(NOT(ISBLANK(A285)),((_xlfn.XLOOKUP(1,(_bbt3[[#All],[ID]]=A285)*(_bbt3[[#All],[METRIC_NAME]]="YLD_YTM_ASK"),_bbt3[[#All],[METRIC_VALUE]])*0.5)+(_xlfn.XLOOKUP(1,(_bbt3[[#All],[ID]]=A285)*(_bbt3[[#All],[METRIC_NAME]]="YLD_YTM_BID"),_bbt3[[#All],[METRIC_VALUE]])*0.5))/100,"")</f>
        <v>#N/A</v>
      </c>
      <c r="J285">
        <f>IF(ISNA(VLOOKUP(A285,'CloseDL - PriceSaverBBT3'!A:E,5,0)),0,VLOOKUP(A285,'CloseDL - PriceSaverBBT3'!A:E,5,0))</f>
        <v>4.1876238793733499E-2</v>
      </c>
      <c r="K285" s="7">
        <f t="shared" si="48"/>
        <v>0</v>
      </c>
      <c r="L285" s="20">
        <f>IF(Close[[#This Row],[CreatedBy]]="MARINER\SilverAdm",1,0)</f>
        <v>1</v>
      </c>
      <c r="M285" t="str">
        <f>IF(NOT(ISBLANK(A285)),VLOOKUP(A285,'Close - PriceSaver'!A:J,6,0),"")</f>
        <v>DL input prc = 93.87750788  PX_ASK = 93.89082832 PX_BID = 93.86418744</v>
      </c>
      <c r="Q285" t="e">
        <f t="shared" si="40"/>
        <v>#N/A</v>
      </c>
      <c r="R285" t="e">
        <f t="shared" si="41"/>
        <v>#N/A</v>
      </c>
      <c r="S285" t="e">
        <f t="shared" si="42"/>
        <v>#N/A</v>
      </c>
      <c r="T285" s="15" t="e">
        <f t="shared" si="43"/>
        <v>#N/A</v>
      </c>
      <c r="U285" s="18" t="e">
        <f t="shared" si="44"/>
        <v>#N/A</v>
      </c>
      <c r="V285" s="18" t="e">
        <f t="shared" si="45"/>
        <v>#N/A</v>
      </c>
      <c r="W285" s="19" t="e">
        <f t="shared" si="46"/>
        <v>#N/A</v>
      </c>
      <c r="X285" t="e">
        <f>VLOOKUP(P285,Close[[ID]:[CreatedBy]],8,0)</f>
        <v>#N/A</v>
      </c>
    </row>
    <row r="286" spans="1:24" x14ac:dyDescent="0.35">
      <c r="A286" t="str">
        <v>912821GG4</v>
      </c>
      <c r="B286" t="str">
        <f>IF(NOT(ISBLANK(A286)),VLOOKUP(A286,'BBT3'!A:F,2,0),"")</f>
        <v>Bond</v>
      </c>
      <c r="C286" t="str">
        <f>IF(NOT(ISBLANK(A286)),VLOOKUP(A286,'BBT3'!A:F,3,0),"")</f>
        <v>US912821GG41</v>
      </c>
      <c r="D286" s="5">
        <f>IF(NOT(ISBLANK(A286)),VLOOKUP(A286,'BBT3'!A:F,4,1),"")</f>
        <v>0</v>
      </c>
      <c r="E286">
        <f>IF(NOT(ISBLANK(A286)),VLOOKUP(A286,'BBT3'!A:F,5,0),"")</f>
        <v>46812</v>
      </c>
      <c r="F286" t="str">
        <f>IF(NOT(ISBLANK(A286)),VLOOKUP(A286,'BBT3'!A:F,6,0),"")</f>
        <v>N</v>
      </c>
      <c r="G286" t="str">
        <f t="shared" si="47"/>
        <v>Y</v>
      </c>
      <c r="H286">
        <f>IF(NOT(ISBLANK(A286)),VLOOKUP(A286,'Close - PriceSaver'!A:J,5,0),"")</f>
        <v>4.19312088613846E-2</v>
      </c>
      <c r="I286" s="4" t="e" cm="1">
        <f t="array" ref="I286">IF(NOT(ISBLANK(A286)),((_xlfn.XLOOKUP(1,(_bbt3[[#All],[ID]]=A286)*(_bbt3[[#All],[METRIC_NAME]]="YLD_YTM_ASK"),_bbt3[[#All],[METRIC_VALUE]])*0.5)+(_xlfn.XLOOKUP(1,(_bbt3[[#All],[ID]]=A286)*(_bbt3[[#All],[METRIC_NAME]]="YLD_YTM_BID"),_bbt3[[#All],[METRIC_VALUE]])*0.5))/100,"")</f>
        <v>#N/A</v>
      </c>
      <c r="J286">
        <f>IF(ISNA(VLOOKUP(A286,'CloseDL - PriceSaverBBT3'!A:E,5,0)),0,VLOOKUP(A286,'CloseDL - PriceSaverBBT3'!A:E,5,0))</f>
        <v>4.19312088613846E-2</v>
      </c>
      <c r="K286" s="7">
        <f t="shared" si="48"/>
        <v>0</v>
      </c>
      <c r="L286" s="20">
        <f>IF(Close[[#This Row],[CreatedBy]]="MARINER\SilverAdm",1,0)</f>
        <v>1</v>
      </c>
      <c r="M286" t="str">
        <f>IF(NOT(ISBLANK(A286)),VLOOKUP(A286,'Close - PriceSaver'!A:J,6,0),"")</f>
        <v>DL input prc = 93.54167472  PX_ASK = 93.55567674 PX_BID = 93.52767270</v>
      </c>
      <c r="Q286" t="e">
        <f t="shared" si="40"/>
        <v>#N/A</v>
      </c>
      <c r="R286" t="e">
        <f t="shared" si="41"/>
        <v>#N/A</v>
      </c>
      <c r="S286" t="e">
        <f t="shared" si="42"/>
        <v>#N/A</v>
      </c>
      <c r="T286" s="15" t="e">
        <f t="shared" si="43"/>
        <v>#N/A</v>
      </c>
      <c r="U286" s="18" t="e">
        <f t="shared" si="44"/>
        <v>#N/A</v>
      </c>
      <c r="V286" s="18" t="e">
        <f t="shared" si="45"/>
        <v>#N/A</v>
      </c>
      <c r="W286" s="19" t="e">
        <f t="shared" si="46"/>
        <v>#N/A</v>
      </c>
      <c r="X286" t="e">
        <f>VLOOKUP(P286,Close[[ID]:[CreatedBy]],8,0)</f>
        <v>#N/A</v>
      </c>
    </row>
    <row r="287" spans="1:24" x14ac:dyDescent="0.35">
      <c r="A287" t="str">
        <v>912821GM1</v>
      </c>
      <c r="B287" t="str">
        <f>IF(NOT(ISBLANK(A287)),VLOOKUP(A287,'BBT3'!A:F,2,0),"")</f>
        <v>Bond</v>
      </c>
      <c r="C287" t="str">
        <f>IF(NOT(ISBLANK(A287)),VLOOKUP(A287,'BBT3'!A:F,3,0),"")</f>
        <v>US912821GM19</v>
      </c>
      <c r="D287" s="5">
        <f>IF(NOT(ISBLANK(A287)),VLOOKUP(A287,'BBT3'!A:F,4,1),"")</f>
        <v>0</v>
      </c>
      <c r="E287">
        <f>IF(NOT(ISBLANK(A287)),VLOOKUP(A287,'BBT3'!A:F,5,0),"")</f>
        <v>47026</v>
      </c>
      <c r="F287" t="str">
        <f>IF(NOT(ISBLANK(A287)),VLOOKUP(A287,'BBT3'!A:F,6,0),"")</f>
        <v>N</v>
      </c>
      <c r="G287" t="str">
        <f t="shared" si="47"/>
        <v>Y</v>
      </c>
      <c r="H287">
        <f>IF(NOT(ISBLANK(A287)),VLOOKUP(A287,'Close - PriceSaver'!A:J,5,0),"")</f>
        <v>4.2344990481518498E-2</v>
      </c>
      <c r="I287" s="4" t="e" cm="1">
        <f t="array" ref="I287">IF(NOT(ISBLANK(A287)),((_xlfn.XLOOKUP(1,(_bbt3[[#All],[ID]]=A287)*(_bbt3[[#All],[METRIC_NAME]]="YLD_YTM_ASK"),_bbt3[[#All],[METRIC_VALUE]])*0.5)+(_xlfn.XLOOKUP(1,(_bbt3[[#All],[ID]]=A287)*(_bbt3[[#All],[METRIC_NAME]]="YLD_YTM_BID"),_bbt3[[#All],[METRIC_VALUE]])*0.5))/100,"")</f>
        <v>#N/A</v>
      </c>
      <c r="J287">
        <f>IF(ISNA(VLOOKUP(A287,'CloseDL - PriceSaverBBT3'!A:E,5,0)),0,VLOOKUP(A287,'CloseDL - PriceSaverBBT3'!A:E,5,0))</f>
        <v>4.2344990481518498E-2</v>
      </c>
      <c r="K287" s="7">
        <f t="shared" si="48"/>
        <v>0</v>
      </c>
      <c r="L287" s="20">
        <f>IF(Close[[#This Row],[CreatedBy]]="MARINER\SilverAdm",1,0)</f>
        <v>1</v>
      </c>
      <c r="M287" t="str">
        <f>IF(NOT(ISBLANK(A287)),VLOOKUP(A287,'Close - PriceSaver'!A:J,6,0),"")</f>
        <v>DL input prc = 91.22692398  PX_ASK = 91.24356332 PX_BID = 91.21028464</v>
      </c>
      <c r="Q287" t="e">
        <f t="shared" si="40"/>
        <v>#N/A</v>
      </c>
      <c r="R287" t="e">
        <f t="shared" si="41"/>
        <v>#N/A</v>
      </c>
      <c r="S287" t="e">
        <f t="shared" si="42"/>
        <v>#N/A</v>
      </c>
      <c r="T287" s="15" t="e">
        <f t="shared" si="43"/>
        <v>#N/A</v>
      </c>
      <c r="U287" s="18" t="e">
        <f t="shared" si="44"/>
        <v>#N/A</v>
      </c>
      <c r="V287" s="18" t="e">
        <f t="shared" si="45"/>
        <v>#N/A</v>
      </c>
      <c r="W287" s="19" t="e">
        <f t="shared" si="46"/>
        <v>#N/A</v>
      </c>
      <c r="X287" t="e">
        <f>VLOOKUP(P287,Close[[ID]:[CreatedBy]],8,0)</f>
        <v>#N/A</v>
      </c>
    </row>
    <row r="288" spans="1:24" x14ac:dyDescent="0.35">
      <c r="A288" t="str">
        <v>912821GS8</v>
      </c>
      <c r="B288" t="str">
        <f>IF(NOT(ISBLANK(A288)),VLOOKUP(A288,'BBT3'!A:F,2,0),"")</f>
        <v>Bond</v>
      </c>
      <c r="C288" t="str">
        <f>IF(NOT(ISBLANK(A288)),VLOOKUP(A288,'BBT3'!A:F,3,0),"")</f>
        <v>US912821GS88</v>
      </c>
      <c r="D288" s="5">
        <f>IF(NOT(ISBLANK(A288)),VLOOKUP(A288,'BBT3'!A:F,4,1),"")</f>
        <v>0</v>
      </c>
      <c r="E288">
        <f>IF(NOT(ISBLANK(A288)),VLOOKUP(A288,'BBT3'!A:F,5,0),"")</f>
        <v>47057</v>
      </c>
      <c r="F288" t="str">
        <f>IF(NOT(ISBLANK(A288)),VLOOKUP(A288,'BBT3'!A:F,6,0),"")</f>
        <v>N</v>
      </c>
      <c r="G288" t="str">
        <f t="shared" si="47"/>
        <v>Y</v>
      </c>
      <c r="H288">
        <f>IF(NOT(ISBLANK(A288)),VLOOKUP(A288,'Close - PriceSaver'!A:J,5,0),"")</f>
        <v>4.2364524856854699E-2</v>
      </c>
      <c r="I288" s="4" t="e" cm="1">
        <f t="array" ref="I288">IF(NOT(ISBLANK(A288)),((_xlfn.XLOOKUP(1,(_bbt3[[#All],[ID]]=A288)*(_bbt3[[#All],[METRIC_NAME]]="YLD_YTM_ASK"),_bbt3[[#All],[METRIC_VALUE]])*0.5)+(_xlfn.XLOOKUP(1,(_bbt3[[#All],[ID]]=A288)*(_bbt3[[#All],[METRIC_NAME]]="YLD_YTM_BID"),_bbt3[[#All],[METRIC_VALUE]])*0.5))/100,"")</f>
        <v>#N/A</v>
      </c>
      <c r="J288">
        <f>IF(ISNA(VLOOKUP(A288,'CloseDL - PriceSaverBBT3'!A:E,5,0)),0,VLOOKUP(A288,'CloseDL - PriceSaverBBT3'!A:E,5,0))</f>
        <v>4.2364524856854699E-2</v>
      </c>
      <c r="K288" s="7">
        <f t="shared" si="48"/>
        <v>0</v>
      </c>
      <c r="L288" s="20">
        <f>IF(Close[[#This Row],[CreatedBy]]="MARINER\SilverAdm",1,0)</f>
        <v>1</v>
      </c>
      <c r="M288" t="str">
        <f>IF(NOT(ISBLANK(A288)),VLOOKUP(A288,'Close - PriceSaver'!A:J,6,0),"")</f>
        <v>DL input prc = 90.90841964  PX_ASK = 90.92461802 PX_BID = 90.89222126</v>
      </c>
      <c r="Q288" t="e">
        <f t="shared" si="40"/>
        <v>#N/A</v>
      </c>
      <c r="R288" t="e">
        <f t="shared" si="41"/>
        <v>#N/A</v>
      </c>
      <c r="S288" t="e">
        <f t="shared" si="42"/>
        <v>#N/A</v>
      </c>
      <c r="T288" s="15" t="e">
        <f t="shared" si="43"/>
        <v>#N/A</v>
      </c>
      <c r="U288" s="18" t="e">
        <f t="shared" si="44"/>
        <v>#N/A</v>
      </c>
      <c r="V288" s="18" t="e">
        <f t="shared" si="45"/>
        <v>#N/A</v>
      </c>
      <c r="W288" s="19" t="e">
        <f t="shared" si="46"/>
        <v>#N/A</v>
      </c>
      <c r="X288" t="e">
        <f>VLOOKUP(P288,Close[[ID]:[CreatedBy]],8,0)</f>
        <v>#N/A</v>
      </c>
    </row>
    <row r="289" spans="1:24" x14ac:dyDescent="0.35">
      <c r="A289" t="str">
        <v>912821GU3</v>
      </c>
      <c r="B289" t="str">
        <f>IF(NOT(ISBLANK(A289)),VLOOKUP(A289,'BBT3'!A:F,2,0),"")</f>
        <v>Bond</v>
      </c>
      <c r="C289" t="str">
        <f>IF(NOT(ISBLANK(A289)),VLOOKUP(A289,'BBT3'!A:F,3,0),"")</f>
        <v>US912821GU35</v>
      </c>
      <c r="D289" s="5">
        <f>IF(NOT(ISBLANK(A289)),VLOOKUP(A289,'BBT3'!A:F,4,1),"")</f>
        <v>0</v>
      </c>
      <c r="E289">
        <f>IF(NOT(ISBLANK(A289)),VLOOKUP(A289,'BBT3'!A:F,5,0),"")</f>
        <v>48167</v>
      </c>
      <c r="F289" t="str">
        <f>IF(NOT(ISBLANK(A289)),VLOOKUP(A289,'BBT3'!A:F,6,0),"")</f>
        <v>N</v>
      </c>
      <c r="G289" t="str">
        <f t="shared" si="47"/>
        <v>Y</v>
      </c>
      <c r="H289">
        <f>IF(NOT(ISBLANK(A289)),VLOOKUP(A289,'Close - PriceSaver'!A:J,5,0),"")</f>
        <v>4.40099078118978E-2</v>
      </c>
      <c r="I289" s="4" t="e" cm="1">
        <f t="array" ref="I289">IF(NOT(ISBLANK(A289)),((_xlfn.XLOOKUP(1,(_bbt3[[#All],[ID]]=A289)*(_bbt3[[#All],[METRIC_NAME]]="YLD_YTM_ASK"),_bbt3[[#All],[METRIC_VALUE]])*0.5)+(_xlfn.XLOOKUP(1,(_bbt3[[#All],[ID]]=A289)*(_bbt3[[#All],[METRIC_NAME]]="YLD_YTM_BID"),_bbt3[[#All],[METRIC_VALUE]])*0.5))/100,"")</f>
        <v>#N/A</v>
      </c>
      <c r="J289">
        <f>IF(ISNA(VLOOKUP(A289,'CloseDL - PriceSaverBBT3'!A:E,5,0)),0,VLOOKUP(A289,'CloseDL - PriceSaverBBT3'!A:E,5,0))</f>
        <v>4.40099078118978E-2</v>
      </c>
      <c r="K289" s="7">
        <f t="shared" si="48"/>
        <v>0</v>
      </c>
      <c r="L289" s="20">
        <f>IF(Close[[#This Row],[CreatedBy]]="MARINER\SilverAdm",1,0)</f>
        <v>1</v>
      </c>
      <c r="M289" t="str">
        <f>IF(NOT(ISBLANK(A289)),VLOOKUP(A289,'Close - PriceSaver'!A:J,6,0),"")</f>
        <v>DL input prc = 79.34334214  PX_ASK = 79.41761854 PX_BID = 79.26906573</v>
      </c>
      <c r="Q289" t="e">
        <f t="shared" si="40"/>
        <v>#N/A</v>
      </c>
      <c r="R289" t="e">
        <f t="shared" si="41"/>
        <v>#N/A</v>
      </c>
      <c r="S289" t="e">
        <f t="shared" si="42"/>
        <v>#N/A</v>
      </c>
      <c r="T289" s="15" t="e">
        <f t="shared" si="43"/>
        <v>#N/A</v>
      </c>
      <c r="U289" s="18" t="e">
        <f t="shared" si="44"/>
        <v>#N/A</v>
      </c>
      <c r="V289" s="18" t="e">
        <f t="shared" si="45"/>
        <v>#N/A</v>
      </c>
      <c r="W289" s="19" t="e">
        <f t="shared" si="46"/>
        <v>#N/A</v>
      </c>
      <c r="X289" t="e">
        <f>VLOOKUP(P289,Close[[ID]:[CreatedBy]],8,0)</f>
        <v>#N/A</v>
      </c>
    </row>
    <row r="290" spans="1:24" x14ac:dyDescent="0.35">
      <c r="A290" t="str">
        <v>912821GX7</v>
      </c>
      <c r="B290" t="str">
        <f>IF(NOT(ISBLANK(A290)),VLOOKUP(A290,'BBT3'!A:F,2,0),"")</f>
        <v>Bond</v>
      </c>
      <c r="C290" t="str">
        <f>IF(NOT(ISBLANK(A290)),VLOOKUP(A290,'BBT3'!A:F,3,0),"")</f>
        <v>US912821GX73</v>
      </c>
      <c r="D290" s="5">
        <f>IF(NOT(ISBLANK(A290)),VLOOKUP(A290,'BBT3'!A:F,4,1),"")</f>
        <v>0</v>
      </c>
      <c r="E290">
        <f>IF(NOT(ISBLANK(A290)),VLOOKUP(A290,'BBT3'!A:F,5,0),"")</f>
        <v>47087</v>
      </c>
      <c r="F290" t="str">
        <f>IF(NOT(ISBLANK(A290)),VLOOKUP(A290,'BBT3'!A:F,6,0),"")</f>
        <v>N</v>
      </c>
      <c r="G290" t="str">
        <f t="shared" si="47"/>
        <v>Y</v>
      </c>
      <c r="H290">
        <f>IF(NOT(ISBLANK(A290)),VLOOKUP(A290,'Close - PriceSaver'!A:J,5,0),"")</f>
        <v>4.2359991057422303E-2</v>
      </c>
      <c r="I290" s="4" t="e" cm="1">
        <f t="array" ref="I290">IF(NOT(ISBLANK(A290)),((_xlfn.XLOOKUP(1,(_bbt3[[#All],[ID]]=A290)*(_bbt3[[#All],[METRIC_NAME]]="YLD_YTM_ASK"),_bbt3[[#All],[METRIC_VALUE]])*0.5)+(_xlfn.XLOOKUP(1,(_bbt3[[#All],[ID]]=A290)*(_bbt3[[#All],[METRIC_NAME]]="YLD_YTM_BID"),_bbt3[[#All],[METRIC_VALUE]])*0.5))/100,"")</f>
        <v>#N/A</v>
      </c>
      <c r="J290">
        <f>IF(ISNA(VLOOKUP(A290,'CloseDL - PriceSaverBBT3'!A:E,5,0)),0,VLOOKUP(A290,'CloseDL - PriceSaverBBT3'!A:E,5,0))</f>
        <v>4.2359991057422303E-2</v>
      </c>
      <c r="K290" s="7">
        <f t="shared" si="48"/>
        <v>0</v>
      </c>
      <c r="L290" s="20">
        <f>IF(Close[[#This Row],[CreatedBy]]="MARINER\SilverAdm",1,0)</f>
        <v>1</v>
      </c>
      <c r="M290" t="str">
        <f>IF(NOT(ISBLANK(A290)),VLOOKUP(A290,'Close - PriceSaver'!A:J,6,0),"")</f>
        <v>DL input prc = 90.58889301  PX_ASK = 90.60562672 PX_BID = 90.57215929</v>
      </c>
      <c r="Q290" t="e">
        <f t="shared" si="40"/>
        <v>#N/A</v>
      </c>
      <c r="R290" t="e">
        <f t="shared" si="41"/>
        <v>#N/A</v>
      </c>
      <c r="S290" t="e">
        <f t="shared" si="42"/>
        <v>#N/A</v>
      </c>
      <c r="T290" s="15" t="e">
        <f t="shared" si="43"/>
        <v>#N/A</v>
      </c>
      <c r="U290" s="18" t="e">
        <f t="shared" si="44"/>
        <v>#N/A</v>
      </c>
      <c r="V290" s="18" t="e">
        <f t="shared" si="45"/>
        <v>#N/A</v>
      </c>
      <c r="W290" s="19" t="e">
        <f t="shared" si="46"/>
        <v>#N/A</v>
      </c>
      <c r="X290" t="e">
        <f>VLOOKUP(P290,Close[[ID]:[CreatedBy]],8,0)</f>
        <v>#N/A</v>
      </c>
    </row>
    <row r="291" spans="1:24" x14ac:dyDescent="0.35">
      <c r="A291" t="str">
        <v>912821HB4</v>
      </c>
      <c r="B291" t="str">
        <f>IF(NOT(ISBLANK(A291)),VLOOKUP(A291,'BBT3'!A:F,2,0),"")</f>
        <v>Bond</v>
      </c>
      <c r="C291" t="str">
        <f>IF(NOT(ISBLANK(A291)),VLOOKUP(A291,'BBT3'!A:F,3,0),"")</f>
        <v>US912821HB45</v>
      </c>
      <c r="D291" s="5">
        <f>IF(NOT(ISBLANK(A291)),VLOOKUP(A291,'BBT3'!A:F,4,1),"")</f>
        <v>0</v>
      </c>
      <c r="E291">
        <f>IF(NOT(ISBLANK(A291)),VLOOKUP(A291,'BBT3'!A:F,5,0),"")</f>
        <v>47118</v>
      </c>
      <c r="F291" t="str">
        <f>IF(NOT(ISBLANK(A291)),VLOOKUP(A291,'BBT3'!A:F,6,0),"")</f>
        <v>N</v>
      </c>
      <c r="G291" t="str">
        <f t="shared" si="47"/>
        <v>Y</v>
      </c>
      <c r="H291">
        <f>IF(NOT(ISBLANK(A291)),VLOOKUP(A291,'Close - PriceSaver'!A:J,5,0),"")</f>
        <v>4.2369990805043702E-2</v>
      </c>
      <c r="I291" s="4" t="e" cm="1">
        <f t="array" ref="I291">IF(NOT(ISBLANK(A291)),((_xlfn.XLOOKUP(1,(_bbt3[[#All],[ID]]=A291)*(_bbt3[[#All],[METRIC_NAME]]="YLD_YTM_ASK"),_bbt3[[#All],[METRIC_VALUE]])*0.5)+(_xlfn.XLOOKUP(1,(_bbt3[[#All],[ID]]=A291)*(_bbt3[[#All],[METRIC_NAME]]="YLD_YTM_BID"),_bbt3[[#All],[METRIC_VALUE]])*0.5))/100,"")</f>
        <v>#N/A</v>
      </c>
      <c r="J291">
        <f>IF(ISNA(VLOOKUP(A291,'CloseDL - PriceSaverBBT3'!A:E,5,0)),0,VLOOKUP(A291,'CloseDL - PriceSaverBBT3'!A:E,5,0))</f>
        <v>4.2369990805043702E-2</v>
      </c>
      <c r="K291" s="7">
        <f t="shared" si="48"/>
        <v>0</v>
      </c>
      <c r="L291" s="20">
        <f>IF(Close[[#This Row],[CreatedBy]]="MARINER\SilverAdm",1,0)</f>
        <v>1</v>
      </c>
      <c r="M291" t="str">
        <f>IF(NOT(ISBLANK(A291)),VLOOKUP(A291,'Close - PriceSaver'!A:J,6,0),"")</f>
        <v>DL input prc = 90.27478189  PX_ASK = 90.29203949 PX_BID = 90.25752428</v>
      </c>
      <c r="Q291" t="e">
        <f t="shared" si="40"/>
        <v>#N/A</v>
      </c>
      <c r="R291" t="e">
        <f t="shared" si="41"/>
        <v>#N/A</v>
      </c>
      <c r="S291" t="e">
        <f t="shared" si="42"/>
        <v>#N/A</v>
      </c>
      <c r="T291" s="15" t="e">
        <f t="shared" si="43"/>
        <v>#N/A</v>
      </c>
      <c r="U291" s="18" t="e">
        <f t="shared" si="44"/>
        <v>#N/A</v>
      </c>
      <c r="V291" s="18" t="e">
        <f t="shared" si="45"/>
        <v>#N/A</v>
      </c>
      <c r="W291" s="19" t="e">
        <f t="shared" si="46"/>
        <v>#N/A</v>
      </c>
      <c r="X291" t="e">
        <f>VLOOKUP(P291,Close[[ID]:[CreatedBy]],8,0)</f>
        <v>#N/A</v>
      </c>
    </row>
    <row r="292" spans="1:24" x14ac:dyDescent="0.35">
      <c r="A292" t="str">
        <v>912821HG3</v>
      </c>
      <c r="B292" t="str">
        <f>IF(NOT(ISBLANK(A292)),VLOOKUP(A292,'BBT3'!A:F,2,0),"")</f>
        <v>Bond</v>
      </c>
      <c r="C292" t="str">
        <f>IF(NOT(ISBLANK(A292)),VLOOKUP(A292,'BBT3'!A:F,3,0),"")</f>
        <v>US912821HG32</v>
      </c>
      <c r="D292" s="5">
        <f>IF(NOT(ISBLANK(A292)),VLOOKUP(A292,'BBT3'!A:F,4,1),"")</f>
        <v>0</v>
      </c>
      <c r="E292">
        <f>IF(NOT(ISBLANK(A292)),VLOOKUP(A292,'BBT3'!A:F,5,0),"")</f>
        <v>47149</v>
      </c>
      <c r="F292" t="str">
        <f>IF(NOT(ISBLANK(A292)),VLOOKUP(A292,'BBT3'!A:F,6,0),"")</f>
        <v>N</v>
      </c>
      <c r="G292" t="str">
        <f t="shared" si="47"/>
        <v>Y</v>
      </c>
      <c r="H292">
        <f>IF(NOT(ISBLANK(A292)),VLOOKUP(A292,'Close - PriceSaver'!A:J,5,0),"")</f>
        <v>4.2374991682224597E-2</v>
      </c>
      <c r="I292" s="4" t="e" cm="1">
        <f t="array" ref="I292">IF(NOT(ISBLANK(A292)),((_xlfn.XLOOKUP(1,(_bbt3[[#All],[ID]]=A292)*(_bbt3[[#All],[METRIC_NAME]]="YLD_YTM_ASK"),_bbt3[[#All],[METRIC_VALUE]])*0.5)+(_xlfn.XLOOKUP(1,(_bbt3[[#All],[ID]]=A292)*(_bbt3[[#All],[METRIC_NAME]]="YLD_YTM_BID"),_bbt3[[#All],[METRIC_VALUE]])*0.5))/100,"")</f>
        <v>#N/A</v>
      </c>
      <c r="J292">
        <f>IF(ISNA(VLOOKUP(A292,'CloseDL - PriceSaverBBT3'!A:E,5,0)),0,VLOOKUP(A292,'CloseDL - PriceSaverBBT3'!A:E,5,0))</f>
        <v>4.2374991682224597E-2</v>
      </c>
      <c r="K292" s="7">
        <f t="shared" si="48"/>
        <v>0</v>
      </c>
      <c r="L292" s="20">
        <f>IF(Close[[#This Row],[CreatedBy]]="MARINER\SilverAdm",1,0)</f>
        <v>1</v>
      </c>
      <c r="M292" t="str">
        <f>IF(NOT(ISBLANK(A292)),VLOOKUP(A292,'Close - PriceSaver'!A:J,6,0),"")</f>
        <v>DL input prc = 89.95385899  PX_ASK = 89.97053965 PX_BID = 89.93717833</v>
      </c>
      <c r="Q292" t="e">
        <f t="shared" si="40"/>
        <v>#N/A</v>
      </c>
      <c r="R292" t="e">
        <f t="shared" si="41"/>
        <v>#N/A</v>
      </c>
      <c r="S292" t="e">
        <f t="shared" si="42"/>
        <v>#N/A</v>
      </c>
      <c r="T292" s="15" t="e">
        <f t="shared" si="43"/>
        <v>#N/A</v>
      </c>
      <c r="U292" s="18" t="e">
        <f t="shared" si="44"/>
        <v>#N/A</v>
      </c>
      <c r="V292" s="18" t="e">
        <f t="shared" si="45"/>
        <v>#N/A</v>
      </c>
      <c r="W292" s="19" t="e">
        <f t="shared" si="46"/>
        <v>#N/A</v>
      </c>
      <c r="X292" t="e">
        <f>VLOOKUP(P292,Close[[ID]:[CreatedBy]],8,0)</f>
        <v>#N/A</v>
      </c>
    </row>
    <row r="293" spans="1:24" x14ac:dyDescent="0.35">
      <c r="A293" t="str">
        <v>912821HJ7</v>
      </c>
      <c r="B293" t="str">
        <f>IF(NOT(ISBLANK(A293)),VLOOKUP(A293,'BBT3'!A:F,2,0),"")</f>
        <v>Bond</v>
      </c>
      <c r="C293" t="str">
        <f>IF(NOT(ISBLANK(A293)),VLOOKUP(A293,'BBT3'!A:F,3,0),"")</f>
        <v>US912821HJ70</v>
      </c>
      <c r="D293" s="5">
        <f>IF(NOT(ISBLANK(A293)),VLOOKUP(A293,'BBT3'!A:F,4,1),"")</f>
        <v>0</v>
      </c>
      <c r="E293">
        <f>IF(NOT(ISBLANK(A293)),VLOOKUP(A293,'BBT3'!A:F,5,0),"")</f>
        <v>48259</v>
      </c>
      <c r="F293" t="str">
        <f>IF(NOT(ISBLANK(A293)),VLOOKUP(A293,'BBT3'!A:F,6,0),"")</f>
        <v>N</v>
      </c>
      <c r="G293" t="str">
        <f t="shared" si="47"/>
        <v>Y</v>
      </c>
      <c r="H293">
        <f>IF(NOT(ISBLANK(A293)),VLOOKUP(A293,'Close - PriceSaver'!A:J,5,0),"")</f>
        <v>4.41748871567091E-2</v>
      </c>
      <c r="I293" s="4" t="e" cm="1">
        <f t="array" ref="I293">IF(NOT(ISBLANK(A293)),((_xlfn.XLOOKUP(1,(_bbt3[[#All],[ID]]=A293)*(_bbt3[[#All],[METRIC_NAME]]="YLD_YTM_ASK"),_bbt3[[#All],[METRIC_VALUE]])*0.5)+(_xlfn.XLOOKUP(1,(_bbt3[[#All],[ID]]=A293)*(_bbt3[[#All],[METRIC_NAME]]="YLD_YTM_BID"),_bbt3[[#All],[METRIC_VALUE]])*0.5))/100,"")</f>
        <v>#N/A</v>
      </c>
      <c r="J293">
        <f>IF(ISNA(VLOOKUP(A293,'CloseDL - PriceSaverBBT3'!A:E,5,0)),0,VLOOKUP(A293,'CloseDL - PriceSaverBBT3'!A:E,5,0))</f>
        <v>4.41748871567091E-2</v>
      </c>
      <c r="K293" s="7">
        <f t="shared" si="48"/>
        <v>0</v>
      </c>
      <c r="L293" s="20">
        <f>IF(Close[[#This Row],[CreatedBy]]="MARINER\SilverAdm",1,0)</f>
        <v>1</v>
      </c>
      <c r="M293" t="str">
        <f>IF(NOT(ISBLANK(A293)),VLOOKUP(A293,'Close - PriceSaver'!A:J,6,0),"")</f>
        <v>DL input prc = 78.41033925  PX_ASK = 78.49360879 PX_BID = 78.32706970</v>
      </c>
      <c r="Q293" t="e">
        <f t="shared" si="40"/>
        <v>#N/A</v>
      </c>
      <c r="R293" t="e">
        <f t="shared" si="41"/>
        <v>#N/A</v>
      </c>
      <c r="S293" t="e">
        <f t="shared" si="42"/>
        <v>#N/A</v>
      </c>
      <c r="T293" s="15" t="e">
        <f t="shared" si="43"/>
        <v>#N/A</v>
      </c>
      <c r="U293" s="18" t="e">
        <f t="shared" si="44"/>
        <v>#N/A</v>
      </c>
      <c r="V293" s="18" t="e">
        <f t="shared" si="45"/>
        <v>#N/A</v>
      </c>
      <c r="W293" s="19" t="e">
        <f t="shared" si="46"/>
        <v>#N/A</v>
      </c>
      <c r="X293" t="e">
        <f>VLOOKUP(P293,Close[[ID]:[CreatedBy]],8,0)</f>
        <v>#N/A</v>
      </c>
    </row>
    <row r="294" spans="1:24" x14ac:dyDescent="0.35">
      <c r="A294" t="str">
        <v>912821HM0</v>
      </c>
      <c r="B294" t="str">
        <f>IF(NOT(ISBLANK(A294)),VLOOKUP(A294,'BBT3'!A:F,2,0),"")</f>
        <v>Bond</v>
      </c>
      <c r="C294" t="str">
        <f>IF(NOT(ISBLANK(A294)),VLOOKUP(A294,'BBT3'!A:F,3,0),"")</f>
        <v>US912821HM00</v>
      </c>
      <c r="D294" s="5">
        <f>IF(NOT(ISBLANK(A294)),VLOOKUP(A294,'BBT3'!A:F,4,1),"")</f>
        <v>0</v>
      </c>
      <c r="E294">
        <f>IF(NOT(ISBLANK(A294)),VLOOKUP(A294,'BBT3'!A:F,5,0),"")</f>
        <v>47177</v>
      </c>
      <c r="F294" t="str">
        <f>IF(NOT(ISBLANK(A294)),VLOOKUP(A294,'BBT3'!A:F,6,0),"")</f>
        <v>N</v>
      </c>
      <c r="G294" t="str">
        <f t="shared" si="47"/>
        <v>Y</v>
      </c>
      <c r="H294">
        <f>IF(NOT(ISBLANK(A294)),VLOOKUP(A294,'Close - PriceSaver'!A:J,5,0),"")</f>
        <v>4.2379990243662902E-2</v>
      </c>
      <c r="I294" s="4" t="e" cm="1">
        <f t="array" ref="I294">IF(NOT(ISBLANK(A294)),((_xlfn.XLOOKUP(1,(_bbt3[[#All],[ID]]=A294)*(_bbt3[[#All],[METRIC_NAME]]="YLD_YTM_ASK"),_bbt3[[#All],[METRIC_VALUE]])*0.5)+(_xlfn.XLOOKUP(1,(_bbt3[[#All],[ID]]=A294)*(_bbt3[[#All],[METRIC_NAME]]="YLD_YTM_BID"),_bbt3[[#All],[METRIC_VALUE]])*0.5))/100,"")</f>
        <v>#N/A</v>
      </c>
      <c r="J294">
        <f>IF(ISNA(VLOOKUP(A294,'CloseDL - PriceSaverBBT3'!A:E,5,0)),0,VLOOKUP(A294,'CloseDL - PriceSaverBBT3'!A:E,5,0))</f>
        <v>4.2379990243662902E-2</v>
      </c>
      <c r="K294" s="7">
        <f t="shared" si="48"/>
        <v>0</v>
      </c>
      <c r="L294" s="20">
        <f>IF(Close[[#This Row],[CreatedBy]]="MARINER\SilverAdm",1,0)</f>
        <v>1</v>
      </c>
      <c r="M294" t="str">
        <f>IF(NOT(ISBLANK(A294)),VLOOKUP(A294,'Close - PriceSaver'!A:J,6,0),"")</f>
        <v>DL input prc = 89.63705071  PX_ASK = 89.65536940 PX_BID = 89.61873202</v>
      </c>
      <c r="Q294" t="e">
        <f t="shared" si="40"/>
        <v>#N/A</v>
      </c>
      <c r="R294" t="e">
        <f t="shared" si="41"/>
        <v>#N/A</v>
      </c>
      <c r="S294" t="e">
        <f t="shared" si="42"/>
        <v>#N/A</v>
      </c>
      <c r="T294" s="15" t="e">
        <f t="shared" si="43"/>
        <v>#N/A</v>
      </c>
      <c r="U294" s="18" t="e">
        <f t="shared" si="44"/>
        <v>#N/A</v>
      </c>
      <c r="V294" s="18" t="e">
        <f t="shared" si="45"/>
        <v>#N/A</v>
      </c>
      <c r="W294" s="19" t="e">
        <f t="shared" si="46"/>
        <v>#N/A</v>
      </c>
      <c r="X294" t="e">
        <f>VLOOKUP(P294,Close[[ID]:[CreatedBy]],8,0)</f>
        <v>#N/A</v>
      </c>
    </row>
    <row r="295" spans="1:24" x14ac:dyDescent="0.35">
      <c r="A295" t="str">
        <v>912821HR9</v>
      </c>
      <c r="B295" t="str">
        <f>IF(NOT(ISBLANK(A295)),VLOOKUP(A295,'BBT3'!A:F,2,0),"")</f>
        <v>Bond</v>
      </c>
      <c r="C295" t="str">
        <f>IF(NOT(ISBLANK(A295)),VLOOKUP(A295,'BBT3'!A:F,3,0),"")</f>
        <v>US912821HR96</v>
      </c>
      <c r="D295" s="5">
        <f>IF(NOT(ISBLANK(A295)),VLOOKUP(A295,'BBT3'!A:F,4,1),"")</f>
        <v>0</v>
      </c>
      <c r="E295">
        <f>IF(NOT(ISBLANK(A295)),VLOOKUP(A295,'BBT3'!A:F,5,0),"")</f>
        <v>47208</v>
      </c>
      <c r="F295" t="str">
        <f>IF(NOT(ISBLANK(A295)),VLOOKUP(A295,'BBT3'!A:F,6,0),"")</f>
        <v>N</v>
      </c>
      <c r="G295" t="str">
        <f t="shared" si="47"/>
        <v>Y</v>
      </c>
      <c r="H295">
        <f>IF(NOT(ISBLANK(A295)),VLOOKUP(A295,'Close - PriceSaver'!A:J,5,0),"")</f>
        <v>4.2389989996737598E-2</v>
      </c>
      <c r="I295" s="4" t="e" cm="1">
        <f t="array" ref="I295">IF(NOT(ISBLANK(A295)),((_xlfn.XLOOKUP(1,(_bbt3[[#All],[ID]]=A295)*(_bbt3[[#All],[METRIC_NAME]]="YLD_YTM_ASK"),_bbt3[[#All],[METRIC_VALUE]])*0.5)+(_xlfn.XLOOKUP(1,(_bbt3[[#All],[ID]]=A295)*(_bbt3[[#All],[METRIC_NAME]]="YLD_YTM_BID"),_bbt3[[#All],[METRIC_VALUE]])*0.5))/100,"")</f>
        <v>#N/A</v>
      </c>
      <c r="J295">
        <f>IF(ISNA(VLOOKUP(A295,'CloseDL - PriceSaverBBT3'!A:E,5,0)),0,VLOOKUP(A295,'CloseDL - PriceSaverBBT3'!A:E,5,0))</f>
        <v>4.2389989996737598E-2</v>
      </c>
      <c r="K295" s="7">
        <f t="shared" si="48"/>
        <v>0</v>
      </c>
      <c r="L295" s="20">
        <f>IF(Close[[#This Row],[CreatedBy]]="MARINER\SilverAdm",1,0)</f>
        <v>1</v>
      </c>
      <c r="M295" t="str">
        <f>IF(NOT(ISBLANK(A295)),VLOOKUP(A295,'Close - PriceSaver'!A:J,6,0),"")</f>
        <v>DL input prc = 89.32487525  PX_ASK = 89.34370779 PX_BID = 89.30604271</v>
      </c>
      <c r="Q295" t="e">
        <f t="shared" si="40"/>
        <v>#N/A</v>
      </c>
      <c r="R295" t="e">
        <f t="shared" si="41"/>
        <v>#N/A</v>
      </c>
      <c r="S295" t="e">
        <f t="shared" si="42"/>
        <v>#N/A</v>
      </c>
      <c r="T295" s="15" t="e">
        <f t="shared" si="43"/>
        <v>#N/A</v>
      </c>
      <c r="U295" s="18" t="e">
        <f t="shared" si="44"/>
        <v>#N/A</v>
      </c>
      <c r="V295" s="18" t="e">
        <f t="shared" si="45"/>
        <v>#N/A</v>
      </c>
      <c r="W295" s="19" t="e">
        <f t="shared" si="46"/>
        <v>#N/A</v>
      </c>
      <c r="X295" t="e">
        <f>VLOOKUP(P295,Close[[ID]:[CreatedBy]],8,0)</f>
        <v>#N/A</v>
      </c>
    </row>
    <row r="296" spans="1:24" x14ac:dyDescent="0.35">
      <c r="A296" t="str">
        <v>912821HW8</v>
      </c>
      <c r="B296" t="str">
        <f>IF(NOT(ISBLANK(A296)),VLOOKUP(A296,'BBT3'!A:F,2,0),"")</f>
        <v>Bond</v>
      </c>
      <c r="C296" t="str">
        <f>IF(NOT(ISBLANK(A296)),VLOOKUP(A296,'BBT3'!A:F,3,0),"")</f>
        <v>US912821HW81</v>
      </c>
      <c r="D296" s="5">
        <f>IF(NOT(ISBLANK(A296)),VLOOKUP(A296,'BBT3'!A:F,4,1),"")</f>
        <v>0</v>
      </c>
      <c r="E296">
        <f>IF(NOT(ISBLANK(A296)),VLOOKUP(A296,'BBT3'!A:F,5,0),"")</f>
        <v>47238</v>
      </c>
      <c r="F296" t="str">
        <f>IF(NOT(ISBLANK(A296)),VLOOKUP(A296,'BBT3'!A:F,6,0),"")</f>
        <v>N</v>
      </c>
      <c r="G296" t="str">
        <f t="shared" si="47"/>
        <v>Y</v>
      </c>
      <c r="H296">
        <f>IF(NOT(ISBLANK(A296)),VLOOKUP(A296,'Close - PriceSaver'!A:J,5,0),"")</f>
        <v>4.2385820122540198E-2</v>
      </c>
      <c r="I296" s="4" t="e" cm="1">
        <f t="array" ref="I296">IF(NOT(ISBLANK(A296)),((_xlfn.XLOOKUP(1,(_bbt3[[#All],[ID]]=A296)*(_bbt3[[#All],[METRIC_NAME]]="YLD_YTM_ASK"),_bbt3[[#All],[METRIC_VALUE]])*0.5)+(_xlfn.XLOOKUP(1,(_bbt3[[#All],[ID]]=A296)*(_bbt3[[#All],[METRIC_NAME]]="YLD_YTM_BID"),_bbt3[[#All],[METRIC_VALUE]])*0.5))/100,"")</f>
        <v>#N/A</v>
      </c>
      <c r="J296">
        <f>IF(ISNA(VLOOKUP(A296,'CloseDL - PriceSaverBBT3'!A:E,5,0)),0,VLOOKUP(A296,'CloseDL - PriceSaverBBT3'!A:E,5,0))</f>
        <v>4.2385820122540198E-2</v>
      </c>
      <c r="K296" s="7">
        <f t="shared" si="48"/>
        <v>0</v>
      </c>
      <c r="L296" s="20">
        <f>IF(Close[[#This Row],[CreatedBy]]="MARINER\SilverAdm",1,0)</f>
        <v>1</v>
      </c>
      <c r="M296" t="str">
        <f>IF(NOT(ISBLANK(A296)),VLOOKUP(A296,'Close - PriceSaver'!A:J,6,0),"")</f>
        <v>DL input prc = 89.01246730  PX_ASK = 89.03060492 PX_BID = 88.99432968</v>
      </c>
      <c r="Q296" t="e">
        <f t="shared" si="40"/>
        <v>#N/A</v>
      </c>
      <c r="R296" t="e">
        <f t="shared" si="41"/>
        <v>#N/A</v>
      </c>
      <c r="S296" t="e">
        <f t="shared" si="42"/>
        <v>#N/A</v>
      </c>
      <c r="T296" s="15" t="e">
        <f t="shared" si="43"/>
        <v>#N/A</v>
      </c>
      <c r="U296" s="18" t="e">
        <f t="shared" si="44"/>
        <v>#N/A</v>
      </c>
      <c r="V296" s="18" t="e">
        <f t="shared" si="45"/>
        <v>#N/A</v>
      </c>
      <c r="W296" s="19" t="e">
        <f t="shared" si="46"/>
        <v>#N/A</v>
      </c>
      <c r="X296" t="e">
        <f>VLOOKUP(P296,Close[[ID]:[CreatedBy]],8,0)</f>
        <v>#N/A</v>
      </c>
    </row>
    <row r="297" spans="1:24" x14ac:dyDescent="0.35">
      <c r="A297" t="str">
        <v>912821HY4</v>
      </c>
      <c r="B297" t="str">
        <f>IF(NOT(ISBLANK(A297)),VLOOKUP(A297,'BBT3'!A:F,2,0),"")</f>
        <v>Bond</v>
      </c>
      <c r="C297" t="str">
        <f>IF(NOT(ISBLANK(A297)),VLOOKUP(A297,'BBT3'!A:F,3,0),"")</f>
        <v>US912821HY48</v>
      </c>
      <c r="D297" s="5">
        <f>IF(NOT(ISBLANK(A297)),VLOOKUP(A297,'BBT3'!A:F,4,1),"")</f>
        <v>0</v>
      </c>
      <c r="E297">
        <f>IF(NOT(ISBLANK(A297)),VLOOKUP(A297,'BBT3'!A:F,5,0),"")</f>
        <v>48349</v>
      </c>
      <c r="F297" t="str">
        <f>IF(NOT(ISBLANK(A297)),VLOOKUP(A297,'BBT3'!A:F,6,0),"")</f>
        <v>N</v>
      </c>
      <c r="G297" t="str">
        <f t="shared" si="47"/>
        <v>Y</v>
      </c>
      <c r="H297">
        <f>IF(NOT(ISBLANK(A297)),VLOOKUP(A297,'Close - PriceSaver'!A:J,5,0),"")</f>
        <v>4.4310150957557803E-2</v>
      </c>
      <c r="I297" s="4" t="e" cm="1">
        <f t="array" ref="I297">IF(NOT(ISBLANK(A297)),((_xlfn.XLOOKUP(1,(_bbt3[[#All],[ID]]=A297)*(_bbt3[[#All],[METRIC_NAME]]="YLD_YTM_ASK"),_bbt3[[#All],[METRIC_VALUE]])*0.5)+(_xlfn.XLOOKUP(1,(_bbt3[[#All],[ID]]=A297)*(_bbt3[[#All],[METRIC_NAME]]="YLD_YTM_BID"),_bbt3[[#All],[METRIC_VALUE]])*0.5))/100,"")</f>
        <v>#N/A</v>
      </c>
      <c r="J297">
        <f>IF(ISNA(VLOOKUP(A297,'CloseDL - PriceSaverBBT3'!A:E,5,0)),0,VLOOKUP(A297,'CloseDL - PriceSaverBBT3'!A:E,5,0))</f>
        <v>4.4310150957557803E-2</v>
      </c>
      <c r="K297" s="7">
        <f t="shared" si="48"/>
        <v>0</v>
      </c>
      <c r="L297" s="20">
        <f>IF(Close[[#This Row],[CreatedBy]]="MARINER\SilverAdm",1,0)</f>
        <v>1</v>
      </c>
      <c r="M297" t="str">
        <f>IF(NOT(ISBLANK(A297)),VLOOKUP(A297,'Close - PriceSaver'!A:J,6,0),"")</f>
        <v>DL input prc = 77.50258165  PX_ASK = 77.57312973 PX_BID = 77.43203356</v>
      </c>
      <c r="Q297" t="e">
        <f t="shared" si="40"/>
        <v>#N/A</v>
      </c>
      <c r="R297" t="e">
        <f t="shared" si="41"/>
        <v>#N/A</v>
      </c>
      <c r="S297" t="e">
        <f t="shared" si="42"/>
        <v>#N/A</v>
      </c>
      <c r="T297" s="15" t="e">
        <f t="shared" si="43"/>
        <v>#N/A</v>
      </c>
      <c r="U297" s="18" t="e">
        <f t="shared" si="44"/>
        <v>#N/A</v>
      </c>
      <c r="V297" s="18" t="e">
        <f t="shared" si="45"/>
        <v>#N/A</v>
      </c>
      <c r="W297" s="19" t="e">
        <f t="shared" si="46"/>
        <v>#N/A</v>
      </c>
      <c r="X297" t="e">
        <f>VLOOKUP(P297,Close[[ID]:[CreatedBy]],8,0)</f>
        <v>#N/A</v>
      </c>
    </row>
    <row r="298" spans="1:24" x14ac:dyDescent="0.35">
      <c r="A298" t="str">
        <v>912821JB2</v>
      </c>
      <c r="B298" t="str">
        <f>IF(NOT(ISBLANK(A298)),VLOOKUP(A298,'BBT3'!A:F,2,0),"")</f>
        <v>Bond</v>
      </c>
      <c r="C298" t="str">
        <f>IF(NOT(ISBLANK(A298)),VLOOKUP(A298,'BBT3'!A:F,3,0),"")</f>
        <v>US912821JB27</v>
      </c>
      <c r="D298" s="5">
        <f>IF(NOT(ISBLANK(A298)),VLOOKUP(A298,'BBT3'!A:F,4,1),"")</f>
        <v>0</v>
      </c>
      <c r="E298">
        <f>IF(NOT(ISBLANK(A298)),VLOOKUP(A298,'BBT3'!A:F,5,0),"")</f>
        <v>47269</v>
      </c>
      <c r="F298" t="str">
        <f>IF(NOT(ISBLANK(A298)),VLOOKUP(A298,'BBT3'!A:F,6,0),"")</f>
        <v>N</v>
      </c>
      <c r="G298" t="str">
        <f t="shared" si="47"/>
        <v>Y</v>
      </c>
      <c r="H298">
        <f>IF(NOT(ISBLANK(A298)),VLOOKUP(A298,'Close - PriceSaver'!A:J,5,0),"")</f>
        <v>4.2404990752126601E-2</v>
      </c>
      <c r="I298" s="4" t="e" cm="1">
        <f t="array" ref="I298">IF(NOT(ISBLANK(A298)),((_xlfn.XLOOKUP(1,(_bbt3[[#All],[ID]]=A298)*(_bbt3[[#All],[METRIC_NAME]]="YLD_YTM_ASK"),_bbt3[[#All],[METRIC_VALUE]])*0.5)+(_xlfn.XLOOKUP(1,(_bbt3[[#All],[ID]]=A298)*(_bbt3[[#All],[METRIC_NAME]]="YLD_YTM_BID"),_bbt3[[#All],[METRIC_VALUE]])*0.5))/100,"")</f>
        <v>#N/A</v>
      </c>
      <c r="J298">
        <f>IF(ISNA(VLOOKUP(A298,'CloseDL - PriceSaverBBT3'!A:E,5,0)),0,VLOOKUP(A298,'CloseDL - PriceSaverBBT3'!A:E,5,0))</f>
        <v>4.2404990752126601E-2</v>
      </c>
      <c r="K298" s="7">
        <f t="shared" si="48"/>
        <v>0</v>
      </c>
      <c r="L298" s="20">
        <f>IF(Close[[#This Row],[CreatedBy]]="MARINER\SilverAdm",1,0)</f>
        <v>1</v>
      </c>
      <c r="M298" t="str">
        <f>IF(NOT(ISBLANK(A298)),VLOOKUP(A298,'Close - PriceSaver'!A:J,6,0),"")</f>
        <v>DL input prc = 88.69884412  PX_ASK = 88.71746147 PX_BID = 88.68022676</v>
      </c>
      <c r="Q298" t="e">
        <f t="shared" si="40"/>
        <v>#N/A</v>
      </c>
      <c r="R298" t="e">
        <f t="shared" si="41"/>
        <v>#N/A</v>
      </c>
      <c r="S298" t="e">
        <f t="shared" si="42"/>
        <v>#N/A</v>
      </c>
      <c r="T298" s="15" t="e">
        <f t="shared" si="43"/>
        <v>#N/A</v>
      </c>
      <c r="U298" s="18" t="e">
        <f t="shared" si="44"/>
        <v>#N/A</v>
      </c>
      <c r="V298" s="18" t="e">
        <f t="shared" si="45"/>
        <v>#N/A</v>
      </c>
      <c r="W298" s="19" t="e">
        <f t="shared" si="46"/>
        <v>#N/A</v>
      </c>
      <c r="X298" t="e">
        <f>VLOOKUP(P298,Close[[ID]:[CreatedBy]],8,0)</f>
        <v>#N/A</v>
      </c>
    </row>
    <row r="299" spans="1:24" x14ac:dyDescent="0.35">
      <c r="A299" t="str">
        <v>912821JF3</v>
      </c>
      <c r="B299" t="str">
        <f>IF(NOT(ISBLANK(A299)),VLOOKUP(A299,'BBT3'!A:F,2,0),"")</f>
        <v>Bond</v>
      </c>
      <c r="C299" t="str">
        <f>IF(NOT(ISBLANK(A299)),VLOOKUP(A299,'BBT3'!A:F,3,0),"")</f>
        <v>US912821JF31</v>
      </c>
      <c r="D299" s="5">
        <f>IF(NOT(ISBLANK(A299)),VLOOKUP(A299,'BBT3'!A:F,4,1),"")</f>
        <v>0</v>
      </c>
      <c r="E299">
        <f>IF(NOT(ISBLANK(A299)),VLOOKUP(A299,'BBT3'!A:F,5,0),"")</f>
        <v>47299</v>
      </c>
      <c r="F299" t="str">
        <f>IF(NOT(ISBLANK(A299)),VLOOKUP(A299,'BBT3'!A:F,6,0),"")</f>
        <v>N</v>
      </c>
      <c r="G299" t="str">
        <f t="shared" si="47"/>
        <v>Y</v>
      </c>
      <c r="H299">
        <f>IF(NOT(ISBLANK(A299)),VLOOKUP(A299,'Close - PriceSaver'!A:J,5,0),"")</f>
        <v>4.2404990523757499E-2</v>
      </c>
      <c r="I299" s="4" t="e" cm="1">
        <f t="array" ref="I299">IF(NOT(ISBLANK(A299)),((_xlfn.XLOOKUP(1,(_bbt3[[#All],[ID]]=A299)*(_bbt3[[#All],[METRIC_NAME]]="YLD_YTM_ASK"),_bbt3[[#All],[METRIC_VALUE]])*0.5)+(_xlfn.XLOOKUP(1,(_bbt3[[#All],[ID]]=A299)*(_bbt3[[#All],[METRIC_NAME]]="YLD_YTM_BID"),_bbt3[[#All],[METRIC_VALUE]])*0.5))/100,"")</f>
        <v>#N/A</v>
      </c>
      <c r="J299">
        <f>IF(ISNA(VLOOKUP(A299,'CloseDL - PriceSaverBBT3'!A:E,5,0)),0,VLOOKUP(A299,'CloseDL - PriceSaverBBT3'!A:E,5,0))</f>
        <v>4.2404990523757499E-2</v>
      </c>
      <c r="K299" s="7">
        <f t="shared" si="48"/>
        <v>0</v>
      </c>
      <c r="L299" s="20">
        <f>IF(Close[[#This Row],[CreatedBy]]="MARINER\SilverAdm",1,0)</f>
        <v>1</v>
      </c>
      <c r="M299" t="str">
        <f>IF(NOT(ISBLANK(A299)),VLOOKUP(A299,'Close - PriceSaver'!A:J,6,0),"")</f>
        <v>DL input prc = 88.39307830  PX_ASK = 88.41216571 PX_BID = 88.37399089</v>
      </c>
      <c r="Q299" t="e">
        <f t="shared" si="40"/>
        <v>#N/A</v>
      </c>
      <c r="R299" t="e">
        <f t="shared" si="41"/>
        <v>#N/A</v>
      </c>
      <c r="S299" t="e">
        <f t="shared" si="42"/>
        <v>#N/A</v>
      </c>
      <c r="T299" s="15" t="e">
        <f t="shared" si="43"/>
        <v>#N/A</v>
      </c>
      <c r="U299" s="18" t="e">
        <f t="shared" si="44"/>
        <v>#N/A</v>
      </c>
      <c r="V299" s="18" t="e">
        <f t="shared" si="45"/>
        <v>#N/A</v>
      </c>
      <c r="W299" s="19" t="e">
        <f t="shared" si="46"/>
        <v>#N/A</v>
      </c>
      <c r="X299" t="e">
        <f>VLOOKUP(P299,Close[[ID]:[CreatedBy]],8,0)</f>
        <v>#N/A</v>
      </c>
    </row>
    <row r="300" spans="1:24" x14ac:dyDescent="0.35">
      <c r="A300" t="str">
        <v>912821JL0</v>
      </c>
      <c r="B300" t="str">
        <f>IF(NOT(ISBLANK(A300)),VLOOKUP(A300,'BBT3'!A:F,2,0),"")</f>
        <v>Bond</v>
      </c>
      <c r="C300" t="str">
        <f>IF(NOT(ISBLANK(A300)),VLOOKUP(A300,'BBT3'!A:F,3,0),"")</f>
        <v>US912821JL09</v>
      </c>
      <c r="D300" s="5">
        <f>IF(NOT(ISBLANK(A300)),VLOOKUP(A300,'BBT3'!A:F,4,1),"")</f>
        <v>0</v>
      </c>
      <c r="E300">
        <f>IF(NOT(ISBLANK(A300)),VLOOKUP(A300,'BBT3'!A:F,5,0),"")</f>
        <v>47330</v>
      </c>
      <c r="F300" t="str">
        <f>IF(NOT(ISBLANK(A300)),VLOOKUP(A300,'BBT3'!A:F,6,0),"")</f>
        <v>N</v>
      </c>
      <c r="G300" t="str">
        <f t="shared" si="47"/>
        <v>Y</v>
      </c>
      <c r="H300">
        <f>IF(NOT(ISBLANK(A300)),VLOOKUP(A300,'Close - PriceSaver'!A:J,5,0),"")</f>
        <v>4.2343244290536902E-2</v>
      </c>
      <c r="I300" s="4" t="e" cm="1">
        <f t="array" ref="I300">IF(NOT(ISBLANK(A300)),((_xlfn.XLOOKUP(1,(_bbt3[[#All],[ID]]=A300)*(_bbt3[[#All],[METRIC_NAME]]="YLD_YTM_ASK"),_bbt3[[#All],[METRIC_VALUE]])*0.5)+(_xlfn.XLOOKUP(1,(_bbt3[[#All],[ID]]=A300)*(_bbt3[[#All],[METRIC_NAME]]="YLD_YTM_BID"),_bbt3[[#All],[METRIC_VALUE]])*0.5))/100,"")</f>
        <v>#N/A</v>
      </c>
      <c r="J300">
        <f>IF(ISNA(VLOOKUP(A300,'CloseDL - PriceSaverBBT3'!A:E,5,0)),0,VLOOKUP(A300,'CloseDL - PriceSaverBBT3'!A:E,5,0))</f>
        <v>4.2343244290536902E-2</v>
      </c>
      <c r="K300" s="7">
        <f t="shared" si="48"/>
        <v>0</v>
      </c>
      <c r="L300" s="20">
        <f>IF(Close[[#This Row],[CreatedBy]]="MARINER\SilverAdm",1,0)</f>
        <v>1</v>
      </c>
      <c r="M300" t="str">
        <f>IF(NOT(ISBLANK(A300)),VLOOKUP(A300,'Close - PriceSaver'!A:J,6,0),"")</f>
        <v>DL input prc = 88.07185187  PX_ASK = 88.09141713 PX_BID = 88.05228661</v>
      </c>
      <c r="Q300" t="e">
        <f t="shared" si="40"/>
        <v>#N/A</v>
      </c>
      <c r="R300" t="e">
        <f t="shared" si="41"/>
        <v>#N/A</v>
      </c>
      <c r="S300" t="e">
        <f t="shared" si="42"/>
        <v>#N/A</v>
      </c>
      <c r="T300" s="15" t="e">
        <f t="shared" si="43"/>
        <v>#N/A</v>
      </c>
      <c r="U300" s="18" t="e">
        <f t="shared" si="44"/>
        <v>#N/A</v>
      </c>
      <c r="V300" s="18" t="e">
        <f t="shared" si="45"/>
        <v>#N/A</v>
      </c>
      <c r="W300" s="19" t="e">
        <f t="shared" si="46"/>
        <v>#N/A</v>
      </c>
      <c r="X300" t="e">
        <f>VLOOKUP(P300,Close[[ID]:[CreatedBy]],8,0)</f>
        <v>#N/A</v>
      </c>
    </row>
    <row r="301" spans="1:24" x14ac:dyDescent="0.35">
      <c r="A301" t="str">
        <v>912821JN6</v>
      </c>
      <c r="B301" t="str">
        <f>IF(NOT(ISBLANK(A301)),VLOOKUP(A301,'BBT3'!A:F,2,0),"")</f>
        <v>Bond</v>
      </c>
      <c r="C301" t="str">
        <f>IF(NOT(ISBLANK(A301)),VLOOKUP(A301,'BBT3'!A:F,3,0),"")</f>
        <v>US912821JN64</v>
      </c>
      <c r="D301" s="5">
        <f>IF(NOT(ISBLANK(A301)),VLOOKUP(A301,'BBT3'!A:F,4,1),"")</f>
        <v>0</v>
      </c>
      <c r="E301">
        <f>IF(NOT(ISBLANK(A301)),VLOOKUP(A301,'BBT3'!A:F,5,0),"")</f>
        <v>48441</v>
      </c>
      <c r="F301" t="str">
        <f>IF(NOT(ISBLANK(A301)),VLOOKUP(A301,'BBT3'!A:F,6,0),"")</f>
        <v>N</v>
      </c>
      <c r="G301" t="str">
        <f t="shared" si="47"/>
        <v>Y</v>
      </c>
      <c r="H301">
        <f>IF(NOT(ISBLANK(A301)),VLOOKUP(A301,'Close - PriceSaver'!A:J,5,0),"")</f>
        <v>4.4489799265649103E-2</v>
      </c>
      <c r="I301" s="4" t="e" cm="1">
        <f t="array" ref="I301">IF(NOT(ISBLANK(A301)),((_xlfn.XLOOKUP(1,(_bbt3[[#All],[ID]]=A301)*(_bbt3[[#All],[METRIC_NAME]]="YLD_YTM_ASK"),_bbt3[[#All],[METRIC_VALUE]])*0.5)+(_xlfn.XLOOKUP(1,(_bbt3[[#All],[ID]]=A301)*(_bbt3[[#All],[METRIC_NAME]]="YLD_YTM_BID"),_bbt3[[#All],[METRIC_VALUE]])*0.5))/100,"")</f>
        <v>#N/A</v>
      </c>
      <c r="J301">
        <f>IF(ISNA(VLOOKUP(A301,'CloseDL - PriceSaverBBT3'!A:E,5,0)),0,VLOOKUP(A301,'CloseDL - PriceSaverBBT3'!A:E,5,0))</f>
        <v>4.4489799265649103E-2</v>
      </c>
      <c r="K301" s="7">
        <f t="shared" si="48"/>
        <v>0</v>
      </c>
      <c r="L301" s="20">
        <f>IF(Close[[#This Row],[CreatedBy]]="MARINER\SilverAdm",1,0)</f>
        <v>1</v>
      </c>
      <c r="M301" t="str">
        <f>IF(NOT(ISBLANK(A301)),VLOOKUP(A301,'Close - PriceSaver'!A:J,6,0),"")</f>
        <v>DL input prc = 76.57263929  PX_ASK = 76.68624027 PX_BID = 76.45903831</v>
      </c>
      <c r="Q301" t="e">
        <f t="shared" si="40"/>
        <v>#N/A</v>
      </c>
      <c r="R301" t="e">
        <f t="shared" si="41"/>
        <v>#N/A</v>
      </c>
      <c r="S301" t="e">
        <f t="shared" si="42"/>
        <v>#N/A</v>
      </c>
      <c r="T301" s="15" t="e">
        <f t="shared" si="43"/>
        <v>#N/A</v>
      </c>
      <c r="U301" s="18" t="e">
        <f t="shared" si="44"/>
        <v>#N/A</v>
      </c>
      <c r="V301" s="18" t="e">
        <f t="shared" si="45"/>
        <v>#N/A</v>
      </c>
      <c r="W301" s="19" t="e">
        <f t="shared" si="46"/>
        <v>#N/A</v>
      </c>
      <c r="X301" t="e">
        <f>VLOOKUP(P301,Close[[ID]:[CreatedBy]],8,0)</f>
        <v>#N/A</v>
      </c>
    </row>
    <row r="302" spans="1:24" x14ac:dyDescent="0.35">
      <c r="A302" t="str">
        <v>912821JR7</v>
      </c>
      <c r="B302" t="str">
        <f>IF(NOT(ISBLANK(A302)),VLOOKUP(A302,'BBT3'!A:F,2,0),"")</f>
        <v>Bond</v>
      </c>
      <c r="C302" t="str">
        <f>IF(NOT(ISBLANK(A302)),VLOOKUP(A302,'BBT3'!A:F,3,0),"")</f>
        <v>US912821JR78</v>
      </c>
      <c r="D302" s="5">
        <f>IF(NOT(ISBLANK(A302)),VLOOKUP(A302,'BBT3'!A:F,4,1),"")</f>
        <v>0</v>
      </c>
      <c r="E302">
        <f>IF(NOT(ISBLANK(A302)),VLOOKUP(A302,'BBT3'!A:F,5,0),"")</f>
        <v>47361</v>
      </c>
      <c r="F302" t="str">
        <f>IF(NOT(ISBLANK(A302)),VLOOKUP(A302,'BBT3'!A:F,6,0),"")</f>
        <v>N</v>
      </c>
      <c r="G302" t="str">
        <f t="shared" si="47"/>
        <v>Y</v>
      </c>
      <c r="H302">
        <f>IF(NOT(ISBLANK(A302)),VLOOKUP(A302,'Close - PriceSaver'!A:J,5,0),"")</f>
        <v>4.2474990051765603E-2</v>
      </c>
      <c r="I302" s="4" t="e" cm="1">
        <f t="array" ref="I302">IF(NOT(ISBLANK(A302)),((_xlfn.XLOOKUP(1,(_bbt3[[#All],[ID]]=A302)*(_bbt3[[#All],[METRIC_NAME]]="YLD_YTM_ASK"),_bbt3[[#All],[METRIC_VALUE]])*0.5)+(_xlfn.XLOOKUP(1,(_bbt3[[#All],[ID]]=A302)*(_bbt3[[#All],[METRIC_NAME]]="YLD_YTM_BID"),_bbt3[[#All],[METRIC_VALUE]])*0.5))/100,"")</f>
        <v>#N/A</v>
      </c>
      <c r="J302">
        <f>IF(ISNA(VLOOKUP(A302,'CloseDL - PriceSaverBBT3'!A:E,5,0)),0,VLOOKUP(A302,'CloseDL - PriceSaverBBT3'!A:E,5,0))</f>
        <v>4.2474990051765603E-2</v>
      </c>
      <c r="K302" s="7">
        <f t="shared" si="48"/>
        <v>0</v>
      </c>
      <c r="L302" s="20">
        <f>IF(Close[[#This Row],[CreatedBy]]="MARINER\SilverAdm",1,0)</f>
        <v>1</v>
      </c>
      <c r="M302" t="str">
        <f>IF(NOT(ISBLANK(A302)),VLOOKUP(A302,'Close - PriceSaver'!A:J,6,0),"")</f>
        <v>DL input prc = 87.75167470  PX_ASK = 87.77170872 PX_BID = 87.73164068</v>
      </c>
      <c r="Q302" t="e">
        <f t="shared" si="40"/>
        <v>#N/A</v>
      </c>
      <c r="R302" t="e">
        <f t="shared" si="41"/>
        <v>#N/A</v>
      </c>
      <c r="S302" t="e">
        <f t="shared" si="42"/>
        <v>#N/A</v>
      </c>
      <c r="T302" s="15" t="e">
        <f t="shared" si="43"/>
        <v>#N/A</v>
      </c>
      <c r="U302" s="18" t="e">
        <f t="shared" si="44"/>
        <v>#N/A</v>
      </c>
      <c r="V302" s="18" t="e">
        <f t="shared" si="45"/>
        <v>#N/A</v>
      </c>
      <c r="W302" s="19" t="e">
        <f t="shared" si="46"/>
        <v>#N/A</v>
      </c>
      <c r="X302" t="e">
        <f>VLOOKUP(P302,Close[[ID]:[CreatedBy]],8,0)</f>
        <v>#N/A</v>
      </c>
    </row>
    <row r="303" spans="1:24" x14ac:dyDescent="0.35">
      <c r="A303" t="str">
        <v>912821JV8</v>
      </c>
      <c r="B303" t="str">
        <f>IF(NOT(ISBLANK(A303)),VLOOKUP(A303,'BBT3'!A:F,2,0),"")</f>
        <v>Bond</v>
      </c>
      <c r="C303" t="str">
        <f>IF(NOT(ISBLANK(A303)),VLOOKUP(A303,'BBT3'!A:F,3,0),"")</f>
        <v>US912821JV80</v>
      </c>
      <c r="D303" s="5">
        <f>IF(NOT(ISBLANK(A303)),VLOOKUP(A303,'BBT3'!A:F,4,1),"")</f>
        <v>0</v>
      </c>
      <c r="E303">
        <f>IF(NOT(ISBLANK(A303)),VLOOKUP(A303,'BBT3'!A:F,5,0),"")</f>
        <v>47391</v>
      </c>
      <c r="F303" t="str">
        <f>IF(NOT(ISBLANK(A303)),VLOOKUP(A303,'BBT3'!A:F,6,0),"")</f>
        <v>N</v>
      </c>
      <c r="G303" t="str">
        <f t="shared" si="47"/>
        <v>Y</v>
      </c>
      <c r="H303">
        <f>IF(NOT(ISBLANK(A303)),VLOOKUP(A303,'Close - PriceSaver'!A:J,5,0),"")</f>
        <v>4.2524989828324103E-2</v>
      </c>
      <c r="I303" s="4" t="e" cm="1">
        <f t="array" ref="I303">IF(NOT(ISBLANK(A303)),((_xlfn.XLOOKUP(1,(_bbt3[[#All],[ID]]=A303)*(_bbt3[[#All],[METRIC_NAME]]="YLD_YTM_ASK"),_bbt3[[#All],[METRIC_VALUE]])*0.5)+(_xlfn.XLOOKUP(1,(_bbt3[[#All],[ID]]=A303)*(_bbt3[[#All],[METRIC_NAME]]="YLD_YTM_BID"),_bbt3[[#All],[METRIC_VALUE]])*0.5))/100,"")</f>
        <v>#N/A</v>
      </c>
      <c r="J303">
        <f>IF(ISNA(VLOOKUP(A303,'CloseDL - PriceSaverBBT3'!A:E,5,0)),0,VLOOKUP(A303,'CloseDL - PriceSaverBBT3'!A:E,5,0))</f>
        <v>4.2524989828324103E-2</v>
      </c>
      <c r="K303" s="7">
        <f t="shared" si="48"/>
        <v>0</v>
      </c>
      <c r="L303" s="20">
        <f>IF(Close[[#This Row],[CreatedBy]]="MARINER\SilverAdm",1,0)</f>
        <v>1</v>
      </c>
      <c r="M303" t="str">
        <f>IF(NOT(ISBLANK(A303)),VLOOKUP(A303,'Close - PriceSaver'!A:J,6,0),"")</f>
        <v>DL input prc = 87.43403633  PX_ASK = 87.45452747 PX_BID = 87.41354519</v>
      </c>
      <c r="Q303" t="e">
        <f t="shared" si="40"/>
        <v>#N/A</v>
      </c>
      <c r="R303" t="e">
        <f t="shared" si="41"/>
        <v>#N/A</v>
      </c>
      <c r="S303" t="e">
        <f t="shared" si="42"/>
        <v>#N/A</v>
      </c>
      <c r="T303" s="15" t="e">
        <f t="shared" si="43"/>
        <v>#N/A</v>
      </c>
      <c r="U303" s="18" t="e">
        <f t="shared" si="44"/>
        <v>#N/A</v>
      </c>
      <c r="V303" s="18" t="e">
        <f t="shared" si="45"/>
        <v>#N/A</v>
      </c>
      <c r="W303" s="19" t="e">
        <f t="shared" si="46"/>
        <v>#N/A</v>
      </c>
      <c r="X303" t="e">
        <f>VLOOKUP(P303,Close[[ID]:[CreatedBy]],8,0)</f>
        <v>#N/A</v>
      </c>
    </row>
    <row r="304" spans="1:24" x14ac:dyDescent="0.35">
      <c r="A304" t="str">
        <v>912821KA2</v>
      </c>
      <c r="B304" t="str">
        <f>IF(NOT(ISBLANK(A304)),VLOOKUP(A304,'BBT3'!A:F,2,0),"")</f>
        <v>Bond</v>
      </c>
      <c r="C304" t="str">
        <f>IF(NOT(ISBLANK(A304)),VLOOKUP(A304,'BBT3'!A:F,3,0),"")</f>
        <v>US912821KA25</v>
      </c>
      <c r="D304" s="5">
        <f>IF(NOT(ISBLANK(A304)),VLOOKUP(A304,'BBT3'!A:F,4,1),"")</f>
        <v>0</v>
      </c>
      <c r="E304">
        <f>IF(NOT(ISBLANK(A304)),VLOOKUP(A304,'BBT3'!A:F,5,0),"")</f>
        <v>47422</v>
      </c>
      <c r="F304" t="str">
        <f>IF(NOT(ISBLANK(A304)),VLOOKUP(A304,'BBT3'!A:F,6,0),"")</f>
        <v>N</v>
      </c>
      <c r="G304" t="str">
        <f t="shared" si="47"/>
        <v>Y</v>
      </c>
      <c r="H304">
        <f>IF(NOT(ISBLANK(A304)),VLOOKUP(A304,'Close - PriceSaver'!A:J,5,0),"")</f>
        <v>4.2569990950589401E-2</v>
      </c>
      <c r="I304" s="4" t="e" cm="1">
        <f t="array" ref="I304">IF(NOT(ISBLANK(A304)),((_xlfn.XLOOKUP(1,(_bbt3[[#All],[ID]]=A304)*(_bbt3[[#All],[METRIC_NAME]]="YLD_YTM_ASK"),_bbt3[[#All],[METRIC_VALUE]])*0.5)+(_xlfn.XLOOKUP(1,(_bbt3[[#All],[ID]]=A304)*(_bbt3[[#All],[METRIC_NAME]]="YLD_YTM_BID"),_bbt3[[#All],[METRIC_VALUE]])*0.5))/100,"")</f>
        <v>#N/A</v>
      </c>
      <c r="J304">
        <f>IF(ISNA(VLOOKUP(A304,'CloseDL - PriceSaverBBT3'!A:E,5,0)),0,VLOOKUP(A304,'CloseDL - PriceSaverBBT3'!A:E,5,0))</f>
        <v>4.2569990950589401E-2</v>
      </c>
      <c r="K304" s="7">
        <f t="shared" si="48"/>
        <v>0</v>
      </c>
      <c r="L304" s="20">
        <f>IF(Close[[#This Row],[CreatedBy]]="MARINER\SilverAdm",1,0)</f>
        <v>1</v>
      </c>
      <c r="M304" t="str">
        <f>IF(NOT(ISBLANK(A304)),VLOOKUP(A304,'Close - PriceSaver'!A:J,6,0),"")</f>
        <v>DL input prc = 87.11589661  PX_ASK = 87.13544845 PX_BID = 87.09634476</v>
      </c>
      <c r="Q304" t="e">
        <f t="shared" si="40"/>
        <v>#N/A</v>
      </c>
      <c r="R304" t="e">
        <f t="shared" si="41"/>
        <v>#N/A</v>
      </c>
      <c r="S304" t="e">
        <f t="shared" si="42"/>
        <v>#N/A</v>
      </c>
      <c r="T304" s="15" t="e">
        <f t="shared" si="43"/>
        <v>#N/A</v>
      </c>
      <c r="U304" s="18" t="e">
        <f t="shared" si="44"/>
        <v>#N/A</v>
      </c>
      <c r="V304" s="18" t="e">
        <f t="shared" si="45"/>
        <v>#N/A</v>
      </c>
      <c r="W304" s="19" t="e">
        <f t="shared" si="46"/>
        <v>#N/A</v>
      </c>
      <c r="X304" t="e">
        <f>VLOOKUP(P304,Close[[ID]:[CreatedBy]],8,0)</f>
        <v>#N/A</v>
      </c>
    </row>
    <row r="305" spans="1:24" x14ac:dyDescent="0.35">
      <c r="A305" t="str">
        <v>912821KC8</v>
      </c>
      <c r="B305" t="str">
        <f>IF(NOT(ISBLANK(A305)),VLOOKUP(A305,'BBT3'!A:F,2,0),"")</f>
        <v>Bond</v>
      </c>
      <c r="C305" t="str">
        <f>IF(NOT(ISBLANK(A305)),VLOOKUP(A305,'BBT3'!A:F,3,0),"")</f>
        <v>US912821KC80</v>
      </c>
      <c r="D305" s="5">
        <f>IF(NOT(ISBLANK(A305)),VLOOKUP(A305,'BBT3'!A:F,4,1),"")</f>
        <v>0</v>
      </c>
      <c r="E305">
        <f>IF(NOT(ISBLANK(A305)),VLOOKUP(A305,'BBT3'!A:F,5,0),"")</f>
        <v>48533</v>
      </c>
      <c r="F305" t="str">
        <f>IF(NOT(ISBLANK(A305)),VLOOKUP(A305,'BBT3'!A:F,6,0),"")</f>
        <v>N</v>
      </c>
      <c r="G305" t="str">
        <f t="shared" si="47"/>
        <v>Y</v>
      </c>
      <c r="H305">
        <f>IF(NOT(ISBLANK(A305)),VLOOKUP(A305,'Close - PriceSaver'!A:J,5,0),"")</f>
        <v>4.4579925003941701E-2</v>
      </c>
      <c r="I305" s="4" t="e" cm="1">
        <f t="array" ref="I305">IF(NOT(ISBLANK(A305)),((_xlfn.XLOOKUP(1,(_bbt3[[#All],[ID]]=A305)*(_bbt3[[#All],[METRIC_NAME]]="YLD_YTM_ASK"),_bbt3[[#All],[METRIC_VALUE]])*0.5)+(_xlfn.XLOOKUP(1,(_bbt3[[#All],[ID]]=A305)*(_bbt3[[#All],[METRIC_NAME]]="YLD_YTM_BID"),_bbt3[[#All],[METRIC_VALUE]])*0.5))/100,"")</f>
        <v>#N/A</v>
      </c>
      <c r="J305">
        <f>IF(ISNA(VLOOKUP(A305,'CloseDL - PriceSaverBBT3'!A:E,5,0)),0,VLOOKUP(A305,'CloseDL - PriceSaverBBT3'!A:E,5,0))</f>
        <v>4.4579925003941701E-2</v>
      </c>
      <c r="K305" s="7">
        <f t="shared" si="48"/>
        <v>0</v>
      </c>
      <c r="L305" s="20">
        <f>IF(Close[[#This Row],[CreatedBy]]="MARINER\SilverAdm",1,0)</f>
        <v>1</v>
      </c>
      <c r="M305" t="str">
        <f>IF(NOT(ISBLANK(A305)),VLOOKUP(A305,'Close - PriceSaver'!A:J,6,0),"")</f>
        <v>DL input prc = 75.69636013  PX_ASK = 75.76650248 PX_BID = 75.62621777</v>
      </c>
      <c r="Q305" t="e">
        <f t="shared" si="40"/>
        <v>#N/A</v>
      </c>
      <c r="R305" t="e">
        <f t="shared" si="41"/>
        <v>#N/A</v>
      </c>
      <c r="S305" t="e">
        <f t="shared" si="42"/>
        <v>#N/A</v>
      </c>
      <c r="T305" s="15" t="e">
        <f t="shared" si="43"/>
        <v>#N/A</v>
      </c>
      <c r="U305" s="18" t="e">
        <f t="shared" si="44"/>
        <v>#N/A</v>
      </c>
      <c r="V305" s="18" t="e">
        <f t="shared" si="45"/>
        <v>#N/A</v>
      </c>
      <c r="W305" s="19" t="e">
        <f t="shared" si="46"/>
        <v>#N/A</v>
      </c>
      <c r="X305" t="e">
        <f>VLOOKUP(P305,Close[[ID]:[CreatedBy]],8,0)</f>
        <v>#N/A</v>
      </c>
    </row>
    <row r="306" spans="1:24" x14ac:dyDescent="0.35">
      <c r="A306" t="str">
        <v>912821KF1</v>
      </c>
      <c r="B306" t="str">
        <f>IF(NOT(ISBLANK(A306)),VLOOKUP(A306,'BBT3'!A:F,2,0),"")</f>
        <v>Bond</v>
      </c>
      <c r="C306" t="str">
        <f>IF(NOT(ISBLANK(A306)),VLOOKUP(A306,'BBT3'!A:F,3,0),"")</f>
        <v>US912821KF12</v>
      </c>
      <c r="D306" s="5">
        <f>IF(NOT(ISBLANK(A306)),VLOOKUP(A306,'BBT3'!A:F,4,1),"")</f>
        <v>0</v>
      </c>
      <c r="E306">
        <f>IF(NOT(ISBLANK(A306)),VLOOKUP(A306,'BBT3'!A:F,5,0),"")</f>
        <v>47452</v>
      </c>
      <c r="F306" t="str">
        <f>IF(NOT(ISBLANK(A306)),VLOOKUP(A306,'BBT3'!A:F,6,0),"")</f>
        <v>N</v>
      </c>
      <c r="G306" t="str">
        <f t="shared" si="47"/>
        <v>Y</v>
      </c>
      <c r="H306">
        <f>IF(NOT(ISBLANK(A306)),VLOOKUP(A306,'Close - PriceSaver'!A:J,5,0),"")</f>
        <v>4.2614989383484098E-2</v>
      </c>
      <c r="I306" s="4" t="e" cm="1">
        <f t="array" ref="I306">IF(NOT(ISBLANK(A306)),((_xlfn.XLOOKUP(1,(_bbt3[[#All],[ID]]=A306)*(_bbt3[[#All],[METRIC_NAME]]="YLD_YTM_ASK"),_bbt3[[#All],[METRIC_VALUE]])*0.5)+(_xlfn.XLOOKUP(1,(_bbt3[[#All],[ID]]=A306)*(_bbt3[[#All],[METRIC_NAME]]="YLD_YTM_BID"),_bbt3[[#All],[METRIC_VALUE]])*0.5))/100,"")</f>
        <v>#N/A</v>
      </c>
      <c r="J306">
        <f>IF(ISNA(VLOOKUP(A306,'CloseDL - PriceSaverBBT3'!A:E,5,0)),0,VLOOKUP(A306,'CloseDL - PriceSaverBBT3'!A:E,5,0))</f>
        <v>4.2614989383484098E-2</v>
      </c>
      <c r="K306" s="7">
        <f t="shared" si="48"/>
        <v>0</v>
      </c>
      <c r="L306" s="20">
        <f>IF(Close[[#This Row],[CreatedBy]]="MARINER\SilverAdm",1,0)</f>
        <v>1</v>
      </c>
      <c r="M306" t="str">
        <f>IF(NOT(ISBLANK(A306)),VLOOKUP(A306,'Close - PriceSaver'!A:J,6,0),"")</f>
        <v>DL input prc = 86.79730083  PX_ASK = 86.81870418 PX_BID = 86.77589748</v>
      </c>
      <c r="Q306" t="e">
        <f t="shared" si="40"/>
        <v>#N/A</v>
      </c>
      <c r="R306" t="e">
        <f t="shared" si="41"/>
        <v>#N/A</v>
      </c>
      <c r="S306" t="e">
        <f t="shared" si="42"/>
        <v>#N/A</v>
      </c>
      <c r="T306" s="15" t="e">
        <f t="shared" si="43"/>
        <v>#N/A</v>
      </c>
      <c r="U306" s="18" t="e">
        <f t="shared" si="44"/>
        <v>#N/A</v>
      </c>
      <c r="V306" s="18" t="e">
        <f t="shared" si="45"/>
        <v>#N/A</v>
      </c>
      <c r="W306" s="19" t="e">
        <f t="shared" si="46"/>
        <v>#N/A</v>
      </c>
      <c r="X306" t="e">
        <f>VLOOKUP(P306,Close[[ID]:[CreatedBy]],8,0)</f>
        <v>#N/A</v>
      </c>
    </row>
    <row r="307" spans="1:24" x14ac:dyDescent="0.35">
      <c r="A307" t="str">
        <v>912821KK0</v>
      </c>
      <c r="B307" t="str">
        <f>IF(NOT(ISBLANK(A307)),VLOOKUP(A307,'BBT3'!A:F,2,0),"")</f>
        <v>Bond</v>
      </c>
      <c r="C307" t="str">
        <f>IF(NOT(ISBLANK(A307)),VLOOKUP(A307,'BBT3'!A:F,3,0),"")</f>
        <v>US912821KK07</v>
      </c>
      <c r="D307" s="5">
        <f>IF(NOT(ISBLANK(A307)),VLOOKUP(A307,'BBT3'!A:F,4,1),"")</f>
        <v>0</v>
      </c>
      <c r="E307">
        <f>IF(NOT(ISBLANK(A307)),VLOOKUP(A307,'BBT3'!A:F,5,0),"")</f>
        <v>47483</v>
      </c>
      <c r="F307" t="str">
        <f>IF(NOT(ISBLANK(A307)),VLOOKUP(A307,'BBT3'!A:F,6,0),"")</f>
        <v>N</v>
      </c>
      <c r="G307" t="str">
        <f t="shared" si="47"/>
        <v>Y</v>
      </c>
      <c r="H307">
        <f>IF(NOT(ISBLANK(A307)),VLOOKUP(A307,'Close - PriceSaver'!A:J,5,0),"")</f>
        <v>4.2659909340664E-2</v>
      </c>
      <c r="I307" s="4" t="e" cm="1">
        <f t="array" ref="I307">IF(NOT(ISBLANK(A307)),((_xlfn.XLOOKUP(1,(_bbt3[[#All],[ID]]=A307)*(_bbt3[[#All],[METRIC_NAME]]="YLD_YTM_ASK"),_bbt3[[#All],[METRIC_VALUE]])*0.5)+(_xlfn.XLOOKUP(1,(_bbt3[[#All],[ID]]=A307)*(_bbt3[[#All],[METRIC_NAME]]="YLD_YTM_BID"),_bbt3[[#All],[METRIC_VALUE]])*0.5))/100,"")</f>
        <v>#N/A</v>
      </c>
      <c r="J307">
        <f>IF(ISNA(VLOOKUP(A307,'CloseDL - PriceSaverBBT3'!A:E,5,0)),0,VLOOKUP(A307,'CloseDL - PriceSaverBBT3'!A:E,5,0))</f>
        <v>4.2659909340664E-2</v>
      </c>
      <c r="K307" s="7">
        <f t="shared" si="48"/>
        <v>0</v>
      </c>
      <c r="L307" s="20">
        <f>IF(Close[[#This Row],[CreatedBy]]="MARINER\SilverAdm",1,0)</f>
        <v>1</v>
      </c>
      <c r="M307" t="str">
        <f>IF(NOT(ISBLANK(A307)),VLOOKUP(A307,'Close - PriceSaver'!A:J,6,0),"")</f>
        <v>DL input prc = 86.48205985  PX_ASK = 86.50390756 PX_BID = 86.46021213</v>
      </c>
      <c r="Q307" t="e">
        <f t="shared" si="40"/>
        <v>#N/A</v>
      </c>
      <c r="R307" t="e">
        <f t="shared" si="41"/>
        <v>#N/A</v>
      </c>
      <c r="S307" t="e">
        <f t="shared" si="42"/>
        <v>#N/A</v>
      </c>
      <c r="T307" s="15" t="e">
        <f t="shared" si="43"/>
        <v>#N/A</v>
      </c>
      <c r="U307" s="18" t="e">
        <f t="shared" si="44"/>
        <v>#N/A</v>
      </c>
      <c r="V307" s="18" t="e">
        <f t="shared" si="45"/>
        <v>#N/A</v>
      </c>
      <c r="W307" s="19" t="e">
        <f t="shared" si="46"/>
        <v>#N/A</v>
      </c>
      <c r="X307" t="e">
        <f>VLOOKUP(P307,Close[[ID]:[CreatedBy]],8,0)</f>
        <v>#N/A</v>
      </c>
    </row>
    <row r="308" spans="1:24" x14ac:dyDescent="0.35">
      <c r="A308" t="str">
        <v>912821KQ7</v>
      </c>
      <c r="B308" t="str">
        <f>IF(NOT(ISBLANK(A308)),VLOOKUP(A308,'BBT3'!A:F,2,0),"")</f>
        <v>Bond</v>
      </c>
      <c r="C308" t="str">
        <f>IF(NOT(ISBLANK(A308)),VLOOKUP(A308,'BBT3'!A:F,3,0),"")</f>
        <v>US912821KQ76</v>
      </c>
      <c r="D308" s="5">
        <f>IF(NOT(ISBLANK(A308)),VLOOKUP(A308,'BBT3'!A:F,4,1),"")</f>
        <v>0</v>
      </c>
      <c r="E308">
        <f>IF(NOT(ISBLANK(A308)),VLOOKUP(A308,'BBT3'!A:F,5,0),"")</f>
        <v>47514</v>
      </c>
      <c r="F308" t="str">
        <f>IF(NOT(ISBLANK(A308)),VLOOKUP(A308,'BBT3'!A:F,6,0),"")</f>
        <v>N</v>
      </c>
      <c r="G308" t="str">
        <f t="shared" si="47"/>
        <v>Y</v>
      </c>
      <c r="H308">
        <f>IF(NOT(ISBLANK(A308)),VLOOKUP(A308,'Close - PriceSaver'!A:J,5,0),"")</f>
        <v>4.2709990349081503E-2</v>
      </c>
      <c r="I308" s="4" t="e" cm="1">
        <f t="array" ref="I308">IF(NOT(ISBLANK(A308)),((_xlfn.XLOOKUP(1,(_bbt3[[#All],[ID]]=A308)*(_bbt3[[#All],[METRIC_NAME]]="YLD_YTM_ASK"),_bbt3[[#All],[METRIC_VALUE]])*0.5)+(_xlfn.XLOOKUP(1,(_bbt3[[#All],[ID]]=A308)*(_bbt3[[#All],[METRIC_NAME]]="YLD_YTM_BID"),_bbt3[[#All],[METRIC_VALUE]])*0.5))/100,"")</f>
        <v>#N/A</v>
      </c>
      <c r="J308">
        <f>IF(ISNA(VLOOKUP(A308,'CloseDL - PriceSaverBBT3'!A:E,5,0)),0,VLOOKUP(A308,'CloseDL - PriceSaverBBT3'!A:E,5,0))</f>
        <v>4.2709990349081503E-2</v>
      </c>
      <c r="K308" s="7">
        <f t="shared" si="48"/>
        <v>0</v>
      </c>
      <c r="L308" s="20">
        <f>IF(Close[[#This Row],[CreatedBy]]="MARINER\SilverAdm",1,0)</f>
        <v>1</v>
      </c>
      <c r="M308" t="str">
        <f>IF(NOT(ISBLANK(A308)),VLOOKUP(A308,'Close - PriceSaver'!A:J,6,0),"")</f>
        <v>DL input prc = 86.16019602  PX_ASK = 86.18101072 PX_BID = 86.13938132</v>
      </c>
      <c r="Q308" t="e">
        <f t="shared" si="40"/>
        <v>#N/A</v>
      </c>
      <c r="R308" t="e">
        <f t="shared" si="41"/>
        <v>#N/A</v>
      </c>
      <c r="S308" t="e">
        <f t="shared" si="42"/>
        <v>#N/A</v>
      </c>
      <c r="T308" s="15" t="e">
        <f t="shared" si="43"/>
        <v>#N/A</v>
      </c>
      <c r="U308" s="18" t="e">
        <f t="shared" si="44"/>
        <v>#N/A</v>
      </c>
      <c r="V308" s="18" t="e">
        <f t="shared" si="45"/>
        <v>#N/A</v>
      </c>
      <c r="W308" s="19" t="e">
        <f t="shared" si="46"/>
        <v>#N/A</v>
      </c>
      <c r="X308" t="e">
        <f>VLOOKUP(P308,Close[[ID]:[CreatedBy]],8,0)</f>
        <v>#N/A</v>
      </c>
    </row>
    <row r="309" spans="1:24" x14ac:dyDescent="0.35">
      <c r="A309" t="str">
        <v>912821KS3</v>
      </c>
      <c r="B309" t="str">
        <f>IF(NOT(ISBLANK(A309)),VLOOKUP(A309,'BBT3'!A:F,2,0),"")</f>
        <v>Bond</v>
      </c>
      <c r="C309" t="str">
        <f>IF(NOT(ISBLANK(A309)),VLOOKUP(A309,'BBT3'!A:F,3,0),"")</f>
        <v>US912821KS33</v>
      </c>
      <c r="D309" s="5">
        <f>IF(NOT(ISBLANK(A309)),VLOOKUP(A309,'BBT3'!A:F,4,1),"")</f>
        <v>0</v>
      </c>
      <c r="E309">
        <f>IF(NOT(ISBLANK(A309)),VLOOKUP(A309,'BBT3'!A:F,5,0),"")</f>
        <v>48625</v>
      </c>
      <c r="F309" t="str">
        <f>IF(NOT(ISBLANK(A309)),VLOOKUP(A309,'BBT3'!A:F,6,0),"")</f>
        <v>N</v>
      </c>
      <c r="G309" t="str">
        <f t="shared" si="47"/>
        <v>Y</v>
      </c>
      <c r="H309">
        <f>IF(NOT(ISBLANK(A309)),VLOOKUP(A309,'Close - PriceSaver'!A:J,5,0),"")</f>
        <v>4.4804881721120397E-2</v>
      </c>
      <c r="I309" s="4" t="e" cm="1">
        <f t="array" ref="I309">IF(NOT(ISBLANK(A309)),((_xlfn.XLOOKUP(1,(_bbt3[[#All],[ID]]=A309)*(_bbt3[[#All],[METRIC_NAME]]="YLD_YTM_ASK"),_bbt3[[#All],[METRIC_VALUE]])*0.5)+(_xlfn.XLOOKUP(1,(_bbt3[[#All],[ID]]=A309)*(_bbt3[[#All],[METRIC_NAME]]="YLD_YTM_BID"),_bbt3[[#All],[METRIC_VALUE]])*0.5))/100,"")</f>
        <v>#N/A</v>
      </c>
      <c r="J309">
        <f>IF(ISNA(VLOOKUP(A309,'CloseDL - PriceSaverBBT3'!A:E,5,0)),0,VLOOKUP(A309,'CloseDL - PriceSaverBBT3'!A:E,5,0))</f>
        <v>4.4804881721120397E-2</v>
      </c>
      <c r="K309" s="7">
        <f t="shared" si="48"/>
        <v>0</v>
      </c>
      <c r="L309" s="20">
        <f>IF(Close[[#This Row],[CreatedBy]]="MARINER\SilverAdm",1,0)</f>
        <v>1</v>
      </c>
      <c r="M309" t="str">
        <f>IF(NOT(ISBLANK(A309)),VLOOKUP(A309,'Close - PriceSaver'!A:J,6,0),"")</f>
        <v>DL input prc = 74.75491665  PX_ASK = 74.84373649 PX_BID = 74.66609681</v>
      </c>
      <c r="Q309" t="e">
        <f t="shared" ref="Q309:Q372" si="49">VLOOKUP(P309,A:C,3,0)</f>
        <v>#N/A</v>
      </c>
      <c r="R309" t="e">
        <f t="shared" ref="R309:R372" si="50">VLOOKUP(P309,A:B,2,0)</f>
        <v>#N/A</v>
      </c>
      <c r="S309" t="e">
        <f t="shared" ref="S309:S372" si="51">VLOOKUP(P309,A:E,4,0)</f>
        <v>#N/A</v>
      </c>
      <c r="T309" s="15" t="e">
        <f t="shared" ref="T309:T372" si="52">VLOOKUP(P309,A:K,5,0)</f>
        <v>#N/A</v>
      </c>
      <c r="U309" s="18" t="e">
        <f t="shared" ref="U309:U372" si="53">VLOOKUP(P309,A:K,8,0)</f>
        <v>#N/A</v>
      </c>
      <c r="V309" s="18" t="e">
        <f t="shared" ref="V309:V372" si="54">VLOOKUP(P309,A:K,10,0)</f>
        <v>#N/A</v>
      </c>
      <c r="W309" s="19" t="e">
        <f t="shared" ref="W309:W372" si="55">(V309-U309)*100</f>
        <v>#N/A</v>
      </c>
      <c r="X309" t="e">
        <f>VLOOKUP(P309,Close[[ID]:[CreatedBy]],8,0)</f>
        <v>#N/A</v>
      </c>
    </row>
    <row r="310" spans="1:24" x14ac:dyDescent="0.35">
      <c r="A310" t="str">
        <v>912821KV6</v>
      </c>
      <c r="B310" t="str">
        <f>IF(NOT(ISBLANK(A310)),VLOOKUP(A310,'BBT3'!A:F,2,0),"")</f>
        <v>Bond</v>
      </c>
      <c r="C310" t="str">
        <f>IF(NOT(ISBLANK(A310)),VLOOKUP(A310,'BBT3'!A:F,3,0),"")</f>
        <v>US912821KV61</v>
      </c>
      <c r="D310" s="5">
        <f>IF(NOT(ISBLANK(A310)),VLOOKUP(A310,'BBT3'!A:F,4,1),"")</f>
        <v>0</v>
      </c>
      <c r="E310">
        <f>IF(NOT(ISBLANK(A310)),VLOOKUP(A310,'BBT3'!A:F,5,0),"")</f>
        <v>47542</v>
      </c>
      <c r="F310" t="str">
        <f>IF(NOT(ISBLANK(A310)),VLOOKUP(A310,'BBT3'!A:F,6,0),"")</f>
        <v>N</v>
      </c>
      <c r="G310" t="str">
        <f t="shared" si="47"/>
        <v>Y</v>
      </c>
      <c r="H310">
        <f>IF(NOT(ISBLANK(A310)),VLOOKUP(A310,'Close - PriceSaver'!A:J,5,0),"")</f>
        <v>4.2749990159338502E-2</v>
      </c>
      <c r="I310" s="4" t="e" cm="1">
        <f t="array" ref="I310">IF(NOT(ISBLANK(A310)),((_xlfn.XLOOKUP(1,(_bbt3[[#All],[ID]]=A310)*(_bbt3[[#All],[METRIC_NAME]]="YLD_YTM_ASK"),_bbt3[[#All],[METRIC_VALUE]])*0.5)+(_xlfn.XLOOKUP(1,(_bbt3[[#All],[ID]]=A310)*(_bbt3[[#All],[METRIC_NAME]]="YLD_YTM_BID"),_bbt3[[#All],[METRIC_VALUE]])*0.5))/100,"")</f>
        <v>#N/A</v>
      </c>
      <c r="J310">
        <f>IF(ISNA(VLOOKUP(A310,'CloseDL - PriceSaverBBT3'!A:E,5,0)),0,VLOOKUP(A310,'CloseDL - PriceSaverBBT3'!A:E,5,0))</f>
        <v>4.2749990159338502E-2</v>
      </c>
      <c r="K310" s="7">
        <f t="shared" si="48"/>
        <v>0</v>
      </c>
      <c r="L310" s="20">
        <f>IF(Close[[#This Row],[CreatedBy]]="MARINER\SilverAdm",1,0)</f>
        <v>1</v>
      </c>
      <c r="M310" t="str">
        <f>IF(NOT(ISBLANK(A310)),VLOOKUP(A310,'Close - PriceSaver'!A:J,6,0),"")</f>
        <v>DL input prc = 85.84335107  PX_ASK = 85.86458203 PX_BID = 85.82212010</v>
      </c>
      <c r="Q310" t="e">
        <f t="shared" si="49"/>
        <v>#N/A</v>
      </c>
      <c r="R310" t="e">
        <f t="shared" si="50"/>
        <v>#N/A</v>
      </c>
      <c r="S310" t="e">
        <f t="shared" si="51"/>
        <v>#N/A</v>
      </c>
      <c r="T310" s="15" t="e">
        <f t="shared" si="52"/>
        <v>#N/A</v>
      </c>
      <c r="U310" s="18" t="e">
        <f t="shared" si="53"/>
        <v>#N/A</v>
      </c>
      <c r="V310" s="18" t="e">
        <f t="shared" si="54"/>
        <v>#N/A</v>
      </c>
      <c r="W310" s="19" t="e">
        <f t="shared" si="55"/>
        <v>#N/A</v>
      </c>
      <c r="X310" t="e">
        <f>VLOOKUP(P310,Close[[ID]:[CreatedBy]],8,0)</f>
        <v>#N/A</v>
      </c>
    </row>
    <row r="311" spans="1:24" x14ac:dyDescent="0.35">
      <c r="A311" t="str">
        <v>912821KZ7</v>
      </c>
      <c r="B311" t="str">
        <f>IF(NOT(ISBLANK(A311)),VLOOKUP(A311,'BBT3'!A:F,2,0),"")</f>
        <v>Bond</v>
      </c>
      <c r="C311" t="str">
        <f>IF(NOT(ISBLANK(A311)),VLOOKUP(A311,'BBT3'!A:F,3,0),"")</f>
        <v>US912821KZ75</v>
      </c>
      <c r="D311" s="5">
        <f>IF(NOT(ISBLANK(A311)),VLOOKUP(A311,'BBT3'!A:F,4,1),"")</f>
        <v>0</v>
      </c>
      <c r="E311">
        <f>IF(NOT(ISBLANK(A311)),VLOOKUP(A311,'BBT3'!A:F,5,0),"")</f>
        <v>47573</v>
      </c>
      <c r="F311" t="str">
        <f>IF(NOT(ISBLANK(A311)),VLOOKUP(A311,'BBT3'!A:F,6,0),"")</f>
        <v>N</v>
      </c>
      <c r="G311" t="str">
        <f t="shared" si="47"/>
        <v>Y</v>
      </c>
      <c r="H311">
        <f>IF(NOT(ISBLANK(A311)),VLOOKUP(A311,'Close - PriceSaver'!A:J,5,0),"")</f>
        <v>4.2799989940359398E-2</v>
      </c>
      <c r="I311" s="4" t="e" cm="1">
        <f t="array" ref="I311">IF(NOT(ISBLANK(A311)),((_xlfn.XLOOKUP(1,(_bbt3[[#All],[ID]]=A311)*(_bbt3[[#All],[METRIC_NAME]]="YLD_YTM_ASK"),_bbt3[[#All],[METRIC_VALUE]])*0.5)+(_xlfn.XLOOKUP(1,(_bbt3[[#All],[ID]]=A311)*(_bbt3[[#All],[METRIC_NAME]]="YLD_YTM_BID"),_bbt3[[#All],[METRIC_VALUE]])*0.5))/100,"")</f>
        <v>#N/A</v>
      </c>
      <c r="J311">
        <f>IF(ISNA(VLOOKUP(A311,'CloseDL - PriceSaverBBT3'!A:E,5,0)),0,VLOOKUP(A311,'CloseDL - PriceSaverBBT3'!A:E,5,0))</f>
        <v>4.2799989940359398E-2</v>
      </c>
      <c r="K311" s="7">
        <f t="shared" si="48"/>
        <v>0</v>
      </c>
      <c r="L311" s="20">
        <f>IF(Close[[#This Row],[CreatedBy]]="MARINER\SilverAdm",1,0)</f>
        <v>1</v>
      </c>
      <c r="M311" t="str">
        <f>IF(NOT(ISBLANK(A311)),VLOOKUP(A311,'Close - PriceSaver'!A:J,6,0),"")</f>
        <v>DL input prc = 85.52862725  PX_ASK = 85.55026379 PX_BID = 85.50699070</v>
      </c>
      <c r="Q311" t="e">
        <f t="shared" si="49"/>
        <v>#N/A</v>
      </c>
      <c r="R311" t="e">
        <f t="shared" si="50"/>
        <v>#N/A</v>
      </c>
      <c r="S311" t="e">
        <f t="shared" si="51"/>
        <v>#N/A</v>
      </c>
      <c r="T311" s="15" t="e">
        <f t="shared" si="52"/>
        <v>#N/A</v>
      </c>
      <c r="U311" s="18" t="e">
        <f t="shared" si="53"/>
        <v>#N/A</v>
      </c>
      <c r="V311" s="18" t="e">
        <f t="shared" si="54"/>
        <v>#N/A</v>
      </c>
      <c r="W311" s="19" t="e">
        <f t="shared" si="55"/>
        <v>#N/A</v>
      </c>
      <c r="X311" t="e">
        <f>VLOOKUP(P311,Close[[ID]:[CreatedBy]],8,0)</f>
        <v>#N/A</v>
      </c>
    </row>
    <row r="312" spans="1:24" x14ac:dyDescent="0.35">
      <c r="A312" t="str">
        <v>912821LE3</v>
      </c>
      <c r="B312" t="str">
        <f>IF(NOT(ISBLANK(A312)),VLOOKUP(A312,'BBT3'!A:F,2,0),"")</f>
        <v>Bond</v>
      </c>
      <c r="C312" t="str">
        <f>IF(NOT(ISBLANK(A312)),VLOOKUP(A312,'BBT3'!A:F,3,0),"")</f>
        <v>US912821LE38</v>
      </c>
      <c r="D312" s="5">
        <f>IF(NOT(ISBLANK(A312)),VLOOKUP(A312,'BBT3'!A:F,4,1),"")</f>
        <v>0</v>
      </c>
      <c r="E312">
        <f>IF(NOT(ISBLANK(A312)),VLOOKUP(A312,'BBT3'!A:F,5,0),"")</f>
        <v>47603</v>
      </c>
      <c r="F312" t="str">
        <f>IF(NOT(ISBLANK(A312)),VLOOKUP(A312,'BBT3'!A:F,6,0),"")</f>
        <v>N</v>
      </c>
      <c r="G312" t="str">
        <f t="shared" si="47"/>
        <v>Y</v>
      </c>
      <c r="H312">
        <f>IF(NOT(ISBLANK(A312)),VLOOKUP(A312,'Close - PriceSaver'!A:J,5,0),"")</f>
        <v>4.2838174386500998E-2</v>
      </c>
      <c r="I312" s="4" t="e" cm="1">
        <f t="array" ref="I312">IF(NOT(ISBLANK(A312)),((_xlfn.XLOOKUP(1,(_bbt3[[#All],[ID]]=A312)*(_bbt3[[#All],[METRIC_NAME]]="YLD_YTM_ASK"),_bbt3[[#All],[METRIC_VALUE]])*0.5)+(_xlfn.XLOOKUP(1,(_bbt3[[#All],[ID]]=A312)*(_bbt3[[#All],[METRIC_NAME]]="YLD_YTM_BID"),_bbt3[[#All],[METRIC_VALUE]])*0.5))/100,"")</f>
        <v>#N/A</v>
      </c>
      <c r="J312">
        <f>IF(ISNA(VLOOKUP(A312,'CloseDL - PriceSaverBBT3'!A:E,5,0)),0,VLOOKUP(A312,'CloseDL - PriceSaverBBT3'!A:E,5,0))</f>
        <v>4.2838174386500998E-2</v>
      </c>
      <c r="K312" s="7">
        <f t="shared" si="48"/>
        <v>0</v>
      </c>
      <c r="L312" s="20">
        <f>IF(Close[[#This Row],[CreatedBy]]="MARINER\SilverAdm",1,0)</f>
        <v>1</v>
      </c>
      <c r="M312" t="str">
        <f>IF(NOT(ISBLANK(A312)),VLOOKUP(A312,'Close - PriceSaver'!A:J,6,0),"")</f>
        <v>DL input prc = 85.21363693  PX_ASK = 85.23725364 PX_BID = 85.19002022</v>
      </c>
      <c r="Q312" t="e">
        <f t="shared" si="49"/>
        <v>#N/A</v>
      </c>
      <c r="R312" t="e">
        <f t="shared" si="50"/>
        <v>#N/A</v>
      </c>
      <c r="S312" t="e">
        <f t="shared" si="51"/>
        <v>#N/A</v>
      </c>
      <c r="T312" s="15" t="e">
        <f t="shared" si="52"/>
        <v>#N/A</v>
      </c>
      <c r="U312" s="18" t="e">
        <f t="shared" si="53"/>
        <v>#N/A</v>
      </c>
      <c r="V312" s="18" t="e">
        <f t="shared" si="54"/>
        <v>#N/A</v>
      </c>
      <c r="W312" s="19" t="e">
        <f t="shared" si="55"/>
        <v>#N/A</v>
      </c>
      <c r="X312" t="e">
        <f>VLOOKUP(P312,Close[[ID]:[CreatedBy]],8,0)</f>
        <v>#N/A</v>
      </c>
    </row>
    <row r="313" spans="1:24" x14ac:dyDescent="0.35">
      <c r="A313" t="str">
        <v>912821LG8</v>
      </c>
      <c r="B313" t="str">
        <f>IF(NOT(ISBLANK(A313)),VLOOKUP(A313,'BBT3'!A:F,2,0),"")</f>
        <v>Bond</v>
      </c>
      <c r="C313" t="str">
        <f>IF(NOT(ISBLANK(A313)),VLOOKUP(A313,'BBT3'!A:F,3,0),"")</f>
        <v>US912821LG85</v>
      </c>
      <c r="D313" s="5">
        <f>IF(NOT(ISBLANK(A313)),VLOOKUP(A313,'BBT3'!A:F,4,1),"")</f>
        <v>0</v>
      </c>
      <c r="E313">
        <f>IF(NOT(ISBLANK(A313)),VLOOKUP(A313,'BBT3'!A:F,5,0),"")</f>
        <v>48714</v>
      </c>
      <c r="F313" t="str">
        <f>IF(NOT(ISBLANK(A313)),VLOOKUP(A313,'BBT3'!A:F,6,0),"")</f>
        <v>N</v>
      </c>
      <c r="G313" t="str">
        <f t="shared" si="47"/>
        <v>Y</v>
      </c>
      <c r="H313">
        <f>IF(NOT(ISBLANK(A313)),VLOOKUP(A313,'Close - PriceSaver'!A:J,5,0),"")</f>
        <v>4.49299195106624E-2</v>
      </c>
      <c r="I313" s="4" t="e" cm="1">
        <f t="array" ref="I313">IF(NOT(ISBLANK(A313)),((_xlfn.XLOOKUP(1,(_bbt3[[#All],[ID]]=A313)*(_bbt3[[#All],[METRIC_NAME]]="YLD_YTM_ASK"),_bbt3[[#All],[METRIC_VALUE]])*0.5)+(_xlfn.XLOOKUP(1,(_bbt3[[#All],[ID]]=A313)*(_bbt3[[#All],[METRIC_NAME]]="YLD_YTM_BID"),_bbt3[[#All],[METRIC_VALUE]])*0.5))/100,"")</f>
        <v>#N/A</v>
      </c>
      <c r="J313">
        <f>IF(ISNA(VLOOKUP(A313,'CloseDL - PriceSaverBBT3'!A:E,5,0)),0,VLOOKUP(A313,'CloseDL - PriceSaverBBT3'!A:E,5,0))</f>
        <v>4.49299195106624E-2</v>
      </c>
      <c r="K313" s="7">
        <f t="shared" si="48"/>
        <v>0</v>
      </c>
      <c r="L313" s="20">
        <f>IF(Close[[#This Row],[CreatedBy]]="MARINER\SilverAdm",1,0)</f>
        <v>1</v>
      </c>
      <c r="M313" t="str">
        <f>IF(NOT(ISBLANK(A313)),VLOOKUP(A313,'Close - PriceSaver'!A:J,6,0),"")</f>
        <v>DL input prc = 73.87332662  PX_ASK = 73.94718674 PX_BID = 73.79946650</v>
      </c>
      <c r="Q313" t="e">
        <f t="shared" si="49"/>
        <v>#N/A</v>
      </c>
      <c r="R313" t="e">
        <f t="shared" si="50"/>
        <v>#N/A</v>
      </c>
      <c r="S313" t="e">
        <f t="shared" si="51"/>
        <v>#N/A</v>
      </c>
      <c r="T313" s="15" t="e">
        <f t="shared" si="52"/>
        <v>#N/A</v>
      </c>
      <c r="U313" s="18" t="e">
        <f t="shared" si="53"/>
        <v>#N/A</v>
      </c>
      <c r="V313" s="18" t="e">
        <f t="shared" si="54"/>
        <v>#N/A</v>
      </c>
      <c r="W313" s="19" t="e">
        <f t="shared" si="55"/>
        <v>#N/A</v>
      </c>
      <c r="X313" t="e">
        <f>VLOOKUP(P313,Close[[ID]:[CreatedBy]],8,0)</f>
        <v>#N/A</v>
      </c>
    </row>
    <row r="314" spans="1:24" x14ac:dyDescent="0.35">
      <c r="A314" t="str">
        <v>912821LK9</v>
      </c>
      <c r="B314" t="str">
        <f>IF(NOT(ISBLANK(A314)),VLOOKUP(A314,'BBT3'!A:F,2,0),"")</f>
        <v>Bond</v>
      </c>
      <c r="C314" t="str">
        <f>IF(NOT(ISBLANK(A314)),VLOOKUP(A314,'BBT3'!A:F,3,0),"")</f>
        <v>US912821LK97</v>
      </c>
      <c r="D314" s="5">
        <f>IF(NOT(ISBLANK(A314)),VLOOKUP(A314,'BBT3'!A:F,4,1),"")</f>
        <v>0</v>
      </c>
      <c r="E314">
        <f>IF(NOT(ISBLANK(A314)),VLOOKUP(A314,'BBT3'!A:F,5,0),"")</f>
        <v>47634</v>
      </c>
      <c r="F314" t="str">
        <f>IF(NOT(ISBLANK(A314)),VLOOKUP(A314,'BBT3'!A:F,6,0),"")</f>
        <v>N</v>
      </c>
      <c r="G314" t="str">
        <f t="shared" si="47"/>
        <v>Y</v>
      </c>
      <c r="H314">
        <f>IF(NOT(ISBLANK(A314)),VLOOKUP(A314,'Close - PriceSaver'!A:J,5,0),"")</f>
        <v>4.2889989543647401E-2</v>
      </c>
      <c r="I314" s="4" t="e" cm="1">
        <f t="array" ref="I314">IF(NOT(ISBLANK(A314)),((_xlfn.XLOOKUP(1,(_bbt3[[#All],[ID]]=A314)*(_bbt3[[#All],[METRIC_NAME]]="YLD_YTM_ASK"),_bbt3[[#All],[METRIC_VALUE]])*0.5)+(_xlfn.XLOOKUP(1,(_bbt3[[#All],[ID]]=A314)*(_bbt3[[#All],[METRIC_NAME]]="YLD_YTM_BID"),_bbt3[[#All],[METRIC_VALUE]])*0.5))/100,"")</f>
        <v>#N/A</v>
      </c>
      <c r="J314">
        <f>IF(ISNA(VLOOKUP(A314,'CloseDL - PriceSaverBBT3'!A:E,5,0)),0,VLOOKUP(A314,'CloseDL - PriceSaverBBT3'!A:E,5,0))</f>
        <v>4.2889989543647401E-2</v>
      </c>
      <c r="K314" s="7">
        <f t="shared" si="48"/>
        <v>0</v>
      </c>
      <c r="L314" s="20">
        <f>IF(Close[[#This Row],[CreatedBy]]="MARINER\SilverAdm",1,0)</f>
        <v>1</v>
      </c>
      <c r="M314" t="str">
        <f>IF(NOT(ISBLANK(A314)),VLOOKUP(A314,'Close - PriceSaver'!A:J,6,0),"")</f>
        <v>DL input prc = 84.89822068  PX_ASK = 84.92066649 PX_BID = 84.87577487</v>
      </c>
      <c r="Q314" t="e">
        <f t="shared" si="49"/>
        <v>#N/A</v>
      </c>
      <c r="R314" t="e">
        <f t="shared" si="50"/>
        <v>#N/A</v>
      </c>
      <c r="S314" t="e">
        <f t="shared" si="51"/>
        <v>#N/A</v>
      </c>
      <c r="T314" s="15" t="e">
        <f t="shared" si="52"/>
        <v>#N/A</v>
      </c>
      <c r="U314" s="18" t="e">
        <f t="shared" si="53"/>
        <v>#N/A</v>
      </c>
      <c r="V314" s="18" t="e">
        <f t="shared" si="54"/>
        <v>#N/A</v>
      </c>
      <c r="W314" s="19" t="e">
        <f t="shared" si="55"/>
        <v>#N/A</v>
      </c>
      <c r="X314" t="e">
        <f>VLOOKUP(P314,Close[[ID]:[CreatedBy]],8,0)</f>
        <v>#N/A</v>
      </c>
    </row>
    <row r="315" spans="1:24" x14ac:dyDescent="0.35">
      <c r="A315" t="str">
        <v>912821MA0</v>
      </c>
      <c r="B315" t="str">
        <f>IF(NOT(ISBLANK(A315)),VLOOKUP(A315,'BBT3'!A:F,2,0),"")</f>
        <v>Bond</v>
      </c>
      <c r="C315" t="str">
        <f>IF(NOT(ISBLANK(A315)),VLOOKUP(A315,'BBT3'!A:F,3,0),"")</f>
        <v>US912821MA07</v>
      </c>
      <c r="D315" s="5">
        <f>IF(NOT(ISBLANK(A315)),VLOOKUP(A315,'BBT3'!A:F,4,1),"")</f>
        <v>0</v>
      </c>
      <c r="E315">
        <f>IF(NOT(ISBLANK(A315)),VLOOKUP(A315,'BBT3'!A:F,5,0),"")</f>
        <v>46843</v>
      </c>
      <c r="F315" t="str">
        <f>IF(NOT(ISBLANK(A315)),VLOOKUP(A315,'BBT3'!A:F,6,0),"")</f>
        <v>N</v>
      </c>
      <c r="G315" t="str">
        <f t="shared" si="47"/>
        <v>Y</v>
      </c>
      <c r="H315">
        <f>IF(NOT(ISBLANK(A315)),VLOOKUP(A315,'Close - PriceSaver'!A:J,5,0),"")</f>
        <v>4.2034992265138897E-2</v>
      </c>
      <c r="I315" s="4" t="e" cm="1">
        <f t="array" ref="I315">IF(NOT(ISBLANK(A315)),((_xlfn.XLOOKUP(1,(_bbt3[[#All],[ID]]=A315)*(_bbt3[[#All],[METRIC_NAME]]="YLD_YTM_ASK"),_bbt3[[#All],[METRIC_VALUE]])*0.5)+(_xlfn.XLOOKUP(1,(_bbt3[[#All],[ID]]=A315)*(_bbt3[[#All],[METRIC_NAME]]="YLD_YTM_BID"),_bbt3[[#All],[METRIC_VALUE]])*0.5))/100,"")</f>
        <v>#N/A</v>
      </c>
      <c r="J315">
        <f>IF(ISNA(VLOOKUP(A315,'CloseDL - PriceSaverBBT3'!A:E,5,0)),0,VLOOKUP(A315,'CloseDL - PriceSaverBBT3'!A:E,5,0))</f>
        <v>4.2034992265138897E-2</v>
      </c>
      <c r="K315" s="7">
        <f t="shared" si="48"/>
        <v>0</v>
      </c>
      <c r="L315" s="20">
        <f>IF(Close[[#This Row],[CreatedBy]]="MARINER\SilverAdm",1,0)</f>
        <v>1</v>
      </c>
      <c r="M315" t="str">
        <f>IF(NOT(ISBLANK(A315)),VLOOKUP(A315,'Close - PriceSaver'!A:J,6,0),"")</f>
        <v>DL input prc = 93.20627056  PX_ASK = 93.21939378 PX_BID = 93.19314734</v>
      </c>
      <c r="Q315" t="e">
        <f t="shared" si="49"/>
        <v>#N/A</v>
      </c>
      <c r="R315" t="e">
        <f t="shared" si="50"/>
        <v>#N/A</v>
      </c>
      <c r="S315" t="e">
        <f t="shared" si="51"/>
        <v>#N/A</v>
      </c>
      <c r="T315" s="15" t="e">
        <f t="shared" si="52"/>
        <v>#N/A</v>
      </c>
      <c r="U315" s="18" t="e">
        <f t="shared" si="53"/>
        <v>#N/A</v>
      </c>
      <c r="V315" s="18" t="e">
        <f t="shared" si="54"/>
        <v>#N/A</v>
      </c>
      <c r="W315" s="19" t="e">
        <f t="shared" si="55"/>
        <v>#N/A</v>
      </c>
      <c r="X315" t="e">
        <f>VLOOKUP(P315,Close[[ID]:[CreatedBy]],8,0)</f>
        <v>#N/A</v>
      </c>
    </row>
    <row r="316" spans="1:24" x14ac:dyDescent="0.35">
      <c r="A316" t="str">
        <v>912821MF9</v>
      </c>
      <c r="B316" t="str">
        <f>IF(NOT(ISBLANK(A316)),VLOOKUP(A316,'BBT3'!A:F,2,0),"")</f>
        <v>Bond</v>
      </c>
      <c r="C316" t="str">
        <f>IF(NOT(ISBLANK(A316)),VLOOKUP(A316,'BBT3'!A:F,3,0),"")</f>
        <v>US912821MF93</v>
      </c>
      <c r="D316" s="5">
        <f>IF(NOT(ISBLANK(A316)),VLOOKUP(A316,'BBT3'!A:F,4,1),"")</f>
        <v>0</v>
      </c>
      <c r="E316">
        <f>IF(NOT(ISBLANK(A316)),VLOOKUP(A316,'BBT3'!A:F,5,0),"")</f>
        <v>46873</v>
      </c>
      <c r="F316" t="str">
        <f>IF(NOT(ISBLANK(A316)),VLOOKUP(A316,'BBT3'!A:F,6,0),"")</f>
        <v>N</v>
      </c>
      <c r="G316" t="str">
        <f t="shared" si="47"/>
        <v>Y</v>
      </c>
      <c r="H316">
        <f>IF(NOT(ISBLANK(A316)),VLOOKUP(A316,'Close - PriceSaver'!A:J,5,0),"")</f>
        <v>4.2114991962201198E-2</v>
      </c>
      <c r="I316" s="4" t="e" cm="1">
        <f t="array" ref="I316">IF(NOT(ISBLANK(A316)),((_xlfn.XLOOKUP(1,(_bbt3[[#All],[ID]]=A316)*(_bbt3[[#All],[METRIC_NAME]]="YLD_YTM_ASK"),_bbt3[[#All],[METRIC_VALUE]])*0.5)+(_xlfn.XLOOKUP(1,(_bbt3[[#All],[ID]]=A316)*(_bbt3[[#All],[METRIC_NAME]]="YLD_YTM_BID"),_bbt3[[#All],[METRIC_VALUE]])*0.5))/100,"")</f>
        <v>#N/A</v>
      </c>
      <c r="J316">
        <f>IF(ISNA(VLOOKUP(A316,'CloseDL - PriceSaverBBT3'!A:E,5,0)),0,VLOOKUP(A316,'CloseDL - PriceSaverBBT3'!A:E,5,0))</f>
        <v>4.2114991962201198E-2</v>
      </c>
      <c r="K316" s="7">
        <f t="shared" si="48"/>
        <v>0</v>
      </c>
      <c r="L316" s="20">
        <f>IF(Close[[#This Row],[CreatedBy]]="MARINER\SilverAdm",1,0)</f>
        <v>1</v>
      </c>
      <c r="M316" t="str">
        <f>IF(NOT(ISBLANK(A316)),VLOOKUP(A316,'Close - PriceSaver'!A:J,6,0),"")</f>
        <v>DL input prc = 92.87132342  PX_ASK = 92.88504220 PX_BID = 92.85760463</v>
      </c>
      <c r="Q316" t="e">
        <f t="shared" si="49"/>
        <v>#N/A</v>
      </c>
      <c r="R316" t="e">
        <f t="shared" si="50"/>
        <v>#N/A</v>
      </c>
      <c r="S316" t="e">
        <f t="shared" si="51"/>
        <v>#N/A</v>
      </c>
      <c r="T316" s="15" t="e">
        <f t="shared" si="52"/>
        <v>#N/A</v>
      </c>
      <c r="U316" s="18" t="e">
        <f t="shared" si="53"/>
        <v>#N/A</v>
      </c>
      <c r="V316" s="18" t="e">
        <f t="shared" si="54"/>
        <v>#N/A</v>
      </c>
      <c r="W316" s="19" t="e">
        <f t="shared" si="55"/>
        <v>#N/A</v>
      </c>
      <c r="X316" t="e">
        <f>VLOOKUP(P316,Close[[ID]:[CreatedBy]],8,0)</f>
        <v>#N/A</v>
      </c>
    </row>
    <row r="317" spans="1:24" x14ac:dyDescent="0.35">
      <c r="A317" t="str">
        <v>912821MH5</v>
      </c>
      <c r="B317" t="str">
        <f>IF(NOT(ISBLANK(A317)),VLOOKUP(A317,'BBT3'!A:F,2,0),"")</f>
        <v>Bond</v>
      </c>
      <c r="C317" t="str">
        <f>IF(NOT(ISBLANK(A317)),VLOOKUP(A317,'BBT3'!A:F,3,0),"")</f>
        <v>US912821MH59</v>
      </c>
      <c r="D317" s="5">
        <f>IF(NOT(ISBLANK(A317)),VLOOKUP(A317,'BBT3'!A:F,4,1),"")</f>
        <v>0</v>
      </c>
      <c r="E317">
        <f>IF(NOT(ISBLANK(A317)),VLOOKUP(A317,'BBT3'!A:F,5,0),"")</f>
        <v>47983</v>
      </c>
      <c r="F317" t="str">
        <f>IF(NOT(ISBLANK(A317)),VLOOKUP(A317,'BBT3'!A:F,6,0),"")</f>
        <v>N</v>
      </c>
      <c r="G317" t="str">
        <f t="shared" si="47"/>
        <v>Y</v>
      </c>
      <c r="H317">
        <f>IF(NOT(ISBLANK(A317)),VLOOKUP(A317,'Close - PriceSaver'!A:J,5,0),"")</f>
        <v>4.3700676572409503E-2</v>
      </c>
      <c r="I317" s="4" cm="1">
        <f t="array" ref="I317">IF(NOT(ISBLANK(A317)),((_xlfn.XLOOKUP(1,(_bbt3[[#All],[ID]]=A317)*(_bbt3[[#All],[METRIC_NAME]]="YLD_YTM_ASK"),_bbt3[[#All],[METRIC_VALUE]])*0.5)+(_xlfn.XLOOKUP(1,(_bbt3[[#All],[ID]]=A317)*(_bbt3[[#All],[METRIC_NAME]]="YLD_YTM_BID"),_bbt3[[#All],[METRIC_VALUE]])*0.5))/100,"")</f>
        <v>4.3700000000000003E-2</v>
      </c>
      <c r="J317">
        <f>IF(ISNA(VLOOKUP(A317,'CloseDL - PriceSaverBBT3'!A:E,5,0)),0,VLOOKUP(A317,'CloseDL - PriceSaverBBT3'!A:E,5,0))</f>
        <v>4.3700676572409503E-2</v>
      </c>
      <c r="K317" s="7">
        <f t="shared" si="48"/>
        <v>0</v>
      </c>
      <c r="L317" s="20">
        <f>IF(Close[[#This Row],[CreatedBy]]="MARINER\SilverAdm",1,0)</f>
        <v>1</v>
      </c>
      <c r="M317" t="str">
        <f>IF(NOT(ISBLANK(A317)),VLOOKUP(A317,'Close - PriceSaver'!A:J,6,0),"")</f>
        <v>DL input prc = 81.20784349  PX_ASK = 81.29968474 PX_BID = 81.11600224</v>
      </c>
      <c r="Q317" t="e">
        <f t="shared" si="49"/>
        <v>#N/A</v>
      </c>
      <c r="R317" t="e">
        <f t="shared" si="50"/>
        <v>#N/A</v>
      </c>
      <c r="S317" t="e">
        <f t="shared" si="51"/>
        <v>#N/A</v>
      </c>
      <c r="T317" s="15" t="e">
        <f t="shared" si="52"/>
        <v>#N/A</v>
      </c>
      <c r="U317" s="18" t="e">
        <f t="shared" si="53"/>
        <v>#N/A</v>
      </c>
      <c r="V317" s="18" t="e">
        <f t="shared" si="54"/>
        <v>#N/A</v>
      </c>
      <c r="W317" s="19" t="e">
        <f t="shared" si="55"/>
        <v>#N/A</v>
      </c>
      <c r="X317" t="e">
        <f>VLOOKUP(P317,Close[[ID]:[CreatedBy]],8,0)</f>
        <v>#N/A</v>
      </c>
    </row>
    <row r="318" spans="1:24" x14ac:dyDescent="0.35">
      <c r="A318" t="str">
        <v>912821ML6</v>
      </c>
      <c r="B318" t="str">
        <f>IF(NOT(ISBLANK(A318)),VLOOKUP(A318,'BBT3'!A:F,2,0),"")</f>
        <v>Bond</v>
      </c>
      <c r="C318" t="str">
        <f>IF(NOT(ISBLANK(A318)),VLOOKUP(A318,'BBT3'!A:F,3,0),"")</f>
        <v>US912821ML61</v>
      </c>
      <c r="D318" s="5">
        <f>IF(NOT(ISBLANK(A318)),VLOOKUP(A318,'BBT3'!A:F,4,1),"")</f>
        <v>0</v>
      </c>
      <c r="E318">
        <f>IF(NOT(ISBLANK(A318)),VLOOKUP(A318,'BBT3'!A:F,5,0),"")</f>
        <v>46904</v>
      </c>
      <c r="F318" t="str">
        <f>IF(NOT(ISBLANK(A318)),VLOOKUP(A318,'BBT3'!A:F,6,0),"")</f>
        <v>N</v>
      </c>
      <c r="G318" t="str">
        <f t="shared" si="47"/>
        <v>Y</v>
      </c>
      <c r="H318">
        <f>IF(NOT(ISBLANK(A318)),VLOOKUP(A318,'Close - PriceSaver'!A:J,5,0),"")</f>
        <v>4.2250268541111503E-2</v>
      </c>
      <c r="I318" s="4" t="e" cm="1">
        <f t="array" ref="I318">IF(NOT(ISBLANK(A318)),((_xlfn.XLOOKUP(1,(_bbt3[[#All],[ID]]=A318)*(_bbt3[[#All],[METRIC_NAME]]="YLD_YTM_ASK"),_bbt3[[#All],[METRIC_VALUE]])*0.5)+(_xlfn.XLOOKUP(1,(_bbt3[[#All],[ID]]=A318)*(_bbt3[[#All],[METRIC_NAME]]="YLD_YTM_BID"),_bbt3[[#All],[METRIC_VALUE]])*0.5))/100,"")</f>
        <v>#N/A</v>
      </c>
      <c r="J318">
        <f>IF(ISNA(VLOOKUP(A318,'CloseDL - PriceSaverBBT3'!A:E,5,0)),0,VLOOKUP(A318,'CloseDL - PriceSaverBBT3'!A:E,5,0))</f>
        <v>4.2250268541111503E-2</v>
      </c>
      <c r="K318" s="7">
        <f t="shared" si="48"/>
        <v>0</v>
      </c>
      <c r="L318" s="20">
        <f>IF(Close[[#This Row],[CreatedBy]]="MARINER\SilverAdm",1,0)</f>
        <v>1</v>
      </c>
      <c r="M318" t="str">
        <f>IF(NOT(ISBLANK(A318)),VLOOKUP(A318,'Close - PriceSaver'!A:J,6,0),"")</f>
        <v>DL input prc = 92.53534124  PX_ASK = 92.54965280 PX_BID = 92.52102967</v>
      </c>
      <c r="Q318" t="e">
        <f t="shared" si="49"/>
        <v>#N/A</v>
      </c>
      <c r="R318" t="e">
        <f t="shared" si="50"/>
        <v>#N/A</v>
      </c>
      <c r="S318" t="e">
        <f t="shared" si="51"/>
        <v>#N/A</v>
      </c>
      <c r="T318" s="15" t="e">
        <f t="shared" si="52"/>
        <v>#N/A</v>
      </c>
      <c r="U318" s="18" t="e">
        <f t="shared" si="53"/>
        <v>#N/A</v>
      </c>
      <c r="V318" s="18" t="e">
        <f t="shared" si="54"/>
        <v>#N/A</v>
      </c>
      <c r="W318" s="19" t="e">
        <f t="shared" si="55"/>
        <v>#N/A</v>
      </c>
      <c r="X318" t="e">
        <f>VLOOKUP(P318,Close[[ID]:[CreatedBy]],8,0)</f>
        <v>#N/A</v>
      </c>
    </row>
    <row r="319" spans="1:24" x14ac:dyDescent="0.35">
      <c r="A319" t="str">
        <v>912821MQ5</v>
      </c>
      <c r="B319" t="str">
        <f>IF(NOT(ISBLANK(A319)),VLOOKUP(A319,'BBT3'!A:F,2,0),"")</f>
        <v>Bond</v>
      </c>
      <c r="C319" t="str">
        <f>IF(NOT(ISBLANK(A319)),VLOOKUP(A319,'BBT3'!A:F,3,0),"")</f>
        <v>US912821MQ58</v>
      </c>
      <c r="D319" s="5">
        <f>IF(NOT(ISBLANK(A319)),VLOOKUP(A319,'BBT3'!A:F,4,1),"")</f>
        <v>0</v>
      </c>
      <c r="E319">
        <f>IF(NOT(ISBLANK(A319)),VLOOKUP(A319,'BBT3'!A:F,5,0),"")</f>
        <v>46934</v>
      </c>
      <c r="F319" t="str">
        <f>IF(NOT(ISBLANK(A319)),VLOOKUP(A319,'BBT3'!A:F,6,0),"")</f>
        <v>N</v>
      </c>
      <c r="G319" t="str">
        <f t="shared" si="47"/>
        <v>Y</v>
      </c>
      <c r="H319">
        <f>IF(NOT(ISBLANK(A319)),VLOOKUP(A319,'Close - PriceSaver'!A:J,5,0),"")</f>
        <v>4.2274991374248901E-2</v>
      </c>
      <c r="I319" s="4" t="e" cm="1">
        <f t="array" ref="I319">IF(NOT(ISBLANK(A319)),((_xlfn.XLOOKUP(1,(_bbt3[[#All],[ID]]=A319)*(_bbt3[[#All],[METRIC_NAME]]="YLD_YTM_ASK"),_bbt3[[#All],[METRIC_VALUE]])*0.5)+(_xlfn.XLOOKUP(1,(_bbt3[[#All],[ID]]=A319)*(_bbt3[[#All],[METRIC_NAME]]="YLD_YTM_BID"),_bbt3[[#All],[METRIC_VALUE]])*0.5))/100,"")</f>
        <v>#N/A</v>
      </c>
      <c r="J319">
        <f>IF(ISNA(VLOOKUP(A319,'CloseDL - PriceSaverBBT3'!A:E,5,0)),0,VLOOKUP(A319,'CloseDL - PriceSaverBBT3'!A:E,5,0))</f>
        <v>4.2274991374248901E-2</v>
      </c>
      <c r="K319" s="7">
        <f t="shared" si="48"/>
        <v>0</v>
      </c>
      <c r="L319" s="20">
        <f>IF(Close[[#This Row],[CreatedBy]]="MARINER\SilverAdm",1,0)</f>
        <v>1</v>
      </c>
      <c r="M319" t="str">
        <f>IF(NOT(ISBLANK(A319)),VLOOKUP(A319,'Close - PriceSaver'!A:J,6,0),"")</f>
        <v>DL input prc = 92.20389402  PX_ASK = 92.21878538 PX_BID = 92.18900266</v>
      </c>
      <c r="Q319" t="e">
        <f t="shared" si="49"/>
        <v>#N/A</v>
      </c>
      <c r="R319" t="e">
        <f t="shared" si="50"/>
        <v>#N/A</v>
      </c>
      <c r="S319" t="e">
        <f t="shared" si="51"/>
        <v>#N/A</v>
      </c>
      <c r="T319" s="15" t="e">
        <f t="shared" si="52"/>
        <v>#N/A</v>
      </c>
      <c r="U319" s="18" t="e">
        <f t="shared" si="53"/>
        <v>#N/A</v>
      </c>
      <c r="V319" s="18" t="e">
        <f t="shared" si="54"/>
        <v>#N/A</v>
      </c>
      <c r="W319" s="19" t="e">
        <f t="shared" si="55"/>
        <v>#N/A</v>
      </c>
      <c r="X319" t="e">
        <f>VLOOKUP(P319,Close[[ID]:[CreatedBy]],8,0)</f>
        <v>#N/A</v>
      </c>
    </row>
    <row r="320" spans="1:24" x14ac:dyDescent="0.35">
      <c r="A320" t="str">
        <v>912821MV4</v>
      </c>
      <c r="B320" t="str">
        <f>IF(NOT(ISBLANK(A320)),VLOOKUP(A320,'BBT3'!A:F,2,0),"")</f>
        <v>Bond</v>
      </c>
      <c r="C320" t="str">
        <f>IF(NOT(ISBLANK(A320)),VLOOKUP(A320,'BBT3'!A:F,3,0),"")</f>
        <v>US912821MV44</v>
      </c>
      <c r="D320" s="5">
        <f>IF(NOT(ISBLANK(A320)),VLOOKUP(A320,'BBT3'!A:F,4,1),"")</f>
        <v>0</v>
      </c>
      <c r="E320">
        <f>IF(NOT(ISBLANK(A320)),VLOOKUP(A320,'BBT3'!A:F,5,0),"")</f>
        <v>46965</v>
      </c>
      <c r="F320" t="str">
        <f>IF(NOT(ISBLANK(A320)),VLOOKUP(A320,'BBT3'!A:F,6,0),"")</f>
        <v>N</v>
      </c>
      <c r="G320" t="str">
        <f t="shared" si="47"/>
        <v>Y</v>
      </c>
      <c r="H320">
        <f>IF(NOT(ISBLANK(A320)),VLOOKUP(A320,'Close - PriceSaver'!A:J,5,0),"")</f>
        <v>4.2237231939953997E-2</v>
      </c>
      <c r="I320" s="4" t="e" cm="1">
        <f t="array" ref="I320">IF(NOT(ISBLANK(A320)),((_xlfn.XLOOKUP(1,(_bbt3[[#All],[ID]]=A320)*(_bbt3[[#All],[METRIC_NAME]]="YLD_YTM_ASK"),_bbt3[[#All],[METRIC_VALUE]])*0.5)+(_xlfn.XLOOKUP(1,(_bbt3[[#All],[ID]]=A320)*(_bbt3[[#All],[METRIC_NAME]]="YLD_YTM_BID"),_bbt3[[#All],[METRIC_VALUE]])*0.5))/100,"")</f>
        <v>#N/A</v>
      </c>
      <c r="J320">
        <f>IF(ISNA(VLOOKUP(A320,'CloseDL - PriceSaverBBT3'!A:E,5,0)),0,VLOOKUP(A320,'CloseDL - PriceSaverBBT3'!A:E,5,0))</f>
        <v>4.2237231939953997E-2</v>
      </c>
      <c r="K320" s="7">
        <f t="shared" si="48"/>
        <v>0</v>
      </c>
      <c r="L320" s="20">
        <f>IF(Close[[#This Row],[CreatedBy]]="MARINER\SilverAdm",1,0)</f>
        <v>1</v>
      </c>
      <c r="M320" t="str">
        <f>IF(NOT(ISBLANK(A320)),VLOOKUP(A320,'Close - PriceSaver'!A:J,6,0),"")</f>
        <v>DL input prc = 91.86886389  PX_ASK = 91.88434805 PX_BID = 91.85337972</v>
      </c>
      <c r="Q320" t="e">
        <f t="shared" si="49"/>
        <v>#N/A</v>
      </c>
      <c r="R320" t="e">
        <f t="shared" si="50"/>
        <v>#N/A</v>
      </c>
      <c r="S320" t="e">
        <f t="shared" si="51"/>
        <v>#N/A</v>
      </c>
      <c r="T320" s="15" t="e">
        <f t="shared" si="52"/>
        <v>#N/A</v>
      </c>
      <c r="U320" s="18" t="e">
        <f t="shared" si="53"/>
        <v>#N/A</v>
      </c>
      <c r="V320" s="18" t="e">
        <f t="shared" si="54"/>
        <v>#N/A</v>
      </c>
      <c r="W320" s="19" t="e">
        <f t="shared" si="55"/>
        <v>#N/A</v>
      </c>
      <c r="X320" t="e">
        <f>VLOOKUP(P320,Close[[ID]:[CreatedBy]],8,0)</f>
        <v>#N/A</v>
      </c>
    </row>
    <row r="321" spans="1:24" x14ac:dyDescent="0.35">
      <c r="A321" t="str">
        <v>912821MX0</v>
      </c>
      <c r="B321" t="str">
        <f>IF(NOT(ISBLANK(A321)),VLOOKUP(A321,'BBT3'!A:F,2,0),"")</f>
        <v>Bond</v>
      </c>
      <c r="C321" t="str">
        <f>IF(NOT(ISBLANK(A321)),VLOOKUP(A321,'BBT3'!A:F,3,0),"")</f>
        <v>US912821MX00</v>
      </c>
      <c r="D321" s="5">
        <f>IF(NOT(ISBLANK(A321)),VLOOKUP(A321,'BBT3'!A:F,4,1),"")</f>
        <v>0</v>
      </c>
      <c r="E321">
        <f>IF(NOT(ISBLANK(A321)),VLOOKUP(A321,'BBT3'!A:F,5,0),"")</f>
        <v>48075</v>
      </c>
      <c r="F321" t="str">
        <f>IF(NOT(ISBLANK(A321)),VLOOKUP(A321,'BBT3'!A:F,6,0),"")</f>
        <v>N</v>
      </c>
      <c r="G321" t="str">
        <f t="shared" si="47"/>
        <v>Y</v>
      </c>
      <c r="H321">
        <f>IF(NOT(ISBLANK(A321)),VLOOKUP(A321,'Close - PriceSaver'!A:J,5,0),"")</f>
        <v>4.3849801466961803E-2</v>
      </c>
      <c r="I321" s="4" cm="1">
        <f t="array" ref="I321">IF(NOT(ISBLANK(A321)),((_xlfn.XLOOKUP(1,(_bbt3[[#All],[ID]]=A321)*(_bbt3[[#All],[METRIC_NAME]]="YLD_YTM_ASK"),_bbt3[[#All],[METRIC_VALUE]])*0.5)+(_xlfn.XLOOKUP(1,(_bbt3[[#All],[ID]]=A321)*(_bbt3[[#All],[METRIC_NAME]]="YLD_YTM_BID"),_bbt3[[#All],[METRIC_VALUE]])*0.5))/100,"")</f>
        <v>4.385E-2</v>
      </c>
      <c r="J321">
        <f>IF(ISNA(VLOOKUP(A321,'CloseDL - PriceSaverBBT3'!A:E,5,0)),0,VLOOKUP(A321,'CloseDL - PriceSaverBBT3'!A:E,5,0))</f>
        <v>4.3849801466961803E-2</v>
      </c>
      <c r="K321" s="7">
        <f t="shared" si="48"/>
        <v>0</v>
      </c>
      <c r="L321" s="20">
        <f>IF(Close[[#This Row],[CreatedBy]]="MARINER\SilverAdm",1,0)</f>
        <v>1</v>
      </c>
      <c r="M321" t="str">
        <f>IF(NOT(ISBLANK(A321)),VLOOKUP(A321,'Close - PriceSaver'!A:J,6,0),"")</f>
        <v>DL input prc = 80.27147793  PX_ASK = 80.37892547 PX_BID = 80.16403038</v>
      </c>
      <c r="Q321" t="e">
        <f t="shared" si="49"/>
        <v>#N/A</v>
      </c>
      <c r="R321" t="e">
        <f t="shared" si="50"/>
        <v>#N/A</v>
      </c>
      <c r="S321" t="e">
        <f t="shared" si="51"/>
        <v>#N/A</v>
      </c>
      <c r="T321" s="15" t="e">
        <f t="shared" si="52"/>
        <v>#N/A</v>
      </c>
      <c r="U321" s="18" t="e">
        <f t="shared" si="53"/>
        <v>#N/A</v>
      </c>
      <c r="V321" s="18" t="e">
        <f t="shared" si="54"/>
        <v>#N/A</v>
      </c>
      <c r="W321" s="19" t="e">
        <f t="shared" si="55"/>
        <v>#N/A</v>
      </c>
      <c r="X321" t="e">
        <f>VLOOKUP(P321,Close[[ID]:[CreatedBy]],8,0)</f>
        <v>#N/A</v>
      </c>
    </row>
    <row r="322" spans="1:24" x14ac:dyDescent="0.35">
      <c r="A322" t="str">
        <v>912821NA9</v>
      </c>
      <c r="B322" t="str">
        <f>IF(NOT(ISBLANK(A322)),VLOOKUP(A322,'BBT3'!A:F,2,0),"")</f>
        <v>Bond</v>
      </c>
      <c r="C322" t="str">
        <f>IF(NOT(ISBLANK(A322)),VLOOKUP(A322,'BBT3'!A:F,3,0),"")</f>
        <v>US912821NA97</v>
      </c>
      <c r="D322" s="5">
        <f>IF(NOT(ISBLANK(A322)),VLOOKUP(A322,'BBT3'!A:F,4,1),"")</f>
        <v>0</v>
      </c>
      <c r="E322">
        <f>IF(NOT(ISBLANK(A322)),VLOOKUP(A322,'BBT3'!A:F,5,0),"")</f>
        <v>46996</v>
      </c>
      <c r="F322" t="str">
        <f>IF(NOT(ISBLANK(A322)),VLOOKUP(A322,'BBT3'!A:F,6,0),"")</f>
        <v>N</v>
      </c>
      <c r="G322" t="str">
        <f t="shared" si="47"/>
        <v>Y</v>
      </c>
      <c r="H322">
        <f>IF(NOT(ISBLANK(A322)),VLOOKUP(A322,'Close - PriceSaver'!A:J,5,0),"")</f>
        <v>4.2334990761306902E-2</v>
      </c>
      <c r="I322" s="4" t="e" cm="1">
        <f t="array" ref="I322">IF(NOT(ISBLANK(A322)),((_xlfn.XLOOKUP(1,(_bbt3[[#All],[ID]]=A322)*(_bbt3[[#All],[METRIC_NAME]]="YLD_YTM_ASK"),_bbt3[[#All],[METRIC_VALUE]])*0.5)+(_xlfn.XLOOKUP(1,(_bbt3[[#All],[ID]]=A322)*(_bbt3[[#All],[METRIC_NAME]]="YLD_YTM_BID"),_bbt3[[#All],[METRIC_VALUE]])*0.5))/100,"")</f>
        <v>#N/A</v>
      </c>
      <c r="J322">
        <f>IF(ISNA(VLOOKUP(A322,'CloseDL - PriceSaverBBT3'!A:E,5,0)),0,VLOOKUP(A322,'CloseDL - PriceSaverBBT3'!A:E,5,0))</f>
        <v>4.2334990761306902E-2</v>
      </c>
      <c r="K322" s="7">
        <f t="shared" si="48"/>
        <v>0</v>
      </c>
      <c r="L322" s="20">
        <f>IF(Close[[#This Row],[CreatedBy]]="MARINER\SilverAdm",1,0)</f>
        <v>1</v>
      </c>
      <c r="M322" t="str">
        <f>IF(NOT(ISBLANK(A322)),VLOOKUP(A322,'Close - PriceSaver'!A:J,6,0),"")</f>
        <v>DL input prc = 91.54496555  PX_ASK = 91.56103386 PX_BID = 91.52889723</v>
      </c>
      <c r="Q322" t="e">
        <f t="shared" si="49"/>
        <v>#N/A</v>
      </c>
      <c r="R322" t="e">
        <f t="shared" si="50"/>
        <v>#N/A</v>
      </c>
      <c r="S322" t="e">
        <f t="shared" si="51"/>
        <v>#N/A</v>
      </c>
      <c r="T322" s="15" t="e">
        <f t="shared" si="52"/>
        <v>#N/A</v>
      </c>
      <c r="U322" s="18" t="e">
        <f t="shared" si="53"/>
        <v>#N/A</v>
      </c>
      <c r="V322" s="18" t="e">
        <f t="shared" si="54"/>
        <v>#N/A</v>
      </c>
      <c r="W322" s="19" t="e">
        <f t="shared" si="55"/>
        <v>#N/A</v>
      </c>
      <c r="X322" t="e">
        <f>VLOOKUP(P322,Close[[ID]:[CreatedBy]],8,0)</f>
        <v>#N/A</v>
      </c>
    </row>
    <row r="323" spans="1:24" x14ac:dyDescent="0.35">
      <c r="A323" t="str">
        <v>9128282A7</v>
      </c>
      <c r="B323" t="str">
        <f>IF(NOT(ISBLANK(A323)),VLOOKUP(A323,'BBT3'!A:F,2,0),"")</f>
        <v>Bond</v>
      </c>
      <c r="C323" t="str">
        <f>IF(NOT(ISBLANK(A323)),VLOOKUP(A323,'BBT3'!A:F,3,0),"")</f>
        <v>US9128282A70</v>
      </c>
      <c r="D323" s="5">
        <f>IF(NOT(ISBLANK(A323)),VLOOKUP(A323,'BBT3'!A:F,4,1),"")</f>
        <v>1.5</v>
      </c>
      <c r="E323">
        <f>IF(NOT(ISBLANK(A323)),VLOOKUP(A323,'BBT3'!A:F,5,0),"")</f>
        <v>46249</v>
      </c>
      <c r="F323" t="str">
        <f>IF(NOT(ISBLANK(A323)),VLOOKUP(A323,'BBT3'!A:F,6,0),"")</f>
        <v>N</v>
      </c>
      <c r="G323" t="str">
        <f t="shared" ref="G323:G386" si="56">IF(NOT(ISBLANK(A323)),IF(D323=0,"Y","N"),"")</f>
        <v>N</v>
      </c>
      <c r="H323">
        <f>IF(NOT(ISBLANK(A323)),VLOOKUP(A323,'Close - PriceSaver'!A:J,5,0),"")</f>
        <v>3.9553669110435799E-2</v>
      </c>
      <c r="I323" s="4" cm="1">
        <f t="array" ref="I323">IF(NOT(ISBLANK(A323)),((_xlfn.XLOOKUP(1,(_bbt3[[#All],[ID]]=A323)*(_bbt3[[#All],[METRIC_NAME]]="YLD_YTM_ASK"),_bbt3[[#All],[METRIC_VALUE]])*0.5)+(_xlfn.XLOOKUP(1,(_bbt3[[#All],[ID]]=A323)*(_bbt3[[#All],[METRIC_NAME]]="YLD_YTM_BID"),_bbt3[[#All],[METRIC_VALUE]])*0.5))/100,"")</f>
        <v>3.9555E-2</v>
      </c>
      <c r="J323">
        <f>IF(ISNA(VLOOKUP(A323,'CloseDL - PriceSaverBBT3'!A:E,5,0)),0,VLOOKUP(A323,'CloseDL - PriceSaverBBT3'!A:E,5,0))</f>
        <v>3.9553669110435799E-2</v>
      </c>
      <c r="K323" s="7">
        <f t="shared" ref="K323:K386" si="57">IF(ISNA(IF(NOT(ISBLANK(A323)),ABS(H323-J323),"")),0,(IF(NOT(ISBLANK(A323)),ABS(H323-J323)*10000,"")))</f>
        <v>0</v>
      </c>
      <c r="L323" s="20">
        <f>IF(Close[[#This Row],[CreatedBy]]="MARINER\SilverAdm",1,0)</f>
        <v>1</v>
      </c>
      <c r="M323" t="str">
        <f>IF(NOT(ISBLANK(A323)),VLOOKUP(A323,'Close - PriceSaver'!A:J,6,0),"")</f>
        <v>DL input prc = 99.83593750  PX_ASK = 99.84765625 PX_BID = 99.82421875</v>
      </c>
      <c r="Q323" t="e">
        <f t="shared" si="49"/>
        <v>#N/A</v>
      </c>
      <c r="R323" t="e">
        <f t="shared" si="50"/>
        <v>#N/A</v>
      </c>
      <c r="S323" t="e">
        <f t="shared" si="51"/>
        <v>#N/A</v>
      </c>
      <c r="T323" s="15" t="e">
        <f t="shared" si="52"/>
        <v>#N/A</v>
      </c>
      <c r="U323" s="18" t="e">
        <f t="shared" si="53"/>
        <v>#N/A</v>
      </c>
      <c r="V323" s="18" t="e">
        <f t="shared" si="54"/>
        <v>#N/A</v>
      </c>
      <c r="W323" s="19" t="e">
        <f t="shared" si="55"/>
        <v>#N/A</v>
      </c>
      <c r="X323" t="e">
        <f>VLOOKUP(P323,Close[[ID]:[CreatedBy]],8,0)</f>
        <v>#N/A</v>
      </c>
    </row>
    <row r="324" spans="1:24" x14ac:dyDescent="0.35">
      <c r="A324" t="str">
        <v>9128282L3</v>
      </c>
      <c r="B324" t="str">
        <f>IF(NOT(ISBLANK(A324)),VLOOKUP(A324,'BBT3'!A:F,2,0),"")</f>
        <v>Bond</v>
      </c>
      <c r="C324" t="str">
        <f>IF(NOT(ISBLANK(A324)),VLOOKUP(A324,'BBT3'!A:F,3,0),"")</f>
        <v>US9128282L36</v>
      </c>
      <c r="D324" s="5">
        <f>IF(NOT(ISBLANK(A324)),VLOOKUP(A324,'BBT3'!A:F,4,1),"")</f>
        <v>0.375</v>
      </c>
      <c r="E324">
        <f>IF(NOT(ISBLANK(A324)),VLOOKUP(A324,'BBT3'!A:F,5,0),"")</f>
        <v>46583</v>
      </c>
      <c r="F324" t="str">
        <f>IF(NOT(ISBLANK(A324)),VLOOKUP(A324,'BBT3'!A:F,6,0),"")</f>
        <v>Y</v>
      </c>
      <c r="G324" t="str">
        <f t="shared" si="56"/>
        <v>N</v>
      </c>
      <c r="H324">
        <f>IF(NOT(ISBLANK(A324)),VLOOKUP(A324,'Close - PriceSaver'!A:J,5,0),"")</f>
        <v>2.1837456307695801E-2</v>
      </c>
      <c r="I324" s="4" cm="1">
        <f t="array" ref="I324">IF(NOT(ISBLANK(A324)),((_xlfn.XLOOKUP(1,(_bbt3[[#All],[ID]]=A324)*(_bbt3[[#All],[METRIC_NAME]]="YLD_YTM_ASK"),_bbt3[[#All],[METRIC_VALUE]])*0.5)+(_xlfn.XLOOKUP(1,(_bbt3[[#All],[ID]]=A324)*(_bbt3[[#All],[METRIC_NAME]]="YLD_YTM_BID"),_bbt3[[#All],[METRIC_VALUE]])*0.5))/100,"")</f>
        <v>2.1835E-2</v>
      </c>
      <c r="J324">
        <f>IF(ISNA(VLOOKUP(A324,'CloseDL - PriceSaverBBT3'!A:E,5,0)),0,VLOOKUP(A324,'CloseDL - PriceSaverBBT3'!A:E,5,0))</f>
        <v>2.1837456307695801E-2</v>
      </c>
      <c r="K324" s="7">
        <f t="shared" si="57"/>
        <v>0</v>
      </c>
      <c r="L324" s="20">
        <f>IF(Close[[#This Row],[CreatedBy]]="MARINER\SilverAdm",1,0)</f>
        <v>1</v>
      </c>
      <c r="M324" t="str">
        <f>IF(NOT(ISBLANK(A324)),VLOOKUP(A324,'Close - PriceSaver'!A:J,6,0),"")</f>
        <v>DL input prc = 98.25390625  PX_ASK = 98.28125000 PX_BID = 98.22656250</v>
      </c>
      <c r="Q324" t="e">
        <f t="shared" si="49"/>
        <v>#N/A</v>
      </c>
      <c r="R324" t="e">
        <f t="shared" si="50"/>
        <v>#N/A</v>
      </c>
      <c r="S324" t="e">
        <f t="shared" si="51"/>
        <v>#N/A</v>
      </c>
      <c r="T324" s="15" t="e">
        <f t="shared" si="52"/>
        <v>#N/A</v>
      </c>
      <c r="U324" s="18" t="e">
        <f t="shared" si="53"/>
        <v>#N/A</v>
      </c>
      <c r="V324" s="18" t="e">
        <f t="shared" si="54"/>
        <v>#N/A</v>
      </c>
      <c r="W324" s="19" t="e">
        <f t="shared" si="55"/>
        <v>#N/A</v>
      </c>
      <c r="X324" t="e">
        <f>VLOOKUP(P324,Close[[ID]:[CreatedBy]],8,0)</f>
        <v>#N/A</v>
      </c>
    </row>
    <row r="325" spans="1:24" x14ac:dyDescent="0.35">
      <c r="A325" t="str">
        <v>9128282R0</v>
      </c>
      <c r="B325" t="str">
        <f>IF(NOT(ISBLANK(A325)),VLOOKUP(A325,'BBT3'!A:F,2,0),"")</f>
        <v>Bond</v>
      </c>
      <c r="C325" t="str">
        <f>IF(NOT(ISBLANK(A325)),VLOOKUP(A325,'BBT3'!A:F,3,0),"")</f>
        <v>US9128282R06</v>
      </c>
      <c r="D325" s="5">
        <f>IF(NOT(ISBLANK(A325)),VLOOKUP(A325,'BBT3'!A:F,4,1),"")</f>
        <v>2.25</v>
      </c>
      <c r="E325">
        <f>IF(NOT(ISBLANK(A325)),VLOOKUP(A325,'BBT3'!A:F,5,0),"")</f>
        <v>46614</v>
      </c>
      <c r="F325" t="str">
        <f>IF(NOT(ISBLANK(A325)),VLOOKUP(A325,'BBT3'!A:F,6,0),"")</f>
        <v>N</v>
      </c>
      <c r="G325" t="str">
        <f t="shared" si="56"/>
        <v>N</v>
      </c>
      <c r="H325">
        <f>IF(NOT(ISBLANK(A325)),VLOOKUP(A325,'Close - PriceSaver'!A:J,5,0),"")</f>
        <v>4.1764782229643298E-2</v>
      </c>
      <c r="I325" s="4" cm="1">
        <f t="array" ref="I325">IF(NOT(ISBLANK(A325)),((_xlfn.XLOOKUP(1,(_bbt3[[#All],[ID]]=A325)*(_bbt3[[#All],[METRIC_NAME]]="YLD_YTM_ASK"),_bbt3[[#All],[METRIC_VALUE]])*0.5)+(_xlfn.XLOOKUP(1,(_bbt3[[#All],[ID]]=A325)*(_bbt3[[#All],[METRIC_NAME]]="YLD_YTM_BID"),_bbt3[[#All],[METRIC_VALUE]])*0.5))/100,"")</f>
        <v>4.176500000000001E-2</v>
      </c>
      <c r="J325">
        <f>IF(ISNA(VLOOKUP(A325,'CloseDL - PriceSaverBBT3'!A:E,5,0)),0,VLOOKUP(A325,'CloseDL - PriceSaverBBT3'!A:E,5,0))</f>
        <v>4.1764782229643298E-2</v>
      </c>
      <c r="K325" s="7">
        <f t="shared" si="57"/>
        <v>0</v>
      </c>
      <c r="L325" s="20">
        <f>IF(Close[[#This Row],[CreatedBy]]="MARINER\SilverAdm",1,0)</f>
        <v>1</v>
      </c>
      <c r="M325" t="str">
        <f>IF(NOT(ISBLANK(A325)),VLOOKUP(A325,'Close - PriceSaver'!A:J,6,0),"")</f>
        <v>DL input prc = 98.00976563  PX_ASK = 98.02343750 PX_BID = 97.99609375</v>
      </c>
      <c r="Q325" t="e">
        <f t="shared" si="49"/>
        <v>#N/A</v>
      </c>
      <c r="R325" t="e">
        <f t="shared" si="50"/>
        <v>#N/A</v>
      </c>
      <c r="S325" t="e">
        <f t="shared" si="51"/>
        <v>#N/A</v>
      </c>
      <c r="T325" s="15" t="e">
        <f t="shared" si="52"/>
        <v>#N/A</v>
      </c>
      <c r="U325" s="18" t="e">
        <f t="shared" si="53"/>
        <v>#N/A</v>
      </c>
      <c r="V325" s="18" t="e">
        <f t="shared" si="54"/>
        <v>#N/A</v>
      </c>
      <c r="W325" s="19" t="e">
        <f t="shared" si="55"/>
        <v>#N/A</v>
      </c>
      <c r="X325" t="e">
        <f>VLOOKUP(P325,Close[[ID]:[CreatedBy]],8,0)</f>
        <v>#N/A</v>
      </c>
    </row>
    <row r="326" spans="1:24" x14ac:dyDescent="0.35">
      <c r="A326" t="str">
        <v>9128283F5</v>
      </c>
      <c r="B326" t="str">
        <f>IF(NOT(ISBLANK(A326)),VLOOKUP(A326,'BBT3'!A:F,2,0),"")</f>
        <v>Bond</v>
      </c>
      <c r="C326" t="str">
        <f>IF(NOT(ISBLANK(A326)),VLOOKUP(A326,'BBT3'!A:F,3,0),"")</f>
        <v>US9128283F58</v>
      </c>
      <c r="D326" s="5">
        <f>IF(NOT(ISBLANK(A326)),VLOOKUP(A326,'BBT3'!A:F,4,1),"")</f>
        <v>2.25</v>
      </c>
      <c r="E326">
        <f>IF(NOT(ISBLANK(A326)),VLOOKUP(A326,'BBT3'!A:F,5,0),"")</f>
        <v>46706</v>
      </c>
      <c r="F326" t="str">
        <f>IF(NOT(ISBLANK(A326)),VLOOKUP(A326,'BBT3'!A:F,6,0),"")</f>
        <v>N</v>
      </c>
      <c r="G326" t="str">
        <f t="shared" si="56"/>
        <v>N</v>
      </c>
      <c r="H326">
        <f>IF(NOT(ISBLANK(A326)),VLOOKUP(A326,'Close - PriceSaver'!A:J,5,0),"")</f>
        <v>4.2234856848786403E-2</v>
      </c>
      <c r="I326" s="4" cm="1">
        <f t="array" ref="I326">IF(NOT(ISBLANK(A326)),((_xlfn.XLOOKUP(1,(_bbt3[[#All],[ID]]=A326)*(_bbt3[[#All],[METRIC_NAME]]="YLD_YTM_ASK"),_bbt3[[#All],[METRIC_VALUE]])*0.5)+(_xlfn.XLOOKUP(1,(_bbt3[[#All],[ID]]=A326)*(_bbt3[[#All],[METRIC_NAME]]="YLD_YTM_BID"),_bbt3[[#All],[METRIC_VALUE]])*0.5))/100,"")</f>
        <v>4.2234999999999995E-2</v>
      </c>
      <c r="J326">
        <f>IF(ISNA(VLOOKUP(A326,'CloseDL - PriceSaverBBT3'!A:E,5,0)),0,VLOOKUP(A326,'CloseDL - PriceSaverBBT3'!A:E,5,0))</f>
        <v>4.2234856848786403E-2</v>
      </c>
      <c r="K326" s="7">
        <f t="shared" si="57"/>
        <v>0</v>
      </c>
      <c r="L326" s="20">
        <f>IF(Close[[#This Row],[CreatedBy]]="MARINER\SilverAdm",1,0)</f>
        <v>1</v>
      </c>
      <c r="M326" t="str">
        <f>IF(NOT(ISBLANK(A326)),VLOOKUP(A326,'Close - PriceSaver'!A:J,6,0),"")</f>
        <v>DL input prc = 97.49804688  PX_ASK = 97.50781250 PX_BID = 97.48828125</v>
      </c>
      <c r="Q326" t="e">
        <f t="shared" si="49"/>
        <v>#N/A</v>
      </c>
      <c r="R326" t="e">
        <f t="shared" si="50"/>
        <v>#N/A</v>
      </c>
      <c r="S326" t="e">
        <f t="shared" si="51"/>
        <v>#N/A</v>
      </c>
      <c r="T326" s="15" t="e">
        <f t="shared" si="52"/>
        <v>#N/A</v>
      </c>
      <c r="U326" s="18" t="e">
        <f t="shared" si="53"/>
        <v>#N/A</v>
      </c>
      <c r="V326" s="18" t="e">
        <f t="shared" si="54"/>
        <v>#N/A</v>
      </c>
      <c r="W326" s="19" t="e">
        <f t="shared" si="55"/>
        <v>#N/A</v>
      </c>
      <c r="X326" t="e">
        <f>VLOOKUP(P326,Close[[ID]:[CreatedBy]],8,0)</f>
        <v>#N/A</v>
      </c>
    </row>
    <row r="327" spans="1:24" x14ac:dyDescent="0.35">
      <c r="A327" t="str">
        <v>9128283R9</v>
      </c>
      <c r="B327" t="str">
        <f>IF(NOT(ISBLANK(A327)),VLOOKUP(A327,'BBT3'!A:F,2,0),"")</f>
        <v>Bond</v>
      </c>
      <c r="C327" t="str">
        <f>IF(NOT(ISBLANK(A327)),VLOOKUP(A327,'BBT3'!A:F,3,0),"")</f>
        <v>US9128283R96</v>
      </c>
      <c r="D327" s="5">
        <f>IF(NOT(ISBLANK(A327)),VLOOKUP(A327,'BBT3'!A:F,4,1),"")</f>
        <v>0.5</v>
      </c>
      <c r="E327">
        <f>IF(NOT(ISBLANK(A327)),VLOOKUP(A327,'BBT3'!A:F,5,0),"")</f>
        <v>46767</v>
      </c>
      <c r="F327" t="str">
        <f>IF(NOT(ISBLANK(A327)),VLOOKUP(A327,'BBT3'!A:F,6,0),"")</f>
        <v>Y</v>
      </c>
      <c r="G327" t="str">
        <f t="shared" si="56"/>
        <v>N</v>
      </c>
      <c r="H327">
        <f>IF(NOT(ISBLANK(A327)),VLOOKUP(A327,'Close - PriceSaver'!A:J,5,0),"")</f>
        <v>2.3571725342863101E-2</v>
      </c>
      <c r="I327" s="4" t="e" cm="1">
        <f t="array" ref="I327">IF(NOT(ISBLANK(A327)),((_xlfn.XLOOKUP(1,(_bbt3[[#All],[ID]]=A327)*(_bbt3[[#All],[METRIC_NAME]]="YLD_YTM_ASK"),_bbt3[[#All],[METRIC_VALUE]])*0.5)+(_xlfn.XLOOKUP(1,(_bbt3[[#All],[ID]]=A327)*(_bbt3[[#All],[METRIC_NAME]]="YLD_YTM_BID"),_bbt3[[#All],[METRIC_VALUE]])*0.5))/100,"")</f>
        <v>#N/A</v>
      </c>
      <c r="J327">
        <f>IF(ISNA(VLOOKUP(A327,'CloseDL - PriceSaverBBT3'!A:E,5,0)),0,VLOOKUP(A327,'CloseDL - PriceSaverBBT3'!A:E,5,0))</f>
        <v>2.3571725342863101E-2</v>
      </c>
      <c r="K327" s="7">
        <f t="shared" si="57"/>
        <v>0</v>
      </c>
      <c r="L327" s="20">
        <f>IF(Close[[#This Row],[CreatedBy]]="MARINER\SilverAdm",1,0)</f>
        <v>1</v>
      </c>
      <c r="M327" t="str">
        <f>IF(NOT(ISBLANK(A327)),VLOOKUP(A327,'Close - PriceSaver'!A:J,6,0),"")</f>
        <v>DL input prc = 97.31250000  PX_ASK = 97.34375000 PX_BID = 97.28125000</v>
      </c>
      <c r="Q327" t="e">
        <f t="shared" si="49"/>
        <v>#N/A</v>
      </c>
      <c r="R327" t="e">
        <f t="shared" si="50"/>
        <v>#N/A</v>
      </c>
      <c r="S327" t="e">
        <f t="shared" si="51"/>
        <v>#N/A</v>
      </c>
      <c r="T327" s="15" t="e">
        <f t="shared" si="52"/>
        <v>#N/A</v>
      </c>
      <c r="U327" s="18" t="e">
        <f t="shared" si="53"/>
        <v>#N/A</v>
      </c>
      <c r="V327" s="18" t="e">
        <f t="shared" si="54"/>
        <v>#N/A</v>
      </c>
      <c r="W327" s="19" t="e">
        <f t="shared" si="55"/>
        <v>#N/A</v>
      </c>
      <c r="X327" t="e">
        <f>VLOOKUP(P327,Close[[ID]:[CreatedBy]],8,0)</f>
        <v>#N/A</v>
      </c>
    </row>
    <row r="328" spans="1:24" x14ac:dyDescent="0.35">
      <c r="A328" t="str">
        <v>9128283W8</v>
      </c>
      <c r="B328" t="str">
        <f>IF(NOT(ISBLANK(A328)),VLOOKUP(A328,'BBT3'!A:F,2,0),"")</f>
        <v>Bond</v>
      </c>
      <c r="C328" t="str">
        <f>IF(NOT(ISBLANK(A328)),VLOOKUP(A328,'BBT3'!A:F,3,0),"")</f>
        <v>US9128283W81</v>
      </c>
      <c r="D328" s="5">
        <f>IF(NOT(ISBLANK(A328)),VLOOKUP(A328,'BBT3'!A:F,4,1),"")</f>
        <v>2.75</v>
      </c>
      <c r="E328">
        <f>IF(NOT(ISBLANK(A328)),VLOOKUP(A328,'BBT3'!A:F,5,0),"")</f>
        <v>46798</v>
      </c>
      <c r="F328" t="str">
        <f>IF(NOT(ISBLANK(A328)),VLOOKUP(A328,'BBT3'!A:F,6,0),"")</f>
        <v>N</v>
      </c>
      <c r="G328" t="str">
        <f t="shared" si="56"/>
        <v>N</v>
      </c>
      <c r="H328">
        <f>IF(NOT(ISBLANK(A328)),VLOOKUP(A328,'Close - PriceSaver'!A:J,5,0),"")</f>
        <v>4.2489274954716001E-2</v>
      </c>
      <c r="I328" s="4" cm="1">
        <f t="array" ref="I328">IF(NOT(ISBLANK(A328)),((_xlfn.XLOOKUP(1,(_bbt3[[#All],[ID]]=A328)*(_bbt3[[#All],[METRIC_NAME]]="YLD_YTM_ASK"),_bbt3[[#All],[METRIC_VALUE]])*0.5)+(_xlfn.XLOOKUP(1,(_bbt3[[#All],[ID]]=A328)*(_bbt3[[#All],[METRIC_NAME]]="YLD_YTM_BID"),_bbt3[[#All],[METRIC_VALUE]])*0.5))/100,"")</f>
        <v>4.249E-2</v>
      </c>
      <c r="J328">
        <f>IF(ISNA(VLOOKUP(A328,'CloseDL - PriceSaverBBT3'!A:E,5,0)),0,VLOOKUP(A328,'CloseDL - PriceSaverBBT3'!A:E,5,0))</f>
        <v>4.2489274954716001E-2</v>
      </c>
      <c r="K328" s="7">
        <f t="shared" si="57"/>
        <v>0</v>
      </c>
      <c r="L328" s="20">
        <f>IF(Close[[#This Row],[CreatedBy]]="MARINER\SilverAdm",1,0)</f>
        <v>1</v>
      </c>
      <c r="M328" t="str">
        <f>IF(NOT(ISBLANK(A328)),VLOOKUP(A328,'Close - PriceSaver'!A:J,6,0),"")</f>
        <v>DL input prc = 97.75000000  PX_ASK = 97.76171875 PX_BID = 97.73828125</v>
      </c>
      <c r="Q328" t="e">
        <f t="shared" si="49"/>
        <v>#N/A</v>
      </c>
      <c r="R328" t="e">
        <f t="shared" si="50"/>
        <v>#N/A</v>
      </c>
      <c r="S328" t="e">
        <f t="shared" si="51"/>
        <v>#N/A</v>
      </c>
      <c r="T328" s="15" t="e">
        <f t="shared" si="52"/>
        <v>#N/A</v>
      </c>
      <c r="U328" s="18" t="e">
        <f t="shared" si="53"/>
        <v>#N/A</v>
      </c>
      <c r="V328" s="18" t="e">
        <f t="shared" si="54"/>
        <v>#N/A</v>
      </c>
      <c r="W328" s="19" t="e">
        <f t="shared" si="55"/>
        <v>#N/A</v>
      </c>
      <c r="X328" t="e">
        <f>VLOOKUP(P328,Close[[ID]:[CreatedBy]],8,0)</f>
        <v>#N/A</v>
      </c>
    </row>
    <row r="329" spans="1:24" x14ac:dyDescent="0.35">
      <c r="A329" t="str">
        <v>9128284N7</v>
      </c>
      <c r="B329" t="str">
        <f>IF(NOT(ISBLANK(A329)),VLOOKUP(A329,'BBT3'!A:F,2,0),"")</f>
        <v>Bond</v>
      </c>
      <c r="C329" t="str">
        <f>IF(NOT(ISBLANK(A329)),VLOOKUP(A329,'BBT3'!A:F,3,0),"")</f>
        <v>US9128284N73</v>
      </c>
      <c r="D329" s="5">
        <f>IF(NOT(ISBLANK(A329)),VLOOKUP(A329,'BBT3'!A:F,4,1),"")</f>
        <v>2.875</v>
      </c>
      <c r="E329">
        <f>IF(NOT(ISBLANK(A329)),VLOOKUP(A329,'BBT3'!A:F,5,0),"")</f>
        <v>46888</v>
      </c>
      <c r="F329" t="str">
        <f>IF(NOT(ISBLANK(A329)),VLOOKUP(A329,'BBT3'!A:F,6,0),"")</f>
        <v>N</v>
      </c>
      <c r="G329" t="str">
        <f t="shared" si="56"/>
        <v>N</v>
      </c>
      <c r="H329">
        <f>IF(NOT(ISBLANK(A329)),VLOOKUP(A329,'Close - PriceSaver'!A:J,5,0),"")</f>
        <v>4.2588696278567602E-2</v>
      </c>
      <c r="I329" s="4" cm="1">
        <f t="array" ref="I329">IF(NOT(ISBLANK(A329)),((_xlfn.XLOOKUP(1,(_bbt3[[#All],[ID]]=A329)*(_bbt3[[#All],[METRIC_NAME]]="YLD_YTM_ASK"),_bbt3[[#All],[METRIC_VALUE]])*0.5)+(_xlfn.XLOOKUP(1,(_bbt3[[#All],[ID]]=A329)*(_bbt3[[#All],[METRIC_NAME]]="YLD_YTM_BID"),_bbt3[[#All],[METRIC_VALUE]])*0.5))/100,"")</f>
        <v>4.2590000000000003E-2</v>
      </c>
      <c r="J329">
        <f>IF(ISNA(VLOOKUP(A329,'CloseDL - PriceSaverBBT3'!A:E,5,0)),0,VLOOKUP(A329,'CloseDL - PriceSaverBBT3'!A:E,5,0))</f>
        <v>4.2588696278567602E-2</v>
      </c>
      <c r="K329" s="7">
        <f t="shared" si="57"/>
        <v>0</v>
      </c>
      <c r="L329" s="20">
        <f>IF(Close[[#This Row],[CreatedBy]]="MARINER\SilverAdm",1,0)</f>
        <v>1</v>
      </c>
      <c r="M329" t="str">
        <f>IF(NOT(ISBLANK(A329)),VLOOKUP(A329,'Close - PriceSaver'!A:J,6,0),"")</f>
        <v>DL input prc = 97.60351563  PX_ASK = 97.61718750 PX_BID = 97.58984375</v>
      </c>
      <c r="Q329" t="e">
        <f t="shared" si="49"/>
        <v>#N/A</v>
      </c>
      <c r="R329" t="e">
        <f t="shared" si="50"/>
        <v>#N/A</v>
      </c>
      <c r="S329" t="e">
        <f t="shared" si="51"/>
        <v>#N/A</v>
      </c>
      <c r="T329" s="15" t="e">
        <f t="shared" si="52"/>
        <v>#N/A</v>
      </c>
      <c r="U329" s="18" t="e">
        <f t="shared" si="53"/>
        <v>#N/A</v>
      </c>
      <c r="V329" s="18" t="e">
        <f t="shared" si="54"/>
        <v>#N/A</v>
      </c>
      <c r="W329" s="19" t="e">
        <f t="shared" si="55"/>
        <v>#N/A</v>
      </c>
      <c r="X329" t="e">
        <f>VLOOKUP(P329,Close[[ID]:[CreatedBy]],8,0)</f>
        <v>#N/A</v>
      </c>
    </row>
    <row r="330" spans="1:24" x14ac:dyDescent="0.35">
      <c r="A330" t="str">
        <v>9128284V9</v>
      </c>
      <c r="B330" t="str">
        <f>IF(NOT(ISBLANK(A330)),VLOOKUP(A330,'BBT3'!A:F,2,0),"")</f>
        <v>Bond</v>
      </c>
      <c r="C330" t="str">
        <f>IF(NOT(ISBLANK(A330)),VLOOKUP(A330,'BBT3'!A:F,3,0),"")</f>
        <v>US9128284V99</v>
      </c>
      <c r="D330" s="5">
        <f>IF(NOT(ISBLANK(A330)),VLOOKUP(A330,'BBT3'!A:F,4,1),"")</f>
        <v>2.875</v>
      </c>
      <c r="E330">
        <f>IF(NOT(ISBLANK(A330)),VLOOKUP(A330,'BBT3'!A:F,5,0),"")</f>
        <v>46980</v>
      </c>
      <c r="F330" t="str">
        <f>IF(NOT(ISBLANK(A330)),VLOOKUP(A330,'BBT3'!A:F,6,0),"")</f>
        <v>N</v>
      </c>
      <c r="G330" t="str">
        <f t="shared" si="56"/>
        <v>N</v>
      </c>
      <c r="H330">
        <f>IF(NOT(ISBLANK(A330)),VLOOKUP(A330,'Close - PriceSaver'!A:J,5,0),"")</f>
        <v>4.2748040885292903E-2</v>
      </c>
      <c r="I330" s="4" cm="1">
        <f t="array" ref="I330">IF(NOT(ISBLANK(A330)),((_xlfn.XLOOKUP(1,(_bbt3[[#All],[ID]]=A330)*(_bbt3[[#All],[METRIC_NAME]]="YLD_YTM_ASK"),_bbt3[[#All],[METRIC_VALUE]])*0.5)+(_xlfn.XLOOKUP(1,(_bbt3[[#All],[ID]]=A330)*(_bbt3[[#All],[METRIC_NAME]]="YLD_YTM_BID"),_bbt3[[#All],[METRIC_VALUE]])*0.5))/100,"")</f>
        <v>4.2750000000000003E-2</v>
      </c>
      <c r="J330">
        <f>IF(ISNA(VLOOKUP(A330,'CloseDL - PriceSaverBBT3'!A:E,5,0)),0,VLOOKUP(A330,'CloseDL - PriceSaverBBT3'!A:E,5,0))</f>
        <v>4.2748040885292903E-2</v>
      </c>
      <c r="K330" s="7">
        <f t="shared" si="57"/>
        <v>0</v>
      </c>
      <c r="L330" s="20">
        <f>IF(Close[[#This Row],[CreatedBy]]="MARINER\SilverAdm",1,0)</f>
        <v>1</v>
      </c>
      <c r="M330" t="str">
        <f>IF(NOT(ISBLANK(A330)),VLOOKUP(A330,'Close - PriceSaver'!A:J,6,0),"")</f>
        <v>DL input prc = 97.25781250  PX_ASK = 97.28125000 PX_BID = 97.23437500</v>
      </c>
      <c r="Q330" t="e">
        <f t="shared" si="49"/>
        <v>#N/A</v>
      </c>
      <c r="R330" t="e">
        <f t="shared" si="50"/>
        <v>#N/A</v>
      </c>
      <c r="S330" t="e">
        <f t="shared" si="51"/>
        <v>#N/A</v>
      </c>
      <c r="T330" s="15" t="e">
        <f t="shared" si="52"/>
        <v>#N/A</v>
      </c>
      <c r="U330" s="18" t="e">
        <f t="shared" si="53"/>
        <v>#N/A</v>
      </c>
      <c r="V330" s="18" t="e">
        <f t="shared" si="54"/>
        <v>#N/A</v>
      </c>
      <c r="W330" s="19" t="e">
        <f t="shared" si="55"/>
        <v>#N/A</v>
      </c>
      <c r="X330" t="e">
        <f>VLOOKUP(P330,Close[[ID]:[CreatedBy]],8,0)</f>
        <v>#N/A</v>
      </c>
    </row>
    <row r="331" spans="1:24" x14ac:dyDescent="0.35">
      <c r="A331" t="str">
        <v>9128285M8</v>
      </c>
      <c r="B331" t="str">
        <f>IF(NOT(ISBLANK(A331)),VLOOKUP(A331,'BBT3'!A:F,2,0),"")</f>
        <v>Bond</v>
      </c>
      <c r="C331" t="str">
        <f>IF(NOT(ISBLANK(A331)),VLOOKUP(A331,'BBT3'!A:F,3,0),"")</f>
        <v>US9128285M81</v>
      </c>
      <c r="D331" s="5">
        <f>IF(NOT(ISBLANK(A331)),VLOOKUP(A331,'BBT3'!A:F,4,1),"")</f>
        <v>3.125</v>
      </c>
      <c r="E331">
        <f>IF(NOT(ISBLANK(A331)),VLOOKUP(A331,'BBT3'!A:F,5,0),"")</f>
        <v>47072</v>
      </c>
      <c r="F331" t="str">
        <f>IF(NOT(ISBLANK(A331)),VLOOKUP(A331,'BBT3'!A:F,6,0),"")</f>
        <v>N</v>
      </c>
      <c r="G331" t="str">
        <f t="shared" si="56"/>
        <v>N</v>
      </c>
      <c r="H331">
        <f>IF(NOT(ISBLANK(A331)),VLOOKUP(A331,'Close - PriceSaver'!A:J,5,0),"")</f>
        <v>4.2851250821943299E-2</v>
      </c>
      <c r="I331" s="4" cm="1">
        <f t="array" ref="I331">IF(NOT(ISBLANK(A331)),((_xlfn.XLOOKUP(1,(_bbt3[[#All],[ID]]=A331)*(_bbt3[[#All],[METRIC_NAME]]="YLD_YTM_ASK"),_bbt3[[#All],[METRIC_VALUE]])*0.5)+(_xlfn.XLOOKUP(1,(_bbt3[[#All],[ID]]=A331)*(_bbt3[[#All],[METRIC_NAME]]="YLD_YTM_BID"),_bbt3[[#All],[METRIC_VALUE]])*0.5))/100,"")</f>
        <v>4.2849999999999999E-2</v>
      </c>
      <c r="J331">
        <f>IF(ISNA(VLOOKUP(A331,'CloseDL - PriceSaverBBT3'!A:E,5,0)),0,VLOOKUP(A331,'CloseDL - PriceSaverBBT3'!A:E,5,0))</f>
        <v>4.2851250821943299E-2</v>
      </c>
      <c r="K331" s="7">
        <f t="shared" si="57"/>
        <v>0</v>
      </c>
      <c r="L331" s="20">
        <f>IF(Close[[#This Row],[CreatedBy]]="MARINER\SilverAdm",1,0)</f>
        <v>1</v>
      </c>
      <c r="M331" t="str">
        <f>IF(NOT(ISBLANK(A331)),VLOOKUP(A331,'Close - PriceSaver'!A:J,6,0),"")</f>
        <v>DL input prc = 97.46484375  PX_ASK = 97.48437500 PX_BID = 97.44531250</v>
      </c>
      <c r="Q331" t="e">
        <f t="shared" si="49"/>
        <v>#N/A</v>
      </c>
      <c r="R331" t="e">
        <f t="shared" si="50"/>
        <v>#N/A</v>
      </c>
      <c r="S331" t="e">
        <f t="shared" si="51"/>
        <v>#N/A</v>
      </c>
      <c r="T331" s="15" t="e">
        <f t="shared" si="52"/>
        <v>#N/A</v>
      </c>
      <c r="U331" s="18" t="e">
        <f t="shared" si="53"/>
        <v>#N/A</v>
      </c>
      <c r="V331" s="18" t="e">
        <f t="shared" si="54"/>
        <v>#N/A</v>
      </c>
      <c r="W331" s="19" t="e">
        <f t="shared" si="55"/>
        <v>#N/A</v>
      </c>
      <c r="X331" t="e">
        <f>VLOOKUP(P331,Close[[ID]:[CreatedBy]],8,0)</f>
        <v>#N/A</v>
      </c>
    </row>
    <row r="332" spans="1:24" x14ac:dyDescent="0.35">
      <c r="A332" t="str">
        <v>9128285W6</v>
      </c>
      <c r="B332" t="str">
        <f>IF(NOT(ISBLANK(A332)),VLOOKUP(A332,'BBT3'!A:F,2,0),"")</f>
        <v>Bond</v>
      </c>
      <c r="C332" t="str">
        <f>IF(NOT(ISBLANK(A332)),VLOOKUP(A332,'BBT3'!A:F,3,0),"")</f>
        <v>US9128285W63</v>
      </c>
      <c r="D332" s="5">
        <f>IF(NOT(ISBLANK(A332)),VLOOKUP(A332,'BBT3'!A:F,4,1),"")</f>
        <v>0.875</v>
      </c>
      <c r="E332">
        <f>IF(NOT(ISBLANK(A332)),VLOOKUP(A332,'BBT3'!A:F,5,0),"")</f>
        <v>47133</v>
      </c>
      <c r="F332" t="str">
        <f>IF(NOT(ISBLANK(A332)),VLOOKUP(A332,'BBT3'!A:F,6,0),"")</f>
        <v>Y</v>
      </c>
      <c r="G332" t="str">
        <f t="shared" si="56"/>
        <v>N</v>
      </c>
      <c r="H332">
        <f>IF(NOT(ISBLANK(A332)),VLOOKUP(A332,'Close - PriceSaver'!A:J,5,0),"")</f>
        <v>2.1243441623142699E-2</v>
      </c>
      <c r="I332" s="4" cm="1">
        <f t="array" ref="I332">IF(NOT(ISBLANK(A332)),((_xlfn.XLOOKUP(1,(_bbt3[[#All],[ID]]=A332)*(_bbt3[[#All],[METRIC_NAME]]="YLD_YTM_ASK"),_bbt3[[#All],[METRIC_VALUE]])*0.5)+(_xlfn.XLOOKUP(1,(_bbt3[[#All],[ID]]=A332)*(_bbt3[[#All],[METRIC_NAME]]="YLD_YTM_BID"),_bbt3[[#All],[METRIC_VALUE]])*0.5))/100,"")</f>
        <v>2.1245000000000003E-2</v>
      </c>
      <c r="J332">
        <f>IF(ISNA(VLOOKUP(A332,'CloseDL - PriceSaverBBT3'!A:E,5,0)),0,VLOOKUP(A332,'CloseDL - PriceSaverBBT3'!A:E,5,0))</f>
        <v>2.1243441623142699E-2</v>
      </c>
      <c r="K332" s="7">
        <f t="shared" si="57"/>
        <v>0</v>
      </c>
      <c r="L332" s="20">
        <f>IF(Close[[#This Row],[CreatedBy]]="MARINER\SilverAdm",1,0)</f>
        <v>1</v>
      </c>
      <c r="M332" t="str">
        <f>IF(NOT(ISBLANK(A332)),VLOOKUP(A332,'Close - PriceSaver'!A:J,6,0),"")</f>
        <v>DL input prc = 96.99609375  PX_ASK = 97.02343750 PX_BID = 96.96875000</v>
      </c>
      <c r="Q332" t="e">
        <f t="shared" si="49"/>
        <v>#N/A</v>
      </c>
      <c r="R332" t="e">
        <f t="shared" si="50"/>
        <v>#N/A</v>
      </c>
      <c r="S332" t="e">
        <f t="shared" si="51"/>
        <v>#N/A</v>
      </c>
      <c r="T332" s="15" t="e">
        <f t="shared" si="52"/>
        <v>#N/A</v>
      </c>
      <c r="U332" s="18" t="e">
        <f t="shared" si="53"/>
        <v>#N/A</v>
      </c>
      <c r="V332" s="18" t="e">
        <f t="shared" si="54"/>
        <v>#N/A</v>
      </c>
      <c r="W332" s="19" t="e">
        <f t="shared" si="55"/>
        <v>#N/A</v>
      </c>
      <c r="X332" t="e">
        <f>VLOOKUP(P332,Close[[ID]:[CreatedBy]],8,0)</f>
        <v>#N/A</v>
      </c>
    </row>
    <row r="333" spans="1:24" x14ac:dyDescent="0.35">
      <c r="A333" t="str">
        <v>9128286B1</v>
      </c>
      <c r="B333" t="str">
        <f>IF(NOT(ISBLANK(A333)),VLOOKUP(A333,'BBT3'!A:F,2,0),"")</f>
        <v>Bond</v>
      </c>
      <c r="C333" t="str">
        <f>IF(NOT(ISBLANK(A333)),VLOOKUP(A333,'BBT3'!A:F,3,0),"")</f>
        <v>US9128286B18</v>
      </c>
      <c r="D333" s="5">
        <f>IF(NOT(ISBLANK(A333)),VLOOKUP(A333,'BBT3'!A:F,4,1),"")</f>
        <v>2.625</v>
      </c>
      <c r="E333">
        <f>IF(NOT(ISBLANK(A333)),VLOOKUP(A333,'BBT3'!A:F,5,0),"")</f>
        <v>47164</v>
      </c>
      <c r="F333" t="str">
        <f>IF(NOT(ISBLANK(A333)),VLOOKUP(A333,'BBT3'!A:F,6,0),"")</f>
        <v>N</v>
      </c>
      <c r="G333" t="str">
        <f t="shared" si="56"/>
        <v>N</v>
      </c>
      <c r="H333">
        <f>IF(NOT(ISBLANK(A333)),VLOOKUP(A333,'Close - PriceSaver'!A:J,5,0),"")</f>
        <v>4.2919310334268997E-2</v>
      </c>
      <c r="I333" s="4" cm="1">
        <f t="array" ref="I333">IF(NOT(ISBLANK(A333)),((_xlfn.XLOOKUP(1,(_bbt3[[#All],[ID]]=A333)*(_bbt3[[#All],[METRIC_NAME]]="YLD_YTM_ASK"),_bbt3[[#All],[METRIC_VALUE]])*0.5)+(_xlfn.XLOOKUP(1,(_bbt3[[#All],[ID]]=A333)*(_bbt3[[#All],[METRIC_NAME]]="YLD_YTM_BID"),_bbt3[[#All],[METRIC_VALUE]])*0.5))/100,"")</f>
        <v>4.292E-2</v>
      </c>
      <c r="J333">
        <f>IF(ISNA(VLOOKUP(A333,'CloseDL - PriceSaverBBT3'!A:E,5,0)),0,VLOOKUP(A333,'CloseDL - PriceSaverBBT3'!A:E,5,0))</f>
        <v>4.2919310334268997E-2</v>
      </c>
      <c r="K333" s="7">
        <f t="shared" si="57"/>
        <v>0</v>
      </c>
      <c r="L333" s="20">
        <f>IF(Close[[#This Row],[CreatedBy]]="MARINER\SilverAdm",1,0)</f>
        <v>1</v>
      </c>
      <c r="M333" t="str">
        <f>IF(NOT(ISBLANK(A333)),VLOOKUP(A333,'Close - PriceSaver'!A:J,6,0),"")</f>
        <v>DL input prc = 95.98828125  PX_ASK = 96.00781250 PX_BID = 95.96875000</v>
      </c>
      <c r="Q333" t="e">
        <f t="shared" si="49"/>
        <v>#N/A</v>
      </c>
      <c r="R333" t="e">
        <f t="shared" si="50"/>
        <v>#N/A</v>
      </c>
      <c r="S333" t="e">
        <f t="shared" si="51"/>
        <v>#N/A</v>
      </c>
      <c r="T333" s="15" t="e">
        <f t="shared" si="52"/>
        <v>#N/A</v>
      </c>
      <c r="U333" s="18" t="e">
        <f t="shared" si="53"/>
        <v>#N/A</v>
      </c>
      <c r="V333" s="18" t="e">
        <f t="shared" si="54"/>
        <v>#N/A</v>
      </c>
      <c r="W333" s="19" t="e">
        <f t="shared" si="55"/>
        <v>#N/A</v>
      </c>
      <c r="X333" t="e">
        <f>VLOOKUP(P333,Close[[ID]:[CreatedBy]],8,0)</f>
        <v>#N/A</v>
      </c>
    </row>
    <row r="334" spans="1:24" x14ac:dyDescent="0.35">
      <c r="A334" t="str">
        <v>9128286T2</v>
      </c>
      <c r="B334" t="str">
        <f>IF(NOT(ISBLANK(A334)),VLOOKUP(A334,'BBT3'!A:F,2,0),"")</f>
        <v>Bond</v>
      </c>
      <c r="C334" t="str">
        <f>IF(NOT(ISBLANK(A334)),VLOOKUP(A334,'BBT3'!A:F,3,0),"")</f>
        <v>US9128286T26</v>
      </c>
      <c r="D334" s="5">
        <f>IF(NOT(ISBLANK(A334)),VLOOKUP(A334,'BBT3'!A:F,4,1),"")</f>
        <v>2.375</v>
      </c>
      <c r="E334">
        <f>IF(NOT(ISBLANK(A334)),VLOOKUP(A334,'BBT3'!A:F,5,0),"")</f>
        <v>47253</v>
      </c>
      <c r="F334" t="str">
        <f>IF(NOT(ISBLANK(A334)),VLOOKUP(A334,'BBT3'!A:F,6,0),"")</f>
        <v>N</v>
      </c>
      <c r="G334" t="str">
        <f t="shared" si="56"/>
        <v>N</v>
      </c>
      <c r="H334">
        <f>IF(NOT(ISBLANK(A334)),VLOOKUP(A334,'Close - PriceSaver'!A:J,5,0),"")</f>
        <v>4.2886859686063497E-2</v>
      </c>
      <c r="I334" s="4" cm="1">
        <f t="array" ref="I334">IF(NOT(ISBLANK(A334)),((_xlfn.XLOOKUP(1,(_bbt3[[#All],[ID]]=A334)*(_bbt3[[#All],[METRIC_NAME]]="YLD_YTM_ASK"),_bbt3[[#All],[METRIC_VALUE]])*0.5)+(_xlfn.XLOOKUP(1,(_bbt3[[#All],[ID]]=A334)*(_bbt3[[#All],[METRIC_NAME]]="YLD_YTM_BID"),_bbt3[[#All],[METRIC_VALUE]])*0.5))/100,"")</f>
        <v>4.2885E-2</v>
      </c>
      <c r="J334">
        <f>IF(ISNA(VLOOKUP(A334,'CloseDL - PriceSaverBBT3'!A:E,5,0)),0,VLOOKUP(A334,'CloseDL - PriceSaverBBT3'!A:E,5,0))</f>
        <v>4.2886859686063497E-2</v>
      </c>
      <c r="K334" s="7">
        <f t="shared" si="57"/>
        <v>0</v>
      </c>
      <c r="L334" s="20">
        <f>IF(Close[[#This Row],[CreatedBy]]="MARINER\SilverAdm",1,0)</f>
        <v>1</v>
      </c>
      <c r="M334" t="str">
        <f>IF(NOT(ISBLANK(A334)),VLOOKUP(A334,'Close - PriceSaver'!A:J,6,0),"")</f>
        <v>DL input prc = 94.97265625  PX_ASK = 94.99218750 PX_BID = 94.95312500</v>
      </c>
      <c r="Q334" t="e">
        <f t="shared" si="49"/>
        <v>#N/A</v>
      </c>
      <c r="R334" t="e">
        <f t="shared" si="50"/>
        <v>#N/A</v>
      </c>
      <c r="S334" t="e">
        <f t="shared" si="51"/>
        <v>#N/A</v>
      </c>
      <c r="T334" s="15" t="e">
        <f t="shared" si="52"/>
        <v>#N/A</v>
      </c>
      <c r="U334" s="18" t="e">
        <f t="shared" si="53"/>
        <v>#N/A</v>
      </c>
      <c r="V334" s="18" t="e">
        <f t="shared" si="54"/>
        <v>#N/A</v>
      </c>
      <c r="W334" s="19" t="e">
        <f t="shared" si="55"/>
        <v>#N/A</v>
      </c>
      <c r="X334" t="e">
        <f>VLOOKUP(P334,Close[[ID]:[CreatedBy]],8,0)</f>
        <v>#N/A</v>
      </c>
    </row>
    <row r="335" spans="1:24" x14ac:dyDescent="0.35">
      <c r="A335" t="str">
        <v>9128287D6</v>
      </c>
      <c r="B335" t="str">
        <f>IF(NOT(ISBLANK(A335)),VLOOKUP(A335,'BBT3'!A:F,2,0),"")</f>
        <v>Bond</v>
      </c>
      <c r="C335" t="str">
        <f>IF(NOT(ISBLANK(A335)),VLOOKUP(A335,'BBT3'!A:F,3,0),"")</f>
        <v>US9128287D64</v>
      </c>
      <c r="D335" s="5">
        <f>IF(NOT(ISBLANK(A335)),VLOOKUP(A335,'BBT3'!A:F,4,1),"")</f>
        <v>0.25</v>
      </c>
      <c r="E335">
        <f>IF(NOT(ISBLANK(A335)),VLOOKUP(A335,'BBT3'!A:F,5,0),"")</f>
        <v>47314</v>
      </c>
      <c r="F335" t="str">
        <f>IF(NOT(ISBLANK(A335)),VLOOKUP(A335,'BBT3'!A:F,6,0),"")</f>
        <v>Y</v>
      </c>
      <c r="G335" t="str">
        <f t="shared" si="56"/>
        <v>N</v>
      </c>
      <c r="H335">
        <f>IF(NOT(ISBLANK(A335)),VLOOKUP(A335,'Close - PriceSaver'!A:J,5,0),"")</f>
        <v>1.9466337646664101E-2</v>
      </c>
      <c r="I335" s="4" cm="1">
        <f t="array" ref="I335">IF(NOT(ISBLANK(A335)),((_xlfn.XLOOKUP(1,(_bbt3[[#All],[ID]]=A335)*(_bbt3[[#All],[METRIC_NAME]]="YLD_YTM_ASK"),_bbt3[[#All],[METRIC_VALUE]])*0.5)+(_xlfn.XLOOKUP(1,(_bbt3[[#All],[ID]]=A335)*(_bbt3[[#All],[METRIC_NAME]]="YLD_YTM_BID"),_bbt3[[#All],[METRIC_VALUE]])*0.5))/100,"")</f>
        <v>1.9465E-2</v>
      </c>
      <c r="J335">
        <f>IF(ISNA(VLOOKUP(A335,'CloseDL - PriceSaverBBT3'!A:E,5,0)),0,VLOOKUP(A335,'CloseDL - PriceSaverBBT3'!A:E,5,0))</f>
        <v>1.9466337646664101E-2</v>
      </c>
      <c r="K335" s="7">
        <f t="shared" si="57"/>
        <v>0</v>
      </c>
      <c r="L335" s="20">
        <f>IF(Close[[#This Row],[CreatedBy]]="MARINER\SilverAdm",1,0)</f>
        <v>1</v>
      </c>
      <c r="M335" t="str">
        <f>IF(NOT(ISBLANK(A335)),VLOOKUP(A335,'Close - PriceSaver'!A:J,6,0),"")</f>
        <v>DL input prc = 95.10937500  PX_ASK = 95.13281250 PX_BID = 95.08593750</v>
      </c>
      <c r="Q335" t="e">
        <f t="shared" si="49"/>
        <v>#N/A</v>
      </c>
      <c r="R335" t="e">
        <f t="shared" si="50"/>
        <v>#N/A</v>
      </c>
      <c r="S335" t="e">
        <f t="shared" si="51"/>
        <v>#N/A</v>
      </c>
      <c r="T335" s="15" t="e">
        <f t="shared" si="52"/>
        <v>#N/A</v>
      </c>
      <c r="U335" s="18" t="e">
        <f t="shared" si="53"/>
        <v>#N/A</v>
      </c>
      <c r="V335" s="18" t="e">
        <f t="shared" si="54"/>
        <v>#N/A</v>
      </c>
      <c r="W335" s="19" t="e">
        <f t="shared" si="55"/>
        <v>#N/A</v>
      </c>
      <c r="X335" t="e">
        <f>VLOOKUP(P335,Close[[ID]:[CreatedBy]],8,0)</f>
        <v>#N/A</v>
      </c>
    </row>
    <row r="336" spans="1:24" x14ac:dyDescent="0.35">
      <c r="A336" t="str">
        <v>912828U24</v>
      </c>
      <c r="B336" t="str">
        <f>IF(NOT(ISBLANK(A336)),VLOOKUP(A336,'BBT3'!A:F,2,0),"")</f>
        <v>Bond</v>
      </c>
      <c r="C336" t="str">
        <f>IF(NOT(ISBLANK(A336)),VLOOKUP(A336,'BBT3'!A:F,3,0),"")</f>
        <v>US912828U246</v>
      </c>
      <c r="D336" s="5">
        <f>IF(NOT(ISBLANK(A336)),VLOOKUP(A336,'BBT3'!A:F,4,1),"")</f>
        <v>2</v>
      </c>
      <c r="E336">
        <f>IF(NOT(ISBLANK(A336)),VLOOKUP(A336,'BBT3'!A:F,5,0),"")</f>
        <v>46341</v>
      </c>
      <c r="F336" t="str">
        <f>IF(NOT(ISBLANK(A336)),VLOOKUP(A336,'BBT3'!A:F,6,0),"")</f>
        <v>N</v>
      </c>
      <c r="G336" t="str">
        <f t="shared" si="56"/>
        <v>N</v>
      </c>
      <c r="H336">
        <f>IF(NOT(ISBLANK(A336)),VLOOKUP(A336,'Close - PriceSaver'!A:J,5,0),"")</f>
        <v>3.8546337529236502E-2</v>
      </c>
      <c r="I336" s="4" cm="1">
        <f t="array" ref="I336">IF(NOT(ISBLANK(A336)),((_xlfn.XLOOKUP(1,(_bbt3[[#All],[ID]]=A336)*(_bbt3[[#All],[METRIC_NAME]]="YLD_YTM_ASK"),_bbt3[[#All],[METRIC_VALUE]])*0.5)+(_xlfn.XLOOKUP(1,(_bbt3[[#All],[ID]]=A336)*(_bbt3[[#All],[METRIC_NAME]]="YLD_YTM_BID"),_bbt3[[#All],[METRIC_VALUE]])*0.5))/100,"")</f>
        <v>3.8544999999999996E-2</v>
      </c>
      <c r="J336">
        <f>IF(ISNA(VLOOKUP(A336,'CloseDL - PriceSaverBBT3'!A:E,5,0)),0,VLOOKUP(A336,'CloseDL - PriceSaverBBT3'!A:E,5,0))</f>
        <v>3.8546337529236502E-2</v>
      </c>
      <c r="K336" s="7">
        <f t="shared" si="57"/>
        <v>0</v>
      </c>
      <c r="L336" s="20">
        <f>IF(Close[[#This Row],[CreatedBy]]="MARINER\SilverAdm",1,0)</f>
        <v>1</v>
      </c>
      <c r="M336" t="str">
        <f>IF(NOT(ISBLANK(A336)),VLOOKUP(A336,'Close - PriceSaver'!A:J,6,0),"")</f>
        <v>DL input prc = 99.41796875  PX_ASK = 99.43359375 PX_BID = 99.40234375</v>
      </c>
      <c r="Q336" t="e">
        <f t="shared" si="49"/>
        <v>#N/A</v>
      </c>
      <c r="R336" t="e">
        <f t="shared" si="50"/>
        <v>#N/A</v>
      </c>
      <c r="S336" t="e">
        <f t="shared" si="51"/>
        <v>#N/A</v>
      </c>
      <c r="T336" s="15" t="e">
        <f t="shared" si="52"/>
        <v>#N/A</v>
      </c>
      <c r="U336" s="18" t="e">
        <f t="shared" si="53"/>
        <v>#N/A</v>
      </c>
      <c r="V336" s="18" t="e">
        <f t="shared" si="54"/>
        <v>#N/A</v>
      </c>
      <c r="W336" s="19" t="e">
        <f t="shared" si="55"/>
        <v>#N/A</v>
      </c>
      <c r="X336" t="e">
        <f>VLOOKUP(P336,Close[[ID]:[CreatedBy]],8,0)</f>
        <v>#N/A</v>
      </c>
    </row>
    <row r="337" spans="1:24" x14ac:dyDescent="0.35">
      <c r="A337" t="str">
        <v>912828V49</v>
      </c>
      <c r="B337" t="str">
        <f>IF(NOT(ISBLANK(A337)),VLOOKUP(A337,'BBT3'!A:F,2,0),"")</f>
        <v>Bond</v>
      </c>
      <c r="C337" t="str">
        <f>IF(NOT(ISBLANK(A337)),VLOOKUP(A337,'BBT3'!A:F,3,0),"")</f>
        <v>US912828V491</v>
      </c>
      <c r="D337" s="5">
        <f>IF(NOT(ISBLANK(A337)),VLOOKUP(A337,'BBT3'!A:F,4,1),"")</f>
        <v>0.375</v>
      </c>
      <c r="E337">
        <f>IF(NOT(ISBLANK(A337)),VLOOKUP(A337,'BBT3'!A:F,5,0),"")</f>
        <v>46402</v>
      </c>
      <c r="F337" t="str">
        <f>IF(NOT(ISBLANK(A337)),VLOOKUP(A337,'BBT3'!A:F,6,0),"")</f>
        <v>Y</v>
      </c>
      <c r="G337" t="str">
        <f t="shared" si="56"/>
        <v>N</v>
      </c>
      <c r="H337">
        <f>IF(NOT(ISBLANK(A337)),VLOOKUP(A337,'Close - PriceSaver'!A:J,5,0),"")</f>
        <v>3.2284322390842703E-2</v>
      </c>
      <c r="I337" s="4" cm="1">
        <f t="array" ref="I337">IF(NOT(ISBLANK(A337)),((_xlfn.XLOOKUP(1,(_bbt3[[#All],[ID]]=A337)*(_bbt3[[#All],[METRIC_NAME]]="YLD_YTM_ASK"),_bbt3[[#All],[METRIC_VALUE]])*0.5)+(_xlfn.XLOOKUP(1,(_bbt3[[#All],[ID]]=A337)*(_bbt3[[#All],[METRIC_NAME]]="YLD_YTM_BID"),_bbt3[[#All],[METRIC_VALUE]])*0.5))/100,"")</f>
        <v>3.2285000000000001E-2</v>
      </c>
      <c r="J337">
        <f>IF(ISNA(VLOOKUP(A337,'CloseDL - PriceSaverBBT3'!A:E,5,0)),0,VLOOKUP(A337,'CloseDL - PriceSaverBBT3'!A:E,5,0))</f>
        <v>3.2284322390842703E-2</v>
      </c>
      <c r="K337" s="7">
        <f t="shared" si="57"/>
        <v>0</v>
      </c>
      <c r="L337" s="20">
        <f>IF(Close[[#This Row],[CreatedBy]]="MARINER\SilverAdm",1,0)</f>
        <v>1</v>
      </c>
      <c r="M337" t="str">
        <f>IF(NOT(ISBLANK(A337)),VLOOKUP(A337,'Close - PriceSaver'!A:J,6,0),"")</f>
        <v>DL input prc = 98.64843750  PX_ASK = 98.68750000 PX_BID = 98.60937500</v>
      </c>
      <c r="Q337" t="e">
        <f t="shared" si="49"/>
        <v>#N/A</v>
      </c>
      <c r="R337" t="e">
        <f t="shared" si="50"/>
        <v>#N/A</v>
      </c>
      <c r="S337" t="e">
        <f t="shared" si="51"/>
        <v>#N/A</v>
      </c>
      <c r="T337" s="15" t="e">
        <f t="shared" si="52"/>
        <v>#N/A</v>
      </c>
      <c r="U337" s="18" t="e">
        <f t="shared" si="53"/>
        <v>#N/A</v>
      </c>
      <c r="V337" s="18" t="e">
        <f t="shared" si="54"/>
        <v>#N/A</v>
      </c>
      <c r="W337" s="19" t="e">
        <f t="shared" si="55"/>
        <v>#N/A</v>
      </c>
      <c r="X337" t="e">
        <f>VLOOKUP(P337,Close[[ID]:[CreatedBy]],8,0)</f>
        <v>#N/A</v>
      </c>
    </row>
    <row r="338" spans="1:24" x14ac:dyDescent="0.35">
      <c r="A338" t="str">
        <v>912828V98</v>
      </c>
      <c r="B338" t="str">
        <f>IF(NOT(ISBLANK(A338)),VLOOKUP(A338,'BBT3'!A:F,2,0),"")</f>
        <v>Bond</v>
      </c>
      <c r="C338" t="str">
        <f>IF(NOT(ISBLANK(A338)),VLOOKUP(A338,'BBT3'!A:F,3,0),"")</f>
        <v>US912828V988</v>
      </c>
      <c r="D338" s="5">
        <f>IF(NOT(ISBLANK(A338)),VLOOKUP(A338,'BBT3'!A:F,4,1),"")</f>
        <v>2.25</v>
      </c>
      <c r="E338">
        <f>IF(NOT(ISBLANK(A338)),VLOOKUP(A338,'BBT3'!A:F,5,0),"")</f>
        <v>46433</v>
      </c>
      <c r="F338" t="str">
        <f>IF(NOT(ISBLANK(A338)),VLOOKUP(A338,'BBT3'!A:F,6,0),"")</f>
        <v>N</v>
      </c>
      <c r="G338" t="str">
        <f t="shared" si="56"/>
        <v>N</v>
      </c>
      <c r="H338">
        <f>IF(NOT(ISBLANK(A338)),VLOOKUP(A338,'Close - PriceSaver'!A:J,5,0),"")</f>
        <v>4.01968047847127E-2</v>
      </c>
      <c r="I338" s="4" cm="1">
        <f t="array" ref="I338">IF(NOT(ISBLANK(A338)),((_xlfn.XLOOKUP(1,(_bbt3[[#All],[ID]]=A338)*(_bbt3[[#All],[METRIC_NAME]]="YLD_YTM_ASK"),_bbt3[[#All],[METRIC_VALUE]])*0.5)+(_xlfn.XLOOKUP(1,(_bbt3[[#All],[ID]]=A338)*(_bbt3[[#All],[METRIC_NAME]]="YLD_YTM_BID"),_bbt3[[#All],[METRIC_VALUE]])*0.5))/100,"")</f>
        <v>4.0195000000000002E-2</v>
      </c>
      <c r="J338">
        <f>IF(ISNA(VLOOKUP(A338,'CloseDL - PriceSaverBBT3'!A:E,5,0)),0,VLOOKUP(A338,'CloseDL - PriceSaverBBT3'!A:E,5,0))</f>
        <v>4.01968047847127E-2</v>
      </c>
      <c r="K338" s="7">
        <f t="shared" si="57"/>
        <v>0</v>
      </c>
      <c r="L338" s="20">
        <f>IF(Close[[#This Row],[CreatedBy]]="MARINER\SilverAdm",1,0)</f>
        <v>1</v>
      </c>
      <c r="M338" t="str">
        <f>IF(NOT(ISBLANK(A338)),VLOOKUP(A338,'Close - PriceSaver'!A:J,6,0),"")</f>
        <v>DL input prc = 99.01757813  PX_ASK = 99.02734375 PX_BID = 99.00781250</v>
      </c>
      <c r="Q338" t="e">
        <f t="shared" si="49"/>
        <v>#N/A</v>
      </c>
      <c r="R338" t="e">
        <f t="shared" si="50"/>
        <v>#N/A</v>
      </c>
      <c r="S338" t="e">
        <f t="shared" si="51"/>
        <v>#N/A</v>
      </c>
      <c r="T338" s="15" t="e">
        <f t="shared" si="52"/>
        <v>#N/A</v>
      </c>
      <c r="U338" s="18" t="e">
        <f t="shared" si="53"/>
        <v>#N/A</v>
      </c>
      <c r="V338" s="18" t="e">
        <f t="shared" si="54"/>
        <v>#N/A</v>
      </c>
      <c r="W338" s="19" t="e">
        <f t="shared" si="55"/>
        <v>#N/A</v>
      </c>
      <c r="X338" t="e">
        <f>VLOOKUP(P338,Close[[ID]:[CreatedBy]],8,0)</f>
        <v>#N/A</v>
      </c>
    </row>
    <row r="339" spans="1:24" x14ac:dyDescent="0.35">
      <c r="A339" t="str">
        <v>912828X88</v>
      </c>
      <c r="B339" t="str">
        <f>IF(NOT(ISBLANK(A339)),VLOOKUP(A339,'BBT3'!A:F,2,0),"")</f>
        <v>Bond</v>
      </c>
      <c r="C339" t="str">
        <f>IF(NOT(ISBLANK(A339)),VLOOKUP(A339,'BBT3'!A:F,3,0),"")</f>
        <v>US912828X885</v>
      </c>
      <c r="D339" s="5">
        <f>IF(NOT(ISBLANK(A339)),VLOOKUP(A339,'BBT3'!A:F,4,1),"")</f>
        <v>2.375</v>
      </c>
      <c r="E339">
        <f>IF(NOT(ISBLANK(A339)),VLOOKUP(A339,'BBT3'!A:F,5,0),"")</f>
        <v>46522</v>
      </c>
      <c r="F339" t="str">
        <f>IF(NOT(ISBLANK(A339)),VLOOKUP(A339,'BBT3'!A:F,6,0),"")</f>
        <v>N</v>
      </c>
      <c r="G339" t="str">
        <f t="shared" si="56"/>
        <v>N</v>
      </c>
      <c r="H339">
        <f>IF(NOT(ISBLANK(A339)),VLOOKUP(A339,'Close - PriceSaver'!A:J,5,0),"")</f>
        <v>4.1037444903048503E-2</v>
      </c>
      <c r="I339" s="4" cm="1">
        <f t="array" ref="I339">IF(NOT(ISBLANK(A339)),((_xlfn.XLOOKUP(1,(_bbt3[[#All],[ID]]=A339)*(_bbt3[[#All],[METRIC_NAME]]="YLD_YTM_ASK"),_bbt3[[#All],[METRIC_VALUE]])*0.5)+(_xlfn.XLOOKUP(1,(_bbt3[[#All],[ID]]=A339)*(_bbt3[[#All],[METRIC_NAME]]="YLD_YTM_BID"),_bbt3[[#All],[METRIC_VALUE]])*0.5))/100,"")</f>
        <v>4.104E-2</v>
      </c>
      <c r="J339">
        <f>IF(ISNA(VLOOKUP(A339,'CloseDL - PriceSaverBBT3'!A:E,5,0)),0,VLOOKUP(A339,'CloseDL - PriceSaverBBT3'!A:E,5,0))</f>
        <v>4.1037444903048503E-2</v>
      </c>
      <c r="K339" s="7">
        <f t="shared" si="57"/>
        <v>0</v>
      </c>
      <c r="L339" s="20">
        <f>IF(Close[[#This Row],[CreatedBy]]="MARINER\SilverAdm",1,0)</f>
        <v>1</v>
      </c>
      <c r="M339" t="str">
        <f>IF(NOT(ISBLANK(A339)),VLOOKUP(A339,'Close - PriceSaver'!A:J,6,0),"")</f>
        <v>DL input prc = 98.62500000  PX_ASK = 98.63671875 PX_BID = 98.61328125</v>
      </c>
      <c r="Q339" t="e">
        <f t="shared" si="49"/>
        <v>#N/A</v>
      </c>
      <c r="R339" t="e">
        <f t="shared" si="50"/>
        <v>#N/A</v>
      </c>
      <c r="S339" t="e">
        <f t="shared" si="51"/>
        <v>#N/A</v>
      </c>
      <c r="T339" s="15" t="e">
        <f t="shared" si="52"/>
        <v>#N/A</v>
      </c>
      <c r="U339" s="18" t="e">
        <f t="shared" si="53"/>
        <v>#N/A</v>
      </c>
      <c r="V339" s="18" t="e">
        <f t="shared" si="54"/>
        <v>#N/A</v>
      </c>
      <c r="W339" s="19" t="e">
        <f t="shared" si="55"/>
        <v>#N/A</v>
      </c>
      <c r="X339" t="e">
        <f>VLOOKUP(P339,Close[[ID]:[CreatedBy]],8,0)</f>
        <v>#N/A</v>
      </c>
    </row>
    <row r="340" spans="1:24" x14ac:dyDescent="0.35">
      <c r="A340" t="str">
        <v>912828Y38</v>
      </c>
      <c r="B340" t="str">
        <f>IF(NOT(ISBLANK(A340)),VLOOKUP(A340,'BBT3'!A:F,2,0),"")</f>
        <v>Bond</v>
      </c>
      <c r="C340" t="str">
        <f>IF(NOT(ISBLANK(A340)),VLOOKUP(A340,'BBT3'!A:F,3,0),"")</f>
        <v>US912828Y388</v>
      </c>
      <c r="D340" s="5">
        <f>IF(NOT(ISBLANK(A340)),VLOOKUP(A340,'BBT3'!A:F,4,1),"")</f>
        <v>0.75</v>
      </c>
      <c r="E340">
        <f>IF(NOT(ISBLANK(A340)),VLOOKUP(A340,'BBT3'!A:F,5,0),"")</f>
        <v>46949</v>
      </c>
      <c r="F340" t="str">
        <f>IF(NOT(ISBLANK(A340)),VLOOKUP(A340,'BBT3'!A:F,6,0),"")</f>
        <v>Y</v>
      </c>
      <c r="G340" t="str">
        <f t="shared" si="56"/>
        <v>N</v>
      </c>
      <c r="H340">
        <f>IF(NOT(ISBLANK(A340)),VLOOKUP(A340,'Close - PriceSaver'!A:J,5,0),"")</f>
        <v>2.0010047517931302E-2</v>
      </c>
      <c r="I340" s="4" cm="1">
        <f t="array" ref="I340">IF(NOT(ISBLANK(A340)),((_xlfn.XLOOKUP(1,(_bbt3[[#All],[ID]]=A340)*(_bbt3[[#All],[METRIC_NAME]]="YLD_YTM_ASK"),_bbt3[[#All],[METRIC_VALUE]])*0.5)+(_xlfn.XLOOKUP(1,(_bbt3[[#All],[ID]]=A340)*(_bbt3[[#All],[METRIC_NAME]]="YLD_YTM_BID"),_bbt3[[#All],[METRIC_VALUE]])*0.5))/100,"")</f>
        <v>2.0010000000000003E-2</v>
      </c>
      <c r="J340">
        <f>IF(ISNA(VLOOKUP(A340,'CloseDL - PriceSaverBBT3'!A:E,5,0)),0,VLOOKUP(A340,'CloseDL - PriceSaverBBT3'!A:E,5,0))</f>
        <v>2.0010047517931302E-2</v>
      </c>
      <c r="K340" s="7">
        <f t="shared" si="57"/>
        <v>0</v>
      </c>
      <c r="L340" s="20">
        <f>IF(Close[[#This Row],[CreatedBy]]="MARINER\SilverAdm",1,0)</f>
        <v>1</v>
      </c>
      <c r="M340" t="str">
        <f>IF(NOT(ISBLANK(A340)),VLOOKUP(A340,'Close - PriceSaver'!A:J,6,0),"")</f>
        <v>DL input prc = 97.58203125  PX_ASK = 97.60937500 PX_BID = 97.55468750</v>
      </c>
      <c r="Q340" t="e">
        <f t="shared" si="49"/>
        <v>#N/A</v>
      </c>
      <c r="R340" t="e">
        <f t="shared" si="50"/>
        <v>#N/A</v>
      </c>
      <c r="S340" t="e">
        <f t="shared" si="51"/>
        <v>#N/A</v>
      </c>
      <c r="T340" s="15" t="e">
        <f t="shared" si="52"/>
        <v>#N/A</v>
      </c>
      <c r="U340" s="18" t="e">
        <f t="shared" si="53"/>
        <v>#N/A</v>
      </c>
      <c r="V340" s="18" t="e">
        <f t="shared" si="54"/>
        <v>#N/A</v>
      </c>
      <c r="W340" s="19" t="e">
        <f t="shared" si="55"/>
        <v>#N/A</v>
      </c>
      <c r="X340" t="e">
        <f>VLOOKUP(P340,Close[[ID]:[CreatedBy]],8,0)</f>
        <v>#N/A</v>
      </c>
    </row>
    <row r="341" spans="1:24" x14ac:dyDescent="0.35">
      <c r="A341" t="str">
        <v>912828Y95</v>
      </c>
      <c r="B341" t="str">
        <f>IF(NOT(ISBLANK(A341)),VLOOKUP(A341,'BBT3'!A:F,2,0),"")</f>
        <v>Bond</v>
      </c>
      <c r="C341" t="str">
        <f>IF(NOT(ISBLANK(A341)),VLOOKUP(A341,'BBT3'!A:F,3,0),"")</f>
        <v>US912828Y958</v>
      </c>
      <c r="D341" s="5">
        <f>IF(NOT(ISBLANK(A341)),VLOOKUP(A341,'BBT3'!A:F,4,1),"")</f>
        <v>1.875</v>
      </c>
      <c r="E341">
        <f>IF(NOT(ISBLANK(A341)),VLOOKUP(A341,'BBT3'!A:F,5,0),"")</f>
        <v>46234</v>
      </c>
      <c r="F341" t="str">
        <f>IF(NOT(ISBLANK(A341)),VLOOKUP(A341,'BBT3'!A:F,6,0),"")</f>
        <v>N</v>
      </c>
      <c r="G341" t="str">
        <f t="shared" si="56"/>
        <v>N</v>
      </c>
      <c r="H341">
        <f>IF(NOT(ISBLANK(A341)),VLOOKUP(A341,'Close - PriceSaver'!A:J,5,0),"")</f>
        <v>3.33911302877542E-2</v>
      </c>
      <c r="I341" s="4" cm="1">
        <f t="array" ref="I341">IF(NOT(ISBLANK(A341)),((_xlfn.XLOOKUP(1,(_bbt3[[#All],[ID]]=A341)*(_bbt3[[#All],[METRIC_NAME]]="YLD_YTM_ASK"),_bbt3[[#All],[METRIC_VALUE]])*0.5)+(_xlfn.XLOOKUP(1,(_bbt3[[#All],[ID]]=A341)*(_bbt3[[#All],[METRIC_NAME]]="YLD_YTM_BID"),_bbt3[[#All],[METRIC_VALUE]])*0.5))/100,"")</f>
        <v>3.3390000000000003E-2</v>
      </c>
      <c r="J341">
        <f>IF(ISNA(VLOOKUP(A341,'CloseDL - PriceSaverBBT3'!A:E,5,0)),0,VLOOKUP(A341,'CloseDL - PriceSaverBBT3'!A:E,5,0))</f>
        <v>3.33911302877542E-2</v>
      </c>
      <c r="K341" s="7">
        <f t="shared" si="57"/>
        <v>0</v>
      </c>
      <c r="L341" s="20">
        <f>IF(Close[[#This Row],[CreatedBy]]="MARINER\SilverAdm",1,0)</f>
        <v>1</v>
      </c>
      <c r="M341" t="str">
        <f>IF(NOT(ISBLANK(A341)),VLOOKUP(A341,'Close - PriceSaver'!A:J,6,0),"")</f>
        <v>DL input prc = 99.96289063  PX_ASK = 99.97265625 PX_BID = 99.95312500</v>
      </c>
      <c r="Q341" t="e">
        <f t="shared" si="49"/>
        <v>#N/A</v>
      </c>
      <c r="R341" t="e">
        <f t="shared" si="50"/>
        <v>#N/A</v>
      </c>
      <c r="S341" t="e">
        <f t="shared" si="51"/>
        <v>#N/A</v>
      </c>
      <c r="T341" s="15" t="e">
        <f t="shared" si="52"/>
        <v>#N/A</v>
      </c>
      <c r="U341" s="18" t="e">
        <f t="shared" si="53"/>
        <v>#N/A</v>
      </c>
      <c r="V341" s="18" t="e">
        <f t="shared" si="54"/>
        <v>#N/A</v>
      </c>
      <c r="W341" s="19" t="e">
        <f t="shared" si="55"/>
        <v>#N/A</v>
      </c>
      <c r="X341" t="e">
        <f>VLOOKUP(P341,Close[[ID]:[CreatedBy]],8,0)</f>
        <v>#N/A</v>
      </c>
    </row>
    <row r="342" spans="1:24" x14ac:dyDescent="0.35">
      <c r="A342" t="str">
        <v>912828YB0</v>
      </c>
      <c r="B342" t="str">
        <f>IF(NOT(ISBLANK(A342)),VLOOKUP(A342,'BBT3'!A:F,2,0),"")</f>
        <v>Bond</v>
      </c>
      <c r="C342" t="str">
        <f>IF(NOT(ISBLANK(A342)),VLOOKUP(A342,'BBT3'!A:F,3,0),"")</f>
        <v>US912828YB05</v>
      </c>
      <c r="D342" s="5">
        <f>IF(NOT(ISBLANK(A342)),VLOOKUP(A342,'BBT3'!A:F,4,1),"")</f>
        <v>1.625</v>
      </c>
      <c r="E342">
        <f>IF(NOT(ISBLANK(A342)),VLOOKUP(A342,'BBT3'!A:F,5,0),"")</f>
        <v>47345</v>
      </c>
      <c r="F342" t="str">
        <f>IF(NOT(ISBLANK(A342)),VLOOKUP(A342,'BBT3'!A:F,6,0),"")</f>
        <v>N</v>
      </c>
      <c r="G342" t="str">
        <f t="shared" si="56"/>
        <v>N</v>
      </c>
      <c r="H342">
        <f>IF(NOT(ISBLANK(A342)),VLOOKUP(A342,'Close - PriceSaver'!A:J,5,0),"")</f>
        <v>4.2856173753746202E-2</v>
      </c>
      <c r="I342" s="4" cm="1">
        <f t="array" ref="I342">IF(NOT(ISBLANK(A342)),((_xlfn.XLOOKUP(1,(_bbt3[[#All],[ID]]=A342)*(_bbt3[[#All],[METRIC_NAME]]="YLD_YTM_ASK"),_bbt3[[#All],[METRIC_VALUE]])*0.5)+(_xlfn.XLOOKUP(1,(_bbt3[[#All],[ID]]=A342)*(_bbt3[[#All],[METRIC_NAME]]="YLD_YTM_BID"),_bbt3[[#All],[METRIC_VALUE]])*0.5))/100,"")</f>
        <v>4.2854999999999997E-2</v>
      </c>
      <c r="J342">
        <f>IF(ISNA(VLOOKUP(A342,'CloseDL - PriceSaverBBT3'!A:E,5,0)),0,VLOOKUP(A342,'CloseDL - PriceSaverBBT3'!A:E,5,0))</f>
        <v>4.2856173753746202E-2</v>
      </c>
      <c r="K342" s="7">
        <f t="shared" si="57"/>
        <v>0</v>
      </c>
      <c r="L342" s="20">
        <f>IF(Close[[#This Row],[CreatedBy]]="MARINER\SilverAdm",1,0)</f>
        <v>1</v>
      </c>
      <c r="M342" t="str">
        <f>IF(NOT(ISBLANK(A342)),VLOOKUP(A342,'Close - PriceSaver'!A:J,6,0),"")</f>
        <v>DL input prc = 92.42968750  PX_ASK = 92.45312500 PX_BID = 92.40625000</v>
      </c>
      <c r="Q342" t="e">
        <f t="shared" si="49"/>
        <v>#N/A</v>
      </c>
      <c r="R342" t="e">
        <f t="shared" si="50"/>
        <v>#N/A</v>
      </c>
      <c r="S342" t="e">
        <f t="shared" si="51"/>
        <v>#N/A</v>
      </c>
      <c r="T342" s="15" t="e">
        <f t="shared" si="52"/>
        <v>#N/A</v>
      </c>
      <c r="U342" s="18" t="e">
        <f t="shared" si="53"/>
        <v>#N/A</v>
      </c>
      <c r="V342" s="18" t="e">
        <f t="shared" si="54"/>
        <v>#N/A</v>
      </c>
      <c r="W342" s="19" t="e">
        <f t="shared" si="55"/>
        <v>#N/A</v>
      </c>
      <c r="X342" t="e">
        <f>VLOOKUP(P342,Close[[ID]:[CreatedBy]],8,0)</f>
        <v>#N/A</v>
      </c>
    </row>
    <row r="343" spans="1:24" x14ac:dyDescent="0.35">
      <c r="A343" t="str">
        <v>912828YD6</v>
      </c>
      <c r="B343" t="str">
        <f>IF(NOT(ISBLANK(A343)),VLOOKUP(A343,'BBT3'!A:F,2,0),"")</f>
        <v>Bond</v>
      </c>
      <c r="C343" t="str">
        <f>IF(NOT(ISBLANK(A343)),VLOOKUP(A343,'BBT3'!A:F,3,0),"")</f>
        <v>US912828YD60</v>
      </c>
      <c r="D343" s="5">
        <f>IF(NOT(ISBLANK(A343)),VLOOKUP(A343,'BBT3'!A:F,4,1),"")</f>
        <v>1.375</v>
      </c>
      <c r="E343">
        <f>IF(NOT(ISBLANK(A343)),VLOOKUP(A343,'BBT3'!A:F,5,0),"")</f>
        <v>46265</v>
      </c>
      <c r="F343" t="str">
        <f>IF(NOT(ISBLANK(A343)),VLOOKUP(A343,'BBT3'!A:F,6,0),"")</f>
        <v>N</v>
      </c>
      <c r="G343" t="str">
        <f t="shared" si="56"/>
        <v>N</v>
      </c>
      <c r="H343">
        <f>IF(NOT(ISBLANK(A343)),VLOOKUP(A343,'Close - PriceSaver'!A:J,5,0),"")</f>
        <v>3.7364044372936202E-2</v>
      </c>
      <c r="I343" s="4" cm="1">
        <f t="array" ref="I343">IF(NOT(ISBLANK(A343)),((_xlfn.XLOOKUP(1,(_bbt3[[#All],[ID]]=A343)*(_bbt3[[#All],[METRIC_NAME]]="YLD_YTM_ASK"),_bbt3[[#All],[METRIC_VALUE]])*0.5)+(_xlfn.XLOOKUP(1,(_bbt3[[#All],[ID]]=A343)*(_bbt3[[#All],[METRIC_NAME]]="YLD_YTM_BID"),_bbt3[[#All],[METRIC_VALUE]])*0.5))/100,"")</f>
        <v>3.7359999999999997E-2</v>
      </c>
      <c r="J343">
        <f>IF(ISNA(VLOOKUP(A343,'CloseDL - PriceSaverBBT3'!A:E,5,0)),0,VLOOKUP(A343,'CloseDL - PriceSaverBBT3'!A:E,5,0))</f>
        <v>3.7364044372936202E-2</v>
      </c>
      <c r="K343" s="7">
        <f t="shared" si="57"/>
        <v>0</v>
      </c>
      <c r="L343" s="20">
        <f>IF(Close[[#This Row],[CreatedBy]]="MARINER\SilverAdm",1,0)</f>
        <v>1</v>
      </c>
      <c r="M343" t="str">
        <f>IF(NOT(ISBLANK(A343)),VLOOKUP(A343,'Close - PriceSaver'!A:J,6,0),"")</f>
        <v>DL input prc = 99.74218750  PX_ASK = 99.75781250 PX_BID = 99.72656250</v>
      </c>
      <c r="Q343" t="e">
        <f t="shared" si="49"/>
        <v>#N/A</v>
      </c>
      <c r="R343" t="e">
        <f t="shared" si="50"/>
        <v>#N/A</v>
      </c>
      <c r="S343" t="e">
        <f t="shared" si="51"/>
        <v>#N/A</v>
      </c>
      <c r="T343" s="15" t="e">
        <f t="shared" si="52"/>
        <v>#N/A</v>
      </c>
      <c r="U343" s="18" t="e">
        <f t="shared" si="53"/>
        <v>#N/A</v>
      </c>
      <c r="V343" s="18" t="e">
        <f t="shared" si="54"/>
        <v>#N/A</v>
      </c>
      <c r="W343" s="19" t="e">
        <f t="shared" si="55"/>
        <v>#N/A</v>
      </c>
      <c r="X343" t="e">
        <f>VLOOKUP(P343,Close[[ID]:[CreatedBy]],8,0)</f>
        <v>#N/A</v>
      </c>
    </row>
    <row r="344" spans="1:24" x14ac:dyDescent="0.35">
      <c r="A344" t="str">
        <v>912828YG9</v>
      </c>
      <c r="B344" t="str">
        <f>IF(NOT(ISBLANK(A344)),VLOOKUP(A344,'BBT3'!A:F,2,0),"")</f>
        <v>Bond</v>
      </c>
      <c r="C344" t="str">
        <f>IF(NOT(ISBLANK(A344)),VLOOKUP(A344,'BBT3'!A:F,3,0),"")</f>
        <v>US912828YG91</v>
      </c>
      <c r="D344" s="5">
        <f>IF(NOT(ISBLANK(A344)),VLOOKUP(A344,'BBT3'!A:F,4,1),"")</f>
        <v>1.625</v>
      </c>
      <c r="E344">
        <f>IF(NOT(ISBLANK(A344)),VLOOKUP(A344,'BBT3'!A:F,5,0),"")</f>
        <v>46295</v>
      </c>
      <c r="F344" t="str">
        <f>IF(NOT(ISBLANK(A344)),VLOOKUP(A344,'BBT3'!A:F,6,0),"")</f>
        <v>N</v>
      </c>
      <c r="G344" t="str">
        <f t="shared" si="56"/>
        <v>N</v>
      </c>
      <c r="H344">
        <f>IF(NOT(ISBLANK(A344)),VLOOKUP(A344,'Close - PriceSaver'!A:J,5,0),"")</f>
        <v>3.7763597503669998E-2</v>
      </c>
      <c r="I344" s="4" cm="1">
        <f t="array" ref="I344">IF(NOT(ISBLANK(A344)),((_xlfn.XLOOKUP(1,(_bbt3[[#All],[ID]]=A344)*(_bbt3[[#All],[METRIC_NAME]]="YLD_YTM_ASK"),_bbt3[[#All],[METRIC_VALUE]])*0.5)+(_xlfn.XLOOKUP(1,(_bbt3[[#All],[ID]]=A344)*(_bbt3[[#All],[METRIC_NAME]]="YLD_YTM_BID"),_bbt3[[#All],[METRIC_VALUE]])*0.5))/100,"")</f>
        <v>3.7765E-2</v>
      </c>
      <c r="J344">
        <f>IF(ISNA(VLOOKUP(A344,'CloseDL - PriceSaverBBT3'!A:E,5,0)),0,VLOOKUP(A344,'CloseDL - PriceSaverBBT3'!A:E,5,0))</f>
        <v>3.7763597503669998E-2</v>
      </c>
      <c r="K344" s="7">
        <f t="shared" si="57"/>
        <v>0</v>
      </c>
      <c r="L344" s="20">
        <f>IF(Close[[#This Row],[CreatedBy]]="MARINER\SilverAdm",1,0)</f>
        <v>1</v>
      </c>
      <c r="M344" t="str">
        <f>IF(NOT(ISBLANK(A344)),VLOOKUP(A344,'Close - PriceSaver'!A:J,6,0),"")</f>
        <v>DL input prc = 99.58789063  PX_ASK = 99.59765625 PX_BID = 99.57812500</v>
      </c>
      <c r="Q344" t="e">
        <f t="shared" si="49"/>
        <v>#N/A</v>
      </c>
      <c r="R344" t="e">
        <f t="shared" si="50"/>
        <v>#N/A</v>
      </c>
      <c r="S344" t="e">
        <f t="shared" si="51"/>
        <v>#N/A</v>
      </c>
      <c r="T344" s="15" t="e">
        <f t="shared" si="52"/>
        <v>#N/A</v>
      </c>
      <c r="U344" s="18" t="e">
        <f t="shared" si="53"/>
        <v>#N/A</v>
      </c>
      <c r="V344" s="18" t="e">
        <f t="shared" si="54"/>
        <v>#N/A</v>
      </c>
      <c r="W344" s="19" t="e">
        <f t="shared" si="55"/>
        <v>#N/A</v>
      </c>
      <c r="X344" t="e">
        <f>VLOOKUP(P344,Close[[ID]:[CreatedBy]],8,0)</f>
        <v>#N/A</v>
      </c>
    </row>
    <row r="345" spans="1:24" x14ac:dyDescent="0.35">
      <c r="A345" t="str">
        <v>912828YQ7</v>
      </c>
      <c r="B345" t="str">
        <f>IF(NOT(ISBLANK(A345)),VLOOKUP(A345,'BBT3'!A:F,2,0),"")</f>
        <v>Bond</v>
      </c>
      <c r="C345" t="str">
        <f>IF(NOT(ISBLANK(A345)),VLOOKUP(A345,'BBT3'!A:F,3,0),"")</f>
        <v>US912828YQ73</v>
      </c>
      <c r="D345" s="5">
        <f>IF(NOT(ISBLANK(A345)),VLOOKUP(A345,'BBT3'!A:F,4,1),"")</f>
        <v>1.625</v>
      </c>
      <c r="E345">
        <f>IF(NOT(ISBLANK(A345)),VLOOKUP(A345,'BBT3'!A:F,5,0),"")</f>
        <v>46326</v>
      </c>
      <c r="F345" t="str">
        <f>IF(NOT(ISBLANK(A345)),VLOOKUP(A345,'BBT3'!A:F,6,0),"")</f>
        <v>N</v>
      </c>
      <c r="G345" t="str">
        <f t="shared" si="56"/>
        <v>N</v>
      </c>
      <c r="H345">
        <f>IF(NOT(ISBLANK(A345)),VLOOKUP(A345,'Close - PriceSaver'!A:J,5,0),"")</f>
        <v>3.8474497274415403E-2</v>
      </c>
      <c r="I345" s="4" cm="1">
        <f t="array" ref="I345">IF(NOT(ISBLANK(A345)),((_xlfn.XLOOKUP(1,(_bbt3[[#All],[ID]]=A345)*(_bbt3[[#All],[METRIC_NAME]]="YLD_YTM_ASK"),_bbt3[[#All],[METRIC_VALUE]])*0.5)+(_xlfn.XLOOKUP(1,(_bbt3[[#All],[ID]]=A345)*(_bbt3[[#All],[METRIC_NAME]]="YLD_YTM_BID"),_bbt3[[#All],[METRIC_VALUE]])*0.5))/100,"")</f>
        <v>3.8475000000000002E-2</v>
      </c>
      <c r="J345">
        <f>IF(ISNA(VLOOKUP(A345,'CloseDL - PriceSaverBBT3'!A:E,5,0)),0,VLOOKUP(A345,'CloseDL - PriceSaverBBT3'!A:E,5,0))</f>
        <v>3.8474497274415403E-2</v>
      </c>
      <c r="K345" s="7">
        <f t="shared" si="57"/>
        <v>0</v>
      </c>
      <c r="L345" s="20">
        <f>IF(Close[[#This Row],[CreatedBy]]="MARINER\SilverAdm",1,0)</f>
        <v>1</v>
      </c>
      <c r="M345" t="str">
        <f>IF(NOT(ISBLANK(A345)),VLOOKUP(A345,'Close - PriceSaver'!A:J,6,0),"")</f>
        <v>DL input prc = 99.39257813  PX_ASK = 99.40625000 PX_BID = 99.37890625</v>
      </c>
      <c r="Q345" t="e">
        <f t="shared" si="49"/>
        <v>#N/A</v>
      </c>
      <c r="R345" t="e">
        <f t="shared" si="50"/>
        <v>#N/A</v>
      </c>
      <c r="S345" t="e">
        <f t="shared" si="51"/>
        <v>#N/A</v>
      </c>
      <c r="T345" s="15" t="e">
        <f t="shared" si="52"/>
        <v>#N/A</v>
      </c>
      <c r="U345" s="18" t="e">
        <f t="shared" si="53"/>
        <v>#N/A</v>
      </c>
      <c r="V345" s="18" t="e">
        <f t="shared" si="54"/>
        <v>#N/A</v>
      </c>
      <c r="W345" s="19" t="e">
        <f t="shared" si="55"/>
        <v>#N/A</v>
      </c>
      <c r="X345" t="e">
        <f>VLOOKUP(P345,Close[[ID]:[CreatedBy]],8,0)</f>
        <v>#N/A</v>
      </c>
    </row>
    <row r="346" spans="1:24" x14ac:dyDescent="0.35">
      <c r="A346" t="str">
        <v>912828YS3</v>
      </c>
      <c r="B346" t="str">
        <f>IF(NOT(ISBLANK(A346)),VLOOKUP(A346,'BBT3'!A:F,2,0),"")</f>
        <v>Bond</v>
      </c>
      <c r="C346" t="str">
        <f>IF(NOT(ISBLANK(A346)),VLOOKUP(A346,'BBT3'!A:F,3,0),"")</f>
        <v>US912828YS30</v>
      </c>
      <c r="D346" s="5">
        <f>IF(NOT(ISBLANK(A346)),VLOOKUP(A346,'BBT3'!A:F,4,1),"")</f>
        <v>1.75</v>
      </c>
      <c r="E346">
        <f>IF(NOT(ISBLANK(A346)),VLOOKUP(A346,'BBT3'!A:F,5,0),"")</f>
        <v>47437</v>
      </c>
      <c r="F346" t="str">
        <f>IF(NOT(ISBLANK(A346)),VLOOKUP(A346,'BBT3'!A:F,6,0),"")</f>
        <v>N</v>
      </c>
      <c r="G346" t="str">
        <f t="shared" si="56"/>
        <v>N</v>
      </c>
      <c r="H346">
        <f>IF(NOT(ISBLANK(A346)),VLOOKUP(A346,'Close - PriceSaver'!A:J,5,0),"")</f>
        <v>4.2991377113837603E-2</v>
      </c>
      <c r="I346" s="4" cm="1">
        <f t="array" ref="I346">IF(NOT(ISBLANK(A346)),((_xlfn.XLOOKUP(1,(_bbt3[[#All],[ID]]=A346)*(_bbt3[[#All],[METRIC_NAME]]="YLD_YTM_ASK"),_bbt3[[#All],[METRIC_VALUE]])*0.5)+(_xlfn.XLOOKUP(1,(_bbt3[[#All],[ID]]=A346)*(_bbt3[[#All],[METRIC_NAME]]="YLD_YTM_BID"),_bbt3[[#All],[METRIC_VALUE]])*0.5))/100,"")</f>
        <v>4.2994999999999998E-2</v>
      </c>
      <c r="J346">
        <f>IF(ISNA(VLOOKUP(A346,'CloseDL - PriceSaverBBT3'!A:E,5,0)),0,VLOOKUP(A346,'CloseDL - PriceSaverBBT3'!A:E,5,0))</f>
        <v>4.2991377113837603E-2</v>
      </c>
      <c r="K346" s="7">
        <f t="shared" si="57"/>
        <v>0</v>
      </c>
      <c r="L346" s="20">
        <f>IF(Close[[#This Row],[CreatedBy]]="MARINER\SilverAdm",1,0)</f>
        <v>1</v>
      </c>
      <c r="M346" t="str">
        <f>IF(NOT(ISBLANK(A346)),VLOOKUP(A346,'Close - PriceSaver'!A:J,6,0),"")</f>
        <v>DL input prc = 92.19921875  PX_ASK = 92.22656250 PX_BID = 92.17187500</v>
      </c>
      <c r="Q346" t="e">
        <f t="shared" si="49"/>
        <v>#N/A</v>
      </c>
      <c r="R346" t="e">
        <f t="shared" si="50"/>
        <v>#N/A</v>
      </c>
      <c r="S346" t="e">
        <f t="shared" si="51"/>
        <v>#N/A</v>
      </c>
      <c r="T346" s="15" t="e">
        <f t="shared" si="52"/>
        <v>#N/A</v>
      </c>
      <c r="U346" s="18" t="e">
        <f t="shared" si="53"/>
        <v>#N/A</v>
      </c>
      <c r="V346" s="18" t="e">
        <f t="shared" si="54"/>
        <v>#N/A</v>
      </c>
      <c r="W346" s="19" t="e">
        <f t="shared" si="55"/>
        <v>#N/A</v>
      </c>
      <c r="X346" t="e">
        <f>VLOOKUP(P346,Close[[ID]:[CreatedBy]],8,0)</f>
        <v>#N/A</v>
      </c>
    </row>
    <row r="347" spans="1:24" x14ac:dyDescent="0.35">
      <c r="A347" t="str">
        <v>912828YU8</v>
      </c>
      <c r="B347" t="str">
        <f>IF(NOT(ISBLANK(A347)),VLOOKUP(A347,'BBT3'!A:F,2,0),"")</f>
        <v>Bond</v>
      </c>
      <c r="C347" t="str">
        <f>IF(NOT(ISBLANK(A347)),VLOOKUP(A347,'BBT3'!A:F,3,0),"")</f>
        <v>US912828YU85</v>
      </c>
      <c r="D347" s="5">
        <f>IF(NOT(ISBLANK(A347)),VLOOKUP(A347,'BBT3'!A:F,4,1),"")</f>
        <v>1.625</v>
      </c>
      <c r="E347">
        <f>IF(NOT(ISBLANK(A347)),VLOOKUP(A347,'BBT3'!A:F,5,0),"")</f>
        <v>46356</v>
      </c>
      <c r="F347" t="str">
        <f>IF(NOT(ISBLANK(A347)),VLOOKUP(A347,'BBT3'!A:F,6,0),"")</f>
        <v>N</v>
      </c>
      <c r="G347" t="str">
        <f t="shared" si="56"/>
        <v>N</v>
      </c>
      <c r="H347">
        <f>IF(NOT(ISBLANK(A347)),VLOOKUP(A347,'Close - PriceSaver'!A:J,5,0),"")</f>
        <v>3.88443489661041E-2</v>
      </c>
      <c r="I347" s="4" cm="1">
        <f t="array" ref="I347">IF(NOT(ISBLANK(A347)),((_xlfn.XLOOKUP(1,(_bbt3[[#All],[ID]]=A347)*(_bbt3[[#All],[METRIC_NAME]]="YLD_YTM_ASK"),_bbt3[[#All],[METRIC_VALUE]])*0.5)+(_xlfn.XLOOKUP(1,(_bbt3[[#All],[ID]]=A347)*(_bbt3[[#All],[METRIC_NAME]]="YLD_YTM_BID"),_bbt3[[#All],[METRIC_VALUE]])*0.5))/100,"")</f>
        <v>3.8844999999999998E-2</v>
      </c>
      <c r="J347">
        <f>IF(ISNA(VLOOKUP(A347,'CloseDL - PriceSaverBBT3'!A:E,5,0)),0,VLOOKUP(A347,'CloseDL - PriceSaverBBT3'!A:E,5,0))</f>
        <v>3.88443489661041E-2</v>
      </c>
      <c r="K347" s="7">
        <f t="shared" si="57"/>
        <v>0</v>
      </c>
      <c r="L347" s="20">
        <f>IF(Close[[#This Row],[CreatedBy]]="MARINER\SilverAdm",1,0)</f>
        <v>1</v>
      </c>
      <c r="M347" t="str">
        <f>IF(NOT(ISBLANK(A347)),VLOOKUP(A347,'Close - PriceSaver'!A:J,6,0),"")</f>
        <v>DL input prc = 99.19921875  PX_ASK = 99.21093750 PX_BID = 99.18750000</v>
      </c>
      <c r="Q347" t="e">
        <f t="shared" si="49"/>
        <v>#N/A</v>
      </c>
      <c r="R347" t="e">
        <f t="shared" si="50"/>
        <v>#N/A</v>
      </c>
      <c r="S347" t="e">
        <f t="shared" si="51"/>
        <v>#N/A</v>
      </c>
      <c r="T347" s="15" t="e">
        <f t="shared" si="52"/>
        <v>#N/A</v>
      </c>
      <c r="U347" s="18" t="e">
        <f t="shared" si="53"/>
        <v>#N/A</v>
      </c>
      <c r="V347" s="18" t="e">
        <f t="shared" si="54"/>
        <v>#N/A</v>
      </c>
      <c r="W347" s="19" t="e">
        <f t="shared" si="55"/>
        <v>#N/A</v>
      </c>
      <c r="X347" t="e">
        <f>VLOOKUP(P347,Close[[ID]:[CreatedBy]],8,0)</f>
        <v>#N/A</v>
      </c>
    </row>
    <row r="348" spans="1:24" x14ac:dyDescent="0.35">
      <c r="A348" t="str">
        <v>912828YX2</v>
      </c>
      <c r="B348" t="str">
        <f>IF(NOT(ISBLANK(A348)),VLOOKUP(A348,'BBT3'!A:F,2,0),"")</f>
        <v>Bond</v>
      </c>
      <c r="C348" t="str">
        <f>IF(NOT(ISBLANK(A348)),VLOOKUP(A348,'BBT3'!A:F,3,0),"")</f>
        <v>US912828YX25</v>
      </c>
      <c r="D348" s="5">
        <f>IF(NOT(ISBLANK(A348)),VLOOKUP(A348,'BBT3'!A:F,4,1),"")</f>
        <v>1.75</v>
      </c>
      <c r="E348">
        <f>IF(NOT(ISBLANK(A348)),VLOOKUP(A348,'BBT3'!A:F,5,0),"")</f>
        <v>46387</v>
      </c>
      <c r="F348" t="str">
        <f>IF(NOT(ISBLANK(A348)),VLOOKUP(A348,'BBT3'!A:F,6,0),"")</f>
        <v>N</v>
      </c>
      <c r="G348" t="str">
        <f t="shared" si="56"/>
        <v>N</v>
      </c>
      <c r="H348">
        <f>IF(NOT(ISBLANK(A348)),VLOOKUP(A348,'Close - PriceSaver'!A:J,5,0),"")</f>
        <v>3.9486277780865102E-2</v>
      </c>
      <c r="I348" s="4" cm="1">
        <f t="array" ref="I348">IF(NOT(ISBLANK(A348)),((_xlfn.XLOOKUP(1,(_bbt3[[#All],[ID]]=A348)*(_bbt3[[#All],[METRIC_NAME]]="YLD_YTM_ASK"),_bbt3[[#All],[METRIC_VALUE]])*0.5)+(_xlfn.XLOOKUP(1,(_bbt3[[#All],[ID]]=A348)*(_bbt3[[#All],[METRIC_NAME]]="YLD_YTM_BID"),_bbt3[[#All],[METRIC_VALUE]])*0.5))/100,"")</f>
        <v>3.9484999999999999E-2</v>
      </c>
      <c r="J348">
        <f>IF(ISNA(VLOOKUP(A348,'CloseDL - PriceSaverBBT3'!A:E,5,0)),0,VLOOKUP(A348,'CloseDL - PriceSaverBBT3'!A:E,5,0))</f>
        <v>3.9486277780865102E-2</v>
      </c>
      <c r="K348" s="7">
        <f t="shared" si="57"/>
        <v>0</v>
      </c>
      <c r="L348" s="20">
        <f>IF(Close[[#This Row],[CreatedBy]]="MARINER\SilverAdm",1,0)</f>
        <v>1</v>
      </c>
      <c r="M348" t="str">
        <f>IF(NOT(ISBLANK(A348)),VLOOKUP(A348,'Close - PriceSaver'!A:J,6,0),"")</f>
        <v>DL input prc = 99.04687500  PX_ASK = 99.06250000 PX_BID = 99.03125000</v>
      </c>
      <c r="Q348" t="e">
        <f t="shared" si="49"/>
        <v>#N/A</v>
      </c>
      <c r="R348" t="e">
        <f t="shared" si="50"/>
        <v>#N/A</v>
      </c>
      <c r="S348" t="e">
        <f t="shared" si="51"/>
        <v>#N/A</v>
      </c>
      <c r="T348" s="15" t="e">
        <f t="shared" si="52"/>
        <v>#N/A</v>
      </c>
      <c r="U348" s="18" t="e">
        <f t="shared" si="53"/>
        <v>#N/A</v>
      </c>
      <c r="V348" s="18" t="e">
        <f t="shared" si="54"/>
        <v>#N/A</v>
      </c>
      <c r="W348" s="19" t="e">
        <f t="shared" si="55"/>
        <v>#N/A</v>
      </c>
      <c r="X348" t="e">
        <f>VLOOKUP(P348,Close[[ID]:[CreatedBy]],8,0)</f>
        <v>#N/A</v>
      </c>
    </row>
    <row r="349" spans="1:24" x14ac:dyDescent="0.35">
      <c r="A349" t="str">
        <v>912828Z37</v>
      </c>
      <c r="B349" t="str">
        <f>IF(NOT(ISBLANK(A349)),VLOOKUP(A349,'BBT3'!A:F,2,0),"")</f>
        <v>Bond</v>
      </c>
      <c r="C349" t="str">
        <f>IF(NOT(ISBLANK(A349)),VLOOKUP(A349,'BBT3'!A:F,3,0),"")</f>
        <v>US912828Z377</v>
      </c>
      <c r="D349" s="5">
        <f>IF(NOT(ISBLANK(A349)),VLOOKUP(A349,'BBT3'!A:F,4,1),"")</f>
        <v>0.125</v>
      </c>
      <c r="E349">
        <f>IF(NOT(ISBLANK(A349)),VLOOKUP(A349,'BBT3'!A:F,5,0),"")</f>
        <v>47498</v>
      </c>
      <c r="F349" t="str">
        <f>IF(NOT(ISBLANK(A349)),VLOOKUP(A349,'BBT3'!A:F,6,0),"")</f>
        <v>Y</v>
      </c>
      <c r="G349" t="str">
        <f t="shared" si="56"/>
        <v>N</v>
      </c>
      <c r="H349">
        <f>IF(NOT(ISBLANK(A349)),VLOOKUP(A349,'Close - PriceSaver'!A:J,5,0),"")</f>
        <v>2.0505816454941699E-2</v>
      </c>
      <c r="I349" s="4" cm="1">
        <f t="array" ref="I349">IF(NOT(ISBLANK(A349)),((_xlfn.XLOOKUP(1,(_bbt3[[#All],[ID]]=A349)*(_bbt3[[#All],[METRIC_NAME]]="YLD_YTM_ASK"),_bbt3[[#All],[METRIC_VALUE]])*0.5)+(_xlfn.XLOOKUP(1,(_bbt3[[#All],[ID]]=A349)*(_bbt3[[#All],[METRIC_NAME]]="YLD_YTM_BID"),_bbt3[[#All],[METRIC_VALUE]])*0.5))/100,"")</f>
        <v>2.0504999999999999E-2</v>
      </c>
      <c r="J349">
        <f>IF(ISNA(VLOOKUP(A349,'CloseDL - PriceSaverBBT3'!A:E,5,0)),0,VLOOKUP(A349,'CloseDL - PriceSaverBBT3'!A:E,5,0))</f>
        <v>2.0505816454941699E-2</v>
      </c>
      <c r="K349" s="7">
        <f t="shared" si="57"/>
        <v>0</v>
      </c>
      <c r="L349" s="20">
        <f>IF(Close[[#This Row],[CreatedBy]]="MARINER\SilverAdm",1,0)</f>
        <v>1</v>
      </c>
      <c r="M349" t="str">
        <f>IF(NOT(ISBLANK(A349)),VLOOKUP(A349,'Close - PriceSaver'!A:J,6,0),"")</f>
        <v>DL input prc = 93.56250000  PX_ASK = 93.58593750 PX_BID = 93.53906250</v>
      </c>
      <c r="Q349" t="e">
        <f t="shared" si="49"/>
        <v>#N/A</v>
      </c>
      <c r="R349" t="e">
        <f t="shared" si="50"/>
        <v>#N/A</v>
      </c>
      <c r="S349" t="e">
        <f t="shared" si="51"/>
        <v>#N/A</v>
      </c>
      <c r="T349" s="15" t="e">
        <f t="shared" si="52"/>
        <v>#N/A</v>
      </c>
      <c r="U349" s="18" t="e">
        <f t="shared" si="53"/>
        <v>#N/A</v>
      </c>
      <c r="V349" s="18" t="e">
        <f t="shared" si="54"/>
        <v>#N/A</v>
      </c>
      <c r="W349" s="19" t="e">
        <f t="shared" si="55"/>
        <v>#N/A</v>
      </c>
      <c r="X349" t="e">
        <f>VLOOKUP(P349,Close[[ID]:[CreatedBy]],8,0)</f>
        <v>#N/A</v>
      </c>
    </row>
    <row r="350" spans="1:24" x14ac:dyDescent="0.35">
      <c r="A350" t="str">
        <v>912828Z78</v>
      </c>
      <c r="B350" t="str">
        <f>IF(NOT(ISBLANK(A350)),VLOOKUP(A350,'BBT3'!A:F,2,0),"")</f>
        <v>Bond</v>
      </c>
      <c r="C350" t="str">
        <f>IF(NOT(ISBLANK(A350)),VLOOKUP(A350,'BBT3'!A:F,3,0),"")</f>
        <v>US912828Z781</v>
      </c>
      <c r="D350" s="5">
        <f>IF(NOT(ISBLANK(A350)),VLOOKUP(A350,'BBT3'!A:F,4,1),"")</f>
        <v>1.5</v>
      </c>
      <c r="E350">
        <f>IF(NOT(ISBLANK(A350)),VLOOKUP(A350,'BBT3'!A:F,5,0),"")</f>
        <v>46418</v>
      </c>
      <c r="F350" t="str">
        <f>IF(NOT(ISBLANK(A350)),VLOOKUP(A350,'BBT3'!A:F,6,0),"")</f>
        <v>N</v>
      </c>
      <c r="G350" t="str">
        <f t="shared" si="56"/>
        <v>N</v>
      </c>
      <c r="H350">
        <f>IF(NOT(ISBLANK(A350)),VLOOKUP(A350,'Close - PriceSaver'!A:J,5,0),"")</f>
        <v>4.0095852675916303E-2</v>
      </c>
      <c r="I350" s="4" cm="1">
        <f t="array" ref="I350">IF(NOT(ISBLANK(A350)),((_xlfn.XLOOKUP(1,(_bbt3[[#All],[ID]]=A350)*(_bbt3[[#All],[METRIC_NAME]]="YLD_YTM_ASK"),_bbt3[[#All],[METRIC_VALUE]])*0.5)+(_xlfn.XLOOKUP(1,(_bbt3[[#All],[ID]]=A350)*(_bbt3[[#All],[METRIC_NAME]]="YLD_YTM_BID"),_bbt3[[#All],[METRIC_VALUE]])*0.5))/100,"")</f>
        <v>4.0094999999999999E-2</v>
      </c>
      <c r="J350">
        <f>IF(ISNA(VLOOKUP(A350,'CloseDL - PriceSaverBBT3'!A:E,5,0)),0,VLOOKUP(A350,'CloseDL - PriceSaverBBT3'!A:E,5,0))</f>
        <v>4.0095852675916303E-2</v>
      </c>
      <c r="K350" s="7">
        <f t="shared" si="57"/>
        <v>0</v>
      </c>
      <c r="L350" s="20">
        <f>IF(Close[[#This Row],[CreatedBy]]="MARINER\SilverAdm",1,0)</f>
        <v>1</v>
      </c>
      <c r="M350" t="str">
        <f>IF(NOT(ISBLANK(A350)),VLOOKUP(A350,'Close - PriceSaver'!A:J,6,0),"")</f>
        <v>DL input prc = 98.70898438  PX_ASK = 98.71875000 PX_BID = 98.69921875</v>
      </c>
      <c r="Q350" t="e">
        <f t="shared" si="49"/>
        <v>#N/A</v>
      </c>
      <c r="R350" t="e">
        <f t="shared" si="50"/>
        <v>#N/A</v>
      </c>
      <c r="S350" t="e">
        <f t="shared" si="51"/>
        <v>#N/A</v>
      </c>
      <c r="T350" s="15" t="e">
        <f t="shared" si="52"/>
        <v>#N/A</v>
      </c>
      <c r="U350" s="18" t="e">
        <f t="shared" si="53"/>
        <v>#N/A</v>
      </c>
      <c r="V350" s="18" t="e">
        <f t="shared" si="54"/>
        <v>#N/A</v>
      </c>
      <c r="W350" s="19" t="e">
        <f t="shared" si="55"/>
        <v>#N/A</v>
      </c>
      <c r="X350" t="e">
        <f>VLOOKUP(P350,Close[[ID]:[CreatedBy]],8,0)</f>
        <v>#N/A</v>
      </c>
    </row>
    <row r="351" spans="1:24" x14ac:dyDescent="0.35">
      <c r="A351" t="str">
        <v>912828Z94</v>
      </c>
      <c r="B351" t="str">
        <f>IF(NOT(ISBLANK(A351)),VLOOKUP(A351,'BBT3'!A:F,2,0),"")</f>
        <v>Bond</v>
      </c>
      <c r="C351" t="str">
        <f>IF(NOT(ISBLANK(A351)),VLOOKUP(A351,'BBT3'!A:F,3,0),"")</f>
        <v>US912828Z948</v>
      </c>
      <c r="D351" s="5">
        <f>IF(NOT(ISBLANK(A351)),VLOOKUP(A351,'BBT3'!A:F,4,1),"")</f>
        <v>1.5</v>
      </c>
      <c r="E351">
        <f>IF(NOT(ISBLANK(A351)),VLOOKUP(A351,'BBT3'!A:F,5,0),"")</f>
        <v>47529</v>
      </c>
      <c r="F351" t="str">
        <f>IF(NOT(ISBLANK(A351)),VLOOKUP(A351,'BBT3'!A:F,6,0),"")</f>
        <v>N</v>
      </c>
      <c r="G351" t="str">
        <f t="shared" si="56"/>
        <v>N</v>
      </c>
      <c r="H351">
        <f>IF(NOT(ISBLANK(A351)),VLOOKUP(A351,'Close - PriceSaver'!A:J,5,0),"")</f>
        <v>4.3190138036947101E-2</v>
      </c>
      <c r="I351" s="4" cm="1">
        <f t="array" ref="I351">IF(NOT(ISBLANK(A351)),((_xlfn.XLOOKUP(1,(_bbt3[[#All],[ID]]=A351)*(_bbt3[[#All],[METRIC_NAME]]="YLD_YTM_ASK"),_bbt3[[#All],[METRIC_VALUE]])*0.5)+(_xlfn.XLOOKUP(1,(_bbt3[[#All],[ID]]=A351)*(_bbt3[[#All],[METRIC_NAME]]="YLD_YTM_BID"),_bbt3[[#All],[METRIC_VALUE]])*0.5))/100,"")</f>
        <v>4.3189999999999999E-2</v>
      </c>
      <c r="J351">
        <f>IF(ISNA(VLOOKUP(A351,'CloseDL - PriceSaverBBT3'!A:E,5,0)),0,VLOOKUP(A351,'CloseDL - PriceSaverBBT3'!A:E,5,0))</f>
        <v>4.3190138036947101E-2</v>
      </c>
      <c r="K351" s="7">
        <f t="shared" si="57"/>
        <v>0</v>
      </c>
      <c r="L351" s="20">
        <f>IF(Close[[#This Row],[CreatedBy]]="MARINER\SilverAdm",1,0)</f>
        <v>1</v>
      </c>
      <c r="M351" t="str">
        <f>IF(NOT(ISBLANK(A351)),VLOOKUP(A351,'Close - PriceSaver'!A:J,6,0),"")</f>
        <v>DL input prc = 90.77343750  PX_ASK = 90.79687500 PX_BID = 90.75000000</v>
      </c>
      <c r="Q351" t="e">
        <f t="shared" si="49"/>
        <v>#N/A</v>
      </c>
      <c r="R351" t="e">
        <f t="shared" si="50"/>
        <v>#N/A</v>
      </c>
      <c r="S351" t="e">
        <f t="shared" si="51"/>
        <v>#N/A</v>
      </c>
      <c r="T351" s="15" t="e">
        <f t="shared" si="52"/>
        <v>#N/A</v>
      </c>
      <c r="U351" s="18" t="e">
        <f t="shared" si="53"/>
        <v>#N/A</v>
      </c>
      <c r="V351" s="18" t="e">
        <f t="shared" si="54"/>
        <v>#N/A</v>
      </c>
      <c r="W351" s="19" t="e">
        <f t="shared" si="55"/>
        <v>#N/A</v>
      </c>
      <c r="X351" t="e">
        <f>VLOOKUP(P351,Close[[ID]:[CreatedBy]],8,0)</f>
        <v>#N/A</v>
      </c>
    </row>
    <row r="352" spans="1:24" x14ac:dyDescent="0.35">
      <c r="A352" t="str">
        <v>912828ZB9</v>
      </c>
      <c r="B352" t="str">
        <f>IF(NOT(ISBLANK(A352)),VLOOKUP(A352,'BBT3'!A:F,2,0),"")</f>
        <v>Bond</v>
      </c>
      <c r="C352" t="str">
        <f>IF(NOT(ISBLANK(A352)),VLOOKUP(A352,'BBT3'!A:F,3,0),"")</f>
        <v>US912828ZB95</v>
      </c>
      <c r="D352" s="5">
        <f>IF(NOT(ISBLANK(A352)),VLOOKUP(A352,'BBT3'!A:F,4,1),"")</f>
        <v>1.125</v>
      </c>
      <c r="E352">
        <f>IF(NOT(ISBLANK(A352)),VLOOKUP(A352,'BBT3'!A:F,5,0),"")</f>
        <v>46446</v>
      </c>
      <c r="F352" t="str">
        <f>IF(NOT(ISBLANK(A352)),VLOOKUP(A352,'BBT3'!A:F,6,0),"")</f>
        <v>N</v>
      </c>
      <c r="G352" t="str">
        <f t="shared" si="56"/>
        <v>N</v>
      </c>
      <c r="H352">
        <f>IF(NOT(ISBLANK(A352)),VLOOKUP(A352,'Close - PriceSaver'!A:J,5,0),"")</f>
        <v>4.0065429485207402E-2</v>
      </c>
      <c r="I352" s="4" cm="1">
        <f t="array" ref="I352">IF(NOT(ISBLANK(A352)),((_xlfn.XLOOKUP(1,(_bbt3[[#All],[ID]]=A352)*(_bbt3[[#All],[METRIC_NAME]]="YLD_YTM_ASK"),_bbt3[[#All],[METRIC_VALUE]])*0.5)+(_xlfn.XLOOKUP(1,(_bbt3[[#All],[ID]]=A352)*(_bbt3[[#All],[METRIC_NAME]]="YLD_YTM_BID"),_bbt3[[#All],[METRIC_VALUE]])*0.5))/100,"")</f>
        <v>4.0064999999999996E-2</v>
      </c>
      <c r="J352">
        <f>IF(ISNA(VLOOKUP(A352,'CloseDL - PriceSaverBBT3'!A:E,5,0)),0,VLOOKUP(A352,'CloseDL - PriceSaverBBT3'!A:E,5,0))</f>
        <v>4.0065429485207402E-2</v>
      </c>
      <c r="K352" s="7">
        <f t="shared" si="57"/>
        <v>0</v>
      </c>
      <c r="L352" s="20">
        <f>IF(Close[[#This Row],[CreatedBy]]="MARINER\SilverAdm",1,0)</f>
        <v>1</v>
      </c>
      <c r="M352" t="str">
        <f>IF(NOT(ISBLANK(A352)),VLOOKUP(A352,'Close - PriceSaver'!A:J,6,0),"")</f>
        <v>DL input prc = 98.28320313  PX_ASK = 98.29687500 PX_BID = 98.26953125</v>
      </c>
      <c r="Q352" t="e">
        <f t="shared" si="49"/>
        <v>#N/A</v>
      </c>
      <c r="R352" t="e">
        <f t="shared" si="50"/>
        <v>#N/A</v>
      </c>
      <c r="S352" t="e">
        <f t="shared" si="51"/>
        <v>#N/A</v>
      </c>
      <c r="T352" s="15" t="e">
        <f t="shared" si="52"/>
        <v>#N/A</v>
      </c>
      <c r="U352" s="18" t="e">
        <f t="shared" si="53"/>
        <v>#N/A</v>
      </c>
      <c r="V352" s="18" t="e">
        <f t="shared" si="54"/>
        <v>#N/A</v>
      </c>
      <c r="W352" s="19" t="e">
        <f t="shared" si="55"/>
        <v>#N/A</v>
      </c>
      <c r="X352" t="e">
        <f>VLOOKUP(P352,Close[[ID]:[CreatedBy]],8,0)</f>
        <v>#N/A</v>
      </c>
    </row>
    <row r="353" spans="1:24" x14ac:dyDescent="0.35">
      <c r="A353" t="str">
        <v>912828ZE3</v>
      </c>
      <c r="B353" t="str">
        <f>IF(NOT(ISBLANK(A353)),VLOOKUP(A353,'BBT3'!A:F,2,0),"")</f>
        <v>Bond</v>
      </c>
      <c r="C353" t="str">
        <f>IF(NOT(ISBLANK(A353)),VLOOKUP(A353,'BBT3'!A:F,3,0),"")</f>
        <v>US912828ZE35</v>
      </c>
      <c r="D353" s="5">
        <f>IF(NOT(ISBLANK(A353)),VLOOKUP(A353,'BBT3'!A:F,4,1),"")</f>
        <v>0.625</v>
      </c>
      <c r="E353">
        <f>IF(NOT(ISBLANK(A353)),VLOOKUP(A353,'BBT3'!A:F,5,0),"")</f>
        <v>46477</v>
      </c>
      <c r="F353" t="str">
        <f>IF(NOT(ISBLANK(A353)),VLOOKUP(A353,'BBT3'!A:F,6,0),"")</f>
        <v>N</v>
      </c>
      <c r="G353" t="str">
        <f t="shared" si="56"/>
        <v>N</v>
      </c>
      <c r="H353">
        <f>IF(NOT(ISBLANK(A353)),VLOOKUP(A353,'Close - PriceSaver'!A:J,5,0),"")</f>
        <v>4.0205492738028703E-2</v>
      </c>
      <c r="I353" s="4" cm="1">
        <f t="array" ref="I353">IF(NOT(ISBLANK(A353)),((_xlfn.XLOOKUP(1,(_bbt3[[#All],[ID]]=A353)*(_bbt3[[#All],[METRIC_NAME]]="YLD_YTM_ASK"),_bbt3[[#All],[METRIC_VALUE]])*0.5)+(_xlfn.XLOOKUP(1,(_bbt3[[#All],[ID]]=A353)*(_bbt3[[#All],[METRIC_NAME]]="YLD_YTM_BID"),_bbt3[[#All],[METRIC_VALUE]])*0.5))/100,"")</f>
        <v>4.0205000000000005E-2</v>
      </c>
      <c r="J353">
        <f>IF(ISNA(VLOOKUP(A353,'CloseDL - PriceSaverBBT3'!A:E,5,0)),0,VLOOKUP(A353,'CloseDL - PriceSaverBBT3'!A:E,5,0))</f>
        <v>4.0205492738028703E-2</v>
      </c>
      <c r="K353" s="7">
        <f t="shared" si="57"/>
        <v>0</v>
      </c>
      <c r="L353" s="20">
        <f>IF(Close[[#This Row],[CreatedBy]]="MARINER\SilverAdm",1,0)</f>
        <v>1</v>
      </c>
      <c r="M353" t="str">
        <f>IF(NOT(ISBLANK(A353)),VLOOKUP(A353,'Close - PriceSaver'!A:J,6,0),"")</f>
        <v>DL input prc = 97.70703125  PX_ASK = 97.71875000 PX_BID = 97.69531250</v>
      </c>
      <c r="Q353" t="e">
        <f t="shared" si="49"/>
        <v>#N/A</v>
      </c>
      <c r="R353" t="e">
        <f t="shared" si="50"/>
        <v>#N/A</v>
      </c>
      <c r="S353" t="e">
        <f t="shared" si="51"/>
        <v>#N/A</v>
      </c>
      <c r="T353" s="15" t="e">
        <f t="shared" si="52"/>
        <v>#N/A</v>
      </c>
      <c r="U353" s="18" t="e">
        <f t="shared" si="53"/>
        <v>#N/A</v>
      </c>
      <c r="V353" s="18" t="e">
        <f t="shared" si="54"/>
        <v>#N/A</v>
      </c>
      <c r="W353" s="19" t="e">
        <f t="shared" si="55"/>
        <v>#N/A</v>
      </c>
      <c r="X353" t="e">
        <f>VLOOKUP(P353,Close[[ID]:[CreatedBy]],8,0)</f>
        <v>#N/A</v>
      </c>
    </row>
    <row r="354" spans="1:24" x14ac:dyDescent="0.35">
      <c r="A354" t="str">
        <v>912828ZN3</v>
      </c>
      <c r="B354" t="str">
        <f>IF(NOT(ISBLANK(A354)),VLOOKUP(A354,'BBT3'!A:F,2,0),"")</f>
        <v>Bond</v>
      </c>
      <c r="C354" t="str">
        <f>IF(NOT(ISBLANK(A354)),VLOOKUP(A354,'BBT3'!A:F,3,0),"")</f>
        <v>US912828ZN34</v>
      </c>
      <c r="D354" s="5">
        <f>IF(NOT(ISBLANK(A354)),VLOOKUP(A354,'BBT3'!A:F,4,1),"")</f>
        <v>0.5</v>
      </c>
      <c r="E354">
        <f>IF(NOT(ISBLANK(A354)),VLOOKUP(A354,'BBT3'!A:F,5,0),"")</f>
        <v>46507</v>
      </c>
      <c r="F354" t="str">
        <f>IF(NOT(ISBLANK(A354)),VLOOKUP(A354,'BBT3'!A:F,6,0),"")</f>
        <v>N</v>
      </c>
      <c r="G354" t="str">
        <f t="shared" si="56"/>
        <v>N</v>
      </c>
      <c r="H354">
        <f>IF(NOT(ISBLANK(A354)),VLOOKUP(A354,'Close - PriceSaver'!A:J,5,0),"")</f>
        <v>4.0804459003761499E-2</v>
      </c>
      <c r="I354" s="4" cm="1">
        <f t="array" ref="I354">IF(NOT(ISBLANK(A354)),((_xlfn.XLOOKUP(1,(_bbt3[[#All],[ID]]=A354)*(_bbt3[[#All],[METRIC_NAME]]="YLD_YTM_ASK"),_bbt3[[#All],[METRIC_VALUE]])*0.5)+(_xlfn.XLOOKUP(1,(_bbt3[[#All],[ID]]=A354)*(_bbt3[[#All],[METRIC_NAME]]="YLD_YTM_BID"),_bbt3[[#All],[METRIC_VALUE]])*0.5))/100,"")</f>
        <v>4.0805000000000008E-2</v>
      </c>
      <c r="J354">
        <f>IF(ISNA(VLOOKUP(A354,'CloseDL - PriceSaverBBT3'!A:E,5,0)),0,VLOOKUP(A354,'CloseDL - PriceSaverBBT3'!A:E,5,0))</f>
        <v>4.0804459003761499E-2</v>
      </c>
      <c r="K354" s="7">
        <f t="shared" si="57"/>
        <v>0</v>
      </c>
      <c r="L354" s="20">
        <f>IF(Close[[#This Row],[CreatedBy]]="MARINER\SilverAdm",1,0)</f>
        <v>1</v>
      </c>
      <c r="M354" t="str">
        <f>IF(NOT(ISBLANK(A354)),VLOOKUP(A354,'Close - PriceSaver'!A:J,6,0),"")</f>
        <v>DL input prc = 97.29687500  PX_ASK = 97.30859375 PX_BID = 97.28515625</v>
      </c>
      <c r="Q354" t="e">
        <f t="shared" si="49"/>
        <v>#N/A</v>
      </c>
      <c r="R354" t="e">
        <f t="shared" si="50"/>
        <v>#N/A</v>
      </c>
      <c r="S354" t="e">
        <f t="shared" si="51"/>
        <v>#N/A</v>
      </c>
      <c r="T354" s="15" t="e">
        <f t="shared" si="52"/>
        <v>#N/A</v>
      </c>
      <c r="U354" s="18" t="e">
        <f t="shared" si="53"/>
        <v>#N/A</v>
      </c>
      <c r="V354" s="18" t="e">
        <f t="shared" si="54"/>
        <v>#N/A</v>
      </c>
      <c r="W354" s="19" t="e">
        <f t="shared" si="55"/>
        <v>#N/A</v>
      </c>
      <c r="X354" t="e">
        <f>VLOOKUP(P354,Close[[ID]:[CreatedBy]],8,0)</f>
        <v>#N/A</v>
      </c>
    </row>
    <row r="355" spans="1:24" x14ac:dyDescent="0.35">
      <c r="A355" t="str">
        <v>912828ZQ6</v>
      </c>
      <c r="B355" t="str">
        <f>IF(NOT(ISBLANK(A355)),VLOOKUP(A355,'BBT3'!A:F,2,0),"")</f>
        <v>Bond</v>
      </c>
      <c r="C355" t="str">
        <f>IF(NOT(ISBLANK(A355)),VLOOKUP(A355,'BBT3'!A:F,3,0),"")</f>
        <v>US912828ZQ64</v>
      </c>
      <c r="D355" s="5">
        <f>IF(NOT(ISBLANK(A355)),VLOOKUP(A355,'BBT3'!A:F,4,1),"")</f>
        <v>0.625</v>
      </c>
      <c r="E355">
        <f>IF(NOT(ISBLANK(A355)),VLOOKUP(A355,'BBT3'!A:F,5,0),"")</f>
        <v>47618</v>
      </c>
      <c r="F355" t="str">
        <f>IF(NOT(ISBLANK(A355)),VLOOKUP(A355,'BBT3'!A:F,6,0),"")</f>
        <v>N</v>
      </c>
      <c r="G355" t="str">
        <f t="shared" si="56"/>
        <v>N</v>
      </c>
      <c r="H355">
        <f>IF(NOT(ISBLANK(A355)),VLOOKUP(A355,'Close - PriceSaver'!A:J,5,0),"")</f>
        <v>4.3397243224206697E-2</v>
      </c>
      <c r="I355" s="4" cm="1">
        <f t="array" ref="I355">IF(NOT(ISBLANK(A355)),((_xlfn.XLOOKUP(1,(_bbt3[[#All],[ID]]=A355)*(_bbt3[[#All],[METRIC_NAME]]="YLD_YTM_ASK"),_bbt3[[#All],[METRIC_VALUE]])*0.5)+(_xlfn.XLOOKUP(1,(_bbt3[[#All],[ID]]=A355)*(_bbt3[[#All],[METRIC_NAME]]="YLD_YTM_BID"),_bbt3[[#All],[METRIC_VALUE]])*0.5))/100,"")</f>
        <v>4.3400000000000001E-2</v>
      </c>
      <c r="J355">
        <f>IF(ISNA(VLOOKUP(A355,'CloseDL - PriceSaverBBT3'!A:E,5,0)),0,VLOOKUP(A355,'CloseDL - PriceSaverBBT3'!A:E,5,0))</f>
        <v>4.3397243224206697E-2</v>
      </c>
      <c r="K355" s="7">
        <f t="shared" si="57"/>
        <v>0</v>
      </c>
      <c r="L355" s="20">
        <f>IF(Close[[#This Row],[CreatedBy]]="MARINER\SilverAdm",1,0)</f>
        <v>1</v>
      </c>
      <c r="M355" t="str">
        <f>IF(NOT(ISBLANK(A355)),VLOOKUP(A355,'Close - PriceSaver'!A:J,6,0),"")</f>
        <v>DL input prc = 87.06640625  PX_ASK = 87.08593750 PX_BID = 87.04687500</v>
      </c>
      <c r="Q355" t="e">
        <f t="shared" si="49"/>
        <v>#N/A</v>
      </c>
      <c r="R355" t="e">
        <f t="shared" si="50"/>
        <v>#N/A</v>
      </c>
      <c r="S355" t="e">
        <f t="shared" si="51"/>
        <v>#N/A</v>
      </c>
      <c r="T355" s="15" t="e">
        <f t="shared" si="52"/>
        <v>#N/A</v>
      </c>
      <c r="U355" s="18" t="e">
        <f t="shared" si="53"/>
        <v>#N/A</v>
      </c>
      <c r="V355" s="18" t="e">
        <f t="shared" si="54"/>
        <v>#N/A</v>
      </c>
      <c r="W355" s="19" t="e">
        <f t="shared" si="55"/>
        <v>#N/A</v>
      </c>
      <c r="X355" t="e">
        <f>VLOOKUP(P355,Close[[ID]:[CreatedBy]],8,0)</f>
        <v>#N/A</v>
      </c>
    </row>
    <row r="356" spans="1:24" x14ac:dyDescent="0.35">
      <c r="A356" t="str">
        <v>912828ZS2</v>
      </c>
      <c r="B356" t="str">
        <f>IF(NOT(ISBLANK(A356)),VLOOKUP(A356,'BBT3'!A:F,2,0),"")</f>
        <v>Bond</v>
      </c>
      <c r="C356" t="str">
        <f>IF(NOT(ISBLANK(A356)),VLOOKUP(A356,'BBT3'!A:F,3,0),"")</f>
        <v>US912828ZS21</v>
      </c>
      <c r="D356" s="5">
        <f>IF(NOT(ISBLANK(A356)),VLOOKUP(A356,'BBT3'!A:F,4,1),"")</f>
        <v>0.5</v>
      </c>
      <c r="E356">
        <f>IF(NOT(ISBLANK(A356)),VLOOKUP(A356,'BBT3'!A:F,5,0),"")</f>
        <v>46538</v>
      </c>
      <c r="F356" t="str">
        <f>IF(NOT(ISBLANK(A356)),VLOOKUP(A356,'BBT3'!A:F,6,0),"")</f>
        <v>N</v>
      </c>
      <c r="G356" t="str">
        <f t="shared" si="56"/>
        <v>N</v>
      </c>
      <c r="H356">
        <f>IF(NOT(ISBLANK(A356)),VLOOKUP(A356,'Close - PriceSaver'!A:J,5,0),"")</f>
        <v>4.1175968630299202E-2</v>
      </c>
      <c r="I356" s="4" cm="1">
        <f t="array" ref="I356">IF(NOT(ISBLANK(A356)),((_xlfn.XLOOKUP(1,(_bbt3[[#All],[ID]]=A356)*(_bbt3[[#All],[METRIC_NAME]]="YLD_YTM_ASK"),_bbt3[[#All],[METRIC_VALUE]])*0.5)+(_xlfn.XLOOKUP(1,(_bbt3[[#All],[ID]]=A356)*(_bbt3[[#All],[METRIC_NAME]]="YLD_YTM_BID"),_bbt3[[#All],[METRIC_VALUE]])*0.5))/100,"")</f>
        <v>4.1174999999999996E-2</v>
      </c>
      <c r="J356">
        <f>IF(ISNA(VLOOKUP(A356,'CloseDL - PriceSaverBBT3'!A:E,5,0)),0,VLOOKUP(A356,'CloseDL - PriceSaverBBT3'!A:E,5,0))</f>
        <v>4.1175968630299202E-2</v>
      </c>
      <c r="K356" s="7">
        <f t="shared" si="57"/>
        <v>0</v>
      </c>
      <c r="L356" s="20">
        <f>IF(Close[[#This Row],[CreatedBy]]="MARINER\SilverAdm",1,0)</f>
        <v>1</v>
      </c>
      <c r="M356" t="str">
        <f>IF(NOT(ISBLANK(A356)),VLOOKUP(A356,'Close - PriceSaver'!A:J,6,0),"")</f>
        <v>DL input prc = 96.98046875  PX_ASK = 96.99218750 PX_BID = 96.96875000</v>
      </c>
      <c r="Q356" t="e">
        <f t="shared" si="49"/>
        <v>#N/A</v>
      </c>
      <c r="R356" t="e">
        <f t="shared" si="50"/>
        <v>#N/A</v>
      </c>
      <c r="S356" t="e">
        <f t="shared" si="51"/>
        <v>#N/A</v>
      </c>
      <c r="T356" s="15" t="e">
        <f t="shared" si="52"/>
        <v>#N/A</v>
      </c>
      <c r="U356" s="18" t="e">
        <f t="shared" si="53"/>
        <v>#N/A</v>
      </c>
      <c r="V356" s="18" t="e">
        <f t="shared" si="54"/>
        <v>#N/A</v>
      </c>
      <c r="W356" s="19" t="e">
        <f t="shared" si="55"/>
        <v>#N/A</v>
      </c>
      <c r="X356" t="e">
        <f>VLOOKUP(P356,Close[[ID]:[CreatedBy]],8,0)</f>
        <v>#N/A</v>
      </c>
    </row>
    <row r="357" spans="1:24" x14ac:dyDescent="0.35">
      <c r="A357" t="str">
        <v>912828ZV5</v>
      </c>
      <c r="B357" t="str">
        <f>IF(NOT(ISBLANK(A357)),VLOOKUP(A357,'BBT3'!A:F,2,0),"")</f>
        <v>Bond</v>
      </c>
      <c r="C357" t="str">
        <f>IF(NOT(ISBLANK(A357)),VLOOKUP(A357,'BBT3'!A:F,3,0),"")</f>
        <v>US912828ZV59</v>
      </c>
      <c r="D357" s="5">
        <f>IF(NOT(ISBLANK(A357)),VLOOKUP(A357,'BBT3'!A:F,4,1),"")</f>
        <v>0.5</v>
      </c>
      <c r="E357">
        <f>IF(NOT(ISBLANK(A357)),VLOOKUP(A357,'BBT3'!A:F,5,0),"")</f>
        <v>46568</v>
      </c>
      <c r="F357" t="str">
        <f>IF(NOT(ISBLANK(A357)),VLOOKUP(A357,'BBT3'!A:F,6,0),"")</f>
        <v>N</v>
      </c>
      <c r="G357" t="str">
        <f t="shared" si="56"/>
        <v>N</v>
      </c>
      <c r="H357">
        <f>IF(NOT(ISBLANK(A357)),VLOOKUP(A357,'Close - PriceSaver'!A:J,5,0),"")</f>
        <v>4.14103876154642E-2</v>
      </c>
      <c r="I357" s="4" cm="1">
        <f t="array" ref="I357">IF(NOT(ISBLANK(A357)),((_xlfn.XLOOKUP(1,(_bbt3[[#All],[ID]]=A357)*(_bbt3[[#All],[METRIC_NAME]]="YLD_YTM_ASK"),_bbt3[[#All],[METRIC_VALUE]])*0.5)+(_xlfn.XLOOKUP(1,(_bbt3[[#All],[ID]]=A357)*(_bbt3[[#All],[METRIC_NAME]]="YLD_YTM_BID"),_bbt3[[#All],[METRIC_VALUE]])*0.5))/100,"")</f>
        <v>4.1410000000000002E-2</v>
      </c>
      <c r="J357">
        <f>IF(ISNA(VLOOKUP(A357,'CloseDL - PriceSaverBBT3'!A:E,5,0)),0,VLOOKUP(A357,'CloseDL - PriceSaverBBT3'!A:E,5,0))</f>
        <v>4.14103876154642E-2</v>
      </c>
      <c r="K357" s="7">
        <f t="shared" si="57"/>
        <v>0</v>
      </c>
      <c r="L357" s="20">
        <f>IF(Close[[#This Row],[CreatedBy]]="MARINER\SilverAdm",1,0)</f>
        <v>1</v>
      </c>
      <c r="M357" t="str">
        <f>IF(NOT(ISBLANK(A357)),VLOOKUP(A357,'Close - PriceSaver'!A:J,6,0),"")</f>
        <v>DL input prc = 96.67578125  PX_ASK = 96.68750000 PX_BID = 96.66406250</v>
      </c>
      <c r="Q357" t="e">
        <f t="shared" si="49"/>
        <v>#N/A</v>
      </c>
      <c r="R357" t="e">
        <f t="shared" si="50"/>
        <v>#N/A</v>
      </c>
      <c r="S357" t="e">
        <f t="shared" si="51"/>
        <v>#N/A</v>
      </c>
      <c r="T357" s="15" t="e">
        <f t="shared" si="52"/>
        <v>#N/A</v>
      </c>
      <c r="U357" s="18" t="e">
        <f t="shared" si="53"/>
        <v>#N/A</v>
      </c>
      <c r="V357" s="18" t="e">
        <f t="shared" si="54"/>
        <v>#N/A</v>
      </c>
      <c r="W357" s="19" t="e">
        <f t="shared" si="55"/>
        <v>#N/A</v>
      </c>
      <c r="X357" t="e">
        <f>VLOOKUP(P357,Close[[ID]:[CreatedBy]],8,0)</f>
        <v>#N/A</v>
      </c>
    </row>
    <row r="358" spans="1:24" x14ac:dyDescent="0.35">
      <c r="A358" t="str">
        <v>912828ZZ6</v>
      </c>
      <c r="B358" t="str">
        <f>IF(NOT(ISBLANK(A358)),VLOOKUP(A358,'BBT3'!A:F,2,0),"")</f>
        <v>Bond</v>
      </c>
      <c r="C358" t="str">
        <f>IF(NOT(ISBLANK(A358)),VLOOKUP(A358,'BBT3'!A:F,3,0),"")</f>
        <v>US912828ZZ63</v>
      </c>
      <c r="D358" s="5">
        <f>IF(NOT(ISBLANK(A358)),VLOOKUP(A358,'BBT3'!A:F,4,1),"")</f>
        <v>0.125</v>
      </c>
      <c r="E358">
        <f>IF(NOT(ISBLANK(A358)),VLOOKUP(A358,'BBT3'!A:F,5,0),"")</f>
        <v>47679</v>
      </c>
      <c r="F358" t="str">
        <f>IF(NOT(ISBLANK(A358)),VLOOKUP(A358,'BBT3'!A:F,6,0),"")</f>
        <v>Y</v>
      </c>
      <c r="G358" t="str">
        <f t="shared" si="56"/>
        <v>N</v>
      </c>
      <c r="H358">
        <f>IF(NOT(ISBLANK(A358)),VLOOKUP(A358,'Close - PriceSaver'!A:J,5,0),"")</f>
        <v>1.94763142700306E-2</v>
      </c>
      <c r="I358" s="4" t="e" cm="1">
        <f t="array" ref="I358">IF(NOT(ISBLANK(A358)),((_xlfn.XLOOKUP(1,(_bbt3[[#All],[ID]]=A358)*(_bbt3[[#All],[METRIC_NAME]]="YLD_YTM_ASK"),_bbt3[[#All],[METRIC_VALUE]])*0.5)+(_xlfn.XLOOKUP(1,(_bbt3[[#All],[ID]]=A358)*(_bbt3[[#All],[METRIC_NAME]]="YLD_YTM_BID"),_bbt3[[#All],[METRIC_VALUE]])*0.5))/100,"")</f>
        <v>#N/A</v>
      </c>
      <c r="J358">
        <f>IF(ISNA(VLOOKUP(A358,'CloseDL - PriceSaverBBT3'!A:E,5,0)),0,VLOOKUP(A358,'CloseDL - PriceSaverBBT3'!A:E,5,0))</f>
        <v>1.94763142700306E-2</v>
      </c>
      <c r="K358" s="7">
        <f t="shared" si="57"/>
        <v>0</v>
      </c>
      <c r="L358" s="20">
        <f>IF(Close[[#This Row],[CreatedBy]]="MARINER\SilverAdm",1,0)</f>
        <v>1</v>
      </c>
      <c r="M358" t="str">
        <f>IF(NOT(ISBLANK(A358)),VLOOKUP(A358,'Close - PriceSaver'!A:J,6,0),"")</f>
        <v>DL input prc = 93.05078125  PX_ASK = 93.07812500 PX_BID = 93.02343750</v>
      </c>
      <c r="Q358" t="e">
        <f t="shared" si="49"/>
        <v>#N/A</v>
      </c>
      <c r="R358" t="e">
        <f t="shared" si="50"/>
        <v>#N/A</v>
      </c>
      <c r="S358" t="e">
        <f t="shared" si="51"/>
        <v>#N/A</v>
      </c>
      <c r="T358" s="15" t="e">
        <f t="shared" si="52"/>
        <v>#N/A</v>
      </c>
      <c r="U358" s="18" t="e">
        <f t="shared" si="53"/>
        <v>#N/A</v>
      </c>
      <c r="V358" s="18" t="e">
        <f t="shared" si="54"/>
        <v>#N/A</v>
      </c>
      <c r="W358" s="19" t="e">
        <f t="shared" si="55"/>
        <v>#N/A</v>
      </c>
      <c r="X358" t="e">
        <f>VLOOKUP(P358,Close[[ID]:[CreatedBy]],8,0)</f>
        <v>#N/A</v>
      </c>
    </row>
    <row r="359" spans="1:24" x14ac:dyDescent="0.35">
      <c r="A359" t="str">
        <v>91282CAD3</v>
      </c>
      <c r="B359" t="str">
        <f>IF(NOT(ISBLANK(A359)),VLOOKUP(A359,'BBT3'!A:F,2,0),"")</f>
        <v>Bond</v>
      </c>
      <c r="C359" t="str">
        <f>IF(NOT(ISBLANK(A359)),VLOOKUP(A359,'BBT3'!A:F,3,0),"")</f>
        <v>US91282CAD39</v>
      </c>
      <c r="D359" s="5">
        <f>IF(NOT(ISBLANK(A359)),VLOOKUP(A359,'BBT3'!A:F,4,1),"")</f>
        <v>0.375</v>
      </c>
      <c r="E359">
        <f>IF(NOT(ISBLANK(A359)),VLOOKUP(A359,'BBT3'!A:F,5,0),"")</f>
        <v>46599</v>
      </c>
      <c r="F359" t="str">
        <f>IF(NOT(ISBLANK(A359)),VLOOKUP(A359,'BBT3'!A:F,6,0),"")</f>
        <v>N</v>
      </c>
      <c r="G359" t="str">
        <f t="shared" si="56"/>
        <v>N</v>
      </c>
      <c r="H359">
        <f>IF(NOT(ISBLANK(A359)),VLOOKUP(A359,'Close - PriceSaver'!A:J,5,0),"")</f>
        <v>4.1804851667947097E-2</v>
      </c>
      <c r="I359" s="4" cm="1">
        <f t="array" ref="I359">IF(NOT(ISBLANK(A359)),((_xlfn.XLOOKUP(1,(_bbt3[[#All],[ID]]=A359)*(_bbt3[[#All],[METRIC_NAME]]="YLD_YTM_ASK"),_bbt3[[#All],[METRIC_VALUE]])*0.5)+(_xlfn.XLOOKUP(1,(_bbt3[[#All],[ID]]=A359)*(_bbt3[[#All],[METRIC_NAME]]="YLD_YTM_BID"),_bbt3[[#All],[METRIC_VALUE]])*0.5))/100,"")</f>
        <v>4.1805000000000002E-2</v>
      </c>
      <c r="J359">
        <f>IF(ISNA(VLOOKUP(A359,'CloseDL - PriceSaverBBT3'!A:E,5,0)),0,VLOOKUP(A359,'CloseDL - PriceSaverBBT3'!A:E,5,0))</f>
        <v>4.1804851667947097E-2</v>
      </c>
      <c r="K359" s="7">
        <f t="shared" si="57"/>
        <v>0</v>
      </c>
      <c r="L359" s="20">
        <f>IF(Close[[#This Row],[CreatedBy]]="MARINER\SilverAdm",1,0)</f>
        <v>1</v>
      </c>
      <c r="M359" t="str">
        <f>IF(NOT(ISBLANK(A359)),VLOOKUP(A359,'Close - PriceSaver'!A:J,6,0),"")</f>
        <v>DL input prc = 96.22070313  PX_ASK = 96.23437500 PX_BID = 96.20703125</v>
      </c>
      <c r="Q359" t="e">
        <f t="shared" si="49"/>
        <v>#N/A</v>
      </c>
      <c r="R359" t="e">
        <f t="shared" si="50"/>
        <v>#N/A</v>
      </c>
      <c r="S359" t="e">
        <f t="shared" si="51"/>
        <v>#N/A</v>
      </c>
      <c r="T359" s="15" t="e">
        <f t="shared" si="52"/>
        <v>#N/A</v>
      </c>
      <c r="U359" s="18" t="e">
        <f t="shared" si="53"/>
        <v>#N/A</v>
      </c>
      <c r="V359" s="18" t="e">
        <f t="shared" si="54"/>
        <v>#N/A</v>
      </c>
      <c r="W359" s="19" t="e">
        <f t="shared" si="55"/>
        <v>#N/A</v>
      </c>
      <c r="X359" t="e">
        <f>VLOOKUP(P359,Close[[ID]:[CreatedBy]],8,0)</f>
        <v>#N/A</v>
      </c>
    </row>
    <row r="360" spans="1:24" x14ac:dyDescent="0.35">
      <c r="A360" t="str">
        <v>91282CAE1</v>
      </c>
      <c r="B360" t="str">
        <f>IF(NOT(ISBLANK(A360)),VLOOKUP(A360,'BBT3'!A:F,2,0),"")</f>
        <v>Bond</v>
      </c>
      <c r="C360" t="str">
        <f>IF(NOT(ISBLANK(A360)),VLOOKUP(A360,'BBT3'!A:F,3,0),"")</f>
        <v>US91282CAE12</v>
      </c>
      <c r="D360" s="5">
        <f>IF(NOT(ISBLANK(A360)),VLOOKUP(A360,'BBT3'!A:F,4,1),"")</f>
        <v>0.625</v>
      </c>
      <c r="E360">
        <f>IF(NOT(ISBLANK(A360)),VLOOKUP(A360,'BBT3'!A:F,5,0),"")</f>
        <v>47710</v>
      </c>
      <c r="F360" t="str">
        <f>IF(NOT(ISBLANK(A360)),VLOOKUP(A360,'BBT3'!A:F,6,0),"")</f>
        <v>N</v>
      </c>
      <c r="G360" t="str">
        <f t="shared" si="56"/>
        <v>N</v>
      </c>
      <c r="H360">
        <f>IF(NOT(ISBLANK(A360)),VLOOKUP(A360,'Close - PriceSaver'!A:J,5,0),"")</f>
        <v>4.3496863703715798E-2</v>
      </c>
      <c r="I360" s="4" cm="1">
        <f t="array" ref="I360">IF(NOT(ISBLANK(A360)),((_xlfn.XLOOKUP(1,(_bbt3[[#All],[ID]]=A360)*(_bbt3[[#All],[METRIC_NAME]]="YLD_YTM_ASK"),_bbt3[[#All],[METRIC_VALUE]])*0.5)+(_xlfn.XLOOKUP(1,(_bbt3[[#All],[ID]]=A360)*(_bbt3[[#All],[METRIC_NAME]]="YLD_YTM_BID"),_bbt3[[#All],[METRIC_VALUE]])*0.5))/100,"")</f>
        <v>4.3495000000000006E-2</v>
      </c>
      <c r="J360">
        <f>IF(ISNA(VLOOKUP(A360,'CloseDL - PriceSaverBBT3'!A:E,5,0)),0,VLOOKUP(A360,'CloseDL - PriceSaverBBT3'!A:E,5,0))</f>
        <v>4.3496863703715798E-2</v>
      </c>
      <c r="K360" s="7">
        <f t="shared" si="57"/>
        <v>0</v>
      </c>
      <c r="L360" s="20">
        <f>IF(Close[[#This Row],[CreatedBy]]="MARINER\SilverAdm",1,0)</f>
        <v>1</v>
      </c>
      <c r="M360" t="str">
        <f>IF(NOT(ISBLANK(A360)),VLOOKUP(A360,'Close - PriceSaver'!A:J,6,0),"")</f>
        <v>DL input prc = 86.25390625  PX_ASK = 86.27343750 PX_BID = 86.23437500</v>
      </c>
      <c r="Q360" t="e">
        <f t="shared" si="49"/>
        <v>#N/A</v>
      </c>
      <c r="R360" t="e">
        <f t="shared" si="50"/>
        <v>#N/A</v>
      </c>
      <c r="S360" t="e">
        <f t="shared" si="51"/>
        <v>#N/A</v>
      </c>
      <c r="T360" s="15" t="e">
        <f t="shared" si="52"/>
        <v>#N/A</v>
      </c>
      <c r="U360" s="18" t="e">
        <f t="shared" si="53"/>
        <v>#N/A</v>
      </c>
      <c r="V360" s="18" t="e">
        <f t="shared" si="54"/>
        <v>#N/A</v>
      </c>
      <c r="W360" s="19" t="e">
        <f t="shared" si="55"/>
        <v>#N/A</v>
      </c>
      <c r="X360" t="e">
        <f>VLOOKUP(P360,Close[[ID]:[CreatedBy]],8,0)</f>
        <v>#N/A</v>
      </c>
    </row>
    <row r="361" spans="1:24" x14ac:dyDescent="0.35">
      <c r="A361" t="str">
        <v>91282CAH4</v>
      </c>
      <c r="B361" t="str">
        <f>IF(NOT(ISBLANK(A361)),VLOOKUP(A361,'BBT3'!A:F,2,0),"")</f>
        <v>Bond</v>
      </c>
      <c r="C361" t="str">
        <f>IF(NOT(ISBLANK(A361)),VLOOKUP(A361,'BBT3'!A:F,3,0),"")</f>
        <v>US91282CAH43</v>
      </c>
      <c r="D361" s="5">
        <f>IF(NOT(ISBLANK(A361)),VLOOKUP(A361,'BBT3'!A:F,4,1),"")</f>
        <v>0.5</v>
      </c>
      <c r="E361">
        <f>IF(NOT(ISBLANK(A361)),VLOOKUP(A361,'BBT3'!A:F,5,0),"")</f>
        <v>46630</v>
      </c>
      <c r="F361" t="str">
        <f>IF(NOT(ISBLANK(A361)),VLOOKUP(A361,'BBT3'!A:F,6,0),"")</f>
        <v>N</v>
      </c>
      <c r="G361" t="str">
        <f t="shared" si="56"/>
        <v>N</v>
      </c>
      <c r="H361">
        <f>IF(NOT(ISBLANK(A361)),VLOOKUP(A361,'Close - PriceSaver'!A:J,5,0),"")</f>
        <v>4.1819502312796603E-2</v>
      </c>
      <c r="I361" s="4" cm="1">
        <f t="array" ref="I361">IF(NOT(ISBLANK(A361)),((_xlfn.XLOOKUP(1,(_bbt3[[#All],[ID]]=A361)*(_bbt3[[#All],[METRIC_NAME]]="YLD_YTM_ASK"),_bbt3[[#All],[METRIC_VALUE]])*0.5)+(_xlfn.XLOOKUP(1,(_bbt3[[#All],[ID]]=A361)*(_bbt3[[#All],[METRIC_NAME]]="YLD_YTM_BID"),_bbt3[[#All],[METRIC_VALUE]])*0.5))/100,"")</f>
        <v>4.1820000000000003E-2</v>
      </c>
      <c r="J361">
        <f>IF(ISNA(VLOOKUP(A361,'CloseDL - PriceSaverBBT3'!A:E,5,0)),0,VLOOKUP(A361,'CloseDL - PriceSaverBBT3'!A:E,5,0))</f>
        <v>4.1819502312796603E-2</v>
      </c>
      <c r="K361" s="7">
        <f t="shared" si="57"/>
        <v>0</v>
      </c>
      <c r="L361" s="20">
        <f>IF(Close[[#This Row],[CreatedBy]]="MARINER\SilverAdm",1,0)</f>
        <v>1</v>
      </c>
      <c r="M361" t="str">
        <f>IF(NOT(ISBLANK(A361)),VLOOKUP(A361,'Close - PriceSaver'!A:J,6,0),"")</f>
        <v>DL input prc = 96.05078125  PX_ASK = 96.06640625 PX_BID = 96.03515625</v>
      </c>
      <c r="Q361" t="e">
        <f t="shared" si="49"/>
        <v>#N/A</v>
      </c>
      <c r="R361" t="e">
        <f t="shared" si="50"/>
        <v>#N/A</v>
      </c>
      <c r="S361" t="e">
        <f t="shared" si="51"/>
        <v>#N/A</v>
      </c>
      <c r="T361" s="15" t="e">
        <f t="shared" si="52"/>
        <v>#N/A</v>
      </c>
      <c r="U361" s="18" t="e">
        <f t="shared" si="53"/>
        <v>#N/A</v>
      </c>
      <c r="V361" s="18" t="e">
        <f t="shared" si="54"/>
        <v>#N/A</v>
      </c>
      <c r="W361" s="19" t="e">
        <f t="shared" si="55"/>
        <v>#N/A</v>
      </c>
      <c r="X361" t="e">
        <f>VLOOKUP(P361,Close[[ID]:[CreatedBy]],8,0)</f>
        <v>#N/A</v>
      </c>
    </row>
    <row r="362" spans="1:24" x14ac:dyDescent="0.35">
      <c r="A362" t="str">
        <v>91282CAL5</v>
      </c>
      <c r="B362" t="str">
        <f>IF(NOT(ISBLANK(A362)),VLOOKUP(A362,'BBT3'!A:F,2,0),"")</f>
        <v>Bond</v>
      </c>
      <c r="C362" t="str">
        <f>IF(NOT(ISBLANK(A362)),VLOOKUP(A362,'BBT3'!A:F,3,0),"")</f>
        <v>US91282CAL54</v>
      </c>
      <c r="D362" s="5">
        <f>IF(NOT(ISBLANK(A362)),VLOOKUP(A362,'BBT3'!A:F,4,1),"")</f>
        <v>0.375</v>
      </c>
      <c r="E362">
        <f>IF(NOT(ISBLANK(A362)),VLOOKUP(A362,'BBT3'!A:F,5,0),"")</f>
        <v>46660</v>
      </c>
      <c r="F362" t="str">
        <f>IF(NOT(ISBLANK(A362)),VLOOKUP(A362,'BBT3'!A:F,6,0),"")</f>
        <v>N</v>
      </c>
      <c r="G362" t="str">
        <f t="shared" si="56"/>
        <v>N</v>
      </c>
      <c r="H362">
        <f>IF(NOT(ISBLANK(A362)),VLOOKUP(A362,'Close - PriceSaver'!A:J,5,0),"")</f>
        <v>4.1985853939341802E-2</v>
      </c>
      <c r="I362" s="4" cm="1">
        <f t="array" ref="I362">IF(NOT(ISBLANK(A362)),((_xlfn.XLOOKUP(1,(_bbt3[[#All],[ID]]=A362)*(_bbt3[[#All],[METRIC_NAME]]="YLD_YTM_ASK"),_bbt3[[#All],[METRIC_VALUE]])*0.5)+(_xlfn.XLOOKUP(1,(_bbt3[[#All],[ID]]=A362)*(_bbt3[[#All],[METRIC_NAME]]="YLD_YTM_BID"),_bbt3[[#All],[METRIC_VALUE]])*0.5))/100,"")</f>
        <v>4.1984999999999995E-2</v>
      </c>
      <c r="J362">
        <f>IF(ISNA(VLOOKUP(A362,'CloseDL - PriceSaverBBT3'!A:E,5,0)),0,VLOOKUP(A362,'CloseDL - PriceSaverBBT3'!A:E,5,0))</f>
        <v>4.1985853939341802E-2</v>
      </c>
      <c r="K362" s="7">
        <f t="shared" si="57"/>
        <v>0</v>
      </c>
      <c r="L362" s="20">
        <f>IF(Close[[#This Row],[CreatedBy]]="MARINER\SilverAdm",1,0)</f>
        <v>1</v>
      </c>
      <c r="M362" t="str">
        <f>IF(NOT(ISBLANK(A362)),VLOOKUP(A362,'Close - PriceSaver'!A:J,6,0),"")</f>
        <v>DL input prc = 95.60156250  PX_ASK = 95.61328125 PX_BID = 95.58984375</v>
      </c>
      <c r="Q362" t="e">
        <f t="shared" si="49"/>
        <v>#N/A</v>
      </c>
      <c r="R362" t="e">
        <f t="shared" si="50"/>
        <v>#N/A</v>
      </c>
      <c r="S362" t="e">
        <f t="shared" si="51"/>
        <v>#N/A</v>
      </c>
      <c r="T362" s="15" t="e">
        <f t="shared" si="52"/>
        <v>#N/A</v>
      </c>
      <c r="U362" s="18" t="e">
        <f t="shared" si="53"/>
        <v>#N/A</v>
      </c>
      <c r="V362" s="18" t="e">
        <f t="shared" si="54"/>
        <v>#N/A</v>
      </c>
      <c r="W362" s="19" t="e">
        <f t="shared" si="55"/>
        <v>#N/A</v>
      </c>
      <c r="X362" t="e">
        <f>VLOOKUP(P362,Close[[ID]:[CreatedBy]],8,0)</f>
        <v>#N/A</v>
      </c>
    </row>
    <row r="363" spans="1:24" x14ac:dyDescent="0.35">
      <c r="A363" t="str">
        <v>91282CAU5</v>
      </c>
      <c r="B363" t="str">
        <f>IF(NOT(ISBLANK(A363)),VLOOKUP(A363,'BBT3'!A:F,2,0),"")</f>
        <v>Bond</v>
      </c>
      <c r="C363" t="str">
        <f>IF(NOT(ISBLANK(A363)),VLOOKUP(A363,'BBT3'!A:F,3,0),"")</f>
        <v>US91282CAU53</v>
      </c>
      <c r="D363" s="5">
        <f>IF(NOT(ISBLANK(A363)),VLOOKUP(A363,'BBT3'!A:F,4,1),"")</f>
        <v>0.5</v>
      </c>
      <c r="E363">
        <f>IF(NOT(ISBLANK(A363)),VLOOKUP(A363,'BBT3'!A:F,5,0),"")</f>
        <v>46691</v>
      </c>
      <c r="F363" t="str">
        <f>IF(NOT(ISBLANK(A363)),VLOOKUP(A363,'BBT3'!A:F,6,0),"")</f>
        <v>N</v>
      </c>
      <c r="G363" t="str">
        <f t="shared" si="56"/>
        <v>N</v>
      </c>
      <c r="H363">
        <f>IF(NOT(ISBLANK(A363)),VLOOKUP(A363,'Close - PriceSaver'!A:J,5,0),"")</f>
        <v>4.2238559630240299E-2</v>
      </c>
      <c r="I363" s="4" cm="1">
        <f t="array" ref="I363">IF(NOT(ISBLANK(A363)),((_xlfn.XLOOKUP(1,(_bbt3[[#All],[ID]]=A363)*(_bbt3[[#All],[METRIC_NAME]]="YLD_YTM_ASK"),_bbt3[[#All],[METRIC_VALUE]])*0.5)+(_xlfn.XLOOKUP(1,(_bbt3[[#All],[ID]]=A363)*(_bbt3[[#All],[METRIC_NAME]]="YLD_YTM_BID"),_bbt3[[#All],[METRIC_VALUE]])*0.5))/100,"")</f>
        <v>4.2234999999999995E-2</v>
      </c>
      <c r="J363">
        <f>IF(ISNA(VLOOKUP(A363,'CloseDL - PriceSaverBBT3'!A:E,5,0)),0,VLOOKUP(A363,'CloseDL - PriceSaverBBT3'!A:E,5,0))</f>
        <v>4.2238559630240299E-2</v>
      </c>
      <c r="K363" s="7">
        <f t="shared" si="57"/>
        <v>0</v>
      </c>
      <c r="L363" s="20">
        <f>IF(Close[[#This Row],[CreatedBy]]="MARINER\SilverAdm",1,0)</f>
        <v>1</v>
      </c>
      <c r="M363" t="str">
        <f>IF(NOT(ISBLANK(A363)),VLOOKUP(A363,'Close - PriceSaver'!A:J,6,0),"")</f>
        <v>DL input prc = 95.42578125  PX_ASK = 95.43359375 PX_BID = 95.41796875</v>
      </c>
      <c r="Q363" t="e">
        <f t="shared" si="49"/>
        <v>#N/A</v>
      </c>
      <c r="R363" t="e">
        <f t="shared" si="50"/>
        <v>#N/A</v>
      </c>
      <c r="S363" t="e">
        <f t="shared" si="51"/>
        <v>#N/A</v>
      </c>
      <c r="T363" s="15" t="e">
        <f t="shared" si="52"/>
        <v>#N/A</v>
      </c>
      <c r="U363" s="18" t="e">
        <f t="shared" si="53"/>
        <v>#N/A</v>
      </c>
      <c r="V363" s="18" t="e">
        <f t="shared" si="54"/>
        <v>#N/A</v>
      </c>
      <c r="W363" s="19" t="e">
        <f t="shared" si="55"/>
        <v>#N/A</v>
      </c>
      <c r="X363" t="e">
        <f>VLOOKUP(P363,Close[[ID]:[CreatedBy]],8,0)</f>
        <v>#N/A</v>
      </c>
    </row>
    <row r="364" spans="1:24" x14ac:dyDescent="0.35">
      <c r="A364" t="str">
        <v>91282CAV3</v>
      </c>
      <c r="B364" t="str">
        <f>IF(NOT(ISBLANK(A364)),VLOOKUP(A364,'BBT3'!A:F,2,0),"")</f>
        <v>Bond</v>
      </c>
      <c r="C364" t="str">
        <f>IF(NOT(ISBLANK(A364)),VLOOKUP(A364,'BBT3'!A:F,3,0),"")</f>
        <v>US91282CAV37</v>
      </c>
      <c r="D364" s="5">
        <f>IF(NOT(ISBLANK(A364)),VLOOKUP(A364,'BBT3'!A:F,4,1),"")</f>
        <v>0.875</v>
      </c>
      <c r="E364">
        <f>IF(NOT(ISBLANK(A364)),VLOOKUP(A364,'BBT3'!A:F,5,0),"")</f>
        <v>47802</v>
      </c>
      <c r="F364" t="str">
        <f>IF(NOT(ISBLANK(A364)),VLOOKUP(A364,'BBT3'!A:F,6,0),"")</f>
        <v>N</v>
      </c>
      <c r="G364" t="str">
        <f t="shared" si="56"/>
        <v>N</v>
      </c>
      <c r="H364">
        <f>IF(NOT(ISBLANK(A364)),VLOOKUP(A364,'Close - PriceSaver'!A:J,5,0),"")</f>
        <v>4.3574265812889403E-2</v>
      </c>
      <c r="I364" s="4" cm="1">
        <f t="array" ref="I364">IF(NOT(ISBLANK(A364)),((_xlfn.XLOOKUP(1,(_bbt3[[#All],[ID]]=A364)*(_bbt3[[#All],[METRIC_NAME]]="YLD_YTM_ASK"),_bbt3[[#All],[METRIC_VALUE]])*0.5)+(_xlfn.XLOOKUP(1,(_bbt3[[#All],[ID]]=A364)*(_bbt3[[#All],[METRIC_NAME]]="YLD_YTM_BID"),_bbt3[[#All],[METRIC_VALUE]])*0.5))/100,"")</f>
        <v>4.3575000000000003E-2</v>
      </c>
      <c r="J364">
        <f>IF(ISNA(VLOOKUP(A364,'CloseDL - PriceSaverBBT3'!A:E,5,0)),0,VLOOKUP(A364,'CloseDL - PriceSaverBBT3'!A:E,5,0))</f>
        <v>4.3574265812889403E-2</v>
      </c>
      <c r="K364" s="7">
        <f t="shared" si="57"/>
        <v>0</v>
      </c>
      <c r="L364" s="20">
        <f>IF(Close[[#This Row],[CreatedBy]]="MARINER\SilverAdm",1,0)</f>
        <v>1</v>
      </c>
      <c r="M364" t="str">
        <f>IF(NOT(ISBLANK(A364)),VLOOKUP(A364,'Close - PriceSaver'!A:J,6,0),"")</f>
        <v>DL input prc = 86.43359375  PX_ASK = 86.45312500 PX_BID = 86.41406250</v>
      </c>
      <c r="Q364" t="e">
        <f t="shared" si="49"/>
        <v>#N/A</v>
      </c>
      <c r="R364" t="e">
        <f t="shared" si="50"/>
        <v>#N/A</v>
      </c>
      <c r="S364" t="e">
        <f t="shared" si="51"/>
        <v>#N/A</v>
      </c>
      <c r="T364" s="15" t="e">
        <f t="shared" si="52"/>
        <v>#N/A</v>
      </c>
      <c r="U364" s="18" t="e">
        <f t="shared" si="53"/>
        <v>#N/A</v>
      </c>
      <c r="V364" s="18" t="e">
        <f t="shared" si="54"/>
        <v>#N/A</v>
      </c>
      <c r="W364" s="19" t="e">
        <f t="shared" si="55"/>
        <v>#N/A</v>
      </c>
      <c r="X364" t="e">
        <f>VLOOKUP(P364,Close[[ID]:[CreatedBy]],8,0)</f>
        <v>#N/A</v>
      </c>
    </row>
    <row r="365" spans="1:24" x14ac:dyDescent="0.35">
      <c r="A365" t="str">
        <v>91282CAY7</v>
      </c>
      <c r="B365" t="str">
        <f>IF(NOT(ISBLANK(A365)),VLOOKUP(A365,'BBT3'!A:F,2,0),"")</f>
        <v>Bond</v>
      </c>
      <c r="C365" t="str">
        <f>IF(NOT(ISBLANK(A365)),VLOOKUP(A365,'BBT3'!A:F,3,0),"")</f>
        <v>US91282CAY75</v>
      </c>
      <c r="D365" s="5">
        <f>IF(NOT(ISBLANK(A365)),VLOOKUP(A365,'BBT3'!A:F,4,1),"")</f>
        <v>0.625</v>
      </c>
      <c r="E365">
        <f>IF(NOT(ISBLANK(A365)),VLOOKUP(A365,'BBT3'!A:F,5,0),"")</f>
        <v>46721</v>
      </c>
      <c r="F365" t="str">
        <f>IF(NOT(ISBLANK(A365)),VLOOKUP(A365,'BBT3'!A:F,6,0),"")</f>
        <v>N</v>
      </c>
      <c r="G365" t="str">
        <f t="shared" si="56"/>
        <v>N</v>
      </c>
      <c r="H365">
        <f>IF(NOT(ISBLANK(A365)),VLOOKUP(A365,'Close - PriceSaver'!A:J,5,0),"")</f>
        <v>4.2262449895565497E-2</v>
      </c>
      <c r="I365" s="4" cm="1">
        <f t="array" ref="I365">IF(NOT(ISBLANK(A365)),((_xlfn.XLOOKUP(1,(_bbt3[[#All],[ID]]=A365)*(_bbt3[[#All],[METRIC_NAME]]="YLD_YTM_ASK"),_bbt3[[#All],[METRIC_VALUE]])*0.5)+(_xlfn.XLOOKUP(1,(_bbt3[[#All],[ID]]=A365)*(_bbt3[[#All],[METRIC_NAME]]="YLD_YTM_BID"),_bbt3[[#All],[METRIC_VALUE]])*0.5))/100,"")</f>
        <v>4.2264999999999997E-2</v>
      </c>
      <c r="J365">
        <f>IF(ISNA(VLOOKUP(A365,'CloseDL - PriceSaverBBT3'!A:E,5,0)),0,VLOOKUP(A365,'CloseDL - PriceSaverBBT3'!A:E,5,0))</f>
        <v>4.2262449895565497E-2</v>
      </c>
      <c r="K365" s="7">
        <f t="shared" si="57"/>
        <v>0</v>
      </c>
      <c r="L365" s="20">
        <f>IF(Close[[#This Row],[CreatedBy]]="MARINER\SilverAdm",1,0)</f>
        <v>1</v>
      </c>
      <c r="M365" t="str">
        <f>IF(NOT(ISBLANK(A365)),VLOOKUP(A365,'Close - PriceSaver'!A:J,6,0),"")</f>
        <v>DL input prc = 95.29492188  PX_ASK = 95.30468750 PX_BID = 95.28515625</v>
      </c>
      <c r="Q365" t="e">
        <f t="shared" si="49"/>
        <v>#N/A</v>
      </c>
      <c r="R365" t="e">
        <f t="shared" si="50"/>
        <v>#N/A</v>
      </c>
      <c r="S365" t="e">
        <f t="shared" si="51"/>
        <v>#N/A</v>
      </c>
      <c r="T365" s="15" t="e">
        <f t="shared" si="52"/>
        <v>#N/A</v>
      </c>
      <c r="U365" s="18" t="e">
        <f t="shared" si="53"/>
        <v>#N/A</v>
      </c>
      <c r="V365" s="18" t="e">
        <f t="shared" si="54"/>
        <v>#N/A</v>
      </c>
      <c r="W365" s="19" t="e">
        <f t="shared" si="55"/>
        <v>#N/A</v>
      </c>
      <c r="X365" t="e">
        <f>VLOOKUP(P365,Close[[ID]:[CreatedBy]],8,0)</f>
        <v>#N/A</v>
      </c>
    </row>
    <row r="366" spans="1:24" x14ac:dyDescent="0.35">
      <c r="A366" t="str">
        <v>91282CBB6</v>
      </c>
      <c r="B366" t="str">
        <f>IF(NOT(ISBLANK(A366)),VLOOKUP(A366,'BBT3'!A:F,2,0),"")</f>
        <v>Bond</v>
      </c>
      <c r="C366" t="str">
        <f>IF(NOT(ISBLANK(A366)),VLOOKUP(A366,'BBT3'!A:F,3,0),"")</f>
        <v>US91282CBB63</v>
      </c>
      <c r="D366" s="5">
        <f>IF(NOT(ISBLANK(A366)),VLOOKUP(A366,'BBT3'!A:F,4,1),"")</f>
        <v>0.625</v>
      </c>
      <c r="E366">
        <f>IF(NOT(ISBLANK(A366)),VLOOKUP(A366,'BBT3'!A:F,5,0),"")</f>
        <v>46752</v>
      </c>
      <c r="F366" t="str">
        <f>IF(NOT(ISBLANK(A366)),VLOOKUP(A366,'BBT3'!A:F,6,0),"")</f>
        <v>N</v>
      </c>
      <c r="G366" t="str">
        <f t="shared" si="56"/>
        <v>N</v>
      </c>
      <c r="H366">
        <f>IF(NOT(ISBLANK(A366)),VLOOKUP(A366,'Close - PriceSaver'!A:J,5,0),"")</f>
        <v>4.2401947120997499E-2</v>
      </c>
      <c r="I366" s="4" cm="1">
        <f t="array" ref="I366">IF(NOT(ISBLANK(A366)),((_xlfn.XLOOKUP(1,(_bbt3[[#All],[ID]]=A366)*(_bbt3[[#All],[METRIC_NAME]]="YLD_YTM_ASK"),_bbt3[[#All],[METRIC_VALUE]])*0.5)+(_xlfn.XLOOKUP(1,(_bbt3[[#All],[ID]]=A366)*(_bbt3[[#All],[METRIC_NAME]]="YLD_YTM_BID"),_bbt3[[#All],[METRIC_VALUE]])*0.5))/100,"")</f>
        <v>4.24E-2</v>
      </c>
      <c r="J366">
        <f>IF(ISNA(VLOOKUP(A366,'CloseDL - PriceSaverBBT3'!A:E,5,0)),0,VLOOKUP(A366,'CloseDL - PriceSaverBBT3'!A:E,5,0))</f>
        <v>4.2401947120997499E-2</v>
      </c>
      <c r="K366" s="7">
        <f t="shared" si="57"/>
        <v>0</v>
      </c>
      <c r="L366" s="20">
        <f>IF(Close[[#This Row],[CreatedBy]]="MARINER\SilverAdm",1,0)</f>
        <v>1</v>
      </c>
      <c r="M366" t="str">
        <f>IF(NOT(ISBLANK(A366)),VLOOKUP(A366,'Close - PriceSaver'!A:J,6,0),"")</f>
        <v>DL input prc = 95.00000000  PX_ASK = 95.01171875 PX_BID = 94.98828125</v>
      </c>
      <c r="Q366" t="e">
        <f t="shared" si="49"/>
        <v>#N/A</v>
      </c>
      <c r="R366" t="e">
        <f t="shared" si="50"/>
        <v>#N/A</v>
      </c>
      <c r="S366" t="e">
        <f t="shared" si="51"/>
        <v>#N/A</v>
      </c>
      <c r="T366" s="15" t="e">
        <f t="shared" si="52"/>
        <v>#N/A</v>
      </c>
      <c r="U366" s="18" t="e">
        <f t="shared" si="53"/>
        <v>#N/A</v>
      </c>
      <c r="V366" s="18" t="e">
        <f t="shared" si="54"/>
        <v>#N/A</v>
      </c>
      <c r="W366" s="19" t="e">
        <f t="shared" si="55"/>
        <v>#N/A</v>
      </c>
      <c r="X366" t="e">
        <f>VLOOKUP(P366,Close[[ID]:[CreatedBy]],8,0)</f>
        <v>#N/A</v>
      </c>
    </row>
    <row r="367" spans="1:24" x14ac:dyDescent="0.35">
      <c r="A367" t="str">
        <v>91282CBF7</v>
      </c>
      <c r="B367" t="str">
        <f>IF(NOT(ISBLANK(A367)),VLOOKUP(A367,'BBT3'!A:F,2,0),"")</f>
        <v>Bond</v>
      </c>
      <c r="C367" t="str">
        <f>IF(NOT(ISBLANK(A367)),VLOOKUP(A367,'BBT3'!A:F,3,0),"")</f>
        <v>US91282CBF77</v>
      </c>
      <c r="D367" s="5">
        <f>IF(NOT(ISBLANK(A367)),VLOOKUP(A367,'BBT3'!A:F,4,1),"")</f>
        <v>0.125</v>
      </c>
      <c r="E367">
        <f>IF(NOT(ISBLANK(A367)),VLOOKUP(A367,'BBT3'!A:F,5,0),"")</f>
        <v>47863</v>
      </c>
      <c r="F367" t="str">
        <f>IF(NOT(ISBLANK(A367)),VLOOKUP(A367,'BBT3'!A:F,6,0),"")</f>
        <v>Y</v>
      </c>
      <c r="G367" t="str">
        <f t="shared" si="56"/>
        <v>N</v>
      </c>
      <c r="H367">
        <f>IF(NOT(ISBLANK(A367)),VLOOKUP(A367,'Close - PriceSaver'!A:J,5,0),"")</f>
        <v>2.0215632993917199E-2</v>
      </c>
      <c r="I367" s="4" cm="1">
        <f t="array" ref="I367">IF(NOT(ISBLANK(A367)),((_xlfn.XLOOKUP(1,(_bbt3[[#All],[ID]]=A367)*(_bbt3[[#All],[METRIC_NAME]]="YLD_YTM_ASK"),_bbt3[[#All],[METRIC_VALUE]])*0.5)+(_xlfn.XLOOKUP(1,(_bbt3[[#All],[ID]]=A367)*(_bbt3[[#All],[METRIC_NAME]]="YLD_YTM_BID"),_bbt3[[#All],[METRIC_VALUE]])*0.5))/100,"")</f>
        <v>2.0215E-2</v>
      </c>
      <c r="J367">
        <f>IF(ISNA(VLOOKUP(A367,'CloseDL - PriceSaverBBT3'!A:E,5,0)),0,VLOOKUP(A367,'CloseDL - PriceSaverBBT3'!A:E,5,0))</f>
        <v>2.0215632993917199E-2</v>
      </c>
      <c r="K367" s="7">
        <f t="shared" si="57"/>
        <v>0</v>
      </c>
      <c r="L367" s="20">
        <f>IF(Close[[#This Row],[CreatedBy]]="MARINER\SilverAdm",1,0)</f>
        <v>1</v>
      </c>
      <c r="M367" t="str">
        <f>IF(NOT(ISBLANK(A367)),VLOOKUP(A367,'Close - PriceSaver'!A:J,6,0),"")</f>
        <v>DL input prc = 91.91406250  PX_ASK = 91.93750000 PX_BID = 91.89062500</v>
      </c>
      <c r="Q367" t="e">
        <f t="shared" si="49"/>
        <v>#N/A</v>
      </c>
      <c r="R367" t="e">
        <f t="shared" si="50"/>
        <v>#N/A</v>
      </c>
      <c r="S367" t="e">
        <f t="shared" si="51"/>
        <v>#N/A</v>
      </c>
      <c r="T367" s="15" t="e">
        <f t="shared" si="52"/>
        <v>#N/A</v>
      </c>
      <c r="U367" s="18" t="e">
        <f t="shared" si="53"/>
        <v>#N/A</v>
      </c>
      <c r="V367" s="18" t="e">
        <f t="shared" si="54"/>
        <v>#N/A</v>
      </c>
      <c r="W367" s="19" t="e">
        <f t="shared" si="55"/>
        <v>#N/A</v>
      </c>
      <c r="X367" t="e">
        <f>VLOOKUP(P367,Close[[ID]:[CreatedBy]],8,0)</f>
        <v>#N/A</v>
      </c>
    </row>
    <row r="368" spans="1:24" x14ac:dyDescent="0.35">
      <c r="A368" t="str">
        <v>91282CBJ9</v>
      </c>
      <c r="B368" t="str">
        <f>IF(NOT(ISBLANK(A368)),VLOOKUP(A368,'BBT3'!A:F,2,0),"")</f>
        <v>Bond</v>
      </c>
      <c r="C368" t="str">
        <f>IF(NOT(ISBLANK(A368)),VLOOKUP(A368,'BBT3'!A:F,3,0),"")</f>
        <v>US91282CBJ99</v>
      </c>
      <c r="D368" s="5">
        <f>IF(NOT(ISBLANK(A368)),VLOOKUP(A368,'BBT3'!A:F,4,1),"")</f>
        <v>0.75</v>
      </c>
      <c r="E368">
        <f>IF(NOT(ISBLANK(A368)),VLOOKUP(A368,'BBT3'!A:F,5,0),"")</f>
        <v>46783</v>
      </c>
      <c r="F368" t="str">
        <f>IF(NOT(ISBLANK(A368)),VLOOKUP(A368,'BBT3'!A:F,6,0),"")</f>
        <v>N</v>
      </c>
      <c r="G368" t="str">
        <f t="shared" si="56"/>
        <v>N</v>
      </c>
      <c r="H368">
        <f>IF(NOT(ISBLANK(A368)),VLOOKUP(A368,'Close - PriceSaver'!A:J,5,0),"")</f>
        <v>4.2511827569055902E-2</v>
      </c>
      <c r="I368" s="4" cm="1">
        <f t="array" ref="I368">IF(NOT(ISBLANK(A368)),((_xlfn.XLOOKUP(1,(_bbt3[[#All],[ID]]=A368)*(_bbt3[[#All],[METRIC_NAME]]="YLD_YTM_ASK"),_bbt3[[#All],[METRIC_VALUE]])*0.5)+(_xlfn.XLOOKUP(1,(_bbt3[[#All],[ID]]=A368)*(_bbt3[[#All],[METRIC_NAME]]="YLD_YTM_BID"),_bbt3[[#All],[METRIC_VALUE]])*0.5))/100,"")</f>
        <v>4.2514999999999997E-2</v>
      </c>
      <c r="J368">
        <f>IF(ISNA(VLOOKUP(A368,'CloseDL - PriceSaverBBT3'!A:E,5,0)),0,VLOOKUP(A368,'CloseDL - PriceSaverBBT3'!A:E,5,0))</f>
        <v>4.2511827569055902E-2</v>
      </c>
      <c r="K368" s="7">
        <f t="shared" si="57"/>
        <v>0</v>
      </c>
      <c r="L368" s="20">
        <f>IF(Close[[#This Row],[CreatedBy]]="MARINER\SilverAdm",1,0)</f>
        <v>1</v>
      </c>
      <c r="M368" t="str">
        <f>IF(NOT(ISBLANK(A368)),VLOOKUP(A368,'Close - PriceSaver'!A:J,6,0),"")</f>
        <v>DL input prc = 94.88281250  PX_ASK = 94.89062500 PX_BID = 94.87500000</v>
      </c>
      <c r="Q368" t="e">
        <f t="shared" si="49"/>
        <v>#N/A</v>
      </c>
      <c r="R368" t="e">
        <f t="shared" si="50"/>
        <v>#N/A</v>
      </c>
      <c r="S368" t="e">
        <f t="shared" si="51"/>
        <v>#N/A</v>
      </c>
      <c r="T368" s="15" t="e">
        <f t="shared" si="52"/>
        <v>#N/A</v>
      </c>
      <c r="U368" s="18" t="e">
        <f t="shared" si="53"/>
        <v>#N/A</v>
      </c>
      <c r="V368" s="18" t="e">
        <f t="shared" si="54"/>
        <v>#N/A</v>
      </c>
      <c r="W368" s="19" t="e">
        <f t="shared" si="55"/>
        <v>#N/A</v>
      </c>
      <c r="X368" t="e">
        <f>VLOOKUP(P368,Close[[ID]:[CreatedBy]],8,0)</f>
        <v>#N/A</v>
      </c>
    </row>
    <row r="369" spans="1:24" x14ac:dyDescent="0.35">
      <c r="A369" t="str">
        <v>91282CBL4</v>
      </c>
      <c r="B369" t="str">
        <f>IF(NOT(ISBLANK(A369)),VLOOKUP(A369,'BBT3'!A:F,2,0),"")</f>
        <v>Bond</v>
      </c>
      <c r="C369" t="str">
        <f>IF(NOT(ISBLANK(A369)),VLOOKUP(A369,'BBT3'!A:F,3,0),"")</f>
        <v>US91282CBL46</v>
      </c>
      <c r="D369" s="5">
        <f>IF(NOT(ISBLANK(A369)),VLOOKUP(A369,'BBT3'!A:F,4,1),"")</f>
        <v>1.125</v>
      </c>
      <c r="E369">
        <f>IF(NOT(ISBLANK(A369)),VLOOKUP(A369,'BBT3'!A:F,5,0),"")</f>
        <v>47894</v>
      </c>
      <c r="F369" t="str">
        <f>IF(NOT(ISBLANK(A369)),VLOOKUP(A369,'BBT3'!A:F,6,0),"")</f>
        <v>N</v>
      </c>
      <c r="G369" t="str">
        <f t="shared" si="56"/>
        <v>N</v>
      </c>
      <c r="H369">
        <f>IF(NOT(ISBLANK(A369)),VLOOKUP(A369,'Close - PriceSaver'!A:J,5,0),"")</f>
        <v>4.34056968929558E-2</v>
      </c>
      <c r="I369" s="4" cm="1">
        <f t="array" ref="I369">IF(NOT(ISBLANK(A369)),((_xlfn.XLOOKUP(1,(_bbt3[[#All],[ID]]=A369)*(_bbt3[[#All],[METRIC_NAME]]="YLD_YTM_ASK"),_bbt3[[#All],[METRIC_VALUE]])*0.5)+(_xlfn.XLOOKUP(1,(_bbt3[[#All],[ID]]=A369)*(_bbt3[[#All],[METRIC_NAME]]="YLD_YTM_BID"),_bbt3[[#All],[METRIC_VALUE]])*0.5))/100,"")</f>
        <v>4.3405000000000006E-2</v>
      </c>
      <c r="J369">
        <f>IF(ISNA(VLOOKUP(A369,'CloseDL - PriceSaverBBT3'!A:E,5,0)),0,VLOOKUP(A369,'CloseDL - PriceSaverBBT3'!A:E,5,0))</f>
        <v>4.34056968929558E-2</v>
      </c>
      <c r="K369" s="7">
        <f t="shared" si="57"/>
        <v>0</v>
      </c>
      <c r="L369" s="20">
        <f>IF(Close[[#This Row],[CreatedBy]]="MARINER\SilverAdm",1,0)</f>
        <v>1</v>
      </c>
      <c r="M369" t="str">
        <f>IF(NOT(ISBLANK(A369)),VLOOKUP(A369,'Close - PriceSaver'!A:J,6,0),"")</f>
        <v>DL input prc = 86.80859375  PX_ASK = 86.83593750 PX_BID = 86.78125000</v>
      </c>
      <c r="Q369" t="e">
        <f t="shared" si="49"/>
        <v>#N/A</v>
      </c>
      <c r="R369" t="e">
        <f t="shared" si="50"/>
        <v>#N/A</v>
      </c>
      <c r="S369" t="e">
        <f t="shared" si="51"/>
        <v>#N/A</v>
      </c>
      <c r="T369" s="15" t="e">
        <f t="shared" si="52"/>
        <v>#N/A</v>
      </c>
      <c r="U369" s="18" t="e">
        <f t="shared" si="53"/>
        <v>#N/A</v>
      </c>
      <c r="V369" s="18" t="e">
        <f t="shared" si="54"/>
        <v>#N/A</v>
      </c>
      <c r="W369" s="19" t="e">
        <f t="shared" si="55"/>
        <v>#N/A</v>
      </c>
      <c r="X369" t="e">
        <f>VLOOKUP(P369,Close[[ID]:[CreatedBy]],8,0)</f>
        <v>#N/A</v>
      </c>
    </row>
    <row r="370" spans="1:24" x14ac:dyDescent="0.35">
      <c r="A370" t="str">
        <v>91282CBP5</v>
      </c>
      <c r="B370" t="str">
        <f>IF(NOT(ISBLANK(A370)),VLOOKUP(A370,'BBT3'!A:F,2,0),"")</f>
        <v>Bond</v>
      </c>
      <c r="C370" t="str">
        <f>IF(NOT(ISBLANK(A370)),VLOOKUP(A370,'BBT3'!A:F,3,0),"")</f>
        <v>US91282CBP59</v>
      </c>
      <c r="D370" s="5">
        <f>IF(NOT(ISBLANK(A370)),VLOOKUP(A370,'BBT3'!A:F,4,1),"")</f>
        <v>1.125</v>
      </c>
      <c r="E370">
        <f>IF(NOT(ISBLANK(A370)),VLOOKUP(A370,'BBT3'!A:F,5,0),"")</f>
        <v>46812</v>
      </c>
      <c r="F370" t="str">
        <f>IF(NOT(ISBLANK(A370)),VLOOKUP(A370,'BBT3'!A:F,6,0),"")</f>
        <v>N</v>
      </c>
      <c r="G370" t="str">
        <f t="shared" si="56"/>
        <v>N</v>
      </c>
      <c r="H370">
        <f>IF(NOT(ISBLANK(A370)),VLOOKUP(A370,'Close - PriceSaver'!A:J,5,0),"")</f>
        <v>4.2484028587076297E-2</v>
      </c>
      <c r="I370" s="4" cm="1">
        <f t="array" ref="I370">IF(NOT(ISBLANK(A370)),((_xlfn.XLOOKUP(1,(_bbt3[[#All],[ID]]=A370)*(_bbt3[[#All],[METRIC_NAME]]="YLD_YTM_ASK"),_bbt3[[#All],[METRIC_VALUE]])*0.5)+(_xlfn.XLOOKUP(1,(_bbt3[[#All],[ID]]=A370)*(_bbt3[[#All],[METRIC_NAME]]="YLD_YTM_BID"),_bbt3[[#All],[METRIC_VALUE]])*0.5))/100,"")</f>
        <v>4.2485000000000002E-2</v>
      </c>
      <c r="J370">
        <f>IF(ISNA(VLOOKUP(A370,'CloseDL - PriceSaverBBT3'!A:E,5,0)),0,VLOOKUP(A370,'CloseDL - PriceSaverBBT3'!A:E,5,0))</f>
        <v>4.2484028587076297E-2</v>
      </c>
      <c r="K370" s="7">
        <f t="shared" si="57"/>
        <v>0</v>
      </c>
      <c r="L370" s="20">
        <f>IF(Close[[#This Row],[CreatedBy]]="MARINER\SilverAdm",1,0)</f>
        <v>1</v>
      </c>
      <c r="M370" t="str">
        <f>IF(NOT(ISBLANK(A370)),VLOOKUP(A370,'Close - PriceSaver'!A:J,6,0),"")</f>
        <v>DL input prc = 95.19140625  PX_ASK = 95.20312500 PX_BID = 95.17968750</v>
      </c>
      <c r="Q370" t="e">
        <f t="shared" si="49"/>
        <v>#N/A</v>
      </c>
      <c r="R370" t="e">
        <f t="shared" si="50"/>
        <v>#N/A</v>
      </c>
      <c r="S370" t="e">
        <f t="shared" si="51"/>
        <v>#N/A</v>
      </c>
      <c r="T370" s="15" t="e">
        <f t="shared" si="52"/>
        <v>#N/A</v>
      </c>
      <c r="U370" s="18" t="e">
        <f t="shared" si="53"/>
        <v>#N/A</v>
      </c>
      <c r="V370" s="18" t="e">
        <f t="shared" si="54"/>
        <v>#N/A</v>
      </c>
      <c r="W370" s="19" t="e">
        <f t="shared" si="55"/>
        <v>#N/A</v>
      </c>
      <c r="X370" t="e">
        <f>VLOOKUP(P370,Close[[ID]:[CreatedBy]],8,0)</f>
        <v>#N/A</v>
      </c>
    </row>
    <row r="371" spans="1:24" x14ac:dyDescent="0.35">
      <c r="A371" t="str">
        <v>91282CBS9</v>
      </c>
      <c r="B371" t="str">
        <f>IF(NOT(ISBLANK(A371)),VLOOKUP(A371,'BBT3'!A:F,2,0),"")</f>
        <v>Bond</v>
      </c>
      <c r="C371" t="str">
        <f>IF(NOT(ISBLANK(A371)),VLOOKUP(A371,'BBT3'!A:F,3,0),"")</f>
        <v>US91282CBS98</v>
      </c>
      <c r="D371" s="5">
        <f>IF(NOT(ISBLANK(A371)),VLOOKUP(A371,'BBT3'!A:F,4,1),"")</f>
        <v>1.25</v>
      </c>
      <c r="E371">
        <f>IF(NOT(ISBLANK(A371)),VLOOKUP(A371,'BBT3'!A:F,5,0),"")</f>
        <v>46843</v>
      </c>
      <c r="F371" t="str">
        <f>IF(NOT(ISBLANK(A371)),VLOOKUP(A371,'BBT3'!A:F,6,0),"")</f>
        <v>N</v>
      </c>
      <c r="G371" t="str">
        <f t="shared" si="56"/>
        <v>N</v>
      </c>
      <c r="H371">
        <f>IF(NOT(ISBLANK(A371)),VLOOKUP(A371,'Close - PriceSaver'!A:J,5,0),"")</f>
        <v>4.2561650019454299E-2</v>
      </c>
      <c r="I371" s="4" cm="1">
        <f t="array" ref="I371">IF(NOT(ISBLANK(A371)),((_xlfn.XLOOKUP(1,(_bbt3[[#All],[ID]]=A371)*(_bbt3[[#All],[METRIC_NAME]]="YLD_YTM_ASK"),_bbt3[[#All],[METRIC_VALUE]])*0.5)+(_xlfn.XLOOKUP(1,(_bbt3[[#All],[ID]]=A371)*(_bbt3[[#All],[METRIC_NAME]]="YLD_YTM_BID"),_bbt3[[#All],[METRIC_VALUE]])*0.5))/100,"")</f>
        <v>4.2560000000000001E-2</v>
      </c>
      <c r="J371">
        <f>IF(ISNA(VLOOKUP(A371,'CloseDL - PriceSaverBBT3'!A:E,5,0)),0,VLOOKUP(A371,'CloseDL - PriceSaverBBT3'!A:E,5,0))</f>
        <v>4.2561650019454299E-2</v>
      </c>
      <c r="K371" s="7">
        <f t="shared" si="57"/>
        <v>0</v>
      </c>
      <c r="L371" s="20">
        <f>IF(Close[[#This Row],[CreatedBy]]="MARINER\SilverAdm",1,0)</f>
        <v>1</v>
      </c>
      <c r="M371" t="str">
        <f>IF(NOT(ISBLANK(A371)),VLOOKUP(A371,'Close - PriceSaver'!A:J,6,0),"")</f>
        <v>DL input prc = 95.14257813  PX_ASK = 95.14843750 PX_BID = 95.13671875</v>
      </c>
      <c r="Q371" t="e">
        <f t="shared" si="49"/>
        <v>#N/A</v>
      </c>
      <c r="R371" t="e">
        <f t="shared" si="50"/>
        <v>#N/A</v>
      </c>
      <c r="S371" t="e">
        <f t="shared" si="51"/>
        <v>#N/A</v>
      </c>
      <c r="T371" s="15" t="e">
        <f t="shared" si="52"/>
        <v>#N/A</v>
      </c>
      <c r="U371" s="18" t="e">
        <f t="shared" si="53"/>
        <v>#N/A</v>
      </c>
      <c r="V371" s="18" t="e">
        <f t="shared" si="54"/>
        <v>#N/A</v>
      </c>
      <c r="W371" s="19" t="e">
        <f t="shared" si="55"/>
        <v>#N/A</v>
      </c>
      <c r="X371" t="e">
        <f>VLOOKUP(P371,Close[[ID]:[CreatedBy]],8,0)</f>
        <v>#N/A</v>
      </c>
    </row>
    <row r="372" spans="1:24" x14ac:dyDescent="0.35">
      <c r="A372" t="str">
        <v>91282CBZ3</v>
      </c>
      <c r="B372" t="str">
        <f>IF(NOT(ISBLANK(A372)),VLOOKUP(A372,'BBT3'!A:F,2,0),"")</f>
        <v>Bond</v>
      </c>
      <c r="C372" t="str">
        <f>IF(NOT(ISBLANK(A372)),VLOOKUP(A372,'BBT3'!A:F,3,0),"")</f>
        <v>US91282CBZ32</v>
      </c>
      <c r="D372" s="5">
        <f>IF(NOT(ISBLANK(A372)),VLOOKUP(A372,'BBT3'!A:F,4,1),"")</f>
        <v>1.25</v>
      </c>
      <c r="E372">
        <f>IF(NOT(ISBLANK(A372)),VLOOKUP(A372,'BBT3'!A:F,5,0),"")</f>
        <v>46873</v>
      </c>
      <c r="F372" t="str">
        <f>IF(NOT(ISBLANK(A372)),VLOOKUP(A372,'BBT3'!A:F,6,0),"")</f>
        <v>N</v>
      </c>
      <c r="G372" t="str">
        <f t="shared" si="56"/>
        <v>N</v>
      </c>
      <c r="H372">
        <f>IF(NOT(ISBLANK(A372)),VLOOKUP(A372,'Close - PriceSaver'!A:J,5,0),"")</f>
        <v>4.2659153730579297E-2</v>
      </c>
      <c r="I372" s="4" cm="1">
        <f t="array" ref="I372">IF(NOT(ISBLANK(A372)),((_xlfn.XLOOKUP(1,(_bbt3[[#All],[ID]]=A372)*(_bbt3[[#All],[METRIC_NAME]]="YLD_YTM_ASK"),_bbt3[[#All],[METRIC_VALUE]])*0.5)+(_xlfn.XLOOKUP(1,(_bbt3[[#All],[ID]]=A372)*(_bbt3[[#All],[METRIC_NAME]]="YLD_YTM_BID"),_bbt3[[#All],[METRIC_VALUE]])*0.5))/100,"")</f>
        <v>4.2660000000000003E-2</v>
      </c>
      <c r="J372">
        <f>IF(ISNA(VLOOKUP(A372,'CloseDL - PriceSaverBBT3'!A:E,5,0)),0,VLOOKUP(A372,'CloseDL - PriceSaverBBT3'!A:E,5,0))</f>
        <v>4.2659153730579297E-2</v>
      </c>
      <c r="K372" s="7">
        <f t="shared" si="57"/>
        <v>0</v>
      </c>
      <c r="L372" s="20">
        <f>IF(Close[[#This Row],[CreatedBy]]="MARINER\SilverAdm",1,0)</f>
        <v>1</v>
      </c>
      <c r="M372" t="str">
        <f>IF(NOT(ISBLANK(A372)),VLOOKUP(A372,'Close - PriceSaver'!A:J,6,0),"")</f>
        <v>DL input prc = 94.89648438  PX_ASK = 94.90625000 PX_BID = 94.88671875</v>
      </c>
      <c r="Q372" t="e">
        <f t="shared" si="49"/>
        <v>#N/A</v>
      </c>
      <c r="R372" t="e">
        <f t="shared" si="50"/>
        <v>#N/A</v>
      </c>
      <c r="S372" t="e">
        <f t="shared" si="51"/>
        <v>#N/A</v>
      </c>
      <c r="T372" s="15" t="e">
        <f t="shared" si="52"/>
        <v>#N/A</v>
      </c>
      <c r="U372" s="18" t="e">
        <f t="shared" si="53"/>
        <v>#N/A</v>
      </c>
      <c r="V372" s="18" t="e">
        <f t="shared" si="54"/>
        <v>#N/A</v>
      </c>
      <c r="W372" s="19" t="e">
        <f t="shared" si="55"/>
        <v>#N/A</v>
      </c>
      <c r="X372" t="e">
        <f>VLOOKUP(P372,Close[[ID]:[CreatedBy]],8,0)</f>
        <v>#N/A</v>
      </c>
    </row>
    <row r="373" spans="1:24" x14ac:dyDescent="0.35">
      <c r="A373" t="str">
        <v>91282CCB5</v>
      </c>
      <c r="B373" t="str">
        <f>IF(NOT(ISBLANK(A373)),VLOOKUP(A373,'BBT3'!A:F,2,0),"")</f>
        <v>Bond</v>
      </c>
      <c r="C373" t="str">
        <f>IF(NOT(ISBLANK(A373)),VLOOKUP(A373,'BBT3'!A:F,3,0),"")</f>
        <v>US91282CCB54</v>
      </c>
      <c r="D373" s="5">
        <f>IF(NOT(ISBLANK(A373)),VLOOKUP(A373,'BBT3'!A:F,4,1),"")</f>
        <v>1.625</v>
      </c>
      <c r="E373">
        <f>IF(NOT(ISBLANK(A373)),VLOOKUP(A373,'BBT3'!A:F,5,0),"")</f>
        <v>47983</v>
      </c>
      <c r="F373" t="str">
        <f>IF(NOT(ISBLANK(A373)),VLOOKUP(A373,'BBT3'!A:F,6,0),"")</f>
        <v>N</v>
      </c>
      <c r="G373" t="str">
        <f t="shared" si="56"/>
        <v>N</v>
      </c>
      <c r="H373">
        <f>IF(NOT(ISBLANK(A373)),VLOOKUP(A373,'Close - PriceSaver'!A:J,5,0),"")</f>
        <v>4.37154720012701E-2</v>
      </c>
      <c r="I373" s="4" cm="1">
        <f t="array" ref="I373">IF(NOT(ISBLANK(A373)),((_xlfn.XLOOKUP(1,(_bbt3[[#All],[ID]]=A373)*(_bbt3[[#All],[METRIC_NAME]]="YLD_YTM_ASK"),_bbt3[[#All],[METRIC_VALUE]])*0.5)+(_xlfn.XLOOKUP(1,(_bbt3[[#All],[ID]]=A373)*(_bbt3[[#All],[METRIC_NAME]]="YLD_YTM_BID"),_bbt3[[#All],[METRIC_VALUE]])*0.5))/100,"")</f>
        <v>4.371499999999999E-2</v>
      </c>
      <c r="J373">
        <f>IF(ISNA(VLOOKUP(A373,'CloseDL - PriceSaverBBT3'!A:E,5,0)),0,VLOOKUP(A373,'CloseDL - PriceSaverBBT3'!A:E,5,0))</f>
        <v>4.37154720012701E-2</v>
      </c>
      <c r="K373" s="7">
        <f t="shared" si="57"/>
        <v>0</v>
      </c>
      <c r="L373" s="20">
        <f>IF(Close[[#This Row],[CreatedBy]]="MARINER\SilverAdm",1,0)</f>
        <v>1</v>
      </c>
      <c r="M373" t="str">
        <f>IF(NOT(ISBLANK(A373)),VLOOKUP(A373,'Close - PriceSaver'!A:J,6,0),"")</f>
        <v>DL input prc = 88.18750000  PX_ASK = 88.21093750 PX_BID = 88.16406250</v>
      </c>
      <c r="Q373" t="e">
        <f t="shared" ref="Q373:Q436" si="58">VLOOKUP(P373,A:C,3,0)</f>
        <v>#N/A</v>
      </c>
      <c r="R373" t="e">
        <f t="shared" ref="R373:R436" si="59">VLOOKUP(P373,A:B,2,0)</f>
        <v>#N/A</v>
      </c>
      <c r="S373" t="e">
        <f t="shared" ref="S373:S436" si="60">VLOOKUP(P373,A:E,4,0)</f>
        <v>#N/A</v>
      </c>
      <c r="T373" s="15" t="e">
        <f t="shared" ref="T373:T436" si="61">VLOOKUP(P373,A:K,5,0)</f>
        <v>#N/A</v>
      </c>
      <c r="U373" s="18" t="e">
        <f t="shared" ref="U373:U436" si="62">VLOOKUP(P373,A:K,8,0)</f>
        <v>#N/A</v>
      </c>
      <c r="V373" s="18" t="e">
        <f t="shared" ref="V373:V436" si="63">VLOOKUP(P373,A:K,10,0)</f>
        <v>#N/A</v>
      </c>
      <c r="W373" s="19" t="e">
        <f t="shared" ref="W373:W436" si="64">(V373-U373)*100</f>
        <v>#N/A</v>
      </c>
      <c r="X373" t="e">
        <f>VLOOKUP(P373,Close[[ID]:[CreatedBy]],8,0)</f>
        <v>#N/A</v>
      </c>
    </row>
    <row r="374" spans="1:24" x14ac:dyDescent="0.35">
      <c r="A374" t="str">
        <v>91282CCE9</v>
      </c>
      <c r="B374" t="str">
        <f>IF(NOT(ISBLANK(A374)),VLOOKUP(A374,'BBT3'!A:F,2,0),"")</f>
        <v>Bond</v>
      </c>
      <c r="C374" t="str">
        <f>IF(NOT(ISBLANK(A374)),VLOOKUP(A374,'BBT3'!A:F,3,0),"")</f>
        <v>US91282CCE93</v>
      </c>
      <c r="D374" s="5">
        <f>IF(NOT(ISBLANK(A374)),VLOOKUP(A374,'BBT3'!A:F,4,1),"")</f>
        <v>1.25</v>
      </c>
      <c r="E374">
        <f>IF(NOT(ISBLANK(A374)),VLOOKUP(A374,'BBT3'!A:F,5,0),"")</f>
        <v>46904</v>
      </c>
      <c r="F374" t="str">
        <f>IF(NOT(ISBLANK(A374)),VLOOKUP(A374,'BBT3'!A:F,6,0),"")</f>
        <v>N</v>
      </c>
      <c r="G374" t="str">
        <f t="shared" si="56"/>
        <v>N</v>
      </c>
      <c r="H374">
        <f>IF(NOT(ISBLANK(A374)),VLOOKUP(A374,'Close - PriceSaver'!A:J,5,0),"")</f>
        <v>4.2648072474616897E-2</v>
      </c>
      <c r="I374" s="4" cm="1">
        <f t="array" ref="I374">IF(NOT(ISBLANK(A374)),((_xlfn.XLOOKUP(1,(_bbt3[[#All],[ID]]=A374)*(_bbt3[[#All],[METRIC_NAME]]="YLD_YTM_ASK"),_bbt3[[#All],[METRIC_VALUE]])*0.5)+(_xlfn.XLOOKUP(1,(_bbt3[[#All],[ID]]=A374)*(_bbt3[[#All],[METRIC_NAME]]="YLD_YTM_BID"),_bbt3[[#All],[METRIC_VALUE]])*0.5))/100,"")</f>
        <v>4.2645000000000002E-2</v>
      </c>
      <c r="J374">
        <f>IF(ISNA(VLOOKUP(A374,'CloseDL - PriceSaverBBT3'!A:E,5,0)),0,VLOOKUP(A374,'CloseDL - PriceSaverBBT3'!A:E,5,0))</f>
        <v>4.2648072474616897E-2</v>
      </c>
      <c r="K374" s="7">
        <f t="shared" si="57"/>
        <v>0</v>
      </c>
      <c r="L374" s="20">
        <f>IF(Close[[#This Row],[CreatedBy]]="MARINER\SilverAdm",1,0)</f>
        <v>1</v>
      </c>
      <c r="M374" t="str">
        <f>IF(NOT(ISBLANK(A374)),VLOOKUP(A374,'Close - PriceSaver'!A:J,6,0),"")</f>
        <v>DL input prc = 94.66796875  PX_ASK = 94.67578125 PX_BID = 94.66015625</v>
      </c>
      <c r="Q374" t="e">
        <f t="shared" si="58"/>
        <v>#N/A</v>
      </c>
      <c r="R374" t="e">
        <f t="shared" si="59"/>
        <v>#N/A</v>
      </c>
      <c r="S374" t="e">
        <f t="shared" si="60"/>
        <v>#N/A</v>
      </c>
      <c r="T374" s="15" t="e">
        <f t="shared" si="61"/>
        <v>#N/A</v>
      </c>
      <c r="U374" s="18" t="e">
        <f t="shared" si="62"/>
        <v>#N/A</v>
      </c>
      <c r="V374" s="18" t="e">
        <f t="shared" si="63"/>
        <v>#N/A</v>
      </c>
      <c r="W374" s="19" t="e">
        <f t="shared" si="64"/>
        <v>#N/A</v>
      </c>
      <c r="X374" t="e">
        <f>VLOOKUP(P374,Close[[ID]:[CreatedBy]],8,0)</f>
        <v>#N/A</v>
      </c>
    </row>
    <row r="375" spans="1:24" x14ac:dyDescent="0.35">
      <c r="A375" t="str">
        <v>91282CCH2</v>
      </c>
      <c r="B375" t="str">
        <f>IF(NOT(ISBLANK(A375)),VLOOKUP(A375,'BBT3'!A:F,2,0),"")</f>
        <v>Bond</v>
      </c>
      <c r="C375" t="str">
        <f>IF(NOT(ISBLANK(A375)),VLOOKUP(A375,'BBT3'!A:F,3,0),"")</f>
        <v>US91282CCH25</v>
      </c>
      <c r="D375" s="5">
        <f>IF(NOT(ISBLANK(A375)),VLOOKUP(A375,'BBT3'!A:F,4,1),"")</f>
        <v>1.25</v>
      </c>
      <c r="E375">
        <f>IF(NOT(ISBLANK(A375)),VLOOKUP(A375,'BBT3'!A:F,5,0),"")</f>
        <v>46934</v>
      </c>
      <c r="F375" t="str">
        <f>IF(NOT(ISBLANK(A375)),VLOOKUP(A375,'BBT3'!A:F,6,0),"")</f>
        <v>N</v>
      </c>
      <c r="G375" t="str">
        <f t="shared" si="56"/>
        <v>N</v>
      </c>
      <c r="H375">
        <f>IF(NOT(ISBLANK(A375)),VLOOKUP(A375,'Close - PriceSaver'!A:J,5,0),"")</f>
        <v>4.2695527372224498E-2</v>
      </c>
      <c r="I375" s="4" cm="1">
        <f t="array" ref="I375">IF(NOT(ISBLANK(A375)),((_xlfn.XLOOKUP(1,(_bbt3[[#All],[ID]]=A375)*(_bbt3[[#All],[METRIC_NAME]]="YLD_YTM_ASK"),_bbt3[[#All],[METRIC_VALUE]])*0.5)+(_xlfn.XLOOKUP(1,(_bbt3[[#All],[ID]]=A375)*(_bbt3[[#All],[METRIC_NAME]]="YLD_YTM_BID"),_bbt3[[#All],[METRIC_VALUE]])*0.5))/100,"")</f>
        <v>4.2694999999999997E-2</v>
      </c>
      <c r="J375">
        <f>IF(ISNA(VLOOKUP(A375,'CloseDL - PriceSaverBBT3'!A:E,5,0)),0,VLOOKUP(A375,'CloseDL - PriceSaverBBT3'!A:E,5,0))</f>
        <v>4.2695527372224498E-2</v>
      </c>
      <c r="K375" s="7">
        <f t="shared" si="57"/>
        <v>0</v>
      </c>
      <c r="L375" s="20">
        <f>IF(Close[[#This Row],[CreatedBy]]="MARINER\SilverAdm",1,0)</f>
        <v>1</v>
      </c>
      <c r="M375" t="str">
        <f>IF(NOT(ISBLANK(A375)),VLOOKUP(A375,'Close - PriceSaver'!A:J,6,0),"")</f>
        <v>DL input prc = 94.43359375  PX_ASK = 94.44140625 PX_BID = 94.42578125</v>
      </c>
      <c r="Q375" t="e">
        <f t="shared" si="58"/>
        <v>#N/A</v>
      </c>
      <c r="R375" t="e">
        <f t="shared" si="59"/>
        <v>#N/A</v>
      </c>
      <c r="S375" t="e">
        <f t="shared" si="60"/>
        <v>#N/A</v>
      </c>
      <c r="T375" s="15" t="e">
        <f t="shared" si="61"/>
        <v>#N/A</v>
      </c>
      <c r="U375" s="18" t="e">
        <f t="shared" si="62"/>
        <v>#N/A</v>
      </c>
      <c r="V375" s="18" t="e">
        <f t="shared" si="63"/>
        <v>#N/A</v>
      </c>
      <c r="W375" s="19" t="e">
        <f t="shared" si="64"/>
        <v>#N/A</v>
      </c>
      <c r="X375" t="e">
        <f>VLOOKUP(P375,Close[[ID]:[CreatedBy]],8,0)</f>
        <v>#N/A</v>
      </c>
    </row>
    <row r="376" spans="1:24" x14ac:dyDescent="0.35">
      <c r="A376" t="str">
        <v>91282CCM1</v>
      </c>
      <c r="B376" t="str">
        <f>IF(NOT(ISBLANK(A376)),VLOOKUP(A376,'BBT3'!A:F,2,0),"")</f>
        <v>Bond</v>
      </c>
      <c r="C376" t="str">
        <f>IF(NOT(ISBLANK(A376)),VLOOKUP(A376,'BBT3'!A:F,3,0),"")</f>
        <v>US91282CCM10</v>
      </c>
      <c r="D376" s="5">
        <f>IF(NOT(ISBLANK(A376)),VLOOKUP(A376,'BBT3'!A:F,4,1),"")</f>
        <v>0.125</v>
      </c>
      <c r="E376">
        <f>IF(NOT(ISBLANK(A376)),VLOOKUP(A376,'BBT3'!A:F,5,0),"")</f>
        <v>48044</v>
      </c>
      <c r="F376" t="str">
        <f>IF(NOT(ISBLANK(A376)),VLOOKUP(A376,'BBT3'!A:F,6,0),"")</f>
        <v>Y</v>
      </c>
      <c r="G376" t="str">
        <f t="shared" si="56"/>
        <v>N</v>
      </c>
      <c r="H376">
        <f>IF(NOT(ISBLANK(A376)),VLOOKUP(A376,'Close - PriceSaver'!A:J,5,0),"")</f>
        <v>1.97135758891138E-2</v>
      </c>
      <c r="I376" s="4" t="e" cm="1">
        <f t="array" ref="I376">IF(NOT(ISBLANK(A376)),((_xlfn.XLOOKUP(1,(_bbt3[[#All],[ID]]=A376)*(_bbt3[[#All],[METRIC_NAME]]="YLD_YTM_ASK"),_bbt3[[#All],[METRIC_VALUE]])*0.5)+(_xlfn.XLOOKUP(1,(_bbt3[[#All],[ID]]=A376)*(_bbt3[[#All],[METRIC_NAME]]="YLD_YTM_BID"),_bbt3[[#All],[METRIC_VALUE]])*0.5))/100,"")</f>
        <v>#N/A</v>
      </c>
      <c r="J376">
        <f>IF(ISNA(VLOOKUP(A376,'CloseDL - PriceSaverBBT3'!A:E,5,0)),0,VLOOKUP(A376,'CloseDL - PriceSaverBBT3'!A:E,5,0))</f>
        <v>1.97135758891138E-2</v>
      </c>
      <c r="K376" s="7">
        <f t="shared" si="57"/>
        <v>0</v>
      </c>
      <c r="L376" s="20">
        <f>IF(Close[[#This Row],[CreatedBy]]="MARINER\SilverAdm",1,0)</f>
        <v>1</v>
      </c>
      <c r="M376" t="str">
        <f>IF(NOT(ISBLANK(A376)),VLOOKUP(A376,'Close - PriceSaver'!A:J,6,0),"")</f>
        <v>DL input prc = 91.28125000  PX_ASK = 91.30468750 PX_BID = 91.25781250</v>
      </c>
      <c r="Q376" t="e">
        <f t="shared" si="58"/>
        <v>#N/A</v>
      </c>
      <c r="R376" t="e">
        <f t="shared" si="59"/>
        <v>#N/A</v>
      </c>
      <c r="S376" t="e">
        <f t="shared" si="60"/>
        <v>#N/A</v>
      </c>
      <c r="T376" s="15" t="e">
        <f t="shared" si="61"/>
        <v>#N/A</v>
      </c>
      <c r="U376" s="18" t="e">
        <f t="shared" si="62"/>
        <v>#N/A</v>
      </c>
      <c r="V376" s="18" t="e">
        <f t="shared" si="63"/>
        <v>#N/A</v>
      </c>
      <c r="W376" s="19" t="e">
        <f t="shared" si="64"/>
        <v>#N/A</v>
      </c>
      <c r="X376" t="e">
        <f>VLOOKUP(P376,Close[[ID]:[CreatedBy]],8,0)</f>
        <v>#N/A</v>
      </c>
    </row>
    <row r="377" spans="1:24" x14ac:dyDescent="0.35">
      <c r="A377" t="str">
        <v>91282CCP4</v>
      </c>
      <c r="B377" t="str">
        <f>IF(NOT(ISBLANK(A377)),VLOOKUP(A377,'BBT3'!A:F,2,0),"")</f>
        <v>Bond</v>
      </c>
      <c r="C377" t="str">
        <f>IF(NOT(ISBLANK(A377)),VLOOKUP(A377,'BBT3'!A:F,3,0),"")</f>
        <v>US91282CCP41</v>
      </c>
      <c r="D377" s="5">
        <f>IF(NOT(ISBLANK(A377)),VLOOKUP(A377,'BBT3'!A:F,4,1),"")</f>
        <v>0.625</v>
      </c>
      <c r="E377">
        <f>IF(NOT(ISBLANK(A377)),VLOOKUP(A377,'BBT3'!A:F,5,0),"")</f>
        <v>46234</v>
      </c>
      <c r="F377" t="str">
        <f>IF(NOT(ISBLANK(A377)),VLOOKUP(A377,'BBT3'!A:F,6,0),"")</f>
        <v>N</v>
      </c>
      <c r="G377" t="str">
        <f t="shared" si="56"/>
        <v>N</v>
      </c>
      <c r="H377">
        <f>IF(NOT(ISBLANK(A377)),VLOOKUP(A377,'Close - PriceSaver'!A:J,5,0),"")</f>
        <v>3.6022193793169101E-2</v>
      </c>
      <c r="I377" s="4" cm="1">
        <f t="array" ref="I377">IF(NOT(ISBLANK(A377)),((_xlfn.XLOOKUP(1,(_bbt3[[#All],[ID]]=A377)*(_bbt3[[#All],[METRIC_NAME]]="YLD_YTM_ASK"),_bbt3[[#All],[METRIC_VALUE]])*0.5)+(_xlfn.XLOOKUP(1,(_bbt3[[#All],[ID]]=A377)*(_bbt3[[#All],[METRIC_NAME]]="YLD_YTM_BID"),_bbt3[[#All],[METRIC_VALUE]])*0.5))/100,"")</f>
        <v>3.6019999999999996E-2</v>
      </c>
      <c r="J377">
        <f>IF(ISNA(VLOOKUP(A377,'CloseDL - PriceSaverBBT3'!A:E,5,0)),0,VLOOKUP(A377,'CloseDL - PriceSaverBBT3'!A:E,5,0))</f>
        <v>3.6022193793169101E-2</v>
      </c>
      <c r="K377" s="7">
        <f t="shared" si="57"/>
        <v>0</v>
      </c>
      <c r="L377" s="20">
        <f>IF(Close[[#This Row],[CreatedBy]]="MARINER\SilverAdm",1,0)</f>
        <v>1</v>
      </c>
      <c r="M377" t="str">
        <f>IF(NOT(ISBLANK(A377)),VLOOKUP(A377,'Close - PriceSaver'!A:J,6,0),"")</f>
        <v>DL input prc = 99.92578125  PX_ASK = 99.93359375 PX_BID = 99.91796875</v>
      </c>
      <c r="Q377" t="e">
        <f t="shared" si="58"/>
        <v>#N/A</v>
      </c>
      <c r="R377" t="e">
        <f t="shared" si="59"/>
        <v>#N/A</v>
      </c>
      <c r="S377" t="e">
        <f t="shared" si="60"/>
        <v>#N/A</v>
      </c>
      <c r="T377" s="15" t="e">
        <f t="shared" si="61"/>
        <v>#N/A</v>
      </c>
      <c r="U377" s="18" t="e">
        <f t="shared" si="62"/>
        <v>#N/A</v>
      </c>
      <c r="V377" s="18" t="e">
        <f t="shared" si="63"/>
        <v>#N/A</v>
      </c>
      <c r="W377" s="19" t="e">
        <f t="shared" si="64"/>
        <v>#N/A</v>
      </c>
      <c r="X377" t="e">
        <f>VLOOKUP(P377,Close[[ID]:[CreatedBy]],8,0)</f>
        <v>#N/A</v>
      </c>
    </row>
    <row r="378" spans="1:24" x14ac:dyDescent="0.35">
      <c r="A378" t="str">
        <v>91282CCR0</v>
      </c>
      <c r="B378" t="str">
        <f>IF(NOT(ISBLANK(A378)),VLOOKUP(A378,'BBT3'!A:F,2,0),"")</f>
        <v>Bond</v>
      </c>
      <c r="C378" t="str">
        <f>IF(NOT(ISBLANK(A378)),VLOOKUP(A378,'BBT3'!A:F,3,0),"")</f>
        <v>US91282CCR07</v>
      </c>
      <c r="D378" s="5">
        <f>IF(NOT(ISBLANK(A378)),VLOOKUP(A378,'BBT3'!A:F,4,1),"")</f>
        <v>1</v>
      </c>
      <c r="E378">
        <f>IF(NOT(ISBLANK(A378)),VLOOKUP(A378,'BBT3'!A:F,5,0),"")</f>
        <v>46965</v>
      </c>
      <c r="F378" t="str">
        <f>IF(NOT(ISBLANK(A378)),VLOOKUP(A378,'BBT3'!A:F,6,0),"")</f>
        <v>N</v>
      </c>
      <c r="G378" t="str">
        <f t="shared" si="56"/>
        <v>N</v>
      </c>
      <c r="H378">
        <f>IF(NOT(ISBLANK(A378)),VLOOKUP(A378,'Close - PriceSaver'!A:J,5,0),"")</f>
        <v>4.2720465469781699E-2</v>
      </c>
      <c r="I378" s="4" cm="1">
        <f t="array" ref="I378">IF(NOT(ISBLANK(A378)),((_xlfn.XLOOKUP(1,(_bbt3[[#All],[ID]]=A378)*(_bbt3[[#All],[METRIC_NAME]]="YLD_YTM_ASK"),_bbt3[[#All],[METRIC_VALUE]])*0.5)+(_xlfn.XLOOKUP(1,(_bbt3[[#All],[ID]]=A378)*(_bbt3[[#All],[METRIC_NAME]]="YLD_YTM_BID"),_bbt3[[#All],[METRIC_VALUE]])*0.5))/100,"")</f>
        <v>4.2720000000000001E-2</v>
      </c>
      <c r="J378">
        <f>IF(ISNA(VLOOKUP(A378,'CloseDL - PriceSaverBBT3'!A:E,5,0)),0,VLOOKUP(A378,'CloseDL - PriceSaverBBT3'!A:E,5,0))</f>
        <v>4.2720465469781699E-2</v>
      </c>
      <c r="K378" s="7">
        <f t="shared" si="57"/>
        <v>0</v>
      </c>
      <c r="L378" s="20">
        <f>IF(Close[[#This Row],[CreatedBy]]="MARINER\SilverAdm",1,0)</f>
        <v>1</v>
      </c>
      <c r="M378" t="str">
        <f>IF(NOT(ISBLANK(A378)),VLOOKUP(A378,'Close - PriceSaver'!A:J,6,0),"")</f>
        <v>DL input prc = 93.71679688  PX_ASK = 93.72656250 PX_BID = 93.70703125</v>
      </c>
      <c r="Q378" t="e">
        <f t="shared" si="58"/>
        <v>#N/A</v>
      </c>
      <c r="R378" t="e">
        <f t="shared" si="59"/>
        <v>#N/A</v>
      </c>
      <c r="S378" t="e">
        <f t="shared" si="60"/>
        <v>#N/A</v>
      </c>
      <c r="T378" s="15" t="e">
        <f t="shared" si="61"/>
        <v>#N/A</v>
      </c>
      <c r="U378" s="18" t="e">
        <f t="shared" si="62"/>
        <v>#N/A</v>
      </c>
      <c r="V378" s="18" t="e">
        <f t="shared" si="63"/>
        <v>#N/A</v>
      </c>
      <c r="W378" s="19" t="e">
        <f t="shared" si="64"/>
        <v>#N/A</v>
      </c>
      <c r="X378" t="e">
        <f>VLOOKUP(P378,Close[[ID]:[CreatedBy]],8,0)</f>
        <v>#N/A</v>
      </c>
    </row>
    <row r="379" spans="1:24" x14ac:dyDescent="0.35">
      <c r="A379" t="str">
        <v>91282CCS8</v>
      </c>
      <c r="B379" t="str">
        <f>IF(NOT(ISBLANK(A379)),VLOOKUP(A379,'BBT3'!A:F,2,0),"")</f>
        <v>Bond</v>
      </c>
      <c r="C379" t="str">
        <f>IF(NOT(ISBLANK(A379)),VLOOKUP(A379,'BBT3'!A:F,3,0),"")</f>
        <v>US91282CCS89</v>
      </c>
      <c r="D379" s="5">
        <f>IF(NOT(ISBLANK(A379)),VLOOKUP(A379,'BBT3'!A:F,4,1),"")</f>
        <v>1.25</v>
      </c>
      <c r="E379">
        <f>IF(NOT(ISBLANK(A379)),VLOOKUP(A379,'BBT3'!A:F,5,0),"")</f>
        <v>48075</v>
      </c>
      <c r="F379" t="str">
        <f>IF(NOT(ISBLANK(A379)),VLOOKUP(A379,'BBT3'!A:F,6,0),"")</f>
        <v>N</v>
      </c>
      <c r="G379" t="str">
        <f t="shared" si="56"/>
        <v>N</v>
      </c>
      <c r="H379">
        <f>IF(NOT(ISBLANK(A379)),VLOOKUP(A379,'Close - PriceSaver'!A:J,5,0),"")</f>
        <v>4.3849938583548999E-2</v>
      </c>
      <c r="I379" s="4" cm="1">
        <f t="array" ref="I379">IF(NOT(ISBLANK(A379)),((_xlfn.XLOOKUP(1,(_bbt3[[#All],[ID]]=A379)*(_bbt3[[#All],[METRIC_NAME]]="YLD_YTM_ASK"),_bbt3[[#All],[METRIC_VALUE]])*0.5)+(_xlfn.XLOOKUP(1,(_bbt3[[#All],[ID]]=A379)*(_bbt3[[#All],[METRIC_NAME]]="YLD_YTM_BID"),_bbt3[[#All],[METRIC_VALUE]])*0.5))/100,"")</f>
        <v>4.385E-2</v>
      </c>
      <c r="J379">
        <f>IF(ISNA(VLOOKUP(A379,'CloseDL - PriceSaverBBT3'!A:E,5,0)),0,VLOOKUP(A379,'CloseDL - PriceSaverBBT3'!A:E,5,0))</f>
        <v>4.3849938583548999E-2</v>
      </c>
      <c r="K379" s="7">
        <f t="shared" si="57"/>
        <v>0</v>
      </c>
      <c r="L379" s="20">
        <f>IF(Close[[#This Row],[CreatedBy]]="MARINER\SilverAdm",1,0)</f>
        <v>1</v>
      </c>
      <c r="M379" t="str">
        <f>IF(NOT(ISBLANK(A379)),VLOOKUP(A379,'Close - PriceSaver'!A:J,6,0),"")</f>
        <v>DL input prc = 85.89453125  PX_ASK = 85.91406250 PX_BID = 85.87500000</v>
      </c>
      <c r="Q379" t="e">
        <f t="shared" si="58"/>
        <v>#N/A</v>
      </c>
      <c r="R379" t="e">
        <f t="shared" si="59"/>
        <v>#N/A</v>
      </c>
      <c r="S379" t="e">
        <f t="shared" si="60"/>
        <v>#N/A</v>
      </c>
      <c r="T379" s="15" t="e">
        <f t="shared" si="61"/>
        <v>#N/A</v>
      </c>
      <c r="U379" s="18" t="e">
        <f t="shared" si="62"/>
        <v>#N/A</v>
      </c>
      <c r="V379" s="18" t="e">
        <f t="shared" si="63"/>
        <v>#N/A</v>
      </c>
      <c r="W379" s="19" t="e">
        <f t="shared" si="64"/>
        <v>#N/A</v>
      </c>
      <c r="X379" t="e">
        <f>VLOOKUP(P379,Close[[ID]:[CreatedBy]],8,0)</f>
        <v>#N/A</v>
      </c>
    </row>
    <row r="380" spans="1:24" x14ac:dyDescent="0.35">
      <c r="A380" t="str">
        <v>91282CCV1</v>
      </c>
      <c r="B380" t="str">
        <f>IF(NOT(ISBLANK(A380)),VLOOKUP(A380,'BBT3'!A:F,2,0),"")</f>
        <v>Bond</v>
      </c>
      <c r="C380" t="str">
        <f>IF(NOT(ISBLANK(A380)),VLOOKUP(A380,'BBT3'!A:F,3,0),"")</f>
        <v>US91282CCV19</v>
      </c>
      <c r="D380" s="5">
        <f>IF(NOT(ISBLANK(A380)),VLOOKUP(A380,'BBT3'!A:F,4,1),"")</f>
        <v>1.125</v>
      </c>
      <c r="E380">
        <f>IF(NOT(ISBLANK(A380)),VLOOKUP(A380,'BBT3'!A:F,5,0),"")</f>
        <v>46996</v>
      </c>
      <c r="F380" t="str">
        <f>IF(NOT(ISBLANK(A380)),VLOOKUP(A380,'BBT3'!A:F,6,0),"")</f>
        <v>N</v>
      </c>
      <c r="G380" t="str">
        <f t="shared" si="56"/>
        <v>N</v>
      </c>
      <c r="H380">
        <f>IF(NOT(ISBLANK(A380)),VLOOKUP(A380,'Close - PriceSaver'!A:J,5,0),"")</f>
        <v>4.28124212836479E-2</v>
      </c>
      <c r="I380" s="4" cm="1">
        <f t="array" ref="I380">IF(NOT(ISBLANK(A380)),((_xlfn.XLOOKUP(1,(_bbt3[[#All],[ID]]=A380)*(_bbt3[[#All],[METRIC_NAME]]="YLD_YTM_ASK"),_bbt3[[#All],[METRIC_VALUE]])*0.5)+(_xlfn.XLOOKUP(1,(_bbt3[[#All],[ID]]=A380)*(_bbt3[[#All],[METRIC_NAME]]="YLD_YTM_BID"),_bbt3[[#All],[METRIC_VALUE]])*0.5))/100,"")</f>
        <v>4.2810000000000008E-2</v>
      </c>
      <c r="J380">
        <f>IF(ISNA(VLOOKUP(A380,'CloseDL - PriceSaverBBT3'!A:E,5,0)),0,VLOOKUP(A380,'CloseDL - PriceSaverBBT3'!A:E,5,0))</f>
        <v>4.28124212836479E-2</v>
      </c>
      <c r="K380" s="7">
        <f t="shared" si="57"/>
        <v>0</v>
      </c>
      <c r="L380" s="20">
        <f>IF(Close[[#This Row],[CreatedBy]]="MARINER\SilverAdm",1,0)</f>
        <v>1</v>
      </c>
      <c r="M380" t="str">
        <f>IF(NOT(ISBLANK(A380)),VLOOKUP(A380,'Close - PriceSaver'!A:J,6,0),"")</f>
        <v>DL input prc = 93.69921875  PX_ASK = 93.71875000 PX_BID = 93.67968750</v>
      </c>
      <c r="Q380" t="e">
        <f t="shared" si="58"/>
        <v>#N/A</v>
      </c>
      <c r="R380" t="e">
        <f t="shared" si="59"/>
        <v>#N/A</v>
      </c>
      <c r="S380" t="e">
        <f t="shared" si="60"/>
        <v>#N/A</v>
      </c>
      <c r="T380" s="15" t="e">
        <f t="shared" si="61"/>
        <v>#N/A</v>
      </c>
      <c r="U380" s="18" t="e">
        <f t="shared" si="62"/>
        <v>#N/A</v>
      </c>
      <c r="V380" s="18" t="e">
        <f t="shared" si="63"/>
        <v>#N/A</v>
      </c>
      <c r="W380" s="19" t="e">
        <f t="shared" si="64"/>
        <v>#N/A</v>
      </c>
      <c r="X380" t="e">
        <f>VLOOKUP(P380,Close[[ID]:[CreatedBy]],8,0)</f>
        <v>#N/A</v>
      </c>
    </row>
    <row r="381" spans="1:24" x14ac:dyDescent="0.35">
      <c r="A381" t="str">
        <v>91282CCW9</v>
      </c>
      <c r="B381" t="str">
        <f>IF(NOT(ISBLANK(A381)),VLOOKUP(A381,'BBT3'!A:F,2,0),"")</f>
        <v>Bond</v>
      </c>
      <c r="C381" t="str">
        <f>IF(NOT(ISBLANK(A381)),VLOOKUP(A381,'BBT3'!A:F,3,0),"")</f>
        <v>US91282CCW91</v>
      </c>
      <c r="D381" s="5">
        <f>IF(NOT(ISBLANK(A381)),VLOOKUP(A381,'BBT3'!A:F,4,1),"")</f>
        <v>0.75</v>
      </c>
      <c r="E381">
        <f>IF(NOT(ISBLANK(A381)),VLOOKUP(A381,'BBT3'!A:F,5,0),"")</f>
        <v>46265</v>
      </c>
      <c r="F381" t="str">
        <f>IF(NOT(ISBLANK(A381)),VLOOKUP(A381,'BBT3'!A:F,6,0),"")</f>
        <v>N</v>
      </c>
      <c r="G381" t="str">
        <f t="shared" si="56"/>
        <v>N</v>
      </c>
      <c r="H381">
        <f>IF(NOT(ISBLANK(A381)),VLOOKUP(A381,'Close - PriceSaver'!A:J,5,0),"")</f>
        <v>3.7339603376718301E-2</v>
      </c>
      <c r="I381" s="4" cm="1">
        <f t="array" ref="I381">IF(NOT(ISBLANK(A381)),((_xlfn.XLOOKUP(1,(_bbt3[[#All],[ID]]=A381)*(_bbt3[[#All],[METRIC_NAME]]="YLD_YTM_ASK"),_bbt3[[#All],[METRIC_VALUE]])*0.5)+(_xlfn.XLOOKUP(1,(_bbt3[[#All],[ID]]=A381)*(_bbt3[[#All],[METRIC_NAME]]="YLD_YTM_BID"),_bbt3[[#All],[METRIC_VALUE]])*0.5))/100,"")</f>
        <v>3.7339999999999998E-2</v>
      </c>
      <c r="J381">
        <f>IF(ISNA(VLOOKUP(A381,'CloseDL - PriceSaverBBT3'!A:E,5,0)),0,VLOOKUP(A381,'CloseDL - PriceSaverBBT3'!A:E,5,0))</f>
        <v>3.7339603376718301E-2</v>
      </c>
      <c r="K381" s="7">
        <f t="shared" si="57"/>
        <v>0</v>
      </c>
      <c r="L381" s="20">
        <f>IF(Close[[#This Row],[CreatedBy]]="MARINER\SilverAdm",1,0)</f>
        <v>1</v>
      </c>
      <c r="M381" t="str">
        <f>IF(NOT(ISBLANK(A381)),VLOOKUP(A381,'Close - PriceSaver'!A:J,6,0),"")</f>
        <v>DL input prc = 99.67578125  PX_ASK = 99.68750000 PX_BID = 99.66406250</v>
      </c>
      <c r="Q381" t="e">
        <f t="shared" si="58"/>
        <v>#N/A</v>
      </c>
      <c r="R381" t="e">
        <f t="shared" si="59"/>
        <v>#N/A</v>
      </c>
      <c r="S381" t="e">
        <f t="shared" si="60"/>
        <v>#N/A</v>
      </c>
      <c r="T381" s="15" t="e">
        <f t="shared" si="61"/>
        <v>#N/A</v>
      </c>
      <c r="U381" s="18" t="e">
        <f t="shared" si="62"/>
        <v>#N/A</v>
      </c>
      <c r="V381" s="18" t="e">
        <f t="shared" si="63"/>
        <v>#N/A</v>
      </c>
      <c r="W381" s="19" t="e">
        <f t="shared" si="64"/>
        <v>#N/A</v>
      </c>
      <c r="X381" t="e">
        <f>VLOOKUP(P381,Close[[ID]:[CreatedBy]],8,0)</f>
        <v>#N/A</v>
      </c>
    </row>
    <row r="382" spans="1:24" x14ac:dyDescent="0.35">
      <c r="A382" t="str">
        <v>91282CCY5</v>
      </c>
      <c r="B382" t="str">
        <f>IF(NOT(ISBLANK(A382)),VLOOKUP(A382,'BBT3'!A:F,2,0),"")</f>
        <v>Bond</v>
      </c>
      <c r="C382" t="str">
        <f>IF(NOT(ISBLANK(A382)),VLOOKUP(A382,'BBT3'!A:F,3,0),"")</f>
        <v>US91282CCY57</v>
      </c>
      <c r="D382" s="5">
        <f>IF(NOT(ISBLANK(A382)),VLOOKUP(A382,'BBT3'!A:F,4,1),"")</f>
        <v>1.25</v>
      </c>
      <c r="E382">
        <f>IF(NOT(ISBLANK(A382)),VLOOKUP(A382,'BBT3'!A:F,5,0),"")</f>
        <v>47026</v>
      </c>
      <c r="F382" t="str">
        <f>IF(NOT(ISBLANK(A382)),VLOOKUP(A382,'BBT3'!A:F,6,0),"")</f>
        <v>N</v>
      </c>
      <c r="G382" t="str">
        <f t="shared" si="56"/>
        <v>N</v>
      </c>
      <c r="H382">
        <f>IF(NOT(ISBLANK(A382)),VLOOKUP(A382,'Close - PriceSaver'!A:J,5,0),"")</f>
        <v>4.2868537395580497E-2</v>
      </c>
      <c r="I382" s="4" cm="1">
        <f t="array" ref="I382">IF(NOT(ISBLANK(A382)),((_xlfn.XLOOKUP(1,(_bbt3[[#All],[ID]]=A382)*(_bbt3[[#All],[METRIC_NAME]]="YLD_YTM_ASK"),_bbt3[[#All],[METRIC_VALUE]])*0.5)+(_xlfn.XLOOKUP(1,(_bbt3[[#All],[ID]]=A382)*(_bbt3[[#All],[METRIC_NAME]]="YLD_YTM_BID"),_bbt3[[#All],[METRIC_VALUE]])*0.5))/100,"")</f>
        <v>4.2870000000000005E-2</v>
      </c>
      <c r="J382">
        <f>IF(ISNA(VLOOKUP(A382,'CloseDL - PriceSaverBBT3'!A:E,5,0)),0,VLOOKUP(A382,'CloseDL - PriceSaverBBT3'!A:E,5,0))</f>
        <v>4.2868537395580497E-2</v>
      </c>
      <c r="K382" s="7">
        <f t="shared" si="57"/>
        <v>0</v>
      </c>
      <c r="L382" s="20">
        <f>IF(Close[[#This Row],[CreatedBy]]="MARINER\SilverAdm",1,0)</f>
        <v>1</v>
      </c>
      <c r="M382" t="str">
        <f>IF(NOT(ISBLANK(A382)),VLOOKUP(A382,'Close - PriceSaver'!A:J,6,0),"")</f>
        <v>DL input prc = 93.71093750  PX_ASK = 93.73437500 PX_BID = 93.68750000</v>
      </c>
      <c r="Q382" t="e">
        <f t="shared" si="58"/>
        <v>#N/A</v>
      </c>
      <c r="R382" t="e">
        <f t="shared" si="59"/>
        <v>#N/A</v>
      </c>
      <c r="S382" t="e">
        <f t="shared" si="60"/>
        <v>#N/A</v>
      </c>
      <c r="T382" s="15" t="e">
        <f t="shared" si="61"/>
        <v>#N/A</v>
      </c>
      <c r="U382" s="18" t="e">
        <f t="shared" si="62"/>
        <v>#N/A</v>
      </c>
      <c r="V382" s="18" t="e">
        <f t="shared" si="63"/>
        <v>#N/A</v>
      </c>
      <c r="W382" s="19" t="e">
        <f t="shared" si="64"/>
        <v>#N/A</v>
      </c>
      <c r="X382" t="e">
        <f>VLOOKUP(P382,Close[[ID]:[CreatedBy]],8,0)</f>
        <v>#N/A</v>
      </c>
    </row>
    <row r="383" spans="1:24" x14ac:dyDescent="0.35">
      <c r="A383" t="str">
        <v>91282CCZ2</v>
      </c>
      <c r="B383" t="str">
        <f>IF(NOT(ISBLANK(A383)),VLOOKUP(A383,'BBT3'!A:F,2,0),"")</f>
        <v>Bond</v>
      </c>
      <c r="C383" t="str">
        <f>IF(NOT(ISBLANK(A383)),VLOOKUP(A383,'BBT3'!A:F,3,0),"")</f>
        <v>US91282CCZ23</v>
      </c>
      <c r="D383" s="5">
        <f>IF(NOT(ISBLANK(A383)),VLOOKUP(A383,'BBT3'!A:F,4,1),"")</f>
        <v>0.875</v>
      </c>
      <c r="E383">
        <f>IF(NOT(ISBLANK(A383)),VLOOKUP(A383,'BBT3'!A:F,5,0),"")</f>
        <v>46295</v>
      </c>
      <c r="F383" t="str">
        <f>IF(NOT(ISBLANK(A383)),VLOOKUP(A383,'BBT3'!A:F,6,0),"")</f>
        <v>N</v>
      </c>
      <c r="G383" t="str">
        <f t="shared" si="56"/>
        <v>N</v>
      </c>
      <c r="H383">
        <f>IF(NOT(ISBLANK(A383)),VLOOKUP(A383,'Close - PriceSaver'!A:J,5,0),"")</f>
        <v>3.7653658902198101E-2</v>
      </c>
      <c r="I383" s="4" cm="1">
        <f t="array" ref="I383">IF(NOT(ISBLANK(A383)),((_xlfn.XLOOKUP(1,(_bbt3[[#All],[ID]]=A383)*(_bbt3[[#All],[METRIC_NAME]]="YLD_YTM_ASK"),_bbt3[[#All],[METRIC_VALUE]])*0.5)+(_xlfn.XLOOKUP(1,(_bbt3[[#All],[ID]]=A383)*(_bbt3[[#All],[METRIC_NAME]]="YLD_YTM_BID"),_bbt3[[#All],[METRIC_VALUE]])*0.5))/100,"")</f>
        <v>3.7655000000000001E-2</v>
      </c>
      <c r="J383">
        <f>IF(ISNA(VLOOKUP(A383,'CloseDL - PriceSaverBBT3'!A:E,5,0)),0,VLOOKUP(A383,'CloseDL - PriceSaverBBT3'!A:E,5,0))</f>
        <v>3.7653658902198101E-2</v>
      </c>
      <c r="K383" s="7">
        <f t="shared" si="57"/>
        <v>0</v>
      </c>
      <c r="L383" s="20">
        <f>IF(Close[[#This Row],[CreatedBy]]="MARINER\SilverAdm",1,0)</f>
        <v>1</v>
      </c>
      <c r="M383" t="str">
        <f>IF(NOT(ISBLANK(A383)),VLOOKUP(A383,'Close - PriceSaver'!A:J,6,0),"")</f>
        <v>DL input prc = 99.44921875  PX_ASK = 99.45703125 PX_BID = 99.44140625</v>
      </c>
      <c r="Q383" t="e">
        <f t="shared" si="58"/>
        <v>#N/A</v>
      </c>
      <c r="R383" t="e">
        <f t="shared" si="59"/>
        <v>#N/A</v>
      </c>
      <c r="S383" t="e">
        <f t="shared" si="60"/>
        <v>#N/A</v>
      </c>
      <c r="T383" s="15" t="e">
        <f t="shared" si="61"/>
        <v>#N/A</v>
      </c>
      <c r="U383" s="18" t="e">
        <f t="shared" si="62"/>
        <v>#N/A</v>
      </c>
      <c r="V383" s="18" t="e">
        <f t="shared" si="63"/>
        <v>#N/A</v>
      </c>
      <c r="W383" s="19" t="e">
        <f t="shared" si="64"/>
        <v>#N/A</v>
      </c>
      <c r="X383" t="e">
        <f>VLOOKUP(P383,Close[[ID]:[CreatedBy]],8,0)</f>
        <v>#N/A</v>
      </c>
    </row>
    <row r="384" spans="1:24" x14ac:dyDescent="0.35">
      <c r="A384" t="str">
        <v>91282CDC2</v>
      </c>
      <c r="B384" t="str">
        <f>IF(NOT(ISBLANK(A384)),VLOOKUP(A384,'BBT3'!A:F,2,0),"")</f>
        <v>Bond</v>
      </c>
      <c r="C384" t="str">
        <f>IF(NOT(ISBLANK(A384)),VLOOKUP(A384,'BBT3'!A:F,3,0),"")</f>
        <v>US91282CDC29</v>
      </c>
      <c r="D384" s="5">
        <f>IF(NOT(ISBLANK(A384)),VLOOKUP(A384,'BBT3'!A:F,4,1),"")</f>
        <v>0.125</v>
      </c>
      <c r="E384">
        <f>IF(NOT(ISBLANK(A384)),VLOOKUP(A384,'BBT3'!A:F,5,0),"")</f>
        <v>46310</v>
      </c>
      <c r="F384" t="str">
        <f>IF(NOT(ISBLANK(A384)),VLOOKUP(A384,'BBT3'!A:F,6,0),"")</f>
        <v>Y</v>
      </c>
      <c r="G384" t="str">
        <f t="shared" si="56"/>
        <v>N</v>
      </c>
      <c r="H384">
        <f>IF(NOT(ISBLANK(A384)),VLOOKUP(A384,'Close - PriceSaver'!A:J,5,0),"")</f>
        <v>3.41277162778095E-2</v>
      </c>
      <c r="I384" s="4" t="e" cm="1">
        <f t="array" ref="I384">IF(NOT(ISBLANK(A384)),((_xlfn.XLOOKUP(1,(_bbt3[[#All],[ID]]=A384)*(_bbt3[[#All],[METRIC_NAME]]="YLD_YTM_ASK"),_bbt3[[#All],[METRIC_VALUE]])*0.5)+(_xlfn.XLOOKUP(1,(_bbt3[[#All],[ID]]=A384)*(_bbt3[[#All],[METRIC_NAME]]="YLD_YTM_BID"),_bbt3[[#All],[METRIC_VALUE]])*0.5))/100,"")</f>
        <v>#N/A</v>
      </c>
      <c r="J384">
        <f>IF(ISNA(VLOOKUP(A384,'CloseDL - PriceSaverBBT3'!A:E,5,0)),0,VLOOKUP(A384,'CloseDL - PriceSaverBBT3'!A:E,5,0))</f>
        <v>3.41277162778095E-2</v>
      </c>
      <c r="K384" s="7">
        <f t="shared" si="57"/>
        <v>0</v>
      </c>
      <c r="L384" s="20">
        <f>IF(Close[[#This Row],[CreatedBy]]="MARINER\SilverAdm",1,0)</f>
        <v>1</v>
      </c>
      <c r="M384" t="str">
        <f>IF(NOT(ISBLANK(A384)),VLOOKUP(A384,'Close - PriceSaver'!A:J,6,0),"")</f>
        <v>DL input prc = 99.24218750  PX_ASK = 99.28125000 PX_BID = 99.20312500</v>
      </c>
      <c r="Q384" t="e">
        <f t="shared" si="58"/>
        <v>#N/A</v>
      </c>
      <c r="R384" t="e">
        <f t="shared" si="59"/>
        <v>#N/A</v>
      </c>
      <c r="S384" t="e">
        <f t="shared" si="60"/>
        <v>#N/A</v>
      </c>
      <c r="T384" s="15" t="e">
        <f t="shared" si="61"/>
        <v>#N/A</v>
      </c>
      <c r="U384" s="18" t="e">
        <f t="shared" si="62"/>
        <v>#N/A</v>
      </c>
      <c r="V384" s="18" t="e">
        <f t="shared" si="63"/>
        <v>#N/A</v>
      </c>
      <c r="W384" s="19" t="e">
        <f t="shared" si="64"/>
        <v>#N/A</v>
      </c>
      <c r="X384" t="e">
        <f>VLOOKUP(P384,Close[[ID]:[CreatedBy]],8,0)</f>
        <v>#N/A</v>
      </c>
    </row>
    <row r="385" spans="1:24" x14ac:dyDescent="0.35">
      <c r="A385" t="str">
        <v>91282CDF5</v>
      </c>
      <c r="B385" t="str">
        <f>IF(NOT(ISBLANK(A385)),VLOOKUP(A385,'BBT3'!A:F,2,0),"")</f>
        <v>Bond</v>
      </c>
      <c r="C385" t="str">
        <f>IF(NOT(ISBLANK(A385)),VLOOKUP(A385,'BBT3'!A:F,3,0),"")</f>
        <v>US91282CDF59</v>
      </c>
      <c r="D385" s="5">
        <f>IF(NOT(ISBLANK(A385)),VLOOKUP(A385,'BBT3'!A:F,4,1),"")</f>
        <v>1.375</v>
      </c>
      <c r="E385">
        <f>IF(NOT(ISBLANK(A385)),VLOOKUP(A385,'BBT3'!A:F,5,0),"")</f>
        <v>47057</v>
      </c>
      <c r="F385" t="str">
        <f>IF(NOT(ISBLANK(A385)),VLOOKUP(A385,'BBT3'!A:F,6,0),"")</f>
        <v>N</v>
      </c>
      <c r="G385" t="str">
        <f t="shared" si="56"/>
        <v>N</v>
      </c>
      <c r="H385">
        <f>IF(NOT(ISBLANK(A385)),VLOOKUP(A385,'Close - PriceSaver'!A:J,5,0),"")</f>
        <v>4.2875589134493998E-2</v>
      </c>
      <c r="I385" s="4" cm="1">
        <f t="array" ref="I385">IF(NOT(ISBLANK(A385)),((_xlfn.XLOOKUP(1,(_bbt3[[#All],[ID]]=A385)*(_bbt3[[#All],[METRIC_NAME]]="YLD_YTM_ASK"),_bbt3[[#All],[METRIC_VALUE]])*0.5)+(_xlfn.XLOOKUP(1,(_bbt3[[#All],[ID]]=A385)*(_bbt3[[#All],[METRIC_NAME]]="YLD_YTM_BID"),_bbt3[[#All],[METRIC_VALUE]])*0.5))/100,"")</f>
        <v>4.2874999999999996E-2</v>
      </c>
      <c r="J385">
        <f>IF(ISNA(VLOOKUP(A385,'CloseDL - PriceSaverBBT3'!A:E,5,0)),0,VLOOKUP(A385,'CloseDL - PriceSaverBBT3'!A:E,5,0))</f>
        <v>4.2875589134493998E-2</v>
      </c>
      <c r="K385" s="7">
        <f t="shared" si="57"/>
        <v>0</v>
      </c>
      <c r="L385" s="20">
        <f>IF(Close[[#This Row],[CreatedBy]]="MARINER\SilverAdm",1,0)</f>
        <v>1</v>
      </c>
      <c r="M385" t="str">
        <f>IF(NOT(ISBLANK(A385)),VLOOKUP(A385,'Close - PriceSaver'!A:J,6,0),"")</f>
        <v>DL input prc = 93.75000000  PX_ASK = 93.77343750 PX_BID = 93.72656250</v>
      </c>
      <c r="Q385" t="e">
        <f t="shared" si="58"/>
        <v>#N/A</v>
      </c>
      <c r="R385" t="e">
        <f t="shared" si="59"/>
        <v>#N/A</v>
      </c>
      <c r="S385" t="e">
        <f t="shared" si="60"/>
        <v>#N/A</v>
      </c>
      <c r="T385" s="15" t="e">
        <f t="shared" si="61"/>
        <v>#N/A</v>
      </c>
      <c r="U385" s="18" t="e">
        <f t="shared" si="62"/>
        <v>#N/A</v>
      </c>
      <c r="V385" s="18" t="e">
        <f t="shared" si="63"/>
        <v>#N/A</v>
      </c>
      <c r="W385" s="19" t="e">
        <f t="shared" si="64"/>
        <v>#N/A</v>
      </c>
      <c r="X385" t="e">
        <f>VLOOKUP(P385,Close[[ID]:[CreatedBy]],8,0)</f>
        <v>#N/A</v>
      </c>
    </row>
    <row r="386" spans="1:24" x14ac:dyDescent="0.35">
      <c r="A386" t="str">
        <v>91282CDG3</v>
      </c>
      <c r="B386" t="str">
        <f>IF(NOT(ISBLANK(A386)),VLOOKUP(A386,'BBT3'!A:F,2,0),"")</f>
        <v>Bond</v>
      </c>
      <c r="C386" t="str">
        <f>IF(NOT(ISBLANK(A386)),VLOOKUP(A386,'BBT3'!A:F,3,0),"")</f>
        <v>US91282CDG33</v>
      </c>
      <c r="D386" s="5">
        <f>IF(NOT(ISBLANK(A386)),VLOOKUP(A386,'BBT3'!A:F,4,1),"")</f>
        <v>1.125</v>
      </c>
      <c r="E386">
        <f>IF(NOT(ISBLANK(A386)),VLOOKUP(A386,'BBT3'!A:F,5,0),"")</f>
        <v>46326</v>
      </c>
      <c r="F386" t="str">
        <f>IF(NOT(ISBLANK(A386)),VLOOKUP(A386,'BBT3'!A:F,6,0),"")</f>
        <v>N</v>
      </c>
      <c r="G386" t="str">
        <f t="shared" si="56"/>
        <v>N</v>
      </c>
      <c r="H386">
        <f>IF(NOT(ISBLANK(A386)),VLOOKUP(A386,'Close - PriceSaver'!A:J,5,0),"")</f>
        <v>3.85523047003146E-2</v>
      </c>
      <c r="I386" s="4" cm="1">
        <f t="array" ref="I386">IF(NOT(ISBLANK(A386)),((_xlfn.XLOOKUP(1,(_bbt3[[#All],[ID]]=A386)*(_bbt3[[#All],[METRIC_NAME]]="YLD_YTM_ASK"),_bbt3[[#All],[METRIC_VALUE]])*0.5)+(_xlfn.XLOOKUP(1,(_bbt3[[#All],[ID]]=A386)*(_bbt3[[#All],[METRIC_NAME]]="YLD_YTM_BID"),_bbt3[[#All],[METRIC_VALUE]])*0.5))/100,"")</f>
        <v>3.8550000000000001E-2</v>
      </c>
      <c r="J386">
        <f>IF(ISNA(VLOOKUP(A386,'CloseDL - PriceSaverBBT3'!A:E,5,0)),0,VLOOKUP(A386,'CloseDL - PriceSaverBBT3'!A:E,5,0))</f>
        <v>3.85523047003146E-2</v>
      </c>
      <c r="K386" s="7">
        <f t="shared" si="57"/>
        <v>0</v>
      </c>
      <c r="L386" s="20">
        <f>IF(Close[[#This Row],[CreatedBy]]="MARINER\SilverAdm",1,0)</f>
        <v>1</v>
      </c>
      <c r="M386" t="str">
        <f>IF(NOT(ISBLANK(A386)),VLOOKUP(A386,'Close - PriceSaver'!A:J,6,0),"")</f>
        <v>DL input prc = 99.25585938  PX_ASK = 99.26562500 PX_BID = 99.24609375</v>
      </c>
      <c r="Q386" t="e">
        <f t="shared" si="58"/>
        <v>#N/A</v>
      </c>
      <c r="R386" t="e">
        <f t="shared" si="59"/>
        <v>#N/A</v>
      </c>
      <c r="S386" t="e">
        <f t="shared" si="60"/>
        <v>#N/A</v>
      </c>
      <c r="T386" s="15" t="e">
        <f t="shared" si="61"/>
        <v>#N/A</v>
      </c>
      <c r="U386" s="18" t="e">
        <f t="shared" si="62"/>
        <v>#N/A</v>
      </c>
      <c r="V386" s="18" t="e">
        <f t="shared" si="63"/>
        <v>#N/A</v>
      </c>
      <c r="W386" s="19" t="e">
        <f t="shared" si="64"/>
        <v>#N/A</v>
      </c>
      <c r="X386" t="e">
        <f>VLOOKUP(P386,Close[[ID]:[CreatedBy]],8,0)</f>
        <v>#N/A</v>
      </c>
    </row>
    <row r="387" spans="1:24" x14ac:dyDescent="0.35">
      <c r="A387" t="str">
        <v>91282CDJ7</v>
      </c>
      <c r="B387" t="str">
        <f>IF(NOT(ISBLANK(A387)),VLOOKUP(A387,'BBT3'!A:F,2,0),"")</f>
        <v>Bond</v>
      </c>
      <c r="C387" t="str">
        <f>IF(NOT(ISBLANK(A387)),VLOOKUP(A387,'BBT3'!A:F,3,0),"")</f>
        <v>US91282CDJ71</v>
      </c>
      <c r="D387" s="5">
        <f>IF(NOT(ISBLANK(A387)),VLOOKUP(A387,'BBT3'!A:F,4,1),"")</f>
        <v>1.375</v>
      </c>
      <c r="E387">
        <f>IF(NOT(ISBLANK(A387)),VLOOKUP(A387,'BBT3'!A:F,5,0),"")</f>
        <v>48167</v>
      </c>
      <c r="F387" t="str">
        <f>IF(NOT(ISBLANK(A387)),VLOOKUP(A387,'BBT3'!A:F,6,0),"")</f>
        <v>N</v>
      </c>
      <c r="G387" t="str">
        <f t="shared" ref="G387:G450" si="65">IF(NOT(ISBLANK(A387)),IF(D387=0,"Y","N"),"")</f>
        <v>N</v>
      </c>
      <c r="H387">
        <f>IF(NOT(ISBLANK(A387)),VLOOKUP(A387,'Close - PriceSaver'!A:J,5,0),"")</f>
        <v>4.4042677321657203E-2</v>
      </c>
      <c r="I387" s="4" cm="1">
        <f t="array" ref="I387">IF(NOT(ISBLANK(A387)),((_xlfn.XLOOKUP(1,(_bbt3[[#All],[ID]]=A387)*(_bbt3[[#All],[METRIC_NAME]]="YLD_YTM_ASK"),_bbt3[[#All],[METRIC_VALUE]])*0.5)+(_xlfn.XLOOKUP(1,(_bbt3[[#All],[ID]]=A387)*(_bbt3[[#All],[METRIC_NAME]]="YLD_YTM_BID"),_bbt3[[#All],[METRIC_VALUE]])*0.5))/100,"")</f>
        <v>4.4045000000000008E-2</v>
      </c>
      <c r="J387">
        <f>IF(ISNA(VLOOKUP(A387,'CloseDL - PriceSaverBBT3'!A:E,5,0)),0,VLOOKUP(A387,'CloseDL - PriceSaverBBT3'!A:E,5,0))</f>
        <v>4.4042677321657203E-2</v>
      </c>
      <c r="K387" s="7">
        <f t="shared" ref="K387:K450" si="66">IF(ISNA(IF(NOT(ISBLANK(A387)),ABS(H387-J387),"")),0,(IF(NOT(ISBLANK(A387)),ABS(H387-J387)*10000,"")))</f>
        <v>0</v>
      </c>
      <c r="L387" s="20">
        <f>IF(Close[[#This Row],[CreatedBy]]="MARINER\SilverAdm",1,0)</f>
        <v>1</v>
      </c>
      <c r="M387" t="str">
        <f>IF(NOT(ISBLANK(A387)),VLOOKUP(A387,'Close - PriceSaver'!A:J,6,0),"")</f>
        <v>DL input prc = 85.78125000  PX_ASK = 85.80468750 PX_BID = 85.75781250</v>
      </c>
      <c r="Q387" t="e">
        <f t="shared" si="58"/>
        <v>#N/A</v>
      </c>
      <c r="R387" t="e">
        <f t="shared" si="59"/>
        <v>#N/A</v>
      </c>
      <c r="S387" t="e">
        <f t="shared" si="60"/>
        <v>#N/A</v>
      </c>
      <c r="T387" s="15" t="e">
        <f t="shared" si="61"/>
        <v>#N/A</v>
      </c>
      <c r="U387" s="18" t="e">
        <f t="shared" si="62"/>
        <v>#N/A</v>
      </c>
      <c r="V387" s="18" t="e">
        <f t="shared" si="63"/>
        <v>#N/A</v>
      </c>
      <c r="W387" s="19" t="e">
        <f t="shared" si="64"/>
        <v>#N/A</v>
      </c>
      <c r="X387" t="e">
        <f>VLOOKUP(P387,Close[[ID]:[CreatedBy]],8,0)</f>
        <v>#N/A</v>
      </c>
    </row>
    <row r="388" spans="1:24" x14ac:dyDescent="0.35">
      <c r="A388" t="str">
        <v>91282CDK4</v>
      </c>
      <c r="B388" t="str">
        <f>IF(NOT(ISBLANK(A388)),VLOOKUP(A388,'BBT3'!A:F,2,0),"")</f>
        <v>Bond</v>
      </c>
      <c r="C388" t="str">
        <f>IF(NOT(ISBLANK(A388)),VLOOKUP(A388,'BBT3'!A:F,3,0),"")</f>
        <v>US91282CDK45</v>
      </c>
      <c r="D388" s="5">
        <f>IF(NOT(ISBLANK(A388)),VLOOKUP(A388,'BBT3'!A:F,4,1),"")</f>
        <v>1.25</v>
      </c>
      <c r="E388">
        <f>IF(NOT(ISBLANK(A388)),VLOOKUP(A388,'BBT3'!A:F,5,0),"")</f>
        <v>46356</v>
      </c>
      <c r="F388" t="str">
        <f>IF(NOT(ISBLANK(A388)),VLOOKUP(A388,'BBT3'!A:F,6,0),"")</f>
        <v>N</v>
      </c>
      <c r="G388" t="str">
        <f t="shared" si="65"/>
        <v>N</v>
      </c>
      <c r="H388">
        <f>IF(NOT(ISBLANK(A388)),VLOOKUP(A388,'Close - PriceSaver'!A:J,5,0),"")</f>
        <v>3.8877524999939697E-2</v>
      </c>
      <c r="I388" s="4" cm="1">
        <f t="array" ref="I388">IF(NOT(ISBLANK(A388)),((_xlfn.XLOOKUP(1,(_bbt3[[#All],[ID]]=A388)*(_bbt3[[#All],[METRIC_NAME]]="YLD_YTM_ASK"),_bbt3[[#All],[METRIC_VALUE]])*0.5)+(_xlfn.XLOOKUP(1,(_bbt3[[#All],[ID]]=A388)*(_bbt3[[#All],[METRIC_NAME]]="YLD_YTM_BID"),_bbt3[[#All],[METRIC_VALUE]])*0.5))/100,"")</f>
        <v>3.8875E-2</v>
      </c>
      <c r="J388">
        <f>IF(ISNA(VLOOKUP(A388,'CloseDL - PriceSaverBBT3'!A:E,5,0)),0,VLOOKUP(A388,'CloseDL - PriceSaverBBT3'!A:E,5,0))</f>
        <v>3.8877524999939697E-2</v>
      </c>
      <c r="K388" s="7">
        <f t="shared" si="66"/>
        <v>0</v>
      </c>
      <c r="L388" s="20">
        <f>IF(Close[[#This Row],[CreatedBy]]="MARINER\SilverAdm",1,0)</f>
        <v>1</v>
      </c>
      <c r="M388" t="str">
        <f>IF(NOT(ISBLANK(A388)),VLOOKUP(A388,'Close - PriceSaver'!A:J,6,0),"")</f>
        <v>DL input prc = 99.06640625  PX_ASK = 99.07421875 PX_BID = 99.05859375</v>
      </c>
      <c r="Q388" t="e">
        <f t="shared" si="58"/>
        <v>#N/A</v>
      </c>
      <c r="R388" t="e">
        <f t="shared" si="59"/>
        <v>#N/A</v>
      </c>
      <c r="S388" t="e">
        <f t="shared" si="60"/>
        <v>#N/A</v>
      </c>
      <c r="T388" s="15" t="e">
        <f t="shared" si="61"/>
        <v>#N/A</v>
      </c>
      <c r="U388" s="18" t="e">
        <f t="shared" si="62"/>
        <v>#N/A</v>
      </c>
      <c r="V388" s="18" t="e">
        <f t="shared" si="63"/>
        <v>#N/A</v>
      </c>
      <c r="W388" s="19" t="e">
        <f t="shared" si="64"/>
        <v>#N/A</v>
      </c>
      <c r="X388" t="e">
        <f>VLOOKUP(P388,Close[[ID]:[CreatedBy]],8,0)</f>
        <v>#N/A</v>
      </c>
    </row>
    <row r="389" spans="1:24" x14ac:dyDescent="0.35">
      <c r="A389" t="str">
        <v>91282CDL2</v>
      </c>
      <c r="B389" t="str">
        <f>IF(NOT(ISBLANK(A389)),VLOOKUP(A389,'BBT3'!A:F,2,0),"")</f>
        <v>Bond</v>
      </c>
      <c r="C389" t="str">
        <f>IF(NOT(ISBLANK(A389)),VLOOKUP(A389,'BBT3'!A:F,3,0),"")</f>
        <v>US91282CDL28</v>
      </c>
      <c r="D389" s="5">
        <f>IF(NOT(ISBLANK(A389)),VLOOKUP(A389,'BBT3'!A:F,4,1),"")</f>
        <v>1.5</v>
      </c>
      <c r="E389">
        <f>IF(NOT(ISBLANK(A389)),VLOOKUP(A389,'BBT3'!A:F,5,0),"")</f>
        <v>47087</v>
      </c>
      <c r="F389" t="str">
        <f>IF(NOT(ISBLANK(A389)),VLOOKUP(A389,'BBT3'!A:F,6,0),"")</f>
        <v>N</v>
      </c>
      <c r="G389" t="str">
        <f t="shared" si="65"/>
        <v>N</v>
      </c>
      <c r="H389">
        <f>IF(NOT(ISBLANK(A389)),VLOOKUP(A389,'Close - PriceSaver'!A:J,5,0),"")</f>
        <v>4.2862384583455301E-2</v>
      </c>
      <c r="I389" s="4" cm="1">
        <f t="array" ref="I389">IF(NOT(ISBLANK(A389)),((_xlfn.XLOOKUP(1,(_bbt3[[#All],[ID]]=A389)*(_bbt3[[#All],[METRIC_NAME]]="YLD_YTM_ASK"),_bbt3[[#All],[METRIC_VALUE]])*0.5)+(_xlfn.XLOOKUP(1,(_bbt3[[#All],[ID]]=A389)*(_bbt3[[#All],[METRIC_NAME]]="YLD_YTM_BID"),_bbt3[[#All],[METRIC_VALUE]])*0.5))/100,"")</f>
        <v>4.2865E-2</v>
      </c>
      <c r="J389">
        <f>IF(ISNA(VLOOKUP(A389,'CloseDL - PriceSaverBBT3'!A:E,5,0)),0,VLOOKUP(A389,'CloseDL - PriceSaverBBT3'!A:E,5,0))</f>
        <v>4.2862384583455301E-2</v>
      </c>
      <c r="K389" s="7">
        <f t="shared" si="66"/>
        <v>0</v>
      </c>
      <c r="L389" s="20">
        <f>IF(Close[[#This Row],[CreatedBy]]="MARINER\SilverAdm",1,0)</f>
        <v>1</v>
      </c>
      <c r="M389" t="str">
        <f>IF(NOT(ISBLANK(A389)),VLOOKUP(A389,'Close - PriceSaver'!A:J,6,0),"")</f>
        <v>DL input prc = 93.81250000  PX_ASK = 93.82812500 PX_BID = 93.79687500</v>
      </c>
      <c r="Q389" t="e">
        <f t="shared" si="58"/>
        <v>#N/A</v>
      </c>
      <c r="R389" t="e">
        <f t="shared" si="59"/>
        <v>#N/A</v>
      </c>
      <c r="S389" t="e">
        <f t="shared" si="60"/>
        <v>#N/A</v>
      </c>
      <c r="T389" s="15" t="e">
        <f t="shared" si="61"/>
        <v>#N/A</v>
      </c>
      <c r="U389" s="18" t="e">
        <f t="shared" si="62"/>
        <v>#N/A</v>
      </c>
      <c r="V389" s="18" t="e">
        <f t="shared" si="63"/>
        <v>#N/A</v>
      </c>
      <c r="W389" s="19" t="e">
        <f t="shared" si="64"/>
        <v>#N/A</v>
      </c>
      <c r="X389" t="e">
        <f>VLOOKUP(P389,Close[[ID]:[CreatedBy]],8,0)</f>
        <v>#N/A</v>
      </c>
    </row>
    <row r="390" spans="1:24" x14ac:dyDescent="0.35">
      <c r="A390" t="str">
        <v>91282CDP3</v>
      </c>
      <c r="B390" t="str">
        <f>IF(NOT(ISBLANK(A390)),VLOOKUP(A390,'BBT3'!A:F,2,0),"")</f>
        <v>Bond</v>
      </c>
      <c r="C390" t="str">
        <f>IF(NOT(ISBLANK(A390)),VLOOKUP(A390,'BBT3'!A:F,3,0),"")</f>
        <v>US91282CDP32</v>
      </c>
      <c r="D390" s="5">
        <f>IF(NOT(ISBLANK(A390)),VLOOKUP(A390,'BBT3'!A:F,4,1),"")</f>
        <v>1.375</v>
      </c>
      <c r="E390">
        <f>IF(NOT(ISBLANK(A390)),VLOOKUP(A390,'BBT3'!A:F,5,0),"")</f>
        <v>47118</v>
      </c>
      <c r="F390" t="str">
        <f>IF(NOT(ISBLANK(A390)),VLOOKUP(A390,'BBT3'!A:F,6,0),"")</f>
        <v>N</v>
      </c>
      <c r="G390" t="str">
        <f t="shared" si="65"/>
        <v>N</v>
      </c>
      <c r="H390">
        <f>IF(NOT(ISBLANK(A390)),VLOOKUP(A390,'Close - PriceSaver'!A:J,5,0),"")</f>
        <v>4.2904293479390301E-2</v>
      </c>
      <c r="I390" s="4" cm="1">
        <f t="array" ref="I390">IF(NOT(ISBLANK(A390)),((_xlfn.XLOOKUP(1,(_bbt3[[#All],[ID]]=A390)*(_bbt3[[#All],[METRIC_NAME]]="YLD_YTM_ASK"),_bbt3[[#All],[METRIC_VALUE]])*0.5)+(_xlfn.XLOOKUP(1,(_bbt3[[#All],[ID]]=A390)*(_bbt3[[#All],[METRIC_NAME]]="YLD_YTM_BID"),_bbt3[[#All],[METRIC_VALUE]])*0.5))/100,"")</f>
        <v>4.2904999999999999E-2</v>
      </c>
      <c r="J390">
        <f>IF(ISNA(VLOOKUP(A390,'CloseDL - PriceSaverBBT3'!A:E,5,0)),0,VLOOKUP(A390,'CloseDL - PriceSaverBBT3'!A:E,5,0))</f>
        <v>4.2904293479390301E-2</v>
      </c>
      <c r="K390" s="7">
        <f t="shared" si="66"/>
        <v>0</v>
      </c>
      <c r="L390" s="20">
        <f>IF(Close[[#This Row],[CreatedBy]]="MARINER\SilverAdm",1,0)</f>
        <v>1</v>
      </c>
      <c r="M390" t="str">
        <f>IF(NOT(ISBLANK(A390)),VLOOKUP(A390,'Close - PriceSaver'!A:J,6,0),"")</f>
        <v>DL input prc = 93.31250000  PX_ASK = 93.32812500 PX_BID = 93.29687500</v>
      </c>
      <c r="Q390" t="e">
        <f t="shared" si="58"/>
        <v>#N/A</v>
      </c>
      <c r="R390" t="e">
        <f t="shared" si="59"/>
        <v>#N/A</v>
      </c>
      <c r="S390" t="e">
        <f t="shared" si="60"/>
        <v>#N/A</v>
      </c>
      <c r="T390" s="15" t="e">
        <f t="shared" si="61"/>
        <v>#N/A</v>
      </c>
      <c r="U390" s="18" t="e">
        <f t="shared" si="62"/>
        <v>#N/A</v>
      </c>
      <c r="V390" s="18" t="e">
        <f t="shared" si="63"/>
        <v>#N/A</v>
      </c>
      <c r="W390" s="19" t="e">
        <f t="shared" si="64"/>
        <v>#N/A</v>
      </c>
      <c r="X390" t="e">
        <f>VLOOKUP(P390,Close[[ID]:[CreatedBy]],8,0)</f>
        <v>#N/A</v>
      </c>
    </row>
    <row r="391" spans="1:24" x14ac:dyDescent="0.35">
      <c r="A391" t="str">
        <v>91282CDQ1</v>
      </c>
      <c r="B391" t="str">
        <f>IF(NOT(ISBLANK(A391)),VLOOKUP(A391,'BBT3'!A:F,2,0),"")</f>
        <v>Bond</v>
      </c>
      <c r="C391" t="str">
        <f>IF(NOT(ISBLANK(A391)),VLOOKUP(A391,'BBT3'!A:F,3,0),"")</f>
        <v>US91282CDQ15</v>
      </c>
      <c r="D391" s="5">
        <f>IF(NOT(ISBLANK(A391)),VLOOKUP(A391,'BBT3'!A:F,4,1),"")</f>
        <v>1.25</v>
      </c>
      <c r="E391">
        <f>IF(NOT(ISBLANK(A391)),VLOOKUP(A391,'BBT3'!A:F,5,0),"")</f>
        <v>46387</v>
      </c>
      <c r="F391" t="str">
        <f>IF(NOT(ISBLANK(A391)),VLOOKUP(A391,'BBT3'!A:F,6,0),"")</f>
        <v>N</v>
      </c>
      <c r="G391" t="str">
        <f t="shared" si="65"/>
        <v>N</v>
      </c>
      <c r="H391">
        <f>IF(NOT(ISBLANK(A391)),VLOOKUP(A391,'Close - PriceSaver'!A:J,5,0),"")</f>
        <v>3.94630619742211E-2</v>
      </c>
      <c r="I391" s="4" cm="1">
        <f t="array" ref="I391">IF(NOT(ISBLANK(A391)),((_xlfn.XLOOKUP(1,(_bbt3[[#All],[ID]]=A391)*(_bbt3[[#All],[METRIC_NAME]]="YLD_YTM_ASK"),_bbt3[[#All],[METRIC_VALUE]])*0.5)+(_xlfn.XLOOKUP(1,(_bbt3[[#All],[ID]]=A391)*(_bbt3[[#All],[METRIC_NAME]]="YLD_YTM_BID"),_bbt3[[#All],[METRIC_VALUE]])*0.5))/100,"")</f>
        <v>3.9465E-2</v>
      </c>
      <c r="J391">
        <f>IF(ISNA(VLOOKUP(A391,'CloseDL - PriceSaverBBT3'!A:E,5,0)),0,VLOOKUP(A391,'CloseDL - PriceSaverBBT3'!A:E,5,0))</f>
        <v>3.94630619742211E-2</v>
      </c>
      <c r="K391" s="7">
        <f t="shared" si="66"/>
        <v>0</v>
      </c>
      <c r="L391" s="20">
        <f>IF(Close[[#This Row],[CreatedBy]]="MARINER\SilverAdm",1,0)</f>
        <v>1</v>
      </c>
      <c r="M391" t="str">
        <f>IF(NOT(ISBLANK(A391)),VLOOKUP(A391,'Close - PriceSaver'!A:J,6,0),"")</f>
        <v>DL input prc = 98.83203125  PX_ASK = 98.84375000 PX_BID = 98.82031250</v>
      </c>
      <c r="Q391" t="e">
        <f t="shared" si="58"/>
        <v>#N/A</v>
      </c>
      <c r="R391" t="e">
        <f t="shared" si="59"/>
        <v>#N/A</v>
      </c>
      <c r="S391" t="e">
        <f t="shared" si="60"/>
        <v>#N/A</v>
      </c>
      <c r="T391" s="15" t="e">
        <f t="shared" si="61"/>
        <v>#N/A</v>
      </c>
      <c r="U391" s="18" t="e">
        <f t="shared" si="62"/>
        <v>#N/A</v>
      </c>
      <c r="V391" s="18" t="e">
        <f t="shared" si="63"/>
        <v>#N/A</v>
      </c>
      <c r="W391" s="19" t="e">
        <f t="shared" si="64"/>
        <v>#N/A</v>
      </c>
      <c r="X391" t="e">
        <f>VLOOKUP(P391,Close[[ID]:[CreatedBy]],8,0)</f>
        <v>#N/A</v>
      </c>
    </row>
    <row r="392" spans="1:24" x14ac:dyDescent="0.35">
      <c r="A392" t="str">
        <v>91282CDW8</v>
      </c>
      <c r="B392" t="str">
        <f>IF(NOT(ISBLANK(A392)),VLOOKUP(A392,'BBT3'!A:F,2,0),"")</f>
        <v>Bond</v>
      </c>
      <c r="C392" t="str">
        <f>IF(NOT(ISBLANK(A392)),VLOOKUP(A392,'BBT3'!A:F,3,0),"")</f>
        <v>US91282CDW82</v>
      </c>
      <c r="D392" s="5">
        <f>IF(NOT(ISBLANK(A392)),VLOOKUP(A392,'BBT3'!A:F,4,1),"")</f>
        <v>1.75</v>
      </c>
      <c r="E392">
        <f>IF(NOT(ISBLANK(A392)),VLOOKUP(A392,'BBT3'!A:F,5,0),"")</f>
        <v>47149</v>
      </c>
      <c r="F392" t="str">
        <f>IF(NOT(ISBLANK(A392)),VLOOKUP(A392,'BBT3'!A:F,6,0),"")</f>
        <v>N</v>
      </c>
      <c r="G392" t="str">
        <f t="shared" si="65"/>
        <v>N</v>
      </c>
      <c r="H392">
        <f>IF(NOT(ISBLANK(A392)),VLOOKUP(A392,'Close - PriceSaver'!A:J,5,0),"")</f>
        <v>4.2959903864025803E-2</v>
      </c>
      <c r="I392" s="4" cm="1">
        <f t="array" ref="I392">IF(NOT(ISBLANK(A392)),((_xlfn.XLOOKUP(1,(_bbt3[[#All],[ID]]=A392)*(_bbt3[[#All],[METRIC_NAME]]="YLD_YTM_ASK"),_bbt3[[#All],[METRIC_VALUE]])*0.5)+(_xlfn.XLOOKUP(1,(_bbt3[[#All],[ID]]=A392)*(_bbt3[[#All],[METRIC_NAME]]="YLD_YTM_BID"),_bbt3[[#All],[METRIC_VALUE]])*0.5))/100,"")</f>
        <v>4.2959999999999991E-2</v>
      </c>
      <c r="J392">
        <f>IF(ISNA(VLOOKUP(A392,'CloseDL - PriceSaverBBT3'!A:E,5,0)),0,VLOOKUP(A392,'CloseDL - PriceSaverBBT3'!A:E,5,0))</f>
        <v>4.2959903864025803E-2</v>
      </c>
      <c r="K392" s="7">
        <f t="shared" si="66"/>
        <v>0</v>
      </c>
      <c r="L392" s="20">
        <f>IF(Close[[#This Row],[CreatedBy]]="MARINER\SilverAdm",1,0)</f>
        <v>1</v>
      </c>
      <c r="M392" t="str">
        <f>IF(NOT(ISBLANK(A392)),VLOOKUP(A392,'Close - PriceSaver'!A:J,6,0),"")</f>
        <v>DL input prc = 93.96875000  PX_ASK = 93.98437500 PX_BID = 93.95312500</v>
      </c>
      <c r="Q392" t="e">
        <f t="shared" si="58"/>
        <v>#N/A</v>
      </c>
      <c r="R392" t="e">
        <f t="shared" si="59"/>
        <v>#N/A</v>
      </c>
      <c r="S392" t="e">
        <f t="shared" si="60"/>
        <v>#N/A</v>
      </c>
      <c r="T392" s="15" t="e">
        <f t="shared" si="61"/>
        <v>#N/A</v>
      </c>
      <c r="U392" s="18" t="e">
        <f t="shared" si="62"/>
        <v>#N/A</v>
      </c>
      <c r="V392" s="18" t="e">
        <f t="shared" si="63"/>
        <v>#N/A</v>
      </c>
      <c r="W392" s="19" t="e">
        <f t="shared" si="64"/>
        <v>#N/A</v>
      </c>
      <c r="X392" t="e">
        <f>VLOOKUP(P392,Close[[ID]:[CreatedBy]],8,0)</f>
        <v>#N/A</v>
      </c>
    </row>
    <row r="393" spans="1:24" x14ac:dyDescent="0.35">
      <c r="A393" t="str">
        <v>91282CDX6</v>
      </c>
      <c r="B393" t="str">
        <f>IF(NOT(ISBLANK(A393)),VLOOKUP(A393,'BBT3'!A:F,2,0),"")</f>
        <v>Bond</v>
      </c>
      <c r="C393" t="str">
        <f>IF(NOT(ISBLANK(A393)),VLOOKUP(A393,'BBT3'!A:F,3,0),"")</f>
        <v>US91282CDX65</v>
      </c>
      <c r="D393" s="5">
        <f>IF(NOT(ISBLANK(A393)),VLOOKUP(A393,'BBT3'!A:F,4,1),"")</f>
        <v>0.125</v>
      </c>
      <c r="E393">
        <f>IF(NOT(ISBLANK(A393)),VLOOKUP(A393,'BBT3'!A:F,5,0),"")</f>
        <v>48228</v>
      </c>
      <c r="F393" t="str">
        <f>IF(NOT(ISBLANK(A393)),VLOOKUP(A393,'BBT3'!A:F,6,0),"")</f>
        <v>Y</v>
      </c>
      <c r="G393" t="str">
        <f t="shared" si="65"/>
        <v>N</v>
      </c>
      <c r="H393">
        <f>IF(NOT(ISBLANK(A393)),VLOOKUP(A393,'Close - PriceSaver'!A:J,5,0),"")</f>
        <v>2.0688416046407001E-2</v>
      </c>
      <c r="I393" s="4" t="e" cm="1">
        <f t="array" ref="I393">IF(NOT(ISBLANK(A393)),((_xlfn.XLOOKUP(1,(_bbt3[[#All],[ID]]=A393)*(_bbt3[[#All],[METRIC_NAME]]="YLD_YTM_ASK"),_bbt3[[#All],[METRIC_VALUE]])*0.5)+(_xlfn.XLOOKUP(1,(_bbt3[[#All],[ID]]=A393)*(_bbt3[[#All],[METRIC_NAME]]="YLD_YTM_BID"),_bbt3[[#All],[METRIC_VALUE]])*0.5))/100,"")</f>
        <v>#N/A</v>
      </c>
      <c r="J393">
        <f>IF(ISNA(VLOOKUP(A393,'CloseDL - PriceSaverBBT3'!A:E,5,0)),0,VLOOKUP(A393,'CloseDL - PriceSaverBBT3'!A:E,5,0))</f>
        <v>2.0688416046407001E-2</v>
      </c>
      <c r="K393" s="7">
        <f t="shared" si="66"/>
        <v>0</v>
      </c>
      <c r="L393" s="20">
        <f>IF(Close[[#This Row],[CreatedBy]]="MARINER\SilverAdm",1,0)</f>
        <v>1</v>
      </c>
      <c r="M393" t="str">
        <f>IF(NOT(ISBLANK(A393)),VLOOKUP(A393,'Close - PriceSaver'!A:J,6,0),"")</f>
        <v>DL input prc = 89.97656250  PX_ASK = 90.00000000 PX_BID = 89.95312500</v>
      </c>
      <c r="Q393" t="e">
        <f t="shared" si="58"/>
        <v>#N/A</v>
      </c>
      <c r="R393" t="e">
        <f t="shared" si="59"/>
        <v>#N/A</v>
      </c>
      <c r="S393" t="e">
        <f t="shared" si="60"/>
        <v>#N/A</v>
      </c>
      <c r="T393" s="15" t="e">
        <f t="shared" si="61"/>
        <v>#N/A</v>
      </c>
      <c r="U393" s="18" t="e">
        <f t="shared" si="62"/>
        <v>#N/A</v>
      </c>
      <c r="V393" s="18" t="e">
        <f t="shared" si="63"/>
        <v>#N/A</v>
      </c>
      <c r="W393" s="19" t="e">
        <f t="shared" si="64"/>
        <v>#N/A</v>
      </c>
      <c r="X393" t="e">
        <f>VLOOKUP(P393,Close[[ID]:[CreatedBy]],8,0)</f>
        <v>#N/A</v>
      </c>
    </row>
    <row r="394" spans="1:24" x14ac:dyDescent="0.35">
      <c r="A394" t="str">
        <v>91282CDY4</v>
      </c>
      <c r="B394" t="str">
        <f>IF(NOT(ISBLANK(A394)),VLOOKUP(A394,'BBT3'!A:F,2,0),"")</f>
        <v>Bond</v>
      </c>
      <c r="C394" t="str">
        <f>IF(NOT(ISBLANK(A394)),VLOOKUP(A394,'BBT3'!A:F,3,0),"")</f>
        <v>US91282CDY49</v>
      </c>
      <c r="D394" s="5">
        <f>IF(NOT(ISBLANK(A394)),VLOOKUP(A394,'BBT3'!A:F,4,1),"")</f>
        <v>1.875</v>
      </c>
      <c r="E394">
        <f>IF(NOT(ISBLANK(A394)),VLOOKUP(A394,'BBT3'!A:F,5,0),"")</f>
        <v>48259</v>
      </c>
      <c r="F394" t="str">
        <f>IF(NOT(ISBLANK(A394)),VLOOKUP(A394,'BBT3'!A:F,6,0),"")</f>
        <v>N</v>
      </c>
      <c r="G394" t="str">
        <f t="shared" si="65"/>
        <v>N</v>
      </c>
      <c r="H394">
        <f>IF(NOT(ISBLANK(A394)),VLOOKUP(A394,'Close - PriceSaver'!A:J,5,0),"")</f>
        <v>4.4180540264334399E-2</v>
      </c>
      <c r="I394" s="4" cm="1">
        <f t="array" ref="I394">IF(NOT(ISBLANK(A394)),((_xlfn.XLOOKUP(1,(_bbt3[[#All],[ID]]=A394)*(_bbt3[[#All],[METRIC_NAME]]="YLD_YTM_ASK"),_bbt3[[#All],[METRIC_VALUE]])*0.5)+(_xlfn.XLOOKUP(1,(_bbt3[[#All],[ID]]=A394)*(_bbt3[[#All],[METRIC_NAME]]="YLD_YTM_BID"),_bbt3[[#All],[METRIC_VALUE]])*0.5))/100,"")</f>
        <v>4.4180000000000004E-2</v>
      </c>
      <c r="J394">
        <f>IF(ISNA(VLOOKUP(A394,'CloseDL - PriceSaverBBT3'!A:E,5,0)),0,VLOOKUP(A394,'CloseDL - PriceSaverBBT3'!A:E,5,0))</f>
        <v>4.4180540264334399E-2</v>
      </c>
      <c r="K394" s="7">
        <f t="shared" si="66"/>
        <v>0</v>
      </c>
      <c r="L394" s="20">
        <f>IF(Close[[#This Row],[CreatedBy]]="MARINER\SilverAdm",1,0)</f>
        <v>1</v>
      </c>
      <c r="M394" t="str">
        <f>IF(NOT(ISBLANK(A394)),VLOOKUP(A394,'Close - PriceSaver'!A:J,6,0),"")</f>
        <v>DL input prc = 87.57031250  PX_ASK = 87.59375000 PX_BID = 87.54687500</v>
      </c>
      <c r="Q394" t="e">
        <f t="shared" si="58"/>
        <v>#N/A</v>
      </c>
      <c r="R394" t="e">
        <f t="shared" si="59"/>
        <v>#N/A</v>
      </c>
      <c r="S394" t="e">
        <f t="shared" si="60"/>
        <v>#N/A</v>
      </c>
      <c r="T394" s="15" t="e">
        <f t="shared" si="61"/>
        <v>#N/A</v>
      </c>
      <c r="U394" s="18" t="e">
        <f t="shared" si="62"/>
        <v>#N/A</v>
      </c>
      <c r="V394" s="18" t="e">
        <f t="shared" si="63"/>
        <v>#N/A</v>
      </c>
      <c r="W394" s="19" t="e">
        <f t="shared" si="64"/>
        <v>#N/A</v>
      </c>
      <c r="X394" t="e">
        <f>VLOOKUP(P394,Close[[ID]:[CreatedBy]],8,0)</f>
        <v>#N/A</v>
      </c>
    </row>
    <row r="395" spans="1:24" x14ac:dyDescent="0.35">
      <c r="A395" t="str">
        <v>91282CEB3</v>
      </c>
      <c r="B395" t="str">
        <f>IF(NOT(ISBLANK(A395)),VLOOKUP(A395,'BBT3'!A:F,2,0),"")</f>
        <v>Bond</v>
      </c>
      <c r="C395" t="str">
        <f>IF(NOT(ISBLANK(A395)),VLOOKUP(A395,'BBT3'!A:F,3,0),"")</f>
        <v>US91282CEB37</v>
      </c>
      <c r="D395" s="5">
        <f>IF(NOT(ISBLANK(A395)),VLOOKUP(A395,'BBT3'!A:F,4,1),"")</f>
        <v>1.875</v>
      </c>
      <c r="E395">
        <f>IF(NOT(ISBLANK(A395)),VLOOKUP(A395,'BBT3'!A:F,5,0),"")</f>
        <v>47177</v>
      </c>
      <c r="F395" t="str">
        <f>IF(NOT(ISBLANK(A395)),VLOOKUP(A395,'BBT3'!A:F,6,0),"")</f>
        <v>N</v>
      </c>
      <c r="G395" t="str">
        <f t="shared" si="65"/>
        <v>N</v>
      </c>
      <c r="H395">
        <f>IF(NOT(ISBLANK(A395)),VLOOKUP(A395,'Close - PriceSaver'!A:J,5,0),"")</f>
        <v>4.2883337286486099E-2</v>
      </c>
      <c r="I395" s="4" cm="1">
        <f t="array" ref="I395">IF(NOT(ISBLANK(A395)),((_xlfn.XLOOKUP(1,(_bbt3[[#All],[ID]]=A395)*(_bbt3[[#All],[METRIC_NAME]]="YLD_YTM_ASK"),_bbt3[[#All],[METRIC_VALUE]])*0.5)+(_xlfn.XLOOKUP(1,(_bbt3[[#All],[ID]]=A395)*(_bbt3[[#All],[METRIC_NAME]]="YLD_YTM_BID"),_bbt3[[#All],[METRIC_VALUE]])*0.5))/100,"")</f>
        <v>4.2885E-2</v>
      </c>
      <c r="J395">
        <f>IF(ISNA(VLOOKUP(A395,'CloseDL - PriceSaverBBT3'!A:E,5,0)),0,VLOOKUP(A395,'CloseDL - PriceSaverBBT3'!A:E,5,0))</f>
        <v>4.2883337286486099E-2</v>
      </c>
      <c r="K395" s="7">
        <f t="shared" si="66"/>
        <v>0</v>
      </c>
      <c r="L395" s="20">
        <f>IF(Close[[#This Row],[CreatedBy]]="MARINER\SilverAdm",1,0)</f>
        <v>1</v>
      </c>
      <c r="M395" t="str">
        <f>IF(NOT(ISBLANK(A395)),VLOOKUP(A395,'Close - PriceSaver'!A:J,6,0),"")</f>
        <v>DL input prc = 94.10156250  PX_ASK = 94.11718750 PX_BID = 94.08593750</v>
      </c>
      <c r="Q395" t="e">
        <f t="shared" si="58"/>
        <v>#N/A</v>
      </c>
      <c r="R395" t="e">
        <f t="shared" si="59"/>
        <v>#N/A</v>
      </c>
      <c r="S395" t="e">
        <f t="shared" si="60"/>
        <v>#N/A</v>
      </c>
      <c r="T395" s="15" t="e">
        <f t="shared" si="61"/>
        <v>#N/A</v>
      </c>
      <c r="U395" s="18" t="e">
        <f t="shared" si="62"/>
        <v>#N/A</v>
      </c>
      <c r="V395" s="18" t="e">
        <f t="shared" si="63"/>
        <v>#N/A</v>
      </c>
      <c r="W395" s="19" t="e">
        <f t="shared" si="64"/>
        <v>#N/A</v>
      </c>
      <c r="X395" t="e">
        <f>VLOOKUP(P395,Close[[ID]:[CreatedBy]],8,0)</f>
        <v>#N/A</v>
      </c>
    </row>
    <row r="396" spans="1:24" x14ac:dyDescent="0.35">
      <c r="A396" t="str">
        <v>91282CEC1</v>
      </c>
      <c r="B396" t="str">
        <f>IF(NOT(ISBLANK(A396)),VLOOKUP(A396,'BBT3'!A:F,2,0),"")</f>
        <v>Bond</v>
      </c>
      <c r="C396" t="str">
        <f>IF(NOT(ISBLANK(A396)),VLOOKUP(A396,'BBT3'!A:F,3,0),"")</f>
        <v>US91282CEC10</v>
      </c>
      <c r="D396" s="5">
        <f>IF(NOT(ISBLANK(A396)),VLOOKUP(A396,'BBT3'!A:F,4,1),"")</f>
        <v>1.875</v>
      </c>
      <c r="E396">
        <f>IF(NOT(ISBLANK(A396)),VLOOKUP(A396,'BBT3'!A:F,5,0),"")</f>
        <v>46446</v>
      </c>
      <c r="F396" t="str">
        <f>IF(NOT(ISBLANK(A396)),VLOOKUP(A396,'BBT3'!A:F,6,0),"")</f>
        <v>N</v>
      </c>
      <c r="G396" t="str">
        <f t="shared" si="65"/>
        <v>N</v>
      </c>
      <c r="H396">
        <f>IF(NOT(ISBLANK(A396)),VLOOKUP(A396,'Close - PriceSaver'!A:J,5,0),"")</f>
        <v>4.0109616255287403E-2</v>
      </c>
      <c r="I396" s="4" cm="1">
        <f t="array" ref="I396">IF(NOT(ISBLANK(A396)),((_xlfn.XLOOKUP(1,(_bbt3[[#All],[ID]]=A396)*(_bbt3[[#All],[METRIC_NAME]]="YLD_YTM_ASK"),_bbt3[[#All],[METRIC_VALUE]])*0.5)+(_xlfn.XLOOKUP(1,(_bbt3[[#All],[ID]]=A396)*(_bbt3[[#All],[METRIC_NAME]]="YLD_YTM_BID"),_bbt3[[#All],[METRIC_VALUE]])*0.5))/100,"")</f>
        <v>4.011E-2</v>
      </c>
      <c r="J396">
        <f>IF(ISNA(VLOOKUP(A396,'CloseDL - PriceSaverBBT3'!A:E,5,0)),0,VLOOKUP(A396,'CloseDL - PriceSaverBBT3'!A:E,5,0))</f>
        <v>4.0109616255287403E-2</v>
      </c>
      <c r="K396" s="7">
        <f t="shared" si="66"/>
        <v>0</v>
      </c>
      <c r="L396" s="20">
        <f>IF(Close[[#This Row],[CreatedBy]]="MARINER\SilverAdm",1,0)</f>
        <v>1</v>
      </c>
      <c r="M396" t="str">
        <f>IF(NOT(ISBLANK(A396)),VLOOKUP(A396,'Close - PriceSaver'!A:J,6,0),"")</f>
        <v>DL input prc = 98.72656250  PX_ASK = 98.73828125 PX_BID = 98.71484375</v>
      </c>
      <c r="Q396" t="e">
        <f t="shared" si="58"/>
        <v>#N/A</v>
      </c>
      <c r="R396" t="e">
        <f t="shared" si="59"/>
        <v>#N/A</v>
      </c>
      <c r="S396" t="e">
        <f t="shared" si="60"/>
        <v>#N/A</v>
      </c>
      <c r="T396" s="15" t="e">
        <f t="shared" si="61"/>
        <v>#N/A</v>
      </c>
      <c r="U396" s="18" t="e">
        <f t="shared" si="62"/>
        <v>#N/A</v>
      </c>
      <c r="V396" s="18" t="e">
        <f t="shared" si="63"/>
        <v>#N/A</v>
      </c>
      <c r="W396" s="19" t="e">
        <f t="shared" si="64"/>
        <v>#N/A</v>
      </c>
      <c r="X396" t="e">
        <f>VLOOKUP(P396,Close[[ID]:[CreatedBy]],8,0)</f>
        <v>#N/A</v>
      </c>
    </row>
    <row r="397" spans="1:24" x14ac:dyDescent="0.35">
      <c r="A397" t="str">
        <v>91282CEE7</v>
      </c>
      <c r="B397" t="str">
        <f>IF(NOT(ISBLANK(A397)),VLOOKUP(A397,'BBT3'!A:F,2,0),"")</f>
        <v>Bond</v>
      </c>
      <c r="C397" t="str">
        <f>IF(NOT(ISBLANK(A397)),VLOOKUP(A397,'BBT3'!A:F,3,0),"")</f>
        <v>US91282CEE75</v>
      </c>
      <c r="D397" s="5">
        <f>IF(NOT(ISBLANK(A397)),VLOOKUP(A397,'BBT3'!A:F,4,1),"")</f>
        <v>2.375</v>
      </c>
      <c r="E397">
        <f>IF(NOT(ISBLANK(A397)),VLOOKUP(A397,'BBT3'!A:F,5,0),"")</f>
        <v>47208</v>
      </c>
      <c r="F397" t="str">
        <f>IF(NOT(ISBLANK(A397)),VLOOKUP(A397,'BBT3'!A:F,6,0),"")</f>
        <v>N</v>
      </c>
      <c r="G397" t="str">
        <f t="shared" si="65"/>
        <v>N</v>
      </c>
      <c r="H397">
        <f>IF(NOT(ISBLANK(A397)),VLOOKUP(A397,'Close - PriceSaver'!A:J,5,0),"")</f>
        <v>4.2990004926719103E-2</v>
      </c>
      <c r="I397" s="4" cm="1">
        <f t="array" ref="I397">IF(NOT(ISBLANK(A397)),((_xlfn.XLOOKUP(1,(_bbt3[[#All],[ID]]=A397)*(_bbt3[[#All],[METRIC_NAME]]="YLD_YTM_ASK"),_bbt3[[#All],[METRIC_VALUE]])*0.5)+(_xlfn.XLOOKUP(1,(_bbt3[[#All],[ID]]=A397)*(_bbt3[[#All],[METRIC_NAME]]="YLD_YTM_BID"),_bbt3[[#All],[METRIC_VALUE]])*0.5))/100,"")</f>
        <v>4.2989999999999993E-2</v>
      </c>
      <c r="J397">
        <f>IF(ISNA(VLOOKUP(A397,'CloseDL - PriceSaverBBT3'!A:E,5,0)),0,VLOOKUP(A397,'CloseDL - PriceSaverBBT3'!A:E,5,0))</f>
        <v>4.2990004926719103E-2</v>
      </c>
      <c r="K397" s="7">
        <f t="shared" si="66"/>
        <v>0</v>
      </c>
      <c r="L397" s="20">
        <f>IF(Close[[#This Row],[CreatedBy]]="MARINER\SilverAdm",1,0)</f>
        <v>1</v>
      </c>
      <c r="M397" t="str">
        <f>IF(NOT(ISBLANK(A397)),VLOOKUP(A397,'Close - PriceSaver'!A:J,6,0),"")</f>
        <v>DL input prc = 95.15625000  PX_ASK = 95.17187500 PX_BID = 95.14062500</v>
      </c>
      <c r="Q397" t="e">
        <f t="shared" si="58"/>
        <v>#N/A</v>
      </c>
      <c r="R397" t="e">
        <f t="shared" si="59"/>
        <v>#N/A</v>
      </c>
      <c r="S397" t="e">
        <f t="shared" si="60"/>
        <v>#N/A</v>
      </c>
      <c r="T397" s="15" t="e">
        <f t="shared" si="61"/>
        <v>#N/A</v>
      </c>
      <c r="U397" s="18" t="e">
        <f t="shared" si="62"/>
        <v>#N/A</v>
      </c>
      <c r="V397" s="18" t="e">
        <f t="shared" si="63"/>
        <v>#N/A</v>
      </c>
      <c r="W397" s="19" t="e">
        <f t="shared" si="64"/>
        <v>#N/A</v>
      </c>
      <c r="X397" t="e">
        <f>VLOOKUP(P397,Close[[ID]:[CreatedBy]],8,0)</f>
        <v>#N/A</v>
      </c>
    </row>
    <row r="398" spans="1:24" x14ac:dyDescent="0.35">
      <c r="A398" t="str">
        <v>91282CEF4</v>
      </c>
      <c r="B398" t="str">
        <f>IF(NOT(ISBLANK(A398)),VLOOKUP(A398,'BBT3'!A:F,2,0),"")</f>
        <v>Bond</v>
      </c>
      <c r="C398" t="str">
        <f>IF(NOT(ISBLANK(A398)),VLOOKUP(A398,'BBT3'!A:F,3,0),"")</f>
        <v>US91282CEF41</v>
      </c>
      <c r="D398" s="5">
        <f>IF(NOT(ISBLANK(A398)),VLOOKUP(A398,'BBT3'!A:F,4,1),"")</f>
        <v>2.5</v>
      </c>
      <c r="E398">
        <f>IF(NOT(ISBLANK(A398)),VLOOKUP(A398,'BBT3'!A:F,5,0),"")</f>
        <v>46477</v>
      </c>
      <c r="F398" t="str">
        <f>IF(NOT(ISBLANK(A398)),VLOOKUP(A398,'BBT3'!A:F,6,0),"")</f>
        <v>N</v>
      </c>
      <c r="G398" t="str">
        <f t="shared" si="65"/>
        <v>N</v>
      </c>
      <c r="H398">
        <f>IF(NOT(ISBLANK(A398)),VLOOKUP(A398,'Close - PriceSaver'!A:J,5,0),"")</f>
        <v>4.0436994968516903E-2</v>
      </c>
      <c r="I398" s="4" cm="1">
        <f t="array" ref="I398">IF(NOT(ISBLANK(A398)),((_xlfn.XLOOKUP(1,(_bbt3[[#All],[ID]]=A398)*(_bbt3[[#All],[METRIC_NAME]]="YLD_YTM_ASK"),_bbt3[[#All],[METRIC_VALUE]])*0.5)+(_xlfn.XLOOKUP(1,(_bbt3[[#All],[ID]]=A398)*(_bbt3[[#All],[METRIC_NAME]]="YLD_YTM_BID"),_bbt3[[#All],[METRIC_VALUE]])*0.5))/100,"")</f>
        <v>4.0434999999999999E-2</v>
      </c>
      <c r="J398">
        <f>IF(ISNA(VLOOKUP(A398,'CloseDL - PriceSaverBBT3'!A:E,5,0)),0,VLOOKUP(A398,'CloseDL - PriceSaverBBT3'!A:E,5,0))</f>
        <v>4.0436994968516903E-2</v>
      </c>
      <c r="K398" s="7">
        <f t="shared" si="66"/>
        <v>0</v>
      </c>
      <c r="L398" s="20">
        <f>IF(Close[[#This Row],[CreatedBy]]="MARINER\SilverAdm",1,0)</f>
        <v>1</v>
      </c>
      <c r="M398" t="str">
        <f>IF(NOT(ISBLANK(A398)),VLOOKUP(A398,'Close - PriceSaver'!A:J,6,0),"")</f>
        <v>DL input prc = 98.95507813  PX_ASK = 98.96484375 PX_BID = 98.94531250</v>
      </c>
      <c r="Q398" t="e">
        <f t="shared" si="58"/>
        <v>#N/A</v>
      </c>
      <c r="R398" t="e">
        <f t="shared" si="59"/>
        <v>#N/A</v>
      </c>
      <c r="S398" t="e">
        <f t="shared" si="60"/>
        <v>#N/A</v>
      </c>
      <c r="T398" s="15" t="e">
        <f t="shared" si="61"/>
        <v>#N/A</v>
      </c>
      <c r="U398" s="18" t="e">
        <f t="shared" si="62"/>
        <v>#N/A</v>
      </c>
      <c r="V398" s="18" t="e">
        <f t="shared" si="63"/>
        <v>#N/A</v>
      </c>
      <c r="W398" s="19" t="e">
        <f t="shared" si="64"/>
        <v>#N/A</v>
      </c>
      <c r="X398" t="e">
        <f>VLOOKUP(P398,Close[[ID]:[CreatedBy]],8,0)</f>
        <v>#N/A</v>
      </c>
    </row>
    <row r="399" spans="1:24" x14ac:dyDescent="0.35">
      <c r="A399" t="str">
        <v>91282CEJ6</v>
      </c>
      <c r="B399" t="str">
        <f>IF(NOT(ISBLANK(A399)),VLOOKUP(A399,'BBT3'!A:F,2,0),"")</f>
        <v>Bond</v>
      </c>
      <c r="C399" t="str">
        <f>IF(NOT(ISBLANK(A399)),VLOOKUP(A399,'BBT3'!A:F,3,0),"")</f>
        <v>US91282CEJ62</v>
      </c>
      <c r="D399" s="5">
        <f>IF(NOT(ISBLANK(A399)),VLOOKUP(A399,'BBT3'!A:F,4,1),"")</f>
        <v>0.125</v>
      </c>
      <c r="E399">
        <f>IF(NOT(ISBLANK(A399)),VLOOKUP(A399,'BBT3'!A:F,5,0),"")</f>
        <v>46492</v>
      </c>
      <c r="F399" t="str">
        <f>IF(NOT(ISBLANK(A399)),VLOOKUP(A399,'BBT3'!A:F,6,0),"")</f>
        <v>Y</v>
      </c>
      <c r="G399" t="str">
        <f t="shared" si="65"/>
        <v>N</v>
      </c>
      <c r="H399">
        <f>IF(NOT(ISBLANK(A399)),VLOOKUP(A399,'Close - PriceSaver'!A:J,5,0),"")</f>
        <v>2.8885629534640599E-2</v>
      </c>
      <c r="I399" s="4" t="e" cm="1">
        <f t="array" ref="I399">IF(NOT(ISBLANK(A399)),((_xlfn.XLOOKUP(1,(_bbt3[[#All],[ID]]=A399)*(_bbt3[[#All],[METRIC_NAME]]="YLD_YTM_ASK"),_bbt3[[#All],[METRIC_VALUE]])*0.5)+(_xlfn.XLOOKUP(1,(_bbt3[[#All],[ID]]=A399)*(_bbt3[[#All],[METRIC_NAME]]="YLD_YTM_BID"),_bbt3[[#All],[METRIC_VALUE]])*0.5))/100,"")</f>
        <v>#N/A</v>
      </c>
      <c r="J399">
        <f>IF(ISNA(VLOOKUP(A399,'CloseDL - PriceSaverBBT3'!A:E,5,0)),0,VLOOKUP(A399,'CloseDL - PriceSaverBBT3'!A:E,5,0))</f>
        <v>2.8885629534640599E-2</v>
      </c>
      <c r="K399" s="7">
        <f t="shared" si="66"/>
        <v>0</v>
      </c>
      <c r="L399" s="20">
        <f>IF(Close[[#This Row],[CreatedBy]]="MARINER\SilverAdm",1,0)</f>
        <v>1</v>
      </c>
      <c r="M399" t="str">
        <f>IF(NOT(ISBLANK(A399)),VLOOKUP(A399,'Close - PriceSaver'!A:J,6,0),"")</f>
        <v>DL input prc = 98.01171875  PX_ASK = 98.03906250 PX_BID = 97.98437500</v>
      </c>
      <c r="Q399" t="e">
        <f t="shared" si="58"/>
        <v>#N/A</v>
      </c>
      <c r="R399" t="e">
        <f t="shared" si="59"/>
        <v>#N/A</v>
      </c>
      <c r="S399" t="e">
        <f t="shared" si="60"/>
        <v>#N/A</v>
      </c>
      <c r="T399" s="15" t="e">
        <f t="shared" si="61"/>
        <v>#N/A</v>
      </c>
      <c r="U399" s="18" t="e">
        <f t="shared" si="62"/>
        <v>#N/A</v>
      </c>
      <c r="V399" s="18" t="e">
        <f t="shared" si="63"/>
        <v>#N/A</v>
      </c>
      <c r="W399" s="19" t="e">
        <f t="shared" si="64"/>
        <v>#N/A</v>
      </c>
      <c r="X399" t="e">
        <f>VLOOKUP(P399,Close[[ID]:[CreatedBy]],8,0)</f>
        <v>#N/A</v>
      </c>
    </row>
    <row r="400" spans="1:24" x14ac:dyDescent="0.35">
      <c r="A400" t="str">
        <v>91282CEM9</v>
      </c>
      <c r="B400" t="str">
        <f>IF(NOT(ISBLANK(A400)),VLOOKUP(A400,'BBT3'!A:F,2,0),"")</f>
        <v>Bond</v>
      </c>
      <c r="C400" t="str">
        <f>IF(NOT(ISBLANK(A400)),VLOOKUP(A400,'BBT3'!A:F,3,0),"")</f>
        <v>US91282CEM91</v>
      </c>
      <c r="D400" s="5">
        <f>IF(NOT(ISBLANK(A400)),VLOOKUP(A400,'BBT3'!A:F,4,1),"")</f>
        <v>2.875</v>
      </c>
      <c r="E400">
        <f>IF(NOT(ISBLANK(A400)),VLOOKUP(A400,'BBT3'!A:F,5,0),"")</f>
        <v>47238</v>
      </c>
      <c r="F400" t="str">
        <f>IF(NOT(ISBLANK(A400)),VLOOKUP(A400,'BBT3'!A:F,6,0),"")</f>
        <v>N</v>
      </c>
      <c r="G400" t="str">
        <f t="shared" si="65"/>
        <v>N</v>
      </c>
      <c r="H400">
        <f>IF(NOT(ISBLANK(A400)),VLOOKUP(A400,'Close - PriceSaver'!A:J,5,0),"")</f>
        <v>4.2945680844756903E-2</v>
      </c>
      <c r="I400" s="4" cm="1">
        <f t="array" ref="I400">IF(NOT(ISBLANK(A400)),((_xlfn.XLOOKUP(1,(_bbt3[[#All],[ID]]=A400)*(_bbt3[[#All],[METRIC_NAME]]="YLD_YTM_ASK"),_bbt3[[#All],[METRIC_VALUE]])*0.5)+(_xlfn.XLOOKUP(1,(_bbt3[[#All],[ID]]=A400)*(_bbt3[[#All],[METRIC_NAME]]="YLD_YTM_BID"),_bbt3[[#All],[METRIC_VALUE]])*0.5))/100,"")</f>
        <v>4.2945000000000004E-2</v>
      </c>
      <c r="J400">
        <f>IF(ISNA(VLOOKUP(A400,'CloseDL - PriceSaverBBT3'!A:E,5,0)),0,VLOOKUP(A400,'CloseDL - PriceSaverBBT3'!A:E,5,0))</f>
        <v>4.2945680844756903E-2</v>
      </c>
      <c r="K400" s="7">
        <f t="shared" si="66"/>
        <v>0</v>
      </c>
      <c r="L400" s="20">
        <f>IF(Close[[#This Row],[CreatedBy]]="MARINER\SilverAdm",1,0)</f>
        <v>1</v>
      </c>
      <c r="M400" t="str">
        <f>IF(NOT(ISBLANK(A400)),VLOOKUP(A400,'Close - PriceSaver'!A:J,6,0),"")</f>
        <v>DL input prc = 96.32031250  PX_ASK = 96.33593750 PX_BID = 96.30468750</v>
      </c>
      <c r="Q400" t="e">
        <f t="shared" si="58"/>
        <v>#N/A</v>
      </c>
      <c r="R400" t="e">
        <f t="shared" si="59"/>
        <v>#N/A</v>
      </c>
      <c r="S400" t="e">
        <f t="shared" si="60"/>
        <v>#N/A</v>
      </c>
      <c r="T400" s="15" t="e">
        <f t="shared" si="61"/>
        <v>#N/A</v>
      </c>
      <c r="U400" s="18" t="e">
        <f t="shared" si="62"/>
        <v>#N/A</v>
      </c>
      <c r="V400" s="18" t="e">
        <f t="shared" si="63"/>
        <v>#N/A</v>
      </c>
      <c r="W400" s="19" t="e">
        <f t="shared" si="64"/>
        <v>#N/A</v>
      </c>
      <c r="X400" t="e">
        <f>VLOOKUP(P400,Close[[ID]:[CreatedBy]],8,0)</f>
        <v>#N/A</v>
      </c>
    </row>
    <row r="401" spans="1:24" x14ac:dyDescent="0.35">
      <c r="A401" t="str">
        <v>91282CEN7</v>
      </c>
      <c r="B401" t="str">
        <f>IF(NOT(ISBLANK(A401)),VLOOKUP(A401,'BBT3'!A:F,2,0),"")</f>
        <v>Bond</v>
      </c>
      <c r="C401" t="str">
        <f>IF(NOT(ISBLANK(A401)),VLOOKUP(A401,'BBT3'!A:F,3,0),"")</f>
        <v>US91282CEN74</v>
      </c>
      <c r="D401" s="5">
        <f>IF(NOT(ISBLANK(A401)),VLOOKUP(A401,'BBT3'!A:F,4,1),"")</f>
        <v>2.75</v>
      </c>
      <c r="E401">
        <f>IF(NOT(ISBLANK(A401)),VLOOKUP(A401,'BBT3'!A:F,5,0),"")</f>
        <v>46507</v>
      </c>
      <c r="F401" t="str">
        <f>IF(NOT(ISBLANK(A401)),VLOOKUP(A401,'BBT3'!A:F,6,0),"")</f>
        <v>N</v>
      </c>
      <c r="G401" t="str">
        <f t="shared" si="65"/>
        <v>N</v>
      </c>
      <c r="H401">
        <f>IF(NOT(ISBLANK(A401)),VLOOKUP(A401,'Close - PriceSaver'!A:J,5,0),"")</f>
        <v>4.0910890115408299E-2</v>
      </c>
      <c r="I401" s="4" cm="1">
        <f t="array" ref="I401">IF(NOT(ISBLANK(A401)),((_xlfn.XLOOKUP(1,(_bbt3[[#All],[ID]]=A401)*(_bbt3[[#All],[METRIC_NAME]]="YLD_YTM_ASK"),_bbt3[[#All],[METRIC_VALUE]])*0.5)+(_xlfn.XLOOKUP(1,(_bbt3[[#All],[ID]]=A401)*(_bbt3[[#All],[METRIC_NAME]]="YLD_YTM_BID"),_bbt3[[#All],[METRIC_VALUE]])*0.5))/100,"")</f>
        <v>4.0910000000000002E-2</v>
      </c>
      <c r="J401">
        <f>IF(ISNA(VLOOKUP(A401,'CloseDL - PriceSaverBBT3'!A:E,5,0)),0,VLOOKUP(A401,'CloseDL - PriceSaverBBT3'!A:E,5,0))</f>
        <v>4.0910890115408299E-2</v>
      </c>
      <c r="K401" s="7">
        <f t="shared" si="66"/>
        <v>0</v>
      </c>
      <c r="L401" s="20">
        <f>IF(Close[[#This Row],[CreatedBy]]="MARINER\SilverAdm",1,0)</f>
        <v>1</v>
      </c>
      <c r="M401" t="str">
        <f>IF(NOT(ISBLANK(A401)),VLOOKUP(A401,'Close - PriceSaver'!A:J,6,0),"")</f>
        <v>DL input prc = 98.98437500  PX_ASK = 98.99609375 PX_BID = 98.97265625</v>
      </c>
      <c r="Q401" t="e">
        <f t="shared" si="58"/>
        <v>#N/A</v>
      </c>
      <c r="R401" t="e">
        <f t="shared" si="59"/>
        <v>#N/A</v>
      </c>
      <c r="S401" t="e">
        <f t="shared" si="60"/>
        <v>#N/A</v>
      </c>
      <c r="T401" s="15" t="e">
        <f t="shared" si="61"/>
        <v>#N/A</v>
      </c>
      <c r="U401" s="18" t="e">
        <f t="shared" si="62"/>
        <v>#N/A</v>
      </c>
      <c r="V401" s="18" t="e">
        <f t="shared" si="63"/>
        <v>#N/A</v>
      </c>
      <c r="W401" s="19" t="e">
        <f t="shared" si="64"/>
        <v>#N/A</v>
      </c>
      <c r="X401" t="e">
        <f>VLOOKUP(P401,Close[[ID]:[CreatedBy]],8,0)</f>
        <v>#N/A</v>
      </c>
    </row>
    <row r="402" spans="1:24" x14ac:dyDescent="0.35">
      <c r="A402" t="str">
        <v>91282CEP2</v>
      </c>
      <c r="B402" t="str">
        <f>IF(NOT(ISBLANK(A402)),VLOOKUP(A402,'BBT3'!A:F,2,0),"")</f>
        <v>Bond</v>
      </c>
      <c r="C402" t="str">
        <f>IF(NOT(ISBLANK(A402)),VLOOKUP(A402,'BBT3'!A:F,3,0),"")</f>
        <v>US91282CEP23</v>
      </c>
      <c r="D402" s="5">
        <f>IF(NOT(ISBLANK(A402)),VLOOKUP(A402,'BBT3'!A:F,4,1),"")</f>
        <v>2.875</v>
      </c>
      <c r="E402">
        <f>IF(NOT(ISBLANK(A402)),VLOOKUP(A402,'BBT3'!A:F,5,0),"")</f>
        <v>48349</v>
      </c>
      <c r="F402" t="str">
        <f>IF(NOT(ISBLANK(A402)),VLOOKUP(A402,'BBT3'!A:F,6,0),"")</f>
        <v>N</v>
      </c>
      <c r="G402" t="str">
        <f t="shared" si="65"/>
        <v>N</v>
      </c>
      <c r="H402">
        <f>IF(NOT(ISBLANK(A402)),VLOOKUP(A402,'Close - PriceSaver'!A:J,5,0),"")</f>
        <v>4.4322870430197801E-2</v>
      </c>
      <c r="I402" s="4" cm="1">
        <f t="array" ref="I402">IF(NOT(ISBLANK(A402)),((_xlfn.XLOOKUP(1,(_bbt3[[#All],[ID]]=A402)*(_bbt3[[#All],[METRIC_NAME]]="YLD_YTM_ASK"),_bbt3[[#All],[METRIC_VALUE]])*0.5)+(_xlfn.XLOOKUP(1,(_bbt3[[#All],[ID]]=A402)*(_bbt3[[#All],[METRIC_NAME]]="YLD_YTM_BID"),_bbt3[[#All],[METRIC_VALUE]])*0.5))/100,"")</f>
        <v>4.4320000000000005E-2</v>
      </c>
      <c r="J402">
        <f>IF(ISNA(VLOOKUP(A402,'CloseDL - PriceSaverBBT3'!A:E,5,0)),0,VLOOKUP(A402,'CloseDL - PriceSaverBBT3'!A:E,5,0))</f>
        <v>4.4322870430197801E-2</v>
      </c>
      <c r="K402" s="7">
        <f t="shared" si="66"/>
        <v>0</v>
      </c>
      <c r="L402" s="20">
        <f>IF(Close[[#This Row],[CreatedBy]]="MARINER\SilverAdm",1,0)</f>
        <v>1</v>
      </c>
      <c r="M402" t="str">
        <f>IF(NOT(ISBLANK(A402)),VLOOKUP(A402,'Close - PriceSaver'!A:J,6,0),"")</f>
        <v>DL input prc = 92.08984375  PX_ASK = 92.10937500 PX_BID = 92.07031250</v>
      </c>
      <c r="Q402" t="e">
        <f t="shared" si="58"/>
        <v>#N/A</v>
      </c>
      <c r="R402" t="e">
        <f t="shared" si="59"/>
        <v>#N/A</v>
      </c>
      <c r="S402" t="e">
        <f t="shared" si="60"/>
        <v>#N/A</v>
      </c>
      <c r="T402" s="15" t="e">
        <f t="shared" si="61"/>
        <v>#N/A</v>
      </c>
      <c r="U402" s="18" t="e">
        <f t="shared" si="62"/>
        <v>#N/A</v>
      </c>
      <c r="V402" s="18" t="e">
        <f t="shared" si="63"/>
        <v>#N/A</v>
      </c>
      <c r="W402" s="19" t="e">
        <f t="shared" si="64"/>
        <v>#N/A</v>
      </c>
      <c r="X402" t="e">
        <f>VLOOKUP(P402,Close[[ID]:[CreatedBy]],8,0)</f>
        <v>#N/A</v>
      </c>
    </row>
    <row r="403" spans="1:24" x14ac:dyDescent="0.35">
      <c r="A403" t="str">
        <v>91282CES6</v>
      </c>
      <c r="B403" t="str">
        <f>IF(NOT(ISBLANK(A403)),VLOOKUP(A403,'BBT3'!A:F,2,0),"")</f>
        <v>Bond</v>
      </c>
      <c r="C403" t="str">
        <f>IF(NOT(ISBLANK(A403)),VLOOKUP(A403,'BBT3'!A:F,3,0),"")</f>
        <v>US91282CES61</v>
      </c>
      <c r="D403" s="5">
        <f>IF(NOT(ISBLANK(A403)),VLOOKUP(A403,'BBT3'!A:F,4,1),"")</f>
        <v>2.75</v>
      </c>
      <c r="E403">
        <f>IF(NOT(ISBLANK(A403)),VLOOKUP(A403,'BBT3'!A:F,5,0),"")</f>
        <v>47269</v>
      </c>
      <c r="F403" t="str">
        <f>IF(NOT(ISBLANK(A403)),VLOOKUP(A403,'BBT3'!A:F,6,0),"")</f>
        <v>N</v>
      </c>
      <c r="G403" t="str">
        <f t="shared" si="65"/>
        <v>N</v>
      </c>
      <c r="H403">
        <f>IF(NOT(ISBLANK(A403)),VLOOKUP(A403,'Close - PriceSaver'!A:J,5,0),"")</f>
        <v>4.2966350179115403E-2</v>
      </c>
      <c r="I403" s="4" cm="1">
        <f t="array" ref="I403">IF(NOT(ISBLANK(A403)),((_xlfn.XLOOKUP(1,(_bbt3[[#All],[ID]]=A403)*(_bbt3[[#All],[METRIC_NAME]]="YLD_YTM_ASK"),_bbt3[[#All],[METRIC_VALUE]])*0.5)+(_xlfn.XLOOKUP(1,(_bbt3[[#All],[ID]]=A403)*(_bbt3[[#All],[METRIC_NAME]]="YLD_YTM_BID"),_bbt3[[#All],[METRIC_VALUE]])*0.5))/100,"")</f>
        <v>4.2965000000000003E-2</v>
      </c>
      <c r="J403">
        <f>IF(ISNA(VLOOKUP(A403,'CloseDL - PriceSaverBBT3'!A:E,5,0)),0,VLOOKUP(A403,'CloseDL - PriceSaverBBT3'!A:E,5,0))</f>
        <v>4.2966350179115403E-2</v>
      </c>
      <c r="K403" s="7">
        <f t="shared" si="66"/>
        <v>0</v>
      </c>
      <c r="L403" s="20">
        <f>IF(Close[[#This Row],[CreatedBy]]="MARINER\SilverAdm",1,0)</f>
        <v>1</v>
      </c>
      <c r="M403" t="str">
        <f>IF(NOT(ISBLANK(A403)),VLOOKUP(A403,'Close - PriceSaver'!A:J,6,0),"")</f>
        <v>DL input prc = 95.87890625  PX_ASK = 95.89843750 PX_BID = 95.85937500</v>
      </c>
      <c r="Q403" t="e">
        <f t="shared" si="58"/>
        <v>#N/A</v>
      </c>
      <c r="R403" t="e">
        <f t="shared" si="59"/>
        <v>#N/A</v>
      </c>
      <c r="S403" t="e">
        <f t="shared" si="60"/>
        <v>#N/A</v>
      </c>
      <c r="T403" s="15" t="e">
        <f t="shared" si="61"/>
        <v>#N/A</v>
      </c>
      <c r="U403" s="18" t="e">
        <f t="shared" si="62"/>
        <v>#N/A</v>
      </c>
      <c r="V403" s="18" t="e">
        <f t="shared" si="63"/>
        <v>#N/A</v>
      </c>
      <c r="W403" s="19" t="e">
        <f t="shared" si="64"/>
        <v>#N/A</v>
      </c>
      <c r="X403" t="e">
        <f>VLOOKUP(P403,Close[[ID]:[CreatedBy]],8,0)</f>
        <v>#N/A</v>
      </c>
    </row>
    <row r="404" spans="1:24" x14ac:dyDescent="0.35">
      <c r="A404" t="str">
        <v>91282CET4</v>
      </c>
      <c r="B404" t="str">
        <f>IF(NOT(ISBLANK(A404)),VLOOKUP(A404,'BBT3'!A:F,2,0),"")</f>
        <v>Bond</v>
      </c>
      <c r="C404" t="str">
        <f>IF(NOT(ISBLANK(A404)),VLOOKUP(A404,'BBT3'!A:F,3,0),"")</f>
        <v>US91282CET45</v>
      </c>
      <c r="D404" s="5">
        <f>IF(NOT(ISBLANK(A404)),VLOOKUP(A404,'BBT3'!A:F,4,1),"")</f>
        <v>2.625</v>
      </c>
      <c r="E404">
        <f>IF(NOT(ISBLANK(A404)),VLOOKUP(A404,'BBT3'!A:F,5,0),"")</f>
        <v>46538</v>
      </c>
      <c r="F404" t="str">
        <f>IF(NOT(ISBLANK(A404)),VLOOKUP(A404,'BBT3'!A:F,6,0),"")</f>
        <v>N</v>
      </c>
      <c r="G404" t="str">
        <f t="shared" si="65"/>
        <v>N</v>
      </c>
      <c r="H404">
        <f>IF(NOT(ISBLANK(A404)),VLOOKUP(A404,'Close - PriceSaver'!A:J,5,0),"")</f>
        <v>4.1196022210403097E-2</v>
      </c>
      <c r="I404" s="4" cm="1">
        <f t="array" ref="I404">IF(NOT(ISBLANK(A404)),((_xlfn.XLOOKUP(1,(_bbt3[[#All],[ID]]=A404)*(_bbt3[[#All],[METRIC_NAME]]="YLD_YTM_ASK"),_bbt3[[#All],[METRIC_VALUE]])*0.5)+(_xlfn.XLOOKUP(1,(_bbt3[[#All],[ID]]=A404)*(_bbt3[[#All],[METRIC_NAME]]="YLD_YTM_BID"),_bbt3[[#All],[METRIC_VALUE]])*0.5))/100,"")</f>
        <v>4.1195000000000002E-2</v>
      </c>
      <c r="J404">
        <f>IF(ISNA(VLOOKUP(A404,'CloseDL - PriceSaverBBT3'!A:E,5,0)),0,VLOOKUP(A404,'CloseDL - PriceSaverBBT3'!A:E,5,0))</f>
        <v>4.1196022210403097E-2</v>
      </c>
      <c r="K404" s="7">
        <f t="shared" si="66"/>
        <v>0</v>
      </c>
      <c r="L404" s="20">
        <f>IF(Close[[#This Row],[CreatedBy]]="MARINER\SilverAdm",1,0)</f>
        <v>1</v>
      </c>
      <c r="M404" t="str">
        <f>IF(NOT(ISBLANK(A404)),VLOOKUP(A404,'Close - PriceSaver'!A:J,6,0),"")</f>
        <v>DL input prc = 98.75000000  PX_ASK = 98.76171875 PX_BID = 98.73828125</v>
      </c>
      <c r="Q404" t="e">
        <f t="shared" si="58"/>
        <v>#N/A</v>
      </c>
      <c r="R404" t="e">
        <f t="shared" si="59"/>
        <v>#N/A</v>
      </c>
      <c r="S404" t="e">
        <f t="shared" si="60"/>
        <v>#N/A</v>
      </c>
      <c r="T404" s="15" t="e">
        <f t="shared" si="61"/>
        <v>#N/A</v>
      </c>
      <c r="U404" s="18" t="e">
        <f t="shared" si="62"/>
        <v>#N/A</v>
      </c>
      <c r="V404" s="18" t="e">
        <f t="shared" si="63"/>
        <v>#N/A</v>
      </c>
      <c r="W404" s="19" t="e">
        <f t="shared" si="64"/>
        <v>#N/A</v>
      </c>
      <c r="X404" t="e">
        <f>VLOOKUP(P404,Close[[ID]:[CreatedBy]],8,0)</f>
        <v>#N/A</v>
      </c>
    </row>
    <row r="405" spans="1:24" x14ac:dyDescent="0.35">
      <c r="A405" t="str">
        <v>91282CEV9</v>
      </c>
      <c r="B405" t="str">
        <f>IF(NOT(ISBLANK(A405)),VLOOKUP(A405,'BBT3'!A:F,2,0),"")</f>
        <v>Bond</v>
      </c>
      <c r="C405" t="str">
        <f>IF(NOT(ISBLANK(A405)),VLOOKUP(A405,'BBT3'!A:F,3,0),"")</f>
        <v>US91282CEV90</v>
      </c>
      <c r="D405" s="5">
        <f>IF(NOT(ISBLANK(A405)),VLOOKUP(A405,'BBT3'!A:F,4,1),"")</f>
        <v>3.25</v>
      </c>
      <c r="E405">
        <f>IF(NOT(ISBLANK(A405)),VLOOKUP(A405,'BBT3'!A:F,5,0),"")</f>
        <v>47299</v>
      </c>
      <c r="F405" t="str">
        <f>IF(NOT(ISBLANK(A405)),VLOOKUP(A405,'BBT3'!A:F,6,0),"")</f>
        <v>N</v>
      </c>
      <c r="G405" t="str">
        <f t="shared" si="65"/>
        <v>N</v>
      </c>
      <c r="H405">
        <f>IF(NOT(ISBLANK(A405)),VLOOKUP(A405,'Close - PriceSaver'!A:J,5,0),"")</f>
        <v>4.3036505507501599E-2</v>
      </c>
      <c r="I405" s="4" cm="1">
        <f t="array" ref="I405">IF(NOT(ISBLANK(A405)),((_xlfn.XLOOKUP(1,(_bbt3[[#All],[ID]]=A405)*(_bbt3[[#All],[METRIC_NAME]]="YLD_YTM_ASK"),_bbt3[[#All],[METRIC_VALUE]])*0.5)+(_xlfn.XLOOKUP(1,(_bbt3[[#All],[ID]]=A405)*(_bbt3[[#All],[METRIC_NAME]]="YLD_YTM_BID"),_bbt3[[#All],[METRIC_VALUE]])*0.5))/100,"")</f>
        <v>4.3034999999999997E-2</v>
      </c>
      <c r="J405">
        <f>IF(ISNA(VLOOKUP(A405,'CloseDL - PriceSaverBBT3'!A:E,5,0)),0,VLOOKUP(A405,'CloseDL - PriceSaverBBT3'!A:E,5,0))</f>
        <v>4.3036505507501599E-2</v>
      </c>
      <c r="K405" s="7">
        <f t="shared" si="66"/>
        <v>0</v>
      </c>
      <c r="L405" s="20">
        <f>IF(Close[[#This Row],[CreatedBy]]="MARINER\SilverAdm",1,0)</f>
        <v>1</v>
      </c>
      <c r="M405" t="str">
        <f>IF(NOT(ISBLANK(A405)),VLOOKUP(A405,'Close - PriceSaver'!A:J,6,0),"")</f>
        <v>DL input prc = 97.11718750  PX_ASK = 97.13281250 PX_BID = 97.10156250</v>
      </c>
      <c r="Q405" t="e">
        <f t="shared" si="58"/>
        <v>#N/A</v>
      </c>
      <c r="R405" t="e">
        <f t="shared" si="59"/>
        <v>#N/A</v>
      </c>
      <c r="S405" t="e">
        <f t="shared" si="60"/>
        <v>#N/A</v>
      </c>
      <c r="T405" s="15" t="e">
        <f t="shared" si="61"/>
        <v>#N/A</v>
      </c>
      <c r="U405" s="18" t="e">
        <f t="shared" si="62"/>
        <v>#N/A</v>
      </c>
      <c r="V405" s="18" t="e">
        <f t="shared" si="63"/>
        <v>#N/A</v>
      </c>
      <c r="W405" s="19" t="e">
        <f t="shared" si="64"/>
        <v>#N/A</v>
      </c>
      <c r="X405" t="e">
        <f>VLOOKUP(P405,Close[[ID]:[CreatedBy]],8,0)</f>
        <v>#N/A</v>
      </c>
    </row>
    <row r="406" spans="1:24" x14ac:dyDescent="0.35">
      <c r="A406" t="str">
        <v>91282CEW7</v>
      </c>
      <c r="B406" t="str">
        <f>IF(NOT(ISBLANK(A406)),VLOOKUP(A406,'BBT3'!A:F,2,0),"")</f>
        <v>Bond</v>
      </c>
      <c r="C406" t="str">
        <f>IF(NOT(ISBLANK(A406)),VLOOKUP(A406,'BBT3'!A:F,3,0),"")</f>
        <v>US91282CEW73</v>
      </c>
      <c r="D406" s="5">
        <f>IF(NOT(ISBLANK(A406)),VLOOKUP(A406,'BBT3'!A:F,4,1),"")</f>
        <v>3.25</v>
      </c>
      <c r="E406">
        <f>IF(NOT(ISBLANK(A406)),VLOOKUP(A406,'BBT3'!A:F,5,0),"")</f>
        <v>46568</v>
      </c>
      <c r="F406" t="str">
        <f>IF(NOT(ISBLANK(A406)),VLOOKUP(A406,'BBT3'!A:F,6,0),"")</f>
        <v>N</v>
      </c>
      <c r="G406" t="str">
        <f t="shared" si="65"/>
        <v>N</v>
      </c>
      <c r="H406">
        <f>IF(NOT(ISBLANK(A406)),VLOOKUP(A406,'Close - PriceSaver'!A:J,5,0),"")</f>
        <v>4.1337728151032802E-2</v>
      </c>
      <c r="I406" s="4" cm="1">
        <f t="array" ref="I406">IF(NOT(ISBLANK(A406)),((_xlfn.XLOOKUP(1,(_bbt3[[#All],[ID]]=A406)*(_bbt3[[#All],[METRIC_NAME]]="YLD_YTM_ASK"),_bbt3[[#All],[METRIC_VALUE]])*0.5)+(_xlfn.XLOOKUP(1,(_bbt3[[#All],[ID]]=A406)*(_bbt3[[#All],[METRIC_NAME]]="YLD_YTM_BID"),_bbt3[[#All],[METRIC_VALUE]])*0.5))/100,"")</f>
        <v>4.1340000000000002E-2</v>
      </c>
      <c r="J406">
        <f>IF(ISNA(VLOOKUP(A406,'CloseDL - PriceSaverBBT3'!A:E,5,0)),0,VLOOKUP(A406,'CloseDL - PriceSaverBBT3'!A:E,5,0))</f>
        <v>4.1337728151032802E-2</v>
      </c>
      <c r="K406" s="7">
        <f t="shared" si="66"/>
        <v>0</v>
      </c>
      <c r="L406" s="20">
        <f>IF(Close[[#This Row],[CreatedBy]]="MARINER\SilverAdm",1,0)</f>
        <v>1</v>
      </c>
      <c r="M406" t="str">
        <f>IF(NOT(ISBLANK(A406)),VLOOKUP(A406,'Close - PriceSaver'!A:J,6,0),"")</f>
        <v>DL input prc = 99.19140625  PX_ASK = 99.20312500 PX_BID = 99.17968750</v>
      </c>
      <c r="Q406" t="e">
        <f t="shared" si="58"/>
        <v>#N/A</v>
      </c>
      <c r="R406" t="e">
        <f t="shared" si="59"/>
        <v>#N/A</v>
      </c>
      <c r="S406" t="e">
        <f t="shared" si="60"/>
        <v>#N/A</v>
      </c>
      <c r="T406" s="15" t="e">
        <f t="shared" si="61"/>
        <v>#N/A</v>
      </c>
      <c r="U406" s="18" t="e">
        <f t="shared" si="62"/>
        <v>#N/A</v>
      </c>
      <c r="V406" s="18" t="e">
        <f t="shared" si="63"/>
        <v>#N/A</v>
      </c>
      <c r="W406" s="19" t="e">
        <f t="shared" si="64"/>
        <v>#N/A</v>
      </c>
      <c r="X406" t="e">
        <f>VLOOKUP(P406,Close[[ID]:[CreatedBy]],8,0)</f>
        <v>#N/A</v>
      </c>
    </row>
    <row r="407" spans="1:24" x14ac:dyDescent="0.35">
      <c r="A407" t="str">
        <v>91282CEZ0</v>
      </c>
      <c r="B407" t="str">
        <f>IF(NOT(ISBLANK(A407)),VLOOKUP(A407,'BBT3'!A:F,2,0),"")</f>
        <v>Bond</v>
      </c>
      <c r="C407" t="str">
        <f>IF(NOT(ISBLANK(A407)),VLOOKUP(A407,'BBT3'!A:F,3,0),"")</f>
        <v>US91282CEZ05</v>
      </c>
      <c r="D407" s="5">
        <f>IF(NOT(ISBLANK(A407)),VLOOKUP(A407,'BBT3'!A:F,4,1),"")</f>
        <v>0.625</v>
      </c>
      <c r="E407">
        <f>IF(NOT(ISBLANK(A407)),VLOOKUP(A407,'BBT3'!A:F,5,0),"")</f>
        <v>48410</v>
      </c>
      <c r="F407" t="str">
        <f>IF(NOT(ISBLANK(A407)),VLOOKUP(A407,'BBT3'!A:F,6,0),"")</f>
        <v>Y</v>
      </c>
      <c r="G407" t="str">
        <f t="shared" si="65"/>
        <v>N</v>
      </c>
      <c r="H407">
        <f>IF(NOT(ISBLANK(A407)),VLOOKUP(A407,'Close - PriceSaver'!A:J,5,0),"")</f>
        <v>2.0451880879679699E-2</v>
      </c>
      <c r="I407" s="4" t="e" cm="1">
        <f t="array" ref="I407">IF(NOT(ISBLANK(A407)),((_xlfn.XLOOKUP(1,(_bbt3[[#All],[ID]]=A407)*(_bbt3[[#All],[METRIC_NAME]]="YLD_YTM_ASK"),_bbt3[[#All],[METRIC_VALUE]])*0.5)+(_xlfn.XLOOKUP(1,(_bbt3[[#All],[ID]]=A407)*(_bbt3[[#All],[METRIC_NAME]]="YLD_YTM_BID"),_bbt3[[#All],[METRIC_VALUE]])*0.5))/100,"")</f>
        <v>#N/A</v>
      </c>
      <c r="J407">
        <f>IF(ISNA(VLOOKUP(A407,'CloseDL - PriceSaverBBT3'!A:E,5,0)),0,VLOOKUP(A407,'CloseDL - PriceSaverBBT3'!A:E,5,0))</f>
        <v>2.0451880879679699E-2</v>
      </c>
      <c r="K407" s="7">
        <f t="shared" si="66"/>
        <v>0</v>
      </c>
      <c r="L407" s="20">
        <f>IF(Close[[#This Row],[CreatedBy]]="MARINER\SilverAdm",1,0)</f>
        <v>1</v>
      </c>
      <c r="M407" t="str">
        <f>IF(NOT(ISBLANK(A407)),VLOOKUP(A407,'Close - PriceSaver'!A:J,6,0),"")</f>
        <v>DL input prc = 92.04296875  PX_ASK = 92.07031250 PX_BID = 92.01562500</v>
      </c>
      <c r="Q407" t="e">
        <f t="shared" si="58"/>
        <v>#N/A</v>
      </c>
      <c r="R407" t="e">
        <f t="shared" si="59"/>
        <v>#N/A</v>
      </c>
      <c r="S407" t="e">
        <f t="shared" si="60"/>
        <v>#N/A</v>
      </c>
      <c r="T407" s="15" t="e">
        <f t="shared" si="61"/>
        <v>#N/A</v>
      </c>
      <c r="U407" s="18" t="e">
        <f t="shared" si="62"/>
        <v>#N/A</v>
      </c>
      <c r="V407" s="18" t="e">
        <f t="shared" si="63"/>
        <v>#N/A</v>
      </c>
      <c r="W407" s="19" t="e">
        <f t="shared" si="64"/>
        <v>#N/A</v>
      </c>
      <c r="X407" t="e">
        <f>VLOOKUP(P407,Close[[ID]:[CreatedBy]],8,0)</f>
        <v>#N/A</v>
      </c>
    </row>
    <row r="408" spans="1:24" x14ac:dyDescent="0.35">
      <c r="A408" t="str">
        <v>91282CFB2</v>
      </c>
      <c r="B408" t="str">
        <f>IF(NOT(ISBLANK(A408)),VLOOKUP(A408,'BBT3'!A:F,2,0),"")</f>
        <v>Bond</v>
      </c>
      <c r="C408" t="str">
        <f>IF(NOT(ISBLANK(A408)),VLOOKUP(A408,'BBT3'!A:F,3,0),"")</f>
        <v>US91282CFB28</v>
      </c>
      <c r="D408" s="5">
        <f>IF(NOT(ISBLANK(A408)),VLOOKUP(A408,'BBT3'!A:F,4,1),"")</f>
        <v>2.75</v>
      </c>
      <c r="E408">
        <f>IF(NOT(ISBLANK(A408)),VLOOKUP(A408,'BBT3'!A:F,5,0),"")</f>
        <v>46599</v>
      </c>
      <c r="F408" t="str">
        <f>IF(NOT(ISBLANK(A408)),VLOOKUP(A408,'BBT3'!A:F,6,0),"")</f>
        <v>N</v>
      </c>
      <c r="G408" t="str">
        <f t="shared" si="65"/>
        <v>N</v>
      </c>
      <c r="H408">
        <f>IF(NOT(ISBLANK(A408)),VLOOKUP(A408,'Close - PriceSaver'!A:J,5,0),"")</f>
        <v>4.18109012717926E-2</v>
      </c>
      <c r="I408" s="4" cm="1">
        <f t="array" ref="I408">IF(NOT(ISBLANK(A408)),((_xlfn.XLOOKUP(1,(_bbt3[[#All],[ID]]=A408)*(_bbt3[[#All],[METRIC_NAME]]="YLD_YTM_ASK"),_bbt3[[#All],[METRIC_VALUE]])*0.5)+(_xlfn.XLOOKUP(1,(_bbt3[[#All],[ID]]=A408)*(_bbt3[[#All],[METRIC_NAME]]="YLD_YTM_BID"),_bbt3[[#All],[METRIC_VALUE]])*0.5))/100,"")</f>
        <v>4.181E-2</v>
      </c>
      <c r="J408">
        <f>IF(ISNA(VLOOKUP(A408,'CloseDL - PriceSaverBBT3'!A:E,5,0)),0,VLOOKUP(A408,'CloseDL - PriceSaverBBT3'!A:E,5,0))</f>
        <v>4.18109012717926E-2</v>
      </c>
      <c r="K408" s="7">
        <f t="shared" si="66"/>
        <v>0</v>
      </c>
      <c r="L408" s="20">
        <f>IF(Close[[#This Row],[CreatedBy]]="MARINER\SilverAdm",1,0)</f>
        <v>1</v>
      </c>
      <c r="M408" t="str">
        <f>IF(NOT(ISBLANK(A408)),VLOOKUP(A408,'Close - PriceSaver'!A:J,6,0),"")</f>
        <v>DL input prc = 98.57812500  PX_ASK = 98.59375000 PX_BID = 98.56250000</v>
      </c>
      <c r="Q408" t="e">
        <f t="shared" si="58"/>
        <v>#N/A</v>
      </c>
      <c r="R408" t="e">
        <f t="shared" si="59"/>
        <v>#N/A</v>
      </c>
      <c r="S408" t="e">
        <f t="shared" si="60"/>
        <v>#N/A</v>
      </c>
      <c r="T408" s="15" t="e">
        <f t="shared" si="61"/>
        <v>#N/A</v>
      </c>
      <c r="U408" s="18" t="e">
        <f t="shared" si="62"/>
        <v>#N/A</v>
      </c>
      <c r="V408" s="18" t="e">
        <f t="shared" si="63"/>
        <v>#N/A</v>
      </c>
      <c r="W408" s="19" t="e">
        <f t="shared" si="64"/>
        <v>#N/A</v>
      </c>
      <c r="X408" t="e">
        <f>VLOOKUP(P408,Close[[ID]:[CreatedBy]],8,0)</f>
        <v>#N/A</v>
      </c>
    </row>
    <row r="409" spans="1:24" x14ac:dyDescent="0.35">
      <c r="A409" t="str">
        <v>91282CFC0</v>
      </c>
      <c r="B409" t="str">
        <f>IF(NOT(ISBLANK(A409)),VLOOKUP(A409,'BBT3'!A:F,2,0),"")</f>
        <v>Bond</v>
      </c>
      <c r="C409" t="str">
        <f>IF(NOT(ISBLANK(A409)),VLOOKUP(A409,'BBT3'!A:F,3,0),"")</f>
        <v>US91282CFC01</v>
      </c>
      <c r="D409" s="5">
        <f>IF(NOT(ISBLANK(A409)),VLOOKUP(A409,'BBT3'!A:F,4,1),"")</f>
        <v>2.625</v>
      </c>
      <c r="E409">
        <f>IF(NOT(ISBLANK(A409)),VLOOKUP(A409,'BBT3'!A:F,5,0),"")</f>
        <v>47330</v>
      </c>
      <c r="F409" t="str">
        <f>IF(NOT(ISBLANK(A409)),VLOOKUP(A409,'BBT3'!A:F,6,0),"")</f>
        <v>N</v>
      </c>
      <c r="G409" t="str">
        <f t="shared" si="65"/>
        <v>N</v>
      </c>
      <c r="H409">
        <f>IF(NOT(ISBLANK(A409)),VLOOKUP(A409,'Close - PriceSaver'!A:J,5,0),"")</f>
        <v>4.3023773427325503E-2</v>
      </c>
      <c r="I409" s="4" cm="1">
        <f t="array" ref="I409">IF(NOT(ISBLANK(A409)),((_xlfn.XLOOKUP(1,(_bbt3[[#All],[ID]]=A409)*(_bbt3[[#All],[METRIC_NAME]]="YLD_YTM_ASK"),_bbt3[[#All],[METRIC_VALUE]])*0.5)+(_xlfn.XLOOKUP(1,(_bbt3[[#All],[ID]]=A409)*(_bbt3[[#All],[METRIC_NAME]]="YLD_YTM_BID"),_bbt3[[#All],[METRIC_VALUE]])*0.5))/100,"")</f>
        <v>4.3025000000000001E-2</v>
      </c>
      <c r="J409">
        <f>IF(ISNA(VLOOKUP(A409,'CloseDL - PriceSaverBBT3'!A:E,5,0)),0,VLOOKUP(A409,'CloseDL - PriceSaverBBT3'!A:E,5,0))</f>
        <v>4.3023773427325503E-2</v>
      </c>
      <c r="K409" s="7">
        <f t="shared" si="66"/>
        <v>0</v>
      </c>
      <c r="L409" s="20">
        <f>IF(Close[[#This Row],[CreatedBy]]="MARINER\SilverAdm",1,0)</f>
        <v>1</v>
      </c>
      <c r="M409" t="str">
        <f>IF(NOT(ISBLANK(A409)),VLOOKUP(A409,'Close - PriceSaver'!A:J,6,0),"")</f>
        <v>DL input prc = 95.28906250  PX_ASK = 95.31250000 PX_BID = 95.26562500</v>
      </c>
      <c r="Q409" t="e">
        <f t="shared" si="58"/>
        <v>#N/A</v>
      </c>
      <c r="R409" t="e">
        <f t="shared" si="59"/>
        <v>#N/A</v>
      </c>
      <c r="S409" t="e">
        <f t="shared" si="60"/>
        <v>#N/A</v>
      </c>
      <c r="T409" s="15" t="e">
        <f t="shared" si="61"/>
        <v>#N/A</v>
      </c>
      <c r="U409" s="18" t="e">
        <f t="shared" si="62"/>
        <v>#N/A</v>
      </c>
      <c r="V409" s="18" t="e">
        <f t="shared" si="63"/>
        <v>#N/A</v>
      </c>
      <c r="W409" s="19" t="e">
        <f t="shared" si="64"/>
        <v>#N/A</v>
      </c>
      <c r="X409" t="e">
        <f>VLOOKUP(P409,Close[[ID]:[CreatedBy]],8,0)</f>
        <v>#N/A</v>
      </c>
    </row>
    <row r="410" spans="1:24" x14ac:dyDescent="0.35">
      <c r="A410" t="str">
        <v>91282CFF3</v>
      </c>
      <c r="B410" t="str">
        <f>IF(NOT(ISBLANK(A410)),VLOOKUP(A410,'BBT3'!A:F,2,0),"")</f>
        <v>Bond</v>
      </c>
      <c r="C410" t="str">
        <f>IF(NOT(ISBLANK(A410)),VLOOKUP(A410,'BBT3'!A:F,3,0),"")</f>
        <v>US91282CFF32</v>
      </c>
      <c r="D410" s="5">
        <f>IF(NOT(ISBLANK(A410)),VLOOKUP(A410,'BBT3'!A:F,4,1),"")</f>
        <v>2.75</v>
      </c>
      <c r="E410">
        <f>IF(NOT(ISBLANK(A410)),VLOOKUP(A410,'BBT3'!A:F,5,0),"")</f>
        <v>48441</v>
      </c>
      <c r="F410" t="str">
        <f>IF(NOT(ISBLANK(A410)),VLOOKUP(A410,'BBT3'!A:F,6,0),"")</f>
        <v>N</v>
      </c>
      <c r="G410" t="str">
        <f t="shared" si="65"/>
        <v>N</v>
      </c>
      <c r="H410">
        <f>IF(NOT(ISBLANK(A410)),VLOOKUP(A410,'Close - PriceSaver'!A:J,5,0),"")</f>
        <v>4.44840071138514E-2</v>
      </c>
      <c r="I410" s="4" cm="1">
        <f t="array" ref="I410">IF(NOT(ISBLANK(A410)),((_xlfn.XLOOKUP(1,(_bbt3[[#All],[ID]]=A410)*(_bbt3[[#All],[METRIC_NAME]]="YLD_YTM_ASK"),_bbt3[[#All],[METRIC_VALUE]])*0.5)+(_xlfn.XLOOKUP(1,(_bbt3[[#All],[ID]]=A410)*(_bbt3[[#All],[METRIC_NAME]]="YLD_YTM_BID"),_bbt3[[#All],[METRIC_VALUE]])*0.5))/100,"")</f>
        <v>4.4485000000000004E-2</v>
      </c>
      <c r="J410">
        <f>IF(ISNA(VLOOKUP(A410,'CloseDL - PriceSaverBBT3'!A:E,5,0)),0,VLOOKUP(A410,'CloseDL - PriceSaverBBT3'!A:E,5,0))</f>
        <v>4.44840071138514E-2</v>
      </c>
      <c r="K410" s="7">
        <f t="shared" si="66"/>
        <v>0</v>
      </c>
      <c r="L410" s="20">
        <f>IF(Close[[#This Row],[CreatedBy]]="MARINER\SilverAdm",1,0)</f>
        <v>1</v>
      </c>
      <c r="M410" t="str">
        <f>IF(NOT(ISBLANK(A410)),VLOOKUP(A410,'Close - PriceSaver'!A:J,6,0),"")</f>
        <v>DL input prc = 91.05468750  PX_ASK = 91.07812500 PX_BID = 91.03125000</v>
      </c>
      <c r="Q410" t="e">
        <f t="shared" si="58"/>
        <v>#N/A</v>
      </c>
      <c r="R410" t="e">
        <f t="shared" si="59"/>
        <v>#N/A</v>
      </c>
      <c r="S410" t="e">
        <f t="shared" si="60"/>
        <v>#N/A</v>
      </c>
      <c r="T410" s="15" t="e">
        <f t="shared" si="61"/>
        <v>#N/A</v>
      </c>
      <c r="U410" s="18" t="e">
        <f t="shared" si="62"/>
        <v>#N/A</v>
      </c>
      <c r="V410" s="18" t="e">
        <f t="shared" si="63"/>
        <v>#N/A</v>
      </c>
      <c r="W410" s="19" t="e">
        <f t="shared" si="64"/>
        <v>#N/A</v>
      </c>
      <c r="X410" t="e">
        <f>VLOOKUP(P410,Close[[ID]:[CreatedBy]],8,0)</f>
        <v>#N/A</v>
      </c>
    </row>
    <row r="411" spans="1:24" x14ac:dyDescent="0.35">
      <c r="A411" t="str">
        <v>91282CFH9</v>
      </c>
      <c r="B411" t="str">
        <f>IF(NOT(ISBLANK(A411)),VLOOKUP(A411,'BBT3'!A:F,2,0),"")</f>
        <v>Bond</v>
      </c>
      <c r="C411" t="str">
        <f>IF(NOT(ISBLANK(A411)),VLOOKUP(A411,'BBT3'!A:F,3,0),"")</f>
        <v>US91282CFH97</v>
      </c>
      <c r="D411" s="5">
        <f>IF(NOT(ISBLANK(A411)),VLOOKUP(A411,'BBT3'!A:F,4,1),"")</f>
        <v>3.125</v>
      </c>
      <c r="E411">
        <f>IF(NOT(ISBLANK(A411)),VLOOKUP(A411,'BBT3'!A:F,5,0),"")</f>
        <v>46630</v>
      </c>
      <c r="F411" t="str">
        <f>IF(NOT(ISBLANK(A411)),VLOOKUP(A411,'BBT3'!A:F,6,0),"")</f>
        <v>N</v>
      </c>
      <c r="G411" t="str">
        <f t="shared" si="65"/>
        <v>N</v>
      </c>
      <c r="H411">
        <f>IF(NOT(ISBLANK(A411)),VLOOKUP(A411,'Close - PriceSaver'!A:J,5,0),"")</f>
        <v>4.1713308713317701E-2</v>
      </c>
      <c r="I411" s="4" cm="1">
        <f t="array" ref="I411">IF(NOT(ISBLANK(A411)),((_xlfn.XLOOKUP(1,(_bbt3[[#All],[ID]]=A411)*(_bbt3[[#All],[METRIC_NAME]]="YLD_YTM_ASK"),_bbt3[[#All],[METRIC_VALUE]])*0.5)+(_xlfn.XLOOKUP(1,(_bbt3[[#All],[ID]]=A411)*(_bbt3[[#All],[METRIC_NAME]]="YLD_YTM_BID"),_bbt3[[#All],[METRIC_VALUE]])*0.5))/100,"")</f>
        <v>4.1710000000000004E-2</v>
      </c>
      <c r="J411">
        <f>IF(ISNA(VLOOKUP(A411,'CloseDL - PriceSaverBBT3'!A:E,5,0)),0,VLOOKUP(A411,'CloseDL - PriceSaverBBT3'!A:E,5,0))</f>
        <v>4.1713308713317701E-2</v>
      </c>
      <c r="K411" s="7">
        <f t="shared" si="66"/>
        <v>0</v>
      </c>
      <c r="L411" s="20">
        <f>IF(Close[[#This Row],[CreatedBy]]="MARINER\SilverAdm",1,0)</f>
        <v>1</v>
      </c>
      <c r="M411" t="str">
        <f>IF(NOT(ISBLANK(A411)),VLOOKUP(A411,'Close - PriceSaver'!A:J,6,0),"")</f>
        <v>DL input prc = 98.87500000  PX_ASK = 98.88671875 PX_BID = 98.86328125</v>
      </c>
      <c r="Q411" t="e">
        <f t="shared" si="58"/>
        <v>#N/A</v>
      </c>
      <c r="R411" t="e">
        <f t="shared" si="59"/>
        <v>#N/A</v>
      </c>
      <c r="S411" t="e">
        <f t="shared" si="60"/>
        <v>#N/A</v>
      </c>
      <c r="T411" s="15" t="e">
        <f t="shared" si="61"/>
        <v>#N/A</v>
      </c>
      <c r="U411" s="18" t="e">
        <f t="shared" si="62"/>
        <v>#N/A</v>
      </c>
      <c r="V411" s="18" t="e">
        <f t="shared" si="63"/>
        <v>#N/A</v>
      </c>
      <c r="W411" s="19" t="e">
        <f t="shared" si="64"/>
        <v>#N/A</v>
      </c>
      <c r="X411" t="e">
        <f>VLOOKUP(P411,Close[[ID]:[CreatedBy]],8,0)</f>
        <v>#N/A</v>
      </c>
    </row>
    <row r="412" spans="1:24" x14ac:dyDescent="0.35">
      <c r="A412" t="str">
        <v>91282CFJ5</v>
      </c>
      <c r="B412" t="str">
        <f>IF(NOT(ISBLANK(A412)),VLOOKUP(A412,'BBT3'!A:F,2,0),"")</f>
        <v>Bond</v>
      </c>
      <c r="C412" t="str">
        <f>IF(NOT(ISBLANK(A412)),VLOOKUP(A412,'BBT3'!A:F,3,0),"")</f>
        <v>US91282CFJ53</v>
      </c>
      <c r="D412" s="5">
        <f>IF(NOT(ISBLANK(A412)),VLOOKUP(A412,'BBT3'!A:F,4,1),"")</f>
        <v>3.125</v>
      </c>
      <c r="E412">
        <f>IF(NOT(ISBLANK(A412)),VLOOKUP(A412,'BBT3'!A:F,5,0),"")</f>
        <v>47361</v>
      </c>
      <c r="F412" t="str">
        <f>IF(NOT(ISBLANK(A412)),VLOOKUP(A412,'BBT3'!A:F,6,0),"")</f>
        <v>N</v>
      </c>
      <c r="G412" t="str">
        <f t="shared" si="65"/>
        <v>N</v>
      </c>
      <c r="H412">
        <f>IF(NOT(ISBLANK(A412)),VLOOKUP(A412,'Close - PriceSaver'!A:J,5,0),"")</f>
        <v>4.30368152284719E-2</v>
      </c>
      <c r="I412" s="4" cm="1">
        <f t="array" ref="I412">IF(NOT(ISBLANK(A412)),((_xlfn.XLOOKUP(1,(_bbt3[[#All],[ID]]=A412)*(_bbt3[[#All],[METRIC_NAME]]="YLD_YTM_ASK"),_bbt3[[#All],[METRIC_VALUE]])*0.5)+(_xlfn.XLOOKUP(1,(_bbt3[[#All],[ID]]=A412)*(_bbt3[[#All],[METRIC_NAME]]="YLD_YTM_BID"),_bbt3[[#All],[METRIC_VALUE]])*0.5))/100,"")</f>
        <v>4.3034999999999997E-2</v>
      </c>
      <c r="J412">
        <f>IF(ISNA(VLOOKUP(A412,'CloseDL - PriceSaverBBT3'!A:E,5,0)),0,VLOOKUP(A412,'CloseDL - PriceSaverBBT3'!A:E,5,0))</f>
        <v>4.30368152284719E-2</v>
      </c>
      <c r="K412" s="7">
        <f t="shared" si="66"/>
        <v>0</v>
      </c>
      <c r="L412" s="20">
        <f>IF(Close[[#This Row],[CreatedBy]]="MARINER\SilverAdm",1,0)</f>
        <v>1</v>
      </c>
      <c r="M412" t="str">
        <f>IF(NOT(ISBLANK(A412)),VLOOKUP(A412,'Close - PriceSaver'!A:J,6,0),"")</f>
        <v>DL input prc = 96.60156250  PX_ASK = 96.61718750 PX_BID = 96.58593750</v>
      </c>
      <c r="Q412" t="e">
        <f t="shared" si="58"/>
        <v>#N/A</v>
      </c>
      <c r="R412" t="e">
        <f t="shared" si="59"/>
        <v>#N/A</v>
      </c>
      <c r="S412" t="e">
        <f t="shared" si="60"/>
        <v>#N/A</v>
      </c>
      <c r="T412" s="15" t="e">
        <f t="shared" si="61"/>
        <v>#N/A</v>
      </c>
      <c r="U412" s="18" t="e">
        <f t="shared" si="62"/>
        <v>#N/A</v>
      </c>
      <c r="V412" s="18" t="e">
        <f t="shared" si="63"/>
        <v>#N/A</v>
      </c>
      <c r="W412" s="19" t="e">
        <f t="shared" si="64"/>
        <v>#N/A</v>
      </c>
      <c r="X412" t="e">
        <f>VLOOKUP(P412,Close[[ID]:[CreatedBy]],8,0)</f>
        <v>#N/A</v>
      </c>
    </row>
    <row r="413" spans="1:24" x14ac:dyDescent="0.35">
      <c r="A413" t="str">
        <v>91282CFL0</v>
      </c>
      <c r="B413" t="str">
        <f>IF(NOT(ISBLANK(A413)),VLOOKUP(A413,'BBT3'!A:F,2,0),"")</f>
        <v>Bond</v>
      </c>
      <c r="C413" t="str">
        <f>IF(NOT(ISBLANK(A413)),VLOOKUP(A413,'BBT3'!A:F,3,0),"")</f>
        <v>US91282CFL00</v>
      </c>
      <c r="D413" s="5">
        <f>IF(NOT(ISBLANK(A413)),VLOOKUP(A413,'BBT3'!A:F,4,1),"")</f>
        <v>3.875</v>
      </c>
      <c r="E413">
        <f>IF(NOT(ISBLANK(A413)),VLOOKUP(A413,'BBT3'!A:F,5,0),"")</f>
        <v>47391</v>
      </c>
      <c r="F413" t="str">
        <f>IF(NOT(ISBLANK(A413)),VLOOKUP(A413,'BBT3'!A:F,6,0),"")</f>
        <v>N</v>
      </c>
      <c r="G413" t="str">
        <f t="shared" si="65"/>
        <v>N</v>
      </c>
      <c r="H413">
        <f>IF(NOT(ISBLANK(A413)),VLOOKUP(A413,'Close - PriceSaver'!A:J,5,0),"")</f>
        <v>4.3100279369222998E-2</v>
      </c>
      <c r="I413" s="4" cm="1">
        <f t="array" ref="I413">IF(NOT(ISBLANK(A413)),((_xlfn.XLOOKUP(1,(_bbt3[[#All],[ID]]=A413)*(_bbt3[[#All],[METRIC_NAME]]="YLD_YTM_ASK"),_bbt3[[#All],[METRIC_VALUE]])*0.5)+(_xlfn.XLOOKUP(1,(_bbt3[[#All],[ID]]=A413)*(_bbt3[[#All],[METRIC_NAME]]="YLD_YTM_BID"),_bbt3[[#All],[METRIC_VALUE]])*0.5))/100,"")</f>
        <v>4.3100000000000006E-2</v>
      </c>
      <c r="J413">
        <f>IF(ISNA(VLOOKUP(A413,'CloseDL - PriceSaverBBT3'!A:E,5,0)),0,VLOOKUP(A413,'CloseDL - PriceSaverBBT3'!A:E,5,0))</f>
        <v>4.3100279369222998E-2</v>
      </c>
      <c r="K413" s="7">
        <f t="shared" si="66"/>
        <v>0</v>
      </c>
      <c r="L413" s="20">
        <f>IF(Close[[#This Row],[CreatedBy]]="MARINER\SilverAdm",1,0)</f>
        <v>1</v>
      </c>
      <c r="M413" t="str">
        <f>IF(NOT(ISBLANK(A413)),VLOOKUP(A413,'Close - PriceSaver'!A:J,6,0),"")</f>
        <v>DL input prc = 98.71093750  PX_ASK = 98.72656250 PX_BID = 98.69531250</v>
      </c>
      <c r="Q413" t="e">
        <f t="shared" si="58"/>
        <v>#N/A</v>
      </c>
      <c r="R413" t="e">
        <f t="shared" si="59"/>
        <v>#N/A</v>
      </c>
      <c r="S413" t="e">
        <f t="shared" si="60"/>
        <v>#N/A</v>
      </c>
      <c r="T413" s="15" t="e">
        <f t="shared" si="61"/>
        <v>#N/A</v>
      </c>
      <c r="U413" s="18" t="e">
        <f t="shared" si="62"/>
        <v>#N/A</v>
      </c>
      <c r="V413" s="18" t="e">
        <f t="shared" si="63"/>
        <v>#N/A</v>
      </c>
      <c r="W413" s="19" t="e">
        <f t="shared" si="64"/>
        <v>#N/A</v>
      </c>
      <c r="X413" t="e">
        <f>VLOOKUP(P413,Close[[ID]:[CreatedBy]],8,0)</f>
        <v>#N/A</v>
      </c>
    </row>
    <row r="414" spans="1:24" x14ac:dyDescent="0.35">
      <c r="A414" t="str">
        <v>91282CFM8</v>
      </c>
      <c r="B414" t="str">
        <f>IF(NOT(ISBLANK(A414)),VLOOKUP(A414,'BBT3'!A:F,2,0),"")</f>
        <v>Bond</v>
      </c>
      <c r="C414" t="str">
        <f>IF(NOT(ISBLANK(A414)),VLOOKUP(A414,'BBT3'!A:F,3,0),"")</f>
        <v>US91282CFM82</v>
      </c>
      <c r="D414" s="5">
        <f>IF(NOT(ISBLANK(A414)),VLOOKUP(A414,'BBT3'!A:F,4,1),"")</f>
        <v>4.125</v>
      </c>
      <c r="E414">
        <f>IF(NOT(ISBLANK(A414)),VLOOKUP(A414,'BBT3'!A:F,5,0),"")</f>
        <v>46660</v>
      </c>
      <c r="F414" t="str">
        <f>IF(NOT(ISBLANK(A414)),VLOOKUP(A414,'BBT3'!A:F,6,0),"")</f>
        <v>N</v>
      </c>
      <c r="G414" t="str">
        <f t="shared" si="65"/>
        <v>N</v>
      </c>
      <c r="H414">
        <f>IF(NOT(ISBLANK(A414)),VLOOKUP(A414,'Close - PriceSaver'!A:J,5,0),"")</f>
        <v>4.1970093845864302E-2</v>
      </c>
      <c r="I414" s="4" cm="1">
        <f t="array" ref="I414">IF(NOT(ISBLANK(A414)),((_xlfn.XLOOKUP(1,(_bbt3[[#All],[ID]]=A414)*(_bbt3[[#All],[METRIC_NAME]]="YLD_YTM_ASK"),_bbt3[[#All],[METRIC_VALUE]])*0.5)+(_xlfn.XLOOKUP(1,(_bbt3[[#All],[ID]]=A414)*(_bbt3[[#All],[METRIC_NAME]]="YLD_YTM_BID"),_bbt3[[#All],[METRIC_VALUE]])*0.5))/100,"")</f>
        <v>4.197E-2</v>
      </c>
      <c r="J414">
        <f>IF(ISNA(VLOOKUP(A414,'CloseDL - PriceSaverBBT3'!A:E,5,0)),0,VLOOKUP(A414,'CloseDL - PriceSaverBBT3'!A:E,5,0))</f>
        <v>4.1970093845864302E-2</v>
      </c>
      <c r="K414" s="7">
        <f t="shared" si="66"/>
        <v>0</v>
      </c>
      <c r="L414" s="20">
        <f>IF(Close[[#This Row],[CreatedBy]]="MARINER\SilverAdm",1,0)</f>
        <v>1</v>
      </c>
      <c r="M414" t="str">
        <f>IF(NOT(ISBLANK(A414)),VLOOKUP(A414,'Close - PriceSaver'!A:J,6,0),"")</f>
        <v>DL input prc = 99.91210938  PX_ASK = 99.92187500 PX_BID = 99.90234375</v>
      </c>
      <c r="Q414" t="e">
        <f t="shared" si="58"/>
        <v>#N/A</v>
      </c>
      <c r="R414" t="e">
        <f t="shared" si="59"/>
        <v>#N/A</v>
      </c>
      <c r="S414" t="e">
        <f t="shared" si="60"/>
        <v>#N/A</v>
      </c>
      <c r="T414" s="15" t="e">
        <f t="shared" si="61"/>
        <v>#N/A</v>
      </c>
      <c r="U414" s="18" t="e">
        <f t="shared" si="62"/>
        <v>#N/A</v>
      </c>
      <c r="V414" s="18" t="e">
        <f t="shared" si="63"/>
        <v>#N/A</v>
      </c>
      <c r="W414" s="19" t="e">
        <f t="shared" si="64"/>
        <v>#N/A</v>
      </c>
      <c r="X414" t="e">
        <f>VLOOKUP(P414,Close[[ID]:[CreatedBy]],8,0)</f>
        <v>#N/A</v>
      </c>
    </row>
    <row r="415" spans="1:24" x14ac:dyDescent="0.35">
      <c r="A415" t="str">
        <v>91282CFR7</v>
      </c>
      <c r="B415" t="str">
        <f>IF(NOT(ISBLANK(A415)),VLOOKUP(A415,'BBT3'!A:F,2,0),"")</f>
        <v>Bond</v>
      </c>
      <c r="C415" t="str">
        <f>IF(NOT(ISBLANK(A415)),VLOOKUP(A415,'BBT3'!A:F,3,0),"")</f>
        <v>US91282CFR79</v>
      </c>
      <c r="D415" s="5">
        <f>IF(NOT(ISBLANK(A415)),VLOOKUP(A415,'BBT3'!A:F,4,1),"")</f>
        <v>1.625</v>
      </c>
      <c r="E415">
        <f>IF(NOT(ISBLANK(A415)),VLOOKUP(A415,'BBT3'!A:F,5,0),"")</f>
        <v>46675</v>
      </c>
      <c r="F415" t="str">
        <f>IF(NOT(ISBLANK(A415)),VLOOKUP(A415,'BBT3'!A:F,6,0),"")</f>
        <v>Y</v>
      </c>
      <c r="G415" t="str">
        <f t="shared" si="65"/>
        <v>N</v>
      </c>
      <c r="H415">
        <f>IF(NOT(ISBLANK(A415)),VLOOKUP(A415,'Close - PriceSaver'!A:J,5,0),"")</f>
        <v>2.1796615192943201E-2</v>
      </c>
      <c r="I415" s="4" t="e" cm="1">
        <f t="array" ref="I415">IF(NOT(ISBLANK(A415)),((_xlfn.XLOOKUP(1,(_bbt3[[#All],[ID]]=A415)*(_bbt3[[#All],[METRIC_NAME]]="YLD_YTM_ASK"),_bbt3[[#All],[METRIC_VALUE]])*0.5)+(_xlfn.XLOOKUP(1,(_bbt3[[#All],[ID]]=A415)*(_bbt3[[#All],[METRIC_NAME]]="YLD_YTM_BID"),_bbt3[[#All],[METRIC_VALUE]])*0.5))/100,"")</f>
        <v>#N/A</v>
      </c>
      <c r="J415">
        <f>IF(ISNA(VLOOKUP(A415,'CloseDL - PriceSaverBBT3'!A:E,5,0)),0,VLOOKUP(A415,'CloseDL - PriceSaverBBT3'!A:E,5,0))</f>
        <v>2.1796615192943201E-2</v>
      </c>
      <c r="K415" s="7">
        <f t="shared" si="66"/>
        <v>0</v>
      </c>
      <c r="L415" s="20">
        <f>IF(Close[[#This Row],[CreatedBy]]="MARINER\SilverAdm",1,0)</f>
        <v>1</v>
      </c>
      <c r="M415" t="str">
        <f>IF(NOT(ISBLANK(A415)),VLOOKUP(A415,'Close - PriceSaver'!A:J,6,0),"")</f>
        <v>DL input prc = 99.32812500  PX_ASK = 99.35937500 PX_BID = 99.29687500</v>
      </c>
      <c r="Q415" t="e">
        <f t="shared" si="58"/>
        <v>#N/A</v>
      </c>
      <c r="R415" t="e">
        <f t="shared" si="59"/>
        <v>#N/A</v>
      </c>
      <c r="S415" t="e">
        <f t="shared" si="60"/>
        <v>#N/A</v>
      </c>
      <c r="T415" s="15" t="e">
        <f t="shared" si="61"/>
        <v>#N/A</v>
      </c>
      <c r="U415" s="18" t="e">
        <f t="shared" si="62"/>
        <v>#N/A</v>
      </c>
      <c r="V415" s="18" t="e">
        <f t="shared" si="63"/>
        <v>#N/A</v>
      </c>
      <c r="W415" s="19" t="e">
        <f t="shared" si="64"/>
        <v>#N/A</v>
      </c>
      <c r="X415" t="e">
        <f>VLOOKUP(P415,Close[[ID]:[CreatedBy]],8,0)</f>
        <v>#N/A</v>
      </c>
    </row>
    <row r="416" spans="1:24" x14ac:dyDescent="0.35">
      <c r="A416" t="str">
        <v>91282CFT3</v>
      </c>
      <c r="B416" t="str">
        <f>IF(NOT(ISBLANK(A416)),VLOOKUP(A416,'BBT3'!A:F,2,0),"")</f>
        <v>Bond</v>
      </c>
      <c r="C416" t="str">
        <f>IF(NOT(ISBLANK(A416)),VLOOKUP(A416,'BBT3'!A:F,3,0),"")</f>
        <v>US91282CFT36</v>
      </c>
      <c r="D416" s="5">
        <f>IF(NOT(ISBLANK(A416)),VLOOKUP(A416,'BBT3'!A:F,4,1),"")</f>
        <v>4</v>
      </c>
      <c r="E416">
        <f>IF(NOT(ISBLANK(A416)),VLOOKUP(A416,'BBT3'!A:F,5,0),"")</f>
        <v>47422</v>
      </c>
      <c r="F416" t="str">
        <f>IF(NOT(ISBLANK(A416)),VLOOKUP(A416,'BBT3'!A:F,6,0),"")</f>
        <v>N</v>
      </c>
      <c r="G416" t="str">
        <f t="shared" si="65"/>
        <v>N</v>
      </c>
      <c r="H416">
        <f>IF(NOT(ISBLANK(A416)),VLOOKUP(A416,'Close - PriceSaver'!A:J,5,0),"")</f>
        <v>4.3160926136005501E-2</v>
      </c>
      <c r="I416" s="4" cm="1">
        <f t="array" ref="I416">IF(NOT(ISBLANK(A416)),((_xlfn.XLOOKUP(1,(_bbt3[[#All],[ID]]=A416)*(_bbt3[[#All],[METRIC_NAME]]="YLD_YTM_ASK"),_bbt3[[#All],[METRIC_VALUE]])*0.5)+(_xlfn.XLOOKUP(1,(_bbt3[[#All],[ID]]=A416)*(_bbt3[[#All],[METRIC_NAME]]="YLD_YTM_BID"),_bbt3[[#All],[METRIC_VALUE]])*0.5))/100,"")</f>
        <v>4.3159999999999997E-2</v>
      </c>
      <c r="J416">
        <f>IF(ISNA(VLOOKUP(A416,'CloseDL - PriceSaverBBT3'!A:E,5,0)),0,VLOOKUP(A416,'CloseDL - PriceSaverBBT3'!A:E,5,0))</f>
        <v>4.3160926136005501E-2</v>
      </c>
      <c r="K416" s="7">
        <f t="shared" si="66"/>
        <v>0</v>
      </c>
      <c r="L416" s="20">
        <f>IF(Close[[#This Row],[CreatedBy]]="MARINER\SilverAdm",1,0)</f>
        <v>1</v>
      </c>
      <c r="M416" t="str">
        <f>IF(NOT(ISBLANK(A416)),VLOOKUP(A416,'Close - PriceSaver'!A:J,6,0),"")</f>
        <v>DL input prc = 99.03906250  PX_ASK = 99.05468750 PX_BID = 99.02343750</v>
      </c>
      <c r="Q416" t="e">
        <f t="shared" si="58"/>
        <v>#N/A</v>
      </c>
      <c r="R416" t="e">
        <f t="shared" si="59"/>
        <v>#N/A</v>
      </c>
      <c r="S416" t="e">
        <f t="shared" si="60"/>
        <v>#N/A</v>
      </c>
      <c r="T416" s="15" t="e">
        <f t="shared" si="61"/>
        <v>#N/A</v>
      </c>
      <c r="U416" s="18" t="e">
        <f t="shared" si="62"/>
        <v>#N/A</v>
      </c>
      <c r="V416" s="18" t="e">
        <f t="shared" si="63"/>
        <v>#N/A</v>
      </c>
      <c r="W416" s="19" t="e">
        <f t="shared" si="64"/>
        <v>#N/A</v>
      </c>
      <c r="X416" t="e">
        <f>VLOOKUP(P416,Close[[ID]:[CreatedBy]],8,0)</f>
        <v>#N/A</v>
      </c>
    </row>
    <row r="417" spans="1:24" x14ac:dyDescent="0.35">
      <c r="A417" t="str">
        <v>91282CFU0</v>
      </c>
      <c r="B417" t="str">
        <f>IF(NOT(ISBLANK(A417)),VLOOKUP(A417,'BBT3'!A:F,2,0),"")</f>
        <v>Bond</v>
      </c>
      <c r="C417" t="str">
        <f>IF(NOT(ISBLANK(A417)),VLOOKUP(A417,'BBT3'!A:F,3,0),"")</f>
        <v>US91282CFU09</v>
      </c>
      <c r="D417" s="5">
        <f>IF(NOT(ISBLANK(A417)),VLOOKUP(A417,'BBT3'!A:F,4,1),"")</f>
        <v>4.125</v>
      </c>
      <c r="E417">
        <f>IF(NOT(ISBLANK(A417)),VLOOKUP(A417,'BBT3'!A:F,5,0),"")</f>
        <v>46691</v>
      </c>
      <c r="F417" t="str">
        <f>IF(NOT(ISBLANK(A417)),VLOOKUP(A417,'BBT3'!A:F,6,0),"")</f>
        <v>N</v>
      </c>
      <c r="G417" t="str">
        <f t="shared" si="65"/>
        <v>N</v>
      </c>
      <c r="H417">
        <f>IF(NOT(ISBLANK(A417)),VLOOKUP(A417,'Close - PriceSaver'!A:J,5,0),"")</f>
        <v>4.2017673716044798E-2</v>
      </c>
      <c r="I417" s="4" cm="1">
        <f t="array" ref="I417">IF(NOT(ISBLANK(A417)),((_xlfn.XLOOKUP(1,(_bbt3[[#All],[ID]]=A417)*(_bbt3[[#All],[METRIC_NAME]]="YLD_YTM_ASK"),_bbt3[[#All],[METRIC_VALUE]])*0.5)+(_xlfn.XLOOKUP(1,(_bbt3[[#All],[ID]]=A417)*(_bbt3[[#All],[METRIC_NAME]]="YLD_YTM_BID"),_bbt3[[#All],[METRIC_VALUE]])*0.5))/100,"")</f>
        <v>4.2020000000000002E-2</v>
      </c>
      <c r="J417">
        <f>IF(ISNA(VLOOKUP(A417,'CloseDL - PriceSaverBBT3'!A:E,5,0)),0,VLOOKUP(A417,'CloseDL - PriceSaverBBT3'!A:E,5,0))</f>
        <v>4.2017673716044798E-2</v>
      </c>
      <c r="K417" s="7">
        <f t="shared" si="66"/>
        <v>0</v>
      </c>
      <c r="L417" s="20">
        <f>IF(Close[[#This Row],[CreatedBy]]="MARINER\SilverAdm",1,0)</f>
        <v>1</v>
      </c>
      <c r="M417" t="str">
        <f>IF(NOT(ISBLANK(A417)),VLOOKUP(A417,'Close - PriceSaver'!A:J,6,0),"")</f>
        <v>DL input prc = 99.90039063  PX_ASK = 99.91015625 PX_BID = 99.89062500</v>
      </c>
      <c r="Q417" t="e">
        <f t="shared" si="58"/>
        <v>#N/A</v>
      </c>
      <c r="R417" t="e">
        <f t="shared" si="59"/>
        <v>#N/A</v>
      </c>
      <c r="S417" t="e">
        <f t="shared" si="60"/>
        <v>#N/A</v>
      </c>
      <c r="T417" s="15" t="e">
        <f t="shared" si="61"/>
        <v>#N/A</v>
      </c>
      <c r="U417" s="18" t="e">
        <f t="shared" si="62"/>
        <v>#N/A</v>
      </c>
      <c r="V417" s="18" t="e">
        <f t="shared" si="63"/>
        <v>#N/A</v>
      </c>
      <c r="W417" s="19" t="e">
        <f t="shared" si="64"/>
        <v>#N/A</v>
      </c>
      <c r="X417" t="e">
        <f>VLOOKUP(P417,Close[[ID]:[CreatedBy]],8,0)</f>
        <v>#N/A</v>
      </c>
    </row>
    <row r="418" spans="1:24" x14ac:dyDescent="0.35">
      <c r="A418" t="str">
        <v>91282CFV8</v>
      </c>
      <c r="B418" t="str">
        <f>IF(NOT(ISBLANK(A418)),VLOOKUP(A418,'BBT3'!A:F,2,0),"")</f>
        <v>Bond</v>
      </c>
      <c r="C418" t="str">
        <f>IF(NOT(ISBLANK(A418)),VLOOKUP(A418,'BBT3'!A:F,3,0),"")</f>
        <v>US91282CFV81</v>
      </c>
      <c r="D418" s="5">
        <f>IF(NOT(ISBLANK(A418)),VLOOKUP(A418,'BBT3'!A:F,4,1),"")</f>
        <v>4.125</v>
      </c>
      <c r="E418">
        <f>IF(NOT(ISBLANK(A418)),VLOOKUP(A418,'BBT3'!A:F,5,0),"")</f>
        <v>48533</v>
      </c>
      <c r="F418" t="str">
        <f>IF(NOT(ISBLANK(A418)),VLOOKUP(A418,'BBT3'!A:F,6,0),"")</f>
        <v>N</v>
      </c>
      <c r="G418" t="str">
        <f t="shared" si="65"/>
        <v>N</v>
      </c>
      <c r="H418">
        <f>IF(NOT(ISBLANK(A418)),VLOOKUP(A418,'Close - PriceSaver'!A:J,5,0),"")</f>
        <v>4.4543069392936903E-2</v>
      </c>
      <c r="I418" s="4" cm="1">
        <f t="array" ref="I418">IF(NOT(ISBLANK(A418)),((_xlfn.XLOOKUP(1,(_bbt3[[#All],[ID]]=A418)*(_bbt3[[#All],[METRIC_NAME]]="YLD_YTM_ASK"),_bbt3[[#All],[METRIC_VALUE]])*0.5)+(_xlfn.XLOOKUP(1,(_bbt3[[#All],[ID]]=A418)*(_bbt3[[#All],[METRIC_NAME]]="YLD_YTM_BID"),_bbt3[[#All],[METRIC_VALUE]])*0.5))/100,"")</f>
        <v>4.4544999999999994E-2</v>
      </c>
      <c r="J418">
        <f>IF(ISNA(VLOOKUP(A418,'CloseDL - PriceSaverBBT3'!A:E,5,0)),0,VLOOKUP(A418,'CloseDL - PriceSaverBBT3'!A:E,5,0))</f>
        <v>4.4543069392936903E-2</v>
      </c>
      <c r="K418" s="7">
        <f t="shared" si="66"/>
        <v>0</v>
      </c>
      <c r="L418" s="20">
        <f>IF(Close[[#This Row],[CreatedBy]]="MARINER\SilverAdm",1,0)</f>
        <v>1</v>
      </c>
      <c r="M418" t="str">
        <f>IF(NOT(ISBLANK(A418)),VLOOKUP(A418,'Close - PriceSaver'!A:J,6,0),"")</f>
        <v>DL input prc = 98.19921875  PX_ASK = 98.21875000 PX_BID = 98.17968750</v>
      </c>
      <c r="Q418" t="e">
        <f t="shared" si="58"/>
        <v>#N/A</v>
      </c>
      <c r="R418" t="e">
        <f t="shared" si="59"/>
        <v>#N/A</v>
      </c>
      <c r="S418" t="e">
        <f t="shared" si="60"/>
        <v>#N/A</v>
      </c>
      <c r="T418" s="15" t="e">
        <f t="shared" si="61"/>
        <v>#N/A</v>
      </c>
      <c r="U418" s="18" t="e">
        <f t="shared" si="62"/>
        <v>#N/A</v>
      </c>
      <c r="V418" s="18" t="e">
        <f t="shared" si="63"/>
        <v>#N/A</v>
      </c>
      <c r="W418" s="19" t="e">
        <f t="shared" si="64"/>
        <v>#N/A</v>
      </c>
      <c r="X418" t="e">
        <f>VLOOKUP(P418,Close[[ID]:[CreatedBy]],8,0)</f>
        <v>#N/A</v>
      </c>
    </row>
    <row r="419" spans="1:24" x14ac:dyDescent="0.35">
      <c r="A419" t="str">
        <v>91282CFY2</v>
      </c>
      <c r="B419" t="str">
        <f>IF(NOT(ISBLANK(A419)),VLOOKUP(A419,'BBT3'!A:F,2,0),"")</f>
        <v>Bond</v>
      </c>
      <c r="C419" t="str">
        <f>IF(NOT(ISBLANK(A419)),VLOOKUP(A419,'BBT3'!A:F,3,0),"")</f>
        <v>US91282CFY21</v>
      </c>
      <c r="D419" s="5">
        <f>IF(NOT(ISBLANK(A419)),VLOOKUP(A419,'BBT3'!A:F,4,1),"")</f>
        <v>3.875</v>
      </c>
      <c r="E419">
        <f>IF(NOT(ISBLANK(A419)),VLOOKUP(A419,'BBT3'!A:F,5,0),"")</f>
        <v>47452</v>
      </c>
      <c r="F419" t="str">
        <f>IF(NOT(ISBLANK(A419)),VLOOKUP(A419,'BBT3'!A:F,6,0),"")</f>
        <v>N</v>
      </c>
      <c r="G419" t="str">
        <f t="shared" si="65"/>
        <v>N</v>
      </c>
      <c r="H419">
        <f>IF(NOT(ISBLANK(A419)),VLOOKUP(A419,'Close - PriceSaver'!A:J,5,0),"")</f>
        <v>4.3217378941418999E-2</v>
      </c>
      <c r="I419" s="4" cm="1">
        <f t="array" ref="I419">IF(NOT(ISBLANK(A419)),((_xlfn.XLOOKUP(1,(_bbt3[[#All],[ID]]=A419)*(_bbt3[[#All],[METRIC_NAME]]="YLD_YTM_ASK"),_bbt3[[#All],[METRIC_VALUE]])*0.5)+(_xlfn.XLOOKUP(1,(_bbt3[[#All],[ID]]=A419)*(_bbt3[[#All],[METRIC_NAME]]="YLD_YTM_BID"),_bbt3[[#All],[METRIC_VALUE]])*0.5))/100,"")</f>
        <v>4.3215000000000003E-2</v>
      </c>
      <c r="J419">
        <f>IF(ISNA(VLOOKUP(A419,'CloseDL - PriceSaverBBT3'!A:E,5,0)),0,VLOOKUP(A419,'CloseDL - PriceSaverBBT3'!A:E,5,0))</f>
        <v>4.3217378941418999E-2</v>
      </c>
      <c r="K419" s="7">
        <f t="shared" si="66"/>
        <v>0</v>
      </c>
      <c r="L419" s="20">
        <f>IF(Close[[#This Row],[CreatedBy]]="MARINER\SilverAdm",1,0)</f>
        <v>1</v>
      </c>
      <c r="M419" t="str">
        <f>IF(NOT(ISBLANK(A419)),VLOOKUP(A419,'Close - PriceSaver'!A:J,6,0),"")</f>
        <v>DL input prc = 98.61328125  PX_ASK = 98.63281250 PX_BID = 98.59375000</v>
      </c>
      <c r="Q419" t="e">
        <f t="shared" si="58"/>
        <v>#N/A</v>
      </c>
      <c r="R419" t="e">
        <f t="shared" si="59"/>
        <v>#N/A</v>
      </c>
      <c r="S419" t="e">
        <f t="shared" si="60"/>
        <v>#N/A</v>
      </c>
      <c r="T419" s="15" t="e">
        <f t="shared" si="61"/>
        <v>#N/A</v>
      </c>
      <c r="U419" s="18" t="e">
        <f t="shared" si="62"/>
        <v>#N/A</v>
      </c>
      <c r="V419" s="18" t="e">
        <f t="shared" si="63"/>
        <v>#N/A</v>
      </c>
      <c r="W419" s="19" t="e">
        <f t="shared" si="64"/>
        <v>#N/A</v>
      </c>
      <c r="X419" t="e">
        <f>VLOOKUP(P419,Close[[ID]:[CreatedBy]],8,0)</f>
        <v>#N/A</v>
      </c>
    </row>
    <row r="420" spans="1:24" x14ac:dyDescent="0.35">
      <c r="A420" t="str">
        <v>91282CFZ9</v>
      </c>
      <c r="B420" t="str">
        <f>IF(NOT(ISBLANK(A420)),VLOOKUP(A420,'BBT3'!A:F,2,0),"")</f>
        <v>Bond</v>
      </c>
      <c r="C420" t="str">
        <f>IF(NOT(ISBLANK(A420)),VLOOKUP(A420,'BBT3'!A:F,3,0),"")</f>
        <v>US91282CFZ95</v>
      </c>
      <c r="D420" s="5">
        <f>IF(NOT(ISBLANK(A420)),VLOOKUP(A420,'BBT3'!A:F,4,1),"")</f>
        <v>3.875</v>
      </c>
      <c r="E420">
        <f>IF(NOT(ISBLANK(A420)),VLOOKUP(A420,'BBT3'!A:F,5,0),"")</f>
        <v>46721</v>
      </c>
      <c r="F420" t="str">
        <f>IF(NOT(ISBLANK(A420)),VLOOKUP(A420,'BBT3'!A:F,6,0),"")</f>
        <v>N</v>
      </c>
      <c r="G420" t="str">
        <f t="shared" si="65"/>
        <v>N</v>
      </c>
      <c r="H420">
        <f>IF(NOT(ISBLANK(A420)),VLOOKUP(A420,'Close - PriceSaver'!A:J,5,0),"")</f>
        <v>4.22619463133799E-2</v>
      </c>
      <c r="I420" s="4" cm="1">
        <f t="array" ref="I420">IF(NOT(ISBLANK(A420)),((_xlfn.XLOOKUP(1,(_bbt3[[#All],[ID]]=A420)*(_bbt3[[#All],[METRIC_NAME]]="YLD_YTM_ASK"),_bbt3[[#All],[METRIC_VALUE]])*0.5)+(_xlfn.XLOOKUP(1,(_bbt3[[#All],[ID]]=A420)*(_bbt3[[#All],[METRIC_NAME]]="YLD_YTM_BID"),_bbt3[[#All],[METRIC_VALUE]])*0.5))/100,"")</f>
        <v>4.2264999999999997E-2</v>
      </c>
      <c r="J420">
        <f>IF(ISNA(VLOOKUP(A420,'CloseDL - PriceSaverBBT3'!A:E,5,0)),0,VLOOKUP(A420,'CloseDL - PriceSaverBBT3'!A:E,5,0))</f>
        <v>4.22619463133799E-2</v>
      </c>
      <c r="K420" s="7">
        <f t="shared" si="66"/>
        <v>0</v>
      </c>
      <c r="L420" s="20">
        <f>IF(Close[[#This Row],[CreatedBy]]="MARINER\SilverAdm",1,0)</f>
        <v>1</v>
      </c>
      <c r="M420" t="str">
        <f>IF(NOT(ISBLANK(A420)),VLOOKUP(A420,'Close - PriceSaver'!A:J,6,0),"")</f>
        <v>DL input prc = 99.53710938  PX_ASK = 99.54687500 PX_BID = 99.52734375</v>
      </c>
      <c r="Q420" t="e">
        <f t="shared" si="58"/>
        <v>#N/A</v>
      </c>
      <c r="R420" t="e">
        <f t="shared" si="59"/>
        <v>#N/A</v>
      </c>
      <c r="S420" t="e">
        <f t="shared" si="60"/>
        <v>#N/A</v>
      </c>
      <c r="T420" s="15" t="e">
        <f t="shared" si="61"/>
        <v>#N/A</v>
      </c>
      <c r="U420" s="18" t="e">
        <f t="shared" si="62"/>
        <v>#N/A</v>
      </c>
      <c r="V420" s="18" t="e">
        <f t="shared" si="63"/>
        <v>#N/A</v>
      </c>
      <c r="W420" s="19" t="e">
        <f t="shared" si="64"/>
        <v>#N/A</v>
      </c>
      <c r="X420" t="e">
        <f>VLOOKUP(P420,Close[[ID]:[CreatedBy]],8,0)</f>
        <v>#N/A</v>
      </c>
    </row>
    <row r="421" spans="1:24" x14ac:dyDescent="0.35">
      <c r="A421" t="str">
        <v>91282CGB1</v>
      </c>
      <c r="B421" t="str">
        <f>IF(NOT(ISBLANK(A421)),VLOOKUP(A421,'BBT3'!A:F,2,0),"")</f>
        <v>Bond</v>
      </c>
      <c r="C421" t="str">
        <f>IF(NOT(ISBLANK(A421)),VLOOKUP(A421,'BBT3'!A:F,3,0),"")</f>
        <v>US91282CGB19</v>
      </c>
      <c r="D421" s="5">
        <f>IF(NOT(ISBLANK(A421)),VLOOKUP(A421,'BBT3'!A:F,4,1),"")</f>
        <v>3.875</v>
      </c>
      <c r="E421">
        <f>IF(NOT(ISBLANK(A421)),VLOOKUP(A421,'BBT3'!A:F,5,0),"")</f>
        <v>47483</v>
      </c>
      <c r="F421" t="str">
        <f>IF(NOT(ISBLANK(A421)),VLOOKUP(A421,'BBT3'!A:F,6,0),"")</f>
        <v>N</v>
      </c>
      <c r="G421" t="str">
        <f t="shared" si="65"/>
        <v>N</v>
      </c>
      <c r="H421">
        <f>IF(NOT(ISBLANK(A421)),VLOOKUP(A421,'Close - PriceSaver'!A:J,5,0),"")</f>
        <v>4.32605455516719E-2</v>
      </c>
      <c r="I421" s="4" cm="1">
        <f t="array" ref="I421">IF(NOT(ISBLANK(A421)),((_xlfn.XLOOKUP(1,(_bbt3[[#All],[ID]]=A421)*(_bbt3[[#All],[METRIC_NAME]]="YLD_YTM_ASK"),_bbt3[[#All],[METRIC_VALUE]])*0.5)+(_xlfn.XLOOKUP(1,(_bbt3[[#All],[ID]]=A421)*(_bbt3[[#All],[METRIC_NAME]]="YLD_YTM_BID"),_bbt3[[#All],[METRIC_VALUE]])*0.5))/100,"")</f>
        <v>4.3260000000000007E-2</v>
      </c>
      <c r="J421">
        <f>IF(ISNA(VLOOKUP(A421,'CloseDL - PriceSaverBBT3'!A:E,5,0)),0,VLOOKUP(A421,'CloseDL - PriceSaverBBT3'!A:E,5,0))</f>
        <v>4.32605455516719E-2</v>
      </c>
      <c r="K421" s="7">
        <f t="shared" si="66"/>
        <v>0</v>
      </c>
      <c r="L421" s="20">
        <f>IF(Close[[#This Row],[CreatedBy]]="MARINER\SilverAdm",1,0)</f>
        <v>1</v>
      </c>
      <c r="M421" t="str">
        <f>IF(NOT(ISBLANK(A421)),VLOOKUP(A421,'Close - PriceSaver'!A:J,6,0),"")</f>
        <v>DL input prc = 98.57031250  PX_ASK = 98.58593750 PX_BID = 98.55468750</v>
      </c>
      <c r="Q421" t="e">
        <f t="shared" si="58"/>
        <v>#N/A</v>
      </c>
      <c r="R421" t="e">
        <f t="shared" si="59"/>
        <v>#N/A</v>
      </c>
      <c r="S421" t="e">
        <f t="shared" si="60"/>
        <v>#N/A</v>
      </c>
      <c r="T421" s="15" t="e">
        <f t="shared" si="61"/>
        <v>#N/A</v>
      </c>
      <c r="U421" s="18" t="e">
        <f t="shared" si="62"/>
        <v>#N/A</v>
      </c>
      <c r="V421" s="18" t="e">
        <f t="shared" si="63"/>
        <v>#N/A</v>
      </c>
      <c r="W421" s="19" t="e">
        <f t="shared" si="64"/>
        <v>#N/A</v>
      </c>
      <c r="X421" t="e">
        <f>VLOOKUP(P421,Close[[ID]:[CreatedBy]],8,0)</f>
        <v>#N/A</v>
      </c>
    </row>
    <row r="422" spans="1:24" x14ac:dyDescent="0.35">
      <c r="A422" t="str">
        <v>91282CGC9</v>
      </c>
      <c r="B422" t="str">
        <f>IF(NOT(ISBLANK(A422)),VLOOKUP(A422,'BBT3'!A:F,2,0),"")</f>
        <v>Bond</v>
      </c>
      <c r="C422" t="str">
        <f>IF(NOT(ISBLANK(A422)),VLOOKUP(A422,'BBT3'!A:F,3,0),"")</f>
        <v>US91282CGC91</v>
      </c>
      <c r="D422" s="5">
        <f>IF(NOT(ISBLANK(A422)),VLOOKUP(A422,'BBT3'!A:F,4,1),"")</f>
        <v>3.875</v>
      </c>
      <c r="E422">
        <f>IF(NOT(ISBLANK(A422)),VLOOKUP(A422,'BBT3'!A:F,5,0),"")</f>
        <v>46752</v>
      </c>
      <c r="F422" t="str">
        <f>IF(NOT(ISBLANK(A422)),VLOOKUP(A422,'BBT3'!A:F,6,0),"")</f>
        <v>N</v>
      </c>
      <c r="G422" t="str">
        <f t="shared" si="65"/>
        <v>N</v>
      </c>
      <c r="H422">
        <f>IF(NOT(ISBLANK(A422)),VLOOKUP(A422,'Close - PriceSaver'!A:J,5,0),"")</f>
        <v>4.2406519968872201E-2</v>
      </c>
      <c r="I422" s="4" cm="1">
        <f t="array" ref="I422">IF(NOT(ISBLANK(A422)),((_xlfn.XLOOKUP(1,(_bbt3[[#All],[ID]]=A422)*(_bbt3[[#All],[METRIC_NAME]]="YLD_YTM_ASK"),_bbt3[[#All],[METRIC_VALUE]])*0.5)+(_xlfn.XLOOKUP(1,(_bbt3[[#All],[ID]]=A422)*(_bbt3[[#All],[METRIC_NAME]]="YLD_YTM_BID"),_bbt3[[#All],[METRIC_VALUE]])*0.5))/100,"")</f>
        <v>4.2405000000000005E-2</v>
      </c>
      <c r="J422">
        <f>IF(ISNA(VLOOKUP(A422,'CloseDL - PriceSaverBBT3'!A:E,5,0)),0,VLOOKUP(A422,'CloseDL - PriceSaverBBT3'!A:E,5,0))</f>
        <v>4.2406519968872201E-2</v>
      </c>
      <c r="K422" s="7">
        <f t="shared" si="66"/>
        <v>0</v>
      </c>
      <c r="L422" s="20">
        <f>IF(Close[[#This Row],[CreatedBy]]="MARINER\SilverAdm",1,0)</f>
        <v>1</v>
      </c>
      <c r="M422" t="str">
        <f>IF(NOT(ISBLANK(A422)),VLOOKUP(A422,'Close - PriceSaver'!A:J,6,0),"")</f>
        <v>DL input prc = 99.49218750  PX_ASK = 99.50000000 PX_BID = 99.48437500</v>
      </c>
      <c r="Q422" t="e">
        <f t="shared" si="58"/>
        <v>#N/A</v>
      </c>
      <c r="R422" t="e">
        <f t="shared" si="59"/>
        <v>#N/A</v>
      </c>
      <c r="S422" t="e">
        <f t="shared" si="60"/>
        <v>#N/A</v>
      </c>
      <c r="T422" s="15" t="e">
        <f t="shared" si="61"/>
        <v>#N/A</v>
      </c>
      <c r="U422" s="18" t="e">
        <f t="shared" si="62"/>
        <v>#N/A</v>
      </c>
      <c r="V422" s="18" t="e">
        <f t="shared" si="63"/>
        <v>#N/A</v>
      </c>
      <c r="W422" s="19" t="e">
        <f t="shared" si="64"/>
        <v>#N/A</v>
      </c>
      <c r="X422" t="e">
        <f>VLOOKUP(P422,Close[[ID]:[CreatedBy]],8,0)</f>
        <v>#N/A</v>
      </c>
    </row>
    <row r="423" spans="1:24" x14ac:dyDescent="0.35">
      <c r="A423" t="str">
        <v>91282CGH8</v>
      </c>
      <c r="B423" t="str">
        <f>IF(NOT(ISBLANK(A423)),VLOOKUP(A423,'BBT3'!A:F,2,0),"")</f>
        <v>Bond</v>
      </c>
      <c r="C423" t="str">
        <f>IF(NOT(ISBLANK(A423)),VLOOKUP(A423,'BBT3'!A:F,3,0),"")</f>
        <v>US91282CGH88</v>
      </c>
      <c r="D423" s="5">
        <f>IF(NOT(ISBLANK(A423)),VLOOKUP(A423,'BBT3'!A:F,4,1),"")</f>
        <v>3.5</v>
      </c>
      <c r="E423">
        <f>IF(NOT(ISBLANK(A423)),VLOOKUP(A423,'BBT3'!A:F,5,0),"")</f>
        <v>46783</v>
      </c>
      <c r="F423" t="str">
        <f>IF(NOT(ISBLANK(A423)),VLOOKUP(A423,'BBT3'!A:F,6,0),"")</f>
        <v>N</v>
      </c>
      <c r="G423" t="str">
        <f t="shared" si="65"/>
        <v>N</v>
      </c>
      <c r="H423">
        <f>IF(NOT(ISBLANK(A423)),VLOOKUP(A423,'Close - PriceSaver'!A:J,5,0),"")</f>
        <v>4.2464040355018703E-2</v>
      </c>
      <c r="I423" s="4" cm="1">
        <f t="array" ref="I423">IF(NOT(ISBLANK(A423)),((_xlfn.XLOOKUP(1,(_bbt3[[#All],[ID]]=A423)*(_bbt3[[#All],[METRIC_NAME]]="YLD_YTM_ASK"),_bbt3[[#All],[METRIC_VALUE]])*0.5)+(_xlfn.XLOOKUP(1,(_bbt3[[#All],[ID]]=A423)*(_bbt3[[#All],[METRIC_NAME]]="YLD_YTM_BID"),_bbt3[[#All],[METRIC_VALUE]])*0.5))/100,"")</f>
        <v>4.2460000000000005E-2</v>
      </c>
      <c r="J423">
        <f>IF(ISNA(VLOOKUP(A423,'CloseDL - PriceSaverBBT3'!A:E,5,0)),0,VLOOKUP(A423,'CloseDL - PriceSaverBBT3'!A:E,5,0))</f>
        <v>4.2464040355018703E-2</v>
      </c>
      <c r="K423" s="7">
        <f t="shared" si="66"/>
        <v>0</v>
      </c>
      <c r="L423" s="20">
        <f>IF(Close[[#This Row],[CreatedBy]]="MARINER\SilverAdm",1,0)</f>
        <v>1</v>
      </c>
      <c r="M423" t="str">
        <f>IF(NOT(ISBLANK(A423)),VLOOKUP(A423,'Close - PriceSaver'!A:J,6,0),"")</f>
        <v>DL input prc = 98.90820313  PX_ASK = 98.91406250 PX_BID = 98.90234375</v>
      </c>
      <c r="Q423" t="e">
        <f t="shared" si="58"/>
        <v>#N/A</v>
      </c>
      <c r="R423" t="e">
        <f t="shared" si="59"/>
        <v>#N/A</v>
      </c>
      <c r="S423" t="e">
        <f t="shared" si="60"/>
        <v>#N/A</v>
      </c>
      <c r="T423" s="15" t="e">
        <f t="shared" si="61"/>
        <v>#N/A</v>
      </c>
      <c r="U423" s="18" t="e">
        <f t="shared" si="62"/>
        <v>#N/A</v>
      </c>
      <c r="V423" s="18" t="e">
        <f t="shared" si="63"/>
        <v>#N/A</v>
      </c>
      <c r="W423" s="19" t="e">
        <f t="shared" si="64"/>
        <v>#N/A</v>
      </c>
      <c r="X423" t="e">
        <f>VLOOKUP(P423,Close[[ID]:[CreatedBy]],8,0)</f>
        <v>#N/A</v>
      </c>
    </row>
    <row r="424" spans="1:24" x14ac:dyDescent="0.35">
      <c r="A424" t="str">
        <v>91282CGJ4</v>
      </c>
      <c r="B424" t="str">
        <f>IF(NOT(ISBLANK(A424)),VLOOKUP(A424,'BBT3'!A:F,2,0),"")</f>
        <v>Bond</v>
      </c>
      <c r="C424" t="str">
        <f>IF(NOT(ISBLANK(A424)),VLOOKUP(A424,'BBT3'!A:F,3,0),"")</f>
        <v>US91282CGJ45</v>
      </c>
      <c r="D424" s="5">
        <f>IF(NOT(ISBLANK(A424)),VLOOKUP(A424,'BBT3'!A:F,4,1),"")</f>
        <v>3.5</v>
      </c>
      <c r="E424">
        <f>IF(NOT(ISBLANK(A424)),VLOOKUP(A424,'BBT3'!A:F,5,0),"")</f>
        <v>47514</v>
      </c>
      <c r="F424" t="str">
        <f>IF(NOT(ISBLANK(A424)),VLOOKUP(A424,'BBT3'!A:F,6,0),"")</f>
        <v>N</v>
      </c>
      <c r="G424" t="str">
        <f t="shared" si="65"/>
        <v>N</v>
      </c>
      <c r="H424">
        <f>IF(NOT(ISBLANK(A424)),VLOOKUP(A424,'Close - PriceSaver'!A:J,5,0),"")</f>
        <v>4.3275867709932997E-2</v>
      </c>
      <c r="I424" s="4" cm="1">
        <f t="array" ref="I424">IF(NOT(ISBLANK(A424)),((_xlfn.XLOOKUP(1,(_bbt3[[#All],[ID]]=A424)*(_bbt3[[#All],[METRIC_NAME]]="YLD_YTM_ASK"),_bbt3[[#All],[METRIC_VALUE]])*0.5)+(_xlfn.XLOOKUP(1,(_bbt3[[#All],[ID]]=A424)*(_bbt3[[#All],[METRIC_NAME]]="YLD_YTM_BID"),_bbt3[[#All],[METRIC_VALUE]])*0.5))/100,"")</f>
        <v>4.3275000000000008E-2</v>
      </c>
      <c r="J424">
        <f>IF(ISNA(VLOOKUP(A424,'CloseDL - PriceSaverBBT3'!A:E,5,0)),0,VLOOKUP(A424,'CloseDL - PriceSaverBBT3'!A:E,5,0))</f>
        <v>4.3275867709932997E-2</v>
      </c>
      <c r="K424" s="7">
        <f t="shared" si="66"/>
        <v>0</v>
      </c>
      <c r="L424" s="20">
        <f>IF(Close[[#This Row],[CreatedBy]]="MARINER\SilverAdm",1,0)</f>
        <v>1</v>
      </c>
      <c r="M424" t="str">
        <f>IF(NOT(ISBLANK(A424)),VLOOKUP(A424,'Close - PriceSaver'!A:J,6,0),"")</f>
        <v>DL input prc = 97.32031250  PX_ASK = 97.33593750 PX_BID = 97.30468750</v>
      </c>
      <c r="Q424" t="e">
        <f t="shared" si="58"/>
        <v>#N/A</v>
      </c>
      <c r="R424" t="e">
        <f t="shared" si="59"/>
        <v>#N/A</v>
      </c>
      <c r="S424" t="e">
        <f t="shared" si="60"/>
        <v>#N/A</v>
      </c>
      <c r="T424" s="15" t="e">
        <f t="shared" si="61"/>
        <v>#N/A</v>
      </c>
      <c r="U424" s="18" t="e">
        <f t="shared" si="62"/>
        <v>#N/A</v>
      </c>
      <c r="V424" s="18" t="e">
        <f t="shared" si="63"/>
        <v>#N/A</v>
      </c>
      <c r="W424" s="19" t="e">
        <f t="shared" si="64"/>
        <v>#N/A</v>
      </c>
      <c r="X424" t="e">
        <f>VLOOKUP(P424,Close[[ID]:[CreatedBy]],8,0)</f>
        <v>#N/A</v>
      </c>
    </row>
    <row r="425" spans="1:24" x14ac:dyDescent="0.35">
      <c r="A425" t="str">
        <v>91282CGK1</v>
      </c>
      <c r="B425" t="str">
        <f>IF(NOT(ISBLANK(A425)),VLOOKUP(A425,'BBT3'!A:F,2,0),"")</f>
        <v>Bond</v>
      </c>
      <c r="C425" t="str">
        <f>IF(NOT(ISBLANK(A425)),VLOOKUP(A425,'BBT3'!A:F,3,0),"")</f>
        <v>US91282CGK18</v>
      </c>
      <c r="D425" s="5">
        <f>IF(NOT(ISBLANK(A425)),VLOOKUP(A425,'BBT3'!A:F,4,1),"")</f>
        <v>1.125</v>
      </c>
      <c r="E425">
        <f>IF(NOT(ISBLANK(A425)),VLOOKUP(A425,'BBT3'!A:F,5,0),"")</f>
        <v>48594</v>
      </c>
      <c r="F425" t="str">
        <f>IF(NOT(ISBLANK(A425)),VLOOKUP(A425,'BBT3'!A:F,6,0),"")</f>
        <v>Y</v>
      </c>
      <c r="G425" t="str">
        <f t="shared" si="65"/>
        <v>N</v>
      </c>
      <c r="H425">
        <f>IF(NOT(ISBLANK(A425)),VLOOKUP(A425,'Close - PriceSaver'!A:J,5,0),"")</f>
        <v>2.13752053343144E-2</v>
      </c>
      <c r="I425" s="4" cm="1">
        <f t="array" ref="I425">IF(NOT(ISBLANK(A425)),((_xlfn.XLOOKUP(1,(_bbt3[[#All],[ID]]=A425)*(_bbt3[[#All],[METRIC_NAME]]="YLD_YTM_ASK"),_bbt3[[#All],[METRIC_VALUE]])*0.5)+(_xlfn.XLOOKUP(1,(_bbt3[[#All],[ID]]=A425)*(_bbt3[[#All],[METRIC_NAME]]="YLD_YTM_BID"),_bbt3[[#All],[METRIC_VALUE]])*0.5))/100,"")</f>
        <v>2.1375000000000002E-2</v>
      </c>
      <c r="J425">
        <f>IF(ISNA(VLOOKUP(A425,'CloseDL - PriceSaverBBT3'!A:E,5,0)),0,VLOOKUP(A425,'CloseDL - PriceSaverBBT3'!A:E,5,0))</f>
        <v>2.13752053343144E-2</v>
      </c>
      <c r="K425" s="7">
        <f t="shared" si="66"/>
        <v>0</v>
      </c>
      <c r="L425" s="20">
        <f>IF(Close[[#This Row],[CreatedBy]]="MARINER\SilverAdm",1,0)</f>
        <v>1</v>
      </c>
      <c r="M425" t="str">
        <f>IF(NOT(ISBLANK(A425)),VLOOKUP(A425,'Close - PriceSaver'!A:J,6,0),"")</f>
        <v>DL input prc = 93.90234375  PX_ASK = 93.92968750 PX_BID = 93.87500000</v>
      </c>
      <c r="Q425" t="e">
        <f t="shared" si="58"/>
        <v>#N/A</v>
      </c>
      <c r="R425" t="e">
        <f t="shared" si="59"/>
        <v>#N/A</v>
      </c>
      <c r="S425" t="e">
        <f t="shared" si="60"/>
        <v>#N/A</v>
      </c>
      <c r="T425" s="15" t="e">
        <f t="shared" si="61"/>
        <v>#N/A</v>
      </c>
      <c r="U425" s="18" t="e">
        <f t="shared" si="62"/>
        <v>#N/A</v>
      </c>
      <c r="V425" s="18" t="e">
        <f t="shared" si="63"/>
        <v>#N/A</v>
      </c>
      <c r="W425" s="19" t="e">
        <f t="shared" si="64"/>
        <v>#N/A</v>
      </c>
      <c r="X425" t="e">
        <f>VLOOKUP(P425,Close[[ID]:[CreatedBy]],8,0)</f>
        <v>#N/A</v>
      </c>
    </row>
    <row r="426" spans="1:24" x14ac:dyDescent="0.35">
      <c r="A426" t="str">
        <v>91282CGM7</v>
      </c>
      <c r="B426" t="str">
        <f>IF(NOT(ISBLANK(A426)),VLOOKUP(A426,'BBT3'!A:F,2,0),"")</f>
        <v>Bond</v>
      </c>
      <c r="C426" t="str">
        <f>IF(NOT(ISBLANK(A426)),VLOOKUP(A426,'BBT3'!A:F,3,0),"")</f>
        <v>US91282CGM73</v>
      </c>
      <c r="D426" s="5">
        <f>IF(NOT(ISBLANK(A426)),VLOOKUP(A426,'BBT3'!A:F,4,1),"")</f>
        <v>3.5</v>
      </c>
      <c r="E426">
        <f>IF(NOT(ISBLANK(A426)),VLOOKUP(A426,'BBT3'!A:F,5,0),"")</f>
        <v>48625</v>
      </c>
      <c r="F426" t="str">
        <f>IF(NOT(ISBLANK(A426)),VLOOKUP(A426,'BBT3'!A:F,6,0),"")</f>
        <v>N</v>
      </c>
      <c r="G426" t="str">
        <f t="shared" si="65"/>
        <v>N</v>
      </c>
      <c r="H426">
        <f>IF(NOT(ISBLANK(A426)),VLOOKUP(A426,'Close - PriceSaver'!A:J,5,0),"")</f>
        <v>4.4762998499447801E-2</v>
      </c>
      <c r="I426" s="4" cm="1">
        <f t="array" ref="I426">IF(NOT(ISBLANK(A426)),((_xlfn.XLOOKUP(1,(_bbt3[[#All],[ID]]=A426)*(_bbt3[[#All],[METRIC_NAME]]="YLD_YTM_ASK"),_bbt3[[#All],[METRIC_VALUE]])*0.5)+(_xlfn.XLOOKUP(1,(_bbt3[[#All],[ID]]=A426)*(_bbt3[[#All],[METRIC_NAME]]="YLD_YTM_BID"),_bbt3[[#All],[METRIC_VALUE]])*0.5))/100,"")</f>
        <v>4.4764999999999999E-2</v>
      </c>
      <c r="J426">
        <f>IF(ISNA(VLOOKUP(A426,'CloseDL - PriceSaverBBT3'!A:E,5,0)),0,VLOOKUP(A426,'CloseDL - PriceSaverBBT3'!A:E,5,0))</f>
        <v>4.4762998499447801E-2</v>
      </c>
      <c r="K426" s="7">
        <f t="shared" si="66"/>
        <v>0</v>
      </c>
      <c r="L426" s="20">
        <f>IF(Close[[#This Row],[CreatedBy]]="MARINER\SilverAdm",1,0)</f>
        <v>1</v>
      </c>
      <c r="M426" t="str">
        <f>IF(NOT(ISBLANK(A426)),VLOOKUP(A426,'Close - PriceSaver'!A:J,6,0),"")</f>
        <v>DL input prc = 94.49609375  PX_ASK = 94.51562500 PX_BID = 94.47656250</v>
      </c>
      <c r="Q426" t="e">
        <f t="shared" si="58"/>
        <v>#N/A</v>
      </c>
      <c r="R426" t="e">
        <f t="shared" si="59"/>
        <v>#N/A</v>
      </c>
      <c r="S426" t="e">
        <f t="shared" si="60"/>
        <v>#N/A</v>
      </c>
      <c r="T426" s="15" t="e">
        <f t="shared" si="61"/>
        <v>#N/A</v>
      </c>
      <c r="U426" s="18" t="e">
        <f t="shared" si="62"/>
        <v>#N/A</v>
      </c>
      <c r="V426" s="18" t="e">
        <f t="shared" si="63"/>
        <v>#N/A</v>
      </c>
      <c r="W426" s="19" t="e">
        <f t="shared" si="64"/>
        <v>#N/A</v>
      </c>
      <c r="X426" t="e">
        <f>VLOOKUP(P426,Close[[ID]:[CreatedBy]],8,0)</f>
        <v>#N/A</v>
      </c>
    </row>
    <row r="427" spans="1:24" x14ac:dyDescent="0.35">
      <c r="A427" t="str">
        <v>91282CGP0</v>
      </c>
      <c r="B427" t="str">
        <f>IF(NOT(ISBLANK(A427)),VLOOKUP(A427,'BBT3'!A:F,2,0),"")</f>
        <v>Bond</v>
      </c>
      <c r="C427" t="str">
        <f>IF(NOT(ISBLANK(A427)),VLOOKUP(A427,'BBT3'!A:F,3,0),"")</f>
        <v>US91282CGP05</v>
      </c>
      <c r="D427" s="5">
        <f>IF(NOT(ISBLANK(A427)),VLOOKUP(A427,'BBT3'!A:F,4,1),"")</f>
        <v>4</v>
      </c>
      <c r="E427">
        <f>IF(NOT(ISBLANK(A427)),VLOOKUP(A427,'BBT3'!A:F,5,0),"")</f>
        <v>46812</v>
      </c>
      <c r="F427" t="str">
        <f>IF(NOT(ISBLANK(A427)),VLOOKUP(A427,'BBT3'!A:F,6,0),"")</f>
        <v>N</v>
      </c>
      <c r="G427" t="str">
        <f t="shared" si="65"/>
        <v>N</v>
      </c>
      <c r="H427">
        <f>IF(NOT(ISBLANK(A427)),VLOOKUP(A427,'Close - PriceSaver'!A:J,5,0),"")</f>
        <v>4.2425604605936598E-2</v>
      </c>
      <c r="I427" s="4" cm="1">
        <f t="array" ref="I427">IF(NOT(ISBLANK(A427)),((_xlfn.XLOOKUP(1,(_bbt3[[#All],[ID]]=A427)*(_bbt3[[#All],[METRIC_NAME]]="YLD_YTM_ASK"),_bbt3[[#All],[METRIC_VALUE]])*0.5)+(_xlfn.XLOOKUP(1,(_bbt3[[#All],[ID]]=A427)*(_bbt3[[#All],[METRIC_NAME]]="YLD_YTM_BID"),_bbt3[[#All],[METRIC_VALUE]])*0.5))/100,"")</f>
        <v>4.2424999999999997E-2</v>
      </c>
      <c r="J427">
        <f>IF(ISNA(VLOOKUP(A427,'CloseDL - PriceSaverBBT3'!A:E,5,0)),0,VLOOKUP(A427,'CloseDL - PriceSaverBBT3'!A:E,5,0))</f>
        <v>4.2425604605936598E-2</v>
      </c>
      <c r="K427" s="7">
        <f t="shared" si="66"/>
        <v>0</v>
      </c>
      <c r="L427" s="20">
        <f>IF(Close[[#This Row],[CreatedBy]]="MARINER\SilverAdm",1,0)</f>
        <v>1</v>
      </c>
      <c r="M427" t="str">
        <f>IF(NOT(ISBLANK(A427)),VLOOKUP(A427,'Close - PriceSaver'!A:J,6,0),"")</f>
        <v>DL input prc = 99.62304688  PX_ASK = 99.63281250 PX_BID = 99.61328125</v>
      </c>
      <c r="Q427" t="e">
        <f t="shared" si="58"/>
        <v>#N/A</v>
      </c>
      <c r="R427" t="e">
        <f t="shared" si="59"/>
        <v>#N/A</v>
      </c>
      <c r="S427" t="e">
        <f t="shared" si="60"/>
        <v>#N/A</v>
      </c>
      <c r="T427" s="15" t="e">
        <f t="shared" si="61"/>
        <v>#N/A</v>
      </c>
      <c r="U427" s="18" t="e">
        <f t="shared" si="62"/>
        <v>#N/A</v>
      </c>
      <c r="V427" s="18" t="e">
        <f t="shared" si="63"/>
        <v>#N/A</v>
      </c>
      <c r="W427" s="19" t="e">
        <f t="shared" si="64"/>
        <v>#N/A</v>
      </c>
      <c r="X427" t="e">
        <f>VLOOKUP(P427,Close[[ID]:[CreatedBy]],8,0)</f>
        <v>#N/A</v>
      </c>
    </row>
    <row r="428" spans="1:24" x14ac:dyDescent="0.35">
      <c r="A428" t="str">
        <v>91282CGQ8</v>
      </c>
      <c r="B428" t="str">
        <f>IF(NOT(ISBLANK(A428)),VLOOKUP(A428,'BBT3'!A:F,2,0),"")</f>
        <v>Bond</v>
      </c>
      <c r="C428" t="str">
        <f>IF(NOT(ISBLANK(A428)),VLOOKUP(A428,'BBT3'!A:F,3,0),"")</f>
        <v>US91282CGQ87</v>
      </c>
      <c r="D428" s="5">
        <f>IF(NOT(ISBLANK(A428)),VLOOKUP(A428,'BBT3'!A:F,4,1),"")</f>
        <v>4</v>
      </c>
      <c r="E428">
        <f>IF(NOT(ISBLANK(A428)),VLOOKUP(A428,'BBT3'!A:F,5,0),"")</f>
        <v>47542</v>
      </c>
      <c r="F428" t="str">
        <f>IF(NOT(ISBLANK(A428)),VLOOKUP(A428,'BBT3'!A:F,6,0),"")</f>
        <v>N</v>
      </c>
      <c r="G428" t="str">
        <f t="shared" si="65"/>
        <v>N</v>
      </c>
      <c r="H428">
        <f>IF(NOT(ISBLANK(A428)),VLOOKUP(A428,'Close - PriceSaver'!A:J,5,0),"")</f>
        <v>4.3235987636316399E-2</v>
      </c>
      <c r="I428" s="4" cm="1">
        <f t="array" ref="I428">IF(NOT(ISBLANK(A428)),((_xlfn.XLOOKUP(1,(_bbt3[[#All],[ID]]=A428)*(_bbt3[[#All],[METRIC_NAME]]="YLD_YTM_ASK"),_bbt3[[#All],[METRIC_VALUE]])*0.5)+(_xlfn.XLOOKUP(1,(_bbt3[[#All],[ID]]=A428)*(_bbt3[[#All],[METRIC_NAME]]="YLD_YTM_BID"),_bbt3[[#All],[METRIC_VALUE]])*0.5))/100,"")</f>
        <v>4.3235000000000003E-2</v>
      </c>
      <c r="J428">
        <f>IF(ISNA(VLOOKUP(A428,'CloseDL - PriceSaverBBT3'!A:E,5,0)),0,VLOOKUP(A428,'CloseDL - PriceSaverBBT3'!A:E,5,0))</f>
        <v>4.3235987636316399E-2</v>
      </c>
      <c r="K428" s="7">
        <f t="shared" si="66"/>
        <v>0</v>
      </c>
      <c r="L428" s="20">
        <f>IF(Close[[#This Row],[CreatedBy]]="MARINER\SilverAdm",1,0)</f>
        <v>1</v>
      </c>
      <c r="M428" t="str">
        <f>IF(NOT(ISBLANK(A428)),VLOOKUP(A428,'Close - PriceSaver'!A:J,6,0),"")</f>
        <v>DL input prc = 98.92578125  PX_ASK = 98.93750000 PX_BID = 98.91406250</v>
      </c>
      <c r="Q428" t="e">
        <f t="shared" si="58"/>
        <v>#N/A</v>
      </c>
      <c r="R428" t="e">
        <f t="shared" si="59"/>
        <v>#N/A</v>
      </c>
      <c r="S428" t="e">
        <f t="shared" si="60"/>
        <v>#N/A</v>
      </c>
      <c r="T428" s="15" t="e">
        <f t="shared" si="61"/>
        <v>#N/A</v>
      </c>
      <c r="U428" s="18" t="e">
        <f t="shared" si="62"/>
        <v>#N/A</v>
      </c>
      <c r="V428" s="18" t="e">
        <f t="shared" si="63"/>
        <v>#N/A</v>
      </c>
      <c r="W428" s="19" t="e">
        <f t="shared" si="64"/>
        <v>#N/A</v>
      </c>
      <c r="X428" t="e">
        <f>VLOOKUP(P428,Close[[ID]:[CreatedBy]],8,0)</f>
        <v>#N/A</v>
      </c>
    </row>
    <row r="429" spans="1:24" x14ac:dyDescent="0.35">
      <c r="A429" t="str">
        <v>91282CGS4</v>
      </c>
      <c r="B429" t="str">
        <f>IF(NOT(ISBLANK(A429)),VLOOKUP(A429,'BBT3'!A:F,2,0),"")</f>
        <v>Bond</v>
      </c>
      <c r="C429" t="str">
        <f>IF(NOT(ISBLANK(A429)),VLOOKUP(A429,'BBT3'!A:F,3,0),"")</f>
        <v>US91282CGS44</v>
      </c>
      <c r="D429" s="5">
        <f>IF(NOT(ISBLANK(A429)),VLOOKUP(A429,'BBT3'!A:F,4,1),"")</f>
        <v>3.625</v>
      </c>
      <c r="E429">
        <f>IF(NOT(ISBLANK(A429)),VLOOKUP(A429,'BBT3'!A:F,5,0),"")</f>
        <v>47573</v>
      </c>
      <c r="F429" t="str">
        <f>IF(NOT(ISBLANK(A429)),VLOOKUP(A429,'BBT3'!A:F,6,0),"")</f>
        <v>N</v>
      </c>
      <c r="G429" t="str">
        <f t="shared" si="65"/>
        <v>N</v>
      </c>
      <c r="H429">
        <f>IF(NOT(ISBLANK(A429)),VLOOKUP(A429,'Close - PriceSaver'!A:J,5,0),"")</f>
        <v>4.3325853296005697E-2</v>
      </c>
      <c r="I429" s="4" cm="1">
        <f t="array" ref="I429">IF(NOT(ISBLANK(A429)),((_xlfn.XLOOKUP(1,(_bbt3[[#All],[ID]]=A429)*(_bbt3[[#All],[METRIC_NAME]]="YLD_YTM_ASK"),_bbt3[[#All],[METRIC_VALUE]])*0.5)+(_xlfn.XLOOKUP(1,(_bbt3[[#All],[ID]]=A429)*(_bbt3[[#All],[METRIC_NAME]]="YLD_YTM_BID"),_bbt3[[#All],[METRIC_VALUE]])*0.5))/100,"")</f>
        <v>4.3324999999999995E-2</v>
      </c>
      <c r="J429">
        <f>IF(ISNA(VLOOKUP(A429,'CloseDL - PriceSaverBBT3'!A:E,5,0)),0,VLOOKUP(A429,'CloseDL - PriceSaverBBT3'!A:E,5,0))</f>
        <v>4.3325853296005697E-2</v>
      </c>
      <c r="K429" s="7">
        <f t="shared" si="66"/>
        <v>0</v>
      </c>
      <c r="L429" s="20">
        <f>IF(Close[[#This Row],[CreatedBy]]="MARINER\SilverAdm",1,0)</f>
        <v>1</v>
      </c>
      <c r="M429" t="str">
        <f>IF(NOT(ISBLANK(A429)),VLOOKUP(A429,'Close - PriceSaver'!A:J,6,0),"")</f>
        <v>DL input prc = 97.60546875  PX_ASK = 97.62500000 PX_BID = 97.58593750</v>
      </c>
      <c r="Q429" t="e">
        <f t="shared" si="58"/>
        <v>#N/A</v>
      </c>
      <c r="R429" t="e">
        <f t="shared" si="59"/>
        <v>#N/A</v>
      </c>
      <c r="S429" t="e">
        <f t="shared" si="60"/>
        <v>#N/A</v>
      </c>
      <c r="T429" s="15" t="e">
        <f t="shared" si="61"/>
        <v>#N/A</v>
      </c>
      <c r="U429" s="18" t="e">
        <f t="shared" si="62"/>
        <v>#N/A</v>
      </c>
      <c r="V429" s="18" t="e">
        <f t="shared" si="63"/>
        <v>#N/A</v>
      </c>
      <c r="W429" s="19" t="e">
        <f t="shared" si="64"/>
        <v>#N/A</v>
      </c>
      <c r="X429" t="e">
        <f>VLOOKUP(P429,Close[[ID]:[CreatedBy]],8,0)</f>
        <v>#N/A</v>
      </c>
    </row>
    <row r="430" spans="1:24" x14ac:dyDescent="0.35">
      <c r="A430" t="str">
        <v>91282CGT2</v>
      </c>
      <c r="B430" t="str">
        <f>IF(NOT(ISBLANK(A430)),VLOOKUP(A430,'BBT3'!A:F,2,0),"")</f>
        <v>Bond</v>
      </c>
      <c r="C430" t="str">
        <f>IF(NOT(ISBLANK(A430)),VLOOKUP(A430,'BBT3'!A:F,3,0),"")</f>
        <v>US91282CGT27</v>
      </c>
      <c r="D430" s="5">
        <f>IF(NOT(ISBLANK(A430)),VLOOKUP(A430,'BBT3'!A:F,4,1),"")</f>
        <v>3.625</v>
      </c>
      <c r="E430">
        <f>IF(NOT(ISBLANK(A430)),VLOOKUP(A430,'BBT3'!A:F,5,0),"")</f>
        <v>46843</v>
      </c>
      <c r="F430" t="str">
        <f>IF(NOT(ISBLANK(A430)),VLOOKUP(A430,'BBT3'!A:F,6,0),"")</f>
        <v>N</v>
      </c>
      <c r="G430" t="str">
        <f t="shared" si="65"/>
        <v>N</v>
      </c>
      <c r="H430">
        <f>IF(NOT(ISBLANK(A430)),VLOOKUP(A430,'Close - PriceSaver'!A:J,5,0),"")</f>
        <v>4.25579370316959E-2</v>
      </c>
      <c r="I430" s="4" cm="1">
        <f t="array" ref="I430">IF(NOT(ISBLANK(A430)),((_xlfn.XLOOKUP(1,(_bbt3[[#All],[ID]]=A430)*(_bbt3[[#All],[METRIC_NAME]]="YLD_YTM_ASK"),_bbt3[[#All],[METRIC_VALUE]])*0.5)+(_xlfn.XLOOKUP(1,(_bbt3[[#All],[ID]]=A430)*(_bbt3[[#All],[METRIC_NAME]]="YLD_YTM_BID"),_bbt3[[#All],[METRIC_VALUE]])*0.5))/100,"")</f>
        <v>4.2560000000000001E-2</v>
      </c>
      <c r="J430">
        <f>IF(ISNA(VLOOKUP(A430,'CloseDL - PriceSaverBBT3'!A:E,5,0)),0,VLOOKUP(A430,'CloseDL - PriceSaverBBT3'!A:E,5,0))</f>
        <v>4.25579370316959E-2</v>
      </c>
      <c r="K430" s="7">
        <f t="shared" si="66"/>
        <v>0</v>
      </c>
      <c r="L430" s="20">
        <f>IF(Close[[#This Row],[CreatedBy]]="MARINER\SilverAdm",1,0)</f>
        <v>1</v>
      </c>
      <c r="M430" t="str">
        <f>IF(NOT(ISBLANK(A430)),VLOOKUP(A430,'Close - PriceSaver'!A:J,6,0),"")</f>
        <v>DL input prc = 98.97656250  PX_ASK = 98.98437500 PX_BID = 98.96875000</v>
      </c>
      <c r="Q430" t="e">
        <f t="shared" si="58"/>
        <v>#N/A</v>
      </c>
      <c r="R430" t="e">
        <f t="shared" si="59"/>
        <v>#N/A</v>
      </c>
      <c r="S430" t="e">
        <f t="shared" si="60"/>
        <v>#N/A</v>
      </c>
      <c r="T430" s="15" t="e">
        <f t="shared" si="61"/>
        <v>#N/A</v>
      </c>
      <c r="U430" s="18" t="e">
        <f t="shared" si="62"/>
        <v>#N/A</v>
      </c>
      <c r="V430" s="18" t="e">
        <f t="shared" si="63"/>
        <v>#N/A</v>
      </c>
      <c r="W430" s="19" t="e">
        <f t="shared" si="64"/>
        <v>#N/A</v>
      </c>
      <c r="X430" t="e">
        <f>VLOOKUP(P430,Close[[ID]:[CreatedBy]],8,0)</f>
        <v>#N/A</v>
      </c>
    </row>
    <row r="431" spans="1:24" x14ac:dyDescent="0.35">
      <c r="A431" t="str">
        <v>91282CGW5</v>
      </c>
      <c r="B431" t="str">
        <f>IF(NOT(ISBLANK(A431)),VLOOKUP(A431,'BBT3'!A:F,2,0),"")</f>
        <v>Bond</v>
      </c>
      <c r="C431" t="str">
        <f>IF(NOT(ISBLANK(A431)),VLOOKUP(A431,'BBT3'!A:F,3,0),"")</f>
        <v>US91282CGW55</v>
      </c>
      <c r="D431" s="5">
        <f>IF(NOT(ISBLANK(A431)),VLOOKUP(A431,'BBT3'!A:F,4,1),"")</f>
        <v>1.25</v>
      </c>
      <c r="E431">
        <f>IF(NOT(ISBLANK(A431)),VLOOKUP(A431,'BBT3'!A:F,5,0),"")</f>
        <v>46858</v>
      </c>
      <c r="F431" t="str">
        <f>IF(NOT(ISBLANK(A431)),VLOOKUP(A431,'BBT3'!A:F,6,0),"")</f>
        <v>Y</v>
      </c>
      <c r="G431" t="str">
        <f t="shared" si="65"/>
        <v>N</v>
      </c>
      <c r="H431">
        <f>IF(NOT(ISBLANK(A431)),VLOOKUP(A431,'Close - PriceSaver'!A:J,5,0),"")</f>
        <v>2.3300821776910102E-2</v>
      </c>
      <c r="I431" s="4" t="e" cm="1">
        <f t="array" ref="I431">IF(NOT(ISBLANK(A431)),((_xlfn.XLOOKUP(1,(_bbt3[[#All],[ID]]=A431)*(_bbt3[[#All],[METRIC_NAME]]="YLD_YTM_ASK"),_bbt3[[#All],[METRIC_VALUE]])*0.5)+(_xlfn.XLOOKUP(1,(_bbt3[[#All],[ID]]=A431)*(_bbt3[[#All],[METRIC_NAME]]="YLD_YTM_BID"),_bbt3[[#All],[METRIC_VALUE]])*0.5))/100,"")</f>
        <v>#N/A</v>
      </c>
      <c r="J431">
        <f>IF(ISNA(VLOOKUP(A431,'CloseDL - PriceSaverBBT3'!A:E,5,0)),0,VLOOKUP(A431,'CloseDL - PriceSaverBBT3'!A:E,5,0))</f>
        <v>2.3300821776910102E-2</v>
      </c>
      <c r="K431" s="7">
        <f t="shared" si="66"/>
        <v>0</v>
      </c>
      <c r="L431" s="20">
        <f>IF(Close[[#This Row],[CreatedBy]]="MARINER\SilverAdm",1,0)</f>
        <v>1</v>
      </c>
      <c r="M431" t="str">
        <f>IF(NOT(ISBLANK(A431)),VLOOKUP(A431,'Close - PriceSaver'!A:J,6,0),"")</f>
        <v>DL input prc = 98.17578125  PX_ASK = 98.20312500 PX_BID = 98.14843750</v>
      </c>
      <c r="Q431" t="e">
        <f t="shared" si="58"/>
        <v>#N/A</v>
      </c>
      <c r="R431" t="e">
        <f t="shared" si="59"/>
        <v>#N/A</v>
      </c>
      <c r="S431" t="e">
        <f t="shared" si="60"/>
        <v>#N/A</v>
      </c>
      <c r="T431" s="15" t="e">
        <f t="shared" si="61"/>
        <v>#N/A</v>
      </c>
      <c r="U431" s="18" t="e">
        <f t="shared" si="62"/>
        <v>#N/A</v>
      </c>
      <c r="V431" s="18" t="e">
        <f t="shared" si="63"/>
        <v>#N/A</v>
      </c>
      <c r="W431" s="19" t="e">
        <f t="shared" si="64"/>
        <v>#N/A</v>
      </c>
      <c r="X431" t="e">
        <f>VLOOKUP(P431,Close[[ID]:[CreatedBy]],8,0)</f>
        <v>#N/A</v>
      </c>
    </row>
    <row r="432" spans="1:24" x14ac:dyDescent="0.35">
      <c r="A432" t="str">
        <v>91282CGZ8</v>
      </c>
      <c r="B432" t="str">
        <f>IF(NOT(ISBLANK(A432)),VLOOKUP(A432,'BBT3'!A:F,2,0),"")</f>
        <v>Bond</v>
      </c>
      <c r="C432" t="str">
        <f>IF(NOT(ISBLANK(A432)),VLOOKUP(A432,'BBT3'!A:F,3,0),"")</f>
        <v>US91282CGZ86</v>
      </c>
      <c r="D432" s="5">
        <f>IF(NOT(ISBLANK(A432)),VLOOKUP(A432,'BBT3'!A:F,4,1),"")</f>
        <v>3.5</v>
      </c>
      <c r="E432">
        <f>IF(NOT(ISBLANK(A432)),VLOOKUP(A432,'BBT3'!A:F,5,0),"")</f>
        <v>47603</v>
      </c>
      <c r="F432" t="str">
        <f>IF(NOT(ISBLANK(A432)),VLOOKUP(A432,'BBT3'!A:F,6,0),"")</f>
        <v>N</v>
      </c>
      <c r="G432" t="str">
        <f t="shared" si="65"/>
        <v>N</v>
      </c>
      <c r="H432">
        <f>IF(NOT(ISBLANK(A432)),VLOOKUP(A432,'Close - PriceSaver'!A:J,5,0),"")</f>
        <v>4.3359892183934601E-2</v>
      </c>
      <c r="I432" s="4" cm="1">
        <f t="array" ref="I432">IF(NOT(ISBLANK(A432)),((_xlfn.XLOOKUP(1,(_bbt3[[#All],[ID]]=A432)*(_bbt3[[#All],[METRIC_NAME]]="YLD_YTM_ASK"),_bbt3[[#All],[METRIC_VALUE]])*0.5)+(_xlfn.XLOOKUP(1,(_bbt3[[#All],[ID]]=A432)*(_bbt3[[#All],[METRIC_NAME]]="YLD_YTM_BID"),_bbt3[[#All],[METRIC_VALUE]])*0.5))/100,"")</f>
        <v>4.3360000000000003E-2</v>
      </c>
      <c r="J432">
        <f>IF(ISNA(VLOOKUP(A432,'CloseDL - PriceSaverBBT3'!A:E,5,0)),0,VLOOKUP(A432,'CloseDL - PriceSaverBBT3'!A:E,5,0))</f>
        <v>4.3359892183934601E-2</v>
      </c>
      <c r="K432" s="7">
        <f t="shared" si="66"/>
        <v>0</v>
      </c>
      <c r="L432" s="20">
        <f>IF(Close[[#This Row],[CreatedBy]]="MARINER\SilverAdm",1,0)</f>
        <v>1</v>
      </c>
      <c r="M432" t="str">
        <f>IF(NOT(ISBLANK(A432)),VLOOKUP(A432,'Close - PriceSaver'!A:J,6,0),"")</f>
        <v>DL input prc = 97.11328125  PX_ASK = 97.13281250 PX_BID = 97.09375000</v>
      </c>
      <c r="Q432" t="e">
        <f t="shared" si="58"/>
        <v>#N/A</v>
      </c>
      <c r="R432" t="e">
        <f t="shared" si="59"/>
        <v>#N/A</v>
      </c>
      <c r="S432" t="e">
        <f t="shared" si="60"/>
        <v>#N/A</v>
      </c>
      <c r="T432" s="15" t="e">
        <f t="shared" si="61"/>
        <v>#N/A</v>
      </c>
      <c r="U432" s="18" t="e">
        <f t="shared" si="62"/>
        <v>#N/A</v>
      </c>
      <c r="V432" s="18" t="e">
        <f t="shared" si="63"/>
        <v>#N/A</v>
      </c>
      <c r="W432" s="19" t="e">
        <f t="shared" si="64"/>
        <v>#N/A</v>
      </c>
      <c r="X432" t="e">
        <f>VLOOKUP(P432,Close[[ID]:[CreatedBy]],8,0)</f>
        <v>#N/A</v>
      </c>
    </row>
    <row r="433" spans="1:24" x14ac:dyDescent="0.35">
      <c r="A433" t="str">
        <v>91282CHA2</v>
      </c>
      <c r="B433" t="str">
        <f>IF(NOT(ISBLANK(A433)),VLOOKUP(A433,'BBT3'!A:F,2,0),"")</f>
        <v>Bond</v>
      </c>
      <c r="C433" t="str">
        <f>IF(NOT(ISBLANK(A433)),VLOOKUP(A433,'BBT3'!A:F,3,0),"")</f>
        <v>US91282CHA27</v>
      </c>
      <c r="D433" s="5">
        <f>IF(NOT(ISBLANK(A433)),VLOOKUP(A433,'BBT3'!A:F,4,1),"")</f>
        <v>3.5</v>
      </c>
      <c r="E433">
        <f>IF(NOT(ISBLANK(A433)),VLOOKUP(A433,'BBT3'!A:F,5,0),"")</f>
        <v>46873</v>
      </c>
      <c r="F433" t="str">
        <f>IF(NOT(ISBLANK(A433)),VLOOKUP(A433,'BBT3'!A:F,6,0),"")</f>
        <v>N</v>
      </c>
      <c r="G433" t="str">
        <f t="shared" si="65"/>
        <v>N</v>
      </c>
      <c r="H433">
        <f>IF(NOT(ISBLANK(A433)),VLOOKUP(A433,'Close - PriceSaver'!A:J,5,0),"")</f>
        <v>4.2639139846112097E-2</v>
      </c>
      <c r="I433" s="4" cm="1">
        <f t="array" ref="I433">IF(NOT(ISBLANK(A433)),((_xlfn.XLOOKUP(1,(_bbt3[[#All],[ID]]=A433)*(_bbt3[[#All],[METRIC_NAME]]="YLD_YTM_ASK"),_bbt3[[#All],[METRIC_VALUE]])*0.5)+(_xlfn.XLOOKUP(1,(_bbt3[[#All],[ID]]=A433)*(_bbt3[[#All],[METRIC_NAME]]="YLD_YTM_BID"),_bbt3[[#All],[METRIC_VALUE]])*0.5))/100,"")</f>
        <v>4.2640000000000004E-2</v>
      </c>
      <c r="J433">
        <f>IF(ISNA(VLOOKUP(A433,'CloseDL - PriceSaverBBT3'!A:E,5,0)),0,VLOOKUP(A433,'CloseDL - PriceSaverBBT3'!A:E,5,0))</f>
        <v>4.2639139846112097E-2</v>
      </c>
      <c r="K433" s="7">
        <f t="shared" si="66"/>
        <v>0</v>
      </c>
      <c r="L433" s="20">
        <f>IF(Close[[#This Row],[CreatedBy]]="MARINER\SilverAdm",1,0)</f>
        <v>1</v>
      </c>
      <c r="M433" t="str">
        <f>IF(NOT(ISBLANK(A433)),VLOOKUP(A433,'Close - PriceSaver'!A:J,6,0),"")</f>
        <v>DL input prc = 98.70312500  PX_ASK = 98.71093750 PX_BID = 98.69531250</v>
      </c>
      <c r="Q433" t="e">
        <f t="shared" si="58"/>
        <v>#N/A</v>
      </c>
      <c r="R433" t="e">
        <f t="shared" si="59"/>
        <v>#N/A</v>
      </c>
      <c r="S433" t="e">
        <f t="shared" si="60"/>
        <v>#N/A</v>
      </c>
      <c r="T433" s="15" t="e">
        <f t="shared" si="61"/>
        <v>#N/A</v>
      </c>
      <c r="U433" s="18" t="e">
        <f t="shared" si="62"/>
        <v>#N/A</v>
      </c>
      <c r="V433" s="18" t="e">
        <f t="shared" si="63"/>
        <v>#N/A</v>
      </c>
      <c r="W433" s="19" t="e">
        <f t="shared" si="64"/>
        <v>#N/A</v>
      </c>
      <c r="X433" t="e">
        <f>VLOOKUP(P433,Close[[ID]:[CreatedBy]],8,0)</f>
        <v>#N/A</v>
      </c>
    </row>
    <row r="434" spans="1:24" x14ac:dyDescent="0.35">
      <c r="A434" t="str">
        <v>91282CHC8</v>
      </c>
      <c r="B434" t="str">
        <f>IF(NOT(ISBLANK(A434)),VLOOKUP(A434,'BBT3'!A:F,2,0),"")</f>
        <v>Bond</v>
      </c>
      <c r="C434" t="str">
        <f>IF(NOT(ISBLANK(A434)),VLOOKUP(A434,'BBT3'!A:F,3,0),"")</f>
        <v>US91282CHC82</v>
      </c>
      <c r="D434" s="5">
        <f>IF(NOT(ISBLANK(A434)),VLOOKUP(A434,'BBT3'!A:F,4,1),"")</f>
        <v>3.375</v>
      </c>
      <c r="E434">
        <f>IF(NOT(ISBLANK(A434)),VLOOKUP(A434,'BBT3'!A:F,5,0),"")</f>
        <v>48714</v>
      </c>
      <c r="F434" t="str">
        <f>IF(NOT(ISBLANK(A434)),VLOOKUP(A434,'BBT3'!A:F,6,0),"")</f>
        <v>N</v>
      </c>
      <c r="G434" t="str">
        <f t="shared" si="65"/>
        <v>N</v>
      </c>
      <c r="H434">
        <f>IF(NOT(ISBLANK(A434)),VLOOKUP(A434,'Close - PriceSaver'!A:J,5,0),"")</f>
        <v>4.4885239523449201E-2</v>
      </c>
      <c r="I434" s="4" cm="1">
        <f t="array" ref="I434">IF(NOT(ISBLANK(A434)),((_xlfn.XLOOKUP(1,(_bbt3[[#All],[ID]]=A434)*(_bbt3[[#All],[METRIC_NAME]]="YLD_YTM_ASK"),_bbt3[[#All],[METRIC_VALUE]])*0.5)+(_xlfn.XLOOKUP(1,(_bbt3[[#All],[ID]]=A434)*(_bbt3[[#All],[METRIC_NAME]]="YLD_YTM_BID"),_bbt3[[#All],[METRIC_VALUE]])*0.5))/100,"")</f>
        <v>4.4885000000000001E-2</v>
      </c>
      <c r="J434">
        <f>IF(ISNA(VLOOKUP(A434,'CloseDL - PriceSaverBBT3'!A:E,5,0)),0,VLOOKUP(A434,'CloseDL - PriceSaverBBT3'!A:E,5,0))</f>
        <v>4.4885239523449201E-2</v>
      </c>
      <c r="K434" s="7">
        <f t="shared" si="66"/>
        <v>0</v>
      </c>
      <c r="L434" s="20">
        <f>IF(Close[[#This Row],[CreatedBy]]="MARINER\SilverAdm",1,0)</f>
        <v>1</v>
      </c>
      <c r="M434" t="str">
        <f>IF(NOT(ISBLANK(A434)),VLOOKUP(A434,'Close - PriceSaver'!A:J,6,0),"")</f>
        <v>DL input prc = 93.51953125  PX_ASK = 93.53906250 PX_BID = 93.50000000</v>
      </c>
      <c r="Q434" t="e">
        <f t="shared" si="58"/>
        <v>#N/A</v>
      </c>
      <c r="R434" t="e">
        <f t="shared" si="59"/>
        <v>#N/A</v>
      </c>
      <c r="S434" t="e">
        <f t="shared" si="60"/>
        <v>#N/A</v>
      </c>
      <c r="T434" s="15" t="e">
        <f t="shared" si="61"/>
        <v>#N/A</v>
      </c>
      <c r="U434" s="18" t="e">
        <f t="shared" si="62"/>
        <v>#N/A</v>
      </c>
      <c r="V434" s="18" t="e">
        <f t="shared" si="63"/>
        <v>#N/A</v>
      </c>
      <c r="W434" s="19" t="e">
        <f t="shared" si="64"/>
        <v>#N/A</v>
      </c>
      <c r="X434" t="e">
        <f>VLOOKUP(P434,Close[[ID]:[CreatedBy]],8,0)</f>
        <v>#N/A</v>
      </c>
    </row>
    <row r="435" spans="1:24" x14ac:dyDescent="0.35">
      <c r="A435" t="str">
        <v>91282CHE4</v>
      </c>
      <c r="B435" t="str">
        <f>IF(NOT(ISBLANK(A435)),VLOOKUP(A435,'BBT3'!A:F,2,0),"")</f>
        <v>Bond</v>
      </c>
      <c r="C435" t="str">
        <f>IF(NOT(ISBLANK(A435)),VLOOKUP(A435,'BBT3'!A:F,3,0),"")</f>
        <v>US91282CHE49</v>
      </c>
      <c r="D435" s="5">
        <f>IF(NOT(ISBLANK(A435)),VLOOKUP(A435,'BBT3'!A:F,4,1),"")</f>
        <v>3.625</v>
      </c>
      <c r="E435">
        <f>IF(NOT(ISBLANK(A435)),VLOOKUP(A435,'BBT3'!A:F,5,0),"")</f>
        <v>46904</v>
      </c>
      <c r="F435" t="str">
        <f>IF(NOT(ISBLANK(A435)),VLOOKUP(A435,'BBT3'!A:F,6,0),"")</f>
        <v>N</v>
      </c>
      <c r="G435" t="str">
        <f t="shared" si="65"/>
        <v>N</v>
      </c>
      <c r="H435">
        <f>IF(NOT(ISBLANK(A435)),VLOOKUP(A435,'Close - PriceSaver'!A:J,5,0),"")</f>
        <v>4.26568821060056E-2</v>
      </c>
      <c r="I435" s="4" cm="1">
        <f t="array" ref="I435">IF(NOT(ISBLANK(A435)),((_xlfn.XLOOKUP(1,(_bbt3[[#All],[ID]]=A435)*(_bbt3[[#All],[METRIC_NAME]]="YLD_YTM_ASK"),_bbt3[[#All],[METRIC_VALUE]])*0.5)+(_xlfn.XLOOKUP(1,(_bbt3[[#All],[ID]]=A435)*(_bbt3[[#All],[METRIC_NAME]]="YLD_YTM_BID"),_bbt3[[#All],[METRIC_VALUE]])*0.5))/100,"")</f>
        <v>4.2654999999999992E-2</v>
      </c>
      <c r="J435">
        <f>IF(ISNA(VLOOKUP(A435,'CloseDL - PriceSaverBBT3'!A:E,5,0)),0,VLOOKUP(A435,'CloseDL - PriceSaverBBT3'!A:E,5,0))</f>
        <v>4.26568821060056E-2</v>
      </c>
      <c r="K435" s="7">
        <f t="shared" si="66"/>
        <v>0</v>
      </c>
      <c r="L435" s="20">
        <f>IF(Close[[#This Row],[CreatedBy]]="MARINER\SilverAdm",1,0)</f>
        <v>1</v>
      </c>
      <c r="M435" t="str">
        <f>IF(NOT(ISBLANK(A435)),VLOOKUP(A435,'Close - PriceSaver'!A:J,6,0),"")</f>
        <v>DL input prc = 98.86328125  PX_ASK = 98.87109375 PX_BID = 98.85546875</v>
      </c>
      <c r="Q435" t="e">
        <f t="shared" si="58"/>
        <v>#N/A</v>
      </c>
      <c r="R435" t="e">
        <f t="shared" si="59"/>
        <v>#N/A</v>
      </c>
      <c r="S435" t="e">
        <f t="shared" si="60"/>
        <v>#N/A</v>
      </c>
      <c r="T435" s="15" t="e">
        <f t="shared" si="61"/>
        <v>#N/A</v>
      </c>
      <c r="U435" s="18" t="e">
        <f t="shared" si="62"/>
        <v>#N/A</v>
      </c>
      <c r="V435" s="18" t="e">
        <f t="shared" si="63"/>
        <v>#N/A</v>
      </c>
      <c r="W435" s="19" t="e">
        <f t="shared" si="64"/>
        <v>#N/A</v>
      </c>
      <c r="X435" t="e">
        <f>VLOOKUP(P435,Close[[ID]:[CreatedBy]],8,0)</f>
        <v>#N/A</v>
      </c>
    </row>
    <row r="436" spans="1:24" x14ac:dyDescent="0.35">
      <c r="A436" t="str">
        <v>91282CHF1</v>
      </c>
      <c r="B436" t="str">
        <f>IF(NOT(ISBLANK(A436)),VLOOKUP(A436,'BBT3'!A:F,2,0),"")</f>
        <v>Bond</v>
      </c>
      <c r="C436" t="str">
        <f>IF(NOT(ISBLANK(A436)),VLOOKUP(A436,'BBT3'!A:F,3,0),"")</f>
        <v>US91282CHF14</v>
      </c>
      <c r="D436" s="5">
        <f>IF(NOT(ISBLANK(A436)),VLOOKUP(A436,'BBT3'!A:F,4,1),"")</f>
        <v>3.75</v>
      </c>
      <c r="E436">
        <f>IF(NOT(ISBLANK(A436)),VLOOKUP(A436,'BBT3'!A:F,5,0),"")</f>
        <v>47634</v>
      </c>
      <c r="F436" t="str">
        <f>IF(NOT(ISBLANK(A436)),VLOOKUP(A436,'BBT3'!A:F,6,0),"")</f>
        <v>N</v>
      </c>
      <c r="G436" t="str">
        <f t="shared" si="65"/>
        <v>N</v>
      </c>
      <c r="H436">
        <f>IF(NOT(ISBLANK(A436)),VLOOKUP(A436,'Close - PriceSaver'!A:J,5,0),"")</f>
        <v>4.3362892719603197E-2</v>
      </c>
      <c r="I436" s="4" cm="1">
        <f t="array" ref="I436">IF(NOT(ISBLANK(A436)),((_xlfn.XLOOKUP(1,(_bbt3[[#All],[ID]]=A436)*(_bbt3[[#All],[METRIC_NAME]]="YLD_YTM_ASK"),_bbt3[[#All],[METRIC_VALUE]])*0.5)+(_xlfn.XLOOKUP(1,(_bbt3[[#All],[ID]]=A436)*(_bbt3[[#All],[METRIC_NAME]]="YLD_YTM_BID"),_bbt3[[#All],[METRIC_VALUE]])*0.5))/100,"")</f>
        <v>4.3365000000000001E-2</v>
      </c>
      <c r="J436">
        <f>IF(ISNA(VLOOKUP(A436,'CloseDL - PriceSaverBBT3'!A:E,5,0)),0,VLOOKUP(A436,'CloseDL - PriceSaverBBT3'!A:E,5,0))</f>
        <v>4.3362892719603197E-2</v>
      </c>
      <c r="K436" s="7">
        <f t="shared" si="66"/>
        <v>0</v>
      </c>
      <c r="L436" s="20">
        <f>IF(Close[[#This Row],[CreatedBy]]="MARINER\SilverAdm",1,0)</f>
        <v>1</v>
      </c>
      <c r="M436" t="str">
        <f>IF(NOT(ISBLANK(A436)),VLOOKUP(A436,'Close - PriceSaver'!A:J,6,0),"")</f>
        <v>DL input prc = 97.93359375  PX_ASK = 97.95312500 PX_BID = 97.91406250</v>
      </c>
      <c r="Q436" t="e">
        <f t="shared" si="58"/>
        <v>#N/A</v>
      </c>
      <c r="R436" t="e">
        <f t="shared" si="59"/>
        <v>#N/A</v>
      </c>
      <c r="S436" t="e">
        <f t="shared" si="60"/>
        <v>#N/A</v>
      </c>
      <c r="T436" s="15" t="e">
        <f t="shared" si="61"/>
        <v>#N/A</v>
      </c>
      <c r="U436" s="18" t="e">
        <f t="shared" si="62"/>
        <v>#N/A</v>
      </c>
      <c r="V436" s="18" t="e">
        <f t="shared" si="63"/>
        <v>#N/A</v>
      </c>
      <c r="W436" s="19" t="e">
        <f t="shared" si="64"/>
        <v>#N/A</v>
      </c>
      <c r="X436" t="e">
        <f>VLOOKUP(P436,Close[[ID]:[CreatedBy]],8,0)</f>
        <v>#N/A</v>
      </c>
    </row>
    <row r="437" spans="1:24" x14ac:dyDescent="0.35">
      <c r="A437" t="str">
        <v>91282CHJ3</v>
      </c>
      <c r="B437" t="str">
        <f>IF(NOT(ISBLANK(A437)),VLOOKUP(A437,'BBT3'!A:F,2,0),"")</f>
        <v>Bond</v>
      </c>
      <c r="C437" t="str">
        <f>IF(NOT(ISBLANK(A437)),VLOOKUP(A437,'BBT3'!A:F,3,0),"")</f>
        <v>US91282CHJ36</v>
      </c>
      <c r="D437" s="5">
        <f>IF(NOT(ISBLANK(A437)),VLOOKUP(A437,'BBT3'!A:F,4,1),"")</f>
        <v>3.75</v>
      </c>
      <c r="E437">
        <f>IF(NOT(ISBLANK(A437)),VLOOKUP(A437,'BBT3'!A:F,5,0),"")</f>
        <v>47664</v>
      </c>
      <c r="F437" t="str">
        <f>IF(NOT(ISBLANK(A437)),VLOOKUP(A437,'BBT3'!A:F,6,0),"")</f>
        <v>N</v>
      </c>
      <c r="G437" t="str">
        <f t="shared" si="65"/>
        <v>N</v>
      </c>
      <c r="H437">
        <f>IF(NOT(ISBLANK(A437)),VLOOKUP(A437,'Close - PriceSaver'!A:J,5,0),"")</f>
        <v>4.3430915182347402E-2</v>
      </c>
      <c r="I437" s="4" cm="1">
        <f t="array" ref="I437">IF(NOT(ISBLANK(A437)),((_xlfn.XLOOKUP(1,(_bbt3[[#All],[ID]]=A437)*(_bbt3[[#All],[METRIC_NAME]]="YLD_YTM_ASK"),_bbt3[[#All],[METRIC_VALUE]])*0.5)+(_xlfn.XLOOKUP(1,(_bbt3[[#All],[ID]]=A437)*(_bbt3[[#All],[METRIC_NAME]]="YLD_YTM_BID"),_bbt3[[#All],[METRIC_VALUE]])*0.5))/100,"")</f>
        <v>4.3435000000000008E-2</v>
      </c>
      <c r="J437">
        <f>IF(ISNA(VLOOKUP(A437,'CloseDL - PriceSaverBBT3'!A:E,5,0)),0,VLOOKUP(A437,'CloseDL - PriceSaverBBT3'!A:E,5,0))</f>
        <v>4.3430915182347402E-2</v>
      </c>
      <c r="K437" s="7">
        <f t="shared" si="66"/>
        <v>0</v>
      </c>
      <c r="L437" s="20">
        <f>IF(Close[[#This Row],[CreatedBy]]="MARINER\SilverAdm",1,0)</f>
        <v>1</v>
      </c>
      <c r="M437" t="str">
        <f>IF(NOT(ISBLANK(A437)),VLOOKUP(A437,'Close - PriceSaver'!A:J,6,0),"")</f>
        <v>DL input prc = 97.87109375  PX_ASK = 97.89062500 PX_BID = 97.85156250</v>
      </c>
      <c r="Q437" t="e">
        <f t="shared" ref="Q437:Q500" si="67">VLOOKUP(P437,A:C,3,0)</f>
        <v>#N/A</v>
      </c>
      <c r="R437" t="e">
        <f t="shared" ref="R437:R500" si="68">VLOOKUP(P437,A:B,2,0)</f>
        <v>#N/A</v>
      </c>
      <c r="S437" t="e">
        <f t="shared" ref="S437:S500" si="69">VLOOKUP(P437,A:E,4,0)</f>
        <v>#N/A</v>
      </c>
      <c r="T437" s="15" t="e">
        <f t="shared" ref="T437:T500" si="70">VLOOKUP(P437,A:K,5,0)</f>
        <v>#N/A</v>
      </c>
      <c r="U437" s="18" t="e">
        <f t="shared" ref="U437:U500" si="71">VLOOKUP(P437,A:K,8,0)</f>
        <v>#N/A</v>
      </c>
      <c r="V437" s="18" t="e">
        <f t="shared" ref="V437:V500" si="72">VLOOKUP(P437,A:K,10,0)</f>
        <v>#N/A</v>
      </c>
      <c r="W437" s="19" t="e">
        <f t="shared" ref="W437:W500" si="73">(V437-U437)*100</f>
        <v>#N/A</v>
      </c>
      <c r="X437" t="e">
        <f>VLOOKUP(P437,Close[[ID]:[CreatedBy]],8,0)</f>
        <v>#N/A</v>
      </c>
    </row>
    <row r="438" spans="1:24" x14ac:dyDescent="0.35">
      <c r="A438" t="str">
        <v>91282CHK0</v>
      </c>
      <c r="B438" t="str">
        <f>IF(NOT(ISBLANK(A438)),VLOOKUP(A438,'BBT3'!A:F,2,0),"")</f>
        <v>Bond</v>
      </c>
      <c r="C438" t="str">
        <f>IF(NOT(ISBLANK(A438)),VLOOKUP(A438,'BBT3'!A:F,3,0),"")</f>
        <v>US91282CHK09</v>
      </c>
      <c r="D438" s="5">
        <f>IF(NOT(ISBLANK(A438)),VLOOKUP(A438,'BBT3'!A:F,4,1),"")</f>
        <v>4</v>
      </c>
      <c r="E438">
        <f>IF(NOT(ISBLANK(A438)),VLOOKUP(A438,'BBT3'!A:F,5,0),"")</f>
        <v>46934</v>
      </c>
      <c r="F438" t="str">
        <f>IF(NOT(ISBLANK(A438)),VLOOKUP(A438,'BBT3'!A:F,6,0),"")</f>
        <v>N</v>
      </c>
      <c r="G438" t="str">
        <f t="shared" si="65"/>
        <v>N</v>
      </c>
      <c r="H438">
        <f>IF(NOT(ISBLANK(A438)),VLOOKUP(A438,'Close - PriceSaver'!A:J,5,0),"")</f>
        <v>4.26581142024317E-2</v>
      </c>
      <c r="I438" s="4" cm="1">
        <f t="array" ref="I438">IF(NOT(ISBLANK(A438)),((_xlfn.XLOOKUP(1,(_bbt3[[#All],[ID]]=A438)*(_bbt3[[#All],[METRIC_NAME]]="YLD_YTM_ASK"),_bbt3[[#All],[METRIC_VALUE]])*0.5)+(_xlfn.XLOOKUP(1,(_bbt3[[#All],[ID]]=A438)*(_bbt3[[#All],[METRIC_NAME]]="YLD_YTM_BID"),_bbt3[[#All],[METRIC_VALUE]])*0.5))/100,"")</f>
        <v>4.2660000000000003E-2</v>
      </c>
      <c r="J438">
        <f>IF(ISNA(VLOOKUP(A438,'CloseDL - PriceSaverBBT3'!A:E,5,0)),0,VLOOKUP(A438,'CloseDL - PriceSaverBBT3'!A:E,5,0))</f>
        <v>4.26581142024317E-2</v>
      </c>
      <c r="K438" s="7">
        <f t="shared" si="66"/>
        <v>0</v>
      </c>
      <c r="L438" s="20">
        <f>IF(Close[[#This Row],[CreatedBy]]="MARINER\SilverAdm",1,0)</f>
        <v>1</v>
      </c>
      <c r="M438" t="str">
        <f>IF(NOT(ISBLANK(A438)),VLOOKUP(A438,'Close - PriceSaver'!A:J,6,0),"")</f>
        <v>DL input prc = 99.50781250  PX_ASK = 99.51562500 PX_BID = 99.50000000</v>
      </c>
      <c r="Q438" t="e">
        <f t="shared" si="67"/>
        <v>#N/A</v>
      </c>
      <c r="R438" t="e">
        <f t="shared" si="68"/>
        <v>#N/A</v>
      </c>
      <c r="S438" t="e">
        <f t="shared" si="69"/>
        <v>#N/A</v>
      </c>
      <c r="T438" s="15" t="e">
        <f t="shared" si="70"/>
        <v>#N/A</v>
      </c>
      <c r="U438" s="18" t="e">
        <f t="shared" si="71"/>
        <v>#N/A</v>
      </c>
      <c r="V438" s="18" t="e">
        <f t="shared" si="72"/>
        <v>#N/A</v>
      </c>
      <c r="W438" s="19" t="e">
        <f t="shared" si="73"/>
        <v>#N/A</v>
      </c>
      <c r="X438" t="e">
        <f>VLOOKUP(P438,Close[[ID]:[CreatedBy]],8,0)</f>
        <v>#N/A</v>
      </c>
    </row>
    <row r="439" spans="1:24" x14ac:dyDescent="0.35">
      <c r="A439" t="str">
        <v>91282CHP9</v>
      </c>
      <c r="B439" t="str">
        <f>IF(NOT(ISBLANK(A439)),VLOOKUP(A439,'BBT3'!A:F,2,0),"")</f>
        <v>Bond</v>
      </c>
      <c r="C439" t="str">
        <f>IF(NOT(ISBLANK(A439)),VLOOKUP(A439,'BBT3'!A:F,3,0),"")</f>
        <v>US91282CHP95</v>
      </c>
      <c r="D439" s="5">
        <f>IF(NOT(ISBLANK(A439)),VLOOKUP(A439,'BBT3'!A:F,4,1),"")</f>
        <v>1.375</v>
      </c>
      <c r="E439">
        <f>IF(NOT(ISBLANK(A439)),VLOOKUP(A439,'BBT3'!A:F,5,0),"")</f>
        <v>48775</v>
      </c>
      <c r="F439" t="str">
        <f>IF(NOT(ISBLANK(A439)),VLOOKUP(A439,'BBT3'!A:F,6,0),"")</f>
        <v>Y</v>
      </c>
      <c r="G439" t="str">
        <f t="shared" si="65"/>
        <v>N</v>
      </c>
      <c r="H439">
        <f>IF(NOT(ISBLANK(A439)),VLOOKUP(A439,'Close - PriceSaver'!A:J,5,0),"")</f>
        <v>2.1252455347681502E-2</v>
      </c>
      <c r="I439" s="4" cm="1">
        <f t="array" ref="I439">IF(NOT(ISBLANK(A439)),((_xlfn.XLOOKUP(1,(_bbt3[[#All],[ID]]=A439)*(_bbt3[[#All],[METRIC_NAME]]="YLD_YTM_ASK"),_bbt3[[#All],[METRIC_VALUE]])*0.5)+(_xlfn.XLOOKUP(1,(_bbt3[[#All],[ID]]=A439)*(_bbt3[[#All],[METRIC_NAME]]="YLD_YTM_BID"),_bbt3[[#All],[METRIC_VALUE]])*0.5))/100,"")</f>
        <v>2.1254999999999996E-2</v>
      </c>
      <c r="J439">
        <f>IF(ISNA(VLOOKUP(A439,'CloseDL - PriceSaverBBT3'!A:E,5,0)),0,VLOOKUP(A439,'CloseDL - PriceSaverBBT3'!A:E,5,0))</f>
        <v>2.1252455347681502E-2</v>
      </c>
      <c r="K439" s="7">
        <f t="shared" si="66"/>
        <v>0</v>
      </c>
      <c r="L439" s="20">
        <f>IF(Close[[#This Row],[CreatedBy]]="MARINER\SilverAdm",1,0)</f>
        <v>1</v>
      </c>
      <c r="M439" t="str">
        <f>IF(NOT(ISBLANK(A439)),VLOOKUP(A439,'Close - PriceSaver'!A:J,6,0),"")</f>
        <v>DL input prc = 95.15625000  PX_ASK = 95.17968750 PX_BID = 95.13281250</v>
      </c>
      <c r="Q439" t="e">
        <f t="shared" si="67"/>
        <v>#N/A</v>
      </c>
      <c r="R439" t="e">
        <f t="shared" si="68"/>
        <v>#N/A</v>
      </c>
      <c r="S439" t="e">
        <f t="shared" si="69"/>
        <v>#N/A</v>
      </c>
      <c r="T439" s="15" t="e">
        <f t="shared" si="70"/>
        <v>#N/A</v>
      </c>
      <c r="U439" s="18" t="e">
        <f t="shared" si="71"/>
        <v>#N/A</v>
      </c>
      <c r="V439" s="18" t="e">
        <f t="shared" si="72"/>
        <v>#N/A</v>
      </c>
      <c r="W439" s="19" t="e">
        <f t="shared" si="73"/>
        <v>#N/A</v>
      </c>
      <c r="X439" t="e">
        <f>VLOOKUP(P439,Close[[ID]:[CreatedBy]],8,0)</f>
        <v>#N/A</v>
      </c>
    </row>
    <row r="440" spans="1:24" x14ac:dyDescent="0.35">
      <c r="A440" t="str">
        <v>91282CHQ7</v>
      </c>
      <c r="B440" t="str">
        <f>IF(NOT(ISBLANK(A440)),VLOOKUP(A440,'BBT3'!A:F,2,0),"")</f>
        <v>Bond</v>
      </c>
      <c r="C440" t="str">
        <f>IF(NOT(ISBLANK(A440)),VLOOKUP(A440,'BBT3'!A:F,3,0),"")</f>
        <v>US91282CHQ78</v>
      </c>
      <c r="D440" s="5">
        <f>IF(NOT(ISBLANK(A440)),VLOOKUP(A440,'BBT3'!A:F,4,1),"")</f>
        <v>4.125</v>
      </c>
      <c r="E440">
        <f>IF(NOT(ISBLANK(A440)),VLOOKUP(A440,'BBT3'!A:F,5,0),"")</f>
        <v>46965</v>
      </c>
      <c r="F440" t="str">
        <f>IF(NOT(ISBLANK(A440)),VLOOKUP(A440,'BBT3'!A:F,6,0),"")</f>
        <v>N</v>
      </c>
      <c r="G440" t="str">
        <f t="shared" si="65"/>
        <v>N</v>
      </c>
      <c r="H440">
        <f>IF(NOT(ISBLANK(A440)),VLOOKUP(A440,'Close - PriceSaver'!A:J,5,0),"")</f>
        <v>4.2668548372402797E-2</v>
      </c>
      <c r="I440" s="4" cm="1">
        <f t="array" ref="I440">IF(NOT(ISBLANK(A440)),((_xlfn.XLOOKUP(1,(_bbt3[[#All],[ID]]=A440)*(_bbt3[[#All],[METRIC_NAME]]="YLD_YTM_ASK"),_bbt3[[#All],[METRIC_VALUE]])*0.5)+(_xlfn.XLOOKUP(1,(_bbt3[[#All],[ID]]=A440)*(_bbt3[[#All],[METRIC_NAME]]="YLD_YTM_BID"),_bbt3[[#All],[METRIC_VALUE]])*0.5))/100,"")</f>
        <v>4.2669999999999993E-2</v>
      </c>
      <c r="J440">
        <f>IF(ISNA(VLOOKUP(A440,'CloseDL - PriceSaverBBT3'!A:E,5,0)),0,VLOOKUP(A440,'CloseDL - PriceSaverBBT3'!A:E,5,0))</f>
        <v>4.2668548372402797E-2</v>
      </c>
      <c r="K440" s="7">
        <f t="shared" si="66"/>
        <v>0</v>
      </c>
      <c r="L440" s="20">
        <f>IF(Close[[#This Row],[CreatedBy]]="MARINER\SilverAdm",1,0)</f>
        <v>1</v>
      </c>
      <c r="M440" t="str">
        <f>IF(NOT(ISBLANK(A440)),VLOOKUP(A440,'Close - PriceSaver'!A:J,6,0),"")</f>
        <v>DL input prc = 99.72656250  PX_ASK = 99.73828125 PX_BID = 99.71484375</v>
      </c>
      <c r="Q440" t="e">
        <f t="shared" si="67"/>
        <v>#N/A</v>
      </c>
      <c r="R440" t="e">
        <f t="shared" si="68"/>
        <v>#N/A</v>
      </c>
      <c r="S440" t="e">
        <f t="shared" si="69"/>
        <v>#N/A</v>
      </c>
      <c r="T440" s="15" t="e">
        <f t="shared" si="70"/>
        <v>#N/A</v>
      </c>
      <c r="U440" s="18" t="e">
        <f t="shared" si="71"/>
        <v>#N/A</v>
      </c>
      <c r="V440" s="18" t="e">
        <f t="shared" si="72"/>
        <v>#N/A</v>
      </c>
      <c r="W440" s="19" t="e">
        <f t="shared" si="73"/>
        <v>#N/A</v>
      </c>
      <c r="X440" t="e">
        <f>VLOOKUP(P440,Close[[ID]:[CreatedBy]],8,0)</f>
        <v>#N/A</v>
      </c>
    </row>
    <row r="441" spans="1:24" x14ac:dyDescent="0.35">
      <c r="A441" t="str">
        <v>91282CHR5</v>
      </c>
      <c r="B441" t="str">
        <f>IF(NOT(ISBLANK(A441)),VLOOKUP(A441,'BBT3'!A:F,2,0),"")</f>
        <v>Bond</v>
      </c>
      <c r="C441" t="str">
        <f>IF(NOT(ISBLANK(A441)),VLOOKUP(A441,'BBT3'!A:F,3,0),"")</f>
        <v>US91282CHR51</v>
      </c>
      <c r="D441" s="5">
        <f>IF(NOT(ISBLANK(A441)),VLOOKUP(A441,'BBT3'!A:F,4,1),"")</f>
        <v>4</v>
      </c>
      <c r="E441">
        <f>IF(NOT(ISBLANK(A441)),VLOOKUP(A441,'BBT3'!A:F,5,0),"")</f>
        <v>47695</v>
      </c>
      <c r="F441" t="str">
        <f>IF(NOT(ISBLANK(A441)),VLOOKUP(A441,'BBT3'!A:F,6,0),"")</f>
        <v>N</v>
      </c>
      <c r="G441" t="str">
        <f t="shared" si="65"/>
        <v>N</v>
      </c>
      <c r="H441">
        <f>IF(NOT(ISBLANK(A441)),VLOOKUP(A441,'Close - PriceSaver'!A:J,5,0),"")</f>
        <v>4.3426424572595899E-2</v>
      </c>
      <c r="I441" s="4" cm="1">
        <f t="array" ref="I441">IF(NOT(ISBLANK(A441)),((_xlfn.XLOOKUP(1,(_bbt3[[#All],[ID]]=A441)*(_bbt3[[#All],[METRIC_NAME]]="YLD_YTM_ASK"),_bbt3[[#All],[METRIC_VALUE]])*0.5)+(_xlfn.XLOOKUP(1,(_bbt3[[#All],[ID]]=A441)*(_bbt3[[#All],[METRIC_NAME]]="YLD_YTM_BID"),_bbt3[[#All],[METRIC_VALUE]])*0.5))/100,"")</f>
        <v>4.3425000000000005E-2</v>
      </c>
      <c r="J441">
        <f>IF(ISNA(VLOOKUP(A441,'CloseDL - PriceSaverBBT3'!A:E,5,0)),0,VLOOKUP(A441,'CloseDL - PriceSaverBBT3'!A:E,5,0))</f>
        <v>4.3426424572595899E-2</v>
      </c>
      <c r="K441" s="7">
        <f t="shared" si="66"/>
        <v>0</v>
      </c>
      <c r="L441" s="20">
        <f>IF(Close[[#This Row],[CreatedBy]]="MARINER\SilverAdm",1,0)</f>
        <v>1</v>
      </c>
      <c r="M441" t="str">
        <f>IF(NOT(ISBLANK(A441)),VLOOKUP(A441,'Close - PriceSaver'!A:J,6,0),"")</f>
        <v>DL input prc = 98.74609375  PX_ASK = 98.75781250 PX_BID = 98.73437500</v>
      </c>
      <c r="Q441" t="e">
        <f t="shared" si="67"/>
        <v>#N/A</v>
      </c>
      <c r="R441" t="e">
        <f t="shared" si="68"/>
        <v>#N/A</v>
      </c>
      <c r="S441" t="e">
        <f t="shared" si="69"/>
        <v>#N/A</v>
      </c>
      <c r="T441" s="15" t="e">
        <f t="shared" si="70"/>
        <v>#N/A</v>
      </c>
      <c r="U441" s="18" t="e">
        <f t="shared" si="71"/>
        <v>#N/A</v>
      </c>
      <c r="V441" s="18" t="e">
        <f t="shared" si="72"/>
        <v>#N/A</v>
      </c>
      <c r="W441" s="19" t="e">
        <f t="shared" si="73"/>
        <v>#N/A</v>
      </c>
      <c r="X441" t="e">
        <f>VLOOKUP(P441,Close[[ID]:[CreatedBy]],8,0)</f>
        <v>#N/A</v>
      </c>
    </row>
    <row r="442" spans="1:24" x14ac:dyDescent="0.35">
      <c r="A442" t="str">
        <v>91282CHT1</v>
      </c>
      <c r="B442" t="str">
        <f>IF(NOT(ISBLANK(A442)),VLOOKUP(A442,'BBT3'!A:F,2,0),"")</f>
        <v>Bond</v>
      </c>
      <c r="C442" t="str">
        <f>IF(NOT(ISBLANK(A442)),VLOOKUP(A442,'BBT3'!A:F,3,0),"")</f>
        <v>US91282CHT18</v>
      </c>
      <c r="D442" s="5">
        <f>IF(NOT(ISBLANK(A442)),VLOOKUP(A442,'BBT3'!A:F,4,1),"")</f>
        <v>3.875</v>
      </c>
      <c r="E442">
        <f>IF(NOT(ISBLANK(A442)),VLOOKUP(A442,'BBT3'!A:F,5,0),"")</f>
        <v>48806</v>
      </c>
      <c r="F442" t="str">
        <f>IF(NOT(ISBLANK(A442)),VLOOKUP(A442,'BBT3'!A:F,6,0),"")</f>
        <v>N</v>
      </c>
      <c r="G442" t="str">
        <f t="shared" si="65"/>
        <v>N</v>
      </c>
      <c r="H442">
        <f>IF(NOT(ISBLANK(A442)),VLOOKUP(A442,'Close - PriceSaver'!A:J,5,0),"")</f>
        <v>4.5013438173223501E-2</v>
      </c>
      <c r="I442" s="4" cm="1">
        <f t="array" ref="I442">IF(NOT(ISBLANK(A442)),((_xlfn.XLOOKUP(1,(_bbt3[[#All],[ID]]=A442)*(_bbt3[[#All],[METRIC_NAME]]="YLD_YTM_ASK"),_bbt3[[#All],[METRIC_VALUE]])*0.5)+(_xlfn.XLOOKUP(1,(_bbt3[[#All],[ID]]=A442)*(_bbt3[[#All],[METRIC_NAME]]="YLD_YTM_BID"),_bbt3[[#All],[METRIC_VALUE]])*0.5))/100,"")</f>
        <v>4.5014999999999999E-2</v>
      </c>
      <c r="J442">
        <f>IF(ISNA(VLOOKUP(A442,'CloseDL - PriceSaverBBT3'!A:E,5,0)),0,VLOOKUP(A442,'CloseDL - PriceSaverBBT3'!A:E,5,0))</f>
        <v>4.5013438173223501E-2</v>
      </c>
      <c r="K442" s="7">
        <f t="shared" si="66"/>
        <v>0</v>
      </c>
      <c r="L442" s="20">
        <f>IF(Close[[#This Row],[CreatedBy]]="MARINER\SilverAdm",1,0)</f>
        <v>1</v>
      </c>
      <c r="M442" t="str">
        <f>IF(NOT(ISBLANK(A442)),VLOOKUP(A442,'Close - PriceSaver'!A:J,6,0),"")</f>
        <v>DL input prc = 96.24218750  PX_ASK = 96.25781250 PX_BID = 96.22656250</v>
      </c>
      <c r="Q442" t="e">
        <f t="shared" si="67"/>
        <v>#N/A</v>
      </c>
      <c r="R442" t="e">
        <f t="shared" si="68"/>
        <v>#N/A</v>
      </c>
      <c r="S442" t="e">
        <f t="shared" si="69"/>
        <v>#N/A</v>
      </c>
      <c r="T442" s="15" t="e">
        <f t="shared" si="70"/>
        <v>#N/A</v>
      </c>
      <c r="U442" s="18" t="e">
        <f t="shared" si="71"/>
        <v>#N/A</v>
      </c>
      <c r="V442" s="18" t="e">
        <f t="shared" si="72"/>
        <v>#N/A</v>
      </c>
      <c r="W442" s="19" t="e">
        <f t="shared" si="73"/>
        <v>#N/A</v>
      </c>
      <c r="X442" t="e">
        <f>VLOOKUP(P442,Close[[ID]:[CreatedBy]],8,0)</f>
        <v>#N/A</v>
      </c>
    </row>
    <row r="443" spans="1:24" x14ac:dyDescent="0.35">
      <c r="A443" t="str">
        <v>91282CHU8</v>
      </c>
      <c r="B443" t="str">
        <f>IF(NOT(ISBLANK(A443)),VLOOKUP(A443,'BBT3'!A:F,2,0),"")</f>
        <v>Bond</v>
      </c>
      <c r="C443" t="str">
        <f>IF(NOT(ISBLANK(A443)),VLOOKUP(A443,'BBT3'!A:F,3,0),"")</f>
        <v>US91282CHU80</v>
      </c>
      <c r="D443" s="5">
        <f>IF(NOT(ISBLANK(A443)),VLOOKUP(A443,'BBT3'!A:F,4,1),"")</f>
        <v>4.375</v>
      </c>
      <c r="E443">
        <f>IF(NOT(ISBLANK(A443)),VLOOKUP(A443,'BBT3'!A:F,5,0),"")</f>
        <v>46249</v>
      </c>
      <c r="F443" t="str">
        <f>IF(NOT(ISBLANK(A443)),VLOOKUP(A443,'BBT3'!A:F,6,0),"")</f>
        <v>N</v>
      </c>
      <c r="G443" t="str">
        <f t="shared" si="65"/>
        <v>N</v>
      </c>
      <c r="H443">
        <f>IF(NOT(ISBLANK(A443)),VLOOKUP(A443,'Close - PriceSaver'!A:J,5,0),"")</f>
        <v>3.9167128002686499E-2</v>
      </c>
      <c r="I443" s="4" cm="1">
        <f t="array" ref="I443">IF(NOT(ISBLANK(A443)),((_xlfn.XLOOKUP(1,(_bbt3[[#All],[ID]]=A443)*(_bbt3[[#All],[METRIC_NAME]]="YLD_YTM_ASK"),_bbt3[[#All],[METRIC_VALUE]])*0.5)+(_xlfn.XLOOKUP(1,(_bbt3[[#All],[ID]]=A443)*(_bbt3[[#All],[METRIC_NAME]]="YLD_YTM_BID"),_bbt3[[#All],[METRIC_VALUE]])*0.5))/100,"")</f>
        <v>3.9169999999999996E-2</v>
      </c>
      <c r="J443">
        <f>IF(ISNA(VLOOKUP(A443,'CloseDL - PriceSaverBBT3'!A:E,5,0)),0,VLOOKUP(A443,'CloseDL - PriceSaverBBT3'!A:E,5,0))</f>
        <v>3.9167128002686499E-2</v>
      </c>
      <c r="K443" s="7">
        <f t="shared" si="66"/>
        <v>0</v>
      </c>
      <c r="L443" s="20">
        <f>IF(Close[[#This Row],[CreatedBy]]="MARINER\SilverAdm",1,0)</f>
        <v>1</v>
      </c>
      <c r="M443" t="str">
        <f>IF(NOT(ISBLANK(A443)),VLOOKUP(A443,'Close - PriceSaver'!A:J,6,0),"")</f>
        <v>DL input prc = 100.02539063  PX_ASK = 100.03906250 PX_BID = 100.01171875</v>
      </c>
      <c r="Q443" t="e">
        <f t="shared" si="67"/>
        <v>#N/A</v>
      </c>
      <c r="R443" t="e">
        <f t="shared" si="68"/>
        <v>#N/A</v>
      </c>
      <c r="S443" t="e">
        <f t="shared" si="69"/>
        <v>#N/A</v>
      </c>
      <c r="T443" s="15" t="e">
        <f t="shared" si="70"/>
        <v>#N/A</v>
      </c>
      <c r="U443" s="18" t="e">
        <f t="shared" si="71"/>
        <v>#N/A</v>
      </c>
      <c r="V443" s="18" t="e">
        <f t="shared" si="72"/>
        <v>#N/A</v>
      </c>
      <c r="W443" s="19" t="e">
        <f t="shared" si="73"/>
        <v>#N/A</v>
      </c>
      <c r="X443" t="e">
        <f>VLOOKUP(P443,Close[[ID]:[CreatedBy]],8,0)</f>
        <v>#N/A</v>
      </c>
    </row>
    <row r="444" spans="1:24" x14ac:dyDescent="0.35">
      <c r="A444" t="str">
        <v>91282CHW4</v>
      </c>
      <c r="B444" t="str">
        <f>IF(NOT(ISBLANK(A444)),VLOOKUP(A444,'BBT3'!A:F,2,0),"")</f>
        <v>Bond</v>
      </c>
      <c r="C444" t="str">
        <f>IF(NOT(ISBLANK(A444)),VLOOKUP(A444,'BBT3'!A:F,3,0),"")</f>
        <v>US91282CHW47</v>
      </c>
      <c r="D444" s="5">
        <f>IF(NOT(ISBLANK(A444)),VLOOKUP(A444,'BBT3'!A:F,4,1),"")</f>
        <v>4.125</v>
      </c>
      <c r="E444">
        <f>IF(NOT(ISBLANK(A444)),VLOOKUP(A444,'BBT3'!A:F,5,0),"")</f>
        <v>47726</v>
      </c>
      <c r="F444" t="str">
        <f>IF(NOT(ISBLANK(A444)),VLOOKUP(A444,'BBT3'!A:F,6,0),"")</f>
        <v>N</v>
      </c>
      <c r="G444" t="str">
        <f t="shared" si="65"/>
        <v>N</v>
      </c>
      <c r="H444">
        <f>IF(NOT(ISBLANK(A444)),VLOOKUP(A444,'Close - PriceSaver'!A:J,5,0),"")</f>
        <v>4.3504613095856202E-2</v>
      </c>
      <c r="I444" s="4" cm="1">
        <f t="array" ref="I444">IF(NOT(ISBLANK(A444)),((_xlfn.XLOOKUP(1,(_bbt3[[#All],[ID]]=A444)*(_bbt3[[#All],[METRIC_NAME]]="YLD_YTM_ASK"),_bbt3[[#All],[METRIC_VALUE]])*0.5)+(_xlfn.XLOOKUP(1,(_bbt3[[#All],[ID]]=A444)*(_bbt3[[#All],[METRIC_NAME]]="YLD_YTM_BID"),_bbt3[[#All],[METRIC_VALUE]])*0.5))/100,"")</f>
        <v>4.3505000000000002E-2</v>
      </c>
      <c r="J444">
        <f>IF(ISNA(VLOOKUP(A444,'CloseDL - PriceSaverBBT3'!A:E,5,0)),0,VLOOKUP(A444,'CloseDL - PriceSaverBBT3'!A:E,5,0))</f>
        <v>4.3504613095856202E-2</v>
      </c>
      <c r="K444" s="7">
        <f t="shared" si="66"/>
        <v>0</v>
      </c>
      <c r="L444" s="20">
        <f>IF(Close[[#This Row],[CreatedBy]]="MARINER\SilverAdm",1,0)</f>
        <v>1</v>
      </c>
      <c r="M444" t="str">
        <f>IF(NOT(ISBLANK(A444)),VLOOKUP(A444,'Close - PriceSaver'!A:J,6,0),"")</f>
        <v>DL input prc = 99.15625000  PX_ASK = 99.17187500 PX_BID = 99.14062500</v>
      </c>
      <c r="Q444" t="e">
        <f t="shared" si="67"/>
        <v>#N/A</v>
      </c>
      <c r="R444" t="e">
        <f t="shared" si="68"/>
        <v>#N/A</v>
      </c>
      <c r="S444" t="e">
        <f t="shared" si="69"/>
        <v>#N/A</v>
      </c>
      <c r="T444" s="15" t="e">
        <f t="shared" si="70"/>
        <v>#N/A</v>
      </c>
      <c r="U444" s="18" t="e">
        <f t="shared" si="71"/>
        <v>#N/A</v>
      </c>
      <c r="V444" s="18" t="e">
        <f t="shared" si="72"/>
        <v>#N/A</v>
      </c>
      <c r="W444" s="19" t="e">
        <f t="shared" si="73"/>
        <v>#N/A</v>
      </c>
      <c r="X444" t="e">
        <f>VLOOKUP(P444,Close[[ID]:[CreatedBy]],8,0)</f>
        <v>#N/A</v>
      </c>
    </row>
    <row r="445" spans="1:24" x14ac:dyDescent="0.35">
      <c r="A445" t="str">
        <v>91282CHX2</v>
      </c>
      <c r="B445" t="str">
        <f>IF(NOT(ISBLANK(A445)),VLOOKUP(A445,'BBT3'!A:F,2,0),"")</f>
        <v>Bond</v>
      </c>
      <c r="C445" t="str">
        <f>IF(NOT(ISBLANK(A445)),VLOOKUP(A445,'BBT3'!A:F,3,0),"")</f>
        <v>US91282CHX20</v>
      </c>
      <c r="D445" s="5">
        <f>IF(NOT(ISBLANK(A445)),VLOOKUP(A445,'BBT3'!A:F,4,1),"")</f>
        <v>4.375</v>
      </c>
      <c r="E445">
        <f>IF(NOT(ISBLANK(A445)),VLOOKUP(A445,'BBT3'!A:F,5,0),"")</f>
        <v>46996</v>
      </c>
      <c r="F445" t="str">
        <f>IF(NOT(ISBLANK(A445)),VLOOKUP(A445,'BBT3'!A:F,6,0),"")</f>
        <v>N</v>
      </c>
      <c r="G445" t="str">
        <f t="shared" si="65"/>
        <v>N</v>
      </c>
      <c r="H445">
        <f>IF(NOT(ISBLANK(A445)),VLOOKUP(A445,'Close - PriceSaver'!A:J,5,0),"")</f>
        <v>4.2732249550070302E-2</v>
      </c>
      <c r="I445" s="4" cm="1">
        <f t="array" ref="I445">IF(NOT(ISBLANK(A445)),((_xlfn.XLOOKUP(1,(_bbt3[[#All],[ID]]=A445)*(_bbt3[[#All],[METRIC_NAME]]="YLD_YTM_ASK"),_bbt3[[#All],[METRIC_VALUE]])*0.5)+(_xlfn.XLOOKUP(1,(_bbt3[[#All],[ID]]=A445)*(_bbt3[[#All],[METRIC_NAME]]="YLD_YTM_BID"),_bbt3[[#All],[METRIC_VALUE]])*0.5))/100,"")</f>
        <v>4.2729999999999997E-2</v>
      </c>
      <c r="J445">
        <f>IF(ISNA(VLOOKUP(A445,'CloseDL - PriceSaverBBT3'!A:E,5,0)),0,VLOOKUP(A445,'CloseDL - PriceSaverBBT3'!A:E,5,0))</f>
        <v>4.2732249550070302E-2</v>
      </c>
      <c r="K445" s="7">
        <f t="shared" si="66"/>
        <v>0</v>
      </c>
      <c r="L445" s="20">
        <f>IF(Close[[#This Row],[CreatedBy]]="MARINER\SilverAdm",1,0)</f>
        <v>1</v>
      </c>
      <c r="M445" t="str">
        <f>IF(NOT(ISBLANK(A445)),VLOOKUP(A445,'Close - PriceSaver'!A:J,6,0),"")</f>
        <v>DL input prc = 100.19921875  PX_ASK = 100.21875000 PX_BID = 100.17968750</v>
      </c>
      <c r="Q445" t="e">
        <f t="shared" si="67"/>
        <v>#N/A</v>
      </c>
      <c r="R445" t="e">
        <f t="shared" si="68"/>
        <v>#N/A</v>
      </c>
      <c r="S445" t="e">
        <f t="shared" si="69"/>
        <v>#N/A</v>
      </c>
      <c r="T445" s="15" t="e">
        <f t="shared" si="70"/>
        <v>#N/A</v>
      </c>
      <c r="U445" s="18" t="e">
        <f t="shared" si="71"/>
        <v>#N/A</v>
      </c>
      <c r="V445" s="18" t="e">
        <f t="shared" si="72"/>
        <v>#N/A</v>
      </c>
      <c r="W445" s="19" t="e">
        <f t="shared" si="73"/>
        <v>#N/A</v>
      </c>
      <c r="X445" t="e">
        <f>VLOOKUP(P445,Close[[ID]:[CreatedBy]],8,0)</f>
        <v>#N/A</v>
      </c>
    </row>
    <row r="446" spans="1:24" x14ac:dyDescent="0.35">
      <c r="A446" t="str">
        <v>91282CHY0</v>
      </c>
      <c r="B446" t="str">
        <f>IF(NOT(ISBLANK(A446)),VLOOKUP(A446,'BBT3'!A:F,2,0),"")</f>
        <v>Bond</v>
      </c>
      <c r="C446" t="str">
        <f>IF(NOT(ISBLANK(A446)),VLOOKUP(A446,'BBT3'!A:F,3,0),"")</f>
        <v>US91282CHY03</v>
      </c>
      <c r="D446" s="5">
        <f>IF(NOT(ISBLANK(A446)),VLOOKUP(A446,'BBT3'!A:F,4,1),"")</f>
        <v>4.625</v>
      </c>
      <c r="E446">
        <f>IF(NOT(ISBLANK(A446)),VLOOKUP(A446,'BBT3'!A:F,5,0),"")</f>
        <v>46280</v>
      </c>
      <c r="F446" t="str">
        <f>IF(NOT(ISBLANK(A446)),VLOOKUP(A446,'BBT3'!A:F,6,0),"")</f>
        <v>N</v>
      </c>
      <c r="G446" t="str">
        <f t="shared" si="65"/>
        <v>N</v>
      </c>
      <c r="H446">
        <f>IF(NOT(ISBLANK(A446)),VLOOKUP(A446,'Close - PriceSaver'!A:J,5,0),"")</f>
        <v>3.6719547560674803E-2</v>
      </c>
      <c r="I446" s="4" cm="1">
        <f t="array" ref="I446">IF(NOT(ISBLANK(A446)),((_xlfn.XLOOKUP(1,(_bbt3[[#All],[ID]]=A446)*(_bbt3[[#All],[METRIC_NAME]]="YLD_YTM_ASK"),_bbt3[[#All],[METRIC_VALUE]])*0.5)+(_xlfn.XLOOKUP(1,(_bbt3[[#All],[ID]]=A446)*(_bbt3[[#All],[METRIC_NAME]]="YLD_YTM_BID"),_bbt3[[#All],[METRIC_VALUE]])*0.5))/100,"")</f>
        <v>3.6714999999999998E-2</v>
      </c>
      <c r="J446">
        <f>IF(ISNA(VLOOKUP(A446,'CloseDL - PriceSaverBBT3'!A:E,5,0)),0,VLOOKUP(A446,'CloseDL - PriceSaverBBT3'!A:E,5,0))</f>
        <v>3.6719547560674803E-2</v>
      </c>
      <c r="K446" s="7">
        <f t="shared" si="66"/>
        <v>0</v>
      </c>
      <c r="L446" s="20">
        <f>IF(Close[[#This Row],[CreatedBy]]="MARINER\SilverAdm",1,0)</f>
        <v>1</v>
      </c>
      <c r="M446" t="str">
        <f>IF(NOT(ISBLANK(A446)),VLOOKUP(A446,'Close - PriceSaver'!A:J,6,0),"")</f>
        <v>DL input prc = 100.13281250  PX_ASK = 100.14453125 PX_BID = 100.12109375</v>
      </c>
      <c r="Q446" t="e">
        <f t="shared" si="67"/>
        <v>#N/A</v>
      </c>
      <c r="R446" t="e">
        <f t="shared" si="68"/>
        <v>#N/A</v>
      </c>
      <c r="S446" t="e">
        <f t="shared" si="69"/>
        <v>#N/A</v>
      </c>
      <c r="T446" s="15" t="e">
        <f t="shared" si="70"/>
        <v>#N/A</v>
      </c>
      <c r="U446" s="18" t="e">
        <f t="shared" si="71"/>
        <v>#N/A</v>
      </c>
      <c r="V446" s="18" t="e">
        <f t="shared" si="72"/>
        <v>#N/A</v>
      </c>
      <c r="W446" s="19" t="e">
        <f t="shared" si="73"/>
        <v>#N/A</v>
      </c>
      <c r="X446" t="e">
        <f>VLOOKUP(P446,Close[[ID]:[CreatedBy]],8,0)</f>
        <v>#N/A</v>
      </c>
    </row>
    <row r="447" spans="1:24" x14ac:dyDescent="0.35">
      <c r="A447" t="str">
        <v>91282CHZ7</v>
      </c>
      <c r="B447" t="str">
        <f>IF(NOT(ISBLANK(A447)),VLOOKUP(A447,'BBT3'!A:F,2,0),"")</f>
        <v>Bond</v>
      </c>
      <c r="C447" t="str">
        <f>IF(NOT(ISBLANK(A447)),VLOOKUP(A447,'BBT3'!A:F,3,0),"")</f>
        <v>US91282CHZ77</v>
      </c>
      <c r="D447" s="5">
        <f>IF(NOT(ISBLANK(A447)),VLOOKUP(A447,'BBT3'!A:F,4,1),"")</f>
        <v>4.625</v>
      </c>
      <c r="E447">
        <f>IF(NOT(ISBLANK(A447)),VLOOKUP(A447,'BBT3'!A:F,5,0),"")</f>
        <v>47756</v>
      </c>
      <c r="F447" t="str">
        <f>IF(NOT(ISBLANK(A447)),VLOOKUP(A447,'BBT3'!A:F,6,0),"")</f>
        <v>N</v>
      </c>
      <c r="G447" t="str">
        <f t="shared" si="65"/>
        <v>N</v>
      </c>
      <c r="H447">
        <f>IF(NOT(ISBLANK(A447)),VLOOKUP(A447,'Close - PriceSaver'!A:J,5,0),"")</f>
        <v>4.3465070718922597E-2</v>
      </c>
      <c r="I447" s="4" cm="1">
        <f t="array" ref="I447">IF(NOT(ISBLANK(A447)),((_xlfn.XLOOKUP(1,(_bbt3[[#All],[ID]]=A447)*(_bbt3[[#All],[METRIC_NAME]]="YLD_YTM_ASK"),_bbt3[[#All],[METRIC_VALUE]])*0.5)+(_xlfn.XLOOKUP(1,(_bbt3[[#All],[ID]]=A447)*(_bbt3[[#All],[METRIC_NAME]]="YLD_YTM_BID"),_bbt3[[#All],[METRIC_VALUE]])*0.5))/100,"")</f>
        <v>4.3465000000000004E-2</v>
      </c>
      <c r="J447">
        <f>IF(ISNA(VLOOKUP(A447,'CloseDL - PriceSaverBBT3'!A:E,5,0)),0,VLOOKUP(A447,'CloseDL - PriceSaverBBT3'!A:E,5,0))</f>
        <v>4.3465070718922597E-2</v>
      </c>
      <c r="K447" s="7">
        <f t="shared" si="66"/>
        <v>0</v>
      </c>
      <c r="L447" s="20">
        <f>IF(Close[[#This Row],[CreatedBy]]="MARINER\SilverAdm",1,0)</f>
        <v>1</v>
      </c>
      <c r="M447" t="str">
        <f>IF(NOT(ISBLANK(A447)),VLOOKUP(A447,'Close - PriceSaver'!A:J,6,0),"")</f>
        <v>DL input prc = 101.05078125  PX_ASK = 101.07031250 PX_BID = 101.03125000</v>
      </c>
      <c r="Q447" t="e">
        <f t="shared" si="67"/>
        <v>#N/A</v>
      </c>
      <c r="R447" t="e">
        <f t="shared" si="68"/>
        <v>#N/A</v>
      </c>
      <c r="S447" t="e">
        <f t="shared" si="69"/>
        <v>#N/A</v>
      </c>
      <c r="T447" s="15" t="e">
        <f t="shared" si="70"/>
        <v>#N/A</v>
      </c>
      <c r="U447" s="18" t="e">
        <f t="shared" si="71"/>
        <v>#N/A</v>
      </c>
      <c r="V447" s="18" t="e">
        <f t="shared" si="72"/>
        <v>#N/A</v>
      </c>
      <c r="W447" s="19" t="e">
        <f t="shared" si="73"/>
        <v>#N/A</v>
      </c>
      <c r="X447" t="e">
        <f>VLOOKUP(P447,Close[[ID]:[CreatedBy]],8,0)</f>
        <v>#N/A</v>
      </c>
    </row>
    <row r="448" spans="1:24" x14ac:dyDescent="0.35">
      <c r="A448" t="str">
        <v>91282CJA0</v>
      </c>
      <c r="B448" t="str">
        <f>IF(NOT(ISBLANK(A448)),VLOOKUP(A448,'BBT3'!A:F,2,0),"")</f>
        <v>Bond</v>
      </c>
      <c r="C448" t="str">
        <f>IF(NOT(ISBLANK(A448)),VLOOKUP(A448,'BBT3'!A:F,3,0),"")</f>
        <v>US91282CJA09</v>
      </c>
      <c r="D448" s="5">
        <f>IF(NOT(ISBLANK(A448)),VLOOKUP(A448,'BBT3'!A:F,4,1),"")</f>
        <v>4.625</v>
      </c>
      <c r="E448">
        <f>IF(NOT(ISBLANK(A448)),VLOOKUP(A448,'BBT3'!A:F,5,0),"")</f>
        <v>47026</v>
      </c>
      <c r="F448" t="str">
        <f>IF(NOT(ISBLANK(A448)),VLOOKUP(A448,'BBT3'!A:F,6,0),"")</f>
        <v>N</v>
      </c>
      <c r="G448" t="str">
        <f t="shared" si="65"/>
        <v>N</v>
      </c>
      <c r="H448">
        <f>IF(NOT(ISBLANK(A448)),VLOOKUP(A448,'Close - PriceSaver'!A:J,5,0),"")</f>
        <v>4.2788593606961398E-2</v>
      </c>
      <c r="I448" s="4" cm="1">
        <f t="array" ref="I448">IF(NOT(ISBLANK(A448)),((_xlfn.XLOOKUP(1,(_bbt3[[#All],[ID]]=A448)*(_bbt3[[#All],[METRIC_NAME]]="YLD_YTM_ASK"),_bbt3[[#All],[METRIC_VALUE]])*0.5)+(_xlfn.XLOOKUP(1,(_bbt3[[#All],[ID]]=A448)*(_bbt3[[#All],[METRIC_NAME]]="YLD_YTM_BID"),_bbt3[[#All],[METRIC_VALUE]])*0.5))/100,"")</f>
        <v>4.278499999999999E-2</v>
      </c>
      <c r="J448">
        <f>IF(ISNA(VLOOKUP(A448,'CloseDL - PriceSaverBBT3'!A:E,5,0)),0,VLOOKUP(A448,'CloseDL - PriceSaverBBT3'!A:E,5,0))</f>
        <v>4.2788593606961398E-2</v>
      </c>
      <c r="K448" s="7">
        <f t="shared" si="66"/>
        <v>0</v>
      </c>
      <c r="L448" s="20">
        <f>IF(Close[[#This Row],[CreatedBy]]="MARINER\SilverAdm",1,0)</f>
        <v>1</v>
      </c>
      <c r="M448" t="str">
        <f>IF(NOT(ISBLANK(A448)),VLOOKUP(A448,'Close - PriceSaver'!A:J,6,0),"")</f>
        <v>DL input prc = 100.71093750  PX_ASK = 100.72656250 PX_BID = 100.69531250</v>
      </c>
      <c r="Q448" t="e">
        <f t="shared" si="67"/>
        <v>#N/A</v>
      </c>
      <c r="R448" t="e">
        <f t="shared" si="68"/>
        <v>#N/A</v>
      </c>
      <c r="S448" t="e">
        <f t="shared" si="69"/>
        <v>#N/A</v>
      </c>
      <c r="T448" s="15" t="e">
        <f t="shared" si="70"/>
        <v>#N/A</v>
      </c>
      <c r="U448" s="18" t="e">
        <f t="shared" si="71"/>
        <v>#N/A</v>
      </c>
      <c r="V448" s="18" t="e">
        <f t="shared" si="72"/>
        <v>#N/A</v>
      </c>
      <c r="W448" s="19" t="e">
        <f t="shared" si="73"/>
        <v>#N/A</v>
      </c>
      <c r="X448" t="e">
        <f>VLOOKUP(P448,Close[[ID]:[CreatedBy]],8,0)</f>
        <v>#N/A</v>
      </c>
    </row>
    <row r="449" spans="1:24" x14ac:dyDescent="0.35">
      <c r="A449" t="str">
        <v>91282CJC6</v>
      </c>
      <c r="B449" t="str">
        <f>IF(NOT(ISBLANK(A449)),VLOOKUP(A449,'BBT3'!A:F,2,0),"")</f>
        <v>Bond</v>
      </c>
      <c r="C449" t="str">
        <f>IF(NOT(ISBLANK(A449)),VLOOKUP(A449,'BBT3'!A:F,3,0),"")</f>
        <v>US91282CJC64</v>
      </c>
      <c r="D449" s="5">
        <f>IF(NOT(ISBLANK(A449)),VLOOKUP(A449,'BBT3'!A:F,4,1),"")</f>
        <v>4.625</v>
      </c>
      <c r="E449">
        <f>IF(NOT(ISBLANK(A449)),VLOOKUP(A449,'BBT3'!A:F,5,0),"")</f>
        <v>46310</v>
      </c>
      <c r="F449" t="str">
        <f>IF(NOT(ISBLANK(A449)),VLOOKUP(A449,'BBT3'!A:F,6,0),"")</f>
        <v>N</v>
      </c>
      <c r="G449" t="str">
        <f t="shared" si="65"/>
        <v>N</v>
      </c>
      <c r="H449">
        <f>IF(NOT(ISBLANK(A449)),VLOOKUP(A449,'Close - PriceSaver'!A:J,5,0),"")</f>
        <v>3.6970738477511297E-2</v>
      </c>
      <c r="I449" s="4" cm="1">
        <f t="array" ref="I449">IF(NOT(ISBLANK(A449)),((_xlfn.XLOOKUP(1,(_bbt3[[#All],[ID]]=A449)*(_bbt3[[#All],[METRIC_NAME]]="YLD_YTM_ASK"),_bbt3[[#All],[METRIC_VALUE]])*0.5)+(_xlfn.XLOOKUP(1,(_bbt3[[#All],[ID]]=A449)*(_bbt3[[#All],[METRIC_NAME]]="YLD_YTM_BID"),_bbt3[[#All],[METRIC_VALUE]])*0.5))/100,"")</f>
        <v>3.6970000000000003E-2</v>
      </c>
      <c r="J449">
        <f>IF(ISNA(VLOOKUP(A449,'CloseDL - PriceSaverBBT3'!A:E,5,0)),0,VLOOKUP(A449,'CloseDL - PriceSaverBBT3'!A:E,5,0))</f>
        <v>3.6970738477511297E-2</v>
      </c>
      <c r="K449" s="7">
        <f t="shared" si="66"/>
        <v>0</v>
      </c>
      <c r="L449" s="20">
        <f>IF(Close[[#This Row],[CreatedBy]]="MARINER\SilverAdm",1,0)</f>
        <v>1</v>
      </c>
      <c r="M449" t="str">
        <f>IF(NOT(ISBLANK(A449)),VLOOKUP(A449,'Close - PriceSaver'!A:J,6,0),"")</f>
        <v>DL input prc = 100.20312500  PX_ASK = 100.21875000 PX_BID = 100.18750000</v>
      </c>
      <c r="Q449" t="e">
        <f t="shared" si="67"/>
        <v>#N/A</v>
      </c>
      <c r="R449" t="e">
        <f t="shared" si="68"/>
        <v>#N/A</v>
      </c>
      <c r="S449" t="e">
        <f t="shared" si="69"/>
        <v>#N/A</v>
      </c>
      <c r="T449" s="15" t="e">
        <f t="shared" si="70"/>
        <v>#N/A</v>
      </c>
      <c r="U449" s="18" t="e">
        <f t="shared" si="71"/>
        <v>#N/A</v>
      </c>
      <c r="V449" s="18" t="e">
        <f t="shared" si="72"/>
        <v>#N/A</v>
      </c>
      <c r="W449" s="19" t="e">
        <f t="shared" si="73"/>
        <v>#N/A</v>
      </c>
      <c r="X449" t="e">
        <f>VLOOKUP(P449,Close[[ID]:[CreatedBy]],8,0)</f>
        <v>#N/A</v>
      </c>
    </row>
    <row r="450" spans="1:24" x14ac:dyDescent="0.35">
      <c r="A450" t="str">
        <v>91282CJF9</v>
      </c>
      <c r="B450" t="str">
        <f>IF(NOT(ISBLANK(A450)),VLOOKUP(A450,'BBT3'!A:F,2,0),"")</f>
        <v>Bond</v>
      </c>
      <c r="C450" t="str">
        <f>IF(NOT(ISBLANK(A450)),VLOOKUP(A450,'BBT3'!A:F,3,0),"")</f>
        <v>US91282CJF95</v>
      </c>
      <c r="D450" s="5">
        <f>IF(NOT(ISBLANK(A450)),VLOOKUP(A450,'BBT3'!A:F,4,1),"")</f>
        <v>4.875</v>
      </c>
      <c r="E450">
        <f>IF(NOT(ISBLANK(A450)),VLOOKUP(A450,'BBT3'!A:F,5,0),"")</f>
        <v>47057</v>
      </c>
      <c r="F450" t="str">
        <f>IF(NOT(ISBLANK(A450)),VLOOKUP(A450,'BBT3'!A:F,6,0),"")</f>
        <v>N</v>
      </c>
      <c r="G450" t="str">
        <f t="shared" si="65"/>
        <v>N</v>
      </c>
      <c r="H450">
        <f>IF(NOT(ISBLANK(A450)),VLOOKUP(A450,'Close - PriceSaver'!A:J,5,0),"")</f>
        <v>4.2875167431275001E-2</v>
      </c>
      <c r="I450" s="4" cm="1">
        <f t="array" ref="I450">IF(NOT(ISBLANK(A450)),((_xlfn.XLOOKUP(1,(_bbt3[[#All],[ID]]=A450)*(_bbt3[[#All],[METRIC_NAME]]="YLD_YTM_ASK"),_bbt3[[#All],[METRIC_VALUE]])*0.5)+(_xlfn.XLOOKUP(1,(_bbt3[[#All],[ID]]=A450)*(_bbt3[[#All],[METRIC_NAME]]="YLD_YTM_BID"),_bbt3[[#All],[METRIC_VALUE]])*0.5))/100,"")</f>
        <v>4.2874999999999996E-2</v>
      </c>
      <c r="J450">
        <f>IF(ISNA(VLOOKUP(A450,'CloseDL - PriceSaverBBT3'!A:E,5,0)),0,VLOOKUP(A450,'CloseDL - PriceSaverBBT3'!A:E,5,0))</f>
        <v>4.2875167431275001E-2</v>
      </c>
      <c r="K450" s="7">
        <f t="shared" si="66"/>
        <v>0</v>
      </c>
      <c r="L450" s="20">
        <f>IF(Close[[#This Row],[CreatedBy]]="MARINER\SilverAdm",1,0)</f>
        <v>1</v>
      </c>
      <c r="M450" t="str">
        <f>IF(NOT(ISBLANK(A450)),VLOOKUP(A450,'Close - PriceSaver'!A:J,6,0),"")</f>
        <v>DL input prc = 101.25390625  PX_ASK = 101.27343750 PX_BID = 101.23437500</v>
      </c>
      <c r="Q450" t="e">
        <f t="shared" si="67"/>
        <v>#N/A</v>
      </c>
      <c r="R450" t="e">
        <f t="shared" si="68"/>
        <v>#N/A</v>
      </c>
      <c r="S450" t="e">
        <f t="shared" si="69"/>
        <v>#N/A</v>
      </c>
      <c r="T450" s="15" t="e">
        <f t="shared" si="70"/>
        <v>#N/A</v>
      </c>
      <c r="U450" s="18" t="e">
        <f t="shared" si="71"/>
        <v>#N/A</v>
      </c>
      <c r="V450" s="18" t="e">
        <f t="shared" si="72"/>
        <v>#N/A</v>
      </c>
      <c r="W450" s="19" t="e">
        <f t="shared" si="73"/>
        <v>#N/A</v>
      </c>
      <c r="X450" t="e">
        <f>VLOOKUP(P450,Close[[ID]:[CreatedBy]],8,0)</f>
        <v>#N/A</v>
      </c>
    </row>
    <row r="451" spans="1:24" x14ac:dyDescent="0.35">
      <c r="A451" t="str">
        <v>91282CJG7</v>
      </c>
      <c r="B451" t="str">
        <f>IF(NOT(ISBLANK(A451)),VLOOKUP(A451,'BBT3'!A:F,2,0),"")</f>
        <v>Bond</v>
      </c>
      <c r="C451" t="str">
        <f>IF(NOT(ISBLANK(A451)),VLOOKUP(A451,'BBT3'!A:F,3,0),"")</f>
        <v>US91282CJG78</v>
      </c>
      <c r="D451" s="5">
        <f>IF(NOT(ISBLANK(A451)),VLOOKUP(A451,'BBT3'!A:F,4,1),"")</f>
        <v>4.875</v>
      </c>
      <c r="E451">
        <f>IF(NOT(ISBLANK(A451)),VLOOKUP(A451,'BBT3'!A:F,5,0),"")</f>
        <v>47787</v>
      </c>
      <c r="F451" t="str">
        <f>IF(NOT(ISBLANK(A451)),VLOOKUP(A451,'BBT3'!A:F,6,0),"")</f>
        <v>N</v>
      </c>
      <c r="G451" t="str">
        <f t="shared" ref="G451:G514" si="74">IF(NOT(ISBLANK(A451)),IF(D451=0,"Y","N"),"")</f>
        <v>N</v>
      </c>
      <c r="H451">
        <f>IF(NOT(ISBLANK(A451)),VLOOKUP(A451,'Close - PriceSaver'!A:J,5,0),"")</f>
        <v>4.3524567175246699E-2</v>
      </c>
      <c r="I451" s="4" cm="1">
        <f t="array" ref="I451">IF(NOT(ISBLANK(A451)),((_xlfn.XLOOKUP(1,(_bbt3[[#All],[ID]]=A451)*(_bbt3[[#All],[METRIC_NAME]]="YLD_YTM_ASK"),_bbt3[[#All],[METRIC_VALUE]])*0.5)+(_xlfn.XLOOKUP(1,(_bbt3[[#All],[ID]]=A451)*(_bbt3[[#All],[METRIC_NAME]]="YLD_YTM_BID"),_bbt3[[#All],[METRIC_VALUE]])*0.5))/100,"")</f>
        <v>4.3520000000000003E-2</v>
      </c>
      <c r="J451">
        <f>IF(ISNA(VLOOKUP(A451,'CloseDL - PriceSaverBBT3'!A:E,5,0)),0,VLOOKUP(A451,'CloseDL - PriceSaverBBT3'!A:E,5,0))</f>
        <v>4.3524567175246699E-2</v>
      </c>
      <c r="K451" s="7">
        <f t="shared" ref="K451:K514" si="75">IF(ISNA(IF(NOT(ISBLANK(A451)),ABS(H451-J451),"")),0,(IF(NOT(ISBLANK(A451)),ABS(H451-J451)*10000,"")))</f>
        <v>0</v>
      </c>
      <c r="L451" s="20">
        <f>IF(Close[[#This Row],[CreatedBy]]="MARINER\SilverAdm",1,0)</f>
        <v>1</v>
      </c>
      <c r="M451" t="str">
        <f>IF(NOT(ISBLANK(A451)),VLOOKUP(A451,'Close - PriceSaver'!A:J,6,0),"")</f>
        <v>DL input prc = 102.01171875  PX_ASK = 102.03125000 PX_BID = 101.99218750</v>
      </c>
      <c r="Q451" t="e">
        <f t="shared" si="67"/>
        <v>#N/A</v>
      </c>
      <c r="R451" t="e">
        <f t="shared" si="68"/>
        <v>#N/A</v>
      </c>
      <c r="S451" t="e">
        <f t="shared" si="69"/>
        <v>#N/A</v>
      </c>
      <c r="T451" s="15" t="e">
        <f t="shared" si="70"/>
        <v>#N/A</v>
      </c>
      <c r="U451" s="18" t="e">
        <f t="shared" si="71"/>
        <v>#N/A</v>
      </c>
      <c r="V451" s="18" t="e">
        <f t="shared" si="72"/>
        <v>#N/A</v>
      </c>
      <c r="W451" s="19" t="e">
        <f t="shared" si="73"/>
        <v>#N/A</v>
      </c>
      <c r="X451" t="e">
        <f>VLOOKUP(P451,Close[[ID]:[CreatedBy]],8,0)</f>
        <v>#N/A</v>
      </c>
    </row>
    <row r="452" spans="1:24" x14ac:dyDescent="0.35">
      <c r="A452" t="str">
        <v>91282CJH5</v>
      </c>
      <c r="B452" t="str">
        <f>IF(NOT(ISBLANK(A452)),VLOOKUP(A452,'BBT3'!A:F,2,0),"")</f>
        <v>Bond</v>
      </c>
      <c r="C452" t="str">
        <f>IF(NOT(ISBLANK(A452)),VLOOKUP(A452,'BBT3'!A:F,3,0),"")</f>
        <v>US91282CJH51</v>
      </c>
      <c r="D452" s="5">
        <f>IF(NOT(ISBLANK(A452)),VLOOKUP(A452,'BBT3'!A:F,4,1),"")</f>
        <v>2.375</v>
      </c>
      <c r="E452">
        <f>IF(NOT(ISBLANK(A452)),VLOOKUP(A452,'BBT3'!A:F,5,0),"")</f>
        <v>47041</v>
      </c>
      <c r="F452" t="str">
        <f>IF(NOT(ISBLANK(A452)),VLOOKUP(A452,'BBT3'!A:F,6,0),"")</f>
        <v>Y</v>
      </c>
      <c r="G452" t="str">
        <f t="shared" si="74"/>
        <v>N</v>
      </c>
      <c r="H452">
        <f>IF(NOT(ISBLANK(A452)),VLOOKUP(A452,'Close - PriceSaver'!A:J,5,0),"")</f>
        <v>2.0271713046846902E-2</v>
      </c>
      <c r="I452" s="4" cm="1">
        <f t="array" ref="I452">IF(NOT(ISBLANK(A452)),((_xlfn.XLOOKUP(1,(_bbt3[[#All],[ID]]=A452)*(_bbt3[[#All],[METRIC_NAME]]="YLD_YTM_ASK"),_bbt3[[#All],[METRIC_VALUE]])*0.5)+(_xlfn.XLOOKUP(1,(_bbt3[[#All],[ID]]=A452)*(_bbt3[[#All],[METRIC_NAME]]="YLD_YTM_BID"),_bbt3[[#All],[METRIC_VALUE]])*0.5))/100,"")</f>
        <v>2.0274999999999998E-2</v>
      </c>
      <c r="J452">
        <f>IF(ISNA(VLOOKUP(A452,'CloseDL - PriceSaverBBT3'!A:E,5,0)),0,VLOOKUP(A452,'CloseDL - PriceSaverBBT3'!A:E,5,0))</f>
        <v>2.0271713046846902E-2</v>
      </c>
      <c r="K452" s="7">
        <f t="shared" si="75"/>
        <v>0</v>
      </c>
      <c r="L452" s="20">
        <f>IF(Close[[#This Row],[CreatedBy]]="MARINER\SilverAdm",1,0)</f>
        <v>1</v>
      </c>
      <c r="M452" t="str">
        <f>IF(NOT(ISBLANK(A452)),VLOOKUP(A452,'Close - PriceSaver'!A:J,6,0),"")</f>
        <v>DL input prc = 100.75390625  PX_ASK = 100.78125000 PX_BID = 100.72656250</v>
      </c>
      <c r="Q452" t="e">
        <f t="shared" si="67"/>
        <v>#N/A</v>
      </c>
      <c r="R452" t="e">
        <f t="shared" si="68"/>
        <v>#N/A</v>
      </c>
      <c r="S452" t="e">
        <f t="shared" si="69"/>
        <v>#N/A</v>
      </c>
      <c r="T452" s="15" t="e">
        <f t="shared" si="70"/>
        <v>#N/A</v>
      </c>
      <c r="U452" s="18" t="e">
        <f t="shared" si="71"/>
        <v>#N/A</v>
      </c>
      <c r="V452" s="18" t="e">
        <f t="shared" si="72"/>
        <v>#N/A</v>
      </c>
      <c r="W452" s="19" t="e">
        <f t="shared" si="73"/>
        <v>#N/A</v>
      </c>
      <c r="X452" t="e">
        <f>VLOOKUP(P452,Close[[ID]:[CreatedBy]],8,0)</f>
        <v>#N/A</v>
      </c>
    </row>
    <row r="453" spans="1:24" x14ac:dyDescent="0.35">
      <c r="A453" t="str">
        <v>91282CJJ1</v>
      </c>
      <c r="B453" t="str">
        <f>IF(NOT(ISBLANK(A453)),VLOOKUP(A453,'BBT3'!A:F,2,0),"")</f>
        <v>Bond</v>
      </c>
      <c r="C453" t="str">
        <f>IF(NOT(ISBLANK(A453)),VLOOKUP(A453,'BBT3'!A:F,3,0),"")</f>
        <v>US91282CJJ18</v>
      </c>
      <c r="D453" s="5">
        <f>IF(NOT(ISBLANK(A453)),VLOOKUP(A453,'BBT3'!A:F,4,1),"")</f>
        <v>4.5</v>
      </c>
      <c r="E453">
        <f>IF(NOT(ISBLANK(A453)),VLOOKUP(A453,'BBT3'!A:F,5,0),"")</f>
        <v>48898</v>
      </c>
      <c r="F453" t="str">
        <f>IF(NOT(ISBLANK(A453)),VLOOKUP(A453,'BBT3'!A:F,6,0),"")</f>
        <v>N</v>
      </c>
      <c r="G453" t="str">
        <f t="shared" si="74"/>
        <v>N</v>
      </c>
      <c r="H453">
        <f>IF(NOT(ISBLANK(A453)),VLOOKUP(A453,'Close - PriceSaver'!A:J,5,0),"")</f>
        <v>4.51044545390678E-2</v>
      </c>
      <c r="I453" s="4" cm="1">
        <f t="array" ref="I453">IF(NOT(ISBLANK(A453)),((_xlfn.XLOOKUP(1,(_bbt3[[#All],[ID]]=A453)*(_bbt3[[#All],[METRIC_NAME]]="YLD_YTM_ASK"),_bbt3[[#All],[METRIC_VALUE]])*0.5)+(_xlfn.XLOOKUP(1,(_bbt3[[#All],[ID]]=A453)*(_bbt3[[#All],[METRIC_NAME]]="YLD_YTM_BID"),_bbt3[[#All],[METRIC_VALUE]])*0.5))/100,"")</f>
        <v>4.5105000000000006E-2</v>
      </c>
      <c r="J453">
        <f>IF(ISNA(VLOOKUP(A453,'CloseDL - PriceSaverBBT3'!A:E,5,0)),0,VLOOKUP(A453,'CloseDL - PriceSaverBBT3'!A:E,5,0))</f>
        <v>4.51044545390678E-2</v>
      </c>
      <c r="K453" s="7">
        <f t="shared" si="75"/>
        <v>0</v>
      </c>
      <c r="L453" s="20">
        <f>IF(Close[[#This Row],[CreatedBy]]="MARINER\SilverAdm",1,0)</f>
        <v>1</v>
      </c>
      <c r="M453" t="str">
        <f>IF(NOT(ISBLANK(A453)),VLOOKUP(A453,'Close - PriceSaver'!A:J,6,0),"")</f>
        <v>DL input prc = 99.92968750  PX_ASK = 99.94531250 PX_BID = 99.91406250</v>
      </c>
      <c r="Q453" t="e">
        <f t="shared" si="67"/>
        <v>#N/A</v>
      </c>
      <c r="R453" t="e">
        <f t="shared" si="68"/>
        <v>#N/A</v>
      </c>
      <c r="S453" t="e">
        <f t="shared" si="69"/>
        <v>#N/A</v>
      </c>
      <c r="T453" s="15" t="e">
        <f t="shared" si="70"/>
        <v>#N/A</v>
      </c>
      <c r="U453" s="18" t="e">
        <f t="shared" si="71"/>
        <v>#N/A</v>
      </c>
      <c r="V453" s="18" t="e">
        <f t="shared" si="72"/>
        <v>#N/A</v>
      </c>
      <c r="W453" s="19" t="e">
        <f t="shared" si="73"/>
        <v>#N/A</v>
      </c>
      <c r="X453" t="e">
        <f>VLOOKUP(P453,Close[[ID]:[CreatedBy]],8,0)</f>
        <v>#N/A</v>
      </c>
    </row>
    <row r="454" spans="1:24" x14ac:dyDescent="0.35">
      <c r="A454" t="str">
        <v>91282CJK8</v>
      </c>
      <c r="B454" t="str">
        <f>IF(NOT(ISBLANK(A454)),VLOOKUP(A454,'BBT3'!A:F,2,0),"")</f>
        <v>Bond</v>
      </c>
      <c r="C454" t="str">
        <f>IF(NOT(ISBLANK(A454)),VLOOKUP(A454,'BBT3'!A:F,3,0),"")</f>
        <v>US91282CJK80</v>
      </c>
      <c r="D454" s="5">
        <f>IF(NOT(ISBLANK(A454)),VLOOKUP(A454,'BBT3'!A:F,4,1),"")</f>
        <v>4.625</v>
      </c>
      <c r="E454">
        <f>IF(NOT(ISBLANK(A454)),VLOOKUP(A454,'BBT3'!A:F,5,0),"")</f>
        <v>46341</v>
      </c>
      <c r="F454" t="str">
        <f>IF(NOT(ISBLANK(A454)),VLOOKUP(A454,'BBT3'!A:F,6,0),"")</f>
        <v>N</v>
      </c>
      <c r="G454" t="str">
        <f t="shared" si="74"/>
        <v>N</v>
      </c>
      <c r="H454">
        <f>IF(NOT(ISBLANK(A454)),VLOOKUP(A454,'Close - PriceSaver'!A:J,5,0),"")</f>
        <v>3.8706727007447699E-2</v>
      </c>
      <c r="I454" s="4" cm="1">
        <f t="array" ref="I454">IF(NOT(ISBLANK(A454)),((_xlfn.XLOOKUP(1,(_bbt3[[#All],[ID]]=A454)*(_bbt3[[#All],[METRIC_NAME]]="YLD_YTM_ASK"),_bbt3[[#All],[METRIC_VALUE]])*0.5)+(_xlfn.XLOOKUP(1,(_bbt3[[#All],[ID]]=A454)*(_bbt3[[#All],[METRIC_NAME]]="YLD_YTM_BID"),_bbt3[[#All],[METRIC_VALUE]])*0.5))/100,"")</f>
        <v>3.8704999999999996E-2</v>
      </c>
      <c r="J454">
        <f>IF(ISNA(VLOOKUP(A454,'CloseDL - PriceSaverBBT3'!A:E,5,0)),0,VLOOKUP(A454,'CloseDL - PriceSaverBBT3'!A:E,5,0))</f>
        <v>3.8706727007447699E-2</v>
      </c>
      <c r="K454" s="7">
        <f t="shared" si="75"/>
        <v>0</v>
      </c>
      <c r="L454" s="20">
        <f>IF(Close[[#This Row],[CreatedBy]]="MARINER\SilverAdm",1,0)</f>
        <v>1</v>
      </c>
      <c r="M454" t="str">
        <f>IF(NOT(ISBLANK(A454)),VLOOKUP(A454,'Close - PriceSaver'!A:J,6,0),"")</f>
        <v>DL input prc = 100.22460938  PX_ASK = 100.23828125 PX_BID = 100.21093750</v>
      </c>
      <c r="Q454" t="e">
        <f t="shared" si="67"/>
        <v>#N/A</v>
      </c>
      <c r="R454" t="e">
        <f t="shared" si="68"/>
        <v>#N/A</v>
      </c>
      <c r="S454" t="e">
        <f t="shared" si="69"/>
        <v>#N/A</v>
      </c>
      <c r="T454" s="15" t="e">
        <f t="shared" si="70"/>
        <v>#N/A</v>
      </c>
      <c r="U454" s="18" t="e">
        <f t="shared" si="71"/>
        <v>#N/A</v>
      </c>
      <c r="V454" s="18" t="e">
        <f t="shared" si="72"/>
        <v>#N/A</v>
      </c>
      <c r="W454" s="19" t="e">
        <f t="shared" si="73"/>
        <v>#N/A</v>
      </c>
      <c r="X454" t="e">
        <f>VLOOKUP(P454,Close[[ID]:[CreatedBy]],8,0)</f>
        <v>#N/A</v>
      </c>
    </row>
    <row r="455" spans="1:24" x14ac:dyDescent="0.35">
      <c r="A455" t="str">
        <v>91282CJM4</v>
      </c>
      <c r="B455" t="str">
        <f>IF(NOT(ISBLANK(A455)),VLOOKUP(A455,'BBT3'!A:F,2,0),"")</f>
        <v>Bond</v>
      </c>
      <c r="C455" t="str">
        <f>IF(NOT(ISBLANK(A455)),VLOOKUP(A455,'BBT3'!A:F,3,0),"")</f>
        <v>US91282CJM47</v>
      </c>
      <c r="D455" s="5">
        <f>IF(NOT(ISBLANK(A455)),VLOOKUP(A455,'BBT3'!A:F,4,1),"")</f>
        <v>4.375</v>
      </c>
      <c r="E455">
        <f>IF(NOT(ISBLANK(A455)),VLOOKUP(A455,'BBT3'!A:F,5,0),"")</f>
        <v>47817</v>
      </c>
      <c r="F455" t="str">
        <f>IF(NOT(ISBLANK(A455)),VLOOKUP(A455,'BBT3'!A:F,6,0),"")</f>
        <v>N</v>
      </c>
      <c r="G455" t="str">
        <f t="shared" si="74"/>
        <v>N</v>
      </c>
      <c r="H455">
        <f>IF(NOT(ISBLANK(A455)),VLOOKUP(A455,'Close - PriceSaver'!A:J,5,0),"")</f>
        <v>4.3578799154902703E-2</v>
      </c>
      <c r="I455" s="4" cm="1">
        <f t="array" ref="I455">IF(NOT(ISBLANK(A455)),((_xlfn.XLOOKUP(1,(_bbt3[[#All],[ID]]=A455)*(_bbt3[[#All],[METRIC_NAME]]="YLD_YTM_ASK"),_bbt3[[#All],[METRIC_VALUE]])*0.5)+(_xlfn.XLOOKUP(1,(_bbt3[[#All],[ID]]=A455)*(_bbt3[[#All],[METRIC_NAME]]="YLD_YTM_BID"),_bbt3[[#All],[METRIC_VALUE]])*0.5))/100,"")</f>
        <v>4.3580000000000008E-2</v>
      </c>
      <c r="J455">
        <f>IF(ISNA(VLOOKUP(A455,'CloseDL - PriceSaverBBT3'!A:E,5,0)),0,VLOOKUP(A455,'CloseDL - PriceSaverBBT3'!A:E,5,0))</f>
        <v>4.3578799154902703E-2</v>
      </c>
      <c r="K455" s="7">
        <f t="shared" si="75"/>
        <v>0</v>
      </c>
      <c r="L455" s="20">
        <f>IF(Close[[#This Row],[CreatedBy]]="MARINER\SilverAdm",1,0)</f>
        <v>1</v>
      </c>
      <c r="M455" t="str">
        <f>IF(NOT(ISBLANK(A455)),VLOOKUP(A455,'Close - PriceSaver'!A:J,6,0),"")</f>
        <v>DL input prc = 100.06250000  PX_ASK = 100.07812500 PX_BID = 100.04687500</v>
      </c>
      <c r="Q455" t="e">
        <f t="shared" si="67"/>
        <v>#N/A</v>
      </c>
      <c r="R455" t="e">
        <f t="shared" si="68"/>
        <v>#N/A</v>
      </c>
      <c r="S455" t="e">
        <f t="shared" si="69"/>
        <v>#N/A</v>
      </c>
      <c r="T455" s="15" t="e">
        <f t="shared" si="70"/>
        <v>#N/A</v>
      </c>
      <c r="U455" s="18" t="e">
        <f t="shared" si="71"/>
        <v>#N/A</v>
      </c>
      <c r="V455" s="18" t="e">
        <f t="shared" si="72"/>
        <v>#N/A</v>
      </c>
      <c r="W455" s="19" t="e">
        <f t="shared" si="73"/>
        <v>#N/A</v>
      </c>
      <c r="X455" t="e">
        <f>VLOOKUP(P455,Close[[ID]:[CreatedBy]],8,0)</f>
        <v>#N/A</v>
      </c>
    </row>
    <row r="456" spans="1:24" x14ac:dyDescent="0.35">
      <c r="A456" t="str">
        <v>91282CJN2</v>
      </c>
      <c r="B456" t="str">
        <f>IF(NOT(ISBLANK(A456)),VLOOKUP(A456,'BBT3'!A:F,2,0),"")</f>
        <v>Bond</v>
      </c>
      <c r="C456" t="str">
        <f>IF(NOT(ISBLANK(A456)),VLOOKUP(A456,'BBT3'!A:F,3,0),"")</f>
        <v>US91282CJN20</v>
      </c>
      <c r="D456" s="5">
        <f>IF(NOT(ISBLANK(A456)),VLOOKUP(A456,'BBT3'!A:F,4,1),"")</f>
        <v>4.375</v>
      </c>
      <c r="E456">
        <f>IF(NOT(ISBLANK(A456)),VLOOKUP(A456,'BBT3'!A:F,5,0),"")</f>
        <v>47087</v>
      </c>
      <c r="F456" t="str">
        <f>IF(NOT(ISBLANK(A456)),VLOOKUP(A456,'BBT3'!A:F,6,0),"")</f>
        <v>N</v>
      </c>
      <c r="G456" t="str">
        <f t="shared" si="74"/>
        <v>N</v>
      </c>
      <c r="H456">
        <f>IF(NOT(ISBLANK(A456)),VLOOKUP(A456,'Close - PriceSaver'!A:J,5,0),"")</f>
        <v>4.2866646598033402E-2</v>
      </c>
      <c r="I456" s="4" cm="1">
        <f t="array" ref="I456">IF(NOT(ISBLANK(A456)),((_xlfn.XLOOKUP(1,(_bbt3[[#All],[ID]]=A456)*(_bbt3[[#All],[METRIC_NAME]]="YLD_YTM_ASK"),_bbt3[[#All],[METRIC_VALUE]])*0.5)+(_xlfn.XLOOKUP(1,(_bbt3[[#All],[ID]]=A456)*(_bbt3[[#All],[METRIC_NAME]]="YLD_YTM_BID"),_bbt3[[#All],[METRIC_VALUE]])*0.5))/100,"")</f>
        <v>4.2865E-2</v>
      </c>
      <c r="J456">
        <f>IF(ISNA(VLOOKUP(A456,'CloseDL - PriceSaverBBT3'!A:E,5,0)),0,VLOOKUP(A456,'CloseDL - PriceSaverBBT3'!A:E,5,0))</f>
        <v>4.2866646598033402E-2</v>
      </c>
      <c r="K456" s="7">
        <f t="shared" si="75"/>
        <v>0</v>
      </c>
      <c r="L456" s="20">
        <f>IF(Close[[#This Row],[CreatedBy]]="MARINER\SilverAdm",1,0)</f>
        <v>1</v>
      </c>
      <c r="M456" t="str">
        <f>IF(NOT(ISBLANK(A456)),VLOOKUP(A456,'Close - PriceSaver'!A:J,6,0),"")</f>
        <v>DL input prc = 100.19140625  PX_ASK = 100.21093750 PX_BID = 100.17187500</v>
      </c>
      <c r="Q456" t="e">
        <f t="shared" si="67"/>
        <v>#N/A</v>
      </c>
      <c r="R456" t="e">
        <f t="shared" si="68"/>
        <v>#N/A</v>
      </c>
      <c r="S456" t="e">
        <f t="shared" si="69"/>
        <v>#N/A</v>
      </c>
      <c r="T456" s="15" t="e">
        <f t="shared" si="70"/>
        <v>#N/A</v>
      </c>
      <c r="U456" s="18" t="e">
        <f t="shared" si="71"/>
        <v>#N/A</v>
      </c>
      <c r="V456" s="18" t="e">
        <f t="shared" si="72"/>
        <v>#N/A</v>
      </c>
      <c r="W456" s="19" t="e">
        <f t="shared" si="73"/>
        <v>#N/A</v>
      </c>
      <c r="X456" t="e">
        <f>VLOOKUP(P456,Close[[ID]:[CreatedBy]],8,0)</f>
        <v>#N/A</v>
      </c>
    </row>
    <row r="457" spans="1:24" x14ac:dyDescent="0.35">
      <c r="A457" t="str">
        <v>91282CJP7</v>
      </c>
      <c r="B457" t="str">
        <f>IF(NOT(ISBLANK(A457)),VLOOKUP(A457,'BBT3'!A:F,2,0),"")</f>
        <v>Bond</v>
      </c>
      <c r="C457" t="str">
        <f>IF(NOT(ISBLANK(A457)),VLOOKUP(A457,'BBT3'!A:F,3,0),"")</f>
        <v>US91282CJP77</v>
      </c>
      <c r="D457" s="5">
        <f>IF(NOT(ISBLANK(A457)),VLOOKUP(A457,'BBT3'!A:F,4,1),"")</f>
        <v>4.375</v>
      </c>
      <c r="E457">
        <f>IF(NOT(ISBLANK(A457)),VLOOKUP(A457,'BBT3'!A:F,5,0),"")</f>
        <v>46371</v>
      </c>
      <c r="F457" t="str">
        <f>IF(NOT(ISBLANK(A457)),VLOOKUP(A457,'BBT3'!A:F,6,0),"")</f>
        <v>N</v>
      </c>
      <c r="G457" t="str">
        <f t="shared" si="74"/>
        <v>N</v>
      </c>
      <c r="H457">
        <f>IF(NOT(ISBLANK(A457)),VLOOKUP(A457,'Close - PriceSaver'!A:J,5,0),"")</f>
        <v>3.8410061326844297E-2</v>
      </c>
      <c r="I457" s="4" cm="1">
        <f t="array" ref="I457">IF(NOT(ISBLANK(A457)),((_xlfn.XLOOKUP(1,(_bbt3[[#All],[ID]]=A457)*(_bbt3[[#All],[METRIC_NAME]]="YLD_YTM_ASK"),_bbt3[[#All],[METRIC_VALUE]])*0.5)+(_xlfn.XLOOKUP(1,(_bbt3[[#All],[ID]]=A457)*(_bbt3[[#All],[METRIC_NAME]]="YLD_YTM_BID"),_bbt3[[#All],[METRIC_VALUE]])*0.5))/100,"")</f>
        <v>3.841E-2</v>
      </c>
      <c r="J457">
        <f>IF(ISNA(VLOOKUP(A457,'CloseDL - PriceSaverBBT3'!A:E,5,0)),0,VLOOKUP(A457,'CloseDL - PriceSaverBBT3'!A:E,5,0))</f>
        <v>3.8410061326844297E-2</v>
      </c>
      <c r="K457" s="7">
        <f t="shared" si="75"/>
        <v>0</v>
      </c>
      <c r="L457" s="20">
        <f>IF(Close[[#This Row],[CreatedBy]]="MARINER\SilverAdm",1,0)</f>
        <v>1</v>
      </c>
      <c r="M457" t="str">
        <f>IF(NOT(ISBLANK(A457)),VLOOKUP(A457,'Close - PriceSaver'!A:J,6,0),"")</f>
        <v>DL input prc = 100.20312500  PX_ASK = 100.21484375 PX_BID = 100.19140625</v>
      </c>
      <c r="Q457" t="e">
        <f t="shared" si="67"/>
        <v>#N/A</v>
      </c>
      <c r="R457" t="e">
        <f t="shared" si="68"/>
        <v>#N/A</v>
      </c>
      <c r="S457" t="e">
        <f t="shared" si="69"/>
        <v>#N/A</v>
      </c>
      <c r="T457" s="15" t="e">
        <f t="shared" si="70"/>
        <v>#N/A</v>
      </c>
      <c r="U457" s="18" t="e">
        <f t="shared" si="71"/>
        <v>#N/A</v>
      </c>
      <c r="V457" s="18" t="e">
        <f t="shared" si="72"/>
        <v>#N/A</v>
      </c>
      <c r="W457" s="19" t="e">
        <f t="shared" si="73"/>
        <v>#N/A</v>
      </c>
      <c r="X457" t="e">
        <f>VLOOKUP(P457,Close[[ID]:[CreatedBy]],8,0)</f>
        <v>#N/A</v>
      </c>
    </row>
    <row r="458" spans="1:24" x14ac:dyDescent="0.35">
      <c r="A458" t="str">
        <v>91282CJQ5</v>
      </c>
      <c r="B458" t="str">
        <f>IF(NOT(ISBLANK(A458)),VLOOKUP(A458,'BBT3'!A:F,2,0),"")</f>
        <v>Bond</v>
      </c>
      <c r="C458" t="str">
        <f>IF(NOT(ISBLANK(A458)),VLOOKUP(A458,'BBT3'!A:F,3,0),"")</f>
        <v>US91282CJQ50</v>
      </c>
      <c r="D458" s="5">
        <f>IF(NOT(ISBLANK(A458)),VLOOKUP(A458,'BBT3'!A:F,4,1),"")</f>
        <v>3.75</v>
      </c>
      <c r="E458">
        <f>IF(NOT(ISBLANK(A458)),VLOOKUP(A458,'BBT3'!A:F,5,0),"")</f>
        <v>47848</v>
      </c>
      <c r="F458" t="str">
        <f>IF(NOT(ISBLANK(A458)),VLOOKUP(A458,'BBT3'!A:F,6,0),"")</f>
        <v>N</v>
      </c>
      <c r="G458" t="str">
        <f t="shared" si="74"/>
        <v>N</v>
      </c>
      <c r="H458">
        <f>IF(NOT(ISBLANK(A458)),VLOOKUP(A458,'Close - PriceSaver'!A:J,5,0),"")</f>
        <v>4.3611947108222297E-2</v>
      </c>
      <c r="I458" s="4" cm="1">
        <f t="array" ref="I458">IF(NOT(ISBLANK(A458)),((_xlfn.XLOOKUP(1,(_bbt3[[#All],[ID]]=A458)*(_bbt3[[#All],[METRIC_NAME]]="YLD_YTM_ASK"),_bbt3[[#All],[METRIC_VALUE]])*0.5)+(_xlfn.XLOOKUP(1,(_bbt3[[#All],[ID]]=A458)*(_bbt3[[#All],[METRIC_NAME]]="YLD_YTM_BID"),_bbt3[[#All],[METRIC_VALUE]])*0.5))/100,"")</f>
        <v>4.361000000000001E-2</v>
      </c>
      <c r="J458">
        <f>IF(ISNA(VLOOKUP(A458,'CloseDL - PriceSaverBBT3'!A:E,5,0)),0,VLOOKUP(A458,'CloseDL - PriceSaverBBT3'!A:E,5,0))</f>
        <v>4.3611947108222297E-2</v>
      </c>
      <c r="K458" s="7">
        <f t="shared" si="75"/>
        <v>0</v>
      </c>
      <c r="L458" s="20">
        <f>IF(Close[[#This Row],[CreatedBy]]="MARINER\SilverAdm",1,0)</f>
        <v>1</v>
      </c>
      <c r="M458" t="str">
        <f>IF(NOT(ISBLANK(A458)),VLOOKUP(A458,'Close - PriceSaver'!A:J,6,0),"")</f>
        <v>DL input prc = 97.55468750  PX_ASK = 97.57031250 PX_BID = 97.53906250</v>
      </c>
      <c r="Q458" t="e">
        <f t="shared" si="67"/>
        <v>#N/A</v>
      </c>
      <c r="R458" t="e">
        <f t="shared" si="68"/>
        <v>#N/A</v>
      </c>
      <c r="S458" t="e">
        <f t="shared" si="69"/>
        <v>#N/A</v>
      </c>
      <c r="T458" s="15" t="e">
        <f t="shared" si="70"/>
        <v>#N/A</v>
      </c>
      <c r="U458" s="18" t="e">
        <f t="shared" si="71"/>
        <v>#N/A</v>
      </c>
      <c r="V458" s="18" t="e">
        <f t="shared" si="72"/>
        <v>#N/A</v>
      </c>
      <c r="W458" s="19" t="e">
        <f t="shared" si="73"/>
        <v>#N/A</v>
      </c>
      <c r="X458" t="e">
        <f>VLOOKUP(P458,Close[[ID]:[CreatedBy]],8,0)</f>
        <v>#N/A</v>
      </c>
    </row>
    <row r="459" spans="1:24" x14ac:dyDescent="0.35">
      <c r="A459" t="str">
        <v>91282CJR3</v>
      </c>
      <c r="B459" t="str">
        <f>IF(NOT(ISBLANK(A459)),VLOOKUP(A459,'BBT3'!A:F,2,0),"")</f>
        <v>Bond</v>
      </c>
      <c r="C459" t="str">
        <f>IF(NOT(ISBLANK(A459)),VLOOKUP(A459,'BBT3'!A:F,3,0),"")</f>
        <v>US91282CJR34</v>
      </c>
      <c r="D459" s="5">
        <f>IF(NOT(ISBLANK(A459)),VLOOKUP(A459,'BBT3'!A:F,4,1),"")</f>
        <v>3.75</v>
      </c>
      <c r="E459">
        <f>IF(NOT(ISBLANK(A459)),VLOOKUP(A459,'BBT3'!A:F,5,0),"")</f>
        <v>47118</v>
      </c>
      <c r="F459" t="str">
        <f>IF(NOT(ISBLANK(A459)),VLOOKUP(A459,'BBT3'!A:F,6,0),"")</f>
        <v>N</v>
      </c>
      <c r="G459" t="str">
        <f t="shared" si="74"/>
        <v>N</v>
      </c>
      <c r="H459">
        <f>IF(NOT(ISBLANK(A459)),VLOOKUP(A459,'Close - PriceSaver'!A:J,5,0),"")</f>
        <v>4.2924032995648502E-2</v>
      </c>
      <c r="I459" s="4" cm="1">
        <f t="array" ref="I459">IF(NOT(ISBLANK(A459)),((_xlfn.XLOOKUP(1,(_bbt3[[#All],[ID]]=A459)*(_bbt3[[#All],[METRIC_NAME]]="YLD_YTM_ASK"),_bbt3[[#All],[METRIC_VALUE]])*0.5)+(_xlfn.XLOOKUP(1,(_bbt3[[#All],[ID]]=A459)*(_bbt3[[#All],[METRIC_NAME]]="YLD_YTM_BID"),_bbt3[[#All],[METRIC_VALUE]])*0.5))/100,"")</f>
        <v>4.2925000000000005E-2</v>
      </c>
      <c r="J459">
        <f>IF(ISNA(VLOOKUP(A459,'CloseDL - PriceSaverBBT3'!A:E,5,0)),0,VLOOKUP(A459,'CloseDL - PriceSaverBBT3'!A:E,5,0))</f>
        <v>4.2924032995648502E-2</v>
      </c>
      <c r="K459" s="7">
        <f t="shared" si="75"/>
        <v>0</v>
      </c>
      <c r="L459" s="20">
        <f>IF(Close[[#This Row],[CreatedBy]]="MARINER\SilverAdm",1,0)</f>
        <v>1</v>
      </c>
      <c r="M459" t="str">
        <f>IF(NOT(ISBLANK(A459)),VLOOKUP(A459,'Close - PriceSaver'!A:J,6,0),"")</f>
        <v>DL input prc = 98.75390625  PX_ASK = 98.77343750 PX_BID = 98.73437500</v>
      </c>
      <c r="Q459" t="e">
        <f t="shared" si="67"/>
        <v>#N/A</v>
      </c>
      <c r="R459" t="e">
        <f t="shared" si="68"/>
        <v>#N/A</v>
      </c>
      <c r="S459" t="e">
        <f t="shared" si="69"/>
        <v>#N/A</v>
      </c>
      <c r="T459" s="15" t="e">
        <f t="shared" si="70"/>
        <v>#N/A</v>
      </c>
      <c r="U459" s="18" t="e">
        <f t="shared" si="71"/>
        <v>#N/A</v>
      </c>
      <c r="V459" s="18" t="e">
        <f t="shared" si="72"/>
        <v>#N/A</v>
      </c>
      <c r="W459" s="19" t="e">
        <f t="shared" si="73"/>
        <v>#N/A</v>
      </c>
      <c r="X459" t="e">
        <f>VLOOKUP(P459,Close[[ID]:[CreatedBy]],8,0)</f>
        <v>#N/A</v>
      </c>
    </row>
    <row r="460" spans="1:24" x14ac:dyDescent="0.35">
      <c r="A460" t="str">
        <v>91282CJT9</v>
      </c>
      <c r="B460" t="str">
        <f>IF(NOT(ISBLANK(A460)),VLOOKUP(A460,'BBT3'!A:F,2,0),"")</f>
        <v>Bond</v>
      </c>
      <c r="C460" t="str">
        <f>IF(NOT(ISBLANK(A460)),VLOOKUP(A460,'BBT3'!A:F,3,0),"")</f>
        <v>US91282CJT99</v>
      </c>
      <c r="D460" s="5">
        <f>IF(NOT(ISBLANK(A460)),VLOOKUP(A460,'BBT3'!A:F,4,1),"")</f>
        <v>4</v>
      </c>
      <c r="E460">
        <f>IF(NOT(ISBLANK(A460)),VLOOKUP(A460,'BBT3'!A:F,5,0),"")</f>
        <v>46402</v>
      </c>
      <c r="F460" t="str">
        <f>IF(NOT(ISBLANK(A460)),VLOOKUP(A460,'BBT3'!A:F,6,0),"")</f>
        <v>N</v>
      </c>
      <c r="G460" t="str">
        <f t="shared" si="74"/>
        <v>N</v>
      </c>
      <c r="H460">
        <f>IF(NOT(ISBLANK(A460)),VLOOKUP(A460,'Close - PriceSaver'!A:J,5,0),"")</f>
        <v>3.92254321680943E-2</v>
      </c>
      <c r="I460" s="4" cm="1">
        <f t="array" ref="I460">IF(NOT(ISBLANK(A460)),((_xlfn.XLOOKUP(1,(_bbt3[[#All],[ID]]=A460)*(_bbt3[[#All],[METRIC_NAME]]="YLD_YTM_ASK"),_bbt3[[#All],[METRIC_VALUE]])*0.5)+(_xlfn.XLOOKUP(1,(_bbt3[[#All],[ID]]=A460)*(_bbt3[[#All],[METRIC_NAME]]="YLD_YTM_BID"),_bbt3[[#All],[METRIC_VALUE]])*0.5))/100,"")</f>
        <v>3.9225000000000003E-2</v>
      </c>
      <c r="J460">
        <f>IF(ISNA(VLOOKUP(A460,'CloseDL - PriceSaverBBT3'!A:E,5,0)),0,VLOOKUP(A460,'CloseDL - PriceSaverBBT3'!A:E,5,0))</f>
        <v>3.92254321680943E-2</v>
      </c>
      <c r="K460" s="7">
        <f t="shared" si="75"/>
        <v>0</v>
      </c>
      <c r="L460" s="20">
        <f>IF(Close[[#This Row],[CreatedBy]]="MARINER\SilverAdm",1,0)</f>
        <v>1</v>
      </c>
      <c r="M460" t="str">
        <f>IF(NOT(ISBLANK(A460)),VLOOKUP(A460,'Close - PriceSaver'!A:J,6,0),"")</f>
        <v>DL input prc = 100.03515625  PX_ASK = 100.04687500 PX_BID = 100.02343750</v>
      </c>
      <c r="Q460" t="e">
        <f t="shared" si="67"/>
        <v>#N/A</v>
      </c>
      <c r="R460" t="e">
        <f t="shared" si="68"/>
        <v>#N/A</v>
      </c>
      <c r="S460" t="e">
        <f t="shared" si="69"/>
        <v>#N/A</v>
      </c>
      <c r="T460" s="15" t="e">
        <f t="shared" si="70"/>
        <v>#N/A</v>
      </c>
      <c r="U460" s="18" t="e">
        <f t="shared" si="71"/>
        <v>#N/A</v>
      </c>
      <c r="V460" s="18" t="e">
        <f t="shared" si="72"/>
        <v>#N/A</v>
      </c>
      <c r="W460" s="19" t="e">
        <f t="shared" si="73"/>
        <v>#N/A</v>
      </c>
      <c r="X460" t="e">
        <f>VLOOKUP(P460,Close[[ID]:[CreatedBy]],8,0)</f>
        <v>#N/A</v>
      </c>
    </row>
    <row r="461" spans="1:24" x14ac:dyDescent="0.35">
      <c r="A461" t="str">
        <v>91282CJW2</v>
      </c>
      <c r="B461" t="str">
        <f>IF(NOT(ISBLANK(A461)),VLOOKUP(A461,'BBT3'!A:F,2,0),"")</f>
        <v>Bond</v>
      </c>
      <c r="C461" t="str">
        <f>IF(NOT(ISBLANK(A461)),VLOOKUP(A461,'BBT3'!A:F,3,0),"")</f>
        <v>US91282CJW29</v>
      </c>
      <c r="D461" s="5">
        <f>IF(NOT(ISBLANK(A461)),VLOOKUP(A461,'BBT3'!A:F,4,1),"")</f>
        <v>4</v>
      </c>
      <c r="E461">
        <f>IF(NOT(ISBLANK(A461)),VLOOKUP(A461,'BBT3'!A:F,5,0),"")</f>
        <v>47149</v>
      </c>
      <c r="F461" t="str">
        <f>IF(NOT(ISBLANK(A461)),VLOOKUP(A461,'BBT3'!A:F,6,0),"")</f>
        <v>N</v>
      </c>
      <c r="G461" t="str">
        <f t="shared" si="74"/>
        <v>N</v>
      </c>
      <c r="H461">
        <f>IF(NOT(ISBLANK(A461)),VLOOKUP(A461,'Close - PriceSaver'!A:J,5,0),"")</f>
        <v>4.2964105261487903E-2</v>
      </c>
      <c r="I461" s="4" cm="1">
        <f t="array" ref="I461">IF(NOT(ISBLANK(A461)),((_xlfn.XLOOKUP(1,(_bbt3[[#All],[ID]]=A461)*(_bbt3[[#All],[METRIC_NAME]]="YLD_YTM_ASK"),_bbt3[[#All],[METRIC_VALUE]])*0.5)+(_xlfn.XLOOKUP(1,(_bbt3[[#All],[ID]]=A461)*(_bbt3[[#All],[METRIC_NAME]]="YLD_YTM_BID"),_bbt3[[#All],[METRIC_VALUE]])*0.5))/100,"")</f>
        <v>4.2965000000000003E-2</v>
      </c>
      <c r="J461">
        <f>IF(ISNA(VLOOKUP(A461,'CloseDL - PriceSaverBBT3'!A:E,5,0)),0,VLOOKUP(A461,'CloseDL - PriceSaverBBT3'!A:E,5,0))</f>
        <v>4.2964105261487903E-2</v>
      </c>
      <c r="K461" s="7">
        <f t="shared" si="75"/>
        <v>0</v>
      </c>
      <c r="L461" s="20">
        <f>IF(Close[[#This Row],[CreatedBy]]="MARINER\SilverAdm",1,0)</f>
        <v>1</v>
      </c>
      <c r="M461" t="str">
        <f>IF(NOT(ISBLANK(A461)),VLOOKUP(A461,'Close - PriceSaver'!A:J,6,0),"")</f>
        <v>DL input prc = 99.29687500  PX_ASK = 99.31250000 PX_BID = 99.28125000</v>
      </c>
      <c r="Q461" t="e">
        <f t="shared" si="67"/>
        <v>#N/A</v>
      </c>
      <c r="R461" t="e">
        <f t="shared" si="68"/>
        <v>#N/A</v>
      </c>
      <c r="S461" t="e">
        <f t="shared" si="69"/>
        <v>#N/A</v>
      </c>
      <c r="T461" s="15" t="e">
        <f t="shared" si="70"/>
        <v>#N/A</v>
      </c>
      <c r="U461" s="18" t="e">
        <f t="shared" si="71"/>
        <v>#N/A</v>
      </c>
      <c r="V461" s="18" t="e">
        <f t="shared" si="72"/>
        <v>#N/A</v>
      </c>
      <c r="W461" s="19" t="e">
        <f t="shared" si="73"/>
        <v>#N/A</v>
      </c>
      <c r="X461" t="e">
        <f>VLOOKUP(P461,Close[[ID]:[CreatedBy]],8,0)</f>
        <v>#N/A</v>
      </c>
    </row>
    <row r="462" spans="1:24" x14ac:dyDescent="0.35">
      <c r="A462" t="str">
        <v>91282CJX0</v>
      </c>
      <c r="B462" t="str">
        <f>IF(NOT(ISBLANK(A462)),VLOOKUP(A462,'BBT3'!A:F,2,0),"")</f>
        <v>Bond</v>
      </c>
      <c r="C462" t="str">
        <f>IF(NOT(ISBLANK(A462)),VLOOKUP(A462,'BBT3'!A:F,3,0),"")</f>
        <v>US91282CJX02</v>
      </c>
      <c r="D462" s="5">
        <f>IF(NOT(ISBLANK(A462)),VLOOKUP(A462,'BBT3'!A:F,4,1),"")</f>
        <v>4</v>
      </c>
      <c r="E462">
        <f>IF(NOT(ISBLANK(A462)),VLOOKUP(A462,'BBT3'!A:F,5,0),"")</f>
        <v>47879</v>
      </c>
      <c r="F462" t="str">
        <f>IF(NOT(ISBLANK(A462)),VLOOKUP(A462,'BBT3'!A:F,6,0),"")</f>
        <v>N</v>
      </c>
      <c r="G462" t="str">
        <f t="shared" si="74"/>
        <v>N</v>
      </c>
      <c r="H462">
        <f>IF(NOT(ISBLANK(A462)),VLOOKUP(A462,'Close - PriceSaver'!A:J,5,0),"")</f>
        <v>4.3648130902350903E-2</v>
      </c>
      <c r="I462" s="4" cm="1">
        <f t="array" ref="I462">IF(NOT(ISBLANK(A462)),((_xlfn.XLOOKUP(1,(_bbt3[[#All],[ID]]=A462)*(_bbt3[[#All],[METRIC_NAME]]="YLD_YTM_ASK"),_bbt3[[#All],[METRIC_VALUE]])*0.5)+(_xlfn.XLOOKUP(1,(_bbt3[[#All],[ID]]=A462)*(_bbt3[[#All],[METRIC_NAME]]="YLD_YTM_BID"),_bbt3[[#All],[METRIC_VALUE]])*0.5))/100,"")</f>
        <v>4.3650000000000001E-2</v>
      </c>
      <c r="J462">
        <f>IF(ISNA(VLOOKUP(A462,'CloseDL - PriceSaverBBT3'!A:E,5,0)),0,VLOOKUP(A462,'CloseDL - PriceSaverBBT3'!A:E,5,0))</f>
        <v>4.3648130902350903E-2</v>
      </c>
      <c r="K462" s="7">
        <f t="shared" si="75"/>
        <v>0</v>
      </c>
      <c r="L462" s="20">
        <f>IF(Close[[#This Row],[CreatedBy]]="MARINER\SilverAdm",1,0)</f>
        <v>1</v>
      </c>
      <c r="M462" t="str">
        <f>IF(NOT(ISBLANK(A462)),VLOOKUP(A462,'Close - PriceSaver'!A:J,6,0),"")</f>
        <v>DL input prc = 98.51562500  PX_ASK = 98.53125000 PX_BID = 98.50000000</v>
      </c>
      <c r="Q462" t="e">
        <f t="shared" si="67"/>
        <v>#N/A</v>
      </c>
      <c r="R462" t="e">
        <f t="shared" si="68"/>
        <v>#N/A</v>
      </c>
      <c r="S462" t="e">
        <f t="shared" si="69"/>
        <v>#N/A</v>
      </c>
      <c r="T462" s="15" t="e">
        <f t="shared" si="70"/>
        <v>#N/A</v>
      </c>
      <c r="U462" s="18" t="e">
        <f t="shared" si="71"/>
        <v>#N/A</v>
      </c>
      <c r="V462" s="18" t="e">
        <f t="shared" si="72"/>
        <v>#N/A</v>
      </c>
      <c r="W462" s="19" t="e">
        <f t="shared" si="73"/>
        <v>#N/A</v>
      </c>
      <c r="X462" t="e">
        <f>VLOOKUP(P462,Close[[ID]:[CreatedBy]],8,0)</f>
        <v>#N/A</v>
      </c>
    </row>
    <row r="463" spans="1:24" x14ac:dyDescent="0.35">
      <c r="A463" t="str">
        <v>91282CJY8</v>
      </c>
      <c r="B463" t="str">
        <f>IF(NOT(ISBLANK(A463)),VLOOKUP(A463,'BBT3'!A:F,2,0),"")</f>
        <v>Bond</v>
      </c>
      <c r="C463" t="str">
        <f>IF(NOT(ISBLANK(A463)),VLOOKUP(A463,'BBT3'!A:F,3,0),"")</f>
        <v>US91282CJY84</v>
      </c>
      <c r="D463" s="5">
        <f>IF(NOT(ISBLANK(A463)),VLOOKUP(A463,'BBT3'!A:F,4,1),"")</f>
        <v>1.75</v>
      </c>
      <c r="E463">
        <f>IF(NOT(ISBLANK(A463)),VLOOKUP(A463,'BBT3'!A:F,5,0),"")</f>
        <v>48959</v>
      </c>
      <c r="F463" t="str">
        <f>IF(NOT(ISBLANK(A463)),VLOOKUP(A463,'BBT3'!A:F,6,0),"")</f>
        <v>Y</v>
      </c>
      <c r="G463" t="str">
        <f t="shared" si="74"/>
        <v>N</v>
      </c>
      <c r="H463">
        <f>IF(NOT(ISBLANK(A463)),VLOOKUP(A463,'Close - PriceSaver'!A:J,5,0),"")</f>
        <v>2.2077187343219399E-2</v>
      </c>
      <c r="I463" s="4" cm="1">
        <f t="array" ref="I463">IF(NOT(ISBLANK(A463)),((_xlfn.XLOOKUP(1,(_bbt3[[#All],[ID]]=A463)*(_bbt3[[#All],[METRIC_NAME]]="YLD_YTM_ASK"),_bbt3[[#All],[METRIC_VALUE]])*0.5)+(_xlfn.XLOOKUP(1,(_bbt3[[#All],[ID]]=A463)*(_bbt3[[#All],[METRIC_NAME]]="YLD_YTM_BID"),_bbt3[[#All],[METRIC_VALUE]])*0.5))/100,"")</f>
        <v>2.2075000000000001E-2</v>
      </c>
      <c r="J463">
        <f>IF(ISNA(VLOOKUP(A463,'CloseDL - PriceSaverBBT3'!A:E,5,0)),0,VLOOKUP(A463,'CloseDL - PriceSaverBBT3'!A:E,5,0))</f>
        <v>2.2077187343219399E-2</v>
      </c>
      <c r="K463" s="7">
        <f t="shared" si="75"/>
        <v>0</v>
      </c>
      <c r="L463" s="20">
        <f>IF(Close[[#This Row],[CreatedBy]]="MARINER\SilverAdm",1,0)</f>
        <v>1</v>
      </c>
      <c r="M463" t="str">
        <f>IF(NOT(ISBLANK(A463)),VLOOKUP(A463,'Close - PriceSaver'!A:J,6,0),"")</f>
        <v>DL input prc = 96.85937500  PX_ASK = 96.88281250 PX_BID = 96.83593750</v>
      </c>
      <c r="Q463" t="e">
        <f t="shared" si="67"/>
        <v>#N/A</v>
      </c>
      <c r="R463" t="e">
        <f t="shared" si="68"/>
        <v>#N/A</v>
      </c>
      <c r="S463" t="e">
        <f t="shared" si="69"/>
        <v>#N/A</v>
      </c>
      <c r="T463" s="15" t="e">
        <f t="shared" si="70"/>
        <v>#N/A</v>
      </c>
      <c r="U463" s="18" t="e">
        <f t="shared" si="71"/>
        <v>#N/A</v>
      </c>
      <c r="V463" s="18" t="e">
        <f t="shared" si="72"/>
        <v>#N/A</v>
      </c>
      <c r="W463" s="19" t="e">
        <f t="shared" si="73"/>
        <v>#N/A</v>
      </c>
      <c r="X463" t="e">
        <f>VLOOKUP(P463,Close[[ID]:[CreatedBy]],8,0)</f>
        <v>#N/A</v>
      </c>
    </row>
    <row r="464" spans="1:24" x14ac:dyDescent="0.35">
      <c r="A464" t="str">
        <v>91282CJZ5</v>
      </c>
      <c r="B464" t="str">
        <f>IF(NOT(ISBLANK(A464)),VLOOKUP(A464,'BBT3'!A:F,2,0),"")</f>
        <v>Bond</v>
      </c>
      <c r="C464" t="str">
        <f>IF(NOT(ISBLANK(A464)),VLOOKUP(A464,'BBT3'!A:F,3,0),"")</f>
        <v>US91282CJZ59</v>
      </c>
      <c r="D464" s="5">
        <f>IF(NOT(ISBLANK(A464)),VLOOKUP(A464,'BBT3'!A:F,4,1),"")</f>
        <v>4</v>
      </c>
      <c r="E464">
        <f>IF(NOT(ISBLANK(A464)),VLOOKUP(A464,'BBT3'!A:F,5,0),"")</f>
        <v>48990</v>
      </c>
      <c r="F464" t="str">
        <f>IF(NOT(ISBLANK(A464)),VLOOKUP(A464,'BBT3'!A:F,6,0),"")</f>
        <v>N</v>
      </c>
      <c r="G464" t="str">
        <f t="shared" si="74"/>
        <v>N</v>
      </c>
      <c r="H464">
        <f>IF(NOT(ISBLANK(A464)),VLOOKUP(A464,'Close - PriceSaver'!A:J,5,0),"")</f>
        <v>4.5289534931869303E-2</v>
      </c>
      <c r="I464" s="4" cm="1">
        <f t="array" ref="I464">IF(NOT(ISBLANK(A464)),((_xlfn.XLOOKUP(1,(_bbt3[[#All],[ID]]=A464)*(_bbt3[[#All],[METRIC_NAME]]="YLD_YTM_ASK"),_bbt3[[#All],[METRIC_VALUE]])*0.5)+(_xlfn.XLOOKUP(1,(_bbt3[[#All],[ID]]=A464)*(_bbt3[[#All],[METRIC_NAME]]="YLD_YTM_BID"),_bbt3[[#All],[METRIC_VALUE]])*0.5))/100,"")</f>
        <v>4.5284999999999992E-2</v>
      </c>
      <c r="J464">
        <f>IF(ISNA(VLOOKUP(A464,'CloseDL - PriceSaverBBT3'!A:E,5,0)),0,VLOOKUP(A464,'CloseDL - PriceSaverBBT3'!A:E,5,0))</f>
        <v>4.5289534931869303E-2</v>
      </c>
      <c r="K464" s="7">
        <f t="shared" si="75"/>
        <v>0</v>
      </c>
      <c r="L464" s="20">
        <f>IF(Close[[#This Row],[CreatedBy]]="MARINER\SilverAdm",1,0)</f>
        <v>1</v>
      </c>
      <c r="M464" t="str">
        <f>IF(NOT(ISBLANK(A464)),VLOOKUP(A464,'Close - PriceSaver'!A:J,6,0),"")</f>
        <v>DL input prc = 96.64062500  PX_ASK = 96.65625000 PX_BID = 96.62500000</v>
      </c>
      <c r="Q464" t="e">
        <f t="shared" si="67"/>
        <v>#N/A</v>
      </c>
      <c r="R464" t="e">
        <f t="shared" si="68"/>
        <v>#N/A</v>
      </c>
      <c r="S464" t="e">
        <f t="shared" si="69"/>
        <v>#N/A</v>
      </c>
      <c r="T464" s="15" t="e">
        <f t="shared" si="70"/>
        <v>#N/A</v>
      </c>
      <c r="U464" s="18" t="e">
        <f t="shared" si="71"/>
        <v>#N/A</v>
      </c>
      <c r="V464" s="18" t="e">
        <f t="shared" si="72"/>
        <v>#N/A</v>
      </c>
      <c r="W464" s="19" t="e">
        <f t="shared" si="73"/>
        <v>#N/A</v>
      </c>
      <c r="X464" t="e">
        <f>VLOOKUP(P464,Close[[ID]:[CreatedBy]],8,0)</f>
        <v>#N/A</v>
      </c>
    </row>
    <row r="465" spans="1:24" x14ac:dyDescent="0.35">
      <c r="A465" t="str">
        <v>91282CKA8</v>
      </c>
      <c r="B465" t="str">
        <f>IF(NOT(ISBLANK(A465)),VLOOKUP(A465,'BBT3'!A:F,2,0),"")</f>
        <v>Bond</v>
      </c>
      <c r="C465" t="str">
        <f>IF(NOT(ISBLANK(A465)),VLOOKUP(A465,'BBT3'!A:F,3,0),"")</f>
        <v>US91282CKA89</v>
      </c>
      <c r="D465" s="5">
        <f>IF(NOT(ISBLANK(A465)),VLOOKUP(A465,'BBT3'!A:F,4,1),"")</f>
        <v>4.125</v>
      </c>
      <c r="E465">
        <f>IF(NOT(ISBLANK(A465)),VLOOKUP(A465,'BBT3'!A:F,5,0),"")</f>
        <v>46433</v>
      </c>
      <c r="F465" t="str">
        <f>IF(NOT(ISBLANK(A465)),VLOOKUP(A465,'BBT3'!A:F,6,0),"")</f>
        <v>N</v>
      </c>
      <c r="G465" t="str">
        <f t="shared" si="74"/>
        <v>N</v>
      </c>
      <c r="H465">
        <f>IF(NOT(ISBLANK(A465)),VLOOKUP(A465,'Close - PriceSaver'!A:J,5,0),"")</f>
        <v>4.0150536522374297E-2</v>
      </c>
      <c r="I465" s="4" cm="1">
        <f t="array" ref="I465">IF(NOT(ISBLANK(A465)),((_xlfn.XLOOKUP(1,(_bbt3[[#All],[ID]]=A465)*(_bbt3[[#All],[METRIC_NAME]]="YLD_YTM_ASK"),_bbt3[[#All],[METRIC_VALUE]])*0.5)+(_xlfn.XLOOKUP(1,(_bbt3[[#All],[ID]]=A465)*(_bbt3[[#All],[METRIC_NAME]]="YLD_YTM_BID"),_bbt3[[#All],[METRIC_VALUE]])*0.5))/100,"")</f>
        <v>4.0150000000000005E-2</v>
      </c>
      <c r="J465">
        <f>IF(ISNA(VLOOKUP(A465,'CloseDL - PriceSaverBBT3'!A:E,5,0)),0,VLOOKUP(A465,'CloseDL - PriceSaverBBT3'!A:E,5,0))</f>
        <v>4.0150536522374297E-2</v>
      </c>
      <c r="K465" s="7">
        <f t="shared" si="75"/>
        <v>0</v>
      </c>
      <c r="L465" s="20">
        <f>IF(Close[[#This Row],[CreatedBy]]="MARINER\SilverAdm",1,0)</f>
        <v>1</v>
      </c>
      <c r="M465" t="str">
        <f>IF(NOT(ISBLANK(A465)),VLOOKUP(A465,'Close - PriceSaver'!A:J,6,0),"")</f>
        <v>DL input prc = 100.05859375  PX_ASK = 100.07421875 PX_BID = 100.04296875</v>
      </c>
      <c r="Q465" t="e">
        <f t="shared" si="67"/>
        <v>#N/A</v>
      </c>
      <c r="R465" t="e">
        <f t="shared" si="68"/>
        <v>#N/A</v>
      </c>
      <c r="S465" t="e">
        <f t="shared" si="69"/>
        <v>#N/A</v>
      </c>
      <c r="T465" s="15" t="e">
        <f t="shared" si="70"/>
        <v>#N/A</v>
      </c>
      <c r="U465" s="18" t="e">
        <f t="shared" si="71"/>
        <v>#N/A</v>
      </c>
      <c r="V465" s="18" t="e">
        <f t="shared" si="72"/>
        <v>#N/A</v>
      </c>
      <c r="W465" s="19" t="e">
        <f t="shared" si="73"/>
        <v>#N/A</v>
      </c>
      <c r="X465" t="e">
        <f>VLOOKUP(P465,Close[[ID]:[CreatedBy]],8,0)</f>
        <v>#N/A</v>
      </c>
    </row>
    <row r="466" spans="1:24" x14ac:dyDescent="0.35">
      <c r="A466" t="str">
        <v>91282CKC4</v>
      </c>
      <c r="B466" t="str">
        <f>IF(NOT(ISBLANK(A466)),VLOOKUP(A466,'BBT3'!A:F,2,0),"")</f>
        <v>Bond</v>
      </c>
      <c r="C466" t="str">
        <f>IF(NOT(ISBLANK(A466)),VLOOKUP(A466,'BBT3'!A:F,3,0),"")</f>
        <v>US91282CKC46</v>
      </c>
      <c r="D466" s="5">
        <f>IF(NOT(ISBLANK(A466)),VLOOKUP(A466,'BBT3'!A:F,4,1),"")</f>
        <v>4.25</v>
      </c>
      <c r="E466">
        <f>IF(NOT(ISBLANK(A466)),VLOOKUP(A466,'BBT3'!A:F,5,0),"")</f>
        <v>47907</v>
      </c>
      <c r="F466" t="str">
        <f>IF(NOT(ISBLANK(A466)),VLOOKUP(A466,'BBT3'!A:F,6,0),"")</f>
        <v>N</v>
      </c>
      <c r="G466" t="str">
        <f t="shared" si="74"/>
        <v>N</v>
      </c>
      <c r="H466">
        <f>IF(NOT(ISBLANK(A466)),VLOOKUP(A466,'Close - PriceSaver'!A:J,5,0),"")</f>
        <v>4.3633802062253903E-2</v>
      </c>
      <c r="I466" s="4" cm="1">
        <f t="array" ref="I466">IF(NOT(ISBLANK(A466)),((_xlfn.XLOOKUP(1,(_bbt3[[#All],[ID]]=A466)*(_bbt3[[#All],[METRIC_NAME]]="YLD_YTM_ASK"),_bbt3[[#All],[METRIC_VALUE]])*0.5)+(_xlfn.XLOOKUP(1,(_bbt3[[#All],[ID]]=A466)*(_bbt3[[#All],[METRIC_NAME]]="YLD_YTM_BID"),_bbt3[[#All],[METRIC_VALUE]])*0.5))/100,"")</f>
        <v>4.3635E-2</v>
      </c>
      <c r="J466">
        <f>IF(ISNA(VLOOKUP(A466,'CloseDL - PriceSaverBBT3'!A:E,5,0)),0,VLOOKUP(A466,'CloseDL - PriceSaverBBT3'!A:E,5,0))</f>
        <v>4.3633802062253903E-2</v>
      </c>
      <c r="K466" s="7">
        <f t="shared" si="75"/>
        <v>0</v>
      </c>
      <c r="L466" s="20">
        <f>IF(Close[[#This Row],[CreatedBy]]="MARINER\SilverAdm",1,0)</f>
        <v>1</v>
      </c>
      <c r="M466" t="str">
        <f>IF(NOT(ISBLANK(A466)),VLOOKUP(A466,'Close - PriceSaver'!A:J,6,0),"")</f>
        <v>DL input prc = 99.52734375  PX_ASK = 99.54687500 PX_BID = 99.50781250</v>
      </c>
      <c r="Q466" t="e">
        <f t="shared" si="67"/>
        <v>#N/A</v>
      </c>
      <c r="R466" t="e">
        <f t="shared" si="68"/>
        <v>#N/A</v>
      </c>
      <c r="S466" t="e">
        <f t="shared" si="69"/>
        <v>#N/A</v>
      </c>
      <c r="T466" s="15" t="e">
        <f t="shared" si="70"/>
        <v>#N/A</v>
      </c>
      <c r="U466" s="18" t="e">
        <f t="shared" si="71"/>
        <v>#N/A</v>
      </c>
      <c r="V466" s="18" t="e">
        <f t="shared" si="72"/>
        <v>#N/A</v>
      </c>
      <c r="W466" s="19" t="e">
        <f t="shared" si="73"/>
        <v>#N/A</v>
      </c>
      <c r="X466" t="e">
        <f>VLOOKUP(P466,Close[[ID]:[CreatedBy]],8,0)</f>
        <v>#N/A</v>
      </c>
    </row>
    <row r="467" spans="1:24" x14ac:dyDescent="0.35">
      <c r="A467" t="str">
        <v>91282CKD2</v>
      </c>
      <c r="B467" t="str">
        <f>IF(NOT(ISBLANK(A467)),VLOOKUP(A467,'BBT3'!A:F,2,0),"")</f>
        <v>Bond</v>
      </c>
      <c r="C467" t="str">
        <f>IF(NOT(ISBLANK(A467)),VLOOKUP(A467,'BBT3'!A:F,3,0),"")</f>
        <v>US91282CKD29</v>
      </c>
      <c r="D467" s="5">
        <f>IF(NOT(ISBLANK(A467)),VLOOKUP(A467,'BBT3'!A:F,4,1),"")</f>
        <v>4.25</v>
      </c>
      <c r="E467">
        <f>IF(NOT(ISBLANK(A467)),VLOOKUP(A467,'BBT3'!A:F,5,0),"")</f>
        <v>47177</v>
      </c>
      <c r="F467" t="str">
        <f>IF(NOT(ISBLANK(A467)),VLOOKUP(A467,'BBT3'!A:F,6,0),"")</f>
        <v>N</v>
      </c>
      <c r="G467" t="str">
        <f t="shared" si="74"/>
        <v>N</v>
      </c>
      <c r="H467">
        <f>IF(NOT(ISBLANK(A467)),VLOOKUP(A467,'Close - PriceSaver'!A:J,5,0),"")</f>
        <v>4.2867957217484202E-2</v>
      </c>
      <c r="I467" s="4" cm="1">
        <f t="array" ref="I467">IF(NOT(ISBLANK(A467)),((_xlfn.XLOOKUP(1,(_bbt3[[#All],[ID]]=A467)*(_bbt3[[#All],[METRIC_NAME]]="YLD_YTM_ASK"),_bbt3[[#All],[METRIC_VALUE]])*0.5)+(_xlfn.XLOOKUP(1,(_bbt3[[#All],[ID]]=A467)*(_bbt3[[#All],[METRIC_NAME]]="YLD_YTM_BID"),_bbt3[[#All],[METRIC_VALUE]])*0.5))/100,"")</f>
        <v>4.2865E-2</v>
      </c>
      <c r="J467">
        <f>IF(ISNA(VLOOKUP(A467,'CloseDL - PriceSaverBBT3'!A:E,5,0)),0,VLOOKUP(A467,'CloseDL - PriceSaverBBT3'!A:E,5,0))</f>
        <v>4.2867957217484202E-2</v>
      </c>
      <c r="K467" s="7">
        <f t="shared" si="75"/>
        <v>0</v>
      </c>
      <c r="L467" s="20">
        <f>IF(Close[[#This Row],[CreatedBy]]="MARINER\SilverAdm",1,0)</f>
        <v>1</v>
      </c>
      <c r="M467" t="str">
        <f>IF(NOT(ISBLANK(A467)),VLOOKUP(A467,'Close - PriceSaver'!A:J,6,0),"")</f>
        <v>DL input prc = 99.90625000  PX_ASK = 99.92187500 PX_BID = 99.89062500</v>
      </c>
      <c r="Q467" t="e">
        <f t="shared" si="67"/>
        <v>#N/A</v>
      </c>
      <c r="R467" t="e">
        <f t="shared" si="68"/>
        <v>#N/A</v>
      </c>
      <c r="S467" t="e">
        <f t="shared" si="69"/>
        <v>#N/A</v>
      </c>
      <c r="T467" s="15" t="e">
        <f t="shared" si="70"/>
        <v>#N/A</v>
      </c>
      <c r="U467" s="18" t="e">
        <f t="shared" si="71"/>
        <v>#N/A</v>
      </c>
      <c r="V467" s="18" t="e">
        <f t="shared" si="72"/>
        <v>#N/A</v>
      </c>
      <c r="W467" s="19" t="e">
        <f t="shared" si="73"/>
        <v>#N/A</v>
      </c>
      <c r="X467" t="e">
        <f>VLOOKUP(P467,Close[[ID]:[CreatedBy]],8,0)</f>
        <v>#N/A</v>
      </c>
    </row>
    <row r="468" spans="1:24" x14ac:dyDescent="0.35">
      <c r="A468" t="str">
        <v>91282CKE0</v>
      </c>
      <c r="B468" t="str">
        <f>IF(NOT(ISBLANK(A468)),VLOOKUP(A468,'BBT3'!A:F,2,0),"")</f>
        <v>Bond</v>
      </c>
      <c r="C468" t="str">
        <f>IF(NOT(ISBLANK(A468)),VLOOKUP(A468,'BBT3'!A:F,3,0),"")</f>
        <v>US91282CKE02</v>
      </c>
      <c r="D468" s="5">
        <f>IF(NOT(ISBLANK(A468)),VLOOKUP(A468,'BBT3'!A:F,4,1),"")</f>
        <v>4.25</v>
      </c>
      <c r="E468">
        <f>IF(NOT(ISBLANK(A468)),VLOOKUP(A468,'BBT3'!A:F,5,0),"")</f>
        <v>46461</v>
      </c>
      <c r="F468" t="str">
        <f>IF(NOT(ISBLANK(A468)),VLOOKUP(A468,'BBT3'!A:F,6,0),"")</f>
        <v>N</v>
      </c>
      <c r="G468" t="str">
        <f t="shared" si="74"/>
        <v>N</v>
      </c>
      <c r="H468">
        <f>IF(NOT(ISBLANK(A468)),VLOOKUP(A468,'Close - PriceSaver'!A:J,5,0),"")</f>
        <v>3.9938662030149299E-2</v>
      </c>
      <c r="I468" s="4" cm="1">
        <f t="array" ref="I468">IF(NOT(ISBLANK(A468)),((_xlfn.XLOOKUP(1,(_bbt3[[#All],[ID]]=A468)*(_bbt3[[#All],[METRIC_NAME]]="YLD_YTM_ASK"),_bbt3[[#All],[METRIC_VALUE]])*0.5)+(_xlfn.XLOOKUP(1,(_bbt3[[#All],[ID]]=A468)*(_bbt3[[#All],[METRIC_NAME]]="YLD_YTM_BID"),_bbt3[[#All],[METRIC_VALUE]])*0.5))/100,"")</f>
        <v>3.9934999999999998E-2</v>
      </c>
      <c r="J468">
        <f>IF(ISNA(VLOOKUP(A468,'CloseDL - PriceSaverBBT3'!A:E,5,0)),0,VLOOKUP(A468,'CloseDL - PriceSaverBBT3'!A:E,5,0))</f>
        <v>3.9938662030149299E-2</v>
      </c>
      <c r="K468" s="7">
        <f t="shared" si="75"/>
        <v>0</v>
      </c>
      <c r="L468" s="20">
        <f>IF(Close[[#This Row],[CreatedBy]]="MARINER\SilverAdm",1,0)</f>
        <v>1</v>
      </c>
      <c r="M468" t="str">
        <f>IF(NOT(ISBLANK(A468)),VLOOKUP(A468,'Close - PriceSaver'!A:J,6,0),"")</f>
        <v>DL input prc = 100.15820313  PX_ASK = 100.17187500 PX_BID = 100.14453125</v>
      </c>
      <c r="Q468" t="e">
        <f t="shared" si="67"/>
        <v>#N/A</v>
      </c>
      <c r="R468" t="e">
        <f t="shared" si="68"/>
        <v>#N/A</v>
      </c>
      <c r="S468" t="e">
        <f t="shared" si="69"/>
        <v>#N/A</v>
      </c>
      <c r="T468" s="15" t="e">
        <f t="shared" si="70"/>
        <v>#N/A</v>
      </c>
      <c r="U468" s="18" t="e">
        <f t="shared" si="71"/>
        <v>#N/A</v>
      </c>
      <c r="V468" s="18" t="e">
        <f t="shared" si="72"/>
        <v>#N/A</v>
      </c>
      <c r="W468" s="19" t="e">
        <f t="shared" si="73"/>
        <v>#N/A</v>
      </c>
      <c r="X468" t="e">
        <f>VLOOKUP(P468,Close[[ID]:[CreatedBy]],8,0)</f>
        <v>#N/A</v>
      </c>
    </row>
    <row r="469" spans="1:24" x14ac:dyDescent="0.35">
      <c r="A469" t="str">
        <v>91282CKF7</v>
      </c>
      <c r="B469" t="str">
        <f>IF(NOT(ISBLANK(A469)),VLOOKUP(A469,'BBT3'!A:F,2,0),"")</f>
        <v>Bond</v>
      </c>
      <c r="C469" t="str">
        <f>IF(NOT(ISBLANK(A469)),VLOOKUP(A469,'BBT3'!A:F,3,0),"")</f>
        <v>US91282CKF76</v>
      </c>
      <c r="D469" s="5">
        <f>IF(NOT(ISBLANK(A469)),VLOOKUP(A469,'BBT3'!A:F,4,1),"")</f>
        <v>4.125</v>
      </c>
      <c r="E469">
        <f>IF(NOT(ISBLANK(A469)),VLOOKUP(A469,'BBT3'!A:F,5,0),"")</f>
        <v>47938</v>
      </c>
      <c r="F469" t="str">
        <f>IF(NOT(ISBLANK(A469)),VLOOKUP(A469,'BBT3'!A:F,6,0),"")</f>
        <v>N</v>
      </c>
      <c r="G469" t="str">
        <f t="shared" si="74"/>
        <v>N</v>
      </c>
      <c r="H469">
        <f>IF(NOT(ISBLANK(A469)),VLOOKUP(A469,'Close - PriceSaver'!A:J,5,0),"")</f>
        <v>4.3673813620308699E-2</v>
      </c>
      <c r="I469" s="4" cm="1">
        <f t="array" ref="I469">IF(NOT(ISBLANK(A469)),((_xlfn.XLOOKUP(1,(_bbt3[[#All],[ID]]=A469)*(_bbt3[[#All],[METRIC_NAME]]="YLD_YTM_ASK"),_bbt3[[#All],[METRIC_VALUE]])*0.5)+(_xlfn.XLOOKUP(1,(_bbt3[[#All],[ID]]=A469)*(_bbt3[[#All],[METRIC_NAME]]="YLD_YTM_BID"),_bbt3[[#All],[METRIC_VALUE]])*0.5))/100,"")</f>
        <v>4.3674999999999999E-2</v>
      </c>
      <c r="J469">
        <f>IF(ISNA(VLOOKUP(A469,'CloseDL - PriceSaverBBT3'!A:E,5,0)),0,VLOOKUP(A469,'CloseDL - PriceSaverBBT3'!A:E,5,0))</f>
        <v>4.3673813620308699E-2</v>
      </c>
      <c r="K469" s="7">
        <f t="shared" si="75"/>
        <v>0</v>
      </c>
      <c r="L469" s="20">
        <f>IF(Close[[#This Row],[CreatedBy]]="MARINER\SilverAdm",1,0)</f>
        <v>1</v>
      </c>
      <c r="M469" t="str">
        <f>IF(NOT(ISBLANK(A469)),VLOOKUP(A469,'Close - PriceSaver'!A:J,6,0),"")</f>
        <v>DL input prc = 98.97656250  PX_ASK = 98.99218750 PX_BID = 98.96093750</v>
      </c>
      <c r="Q469" t="e">
        <f t="shared" si="67"/>
        <v>#N/A</v>
      </c>
      <c r="R469" t="e">
        <f t="shared" si="68"/>
        <v>#N/A</v>
      </c>
      <c r="S469" t="e">
        <f t="shared" si="69"/>
        <v>#N/A</v>
      </c>
      <c r="T469" s="15" t="e">
        <f t="shared" si="70"/>
        <v>#N/A</v>
      </c>
      <c r="U469" s="18" t="e">
        <f t="shared" si="71"/>
        <v>#N/A</v>
      </c>
      <c r="V469" s="18" t="e">
        <f t="shared" si="72"/>
        <v>#N/A</v>
      </c>
      <c r="W469" s="19" t="e">
        <f t="shared" si="73"/>
        <v>#N/A</v>
      </c>
      <c r="X469" t="e">
        <f>VLOOKUP(P469,Close[[ID]:[CreatedBy]],8,0)</f>
        <v>#N/A</v>
      </c>
    </row>
    <row r="470" spans="1:24" x14ac:dyDescent="0.35">
      <c r="A470" t="str">
        <v>91282CKG5</v>
      </c>
      <c r="B470" t="str">
        <f>IF(NOT(ISBLANK(A470)),VLOOKUP(A470,'BBT3'!A:F,2,0),"")</f>
        <v>Bond</v>
      </c>
      <c r="C470" t="str">
        <f>IF(NOT(ISBLANK(A470)),VLOOKUP(A470,'BBT3'!A:F,3,0),"")</f>
        <v>US91282CKG59</v>
      </c>
      <c r="D470" s="5">
        <f>IF(NOT(ISBLANK(A470)),VLOOKUP(A470,'BBT3'!A:F,4,1),"")</f>
        <v>4.125</v>
      </c>
      <c r="E470">
        <f>IF(NOT(ISBLANK(A470)),VLOOKUP(A470,'BBT3'!A:F,5,0),"")</f>
        <v>47208</v>
      </c>
      <c r="F470" t="str">
        <f>IF(NOT(ISBLANK(A470)),VLOOKUP(A470,'BBT3'!A:F,6,0),"")</f>
        <v>N</v>
      </c>
      <c r="G470" t="str">
        <f t="shared" si="74"/>
        <v>N</v>
      </c>
      <c r="H470">
        <f>IF(NOT(ISBLANK(A470)),VLOOKUP(A470,'Close - PriceSaver'!A:J,5,0),"")</f>
        <v>4.2937108742657701E-2</v>
      </c>
      <c r="I470" s="4" cm="1">
        <f t="array" ref="I470">IF(NOT(ISBLANK(A470)),((_xlfn.XLOOKUP(1,(_bbt3[[#All],[ID]]=A470)*(_bbt3[[#All],[METRIC_NAME]]="YLD_YTM_ASK"),_bbt3[[#All],[METRIC_VALUE]])*0.5)+(_xlfn.XLOOKUP(1,(_bbt3[[#All],[ID]]=A470)*(_bbt3[[#All],[METRIC_NAME]]="YLD_YTM_BID"),_bbt3[[#All],[METRIC_VALUE]])*0.5))/100,"")</f>
        <v>4.2935000000000001E-2</v>
      </c>
      <c r="J470">
        <f>IF(ISNA(VLOOKUP(A470,'CloseDL - PriceSaverBBT3'!A:E,5,0)),0,VLOOKUP(A470,'CloseDL - PriceSaverBBT3'!A:E,5,0))</f>
        <v>4.2937108742657701E-2</v>
      </c>
      <c r="K470" s="7">
        <f t="shared" si="75"/>
        <v>0</v>
      </c>
      <c r="L470" s="20">
        <f>IF(Close[[#This Row],[CreatedBy]]="MARINER\SilverAdm",1,0)</f>
        <v>1</v>
      </c>
      <c r="M470" t="str">
        <f>IF(NOT(ISBLANK(A470)),VLOOKUP(A470,'Close - PriceSaver'!A:J,6,0),"")</f>
        <v>DL input prc = 99.57031250  PX_ASK = 99.58593750 PX_BID = 99.55468750</v>
      </c>
      <c r="Q470" t="e">
        <f t="shared" si="67"/>
        <v>#N/A</v>
      </c>
      <c r="R470" t="e">
        <f t="shared" si="68"/>
        <v>#N/A</v>
      </c>
      <c r="S470" t="e">
        <f t="shared" si="69"/>
        <v>#N/A</v>
      </c>
      <c r="T470" s="15" t="e">
        <f t="shared" si="70"/>
        <v>#N/A</v>
      </c>
      <c r="U470" s="18" t="e">
        <f t="shared" si="71"/>
        <v>#N/A</v>
      </c>
      <c r="V470" s="18" t="e">
        <f t="shared" si="72"/>
        <v>#N/A</v>
      </c>
      <c r="W470" s="19" t="e">
        <f t="shared" si="73"/>
        <v>#N/A</v>
      </c>
      <c r="X470" t="e">
        <f>VLOOKUP(P470,Close[[ID]:[CreatedBy]],8,0)</f>
        <v>#N/A</v>
      </c>
    </row>
    <row r="471" spans="1:24" x14ac:dyDescent="0.35">
      <c r="A471" t="str">
        <v>91282CKJ9</v>
      </c>
      <c r="B471" t="str">
        <f>IF(NOT(ISBLANK(A471)),VLOOKUP(A471,'BBT3'!A:F,2,0),"")</f>
        <v>Bond</v>
      </c>
      <c r="C471" t="str">
        <f>IF(NOT(ISBLANK(A471)),VLOOKUP(A471,'BBT3'!A:F,3,0),"")</f>
        <v>US91282CKJ98</v>
      </c>
      <c r="D471" s="5">
        <f>IF(NOT(ISBLANK(A471)),VLOOKUP(A471,'BBT3'!A:F,4,1),"")</f>
        <v>4.5</v>
      </c>
      <c r="E471">
        <f>IF(NOT(ISBLANK(A471)),VLOOKUP(A471,'BBT3'!A:F,5,0),"")</f>
        <v>46492</v>
      </c>
      <c r="F471" t="str">
        <f>IF(NOT(ISBLANK(A471)),VLOOKUP(A471,'BBT3'!A:F,6,0),"")</f>
        <v>N</v>
      </c>
      <c r="G471" t="str">
        <f t="shared" si="74"/>
        <v>N</v>
      </c>
      <c r="H471">
        <f>IF(NOT(ISBLANK(A471)),VLOOKUP(A471,'Close - PriceSaver'!A:J,5,0),"")</f>
        <v>4.0601289190451403E-2</v>
      </c>
      <c r="I471" s="4" cm="1">
        <f t="array" ref="I471">IF(NOT(ISBLANK(A471)),((_xlfn.XLOOKUP(1,(_bbt3[[#All],[ID]]=A471)*(_bbt3[[#All],[METRIC_NAME]]="YLD_YTM_ASK"),_bbt3[[#All],[METRIC_VALUE]])*0.5)+(_xlfn.XLOOKUP(1,(_bbt3[[#All],[ID]]=A471)*(_bbt3[[#All],[METRIC_NAME]]="YLD_YTM_BID"),_bbt3[[#All],[METRIC_VALUE]])*0.5))/100,"")</f>
        <v>4.0600000000000004E-2</v>
      </c>
      <c r="J471">
        <f>IF(ISNA(VLOOKUP(A471,'CloseDL - PriceSaverBBT3'!A:E,5,0)),0,VLOOKUP(A471,'CloseDL - PriceSaverBBT3'!A:E,5,0))</f>
        <v>4.0601289190451403E-2</v>
      </c>
      <c r="K471" s="7">
        <f t="shared" si="75"/>
        <v>0</v>
      </c>
      <c r="L471" s="20">
        <f>IF(Close[[#This Row],[CreatedBy]]="MARINER\SilverAdm",1,0)</f>
        <v>1</v>
      </c>
      <c r="M471" t="str">
        <f>IF(NOT(ISBLANK(A471)),VLOOKUP(A471,'Close - PriceSaver'!A:J,6,0),"")</f>
        <v>DL input prc = 100.30859375  PX_ASK = 100.32421875 PX_BID = 100.29296875</v>
      </c>
      <c r="Q471" t="e">
        <f t="shared" si="67"/>
        <v>#N/A</v>
      </c>
      <c r="R471" t="e">
        <f t="shared" si="68"/>
        <v>#N/A</v>
      </c>
      <c r="S471" t="e">
        <f t="shared" si="69"/>
        <v>#N/A</v>
      </c>
      <c r="T471" s="15" t="e">
        <f t="shared" si="70"/>
        <v>#N/A</v>
      </c>
      <c r="U471" s="18" t="e">
        <f t="shared" si="71"/>
        <v>#N/A</v>
      </c>
      <c r="V471" s="18" t="e">
        <f t="shared" si="72"/>
        <v>#N/A</v>
      </c>
      <c r="W471" s="19" t="e">
        <f t="shared" si="73"/>
        <v>#N/A</v>
      </c>
      <c r="X471" t="e">
        <f>VLOOKUP(P471,Close[[ID]:[CreatedBy]],8,0)</f>
        <v>#N/A</v>
      </c>
    </row>
    <row r="472" spans="1:24" x14ac:dyDescent="0.35">
      <c r="A472" t="str">
        <v>91282CKL4</v>
      </c>
      <c r="B472" t="str">
        <f>IF(NOT(ISBLANK(A472)),VLOOKUP(A472,'BBT3'!A:F,2,0),"")</f>
        <v>Bond</v>
      </c>
      <c r="C472" t="str">
        <f>IF(NOT(ISBLANK(A472)),VLOOKUP(A472,'BBT3'!A:F,3,0),"")</f>
        <v>US91282CKL45</v>
      </c>
      <c r="D472" s="5">
        <f>IF(NOT(ISBLANK(A472)),VLOOKUP(A472,'BBT3'!A:F,4,1),"")</f>
        <v>2.125</v>
      </c>
      <c r="E472">
        <f>IF(NOT(ISBLANK(A472)),VLOOKUP(A472,'BBT3'!A:F,5,0),"")</f>
        <v>47223</v>
      </c>
      <c r="F472" t="str">
        <f>IF(NOT(ISBLANK(A472)),VLOOKUP(A472,'BBT3'!A:F,6,0),"")</f>
        <v>Y</v>
      </c>
      <c r="G472" t="str">
        <f t="shared" si="74"/>
        <v>N</v>
      </c>
      <c r="H472">
        <f>IF(NOT(ISBLANK(A472)),VLOOKUP(A472,'Close - PriceSaver'!A:J,5,0),"")</f>
        <v>2.15406073804498E-2</v>
      </c>
      <c r="I472" s="4" cm="1">
        <f t="array" ref="I472">IF(NOT(ISBLANK(A472)),((_xlfn.XLOOKUP(1,(_bbt3[[#All],[ID]]=A472)*(_bbt3[[#All],[METRIC_NAME]]="YLD_YTM_ASK"),_bbt3[[#All],[METRIC_VALUE]])*0.5)+(_xlfn.XLOOKUP(1,(_bbt3[[#All],[ID]]=A472)*(_bbt3[[#All],[METRIC_NAME]]="YLD_YTM_BID"),_bbt3[[#All],[METRIC_VALUE]])*0.5))/100,"")</f>
        <v>2.154E-2</v>
      </c>
      <c r="J472">
        <f>IF(ISNA(VLOOKUP(A472,'CloseDL - PriceSaverBBT3'!A:E,5,0)),0,VLOOKUP(A472,'CloseDL - PriceSaverBBT3'!A:E,5,0))</f>
        <v>2.15406073804498E-2</v>
      </c>
      <c r="K472" s="7">
        <f t="shared" si="75"/>
        <v>0</v>
      </c>
      <c r="L472" s="20">
        <f>IF(Close[[#This Row],[CreatedBy]]="MARINER\SilverAdm",1,0)</f>
        <v>1</v>
      </c>
      <c r="M472" t="str">
        <f>IF(NOT(ISBLANK(A472)),VLOOKUP(A472,'Close - PriceSaver'!A:J,6,0),"")</f>
        <v>DL input prc = 99.92187500  PX_ASK = 99.94531250 PX_BID = 99.89843750</v>
      </c>
      <c r="Q472" t="e">
        <f t="shared" si="67"/>
        <v>#N/A</v>
      </c>
      <c r="R472" t="e">
        <f t="shared" si="68"/>
        <v>#N/A</v>
      </c>
      <c r="S472" t="e">
        <f t="shared" si="69"/>
        <v>#N/A</v>
      </c>
      <c r="T472" s="15" t="e">
        <f t="shared" si="70"/>
        <v>#N/A</v>
      </c>
      <c r="U472" s="18" t="e">
        <f t="shared" si="71"/>
        <v>#N/A</v>
      </c>
      <c r="V472" s="18" t="e">
        <f t="shared" si="72"/>
        <v>#N/A</v>
      </c>
      <c r="W472" s="19" t="e">
        <f t="shared" si="73"/>
        <v>#N/A</v>
      </c>
      <c r="X472" t="e">
        <f>VLOOKUP(P472,Close[[ID]:[CreatedBy]],8,0)</f>
        <v>#N/A</v>
      </c>
    </row>
    <row r="473" spans="1:24" x14ac:dyDescent="0.35">
      <c r="A473" t="str">
        <v>91282CKN0</v>
      </c>
      <c r="B473" t="str">
        <f>IF(NOT(ISBLANK(A473)),VLOOKUP(A473,'BBT3'!A:F,2,0),"")</f>
        <v>Bond</v>
      </c>
      <c r="C473" t="str">
        <f>IF(NOT(ISBLANK(A473)),VLOOKUP(A473,'BBT3'!A:F,3,0),"")</f>
        <v>US91282CKN01</v>
      </c>
      <c r="D473" s="5">
        <f>IF(NOT(ISBLANK(A473)),VLOOKUP(A473,'BBT3'!A:F,4,1),"")</f>
        <v>4.625</v>
      </c>
      <c r="E473">
        <f>IF(NOT(ISBLANK(A473)),VLOOKUP(A473,'BBT3'!A:F,5,0),"")</f>
        <v>47968</v>
      </c>
      <c r="F473" t="str">
        <f>IF(NOT(ISBLANK(A473)),VLOOKUP(A473,'BBT3'!A:F,6,0),"")</f>
        <v>N</v>
      </c>
      <c r="G473" t="str">
        <f t="shared" si="74"/>
        <v>N</v>
      </c>
      <c r="H473">
        <f>IF(NOT(ISBLANK(A473)),VLOOKUP(A473,'Close - PriceSaver'!A:J,5,0),"")</f>
        <v>4.3690899306567797E-2</v>
      </c>
      <c r="I473" s="4" cm="1">
        <f t="array" ref="I473">IF(NOT(ISBLANK(A473)),((_xlfn.XLOOKUP(1,(_bbt3[[#All],[ID]]=A473)*(_bbt3[[#All],[METRIC_NAME]]="YLD_YTM_ASK"),_bbt3[[#All],[METRIC_VALUE]])*0.5)+(_xlfn.XLOOKUP(1,(_bbt3[[#All],[ID]]=A473)*(_bbt3[[#All],[METRIC_NAME]]="YLD_YTM_BID"),_bbt3[[#All],[METRIC_VALUE]])*0.5))/100,"")</f>
        <v>4.369E-2</v>
      </c>
      <c r="J473">
        <f>IF(ISNA(VLOOKUP(A473,'CloseDL - PriceSaverBBT3'!A:E,5,0)),0,VLOOKUP(A473,'CloseDL - PriceSaverBBT3'!A:E,5,0))</f>
        <v>4.3690899306567797E-2</v>
      </c>
      <c r="K473" s="7">
        <f t="shared" si="75"/>
        <v>0</v>
      </c>
      <c r="L473" s="20">
        <f>IF(Close[[#This Row],[CreatedBy]]="MARINER\SilverAdm",1,0)</f>
        <v>1</v>
      </c>
      <c r="M473" t="str">
        <f>IF(NOT(ISBLANK(A473)),VLOOKUP(A473,'Close - PriceSaver'!A:J,6,0),"")</f>
        <v>DL input prc = 101.08593750  PX_ASK = 101.10156250 PX_BID = 101.07031250</v>
      </c>
      <c r="Q473" t="e">
        <f t="shared" si="67"/>
        <v>#N/A</v>
      </c>
      <c r="R473" t="e">
        <f t="shared" si="68"/>
        <v>#N/A</v>
      </c>
      <c r="S473" t="e">
        <f t="shared" si="69"/>
        <v>#N/A</v>
      </c>
      <c r="T473" s="15" t="e">
        <f t="shared" si="70"/>
        <v>#N/A</v>
      </c>
      <c r="U473" s="18" t="e">
        <f t="shared" si="71"/>
        <v>#N/A</v>
      </c>
      <c r="V473" s="18" t="e">
        <f t="shared" si="72"/>
        <v>#N/A</v>
      </c>
      <c r="W473" s="19" t="e">
        <f t="shared" si="73"/>
        <v>#N/A</v>
      </c>
      <c r="X473" t="e">
        <f>VLOOKUP(P473,Close[[ID]:[CreatedBy]],8,0)</f>
        <v>#N/A</v>
      </c>
    </row>
    <row r="474" spans="1:24" x14ac:dyDescent="0.35">
      <c r="A474" t="str">
        <v>91282CKP5</v>
      </c>
      <c r="B474" t="str">
        <f>IF(NOT(ISBLANK(A474)),VLOOKUP(A474,'BBT3'!A:F,2,0),"")</f>
        <v>Bond</v>
      </c>
      <c r="C474" t="str">
        <f>IF(NOT(ISBLANK(A474)),VLOOKUP(A474,'BBT3'!A:F,3,0),"")</f>
        <v>US91282CKP58</v>
      </c>
      <c r="D474" s="5">
        <f>IF(NOT(ISBLANK(A474)),VLOOKUP(A474,'BBT3'!A:F,4,1),"")</f>
        <v>4.625</v>
      </c>
      <c r="E474">
        <f>IF(NOT(ISBLANK(A474)),VLOOKUP(A474,'BBT3'!A:F,5,0),"")</f>
        <v>47238</v>
      </c>
      <c r="F474" t="str">
        <f>IF(NOT(ISBLANK(A474)),VLOOKUP(A474,'BBT3'!A:F,6,0),"")</f>
        <v>N</v>
      </c>
      <c r="G474" t="str">
        <f t="shared" si="74"/>
        <v>N</v>
      </c>
      <c r="H474">
        <f>IF(NOT(ISBLANK(A474)),VLOOKUP(A474,'Close - PriceSaver'!A:J,5,0),"")</f>
        <v>4.29379851722963E-2</v>
      </c>
      <c r="I474" s="4" cm="1">
        <f t="array" ref="I474">IF(NOT(ISBLANK(A474)),((_xlfn.XLOOKUP(1,(_bbt3[[#All],[ID]]=A474)*(_bbt3[[#All],[METRIC_NAME]]="YLD_YTM_ASK"),_bbt3[[#All],[METRIC_VALUE]])*0.5)+(_xlfn.XLOOKUP(1,(_bbt3[[#All],[ID]]=A474)*(_bbt3[[#All],[METRIC_NAME]]="YLD_YTM_BID"),_bbt3[[#All],[METRIC_VALUE]])*0.5))/100,"")</f>
        <v>4.2940000000000006E-2</v>
      </c>
      <c r="J474">
        <f>IF(ISNA(VLOOKUP(A474,'CloseDL - PriceSaverBBT3'!A:E,5,0)),0,VLOOKUP(A474,'CloseDL - PriceSaverBBT3'!A:E,5,0))</f>
        <v>4.29379851722963E-2</v>
      </c>
      <c r="K474" s="7">
        <f t="shared" si="75"/>
        <v>0</v>
      </c>
      <c r="L474" s="20">
        <f>IF(Close[[#This Row],[CreatedBy]]="MARINER\SilverAdm",1,0)</f>
        <v>1</v>
      </c>
      <c r="M474" t="str">
        <f>IF(NOT(ISBLANK(A474)),VLOOKUP(A474,'Close - PriceSaver'!A:J,6,0),"")</f>
        <v>DL input prc = 100.85156250  PX_ASK = 100.86718750 PX_BID = 100.83593750</v>
      </c>
      <c r="Q474" t="e">
        <f t="shared" si="67"/>
        <v>#N/A</v>
      </c>
      <c r="R474" t="e">
        <f t="shared" si="68"/>
        <v>#N/A</v>
      </c>
      <c r="S474" t="e">
        <f t="shared" si="69"/>
        <v>#N/A</v>
      </c>
      <c r="T474" s="15" t="e">
        <f t="shared" si="70"/>
        <v>#N/A</v>
      </c>
      <c r="U474" s="18" t="e">
        <f t="shared" si="71"/>
        <v>#N/A</v>
      </c>
      <c r="V474" s="18" t="e">
        <f t="shared" si="72"/>
        <v>#N/A</v>
      </c>
      <c r="W474" s="19" t="e">
        <f t="shared" si="73"/>
        <v>#N/A</v>
      </c>
      <c r="X474" t="e">
        <f>VLOOKUP(P474,Close[[ID]:[CreatedBy]],8,0)</f>
        <v>#N/A</v>
      </c>
    </row>
    <row r="475" spans="1:24" x14ac:dyDescent="0.35">
      <c r="A475" t="str">
        <v>91282CKQ3</v>
      </c>
      <c r="B475" t="str">
        <f>IF(NOT(ISBLANK(A475)),VLOOKUP(A475,'BBT3'!A:F,2,0),"")</f>
        <v>Bond</v>
      </c>
      <c r="C475" t="str">
        <f>IF(NOT(ISBLANK(A475)),VLOOKUP(A475,'BBT3'!A:F,3,0),"")</f>
        <v>US91282CKQ32</v>
      </c>
      <c r="D475" s="5">
        <f>IF(NOT(ISBLANK(A475)),VLOOKUP(A475,'BBT3'!A:F,4,1),"")</f>
        <v>4.375</v>
      </c>
      <c r="E475">
        <f>IF(NOT(ISBLANK(A475)),VLOOKUP(A475,'BBT3'!A:F,5,0),"")</f>
        <v>49079</v>
      </c>
      <c r="F475" t="str">
        <f>IF(NOT(ISBLANK(A475)),VLOOKUP(A475,'BBT3'!A:F,6,0),"")</f>
        <v>N</v>
      </c>
      <c r="G475" t="str">
        <f t="shared" si="74"/>
        <v>N</v>
      </c>
      <c r="H475">
        <f>IF(NOT(ISBLANK(A475)),VLOOKUP(A475,'Close - PriceSaver'!A:J,5,0),"")</f>
        <v>4.5383279284482402E-2</v>
      </c>
      <c r="I475" s="4" cm="1">
        <f t="array" ref="I475">IF(NOT(ISBLANK(A475)),((_xlfn.XLOOKUP(1,(_bbt3[[#All],[ID]]=A475)*(_bbt3[[#All],[METRIC_NAME]]="YLD_YTM_ASK"),_bbt3[[#All],[METRIC_VALUE]])*0.5)+(_xlfn.XLOOKUP(1,(_bbt3[[#All],[ID]]=A475)*(_bbt3[[#All],[METRIC_NAME]]="YLD_YTM_BID"),_bbt3[[#All],[METRIC_VALUE]])*0.5))/100,"")</f>
        <v>4.5385000000000002E-2</v>
      </c>
      <c r="J475">
        <f>IF(ISNA(VLOOKUP(A475,'CloseDL - PriceSaverBBT3'!A:E,5,0)),0,VLOOKUP(A475,'CloseDL - PriceSaverBBT3'!A:E,5,0))</f>
        <v>4.5383279284482402E-2</v>
      </c>
      <c r="K475" s="7">
        <f t="shared" si="75"/>
        <v>0</v>
      </c>
      <c r="L475" s="20">
        <f>IF(Close[[#This Row],[CreatedBy]]="MARINER\SilverAdm",1,0)</f>
        <v>1</v>
      </c>
      <c r="M475" t="str">
        <f>IF(NOT(ISBLANK(A475)),VLOOKUP(A475,'Close - PriceSaver'!A:J,6,0),"")</f>
        <v>DL input prc = 98.92968750  PX_ASK = 98.93750000 PX_BID = 98.92187500</v>
      </c>
      <c r="Q475" t="e">
        <f t="shared" si="67"/>
        <v>#N/A</v>
      </c>
      <c r="R475" t="e">
        <f t="shared" si="68"/>
        <v>#N/A</v>
      </c>
      <c r="S475" t="e">
        <f t="shared" si="69"/>
        <v>#N/A</v>
      </c>
      <c r="T475" s="15" t="e">
        <f t="shared" si="70"/>
        <v>#N/A</v>
      </c>
      <c r="U475" s="18" t="e">
        <f t="shared" si="71"/>
        <v>#N/A</v>
      </c>
      <c r="V475" s="18" t="e">
        <f t="shared" si="72"/>
        <v>#N/A</v>
      </c>
      <c r="W475" s="19" t="e">
        <f t="shared" si="73"/>
        <v>#N/A</v>
      </c>
      <c r="X475" t="e">
        <f>VLOOKUP(P475,Close[[ID]:[CreatedBy]],8,0)</f>
        <v>#N/A</v>
      </c>
    </row>
    <row r="476" spans="1:24" x14ac:dyDescent="0.35">
      <c r="A476" t="str">
        <v>91282CKR1</v>
      </c>
      <c r="B476" t="str">
        <f>IF(NOT(ISBLANK(A476)),VLOOKUP(A476,'BBT3'!A:F,2,0),"")</f>
        <v>Bond</v>
      </c>
      <c r="C476" t="str">
        <f>IF(NOT(ISBLANK(A476)),VLOOKUP(A476,'BBT3'!A:F,3,0),"")</f>
        <v>US91282CKR15</v>
      </c>
      <c r="D476" s="5">
        <f>IF(NOT(ISBLANK(A476)),VLOOKUP(A476,'BBT3'!A:F,4,1),"")</f>
        <v>4.5</v>
      </c>
      <c r="E476">
        <f>IF(NOT(ISBLANK(A476)),VLOOKUP(A476,'BBT3'!A:F,5,0),"")</f>
        <v>46522</v>
      </c>
      <c r="F476" t="str">
        <f>IF(NOT(ISBLANK(A476)),VLOOKUP(A476,'BBT3'!A:F,6,0),"")</f>
        <v>N</v>
      </c>
      <c r="G476" t="str">
        <f t="shared" si="74"/>
        <v>N</v>
      </c>
      <c r="H476">
        <f>IF(NOT(ISBLANK(A476)),VLOOKUP(A476,'Close - PriceSaver'!A:J,5,0),"")</f>
        <v>4.1045166987140301E-2</v>
      </c>
      <c r="I476" s="4" cm="1">
        <f t="array" ref="I476">IF(NOT(ISBLANK(A476)),((_xlfn.XLOOKUP(1,(_bbt3[[#All],[ID]]=A476)*(_bbt3[[#All],[METRIC_NAME]]="YLD_YTM_ASK"),_bbt3[[#All],[METRIC_VALUE]])*0.5)+(_xlfn.XLOOKUP(1,(_bbt3[[#All],[ID]]=A476)*(_bbt3[[#All],[METRIC_NAME]]="YLD_YTM_BID"),_bbt3[[#All],[METRIC_VALUE]])*0.5))/100,"")</f>
        <v>4.1044999999999998E-2</v>
      </c>
      <c r="J476">
        <f>IF(ISNA(VLOOKUP(A476,'CloseDL - PriceSaverBBT3'!A:E,5,0)),0,VLOOKUP(A476,'CloseDL - PriceSaverBBT3'!A:E,5,0))</f>
        <v>4.1045166987140301E-2</v>
      </c>
      <c r="K476" s="7">
        <f t="shared" si="75"/>
        <v>0</v>
      </c>
      <c r="L476" s="20">
        <f>IF(Close[[#This Row],[CreatedBy]]="MARINER\SilverAdm",1,0)</f>
        <v>1</v>
      </c>
      <c r="M476" t="str">
        <f>IF(NOT(ISBLANK(A476)),VLOOKUP(A476,'Close - PriceSaver'!A:J,6,0),"")</f>
        <v>DL input prc = 100.30859375  PX_ASK = 100.32031250 PX_BID = 100.29687500</v>
      </c>
      <c r="Q476" t="e">
        <f t="shared" si="67"/>
        <v>#N/A</v>
      </c>
      <c r="R476" t="e">
        <f t="shared" si="68"/>
        <v>#N/A</v>
      </c>
      <c r="S476" t="e">
        <f t="shared" si="69"/>
        <v>#N/A</v>
      </c>
      <c r="T476" s="15" t="e">
        <f t="shared" si="70"/>
        <v>#N/A</v>
      </c>
      <c r="U476" s="18" t="e">
        <f t="shared" si="71"/>
        <v>#N/A</v>
      </c>
      <c r="V476" s="18" t="e">
        <f t="shared" si="72"/>
        <v>#N/A</v>
      </c>
      <c r="W476" s="19" t="e">
        <f t="shared" si="73"/>
        <v>#N/A</v>
      </c>
      <c r="X476" t="e">
        <f>VLOOKUP(P476,Close[[ID]:[CreatedBy]],8,0)</f>
        <v>#N/A</v>
      </c>
    </row>
    <row r="477" spans="1:24" x14ac:dyDescent="0.35">
      <c r="A477" t="str">
        <v>91282CKT7</v>
      </c>
      <c r="B477" t="str">
        <f>IF(NOT(ISBLANK(A477)),VLOOKUP(A477,'BBT3'!A:F,2,0),"")</f>
        <v>Bond</v>
      </c>
      <c r="C477" t="str">
        <f>IF(NOT(ISBLANK(A477)),VLOOKUP(A477,'BBT3'!A:F,3,0),"")</f>
        <v>US91282CKT70</v>
      </c>
      <c r="D477" s="5">
        <f>IF(NOT(ISBLANK(A477)),VLOOKUP(A477,'BBT3'!A:F,4,1),"")</f>
        <v>4.5</v>
      </c>
      <c r="E477">
        <f>IF(NOT(ISBLANK(A477)),VLOOKUP(A477,'BBT3'!A:F,5,0),"")</f>
        <v>47269</v>
      </c>
      <c r="F477" t="str">
        <f>IF(NOT(ISBLANK(A477)),VLOOKUP(A477,'BBT3'!A:F,6,0),"")</f>
        <v>N</v>
      </c>
      <c r="G477" t="str">
        <f t="shared" si="74"/>
        <v>N</v>
      </c>
      <c r="H477">
        <f>IF(NOT(ISBLANK(A477)),VLOOKUP(A477,'Close - PriceSaver'!A:J,5,0),"")</f>
        <v>4.2986482881081998E-2</v>
      </c>
      <c r="I477" s="4" cm="1">
        <f t="array" ref="I477">IF(NOT(ISBLANK(A477)),((_xlfn.XLOOKUP(1,(_bbt3[[#All],[ID]]=A477)*(_bbt3[[#All],[METRIC_NAME]]="YLD_YTM_ASK"),_bbt3[[#All],[METRIC_VALUE]])*0.5)+(_xlfn.XLOOKUP(1,(_bbt3[[#All],[ID]]=A477)*(_bbt3[[#All],[METRIC_NAME]]="YLD_YTM_BID"),_bbt3[[#All],[METRIC_VALUE]])*0.5))/100,"")</f>
        <v>4.2985000000000009E-2</v>
      </c>
      <c r="J477">
        <f>IF(ISNA(VLOOKUP(A477,'CloseDL - PriceSaverBBT3'!A:E,5,0)),0,VLOOKUP(A477,'CloseDL - PriceSaverBBT3'!A:E,5,0))</f>
        <v>4.2986482881081998E-2</v>
      </c>
      <c r="K477" s="7">
        <f t="shared" si="75"/>
        <v>0</v>
      </c>
      <c r="L477" s="20">
        <f>IF(Close[[#This Row],[CreatedBy]]="MARINER\SilverAdm",1,0)</f>
        <v>1</v>
      </c>
      <c r="M477" t="str">
        <f>IF(NOT(ISBLANK(A477)),VLOOKUP(A477,'Close - PriceSaver'!A:J,6,0),"")</f>
        <v>DL input prc = 100.53125000  PX_ASK = 100.54687500 PX_BID = 100.51562500</v>
      </c>
      <c r="Q477" t="e">
        <f t="shared" si="67"/>
        <v>#N/A</v>
      </c>
      <c r="R477" t="e">
        <f t="shared" si="68"/>
        <v>#N/A</v>
      </c>
      <c r="S477" t="e">
        <f t="shared" si="69"/>
        <v>#N/A</v>
      </c>
      <c r="T477" s="15" t="e">
        <f t="shared" si="70"/>
        <v>#N/A</v>
      </c>
      <c r="U477" s="18" t="e">
        <f t="shared" si="71"/>
        <v>#N/A</v>
      </c>
      <c r="V477" s="18" t="e">
        <f t="shared" si="72"/>
        <v>#N/A</v>
      </c>
      <c r="W477" s="19" t="e">
        <f t="shared" si="73"/>
        <v>#N/A</v>
      </c>
      <c r="X477" t="e">
        <f>VLOOKUP(P477,Close[[ID]:[CreatedBy]],8,0)</f>
        <v>#N/A</v>
      </c>
    </row>
    <row r="478" spans="1:24" x14ac:dyDescent="0.35">
      <c r="A478" t="str">
        <v>91282CKU4</v>
      </c>
      <c r="B478" t="str">
        <f>IF(NOT(ISBLANK(A478)),VLOOKUP(A478,'BBT3'!A:F,2,0),"")</f>
        <v>Bond</v>
      </c>
      <c r="C478" t="str">
        <f>IF(NOT(ISBLANK(A478)),VLOOKUP(A478,'BBT3'!A:F,3,0),"")</f>
        <v>US91282CKU44</v>
      </c>
      <c r="D478" s="5">
        <f>IF(NOT(ISBLANK(A478)),VLOOKUP(A478,'BBT3'!A:F,4,1),"")</f>
        <v>4.625</v>
      </c>
      <c r="E478">
        <f>IF(NOT(ISBLANK(A478)),VLOOKUP(A478,'BBT3'!A:F,5,0),"")</f>
        <v>47999</v>
      </c>
      <c r="F478" t="str">
        <f>IF(NOT(ISBLANK(A478)),VLOOKUP(A478,'BBT3'!A:F,6,0),"")</f>
        <v>N</v>
      </c>
      <c r="G478" t="str">
        <f t="shared" si="74"/>
        <v>N</v>
      </c>
      <c r="H478">
        <f>IF(NOT(ISBLANK(A478)),VLOOKUP(A478,'Close - PriceSaver'!A:J,5,0),"")</f>
        <v>4.3750674685321102E-2</v>
      </c>
      <c r="I478" s="4" cm="1">
        <f t="array" ref="I478">IF(NOT(ISBLANK(A478)),((_xlfn.XLOOKUP(1,(_bbt3[[#All],[ID]]=A478)*(_bbt3[[#All],[METRIC_NAME]]="YLD_YTM_ASK"),_bbt3[[#All],[METRIC_VALUE]])*0.5)+(_xlfn.XLOOKUP(1,(_bbt3[[#All],[ID]]=A478)*(_bbt3[[#All],[METRIC_NAME]]="YLD_YTM_BID"),_bbt3[[#All],[METRIC_VALUE]])*0.5))/100,"")</f>
        <v>4.3749999999999997E-2</v>
      </c>
      <c r="J478">
        <f>IF(ISNA(VLOOKUP(A478,'CloseDL - PriceSaverBBT3'!A:E,5,0)),0,VLOOKUP(A478,'CloseDL - PriceSaverBBT3'!A:E,5,0))</f>
        <v>4.3750674685321102E-2</v>
      </c>
      <c r="K478" s="7">
        <f t="shared" si="75"/>
        <v>0</v>
      </c>
      <c r="L478" s="20">
        <f>IF(Close[[#This Row],[CreatedBy]]="MARINER\SilverAdm",1,0)</f>
        <v>1</v>
      </c>
      <c r="M478" t="str">
        <f>IF(NOT(ISBLANK(A478)),VLOOKUP(A478,'Close - PriceSaver'!A:J,6,0),"")</f>
        <v>DL input prc = 101.07812500  PX_ASK = 101.09375000 PX_BID = 101.06250000</v>
      </c>
      <c r="Q478" t="e">
        <f t="shared" si="67"/>
        <v>#N/A</v>
      </c>
      <c r="R478" t="e">
        <f t="shared" si="68"/>
        <v>#N/A</v>
      </c>
      <c r="S478" t="e">
        <f t="shared" si="69"/>
        <v>#N/A</v>
      </c>
      <c r="T478" s="15" t="e">
        <f t="shared" si="70"/>
        <v>#N/A</v>
      </c>
      <c r="U478" s="18" t="e">
        <f t="shared" si="71"/>
        <v>#N/A</v>
      </c>
      <c r="V478" s="18" t="e">
        <f t="shared" si="72"/>
        <v>#N/A</v>
      </c>
      <c r="W478" s="19" t="e">
        <f t="shared" si="73"/>
        <v>#N/A</v>
      </c>
      <c r="X478" t="e">
        <f>VLOOKUP(P478,Close[[ID]:[CreatedBy]],8,0)</f>
        <v>#N/A</v>
      </c>
    </row>
    <row r="479" spans="1:24" x14ac:dyDescent="0.35">
      <c r="A479" t="str">
        <v>91282CKV2</v>
      </c>
      <c r="B479" t="str">
        <f>IF(NOT(ISBLANK(A479)),VLOOKUP(A479,'BBT3'!A:F,2,0),"")</f>
        <v>Bond</v>
      </c>
      <c r="C479" t="str">
        <f>IF(NOT(ISBLANK(A479)),VLOOKUP(A479,'BBT3'!A:F,3,0),"")</f>
        <v>US91282CKV27</v>
      </c>
      <c r="D479" s="5">
        <f>IF(NOT(ISBLANK(A479)),VLOOKUP(A479,'BBT3'!A:F,4,1),"")</f>
        <v>4.625</v>
      </c>
      <c r="E479">
        <f>IF(NOT(ISBLANK(A479)),VLOOKUP(A479,'BBT3'!A:F,5,0),"")</f>
        <v>46553</v>
      </c>
      <c r="F479" t="str">
        <f>IF(NOT(ISBLANK(A479)),VLOOKUP(A479,'BBT3'!A:F,6,0),"")</f>
        <v>N</v>
      </c>
      <c r="G479" t="str">
        <f t="shared" si="74"/>
        <v>N</v>
      </c>
      <c r="H479">
        <f>IF(NOT(ISBLANK(A479)),VLOOKUP(A479,'Close - PriceSaver'!A:J,5,0),"")</f>
        <v>4.09986331969611E-2</v>
      </c>
      <c r="I479" s="4" cm="1">
        <f t="array" ref="I479">IF(NOT(ISBLANK(A479)),((_xlfn.XLOOKUP(1,(_bbt3[[#All],[ID]]=A479)*(_bbt3[[#All],[METRIC_NAME]]="YLD_YTM_ASK"),_bbt3[[#All],[METRIC_VALUE]])*0.5)+(_xlfn.XLOOKUP(1,(_bbt3[[#All],[ID]]=A479)*(_bbt3[[#All],[METRIC_NAME]]="YLD_YTM_BID"),_bbt3[[#All],[METRIC_VALUE]])*0.5))/100,"")</f>
        <v>4.0994999999999997E-2</v>
      </c>
      <c r="J479">
        <f>IF(ISNA(VLOOKUP(A479,'CloseDL - PriceSaverBBT3'!A:E,5,0)),0,VLOOKUP(A479,'CloseDL - PriceSaverBBT3'!A:E,5,0))</f>
        <v>4.09986331969611E-2</v>
      </c>
      <c r="K479" s="7">
        <f t="shared" si="75"/>
        <v>0</v>
      </c>
      <c r="L479" s="20">
        <f>IF(Close[[#This Row],[CreatedBy]]="MARINER\SilverAdm",1,0)</f>
        <v>1</v>
      </c>
      <c r="M479" t="str">
        <f>IF(NOT(ISBLANK(A479)),VLOOKUP(A479,'Close - PriceSaver'!A:J,6,0),"")</f>
        <v>DL input prc = 100.45507813  PX_ASK = 100.46875000 PX_BID = 100.44140625</v>
      </c>
      <c r="Q479" t="e">
        <f t="shared" si="67"/>
        <v>#N/A</v>
      </c>
      <c r="R479" t="e">
        <f t="shared" si="68"/>
        <v>#N/A</v>
      </c>
      <c r="S479" t="e">
        <f t="shared" si="69"/>
        <v>#N/A</v>
      </c>
      <c r="T479" s="15" t="e">
        <f t="shared" si="70"/>
        <v>#N/A</v>
      </c>
      <c r="U479" s="18" t="e">
        <f t="shared" si="71"/>
        <v>#N/A</v>
      </c>
      <c r="V479" s="18" t="e">
        <f t="shared" si="72"/>
        <v>#N/A</v>
      </c>
      <c r="W479" s="19" t="e">
        <f t="shared" si="73"/>
        <v>#N/A</v>
      </c>
      <c r="X479" t="e">
        <f>VLOOKUP(P479,Close[[ID]:[CreatedBy]],8,0)</f>
        <v>#N/A</v>
      </c>
    </row>
    <row r="480" spans="1:24" x14ac:dyDescent="0.35">
      <c r="A480" t="str">
        <v>91282CKW0</v>
      </c>
      <c r="B480" t="str">
        <f>IF(NOT(ISBLANK(A480)),VLOOKUP(A480,'BBT3'!A:F,2,0),"")</f>
        <v>Bond</v>
      </c>
      <c r="C480" t="str">
        <f>IF(NOT(ISBLANK(A480)),VLOOKUP(A480,'BBT3'!A:F,3,0),"")</f>
        <v>US91282CKW00</v>
      </c>
      <c r="D480" s="5">
        <f>IF(NOT(ISBLANK(A480)),VLOOKUP(A480,'BBT3'!A:F,4,1),"")</f>
        <v>4.25</v>
      </c>
      <c r="E480">
        <f>IF(NOT(ISBLANK(A480)),VLOOKUP(A480,'BBT3'!A:F,5,0),"")</f>
        <v>48029</v>
      </c>
      <c r="F480" t="str">
        <f>IF(NOT(ISBLANK(A480)),VLOOKUP(A480,'BBT3'!A:F,6,0),"")</f>
        <v>N</v>
      </c>
      <c r="G480" t="str">
        <f t="shared" si="74"/>
        <v>N</v>
      </c>
      <c r="H480">
        <f>IF(NOT(ISBLANK(A480)),VLOOKUP(A480,'Close - PriceSaver'!A:J,5,0),"")</f>
        <v>4.3781944652346902E-2</v>
      </c>
      <c r="I480" s="4" cm="1">
        <f t="array" ref="I480">IF(NOT(ISBLANK(A480)),((_xlfn.XLOOKUP(1,(_bbt3[[#All],[ID]]=A480)*(_bbt3[[#All],[METRIC_NAME]]="YLD_YTM_ASK"),_bbt3[[#All],[METRIC_VALUE]])*0.5)+(_xlfn.XLOOKUP(1,(_bbt3[[#All],[ID]]=A480)*(_bbt3[[#All],[METRIC_NAME]]="YLD_YTM_BID"),_bbt3[[#All],[METRIC_VALUE]])*0.5))/100,"")</f>
        <v>4.3785000000000004E-2</v>
      </c>
      <c r="J480">
        <f>IF(ISNA(VLOOKUP(A480,'CloseDL - PriceSaverBBT3'!A:E,5,0)),0,VLOOKUP(A480,'CloseDL - PriceSaverBBT3'!A:E,5,0))</f>
        <v>4.3781944652346902E-2</v>
      </c>
      <c r="K480" s="7">
        <f t="shared" si="75"/>
        <v>0</v>
      </c>
      <c r="L480" s="20">
        <f>IF(Close[[#This Row],[CreatedBy]]="MARINER\SilverAdm",1,0)</f>
        <v>1</v>
      </c>
      <c r="M480" t="str">
        <f>IF(NOT(ISBLANK(A480)),VLOOKUP(A480,'Close - PriceSaver'!A:J,6,0),"")</f>
        <v>DL input prc = 99.43359375  PX_ASK = 99.44531250 PX_BID = 99.42187500</v>
      </c>
      <c r="Q480" t="e">
        <f t="shared" si="67"/>
        <v>#N/A</v>
      </c>
      <c r="R480" t="e">
        <f t="shared" si="68"/>
        <v>#N/A</v>
      </c>
      <c r="S480" t="e">
        <f t="shared" si="69"/>
        <v>#N/A</v>
      </c>
      <c r="T480" s="15" t="e">
        <f t="shared" si="70"/>
        <v>#N/A</v>
      </c>
      <c r="U480" s="18" t="e">
        <f t="shared" si="71"/>
        <v>#N/A</v>
      </c>
      <c r="V480" s="18" t="e">
        <f t="shared" si="72"/>
        <v>#N/A</v>
      </c>
      <c r="W480" s="19" t="e">
        <f t="shared" si="73"/>
        <v>#N/A</v>
      </c>
      <c r="X480" t="e">
        <f>VLOOKUP(P480,Close[[ID]:[CreatedBy]],8,0)</f>
        <v>#N/A</v>
      </c>
    </row>
    <row r="481" spans="1:24" x14ac:dyDescent="0.35">
      <c r="A481" t="str">
        <v>91282CKX8</v>
      </c>
      <c r="B481" t="str">
        <f>IF(NOT(ISBLANK(A481)),VLOOKUP(A481,'BBT3'!A:F,2,0),"")</f>
        <v>Bond</v>
      </c>
      <c r="C481" t="str">
        <f>IF(NOT(ISBLANK(A481)),VLOOKUP(A481,'BBT3'!A:F,3,0),"")</f>
        <v>US91282CKX82</v>
      </c>
      <c r="D481" s="5">
        <f>IF(NOT(ISBLANK(A481)),VLOOKUP(A481,'BBT3'!A:F,4,1),"")</f>
        <v>4.25</v>
      </c>
      <c r="E481">
        <f>IF(NOT(ISBLANK(A481)),VLOOKUP(A481,'BBT3'!A:F,5,0),"")</f>
        <v>47299</v>
      </c>
      <c r="F481" t="str">
        <f>IF(NOT(ISBLANK(A481)),VLOOKUP(A481,'BBT3'!A:F,6,0),"")</f>
        <v>N</v>
      </c>
      <c r="G481" t="str">
        <f t="shared" si="74"/>
        <v>N</v>
      </c>
      <c r="H481">
        <f>IF(NOT(ISBLANK(A481)),VLOOKUP(A481,'Close - PriceSaver'!A:J,5,0),"")</f>
        <v>4.3034185190408997E-2</v>
      </c>
      <c r="I481" s="4" cm="1">
        <f t="array" ref="I481">IF(NOT(ISBLANK(A481)),((_xlfn.XLOOKUP(1,(_bbt3[[#All],[ID]]=A481)*(_bbt3[[#All],[METRIC_NAME]]="YLD_YTM_ASK"),_bbt3[[#All],[METRIC_VALUE]])*0.5)+(_xlfn.XLOOKUP(1,(_bbt3[[#All],[ID]]=A481)*(_bbt3[[#All],[METRIC_NAME]]="YLD_YTM_BID"),_bbt3[[#All],[METRIC_VALUE]])*0.5))/100,"")</f>
        <v>4.3034999999999997E-2</v>
      </c>
      <c r="J481">
        <f>IF(ISNA(VLOOKUP(A481,'CloseDL - PriceSaverBBT3'!A:E,5,0)),0,VLOOKUP(A481,'CloseDL - PriceSaverBBT3'!A:E,5,0))</f>
        <v>4.3034185190408997E-2</v>
      </c>
      <c r="K481" s="7">
        <f t="shared" si="75"/>
        <v>0</v>
      </c>
      <c r="L481" s="20">
        <f>IF(Close[[#This Row],[CreatedBy]]="MARINER\SilverAdm",1,0)</f>
        <v>1</v>
      </c>
      <c r="M481" t="str">
        <f>IF(NOT(ISBLANK(A481)),VLOOKUP(A481,'Close - PriceSaver'!A:J,6,0),"")</f>
        <v>DL input prc = 99.85156250  PX_ASK = 99.86718750 PX_BID = 99.83593750</v>
      </c>
      <c r="Q481" t="e">
        <f t="shared" si="67"/>
        <v>#N/A</v>
      </c>
      <c r="R481" t="e">
        <f t="shared" si="68"/>
        <v>#N/A</v>
      </c>
      <c r="S481" t="e">
        <f t="shared" si="69"/>
        <v>#N/A</v>
      </c>
      <c r="T481" s="15" t="e">
        <f t="shared" si="70"/>
        <v>#N/A</v>
      </c>
      <c r="U481" s="18" t="e">
        <f t="shared" si="71"/>
        <v>#N/A</v>
      </c>
      <c r="V481" s="18" t="e">
        <f t="shared" si="72"/>
        <v>#N/A</v>
      </c>
      <c r="W481" s="19" t="e">
        <f t="shared" si="73"/>
        <v>#N/A</v>
      </c>
      <c r="X481" t="e">
        <f>VLOOKUP(P481,Close[[ID]:[CreatedBy]],8,0)</f>
        <v>#N/A</v>
      </c>
    </row>
    <row r="482" spans="1:24" x14ac:dyDescent="0.35">
      <c r="A482" t="str">
        <v>91282CKZ3</v>
      </c>
      <c r="B482" t="str">
        <f>IF(NOT(ISBLANK(A482)),VLOOKUP(A482,'BBT3'!A:F,2,0),"")</f>
        <v>Bond</v>
      </c>
      <c r="C482" t="str">
        <f>IF(NOT(ISBLANK(A482)),VLOOKUP(A482,'BBT3'!A:F,3,0),"")</f>
        <v>US91282CKZ31</v>
      </c>
      <c r="D482" s="5">
        <f>IF(NOT(ISBLANK(A482)),VLOOKUP(A482,'BBT3'!A:F,4,1),"")</f>
        <v>4.375</v>
      </c>
      <c r="E482">
        <f>IF(NOT(ISBLANK(A482)),VLOOKUP(A482,'BBT3'!A:F,5,0),"")</f>
        <v>46583</v>
      </c>
      <c r="F482" t="str">
        <f>IF(NOT(ISBLANK(A482)),VLOOKUP(A482,'BBT3'!A:F,6,0),"")</f>
        <v>N</v>
      </c>
      <c r="G482" t="str">
        <f t="shared" si="74"/>
        <v>N</v>
      </c>
      <c r="H482">
        <f>IF(NOT(ISBLANK(A482)),VLOOKUP(A482,'Close - PriceSaver'!A:J,5,0),"")</f>
        <v>4.1586234623076798E-2</v>
      </c>
      <c r="I482" s="4" cm="1">
        <f t="array" ref="I482">IF(NOT(ISBLANK(A482)),((_xlfn.XLOOKUP(1,(_bbt3[[#All],[ID]]=A482)*(_bbt3[[#All],[METRIC_NAME]]="YLD_YTM_ASK"),_bbt3[[#All],[METRIC_VALUE]])*0.5)+(_xlfn.XLOOKUP(1,(_bbt3[[#All],[ID]]=A482)*(_bbt3[[#All],[METRIC_NAME]]="YLD_YTM_BID"),_bbt3[[#All],[METRIC_VALUE]])*0.5))/100,"")</f>
        <v>4.1585000000000004E-2</v>
      </c>
      <c r="J482">
        <f>IF(ISNA(VLOOKUP(A482,'CloseDL - PriceSaverBBT3'!A:E,5,0)),0,VLOOKUP(A482,'CloseDL - PriceSaverBBT3'!A:E,5,0))</f>
        <v>4.1586234623076798E-2</v>
      </c>
      <c r="K482" s="7">
        <f t="shared" si="75"/>
        <v>0</v>
      </c>
      <c r="L482" s="20">
        <f>IF(Close[[#This Row],[CreatedBy]]="MARINER\SilverAdm",1,0)</f>
        <v>1</v>
      </c>
      <c r="M482" t="str">
        <f>IF(NOT(ISBLANK(A482)),VLOOKUP(A482,'Close - PriceSaver'!A:J,6,0),"")</f>
        <v>DL input prc = 100.20507813  PX_ASK = 100.21875000 PX_BID = 100.19140625</v>
      </c>
      <c r="Q482" t="e">
        <f t="shared" si="67"/>
        <v>#N/A</v>
      </c>
      <c r="R482" t="e">
        <f t="shared" si="68"/>
        <v>#N/A</v>
      </c>
      <c r="S482" t="e">
        <f t="shared" si="69"/>
        <v>#N/A</v>
      </c>
      <c r="T482" s="15" t="e">
        <f t="shared" si="70"/>
        <v>#N/A</v>
      </c>
      <c r="U482" s="18" t="e">
        <f t="shared" si="71"/>
        <v>#N/A</v>
      </c>
      <c r="V482" s="18" t="e">
        <f t="shared" si="72"/>
        <v>#N/A</v>
      </c>
      <c r="W482" s="19" t="e">
        <f t="shared" si="73"/>
        <v>#N/A</v>
      </c>
      <c r="X482" t="e">
        <f>VLOOKUP(P482,Close[[ID]:[CreatedBy]],8,0)</f>
        <v>#N/A</v>
      </c>
    </row>
    <row r="483" spans="1:24" x14ac:dyDescent="0.35">
      <c r="A483" t="str">
        <v>91282CLB5</v>
      </c>
      <c r="B483" t="str">
        <f>IF(NOT(ISBLANK(A483)),VLOOKUP(A483,'BBT3'!A:F,2,0),"")</f>
        <v>Bond</v>
      </c>
      <c r="C483" t="str">
        <f>IF(NOT(ISBLANK(A483)),VLOOKUP(A483,'BBT3'!A:F,3,0),"")</f>
        <v>US91282CLB53</v>
      </c>
      <c r="D483" s="5">
        <f>IF(NOT(ISBLANK(A483)),VLOOKUP(A483,'BBT3'!A:F,4,1),"")</f>
        <v>4.375</v>
      </c>
      <c r="E483">
        <f>IF(NOT(ISBLANK(A483)),VLOOKUP(A483,'BBT3'!A:F,5,0),"")</f>
        <v>46234</v>
      </c>
      <c r="F483" t="str">
        <f>IF(NOT(ISBLANK(A483)),VLOOKUP(A483,'BBT3'!A:F,6,0),"")</f>
        <v>N</v>
      </c>
      <c r="G483" t="str">
        <f t="shared" si="74"/>
        <v>N</v>
      </c>
      <c r="H483">
        <f>IF(NOT(ISBLANK(A483)),VLOOKUP(A483,'Close - PriceSaver'!A:J,5,0),"")</f>
        <v>3.5156423856076098E-2</v>
      </c>
      <c r="I483" s="4" cm="1">
        <f t="array" ref="I483">IF(NOT(ISBLANK(A483)),((_xlfn.XLOOKUP(1,(_bbt3[[#All],[ID]]=A483)*(_bbt3[[#All],[METRIC_NAME]]="YLD_YTM_ASK"),_bbt3[[#All],[METRIC_VALUE]])*0.5)+(_xlfn.XLOOKUP(1,(_bbt3[[#All],[ID]]=A483)*(_bbt3[[#All],[METRIC_NAME]]="YLD_YTM_BID"),_bbt3[[#All],[METRIC_VALUE]])*0.5))/100,"")</f>
        <v>3.5159999999999997E-2</v>
      </c>
      <c r="J483">
        <f>IF(ISNA(VLOOKUP(A483,'CloseDL - PriceSaverBBT3'!A:E,5,0)),0,VLOOKUP(A483,'CloseDL - PriceSaverBBT3'!A:E,5,0))</f>
        <v>3.5156423856076098E-2</v>
      </c>
      <c r="K483" s="7">
        <f t="shared" si="75"/>
        <v>0</v>
      </c>
      <c r="L483" s="20">
        <f>IF(Close[[#This Row],[CreatedBy]]="MARINER\SilverAdm",1,0)</f>
        <v>1</v>
      </c>
      <c r="M483" t="str">
        <f>IF(NOT(ISBLANK(A483)),VLOOKUP(A483,'Close - PriceSaver'!A:J,6,0),"")</f>
        <v>DL input prc = 100.01953125  PX_ASK = 100.02734375 PX_BID = 100.01171875</v>
      </c>
      <c r="Q483" t="e">
        <f t="shared" si="67"/>
        <v>#N/A</v>
      </c>
      <c r="R483" t="e">
        <f t="shared" si="68"/>
        <v>#N/A</v>
      </c>
      <c r="S483" t="e">
        <f t="shared" si="69"/>
        <v>#N/A</v>
      </c>
      <c r="T483" s="15" t="e">
        <f t="shared" si="70"/>
        <v>#N/A</v>
      </c>
      <c r="U483" s="18" t="e">
        <f t="shared" si="71"/>
        <v>#N/A</v>
      </c>
      <c r="V483" s="18" t="e">
        <f t="shared" si="72"/>
        <v>#N/A</v>
      </c>
      <c r="W483" s="19" t="e">
        <f t="shared" si="73"/>
        <v>#N/A</v>
      </c>
      <c r="X483" t="e">
        <f>VLOOKUP(P483,Close[[ID]:[CreatedBy]],8,0)</f>
        <v>#N/A</v>
      </c>
    </row>
    <row r="484" spans="1:24" x14ac:dyDescent="0.35">
      <c r="A484" t="str">
        <v>91282CLC3</v>
      </c>
      <c r="B484" t="str">
        <f>IF(NOT(ISBLANK(A484)),VLOOKUP(A484,'BBT3'!A:F,2,0),"")</f>
        <v>Bond</v>
      </c>
      <c r="C484" t="str">
        <f>IF(NOT(ISBLANK(A484)),VLOOKUP(A484,'BBT3'!A:F,3,0),"")</f>
        <v>US91282CLC37</v>
      </c>
      <c r="D484" s="5">
        <f>IF(NOT(ISBLANK(A484)),VLOOKUP(A484,'BBT3'!A:F,4,1),"")</f>
        <v>4</v>
      </c>
      <c r="E484">
        <f>IF(NOT(ISBLANK(A484)),VLOOKUP(A484,'BBT3'!A:F,5,0),"")</f>
        <v>47330</v>
      </c>
      <c r="F484" t="str">
        <f>IF(NOT(ISBLANK(A484)),VLOOKUP(A484,'BBT3'!A:F,6,0),"")</f>
        <v>N</v>
      </c>
      <c r="G484" t="str">
        <f t="shared" si="74"/>
        <v>N</v>
      </c>
      <c r="H484">
        <f>IF(NOT(ISBLANK(A484)),VLOOKUP(A484,'Close - PriceSaver'!A:J,5,0),"")</f>
        <v>4.3028934602239298E-2</v>
      </c>
      <c r="I484" s="4" cm="1">
        <f t="array" ref="I484">IF(NOT(ISBLANK(A484)),((_xlfn.XLOOKUP(1,(_bbt3[[#All],[ID]]=A484)*(_bbt3[[#All],[METRIC_NAME]]="YLD_YTM_ASK"),_bbt3[[#All],[METRIC_VALUE]])*0.5)+(_xlfn.XLOOKUP(1,(_bbt3[[#All],[ID]]=A484)*(_bbt3[[#All],[METRIC_NAME]]="YLD_YTM_BID"),_bbt3[[#All],[METRIC_VALUE]])*0.5))/100,"")</f>
        <v>4.3029999999999999E-2</v>
      </c>
      <c r="J484">
        <f>IF(ISNA(VLOOKUP(A484,'CloseDL - PriceSaverBBT3'!A:E,5,0)),0,VLOOKUP(A484,'CloseDL - PriceSaverBBT3'!A:E,5,0))</f>
        <v>4.3028934602239298E-2</v>
      </c>
      <c r="K484" s="7">
        <f t="shared" si="75"/>
        <v>0</v>
      </c>
      <c r="L484" s="20">
        <f>IF(Close[[#This Row],[CreatedBy]]="MARINER\SilverAdm",1,0)</f>
        <v>1</v>
      </c>
      <c r="M484" t="str">
        <f>IF(NOT(ISBLANK(A484)),VLOOKUP(A484,'Close - PriceSaver'!A:J,6,0),"")</f>
        <v>DL input prc = 99.14843750  PX_ASK = 99.15625000 PX_BID = 99.14062500</v>
      </c>
      <c r="Q484" t="e">
        <f t="shared" si="67"/>
        <v>#N/A</v>
      </c>
      <c r="R484" t="e">
        <f t="shared" si="68"/>
        <v>#N/A</v>
      </c>
      <c r="S484" t="e">
        <f t="shared" si="69"/>
        <v>#N/A</v>
      </c>
      <c r="T484" s="15" t="e">
        <f t="shared" si="70"/>
        <v>#N/A</v>
      </c>
      <c r="U484" s="18" t="e">
        <f t="shared" si="71"/>
        <v>#N/A</v>
      </c>
      <c r="V484" s="18" t="e">
        <f t="shared" si="72"/>
        <v>#N/A</v>
      </c>
      <c r="W484" s="19" t="e">
        <f t="shared" si="73"/>
        <v>#N/A</v>
      </c>
      <c r="X484" t="e">
        <f>VLOOKUP(P484,Close[[ID]:[CreatedBy]],8,0)</f>
        <v>#N/A</v>
      </c>
    </row>
    <row r="485" spans="1:24" x14ac:dyDescent="0.35">
      <c r="A485" t="str">
        <v>91282CLD1</v>
      </c>
      <c r="B485" t="str">
        <f>IF(NOT(ISBLANK(A485)),VLOOKUP(A485,'BBT3'!A:F,2,0),"")</f>
        <v>Bond</v>
      </c>
      <c r="C485" t="str">
        <f>IF(NOT(ISBLANK(A485)),VLOOKUP(A485,'BBT3'!A:F,3,0),"")</f>
        <v>US91282CLD10</v>
      </c>
      <c r="D485" s="5">
        <f>IF(NOT(ISBLANK(A485)),VLOOKUP(A485,'BBT3'!A:F,4,1),"")</f>
        <v>4.125</v>
      </c>
      <c r="E485">
        <f>IF(NOT(ISBLANK(A485)),VLOOKUP(A485,'BBT3'!A:F,5,0),"")</f>
        <v>48060</v>
      </c>
      <c r="F485" t="str">
        <f>IF(NOT(ISBLANK(A485)),VLOOKUP(A485,'BBT3'!A:F,6,0),"")</f>
        <v>N</v>
      </c>
      <c r="G485" t="str">
        <f t="shared" si="74"/>
        <v>N</v>
      </c>
      <c r="H485">
        <f>IF(NOT(ISBLANK(A485)),VLOOKUP(A485,'Close - PriceSaver'!A:J,5,0),"")</f>
        <v>4.3792416870560902E-2</v>
      </c>
      <c r="I485" s="4" cm="1">
        <f t="array" ref="I485">IF(NOT(ISBLANK(A485)),((_xlfn.XLOOKUP(1,(_bbt3[[#All],[ID]]=A485)*(_bbt3[[#All],[METRIC_NAME]]="YLD_YTM_ASK"),_bbt3[[#All],[METRIC_VALUE]])*0.5)+(_xlfn.XLOOKUP(1,(_bbt3[[#All],[ID]]=A485)*(_bbt3[[#All],[METRIC_NAME]]="YLD_YTM_BID"),_bbt3[[#All],[METRIC_VALUE]])*0.5))/100,"")</f>
        <v>4.3795000000000001E-2</v>
      </c>
      <c r="J485">
        <f>IF(ISNA(VLOOKUP(A485,'CloseDL - PriceSaverBBT3'!A:E,5,0)),0,VLOOKUP(A485,'CloseDL - PriceSaverBBT3'!A:E,5,0))</f>
        <v>4.3792416870560902E-2</v>
      </c>
      <c r="K485" s="7">
        <f t="shared" si="75"/>
        <v>0</v>
      </c>
      <c r="L485" s="20">
        <f>IF(Close[[#This Row],[CreatedBy]]="MARINER\SilverAdm",1,0)</f>
        <v>1</v>
      </c>
      <c r="M485" t="str">
        <f>IF(NOT(ISBLANK(A485)),VLOOKUP(A485,'Close - PriceSaver'!A:J,6,0),"")</f>
        <v>DL input prc = 98.86328125  PX_ASK = 98.87500000 PX_BID = 98.85156250</v>
      </c>
      <c r="Q485" t="e">
        <f t="shared" si="67"/>
        <v>#N/A</v>
      </c>
      <c r="R485" t="e">
        <f t="shared" si="68"/>
        <v>#N/A</v>
      </c>
      <c r="S485" t="e">
        <f t="shared" si="69"/>
        <v>#N/A</v>
      </c>
      <c r="T485" s="15" t="e">
        <f t="shared" si="70"/>
        <v>#N/A</v>
      </c>
      <c r="U485" s="18" t="e">
        <f t="shared" si="71"/>
        <v>#N/A</v>
      </c>
      <c r="V485" s="18" t="e">
        <f t="shared" si="72"/>
        <v>#N/A</v>
      </c>
      <c r="W485" s="19" t="e">
        <f t="shared" si="73"/>
        <v>#N/A</v>
      </c>
      <c r="X485" t="e">
        <f>VLOOKUP(P485,Close[[ID]:[CreatedBy]],8,0)</f>
        <v>#N/A</v>
      </c>
    </row>
    <row r="486" spans="1:24" x14ac:dyDescent="0.35">
      <c r="A486" t="str">
        <v>91282CLE9</v>
      </c>
      <c r="B486" t="str">
        <f>IF(NOT(ISBLANK(A486)),VLOOKUP(A486,'BBT3'!A:F,2,0),"")</f>
        <v>Bond</v>
      </c>
      <c r="C486" t="str">
        <f>IF(NOT(ISBLANK(A486)),VLOOKUP(A486,'BBT3'!A:F,3,0),"")</f>
        <v>US91282CLE92</v>
      </c>
      <c r="D486" s="5">
        <f>IF(NOT(ISBLANK(A486)),VLOOKUP(A486,'BBT3'!A:F,4,1),"")</f>
        <v>1.875</v>
      </c>
      <c r="E486">
        <f>IF(NOT(ISBLANK(A486)),VLOOKUP(A486,'BBT3'!A:F,5,0),"")</f>
        <v>49140</v>
      </c>
      <c r="F486" t="str">
        <f>IF(NOT(ISBLANK(A486)),VLOOKUP(A486,'BBT3'!A:F,6,0),"")</f>
        <v>Y</v>
      </c>
      <c r="G486" t="str">
        <f t="shared" si="74"/>
        <v>N</v>
      </c>
      <c r="H486">
        <f>IF(NOT(ISBLANK(A486)),VLOOKUP(A486,'Close - PriceSaver'!A:J,5,0),"")</f>
        <v>2.2016336146442099E-2</v>
      </c>
      <c r="I486" s="4" cm="1">
        <f t="array" ref="I486">IF(NOT(ISBLANK(A486)),((_xlfn.XLOOKUP(1,(_bbt3[[#All],[ID]]=A486)*(_bbt3[[#All],[METRIC_NAME]]="YLD_YTM_ASK"),_bbt3[[#All],[METRIC_VALUE]])*0.5)+(_xlfn.XLOOKUP(1,(_bbt3[[#All],[ID]]=A486)*(_bbt3[[#All],[METRIC_NAME]]="YLD_YTM_BID"),_bbt3[[#All],[METRIC_VALUE]])*0.5))/100,"")</f>
        <v>2.2015000000000003E-2</v>
      </c>
      <c r="J486">
        <f>IF(ISNA(VLOOKUP(A486,'CloseDL - PriceSaverBBT3'!A:E,5,0)),0,VLOOKUP(A486,'CloseDL - PriceSaverBBT3'!A:E,5,0))</f>
        <v>2.2016336146442099E-2</v>
      </c>
      <c r="K486" s="7">
        <f t="shared" si="75"/>
        <v>0</v>
      </c>
      <c r="L486" s="20">
        <f>IF(Close[[#This Row],[CreatedBy]]="MARINER\SilverAdm",1,0)</f>
        <v>1</v>
      </c>
      <c r="M486" t="str">
        <f>IF(NOT(ISBLANK(A486)),VLOOKUP(A486,'Close - PriceSaver'!A:J,6,0),"")</f>
        <v>DL input prc = 97.62109375  PX_ASK = 97.64062500 PX_BID = 97.60156250</v>
      </c>
      <c r="Q486" t="e">
        <f t="shared" si="67"/>
        <v>#N/A</v>
      </c>
      <c r="R486" t="e">
        <f t="shared" si="68"/>
        <v>#N/A</v>
      </c>
      <c r="S486" t="e">
        <f t="shared" si="69"/>
        <v>#N/A</v>
      </c>
      <c r="T486" s="15" t="e">
        <f t="shared" si="70"/>
        <v>#N/A</v>
      </c>
      <c r="U486" s="18" t="e">
        <f t="shared" si="71"/>
        <v>#N/A</v>
      </c>
      <c r="V486" s="18" t="e">
        <f t="shared" si="72"/>
        <v>#N/A</v>
      </c>
      <c r="W486" s="19" t="e">
        <f t="shared" si="73"/>
        <v>#N/A</v>
      </c>
      <c r="X486" t="e">
        <f>VLOOKUP(P486,Close[[ID]:[CreatedBy]],8,0)</f>
        <v>#N/A</v>
      </c>
    </row>
    <row r="487" spans="1:24" x14ac:dyDescent="0.35">
      <c r="A487" t="str">
        <v>91282CLF6</v>
      </c>
      <c r="B487" t="str">
        <f>IF(NOT(ISBLANK(A487)),VLOOKUP(A487,'BBT3'!A:F,2,0),"")</f>
        <v>Bond</v>
      </c>
      <c r="C487" t="str">
        <f>IF(NOT(ISBLANK(A487)),VLOOKUP(A487,'BBT3'!A:F,3,0),"")</f>
        <v>US91282CLF67</v>
      </c>
      <c r="D487" s="5">
        <f>IF(NOT(ISBLANK(A487)),VLOOKUP(A487,'BBT3'!A:F,4,1),"")</f>
        <v>3.875</v>
      </c>
      <c r="E487">
        <f>IF(NOT(ISBLANK(A487)),VLOOKUP(A487,'BBT3'!A:F,5,0),"")</f>
        <v>49171</v>
      </c>
      <c r="F487" t="str">
        <f>IF(NOT(ISBLANK(A487)),VLOOKUP(A487,'BBT3'!A:F,6,0),"")</f>
        <v>N</v>
      </c>
      <c r="G487" t="str">
        <f t="shared" si="74"/>
        <v>N</v>
      </c>
      <c r="H487">
        <f>IF(NOT(ISBLANK(A487)),VLOOKUP(A487,'Close - PriceSaver'!A:J,5,0),"")</f>
        <v>4.5533046730384899E-2</v>
      </c>
      <c r="I487" s="4" cm="1">
        <f t="array" ref="I487">IF(NOT(ISBLANK(A487)),((_xlfn.XLOOKUP(1,(_bbt3[[#All],[ID]]=A487)*(_bbt3[[#All],[METRIC_NAME]]="YLD_YTM_ASK"),_bbt3[[#All],[METRIC_VALUE]])*0.5)+(_xlfn.XLOOKUP(1,(_bbt3[[#All],[ID]]=A487)*(_bbt3[[#All],[METRIC_NAME]]="YLD_YTM_BID"),_bbt3[[#All],[METRIC_VALUE]])*0.5))/100,"")</f>
        <v>4.5534999999999999E-2</v>
      </c>
      <c r="J487">
        <f>IF(ISNA(VLOOKUP(A487,'CloseDL - PriceSaverBBT3'!A:E,5,0)),0,VLOOKUP(A487,'CloseDL - PriceSaverBBT3'!A:E,5,0))</f>
        <v>4.5533046730384899E-2</v>
      </c>
      <c r="K487" s="7">
        <f t="shared" si="75"/>
        <v>0</v>
      </c>
      <c r="L487" s="20">
        <f>IF(Close[[#This Row],[CreatedBy]]="MARINER\SilverAdm",1,0)</f>
        <v>1</v>
      </c>
      <c r="M487" t="str">
        <f>IF(NOT(ISBLANK(A487)),VLOOKUP(A487,'Close - PriceSaver'!A:J,6,0),"")</f>
        <v>DL input prc = 95.46093750  PX_ASK = 95.46875000 PX_BID = 95.45312500</v>
      </c>
      <c r="Q487" t="e">
        <f t="shared" si="67"/>
        <v>#N/A</v>
      </c>
      <c r="R487" t="e">
        <f t="shared" si="68"/>
        <v>#N/A</v>
      </c>
      <c r="S487" t="e">
        <f t="shared" si="69"/>
        <v>#N/A</v>
      </c>
      <c r="T487" s="15" t="e">
        <f t="shared" si="70"/>
        <v>#N/A</v>
      </c>
      <c r="U487" s="18" t="e">
        <f t="shared" si="71"/>
        <v>#N/A</v>
      </c>
      <c r="V487" s="18" t="e">
        <f t="shared" si="72"/>
        <v>#N/A</v>
      </c>
      <c r="W487" s="19" t="e">
        <f t="shared" si="73"/>
        <v>#N/A</v>
      </c>
      <c r="X487" t="e">
        <f>VLOOKUP(P487,Close[[ID]:[CreatedBy]],8,0)</f>
        <v>#N/A</v>
      </c>
    </row>
    <row r="488" spans="1:24" x14ac:dyDescent="0.35">
      <c r="A488" t="str">
        <v>91282CLG4</v>
      </c>
      <c r="B488" t="str">
        <f>IF(NOT(ISBLANK(A488)),VLOOKUP(A488,'BBT3'!A:F,2,0),"")</f>
        <v>Bond</v>
      </c>
      <c r="C488" t="str">
        <f>IF(NOT(ISBLANK(A488)),VLOOKUP(A488,'BBT3'!A:F,3,0),"")</f>
        <v>US91282CLG41</v>
      </c>
      <c r="D488" s="5">
        <f>IF(NOT(ISBLANK(A488)),VLOOKUP(A488,'BBT3'!A:F,4,1),"")</f>
        <v>3.75</v>
      </c>
      <c r="E488">
        <f>IF(NOT(ISBLANK(A488)),VLOOKUP(A488,'BBT3'!A:F,5,0),"")</f>
        <v>46614</v>
      </c>
      <c r="F488" t="str">
        <f>IF(NOT(ISBLANK(A488)),VLOOKUP(A488,'BBT3'!A:F,6,0),"")</f>
        <v>N</v>
      </c>
      <c r="G488" t="str">
        <f t="shared" si="74"/>
        <v>N</v>
      </c>
      <c r="H488">
        <f>IF(NOT(ISBLANK(A488)),VLOOKUP(A488,'Close - PriceSaver'!A:J,5,0),"")</f>
        <v>4.1810782695913699E-2</v>
      </c>
      <c r="I488" s="4" cm="1">
        <f t="array" ref="I488">IF(NOT(ISBLANK(A488)),((_xlfn.XLOOKUP(1,(_bbt3[[#All],[ID]]=A488)*(_bbt3[[#All],[METRIC_NAME]]="YLD_YTM_ASK"),_bbt3[[#All],[METRIC_VALUE]])*0.5)+(_xlfn.XLOOKUP(1,(_bbt3[[#All],[ID]]=A488)*(_bbt3[[#All],[METRIC_NAME]]="YLD_YTM_BID"),_bbt3[[#All],[METRIC_VALUE]])*0.5))/100,"")</f>
        <v>4.181E-2</v>
      </c>
      <c r="J488">
        <f>IF(ISNA(VLOOKUP(A488,'CloseDL - PriceSaverBBT3'!A:E,5,0)),0,VLOOKUP(A488,'CloseDL - PriceSaverBBT3'!A:E,5,0))</f>
        <v>4.1810782695913699E-2</v>
      </c>
      <c r="K488" s="7">
        <f t="shared" si="75"/>
        <v>0</v>
      </c>
      <c r="L488" s="20">
        <f>IF(Close[[#This Row],[CreatedBy]]="MARINER\SilverAdm",1,0)</f>
        <v>1</v>
      </c>
      <c r="M488" t="str">
        <f>IF(NOT(ISBLANK(A488)),VLOOKUP(A488,'Close - PriceSaver'!A:J,6,0),"")</f>
        <v>DL input prc = 99.55273438  PX_ASK = 99.56640625 PX_BID = 99.53906250</v>
      </c>
      <c r="Q488" t="e">
        <f t="shared" si="67"/>
        <v>#N/A</v>
      </c>
      <c r="R488" t="e">
        <f t="shared" si="68"/>
        <v>#N/A</v>
      </c>
      <c r="S488" t="e">
        <f t="shared" si="69"/>
        <v>#N/A</v>
      </c>
      <c r="T488" s="15" t="e">
        <f t="shared" si="70"/>
        <v>#N/A</v>
      </c>
      <c r="U488" s="18" t="e">
        <f t="shared" si="71"/>
        <v>#N/A</v>
      </c>
      <c r="V488" s="18" t="e">
        <f t="shared" si="72"/>
        <v>#N/A</v>
      </c>
      <c r="W488" s="19" t="e">
        <f t="shared" si="73"/>
        <v>#N/A</v>
      </c>
      <c r="X488" t="e">
        <f>VLOOKUP(P488,Close[[ID]:[CreatedBy]],8,0)</f>
        <v>#N/A</v>
      </c>
    </row>
    <row r="489" spans="1:24" x14ac:dyDescent="0.35">
      <c r="A489" t="str">
        <v>91282CLH2</v>
      </c>
      <c r="B489" t="str">
        <f>IF(NOT(ISBLANK(A489)),VLOOKUP(A489,'BBT3'!A:F,2,0),"")</f>
        <v>Bond</v>
      </c>
      <c r="C489" t="str">
        <f>IF(NOT(ISBLANK(A489)),VLOOKUP(A489,'BBT3'!A:F,3,0),"")</f>
        <v>US91282CLH24</v>
      </c>
      <c r="D489" s="5">
        <f>IF(NOT(ISBLANK(A489)),VLOOKUP(A489,'BBT3'!A:F,4,1),"")</f>
        <v>3.75</v>
      </c>
      <c r="E489">
        <f>IF(NOT(ISBLANK(A489)),VLOOKUP(A489,'BBT3'!A:F,5,0),"")</f>
        <v>46265</v>
      </c>
      <c r="F489" t="str">
        <f>IF(NOT(ISBLANK(A489)),VLOOKUP(A489,'BBT3'!A:F,6,0),"")</f>
        <v>N</v>
      </c>
      <c r="G489" t="str">
        <f t="shared" si="74"/>
        <v>N</v>
      </c>
      <c r="H489">
        <f>IF(NOT(ISBLANK(A489)),VLOOKUP(A489,'Close - PriceSaver'!A:J,5,0),"")</f>
        <v>3.7491117842069398E-2</v>
      </c>
      <c r="I489" s="4" cm="1">
        <f t="array" ref="I489">IF(NOT(ISBLANK(A489)),((_xlfn.XLOOKUP(1,(_bbt3[[#All],[ID]]=A489)*(_bbt3[[#All],[METRIC_NAME]]="YLD_YTM_ASK"),_bbt3[[#All],[METRIC_VALUE]])*0.5)+(_xlfn.XLOOKUP(1,(_bbt3[[#All],[ID]]=A489)*(_bbt3[[#All],[METRIC_NAME]]="YLD_YTM_BID"),_bbt3[[#All],[METRIC_VALUE]])*0.5))/100,"")</f>
        <v>3.7490000000000002E-2</v>
      </c>
      <c r="J489">
        <f>IF(ISNA(VLOOKUP(A489,'CloseDL - PriceSaverBBT3'!A:E,5,0)),0,VLOOKUP(A489,'CloseDL - PriceSaverBBT3'!A:E,5,0))</f>
        <v>3.7491117842069398E-2</v>
      </c>
      <c r="K489" s="7">
        <f t="shared" si="75"/>
        <v>0</v>
      </c>
      <c r="L489" s="20">
        <f>IF(Close[[#This Row],[CreatedBy]]="MARINER\SilverAdm",1,0)</f>
        <v>1</v>
      </c>
      <c r="M489" t="str">
        <f>IF(NOT(ISBLANK(A489)),VLOOKUP(A489,'Close - PriceSaver'!A:J,6,0),"")</f>
        <v>DL input prc = 99.99414063  PX_ASK = 100.00390625 PX_BID = 99.98437500</v>
      </c>
      <c r="Q489" t="e">
        <f t="shared" si="67"/>
        <v>#N/A</v>
      </c>
      <c r="R489" t="e">
        <f t="shared" si="68"/>
        <v>#N/A</v>
      </c>
      <c r="S489" t="e">
        <f t="shared" si="69"/>
        <v>#N/A</v>
      </c>
      <c r="T489" s="15" t="e">
        <f t="shared" si="70"/>
        <v>#N/A</v>
      </c>
      <c r="U489" s="18" t="e">
        <f t="shared" si="71"/>
        <v>#N/A</v>
      </c>
      <c r="V489" s="18" t="e">
        <f t="shared" si="72"/>
        <v>#N/A</v>
      </c>
      <c r="W489" s="19" t="e">
        <f t="shared" si="73"/>
        <v>#N/A</v>
      </c>
      <c r="X489" t="e">
        <f>VLOOKUP(P489,Close[[ID]:[CreatedBy]],8,0)</f>
        <v>#N/A</v>
      </c>
    </row>
    <row r="490" spans="1:24" x14ac:dyDescent="0.35">
      <c r="A490" t="str">
        <v>91282CLJ8</v>
      </c>
      <c r="B490" t="str">
        <f>IF(NOT(ISBLANK(A490)),VLOOKUP(A490,'BBT3'!A:F,2,0),"")</f>
        <v>Bond</v>
      </c>
      <c r="C490" t="str">
        <f>IF(NOT(ISBLANK(A490)),VLOOKUP(A490,'BBT3'!A:F,3,0),"")</f>
        <v>US91282CLJ89</v>
      </c>
      <c r="D490" s="5">
        <f>IF(NOT(ISBLANK(A490)),VLOOKUP(A490,'BBT3'!A:F,4,1),"")</f>
        <v>3.75</v>
      </c>
      <c r="E490">
        <f>IF(NOT(ISBLANK(A490)),VLOOKUP(A490,'BBT3'!A:F,5,0),"")</f>
        <v>48091</v>
      </c>
      <c r="F490" t="str">
        <f>IF(NOT(ISBLANK(A490)),VLOOKUP(A490,'BBT3'!A:F,6,0),"")</f>
        <v>N</v>
      </c>
      <c r="G490" t="str">
        <f t="shared" si="74"/>
        <v>N</v>
      </c>
      <c r="H490">
        <f>IF(NOT(ISBLANK(A490)),VLOOKUP(A490,'Close - PriceSaver'!A:J,5,0),"")</f>
        <v>4.3869891647314599E-2</v>
      </c>
      <c r="I490" s="4" cm="1">
        <f t="array" ref="I490">IF(NOT(ISBLANK(A490)),((_xlfn.XLOOKUP(1,(_bbt3[[#All],[ID]]=A490)*(_bbt3[[#All],[METRIC_NAME]]="YLD_YTM_ASK"),_bbt3[[#All],[METRIC_VALUE]])*0.5)+(_xlfn.XLOOKUP(1,(_bbt3[[#All],[ID]]=A490)*(_bbt3[[#All],[METRIC_NAME]]="YLD_YTM_BID"),_bbt3[[#All],[METRIC_VALUE]])*0.5))/100,"")</f>
        <v>4.3865000000000001E-2</v>
      </c>
      <c r="J490">
        <f>IF(ISNA(VLOOKUP(A490,'CloseDL - PriceSaverBBT3'!A:E,5,0)),0,VLOOKUP(A490,'CloseDL - PriceSaverBBT3'!A:E,5,0))</f>
        <v>4.3869891647314599E-2</v>
      </c>
      <c r="K490" s="7">
        <f t="shared" si="75"/>
        <v>0</v>
      </c>
      <c r="L490" s="20">
        <f>IF(Close[[#This Row],[CreatedBy]]="MARINER\SilverAdm",1,0)</f>
        <v>1</v>
      </c>
      <c r="M490" t="str">
        <f>IF(NOT(ISBLANK(A490)),VLOOKUP(A490,'Close - PriceSaver'!A:J,6,0),"")</f>
        <v>DL input prc = 97.10937500  PX_ASK = 97.12500000 PX_BID = 97.09375000</v>
      </c>
      <c r="Q490" t="e">
        <f t="shared" si="67"/>
        <v>#N/A</v>
      </c>
      <c r="R490" t="e">
        <f t="shared" si="68"/>
        <v>#N/A</v>
      </c>
      <c r="S490" t="e">
        <f t="shared" si="69"/>
        <v>#N/A</v>
      </c>
      <c r="T490" s="15" t="e">
        <f t="shared" si="70"/>
        <v>#N/A</v>
      </c>
      <c r="U490" s="18" t="e">
        <f t="shared" si="71"/>
        <v>#N/A</v>
      </c>
      <c r="V490" s="18" t="e">
        <f t="shared" si="72"/>
        <v>#N/A</v>
      </c>
      <c r="W490" s="19" t="e">
        <f t="shared" si="73"/>
        <v>#N/A</v>
      </c>
      <c r="X490" t="e">
        <f>VLOOKUP(P490,Close[[ID]:[CreatedBy]],8,0)</f>
        <v>#N/A</v>
      </c>
    </row>
    <row r="491" spans="1:24" x14ac:dyDescent="0.35">
      <c r="A491" t="str">
        <v>91282CLK5</v>
      </c>
      <c r="B491" t="str">
        <f>IF(NOT(ISBLANK(A491)),VLOOKUP(A491,'BBT3'!A:F,2,0),"")</f>
        <v>Bond</v>
      </c>
      <c r="C491" t="str">
        <f>IF(NOT(ISBLANK(A491)),VLOOKUP(A491,'BBT3'!A:F,3,0),"")</f>
        <v>US91282CLK52</v>
      </c>
      <c r="D491" s="5">
        <f>IF(NOT(ISBLANK(A491)),VLOOKUP(A491,'BBT3'!A:F,4,1),"")</f>
        <v>3.625</v>
      </c>
      <c r="E491">
        <f>IF(NOT(ISBLANK(A491)),VLOOKUP(A491,'BBT3'!A:F,5,0),"")</f>
        <v>47361</v>
      </c>
      <c r="F491" t="str">
        <f>IF(NOT(ISBLANK(A491)),VLOOKUP(A491,'BBT3'!A:F,6,0),"")</f>
        <v>N</v>
      </c>
      <c r="G491" t="str">
        <f t="shared" si="74"/>
        <v>N</v>
      </c>
      <c r="H491">
        <f>IF(NOT(ISBLANK(A491)),VLOOKUP(A491,'Close - PriceSaver'!A:J,5,0),"")</f>
        <v>4.3086645428193099E-2</v>
      </c>
      <c r="I491" s="4" cm="1">
        <f t="array" ref="I491">IF(NOT(ISBLANK(A491)),((_xlfn.XLOOKUP(1,(_bbt3[[#All],[ID]]=A491)*(_bbt3[[#All],[METRIC_NAME]]="YLD_YTM_ASK"),_bbt3[[#All],[METRIC_VALUE]])*0.5)+(_xlfn.XLOOKUP(1,(_bbt3[[#All],[ID]]=A491)*(_bbt3[[#All],[METRIC_NAME]]="YLD_YTM_BID"),_bbt3[[#All],[METRIC_VALUE]])*0.5))/100,"")</f>
        <v>4.3089999999999989E-2</v>
      </c>
      <c r="J491">
        <f>IF(ISNA(VLOOKUP(A491,'CloseDL - PriceSaverBBT3'!A:E,5,0)),0,VLOOKUP(A491,'CloseDL - PriceSaverBBT3'!A:E,5,0))</f>
        <v>4.3086645428193099E-2</v>
      </c>
      <c r="K491" s="7">
        <f t="shared" si="75"/>
        <v>0</v>
      </c>
      <c r="L491" s="20">
        <f>IF(Close[[#This Row],[CreatedBy]]="MARINER\SilverAdm",1,0)</f>
        <v>1</v>
      </c>
      <c r="M491" t="str">
        <f>IF(NOT(ISBLANK(A491)),VLOOKUP(A491,'Close - PriceSaver'!A:J,6,0),"")</f>
        <v>DL input prc = 98.02734375  PX_ASK = 98.03906250 PX_BID = 98.01562500</v>
      </c>
      <c r="Q491" t="e">
        <f t="shared" si="67"/>
        <v>#N/A</v>
      </c>
      <c r="R491" t="e">
        <f t="shared" si="68"/>
        <v>#N/A</v>
      </c>
      <c r="S491" t="e">
        <f t="shared" si="69"/>
        <v>#N/A</v>
      </c>
      <c r="T491" s="15" t="e">
        <f t="shared" si="70"/>
        <v>#N/A</v>
      </c>
      <c r="U491" s="18" t="e">
        <f t="shared" si="71"/>
        <v>#N/A</v>
      </c>
      <c r="V491" s="18" t="e">
        <f t="shared" si="72"/>
        <v>#N/A</v>
      </c>
      <c r="W491" s="19" t="e">
        <f t="shared" si="73"/>
        <v>#N/A</v>
      </c>
      <c r="X491" t="e">
        <f>VLOOKUP(P491,Close[[ID]:[CreatedBy]],8,0)</f>
        <v>#N/A</v>
      </c>
    </row>
    <row r="492" spans="1:24" x14ac:dyDescent="0.35">
      <c r="A492" t="str">
        <v>91282CLL3</v>
      </c>
      <c r="B492" t="str">
        <f>IF(NOT(ISBLANK(A492)),VLOOKUP(A492,'BBT3'!A:F,2,0),"")</f>
        <v>Bond</v>
      </c>
      <c r="C492" t="str">
        <f>IF(NOT(ISBLANK(A492)),VLOOKUP(A492,'BBT3'!A:F,3,0),"")</f>
        <v>US91282CLL36</v>
      </c>
      <c r="D492" s="5">
        <f>IF(NOT(ISBLANK(A492)),VLOOKUP(A492,'BBT3'!A:F,4,1),"")</f>
        <v>3.375</v>
      </c>
      <c r="E492">
        <f>IF(NOT(ISBLANK(A492)),VLOOKUP(A492,'BBT3'!A:F,5,0),"")</f>
        <v>46645</v>
      </c>
      <c r="F492" t="str">
        <f>IF(NOT(ISBLANK(A492)),VLOOKUP(A492,'BBT3'!A:F,6,0),"")</f>
        <v>N</v>
      </c>
      <c r="G492" t="str">
        <f t="shared" si="74"/>
        <v>N</v>
      </c>
      <c r="H492">
        <f>IF(NOT(ISBLANK(A492)),VLOOKUP(A492,'Close - PriceSaver'!A:J,5,0),"")</f>
        <v>4.1927687639662203E-2</v>
      </c>
      <c r="I492" s="4" cm="1">
        <f t="array" ref="I492">IF(NOT(ISBLANK(A492)),((_xlfn.XLOOKUP(1,(_bbt3[[#All],[ID]]=A492)*(_bbt3[[#All],[METRIC_NAME]]="YLD_YTM_ASK"),_bbt3[[#All],[METRIC_VALUE]])*0.5)+(_xlfn.XLOOKUP(1,(_bbt3[[#All],[ID]]=A492)*(_bbt3[[#All],[METRIC_NAME]]="YLD_YTM_BID"),_bbt3[[#All],[METRIC_VALUE]])*0.5))/100,"")</f>
        <v>4.1925000000000011E-2</v>
      </c>
      <c r="J492">
        <f>IF(ISNA(VLOOKUP(A492,'CloseDL - PriceSaverBBT3'!A:E,5,0)),0,VLOOKUP(A492,'CloseDL - PriceSaverBBT3'!A:E,5,0))</f>
        <v>4.1927687639662203E-2</v>
      </c>
      <c r="K492" s="7">
        <f t="shared" si="75"/>
        <v>0</v>
      </c>
      <c r="L492" s="20">
        <f>IF(Close[[#This Row],[CreatedBy]]="MARINER\SilverAdm",1,0)</f>
        <v>1</v>
      </c>
      <c r="M492" t="str">
        <f>IF(NOT(ISBLANK(A492)),VLOOKUP(A492,'Close - PriceSaver'!A:J,6,0),"")</f>
        <v>DL input prc = 99.08789063  PX_ASK = 99.09375000 PX_BID = 99.08203125</v>
      </c>
      <c r="Q492" t="e">
        <f t="shared" si="67"/>
        <v>#N/A</v>
      </c>
      <c r="R492" t="e">
        <f t="shared" si="68"/>
        <v>#N/A</v>
      </c>
      <c r="S492" t="e">
        <f t="shared" si="69"/>
        <v>#N/A</v>
      </c>
      <c r="T492" s="15" t="e">
        <f t="shared" si="70"/>
        <v>#N/A</v>
      </c>
      <c r="U492" s="18" t="e">
        <f t="shared" si="71"/>
        <v>#N/A</v>
      </c>
      <c r="V492" s="18" t="e">
        <f t="shared" si="72"/>
        <v>#N/A</v>
      </c>
      <c r="W492" s="19" t="e">
        <f t="shared" si="73"/>
        <v>#N/A</v>
      </c>
      <c r="X492" t="e">
        <f>VLOOKUP(P492,Close[[ID]:[CreatedBy]],8,0)</f>
        <v>#N/A</v>
      </c>
    </row>
    <row r="493" spans="1:24" x14ac:dyDescent="0.35">
      <c r="A493" t="str">
        <v>91282CLM1</v>
      </c>
      <c r="B493" t="str">
        <f>IF(NOT(ISBLANK(A493)),VLOOKUP(A493,'BBT3'!A:F,2,0),"")</f>
        <v>Bond</v>
      </c>
      <c r="C493" t="str">
        <f>IF(NOT(ISBLANK(A493)),VLOOKUP(A493,'BBT3'!A:F,3,0),"")</f>
        <v>US91282CLM19</v>
      </c>
      <c r="D493" s="5">
        <f>IF(NOT(ISBLANK(A493)),VLOOKUP(A493,'BBT3'!A:F,4,1),"")</f>
        <v>3.625</v>
      </c>
      <c r="E493">
        <f>IF(NOT(ISBLANK(A493)),VLOOKUP(A493,'BBT3'!A:F,5,0),"")</f>
        <v>48121</v>
      </c>
      <c r="F493" t="str">
        <f>IF(NOT(ISBLANK(A493)),VLOOKUP(A493,'BBT3'!A:F,6,0),"")</f>
        <v>N</v>
      </c>
      <c r="G493" t="str">
        <f t="shared" si="74"/>
        <v>N</v>
      </c>
      <c r="H493">
        <f>IF(NOT(ISBLANK(A493)),VLOOKUP(A493,'Close - PriceSaver'!A:J,5,0),"")</f>
        <v>4.3886516895243997E-2</v>
      </c>
      <c r="I493" s="4" cm="1">
        <f t="array" ref="I493">IF(NOT(ISBLANK(A493)),((_xlfn.XLOOKUP(1,(_bbt3[[#All],[ID]]=A493)*(_bbt3[[#All],[METRIC_NAME]]="YLD_YTM_ASK"),_bbt3[[#All],[METRIC_VALUE]])*0.5)+(_xlfn.XLOOKUP(1,(_bbt3[[#All],[ID]]=A493)*(_bbt3[[#All],[METRIC_NAME]]="YLD_YTM_BID"),_bbt3[[#All],[METRIC_VALUE]])*0.5))/100,"")</f>
        <v>4.3885000000000007E-2</v>
      </c>
      <c r="J493">
        <f>IF(ISNA(VLOOKUP(A493,'CloseDL - PriceSaverBBT3'!A:E,5,0)),0,VLOOKUP(A493,'CloseDL - PriceSaverBBT3'!A:E,5,0))</f>
        <v>4.3886516895243997E-2</v>
      </c>
      <c r="K493" s="7">
        <f t="shared" si="75"/>
        <v>0</v>
      </c>
      <c r="L493" s="20">
        <f>IF(Close[[#This Row],[CreatedBy]]="MARINER\SilverAdm",1,0)</f>
        <v>1</v>
      </c>
      <c r="M493" t="str">
        <f>IF(NOT(ISBLANK(A493)),VLOOKUP(A493,'Close - PriceSaver'!A:J,6,0),"")</f>
        <v>DL input prc = 96.48437500  PX_ASK = 96.50000000 PX_BID = 96.46875000</v>
      </c>
      <c r="Q493" t="e">
        <f t="shared" si="67"/>
        <v>#N/A</v>
      </c>
      <c r="R493" t="e">
        <f t="shared" si="68"/>
        <v>#N/A</v>
      </c>
      <c r="S493" t="e">
        <f t="shared" si="69"/>
        <v>#N/A</v>
      </c>
      <c r="T493" s="15" t="e">
        <f t="shared" si="70"/>
        <v>#N/A</v>
      </c>
      <c r="U493" s="18" t="e">
        <f t="shared" si="71"/>
        <v>#N/A</v>
      </c>
      <c r="V493" s="18" t="e">
        <f t="shared" si="72"/>
        <v>#N/A</v>
      </c>
      <c r="W493" s="19" t="e">
        <f t="shared" si="73"/>
        <v>#N/A</v>
      </c>
      <c r="X493" t="e">
        <f>VLOOKUP(P493,Close[[ID]:[CreatedBy]],8,0)</f>
        <v>#N/A</v>
      </c>
    </row>
    <row r="494" spans="1:24" x14ac:dyDescent="0.35">
      <c r="A494" t="str">
        <v>91282CLN9</v>
      </c>
      <c r="B494" t="str">
        <f>IF(NOT(ISBLANK(A494)),VLOOKUP(A494,'BBT3'!A:F,2,0),"")</f>
        <v>Bond</v>
      </c>
      <c r="C494" t="str">
        <f>IF(NOT(ISBLANK(A494)),VLOOKUP(A494,'BBT3'!A:F,3,0),"")</f>
        <v>US91282CLN91</v>
      </c>
      <c r="D494" s="5">
        <f>IF(NOT(ISBLANK(A494)),VLOOKUP(A494,'BBT3'!A:F,4,1),"")</f>
        <v>3.5</v>
      </c>
      <c r="E494">
        <f>IF(NOT(ISBLANK(A494)),VLOOKUP(A494,'BBT3'!A:F,5,0),"")</f>
        <v>47391</v>
      </c>
      <c r="F494" t="str">
        <f>IF(NOT(ISBLANK(A494)),VLOOKUP(A494,'BBT3'!A:F,6,0),"")</f>
        <v>N</v>
      </c>
      <c r="G494" t="str">
        <f t="shared" si="74"/>
        <v>N</v>
      </c>
      <c r="H494">
        <f>IF(NOT(ISBLANK(A494)),VLOOKUP(A494,'Close - PriceSaver'!A:J,5,0),"")</f>
        <v>4.30967088887345E-2</v>
      </c>
      <c r="I494" s="4" cm="1">
        <f t="array" ref="I494">IF(NOT(ISBLANK(A494)),((_xlfn.XLOOKUP(1,(_bbt3[[#All],[ID]]=A494)*(_bbt3[[#All],[METRIC_NAME]]="YLD_YTM_ASK"),_bbt3[[#All],[METRIC_VALUE]])*0.5)+(_xlfn.XLOOKUP(1,(_bbt3[[#All],[ID]]=A494)*(_bbt3[[#All],[METRIC_NAME]]="YLD_YTM_BID"),_bbt3[[#All],[METRIC_VALUE]])*0.5))/100,"")</f>
        <v>4.3100000000000006E-2</v>
      </c>
      <c r="J494">
        <f>IF(ISNA(VLOOKUP(A494,'CloseDL - PriceSaverBBT3'!A:E,5,0)),0,VLOOKUP(A494,'CloseDL - PriceSaverBBT3'!A:E,5,0))</f>
        <v>4.30967088887345E-2</v>
      </c>
      <c r="K494" s="7">
        <f t="shared" si="75"/>
        <v>0</v>
      </c>
      <c r="L494" s="20">
        <f>IF(Close[[#This Row],[CreatedBy]]="MARINER\SilverAdm",1,0)</f>
        <v>1</v>
      </c>
      <c r="M494" t="str">
        <f>IF(NOT(ISBLANK(A494)),VLOOKUP(A494,'Close - PriceSaver'!A:J,6,0),"")</f>
        <v>DL input prc = 97.60546875  PX_ASK = 97.61718750 PX_BID = 97.59375000</v>
      </c>
      <c r="Q494" t="e">
        <f t="shared" si="67"/>
        <v>#N/A</v>
      </c>
      <c r="R494" t="e">
        <f t="shared" si="68"/>
        <v>#N/A</v>
      </c>
      <c r="S494" t="e">
        <f t="shared" si="69"/>
        <v>#N/A</v>
      </c>
      <c r="T494" s="15" t="e">
        <f t="shared" si="70"/>
        <v>#N/A</v>
      </c>
      <c r="U494" s="18" t="e">
        <f t="shared" si="71"/>
        <v>#N/A</v>
      </c>
      <c r="V494" s="18" t="e">
        <f t="shared" si="72"/>
        <v>#N/A</v>
      </c>
      <c r="W494" s="19" t="e">
        <f t="shared" si="73"/>
        <v>#N/A</v>
      </c>
      <c r="X494" t="e">
        <f>VLOOKUP(P494,Close[[ID]:[CreatedBy]],8,0)</f>
        <v>#N/A</v>
      </c>
    </row>
    <row r="495" spans="1:24" x14ac:dyDescent="0.35">
      <c r="A495" t="str">
        <v>91282CLP4</v>
      </c>
      <c r="B495" t="str">
        <f>IF(NOT(ISBLANK(A495)),VLOOKUP(A495,'BBT3'!A:F,2,0),"")</f>
        <v>Bond</v>
      </c>
      <c r="C495" t="str">
        <f>IF(NOT(ISBLANK(A495)),VLOOKUP(A495,'BBT3'!A:F,3,0),"")</f>
        <v>US91282CLP40</v>
      </c>
      <c r="D495" s="5">
        <f>IF(NOT(ISBLANK(A495)),VLOOKUP(A495,'BBT3'!A:F,4,1),"")</f>
        <v>3.5</v>
      </c>
      <c r="E495">
        <f>IF(NOT(ISBLANK(A495)),VLOOKUP(A495,'BBT3'!A:F,5,0),"")</f>
        <v>46295</v>
      </c>
      <c r="F495" t="str">
        <f>IF(NOT(ISBLANK(A495)),VLOOKUP(A495,'BBT3'!A:F,6,0),"")</f>
        <v>N</v>
      </c>
      <c r="G495" t="str">
        <f t="shared" si="74"/>
        <v>N</v>
      </c>
      <c r="H495">
        <f>IF(NOT(ISBLANK(A495)),VLOOKUP(A495,'Close - PriceSaver'!A:J,5,0),"")</f>
        <v>3.7780356487257902E-2</v>
      </c>
      <c r="I495" s="4" cm="1">
        <f t="array" ref="I495">IF(NOT(ISBLANK(A495)),((_xlfn.XLOOKUP(1,(_bbt3[[#All],[ID]]=A495)*(_bbt3[[#All],[METRIC_NAME]]="YLD_YTM_ASK"),_bbt3[[#All],[METRIC_VALUE]])*0.5)+(_xlfn.XLOOKUP(1,(_bbt3[[#All],[ID]]=A495)*(_bbt3[[#All],[METRIC_NAME]]="YLD_YTM_BID"),_bbt3[[#All],[METRIC_VALUE]])*0.5))/100,"")</f>
        <v>3.7780000000000001E-2</v>
      </c>
      <c r="J495">
        <f>IF(ISNA(VLOOKUP(A495,'CloseDL - PriceSaverBBT3'!A:E,5,0)),0,VLOOKUP(A495,'CloseDL - PriceSaverBBT3'!A:E,5,0))</f>
        <v>3.7780356487257902E-2</v>
      </c>
      <c r="K495" s="7">
        <f t="shared" si="75"/>
        <v>0</v>
      </c>
      <c r="L495" s="20">
        <f>IF(Close[[#This Row],[CreatedBy]]="MARINER\SilverAdm",1,0)</f>
        <v>1</v>
      </c>
      <c r="M495" t="str">
        <f>IF(NOT(ISBLANK(A495)),VLOOKUP(A495,'Close - PriceSaver'!A:J,6,0),"")</f>
        <v>DL input prc = 99.93945313  PX_ASK = 99.94921875 PX_BID = 99.92968750</v>
      </c>
      <c r="Q495" t="e">
        <f t="shared" si="67"/>
        <v>#N/A</v>
      </c>
      <c r="R495" t="e">
        <f t="shared" si="68"/>
        <v>#N/A</v>
      </c>
      <c r="S495" t="e">
        <f t="shared" si="69"/>
        <v>#N/A</v>
      </c>
      <c r="T495" s="15" t="e">
        <f t="shared" si="70"/>
        <v>#N/A</v>
      </c>
      <c r="U495" s="18" t="e">
        <f t="shared" si="71"/>
        <v>#N/A</v>
      </c>
      <c r="V495" s="18" t="e">
        <f t="shared" si="72"/>
        <v>#N/A</v>
      </c>
      <c r="W495" s="19" t="e">
        <f t="shared" si="73"/>
        <v>#N/A</v>
      </c>
      <c r="X495" t="e">
        <f>VLOOKUP(P495,Close[[ID]:[CreatedBy]],8,0)</f>
        <v>#N/A</v>
      </c>
    </row>
    <row r="496" spans="1:24" x14ac:dyDescent="0.35">
      <c r="A496" t="str">
        <v>91282CLQ2</v>
      </c>
      <c r="B496" t="str">
        <f>IF(NOT(ISBLANK(A496)),VLOOKUP(A496,'BBT3'!A:F,2,0),"")</f>
        <v>Bond</v>
      </c>
      <c r="C496" t="str">
        <f>IF(NOT(ISBLANK(A496)),VLOOKUP(A496,'BBT3'!A:F,3,0),"")</f>
        <v>US91282CLQ23</v>
      </c>
      <c r="D496" s="5">
        <f>IF(NOT(ISBLANK(A496)),VLOOKUP(A496,'BBT3'!A:F,4,1),"")</f>
        <v>3.875</v>
      </c>
      <c r="E496">
        <f>IF(NOT(ISBLANK(A496)),VLOOKUP(A496,'BBT3'!A:F,5,0),"")</f>
        <v>46675</v>
      </c>
      <c r="F496" t="str">
        <f>IF(NOT(ISBLANK(A496)),VLOOKUP(A496,'BBT3'!A:F,6,0),"")</f>
        <v>N</v>
      </c>
      <c r="G496" t="str">
        <f t="shared" si="74"/>
        <v>N</v>
      </c>
      <c r="H496">
        <f>IF(NOT(ISBLANK(A496)),VLOOKUP(A496,'Close - PriceSaver'!A:J,5,0),"")</f>
        <v>4.2026710894817798E-2</v>
      </c>
      <c r="I496" s="4" cm="1">
        <f t="array" ref="I496">IF(NOT(ISBLANK(A496)),((_xlfn.XLOOKUP(1,(_bbt3[[#All],[ID]]=A496)*(_bbt3[[#All],[METRIC_NAME]]="YLD_YTM_ASK"),_bbt3[[#All],[METRIC_VALUE]])*0.5)+(_xlfn.XLOOKUP(1,(_bbt3[[#All],[ID]]=A496)*(_bbt3[[#All],[METRIC_NAME]]="YLD_YTM_BID"),_bbt3[[#All],[METRIC_VALUE]])*0.5))/100,"")</f>
        <v>4.2025E-2</v>
      </c>
      <c r="J496">
        <f>IF(ISNA(VLOOKUP(A496,'CloseDL - PriceSaverBBT3'!A:E,5,0)),0,VLOOKUP(A496,'CloseDL - PriceSaverBBT3'!A:E,5,0))</f>
        <v>4.2026710894817798E-2</v>
      </c>
      <c r="K496" s="7">
        <f t="shared" si="75"/>
        <v>0</v>
      </c>
      <c r="L496" s="20">
        <f>IF(Close[[#This Row],[CreatedBy]]="MARINER\SilverAdm",1,0)</f>
        <v>1</v>
      </c>
      <c r="M496" t="str">
        <f>IF(NOT(ISBLANK(A496)),VLOOKUP(A496,'Close - PriceSaver'!A:J,6,0),"")</f>
        <v>DL input prc = 99.60546875  PX_ASK = 99.61328125 PX_BID = 99.59765625</v>
      </c>
      <c r="Q496" t="e">
        <f t="shared" si="67"/>
        <v>#N/A</v>
      </c>
      <c r="R496" t="e">
        <f t="shared" si="68"/>
        <v>#N/A</v>
      </c>
      <c r="S496" t="e">
        <f t="shared" si="69"/>
        <v>#N/A</v>
      </c>
      <c r="T496" s="15" t="e">
        <f t="shared" si="70"/>
        <v>#N/A</v>
      </c>
      <c r="U496" s="18" t="e">
        <f t="shared" si="71"/>
        <v>#N/A</v>
      </c>
      <c r="V496" s="18" t="e">
        <f t="shared" si="72"/>
        <v>#N/A</v>
      </c>
      <c r="W496" s="19" t="e">
        <f t="shared" si="73"/>
        <v>#N/A</v>
      </c>
      <c r="X496" t="e">
        <f>VLOOKUP(P496,Close[[ID]:[CreatedBy]],8,0)</f>
        <v>#N/A</v>
      </c>
    </row>
    <row r="497" spans="1:24" x14ac:dyDescent="0.35">
      <c r="A497" t="str">
        <v>91282CLR0</v>
      </c>
      <c r="B497" t="str">
        <f>IF(NOT(ISBLANK(A497)),VLOOKUP(A497,'BBT3'!A:F,2,0),"")</f>
        <v>Bond</v>
      </c>
      <c r="C497" t="str">
        <f>IF(NOT(ISBLANK(A497)),VLOOKUP(A497,'BBT3'!A:F,3,0),"")</f>
        <v>US91282CLR06</v>
      </c>
      <c r="D497" s="5">
        <f>IF(NOT(ISBLANK(A497)),VLOOKUP(A497,'BBT3'!A:F,4,1),"")</f>
        <v>4.125</v>
      </c>
      <c r="E497">
        <f>IF(NOT(ISBLANK(A497)),VLOOKUP(A497,'BBT3'!A:F,5,0),"")</f>
        <v>47422</v>
      </c>
      <c r="F497" t="str">
        <f>IF(NOT(ISBLANK(A497)),VLOOKUP(A497,'BBT3'!A:F,6,0),"")</f>
        <v>N</v>
      </c>
      <c r="G497" t="str">
        <f t="shared" si="74"/>
        <v>N</v>
      </c>
      <c r="H497">
        <f>IF(NOT(ISBLANK(A497)),VLOOKUP(A497,'Close - PriceSaver'!A:J,5,0),"")</f>
        <v>4.31700542812197E-2</v>
      </c>
      <c r="I497" s="4" cm="1">
        <f t="array" ref="I497">IF(NOT(ISBLANK(A497)),((_xlfn.XLOOKUP(1,(_bbt3[[#All],[ID]]=A497)*(_bbt3[[#All],[METRIC_NAME]]="YLD_YTM_ASK"),_bbt3[[#All],[METRIC_VALUE]])*0.5)+(_xlfn.XLOOKUP(1,(_bbt3[[#All],[ID]]=A497)*(_bbt3[[#All],[METRIC_NAME]]="YLD_YTM_BID"),_bbt3[[#All],[METRIC_VALUE]])*0.5))/100,"")</f>
        <v>4.317E-2</v>
      </c>
      <c r="J497">
        <f>IF(ISNA(VLOOKUP(A497,'CloseDL - PriceSaverBBT3'!A:E,5,0)),0,VLOOKUP(A497,'CloseDL - PriceSaverBBT3'!A:E,5,0))</f>
        <v>4.31700542812197E-2</v>
      </c>
      <c r="K497" s="7">
        <f t="shared" si="75"/>
        <v>0</v>
      </c>
      <c r="L497" s="20">
        <f>IF(Close[[#This Row],[CreatedBy]]="MARINER\SilverAdm",1,0)</f>
        <v>1</v>
      </c>
      <c r="M497" t="str">
        <f>IF(NOT(ISBLANK(A497)),VLOOKUP(A497,'Close - PriceSaver'!A:J,6,0),"")</f>
        <v>DL input prc = 99.41406250  PX_ASK = 99.42968750 PX_BID = 99.39843750</v>
      </c>
      <c r="Q497" t="e">
        <f t="shared" si="67"/>
        <v>#N/A</v>
      </c>
      <c r="R497" t="e">
        <f t="shared" si="68"/>
        <v>#N/A</v>
      </c>
      <c r="S497" t="e">
        <f t="shared" si="69"/>
        <v>#N/A</v>
      </c>
      <c r="T497" s="15" t="e">
        <f t="shared" si="70"/>
        <v>#N/A</v>
      </c>
      <c r="U497" s="18" t="e">
        <f t="shared" si="71"/>
        <v>#N/A</v>
      </c>
      <c r="V497" s="18" t="e">
        <f t="shared" si="72"/>
        <v>#N/A</v>
      </c>
      <c r="W497" s="19" t="e">
        <f t="shared" si="73"/>
        <v>#N/A</v>
      </c>
      <c r="X497" t="e">
        <f>VLOOKUP(P497,Close[[ID]:[CreatedBy]],8,0)</f>
        <v>#N/A</v>
      </c>
    </row>
    <row r="498" spans="1:24" x14ac:dyDescent="0.35">
      <c r="A498" t="str">
        <v>91282CLS8</v>
      </c>
      <c r="B498" t="str">
        <f>IF(NOT(ISBLANK(A498)),VLOOKUP(A498,'BBT3'!A:F,2,0),"")</f>
        <v>Bond</v>
      </c>
      <c r="C498" t="str">
        <f>IF(NOT(ISBLANK(A498)),VLOOKUP(A498,'BBT3'!A:F,3,0),"")</f>
        <v>US91282CLS88</v>
      </c>
      <c r="D498" s="5">
        <f>IF(NOT(ISBLANK(A498)),VLOOKUP(A498,'BBT3'!A:F,4,1),"")</f>
        <v>4.125</v>
      </c>
      <c r="E498">
        <f>IF(NOT(ISBLANK(A498)),VLOOKUP(A498,'BBT3'!A:F,5,0),"")</f>
        <v>46326</v>
      </c>
      <c r="F498" t="str">
        <f>IF(NOT(ISBLANK(A498)),VLOOKUP(A498,'BBT3'!A:F,6,0),"")</f>
        <v>N</v>
      </c>
      <c r="G498" t="str">
        <f t="shared" si="74"/>
        <v>N</v>
      </c>
      <c r="H498">
        <f>IF(NOT(ISBLANK(A498)),VLOOKUP(A498,'Close - PriceSaver'!A:J,5,0),"")</f>
        <v>3.8589628647686301E-2</v>
      </c>
      <c r="I498" s="4" cm="1">
        <f t="array" ref="I498">IF(NOT(ISBLANK(A498)),((_xlfn.XLOOKUP(1,(_bbt3[[#All],[ID]]=A498)*(_bbt3[[#All],[METRIC_NAME]]="YLD_YTM_ASK"),_bbt3[[#All],[METRIC_VALUE]])*0.5)+(_xlfn.XLOOKUP(1,(_bbt3[[#All],[ID]]=A498)*(_bbt3[[#All],[METRIC_NAME]]="YLD_YTM_BID"),_bbt3[[#All],[METRIC_VALUE]])*0.5))/100,"")</f>
        <v>3.8585000000000001E-2</v>
      </c>
      <c r="J498">
        <f>IF(ISNA(VLOOKUP(A498,'CloseDL - PriceSaverBBT3'!A:E,5,0)),0,VLOOKUP(A498,'CloseDL - PriceSaverBBT3'!A:E,5,0))</f>
        <v>3.8589628647686301E-2</v>
      </c>
      <c r="K498" s="7">
        <f t="shared" si="75"/>
        <v>0</v>
      </c>
      <c r="L498" s="20">
        <f>IF(Close[[#This Row],[CreatedBy]]="MARINER\SilverAdm",1,0)</f>
        <v>1</v>
      </c>
      <c r="M498" t="str">
        <f>IF(NOT(ISBLANK(A498)),VLOOKUP(A498,'Close - PriceSaver'!A:J,6,0),"")</f>
        <v>DL input prc = 100.06250000  PX_ASK = 100.07031250 PX_BID = 100.05468750</v>
      </c>
      <c r="Q498" t="e">
        <f t="shared" si="67"/>
        <v>#N/A</v>
      </c>
      <c r="R498" t="e">
        <f t="shared" si="68"/>
        <v>#N/A</v>
      </c>
      <c r="S498" t="e">
        <f t="shared" si="69"/>
        <v>#N/A</v>
      </c>
      <c r="T498" s="15" t="e">
        <f t="shared" si="70"/>
        <v>#N/A</v>
      </c>
      <c r="U498" s="18" t="e">
        <f t="shared" si="71"/>
        <v>#N/A</v>
      </c>
      <c r="V498" s="18" t="e">
        <f t="shared" si="72"/>
        <v>#N/A</v>
      </c>
      <c r="W498" s="19" t="e">
        <f t="shared" si="73"/>
        <v>#N/A</v>
      </c>
      <c r="X498" t="e">
        <f>VLOOKUP(P498,Close[[ID]:[CreatedBy]],8,0)</f>
        <v>#N/A</v>
      </c>
    </row>
    <row r="499" spans="1:24" x14ac:dyDescent="0.35">
      <c r="A499" t="str">
        <v>91282CLU3</v>
      </c>
      <c r="B499" t="str">
        <f>IF(NOT(ISBLANK(A499)),VLOOKUP(A499,'BBT3'!A:F,2,0),"")</f>
        <v>Bond</v>
      </c>
      <c r="C499" t="str">
        <f>IF(NOT(ISBLANK(A499)),VLOOKUP(A499,'BBT3'!A:F,3,0),"")</f>
        <v>US91282CLU35</v>
      </c>
      <c r="D499" s="5">
        <f>IF(NOT(ISBLANK(A499)),VLOOKUP(A499,'BBT3'!A:F,4,1),"")</f>
        <v>4.125</v>
      </c>
      <c r="E499">
        <f>IF(NOT(ISBLANK(A499)),VLOOKUP(A499,'BBT3'!A:F,5,0),"")</f>
        <v>48152</v>
      </c>
      <c r="F499" t="str">
        <f>IF(NOT(ISBLANK(A499)),VLOOKUP(A499,'BBT3'!A:F,6,0),"")</f>
        <v>N</v>
      </c>
      <c r="G499" t="str">
        <f t="shared" si="74"/>
        <v>N</v>
      </c>
      <c r="H499">
        <f>IF(NOT(ISBLANK(A499)),VLOOKUP(A499,'Close - PriceSaver'!A:J,5,0),"")</f>
        <v>4.3935789287178499E-2</v>
      </c>
      <c r="I499" s="4" cm="1">
        <f t="array" ref="I499">IF(NOT(ISBLANK(A499)),((_xlfn.XLOOKUP(1,(_bbt3[[#All],[ID]]=A499)*(_bbt3[[#All],[METRIC_NAME]]="YLD_YTM_ASK"),_bbt3[[#All],[METRIC_VALUE]])*0.5)+(_xlfn.XLOOKUP(1,(_bbt3[[#All],[ID]]=A499)*(_bbt3[[#All],[METRIC_NAME]]="YLD_YTM_BID"),_bbt3[[#All],[METRIC_VALUE]])*0.5))/100,"")</f>
        <v>4.3934999999999995E-2</v>
      </c>
      <c r="J499">
        <f>IF(ISNA(VLOOKUP(A499,'CloseDL - PriceSaverBBT3'!A:E,5,0)),0,VLOOKUP(A499,'CloseDL - PriceSaverBBT3'!A:E,5,0))</f>
        <v>4.3935789287178499E-2</v>
      </c>
      <c r="K499" s="7">
        <f t="shared" si="75"/>
        <v>0</v>
      </c>
      <c r="L499" s="20">
        <f>IF(Close[[#This Row],[CreatedBy]]="MARINER\SilverAdm",1,0)</f>
        <v>1</v>
      </c>
      <c r="M499" t="str">
        <f>IF(NOT(ISBLANK(A499)),VLOOKUP(A499,'Close - PriceSaver'!A:J,6,0),"")</f>
        <v>DL input prc = 98.74218750  PX_ASK = 98.75781250 PX_BID = 98.72656250</v>
      </c>
      <c r="Q499" t="e">
        <f t="shared" si="67"/>
        <v>#N/A</v>
      </c>
      <c r="R499" t="e">
        <f t="shared" si="68"/>
        <v>#N/A</v>
      </c>
      <c r="S499" t="e">
        <f t="shared" si="69"/>
        <v>#N/A</v>
      </c>
      <c r="T499" s="15" t="e">
        <f t="shared" si="70"/>
        <v>#N/A</v>
      </c>
      <c r="U499" s="18" t="e">
        <f t="shared" si="71"/>
        <v>#N/A</v>
      </c>
      <c r="V499" s="18" t="e">
        <f t="shared" si="72"/>
        <v>#N/A</v>
      </c>
      <c r="W499" s="19" t="e">
        <f t="shared" si="73"/>
        <v>#N/A</v>
      </c>
      <c r="X499" t="e">
        <f>VLOOKUP(P499,Close[[ID]:[CreatedBy]],8,0)</f>
        <v>#N/A</v>
      </c>
    </row>
    <row r="500" spans="1:24" x14ac:dyDescent="0.35">
      <c r="A500" t="str">
        <v>91282CLV1</v>
      </c>
      <c r="B500" t="str">
        <f>IF(NOT(ISBLANK(A500)),VLOOKUP(A500,'BBT3'!A:F,2,0),"")</f>
        <v>Bond</v>
      </c>
      <c r="C500" t="str">
        <f>IF(NOT(ISBLANK(A500)),VLOOKUP(A500,'BBT3'!A:F,3,0),"")</f>
        <v>US91282CLV18</v>
      </c>
      <c r="D500" s="5">
        <f>IF(NOT(ISBLANK(A500)),VLOOKUP(A500,'BBT3'!A:F,4,1),"")</f>
        <v>1.625</v>
      </c>
      <c r="E500">
        <f>IF(NOT(ISBLANK(A500)),VLOOKUP(A500,'BBT3'!A:F,5,0),"")</f>
        <v>47406</v>
      </c>
      <c r="F500" t="str">
        <f>IF(NOT(ISBLANK(A500)),VLOOKUP(A500,'BBT3'!A:F,6,0),"")</f>
        <v>Y</v>
      </c>
      <c r="G500" t="str">
        <f t="shared" si="74"/>
        <v>N</v>
      </c>
      <c r="H500">
        <f>IF(NOT(ISBLANK(A500)),VLOOKUP(A500,'Close - PriceSaver'!A:J,5,0),"")</f>
        <v>1.9731335471926899E-2</v>
      </c>
      <c r="I500" s="4" cm="1">
        <f t="array" ref="I500">IF(NOT(ISBLANK(A500)),((_xlfn.XLOOKUP(1,(_bbt3[[#All],[ID]]=A500)*(_bbt3[[#All],[METRIC_NAME]]="YLD_YTM_ASK"),_bbt3[[#All],[METRIC_VALUE]])*0.5)+(_xlfn.XLOOKUP(1,(_bbt3[[#All],[ID]]=A500)*(_bbt3[[#All],[METRIC_NAME]]="YLD_YTM_BID"),_bbt3[[#All],[METRIC_VALUE]])*0.5))/100,"")</f>
        <v>1.9734999999999999E-2</v>
      </c>
      <c r="J500">
        <f>IF(ISNA(VLOOKUP(A500,'CloseDL - PriceSaverBBT3'!A:E,5,0)),0,VLOOKUP(A500,'CloseDL - PriceSaverBBT3'!A:E,5,0))</f>
        <v>1.9731335471926899E-2</v>
      </c>
      <c r="K500" s="7">
        <f t="shared" si="75"/>
        <v>0</v>
      </c>
      <c r="L500" s="20">
        <f>IF(Close[[#This Row],[CreatedBy]]="MARINER\SilverAdm",1,0)</f>
        <v>1</v>
      </c>
      <c r="M500" t="str">
        <f>IF(NOT(ISBLANK(A500)),VLOOKUP(A500,'Close - PriceSaver'!A:J,6,0),"")</f>
        <v>DL input prc = 98.91406250  PX_ASK = 98.93750000 PX_BID = 98.89062500</v>
      </c>
      <c r="Q500" t="e">
        <f t="shared" si="67"/>
        <v>#N/A</v>
      </c>
      <c r="R500" t="e">
        <f t="shared" si="68"/>
        <v>#N/A</v>
      </c>
      <c r="S500" t="e">
        <f t="shared" si="69"/>
        <v>#N/A</v>
      </c>
      <c r="T500" s="15" t="e">
        <f t="shared" si="70"/>
        <v>#N/A</v>
      </c>
      <c r="U500" s="18" t="e">
        <f t="shared" si="71"/>
        <v>#N/A</v>
      </c>
      <c r="V500" s="18" t="e">
        <f t="shared" si="72"/>
        <v>#N/A</v>
      </c>
      <c r="W500" s="19" t="e">
        <f t="shared" si="73"/>
        <v>#N/A</v>
      </c>
      <c r="X500" t="e">
        <f>VLOOKUP(P500,Close[[ID]:[CreatedBy]],8,0)</f>
        <v>#N/A</v>
      </c>
    </row>
    <row r="501" spans="1:24" x14ac:dyDescent="0.35">
      <c r="A501" t="str">
        <v>91282CLW9</v>
      </c>
      <c r="B501" t="str">
        <f>IF(NOT(ISBLANK(A501)),VLOOKUP(A501,'BBT3'!A:F,2,0),"")</f>
        <v>Bond</v>
      </c>
      <c r="C501" t="str">
        <f>IF(NOT(ISBLANK(A501)),VLOOKUP(A501,'BBT3'!A:F,3,0),"")</f>
        <v>US91282CLW90</v>
      </c>
      <c r="D501" s="5">
        <f>IF(NOT(ISBLANK(A501)),VLOOKUP(A501,'BBT3'!A:F,4,1),"")</f>
        <v>4.25</v>
      </c>
      <c r="E501">
        <f>IF(NOT(ISBLANK(A501)),VLOOKUP(A501,'BBT3'!A:F,5,0),"")</f>
        <v>49263</v>
      </c>
      <c r="F501" t="str">
        <f>IF(NOT(ISBLANK(A501)),VLOOKUP(A501,'BBT3'!A:F,6,0),"")</f>
        <v>N</v>
      </c>
      <c r="G501" t="str">
        <f t="shared" si="74"/>
        <v>N</v>
      </c>
      <c r="H501">
        <f>IF(NOT(ISBLANK(A501)),VLOOKUP(A501,'Close - PriceSaver'!A:J,5,0),"")</f>
        <v>4.56718241779474E-2</v>
      </c>
      <c r="I501" s="4" cm="1">
        <f t="array" ref="I501">IF(NOT(ISBLANK(A501)),((_xlfn.XLOOKUP(1,(_bbt3[[#All],[ID]]=A501)*(_bbt3[[#All],[METRIC_NAME]]="YLD_YTM_ASK"),_bbt3[[#All],[METRIC_VALUE]])*0.5)+(_xlfn.XLOOKUP(1,(_bbt3[[#All],[ID]]=A501)*(_bbt3[[#All],[METRIC_NAME]]="YLD_YTM_BID"),_bbt3[[#All],[METRIC_VALUE]])*0.5))/100,"")</f>
        <v>4.5670000000000002E-2</v>
      </c>
      <c r="J501">
        <f>IF(ISNA(VLOOKUP(A501,'CloseDL - PriceSaverBBT3'!A:E,5,0)),0,VLOOKUP(A501,'CloseDL - PriceSaverBBT3'!A:E,5,0))</f>
        <v>4.56718241779474E-2</v>
      </c>
      <c r="K501" s="7">
        <f t="shared" si="75"/>
        <v>0</v>
      </c>
      <c r="L501" s="20">
        <f>IF(Close[[#This Row],[CreatedBy]]="MARINER\SilverAdm",1,0)</f>
        <v>1</v>
      </c>
      <c r="M501" t="str">
        <f>IF(NOT(ISBLANK(A501)),VLOOKUP(A501,'Close - PriceSaver'!A:J,6,0),"")</f>
        <v>DL input prc = 97.82031250  PX_ASK = 97.82812500 PX_BID = 97.81250000</v>
      </c>
      <c r="Q501" t="e">
        <f t="shared" ref="Q501:Q564" si="76">VLOOKUP(P501,A:C,3,0)</f>
        <v>#N/A</v>
      </c>
      <c r="R501" t="e">
        <f t="shared" ref="R501:R564" si="77">VLOOKUP(P501,A:B,2,0)</f>
        <v>#N/A</v>
      </c>
      <c r="S501" t="e">
        <f t="shared" ref="S501:S564" si="78">VLOOKUP(P501,A:E,4,0)</f>
        <v>#N/A</v>
      </c>
      <c r="T501" s="15" t="e">
        <f t="shared" ref="T501:T564" si="79">VLOOKUP(P501,A:K,5,0)</f>
        <v>#N/A</v>
      </c>
      <c r="U501" s="18" t="e">
        <f t="shared" ref="U501:U564" si="80">VLOOKUP(P501,A:K,8,0)</f>
        <v>#N/A</v>
      </c>
      <c r="V501" s="18" t="e">
        <f t="shared" ref="V501:V564" si="81">VLOOKUP(P501,A:K,10,0)</f>
        <v>#N/A</v>
      </c>
      <c r="W501" s="19" t="e">
        <f t="shared" ref="W501:W564" si="82">(V501-U501)*100</f>
        <v>#N/A</v>
      </c>
      <c r="X501" t="e">
        <f>VLOOKUP(P501,Close[[ID]:[CreatedBy]],8,0)</f>
        <v>#N/A</v>
      </c>
    </row>
    <row r="502" spans="1:24" x14ac:dyDescent="0.35">
      <c r="A502" t="str">
        <v>91282CLX7</v>
      </c>
      <c r="B502" t="str">
        <f>IF(NOT(ISBLANK(A502)),VLOOKUP(A502,'BBT3'!A:F,2,0),"")</f>
        <v>Bond</v>
      </c>
      <c r="C502" t="str">
        <f>IF(NOT(ISBLANK(A502)),VLOOKUP(A502,'BBT3'!A:F,3,0),"")</f>
        <v>US91282CLX73</v>
      </c>
      <c r="D502" s="5">
        <f>IF(NOT(ISBLANK(A502)),VLOOKUP(A502,'BBT3'!A:F,4,1),"")</f>
        <v>4.125</v>
      </c>
      <c r="E502">
        <f>IF(NOT(ISBLANK(A502)),VLOOKUP(A502,'BBT3'!A:F,5,0),"")</f>
        <v>46706</v>
      </c>
      <c r="F502" t="str">
        <f>IF(NOT(ISBLANK(A502)),VLOOKUP(A502,'BBT3'!A:F,6,0),"")</f>
        <v>N</v>
      </c>
      <c r="G502" t="str">
        <f t="shared" si="74"/>
        <v>N</v>
      </c>
      <c r="H502">
        <f>IF(NOT(ISBLANK(A502)),VLOOKUP(A502,'Close - PriceSaver'!A:J,5,0),"")</f>
        <v>4.2228286239447403E-2</v>
      </c>
      <c r="I502" s="4" cm="1">
        <f t="array" ref="I502">IF(NOT(ISBLANK(A502)),((_xlfn.XLOOKUP(1,(_bbt3[[#All],[ID]]=A502)*(_bbt3[[#All],[METRIC_NAME]]="YLD_YTM_ASK"),_bbt3[[#All],[METRIC_VALUE]])*0.5)+(_xlfn.XLOOKUP(1,(_bbt3[[#All],[ID]]=A502)*(_bbt3[[#All],[METRIC_NAME]]="YLD_YTM_BID"),_bbt3[[#All],[METRIC_VALUE]])*0.5))/100,"")</f>
        <v>4.2229999999999997E-2</v>
      </c>
      <c r="J502">
        <f>IF(ISNA(VLOOKUP(A502,'CloseDL - PriceSaverBBT3'!A:E,5,0)),0,VLOOKUP(A502,'CloseDL - PriceSaverBBT3'!A:E,5,0))</f>
        <v>4.2228286239447403E-2</v>
      </c>
      <c r="K502" s="7">
        <f t="shared" si="75"/>
        <v>0</v>
      </c>
      <c r="L502" s="20">
        <f>IF(Close[[#This Row],[CreatedBy]]="MARINER\SilverAdm",1,0)</f>
        <v>1</v>
      </c>
      <c r="M502" t="str">
        <f>IF(NOT(ISBLANK(A502)),VLOOKUP(A502,'Close - PriceSaver'!A:J,6,0),"")</f>
        <v>DL input prc = 99.87109375  PX_ASK = 99.87890625 PX_BID = 99.86328125</v>
      </c>
      <c r="Q502" t="e">
        <f t="shared" si="76"/>
        <v>#N/A</v>
      </c>
      <c r="R502" t="e">
        <f t="shared" si="77"/>
        <v>#N/A</v>
      </c>
      <c r="S502" t="e">
        <f t="shared" si="78"/>
        <v>#N/A</v>
      </c>
      <c r="T502" s="15" t="e">
        <f t="shared" si="79"/>
        <v>#N/A</v>
      </c>
      <c r="U502" s="18" t="e">
        <f t="shared" si="80"/>
        <v>#N/A</v>
      </c>
      <c r="V502" s="18" t="e">
        <f t="shared" si="81"/>
        <v>#N/A</v>
      </c>
      <c r="W502" s="19" t="e">
        <f t="shared" si="82"/>
        <v>#N/A</v>
      </c>
      <c r="X502" t="e">
        <f>VLOOKUP(P502,Close[[ID]:[CreatedBy]],8,0)</f>
        <v>#N/A</v>
      </c>
    </row>
    <row r="503" spans="1:24" x14ac:dyDescent="0.35">
      <c r="A503" t="str">
        <v>91282CLY5</v>
      </c>
      <c r="B503" t="str">
        <f>IF(NOT(ISBLANK(A503)),VLOOKUP(A503,'BBT3'!A:F,2,0),"")</f>
        <v>Bond</v>
      </c>
      <c r="C503" t="str">
        <f>IF(NOT(ISBLANK(A503)),VLOOKUP(A503,'BBT3'!A:F,3,0),"")</f>
        <v>US91282CLY56</v>
      </c>
      <c r="D503" s="5">
        <f>IF(NOT(ISBLANK(A503)),VLOOKUP(A503,'BBT3'!A:F,4,1),"")</f>
        <v>4.25</v>
      </c>
      <c r="E503">
        <f>IF(NOT(ISBLANK(A503)),VLOOKUP(A503,'BBT3'!A:F,5,0),"")</f>
        <v>46356</v>
      </c>
      <c r="F503" t="str">
        <f>IF(NOT(ISBLANK(A503)),VLOOKUP(A503,'BBT3'!A:F,6,0),"")</f>
        <v>N</v>
      </c>
      <c r="G503" t="str">
        <f t="shared" si="74"/>
        <v>N</v>
      </c>
      <c r="H503">
        <f>IF(NOT(ISBLANK(A503)),VLOOKUP(A503,'Close - PriceSaver'!A:J,5,0),"")</f>
        <v>3.8780318531567701E-2</v>
      </c>
      <c r="I503" s="4" cm="1">
        <f t="array" ref="I503">IF(NOT(ISBLANK(A503)),((_xlfn.XLOOKUP(1,(_bbt3[[#All],[ID]]=A503)*(_bbt3[[#All],[METRIC_NAME]]="YLD_YTM_ASK"),_bbt3[[#All],[METRIC_VALUE]])*0.5)+(_xlfn.XLOOKUP(1,(_bbt3[[#All],[ID]]=A503)*(_bbt3[[#All],[METRIC_NAME]]="YLD_YTM_BID"),_bbt3[[#All],[METRIC_VALUE]])*0.5))/100,"")</f>
        <v>3.8780000000000002E-2</v>
      </c>
      <c r="J503">
        <f>IF(ISNA(VLOOKUP(A503,'CloseDL - PriceSaverBBT3'!A:E,5,0)),0,VLOOKUP(A503,'CloseDL - PriceSaverBBT3'!A:E,5,0))</f>
        <v>3.8780318531567701E-2</v>
      </c>
      <c r="K503" s="7">
        <f t="shared" si="75"/>
        <v>0</v>
      </c>
      <c r="L503" s="20">
        <f>IF(Close[[#This Row],[CreatedBy]]="MARINER\SilverAdm",1,0)</f>
        <v>1</v>
      </c>
      <c r="M503" t="str">
        <f>IF(NOT(ISBLANK(A503)),VLOOKUP(A503,'Close - PriceSaver'!A:J,6,0),"")</f>
        <v>DL input prc = 100.12304688  PX_ASK = 100.13281250 PX_BID = 100.11328125</v>
      </c>
      <c r="Q503" t="e">
        <f t="shared" si="76"/>
        <v>#N/A</v>
      </c>
      <c r="R503" t="e">
        <f t="shared" si="77"/>
        <v>#N/A</v>
      </c>
      <c r="S503" t="e">
        <f t="shared" si="78"/>
        <v>#N/A</v>
      </c>
      <c r="T503" s="15" t="e">
        <f t="shared" si="79"/>
        <v>#N/A</v>
      </c>
      <c r="U503" s="18" t="e">
        <f t="shared" si="80"/>
        <v>#N/A</v>
      </c>
      <c r="V503" s="18" t="e">
        <f t="shared" si="81"/>
        <v>#N/A</v>
      </c>
      <c r="W503" s="19" t="e">
        <f t="shared" si="82"/>
        <v>#N/A</v>
      </c>
      <c r="X503" t="e">
        <f>VLOOKUP(P503,Close[[ID]:[CreatedBy]],8,0)</f>
        <v>#N/A</v>
      </c>
    </row>
    <row r="504" spans="1:24" x14ac:dyDescent="0.35">
      <c r="A504" t="str">
        <v>91282CLZ2</v>
      </c>
      <c r="B504" t="str">
        <f>IF(NOT(ISBLANK(A504)),VLOOKUP(A504,'BBT3'!A:F,2,0),"")</f>
        <v>Bond</v>
      </c>
      <c r="C504" t="str">
        <f>IF(NOT(ISBLANK(A504)),VLOOKUP(A504,'BBT3'!A:F,3,0),"")</f>
        <v>US91282CLZ22</v>
      </c>
      <c r="D504" s="5">
        <f>IF(NOT(ISBLANK(A504)),VLOOKUP(A504,'BBT3'!A:F,4,1),"")</f>
        <v>4.125</v>
      </c>
      <c r="E504">
        <f>IF(NOT(ISBLANK(A504)),VLOOKUP(A504,'BBT3'!A:F,5,0),"")</f>
        <v>48182</v>
      </c>
      <c r="F504" t="str">
        <f>IF(NOT(ISBLANK(A504)),VLOOKUP(A504,'BBT3'!A:F,6,0),"")</f>
        <v>N</v>
      </c>
      <c r="G504" t="str">
        <f t="shared" si="74"/>
        <v>N</v>
      </c>
      <c r="H504">
        <f>IF(NOT(ISBLANK(A504)),VLOOKUP(A504,'Close - PriceSaver'!A:J,5,0),"")</f>
        <v>4.3991963448173299E-2</v>
      </c>
      <c r="I504" s="4" cm="1">
        <f t="array" ref="I504">IF(NOT(ISBLANK(A504)),((_xlfn.XLOOKUP(1,(_bbt3[[#All],[ID]]=A504)*(_bbt3[[#All],[METRIC_NAME]]="YLD_YTM_ASK"),_bbt3[[#All],[METRIC_VALUE]])*0.5)+(_xlfn.XLOOKUP(1,(_bbt3[[#All],[ID]]=A504)*(_bbt3[[#All],[METRIC_NAME]]="YLD_YTM_BID"),_bbt3[[#All],[METRIC_VALUE]])*0.5))/100,"")</f>
        <v>4.3994999999999999E-2</v>
      </c>
      <c r="J504">
        <f>IF(ISNA(VLOOKUP(A504,'CloseDL - PriceSaverBBT3'!A:E,5,0)),0,VLOOKUP(A504,'CloseDL - PriceSaverBBT3'!A:E,5,0))</f>
        <v>4.3991963448173299E-2</v>
      </c>
      <c r="K504" s="7">
        <f t="shared" si="75"/>
        <v>0</v>
      </c>
      <c r="L504" s="20">
        <f>IF(Close[[#This Row],[CreatedBy]]="MARINER\SilverAdm",1,0)</f>
        <v>1</v>
      </c>
      <c r="M504" t="str">
        <f>IF(NOT(ISBLANK(A504)),VLOOKUP(A504,'Close - PriceSaver'!A:J,6,0),"")</f>
        <v>DL input prc = 98.69921875  PX_ASK = 98.71093750 PX_BID = 98.68750000</v>
      </c>
      <c r="Q504" t="e">
        <f t="shared" si="76"/>
        <v>#N/A</v>
      </c>
      <c r="R504" t="e">
        <f t="shared" si="77"/>
        <v>#N/A</v>
      </c>
      <c r="S504" t="e">
        <f t="shared" si="78"/>
        <v>#N/A</v>
      </c>
      <c r="T504" s="15" t="e">
        <f t="shared" si="79"/>
        <v>#N/A</v>
      </c>
      <c r="U504" s="18" t="e">
        <f t="shared" si="80"/>
        <v>#N/A</v>
      </c>
      <c r="V504" s="18" t="e">
        <f t="shared" si="81"/>
        <v>#N/A</v>
      </c>
      <c r="W504" s="19" t="e">
        <f t="shared" si="82"/>
        <v>#N/A</v>
      </c>
      <c r="X504" t="e">
        <f>VLOOKUP(P504,Close[[ID]:[CreatedBy]],8,0)</f>
        <v>#N/A</v>
      </c>
    </row>
    <row r="505" spans="1:24" x14ac:dyDescent="0.35">
      <c r="A505" t="str">
        <v>91282CMA6</v>
      </c>
      <c r="B505" t="str">
        <f>IF(NOT(ISBLANK(A505)),VLOOKUP(A505,'BBT3'!A:F,2,0),"")</f>
        <v>Bond</v>
      </c>
      <c r="C505" t="str">
        <f>IF(NOT(ISBLANK(A505)),VLOOKUP(A505,'BBT3'!A:F,3,0),"")</f>
        <v>US91282CMA61</v>
      </c>
      <c r="D505" s="5">
        <f>IF(NOT(ISBLANK(A505)),VLOOKUP(A505,'BBT3'!A:F,4,1),"")</f>
        <v>4.125</v>
      </c>
      <c r="E505">
        <f>IF(NOT(ISBLANK(A505)),VLOOKUP(A505,'BBT3'!A:F,5,0),"")</f>
        <v>47452</v>
      </c>
      <c r="F505" t="str">
        <f>IF(NOT(ISBLANK(A505)),VLOOKUP(A505,'BBT3'!A:F,6,0),"")</f>
        <v>N</v>
      </c>
      <c r="G505" t="str">
        <f t="shared" si="74"/>
        <v>N</v>
      </c>
      <c r="H505">
        <f>IF(NOT(ISBLANK(A505)),VLOOKUP(A505,'Close - PriceSaver'!A:J,5,0),"")</f>
        <v>4.3191928548953797E-2</v>
      </c>
      <c r="I505" s="4" cm="1">
        <f t="array" ref="I505">IF(NOT(ISBLANK(A505)),((_xlfn.XLOOKUP(1,(_bbt3[[#All],[ID]]=A505)*(_bbt3[[#All],[METRIC_NAME]]="YLD_YTM_ASK"),_bbt3[[#All],[METRIC_VALUE]])*0.5)+(_xlfn.XLOOKUP(1,(_bbt3[[#All],[ID]]=A505)*(_bbt3[[#All],[METRIC_NAME]]="YLD_YTM_BID"),_bbt3[[#All],[METRIC_VALUE]])*0.5))/100,"")</f>
        <v>4.3190000000000006E-2</v>
      </c>
      <c r="J505">
        <f>IF(ISNA(VLOOKUP(A505,'CloseDL - PriceSaverBBT3'!A:E,5,0)),0,VLOOKUP(A505,'CloseDL - PriceSaverBBT3'!A:E,5,0))</f>
        <v>4.3191928548953797E-2</v>
      </c>
      <c r="K505" s="7">
        <f t="shared" si="75"/>
        <v>0</v>
      </c>
      <c r="L505" s="20">
        <f>IF(Close[[#This Row],[CreatedBy]]="MARINER\SilverAdm",1,0)</f>
        <v>1</v>
      </c>
      <c r="M505" t="str">
        <f>IF(NOT(ISBLANK(A505)),VLOOKUP(A505,'Close - PriceSaver'!A:J,6,0),"")</f>
        <v>DL input prc = 99.39453125  PX_ASK = 99.40625000 PX_BID = 99.38281250</v>
      </c>
      <c r="Q505" t="e">
        <f t="shared" si="76"/>
        <v>#N/A</v>
      </c>
      <c r="R505" t="e">
        <f t="shared" si="77"/>
        <v>#N/A</v>
      </c>
      <c r="S505" t="e">
        <f t="shared" si="78"/>
        <v>#N/A</v>
      </c>
      <c r="T505" s="15" t="e">
        <f t="shared" si="79"/>
        <v>#N/A</v>
      </c>
      <c r="U505" s="18" t="e">
        <f t="shared" si="80"/>
        <v>#N/A</v>
      </c>
      <c r="V505" s="18" t="e">
        <f t="shared" si="81"/>
        <v>#N/A</v>
      </c>
      <c r="W505" s="19" t="e">
        <f t="shared" si="82"/>
        <v>#N/A</v>
      </c>
      <c r="X505" t="e">
        <f>VLOOKUP(P505,Close[[ID]:[CreatedBy]],8,0)</f>
        <v>#N/A</v>
      </c>
    </row>
    <row r="506" spans="1:24" x14ac:dyDescent="0.35">
      <c r="A506" t="str">
        <v>91282CMB4</v>
      </c>
      <c r="B506" t="str">
        <f>IF(NOT(ISBLANK(A506)),VLOOKUP(A506,'BBT3'!A:F,2,0),"")</f>
        <v>Bond</v>
      </c>
      <c r="C506" t="str">
        <f>IF(NOT(ISBLANK(A506)),VLOOKUP(A506,'BBT3'!A:F,3,0),"")</f>
        <v>US91282CMB45</v>
      </c>
      <c r="D506" s="5">
        <f>IF(NOT(ISBLANK(A506)),VLOOKUP(A506,'BBT3'!A:F,4,1),"")</f>
        <v>4</v>
      </c>
      <c r="E506">
        <f>IF(NOT(ISBLANK(A506)),VLOOKUP(A506,'BBT3'!A:F,5,0),"")</f>
        <v>46736</v>
      </c>
      <c r="F506" t="str">
        <f>IF(NOT(ISBLANK(A506)),VLOOKUP(A506,'BBT3'!A:F,6,0),"")</f>
        <v>N</v>
      </c>
      <c r="G506" t="str">
        <f t="shared" si="74"/>
        <v>N</v>
      </c>
      <c r="H506">
        <f>IF(NOT(ISBLANK(A506)),VLOOKUP(A506,'Close - PriceSaver'!A:J,5,0),"")</f>
        <v>4.2313657104760503E-2</v>
      </c>
      <c r="I506" s="4" cm="1">
        <f t="array" ref="I506">IF(NOT(ISBLANK(A506)),((_xlfn.XLOOKUP(1,(_bbt3[[#All],[ID]]=A506)*(_bbt3[[#All],[METRIC_NAME]]="YLD_YTM_ASK"),_bbt3[[#All],[METRIC_VALUE]])*0.5)+(_xlfn.XLOOKUP(1,(_bbt3[[#All],[ID]]=A506)*(_bbt3[[#All],[METRIC_NAME]]="YLD_YTM_BID"),_bbt3[[#All],[METRIC_VALUE]])*0.5))/100,"")</f>
        <v>4.2315000000000005E-2</v>
      </c>
      <c r="J506">
        <f>IF(ISNA(VLOOKUP(A506,'CloseDL - PriceSaverBBT3'!A:E,5,0)),0,VLOOKUP(A506,'CloseDL - PriceSaverBBT3'!A:E,5,0))</f>
        <v>4.2313657104760503E-2</v>
      </c>
      <c r="K506" s="7">
        <f t="shared" si="75"/>
        <v>0</v>
      </c>
      <c r="L506" s="20">
        <f>IF(Close[[#This Row],[CreatedBy]]="MARINER\SilverAdm",1,0)</f>
        <v>1</v>
      </c>
      <c r="M506" t="str">
        <f>IF(NOT(ISBLANK(A506)),VLOOKUP(A506,'Close - PriceSaver'!A:J,6,0),"")</f>
        <v>DL input prc = 99.68554688  PX_ASK = 99.69140625 PX_BID = 99.67968750</v>
      </c>
      <c r="Q506" t="e">
        <f t="shared" si="76"/>
        <v>#N/A</v>
      </c>
      <c r="R506" t="e">
        <f t="shared" si="77"/>
        <v>#N/A</v>
      </c>
      <c r="S506" t="e">
        <f t="shared" si="78"/>
        <v>#N/A</v>
      </c>
      <c r="T506" s="15" t="e">
        <f t="shared" si="79"/>
        <v>#N/A</v>
      </c>
      <c r="U506" s="18" t="e">
        <f t="shared" si="80"/>
        <v>#N/A</v>
      </c>
      <c r="V506" s="18" t="e">
        <f t="shared" si="81"/>
        <v>#N/A</v>
      </c>
      <c r="W506" s="19" t="e">
        <f t="shared" si="82"/>
        <v>#N/A</v>
      </c>
      <c r="X506" t="e">
        <f>VLOOKUP(P506,Close[[ID]:[CreatedBy]],8,0)</f>
        <v>#N/A</v>
      </c>
    </row>
    <row r="507" spans="1:24" x14ac:dyDescent="0.35">
      <c r="A507" t="str">
        <v>91282CMC2</v>
      </c>
      <c r="B507" t="str">
        <f>IF(NOT(ISBLANK(A507)),VLOOKUP(A507,'BBT3'!A:F,2,0),"")</f>
        <v>Bond</v>
      </c>
      <c r="C507" t="str">
        <f>IF(NOT(ISBLANK(A507)),VLOOKUP(A507,'BBT3'!A:F,3,0),"")</f>
        <v>US91282CMC28</v>
      </c>
      <c r="D507" s="5">
        <f>IF(NOT(ISBLANK(A507)),VLOOKUP(A507,'BBT3'!A:F,4,1),"")</f>
        <v>4.5</v>
      </c>
      <c r="E507">
        <f>IF(NOT(ISBLANK(A507)),VLOOKUP(A507,'BBT3'!A:F,5,0),"")</f>
        <v>48213</v>
      </c>
      <c r="F507" t="str">
        <f>IF(NOT(ISBLANK(A507)),VLOOKUP(A507,'BBT3'!A:F,6,0),"")</f>
        <v>N</v>
      </c>
      <c r="G507" t="str">
        <f t="shared" si="74"/>
        <v>N</v>
      </c>
      <c r="H507">
        <f>IF(NOT(ISBLANK(A507)),VLOOKUP(A507,'Close - PriceSaver'!A:J,5,0),"")</f>
        <v>4.4016316647589399E-2</v>
      </c>
      <c r="I507" s="4" cm="1">
        <f t="array" ref="I507">IF(NOT(ISBLANK(A507)),((_xlfn.XLOOKUP(1,(_bbt3[[#All],[ID]]=A507)*(_bbt3[[#All],[METRIC_NAME]]="YLD_YTM_ASK"),_bbt3[[#All],[METRIC_VALUE]])*0.5)+(_xlfn.XLOOKUP(1,(_bbt3[[#All],[ID]]=A507)*(_bbt3[[#All],[METRIC_NAME]]="YLD_YTM_BID"),_bbt3[[#All],[METRIC_VALUE]])*0.5))/100,"")</f>
        <v>4.4015000000000006E-2</v>
      </c>
      <c r="J507">
        <f>IF(ISNA(VLOOKUP(A507,'CloseDL - PriceSaverBBT3'!A:E,5,0)),0,VLOOKUP(A507,'CloseDL - PriceSaverBBT3'!A:E,5,0))</f>
        <v>4.4016316647589399E-2</v>
      </c>
      <c r="K507" s="7">
        <f t="shared" si="75"/>
        <v>0</v>
      </c>
      <c r="L507" s="20">
        <f>IF(Close[[#This Row],[CreatedBy]]="MARINER\SilverAdm",1,0)</f>
        <v>1</v>
      </c>
      <c r="M507" t="str">
        <f>IF(NOT(ISBLANK(A507)),VLOOKUP(A507,'Close - PriceSaver'!A:J,6,0),"")</f>
        <v>DL input prc = 100.46875000  PX_ASK = 100.48437500 PX_BID = 100.45312500</v>
      </c>
      <c r="Q507" t="e">
        <f t="shared" si="76"/>
        <v>#N/A</v>
      </c>
      <c r="R507" t="e">
        <f t="shared" si="77"/>
        <v>#N/A</v>
      </c>
      <c r="S507" t="e">
        <f t="shared" si="78"/>
        <v>#N/A</v>
      </c>
      <c r="T507" s="15" t="e">
        <f t="shared" si="79"/>
        <v>#N/A</v>
      </c>
      <c r="U507" s="18" t="e">
        <f t="shared" si="80"/>
        <v>#N/A</v>
      </c>
      <c r="V507" s="18" t="e">
        <f t="shared" si="81"/>
        <v>#N/A</v>
      </c>
      <c r="W507" s="19" t="e">
        <f t="shared" si="82"/>
        <v>#N/A</v>
      </c>
      <c r="X507" t="e">
        <f>VLOOKUP(P507,Close[[ID]:[CreatedBy]],8,0)</f>
        <v>#N/A</v>
      </c>
    </row>
    <row r="508" spans="1:24" x14ac:dyDescent="0.35">
      <c r="A508" t="str">
        <v>91282CMD0</v>
      </c>
      <c r="B508" t="str">
        <f>IF(NOT(ISBLANK(A508)),VLOOKUP(A508,'BBT3'!A:F,2,0),"")</f>
        <v>Bond</v>
      </c>
      <c r="C508" t="str">
        <f>IF(NOT(ISBLANK(A508)),VLOOKUP(A508,'BBT3'!A:F,3,0),"")</f>
        <v>US91282CMD01</v>
      </c>
      <c r="D508" s="5">
        <f>IF(NOT(ISBLANK(A508)),VLOOKUP(A508,'BBT3'!A:F,4,1),"")</f>
        <v>4.375</v>
      </c>
      <c r="E508">
        <f>IF(NOT(ISBLANK(A508)),VLOOKUP(A508,'BBT3'!A:F,5,0),"")</f>
        <v>47483</v>
      </c>
      <c r="F508" t="str">
        <f>IF(NOT(ISBLANK(A508)),VLOOKUP(A508,'BBT3'!A:F,6,0),"")</f>
        <v>N</v>
      </c>
      <c r="G508" t="str">
        <f t="shared" si="74"/>
        <v>N</v>
      </c>
      <c r="H508">
        <f>IF(NOT(ISBLANK(A508)),VLOOKUP(A508,'Close - PriceSaver'!A:J,5,0),"")</f>
        <v>4.32115588969752E-2</v>
      </c>
      <c r="I508" s="4" cm="1">
        <f t="array" ref="I508">IF(NOT(ISBLANK(A508)),((_xlfn.XLOOKUP(1,(_bbt3[[#All],[ID]]=A508)*(_bbt3[[#All],[METRIC_NAME]]="YLD_YTM_ASK"),_bbt3[[#All],[METRIC_VALUE]])*0.5)+(_xlfn.XLOOKUP(1,(_bbt3[[#All],[ID]]=A508)*(_bbt3[[#All],[METRIC_NAME]]="YLD_YTM_BID"),_bbt3[[#All],[METRIC_VALUE]])*0.5))/100,"")</f>
        <v>4.3209999999999998E-2</v>
      </c>
      <c r="J508">
        <f>IF(ISNA(VLOOKUP(A508,'CloseDL - PriceSaverBBT3'!A:E,5,0)),0,VLOOKUP(A508,'CloseDL - PriceSaverBBT3'!A:E,5,0))</f>
        <v>4.32115588969752E-2</v>
      </c>
      <c r="K508" s="7">
        <f t="shared" si="75"/>
        <v>0</v>
      </c>
      <c r="L508" s="20">
        <f>IF(Close[[#This Row],[CreatedBy]]="MARINER\SilverAdm",1,0)</f>
        <v>1</v>
      </c>
      <c r="M508" t="str">
        <f>IF(NOT(ISBLANK(A508)),VLOOKUP(A508,'Close - PriceSaver'!A:J,6,0),"")</f>
        <v>DL input prc = 100.16796875  PX_ASK = 100.17968750 PX_BID = 100.15625000</v>
      </c>
      <c r="Q508" t="e">
        <f t="shared" si="76"/>
        <v>#N/A</v>
      </c>
      <c r="R508" t="e">
        <f t="shared" si="77"/>
        <v>#N/A</v>
      </c>
      <c r="S508" t="e">
        <f t="shared" si="78"/>
        <v>#N/A</v>
      </c>
      <c r="T508" s="15" t="e">
        <f t="shared" si="79"/>
        <v>#N/A</v>
      </c>
      <c r="U508" s="18" t="e">
        <f t="shared" si="80"/>
        <v>#N/A</v>
      </c>
      <c r="V508" s="18" t="e">
        <f t="shared" si="81"/>
        <v>#N/A</v>
      </c>
      <c r="W508" s="19" t="e">
        <f t="shared" si="82"/>
        <v>#N/A</v>
      </c>
      <c r="X508" t="e">
        <f>VLOOKUP(P508,Close[[ID]:[CreatedBy]],8,0)</f>
        <v>#N/A</v>
      </c>
    </row>
    <row r="509" spans="1:24" x14ac:dyDescent="0.35">
      <c r="A509" t="str">
        <v>91282CME8</v>
      </c>
      <c r="B509" t="str">
        <f>IF(NOT(ISBLANK(A509)),VLOOKUP(A509,'BBT3'!A:F,2,0),"")</f>
        <v>Bond</v>
      </c>
      <c r="C509" t="str">
        <f>IF(NOT(ISBLANK(A509)),VLOOKUP(A509,'BBT3'!A:F,3,0),"")</f>
        <v>US91282CME83</v>
      </c>
      <c r="D509" s="5">
        <f>IF(NOT(ISBLANK(A509)),VLOOKUP(A509,'BBT3'!A:F,4,1),"")</f>
        <v>4.25</v>
      </c>
      <c r="E509">
        <f>IF(NOT(ISBLANK(A509)),VLOOKUP(A509,'BBT3'!A:F,5,0),"")</f>
        <v>46387</v>
      </c>
      <c r="F509" t="str">
        <f>IF(NOT(ISBLANK(A509)),VLOOKUP(A509,'BBT3'!A:F,6,0),"")</f>
        <v>N</v>
      </c>
      <c r="G509" t="str">
        <f t="shared" si="74"/>
        <v>N</v>
      </c>
      <c r="H509">
        <f>IF(NOT(ISBLANK(A509)),VLOOKUP(A509,'Close - PriceSaver'!A:J,5,0),"")</f>
        <v>3.9465750505076197E-2</v>
      </c>
      <c r="I509" s="4" cm="1">
        <f t="array" ref="I509">IF(NOT(ISBLANK(A509)),((_xlfn.XLOOKUP(1,(_bbt3[[#All],[ID]]=A509)*(_bbt3[[#All],[METRIC_NAME]]="YLD_YTM_ASK"),_bbt3[[#All],[METRIC_VALUE]])*0.5)+(_xlfn.XLOOKUP(1,(_bbt3[[#All],[ID]]=A509)*(_bbt3[[#All],[METRIC_NAME]]="YLD_YTM_BID"),_bbt3[[#All],[METRIC_VALUE]])*0.5))/100,"")</f>
        <v>3.9465E-2</v>
      </c>
      <c r="J509">
        <f>IF(ISNA(VLOOKUP(A509,'CloseDL - PriceSaverBBT3'!A:E,5,0)),0,VLOOKUP(A509,'CloseDL - PriceSaverBBT3'!A:E,5,0))</f>
        <v>3.9465750505076197E-2</v>
      </c>
      <c r="K509" s="7">
        <f t="shared" si="75"/>
        <v>0</v>
      </c>
      <c r="L509" s="20">
        <f>IF(Close[[#This Row],[CreatedBy]]="MARINER\SilverAdm",1,0)</f>
        <v>1</v>
      </c>
      <c r="M509" t="str">
        <f>IF(NOT(ISBLANK(A509)),VLOOKUP(A509,'Close - PriceSaver'!A:J,6,0),"")</f>
        <v>DL input prc = 100.12695313  PX_ASK = 100.13671875 PX_BID = 100.11718750</v>
      </c>
      <c r="Q509" t="e">
        <f t="shared" si="76"/>
        <v>#N/A</v>
      </c>
      <c r="R509" t="e">
        <f t="shared" si="77"/>
        <v>#N/A</v>
      </c>
      <c r="S509" t="e">
        <f t="shared" si="78"/>
        <v>#N/A</v>
      </c>
      <c r="T509" s="15" t="e">
        <f t="shared" si="79"/>
        <v>#N/A</v>
      </c>
      <c r="U509" s="18" t="e">
        <f t="shared" si="80"/>
        <v>#N/A</v>
      </c>
      <c r="V509" s="18" t="e">
        <f t="shared" si="81"/>
        <v>#N/A</v>
      </c>
      <c r="W509" s="19" t="e">
        <f t="shared" si="82"/>
        <v>#N/A</v>
      </c>
      <c r="X509" t="e">
        <f>VLOOKUP(P509,Close[[ID]:[CreatedBy]],8,0)</f>
        <v>#N/A</v>
      </c>
    </row>
    <row r="510" spans="1:24" x14ac:dyDescent="0.35">
      <c r="A510" t="str">
        <v>91282CMF5</v>
      </c>
      <c r="B510" t="str">
        <f>IF(NOT(ISBLANK(A510)),VLOOKUP(A510,'BBT3'!A:F,2,0),"")</f>
        <v>Bond</v>
      </c>
      <c r="C510" t="str">
        <f>IF(NOT(ISBLANK(A510)),VLOOKUP(A510,'BBT3'!A:F,3,0),"")</f>
        <v>US91282CMF58</v>
      </c>
      <c r="D510" s="5">
        <f>IF(NOT(ISBLANK(A510)),VLOOKUP(A510,'BBT3'!A:F,4,1),"")</f>
        <v>4.25</v>
      </c>
      <c r="E510">
        <f>IF(NOT(ISBLANK(A510)),VLOOKUP(A510,'BBT3'!A:F,5,0),"")</f>
        <v>46767</v>
      </c>
      <c r="F510" t="str">
        <f>IF(NOT(ISBLANK(A510)),VLOOKUP(A510,'BBT3'!A:F,6,0),"")</f>
        <v>N</v>
      </c>
      <c r="G510" t="str">
        <f t="shared" si="74"/>
        <v>N</v>
      </c>
      <c r="H510">
        <f>IF(NOT(ISBLANK(A510)),VLOOKUP(A510,'Close - PriceSaver'!A:J,5,0),"")</f>
        <v>4.24118007761322E-2</v>
      </c>
      <c r="I510" s="4" cm="1">
        <f t="array" ref="I510">IF(NOT(ISBLANK(A510)),((_xlfn.XLOOKUP(1,(_bbt3[[#All],[ID]]=A510)*(_bbt3[[#All],[METRIC_NAME]]="YLD_YTM_ASK"),_bbt3[[#All],[METRIC_VALUE]])*0.5)+(_xlfn.XLOOKUP(1,(_bbt3[[#All],[ID]]=A510)*(_bbt3[[#All],[METRIC_NAME]]="YLD_YTM_BID"),_bbt3[[#All],[METRIC_VALUE]])*0.5))/100,"")</f>
        <v>4.2415000000000001E-2</v>
      </c>
      <c r="J510">
        <f>IF(ISNA(VLOOKUP(A510,'CloseDL - PriceSaverBBT3'!A:E,5,0)),0,VLOOKUP(A510,'CloseDL - PriceSaverBBT3'!A:E,5,0))</f>
        <v>4.24118007761322E-2</v>
      </c>
      <c r="K510" s="7">
        <f t="shared" si="75"/>
        <v>0</v>
      </c>
      <c r="L510" s="20">
        <f>IF(Close[[#This Row],[CreatedBy]]="MARINER\SilverAdm",1,0)</f>
        <v>1</v>
      </c>
      <c r="M510" t="str">
        <f>IF(NOT(ISBLANK(A510)),VLOOKUP(A510,'Close - PriceSaver'!A:J,6,0),"")</f>
        <v>DL input prc = 100.01171875  PX_ASK = 100.01953125 PX_BID = 100.00390625</v>
      </c>
      <c r="Q510" t="e">
        <f t="shared" si="76"/>
        <v>#N/A</v>
      </c>
      <c r="R510" t="e">
        <f t="shared" si="77"/>
        <v>#N/A</v>
      </c>
      <c r="S510" t="e">
        <f t="shared" si="78"/>
        <v>#N/A</v>
      </c>
      <c r="T510" s="15" t="e">
        <f t="shared" si="79"/>
        <v>#N/A</v>
      </c>
      <c r="U510" s="18" t="e">
        <f t="shared" si="80"/>
        <v>#N/A</v>
      </c>
      <c r="V510" s="18" t="e">
        <f t="shared" si="81"/>
        <v>#N/A</v>
      </c>
      <c r="W510" s="19" t="e">
        <f t="shared" si="82"/>
        <v>#N/A</v>
      </c>
      <c r="X510" t="e">
        <f>VLOOKUP(P510,Close[[ID]:[CreatedBy]],8,0)</f>
        <v>#N/A</v>
      </c>
    </row>
    <row r="511" spans="1:24" x14ac:dyDescent="0.35">
      <c r="A511" t="str">
        <v>91282CMG3</v>
      </c>
      <c r="B511" t="str">
        <f>IF(NOT(ISBLANK(A511)),VLOOKUP(A511,'BBT3'!A:F,2,0),"")</f>
        <v>Bond</v>
      </c>
      <c r="C511" t="str">
        <f>IF(NOT(ISBLANK(A511)),VLOOKUP(A511,'BBT3'!A:F,3,0),"")</f>
        <v>US91282CMG32</v>
      </c>
      <c r="D511" s="5">
        <f>IF(NOT(ISBLANK(A511)),VLOOKUP(A511,'BBT3'!A:F,4,1),"")</f>
        <v>4.25</v>
      </c>
      <c r="E511">
        <f>IF(NOT(ISBLANK(A511)),VLOOKUP(A511,'BBT3'!A:F,5,0),"")</f>
        <v>47514</v>
      </c>
      <c r="F511" t="str">
        <f>IF(NOT(ISBLANK(A511)),VLOOKUP(A511,'BBT3'!A:F,6,0),"")</f>
        <v>N</v>
      </c>
      <c r="G511" t="str">
        <f t="shared" si="74"/>
        <v>N</v>
      </c>
      <c r="H511">
        <f>IF(NOT(ISBLANK(A511)),VLOOKUP(A511,'Close - PriceSaver'!A:J,5,0),"")</f>
        <v>4.3293178620183399E-2</v>
      </c>
      <c r="I511" s="4" cm="1">
        <f t="array" ref="I511">IF(NOT(ISBLANK(A511)),((_xlfn.XLOOKUP(1,(_bbt3[[#All],[ID]]=A511)*(_bbt3[[#All],[METRIC_NAME]]="YLD_YTM_ASK"),_bbt3[[#All],[METRIC_VALUE]])*0.5)+(_xlfn.XLOOKUP(1,(_bbt3[[#All],[ID]]=A511)*(_bbt3[[#All],[METRIC_NAME]]="YLD_YTM_BID"),_bbt3[[#All],[METRIC_VALUE]])*0.5))/100,"")</f>
        <v>4.3289999999999995E-2</v>
      </c>
      <c r="J511">
        <f>IF(ISNA(VLOOKUP(A511,'CloseDL - PriceSaverBBT3'!A:E,5,0)),0,VLOOKUP(A511,'CloseDL - PriceSaverBBT3'!A:E,5,0))</f>
        <v>4.3293178620183399E-2</v>
      </c>
      <c r="K511" s="7">
        <f t="shared" si="75"/>
        <v>0</v>
      </c>
      <c r="L511" s="20">
        <f>IF(Close[[#This Row],[CreatedBy]]="MARINER\SilverAdm",1,0)</f>
        <v>1</v>
      </c>
      <c r="M511" t="str">
        <f>IF(NOT(ISBLANK(A511)),VLOOKUP(A511,'Close - PriceSaver'!A:J,6,0),"")</f>
        <v>DL input prc = 99.74218750  PX_ASK = 99.75781250 PX_BID = 99.72656250</v>
      </c>
      <c r="Q511" t="e">
        <f t="shared" si="76"/>
        <v>#N/A</v>
      </c>
      <c r="R511" t="e">
        <f t="shared" si="77"/>
        <v>#N/A</v>
      </c>
      <c r="S511" t="e">
        <f t="shared" si="78"/>
        <v>#N/A</v>
      </c>
      <c r="T511" s="15" t="e">
        <f t="shared" si="79"/>
        <v>#N/A</v>
      </c>
      <c r="U511" s="18" t="e">
        <f t="shared" si="80"/>
        <v>#N/A</v>
      </c>
      <c r="V511" s="18" t="e">
        <f t="shared" si="81"/>
        <v>#N/A</v>
      </c>
      <c r="W511" s="19" t="e">
        <f t="shared" si="82"/>
        <v>#N/A</v>
      </c>
      <c r="X511" t="e">
        <f>VLOOKUP(P511,Close[[ID]:[CreatedBy]],8,0)</f>
        <v>#N/A</v>
      </c>
    </row>
    <row r="512" spans="1:24" x14ac:dyDescent="0.35">
      <c r="A512" t="str">
        <v>91282CMH1</v>
      </c>
      <c r="B512" t="str">
        <f>IF(NOT(ISBLANK(A512)),VLOOKUP(A512,'BBT3'!A:F,2,0),"")</f>
        <v>Bond</v>
      </c>
      <c r="C512" t="str">
        <f>IF(NOT(ISBLANK(A512)),VLOOKUP(A512,'BBT3'!A:F,3,0),"")</f>
        <v>US91282CMH15</v>
      </c>
      <c r="D512" s="5">
        <f>IF(NOT(ISBLANK(A512)),VLOOKUP(A512,'BBT3'!A:F,4,1),"")</f>
        <v>4.125</v>
      </c>
      <c r="E512">
        <f>IF(NOT(ISBLANK(A512)),VLOOKUP(A512,'BBT3'!A:F,5,0),"")</f>
        <v>46418</v>
      </c>
      <c r="F512" t="str">
        <f>IF(NOT(ISBLANK(A512)),VLOOKUP(A512,'BBT3'!A:F,6,0),"")</f>
        <v>N</v>
      </c>
      <c r="G512" t="str">
        <f t="shared" si="74"/>
        <v>N</v>
      </c>
      <c r="H512">
        <f>IF(NOT(ISBLANK(A512)),VLOOKUP(A512,'Close - PriceSaver'!A:J,5,0),"")</f>
        <v>4.0053898818469803E-2</v>
      </c>
      <c r="I512" s="4" cm="1">
        <f t="array" ref="I512">IF(NOT(ISBLANK(A512)),((_xlfn.XLOOKUP(1,(_bbt3[[#All],[ID]]=A512)*(_bbt3[[#All],[METRIC_NAME]]="YLD_YTM_ASK"),_bbt3[[#All],[METRIC_VALUE]])*0.5)+(_xlfn.XLOOKUP(1,(_bbt3[[#All],[ID]]=A512)*(_bbt3[[#All],[METRIC_NAME]]="YLD_YTM_BID"),_bbt3[[#All],[METRIC_VALUE]])*0.5))/100,"")</f>
        <v>4.0050000000000002E-2</v>
      </c>
      <c r="J512">
        <f>IF(ISNA(VLOOKUP(A512,'CloseDL - PriceSaverBBT3'!A:E,5,0)),0,VLOOKUP(A512,'CloseDL - PriceSaverBBT3'!A:E,5,0))</f>
        <v>4.0053898818469803E-2</v>
      </c>
      <c r="K512" s="7">
        <f t="shared" si="75"/>
        <v>0</v>
      </c>
      <c r="L512" s="20">
        <f>IF(Close[[#This Row],[CreatedBy]]="MARINER\SilverAdm",1,0)</f>
        <v>1</v>
      </c>
      <c r="M512" t="str">
        <f>IF(NOT(ISBLANK(A512)),VLOOKUP(A512,'Close - PriceSaver'!A:J,6,0),"")</f>
        <v>DL input prc = 100.06054688  PX_ASK = 100.07031250 PX_BID = 100.05078125</v>
      </c>
      <c r="Q512" t="e">
        <f t="shared" si="76"/>
        <v>#N/A</v>
      </c>
      <c r="R512" t="e">
        <f t="shared" si="77"/>
        <v>#N/A</v>
      </c>
      <c r="S512" t="e">
        <f t="shared" si="78"/>
        <v>#N/A</v>
      </c>
      <c r="T512" s="15" t="e">
        <f t="shared" si="79"/>
        <v>#N/A</v>
      </c>
      <c r="U512" s="18" t="e">
        <f t="shared" si="80"/>
        <v>#N/A</v>
      </c>
      <c r="V512" s="18" t="e">
        <f t="shared" si="81"/>
        <v>#N/A</v>
      </c>
      <c r="W512" s="19" t="e">
        <f t="shared" si="82"/>
        <v>#N/A</v>
      </c>
      <c r="X512" t="e">
        <f>VLOOKUP(P512,Close[[ID]:[CreatedBy]],8,0)</f>
        <v>#N/A</v>
      </c>
    </row>
    <row r="513" spans="1:24" x14ac:dyDescent="0.35">
      <c r="A513" t="str">
        <v>91282CMK4</v>
      </c>
      <c r="B513" t="str">
        <f>IF(NOT(ISBLANK(A513)),VLOOKUP(A513,'BBT3'!A:F,2,0),"")</f>
        <v>Bond</v>
      </c>
      <c r="C513" t="str">
        <f>IF(NOT(ISBLANK(A513)),VLOOKUP(A513,'BBT3'!A:F,3,0),"")</f>
        <v>US91282CMK44</v>
      </c>
      <c r="D513" s="5">
        <f>IF(NOT(ISBLANK(A513)),VLOOKUP(A513,'BBT3'!A:F,4,1),"")</f>
        <v>4.375</v>
      </c>
      <c r="E513">
        <f>IF(NOT(ISBLANK(A513)),VLOOKUP(A513,'BBT3'!A:F,5,0),"")</f>
        <v>48244</v>
      </c>
      <c r="F513" t="str">
        <f>IF(NOT(ISBLANK(A513)),VLOOKUP(A513,'BBT3'!A:F,6,0),"")</f>
        <v>N</v>
      </c>
      <c r="G513" t="str">
        <f t="shared" si="74"/>
        <v>N</v>
      </c>
      <c r="H513">
        <f>IF(NOT(ISBLANK(A513)),VLOOKUP(A513,'Close - PriceSaver'!A:J,5,0),"")</f>
        <v>4.4093551749816599E-2</v>
      </c>
      <c r="I513" s="4" cm="1">
        <f t="array" ref="I513">IF(NOT(ISBLANK(A513)),((_xlfn.XLOOKUP(1,(_bbt3[[#All],[ID]]=A513)*(_bbt3[[#All],[METRIC_NAME]]="YLD_YTM_ASK"),_bbt3[[#All],[METRIC_VALUE]])*0.5)+(_xlfn.XLOOKUP(1,(_bbt3[[#All],[ID]]=A513)*(_bbt3[[#All],[METRIC_NAME]]="YLD_YTM_BID"),_bbt3[[#All],[METRIC_VALUE]])*0.5))/100,"")</f>
        <v>4.4094999999999995E-2</v>
      </c>
      <c r="J513">
        <f>IF(ISNA(VLOOKUP(A513,'CloseDL - PriceSaverBBT3'!A:E,5,0)),0,VLOOKUP(A513,'CloseDL - PriceSaverBBT3'!A:E,5,0))</f>
        <v>4.4093551749816599E-2</v>
      </c>
      <c r="K513" s="7">
        <f t="shared" si="75"/>
        <v>0</v>
      </c>
      <c r="L513" s="20">
        <f>IF(Close[[#This Row],[CreatedBy]]="MARINER\SilverAdm",1,0)</f>
        <v>1</v>
      </c>
      <c r="M513" t="str">
        <f>IF(NOT(ISBLANK(A513)),VLOOKUP(A513,'Close - PriceSaver'!A:J,6,0),"")</f>
        <v>DL input prc = 99.83203125  PX_ASK = 99.84375000 PX_BID = 99.82031250</v>
      </c>
      <c r="Q513" t="e">
        <f t="shared" si="76"/>
        <v>#N/A</v>
      </c>
      <c r="R513" t="e">
        <f t="shared" si="77"/>
        <v>#N/A</v>
      </c>
      <c r="S513" t="e">
        <f t="shared" si="78"/>
        <v>#N/A</v>
      </c>
      <c r="T513" s="15" t="e">
        <f t="shared" si="79"/>
        <v>#N/A</v>
      </c>
      <c r="U513" s="18" t="e">
        <f t="shared" si="80"/>
        <v>#N/A</v>
      </c>
      <c r="V513" s="18" t="e">
        <f t="shared" si="81"/>
        <v>#N/A</v>
      </c>
      <c r="W513" s="19" t="e">
        <f t="shared" si="82"/>
        <v>#N/A</v>
      </c>
      <c r="X513" t="e">
        <f>VLOOKUP(P513,Close[[ID]:[CreatedBy]],8,0)</f>
        <v>#N/A</v>
      </c>
    </row>
    <row r="514" spans="1:24" x14ac:dyDescent="0.35">
      <c r="A514" t="str">
        <v>91282CML2</v>
      </c>
      <c r="B514" t="str">
        <f>IF(NOT(ISBLANK(A514)),VLOOKUP(A514,'BBT3'!A:F,2,0),"")</f>
        <v>Bond</v>
      </c>
      <c r="C514" t="str">
        <f>IF(NOT(ISBLANK(A514)),VLOOKUP(A514,'BBT3'!A:F,3,0),"")</f>
        <v>US91282CML27</v>
      </c>
      <c r="D514" s="5">
        <f>IF(NOT(ISBLANK(A514)),VLOOKUP(A514,'BBT3'!A:F,4,1),"")</f>
        <v>2.125</v>
      </c>
      <c r="E514">
        <f>IF(NOT(ISBLANK(A514)),VLOOKUP(A514,'BBT3'!A:F,5,0),"")</f>
        <v>49324</v>
      </c>
      <c r="F514" t="str">
        <f>IF(NOT(ISBLANK(A514)),VLOOKUP(A514,'BBT3'!A:F,6,0),"")</f>
        <v>Y</v>
      </c>
      <c r="G514" t="str">
        <f t="shared" si="74"/>
        <v>N</v>
      </c>
      <c r="H514">
        <f>IF(NOT(ISBLANK(A514)),VLOOKUP(A514,'Close - PriceSaver'!A:J,5,0),"")</f>
        <v>2.2818070457642E-2</v>
      </c>
      <c r="I514" s="4" cm="1">
        <f t="array" ref="I514">IF(NOT(ISBLANK(A514)),((_xlfn.XLOOKUP(1,(_bbt3[[#All],[ID]]=A514)*(_bbt3[[#All],[METRIC_NAME]]="YLD_YTM_ASK"),_bbt3[[#All],[METRIC_VALUE]])*0.5)+(_xlfn.XLOOKUP(1,(_bbt3[[#All],[ID]]=A514)*(_bbt3[[#All],[METRIC_NAME]]="YLD_YTM_BID"),_bbt3[[#All],[METRIC_VALUE]])*0.5))/100,"")</f>
        <v>2.282E-2</v>
      </c>
      <c r="J514">
        <f>IF(ISNA(VLOOKUP(A514,'CloseDL - PriceSaverBBT3'!A:E,5,0)),0,VLOOKUP(A514,'CloseDL - PriceSaverBBT3'!A:E,5,0))</f>
        <v>2.2818070457642E-2</v>
      </c>
      <c r="K514" s="7">
        <f t="shared" si="75"/>
        <v>0</v>
      </c>
      <c r="L514" s="20">
        <f>IF(Close[[#This Row],[CreatedBy]]="MARINER\SilverAdm",1,0)</f>
        <v>1</v>
      </c>
      <c r="M514" t="str">
        <f>IF(NOT(ISBLANK(A514)),VLOOKUP(A514,'Close - PriceSaver'!A:J,6,0),"")</f>
        <v>DL input prc = 98.79687500  PX_ASK = 98.82031250 PX_BID = 98.77343750</v>
      </c>
      <c r="Q514" t="e">
        <f t="shared" si="76"/>
        <v>#N/A</v>
      </c>
      <c r="R514" t="e">
        <f t="shared" si="77"/>
        <v>#N/A</v>
      </c>
      <c r="S514" t="e">
        <f t="shared" si="78"/>
        <v>#N/A</v>
      </c>
      <c r="T514" s="15" t="e">
        <f t="shared" si="79"/>
        <v>#N/A</v>
      </c>
      <c r="U514" s="18" t="e">
        <f t="shared" si="80"/>
        <v>#N/A</v>
      </c>
      <c r="V514" s="18" t="e">
        <f t="shared" si="81"/>
        <v>#N/A</v>
      </c>
      <c r="W514" s="19" t="e">
        <f t="shared" si="82"/>
        <v>#N/A</v>
      </c>
      <c r="X514" t="e">
        <f>VLOOKUP(P514,Close[[ID]:[CreatedBy]],8,0)</f>
        <v>#N/A</v>
      </c>
    </row>
    <row r="515" spans="1:24" x14ac:dyDescent="0.35">
      <c r="A515" t="str">
        <v>91282CMM0</v>
      </c>
      <c r="B515" t="str">
        <f>IF(NOT(ISBLANK(A515)),VLOOKUP(A515,'BBT3'!A:F,2,0),"")</f>
        <v>Bond</v>
      </c>
      <c r="C515" t="str">
        <f>IF(NOT(ISBLANK(A515)),VLOOKUP(A515,'BBT3'!A:F,3,0),"")</f>
        <v>US91282CMM00</v>
      </c>
      <c r="D515" s="5">
        <f>IF(NOT(ISBLANK(A515)),VLOOKUP(A515,'BBT3'!A:F,4,1),"")</f>
        <v>4.625</v>
      </c>
      <c r="E515">
        <f>IF(NOT(ISBLANK(A515)),VLOOKUP(A515,'BBT3'!A:F,5,0),"")</f>
        <v>49355</v>
      </c>
      <c r="F515" t="str">
        <f>IF(NOT(ISBLANK(A515)),VLOOKUP(A515,'BBT3'!A:F,6,0),"")</f>
        <v>N</v>
      </c>
      <c r="G515" t="str">
        <f t="shared" ref="G515:G578" si="83">IF(NOT(ISBLANK(A515)),IF(D515=0,"Y","N"),"")</f>
        <v>N</v>
      </c>
      <c r="H515">
        <f>IF(NOT(ISBLANK(A515)),VLOOKUP(A515,'Close - PriceSaver'!A:J,5,0),"")</f>
        <v>4.5745036686361602E-2</v>
      </c>
      <c r="I515" s="4" cm="1">
        <f t="array" ref="I515">IF(NOT(ISBLANK(A515)),((_xlfn.XLOOKUP(1,(_bbt3[[#All],[ID]]=A515)*(_bbt3[[#All],[METRIC_NAME]]="YLD_YTM_ASK"),_bbt3[[#All],[METRIC_VALUE]])*0.5)+(_xlfn.XLOOKUP(1,(_bbt3[[#All],[ID]]=A515)*(_bbt3[[#All],[METRIC_NAME]]="YLD_YTM_BID"),_bbt3[[#All],[METRIC_VALUE]])*0.5))/100,"")</f>
        <v>4.5745000000000008E-2</v>
      </c>
      <c r="J515">
        <f>IF(ISNA(VLOOKUP(A515,'CloseDL - PriceSaverBBT3'!A:E,5,0)),0,VLOOKUP(A515,'CloseDL - PriceSaverBBT3'!A:E,5,0))</f>
        <v>4.5745036686361602E-2</v>
      </c>
      <c r="K515" s="7">
        <f t="shared" ref="K515:K578" si="84">IF(ISNA(IF(NOT(ISBLANK(A515)),ABS(H515-J515),"")),0,(IF(NOT(ISBLANK(A515)),ABS(H515-J515)*10000,"")))</f>
        <v>0</v>
      </c>
      <c r="L515" s="20">
        <f>IF(Close[[#This Row],[CreatedBy]]="MARINER\SilverAdm",1,0)</f>
        <v>1</v>
      </c>
      <c r="M515" t="str">
        <f>IF(NOT(ISBLANK(A515)),VLOOKUP(A515,'Close - PriceSaver'!A:J,6,0),"")</f>
        <v>DL input prc = 100.35156250  PX_ASK = 100.35937500 PX_BID = 100.34375000</v>
      </c>
      <c r="Q515" t="e">
        <f t="shared" si="76"/>
        <v>#N/A</v>
      </c>
      <c r="R515" t="e">
        <f t="shared" si="77"/>
        <v>#N/A</v>
      </c>
      <c r="S515" t="e">
        <f t="shared" si="78"/>
        <v>#N/A</v>
      </c>
      <c r="T515" s="15" t="e">
        <f t="shared" si="79"/>
        <v>#N/A</v>
      </c>
      <c r="U515" s="18" t="e">
        <f t="shared" si="80"/>
        <v>#N/A</v>
      </c>
      <c r="V515" s="18" t="e">
        <f t="shared" si="81"/>
        <v>#N/A</v>
      </c>
      <c r="W515" s="19" t="e">
        <f t="shared" si="82"/>
        <v>#N/A</v>
      </c>
      <c r="X515" t="e">
        <f>VLOOKUP(P515,Close[[ID]:[CreatedBy]],8,0)</f>
        <v>#N/A</v>
      </c>
    </row>
    <row r="516" spans="1:24" x14ac:dyDescent="0.35">
      <c r="A516" t="str">
        <v>91282CMN8</v>
      </c>
      <c r="B516" t="str">
        <f>IF(NOT(ISBLANK(A516)),VLOOKUP(A516,'BBT3'!A:F,2,0),"")</f>
        <v>Bond</v>
      </c>
      <c r="C516" t="str">
        <f>IF(NOT(ISBLANK(A516)),VLOOKUP(A516,'BBT3'!A:F,3,0),"")</f>
        <v>US91282CMN82</v>
      </c>
      <c r="D516" s="5">
        <f>IF(NOT(ISBLANK(A516)),VLOOKUP(A516,'BBT3'!A:F,4,1),"")</f>
        <v>4.25</v>
      </c>
      <c r="E516">
        <f>IF(NOT(ISBLANK(A516)),VLOOKUP(A516,'BBT3'!A:F,5,0),"")</f>
        <v>46798</v>
      </c>
      <c r="F516" t="str">
        <f>IF(NOT(ISBLANK(A516)),VLOOKUP(A516,'BBT3'!A:F,6,0),"")</f>
        <v>N</v>
      </c>
      <c r="G516" t="str">
        <f t="shared" si="83"/>
        <v>N</v>
      </c>
      <c r="H516">
        <f>IF(NOT(ISBLANK(A516)),VLOOKUP(A516,'Close - PriceSaver'!A:J,5,0),"")</f>
        <v>4.2456801161383402E-2</v>
      </c>
      <c r="I516" s="4" cm="1">
        <f t="array" ref="I516">IF(NOT(ISBLANK(A516)),((_xlfn.XLOOKUP(1,(_bbt3[[#All],[ID]]=A516)*(_bbt3[[#All],[METRIC_NAME]]="YLD_YTM_ASK"),_bbt3[[#All],[METRIC_VALUE]])*0.5)+(_xlfn.XLOOKUP(1,(_bbt3[[#All],[ID]]=A516)*(_bbt3[[#All],[METRIC_NAME]]="YLD_YTM_BID"),_bbt3[[#All],[METRIC_VALUE]])*0.5))/100,"")</f>
        <v>4.2455E-2</v>
      </c>
      <c r="J516">
        <f>IF(ISNA(VLOOKUP(A516,'CloseDL - PriceSaverBBT3'!A:E,5,0)),0,VLOOKUP(A516,'CloseDL - PriceSaverBBT3'!A:E,5,0))</f>
        <v>4.2456801161383402E-2</v>
      </c>
      <c r="K516" s="7">
        <f t="shared" si="84"/>
        <v>0</v>
      </c>
      <c r="L516" s="20">
        <f>IF(Close[[#This Row],[CreatedBy]]="MARINER\SilverAdm",1,0)</f>
        <v>1</v>
      </c>
      <c r="M516" t="str">
        <f>IF(NOT(ISBLANK(A516)),VLOOKUP(A516,'Close - PriceSaver'!A:J,6,0),"")</f>
        <v>DL input prc = 100.00390625  PX_ASK = 100.01171875 PX_BID = 99.99609375</v>
      </c>
      <c r="Q516" t="e">
        <f t="shared" si="76"/>
        <v>#N/A</v>
      </c>
      <c r="R516" t="e">
        <f t="shared" si="77"/>
        <v>#N/A</v>
      </c>
      <c r="S516" t="e">
        <f t="shared" si="78"/>
        <v>#N/A</v>
      </c>
      <c r="T516" s="15" t="e">
        <f t="shared" si="79"/>
        <v>#N/A</v>
      </c>
      <c r="U516" s="18" t="e">
        <f t="shared" si="80"/>
        <v>#N/A</v>
      </c>
      <c r="V516" s="18" t="e">
        <f t="shared" si="81"/>
        <v>#N/A</v>
      </c>
      <c r="W516" s="19" t="e">
        <f t="shared" si="82"/>
        <v>#N/A</v>
      </c>
      <c r="X516" t="e">
        <f>VLOOKUP(P516,Close[[ID]:[CreatedBy]],8,0)</f>
        <v>#N/A</v>
      </c>
    </row>
    <row r="517" spans="1:24" x14ac:dyDescent="0.35">
      <c r="A517" t="str">
        <v>91282CMP3</v>
      </c>
      <c r="B517" t="str">
        <f>IF(NOT(ISBLANK(A517)),VLOOKUP(A517,'BBT3'!A:F,2,0),"")</f>
        <v>Bond</v>
      </c>
      <c r="C517" t="str">
        <f>IF(NOT(ISBLANK(A517)),VLOOKUP(A517,'BBT3'!A:F,3,0),"")</f>
        <v>US91282CMP31</v>
      </c>
      <c r="D517" s="5">
        <f>IF(NOT(ISBLANK(A517)),VLOOKUP(A517,'BBT3'!A:F,4,1),"")</f>
        <v>4.125</v>
      </c>
      <c r="E517">
        <f>IF(NOT(ISBLANK(A517)),VLOOKUP(A517,'BBT3'!A:F,5,0),"")</f>
        <v>46446</v>
      </c>
      <c r="F517" t="str">
        <f>IF(NOT(ISBLANK(A517)),VLOOKUP(A517,'BBT3'!A:F,6,0),"")</f>
        <v>N</v>
      </c>
      <c r="G517" t="str">
        <f t="shared" si="83"/>
        <v>N</v>
      </c>
      <c r="H517">
        <f>IF(NOT(ISBLANK(A517)),VLOOKUP(A517,'Close - PriceSaver'!A:J,5,0),"")</f>
        <v>4.0108951889893003E-2</v>
      </c>
      <c r="I517" s="4" cm="1">
        <f t="array" ref="I517">IF(NOT(ISBLANK(A517)),((_xlfn.XLOOKUP(1,(_bbt3[[#All],[ID]]=A517)*(_bbt3[[#All],[METRIC_NAME]]="YLD_YTM_ASK"),_bbt3[[#All],[METRIC_VALUE]])*0.5)+(_xlfn.XLOOKUP(1,(_bbt3[[#All],[ID]]=A517)*(_bbt3[[#All],[METRIC_NAME]]="YLD_YTM_BID"),_bbt3[[#All],[METRIC_VALUE]])*0.5))/100,"")</f>
        <v>4.011E-2</v>
      </c>
      <c r="J517">
        <f>IF(ISNA(VLOOKUP(A517,'CloseDL - PriceSaverBBT3'!A:E,5,0)),0,VLOOKUP(A517,'CloseDL - PriceSaverBBT3'!A:E,5,0))</f>
        <v>4.0108951889893003E-2</v>
      </c>
      <c r="K517" s="7">
        <f t="shared" si="84"/>
        <v>0</v>
      </c>
      <c r="L517" s="20">
        <f>IF(Close[[#This Row],[CreatedBy]]="MARINER\SilverAdm",1,0)</f>
        <v>1</v>
      </c>
      <c r="M517" t="str">
        <f>IF(NOT(ISBLANK(A517)),VLOOKUP(A517,'Close - PriceSaver'!A:J,6,0),"")</f>
        <v>DL input prc = 100.06445313  PX_ASK = 100.07812500 PX_BID = 100.05078125</v>
      </c>
      <c r="Q517" t="e">
        <f t="shared" si="76"/>
        <v>#N/A</v>
      </c>
      <c r="R517" t="e">
        <f t="shared" si="77"/>
        <v>#N/A</v>
      </c>
      <c r="S517" t="e">
        <f t="shared" si="78"/>
        <v>#N/A</v>
      </c>
      <c r="T517" s="15" t="e">
        <f t="shared" si="79"/>
        <v>#N/A</v>
      </c>
      <c r="U517" s="18" t="e">
        <f t="shared" si="80"/>
        <v>#N/A</v>
      </c>
      <c r="V517" s="18" t="e">
        <f t="shared" si="81"/>
        <v>#N/A</v>
      </c>
      <c r="W517" s="19" t="e">
        <f t="shared" si="82"/>
        <v>#N/A</v>
      </c>
      <c r="X517" t="e">
        <f>VLOOKUP(P517,Close[[ID]:[CreatedBy]],8,0)</f>
        <v>#N/A</v>
      </c>
    </row>
    <row r="518" spans="1:24" x14ac:dyDescent="0.35">
      <c r="A518" t="str">
        <v>91282CMR9</v>
      </c>
      <c r="B518" t="str">
        <f>IF(NOT(ISBLANK(A518)),VLOOKUP(A518,'BBT3'!A:F,2,0),"")</f>
        <v>Bond</v>
      </c>
      <c r="C518" t="str">
        <f>IF(NOT(ISBLANK(A518)),VLOOKUP(A518,'BBT3'!A:F,3,0),"")</f>
        <v>US91282CMR96</v>
      </c>
      <c r="D518" s="5">
        <f>IF(NOT(ISBLANK(A518)),VLOOKUP(A518,'BBT3'!A:F,4,1),"")</f>
        <v>4.125</v>
      </c>
      <c r="E518">
        <f>IF(NOT(ISBLANK(A518)),VLOOKUP(A518,'BBT3'!A:F,5,0),"")</f>
        <v>48273</v>
      </c>
      <c r="F518" t="str">
        <f>IF(NOT(ISBLANK(A518)),VLOOKUP(A518,'BBT3'!A:F,6,0),"")</f>
        <v>N</v>
      </c>
      <c r="G518" t="str">
        <f t="shared" si="83"/>
        <v>N</v>
      </c>
      <c r="H518">
        <f>IF(NOT(ISBLANK(A518)),VLOOKUP(A518,'Close - PriceSaver'!A:J,5,0),"")</f>
        <v>4.4107726939678203E-2</v>
      </c>
      <c r="I518" s="4" cm="1">
        <f t="array" ref="I518">IF(NOT(ISBLANK(A518)),((_xlfn.XLOOKUP(1,(_bbt3[[#All],[ID]]=A518)*(_bbt3[[#All],[METRIC_NAME]]="YLD_YTM_ASK"),_bbt3[[#All],[METRIC_VALUE]])*0.5)+(_xlfn.XLOOKUP(1,(_bbt3[[#All],[ID]]=A518)*(_bbt3[[#All],[METRIC_NAME]]="YLD_YTM_BID"),_bbt3[[#All],[METRIC_VALUE]])*0.5))/100,"")</f>
        <v>4.4105000000000005E-2</v>
      </c>
      <c r="J518">
        <f>IF(ISNA(VLOOKUP(A518,'CloseDL - PriceSaverBBT3'!A:E,5,0)),0,VLOOKUP(A518,'CloseDL - PriceSaverBBT3'!A:E,5,0))</f>
        <v>4.4107726939678203E-2</v>
      </c>
      <c r="K518" s="7">
        <f t="shared" si="84"/>
        <v>0</v>
      </c>
      <c r="L518" s="20">
        <f>IF(Close[[#This Row],[CreatedBy]]="MARINER\SilverAdm",1,0)</f>
        <v>1</v>
      </c>
      <c r="M518" t="str">
        <f>IF(NOT(ISBLANK(A518)),VLOOKUP(A518,'Close - PriceSaver'!A:J,6,0),"")</f>
        <v>DL input prc = 98.58984375  PX_ASK = 98.60156250 PX_BID = 98.57812500</v>
      </c>
      <c r="Q518" t="e">
        <f t="shared" si="76"/>
        <v>#N/A</v>
      </c>
      <c r="R518" t="e">
        <f t="shared" si="77"/>
        <v>#N/A</v>
      </c>
      <c r="S518" t="e">
        <f t="shared" si="78"/>
        <v>#N/A</v>
      </c>
      <c r="T518" s="15" t="e">
        <f t="shared" si="79"/>
        <v>#N/A</v>
      </c>
      <c r="U518" s="18" t="e">
        <f t="shared" si="80"/>
        <v>#N/A</v>
      </c>
      <c r="V518" s="18" t="e">
        <f t="shared" si="81"/>
        <v>#N/A</v>
      </c>
      <c r="W518" s="19" t="e">
        <f t="shared" si="82"/>
        <v>#N/A</v>
      </c>
      <c r="X518" t="e">
        <f>VLOOKUP(P518,Close[[ID]:[CreatedBy]],8,0)</f>
        <v>#N/A</v>
      </c>
    </row>
    <row r="519" spans="1:24" x14ac:dyDescent="0.35">
      <c r="A519" t="str">
        <v>91282CMS7</v>
      </c>
      <c r="B519" t="str">
        <f>IF(NOT(ISBLANK(A519)),VLOOKUP(A519,'BBT3'!A:F,2,0),"")</f>
        <v>Bond</v>
      </c>
      <c r="C519" t="str">
        <f>IF(NOT(ISBLANK(A519)),VLOOKUP(A519,'BBT3'!A:F,3,0),"")</f>
        <v>US91282CMS79</v>
      </c>
      <c r="D519" s="5">
        <f>IF(NOT(ISBLANK(A519)),VLOOKUP(A519,'BBT3'!A:F,4,1),"")</f>
        <v>3.875</v>
      </c>
      <c r="E519">
        <f>IF(NOT(ISBLANK(A519)),VLOOKUP(A519,'BBT3'!A:F,5,0),"")</f>
        <v>46827</v>
      </c>
      <c r="F519" t="str">
        <f>IF(NOT(ISBLANK(A519)),VLOOKUP(A519,'BBT3'!A:F,6,0),"")</f>
        <v>N</v>
      </c>
      <c r="G519" t="str">
        <f t="shared" si="83"/>
        <v>N</v>
      </c>
      <c r="H519">
        <f>IF(NOT(ISBLANK(A519)),VLOOKUP(A519,'Close - PriceSaver'!A:J,5,0),"")</f>
        <v>4.2500691859000801E-2</v>
      </c>
      <c r="I519" s="4" cm="1">
        <f t="array" ref="I519">IF(NOT(ISBLANK(A519)),((_xlfn.XLOOKUP(1,(_bbt3[[#All],[ID]]=A519)*(_bbt3[[#All],[METRIC_NAME]]="YLD_YTM_ASK"),_bbt3[[#All],[METRIC_VALUE]])*0.5)+(_xlfn.XLOOKUP(1,(_bbt3[[#All],[ID]]=A519)*(_bbt3[[#All],[METRIC_NAME]]="YLD_YTM_BID"),_bbt3[[#All],[METRIC_VALUE]])*0.5))/100,"")</f>
        <v>4.2500000000000003E-2</v>
      </c>
      <c r="J519">
        <f>IF(ISNA(VLOOKUP(A519,'CloseDL - PriceSaverBBT3'!A:E,5,0)),0,VLOOKUP(A519,'CloseDL - PriceSaverBBT3'!A:E,5,0))</f>
        <v>4.2500691859000801E-2</v>
      </c>
      <c r="K519" s="7">
        <f t="shared" si="84"/>
        <v>0</v>
      </c>
      <c r="L519" s="20">
        <f>IF(Close[[#This Row],[CreatedBy]]="MARINER\SilverAdm",1,0)</f>
        <v>1</v>
      </c>
      <c r="M519" t="str">
        <f>IF(NOT(ISBLANK(A519)),VLOOKUP(A519,'Close - PriceSaver'!A:J,6,0),"")</f>
        <v>DL input prc = 99.40429688  PX_ASK = 99.41015625 PX_BID = 99.39843750</v>
      </c>
      <c r="Q519" t="e">
        <f t="shared" si="76"/>
        <v>#N/A</v>
      </c>
      <c r="R519" t="e">
        <f t="shared" si="77"/>
        <v>#N/A</v>
      </c>
      <c r="S519" t="e">
        <f t="shared" si="78"/>
        <v>#N/A</v>
      </c>
      <c r="T519" s="15" t="e">
        <f t="shared" si="79"/>
        <v>#N/A</v>
      </c>
      <c r="U519" s="18" t="e">
        <f t="shared" si="80"/>
        <v>#N/A</v>
      </c>
      <c r="V519" s="18" t="e">
        <f t="shared" si="81"/>
        <v>#N/A</v>
      </c>
      <c r="W519" s="19" t="e">
        <f t="shared" si="82"/>
        <v>#N/A</v>
      </c>
      <c r="X519" t="e">
        <f>VLOOKUP(P519,Close[[ID]:[CreatedBy]],8,0)</f>
        <v>#N/A</v>
      </c>
    </row>
    <row r="520" spans="1:24" x14ac:dyDescent="0.35">
      <c r="A520" t="str">
        <v>91282CMT5</v>
      </c>
      <c r="B520" t="str">
        <f>IF(NOT(ISBLANK(A520)),VLOOKUP(A520,'BBT3'!A:F,2,0),"")</f>
        <v>Bond</v>
      </c>
      <c r="C520" t="str">
        <f>IF(NOT(ISBLANK(A520)),VLOOKUP(A520,'BBT3'!A:F,3,0),"")</f>
        <v>US91282CMT52</v>
      </c>
      <c r="D520" s="5">
        <f>IF(NOT(ISBLANK(A520)),VLOOKUP(A520,'BBT3'!A:F,4,1),"")</f>
        <v>4.125</v>
      </c>
      <c r="E520">
        <f>IF(NOT(ISBLANK(A520)),VLOOKUP(A520,'BBT3'!A:F,5,0),"")</f>
        <v>48304</v>
      </c>
      <c r="F520" t="str">
        <f>IF(NOT(ISBLANK(A520)),VLOOKUP(A520,'BBT3'!A:F,6,0),"")</f>
        <v>N</v>
      </c>
      <c r="G520" t="str">
        <f t="shared" si="83"/>
        <v>N</v>
      </c>
      <c r="H520">
        <f>IF(NOT(ISBLANK(A520)),VLOOKUP(A520,'Close - PriceSaver'!A:J,5,0),"")</f>
        <v>4.4178456454584403E-2</v>
      </c>
      <c r="I520" s="4" cm="1">
        <f t="array" ref="I520">IF(NOT(ISBLANK(A520)),((_xlfn.XLOOKUP(1,(_bbt3[[#All],[ID]]=A520)*(_bbt3[[#All],[METRIC_NAME]]="YLD_YTM_ASK"),_bbt3[[#All],[METRIC_VALUE]])*0.5)+(_xlfn.XLOOKUP(1,(_bbt3[[#All],[ID]]=A520)*(_bbt3[[#All],[METRIC_NAME]]="YLD_YTM_BID"),_bbt3[[#All],[METRIC_VALUE]])*0.5))/100,"")</f>
        <v>4.4175000000000006E-2</v>
      </c>
      <c r="J520">
        <f>IF(ISNA(VLOOKUP(A520,'CloseDL - PriceSaverBBT3'!A:E,5,0)),0,VLOOKUP(A520,'CloseDL - PriceSaverBBT3'!A:E,5,0))</f>
        <v>4.4178456454584403E-2</v>
      </c>
      <c r="K520" s="7">
        <f t="shared" si="84"/>
        <v>0</v>
      </c>
      <c r="L520" s="20">
        <f>IF(Close[[#This Row],[CreatedBy]]="MARINER\SilverAdm",1,0)</f>
        <v>1</v>
      </c>
      <c r="M520" t="str">
        <f>IF(NOT(ISBLANK(A520)),VLOOKUP(A520,'Close - PriceSaver'!A:J,6,0),"")</f>
        <v>DL input prc = 98.53515625  PX_ASK = 98.54687500 PX_BID = 98.52343750</v>
      </c>
      <c r="Q520" t="e">
        <f t="shared" si="76"/>
        <v>#N/A</v>
      </c>
      <c r="R520" t="e">
        <f t="shared" si="77"/>
        <v>#N/A</v>
      </c>
      <c r="S520" t="e">
        <f t="shared" si="78"/>
        <v>#N/A</v>
      </c>
      <c r="T520" s="15" t="e">
        <f t="shared" si="79"/>
        <v>#N/A</v>
      </c>
      <c r="U520" s="18" t="e">
        <f t="shared" si="80"/>
        <v>#N/A</v>
      </c>
      <c r="V520" s="18" t="e">
        <f t="shared" si="81"/>
        <v>#N/A</v>
      </c>
      <c r="W520" s="19" t="e">
        <f t="shared" si="82"/>
        <v>#N/A</v>
      </c>
      <c r="X520" t="e">
        <f>VLOOKUP(P520,Close[[ID]:[CreatedBy]],8,0)</f>
        <v>#N/A</v>
      </c>
    </row>
    <row r="521" spans="1:24" x14ac:dyDescent="0.35">
      <c r="A521" t="str">
        <v>91282CMU2</v>
      </c>
      <c r="B521" t="str">
        <f>IF(NOT(ISBLANK(A521)),VLOOKUP(A521,'BBT3'!A:F,2,0),"")</f>
        <v>Bond</v>
      </c>
      <c r="C521" t="str">
        <f>IF(NOT(ISBLANK(A521)),VLOOKUP(A521,'BBT3'!A:F,3,0),"")</f>
        <v>US91282CMU26</v>
      </c>
      <c r="D521" s="5">
        <f>IF(NOT(ISBLANK(A521)),VLOOKUP(A521,'BBT3'!A:F,4,1),"")</f>
        <v>4</v>
      </c>
      <c r="E521">
        <f>IF(NOT(ISBLANK(A521)),VLOOKUP(A521,'BBT3'!A:F,5,0),"")</f>
        <v>47573</v>
      </c>
      <c r="F521" t="str">
        <f>IF(NOT(ISBLANK(A521)),VLOOKUP(A521,'BBT3'!A:F,6,0),"")</f>
        <v>N</v>
      </c>
      <c r="G521" t="str">
        <f t="shared" si="83"/>
        <v>N</v>
      </c>
      <c r="H521">
        <f>IF(NOT(ISBLANK(A521)),VLOOKUP(A521,'Close - PriceSaver'!A:J,5,0),"")</f>
        <v>4.33157041608664E-2</v>
      </c>
      <c r="I521" s="4" cm="1">
        <f t="array" ref="I521">IF(NOT(ISBLANK(A521)),((_xlfn.XLOOKUP(1,(_bbt3[[#All],[ID]]=A521)*(_bbt3[[#All],[METRIC_NAME]]="YLD_YTM_ASK"),_bbt3[[#All],[METRIC_VALUE]])*0.5)+(_xlfn.XLOOKUP(1,(_bbt3[[#All],[ID]]=A521)*(_bbt3[[#All],[METRIC_NAME]]="YLD_YTM_BID"),_bbt3[[#All],[METRIC_VALUE]])*0.5))/100,"")</f>
        <v>4.3314999999999999E-2</v>
      </c>
      <c r="J521">
        <f>IF(ISNA(VLOOKUP(A521,'CloseDL - PriceSaverBBT3'!A:E,5,0)),0,VLOOKUP(A521,'CloseDL - PriceSaverBBT3'!A:E,5,0))</f>
        <v>4.33157041608664E-2</v>
      </c>
      <c r="K521" s="7">
        <f t="shared" si="84"/>
        <v>0</v>
      </c>
      <c r="L521" s="20">
        <f>IF(Close[[#This Row],[CreatedBy]]="MARINER\SilverAdm",1,0)</f>
        <v>1</v>
      </c>
      <c r="M521" t="str">
        <f>IF(NOT(ISBLANK(A521)),VLOOKUP(A521,'Close - PriceSaver'!A:J,6,0),"")</f>
        <v>DL input prc = 98.87500000  PX_ASK = 98.88281250 PX_BID = 98.86718750</v>
      </c>
      <c r="Q521" t="e">
        <f t="shared" si="76"/>
        <v>#N/A</v>
      </c>
      <c r="R521" t="e">
        <f t="shared" si="77"/>
        <v>#N/A</v>
      </c>
      <c r="S521" t="e">
        <f t="shared" si="78"/>
        <v>#N/A</v>
      </c>
      <c r="T521" s="15" t="e">
        <f t="shared" si="79"/>
        <v>#N/A</v>
      </c>
      <c r="U521" s="18" t="e">
        <f t="shared" si="80"/>
        <v>#N/A</v>
      </c>
      <c r="V521" s="18" t="e">
        <f t="shared" si="81"/>
        <v>#N/A</v>
      </c>
      <c r="W521" s="19" t="e">
        <f t="shared" si="82"/>
        <v>#N/A</v>
      </c>
      <c r="X521" t="e">
        <f>VLOOKUP(P521,Close[[ID]:[CreatedBy]],8,0)</f>
        <v>#N/A</v>
      </c>
    </row>
    <row r="522" spans="1:24" x14ac:dyDescent="0.35">
      <c r="A522" t="str">
        <v>91282CMV0</v>
      </c>
      <c r="B522" t="str">
        <f>IF(NOT(ISBLANK(A522)),VLOOKUP(A522,'BBT3'!A:F,2,0),"")</f>
        <v>Bond</v>
      </c>
      <c r="C522" t="str">
        <f>IF(NOT(ISBLANK(A522)),VLOOKUP(A522,'BBT3'!A:F,3,0),"")</f>
        <v>US91282CMV09</v>
      </c>
      <c r="D522" s="5">
        <f>IF(NOT(ISBLANK(A522)),VLOOKUP(A522,'BBT3'!A:F,4,1),"")</f>
        <v>3.875</v>
      </c>
      <c r="E522">
        <f>IF(NOT(ISBLANK(A522)),VLOOKUP(A522,'BBT3'!A:F,5,0),"")</f>
        <v>46477</v>
      </c>
      <c r="F522" t="str">
        <f>IF(NOT(ISBLANK(A522)),VLOOKUP(A522,'BBT3'!A:F,6,0),"")</f>
        <v>N</v>
      </c>
      <c r="G522" t="str">
        <f t="shared" si="83"/>
        <v>N</v>
      </c>
      <c r="H522">
        <f>IF(NOT(ISBLANK(A522)),VLOOKUP(A522,'Close - PriceSaver'!A:J,5,0),"")</f>
        <v>4.0302613835245901E-2</v>
      </c>
      <c r="I522" s="4" cm="1">
        <f t="array" ref="I522">IF(NOT(ISBLANK(A522)),((_xlfn.XLOOKUP(1,(_bbt3[[#All],[ID]]=A522)*(_bbt3[[#All],[METRIC_NAME]]="YLD_YTM_ASK"),_bbt3[[#All],[METRIC_VALUE]])*0.5)+(_xlfn.XLOOKUP(1,(_bbt3[[#All],[ID]]=A522)*(_bbt3[[#All],[METRIC_NAME]]="YLD_YTM_BID"),_bbt3[[#All],[METRIC_VALUE]])*0.5))/100,"")</f>
        <v>4.0305000000000001E-2</v>
      </c>
      <c r="J522">
        <f>IF(ISNA(VLOOKUP(A522,'CloseDL - PriceSaverBBT3'!A:E,5,0)),0,VLOOKUP(A522,'CloseDL - PriceSaverBBT3'!A:E,5,0))</f>
        <v>4.0302613835245901E-2</v>
      </c>
      <c r="K522" s="7">
        <f t="shared" si="84"/>
        <v>0</v>
      </c>
      <c r="L522" s="20">
        <f>IF(Close[[#This Row],[CreatedBy]]="MARINER\SilverAdm",1,0)</f>
        <v>1</v>
      </c>
      <c r="M522" t="str">
        <f>IF(NOT(ISBLANK(A522)),VLOOKUP(A522,'Close - PriceSaver'!A:J,6,0),"")</f>
        <v>DL input prc = 99.89062500  PX_ASK = 99.90234375 PX_BID = 99.87890625</v>
      </c>
      <c r="Q522" t="e">
        <f t="shared" si="76"/>
        <v>#N/A</v>
      </c>
      <c r="R522" t="e">
        <f t="shared" si="77"/>
        <v>#N/A</v>
      </c>
      <c r="S522" t="e">
        <f t="shared" si="78"/>
        <v>#N/A</v>
      </c>
      <c r="T522" s="15" t="e">
        <f t="shared" si="79"/>
        <v>#N/A</v>
      </c>
      <c r="U522" s="18" t="e">
        <f t="shared" si="80"/>
        <v>#N/A</v>
      </c>
      <c r="V522" s="18" t="e">
        <f t="shared" si="81"/>
        <v>#N/A</v>
      </c>
      <c r="W522" s="19" t="e">
        <f t="shared" si="82"/>
        <v>#N/A</v>
      </c>
      <c r="X522" t="e">
        <f>VLOOKUP(P522,Close[[ID]:[CreatedBy]],8,0)</f>
        <v>#N/A</v>
      </c>
    </row>
    <row r="523" spans="1:24" x14ac:dyDescent="0.35">
      <c r="A523" t="str">
        <v>91282CMW8</v>
      </c>
      <c r="B523" t="str">
        <f>IF(NOT(ISBLANK(A523)),VLOOKUP(A523,'BBT3'!A:F,2,0),"")</f>
        <v>Bond</v>
      </c>
      <c r="C523" t="str">
        <f>IF(NOT(ISBLANK(A523)),VLOOKUP(A523,'BBT3'!A:F,3,0),"")</f>
        <v>US91282CMW81</v>
      </c>
      <c r="D523" s="5">
        <f>IF(NOT(ISBLANK(A523)),VLOOKUP(A523,'BBT3'!A:F,4,1),"")</f>
        <v>3.75</v>
      </c>
      <c r="E523">
        <f>IF(NOT(ISBLANK(A523)),VLOOKUP(A523,'BBT3'!A:F,5,0),"")</f>
        <v>46858</v>
      </c>
      <c r="F523" t="str">
        <f>IF(NOT(ISBLANK(A523)),VLOOKUP(A523,'BBT3'!A:F,6,0),"")</f>
        <v>N</v>
      </c>
      <c r="G523" t="str">
        <f t="shared" si="83"/>
        <v>N</v>
      </c>
      <c r="H523">
        <f>IF(NOT(ISBLANK(A523)),VLOOKUP(A523,'Close - PriceSaver'!A:J,5,0),"")</f>
        <v>4.2610214296736497E-2</v>
      </c>
      <c r="I523" s="4" cm="1">
        <f t="array" ref="I523">IF(NOT(ISBLANK(A523)),((_xlfn.XLOOKUP(1,(_bbt3[[#All],[ID]]=A523)*(_bbt3[[#All],[METRIC_NAME]]="YLD_YTM_ASK"),_bbt3[[#All],[METRIC_VALUE]])*0.5)+(_xlfn.XLOOKUP(1,(_bbt3[[#All],[ID]]=A523)*(_bbt3[[#All],[METRIC_NAME]]="YLD_YTM_BID"),_bbt3[[#All],[METRIC_VALUE]])*0.5))/100,"")</f>
        <v>4.2609999999999995E-2</v>
      </c>
      <c r="J523">
        <f>IF(ISNA(VLOOKUP(A523,'CloseDL - PriceSaverBBT3'!A:E,5,0)),0,VLOOKUP(A523,'CloseDL - PriceSaverBBT3'!A:E,5,0))</f>
        <v>4.2610214296736497E-2</v>
      </c>
      <c r="K523" s="7">
        <f t="shared" si="84"/>
        <v>0</v>
      </c>
      <c r="L523" s="20">
        <f>IF(Close[[#This Row],[CreatedBy]]="MARINER\SilverAdm",1,0)</f>
        <v>1</v>
      </c>
      <c r="M523" t="str">
        <f>IF(NOT(ISBLANK(A523)),VLOOKUP(A523,'Close - PriceSaver'!A:J,6,0),"")</f>
        <v>DL input prc = 99.15039063  PX_ASK = 99.15625000 PX_BID = 99.14453125</v>
      </c>
      <c r="Q523" t="e">
        <f t="shared" si="76"/>
        <v>#N/A</v>
      </c>
      <c r="R523" t="e">
        <f t="shared" si="77"/>
        <v>#N/A</v>
      </c>
      <c r="S523" t="e">
        <f t="shared" si="78"/>
        <v>#N/A</v>
      </c>
      <c r="T523" s="15" t="e">
        <f t="shared" si="79"/>
        <v>#N/A</v>
      </c>
      <c r="U523" s="18" t="e">
        <f t="shared" si="80"/>
        <v>#N/A</v>
      </c>
      <c r="V523" s="18" t="e">
        <f t="shared" si="81"/>
        <v>#N/A</v>
      </c>
      <c r="W523" s="19" t="e">
        <f t="shared" si="82"/>
        <v>#N/A</v>
      </c>
      <c r="X523" t="e">
        <f>VLOOKUP(P523,Close[[ID]:[CreatedBy]],8,0)</f>
        <v>#N/A</v>
      </c>
    </row>
    <row r="524" spans="1:24" x14ac:dyDescent="0.35">
      <c r="A524" t="str">
        <v>91282CMY4</v>
      </c>
      <c r="B524" t="str">
        <f>IF(NOT(ISBLANK(A524)),VLOOKUP(A524,'BBT3'!A:F,2,0),"")</f>
        <v>Bond</v>
      </c>
      <c r="C524" t="str">
        <f>IF(NOT(ISBLANK(A524)),VLOOKUP(A524,'BBT3'!A:F,3,0),"")</f>
        <v>US91282CMY48</v>
      </c>
      <c r="D524" s="5">
        <f>IF(NOT(ISBLANK(A524)),VLOOKUP(A524,'BBT3'!A:F,4,1),"")</f>
        <v>3.75</v>
      </c>
      <c r="E524">
        <f>IF(NOT(ISBLANK(A524)),VLOOKUP(A524,'BBT3'!A:F,5,0),"")</f>
        <v>46507</v>
      </c>
      <c r="F524" t="str">
        <f>IF(NOT(ISBLANK(A524)),VLOOKUP(A524,'BBT3'!A:F,6,0),"")</f>
        <v>N</v>
      </c>
      <c r="G524" t="str">
        <f t="shared" si="83"/>
        <v>N</v>
      </c>
      <c r="H524">
        <f>IF(NOT(ISBLANK(A524)),VLOOKUP(A524,'Close - PriceSaver'!A:J,5,0),"")</f>
        <v>4.08536012487212E-2</v>
      </c>
      <c r="I524" s="4" cm="1">
        <f t="array" ref="I524">IF(NOT(ISBLANK(A524)),((_xlfn.XLOOKUP(1,(_bbt3[[#All],[ID]]=A524)*(_bbt3[[#All],[METRIC_NAME]]="YLD_YTM_ASK"),_bbt3[[#All],[METRIC_VALUE]])*0.5)+(_xlfn.XLOOKUP(1,(_bbt3[[#All],[ID]]=A524)*(_bbt3[[#All],[METRIC_NAME]]="YLD_YTM_BID"),_bbt3[[#All],[METRIC_VALUE]])*0.5))/100,"")</f>
        <v>4.0854999999999995E-2</v>
      </c>
      <c r="J524">
        <f>IF(ISNA(VLOOKUP(A524,'CloseDL - PriceSaverBBT3'!A:E,5,0)),0,VLOOKUP(A524,'CloseDL - PriceSaverBBT3'!A:E,5,0))</f>
        <v>4.08536012487212E-2</v>
      </c>
      <c r="K524" s="7">
        <f t="shared" si="84"/>
        <v>0</v>
      </c>
      <c r="L524" s="20">
        <f>IF(Close[[#This Row],[CreatedBy]]="MARINER\SilverAdm",1,0)</f>
        <v>1</v>
      </c>
      <c r="M524" t="str">
        <f>IF(NOT(ISBLANK(A524)),VLOOKUP(A524,'Close - PriceSaver'!A:J,6,0),"")</f>
        <v>DL input prc = 99.74218750  PX_ASK = 99.75000000 PX_BID = 99.73437500</v>
      </c>
      <c r="Q524" t="e">
        <f t="shared" si="76"/>
        <v>#N/A</v>
      </c>
      <c r="R524" t="e">
        <f t="shared" si="77"/>
        <v>#N/A</v>
      </c>
      <c r="S524" t="e">
        <f t="shared" si="78"/>
        <v>#N/A</v>
      </c>
      <c r="T524" s="15" t="e">
        <f t="shared" si="79"/>
        <v>#N/A</v>
      </c>
      <c r="U524" s="18" t="e">
        <f t="shared" si="80"/>
        <v>#N/A</v>
      </c>
      <c r="V524" s="18" t="e">
        <f t="shared" si="81"/>
        <v>#N/A</v>
      </c>
      <c r="W524" s="19" t="e">
        <f t="shared" si="82"/>
        <v>#N/A</v>
      </c>
      <c r="X524" t="e">
        <f>VLOOKUP(P524,Close[[ID]:[CreatedBy]],8,0)</f>
        <v>#N/A</v>
      </c>
    </row>
    <row r="525" spans="1:24" x14ac:dyDescent="0.35">
      <c r="A525" t="str">
        <v>91282CMZ1</v>
      </c>
      <c r="B525" t="str">
        <f>IF(NOT(ISBLANK(A525)),VLOOKUP(A525,'BBT3'!A:F,2,0),"")</f>
        <v>Bond</v>
      </c>
      <c r="C525" t="str">
        <f>IF(NOT(ISBLANK(A525)),VLOOKUP(A525,'BBT3'!A:F,3,0),"")</f>
        <v>US91282CMZ13</v>
      </c>
      <c r="D525" s="5">
        <f>IF(NOT(ISBLANK(A525)),VLOOKUP(A525,'BBT3'!A:F,4,1),"")</f>
        <v>3.875</v>
      </c>
      <c r="E525">
        <f>IF(NOT(ISBLANK(A525)),VLOOKUP(A525,'BBT3'!A:F,5,0),"")</f>
        <v>47603</v>
      </c>
      <c r="F525" t="str">
        <f>IF(NOT(ISBLANK(A525)),VLOOKUP(A525,'BBT3'!A:F,6,0),"")</f>
        <v>N</v>
      </c>
      <c r="G525" t="str">
        <f t="shared" si="83"/>
        <v>N</v>
      </c>
      <c r="H525">
        <f>IF(NOT(ISBLANK(A525)),VLOOKUP(A525,'Close - PriceSaver'!A:J,5,0),"")</f>
        <v>4.3323678087104897E-2</v>
      </c>
      <c r="I525" s="4" cm="1">
        <f t="array" ref="I525">IF(NOT(ISBLANK(A525)),((_xlfn.XLOOKUP(1,(_bbt3[[#All],[ID]]=A525)*(_bbt3[[#All],[METRIC_NAME]]="YLD_YTM_ASK"),_bbt3[[#All],[METRIC_VALUE]])*0.5)+(_xlfn.XLOOKUP(1,(_bbt3[[#All],[ID]]=A525)*(_bbt3[[#All],[METRIC_NAME]]="YLD_YTM_BID"),_bbt3[[#All],[METRIC_VALUE]])*0.5))/100,"")</f>
        <v>4.3324999999999995E-2</v>
      </c>
      <c r="J525">
        <f>IF(ISNA(VLOOKUP(A525,'CloseDL - PriceSaverBBT3'!A:E,5,0)),0,VLOOKUP(A525,'CloseDL - PriceSaverBBT3'!A:E,5,0))</f>
        <v>4.3323678087104897E-2</v>
      </c>
      <c r="K525" s="7">
        <f t="shared" si="84"/>
        <v>0</v>
      </c>
      <c r="L525" s="20">
        <f>IF(Close[[#This Row],[CreatedBy]]="MARINER\SilverAdm",1,0)</f>
        <v>1</v>
      </c>
      <c r="M525" t="str">
        <f>IF(NOT(ISBLANK(A525)),VLOOKUP(A525,'Close - PriceSaver'!A:J,6,0),"")</f>
        <v>DL input prc = 98.41796875  PX_ASK = 98.42968750 PX_BID = 98.40625000</v>
      </c>
      <c r="Q525" t="e">
        <f t="shared" si="76"/>
        <v>#N/A</v>
      </c>
      <c r="R525" t="e">
        <f t="shared" si="77"/>
        <v>#N/A</v>
      </c>
      <c r="S525" t="e">
        <f t="shared" si="78"/>
        <v>#N/A</v>
      </c>
      <c r="T525" s="15" t="e">
        <f t="shared" si="79"/>
        <v>#N/A</v>
      </c>
      <c r="U525" s="18" t="e">
        <f t="shared" si="80"/>
        <v>#N/A</v>
      </c>
      <c r="V525" s="18" t="e">
        <f t="shared" si="81"/>
        <v>#N/A</v>
      </c>
      <c r="W525" s="19" t="e">
        <f t="shared" si="82"/>
        <v>#N/A</v>
      </c>
      <c r="X525" t="e">
        <f>VLOOKUP(P525,Close[[ID]:[CreatedBy]],8,0)</f>
        <v>#N/A</v>
      </c>
    </row>
    <row r="526" spans="1:24" x14ac:dyDescent="0.35">
      <c r="A526" t="str">
        <v>91282CNA5</v>
      </c>
      <c r="B526" t="str">
        <f>IF(NOT(ISBLANK(A526)),VLOOKUP(A526,'BBT3'!A:F,2,0),"")</f>
        <v>Bond</v>
      </c>
      <c r="C526" t="str">
        <f>IF(NOT(ISBLANK(A526)),VLOOKUP(A526,'BBT3'!A:F,3,0),"")</f>
        <v>US91282CNA52</v>
      </c>
      <c r="D526" s="5">
        <f>IF(NOT(ISBLANK(A526)),VLOOKUP(A526,'BBT3'!A:F,4,1),"")</f>
        <v>4</v>
      </c>
      <c r="E526">
        <f>IF(NOT(ISBLANK(A526)),VLOOKUP(A526,'BBT3'!A:F,5,0),"")</f>
        <v>48334</v>
      </c>
      <c r="F526" t="str">
        <f>IF(NOT(ISBLANK(A526)),VLOOKUP(A526,'BBT3'!A:F,6,0),"")</f>
        <v>N</v>
      </c>
      <c r="G526" t="str">
        <f t="shared" si="83"/>
        <v>N</v>
      </c>
      <c r="H526">
        <f>IF(NOT(ISBLANK(A526)),VLOOKUP(A526,'Close - PriceSaver'!A:J,5,0),"")</f>
        <v>4.4222653679410397E-2</v>
      </c>
      <c r="I526" s="4" cm="1">
        <f t="array" ref="I526">IF(NOT(ISBLANK(A526)),((_xlfn.XLOOKUP(1,(_bbt3[[#All],[ID]]=A526)*(_bbt3[[#All],[METRIC_NAME]]="YLD_YTM_ASK"),_bbt3[[#All],[METRIC_VALUE]])*0.5)+(_xlfn.XLOOKUP(1,(_bbt3[[#All],[ID]]=A526)*(_bbt3[[#All],[METRIC_NAME]]="YLD_YTM_BID"),_bbt3[[#All],[METRIC_VALUE]])*0.5))/100,"")</f>
        <v>4.4224999999999993E-2</v>
      </c>
      <c r="J526">
        <f>IF(ISNA(VLOOKUP(A526,'CloseDL - PriceSaverBBT3'!A:E,5,0)),0,VLOOKUP(A526,'CloseDL - PriceSaverBBT3'!A:E,5,0))</f>
        <v>4.4222653679410397E-2</v>
      </c>
      <c r="K526" s="7">
        <f t="shared" si="84"/>
        <v>0</v>
      </c>
      <c r="L526" s="20">
        <f>IF(Close[[#This Row],[CreatedBy]]="MARINER\SilverAdm",1,0)</f>
        <v>1</v>
      </c>
      <c r="M526" t="str">
        <f>IF(NOT(ISBLANK(A526)),VLOOKUP(A526,'Close - PriceSaver'!A:J,6,0),"")</f>
        <v>DL input prc = 97.86328125  PX_ASK = 97.87500000 PX_BID = 97.85156250</v>
      </c>
      <c r="Q526" t="e">
        <f t="shared" si="76"/>
        <v>#N/A</v>
      </c>
      <c r="R526" t="e">
        <f t="shared" si="77"/>
        <v>#N/A</v>
      </c>
      <c r="S526" t="e">
        <f t="shared" si="78"/>
        <v>#N/A</v>
      </c>
      <c r="T526" s="15" t="e">
        <f t="shared" si="79"/>
        <v>#N/A</v>
      </c>
      <c r="U526" s="18" t="e">
        <f t="shared" si="80"/>
        <v>#N/A</v>
      </c>
      <c r="V526" s="18" t="e">
        <f t="shared" si="81"/>
        <v>#N/A</v>
      </c>
      <c r="W526" s="19" t="e">
        <f t="shared" si="82"/>
        <v>#N/A</v>
      </c>
      <c r="X526" t="e">
        <f>VLOOKUP(P526,Close[[ID]:[CreatedBy]],8,0)</f>
        <v>#N/A</v>
      </c>
    </row>
    <row r="527" spans="1:24" x14ac:dyDescent="0.35">
      <c r="A527" t="str">
        <v>91282CNB3</v>
      </c>
      <c r="B527" t="str">
        <f>IF(NOT(ISBLANK(A527)),VLOOKUP(A527,'BBT3'!A:F,2,0),"")</f>
        <v>Bond</v>
      </c>
      <c r="C527" t="str">
        <f>IF(NOT(ISBLANK(A527)),VLOOKUP(A527,'BBT3'!A:F,3,0),"")</f>
        <v>US91282CNB36</v>
      </c>
      <c r="D527" s="5">
        <f>IF(NOT(ISBLANK(A527)),VLOOKUP(A527,'BBT3'!A:F,4,1),"")</f>
        <v>1.625</v>
      </c>
      <c r="E527">
        <f>IF(NOT(ISBLANK(A527)),VLOOKUP(A527,'BBT3'!A:F,5,0),"")</f>
        <v>47588</v>
      </c>
      <c r="F527" t="str">
        <f>IF(NOT(ISBLANK(A527)),VLOOKUP(A527,'BBT3'!A:F,6,0),"")</f>
        <v>Y</v>
      </c>
      <c r="G527" t="str">
        <f t="shared" si="83"/>
        <v>N</v>
      </c>
      <c r="H527">
        <f>IF(NOT(ISBLANK(A527)),VLOOKUP(A527,'Close - PriceSaver'!A:J,5,0),"")</f>
        <v>2.0927202082256399E-2</v>
      </c>
      <c r="I527" s="4" cm="1">
        <f t="array" ref="I527">IF(NOT(ISBLANK(A527)),((_xlfn.XLOOKUP(1,(_bbt3[[#All],[ID]]=A527)*(_bbt3[[#All],[METRIC_NAME]]="YLD_YTM_ASK"),_bbt3[[#All],[METRIC_VALUE]])*0.5)+(_xlfn.XLOOKUP(1,(_bbt3[[#All],[ID]]=A527)*(_bbt3[[#All],[METRIC_NAME]]="YLD_YTM_BID"),_bbt3[[#All],[METRIC_VALUE]])*0.5))/100,"")</f>
        <v>2.0925000000000003E-2</v>
      </c>
      <c r="J527">
        <f>IF(ISNA(VLOOKUP(A527,'CloseDL - PriceSaverBBT3'!A:E,5,0)),0,VLOOKUP(A527,'CloseDL - PriceSaverBBT3'!A:E,5,0))</f>
        <v>2.0927202082256399E-2</v>
      </c>
      <c r="K527" s="7">
        <f t="shared" si="84"/>
        <v>0</v>
      </c>
      <c r="L527" s="20">
        <f>IF(Close[[#This Row],[CreatedBy]]="MARINER\SilverAdm",1,0)</f>
        <v>1</v>
      </c>
      <c r="M527" t="str">
        <f>IF(NOT(ISBLANK(A527)),VLOOKUP(A527,'Close - PriceSaver'!A:J,6,0),"")</f>
        <v>DL input prc = 98.32812500  PX_ASK = 98.35156250 PX_BID = 98.30468750</v>
      </c>
      <c r="Q527" t="e">
        <f t="shared" si="76"/>
        <v>#N/A</v>
      </c>
      <c r="R527" t="e">
        <f t="shared" si="77"/>
        <v>#N/A</v>
      </c>
      <c r="S527" t="e">
        <f t="shared" si="78"/>
        <v>#N/A</v>
      </c>
      <c r="T527" s="15" t="e">
        <f t="shared" si="79"/>
        <v>#N/A</v>
      </c>
      <c r="U527" s="18" t="e">
        <f t="shared" si="80"/>
        <v>#N/A</v>
      </c>
      <c r="V527" s="18" t="e">
        <f t="shared" si="81"/>
        <v>#N/A</v>
      </c>
      <c r="W527" s="19" t="e">
        <f t="shared" si="82"/>
        <v>#N/A</v>
      </c>
      <c r="X527" t="e">
        <f>VLOOKUP(P527,Close[[ID]:[CreatedBy]],8,0)</f>
        <v>#N/A</v>
      </c>
    </row>
    <row r="528" spans="1:24" x14ac:dyDescent="0.35">
      <c r="A528" t="str">
        <v>91282CNC1</v>
      </c>
      <c r="B528" t="str">
        <f>IF(NOT(ISBLANK(A528)),VLOOKUP(A528,'BBT3'!A:F,2,0),"")</f>
        <v>Bond</v>
      </c>
      <c r="C528" t="str">
        <f>IF(NOT(ISBLANK(A528)),VLOOKUP(A528,'BBT3'!A:F,3,0),"")</f>
        <v>US91282CNC19</v>
      </c>
      <c r="D528" s="5">
        <f>IF(NOT(ISBLANK(A528)),VLOOKUP(A528,'BBT3'!A:F,4,1),"")</f>
        <v>4.25</v>
      </c>
      <c r="E528">
        <f>IF(NOT(ISBLANK(A528)),VLOOKUP(A528,'BBT3'!A:F,5,0),"")</f>
        <v>49444</v>
      </c>
      <c r="F528" t="str">
        <f>IF(NOT(ISBLANK(A528)),VLOOKUP(A528,'BBT3'!A:F,6,0),"")</f>
        <v>N</v>
      </c>
      <c r="G528" t="str">
        <f t="shared" si="83"/>
        <v>N</v>
      </c>
      <c r="H528">
        <f>IF(NOT(ISBLANK(A528)),VLOOKUP(A528,'Close - PriceSaver'!A:J,5,0),"")</f>
        <v>4.5874265370297797E-2</v>
      </c>
      <c r="I528" s="4" cm="1">
        <f t="array" ref="I528">IF(NOT(ISBLANK(A528)),((_xlfn.XLOOKUP(1,(_bbt3[[#All],[ID]]=A528)*(_bbt3[[#All],[METRIC_NAME]]="YLD_YTM_ASK"),_bbt3[[#All],[METRIC_VALUE]])*0.5)+(_xlfn.XLOOKUP(1,(_bbt3[[#All],[ID]]=A528)*(_bbt3[[#All],[METRIC_NAME]]="YLD_YTM_BID"),_bbt3[[#All],[METRIC_VALUE]])*0.5))/100,"")</f>
        <v>4.5875000000000006E-2</v>
      </c>
      <c r="J528">
        <f>IF(ISNA(VLOOKUP(A528,'CloseDL - PriceSaverBBT3'!A:E,5,0)),0,VLOOKUP(A528,'CloseDL - PriceSaverBBT3'!A:E,5,0))</f>
        <v>4.5874265370297797E-2</v>
      </c>
      <c r="K528" s="7">
        <f t="shared" si="84"/>
        <v>0</v>
      </c>
      <c r="L528" s="20">
        <f>IF(Close[[#This Row],[CreatedBy]]="MARINER\SilverAdm",1,0)</f>
        <v>1</v>
      </c>
      <c r="M528" t="str">
        <f>IF(NOT(ISBLANK(A528)),VLOOKUP(A528,'Close - PriceSaver'!A:J,6,0),"")</f>
        <v>DL input prc = 97.57031250  PX_ASK = 97.57812500 PX_BID = 97.56250000</v>
      </c>
      <c r="Q528" t="e">
        <f t="shared" si="76"/>
        <v>#N/A</v>
      </c>
      <c r="R528" t="e">
        <f t="shared" si="77"/>
        <v>#N/A</v>
      </c>
      <c r="S528" t="e">
        <f t="shared" si="78"/>
        <v>#N/A</v>
      </c>
      <c r="T528" s="15" t="e">
        <f t="shared" si="79"/>
        <v>#N/A</v>
      </c>
      <c r="U528" s="18" t="e">
        <f t="shared" si="80"/>
        <v>#N/A</v>
      </c>
      <c r="V528" s="18" t="e">
        <f t="shared" si="81"/>
        <v>#N/A</v>
      </c>
      <c r="W528" s="19" t="e">
        <f t="shared" si="82"/>
        <v>#N/A</v>
      </c>
      <c r="X528" t="e">
        <f>VLOOKUP(P528,Close[[ID]:[CreatedBy]],8,0)</f>
        <v>#N/A</v>
      </c>
    </row>
    <row r="529" spans="1:24" x14ac:dyDescent="0.35">
      <c r="A529" t="str">
        <v>91282CND9</v>
      </c>
      <c r="B529" t="str">
        <f>IF(NOT(ISBLANK(A529)),VLOOKUP(A529,'BBT3'!A:F,2,0),"")</f>
        <v>Bond</v>
      </c>
      <c r="C529" t="str">
        <f>IF(NOT(ISBLANK(A529)),VLOOKUP(A529,'BBT3'!A:F,3,0),"")</f>
        <v>US91282CND91</v>
      </c>
      <c r="D529" s="5">
        <f>IF(NOT(ISBLANK(A529)),VLOOKUP(A529,'BBT3'!A:F,4,1),"")</f>
        <v>3.75</v>
      </c>
      <c r="E529">
        <f>IF(NOT(ISBLANK(A529)),VLOOKUP(A529,'BBT3'!A:F,5,0),"")</f>
        <v>46888</v>
      </c>
      <c r="F529" t="str">
        <f>IF(NOT(ISBLANK(A529)),VLOOKUP(A529,'BBT3'!A:F,6,0),"")</f>
        <v>N</v>
      </c>
      <c r="G529" t="str">
        <f t="shared" si="83"/>
        <v>N</v>
      </c>
      <c r="H529">
        <f>IF(NOT(ISBLANK(A529)),VLOOKUP(A529,'Close - PriceSaver'!A:J,5,0),"")</f>
        <v>4.2612800870648199E-2</v>
      </c>
      <c r="I529" s="4" cm="1">
        <f t="array" ref="I529">IF(NOT(ISBLANK(A529)),((_xlfn.XLOOKUP(1,(_bbt3[[#All],[ID]]=A529)*(_bbt3[[#All],[METRIC_NAME]]="YLD_YTM_ASK"),_bbt3[[#All],[METRIC_VALUE]])*0.5)+(_xlfn.XLOOKUP(1,(_bbt3[[#All],[ID]]=A529)*(_bbt3[[#All],[METRIC_NAME]]="YLD_YTM_BID"),_bbt3[[#All],[METRIC_VALUE]])*0.5))/100,"")</f>
        <v>4.2615E-2</v>
      </c>
      <c r="J529">
        <f>IF(ISNA(VLOOKUP(A529,'CloseDL - PriceSaverBBT3'!A:E,5,0)),0,VLOOKUP(A529,'CloseDL - PriceSaverBBT3'!A:E,5,0))</f>
        <v>4.2612800870648199E-2</v>
      </c>
      <c r="K529" s="7">
        <f t="shared" si="84"/>
        <v>0</v>
      </c>
      <c r="L529" s="20">
        <f>IF(Close[[#This Row],[CreatedBy]]="MARINER\SilverAdm",1,0)</f>
        <v>1</v>
      </c>
      <c r="M529" t="str">
        <f>IF(NOT(ISBLANK(A529)),VLOOKUP(A529,'Close - PriceSaver'!A:J,6,0),"")</f>
        <v>DL input prc = 99.11132813  PX_ASK = 99.11718750 PX_BID = 99.10546875</v>
      </c>
      <c r="Q529" t="e">
        <f t="shared" si="76"/>
        <v>#N/A</v>
      </c>
      <c r="R529" t="e">
        <f t="shared" si="77"/>
        <v>#N/A</v>
      </c>
      <c r="S529" t="e">
        <f t="shared" si="78"/>
        <v>#N/A</v>
      </c>
      <c r="T529" s="15" t="e">
        <f t="shared" si="79"/>
        <v>#N/A</v>
      </c>
      <c r="U529" s="18" t="e">
        <f t="shared" si="80"/>
        <v>#N/A</v>
      </c>
      <c r="V529" s="18" t="e">
        <f t="shared" si="81"/>
        <v>#N/A</v>
      </c>
      <c r="W529" s="19" t="e">
        <f t="shared" si="82"/>
        <v>#N/A</v>
      </c>
      <c r="X529" t="e">
        <f>VLOOKUP(P529,Close[[ID]:[CreatedBy]],8,0)</f>
        <v>#N/A</v>
      </c>
    </row>
    <row r="530" spans="1:24" x14ac:dyDescent="0.35">
      <c r="A530" t="str">
        <v>91282CNE7</v>
      </c>
      <c r="B530" t="str">
        <f>IF(NOT(ISBLANK(A530)),VLOOKUP(A530,'BBT3'!A:F,2,0),"")</f>
        <v>Bond</v>
      </c>
      <c r="C530" t="str">
        <f>IF(NOT(ISBLANK(A530)),VLOOKUP(A530,'BBT3'!A:F,3,0),"")</f>
        <v>US91282CNE74</v>
      </c>
      <c r="D530" s="5">
        <f>IF(NOT(ISBLANK(A530)),VLOOKUP(A530,'BBT3'!A:F,4,1),"")</f>
        <v>3.875</v>
      </c>
      <c r="E530">
        <f>IF(NOT(ISBLANK(A530)),VLOOKUP(A530,'BBT3'!A:F,5,0),"")</f>
        <v>46538</v>
      </c>
      <c r="F530" t="str">
        <f>IF(NOT(ISBLANK(A530)),VLOOKUP(A530,'BBT3'!A:F,6,0),"")</f>
        <v>N</v>
      </c>
      <c r="G530" t="str">
        <f t="shared" si="83"/>
        <v>N</v>
      </c>
      <c r="H530">
        <f>IF(NOT(ISBLANK(A530)),VLOOKUP(A530,'Close - PriceSaver'!A:J,5,0),"")</f>
        <v>4.1042275405777498E-2</v>
      </c>
      <c r="I530" s="4" cm="1">
        <f t="array" ref="I530">IF(NOT(ISBLANK(A530)),((_xlfn.XLOOKUP(1,(_bbt3[[#All],[ID]]=A530)*(_bbt3[[#All],[METRIC_NAME]]="YLD_YTM_ASK"),_bbt3[[#All],[METRIC_VALUE]])*0.5)+(_xlfn.XLOOKUP(1,(_bbt3[[#All],[ID]]=A530)*(_bbt3[[#All],[METRIC_NAME]]="YLD_YTM_BID"),_bbt3[[#All],[METRIC_VALUE]])*0.5))/100,"")</f>
        <v>4.104E-2</v>
      </c>
      <c r="J530">
        <f>IF(ISNA(VLOOKUP(A530,'CloseDL - PriceSaverBBT3'!A:E,5,0)),0,VLOOKUP(A530,'CloseDL - PriceSaverBBT3'!A:E,5,0))</f>
        <v>4.1042275405777498E-2</v>
      </c>
      <c r="K530" s="7">
        <f t="shared" si="84"/>
        <v>0</v>
      </c>
      <c r="L530" s="20">
        <f>IF(Close[[#This Row],[CreatedBy]]="MARINER\SilverAdm",1,0)</f>
        <v>1</v>
      </c>
      <c r="M530" t="str">
        <f>IF(NOT(ISBLANK(A530)),VLOOKUP(A530,'Close - PriceSaver'!A:J,6,0),"")</f>
        <v>DL input prc = 99.80468750  PX_ASK = 99.81640625 PX_BID = 99.79296875</v>
      </c>
      <c r="Q530" t="e">
        <f t="shared" si="76"/>
        <v>#N/A</v>
      </c>
      <c r="R530" t="e">
        <f t="shared" si="77"/>
        <v>#N/A</v>
      </c>
      <c r="S530" t="e">
        <f t="shared" si="78"/>
        <v>#N/A</v>
      </c>
      <c r="T530" s="15" t="e">
        <f t="shared" si="79"/>
        <v>#N/A</v>
      </c>
      <c r="U530" s="18" t="e">
        <f t="shared" si="80"/>
        <v>#N/A</v>
      </c>
      <c r="V530" s="18" t="e">
        <f t="shared" si="81"/>
        <v>#N/A</v>
      </c>
      <c r="W530" s="19" t="e">
        <f t="shared" si="82"/>
        <v>#N/A</v>
      </c>
      <c r="X530" t="e">
        <f>VLOOKUP(P530,Close[[ID]:[CreatedBy]],8,0)</f>
        <v>#N/A</v>
      </c>
    </row>
    <row r="531" spans="1:24" x14ac:dyDescent="0.35">
      <c r="A531" t="str">
        <v>91282CNF4</v>
      </c>
      <c r="B531" t="str">
        <f>IF(NOT(ISBLANK(A531)),VLOOKUP(A531,'BBT3'!A:F,2,0),"")</f>
        <v>Bond</v>
      </c>
      <c r="C531" t="str">
        <f>IF(NOT(ISBLANK(A531)),VLOOKUP(A531,'BBT3'!A:F,3,0),"")</f>
        <v>US91282CNF40</v>
      </c>
      <c r="D531" s="5">
        <f>IF(NOT(ISBLANK(A531)),VLOOKUP(A531,'BBT3'!A:F,4,1),"")</f>
        <v>4.125</v>
      </c>
      <c r="E531">
        <f>IF(NOT(ISBLANK(A531)),VLOOKUP(A531,'BBT3'!A:F,5,0),"")</f>
        <v>48365</v>
      </c>
      <c r="F531" t="str">
        <f>IF(NOT(ISBLANK(A531)),VLOOKUP(A531,'BBT3'!A:F,6,0),"")</f>
        <v>N</v>
      </c>
      <c r="G531" t="str">
        <f t="shared" si="83"/>
        <v>N</v>
      </c>
      <c r="H531">
        <f>IF(NOT(ISBLANK(A531)),VLOOKUP(A531,'Close - PriceSaver'!A:J,5,0),"")</f>
        <v>4.4275515559123499E-2</v>
      </c>
      <c r="I531" s="4" cm="1">
        <f t="array" ref="I531">IF(NOT(ISBLANK(A531)),((_xlfn.XLOOKUP(1,(_bbt3[[#All],[ID]]=A531)*(_bbt3[[#All],[METRIC_NAME]]="YLD_YTM_ASK"),_bbt3[[#All],[METRIC_VALUE]])*0.5)+(_xlfn.XLOOKUP(1,(_bbt3[[#All],[ID]]=A531)*(_bbt3[[#All],[METRIC_NAME]]="YLD_YTM_BID"),_bbt3[[#All],[METRIC_VALUE]])*0.5))/100,"")</f>
        <v>4.4275000000000002E-2</v>
      </c>
      <c r="J531">
        <f>IF(ISNA(VLOOKUP(A531,'CloseDL - PriceSaverBBT3'!A:E,5,0)),0,VLOOKUP(A531,'CloseDL - PriceSaverBBT3'!A:E,5,0))</f>
        <v>4.4275515559123499E-2</v>
      </c>
      <c r="K531" s="7">
        <f t="shared" si="84"/>
        <v>0</v>
      </c>
      <c r="L531" s="20">
        <f>IF(Close[[#This Row],[CreatedBy]]="MARINER\SilverAdm",1,0)</f>
        <v>1</v>
      </c>
      <c r="M531" t="str">
        <f>IF(NOT(ISBLANK(A531)),VLOOKUP(A531,'Close - PriceSaver'!A:J,6,0),"")</f>
        <v>DL input prc = 98.44921875  PX_ASK = 98.46093750 PX_BID = 98.43750000</v>
      </c>
      <c r="Q531" t="e">
        <f t="shared" si="76"/>
        <v>#N/A</v>
      </c>
      <c r="R531" t="e">
        <f t="shared" si="77"/>
        <v>#N/A</v>
      </c>
      <c r="S531" t="e">
        <f t="shared" si="78"/>
        <v>#N/A</v>
      </c>
      <c r="T531" s="15" t="e">
        <f t="shared" si="79"/>
        <v>#N/A</v>
      </c>
      <c r="U531" s="18" t="e">
        <f t="shared" si="80"/>
        <v>#N/A</v>
      </c>
      <c r="V531" s="18" t="e">
        <f t="shared" si="81"/>
        <v>#N/A</v>
      </c>
      <c r="W531" s="19" t="e">
        <f t="shared" si="82"/>
        <v>#N/A</v>
      </c>
      <c r="X531" t="e">
        <f>VLOOKUP(P531,Close[[ID]:[CreatedBy]],8,0)</f>
        <v>#N/A</v>
      </c>
    </row>
    <row r="532" spans="1:24" x14ac:dyDescent="0.35">
      <c r="A532" t="str">
        <v>91282CNG2</v>
      </c>
      <c r="B532" t="str">
        <f>IF(NOT(ISBLANK(A532)),VLOOKUP(A532,'BBT3'!A:F,2,0),"")</f>
        <v>Bond</v>
      </c>
      <c r="C532" t="str">
        <f>IF(NOT(ISBLANK(A532)),VLOOKUP(A532,'BBT3'!A:F,3,0),"")</f>
        <v>US91282CNG23</v>
      </c>
      <c r="D532" s="5">
        <f>IF(NOT(ISBLANK(A532)),VLOOKUP(A532,'BBT3'!A:F,4,1),"")</f>
        <v>4</v>
      </c>
      <c r="E532">
        <f>IF(NOT(ISBLANK(A532)),VLOOKUP(A532,'BBT3'!A:F,5,0),"")</f>
        <v>47634</v>
      </c>
      <c r="F532" t="str">
        <f>IF(NOT(ISBLANK(A532)),VLOOKUP(A532,'BBT3'!A:F,6,0),"")</f>
        <v>N</v>
      </c>
      <c r="G532" t="str">
        <f t="shared" si="83"/>
        <v>N</v>
      </c>
      <c r="H532">
        <f>IF(NOT(ISBLANK(A532)),VLOOKUP(A532,'Close - PriceSaver'!A:J,5,0),"")</f>
        <v>4.3363515691624999E-2</v>
      </c>
      <c r="I532" s="4" cm="1">
        <f t="array" ref="I532">IF(NOT(ISBLANK(A532)),((_xlfn.XLOOKUP(1,(_bbt3[[#All],[ID]]=A532)*(_bbt3[[#All],[METRIC_NAME]]="YLD_YTM_ASK"),_bbt3[[#All],[METRIC_VALUE]])*0.5)+(_xlfn.XLOOKUP(1,(_bbt3[[#All],[ID]]=A532)*(_bbt3[[#All],[METRIC_NAME]]="YLD_YTM_BID"),_bbt3[[#All],[METRIC_VALUE]])*0.5))/100,"")</f>
        <v>4.3365000000000001E-2</v>
      </c>
      <c r="J532">
        <f>IF(ISNA(VLOOKUP(A532,'CloseDL - PriceSaverBBT3'!A:E,5,0)),0,VLOOKUP(A532,'CloseDL - PriceSaverBBT3'!A:E,5,0))</f>
        <v>4.3363515691624999E-2</v>
      </c>
      <c r="K532" s="7">
        <f t="shared" si="84"/>
        <v>0</v>
      </c>
      <c r="L532" s="20">
        <f>IF(Close[[#This Row],[CreatedBy]]="MARINER\SilverAdm",1,0)</f>
        <v>1</v>
      </c>
      <c r="M532" t="str">
        <f>IF(NOT(ISBLANK(A532)),VLOOKUP(A532,'Close - PriceSaver'!A:J,6,0),"")</f>
        <v>DL input prc = 98.81250000  PX_ASK = 98.82031250 PX_BID = 98.80468750</v>
      </c>
      <c r="Q532" t="e">
        <f t="shared" si="76"/>
        <v>#N/A</v>
      </c>
      <c r="R532" t="e">
        <f t="shared" si="77"/>
        <v>#N/A</v>
      </c>
      <c r="S532" t="e">
        <f t="shared" si="78"/>
        <v>#N/A</v>
      </c>
      <c r="T532" s="15" t="e">
        <f t="shared" si="79"/>
        <v>#N/A</v>
      </c>
      <c r="U532" s="18" t="e">
        <f t="shared" si="80"/>
        <v>#N/A</v>
      </c>
      <c r="V532" s="18" t="e">
        <f t="shared" si="81"/>
        <v>#N/A</v>
      </c>
      <c r="W532" s="19" t="e">
        <f t="shared" si="82"/>
        <v>#N/A</v>
      </c>
      <c r="X532" t="e">
        <f>VLOOKUP(P532,Close[[ID]:[CreatedBy]],8,0)</f>
        <v>#N/A</v>
      </c>
    </row>
    <row r="533" spans="1:24" x14ac:dyDescent="0.35">
      <c r="A533" t="str">
        <v>91282CNH0</v>
      </c>
      <c r="B533" t="str">
        <f>IF(NOT(ISBLANK(A533)),VLOOKUP(A533,'BBT3'!A:F,2,0),"")</f>
        <v>Bond</v>
      </c>
      <c r="C533" t="str">
        <f>IF(NOT(ISBLANK(A533)),VLOOKUP(A533,'BBT3'!A:F,3,0),"")</f>
        <v>US91282CNH06</v>
      </c>
      <c r="D533" s="5">
        <f>IF(NOT(ISBLANK(A533)),VLOOKUP(A533,'BBT3'!A:F,4,1),"")</f>
        <v>3.875</v>
      </c>
      <c r="E533">
        <f>IF(NOT(ISBLANK(A533)),VLOOKUP(A533,'BBT3'!A:F,5,0),"")</f>
        <v>46919</v>
      </c>
      <c r="F533" t="str">
        <f>IF(NOT(ISBLANK(A533)),VLOOKUP(A533,'BBT3'!A:F,6,0),"")</f>
        <v>N</v>
      </c>
      <c r="G533" t="str">
        <f t="shared" si="83"/>
        <v>N</v>
      </c>
      <c r="H533">
        <f>IF(NOT(ISBLANK(A533)),VLOOKUP(A533,'Close - PriceSaver'!A:J,5,0),"")</f>
        <v>4.2658335645433698E-2</v>
      </c>
      <c r="I533" s="4" cm="1">
        <f t="array" ref="I533">IF(NOT(ISBLANK(A533)),((_xlfn.XLOOKUP(1,(_bbt3[[#All],[ID]]=A533)*(_bbt3[[#All],[METRIC_NAME]]="YLD_YTM_ASK"),_bbt3[[#All],[METRIC_VALUE]])*0.5)+(_xlfn.XLOOKUP(1,(_bbt3[[#All],[ID]]=A533)*(_bbt3[[#All],[METRIC_NAME]]="YLD_YTM_BID"),_bbt3[[#All],[METRIC_VALUE]])*0.5))/100,"")</f>
        <v>4.2660000000000003E-2</v>
      </c>
      <c r="J533">
        <f>IF(ISNA(VLOOKUP(A533,'CloseDL - PriceSaverBBT3'!A:E,5,0)),0,VLOOKUP(A533,'CloseDL - PriceSaverBBT3'!A:E,5,0))</f>
        <v>4.2658335645433698E-2</v>
      </c>
      <c r="K533" s="7">
        <f t="shared" si="84"/>
        <v>0</v>
      </c>
      <c r="L533" s="20">
        <f>IF(Close[[#This Row],[CreatedBy]]="MARINER\SilverAdm",1,0)</f>
        <v>1</v>
      </c>
      <c r="M533" t="str">
        <f>IF(NOT(ISBLANK(A533)),VLOOKUP(A533,'Close - PriceSaver'!A:J,6,0),"")</f>
        <v>DL input prc = 99.29101563  PX_ASK = 99.29687500 PX_BID = 99.28515625</v>
      </c>
      <c r="Q533" t="e">
        <f t="shared" si="76"/>
        <v>#N/A</v>
      </c>
      <c r="R533" t="e">
        <f t="shared" si="77"/>
        <v>#N/A</v>
      </c>
      <c r="S533" t="e">
        <f t="shared" si="78"/>
        <v>#N/A</v>
      </c>
      <c r="T533" s="15" t="e">
        <f t="shared" si="79"/>
        <v>#N/A</v>
      </c>
      <c r="U533" s="18" t="e">
        <f t="shared" si="80"/>
        <v>#N/A</v>
      </c>
      <c r="V533" s="18" t="e">
        <f t="shared" si="81"/>
        <v>#N/A</v>
      </c>
      <c r="W533" s="19" t="e">
        <f t="shared" si="82"/>
        <v>#N/A</v>
      </c>
      <c r="X533" t="e">
        <f>VLOOKUP(P533,Close[[ID]:[CreatedBy]],8,0)</f>
        <v>#N/A</v>
      </c>
    </row>
    <row r="534" spans="1:24" x14ac:dyDescent="0.35">
      <c r="A534" t="str">
        <v>91282CNJ6</v>
      </c>
      <c r="B534" t="str">
        <f>IF(NOT(ISBLANK(A534)),VLOOKUP(A534,'BBT3'!A:F,2,0),"")</f>
        <v>Bond</v>
      </c>
      <c r="C534" t="str">
        <f>IF(NOT(ISBLANK(A534)),VLOOKUP(A534,'BBT3'!A:F,3,0),"")</f>
        <v>US91282CNJ61</v>
      </c>
      <c r="D534" s="5">
        <f>IF(NOT(ISBLANK(A534)),VLOOKUP(A534,'BBT3'!A:F,4,1),"")</f>
        <v>4</v>
      </c>
      <c r="E534">
        <f>IF(NOT(ISBLANK(A534)),VLOOKUP(A534,'BBT3'!A:F,5,0),"")</f>
        <v>48395</v>
      </c>
      <c r="F534" t="str">
        <f>IF(NOT(ISBLANK(A534)),VLOOKUP(A534,'BBT3'!A:F,6,0),"")</f>
        <v>N</v>
      </c>
      <c r="G534" t="str">
        <f t="shared" si="83"/>
        <v>N</v>
      </c>
      <c r="H534">
        <f>IF(NOT(ISBLANK(A534)),VLOOKUP(A534,'Close - PriceSaver'!A:J,5,0),"")</f>
        <v>4.43227013786461E-2</v>
      </c>
      <c r="I534" s="4" cm="1">
        <f t="array" ref="I534">IF(NOT(ISBLANK(A534)),((_xlfn.XLOOKUP(1,(_bbt3[[#All],[ID]]=A534)*(_bbt3[[#All],[METRIC_NAME]]="YLD_YTM_ASK"),_bbt3[[#All],[METRIC_VALUE]])*0.5)+(_xlfn.XLOOKUP(1,(_bbt3[[#All],[ID]]=A534)*(_bbt3[[#All],[METRIC_NAME]]="YLD_YTM_BID"),_bbt3[[#All],[METRIC_VALUE]])*0.5))/100,"")</f>
        <v>4.4324999999999989E-2</v>
      </c>
      <c r="J534">
        <f>IF(ISNA(VLOOKUP(A534,'CloseDL - PriceSaverBBT3'!A:E,5,0)),0,VLOOKUP(A534,'CloseDL - PriceSaverBBT3'!A:E,5,0))</f>
        <v>4.43227013786461E-2</v>
      </c>
      <c r="K534" s="7">
        <f t="shared" si="84"/>
        <v>0</v>
      </c>
      <c r="L534" s="20">
        <f>IF(Close[[#This Row],[CreatedBy]]="MARINER\SilverAdm",1,0)</f>
        <v>1</v>
      </c>
      <c r="M534" t="str">
        <f>IF(NOT(ISBLANK(A534)),VLOOKUP(A534,'Close - PriceSaver'!A:J,6,0),"")</f>
        <v>DL input prc = 97.76171875  PX_ASK = 97.77343750 PX_BID = 97.75000000</v>
      </c>
      <c r="Q534" t="e">
        <f t="shared" si="76"/>
        <v>#N/A</v>
      </c>
      <c r="R534" t="e">
        <f t="shared" si="77"/>
        <v>#N/A</v>
      </c>
      <c r="S534" t="e">
        <f t="shared" si="78"/>
        <v>#N/A</v>
      </c>
      <c r="T534" s="15" t="e">
        <f t="shared" si="79"/>
        <v>#N/A</v>
      </c>
      <c r="U534" s="18" t="e">
        <f t="shared" si="80"/>
        <v>#N/A</v>
      </c>
      <c r="V534" s="18" t="e">
        <f t="shared" si="81"/>
        <v>#N/A</v>
      </c>
      <c r="W534" s="19" t="e">
        <f t="shared" si="82"/>
        <v>#N/A</v>
      </c>
      <c r="X534" t="e">
        <f>VLOOKUP(P534,Close[[ID]:[CreatedBy]],8,0)</f>
        <v>#N/A</v>
      </c>
    </row>
    <row r="535" spans="1:24" x14ac:dyDescent="0.35">
      <c r="A535" t="str">
        <v>91282CNK3</v>
      </c>
      <c r="B535" t="str">
        <f>IF(NOT(ISBLANK(A535)),VLOOKUP(A535,'BBT3'!A:F,2,0),"")</f>
        <v>Bond</v>
      </c>
      <c r="C535" t="str">
        <f>IF(NOT(ISBLANK(A535)),VLOOKUP(A535,'BBT3'!A:F,3,0),"")</f>
        <v>US91282CNK35</v>
      </c>
      <c r="D535" s="5">
        <f>IF(NOT(ISBLANK(A535)),VLOOKUP(A535,'BBT3'!A:F,4,1),"")</f>
        <v>3.875</v>
      </c>
      <c r="E535">
        <f>IF(NOT(ISBLANK(A535)),VLOOKUP(A535,'BBT3'!A:F,5,0),"")</f>
        <v>47664</v>
      </c>
      <c r="F535" t="str">
        <f>IF(NOT(ISBLANK(A535)),VLOOKUP(A535,'BBT3'!A:F,6,0),"")</f>
        <v>N</v>
      </c>
      <c r="G535" t="str">
        <f t="shared" si="83"/>
        <v>N</v>
      </c>
      <c r="H535">
        <f>IF(NOT(ISBLANK(A535)),VLOOKUP(A535,'Close - PriceSaver'!A:J,5,0),"")</f>
        <v>4.34059677507138E-2</v>
      </c>
      <c r="I535" s="4" cm="1">
        <f t="array" ref="I535">IF(NOT(ISBLANK(A535)),((_xlfn.XLOOKUP(1,(_bbt3[[#All],[ID]]=A535)*(_bbt3[[#All],[METRIC_NAME]]="YLD_YTM_ASK"),_bbt3[[#All],[METRIC_VALUE]])*0.5)+(_xlfn.XLOOKUP(1,(_bbt3[[#All],[ID]]=A535)*(_bbt3[[#All],[METRIC_NAME]]="YLD_YTM_BID"),_bbt3[[#All],[METRIC_VALUE]])*0.5))/100,"")</f>
        <v>4.3405000000000006E-2</v>
      </c>
      <c r="J535">
        <f>IF(ISNA(VLOOKUP(A535,'CloseDL - PriceSaverBBT3'!A:E,5,0)),0,VLOOKUP(A535,'CloseDL - PriceSaverBBT3'!A:E,5,0))</f>
        <v>4.34059677507138E-2</v>
      </c>
      <c r="K535" s="7">
        <f t="shared" si="84"/>
        <v>0</v>
      </c>
      <c r="L535" s="20">
        <f>IF(Close[[#This Row],[CreatedBy]]="MARINER\SilverAdm",1,0)</f>
        <v>1</v>
      </c>
      <c r="M535" t="str">
        <f>IF(NOT(ISBLANK(A535)),VLOOKUP(A535,'Close - PriceSaver'!A:J,6,0),"")</f>
        <v>DL input prc = 98.32812500  PX_ASK = 98.34375000 PX_BID = 98.31250000</v>
      </c>
      <c r="Q535" t="e">
        <f t="shared" si="76"/>
        <v>#N/A</v>
      </c>
      <c r="R535" t="e">
        <f t="shared" si="77"/>
        <v>#N/A</v>
      </c>
      <c r="S535" t="e">
        <f t="shared" si="78"/>
        <v>#N/A</v>
      </c>
      <c r="T535" s="15" t="e">
        <f t="shared" si="79"/>
        <v>#N/A</v>
      </c>
      <c r="U535" s="18" t="e">
        <f t="shared" si="80"/>
        <v>#N/A</v>
      </c>
      <c r="V535" s="18" t="e">
        <f t="shared" si="81"/>
        <v>#N/A</v>
      </c>
      <c r="W535" s="19" t="e">
        <f t="shared" si="82"/>
        <v>#N/A</v>
      </c>
      <c r="X535" t="e">
        <f>VLOOKUP(P535,Close[[ID]:[CreatedBy]],8,0)</f>
        <v>#N/A</v>
      </c>
    </row>
    <row r="536" spans="1:24" x14ac:dyDescent="0.35">
      <c r="A536" t="str">
        <v>91282CNL1</v>
      </c>
      <c r="B536" t="str">
        <f>IF(NOT(ISBLANK(A536)),VLOOKUP(A536,'BBT3'!A:F,2,0),"")</f>
        <v>Bond</v>
      </c>
      <c r="C536" t="str">
        <f>IF(NOT(ISBLANK(A536)),VLOOKUP(A536,'BBT3'!A:F,3,0),"")</f>
        <v>US91282CNL18</v>
      </c>
      <c r="D536" s="5">
        <f>IF(NOT(ISBLANK(A536)),VLOOKUP(A536,'BBT3'!A:F,4,1),"")</f>
        <v>3.75</v>
      </c>
      <c r="E536">
        <f>IF(NOT(ISBLANK(A536)),VLOOKUP(A536,'BBT3'!A:F,5,0),"")</f>
        <v>46568</v>
      </c>
      <c r="F536" t="str">
        <f>IF(NOT(ISBLANK(A536)),VLOOKUP(A536,'BBT3'!A:F,6,0),"")</f>
        <v>N</v>
      </c>
      <c r="G536" t="str">
        <f t="shared" si="83"/>
        <v>N</v>
      </c>
      <c r="H536">
        <f>IF(NOT(ISBLANK(A536)),VLOOKUP(A536,'Close - PriceSaver'!A:J,5,0),"")</f>
        <v>4.1350164916586898E-2</v>
      </c>
      <c r="I536" s="4" cm="1">
        <f t="array" ref="I536">IF(NOT(ISBLANK(A536)),((_xlfn.XLOOKUP(1,(_bbt3[[#All],[ID]]=A536)*(_bbt3[[#All],[METRIC_NAME]]="YLD_YTM_ASK"),_bbt3[[#All],[METRIC_VALUE]])*0.5)+(_xlfn.XLOOKUP(1,(_bbt3[[#All],[ID]]=A536)*(_bbt3[[#All],[METRIC_NAME]]="YLD_YTM_BID"),_bbt3[[#All],[METRIC_VALUE]])*0.5))/100,"")</f>
        <v>4.1349999999999998E-2</v>
      </c>
      <c r="J536">
        <f>IF(ISNA(VLOOKUP(A536,'CloseDL - PriceSaverBBT3'!A:E,5,0)),0,VLOOKUP(A536,'CloseDL - PriceSaverBBT3'!A:E,5,0))</f>
        <v>4.1350164916586898E-2</v>
      </c>
      <c r="K536" s="7">
        <f t="shared" si="84"/>
        <v>0</v>
      </c>
      <c r="L536" s="20">
        <f>IF(Close[[#This Row],[CreatedBy]]="MARINER\SilverAdm",1,0)</f>
        <v>1</v>
      </c>
      <c r="M536" t="str">
        <f>IF(NOT(ISBLANK(A536)),VLOOKUP(A536,'Close - PriceSaver'!A:J,6,0),"")</f>
        <v>DL input prc = 99.64648438  PX_ASK = 99.66015625 PX_BID = 99.63281250</v>
      </c>
      <c r="Q536" t="e">
        <f t="shared" si="76"/>
        <v>#N/A</v>
      </c>
      <c r="R536" t="e">
        <f t="shared" si="77"/>
        <v>#N/A</v>
      </c>
      <c r="S536" t="e">
        <f t="shared" si="78"/>
        <v>#N/A</v>
      </c>
      <c r="T536" s="15" t="e">
        <f t="shared" si="79"/>
        <v>#N/A</v>
      </c>
      <c r="U536" s="18" t="e">
        <f t="shared" si="80"/>
        <v>#N/A</v>
      </c>
      <c r="V536" s="18" t="e">
        <f t="shared" si="81"/>
        <v>#N/A</v>
      </c>
      <c r="W536" s="19" t="e">
        <f t="shared" si="82"/>
        <v>#N/A</v>
      </c>
      <c r="X536" t="e">
        <f>VLOOKUP(P536,Close[[ID]:[CreatedBy]],8,0)</f>
        <v>#N/A</v>
      </c>
    </row>
    <row r="537" spans="1:24" x14ac:dyDescent="0.35">
      <c r="A537" t="str">
        <v>91282CNM9</v>
      </c>
      <c r="B537" t="str">
        <f>IF(NOT(ISBLANK(A537)),VLOOKUP(A537,'BBT3'!A:F,2,0),"")</f>
        <v>Bond</v>
      </c>
      <c r="C537" t="str">
        <f>IF(NOT(ISBLANK(A537)),VLOOKUP(A537,'BBT3'!A:F,3,0),"")</f>
        <v>US91282CNM90</v>
      </c>
      <c r="D537" s="5">
        <f>IF(NOT(ISBLANK(A537)),VLOOKUP(A537,'BBT3'!A:F,4,1),"")</f>
        <v>3.875</v>
      </c>
      <c r="E537">
        <f>IF(NOT(ISBLANK(A537)),VLOOKUP(A537,'BBT3'!A:F,5,0),"")</f>
        <v>46949</v>
      </c>
      <c r="F537" t="str">
        <f>IF(NOT(ISBLANK(A537)),VLOOKUP(A537,'BBT3'!A:F,6,0),"")</f>
        <v>N</v>
      </c>
      <c r="G537" t="str">
        <f t="shared" si="83"/>
        <v>N</v>
      </c>
      <c r="H537">
        <f>IF(NOT(ISBLANK(A537)),VLOOKUP(A537,'Close - PriceSaver'!A:J,5,0),"")</f>
        <v>4.2713960984819901E-2</v>
      </c>
      <c r="I537" s="4" cm="1">
        <f t="array" ref="I537">IF(NOT(ISBLANK(A537)),((_xlfn.XLOOKUP(1,(_bbt3[[#All],[ID]]=A537)*(_bbt3[[#All],[METRIC_NAME]]="YLD_YTM_ASK"),_bbt3[[#All],[METRIC_VALUE]])*0.5)+(_xlfn.XLOOKUP(1,(_bbt3[[#All],[ID]]=A537)*(_bbt3[[#All],[METRIC_NAME]]="YLD_YTM_BID"),_bbt3[[#All],[METRIC_VALUE]])*0.5))/100,"")</f>
        <v>4.2714999999999996E-2</v>
      </c>
      <c r="J537">
        <f>IF(ISNA(VLOOKUP(A537,'CloseDL - PriceSaverBBT3'!A:E,5,0)),0,VLOOKUP(A537,'CloseDL - PriceSaverBBT3'!A:E,5,0))</f>
        <v>4.2713960984819901E-2</v>
      </c>
      <c r="K537" s="7">
        <f t="shared" si="84"/>
        <v>0</v>
      </c>
      <c r="L537" s="20">
        <f>IF(Close[[#This Row],[CreatedBy]]="MARINER\SilverAdm",1,0)</f>
        <v>1</v>
      </c>
      <c r="M537" t="str">
        <f>IF(NOT(ISBLANK(A537)),VLOOKUP(A537,'Close - PriceSaver'!A:J,6,0),"")</f>
        <v>DL input prc = 99.25390625  PX_ASK = 99.26171875 PX_BID = 99.24609375</v>
      </c>
      <c r="Q537" t="e">
        <f t="shared" si="76"/>
        <v>#N/A</v>
      </c>
      <c r="R537" t="e">
        <f t="shared" si="77"/>
        <v>#N/A</v>
      </c>
      <c r="S537" t="e">
        <f t="shared" si="78"/>
        <v>#N/A</v>
      </c>
      <c r="T537" s="15" t="e">
        <f t="shared" si="79"/>
        <v>#N/A</v>
      </c>
      <c r="U537" s="18" t="e">
        <f t="shared" si="80"/>
        <v>#N/A</v>
      </c>
      <c r="V537" s="18" t="e">
        <f t="shared" si="81"/>
        <v>#N/A</v>
      </c>
      <c r="W537" s="19" t="e">
        <f t="shared" si="82"/>
        <v>#N/A</v>
      </c>
      <c r="X537" t="e">
        <f>VLOOKUP(P537,Close[[ID]:[CreatedBy]],8,0)</f>
        <v>#N/A</v>
      </c>
    </row>
    <row r="538" spans="1:24" x14ac:dyDescent="0.35">
      <c r="A538" t="str">
        <v>91282CNN7</v>
      </c>
      <c r="B538" t="str">
        <f>IF(NOT(ISBLANK(A538)),VLOOKUP(A538,'BBT3'!A:F,2,0),"")</f>
        <v>Bond</v>
      </c>
      <c r="C538" t="str">
        <f>IF(NOT(ISBLANK(A538)),VLOOKUP(A538,'BBT3'!A:F,3,0),"")</f>
        <v>US91282CNN73</v>
      </c>
      <c r="D538" s="5">
        <f>IF(NOT(ISBLANK(A538)),VLOOKUP(A538,'BBT3'!A:F,4,1),"")</f>
        <v>3.875</v>
      </c>
      <c r="E538">
        <f>IF(NOT(ISBLANK(A538)),VLOOKUP(A538,'BBT3'!A:F,5,0),"")</f>
        <v>47695</v>
      </c>
      <c r="F538" t="str">
        <f>IF(NOT(ISBLANK(A538)),VLOOKUP(A538,'BBT3'!A:F,6,0),"")</f>
        <v>N</v>
      </c>
      <c r="G538" t="str">
        <f t="shared" si="83"/>
        <v>N</v>
      </c>
      <c r="H538">
        <f>IF(NOT(ISBLANK(A538)),VLOOKUP(A538,'Close - PriceSaver'!A:J,5,0),"")</f>
        <v>4.3437201596524901E-2</v>
      </c>
      <c r="I538" s="4" cm="1">
        <f t="array" ref="I538">IF(NOT(ISBLANK(A538)),((_xlfn.XLOOKUP(1,(_bbt3[[#All],[ID]]=A538)*(_bbt3[[#All],[METRIC_NAME]]="YLD_YTM_ASK"),_bbt3[[#All],[METRIC_VALUE]])*0.5)+(_xlfn.XLOOKUP(1,(_bbt3[[#All],[ID]]=A538)*(_bbt3[[#All],[METRIC_NAME]]="YLD_YTM_BID"),_bbt3[[#All],[METRIC_VALUE]])*0.5))/100,"")</f>
        <v>4.3435000000000008E-2</v>
      </c>
      <c r="J538">
        <f>IF(ISNA(VLOOKUP(A538,'CloseDL - PriceSaverBBT3'!A:E,5,0)),0,VLOOKUP(A538,'CloseDL - PriceSaverBBT3'!A:E,5,0))</f>
        <v>4.3437201596524901E-2</v>
      </c>
      <c r="K538" s="7">
        <f t="shared" si="84"/>
        <v>0</v>
      </c>
      <c r="L538" s="20">
        <f>IF(Close[[#This Row],[CreatedBy]]="MARINER\SilverAdm",1,0)</f>
        <v>1</v>
      </c>
      <c r="M538" t="str">
        <f>IF(NOT(ISBLANK(A538)),VLOOKUP(A538,'Close - PriceSaver'!A:J,6,0),"")</f>
        <v>DL input prc = 98.28515625  PX_ASK = 98.29687500 PX_BID = 98.27343750</v>
      </c>
      <c r="Q538" t="e">
        <f t="shared" si="76"/>
        <v>#N/A</v>
      </c>
      <c r="R538" t="e">
        <f t="shared" si="77"/>
        <v>#N/A</v>
      </c>
      <c r="S538" t="e">
        <f t="shared" si="78"/>
        <v>#N/A</v>
      </c>
      <c r="T538" s="15" t="e">
        <f t="shared" si="79"/>
        <v>#N/A</v>
      </c>
      <c r="U538" s="18" t="e">
        <f t="shared" si="80"/>
        <v>#N/A</v>
      </c>
      <c r="V538" s="18" t="e">
        <f t="shared" si="81"/>
        <v>#N/A</v>
      </c>
      <c r="W538" s="19" t="e">
        <f t="shared" si="82"/>
        <v>#N/A</v>
      </c>
      <c r="X538" t="e">
        <f>VLOOKUP(P538,Close[[ID]:[CreatedBy]],8,0)</f>
        <v>#N/A</v>
      </c>
    </row>
    <row r="539" spans="1:24" x14ac:dyDescent="0.35">
      <c r="A539" t="str">
        <v>91282CNP2</v>
      </c>
      <c r="B539" t="str">
        <f>IF(NOT(ISBLANK(A539)),VLOOKUP(A539,'BBT3'!A:F,2,0),"")</f>
        <v>Bond</v>
      </c>
      <c r="C539" t="str">
        <f>IF(NOT(ISBLANK(A539)),VLOOKUP(A539,'BBT3'!A:F,3,0),"")</f>
        <v>US91282CNP22</v>
      </c>
      <c r="D539" s="5">
        <f>IF(NOT(ISBLANK(A539)),VLOOKUP(A539,'BBT3'!A:F,4,1),"")</f>
        <v>3.875</v>
      </c>
      <c r="E539">
        <f>IF(NOT(ISBLANK(A539)),VLOOKUP(A539,'BBT3'!A:F,5,0),"")</f>
        <v>46599</v>
      </c>
      <c r="F539" t="str">
        <f>IF(NOT(ISBLANK(A539)),VLOOKUP(A539,'BBT3'!A:F,6,0),"")</f>
        <v>N</v>
      </c>
      <c r="G539" t="str">
        <f t="shared" si="83"/>
        <v>N</v>
      </c>
      <c r="H539">
        <f>IF(NOT(ISBLANK(A539)),VLOOKUP(A539,'Close - PriceSaver'!A:J,5,0),"")</f>
        <v>4.1828213100434199E-2</v>
      </c>
      <c r="I539" s="4" cm="1">
        <f t="array" ref="I539">IF(NOT(ISBLANK(A539)),((_xlfn.XLOOKUP(1,(_bbt3[[#All],[ID]]=A539)*(_bbt3[[#All],[METRIC_NAME]]="YLD_YTM_ASK"),_bbt3[[#All],[METRIC_VALUE]])*0.5)+(_xlfn.XLOOKUP(1,(_bbt3[[#All],[ID]]=A539)*(_bbt3[[#All],[METRIC_NAME]]="YLD_YTM_BID"),_bbt3[[#All],[METRIC_VALUE]])*0.5))/100,"")</f>
        <v>4.1829999999999999E-2</v>
      </c>
      <c r="J539">
        <f>IF(ISNA(VLOOKUP(A539,'CloseDL - PriceSaverBBT3'!A:E,5,0)),0,VLOOKUP(A539,'CloseDL - PriceSaverBBT3'!A:E,5,0))</f>
        <v>4.1828213100434199E-2</v>
      </c>
      <c r="K539" s="7">
        <f t="shared" si="84"/>
        <v>0</v>
      </c>
      <c r="L539" s="20">
        <f>IF(Close[[#This Row],[CreatedBy]]="MARINER\SilverAdm",1,0)</f>
        <v>1</v>
      </c>
      <c r="M539" t="str">
        <f>IF(NOT(ISBLANK(A539)),VLOOKUP(A539,'Close - PriceSaver'!A:J,6,0),"")</f>
        <v>DL input prc = 99.69335938  PX_ASK = 99.70312500 PX_BID = 99.68359375</v>
      </c>
      <c r="Q539" t="e">
        <f t="shared" si="76"/>
        <v>#N/A</v>
      </c>
      <c r="R539" t="e">
        <f t="shared" si="77"/>
        <v>#N/A</v>
      </c>
      <c r="S539" t="e">
        <f t="shared" si="78"/>
        <v>#N/A</v>
      </c>
      <c r="T539" s="15" t="e">
        <f t="shared" si="79"/>
        <v>#N/A</v>
      </c>
      <c r="U539" s="18" t="e">
        <f t="shared" si="80"/>
        <v>#N/A</v>
      </c>
      <c r="V539" s="18" t="e">
        <f t="shared" si="81"/>
        <v>#N/A</v>
      </c>
      <c r="W539" s="19" t="e">
        <f t="shared" si="82"/>
        <v>#N/A</v>
      </c>
      <c r="X539" t="e">
        <f>VLOOKUP(P539,Close[[ID]:[CreatedBy]],8,0)</f>
        <v>#N/A</v>
      </c>
    </row>
    <row r="540" spans="1:24" x14ac:dyDescent="0.35">
      <c r="A540" t="str">
        <v>91282CNR8</v>
      </c>
      <c r="B540" t="str">
        <f>IF(NOT(ISBLANK(A540)),VLOOKUP(A540,'BBT3'!A:F,2,0),"")</f>
        <v>Bond</v>
      </c>
      <c r="C540" t="str">
        <f>IF(NOT(ISBLANK(A540)),VLOOKUP(A540,'BBT3'!A:F,3,0),"")</f>
        <v>US91282CNR87</v>
      </c>
      <c r="D540" s="5">
        <f>IF(NOT(ISBLANK(A540)),VLOOKUP(A540,'BBT3'!A:F,4,1),"")</f>
        <v>4</v>
      </c>
      <c r="E540">
        <f>IF(NOT(ISBLANK(A540)),VLOOKUP(A540,'BBT3'!A:F,5,0),"")</f>
        <v>48426</v>
      </c>
      <c r="F540" t="str">
        <f>IF(NOT(ISBLANK(A540)),VLOOKUP(A540,'BBT3'!A:F,6,0),"")</f>
        <v>N</v>
      </c>
      <c r="G540" t="str">
        <f t="shared" si="83"/>
        <v>N</v>
      </c>
      <c r="H540">
        <f>IF(NOT(ISBLANK(A540)),VLOOKUP(A540,'Close - PriceSaver'!A:J,5,0),"")</f>
        <v>4.4392223372982702E-2</v>
      </c>
      <c r="I540" s="4" cm="1">
        <f t="array" ref="I540">IF(NOT(ISBLANK(A540)),((_xlfn.XLOOKUP(1,(_bbt3[[#All],[ID]]=A540)*(_bbt3[[#All],[METRIC_NAME]]="YLD_YTM_ASK"),_bbt3[[#All],[METRIC_VALUE]])*0.5)+(_xlfn.XLOOKUP(1,(_bbt3[[#All],[ID]]=A540)*(_bbt3[[#All],[METRIC_NAME]]="YLD_YTM_BID"),_bbt3[[#All],[METRIC_VALUE]])*0.5))/100,"")</f>
        <v>4.4389999999999999E-2</v>
      </c>
      <c r="J540">
        <f>IF(ISNA(VLOOKUP(A540,'CloseDL - PriceSaverBBT3'!A:E,5,0)),0,VLOOKUP(A540,'CloseDL - PriceSaverBBT3'!A:E,5,0))</f>
        <v>4.4392223372982702E-2</v>
      </c>
      <c r="K540" s="7">
        <f t="shared" si="84"/>
        <v>0</v>
      </c>
      <c r="L540" s="20">
        <f>IF(Close[[#This Row],[CreatedBy]]="MARINER\SilverAdm",1,0)</f>
        <v>1</v>
      </c>
      <c r="M540" t="str">
        <f>IF(NOT(ISBLANK(A540)),VLOOKUP(A540,'Close - PriceSaver'!A:J,6,0),"")</f>
        <v>DL input prc = 97.69921875  PX_ASK = 97.71093750 PX_BID = 97.68750000</v>
      </c>
      <c r="Q540" t="e">
        <f t="shared" si="76"/>
        <v>#N/A</v>
      </c>
      <c r="R540" t="e">
        <f t="shared" si="77"/>
        <v>#N/A</v>
      </c>
      <c r="S540" t="e">
        <f t="shared" si="78"/>
        <v>#N/A</v>
      </c>
      <c r="T540" s="15" t="e">
        <f t="shared" si="79"/>
        <v>#N/A</v>
      </c>
      <c r="U540" s="18" t="e">
        <f t="shared" si="80"/>
        <v>#N/A</v>
      </c>
      <c r="V540" s="18" t="e">
        <f t="shared" si="81"/>
        <v>#N/A</v>
      </c>
      <c r="W540" s="19" t="e">
        <f t="shared" si="82"/>
        <v>#N/A</v>
      </c>
      <c r="X540" t="e">
        <f>VLOOKUP(P540,Close[[ID]:[CreatedBy]],8,0)</f>
        <v>#N/A</v>
      </c>
    </row>
    <row r="541" spans="1:24" x14ac:dyDescent="0.35">
      <c r="A541" t="str">
        <v>91282CNS6</v>
      </c>
      <c r="B541" t="str">
        <f>IF(NOT(ISBLANK(A541)),VLOOKUP(A541,'BBT3'!A:F,2,0),"")</f>
        <v>Bond</v>
      </c>
      <c r="C541" t="str">
        <f>IF(NOT(ISBLANK(A541)),VLOOKUP(A541,'BBT3'!A:F,3,0),"")</f>
        <v>US91282CNS60</v>
      </c>
      <c r="D541" s="5">
        <f>IF(NOT(ISBLANK(A541)),VLOOKUP(A541,'BBT3'!A:F,4,1),"")</f>
        <v>1.875</v>
      </c>
      <c r="E541">
        <f>IF(NOT(ISBLANK(A541)),VLOOKUP(A541,'BBT3'!A:F,5,0),"")</f>
        <v>49505</v>
      </c>
      <c r="F541" t="str">
        <f>IF(NOT(ISBLANK(A541)),VLOOKUP(A541,'BBT3'!A:F,6,0),"")</f>
        <v>Y</v>
      </c>
      <c r="G541" t="str">
        <f t="shared" si="83"/>
        <v>N</v>
      </c>
      <c r="H541">
        <f>IF(NOT(ISBLANK(A541)),VLOOKUP(A541,'Close - PriceSaver'!A:J,5,0),"")</f>
        <v>2.2820903400584801E-2</v>
      </c>
      <c r="I541" s="4" cm="1">
        <f t="array" ref="I541">IF(NOT(ISBLANK(A541)),((_xlfn.XLOOKUP(1,(_bbt3[[#All],[ID]]=A541)*(_bbt3[[#All],[METRIC_NAME]]="YLD_YTM_ASK"),_bbt3[[#All],[METRIC_VALUE]])*0.5)+(_xlfn.XLOOKUP(1,(_bbt3[[#All],[ID]]=A541)*(_bbt3[[#All],[METRIC_NAME]]="YLD_YTM_BID"),_bbt3[[#All],[METRIC_VALUE]])*0.5))/100,"")</f>
        <v>2.282E-2</v>
      </c>
      <c r="J541">
        <f>IF(ISNA(VLOOKUP(A541,'CloseDL - PriceSaverBBT3'!A:E,5,0)),0,VLOOKUP(A541,'CloseDL - PriceSaverBBT3'!A:E,5,0))</f>
        <v>2.2820903400584801E-2</v>
      </c>
      <c r="K541" s="7">
        <f t="shared" si="84"/>
        <v>0</v>
      </c>
      <c r="L541" s="20">
        <f>IF(Close[[#This Row],[CreatedBy]]="MARINER\SilverAdm",1,0)</f>
        <v>1</v>
      </c>
      <c r="M541" t="str">
        <f>IF(NOT(ISBLANK(A541)),VLOOKUP(A541,'Close - PriceSaver'!A:J,6,0),"")</f>
        <v>DL input prc = 96.71093750  PX_ASK = 96.73437500 PX_BID = 96.68750000</v>
      </c>
      <c r="Q541" t="e">
        <f t="shared" si="76"/>
        <v>#N/A</v>
      </c>
      <c r="R541" t="e">
        <f t="shared" si="77"/>
        <v>#N/A</v>
      </c>
      <c r="S541" t="e">
        <f t="shared" si="78"/>
        <v>#N/A</v>
      </c>
      <c r="T541" s="15" t="e">
        <f t="shared" si="79"/>
        <v>#N/A</v>
      </c>
      <c r="U541" s="18" t="e">
        <f t="shared" si="80"/>
        <v>#N/A</v>
      </c>
      <c r="V541" s="18" t="e">
        <f t="shared" si="81"/>
        <v>#N/A</v>
      </c>
      <c r="W541" s="19" t="e">
        <f t="shared" si="82"/>
        <v>#N/A</v>
      </c>
      <c r="X541" t="e">
        <f>VLOOKUP(P541,Close[[ID]:[CreatedBy]],8,0)</f>
        <v>#N/A</v>
      </c>
    </row>
    <row r="542" spans="1:24" x14ac:dyDescent="0.35">
      <c r="A542" t="str">
        <v>91282CNT4</v>
      </c>
      <c r="B542" t="str">
        <f>IF(NOT(ISBLANK(A542)),VLOOKUP(A542,'BBT3'!A:F,2,0),"")</f>
        <v>Bond</v>
      </c>
      <c r="C542" t="str">
        <f>IF(NOT(ISBLANK(A542)),VLOOKUP(A542,'BBT3'!A:F,3,0),"")</f>
        <v>US91282CNT44</v>
      </c>
      <c r="D542" s="5">
        <f>IF(NOT(ISBLANK(A542)),VLOOKUP(A542,'BBT3'!A:F,4,1),"")</f>
        <v>4.25</v>
      </c>
      <c r="E542">
        <f>IF(NOT(ISBLANK(A542)),VLOOKUP(A542,'BBT3'!A:F,5,0),"")</f>
        <v>49536</v>
      </c>
      <c r="F542" t="str">
        <f>IF(NOT(ISBLANK(A542)),VLOOKUP(A542,'BBT3'!A:F,6,0),"")</f>
        <v>N</v>
      </c>
      <c r="G542" t="str">
        <f t="shared" si="83"/>
        <v>N</v>
      </c>
      <c r="H542">
        <f>IF(NOT(ISBLANK(A542)),VLOOKUP(A542,'Close - PriceSaver'!A:J,5,0),"")</f>
        <v>4.5973718657235499E-2</v>
      </c>
      <c r="I542" s="4" cm="1">
        <f t="array" ref="I542">IF(NOT(ISBLANK(A542)),((_xlfn.XLOOKUP(1,(_bbt3[[#All],[ID]]=A542)*(_bbt3[[#All],[METRIC_NAME]]="YLD_YTM_ASK"),_bbt3[[#All],[METRIC_VALUE]])*0.5)+(_xlfn.XLOOKUP(1,(_bbt3[[#All],[ID]]=A542)*(_bbt3[[#All],[METRIC_NAME]]="YLD_YTM_BID"),_bbt3[[#All],[METRIC_VALUE]])*0.5))/100,"")</f>
        <v>4.5969999999999997E-2</v>
      </c>
      <c r="J542">
        <f>IF(ISNA(VLOOKUP(A542,'CloseDL - PriceSaverBBT3'!A:E,5,0)),0,VLOOKUP(A542,'CloseDL - PriceSaverBBT3'!A:E,5,0))</f>
        <v>4.5973718657235499E-2</v>
      </c>
      <c r="K542" s="7">
        <f t="shared" si="84"/>
        <v>0</v>
      </c>
      <c r="L542" s="20">
        <f>IF(Close[[#This Row],[CreatedBy]]="MARINER\SilverAdm",1,0)</f>
        <v>1</v>
      </c>
      <c r="M542" t="str">
        <f>IF(NOT(ISBLANK(A542)),VLOOKUP(A542,'Close - PriceSaver'!A:J,6,0),"")</f>
        <v>DL input prc = 97.44531250  PX_ASK = 97.45312500 PX_BID = 97.43750000</v>
      </c>
      <c r="Q542" t="e">
        <f t="shared" si="76"/>
        <v>#N/A</v>
      </c>
      <c r="R542" t="e">
        <f t="shared" si="77"/>
        <v>#N/A</v>
      </c>
      <c r="S542" t="e">
        <f t="shared" si="78"/>
        <v>#N/A</v>
      </c>
      <c r="T542" s="15" t="e">
        <f t="shared" si="79"/>
        <v>#N/A</v>
      </c>
      <c r="U542" s="18" t="e">
        <f t="shared" si="80"/>
        <v>#N/A</v>
      </c>
      <c r="V542" s="18" t="e">
        <f t="shared" si="81"/>
        <v>#N/A</v>
      </c>
      <c r="W542" s="19" t="e">
        <f t="shared" si="82"/>
        <v>#N/A</v>
      </c>
      <c r="X542" t="e">
        <f>VLOOKUP(P542,Close[[ID]:[CreatedBy]],8,0)</f>
        <v>#N/A</v>
      </c>
    </row>
    <row r="543" spans="1:24" x14ac:dyDescent="0.35">
      <c r="A543" t="str">
        <v>91282CNU1</v>
      </c>
      <c r="B543" t="str">
        <f>IF(NOT(ISBLANK(A543)),VLOOKUP(A543,'BBT3'!A:F,2,0),"")</f>
        <v>Bond</v>
      </c>
      <c r="C543" t="str">
        <f>IF(NOT(ISBLANK(A543)),VLOOKUP(A543,'BBT3'!A:F,3,0),"")</f>
        <v>US91282CNU17</v>
      </c>
      <c r="D543" s="5">
        <f>IF(NOT(ISBLANK(A543)),VLOOKUP(A543,'BBT3'!A:F,4,1),"")</f>
        <v>3.625</v>
      </c>
      <c r="E543">
        <f>IF(NOT(ISBLANK(A543)),VLOOKUP(A543,'BBT3'!A:F,5,0),"")</f>
        <v>46980</v>
      </c>
      <c r="F543" t="str">
        <f>IF(NOT(ISBLANK(A543)),VLOOKUP(A543,'BBT3'!A:F,6,0),"")</f>
        <v>N</v>
      </c>
      <c r="G543" t="str">
        <f t="shared" si="83"/>
        <v>N</v>
      </c>
      <c r="H543">
        <f>IF(NOT(ISBLANK(A543)),VLOOKUP(A543,'Close - PriceSaver'!A:J,5,0),"")</f>
        <v>4.2763457211356902E-2</v>
      </c>
      <c r="I543" s="4" cm="1">
        <f t="array" ref="I543">IF(NOT(ISBLANK(A543)),((_xlfn.XLOOKUP(1,(_bbt3[[#All],[ID]]=A543)*(_bbt3[[#All],[METRIC_NAME]]="YLD_YTM_ASK"),_bbt3[[#All],[METRIC_VALUE]])*0.5)+(_xlfn.XLOOKUP(1,(_bbt3[[#All],[ID]]=A543)*(_bbt3[[#All],[METRIC_NAME]]="YLD_YTM_BID"),_bbt3[[#All],[METRIC_VALUE]])*0.5))/100,"")</f>
        <v>4.2759999999999999E-2</v>
      </c>
      <c r="J543">
        <f>IF(ISNA(VLOOKUP(A543,'CloseDL - PriceSaverBBT3'!A:E,5,0)),0,VLOOKUP(A543,'CloseDL - PriceSaverBBT3'!A:E,5,0))</f>
        <v>4.2763457211356902E-2</v>
      </c>
      <c r="K543" s="7">
        <f t="shared" si="84"/>
        <v>0</v>
      </c>
      <c r="L543" s="20">
        <f>IF(Close[[#This Row],[CreatedBy]]="MARINER\SilverAdm",1,0)</f>
        <v>1</v>
      </c>
      <c r="M543" t="str">
        <f>IF(NOT(ISBLANK(A543)),VLOOKUP(A543,'Close - PriceSaver'!A:J,6,0),"")</f>
        <v>DL input prc = 98.72265625  PX_ASK = 98.73437500 PX_BID = 98.71093750</v>
      </c>
      <c r="Q543" t="e">
        <f t="shared" si="76"/>
        <v>#N/A</v>
      </c>
      <c r="R543" t="e">
        <f t="shared" si="77"/>
        <v>#N/A</v>
      </c>
      <c r="S543" t="e">
        <f t="shared" si="78"/>
        <v>#N/A</v>
      </c>
      <c r="T543" s="15" t="e">
        <f t="shared" si="79"/>
        <v>#N/A</v>
      </c>
      <c r="U543" s="18" t="e">
        <f t="shared" si="80"/>
        <v>#N/A</v>
      </c>
      <c r="V543" s="18" t="e">
        <f t="shared" si="81"/>
        <v>#N/A</v>
      </c>
      <c r="W543" s="19" t="e">
        <f t="shared" si="82"/>
        <v>#N/A</v>
      </c>
      <c r="X543" t="e">
        <f>VLOOKUP(P543,Close[[ID]:[CreatedBy]],8,0)</f>
        <v>#N/A</v>
      </c>
    </row>
    <row r="544" spans="1:24" x14ac:dyDescent="0.35">
      <c r="A544" t="str">
        <v>91282CNV9</v>
      </c>
      <c r="B544" t="str">
        <f>IF(NOT(ISBLANK(A544)),VLOOKUP(A544,'BBT3'!A:F,2,0),"")</f>
        <v>Bond</v>
      </c>
      <c r="C544" t="str">
        <f>IF(NOT(ISBLANK(A544)),VLOOKUP(A544,'BBT3'!A:F,3,0),"")</f>
        <v>US91282CNV99</v>
      </c>
      <c r="D544" s="5">
        <f>IF(NOT(ISBLANK(A544)),VLOOKUP(A544,'BBT3'!A:F,4,1),"")</f>
        <v>3.625</v>
      </c>
      <c r="E544">
        <f>IF(NOT(ISBLANK(A544)),VLOOKUP(A544,'BBT3'!A:F,5,0),"")</f>
        <v>46630</v>
      </c>
      <c r="F544" t="str">
        <f>IF(NOT(ISBLANK(A544)),VLOOKUP(A544,'BBT3'!A:F,6,0),"")</f>
        <v>N</v>
      </c>
      <c r="G544" t="str">
        <f t="shared" si="83"/>
        <v>N</v>
      </c>
      <c r="H544">
        <f>IF(NOT(ISBLANK(A544)),VLOOKUP(A544,'Close - PriceSaver'!A:J,5,0),"")</f>
        <v>4.18110852404062E-2</v>
      </c>
      <c r="I544" s="4" cm="1">
        <f t="array" ref="I544">IF(NOT(ISBLANK(A544)),((_xlfn.XLOOKUP(1,(_bbt3[[#All],[ID]]=A544)*(_bbt3[[#All],[METRIC_NAME]]="YLD_YTM_ASK"),_bbt3[[#All],[METRIC_VALUE]])*0.5)+(_xlfn.XLOOKUP(1,(_bbt3[[#All],[ID]]=A544)*(_bbt3[[#All],[METRIC_NAME]]="YLD_YTM_BID"),_bbt3[[#All],[METRIC_VALUE]])*0.5))/100,"")</f>
        <v>4.181E-2</v>
      </c>
      <c r="J544">
        <f>IF(ISNA(VLOOKUP(A544,'CloseDL - PriceSaverBBT3'!A:E,5,0)),0,VLOOKUP(A544,'CloseDL - PriceSaverBBT3'!A:E,5,0))</f>
        <v>4.18110852404062E-2</v>
      </c>
      <c r="K544" s="7">
        <f t="shared" si="84"/>
        <v>0</v>
      </c>
      <c r="L544" s="20">
        <f>IF(Close[[#This Row],[CreatedBy]]="MARINER\SilverAdm",1,0)</f>
        <v>1</v>
      </c>
      <c r="M544" t="str">
        <f>IF(NOT(ISBLANK(A544)),VLOOKUP(A544,'Close - PriceSaver'!A:J,6,0),"")</f>
        <v>DL input prc = 99.40039063  PX_ASK = 99.41015625 PX_BID = 99.39062500</v>
      </c>
      <c r="Q544" t="e">
        <f t="shared" si="76"/>
        <v>#N/A</v>
      </c>
      <c r="R544" t="e">
        <f t="shared" si="77"/>
        <v>#N/A</v>
      </c>
      <c r="S544" t="e">
        <f t="shared" si="78"/>
        <v>#N/A</v>
      </c>
      <c r="T544" s="15" t="e">
        <f t="shared" si="79"/>
        <v>#N/A</v>
      </c>
      <c r="U544" s="18" t="e">
        <f t="shared" si="80"/>
        <v>#N/A</v>
      </c>
      <c r="V544" s="18" t="e">
        <f t="shared" si="81"/>
        <v>#N/A</v>
      </c>
      <c r="W544" s="19" t="e">
        <f t="shared" si="82"/>
        <v>#N/A</v>
      </c>
      <c r="X544" t="e">
        <f>VLOOKUP(P544,Close[[ID]:[CreatedBy]],8,0)</f>
        <v>#N/A</v>
      </c>
    </row>
    <row r="545" spans="1:24" x14ac:dyDescent="0.35">
      <c r="A545" t="str">
        <v>91282CNW7</v>
      </c>
      <c r="B545" t="str">
        <f>IF(NOT(ISBLANK(A545)),VLOOKUP(A545,'BBT3'!A:F,2,0),"")</f>
        <v>Bond</v>
      </c>
      <c r="C545" t="str">
        <f>IF(NOT(ISBLANK(A545)),VLOOKUP(A545,'BBT3'!A:F,3,0),"")</f>
        <v>US91282CNW72</v>
      </c>
      <c r="D545" s="5">
        <f>IF(NOT(ISBLANK(A545)),VLOOKUP(A545,'BBT3'!A:F,4,1),"")</f>
        <v>3.875</v>
      </c>
      <c r="E545">
        <f>IF(NOT(ISBLANK(A545)),VLOOKUP(A545,'BBT3'!A:F,5,0),"")</f>
        <v>48457</v>
      </c>
      <c r="F545" t="str">
        <f>IF(NOT(ISBLANK(A545)),VLOOKUP(A545,'BBT3'!A:F,6,0),"")</f>
        <v>N</v>
      </c>
      <c r="G545" t="str">
        <f t="shared" si="83"/>
        <v>N</v>
      </c>
      <c r="H545">
        <f>IF(NOT(ISBLANK(A545)),VLOOKUP(A545,'Close - PriceSaver'!A:J,5,0),"")</f>
        <v>4.4441830777354897E-2</v>
      </c>
      <c r="I545" s="4" cm="1">
        <f t="array" ref="I545">IF(NOT(ISBLANK(A545)),((_xlfn.XLOOKUP(1,(_bbt3[[#All],[ID]]=A545)*(_bbt3[[#All],[METRIC_NAME]]="YLD_YTM_ASK"),_bbt3[[#All],[METRIC_VALUE]])*0.5)+(_xlfn.XLOOKUP(1,(_bbt3[[#All],[ID]]=A545)*(_bbt3[[#All],[METRIC_NAME]]="YLD_YTM_BID"),_bbt3[[#All],[METRIC_VALUE]])*0.5))/100,"")</f>
        <v>4.444E-2</v>
      </c>
      <c r="J545">
        <f>IF(ISNA(VLOOKUP(A545,'CloseDL - PriceSaverBBT3'!A:E,5,0)),0,VLOOKUP(A545,'CloseDL - PriceSaverBBT3'!A:E,5,0))</f>
        <v>4.4441830777354897E-2</v>
      </c>
      <c r="K545" s="7">
        <f t="shared" si="84"/>
        <v>0</v>
      </c>
      <c r="L545" s="20">
        <f>IF(Close[[#This Row],[CreatedBy]]="MARINER\SilverAdm",1,0)</f>
        <v>1</v>
      </c>
      <c r="M545" t="str">
        <f>IF(NOT(ISBLANK(A545)),VLOOKUP(A545,'Close - PriceSaver'!A:J,6,0),"")</f>
        <v>DL input prc = 96.98046875  PX_ASK = 96.99218750 PX_BID = 96.96875000</v>
      </c>
      <c r="Q545" t="e">
        <f t="shared" si="76"/>
        <v>#N/A</v>
      </c>
      <c r="R545" t="e">
        <f t="shared" si="77"/>
        <v>#N/A</v>
      </c>
      <c r="S545" t="e">
        <f t="shared" si="78"/>
        <v>#N/A</v>
      </c>
      <c r="T545" s="15" t="e">
        <f t="shared" si="79"/>
        <v>#N/A</v>
      </c>
      <c r="U545" s="18" t="e">
        <f t="shared" si="80"/>
        <v>#N/A</v>
      </c>
      <c r="V545" s="18" t="e">
        <f t="shared" si="81"/>
        <v>#N/A</v>
      </c>
      <c r="W545" s="19" t="e">
        <f t="shared" si="82"/>
        <v>#N/A</v>
      </c>
      <c r="X545" t="e">
        <f>VLOOKUP(P545,Close[[ID]:[CreatedBy]],8,0)</f>
        <v>#N/A</v>
      </c>
    </row>
    <row r="546" spans="1:24" x14ac:dyDescent="0.35">
      <c r="A546" t="str">
        <v>91282CNX5</v>
      </c>
      <c r="B546" t="str">
        <f>IF(NOT(ISBLANK(A546)),VLOOKUP(A546,'BBT3'!A:F,2,0),"")</f>
        <v>Bond</v>
      </c>
      <c r="C546" t="str">
        <f>IF(NOT(ISBLANK(A546)),VLOOKUP(A546,'BBT3'!A:F,3,0),"")</f>
        <v>US91282CNX55</v>
      </c>
      <c r="D546" s="5">
        <f>IF(NOT(ISBLANK(A546)),VLOOKUP(A546,'BBT3'!A:F,4,1),"")</f>
        <v>3.625</v>
      </c>
      <c r="E546">
        <f>IF(NOT(ISBLANK(A546)),VLOOKUP(A546,'BBT3'!A:F,5,0),"")</f>
        <v>47726</v>
      </c>
      <c r="F546" t="str">
        <f>IF(NOT(ISBLANK(A546)),VLOOKUP(A546,'BBT3'!A:F,6,0),"")</f>
        <v>N</v>
      </c>
      <c r="G546" t="str">
        <f t="shared" si="83"/>
        <v>N</v>
      </c>
      <c r="H546">
        <f>IF(NOT(ISBLANK(A546)),VLOOKUP(A546,'Close - PriceSaver'!A:J,5,0),"")</f>
        <v>4.35072473395706E-2</v>
      </c>
      <c r="I546" s="4" cm="1">
        <f t="array" ref="I546">IF(NOT(ISBLANK(A546)),((_xlfn.XLOOKUP(1,(_bbt3[[#All],[ID]]=A546)*(_bbt3[[#All],[METRIC_NAME]]="YLD_YTM_ASK"),_bbt3[[#All],[METRIC_VALUE]])*0.5)+(_xlfn.XLOOKUP(1,(_bbt3[[#All],[ID]]=A546)*(_bbt3[[#All],[METRIC_NAME]]="YLD_YTM_BID"),_bbt3[[#All],[METRIC_VALUE]])*0.5))/100,"")</f>
        <v>4.351E-2</v>
      </c>
      <c r="J546">
        <f>IF(ISNA(VLOOKUP(A546,'CloseDL - PriceSaverBBT3'!A:E,5,0)),0,VLOOKUP(A546,'CloseDL - PriceSaverBBT3'!A:E,5,0))</f>
        <v>4.35072473395706E-2</v>
      </c>
      <c r="K546" s="7">
        <f t="shared" si="84"/>
        <v>0</v>
      </c>
      <c r="L546" s="20">
        <f>IF(Close[[#This Row],[CreatedBy]]="MARINER\SilverAdm",1,0)</f>
        <v>1</v>
      </c>
      <c r="M546" t="str">
        <f>IF(NOT(ISBLANK(A546)),VLOOKUP(A546,'Close - PriceSaver'!A:J,6,0),"")</f>
        <v>DL input prc = 97.29296875  PX_ASK = 97.30468750 PX_BID = 97.28125000</v>
      </c>
      <c r="Q546" t="e">
        <f t="shared" si="76"/>
        <v>#N/A</v>
      </c>
      <c r="R546" t="e">
        <f t="shared" si="77"/>
        <v>#N/A</v>
      </c>
      <c r="S546" t="e">
        <f t="shared" si="78"/>
        <v>#N/A</v>
      </c>
      <c r="T546" s="15" t="e">
        <f t="shared" si="79"/>
        <v>#N/A</v>
      </c>
      <c r="U546" s="18" t="e">
        <f t="shared" si="80"/>
        <v>#N/A</v>
      </c>
      <c r="V546" s="18" t="e">
        <f t="shared" si="81"/>
        <v>#N/A</v>
      </c>
      <c r="W546" s="19" t="e">
        <f t="shared" si="82"/>
        <v>#N/A</v>
      </c>
      <c r="X546" t="e">
        <f>VLOOKUP(P546,Close[[ID]:[CreatedBy]],8,0)</f>
        <v>#N/A</v>
      </c>
    </row>
    <row r="547" spans="1:24" x14ac:dyDescent="0.35">
      <c r="A547" t="str">
        <v>91282CNY3</v>
      </c>
      <c r="B547" t="str">
        <f>IF(NOT(ISBLANK(A547)),VLOOKUP(A547,'BBT3'!A:F,2,0),"")</f>
        <v>Bond</v>
      </c>
      <c r="C547" t="str">
        <f>IF(NOT(ISBLANK(A547)),VLOOKUP(A547,'BBT3'!A:F,3,0),"")</f>
        <v>US91282CNY39</v>
      </c>
      <c r="D547" s="5">
        <f>IF(NOT(ISBLANK(A547)),VLOOKUP(A547,'BBT3'!A:F,4,1),"")</f>
        <v>3.375</v>
      </c>
      <c r="E547">
        <f>IF(NOT(ISBLANK(A547)),VLOOKUP(A547,'BBT3'!A:F,5,0),"")</f>
        <v>47011</v>
      </c>
      <c r="F547" t="str">
        <f>IF(NOT(ISBLANK(A547)),VLOOKUP(A547,'BBT3'!A:F,6,0),"")</f>
        <v>N</v>
      </c>
      <c r="G547" t="str">
        <f t="shared" si="83"/>
        <v>N</v>
      </c>
      <c r="H547">
        <f>IF(NOT(ISBLANK(A547)),VLOOKUP(A547,'Close - PriceSaver'!A:J,5,0),"")</f>
        <v>4.28013265822881E-2</v>
      </c>
      <c r="I547" s="4" cm="1">
        <f t="array" ref="I547">IF(NOT(ISBLANK(A547)),((_xlfn.XLOOKUP(1,(_bbt3[[#All],[ID]]=A547)*(_bbt3[[#All],[METRIC_NAME]]="YLD_YTM_ASK"),_bbt3[[#All],[METRIC_VALUE]])*0.5)+(_xlfn.XLOOKUP(1,(_bbt3[[#All],[ID]]=A547)*(_bbt3[[#All],[METRIC_NAME]]="YLD_YTM_BID"),_bbt3[[#All],[METRIC_VALUE]])*0.5))/100,"")</f>
        <v>4.2799999999999991E-2</v>
      </c>
      <c r="J547">
        <f>IF(ISNA(VLOOKUP(A547,'CloseDL - PriceSaverBBT3'!A:E,5,0)),0,VLOOKUP(A547,'CloseDL - PriceSaverBBT3'!A:E,5,0))</f>
        <v>4.28013265822881E-2</v>
      </c>
      <c r="K547" s="7">
        <f t="shared" si="84"/>
        <v>0</v>
      </c>
      <c r="L547" s="20">
        <f>IF(Close[[#This Row],[CreatedBy]]="MARINER\SilverAdm",1,0)</f>
        <v>1</v>
      </c>
      <c r="M547" t="str">
        <f>IF(NOT(ISBLANK(A547)),VLOOKUP(A547,'Close - PriceSaver'!A:J,6,0),"")</f>
        <v>DL input prc = 98.15625000  PX_ASK = 98.16406250 PX_BID = 98.14843750</v>
      </c>
      <c r="Q547" t="e">
        <f t="shared" si="76"/>
        <v>#N/A</v>
      </c>
      <c r="R547" t="e">
        <f t="shared" si="77"/>
        <v>#N/A</v>
      </c>
      <c r="S547" t="e">
        <f t="shared" si="78"/>
        <v>#N/A</v>
      </c>
      <c r="T547" s="15" t="e">
        <f t="shared" si="79"/>
        <v>#N/A</v>
      </c>
      <c r="U547" s="18" t="e">
        <f t="shared" si="80"/>
        <v>#N/A</v>
      </c>
      <c r="V547" s="18" t="e">
        <f t="shared" si="81"/>
        <v>#N/A</v>
      </c>
      <c r="W547" s="19" t="e">
        <f t="shared" si="82"/>
        <v>#N/A</v>
      </c>
      <c r="X547" t="e">
        <f>VLOOKUP(P547,Close[[ID]:[CreatedBy]],8,0)</f>
        <v>#N/A</v>
      </c>
    </row>
    <row r="548" spans="1:24" x14ac:dyDescent="0.35">
      <c r="A548" t="str">
        <v>91282CNZ0</v>
      </c>
      <c r="B548" t="str">
        <f>IF(NOT(ISBLANK(A548)),VLOOKUP(A548,'BBT3'!A:F,2,0),"")</f>
        <v>Bond</v>
      </c>
      <c r="C548" t="str">
        <f>IF(NOT(ISBLANK(A548)),VLOOKUP(A548,'BBT3'!A:F,3,0),"")</f>
        <v>US91282CNZ04</v>
      </c>
      <c r="D548" s="5">
        <f>IF(NOT(ISBLANK(A548)),VLOOKUP(A548,'BBT3'!A:F,4,1),"")</f>
        <v>3.875</v>
      </c>
      <c r="E548">
        <f>IF(NOT(ISBLANK(A548)),VLOOKUP(A548,'BBT3'!A:F,5,0),"")</f>
        <v>48487</v>
      </c>
      <c r="F548" t="str">
        <f>IF(NOT(ISBLANK(A548)),VLOOKUP(A548,'BBT3'!A:F,6,0),"")</f>
        <v>N</v>
      </c>
      <c r="G548" t="str">
        <f t="shared" si="83"/>
        <v>N</v>
      </c>
      <c r="H548">
        <f>IF(NOT(ISBLANK(A548)),VLOOKUP(A548,'Close - PriceSaver'!A:J,5,0),"")</f>
        <v>4.4520182531922303E-2</v>
      </c>
      <c r="I548" s="4" cm="1">
        <f t="array" ref="I548">IF(NOT(ISBLANK(A548)),((_xlfn.XLOOKUP(1,(_bbt3[[#All],[ID]]=A548)*(_bbt3[[#All],[METRIC_NAME]]="YLD_YTM_ASK"),_bbt3[[#All],[METRIC_VALUE]])*0.5)+(_xlfn.XLOOKUP(1,(_bbt3[[#All],[ID]]=A548)*(_bbt3[[#All],[METRIC_NAME]]="YLD_YTM_BID"),_bbt3[[#All],[METRIC_VALUE]])*0.5))/100,"")</f>
        <v>4.4519999999999997E-2</v>
      </c>
      <c r="J548">
        <f>IF(ISNA(VLOOKUP(A548,'CloseDL - PriceSaverBBT3'!A:E,5,0)),0,VLOOKUP(A548,'CloseDL - PriceSaverBBT3'!A:E,5,0))</f>
        <v>4.4520182531922303E-2</v>
      </c>
      <c r="K548" s="7">
        <f t="shared" si="84"/>
        <v>0</v>
      </c>
      <c r="L548" s="20">
        <f>IF(Close[[#This Row],[CreatedBy]]="MARINER\SilverAdm",1,0)</f>
        <v>1</v>
      </c>
      <c r="M548" t="str">
        <f>IF(NOT(ISBLANK(A548)),VLOOKUP(A548,'Close - PriceSaver'!A:J,6,0),"")</f>
        <v>DL input prc = 96.90234375  PX_ASK = 96.91406250 PX_BID = 96.89062500</v>
      </c>
      <c r="Q548" t="e">
        <f t="shared" si="76"/>
        <v>#N/A</v>
      </c>
      <c r="R548" t="e">
        <f t="shared" si="77"/>
        <v>#N/A</v>
      </c>
      <c r="S548" t="e">
        <f t="shared" si="78"/>
        <v>#N/A</v>
      </c>
      <c r="T548" s="15" t="e">
        <f t="shared" si="79"/>
        <v>#N/A</v>
      </c>
      <c r="U548" s="18" t="e">
        <f t="shared" si="80"/>
        <v>#N/A</v>
      </c>
      <c r="V548" s="18" t="e">
        <f t="shared" si="81"/>
        <v>#N/A</v>
      </c>
      <c r="W548" s="19" t="e">
        <f t="shared" si="82"/>
        <v>#N/A</v>
      </c>
      <c r="X548" t="e">
        <f>VLOOKUP(P548,Close[[ID]:[CreatedBy]],8,0)</f>
        <v>#N/A</v>
      </c>
    </row>
    <row r="549" spans="1:24" x14ac:dyDescent="0.35">
      <c r="A549" t="str">
        <v>91282CPA3</v>
      </c>
      <c r="B549" t="str">
        <f>IF(NOT(ISBLANK(A549)),VLOOKUP(A549,'BBT3'!A:F,2,0),"")</f>
        <v>Bond</v>
      </c>
      <c r="C549" t="str">
        <f>IF(NOT(ISBLANK(A549)),VLOOKUP(A549,'BBT3'!A:F,3,0),"")</f>
        <v>US91282CPA35</v>
      </c>
      <c r="D549" s="5">
        <f>IF(NOT(ISBLANK(A549)),VLOOKUP(A549,'BBT3'!A:F,4,1),"")</f>
        <v>3.625</v>
      </c>
      <c r="E549">
        <f>IF(NOT(ISBLANK(A549)),VLOOKUP(A549,'BBT3'!A:F,5,0),"")</f>
        <v>47756</v>
      </c>
      <c r="F549" t="str">
        <f>IF(NOT(ISBLANK(A549)),VLOOKUP(A549,'BBT3'!A:F,6,0),"")</f>
        <v>N</v>
      </c>
      <c r="G549" t="str">
        <f t="shared" si="83"/>
        <v>N</v>
      </c>
      <c r="H549">
        <f>IF(NOT(ISBLANK(A549)),VLOOKUP(A549,'Close - PriceSaver'!A:J,5,0),"")</f>
        <v>4.34861001768359E-2</v>
      </c>
      <c r="I549" s="4" cm="1">
        <f t="array" ref="I549">IF(NOT(ISBLANK(A549)),((_xlfn.XLOOKUP(1,(_bbt3[[#All],[ID]]=A549)*(_bbt3[[#All],[METRIC_NAME]]="YLD_YTM_ASK"),_bbt3[[#All],[METRIC_VALUE]])*0.5)+(_xlfn.XLOOKUP(1,(_bbt3[[#All],[ID]]=A549)*(_bbt3[[#All],[METRIC_NAME]]="YLD_YTM_BID"),_bbt3[[#All],[METRIC_VALUE]])*0.5))/100,"")</f>
        <v>4.3490000000000001E-2</v>
      </c>
      <c r="J549">
        <f>IF(ISNA(VLOOKUP(A549,'CloseDL - PriceSaverBBT3'!A:E,5,0)),0,VLOOKUP(A549,'CloseDL - PriceSaverBBT3'!A:E,5,0))</f>
        <v>4.34861001768359E-2</v>
      </c>
      <c r="K549" s="7">
        <f t="shared" si="84"/>
        <v>0</v>
      </c>
      <c r="L549" s="20">
        <f>IF(Close[[#This Row],[CreatedBy]]="MARINER\SilverAdm",1,0)</f>
        <v>1</v>
      </c>
      <c r="M549" t="str">
        <f>IF(NOT(ISBLANK(A549)),VLOOKUP(A549,'Close - PriceSaver'!A:J,6,0),"")</f>
        <v>DL input prc = 97.25000000  PX_ASK = 97.25781250 PX_BID = 97.24218750</v>
      </c>
      <c r="Q549" t="e">
        <f t="shared" si="76"/>
        <v>#N/A</v>
      </c>
      <c r="R549" t="e">
        <f t="shared" si="77"/>
        <v>#N/A</v>
      </c>
      <c r="S549" t="e">
        <f t="shared" si="78"/>
        <v>#N/A</v>
      </c>
      <c r="T549" s="15" t="e">
        <f t="shared" si="79"/>
        <v>#N/A</v>
      </c>
      <c r="U549" s="18" t="e">
        <f t="shared" si="80"/>
        <v>#N/A</v>
      </c>
      <c r="V549" s="18" t="e">
        <f t="shared" si="81"/>
        <v>#N/A</v>
      </c>
      <c r="W549" s="19" t="e">
        <f t="shared" si="82"/>
        <v>#N/A</v>
      </c>
      <c r="X549" t="e">
        <f>VLOOKUP(P549,Close[[ID]:[CreatedBy]],8,0)</f>
        <v>#N/A</v>
      </c>
    </row>
    <row r="550" spans="1:24" x14ac:dyDescent="0.35">
      <c r="A550" t="str">
        <v>91282CPB1</v>
      </c>
      <c r="B550" t="str">
        <f>IF(NOT(ISBLANK(A550)),VLOOKUP(A550,'BBT3'!A:F,2,0),"")</f>
        <v>Bond</v>
      </c>
      <c r="C550" t="str">
        <f>IF(NOT(ISBLANK(A550)),VLOOKUP(A550,'BBT3'!A:F,3,0),"")</f>
        <v>US91282CPB18</v>
      </c>
      <c r="D550" s="5">
        <f>IF(NOT(ISBLANK(A550)),VLOOKUP(A550,'BBT3'!A:F,4,1),"")</f>
        <v>3.5</v>
      </c>
      <c r="E550">
        <f>IF(NOT(ISBLANK(A550)),VLOOKUP(A550,'BBT3'!A:F,5,0),"")</f>
        <v>46660</v>
      </c>
      <c r="F550" t="str">
        <f>IF(NOT(ISBLANK(A550)),VLOOKUP(A550,'BBT3'!A:F,6,0),"")</f>
        <v>N</v>
      </c>
      <c r="G550" t="str">
        <f t="shared" si="83"/>
        <v>N</v>
      </c>
      <c r="H550">
        <f>IF(NOT(ISBLANK(A550)),VLOOKUP(A550,'Close - PriceSaver'!A:J,5,0),"")</f>
        <v>4.19754943127977E-2</v>
      </c>
      <c r="I550" s="4" cm="1">
        <f t="array" ref="I550">IF(NOT(ISBLANK(A550)),((_xlfn.XLOOKUP(1,(_bbt3[[#All],[ID]]=A550)*(_bbt3[[#All],[METRIC_NAME]]="YLD_YTM_ASK"),_bbt3[[#All],[METRIC_VALUE]])*0.5)+(_xlfn.XLOOKUP(1,(_bbt3[[#All],[ID]]=A550)*(_bbt3[[#All],[METRIC_NAME]]="YLD_YTM_BID"),_bbt3[[#All],[METRIC_VALUE]])*0.5))/100,"")</f>
        <v>4.1974999999999998E-2</v>
      </c>
      <c r="J550">
        <f>IF(ISNA(VLOOKUP(A550,'CloseDL - PriceSaverBBT3'!A:E,5,0)),0,VLOOKUP(A550,'CloseDL - PriceSaverBBT3'!A:E,5,0))</f>
        <v>4.19754943127977E-2</v>
      </c>
      <c r="K550" s="7">
        <f t="shared" si="84"/>
        <v>0</v>
      </c>
      <c r="L550" s="20">
        <f>IF(Close[[#This Row],[CreatedBy]]="MARINER\SilverAdm",1,0)</f>
        <v>1</v>
      </c>
      <c r="M550" t="str">
        <f>IF(NOT(ISBLANK(A550)),VLOOKUP(A550,'Close - PriceSaver'!A:J,6,0),"")</f>
        <v>DL input prc = 99.19335938  PX_ASK = 99.19921875 PX_BID = 99.18750000</v>
      </c>
      <c r="Q550" t="e">
        <f t="shared" si="76"/>
        <v>#N/A</v>
      </c>
      <c r="R550" t="e">
        <f t="shared" si="77"/>
        <v>#N/A</v>
      </c>
      <c r="S550" t="e">
        <f t="shared" si="78"/>
        <v>#N/A</v>
      </c>
      <c r="T550" s="15" t="e">
        <f t="shared" si="79"/>
        <v>#N/A</v>
      </c>
      <c r="U550" s="18" t="e">
        <f t="shared" si="80"/>
        <v>#N/A</v>
      </c>
      <c r="V550" s="18" t="e">
        <f t="shared" si="81"/>
        <v>#N/A</v>
      </c>
      <c r="W550" s="19" t="e">
        <f t="shared" si="82"/>
        <v>#N/A</v>
      </c>
      <c r="X550" t="e">
        <f>VLOOKUP(P550,Close[[ID]:[CreatedBy]],8,0)</f>
        <v>#N/A</v>
      </c>
    </row>
    <row r="551" spans="1:24" x14ac:dyDescent="0.35">
      <c r="A551" t="str">
        <v>91282CPC9</v>
      </c>
      <c r="B551" t="str">
        <f>IF(NOT(ISBLANK(A551)),VLOOKUP(A551,'BBT3'!A:F,2,0),"")</f>
        <v>Bond</v>
      </c>
      <c r="C551" t="str">
        <f>IF(NOT(ISBLANK(A551)),VLOOKUP(A551,'BBT3'!A:F,3,0),"")</f>
        <v>US91282CPC90</v>
      </c>
      <c r="D551" s="5">
        <f>IF(NOT(ISBLANK(A551)),VLOOKUP(A551,'BBT3'!A:F,4,1),"")</f>
        <v>3.5</v>
      </c>
      <c r="E551">
        <f>IF(NOT(ISBLANK(A551)),VLOOKUP(A551,'BBT3'!A:F,5,0),"")</f>
        <v>47041</v>
      </c>
      <c r="F551" t="str">
        <f>IF(NOT(ISBLANK(A551)),VLOOKUP(A551,'BBT3'!A:F,6,0),"")</f>
        <v>N</v>
      </c>
      <c r="G551" t="str">
        <f t="shared" si="83"/>
        <v>N</v>
      </c>
      <c r="H551">
        <f>IF(NOT(ISBLANK(A551)),VLOOKUP(A551,'Close - PriceSaver'!A:J,5,0),"")</f>
        <v>4.2874744260537799E-2</v>
      </c>
      <c r="I551" s="4" cm="1">
        <f t="array" ref="I551">IF(NOT(ISBLANK(A551)),((_xlfn.XLOOKUP(1,(_bbt3[[#All],[ID]]=A551)*(_bbt3[[#All],[METRIC_NAME]]="YLD_YTM_ASK"),_bbt3[[#All],[METRIC_VALUE]])*0.5)+(_xlfn.XLOOKUP(1,(_bbt3[[#All],[ID]]=A551)*(_bbt3[[#All],[METRIC_NAME]]="YLD_YTM_BID"),_bbt3[[#All],[METRIC_VALUE]])*0.5))/100,"")</f>
        <v>4.2874999999999996E-2</v>
      </c>
      <c r="J551">
        <f>IF(ISNA(VLOOKUP(A551,'CloseDL - PriceSaverBBT3'!A:E,5,0)),0,VLOOKUP(A551,'CloseDL - PriceSaverBBT3'!A:E,5,0))</f>
        <v>4.2874744260537799E-2</v>
      </c>
      <c r="K551" s="7">
        <f t="shared" si="84"/>
        <v>0</v>
      </c>
      <c r="L551" s="20">
        <f>IF(Close[[#This Row],[CreatedBy]]="MARINER\SilverAdm",1,0)</f>
        <v>1</v>
      </c>
      <c r="M551" t="str">
        <f>IF(NOT(ISBLANK(A551)),VLOOKUP(A551,'Close - PriceSaver'!A:J,6,0),"")</f>
        <v>DL input prc = 98.33593750  PX_ASK = 98.34375000 PX_BID = 98.32812500</v>
      </c>
      <c r="Q551" t="e">
        <f t="shared" si="76"/>
        <v>#N/A</v>
      </c>
      <c r="R551" t="e">
        <f t="shared" si="77"/>
        <v>#N/A</v>
      </c>
      <c r="S551" t="e">
        <f t="shared" si="78"/>
        <v>#N/A</v>
      </c>
      <c r="T551" s="15" t="e">
        <f t="shared" si="79"/>
        <v>#N/A</v>
      </c>
      <c r="U551" s="18" t="e">
        <f t="shared" si="80"/>
        <v>#N/A</v>
      </c>
      <c r="V551" s="18" t="e">
        <f t="shared" si="81"/>
        <v>#N/A</v>
      </c>
      <c r="W551" s="19" t="e">
        <f t="shared" si="82"/>
        <v>#N/A</v>
      </c>
      <c r="X551" t="e">
        <f>VLOOKUP(P551,Close[[ID]:[CreatedBy]],8,0)</f>
        <v>#N/A</v>
      </c>
    </row>
    <row r="552" spans="1:24" x14ac:dyDescent="0.35">
      <c r="A552" t="str">
        <v>91282CPD7</v>
      </c>
      <c r="B552" t="str">
        <f>IF(NOT(ISBLANK(A552)),VLOOKUP(A552,'BBT3'!A:F,2,0),"")</f>
        <v>Bond</v>
      </c>
      <c r="C552" t="str">
        <f>IF(NOT(ISBLANK(A552)),VLOOKUP(A552,'BBT3'!A:F,3,0),"")</f>
        <v>US91282CPD73</v>
      </c>
      <c r="D552" s="5">
        <f>IF(NOT(ISBLANK(A552)),VLOOKUP(A552,'BBT3'!A:F,4,1),"")</f>
        <v>3.625</v>
      </c>
      <c r="E552">
        <f>IF(NOT(ISBLANK(A552)),VLOOKUP(A552,'BBT3'!A:F,5,0),"")</f>
        <v>47787</v>
      </c>
      <c r="F552" t="str">
        <f>IF(NOT(ISBLANK(A552)),VLOOKUP(A552,'BBT3'!A:F,6,0),"")</f>
        <v>N</v>
      </c>
      <c r="G552" t="str">
        <f t="shared" si="83"/>
        <v>N</v>
      </c>
      <c r="H552">
        <f>IF(NOT(ISBLANK(A552)),VLOOKUP(A552,'Close - PriceSaver'!A:J,5,0),"")</f>
        <v>4.3550207202041502E-2</v>
      </c>
      <c r="I552" s="4" cm="1">
        <f t="array" ref="I552">IF(NOT(ISBLANK(A552)),((_xlfn.XLOOKUP(1,(_bbt3[[#All],[ID]]=A552)*(_bbt3[[#All],[METRIC_NAME]]="YLD_YTM_ASK"),_bbt3[[#All],[METRIC_VALUE]])*0.5)+(_xlfn.XLOOKUP(1,(_bbt3[[#All],[ID]]=A552)*(_bbt3[[#All],[METRIC_NAME]]="YLD_YTM_BID"),_bbt3[[#All],[METRIC_VALUE]])*0.5))/100,"")</f>
        <v>4.3550000000000005E-2</v>
      </c>
      <c r="J552">
        <f>IF(ISNA(VLOOKUP(A552,'CloseDL - PriceSaverBBT3'!A:E,5,0)),0,VLOOKUP(A552,'CloseDL - PriceSaverBBT3'!A:E,5,0))</f>
        <v>4.3550207202041502E-2</v>
      </c>
      <c r="K552" s="7">
        <f t="shared" si="84"/>
        <v>0</v>
      </c>
      <c r="L552" s="20">
        <f>IF(Close[[#This Row],[CreatedBy]]="MARINER\SilverAdm",1,0)</f>
        <v>1</v>
      </c>
      <c r="M552" t="str">
        <f>IF(NOT(ISBLANK(A552)),VLOOKUP(A552,'Close - PriceSaver'!A:J,6,0),"")</f>
        <v>DL input prc = 97.17578125  PX_ASK = 97.18750000 PX_BID = 97.16406250</v>
      </c>
      <c r="Q552" t="e">
        <f t="shared" si="76"/>
        <v>#N/A</v>
      </c>
      <c r="R552" t="e">
        <f t="shared" si="77"/>
        <v>#N/A</v>
      </c>
      <c r="S552" t="e">
        <f t="shared" si="78"/>
        <v>#N/A</v>
      </c>
      <c r="T552" s="15" t="e">
        <f t="shared" si="79"/>
        <v>#N/A</v>
      </c>
      <c r="U552" s="18" t="e">
        <f t="shared" si="80"/>
        <v>#N/A</v>
      </c>
      <c r="V552" s="18" t="e">
        <f t="shared" si="81"/>
        <v>#N/A</v>
      </c>
      <c r="W552" s="19" t="e">
        <f t="shared" si="82"/>
        <v>#N/A</v>
      </c>
      <c r="X552" t="e">
        <f>VLOOKUP(P552,Close[[ID]:[CreatedBy]],8,0)</f>
        <v>#N/A</v>
      </c>
    </row>
    <row r="553" spans="1:24" x14ac:dyDescent="0.35">
      <c r="A553" t="str">
        <v>91282CPE5</v>
      </c>
      <c r="B553" t="str">
        <f>IF(NOT(ISBLANK(A553)),VLOOKUP(A553,'BBT3'!A:F,2,0),"")</f>
        <v>Bond</v>
      </c>
      <c r="C553" t="str">
        <f>IF(NOT(ISBLANK(A553)),VLOOKUP(A553,'BBT3'!A:F,3,0),"")</f>
        <v>US91282CPE56</v>
      </c>
      <c r="D553" s="5">
        <f>IF(NOT(ISBLANK(A553)),VLOOKUP(A553,'BBT3'!A:F,4,1),"")</f>
        <v>3.5</v>
      </c>
      <c r="E553">
        <f>IF(NOT(ISBLANK(A553)),VLOOKUP(A553,'BBT3'!A:F,5,0),"")</f>
        <v>46691</v>
      </c>
      <c r="F553" t="str">
        <f>IF(NOT(ISBLANK(A553)),VLOOKUP(A553,'BBT3'!A:F,6,0),"")</f>
        <v>N</v>
      </c>
      <c r="G553" t="str">
        <f t="shared" si="83"/>
        <v>N</v>
      </c>
      <c r="H553">
        <f>IF(NOT(ISBLANK(A553)),VLOOKUP(A553,'Close - PriceSaver'!A:J,5,0),"")</f>
        <v>4.21826144076171E-2</v>
      </c>
      <c r="I553" s="4" cm="1">
        <f t="array" ref="I553">IF(NOT(ISBLANK(A553)),((_xlfn.XLOOKUP(1,(_bbt3[[#All],[ID]]=A553)*(_bbt3[[#All],[METRIC_NAME]]="YLD_YTM_ASK"),_bbt3[[#All],[METRIC_VALUE]])*0.5)+(_xlfn.XLOOKUP(1,(_bbt3[[#All],[ID]]=A553)*(_bbt3[[#All],[METRIC_NAME]]="YLD_YTM_BID"),_bbt3[[#All],[METRIC_VALUE]])*0.5))/100,"")</f>
        <v>4.2185E-2</v>
      </c>
      <c r="J553">
        <f>IF(ISNA(VLOOKUP(A553,'CloseDL - PriceSaverBBT3'!A:E,5,0)),0,VLOOKUP(A553,'CloseDL - PriceSaverBBT3'!A:E,5,0))</f>
        <v>4.21826144076171E-2</v>
      </c>
      <c r="K553" s="7">
        <f t="shared" si="84"/>
        <v>0</v>
      </c>
      <c r="L553" s="20">
        <f>IF(Close[[#This Row],[CreatedBy]]="MARINER\SilverAdm",1,0)</f>
        <v>1</v>
      </c>
      <c r="M553" t="str">
        <f>IF(NOT(ISBLANK(A553)),VLOOKUP(A553,'Close - PriceSaver'!A:J,6,0),"")</f>
        <v>DL input prc = 99.11328125  PX_ASK = 99.12109375 PX_BID = 99.10546875</v>
      </c>
      <c r="Q553" t="e">
        <f t="shared" si="76"/>
        <v>#N/A</v>
      </c>
      <c r="R553" t="e">
        <f t="shared" si="77"/>
        <v>#N/A</v>
      </c>
      <c r="S553" t="e">
        <f t="shared" si="78"/>
        <v>#N/A</v>
      </c>
      <c r="T553" s="15" t="e">
        <f t="shared" si="79"/>
        <v>#N/A</v>
      </c>
      <c r="U553" s="18" t="e">
        <f t="shared" si="80"/>
        <v>#N/A</v>
      </c>
      <c r="V553" s="18" t="e">
        <f t="shared" si="81"/>
        <v>#N/A</v>
      </c>
      <c r="W553" s="19" t="e">
        <f t="shared" si="82"/>
        <v>#N/A</v>
      </c>
      <c r="X553" t="e">
        <f>VLOOKUP(P553,Close[[ID]:[CreatedBy]],8,0)</f>
        <v>#N/A</v>
      </c>
    </row>
    <row r="554" spans="1:24" x14ac:dyDescent="0.35">
      <c r="A554" t="str">
        <v>91282CPF2</v>
      </c>
      <c r="B554" t="str">
        <f>IF(NOT(ISBLANK(A554)),VLOOKUP(A554,'BBT3'!A:F,2,0),"")</f>
        <v>Bond</v>
      </c>
      <c r="C554" t="str">
        <f>IF(NOT(ISBLANK(A554)),VLOOKUP(A554,'BBT3'!A:F,3,0),"")</f>
        <v>US91282CPF22</v>
      </c>
      <c r="D554" s="5">
        <f>IF(NOT(ISBLANK(A554)),VLOOKUP(A554,'BBT3'!A:F,4,1),"")</f>
        <v>3.75</v>
      </c>
      <c r="E554">
        <f>IF(NOT(ISBLANK(A554)),VLOOKUP(A554,'BBT3'!A:F,5,0),"")</f>
        <v>48518</v>
      </c>
      <c r="F554" t="str">
        <f>IF(NOT(ISBLANK(A554)),VLOOKUP(A554,'BBT3'!A:F,6,0),"")</f>
        <v>N</v>
      </c>
      <c r="G554" t="str">
        <f t="shared" si="83"/>
        <v>N</v>
      </c>
      <c r="H554">
        <f>IF(NOT(ISBLANK(A554)),VLOOKUP(A554,'Close - PriceSaver'!A:J,5,0),"")</f>
        <v>4.4573490787308198E-2</v>
      </c>
      <c r="I554" s="4" cm="1">
        <f t="array" ref="I554">IF(NOT(ISBLANK(A554)),((_xlfn.XLOOKUP(1,(_bbt3[[#All],[ID]]=A554)*(_bbt3[[#All],[METRIC_NAME]]="YLD_YTM_ASK"),_bbt3[[#All],[METRIC_VALUE]])*0.5)+(_xlfn.XLOOKUP(1,(_bbt3[[#All],[ID]]=A554)*(_bbt3[[#All],[METRIC_NAME]]="YLD_YTM_BID"),_bbt3[[#All],[METRIC_VALUE]])*0.5))/100,"")</f>
        <v>4.4574999999999997E-2</v>
      </c>
      <c r="J554">
        <f>IF(ISNA(VLOOKUP(A554,'CloseDL - PriceSaverBBT3'!A:E,5,0)),0,VLOOKUP(A554,'CloseDL - PriceSaverBBT3'!A:E,5,0))</f>
        <v>4.4573490787308198E-2</v>
      </c>
      <c r="K554" s="7">
        <f t="shared" si="84"/>
        <v>0</v>
      </c>
      <c r="L554" s="20">
        <f>IF(Close[[#This Row],[CreatedBy]]="MARINER\SilverAdm",1,0)</f>
        <v>1</v>
      </c>
      <c r="M554" t="str">
        <f>IF(NOT(ISBLANK(A554)),VLOOKUP(A554,'Close - PriceSaver'!A:J,6,0),"")</f>
        <v>DL input prc = 96.16015625  PX_ASK = 96.17187500 PX_BID = 96.14843750</v>
      </c>
      <c r="Q554" t="e">
        <f t="shared" si="76"/>
        <v>#N/A</v>
      </c>
      <c r="R554" t="e">
        <f t="shared" si="77"/>
        <v>#N/A</v>
      </c>
      <c r="S554" t="e">
        <f t="shared" si="78"/>
        <v>#N/A</v>
      </c>
      <c r="T554" s="15" t="e">
        <f t="shared" si="79"/>
        <v>#N/A</v>
      </c>
      <c r="U554" s="18" t="e">
        <f t="shared" si="80"/>
        <v>#N/A</v>
      </c>
      <c r="V554" s="18" t="e">
        <f t="shared" si="81"/>
        <v>#N/A</v>
      </c>
      <c r="W554" s="19" t="e">
        <f t="shared" si="82"/>
        <v>#N/A</v>
      </c>
      <c r="X554" t="e">
        <f>VLOOKUP(P554,Close[[ID]:[CreatedBy]],8,0)</f>
        <v>#N/A</v>
      </c>
    </row>
    <row r="555" spans="1:24" x14ac:dyDescent="0.35">
      <c r="A555" t="str">
        <v>91282CPH8</v>
      </c>
      <c r="B555" t="str">
        <f>IF(NOT(ISBLANK(A555)),VLOOKUP(A555,'BBT3'!A:F,2,0),"")</f>
        <v>Bond</v>
      </c>
      <c r="C555" t="str">
        <f>IF(NOT(ISBLANK(A555)),VLOOKUP(A555,'BBT3'!A:F,3,0),"")</f>
        <v>US91282CPH87</v>
      </c>
      <c r="D555" s="5">
        <f>IF(NOT(ISBLANK(A555)),VLOOKUP(A555,'BBT3'!A:F,4,1),"")</f>
        <v>1.125</v>
      </c>
      <c r="E555">
        <f>IF(NOT(ISBLANK(A555)),VLOOKUP(A555,'BBT3'!A:F,5,0),"")</f>
        <v>47771</v>
      </c>
      <c r="F555" t="str">
        <f>IF(NOT(ISBLANK(A555)),VLOOKUP(A555,'BBT3'!A:F,6,0),"")</f>
        <v>Y</v>
      </c>
      <c r="G555" t="str">
        <f t="shared" si="83"/>
        <v>N</v>
      </c>
      <c r="H555">
        <f>IF(NOT(ISBLANK(A555)),VLOOKUP(A555,'Close - PriceSaver'!A:J,5,0),"")</f>
        <v>1.9666044916376899E-2</v>
      </c>
      <c r="I555" s="4" cm="1">
        <f t="array" ref="I555">IF(NOT(ISBLANK(A555)),((_xlfn.XLOOKUP(1,(_bbt3[[#All],[ID]]=A555)*(_bbt3[[#All],[METRIC_NAME]]="YLD_YTM_ASK"),_bbt3[[#All],[METRIC_VALUE]])*0.5)+(_xlfn.XLOOKUP(1,(_bbt3[[#All],[ID]]=A555)*(_bbt3[[#All],[METRIC_NAME]]="YLD_YTM_BID"),_bbt3[[#All],[METRIC_VALUE]])*0.5))/100,"")</f>
        <v>1.967E-2</v>
      </c>
      <c r="J555">
        <f>IF(ISNA(VLOOKUP(A555,'CloseDL - PriceSaverBBT3'!A:E,5,0)),0,VLOOKUP(A555,'CloseDL - PriceSaverBBT3'!A:E,5,0))</f>
        <v>1.9666044916376899E-2</v>
      </c>
      <c r="K555" s="7">
        <f t="shared" si="84"/>
        <v>0</v>
      </c>
      <c r="L555" s="20">
        <f>IF(Close[[#This Row],[CreatedBy]]="MARINER\SilverAdm",1,0)</f>
        <v>1</v>
      </c>
      <c r="M555" t="str">
        <f>IF(NOT(ISBLANK(A555)),VLOOKUP(A555,'Close - PriceSaver'!A:J,6,0),"")</f>
        <v>DL input prc = 96.59765625  PX_ASK = 96.61718750 PX_BID = 96.57812500</v>
      </c>
      <c r="Q555" t="e">
        <f t="shared" si="76"/>
        <v>#N/A</v>
      </c>
      <c r="R555" t="e">
        <f t="shared" si="77"/>
        <v>#N/A</v>
      </c>
      <c r="S555" t="e">
        <f t="shared" si="78"/>
        <v>#N/A</v>
      </c>
      <c r="T555" s="15" t="e">
        <f t="shared" si="79"/>
        <v>#N/A</v>
      </c>
      <c r="U555" s="18" t="e">
        <f t="shared" si="80"/>
        <v>#N/A</v>
      </c>
      <c r="V555" s="18" t="e">
        <f t="shared" si="81"/>
        <v>#N/A</v>
      </c>
      <c r="W555" s="19" t="e">
        <f t="shared" si="82"/>
        <v>#N/A</v>
      </c>
      <c r="X555" t="e">
        <f>VLOOKUP(P555,Close[[ID]:[CreatedBy]],8,0)</f>
        <v>#N/A</v>
      </c>
    </row>
    <row r="556" spans="1:24" x14ac:dyDescent="0.35">
      <c r="A556" t="str">
        <v>91282CPJ4</v>
      </c>
      <c r="B556" t="str">
        <f>IF(NOT(ISBLANK(A556)),VLOOKUP(A556,'BBT3'!A:F,2,0),"")</f>
        <v>Bond</v>
      </c>
      <c r="C556" t="str">
        <f>IF(NOT(ISBLANK(A556)),VLOOKUP(A556,'BBT3'!A:F,3,0),"")</f>
        <v>US91282CPJ44</v>
      </c>
      <c r="D556" s="5">
        <f>IF(NOT(ISBLANK(A556)),VLOOKUP(A556,'BBT3'!A:F,4,1),"")</f>
        <v>4</v>
      </c>
      <c r="E556">
        <f>IF(NOT(ISBLANK(A556)),VLOOKUP(A556,'BBT3'!A:F,5,0),"")</f>
        <v>49628</v>
      </c>
      <c r="F556" t="str">
        <f>IF(NOT(ISBLANK(A556)),VLOOKUP(A556,'BBT3'!A:F,6,0),"")</f>
        <v>N</v>
      </c>
      <c r="G556" t="str">
        <f t="shared" si="83"/>
        <v>N</v>
      </c>
      <c r="H556">
        <f>IF(NOT(ISBLANK(A556)),VLOOKUP(A556,'Close - PriceSaver'!A:J,5,0),"")</f>
        <v>4.6093560858689799E-2</v>
      </c>
      <c r="I556" s="4" cm="1">
        <f t="array" ref="I556">IF(NOT(ISBLANK(A556)),((_xlfn.XLOOKUP(1,(_bbt3[[#All],[ID]]=A556)*(_bbt3[[#All],[METRIC_NAME]]="YLD_YTM_ASK"),_bbt3[[#All],[METRIC_VALUE]])*0.5)+(_xlfn.XLOOKUP(1,(_bbt3[[#All],[ID]]=A556)*(_bbt3[[#All],[METRIC_NAME]]="YLD_YTM_BID"),_bbt3[[#All],[METRIC_VALUE]])*0.5))/100,"")</f>
        <v>4.6089999999999999E-2</v>
      </c>
      <c r="J556">
        <f>IF(ISNA(VLOOKUP(A556,'CloseDL - PriceSaverBBT3'!A:E,5,0)),0,VLOOKUP(A556,'CloseDL - PriceSaverBBT3'!A:E,5,0))</f>
        <v>4.6093560858689799E-2</v>
      </c>
      <c r="K556" s="7">
        <f t="shared" si="84"/>
        <v>0</v>
      </c>
      <c r="L556" s="20">
        <f>IF(Close[[#This Row],[CreatedBy]]="MARINER\SilverAdm",1,0)</f>
        <v>1</v>
      </c>
      <c r="M556" t="str">
        <f>IF(NOT(ISBLANK(A556)),VLOOKUP(A556,'Close - PriceSaver'!A:J,6,0),"")</f>
        <v>DL input prc = 95.42187500  PX_ASK = 95.43750000 PX_BID = 95.40625000</v>
      </c>
      <c r="Q556" t="e">
        <f t="shared" si="76"/>
        <v>#N/A</v>
      </c>
      <c r="R556" t="e">
        <f t="shared" si="77"/>
        <v>#N/A</v>
      </c>
      <c r="S556" t="e">
        <f t="shared" si="78"/>
        <v>#N/A</v>
      </c>
      <c r="T556" s="15" t="e">
        <f t="shared" si="79"/>
        <v>#N/A</v>
      </c>
      <c r="U556" s="18" t="e">
        <f t="shared" si="80"/>
        <v>#N/A</v>
      </c>
      <c r="V556" s="18" t="e">
        <f t="shared" si="81"/>
        <v>#N/A</v>
      </c>
      <c r="W556" s="19" t="e">
        <f t="shared" si="82"/>
        <v>#N/A</v>
      </c>
      <c r="X556" t="e">
        <f>VLOOKUP(P556,Close[[ID]:[CreatedBy]],8,0)</f>
        <v>#N/A</v>
      </c>
    </row>
    <row r="557" spans="1:24" x14ac:dyDescent="0.35">
      <c r="A557" t="str">
        <v>91282CPK1</v>
      </c>
      <c r="B557" t="str">
        <f>IF(NOT(ISBLANK(A557)),VLOOKUP(A557,'BBT3'!A:F,2,0),"")</f>
        <v>Bond</v>
      </c>
      <c r="C557" t="str">
        <f>IF(NOT(ISBLANK(A557)),VLOOKUP(A557,'BBT3'!A:F,3,0),"")</f>
        <v>US91282CPK17</v>
      </c>
      <c r="D557" s="5">
        <f>IF(NOT(ISBLANK(A557)),VLOOKUP(A557,'BBT3'!A:F,4,1),"")</f>
        <v>3.5</v>
      </c>
      <c r="E557">
        <f>IF(NOT(ISBLANK(A557)),VLOOKUP(A557,'BBT3'!A:F,5,0),"")</f>
        <v>47072</v>
      </c>
      <c r="F557" t="str">
        <f>IF(NOT(ISBLANK(A557)),VLOOKUP(A557,'BBT3'!A:F,6,0),"")</f>
        <v>N</v>
      </c>
      <c r="G557" t="str">
        <f t="shared" si="83"/>
        <v>N</v>
      </c>
      <c r="H557">
        <f>IF(NOT(ISBLANK(A557)),VLOOKUP(A557,'Close - PriceSaver'!A:J,5,0),"")</f>
        <v>4.2893686628814501E-2</v>
      </c>
      <c r="I557" s="4" cm="1">
        <f t="array" ref="I557">IF(NOT(ISBLANK(A557)),((_xlfn.XLOOKUP(1,(_bbt3[[#All],[ID]]=A557)*(_bbt3[[#All],[METRIC_NAME]]="YLD_YTM_ASK"),_bbt3[[#All],[METRIC_VALUE]])*0.5)+(_xlfn.XLOOKUP(1,(_bbt3[[#All],[ID]]=A557)*(_bbt3[[#All],[METRIC_NAME]]="YLD_YTM_BID"),_bbt3[[#All],[METRIC_VALUE]])*0.5))/100,"")</f>
        <v>4.2895000000000003E-2</v>
      </c>
      <c r="J557">
        <f>IF(ISNA(VLOOKUP(A557,'CloseDL - PriceSaverBBT3'!A:E,5,0)),0,VLOOKUP(A557,'CloseDL - PriceSaverBBT3'!A:E,5,0))</f>
        <v>4.2893686628814501E-2</v>
      </c>
      <c r="K557" s="7">
        <f t="shared" si="84"/>
        <v>0</v>
      </c>
      <c r="L557" s="20">
        <f>IF(Close[[#This Row],[CreatedBy]]="MARINER\SilverAdm",1,0)</f>
        <v>1</v>
      </c>
      <c r="M557" t="str">
        <f>IF(NOT(ISBLANK(A557)),VLOOKUP(A557,'Close - PriceSaver'!A:J,6,0),"")</f>
        <v>DL input prc = 98.27343750  PX_ASK = 98.28125000 PX_BID = 98.26562500</v>
      </c>
      <c r="Q557" t="e">
        <f t="shared" si="76"/>
        <v>#N/A</v>
      </c>
      <c r="R557" t="e">
        <f t="shared" si="77"/>
        <v>#N/A</v>
      </c>
      <c r="S557" t="e">
        <f t="shared" si="78"/>
        <v>#N/A</v>
      </c>
      <c r="T557" s="15" t="e">
        <f t="shared" si="79"/>
        <v>#N/A</v>
      </c>
      <c r="U557" s="18" t="e">
        <f t="shared" si="80"/>
        <v>#N/A</v>
      </c>
      <c r="V557" s="18" t="e">
        <f t="shared" si="81"/>
        <v>#N/A</v>
      </c>
      <c r="W557" s="19" t="e">
        <f t="shared" si="82"/>
        <v>#N/A</v>
      </c>
      <c r="X557" t="e">
        <f>VLOOKUP(P557,Close[[ID]:[CreatedBy]],8,0)</f>
        <v>#N/A</v>
      </c>
    </row>
    <row r="558" spans="1:24" x14ac:dyDescent="0.35">
      <c r="A558" t="str">
        <v>91282CPL9</v>
      </c>
      <c r="B558" t="str">
        <f>IF(NOT(ISBLANK(A558)),VLOOKUP(A558,'BBT3'!A:F,2,0),"")</f>
        <v>Bond</v>
      </c>
      <c r="C558" t="str">
        <f>IF(NOT(ISBLANK(A558)),VLOOKUP(A558,'BBT3'!A:F,3,0),"")</f>
        <v>US91282CPL99</v>
      </c>
      <c r="D558" s="5">
        <f>IF(NOT(ISBLANK(A558)),VLOOKUP(A558,'BBT3'!A:F,4,1),"")</f>
        <v>3.375</v>
      </c>
      <c r="E558">
        <f>IF(NOT(ISBLANK(A558)),VLOOKUP(A558,'BBT3'!A:F,5,0),"")</f>
        <v>46721</v>
      </c>
      <c r="F558" t="str">
        <f>IF(NOT(ISBLANK(A558)),VLOOKUP(A558,'BBT3'!A:F,6,0),"")</f>
        <v>N</v>
      </c>
      <c r="G558" t="str">
        <f t="shared" si="83"/>
        <v>N</v>
      </c>
      <c r="H558">
        <f>IF(NOT(ISBLANK(A558)),VLOOKUP(A558,'Close - PriceSaver'!A:J,5,0),"")</f>
        <v>4.2259705276296397E-2</v>
      </c>
      <c r="I558" s="4" cm="1">
        <f t="array" ref="I558">IF(NOT(ISBLANK(A558)),((_xlfn.XLOOKUP(1,(_bbt3[[#All],[ID]]=A558)*(_bbt3[[#All],[METRIC_NAME]]="YLD_YTM_ASK"),_bbt3[[#All],[METRIC_VALUE]])*0.5)+(_xlfn.XLOOKUP(1,(_bbt3[[#All],[ID]]=A558)*(_bbt3[[#All],[METRIC_NAME]]="YLD_YTM_BID"),_bbt3[[#All],[METRIC_VALUE]])*0.5))/100,"")</f>
        <v>4.2255000000000001E-2</v>
      </c>
      <c r="J558">
        <f>IF(ISNA(VLOOKUP(A558,'CloseDL - PriceSaverBBT3'!A:E,5,0)),0,VLOOKUP(A558,'CloseDL - PriceSaverBBT3'!A:E,5,0))</f>
        <v>4.2259705276296397E-2</v>
      </c>
      <c r="K558" s="7">
        <f t="shared" si="84"/>
        <v>0</v>
      </c>
      <c r="L558" s="20">
        <f>IF(Close[[#This Row],[CreatedBy]]="MARINER\SilverAdm",1,0)</f>
        <v>1</v>
      </c>
      <c r="M558" t="str">
        <f>IF(NOT(ISBLANK(A558)),VLOOKUP(A558,'Close - PriceSaver'!A:J,6,0),"")</f>
        <v>DL input prc = 98.88476563  PX_ASK = 98.89062500 PX_BID = 98.87890625</v>
      </c>
      <c r="Q558" t="e">
        <f t="shared" si="76"/>
        <v>#N/A</v>
      </c>
      <c r="R558" t="e">
        <f t="shared" si="77"/>
        <v>#N/A</v>
      </c>
      <c r="S558" t="e">
        <f t="shared" si="78"/>
        <v>#N/A</v>
      </c>
      <c r="T558" s="15" t="e">
        <f t="shared" si="79"/>
        <v>#N/A</v>
      </c>
      <c r="U558" s="18" t="e">
        <f t="shared" si="80"/>
        <v>#N/A</v>
      </c>
      <c r="V558" s="18" t="e">
        <f t="shared" si="81"/>
        <v>#N/A</v>
      </c>
      <c r="W558" s="19" t="e">
        <f t="shared" si="82"/>
        <v>#N/A</v>
      </c>
      <c r="X558" t="e">
        <f>VLOOKUP(P558,Close[[ID]:[CreatedBy]],8,0)</f>
        <v>#N/A</v>
      </c>
    </row>
    <row r="559" spans="1:24" x14ac:dyDescent="0.35">
      <c r="A559" t="str">
        <v>91282CPM7</v>
      </c>
      <c r="B559" t="str">
        <f>IF(NOT(ISBLANK(A559)),VLOOKUP(A559,'BBT3'!A:F,2,0),"")</f>
        <v>Bond</v>
      </c>
      <c r="C559" t="str">
        <f>IF(NOT(ISBLANK(A559)),VLOOKUP(A559,'BBT3'!A:F,3,0),"")</f>
        <v>US91282CPM72</v>
      </c>
      <c r="D559" s="5">
        <f>IF(NOT(ISBLANK(A559)),VLOOKUP(A559,'BBT3'!A:F,4,1),"")</f>
        <v>3.75</v>
      </c>
      <c r="E559">
        <f>IF(NOT(ISBLANK(A559)),VLOOKUP(A559,'BBT3'!A:F,5,0),"")</f>
        <v>48548</v>
      </c>
      <c r="F559" t="str">
        <f>IF(NOT(ISBLANK(A559)),VLOOKUP(A559,'BBT3'!A:F,6,0),"")</f>
        <v>N</v>
      </c>
      <c r="G559" t="str">
        <f t="shared" si="83"/>
        <v>N</v>
      </c>
      <c r="H559">
        <f>IF(NOT(ISBLANK(A559)),VLOOKUP(A559,'Close - PriceSaver'!A:J,5,0),"")</f>
        <v>4.4587481408643999E-2</v>
      </c>
      <c r="I559" s="4" cm="1">
        <f t="array" ref="I559">IF(NOT(ISBLANK(A559)),((_xlfn.XLOOKUP(1,(_bbt3[[#All],[ID]]=A559)*(_bbt3[[#All],[METRIC_NAME]]="YLD_YTM_ASK"),_bbt3[[#All],[METRIC_VALUE]])*0.5)+(_xlfn.XLOOKUP(1,(_bbt3[[#All],[ID]]=A559)*(_bbt3[[#All],[METRIC_NAME]]="YLD_YTM_BID"),_bbt3[[#All],[METRIC_VALUE]])*0.5))/100,"")</f>
        <v>4.4589999999999998E-2</v>
      </c>
      <c r="J559">
        <f>IF(ISNA(VLOOKUP(A559,'CloseDL - PriceSaverBBT3'!A:E,5,0)),0,VLOOKUP(A559,'CloseDL - PriceSaverBBT3'!A:E,5,0))</f>
        <v>4.4587481408643999E-2</v>
      </c>
      <c r="K559" s="7">
        <f t="shared" si="84"/>
        <v>0</v>
      </c>
      <c r="L559" s="20">
        <f>IF(Close[[#This Row],[CreatedBy]]="MARINER\SilverAdm",1,0)</f>
        <v>1</v>
      </c>
      <c r="M559" t="str">
        <f>IF(NOT(ISBLANK(A559)),VLOOKUP(A559,'Close - PriceSaver'!A:J,6,0),"")</f>
        <v>DL input prc = 96.10937500  PX_ASK = 96.12500000 PX_BID = 96.09375000</v>
      </c>
      <c r="Q559" t="e">
        <f t="shared" si="76"/>
        <v>#N/A</v>
      </c>
      <c r="R559" t="e">
        <f t="shared" si="77"/>
        <v>#N/A</v>
      </c>
      <c r="S559" t="e">
        <f t="shared" si="78"/>
        <v>#N/A</v>
      </c>
      <c r="T559" s="15" t="e">
        <f t="shared" si="79"/>
        <v>#N/A</v>
      </c>
      <c r="U559" s="18" t="e">
        <f t="shared" si="80"/>
        <v>#N/A</v>
      </c>
      <c r="V559" s="18" t="e">
        <f t="shared" si="81"/>
        <v>#N/A</v>
      </c>
      <c r="W559" s="19" t="e">
        <f t="shared" si="82"/>
        <v>#N/A</v>
      </c>
      <c r="X559" t="e">
        <f>VLOOKUP(P559,Close[[ID]:[CreatedBy]],8,0)</f>
        <v>#N/A</v>
      </c>
    </row>
    <row r="560" spans="1:24" x14ac:dyDescent="0.35">
      <c r="A560" t="str">
        <v>91282CPN5</v>
      </c>
      <c r="B560" t="str">
        <f>IF(NOT(ISBLANK(A560)),VLOOKUP(A560,'BBT3'!A:F,2,0),"")</f>
        <v>Bond</v>
      </c>
      <c r="C560" t="str">
        <f>IF(NOT(ISBLANK(A560)),VLOOKUP(A560,'BBT3'!A:F,3,0),"")</f>
        <v>US91282CPN55</v>
      </c>
      <c r="D560" s="5">
        <f>IF(NOT(ISBLANK(A560)),VLOOKUP(A560,'BBT3'!A:F,4,1),"")</f>
        <v>3.5</v>
      </c>
      <c r="E560">
        <f>IF(NOT(ISBLANK(A560)),VLOOKUP(A560,'BBT3'!A:F,5,0),"")</f>
        <v>47817</v>
      </c>
      <c r="F560" t="str">
        <f>IF(NOT(ISBLANK(A560)),VLOOKUP(A560,'BBT3'!A:F,6,0),"")</f>
        <v>N</v>
      </c>
      <c r="G560" t="str">
        <f t="shared" si="83"/>
        <v>N</v>
      </c>
      <c r="H560">
        <f>IF(NOT(ISBLANK(A560)),VLOOKUP(A560,'Close - PriceSaver'!A:J,5,0),"")</f>
        <v>4.36076277286448E-2</v>
      </c>
      <c r="I560" s="4" cm="1">
        <f t="array" ref="I560">IF(NOT(ISBLANK(A560)),((_xlfn.XLOOKUP(1,(_bbt3[[#All],[ID]]=A560)*(_bbt3[[#All],[METRIC_NAME]]="YLD_YTM_ASK"),_bbt3[[#All],[METRIC_VALUE]])*0.5)+(_xlfn.XLOOKUP(1,(_bbt3[[#All],[ID]]=A560)*(_bbt3[[#All],[METRIC_NAME]]="YLD_YTM_BID"),_bbt3[[#All],[METRIC_VALUE]])*0.5))/100,"")</f>
        <v>4.3609999999999996E-2</v>
      </c>
      <c r="J560">
        <f>IF(ISNA(VLOOKUP(A560,'CloseDL - PriceSaverBBT3'!A:E,5,0)),0,VLOOKUP(A560,'CloseDL - PriceSaverBBT3'!A:E,5,0))</f>
        <v>4.36076277286448E-2</v>
      </c>
      <c r="K560" s="7">
        <f t="shared" si="84"/>
        <v>0</v>
      </c>
      <c r="L560" s="20">
        <f>IF(Close[[#This Row],[CreatedBy]]="MARINER\SilverAdm",1,0)</f>
        <v>1</v>
      </c>
      <c r="M560" t="str">
        <f>IF(NOT(ISBLANK(A560)),VLOOKUP(A560,'Close - PriceSaver'!A:J,6,0),"")</f>
        <v>DL input prc = 96.61328125  PX_ASK = 96.62500000 PX_BID = 96.60156250</v>
      </c>
      <c r="Q560" t="e">
        <f t="shared" si="76"/>
        <v>#N/A</v>
      </c>
      <c r="R560" t="e">
        <f t="shared" si="77"/>
        <v>#N/A</v>
      </c>
      <c r="S560" t="e">
        <f t="shared" si="78"/>
        <v>#N/A</v>
      </c>
      <c r="T560" s="15" t="e">
        <f t="shared" si="79"/>
        <v>#N/A</v>
      </c>
      <c r="U560" s="18" t="e">
        <f t="shared" si="80"/>
        <v>#N/A</v>
      </c>
      <c r="V560" s="18" t="e">
        <f t="shared" si="81"/>
        <v>#N/A</v>
      </c>
      <c r="W560" s="19" t="e">
        <f t="shared" si="82"/>
        <v>#N/A</v>
      </c>
      <c r="X560" t="e">
        <f>VLOOKUP(P560,Close[[ID]:[CreatedBy]],8,0)</f>
        <v>#N/A</v>
      </c>
    </row>
    <row r="561" spans="1:24" x14ac:dyDescent="0.35">
      <c r="A561" t="str">
        <v>91282CPP0</v>
      </c>
      <c r="B561" t="str">
        <f>IF(NOT(ISBLANK(A561)),VLOOKUP(A561,'BBT3'!A:F,2,0),"")</f>
        <v>Bond</v>
      </c>
      <c r="C561" t="str">
        <f>IF(NOT(ISBLANK(A561)),VLOOKUP(A561,'BBT3'!A:F,3,0),"")</f>
        <v>US91282CPP04</v>
      </c>
      <c r="D561" s="5">
        <f>IF(NOT(ISBLANK(A561)),VLOOKUP(A561,'BBT3'!A:F,4,1),"")</f>
        <v>3.5</v>
      </c>
      <c r="E561">
        <f>IF(NOT(ISBLANK(A561)),VLOOKUP(A561,'BBT3'!A:F,5,0),"")</f>
        <v>47102</v>
      </c>
      <c r="F561" t="str">
        <f>IF(NOT(ISBLANK(A561)),VLOOKUP(A561,'BBT3'!A:F,6,0),"")</f>
        <v>N</v>
      </c>
      <c r="G561" t="str">
        <f t="shared" si="83"/>
        <v>N</v>
      </c>
      <c r="H561">
        <f>IF(NOT(ISBLANK(A561)),VLOOKUP(A561,'Close - PriceSaver'!A:J,5,0),"")</f>
        <v>4.2879708143081098E-2</v>
      </c>
      <c r="I561" s="4" cm="1">
        <f t="array" ref="I561">IF(NOT(ISBLANK(A561)),((_xlfn.XLOOKUP(1,(_bbt3[[#All],[ID]]=A561)*(_bbt3[[#All],[METRIC_NAME]]="YLD_YTM_ASK"),_bbt3[[#All],[METRIC_VALUE]])*0.5)+(_xlfn.XLOOKUP(1,(_bbt3[[#All],[ID]]=A561)*(_bbt3[[#All],[METRIC_NAME]]="YLD_YTM_BID"),_bbt3[[#All],[METRIC_VALUE]])*0.5))/100,"")</f>
        <v>4.2874999999999996E-2</v>
      </c>
      <c r="J561">
        <f>IF(ISNA(VLOOKUP(A561,'CloseDL - PriceSaverBBT3'!A:E,5,0)),0,VLOOKUP(A561,'CloseDL - PriceSaverBBT3'!A:E,5,0))</f>
        <v>4.2879708143081098E-2</v>
      </c>
      <c r="K561" s="7">
        <f t="shared" si="84"/>
        <v>0</v>
      </c>
      <c r="L561" s="20">
        <f>IF(Close[[#This Row],[CreatedBy]]="MARINER\SilverAdm",1,0)</f>
        <v>1</v>
      </c>
      <c r="M561" t="str">
        <f>IF(NOT(ISBLANK(A561)),VLOOKUP(A561,'Close - PriceSaver'!A:J,6,0),"")</f>
        <v>DL input prc = 98.21875000  PX_ASK = 98.22656250 PX_BID = 98.21093750</v>
      </c>
      <c r="Q561" t="e">
        <f t="shared" si="76"/>
        <v>#N/A</v>
      </c>
      <c r="R561" t="e">
        <f t="shared" si="77"/>
        <v>#N/A</v>
      </c>
      <c r="S561" t="e">
        <f t="shared" si="78"/>
        <v>#N/A</v>
      </c>
      <c r="T561" s="15" t="e">
        <f t="shared" si="79"/>
        <v>#N/A</v>
      </c>
      <c r="U561" s="18" t="e">
        <f t="shared" si="80"/>
        <v>#N/A</v>
      </c>
      <c r="V561" s="18" t="e">
        <f t="shared" si="81"/>
        <v>#N/A</v>
      </c>
      <c r="W561" s="19" t="e">
        <f t="shared" si="82"/>
        <v>#N/A</v>
      </c>
      <c r="X561" t="e">
        <f>VLOOKUP(P561,Close[[ID]:[CreatedBy]],8,0)</f>
        <v>#N/A</v>
      </c>
    </row>
    <row r="562" spans="1:24" x14ac:dyDescent="0.35">
      <c r="A562" t="str">
        <v>91282CPQ8</v>
      </c>
      <c r="B562" t="str">
        <f>IF(NOT(ISBLANK(A562)),VLOOKUP(A562,'BBT3'!A:F,2,0),"")</f>
        <v>Bond</v>
      </c>
      <c r="C562" t="str">
        <f>IF(NOT(ISBLANK(A562)),VLOOKUP(A562,'BBT3'!A:F,3,0),"")</f>
        <v>US91282CPQ86</v>
      </c>
      <c r="D562" s="5">
        <f>IF(NOT(ISBLANK(A562)),VLOOKUP(A562,'BBT3'!A:F,4,1),"")</f>
        <v>3.875</v>
      </c>
      <c r="E562">
        <f>IF(NOT(ISBLANK(A562)),VLOOKUP(A562,'BBT3'!A:F,5,0),"")</f>
        <v>48579</v>
      </c>
      <c r="F562" t="str">
        <f>IF(NOT(ISBLANK(A562)),VLOOKUP(A562,'BBT3'!A:F,6,0),"")</f>
        <v>N</v>
      </c>
      <c r="G562" t="str">
        <f t="shared" si="83"/>
        <v>N</v>
      </c>
      <c r="H562">
        <f>IF(NOT(ISBLANK(A562)),VLOOKUP(A562,'Close - PriceSaver'!A:J,5,0),"")</f>
        <v>4.4629135906941002E-2</v>
      </c>
      <c r="I562" s="4" cm="1">
        <f t="array" ref="I562">IF(NOT(ISBLANK(A562)),((_xlfn.XLOOKUP(1,(_bbt3[[#All],[ID]]=A562)*(_bbt3[[#All],[METRIC_NAME]]="YLD_YTM_ASK"),_bbt3[[#All],[METRIC_VALUE]])*0.5)+(_xlfn.XLOOKUP(1,(_bbt3[[#All],[ID]]=A562)*(_bbt3[[#All],[METRIC_NAME]]="YLD_YTM_BID"),_bbt3[[#All],[METRIC_VALUE]])*0.5))/100,"")</f>
        <v>4.4630000000000003E-2</v>
      </c>
      <c r="J562">
        <f>IF(ISNA(VLOOKUP(A562,'CloseDL - PriceSaverBBT3'!A:E,5,0)),0,VLOOKUP(A562,'CloseDL - PriceSaverBBT3'!A:E,5,0))</f>
        <v>4.4629135906941002E-2</v>
      </c>
      <c r="K562" s="7">
        <f t="shared" si="84"/>
        <v>0</v>
      </c>
      <c r="L562" s="20">
        <f>IF(Close[[#This Row],[CreatedBy]]="MARINER\SilverAdm",1,0)</f>
        <v>1</v>
      </c>
      <c r="M562" t="str">
        <f>IF(NOT(ISBLANK(A562)),VLOOKUP(A562,'Close - PriceSaver'!A:J,6,0),"")</f>
        <v>DL input prc = 96.73828125  PX_ASK = 96.75000000 PX_BID = 96.72656250</v>
      </c>
      <c r="Q562" t="e">
        <f t="shared" si="76"/>
        <v>#N/A</v>
      </c>
      <c r="R562" t="e">
        <f t="shared" si="77"/>
        <v>#N/A</v>
      </c>
      <c r="S562" t="e">
        <f t="shared" si="78"/>
        <v>#N/A</v>
      </c>
      <c r="T562" s="15" t="e">
        <f t="shared" si="79"/>
        <v>#N/A</v>
      </c>
      <c r="U562" s="18" t="e">
        <f t="shared" si="80"/>
        <v>#N/A</v>
      </c>
      <c r="V562" s="18" t="e">
        <f t="shared" si="81"/>
        <v>#N/A</v>
      </c>
      <c r="W562" s="19" t="e">
        <f t="shared" si="82"/>
        <v>#N/A</v>
      </c>
      <c r="X562" t="e">
        <f>VLOOKUP(P562,Close[[ID]:[CreatedBy]],8,0)</f>
        <v>#N/A</v>
      </c>
    </row>
    <row r="563" spans="1:24" x14ac:dyDescent="0.35">
      <c r="A563" t="str">
        <v>91282CPR6</v>
      </c>
      <c r="B563" t="str">
        <f>IF(NOT(ISBLANK(A563)),VLOOKUP(A563,'BBT3'!A:F,2,0),"")</f>
        <v>Bond</v>
      </c>
      <c r="C563" t="str">
        <f>IF(NOT(ISBLANK(A563)),VLOOKUP(A563,'BBT3'!A:F,3,0),"")</f>
        <v>US91282CPR69</v>
      </c>
      <c r="D563" s="5">
        <f>IF(NOT(ISBLANK(A563)),VLOOKUP(A563,'BBT3'!A:F,4,1),"")</f>
        <v>3.625</v>
      </c>
      <c r="E563">
        <f>IF(NOT(ISBLANK(A563)),VLOOKUP(A563,'BBT3'!A:F,5,0),"")</f>
        <v>47848</v>
      </c>
      <c r="F563" t="str">
        <f>IF(NOT(ISBLANK(A563)),VLOOKUP(A563,'BBT3'!A:F,6,0),"")</f>
        <v>N</v>
      </c>
      <c r="G563" t="str">
        <f t="shared" si="83"/>
        <v>N</v>
      </c>
      <c r="H563">
        <f>IF(NOT(ISBLANK(A563)),VLOOKUP(A563,'Close - PriceSaver'!A:J,5,0),"")</f>
        <v>4.3593069956143003E-2</v>
      </c>
      <c r="I563" s="4" cm="1">
        <f t="array" ref="I563">IF(NOT(ISBLANK(A563)),((_xlfn.XLOOKUP(1,(_bbt3[[#All],[ID]]=A563)*(_bbt3[[#All],[METRIC_NAME]]="YLD_YTM_ASK"),_bbt3[[#All],[METRIC_VALUE]])*0.5)+(_xlfn.XLOOKUP(1,(_bbt3[[#All],[ID]]=A563)*(_bbt3[[#All],[METRIC_NAME]]="YLD_YTM_BID"),_bbt3[[#All],[METRIC_VALUE]])*0.5))/100,"")</f>
        <v>4.3589999999999997E-2</v>
      </c>
      <c r="J563">
        <f>IF(ISNA(VLOOKUP(A563,'CloseDL - PriceSaverBBT3'!A:E,5,0)),0,VLOOKUP(A563,'CloseDL - PriceSaverBBT3'!A:E,5,0))</f>
        <v>4.3593069956143003E-2</v>
      </c>
      <c r="K563" s="7">
        <f t="shared" si="84"/>
        <v>0</v>
      </c>
      <c r="L563" s="20">
        <f>IF(Close[[#This Row],[CreatedBy]]="MARINER\SilverAdm",1,0)</f>
        <v>1</v>
      </c>
      <c r="M563" t="str">
        <f>IF(NOT(ISBLANK(A563)),VLOOKUP(A563,'Close - PriceSaver'!A:J,6,0),"")</f>
        <v>DL input prc = 97.06250000  PX_ASK = 97.07031250 PX_BID = 97.05468750</v>
      </c>
      <c r="Q563" t="e">
        <f t="shared" si="76"/>
        <v>#N/A</v>
      </c>
      <c r="R563" t="e">
        <f t="shared" si="77"/>
        <v>#N/A</v>
      </c>
      <c r="S563" t="e">
        <f t="shared" si="78"/>
        <v>#N/A</v>
      </c>
      <c r="T563" s="15" t="e">
        <f t="shared" si="79"/>
        <v>#N/A</v>
      </c>
      <c r="U563" s="18" t="e">
        <f t="shared" si="80"/>
        <v>#N/A</v>
      </c>
      <c r="V563" s="18" t="e">
        <f t="shared" si="81"/>
        <v>#N/A</v>
      </c>
      <c r="W563" s="19" t="e">
        <f t="shared" si="82"/>
        <v>#N/A</v>
      </c>
      <c r="X563" t="e">
        <f>VLOOKUP(P563,Close[[ID]:[CreatedBy]],8,0)</f>
        <v>#N/A</v>
      </c>
    </row>
    <row r="564" spans="1:24" x14ac:dyDescent="0.35">
      <c r="A564" t="str">
        <v>91282CPS4</v>
      </c>
      <c r="B564" t="str">
        <f>IF(NOT(ISBLANK(A564)),VLOOKUP(A564,'BBT3'!A:F,2,0),"")</f>
        <v>Bond</v>
      </c>
      <c r="C564" t="str">
        <f>IF(NOT(ISBLANK(A564)),VLOOKUP(A564,'BBT3'!A:F,3,0),"")</f>
        <v>US91282CPS43</v>
      </c>
      <c r="D564" s="5">
        <f>IF(NOT(ISBLANK(A564)),VLOOKUP(A564,'BBT3'!A:F,4,1),"")</f>
        <v>3.375</v>
      </c>
      <c r="E564">
        <f>IF(NOT(ISBLANK(A564)),VLOOKUP(A564,'BBT3'!A:F,5,0),"")</f>
        <v>46752</v>
      </c>
      <c r="F564" t="str">
        <f>IF(NOT(ISBLANK(A564)),VLOOKUP(A564,'BBT3'!A:F,6,0),"")</f>
        <v>N</v>
      </c>
      <c r="G564" t="str">
        <f t="shared" si="83"/>
        <v>N</v>
      </c>
      <c r="H564">
        <f>IF(NOT(ISBLANK(A564)),VLOOKUP(A564,'Close - PriceSaver'!A:J,5,0),"")</f>
        <v>4.2393790421321402E-2</v>
      </c>
      <c r="I564" s="4" cm="1">
        <f t="array" ref="I564">IF(NOT(ISBLANK(A564)),((_xlfn.XLOOKUP(1,(_bbt3[[#All],[ID]]=A564)*(_bbt3[[#All],[METRIC_NAME]]="YLD_YTM_ASK"),_bbt3[[#All],[METRIC_VALUE]])*0.5)+(_xlfn.XLOOKUP(1,(_bbt3[[#All],[ID]]=A564)*(_bbt3[[#All],[METRIC_NAME]]="YLD_YTM_BID"),_bbt3[[#All],[METRIC_VALUE]])*0.5))/100,"")</f>
        <v>4.2394999999999995E-2</v>
      </c>
      <c r="J564">
        <f>IF(ISNA(VLOOKUP(A564,'CloseDL - PriceSaverBBT3'!A:E,5,0)),0,VLOOKUP(A564,'CloseDL - PriceSaverBBT3'!A:E,5,0))</f>
        <v>4.2393790421321402E-2</v>
      </c>
      <c r="K564" s="7">
        <f t="shared" si="84"/>
        <v>0</v>
      </c>
      <c r="L564" s="20">
        <f>IF(Close[[#This Row],[CreatedBy]]="MARINER\SilverAdm",1,0)</f>
        <v>1</v>
      </c>
      <c r="M564" t="str">
        <f>IF(NOT(ISBLANK(A564)),VLOOKUP(A564,'Close - PriceSaver'!A:J,6,0),"")</f>
        <v>DL input prc = 98.80273438  PX_ASK = 98.80859375 PX_BID = 98.79687500</v>
      </c>
      <c r="Q564" t="e">
        <f t="shared" si="76"/>
        <v>#N/A</v>
      </c>
      <c r="R564" t="e">
        <f t="shared" si="77"/>
        <v>#N/A</v>
      </c>
      <c r="S564" t="e">
        <f t="shared" si="78"/>
        <v>#N/A</v>
      </c>
      <c r="T564" s="15" t="e">
        <f t="shared" si="79"/>
        <v>#N/A</v>
      </c>
      <c r="U564" s="18" t="e">
        <f t="shared" si="80"/>
        <v>#N/A</v>
      </c>
      <c r="V564" s="18" t="e">
        <f t="shared" si="81"/>
        <v>#N/A</v>
      </c>
      <c r="W564" s="19" t="e">
        <f t="shared" si="82"/>
        <v>#N/A</v>
      </c>
      <c r="X564" t="e">
        <f>VLOOKUP(P564,Close[[ID]:[CreatedBy]],8,0)</f>
        <v>#N/A</v>
      </c>
    </row>
    <row r="565" spans="1:24" x14ac:dyDescent="0.35">
      <c r="A565" t="str">
        <v>91282CPT2</v>
      </c>
      <c r="B565" t="str">
        <f>IF(NOT(ISBLANK(A565)),VLOOKUP(A565,'BBT3'!A:F,2,0),"")</f>
        <v>Bond</v>
      </c>
      <c r="C565" t="str">
        <f>IF(NOT(ISBLANK(A565)),VLOOKUP(A565,'BBT3'!A:F,3,0),"")</f>
        <v>US91282CPT26</v>
      </c>
      <c r="D565" s="5">
        <f>IF(NOT(ISBLANK(A565)),VLOOKUP(A565,'BBT3'!A:F,4,1),"")</f>
        <v>3.5</v>
      </c>
      <c r="E565">
        <f>IF(NOT(ISBLANK(A565)),VLOOKUP(A565,'BBT3'!A:F,5,0),"")</f>
        <v>47133</v>
      </c>
      <c r="F565" t="str">
        <f>IF(NOT(ISBLANK(A565)),VLOOKUP(A565,'BBT3'!A:F,6,0),"")</f>
        <v>N</v>
      </c>
      <c r="G565" t="str">
        <f t="shared" si="83"/>
        <v>N</v>
      </c>
      <c r="H565">
        <f>IF(NOT(ISBLANK(A565)),VLOOKUP(A565,'Close - PriceSaver'!A:J,5,0),"")</f>
        <v>4.2944520017686102E-2</v>
      </c>
      <c r="I565" s="4" cm="1">
        <f t="array" ref="I565">IF(NOT(ISBLANK(A565)),((_xlfn.XLOOKUP(1,(_bbt3[[#All],[ID]]=A565)*(_bbt3[[#All],[METRIC_NAME]]="YLD_YTM_ASK"),_bbt3[[#All],[METRIC_VALUE]])*0.5)+(_xlfn.XLOOKUP(1,(_bbt3[[#All],[ID]]=A565)*(_bbt3[[#All],[METRIC_NAME]]="YLD_YTM_BID"),_bbt3[[#All],[METRIC_VALUE]])*0.5))/100,"")</f>
        <v>4.2945000000000004E-2</v>
      </c>
      <c r="J565">
        <f>IF(ISNA(VLOOKUP(A565,'CloseDL - PriceSaverBBT3'!A:E,5,0)),0,VLOOKUP(A565,'CloseDL - PriceSaverBBT3'!A:E,5,0))</f>
        <v>4.2944520017686102E-2</v>
      </c>
      <c r="K565" s="7">
        <f t="shared" si="84"/>
        <v>0</v>
      </c>
      <c r="L565" s="20">
        <f>IF(Close[[#This Row],[CreatedBy]]="MARINER\SilverAdm",1,0)</f>
        <v>1</v>
      </c>
      <c r="M565" t="str">
        <f>IF(NOT(ISBLANK(A565)),VLOOKUP(A565,'Close - PriceSaver'!A:J,6,0),"")</f>
        <v>DL input prc = 98.14843750  PX_ASK = 98.15625000 PX_BID = 98.14062500</v>
      </c>
      <c r="Q565" t="e">
        <f t="shared" ref="Q565:Q628" si="85">VLOOKUP(P565,A:C,3,0)</f>
        <v>#N/A</v>
      </c>
      <c r="R565" t="e">
        <f t="shared" ref="R565:R628" si="86">VLOOKUP(P565,A:B,2,0)</f>
        <v>#N/A</v>
      </c>
      <c r="S565" t="e">
        <f t="shared" ref="S565:S628" si="87">VLOOKUP(P565,A:E,4,0)</f>
        <v>#N/A</v>
      </c>
      <c r="T565" s="15" t="e">
        <f t="shared" ref="T565:T628" si="88">VLOOKUP(P565,A:K,5,0)</f>
        <v>#N/A</v>
      </c>
      <c r="U565" s="18" t="e">
        <f t="shared" ref="U565:U628" si="89">VLOOKUP(P565,A:K,8,0)</f>
        <v>#N/A</v>
      </c>
      <c r="V565" s="18" t="e">
        <f t="shared" ref="V565:V628" si="90">VLOOKUP(P565,A:K,10,0)</f>
        <v>#N/A</v>
      </c>
      <c r="W565" s="19" t="e">
        <f t="shared" ref="W565:W628" si="91">(V565-U565)*100</f>
        <v>#N/A</v>
      </c>
      <c r="X565" t="e">
        <f>VLOOKUP(P565,Close[[ID]:[CreatedBy]],8,0)</f>
        <v>#N/A</v>
      </c>
    </row>
    <row r="566" spans="1:24" x14ac:dyDescent="0.35">
      <c r="A566" t="str">
        <v>91282CPU9</v>
      </c>
      <c r="B566" t="str">
        <f>IF(NOT(ISBLANK(A566)),VLOOKUP(A566,'BBT3'!A:F,2,0),"")</f>
        <v>Bond</v>
      </c>
      <c r="C566" t="str">
        <f>IF(NOT(ISBLANK(A566)),VLOOKUP(A566,'BBT3'!A:F,3,0),"")</f>
        <v>US91282CPU98</v>
      </c>
      <c r="D566" s="5">
        <f>IF(NOT(ISBLANK(A566)),VLOOKUP(A566,'BBT3'!A:F,4,1),"")</f>
        <v>1.875</v>
      </c>
      <c r="E566">
        <f>IF(NOT(ISBLANK(A566)),VLOOKUP(A566,'BBT3'!A:F,5,0),"")</f>
        <v>49689</v>
      </c>
      <c r="F566" t="str">
        <f>IF(NOT(ISBLANK(A566)),VLOOKUP(A566,'BBT3'!A:F,6,0),"")</f>
        <v>Y</v>
      </c>
      <c r="G566" t="str">
        <f t="shared" si="83"/>
        <v>N</v>
      </c>
      <c r="H566">
        <f>IF(NOT(ISBLANK(A566)),VLOOKUP(A566,'Close - PriceSaver'!A:J,5,0),"")</f>
        <v>2.35040039277775E-2</v>
      </c>
      <c r="I566" s="4" cm="1">
        <f t="array" ref="I566">IF(NOT(ISBLANK(A566)),((_xlfn.XLOOKUP(1,(_bbt3[[#All],[ID]]=A566)*(_bbt3[[#All],[METRIC_NAME]]="YLD_YTM_ASK"),_bbt3[[#All],[METRIC_VALUE]])*0.5)+(_xlfn.XLOOKUP(1,(_bbt3[[#All],[ID]]=A566)*(_bbt3[[#All],[METRIC_NAME]]="YLD_YTM_BID"),_bbt3[[#All],[METRIC_VALUE]])*0.5))/100,"")</f>
        <v>2.3505000000000002E-2</v>
      </c>
      <c r="J566">
        <f>IF(ISNA(VLOOKUP(A566,'CloseDL - PriceSaverBBT3'!A:E,5,0)),0,VLOOKUP(A566,'CloseDL - PriceSaverBBT3'!A:E,5,0))</f>
        <v>2.35040039277775E-2</v>
      </c>
      <c r="K566" s="7">
        <f t="shared" si="84"/>
        <v>0</v>
      </c>
      <c r="L566" s="20">
        <f>IF(Close[[#This Row],[CreatedBy]]="MARINER\SilverAdm",1,0)</f>
        <v>1</v>
      </c>
      <c r="M566" t="str">
        <f>IF(NOT(ISBLANK(A566)),VLOOKUP(A566,'Close - PriceSaver'!A:J,6,0),"")</f>
        <v>DL input prc = 95.98046875  PX_ASK = 96.00000000 PX_BID = 95.96093750</v>
      </c>
      <c r="Q566" t="e">
        <f t="shared" si="85"/>
        <v>#N/A</v>
      </c>
      <c r="R566" t="e">
        <f t="shared" si="86"/>
        <v>#N/A</v>
      </c>
      <c r="S566" t="e">
        <f t="shared" si="87"/>
        <v>#N/A</v>
      </c>
      <c r="T566" s="15" t="e">
        <f t="shared" si="88"/>
        <v>#N/A</v>
      </c>
      <c r="U566" s="18" t="e">
        <f t="shared" si="89"/>
        <v>#N/A</v>
      </c>
      <c r="V566" s="18" t="e">
        <f t="shared" si="90"/>
        <v>#N/A</v>
      </c>
      <c r="W566" s="19" t="e">
        <f t="shared" si="91"/>
        <v>#N/A</v>
      </c>
      <c r="X566" t="e">
        <f>VLOOKUP(P566,Close[[ID]:[CreatedBy]],8,0)</f>
        <v>#N/A</v>
      </c>
    </row>
    <row r="567" spans="1:24" x14ac:dyDescent="0.35">
      <c r="A567" t="str">
        <v>91282CPW5</v>
      </c>
      <c r="B567" t="str">
        <f>IF(NOT(ISBLANK(A567)),VLOOKUP(A567,'BBT3'!A:F,2,0),"")</f>
        <v>Bond</v>
      </c>
      <c r="C567" t="str">
        <f>IF(NOT(ISBLANK(A567)),VLOOKUP(A567,'BBT3'!A:F,3,0),"")</f>
        <v>US91282CPW54</v>
      </c>
      <c r="D567" s="5">
        <f>IF(NOT(ISBLANK(A567)),VLOOKUP(A567,'BBT3'!A:F,4,1),"")</f>
        <v>3.75</v>
      </c>
      <c r="E567">
        <f>IF(NOT(ISBLANK(A567)),VLOOKUP(A567,'BBT3'!A:F,5,0),"")</f>
        <v>47879</v>
      </c>
      <c r="F567" t="str">
        <f>IF(NOT(ISBLANK(A567)),VLOOKUP(A567,'BBT3'!A:F,6,0),"")</f>
        <v>N</v>
      </c>
      <c r="G567" t="str">
        <f t="shared" si="83"/>
        <v>N</v>
      </c>
      <c r="H567">
        <f>IF(NOT(ISBLANK(A567)),VLOOKUP(A567,'Close - PriceSaver'!A:J,5,0),"")</f>
        <v>4.3636320566465901E-2</v>
      </c>
      <c r="I567" s="4" cm="1">
        <f t="array" ref="I567">IF(NOT(ISBLANK(A567)),((_xlfn.XLOOKUP(1,(_bbt3[[#All],[ID]]=A567)*(_bbt3[[#All],[METRIC_NAME]]="YLD_YTM_ASK"),_bbt3[[#All],[METRIC_VALUE]])*0.5)+(_xlfn.XLOOKUP(1,(_bbt3[[#All],[ID]]=A567)*(_bbt3[[#All],[METRIC_NAME]]="YLD_YTM_BID"),_bbt3[[#All],[METRIC_VALUE]])*0.5))/100,"")</f>
        <v>4.3640000000000005E-2</v>
      </c>
      <c r="J567">
        <f>IF(ISNA(VLOOKUP(A567,'CloseDL - PriceSaverBBT3'!A:E,5,0)),0,VLOOKUP(A567,'CloseDL - PriceSaverBBT3'!A:E,5,0))</f>
        <v>4.3636320566465901E-2</v>
      </c>
      <c r="K567" s="7">
        <f t="shared" si="84"/>
        <v>0</v>
      </c>
      <c r="L567" s="20">
        <f>IF(Close[[#This Row],[CreatedBy]]="MARINER\SilverAdm",1,0)</f>
        <v>1</v>
      </c>
      <c r="M567" t="str">
        <f>IF(NOT(ISBLANK(A567)),VLOOKUP(A567,'Close - PriceSaver'!A:J,6,0),"")</f>
        <v>DL input prc = 97.50390625  PX_ASK = 97.50781250 PX_BID = 97.50000000</v>
      </c>
      <c r="Q567" t="e">
        <f t="shared" si="85"/>
        <v>#N/A</v>
      </c>
      <c r="R567" t="e">
        <f t="shared" si="86"/>
        <v>#N/A</v>
      </c>
      <c r="S567" t="e">
        <f t="shared" si="87"/>
        <v>#N/A</v>
      </c>
      <c r="T567" s="15" t="e">
        <f t="shared" si="88"/>
        <v>#N/A</v>
      </c>
      <c r="U567" s="18" t="e">
        <f t="shared" si="89"/>
        <v>#N/A</v>
      </c>
      <c r="V567" s="18" t="e">
        <f t="shared" si="90"/>
        <v>#N/A</v>
      </c>
      <c r="W567" s="19" t="e">
        <f t="shared" si="91"/>
        <v>#N/A</v>
      </c>
      <c r="X567" t="e">
        <f>VLOOKUP(P567,Close[[ID]:[CreatedBy]],8,0)</f>
        <v>#N/A</v>
      </c>
    </row>
    <row r="568" spans="1:24" x14ac:dyDescent="0.35">
      <c r="A568" t="str">
        <v>91282CPY1</v>
      </c>
      <c r="B568" t="str">
        <f>IF(NOT(ISBLANK(A568)),VLOOKUP(A568,'BBT3'!A:F,2,0),"")</f>
        <v>Bond</v>
      </c>
      <c r="C568" t="str">
        <f>IF(NOT(ISBLANK(A568)),VLOOKUP(A568,'BBT3'!A:F,3,0),"")</f>
        <v>US91282CPY11</v>
      </c>
      <c r="D568" s="5">
        <f>IF(NOT(ISBLANK(A568)),VLOOKUP(A568,'BBT3'!A:F,4,1),"")</f>
        <v>4</v>
      </c>
      <c r="E568">
        <f>IF(NOT(ISBLANK(A568)),VLOOKUP(A568,'BBT3'!A:F,5,0),"")</f>
        <v>48610</v>
      </c>
      <c r="F568" t="str">
        <f>IF(NOT(ISBLANK(A568)),VLOOKUP(A568,'BBT3'!A:F,6,0),"")</f>
        <v>N</v>
      </c>
      <c r="G568" t="str">
        <f t="shared" si="83"/>
        <v>N</v>
      </c>
      <c r="H568">
        <f>IF(NOT(ISBLANK(A568)),VLOOKUP(A568,'Close - PriceSaver'!A:J,5,0),"")</f>
        <v>4.47017824323169E-2</v>
      </c>
      <c r="I568" s="4" cm="1">
        <f t="array" ref="I568">IF(NOT(ISBLANK(A568)),((_xlfn.XLOOKUP(1,(_bbt3[[#All],[ID]]=A568)*(_bbt3[[#All],[METRIC_NAME]]="YLD_YTM_ASK"),_bbt3[[#All],[METRIC_VALUE]])*0.5)+(_xlfn.XLOOKUP(1,(_bbt3[[#All],[ID]]=A568)*(_bbt3[[#All],[METRIC_NAME]]="YLD_YTM_BID"),_bbt3[[#All],[METRIC_VALUE]])*0.5))/100,"")</f>
        <v>4.4700000000000004E-2</v>
      </c>
      <c r="J568">
        <f>IF(ISNA(VLOOKUP(A568,'CloseDL - PriceSaverBBT3'!A:E,5,0)),0,VLOOKUP(A568,'CloseDL - PriceSaverBBT3'!A:E,5,0))</f>
        <v>4.47017824323169E-2</v>
      </c>
      <c r="K568" s="7">
        <f t="shared" si="84"/>
        <v>0</v>
      </c>
      <c r="L568" s="20">
        <f>IF(Close[[#This Row],[CreatedBy]]="MARINER\SilverAdm",1,0)</f>
        <v>1</v>
      </c>
      <c r="M568" t="str">
        <f>IF(NOT(ISBLANK(A568)),VLOOKUP(A568,'Close - PriceSaver'!A:J,6,0),"")</f>
        <v>DL input prc = 97.36328125  PX_ASK = 97.37500000 PX_BID = 97.35156250</v>
      </c>
      <c r="Q568" t="e">
        <f t="shared" si="85"/>
        <v>#N/A</v>
      </c>
      <c r="R568" t="e">
        <f t="shared" si="86"/>
        <v>#N/A</v>
      </c>
      <c r="S568" t="e">
        <f t="shared" si="87"/>
        <v>#N/A</v>
      </c>
      <c r="T568" s="15" t="e">
        <f t="shared" si="88"/>
        <v>#N/A</v>
      </c>
      <c r="U568" s="18" t="e">
        <f t="shared" si="89"/>
        <v>#N/A</v>
      </c>
      <c r="V568" s="18" t="e">
        <f t="shared" si="90"/>
        <v>#N/A</v>
      </c>
      <c r="W568" s="19" t="e">
        <f t="shared" si="91"/>
        <v>#N/A</v>
      </c>
      <c r="X568" t="e">
        <f>VLOOKUP(P568,Close[[ID]:[CreatedBy]],8,0)</f>
        <v>#N/A</v>
      </c>
    </row>
    <row r="569" spans="1:24" x14ac:dyDescent="0.35">
      <c r="A569" t="str">
        <v>91282CPZ8</v>
      </c>
      <c r="B569" t="str">
        <f>IF(NOT(ISBLANK(A569)),VLOOKUP(A569,'BBT3'!A:F,2,0),"")</f>
        <v>Bond</v>
      </c>
      <c r="C569" t="str">
        <f>IF(NOT(ISBLANK(A569)),VLOOKUP(A569,'BBT3'!A:F,3,0),"")</f>
        <v>US91282CPZ85</v>
      </c>
      <c r="D569" s="5">
        <f>IF(NOT(ISBLANK(A569)),VLOOKUP(A569,'BBT3'!A:F,4,1),"")</f>
        <v>4.125</v>
      </c>
      <c r="E569">
        <f>IF(NOT(ISBLANK(A569)),VLOOKUP(A569,'BBT3'!A:F,5,0),"")</f>
        <v>49720</v>
      </c>
      <c r="F569" t="str">
        <f>IF(NOT(ISBLANK(A569)),VLOOKUP(A569,'BBT3'!A:F,6,0),"")</f>
        <v>N</v>
      </c>
      <c r="G569" t="str">
        <f t="shared" si="83"/>
        <v>N</v>
      </c>
      <c r="H569">
        <f>IF(NOT(ISBLANK(A569)),VLOOKUP(A569,'Close - PriceSaver'!A:J,5,0),"")</f>
        <v>4.6191492846314998E-2</v>
      </c>
      <c r="I569" s="4" cm="1">
        <f t="array" ref="I569">IF(NOT(ISBLANK(A569)),((_xlfn.XLOOKUP(1,(_bbt3[[#All],[ID]]=A569)*(_bbt3[[#All],[METRIC_NAME]]="YLD_YTM_ASK"),_bbt3[[#All],[METRIC_VALUE]])*0.5)+(_xlfn.XLOOKUP(1,(_bbt3[[#All],[ID]]=A569)*(_bbt3[[#All],[METRIC_NAME]]="YLD_YTM_BID"),_bbt3[[#All],[METRIC_VALUE]])*0.5))/100,"")</f>
        <v>4.6189999999999995E-2</v>
      </c>
      <c r="J569">
        <f>IF(ISNA(VLOOKUP(A569,'CloseDL - PriceSaverBBT3'!A:E,5,0)),0,VLOOKUP(A569,'CloseDL - PriceSaverBBT3'!A:E,5,0))</f>
        <v>4.6191492846314998E-2</v>
      </c>
      <c r="K569" s="7">
        <f t="shared" si="84"/>
        <v>0</v>
      </c>
      <c r="L569" s="20">
        <f>IF(Close[[#This Row],[CreatedBy]]="MARINER\SilverAdm",1,0)</f>
        <v>1</v>
      </c>
      <c r="M569" t="str">
        <f>IF(NOT(ISBLANK(A569)),VLOOKUP(A569,'Close - PriceSaver'!A:J,6,0),"")</f>
        <v>DL input prc = 96.21093750  PX_ASK = 96.21875000 PX_BID = 96.20312500</v>
      </c>
      <c r="Q569" t="e">
        <f t="shared" si="85"/>
        <v>#N/A</v>
      </c>
      <c r="R569" t="e">
        <f t="shared" si="86"/>
        <v>#N/A</v>
      </c>
      <c r="S569" t="e">
        <f t="shared" si="87"/>
        <v>#N/A</v>
      </c>
      <c r="T569" s="15" t="e">
        <f t="shared" si="88"/>
        <v>#N/A</v>
      </c>
      <c r="U569" s="18" t="e">
        <f t="shared" si="89"/>
        <v>#N/A</v>
      </c>
      <c r="V569" s="18" t="e">
        <f t="shared" si="90"/>
        <v>#N/A</v>
      </c>
      <c r="W569" s="19" t="e">
        <f t="shared" si="91"/>
        <v>#N/A</v>
      </c>
      <c r="X569" t="e">
        <f>VLOOKUP(P569,Close[[ID]:[CreatedBy]],8,0)</f>
        <v>#N/A</v>
      </c>
    </row>
    <row r="570" spans="1:24" x14ac:dyDescent="0.35">
      <c r="A570" t="str">
        <v>91282CQA2</v>
      </c>
      <c r="B570" t="str">
        <f>IF(NOT(ISBLANK(A570)),VLOOKUP(A570,'BBT3'!A:F,2,0),"")</f>
        <v>Bond</v>
      </c>
      <c r="C570" t="str">
        <f>IF(NOT(ISBLANK(A570)),VLOOKUP(A570,'BBT3'!A:F,3,0),"")</f>
        <v>US91282CQA26</v>
      </c>
      <c r="D570" s="5">
        <f>IF(NOT(ISBLANK(A570)),VLOOKUP(A570,'BBT3'!A:F,4,1),"")</f>
        <v>3.5</v>
      </c>
      <c r="E570">
        <f>IF(NOT(ISBLANK(A570)),VLOOKUP(A570,'BBT3'!A:F,5,0),"")</f>
        <v>47164</v>
      </c>
      <c r="F570" t="str">
        <f>IF(NOT(ISBLANK(A570)),VLOOKUP(A570,'BBT3'!A:F,6,0),"")</f>
        <v>N</v>
      </c>
      <c r="G570" t="str">
        <f t="shared" si="83"/>
        <v>N</v>
      </c>
      <c r="H570">
        <f>IF(NOT(ISBLANK(A570)),VLOOKUP(A570,'Close - PriceSaver'!A:J,5,0),"")</f>
        <v>4.2947835718094601E-2</v>
      </c>
      <c r="I570" s="4" cm="1">
        <f t="array" ref="I570">IF(NOT(ISBLANK(A570)),((_xlfn.XLOOKUP(1,(_bbt3[[#All],[ID]]=A570)*(_bbt3[[#All],[METRIC_NAME]]="YLD_YTM_ASK"),_bbt3[[#All],[METRIC_VALUE]])*0.5)+(_xlfn.XLOOKUP(1,(_bbt3[[#All],[ID]]=A570)*(_bbt3[[#All],[METRIC_NAME]]="YLD_YTM_BID"),_bbt3[[#All],[METRIC_VALUE]])*0.5))/100,"")</f>
        <v>4.2945000000000004E-2</v>
      </c>
      <c r="J570">
        <f>IF(ISNA(VLOOKUP(A570,'CloseDL - PriceSaverBBT3'!A:E,5,0)),0,VLOOKUP(A570,'CloseDL - PriceSaverBBT3'!A:E,5,0))</f>
        <v>4.2947835718094601E-2</v>
      </c>
      <c r="K570" s="7">
        <f t="shared" si="84"/>
        <v>0</v>
      </c>
      <c r="L570" s="20">
        <f>IF(Close[[#This Row],[CreatedBy]]="MARINER\SilverAdm",1,0)</f>
        <v>1</v>
      </c>
      <c r="M570" t="str">
        <f>IF(NOT(ISBLANK(A570)),VLOOKUP(A570,'Close - PriceSaver'!A:J,6,0),"")</f>
        <v>DL input prc = 98.08593750  PX_ASK = 98.09375000 PX_BID = 98.07812500</v>
      </c>
      <c r="Q570" t="e">
        <f t="shared" si="85"/>
        <v>#N/A</v>
      </c>
      <c r="R570" t="e">
        <f t="shared" si="86"/>
        <v>#N/A</v>
      </c>
      <c r="S570" t="e">
        <f t="shared" si="87"/>
        <v>#N/A</v>
      </c>
      <c r="T570" s="15" t="e">
        <f t="shared" si="88"/>
        <v>#N/A</v>
      </c>
      <c r="U570" s="18" t="e">
        <f t="shared" si="89"/>
        <v>#N/A</v>
      </c>
      <c r="V570" s="18" t="e">
        <f t="shared" si="90"/>
        <v>#N/A</v>
      </c>
      <c r="W570" s="19" t="e">
        <f t="shared" si="91"/>
        <v>#N/A</v>
      </c>
      <c r="X570" t="e">
        <f>VLOOKUP(P570,Close[[ID]:[CreatedBy]],8,0)</f>
        <v>#N/A</v>
      </c>
    </row>
    <row r="571" spans="1:24" x14ac:dyDescent="0.35">
      <c r="A571" t="str">
        <v>91282CQB0</v>
      </c>
      <c r="B571" t="str">
        <f>IF(NOT(ISBLANK(A571)),VLOOKUP(A571,'BBT3'!A:F,2,0),"")</f>
        <v>Bond</v>
      </c>
      <c r="C571" t="str">
        <f>IF(NOT(ISBLANK(A571)),VLOOKUP(A571,'BBT3'!A:F,3,0),"")</f>
        <v>US91282CQB09</v>
      </c>
      <c r="D571" s="5">
        <f>IF(NOT(ISBLANK(A571)),VLOOKUP(A571,'BBT3'!A:F,4,1),"")</f>
        <v>3.375</v>
      </c>
      <c r="E571">
        <f>IF(NOT(ISBLANK(A571)),VLOOKUP(A571,'BBT3'!A:F,5,0),"")</f>
        <v>46812</v>
      </c>
      <c r="F571" t="str">
        <f>IF(NOT(ISBLANK(A571)),VLOOKUP(A571,'BBT3'!A:F,6,0),"")</f>
        <v>N</v>
      </c>
      <c r="G571" t="str">
        <f t="shared" si="83"/>
        <v>N</v>
      </c>
      <c r="H571">
        <f>IF(NOT(ISBLANK(A571)),VLOOKUP(A571,'Close - PriceSaver'!A:J,5,0),"")</f>
        <v>4.2383484417570602E-2</v>
      </c>
      <c r="I571" s="4" cm="1">
        <f t="array" ref="I571">IF(NOT(ISBLANK(A571)),((_xlfn.XLOOKUP(1,(_bbt3[[#All],[ID]]=A571)*(_bbt3[[#All],[METRIC_NAME]]="YLD_YTM_ASK"),_bbt3[[#All],[METRIC_VALUE]])*0.5)+(_xlfn.XLOOKUP(1,(_bbt3[[#All],[ID]]=A571)*(_bbt3[[#All],[METRIC_NAME]]="YLD_YTM_BID"),_bbt3[[#All],[METRIC_VALUE]])*0.5))/100,"")</f>
        <v>4.2384999999999999E-2</v>
      </c>
      <c r="J571">
        <f>IF(ISNA(VLOOKUP(A571,'CloseDL - PriceSaverBBT3'!A:E,5,0)),0,VLOOKUP(A571,'CloseDL - PriceSaverBBT3'!A:E,5,0))</f>
        <v>4.2383484417570602E-2</v>
      </c>
      <c r="K571" s="7">
        <f t="shared" si="84"/>
        <v>0</v>
      </c>
      <c r="L571" s="20">
        <f>IF(Close[[#This Row],[CreatedBy]]="MARINER\SilverAdm",1,0)</f>
        <v>1</v>
      </c>
      <c r="M571" t="str">
        <f>IF(NOT(ISBLANK(A571)),VLOOKUP(A571,'Close - PriceSaver'!A:J,6,0),"")</f>
        <v>DL input prc = 98.66796875  PX_ASK = 98.67187500 PX_BID = 98.66406250</v>
      </c>
      <c r="Q571" t="e">
        <f t="shared" si="85"/>
        <v>#N/A</v>
      </c>
      <c r="R571" t="e">
        <f t="shared" si="86"/>
        <v>#N/A</v>
      </c>
      <c r="S571" t="e">
        <f t="shared" si="87"/>
        <v>#N/A</v>
      </c>
      <c r="T571" s="15" t="e">
        <f t="shared" si="88"/>
        <v>#N/A</v>
      </c>
      <c r="U571" s="18" t="e">
        <f t="shared" si="89"/>
        <v>#N/A</v>
      </c>
      <c r="V571" s="18" t="e">
        <f t="shared" si="90"/>
        <v>#N/A</v>
      </c>
      <c r="W571" s="19" t="e">
        <f t="shared" si="91"/>
        <v>#N/A</v>
      </c>
      <c r="X571" t="e">
        <f>VLOOKUP(P571,Close[[ID]:[CreatedBy]],8,0)</f>
        <v>#N/A</v>
      </c>
    </row>
    <row r="572" spans="1:24" x14ac:dyDescent="0.35">
      <c r="A572" t="str">
        <v>91282CQC8</v>
      </c>
      <c r="B572" t="str">
        <f>IF(NOT(ISBLANK(A572)),VLOOKUP(A572,'BBT3'!A:F,2,0),"")</f>
        <v>Bond</v>
      </c>
      <c r="C572" t="str">
        <f>IF(NOT(ISBLANK(A572)),VLOOKUP(A572,'BBT3'!A:F,3,0),"")</f>
        <v>US91282CQC81</v>
      </c>
      <c r="D572" s="5">
        <f>IF(NOT(ISBLANK(A572)),VLOOKUP(A572,'BBT3'!A:F,4,1),"")</f>
        <v>3.75</v>
      </c>
      <c r="E572">
        <f>IF(NOT(ISBLANK(A572)),VLOOKUP(A572,'BBT3'!A:F,5,0),"")</f>
        <v>48638</v>
      </c>
      <c r="F572" t="str">
        <f>IF(NOT(ISBLANK(A572)),VLOOKUP(A572,'BBT3'!A:F,6,0),"")</f>
        <v>N</v>
      </c>
      <c r="G572" t="str">
        <f t="shared" si="83"/>
        <v>N</v>
      </c>
      <c r="H572">
        <f>IF(NOT(ISBLANK(A572)),VLOOKUP(A572,'Close - PriceSaver'!A:J,5,0),"")</f>
        <v>4.4695892805870198E-2</v>
      </c>
      <c r="I572" s="4" cm="1">
        <f t="array" ref="I572">IF(NOT(ISBLANK(A572)),((_xlfn.XLOOKUP(1,(_bbt3[[#All],[ID]]=A572)*(_bbt3[[#All],[METRIC_NAME]]="YLD_YTM_ASK"),_bbt3[[#All],[METRIC_VALUE]])*0.5)+(_xlfn.XLOOKUP(1,(_bbt3[[#All],[ID]]=A572)*(_bbt3[[#All],[METRIC_NAME]]="YLD_YTM_BID"),_bbt3[[#All],[METRIC_VALUE]])*0.5))/100,"")</f>
        <v>4.4694999999999999E-2</v>
      </c>
      <c r="J572">
        <f>IF(ISNA(VLOOKUP(A572,'CloseDL - PriceSaverBBT3'!A:E,5,0)),0,VLOOKUP(A572,'CloseDL - PriceSaverBBT3'!A:E,5,0))</f>
        <v>4.4695892805870198E-2</v>
      </c>
      <c r="K572" s="7">
        <f t="shared" si="84"/>
        <v>0</v>
      </c>
      <c r="L572" s="20">
        <f>IF(Close[[#This Row],[CreatedBy]]="MARINER\SilverAdm",1,0)</f>
        <v>1</v>
      </c>
      <c r="M572" t="str">
        <f>IF(NOT(ISBLANK(A572)),VLOOKUP(A572,'Close - PriceSaver'!A:J,6,0),"")</f>
        <v>DL input prc = 95.91796875  PX_ASK = 95.92968750 PX_BID = 95.90625000</v>
      </c>
      <c r="Q572" t="e">
        <f t="shared" si="85"/>
        <v>#N/A</v>
      </c>
      <c r="R572" t="e">
        <f t="shared" si="86"/>
        <v>#N/A</v>
      </c>
      <c r="S572" t="e">
        <f t="shared" si="87"/>
        <v>#N/A</v>
      </c>
      <c r="T572" s="15" t="e">
        <f t="shared" si="88"/>
        <v>#N/A</v>
      </c>
      <c r="U572" s="18" t="e">
        <f t="shared" si="89"/>
        <v>#N/A</v>
      </c>
      <c r="V572" s="18" t="e">
        <f t="shared" si="90"/>
        <v>#N/A</v>
      </c>
      <c r="W572" s="19" t="e">
        <f t="shared" si="91"/>
        <v>#N/A</v>
      </c>
      <c r="X572" t="e">
        <f>VLOOKUP(P572,Close[[ID]:[CreatedBy]],8,0)</f>
        <v>#N/A</v>
      </c>
    </row>
    <row r="573" spans="1:24" x14ac:dyDescent="0.35">
      <c r="A573" t="str">
        <v>91282CQD6</v>
      </c>
      <c r="B573" t="str">
        <f>IF(NOT(ISBLANK(A573)),VLOOKUP(A573,'BBT3'!A:F,2,0),"")</f>
        <v>Bond</v>
      </c>
      <c r="C573" t="str">
        <f>IF(NOT(ISBLANK(A573)),VLOOKUP(A573,'BBT3'!A:F,3,0),"")</f>
        <v>US91282CQD64</v>
      </c>
      <c r="D573" s="5">
        <f>IF(NOT(ISBLANK(A573)),VLOOKUP(A573,'BBT3'!A:F,4,1),"")</f>
        <v>3.5</v>
      </c>
      <c r="E573">
        <f>IF(NOT(ISBLANK(A573)),VLOOKUP(A573,'BBT3'!A:F,5,0),"")</f>
        <v>47907</v>
      </c>
      <c r="F573" t="str">
        <f>IF(NOT(ISBLANK(A573)),VLOOKUP(A573,'BBT3'!A:F,6,0),"")</f>
        <v>N</v>
      </c>
      <c r="G573" t="str">
        <f t="shared" si="83"/>
        <v>N</v>
      </c>
      <c r="H573">
        <f>IF(NOT(ISBLANK(A573)),VLOOKUP(A573,'Close - PriceSaver'!A:J,5,0),"")</f>
        <v>4.3579701929551101E-2</v>
      </c>
      <c r="I573" s="4" cm="1">
        <f t="array" ref="I573">IF(NOT(ISBLANK(A573)),((_xlfn.XLOOKUP(1,(_bbt3[[#All],[ID]]=A573)*(_bbt3[[#All],[METRIC_NAME]]="YLD_YTM_ASK"),_bbt3[[#All],[METRIC_VALUE]])*0.5)+(_xlfn.XLOOKUP(1,(_bbt3[[#All],[ID]]=A573)*(_bbt3[[#All],[METRIC_NAME]]="YLD_YTM_BID"),_bbt3[[#All],[METRIC_VALUE]])*0.5))/100,"")</f>
        <v>4.3580000000000008E-2</v>
      </c>
      <c r="J573">
        <f>IF(ISNA(VLOOKUP(A573,'CloseDL - PriceSaverBBT3'!A:E,5,0)),0,VLOOKUP(A573,'CloseDL - PriceSaverBBT3'!A:E,5,0))</f>
        <v>4.3579701929551101E-2</v>
      </c>
      <c r="K573" s="7">
        <f t="shared" si="84"/>
        <v>0</v>
      </c>
      <c r="L573" s="20">
        <f>IF(Close[[#This Row],[CreatedBy]]="MARINER\SilverAdm",1,0)</f>
        <v>1</v>
      </c>
      <c r="M573" t="str">
        <f>IF(NOT(ISBLANK(A573)),VLOOKUP(A573,'Close - PriceSaver'!A:J,6,0),"")</f>
        <v>DL input prc = 96.44921875  PX_ASK = 96.46093750 PX_BID = 96.43750000</v>
      </c>
      <c r="Q573" t="e">
        <f t="shared" si="85"/>
        <v>#N/A</v>
      </c>
      <c r="R573" t="e">
        <f t="shared" si="86"/>
        <v>#N/A</v>
      </c>
      <c r="S573" t="e">
        <f t="shared" si="87"/>
        <v>#N/A</v>
      </c>
      <c r="T573" s="15" t="e">
        <f t="shared" si="88"/>
        <v>#N/A</v>
      </c>
      <c r="U573" s="18" t="e">
        <f t="shared" si="89"/>
        <v>#N/A</v>
      </c>
      <c r="V573" s="18" t="e">
        <f t="shared" si="90"/>
        <v>#N/A</v>
      </c>
      <c r="W573" s="19" t="e">
        <f t="shared" si="91"/>
        <v>#N/A</v>
      </c>
      <c r="X573" t="e">
        <f>VLOOKUP(P573,Close[[ID]:[CreatedBy]],8,0)</f>
        <v>#N/A</v>
      </c>
    </row>
    <row r="574" spans="1:24" x14ac:dyDescent="0.35">
      <c r="A574" t="str">
        <v>91282CQE4</v>
      </c>
      <c r="B574" t="str">
        <f>IF(NOT(ISBLANK(A574)),VLOOKUP(A574,'BBT3'!A:F,2,0),"")</f>
        <v>Bond</v>
      </c>
      <c r="C574" t="str">
        <f>IF(NOT(ISBLANK(A574)),VLOOKUP(A574,'BBT3'!A:F,3,0),"")</f>
        <v>US91282CQE48</v>
      </c>
      <c r="D574" s="5">
        <f>IF(NOT(ISBLANK(A574)),VLOOKUP(A574,'BBT3'!A:F,4,1),"")</f>
        <v>3.5</v>
      </c>
      <c r="E574">
        <f>IF(NOT(ISBLANK(A574)),VLOOKUP(A574,'BBT3'!A:F,5,0),"")</f>
        <v>47192</v>
      </c>
      <c r="F574" t="str">
        <f>IF(NOT(ISBLANK(A574)),VLOOKUP(A574,'BBT3'!A:F,6,0),"")</f>
        <v>N</v>
      </c>
      <c r="G574" t="str">
        <f t="shared" si="83"/>
        <v>N</v>
      </c>
      <c r="H574">
        <f>IF(NOT(ISBLANK(A574)),VLOOKUP(A574,'Close - PriceSaver'!A:J,5,0),"")</f>
        <v>4.2893084802013599E-2</v>
      </c>
      <c r="I574" s="4" cm="1">
        <f t="array" ref="I574">IF(NOT(ISBLANK(A574)),((_xlfn.XLOOKUP(1,(_bbt3[[#All],[ID]]=A574)*(_bbt3[[#All],[METRIC_NAME]]="YLD_YTM_ASK"),_bbt3[[#All],[METRIC_VALUE]])*0.5)+(_xlfn.XLOOKUP(1,(_bbt3[[#All],[ID]]=A574)*(_bbt3[[#All],[METRIC_NAME]]="YLD_YTM_BID"),_bbt3[[#All],[METRIC_VALUE]])*0.5))/100,"")</f>
        <v>4.2889999999999998E-2</v>
      </c>
      <c r="J574">
        <f>IF(ISNA(VLOOKUP(A574,'CloseDL - PriceSaverBBT3'!A:E,5,0)),0,VLOOKUP(A574,'CloseDL - PriceSaverBBT3'!A:E,5,0))</f>
        <v>4.2893084802013599E-2</v>
      </c>
      <c r="K574" s="7">
        <f t="shared" si="84"/>
        <v>0</v>
      </c>
      <c r="L574" s="20">
        <f>IF(Close[[#This Row],[CreatedBy]]="MARINER\SilverAdm",1,0)</f>
        <v>1</v>
      </c>
      <c r="M574" t="str">
        <f>IF(NOT(ISBLANK(A574)),VLOOKUP(A574,'Close - PriceSaver'!A:J,6,0),"")</f>
        <v>DL input prc = 98.03906250  PX_ASK = 98.04687500 PX_BID = 98.03125000</v>
      </c>
      <c r="Q574" t="e">
        <f t="shared" si="85"/>
        <v>#N/A</v>
      </c>
      <c r="R574" t="e">
        <f t="shared" si="86"/>
        <v>#N/A</v>
      </c>
      <c r="S574" t="e">
        <f t="shared" si="87"/>
        <v>#N/A</v>
      </c>
      <c r="T574" s="15" t="e">
        <f t="shared" si="88"/>
        <v>#N/A</v>
      </c>
      <c r="U574" s="18" t="e">
        <f t="shared" si="89"/>
        <v>#N/A</v>
      </c>
      <c r="V574" s="18" t="e">
        <f t="shared" si="90"/>
        <v>#N/A</v>
      </c>
      <c r="W574" s="19" t="e">
        <f t="shared" si="91"/>
        <v>#N/A</v>
      </c>
      <c r="X574" t="e">
        <f>VLOOKUP(P574,Close[[ID]:[CreatedBy]],8,0)</f>
        <v>#N/A</v>
      </c>
    </row>
    <row r="575" spans="1:24" x14ac:dyDescent="0.35">
      <c r="A575" t="str">
        <v>91282CQF1</v>
      </c>
      <c r="B575" t="str">
        <f>IF(NOT(ISBLANK(A575)),VLOOKUP(A575,'BBT3'!A:F,2,0),"")</f>
        <v>Bond</v>
      </c>
      <c r="C575" t="str">
        <f>IF(NOT(ISBLANK(A575)),VLOOKUP(A575,'BBT3'!A:F,3,0),"")</f>
        <v>US91282CQF13</v>
      </c>
      <c r="D575" s="5">
        <f>IF(NOT(ISBLANK(A575)),VLOOKUP(A575,'BBT3'!A:F,4,1),"")</f>
        <v>4.25</v>
      </c>
      <c r="E575">
        <f>IF(NOT(ISBLANK(A575)),VLOOKUP(A575,'BBT3'!A:F,5,0),"")</f>
        <v>48669</v>
      </c>
      <c r="F575" t="str">
        <f>IF(NOT(ISBLANK(A575)),VLOOKUP(A575,'BBT3'!A:F,6,0),"")</f>
        <v>N</v>
      </c>
      <c r="G575" t="str">
        <f t="shared" si="83"/>
        <v>N</v>
      </c>
      <c r="H575">
        <f>IF(NOT(ISBLANK(A575)),VLOOKUP(A575,'Close - PriceSaver'!A:J,5,0),"")</f>
        <v>4.4761443885549403E-2</v>
      </c>
      <c r="I575" s="4" cm="1">
        <f t="array" ref="I575">IF(NOT(ISBLANK(A575)),((_xlfn.XLOOKUP(1,(_bbt3[[#All],[ID]]=A575)*(_bbt3[[#All],[METRIC_NAME]]="YLD_YTM_ASK"),_bbt3[[#All],[METRIC_VALUE]])*0.5)+(_xlfn.XLOOKUP(1,(_bbt3[[#All],[ID]]=A575)*(_bbt3[[#All],[METRIC_NAME]]="YLD_YTM_BID"),_bbt3[[#All],[METRIC_VALUE]])*0.5))/100,"")</f>
        <v>4.4760000000000001E-2</v>
      </c>
      <c r="J575">
        <f>IF(ISNA(VLOOKUP(A575,'CloseDL - PriceSaverBBT3'!A:E,5,0)),0,VLOOKUP(A575,'CloseDL - PriceSaverBBT3'!A:E,5,0))</f>
        <v>4.4761443885549403E-2</v>
      </c>
      <c r="K575" s="7">
        <f t="shared" si="84"/>
        <v>0</v>
      </c>
      <c r="L575" s="20">
        <f>IF(Close[[#This Row],[CreatedBy]]="MARINER\SilverAdm",1,0)</f>
        <v>1</v>
      </c>
      <c r="M575" t="str">
        <f>IF(NOT(ISBLANK(A575)),VLOOKUP(A575,'Close - PriceSaver'!A:J,6,0),"")</f>
        <v>DL input prc = 98.69921875  PX_ASK = 98.71093750 PX_BID = 98.68750000</v>
      </c>
      <c r="Q575" t="e">
        <f t="shared" si="85"/>
        <v>#N/A</v>
      </c>
      <c r="R575" t="e">
        <f t="shared" si="86"/>
        <v>#N/A</v>
      </c>
      <c r="S575" t="e">
        <f t="shared" si="87"/>
        <v>#N/A</v>
      </c>
      <c r="T575" s="15" t="e">
        <f t="shared" si="88"/>
        <v>#N/A</v>
      </c>
      <c r="U575" s="18" t="e">
        <f t="shared" si="89"/>
        <v>#N/A</v>
      </c>
      <c r="V575" s="18" t="e">
        <f t="shared" si="90"/>
        <v>#N/A</v>
      </c>
      <c r="W575" s="19" t="e">
        <f t="shared" si="91"/>
        <v>#N/A</v>
      </c>
      <c r="X575" t="e">
        <f>VLOOKUP(P575,Close[[ID]:[CreatedBy]],8,0)</f>
        <v>#N/A</v>
      </c>
    </row>
    <row r="576" spans="1:24" x14ac:dyDescent="0.35">
      <c r="A576" t="str">
        <v>91282CQG9</v>
      </c>
      <c r="B576" t="str">
        <f>IF(NOT(ISBLANK(A576)),VLOOKUP(A576,'BBT3'!A:F,2,0),"")</f>
        <v>Bond</v>
      </c>
      <c r="C576" t="str">
        <f>IF(NOT(ISBLANK(A576)),VLOOKUP(A576,'BBT3'!A:F,3,0),"")</f>
        <v>US91282CQG95</v>
      </c>
      <c r="D576" s="5">
        <f>IF(NOT(ISBLANK(A576)),VLOOKUP(A576,'BBT3'!A:F,4,1),"")</f>
        <v>3.875</v>
      </c>
      <c r="E576">
        <f>IF(NOT(ISBLANK(A576)),VLOOKUP(A576,'BBT3'!A:F,5,0),"")</f>
        <v>47938</v>
      </c>
      <c r="F576" t="str">
        <f>IF(NOT(ISBLANK(A576)),VLOOKUP(A576,'BBT3'!A:F,6,0),"")</f>
        <v>N</v>
      </c>
      <c r="G576" t="str">
        <f t="shared" si="83"/>
        <v>N</v>
      </c>
      <c r="H576">
        <f>IF(NOT(ISBLANK(A576)),VLOOKUP(A576,'Close - PriceSaver'!A:J,5,0),"")</f>
        <v>4.36478127725402E-2</v>
      </c>
      <c r="I576" s="4" cm="1">
        <f t="array" ref="I576">IF(NOT(ISBLANK(A576)),((_xlfn.XLOOKUP(1,(_bbt3[[#All],[ID]]=A576)*(_bbt3[[#All],[METRIC_NAME]]="YLD_YTM_ASK"),_bbt3[[#All],[METRIC_VALUE]])*0.5)+(_xlfn.XLOOKUP(1,(_bbt3[[#All],[ID]]=A576)*(_bbt3[[#All],[METRIC_NAME]]="YLD_YTM_BID"),_bbt3[[#All],[METRIC_VALUE]])*0.5))/100,"")</f>
        <v>4.3650000000000001E-2</v>
      </c>
      <c r="J576">
        <f>IF(ISNA(VLOOKUP(A576,'CloseDL - PriceSaverBBT3'!A:E,5,0)),0,VLOOKUP(A576,'CloseDL - PriceSaverBBT3'!A:E,5,0))</f>
        <v>4.36478127725402E-2</v>
      </c>
      <c r="K576" s="7">
        <f t="shared" si="84"/>
        <v>0</v>
      </c>
      <c r="L576" s="20">
        <f>IF(Close[[#This Row],[CreatedBy]]="MARINER\SilverAdm",1,0)</f>
        <v>1</v>
      </c>
      <c r="M576" t="str">
        <f>IF(NOT(ISBLANK(A576)),VLOOKUP(A576,'Close - PriceSaver'!A:J,6,0),"")</f>
        <v>DL input prc = 97.93750000  PX_ASK = 97.94531250 PX_BID = 97.92968750</v>
      </c>
      <c r="Q576" t="e">
        <f t="shared" si="85"/>
        <v>#N/A</v>
      </c>
      <c r="R576" t="e">
        <f t="shared" si="86"/>
        <v>#N/A</v>
      </c>
      <c r="S576" t="e">
        <f t="shared" si="87"/>
        <v>#N/A</v>
      </c>
      <c r="T576" s="15" t="e">
        <f t="shared" si="88"/>
        <v>#N/A</v>
      </c>
      <c r="U576" s="18" t="e">
        <f t="shared" si="89"/>
        <v>#N/A</v>
      </c>
      <c r="V576" s="18" t="e">
        <f t="shared" si="90"/>
        <v>#N/A</v>
      </c>
      <c r="W576" s="19" t="e">
        <f t="shared" si="91"/>
        <v>#N/A</v>
      </c>
      <c r="X576" t="e">
        <f>VLOOKUP(P576,Close[[ID]:[CreatedBy]],8,0)</f>
        <v>#N/A</v>
      </c>
    </row>
    <row r="577" spans="1:24" x14ac:dyDescent="0.35">
      <c r="A577" t="str">
        <v>91282CQH7</v>
      </c>
      <c r="B577" t="str">
        <f>IF(NOT(ISBLANK(A577)),VLOOKUP(A577,'BBT3'!A:F,2,0),"")</f>
        <v>Bond</v>
      </c>
      <c r="C577" t="str">
        <f>IF(NOT(ISBLANK(A577)),VLOOKUP(A577,'BBT3'!A:F,3,0),"")</f>
        <v>US91282CQH78</v>
      </c>
      <c r="D577" s="5">
        <f>IF(NOT(ISBLANK(A577)),VLOOKUP(A577,'BBT3'!A:F,4,1),"")</f>
        <v>3.875</v>
      </c>
      <c r="E577">
        <f>IF(NOT(ISBLANK(A577)),VLOOKUP(A577,'BBT3'!A:F,5,0),"")</f>
        <v>46843</v>
      </c>
      <c r="F577" t="str">
        <f>IF(NOT(ISBLANK(A577)),VLOOKUP(A577,'BBT3'!A:F,6,0),"")</f>
        <v>N</v>
      </c>
      <c r="G577" t="str">
        <f t="shared" si="83"/>
        <v>N</v>
      </c>
      <c r="H577">
        <f>IF(NOT(ISBLANK(A577)),VLOOKUP(A577,'Close - PriceSaver'!A:J,5,0),"")</f>
        <v>4.2516693254835702E-2</v>
      </c>
      <c r="I577" s="4" cm="1">
        <f t="array" ref="I577">IF(NOT(ISBLANK(A577)),((_xlfn.XLOOKUP(1,(_bbt3[[#All],[ID]]=A577)*(_bbt3[[#All],[METRIC_NAME]]="YLD_YTM_ASK"),_bbt3[[#All],[METRIC_VALUE]])*0.5)+(_xlfn.XLOOKUP(1,(_bbt3[[#All],[ID]]=A577)*(_bbt3[[#All],[METRIC_NAME]]="YLD_YTM_BID"),_bbt3[[#All],[METRIC_VALUE]])*0.5))/100,"")</f>
        <v>4.2514999999999997E-2</v>
      </c>
      <c r="J577">
        <f>IF(ISNA(VLOOKUP(A577,'CloseDL - PriceSaverBBT3'!A:E,5,0)),0,VLOOKUP(A577,'CloseDL - PriceSaverBBT3'!A:E,5,0))</f>
        <v>4.2516693254835702E-2</v>
      </c>
      <c r="K577" s="7">
        <f t="shared" si="84"/>
        <v>0</v>
      </c>
      <c r="L577" s="20">
        <f>IF(Close[[#This Row],[CreatedBy]]="MARINER\SilverAdm",1,0)</f>
        <v>1</v>
      </c>
      <c r="M577" t="str">
        <f>IF(NOT(ISBLANK(A577)),VLOOKUP(A577,'Close - PriceSaver'!A:J,6,0),"")</f>
        <v>DL input prc = 99.38671875  PX_ASK = 99.39062500 PX_BID = 99.38281250</v>
      </c>
      <c r="Q577" t="e">
        <f t="shared" si="85"/>
        <v>#N/A</v>
      </c>
      <c r="R577" t="e">
        <f t="shared" si="86"/>
        <v>#N/A</v>
      </c>
      <c r="S577" t="e">
        <f t="shared" si="87"/>
        <v>#N/A</v>
      </c>
      <c r="T577" s="15" t="e">
        <f t="shared" si="88"/>
        <v>#N/A</v>
      </c>
      <c r="U577" s="18" t="e">
        <f t="shared" si="89"/>
        <v>#N/A</v>
      </c>
      <c r="V577" s="18" t="e">
        <f t="shared" si="90"/>
        <v>#N/A</v>
      </c>
      <c r="W577" s="19" t="e">
        <f t="shared" si="91"/>
        <v>#N/A</v>
      </c>
      <c r="X577" t="e">
        <f>VLOOKUP(P577,Close[[ID]:[CreatedBy]],8,0)</f>
        <v>#N/A</v>
      </c>
    </row>
    <row r="578" spans="1:24" x14ac:dyDescent="0.35">
      <c r="A578" t="str">
        <v>91282CQJ3</v>
      </c>
      <c r="B578" t="str">
        <f>IF(NOT(ISBLANK(A578)),VLOOKUP(A578,'BBT3'!A:F,2,0),"")</f>
        <v>Bond</v>
      </c>
      <c r="C578" t="str">
        <f>IF(NOT(ISBLANK(A578)),VLOOKUP(A578,'BBT3'!A:F,3,0),"")</f>
        <v>US91282CQJ35</v>
      </c>
      <c r="D578" s="5">
        <f>IF(NOT(ISBLANK(A578)),VLOOKUP(A578,'BBT3'!A:F,4,1),"")</f>
        <v>3.875</v>
      </c>
      <c r="E578">
        <f>IF(NOT(ISBLANK(A578)),VLOOKUP(A578,'BBT3'!A:F,5,0),"")</f>
        <v>47223</v>
      </c>
      <c r="F578" t="str">
        <f>IF(NOT(ISBLANK(A578)),VLOOKUP(A578,'BBT3'!A:F,6,0),"")</f>
        <v>N</v>
      </c>
      <c r="G578" t="str">
        <f t="shared" si="83"/>
        <v>N</v>
      </c>
      <c r="H578">
        <f>IF(NOT(ISBLANK(A578)),VLOOKUP(A578,'Close - PriceSaver'!A:J,5,0),"")</f>
        <v>4.2923327605261498E-2</v>
      </c>
      <c r="I578" s="4" cm="1">
        <f t="array" ref="I578">IF(NOT(ISBLANK(A578)),((_xlfn.XLOOKUP(1,(_bbt3[[#All],[ID]]=A578)*(_bbt3[[#All],[METRIC_NAME]]="YLD_YTM_ASK"),_bbt3[[#All],[METRIC_VALUE]])*0.5)+(_xlfn.XLOOKUP(1,(_bbt3[[#All],[ID]]=A578)*(_bbt3[[#All],[METRIC_NAME]]="YLD_YTM_BID"),_bbt3[[#All],[METRIC_VALUE]])*0.5))/100,"")</f>
        <v>4.292E-2</v>
      </c>
      <c r="J578">
        <f>IF(ISNA(VLOOKUP(A578,'CloseDL - PriceSaverBBT3'!A:E,5,0)),0,VLOOKUP(A578,'CloseDL - PriceSaverBBT3'!A:E,5,0))</f>
        <v>4.2923327605261498E-2</v>
      </c>
      <c r="K578" s="7">
        <f t="shared" si="84"/>
        <v>0</v>
      </c>
      <c r="L578" s="20">
        <f>IF(Close[[#This Row],[CreatedBy]]="MARINER\SilverAdm",1,0)</f>
        <v>1</v>
      </c>
      <c r="M578" t="str">
        <f>IF(NOT(ISBLANK(A578)),VLOOKUP(A578,'Close - PriceSaver'!A:J,6,0),"")</f>
        <v>DL input prc = 98.92968750  PX_ASK = 98.93750000 PX_BID = 98.92187500</v>
      </c>
      <c r="Q578" t="e">
        <f t="shared" si="85"/>
        <v>#N/A</v>
      </c>
      <c r="R578" t="e">
        <f t="shared" si="86"/>
        <v>#N/A</v>
      </c>
      <c r="S578" t="e">
        <f t="shared" si="87"/>
        <v>#N/A</v>
      </c>
      <c r="T578" s="15" t="e">
        <f t="shared" si="88"/>
        <v>#N/A</v>
      </c>
      <c r="U578" s="18" t="e">
        <f t="shared" si="89"/>
        <v>#N/A</v>
      </c>
      <c r="V578" s="18" t="e">
        <f t="shared" si="90"/>
        <v>#N/A</v>
      </c>
      <c r="W578" s="19" t="e">
        <f t="shared" si="91"/>
        <v>#N/A</v>
      </c>
      <c r="X578" t="e">
        <f>VLOOKUP(P578,Close[[ID]:[CreatedBy]],8,0)</f>
        <v>#N/A</v>
      </c>
    </row>
    <row r="579" spans="1:24" x14ac:dyDescent="0.35">
      <c r="A579" t="str">
        <v>91282CQK0</v>
      </c>
      <c r="B579" t="str">
        <f>IF(NOT(ISBLANK(A579)),VLOOKUP(A579,'BBT3'!A:F,2,0),"")</f>
        <v>Bond</v>
      </c>
      <c r="C579" t="str">
        <f>IF(NOT(ISBLANK(A579)),VLOOKUP(A579,'BBT3'!A:F,3,0),"")</f>
        <v>US91282CQK08</v>
      </c>
      <c r="D579" s="5">
        <f>IF(NOT(ISBLANK(A579)),VLOOKUP(A579,'BBT3'!A:F,4,1),"")</f>
        <v>3.875</v>
      </c>
      <c r="E579">
        <f>IF(NOT(ISBLANK(A579)),VLOOKUP(A579,'BBT3'!A:F,5,0),"")</f>
        <v>47968</v>
      </c>
      <c r="F579" t="str">
        <f>IF(NOT(ISBLANK(A579)),VLOOKUP(A579,'BBT3'!A:F,6,0),"")</f>
        <v>N</v>
      </c>
      <c r="G579" t="str">
        <f t="shared" ref="G579:G642" si="92">IF(NOT(ISBLANK(A579)),IF(D579=0,"Y","N"),"")</f>
        <v>N</v>
      </c>
      <c r="H579">
        <f>IF(NOT(ISBLANK(A579)),VLOOKUP(A579,'Close - PriceSaver'!A:J,5,0),"")</f>
        <v>4.36434415844748E-2</v>
      </c>
      <c r="I579" s="4" cm="1">
        <f t="array" ref="I579">IF(NOT(ISBLANK(A579)),((_xlfn.XLOOKUP(1,(_bbt3[[#All],[ID]]=A579)*(_bbt3[[#All],[METRIC_NAME]]="YLD_YTM_ASK"),_bbt3[[#All],[METRIC_VALUE]])*0.5)+(_xlfn.XLOOKUP(1,(_bbt3[[#All],[ID]]=A579)*(_bbt3[[#All],[METRIC_NAME]]="YLD_YTM_BID"),_bbt3[[#All],[METRIC_VALUE]])*0.5))/100,"")</f>
        <v>4.3639999999999998E-2</v>
      </c>
      <c r="J579">
        <f>IF(ISNA(VLOOKUP(A579,'CloseDL - PriceSaverBBT3'!A:E,5,0)),0,VLOOKUP(A579,'CloseDL - PriceSaverBBT3'!A:E,5,0))</f>
        <v>4.36434415844748E-2</v>
      </c>
      <c r="K579" s="7">
        <f t="shared" ref="K579:K642" si="93">IF(ISNA(IF(NOT(ISBLANK(A579)),ABS(H579-J579),"")),0,(IF(NOT(ISBLANK(A579)),ABS(H579-J579)*10000,"")))</f>
        <v>0</v>
      </c>
      <c r="L579" s="20">
        <f>IF(Close[[#This Row],[CreatedBy]]="MARINER\SilverAdm",1,0)</f>
        <v>1</v>
      </c>
      <c r="M579" t="str">
        <f>IF(NOT(ISBLANK(A579)),VLOOKUP(A579,'Close - PriceSaver'!A:J,6,0),"")</f>
        <v>DL input prc = 97.90625000  PX_ASK = 97.91406250 PX_BID = 97.89843750</v>
      </c>
      <c r="Q579" t="e">
        <f t="shared" si="85"/>
        <v>#N/A</v>
      </c>
      <c r="R579" t="e">
        <f t="shared" si="86"/>
        <v>#N/A</v>
      </c>
      <c r="S579" t="e">
        <f t="shared" si="87"/>
        <v>#N/A</v>
      </c>
      <c r="T579" s="15" t="e">
        <f t="shared" si="88"/>
        <v>#N/A</v>
      </c>
      <c r="U579" s="18" t="e">
        <f t="shared" si="89"/>
        <v>#N/A</v>
      </c>
      <c r="V579" s="18" t="e">
        <f t="shared" si="90"/>
        <v>#N/A</v>
      </c>
      <c r="W579" s="19" t="e">
        <f t="shared" si="91"/>
        <v>#N/A</v>
      </c>
      <c r="X579" t="e">
        <f>VLOOKUP(P579,Close[[ID]:[CreatedBy]],8,0)</f>
        <v>#N/A</v>
      </c>
    </row>
    <row r="580" spans="1:24" x14ac:dyDescent="0.35">
      <c r="A580" t="str">
        <v>91282CQL8</v>
      </c>
      <c r="B580" t="str">
        <f>IF(NOT(ISBLANK(A580)),VLOOKUP(A580,'BBT3'!A:F,2,0),"")</f>
        <v>Bond</v>
      </c>
      <c r="C580" t="str">
        <f>IF(NOT(ISBLANK(A580)),VLOOKUP(A580,'BBT3'!A:F,3,0),"")</f>
        <v>US91282CQL80</v>
      </c>
      <c r="D580" s="5">
        <f>IF(NOT(ISBLANK(A580)),VLOOKUP(A580,'BBT3'!A:F,4,1),"")</f>
        <v>3.75</v>
      </c>
      <c r="E580">
        <f>IF(NOT(ISBLANK(A580)),VLOOKUP(A580,'BBT3'!A:F,5,0),"")</f>
        <v>46873</v>
      </c>
      <c r="F580" t="str">
        <f>IF(NOT(ISBLANK(A580)),VLOOKUP(A580,'BBT3'!A:F,6,0),"")</f>
        <v>N</v>
      </c>
      <c r="G580" t="str">
        <f t="shared" si="92"/>
        <v>N</v>
      </c>
      <c r="H580">
        <f>IF(NOT(ISBLANK(A580)),VLOOKUP(A580,'Close - PriceSaver'!A:J,5,0),"")</f>
        <v>4.2504204222124503E-2</v>
      </c>
      <c r="I580" s="4" cm="1">
        <f t="array" ref="I580">IF(NOT(ISBLANK(A580)),((_xlfn.XLOOKUP(1,(_bbt3[[#All],[ID]]=A580)*(_bbt3[[#All],[METRIC_NAME]]="YLD_YTM_ASK"),_bbt3[[#All],[METRIC_VALUE]])*0.5)+(_xlfn.XLOOKUP(1,(_bbt3[[#All],[ID]]=A580)*(_bbt3[[#All],[METRIC_NAME]]="YLD_YTM_BID"),_bbt3[[#All],[METRIC_VALUE]])*0.5))/100,"")</f>
        <v>4.2505000000000008E-2</v>
      </c>
      <c r="J580">
        <f>IF(ISNA(VLOOKUP(A580,'CloseDL - PriceSaverBBT3'!A:E,5,0)),0,VLOOKUP(A580,'CloseDL - PriceSaverBBT3'!A:E,5,0))</f>
        <v>4.2504204222124503E-2</v>
      </c>
      <c r="K580" s="7">
        <f t="shared" si="93"/>
        <v>0</v>
      </c>
      <c r="L580" s="20">
        <f>IF(Close[[#This Row],[CreatedBy]]="MARINER\SilverAdm",1,0)</f>
        <v>1</v>
      </c>
      <c r="M580" t="str">
        <f>IF(NOT(ISBLANK(A580)),VLOOKUP(A580,'Close - PriceSaver'!A:J,6,0),"")</f>
        <v>DL input prc = 99.14843750  PX_ASK = 99.15234375 PX_BID = 99.14453125</v>
      </c>
      <c r="Q580" t="e">
        <f t="shared" si="85"/>
        <v>#N/A</v>
      </c>
      <c r="R580" t="e">
        <f t="shared" si="86"/>
        <v>#N/A</v>
      </c>
      <c r="S580" t="e">
        <f t="shared" si="87"/>
        <v>#N/A</v>
      </c>
      <c r="T580" s="15" t="e">
        <f t="shared" si="88"/>
        <v>#N/A</v>
      </c>
      <c r="U580" s="18" t="e">
        <f t="shared" si="89"/>
        <v>#N/A</v>
      </c>
      <c r="V580" s="18" t="e">
        <f t="shared" si="90"/>
        <v>#N/A</v>
      </c>
      <c r="W580" s="19" t="e">
        <f t="shared" si="91"/>
        <v>#N/A</v>
      </c>
      <c r="X580" t="e">
        <f>VLOOKUP(P580,Close[[ID]:[CreatedBy]],8,0)</f>
        <v>#N/A</v>
      </c>
    </row>
    <row r="581" spans="1:24" x14ac:dyDescent="0.35">
      <c r="A581" t="str">
        <v>91282CQN4</v>
      </c>
      <c r="B581" t="str">
        <f>IF(NOT(ISBLANK(A581)),VLOOKUP(A581,'BBT3'!A:F,2,0),"")</f>
        <v>Bond</v>
      </c>
      <c r="C581" t="str">
        <f>IF(NOT(ISBLANK(A581)),VLOOKUP(A581,'BBT3'!A:F,3,0),"")</f>
        <v>US91282CQN47</v>
      </c>
      <c r="D581" s="5">
        <f>IF(NOT(ISBLANK(A581)),VLOOKUP(A581,'BBT3'!A:F,4,1),"")</f>
        <v>4.125</v>
      </c>
      <c r="E581">
        <f>IF(NOT(ISBLANK(A581)),VLOOKUP(A581,'BBT3'!A:F,5,0),"")</f>
        <v>48699</v>
      </c>
      <c r="F581" t="str">
        <f>IF(NOT(ISBLANK(A581)),VLOOKUP(A581,'BBT3'!A:F,6,0),"")</f>
        <v>N</v>
      </c>
      <c r="G581" t="str">
        <f t="shared" si="92"/>
        <v>N</v>
      </c>
      <c r="H581">
        <f>IF(NOT(ISBLANK(A581)),VLOOKUP(A581,'Close - PriceSaver'!A:J,5,0),"")</f>
        <v>4.4831173067047599E-2</v>
      </c>
      <c r="I581" s="4" cm="1">
        <f t="array" ref="I581">IF(NOT(ISBLANK(A581)),((_xlfn.XLOOKUP(1,(_bbt3[[#All],[ID]]=A581)*(_bbt3[[#All],[METRIC_NAME]]="YLD_YTM_ASK"),_bbt3[[#All],[METRIC_VALUE]])*0.5)+(_xlfn.XLOOKUP(1,(_bbt3[[#All],[ID]]=A581)*(_bbt3[[#All],[METRIC_NAME]]="YLD_YTM_BID"),_bbt3[[#All],[METRIC_VALUE]])*0.5))/100,"")</f>
        <v>4.4830000000000009E-2</v>
      </c>
      <c r="J581">
        <f>IF(ISNA(VLOOKUP(A581,'CloseDL - PriceSaverBBT3'!A:E,5,0)),0,VLOOKUP(A581,'CloseDL - PriceSaverBBT3'!A:E,5,0))</f>
        <v>4.4831173067047599E-2</v>
      </c>
      <c r="K581" s="7">
        <f t="shared" si="93"/>
        <v>0</v>
      </c>
      <c r="L581" s="20">
        <f>IF(Close[[#This Row],[CreatedBy]]="MARINER\SilverAdm",1,0)</f>
        <v>1</v>
      </c>
      <c r="M581" t="str">
        <f>IF(NOT(ISBLANK(A581)),VLOOKUP(A581,'Close - PriceSaver'!A:J,6,0),"")</f>
        <v>DL input prc = 97.92187500  PX_ASK = 97.92968750 PX_BID = 97.91406250</v>
      </c>
      <c r="Q581" t="e">
        <f t="shared" si="85"/>
        <v>#N/A</v>
      </c>
      <c r="R581" t="e">
        <f t="shared" si="86"/>
        <v>#N/A</v>
      </c>
      <c r="S581" t="e">
        <f t="shared" si="87"/>
        <v>#N/A</v>
      </c>
      <c r="T581" s="15" t="e">
        <f t="shared" si="88"/>
        <v>#N/A</v>
      </c>
      <c r="U581" s="18" t="e">
        <f t="shared" si="89"/>
        <v>#N/A</v>
      </c>
      <c r="V581" s="18" t="e">
        <f t="shared" si="90"/>
        <v>#N/A</v>
      </c>
      <c r="W581" s="19" t="e">
        <f t="shared" si="91"/>
        <v>#N/A</v>
      </c>
      <c r="X581" t="e">
        <f>VLOOKUP(P581,Close[[ID]:[CreatedBy]],8,0)</f>
        <v>#N/A</v>
      </c>
    </row>
    <row r="582" spans="1:24" x14ac:dyDescent="0.35">
      <c r="A582" t="str">
        <v>91282CQP9</v>
      </c>
      <c r="B582" t="str">
        <f>IF(NOT(ISBLANK(A582)),VLOOKUP(A582,'BBT3'!A:F,2,0),"")</f>
        <v>Bond</v>
      </c>
      <c r="C582" t="str">
        <f>IF(NOT(ISBLANK(A582)),VLOOKUP(A582,'BBT3'!A:F,3,0),"")</f>
        <v>US91282CQP94</v>
      </c>
      <c r="D582" s="5">
        <f>IF(NOT(ISBLANK(A582)),VLOOKUP(A582,'BBT3'!A:F,4,1),"")</f>
        <v>1.25</v>
      </c>
      <c r="E582">
        <f>IF(NOT(ISBLANK(A582)),VLOOKUP(A582,'BBT3'!A:F,5,0),"")</f>
        <v>47953</v>
      </c>
      <c r="F582" t="str">
        <f>IF(NOT(ISBLANK(A582)),VLOOKUP(A582,'BBT3'!A:F,6,0),"")</f>
        <v>Y</v>
      </c>
      <c r="G582" t="str">
        <f t="shared" si="92"/>
        <v>N</v>
      </c>
      <c r="H582">
        <f>IF(NOT(ISBLANK(A582)),VLOOKUP(A582,'Close - PriceSaver'!A:J,5,0),"")</f>
        <v>2.07101209491133E-2</v>
      </c>
      <c r="I582" s="4" t="e" cm="1">
        <f t="array" ref="I582">IF(NOT(ISBLANK(A582)),((_xlfn.XLOOKUP(1,(_bbt3[[#All],[ID]]=A582)*(_bbt3[[#All],[METRIC_NAME]]="YLD_YTM_ASK"),_bbt3[[#All],[METRIC_VALUE]])*0.5)+(_xlfn.XLOOKUP(1,(_bbt3[[#All],[ID]]=A582)*(_bbt3[[#All],[METRIC_NAME]]="YLD_YTM_BID"),_bbt3[[#All],[METRIC_VALUE]])*0.5))/100,"")</f>
        <v>#N/A</v>
      </c>
      <c r="J582">
        <f>IF(ISNA(VLOOKUP(A582,'CloseDL - PriceSaverBBT3'!A:E,5,0)),0,VLOOKUP(A582,'CloseDL - PriceSaverBBT3'!A:E,5,0))</f>
        <v>2.07101209491133E-2</v>
      </c>
      <c r="K582" s="7">
        <f t="shared" si="93"/>
        <v>0</v>
      </c>
      <c r="L582" s="20">
        <f>IF(Close[[#This Row],[CreatedBy]]="MARINER\SilverAdm",1,0)</f>
        <v>1</v>
      </c>
      <c r="M582" t="str">
        <f>IF(NOT(ISBLANK(A582)),VLOOKUP(A582,'Close - PriceSaver'!A:J,6,0),"")</f>
        <v>DL input prc = 96.31640625  PX_ASK = 96.33593750 PX_BID = 96.29687500</v>
      </c>
      <c r="Q582" t="e">
        <f t="shared" si="85"/>
        <v>#N/A</v>
      </c>
      <c r="R582" t="e">
        <f t="shared" si="86"/>
        <v>#N/A</v>
      </c>
      <c r="S582" t="e">
        <f t="shared" si="87"/>
        <v>#N/A</v>
      </c>
      <c r="T582" s="15" t="e">
        <f t="shared" si="88"/>
        <v>#N/A</v>
      </c>
      <c r="U582" s="18" t="e">
        <f t="shared" si="89"/>
        <v>#N/A</v>
      </c>
      <c r="V582" s="18" t="e">
        <f t="shared" si="90"/>
        <v>#N/A</v>
      </c>
      <c r="W582" s="19" t="e">
        <f t="shared" si="91"/>
        <v>#N/A</v>
      </c>
      <c r="X582" t="e">
        <f>VLOOKUP(P582,Close[[ID]:[CreatedBy]],8,0)</f>
        <v>#N/A</v>
      </c>
    </row>
    <row r="583" spans="1:24" x14ac:dyDescent="0.35">
      <c r="A583" t="str">
        <v>91282CQQ7</v>
      </c>
      <c r="B583" t="str">
        <f>IF(NOT(ISBLANK(A583)),VLOOKUP(A583,'BBT3'!A:F,2,0),"")</f>
        <v>Bond</v>
      </c>
      <c r="C583" t="str">
        <f>IF(NOT(ISBLANK(A583)),VLOOKUP(A583,'BBT3'!A:F,3,0),"")</f>
        <v>US91282CQQ77</v>
      </c>
      <c r="D583" s="5">
        <f>IF(NOT(ISBLANK(A583)),VLOOKUP(A583,'BBT3'!A:F,4,1),"")</f>
        <v>4.375</v>
      </c>
      <c r="E583">
        <f>IF(NOT(ISBLANK(A583)),VLOOKUP(A583,'BBT3'!A:F,5,0),"")</f>
        <v>49810</v>
      </c>
      <c r="F583" t="str">
        <f>IF(NOT(ISBLANK(A583)),VLOOKUP(A583,'BBT3'!A:F,6,0),"")</f>
        <v>N</v>
      </c>
      <c r="G583" t="str">
        <f t="shared" si="92"/>
        <v>N</v>
      </c>
      <c r="H583">
        <f>IF(NOT(ISBLANK(A583)),VLOOKUP(A583,'Close - PriceSaver'!A:J,5,0),"")</f>
        <v>4.6270923038853801E-2</v>
      </c>
      <c r="I583" s="4" cm="1">
        <f t="array" ref="I583">IF(NOT(ISBLANK(A583)),((_xlfn.XLOOKUP(1,(_bbt3[[#All],[ID]]=A583)*(_bbt3[[#All],[METRIC_NAME]]="YLD_YTM_ASK"),_bbt3[[#All],[METRIC_VALUE]])*0.5)+(_xlfn.XLOOKUP(1,(_bbt3[[#All],[ID]]=A583)*(_bbt3[[#All],[METRIC_NAME]]="YLD_YTM_BID"),_bbt3[[#All],[METRIC_VALUE]])*0.5))/100,"")</f>
        <v>4.6270000000000006E-2</v>
      </c>
      <c r="J583">
        <f>IF(ISNA(VLOOKUP(A583,'CloseDL - PriceSaverBBT3'!A:E,5,0)),0,VLOOKUP(A583,'CloseDL - PriceSaverBBT3'!A:E,5,0))</f>
        <v>4.6270923038853801E-2</v>
      </c>
      <c r="K583" s="7">
        <f t="shared" si="93"/>
        <v>0</v>
      </c>
      <c r="L583" s="20">
        <f>IF(Close[[#This Row],[CreatedBy]]="MARINER\SilverAdm",1,0)</f>
        <v>1</v>
      </c>
      <c r="M583" t="str">
        <f>IF(NOT(ISBLANK(A583)),VLOOKUP(A583,'Close - PriceSaver'!A:J,6,0),"")</f>
        <v>DL input prc = 98.02343750  PX_ASK = 98.03125000 PX_BID = 98.01562500</v>
      </c>
      <c r="Q583" t="e">
        <f t="shared" si="85"/>
        <v>#N/A</v>
      </c>
      <c r="R583" t="e">
        <f t="shared" si="86"/>
        <v>#N/A</v>
      </c>
      <c r="S583" t="e">
        <f t="shared" si="87"/>
        <v>#N/A</v>
      </c>
      <c r="T583" s="15" t="e">
        <f t="shared" si="88"/>
        <v>#N/A</v>
      </c>
      <c r="U583" s="18" t="e">
        <f t="shared" si="89"/>
        <v>#N/A</v>
      </c>
      <c r="V583" s="18" t="e">
        <f t="shared" si="90"/>
        <v>#N/A</v>
      </c>
      <c r="W583" s="19" t="e">
        <f t="shared" si="91"/>
        <v>#N/A</v>
      </c>
      <c r="X583" t="e">
        <f>VLOOKUP(P583,Close[[ID]:[CreatedBy]],8,0)</f>
        <v>#N/A</v>
      </c>
    </row>
    <row r="584" spans="1:24" x14ac:dyDescent="0.35">
      <c r="A584" t="str">
        <v>91282CQR5</v>
      </c>
      <c r="B584" t="str">
        <f>IF(NOT(ISBLANK(A584)),VLOOKUP(A584,'BBT3'!A:F,2,0),"")</f>
        <v>Bond</v>
      </c>
      <c r="C584" t="str">
        <f>IF(NOT(ISBLANK(A584)),VLOOKUP(A584,'BBT3'!A:F,3,0),"")</f>
        <v>US91282CQR50</v>
      </c>
      <c r="D584" s="5">
        <f>IF(NOT(ISBLANK(A584)),VLOOKUP(A584,'BBT3'!A:F,4,1),"")</f>
        <v>3.875</v>
      </c>
      <c r="E584">
        <f>IF(NOT(ISBLANK(A584)),VLOOKUP(A584,'BBT3'!A:F,5,0),"")</f>
        <v>47253</v>
      </c>
      <c r="F584" t="str">
        <f>IF(NOT(ISBLANK(A584)),VLOOKUP(A584,'BBT3'!A:F,6,0),"")</f>
        <v>N</v>
      </c>
      <c r="G584" t="str">
        <f t="shared" si="92"/>
        <v>N</v>
      </c>
      <c r="H584">
        <f>IF(NOT(ISBLANK(A584)),VLOOKUP(A584,'Close - PriceSaver'!A:J,5,0),"")</f>
        <v>4.28827233114129E-2</v>
      </c>
      <c r="I584" s="4" cm="1">
        <f t="array" ref="I584">IF(NOT(ISBLANK(A584)),((_xlfn.XLOOKUP(1,(_bbt3[[#All],[ID]]=A584)*(_bbt3[[#All],[METRIC_NAME]]="YLD_YTM_ASK"),_bbt3[[#All],[METRIC_VALUE]])*0.5)+(_xlfn.XLOOKUP(1,(_bbt3[[#All],[ID]]=A584)*(_bbt3[[#All],[METRIC_NAME]]="YLD_YTM_BID"),_bbt3[[#All],[METRIC_VALUE]])*0.5))/100,"")</f>
        <v>4.2885E-2</v>
      </c>
      <c r="J584">
        <f>IF(ISNA(VLOOKUP(A584,'CloseDL - PriceSaverBBT3'!A:E,5,0)),0,VLOOKUP(A584,'CloseDL - PriceSaverBBT3'!A:E,5,0))</f>
        <v>4.28827233114129E-2</v>
      </c>
      <c r="K584" s="7">
        <f t="shared" si="93"/>
        <v>0</v>
      </c>
      <c r="L584" s="20">
        <f>IF(Close[[#This Row],[CreatedBy]]="MARINER\SilverAdm",1,0)</f>
        <v>1</v>
      </c>
      <c r="M584" t="str">
        <f>IF(NOT(ISBLANK(A584)),VLOOKUP(A584,'Close - PriceSaver'!A:J,6,0),"")</f>
        <v>DL input prc = 98.91015625  PX_ASK = 98.91406250 PX_BID = 98.90625000</v>
      </c>
      <c r="Q584" t="e">
        <f t="shared" si="85"/>
        <v>#N/A</v>
      </c>
      <c r="R584" t="e">
        <f t="shared" si="86"/>
        <v>#N/A</v>
      </c>
      <c r="S584" t="e">
        <f t="shared" si="87"/>
        <v>#N/A</v>
      </c>
      <c r="T584" s="15" t="e">
        <f t="shared" si="88"/>
        <v>#N/A</v>
      </c>
      <c r="U584" s="18" t="e">
        <f t="shared" si="89"/>
        <v>#N/A</v>
      </c>
      <c r="V584" s="18" t="e">
        <f t="shared" si="90"/>
        <v>#N/A</v>
      </c>
      <c r="W584" s="19" t="e">
        <f t="shared" si="91"/>
        <v>#N/A</v>
      </c>
      <c r="X584" t="e">
        <f>VLOOKUP(P584,Close[[ID]:[CreatedBy]],8,0)</f>
        <v>#N/A</v>
      </c>
    </row>
    <row r="585" spans="1:24" x14ac:dyDescent="0.35">
      <c r="A585" t="str">
        <v>91282CQS3</v>
      </c>
      <c r="B585" t="str">
        <f>IF(NOT(ISBLANK(A585)),VLOOKUP(A585,'BBT3'!A:F,2,0),"")</f>
        <v>Bond</v>
      </c>
      <c r="C585" t="str">
        <f>IF(NOT(ISBLANK(A585)),VLOOKUP(A585,'BBT3'!A:F,3,0),"")</f>
        <v>US91282CQS34</v>
      </c>
      <c r="D585" s="5">
        <f>IF(NOT(ISBLANK(A585)),VLOOKUP(A585,'BBT3'!A:F,4,1),"")</f>
        <v>4</v>
      </c>
      <c r="E585">
        <f>IF(NOT(ISBLANK(A585)),VLOOKUP(A585,'BBT3'!A:F,5,0),"")</f>
        <v>46904</v>
      </c>
      <c r="F585" t="str">
        <f>IF(NOT(ISBLANK(A585)),VLOOKUP(A585,'BBT3'!A:F,6,0),"")</f>
        <v>N</v>
      </c>
      <c r="G585" t="str">
        <f t="shared" si="92"/>
        <v>N</v>
      </c>
      <c r="H585">
        <f>IF(NOT(ISBLANK(A585)),VLOOKUP(A585,'Close - PriceSaver'!A:J,5,0),"")</f>
        <v>4.2615684906866597E-2</v>
      </c>
      <c r="I585" s="4" cm="1">
        <f t="array" ref="I585">IF(NOT(ISBLANK(A585)),((_xlfn.XLOOKUP(1,(_bbt3[[#All],[ID]]=A585)*(_bbt3[[#All],[METRIC_NAME]]="YLD_YTM_ASK"),_bbt3[[#All],[METRIC_VALUE]])*0.5)+(_xlfn.XLOOKUP(1,(_bbt3[[#All],[ID]]=A585)*(_bbt3[[#All],[METRIC_NAME]]="YLD_YTM_BID"),_bbt3[[#All],[METRIC_VALUE]])*0.5))/100,"")</f>
        <v>4.2615E-2</v>
      </c>
      <c r="J585">
        <f>IF(ISNA(VLOOKUP(A585,'CloseDL - PriceSaverBBT3'!A:E,5,0)),0,VLOOKUP(A585,'CloseDL - PriceSaverBBT3'!A:E,5,0))</f>
        <v>4.2615684906866597E-2</v>
      </c>
      <c r="K585" s="7">
        <f t="shared" si="93"/>
        <v>0</v>
      </c>
      <c r="L585" s="20">
        <f>IF(Close[[#This Row],[CreatedBy]]="MARINER\SilverAdm",1,0)</f>
        <v>1</v>
      </c>
      <c r="M585" t="str">
        <f>IF(NOT(ISBLANK(A585)),VLOOKUP(A585,'Close - PriceSaver'!A:J,6,0),"")</f>
        <v>DL input prc = 99.53320313  PX_ASK = 99.53906250 PX_BID = 99.52734375</v>
      </c>
      <c r="Q585" t="e">
        <f t="shared" si="85"/>
        <v>#N/A</v>
      </c>
      <c r="R585" t="e">
        <f t="shared" si="86"/>
        <v>#N/A</v>
      </c>
      <c r="S585" t="e">
        <f t="shared" si="87"/>
        <v>#N/A</v>
      </c>
      <c r="T585" s="15" t="e">
        <f t="shared" si="88"/>
        <v>#N/A</v>
      </c>
      <c r="U585" s="18" t="e">
        <f t="shared" si="89"/>
        <v>#N/A</v>
      </c>
      <c r="V585" s="18" t="e">
        <f t="shared" si="90"/>
        <v>#N/A</v>
      </c>
      <c r="W585" s="19" t="e">
        <f t="shared" si="91"/>
        <v>#N/A</v>
      </c>
      <c r="X585" t="e">
        <f>VLOOKUP(P585,Close[[ID]:[CreatedBy]],8,0)</f>
        <v>#N/A</v>
      </c>
    </row>
    <row r="586" spans="1:24" x14ac:dyDescent="0.35">
      <c r="A586" t="str">
        <v>91282CQT1</v>
      </c>
      <c r="B586" t="str">
        <f>IF(NOT(ISBLANK(A586)),VLOOKUP(A586,'BBT3'!A:F,2,0),"")</f>
        <v>Bond</v>
      </c>
      <c r="C586" t="str">
        <f>IF(NOT(ISBLANK(A586)),VLOOKUP(A586,'BBT3'!A:F,3,0),"")</f>
        <v>US91282CQT17</v>
      </c>
      <c r="D586" s="5">
        <f>IF(NOT(ISBLANK(A586)),VLOOKUP(A586,'BBT3'!A:F,4,1),"")</f>
        <v>4.25</v>
      </c>
      <c r="E586">
        <f>IF(NOT(ISBLANK(A586)),VLOOKUP(A586,'BBT3'!A:F,5,0),"")</f>
        <v>48730</v>
      </c>
      <c r="F586" t="str">
        <f>IF(NOT(ISBLANK(A586)),VLOOKUP(A586,'BBT3'!A:F,6,0),"")</f>
        <v>N</v>
      </c>
      <c r="G586" t="str">
        <f t="shared" si="92"/>
        <v>N</v>
      </c>
      <c r="H586">
        <f>IF(NOT(ISBLANK(A586)),VLOOKUP(A586,'Close - PriceSaver'!A:J,5,0),"")</f>
        <v>4.4849824854753299E-2</v>
      </c>
      <c r="I586" s="4" cm="1">
        <f t="array" ref="I586">IF(NOT(ISBLANK(A586)),((_xlfn.XLOOKUP(1,(_bbt3[[#All],[ID]]=A586)*(_bbt3[[#All],[METRIC_NAME]]="YLD_YTM_ASK"),_bbt3[[#All],[METRIC_VALUE]])*0.5)+(_xlfn.XLOOKUP(1,(_bbt3[[#All],[ID]]=A586)*(_bbt3[[#All],[METRIC_NAME]]="YLD_YTM_BID"),_bbt3[[#All],[METRIC_VALUE]])*0.5))/100,"")</f>
        <v>4.4849999999999994E-2</v>
      </c>
      <c r="J586">
        <f>IF(ISNA(VLOOKUP(A586,'CloseDL - PriceSaverBBT3'!A:E,5,0)),0,VLOOKUP(A586,'CloseDL - PriceSaverBBT3'!A:E,5,0))</f>
        <v>4.4849824854753299E-2</v>
      </c>
      <c r="K586" s="7">
        <f t="shared" si="93"/>
        <v>0</v>
      </c>
      <c r="L586" s="20">
        <f>IF(Close[[#This Row],[CreatedBy]]="MARINER\SilverAdm",1,0)</f>
        <v>1</v>
      </c>
      <c r="M586" t="str">
        <f>IF(NOT(ISBLANK(A586)),VLOOKUP(A586,'Close - PriceSaver'!A:J,6,0),"")</f>
        <v>DL input prc = 98.62109375  PX_ASK = 98.63281250 PX_BID = 98.60937500</v>
      </c>
      <c r="Q586" t="e">
        <f t="shared" si="85"/>
        <v>#N/A</v>
      </c>
      <c r="R586" t="e">
        <f t="shared" si="86"/>
        <v>#N/A</v>
      </c>
      <c r="S586" t="e">
        <f t="shared" si="87"/>
        <v>#N/A</v>
      </c>
      <c r="T586" s="15" t="e">
        <f t="shared" si="88"/>
        <v>#N/A</v>
      </c>
      <c r="U586" s="18" t="e">
        <f t="shared" si="89"/>
        <v>#N/A</v>
      </c>
      <c r="V586" s="18" t="e">
        <f t="shared" si="90"/>
        <v>#N/A</v>
      </c>
      <c r="W586" s="19" t="e">
        <f t="shared" si="91"/>
        <v>#N/A</v>
      </c>
      <c r="X586" t="e">
        <f>VLOOKUP(P586,Close[[ID]:[CreatedBy]],8,0)</f>
        <v>#N/A</v>
      </c>
    </row>
    <row r="587" spans="1:24" x14ac:dyDescent="0.35">
      <c r="A587" t="str">
        <v>91282CQU8</v>
      </c>
      <c r="B587" t="str">
        <f>IF(NOT(ISBLANK(A587)),VLOOKUP(A587,'BBT3'!A:F,2,0),"")</f>
        <v>Bond</v>
      </c>
      <c r="C587" t="str">
        <f>IF(NOT(ISBLANK(A587)),VLOOKUP(A587,'BBT3'!A:F,3,0),"")</f>
        <v>US91282CQU89</v>
      </c>
      <c r="D587" s="5">
        <f>IF(NOT(ISBLANK(A587)),VLOOKUP(A587,'BBT3'!A:F,4,1),"")</f>
        <v>4.125</v>
      </c>
      <c r="E587">
        <f>IF(NOT(ISBLANK(A587)),VLOOKUP(A587,'BBT3'!A:F,5,0),"")</f>
        <v>47999</v>
      </c>
      <c r="F587" t="str">
        <f>IF(NOT(ISBLANK(A587)),VLOOKUP(A587,'BBT3'!A:F,6,0),"")</f>
        <v>N</v>
      </c>
      <c r="G587" t="str">
        <f t="shared" si="92"/>
        <v>N</v>
      </c>
      <c r="H587">
        <f>IF(NOT(ISBLANK(A587)),VLOOKUP(A587,'Close - PriceSaver'!A:J,5,0),"")</f>
        <v>4.3681668306950402E-2</v>
      </c>
      <c r="I587" s="4" cm="1">
        <f t="array" ref="I587">IF(NOT(ISBLANK(A587)),((_xlfn.XLOOKUP(1,(_bbt3[[#All],[ID]]=A587)*(_bbt3[[#All],[METRIC_NAME]]="YLD_YTM_ASK"),_bbt3[[#All],[METRIC_VALUE]])*0.5)+(_xlfn.XLOOKUP(1,(_bbt3[[#All],[ID]]=A587)*(_bbt3[[#All],[METRIC_NAME]]="YLD_YTM_BID"),_bbt3[[#All],[METRIC_VALUE]])*0.5))/100,"")</f>
        <v>4.3680000000000004E-2</v>
      </c>
      <c r="J587">
        <f>IF(ISNA(VLOOKUP(A587,'CloseDL - PriceSaverBBT3'!A:E,5,0)),0,VLOOKUP(A587,'CloseDL - PriceSaverBBT3'!A:E,5,0))</f>
        <v>4.3681668306950402E-2</v>
      </c>
      <c r="K587" s="7">
        <f t="shared" si="93"/>
        <v>0</v>
      </c>
      <c r="L587" s="20">
        <f>IF(Close[[#This Row],[CreatedBy]]="MARINER\SilverAdm",1,0)</f>
        <v>1</v>
      </c>
      <c r="M587" t="str">
        <f>IF(NOT(ISBLANK(A587)),VLOOKUP(A587,'Close - PriceSaver'!A:J,6,0),"")</f>
        <v>DL input prc = 98.94140625  PX_ASK = 98.94531250 PX_BID = 98.93750000</v>
      </c>
      <c r="Q587" t="e">
        <f t="shared" si="85"/>
        <v>#N/A</v>
      </c>
      <c r="R587" t="e">
        <f t="shared" si="86"/>
        <v>#N/A</v>
      </c>
      <c r="S587" t="e">
        <f t="shared" si="87"/>
        <v>#N/A</v>
      </c>
      <c r="T587" s="15" t="e">
        <f t="shared" si="88"/>
        <v>#N/A</v>
      </c>
      <c r="U587" s="18" t="e">
        <f t="shared" si="89"/>
        <v>#N/A</v>
      </c>
      <c r="V587" s="18" t="e">
        <f t="shared" si="90"/>
        <v>#N/A</v>
      </c>
      <c r="W587" s="19" t="e">
        <f t="shared" si="91"/>
        <v>#N/A</v>
      </c>
      <c r="X587" t="e">
        <f>VLOOKUP(P587,Close[[ID]:[CreatedBy]],8,0)</f>
        <v>#N/A</v>
      </c>
    </row>
    <row r="588" spans="1:24" x14ac:dyDescent="0.35">
      <c r="A588" t="str">
        <v>91282CQV6</v>
      </c>
      <c r="B588" t="str">
        <f>IF(NOT(ISBLANK(A588)),VLOOKUP(A588,'BBT3'!A:F,2,0),"")</f>
        <v>Bond</v>
      </c>
      <c r="C588" t="str">
        <f>IF(NOT(ISBLANK(A588)),VLOOKUP(A588,'BBT3'!A:F,3,0),"")</f>
        <v>US91282CQV62</v>
      </c>
      <c r="D588" s="5">
        <f>IF(NOT(ISBLANK(A588)),VLOOKUP(A588,'BBT3'!A:F,4,1),"")</f>
        <v>4.125</v>
      </c>
      <c r="E588">
        <f>IF(NOT(ISBLANK(A588)),VLOOKUP(A588,'BBT3'!A:F,5,0),"")</f>
        <v>47284</v>
      </c>
      <c r="F588" t="str">
        <f>IF(NOT(ISBLANK(A588)),VLOOKUP(A588,'BBT3'!A:F,6,0),"")</f>
        <v>N</v>
      </c>
      <c r="G588" t="str">
        <f t="shared" si="92"/>
        <v>N</v>
      </c>
      <c r="H588">
        <f>IF(NOT(ISBLANK(A588)),VLOOKUP(A588,'Close - PriceSaver'!A:J,5,0),"")</f>
        <v>4.2930476797586201E-2</v>
      </c>
      <c r="I588" s="4" cm="1">
        <f t="array" ref="I588">IF(NOT(ISBLANK(A588)),((_xlfn.XLOOKUP(1,(_bbt3[[#All],[ID]]=A588)*(_bbt3[[#All],[METRIC_NAME]]="YLD_YTM_ASK"),_bbt3[[#All],[METRIC_VALUE]])*0.5)+(_xlfn.XLOOKUP(1,(_bbt3[[#All],[ID]]=A588)*(_bbt3[[#All],[METRIC_NAME]]="YLD_YTM_BID"),_bbt3[[#All],[METRIC_VALUE]])*0.5))/100,"")</f>
        <v>4.2929999999999996E-2</v>
      </c>
      <c r="J588">
        <f>IF(ISNA(VLOOKUP(A588,'CloseDL - PriceSaverBBT3'!A:E,5,0)),0,VLOOKUP(A588,'CloseDL - PriceSaverBBT3'!A:E,5,0))</f>
        <v>4.2930476797586201E-2</v>
      </c>
      <c r="K588" s="7">
        <f t="shared" si="93"/>
        <v>0</v>
      </c>
      <c r="L588" s="20">
        <f>IF(Close[[#This Row],[CreatedBy]]="MARINER\SilverAdm",1,0)</f>
        <v>1</v>
      </c>
      <c r="M588" t="str">
        <f>IF(NOT(ISBLANK(A588)),VLOOKUP(A588,'Close - PriceSaver'!A:J,6,0),"")</f>
        <v>DL input prc = 99.54296875  PX_ASK = 99.54687500 PX_BID = 99.53906250</v>
      </c>
      <c r="Q588" t="e">
        <f t="shared" si="85"/>
        <v>#N/A</v>
      </c>
      <c r="R588" t="e">
        <f t="shared" si="86"/>
        <v>#N/A</v>
      </c>
      <c r="S588" t="e">
        <f t="shared" si="87"/>
        <v>#N/A</v>
      </c>
      <c r="T588" s="15" t="e">
        <f t="shared" si="88"/>
        <v>#N/A</v>
      </c>
      <c r="U588" s="18" t="e">
        <f t="shared" si="89"/>
        <v>#N/A</v>
      </c>
      <c r="V588" s="18" t="e">
        <f t="shared" si="90"/>
        <v>#N/A</v>
      </c>
      <c r="W588" s="19" t="e">
        <f t="shared" si="91"/>
        <v>#N/A</v>
      </c>
      <c r="X588" t="e">
        <f>VLOOKUP(P588,Close[[ID]:[CreatedBy]],8,0)</f>
        <v>#N/A</v>
      </c>
    </row>
    <row r="589" spans="1:24" x14ac:dyDescent="0.35">
      <c r="A589" t="str">
        <v>91282CQW4</v>
      </c>
      <c r="B589" t="str">
        <f>IF(NOT(ISBLANK(A589)),VLOOKUP(A589,'BBT3'!A:F,2,0),"")</f>
        <v>Bond</v>
      </c>
      <c r="C589" t="str">
        <f>IF(NOT(ISBLANK(A589)),VLOOKUP(A589,'BBT3'!A:F,3,0),"")</f>
        <v>US91282CQW46</v>
      </c>
      <c r="D589" s="5">
        <f>IF(NOT(ISBLANK(A589)),VLOOKUP(A589,'BBT3'!A:F,4,1),"")</f>
        <v>4.25</v>
      </c>
      <c r="E589">
        <f>IF(NOT(ISBLANK(A589)),VLOOKUP(A589,'BBT3'!A:F,5,0),"")</f>
        <v>48760</v>
      </c>
      <c r="F589" t="str">
        <f>IF(NOT(ISBLANK(A589)),VLOOKUP(A589,'BBT3'!A:F,6,0),"")</f>
        <v>N</v>
      </c>
      <c r="G589" t="str">
        <f t="shared" si="92"/>
        <v>N</v>
      </c>
      <c r="H589">
        <f>IF(NOT(ISBLANK(A589)),VLOOKUP(A589,'Close - PriceSaver'!A:J,5,0),"")</f>
        <v>4.4909740840820001E-2</v>
      </c>
      <c r="I589" s="4" cm="1">
        <f t="array" ref="I589">IF(NOT(ISBLANK(A589)),((_xlfn.XLOOKUP(1,(_bbt3[[#All],[ID]]=A589)*(_bbt3[[#All],[METRIC_NAME]]="YLD_YTM_ASK"),_bbt3[[#All],[METRIC_VALUE]])*0.5)+(_xlfn.XLOOKUP(1,(_bbt3[[#All],[ID]]=A589)*(_bbt3[[#All],[METRIC_NAME]]="YLD_YTM_BID"),_bbt3[[#All],[METRIC_VALUE]])*0.5))/100,"")</f>
        <v>4.4909999999999999E-2</v>
      </c>
      <c r="J589">
        <f>IF(ISNA(VLOOKUP(A589,'CloseDL - PriceSaverBBT3'!A:E,5,0)),0,VLOOKUP(A589,'CloseDL - PriceSaverBBT3'!A:E,5,0))</f>
        <v>4.4909740840820001E-2</v>
      </c>
      <c r="K589" s="7">
        <f t="shared" si="93"/>
        <v>0</v>
      </c>
      <c r="L589" s="20">
        <f>IF(Close[[#This Row],[CreatedBy]]="MARINER\SilverAdm",1,0)</f>
        <v>1</v>
      </c>
      <c r="M589" t="str">
        <f>IF(NOT(ISBLANK(A589)),VLOOKUP(A589,'Close - PriceSaver'!A:J,6,0),"")</f>
        <v>DL input prc = 98.57421875  PX_ASK = 98.57812500 PX_BID = 98.57031250</v>
      </c>
      <c r="Q589" t="e">
        <f t="shared" si="85"/>
        <v>#N/A</v>
      </c>
      <c r="R589" t="e">
        <f t="shared" si="86"/>
        <v>#N/A</v>
      </c>
      <c r="S589" t="e">
        <f t="shared" si="87"/>
        <v>#N/A</v>
      </c>
      <c r="T589" s="15" t="e">
        <f t="shared" si="88"/>
        <v>#N/A</v>
      </c>
      <c r="U589" s="18" t="e">
        <f t="shared" si="89"/>
        <v>#N/A</v>
      </c>
      <c r="V589" s="18" t="e">
        <f t="shared" si="90"/>
        <v>#N/A</v>
      </c>
      <c r="W589" s="19" t="e">
        <f t="shared" si="91"/>
        <v>#N/A</v>
      </c>
      <c r="X589" t="e">
        <f>VLOOKUP(P589,Close[[ID]:[CreatedBy]],8,0)</f>
        <v>#N/A</v>
      </c>
    </row>
    <row r="590" spans="1:24" x14ac:dyDescent="0.35">
      <c r="A590" t="str">
        <v>91282CQX2</v>
      </c>
      <c r="B590" t="str">
        <f>IF(NOT(ISBLANK(A590)),VLOOKUP(A590,'BBT3'!A:F,2,0),"")</f>
        <v>Bond</v>
      </c>
      <c r="C590" t="str">
        <f>IF(NOT(ISBLANK(A590)),VLOOKUP(A590,'BBT3'!A:F,3,0),"")</f>
        <v>US91282CQX29</v>
      </c>
      <c r="D590" s="5">
        <f>IF(NOT(ISBLANK(A590)),VLOOKUP(A590,'BBT3'!A:F,4,1),"")</f>
        <v>4.125</v>
      </c>
      <c r="E590">
        <f>IF(NOT(ISBLANK(A590)),VLOOKUP(A590,'BBT3'!A:F,5,0),"")</f>
        <v>48029</v>
      </c>
      <c r="F590" t="str">
        <f>IF(NOT(ISBLANK(A590)),VLOOKUP(A590,'BBT3'!A:F,6,0),"")</f>
        <v>N</v>
      </c>
      <c r="G590" t="str">
        <f t="shared" si="92"/>
        <v>N</v>
      </c>
      <c r="H590">
        <f>IF(NOT(ISBLANK(A590)),VLOOKUP(A590,'Close - PriceSaver'!A:J,5,0),"")</f>
        <v>4.3685765867993998E-2</v>
      </c>
      <c r="I590" s="4" cm="1">
        <f t="array" ref="I590">IF(NOT(ISBLANK(A590)),((_xlfn.XLOOKUP(1,(_bbt3[[#All],[ID]]=A590)*(_bbt3[[#All],[METRIC_NAME]]="YLD_YTM_ASK"),_bbt3[[#All],[METRIC_VALUE]])*0.5)+(_xlfn.XLOOKUP(1,(_bbt3[[#All],[ID]]=A590)*(_bbt3[[#All],[METRIC_NAME]]="YLD_YTM_BID"),_bbt3[[#All],[METRIC_VALUE]])*0.5))/100,"")</f>
        <v>4.3685000000000002E-2</v>
      </c>
      <c r="J590">
        <f>IF(ISNA(VLOOKUP(A590,'CloseDL - PriceSaverBBT3'!A:E,5,0)),0,VLOOKUP(A590,'CloseDL - PriceSaverBBT3'!A:E,5,0))</f>
        <v>4.3685765867993998E-2</v>
      </c>
      <c r="K590" s="7">
        <f t="shared" si="93"/>
        <v>0</v>
      </c>
      <c r="L590" s="20">
        <f>IF(Close[[#This Row],[CreatedBy]]="MARINER\SilverAdm",1,0)</f>
        <v>1</v>
      </c>
      <c r="M590" t="str">
        <f>IF(NOT(ISBLANK(A590)),VLOOKUP(A590,'Close - PriceSaver'!A:J,6,0),"")</f>
        <v>DL input prc = 98.92578125  PX_ASK = 98.92968750 PX_BID = 98.92187500</v>
      </c>
      <c r="Q590" t="e">
        <f t="shared" si="85"/>
        <v>#N/A</v>
      </c>
      <c r="R590" t="e">
        <f t="shared" si="86"/>
        <v>#N/A</v>
      </c>
      <c r="S590" t="e">
        <f t="shared" si="87"/>
        <v>#N/A</v>
      </c>
      <c r="T590" s="15" t="e">
        <f t="shared" si="88"/>
        <v>#N/A</v>
      </c>
      <c r="U590" s="18" t="e">
        <f t="shared" si="89"/>
        <v>#N/A</v>
      </c>
      <c r="V590" s="18" t="e">
        <f t="shared" si="90"/>
        <v>#N/A</v>
      </c>
      <c r="W590" s="19" t="e">
        <f t="shared" si="91"/>
        <v>#N/A</v>
      </c>
      <c r="X590" t="e">
        <f>VLOOKUP(P590,Close[[ID]:[CreatedBy]],8,0)</f>
        <v>#N/A</v>
      </c>
    </row>
    <row r="591" spans="1:24" x14ac:dyDescent="0.35">
      <c r="A591" t="str">
        <v>91282CQY0</v>
      </c>
      <c r="B591" t="str">
        <f>IF(NOT(ISBLANK(A591)),VLOOKUP(A591,'BBT3'!A:F,2,0),"")</f>
        <v>Bond</v>
      </c>
      <c r="C591" t="str">
        <f>IF(NOT(ISBLANK(A591)),VLOOKUP(A591,'BBT3'!A:F,3,0),"")</f>
        <v>US91282CQY02</v>
      </c>
      <c r="D591" s="5">
        <f>IF(NOT(ISBLANK(A591)),VLOOKUP(A591,'BBT3'!A:F,4,1),"")</f>
        <v>4.125</v>
      </c>
      <c r="E591">
        <f>IF(NOT(ISBLANK(A591)),VLOOKUP(A591,'BBT3'!A:F,5,0),"")</f>
        <v>46934</v>
      </c>
      <c r="F591" t="str">
        <f>IF(NOT(ISBLANK(A591)),VLOOKUP(A591,'BBT3'!A:F,6,0),"")</f>
        <v>N</v>
      </c>
      <c r="G591" t="str">
        <f t="shared" si="92"/>
        <v>N</v>
      </c>
      <c r="H591">
        <f>IF(NOT(ISBLANK(A591)),VLOOKUP(A591,'Close - PriceSaver'!A:J,5,0),"")</f>
        <v>4.2604387922577598E-2</v>
      </c>
      <c r="I591" s="4" cm="1">
        <f t="array" ref="I591">IF(NOT(ISBLANK(A591)),((_xlfn.XLOOKUP(1,(_bbt3[[#All],[ID]]=A591)*(_bbt3[[#All],[METRIC_NAME]]="YLD_YTM_ASK"),_bbt3[[#All],[METRIC_VALUE]])*0.5)+(_xlfn.XLOOKUP(1,(_bbt3[[#All],[ID]]=A591)*(_bbt3[[#All],[METRIC_NAME]]="YLD_YTM_BID"),_bbt3[[#All],[METRIC_VALUE]])*0.5))/100,"")</f>
        <v>4.2599999999999999E-2</v>
      </c>
      <c r="J591">
        <f>IF(ISNA(VLOOKUP(A591,'CloseDL - PriceSaverBBT3'!A:E,5,0)),0,VLOOKUP(A591,'CloseDL - PriceSaverBBT3'!A:E,5,0))</f>
        <v>4.2604387922577598E-2</v>
      </c>
      <c r="K591" s="7">
        <f t="shared" si="93"/>
        <v>0</v>
      </c>
      <c r="L591" s="20">
        <f>IF(Close[[#This Row],[CreatedBy]]="MARINER\SilverAdm",1,0)</f>
        <v>1</v>
      </c>
      <c r="M591" t="str">
        <f>IF(NOT(ISBLANK(A591)),VLOOKUP(A591,'Close - PriceSaver'!A:J,6,0),"")</f>
        <v>DL input prc = 99.74804688  PX_ASK = 99.75000000 PX_BID = 99.74609375</v>
      </c>
      <c r="Q591" t="e">
        <f t="shared" si="85"/>
        <v>#N/A</v>
      </c>
      <c r="R591" t="e">
        <f t="shared" si="86"/>
        <v>#N/A</v>
      </c>
      <c r="S591" t="e">
        <f t="shared" si="87"/>
        <v>#N/A</v>
      </c>
      <c r="T591" s="15" t="e">
        <f t="shared" si="88"/>
        <v>#N/A</v>
      </c>
      <c r="U591" s="18" t="e">
        <f t="shared" si="89"/>
        <v>#N/A</v>
      </c>
      <c r="V591" s="18" t="e">
        <f t="shared" si="90"/>
        <v>#N/A</v>
      </c>
      <c r="W591" s="19" t="e">
        <f t="shared" si="91"/>
        <v>#N/A</v>
      </c>
      <c r="X591" t="e">
        <f>VLOOKUP(P591,Close[[ID]:[CreatedBy]],8,0)</f>
        <v>#N/A</v>
      </c>
    </row>
    <row r="592" spans="1:24" x14ac:dyDescent="0.35">
      <c r="A592" t="str">
        <v>91282CQZ7</v>
      </c>
      <c r="B592" t="str">
        <f>IF(NOT(ISBLANK(A592)),VLOOKUP(A592,'BBT3'!A:F,2,0),"")</f>
        <v>Bond</v>
      </c>
      <c r="C592" t="str">
        <f>IF(NOT(ISBLANK(A592)),VLOOKUP(A592,'BBT3'!A:F,3,0),"")</f>
        <v>US91282CQZ76</v>
      </c>
      <c r="D592" s="5">
        <f>IF(NOT(ISBLANK(A592)),VLOOKUP(A592,'BBT3'!A:F,4,1),"")</f>
        <v>4.125</v>
      </c>
      <c r="E592">
        <f>IF(NOT(ISBLANK(A592)),VLOOKUP(A592,'BBT3'!A:F,5,0),"")</f>
        <v>47314</v>
      </c>
      <c r="F592" t="str">
        <f>IF(NOT(ISBLANK(A592)),VLOOKUP(A592,'BBT3'!A:F,6,0),"")</f>
        <v>N</v>
      </c>
      <c r="G592" t="str">
        <f t="shared" si="92"/>
        <v>N</v>
      </c>
      <c r="H592">
        <f>IF(NOT(ISBLANK(A592)),VLOOKUP(A592,'Close - PriceSaver'!A:J,5,0),"")</f>
        <v>4.2981590213460603E-2</v>
      </c>
      <c r="I592" s="4" cm="1">
        <f t="array" ref="I592">IF(NOT(ISBLANK(A592)),((_xlfn.XLOOKUP(1,(_bbt3[[#All],[ID]]=A592)*(_bbt3[[#All],[METRIC_NAME]]="YLD_YTM_ASK"),_bbt3[[#All],[METRIC_VALUE]])*0.5)+(_xlfn.XLOOKUP(1,(_bbt3[[#All],[ID]]=A592)*(_bbt3[[#All],[METRIC_NAME]]="YLD_YTM_BID"),_bbt3[[#All],[METRIC_VALUE]])*0.5))/100,"")</f>
        <v>4.2984999999999995E-2</v>
      </c>
      <c r="J592">
        <f>IF(ISNA(VLOOKUP(A592,'CloseDL - PriceSaverBBT3'!A:E,5,0)),0,VLOOKUP(A592,'CloseDL - PriceSaverBBT3'!A:E,5,0))</f>
        <v>4.2981590213460603E-2</v>
      </c>
      <c r="K592" s="7">
        <f t="shared" si="93"/>
        <v>0</v>
      </c>
      <c r="L592" s="20">
        <f>IF(Close[[#This Row],[CreatedBy]]="MARINER\SilverAdm",1,0)</f>
        <v>1</v>
      </c>
      <c r="M592" t="str">
        <f>IF(NOT(ISBLANK(A592)),VLOOKUP(A592,'Close - PriceSaver'!A:J,6,0),"")</f>
        <v>DL input prc = 99.51953125  PX_ASK = 99.52343750 PX_BID = 99.51562500</v>
      </c>
      <c r="Q592" t="e">
        <f t="shared" si="85"/>
        <v>#N/A</v>
      </c>
      <c r="R592" t="e">
        <f t="shared" si="86"/>
        <v>#N/A</v>
      </c>
      <c r="S592" t="e">
        <f t="shared" si="87"/>
        <v>#N/A</v>
      </c>
      <c r="T592" s="15" t="e">
        <f t="shared" si="88"/>
        <v>#N/A</v>
      </c>
      <c r="U592" s="18" t="e">
        <f t="shared" si="89"/>
        <v>#N/A</v>
      </c>
      <c r="V592" s="18" t="e">
        <f t="shared" si="90"/>
        <v>#N/A</v>
      </c>
      <c r="W592" s="19" t="e">
        <f t="shared" si="91"/>
        <v>#N/A</v>
      </c>
      <c r="X592" t="e">
        <f>VLOOKUP(P592,Close[[ID]:[CreatedBy]],8,0)</f>
        <v>#N/A</v>
      </c>
    </row>
    <row r="593" spans="1:24" x14ac:dyDescent="0.35">
      <c r="A593" t="str">
        <v>9128334S6</v>
      </c>
      <c r="B593" t="str">
        <f>IF(NOT(ISBLANK(A593)),VLOOKUP(A593,'BBT3'!A:F,2,0),"")</f>
        <v>Bond</v>
      </c>
      <c r="C593" t="str">
        <f>IF(NOT(ISBLANK(A593)),VLOOKUP(A593,'BBT3'!A:F,3,0),"")</f>
        <v>US9128334S60</v>
      </c>
      <c r="D593" s="5">
        <f>IF(NOT(ISBLANK(A593)),VLOOKUP(A593,'BBT3'!A:F,4,1),"")</f>
        <v>0</v>
      </c>
      <c r="E593">
        <f>IF(NOT(ISBLANK(A593)),VLOOKUP(A593,'BBT3'!A:F,5,0),"")</f>
        <v>48075</v>
      </c>
      <c r="F593" t="str">
        <f>IF(NOT(ISBLANK(A593)),VLOOKUP(A593,'BBT3'!A:F,6,0),"")</f>
        <v>N</v>
      </c>
      <c r="G593" t="str">
        <f t="shared" si="92"/>
        <v>Y</v>
      </c>
      <c r="H593">
        <f>IF(NOT(ISBLANK(A593)),VLOOKUP(A593,'Close - PriceSaver'!A:J,5,0),"")</f>
        <v>4.4584822979312301E-2</v>
      </c>
      <c r="I593" s="4" t="e" cm="1">
        <f t="array" ref="I593">IF(NOT(ISBLANK(A593)),((_xlfn.XLOOKUP(1,(_bbt3[[#All],[ID]]=A593)*(_bbt3[[#All],[METRIC_NAME]]="YLD_YTM_ASK"),_bbt3[[#All],[METRIC_VALUE]])*0.5)+(_xlfn.XLOOKUP(1,(_bbt3[[#All],[ID]]=A593)*(_bbt3[[#All],[METRIC_NAME]]="YLD_YTM_BID"),_bbt3[[#All],[METRIC_VALUE]])*0.5))/100,"")</f>
        <v>#N/A</v>
      </c>
      <c r="J593">
        <f>IF(ISNA(VLOOKUP(A593,'CloseDL - PriceSaverBBT3'!A:E,5,0)),0,VLOOKUP(A593,'CloseDL - PriceSaverBBT3'!A:E,5,0))</f>
        <v>4.4584822979312301E-2</v>
      </c>
      <c r="K593" s="7">
        <f t="shared" si="93"/>
        <v>0</v>
      </c>
      <c r="L593" s="20">
        <f>IF(Close[[#This Row],[CreatedBy]]="MARINER\SilverAdm",1,0)</f>
        <v>1</v>
      </c>
      <c r="M593" t="str">
        <f>IF(NOT(ISBLANK(A593)),VLOOKUP(A593,'Close - PriceSaver'!A:J,6,0),"")</f>
        <v>DL input prc = 79.97955775  PX_ASK = 80.08063060 PX_BID = 79.87848489</v>
      </c>
      <c r="Q593" t="e">
        <f t="shared" si="85"/>
        <v>#N/A</v>
      </c>
      <c r="R593" t="e">
        <f t="shared" si="86"/>
        <v>#N/A</v>
      </c>
      <c r="S593" t="e">
        <f t="shared" si="87"/>
        <v>#N/A</v>
      </c>
      <c r="T593" s="15" t="e">
        <f t="shared" si="88"/>
        <v>#N/A</v>
      </c>
      <c r="U593" s="18" t="e">
        <f t="shared" si="89"/>
        <v>#N/A</v>
      </c>
      <c r="V593" s="18" t="e">
        <f t="shared" si="90"/>
        <v>#N/A</v>
      </c>
      <c r="W593" s="19" t="e">
        <f t="shared" si="91"/>
        <v>#N/A</v>
      </c>
      <c r="X593" t="e">
        <f>VLOOKUP(P593,Close[[ID]:[CreatedBy]],8,0)</f>
        <v>#N/A</v>
      </c>
    </row>
    <row r="594" spans="1:24" x14ac:dyDescent="0.35">
      <c r="A594" t="str">
        <v>9128334T4</v>
      </c>
      <c r="B594" t="str">
        <f>IF(NOT(ISBLANK(A594)),VLOOKUP(A594,'BBT3'!A:F,2,0),"")</f>
        <v>Bond</v>
      </c>
      <c r="C594" t="str">
        <f>IF(NOT(ISBLANK(A594)),VLOOKUP(A594,'BBT3'!A:F,3,0),"")</f>
        <v>US9128334T44</v>
      </c>
      <c r="D594" s="5">
        <f>IF(NOT(ISBLANK(A594)),VLOOKUP(A594,'BBT3'!A:F,4,1),"")</f>
        <v>0</v>
      </c>
      <c r="E594">
        <f>IF(NOT(ISBLANK(A594)),VLOOKUP(A594,'BBT3'!A:F,5,0),"")</f>
        <v>48259</v>
      </c>
      <c r="F594" t="str">
        <f>IF(NOT(ISBLANK(A594)),VLOOKUP(A594,'BBT3'!A:F,6,0),"")</f>
        <v>N</v>
      </c>
      <c r="G594" t="str">
        <f t="shared" si="92"/>
        <v>Y</v>
      </c>
      <c r="H594">
        <f>IF(NOT(ISBLANK(A594)),VLOOKUP(A594,'Close - PriceSaver'!A:J,5,0),"")</f>
        <v>4.4914836179163503E-2</v>
      </c>
      <c r="I594" s="4" t="e" cm="1">
        <f t="array" ref="I594">IF(NOT(ISBLANK(A594)),((_xlfn.XLOOKUP(1,(_bbt3[[#All],[ID]]=A594)*(_bbt3[[#All],[METRIC_NAME]]="YLD_YTM_ASK"),_bbt3[[#All],[METRIC_VALUE]])*0.5)+(_xlfn.XLOOKUP(1,(_bbt3[[#All],[ID]]=A594)*(_bbt3[[#All],[METRIC_NAME]]="YLD_YTM_BID"),_bbt3[[#All],[METRIC_VALUE]])*0.5))/100,"")</f>
        <v>#N/A</v>
      </c>
      <c r="J594">
        <f>IF(ISNA(VLOOKUP(A594,'CloseDL - PriceSaverBBT3'!A:E,5,0)),0,VLOOKUP(A594,'CloseDL - PriceSaverBBT3'!A:E,5,0))</f>
        <v>4.4914836179163503E-2</v>
      </c>
      <c r="K594" s="7">
        <f t="shared" si="93"/>
        <v>0</v>
      </c>
      <c r="L594" s="20">
        <f>IF(Close[[#This Row],[CreatedBy]]="MARINER\SilverAdm",1,0)</f>
        <v>1</v>
      </c>
      <c r="M594" t="str">
        <f>IF(NOT(ISBLANK(A594)),VLOOKUP(A594,'Close - PriceSaver'!A:J,6,0),"")</f>
        <v>DL input prc = 78.09505638  PX_ASK = 78.19496717 PX_BID = 77.99514559</v>
      </c>
      <c r="Q594" t="e">
        <f t="shared" si="85"/>
        <v>#N/A</v>
      </c>
      <c r="R594" t="e">
        <f t="shared" si="86"/>
        <v>#N/A</v>
      </c>
      <c r="S594" t="e">
        <f t="shared" si="87"/>
        <v>#N/A</v>
      </c>
      <c r="T594" s="15" t="e">
        <f t="shared" si="88"/>
        <v>#N/A</v>
      </c>
      <c r="U594" s="18" t="e">
        <f t="shared" si="89"/>
        <v>#N/A</v>
      </c>
      <c r="V594" s="18" t="e">
        <f t="shared" si="90"/>
        <v>#N/A</v>
      </c>
      <c r="W594" s="19" t="e">
        <f t="shared" si="91"/>
        <v>#N/A</v>
      </c>
      <c r="X594" t="e">
        <f>VLOOKUP(P594,Close[[ID]:[CreatedBy]],8,0)</f>
        <v>#N/A</v>
      </c>
    </row>
    <row r="595" spans="1:24" x14ac:dyDescent="0.35">
      <c r="A595" t="str">
        <v>9128334U1</v>
      </c>
      <c r="B595" t="str">
        <f>IF(NOT(ISBLANK(A595)),VLOOKUP(A595,'BBT3'!A:F,2,0),"")</f>
        <v>Bond</v>
      </c>
      <c r="C595" t="str">
        <f>IF(NOT(ISBLANK(A595)),VLOOKUP(A595,'BBT3'!A:F,3,0),"")</f>
        <v>US9128334U17</v>
      </c>
      <c r="D595" s="5">
        <f>IF(NOT(ISBLANK(A595)),VLOOKUP(A595,'BBT3'!A:F,4,1),"")</f>
        <v>0</v>
      </c>
      <c r="E595">
        <f>IF(NOT(ISBLANK(A595)),VLOOKUP(A595,'BBT3'!A:F,5,0),"")</f>
        <v>48441</v>
      </c>
      <c r="F595" t="str">
        <f>IF(NOT(ISBLANK(A595)),VLOOKUP(A595,'BBT3'!A:F,6,0),"")</f>
        <v>N</v>
      </c>
      <c r="G595" t="str">
        <f t="shared" si="92"/>
        <v>Y</v>
      </c>
      <c r="H595">
        <f>IF(NOT(ISBLANK(A595)),VLOOKUP(A595,'Close - PriceSaver'!A:J,5,0),"")</f>
        <v>4.5169871575059098E-2</v>
      </c>
      <c r="I595" s="4" t="e" cm="1">
        <f t="array" ref="I595">IF(NOT(ISBLANK(A595)),((_xlfn.XLOOKUP(1,(_bbt3[[#All],[ID]]=A595)*(_bbt3[[#All],[METRIC_NAME]]="YLD_YTM_ASK"),_bbt3[[#All],[METRIC_VALUE]])*0.5)+(_xlfn.XLOOKUP(1,(_bbt3[[#All],[ID]]=A595)*(_bbt3[[#All],[METRIC_NAME]]="YLD_YTM_BID"),_bbt3[[#All],[METRIC_VALUE]])*0.5))/100,"")</f>
        <v>#N/A</v>
      </c>
      <c r="J595">
        <f>IF(ISNA(VLOOKUP(A595,'CloseDL - PriceSaverBBT3'!A:E,5,0)),0,VLOOKUP(A595,'CloseDL - PriceSaverBBT3'!A:E,5,0))</f>
        <v>4.5169871575059098E-2</v>
      </c>
      <c r="K595" s="7">
        <f t="shared" si="93"/>
        <v>0</v>
      </c>
      <c r="L595" s="20">
        <f>IF(Close[[#This Row],[CreatedBy]]="MARINER\SilverAdm",1,0)</f>
        <v>1</v>
      </c>
      <c r="M595" t="str">
        <f>IF(NOT(ISBLANK(A595)),VLOOKUP(A595,'Close - PriceSaver'!A:J,6,0),"")</f>
        <v>DL input prc = 76.26428543  PX_ASK = 76.35477017 PX_BID = 76.17380069</v>
      </c>
      <c r="Q595" t="e">
        <f t="shared" si="85"/>
        <v>#N/A</v>
      </c>
      <c r="R595" t="e">
        <f t="shared" si="86"/>
        <v>#N/A</v>
      </c>
      <c r="S595" t="e">
        <f t="shared" si="87"/>
        <v>#N/A</v>
      </c>
      <c r="T595" s="15" t="e">
        <f t="shared" si="88"/>
        <v>#N/A</v>
      </c>
      <c r="U595" s="18" t="e">
        <f t="shared" si="89"/>
        <v>#N/A</v>
      </c>
      <c r="V595" s="18" t="e">
        <f t="shared" si="90"/>
        <v>#N/A</v>
      </c>
      <c r="W595" s="19" t="e">
        <f t="shared" si="91"/>
        <v>#N/A</v>
      </c>
      <c r="X595" t="e">
        <f>VLOOKUP(P595,Close[[ID]:[CreatedBy]],8,0)</f>
        <v>#N/A</v>
      </c>
    </row>
    <row r="596" spans="1:24" x14ac:dyDescent="0.35">
      <c r="A596" t="str">
        <v>9128334V9</v>
      </c>
      <c r="B596" t="str">
        <f>IF(NOT(ISBLANK(A596)),VLOOKUP(A596,'BBT3'!A:F,2,0),"")</f>
        <v>Bond</v>
      </c>
      <c r="C596" t="str">
        <f>IF(NOT(ISBLANK(A596)),VLOOKUP(A596,'BBT3'!A:F,3,0),"")</f>
        <v>US9128334V99</v>
      </c>
      <c r="D596" s="5">
        <f>IF(NOT(ISBLANK(A596)),VLOOKUP(A596,'BBT3'!A:F,4,1),"")</f>
        <v>0</v>
      </c>
      <c r="E596">
        <f>IF(NOT(ISBLANK(A596)),VLOOKUP(A596,'BBT3'!A:F,5,0),"")</f>
        <v>48625</v>
      </c>
      <c r="F596" t="str">
        <f>IF(NOT(ISBLANK(A596)),VLOOKUP(A596,'BBT3'!A:F,6,0),"")</f>
        <v>N</v>
      </c>
      <c r="G596" t="str">
        <f t="shared" si="92"/>
        <v>Y</v>
      </c>
      <c r="H596">
        <f>IF(NOT(ISBLANK(A596)),VLOOKUP(A596,'Close - PriceSaver'!A:J,5,0),"")</f>
        <v>4.5494840308633398E-2</v>
      </c>
      <c r="I596" s="4" t="e" cm="1">
        <f t="array" ref="I596">IF(NOT(ISBLANK(A596)),((_xlfn.XLOOKUP(1,(_bbt3[[#All],[ID]]=A596)*(_bbt3[[#All],[METRIC_NAME]]="YLD_YTM_ASK"),_bbt3[[#All],[METRIC_VALUE]])*0.5)+(_xlfn.XLOOKUP(1,(_bbt3[[#All],[ID]]=A596)*(_bbt3[[#All],[METRIC_NAME]]="YLD_YTM_BID"),_bbt3[[#All],[METRIC_VALUE]])*0.5))/100,"")</f>
        <v>#N/A</v>
      </c>
      <c r="J596">
        <f>IF(ISNA(VLOOKUP(A596,'CloseDL - PriceSaverBBT3'!A:E,5,0)),0,VLOOKUP(A596,'CloseDL - PriceSaverBBT3'!A:E,5,0))</f>
        <v>4.5494840308633398E-2</v>
      </c>
      <c r="K596" s="7">
        <f t="shared" si="93"/>
        <v>0</v>
      </c>
      <c r="L596" s="20">
        <f>IF(Close[[#This Row],[CreatedBy]]="MARINER\SilverAdm",1,0)</f>
        <v>1</v>
      </c>
      <c r="M596" t="str">
        <f>IF(NOT(ISBLANK(A596)),VLOOKUP(A596,'Close - PriceSaver'!A:J,6,0),"")</f>
        <v>DL input prc = 74.42445083  PX_ASK = 74.52718289 PX_BID = 74.32171876</v>
      </c>
      <c r="Q596" t="e">
        <f t="shared" si="85"/>
        <v>#N/A</v>
      </c>
      <c r="R596" t="e">
        <f t="shared" si="86"/>
        <v>#N/A</v>
      </c>
      <c r="S596" t="e">
        <f t="shared" si="87"/>
        <v>#N/A</v>
      </c>
      <c r="T596" s="15" t="e">
        <f t="shared" si="88"/>
        <v>#N/A</v>
      </c>
      <c r="U596" s="18" t="e">
        <f t="shared" si="89"/>
        <v>#N/A</v>
      </c>
      <c r="V596" s="18" t="e">
        <f t="shared" si="90"/>
        <v>#N/A</v>
      </c>
      <c r="W596" s="19" t="e">
        <f t="shared" si="91"/>
        <v>#N/A</v>
      </c>
      <c r="X596" t="e">
        <f>VLOOKUP(P596,Close[[ID]:[CreatedBy]],8,0)</f>
        <v>#N/A</v>
      </c>
    </row>
    <row r="597" spans="1:24" x14ac:dyDescent="0.35">
      <c r="A597" t="str">
        <v>9128334W7</v>
      </c>
      <c r="B597" t="str">
        <f>IF(NOT(ISBLANK(A597)),VLOOKUP(A597,'BBT3'!A:F,2,0),"")</f>
        <v>Bond</v>
      </c>
      <c r="C597" t="str">
        <f>IF(NOT(ISBLANK(A597)),VLOOKUP(A597,'BBT3'!A:F,3,0),"")</f>
        <v>US9128334W72</v>
      </c>
      <c r="D597" s="5">
        <f>IF(NOT(ISBLANK(A597)),VLOOKUP(A597,'BBT3'!A:F,4,1),"")</f>
        <v>0</v>
      </c>
      <c r="E597">
        <f>IF(NOT(ISBLANK(A597)),VLOOKUP(A597,'BBT3'!A:F,5,0),"")</f>
        <v>48806</v>
      </c>
      <c r="F597" t="str">
        <f>IF(NOT(ISBLANK(A597)),VLOOKUP(A597,'BBT3'!A:F,6,0),"")</f>
        <v>N</v>
      </c>
      <c r="G597" t="str">
        <f t="shared" si="92"/>
        <v>Y</v>
      </c>
      <c r="H597">
        <f>IF(NOT(ISBLANK(A597)),VLOOKUP(A597,'Close - PriceSaver'!A:J,5,0),"")</f>
        <v>4.57748734165183E-2</v>
      </c>
      <c r="I597" s="4" t="e" cm="1">
        <f t="array" ref="I597">IF(NOT(ISBLANK(A597)),((_xlfn.XLOOKUP(1,(_bbt3[[#All],[ID]]=A597)*(_bbt3[[#All],[METRIC_NAME]]="YLD_YTM_ASK"),_bbt3[[#All],[METRIC_VALUE]])*0.5)+(_xlfn.XLOOKUP(1,(_bbt3[[#All],[ID]]=A597)*(_bbt3[[#All],[METRIC_NAME]]="YLD_YTM_BID"),_bbt3[[#All],[METRIC_VALUE]])*0.5))/100,"")</f>
        <v>#N/A</v>
      </c>
      <c r="J597">
        <f>IF(ISNA(VLOOKUP(A597,'CloseDL - PriceSaverBBT3'!A:E,5,0)),0,VLOOKUP(A597,'CloseDL - PriceSaverBBT3'!A:E,5,0))</f>
        <v>4.57748734165183E-2</v>
      </c>
      <c r="K597" s="7">
        <f t="shared" si="93"/>
        <v>0</v>
      </c>
      <c r="L597" s="20">
        <f>IF(Close[[#This Row],[CreatedBy]]="MARINER\SilverAdm",1,0)</f>
        <v>1</v>
      </c>
      <c r="M597" t="str">
        <f>IF(NOT(ISBLANK(A597)),VLOOKUP(A597,'Close - PriceSaver'!A:J,6,0),"")</f>
        <v>DL input prc = 72.62849362  PX_ASK = 72.72131385 PX_BID = 72.53567339</v>
      </c>
      <c r="Q597" t="e">
        <f t="shared" si="85"/>
        <v>#N/A</v>
      </c>
      <c r="R597" t="e">
        <f t="shared" si="86"/>
        <v>#N/A</v>
      </c>
      <c r="S597" t="e">
        <f t="shared" si="87"/>
        <v>#N/A</v>
      </c>
      <c r="T597" s="15" t="e">
        <f t="shared" si="88"/>
        <v>#N/A</v>
      </c>
      <c r="U597" s="18" t="e">
        <f t="shared" si="89"/>
        <v>#N/A</v>
      </c>
      <c r="V597" s="18" t="e">
        <f t="shared" si="90"/>
        <v>#N/A</v>
      </c>
      <c r="W597" s="19" t="e">
        <f t="shared" si="91"/>
        <v>#N/A</v>
      </c>
      <c r="X597" t="e">
        <f>VLOOKUP(P597,Close[[ID]:[CreatedBy]],8,0)</f>
        <v>#N/A</v>
      </c>
    </row>
    <row r="598" spans="1:24" x14ac:dyDescent="0.35">
      <c r="A598" t="str">
        <v>9128334X5</v>
      </c>
      <c r="B598" t="str">
        <f>IF(NOT(ISBLANK(A598)),VLOOKUP(A598,'BBT3'!A:F,2,0),"")</f>
        <v>Bond</v>
      </c>
      <c r="C598" t="str">
        <f>IF(NOT(ISBLANK(A598)),VLOOKUP(A598,'BBT3'!A:F,3,0),"")</f>
        <v>US9128334X55</v>
      </c>
      <c r="D598" s="5">
        <f>IF(NOT(ISBLANK(A598)),VLOOKUP(A598,'BBT3'!A:F,4,1),"")</f>
        <v>0</v>
      </c>
      <c r="E598">
        <f>IF(NOT(ISBLANK(A598)),VLOOKUP(A598,'BBT3'!A:F,5,0),"")</f>
        <v>48990</v>
      </c>
      <c r="F598" t="str">
        <f>IF(NOT(ISBLANK(A598)),VLOOKUP(A598,'BBT3'!A:F,6,0),"")</f>
        <v>N</v>
      </c>
      <c r="G598" t="str">
        <f t="shared" si="92"/>
        <v>Y</v>
      </c>
      <c r="H598">
        <f>IF(NOT(ISBLANK(A598)),VLOOKUP(A598,'Close - PriceSaver'!A:J,5,0),"")</f>
        <v>4.6059826140541001E-2</v>
      </c>
      <c r="I598" s="4" t="e" cm="1">
        <f t="array" ref="I598">IF(NOT(ISBLANK(A598)),((_xlfn.XLOOKUP(1,(_bbt3[[#All],[ID]]=A598)*(_bbt3[[#All],[METRIC_NAME]]="YLD_YTM_ASK"),_bbt3[[#All],[METRIC_VALUE]])*0.5)+(_xlfn.XLOOKUP(1,(_bbt3[[#All],[ID]]=A598)*(_bbt3[[#All],[METRIC_NAME]]="YLD_YTM_BID"),_bbt3[[#All],[METRIC_VALUE]])*0.5))/100,"")</f>
        <v>#N/A</v>
      </c>
      <c r="J598">
        <f>IF(ISNA(VLOOKUP(A598,'CloseDL - PriceSaverBBT3'!A:E,5,0)),0,VLOOKUP(A598,'CloseDL - PriceSaverBBT3'!A:E,5,0))</f>
        <v>4.6059826140541001E-2</v>
      </c>
      <c r="K598" s="7">
        <f t="shared" si="93"/>
        <v>0</v>
      </c>
      <c r="L598" s="20">
        <f>IF(Close[[#This Row],[CreatedBy]]="MARINER\SilverAdm",1,0)</f>
        <v>1</v>
      </c>
      <c r="M598" t="str">
        <f>IF(NOT(ISBLANK(A598)),VLOOKUP(A598,'Close - PriceSaver'!A:J,6,0),"")</f>
        <v>DL input prc = 70.85391499  PX_ASK = 70.96396191 PX_BID = 70.74386807</v>
      </c>
      <c r="Q598" t="e">
        <f t="shared" si="85"/>
        <v>#N/A</v>
      </c>
      <c r="R598" t="e">
        <f t="shared" si="86"/>
        <v>#N/A</v>
      </c>
      <c r="S598" t="e">
        <f t="shared" si="87"/>
        <v>#N/A</v>
      </c>
      <c r="T598" s="15" t="e">
        <f t="shared" si="88"/>
        <v>#N/A</v>
      </c>
      <c r="U598" s="18" t="e">
        <f t="shared" si="89"/>
        <v>#N/A</v>
      </c>
      <c r="V598" s="18" t="e">
        <f t="shared" si="90"/>
        <v>#N/A</v>
      </c>
      <c r="W598" s="19" t="e">
        <f t="shared" si="91"/>
        <v>#N/A</v>
      </c>
      <c r="X598" t="e">
        <f>VLOOKUP(P598,Close[[ID]:[CreatedBy]],8,0)</f>
        <v>#N/A</v>
      </c>
    </row>
    <row r="599" spans="1:24" x14ac:dyDescent="0.35">
      <c r="A599" t="str">
        <v>9128334Y3</v>
      </c>
      <c r="B599" t="str">
        <f>IF(NOT(ISBLANK(A599)),VLOOKUP(A599,'BBT3'!A:F,2,0),"")</f>
        <v>Bond</v>
      </c>
      <c r="C599" t="str">
        <f>IF(NOT(ISBLANK(A599)),VLOOKUP(A599,'BBT3'!A:F,3,0),"")</f>
        <v>US9128334Y39</v>
      </c>
      <c r="D599" s="5">
        <f>IF(NOT(ISBLANK(A599)),VLOOKUP(A599,'BBT3'!A:F,4,1),"")</f>
        <v>0</v>
      </c>
      <c r="E599">
        <f>IF(NOT(ISBLANK(A599)),VLOOKUP(A599,'BBT3'!A:F,5,0),"")</f>
        <v>49171</v>
      </c>
      <c r="F599" t="str">
        <f>IF(NOT(ISBLANK(A599)),VLOOKUP(A599,'BBT3'!A:F,6,0),"")</f>
        <v>N</v>
      </c>
      <c r="G599" t="str">
        <f t="shared" si="92"/>
        <v>Y</v>
      </c>
      <c r="H599">
        <f>IF(NOT(ISBLANK(A599)),VLOOKUP(A599,'Close - PriceSaver'!A:J,5,0),"")</f>
        <v>4.6324806495469398E-2</v>
      </c>
      <c r="I599" s="4" t="e" cm="1">
        <f t="array" ref="I599">IF(NOT(ISBLANK(A599)),((_xlfn.XLOOKUP(1,(_bbt3[[#All],[ID]]=A599)*(_bbt3[[#All],[METRIC_NAME]]="YLD_YTM_ASK"),_bbt3[[#All],[METRIC_VALUE]])*0.5)+(_xlfn.XLOOKUP(1,(_bbt3[[#All],[ID]]=A599)*(_bbt3[[#All],[METRIC_NAME]]="YLD_YTM_BID"),_bbt3[[#All],[METRIC_VALUE]])*0.5))/100,"")</f>
        <v>#N/A</v>
      </c>
      <c r="J599">
        <f>IF(ISNA(VLOOKUP(A599,'CloseDL - PriceSaverBBT3'!A:E,5,0)),0,VLOOKUP(A599,'CloseDL - PriceSaverBBT3'!A:E,5,0))</f>
        <v>4.6324806495469398E-2</v>
      </c>
      <c r="K599" s="7">
        <f t="shared" si="93"/>
        <v>0</v>
      </c>
      <c r="L599" s="20">
        <f>IF(Close[[#This Row],[CreatedBy]]="MARINER\SilverAdm",1,0)</f>
        <v>1</v>
      </c>
      <c r="M599" t="str">
        <f>IF(NOT(ISBLANK(A599)),VLOOKUP(A599,'Close - PriceSaver'!A:J,6,0),"")</f>
        <v>DL input prc = 69.11434701  PX_ASK = 69.23149529 PX_BID = 68.99719872</v>
      </c>
      <c r="Q599" t="e">
        <f t="shared" si="85"/>
        <v>#N/A</v>
      </c>
      <c r="R599" t="e">
        <f t="shared" si="86"/>
        <v>#N/A</v>
      </c>
      <c r="S599" t="e">
        <f t="shared" si="87"/>
        <v>#N/A</v>
      </c>
      <c r="T599" s="15" t="e">
        <f t="shared" si="88"/>
        <v>#N/A</v>
      </c>
      <c r="U599" s="18" t="e">
        <f t="shared" si="89"/>
        <v>#N/A</v>
      </c>
      <c r="V599" s="18" t="e">
        <f t="shared" si="90"/>
        <v>#N/A</v>
      </c>
      <c r="W599" s="19" t="e">
        <f t="shared" si="91"/>
        <v>#N/A</v>
      </c>
      <c r="X599" t="e">
        <f>VLOOKUP(P599,Close[[ID]:[CreatedBy]],8,0)</f>
        <v>#N/A</v>
      </c>
    </row>
    <row r="600" spans="1:24" x14ac:dyDescent="0.35">
      <c r="A600" t="str">
        <v>9128334Z0</v>
      </c>
      <c r="B600" t="str">
        <f>IF(NOT(ISBLANK(A600)),VLOOKUP(A600,'BBT3'!A:F,2,0),"")</f>
        <v>Bond</v>
      </c>
      <c r="C600" t="str">
        <f>IF(NOT(ISBLANK(A600)),VLOOKUP(A600,'BBT3'!A:F,3,0),"")</f>
        <v>US9128334Z04</v>
      </c>
      <c r="D600" s="5">
        <f>IF(NOT(ISBLANK(A600)),VLOOKUP(A600,'BBT3'!A:F,4,1),"")</f>
        <v>0</v>
      </c>
      <c r="E600">
        <f>IF(NOT(ISBLANK(A600)),VLOOKUP(A600,'BBT3'!A:F,5,0),"")</f>
        <v>49355</v>
      </c>
      <c r="F600" t="str">
        <f>IF(NOT(ISBLANK(A600)),VLOOKUP(A600,'BBT3'!A:F,6,0),"")</f>
        <v>N</v>
      </c>
      <c r="G600" t="str">
        <f t="shared" si="92"/>
        <v>Y</v>
      </c>
      <c r="H600">
        <f>IF(NOT(ISBLANK(A600)),VLOOKUP(A600,'Close - PriceSaver'!A:J,5,0),"")</f>
        <v>4.6624734092488698E-2</v>
      </c>
      <c r="I600" s="4" t="e" cm="1">
        <f t="array" ref="I600">IF(NOT(ISBLANK(A600)),((_xlfn.XLOOKUP(1,(_bbt3[[#All],[ID]]=A600)*(_bbt3[[#All],[METRIC_NAME]]="YLD_YTM_ASK"),_bbt3[[#All],[METRIC_VALUE]])*0.5)+(_xlfn.XLOOKUP(1,(_bbt3[[#All],[ID]]=A600)*(_bbt3[[#All],[METRIC_NAME]]="YLD_YTM_BID"),_bbt3[[#All],[METRIC_VALUE]])*0.5))/100,"")</f>
        <v>#N/A</v>
      </c>
      <c r="J600">
        <f>IF(ISNA(VLOOKUP(A600,'CloseDL - PriceSaverBBT3'!A:E,5,0)),0,VLOOKUP(A600,'CloseDL - PriceSaverBBT3'!A:E,5,0))</f>
        <v>4.6624734092488698E-2</v>
      </c>
      <c r="K600" s="7">
        <f t="shared" si="93"/>
        <v>0</v>
      </c>
      <c r="L600" s="20">
        <f>IF(Close[[#This Row],[CreatedBy]]="MARINER\SilverAdm",1,0)</f>
        <v>1</v>
      </c>
      <c r="M600" t="str">
        <f>IF(NOT(ISBLANK(A600)),VLOOKUP(A600,'Close - PriceSaver'!A:J,6,0),"")</f>
        <v>DL input prc = 67.38033351  PX_ASK = 67.51852571 PX_BID = 67.24214130</v>
      </c>
      <c r="Q600" t="e">
        <f t="shared" si="85"/>
        <v>#N/A</v>
      </c>
      <c r="R600" t="e">
        <f t="shared" si="86"/>
        <v>#N/A</v>
      </c>
      <c r="S600" t="e">
        <f t="shared" si="87"/>
        <v>#N/A</v>
      </c>
      <c r="T600" s="15" t="e">
        <f t="shared" si="88"/>
        <v>#N/A</v>
      </c>
      <c r="U600" s="18" t="e">
        <f t="shared" si="89"/>
        <v>#N/A</v>
      </c>
      <c r="V600" s="18" t="e">
        <f t="shared" si="90"/>
        <v>#N/A</v>
      </c>
      <c r="W600" s="19" t="e">
        <f t="shared" si="91"/>
        <v>#N/A</v>
      </c>
      <c r="X600" t="e">
        <f>VLOOKUP(P600,Close[[ID]:[CreatedBy]],8,0)</f>
        <v>#N/A</v>
      </c>
    </row>
    <row r="601" spans="1:24" x14ac:dyDescent="0.35">
      <c r="A601" t="str">
        <v>9128335A4</v>
      </c>
      <c r="B601" t="str">
        <f>IF(NOT(ISBLANK(A601)),VLOOKUP(A601,'BBT3'!A:F,2,0),"")</f>
        <v>Bond</v>
      </c>
      <c r="C601" t="str">
        <f>IF(NOT(ISBLANK(A601)),VLOOKUP(A601,'BBT3'!A:F,3,0),"")</f>
        <v>US9128335A44</v>
      </c>
      <c r="D601" s="5">
        <f>IF(NOT(ISBLANK(A601)),VLOOKUP(A601,'BBT3'!A:F,4,1),"")</f>
        <v>0</v>
      </c>
      <c r="E601">
        <f>IF(NOT(ISBLANK(A601)),VLOOKUP(A601,'BBT3'!A:F,5,0),"")</f>
        <v>49536</v>
      </c>
      <c r="F601" t="str">
        <f>IF(NOT(ISBLANK(A601)),VLOOKUP(A601,'BBT3'!A:F,6,0),"")</f>
        <v>N</v>
      </c>
      <c r="G601" t="str">
        <f t="shared" si="92"/>
        <v>Y</v>
      </c>
      <c r="H601">
        <f>IF(NOT(ISBLANK(A601)),VLOOKUP(A601,'Close - PriceSaver'!A:J,5,0),"")</f>
        <v>4.6929752768625897E-2</v>
      </c>
      <c r="I601" s="4" t="e" cm="1">
        <f t="array" ref="I601">IF(NOT(ISBLANK(A601)),((_xlfn.XLOOKUP(1,(_bbt3[[#All],[ID]]=A601)*(_bbt3[[#All],[METRIC_NAME]]="YLD_YTM_ASK"),_bbt3[[#All],[METRIC_VALUE]])*0.5)+(_xlfn.XLOOKUP(1,(_bbt3[[#All],[ID]]=A601)*(_bbt3[[#All],[METRIC_NAME]]="YLD_YTM_BID"),_bbt3[[#All],[METRIC_VALUE]])*0.5))/100,"")</f>
        <v>#N/A</v>
      </c>
      <c r="J601">
        <f>IF(ISNA(VLOOKUP(A601,'CloseDL - PriceSaverBBT3'!A:E,5,0)),0,VLOOKUP(A601,'CloseDL - PriceSaverBBT3'!A:E,5,0))</f>
        <v>4.6929752768625897E-2</v>
      </c>
      <c r="K601" s="7">
        <f t="shared" si="93"/>
        <v>0</v>
      </c>
      <c r="L601" s="20">
        <f>IF(Close[[#This Row],[CreatedBy]]="MARINER\SilverAdm",1,0)</f>
        <v>1</v>
      </c>
      <c r="M601" t="str">
        <f>IF(NOT(ISBLANK(A601)),VLOOKUP(A601,'Close - PriceSaver'!A:J,6,0),"")</f>
        <v>DL input prc = 65.66763678  PX_ASK = 65.80143047 PX_BID = 65.53384309</v>
      </c>
      <c r="Q601" t="e">
        <f t="shared" si="85"/>
        <v>#N/A</v>
      </c>
      <c r="R601" t="e">
        <f t="shared" si="86"/>
        <v>#N/A</v>
      </c>
      <c r="S601" t="e">
        <f t="shared" si="87"/>
        <v>#N/A</v>
      </c>
      <c r="T601" s="15" t="e">
        <f t="shared" si="88"/>
        <v>#N/A</v>
      </c>
      <c r="U601" s="18" t="e">
        <f t="shared" si="89"/>
        <v>#N/A</v>
      </c>
      <c r="V601" s="18" t="e">
        <f t="shared" si="90"/>
        <v>#N/A</v>
      </c>
      <c r="W601" s="19" t="e">
        <f t="shared" si="91"/>
        <v>#N/A</v>
      </c>
      <c r="X601" t="e">
        <f>VLOOKUP(P601,Close[[ID]:[CreatedBy]],8,0)</f>
        <v>#N/A</v>
      </c>
    </row>
    <row r="602" spans="1:24" x14ac:dyDescent="0.35">
      <c r="A602" t="str">
        <v>9128335B2</v>
      </c>
      <c r="B602" t="str">
        <f>IF(NOT(ISBLANK(A602)),VLOOKUP(A602,'BBT3'!A:F,2,0),"")</f>
        <v>Bond</v>
      </c>
      <c r="C602" t="str">
        <f>IF(NOT(ISBLANK(A602)),VLOOKUP(A602,'BBT3'!A:F,3,0),"")</f>
        <v>US9128335B27</v>
      </c>
      <c r="D602" s="5">
        <f>IF(NOT(ISBLANK(A602)),VLOOKUP(A602,'BBT3'!A:F,4,1),"")</f>
        <v>0</v>
      </c>
      <c r="E602">
        <f>IF(NOT(ISBLANK(A602)),VLOOKUP(A602,'BBT3'!A:F,5,0),"")</f>
        <v>49720</v>
      </c>
      <c r="F602" t="str">
        <f>IF(NOT(ISBLANK(A602)),VLOOKUP(A602,'BBT3'!A:F,6,0),"")</f>
        <v>N</v>
      </c>
      <c r="G602" t="str">
        <f t="shared" si="92"/>
        <v>Y</v>
      </c>
      <c r="H602">
        <f>IF(NOT(ISBLANK(A602)),VLOOKUP(A602,'Close - PriceSaver'!A:J,5,0),"")</f>
        <v>4.7284728461027797E-2</v>
      </c>
      <c r="I602" s="4" t="e" cm="1">
        <f t="array" ref="I602">IF(NOT(ISBLANK(A602)),((_xlfn.XLOOKUP(1,(_bbt3[[#All],[ID]]=A602)*(_bbt3[[#All],[METRIC_NAME]]="YLD_YTM_ASK"),_bbt3[[#All],[METRIC_VALUE]])*0.5)+(_xlfn.XLOOKUP(1,(_bbt3[[#All],[ID]]=A602)*(_bbt3[[#All],[METRIC_NAME]]="YLD_YTM_BID"),_bbt3[[#All],[METRIC_VALUE]])*0.5))/100,"")</f>
        <v>#N/A</v>
      </c>
      <c r="J602">
        <f>IF(ISNA(VLOOKUP(A602,'CloseDL - PriceSaverBBT3'!A:E,5,0)),0,VLOOKUP(A602,'CloseDL - PriceSaverBBT3'!A:E,5,0))</f>
        <v>4.7284728461027797E-2</v>
      </c>
      <c r="K602" s="7">
        <f t="shared" si="93"/>
        <v>0</v>
      </c>
      <c r="L602" s="20">
        <f>IF(Close[[#This Row],[CreatedBy]]="MARINER\SilverAdm",1,0)</f>
        <v>1</v>
      </c>
      <c r="M602" t="str">
        <f>IF(NOT(ISBLANK(A602)),VLOOKUP(A602,'Close - PriceSaver'!A:J,6,0),"")</f>
        <v>DL input prc = 63.94956619  PX_ASK = 64.09000928 PX_BID = 63.80912310</v>
      </c>
      <c r="Q602" t="e">
        <f t="shared" si="85"/>
        <v>#N/A</v>
      </c>
      <c r="R602" t="e">
        <f t="shared" si="86"/>
        <v>#N/A</v>
      </c>
      <c r="S602" t="e">
        <f t="shared" si="87"/>
        <v>#N/A</v>
      </c>
      <c r="T602" s="15" t="e">
        <f t="shared" si="88"/>
        <v>#N/A</v>
      </c>
      <c r="U602" s="18" t="e">
        <f t="shared" si="89"/>
        <v>#N/A</v>
      </c>
      <c r="V602" s="18" t="e">
        <f t="shared" si="90"/>
        <v>#N/A</v>
      </c>
      <c r="W602" s="19" t="e">
        <f t="shared" si="91"/>
        <v>#N/A</v>
      </c>
      <c r="X602" t="e">
        <f>VLOOKUP(P602,Close[[ID]:[CreatedBy]],8,0)</f>
        <v>#N/A</v>
      </c>
    </row>
    <row r="603" spans="1:24" x14ac:dyDescent="0.35">
      <c r="A603" t="str">
        <v>9128337F1</v>
      </c>
      <c r="B603" t="str">
        <f>IF(NOT(ISBLANK(A603)),VLOOKUP(A603,'BBT3'!A:F,2,0),"")</f>
        <v>Bond</v>
      </c>
      <c r="C603" t="str">
        <f>IF(NOT(ISBLANK(A603)),VLOOKUP(A603,'BBT3'!A:F,3,0),"")</f>
        <v>US9128337F13</v>
      </c>
      <c r="D603" s="5">
        <f>IF(NOT(ISBLANK(A603)),VLOOKUP(A603,'BBT3'!A:F,4,1),"")</f>
        <v>0</v>
      </c>
      <c r="E603">
        <f>IF(NOT(ISBLANK(A603)),VLOOKUP(A603,'BBT3'!A:F,5,0),"")</f>
        <v>50086</v>
      </c>
      <c r="F603" t="str">
        <f>IF(NOT(ISBLANK(A603)),VLOOKUP(A603,'BBT3'!A:F,6,0),"")</f>
        <v>N</v>
      </c>
      <c r="G603" t="str">
        <f t="shared" si="92"/>
        <v>Y</v>
      </c>
      <c r="H603">
        <f>IF(NOT(ISBLANK(A603)),VLOOKUP(A603,'Close - PriceSaver'!A:J,5,0),"")</f>
        <v>4.8099738482205202E-2</v>
      </c>
      <c r="I603" s="4" t="e" cm="1">
        <f t="array" ref="I603">IF(NOT(ISBLANK(A603)),((_xlfn.XLOOKUP(1,(_bbt3[[#All],[ID]]=A603)*(_bbt3[[#All],[METRIC_NAME]]="YLD_YTM_ASK"),_bbt3[[#All],[METRIC_VALUE]])*0.5)+(_xlfn.XLOOKUP(1,(_bbt3[[#All],[ID]]=A603)*(_bbt3[[#All],[METRIC_NAME]]="YLD_YTM_BID"),_bbt3[[#All],[METRIC_VALUE]])*0.5))/100,"")</f>
        <v>#N/A</v>
      </c>
      <c r="J603">
        <f>IF(ISNA(VLOOKUP(A603,'CloseDL - PriceSaverBBT3'!A:E,5,0)),0,VLOOKUP(A603,'CloseDL - PriceSaverBBT3'!A:E,5,0))</f>
        <v>4.8099738482205202E-2</v>
      </c>
      <c r="K603" s="7">
        <f t="shared" si="93"/>
        <v>0</v>
      </c>
      <c r="L603" s="20">
        <f>IF(Close[[#This Row],[CreatedBy]]="MARINER\SilverAdm",1,0)</f>
        <v>1</v>
      </c>
      <c r="M603" t="str">
        <f>IF(NOT(ISBLANK(A603)),VLOOKUP(A603,'Close - PriceSaver'!A:J,6,0),"")</f>
        <v>DL input prc = 60.51850904  PX_ASK = 60.65588535 PX_BID = 60.38113272</v>
      </c>
      <c r="Q603" t="e">
        <f t="shared" si="85"/>
        <v>#N/A</v>
      </c>
      <c r="R603" t="e">
        <f t="shared" si="86"/>
        <v>#N/A</v>
      </c>
      <c r="S603" t="e">
        <f t="shared" si="87"/>
        <v>#N/A</v>
      </c>
      <c r="T603" s="15" t="e">
        <f t="shared" si="88"/>
        <v>#N/A</v>
      </c>
      <c r="U603" s="18" t="e">
        <f t="shared" si="89"/>
        <v>#N/A</v>
      </c>
      <c r="V603" s="18" t="e">
        <f t="shared" si="90"/>
        <v>#N/A</v>
      </c>
      <c r="W603" s="19" t="e">
        <f t="shared" si="91"/>
        <v>#N/A</v>
      </c>
      <c r="X603" t="e">
        <f>VLOOKUP(P603,Close[[ID]:[CreatedBy]],8,0)</f>
        <v>#N/A</v>
      </c>
    </row>
    <row r="604" spans="1:24" x14ac:dyDescent="0.35">
      <c r="A604" t="str">
        <v>9128337Q7</v>
      </c>
      <c r="B604" t="str">
        <f>IF(NOT(ISBLANK(A604)),VLOOKUP(A604,'BBT3'!A:F,2,0),"")</f>
        <v>Bond</v>
      </c>
      <c r="C604" t="str">
        <f>IF(NOT(ISBLANK(A604)),VLOOKUP(A604,'BBT3'!A:F,3,0),"")</f>
        <v>US9128337Q77</v>
      </c>
      <c r="D604" s="5">
        <f>IF(NOT(ISBLANK(A604)),VLOOKUP(A604,'BBT3'!A:F,4,1),"")</f>
        <v>0</v>
      </c>
      <c r="E604">
        <f>IF(NOT(ISBLANK(A604)),VLOOKUP(A604,'BBT3'!A:F,5,0),"")</f>
        <v>48167</v>
      </c>
      <c r="F604" t="str">
        <f>IF(NOT(ISBLANK(A604)),VLOOKUP(A604,'BBT3'!A:F,6,0),"")</f>
        <v>N</v>
      </c>
      <c r="G604" t="str">
        <f t="shared" si="92"/>
        <v>Y</v>
      </c>
      <c r="H604">
        <f>IF(NOT(ISBLANK(A604)),VLOOKUP(A604,'Close - PriceSaver'!A:J,5,0),"")</f>
        <v>4.4690660028533898E-2</v>
      </c>
      <c r="I604" s="4" t="e" cm="1">
        <f t="array" ref="I604">IF(NOT(ISBLANK(A604)),((_xlfn.XLOOKUP(1,(_bbt3[[#All],[ID]]=A604)*(_bbt3[[#All],[METRIC_NAME]]="YLD_YTM_ASK"),_bbt3[[#All],[METRIC_VALUE]])*0.5)+(_xlfn.XLOOKUP(1,(_bbt3[[#All],[ID]]=A604)*(_bbt3[[#All],[METRIC_NAME]]="YLD_YTM_BID"),_bbt3[[#All],[METRIC_VALUE]])*0.5))/100,"")</f>
        <v>#N/A</v>
      </c>
      <c r="J604">
        <f>IF(ISNA(VLOOKUP(A604,'CloseDL - PriceSaverBBT3'!A:E,5,0)),0,VLOOKUP(A604,'CloseDL - PriceSaverBBT3'!A:E,5,0))</f>
        <v>4.4690660028533898E-2</v>
      </c>
      <c r="K604" s="7">
        <f t="shared" si="93"/>
        <v>0</v>
      </c>
      <c r="L604" s="20">
        <f>IF(Close[[#This Row],[CreatedBy]]="MARINER\SilverAdm",1,0)</f>
        <v>1</v>
      </c>
      <c r="M604" t="str">
        <f>IF(NOT(ISBLANK(A604)),VLOOKUP(A604,'Close - PriceSaver'!A:J,6,0),"")</f>
        <v>DL input prc = 79.05919791  PX_ASK = 79.15373483 PX_BID = 78.96466098</v>
      </c>
      <c r="Q604" t="e">
        <f t="shared" si="85"/>
        <v>#N/A</v>
      </c>
      <c r="R604" t="e">
        <f t="shared" si="86"/>
        <v>#N/A</v>
      </c>
      <c r="S604" t="e">
        <f t="shared" si="87"/>
        <v>#N/A</v>
      </c>
      <c r="T604" s="15" t="e">
        <f t="shared" si="88"/>
        <v>#N/A</v>
      </c>
      <c r="U604" s="18" t="e">
        <f t="shared" si="89"/>
        <v>#N/A</v>
      </c>
      <c r="V604" s="18" t="e">
        <f t="shared" si="90"/>
        <v>#N/A</v>
      </c>
      <c r="W604" s="19" t="e">
        <f t="shared" si="91"/>
        <v>#N/A</v>
      </c>
      <c r="X604" t="e">
        <f>VLOOKUP(P604,Close[[ID]:[CreatedBy]],8,0)</f>
        <v>#N/A</v>
      </c>
    </row>
    <row r="605" spans="1:24" x14ac:dyDescent="0.35">
      <c r="A605" t="str">
        <v>9128337R5</v>
      </c>
      <c r="B605" t="str">
        <f>IF(NOT(ISBLANK(A605)),VLOOKUP(A605,'BBT3'!A:F,2,0),"")</f>
        <v>Bond</v>
      </c>
      <c r="C605" t="str">
        <f>IF(NOT(ISBLANK(A605)),VLOOKUP(A605,'BBT3'!A:F,3,0),"")</f>
        <v>US9128337R50</v>
      </c>
      <c r="D605" s="5">
        <f>IF(NOT(ISBLANK(A605)),VLOOKUP(A605,'BBT3'!A:F,4,1),"")</f>
        <v>0</v>
      </c>
      <c r="E605">
        <f>IF(NOT(ISBLANK(A605)),VLOOKUP(A605,'BBT3'!A:F,5,0),"")</f>
        <v>48349</v>
      </c>
      <c r="F605" t="str">
        <f>IF(NOT(ISBLANK(A605)),VLOOKUP(A605,'BBT3'!A:F,6,0),"")</f>
        <v>N</v>
      </c>
      <c r="G605" t="str">
        <f t="shared" si="92"/>
        <v>Y</v>
      </c>
      <c r="H605">
        <f>IF(NOT(ISBLANK(A605)),VLOOKUP(A605,'Close - PriceSaver'!A:J,5,0),"")</f>
        <v>4.5027903737984203E-2</v>
      </c>
      <c r="I605" s="4" t="e" cm="1">
        <f t="array" ref="I605">IF(NOT(ISBLANK(A605)),((_xlfn.XLOOKUP(1,(_bbt3[[#All],[ID]]=A605)*(_bbt3[[#All],[METRIC_NAME]]="YLD_YTM_ASK"),_bbt3[[#All],[METRIC_VALUE]])*0.5)+(_xlfn.XLOOKUP(1,(_bbt3[[#All],[ID]]=A605)*(_bbt3[[#All],[METRIC_NAME]]="YLD_YTM_BID"),_bbt3[[#All],[METRIC_VALUE]])*0.5))/100,"")</f>
        <v>#N/A</v>
      </c>
      <c r="J605">
        <f>IF(ISNA(VLOOKUP(A605,'CloseDL - PriceSaverBBT3'!A:E,5,0)),0,VLOOKUP(A605,'CloseDL - PriceSaverBBT3'!A:E,5,0))</f>
        <v>4.5027903737984203E-2</v>
      </c>
      <c r="K605" s="7">
        <f t="shared" si="93"/>
        <v>0</v>
      </c>
      <c r="L605" s="20">
        <f>IF(Close[[#This Row],[CreatedBy]]="MARINER\SilverAdm",1,0)</f>
        <v>1</v>
      </c>
      <c r="M605" t="str">
        <f>IF(NOT(ISBLANK(A605)),VLOOKUP(A605,'Close - PriceSaver'!A:J,6,0),"")</f>
        <v>DL input prc = 77.19243294  PX_ASK = 77.28681999 PX_BID = 77.09804588</v>
      </c>
      <c r="Q605" t="e">
        <f t="shared" si="85"/>
        <v>#N/A</v>
      </c>
      <c r="R605" t="e">
        <f t="shared" si="86"/>
        <v>#N/A</v>
      </c>
      <c r="S605" t="e">
        <f t="shared" si="87"/>
        <v>#N/A</v>
      </c>
      <c r="T605" s="15" t="e">
        <f t="shared" si="88"/>
        <v>#N/A</v>
      </c>
      <c r="U605" s="18" t="e">
        <f t="shared" si="89"/>
        <v>#N/A</v>
      </c>
      <c r="V605" s="18" t="e">
        <f t="shared" si="90"/>
        <v>#N/A</v>
      </c>
      <c r="W605" s="19" t="e">
        <f t="shared" si="91"/>
        <v>#N/A</v>
      </c>
      <c r="X605" t="e">
        <f>VLOOKUP(P605,Close[[ID]:[CreatedBy]],8,0)</f>
        <v>#N/A</v>
      </c>
    </row>
    <row r="606" spans="1:24" x14ac:dyDescent="0.35">
      <c r="A606" t="str">
        <v>9128337S3</v>
      </c>
      <c r="B606" t="str">
        <f>IF(NOT(ISBLANK(A606)),VLOOKUP(A606,'BBT3'!A:F,2,0),"")</f>
        <v>Bond</v>
      </c>
      <c r="C606" t="str">
        <f>IF(NOT(ISBLANK(A606)),VLOOKUP(A606,'BBT3'!A:F,3,0),"")</f>
        <v>US9128337S34</v>
      </c>
      <c r="D606" s="5">
        <f>IF(NOT(ISBLANK(A606)),VLOOKUP(A606,'BBT3'!A:F,4,1),"")</f>
        <v>0</v>
      </c>
      <c r="E606">
        <f>IF(NOT(ISBLANK(A606)),VLOOKUP(A606,'BBT3'!A:F,5,0),"")</f>
        <v>48533</v>
      </c>
      <c r="F606" t="str">
        <f>IF(NOT(ISBLANK(A606)),VLOOKUP(A606,'BBT3'!A:F,6,0),"")</f>
        <v>N</v>
      </c>
      <c r="G606" t="str">
        <f t="shared" si="92"/>
        <v>Y</v>
      </c>
      <c r="H606">
        <f>IF(NOT(ISBLANK(A606)),VLOOKUP(A606,'Close - PriceSaver'!A:J,5,0),"")</f>
        <v>4.5297005493887002E-2</v>
      </c>
      <c r="I606" s="4" t="e" cm="1">
        <f t="array" ref="I606">IF(NOT(ISBLANK(A606)),((_xlfn.XLOOKUP(1,(_bbt3[[#All],[ID]]=A606)*(_bbt3[[#All],[METRIC_NAME]]="YLD_YTM_ASK"),_bbt3[[#All],[METRIC_VALUE]])*0.5)+(_xlfn.XLOOKUP(1,(_bbt3[[#All],[ID]]=A606)*(_bbt3[[#All],[METRIC_NAME]]="YLD_YTM_BID"),_bbt3[[#All],[METRIC_VALUE]])*0.5))/100,"")</f>
        <v>#N/A</v>
      </c>
      <c r="J606">
        <f>IF(ISNA(VLOOKUP(A606,'CloseDL - PriceSaverBBT3'!A:E,5,0)),0,VLOOKUP(A606,'CloseDL - PriceSaverBBT3'!A:E,5,0))</f>
        <v>4.5297005493887002E-2</v>
      </c>
      <c r="K606" s="7">
        <f t="shared" si="93"/>
        <v>0</v>
      </c>
      <c r="L606" s="20">
        <f>IF(Close[[#This Row],[CreatedBy]]="MARINER\SilverAdm",1,0)</f>
        <v>1</v>
      </c>
      <c r="M606" t="str">
        <f>IF(NOT(ISBLANK(A606)),VLOOKUP(A606,'Close - PriceSaver'!A:J,6,0),"")</f>
        <v>DL input prc = 75.35819331  PX_ASK = 75.45824603 PX_BID = 75.25814059</v>
      </c>
      <c r="Q606" t="e">
        <f t="shared" si="85"/>
        <v>#N/A</v>
      </c>
      <c r="R606" t="e">
        <f t="shared" si="86"/>
        <v>#N/A</v>
      </c>
      <c r="S606" t="e">
        <f t="shared" si="87"/>
        <v>#N/A</v>
      </c>
      <c r="T606" s="15" t="e">
        <f t="shared" si="88"/>
        <v>#N/A</v>
      </c>
      <c r="U606" s="18" t="e">
        <f t="shared" si="89"/>
        <v>#N/A</v>
      </c>
      <c r="V606" s="18" t="e">
        <f t="shared" si="90"/>
        <v>#N/A</v>
      </c>
      <c r="W606" s="19" t="e">
        <f t="shared" si="91"/>
        <v>#N/A</v>
      </c>
      <c r="X606" t="e">
        <f>VLOOKUP(P606,Close[[ID]:[CreatedBy]],8,0)</f>
        <v>#N/A</v>
      </c>
    </row>
    <row r="607" spans="1:24" x14ac:dyDescent="0.35">
      <c r="A607" t="str">
        <v>9128337T1</v>
      </c>
      <c r="B607" t="str">
        <f>IF(NOT(ISBLANK(A607)),VLOOKUP(A607,'BBT3'!A:F,2,0),"")</f>
        <v>Bond</v>
      </c>
      <c r="C607" t="str">
        <f>IF(NOT(ISBLANK(A607)),VLOOKUP(A607,'BBT3'!A:F,3,0),"")</f>
        <v>US9128337T17</v>
      </c>
      <c r="D607" s="5">
        <f>IF(NOT(ISBLANK(A607)),VLOOKUP(A607,'BBT3'!A:F,4,1),"")</f>
        <v>0</v>
      </c>
      <c r="E607">
        <f>IF(NOT(ISBLANK(A607)),VLOOKUP(A607,'BBT3'!A:F,5,0),"")</f>
        <v>48714</v>
      </c>
      <c r="F607" t="str">
        <f>IF(NOT(ISBLANK(A607)),VLOOKUP(A607,'BBT3'!A:F,6,0),"")</f>
        <v>N</v>
      </c>
      <c r="G607" t="str">
        <f t="shared" si="92"/>
        <v>Y</v>
      </c>
      <c r="H607">
        <f>IF(NOT(ISBLANK(A607)),VLOOKUP(A607,'Close - PriceSaver'!A:J,5,0),"")</f>
        <v>4.56255704047707E-2</v>
      </c>
      <c r="I607" s="4" t="e" cm="1">
        <f t="array" ref="I607">IF(NOT(ISBLANK(A607)),((_xlfn.XLOOKUP(1,(_bbt3[[#All],[ID]]=A607)*(_bbt3[[#All],[METRIC_NAME]]="YLD_YTM_ASK"),_bbt3[[#All],[METRIC_VALUE]])*0.5)+(_xlfn.XLOOKUP(1,(_bbt3[[#All],[ID]]=A607)*(_bbt3[[#All],[METRIC_NAME]]="YLD_YTM_BID"),_bbt3[[#All],[METRIC_VALUE]])*0.5))/100,"")</f>
        <v>#N/A</v>
      </c>
      <c r="J607">
        <f>IF(ISNA(VLOOKUP(A607,'CloseDL - PriceSaverBBT3'!A:E,5,0)),0,VLOOKUP(A607,'CloseDL - PriceSaverBBT3'!A:E,5,0))</f>
        <v>4.56255704047707E-2</v>
      </c>
      <c r="K607" s="7">
        <f t="shared" si="93"/>
        <v>0</v>
      </c>
      <c r="L607" s="20">
        <f>IF(Close[[#This Row],[CreatedBy]]="MARINER\SilverAdm",1,0)</f>
        <v>1</v>
      </c>
      <c r="M607" t="str">
        <f>IF(NOT(ISBLANK(A607)),VLOOKUP(A607,'Close - PriceSaver'!A:J,6,0),"")</f>
        <v>DL input prc = 73.54179868  PX_ASK = 73.64715494 PX_BID = 73.43644242</v>
      </c>
      <c r="Q607" t="e">
        <f t="shared" si="85"/>
        <v>#N/A</v>
      </c>
      <c r="R607" t="e">
        <f t="shared" si="86"/>
        <v>#N/A</v>
      </c>
      <c r="S607" t="e">
        <f t="shared" si="87"/>
        <v>#N/A</v>
      </c>
      <c r="T607" s="15" t="e">
        <f t="shared" si="88"/>
        <v>#N/A</v>
      </c>
      <c r="U607" s="18" t="e">
        <f t="shared" si="89"/>
        <v>#N/A</v>
      </c>
      <c r="V607" s="18" t="e">
        <f t="shared" si="90"/>
        <v>#N/A</v>
      </c>
      <c r="W607" s="19" t="e">
        <f t="shared" si="91"/>
        <v>#N/A</v>
      </c>
      <c r="X607" t="e">
        <f>VLOOKUP(P607,Close[[ID]:[CreatedBy]],8,0)</f>
        <v>#N/A</v>
      </c>
    </row>
    <row r="608" spans="1:24" x14ac:dyDescent="0.35">
      <c r="A608" t="str">
        <v>9128337U8</v>
      </c>
      <c r="B608" t="str">
        <f>IF(NOT(ISBLANK(A608)),VLOOKUP(A608,'BBT3'!A:F,2,0),"")</f>
        <v>Bond</v>
      </c>
      <c r="C608" t="str">
        <f>IF(NOT(ISBLANK(A608)),VLOOKUP(A608,'BBT3'!A:F,3,0),"")</f>
        <v>US9128337U89</v>
      </c>
      <c r="D608" s="5">
        <f>IF(NOT(ISBLANK(A608)),VLOOKUP(A608,'BBT3'!A:F,4,1),"")</f>
        <v>0</v>
      </c>
      <c r="E608">
        <f>IF(NOT(ISBLANK(A608)),VLOOKUP(A608,'BBT3'!A:F,5,0),"")</f>
        <v>48898</v>
      </c>
      <c r="F608" t="str">
        <f>IF(NOT(ISBLANK(A608)),VLOOKUP(A608,'BBT3'!A:F,6,0),"")</f>
        <v>N</v>
      </c>
      <c r="G608" t="str">
        <f t="shared" si="92"/>
        <v>Y</v>
      </c>
      <c r="H608">
        <f>IF(NOT(ISBLANK(A608)),VLOOKUP(A608,'Close - PriceSaver'!A:J,5,0),"")</f>
        <v>4.5872942228493502E-2</v>
      </c>
      <c r="I608" s="4" t="e" cm="1">
        <f t="array" ref="I608">IF(NOT(ISBLANK(A608)),((_xlfn.XLOOKUP(1,(_bbt3[[#All],[ID]]=A608)*(_bbt3[[#All],[METRIC_NAME]]="YLD_YTM_ASK"),_bbt3[[#All],[METRIC_VALUE]])*0.5)+(_xlfn.XLOOKUP(1,(_bbt3[[#All],[ID]]=A608)*(_bbt3[[#All],[METRIC_NAME]]="YLD_YTM_BID"),_bbt3[[#All],[METRIC_VALUE]])*0.5))/100,"")</f>
        <v>#N/A</v>
      </c>
      <c r="J608">
        <f>IF(ISNA(VLOOKUP(A608,'CloseDL - PriceSaverBBT3'!A:E,5,0)),0,VLOOKUP(A608,'CloseDL - PriceSaverBBT3'!A:E,5,0))</f>
        <v>4.5872942228493502E-2</v>
      </c>
      <c r="K608" s="7">
        <f t="shared" si="93"/>
        <v>0</v>
      </c>
      <c r="L608" s="20">
        <f>IF(Close[[#This Row],[CreatedBy]]="MARINER\SilverAdm",1,0)</f>
        <v>1</v>
      </c>
      <c r="M608" t="str">
        <f>IF(NOT(ISBLANK(A608)),VLOOKUP(A608,'Close - PriceSaver'!A:J,6,0),"")</f>
        <v>DL input prc = 71.76100088  PX_ASK = 71.87903104 PX_BID = 71.64297071</v>
      </c>
      <c r="Q608" t="e">
        <f t="shared" si="85"/>
        <v>#N/A</v>
      </c>
      <c r="R608" t="e">
        <f t="shared" si="86"/>
        <v>#N/A</v>
      </c>
      <c r="S608" t="e">
        <f t="shared" si="87"/>
        <v>#N/A</v>
      </c>
      <c r="T608" s="15" t="e">
        <f t="shared" si="88"/>
        <v>#N/A</v>
      </c>
      <c r="U608" s="18" t="e">
        <f t="shared" si="89"/>
        <v>#N/A</v>
      </c>
      <c r="V608" s="18" t="e">
        <f t="shared" si="90"/>
        <v>#N/A</v>
      </c>
      <c r="W608" s="19" t="e">
        <f t="shared" si="91"/>
        <v>#N/A</v>
      </c>
      <c r="X608" t="e">
        <f>VLOOKUP(P608,Close[[ID]:[CreatedBy]],8,0)</f>
        <v>#N/A</v>
      </c>
    </row>
    <row r="609" spans="1:24" x14ac:dyDescent="0.35">
      <c r="A609" t="str">
        <v>9128337V6</v>
      </c>
      <c r="B609" t="str">
        <f>IF(NOT(ISBLANK(A609)),VLOOKUP(A609,'BBT3'!A:F,2,0),"")</f>
        <v>Bond</v>
      </c>
      <c r="C609" t="str">
        <f>IF(NOT(ISBLANK(A609)),VLOOKUP(A609,'BBT3'!A:F,3,0),"")</f>
        <v>US9128337V62</v>
      </c>
      <c r="D609" s="5">
        <f>IF(NOT(ISBLANK(A609)),VLOOKUP(A609,'BBT3'!A:F,4,1),"")</f>
        <v>0</v>
      </c>
      <c r="E609">
        <f>IF(NOT(ISBLANK(A609)),VLOOKUP(A609,'BBT3'!A:F,5,0),"")</f>
        <v>49079</v>
      </c>
      <c r="F609" t="str">
        <f>IF(NOT(ISBLANK(A609)),VLOOKUP(A609,'BBT3'!A:F,6,0),"")</f>
        <v>N</v>
      </c>
      <c r="G609" t="str">
        <f t="shared" si="92"/>
        <v>Y</v>
      </c>
      <c r="H609">
        <f>IF(NOT(ISBLANK(A609)),VLOOKUP(A609,'Close - PriceSaver'!A:J,5,0),"")</f>
        <v>4.6173077487176202E-2</v>
      </c>
      <c r="I609" s="4" t="e" cm="1">
        <f t="array" ref="I609">IF(NOT(ISBLANK(A609)),((_xlfn.XLOOKUP(1,(_bbt3[[#All],[ID]]=A609)*(_bbt3[[#All],[METRIC_NAME]]="YLD_YTM_ASK"),_bbt3[[#All],[METRIC_VALUE]])*0.5)+(_xlfn.XLOOKUP(1,(_bbt3[[#All],[ID]]=A609)*(_bbt3[[#All],[METRIC_NAME]]="YLD_YTM_BID"),_bbt3[[#All],[METRIC_VALUE]])*0.5))/100,"")</f>
        <v>#N/A</v>
      </c>
      <c r="J609">
        <f>IF(ISNA(VLOOKUP(A609,'CloseDL - PriceSaverBBT3'!A:E,5,0)),0,VLOOKUP(A609,'CloseDL - PriceSaverBBT3'!A:E,5,0))</f>
        <v>4.6173077487176202E-2</v>
      </c>
      <c r="K609" s="7">
        <f t="shared" si="93"/>
        <v>0</v>
      </c>
      <c r="L609" s="20">
        <f>IF(Close[[#This Row],[CreatedBy]]="MARINER\SilverAdm",1,0)</f>
        <v>1</v>
      </c>
      <c r="M609" t="str">
        <f>IF(NOT(ISBLANK(A609)),VLOOKUP(A609,'Close - PriceSaver'!A:J,6,0),"")</f>
        <v>DL input prc = 70.00451593  PX_ASK = 70.13018430 PX_BID = 69.87884756</v>
      </c>
      <c r="Q609" t="e">
        <f t="shared" si="85"/>
        <v>#N/A</v>
      </c>
      <c r="R609" t="e">
        <f t="shared" si="86"/>
        <v>#N/A</v>
      </c>
      <c r="S609" t="e">
        <f t="shared" si="87"/>
        <v>#N/A</v>
      </c>
      <c r="T609" s="15" t="e">
        <f t="shared" si="88"/>
        <v>#N/A</v>
      </c>
      <c r="U609" s="18" t="e">
        <f t="shared" si="89"/>
        <v>#N/A</v>
      </c>
      <c r="V609" s="18" t="e">
        <f t="shared" si="90"/>
        <v>#N/A</v>
      </c>
      <c r="W609" s="19" t="e">
        <f t="shared" si="91"/>
        <v>#N/A</v>
      </c>
      <c r="X609" t="e">
        <f>VLOOKUP(P609,Close[[ID]:[CreatedBy]],8,0)</f>
        <v>#N/A</v>
      </c>
    </row>
    <row r="610" spans="1:24" x14ac:dyDescent="0.35">
      <c r="A610" t="str">
        <v>9128337W4</v>
      </c>
      <c r="B610" t="str">
        <f>IF(NOT(ISBLANK(A610)),VLOOKUP(A610,'BBT3'!A:F,2,0),"")</f>
        <v>Bond</v>
      </c>
      <c r="C610" t="str">
        <f>IF(NOT(ISBLANK(A610)),VLOOKUP(A610,'BBT3'!A:F,3,0),"")</f>
        <v>US9128337W46</v>
      </c>
      <c r="D610" s="5">
        <f>IF(NOT(ISBLANK(A610)),VLOOKUP(A610,'BBT3'!A:F,4,1),"")</f>
        <v>0</v>
      </c>
      <c r="E610">
        <f>IF(NOT(ISBLANK(A610)),VLOOKUP(A610,'BBT3'!A:F,5,0),"")</f>
        <v>49263</v>
      </c>
      <c r="F610" t="str">
        <f>IF(NOT(ISBLANK(A610)),VLOOKUP(A610,'BBT3'!A:F,6,0),"")</f>
        <v>N</v>
      </c>
      <c r="G610" t="str">
        <f t="shared" si="92"/>
        <v>Y</v>
      </c>
      <c r="H610">
        <f>IF(NOT(ISBLANK(A610)),VLOOKUP(A610,'Close - PriceSaver'!A:J,5,0),"")</f>
        <v>4.6468631027192897E-2</v>
      </c>
      <c r="I610" s="4" t="e" cm="1">
        <f t="array" ref="I610">IF(NOT(ISBLANK(A610)),((_xlfn.XLOOKUP(1,(_bbt3[[#All],[ID]]=A610)*(_bbt3[[#All],[METRIC_NAME]]="YLD_YTM_ASK"),_bbt3[[#All],[METRIC_VALUE]])*0.5)+(_xlfn.XLOOKUP(1,(_bbt3[[#All],[ID]]=A610)*(_bbt3[[#All],[METRIC_NAME]]="YLD_YTM_BID"),_bbt3[[#All],[METRIC_VALUE]])*0.5))/100,"")</f>
        <v>#N/A</v>
      </c>
      <c r="J610">
        <f>IF(ISNA(VLOOKUP(A610,'CloseDL - PriceSaverBBT3'!A:E,5,0)),0,VLOOKUP(A610,'CloseDL - PriceSaverBBT3'!A:E,5,0))</f>
        <v>4.6468631027192897E-2</v>
      </c>
      <c r="K610" s="7">
        <f t="shared" si="93"/>
        <v>0</v>
      </c>
      <c r="L610" s="20">
        <f>IF(Close[[#This Row],[CreatedBy]]="MARINER\SilverAdm",1,0)</f>
        <v>1</v>
      </c>
      <c r="M610" t="str">
        <f>IF(NOT(ISBLANK(A610)),VLOOKUP(A610,'Close - PriceSaver'!A:J,6,0),"")</f>
        <v>DL input prc = 68.24773545  PX_ASK = 68.38361400 PX_BID = 68.11185689</v>
      </c>
      <c r="Q610" t="e">
        <f t="shared" si="85"/>
        <v>#N/A</v>
      </c>
      <c r="R610" t="e">
        <f t="shared" si="86"/>
        <v>#N/A</v>
      </c>
      <c r="S610" t="e">
        <f t="shared" si="87"/>
        <v>#N/A</v>
      </c>
      <c r="T610" s="15" t="e">
        <f t="shared" si="88"/>
        <v>#N/A</v>
      </c>
      <c r="U610" s="18" t="e">
        <f t="shared" si="89"/>
        <v>#N/A</v>
      </c>
      <c r="V610" s="18" t="e">
        <f t="shared" si="90"/>
        <v>#N/A</v>
      </c>
      <c r="W610" s="19" t="e">
        <f t="shared" si="91"/>
        <v>#N/A</v>
      </c>
      <c r="X610" t="e">
        <f>VLOOKUP(P610,Close[[ID]:[CreatedBy]],8,0)</f>
        <v>#N/A</v>
      </c>
    </row>
    <row r="611" spans="1:24" x14ac:dyDescent="0.35">
      <c r="A611" t="str">
        <v>912833X88</v>
      </c>
      <c r="B611" t="str">
        <f>IF(NOT(ISBLANK(A611)),VLOOKUP(A611,'BBT3'!A:F,2,0),"")</f>
        <v>Bond</v>
      </c>
      <c r="C611" t="str">
        <f>IF(NOT(ISBLANK(A611)),VLOOKUP(A611,'BBT3'!A:F,3,0),"")</f>
        <v>US912833X885</v>
      </c>
      <c r="D611" s="5">
        <f>IF(NOT(ISBLANK(A611)),VLOOKUP(A611,'BBT3'!A:F,4,1),"")</f>
        <v>0</v>
      </c>
      <c r="E611">
        <f>IF(NOT(ISBLANK(A611)),VLOOKUP(A611,'BBT3'!A:F,5,0),"")</f>
        <v>49444</v>
      </c>
      <c r="F611" t="str">
        <f>IF(NOT(ISBLANK(A611)),VLOOKUP(A611,'BBT3'!A:F,6,0),"")</f>
        <v>N</v>
      </c>
      <c r="G611" t="str">
        <f t="shared" si="92"/>
        <v>Y</v>
      </c>
      <c r="H611">
        <f>IF(NOT(ISBLANK(A611)),VLOOKUP(A611,'Close - PriceSaver'!A:J,5,0),"")</f>
        <v>4.6791194088080003E-2</v>
      </c>
      <c r="I611" s="4" t="e" cm="1">
        <f t="array" ref="I611">IF(NOT(ISBLANK(A611)),((_xlfn.XLOOKUP(1,(_bbt3[[#All],[ID]]=A611)*(_bbt3[[#All],[METRIC_NAME]]="YLD_YTM_ASK"),_bbt3[[#All],[METRIC_VALUE]])*0.5)+(_xlfn.XLOOKUP(1,(_bbt3[[#All],[ID]]=A611)*(_bbt3[[#All],[METRIC_NAME]]="YLD_YTM_BID"),_bbt3[[#All],[METRIC_VALUE]])*0.5))/100,"")</f>
        <v>#N/A</v>
      </c>
      <c r="J611">
        <f>IF(ISNA(VLOOKUP(A611,'CloseDL - PriceSaverBBT3'!A:E,5,0)),0,VLOOKUP(A611,'CloseDL - PriceSaverBBT3'!A:E,5,0))</f>
        <v>4.6791194088080003E-2</v>
      </c>
      <c r="K611" s="7">
        <f t="shared" si="93"/>
        <v>0</v>
      </c>
      <c r="L611" s="20">
        <f>IF(Close[[#This Row],[CreatedBy]]="MARINER\SilverAdm",1,0)</f>
        <v>1</v>
      </c>
      <c r="M611" t="str">
        <f>IF(NOT(ISBLANK(A611)),VLOOKUP(A611,'Close - PriceSaver'!A:J,6,0),"")</f>
        <v>DL input prc = 66.52570262  PX_ASK = 66.66036604 PX_BID = 66.39103919</v>
      </c>
      <c r="Q611" t="e">
        <f t="shared" si="85"/>
        <v>#N/A</v>
      </c>
      <c r="R611" t="e">
        <f t="shared" si="86"/>
        <v>#N/A</v>
      </c>
      <c r="S611" t="e">
        <f t="shared" si="87"/>
        <v>#N/A</v>
      </c>
      <c r="T611" s="15" t="e">
        <f t="shared" si="88"/>
        <v>#N/A</v>
      </c>
      <c r="U611" s="18" t="e">
        <f t="shared" si="89"/>
        <v>#N/A</v>
      </c>
      <c r="V611" s="18" t="e">
        <f t="shared" si="90"/>
        <v>#N/A</v>
      </c>
      <c r="W611" s="19" t="e">
        <f t="shared" si="91"/>
        <v>#N/A</v>
      </c>
      <c r="X611" t="e">
        <f>VLOOKUP(P611,Close[[ID]:[CreatedBy]],8,0)</f>
        <v>#N/A</v>
      </c>
    </row>
    <row r="612" spans="1:24" x14ac:dyDescent="0.35">
      <c r="A612" t="str">
        <v>912833X96</v>
      </c>
      <c r="B612" t="str">
        <f>IF(NOT(ISBLANK(A612)),VLOOKUP(A612,'BBT3'!A:F,2,0),"")</f>
        <v>Bond</v>
      </c>
      <c r="C612" t="str">
        <f>IF(NOT(ISBLANK(A612)),VLOOKUP(A612,'BBT3'!A:F,3,0),"")</f>
        <v>US912833X968</v>
      </c>
      <c r="D612" s="5">
        <f>IF(NOT(ISBLANK(A612)),VLOOKUP(A612,'BBT3'!A:F,4,1),"")</f>
        <v>0</v>
      </c>
      <c r="E612">
        <f>IF(NOT(ISBLANK(A612)),VLOOKUP(A612,'BBT3'!A:F,5,0),"")</f>
        <v>49628</v>
      </c>
      <c r="F612" t="str">
        <f>IF(NOT(ISBLANK(A612)),VLOOKUP(A612,'BBT3'!A:F,6,0),"")</f>
        <v>N</v>
      </c>
      <c r="G612" t="str">
        <f t="shared" si="92"/>
        <v>Y</v>
      </c>
      <c r="H612">
        <f>IF(NOT(ISBLANK(A612)),VLOOKUP(A612,'Close - PriceSaver'!A:J,5,0),"")</f>
        <v>4.7124191546164998E-2</v>
      </c>
      <c r="I612" s="4" t="e" cm="1">
        <f t="array" ref="I612">IF(NOT(ISBLANK(A612)),((_xlfn.XLOOKUP(1,(_bbt3[[#All],[ID]]=A612)*(_bbt3[[#All],[METRIC_NAME]]="YLD_YTM_ASK"),_bbt3[[#All],[METRIC_VALUE]])*0.5)+(_xlfn.XLOOKUP(1,(_bbt3[[#All],[ID]]=A612)*(_bbt3[[#All],[METRIC_NAME]]="YLD_YTM_BID"),_bbt3[[#All],[METRIC_VALUE]])*0.5))/100,"")</f>
        <v>#N/A</v>
      </c>
      <c r="J612">
        <f>IF(ISNA(VLOOKUP(A612,'CloseDL - PriceSaverBBT3'!A:E,5,0)),0,VLOOKUP(A612,'CloseDL - PriceSaverBBT3'!A:E,5,0))</f>
        <v>4.7124191546164998E-2</v>
      </c>
      <c r="K612" s="7">
        <f t="shared" si="93"/>
        <v>0</v>
      </c>
      <c r="L612" s="20">
        <f>IF(Close[[#This Row],[CreatedBy]]="MARINER\SilverAdm",1,0)</f>
        <v>1</v>
      </c>
      <c r="M612" t="str">
        <f>IF(NOT(ISBLANK(A612)),VLOOKUP(A612,'Close - PriceSaver'!A:J,6,0),"")</f>
        <v>DL input prc = 64.79571499  PX_ASK = 64.93724039 PX_BID = 64.65418958</v>
      </c>
      <c r="Q612" t="e">
        <f t="shared" si="85"/>
        <v>#N/A</v>
      </c>
      <c r="R612" t="e">
        <f t="shared" si="86"/>
        <v>#N/A</v>
      </c>
      <c r="S612" t="e">
        <f t="shared" si="87"/>
        <v>#N/A</v>
      </c>
      <c r="T612" s="15" t="e">
        <f t="shared" si="88"/>
        <v>#N/A</v>
      </c>
      <c r="U612" s="18" t="e">
        <f t="shared" si="89"/>
        <v>#N/A</v>
      </c>
      <c r="V612" s="18" t="e">
        <f t="shared" si="90"/>
        <v>#N/A</v>
      </c>
      <c r="W612" s="19" t="e">
        <f t="shared" si="91"/>
        <v>#N/A</v>
      </c>
      <c r="X612" t="e">
        <f>VLOOKUP(P612,Close[[ID]:[CreatedBy]],8,0)</f>
        <v>#N/A</v>
      </c>
    </row>
    <row r="613" spans="1:24" x14ac:dyDescent="0.35">
      <c r="A613" t="str">
        <v>912833Y20</v>
      </c>
      <c r="B613" t="str">
        <f>IF(NOT(ISBLANK(A613)),VLOOKUP(A613,'BBT3'!A:F,2,0),"")</f>
        <v>Bond</v>
      </c>
      <c r="C613" t="str">
        <f>IF(NOT(ISBLANK(A613)),VLOOKUP(A613,'BBT3'!A:F,3,0),"")</f>
        <v>US912833Y206</v>
      </c>
      <c r="D613" s="5">
        <f>IF(NOT(ISBLANK(A613)),VLOOKUP(A613,'BBT3'!A:F,4,1),"")</f>
        <v>0</v>
      </c>
      <c r="E613">
        <f>IF(NOT(ISBLANK(A613)),VLOOKUP(A613,'BBT3'!A:F,5,0),"")</f>
        <v>49810</v>
      </c>
      <c r="F613" t="str">
        <f>IF(NOT(ISBLANK(A613)),VLOOKUP(A613,'BBT3'!A:F,6,0),"")</f>
        <v>N</v>
      </c>
      <c r="G613" t="str">
        <f t="shared" si="92"/>
        <v>Y</v>
      </c>
      <c r="H613">
        <f>IF(NOT(ISBLANK(A613)),VLOOKUP(A613,'Close - PriceSaver'!A:J,5,0),"")</f>
        <v>4.7402887006555199E-2</v>
      </c>
      <c r="I613" s="4" t="e" cm="1">
        <f t="array" ref="I613">IF(NOT(ISBLANK(A613)),((_xlfn.XLOOKUP(1,(_bbt3[[#All],[ID]]=A613)*(_bbt3[[#All],[METRIC_NAME]]="YLD_YTM_ASK"),_bbt3[[#All],[METRIC_VALUE]])*0.5)+(_xlfn.XLOOKUP(1,(_bbt3[[#All],[ID]]=A613)*(_bbt3[[#All],[METRIC_NAME]]="YLD_YTM_BID"),_bbt3[[#All],[METRIC_VALUE]])*0.5))/100,"")</f>
        <v>#N/A</v>
      </c>
      <c r="J613">
        <f>IF(ISNA(VLOOKUP(A613,'CloseDL - PriceSaverBBT3'!A:E,5,0)),0,VLOOKUP(A613,'CloseDL - PriceSaverBBT3'!A:E,5,0))</f>
        <v>4.7402887006555199E-2</v>
      </c>
      <c r="K613" s="7">
        <f t="shared" si="93"/>
        <v>0</v>
      </c>
      <c r="L613" s="20">
        <f>IF(Close[[#This Row],[CreatedBy]]="MARINER\SilverAdm",1,0)</f>
        <v>1</v>
      </c>
      <c r="M613" t="str">
        <f>IF(NOT(ISBLANK(A613)),VLOOKUP(A613,'Close - PriceSaver'!A:J,6,0),"")</f>
        <v>DL input prc = 63.14330268  PX_ASK = 63.27952159 PX_BID = 63.00708376</v>
      </c>
      <c r="Q613" t="e">
        <f t="shared" si="85"/>
        <v>#N/A</v>
      </c>
      <c r="R613" t="e">
        <f t="shared" si="86"/>
        <v>#N/A</v>
      </c>
      <c r="S613" t="e">
        <f t="shared" si="87"/>
        <v>#N/A</v>
      </c>
      <c r="T613" s="15" t="e">
        <f t="shared" si="88"/>
        <v>#N/A</v>
      </c>
      <c r="U613" s="18" t="e">
        <f t="shared" si="89"/>
        <v>#N/A</v>
      </c>
      <c r="V613" s="18" t="e">
        <f t="shared" si="90"/>
        <v>#N/A</v>
      </c>
      <c r="W613" s="19" t="e">
        <f t="shared" si="91"/>
        <v>#N/A</v>
      </c>
      <c r="X613" t="e">
        <f>VLOOKUP(P613,Close[[ID]:[CreatedBy]],8,0)</f>
        <v>#N/A</v>
      </c>
    </row>
    <row r="614" spans="1:24" x14ac:dyDescent="0.35">
      <c r="A614" t="str">
        <v>912833Y38</v>
      </c>
      <c r="B614" t="str">
        <f>IF(NOT(ISBLANK(A614)),VLOOKUP(A614,'BBT3'!A:F,2,0),"")</f>
        <v>Bond</v>
      </c>
      <c r="C614" t="str">
        <f>IF(NOT(ISBLANK(A614)),VLOOKUP(A614,'BBT3'!A:F,3,0),"")</f>
        <v>US912833Y388</v>
      </c>
      <c r="D614" s="5">
        <f>IF(NOT(ISBLANK(A614)),VLOOKUP(A614,'BBT3'!A:F,4,1),"")</f>
        <v>0</v>
      </c>
      <c r="E614">
        <f>IF(NOT(ISBLANK(A614)),VLOOKUP(A614,'BBT3'!A:F,5,0),"")</f>
        <v>49994</v>
      </c>
      <c r="F614" t="str">
        <f>IF(NOT(ISBLANK(A614)),VLOOKUP(A614,'BBT3'!A:F,6,0),"")</f>
        <v>N</v>
      </c>
      <c r="G614" t="str">
        <f t="shared" si="92"/>
        <v>Y</v>
      </c>
      <c r="H614">
        <f>IF(NOT(ISBLANK(A614)),VLOOKUP(A614,'Close - PriceSaver'!A:J,5,0),"")</f>
        <v>4.79096756701098E-2</v>
      </c>
      <c r="I614" s="4" t="e" cm="1">
        <f t="array" ref="I614">IF(NOT(ISBLANK(A614)),((_xlfn.XLOOKUP(1,(_bbt3[[#All],[ID]]=A614)*(_bbt3[[#All],[METRIC_NAME]]="YLD_YTM_ASK"),_bbt3[[#All],[METRIC_VALUE]])*0.5)+(_xlfn.XLOOKUP(1,(_bbt3[[#All],[ID]]=A614)*(_bbt3[[#All],[METRIC_NAME]]="YLD_YTM_BID"),_bbt3[[#All],[METRIC_VALUE]])*0.5))/100,"")</f>
        <v>#N/A</v>
      </c>
      <c r="J614">
        <f>IF(ISNA(VLOOKUP(A614,'CloseDL - PriceSaverBBT3'!A:E,5,0)),0,VLOOKUP(A614,'CloseDL - PriceSaverBBT3'!A:E,5,0))</f>
        <v>4.79096756701098E-2</v>
      </c>
      <c r="K614" s="7">
        <f t="shared" si="93"/>
        <v>0</v>
      </c>
      <c r="L614" s="20">
        <f>IF(Close[[#This Row],[CreatedBy]]="MARINER\SilverAdm",1,0)</f>
        <v>1</v>
      </c>
      <c r="M614" t="str">
        <f>IF(NOT(ISBLANK(A614)),VLOOKUP(A614,'Close - PriceSaver'!A:J,6,0),"")</f>
        <v>DL input prc = 61.35929399  PX_ASK = 61.49219081 PX_BID = 61.22639717</v>
      </c>
      <c r="Q614" t="e">
        <f t="shared" si="85"/>
        <v>#N/A</v>
      </c>
      <c r="R614" t="e">
        <f t="shared" si="86"/>
        <v>#N/A</v>
      </c>
      <c r="S614" t="e">
        <f t="shared" si="87"/>
        <v>#N/A</v>
      </c>
      <c r="T614" s="15" t="e">
        <f t="shared" si="88"/>
        <v>#N/A</v>
      </c>
      <c r="U614" s="18" t="e">
        <f t="shared" si="89"/>
        <v>#N/A</v>
      </c>
      <c r="V614" s="18" t="e">
        <f t="shared" si="90"/>
        <v>#N/A</v>
      </c>
      <c r="W614" s="19" t="e">
        <f t="shared" si="91"/>
        <v>#N/A</v>
      </c>
      <c r="X614" t="e">
        <f>VLOOKUP(P614,Close[[ID]:[CreatedBy]],8,0)</f>
        <v>#N/A</v>
      </c>
    </row>
    <row r="615" spans="1:24" x14ac:dyDescent="0.35">
      <c r="A615" t="str">
        <v>912833Y46</v>
      </c>
      <c r="B615" t="str">
        <f>IF(NOT(ISBLANK(A615)),VLOOKUP(A615,'BBT3'!A:F,2,0),"")</f>
        <v>Bond</v>
      </c>
      <c r="C615" t="str">
        <f>IF(NOT(ISBLANK(A615)),VLOOKUP(A615,'BBT3'!A:F,3,0),"")</f>
        <v>US912833Y461</v>
      </c>
      <c r="D615" s="5">
        <f>IF(NOT(ISBLANK(A615)),VLOOKUP(A615,'BBT3'!A:F,4,1),"")</f>
        <v>0</v>
      </c>
      <c r="E615">
        <f>IF(NOT(ISBLANK(A615)),VLOOKUP(A615,'BBT3'!A:F,5,0),"")</f>
        <v>50175</v>
      </c>
      <c r="F615" t="str">
        <f>IF(NOT(ISBLANK(A615)),VLOOKUP(A615,'BBT3'!A:F,6,0),"")</f>
        <v>N</v>
      </c>
      <c r="G615" t="str">
        <f t="shared" si="92"/>
        <v>Y</v>
      </c>
      <c r="H615">
        <f>IF(NOT(ISBLANK(A615)),VLOOKUP(A615,'Close - PriceSaver'!A:J,5,0),"")</f>
        <v>4.8328617725242398E-2</v>
      </c>
      <c r="I615" s="4" t="e" cm="1">
        <f t="array" ref="I615">IF(NOT(ISBLANK(A615)),((_xlfn.XLOOKUP(1,(_bbt3[[#All],[ID]]=A615)*(_bbt3[[#All],[METRIC_NAME]]="YLD_YTM_ASK"),_bbt3[[#All],[METRIC_VALUE]])*0.5)+(_xlfn.XLOOKUP(1,(_bbt3[[#All],[ID]]=A615)*(_bbt3[[#All],[METRIC_NAME]]="YLD_YTM_BID"),_bbt3[[#All],[METRIC_VALUE]])*0.5))/100,"")</f>
        <v>#N/A</v>
      </c>
      <c r="J615">
        <f>IF(ISNA(VLOOKUP(A615,'CloseDL - PriceSaverBBT3'!A:E,5,0)),0,VLOOKUP(A615,'CloseDL - PriceSaverBBT3'!A:E,5,0))</f>
        <v>4.8328617725242398E-2</v>
      </c>
      <c r="K615" s="7">
        <f t="shared" si="93"/>
        <v>0</v>
      </c>
      <c r="L615" s="20">
        <f>IF(Close[[#This Row],[CreatedBy]]="MARINER\SilverAdm",1,0)</f>
        <v>1</v>
      </c>
      <c r="M615" t="str">
        <f>IF(NOT(ISBLANK(A615)),VLOOKUP(A615,'Close - PriceSaver'!A:J,6,0),"")</f>
        <v>DL input prc = 59.67106111  PX_ASK = 59.80023819 PX_BID = 59.54188403</v>
      </c>
      <c r="Q615" t="e">
        <f t="shared" si="85"/>
        <v>#N/A</v>
      </c>
      <c r="R615" t="e">
        <f t="shared" si="86"/>
        <v>#N/A</v>
      </c>
      <c r="S615" t="e">
        <f t="shared" si="87"/>
        <v>#N/A</v>
      </c>
      <c r="T615" s="15" t="e">
        <f t="shared" si="88"/>
        <v>#N/A</v>
      </c>
      <c r="U615" s="18" t="e">
        <f t="shared" si="89"/>
        <v>#N/A</v>
      </c>
      <c r="V615" s="18" t="e">
        <f t="shared" si="90"/>
        <v>#N/A</v>
      </c>
      <c r="W615" s="19" t="e">
        <f t="shared" si="91"/>
        <v>#N/A</v>
      </c>
      <c r="X615" t="e">
        <f>VLOOKUP(P615,Close[[ID]:[CreatedBy]],8,0)</f>
        <v>#N/A</v>
      </c>
    </row>
    <row r="616" spans="1:24" x14ac:dyDescent="0.35">
      <c r="A616" t="str">
        <v>912833Z52</v>
      </c>
      <c r="B616" t="str">
        <f>IF(NOT(ISBLANK(A616)),VLOOKUP(A616,'BBT3'!A:F,2,0),"")</f>
        <v>Bond</v>
      </c>
      <c r="C616" t="str">
        <f>IF(NOT(ISBLANK(A616)),VLOOKUP(A616,'BBT3'!A:F,3,0),"")</f>
        <v>US912833Z526</v>
      </c>
      <c r="D616" s="5">
        <f>IF(NOT(ISBLANK(A616)),VLOOKUP(A616,'BBT3'!A:F,4,1),"")</f>
        <v>0</v>
      </c>
      <c r="E616">
        <f>IF(NOT(ISBLANK(A616)),VLOOKUP(A616,'BBT3'!A:F,5,0),"")</f>
        <v>50267</v>
      </c>
      <c r="F616" t="str">
        <f>IF(NOT(ISBLANK(A616)),VLOOKUP(A616,'BBT3'!A:F,6,0),"")</f>
        <v>N</v>
      </c>
      <c r="G616" t="str">
        <f t="shared" si="92"/>
        <v>Y</v>
      </c>
      <c r="H616">
        <f>IF(NOT(ISBLANK(A616)),VLOOKUP(A616,'Close - PriceSaver'!A:J,5,0),"")</f>
        <v>4.8544714168642901E-2</v>
      </c>
      <c r="I616" s="4" t="e" cm="1">
        <f t="array" ref="I616">IF(NOT(ISBLANK(A616)),((_xlfn.XLOOKUP(1,(_bbt3[[#All],[ID]]=A616)*(_bbt3[[#All],[METRIC_NAME]]="YLD_YTM_ASK"),_bbt3[[#All],[METRIC_VALUE]])*0.5)+(_xlfn.XLOOKUP(1,(_bbt3[[#All],[ID]]=A616)*(_bbt3[[#All],[METRIC_NAME]]="YLD_YTM_BID"),_bbt3[[#All],[METRIC_VALUE]])*0.5))/100,"")</f>
        <v>#N/A</v>
      </c>
      <c r="J616">
        <f>IF(ISNA(VLOOKUP(A616,'CloseDL - PriceSaverBBT3'!A:E,5,0)),0,VLOOKUP(A616,'CloseDL - PriceSaverBBT3'!A:E,5,0))</f>
        <v>4.8544714168642901E-2</v>
      </c>
      <c r="K616" s="7">
        <f t="shared" si="93"/>
        <v>0</v>
      </c>
      <c r="L616" s="20">
        <f>IF(Close[[#This Row],[CreatedBy]]="MARINER\SilverAdm",1,0)</f>
        <v>1</v>
      </c>
      <c r="M616" t="str">
        <f>IF(NOT(ISBLANK(A616)),VLOOKUP(A616,'Close - PriceSaver'!A:J,6,0),"")</f>
        <v>DL input prc = 58.81376707  PX_ASK = 58.95673793 PX_BID = 58.67079621</v>
      </c>
      <c r="Q616" t="e">
        <f t="shared" si="85"/>
        <v>#N/A</v>
      </c>
      <c r="R616" t="e">
        <f t="shared" si="86"/>
        <v>#N/A</v>
      </c>
      <c r="S616" t="e">
        <f t="shared" si="87"/>
        <v>#N/A</v>
      </c>
      <c r="T616" s="15" t="e">
        <f t="shared" si="88"/>
        <v>#N/A</v>
      </c>
      <c r="U616" s="18" t="e">
        <f t="shared" si="89"/>
        <v>#N/A</v>
      </c>
      <c r="V616" s="18" t="e">
        <f t="shared" si="90"/>
        <v>#N/A</v>
      </c>
      <c r="W616" s="19" t="e">
        <f t="shared" si="91"/>
        <v>#N/A</v>
      </c>
      <c r="X616" t="e">
        <f>VLOOKUP(P616,Close[[ID]:[CreatedBy]],8,0)</f>
        <v>#N/A</v>
      </c>
    </row>
    <row r="617" spans="1:24" x14ac:dyDescent="0.35">
      <c r="A617" t="str">
        <v>912833Z60</v>
      </c>
      <c r="B617" t="str">
        <f>IF(NOT(ISBLANK(A617)),VLOOKUP(A617,'BBT3'!A:F,2,0),"")</f>
        <v>Bond</v>
      </c>
      <c r="C617" t="str">
        <f>IF(NOT(ISBLANK(A617)),VLOOKUP(A617,'BBT3'!A:F,3,0),"")</f>
        <v>US912833Z609</v>
      </c>
      <c r="D617" s="5">
        <f>IF(NOT(ISBLANK(A617)),VLOOKUP(A617,'BBT3'!A:F,4,1),"")</f>
        <v>0</v>
      </c>
      <c r="E617">
        <f>IF(NOT(ISBLANK(A617)),VLOOKUP(A617,'BBT3'!A:F,5,0),"")</f>
        <v>50451</v>
      </c>
      <c r="F617" t="str">
        <f>IF(NOT(ISBLANK(A617)),VLOOKUP(A617,'BBT3'!A:F,6,0),"")</f>
        <v>N</v>
      </c>
      <c r="G617" t="str">
        <f t="shared" si="92"/>
        <v>Y</v>
      </c>
      <c r="H617">
        <f>IF(NOT(ISBLANK(A617)),VLOOKUP(A617,'Close - PriceSaver'!A:J,5,0),"")</f>
        <v>4.8949688465557202E-2</v>
      </c>
      <c r="I617" s="4" t="e" cm="1">
        <f t="array" ref="I617">IF(NOT(ISBLANK(A617)),((_xlfn.XLOOKUP(1,(_bbt3[[#All],[ID]]=A617)*(_bbt3[[#All],[METRIC_NAME]]="YLD_YTM_ASK"),_bbt3[[#All],[METRIC_VALUE]])*0.5)+(_xlfn.XLOOKUP(1,(_bbt3[[#All],[ID]]=A617)*(_bbt3[[#All],[METRIC_NAME]]="YLD_YTM_BID"),_bbt3[[#All],[METRIC_VALUE]])*0.5))/100,"")</f>
        <v>#N/A</v>
      </c>
      <c r="J617">
        <f>IF(ISNA(VLOOKUP(A617,'CloseDL - PriceSaverBBT3'!A:E,5,0)),0,VLOOKUP(A617,'CloseDL - PriceSaverBBT3'!A:E,5,0))</f>
        <v>4.8949688465557202E-2</v>
      </c>
      <c r="K617" s="7">
        <f t="shared" si="93"/>
        <v>0</v>
      </c>
      <c r="L617" s="20">
        <f>IF(Close[[#This Row],[CreatedBy]]="MARINER\SilverAdm",1,0)</f>
        <v>1</v>
      </c>
      <c r="M617" t="str">
        <f>IF(NOT(ISBLANK(A617)),VLOOKUP(A617,'Close - PriceSaver'!A:J,6,0),"")</f>
        <v>DL input prc = 57.15808749  PX_ASK = 57.30650925 PX_BID = 57.00966573</v>
      </c>
      <c r="Q617" t="e">
        <f t="shared" si="85"/>
        <v>#N/A</v>
      </c>
      <c r="R617" t="e">
        <f t="shared" si="86"/>
        <v>#N/A</v>
      </c>
      <c r="S617" t="e">
        <f t="shared" si="87"/>
        <v>#N/A</v>
      </c>
      <c r="T617" s="15" t="e">
        <f t="shared" si="88"/>
        <v>#N/A</v>
      </c>
      <c r="U617" s="18" t="e">
        <f t="shared" si="89"/>
        <v>#N/A</v>
      </c>
      <c r="V617" s="18" t="e">
        <f t="shared" si="90"/>
        <v>#N/A</v>
      </c>
      <c r="W617" s="19" t="e">
        <f t="shared" si="91"/>
        <v>#N/A</v>
      </c>
      <c r="X617" t="e">
        <f>VLOOKUP(P617,Close[[ID]:[CreatedBy]],8,0)</f>
        <v>#N/A</v>
      </c>
    </row>
    <row r="618" spans="1:24" x14ac:dyDescent="0.35">
      <c r="A618" t="str">
        <v>912834AD0</v>
      </c>
      <c r="B618" t="str">
        <f>IF(NOT(ISBLANK(A618)),VLOOKUP(A618,'BBT3'!A:F,2,0),"")</f>
        <v>Bond</v>
      </c>
      <c r="C618" t="str">
        <f>IF(NOT(ISBLANK(A618)),VLOOKUP(A618,'BBT3'!A:F,3,0),"")</f>
        <v>US912834AD03</v>
      </c>
      <c r="D618" s="5">
        <f>IF(NOT(ISBLANK(A618)),VLOOKUP(A618,'BBT3'!A:F,4,1),"")</f>
        <v>0</v>
      </c>
      <c r="E618">
        <f>IF(NOT(ISBLANK(A618)),VLOOKUP(A618,'BBT3'!A:F,5,0),"")</f>
        <v>50359</v>
      </c>
      <c r="F618" t="str">
        <f>IF(NOT(ISBLANK(A618)),VLOOKUP(A618,'BBT3'!A:F,6,0),"")</f>
        <v>N</v>
      </c>
      <c r="G618" t="str">
        <f t="shared" si="92"/>
        <v>Y</v>
      </c>
      <c r="H618">
        <f>IF(NOT(ISBLANK(A618)),VLOOKUP(A618,'Close - PriceSaver'!A:J,5,0),"")</f>
        <v>4.88450466008521E-2</v>
      </c>
      <c r="I618" s="4" t="e" cm="1">
        <f t="array" ref="I618">IF(NOT(ISBLANK(A618)),((_xlfn.XLOOKUP(1,(_bbt3[[#All],[ID]]=A618)*(_bbt3[[#All],[METRIC_NAME]]="YLD_YTM_ASK"),_bbt3[[#All],[METRIC_VALUE]])*0.5)+(_xlfn.XLOOKUP(1,(_bbt3[[#All],[ID]]=A618)*(_bbt3[[#All],[METRIC_NAME]]="YLD_YTM_BID"),_bbt3[[#All],[METRIC_VALUE]])*0.5))/100,"")</f>
        <v>#N/A</v>
      </c>
      <c r="J618">
        <f>IF(ISNA(VLOOKUP(A618,'CloseDL - PriceSaverBBT3'!A:E,5,0)),0,VLOOKUP(A618,'CloseDL - PriceSaverBBT3'!A:E,5,0))</f>
        <v>4.88450466008521E-2</v>
      </c>
      <c r="K618" s="7">
        <f t="shared" si="93"/>
        <v>0</v>
      </c>
      <c r="L618" s="20">
        <f>IF(Close[[#This Row],[CreatedBy]]="MARINER\SilverAdm",1,0)</f>
        <v>1</v>
      </c>
      <c r="M618" t="str">
        <f>IF(NOT(ISBLANK(A618)),VLOOKUP(A618,'Close - PriceSaver'!A:J,6,0),"")</f>
        <v>DL input prc = 57.92023811  PX_ASK = 58.04818872 PX_BID = 57.79228750</v>
      </c>
      <c r="Q618" t="e">
        <f t="shared" si="85"/>
        <v>#N/A</v>
      </c>
      <c r="R618" t="e">
        <f t="shared" si="86"/>
        <v>#N/A</v>
      </c>
      <c r="S618" t="e">
        <f t="shared" si="87"/>
        <v>#N/A</v>
      </c>
      <c r="T618" s="15" t="e">
        <f t="shared" si="88"/>
        <v>#N/A</v>
      </c>
      <c r="U618" s="18" t="e">
        <f t="shared" si="89"/>
        <v>#N/A</v>
      </c>
      <c r="V618" s="18" t="e">
        <f t="shared" si="90"/>
        <v>#N/A</v>
      </c>
      <c r="W618" s="19" t="e">
        <f t="shared" si="91"/>
        <v>#N/A</v>
      </c>
      <c r="X618" t="e">
        <f>VLOOKUP(P618,Close[[ID]:[CreatedBy]],8,0)</f>
        <v>#N/A</v>
      </c>
    </row>
    <row r="619" spans="1:24" x14ac:dyDescent="0.35">
      <c r="A619" t="str">
        <v>912834AE8</v>
      </c>
      <c r="B619" t="str">
        <f>IF(NOT(ISBLANK(A619)),VLOOKUP(A619,'BBT3'!A:F,2,0),"")</f>
        <v>Bond</v>
      </c>
      <c r="C619" t="str">
        <f>IF(NOT(ISBLANK(A619)),VLOOKUP(A619,'BBT3'!A:F,3,0),"")</f>
        <v>US912834AE85</v>
      </c>
      <c r="D619" s="5">
        <f>IF(NOT(ISBLANK(A619)),VLOOKUP(A619,'BBT3'!A:F,4,1),"")</f>
        <v>0</v>
      </c>
      <c r="E619">
        <f>IF(NOT(ISBLANK(A619)),VLOOKUP(A619,'BBT3'!A:F,5,0),"")</f>
        <v>50540</v>
      </c>
      <c r="F619" t="str">
        <f>IF(NOT(ISBLANK(A619)),VLOOKUP(A619,'BBT3'!A:F,6,0),"")</f>
        <v>N</v>
      </c>
      <c r="G619" t="str">
        <f t="shared" si="92"/>
        <v>Y</v>
      </c>
      <c r="H619">
        <f>IF(NOT(ISBLANK(A619)),VLOOKUP(A619,'Close - PriceSaver'!A:J,5,0),"")</f>
        <v>4.9322623649883997E-2</v>
      </c>
      <c r="I619" s="4" t="e" cm="1">
        <f t="array" ref="I619">IF(NOT(ISBLANK(A619)),((_xlfn.XLOOKUP(1,(_bbt3[[#All],[ID]]=A619)*(_bbt3[[#All],[METRIC_NAME]]="YLD_YTM_ASK"),_bbt3[[#All],[METRIC_VALUE]])*0.5)+(_xlfn.XLOOKUP(1,(_bbt3[[#All],[ID]]=A619)*(_bbt3[[#All],[METRIC_NAME]]="YLD_YTM_BID"),_bbt3[[#All],[METRIC_VALUE]])*0.5))/100,"")</f>
        <v>#N/A</v>
      </c>
      <c r="J619">
        <f>IF(ISNA(VLOOKUP(A619,'CloseDL - PriceSaverBBT3'!A:E,5,0)),0,VLOOKUP(A619,'CloseDL - PriceSaverBBT3'!A:E,5,0))</f>
        <v>4.9322623649883997E-2</v>
      </c>
      <c r="K619" s="7">
        <f t="shared" si="93"/>
        <v>0</v>
      </c>
      <c r="L619" s="20">
        <f>IF(Close[[#This Row],[CreatedBy]]="MARINER\SilverAdm",1,0)</f>
        <v>1</v>
      </c>
      <c r="M619" t="str">
        <f>IF(NOT(ISBLANK(A619)),VLOOKUP(A619,'Close - PriceSaver'!A:J,6,0),"")</f>
        <v>DL input prc = 56.24019291  PX_ASK = 56.38934786 PX_BID = 56.09103796</v>
      </c>
      <c r="Q619" t="e">
        <f t="shared" si="85"/>
        <v>#N/A</v>
      </c>
      <c r="R619" t="e">
        <f t="shared" si="86"/>
        <v>#N/A</v>
      </c>
      <c r="S619" t="e">
        <f t="shared" si="87"/>
        <v>#N/A</v>
      </c>
      <c r="T619" s="15" t="e">
        <f t="shared" si="88"/>
        <v>#N/A</v>
      </c>
      <c r="U619" s="18" t="e">
        <f t="shared" si="89"/>
        <v>#N/A</v>
      </c>
      <c r="V619" s="18" t="e">
        <f t="shared" si="90"/>
        <v>#N/A</v>
      </c>
      <c r="W619" s="19" t="e">
        <f t="shared" si="91"/>
        <v>#N/A</v>
      </c>
      <c r="X619" t="e">
        <f>VLOOKUP(P619,Close[[ID]:[CreatedBy]],8,0)</f>
        <v>#N/A</v>
      </c>
    </row>
    <row r="620" spans="1:24" x14ac:dyDescent="0.35">
      <c r="A620" t="str">
        <v>912834AT5</v>
      </c>
      <c r="B620" t="str">
        <f>IF(NOT(ISBLANK(A620)),VLOOKUP(A620,'BBT3'!A:F,2,0),"")</f>
        <v>Bond</v>
      </c>
      <c r="C620" t="str">
        <f>IF(NOT(ISBLANK(A620)),VLOOKUP(A620,'BBT3'!A:F,3,0),"")</f>
        <v>US912834AT54</v>
      </c>
      <c r="D620" s="5">
        <f>IF(NOT(ISBLANK(A620)),VLOOKUP(A620,'BBT3'!A:F,4,1),"")</f>
        <v>0</v>
      </c>
      <c r="E620">
        <f>IF(NOT(ISBLANK(A620)),VLOOKUP(A620,'BBT3'!A:F,5,0),"")</f>
        <v>50632</v>
      </c>
      <c r="F620" t="str">
        <f>IF(NOT(ISBLANK(A620)),VLOOKUP(A620,'BBT3'!A:F,6,0),"")</f>
        <v>N</v>
      </c>
      <c r="G620" t="str">
        <f t="shared" si="92"/>
        <v>Y</v>
      </c>
      <c r="H620">
        <f>IF(NOT(ISBLANK(A620)),VLOOKUP(A620,'Close - PriceSaver'!A:J,5,0),"")</f>
        <v>4.94897032389814E-2</v>
      </c>
      <c r="I620" s="4" t="e" cm="1">
        <f t="array" ref="I620">IF(NOT(ISBLANK(A620)),((_xlfn.XLOOKUP(1,(_bbt3[[#All],[ID]]=A620)*(_bbt3[[#All],[METRIC_NAME]]="YLD_YTM_ASK"),_bbt3[[#All],[METRIC_VALUE]])*0.5)+(_xlfn.XLOOKUP(1,(_bbt3[[#All],[ID]]=A620)*(_bbt3[[#All],[METRIC_NAME]]="YLD_YTM_BID"),_bbt3[[#All],[METRIC_VALUE]])*0.5))/100,"")</f>
        <v>#N/A</v>
      </c>
      <c r="J620">
        <f>IF(ISNA(VLOOKUP(A620,'CloseDL - PriceSaverBBT3'!A:E,5,0)),0,VLOOKUP(A620,'CloseDL - PriceSaverBBT3'!A:E,5,0))</f>
        <v>4.94897032389814E-2</v>
      </c>
      <c r="K620" s="7">
        <f t="shared" si="93"/>
        <v>0</v>
      </c>
      <c r="L620" s="20">
        <f>IF(Close[[#This Row],[CreatedBy]]="MARINER\SilverAdm",1,0)</f>
        <v>1</v>
      </c>
      <c r="M620" t="str">
        <f>IF(NOT(ISBLANK(A620)),VLOOKUP(A620,'Close - PriceSaver'!A:J,6,0),"")</f>
        <v>DL input prc = 55.43888738  PX_ASK = 55.58250061 PX_BID = 55.29527414</v>
      </c>
      <c r="Q620" t="e">
        <f t="shared" si="85"/>
        <v>#N/A</v>
      </c>
      <c r="R620" t="e">
        <f t="shared" si="86"/>
        <v>#N/A</v>
      </c>
      <c r="S620" t="e">
        <f t="shared" si="87"/>
        <v>#N/A</v>
      </c>
      <c r="T620" s="15" t="e">
        <f t="shared" si="88"/>
        <v>#N/A</v>
      </c>
      <c r="U620" s="18" t="e">
        <f t="shared" si="89"/>
        <v>#N/A</v>
      </c>
      <c r="V620" s="18" t="e">
        <f t="shared" si="90"/>
        <v>#N/A</v>
      </c>
      <c r="W620" s="19" t="e">
        <f t="shared" si="91"/>
        <v>#N/A</v>
      </c>
      <c r="X620" t="e">
        <f>VLOOKUP(P620,Close[[ID]:[CreatedBy]],8,0)</f>
        <v>#N/A</v>
      </c>
    </row>
    <row r="621" spans="1:24" x14ac:dyDescent="0.35">
      <c r="A621" t="str">
        <v>912834AU2</v>
      </c>
      <c r="B621" t="str">
        <f>IF(NOT(ISBLANK(A621)),VLOOKUP(A621,'BBT3'!A:F,2,0),"")</f>
        <v>Bond</v>
      </c>
      <c r="C621" t="str">
        <f>IF(NOT(ISBLANK(A621)),VLOOKUP(A621,'BBT3'!A:F,3,0),"")</f>
        <v>US912834AU28</v>
      </c>
      <c r="D621" s="5">
        <f>IF(NOT(ISBLANK(A621)),VLOOKUP(A621,'BBT3'!A:F,4,1),"")</f>
        <v>0</v>
      </c>
      <c r="E621">
        <f>IF(NOT(ISBLANK(A621)),VLOOKUP(A621,'BBT3'!A:F,5,0),"")</f>
        <v>50816</v>
      </c>
      <c r="F621" t="str">
        <f>IF(NOT(ISBLANK(A621)),VLOOKUP(A621,'BBT3'!A:F,6,0),"")</f>
        <v>N</v>
      </c>
      <c r="G621" t="str">
        <f t="shared" si="92"/>
        <v>Y</v>
      </c>
      <c r="H621">
        <f>IF(NOT(ISBLANK(A621)),VLOOKUP(A621,'Close - PriceSaver'!A:J,5,0),"")</f>
        <v>4.9829329874856103E-2</v>
      </c>
      <c r="I621" s="4" t="e" cm="1">
        <f t="array" ref="I621">IF(NOT(ISBLANK(A621)),((_xlfn.XLOOKUP(1,(_bbt3[[#All],[ID]]=A621)*(_bbt3[[#All],[METRIC_NAME]]="YLD_YTM_ASK"),_bbt3[[#All],[METRIC_VALUE]])*0.5)+(_xlfn.XLOOKUP(1,(_bbt3[[#All],[ID]]=A621)*(_bbt3[[#All],[METRIC_NAME]]="YLD_YTM_BID"),_bbt3[[#All],[METRIC_VALUE]])*0.5))/100,"")</f>
        <v>#N/A</v>
      </c>
      <c r="J621">
        <f>IF(ISNA(VLOOKUP(A621,'CloseDL - PriceSaverBBT3'!A:E,5,0)),0,VLOOKUP(A621,'CloseDL - PriceSaverBBT3'!A:E,5,0))</f>
        <v>4.9829329874856103E-2</v>
      </c>
      <c r="K621" s="7">
        <f t="shared" si="93"/>
        <v>0</v>
      </c>
      <c r="L621" s="20">
        <f>IF(Close[[#This Row],[CreatedBy]]="MARINER\SilverAdm",1,0)</f>
        <v>1</v>
      </c>
      <c r="M621" t="str">
        <f>IF(NOT(ISBLANK(A621)),VLOOKUP(A621,'Close - PriceSaver'!A:J,6,0),"")</f>
        <v>DL input prc = 53.87511852  PX_ASK = 54.02043986 PX_BID = 53.72979718</v>
      </c>
      <c r="Q621" t="e">
        <f t="shared" si="85"/>
        <v>#N/A</v>
      </c>
      <c r="R621" t="e">
        <f t="shared" si="86"/>
        <v>#N/A</v>
      </c>
      <c r="S621" t="e">
        <f t="shared" si="87"/>
        <v>#N/A</v>
      </c>
      <c r="T621" s="15" t="e">
        <f t="shared" si="88"/>
        <v>#N/A</v>
      </c>
      <c r="U621" s="18" t="e">
        <f t="shared" si="89"/>
        <v>#N/A</v>
      </c>
      <c r="V621" s="18" t="e">
        <f t="shared" si="90"/>
        <v>#N/A</v>
      </c>
      <c r="W621" s="19" t="e">
        <f t="shared" si="91"/>
        <v>#N/A</v>
      </c>
      <c r="X621" t="e">
        <f>VLOOKUP(P621,Close[[ID]:[CreatedBy]],8,0)</f>
        <v>#N/A</v>
      </c>
    </row>
    <row r="622" spans="1:24" x14ac:dyDescent="0.35">
      <c r="A622" t="str">
        <v>912834DU9</v>
      </c>
      <c r="B622" t="str">
        <f>IF(NOT(ISBLANK(A622)),VLOOKUP(A622,'BBT3'!A:F,2,0),"")</f>
        <v>Bond</v>
      </c>
      <c r="C622" t="str">
        <f>IF(NOT(ISBLANK(A622)),VLOOKUP(A622,'BBT3'!A:F,3,0),"")</f>
        <v>US912834DU90</v>
      </c>
      <c r="D622" s="5">
        <f>IF(NOT(ISBLANK(A622)),VLOOKUP(A622,'BBT3'!A:F,4,1),"")</f>
        <v>0</v>
      </c>
      <c r="E622">
        <f>IF(NOT(ISBLANK(A622)),VLOOKUP(A622,'BBT3'!A:F,5,0),"")</f>
        <v>50724</v>
      </c>
      <c r="F622" t="str">
        <f>IF(NOT(ISBLANK(A622)),VLOOKUP(A622,'BBT3'!A:F,6,0),"")</f>
        <v>N</v>
      </c>
      <c r="G622" t="str">
        <f t="shared" si="92"/>
        <v>Y</v>
      </c>
      <c r="H622">
        <f>IF(NOT(ISBLANK(A622)),VLOOKUP(A622,'Close - PriceSaver'!A:J,5,0),"")</f>
        <v>4.9754683485433299E-2</v>
      </c>
      <c r="I622" s="4" t="e" cm="1">
        <f t="array" ref="I622">IF(NOT(ISBLANK(A622)),((_xlfn.XLOOKUP(1,(_bbt3[[#All],[ID]]=A622)*(_bbt3[[#All],[METRIC_NAME]]="YLD_YTM_ASK"),_bbt3[[#All],[METRIC_VALUE]])*0.5)+(_xlfn.XLOOKUP(1,(_bbt3[[#All],[ID]]=A622)*(_bbt3[[#All],[METRIC_NAME]]="YLD_YTM_BID"),_bbt3[[#All],[METRIC_VALUE]])*0.5))/100,"")</f>
        <v>#N/A</v>
      </c>
      <c r="J622">
        <f>IF(ISNA(VLOOKUP(A622,'CloseDL - PriceSaverBBT3'!A:E,5,0)),0,VLOOKUP(A622,'CloseDL - PriceSaverBBT3'!A:E,5,0))</f>
        <v>4.9754683485433299E-2</v>
      </c>
      <c r="K622" s="7">
        <f t="shared" si="93"/>
        <v>0</v>
      </c>
      <c r="L622" s="20">
        <f>IF(Close[[#This Row],[CreatedBy]]="MARINER\SilverAdm",1,0)</f>
        <v>1</v>
      </c>
      <c r="M622" t="str">
        <f>IF(NOT(ISBLANK(A622)),VLOOKUP(A622,'Close - PriceSaver'!A:J,6,0),"")</f>
        <v>DL input prc = 54.59422012  PX_ASK = 54.74182416 PX_BID = 54.44661608</v>
      </c>
      <c r="Q622" t="e">
        <f t="shared" si="85"/>
        <v>#N/A</v>
      </c>
      <c r="R622" t="e">
        <f t="shared" si="86"/>
        <v>#N/A</v>
      </c>
      <c r="S622" t="e">
        <f t="shared" si="87"/>
        <v>#N/A</v>
      </c>
      <c r="T622" s="15" t="e">
        <f t="shared" si="88"/>
        <v>#N/A</v>
      </c>
      <c r="U622" s="18" t="e">
        <f t="shared" si="89"/>
        <v>#N/A</v>
      </c>
      <c r="V622" s="18" t="e">
        <f t="shared" si="90"/>
        <v>#N/A</v>
      </c>
      <c r="W622" s="19" t="e">
        <f t="shared" si="91"/>
        <v>#N/A</v>
      </c>
      <c r="X622" t="e">
        <f>VLOOKUP(P622,Close[[ID]:[CreatedBy]],8,0)</f>
        <v>#N/A</v>
      </c>
    </row>
    <row r="623" spans="1:24" x14ac:dyDescent="0.35">
      <c r="A623" t="str">
        <v>912834DV7</v>
      </c>
      <c r="B623" t="str">
        <f>IF(NOT(ISBLANK(A623)),VLOOKUP(A623,'BBT3'!A:F,2,0),"")</f>
        <v>Bond</v>
      </c>
      <c r="C623" t="str">
        <f>IF(NOT(ISBLANK(A623)),VLOOKUP(A623,'BBT3'!A:F,3,0),"")</f>
        <v>US912834DV73</v>
      </c>
      <c r="D623" s="5">
        <f>IF(NOT(ISBLANK(A623)),VLOOKUP(A623,'BBT3'!A:F,4,1),"")</f>
        <v>0</v>
      </c>
      <c r="E623">
        <f>IF(NOT(ISBLANK(A623)),VLOOKUP(A623,'BBT3'!A:F,5,0),"")</f>
        <v>50905</v>
      </c>
      <c r="F623" t="str">
        <f>IF(NOT(ISBLANK(A623)),VLOOKUP(A623,'BBT3'!A:F,6,0),"")</f>
        <v>N</v>
      </c>
      <c r="G623" t="str">
        <f t="shared" si="92"/>
        <v>Y</v>
      </c>
      <c r="H623">
        <f>IF(NOT(ISBLANK(A623)),VLOOKUP(A623,'Close - PriceSaver'!A:J,5,0),"")</f>
        <v>5.00946711905935E-2</v>
      </c>
      <c r="I623" s="4" t="e" cm="1">
        <f t="array" ref="I623">IF(NOT(ISBLANK(A623)),((_xlfn.XLOOKUP(1,(_bbt3[[#All],[ID]]=A623)*(_bbt3[[#All],[METRIC_NAME]]="YLD_YTM_ASK"),_bbt3[[#All],[METRIC_VALUE]])*0.5)+(_xlfn.XLOOKUP(1,(_bbt3[[#All],[ID]]=A623)*(_bbt3[[#All],[METRIC_NAME]]="YLD_YTM_BID"),_bbt3[[#All],[METRIC_VALUE]])*0.5))/100,"")</f>
        <v>#N/A</v>
      </c>
      <c r="J623">
        <f>IF(ISNA(VLOOKUP(A623,'CloseDL - PriceSaverBBT3'!A:E,5,0)),0,VLOOKUP(A623,'CloseDL - PriceSaverBBT3'!A:E,5,0))</f>
        <v>5.00946711905935E-2</v>
      </c>
      <c r="K623" s="7">
        <f t="shared" si="93"/>
        <v>0</v>
      </c>
      <c r="L623" s="20">
        <f>IF(Close[[#This Row],[CreatedBy]]="MARINER\SilverAdm",1,0)</f>
        <v>1</v>
      </c>
      <c r="M623" t="str">
        <f>IF(NOT(ISBLANK(A623)),VLOOKUP(A623,'Close - PriceSaver'!A:J,6,0),"")</f>
        <v>DL input prc = 53.04306739  PX_ASK = 53.19227535 PX_BID = 52.89385943</v>
      </c>
      <c r="Q623" t="e">
        <f t="shared" si="85"/>
        <v>#N/A</v>
      </c>
      <c r="R623" t="e">
        <f t="shared" si="86"/>
        <v>#N/A</v>
      </c>
      <c r="S623" t="e">
        <f t="shared" si="87"/>
        <v>#N/A</v>
      </c>
      <c r="T623" s="15" t="e">
        <f t="shared" si="88"/>
        <v>#N/A</v>
      </c>
      <c r="U623" s="18" t="e">
        <f t="shared" si="89"/>
        <v>#N/A</v>
      </c>
      <c r="V623" s="18" t="e">
        <f t="shared" si="90"/>
        <v>#N/A</v>
      </c>
      <c r="W623" s="19" t="e">
        <f t="shared" si="91"/>
        <v>#N/A</v>
      </c>
      <c r="X623" t="e">
        <f>VLOOKUP(P623,Close[[ID]:[CreatedBy]],8,0)</f>
        <v>#N/A</v>
      </c>
    </row>
    <row r="624" spans="1:24" x14ac:dyDescent="0.35">
      <c r="A624" t="str">
        <v>912834EP9</v>
      </c>
      <c r="B624" t="str">
        <f>IF(NOT(ISBLANK(A624)),VLOOKUP(A624,'BBT3'!A:F,2,0),"")</f>
        <v>Bond</v>
      </c>
      <c r="C624" t="str">
        <f>IF(NOT(ISBLANK(A624)),VLOOKUP(A624,'BBT3'!A:F,3,0),"")</f>
        <v>US912834EP96</v>
      </c>
      <c r="D624" s="5">
        <f>IF(NOT(ISBLANK(A624)),VLOOKUP(A624,'BBT3'!A:F,4,1),"")</f>
        <v>0</v>
      </c>
      <c r="E624">
        <f>IF(NOT(ISBLANK(A624)),VLOOKUP(A624,'BBT3'!A:F,5,0),"")</f>
        <v>50997</v>
      </c>
      <c r="F624" t="str">
        <f>IF(NOT(ISBLANK(A624)),VLOOKUP(A624,'BBT3'!A:F,6,0),"")</f>
        <v>N</v>
      </c>
      <c r="G624" t="str">
        <f t="shared" si="92"/>
        <v>Y</v>
      </c>
      <c r="H624">
        <f>IF(NOT(ISBLANK(A624)),VLOOKUP(A624,'Close - PriceSaver'!A:J,5,0),"")</f>
        <v>5.0269708202734402E-2</v>
      </c>
      <c r="I624" s="4" t="e" cm="1">
        <f t="array" ref="I624">IF(NOT(ISBLANK(A624)),((_xlfn.XLOOKUP(1,(_bbt3[[#All],[ID]]=A624)*(_bbt3[[#All],[METRIC_NAME]]="YLD_YTM_ASK"),_bbt3[[#All],[METRIC_VALUE]])*0.5)+(_xlfn.XLOOKUP(1,(_bbt3[[#All],[ID]]=A624)*(_bbt3[[#All],[METRIC_NAME]]="YLD_YTM_BID"),_bbt3[[#All],[METRIC_VALUE]])*0.5))/100,"")</f>
        <v>#N/A</v>
      </c>
      <c r="J624">
        <f>IF(ISNA(VLOOKUP(A624,'CloseDL - PriceSaverBBT3'!A:E,5,0)),0,VLOOKUP(A624,'CloseDL - PriceSaverBBT3'!A:E,5,0))</f>
        <v>5.0269708202734402E-2</v>
      </c>
      <c r="K624" s="7">
        <f t="shared" si="93"/>
        <v>0</v>
      </c>
      <c r="L624" s="20">
        <f>IF(Close[[#This Row],[CreatedBy]]="MARINER\SilverAdm",1,0)</f>
        <v>1</v>
      </c>
      <c r="M624" t="str">
        <f>IF(NOT(ISBLANK(A624)),VLOOKUP(A624,'Close - PriceSaver'!A:J,6,0),"")</f>
        <v>DL input prc = 52.27144262  PX_ASK = 52.41135439 PX_BID = 52.13153085</v>
      </c>
      <c r="Q624" t="e">
        <f t="shared" si="85"/>
        <v>#N/A</v>
      </c>
      <c r="R624" t="e">
        <f t="shared" si="86"/>
        <v>#N/A</v>
      </c>
      <c r="S624" t="e">
        <f t="shared" si="87"/>
        <v>#N/A</v>
      </c>
      <c r="T624" s="15" t="e">
        <f t="shared" si="88"/>
        <v>#N/A</v>
      </c>
      <c r="U624" s="18" t="e">
        <f t="shared" si="89"/>
        <v>#N/A</v>
      </c>
      <c r="V624" s="18" t="e">
        <f t="shared" si="90"/>
        <v>#N/A</v>
      </c>
      <c r="W624" s="19" t="e">
        <f t="shared" si="91"/>
        <v>#N/A</v>
      </c>
      <c r="X624" t="e">
        <f>VLOOKUP(P624,Close[[ID]:[CreatedBy]],8,0)</f>
        <v>#N/A</v>
      </c>
    </row>
    <row r="625" spans="1:24" x14ac:dyDescent="0.35">
      <c r="A625" t="str">
        <v>912834EV6</v>
      </c>
      <c r="B625" t="str">
        <f>IF(NOT(ISBLANK(A625)),VLOOKUP(A625,'BBT3'!A:F,2,0),"")</f>
        <v>Bond</v>
      </c>
      <c r="C625" t="str">
        <f>IF(NOT(ISBLANK(A625)),VLOOKUP(A625,'BBT3'!A:F,3,0),"")</f>
        <v>US912834EV64</v>
      </c>
      <c r="D625" s="5">
        <f>IF(NOT(ISBLANK(A625)),VLOOKUP(A625,'BBT3'!A:F,4,1),"")</f>
        <v>0</v>
      </c>
      <c r="E625">
        <f>IF(NOT(ISBLANK(A625)),VLOOKUP(A625,'BBT3'!A:F,5,0),"")</f>
        <v>51089</v>
      </c>
      <c r="F625" t="str">
        <f>IF(NOT(ISBLANK(A625)),VLOOKUP(A625,'BBT3'!A:F,6,0),"")</f>
        <v>N</v>
      </c>
      <c r="G625" t="str">
        <f t="shared" si="92"/>
        <v>Y</v>
      </c>
      <c r="H625">
        <f>IF(NOT(ISBLANK(A625)),VLOOKUP(A625,'Close - PriceSaver'!A:J,5,0),"")</f>
        <v>5.0494716856234301E-2</v>
      </c>
      <c r="I625" s="4" t="e" cm="1">
        <f t="array" ref="I625">IF(NOT(ISBLANK(A625)),((_xlfn.XLOOKUP(1,(_bbt3[[#All],[ID]]=A625)*(_bbt3[[#All],[METRIC_NAME]]="YLD_YTM_ASK"),_bbt3[[#All],[METRIC_VALUE]])*0.5)+(_xlfn.XLOOKUP(1,(_bbt3[[#All],[ID]]=A625)*(_bbt3[[#All],[METRIC_NAME]]="YLD_YTM_BID"),_bbt3[[#All],[METRIC_VALUE]])*0.5))/100,"")</f>
        <v>#N/A</v>
      </c>
      <c r="J625">
        <f>IF(ISNA(VLOOKUP(A625,'CloseDL - PriceSaverBBT3'!A:E,5,0)),0,VLOOKUP(A625,'CloseDL - PriceSaverBBT3'!A:E,5,0))</f>
        <v>5.0494716856234301E-2</v>
      </c>
      <c r="K625" s="7">
        <f t="shared" si="93"/>
        <v>0</v>
      </c>
      <c r="L625" s="20">
        <f>IF(Close[[#This Row],[CreatedBy]]="MARINER\SilverAdm",1,0)</f>
        <v>1</v>
      </c>
      <c r="M625" t="str">
        <f>IF(NOT(ISBLANK(A625)),VLOOKUP(A625,'Close - PriceSaver'!A:J,6,0),"")</f>
        <v>DL input prc = 51.47876305  PX_ASK = 51.61581981 PX_BID = 51.34170628</v>
      </c>
      <c r="Q625" t="e">
        <f t="shared" si="85"/>
        <v>#N/A</v>
      </c>
      <c r="R625" t="e">
        <f t="shared" si="86"/>
        <v>#N/A</v>
      </c>
      <c r="S625" t="e">
        <f t="shared" si="87"/>
        <v>#N/A</v>
      </c>
      <c r="T625" s="15" t="e">
        <f t="shared" si="88"/>
        <v>#N/A</v>
      </c>
      <c r="U625" s="18" t="e">
        <f t="shared" si="89"/>
        <v>#N/A</v>
      </c>
      <c r="V625" s="18" t="e">
        <f t="shared" si="90"/>
        <v>#N/A</v>
      </c>
      <c r="W625" s="19" t="e">
        <f t="shared" si="91"/>
        <v>#N/A</v>
      </c>
      <c r="X625" t="e">
        <f>VLOOKUP(P625,Close[[ID]:[CreatedBy]],8,0)</f>
        <v>#N/A</v>
      </c>
    </row>
    <row r="626" spans="1:24" x14ac:dyDescent="0.35">
      <c r="A626" t="str">
        <v>912834FB9</v>
      </c>
      <c r="B626" t="str">
        <f>IF(NOT(ISBLANK(A626)),VLOOKUP(A626,'BBT3'!A:F,2,0),"")</f>
        <v>Bond</v>
      </c>
      <c r="C626" t="str">
        <f>IF(NOT(ISBLANK(A626)),VLOOKUP(A626,'BBT3'!A:F,3,0),"")</f>
        <v>US912834FB91</v>
      </c>
      <c r="D626" s="5">
        <f>IF(NOT(ISBLANK(A626)),VLOOKUP(A626,'BBT3'!A:F,4,1),"")</f>
        <v>0</v>
      </c>
      <c r="E626">
        <f>IF(NOT(ISBLANK(A626)),VLOOKUP(A626,'BBT3'!A:F,5,0),"")</f>
        <v>51181</v>
      </c>
      <c r="F626" t="str">
        <f>IF(NOT(ISBLANK(A626)),VLOOKUP(A626,'BBT3'!A:F,6,0),"")</f>
        <v>N</v>
      </c>
      <c r="G626" t="str">
        <f t="shared" si="92"/>
        <v>Y</v>
      </c>
      <c r="H626">
        <f>IF(NOT(ISBLANK(A626)),VLOOKUP(A626,'Close - PriceSaver'!A:J,5,0),"")</f>
        <v>5.0769526837359101E-2</v>
      </c>
      <c r="I626" s="4" t="e" cm="1">
        <f t="array" ref="I626">IF(NOT(ISBLANK(A626)),((_xlfn.XLOOKUP(1,(_bbt3[[#All],[ID]]=A626)*(_bbt3[[#All],[METRIC_NAME]]="YLD_YTM_ASK"),_bbt3[[#All],[METRIC_VALUE]])*0.5)+(_xlfn.XLOOKUP(1,(_bbt3[[#All],[ID]]=A626)*(_bbt3[[#All],[METRIC_NAME]]="YLD_YTM_BID"),_bbt3[[#All],[METRIC_VALUE]])*0.5))/100,"")</f>
        <v>#N/A</v>
      </c>
      <c r="J626">
        <f>IF(ISNA(VLOOKUP(A626,'CloseDL - PriceSaverBBT3'!A:E,5,0)),0,VLOOKUP(A626,'CloseDL - PriceSaverBBT3'!A:E,5,0))</f>
        <v>5.0769526837359101E-2</v>
      </c>
      <c r="K626" s="7">
        <f t="shared" si="93"/>
        <v>0</v>
      </c>
      <c r="L626" s="20">
        <f>IF(Close[[#This Row],[CreatedBy]]="MARINER\SilverAdm",1,0)</f>
        <v>1</v>
      </c>
      <c r="M626" t="str">
        <f>IF(NOT(ISBLANK(A626)),VLOOKUP(A626,'Close - PriceSaver'!A:J,6,0),"")</f>
        <v>DL input prc = 50.65359143  PX_ASK = 50.79432666 PX_BID = 50.51285620</v>
      </c>
      <c r="Q626" t="e">
        <f t="shared" si="85"/>
        <v>#N/A</v>
      </c>
      <c r="R626" t="e">
        <f t="shared" si="86"/>
        <v>#N/A</v>
      </c>
      <c r="S626" t="e">
        <f t="shared" si="87"/>
        <v>#N/A</v>
      </c>
      <c r="T626" s="15" t="e">
        <f t="shared" si="88"/>
        <v>#N/A</v>
      </c>
      <c r="U626" s="18" t="e">
        <f t="shared" si="89"/>
        <v>#N/A</v>
      </c>
      <c r="V626" s="18" t="e">
        <f t="shared" si="90"/>
        <v>#N/A</v>
      </c>
      <c r="W626" s="19" t="e">
        <f t="shared" si="91"/>
        <v>#N/A</v>
      </c>
      <c r="X626" t="e">
        <f>VLOOKUP(P626,Close[[ID]:[CreatedBy]],8,0)</f>
        <v>#N/A</v>
      </c>
    </row>
    <row r="627" spans="1:24" x14ac:dyDescent="0.35">
      <c r="A627" t="str">
        <v>912834HV3</v>
      </c>
      <c r="B627" t="str">
        <f>IF(NOT(ISBLANK(A627)),VLOOKUP(A627,'BBT3'!A:F,2,0),"")</f>
        <v>Bond</v>
      </c>
      <c r="C627" t="str">
        <f>IF(NOT(ISBLANK(A627)),VLOOKUP(A627,'BBT3'!A:F,3,0),"")</f>
        <v>US912834HV38</v>
      </c>
      <c r="D627" s="5">
        <f>IF(NOT(ISBLANK(A627)),VLOOKUP(A627,'BBT3'!A:F,4,1),"")</f>
        <v>0</v>
      </c>
      <c r="E627">
        <f>IF(NOT(ISBLANK(A627)),VLOOKUP(A627,'BBT3'!A:F,5,0),"")</f>
        <v>51271</v>
      </c>
      <c r="F627" t="str">
        <f>IF(NOT(ISBLANK(A627)),VLOOKUP(A627,'BBT3'!A:F,6,0),"")</f>
        <v>N</v>
      </c>
      <c r="G627" t="str">
        <f t="shared" si="92"/>
        <v>Y</v>
      </c>
      <c r="H627">
        <f>IF(NOT(ISBLANK(A627)),VLOOKUP(A627,'Close - PriceSaver'!A:J,5,0),"")</f>
        <v>5.0979971202262601E-2</v>
      </c>
      <c r="I627" s="4" t="e" cm="1">
        <f t="array" ref="I627">IF(NOT(ISBLANK(A627)),((_xlfn.XLOOKUP(1,(_bbt3[[#All],[ID]]=A627)*(_bbt3[[#All],[METRIC_NAME]]="YLD_YTM_ASK"),_bbt3[[#All],[METRIC_VALUE]])*0.5)+(_xlfn.XLOOKUP(1,(_bbt3[[#All],[ID]]=A627)*(_bbt3[[#All],[METRIC_NAME]]="YLD_YTM_BID"),_bbt3[[#All],[METRIC_VALUE]])*0.5))/100,"")</f>
        <v>#N/A</v>
      </c>
      <c r="J627">
        <f>IF(ISNA(VLOOKUP(A627,'CloseDL - PriceSaverBBT3'!A:E,5,0)),0,VLOOKUP(A627,'CloseDL - PriceSaverBBT3'!A:E,5,0))</f>
        <v>5.0979971202262601E-2</v>
      </c>
      <c r="K627" s="7">
        <f t="shared" si="93"/>
        <v>0</v>
      </c>
      <c r="L627" s="20">
        <f>IF(Close[[#This Row],[CreatedBy]]="MARINER\SilverAdm",1,0)</f>
        <v>1</v>
      </c>
      <c r="M627" t="str">
        <f>IF(NOT(ISBLANK(A627)),VLOOKUP(A627,'Close - PriceSaver'!A:J,6,0),"")</f>
        <v>DL input prc = 49.88400545  PX_ASK = 50.01169056 PX_BID = 49.75632033</v>
      </c>
      <c r="Q627" t="e">
        <f t="shared" si="85"/>
        <v>#N/A</v>
      </c>
      <c r="R627" t="e">
        <f t="shared" si="86"/>
        <v>#N/A</v>
      </c>
      <c r="S627" t="e">
        <f t="shared" si="87"/>
        <v>#N/A</v>
      </c>
      <c r="T627" s="15" t="e">
        <f t="shared" si="88"/>
        <v>#N/A</v>
      </c>
      <c r="U627" s="18" t="e">
        <f t="shared" si="89"/>
        <v>#N/A</v>
      </c>
      <c r="V627" s="18" t="e">
        <f t="shared" si="90"/>
        <v>#N/A</v>
      </c>
      <c r="W627" s="19" t="e">
        <f t="shared" si="91"/>
        <v>#N/A</v>
      </c>
      <c r="X627" t="e">
        <f>VLOOKUP(P627,Close[[ID]:[CreatedBy]],8,0)</f>
        <v>#N/A</v>
      </c>
    </row>
    <row r="628" spans="1:24" x14ac:dyDescent="0.35">
      <c r="A628" t="str">
        <v>912834JB5</v>
      </c>
      <c r="B628" t="str">
        <f>IF(NOT(ISBLANK(A628)),VLOOKUP(A628,'BBT3'!A:F,2,0),"")</f>
        <v>Bond</v>
      </c>
      <c r="C628" t="str">
        <f>IF(NOT(ISBLANK(A628)),VLOOKUP(A628,'BBT3'!A:F,3,0),"")</f>
        <v>US912834JB55</v>
      </c>
      <c r="D628" s="5">
        <f>IF(NOT(ISBLANK(A628)),VLOOKUP(A628,'BBT3'!A:F,4,1),"")</f>
        <v>0</v>
      </c>
      <c r="E628">
        <f>IF(NOT(ISBLANK(A628)),VLOOKUP(A628,'BBT3'!A:F,5,0),"")</f>
        <v>51363</v>
      </c>
      <c r="F628" t="str">
        <f>IF(NOT(ISBLANK(A628)),VLOOKUP(A628,'BBT3'!A:F,6,0),"")</f>
        <v>N</v>
      </c>
      <c r="G628" t="str">
        <f t="shared" si="92"/>
        <v>Y</v>
      </c>
      <c r="H628">
        <f>IF(NOT(ISBLANK(A628)),VLOOKUP(A628,'Close - PriceSaver'!A:J,5,0),"")</f>
        <v>5.12746739528347E-2</v>
      </c>
      <c r="I628" s="4" t="e" cm="1">
        <f t="array" ref="I628">IF(NOT(ISBLANK(A628)),((_xlfn.XLOOKUP(1,(_bbt3[[#All],[ID]]=A628)*(_bbt3[[#All],[METRIC_NAME]]="YLD_YTM_ASK"),_bbt3[[#All],[METRIC_VALUE]])*0.5)+(_xlfn.XLOOKUP(1,(_bbt3[[#All],[ID]]=A628)*(_bbt3[[#All],[METRIC_NAME]]="YLD_YTM_BID"),_bbt3[[#All],[METRIC_VALUE]])*0.5))/100,"")</f>
        <v>#N/A</v>
      </c>
      <c r="J628">
        <f>IF(ISNA(VLOOKUP(A628,'CloseDL - PriceSaverBBT3'!A:E,5,0)),0,VLOOKUP(A628,'CloseDL - PriceSaverBBT3'!A:E,5,0))</f>
        <v>5.12746739528347E-2</v>
      </c>
      <c r="K628" s="7">
        <f t="shared" si="93"/>
        <v>0</v>
      </c>
      <c r="L628" s="20">
        <f>IF(Close[[#This Row],[CreatedBy]]="MARINER\SilverAdm",1,0)</f>
        <v>1</v>
      </c>
      <c r="M628" t="str">
        <f>IF(NOT(ISBLANK(A628)),VLOOKUP(A628,'Close - PriceSaver'!A:J,6,0),"")</f>
        <v>DL input prc = 49.05857117  PX_ASK = 49.18977134 PX_BID = 48.92737099</v>
      </c>
      <c r="Q628" t="e">
        <f t="shared" si="85"/>
        <v>#N/A</v>
      </c>
      <c r="R628" t="e">
        <f t="shared" si="86"/>
        <v>#N/A</v>
      </c>
      <c r="S628" t="e">
        <f t="shared" si="87"/>
        <v>#N/A</v>
      </c>
      <c r="T628" s="15" t="e">
        <f t="shared" si="88"/>
        <v>#N/A</v>
      </c>
      <c r="U628" s="18" t="e">
        <f t="shared" si="89"/>
        <v>#N/A</v>
      </c>
      <c r="V628" s="18" t="e">
        <f t="shared" si="90"/>
        <v>#N/A</v>
      </c>
      <c r="W628" s="19" t="e">
        <f t="shared" si="91"/>
        <v>#N/A</v>
      </c>
      <c r="X628" t="e">
        <f>VLOOKUP(P628,Close[[ID]:[CreatedBy]],8,0)</f>
        <v>#N/A</v>
      </c>
    </row>
    <row r="629" spans="1:24" x14ac:dyDescent="0.35">
      <c r="A629" t="str">
        <v>912834JH2</v>
      </c>
      <c r="B629" t="str">
        <f>IF(NOT(ISBLANK(A629)),VLOOKUP(A629,'BBT3'!A:F,2,0),"")</f>
        <v>Bond</v>
      </c>
      <c r="C629" t="str">
        <f>IF(NOT(ISBLANK(A629)),VLOOKUP(A629,'BBT3'!A:F,3,0),"")</f>
        <v>US912834JH26</v>
      </c>
      <c r="D629" s="5">
        <f>IF(NOT(ISBLANK(A629)),VLOOKUP(A629,'BBT3'!A:F,4,1),"")</f>
        <v>0</v>
      </c>
      <c r="E629">
        <f>IF(NOT(ISBLANK(A629)),VLOOKUP(A629,'BBT3'!A:F,5,0),"")</f>
        <v>51455</v>
      </c>
      <c r="F629" t="str">
        <f>IF(NOT(ISBLANK(A629)),VLOOKUP(A629,'BBT3'!A:F,6,0),"")</f>
        <v>N</v>
      </c>
      <c r="G629" t="str">
        <f t="shared" si="92"/>
        <v>Y</v>
      </c>
      <c r="H629">
        <f>IF(NOT(ISBLANK(A629)),VLOOKUP(A629,'Close - PriceSaver'!A:J,5,0),"")</f>
        <v>5.1509650477362001E-2</v>
      </c>
      <c r="I629" s="4" t="e" cm="1">
        <f t="array" ref="I629">IF(NOT(ISBLANK(A629)),((_xlfn.XLOOKUP(1,(_bbt3[[#All],[ID]]=A629)*(_bbt3[[#All],[METRIC_NAME]]="YLD_YTM_ASK"),_bbt3[[#All],[METRIC_VALUE]])*0.5)+(_xlfn.XLOOKUP(1,(_bbt3[[#All],[ID]]=A629)*(_bbt3[[#All],[METRIC_NAME]]="YLD_YTM_BID"),_bbt3[[#All],[METRIC_VALUE]])*0.5))/100,"")</f>
        <v>#N/A</v>
      </c>
      <c r="J629">
        <f>IF(ISNA(VLOOKUP(A629,'CloseDL - PriceSaverBBT3'!A:E,5,0)),0,VLOOKUP(A629,'CloseDL - PriceSaverBBT3'!A:E,5,0))</f>
        <v>5.1509650477362001E-2</v>
      </c>
      <c r="K629" s="7">
        <f t="shared" si="93"/>
        <v>0</v>
      </c>
      <c r="L629" s="20">
        <f>IF(Close[[#This Row],[CreatedBy]]="MARINER\SilverAdm",1,0)</f>
        <v>1</v>
      </c>
      <c r="M629" t="str">
        <f>IF(NOT(ISBLANK(A629)),VLOOKUP(A629,'Close - PriceSaver'!A:J,6,0),"")</f>
        <v>DL input prc = 48.28562191  PX_ASK = 48.43387148 PX_BID = 48.13737233</v>
      </c>
      <c r="Q629" t="e">
        <f t="shared" ref="Q629:Q663" si="94">VLOOKUP(P629,A:C,3,0)</f>
        <v>#N/A</v>
      </c>
      <c r="R629" t="e">
        <f t="shared" ref="R629:R663" si="95">VLOOKUP(P629,A:B,2,0)</f>
        <v>#N/A</v>
      </c>
      <c r="S629" t="e">
        <f t="shared" ref="S629:S663" si="96">VLOOKUP(P629,A:E,4,0)</f>
        <v>#N/A</v>
      </c>
      <c r="T629" s="15" t="e">
        <f t="shared" ref="T629:T663" si="97">VLOOKUP(P629,A:K,5,0)</f>
        <v>#N/A</v>
      </c>
      <c r="U629" s="18" t="e">
        <f t="shared" ref="U629:U663" si="98">VLOOKUP(P629,A:K,8,0)</f>
        <v>#N/A</v>
      </c>
      <c r="V629" s="18" t="e">
        <f t="shared" ref="V629:V663" si="99">VLOOKUP(P629,A:K,10,0)</f>
        <v>#N/A</v>
      </c>
      <c r="W629" s="19" t="e">
        <f t="shared" ref="W629:W663" si="100">(V629-U629)*100</f>
        <v>#N/A</v>
      </c>
      <c r="X629" t="e">
        <f>VLOOKUP(P629,Close[[ID]:[CreatedBy]],8,0)</f>
        <v>#N/A</v>
      </c>
    </row>
    <row r="630" spans="1:24" x14ac:dyDescent="0.35">
      <c r="A630" t="str">
        <v>912834JP4</v>
      </c>
      <c r="B630" t="str">
        <f>IF(NOT(ISBLANK(A630)),VLOOKUP(A630,'BBT3'!A:F,2,0),"")</f>
        <v>Bond</v>
      </c>
      <c r="C630" t="str">
        <f>IF(NOT(ISBLANK(A630)),VLOOKUP(A630,'BBT3'!A:F,3,0),"")</f>
        <v>US912834JP42</v>
      </c>
      <c r="D630" s="5">
        <f>IF(NOT(ISBLANK(A630)),VLOOKUP(A630,'BBT3'!A:F,4,1),"")</f>
        <v>0</v>
      </c>
      <c r="E630">
        <f>IF(NOT(ISBLANK(A630)),VLOOKUP(A630,'BBT3'!A:F,5,0),"")</f>
        <v>51547</v>
      </c>
      <c r="F630" t="str">
        <f>IF(NOT(ISBLANK(A630)),VLOOKUP(A630,'BBT3'!A:F,6,0),"")</f>
        <v>N</v>
      </c>
      <c r="G630" t="str">
        <f t="shared" si="92"/>
        <v>Y</v>
      </c>
      <c r="H630">
        <f>IF(NOT(ISBLANK(A630)),VLOOKUP(A630,'Close - PriceSaver'!A:J,5,0),"")</f>
        <v>5.1719706269254997E-2</v>
      </c>
      <c r="I630" s="4" t="e" cm="1">
        <f t="array" ref="I630">IF(NOT(ISBLANK(A630)),((_xlfn.XLOOKUP(1,(_bbt3[[#All],[ID]]=A630)*(_bbt3[[#All],[METRIC_NAME]]="YLD_YTM_ASK"),_bbt3[[#All],[METRIC_VALUE]])*0.5)+(_xlfn.XLOOKUP(1,(_bbt3[[#All],[ID]]=A630)*(_bbt3[[#All],[METRIC_NAME]]="YLD_YTM_BID"),_bbt3[[#All],[METRIC_VALUE]])*0.5))/100,"")</f>
        <v>#N/A</v>
      </c>
      <c r="J630">
        <f>IF(ISNA(VLOOKUP(A630,'CloseDL - PriceSaverBBT3'!A:E,5,0)),0,VLOOKUP(A630,'CloseDL - PriceSaverBBT3'!A:E,5,0))</f>
        <v>5.1719706269254997E-2</v>
      </c>
      <c r="K630" s="7">
        <f t="shared" si="93"/>
        <v>0</v>
      </c>
      <c r="L630" s="20">
        <f>IF(Close[[#This Row],[CreatedBy]]="MARINER\SilverAdm",1,0)</f>
        <v>1</v>
      </c>
      <c r="M630" t="str">
        <f>IF(NOT(ISBLANK(A630)),VLOOKUP(A630,'Close - PriceSaver'!A:J,6,0),"")</f>
        <v>DL input prc = 47.53098063  PX_ASK = 47.66595979 PX_BID = 47.39600147</v>
      </c>
      <c r="Q630" t="e">
        <f t="shared" si="94"/>
        <v>#N/A</v>
      </c>
      <c r="R630" t="e">
        <f t="shared" si="95"/>
        <v>#N/A</v>
      </c>
      <c r="S630" t="e">
        <f t="shared" si="96"/>
        <v>#N/A</v>
      </c>
      <c r="T630" s="15" t="e">
        <f t="shared" si="97"/>
        <v>#N/A</v>
      </c>
      <c r="U630" s="18" t="e">
        <f t="shared" si="98"/>
        <v>#N/A</v>
      </c>
      <c r="V630" s="18" t="e">
        <f t="shared" si="99"/>
        <v>#N/A</v>
      </c>
      <c r="W630" s="19" t="e">
        <f t="shared" si="100"/>
        <v>#N/A</v>
      </c>
      <c r="X630" t="e">
        <f>VLOOKUP(P630,Close[[ID]:[CreatedBy]],8,0)</f>
        <v>#N/A</v>
      </c>
    </row>
    <row r="631" spans="1:24" x14ac:dyDescent="0.35">
      <c r="A631" t="str">
        <v>912834KB3</v>
      </c>
      <c r="B631" t="str">
        <f>IF(NOT(ISBLANK(A631)),VLOOKUP(A631,'BBT3'!A:F,2,0),"")</f>
        <v>Bond</v>
      </c>
      <c r="C631" t="str">
        <f>IF(NOT(ISBLANK(A631)),VLOOKUP(A631,'BBT3'!A:F,3,0),"")</f>
        <v>US912834KB37</v>
      </c>
      <c r="D631" s="5">
        <f>IF(NOT(ISBLANK(A631)),VLOOKUP(A631,'BBT3'!A:F,4,1),"")</f>
        <v>0</v>
      </c>
      <c r="E631">
        <f>IF(NOT(ISBLANK(A631)),VLOOKUP(A631,'BBT3'!A:F,5,0),"")</f>
        <v>53097</v>
      </c>
      <c r="F631" t="str">
        <f>IF(NOT(ISBLANK(A631)),VLOOKUP(A631,'BBT3'!A:F,6,0),"")</f>
        <v>N</v>
      </c>
      <c r="G631" t="str">
        <f t="shared" si="92"/>
        <v>Y</v>
      </c>
      <c r="H631">
        <f>IF(NOT(ISBLANK(A631)),VLOOKUP(A631,'Close - PriceSaver'!A:J,5,0),"")</f>
        <v>5.38995448411752E-2</v>
      </c>
      <c r="I631" s="4" t="e" cm="1">
        <f t="array" ref="I631">IF(NOT(ISBLANK(A631)),((_xlfn.XLOOKUP(1,(_bbt3[[#All],[ID]]=A631)*(_bbt3[[#All],[METRIC_NAME]]="YLD_YTM_ASK"),_bbt3[[#All],[METRIC_VALUE]])*0.5)+(_xlfn.XLOOKUP(1,(_bbt3[[#All],[ID]]=A631)*(_bbt3[[#All],[METRIC_NAME]]="YLD_YTM_BID"),_bbt3[[#All],[METRIC_VALUE]])*0.5))/100,"")</f>
        <v>#N/A</v>
      </c>
      <c r="J631">
        <f>IF(ISNA(VLOOKUP(A631,'CloseDL - PriceSaverBBT3'!A:E,5,0)),0,VLOOKUP(A631,'CloseDL - PriceSaverBBT3'!A:E,5,0))</f>
        <v>5.38995448411752E-2</v>
      </c>
      <c r="K631" s="7">
        <f t="shared" si="93"/>
        <v>0</v>
      </c>
      <c r="L631" s="20">
        <f>IF(Close[[#This Row],[CreatedBy]]="MARINER\SilverAdm",1,0)</f>
        <v>1</v>
      </c>
      <c r="M631" t="str">
        <f>IF(NOT(ISBLANK(A631)),VLOOKUP(A631,'Close - PriceSaver'!A:J,6,0),"")</f>
        <v>DL input prc = 36.76194405  PX_ASK = 36.91012035 PX_BID = 36.61376775</v>
      </c>
      <c r="Q631" t="e">
        <f t="shared" si="94"/>
        <v>#N/A</v>
      </c>
      <c r="R631" t="e">
        <f t="shared" si="95"/>
        <v>#N/A</v>
      </c>
      <c r="S631" t="e">
        <f t="shared" si="96"/>
        <v>#N/A</v>
      </c>
      <c r="T631" s="15" t="e">
        <f t="shared" si="97"/>
        <v>#N/A</v>
      </c>
      <c r="U631" s="18" t="e">
        <f t="shared" si="98"/>
        <v>#N/A</v>
      </c>
      <c r="V631" s="18" t="e">
        <f t="shared" si="99"/>
        <v>#N/A</v>
      </c>
      <c r="W631" s="19" t="e">
        <f t="shared" si="100"/>
        <v>#N/A</v>
      </c>
      <c r="X631" t="e">
        <f>VLOOKUP(P631,Close[[ID]:[CreatedBy]],8,0)</f>
        <v>#N/A</v>
      </c>
    </row>
    <row r="632" spans="1:24" x14ac:dyDescent="0.35">
      <c r="A632" t="str">
        <v>912834KH0</v>
      </c>
      <c r="B632" t="str">
        <f>IF(NOT(ISBLANK(A632)),VLOOKUP(A632,'BBT3'!A:F,2,0),"")</f>
        <v>Bond</v>
      </c>
      <c r="C632" t="str">
        <f>IF(NOT(ISBLANK(A632)),VLOOKUP(A632,'BBT3'!A:F,3,0),"")</f>
        <v>US912834KH07</v>
      </c>
      <c r="D632" s="5">
        <f>IF(NOT(ISBLANK(A632)),VLOOKUP(A632,'BBT3'!A:F,4,1),"")</f>
        <v>0</v>
      </c>
      <c r="E632">
        <f>IF(NOT(ISBLANK(A632)),VLOOKUP(A632,'BBT3'!A:F,5,0),"")</f>
        <v>51636</v>
      </c>
      <c r="F632" t="str">
        <f>IF(NOT(ISBLANK(A632)),VLOOKUP(A632,'BBT3'!A:F,6,0),"")</f>
        <v>N</v>
      </c>
      <c r="G632" t="str">
        <f t="shared" si="92"/>
        <v>Y</v>
      </c>
      <c r="H632">
        <f>IF(NOT(ISBLANK(A632)),VLOOKUP(A632,'Close - PriceSaver'!A:J,5,0),"")</f>
        <v>5.19598614543395E-2</v>
      </c>
      <c r="I632" s="4" t="e" cm="1">
        <f t="array" ref="I632">IF(NOT(ISBLANK(A632)),((_xlfn.XLOOKUP(1,(_bbt3[[#All],[ID]]=A632)*(_bbt3[[#All],[METRIC_NAME]]="YLD_YTM_ASK"),_bbt3[[#All],[METRIC_VALUE]])*0.5)+(_xlfn.XLOOKUP(1,(_bbt3[[#All],[ID]]=A632)*(_bbt3[[#All],[METRIC_NAME]]="YLD_YTM_BID"),_bbt3[[#All],[METRIC_VALUE]])*0.5))/100,"")</f>
        <v>#N/A</v>
      </c>
      <c r="J632">
        <f>IF(ISNA(VLOOKUP(A632,'CloseDL - PriceSaverBBT3'!A:E,5,0)),0,VLOOKUP(A632,'CloseDL - PriceSaverBBT3'!A:E,5,0))</f>
        <v>5.19598614543395E-2</v>
      </c>
      <c r="K632" s="7">
        <f t="shared" si="93"/>
        <v>0</v>
      </c>
      <c r="L632" s="20">
        <f>IF(Close[[#This Row],[CreatedBy]]="MARINER\SilverAdm",1,0)</f>
        <v>1</v>
      </c>
      <c r="M632" t="str">
        <f>IF(NOT(ISBLANK(A632)),VLOOKUP(A632,'Close - PriceSaver'!A:J,6,0),"")</f>
        <v>DL input prc = 46.76829883  PX_ASK = 46.90336590 PX_BID = 46.63323175</v>
      </c>
      <c r="Q632" t="e">
        <f t="shared" si="94"/>
        <v>#N/A</v>
      </c>
      <c r="R632" t="e">
        <f t="shared" si="95"/>
        <v>#N/A</v>
      </c>
      <c r="S632" t="e">
        <f t="shared" si="96"/>
        <v>#N/A</v>
      </c>
      <c r="T632" s="15" t="e">
        <f t="shared" si="97"/>
        <v>#N/A</v>
      </c>
      <c r="U632" s="18" t="e">
        <f t="shared" si="98"/>
        <v>#N/A</v>
      </c>
      <c r="V632" s="18" t="e">
        <f t="shared" si="99"/>
        <v>#N/A</v>
      </c>
      <c r="W632" s="19" t="e">
        <f t="shared" si="100"/>
        <v>#N/A</v>
      </c>
      <c r="X632" t="e">
        <f>VLOOKUP(P632,Close[[ID]:[CreatedBy]],8,0)</f>
        <v>#N/A</v>
      </c>
    </row>
    <row r="633" spans="1:24" x14ac:dyDescent="0.35">
      <c r="A633" t="str">
        <v>912834KP2</v>
      </c>
      <c r="B633" t="str">
        <f>IF(NOT(ISBLANK(A633)),VLOOKUP(A633,'BBT3'!A:F,2,0),"")</f>
        <v>Bond</v>
      </c>
      <c r="C633" t="str">
        <f>IF(NOT(ISBLANK(A633)),VLOOKUP(A633,'BBT3'!A:F,3,0),"")</f>
        <v>US912834KP23</v>
      </c>
      <c r="D633" s="5">
        <f>IF(NOT(ISBLANK(A633)),VLOOKUP(A633,'BBT3'!A:F,4,1),"")</f>
        <v>0</v>
      </c>
      <c r="E633">
        <f>IF(NOT(ISBLANK(A633)),VLOOKUP(A633,'BBT3'!A:F,5,0),"")</f>
        <v>51728</v>
      </c>
      <c r="F633" t="str">
        <f>IF(NOT(ISBLANK(A633)),VLOOKUP(A633,'BBT3'!A:F,6,0),"")</f>
        <v>N</v>
      </c>
      <c r="G633" t="str">
        <f t="shared" si="92"/>
        <v>Y</v>
      </c>
      <c r="H633">
        <f>IF(NOT(ISBLANK(A633)),VLOOKUP(A633,'Close - PriceSaver'!A:J,5,0),"")</f>
        <v>5.20746159807755E-2</v>
      </c>
      <c r="I633" s="4" t="e" cm="1">
        <f t="array" ref="I633">IF(NOT(ISBLANK(A633)),((_xlfn.XLOOKUP(1,(_bbt3[[#All],[ID]]=A633)*(_bbt3[[#All],[METRIC_NAME]]="YLD_YTM_ASK"),_bbt3[[#All],[METRIC_VALUE]])*0.5)+(_xlfn.XLOOKUP(1,(_bbt3[[#All],[ID]]=A633)*(_bbt3[[#All],[METRIC_NAME]]="YLD_YTM_BID"),_bbt3[[#All],[METRIC_VALUE]])*0.5))/100,"")</f>
        <v>#N/A</v>
      </c>
      <c r="J633">
        <f>IF(ISNA(VLOOKUP(A633,'CloseDL - PriceSaverBBT3'!A:E,5,0)),0,VLOOKUP(A633,'CloseDL - PriceSaverBBT3'!A:E,5,0))</f>
        <v>5.20746159807755E-2</v>
      </c>
      <c r="K633" s="7">
        <f t="shared" si="93"/>
        <v>0</v>
      </c>
      <c r="L633" s="20">
        <f>IF(Close[[#This Row],[CreatedBy]]="MARINER\SilverAdm",1,0)</f>
        <v>1</v>
      </c>
      <c r="M633" t="str">
        <f>IF(NOT(ISBLANK(A633)),VLOOKUP(A633,'Close - PriceSaver'!A:J,6,0),"")</f>
        <v>DL input prc = 46.09196533  PX_ASK = 46.24424765 PX_BID = 45.93968300</v>
      </c>
      <c r="Q633" t="e">
        <f t="shared" si="94"/>
        <v>#N/A</v>
      </c>
      <c r="R633" t="e">
        <f t="shared" si="95"/>
        <v>#N/A</v>
      </c>
      <c r="S633" t="e">
        <f t="shared" si="96"/>
        <v>#N/A</v>
      </c>
      <c r="T633" s="15" t="e">
        <f t="shared" si="97"/>
        <v>#N/A</v>
      </c>
      <c r="U633" s="18" t="e">
        <f t="shared" si="98"/>
        <v>#N/A</v>
      </c>
      <c r="V633" s="18" t="e">
        <f t="shared" si="99"/>
        <v>#N/A</v>
      </c>
      <c r="W633" s="19" t="e">
        <f t="shared" si="100"/>
        <v>#N/A</v>
      </c>
      <c r="X633" t="e">
        <f>VLOOKUP(P633,Close[[ID]:[CreatedBy]],8,0)</f>
        <v>#N/A</v>
      </c>
    </row>
    <row r="634" spans="1:24" x14ac:dyDescent="0.35">
      <c r="A634" t="str">
        <v>912834KV9</v>
      </c>
      <c r="B634" t="str">
        <f>IF(NOT(ISBLANK(A634)),VLOOKUP(A634,'BBT3'!A:F,2,0),"")</f>
        <v>Bond</v>
      </c>
      <c r="C634" t="str">
        <f>IF(NOT(ISBLANK(A634)),VLOOKUP(A634,'BBT3'!A:F,3,0),"")</f>
        <v>US912834KV90</v>
      </c>
      <c r="D634" s="5">
        <f>IF(NOT(ISBLANK(A634)),VLOOKUP(A634,'BBT3'!A:F,4,1),"")</f>
        <v>0</v>
      </c>
      <c r="E634">
        <f>IF(NOT(ISBLANK(A634)),VLOOKUP(A634,'BBT3'!A:F,5,0),"")</f>
        <v>51820</v>
      </c>
      <c r="F634" t="str">
        <f>IF(NOT(ISBLANK(A634)),VLOOKUP(A634,'BBT3'!A:F,6,0),"")</f>
        <v>N</v>
      </c>
      <c r="G634" t="str">
        <f t="shared" si="92"/>
        <v>Y</v>
      </c>
      <c r="H634">
        <f>IF(NOT(ISBLANK(A634)),VLOOKUP(A634,'Close - PriceSaver'!A:J,5,0),"")</f>
        <v>5.2254676144320097E-2</v>
      </c>
      <c r="I634" s="4" t="e" cm="1">
        <f t="array" ref="I634">IF(NOT(ISBLANK(A634)),((_xlfn.XLOOKUP(1,(_bbt3[[#All],[ID]]=A634)*(_bbt3[[#All],[METRIC_NAME]]="YLD_YTM_ASK"),_bbt3[[#All],[METRIC_VALUE]])*0.5)+(_xlfn.XLOOKUP(1,(_bbt3[[#All],[ID]]=A634)*(_bbt3[[#All],[METRIC_NAME]]="YLD_YTM_BID"),_bbt3[[#All],[METRIC_VALUE]])*0.5))/100,"")</f>
        <v>#N/A</v>
      </c>
      <c r="J634">
        <f>IF(ISNA(VLOOKUP(A634,'CloseDL - PriceSaverBBT3'!A:E,5,0)),0,VLOOKUP(A634,'CloseDL - PriceSaverBBT3'!A:E,5,0))</f>
        <v>5.2254676144320097E-2</v>
      </c>
      <c r="K634" s="7">
        <f t="shared" si="93"/>
        <v>0</v>
      </c>
      <c r="L634" s="20">
        <f>IF(Close[[#This Row],[CreatedBy]]="MARINER\SilverAdm",1,0)</f>
        <v>1</v>
      </c>
      <c r="M634" t="str">
        <f>IF(NOT(ISBLANK(A634)),VLOOKUP(A634,'Close - PriceSaver'!A:J,6,0),"")</f>
        <v>DL input prc = 45.38377216  PX_ASK = 45.52263144 PX_BID = 45.24491287</v>
      </c>
      <c r="Q634" t="e">
        <f t="shared" si="94"/>
        <v>#N/A</v>
      </c>
      <c r="R634" t="e">
        <f t="shared" si="95"/>
        <v>#N/A</v>
      </c>
      <c r="S634" t="e">
        <f t="shared" si="96"/>
        <v>#N/A</v>
      </c>
      <c r="T634" s="15" t="e">
        <f t="shared" si="97"/>
        <v>#N/A</v>
      </c>
      <c r="U634" s="18" t="e">
        <f t="shared" si="98"/>
        <v>#N/A</v>
      </c>
      <c r="V634" s="18" t="e">
        <f t="shared" si="99"/>
        <v>#N/A</v>
      </c>
      <c r="W634" s="19" t="e">
        <f t="shared" si="100"/>
        <v>#N/A</v>
      </c>
      <c r="X634" t="e">
        <f>VLOOKUP(P634,Close[[ID]:[CreatedBy]],8,0)</f>
        <v>#N/A</v>
      </c>
    </row>
    <row r="635" spans="1:24" x14ac:dyDescent="0.35">
      <c r="A635" t="str">
        <v>912834LB2</v>
      </c>
      <c r="B635" t="str">
        <f>IF(NOT(ISBLANK(A635)),VLOOKUP(A635,'BBT3'!A:F,2,0),"")</f>
        <v>Bond</v>
      </c>
      <c r="C635" t="str">
        <f>IF(NOT(ISBLANK(A635)),VLOOKUP(A635,'BBT3'!A:F,3,0),"")</f>
        <v>US912834LB28</v>
      </c>
      <c r="D635" s="5">
        <f>IF(NOT(ISBLANK(A635)),VLOOKUP(A635,'BBT3'!A:F,4,1),"")</f>
        <v>0</v>
      </c>
      <c r="E635">
        <f>IF(NOT(ISBLANK(A635)),VLOOKUP(A635,'BBT3'!A:F,5,0),"")</f>
        <v>51912</v>
      </c>
      <c r="F635" t="str">
        <f>IF(NOT(ISBLANK(A635)),VLOOKUP(A635,'BBT3'!A:F,6,0),"")</f>
        <v>N</v>
      </c>
      <c r="G635" t="str">
        <f t="shared" si="92"/>
        <v>Y</v>
      </c>
      <c r="H635">
        <f>IF(NOT(ISBLANK(A635)),VLOOKUP(A635,'Close - PriceSaver'!A:J,5,0),"")</f>
        <v>5.2449686884293599E-2</v>
      </c>
      <c r="I635" s="4" t="e" cm="1">
        <f t="array" ref="I635">IF(NOT(ISBLANK(A635)),((_xlfn.XLOOKUP(1,(_bbt3[[#All],[ID]]=A635)*(_bbt3[[#All],[METRIC_NAME]]="YLD_YTM_ASK"),_bbt3[[#All],[METRIC_VALUE]])*0.5)+(_xlfn.XLOOKUP(1,(_bbt3[[#All],[ID]]=A635)*(_bbt3[[#All],[METRIC_NAME]]="YLD_YTM_BID"),_bbt3[[#All],[METRIC_VALUE]])*0.5))/100,"")</f>
        <v>#N/A</v>
      </c>
      <c r="J635">
        <f>IF(ISNA(VLOOKUP(A635,'CloseDL - PriceSaverBBT3'!A:E,5,0)),0,VLOOKUP(A635,'CloseDL - PriceSaverBBT3'!A:E,5,0))</f>
        <v>5.2449686884293599E-2</v>
      </c>
      <c r="K635" s="7">
        <f t="shared" si="93"/>
        <v>0</v>
      </c>
      <c r="L635" s="20">
        <f>IF(Close[[#This Row],[CreatedBy]]="MARINER\SilverAdm",1,0)</f>
        <v>1</v>
      </c>
      <c r="M635" t="str">
        <f>IF(NOT(ISBLANK(A635)),VLOOKUP(A635,'Close - PriceSaver'!A:J,6,0),"")</f>
        <v>DL input prc = 44.66743680  PX_ASK = 44.80294402 PX_BID = 44.53192957</v>
      </c>
      <c r="Q635" t="e">
        <f t="shared" si="94"/>
        <v>#N/A</v>
      </c>
      <c r="R635" t="e">
        <f t="shared" si="95"/>
        <v>#N/A</v>
      </c>
      <c r="S635" t="e">
        <f t="shared" si="96"/>
        <v>#N/A</v>
      </c>
      <c r="T635" s="15" t="e">
        <f t="shared" si="97"/>
        <v>#N/A</v>
      </c>
      <c r="U635" s="18" t="e">
        <f t="shared" si="98"/>
        <v>#N/A</v>
      </c>
      <c r="V635" s="18" t="e">
        <f t="shared" si="99"/>
        <v>#N/A</v>
      </c>
      <c r="W635" s="19" t="e">
        <f t="shared" si="100"/>
        <v>#N/A</v>
      </c>
      <c r="X635" t="e">
        <f>VLOOKUP(P635,Close[[ID]:[CreatedBy]],8,0)</f>
        <v>#N/A</v>
      </c>
    </row>
    <row r="636" spans="1:24" x14ac:dyDescent="0.35">
      <c r="A636" t="str">
        <v>912834LK2</v>
      </c>
      <c r="B636" t="str">
        <f>IF(NOT(ISBLANK(A636)),VLOOKUP(A636,'BBT3'!A:F,2,0),"")</f>
        <v>Bond</v>
      </c>
      <c r="C636" t="str">
        <f>IF(NOT(ISBLANK(A636)),VLOOKUP(A636,'BBT3'!A:F,3,0),"")</f>
        <v>US912834LK27</v>
      </c>
      <c r="D636" s="5">
        <f>IF(NOT(ISBLANK(A636)),VLOOKUP(A636,'BBT3'!A:F,4,1),"")</f>
        <v>0</v>
      </c>
      <c r="E636">
        <f>IF(NOT(ISBLANK(A636)),VLOOKUP(A636,'BBT3'!A:F,5,0),"")</f>
        <v>52001</v>
      </c>
      <c r="F636" t="str">
        <f>IF(NOT(ISBLANK(A636)),VLOOKUP(A636,'BBT3'!A:F,6,0),"")</f>
        <v>N</v>
      </c>
      <c r="G636" t="str">
        <f t="shared" si="92"/>
        <v>Y</v>
      </c>
      <c r="H636">
        <f>IF(NOT(ISBLANK(A636)),VLOOKUP(A636,'Close - PriceSaver'!A:J,5,0),"")</f>
        <v>5.2624665962627097E-2</v>
      </c>
      <c r="I636" s="4" t="e" cm="1">
        <f t="array" ref="I636">IF(NOT(ISBLANK(A636)),((_xlfn.XLOOKUP(1,(_bbt3[[#All],[ID]]=A636)*(_bbt3[[#All],[METRIC_NAME]]="YLD_YTM_ASK"),_bbt3[[#All],[METRIC_VALUE]])*0.5)+(_xlfn.XLOOKUP(1,(_bbt3[[#All],[ID]]=A636)*(_bbt3[[#All],[METRIC_NAME]]="YLD_YTM_BID"),_bbt3[[#All],[METRIC_VALUE]])*0.5))/100,"")</f>
        <v>#N/A</v>
      </c>
      <c r="J636">
        <f>IF(ISNA(VLOOKUP(A636,'CloseDL - PriceSaverBBT3'!A:E,5,0)),0,VLOOKUP(A636,'CloseDL - PriceSaverBBT3'!A:E,5,0))</f>
        <v>5.2624665962627097E-2</v>
      </c>
      <c r="K636" s="7">
        <f t="shared" si="93"/>
        <v>0</v>
      </c>
      <c r="L636" s="20">
        <f>IF(Close[[#This Row],[CreatedBy]]="MARINER\SilverAdm",1,0)</f>
        <v>1</v>
      </c>
      <c r="M636" t="str">
        <f>IF(NOT(ISBLANK(A636)),VLOOKUP(A636,'Close - PriceSaver'!A:J,6,0),"")</f>
        <v>DL input prc = 43.97673678  PX_ASK = 44.11565876 PX_BID = 43.83781480</v>
      </c>
      <c r="Q636" t="e">
        <f t="shared" si="94"/>
        <v>#N/A</v>
      </c>
      <c r="R636" t="e">
        <f t="shared" si="95"/>
        <v>#N/A</v>
      </c>
      <c r="S636" t="e">
        <f t="shared" si="96"/>
        <v>#N/A</v>
      </c>
      <c r="T636" s="15" t="e">
        <f t="shared" si="97"/>
        <v>#N/A</v>
      </c>
      <c r="U636" s="18" t="e">
        <f t="shared" si="98"/>
        <v>#N/A</v>
      </c>
      <c r="V636" s="18" t="e">
        <f t="shared" si="99"/>
        <v>#N/A</v>
      </c>
      <c r="W636" s="19" t="e">
        <f t="shared" si="100"/>
        <v>#N/A</v>
      </c>
      <c r="X636" t="e">
        <f>VLOOKUP(P636,Close[[ID]:[CreatedBy]],8,0)</f>
        <v>#N/A</v>
      </c>
    </row>
    <row r="637" spans="1:24" x14ac:dyDescent="0.35">
      <c r="A637" t="str">
        <v>912834LR7</v>
      </c>
      <c r="B637" t="str">
        <f>IF(NOT(ISBLANK(A637)),VLOOKUP(A637,'BBT3'!A:F,2,0),"")</f>
        <v>Bond</v>
      </c>
      <c r="C637" t="str">
        <f>IF(NOT(ISBLANK(A637)),VLOOKUP(A637,'BBT3'!A:F,3,0),"")</f>
        <v>US912834LR79</v>
      </c>
      <c r="D637" s="5">
        <f>IF(NOT(ISBLANK(A637)),VLOOKUP(A637,'BBT3'!A:F,4,1),"")</f>
        <v>0</v>
      </c>
      <c r="E637">
        <f>IF(NOT(ISBLANK(A637)),VLOOKUP(A637,'BBT3'!A:F,5,0),"")</f>
        <v>52093</v>
      </c>
      <c r="F637" t="str">
        <f>IF(NOT(ISBLANK(A637)),VLOOKUP(A637,'BBT3'!A:F,6,0),"")</f>
        <v>N</v>
      </c>
      <c r="G637" t="str">
        <f t="shared" si="92"/>
        <v>Y</v>
      </c>
      <c r="H637">
        <f>IF(NOT(ISBLANK(A637)),VLOOKUP(A637,'Close - PriceSaver'!A:J,5,0),"")</f>
        <v>5.2794591449526099E-2</v>
      </c>
      <c r="I637" s="4" t="e" cm="1">
        <f t="array" ref="I637">IF(NOT(ISBLANK(A637)),((_xlfn.XLOOKUP(1,(_bbt3[[#All],[ID]]=A637)*(_bbt3[[#All],[METRIC_NAME]]="YLD_YTM_ASK"),_bbt3[[#All],[METRIC_VALUE]])*0.5)+(_xlfn.XLOOKUP(1,(_bbt3[[#All],[ID]]=A637)*(_bbt3[[#All],[METRIC_NAME]]="YLD_YTM_BID"),_bbt3[[#All],[METRIC_VALUE]])*0.5))/100,"")</f>
        <v>#N/A</v>
      </c>
      <c r="J637">
        <f>IF(ISNA(VLOOKUP(A637,'CloseDL - PriceSaverBBT3'!A:E,5,0)),0,VLOOKUP(A637,'CloseDL - PriceSaverBBT3'!A:E,5,0))</f>
        <v>5.2794591449526099E-2</v>
      </c>
      <c r="K637" s="7">
        <f t="shared" si="93"/>
        <v>0</v>
      </c>
      <c r="L637" s="20">
        <f>IF(Close[[#This Row],[CreatedBy]]="MARINER\SilverAdm",1,0)</f>
        <v>1</v>
      </c>
      <c r="M637" t="str">
        <f>IF(NOT(ISBLANK(A637)),VLOOKUP(A637,'Close - PriceSaver'!A:J,6,0),"")</f>
        <v>DL input prc = 43.29159934  PX_ASK = 43.44406941 PX_BID = 43.13912927</v>
      </c>
      <c r="Q637" t="e">
        <f t="shared" si="94"/>
        <v>#N/A</v>
      </c>
      <c r="R637" t="e">
        <f t="shared" si="95"/>
        <v>#N/A</v>
      </c>
      <c r="S637" t="e">
        <f t="shared" si="96"/>
        <v>#N/A</v>
      </c>
      <c r="T637" s="15" t="e">
        <f t="shared" si="97"/>
        <v>#N/A</v>
      </c>
      <c r="U637" s="18" t="e">
        <f t="shared" si="98"/>
        <v>#N/A</v>
      </c>
      <c r="V637" s="18" t="e">
        <f t="shared" si="99"/>
        <v>#N/A</v>
      </c>
      <c r="W637" s="19" t="e">
        <f t="shared" si="100"/>
        <v>#N/A</v>
      </c>
      <c r="X637" t="e">
        <f>VLOOKUP(P637,Close[[ID]:[CreatedBy]],8,0)</f>
        <v>#N/A</v>
      </c>
    </row>
    <row r="638" spans="1:24" x14ac:dyDescent="0.35">
      <c r="A638" t="str">
        <v>912834LX4</v>
      </c>
      <c r="B638" t="str">
        <f>IF(NOT(ISBLANK(A638)),VLOOKUP(A638,'BBT3'!A:F,2,0),"")</f>
        <v>Bond</v>
      </c>
      <c r="C638" t="str">
        <f>IF(NOT(ISBLANK(A638)),VLOOKUP(A638,'BBT3'!A:F,3,0),"")</f>
        <v>US912834LX48</v>
      </c>
      <c r="D638" s="5">
        <f>IF(NOT(ISBLANK(A638)),VLOOKUP(A638,'BBT3'!A:F,4,1),"")</f>
        <v>0</v>
      </c>
      <c r="E638">
        <f>IF(NOT(ISBLANK(A638)),VLOOKUP(A638,'BBT3'!A:F,5,0),"")</f>
        <v>52185</v>
      </c>
      <c r="F638" t="str">
        <f>IF(NOT(ISBLANK(A638)),VLOOKUP(A638,'BBT3'!A:F,6,0),"")</f>
        <v>N</v>
      </c>
      <c r="G638" t="str">
        <f t="shared" si="92"/>
        <v>Y</v>
      </c>
      <c r="H638">
        <f>IF(NOT(ISBLANK(A638)),VLOOKUP(A638,'Close - PriceSaver'!A:J,5,0),"")</f>
        <v>5.2929603564096997E-2</v>
      </c>
      <c r="I638" s="4" t="e" cm="1">
        <f t="array" ref="I638">IF(NOT(ISBLANK(A638)),((_xlfn.XLOOKUP(1,(_bbt3[[#All],[ID]]=A638)*(_bbt3[[#All],[METRIC_NAME]]="YLD_YTM_ASK"),_bbt3[[#All],[METRIC_VALUE]])*0.5)+(_xlfn.XLOOKUP(1,(_bbt3[[#All],[ID]]=A638)*(_bbt3[[#All],[METRIC_NAME]]="YLD_YTM_BID"),_bbt3[[#All],[METRIC_VALUE]])*0.5))/100,"")</f>
        <v>#N/A</v>
      </c>
      <c r="J638">
        <f>IF(ISNA(VLOOKUP(A638,'CloseDL - PriceSaverBBT3'!A:E,5,0)),0,VLOOKUP(A638,'CloseDL - PriceSaverBBT3'!A:E,5,0))</f>
        <v>5.2929603564096997E-2</v>
      </c>
      <c r="K638" s="7">
        <f t="shared" si="93"/>
        <v>0</v>
      </c>
      <c r="L638" s="20">
        <f>IF(Close[[#This Row],[CreatedBy]]="MARINER\SilverAdm",1,0)</f>
        <v>1</v>
      </c>
      <c r="M638" t="str">
        <f>IF(NOT(ISBLANK(A638)),VLOOKUP(A638,'Close - PriceSaver'!A:J,6,0),"")</f>
        <v>DL input prc = 42.64207551  PX_ASK = 42.79118592 PX_BID = 42.49296509</v>
      </c>
      <c r="Q638" t="e">
        <f t="shared" si="94"/>
        <v>#N/A</v>
      </c>
      <c r="R638" t="e">
        <f t="shared" si="95"/>
        <v>#N/A</v>
      </c>
      <c r="S638" t="e">
        <f t="shared" si="96"/>
        <v>#N/A</v>
      </c>
      <c r="T638" s="15" t="e">
        <f t="shared" si="97"/>
        <v>#N/A</v>
      </c>
      <c r="U638" s="18" t="e">
        <f t="shared" si="98"/>
        <v>#N/A</v>
      </c>
      <c r="V638" s="18" t="e">
        <f t="shared" si="99"/>
        <v>#N/A</v>
      </c>
      <c r="W638" s="19" t="e">
        <f t="shared" si="100"/>
        <v>#N/A</v>
      </c>
      <c r="X638" t="e">
        <f>VLOOKUP(P638,Close[[ID]:[CreatedBy]],8,0)</f>
        <v>#N/A</v>
      </c>
    </row>
    <row r="639" spans="1:24" x14ac:dyDescent="0.35">
      <c r="A639" t="str">
        <v>912834MD7</v>
      </c>
      <c r="B639" t="str">
        <f>IF(NOT(ISBLANK(A639)),VLOOKUP(A639,'BBT3'!A:F,2,0),"")</f>
        <v>Bond</v>
      </c>
      <c r="C639" t="str">
        <f>IF(NOT(ISBLANK(A639)),VLOOKUP(A639,'BBT3'!A:F,3,0),"")</f>
        <v>US912834MD74</v>
      </c>
      <c r="D639" s="5">
        <f>IF(NOT(ISBLANK(A639)),VLOOKUP(A639,'BBT3'!A:F,4,1),"")</f>
        <v>0</v>
      </c>
      <c r="E639">
        <f>IF(NOT(ISBLANK(A639)),VLOOKUP(A639,'BBT3'!A:F,5,0),"")</f>
        <v>52277</v>
      </c>
      <c r="F639" t="str">
        <f>IF(NOT(ISBLANK(A639)),VLOOKUP(A639,'BBT3'!A:F,6,0),"")</f>
        <v>N</v>
      </c>
      <c r="G639" t="str">
        <f t="shared" si="92"/>
        <v>Y</v>
      </c>
      <c r="H639">
        <f>IF(NOT(ISBLANK(A639)),VLOOKUP(A639,'Close - PriceSaver'!A:J,5,0),"")</f>
        <v>5.30445791681394E-2</v>
      </c>
      <c r="I639" s="4" t="e" cm="1">
        <f t="array" ref="I639">IF(NOT(ISBLANK(A639)),((_xlfn.XLOOKUP(1,(_bbt3[[#All],[ID]]=A639)*(_bbt3[[#All],[METRIC_NAME]]="YLD_YTM_ASK"),_bbt3[[#All],[METRIC_VALUE]])*0.5)+(_xlfn.XLOOKUP(1,(_bbt3[[#All],[ID]]=A639)*(_bbt3[[#All],[METRIC_NAME]]="YLD_YTM_BID"),_bbt3[[#All],[METRIC_VALUE]])*0.5))/100,"")</f>
        <v>#N/A</v>
      </c>
      <c r="J639">
        <f>IF(ISNA(VLOOKUP(A639,'CloseDL - PriceSaverBBT3'!A:E,5,0)),0,VLOOKUP(A639,'CloseDL - PriceSaverBBT3'!A:E,5,0))</f>
        <v>5.30445791681394E-2</v>
      </c>
      <c r="K639" s="7">
        <f t="shared" si="93"/>
        <v>0</v>
      </c>
      <c r="L639" s="20">
        <f>IF(Close[[#This Row],[CreatedBy]]="MARINER\SilverAdm",1,0)</f>
        <v>1</v>
      </c>
      <c r="M639" t="str">
        <f>IF(NOT(ISBLANK(A639)),VLOOKUP(A639,'Close - PriceSaver'!A:J,6,0),"")</f>
        <v>DL input prc = 42.00837865  PX_ASK = 42.16091506 PX_BID = 41.85584223</v>
      </c>
      <c r="Q639" t="e">
        <f t="shared" si="94"/>
        <v>#N/A</v>
      </c>
      <c r="R639" t="e">
        <f t="shared" si="95"/>
        <v>#N/A</v>
      </c>
      <c r="S639" t="e">
        <f t="shared" si="96"/>
        <v>#N/A</v>
      </c>
      <c r="T639" s="15" t="e">
        <f t="shared" si="97"/>
        <v>#N/A</v>
      </c>
      <c r="U639" s="18" t="e">
        <f t="shared" si="98"/>
        <v>#N/A</v>
      </c>
      <c r="V639" s="18" t="e">
        <f t="shared" si="99"/>
        <v>#N/A</v>
      </c>
      <c r="W639" s="19" t="e">
        <f t="shared" si="100"/>
        <v>#N/A</v>
      </c>
      <c r="X639" t="e">
        <f>VLOOKUP(P639,Close[[ID]:[CreatedBy]],8,0)</f>
        <v>#N/A</v>
      </c>
    </row>
    <row r="640" spans="1:24" x14ac:dyDescent="0.35">
      <c r="A640" t="str">
        <v>912834MM7</v>
      </c>
      <c r="B640" t="str">
        <f>IF(NOT(ISBLANK(A640)),VLOOKUP(A640,'BBT3'!A:F,2,0),"")</f>
        <v>Bond</v>
      </c>
      <c r="C640" t="str">
        <f>IF(NOT(ISBLANK(A640)),VLOOKUP(A640,'BBT3'!A:F,3,0),"")</f>
        <v>US912834MM73</v>
      </c>
      <c r="D640" s="5">
        <f>IF(NOT(ISBLANK(A640)),VLOOKUP(A640,'BBT3'!A:F,4,1),"")</f>
        <v>0</v>
      </c>
      <c r="E640">
        <f>IF(NOT(ISBLANK(A640)),VLOOKUP(A640,'BBT3'!A:F,5,0),"")</f>
        <v>52366</v>
      </c>
      <c r="F640" t="str">
        <f>IF(NOT(ISBLANK(A640)),VLOOKUP(A640,'BBT3'!A:F,6,0),"")</f>
        <v>N</v>
      </c>
      <c r="G640" t="str">
        <f t="shared" si="92"/>
        <v>Y</v>
      </c>
      <c r="H640">
        <f>IF(NOT(ISBLANK(A640)),VLOOKUP(A640,'Close - PriceSaver'!A:J,5,0),"")</f>
        <v>5.3184645594936901E-2</v>
      </c>
      <c r="I640" s="4" t="e" cm="1">
        <f t="array" ref="I640">IF(NOT(ISBLANK(A640)),((_xlfn.XLOOKUP(1,(_bbt3[[#All],[ID]]=A640)*(_bbt3[[#All],[METRIC_NAME]]="YLD_YTM_ASK"),_bbt3[[#All],[METRIC_VALUE]])*0.5)+(_xlfn.XLOOKUP(1,(_bbt3[[#All],[ID]]=A640)*(_bbt3[[#All],[METRIC_NAME]]="YLD_YTM_BID"),_bbt3[[#All],[METRIC_VALUE]])*0.5))/100,"")</f>
        <v>#N/A</v>
      </c>
      <c r="J640">
        <f>IF(ISNA(VLOOKUP(A640,'CloseDL - PriceSaverBBT3'!A:E,5,0)),0,VLOOKUP(A640,'CloseDL - PriceSaverBBT3'!A:E,5,0))</f>
        <v>5.3184645594936901E-2</v>
      </c>
      <c r="K640" s="7">
        <f t="shared" si="93"/>
        <v>0</v>
      </c>
      <c r="L640" s="20">
        <f>IF(Close[[#This Row],[CreatedBy]]="MARINER\SilverAdm",1,0)</f>
        <v>1</v>
      </c>
      <c r="M640" t="str">
        <f>IF(NOT(ISBLANK(A640)),VLOOKUP(A640,'Close - PriceSaver'!A:J,6,0),"")</f>
        <v>DL input prc = 41.36946421  PX_ASK = 41.50837517 PX_BID = 41.23055324</v>
      </c>
      <c r="Q640" t="e">
        <f t="shared" si="94"/>
        <v>#N/A</v>
      </c>
      <c r="R640" t="e">
        <f t="shared" si="95"/>
        <v>#N/A</v>
      </c>
      <c r="S640" t="e">
        <f t="shared" si="96"/>
        <v>#N/A</v>
      </c>
      <c r="T640" s="15" t="e">
        <f t="shared" si="97"/>
        <v>#N/A</v>
      </c>
      <c r="U640" s="18" t="e">
        <f t="shared" si="98"/>
        <v>#N/A</v>
      </c>
      <c r="V640" s="18" t="e">
        <f t="shared" si="99"/>
        <v>#N/A</v>
      </c>
      <c r="W640" s="19" t="e">
        <f t="shared" si="100"/>
        <v>#N/A</v>
      </c>
      <c r="X640" t="e">
        <f>VLOOKUP(P640,Close[[ID]:[CreatedBy]],8,0)</f>
        <v>#N/A</v>
      </c>
    </row>
    <row r="641" spans="1:24" x14ac:dyDescent="0.35">
      <c r="A641" t="str">
        <v>912834MT2</v>
      </c>
      <c r="B641" t="str">
        <f>IF(NOT(ISBLANK(A641)),VLOOKUP(A641,'BBT3'!A:F,2,0),"")</f>
        <v>Bond</v>
      </c>
      <c r="C641" t="str">
        <f>IF(NOT(ISBLANK(A641)),VLOOKUP(A641,'BBT3'!A:F,3,0),"")</f>
        <v>US912834MT27</v>
      </c>
      <c r="D641" s="5">
        <f>IF(NOT(ISBLANK(A641)),VLOOKUP(A641,'BBT3'!A:F,4,1),"")</f>
        <v>0</v>
      </c>
      <c r="E641">
        <f>IF(NOT(ISBLANK(A641)),VLOOKUP(A641,'BBT3'!A:F,5,0),"")</f>
        <v>52458</v>
      </c>
      <c r="F641" t="str">
        <f>IF(NOT(ISBLANK(A641)),VLOOKUP(A641,'BBT3'!A:F,6,0),"")</f>
        <v>N</v>
      </c>
      <c r="G641" t="str">
        <f t="shared" si="92"/>
        <v>Y</v>
      </c>
      <c r="H641">
        <f>IF(NOT(ISBLANK(A641)),VLOOKUP(A641,'Close - PriceSaver'!A:J,5,0),"")</f>
        <v>5.3334640480832397E-2</v>
      </c>
      <c r="I641" s="4" t="e" cm="1">
        <f t="array" ref="I641">IF(NOT(ISBLANK(A641)),((_xlfn.XLOOKUP(1,(_bbt3[[#All],[ID]]=A641)*(_bbt3[[#All],[METRIC_NAME]]="YLD_YTM_ASK"),_bbt3[[#All],[METRIC_VALUE]])*0.5)+(_xlfn.XLOOKUP(1,(_bbt3[[#All],[ID]]=A641)*(_bbt3[[#All],[METRIC_NAME]]="YLD_YTM_BID"),_bbt3[[#All],[METRIC_VALUE]])*0.5))/100,"")</f>
        <v>#N/A</v>
      </c>
      <c r="J641">
        <f>IF(ISNA(VLOOKUP(A641,'CloseDL - PriceSaverBBT3'!A:E,5,0)),0,VLOOKUP(A641,'CloseDL - PriceSaverBBT3'!A:E,5,0))</f>
        <v>5.3334640480832397E-2</v>
      </c>
      <c r="K641" s="7">
        <f t="shared" si="93"/>
        <v>0</v>
      </c>
      <c r="L641" s="20">
        <f>IF(Close[[#This Row],[CreatedBy]]="MARINER\SilverAdm",1,0)</f>
        <v>1</v>
      </c>
      <c r="M641" t="str">
        <f>IF(NOT(ISBLANK(A641)),VLOOKUP(A641,'Close - PriceSaver'!A:J,6,0),"")</f>
        <v>DL input prc = 40.72614977  PX_ASK = 40.86493238 PX_BID = 40.58736716</v>
      </c>
      <c r="Q641" t="e">
        <f t="shared" si="94"/>
        <v>#N/A</v>
      </c>
      <c r="R641" t="e">
        <f t="shared" si="95"/>
        <v>#N/A</v>
      </c>
      <c r="S641" t="e">
        <f t="shared" si="96"/>
        <v>#N/A</v>
      </c>
      <c r="T641" s="15" t="e">
        <f t="shared" si="97"/>
        <v>#N/A</v>
      </c>
      <c r="U641" s="18" t="e">
        <f t="shared" si="98"/>
        <v>#N/A</v>
      </c>
      <c r="V641" s="18" t="e">
        <f t="shared" si="99"/>
        <v>#N/A</v>
      </c>
      <c r="W641" s="19" t="e">
        <f t="shared" si="100"/>
        <v>#N/A</v>
      </c>
      <c r="X641" t="e">
        <f>VLOOKUP(P641,Close[[ID]:[CreatedBy]],8,0)</f>
        <v>#N/A</v>
      </c>
    </row>
    <row r="642" spans="1:24" x14ac:dyDescent="0.35">
      <c r="A642" t="str">
        <v>912834MZ8</v>
      </c>
      <c r="B642" t="str">
        <f>IF(NOT(ISBLANK(A642)),VLOOKUP(A642,'BBT3'!A:F,2,0),"")</f>
        <v>Bond</v>
      </c>
      <c r="C642" t="str">
        <f>IF(NOT(ISBLANK(A642)),VLOOKUP(A642,'BBT3'!A:F,3,0),"")</f>
        <v>US912834MZ86</v>
      </c>
      <c r="D642" s="5">
        <f>IF(NOT(ISBLANK(A642)),VLOOKUP(A642,'BBT3'!A:F,4,1),"")</f>
        <v>0</v>
      </c>
      <c r="E642">
        <f>IF(NOT(ISBLANK(A642)),VLOOKUP(A642,'BBT3'!A:F,5,0),"")</f>
        <v>52550</v>
      </c>
      <c r="F642" t="str">
        <f>IF(NOT(ISBLANK(A642)),VLOOKUP(A642,'BBT3'!A:F,6,0),"")</f>
        <v>N</v>
      </c>
      <c r="G642" t="str">
        <f t="shared" si="92"/>
        <v>Y</v>
      </c>
      <c r="H642">
        <f>IF(NOT(ISBLANK(A642)),VLOOKUP(A642,'Close - PriceSaver'!A:J,5,0),"")</f>
        <v>5.3469541056898502E-2</v>
      </c>
      <c r="I642" s="4" t="e" cm="1">
        <f t="array" ref="I642">IF(NOT(ISBLANK(A642)),((_xlfn.XLOOKUP(1,(_bbt3[[#All],[ID]]=A642)*(_bbt3[[#All],[METRIC_NAME]]="YLD_YTM_ASK"),_bbt3[[#All],[METRIC_VALUE]])*0.5)+(_xlfn.XLOOKUP(1,(_bbt3[[#All],[ID]]=A642)*(_bbt3[[#All],[METRIC_NAME]]="YLD_YTM_BID"),_bbt3[[#All],[METRIC_VALUE]])*0.5))/100,"")</f>
        <v>#N/A</v>
      </c>
      <c r="J642">
        <f>IF(ISNA(VLOOKUP(A642,'CloseDL - PriceSaverBBT3'!A:E,5,0)),0,VLOOKUP(A642,'CloseDL - PriceSaverBBT3'!A:E,5,0))</f>
        <v>5.3469541056898502E-2</v>
      </c>
      <c r="K642" s="7">
        <f t="shared" si="93"/>
        <v>0</v>
      </c>
      <c r="L642" s="20">
        <f>IF(Close[[#This Row],[CreatedBy]]="MARINER\SilverAdm",1,0)</f>
        <v>1</v>
      </c>
      <c r="M642" t="str">
        <f>IF(NOT(ISBLANK(A642)),VLOOKUP(A642,'Close - PriceSaver'!A:J,6,0),"")</f>
        <v>DL input prc = 40.10468761  PX_ASK = 40.26024490 PX_BID = 39.94913031</v>
      </c>
      <c r="Q642" t="e">
        <f t="shared" si="94"/>
        <v>#N/A</v>
      </c>
      <c r="R642" t="e">
        <f t="shared" si="95"/>
        <v>#N/A</v>
      </c>
      <c r="S642" t="e">
        <f t="shared" si="96"/>
        <v>#N/A</v>
      </c>
      <c r="T642" s="15" t="e">
        <f t="shared" si="97"/>
        <v>#N/A</v>
      </c>
      <c r="U642" s="18" t="e">
        <f t="shared" si="98"/>
        <v>#N/A</v>
      </c>
      <c r="V642" s="18" t="e">
        <f t="shared" si="99"/>
        <v>#N/A</v>
      </c>
      <c r="W642" s="19" t="e">
        <f t="shared" si="100"/>
        <v>#N/A</v>
      </c>
      <c r="X642" t="e">
        <f>VLOOKUP(P642,Close[[ID]:[CreatedBy]],8,0)</f>
        <v>#N/A</v>
      </c>
    </row>
    <row r="643" spans="1:24" x14ac:dyDescent="0.35">
      <c r="A643" t="str">
        <v>912834NF1</v>
      </c>
      <c r="B643" t="str">
        <f>IF(NOT(ISBLANK(A643)),VLOOKUP(A643,'BBT3'!A:F,2,0),"")</f>
        <v>Bond</v>
      </c>
      <c r="C643" t="str">
        <f>IF(NOT(ISBLANK(A643)),VLOOKUP(A643,'BBT3'!A:F,3,0),"")</f>
        <v>US912834NF14</v>
      </c>
      <c r="D643" s="5">
        <f>IF(NOT(ISBLANK(A643)),VLOOKUP(A643,'BBT3'!A:F,4,1),"")</f>
        <v>0</v>
      </c>
      <c r="E643">
        <f>IF(NOT(ISBLANK(A643)),VLOOKUP(A643,'BBT3'!A:F,5,0),"")</f>
        <v>52642</v>
      </c>
      <c r="F643" t="str">
        <f>IF(NOT(ISBLANK(A643)),VLOOKUP(A643,'BBT3'!A:F,6,0),"")</f>
        <v>N</v>
      </c>
      <c r="G643" t="str">
        <f t="shared" ref="G643:G706" si="101">IF(NOT(ISBLANK(A643)),IF(D643=0,"Y","N"),"")</f>
        <v>Y</v>
      </c>
      <c r="H643">
        <f>IF(NOT(ISBLANK(A643)),VLOOKUP(A643,'Close - PriceSaver'!A:J,5,0),"")</f>
        <v>5.35591171684697E-2</v>
      </c>
      <c r="I643" s="4" t="e" cm="1">
        <f t="array" ref="I643">IF(NOT(ISBLANK(A643)),((_xlfn.XLOOKUP(1,(_bbt3[[#All],[ID]]=A643)*(_bbt3[[#All],[METRIC_NAME]]="YLD_YTM_ASK"),_bbt3[[#All],[METRIC_VALUE]])*0.5)+(_xlfn.XLOOKUP(1,(_bbt3[[#All],[ID]]=A643)*(_bbt3[[#All],[METRIC_NAME]]="YLD_YTM_BID"),_bbt3[[#All],[METRIC_VALUE]])*0.5))/100,"")</f>
        <v>#N/A</v>
      </c>
      <c r="J643">
        <f>IF(ISNA(VLOOKUP(A643,'CloseDL - PriceSaverBBT3'!A:E,5,0)),0,VLOOKUP(A643,'CloseDL - PriceSaverBBT3'!A:E,5,0))</f>
        <v>5.35591171684697E-2</v>
      </c>
      <c r="K643" s="7">
        <f t="shared" ref="K643:K706" si="102">IF(ISNA(IF(NOT(ISBLANK(A643)),ABS(H643-J643),"")),0,(IF(NOT(ISBLANK(A643)),ABS(H643-J643)*10000,"")))</f>
        <v>0</v>
      </c>
      <c r="L643" s="20">
        <f>IF(Close[[#This Row],[CreatedBy]]="MARINER\SilverAdm",1,0)</f>
        <v>1</v>
      </c>
      <c r="M643" t="str">
        <f>IF(NOT(ISBLANK(A643)),VLOOKUP(A643,'Close - PriceSaver'!A:J,6,0),"")</f>
        <v>DL input prc = 39.51596271  PX_ASK = 39.67145219 PX_BID = 39.36047322</v>
      </c>
      <c r="Q643" t="e">
        <f t="shared" si="94"/>
        <v>#N/A</v>
      </c>
      <c r="R643" t="e">
        <f t="shared" si="95"/>
        <v>#N/A</v>
      </c>
      <c r="S643" t="e">
        <f t="shared" si="96"/>
        <v>#N/A</v>
      </c>
      <c r="T643" s="15" t="e">
        <f t="shared" si="97"/>
        <v>#N/A</v>
      </c>
      <c r="U643" s="18" t="e">
        <f t="shared" si="98"/>
        <v>#N/A</v>
      </c>
      <c r="V643" s="18" t="e">
        <f t="shared" si="99"/>
        <v>#N/A</v>
      </c>
      <c r="W643" s="19" t="e">
        <f t="shared" si="100"/>
        <v>#N/A</v>
      </c>
      <c r="X643" t="e">
        <f>VLOOKUP(P643,Close[[ID]:[CreatedBy]],8,0)</f>
        <v>#N/A</v>
      </c>
    </row>
    <row r="644" spans="1:24" x14ac:dyDescent="0.35">
      <c r="A644" t="str">
        <v>912834NP9</v>
      </c>
      <c r="B644" t="str">
        <f>IF(NOT(ISBLANK(A644)),VLOOKUP(A644,'BBT3'!A:F,2,0),"")</f>
        <v>Bond</v>
      </c>
      <c r="C644" t="str">
        <f>IF(NOT(ISBLANK(A644)),VLOOKUP(A644,'BBT3'!A:F,3,0),"")</f>
        <v>US912834NP95</v>
      </c>
      <c r="D644" s="5">
        <f>IF(NOT(ISBLANK(A644)),VLOOKUP(A644,'BBT3'!A:F,4,1),"")</f>
        <v>0</v>
      </c>
      <c r="E644">
        <f>IF(NOT(ISBLANK(A644)),VLOOKUP(A644,'BBT3'!A:F,5,0),"")</f>
        <v>52732</v>
      </c>
      <c r="F644" t="str">
        <f>IF(NOT(ISBLANK(A644)),VLOOKUP(A644,'BBT3'!A:F,6,0),"")</f>
        <v>N</v>
      </c>
      <c r="G644" t="str">
        <f t="shared" si="101"/>
        <v>Y</v>
      </c>
      <c r="H644">
        <f>IF(NOT(ISBLANK(A644)),VLOOKUP(A644,'Close - PriceSaver'!A:J,5,0),"")</f>
        <v>5.3699606712618302E-2</v>
      </c>
      <c r="I644" s="4" t="e" cm="1">
        <f t="array" ref="I644">IF(NOT(ISBLANK(A644)),((_xlfn.XLOOKUP(1,(_bbt3[[#All],[ID]]=A644)*(_bbt3[[#All],[METRIC_NAME]]="YLD_YTM_ASK"),_bbt3[[#All],[METRIC_VALUE]])*0.5)+(_xlfn.XLOOKUP(1,(_bbt3[[#All],[ID]]=A644)*(_bbt3[[#All],[METRIC_NAME]]="YLD_YTM_BID"),_bbt3[[#All],[METRIC_VALUE]])*0.5))/100,"")</f>
        <v>#N/A</v>
      </c>
      <c r="J644">
        <f>IF(ISNA(VLOOKUP(A644,'CloseDL - PriceSaverBBT3'!A:E,5,0)),0,VLOOKUP(A644,'CloseDL - PriceSaverBBT3'!A:E,5,0))</f>
        <v>5.3699606712618302E-2</v>
      </c>
      <c r="K644" s="7">
        <f t="shared" si="102"/>
        <v>0</v>
      </c>
      <c r="L644" s="20">
        <f>IF(Close[[#This Row],[CreatedBy]]="MARINER\SilverAdm",1,0)</f>
        <v>1</v>
      </c>
      <c r="M644" t="str">
        <f>IF(NOT(ISBLANK(A644)),VLOOKUP(A644,'Close - PriceSaver'!A:J,6,0),"")</f>
        <v>DL input prc = 38.90480878  PX_ASK = 39.04655281 PX_BID = 38.76306475</v>
      </c>
      <c r="Q644" t="e">
        <f t="shared" si="94"/>
        <v>#N/A</v>
      </c>
      <c r="R644" t="e">
        <f t="shared" si="95"/>
        <v>#N/A</v>
      </c>
      <c r="S644" t="e">
        <f t="shared" si="96"/>
        <v>#N/A</v>
      </c>
      <c r="T644" s="15" t="e">
        <f t="shared" si="97"/>
        <v>#N/A</v>
      </c>
      <c r="U644" s="18" t="e">
        <f t="shared" si="98"/>
        <v>#N/A</v>
      </c>
      <c r="V644" s="18" t="e">
        <f t="shared" si="99"/>
        <v>#N/A</v>
      </c>
      <c r="W644" s="19" t="e">
        <f t="shared" si="100"/>
        <v>#N/A</v>
      </c>
      <c r="X644" t="e">
        <f>VLOOKUP(P644,Close[[ID]:[CreatedBy]],8,0)</f>
        <v>#N/A</v>
      </c>
    </row>
    <row r="645" spans="1:24" x14ac:dyDescent="0.35">
      <c r="A645" t="str">
        <v>912834NV6</v>
      </c>
      <c r="B645" t="str">
        <f>IF(NOT(ISBLANK(A645)),VLOOKUP(A645,'BBT3'!A:F,2,0),"")</f>
        <v>Bond</v>
      </c>
      <c r="C645" t="str">
        <f>IF(NOT(ISBLANK(A645)),VLOOKUP(A645,'BBT3'!A:F,3,0),"")</f>
        <v>US912834NV63</v>
      </c>
      <c r="D645" s="5">
        <f>IF(NOT(ISBLANK(A645)),VLOOKUP(A645,'BBT3'!A:F,4,1),"")</f>
        <v>0</v>
      </c>
      <c r="E645">
        <f>IF(NOT(ISBLANK(A645)),VLOOKUP(A645,'BBT3'!A:F,5,0),"")</f>
        <v>52824</v>
      </c>
      <c r="F645" t="str">
        <f>IF(NOT(ISBLANK(A645)),VLOOKUP(A645,'BBT3'!A:F,6,0),"")</f>
        <v>N</v>
      </c>
      <c r="G645" t="str">
        <f t="shared" si="101"/>
        <v>Y</v>
      </c>
      <c r="H645">
        <f>IF(NOT(ISBLANK(A645)),VLOOKUP(A645,'Close - PriceSaver'!A:J,5,0),"")</f>
        <v>5.37396013237516E-2</v>
      </c>
      <c r="I645" s="4" t="e" cm="1">
        <f t="array" ref="I645">IF(NOT(ISBLANK(A645)),((_xlfn.XLOOKUP(1,(_bbt3[[#All],[ID]]=A645)*(_bbt3[[#All],[METRIC_NAME]]="YLD_YTM_ASK"),_bbt3[[#All],[METRIC_VALUE]])*0.5)+(_xlfn.XLOOKUP(1,(_bbt3[[#All],[ID]]=A645)*(_bbt3[[#All],[METRIC_NAME]]="YLD_YTM_BID"),_bbt3[[#All],[METRIC_VALUE]])*0.5))/100,"")</f>
        <v>#N/A</v>
      </c>
      <c r="J645">
        <f>IF(ISNA(VLOOKUP(A645,'CloseDL - PriceSaverBBT3'!A:E,5,0)),0,VLOOKUP(A645,'CloseDL - PriceSaverBBT3'!A:E,5,0))</f>
        <v>5.37396013237516E-2</v>
      </c>
      <c r="K645" s="7">
        <f t="shared" si="102"/>
        <v>0</v>
      </c>
      <c r="L645" s="20">
        <f>IF(Close[[#This Row],[CreatedBy]]="MARINER\SilverAdm",1,0)</f>
        <v>1</v>
      </c>
      <c r="M645" t="str">
        <f>IF(NOT(ISBLANK(A645)),VLOOKUP(A645,'Close - PriceSaver'!A:J,6,0),"")</f>
        <v>DL input prc = 38.36359988  PX_ASK = 38.50533921 PX_BID = 38.22186055</v>
      </c>
      <c r="Q645" t="e">
        <f t="shared" si="94"/>
        <v>#N/A</v>
      </c>
      <c r="R645" t="e">
        <f t="shared" si="95"/>
        <v>#N/A</v>
      </c>
      <c r="S645" t="e">
        <f t="shared" si="96"/>
        <v>#N/A</v>
      </c>
      <c r="T645" s="15" t="e">
        <f t="shared" si="97"/>
        <v>#N/A</v>
      </c>
      <c r="U645" s="18" t="e">
        <f t="shared" si="98"/>
        <v>#N/A</v>
      </c>
      <c r="V645" s="18" t="e">
        <f t="shared" si="99"/>
        <v>#N/A</v>
      </c>
      <c r="W645" s="19" t="e">
        <f t="shared" si="100"/>
        <v>#N/A</v>
      </c>
      <c r="X645" t="e">
        <f>VLOOKUP(P645,Close[[ID]:[CreatedBy]],8,0)</f>
        <v>#N/A</v>
      </c>
    </row>
    <row r="646" spans="1:24" x14ac:dyDescent="0.35">
      <c r="A646" t="str">
        <v>912834PB8</v>
      </c>
      <c r="B646" t="str">
        <f>IF(NOT(ISBLANK(A646)),VLOOKUP(A646,'BBT3'!A:F,2,0),"")</f>
        <v>Bond</v>
      </c>
      <c r="C646" t="str">
        <f>IF(NOT(ISBLANK(A646)),VLOOKUP(A646,'BBT3'!A:F,3,0),"")</f>
        <v>US912834PB81</v>
      </c>
      <c r="D646" s="5">
        <f>IF(NOT(ISBLANK(A646)),VLOOKUP(A646,'BBT3'!A:F,4,1),"")</f>
        <v>0</v>
      </c>
      <c r="E646">
        <f>IF(NOT(ISBLANK(A646)),VLOOKUP(A646,'BBT3'!A:F,5,0),"")</f>
        <v>52916</v>
      </c>
      <c r="F646" t="str">
        <f>IF(NOT(ISBLANK(A646)),VLOOKUP(A646,'BBT3'!A:F,6,0),"")</f>
        <v>N</v>
      </c>
      <c r="G646" t="str">
        <f t="shared" si="101"/>
        <v>Y</v>
      </c>
      <c r="H646">
        <f>IF(NOT(ISBLANK(A646)),VLOOKUP(A646,'Close - PriceSaver'!A:J,5,0),"")</f>
        <v>5.3854494087742399E-2</v>
      </c>
      <c r="I646" s="4" t="e" cm="1">
        <f t="array" ref="I646">IF(NOT(ISBLANK(A646)),((_xlfn.XLOOKUP(1,(_bbt3[[#All],[ID]]=A646)*(_bbt3[[#All],[METRIC_NAME]]="YLD_YTM_ASK"),_bbt3[[#All],[METRIC_VALUE]])*0.5)+(_xlfn.XLOOKUP(1,(_bbt3[[#All],[ID]]=A646)*(_bbt3[[#All],[METRIC_NAME]]="YLD_YTM_BID"),_bbt3[[#All],[METRIC_VALUE]])*0.5))/100,"")</f>
        <v>#N/A</v>
      </c>
      <c r="J646">
        <f>IF(ISNA(VLOOKUP(A646,'CloseDL - PriceSaverBBT3'!A:E,5,0)),0,VLOOKUP(A646,'CloseDL - PriceSaverBBT3'!A:E,5,0))</f>
        <v>5.3854494087742399E-2</v>
      </c>
      <c r="K646" s="7">
        <f t="shared" si="102"/>
        <v>0</v>
      </c>
      <c r="L646" s="20">
        <f>IF(Close[[#This Row],[CreatedBy]]="MARINER\SilverAdm",1,0)</f>
        <v>1</v>
      </c>
      <c r="M646" t="str">
        <f>IF(NOT(ISBLANK(A646)),VLOOKUP(A646,'Close - PriceSaver'!A:J,6,0),"")</f>
        <v>DL input prc = 37.78301541  PX_ASK = 37.94137130 PX_BID = 37.62465951</v>
      </c>
      <c r="Q646" t="e">
        <f t="shared" si="94"/>
        <v>#N/A</v>
      </c>
      <c r="R646" t="e">
        <f t="shared" si="95"/>
        <v>#N/A</v>
      </c>
      <c r="S646" t="e">
        <f t="shared" si="96"/>
        <v>#N/A</v>
      </c>
      <c r="T646" s="15" t="e">
        <f t="shared" si="97"/>
        <v>#N/A</v>
      </c>
      <c r="U646" s="18" t="e">
        <f t="shared" si="98"/>
        <v>#N/A</v>
      </c>
      <c r="V646" s="18" t="e">
        <f t="shared" si="99"/>
        <v>#N/A</v>
      </c>
      <c r="W646" s="19" t="e">
        <f t="shared" si="100"/>
        <v>#N/A</v>
      </c>
      <c r="X646" t="e">
        <f>VLOOKUP(P646,Close[[ID]:[CreatedBy]],8,0)</f>
        <v>#N/A</v>
      </c>
    </row>
    <row r="647" spans="1:24" x14ac:dyDescent="0.35">
      <c r="A647" t="str">
        <v>912834PH5</v>
      </c>
      <c r="B647" t="str">
        <f>IF(NOT(ISBLANK(A647)),VLOOKUP(A647,'BBT3'!A:F,2,0),"")</f>
        <v>Bond</v>
      </c>
      <c r="C647" t="str">
        <f>IF(NOT(ISBLANK(A647)),VLOOKUP(A647,'BBT3'!A:F,3,0),"")</f>
        <v>US912834PH51</v>
      </c>
      <c r="D647" s="5">
        <f>IF(NOT(ISBLANK(A647)),VLOOKUP(A647,'BBT3'!A:F,4,1),"")</f>
        <v>0</v>
      </c>
      <c r="E647">
        <f>IF(NOT(ISBLANK(A647)),VLOOKUP(A647,'BBT3'!A:F,5,0),"")</f>
        <v>53008</v>
      </c>
      <c r="F647" t="str">
        <f>IF(NOT(ISBLANK(A647)),VLOOKUP(A647,'BBT3'!A:F,6,0),"")</f>
        <v>N</v>
      </c>
      <c r="G647" t="str">
        <f t="shared" si="101"/>
        <v>Y</v>
      </c>
      <c r="H647">
        <f>IF(NOT(ISBLANK(A647)),VLOOKUP(A647,'Close - PriceSaver'!A:J,5,0),"")</f>
        <v>5.3919363581978699E-2</v>
      </c>
      <c r="I647" s="4" t="e" cm="1">
        <f t="array" ref="I647">IF(NOT(ISBLANK(A647)),((_xlfn.XLOOKUP(1,(_bbt3[[#All],[ID]]=A647)*(_bbt3[[#All],[METRIC_NAME]]="YLD_YTM_ASK"),_bbt3[[#All],[METRIC_VALUE]])*0.5)+(_xlfn.XLOOKUP(1,(_bbt3[[#All],[ID]]=A647)*(_bbt3[[#All],[METRIC_NAME]]="YLD_YTM_BID"),_bbt3[[#All],[METRIC_VALUE]])*0.5))/100,"")</f>
        <v>#N/A</v>
      </c>
      <c r="J647">
        <f>IF(ISNA(VLOOKUP(A647,'CloseDL - PriceSaverBBT3'!A:E,5,0)),0,VLOOKUP(A647,'CloseDL - PriceSaverBBT3'!A:E,5,0))</f>
        <v>5.3919363581978699E-2</v>
      </c>
      <c r="K647" s="7">
        <f t="shared" si="102"/>
        <v>0</v>
      </c>
      <c r="L647" s="20">
        <f>IF(Close[[#This Row],[CreatedBy]]="MARINER\SilverAdm",1,0)</f>
        <v>1</v>
      </c>
      <c r="M647" t="str">
        <f>IF(NOT(ISBLANK(A647)),VLOOKUP(A647,'Close - PriceSaver'!A:J,6,0),"")</f>
        <v>DL input prc = 37.23834856  PX_ASK = 37.37299358 PX_BID = 37.10370353</v>
      </c>
      <c r="Q647" t="e">
        <f t="shared" si="94"/>
        <v>#N/A</v>
      </c>
      <c r="R647" t="e">
        <f t="shared" si="95"/>
        <v>#N/A</v>
      </c>
      <c r="S647" t="e">
        <f t="shared" si="96"/>
        <v>#N/A</v>
      </c>
      <c r="T647" s="15" t="e">
        <f t="shared" si="97"/>
        <v>#N/A</v>
      </c>
      <c r="U647" s="18" t="e">
        <f t="shared" si="98"/>
        <v>#N/A</v>
      </c>
      <c r="V647" s="18" t="e">
        <f t="shared" si="99"/>
        <v>#N/A</v>
      </c>
      <c r="W647" s="19" t="e">
        <f t="shared" si="100"/>
        <v>#N/A</v>
      </c>
      <c r="X647" t="e">
        <f>VLOOKUP(P647,Close[[ID]:[CreatedBy]],8,0)</f>
        <v>#N/A</v>
      </c>
    </row>
    <row r="648" spans="1:24" x14ac:dyDescent="0.35">
      <c r="A648" t="str">
        <v>912834PM4</v>
      </c>
      <c r="B648" t="str">
        <f>IF(NOT(ISBLANK(A648)),VLOOKUP(A648,'BBT3'!A:F,2,0),"")</f>
        <v>Bond</v>
      </c>
      <c r="C648" t="str">
        <f>IF(NOT(ISBLANK(A648)),VLOOKUP(A648,'BBT3'!A:F,3,0),"")</f>
        <v>US912834PM47</v>
      </c>
      <c r="D648" s="5">
        <f>IF(NOT(ISBLANK(A648)),VLOOKUP(A648,'BBT3'!A:F,4,1),"")</f>
        <v>0</v>
      </c>
      <c r="E648">
        <f>IF(NOT(ISBLANK(A648)),VLOOKUP(A648,'BBT3'!A:F,5,0),"")</f>
        <v>53189</v>
      </c>
      <c r="F648" t="str">
        <f>IF(NOT(ISBLANK(A648)),VLOOKUP(A648,'BBT3'!A:F,6,0),"")</f>
        <v>N</v>
      </c>
      <c r="G648" t="str">
        <f t="shared" si="101"/>
        <v>Y</v>
      </c>
      <c r="H648">
        <f>IF(NOT(ISBLANK(A648)),VLOOKUP(A648,'Close - PriceSaver'!A:J,5,0),"")</f>
        <v>5.4019496083343201E-2</v>
      </c>
      <c r="I648" s="4" t="e" cm="1">
        <f t="array" ref="I648">IF(NOT(ISBLANK(A648)),((_xlfn.XLOOKUP(1,(_bbt3[[#All],[ID]]=A648)*(_bbt3[[#All],[METRIC_NAME]]="YLD_YTM_ASK"),_bbt3[[#All],[METRIC_VALUE]])*0.5)+(_xlfn.XLOOKUP(1,(_bbt3[[#All],[ID]]=A648)*(_bbt3[[#All],[METRIC_NAME]]="YLD_YTM_BID"),_bbt3[[#All],[METRIC_VALUE]])*0.5))/100,"")</f>
        <v>#N/A</v>
      </c>
      <c r="J648">
        <f>IF(ISNA(VLOOKUP(A648,'CloseDL - PriceSaverBBT3'!A:E,5,0)),0,VLOOKUP(A648,'CloseDL - PriceSaverBBT3'!A:E,5,0))</f>
        <v>5.4019496083343201E-2</v>
      </c>
      <c r="K648" s="7">
        <f t="shared" si="102"/>
        <v>0</v>
      </c>
      <c r="L648" s="20">
        <f>IF(Close[[#This Row],[CreatedBy]]="MARINER\SilverAdm",1,0)</f>
        <v>1</v>
      </c>
      <c r="M648" t="str">
        <f>IF(NOT(ISBLANK(A648)),VLOOKUP(A648,'Close - PriceSaver'!A:J,6,0),"")</f>
        <v>DL input prc = 36.19359735  PX_ASK = 36.34814011 PX_BID = 36.03905459</v>
      </c>
      <c r="Q648" t="e">
        <f t="shared" si="94"/>
        <v>#N/A</v>
      </c>
      <c r="R648" t="e">
        <f t="shared" si="95"/>
        <v>#N/A</v>
      </c>
      <c r="S648" t="e">
        <f t="shared" si="96"/>
        <v>#N/A</v>
      </c>
      <c r="T648" s="15" t="e">
        <f t="shared" si="97"/>
        <v>#N/A</v>
      </c>
      <c r="U648" s="18" t="e">
        <f t="shared" si="98"/>
        <v>#N/A</v>
      </c>
      <c r="V648" s="18" t="e">
        <f t="shared" si="99"/>
        <v>#N/A</v>
      </c>
      <c r="W648" s="19" t="e">
        <f t="shared" si="100"/>
        <v>#N/A</v>
      </c>
      <c r="X648" t="e">
        <f>VLOOKUP(P648,Close[[ID]:[CreatedBy]],8,0)</f>
        <v>#N/A</v>
      </c>
    </row>
    <row r="649" spans="1:24" x14ac:dyDescent="0.35">
      <c r="A649" t="str">
        <v>912834PT9</v>
      </c>
      <c r="B649" t="str">
        <f>IF(NOT(ISBLANK(A649)),VLOOKUP(A649,'BBT3'!A:F,2,0),"")</f>
        <v>Bond</v>
      </c>
      <c r="C649" t="str">
        <f>IF(NOT(ISBLANK(A649)),VLOOKUP(A649,'BBT3'!A:F,3,0),"")</f>
        <v>US912834PT99</v>
      </c>
      <c r="D649" s="5">
        <f>IF(NOT(ISBLANK(A649)),VLOOKUP(A649,'BBT3'!A:F,4,1),"")</f>
        <v>0</v>
      </c>
      <c r="E649">
        <f>IF(NOT(ISBLANK(A649)),VLOOKUP(A649,'BBT3'!A:F,5,0),"")</f>
        <v>53281</v>
      </c>
      <c r="F649" t="str">
        <f>IF(NOT(ISBLANK(A649)),VLOOKUP(A649,'BBT3'!A:F,6,0),"")</f>
        <v>N</v>
      </c>
      <c r="G649" t="str">
        <f t="shared" si="101"/>
        <v>Y</v>
      </c>
      <c r="H649">
        <f>IF(NOT(ISBLANK(A649)),VLOOKUP(A649,'Close - PriceSaver'!A:J,5,0),"")</f>
        <v>5.4054420945130799E-2</v>
      </c>
      <c r="I649" s="4" t="e" cm="1">
        <f t="array" ref="I649">IF(NOT(ISBLANK(A649)),((_xlfn.XLOOKUP(1,(_bbt3[[#All],[ID]]=A649)*(_bbt3[[#All],[METRIC_NAME]]="YLD_YTM_ASK"),_bbt3[[#All],[METRIC_VALUE]])*0.5)+(_xlfn.XLOOKUP(1,(_bbt3[[#All],[ID]]=A649)*(_bbt3[[#All],[METRIC_NAME]]="YLD_YTM_BID"),_bbt3[[#All],[METRIC_VALUE]])*0.5))/100,"")</f>
        <v>#N/A</v>
      </c>
      <c r="J649">
        <f>IF(ISNA(VLOOKUP(A649,'CloseDL - PriceSaverBBT3'!A:E,5,0)),0,VLOOKUP(A649,'CloseDL - PriceSaverBBT3'!A:E,5,0))</f>
        <v>5.4054420945130799E-2</v>
      </c>
      <c r="K649" s="7">
        <f t="shared" si="102"/>
        <v>0</v>
      </c>
      <c r="L649" s="20">
        <f>IF(Close[[#This Row],[CreatedBy]]="MARINER\SilverAdm",1,0)</f>
        <v>1</v>
      </c>
      <c r="M649" t="str">
        <f>IF(NOT(ISBLANK(A649)),VLOOKUP(A649,'Close - PriceSaver'!A:J,6,0),"")</f>
        <v>DL input prc = 35.69309691  PX_ASK = 35.85755861 PX_BID = 35.52863521</v>
      </c>
      <c r="Q649" t="e">
        <f t="shared" si="94"/>
        <v>#N/A</v>
      </c>
      <c r="R649" t="e">
        <f t="shared" si="95"/>
        <v>#N/A</v>
      </c>
      <c r="S649" t="e">
        <f t="shared" si="96"/>
        <v>#N/A</v>
      </c>
      <c r="T649" s="15" t="e">
        <f t="shared" si="97"/>
        <v>#N/A</v>
      </c>
      <c r="U649" s="18" t="e">
        <f t="shared" si="98"/>
        <v>#N/A</v>
      </c>
      <c r="V649" s="18" t="e">
        <f t="shared" si="99"/>
        <v>#N/A</v>
      </c>
      <c r="W649" s="19" t="e">
        <f t="shared" si="100"/>
        <v>#N/A</v>
      </c>
      <c r="X649" t="e">
        <f>VLOOKUP(P649,Close[[ID]:[CreatedBy]],8,0)</f>
        <v>#N/A</v>
      </c>
    </row>
    <row r="650" spans="1:24" x14ac:dyDescent="0.35">
      <c r="A650" t="str">
        <v>912834PZ5</v>
      </c>
      <c r="B650" t="str">
        <f>IF(NOT(ISBLANK(A650)),VLOOKUP(A650,'BBT3'!A:F,2,0),"")</f>
        <v>Bond</v>
      </c>
      <c r="C650" t="str">
        <f>IF(NOT(ISBLANK(A650)),VLOOKUP(A650,'BBT3'!A:F,3,0),"")</f>
        <v>US912834PZ59</v>
      </c>
      <c r="D650" s="5">
        <f>IF(NOT(ISBLANK(A650)),VLOOKUP(A650,'BBT3'!A:F,4,1),"")</f>
        <v>0</v>
      </c>
      <c r="E650">
        <f>IF(NOT(ISBLANK(A650)),VLOOKUP(A650,'BBT3'!A:F,5,0),"")</f>
        <v>53373</v>
      </c>
      <c r="F650" t="str">
        <f>IF(NOT(ISBLANK(A650)),VLOOKUP(A650,'BBT3'!A:F,6,0),"")</f>
        <v>N</v>
      </c>
      <c r="G650" t="str">
        <f t="shared" si="101"/>
        <v>Y</v>
      </c>
      <c r="H650">
        <f>IF(NOT(ISBLANK(A650)),VLOOKUP(A650,'Close - PriceSaver'!A:J,5,0),"")</f>
        <v>5.4099483043279203E-2</v>
      </c>
      <c r="I650" s="4" t="e" cm="1">
        <f t="array" ref="I650">IF(NOT(ISBLANK(A650)),((_xlfn.XLOOKUP(1,(_bbt3[[#All],[ID]]=A650)*(_bbt3[[#All],[METRIC_NAME]]="YLD_YTM_ASK"),_bbt3[[#All],[METRIC_VALUE]])*0.5)+(_xlfn.XLOOKUP(1,(_bbt3[[#All],[ID]]=A650)*(_bbt3[[#All],[METRIC_NAME]]="YLD_YTM_BID"),_bbt3[[#All],[METRIC_VALUE]])*0.5))/100,"")</f>
        <v>#N/A</v>
      </c>
      <c r="J650">
        <f>IF(ISNA(VLOOKUP(A650,'CloseDL - PriceSaverBBT3'!A:E,5,0)),0,VLOOKUP(A650,'CloseDL - PriceSaverBBT3'!A:E,5,0))</f>
        <v>5.4099483043279203E-2</v>
      </c>
      <c r="K650" s="7">
        <f t="shared" si="102"/>
        <v>0</v>
      </c>
      <c r="L650" s="20">
        <f>IF(Close[[#This Row],[CreatedBy]]="MARINER\SilverAdm",1,0)</f>
        <v>1</v>
      </c>
      <c r="M650" t="str">
        <f>IF(NOT(ISBLANK(A650)),VLOOKUP(A650,'Close - PriceSaver'!A:J,6,0),"")</f>
        <v>DL input prc = 35.18798005  PX_ASK = 35.32205242 PX_BID = 35.05390767</v>
      </c>
      <c r="Q650" t="e">
        <f t="shared" si="94"/>
        <v>#N/A</v>
      </c>
      <c r="R650" t="e">
        <f t="shared" si="95"/>
        <v>#N/A</v>
      </c>
      <c r="S650" t="e">
        <f t="shared" si="96"/>
        <v>#N/A</v>
      </c>
      <c r="T650" s="15" t="e">
        <f t="shared" si="97"/>
        <v>#N/A</v>
      </c>
      <c r="U650" s="18" t="e">
        <f t="shared" si="98"/>
        <v>#N/A</v>
      </c>
      <c r="V650" s="18" t="e">
        <f t="shared" si="99"/>
        <v>#N/A</v>
      </c>
      <c r="W650" s="19" t="e">
        <f t="shared" si="100"/>
        <v>#N/A</v>
      </c>
      <c r="X650" t="e">
        <f>VLOOKUP(P650,Close[[ID]:[CreatedBy]],8,0)</f>
        <v>#N/A</v>
      </c>
    </row>
    <row r="651" spans="1:24" x14ac:dyDescent="0.35">
      <c r="A651" t="str">
        <v>912834QH4</v>
      </c>
      <c r="B651" t="str">
        <f>IF(NOT(ISBLANK(A651)),VLOOKUP(A651,'BBT3'!A:F,2,0),"")</f>
        <v>Bond</v>
      </c>
      <c r="C651" t="str">
        <f>IF(NOT(ISBLANK(A651)),VLOOKUP(A651,'BBT3'!A:F,3,0),"")</f>
        <v>US912834QH43</v>
      </c>
      <c r="D651" s="5">
        <f>IF(NOT(ISBLANK(A651)),VLOOKUP(A651,'BBT3'!A:F,4,1),"")</f>
        <v>0</v>
      </c>
      <c r="E651">
        <f>IF(NOT(ISBLANK(A651)),VLOOKUP(A651,'BBT3'!A:F,5,0),"")</f>
        <v>53462</v>
      </c>
      <c r="F651" t="str">
        <f>IF(NOT(ISBLANK(A651)),VLOOKUP(A651,'BBT3'!A:F,6,0),"")</f>
        <v>N</v>
      </c>
      <c r="G651" t="str">
        <f t="shared" si="101"/>
        <v>Y</v>
      </c>
      <c r="H651">
        <f>IF(NOT(ISBLANK(A651)),VLOOKUP(A651,'Close - PriceSaver'!A:J,5,0),"")</f>
        <v>5.4084667414323703E-2</v>
      </c>
      <c r="I651" s="4" t="e" cm="1">
        <f t="array" ref="I651">IF(NOT(ISBLANK(A651)),((_xlfn.XLOOKUP(1,(_bbt3[[#All],[ID]]=A651)*(_bbt3[[#All],[METRIC_NAME]]="YLD_YTM_ASK"),_bbt3[[#All],[METRIC_VALUE]])*0.5)+(_xlfn.XLOOKUP(1,(_bbt3[[#All],[ID]]=A651)*(_bbt3[[#All],[METRIC_NAME]]="YLD_YTM_BID"),_bbt3[[#All],[METRIC_VALUE]])*0.5))/100,"")</f>
        <v>#N/A</v>
      </c>
      <c r="J651">
        <f>IF(ISNA(VLOOKUP(A651,'CloseDL - PriceSaverBBT3'!A:E,5,0)),0,VLOOKUP(A651,'CloseDL - PriceSaverBBT3'!A:E,5,0))</f>
        <v>5.4084667414323703E-2</v>
      </c>
      <c r="K651" s="7">
        <f t="shared" si="102"/>
        <v>0</v>
      </c>
      <c r="L651" s="20">
        <f>IF(Close[[#This Row],[CreatedBy]]="MARINER\SilverAdm",1,0)</f>
        <v>1</v>
      </c>
      <c r="M651" t="str">
        <f>IF(NOT(ISBLANK(A651)),VLOOKUP(A651,'Close - PriceSaver'!A:J,6,0),"")</f>
        <v>DL input prc = 34.73360702  PX_ASK = 34.87768456 PX_BID = 34.58952948</v>
      </c>
      <c r="Q651" t="e">
        <f t="shared" si="94"/>
        <v>#N/A</v>
      </c>
      <c r="R651" t="e">
        <f t="shared" si="95"/>
        <v>#N/A</v>
      </c>
      <c r="S651" t="e">
        <f t="shared" si="96"/>
        <v>#N/A</v>
      </c>
      <c r="T651" s="15" t="e">
        <f t="shared" si="97"/>
        <v>#N/A</v>
      </c>
      <c r="U651" s="18" t="e">
        <f t="shared" si="98"/>
        <v>#N/A</v>
      </c>
      <c r="V651" s="18" t="e">
        <f t="shared" si="99"/>
        <v>#N/A</v>
      </c>
      <c r="W651" s="19" t="e">
        <f t="shared" si="100"/>
        <v>#N/A</v>
      </c>
      <c r="X651" t="e">
        <f>VLOOKUP(P651,Close[[ID]:[CreatedBy]],8,0)</f>
        <v>#N/A</v>
      </c>
    </row>
    <row r="652" spans="1:24" x14ac:dyDescent="0.35">
      <c r="A652" t="str">
        <v>912834QP6</v>
      </c>
      <c r="B652" t="str">
        <f>IF(NOT(ISBLANK(A652)),VLOOKUP(A652,'BBT3'!A:F,2,0),"")</f>
        <v>Bond</v>
      </c>
      <c r="C652" t="str">
        <f>IF(NOT(ISBLANK(A652)),VLOOKUP(A652,'BBT3'!A:F,3,0),"")</f>
        <v>US912834QP68</v>
      </c>
      <c r="D652" s="5">
        <f>IF(NOT(ISBLANK(A652)),VLOOKUP(A652,'BBT3'!A:F,4,1),"")</f>
        <v>0</v>
      </c>
      <c r="E652">
        <f>IF(NOT(ISBLANK(A652)),VLOOKUP(A652,'BBT3'!A:F,5,0),"")</f>
        <v>53554</v>
      </c>
      <c r="F652" t="str">
        <f>IF(NOT(ISBLANK(A652)),VLOOKUP(A652,'BBT3'!A:F,6,0),"")</f>
        <v>N</v>
      </c>
      <c r="G652" t="str">
        <f t="shared" si="101"/>
        <v>Y</v>
      </c>
      <c r="H652">
        <f>IF(NOT(ISBLANK(A652)),VLOOKUP(A652,'Close - PriceSaver'!A:J,5,0),"")</f>
        <v>5.4074493120094699E-2</v>
      </c>
      <c r="I652" s="4" t="e" cm="1">
        <f t="array" ref="I652">IF(NOT(ISBLANK(A652)),((_xlfn.XLOOKUP(1,(_bbt3[[#All],[ID]]=A652)*(_bbt3[[#All],[METRIC_NAME]]="YLD_YTM_ASK"),_bbt3[[#All],[METRIC_VALUE]])*0.5)+(_xlfn.XLOOKUP(1,(_bbt3[[#All],[ID]]=A652)*(_bbt3[[#All],[METRIC_NAME]]="YLD_YTM_BID"),_bbt3[[#All],[METRIC_VALUE]])*0.5))/100,"")</f>
        <v>#N/A</v>
      </c>
      <c r="J652">
        <f>IF(ISNA(VLOOKUP(A652,'CloseDL - PriceSaverBBT3'!A:E,5,0)),0,VLOOKUP(A652,'CloseDL - PriceSaverBBT3'!A:E,5,0))</f>
        <v>5.4074493120094699E-2</v>
      </c>
      <c r="K652" s="7">
        <f t="shared" si="102"/>
        <v>0</v>
      </c>
      <c r="L652" s="20">
        <f>IF(Close[[#This Row],[CreatedBy]]="MARINER\SilverAdm",1,0)</f>
        <v>1</v>
      </c>
      <c r="M652" t="str">
        <f>IF(NOT(ISBLANK(A652)),VLOOKUP(A652,'Close - PriceSaver'!A:J,6,0),"")</f>
        <v>DL input prc = 34.27803741  PX_ASK = 34.42872470 PX_BID = 34.12735011</v>
      </c>
      <c r="Q652" t="e">
        <f t="shared" si="94"/>
        <v>#N/A</v>
      </c>
      <c r="R652" t="e">
        <f t="shared" si="95"/>
        <v>#N/A</v>
      </c>
      <c r="S652" t="e">
        <f t="shared" si="96"/>
        <v>#N/A</v>
      </c>
      <c r="T652" s="15" t="e">
        <f t="shared" si="97"/>
        <v>#N/A</v>
      </c>
      <c r="U652" s="18" t="e">
        <f t="shared" si="98"/>
        <v>#N/A</v>
      </c>
      <c r="V652" s="18" t="e">
        <f t="shared" si="99"/>
        <v>#N/A</v>
      </c>
      <c r="W652" s="19" t="e">
        <f t="shared" si="100"/>
        <v>#N/A</v>
      </c>
      <c r="X652" t="e">
        <f>VLOOKUP(P652,Close[[ID]:[CreatedBy]],8,0)</f>
        <v>#N/A</v>
      </c>
    </row>
    <row r="653" spans="1:24" x14ac:dyDescent="0.35">
      <c r="A653" t="str">
        <v>912834QV3</v>
      </c>
      <c r="B653" t="str">
        <f>IF(NOT(ISBLANK(A653)),VLOOKUP(A653,'BBT3'!A:F,2,0),"")</f>
        <v>Bond</v>
      </c>
      <c r="C653" t="str">
        <f>IF(NOT(ISBLANK(A653)),VLOOKUP(A653,'BBT3'!A:F,3,0),"")</f>
        <v>US912834QV37</v>
      </c>
      <c r="D653" s="5">
        <f>IF(NOT(ISBLANK(A653)),VLOOKUP(A653,'BBT3'!A:F,4,1),"")</f>
        <v>0</v>
      </c>
      <c r="E653">
        <f>IF(NOT(ISBLANK(A653)),VLOOKUP(A653,'BBT3'!A:F,5,0),"")</f>
        <v>53646</v>
      </c>
      <c r="F653" t="str">
        <f>IF(NOT(ISBLANK(A653)),VLOOKUP(A653,'BBT3'!A:F,6,0),"")</f>
        <v>N</v>
      </c>
      <c r="G653" t="str">
        <f t="shared" si="101"/>
        <v>Y</v>
      </c>
      <c r="H653">
        <f>IF(NOT(ISBLANK(A653)),VLOOKUP(A653,'Close - PriceSaver'!A:J,5,0),"")</f>
        <v>5.4084486994083698E-2</v>
      </c>
      <c r="I653" s="4" t="e" cm="1">
        <f t="array" ref="I653">IF(NOT(ISBLANK(A653)),((_xlfn.XLOOKUP(1,(_bbt3[[#All],[ID]]=A653)*(_bbt3[[#All],[METRIC_NAME]]="YLD_YTM_ASK"),_bbt3[[#All],[METRIC_VALUE]])*0.5)+(_xlfn.XLOOKUP(1,(_bbt3[[#All],[ID]]=A653)*(_bbt3[[#All],[METRIC_NAME]]="YLD_YTM_BID"),_bbt3[[#All],[METRIC_VALUE]])*0.5))/100,"")</f>
        <v>#N/A</v>
      </c>
      <c r="J653">
        <f>IF(ISNA(VLOOKUP(A653,'CloseDL - PriceSaverBBT3'!A:E,5,0)),0,VLOOKUP(A653,'CloseDL - PriceSaverBBT3'!A:E,5,0))</f>
        <v>5.4084486994083698E-2</v>
      </c>
      <c r="K653" s="7">
        <f t="shared" si="102"/>
        <v>0</v>
      </c>
      <c r="L653" s="20">
        <f>IF(Close[[#This Row],[CreatedBy]]="MARINER\SilverAdm",1,0)</f>
        <v>1</v>
      </c>
      <c r="M653" t="str">
        <f>IF(NOT(ISBLANK(A653)),VLOOKUP(A653,'Close - PriceSaver'!A:J,6,0),"")</f>
        <v>DL input prc = 33.81910010  PX_ASK = 33.96961336 PX_BID = 33.66858684</v>
      </c>
      <c r="Q653" t="e">
        <f t="shared" si="94"/>
        <v>#N/A</v>
      </c>
      <c r="R653" t="e">
        <f t="shared" si="95"/>
        <v>#N/A</v>
      </c>
      <c r="S653" t="e">
        <f t="shared" si="96"/>
        <v>#N/A</v>
      </c>
      <c r="T653" s="15" t="e">
        <f t="shared" si="97"/>
        <v>#N/A</v>
      </c>
      <c r="U653" s="18" t="e">
        <f t="shared" si="98"/>
        <v>#N/A</v>
      </c>
      <c r="V653" s="18" t="e">
        <f t="shared" si="99"/>
        <v>#N/A</v>
      </c>
      <c r="W653" s="19" t="e">
        <f t="shared" si="100"/>
        <v>#N/A</v>
      </c>
      <c r="X653" t="e">
        <f>VLOOKUP(P653,Close[[ID]:[CreatedBy]],8,0)</f>
        <v>#N/A</v>
      </c>
    </row>
    <row r="654" spans="1:24" x14ac:dyDescent="0.35">
      <c r="B654" t="str">
        <f>IF(NOT(ISBLANK(A654)),VLOOKUP(A654,'BBT3'!A:F,2,0),"")</f>
        <v/>
      </c>
      <c r="C654" t="str">
        <f>IF(NOT(ISBLANK(A654)),VLOOKUP(A654,'BBT3'!A:F,3,0),"")</f>
        <v/>
      </c>
      <c r="D654" s="5" t="str">
        <f>IF(NOT(ISBLANK(A654)),VLOOKUP(A654,'BBT3'!A:F,4,1),"")</f>
        <v/>
      </c>
      <c r="E654" t="str">
        <f>IF(NOT(ISBLANK(A654)),VLOOKUP(A654,'BBT3'!A:F,5,0),"")</f>
        <v/>
      </c>
      <c r="F654" t="str">
        <f>IF(NOT(ISBLANK(A654)),VLOOKUP(A654,'BBT3'!A:F,6,0),"")</f>
        <v/>
      </c>
      <c r="G654" t="str">
        <f t="shared" si="101"/>
        <v/>
      </c>
      <c r="H654" t="str">
        <f>IF(NOT(ISBLANK(A654)),VLOOKUP(A654,'Close - PriceSaver'!A:J,5,0),"")</f>
        <v/>
      </c>
      <c r="I654" s="4" t="str" cm="1">
        <f t="array" ref="I654">IF(NOT(ISBLANK(A654)),((_xlfn.XLOOKUP(1,(_bbt3[[#All],[ID]]=A654)*(_bbt3[[#All],[METRIC_NAME]]="YLD_YTM_ASK"),_bbt3[[#All],[METRIC_VALUE]])*0.5)+(_xlfn.XLOOKUP(1,(_bbt3[[#All],[ID]]=A654)*(_bbt3[[#All],[METRIC_NAME]]="YLD_YTM_BID"),_bbt3[[#All],[METRIC_VALUE]])*0.5))/100,"")</f>
        <v/>
      </c>
      <c r="J654">
        <f>IF(ISNA(VLOOKUP(A654,'CloseDL - PriceSaverBBT3'!A:E,5,0)),0,VLOOKUP(A654,'CloseDL - PriceSaverBBT3'!A:E,5,0))</f>
        <v>0</v>
      </c>
      <c r="K654" s="7" t="str">
        <f t="shared" si="102"/>
        <v/>
      </c>
      <c r="L654" s="20">
        <f>IF(Close[[#This Row],[CreatedBy]]="MARINER\SilverAdm",1,0)</f>
        <v>1</v>
      </c>
      <c r="M654" t="str">
        <f>IF(NOT(ISBLANK(A654)),VLOOKUP(A654,'Close - PriceSaver'!A:J,6,0),"")</f>
        <v/>
      </c>
      <c r="Q654" t="e">
        <f t="shared" si="94"/>
        <v>#N/A</v>
      </c>
      <c r="R654" t="e">
        <f t="shared" si="95"/>
        <v>#N/A</v>
      </c>
      <c r="S654" t="e">
        <f t="shared" si="96"/>
        <v>#N/A</v>
      </c>
      <c r="T654" s="15" t="e">
        <f t="shared" si="97"/>
        <v>#N/A</v>
      </c>
      <c r="U654" s="18" t="e">
        <f t="shared" si="98"/>
        <v>#N/A</v>
      </c>
      <c r="V654" s="18" t="e">
        <f t="shared" si="99"/>
        <v>#N/A</v>
      </c>
      <c r="W654" s="19" t="e">
        <f t="shared" si="100"/>
        <v>#N/A</v>
      </c>
      <c r="X654" t="e">
        <f>VLOOKUP(P654,Close[[ID]:[CreatedBy]],8,0)</f>
        <v>#N/A</v>
      </c>
    </row>
    <row r="655" spans="1:24" x14ac:dyDescent="0.35">
      <c r="B655" t="str">
        <f>IF(NOT(ISBLANK(A655)),VLOOKUP(A655,'BBT3'!A:F,2,0),"")</f>
        <v/>
      </c>
      <c r="C655" t="str">
        <f>IF(NOT(ISBLANK(A655)),VLOOKUP(A655,'BBT3'!A:F,3,0),"")</f>
        <v/>
      </c>
      <c r="D655" s="5" t="str">
        <f>IF(NOT(ISBLANK(A655)),VLOOKUP(A655,'BBT3'!A:F,4,1),"")</f>
        <v/>
      </c>
      <c r="E655" t="str">
        <f>IF(NOT(ISBLANK(A655)),VLOOKUP(A655,'BBT3'!A:F,5,0),"")</f>
        <v/>
      </c>
      <c r="F655" t="str">
        <f>IF(NOT(ISBLANK(A655)),VLOOKUP(A655,'BBT3'!A:F,6,0),"")</f>
        <v/>
      </c>
      <c r="G655" t="str">
        <f t="shared" si="101"/>
        <v/>
      </c>
      <c r="H655" t="str">
        <f>IF(NOT(ISBLANK(A655)),VLOOKUP(A655,'Close - PriceSaver'!A:J,5,0),"")</f>
        <v/>
      </c>
      <c r="I655" s="4" t="str" cm="1">
        <f t="array" ref="I655">IF(NOT(ISBLANK(A655)),((_xlfn.XLOOKUP(1,(_bbt3[[#All],[ID]]=A655)*(_bbt3[[#All],[METRIC_NAME]]="YLD_YTM_ASK"),_bbt3[[#All],[METRIC_VALUE]])*0.5)+(_xlfn.XLOOKUP(1,(_bbt3[[#All],[ID]]=A655)*(_bbt3[[#All],[METRIC_NAME]]="YLD_YTM_BID"),_bbt3[[#All],[METRIC_VALUE]])*0.5))/100,"")</f>
        <v/>
      </c>
      <c r="J655">
        <f>IF(ISNA(VLOOKUP(A655,'CloseDL - PriceSaverBBT3'!A:E,5,0)),0,VLOOKUP(A655,'CloseDL - PriceSaverBBT3'!A:E,5,0))</f>
        <v>0</v>
      </c>
      <c r="K655" s="7" t="str">
        <f t="shared" si="102"/>
        <v/>
      </c>
      <c r="L655" s="20">
        <f>IF(Close[[#This Row],[CreatedBy]]="MARINER\SilverAdm",1,0)</f>
        <v>1</v>
      </c>
      <c r="M655" t="str">
        <f>IF(NOT(ISBLANK(A655)),VLOOKUP(A655,'Close - PriceSaver'!A:J,6,0),"")</f>
        <v/>
      </c>
      <c r="Q655" t="e">
        <f t="shared" si="94"/>
        <v>#N/A</v>
      </c>
      <c r="R655" t="e">
        <f t="shared" si="95"/>
        <v>#N/A</v>
      </c>
      <c r="S655" t="e">
        <f t="shared" si="96"/>
        <v>#N/A</v>
      </c>
      <c r="T655" s="15" t="e">
        <f t="shared" si="97"/>
        <v>#N/A</v>
      </c>
      <c r="U655" s="18" t="e">
        <f t="shared" si="98"/>
        <v>#N/A</v>
      </c>
      <c r="V655" s="18" t="e">
        <f t="shared" si="99"/>
        <v>#N/A</v>
      </c>
      <c r="W655" s="19" t="e">
        <f t="shared" si="100"/>
        <v>#N/A</v>
      </c>
      <c r="X655" t="e">
        <f>VLOOKUP(P655,Close[[ID]:[CreatedBy]],8,0)</f>
        <v>#N/A</v>
      </c>
    </row>
    <row r="656" spans="1:24" x14ac:dyDescent="0.35">
      <c r="B656" t="str">
        <f>IF(NOT(ISBLANK(A656)),VLOOKUP(A656,'BBT3'!A:F,2,0),"")</f>
        <v/>
      </c>
      <c r="C656" t="str">
        <f>IF(NOT(ISBLANK(A656)),VLOOKUP(A656,'BBT3'!A:F,3,0),"")</f>
        <v/>
      </c>
      <c r="D656" s="5" t="str">
        <f>IF(NOT(ISBLANK(A656)),VLOOKUP(A656,'BBT3'!A:F,4,1),"")</f>
        <v/>
      </c>
      <c r="E656" t="str">
        <f>IF(NOT(ISBLANK(A656)),VLOOKUP(A656,'BBT3'!A:F,5,0),"")</f>
        <v/>
      </c>
      <c r="F656" t="str">
        <f>IF(NOT(ISBLANK(A656)),VLOOKUP(A656,'BBT3'!A:F,6,0),"")</f>
        <v/>
      </c>
      <c r="G656" t="str">
        <f t="shared" si="101"/>
        <v/>
      </c>
      <c r="H656" t="str">
        <f>IF(NOT(ISBLANK(A656)),VLOOKUP(A656,'Close - PriceSaver'!A:J,5,0),"")</f>
        <v/>
      </c>
      <c r="I656" s="4" t="str" cm="1">
        <f t="array" ref="I656">IF(NOT(ISBLANK(A656)),((_xlfn.XLOOKUP(1,(_bbt3[[#All],[ID]]=A656)*(_bbt3[[#All],[METRIC_NAME]]="YLD_YTM_ASK"),_bbt3[[#All],[METRIC_VALUE]])*0.5)+(_xlfn.XLOOKUP(1,(_bbt3[[#All],[ID]]=A656)*(_bbt3[[#All],[METRIC_NAME]]="YLD_YTM_BID"),_bbt3[[#All],[METRIC_VALUE]])*0.5))/100,"")</f>
        <v/>
      </c>
      <c r="J656">
        <f>IF(ISNA(VLOOKUP(A656,'CloseDL - PriceSaverBBT3'!A:E,5,0)),0,VLOOKUP(A656,'CloseDL - PriceSaverBBT3'!A:E,5,0))</f>
        <v>0</v>
      </c>
      <c r="K656" s="7" t="str">
        <f t="shared" si="102"/>
        <v/>
      </c>
      <c r="L656" s="20">
        <f>IF(Close[[#This Row],[CreatedBy]]="MARINER\SilverAdm",1,0)</f>
        <v>1</v>
      </c>
      <c r="M656" t="str">
        <f>IF(NOT(ISBLANK(A656)),VLOOKUP(A656,'Close - PriceSaver'!A:J,6,0),"")</f>
        <v/>
      </c>
      <c r="Q656" t="e">
        <f t="shared" si="94"/>
        <v>#N/A</v>
      </c>
      <c r="R656" t="e">
        <f t="shared" si="95"/>
        <v>#N/A</v>
      </c>
      <c r="S656" t="e">
        <f t="shared" si="96"/>
        <v>#N/A</v>
      </c>
      <c r="T656" s="15" t="e">
        <f t="shared" si="97"/>
        <v>#N/A</v>
      </c>
      <c r="U656" s="18" t="e">
        <f t="shared" si="98"/>
        <v>#N/A</v>
      </c>
      <c r="V656" s="18" t="e">
        <f t="shared" si="99"/>
        <v>#N/A</v>
      </c>
      <c r="W656" s="19" t="e">
        <f t="shared" si="100"/>
        <v>#N/A</v>
      </c>
      <c r="X656" t="e">
        <f>VLOOKUP(P656,Close[[ID]:[CreatedBy]],8,0)</f>
        <v>#N/A</v>
      </c>
    </row>
    <row r="657" spans="2:24" x14ac:dyDescent="0.35">
      <c r="B657" t="str">
        <f>IF(NOT(ISBLANK(A657)),VLOOKUP(A657,'BBT3'!A:F,2,0),"")</f>
        <v/>
      </c>
      <c r="C657" t="str">
        <f>IF(NOT(ISBLANK(A657)),VLOOKUP(A657,'BBT3'!A:F,3,0),"")</f>
        <v/>
      </c>
      <c r="D657" s="5" t="str">
        <f>IF(NOT(ISBLANK(A657)),VLOOKUP(A657,'BBT3'!A:F,4,1),"")</f>
        <v/>
      </c>
      <c r="E657" t="str">
        <f>IF(NOT(ISBLANK(A657)),VLOOKUP(A657,'BBT3'!A:F,5,0),"")</f>
        <v/>
      </c>
      <c r="F657" t="str">
        <f>IF(NOT(ISBLANK(A657)),VLOOKUP(A657,'BBT3'!A:F,6,0),"")</f>
        <v/>
      </c>
      <c r="G657" t="str">
        <f t="shared" si="101"/>
        <v/>
      </c>
      <c r="H657" t="str">
        <f>IF(NOT(ISBLANK(A657)),VLOOKUP(A657,'Close - PriceSaver'!A:J,5,0),"")</f>
        <v/>
      </c>
      <c r="I657" s="4" t="str" cm="1">
        <f t="array" ref="I657">IF(NOT(ISBLANK(A657)),((_xlfn.XLOOKUP(1,(_bbt3[[#All],[ID]]=A657)*(_bbt3[[#All],[METRIC_NAME]]="YLD_YTM_ASK"),_bbt3[[#All],[METRIC_VALUE]])*0.5)+(_xlfn.XLOOKUP(1,(_bbt3[[#All],[ID]]=A657)*(_bbt3[[#All],[METRIC_NAME]]="YLD_YTM_BID"),_bbt3[[#All],[METRIC_VALUE]])*0.5))/100,"")</f>
        <v/>
      </c>
      <c r="J657">
        <f>IF(ISNA(VLOOKUP(A657,'CloseDL - PriceSaverBBT3'!A:E,5,0)),0,VLOOKUP(A657,'CloseDL - PriceSaverBBT3'!A:E,5,0))</f>
        <v>0</v>
      </c>
      <c r="K657" s="7" t="str">
        <f t="shared" si="102"/>
        <v/>
      </c>
      <c r="L657" s="20">
        <f>IF(Close[[#This Row],[CreatedBy]]="MARINER\SilverAdm",1,0)</f>
        <v>1</v>
      </c>
      <c r="M657" t="str">
        <f>IF(NOT(ISBLANK(A657)),VLOOKUP(A657,'Close - PriceSaver'!A:J,6,0),"")</f>
        <v/>
      </c>
      <c r="Q657" t="e">
        <f t="shared" si="94"/>
        <v>#N/A</v>
      </c>
      <c r="R657" t="e">
        <f t="shared" si="95"/>
        <v>#N/A</v>
      </c>
      <c r="S657" t="e">
        <f t="shared" si="96"/>
        <v>#N/A</v>
      </c>
      <c r="T657" s="15" t="e">
        <f t="shared" si="97"/>
        <v>#N/A</v>
      </c>
      <c r="U657" s="18" t="e">
        <f t="shared" si="98"/>
        <v>#N/A</v>
      </c>
      <c r="V657" s="18" t="e">
        <f t="shared" si="99"/>
        <v>#N/A</v>
      </c>
      <c r="W657" s="19" t="e">
        <f t="shared" si="100"/>
        <v>#N/A</v>
      </c>
      <c r="X657" t="e">
        <f>VLOOKUP(P657,Close[[ID]:[CreatedBy]],8,0)</f>
        <v>#N/A</v>
      </c>
    </row>
    <row r="658" spans="2:24" x14ac:dyDescent="0.35">
      <c r="B658" t="str">
        <f>IF(NOT(ISBLANK(A658)),VLOOKUP(A658,'BBT3'!A:F,2,0),"")</f>
        <v/>
      </c>
      <c r="C658" t="str">
        <f>IF(NOT(ISBLANK(A658)),VLOOKUP(A658,'BBT3'!A:F,3,0),"")</f>
        <v/>
      </c>
      <c r="D658" s="5" t="str">
        <f>IF(NOT(ISBLANK(A658)),VLOOKUP(A658,'BBT3'!A:F,4,1),"")</f>
        <v/>
      </c>
      <c r="E658" t="str">
        <f>IF(NOT(ISBLANK(A658)),VLOOKUP(A658,'BBT3'!A:F,5,0),"")</f>
        <v/>
      </c>
      <c r="F658" t="str">
        <f>IF(NOT(ISBLANK(A658)),VLOOKUP(A658,'BBT3'!A:F,6,0),"")</f>
        <v/>
      </c>
      <c r="G658" t="str">
        <f t="shared" si="101"/>
        <v/>
      </c>
      <c r="H658" t="str">
        <f>IF(NOT(ISBLANK(A658)),VLOOKUP(A658,'Close - PriceSaver'!A:J,5,0),"")</f>
        <v/>
      </c>
      <c r="I658" s="4" t="str" cm="1">
        <f t="array" ref="I658">IF(NOT(ISBLANK(A658)),((_xlfn.XLOOKUP(1,(_bbt3[[#All],[ID]]=A658)*(_bbt3[[#All],[METRIC_NAME]]="YLD_YTM_ASK"),_bbt3[[#All],[METRIC_VALUE]])*0.5)+(_xlfn.XLOOKUP(1,(_bbt3[[#All],[ID]]=A658)*(_bbt3[[#All],[METRIC_NAME]]="YLD_YTM_BID"),_bbt3[[#All],[METRIC_VALUE]])*0.5))/100,"")</f>
        <v/>
      </c>
      <c r="J658">
        <f>IF(ISNA(VLOOKUP(A658,'CloseDL - PriceSaverBBT3'!A:E,5,0)),0,VLOOKUP(A658,'CloseDL - PriceSaverBBT3'!A:E,5,0))</f>
        <v>0</v>
      </c>
      <c r="K658" s="7" t="str">
        <f t="shared" si="102"/>
        <v/>
      </c>
      <c r="L658" s="20">
        <f>IF(Close[[#This Row],[CreatedBy]]="MARINER\SilverAdm",1,0)</f>
        <v>1</v>
      </c>
      <c r="M658" t="str">
        <f>IF(NOT(ISBLANK(A658)),VLOOKUP(A658,'Close - PriceSaver'!A:J,6,0),"")</f>
        <v/>
      </c>
      <c r="Q658" t="e">
        <f t="shared" si="94"/>
        <v>#N/A</v>
      </c>
      <c r="R658" t="e">
        <f t="shared" si="95"/>
        <v>#N/A</v>
      </c>
      <c r="S658" t="e">
        <f t="shared" si="96"/>
        <v>#N/A</v>
      </c>
      <c r="T658" s="15" t="e">
        <f t="shared" si="97"/>
        <v>#N/A</v>
      </c>
      <c r="U658" s="18" t="e">
        <f t="shared" si="98"/>
        <v>#N/A</v>
      </c>
      <c r="V658" s="18" t="e">
        <f t="shared" si="99"/>
        <v>#N/A</v>
      </c>
      <c r="W658" s="19" t="e">
        <f t="shared" si="100"/>
        <v>#N/A</v>
      </c>
      <c r="X658" t="e">
        <f>VLOOKUP(P658,Close[[ID]:[CreatedBy]],8,0)</f>
        <v>#N/A</v>
      </c>
    </row>
    <row r="659" spans="2:24" x14ac:dyDescent="0.35">
      <c r="B659" t="str">
        <f>IF(NOT(ISBLANK(A659)),VLOOKUP(A659,'BBT3'!A:F,2,0),"")</f>
        <v/>
      </c>
      <c r="C659" t="str">
        <f>IF(NOT(ISBLANK(A659)),VLOOKUP(A659,'BBT3'!A:F,3,0),"")</f>
        <v/>
      </c>
      <c r="D659" s="5" t="str">
        <f>IF(NOT(ISBLANK(A659)),VLOOKUP(A659,'BBT3'!A:F,4,1),"")</f>
        <v/>
      </c>
      <c r="E659" t="str">
        <f>IF(NOT(ISBLANK(A659)),VLOOKUP(A659,'BBT3'!A:F,5,0),"")</f>
        <v/>
      </c>
      <c r="F659" t="str">
        <f>IF(NOT(ISBLANK(A659)),VLOOKUP(A659,'BBT3'!A:F,6,0),"")</f>
        <v/>
      </c>
      <c r="G659" t="str">
        <f t="shared" si="101"/>
        <v/>
      </c>
      <c r="H659" t="str">
        <f>IF(NOT(ISBLANK(A659)),VLOOKUP(A659,'Close - PriceSaver'!A:J,5,0),"")</f>
        <v/>
      </c>
      <c r="I659" s="4" t="str" cm="1">
        <f t="array" ref="I659">IF(NOT(ISBLANK(A659)),((_xlfn.XLOOKUP(1,(_bbt3[[#All],[ID]]=A659)*(_bbt3[[#All],[METRIC_NAME]]="YLD_YTM_ASK"),_bbt3[[#All],[METRIC_VALUE]])*0.5)+(_xlfn.XLOOKUP(1,(_bbt3[[#All],[ID]]=A659)*(_bbt3[[#All],[METRIC_NAME]]="YLD_YTM_BID"),_bbt3[[#All],[METRIC_VALUE]])*0.5))/100,"")</f>
        <v/>
      </c>
      <c r="J659">
        <f>IF(ISNA(VLOOKUP(A659,'CloseDL - PriceSaverBBT3'!A:E,5,0)),0,VLOOKUP(A659,'CloseDL - PriceSaverBBT3'!A:E,5,0))</f>
        <v>0</v>
      </c>
      <c r="K659" s="7" t="str">
        <f t="shared" si="102"/>
        <v/>
      </c>
      <c r="L659" s="20">
        <f>IF(Close[[#This Row],[CreatedBy]]="MARINER\SilverAdm",1,0)</f>
        <v>1</v>
      </c>
      <c r="M659" t="str">
        <f>IF(NOT(ISBLANK(A659)),VLOOKUP(A659,'Close - PriceSaver'!A:J,6,0),"")</f>
        <v/>
      </c>
      <c r="Q659" t="e">
        <f t="shared" si="94"/>
        <v>#N/A</v>
      </c>
      <c r="R659" t="e">
        <f t="shared" si="95"/>
        <v>#N/A</v>
      </c>
      <c r="S659" t="e">
        <f t="shared" si="96"/>
        <v>#N/A</v>
      </c>
      <c r="T659" s="15" t="e">
        <f t="shared" si="97"/>
        <v>#N/A</v>
      </c>
      <c r="U659" s="18" t="e">
        <f t="shared" si="98"/>
        <v>#N/A</v>
      </c>
      <c r="V659" s="18" t="e">
        <f t="shared" si="99"/>
        <v>#N/A</v>
      </c>
      <c r="W659" s="19" t="e">
        <f t="shared" si="100"/>
        <v>#N/A</v>
      </c>
      <c r="X659" t="e">
        <f>VLOOKUP(P659,Close[[ID]:[CreatedBy]],8,0)</f>
        <v>#N/A</v>
      </c>
    </row>
    <row r="660" spans="2:24" x14ac:dyDescent="0.35">
      <c r="B660" t="str">
        <f>IF(NOT(ISBLANK(A660)),VLOOKUP(A660,'BBT3'!A:F,2,0),"")</f>
        <v/>
      </c>
      <c r="C660" t="str">
        <f>IF(NOT(ISBLANK(A660)),VLOOKUP(A660,'BBT3'!A:F,3,0),"")</f>
        <v/>
      </c>
      <c r="D660" s="5" t="str">
        <f>IF(NOT(ISBLANK(A660)),VLOOKUP(A660,'BBT3'!A:F,4,1),"")</f>
        <v/>
      </c>
      <c r="E660" t="str">
        <f>IF(NOT(ISBLANK(A660)),VLOOKUP(A660,'BBT3'!A:F,5,0),"")</f>
        <v/>
      </c>
      <c r="F660" t="str">
        <f>IF(NOT(ISBLANK(A660)),VLOOKUP(A660,'BBT3'!A:F,6,0),"")</f>
        <v/>
      </c>
      <c r="G660" t="str">
        <f t="shared" si="101"/>
        <v/>
      </c>
      <c r="H660" t="str">
        <f>IF(NOT(ISBLANK(A660)),VLOOKUP(A660,'Close - PriceSaver'!A:J,5,0),"")</f>
        <v/>
      </c>
      <c r="I660" s="4" t="str" cm="1">
        <f t="array" ref="I660">IF(NOT(ISBLANK(A660)),((_xlfn.XLOOKUP(1,(_bbt3[[#All],[ID]]=A660)*(_bbt3[[#All],[METRIC_NAME]]="YLD_YTM_ASK"),_bbt3[[#All],[METRIC_VALUE]])*0.5)+(_xlfn.XLOOKUP(1,(_bbt3[[#All],[ID]]=A660)*(_bbt3[[#All],[METRIC_NAME]]="YLD_YTM_BID"),_bbt3[[#All],[METRIC_VALUE]])*0.5))/100,"")</f>
        <v/>
      </c>
      <c r="J660">
        <f>IF(ISNA(VLOOKUP(A660,'CloseDL - PriceSaverBBT3'!A:E,5,0)),0,VLOOKUP(A660,'CloseDL - PriceSaverBBT3'!A:E,5,0))</f>
        <v>0</v>
      </c>
      <c r="K660" s="7" t="str">
        <f t="shared" si="102"/>
        <v/>
      </c>
      <c r="L660" s="20">
        <f>IF(Close[[#This Row],[CreatedBy]]="MARINER\SilverAdm",1,0)</f>
        <v>1</v>
      </c>
      <c r="M660" t="str">
        <f>IF(NOT(ISBLANK(A660)),VLOOKUP(A660,'Close - PriceSaver'!A:J,6,0),"")</f>
        <v/>
      </c>
      <c r="Q660" t="e">
        <f t="shared" si="94"/>
        <v>#N/A</v>
      </c>
      <c r="R660" t="e">
        <f t="shared" si="95"/>
        <v>#N/A</v>
      </c>
      <c r="S660" t="e">
        <f t="shared" si="96"/>
        <v>#N/A</v>
      </c>
      <c r="T660" s="15" t="e">
        <f t="shared" si="97"/>
        <v>#N/A</v>
      </c>
      <c r="U660" s="18" t="e">
        <f t="shared" si="98"/>
        <v>#N/A</v>
      </c>
      <c r="V660" s="18" t="e">
        <f t="shared" si="99"/>
        <v>#N/A</v>
      </c>
      <c r="W660" s="19" t="e">
        <f t="shared" si="100"/>
        <v>#N/A</v>
      </c>
      <c r="X660" t="e">
        <f>VLOOKUP(P660,Close[[ID]:[CreatedBy]],8,0)</f>
        <v>#N/A</v>
      </c>
    </row>
    <row r="661" spans="2:24" x14ac:dyDescent="0.35">
      <c r="B661" t="str">
        <f>IF(NOT(ISBLANK(A661)),VLOOKUP(A661,'BBT3'!A:F,2,0),"")</f>
        <v/>
      </c>
      <c r="C661" t="str">
        <f>IF(NOT(ISBLANK(A661)),VLOOKUP(A661,'BBT3'!A:F,3,0),"")</f>
        <v/>
      </c>
      <c r="D661" s="5" t="str">
        <f>IF(NOT(ISBLANK(A661)),VLOOKUP(A661,'BBT3'!A:F,4,1),"")</f>
        <v/>
      </c>
      <c r="E661" t="str">
        <f>IF(NOT(ISBLANK(A661)),VLOOKUP(A661,'BBT3'!A:F,5,0),"")</f>
        <v/>
      </c>
      <c r="F661" t="str">
        <f>IF(NOT(ISBLANK(A661)),VLOOKUP(A661,'BBT3'!A:F,6,0),"")</f>
        <v/>
      </c>
      <c r="G661" t="str">
        <f t="shared" si="101"/>
        <v/>
      </c>
      <c r="H661" t="str">
        <f>IF(NOT(ISBLANK(A661)),VLOOKUP(A661,'Close - PriceSaver'!A:J,5,0),"")</f>
        <v/>
      </c>
      <c r="I661" s="4" t="str" cm="1">
        <f t="array" ref="I661">IF(NOT(ISBLANK(A661)),((_xlfn.XLOOKUP(1,(_bbt3[[#All],[ID]]=A661)*(_bbt3[[#All],[METRIC_NAME]]="YLD_YTM_ASK"),_bbt3[[#All],[METRIC_VALUE]])*0.5)+(_xlfn.XLOOKUP(1,(_bbt3[[#All],[ID]]=A661)*(_bbt3[[#All],[METRIC_NAME]]="YLD_YTM_BID"),_bbt3[[#All],[METRIC_VALUE]])*0.5))/100,"")</f>
        <v/>
      </c>
      <c r="J661">
        <f>IF(ISNA(VLOOKUP(A661,'CloseDL - PriceSaverBBT3'!A:E,5,0)),0,VLOOKUP(A661,'CloseDL - PriceSaverBBT3'!A:E,5,0))</f>
        <v>0</v>
      </c>
      <c r="K661" s="7" t="str">
        <f t="shared" si="102"/>
        <v/>
      </c>
      <c r="L661" s="20">
        <f>IF(Close[[#This Row],[CreatedBy]]="MARINER\SilverAdm",1,0)</f>
        <v>1</v>
      </c>
      <c r="M661" t="str">
        <f>IF(NOT(ISBLANK(A661)),VLOOKUP(A661,'Close - PriceSaver'!A:J,6,0),"")</f>
        <v/>
      </c>
      <c r="Q661" t="e">
        <f t="shared" si="94"/>
        <v>#N/A</v>
      </c>
      <c r="R661" t="e">
        <f t="shared" si="95"/>
        <v>#N/A</v>
      </c>
      <c r="S661" t="e">
        <f t="shared" si="96"/>
        <v>#N/A</v>
      </c>
      <c r="T661" s="15" t="e">
        <f t="shared" si="97"/>
        <v>#N/A</v>
      </c>
      <c r="U661" s="18" t="e">
        <f t="shared" si="98"/>
        <v>#N/A</v>
      </c>
      <c r="V661" s="18" t="e">
        <f t="shared" si="99"/>
        <v>#N/A</v>
      </c>
      <c r="W661" s="19" t="e">
        <f t="shared" si="100"/>
        <v>#N/A</v>
      </c>
      <c r="X661" t="e">
        <f>VLOOKUP(P661,Close[[ID]:[CreatedBy]],8,0)</f>
        <v>#N/A</v>
      </c>
    </row>
    <row r="662" spans="2:24" x14ac:dyDescent="0.35">
      <c r="B662" t="str">
        <f>IF(NOT(ISBLANK(A662)),VLOOKUP(A662,'BBT3'!A:F,2,0),"")</f>
        <v/>
      </c>
      <c r="C662" t="str">
        <f>IF(NOT(ISBLANK(A662)),VLOOKUP(A662,'BBT3'!A:F,3,0),"")</f>
        <v/>
      </c>
      <c r="D662" s="5" t="str">
        <f>IF(NOT(ISBLANK(A662)),VLOOKUP(A662,'BBT3'!A:F,4,1),"")</f>
        <v/>
      </c>
      <c r="E662" t="str">
        <f>IF(NOT(ISBLANK(A662)),VLOOKUP(A662,'BBT3'!A:F,5,0),"")</f>
        <v/>
      </c>
      <c r="F662" t="str">
        <f>IF(NOT(ISBLANK(A662)),VLOOKUP(A662,'BBT3'!A:F,6,0),"")</f>
        <v/>
      </c>
      <c r="G662" t="str">
        <f t="shared" si="101"/>
        <v/>
      </c>
      <c r="H662" t="str">
        <f>IF(NOT(ISBLANK(A662)),VLOOKUP(A662,'Close - PriceSaver'!A:J,5,0),"")</f>
        <v/>
      </c>
      <c r="I662" s="4" t="str" cm="1">
        <f t="array" ref="I662">IF(NOT(ISBLANK(A662)),((_xlfn.XLOOKUP(1,(_bbt3[[#All],[ID]]=A662)*(_bbt3[[#All],[METRIC_NAME]]="YLD_YTM_ASK"),_bbt3[[#All],[METRIC_VALUE]])*0.5)+(_xlfn.XLOOKUP(1,(_bbt3[[#All],[ID]]=A662)*(_bbt3[[#All],[METRIC_NAME]]="YLD_YTM_BID"),_bbt3[[#All],[METRIC_VALUE]])*0.5))/100,"")</f>
        <v/>
      </c>
      <c r="J662">
        <f>IF(ISNA(VLOOKUP(A662,'CloseDL - PriceSaverBBT3'!A:E,5,0)),0,VLOOKUP(A662,'CloseDL - PriceSaverBBT3'!A:E,5,0))</f>
        <v>0</v>
      </c>
      <c r="K662" s="7" t="str">
        <f t="shared" si="102"/>
        <v/>
      </c>
      <c r="L662" s="20">
        <f>IF(Close[[#This Row],[CreatedBy]]="MARINER\SilverAdm",1,0)</f>
        <v>1</v>
      </c>
      <c r="M662" t="str">
        <f>IF(NOT(ISBLANK(A662)),VLOOKUP(A662,'Close - PriceSaver'!A:J,6,0),"")</f>
        <v/>
      </c>
      <c r="Q662" t="e">
        <f t="shared" si="94"/>
        <v>#N/A</v>
      </c>
      <c r="R662" t="e">
        <f t="shared" si="95"/>
        <v>#N/A</v>
      </c>
      <c r="S662" t="e">
        <f t="shared" si="96"/>
        <v>#N/A</v>
      </c>
      <c r="T662" s="15" t="e">
        <f t="shared" si="97"/>
        <v>#N/A</v>
      </c>
      <c r="U662" s="18" t="e">
        <f t="shared" si="98"/>
        <v>#N/A</v>
      </c>
      <c r="V662" s="18" t="e">
        <f t="shared" si="99"/>
        <v>#N/A</v>
      </c>
      <c r="W662" s="19" t="e">
        <f t="shared" si="100"/>
        <v>#N/A</v>
      </c>
      <c r="X662" t="e">
        <f>VLOOKUP(P662,Close[[ID]:[CreatedBy]],8,0)</f>
        <v>#N/A</v>
      </c>
    </row>
    <row r="663" spans="2:24" x14ac:dyDescent="0.35">
      <c r="B663" t="str">
        <f>IF(NOT(ISBLANK(A663)),VLOOKUP(A663,'BBT3'!A:F,2,0),"")</f>
        <v/>
      </c>
      <c r="C663" t="str">
        <f>IF(NOT(ISBLANK(A663)),VLOOKUP(A663,'BBT3'!A:F,3,0),"")</f>
        <v/>
      </c>
      <c r="D663" s="5" t="str">
        <f>IF(NOT(ISBLANK(A663)),VLOOKUP(A663,'BBT3'!A:F,4,1),"")</f>
        <v/>
      </c>
      <c r="E663" t="str">
        <f>IF(NOT(ISBLANK(A663)),VLOOKUP(A663,'BBT3'!A:F,5,0),"")</f>
        <v/>
      </c>
      <c r="F663" t="str">
        <f>IF(NOT(ISBLANK(A663)),VLOOKUP(A663,'BBT3'!A:F,6,0),"")</f>
        <v/>
      </c>
      <c r="G663" t="str">
        <f t="shared" si="101"/>
        <v/>
      </c>
      <c r="H663" t="str">
        <f>IF(NOT(ISBLANK(A663)),VLOOKUP(A663,'Close - PriceSaver'!A:J,5,0),"")</f>
        <v/>
      </c>
      <c r="I663" s="4" t="str" cm="1">
        <f t="array" ref="I663">IF(NOT(ISBLANK(A663)),((_xlfn.XLOOKUP(1,(_bbt3[[#All],[ID]]=A663)*(_bbt3[[#All],[METRIC_NAME]]="YLD_YTM_ASK"),_bbt3[[#All],[METRIC_VALUE]])*0.5)+(_xlfn.XLOOKUP(1,(_bbt3[[#All],[ID]]=A663)*(_bbt3[[#All],[METRIC_NAME]]="YLD_YTM_BID"),_bbt3[[#All],[METRIC_VALUE]])*0.5))/100,"")</f>
        <v/>
      </c>
      <c r="J663">
        <f>IF(ISNA(VLOOKUP(A663,'CloseDL - PriceSaverBBT3'!A:E,5,0)),0,VLOOKUP(A663,'CloseDL - PriceSaverBBT3'!A:E,5,0))</f>
        <v>0</v>
      </c>
      <c r="K663" s="7" t="str">
        <f t="shared" si="102"/>
        <v/>
      </c>
      <c r="L663" s="20">
        <f>IF(Close[[#This Row],[CreatedBy]]="MARINER\SilverAdm",1,0)</f>
        <v>1</v>
      </c>
      <c r="M663" t="str">
        <f>IF(NOT(ISBLANK(A663)),VLOOKUP(A663,'Close - PriceSaver'!A:J,6,0),"")</f>
        <v/>
      </c>
      <c r="Q663" t="e">
        <f t="shared" si="94"/>
        <v>#N/A</v>
      </c>
      <c r="R663" t="e">
        <f t="shared" si="95"/>
        <v>#N/A</v>
      </c>
      <c r="S663" t="e">
        <f t="shared" si="96"/>
        <v>#N/A</v>
      </c>
      <c r="T663" s="15" t="e">
        <f t="shared" si="97"/>
        <v>#N/A</v>
      </c>
      <c r="U663" s="18" t="e">
        <f t="shared" si="98"/>
        <v>#N/A</v>
      </c>
      <c r="V663" s="18" t="e">
        <f t="shared" si="99"/>
        <v>#N/A</v>
      </c>
      <c r="W663" s="19" t="e">
        <f t="shared" si="100"/>
        <v>#N/A</v>
      </c>
      <c r="X663" t="e">
        <f>VLOOKUP(P663,Close[[ID]:[CreatedBy]],8,0)</f>
        <v>#N/A</v>
      </c>
    </row>
    <row r="664" spans="2:24" x14ac:dyDescent="0.35">
      <c r="B664" t="str">
        <f>IF(NOT(ISBLANK(A664)),VLOOKUP(A664,'BBT3'!A:F,2,0),"")</f>
        <v/>
      </c>
      <c r="C664" t="str">
        <f>IF(NOT(ISBLANK(A664)),VLOOKUP(A664,'BBT3'!A:F,3,0),"")</f>
        <v/>
      </c>
      <c r="D664" s="5" t="str">
        <f>IF(NOT(ISBLANK(A664)),VLOOKUP(A664,'BBT3'!A:F,4,1),"")</f>
        <v/>
      </c>
      <c r="E664" t="str">
        <f>IF(NOT(ISBLANK(A664)),VLOOKUP(A664,'BBT3'!A:F,5,0),"")</f>
        <v/>
      </c>
      <c r="F664" t="str">
        <f>IF(NOT(ISBLANK(A664)),VLOOKUP(A664,'BBT3'!A:F,6,0),"")</f>
        <v/>
      </c>
      <c r="G664" t="str">
        <f t="shared" si="101"/>
        <v/>
      </c>
      <c r="H664" t="str">
        <f>IF(NOT(ISBLANK(A664)),VLOOKUP(A664,'Close - PriceSaver'!A:J,5,0),"")</f>
        <v/>
      </c>
      <c r="I664" s="4" t="str" cm="1">
        <f t="array" ref="I664">IF(NOT(ISBLANK(A664)),((_xlfn.XLOOKUP(1,(_bbt3[[#All],[ID]]=A664)*(_bbt3[[#All],[METRIC_NAME]]="YLD_YTM_ASK"),_bbt3[[#All],[METRIC_VALUE]])*0.5)+(_xlfn.XLOOKUP(1,(_bbt3[[#All],[ID]]=A664)*(_bbt3[[#All],[METRIC_NAME]]="YLD_YTM_BID"),_bbt3[[#All],[METRIC_VALUE]])*0.5))/100,"")</f>
        <v/>
      </c>
      <c r="J664">
        <f>IF(ISNA(VLOOKUP(A664,'CloseDL - PriceSaverBBT3'!A:E,5,0)),0,VLOOKUP(A664,'CloseDL - PriceSaverBBT3'!A:E,5,0))</f>
        <v>0</v>
      </c>
      <c r="K664" s="7" t="str">
        <f t="shared" si="102"/>
        <v/>
      </c>
      <c r="L664" s="20">
        <f>IF(Close[[#This Row],[CreatedBy]]="MARINER\SilverAdm",1,0)</f>
        <v>1</v>
      </c>
      <c r="M664" t="str">
        <f>IF(NOT(ISBLANK(A664)),VLOOKUP(A664,'Close - PriceSaver'!A:J,6,0),"")</f>
        <v/>
      </c>
      <c r="Q664" t="e">
        <f t="shared" ref="Q664:Q714" si="103">VLOOKUP(P664,A:C,3,0)</f>
        <v>#N/A</v>
      </c>
      <c r="R664" t="e">
        <f t="shared" ref="R664:R716" si="104">VLOOKUP(P664,A:B,2,0)</f>
        <v>#N/A</v>
      </c>
      <c r="S664" t="e">
        <f t="shared" ref="S664:S716" si="105">VLOOKUP(P664,A:E,4,0)</f>
        <v>#N/A</v>
      </c>
      <c r="T664" s="15" t="e">
        <f t="shared" ref="T664:T723" si="106">VLOOKUP(Q664,A:K,5,0)</f>
        <v>#N/A</v>
      </c>
      <c r="U664" s="18" t="e">
        <f t="shared" ref="U664:U723" si="107">VLOOKUP(Q664,A:K,8,0)</f>
        <v>#N/A</v>
      </c>
      <c r="V664" s="14" t="e">
        <f t="shared" ref="V664:V717" si="108">VLOOKUP(Q664,A:K,10,0)</f>
        <v>#N/A</v>
      </c>
      <c r="W664" s="19" t="e">
        <f t="shared" ref="W664:W723" si="109">(V664-U664)*100</f>
        <v>#N/A</v>
      </c>
      <c r="X664" t="e">
        <f>VLOOKUP(P664,Close[[ID]:[CreatedBy]],8,0)</f>
        <v>#N/A</v>
      </c>
    </row>
    <row r="665" spans="2:24" x14ac:dyDescent="0.35">
      <c r="B665" t="str">
        <f>IF(NOT(ISBLANK(A665)),VLOOKUP(A665,'BBT3'!A:F,2,0),"")</f>
        <v/>
      </c>
      <c r="C665" t="str">
        <f>IF(NOT(ISBLANK(A665)),VLOOKUP(A665,'BBT3'!A:F,3,0),"")</f>
        <v/>
      </c>
      <c r="D665" s="5" t="str">
        <f>IF(NOT(ISBLANK(A665)),VLOOKUP(A665,'BBT3'!A:F,4,1),"")</f>
        <v/>
      </c>
      <c r="E665" t="str">
        <f>IF(NOT(ISBLANK(A665)),VLOOKUP(A665,'BBT3'!A:F,5,0),"")</f>
        <v/>
      </c>
      <c r="F665" t="str">
        <f>IF(NOT(ISBLANK(A665)),VLOOKUP(A665,'BBT3'!A:F,6,0),"")</f>
        <v/>
      </c>
      <c r="G665" t="str">
        <f t="shared" si="101"/>
        <v/>
      </c>
      <c r="H665" t="str">
        <f>IF(NOT(ISBLANK(A665)),VLOOKUP(A665,'Close - PriceSaver'!A:J,5,0),"")</f>
        <v/>
      </c>
      <c r="I665" s="4" t="str" cm="1">
        <f t="array" ref="I665">IF(NOT(ISBLANK(A665)),((_xlfn.XLOOKUP(1,(_bbt3[[#All],[ID]]=A665)*(_bbt3[[#All],[METRIC_NAME]]="YLD_YTM_ASK"),_bbt3[[#All],[METRIC_VALUE]])*0.5)+(_xlfn.XLOOKUP(1,(_bbt3[[#All],[ID]]=A665)*(_bbt3[[#All],[METRIC_NAME]]="YLD_YTM_BID"),_bbt3[[#All],[METRIC_VALUE]])*0.5))/100,"")</f>
        <v/>
      </c>
      <c r="J665">
        <f>IF(ISNA(VLOOKUP(A665,'CloseDL - PriceSaverBBT3'!A:E,5,0)),0,VLOOKUP(A665,'CloseDL - PriceSaverBBT3'!A:E,5,0))</f>
        <v>0</v>
      </c>
      <c r="K665" s="7" t="str">
        <f t="shared" si="102"/>
        <v/>
      </c>
      <c r="L665" s="20">
        <f>IF(Close[[#This Row],[CreatedBy]]="MARINER\SilverAdm",1,0)</f>
        <v>1</v>
      </c>
      <c r="M665" t="str">
        <f>IF(NOT(ISBLANK(A665)),VLOOKUP(A665,'Close - PriceSaver'!A:J,6,0),"")</f>
        <v/>
      </c>
      <c r="Q665" t="e">
        <f t="shared" si="103"/>
        <v>#N/A</v>
      </c>
      <c r="R665" t="e">
        <f t="shared" si="104"/>
        <v>#N/A</v>
      </c>
      <c r="S665" t="e">
        <f t="shared" si="105"/>
        <v>#N/A</v>
      </c>
      <c r="T665" s="15" t="e">
        <f t="shared" si="106"/>
        <v>#N/A</v>
      </c>
      <c r="U665" s="18" t="e">
        <f t="shared" si="107"/>
        <v>#N/A</v>
      </c>
      <c r="V665" s="14" t="e">
        <f t="shared" si="108"/>
        <v>#N/A</v>
      </c>
      <c r="W665" s="19" t="e">
        <f t="shared" si="109"/>
        <v>#N/A</v>
      </c>
      <c r="X665" t="e">
        <f>VLOOKUP(P665,Close[[ID]:[CreatedBy]],8,0)</f>
        <v>#N/A</v>
      </c>
    </row>
    <row r="666" spans="2:24" x14ac:dyDescent="0.35">
      <c r="B666" t="str">
        <f>IF(NOT(ISBLANK(A666)),VLOOKUP(A666,'BBT3'!A:F,2,0),"")</f>
        <v/>
      </c>
      <c r="C666" t="str">
        <f>IF(NOT(ISBLANK(A666)),VLOOKUP(A666,'BBT3'!A:F,3,0),"")</f>
        <v/>
      </c>
      <c r="D666" s="5" t="str">
        <f>IF(NOT(ISBLANK(A666)),VLOOKUP(A666,'BBT3'!A:F,4,1),"")</f>
        <v/>
      </c>
      <c r="E666" t="str">
        <f>IF(NOT(ISBLANK(A666)),VLOOKUP(A666,'BBT3'!A:F,5,0),"")</f>
        <v/>
      </c>
      <c r="F666" t="str">
        <f>IF(NOT(ISBLANK(A666)),VLOOKUP(A666,'BBT3'!A:F,6,0),"")</f>
        <v/>
      </c>
      <c r="G666" t="str">
        <f t="shared" si="101"/>
        <v/>
      </c>
      <c r="H666" t="str">
        <f>IF(NOT(ISBLANK(A666)),VLOOKUP(A666,'Close - PriceSaver'!A:J,5,0),"")</f>
        <v/>
      </c>
      <c r="I666" s="4" t="str" cm="1">
        <f t="array" ref="I666">IF(NOT(ISBLANK(A666)),((_xlfn.XLOOKUP(1,(_bbt3[[#All],[ID]]=A666)*(_bbt3[[#All],[METRIC_NAME]]="YLD_YTM_ASK"),_bbt3[[#All],[METRIC_VALUE]])*0.5)+(_xlfn.XLOOKUP(1,(_bbt3[[#All],[ID]]=A666)*(_bbt3[[#All],[METRIC_NAME]]="YLD_YTM_BID"),_bbt3[[#All],[METRIC_VALUE]])*0.5))/100,"")</f>
        <v/>
      </c>
      <c r="J666">
        <f>IF(ISNA(VLOOKUP(A666,'CloseDL - PriceSaverBBT3'!A:E,5,0)),0,VLOOKUP(A666,'CloseDL - PriceSaverBBT3'!A:E,5,0))</f>
        <v>0</v>
      </c>
      <c r="K666" s="7" t="str">
        <f t="shared" si="102"/>
        <v/>
      </c>
      <c r="L666" s="20">
        <f>IF(Close[[#This Row],[CreatedBy]]="MARINER\SilverAdm",1,0)</f>
        <v>1</v>
      </c>
      <c r="M666" t="str">
        <f>IF(NOT(ISBLANK(A666)),VLOOKUP(A666,'Close - PriceSaver'!A:J,6,0),"")</f>
        <v/>
      </c>
      <c r="Q666" t="e">
        <f t="shared" si="103"/>
        <v>#N/A</v>
      </c>
      <c r="R666" t="e">
        <f t="shared" si="104"/>
        <v>#N/A</v>
      </c>
      <c r="S666" t="e">
        <f t="shared" si="105"/>
        <v>#N/A</v>
      </c>
      <c r="T666" s="15" t="e">
        <f t="shared" si="106"/>
        <v>#N/A</v>
      </c>
      <c r="U666" s="18" t="e">
        <f t="shared" si="107"/>
        <v>#N/A</v>
      </c>
      <c r="V666" s="14" t="e">
        <f t="shared" si="108"/>
        <v>#N/A</v>
      </c>
      <c r="W666" s="19" t="e">
        <f t="shared" si="109"/>
        <v>#N/A</v>
      </c>
      <c r="X666" t="e">
        <f>VLOOKUP(P666,Close[[ID]:[CreatedBy]],8,0)</f>
        <v>#N/A</v>
      </c>
    </row>
    <row r="667" spans="2:24" x14ac:dyDescent="0.35">
      <c r="B667" t="str">
        <f>IF(NOT(ISBLANK(A667)),VLOOKUP(A667,'BBT3'!A:F,2,0),"")</f>
        <v/>
      </c>
      <c r="C667" t="str">
        <f>IF(NOT(ISBLANK(A667)),VLOOKUP(A667,'BBT3'!A:F,3,0),"")</f>
        <v/>
      </c>
      <c r="D667" s="5" t="str">
        <f>IF(NOT(ISBLANK(A667)),VLOOKUP(A667,'BBT3'!A:F,4,1),"")</f>
        <v/>
      </c>
      <c r="E667" t="str">
        <f>IF(NOT(ISBLANK(A667)),VLOOKUP(A667,'BBT3'!A:F,5,0),"")</f>
        <v/>
      </c>
      <c r="F667" t="str">
        <f>IF(NOT(ISBLANK(A667)),VLOOKUP(A667,'BBT3'!A:F,6,0),"")</f>
        <v/>
      </c>
      <c r="G667" t="str">
        <f t="shared" si="101"/>
        <v/>
      </c>
      <c r="H667" t="str">
        <f>IF(NOT(ISBLANK(A667)),VLOOKUP(A667,'Close - PriceSaver'!A:J,5,0),"")</f>
        <v/>
      </c>
      <c r="I667" s="4" t="str" cm="1">
        <f t="array" ref="I667">IF(NOT(ISBLANK(A667)),((_xlfn.XLOOKUP(1,(_bbt3[[#All],[ID]]=A667)*(_bbt3[[#All],[METRIC_NAME]]="YLD_YTM_ASK"),_bbt3[[#All],[METRIC_VALUE]])*0.5)+(_xlfn.XLOOKUP(1,(_bbt3[[#All],[ID]]=A667)*(_bbt3[[#All],[METRIC_NAME]]="YLD_YTM_BID"),_bbt3[[#All],[METRIC_VALUE]])*0.5))/100,"")</f>
        <v/>
      </c>
      <c r="J667">
        <f>IF(ISNA(VLOOKUP(A667,'CloseDL - PriceSaverBBT3'!A:E,5,0)),0,VLOOKUP(A667,'CloseDL - PriceSaverBBT3'!A:E,5,0))</f>
        <v>0</v>
      </c>
      <c r="K667" s="7" t="str">
        <f t="shared" si="102"/>
        <v/>
      </c>
      <c r="L667" s="20">
        <f>IF(Close[[#This Row],[CreatedBy]]="MARINER\SilverAdm",1,0)</f>
        <v>1</v>
      </c>
      <c r="M667" t="str">
        <f>IF(NOT(ISBLANK(A667)),VLOOKUP(A667,'Close - PriceSaver'!A:J,6,0),"")</f>
        <v/>
      </c>
      <c r="Q667" t="e">
        <f t="shared" si="103"/>
        <v>#N/A</v>
      </c>
      <c r="R667" t="e">
        <f t="shared" si="104"/>
        <v>#N/A</v>
      </c>
      <c r="S667" t="e">
        <f t="shared" si="105"/>
        <v>#N/A</v>
      </c>
      <c r="T667" s="15" t="e">
        <f t="shared" si="106"/>
        <v>#N/A</v>
      </c>
      <c r="U667" s="18" t="e">
        <f t="shared" si="107"/>
        <v>#N/A</v>
      </c>
      <c r="V667" s="14" t="e">
        <f t="shared" si="108"/>
        <v>#N/A</v>
      </c>
      <c r="W667" s="19" t="e">
        <f t="shared" si="109"/>
        <v>#N/A</v>
      </c>
      <c r="X667" t="e">
        <f>VLOOKUP(P667,Close[[ID]:[CreatedBy]],8,0)</f>
        <v>#N/A</v>
      </c>
    </row>
    <row r="668" spans="2:24" x14ac:dyDescent="0.35">
      <c r="B668" t="str">
        <f>IF(NOT(ISBLANK(A668)),VLOOKUP(A668,'BBT3'!A:F,2,0),"")</f>
        <v/>
      </c>
      <c r="C668" t="str">
        <f>IF(NOT(ISBLANK(A668)),VLOOKUP(A668,'BBT3'!A:F,3,0),"")</f>
        <v/>
      </c>
      <c r="D668" s="5" t="str">
        <f>IF(NOT(ISBLANK(A668)),VLOOKUP(A668,'BBT3'!A:F,4,1),"")</f>
        <v/>
      </c>
      <c r="E668" t="str">
        <f>IF(NOT(ISBLANK(A668)),VLOOKUP(A668,'BBT3'!A:F,5,0),"")</f>
        <v/>
      </c>
      <c r="F668" t="str">
        <f>IF(NOT(ISBLANK(A668)),VLOOKUP(A668,'BBT3'!A:F,6,0),"")</f>
        <v/>
      </c>
      <c r="G668" t="str">
        <f t="shared" si="101"/>
        <v/>
      </c>
      <c r="H668" t="str">
        <f>IF(NOT(ISBLANK(A668)),VLOOKUP(A668,'Close - PriceSaver'!A:J,5,0),"")</f>
        <v/>
      </c>
      <c r="I668" s="4" t="str" cm="1">
        <f t="array" ref="I668">IF(NOT(ISBLANK(A668)),((_xlfn.XLOOKUP(1,(_bbt3[[#All],[ID]]=A668)*(_bbt3[[#All],[METRIC_NAME]]="YLD_YTM_ASK"),_bbt3[[#All],[METRIC_VALUE]])*0.5)+(_xlfn.XLOOKUP(1,(_bbt3[[#All],[ID]]=A668)*(_bbt3[[#All],[METRIC_NAME]]="YLD_YTM_BID"),_bbt3[[#All],[METRIC_VALUE]])*0.5))/100,"")</f>
        <v/>
      </c>
      <c r="J668">
        <f>IF(ISNA(VLOOKUP(A668,'CloseDL - PriceSaverBBT3'!A:E,5,0)),0,VLOOKUP(A668,'CloseDL - PriceSaverBBT3'!A:E,5,0))</f>
        <v>0</v>
      </c>
      <c r="K668" s="7" t="str">
        <f t="shared" si="102"/>
        <v/>
      </c>
      <c r="L668" s="20">
        <f>IF(Close[[#This Row],[CreatedBy]]="MARINER\SilverAdm",1,0)</f>
        <v>1</v>
      </c>
      <c r="M668" t="str">
        <f>IF(NOT(ISBLANK(A668)),VLOOKUP(A668,'Close - PriceSaver'!A:J,6,0),"")</f>
        <v/>
      </c>
      <c r="Q668" t="e">
        <f t="shared" si="103"/>
        <v>#N/A</v>
      </c>
      <c r="R668" t="e">
        <f t="shared" si="104"/>
        <v>#N/A</v>
      </c>
      <c r="S668" t="e">
        <f t="shared" si="105"/>
        <v>#N/A</v>
      </c>
      <c r="T668" s="15" t="e">
        <f t="shared" si="106"/>
        <v>#N/A</v>
      </c>
      <c r="U668" s="18" t="e">
        <f t="shared" si="107"/>
        <v>#N/A</v>
      </c>
      <c r="V668" s="14" t="e">
        <f t="shared" si="108"/>
        <v>#N/A</v>
      </c>
      <c r="W668" s="19" t="e">
        <f t="shared" si="109"/>
        <v>#N/A</v>
      </c>
      <c r="X668" t="e">
        <f>VLOOKUP(P668,Close[[ID]:[CreatedBy]],8,0)</f>
        <v>#N/A</v>
      </c>
    </row>
    <row r="669" spans="2:24" x14ac:dyDescent="0.35">
      <c r="B669" t="str">
        <f>IF(NOT(ISBLANK(A669)),VLOOKUP(A669,'BBT3'!A:F,2,0),"")</f>
        <v/>
      </c>
      <c r="C669" t="str">
        <f>IF(NOT(ISBLANK(A669)),VLOOKUP(A669,'BBT3'!A:F,3,0),"")</f>
        <v/>
      </c>
      <c r="D669" s="5" t="str">
        <f>IF(NOT(ISBLANK(A669)),VLOOKUP(A669,'BBT3'!A:F,4,1),"")</f>
        <v/>
      </c>
      <c r="E669" t="str">
        <f>IF(NOT(ISBLANK(A669)),VLOOKUP(A669,'BBT3'!A:F,5,0),"")</f>
        <v/>
      </c>
      <c r="F669" t="str">
        <f>IF(NOT(ISBLANK(A669)),VLOOKUP(A669,'BBT3'!A:F,6,0),"")</f>
        <v/>
      </c>
      <c r="G669" t="str">
        <f t="shared" si="101"/>
        <v/>
      </c>
      <c r="H669" t="str">
        <f>IF(NOT(ISBLANK(A669)),VLOOKUP(A669,'Close - PriceSaver'!A:J,5,0),"")</f>
        <v/>
      </c>
      <c r="I669" s="4" t="str" cm="1">
        <f t="array" ref="I669">IF(NOT(ISBLANK(A669)),((_xlfn.XLOOKUP(1,(_bbt3[[#All],[ID]]=A669)*(_bbt3[[#All],[METRIC_NAME]]="YLD_YTM_ASK"),_bbt3[[#All],[METRIC_VALUE]])*0.5)+(_xlfn.XLOOKUP(1,(_bbt3[[#All],[ID]]=A669)*(_bbt3[[#All],[METRIC_NAME]]="YLD_YTM_BID"),_bbt3[[#All],[METRIC_VALUE]])*0.5))/100,"")</f>
        <v/>
      </c>
      <c r="J669">
        <f>IF(ISNA(VLOOKUP(A669,'CloseDL - PriceSaverBBT3'!A:E,5,0)),0,VLOOKUP(A669,'CloseDL - PriceSaverBBT3'!A:E,5,0))</f>
        <v>0</v>
      </c>
      <c r="K669" s="7" t="str">
        <f t="shared" si="102"/>
        <v/>
      </c>
      <c r="L669" s="20">
        <f>IF(Close[[#This Row],[CreatedBy]]="MARINER\SilverAdm",1,0)</f>
        <v>1</v>
      </c>
      <c r="M669" t="str">
        <f>IF(NOT(ISBLANK(A669)),VLOOKUP(A669,'Close - PriceSaver'!A:J,6,0),"")</f>
        <v/>
      </c>
      <c r="Q669" t="e">
        <f t="shared" si="103"/>
        <v>#N/A</v>
      </c>
      <c r="R669" t="e">
        <f t="shared" si="104"/>
        <v>#N/A</v>
      </c>
      <c r="S669" t="e">
        <f t="shared" si="105"/>
        <v>#N/A</v>
      </c>
      <c r="T669" s="15" t="e">
        <f t="shared" si="106"/>
        <v>#N/A</v>
      </c>
      <c r="U669" s="18" t="e">
        <f t="shared" si="107"/>
        <v>#N/A</v>
      </c>
      <c r="V669" s="14" t="e">
        <f t="shared" si="108"/>
        <v>#N/A</v>
      </c>
      <c r="W669" s="19" t="e">
        <f t="shared" si="109"/>
        <v>#N/A</v>
      </c>
      <c r="X669" t="e">
        <f>VLOOKUP(P669,Close[[ID]:[CreatedBy]],8,0)</f>
        <v>#N/A</v>
      </c>
    </row>
    <row r="670" spans="2:24" x14ac:dyDescent="0.35">
      <c r="B670" t="str">
        <f>IF(NOT(ISBLANK(A670)),VLOOKUP(A670,'BBT3'!A:F,2,0),"")</f>
        <v/>
      </c>
      <c r="C670" t="str">
        <f>IF(NOT(ISBLANK(A670)),VLOOKUP(A670,'BBT3'!A:F,3,0),"")</f>
        <v/>
      </c>
      <c r="D670" s="5" t="str">
        <f>IF(NOT(ISBLANK(A670)),VLOOKUP(A670,'BBT3'!A:F,4,1),"")</f>
        <v/>
      </c>
      <c r="E670" t="str">
        <f>IF(NOT(ISBLANK(A670)),VLOOKUP(A670,'BBT3'!A:F,5,0),"")</f>
        <v/>
      </c>
      <c r="F670" t="str">
        <f>IF(NOT(ISBLANK(A670)),VLOOKUP(A670,'BBT3'!A:F,6,0),"")</f>
        <v/>
      </c>
      <c r="G670" t="str">
        <f t="shared" si="101"/>
        <v/>
      </c>
      <c r="H670" t="str">
        <f>IF(NOT(ISBLANK(A670)),VLOOKUP(A670,'Close - PriceSaver'!A:J,5,0),"")</f>
        <v/>
      </c>
      <c r="I670" s="4" t="str" cm="1">
        <f t="array" ref="I670">IF(NOT(ISBLANK(A670)),((_xlfn.XLOOKUP(1,(_bbt3[[#All],[ID]]=A670)*(_bbt3[[#All],[METRIC_NAME]]="YLD_YTM_ASK"),_bbt3[[#All],[METRIC_VALUE]])*0.5)+(_xlfn.XLOOKUP(1,(_bbt3[[#All],[ID]]=A670)*(_bbt3[[#All],[METRIC_NAME]]="YLD_YTM_BID"),_bbt3[[#All],[METRIC_VALUE]])*0.5))/100,"")</f>
        <v/>
      </c>
      <c r="J670">
        <f>IF(ISNA(VLOOKUP(A670,'CloseDL - PriceSaverBBT3'!A:E,5,0)),0,VLOOKUP(A670,'CloseDL - PriceSaverBBT3'!A:E,5,0))</f>
        <v>0</v>
      </c>
      <c r="K670" s="7" t="str">
        <f t="shared" si="102"/>
        <v/>
      </c>
      <c r="L670" s="20">
        <f>IF(Close[[#This Row],[CreatedBy]]="MARINER\SilverAdm",1,0)</f>
        <v>1</v>
      </c>
      <c r="M670" t="str">
        <f>IF(NOT(ISBLANK(A670)),VLOOKUP(A670,'Close - PriceSaver'!A:J,6,0),"")</f>
        <v/>
      </c>
      <c r="Q670" t="e">
        <f t="shared" si="103"/>
        <v>#N/A</v>
      </c>
      <c r="R670" t="e">
        <f t="shared" si="104"/>
        <v>#N/A</v>
      </c>
      <c r="S670" t="e">
        <f t="shared" si="105"/>
        <v>#N/A</v>
      </c>
      <c r="T670" s="15" t="e">
        <f t="shared" si="106"/>
        <v>#N/A</v>
      </c>
      <c r="U670" s="18" t="e">
        <f t="shared" si="107"/>
        <v>#N/A</v>
      </c>
      <c r="V670" s="14" t="e">
        <f t="shared" si="108"/>
        <v>#N/A</v>
      </c>
      <c r="W670" s="19" t="e">
        <f t="shared" si="109"/>
        <v>#N/A</v>
      </c>
      <c r="X670" t="e">
        <f>VLOOKUP(P670,Close[[ID]:[CreatedBy]],8,0)</f>
        <v>#N/A</v>
      </c>
    </row>
    <row r="671" spans="2:24" x14ac:dyDescent="0.35">
      <c r="B671" t="str">
        <f>IF(NOT(ISBLANK(A671)),VLOOKUP(A671,'BBT3'!A:F,2,0),"")</f>
        <v/>
      </c>
      <c r="C671" t="str">
        <f>IF(NOT(ISBLANK(A671)),VLOOKUP(A671,'BBT3'!A:F,3,0),"")</f>
        <v/>
      </c>
      <c r="D671" s="5" t="str">
        <f>IF(NOT(ISBLANK(A671)),VLOOKUP(A671,'BBT3'!A:F,4,1),"")</f>
        <v/>
      </c>
      <c r="E671" t="str">
        <f>IF(NOT(ISBLANK(A671)),VLOOKUP(A671,'BBT3'!A:F,5,0),"")</f>
        <v/>
      </c>
      <c r="F671" t="str">
        <f>IF(NOT(ISBLANK(A671)),VLOOKUP(A671,'BBT3'!A:F,6,0),"")</f>
        <v/>
      </c>
      <c r="G671" t="str">
        <f t="shared" si="101"/>
        <v/>
      </c>
      <c r="H671" t="str">
        <f>IF(NOT(ISBLANK(A671)),VLOOKUP(A671,'Close - PriceSaver'!A:J,5,0),"")</f>
        <v/>
      </c>
      <c r="I671" s="4" t="str" cm="1">
        <f t="array" ref="I671">IF(NOT(ISBLANK(A671)),((_xlfn.XLOOKUP(1,(_bbt3[[#All],[ID]]=A671)*(_bbt3[[#All],[METRIC_NAME]]="YLD_YTM_ASK"),_bbt3[[#All],[METRIC_VALUE]])*0.5)+(_xlfn.XLOOKUP(1,(_bbt3[[#All],[ID]]=A671)*(_bbt3[[#All],[METRIC_NAME]]="YLD_YTM_BID"),_bbt3[[#All],[METRIC_VALUE]])*0.5))/100,"")</f>
        <v/>
      </c>
      <c r="J671">
        <f>IF(ISNA(VLOOKUP(A671,'CloseDL - PriceSaverBBT3'!A:E,5,0)),0,VLOOKUP(A671,'CloseDL - PriceSaverBBT3'!A:E,5,0))</f>
        <v>0</v>
      </c>
      <c r="K671" s="7" t="str">
        <f t="shared" si="102"/>
        <v/>
      </c>
      <c r="L671" s="20">
        <f>IF(Close[[#This Row],[CreatedBy]]="MARINER\SilverAdm",1,0)</f>
        <v>1</v>
      </c>
      <c r="M671" t="str">
        <f>IF(NOT(ISBLANK(A671)),VLOOKUP(A671,'Close - PriceSaver'!A:J,6,0),"")</f>
        <v/>
      </c>
      <c r="Q671" t="e">
        <f t="shared" si="103"/>
        <v>#N/A</v>
      </c>
      <c r="R671" t="e">
        <f t="shared" si="104"/>
        <v>#N/A</v>
      </c>
      <c r="S671" t="e">
        <f t="shared" si="105"/>
        <v>#N/A</v>
      </c>
      <c r="T671" s="15" t="e">
        <f t="shared" si="106"/>
        <v>#N/A</v>
      </c>
      <c r="U671" s="18" t="e">
        <f t="shared" si="107"/>
        <v>#N/A</v>
      </c>
      <c r="V671" s="14" t="e">
        <f t="shared" si="108"/>
        <v>#N/A</v>
      </c>
      <c r="W671" s="19" t="e">
        <f t="shared" si="109"/>
        <v>#N/A</v>
      </c>
      <c r="X671" t="e">
        <f>VLOOKUP(P671,Close[[ID]:[CreatedBy]],8,0)</f>
        <v>#N/A</v>
      </c>
    </row>
    <row r="672" spans="2:24" x14ac:dyDescent="0.35">
      <c r="B672" t="str">
        <f>IF(NOT(ISBLANK(A672)),VLOOKUP(A672,'BBT3'!A:F,2,0),"")</f>
        <v/>
      </c>
      <c r="C672" t="str">
        <f>IF(NOT(ISBLANK(A672)),VLOOKUP(A672,'BBT3'!A:F,3,0),"")</f>
        <v/>
      </c>
      <c r="D672" s="5" t="str">
        <f>IF(NOT(ISBLANK(A672)),VLOOKUP(A672,'BBT3'!A:F,4,1),"")</f>
        <v/>
      </c>
      <c r="E672" t="str">
        <f>IF(NOT(ISBLANK(A672)),VLOOKUP(A672,'BBT3'!A:F,5,0),"")</f>
        <v/>
      </c>
      <c r="F672" t="str">
        <f>IF(NOT(ISBLANK(A672)),VLOOKUP(A672,'BBT3'!A:F,6,0),"")</f>
        <v/>
      </c>
      <c r="G672" t="str">
        <f t="shared" si="101"/>
        <v/>
      </c>
      <c r="H672" t="str">
        <f>IF(NOT(ISBLANK(A672)),VLOOKUP(A672,'Close - PriceSaver'!A:J,5,0),"")</f>
        <v/>
      </c>
      <c r="I672" s="4" t="str" cm="1">
        <f t="array" ref="I672">IF(NOT(ISBLANK(A672)),((_xlfn.XLOOKUP(1,(_bbt3[[#All],[ID]]=A672)*(_bbt3[[#All],[METRIC_NAME]]="YLD_YTM_ASK"),_bbt3[[#All],[METRIC_VALUE]])*0.5)+(_xlfn.XLOOKUP(1,(_bbt3[[#All],[ID]]=A672)*(_bbt3[[#All],[METRIC_NAME]]="YLD_YTM_BID"),_bbt3[[#All],[METRIC_VALUE]])*0.5))/100,"")</f>
        <v/>
      </c>
      <c r="J672">
        <f>IF(ISNA(VLOOKUP(A672,'CloseDL - PriceSaverBBT3'!A:E,5,0)),0,VLOOKUP(A672,'CloseDL - PriceSaverBBT3'!A:E,5,0))</f>
        <v>0</v>
      </c>
      <c r="K672" s="7" t="str">
        <f t="shared" si="102"/>
        <v/>
      </c>
      <c r="L672" s="20">
        <f>IF(Close[[#This Row],[CreatedBy]]="MARINER\SilverAdm",1,0)</f>
        <v>1</v>
      </c>
      <c r="M672" t="str">
        <f>IF(NOT(ISBLANK(A672)),VLOOKUP(A672,'Close - PriceSaver'!A:J,6,0),"")</f>
        <v/>
      </c>
      <c r="Q672" t="e">
        <f t="shared" si="103"/>
        <v>#N/A</v>
      </c>
      <c r="R672" t="e">
        <f t="shared" si="104"/>
        <v>#N/A</v>
      </c>
      <c r="S672" t="e">
        <f t="shared" si="105"/>
        <v>#N/A</v>
      </c>
      <c r="T672" s="15" t="e">
        <f t="shared" si="106"/>
        <v>#N/A</v>
      </c>
      <c r="U672" s="18" t="e">
        <f t="shared" si="107"/>
        <v>#N/A</v>
      </c>
      <c r="V672" s="14" t="e">
        <f t="shared" si="108"/>
        <v>#N/A</v>
      </c>
      <c r="W672" s="19" t="e">
        <f t="shared" si="109"/>
        <v>#N/A</v>
      </c>
      <c r="X672" t="e">
        <f>VLOOKUP(P672,Close[[ID]:[CreatedBy]],8,0)</f>
        <v>#N/A</v>
      </c>
    </row>
    <row r="673" spans="2:24" x14ac:dyDescent="0.35">
      <c r="B673" t="str">
        <f>IF(NOT(ISBLANK(A673)),VLOOKUP(A673,'BBT3'!A:F,2,0),"")</f>
        <v/>
      </c>
      <c r="C673" t="str">
        <f>IF(NOT(ISBLANK(A673)),VLOOKUP(A673,'BBT3'!A:F,3,0),"")</f>
        <v/>
      </c>
      <c r="D673" s="5" t="str">
        <f>IF(NOT(ISBLANK(A673)),VLOOKUP(A673,'BBT3'!A:F,4,1),"")</f>
        <v/>
      </c>
      <c r="E673" t="str">
        <f>IF(NOT(ISBLANK(A673)),VLOOKUP(A673,'BBT3'!A:F,5,0),"")</f>
        <v/>
      </c>
      <c r="F673" t="str">
        <f>IF(NOT(ISBLANK(A673)),VLOOKUP(A673,'BBT3'!A:F,6,0),"")</f>
        <v/>
      </c>
      <c r="G673" t="str">
        <f t="shared" si="101"/>
        <v/>
      </c>
      <c r="H673" t="str">
        <f>IF(NOT(ISBLANK(A673)),VLOOKUP(A673,'Close - PriceSaver'!A:J,5,0),"")</f>
        <v/>
      </c>
      <c r="I673" s="4" t="str" cm="1">
        <f t="array" ref="I673">IF(NOT(ISBLANK(A673)),((_xlfn.XLOOKUP(1,(_bbt3[[#All],[ID]]=A673)*(_bbt3[[#All],[METRIC_NAME]]="YLD_YTM_ASK"),_bbt3[[#All],[METRIC_VALUE]])*0.5)+(_xlfn.XLOOKUP(1,(_bbt3[[#All],[ID]]=A673)*(_bbt3[[#All],[METRIC_NAME]]="YLD_YTM_BID"),_bbt3[[#All],[METRIC_VALUE]])*0.5))/100,"")</f>
        <v/>
      </c>
      <c r="J673">
        <f>IF(ISNA(VLOOKUP(A673,'CloseDL - PriceSaverBBT3'!A:E,5,0)),0,VLOOKUP(A673,'CloseDL - PriceSaverBBT3'!A:E,5,0))</f>
        <v>0</v>
      </c>
      <c r="K673" s="7" t="str">
        <f t="shared" si="102"/>
        <v/>
      </c>
      <c r="L673" s="20">
        <f>IF(Close[[#This Row],[CreatedBy]]="MARINER\SilverAdm",1,0)</f>
        <v>1</v>
      </c>
      <c r="M673" t="str">
        <f>IF(NOT(ISBLANK(A673)),VLOOKUP(A673,'Close - PriceSaver'!A:J,6,0),"")</f>
        <v/>
      </c>
      <c r="Q673" t="e">
        <f t="shared" si="103"/>
        <v>#N/A</v>
      </c>
      <c r="R673" t="e">
        <f t="shared" si="104"/>
        <v>#N/A</v>
      </c>
      <c r="S673" t="e">
        <f t="shared" si="105"/>
        <v>#N/A</v>
      </c>
      <c r="T673" s="15" t="e">
        <f t="shared" si="106"/>
        <v>#N/A</v>
      </c>
      <c r="U673" s="18" t="e">
        <f t="shared" si="107"/>
        <v>#N/A</v>
      </c>
      <c r="V673" s="14" t="e">
        <f t="shared" si="108"/>
        <v>#N/A</v>
      </c>
      <c r="W673" s="19" t="e">
        <f t="shared" si="109"/>
        <v>#N/A</v>
      </c>
      <c r="X673" t="e">
        <f>VLOOKUP(P673,Close[[ID]:[CreatedBy]],8,0)</f>
        <v>#N/A</v>
      </c>
    </row>
    <row r="674" spans="2:24" x14ac:dyDescent="0.35">
      <c r="B674" t="str">
        <f>IF(NOT(ISBLANK(A674)),VLOOKUP(A674,'BBT3'!A:F,2,0),"")</f>
        <v/>
      </c>
      <c r="C674" t="str">
        <f>IF(NOT(ISBLANK(A674)),VLOOKUP(A674,'BBT3'!A:F,3,0),"")</f>
        <v/>
      </c>
      <c r="D674" s="5" t="str">
        <f>IF(NOT(ISBLANK(A674)),VLOOKUP(A674,'BBT3'!A:F,4,1),"")</f>
        <v/>
      </c>
      <c r="E674" t="str">
        <f>IF(NOT(ISBLANK(A674)),VLOOKUP(A674,'BBT3'!A:F,5,0),"")</f>
        <v/>
      </c>
      <c r="F674" t="str">
        <f>IF(NOT(ISBLANK(A674)),VLOOKUP(A674,'BBT3'!A:F,6,0),"")</f>
        <v/>
      </c>
      <c r="G674" t="str">
        <f t="shared" si="101"/>
        <v/>
      </c>
      <c r="H674" t="str">
        <f>IF(NOT(ISBLANK(A674)),VLOOKUP(A674,'Close - PriceSaver'!A:J,5,0),"")</f>
        <v/>
      </c>
      <c r="I674" s="4" t="str" cm="1">
        <f t="array" ref="I674">IF(NOT(ISBLANK(A674)),((_xlfn.XLOOKUP(1,(_bbt3[[#All],[ID]]=A674)*(_bbt3[[#All],[METRIC_NAME]]="YLD_YTM_ASK"),_bbt3[[#All],[METRIC_VALUE]])*0.5)+(_xlfn.XLOOKUP(1,(_bbt3[[#All],[ID]]=A674)*(_bbt3[[#All],[METRIC_NAME]]="YLD_YTM_BID"),_bbt3[[#All],[METRIC_VALUE]])*0.5))/100,"")</f>
        <v/>
      </c>
      <c r="J674">
        <f>IF(ISNA(VLOOKUP(A674,'CloseDL - PriceSaverBBT3'!A:E,5,0)),0,VLOOKUP(A674,'CloseDL - PriceSaverBBT3'!A:E,5,0))</f>
        <v>0</v>
      </c>
      <c r="K674" s="7" t="str">
        <f t="shared" si="102"/>
        <v/>
      </c>
      <c r="L674" s="20">
        <f>IF(Close[[#This Row],[CreatedBy]]="MARINER\SilverAdm",1,0)</f>
        <v>1</v>
      </c>
      <c r="M674" t="str">
        <f>IF(NOT(ISBLANK(A674)),VLOOKUP(A674,'Close - PriceSaver'!A:J,6,0),"")</f>
        <v/>
      </c>
      <c r="Q674" t="e">
        <f t="shared" si="103"/>
        <v>#N/A</v>
      </c>
      <c r="R674" t="e">
        <f t="shared" si="104"/>
        <v>#N/A</v>
      </c>
      <c r="S674" t="e">
        <f t="shared" si="105"/>
        <v>#N/A</v>
      </c>
      <c r="T674" s="15" t="e">
        <f t="shared" si="106"/>
        <v>#N/A</v>
      </c>
      <c r="U674" s="18" t="e">
        <f t="shared" si="107"/>
        <v>#N/A</v>
      </c>
      <c r="V674" s="14" t="e">
        <f t="shared" si="108"/>
        <v>#N/A</v>
      </c>
      <c r="W674" s="19" t="e">
        <f t="shared" si="109"/>
        <v>#N/A</v>
      </c>
      <c r="X674" t="e">
        <f>VLOOKUP(P674,Close[[ID]:[CreatedBy]],8,0)</f>
        <v>#N/A</v>
      </c>
    </row>
    <row r="675" spans="2:24" x14ac:dyDescent="0.35">
      <c r="B675" t="str">
        <f>IF(NOT(ISBLANK(A675)),VLOOKUP(A675,'BBT3'!A:F,2,0),"")</f>
        <v/>
      </c>
      <c r="C675" t="str">
        <f>IF(NOT(ISBLANK(A675)),VLOOKUP(A675,'BBT3'!A:F,3,0),"")</f>
        <v/>
      </c>
      <c r="D675" s="5" t="str">
        <f>IF(NOT(ISBLANK(A675)),VLOOKUP(A675,'BBT3'!A:F,4,1),"")</f>
        <v/>
      </c>
      <c r="E675" t="str">
        <f>IF(NOT(ISBLANK(A675)),VLOOKUP(A675,'BBT3'!A:F,5,0),"")</f>
        <v/>
      </c>
      <c r="F675" t="str">
        <f>IF(NOT(ISBLANK(A675)),VLOOKUP(A675,'BBT3'!A:F,6,0),"")</f>
        <v/>
      </c>
      <c r="G675" t="str">
        <f t="shared" si="101"/>
        <v/>
      </c>
      <c r="H675" t="str">
        <f>IF(NOT(ISBLANK(A675)),VLOOKUP(A675,'Close - PriceSaver'!A:J,5,0),"")</f>
        <v/>
      </c>
      <c r="I675" s="4" t="str" cm="1">
        <f t="array" ref="I675">IF(NOT(ISBLANK(A675)),((_xlfn.XLOOKUP(1,(_bbt3[[#All],[ID]]=A675)*(_bbt3[[#All],[METRIC_NAME]]="YLD_YTM_ASK"),_bbt3[[#All],[METRIC_VALUE]])*0.5)+(_xlfn.XLOOKUP(1,(_bbt3[[#All],[ID]]=A675)*(_bbt3[[#All],[METRIC_NAME]]="YLD_YTM_BID"),_bbt3[[#All],[METRIC_VALUE]])*0.5))/100,"")</f>
        <v/>
      </c>
      <c r="J675">
        <f>IF(ISNA(VLOOKUP(A675,'CloseDL - PriceSaverBBT3'!A:E,5,0)),0,VLOOKUP(A675,'CloseDL - PriceSaverBBT3'!A:E,5,0))</f>
        <v>0</v>
      </c>
      <c r="K675" s="7" t="str">
        <f t="shared" si="102"/>
        <v/>
      </c>
      <c r="L675" s="20">
        <f>IF(Close[[#This Row],[CreatedBy]]="MARINER\SilverAdm",1,0)</f>
        <v>1</v>
      </c>
      <c r="M675" t="str">
        <f>IF(NOT(ISBLANK(A675)),VLOOKUP(A675,'Close - PriceSaver'!A:J,6,0),"")</f>
        <v/>
      </c>
      <c r="Q675" t="e">
        <f t="shared" si="103"/>
        <v>#N/A</v>
      </c>
      <c r="R675" t="e">
        <f t="shared" si="104"/>
        <v>#N/A</v>
      </c>
      <c r="S675" t="e">
        <f t="shared" si="105"/>
        <v>#N/A</v>
      </c>
      <c r="T675" s="15" t="e">
        <f t="shared" si="106"/>
        <v>#N/A</v>
      </c>
      <c r="U675" s="18" t="e">
        <f t="shared" si="107"/>
        <v>#N/A</v>
      </c>
      <c r="V675" s="14" t="e">
        <f t="shared" si="108"/>
        <v>#N/A</v>
      </c>
      <c r="W675" s="19" t="e">
        <f t="shared" si="109"/>
        <v>#N/A</v>
      </c>
      <c r="X675" t="e">
        <f>VLOOKUP(P675,Close[[ID]:[CreatedBy]],8,0)</f>
        <v>#N/A</v>
      </c>
    </row>
    <row r="676" spans="2:24" x14ac:dyDescent="0.35">
      <c r="B676" t="str">
        <f>IF(NOT(ISBLANK(A676)),VLOOKUP(A676,'BBT3'!A:F,2,0),"")</f>
        <v/>
      </c>
      <c r="C676" t="str">
        <f>IF(NOT(ISBLANK(A676)),VLOOKUP(A676,'BBT3'!A:F,3,0),"")</f>
        <v/>
      </c>
      <c r="D676" s="5" t="str">
        <f>IF(NOT(ISBLANK(A676)),VLOOKUP(A676,'BBT3'!A:F,4,1),"")</f>
        <v/>
      </c>
      <c r="E676" t="str">
        <f>IF(NOT(ISBLANK(A676)),VLOOKUP(A676,'BBT3'!A:F,5,0),"")</f>
        <v/>
      </c>
      <c r="F676" t="str">
        <f>IF(NOT(ISBLANK(A676)),VLOOKUP(A676,'BBT3'!A:F,6,0),"")</f>
        <v/>
      </c>
      <c r="G676" t="str">
        <f t="shared" si="101"/>
        <v/>
      </c>
      <c r="H676" t="str">
        <f>IF(NOT(ISBLANK(A676)),VLOOKUP(A676,'Close - PriceSaver'!A:J,5,0),"")</f>
        <v/>
      </c>
      <c r="I676" s="4" t="str" cm="1">
        <f t="array" ref="I676">IF(NOT(ISBLANK(A676)),((_xlfn.XLOOKUP(1,(_bbt3[[#All],[ID]]=A676)*(_bbt3[[#All],[METRIC_NAME]]="YLD_YTM_ASK"),_bbt3[[#All],[METRIC_VALUE]])*0.5)+(_xlfn.XLOOKUP(1,(_bbt3[[#All],[ID]]=A676)*(_bbt3[[#All],[METRIC_NAME]]="YLD_YTM_BID"),_bbt3[[#All],[METRIC_VALUE]])*0.5))/100,"")</f>
        <v/>
      </c>
      <c r="J676">
        <f>IF(ISNA(VLOOKUP(A676,'CloseDL - PriceSaverBBT3'!A:E,5,0)),0,VLOOKUP(A676,'CloseDL - PriceSaverBBT3'!A:E,5,0))</f>
        <v>0</v>
      </c>
      <c r="K676" s="7" t="str">
        <f t="shared" si="102"/>
        <v/>
      </c>
      <c r="L676" s="20">
        <f>IF(Close[[#This Row],[CreatedBy]]="MARINER\SilverAdm",1,0)</f>
        <v>1</v>
      </c>
      <c r="M676" t="str">
        <f>IF(NOT(ISBLANK(A676)),VLOOKUP(A676,'Close - PriceSaver'!A:J,6,0),"")</f>
        <v/>
      </c>
      <c r="Q676" t="e">
        <f t="shared" si="103"/>
        <v>#N/A</v>
      </c>
      <c r="R676" t="e">
        <f t="shared" si="104"/>
        <v>#N/A</v>
      </c>
      <c r="S676" t="e">
        <f t="shared" si="105"/>
        <v>#N/A</v>
      </c>
      <c r="T676" s="15" t="e">
        <f t="shared" si="106"/>
        <v>#N/A</v>
      </c>
      <c r="U676" s="18" t="e">
        <f t="shared" si="107"/>
        <v>#N/A</v>
      </c>
      <c r="V676" s="14" t="e">
        <f t="shared" si="108"/>
        <v>#N/A</v>
      </c>
      <c r="W676" s="19" t="e">
        <f t="shared" si="109"/>
        <v>#N/A</v>
      </c>
      <c r="X676" t="e">
        <f>VLOOKUP(P676,Close[[ID]:[CreatedBy]],8,0)</f>
        <v>#N/A</v>
      </c>
    </row>
    <row r="677" spans="2:24" x14ac:dyDescent="0.35">
      <c r="B677" t="str">
        <f>IF(NOT(ISBLANK(A677)),VLOOKUP(A677,'BBT3'!A:F,2,0),"")</f>
        <v/>
      </c>
      <c r="C677" t="str">
        <f>IF(NOT(ISBLANK(A677)),VLOOKUP(A677,'BBT3'!A:F,3,0),"")</f>
        <v/>
      </c>
      <c r="D677" s="5" t="str">
        <f>IF(NOT(ISBLANK(A677)),VLOOKUP(A677,'BBT3'!A:F,4,1),"")</f>
        <v/>
      </c>
      <c r="E677" t="str">
        <f>IF(NOT(ISBLANK(A677)),VLOOKUP(A677,'BBT3'!A:F,5,0),"")</f>
        <v/>
      </c>
      <c r="F677" t="str">
        <f>IF(NOT(ISBLANK(A677)),VLOOKUP(A677,'BBT3'!A:F,6,0),"")</f>
        <v/>
      </c>
      <c r="G677" t="str">
        <f t="shared" si="101"/>
        <v/>
      </c>
      <c r="H677" t="str">
        <f>IF(NOT(ISBLANK(A677)),VLOOKUP(A677,'Close - PriceSaver'!A:J,5,0),"")</f>
        <v/>
      </c>
      <c r="I677" s="4" t="str" cm="1">
        <f t="array" ref="I677">IF(NOT(ISBLANK(A677)),((_xlfn.XLOOKUP(1,(_bbt3[[#All],[ID]]=A677)*(_bbt3[[#All],[METRIC_NAME]]="YLD_YTM_ASK"),_bbt3[[#All],[METRIC_VALUE]])*0.5)+(_xlfn.XLOOKUP(1,(_bbt3[[#All],[ID]]=A677)*(_bbt3[[#All],[METRIC_NAME]]="YLD_YTM_BID"),_bbt3[[#All],[METRIC_VALUE]])*0.5))/100,"")</f>
        <v/>
      </c>
      <c r="J677">
        <f>IF(ISNA(VLOOKUP(A677,'CloseDL - PriceSaverBBT3'!A:E,5,0)),0,VLOOKUP(A677,'CloseDL - PriceSaverBBT3'!A:E,5,0))</f>
        <v>0</v>
      </c>
      <c r="K677" s="7" t="str">
        <f t="shared" si="102"/>
        <v/>
      </c>
      <c r="L677" s="20">
        <f>IF(Close[[#This Row],[CreatedBy]]="MARINER\SilverAdm",1,0)</f>
        <v>1</v>
      </c>
      <c r="M677" t="str">
        <f>IF(NOT(ISBLANK(A677)),VLOOKUP(A677,'Close - PriceSaver'!A:J,6,0),"")</f>
        <v/>
      </c>
      <c r="Q677" t="e">
        <f t="shared" si="103"/>
        <v>#N/A</v>
      </c>
      <c r="R677" t="e">
        <f t="shared" si="104"/>
        <v>#N/A</v>
      </c>
      <c r="S677" t="e">
        <f t="shared" si="105"/>
        <v>#N/A</v>
      </c>
      <c r="T677" s="15" t="e">
        <f t="shared" si="106"/>
        <v>#N/A</v>
      </c>
      <c r="U677" s="18" t="e">
        <f t="shared" si="107"/>
        <v>#N/A</v>
      </c>
      <c r="V677" s="14" t="e">
        <f t="shared" si="108"/>
        <v>#N/A</v>
      </c>
      <c r="W677" s="19" t="e">
        <f t="shared" si="109"/>
        <v>#N/A</v>
      </c>
      <c r="X677" t="e">
        <f>VLOOKUP(P677,Close[[ID]:[CreatedBy]],8,0)</f>
        <v>#N/A</v>
      </c>
    </row>
    <row r="678" spans="2:24" x14ac:dyDescent="0.35">
      <c r="B678" t="str">
        <f>IF(NOT(ISBLANK(A678)),VLOOKUP(A678,'BBT3'!A:F,2,0),"")</f>
        <v/>
      </c>
      <c r="C678" t="str">
        <f>IF(NOT(ISBLANK(A678)),VLOOKUP(A678,'BBT3'!A:F,3,0),"")</f>
        <v/>
      </c>
      <c r="D678" s="5" t="str">
        <f>IF(NOT(ISBLANK(A678)),VLOOKUP(A678,'BBT3'!A:F,4,1),"")</f>
        <v/>
      </c>
      <c r="E678" t="str">
        <f>IF(NOT(ISBLANK(A678)),VLOOKUP(A678,'BBT3'!A:F,5,0),"")</f>
        <v/>
      </c>
      <c r="F678" t="str">
        <f>IF(NOT(ISBLANK(A678)),VLOOKUP(A678,'BBT3'!A:F,6,0),"")</f>
        <v/>
      </c>
      <c r="G678" t="str">
        <f t="shared" si="101"/>
        <v/>
      </c>
      <c r="H678" t="str">
        <f>IF(NOT(ISBLANK(A678)),VLOOKUP(A678,'Close - PriceSaver'!A:J,5,0),"")</f>
        <v/>
      </c>
      <c r="I678" s="4" t="str" cm="1">
        <f t="array" ref="I678">IF(NOT(ISBLANK(A678)),((_xlfn.XLOOKUP(1,(_bbt3[[#All],[ID]]=A678)*(_bbt3[[#All],[METRIC_NAME]]="YLD_YTM_ASK"),_bbt3[[#All],[METRIC_VALUE]])*0.5)+(_xlfn.XLOOKUP(1,(_bbt3[[#All],[ID]]=A678)*(_bbt3[[#All],[METRIC_NAME]]="YLD_YTM_BID"),_bbt3[[#All],[METRIC_VALUE]])*0.5))/100,"")</f>
        <v/>
      </c>
      <c r="J678">
        <f>IF(ISNA(VLOOKUP(A678,'CloseDL - PriceSaverBBT3'!A:E,5,0)),0,VLOOKUP(A678,'CloseDL - PriceSaverBBT3'!A:E,5,0))</f>
        <v>0</v>
      </c>
      <c r="K678" s="7" t="str">
        <f t="shared" si="102"/>
        <v/>
      </c>
      <c r="L678" s="20">
        <f>IF(Close[[#This Row],[CreatedBy]]="MARINER\SilverAdm",1,0)</f>
        <v>1</v>
      </c>
      <c r="M678" t="str">
        <f>IF(NOT(ISBLANK(A678)),VLOOKUP(A678,'Close - PriceSaver'!A:J,6,0),"")</f>
        <v/>
      </c>
      <c r="Q678" t="e">
        <f t="shared" si="103"/>
        <v>#N/A</v>
      </c>
      <c r="R678" t="e">
        <f t="shared" si="104"/>
        <v>#N/A</v>
      </c>
      <c r="S678" t="e">
        <f t="shared" si="105"/>
        <v>#N/A</v>
      </c>
      <c r="T678" s="15" t="e">
        <f t="shared" si="106"/>
        <v>#N/A</v>
      </c>
      <c r="U678" s="18" t="e">
        <f t="shared" si="107"/>
        <v>#N/A</v>
      </c>
      <c r="V678" s="14" t="e">
        <f t="shared" si="108"/>
        <v>#N/A</v>
      </c>
      <c r="W678" s="19" t="e">
        <f t="shared" si="109"/>
        <v>#N/A</v>
      </c>
      <c r="X678" t="e">
        <f>VLOOKUP(P678,Close[[ID]:[CreatedBy]],8,0)</f>
        <v>#N/A</v>
      </c>
    </row>
    <row r="679" spans="2:24" x14ac:dyDescent="0.35">
      <c r="B679" t="str">
        <f>IF(NOT(ISBLANK(A679)),VLOOKUP(A679,'BBT3'!A:F,2,0),"")</f>
        <v/>
      </c>
      <c r="C679" t="str">
        <f>IF(NOT(ISBLANK(A679)),VLOOKUP(A679,'BBT3'!A:F,3,0),"")</f>
        <v/>
      </c>
      <c r="D679" s="5" t="str">
        <f>IF(NOT(ISBLANK(A679)),VLOOKUP(A679,'BBT3'!A:F,4,1),"")</f>
        <v/>
      </c>
      <c r="E679" t="str">
        <f>IF(NOT(ISBLANK(A679)),VLOOKUP(A679,'BBT3'!A:F,5,0),"")</f>
        <v/>
      </c>
      <c r="F679" t="str">
        <f>IF(NOT(ISBLANK(A679)),VLOOKUP(A679,'BBT3'!A:F,6,0),"")</f>
        <v/>
      </c>
      <c r="G679" t="str">
        <f t="shared" si="101"/>
        <v/>
      </c>
      <c r="H679" t="str">
        <f>IF(NOT(ISBLANK(A679)),VLOOKUP(A679,'Close - PriceSaver'!A:J,5,0),"")</f>
        <v/>
      </c>
      <c r="I679" s="4" t="str" cm="1">
        <f t="array" ref="I679">IF(NOT(ISBLANK(A679)),((_xlfn.XLOOKUP(1,(_bbt3[[#All],[ID]]=A679)*(_bbt3[[#All],[METRIC_NAME]]="YLD_YTM_ASK"),_bbt3[[#All],[METRIC_VALUE]])*0.5)+(_xlfn.XLOOKUP(1,(_bbt3[[#All],[ID]]=A679)*(_bbt3[[#All],[METRIC_NAME]]="YLD_YTM_BID"),_bbt3[[#All],[METRIC_VALUE]])*0.5))/100,"")</f>
        <v/>
      </c>
      <c r="J679">
        <f>IF(ISNA(VLOOKUP(A679,'CloseDL - PriceSaverBBT3'!A:E,5,0)),0,VLOOKUP(A679,'CloseDL - PriceSaverBBT3'!A:E,5,0))</f>
        <v>0</v>
      </c>
      <c r="K679" s="7" t="str">
        <f t="shared" si="102"/>
        <v/>
      </c>
      <c r="L679" s="20">
        <f>IF(Close[[#This Row],[CreatedBy]]="MARINER\SilverAdm",1,0)</f>
        <v>1</v>
      </c>
      <c r="M679" t="str">
        <f>IF(NOT(ISBLANK(A679)),VLOOKUP(A679,'Close - PriceSaver'!A:J,6,0),"")</f>
        <v/>
      </c>
      <c r="Q679" t="e">
        <f t="shared" si="103"/>
        <v>#N/A</v>
      </c>
      <c r="R679" t="e">
        <f t="shared" si="104"/>
        <v>#N/A</v>
      </c>
      <c r="S679" t="e">
        <f t="shared" si="105"/>
        <v>#N/A</v>
      </c>
      <c r="T679" s="15" t="e">
        <f t="shared" si="106"/>
        <v>#N/A</v>
      </c>
      <c r="U679" s="18" t="e">
        <f t="shared" si="107"/>
        <v>#N/A</v>
      </c>
      <c r="V679" s="14" t="e">
        <f t="shared" si="108"/>
        <v>#N/A</v>
      </c>
      <c r="W679" s="19" t="e">
        <f t="shared" si="109"/>
        <v>#N/A</v>
      </c>
      <c r="X679" t="e">
        <f>VLOOKUP(P679,Close[[ID]:[CreatedBy]],8,0)</f>
        <v>#N/A</v>
      </c>
    </row>
    <row r="680" spans="2:24" x14ac:dyDescent="0.35">
      <c r="B680" t="str">
        <f>IF(NOT(ISBLANK(A680)),VLOOKUP(A680,'BBT3'!A:F,2,0),"")</f>
        <v/>
      </c>
      <c r="C680" t="str">
        <f>IF(NOT(ISBLANK(A680)),VLOOKUP(A680,'BBT3'!A:F,3,0),"")</f>
        <v/>
      </c>
      <c r="D680" s="5" t="str">
        <f>IF(NOT(ISBLANK(A680)),VLOOKUP(A680,'BBT3'!A:F,4,1),"")</f>
        <v/>
      </c>
      <c r="E680" t="str">
        <f>IF(NOT(ISBLANK(A680)),VLOOKUP(A680,'BBT3'!A:F,5,0),"")</f>
        <v/>
      </c>
      <c r="F680" t="str">
        <f>IF(NOT(ISBLANK(A680)),VLOOKUP(A680,'BBT3'!A:F,6,0),"")</f>
        <v/>
      </c>
      <c r="G680" t="str">
        <f t="shared" si="101"/>
        <v/>
      </c>
      <c r="H680" t="str">
        <f>IF(NOT(ISBLANK(A680)),VLOOKUP(A680,'Close - PriceSaver'!A:J,5,0),"")</f>
        <v/>
      </c>
      <c r="I680" s="4" t="str" cm="1">
        <f t="array" ref="I680">IF(NOT(ISBLANK(A680)),((_xlfn.XLOOKUP(1,(_bbt3[[#All],[ID]]=A680)*(_bbt3[[#All],[METRIC_NAME]]="YLD_YTM_ASK"),_bbt3[[#All],[METRIC_VALUE]])*0.5)+(_xlfn.XLOOKUP(1,(_bbt3[[#All],[ID]]=A680)*(_bbt3[[#All],[METRIC_NAME]]="YLD_YTM_BID"),_bbt3[[#All],[METRIC_VALUE]])*0.5))/100,"")</f>
        <v/>
      </c>
      <c r="J680">
        <f>IF(ISNA(VLOOKUP(A680,'CloseDL - PriceSaverBBT3'!A:E,5,0)),0,VLOOKUP(A680,'CloseDL - PriceSaverBBT3'!A:E,5,0))</f>
        <v>0</v>
      </c>
      <c r="K680" s="7" t="str">
        <f t="shared" si="102"/>
        <v/>
      </c>
      <c r="L680" s="20">
        <f>IF(Close[[#This Row],[CreatedBy]]="MARINER\SilverAdm",1,0)</f>
        <v>1</v>
      </c>
      <c r="M680" t="str">
        <f>IF(NOT(ISBLANK(A680)),VLOOKUP(A680,'Close - PriceSaver'!A:J,6,0),"")</f>
        <v/>
      </c>
      <c r="Q680" t="e">
        <f t="shared" si="103"/>
        <v>#N/A</v>
      </c>
      <c r="R680" t="e">
        <f t="shared" si="104"/>
        <v>#N/A</v>
      </c>
      <c r="S680" t="e">
        <f t="shared" si="105"/>
        <v>#N/A</v>
      </c>
      <c r="T680" s="15" t="e">
        <f t="shared" si="106"/>
        <v>#N/A</v>
      </c>
      <c r="U680" s="18" t="e">
        <f t="shared" si="107"/>
        <v>#N/A</v>
      </c>
      <c r="V680" s="14" t="e">
        <f t="shared" si="108"/>
        <v>#N/A</v>
      </c>
      <c r="W680" s="19" t="e">
        <f t="shared" si="109"/>
        <v>#N/A</v>
      </c>
      <c r="X680" t="e">
        <f>VLOOKUP(P680,Close[[ID]:[CreatedBy]],8,0)</f>
        <v>#N/A</v>
      </c>
    </row>
    <row r="681" spans="2:24" x14ac:dyDescent="0.35">
      <c r="B681" t="str">
        <f>IF(NOT(ISBLANK(A681)),VLOOKUP(A681,'BBT3'!A:F,2,0),"")</f>
        <v/>
      </c>
      <c r="C681" t="str">
        <f>IF(NOT(ISBLANK(A681)),VLOOKUP(A681,'BBT3'!A:F,3,0),"")</f>
        <v/>
      </c>
      <c r="D681" s="5" t="str">
        <f>IF(NOT(ISBLANK(A681)),VLOOKUP(A681,'BBT3'!A:F,4,1),"")</f>
        <v/>
      </c>
      <c r="E681" t="str">
        <f>IF(NOT(ISBLANK(A681)),VLOOKUP(A681,'BBT3'!A:F,5,0),"")</f>
        <v/>
      </c>
      <c r="F681" t="str">
        <f>IF(NOT(ISBLANK(A681)),VLOOKUP(A681,'BBT3'!A:F,6,0),"")</f>
        <v/>
      </c>
      <c r="G681" t="str">
        <f t="shared" si="101"/>
        <v/>
      </c>
      <c r="H681" t="str">
        <f>IF(NOT(ISBLANK(A681)),VLOOKUP(A681,'Close - PriceSaver'!A:J,5,0),"")</f>
        <v/>
      </c>
      <c r="I681" s="4" t="str" cm="1">
        <f t="array" ref="I681">IF(NOT(ISBLANK(A681)),((_xlfn.XLOOKUP(1,(_bbt3[[#All],[ID]]=A681)*(_bbt3[[#All],[METRIC_NAME]]="YLD_YTM_ASK"),_bbt3[[#All],[METRIC_VALUE]])*0.5)+(_xlfn.XLOOKUP(1,(_bbt3[[#All],[ID]]=A681)*(_bbt3[[#All],[METRIC_NAME]]="YLD_YTM_BID"),_bbt3[[#All],[METRIC_VALUE]])*0.5))/100,"")</f>
        <v/>
      </c>
      <c r="J681">
        <f>IF(ISNA(VLOOKUP(A681,'CloseDL - PriceSaverBBT3'!A:E,5,0)),0,VLOOKUP(A681,'CloseDL - PriceSaverBBT3'!A:E,5,0))</f>
        <v>0</v>
      </c>
      <c r="K681" s="7" t="str">
        <f t="shared" si="102"/>
        <v/>
      </c>
      <c r="L681" s="20">
        <f>IF(Close[[#This Row],[CreatedBy]]="MARINER\SilverAdm",1,0)</f>
        <v>1</v>
      </c>
      <c r="M681" t="str">
        <f>IF(NOT(ISBLANK(A681)),VLOOKUP(A681,'Close - PriceSaver'!A:J,6,0),"")</f>
        <v/>
      </c>
      <c r="Q681" t="e">
        <f t="shared" si="103"/>
        <v>#N/A</v>
      </c>
      <c r="R681" t="e">
        <f t="shared" si="104"/>
        <v>#N/A</v>
      </c>
      <c r="S681" t="e">
        <f t="shared" si="105"/>
        <v>#N/A</v>
      </c>
      <c r="T681" s="15" t="e">
        <f t="shared" si="106"/>
        <v>#N/A</v>
      </c>
      <c r="U681" s="18" t="e">
        <f t="shared" si="107"/>
        <v>#N/A</v>
      </c>
      <c r="V681" s="14" t="e">
        <f t="shared" si="108"/>
        <v>#N/A</v>
      </c>
      <c r="W681" s="19" t="e">
        <f t="shared" si="109"/>
        <v>#N/A</v>
      </c>
      <c r="X681" t="e">
        <f>VLOOKUP(P681,Close[[ID]:[CreatedBy]],8,0)</f>
        <v>#N/A</v>
      </c>
    </row>
    <row r="682" spans="2:24" x14ac:dyDescent="0.35">
      <c r="B682" t="str">
        <f>IF(NOT(ISBLANK(A682)),VLOOKUP(A682,'BBT3'!A:F,2,0),"")</f>
        <v/>
      </c>
      <c r="C682" t="str">
        <f>IF(NOT(ISBLANK(A682)),VLOOKUP(A682,'BBT3'!A:F,3,0),"")</f>
        <v/>
      </c>
      <c r="D682" s="5" t="str">
        <f>IF(NOT(ISBLANK(A682)),VLOOKUP(A682,'BBT3'!A:F,4,1),"")</f>
        <v/>
      </c>
      <c r="E682" t="str">
        <f>IF(NOT(ISBLANK(A682)),VLOOKUP(A682,'BBT3'!A:F,5,0),"")</f>
        <v/>
      </c>
      <c r="F682" t="str">
        <f>IF(NOT(ISBLANK(A682)),VLOOKUP(A682,'BBT3'!A:F,6,0),"")</f>
        <v/>
      </c>
      <c r="G682" t="str">
        <f t="shared" si="101"/>
        <v/>
      </c>
      <c r="H682" t="str">
        <f>IF(NOT(ISBLANK(A682)),VLOOKUP(A682,'Close - PriceSaver'!A:J,5,0),"")</f>
        <v/>
      </c>
      <c r="I682" s="4" t="str" cm="1">
        <f t="array" ref="I682">IF(NOT(ISBLANK(A682)),((_xlfn.XLOOKUP(1,(_bbt3[[#All],[ID]]=A682)*(_bbt3[[#All],[METRIC_NAME]]="YLD_YTM_ASK"),_bbt3[[#All],[METRIC_VALUE]])*0.5)+(_xlfn.XLOOKUP(1,(_bbt3[[#All],[ID]]=A682)*(_bbt3[[#All],[METRIC_NAME]]="YLD_YTM_BID"),_bbt3[[#All],[METRIC_VALUE]])*0.5))/100,"")</f>
        <v/>
      </c>
      <c r="J682">
        <f>IF(ISNA(VLOOKUP(A682,'CloseDL - PriceSaverBBT3'!A:E,5,0)),0,VLOOKUP(A682,'CloseDL - PriceSaverBBT3'!A:E,5,0))</f>
        <v>0</v>
      </c>
      <c r="K682" s="7" t="str">
        <f t="shared" si="102"/>
        <v/>
      </c>
      <c r="L682" s="20">
        <f>IF(Close[[#This Row],[CreatedBy]]="MARINER\SilverAdm",1,0)</f>
        <v>1</v>
      </c>
      <c r="M682" t="str">
        <f>IF(NOT(ISBLANK(A682)),VLOOKUP(A682,'Close - PriceSaver'!A:J,6,0),"")</f>
        <v/>
      </c>
      <c r="Q682" t="e">
        <f t="shared" si="103"/>
        <v>#N/A</v>
      </c>
      <c r="R682" t="e">
        <f t="shared" si="104"/>
        <v>#N/A</v>
      </c>
      <c r="S682" t="e">
        <f t="shared" si="105"/>
        <v>#N/A</v>
      </c>
      <c r="T682" s="15" t="e">
        <f t="shared" si="106"/>
        <v>#N/A</v>
      </c>
      <c r="U682" s="18" t="e">
        <f t="shared" si="107"/>
        <v>#N/A</v>
      </c>
      <c r="V682" s="14" t="e">
        <f t="shared" si="108"/>
        <v>#N/A</v>
      </c>
      <c r="W682" s="19" t="e">
        <f t="shared" si="109"/>
        <v>#N/A</v>
      </c>
      <c r="X682" t="e">
        <f>VLOOKUP(P682,Close[[ID]:[CreatedBy]],8,0)</f>
        <v>#N/A</v>
      </c>
    </row>
    <row r="683" spans="2:24" x14ac:dyDescent="0.35">
      <c r="B683" t="str">
        <f>IF(NOT(ISBLANK(A683)),VLOOKUP(A683,'BBT3'!A:F,2,0),"")</f>
        <v/>
      </c>
      <c r="C683" t="str">
        <f>IF(NOT(ISBLANK(A683)),VLOOKUP(A683,'BBT3'!A:F,3,0),"")</f>
        <v/>
      </c>
      <c r="D683" s="5" t="str">
        <f>IF(NOT(ISBLANK(A683)),VLOOKUP(A683,'BBT3'!A:F,4,1),"")</f>
        <v/>
      </c>
      <c r="E683" t="str">
        <f>IF(NOT(ISBLANK(A683)),VLOOKUP(A683,'BBT3'!A:F,5,0),"")</f>
        <v/>
      </c>
      <c r="F683" t="str">
        <f>IF(NOT(ISBLANK(A683)),VLOOKUP(A683,'BBT3'!A:F,6,0),"")</f>
        <v/>
      </c>
      <c r="G683" t="str">
        <f t="shared" si="101"/>
        <v/>
      </c>
      <c r="H683" t="str">
        <f>IF(NOT(ISBLANK(A683)),VLOOKUP(A683,'Close - PriceSaver'!A:J,5,0),"")</f>
        <v/>
      </c>
      <c r="I683" s="4" t="str" cm="1">
        <f t="array" ref="I683">IF(NOT(ISBLANK(A683)),((_xlfn.XLOOKUP(1,(_bbt3[[#All],[ID]]=A683)*(_bbt3[[#All],[METRIC_NAME]]="YLD_YTM_ASK"),_bbt3[[#All],[METRIC_VALUE]])*0.5)+(_xlfn.XLOOKUP(1,(_bbt3[[#All],[ID]]=A683)*(_bbt3[[#All],[METRIC_NAME]]="YLD_YTM_BID"),_bbt3[[#All],[METRIC_VALUE]])*0.5))/100,"")</f>
        <v/>
      </c>
      <c r="J683">
        <f>IF(ISNA(VLOOKUP(A683,'CloseDL - PriceSaverBBT3'!A:E,5,0)),0,VLOOKUP(A683,'CloseDL - PriceSaverBBT3'!A:E,5,0))</f>
        <v>0</v>
      </c>
      <c r="K683" s="7" t="str">
        <f t="shared" si="102"/>
        <v/>
      </c>
      <c r="L683" s="20">
        <f>IF(Close[[#This Row],[CreatedBy]]="MARINER\SilverAdm",1,0)</f>
        <v>1</v>
      </c>
      <c r="M683" t="str">
        <f>IF(NOT(ISBLANK(A683)),VLOOKUP(A683,'Close - PriceSaver'!A:J,6,0),"")</f>
        <v/>
      </c>
      <c r="Q683" t="e">
        <f t="shared" si="103"/>
        <v>#N/A</v>
      </c>
      <c r="R683" t="e">
        <f t="shared" si="104"/>
        <v>#N/A</v>
      </c>
      <c r="S683" t="e">
        <f t="shared" si="105"/>
        <v>#N/A</v>
      </c>
      <c r="T683" s="15" t="e">
        <f t="shared" si="106"/>
        <v>#N/A</v>
      </c>
      <c r="U683" s="18" t="e">
        <f t="shared" si="107"/>
        <v>#N/A</v>
      </c>
      <c r="V683" s="14" t="e">
        <f t="shared" si="108"/>
        <v>#N/A</v>
      </c>
      <c r="W683" s="19" t="e">
        <f t="shared" si="109"/>
        <v>#N/A</v>
      </c>
      <c r="X683" t="e">
        <f>VLOOKUP(P683,Close[[ID]:[CreatedBy]],8,0)</f>
        <v>#N/A</v>
      </c>
    </row>
    <row r="684" spans="2:24" x14ac:dyDescent="0.35">
      <c r="B684" t="str">
        <f>IF(NOT(ISBLANK(A684)),VLOOKUP(A684,'BBT3'!A:F,2,0),"")</f>
        <v/>
      </c>
      <c r="C684" t="str">
        <f>IF(NOT(ISBLANK(A684)),VLOOKUP(A684,'BBT3'!A:F,3,0),"")</f>
        <v/>
      </c>
      <c r="D684" s="5" t="str">
        <f>IF(NOT(ISBLANK(A684)),VLOOKUP(A684,'BBT3'!A:F,4,1),"")</f>
        <v/>
      </c>
      <c r="E684" t="str">
        <f>IF(NOT(ISBLANK(A684)),VLOOKUP(A684,'BBT3'!A:F,5,0),"")</f>
        <v/>
      </c>
      <c r="F684" t="str">
        <f>IF(NOT(ISBLANK(A684)),VLOOKUP(A684,'BBT3'!A:F,6,0),"")</f>
        <v/>
      </c>
      <c r="G684" t="str">
        <f t="shared" si="101"/>
        <v/>
      </c>
      <c r="H684" t="str">
        <f>IF(NOT(ISBLANK(A684)),VLOOKUP(A684,'Close - PriceSaver'!A:J,5,0),"")</f>
        <v/>
      </c>
      <c r="I684" s="4" t="str" cm="1">
        <f t="array" ref="I684">IF(NOT(ISBLANK(A684)),((_xlfn.XLOOKUP(1,(_bbt3[[#All],[ID]]=A684)*(_bbt3[[#All],[METRIC_NAME]]="YLD_YTM_ASK"),_bbt3[[#All],[METRIC_VALUE]])*0.5)+(_xlfn.XLOOKUP(1,(_bbt3[[#All],[ID]]=A684)*(_bbt3[[#All],[METRIC_NAME]]="YLD_YTM_BID"),_bbt3[[#All],[METRIC_VALUE]])*0.5))/100,"")</f>
        <v/>
      </c>
      <c r="J684">
        <f>IF(ISNA(VLOOKUP(A684,'CloseDL - PriceSaverBBT3'!A:E,5,0)),0,VLOOKUP(A684,'CloseDL - PriceSaverBBT3'!A:E,5,0))</f>
        <v>0</v>
      </c>
      <c r="K684" s="7" t="str">
        <f t="shared" si="102"/>
        <v/>
      </c>
      <c r="L684" s="20">
        <f>IF(Close[[#This Row],[CreatedBy]]="MARINER\SilverAdm",1,0)</f>
        <v>1</v>
      </c>
      <c r="M684" t="str">
        <f>IF(NOT(ISBLANK(A684)),VLOOKUP(A684,'Close - PriceSaver'!A:J,6,0),"")</f>
        <v/>
      </c>
      <c r="Q684" t="e">
        <f t="shared" si="103"/>
        <v>#N/A</v>
      </c>
      <c r="R684" t="e">
        <f t="shared" si="104"/>
        <v>#N/A</v>
      </c>
      <c r="S684" t="e">
        <f t="shared" si="105"/>
        <v>#N/A</v>
      </c>
      <c r="T684" s="15" t="e">
        <f t="shared" si="106"/>
        <v>#N/A</v>
      </c>
      <c r="U684" s="18" t="e">
        <f t="shared" si="107"/>
        <v>#N/A</v>
      </c>
      <c r="V684" s="14" t="e">
        <f t="shared" si="108"/>
        <v>#N/A</v>
      </c>
      <c r="W684" s="19" t="e">
        <f t="shared" si="109"/>
        <v>#N/A</v>
      </c>
      <c r="X684" t="e">
        <f>VLOOKUP(P684,Close[[ID]:[CreatedBy]],8,0)</f>
        <v>#N/A</v>
      </c>
    </row>
    <row r="685" spans="2:24" x14ac:dyDescent="0.35">
      <c r="B685" t="str">
        <f>IF(NOT(ISBLANK(A685)),VLOOKUP(A685,'BBT3'!A:F,2,0),"")</f>
        <v/>
      </c>
      <c r="C685" t="str">
        <f>IF(NOT(ISBLANK(A685)),VLOOKUP(A685,'BBT3'!A:F,3,0),"")</f>
        <v/>
      </c>
      <c r="D685" s="5" t="str">
        <f>IF(NOT(ISBLANK(A685)),VLOOKUP(A685,'BBT3'!A:F,4,1),"")</f>
        <v/>
      </c>
      <c r="E685" t="str">
        <f>IF(NOT(ISBLANK(A685)),VLOOKUP(A685,'BBT3'!A:F,5,0),"")</f>
        <v/>
      </c>
      <c r="F685" t="str">
        <f>IF(NOT(ISBLANK(A685)),VLOOKUP(A685,'BBT3'!A:F,6,0),"")</f>
        <v/>
      </c>
      <c r="G685" t="str">
        <f t="shared" si="101"/>
        <v/>
      </c>
      <c r="H685" t="str">
        <f>IF(NOT(ISBLANK(A685)),VLOOKUP(A685,'Close - PriceSaver'!A:J,5,0),"")</f>
        <v/>
      </c>
      <c r="I685" s="4" t="str" cm="1">
        <f t="array" ref="I685">IF(NOT(ISBLANK(A685)),((_xlfn.XLOOKUP(1,(_bbt3[[#All],[ID]]=A685)*(_bbt3[[#All],[METRIC_NAME]]="YLD_YTM_ASK"),_bbt3[[#All],[METRIC_VALUE]])*0.5)+(_xlfn.XLOOKUP(1,(_bbt3[[#All],[ID]]=A685)*(_bbt3[[#All],[METRIC_NAME]]="YLD_YTM_BID"),_bbt3[[#All],[METRIC_VALUE]])*0.5))/100,"")</f>
        <v/>
      </c>
      <c r="J685">
        <f>IF(ISNA(VLOOKUP(A685,'CloseDL - PriceSaverBBT3'!A:E,5,0)),0,VLOOKUP(A685,'CloseDL - PriceSaverBBT3'!A:E,5,0))</f>
        <v>0</v>
      </c>
      <c r="K685" s="7" t="str">
        <f t="shared" si="102"/>
        <v/>
      </c>
      <c r="L685" s="20">
        <f>IF(Close[[#This Row],[CreatedBy]]="MARINER\SilverAdm",1,0)</f>
        <v>1</v>
      </c>
      <c r="M685" t="str">
        <f>IF(NOT(ISBLANK(A685)),VLOOKUP(A685,'Close - PriceSaver'!A:J,6,0),"")</f>
        <v/>
      </c>
      <c r="Q685" t="e">
        <f t="shared" si="103"/>
        <v>#N/A</v>
      </c>
      <c r="R685" t="e">
        <f t="shared" si="104"/>
        <v>#N/A</v>
      </c>
      <c r="S685" t="e">
        <f t="shared" si="105"/>
        <v>#N/A</v>
      </c>
      <c r="T685" s="15" t="e">
        <f t="shared" si="106"/>
        <v>#N/A</v>
      </c>
      <c r="U685" s="18" t="e">
        <f t="shared" si="107"/>
        <v>#N/A</v>
      </c>
      <c r="V685" s="14" t="e">
        <f t="shared" si="108"/>
        <v>#N/A</v>
      </c>
      <c r="W685" s="19" t="e">
        <f t="shared" si="109"/>
        <v>#N/A</v>
      </c>
      <c r="X685" t="e">
        <f>VLOOKUP(P685,Close[[ID]:[CreatedBy]],8,0)</f>
        <v>#N/A</v>
      </c>
    </row>
    <row r="686" spans="2:24" x14ac:dyDescent="0.35">
      <c r="B686" t="str">
        <f>IF(NOT(ISBLANK(A686)),VLOOKUP(A686,'BBT3'!A:F,2,0),"")</f>
        <v/>
      </c>
      <c r="C686" t="str">
        <f>IF(NOT(ISBLANK(A686)),VLOOKUP(A686,'BBT3'!A:F,3,0),"")</f>
        <v/>
      </c>
      <c r="D686" s="5" t="str">
        <f>IF(NOT(ISBLANK(A686)),VLOOKUP(A686,'BBT3'!A:F,4,1),"")</f>
        <v/>
      </c>
      <c r="E686" t="str">
        <f>IF(NOT(ISBLANK(A686)),VLOOKUP(A686,'BBT3'!A:F,5,0),"")</f>
        <v/>
      </c>
      <c r="F686" t="str">
        <f>IF(NOT(ISBLANK(A686)),VLOOKUP(A686,'BBT3'!A:F,6,0),"")</f>
        <v/>
      </c>
      <c r="G686" t="str">
        <f t="shared" si="101"/>
        <v/>
      </c>
      <c r="H686" t="str">
        <f>IF(NOT(ISBLANK(A686)),VLOOKUP(A686,'Close - PriceSaver'!A:J,5,0),"")</f>
        <v/>
      </c>
      <c r="I686" s="4" t="str" cm="1">
        <f t="array" ref="I686">IF(NOT(ISBLANK(A686)),((_xlfn.XLOOKUP(1,(_bbt3[[#All],[ID]]=A686)*(_bbt3[[#All],[METRIC_NAME]]="YLD_YTM_ASK"),_bbt3[[#All],[METRIC_VALUE]])*0.5)+(_xlfn.XLOOKUP(1,(_bbt3[[#All],[ID]]=A686)*(_bbt3[[#All],[METRIC_NAME]]="YLD_YTM_BID"),_bbt3[[#All],[METRIC_VALUE]])*0.5))/100,"")</f>
        <v/>
      </c>
      <c r="J686">
        <f>IF(ISNA(VLOOKUP(A686,'CloseDL - PriceSaverBBT3'!A:E,5,0)),0,VLOOKUP(A686,'CloseDL - PriceSaverBBT3'!A:E,5,0))</f>
        <v>0</v>
      </c>
      <c r="K686" s="7" t="str">
        <f t="shared" si="102"/>
        <v/>
      </c>
      <c r="L686" s="20">
        <f>IF(Close[[#This Row],[CreatedBy]]="MARINER\SilverAdm",1,0)</f>
        <v>1</v>
      </c>
      <c r="M686" t="str">
        <f>IF(NOT(ISBLANK(A686)),VLOOKUP(A686,'Close - PriceSaver'!A:J,6,0),"")</f>
        <v/>
      </c>
      <c r="Q686" t="e">
        <f t="shared" si="103"/>
        <v>#N/A</v>
      </c>
      <c r="R686" t="e">
        <f t="shared" si="104"/>
        <v>#N/A</v>
      </c>
      <c r="S686" t="e">
        <f t="shared" si="105"/>
        <v>#N/A</v>
      </c>
      <c r="T686" s="15" t="e">
        <f t="shared" si="106"/>
        <v>#N/A</v>
      </c>
      <c r="U686" s="18" t="e">
        <f t="shared" si="107"/>
        <v>#N/A</v>
      </c>
      <c r="V686" s="14" t="e">
        <f t="shared" si="108"/>
        <v>#N/A</v>
      </c>
      <c r="W686" s="19" t="e">
        <f t="shared" si="109"/>
        <v>#N/A</v>
      </c>
      <c r="X686" t="e">
        <f>VLOOKUP(P686,Close[[ID]:[CreatedBy]],8,0)</f>
        <v>#N/A</v>
      </c>
    </row>
    <row r="687" spans="2:24" x14ac:dyDescent="0.35">
      <c r="B687" t="str">
        <f>IF(NOT(ISBLANK(A687)),VLOOKUP(A687,'BBT3'!A:F,2,0),"")</f>
        <v/>
      </c>
      <c r="C687" t="str">
        <f>IF(NOT(ISBLANK(A687)),VLOOKUP(A687,'BBT3'!A:F,3,0),"")</f>
        <v/>
      </c>
      <c r="D687" s="5" t="str">
        <f>IF(NOT(ISBLANK(A687)),VLOOKUP(A687,'BBT3'!A:F,4,1),"")</f>
        <v/>
      </c>
      <c r="E687" t="str">
        <f>IF(NOT(ISBLANK(A687)),VLOOKUP(A687,'BBT3'!A:F,5,0),"")</f>
        <v/>
      </c>
      <c r="F687" t="str">
        <f>IF(NOT(ISBLANK(A687)),VLOOKUP(A687,'BBT3'!A:F,6,0),"")</f>
        <v/>
      </c>
      <c r="G687" t="str">
        <f t="shared" si="101"/>
        <v/>
      </c>
      <c r="H687" t="str">
        <f>IF(NOT(ISBLANK(A687)),VLOOKUP(A687,'Close - PriceSaver'!A:J,5,0),"")</f>
        <v/>
      </c>
      <c r="I687" s="4" t="str" cm="1">
        <f t="array" ref="I687">IF(NOT(ISBLANK(A687)),((_xlfn.XLOOKUP(1,(_bbt3[[#All],[ID]]=A687)*(_bbt3[[#All],[METRIC_NAME]]="YLD_YTM_ASK"),_bbt3[[#All],[METRIC_VALUE]])*0.5)+(_xlfn.XLOOKUP(1,(_bbt3[[#All],[ID]]=A687)*(_bbt3[[#All],[METRIC_NAME]]="YLD_YTM_BID"),_bbt3[[#All],[METRIC_VALUE]])*0.5))/100,"")</f>
        <v/>
      </c>
      <c r="J687">
        <f>IF(ISNA(VLOOKUP(A687,'CloseDL - PriceSaverBBT3'!A:E,5,0)),0,VLOOKUP(A687,'CloseDL - PriceSaverBBT3'!A:E,5,0))</f>
        <v>0</v>
      </c>
      <c r="K687" s="7" t="str">
        <f t="shared" si="102"/>
        <v/>
      </c>
      <c r="L687" s="20">
        <f>IF(Close[[#This Row],[CreatedBy]]="MARINER\SilverAdm",1,0)</f>
        <v>1</v>
      </c>
      <c r="M687" t="str">
        <f>IF(NOT(ISBLANK(A687)),VLOOKUP(A687,'Close - PriceSaver'!A:J,6,0),"")</f>
        <v/>
      </c>
      <c r="Q687" t="e">
        <f t="shared" si="103"/>
        <v>#N/A</v>
      </c>
      <c r="R687" t="e">
        <f t="shared" si="104"/>
        <v>#N/A</v>
      </c>
      <c r="S687" t="e">
        <f t="shared" si="105"/>
        <v>#N/A</v>
      </c>
      <c r="T687" s="15" t="e">
        <f t="shared" si="106"/>
        <v>#N/A</v>
      </c>
      <c r="U687" s="18" t="e">
        <f t="shared" si="107"/>
        <v>#N/A</v>
      </c>
      <c r="V687" s="14" t="e">
        <f t="shared" si="108"/>
        <v>#N/A</v>
      </c>
      <c r="W687" s="19" t="e">
        <f t="shared" si="109"/>
        <v>#N/A</v>
      </c>
      <c r="X687" t="e">
        <f>VLOOKUP(P687,Close[[ID]:[CreatedBy]],8,0)</f>
        <v>#N/A</v>
      </c>
    </row>
    <row r="688" spans="2:24" x14ac:dyDescent="0.35">
      <c r="B688" t="str">
        <f>IF(NOT(ISBLANK(A688)),VLOOKUP(A688,'BBT3'!A:F,2,0),"")</f>
        <v/>
      </c>
      <c r="C688" t="str">
        <f>IF(NOT(ISBLANK(A688)),VLOOKUP(A688,'BBT3'!A:F,3,0),"")</f>
        <v/>
      </c>
      <c r="D688" s="5" t="str">
        <f>IF(NOT(ISBLANK(A688)),VLOOKUP(A688,'BBT3'!A:F,4,1),"")</f>
        <v/>
      </c>
      <c r="E688" t="str">
        <f>IF(NOT(ISBLANK(A688)),VLOOKUP(A688,'BBT3'!A:F,5,0),"")</f>
        <v/>
      </c>
      <c r="F688" t="str">
        <f>IF(NOT(ISBLANK(A688)),VLOOKUP(A688,'BBT3'!A:F,6,0),"")</f>
        <v/>
      </c>
      <c r="G688" t="str">
        <f t="shared" si="101"/>
        <v/>
      </c>
      <c r="H688" t="str">
        <f>IF(NOT(ISBLANK(A688)),VLOOKUP(A688,'Close - PriceSaver'!A:J,5,0),"")</f>
        <v/>
      </c>
      <c r="I688" s="4" t="str" cm="1">
        <f t="array" ref="I688">IF(NOT(ISBLANK(A688)),((_xlfn.XLOOKUP(1,(_bbt3[[#All],[ID]]=A688)*(_bbt3[[#All],[METRIC_NAME]]="YLD_YTM_ASK"),_bbt3[[#All],[METRIC_VALUE]])*0.5)+(_xlfn.XLOOKUP(1,(_bbt3[[#All],[ID]]=A688)*(_bbt3[[#All],[METRIC_NAME]]="YLD_YTM_BID"),_bbt3[[#All],[METRIC_VALUE]])*0.5))/100,"")</f>
        <v/>
      </c>
      <c r="J688">
        <f>IF(ISNA(VLOOKUP(A688,'CloseDL - PriceSaverBBT3'!A:E,5,0)),0,VLOOKUP(A688,'CloseDL - PriceSaverBBT3'!A:E,5,0))</f>
        <v>0</v>
      </c>
      <c r="K688" s="7" t="str">
        <f t="shared" si="102"/>
        <v/>
      </c>
      <c r="L688" s="20">
        <f>IF(Close[[#This Row],[CreatedBy]]="MARINER\SilverAdm",1,0)</f>
        <v>1</v>
      </c>
      <c r="M688" t="str">
        <f>IF(NOT(ISBLANK(A688)),VLOOKUP(A688,'Close - PriceSaver'!A:J,6,0),"")</f>
        <v/>
      </c>
      <c r="Q688" t="e">
        <f t="shared" si="103"/>
        <v>#N/A</v>
      </c>
      <c r="R688" t="e">
        <f t="shared" si="104"/>
        <v>#N/A</v>
      </c>
      <c r="S688" t="e">
        <f t="shared" si="105"/>
        <v>#N/A</v>
      </c>
      <c r="T688" s="15" t="e">
        <f t="shared" si="106"/>
        <v>#N/A</v>
      </c>
      <c r="U688" s="18" t="e">
        <f t="shared" si="107"/>
        <v>#N/A</v>
      </c>
      <c r="V688" s="14" t="e">
        <f t="shared" si="108"/>
        <v>#N/A</v>
      </c>
      <c r="W688" s="19" t="e">
        <f t="shared" si="109"/>
        <v>#N/A</v>
      </c>
      <c r="X688" t="e">
        <f>VLOOKUP(P688,Close[[ID]:[CreatedBy]],8,0)</f>
        <v>#N/A</v>
      </c>
    </row>
    <row r="689" spans="2:24" x14ac:dyDescent="0.35">
      <c r="B689" t="str">
        <f>IF(NOT(ISBLANK(A689)),VLOOKUP(A689,'BBT3'!A:F,2,0),"")</f>
        <v/>
      </c>
      <c r="C689" t="str">
        <f>IF(NOT(ISBLANK(A689)),VLOOKUP(A689,'BBT3'!A:F,3,0),"")</f>
        <v/>
      </c>
      <c r="D689" s="5" t="str">
        <f>IF(NOT(ISBLANK(A689)),VLOOKUP(A689,'BBT3'!A:F,4,1),"")</f>
        <v/>
      </c>
      <c r="E689" t="str">
        <f>IF(NOT(ISBLANK(A689)),VLOOKUP(A689,'BBT3'!A:F,5,0),"")</f>
        <v/>
      </c>
      <c r="F689" t="str">
        <f>IF(NOT(ISBLANK(A689)),VLOOKUP(A689,'BBT3'!A:F,6,0),"")</f>
        <v/>
      </c>
      <c r="G689" t="str">
        <f t="shared" si="101"/>
        <v/>
      </c>
      <c r="H689" t="str">
        <f>IF(NOT(ISBLANK(A689)),VLOOKUP(A689,'Close - PriceSaver'!A:J,5,0),"")</f>
        <v/>
      </c>
      <c r="I689" s="4" t="str" cm="1">
        <f t="array" ref="I689">IF(NOT(ISBLANK(A689)),((_xlfn.XLOOKUP(1,(_bbt3[[#All],[ID]]=A689)*(_bbt3[[#All],[METRIC_NAME]]="YLD_YTM_ASK"),_bbt3[[#All],[METRIC_VALUE]])*0.5)+(_xlfn.XLOOKUP(1,(_bbt3[[#All],[ID]]=A689)*(_bbt3[[#All],[METRIC_NAME]]="YLD_YTM_BID"),_bbt3[[#All],[METRIC_VALUE]])*0.5))/100,"")</f>
        <v/>
      </c>
      <c r="J689">
        <f>IF(ISNA(VLOOKUP(A689,'CloseDL - PriceSaverBBT3'!A:E,5,0)),0,VLOOKUP(A689,'CloseDL - PriceSaverBBT3'!A:E,5,0))</f>
        <v>0</v>
      </c>
      <c r="K689" s="7" t="str">
        <f t="shared" si="102"/>
        <v/>
      </c>
      <c r="L689" s="20">
        <f>IF(Close[[#This Row],[CreatedBy]]="MARINER\SilverAdm",1,0)</f>
        <v>1</v>
      </c>
      <c r="M689" t="str">
        <f>IF(NOT(ISBLANK(A689)),VLOOKUP(A689,'Close - PriceSaver'!A:J,6,0),"")</f>
        <v/>
      </c>
      <c r="Q689" t="e">
        <f t="shared" si="103"/>
        <v>#N/A</v>
      </c>
      <c r="R689" t="e">
        <f t="shared" si="104"/>
        <v>#N/A</v>
      </c>
      <c r="S689" t="e">
        <f t="shared" si="105"/>
        <v>#N/A</v>
      </c>
      <c r="T689" s="15" t="e">
        <f t="shared" si="106"/>
        <v>#N/A</v>
      </c>
      <c r="U689" s="18" t="e">
        <f t="shared" si="107"/>
        <v>#N/A</v>
      </c>
      <c r="V689" s="14" t="e">
        <f t="shared" si="108"/>
        <v>#N/A</v>
      </c>
      <c r="W689" s="19" t="e">
        <f t="shared" si="109"/>
        <v>#N/A</v>
      </c>
      <c r="X689" t="e">
        <f>VLOOKUP(P689,Close[[ID]:[CreatedBy]],8,0)</f>
        <v>#N/A</v>
      </c>
    </row>
    <row r="690" spans="2:24" x14ac:dyDescent="0.35">
      <c r="B690" t="str">
        <f>IF(NOT(ISBLANK(A690)),VLOOKUP(A690,'BBT3'!A:F,2,0),"")</f>
        <v/>
      </c>
      <c r="C690" t="str">
        <f>IF(NOT(ISBLANK(A690)),VLOOKUP(A690,'BBT3'!A:F,3,0),"")</f>
        <v/>
      </c>
      <c r="D690" s="5" t="str">
        <f>IF(NOT(ISBLANK(A690)),VLOOKUP(A690,'BBT3'!A:F,4,1),"")</f>
        <v/>
      </c>
      <c r="E690" t="str">
        <f>IF(NOT(ISBLANK(A690)),VLOOKUP(A690,'BBT3'!A:F,5,0),"")</f>
        <v/>
      </c>
      <c r="F690" t="str">
        <f>IF(NOT(ISBLANK(A690)),VLOOKUP(A690,'BBT3'!A:F,6,0),"")</f>
        <v/>
      </c>
      <c r="G690" t="str">
        <f t="shared" si="101"/>
        <v/>
      </c>
      <c r="H690" t="str">
        <f>IF(NOT(ISBLANK(A690)),VLOOKUP(A690,'Close - PriceSaver'!A:J,5,0),"")</f>
        <v/>
      </c>
      <c r="I690" s="4" t="str" cm="1">
        <f t="array" ref="I690">IF(NOT(ISBLANK(A690)),((_xlfn.XLOOKUP(1,(_bbt3[[#All],[ID]]=A690)*(_bbt3[[#All],[METRIC_NAME]]="YLD_YTM_ASK"),_bbt3[[#All],[METRIC_VALUE]])*0.5)+(_xlfn.XLOOKUP(1,(_bbt3[[#All],[ID]]=A690)*(_bbt3[[#All],[METRIC_NAME]]="YLD_YTM_BID"),_bbt3[[#All],[METRIC_VALUE]])*0.5))/100,"")</f>
        <v/>
      </c>
      <c r="J690">
        <f>IF(ISNA(VLOOKUP(A690,'CloseDL - PriceSaverBBT3'!A:E,5,0)),0,VLOOKUP(A690,'CloseDL - PriceSaverBBT3'!A:E,5,0))</f>
        <v>0</v>
      </c>
      <c r="K690" s="7" t="str">
        <f t="shared" si="102"/>
        <v/>
      </c>
      <c r="L690" s="20">
        <f>IF(Close[[#This Row],[CreatedBy]]="MARINER\SilverAdm",1,0)</f>
        <v>1</v>
      </c>
      <c r="M690" t="str">
        <f>IF(NOT(ISBLANK(A690)),VLOOKUP(A690,'Close - PriceSaver'!A:J,6,0),"")</f>
        <v/>
      </c>
      <c r="Q690" t="e">
        <f t="shared" si="103"/>
        <v>#N/A</v>
      </c>
      <c r="R690" t="e">
        <f t="shared" si="104"/>
        <v>#N/A</v>
      </c>
      <c r="S690" t="e">
        <f t="shared" si="105"/>
        <v>#N/A</v>
      </c>
      <c r="T690" s="15" t="e">
        <f t="shared" si="106"/>
        <v>#N/A</v>
      </c>
      <c r="U690" s="18" t="e">
        <f t="shared" si="107"/>
        <v>#N/A</v>
      </c>
      <c r="V690" s="14" t="e">
        <f t="shared" si="108"/>
        <v>#N/A</v>
      </c>
      <c r="W690" s="19" t="e">
        <f t="shared" si="109"/>
        <v>#N/A</v>
      </c>
      <c r="X690" t="e">
        <f>VLOOKUP(P690,Close[[ID]:[CreatedBy]],8,0)</f>
        <v>#N/A</v>
      </c>
    </row>
    <row r="691" spans="2:24" x14ac:dyDescent="0.35">
      <c r="B691" t="str">
        <f>IF(NOT(ISBLANK(A691)),VLOOKUP(A691,'BBT3'!A:F,2,0),"")</f>
        <v/>
      </c>
      <c r="C691" t="str">
        <f>IF(NOT(ISBLANK(A691)),VLOOKUP(A691,'BBT3'!A:F,3,0),"")</f>
        <v/>
      </c>
      <c r="D691" s="5" t="str">
        <f>IF(NOT(ISBLANK(A691)),VLOOKUP(A691,'BBT3'!A:F,4,1),"")</f>
        <v/>
      </c>
      <c r="E691" t="str">
        <f>IF(NOT(ISBLANK(A691)),VLOOKUP(A691,'BBT3'!A:F,5,0),"")</f>
        <v/>
      </c>
      <c r="F691" t="str">
        <f>IF(NOT(ISBLANK(A691)),VLOOKUP(A691,'BBT3'!A:F,6,0),"")</f>
        <v/>
      </c>
      <c r="G691" t="str">
        <f t="shared" si="101"/>
        <v/>
      </c>
      <c r="H691" t="str">
        <f>IF(NOT(ISBLANK(A691)),VLOOKUP(A691,'Close - PriceSaver'!A:J,5,0),"")</f>
        <v/>
      </c>
      <c r="I691" s="4" t="str" cm="1">
        <f t="array" ref="I691">IF(NOT(ISBLANK(A691)),((_xlfn.XLOOKUP(1,(_bbt3[[#All],[ID]]=A691)*(_bbt3[[#All],[METRIC_NAME]]="YLD_YTM_ASK"),_bbt3[[#All],[METRIC_VALUE]])*0.5)+(_xlfn.XLOOKUP(1,(_bbt3[[#All],[ID]]=A691)*(_bbt3[[#All],[METRIC_NAME]]="YLD_YTM_BID"),_bbt3[[#All],[METRIC_VALUE]])*0.5))/100,"")</f>
        <v/>
      </c>
      <c r="J691">
        <f>IF(ISNA(VLOOKUP(A691,'CloseDL - PriceSaverBBT3'!A:E,5,0)),0,VLOOKUP(A691,'CloseDL - PriceSaverBBT3'!A:E,5,0))</f>
        <v>0</v>
      </c>
      <c r="K691" s="7" t="str">
        <f t="shared" si="102"/>
        <v/>
      </c>
      <c r="L691" s="20">
        <f>IF(Close[[#This Row],[CreatedBy]]="MARINER\SilverAdm",1,0)</f>
        <v>1</v>
      </c>
      <c r="M691" t="str">
        <f>IF(NOT(ISBLANK(A691)),VLOOKUP(A691,'Close - PriceSaver'!A:J,6,0),"")</f>
        <v/>
      </c>
      <c r="Q691" t="e">
        <f t="shared" si="103"/>
        <v>#N/A</v>
      </c>
      <c r="R691" t="e">
        <f t="shared" si="104"/>
        <v>#N/A</v>
      </c>
      <c r="S691" t="e">
        <f t="shared" si="105"/>
        <v>#N/A</v>
      </c>
      <c r="T691" s="15" t="e">
        <f t="shared" si="106"/>
        <v>#N/A</v>
      </c>
      <c r="U691" s="18" t="e">
        <f t="shared" si="107"/>
        <v>#N/A</v>
      </c>
      <c r="V691" s="14" t="e">
        <f t="shared" si="108"/>
        <v>#N/A</v>
      </c>
      <c r="W691" s="19" t="e">
        <f t="shared" si="109"/>
        <v>#N/A</v>
      </c>
      <c r="X691" t="e">
        <f>VLOOKUP(P691,Close[[ID]:[CreatedBy]],8,0)</f>
        <v>#N/A</v>
      </c>
    </row>
    <row r="692" spans="2:24" x14ac:dyDescent="0.35">
      <c r="B692" t="str">
        <f>IF(NOT(ISBLANK(A692)),VLOOKUP(A692,'BBT3'!A:F,2,0),"")</f>
        <v/>
      </c>
      <c r="C692" t="str">
        <f>IF(NOT(ISBLANK(A692)),VLOOKUP(A692,'BBT3'!A:F,3,0),"")</f>
        <v/>
      </c>
      <c r="D692" s="5" t="str">
        <f>IF(NOT(ISBLANK(A692)),VLOOKUP(A692,'BBT3'!A:F,4,1),"")</f>
        <v/>
      </c>
      <c r="E692" t="str">
        <f>IF(NOT(ISBLANK(A692)),VLOOKUP(A692,'BBT3'!A:F,5,0),"")</f>
        <v/>
      </c>
      <c r="F692" t="str">
        <f>IF(NOT(ISBLANK(A692)),VLOOKUP(A692,'BBT3'!A:F,6,0),"")</f>
        <v/>
      </c>
      <c r="G692" t="str">
        <f t="shared" si="101"/>
        <v/>
      </c>
      <c r="H692" t="str">
        <f>IF(NOT(ISBLANK(A692)),VLOOKUP(A692,'Close - PriceSaver'!A:J,5,0),"")</f>
        <v/>
      </c>
      <c r="I692" s="4" t="str" cm="1">
        <f t="array" ref="I692">IF(NOT(ISBLANK(A692)),((_xlfn.XLOOKUP(1,(_bbt3[[#All],[ID]]=A692)*(_bbt3[[#All],[METRIC_NAME]]="YLD_YTM_ASK"),_bbt3[[#All],[METRIC_VALUE]])*0.5)+(_xlfn.XLOOKUP(1,(_bbt3[[#All],[ID]]=A692)*(_bbt3[[#All],[METRIC_NAME]]="YLD_YTM_BID"),_bbt3[[#All],[METRIC_VALUE]])*0.5))/100,"")</f>
        <v/>
      </c>
      <c r="J692">
        <f>IF(ISNA(VLOOKUP(A692,'CloseDL - PriceSaverBBT3'!A:E,5,0)),0,VLOOKUP(A692,'CloseDL - PriceSaverBBT3'!A:E,5,0))</f>
        <v>0</v>
      </c>
      <c r="K692" s="7" t="str">
        <f t="shared" si="102"/>
        <v/>
      </c>
      <c r="L692" s="20">
        <f>IF(Close[[#This Row],[CreatedBy]]="MARINER\SilverAdm",1,0)</f>
        <v>1</v>
      </c>
      <c r="M692" t="str">
        <f>IF(NOT(ISBLANK(A692)),VLOOKUP(A692,'Close - PriceSaver'!A:J,6,0),"")</f>
        <v/>
      </c>
      <c r="Q692" t="e">
        <f t="shared" si="103"/>
        <v>#N/A</v>
      </c>
      <c r="R692" t="e">
        <f t="shared" si="104"/>
        <v>#N/A</v>
      </c>
      <c r="S692" t="e">
        <f t="shared" si="105"/>
        <v>#N/A</v>
      </c>
      <c r="T692" s="15" t="e">
        <f t="shared" si="106"/>
        <v>#N/A</v>
      </c>
      <c r="U692" s="18" t="e">
        <f t="shared" si="107"/>
        <v>#N/A</v>
      </c>
      <c r="V692" s="14" t="e">
        <f t="shared" si="108"/>
        <v>#N/A</v>
      </c>
      <c r="W692" s="19" t="e">
        <f t="shared" si="109"/>
        <v>#N/A</v>
      </c>
      <c r="X692" t="e">
        <f>VLOOKUP(P692,Close[[ID]:[CreatedBy]],8,0)</f>
        <v>#N/A</v>
      </c>
    </row>
    <row r="693" spans="2:24" x14ac:dyDescent="0.35">
      <c r="B693" t="str">
        <f>IF(NOT(ISBLANK(A693)),VLOOKUP(A693,'BBT3'!A:F,2,0),"")</f>
        <v/>
      </c>
      <c r="C693" t="str">
        <f>IF(NOT(ISBLANK(A693)),VLOOKUP(A693,'BBT3'!A:F,3,0),"")</f>
        <v/>
      </c>
      <c r="D693" s="5" t="str">
        <f>IF(NOT(ISBLANK(A693)),VLOOKUP(A693,'BBT3'!A:F,4,1),"")</f>
        <v/>
      </c>
      <c r="E693" t="str">
        <f>IF(NOT(ISBLANK(A693)),VLOOKUP(A693,'BBT3'!A:F,5,0),"")</f>
        <v/>
      </c>
      <c r="F693" t="str">
        <f>IF(NOT(ISBLANK(A693)),VLOOKUP(A693,'BBT3'!A:F,6,0),"")</f>
        <v/>
      </c>
      <c r="G693" t="str">
        <f t="shared" si="101"/>
        <v/>
      </c>
      <c r="H693" t="str">
        <f>IF(NOT(ISBLANK(A693)),VLOOKUP(A693,'Close - PriceSaver'!A:J,5,0),"")</f>
        <v/>
      </c>
      <c r="I693" s="4" t="str" cm="1">
        <f t="array" ref="I693">IF(NOT(ISBLANK(A693)),((_xlfn.XLOOKUP(1,(_bbt3[[#All],[ID]]=A693)*(_bbt3[[#All],[METRIC_NAME]]="YLD_YTM_ASK"),_bbt3[[#All],[METRIC_VALUE]])*0.5)+(_xlfn.XLOOKUP(1,(_bbt3[[#All],[ID]]=A693)*(_bbt3[[#All],[METRIC_NAME]]="YLD_YTM_BID"),_bbt3[[#All],[METRIC_VALUE]])*0.5))/100,"")</f>
        <v/>
      </c>
      <c r="J693">
        <f>IF(ISNA(VLOOKUP(A693,'CloseDL - PriceSaverBBT3'!A:E,5,0)),0,VLOOKUP(A693,'CloseDL - PriceSaverBBT3'!A:E,5,0))</f>
        <v>0</v>
      </c>
      <c r="K693" s="7" t="str">
        <f t="shared" si="102"/>
        <v/>
      </c>
      <c r="L693" s="20">
        <f>IF(Close[[#This Row],[CreatedBy]]="MARINER\SilverAdm",1,0)</f>
        <v>1</v>
      </c>
      <c r="M693" t="str">
        <f>IF(NOT(ISBLANK(A693)),VLOOKUP(A693,'Close - PriceSaver'!A:J,6,0),"")</f>
        <v/>
      </c>
      <c r="Q693" t="e">
        <f t="shared" si="103"/>
        <v>#N/A</v>
      </c>
      <c r="R693" t="e">
        <f t="shared" si="104"/>
        <v>#N/A</v>
      </c>
      <c r="S693" t="e">
        <f t="shared" si="105"/>
        <v>#N/A</v>
      </c>
      <c r="T693" s="15" t="e">
        <f t="shared" si="106"/>
        <v>#N/A</v>
      </c>
      <c r="U693" s="18" t="e">
        <f t="shared" si="107"/>
        <v>#N/A</v>
      </c>
      <c r="V693" s="14" t="e">
        <f t="shared" si="108"/>
        <v>#N/A</v>
      </c>
      <c r="W693" s="19" t="e">
        <f t="shared" si="109"/>
        <v>#N/A</v>
      </c>
      <c r="X693" t="e">
        <f>VLOOKUP(P693,Close[[ID]:[CreatedBy]],8,0)</f>
        <v>#N/A</v>
      </c>
    </row>
    <row r="694" spans="2:24" x14ac:dyDescent="0.35">
      <c r="B694" t="str">
        <f>IF(NOT(ISBLANK(A694)),VLOOKUP(A694,'BBT3'!A:F,2,0),"")</f>
        <v/>
      </c>
      <c r="C694" t="str">
        <f>IF(NOT(ISBLANK(A694)),VLOOKUP(A694,'BBT3'!A:F,3,0),"")</f>
        <v/>
      </c>
      <c r="D694" s="5" t="str">
        <f>IF(NOT(ISBLANK(A694)),VLOOKUP(A694,'BBT3'!A:F,4,1),"")</f>
        <v/>
      </c>
      <c r="E694" t="str">
        <f>IF(NOT(ISBLANK(A694)),VLOOKUP(A694,'BBT3'!A:F,5,0),"")</f>
        <v/>
      </c>
      <c r="F694" t="str">
        <f>IF(NOT(ISBLANK(A694)),VLOOKUP(A694,'BBT3'!A:F,6,0),"")</f>
        <v/>
      </c>
      <c r="G694" t="str">
        <f t="shared" si="101"/>
        <v/>
      </c>
      <c r="H694" t="str">
        <f>IF(NOT(ISBLANK(A694)),VLOOKUP(A694,'Close - PriceSaver'!A:J,5,0),"")</f>
        <v/>
      </c>
      <c r="I694" s="4" t="str" cm="1">
        <f t="array" ref="I694">IF(NOT(ISBLANK(A694)),((_xlfn.XLOOKUP(1,(_bbt3[[#All],[ID]]=A694)*(_bbt3[[#All],[METRIC_NAME]]="YLD_YTM_ASK"),_bbt3[[#All],[METRIC_VALUE]])*0.5)+(_xlfn.XLOOKUP(1,(_bbt3[[#All],[ID]]=A694)*(_bbt3[[#All],[METRIC_NAME]]="YLD_YTM_BID"),_bbt3[[#All],[METRIC_VALUE]])*0.5))/100,"")</f>
        <v/>
      </c>
      <c r="J694">
        <f>IF(ISNA(VLOOKUP(A694,'CloseDL - PriceSaverBBT3'!A:E,5,0)),0,VLOOKUP(A694,'CloseDL - PriceSaverBBT3'!A:E,5,0))</f>
        <v>0</v>
      </c>
      <c r="K694" s="7" t="str">
        <f t="shared" si="102"/>
        <v/>
      </c>
      <c r="L694" s="20">
        <f>IF(Close[[#This Row],[CreatedBy]]="MARINER\SilverAdm",1,0)</f>
        <v>1</v>
      </c>
      <c r="M694" t="str">
        <f>IF(NOT(ISBLANK(A694)),VLOOKUP(A694,'Close - PriceSaver'!A:J,6,0),"")</f>
        <v/>
      </c>
      <c r="Q694" t="e">
        <f t="shared" si="103"/>
        <v>#N/A</v>
      </c>
      <c r="R694" t="e">
        <f t="shared" si="104"/>
        <v>#N/A</v>
      </c>
      <c r="S694" t="e">
        <f t="shared" si="105"/>
        <v>#N/A</v>
      </c>
      <c r="T694" s="15" t="e">
        <f t="shared" si="106"/>
        <v>#N/A</v>
      </c>
      <c r="U694" s="18" t="e">
        <f t="shared" si="107"/>
        <v>#N/A</v>
      </c>
      <c r="V694" s="14" t="e">
        <f t="shared" si="108"/>
        <v>#N/A</v>
      </c>
      <c r="W694" s="19" t="e">
        <f t="shared" si="109"/>
        <v>#N/A</v>
      </c>
      <c r="X694" t="e">
        <f>VLOOKUP(P694,Close[[ID]:[CreatedBy]],8,0)</f>
        <v>#N/A</v>
      </c>
    </row>
    <row r="695" spans="2:24" x14ac:dyDescent="0.35">
      <c r="B695" t="str">
        <f>IF(NOT(ISBLANK(A695)),VLOOKUP(A695,'BBT3'!A:F,2,0),"")</f>
        <v/>
      </c>
      <c r="C695" t="str">
        <f>IF(NOT(ISBLANK(A695)),VLOOKUP(A695,'BBT3'!A:F,3,0),"")</f>
        <v/>
      </c>
      <c r="D695" s="5" t="str">
        <f>IF(NOT(ISBLANK(A695)),VLOOKUP(A695,'BBT3'!A:F,4,1),"")</f>
        <v/>
      </c>
      <c r="E695" t="str">
        <f>IF(NOT(ISBLANK(A695)),VLOOKUP(A695,'BBT3'!A:F,5,0),"")</f>
        <v/>
      </c>
      <c r="F695" t="str">
        <f>IF(NOT(ISBLANK(A695)),VLOOKUP(A695,'BBT3'!A:F,6,0),"")</f>
        <v/>
      </c>
      <c r="G695" t="str">
        <f t="shared" si="101"/>
        <v/>
      </c>
      <c r="H695" t="str">
        <f>IF(NOT(ISBLANK(A695)),VLOOKUP(A695,'Close - PriceSaver'!A:J,5,0),"")</f>
        <v/>
      </c>
      <c r="I695" s="4" t="str" cm="1">
        <f t="array" ref="I695">IF(NOT(ISBLANK(A695)),((_xlfn.XLOOKUP(1,(_bbt3[[#All],[ID]]=A695)*(_bbt3[[#All],[METRIC_NAME]]="YLD_YTM_ASK"),_bbt3[[#All],[METRIC_VALUE]])*0.5)+(_xlfn.XLOOKUP(1,(_bbt3[[#All],[ID]]=A695)*(_bbt3[[#All],[METRIC_NAME]]="YLD_YTM_BID"),_bbt3[[#All],[METRIC_VALUE]])*0.5))/100,"")</f>
        <v/>
      </c>
      <c r="J695">
        <f>IF(ISNA(VLOOKUP(A695,'CloseDL - PriceSaverBBT3'!A:E,5,0)),0,VLOOKUP(A695,'CloseDL - PriceSaverBBT3'!A:E,5,0))</f>
        <v>0</v>
      </c>
      <c r="K695" s="7" t="str">
        <f t="shared" si="102"/>
        <v/>
      </c>
      <c r="L695" s="20">
        <f>IF(Close[[#This Row],[CreatedBy]]="MARINER\SilverAdm",1,0)</f>
        <v>1</v>
      </c>
      <c r="M695" t="str">
        <f>IF(NOT(ISBLANK(A695)),VLOOKUP(A695,'Close - PriceSaver'!A:J,6,0),"")</f>
        <v/>
      </c>
      <c r="Q695" t="e">
        <f t="shared" si="103"/>
        <v>#N/A</v>
      </c>
      <c r="R695" t="e">
        <f t="shared" si="104"/>
        <v>#N/A</v>
      </c>
      <c r="S695" t="e">
        <f t="shared" si="105"/>
        <v>#N/A</v>
      </c>
      <c r="T695" s="15" t="e">
        <f t="shared" si="106"/>
        <v>#N/A</v>
      </c>
      <c r="U695" s="18" t="e">
        <f t="shared" si="107"/>
        <v>#N/A</v>
      </c>
      <c r="V695" s="14" t="e">
        <f t="shared" si="108"/>
        <v>#N/A</v>
      </c>
      <c r="W695" s="19" t="e">
        <f t="shared" si="109"/>
        <v>#N/A</v>
      </c>
      <c r="X695" t="e">
        <f>VLOOKUP(P695,Close[[ID]:[CreatedBy]],8,0)</f>
        <v>#N/A</v>
      </c>
    </row>
    <row r="696" spans="2:24" x14ac:dyDescent="0.35">
      <c r="B696" t="str">
        <f>IF(NOT(ISBLANK(A696)),VLOOKUP(A696,'BBT3'!A:F,2,0),"")</f>
        <v/>
      </c>
      <c r="C696" t="str">
        <f>IF(NOT(ISBLANK(A696)),VLOOKUP(A696,'BBT3'!A:F,3,0),"")</f>
        <v/>
      </c>
      <c r="D696" s="5" t="str">
        <f>IF(NOT(ISBLANK(A696)),VLOOKUP(A696,'BBT3'!A:F,4,1),"")</f>
        <v/>
      </c>
      <c r="E696" t="str">
        <f>IF(NOT(ISBLANK(A696)),VLOOKUP(A696,'BBT3'!A:F,5,0),"")</f>
        <v/>
      </c>
      <c r="F696" t="str">
        <f>IF(NOT(ISBLANK(A696)),VLOOKUP(A696,'BBT3'!A:F,6,0),"")</f>
        <v/>
      </c>
      <c r="G696" t="str">
        <f t="shared" si="101"/>
        <v/>
      </c>
      <c r="H696" t="str">
        <f>IF(NOT(ISBLANK(A696)),VLOOKUP(A696,'Close - PriceSaver'!A:J,5,0),"")</f>
        <v/>
      </c>
      <c r="I696" s="4" t="str" cm="1">
        <f t="array" ref="I696">IF(NOT(ISBLANK(A696)),((_xlfn.XLOOKUP(1,(_bbt3[[#All],[ID]]=A696)*(_bbt3[[#All],[METRIC_NAME]]="YLD_YTM_ASK"),_bbt3[[#All],[METRIC_VALUE]])*0.5)+(_xlfn.XLOOKUP(1,(_bbt3[[#All],[ID]]=A696)*(_bbt3[[#All],[METRIC_NAME]]="YLD_YTM_BID"),_bbt3[[#All],[METRIC_VALUE]])*0.5))/100,"")</f>
        <v/>
      </c>
      <c r="J696">
        <f>IF(ISNA(VLOOKUP(A696,'CloseDL - PriceSaverBBT3'!A:E,5,0)),0,VLOOKUP(A696,'CloseDL - PriceSaverBBT3'!A:E,5,0))</f>
        <v>0</v>
      </c>
      <c r="K696" s="7" t="str">
        <f t="shared" si="102"/>
        <v/>
      </c>
      <c r="L696" s="20">
        <f>IF(Close[[#This Row],[CreatedBy]]="MARINER\SilverAdm",1,0)</f>
        <v>1</v>
      </c>
      <c r="M696" t="str">
        <f>IF(NOT(ISBLANK(A696)),VLOOKUP(A696,'Close - PriceSaver'!A:J,6,0),"")</f>
        <v/>
      </c>
      <c r="Q696" t="e">
        <f t="shared" si="103"/>
        <v>#N/A</v>
      </c>
      <c r="R696" t="e">
        <f t="shared" si="104"/>
        <v>#N/A</v>
      </c>
      <c r="S696" t="e">
        <f t="shared" si="105"/>
        <v>#N/A</v>
      </c>
      <c r="T696" s="15" t="e">
        <f t="shared" si="106"/>
        <v>#N/A</v>
      </c>
      <c r="U696" s="18" t="e">
        <f t="shared" si="107"/>
        <v>#N/A</v>
      </c>
      <c r="V696" s="14" t="e">
        <f t="shared" si="108"/>
        <v>#N/A</v>
      </c>
      <c r="W696" s="19" t="e">
        <f t="shared" si="109"/>
        <v>#N/A</v>
      </c>
      <c r="X696" t="e">
        <f>VLOOKUP(P696,Close[[ID]:[CreatedBy]],8,0)</f>
        <v>#N/A</v>
      </c>
    </row>
    <row r="697" spans="2:24" x14ac:dyDescent="0.35">
      <c r="B697" t="str">
        <f>IF(NOT(ISBLANK(A697)),VLOOKUP(A697,'BBT3'!A:F,2,0),"")</f>
        <v/>
      </c>
      <c r="C697" t="str">
        <f>IF(NOT(ISBLANK(A697)),VLOOKUP(A697,'BBT3'!A:F,3,0),"")</f>
        <v/>
      </c>
      <c r="D697" s="5" t="str">
        <f>IF(NOT(ISBLANK(A697)),VLOOKUP(A697,'BBT3'!A:F,4,1),"")</f>
        <v/>
      </c>
      <c r="E697" t="str">
        <f>IF(NOT(ISBLANK(A697)),VLOOKUP(A697,'BBT3'!A:F,5,0),"")</f>
        <v/>
      </c>
      <c r="F697" t="str">
        <f>IF(NOT(ISBLANK(A697)),VLOOKUP(A697,'BBT3'!A:F,6,0),"")</f>
        <v/>
      </c>
      <c r="G697" t="str">
        <f t="shared" si="101"/>
        <v/>
      </c>
      <c r="H697" t="str">
        <f>IF(NOT(ISBLANK(A697)),VLOOKUP(A697,'Close - PriceSaver'!A:J,5,0),"")</f>
        <v/>
      </c>
      <c r="I697" s="4" t="str" cm="1">
        <f t="array" ref="I697">IF(NOT(ISBLANK(A697)),((_xlfn.XLOOKUP(1,(_bbt3[[#All],[ID]]=A697)*(_bbt3[[#All],[METRIC_NAME]]="YLD_YTM_ASK"),_bbt3[[#All],[METRIC_VALUE]])*0.5)+(_xlfn.XLOOKUP(1,(_bbt3[[#All],[ID]]=A697)*(_bbt3[[#All],[METRIC_NAME]]="YLD_YTM_BID"),_bbt3[[#All],[METRIC_VALUE]])*0.5))/100,"")</f>
        <v/>
      </c>
      <c r="J697">
        <f>IF(ISNA(VLOOKUP(A697,'CloseDL - PriceSaverBBT3'!A:E,5,0)),0,VLOOKUP(A697,'CloseDL - PriceSaverBBT3'!A:E,5,0))</f>
        <v>0</v>
      </c>
      <c r="K697" s="7" t="str">
        <f t="shared" si="102"/>
        <v/>
      </c>
      <c r="L697" s="20">
        <f>IF(Close[[#This Row],[CreatedBy]]="MARINER\SilverAdm",1,0)</f>
        <v>1</v>
      </c>
      <c r="M697" t="str">
        <f>IF(NOT(ISBLANK(A697)),VLOOKUP(A697,'Close - PriceSaver'!A:J,6,0),"")</f>
        <v/>
      </c>
      <c r="Q697" t="e">
        <f t="shared" si="103"/>
        <v>#N/A</v>
      </c>
      <c r="R697" t="e">
        <f t="shared" si="104"/>
        <v>#N/A</v>
      </c>
      <c r="S697" t="e">
        <f t="shared" si="105"/>
        <v>#N/A</v>
      </c>
      <c r="T697" s="15" t="e">
        <f t="shared" si="106"/>
        <v>#N/A</v>
      </c>
      <c r="U697" s="18" t="e">
        <f t="shared" si="107"/>
        <v>#N/A</v>
      </c>
      <c r="V697" s="14" t="e">
        <f t="shared" si="108"/>
        <v>#N/A</v>
      </c>
      <c r="W697" s="19" t="e">
        <f t="shared" si="109"/>
        <v>#N/A</v>
      </c>
      <c r="X697" t="e">
        <f>VLOOKUP(P697,Close[[ID]:[CreatedBy]],8,0)</f>
        <v>#N/A</v>
      </c>
    </row>
    <row r="698" spans="2:24" x14ac:dyDescent="0.35">
      <c r="B698" t="str">
        <f>IF(NOT(ISBLANK(A698)),VLOOKUP(A698,'BBT3'!A:F,2,0),"")</f>
        <v/>
      </c>
      <c r="C698" t="str">
        <f>IF(NOT(ISBLANK(A698)),VLOOKUP(A698,'BBT3'!A:F,3,0),"")</f>
        <v/>
      </c>
      <c r="D698" s="5" t="str">
        <f>IF(NOT(ISBLANK(A698)),VLOOKUP(A698,'BBT3'!A:F,4,1),"")</f>
        <v/>
      </c>
      <c r="E698" t="str">
        <f>IF(NOT(ISBLANK(A698)),VLOOKUP(A698,'BBT3'!A:F,5,0),"")</f>
        <v/>
      </c>
      <c r="F698" t="str">
        <f>IF(NOT(ISBLANK(A698)),VLOOKUP(A698,'BBT3'!A:F,6,0),"")</f>
        <v/>
      </c>
      <c r="G698" t="str">
        <f t="shared" si="101"/>
        <v/>
      </c>
      <c r="H698" t="str">
        <f>IF(NOT(ISBLANK(A698)),VLOOKUP(A698,'Close - PriceSaver'!A:J,5,0),"")</f>
        <v/>
      </c>
      <c r="I698" s="4" t="str" cm="1">
        <f t="array" ref="I698">IF(NOT(ISBLANK(A698)),((_xlfn.XLOOKUP(1,(_bbt3[[#All],[ID]]=A698)*(_bbt3[[#All],[METRIC_NAME]]="YLD_YTM_ASK"),_bbt3[[#All],[METRIC_VALUE]])*0.5)+(_xlfn.XLOOKUP(1,(_bbt3[[#All],[ID]]=A698)*(_bbt3[[#All],[METRIC_NAME]]="YLD_YTM_BID"),_bbt3[[#All],[METRIC_VALUE]])*0.5))/100,"")</f>
        <v/>
      </c>
      <c r="J698">
        <f>IF(ISNA(VLOOKUP(A698,'CloseDL - PriceSaverBBT3'!A:E,5,0)),0,VLOOKUP(A698,'CloseDL - PriceSaverBBT3'!A:E,5,0))</f>
        <v>0</v>
      </c>
      <c r="K698" s="7" t="str">
        <f t="shared" si="102"/>
        <v/>
      </c>
      <c r="L698" s="20">
        <f>IF(Close[[#This Row],[CreatedBy]]="MARINER\SilverAdm",1,0)</f>
        <v>1</v>
      </c>
      <c r="M698" t="str">
        <f>IF(NOT(ISBLANK(A698)),VLOOKUP(A698,'Close - PriceSaver'!A:J,6,0),"")</f>
        <v/>
      </c>
      <c r="Q698" t="e">
        <f t="shared" si="103"/>
        <v>#N/A</v>
      </c>
      <c r="R698" t="e">
        <f t="shared" si="104"/>
        <v>#N/A</v>
      </c>
      <c r="S698" t="e">
        <f t="shared" si="105"/>
        <v>#N/A</v>
      </c>
      <c r="T698" s="15" t="e">
        <f t="shared" si="106"/>
        <v>#N/A</v>
      </c>
      <c r="U698" s="18" t="e">
        <f t="shared" si="107"/>
        <v>#N/A</v>
      </c>
      <c r="V698" s="14" t="e">
        <f t="shared" si="108"/>
        <v>#N/A</v>
      </c>
      <c r="W698" s="19" t="e">
        <f t="shared" si="109"/>
        <v>#N/A</v>
      </c>
      <c r="X698" t="e">
        <f>VLOOKUP(P698,Close[[ID]:[CreatedBy]],8,0)</f>
        <v>#N/A</v>
      </c>
    </row>
    <row r="699" spans="2:24" x14ac:dyDescent="0.35">
      <c r="B699" t="str">
        <f>IF(NOT(ISBLANK(A699)),VLOOKUP(A699,'BBT3'!A:F,2,0),"")</f>
        <v/>
      </c>
      <c r="C699" t="str">
        <f>IF(NOT(ISBLANK(A699)),VLOOKUP(A699,'BBT3'!A:F,3,0),"")</f>
        <v/>
      </c>
      <c r="D699" s="5" t="str">
        <f>IF(NOT(ISBLANK(A699)),VLOOKUP(A699,'BBT3'!A:F,4,1),"")</f>
        <v/>
      </c>
      <c r="E699" t="str">
        <f>IF(NOT(ISBLANK(A699)),VLOOKUP(A699,'BBT3'!A:F,5,0),"")</f>
        <v/>
      </c>
      <c r="F699" t="str">
        <f>IF(NOT(ISBLANK(A699)),VLOOKUP(A699,'BBT3'!A:F,6,0),"")</f>
        <v/>
      </c>
      <c r="G699" t="str">
        <f t="shared" si="101"/>
        <v/>
      </c>
      <c r="H699" t="str">
        <f>IF(NOT(ISBLANK(A699)),VLOOKUP(A699,'Close - PriceSaver'!A:J,5,0),"")</f>
        <v/>
      </c>
      <c r="I699" s="4" t="str" cm="1">
        <f t="array" ref="I699">IF(NOT(ISBLANK(A699)),((_xlfn.XLOOKUP(1,(_bbt3[[#All],[ID]]=A699)*(_bbt3[[#All],[METRIC_NAME]]="YLD_YTM_ASK"),_bbt3[[#All],[METRIC_VALUE]])*0.5)+(_xlfn.XLOOKUP(1,(_bbt3[[#All],[ID]]=A699)*(_bbt3[[#All],[METRIC_NAME]]="YLD_YTM_BID"),_bbt3[[#All],[METRIC_VALUE]])*0.5))/100,"")</f>
        <v/>
      </c>
      <c r="J699">
        <f>IF(ISNA(VLOOKUP(A699,'CloseDL - PriceSaverBBT3'!A:E,5,0)),0,VLOOKUP(A699,'CloseDL - PriceSaverBBT3'!A:E,5,0))</f>
        <v>0</v>
      </c>
      <c r="K699" s="7" t="str">
        <f t="shared" si="102"/>
        <v/>
      </c>
      <c r="L699" s="20">
        <f>IF(Close[[#This Row],[CreatedBy]]="MARINER\SilverAdm",1,0)</f>
        <v>1</v>
      </c>
      <c r="M699" t="str">
        <f>IF(NOT(ISBLANK(A699)),VLOOKUP(A699,'Close - PriceSaver'!A:J,6,0),"")</f>
        <v/>
      </c>
      <c r="Q699" t="e">
        <f t="shared" si="103"/>
        <v>#N/A</v>
      </c>
      <c r="R699" t="e">
        <f t="shared" si="104"/>
        <v>#N/A</v>
      </c>
      <c r="S699" t="e">
        <f t="shared" si="105"/>
        <v>#N/A</v>
      </c>
      <c r="T699" s="15" t="e">
        <f t="shared" si="106"/>
        <v>#N/A</v>
      </c>
      <c r="U699" s="18" t="e">
        <f t="shared" si="107"/>
        <v>#N/A</v>
      </c>
      <c r="V699" s="14" t="e">
        <f t="shared" si="108"/>
        <v>#N/A</v>
      </c>
      <c r="W699" s="19" t="e">
        <f t="shared" si="109"/>
        <v>#N/A</v>
      </c>
      <c r="X699" t="e">
        <f>VLOOKUP(P699,Close[[ID]:[CreatedBy]],8,0)</f>
        <v>#N/A</v>
      </c>
    </row>
    <row r="700" spans="2:24" x14ac:dyDescent="0.35">
      <c r="B700" t="str">
        <f>IF(NOT(ISBLANK(A700)),VLOOKUP(A700,'BBT3'!A:F,2,0),"")</f>
        <v/>
      </c>
      <c r="C700" t="str">
        <f>IF(NOT(ISBLANK(A700)),VLOOKUP(A700,'BBT3'!A:F,3,0),"")</f>
        <v/>
      </c>
      <c r="D700" s="5" t="str">
        <f>IF(NOT(ISBLANK(A700)),VLOOKUP(A700,'BBT3'!A:F,4,1),"")</f>
        <v/>
      </c>
      <c r="E700" t="str">
        <f>IF(NOT(ISBLANK(A700)),VLOOKUP(A700,'BBT3'!A:F,5,0),"")</f>
        <v/>
      </c>
      <c r="F700" t="str">
        <f>IF(NOT(ISBLANK(A700)),VLOOKUP(A700,'BBT3'!A:F,6,0),"")</f>
        <v/>
      </c>
      <c r="G700" t="str">
        <f t="shared" si="101"/>
        <v/>
      </c>
      <c r="H700" t="str">
        <f>IF(NOT(ISBLANK(A700)),VLOOKUP(A700,'Close - PriceSaver'!A:J,5,0),"")</f>
        <v/>
      </c>
      <c r="I700" s="4" t="str" cm="1">
        <f t="array" ref="I700">IF(NOT(ISBLANK(A700)),((_xlfn.XLOOKUP(1,(_bbt3[[#All],[ID]]=A700)*(_bbt3[[#All],[METRIC_NAME]]="YLD_YTM_ASK"),_bbt3[[#All],[METRIC_VALUE]])*0.5)+(_xlfn.XLOOKUP(1,(_bbt3[[#All],[ID]]=A700)*(_bbt3[[#All],[METRIC_NAME]]="YLD_YTM_BID"),_bbt3[[#All],[METRIC_VALUE]])*0.5))/100,"")</f>
        <v/>
      </c>
      <c r="J700">
        <f>IF(ISNA(VLOOKUP(A700,'CloseDL - PriceSaverBBT3'!A:E,5,0)),0,VLOOKUP(A700,'CloseDL - PriceSaverBBT3'!A:E,5,0))</f>
        <v>0</v>
      </c>
      <c r="K700" s="7" t="str">
        <f t="shared" si="102"/>
        <v/>
      </c>
      <c r="L700" s="20">
        <f>IF(Close[[#This Row],[CreatedBy]]="MARINER\SilverAdm",1,0)</f>
        <v>1</v>
      </c>
      <c r="M700" t="str">
        <f>IF(NOT(ISBLANK(A700)),VLOOKUP(A700,'Close - PriceSaver'!A:J,6,0),"")</f>
        <v/>
      </c>
      <c r="Q700" t="e">
        <f t="shared" si="103"/>
        <v>#N/A</v>
      </c>
      <c r="R700" t="e">
        <f t="shared" si="104"/>
        <v>#N/A</v>
      </c>
      <c r="S700" t="e">
        <f t="shared" si="105"/>
        <v>#N/A</v>
      </c>
      <c r="T700" s="15" t="e">
        <f t="shared" si="106"/>
        <v>#N/A</v>
      </c>
      <c r="U700" s="18" t="e">
        <f t="shared" si="107"/>
        <v>#N/A</v>
      </c>
      <c r="V700" s="14" t="e">
        <f t="shared" si="108"/>
        <v>#N/A</v>
      </c>
      <c r="W700" s="19" t="e">
        <f t="shared" si="109"/>
        <v>#N/A</v>
      </c>
      <c r="X700" t="e">
        <f>VLOOKUP(P700,Close[[ID]:[CreatedBy]],8,0)</f>
        <v>#N/A</v>
      </c>
    </row>
    <row r="701" spans="2:24" x14ac:dyDescent="0.35">
      <c r="B701" t="str">
        <f>IF(NOT(ISBLANK(A701)),VLOOKUP(A701,'BBT3'!A:F,2,0),"")</f>
        <v/>
      </c>
      <c r="C701" t="str">
        <f>IF(NOT(ISBLANK(A701)),VLOOKUP(A701,'BBT3'!A:F,3,0),"")</f>
        <v/>
      </c>
      <c r="D701" s="5" t="str">
        <f>IF(NOT(ISBLANK(A701)),VLOOKUP(A701,'BBT3'!A:F,4,1),"")</f>
        <v/>
      </c>
      <c r="E701" t="str">
        <f>IF(NOT(ISBLANK(A701)),VLOOKUP(A701,'BBT3'!A:F,5,0),"")</f>
        <v/>
      </c>
      <c r="F701" t="str">
        <f>IF(NOT(ISBLANK(A701)),VLOOKUP(A701,'BBT3'!A:F,6,0),"")</f>
        <v/>
      </c>
      <c r="G701" t="str">
        <f t="shared" si="101"/>
        <v/>
      </c>
      <c r="H701" t="str">
        <f>IF(NOT(ISBLANK(A701)),VLOOKUP(A701,'Close - PriceSaver'!A:J,5,0),"")</f>
        <v/>
      </c>
      <c r="I701" s="4" t="str" cm="1">
        <f t="array" ref="I701">IF(NOT(ISBLANK(A701)),((_xlfn.XLOOKUP(1,(_bbt3[[#All],[ID]]=A701)*(_bbt3[[#All],[METRIC_NAME]]="YLD_YTM_ASK"),_bbt3[[#All],[METRIC_VALUE]])*0.5)+(_xlfn.XLOOKUP(1,(_bbt3[[#All],[ID]]=A701)*(_bbt3[[#All],[METRIC_NAME]]="YLD_YTM_BID"),_bbt3[[#All],[METRIC_VALUE]])*0.5))/100,"")</f>
        <v/>
      </c>
      <c r="J701">
        <f>IF(ISNA(VLOOKUP(A701,'CloseDL - PriceSaverBBT3'!A:E,5,0)),0,VLOOKUP(A701,'CloseDL - PriceSaverBBT3'!A:E,5,0))</f>
        <v>0</v>
      </c>
      <c r="K701" s="7" t="str">
        <f t="shared" si="102"/>
        <v/>
      </c>
      <c r="L701" s="20">
        <f>IF(Close[[#This Row],[CreatedBy]]="MARINER\SilverAdm",1,0)</f>
        <v>1</v>
      </c>
      <c r="M701" t="str">
        <f>IF(NOT(ISBLANK(A701)),VLOOKUP(A701,'Close - PriceSaver'!A:J,6,0),"")</f>
        <v/>
      </c>
      <c r="Q701" t="e">
        <f t="shared" si="103"/>
        <v>#N/A</v>
      </c>
      <c r="R701" t="e">
        <f t="shared" si="104"/>
        <v>#N/A</v>
      </c>
      <c r="S701" t="e">
        <f t="shared" si="105"/>
        <v>#N/A</v>
      </c>
      <c r="T701" s="15" t="e">
        <f t="shared" si="106"/>
        <v>#N/A</v>
      </c>
      <c r="U701" s="18" t="e">
        <f t="shared" si="107"/>
        <v>#N/A</v>
      </c>
      <c r="V701" s="14" t="e">
        <f t="shared" si="108"/>
        <v>#N/A</v>
      </c>
      <c r="W701" s="19" t="e">
        <f t="shared" si="109"/>
        <v>#N/A</v>
      </c>
      <c r="X701" t="e">
        <f>VLOOKUP(P701,Close[[ID]:[CreatedBy]],8,0)</f>
        <v>#N/A</v>
      </c>
    </row>
    <row r="702" spans="2:24" x14ac:dyDescent="0.35">
      <c r="B702" t="str">
        <f>IF(NOT(ISBLANK(A702)),VLOOKUP(A702,'BBT3'!A:F,2,0),"")</f>
        <v/>
      </c>
      <c r="C702" t="str">
        <f>IF(NOT(ISBLANK(A702)),VLOOKUP(A702,'BBT3'!A:F,3,0),"")</f>
        <v/>
      </c>
      <c r="D702" s="5" t="str">
        <f>IF(NOT(ISBLANK(A702)),VLOOKUP(A702,'BBT3'!A:F,4,1),"")</f>
        <v/>
      </c>
      <c r="E702" t="str">
        <f>IF(NOT(ISBLANK(A702)),VLOOKUP(A702,'BBT3'!A:F,5,0),"")</f>
        <v/>
      </c>
      <c r="F702" t="str">
        <f>IF(NOT(ISBLANK(A702)),VLOOKUP(A702,'BBT3'!A:F,6,0),"")</f>
        <v/>
      </c>
      <c r="G702" t="str">
        <f t="shared" si="101"/>
        <v/>
      </c>
      <c r="H702" t="str">
        <f>IF(NOT(ISBLANK(A702)),VLOOKUP(A702,'Close - PriceSaver'!A:J,5,0),"")</f>
        <v/>
      </c>
      <c r="I702" s="4" t="str" cm="1">
        <f t="array" ref="I702">IF(NOT(ISBLANK(A702)),((_xlfn.XLOOKUP(1,(_bbt3[[#All],[ID]]=A702)*(_bbt3[[#All],[METRIC_NAME]]="YLD_YTM_ASK"),_bbt3[[#All],[METRIC_VALUE]])*0.5)+(_xlfn.XLOOKUP(1,(_bbt3[[#All],[ID]]=A702)*(_bbt3[[#All],[METRIC_NAME]]="YLD_YTM_BID"),_bbt3[[#All],[METRIC_VALUE]])*0.5))/100,"")</f>
        <v/>
      </c>
      <c r="J702">
        <f>IF(ISNA(VLOOKUP(A702,'CloseDL - PriceSaverBBT3'!A:E,5,0)),0,VLOOKUP(A702,'CloseDL - PriceSaverBBT3'!A:E,5,0))</f>
        <v>0</v>
      </c>
      <c r="K702" s="7" t="str">
        <f t="shared" si="102"/>
        <v/>
      </c>
      <c r="L702" s="20">
        <f>IF(Close[[#This Row],[CreatedBy]]="MARINER\SilverAdm",1,0)</f>
        <v>1</v>
      </c>
      <c r="M702" t="str">
        <f>IF(NOT(ISBLANK(A702)),VLOOKUP(A702,'Close - PriceSaver'!A:J,6,0),"")</f>
        <v/>
      </c>
      <c r="Q702" t="e">
        <f t="shared" si="103"/>
        <v>#N/A</v>
      </c>
      <c r="R702" t="e">
        <f t="shared" si="104"/>
        <v>#N/A</v>
      </c>
      <c r="S702" t="e">
        <f t="shared" si="105"/>
        <v>#N/A</v>
      </c>
      <c r="T702" s="15" t="e">
        <f t="shared" si="106"/>
        <v>#N/A</v>
      </c>
      <c r="U702" s="18" t="e">
        <f t="shared" si="107"/>
        <v>#N/A</v>
      </c>
      <c r="V702" s="14" t="e">
        <f t="shared" si="108"/>
        <v>#N/A</v>
      </c>
      <c r="W702" s="19" t="e">
        <f t="shared" si="109"/>
        <v>#N/A</v>
      </c>
      <c r="X702" t="e">
        <f>VLOOKUP(P702,Close[[ID]:[CreatedBy]],8,0)</f>
        <v>#N/A</v>
      </c>
    </row>
    <row r="703" spans="2:24" x14ac:dyDescent="0.35">
      <c r="B703" t="str">
        <f>IF(NOT(ISBLANK(A703)),VLOOKUP(A703,'BBT3'!A:F,2,0),"")</f>
        <v/>
      </c>
      <c r="C703" t="str">
        <f>IF(NOT(ISBLANK(A703)),VLOOKUP(A703,'BBT3'!A:F,3,0),"")</f>
        <v/>
      </c>
      <c r="D703" s="5" t="str">
        <f>IF(NOT(ISBLANK(A703)),VLOOKUP(A703,'BBT3'!A:F,4,1),"")</f>
        <v/>
      </c>
      <c r="E703" t="str">
        <f>IF(NOT(ISBLANK(A703)),VLOOKUP(A703,'BBT3'!A:F,5,0),"")</f>
        <v/>
      </c>
      <c r="F703" t="str">
        <f>IF(NOT(ISBLANK(A703)),VLOOKUP(A703,'BBT3'!A:F,6,0),"")</f>
        <v/>
      </c>
      <c r="G703" t="str">
        <f t="shared" si="101"/>
        <v/>
      </c>
      <c r="H703" t="str">
        <f>IF(NOT(ISBLANK(A703)),VLOOKUP(A703,'Close - PriceSaver'!A:J,5,0),"")</f>
        <v/>
      </c>
      <c r="I703" s="4" t="str" cm="1">
        <f t="array" ref="I703">IF(NOT(ISBLANK(A703)),((_xlfn.XLOOKUP(1,(_bbt3[[#All],[ID]]=A703)*(_bbt3[[#All],[METRIC_NAME]]="YLD_YTM_ASK"),_bbt3[[#All],[METRIC_VALUE]])*0.5)+(_xlfn.XLOOKUP(1,(_bbt3[[#All],[ID]]=A703)*(_bbt3[[#All],[METRIC_NAME]]="YLD_YTM_BID"),_bbt3[[#All],[METRIC_VALUE]])*0.5))/100,"")</f>
        <v/>
      </c>
      <c r="J703">
        <f>IF(ISNA(VLOOKUP(A703,'CloseDL - PriceSaverBBT3'!A:E,5,0)),0,VLOOKUP(A703,'CloseDL - PriceSaverBBT3'!A:E,5,0))</f>
        <v>0</v>
      </c>
      <c r="K703" s="7" t="str">
        <f t="shared" si="102"/>
        <v/>
      </c>
      <c r="L703" s="20">
        <f>IF(Close[[#This Row],[CreatedBy]]="MARINER\SilverAdm",1,0)</f>
        <v>1</v>
      </c>
      <c r="M703" t="str">
        <f>IF(NOT(ISBLANK(A703)),VLOOKUP(A703,'Close - PriceSaver'!A:J,6,0),"")</f>
        <v/>
      </c>
      <c r="Q703" t="e">
        <f t="shared" si="103"/>
        <v>#N/A</v>
      </c>
      <c r="R703" t="e">
        <f t="shared" si="104"/>
        <v>#N/A</v>
      </c>
      <c r="S703" t="e">
        <f t="shared" si="105"/>
        <v>#N/A</v>
      </c>
      <c r="T703" s="15" t="e">
        <f t="shared" si="106"/>
        <v>#N/A</v>
      </c>
      <c r="U703" s="18" t="e">
        <f t="shared" si="107"/>
        <v>#N/A</v>
      </c>
      <c r="V703" s="14" t="e">
        <f t="shared" si="108"/>
        <v>#N/A</v>
      </c>
      <c r="W703" s="19" t="e">
        <f t="shared" si="109"/>
        <v>#N/A</v>
      </c>
      <c r="X703" t="e">
        <f>VLOOKUP(P703,Close[[ID]:[CreatedBy]],8,0)</f>
        <v>#N/A</v>
      </c>
    </row>
    <row r="704" spans="2:24" x14ac:dyDescent="0.35">
      <c r="B704" t="str">
        <f>IF(NOT(ISBLANK(A704)),VLOOKUP(A704,'BBT3'!A:F,2,0),"")</f>
        <v/>
      </c>
      <c r="C704" t="str">
        <f>IF(NOT(ISBLANK(A704)),VLOOKUP(A704,'BBT3'!A:F,3,0),"")</f>
        <v/>
      </c>
      <c r="D704" s="5" t="str">
        <f>IF(NOT(ISBLANK(A704)),VLOOKUP(A704,'BBT3'!A:F,4,1),"")</f>
        <v/>
      </c>
      <c r="E704" t="str">
        <f>IF(NOT(ISBLANK(A704)),VLOOKUP(A704,'BBT3'!A:F,5,0),"")</f>
        <v/>
      </c>
      <c r="F704" t="str">
        <f>IF(NOT(ISBLANK(A704)),VLOOKUP(A704,'BBT3'!A:F,6,0),"")</f>
        <v/>
      </c>
      <c r="G704" t="str">
        <f t="shared" si="101"/>
        <v/>
      </c>
      <c r="H704" t="str">
        <f>IF(NOT(ISBLANK(A704)),VLOOKUP(A704,'Close - PriceSaver'!A:J,5,0),"")</f>
        <v/>
      </c>
      <c r="I704" s="4" t="str" cm="1">
        <f t="array" ref="I704">IF(NOT(ISBLANK(A704)),((_xlfn.XLOOKUP(1,(_bbt3[[#All],[ID]]=A704)*(_bbt3[[#All],[METRIC_NAME]]="YLD_YTM_ASK"),_bbt3[[#All],[METRIC_VALUE]])*0.5)+(_xlfn.XLOOKUP(1,(_bbt3[[#All],[ID]]=A704)*(_bbt3[[#All],[METRIC_NAME]]="YLD_YTM_BID"),_bbt3[[#All],[METRIC_VALUE]])*0.5))/100,"")</f>
        <v/>
      </c>
      <c r="J704">
        <f>IF(ISNA(VLOOKUP(A704,'CloseDL - PriceSaverBBT3'!A:E,5,0)),0,VLOOKUP(A704,'CloseDL - PriceSaverBBT3'!A:E,5,0))</f>
        <v>0</v>
      </c>
      <c r="K704" s="7" t="str">
        <f t="shared" si="102"/>
        <v/>
      </c>
      <c r="L704" s="20">
        <f>IF(Close[[#This Row],[CreatedBy]]="MARINER\SilverAdm",1,0)</f>
        <v>1</v>
      </c>
      <c r="M704" t="str">
        <f>IF(NOT(ISBLANK(A704)),VLOOKUP(A704,'Close - PriceSaver'!A:J,6,0),"")</f>
        <v/>
      </c>
      <c r="Q704" t="e">
        <f t="shared" si="103"/>
        <v>#N/A</v>
      </c>
      <c r="R704" t="e">
        <f t="shared" si="104"/>
        <v>#N/A</v>
      </c>
      <c r="S704" t="e">
        <f t="shared" si="105"/>
        <v>#N/A</v>
      </c>
      <c r="T704" s="15" t="e">
        <f t="shared" si="106"/>
        <v>#N/A</v>
      </c>
      <c r="U704" s="18" t="e">
        <f t="shared" si="107"/>
        <v>#N/A</v>
      </c>
      <c r="V704" s="14" t="e">
        <f t="shared" si="108"/>
        <v>#N/A</v>
      </c>
      <c r="W704" s="19" t="e">
        <f t="shared" si="109"/>
        <v>#N/A</v>
      </c>
      <c r="X704" t="e">
        <f>VLOOKUP(P704,Close[[ID]:[CreatedBy]],8,0)</f>
        <v>#N/A</v>
      </c>
    </row>
    <row r="705" spans="2:24" x14ac:dyDescent="0.35">
      <c r="B705" t="str">
        <f>IF(NOT(ISBLANK(A705)),VLOOKUP(A705,'BBT3'!A:F,2,0),"")</f>
        <v/>
      </c>
      <c r="C705" t="str">
        <f>IF(NOT(ISBLANK(A705)),VLOOKUP(A705,'BBT3'!A:F,3,0),"")</f>
        <v/>
      </c>
      <c r="D705" s="5" t="str">
        <f>IF(NOT(ISBLANK(A705)),VLOOKUP(A705,'BBT3'!A:F,4,1),"")</f>
        <v/>
      </c>
      <c r="E705" t="str">
        <f>IF(NOT(ISBLANK(A705)),VLOOKUP(A705,'BBT3'!A:F,5,0),"")</f>
        <v/>
      </c>
      <c r="F705" t="str">
        <f>IF(NOT(ISBLANK(A705)),VLOOKUP(A705,'BBT3'!A:F,6,0),"")</f>
        <v/>
      </c>
      <c r="G705" t="str">
        <f t="shared" si="101"/>
        <v/>
      </c>
      <c r="H705" t="str">
        <f>IF(NOT(ISBLANK(A705)),VLOOKUP(A705,'Close - PriceSaver'!A:J,5,0),"")</f>
        <v/>
      </c>
      <c r="I705" s="4" t="str" cm="1">
        <f t="array" ref="I705">IF(NOT(ISBLANK(A705)),((_xlfn.XLOOKUP(1,(_bbt3[[#All],[ID]]=A705)*(_bbt3[[#All],[METRIC_NAME]]="YLD_YTM_ASK"),_bbt3[[#All],[METRIC_VALUE]])*0.5)+(_xlfn.XLOOKUP(1,(_bbt3[[#All],[ID]]=A705)*(_bbt3[[#All],[METRIC_NAME]]="YLD_YTM_BID"),_bbt3[[#All],[METRIC_VALUE]])*0.5))/100,"")</f>
        <v/>
      </c>
      <c r="J705">
        <f>IF(ISNA(VLOOKUP(A705,'CloseDL - PriceSaverBBT3'!A:E,5,0)),0,VLOOKUP(A705,'CloseDL - PriceSaverBBT3'!A:E,5,0))</f>
        <v>0</v>
      </c>
      <c r="K705" s="7" t="str">
        <f t="shared" si="102"/>
        <v/>
      </c>
      <c r="L705" s="20">
        <f>IF(Close[[#This Row],[CreatedBy]]="MARINER\SilverAdm",1,0)</f>
        <v>1</v>
      </c>
      <c r="M705" t="str">
        <f>IF(NOT(ISBLANK(A705)),VLOOKUP(A705,'Close - PriceSaver'!A:J,6,0),"")</f>
        <v/>
      </c>
      <c r="Q705" t="e">
        <f t="shared" si="103"/>
        <v>#N/A</v>
      </c>
      <c r="R705" t="e">
        <f t="shared" si="104"/>
        <v>#N/A</v>
      </c>
      <c r="S705" t="e">
        <f t="shared" si="105"/>
        <v>#N/A</v>
      </c>
      <c r="T705" s="15" t="e">
        <f t="shared" si="106"/>
        <v>#N/A</v>
      </c>
      <c r="U705" s="18" t="e">
        <f t="shared" si="107"/>
        <v>#N/A</v>
      </c>
      <c r="V705" s="14" t="e">
        <f t="shared" si="108"/>
        <v>#N/A</v>
      </c>
      <c r="W705" s="19" t="e">
        <f t="shared" si="109"/>
        <v>#N/A</v>
      </c>
      <c r="X705" t="e">
        <f>VLOOKUP(P705,Close[[ID]:[CreatedBy]],8,0)</f>
        <v>#N/A</v>
      </c>
    </row>
    <row r="706" spans="2:24" x14ac:dyDescent="0.35">
      <c r="B706" t="str">
        <f>IF(NOT(ISBLANK(A706)),VLOOKUP(A706,'BBT3'!A:F,2,0),"")</f>
        <v/>
      </c>
      <c r="C706" t="str">
        <f>IF(NOT(ISBLANK(A706)),VLOOKUP(A706,'BBT3'!A:F,3,0),"")</f>
        <v/>
      </c>
      <c r="D706" s="5" t="str">
        <f>IF(NOT(ISBLANK(A706)),VLOOKUP(A706,'BBT3'!A:F,4,1),"")</f>
        <v/>
      </c>
      <c r="E706" t="str">
        <f>IF(NOT(ISBLANK(A706)),VLOOKUP(A706,'BBT3'!A:F,5,0),"")</f>
        <v/>
      </c>
      <c r="F706" t="str">
        <f>IF(NOT(ISBLANK(A706)),VLOOKUP(A706,'BBT3'!A:F,6,0),"")</f>
        <v/>
      </c>
      <c r="G706" t="str">
        <f t="shared" si="101"/>
        <v/>
      </c>
      <c r="H706" t="str">
        <f>IF(NOT(ISBLANK(A706)),VLOOKUP(A706,'Close - PriceSaver'!A:J,5,0),"")</f>
        <v/>
      </c>
      <c r="I706" s="4" t="str" cm="1">
        <f t="array" ref="I706">IF(NOT(ISBLANK(A706)),((_xlfn.XLOOKUP(1,(_bbt3[[#All],[ID]]=A706)*(_bbt3[[#All],[METRIC_NAME]]="YLD_YTM_ASK"),_bbt3[[#All],[METRIC_VALUE]])*0.5)+(_xlfn.XLOOKUP(1,(_bbt3[[#All],[ID]]=A706)*(_bbt3[[#All],[METRIC_NAME]]="YLD_YTM_BID"),_bbt3[[#All],[METRIC_VALUE]])*0.5))/100,"")</f>
        <v/>
      </c>
      <c r="J706">
        <f>IF(ISNA(VLOOKUP(A706,'CloseDL - PriceSaverBBT3'!A:E,5,0)),0,VLOOKUP(A706,'CloseDL - PriceSaverBBT3'!A:E,5,0))</f>
        <v>0</v>
      </c>
      <c r="K706" s="7" t="str">
        <f t="shared" si="102"/>
        <v/>
      </c>
      <c r="L706" s="20">
        <f>IF(Close[[#This Row],[CreatedBy]]="MARINER\SilverAdm",1,0)</f>
        <v>1</v>
      </c>
      <c r="M706" t="str">
        <f>IF(NOT(ISBLANK(A706)),VLOOKUP(A706,'Close - PriceSaver'!A:J,6,0),"")</f>
        <v/>
      </c>
      <c r="Q706" t="e">
        <f t="shared" si="103"/>
        <v>#N/A</v>
      </c>
      <c r="R706" t="e">
        <f t="shared" si="104"/>
        <v>#N/A</v>
      </c>
      <c r="S706" t="e">
        <f t="shared" si="105"/>
        <v>#N/A</v>
      </c>
      <c r="T706" s="15" t="e">
        <f t="shared" si="106"/>
        <v>#N/A</v>
      </c>
      <c r="U706" s="18" t="e">
        <f t="shared" si="107"/>
        <v>#N/A</v>
      </c>
      <c r="V706" s="14" t="e">
        <f t="shared" si="108"/>
        <v>#N/A</v>
      </c>
      <c r="W706" s="19" t="e">
        <f t="shared" si="109"/>
        <v>#N/A</v>
      </c>
      <c r="X706" t="e">
        <f>VLOOKUP(P706,Close[[ID]:[CreatedBy]],8,0)</f>
        <v>#N/A</v>
      </c>
    </row>
    <row r="707" spans="2:24" x14ac:dyDescent="0.35">
      <c r="B707" t="str">
        <f>IF(NOT(ISBLANK(A707)),VLOOKUP(A707,'BBT3'!A:F,2,0),"")</f>
        <v/>
      </c>
      <c r="C707" t="str">
        <f>IF(NOT(ISBLANK(A707)),VLOOKUP(A707,'BBT3'!A:F,3,0),"")</f>
        <v/>
      </c>
      <c r="D707" s="5" t="str">
        <f>IF(NOT(ISBLANK(A707)),VLOOKUP(A707,'BBT3'!A:F,4,1),"")</f>
        <v/>
      </c>
      <c r="E707" t="str">
        <f>IF(NOT(ISBLANK(A707)),VLOOKUP(A707,'BBT3'!A:F,5,0),"")</f>
        <v/>
      </c>
      <c r="F707" t="str">
        <f>IF(NOT(ISBLANK(A707)),VLOOKUP(A707,'BBT3'!A:F,6,0),"")</f>
        <v/>
      </c>
      <c r="G707" t="str">
        <f t="shared" ref="G707:G770" si="110">IF(NOT(ISBLANK(A707)),IF(D707=0,"Y","N"),"")</f>
        <v/>
      </c>
      <c r="H707" t="str">
        <f>IF(NOT(ISBLANK(A707)),VLOOKUP(A707,'Close - PriceSaver'!A:J,5,0),"")</f>
        <v/>
      </c>
      <c r="I707" s="4" t="str" cm="1">
        <f t="array" ref="I707">IF(NOT(ISBLANK(A707)),((_xlfn.XLOOKUP(1,(_bbt3[[#All],[ID]]=A707)*(_bbt3[[#All],[METRIC_NAME]]="YLD_YTM_ASK"),_bbt3[[#All],[METRIC_VALUE]])*0.5)+(_xlfn.XLOOKUP(1,(_bbt3[[#All],[ID]]=A707)*(_bbt3[[#All],[METRIC_NAME]]="YLD_YTM_BID"),_bbt3[[#All],[METRIC_VALUE]])*0.5))/100,"")</f>
        <v/>
      </c>
      <c r="J707">
        <f>IF(ISNA(VLOOKUP(A707,'CloseDL - PriceSaverBBT3'!A:E,5,0)),0,VLOOKUP(A707,'CloseDL - PriceSaverBBT3'!A:E,5,0))</f>
        <v>0</v>
      </c>
      <c r="K707" s="7" t="str">
        <f t="shared" ref="K707:K770" si="111">IF(ISNA(IF(NOT(ISBLANK(A707)),ABS(H707-J707),"")),0,(IF(NOT(ISBLANK(A707)),ABS(H707-J707)*10000,"")))</f>
        <v/>
      </c>
      <c r="L707" s="20">
        <f>IF(Close[[#This Row],[CreatedBy]]="MARINER\SilverAdm",1,0)</f>
        <v>1</v>
      </c>
      <c r="M707" t="str">
        <f>IF(NOT(ISBLANK(A707)),VLOOKUP(A707,'Close - PriceSaver'!A:J,6,0),"")</f>
        <v/>
      </c>
      <c r="Q707" t="e">
        <f t="shared" si="103"/>
        <v>#N/A</v>
      </c>
      <c r="R707" t="e">
        <f t="shared" si="104"/>
        <v>#N/A</v>
      </c>
      <c r="S707" t="e">
        <f t="shared" si="105"/>
        <v>#N/A</v>
      </c>
      <c r="T707" s="15" t="e">
        <f t="shared" si="106"/>
        <v>#N/A</v>
      </c>
      <c r="U707" s="18" t="e">
        <f t="shared" si="107"/>
        <v>#N/A</v>
      </c>
      <c r="V707" s="14" t="e">
        <f t="shared" si="108"/>
        <v>#N/A</v>
      </c>
      <c r="W707" s="19" t="e">
        <f t="shared" si="109"/>
        <v>#N/A</v>
      </c>
      <c r="X707" t="e">
        <f>VLOOKUP(P707,Close[[ID]:[CreatedBy]],8,0)</f>
        <v>#N/A</v>
      </c>
    </row>
    <row r="708" spans="2:24" x14ac:dyDescent="0.35">
      <c r="B708" t="str">
        <f>IF(NOT(ISBLANK(A708)),VLOOKUP(A708,'BBT3'!A:F,2,0),"")</f>
        <v/>
      </c>
      <c r="C708" t="str">
        <f>IF(NOT(ISBLANK(A708)),VLOOKUP(A708,'BBT3'!A:F,3,0),"")</f>
        <v/>
      </c>
      <c r="D708" s="5" t="str">
        <f>IF(NOT(ISBLANK(A708)),VLOOKUP(A708,'BBT3'!A:F,4,1),"")</f>
        <v/>
      </c>
      <c r="E708" t="str">
        <f>IF(NOT(ISBLANK(A708)),VLOOKUP(A708,'BBT3'!A:F,5,0),"")</f>
        <v/>
      </c>
      <c r="F708" t="str">
        <f>IF(NOT(ISBLANK(A708)),VLOOKUP(A708,'BBT3'!A:F,6,0),"")</f>
        <v/>
      </c>
      <c r="G708" t="str">
        <f t="shared" si="110"/>
        <v/>
      </c>
      <c r="H708" t="str">
        <f>IF(NOT(ISBLANK(A708)),VLOOKUP(A708,'Close - PriceSaver'!A:J,5,0),"")</f>
        <v/>
      </c>
      <c r="I708" s="4" t="str" cm="1">
        <f t="array" ref="I708">IF(NOT(ISBLANK(A708)),((_xlfn.XLOOKUP(1,(_bbt3[[#All],[ID]]=A708)*(_bbt3[[#All],[METRIC_NAME]]="YLD_YTM_ASK"),_bbt3[[#All],[METRIC_VALUE]])*0.5)+(_xlfn.XLOOKUP(1,(_bbt3[[#All],[ID]]=A708)*(_bbt3[[#All],[METRIC_NAME]]="YLD_YTM_BID"),_bbt3[[#All],[METRIC_VALUE]])*0.5))/100,"")</f>
        <v/>
      </c>
      <c r="J708">
        <f>IF(ISNA(VLOOKUP(A708,'CloseDL - PriceSaverBBT3'!A:E,5,0)),0,VLOOKUP(A708,'CloseDL - PriceSaverBBT3'!A:E,5,0))</f>
        <v>0</v>
      </c>
      <c r="K708" s="7" t="str">
        <f t="shared" si="111"/>
        <v/>
      </c>
      <c r="L708" s="20">
        <f>IF(Close[[#This Row],[CreatedBy]]="MARINER\SilverAdm",1,0)</f>
        <v>1</v>
      </c>
      <c r="M708" t="str">
        <f>IF(NOT(ISBLANK(A708)),VLOOKUP(A708,'Close - PriceSaver'!A:J,6,0),"")</f>
        <v/>
      </c>
      <c r="Q708" t="e">
        <f t="shared" si="103"/>
        <v>#N/A</v>
      </c>
      <c r="R708" t="e">
        <f t="shared" si="104"/>
        <v>#N/A</v>
      </c>
      <c r="S708" t="e">
        <f t="shared" si="105"/>
        <v>#N/A</v>
      </c>
      <c r="T708" s="15" t="e">
        <f t="shared" si="106"/>
        <v>#N/A</v>
      </c>
      <c r="U708" s="18" t="e">
        <f t="shared" si="107"/>
        <v>#N/A</v>
      </c>
      <c r="V708" s="14" t="e">
        <f t="shared" si="108"/>
        <v>#N/A</v>
      </c>
      <c r="W708" s="19" t="e">
        <f t="shared" si="109"/>
        <v>#N/A</v>
      </c>
      <c r="X708" t="e">
        <f>VLOOKUP(P708,Close[[ID]:[CreatedBy]],8,0)</f>
        <v>#N/A</v>
      </c>
    </row>
    <row r="709" spans="2:24" x14ac:dyDescent="0.35">
      <c r="B709" t="str">
        <f>IF(NOT(ISBLANK(A709)),VLOOKUP(A709,'BBT3'!A:F,2,0),"")</f>
        <v/>
      </c>
      <c r="C709" t="str">
        <f>IF(NOT(ISBLANK(A709)),VLOOKUP(A709,'BBT3'!A:F,3,0),"")</f>
        <v/>
      </c>
      <c r="D709" s="5" t="str">
        <f>IF(NOT(ISBLANK(A709)),VLOOKUP(A709,'BBT3'!A:F,4,1),"")</f>
        <v/>
      </c>
      <c r="E709" t="str">
        <f>IF(NOT(ISBLANK(A709)),VLOOKUP(A709,'BBT3'!A:F,5,0),"")</f>
        <v/>
      </c>
      <c r="F709" t="str">
        <f>IF(NOT(ISBLANK(A709)),VLOOKUP(A709,'BBT3'!A:F,6,0),"")</f>
        <v/>
      </c>
      <c r="G709" t="str">
        <f t="shared" si="110"/>
        <v/>
      </c>
      <c r="H709" t="str">
        <f>IF(NOT(ISBLANK(A709)),VLOOKUP(A709,'Close - PriceSaver'!A:J,5,0),"")</f>
        <v/>
      </c>
      <c r="I709" s="4" t="str" cm="1">
        <f t="array" ref="I709">IF(NOT(ISBLANK(A709)),((_xlfn.XLOOKUP(1,(_bbt3[[#All],[ID]]=A709)*(_bbt3[[#All],[METRIC_NAME]]="YLD_YTM_ASK"),_bbt3[[#All],[METRIC_VALUE]])*0.5)+(_xlfn.XLOOKUP(1,(_bbt3[[#All],[ID]]=A709)*(_bbt3[[#All],[METRIC_NAME]]="YLD_YTM_BID"),_bbt3[[#All],[METRIC_VALUE]])*0.5))/100,"")</f>
        <v/>
      </c>
      <c r="J709">
        <f>IF(ISNA(VLOOKUP(A709,'CloseDL - PriceSaverBBT3'!A:E,5,0)),0,VLOOKUP(A709,'CloseDL - PriceSaverBBT3'!A:E,5,0))</f>
        <v>0</v>
      </c>
      <c r="K709" s="7" t="str">
        <f t="shared" si="111"/>
        <v/>
      </c>
      <c r="L709" s="20">
        <f>IF(Close[[#This Row],[CreatedBy]]="MARINER\SilverAdm",1,0)</f>
        <v>1</v>
      </c>
      <c r="M709" t="str">
        <f>IF(NOT(ISBLANK(A709)),VLOOKUP(A709,'Close - PriceSaver'!A:J,6,0),"")</f>
        <v/>
      </c>
      <c r="Q709" t="e">
        <f t="shared" si="103"/>
        <v>#N/A</v>
      </c>
      <c r="R709" t="e">
        <f t="shared" si="104"/>
        <v>#N/A</v>
      </c>
      <c r="S709" t="e">
        <f t="shared" si="105"/>
        <v>#N/A</v>
      </c>
      <c r="T709" s="15" t="e">
        <f t="shared" si="106"/>
        <v>#N/A</v>
      </c>
      <c r="U709" s="18" t="e">
        <f t="shared" si="107"/>
        <v>#N/A</v>
      </c>
      <c r="V709" s="14" t="e">
        <f t="shared" si="108"/>
        <v>#N/A</v>
      </c>
      <c r="W709" s="19" t="e">
        <f t="shared" si="109"/>
        <v>#N/A</v>
      </c>
      <c r="X709" t="e">
        <f>VLOOKUP(P709,Close[[ID]:[CreatedBy]],8,0)</f>
        <v>#N/A</v>
      </c>
    </row>
    <row r="710" spans="2:24" x14ac:dyDescent="0.35">
      <c r="B710" t="str">
        <f>IF(NOT(ISBLANK(A710)),VLOOKUP(A710,'BBT3'!A:F,2,0),"")</f>
        <v/>
      </c>
      <c r="C710" t="str">
        <f>IF(NOT(ISBLANK(A710)),VLOOKUP(A710,'BBT3'!A:F,3,0),"")</f>
        <v/>
      </c>
      <c r="D710" s="5" t="str">
        <f>IF(NOT(ISBLANK(A710)),VLOOKUP(A710,'BBT3'!A:F,4,1),"")</f>
        <v/>
      </c>
      <c r="E710" t="str">
        <f>IF(NOT(ISBLANK(A710)),VLOOKUP(A710,'BBT3'!A:F,5,0),"")</f>
        <v/>
      </c>
      <c r="F710" t="str">
        <f>IF(NOT(ISBLANK(A710)),VLOOKUP(A710,'BBT3'!A:F,6,0),"")</f>
        <v/>
      </c>
      <c r="G710" t="str">
        <f t="shared" si="110"/>
        <v/>
      </c>
      <c r="H710" t="str">
        <f>IF(NOT(ISBLANK(A710)),VLOOKUP(A710,'Close - PriceSaver'!A:J,5,0),"")</f>
        <v/>
      </c>
      <c r="I710" s="4" t="str" cm="1">
        <f t="array" ref="I710">IF(NOT(ISBLANK(A710)),((_xlfn.XLOOKUP(1,(_bbt3[[#All],[ID]]=A710)*(_bbt3[[#All],[METRIC_NAME]]="YLD_YTM_ASK"),_bbt3[[#All],[METRIC_VALUE]])*0.5)+(_xlfn.XLOOKUP(1,(_bbt3[[#All],[ID]]=A710)*(_bbt3[[#All],[METRIC_NAME]]="YLD_YTM_BID"),_bbt3[[#All],[METRIC_VALUE]])*0.5))/100,"")</f>
        <v/>
      </c>
      <c r="J710">
        <f>IF(ISNA(VLOOKUP(A710,'CloseDL - PriceSaverBBT3'!A:E,5,0)),0,VLOOKUP(A710,'CloseDL - PriceSaverBBT3'!A:E,5,0))</f>
        <v>0</v>
      </c>
      <c r="K710" s="7" t="str">
        <f t="shared" si="111"/>
        <v/>
      </c>
      <c r="L710" s="20">
        <f>IF(Close[[#This Row],[CreatedBy]]="MARINER\SilverAdm",1,0)</f>
        <v>1</v>
      </c>
      <c r="M710" t="str">
        <f>IF(NOT(ISBLANK(A710)),VLOOKUP(A710,'Close - PriceSaver'!A:J,6,0),"")</f>
        <v/>
      </c>
      <c r="Q710" t="e">
        <f t="shared" si="103"/>
        <v>#N/A</v>
      </c>
      <c r="R710" t="e">
        <f t="shared" si="104"/>
        <v>#N/A</v>
      </c>
      <c r="S710" t="e">
        <f t="shared" si="105"/>
        <v>#N/A</v>
      </c>
      <c r="T710" s="15" t="e">
        <f t="shared" si="106"/>
        <v>#N/A</v>
      </c>
      <c r="U710" s="18" t="e">
        <f t="shared" si="107"/>
        <v>#N/A</v>
      </c>
      <c r="V710" s="14" t="e">
        <f t="shared" si="108"/>
        <v>#N/A</v>
      </c>
      <c r="W710" s="19" t="e">
        <f t="shared" si="109"/>
        <v>#N/A</v>
      </c>
      <c r="X710" t="e">
        <f>VLOOKUP(P710,Close[[ID]:[CreatedBy]],8,0)</f>
        <v>#N/A</v>
      </c>
    </row>
    <row r="711" spans="2:24" x14ac:dyDescent="0.35">
      <c r="B711" t="str">
        <f>IF(NOT(ISBLANK(A711)),VLOOKUP(A711,'BBT3'!A:F,2,0),"")</f>
        <v/>
      </c>
      <c r="C711" t="str">
        <f>IF(NOT(ISBLANK(A711)),VLOOKUP(A711,'BBT3'!A:F,3,0),"")</f>
        <v/>
      </c>
      <c r="D711" s="5" t="str">
        <f>IF(NOT(ISBLANK(A711)),VLOOKUP(A711,'BBT3'!A:F,4,1),"")</f>
        <v/>
      </c>
      <c r="E711" t="str">
        <f>IF(NOT(ISBLANK(A711)),VLOOKUP(A711,'BBT3'!A:F,5,0),"")</f>
        <v/>
      </c>
      <c r="F711" t="str">
        <f>IF(NOT(ISBLANK(A711)),VLOOKUP(A711,'BBT3'!A:F,6,0),"")</f>
        <v/>
      </c>
      <c r="G711" t="str">
        <f t="shared" si="110"/>
        <v/>
      </c>
      <c r="H711" t="str">
        <f>IF(NOT(ISBLANK(A711)),VLOOKUP(A711,'Close - PriceSaver'!A:J,5,0),"")</f>
        <v/>
      </c>
      <c r="I711" s="4" t="str" cm="1">
        <f t="array" ref="I711">IF(NOT(ISBLANK(A711)),((_xlfn.XLOOKUP(1,(_bbt3[[#All],[ID]]=A711)*(_bbt3[[#All],[METRIC_NAME]]="YLD_YTM_ASK"),_bbt3[[#All],[METRIC_VALUE]])*0.5)+(_xlfn.XLOOKUP(1,(_bbt3[[#All],[ID]]=A711)*(_bbt3[[#All],[METRIC_NAME]]="YLD_YTM_BID"),_bbt3[[#All],[METRIC_VALUE]])*0.5))/100,"")</f>
        <v/>
      </c>
      <c r="J711">
        <f>IF(ISNA(VLOOKUP(A711,'CloseDL - PriceSaverBBT3'!A:E,5,0)),0,VLOOKUP(A711,'CloseDL - PriceSaverBBT3'!A:E,5,0))</f>
        <v>0</v>
      </c>
      <c r="K711" s="7" t="str">
        <f t="shared" si="111"/>
        <v/>
      </c>
      <c r="L711" s="20">
        <f>IF(Close[[#This Row],[CreatedBy]]="MARINER\SilverAdm",1,0)</f>
        <v>1</v>
      </c>
      <c r="M711" t="str">
        <f>IF(NOT(ISBLANK(A711)),VLOOKUP(A711,'Close - PriceSaver'!A:J,6,0),"")</f>
        <v/>
      </c>
      <c r="Q711" t="e">
        <f t="shared" si="103"/>
        <v>#N/A</v>
      </c>
      <c r="R711" t="e">
        <f t="shared" si="104"/>
        <v>#N/A</v>
      </c>
      <c r="S711" t="e">
        <f t="shared" si="105"/>
        <v>#N/A</v>
      </c>
      <c r="T711" s="15" t="e">
        <f t="shared" si="106"/>
        <v>#N/A</v>
      </c>
      <c r="U711" s="18" t="e">
        <f t="shared" si="107"/>
        <v>#N/A</v>
      </c>
      <c r="V711" s="14" t="e">
        <f t="shared" si="108"/>
        <v>#N/A</v>
      </c>
      <c r="W711" s="19" t="e">
        <f t="shared" si="109"/>
        <v>#N/A</v>
      </c>
      <c r="X711" t="e">
        <f>VLOOKUP(P711,Close[[ID]:[CreatedBy]],8,0)</f>
        <v>#N/A</v>
      </c>
    </row>
    <row r="712" spans="2:24" x14ac:dyDescent="0.35">
      <c r="B712" t="str">
        <f>IF(NOT(ISBLANK(A712)),VLOOKUP(A712,'BBT3'!A:F,2,0),"")</f>
        <v/>
      </c>
      <c r="C712" t="str">
        <f>IF(NOT(ISBLANK(A712)),VLOOKUP(A712,'BBT3'!A:F,3,0),"")</f>
        <v/>
      </c>
      <c r="D712" s="5" t="str">
        <f>IF(NOT(ISBLANK(A712)),VLOOKUP(A712,'BBT3'!A:F,4,1),"")</f>
        <v/>
      </c>
      <c r="E712" t="str">
        <f>IF(NOT(ISBLANK(A712)),VLOOKUP(A712,'BBT3'!A:F,5,0),"")</f>
        <v/>
      </c>
      <c r="F712" t="str">
        <f>IF(NOT(ISBLANK(A712)),VLOOKUP(A712,'BBT3'!A:F,6,0),"")</f>
        <v/>
      </c>
      <c r="G712" t="str">
        <f t="shared" si="110"/>
        <v/>
      </c>
      <c r="H712" t="str">
        <f>IF(NOT(ISBLANK(A712)),VLOOKUP(A712,'Close - PriceSaver'!A:J,5,0),"")</f>
        <v/>
      </c>
      <c r="I712" s="4" t="str" cm="1">
        <f t="array" ref="I712">IF(NOT(ISBLANK(A712)),((_xlfn.XLOOKUP(1,(_bbt3[[#All],[ID]]=A712)*(_bbt3[[#All],[METRIC_NAME]]="YLD_YTM_ASK"),_bbt3[[#All],[METRIC_VALUE]])*0.5)+(_xlfn.XLOOKUP(1,(_bbt3[[#All],[ID]]=A712)*(_bbt3[[#All],[METRIC_NAME]]="YLD_YTM_BID"),_bbt3[[#All],[METRIC_VALUE]])*0.5))/100,"")</f>
        <v/>
      </c>
      <c r="J712">
        <f>IF(ISNA(VLOOKUP(A712,'CloseDL - PriceSaverBBT3'!A:E,5,0)),0,VLOOKUP(A712,'CloseDL - PriceSaverBBT3'!A:E,5,0))</f>
        <v>0</v>
      </c>
      <c r="K712" s="7" t="str">
        <f t="shared" si="111"/>
        <v/>
      </c>
      <c r="L712" s="20">
        <f>IF(Close[[#This Row],[CreatedBy]]="MARINER\SilverAdm",1,0)</f>
        <v>1</v>
      </c>
      <c r="M712" t="str">
        <f>IF(NOT(ISBLANK(A712)),VLOOKUP(A712,'Close - PriceSaver'!A:J,6,0),"")</f>
        <v/>
      </c>
      <c r="Q712" t="e">
        <f t="shared" si="103"/>
        <v>#N/A</v>
      </c>
      <c r="R712" t="e">
        <f t="shared" si="104"/>
        <v>#N/A</v>
      </c>
      <c r="S712" t="e">
        <f t="shared" si="105"/>
        <v>#N/A</v>
      </c>
      <c r="T712" s="15" t="e">
        <f t="shared" si="106"/>
        <v>#N/A</v>
      </c>
      <c r="U712" s="18" t="e">
        <f t="shared" si="107"/>
        <v>#N/A</v>
      </c>
      <c r="V712" s="14" t="e">
        <f t="shared" si="108"/>
        <v>#N/A</v>
      </c>
      <c r="W712" s="19" t="e">
        <f t="shared" si="109"/>
        <v>#N/A</v>
      </c>
      <c r="X712" t="e">
        <f>VLOOKUP(P712,Close[[ID]:[CreatedBy]],8,0)</f>
        <v>#N/A</v>
      </c>
    </row>
    <row r="713" spans="2:24" x14ac:dyDescent="0.35">
      <c r="B713" t="str">
        <f>IF(NOT(ISBLANK(A713)),VLOOKUP(A713,'BBT3'!A:F,2,0),"")</f>
        <v/>
      </c>
      <c r="C713" t="str">
        <f>IF(NOT(ISBLANK(A713)),VLOOKUP(A713,'BBT3'!A:F,3,0),"")</f>
        <v/>
      </c>
      <c r="D713" s="5" t="str">
        <f>IF(NOT(ISBLANK(A713)),VLOOKUP(A713,'BBT3'!A:F,4,1),"")</f>
        <v/>
      </c>
      <c r="E713" t="str">
        <f>IF(NOT(ISBLANK(A713)),VLOOKUP(A713,'BBT3'!A:F,5,0),"")</f>
        <v/>
      </c>
      <c r="F713" t="str">
        <f>IF(NOT(ISBLANK(A713)),VLOOKUP(A713,'BBT3'!A:F,6,0),"")</f>
        <v/>
      </c>
      <c r="G713" t="str">
        <f t="shared" si="110"/>
        <v/>
      </c>
      <c r="H713" t="str">
        <f>IF(NOT(ISBLANK(A713)),VLOOKUP(A713,'Close - PriceSaver'!A:J,5,0),"")</f>
        <v/>
      </c>
      <c r="I713" s="4" t="str" cm="1">
        <f t="array" ref="I713">IF(NOT(ISBLANK(A713)),((_xlfn.XLOOKUP(1,(_bbt3[[#All],[ID]]=A713)*(_bbt3[[#All],[METRIC_NAME]]="YLD_YTM_ASK"),_bbt3[[#All],[METRIC_VALUE]])*0.5)+(_xlfn.XLOOKUP(1,(_bbt3[[#All],[ID]]=A713)*(_bbt3[[#All],[METRIC_NAME]]="YLD_YTM_BID"),_bbt3[[#All],[METRIC_VALUE]])*0.5))/100,"")</f>
        <v/>
      </c>
      <c r="J713">
        <f>IF(ISNA(VLOOKUP(A713,'CloseDL - PriceSaverBBT3'!A:E,5,0)),0,VLOOKUP(A713,'CloseDL - PriceSaverBBT3'!A:E,5,0))</f>
        <v>0</v>
      </c>
      <c r="K713" s="7" t="str">
        <f t="shared" si="111"/>
        <v/>
      </c>
      <c r="L713" s="20">
        <f>IF(Close[[#This Row],[CreatedBy]]="MARINER\SilverAdm",1,0)</f>
        <v>1</v>
      </c>
      <c r="M713" t="str">
        <f>IF(NOT(ISBLANK(A713)),VLOOKUP(A713,'Close - PriceSaver'!A:J,6,0),"")</f>
        <v/>
      </c>
      <c r="Q713" t="e">
        <f t="shared" si="103"/>
        <v>#N/A</v>
      </c>
      <c r="R713" t="e">
        <f t="shared" si="104"/>
        <v>#N/A</v>
      </c>
      <c r="S713" t="e">
        <f t="shared" si="105"/>
        <v>#N/A</v>
      </c>
      <c r="T713" s="15" t="e">
        <f t="shared" si="106"/>
        <v>#N/A</v>
      </c>
      <c r="U713" s="18" t="e">
        <f t="shared" si="107"/>
        <v>#N/A</v>
      </c>
      <c r="V713" s="14" t="e">
        <f t="shared" si="108"/>
        <v>#N/A</v>
      </c>
      <c r="W713" s="19" t="e">
        <f t="shared" si="109"/>
        <v>#N/A</v>
      </c>
      <c r="X713" t="e">
        <f>VLOOKUP(P713,Close[[ID]:[CreatedBy]],8,0)</f>
        <v>#N/A</v>
      </c>
    </row>
    <row r="714" spans="2:24" x14ac:dyDescent="0.35">
      <c r="B714" t="str">
        <f>IF(NOT(ISBLANK(A714)),VLOOKUP(A714,'BBT3'!A:F,2,0),"")</f>
        <v/>
      </c>
      <c r="C714" t="str">
        <f>IF(NOT(ISBLANK(A714)),VLOOKUP(A714,'BBT3'!A:F,3,0),"")</f>
        <v/>
      </c>
      <c r="D714" s="5" t="str">
        <f>IF(NOT(ISBLANK(A714)),VLOOKUP(A714,'BBT3'!A:F,4,1),"")</f>
        <v/>
      </c>
      <c r="E714" t="str">
        <f>IF(NOT(ISBLANK(A714)),VLOOKUP(A714,'BBT3'!A:F,5,0),"")</f>
        <v/>
      </c>
      <c r="F714" t="str">
        <f>IF(NOT(ISBLANK(A714)),VLOOKUP(A714,'BBT3'!A:F,6,0),"")</f>
        <v/>
      </c>
      <c r="G714" t="str">
        <f t="shared" si="110"/>
        <v/>
      </c>
      <c r="H714" t="str">
        <f>IF(NOT(ISBLANK(A714)),VLOOKUP(A714,'Close - PriceSaver'!A:J,5,0),"")</f>
        <v/>
      </c>
      <c r="I714" s="4" t="str" cm="1">
        <f t="array" ref="I714">IF(NOT(ISBLANK(A714)),((_xlfn.XLOOKUP(1,(_bbt3[[#All],[ID]]=A714)*(_bbt3[[#All],[METRIC_NAME]]="YLD_YTM_ASK"),_bbt3[[#All],[METRIC_VALUE]])*0.5)+(_xlfn.XLOOKUP(1,(_bbt3[[#All],[ID]]=A714)*(_bbt3[[#All],[METRIC_NAME]]="YLD_YTM_BID"),_bbt3[[#All],[METRIC_VALUE]])*0.5))/100,"")</f>
        <v/>
      </c>
      <c r="J714">
        <f>IF(ISNA(VLOOKUP(A714,'CloseDL - PriceSaverBBT3'!A:E,5,0)),0,VLOOKUP(A714,'CloseDL - PriceSaverBBT3'!A:E,5,0))</f>
        <v>0</v>
      </c>
      <c r="K714" s="7" t="str">
        <f t="shared" si="111"/>
        <v/>
      </c>
      <c r="L714" s="20">
        <f>IF(Close[[#This Row],[CreatedBy]]="MARINER\SilverAdm",1,0)</f>
        <v>1</v>
      </c>
      <c r="M714" t="str">
        <f>IF(NOT(ISBLANK(A714)),VLOOKUP(A714,'Close - PriceSaver'!A:J,6,0),"")</f>
        <v/>
      </c>
      <c r="Q714" t="e">
        <f t="shared" si="103"/>
        <v>#N/A</v>
      </c>
      <c r="R714" t="e">
        <f t="shared" si="104"/>
        <v>#N/A</v>
      </c>
      <c r="S714" t="e">
        <f t="shared" si="105"/>
        <v>#N/A</v>
      </c>
      <c r="T714" s="15" t="e">
        <f t="shared" si="106"/>
        <v>#N/A</v>
      </c>
      <c r="U714" s="18" t="e">
        <f t="shared" si="107"/>
        <v>#N/A</v>
      </c>
      <c r="V714" s="14" t="e">
        <f t="shared" si="108"/>
        <v>#N/A</v>
      </c>
      <c r="W714" s="19" t="e">
        <f t="shared" si="109"/>
        <v>#N/A</v>
      </c>
      <c r="X714" t="e">
        <f>VLOOKUP(P714,Close[[ID]:[CreatedBy]],8,0)</f>
        <v>#N/A</v>
      </c>
    </row>
    <row r="715" spans="2:24" x14ac:dyDescent="0.35">
      <c r="B715" t="str">
        <f>IF(NOT(ISBLANK(A715)),VLOOKUP(A715,'BBT3'!A:F,2,0),"")</f>
        <v/>
      </c>
      <c r="C715" t="str">
        <f>IF(NOT(ISBLANK(A715)),VLOOKUP(A715,'BBT3'!A:F,3,0),"")</f>
        <v/>
      </c>
      <c r="D715" s="5" t="str">
        <f>IF(NOT(ISBLANK(A715)),VLOOKUP(A715,'BBT3'!A:F,4,1),"")</f>
        <v/>
      </c>
      <c r="E715" t="str">
        <f>IF(NOT(ISBLANK(A715)),VLOOKUP(A715,'BBT3'!A:F,5,0),"")</f>
        <v/>
      </c>
      <c r="F715" t="str">
        <f>IF(NOT(ISBLANK(A715)),VLOOKUP(A715,'BBT3'!A:F,6,0),"")</f>
        <v/>
      </c>
      <c r="G715" t="str">
        <f t="shared" si="110"/>
        <v/>
      </c>
      <c r="H715" t="str">
        <f>IF(NOT(ISBLANK(A715)),VLOOKUP(A715,'Close - PriceSaver'!A:J,5,0),"")</f>
        <v/>
      </c>
      <c r="I715" s="4" t="str" cm="1">
        <f t="array" ref="I715">IF(NOT(ISBLANK(A715)),((_xlfn.XLOOKUP(1,(_bbt3[[#All],[ID]]=A715)*(_bbt3[[#All],[METRIC_NAME]]="YLD_YTM_ASK"),_bbt3[[#All],[METRIC_VALUE]])*0.5)+(_xlfn.XLOOKUP(1,(_bbt3[[#All],[ID]]=A715)*(_bbt3[[#All],[METRIC_NAME]]="YLD_YTM_BID"),_bbt3[[#All],[METRIC_VALUE]])*0.5))/100,"")</f>
        <v/>
      </c>
      <c r="J715">
        <f>IF(ISNA(VLOOKUP(A715,'CloseDL - PriceSaverBBT3'!A:E,5,0)),0,VLOOKUP(A715,'CloseDL - PriceSaverBBT3'!A:E,5,0))</f>
        <v>0</v>
      </c>
      <c r="K715" s="7" t="str">
        <f t="shared" si="111"/>
        <v/>
      </c>
      <c r="L715" s="20">
        <f>IF(Close[[#This Row],[CreatedBy]]="MARINER\SilverAdm",1,0)</f>
        <v>1</v>
      </c>
      <c r="M715" t="str">
        <f>IF(NOT(ISBLANK(A715)),VLOOKUP(A715,'Close - PriceSaver'!A:J,6,0),"")</f>
        <v/>
      </c>
      <c r="Q715" t="e">
        <f t="shared" ref="Q715:Q778" si="112">VLOOKUP(P715,A:C,3,0)</f>
        <v>#N/A</v>
      </c>
      <c r="R715" t="e">
        <f t="shared" si="104"/>
        <v>#N/A</v>
      </c>
      <c r="S715" t="e">
        <f t="shared" si="105"/>
        <v>#N/A</v>
      </c>
      <c r="T715" s="15" t="e">
        <f t="shared" si="106"/>
        <v>#N/A</v>
      </c>
      <c r="U715" s="18" t="e">
        <f t="shared" si="107"/>
        <v>#N/A</v>
      </c>
      <c r="V715" s="14" t="e">
        <f t="shared" si="108"/>
        <v>#N/A</v>
      </c>
      <c r="W715" s="19" t="e">
        <f t="shared" si="109"/>
        <v>#N/A</v>
      </c>
      <c r="X715" t="e">
        <f>VLOOKUP(P715,Close[[ID]:[CreatedBy]],8,0)</f>
        <v>#N/A</v>
      </c>
    </row>
    <row r="716" spans="2:24" x14ac:dyDescent="0.35">
      <c r="B716" t="str">
        <f>IF(NOT(ISBLANK(A716)),VLOOKUP(A716,'BBT3'!A:F,2,0),"")</f>
        <v/>
      </c>
      <c r="C716" t="str">
        <f>IF(NOT(ISBLANK(A716)),VLOOKUP(A716,'BBT3'!A:F,3,0),"")</f>
        <v/>
      </c>
      <c r="D716" s="5" t="str">
        <f>IF(NOT(ISBLANK(A716)),VLOOKUP(A716,'BBT3'!A:F,4,1),"")</f>
        <v/>
      </c>
      <c r="E716" t="str">
        <f>IF(NOT(ISBLANK(A716)),VLOOKUP(A716,'BBT3'!A:F,5,0),"")</f>
        <v/>
      </c>
      <c r="F716" t="str">
        <f>IF(NOT(ISBLANK(A716)),VLOOKUP(A716,'BBT3'!A:F,6,0),"")</f>
        <v/>
      </c>
      <c r="G716" t="str">
        <f t="shared" si="110"/>
        <v/>
      </c>
      <c r="H716" t="str">
        <f>IF(NOT(ISBLANK(A716)),VLOOKUP(A716,'Close - PriceSaver'!A:J,5,0),"")</f>
        <v/>
      </c>
      <c r="I716" s="4" t="str" cm="1">
        <f t="array" ref="I716">IF(NOT(ISBLANK(A716)),((_xlfn.XLOOKUP(1,(_bbt3[[#All],[ID]]=A716)*(_bbt3[[#All],[METRIC_NAME]]="YLD_YTM_ASK"),_bbt3[[#All],[METRIC_VALUE]])*0.5)+(_xlfn.XLOOKUP(1,(_bbt3[[#All],[ID]]=A716)*(_bbt3[[#All],[METRIC_NAME]]="YLD_YTM_BID"),_bbt3[[#All],[METRIC_VALUE]])*0.5))/100,"")</f>
        <v/>
      </c>
      <c r="J716">
        <f>IF(ISNA(VLOOKUP(A716,'CloseDL - PriceSaverBBT3'!A:E,5,0)),0,VLOOKUP(A716,'CloseDL - PriceSaverBBT3'!A:E,5,0))</f>
        <v>0</v>
      </c>
      <c r="K716" s="7" t="str">
        <f t="shared" si="111"/>
        <v/>
      </c>
      <c r="L716" s="20">
        <f>IF(Close[[#This Row],[CreatedBy]]="MARINER\SilverAdm",1,0)</f>
        <v>1</v>
      </c>
      <c r="M716" t="str">
        <f>IF(NOT(ISBLANK(A716)),VLOOKUP(A716,'Close - PriceSaver'!A:J,6,0),"")</f>
        <v/>
      </c>
      <c r="Q716" t="e">
        <f t="shared" si="112"/>
        <v>#N/A</v>
      </c>
      <c r="R716" t="e">
        <f t="shared" si="104"/>
        <v>#N/A</v>
      </c>
      <c r="S716" t="e">
        <f t="shared" si="105"/>
        <v>#N/A</v>
      </c>
      <c r="T716" s="15" t="e">
        <f t="shared" si="106"/>
        <v>#N/A</v>
      </c>
      <c r="U716" s="18" t="e">
        <f t="shared" si="107"/>
        <v>#N/A</v>
      </c>
      <c r="V716" s="14" t="e">
        <f t="shared" si="108"/>
        <v>#N/A</v>
      </c>
      <c r="W716" s="19" t="e">
        <f t="shared" si="109"/>
        <v>#N/A</v>
      </c>
      <c r="X716" t="e">
        <f>VLOOKUP(P716,Close[[ID]:[CreatedBy]],8,0)</f>
        <v>#N/A</v>
      </c>
    </row>
    <row r="717" spans="2:24" x14ac:dyDescent="0.35">
      <c r="B717" t="str">
        <f>IF(NOT(ISBLANK(A717)),VLOOKUP(A717,'BBT3'!A:F,2,0),"")</f>
        <v/>
      </c>
      <c r="C717" t="str">
        <f>IF(NOT(ISBLANK(A717)),VLOOKUP(A717,'BBT3'!A:F,3,0),"")</f>
        <v/>
      </c>
      <c r="D717" s="5" t="str">
        <f>IF(NOT(ISBLANK(A717)),VLOOKUP(A717,'BBT3'!A:F,4,1),"")</f>
        <v/>
      </c>
      <c r="E717" t="str">
        <f>IF(NOT(ISBLANK(A717)),VLOOKUP(A717,'BBT3'!A:F,5,0),"")</f>
        <v/>
      </c>
      <c r="F717" t="str">
        <f>IF(NOT(ISBLANK(A717)),VLOOKUP(A717,'BBT3'!A:F,6,0),"")</f>
        <v/>
      </c>
      <c r="G717" t="str">
        <f t="shared" si="110"/>
        <v/>
      </c>
      <c r="H717" t="str">
        <f>IF(NOT(ISBLANK(A717)),VLOOKUP(A717,'Close - PriceSaver'!A:J,5,0),"")</f>
        <v/>
      </c>
      <c r="I717" s="4" t="str" cm="1">
        <f t="array" ref="I717">IF(NOT(ISBLANK(A717)),((_xlfn.XLOOKUP(1,(_bbt3[[#All],[ID]]=A717)*(_bbt3[[#All],[METRIC_NAME]]="YLD_YTM_ASK"),_bbt3[[#All],[METRIC_VALUE]])*0.5)+(_xlfn.XLOOKUP(1,(_bbt3[[#All],[ID]]=A717)*(_bbt3[[#All],[METRIC_NAME]]="YLD_YTM_BID"),_bbt3[[#All],[METRIC_VALUE]])*0.5))/100,"")</f>
        <v/>
      </c>
      <c r="J717">
        <f>IF(ISNA(VLOOKUP(A717,'CloseDL - PriceSaverBBT3'!A:E,5,0)),0,VLOOKUP(A717,'CloseDL - PriceSaverBBT3'!A:E,5,0))</f>
        <v>0</v>
      </c>
      <c r="K717" s="7" t="str">
        <f t="shared" si="111"/>
        <v/>
      </c>
      <c r="L717" s="20">
        <f>IF(Close[[#This Row],[CreatedBy]]="MARINER\SilverAdm",1,0)</f>
        <v>1</v>
      </c>
      <c r="M717" t="str">
        <f>IF(NOT(ISBLANK(A717)),VLOOKUP(A717,'Close - PriceSaver'!A:J,6,0),"")</f>
        <v/>
      </c>
      <c r="Q717" t="e">
        <f t="shared" si="112"/>
        <v>#N/A</v>
      </c>
      <c r="R717" t="e">
        <f t="shared" ref="R717:R780" si="113">VLOOKUP(P717,A:B,2,0)</f>
        <v>#N/A</v>
      </c>
      <c r="S717" t="e">
        <f t="shared" ref="S717:S780" si="114">VLOOKUP(P717,A:E,4,0)</f>
        <v>#N/A</v>
      </c>
      <c r="T717" s="15" t="e">
        <f t="shared" si="106"/>
        <v>#N/A</v>
      </c>
      <c r="U717" s="18" t="e">
        <f t="shared" si="107"/>
        <v>#N/A</v>
      </c>
      <c r="V717" s="14" t="e">
        <f t="shared" si="108"/>
        <v>#N/A</v>
      </c>
      <c r="W717" s="19" t="e">
        <f t="shared" si="109"/>
        <v>#N/A</v>
      </c>
      <c r="X717" t="e">
        <f>VLOOKUP(P717,Close[[ID]:[CreatedBy]],8,0)</f>
        <v>#N/A</v>
      </c>
    </row>
    <row r="718" spans="2:24" x14ac:dyDescent="0.35">
      <c r="B718" t="str">
        <f>IF(NOT(ISBLANK(A718)),VLOOKUP(A718,'BBT3'!A:F,2,0),"")</f>
        <v/>
      </c>
      <c r="C718" t="str">
        <f>IF(NOT(ISBLANK(A718)),VLOOKUP(A718,'BBT3'!A:F,3,0),"")</f>
        <v/>
      </c>
      <c r="D718" s="5" t="str">
        <f>IF(NOT(ISBLANK(A718)),VLOOKUP(A718,'BBT3'!A:F,4,1),"")</f>
        <v/>
      </c>
      <c r="E718" t="str">
        <f>IF(NOT(ISBLANK(A718)),VLOOKUP(A718,'BBT3'!A:F,5,0),"")</f>
        <v/>
      </c>
      <c r="F718" t="str">
        <f>IF(NOT(ISBLANK(A718)),VLOOKUP(A718,'BBT3'!A:F,6,0),"")</f>
        <v/>
      </c>
      <c r="G718" t="str">
        <f t="shared" si="110"/>
        <v/>
      </c>
      <c r="H718" t="str">
        <f>IF(NOT(ISBLANK(A718)),VLOOKUP(A718,'Close - PriceSaver'!A:J,5,0),"")</f>
        <v/>
      </c>
      <c r="I718" s="4" t="str" cm="1">
        <f t="array" ref="I718">IF(NOT(ISBLANK(A718)),((_xlfn.XLOOKUP(1,(_bbt3[[#All],[ID]]=A718)*(_bbt3[[#All],[METRIC_NAME]]="YLD_YTM_ASK"),_bbt3[[#All],[METRIC_VALUE]])*0.5)+(_xlfn.XLOOKUP(1,(_bbt3[[#All],[ID]]=A718)*(_bbt3[[#All],[METRIC_NAME]]="YLD_YTM_BID"),_bbt3[[#All],[METRIC_VALUE]])*0.5))/100,"")</f>
        <v/>
      </c>
      <c r="J718">
        <f>IF(ISNA(VLOOKUP(A718,'CloseDL - PriceSaverBBT3'!A:E,5,0)),0,VLOOKUP(A718,'CloseDL - PriceSaverBBT3'!A:E,5,0))</f>
        <v>0</v>
      </c>
      <c r="K718" s="7" t="str">
        <f t="shared" si="111"/>
        <v/>
      </c>
      <c r="L718" s="20">
        <f>IF(Close[[#This Row],[CreatedBy]]="MARINER\SilverAdm",1,0)</f>
        <v>1</v>
      </c>
      <c r="M718" t="str">
        <f>IF(NOT(ISBLANK(A718)),VLOOKUP(A718,'Close - PriceSaver'!A:J,6,0),"")</f>
        <v/>
      </c>
      <c r="Q718" t="e">
        <f t="shared" si="112"/>
        <v>#N/A</v>
      </c>
      <c r="R718" t="e">
        <f t="shared" si="113"/>
        <v>#N/A</v>
      </c>
      <c r="S718" t="e">
        <f t="shared" si="114"/>
        <v>#N/A</v>
      </c>
      <c r="T718" s="15" t="e">
        <f t="shared" si="106"/>
        <v>#N/A</v>
      </c>
      <c r="U718" s="18" t="e">
        <f t="shared" si="107"/>
        <v>#N/A</v>
      </c>
      <c r="V718" s="14" t="e">
        <f t="shared" ref="V718:V781" si="115">VLOOKUP(Q718,A:K,10,0)</f>
        <v>#N/A</v>
      </c>
      <c r="W718" s="19" t="e">
        <f t="shared" si="109"/>
        <v>#N/A</v>
      </c>
      <c r="X718" t="e">
        <f>VLOOKUP(P718,Close[[ID]:[CreatedBy]],8,0)</f>
        <v>#N/A</v>
      </c>
    </row>
    <row r="719" spans="2:24" x14ac:dyDescent="0.35">
      <c r="B719" t="str">
        <f>IF(NOT(ISBLANK(A719)),VLOOKUP(A719,'BBT3'!A:F,2,0),"")</f>
        <v/>
      </c>
      <c r="C719" t="str">
        <f>IF(NOT(ISBLANK(A719)),VLOOKUP(A719,'BBT3'!A:F,3,0),"")</f>
        <v/>
      </c>
      <c r="D719" s="5" t="str">
        <f>IF(NOT(ISBLANK(A719)),VLOOKUP(A719,'BBT3'!A:F,4,1),"")</f>
        <v/>
      </c>
      <c r="E719" t="str">
        <f>IF(NOT(ISBLANK(A719)),VLOOKUP(A719,'BBT3'!A:F,5,0),"")</f>
        <v/>
      </c>
      <c r="F719" t="str">
        <f>IF(NOT(ISBLANK(A719)),VLOOKUP(A719,'BBT3'!A:F,6,0),"")</f>
        <v/>
      </c>
      <c r="G719" t="str">
        <f t="shared" si="110"/>
        <v/>
      </c>
      <c r="H719" t="str">
        <f>IF(NOT(ISBLANK(A719)),VLOOKUP(A719,'Close - PriceSaver'!A:J,5,0),"")</f>
        <v/>
      </c>
      <c r="I719" s="4" t="str" cm="1">
        <f t="array" ref="I719">IF(NOT(ISBLANK(A719)),((_xlfn.XLOOKUP(1,(_bbt3[[#All],[ID]]=A719)*(_bbt3[[#All],[METRIC_NAME]]="YLD_YTM_ASK"),_bbt3[[#All],[METRIC_VALUE]])*0.5)+(_xlfn.XLOOKUP(1,(_bbt3[[#All],[ID]]=A719)*(_bbt3[[#All],[METRIC_NAME]]="YLD_YTM_BID"),_bbt3[[#All],[METRIC_VALUE]])*0.5))/100,"")</f>
        <v/>
      </c>
      <c r="J719">
        <f>IF(ISNA(VLOOKUP(A719,'CloseDL - PriceSaverBBT3'!A:E,5,0)),0,VLOOKUP(A719,'CloseDL - PriceSaverBBT3'!A:E,5,0))</f>
        <v>0</v>
      </c>
      <c r="K719" s="7" t="str">
        <f t="shared" si="111"/>
        <v/>
      </c>
      <c r="L719" s="20">
        <f>IF(Close[[#This Row],[CreatedBy]]="MARINER\SilverAdm",1,0)</f>
        <v>1</v>
      </c>
      <c r="M719" t="str">
        <f>IF(NOT(ISBLANK(A719)),VLOOKUP(A719,'Close - PriceSaver'!A:J,6,0),"")</f>
        <v/>
      </c>
      <c r="Q719" t="e">
        <f t="shared" si="112"/>
        <v>#N/A</v>
      </c>
      <c r="R719" t="e">
        <f t="shared" si="113"/>
        <v>#N/A</v>
      </c>
      <c r="S719" t="e">
        <f t="shared" si="114"/>
        <v>#N/A</v>
      </c>
      <c r="T719" s="15" t="e">
        <f t="shared" si="106"/>
        <v>#N/A</v>
      </c>
      <c r="U719" s="18" t="e">
        <f t="shared" si="107"/>
        <v>#N/A</v>
      </c>
      <c r="V719" s="14" t="e">
        <f t="shared" si="115"/>
        <v>#N/A</v>
      </c>
      <c r="W719" s="19" t="e">
        <f t="shared" si="109"/>
        <v>#N/A</v>
      </c>
      <c r="X719" t="e">
        <f>VLOOKUP(P719,Close[[ID]:[CreatedBy]],8,0)</f>
        <v>#N/A</v>
      </c>
    </row>
    <row r="720" spans="2:24" x14ac:dyDescent="0.35">
      <c r="B720" t="str">
        <f>IF(NOT(ISBLANK(A720)),VLOOKUP(A720,'BBT3'!A:F,2,0),"")</f>
        <v/>
      </c>
      <c r="C720" t="str">
        <f>IF(NOT(ISBLANK(A720)),VLOOKUP(A720,'BBT3'!A:F,3,0),"")</f>
        <v/>
      </c>
      <c r="D720" s="5" t="str">
        <f>IF(NOT(ISBLANK(A720)),VLOOKUP(A720,'BBT3'!A:F,4,1),"")</f>
        <v/>
      </c>
      <c r="E720" t="str">
        <f>IF(NOT(ISBLANK(A720)),VLOOKUP(A720,'BBT3'!A:F,5,0),"")</f>
        <v/>
      </c>
      <c r="F720" t="str">
        <f>IF(NOT(ISBLANK(A720)),VLOOKUP(A720,'BBT3'!A:F,6,0),"")</f>
        <v/>
      </c>
      <c r="G720" t="str">
        <f t="shared" si="110"/>
        <v/>
      </c>
      <c r="H720" t="str">
        <f>IF(NOT(ISBLANK(A720)),VLOOKUP(A720,'Close - PriceSaver'!A:J,5,0),"")</f>
        <v/>
      </c>
      <c r="I720" s="4" t="str" cm="1">
        <f t="array" ref="I720">IF(NOT(ISBLANK(A720)),((_xlfn.XLOOKUP(1,(_bbt3[[#All],[ID]]=A720)*(_bbt3[[#All],[METRIC_NAME]]="YLD_YTM_ASK"),_bbt3[[#All],[METRIC_VALUE]])*0.5)+(_xlfn.XLOOKUP(1,(_bbt3[[#All],[ID]]=A720)*(_bbt3[[#All],[METRIC_NAME]]="YLD_YTM_BID"),_bbt3[[#All],[METRIC_VALUE]])*0.5))/100,"")</f>
        <v/>
      </c>
      <c r="J720">
        <f>IF(ISNA(VLOOKUP(A720,'CloseDL - PriceSaverBBT3'!A:E,5,0)),0,VLOOKUP(A720,'CloseDL - PriceSaverBBT3'!A:E,5,0))</f>
        <v>0</v>
      </c>
      <c r="K720" s="7" t="str">
        <f t="shared" si="111"/>
        <v/>
      </c>
      <c r="L720" s="20">
        <f>IF(Close[[#This Row],[CreatedBy]]="MARINER\SilverAdm",1,0)</f>
        <v>1</v>
      </c>
      <c r="M720" t="str">
        <f>IF(NOT(ISBLANK(A720)),VLOOKUP(A720,'Close - PriceSaver'!A:J,6,0),"")</f>
        <v/>
      </c>
      <c r="Q720" t="e">
        <f t="shared" si="112"/>
        <v>#N/A</v>
      </c>
      <c r="R720" t="e">
        <f t="shared" si="113"/>
        <v>#N/A</v>
      </c>
      <c r="S720" t="e">
        <f t="shared" si="114"/>
        <v>#N/A</v>
      </c>
      <c r="T720" s="15" t="e">
        <f t="shared" si="106"/>
        <v>#N/A</v>
      </c>
      <c r="U720" s="18" t="e">
        <f t="shared" si="107"/>
        <v>#N/A</v>
      </c>
      <c r="V720" s="14" t="e">
        <f t="shared" si="115"/>
        <v>#N/A</v>
      </c>
      <c r="W720" s="19" t="e">
        <f t="shared" si="109"/>
        <v>#N/A</v>
      </c>
      <c r="X720" t="e">
        <f>VLOOKUP(P720,Close[[ID]:[CreatedBy]],8,0)</f>
        <v>#N/A</v>
      </c>
    </row>
    <row r="721" spans="2:24" x14ac:dyDescent="0.35">
      <c r="B721" t="str">
        <f>IF(NOT(ISBLANK(A721)),VLOOKUP(A721,'BBT3'!A:F,2,0),"")</f>
        <v/>
      </c>
      <c r="C721" t="str">
        <f>IF(NOT(ISBLANK(A721)),VLOOKUP(A721,'BBT3'!A:F,3,0),"")</f>
        <v/>
      </c>
      <c r="D721" s="5" t="str">
        <f>IF(NOT(ISBLANK(A721)),VLOOKUP(A721,'BBT3'!A:F,4,1),"")</f>
        <v/>
      </c>
      <c r="E721" t="str">
        <f>IF(NOT(ISBLANK(A721)),VLOOKUP(A721,'BBT3'!A:F,5,0),"")</f>
        <v/>
      </c>
      <c r="F721" t="str">
        <f>IF(NOT(ISBLANK(A721)),VLOOKUP(A721,'BBT3'!A:F,6,0),"")</f>
        <v/>
      </c>
      <c r="G721" t="str">
        <f t="shared" si="110"/>
        <v/>
      </c>
      <c r="H721" t="str">
        <f>IF(NOT(ISBLANK(A721)),VLOOKUP(A721,'Close - PriceSaver'!A:J,5,0),"")</f>
        <v/>
      </c>
      <c r="I721" s="4" t="str" cm="1">
        <f t="array" ref="I721">IF(NOT(ISBLANK(A721)),((_xlfn.XLOOKUP(1,(_bbt3[[#All],[ID]]=A721)*(_bbt3[[#All],[METRIC_NAME]]="YLD_YTM_ASK"),_bbt3[[#All],[METRIC_VALUE]])*0.5)+(_xlfn.XLOOKUP(1,(_bbt3[[#All],[ID]]=A721)*(_bbt3[[#All],[METRIC_NAME]]="YLD_YTM_BID"),_bbt3[[#All],[METRIC_VALUE]])*0.5))/100,"")</f>
        <v/>
      </c>
      <c r="J721">
        <f>IF(ISNA(VLOOKUP(A721,'CloseDL - PriceSaverBBT3'!A:E,5,0)),0,VLOOKUP(A721,'CloseDL - PriceSaverBBT3'!A:E,5,0))</f>
        <v>0</v>
      </c>
      <c r="K721" s="7" t="str">
        <f t="shared" si="111"/>
        <v/>
      </c>
      <c r="L721" s="20">
        <f>IF(Close[[#This Row],[CreatedBy]]="MARINER\SilverAdm",1,0)</f>
        <v>1</v>
      </c>
      <c r="M721" t="str">
        <f>IF(NOT(ISBLANK(A721)),VLOOKUP(A721,'Close - PriceSaver'!A:J,6,0),"")</f>
        <v/>
      </c>
      <c r="Q721" t="e">
        <f t="shared" si="112"/>
        <v>#N/A</v>
      </c>
      <c r="R721" t="e">
        <f t="shared" si="113"/>
        <v>#N/A</v>
      </c>
      <c r="S721" t="e">
        <f t="shared" si="114"/>
        <v>#N/A</v>
      </c>
      <c r="T721" s="15" t="e">
        <f t="shared" si="106"/>
        <v>#N/A</v>
      </c>
      <c r="U721" s="18" t="e">
        <f t="shared" si="107"/>
        <v>#N/A</v>
      </c>
      <c r="V721" s="14" t="e">
        <f t="shared" si="115"/>
        <v>#N/A</v>
      </c>
      <c r="W721" s="19" t="e">
        <f t="shared" si="109"/>
        <v>#N/A</v>
      </c>
      <c r="X721" t="e">
        <f>VLOOKUP(P721,Close[[ID]:[CreatedBy]],8,0)</f>
        <v>#N/A</v>
      </c>
    </row>
    <row r="722" spans="2:24" x14ac:dyDescent="0.35">
      <c r="B722" t="str">
        <f>IF(NOT(ISBLANK(A722)),VLOOKUP(A722,'BBT3'!A:F,2,0),"")</f>
        <v/>
      </c>
      <c r="C722" t="str">
        <f>IF(NOT(ISBLANK(A722)),VLOOKUP(A722,'BBT3'!A:F,3,0),"")</f>
        <v/>
      </c>
      <c r="D722" s="5" t="str">
        <f>IF(NOT(ISBLANK(A722)),VLOOKUP(A722,'BBT3'!A:F,4,1),"")</f>
        <v/>
      </c>
      <c r="E722" t="str">
        <f>IF(NOT(ISBLANK(A722)),VLOOKUP(A722,'BBT3'!A:F,5,0),"")</f>
        <v/>
      </c>
      <c r="F722" t="str">
        <f>IF(NOT(ISBLANK(A722)),VLOOKUP(A722,'BBT3'!A:F,6,0),"")</f>
        <v/>
      </c>
      <c r="G722" t="str">
        <f t="shared" si="110"/>
        <v/>
      </c>
      <c r="H722" t="str">
        <f>IF(NOT(ISBLANK(A722)),VLOOKUP(A722,'Close - PriceSaver'!A:J,5,0),"")</f>
        <v/>
      </c>
      <c r="I722" s="4" t="str" cm="1">
        <f t="array" ref="I722">IF(NOT(ISBLANK(A722)),((_xlfn.XLOOKUP(1,(_bbt3[[#All],[ID]]=A722)*(_bbt3[[#All],[METRIC_NAME]]="YLD_YTM_ASK"),_bbt3[[#All],[METRIC_VALUE]])*0.5)+(_xlfn.XLOOKUP(1,(_bbt3[[#All],[ID]]=A722)*(_bbt3[[#All],[METRIC_NAME]]="YLD_YTM_BID"),_bbt3[[#All],[METRIC_VALUE]])*0.5))/100,"")</f>
        <v/>
      </c>
      <c r="J722">
        <f>IF(ISNA(VLOOKUP(A722,'CloseDL - PriceSaverBBT3'!A:E,5,0)),0,VLOOKUP(A722,'CloseDL - PriceSaverBBT3'!A:E,5,0))</f>
        <v>0</v>
      </c>
      <c r="K722" s="7" t="str">
        <f t="shared" si="111"/>
        <v/>
      </c>
      <c r="L722" s="20">
        <f>IF(Close[[#This Row],[CreatedBy]]="MARINER\SilverAdm",1,0)</f>
        <v>1</v>
      </c>
      <c r="M722" t="str">
        <f>IF(NOT(ISBLANK(A722)),VLOOKUP(A722,'Close - PriceSaver'!A:J,6,0),"")</f>
        <v/>
      </c>
      <c r="Q722" t="e">
        <f t="shared" si="112"/>
        <v>#N/A</v>
      </c>
      <c r="R722" t="e">
        <f t="shared" si="113"/>
        <v>#N/A</v>
      </c>
      <c r="S722" t="e">
        <f t="shared" si="114"/>
        <v>#N/A</v>
      </c>
      <c r="T722" s="15" t="e">
        <f t="shared" si="106"/>
        <v>#N/A</v>
      </c>
      <c r="U722" s="18" t="e">
        <f t="shared" si="107"/>
        <v>#N/A</v>
      </c>
      <c r="V722" s="14" t="e">
        <f t="shared" si="115"/>
        <v>#N/A</v>
      </c>
      <c r="W722" s="19" t="e">
        <f t="shared" si="109"/>
        <v>#N/A</v>
      </c>
      <c r="X722" t="e">
        <f>VLOOKUP(P722,Close[[ID]:[CreatedBy]],8,0)</f>
        <v>#N/A</v>
      </c>
    </row>
    <row r="723" spans="2:24" x14ac:dyDescent="0.35">
      <c r="B723" t="str">
        <f>IF(NOT(ISBLANK(A723)),VLOOKUP(A723,'BBT3'!A:F,2,0),"")</f>
        <v/>
      </c>
      <c r="C723" t="str">
        <f>IF(NOT(ISBLANK(A723)),VLOOKUP(A723,'BBT3'!A:F,3,0),"")</f>
        <v/>
      </c>
      <c r="D723" s="5" t="str">
        <f>IF(NOT(ISBLANK(A723)),VLOOKUP(A723,'BBT3'!A:F,4,1),"")</f>
        <v/>
      </c>
      <c r="E723" t="str">
        <f>IF(NOT(ISBLANK(A723)),VLOOKUP(A723,'BBT3'!A:F,5,0),"")</f>
        <v/>
      </c>
      <c r="F723" t="str">
        <f>IF(NOT(ISBLANK(A723)),VLOOKUP(A723,'BBT3'!A:F,6,0),"")</f>
        <v/>
      </c>
      <c r="G723" t="str">
        <f t="shared" si="110"/>
        <v/>
      </c>
      <c r="H723" t="str">
        <f>IF(NOT(ISBLANK(A723)),VLOOKUP(A723,'Close - PriceSaver'!A:J,5,0),"")</f>
        <v/>
      </c>
      <c r="I723" s="4" t="str" cm="1">
        <f t="array" ref="I723">IF(NOT(ISBLANK(A723)),((_xlfn.XLOOKUP(1,(_bbt3[[#All],[ID]]=A723)*(_bbt3[[#All],[METRIC_NAME]]="YLD_YTM_ASK"),_bbt3[[#All],[METRIC_VALUE]])*0.5)+(_xlfn.XLOOKUP(1,(_bbt3[[#All],[ID]]=A723)*(_bbt3[[#All],[METRIC_NAME]]="YLD_YTM_BID"),_bbt3[[#All],[METRIC_VALUE]])*0.5))/100,"")</f>
        <v/>
      </c>
      <c r="J723">
        <f>IF(ISNA(VLOOKUP(A723,'CloseDL - PriceSaverBBT3'!A:E,5,0)),0,VLOOKUP(A723,'CloseDL - PriceSaverBBT3'!A:E,5,0))</f>
        <v>0</v>
      </c>
      <c r="K723" s="7" t="str">
        <f t="shared" si="111"/>
        <v/>
      </c>
      <c r="L723" s="20">
        <f>IF(Close[[#This Row],[CreatedBy]]="MARINER\SilverAdm",1,0)</f>
        <v>1</v>
      </c>
      <c r="M723" t="str">
        <f>IF(NOT(ISBLANK(A723)),VLOOKUP(A723,'Close - PriceSaver'!A:J,6,0),"")</f>
        <v/>
      </c>
      <c r="Q723" t="e">
        <f t="shared" si="112"/>
        <v>#N/A</v>
      </c>
      <c r="R723" t="e">
        <f t="shared" si="113"/>
        <v>#N/A</v>
      </c>
      <c r="S723" t="e">
        <f t="shared" si="114"/>
        <v>#N/A</v>
      </c>
      <c r="T723" s="15" t="e">
        <f t="shared" si="106"/>
        <v>#N/A</v>
      </c>
      <c r="U723" s="18" t="e">
        <f t="shared" si="107"/>
        <v>#N/A</v>
      </c>
      <c r="V723" s="14" t="e">
        <f t="shared" si="115"/>
        <v>#N/A</v>
      </c>
      <c r="W723" s="19" t="e">
        <f t="shared" si="109"/>
        <v>#N/A</v>
      </c>
      <c r="X723" t="e">
        <f>VLOOKUP(P723,Close[[ID]:[CreatedBy]],8,0)</f>
        <v>#N/A</v>
      </c>
    </row>
    <row r="724" spans="2:24" x14ac:dyDescent="0.35">
      <c r="B724" t="str">
        <f>IF(NOT(ISBLANK(A724)),VLOOKUP(A724,'BBT3'!A:F,2,0),"")</f>
        <v/>
      </c>
      <c r="C724" t="str">
        <f>IF(NOT(ISBLANK(A724)),VLOOKUP(A724,'BBT3'!A:F,3,0),"")</f>
        <v/>
      </c>
      <c r="D724" s="5" t="str">
        <f>IF(NOT(ISBLANK(A724)),VLOOKUP(A724,'BBT3'!A:F,4,1),"")</f>
        <v/>
      </c>
      <c r="E724" t="str">
        <f>IF(NOT(ISBLANK(A724)),VLOOKUP(A724,'BBT3'!A:F,5,0),"")</f>
        <v/>
      </c>
      <c r="F724" t="str">
        <f>IF(NOT(ISBLANK(A724)),VLOOKUP(A724,'BBT3'!A:F,6,0),"")</f>
        <v/>
      </c>
      <c r="G724" t="str">
        <f t="shared" si="110"/>
        <v/>
      </c>
      <c r="H724" t="str">
        <f>IF(NOT(ISBLANK(A724)),VLOOKUP(A724,'Close - PriceSaver'!A:J,5,0),"")</f>
        <v/>
      </c>
      <c r="I724" s="4" t="str" cm="1">
        <f t="array" ref="I724">IF(NOT(ISBLANK(A724)),((_xlfn.XLOOKUP(1,(_bbt3[[#All],[ID]]=A724)*(_bbt3[[#All],[METRIC_NAME]]="YLD_YTM_ASK"),_bbt3[[#All],[METRIC_VALUE]])*0.5)+(_xlfn.XLOOKUP(1,(_bbt3[[#All],[ID]]=A724)*(_bbt3[[#All],[METRIC_NAME]]="YLD_YTM_BID"),_bbt3[[#All],[METRIC_VALUE]])*0.5))/100,"")</f>
        <v/>
      </c>
      <c r="J724">
        <f>IF(ISNA(VLOOKUP(A724,'CloseDL - PriceSaverBBT3'!A:E,5,0)),0,VLOOKUP(A724,'CloseDL - PriceSaverBBT3'!A:E,5,0))</f>
        <v>0</v>
      </c>
      <c r="K724" s="7" t="str">
        <f t="shared" si="111"/>
        <v/>
      </c>
      <c r="L724" s="20">
        <f>IF(Close[[#This Row],[CreatedBy]]="MARINER\SilverAdm",1,0)</f>
        <v>1</v>
      </c>
      <c r="M724" t="str">
        <f>IF(NOT(ISBLANK(A724)),VLOOKUP(A724,'Close - PriceSaver'!A:J,6,0),"")</f>
        <v/>
      </c>
      <c r="Q724" t="e">
        <f t="shared" si="112"/>
        <v>#N/A</v>
      </c>
      <c r="R724" t="e">
        <f t="shared" si="113"/>
        <v>#N/A</v>
      </c>
      <c r="S724" t="e">
        <f t="shared" si="114"/>
        <v>#N/A</v>
      </c>
      <c r="T724" s="15" t="e">
        <f t="shared" ref="T724:T787" si="116">VLOOKUP(Q724,A:K,5,0)</f>
        <v>#N/A</v>
      </c>
      <c r="U724" s="18" t="e">
        <f t="shared" ref="U724:U787" si="117">VLOOKUP(Q724,A:K,8,0)</f>
        <v>#N/A</v>
      </c>
      <c r="V724" s="14" t="e">
        <f t="shared" si="115"/>
        <v>#N/A</v>
      </c>
      <c r="W724" s="19" t="e">
        <f t="shared" ref="W724:W787" si="118">(V724-U724)*100</f>
        <v>#N/A</v>
      </c>
      <c r="X724" t="e">
        <f>VLOOKUP(P724,Close[[ID]:[CreatedBy]],8,0)</f>
        <v>#N/A</v>
      </c>
    </row>
    <row r="725" spans="2:24" x14ac:dyDescent="0.35">
      <c r="B725" t="str">
        <f>IF(NOT(ISBLANK(A725)),VLOOKUP(A725,'BBT3'!A:F,2,0),"")</f>
        <v/>
      </c>
      <c r="C725" t="str">
        <f>IF(NOT(ISBLANK(A725)),VLOOKUP(A725,'BBT3'!A:F,3,0),"")</f>
        <v/>
      </c>
      <c r="D725" s="5" t="str">
        <f>IF(NOT(ISBLANK(A725)),VLOOKUP(A725,'BBT3'!A:F,4,1),"")</f>
        <v/>
      </c>
      <c r="E725" t="str">
        <f>IF(NOT(ISBLANK(A725)),VLOOKUP(A725,'BBT3'!A:F,5,0),"")</f>
        <v/>
      </c>
      <c r="F725" t="str">
        <f>IF(NOT(ISBLANK(A725)),VLOOKUP(A725,'BBT3'!A:F,6,0),"")</f>
        <v/>
      </c>
      <c r="G725" t="str">
        <f t="shared" si="110"/>
        <v/>
      </c>
      <c r="H725" t="str">
        <f>IF(NOT(ISBLANK(A725)),VLOOKUP(A725,'Close - PriceSaver'!A:J,5,0),"")</f>
        <v/>
      </c>
      <c r="I725" s="4" t="str" cm="1">
        <f t="array" ref="I725">IF(NOT(ISBLANK(A725)),((_xlfn.XLOOKUP(1,(_bbt3[[#All],[ID]]=A725)*(_bbt3[[#All],[METRIC_NAME]]="YLD_YTM_ASK"),_bbt3[[#All],[METRIC_VALUE]])*0.5)+(_xlfn.XLOOKUP(1,(_bbt3[[#All],[ID]]=A725)*(_bbt3[[#All],[METRIC_NAME]]="YLD_YTM_BID"),_bbt3[[#All],[METRIC_VALUE]])*0.5))/100,"")</f>
        <v/>
      </c>
      <c r="J725">
        <f>IF(ISNA(VLOOKUP(A725,'CloseDL - PriceSaverBBT3'!A:E,5,0)),0,VLOOKUP(A725,'CloseDL - PriceSaverBBT3'!A:E,5,0))</f>
        <v>0</v>
      </c>
      <c r="K725" s="7" t="str">
        <f t="shared" si="111"/>
        <v/>
      </c>
      <c r="L725" s="20">
        <f>IF(Close[[#This Row],[CreatedBy]]="MARINER\SilverAdm",1,0)</f>
        <v>1</v>
      </c>
      <c r="M725" t="str">
        <f>IF(NOT(ISBLANK(A725)),VLOOKUP(A725,'Close - PriceSaver'!A:J,6,0),"")</f>
        <v/>
      </c>
      <c r="Q725" t="e">
        <f t="shared" si="112"/>
        <v>#N/A</v>
      </c>
      <c r="R725" t="e">
        <f t="shared" si="113"/>
        <v>#N/A</v>
      </c>
      <c r="S725" t="e">
        <f t="shared" si="114"/>
        <v>#N/A</v>
      </c>
      <c r="T725" s="15" t="e">
        <f t="shared" si="116"/>
        <v>#N/A</v>
      </c>
      <c r="U725" s="18" t="e">
        <f t="shared" si="117"/>
        <v>#N/A</v>
      </c>
      <c r="V725" s="14" t="e">
        <f t="shared" si="115"/>
        <v>#N/A</v>
      </c>
      <c r="W725" s="19" t="e">
        <f t="shared" si="118"/>
        <v>#N/A</v>
      </c>
      <c r="X725" t="e">
        <f>VLOOKUP(P725,Close[[ID]:[CreatedBy]],8,0)</f>
        <v>#N/A</v>
      </c>
    </row>
    <row r="726" spans="2:24" x14ac:dyDescent="0.35">
      <c r="B726" t="str">
        <f>IF(NOT(ISBLANK(A726)),VLOOKUP(A726,'BBT3'!A:F,2,0),"")</f>
        <v/>
      </c>
      <c r="C726" t="str">
        <f>IF(NOT(ISBLANK(A726)),VLOOKUP(A726,'BBT3'!A:F,3,0),"")</f>
        <v/>
      </c>
      <c r="D726" s="5" t="str">
        <f>IF(NOT(ISBLANK(A726)),VLOOKUP(A726,'BBT3'!A:F,4,1),"")</f>
        <v/>
      </c>
      <c r="E726" t="str">
        <f>IF(NOT(ISBLANK(A726)),VLOOKUP(A726,'BBT3'!A:F,5,0),"")</f>
        <v/>
      </c>
      <c r="F726" t="str">
        <f>IF(NOT(ISBLANK(A726)),VLOOKUP(A726,'BBT3'!A:F,6,0),"")</f>
        <v/>
      </c>
      <c r="G726" t="str">
        <f t="shared" si="110"/>
        <v/>
      </c>
      <c r="H726" t="str">
        <f>IF(NOT(ISBLANK(A726)),VLOOKUP(A726,'Close - PriceSaver'!A:J,5,0),"")</f>
        <v/>
      </c>
      <c r="I726" s="4" t="str" cm="1">
        <f t="array" ref="I726">IF(NOT(ISBLANK(A726)),((_xlfn.XLOOKUP(1,(_bbt3[[#All],[ID]]=A726)*(_bbt3[[#All],[METRIC_NAME]]="YLD_YTM_ASK"),_bbt3[[#All],[METRIC_VALUE]])*0.5)+(_xlfn.XLOOKUP(1,(_bbt3[[#All],[ID]]=A726)*(_bbt3[[#All],[METRIC_NAME]]="YLD_YTM_BID"),_bbt3[[#All],[METRIC_VALUE]])*0.5))/100,"")</f>
        <v/>
      </c>
      <c r="J726">
        <f>IF(ISNA(VLOOKUP(A726,'CloseDL - PriceSaverBBT3'!A:E,5,0)),0,VLOOKUP(A726,'CloseDL - PriceSaverBBT3'!A:E,5,0))</f>
        <v>0</v>
      </c>
      <c r="K726" s="7" t="str">
        <f t="shared" si="111"/>
        <v/>
      </c>
      <c r="L726" s="20">
        <f>IF(Close[[#This Row],[CreatedBy]]="MARINER\SilverAdm",1,0)</f>
        <v>1</v>
      </c>
      <c r="M726" t="str">
        <f>IF(NOT(ISBLANK(A726)),VLOOKUP(A726,'Close - PriceSaver'!A:J,6,0),"")</f>
        <v/>
      </c>
      <c r="Q726" t="e">
        <f t="shared" si="112"/>
        <v>#N/A</v>
      </c>
      <c r="R726" t="e">
        <f t="shared" si="113"/>
        <v>#N/A</v>
      </c>
      <c r="S726" t="e">
        <f t="shared" si="114"/>
        <v>#N/A</v>
      </c>
      <c r="T726" s="15" t="e">
        <f t="shared" si="116"/>
        <v>#N/A</v>
      </c>
      <c r="U726" s="18" t="e">
        <f t="shared" si="117"/>
        <v>#N/A</v>
      </c>
      <c r="V726" s="14" t="e">
        <f t="shared" si="115"/>
        <v>#N/A</v>
      </c>
      <c r="W726" s="19" t="e">
        <f t="shared" si="118"/>
        <v>#N/A</v>
      </c>
      <c r="X726" t="e">
        <f>VLOOKUP(P726,Close[[ID]:[CreatedBy]],8,0)</f>
        <v>#N/A</v>
      </c>
    </row>
    <row r="727" spans="2:24" x14ac:dyDescent="0.35">
      <c r="B727" t="str">
        <f>IF(NOT(ISBLANK(A727)),VLOOKUP(A727,'BBT3'!A:F,2,0),"")</f>
        <v/>
      </c>
      <c r="C727" t="str">
        <f>IF(NOT(ISBLANK(A727)),VLOOKUP(A727,'BBT3'!A:F,3,0),"")</f>
        <v/>
      </c>
      <c r="D727" s="5" t="str">
        <f>IF(NOT(ISBLANK(A727)),VLOOKUP(A727,'BBT3'!A:F,4,1),"")</f>
        <v/>
      </c>
      <c r="E727" t="str">
        <f>IF(NOT(ISBLANK(A727)),VLOOKUP(A727,'BBT3'!A:F,5,0),"")</f>
        <v/>
      </c>
      <c r="F727" t="str">
        <f>IF(NOT(ISBLANK(A727)),VLOOKUP(A727,'BBT3'!A:F,6,0),"")</f>
        <v/>
      </c>
      <c r="G727" t="str">
        <f t="shared" si="110"/>
        <v/>
      </c>
      <c r="H727" t="str">
        <f>IF(NOT(ISBLANK(A727)),VLOOKUP(A727,'Close - PriceSaver'!A:J,5,0),"")</f>
        <v/>
      </c>
      <c r="I727" s="4" t="str" cm="1">
        <f t="array" ref="I727">IF(NOT(ISBLANK(A727)),((_xlfn.XLOOKUP(1,(_bbt3[[#All],[ID]]=A727)*(_bbt3[[#All],[METRIC_NAME]]="YLD_YTM_ASK"),_bbt3[[#All],[METRIC_VALUE]])*0.5)+(_xlfn.XLOOKUP(1,(_bbt3[[#All],[ID]]=A727)*(_bbt3[[#All],[METRIC_NAME]]="YLD_YTM_BID"),_bbt3[[#All],[METRIC_VALUE]])*0.5))/100,"")</f>
        <v/>
      </c>
      <c r="J727">
        <f>IF(ISNA(VLOOKUP(A727,'CloseDL - PriceSaverBBT3'!A:E,5,0)),0,VLOOKUP(A727,'CloseDL - PriceSaverBBT3'!A:E,5,0))</f>
        <v>0</v>
      </c>
      <c r="K727" s="7" t="str">
        <f t="shared" si="111"/>
        <v/>
      </c>
      <c r="L727" s="20">
        <f>IF(Close[[#This Row],[CreatedBy]]="MARINER\SilverAdm",1,0)</f>
        <v>1</v>
      </c>
      <c r="M727" t="str">
        <f>IF(NOT(ISBLANK(A727)),VLOOKUP(A727,'Close - PriceSaver'!A:J,6,0),"")</f>
        <v/>
      </c>
      <c r="Q727" t="e">
        <f t="shared" si="112"/>
        <v>#N/A</v>
      </c>
      <c r="R727" t="e">
        <f t="shared" si="113"/>
        <v>#N/A</v>
      </c>
      <c r="S727" t="e">
        <f t="shared" si="114"/>
        <v>#N/A</v>
      </c>
      <c r="T727" s="15" t="e">
        <f t="shared" si="116"/>
        <v>#N/A</v>
      </c>
      <c r="U727" s="18" t="e">
        <f t="shared" si="117"/>
        <v>#N/A</v>
      </c>
      <c r="V727" s="14" t="e">
        <f t="shared" si="115"/>
        <v>#N/A</v>
      </c>
      <c r="W727" s="19" t="e">
        <f t="shared" si="118"/>
        <v>#N/A</v>
      </c>
      <c r="X727" t="e">
        <f>VLOOKUP(P727,Close[[ID]:[CreatedBy]],8,0)</f>
        <v>#N/A</v>
      </c>
    </row>
    <row r="728" spans="2:24" x14ac:dyDescent="0.35">
      <c r="B728" t="str">
        <f>IF(NOT(ISBLANK(A728)),VLOOKUP(A728,'BBT3'!A:F,2,0),"")</f>
        <v/>
      </c>
      <c r="C728" t="str">
        <f>IF(NOT(ISBLANK(A728)),VLOOKUP(A728,'BBT3'!A:F,3,0),"")</f>
        <v/>
      </c>
      <c r="D728" s="5" t="str">
        <f>IF(NOT(ISBLANK(A728)),VLOOKUP(A728,'BBT3'!A:F,4,1),"")</f>
        <v/>
      </c>
      <c r="E728" t="str">
        <f>IF(NOT(ISBLANK(A728)),VLOOKUP(A728,'BBT3'!A:F,5,0),"")</f>
        <v/>
      </c>
      <c r="F728" t="str">
        <f>IF(NOT(ISBLANK(A728)),VLOOKUP(A728,'BBT3'!A:F,6,0),"")</f>
        <v/>
      </c>
      <c r="G728" t="str">
        <f t="shared" si="110"/>
        <v/>
      </c>
      <c r="H728" t="str">
        <f>IF(NOT(ISBLANK(A728)),VLOOKUP(A728,'Close - PriceSaver'!A:J,5,0),"")</f>
        <v/>
      </c>
      <c r="I728" s="4" t="str" cm="1">
        <f t="array" ref="I728">IF(NOT(ISBLANK(A728)),((_xlfn.XLOOKUP(1,(_bbt3[[#All],[ID]]=A728)*(_bbt3[[#All],[METRIC_NAME]]="YLD_YTM_ASK"),_bbt3[[#All],[METRIC_VALUE]])*0.5)+(_xlfn.XLOOKUP(1,(_bbt3[[#All],[ID]]=A728)*(_bbt3[[#All],[METRIC_NAME]]="YLD_YTM_BID"),_bbt3[[#All],[METRIC_VALUE]])*0.5))/100,"")</f>
        <v/>
      </c>
      <c r="J728">
        <f>IF(ISNA(VLOOKUP(A728,'CloseDL - PriceSaverBBT3'!A:E,5,0)),0,VLOOKUP(A728,'CloseDL - PriceSaverBBT3'!A:E,5,0))</f>
        <v>0</v>
      </c>
      <c r="K728" s="7" t="str">
        <f t="shared" si="111"/>
        <v/>
      </c>
      <c r="L728" s="20">
        <f>IF(Close[[#This Row],[CreatedBy]]="MARINER\SilverAdm",1,0)</f>
        <v>1</v>
      </c>
      <c r="M728" t="str">
        <f>IF(NOT(ISBLANK(A728)),VLOOKUP(A728,'Close - PriceSaver'!A:J,6,0),"")</f>
        <v/>
      </c>
      <c r="Q728" t="e">
        <f t="shared" si="112"/>
        <v>#N/A</v>
      </c>
      <c r="R728" t="e">
        <f t="shared" si="113"/>
        <v>#N/A</v>
      </c>
      <c r="S728" t="e">
        <f t="shared" si="114"/>
        <v>#N/A</v>
      </c>
      <c r="T728" s="15" t="e">
        <f t="shared" si="116"/>
        <v>#N/A</v>
      </c>
      <c r="U728" s="18" t="e">
        <f t="shared" si="117"/>
        <v>#N/A</v>
      </c>
      <c r="V728" s="14" t="e">
        <f t="shared" si="115"/>
        <v>#N/A</v>
      </c>
      <c r="W728" s="19" t="e">
        <f t="shared" si="118"/>
        <v>#N/A</v>
      </c>
      <c r="X728" t="e">
        <f>VLOOKUP(P728,Close[[ID]:[CreatedBy]],8,0)</f>
        <v>#N/A</v>
      </c>
    </row>
    <row r="729" spans="2:24" x14ac:dyDescent="0.35">
      <c r="B729" t="str">
        <f>IF(NOT(ISBLANK(A729)),VLOOKUP(A729,'BBT3'!A:F,2,0),"")</f>
        <v/>
      </c>
      <c r="C729" t="str">
        <f>IF(NOT(ISBLANK(A729)),VLOOKUP(A729,'BBT3'!A:F,3,0),"")</f>
        <v/>
      </c>
      <c r="D729" s="5" t="str">
        <f>IF(NOT(ISBLANK(A729)),VLOOKUP(A729,'BBT3'!A:F,4,1),"")</f>
        <v/>
      </c>
      <c r="E729" t="str">
        <f>IF(NOT(ISBLANK(A729)),VLOOKUP(A729,'BBT3'!A:F,5,0),"")</f>
        <v/>
      </c>
      <c r="F729" t="str">
        <f>IF(NOT(ISBLANK(A729)),VLOOKUP(A729,'BBT3'!A:F,6,0),"")</f>
        <v/>
      </c>
      <c r="G729" t="str">
        <f t="shared" si="110"/>
        <v/>
      </c>
      <c r="H729" t="str">
        <f>IF(NOT(ISBLANK(A729)),VLOOKUP(A729,'Close - PriceSaver'!A:J,5,0),"")</f>
        <v/>
      </c>
      <c r="I729" s="4" t="str" cm="1">
        <f t="array" ref="I729">IF(NOT(ISBLANK(A729)),((_xlfn.XLOOKUP(1,(_bbt3[[#All],[ID]]=A729)*(_bbt3[[#All],[METRIC_NAME]]="YLD_YTM_ASK"),_bbt3[[#All],[METRIC_VALUE]])*0.5)+(_xlfn.XLOOKUP(1,(_bbt3[[#All],[ID]]=A729)*(_bbt3[[#All],[METRIC_NAME]]="YLD_YTM_BID"),_bbt3[[#All],[METRIC_VALUE]])*0.5))/100,"")</f>
        <v/>
      </c>
      <c r="J729">
        <f>IF(ISNA(VLOOKUP(A729,'CloseDL - PriceSaverBBT3'!A:E,5,0)),0,VLOOKUP(A729,'CloseDL - PriceSaverBBT3'!A:E,5,0))</f>
        <v>0</v>
      </c>
      <c r="K729" s="7" t="str">
        <f t="shared" si="111"/>
        <v/>
      </c>
      <c r="L729" s="20">
        <f>IF(Close[[#This Row],[CreatedBy]]="MARINER\SilverAdm",1,0)</f>
        <v>1</v>
      </c>
      <c r="M729" t="str">
        <f>IF(NOT(ISBLANK(A729)),VLOOKUP(A729,'Close - PriceSaver'!A:J,6,0),"")</f>
        <v/>
      </c>
      <c r="Q729" t="e">
        <f t="shared" si="112"/>
        <v>#N/A</v>
      </c>
      <c r="R729" t="e">
        <f t="shared" si="113"/>
        <v>#N/A</v>
      </c>
      <c r="S729" t="e">
        <f t="shared" si="114"/>
        <v>#N/A</v>
      </c>
      <c r="T729" s="15" t="e">
        <f t="shared" si="116"/>
        <v>#N/A</v>
      </c>
      <c r="U729" s="18" t="e">
        <f t="shared" si="117"/>
        <v>#N/A</v>
      </c>
      <c r="V729" s="14" t="e">
        <f t="shared" si="115"/>
        <v>#N/A</v>
      </c>
      <c r="W729" s="19" t="e">
        <f t="shared" si="118"/>
        <v>#N/A</v>
      </c>
      <c r="X729" t="e">
        <f>VLOOKUP(P729,Close[[ID]:[CreatedBy]],8,0)</f>
        <v>#N/A</v>
      </c>
    </row>
    <row r="730" spans="2:24" x14ac:dyDescent="0.35">
      <c r="B730" t="str">
        <f>IF(NOT(ISBLANK(A730)),VLOOKUP(A730,'BBT3'!A:F,2,0),"")</f>
        <v/>
      </c>
      <c r="C730" t="str">
        <f>IF(NOT(ISBLANK(A730)),VLOOKUP(A730,'BBT3'!A:F,3,0),"")</f>
        <v/>
      </c>
      <c r="D730" s="5" t="str">
        <f>IF(NOT(ISBLANK(A730)),VLOOKUP(A730,'BBT3'!A:F,4,1),"")</f>
        <v/>
      </c>
      <c r="E730" t="str">
        <f>IF(NOT(ISBLANK(A730)),VLOOKUP(A730,'BBT3'!A:F,5,0),"")</f>
        <v/>
      </c>
      <c r="F730" t="str">
        <f>IF(NOT(ISBLANK(A730)),VLOOKUP(A730,'BBT3'!A:F,6,0),"")</f>
        <v/>
      </c>
      <c r="G730" t="str">
        <f t="shared" si="110"/>
        <v/>
      </c>
      <c r="H730" t="str">
        <f>IF(NOT(ISBLANK(A730)),VLOOKUP(A730,'Close - PriceSaver'!A:J,5,0),"")</f>
        <v/>
      </c>
      <c r="I730" s="4" t="str" cm="1">
        <f t="array" ref="I730">IF(NOT(ISBLANK(A730)),((_xlfn.XLOOKUP(1,(_bbt3[[#All],[ID]]=A730)*(_bbt3[[#All],[METRIC_NAME]]="YLD_YTM_ASK"),_bbt3[[#All],[METRIC_VALUE]])*0.5)+(_xlfn.XLOOKUP(1,(_bbt3[[#All],[ID]]=A730)*(_bbt3[[#All],[METRIC_NAME]]="YLD_YTM_BID"),_bbt3[[#All],[METRIC_VALUE]])*0.5))/100,"")</f>
        <v/>
      </c>
      <c r="J730">
        <f>IF(ISNA(VLOOKUP(A730,'CloseDL - PriceSaverBBT3'!A:E,5,0)),0,VLOOKUP(A730,'CloseDL - PriceSaverBBT3'!A:E,5,0))</f>
        <v>0</v>
      </c>
      <c r="K730" s="7" t="str">
        <f t="shared" si="111"/>
        <v/>
      </c>
      <c r="L730" s="20">
        <f>IF(Close[[#This Row],[CreatedBy]]="MARINER\SilverAdm",1,0)</f>
        <v>1</v>
      </c>
      <c r="M730" t="str">
        <f>IF(NOT(ISBLANK(A730)),VLOOKUP(A730,'Close - PriceSaver'!A:J,6,0),"")</f>
        <v/>
      </c>
      <c r="Q730" t="e">
        <f t="shared" si="112"/>
        <v>#N/A</v>
      </c>
      <c r="R730" t="e">
        <f t="shared" si="113"/>
        <v>#N/A</v>
      </c>
      <c r="S730" t="e">
        <f t="shared" si="114"/>
        <v>#N/A</v>
      </c>
      <c r="T730" s="15" t="e">
        <f t="shared" si="116"/>
        <v>#N/A</v>
      </c>
      <c r="U730" s="18" t="e">
        <f t="shared" si="117"/>
        <v>#N/A</v>
      </c>
      <c r="V730" s="14" t="e">
        <f t="shared" si="115"/>
        <v>#N/A</v>
      </c>
      <c r="W730" s="19" t="e">
        <f t="shared" si="118"/>
        <v>#N/A</v>
      </c>
      <c r="X730" t="e">
        <f>VLOOKUP(P730,Close[[ID]:[CreatedBy]],8,0)</f>
        <v>#N/A</v>
      </c>
    </row>
    <row r="731" spans="2:24" x14ac:dyDescent="0.35">
      <c r="B731" t="str">
        <f>IF(NOT(ISBLANK(A731)),VLOOKUP(A731,'BBT3'!A:F,2,0),"")</f>
        <v/>
      </c>
      <c r="C731" t="str">
        <f>IF(NOT(ISBLANK(A731)),VLOOKUP(A731,'BBT3'!A:F,3,0),"")</f>
        <v/>
      </c>
      <c r="D731" s="5" t="str">
        <f>IF(NOT(ISBLANK(A731)),VLOOKUP(A731,'BBT3'!A:F,4,1),"")</f>
        <v/>
      </c>
      <c r="E731" t="str">
        <f>IF(NOT(ISBLANK(A731)),VLOOKUP(A731,'BBT3'!A:F,5,0),"")</f>
        <v/>
      </c>
      <c r="F731" t="str">
        <f>IF(NOT(ISBLANK(A731)),VLOOKUP(A731,'BBT3'!A:F,6,0),"")</f>
        <v/>
      </c>
      <c r="G731" t="str">
        <f t="shared" si="110"/>
        <v/>
      </c>
      <c r="H731" t="str">
        <f>IF(NOT(ISBLANK(A731)),VLOOKUP(A731,'Close - PriceSaver'!A:J,5,0),"")</f>
        <v/>
      </c>
      <c r="I731" s="4" t="str" cm="1">
        <f t="array" ref="I731">IF(NOT(ISBLANK(A731)),((_xlfn.XLOOKUP(1,(_bbt3[[#All],[ID]]=A731)*(_bbt3[[#All],[METRIC_NAME]]="YLD_YTM_ASK"),_bbt3[[#All],[METRIC_VALUE]])*0.5)+(_xlfn.XLOOKUP(1,(_bbt3[[#All],[ID]]=A731)*(_bbt3[[#All],[METRIC_NAME]]="YLD_YTM_BID"),_bbt3[[#All],[METRIC_VALUE]])*0.5))/100,"")</f>
        <v/>
      </c>
      <c r="J731">
        <f>IF(ISNA(VLOOKUP(A731,'CloseDL - PriceSaverBBT3'!A:E,5,0)),0,VLOOKUP(A731,'CloseDL - PriceSaverBBT3'!A:E,5,0))</f>
        <v>0</v>
      </c>
      <c r="K731" s="7" t="str">
        <f t="shared" si="111"/>
        <v/>
      </c>
      <c r="L731" s="20">
        <f>IF(Close[[#This Row],[CreatedBy]]="MARINER\SilverAdm",1,0)</f>
        <v>1</v>
      </c>
      <c r="M731" t="str">
        <f>IF(NOT(ISBLANK(A731)),VLOOKUP(A731,'Close - PriceSaver'!A:J,6,0),"")</f>
        <v/>
      </c>
      <c r="Q731" t="e">
        <f t="shared" si="112"/>
        <v>#N/A</v>
      </c>
      <c r="R731" t="e">
        <f t="shared" si="113"/>
        <v>#N/A</v>
      </c>
      <c r="S731" t="e">
        <f t="shared" si="114"/>
        <v>#N/A</v>
      </c>
      <c r="T731" s="15" t="e">
        <f t="shared" si="116"/>
        <v>#N/A</v>
      </c>
      <c r="U731" s="18" t="e">
        <f t="shared" si="117"/>
        <v>#N/A</v>
      </c>
      <c r="V731" s="14" t="e">
        <f t="shared" si="115"/>
        <v>#N/A</v>
      </c>
      <c r="W731" s="19" t="e">
        <f t="shared" si="118"/>
        <v>#N/A</v>
      </c>
      <c r="X731" t="e">
        <f>VLOOKUP(P731,Close[[ID]:[CreatedBy]],8,0)</f>
        <v>#N/A</v>
      </c>
    </row>
    <row r="732" spans="2:24" x14ac:dyDescent="0.35">
      <c r="B732" t="str">
        <f>IF(NOT(ISBLANK(A732)),VLOOKUP(A732,'BBT3'!A:F,2,0),"")</f>
        <v/>
      </c>
      <c r="C732" t="str">
        <f>IF(NOT(ISBLANK(A732)),VLOOKUP(A732,'BBT3'!A:F,3,0),"")</f>
        <v/>
      </c>
      <c r="D732" s="5" t="str">
        <f>IF(NOT(ISBLANK(A732)),VLOOKUP(A732,'BBT3'!A:F,4,1),"")</f>
        <v/>
      </c>
      <c r="E732" t="str">
        <f>IF(NOT(ISBLANK(A732)),VLOOKUP(A732,'BBT3'!A:F,5,0),"")</f>
        <v/>
      </c>
      <c r="F732" t="str">
        <f>IF(NOT(ISBLANK(A732)),VLOOKUP(A732,'BBT3'!A:F,6,0),"")</f>
        <v/>
      </c>
      <c r="G732" t="str">
        <f t="shared" si="110"/>
        <v/>
      </c>
      <c r="H732" t="str">
        <f>IF(NOT(ISBLANK(A732)),VLOOKUP(A732,'Close - PriceSaver'!A:J,5,0),"")</f>
        <v/>
      </c>
      <c r="I732" s="4" t="str" cm="1">
        <f t="array" ref="I732">IF(NOT(ISBLANK(A732)),((_xlfn.XLOOKUP(1,(_bbt3[[#All],[ID]]=A732)*(_bbt3[[#All],[METRIC_NAME]]="YLD_YTM_ASK"),_bbt3[[#All],[METRIC_VALUE]])*0.5)+(_xlfn.XLOOKUP(1,(_bbt3[[#All],[ID]]=A732)*(_bbt3[[#All],[METRIC_NAME]]="YLD_YTM_BID"),_bbt3[[#All],[METRIC_VALUE]])*0.5))/100,"")</f>
        <v/>
      </c>
      <c r="J732">
        <f>IF(ISNA(VLOOKUP(A732,'CloseDL - PriceSaverBBT3'!A:E,5,0)),0,VLOOKUP(A732,'CloseDL - PriceSaverBBT3'!A:E,5,0))</f>
        <v>0</v>
      </c>
      <c r="K732" s="7" t="str">
        <f t="shared" si="111"/>
        <v/>
      </c>
      <c r="L732" s="20">
        <f>IF(Close[[#This Row],[CreatedBy]]="MARINER\SilverAdm",1,0)</f>
        <v>1</v>
      </c>
      <c r="M732" t="str">
        <f>IF(NOT(ISBLANK(A732)),VLOOKUP(A732,'Close - PriceSaver'!A:J,6,0),"")</f>
        <v/>
      </c>
      <c r="Q732" t="e">
        <f t="shared" si="112"/>
        <v>#N/A</v>
      </c>
      <c r="R732" t="e">
        <f t="shared" si="113"/>
        <v>#N/A</v>
      </c>
      <c r="S732" t="e">
        <f t="shared" si="114"/>
        <v>#N/A</v>
      </c>
      <c r="T732" s="15" t="e">
        <f t="shared" si="116"/>
        <v>#N/A</v>
      </c>
      <c r="U732" s="18" t="e">
        <f t="shared" si="117"/>
        <v>#N/A</v>
      </c>
      <c r="V732" s="14" t="e">
        <f t="shared" si="115"/>
        <v>#N/A</v>
      </c>
      <c r="W732" s="19" t="e">
        <f t="shared" si="118"/>
        <v>#N/A</v>
      </c>
      <c r="X732" t="e">
        <f>VLOOKUP(P732,Close[[ID]:[CreatedBy]],8,0)</f>
        <v>#N/A</v>
      </c>
    </row>
    <row r="733" spans="2:24" x14ac:dyDescent="0.35">
      <c r="B733" t="str">
        <f>IF(NOT(ISBLANK(A733)),VLOOKUP(A733,'BBT3'!A:F,2,0),"")</f>
        <v/>
      </c>
      <c r="C733" t="str">
        <f>IF(NOT(ISBLANK(A733)),VLOOKUP(A733,'BBT3'!A:F,3,0),"")</f>
        <v/>
      </c>
      <c r="D733" s="5" t="str">
        <f>IF(NOT(ISBLANK(A733)),VLOOKUP(A733,'BBT3'!A:F,4,1),"")</f>
        <v/>
      </c>
      <c r="E733" t="str">
        <f>IF(NOT(ISBLANK(A733)),VLOOKUP(A733,'BBT3'!A:F,5,0),"")</f>
        <v/>
      </c>
      <c r="F733" t="str">
        <f>IF(NOT(ISBLANK(A733)),VLOOKUP(A733,'BBT3'!A:F,6,0),"")</f>
        <v/>
      </c>
      <c r="G733" t="str">
        <f t="shared" si="110"/>
        <v/>
      </c>
      <c r="H733" t="str">
        <f>IF(NOT(ISBLANK(A733)),VLOOKUP(A733,'Close - PriceSaver'!A:J,5,0),"")</f>
        <v/>
      </c>
      <c r="I733" s="4" t="str" cm="1">
        <f t="array" ref="I733">IF(NOT(ISBLANK(A733)),((_xlfn.XLOOKUP(1,(_bbt3[[#All],[ID]]=A733)*(_bbt3[[#All],[METRIC_NAME]]="YLD_YTM_ASK"),_bbt3[[#All],[METRIC_VALUE]])*0.5)+(_xlfn.XLOOKUP(1,(_bbt3[[#All],[ID]]=A733)*(_bbt3[[#All],[METRIC_NAME]]="YLD_YTM_BID"),_bbt3[[#All],[METRIC_VALUE]])*0.5))/100,"")</f>
        <v/>
      </c>
      <c r="J733">
        <f>IF(ISNA(VLOOKUP(A733,'CloseDL - PriceSaverBBT3'!A:E,5,0)),0,VLOOKUP(A733,'CloseDL - PriceSaverBBT3'!A:E,5,0))</f>
        <v>0</v>
      </c>
      <c r="K733" s="7" t="str">
        <f t="shared" si="111"/>
        <v/>
      </c>
      <c r="L733" s="20">
        <f>IF(Close[[#This Row],[CreatedBy]]="MARINER\SilverAdm",1,0)</f>
        <v>1</v>
      </c>
      <c r="M733" t="str">
        <f>IF(NOT(ISBLANK(A733)),VLOOKUP(A733,'Close - PriceSaver'!A:J,6,0),"")</f>
        <v/>
      </c>
      <c r="Q733" t="e">
        <f t="shared" si="112"/>
        <v>#N/A</v>
      </c>
      <c r="R733" t="e">
        <f t="shared" si="113"/>
        <v>#N/A</v>
      </c>
      <c r="S733" t="e">
        <f t="shared" si="114"/>
        <v>#N/A</v>
      </c>
      <c r="T733" s="15" t="e">
        <f t="shared" si="116"/>
        <v>#N/A</v>
      </c>
      <c r="U733" s="18" t="e">
        <f t="shared" si="117"/>
        <v>#N/A</v>
      </c>
      <c r="V733" s="14" t="e">
        <f t="shared" si="115"/>
        <v>#N/A</v>
      </c>
      <c r="W733" s="19" t="e">
        <f t="shared" si="118"/>
        <v>#N/A</v>
      </c>
      <c r="X733" t="e">
        <f>VLOOKUP(P733,Close[[ID]:[CreatedBy]],8,0)</f>
        <v>#N/A</v>
      </c>
    </row>
    <row r="734" spans="2:24" x14ac:dyDescent="0.35">
      <c r="B734" t="str">
        <f>IF(NOT(ISBLANK(A734)),VLOOKUP(A734,'BBT3'!A:F,2,0),"")</f>
        <v/>
      </c>
      <c r="C734" t="str">
        <f>IF(NOT(ISBLANK(A734)),VLOOKUP(A734,'BBT3'!A:F,3,0),"")</f>
        <v/>
      </c>
      <c r="D734" s="5" t="str">
        <f>IF(NOT(ISBLANK(A734)),VLOOKUP(A734,'BBT3'!A:F,4,1),"")</f>
        <v/>
      </c>
      <c r="E734" t="str">
        <f>IF(NOT(ISBLANK(A734)),VLOOKUP(A734,'BBT3'!A:F,5,0),"")</f>
        <v/>
      </c>
      <c r="F734" t="str">
        <f>IF(NOT(ISBLANK(A734)),VLOOKUP(A734,'BBT3'!A:F,6,0),"")</f>
        <v/>
      </c>
      <c r="G734" t="str">
        <f t="shared" si="110"/>
        <v/>
      </c>
      <c r="H734" t="str">
        <f>IF(NOT(ISBLANK(A734)),VLOOKUP(A734,'Close - PriceSaver'!A:J,5,0),"")</f>
        <v/>
      </c>
      <c r="I734" s="4" t="str" cm="1">
        <f t="array" ref="I734">IF(NOT(ISBLANK(A734)),((_xlfn.XLOOKUP(1,(_bbt3[[#All],[ID]]=A734)*(_bbt3[[#All],[METRIC_NAME]]="YLD_YTM_ASK"),_bbt3[[#All],[METRIC_VALUE]])*0.5)+(_xlfn.XLOOKUP(1,(_bbt3[[#All],[ID]]=A734)*(_bbt3[[#All],[METRIC_NAME]]="YLD_YTM_BID"),_bbt3[[#All],[METRIC_VALUE]])*0.5))/100,"")</f>
        <v/>
      </c>
      <c r="J734">
        <f>IF(ISNA(VLOOKUP(A734,'CloseDL - PriceSaverBBT3'!A:E,5,0)),0,VLOOKUP(A734,'CloseDL - PriceSaverBBT3'!A:E,5,0))</f>
        <v>0</v>
      </c>
      <c r="K734" s="7" t="str">
        <f t="shared" si="111"/>
        <v/>
      </c>
      <c r="L734" s="20">
        <f>IF(Close[[#This Row],[CreatedBy]]="MARINER\SilverAdm",1,0)</f>
        <v>1</v>
      </c>
      <c r="M734" t="str">
        <f>IF(NOT(ISBLANK(A734)),VLOOKUP(A734,'Close - PriceSaver'!A:J,6,0),"")</f>
        <v/>
      </c>
      <c r="Q734" t="e">
        <f t="shared" si="112"/>
        <v>#N/A</v>
      </c>
      <c r="R734" t="e">
        <f t="shared" si="113"/>
        <v>#N/A</v>
      </c>
      <c r="S734" t="e">
        <f t="shared" si="114"/>
        <v>#N/A</v>
      </c>
      <c r="T734" s="15" t="e">
        <f t="shared" si="116"/>
        <v>#N/A</v>
      </c>
      <c r="U734" s="18" t="e">
        <f t="shared" si="117"/>
        <v>#N/A</v>
      </c>
      <c r="V734" s="14" t="e">
        <f t="shared" si="115"/>
        <v>#N/A</v>
      </c>
      <c r="W734" s="19" t="e">
        <f t="shared" si="118"/>
        <v>#N/A</v>
      </c>
      <c r="X734" t="e">
        <f>VLOOKUP(P734,Close[[ID]:[CreatedBy]],8,0)</f>
        <v>#N/A</v>
      </c>
    </row>
    <row r="735" spans="2:24" x14ac:dyDescent="0.35">
      <c r="B735" t="str">
        <f>IF(NOT(ISBLANK(A735)),VLOOKUP(A735,'BBT3'!A:F,2,0),"")</f>
        <v/>
      </c>
      <c r="C735" t="str">
        <f>IF(NOT(ISBLANK(A735)),VLOOKUP(A735,'BBT3'!A:F,3,0),"")</f>
        <v/>
      </c>
      <c r="D735" s="5" t="str">
        <f>IF(NOT(ISBLANK(A735)),VLOOKUP(A735,'BBT3'!A:F,4,1),"")</f>
        <v/>
      </c>
      <c r="E735" t="str">
        <f>IF(NOT(ISBLANK(A735)),VLOOKUP(A735,'BBT3'!A:F,5,0),"")</f>
        <v/>
      </c>
      <c r="F735" t="str">
        <f>IF(NOT(ISBLANK(A735)),VLOOKUP(A735,'BBT3'!A:F,6,0),"")</f>
        <v/>
      </c>
      <c r="G735" t="str">
        <f t="shared" si="110"/>
        <v/>
      </c>
      <c r="H735" t="str">
        <f>IF(NOT(ISBLANK(A735)),VLOOKUP(A735,'Close - PriceSaver'!A:J,5,0),"")</f>
        <v/>
      </c>
      <c r="I735" s="4" t="str" cm="1">
        <f t="array" ref="I735">IF(NOT(ISBLANK(A735)),((_xlfn.XLOOKUP(1,(_bbt3[[#All],[ID]]=A735)*(_bbt3[[#All],[METRIC_NAME]]="YLD_YTM_ASK"),_bbt3[[#All],[METRIC_VALUE]])*0.5)+(_xlfn.XLOOKUP(1,(_bbt3[[#All],[ID]]=A735)*(_bbt3[[#All],[METRIC_NAME]]="YLD_YTM_BID"),_bbt3[[#All],[METRIC_VALUE]])*0.5))/100,"")</f>
        <v/>
      </c>
      <c r="J735">
        <f>IF(ISNA(VLOOKUP(A735,'CloseDL - PriceSaverBBT3'!A:E,5,0)),0,VLOOKUP(A735,'CloseDL - PriceSaverBBT3'!A:E,5,0))</f>
        <v>0</v>
      </c>
      <c r="K735" s="7" t="str">
        <f t="shared" si="111"/>
        <v/>
      </c>
      <c r="L735" s="20">
        <f>IF(Close[[#This Row],[CreatedBy]]="MARINER\SilverAdm",1,0)</f>
        <v>1</v>
      </c>
      <c r="M735" t="str">
        <f>IF(NOT(ISBLANK(A735)),VLOOKUP(A735,'Close - PriceSaver'!A:J,6,0),"")</f>
        <v/>
      </c>
      <c r="Q735" t="e">
        <f t="shared" si="112"/>
        <v>#N/A</v>
      </c>
      <c r="R735" t="e">
        <f t="shared" si="113"/>
        <v>#N/A</v>
      </c>
      <c r="S735" t="e">
        <f t="shared" si="114"/>
        <v>#N/A</v>
      </c>
      <c r="T735" s="15" t="e">
        <f t="shared" si="116"/>
        <v>#N/A</v>
      </c>
      <c r="U735" s="18" t="e">
        <f t="shared" si="117"/>
        <v>#N/A</v>
      </c>
      <c r="V735" s="14" t="e">
        <f t="shared" si="115"/>
        <v>#N/A</v>
      </c>
      <c r="W735" s="19" t="e">
        <f t="shared" si="118"/>
        <v>#N/A</v>
      </c>
      <c r="X735" t="e">
        <f>VLOOKUP(P735,Close[[ID]:[CreatedBy]],8,0)</f>
        <v>#N/A</v>
      </c>
    </row>
    <row r="736" spans="2:24" x14ac:dyDescent="0.35">
      <c r="B736" t="str">
        <f>IF(NOT(ISBLANK(A736)),VLOOKUP(A736,'BBT3'!A:F,2,0),"")</f>
        <v/>
      </c>
      <c r="C736" t="str">
        <f>IF(NOT(ISBLANK(A736)),VLOOKUP(A736,'BBT3'!A:F,3,0),"")</f>
        <v/>
      </c>
      <c r="D736" s="5" t="str">
        <f>IF(NOT(ISBLANK(A736)),VLOOKUP(A736,'BBT3'!A:F,4,1),"")</f>
        <v/>
      </c>
      <c r="E736" t="str">
        <f>IF(NOT(ISBLANK(A736)),VLOOKUP(A736,'BBT3'!A:F,5,0),"")</f>
        <v/>
      </c>
      <c r="F736" t="str">
        <f>IF(NOT(ISBLANK(A736)),VLOOKUP(A736,'BBT3'!A:F,6,0),"")</f>
        <v/>
      </c>
      <c r="G736" t="str">
        <f t="shared" si="110"/>
        <v/>
      </c>
      <c r="H736" t="str">
        <f>IF(NOT(ISBLANK(A736)),VLOOKUP(A736,'Close - PriceSaver'!A:J,5,0),"")</f>
        <v/>
      </c>
      <c r="I736" s="4" t="str" cm="1">
        <f t="array" ref="I736">IF(NOT(ISBLANK(A736)),((_xlfn.XLOOKUP(1,(_bbt3[[#All],[ID]]=A736)*(_bbt3[[#All],[METRIC_NAME]]="YLD_YTM_ASK"),_bbt3[[#All],[METRIC_VALUE]])*0.5)+(_xlfn.XLOOKUP(1,(_bbt3[[#All],[ID]]=A736)*(_bbt3[[#All],[METRIC_NAME]]="YLD_YTM_BID"),_bbt3[[#All],[METRIC_VALUE]])*0.5))/100,"")</f>
        <v/>
      </c>
      <c r="J736">
        <f>IF(ISNA(VLOOKUP(A736,'CloseDL - PriceSaverBBT3'!A:E,5,0)),0,VLOOKUP(A736,'CloseDL - PriceSaverBBT3'!A:E,5,0))</f>
        <v>0</v>
      </c>
      <c r="K736" s="7" t="str">
        <f t="shared" si="111"/>
        <v/>
      </c>
      <c r="L736" s="20">
        <f>IF(Close[[#This Row],[CreatedBy]]="MARINER\SilverAdm",1,0)</f>
        <v>1</v>
      </c>
      <c r="M736" t="str">
        <f>IF(NOT(ISBLANK(A736)),VLOOKUP(A736,'Close - PriceSaver'!A:J,6,0),"")</f>
        <v/>
      </c>
      <c r="Q736" t="e">
        <f t="shared" si="112"/>
        <v>#N/A</v>
      </c>
      <c r="R736" t="e">
        <f t="shared" si="113"/>
        <v>#N/A</v>
      </c>
      <c r="S736" t="e">
        <f t="shared" si="114"/>
        <v>#N/A</v>
      </c>
      <c r="T736" s="15" t="e">
        <f t="shared" si="116"/>
        <v>#N/A</v>
      </c>
      <c r="U736" s="18" t="e">
        <f t="shared" si="117"/>
        <v>#N/A</v>
      </c>
      <c r="V736" s="14" t="e">
        <f t="shared" si="115"/>
        <v>#N/A</v>
      </c>
      <c r="W736" s="19" t="e">
        <f t="shared" si="118"/>
        <v>#N/A</v>
      </c>
      <c r="X736" t="e">
        <f>VLOOKUP(P736,Close[[ID]:[CreatedBy]],8,0)</f>
        <v>#N/A</v>
      </c>
    </row>
    <row r="737" spans="2:24" x14ac:dyDescent="0.35">
      <c r="B737" t="str">
        <f>IF(NOT(ISBLANK(A737)),VLOOKUP(A737,'BBT3'!A:F,2,0),"")</f>
        <v/>
      </c>
      <c r="C737" t="str">
        <f>IF(NOT(ISBLANK(A737)),VLOOKUP(A737,'BBT3'!A:F,3,0),"")</f>
        <v/>
      </c>
      <c r="D737" s="5" t="str">
        <f>IF(NOT(ISBLANK(A737)),VLOOKUP(A737,'BBT3'!A:F,4,1),"")</f>
        <v/>
      </c>
      <c r="E737" t="str">
        <f>IF(NOT(ISBLANK(A737)),VLOOKUP(A737,'BBT3'!A:F,5,0),"")</f>
        <v/>
      </c>
      <c r="F737" t="str">
        <f>IF(NOT(ISBLANK(A737)),VLOOKUP(A737,'BBT3'!A:F,6,0),"")</f>
        <v/>
      </c>
      <c r="G737" t="str">
        <f t="shared" si="110"/>
        <v/>
      </c>
      <c r="H737" t="str">
        <f>IF(NOT(ISBLANK(A737)),VLOOKUP(A737,'Close - PriceSaver'!A:J,5,0),"")</f>
        <v/>
      </c>
      <c r="I737" s="4" t="str" cm="1">
        <f t="array" ref="I737">IF(NOT(ISBLANK(A737)),((_xlfn.XLOOKUP(1,(_bbt3[[#All],[ID]]=A737)*(_bbt3[[#All],[METRIC_NAME]]="YLD_YTM_ASK"),_bbt3[[#All],[METRIC_VALUE]])*0.5)+(_xlfn.XLOOKUP(1,(_bbt3[[#All],[ID]]=A737)*(_bbt3[[#All],[METRIC_NAME]]="YLD_YTM_BID"),_bbt3[[#All],[METRIC_VALUE]])*0.5))/100,"")</f>
        <v/>
      </c>
      <c r="J737">
        <f>IF(ISNA(VLOOKUP(A737,'CloseDL - PriceSaverBBT3'!A:E,5,0)),0,VLOOKUP(A737,'CloseDL - PriceSaverBBT3'!A:E,5,0))</f>
        <v>0</v>
      </c>
      <c r="K737" s="7" t="str">
        <f t="shared" si="111"/>
        <v/>
      </c>
      <c r="L737" s="20">
        <f>IF(Close[[#This Row],[CreatedBy]]="MARINER\SilverAdm",1,0)</f>
        <v>1</v>
      </c>
      <c r="M737" t="str">
        <f>IF(NOT(ISBLANK(A737)),VLOOKUP(A737,'Close - PriceSaver'!A:J,6,0),"")</f>
        <v/>
      </c>
      <c r="Q737" t="e">
        <f t="shared" si="112"/>
        <v>#N/A</v>
      </c>
      <c r="R737" t="e">
        <f t="shared" si="113"/>
        <v>#N/A</v>
      </c>
      <c r="S737" t="e">
        <f t="shared" si="114"/>
        <v>#N/A</v>
      </c>
      <c r="T737" s="15" t="e">
        <f t="shared" si="116"/>
        <v>#N/A</v>
      </c>
      <c r="U737" s="18" t="e">
        <f t="shared" si="117"/>
        <v>#N/A</v>
      </c>
      <c r="V737" s="14" t="e">
        <f t="shared" si="115"/>
        <v>#N/A</v>
      </c>
      <c r="W737" s="19" t="e">
        <f t="shared" si="118"/>
        <v>#N/A</v>
      </c>
      <c r="X737" t="e">
        <f>VLOOKUP(P737,Close[[ID]:[CreatedBy]],8,0)</f>
        <v>#N/A</v>
      </c>
    </row>
    <row r="738" spans="2:24" x14ac:dyDescent="0.35">
      <c r="B738" t="str">
        <f>IF(NOT(ISBLANK(A738)),VLOOKUP(A738,'BBT3'!A:F,2,0),"")</f>
        <v/>
      </c>
      <c r="C738" t="str">
        <f>IF(NOT(ISBLANK(A738)),VLOOKUP(A738,'BBT3'!A:F,3,0),"")</f>
        <v/>
      </c>
      <c r="D738" s="5" t="str">
        <f>IF(NOT(ISBLANK(A738)),VLOOKUP(A738,'BBT3'!A:F,4,1),"")</f>
        <v/>
      </c>
      <c r="E738" t="str">
        <f>IF(NOT(ISBLANK(A738)),VLOOKUP(A738,'BBT3'!A:F,5,0),"")</f>
        <v/>
      </c>
      <c r="F738" t="str">
        <f>IF(NOT(ISBLANK(A738)),VLOOKUP(A738,'BBT3'!A:F,6,0),"")</f>
        <v/>
      </c>
      <c r="G738" t="str">
        <f t="shared" si="110"/>
        <v/>
      </c>
      <c r="H738" t="str">
        <f>IF(NOT(ISBLANK(A738)),VLOOKUP(A738,'Close - PriceSaver'!A:J,5,0),"")</f>
        <v/>
      </c>
      <c r="I738" s="4" t="str" cm="1">
        <f t="array" ref="I738">IF(NOT(ISBLANK(A738)),((_xlfn.XLOOKUP(1,(_bbt3[[#All],[ID]]=A738)*(_bbt3[[#All],[METRIC_NAME]]="YLD_YTM_ASK"),_bbt3[[#All],[METRIC_VALUE]])*0.5)+(_xlfn.XLOOKUP(1,(_bbt3[[#All],[ID]]=A738)*(_bbt3[[#All],[METRIC_NAME]]="YLD_YTM_BID"),_bbt3[[#All],[METRIC_VALUE]])*0.5))/100,"")</f>
        <v/>
      </c>
      <c r="J738">
        <f>IF(ISNA(VLOOKUP(A738,'CloseDL - PriceSaverBBT3'!A:E,5,0)),0,VLOOKUP(A738,'CloseDL - PriceSaverBBT3'!A:E,5,0))</f>
        <v>0</v>
      </c>
      <c r="K738" s="7" t="str">
        <f t="shared" si="111"/>
        <v/>
      </c>
      <c r="L738" s="20">
        <f>IF(Close[[#This Row],[CreatedBy]]="MARINER\SilverAdm",1,0)</f>
        <v>1</v>
      </c>
      <c r="M738" t="str">
        <f>IF(NOT(ISBLANK(A738)),VLOOKUP(A738,'Close - PriceSaver'!A:J,6,0),"")</f>
        <v/>
      </c>
      <c r="Q738" t="e">
        <f t="shared" si="112"/>
        <v>#N/A</v>
      </c>
      <c r="R738" t="e">
        <f t="shared" si="113"/>
        <v>#N/A</v>
      </c>
      <c r="S738" t="e">
        <f t="shared" si="114"/>
        <v>#N/A</v>
      </c>
      <c r="T738" s="15" t="e">
        <f t="shared" si="116"/>
        <v>#N/A</v>
      </c>
      <c r="U738" s="18" t="e">
        <f t="shared" si="117"/>
        <v>#N/A</v>
      </c>
      <c r="V738" s="14" t="e">
        <f t="shared" si="115"/>
        <v>#N/A</v>
      </c>
      <c r="W738" s="19" t="e">
        <f t="shared" si="118"/>
        <v>#N/A</v>
      </c>
      <c r="X738" t="e">
        <f>VLOOKUP(P738,Close[[ID]:[CreatedBy]],8,0)</f>
        <v>#N/A</v>
      </c>
    </row>
    <row r="739" spans="2:24" x14ac:dyDescent="0.35">
      <c r="B739" t="str">
        <f>IF(NOT(ISBLANK(A739)),VLOOKUP(A739,'BBT3'!A:F,2,0),"")</f>
        <v/>
      </c>
      <c r="C739" t="str">
        <f>IF(NOT(ISBLANK(A739)),VLOOKUP(A739,'BBT3'!A:F,3,0),"")</f>
        <v/>
      </c>
      <c r="D739" s="5" t="str">
        <f>IF(NOT(ISBLANK(A739)),VLOOKUP(A739,'BBT3'!A:F,4,1),"")</f>
        <v/>
      </c>
      <c r="E739" t="str">
        <f>IF(NOT(ISBLANK(A739)),VLOOKUP(A739,'BBT3'!A:F,5,0),"")</f>
        <v/>
      </c>
      <c r="F739" t="str">
        <f>IF(NOT(ISBLANK(A739)),VLOOKUP(A739,'BBT3'!A:F,6,0),"")</f>
        <v/>
      </c>
      <c r="G739" t="str">
        <f t="shared" si="110"/>
        <v/>
      </c>
      <c r="H739" t="str">
        <f>IF(NOT(ISBLANK(A739)),VLOOKUP(A739,'Close - PriceSaver'!A:J,5,0),"")</f>
        <v/>
      </c>
      <c r="I739" s="4" t="str" cm="1">
        <f t="array" ref="I739">IF(NOT(ISBLANK(A739)),((_xlfn.XLOOKUP(1,(_bbt3[[#All],[ID]]=A739)*(_bbt3[[#All],[METRIC_NAME]]="YLD_YTM_ASK"),_bbt3[[#All],[METRIC_VALUE]])*0.5)+(_xlfn.XLOOKUP(1,(_bbt3[[#All],[ID]]=A739)*(_bbt3[[#All],[METRIC_NAME]]="YLD_YTM_BID"),_bbt3[[#All],[METRIC_VALUE]])*0.5))/100,"")</f>
        <v/>
      </c>
      <c r="J739">
        <f>IF(ISNA(VLOOKUP(A739,'CloseDL - PriceSaverBBT3'!A:E,5,0)),0,VLOOKUP(A739,'CloseDL - PriceSaverBBT3'!A:E,5,0))</f>
        <v>0</v>
      </c>
      <c r="K739" s="7" t="str">
        <f t="shared" si="111"/>
        <v/>
      </c>
      <c r="L739" s="20">
        <f>IF(Close[[#This Row],[CreatedBy]]="MARINER\SilverAdm",1,0)</f>
        <v>1</v>
      </c>
      <c r="M739" t="str">
        <f>IF(NOT(ISBLANK(A739)),VLOOKUP(A739,'Close - PriceSaver'!A:J,6,0),"")</f>
        <v/>
      </c>
      <c r="Q739" t="e">
        <f t="shared" si="112"/>
        <v>#N/A</v>
      </c>
      <c r="R739" t="e">
        <f t="shared" si="113"/>
        <v>#N/A</v>
      </c>
      <c r="S739" t="e">
        <f t="shared" si="114"/>
        <v>#N/A</v>
      </c>
      <c r="T739" s="15" t="e">
        <f t="shared" si="116"/>
        <v>#N/A</v>
      </c>
      <c r="U739" s="18" t="e">
        <f t="shared" si="117"/>
        <v>#N/A</v>
      </c>
      <c r="V739" s="14" t="e">
        <f t="shared" si="115"/>
        <v>#N/A</v>
      </c>
      <c r="W739" s="19" t="e">
        <f t="shared" si="118"/>
        <v>#N/A</v>
      </c>
      <c r="X739" t="e">
        <f>VLOOKUP(P739,Close[[ID]:[CreatedBy]],8,0)</f>
        <v>#N/A</v>
      </c>
    </row>
    <row r="740" spans="2:24" x14ac:dyDescent="0.35">
      <c r="B740" t="str">
        <f>IF(NOT(ISBLANK(A740)),VLOOKUP(A740,'BBT3'!A:F,2,0),"")</f>
        <v/>
      </c>
      <c r="C740" t="str">
        <f>IF(NOT(ISBLANK(A740)),VLOOKUP(A740,'BBT3'!A:F,3,0),"")</f>
        <v/>
      </c>
      <c r="D740" s="5" t="str">
        <f>IF(NOT(ISBLANK(A740)),VLOOKUP(A740,'BBT3'!A:F,4,1),"")</f>
        <v/>
      </c>
      <c r="E740" t="str">
        <f>IF(NOT(ISBLANK(A740)),VLOOKUP(A740,'BBT3'!A:F,5,0),"")</f>
        <v/>
      </c>
      <c r="F740" t="str">
        <f>IF(NOT(ISBLANK(A740)),VLOOKUP(A740,'BBT3'!A:F,6,0),"")</f>
        <v/>
      </c>
      <c r="G740" t="str">
        <f t="shared" si="110"/>
        <v/>
      </c>
      <c r="H740" t="str">
        <f>IF(NOT(ISBLANK(A740)),VLOOKUP(A740,'Close - PriceSaver'!A:J,5,0),"")</f>
        <v/>
      </c>
      <c r="I740" s="4" t="str" cm="1">
        <f t="array" ref="I740">IF(NOT(ISBLANK(A740)),((_xlfn.XLOOKUP(1,(_bbt3[[#All],[ID]]=A740)*(_bbt3[[#All],[METRIC_NAME]]="YLD_YTM_ASK"),_bbt3[[#All],[METRIC_VALUE]])*0.5)+(_xlfn.XLOOKUP(1,(_bbt3[[#All],[ID]]=A740)*(_bbt3[[#All],[METRIC_NAME]]="YLD_YTM_BID"),_bbt3[[#All],[METRIC_VALUE]])*0.5))/100,"")</f>
        <v/>
      </c>
      <c r="J740">
        <f>IF(ISNA(VLOOKUP(A740,'CloseDL - PriceSaverBBT3'!A:E,5,0)),0,VLOOKUP(A740,'CloseDL - PriceSaverBBT3'!A:E,5,0))</f>
        <v>0</v>
      </c>
      <c r="K740" s="7" t="str">
        <f t="shared" si="111"/>
        <v/>
      </c>
      <c r="L740" s="20">
        <f>IF(Close[[#This Row],[CreatedBy]]="MARINER\SilverAdm",1,0)</f>
        <v>1</v>
      </c>
      <c r="M740" t="str">
        <f>IF(NOT(ISBLANK(A740)),VLOOKUP(A740,'Close - PriceSaver'!A:J,6,0),"")</f>
        <v/>
      </c>
      <c r="Q740" t="e">
        <f t="shared" si="112"/>
        <v>#N/A</v>
      </c>
      <c r="R740" t="e">
        <f t="shared" si="113"/>
        <v>#N/A</v>
      </c>
      <c r="S740" t="e">
        <f t="shared" si="114"/>
        <v>#N/A</v>
      </c>
      <c r="T740" s="15" t="e">
        <f t="shared" si="116"/>
        <v>#N/A</v>
      </c>
      <c r="U740" s="18" t="e">
        <f t="shared" si="117"/>
        <v>#N/A</v>
      </c>
      <c r="V740" s="14" t="e">
        <f t="shared" si="115"/>
        <v>#N/A</v>
      </c>
      <c r="W740" s="19" t="e">
        <f t="shared" si="118"/>
        <v>#N/A</v>
      </c>
      <c r="X740" t="e">
        <f>VLOOKUP(P740,Close[[ID]:[CreatedBy]],8,0)</f>
        <v>#N/A</v>
      </c>
    </row>
    <row r="741" spans="2:24" x14ac:dyDescent="0.35">
      <c r="B741" t="str">
        <f>IF(NOT(ISBLANK(A741)),VLOOKUP(A741,'BBT3'!A:F,2,0),"")</f>
        <v/>
      </c>
      <c r="C741" t="str">
        <f>IF(NOT(ISBLANK(A741)),VLOOKUP(A741,'BBT3'!A:F,3,0),"")</f>
        <v/>
      </c>
      <c r="D741" s="5" t="str">
        <f>IF(NOT(ISBLANK(A741)),VLOOKUP(A741,'BBT3'!A:F,4,1),"")</f>
        <v/>
      </c>
      <c r="E741" t="str">
        <f>IF(NOT(ISBLANK(A741)),VLOOKUP(A741,'BBT3'!A:F,5,0),"")</f>
        <v/>
      </c>
      <c r="F741" t="str">
        <f>IF(NOT(ISBLANK(A741)),VLOOKUP(A741,'BBT3'!A:F,6,0),"")</f>
        <v/>
      </c>
      <c r="G741" t="str">
        <f t="shared" si="110"/>
        <v/>
      </c>
      <c r="H741" t="str">
        <f>IF(NOT(ISBLANK(A741)),VLOOKUP(A741,'Close - PriceSaver'!A:J,5,0),"")</f>
        <v/>
      </c>
      <c r="I741" s="4" t="str" cm="1">
        <f t="array" ref="I741">IF(NOT(ISBLANK(A741)),((_xlfn.XLOOKUP(1,(_bbt3[[#All],[ID]]=A741)*(_bbt3[[#All],[METRIC_NAME]]="YLD_YTM_ASK"),_bbt3[[#All],[METRIC_VALUE]])*0.5)+(_xlfn.XLOOKUP(1,(_bbt3[[#All],[ID]]=A741)*(_bbt3[[#All],[METRIC_NAME]]="YLD_YTM_BID"),_bbt3[[#All],[METRIC_VALUE]])*0.5))/100,"")</f>
        <v/>
      </c>
      <c r="J741">
        <f>IF(ISNA(VLOOKUP(A741,'CloseDL - PriceSaverBBT3'!A:E,5,0)),0,VLOOKUP(A741,'CloseDL - PriceSaverBBT3'!A:E,5,0))</f>
        <v>0</v>
      </c>
      <c r="K741" s="7" t="str">
        <f t="shared" si="111"/>
        <v/>
      </c>
      <c r="L741" s="20">
        <f>IF(Close[[#This Row],[CreatedBy]]="MARINER\SilverAdm",1,0)</f>
        <v>1</v>
      </c>
      <c r="M741" t="str">
        <f>IF(NOT(ISBLANK(A741)),VLOOKUP(A741,'Close - PriceSaver'!A:J,6,0),"")</f>
        <v/>
      </c>
      <c r="Q741" t="e">
        <f t="shared" si="112"/>
        <v>#N/A</v>
      </c>
      <c r="R741" t="e">
        <f t="shared" si="113"/>
        <v>#N/A</v>
      </c>
      <c r="S741" t="e">
        <f t="shared" si="114"/>
        <v>#N/A</v>
      </c>
      <c r="T741" s="15" t="e">
        <f t="shared" si="116"/>
        <v>#N/A</v>
      </c>
      <c r="U741" s="18" t="e">
        <f t="shared" si="117"/>
        <v>#N/A</v>
      </c>
      <c r="V741" s="14" t="e">
        <f t="shared" si="115"/>
        <v>#N/A</v>
      </c>
      <c r="W741" s="19" t="e">
        <f t="shared" si="118"/>
        <v>#N/A</v>
      </c>
      <c r="X741" t="e">
        <f>VLOOKUP(P741,Close[[ID]:[CreatedBy]],8,0)</f>
        <v>#N/A</v>
      </c>
    </row>
    <row r="742" spans="2:24" x14ac:dyDescent="0.35">
      <c r="B742" t="str">
        <f>IF(NOT(ISBLANK(A742)),VLOOKUP(A742,'BBT3'!A:F,2,0),"")</f>
        <v/>
      </c>
      <c r="C742" t="str">
        <f>IF(NOT(ISBLANK(A742)),VLOOKUP(A742,'BBT3'!A:F,3,0),"")</f>
        <v/>
      </c>
      <c r="D742" s="5" t="str">
        <f>IF(NOT(ISBLANK(A742)),VLOOKUP(A742,'BBT3'!A:F,4,1),"")</f>
        <v/>
      </c>
      <c r="E742" t="str">
        <f>IF(NOT(ISBLANK(A742)),VLOOKUP(A742,'BBT3'!A:F,5,0),"")</f>
        <v/>
      </c>
      <c r="F742" t="str">
        <f>IF(NOT(ISBLANK(A742)),VLOOKUP(A742,'BBT3'!A:F,6,0),"")</f>
        <v/>
      </c>
      <c r="G742" t="str">
        <f t="shared" si="110"/>
        <v/>
      </c>
      <c r="H742" t="str">
        <f>IF(NOT(ISBLANK(A742)),VLOOKUP(A742,'Close - PriceSaver'!A:J,5,0),"")</f>
        <v/>
      </c>
      <c r="I742" s="4" t="str" cm="1">
        <f t="array" ref="I742">IF(NOT(ISBLANK(A742)),((_xlfn.XLOOKUP(1,(_bbt3[[#All],[ID]]=A742)*(_bbt3[[#All],[METRIC_NAME]]="YLD_YTM_ASK"),_bbt3[[#All],[METRIC_VALUE]])*0.5)+(_xlfn.XLOOKUP(1,(_bbt3[[#All],[ID]]=A742)*(_bbt3[[#All],[METRIC_NAME]]="YLD_YTM_BID"),_bbt3[[#All],[METRIC_VALUE]])*0.5))/100,"")</f>
        <v/>
      </c>
      <c r="J742">
        <f>IF(ISNA(VLOOKUP(A742,'CloseDL - PriceSaverBBT3'!A:E,5,0)),0,VLOOKUP(A742,'CloseDL - PriceSaverBBT3'!A:E,5,0))</f>
        <v>0</v>
      </c>
      <c r="K742" s="7" t="str">
        <f t="shared" si="111"/>
        <v/>
      </c>
      <c r="L742" s="20">
        <f>IF(Close[[#This Row],[CreatedBy]]="MARINER\SilverAdm",1,0)</f>
        <v>1</v>
      </c>
      <c r="M742" t="str">
        <f>IF(NOT(ISBLANK(A742)),VLOOKUP(A742,'Close - PriceSaver'!A:J,6,0),"")</f>
        <v/>
      </c>
      <c r="Q742" t="e">
        <f t="shared" si="112"/>
        <v>#N/A</v>
      </c>
      <c r="R742" t="e">
        <f t="shared" si="113"/>
        <v>#N/A</v>
      </c>
      <c r="S742" t="e">
        <f t="shared" si="114"/>
        <v>#N/A</v>
      </c>
      <c r="T742" s="15" t="e">
        <f t="shared" si="116"/>
        <v>#N/A</v>
      </c>
      <c r="U742" s="18" t="e">
        <f t="shared" si="117"/>
        <v>#N/A</v>
      </c>
      <c r="V742" s="14" t="e">
        <f t="shared" si="115"/>
        <v>#N/A</v>
      </c>
      <c r="W742" s="19" t="e">
        <f t="shared" si="118"/>
        <v>#N/A</v>
      </c>
      <c r="X742" t="e">
        <f>VLOOKUP(P742,Close[[ID]:[CreatedBy]],8,0)</f>
        <v>#N/A</v>
      </c>
    </row>
    <row r="743" spans="2:24" x14ac:dyDescent="0.35">
      <c r="B743" t="str">
        <f>IF(NOT(ISBLANK(A743)),VLOOKUP(A743,'BBT3'!A:F,2,0),"")</f>
        <v/>
      </c>
      <c r="C743" t="str">
        <f>IF(NOT(ISBLANK(A743)),VLOOKUP(A743,'BBT3'!A:F,3,0),"")</f>
        <v/>
      </c>
      <c r="D743" s="5" t="str">
        <f>IF(NOT(ISBLANK(A743)),VLOOKUP(A743,'BBT3'!A:F,4,1),"")</f>
        <v/>
      </c>
      <c r="E743" t="str">
        <f>IF(NOT(ISBLANK(A743)),VLOOKUP(A743,'BBT3'!A:F,5,0),"")</f>
        <v/>
      </c>
      <c r="F743" t="str">
        <f>IF(NOT(ISBLANK(A743)),VLOOKUP(A743,'BBT3'!A:F,6,0),"")</f>
        <v/>
      </c>
      <c r="G743" t="str">
        <f t="shared" si="110"/>
        <v/>
      </c>
      <c r="H743" t="str">
        <f>IF(NOT(ISBLANK(A743)),VLOOKUP(A743,'Close - PriceSaver'!A:J,5,0),"")</f>
        <v/>
      </c>
      <c r="I743" s="4" t="str" cm="1">
        <f t="array" ref="I743">IF(NOT(ISBLANK(A743)),((_xlfn.XLOOKUP(1,(_bbt3[[#All],[ID]]=A743)*(_bbt3[[#All],[METRIC_NAME]]="YLD_YTM_ASK"),_bbt3[[#All],[METRIC_VALUE]])*0.5)+(_xlfn.XLOOKUP(1,(_bbt3[[#All],[ID]]=A743)*(_bbt3[[#All],[METRIC_NAME]]="YLD_YTM_BID"),_bbt3[[#All],[METRIC_VALUE]])*0.5))/100,"")</f>
        <v/>
      </c>
      <c r="J743">
        <f>IF(ISNA(VLOOKUP(A743,'CloseDL - PriceSaverBBT3'!A:E,5,0)),0,VLOOKUP(A743,'CloseDL - PriceSaverBBT3'!A:E,5,0))</f>
        <v>0</v>
      </c>
      <c r="K743" s="7" t="str">
        <f t="shared" si="111"/>
        <v/>
      </c>
      <c r="L743" s="20">
        <f>IF(Close[[#This Row],[CreatedBy]]="MARINER\SilverAdm",1,0)</f>
        <v>1</v>
      </c>
      <c r="M743" t="str">
        <f>IF(NOT(ISBLANK(A743)),VLOOKUP(A743,'Close - PriceSaver'!A:J,6,0),"")</f>
        <v/>
      </c>
      <c r="Q743" t="e">
        <f t="shared" si="112"/>
        <v>#N/A</v>
      </c>
      <c r="R743" t="e">
        <f t="shared" si="113"/>
        <v>#N/A</v>
      </c>
      <c r="S743" t="e">
        <f t="shared" si="114"/>
        <v>#N/A</v>
      </c>
      <c r="T743" s="15" t="e">
        <f t="shared" si="116"/>
        <v>#N/A</v>
      </c>
      <c r="U743" s="18" t="e">
        <f t="shared" si="117"/>
        <v>#N/A</v>
      </c>
      <c r="V743" s="14" t="e">
        <f t="shared" si="115"/>
        <v>#N/A</v>
      </c>
      <c r="W743" s="19" t="e">
        <f t="shared" si="118"/>
        <v>#N/A</v>
      </c>
      <c r="X743" t="e">
        <f>VLOOKUP(P743,Close[[ID]:[CreatedBy]],8,0)</f>
        <v>#N/A</v>
      </c>
    </row>
    <row r="744" spans="2:24" x14ac:dyDescent="0.35">
      <c r="B744" t="str">
        <f>IF(NOT(ISBLANK(A744)),VLOOKUP(A744,'BBT3'!A:F,2,0),"")</f>
        <v/>
      </c>
      <c r="C744" t="str">
        <f>IF(NOT(ISBLANK(A744)),VLOOKUP(A744,'BBT3'!A:F,3,0),"")</f>
        <v/>
      </c>
      <c r="D744" s="5" t="str">
        <f>IF(NOT(ISBLANK(A744)),VLOOKUP(A744,'BBT3'!A:F,4,1),"")</f>
        <v/>
      </c>
      <c r="E744" t="str">
        <f>IF(NOT(ISBLANK(A744)),VLOOKUP(A744,'BBT3'!A:F,5,0),"")</f>
        <v/>
      </c>
      <c r="F744" t="str">
        <f>IF(NOT(ISBLANK(A744)),VLOOKUP(A744,'BBT3'!A:F,6,0),"")</f>
        <v/>
      </c>
      <c r="G744" t="str">
        <f t="shared" si="110"/>
        <v/>
      </c>
      <c r="H744" t="str">
        <f>IF(NOT(ISBLANK(A744)),VLOOKUP(A744,'Close - PriceSaver'!A:J,5,0),"")</f>
        <v/>
      </c>
      <c r="I744" s="4" t="str" cm="1">
        <f t="array" ref="I744">IF(NOT(ISBLANK(A744)),((_xlfn.XLOOKUP(1,(_bbt3[[#All],[ID]]=A744)*(_bbt3[[#All],[METRIC_NAME]]="YLD_YTM_ASK"),_bbt3[[#All],[METRIC_VALUE]])*0.5)+(_xlfn.XLOOKUP(1,(_bbt3[[#All],[ID]]=A744)*(_bbt3[[#All],[METRIC_NAME]]="YLD_YTM_BID"),_bbt3[[#All],[METRIC_VALUE]])*0.5))/100,"")</f>
        <v/>
      </c>
      <c r="J744">
        <f>IF(ISNA(VLOOKUP(A744,'CloseDL - PriceSaverBBT3'!A:E,5,0)),0,VLOOKUP(A744,'CloseDL - PriceSaverBBT3'!A:E,5,0))</f>
        <v>0</v>
      </c>
      <c r="K744" s="7" t="str">
        <f t="shared" si="111"/>
        <v/>
      </c>
      <c r="L744" s="20">
        <f>IF(Close[[#This Row],[CreatedBy]]="MARINER\SilverAdm",1,0)</f>
        <v>1</v>
      </c>
      <c r="M744" t="str">
        <f>IF(NOT(ISBLANK(A744)),VLOOKUP(A744,'Close - PriceSaver'!A:J,6,0),"")</f>
        <v/>
      </c>
      <c r="Q744" t="e">
        <f t="shared" si="112"/>
        <v>#N/A</v>
      </c>
      <c r="R744" t="e">
        <f t="shared" si="113"/>
        <v>#N/A</v>
      </c>
      <c r="S744" t="e">
        <f t="shared" si="114"/>
        <v>#N/A</v>
      </c>
      <c r="T744" s="15" t="e">
        <f t="shared" si="116"/>
        <v>#N/A</v>
      </c>
      <c r="U744" s="18" t="e">
        <f t="shared" si="117"/>
        <v>#N/A</v>
      </c>
      <c r="V744" s="14" t="e">
        <f t="shared" si="115"/>
        <v>#N/A</v>
      </c>
      <c r="W744" s="19" t="e">
        <f t="shared" si="118"/>
        <v>#N/A</v>
      </c>
      <c r="X744" t="e">
        <f>VLOOKUP(P744,Close[[ID]:[CreatedBy]],8,0)</f>
        <v>#N/A</v>
      </c>
    </row>
    <row r="745" spans="2:24" x14ac:dyDescent="0.35">
      <c r="B745" t="str">
        <f>IF(NOT(ISBLANK(A745)),VLOOKUP(A745,'BBT3'!A:F,2,0),"")</f>
        <v/>
      </c>
      <c r="C745" t="str">
        <f>IF(NOT(ISBLANK(A745)),VLOOKUP(A745,'BBT3'!A:F,3,0),"")</f>
        <v/>
      </c>
      <c r="D745" s="5" t="str">
        <f>IF(NOT(ISBLANK(A745)),VLOOKUP(A745,'BBT3'!A:F,4,1),"")</f>
        <v/>
      </c>
      <c r="E745" t="str">
        <f>IF(NOT(ISBLANK(A745)),VLOOKUP(A745,'BBT3'!A:F,5,0),"")</f>
        <v/>
      </c>
      <c r="F745" t="str">
        <f>IF(NOT(ISBLANK(A745)),VLOOKUP(A745,'BBT3'!A:F,6,0),"")</f>
        <v/>
      </c>
      <c r="G745" t="str">
        <f t="shared" si="110"/>
        <v/>
      </c>
      <c r="H745" t="str">
        <f>IF(NOT(ISBLANK(A745)),VLOOKUP(A745,'Close - PriceSaver'!A:J,5,0),"")</f>
        <v/>
      </c>
      <c r="I745" s="4" t="str" cm="1">
        <f t="array" ref="I745">IF(NOT(ISBLANK(A745)),((_xlfn.XLOOKUP(1,(_bbt3[[#All],[ID]]=A745)*(_bbt3[[#All],[METRIC_NAME]]="YLD_YTM_ASK"),_bbt3[[#All],[METRIC_VALUE]])*0.5)+(_xlfn.XLOOKUP(1,(_bbt3[[#All],[ID]]=A745)*(_bbt3[[#All],[METRIC_NAME]]="YLD_YTM_BID"),_bbt3[[#All],[METRIC_VALUE]])*0.5))/100,"")</f>
        <v/>
      </c>
      <c r="J745">
        <f>IF(ISNA(VLOOKUP(A745,'CloseDL - PriceSaverBBT3'!A:E,5,0)),0,VLOOKUP(A745,'CloseDL - PriceSaverBBT3'!A:E,5,0))</f>
        <v>0</v>
      </c>
      <c r="K745" s="7" t="str">
        <f t="shared" si="111"/>
        <v/>
      </c>
      <c r="L745" s="20">
        <f>IF(Close[[#This Row],[CreatedBy]]="MARINER\SilverAdm",1,0)</f>
        <v>1</v>
      </c>
      <c r="M745" t="str">
        <f>IF(NOT(ISBLANK(A745)),VLOOKUP(A745,'Close - PriceSaver'!A:J,6,0),"")</f>
        <v/>
      </c>
      <c r="Q745" t="e">
        <f t="shared" si="112"/>
        <v>#N/A</v>
      </c>
      <c r="R745" t="e">
        <f t="shared" si="113"/>
        <v>#N/A</v>
      </c>
      <c r="S745" t="e">
        <f t="shared" si="114"/>
        <v>#N/A</v>
      </c>
      <c r="T745" s="15" t="e">
        <f t="shared" si="116"/>
        <v>#N/A</v>
      </c>
      <c r="U745" s="18" t="e">
        <f t="shared" si="117"/>
        <v>#N/A</v>
      </c>
      <c r="V745" s="14" t="e">
        <f t="shared" si="115"/>
        <v>#N/A</v>
      </c>
      <c r="W745" s="19" t="e">
        <f t="shared" si="118"/>
        <v>#N/A</v>
      </c>
      <c r="X745" t="e">
        <f>VLOOKUP(P745,Close[[ID]:[CreatedBy]],8,0)</f>
        <v>#N/A</v>
      </c>
    </row>
    <row r="746" spans="2:24" x14ac:dyDescent="0.35">
      <c r="B746" t="str">
        <f>IF(NOT(ISBLANK(A746)),VLOOKUP(A746,'BBT3'!A:F,2,0),"")</f>
        <v/>
      </c>
      <c r="C746" t="str">
        <f>IF(NOT(ISBLANK(A746)),VLOOKUP(A746,'BBT3'!A:F,3,0),"")</f>
        <v/>
      </c>
      <c r="D746" s="5" t="str">
        <f>IF(NOT(ISBLANK(A746)),VLOOKUP(A746,'BBT3'!A:F,4,1),"")</f>
        <v/>
      </c>
      <c r="E746" t="str">
        <f>IF(NOT(ISBLANK(A746)),VLOOKUP(A746,'BBT3'!A:F,5,0),"")</f>
        <v/>
      </c>
      <c r="F746" t="str">
        <f>IF(NOT(ISBLANK(A746)),VLOOKUP(A746,'BBT3'!A:F,6,0),"")</f>
        <v/>
      </c>
      <c r="G746" t="str">
        <f t="shared" si="110"/>
        <v/>
      </c>
      <c r="H746" t="str">
        <f>IF(NOT(ISBLANK(A746)),VLOOKUP(A746,'Close - PriceSaver'!A:J,5,0),"")</f>
        <v/>
      </c>
      <c r="I746" s="4" t="str" cm="1">
        <f t="array" ref="I746">IF(NOT(ISBLANK(A746)),((_xlfn.XLOOKUP(1,(_bbt3[[#All],[ID]]=A746)*(_bbt3[[#All],[METRIC_NAME]]="YLD_YTM_ASK"),_bbt3[[#All],[METRIC_VALUE]])*0.5)+(_xlfn.XLOOKUP(1,(_bbt3[[#All],[ID]]=A746)*(_bbt3[[#All],[METRIC_NAME]]="YLD_YTM_BID"),_bbt3[[#All],[METRIC_VALUE]])*0.5))/100,"")</f>
        <v/>
      </c>
      <c r="J746">
        <f>IF(ISNA(VLOOKUP(A746,'CloseDL - PriceSaverBBT3'!A:E,5,0)),0,VLOOKUP(A746,'CloseDL - PriceSaverBBT3'!A:E,5,0))</f>
        <v>0</v>
      </c>
      <c r="K746" s="7" t="str">
        <f t="shared" si="111"/>
        <v/>
      </c>
      <c r="L746" s="20">
        <f>IF(Close[[#This Row],[CreatedBy]]="MARINER\SilverAdm",1,0)</f>
        <v>1</v>
      </c>
      <c r="M746" t="str">
        <f>IF(NOT(ISBLANK(A746)),VLOOKUP(A746,'Close - PriceSaver'!A:J,6,0),"")</f>
        <v/>
      </c>
      <c r="Q746" t="e">
        <f t="shared" si="112"/>
        <v>#N/A</v>
      </c>
      <c r="R746" t="e">
        <f t="shared" si="113"/>
        <v>#N/A</v>
      </c>
      <c r="S746" t="e">
        <f t="shared" si="114"/>
        <v>#N/A</v>
      </c>
      <c r="T746" s="15" t="e">
        <f t="shared" si="116"/>
        <v>#N/A</v>
      </c>
      <c r="U746" s="18" t="e">
        <f t="shared" si="117"/>
        <v>#N/A</v>
      </c>
      <c r="V746" s="14" t="e">
        <f t="shared" si="115"/>
        <v>#N/A</v>
      </c>
      <c r="W746" s="19" t="e">
        <f t="shared" si="118"/>
        <v>#N/A</v>
      </c>
      <c r="X746" t="e">
        <f>VLOOKUP(P746,Close[[ID]:[CreatedBy]],8,0)</f>
        <v>#N/A</v>
      </c>
    </row>
    <row r="747" spans="2:24" x14ac:dyDescent="0.35">
      <c r="B747" t="str">
        <f>IF(NOT(ISBLANK(A747)),VLOOKUP(A747,'BBT3'!A:F,2,0),"")</f>
        <v/>
      </c>
      <c r="C747" t="str">
        <f>IF(NOT(ISBLANK(A747)),VLOOKUP(A747,'BBT3'!A:F,3,0),"")</f>
        <v/>
      </c>
      <c r="D747" s="5" t="str">
        <f>IF(NOT(ISBLANK(A747)),VLOOKUP(A747,'BBT3'!A:F,4,1),"")</f>
        <v/>
      </c>
      <c r="E747" t="str">
        <f>IF(NOT(ISBLANK(A747)),VLOOKUP(A747,'BBT3'!A:F,5,0),"")</f>
        <v/>
      </c>
      <c r="F747" t="str">
        <f>IF(NOT(ISBLANK(A747)),VLOOKUP(A747,'BBT3'!A:F,6,0),"")</f>
        <v/>
      </c>
      <c r="G747" t="str">
        <f t="shared" si="110"/>
        <v/>
      </c>
      <c r="H747" t="str">
        <f>IF(NOT(ISBLANK(A747)),VLOOKUP(A747,'Close - PriceSaver'!A:J,5,0),"")</f>
        <v/>
      </c>
      <c r="I747" s="4" t="str" cm="1">
        <f t="array" ref="I747">IF(NOT(ISBLANK(A747)),((_xlfn.XLOOKUP(1,(_bbt3[[#All],[ID]]=A747)*(_bbt3[[#All],[METRIC_NAME]]="YLD_YTM_ASK"),_bbt3[[#All],[METRIC_VALUE]])*0.5)+(_xlfn.XLOOKUP(1,(_bbt3[[#All],[ID]]=A747)*(_bbt3[[#All],[METRIC_NAME]]="YLD_YTM_BID"),_bbt3[[#All],[METRIC_VALUE]])*0.5))/100,"")</f>
        <v/>
      </c>
      <c r="J747">
        <f>IF(ISNA(VLOOKUP(A747,'CloseDL - PriceSaverBBT3'!A:E,5,0)),0,VLOOKUP(A747,'CloseDL - PriceSaverBBT3'!A:E,5,0))</f>
        <v>0</v>
      </c>
      <c r="K747" s="7" t="str">
        <f t="shared" si="111"/>
        <v/>
      </c>
      <c r="L747" s="20">
        <f>IF(Close[[#This Row],[CreatedBy]]="MARINER\SilverAdm",1,0)</f>
        <v>1</v>
      </c>
      <c r="M747" t="str">
        <f>IF(NOT(ISBLANK(A747)),VLOOKUP(A747,'Close - PriceSaver'!A:J,6,0),"")</f>
        <v/>
      </c>
      <c r="Q747" t="e">
        <f t="shared" si="112"/>
        <v>#N/A</v>
      </c>
      <c r="R747" t="e">
        <f t="shared" si="113"/>
        <v>#N/A</v>
      </c>
      <c r="S747" t="e">
        <f t="shared" si="114"/>
        <v>#N/A</v>
      </c>
      <c r="T747" s="15" t="e">
        <f t="shared" si="116"/>
        <v>#N/A</v>
      </c>
      <c r="U747" s="18" t="e">
        <f t="shared" si="117"/>
        <v>#N/A</v>
      </c>
      <c r="V747" s="14" t="e">
        <f t="shared" si="115"/>
        <v>#N/A</v>
      </c>
      <c r="W747" s="19" t="e">
        <f t="shared" si="118"/>
        <v>#N/A</v>
      </c>
      <c r="X747" t="e">
        <f>VLOOKUP(P747,Close[[ID]:[CreatedBy]],8,0)</f>
        <v>#N/A</v>
      </c>
    </row>
    <row r="748" spans="2:24" x14ac:dyDescent="0.35">
      <c r="B748" t="str">
        <f>IF(NOT(ISBLANK(A748)),VLOOKUP(A748,'BBT3'!A:F,2,0),"")</f>
        <v/>
      </c>
      <c r="C748" t="str">
        <f>IF(NOT(ISBLANK(A748)),VLOOKUP(A748,'BBT3'!A:F,3,0),"")</f>
        <v/>
      </c>
      <c r="D748" s="5" t="str">
        <f>IF(NOT(ISBLANK(A748)),VLOOKUP(A748,'BBT3'!A:F,4,1),"")</f>
        <v/>
      </c>
      <c r="E748" t="str">
        <f>IF(NOT(ISBLANK(A748)),VLOOKUP(A748,'BBT3'!A:F,5,0),"")</f>
        <v/>
      </c>
      <c r="F748" t="str">
        <f>IF(NOT(ISBLANK(A748)),VLOOKUP(A748,'BBT3'!A:F,6,0),"")</f>
        <v/>
      </c>
      <c r="G748" t="str">
        <f t="shared" si="110"/>
        <v/>
      </c>
      <c r="H748" t="str">
        <f>IF(NOT(ISBLANK(A748)),VLOOKUP(A748,'Close - PriceSaver'!A:J,5,0),"")</f>
        <v/>
      </c>
      <c r="I748" s="4" t="str" cm="1">
        <f t="array" ref="I748">IF(NOT(ISBLANK(A748)),((_xlfn.XLOOKUP(1,(_bbt3[[#All],[ID]]=A748)*(_bbt3[[#All],[METRIC_NAME]]="YLD_YTM_ASK"),_bbt3[[#All],[METRIC_VALUE]])*0.5)+(_xlfn.XLOOKUP(1,(_bbt3[[#All],[ID]]=A748)*(_bbt3[[#All],[METRIC_NAME]]="YLD_YTM_BID"),_bbt3[[#All],[METRIC_VALUE]])*0.5))/100,"")</f>
        <v/>
      </c>
      <c r="J748">
        <f>IF(ISNA(VLOOKUP(A748,'CloseDL - PriceSaverBBT3'!A:E,5,0)),0,VLOOKUP(A748,'CloseDL - PriceSaverBBT3'!A:E,5,0))</f>
        <v>0</v>
      </c>
      <c r="K748" s="7" t="str">
        <f t="shared" si="111"/>
        <v/>
      </c>
      <c r="L748" s="20">
        <f>IF(Close[[#This Row],[CreatedBy]]="MARINER\SilverAdm",1,0)</f>
        <v>1</v>
      </c>
      <c r="M748" t="str">
        <f>IF(NOT(ISBLANK(A748)),VLOOKUP(A748,'Close - PriceSaver'!A:J,6,0),"")</f>
        <v/>
      </c>
      <c r="Q748" t="e">
        <f t="shared" si="112"/>
        <v>#N/A</v>
      </c>
      <c r="R748" t="e">
        <f t="shared" si="113"/>
        <v>#N/A</v>
      </c>
      <c r="S748" t="e">
        <f t="shared" si="114"/>
        <v>#N/A</v>
      </c>
      <c r="T748" s="15" t="e">
        <f t="shared" si="116"/>
        <v>#N/A</v>
      </c>
      <c r="U748" s="18" t="e">
        <f t="shared" si="117"/>
        <v>#N/A</v>
      </c>
      <c r="V748" s="14" t="e">
        <f t="shared" si="115"/>
        <v>#N/A</v>
      </c>
      <c r="W748" s="19" t="e">
        <f t="shared" si="118"/>
        <v>#N/A</v>
      </c>
      <c r="X748" t="e">
        <f>VLOOKUP(P748,Close[[ID]:[CreatedBy]],8,0)</f>
        <v>#N/A</v>
      </c>
    </row>
    <row r="749" spans="2:24" x14ac:dyDescent="0.35">
      <c r="B749" t="str">
        <f>IF(NOT(ISBLANK(A749)),VLOOKUP(A749,'BBT3'!A:F,2,0),"")</f>
        <v/>
      </c>
      <c r="C749" t="str">
        <f>IF(NOT(ISBLANK(A749)),VLOOKUP(A749,'BBT3'!A:F,3,0),"")</f>
        <v/>
      </c>
      <c r="D749" s="5" t="str">
        <f>IF(NOT(ISBLANK(A749)),VLOOKUP(A749,'BBT3'!A:F,4,1),"")</f>
        <v/>
      </c>
      <c r="E749" t="str">
        <f>IF(NOT(ISBLANK(A749)),VLOOKUP(A749,'BBT3'!A:F,5,0),"")</f>
        <v/>
      </c>
      <c r="F749" t="str">
        <f>IF(NOT(ISBLANK(A749)),VLOOKUP(A749,'BBT3'!A:F,6,0),"")</f>
        <v/>
      </c>
      <c r="G749" t="str">
        <f t="shared" si="110"/>
        <v/>
      </c>
      <c r="H749" t="str">
        <f>IF(NOT(ISBLANK(A749)),VLOOKUP(A749,'Close - PriceSaver'!A:J,5,0),"")</f>
        <v/>
      </c>
      <c r="I749" s="4" t="str" cm="1">
        <f t="array" ref="I749">IF(NOT(ISBLANK(A749)),((_xlfn.XLOOKUP(1,(_bbt3[[#All],[ID]]=A749)*(_bbt3[[#All],[METRIC_NAME]]="YLD_YTM_ASK"),_bbt3[[#All],[METRIC_VALUE]])*0.5)+(_xlfn.XLOOKUP(1,(_bbt3[[#All],[ID]]=A749)*(_bbt3[[#All],[METRIC_NAME]]="YLD_YTM_BID"),_bbt3[[#All],[METRIC_VALUE]])*0.5))/100,"")</f>
        <v/>
      </c>
      <c r="J749">
        <f>IF(ISNA(VLOOKUP(A749,'CloseDL - PriceSaverBBT3'!A:E,5,0)),0,VLOOKUP(A749,'CloseDL - PriceSaverBBT3'!A:E,5,0))</f>
        <v>0</v>
      </c>
      <c r="K749" s="7" t="str">
        <f t="shared" si="111"/>
        <v/>
      </c>
      <c r="L749" s="20">
        <f>IF(Close[[#This Row],[CreatedBy]]="MARINER\SilverAdm",1,0)</f>
        <v>1</v>
      </c>
      <c r="M749" t="str">
        <f>IF(NOT(ISBLANK(A749)),VLOOKUP(A749,'Close - PriceSaver'!A:J,6,0),"")</f>
        <v/>
      </c>
      <c r="Q749" t="e">
        <f t="shared" si="112"/>
        <v>#N/A</v>
      </c>
      <c r="R749" t="e">
        <f t="shared" si="113"/>
        <v>#N/A</v>
      </c>
      <c r="S749" t="e">
        <f t="shared" si="114"/>
        <v>#N/A</v>
      </c>
      <c r="T749" s="15" t="e">
        <f t="shared" si="116"/>
        <v>#N/A</v>
      </c>
      <c r="U749" s="18" t="e">
        <f t="shared" si="117"/>
        <v>#N/A</v>
      </c>
      <c r="V749" s="14" t="e">
        <f t="shared" si="115"/>
        <v>#N/A</v>
      </c>
      <c r="W749" s="19" t="e">
        <f t="shared" si="118"/>
        <v>#N/A</v>
      </c>
      <c r="X749" t="e">
        <f>VLOOKUP(P749,Close[[ID]:[CreatedBy]],8,0)</f>
        <v>#N/A</v>
      </c>
    </row>
    <row r="750" spans="2:24" x14ac:dyDescent="0.35">
      <c r="B750" t="str">
        <f>IF(NOT(ISBLANK(A750)),VLOOKUP(A750,'BBT3'!A:F,2,0),"")</f>
        <v/>
      </c>
      <c r="C750" t="str">
        <f>IF(NOT(ISBLANK(A750)),VLOOKUP(A750,'BBT3'!A:F,3,0),"")</f>
        <v/>
      </c>
      <c r="D750" s="5" t="str">
        <f>IF(NOT(ISBLANK(A750)),VLOOKUP(A750,'BBT3'!A:F,4,1),"")</f>
        <v/>
      </c>
      <c r="E750" t="str">
        <f>IF(NOT(ISBLANK(A750)),VLOOKUP(A750,'BBT3'!A:F,5,0),"")</f>
        <v/>
      </c>
      <c r="F750" t="str">
        <f>IF(NOT(ISBLANK(A750)),VLOOKUP(A750,'BBT3'!A:F,6,0),"")</f>
        <v/>
      </c>
      <c r="G750" t="str">
        <f t="shared" si="110"/>
        <v/>
      </c>
      <c r="H750" t="str">
        <f>IF(NOT(ISBLANK(A750)),VLOOKUP(A750,'Close - PriceSaver'!A:J,5,0),"")</f>
        <v/>
      </c>
      <c r="I750" s="4" t="str" cm="1">
        <f t="array" ref="I750">IF(NOT(ISBLANK(A750)),((_xlfn.XLOOKUP(1,(_bbt3[[#All],[ID]]=A750)*(_bbt3[[#All],[METRIC_NAME]]="YLD_YTM_ASK"),_bbt3[[#All],[METRIC_VALUE]])*0.5)+(_xlfn.XLOOKUP(1,(_bbt3[[#All],[ID]]=A750)*(_bbt3[[#All],[METRIC_NAME]]="YLD_YTM_BID"),_bbt3[[#All],[METRIC_VALUE]])*0.5))/100,"")</f>
        <v/>
      </c>
      <c r="J750">
        <f>IF(ISNA(VLOOKUP(A750,'CloseDL - PriceSaverBBT3'!A:E,5,0)),0,VLOOKUP(A750,'CloseDL - PriceSaverBBT3'!A:E,5,0))</f>
        <v>0</v>
      </c>
      <c r="K750" s="7" t="str">
        <f t="shared" si="111"/>
        <v/>
      </c>
      <c r="L750" s="20">
        <f>IF(Close[[#This Row],[CreatedBy]]="MARINER\SilverAdm",1,0)</f>
        <v>1</v>
      </c>
      <c r="M750" t="str">
        <f>IF(NOT(ISBLANK(A750)),VLOOKUP(A750,'Close - PriceSaver'!A:J,6,0),"")</f>
        <v/>
      </c>
      <c r="Q750" t="e">
        <f t="shared" si="112"/>
        <v>#N/A</v>
      </c>
      <c r="R750" t="e">
        <f t="shared" si="113"/>
        <v>#N/A</v>
      </c>
      <c r="S750" t="e">
        <f t="shared" si="114"/>
        <v>#N/A</v>
      </c>
      <c r="T750" s="15" t="e">
        <f t="shared" si="116"/>
        <v>#N/A</v>
      </c>
      <c r="U750" s="18" t="e">
        <f t="shared" si="117"/>
        <v>#N/A</v>
      </c>
      <c r="V750" s="14" t="e">
        <f t="shared" si="115"/>
        <v>#N/A</v>
      </c>
      <c r="W750" s="19" t="e">
        <f t="shared" si="118"/>
        <v>#N/A</v>
      </c>
      <c r="X750" t="e">
        <f>VLOOKUP(P750,Close[[ID]:[CreatedBy]],8,0)</f>
        <v>#N/A</v>
      </c>
    </row>
    <row r="751" spans="2:24" x14ac:dyDescent="0.35">
      <c r="B751" t="str">
        <f>IF(NOT(ISBLANK(A751)),VLOOKUP(A751,'BBT3'!A:F,2,0),"")</f>
        <v/>
      </c>
      <c r="C751" t="str">
        <f>IF(NOT(ISBLANK(A751)),VLOOKUP(A751,'BBT3'!A:F,3,0),"")</f>
        <v/>
      </c>
      <c r="D751" s="5" t="str">
        <f>IF(NOT(ISBLANK(A751)),VLOOKUP(A751,'BBT3'!A:F,4,1),"")</f>
        <v/>
      </c>
      <c r="E751" t="str">
        <f>IF(NOT(ISBLANK(A751)),VLOOKUP(A751,'BBT3'!A:F,5,0),"")</f>
        <v/>
      </c>
      <c r="F751" t="str">
        <f>IF(NOT(ISBLANK(A751)),VLOOKUP(A751,'BBT3'!A:F,6,0),"")</f>
        <v/>
      </c>
      <c r="G751" t="str">
        <f t="shared" si="110"/>
        <v/>
      </c>
      <c r="H751" t="str">
        <f>IF(NOT(ISBLANK(A751)),VLOOKUP(A751,'Close - PriceSaver'!A:J,5,0),"")</f>
        <v/>
      </c>
      <c r="I751" s="4" t="str" cm="1">
        <f t="array" ref="I751">IF(NOT(ISBLANK(A751)),((_xlfn.XLOOKUP(1,(_bbt3[[#All],[ID]]=A751)*(_bbt3[[#All],[METRIC_NAME]]="YLD_YTM_ASK"),_bbt3[[#All],[METRIC_VALUE]])*0.5)+(_xlfn.XLOOKUP(1,(_bbt3[[#All],[ID]]=A751)*(_bbt3[[#All],[METRIC_NAME]]="YLD_YTM_BID"),_bbt3[[#All],[METRIC_VALUE]])*0.5))/100,"")</f>
        <v/>
      </c>
      <c r="J751">
        <f>IF(ISNA(VLOOKUP(A751,'CloseDL - PriceSaverBBT3'!A:E,5,0)),0,VLOOKUP(A751,'CloseDL - PriceSaverBBT3'!A:E,5,0))</f>
        <v>0</v>
      </c>
      <c r="K751" s="7" t="str">
        <f t="shared" si="111"/>
        <v/>
      </c>
      <c r="L751" s="20">
        <f>IF(Close[[#This Row],[CreatedBy]]="MARINER\SilverAdm",1,0)</f>
        <v>1</v>
      </c>
      <c r="M751" t="str">
        <f>IF(NOT(ISBLANK(A751)),VLOOKUP(A751,'Close - PriceSaver'!A:J,6,0),"")</f>
        <v/>
      </c>
      <c r="Q751" t="e">
        <f t="shared" si="112"/>
        <v>#N/A</v>
      </c>
      <c r="R751" t="e">
        <f t="shared" si="113"/>
        <v>#N/A</v>
      </c>
      <c r="S751" t="e">
        <f t="shared" si="114"/>
        <v>#N/A</v>
      </c>
      <c r="T751" s="15" t="e">
        <f t="shared" si="116"/>
        <v>#N/A</v>
      </c>
      <c r="U751" s="18" t="e">
        <f t="shared" si="117"/>
        <v>#N/A</v>
      </c>
      <c r="V751" s="14" t="e">
        <f t="shared" si="115"/>
        <v>#N/A</v>
      </c>
      <c r="W751" s="19" t="e">
        <f t="shared" si="118"/>
        <v>#N/A</v>
      </c>
      <c r="X751" t="e">
        <f>VLOOKUP(P751,Close[[ID]:[CreatedBy]],8,0)</f>
        <v>#N/A</v>
      </c>
    </row>
    <row r="752" spans="2:24" x14ac:dyDescent="0.35">
      <c r="B752" t="str">
        <f>IF(NOT(ISBLANK(A752)),VLOOKUP(A752,'BBT3'!A:F,2,0),"")</f>
        <v/>
      </c>
      <c r="C752" t="str">
        <f>IF(NOT(ISBLANK(A752)),VLOOKUP(A752,'BBT3'!A:F,3,0),"")</f>
        <v/>
      </c>
      <c r="D752" s="5" t="str">
        <f>IF(NOT(ISBLANK(A752)),VLOOKUP(A752,'BBT3'!A:F,4,1),"")</f>
        <v/>
      </c>
      <c r="E752" t="str">
        <f>IF(NOT(ISBLANK(A752)),VLOOKUP(A752,'BBT3'!A:F,5,0),"")</f>
        <v/>
      </c>
      <c r="F752" t="str">
        <f>IF(NOT(ISBLANK(A752)),VLOOKUP(A752,'BBT3'!A:F,6,0),"")</f>
        <v/>
      </c>
      <c r="G752" t="str">
        <f t="shared" si="110"/>
        <v/>
      </c>
      <c r="H752" t="str">
        <f>IF(NOT(ISBLANK(A752)),VLOOKUP(A752,'Close - PriceSaver'!A:J,5,0),"")</f>
        <v/>
      </c>
      <c r="I752" s="4" t="str" cm="1">
        <f t="array" ref="I752">IF(NOT(ISBLANK(A752)),((_xlfn.XLOOKUP(1,(_bbt3[[#All],[ID]]=A752)*(_bbt3[[#All],[METRIC_NAME]]="YLD_YTM_ASK"),_bbt3[[#All],[METRIC_VALUE]])*0.5)+(_xlfn.XLOOKUP(1,(_bbt3[[#All],[ID]]=A752)*(_bbt3[[#All],[METRIC_NAME]]="YLD_YTM_BID"),_bbt3[[#All],[METRIC_VALUE]])*0.5))/100,"")</f>
        <v/>
      </c>
      <c r="J752">
        <f>IF(ISNA(VLOOKUP(A752,'CloseDL - PriceSaverBBT3'!A:E,5,0)),0,VLOOKUP(A752,'CloseDL - PriceSaverBBT3'!A:E,5,0))</f>
        <v>0</v>
      </c>
      <c r="K752" s="7" t="str">
        <f t="shared" si="111"/>
        <v/>
      </c>
      <c r="L752" s="20">
        <f>IF(Close[[#This Row],[CreatedBy]]="MARINER\SilverAdm",1,0)</f>
        <v>1</v>
      </c>
      <c r="M752" t="str">
        <f>IF(NOT(ISBLANK(A752)),VLOOKUP(A752,'Close - PriceSaver'!A:J,6,0),"")</f>
        <v/>
      </c>
      <c r="Q752" t="e">
        <f t="shared" si="112"/>
        <v>#N/A</v>
      </c>
      <c r="R752" t="e">
        <f t="shared" si="113"/>
        <v>#N/A</v>
      </c>
      <c r="S752" t="e">
        <f t="shared" si="114"/>
        <v>#N/A</v>
      </c>
      <c r="T752" s="15" t="e">
        <f t="shared" si="116"/>
        <v>#N/A</v>
      </c>
      <c r="U752" s="18" t="e">
        <f t="shared" si="117"/>
        <v>#N/A</v>
      </c>
      <c r="V752" s="14" t="e">
        <f t="shared" si="115"/>
        <v>#N/A</v>
      </c>
      <c r="W752" s="19" t="e">
        <f t="shared" si="118"/>
        <v>#N/A</v>
      </c>
      <c r="X752" t="e">
        <f>VLOOKUP(P752,Close[[ID]:[CreatedBy]],8,0)</f>
        <v>#N/A</v>
      </c>
    </row>
    <row r="753" spans="2:24" x14ac:dyDescent="0.35">
      <c r="B753" t="str">
        <f>IF(NOT(ISBLANK(A753)),VLOOKUP(A753,'BBT3'!A:F,2,0),"")</f>
        <v/>
      </c>
      <c r="C753" t="str">
        <f>IF(NOT(ISBLANK(A753)),VLOOKUP(A753,'BBT3'!A:F,3,0),"")</f>
        <v/>
      </c>
      <c r="D753" s="5" t="str">
        <f>IF(NOT(ISBLANK(A753)),VLOOKUP(A753,'BBT3'!A:F,4,1),"")</f>
        <v/>
      </c>
      <c r="E753" t="str">
        <f>IF(NOT(ISBLANK(A753)),VLOOKUP(A753,'BBT3'!A:F,5,0),"")</f>
        <v/>
      </c>
      <c r="F753" t="str">
        <f>IF(NOT(ISBLANK(A753)),VLOOKUP(A753,'BBT3'!A:F,6,0),"")</f>
        <v/>
      </c>
      <c r="G753" t="str">
        <f t="shared" si="110"/>
        <v/>
      </c>
      <c r="H753" t="str">
        <f>IF(NOT(ISBLANK(A753)),VLOOKUP(A753,'Close - PriceSaver'!A:J,5,0),"")</f>
        <v/>
      </c>
      <c r="I753" s="4" t="str" cm="1">
        <f t="array" ref="I753">IF(NOT(ISBLANK(A753)),((_xlfn.XLOOKUP(1,(_bbt3[[#All],[ID]]=A753)*(_bbt3[[#All],[METRIC_NAME]]="YLD_YTM_ASK"),_bbt3[[#All],[METRIC_VALUE]])*0.5)+(_xlfn.XLOOKUP(1,(_bbt3[[#All],[ID]]=A753)*(_bbt3[[#All],[METRIC_NAME]]="YLD_YTM_BID"),_bbt3[[#All],[METRIC_VALUE]])*0.5))/100,"")</f>
        <v/>
      </c>
      <c r="J753">
        <f>IF(ISNA(VLOOKUP(A753,'CloseDL - PriceSaverBBT3'!A:E,5,0)),0,VLOOKUP(A753,'CloseDL - PriceSaverBBT3'!A:E,5,0))</f>
        <v>0</v>
      </c>
      <c r="K753" s="7" t="str">
        <f t="shared" si="111"/>
        <v/>
      </c>
      <c r="L753" s="20">
        <f>IF(Close[[#This Row],[CreatedBy]]="MARINER\SilverAdm",1,0)</f>
        <v>1</v>
      </c>
      <c r="M753" t="str">
        <f>IF(NOT(ISBLANK(A753)),VLOOKUP(A753,'Close - PriceSaver'!A:J,6,0),"")</f>
        <v/>
      </c>
      <c r="Q753" t="e">
        <f t="shared" si="112"/>
        <v>#N/A</v>
      </c>
      <c r="R753" t="e">
        <f t="shared" si="113"/>
        <v>#N/A</v>
      </c>
      <c r="S753" t="e">
        <f t="shared" si="114"/>
        <v>#N/A</v>
      </c>
      <c r="T753" s="15" t="e">
        <f t="shared" si="116"/>
        <v>#N/A</v>
      </c>
      <c r="U753" s="18" t="e">
        <f t="shared" si="117"/>
        <v>#N/A</v>
      </c>
      <c r="V753" s="14" t="e">
        <f t="shared" si="115"/>
        <v>#N/A</v>
      </c>
      <c r="W753" s="19" t="e">
        <f t="shared" si="118"/>
        <v>#N/A</v>
      </c>
      <c r="X753" t="e">
        <f>VLOOKUP(P753,Close[[ID]:[CreatedBy]],8,0)</f>
        <v>#N/A</v>
      </c>
    </row>
    <row r="754" spans="2:24" x14ac:dyDescent="0.35">
      <c r="B754" t="str">
        <f>IF(NOT(ISBLANK(A754)),VLOOKUP(A754,'BBT3'!A:F,2,0),"")</f>
        <v/>
      </c>
      <c r="C754" t="str">
        <f>IF(NOT(ISBLANK(A754)),VLOOKUP(A754,'BBT3'!A:F,3,0),"")</f>
        <v/>
      </c>
      <c r="D754" s="5" t="str">
        <f>IF(NOT(ISBLANK(A754)),VLOOKUP(A754,'BBT3'!A:F,4,1),"")</f>
        <v/>
      </c>
      <c r="E754" t="str">
        <f>IF(NOT(ISBLANK(A754)),VLOOKUP(A754,'BBT3'!A:F,5,0),"")</f>
        <v/>
      </c>
      <c r="F754" t="str">
        <f>IF(NOT(ISBLANK(A754)),VLOOKUP(A754,'BBT3'!A:F,6,0),"")</f>
        <v/>
      </c>
      <c r="G754" t="str">
        <f t="shared" si="110"/>
        <v/>
      </c>
      <c r="H754" t="str">
        <f>IF(NOT(ISBLANK(A754)),VLOOKUP(A754,'Close - PriceSaver'!A:J,5,0),"")</f>
        <v/>
      </c>
      <c r="I754" s="4" t="str" cm="1">
        <f t="array" ref="I754">IF(NOT(ISBLANK(A754)),((_xlfn.XLOOKUP(1,(_bbt3[[#All],[ID]]=A754)*(_bbt3[[#All],[METRIC_NAME]]="YLD_YTM_ASK"),_bbt3[[#All],[METRIC_VALUE]])*0.5)+(_xlfn.XLOOKUP(1,(_bbt3[[#All],[ID]]=A754)*(_bbt3[[#All],[METRIC_NAME]]="YLD_YTM_BID"),_bbt3[[#All],[METRIC_VALUE]])*0.5))/100,"")</f>
        <v/>
      </c>
      <c r="J754">
        <f>IF(ISNA(VLOOKUP(A754,'CloseDL - PriceSaverBBT3'!A:E,5,0)),0,VLOOKUP(A754,'CloseDL - PriceSaverBBT3'!A:E,5,0))</f>
        <v>0</v>
      </c>
      <c r="K754" s="7" t="str">
        <f t="shared" si="111"/>
        <v/>
      </c>
      <c r="L754" s="20">
        <f>IF(Close[[#This Row],[CreatedBy]]="MARINER\SilverAdm",1,0)</f>
        <v>1</v>
      </c>
      <c r="M754" t="str">
        <f>IF(NOT(ISBLANK(A754)),VLOOKUP(A754,'Close - PriceSaver'!A:J,6,0),"")</f>
        <v/>
      </c>
      <c r="Q754" t="e">
        <f t="shared" si="112"/>
        <v>#N/A</v>
      </c>
      <c r="R754" t="e">
        <f t="shared" si="113"/>
        <v>#N/A</v>
      </c>
      <c r="S754" t="e">
        <f t="shared" si="114"/>
        <v>#N/A</v>
      </c>
      <c r="T754" s="15" t="e">
        <f t="shared" si="116"/>
        <v>#N/A</v>
      </c>
      <c r="U754" s="18" t="e">
        <f t="shared" si="117"/>
        <v>#N/A</v>
      </c>
      <c r="V754" s="14" t="e">
        <f t="shared" si="115"/>
        <v>#N/A</v>
      </c>
      <c r="W754" s="19" t="e">
        <f t="shared" si="118"/>
        <v>#N/A</v>
      </c>
      <c r="X754" t="e">
        <f>VLOOKUP(P754,Close[[ID]:[CreatedBy]],8,0)</f>
        <v>#N/A</v>
      </c>
    </row>
    <row r="755" spans="2:24" x14ac:dyDescent="0.35">
      <c r="B755" t="str">
        <f>IF(NOT(ISBLANK(A755)),VLOOKUP(A755,'BBT3'!A:F,2,0),"")</f>
        <v/>
      </c>
      <c r="C755" t="str">
        <f>IF(NOT(ISBLANK(A755)),VLOOKUP(A755,'BBT3'!A:F,3,0),"")</f>
        <v/>
      </c>
      <c r="D755" s="5" t="str">
        <f>IF(NOT(ISBLANK(A755)),VLOOKUP(A755,'BBT3'!A:F,4,1),"")</f>
        <v/>
      </c>
      <c r="E755" t="str">
        <f>IF(NOT(ISBLANK(A755)),VLOOKUP(A755,'BBT3'!A:F,5,0),"")</f>
        <v/>
      </c>
      <c r="F755" t="str">
        <f>IF(NOT(ISBLANK(A755)),VLOOKUP(A755,'BBT3'!A:F,6,0),"")</f>
        <v/>
      </c>
      <c r="G755" t="str">
        <f t="shared" si="110"/>
        <v/>
      </c>
      <c r="H755" t="str">
        <f>IF(NOT(ISBLANK(A755)),VLOOKUP(A755,'Close - PriceSaver'!A:J,5,0),"")</f>
        <v/>
      </c>
      <c r="I755" s="4" t="str" cm="1">
        <f t="array" ref="I755">IF(NOT(ISBLANK(A755)),((_xlfn.XLOOKUP(1,(_bbt3[[#All],[ID]]=A755)*(_bbt3[[#All],[METRIC_NAME]]="YLD_YTM_ASK"),_bbt3[[#All],[METRIC_VALUE]])*0.5)+(_xlfn.XLOOKUP(1,(_bbt3[[#All],[ID]]=A755)*(_bbt3[[#All],[METRIC_NAME]]="YLD_YTM_BID"),_bbt3[[#All],[METRIC_VALUE]])*0.5))/100,"")</f>
        <v/>
      </c>
      <c r="J755">
        <f>IF(ISNA(VLOOKUP(A755,'CloseDL - PriceSaverBBT3'!A:E,5,0)),0,VLOOKUP(A755,'CloseDL - PriceSaverBBT3'!A:E,5,0))</f>
        <v>0</v>
      </c>
      <c r="K755" s="7" t="str">
        <f t="shared" si="111"/>
        <v/>
      </c>
      <c r="L755" s="20">
        <f>IF(Close[[#This Row],[CreatedBy]]="MARINER\SilverAdm",1,0)</f>
        <v>1</v>
      </c>
      <c r="M755" t="str">
        <f>IF(NOT(ISBLANK(A755)),VLOOKUP(A755,'Close - PriceSaver'!A:J,6,0),"")</f>
        <v/>
      </c>
      <c r="Q755" t="e">
        <f t="shared" si="112"/>
        <v>#N/A</v>
      </c>
      <c r="R755" t="e">
        <f t="shared" si="113"/>
        <v>#N/A</v>
      </c>
      <c r="S755" t="e">
        <f t="shared" si="114"/>
        <v>#N/A</v>
      </c>
      <c r="T755" s="15" t="e">
        <f t="shared" si="116"/>
        <v>#N/A</v>
      </c>
      <c r="U755" s="18" t="e">
        <f t="shared" si="117"/>
        <v>#N/A</v>
      </c>
      <c r="V755" s="14" t="e">
        <f t="shared" si="115"/>
        <v>#N/A</v>
      </c>
      <c r="W755" s="19" t="e">
        <f t="shared" si="118"/>
        <v>#N/A</v>
      </c>
      <c r="X755" t="e">
        <f>VLOOKUP(P755,Close[[ID]:[CreatedBy]],8,0)</f>
        <v>#N/A</v>
      </c>
    </row>
    <row r="756" spans="2:24" x14ac:dyDescent="0.35">
      <c r="B756" t="str">
        <f>IF(NOT(ISBLANK(A756)),VLOOKUP(A756,'BBT3'!A:F,2,0),"")</f>
        <v/>
      </c>
      <c r="C756" t="str">
        <f>IF(NOT(ISBLANK(A756)),VLOOKUP(A756,'BBT3'!A:F,3,0),"")</f>
        <v/>
      </c>
      <c r="D756" s="5" t="str">
        <f>IF(NOT(ISBLANK(A756)),VLOOKUP(A756,'BBT3'!A:F,4,1),"")</f>
        <v/>
      </c>
      <c r="E756" t="str">
        <f>IF(NOT(ISBLANK(A756)),VLOOKUP(A756,'BBT3'!A:F,5,0),"")</f>
        <v/>
      </c>
      <c r="F756" t="str">
        <f>IF(NOT(ISBLANK(A756)),VLOOKUP(A756,'BBT3'!A:F,6,0),"")</f>
        <v/>
      </c>
      <c r="G756" t="str">
        <f t="shared" si="110"/>
        <v/>
      </c>
      <c r="H756" t="str">
        <f>IF(NOT(ISBLANK(A756)),VLOOKUP(A756,'Close - PriceSaver'!A:J,5,0),"")</f>
        <v/>
      </c>
      <c r="I756" s="4" t="str" cm="1">
        <f t="array" ref="I756">IF(NOT(ISBLANK(A756)),((_xlfn.XLOOKUP(1,(_bbt3[[#All],[ID]]=A756)*(_bbt3[[#All],[METRIC_NAME]]="YLD_YTM_ASK"),_bbt3[[#All],[METRIC_VALUE]])*0.5)+(_xlfn.XLOOKUP(1,(_bbt3[[#All],[ID]]=A756)*(_bbt3[[#All],[METRIC_NAME]]="YLD_YTM_BID"),_bbt3[[#All],[METRIC_VALUE]])*0.5))/100,"")</f>
        <v/>
      </c>
      <c r="J756">
        <f>IF(ISNA(VLOOKUP(A756,'CloseDL - PriceSaverBBT3'!A:E,5,0)),0,VLOOKUP(A756,'CloseDL - PriceSaverBBT3'!A:E,5,0))</f>
        <v>0</v>
      </c>
      <c r="K756" s="7" t="str">
        <f t="shared" si="111"/>
        <v/>
      </c>
      <c r="L756" s="20">
        <f>IF(Close[[#This Row],[CreatedBy]]="MARINER\SilverAdm",1,0)</f>
        <v>1</v>
      </c>
      <c r="M756" t="str">
        <f>IF(NOT(ISBLANK(A756)),VLOOKUP(A756,'Close - PriceSaver'!A:J,6,0),"")</f>
        <v/>
      </c>
      <c r="Q756" t="e">
        <f t="shared" si="112"/>
        <v>#N/A</v>
      </c>
      <c r="R756" t="e">
        <f t="shared" si="113"/>
        <v>#N/A</v>
      </c>
      <c r="S756" t="e">
        <f t="shared" si="114"/>
        <v>#N/A</v>
      </c>
      <c r="T756" s="15" t="e">
        <f t="shared" si="116"/>
        <v>#N/A</v>
      </c>
      <c r="U756" s="18" t="e">
        <f t="shared" si="117"/>
        <v>#N/A</v>
      </c>
      <c r="V756" s="14" t="e">
        <f t="shared" si="115"/>
        <v>#N/A</v>
      </c>
      <c r="W756" s="19" t="e">
        <f t="shared" si="118"/>
        <v>#N/A</v>
      </c>
      <c r="X756" t="e">
        <f>VLOOKUP(P756,Close[[ID]:[CreatedBy]],8,0)</f>
        <v>#N/A</v>
      </c>
    </row>
    <row r="757" spans="2:24" x14ac:dyDescent="0.35">
      <c r="B757" t="str">
        <f>IF(NOT(ISBLANK(A757)),VLOOKUP(A757,'BBT3'!A:F,2,0),"")</f>
        <v/>
      </c>
      <c r="C757" t="str">
        <f>IF(NOT(ISBLANK(A757)),VLOOKUP(A757,'BBT3'!A:F,3,0),"")</f>
        <v/>
      </c>
      <c r="D757" s="5" t="str">
        <f>IF(NOT(ISBLANK(A757)),VLOOKUP(A757,'BBT3'!A:F,4,1),"")</f>
        <v/>
      </c>
      <c r="E757" t="str">
        <f>IF(NOT(ISBLANK(A757)),VLOOKUP(A757,'BBT3'!A:F,5,0),"")</f>
        <v/>
      </c>
      <c r="F757" t="str">
        <f>IF(NOT(ISBLANK(A757)),VLOOKUP(A757,'BBT3'!A:F,6,0),"")</f>
        <v/>
      </c>
      <c r="G757" t="str">
        <f t="shared" si="110"/>
        <v/>
      </c>
      <c r="H757" t="str">
        <f>IF(NOT(ISBLANK(A757)),VLOOKUP(A757,'Close - PriceSaver'!A:J,5,0),"")</f>
        <v/>
      </c>
      <c r="I757" s="4" t="str" cm="1">
        <f t="array" ref="I757">IF(NOT(ISBLANK(A757)),((_xlfn.XLOOKUP(1,(_bbt3[[#All],[ID]]=A757)*(_bbt3[[#All],[METRIC_NAME]]="YLD_YTM_ASK"),_bbt3[[#All],[METRIC_VALUE]])*0.5)+(_xlfn.XLOOKUP(1,(_bbt3[[#All],[ID]]=A757)*(_bbt3[[#All],[METRIC_NAME]]="YLD_YTM_BID"),_bbt3[[#All],[METRIC_VALUE]])*0.5))/100,"")</f>
        <v/>
      </c>
      <c r="J757">
        <f>IF(ISNA(VLOOKUP(A757,'CloseDL - PriceSaverBBT3'!A:E,5,0)),0,VLOOKUP(A757,'CloseDL - PriceSaverBBT3'!A:E,5,0))</f>
        <v>0</v>
      </c>
      <c r="K757" s="7" t="str">
        <f t="shared" si="111"/>
        <v/>
      </c>
      <c r="L757" s="20">
        <f>IF(Close[[#This Row],[CreatedBy]]="MARINER\SilverAdm",1,0)</f>
        <v>1</v>
      </c>
      <c r="M757" t="str">
        <f>IF(NOT(ISBLANK(A757)),VLOOKUP(A757,'Close - PriceSaver'!A:J,6,0),"")</f>
        <v/>
      </c>
      <c r="Q757" t="e">
        <f t="shared" si="112"/>
        <v>#N/A</v>
      </c>
      <c r="R757" t="e">
        <f t="shared" si="113"/>
        <v>#N/A</v>
      </c>
      <c r="S757" t="e">
        <f t="shared" si="114"/>
        <v>#N/A</v>
      </c>
      <c r="T757" s="15" t="e">
        <f t="shared" si="116"/>
        <v>#N/A</v>
      </c>
      <c r="U757" s="18" t="e">
        <f t="shared" si="117"/>
        <v>#N/A</v>
      </c>
      <c r="V757" s="14" t="e">
        <f t="shared" si="115"/>
        <v>#N/A</v>
      </c>
      <c r="W757" s="19" t="e">
        <f t="shared" si="118"/>
        <v>#N/A</v>
      </c>
      <c r="X757" t="e">
        <f>VLOOKUP(P757,Close[[ID]:[CreatedBy]],8,0)</f>
        <v>#N/A</v>
      </c>
    </row>
    <row r="758" spans="2:24" x14ac:dyDescent="0.35">
      <c r="B758" t="str">
        <f>IF(NOT(ISBLANK(A758)),VLOOKUP(A758,'BBT3'!A:F,2,0),"")</f>
        <v/>
      </c>
      <c r="C758" t="str">
        <f>IF(NOT(ISBLANK(A758)),VLOOKUP(A758,'BBT3'!A:F,3,0),"")</f>
        <v/>
      </c>
      <c r="D758" s="5" t="str">
        <f>IF(NOT(ISBLANK(A758)),VLOOKUP(A758,'BBT3'!A:F,4,1),"")</f>
        <v/>
      </c>
      <c r="E758" t="str">
        <f>IF(NOT(ISBLANK(A758)),VLOOKUP(A758,'BBT3'!A:F,5,0),"")</f>
        <v/>
      </c>
      <c r="F758" t="str">
        <f>IF(NOT(ISBLANK(A758)),VLOOKUP(A758,'BBT3'!A:F,6,0),"")</f>
        <v/>
      </c>
      <c r="G758" t="str">
        <f t="shared" si="110"/>
        <v/>
      </c>
      <c r="H758" t="str">
        <f>IF(NOT(ISBLANK(A758)),VLOOKUP(A758,'Close - PriceSaver'!A:J,5,0),"")</f>
        <v/>
      </c>
      <c r="I758" s="4" t="str" cm="1">
        <f t="array" ref="I758">IF(NOT(ISBLANK(A758)),((_xlfn.XLOOKUP(1,(_bbt3[[#All],[ID]]=A758)*(_bbt3[[#All],[METRIC_NAME]]="YLD_YTM_ASK"),_bbt3[[#All],[METRIC_VALUE]])*0.5)+(_xlfn.XLOOKUP(1,(_bbt3[[#All],[ID]]=A758)*(_bbt3[[#All],[METRIC_NAME]]="YLD_YTM_BID"),_bbt3[[#All],[METRIC_VALUE]])*0.5))/100,"")</f>
        <v/>
      </c>
      <c r="J758">
        <f>IF(ISNA(VLOOKUP(A758,'CloseDL - PriceSaverBBT3'!A:E,5,0)),0,VLOOKUP(A758,'CloseDL - PriceSaverBBT3'!A:E,5,0))</f>
        <v>0</v>
      </c>
      <c r="K758" s="7" t="str">
        <f t="shared" si="111"/>
        <v/>
      </c>
      <c r="L758" s="20">
        <f>IF(Close[[#This Row],[CreatedBy]]="MARINER\SilverAdm",1,0)</f>
        <v>1</v>
      </c>
      <c r="M758" t="str">
        <f>IF(NOT(ISBLANK(A758)),VLOOKUP(A758,'Close - PriceSaver'!A:J,6,0),"")</f>
        <v/>
      </c>
      <c r="Q758" t="e">
        <f t="shared" si="112"/>
        <v>#N/A</v>
      </c>
      <c r="R758" t="e">
        <f t="shared" si="113"/>
        <v>#N/A</v>
      </c>
      <c r="S758" t="e">
        <f t="shared" si="114"/>
        <v>#N/A</v>
      </c>
      <c r="T758" s="15" t="e">
        <f t="shared" si="116"/>
        <v>#N/A</v>
      </c>
      <c r="U758" s="18" t="e">
        <f t="shared" si="117"/>
        <v>#N/A</v>
      </c>
      <c r="V758" s="14" t="e">
        <f t="shared" si="115"/>
        <v>#N/A</v>
      </c>
      <c r="W758" s="19" t="e">
        <f t="shared" si="118"/>
        <v>#N/A</v>
      </c>
      <c r="X758" t="e">
        <f>VLOOKUP(P758,Close[[ID]:[CreatedBy]],8,0)</f>
        <v>#N/A</v>
      </c>
    </row>
    <row r="759" spans="2:24" x14ac:dyDescent="0.35">
      <c r="B759" t="str">
        <f>IF(NOT(ISBLANK(A759)),VLOOKUP(A759,'BBT3'!A:F,2,0),"")</f>
        <v/>
      </c>
      <c r="C759" t="str">
        <f>IF(NOT(ISBLANK(A759)),VLOOKUP(A759,'BBT3'!A:F,3,0),"")</f>
        <v/>
      </c>
      <c r="D759" s="5" t="str">
        <f>IF(NOT(ISBLANK(A759)),VLOOKUP(A759,'BBT3'!A:F,4,1),"")</f>
        <v/>
      </c>
      <c r="E759" t="str">
        <f>IF(NOT(ISBLANK(A759)),VLOOKUP(A759,'BBT3'!A:F,5,0),"")</f>
        <v/>
      </c>
      <c r="F759" t="str">
        <f>IF(NOT(ISBLANK(A759)),VLOOKUP(A759,'BBT3'!A:F,6,0),"")</f>
        <v/>
      </c>
      <c r="G759" t="str">
        <f t="shared" si="110"/>
        <v/>
      </c>
      <c r="H759" t="str">
        <f>IF(NOT(ISBLANK(A759)),VLOOKUP(A759,'Close - PriceSaver'!A:J,5,0),"")</f>
        <v/>
      </c>
      <c r="I759" s="4" t="str" cm="1">
        <f t="array" ref="I759">IF(NOT(ISBLANK(A759)),((_xlfn.XLOOKUP(1,(_bbt3[[#All],[ID]]=A759)*(_bbt3[[#All],[METRIC_NAME]]="YLD_YTM_ASK"),_bbt3[[#All],[METRIC_VALUE]])*0.5)+(_xlfn.XLOOKUP(1,(_bbt3[[#All],[ID]]=A759)*(_bbt3[[#All],[METRIC_NAME]]="YLD_YTM_BID"),_bbt3[[#All],[METRIC_VALUE]])*0.5))/100,"")</f>
        <v/>
      </c>
      <c r="J759">
        <f>IF(ISNA(VLOOKUP(A759,'CloseDL - PriceSaverBBT3'!A:E,5,0)),0,VLOOKUP(A759,'CloseDL - PriceSaverBBT3'!A:E,5,0))</f>
        <v>0</v>
      </c>
      <c r="K759" s="7" t="str">
        <f t="shared" si="111"/>
        <v/>
      </c>
      <c r="L759" s="20">
        <f>IF(Close[[#This Row],[CreatedBy]]="MARINER\SilverAdm",1,0)</f>
        <v>1</v>
      </c>
      <c r="M759" t="str">
        <f>IF(NOT(ISBLANK(A759)),VLOOKUP(A759,'Close - PriceSaver'!A:J,6,0),"")</f>
        <v/>
      </c>
      <c r="Q759" t="e">
        <f t="shared" si="112"/>
        <v>#N/A</v>
      </c>
      <c r="R759" t="e">
        <f t="shared" si="113"/>
        <v>#N/A</v>
      </c>
      <c r="S759" t="e">
        <f t="shared" si="114"/>
        <v>#N/A</v>
      </c>
      <c r="T759" s="15" t="e">
        <f t="shared" si="116"/>
        <v>#N/A</v>
      </c>
      <c r="U759" s="18" t="e">
        <f t="shared" si="117"/>
        <v>#N/A</v>
      </c>
      <c r="V759" s="14" t="e">
        <f t="shared" si="115"/>
        <v>#N/A</v>
      </c>
      <c r="W759" s="19" t="e">
        <f t="shared" si="118"/>
        <v>#N/A</v>
      </c>
      <c r="X759" t="e">
        <f>VLOOKUP(P759,Close[[ID]:[CreatedBy]],8,0)</f>
        <v>#N/A</v>
      </c>
    </row>
    <row r="760" spans="2:24" x14ac:dyDescent="0.35">
      <c r="B760" t="str">
        <f>IF(NOT(ISBLANK(A760)),VLOOKUP(A760,'BBT3'!A:F,2,0),"")</f>
        <v/>
      </c>
      <c r="C760" t="str">
        <f>IF(NOT(ISBLANK(A760)),VLOOKUP(A760,'BBT3'!A:F,3,0),"")</f>
        <v/>
      </c>
      <c r="D760" s="5" t="str">
        <f>IF(NOT(ISBLANK(A760)),VLOOKUP(A760,'BBT3'!A:F,4,1),"")</f>
        <v/>
      </c>
      <c r="E760" t="str">
        <f>IF(NOT(ISBLANK(A760)),VLOOKUP(A760,'BBT3'!A:F,5,0),"")</f>
        <v/>
      </c>
      <c r="F760" t="str">
        <f>IF(NOT(ISBLANK(A760)),VLOOKUP(A760,'BBT3'!A:F,6,0),"")</f>
        <v/>
      </c>
      <c r="G760" t="str">
        <f t="shared" si="110"/>
        <v/>
      </c>
      <c r="H760" t="str">
        <f>IF(NOT(ISBLANK(A760)),VLOOKUP(A760,'Close - PriceSaver'!A:J,5,0),"")</f>
        <v/>
      </c>
      <c r="I760" s="4" t="str" cm="1">
        <f t="array" ref="I760">IF(NOT(ISBLANK(A760)),((_xlfn.XLOOKUP(1,(_bbt3[[#All],[ID]]=A760)*(_bbt3[[#All],[METRIC_NAME]]="YLD_YTM_ASK"),_bbt3[[#All],[METRIC_VALUE]])*0.5)+(_xlfn.XLOOKUP(1,(_bbt3[[#All],[ID]]=A760)*(_bbt3[[#All],[METRIC_NAME]]="YLD_YTM_BID"),_bbt3[[#All],[METRIC_VALUE]])*0.5))/100,"")</f>
        <v/>
      </c>
      <c r="J760">
        <f>IF(ISNA(VLOOKUP(A760,'CloseDL - PriceSaverBBT3'!A:E,5,0)),0,VLOOKUP(A760,'CloseDL - PriceSaverBBT3'!A:E,5,0))</f>
        <v>0</v>
      </c>
      <c r="K760" s="7" t="str">
        <f t="shared" si="111"/>
        <v/>
      </c>
      <c r="L760" s="20">
        <f>IF(Close[[#This Row],[CreatedBy]]="MARINER\SilverAdm",1,0)</f>
        <v>1</v>
      </c>
      <c r="M760" t="str">
        <f>IF(NOT(ISBLANK(A760)),VLOOKUP(A760,'Close - PriceSaver'!A:J,6,0),"")</f>
        <v/>
      </c>
      <c r="Q760" t="e">
        <f t="shared" si="112"/>
        <v>#N/A</v>
      </c>
      <c r="R760" t="e">
        <f t="shared" si="113"/>
        <v>#N/A</v>
      </c>
      <c r="S760" t="e">
        <f t="shared" si="114"/>
        <v>#N/A</v>
      </c>
      <c r="T760" s="15" t="e">
        <f t="shared" si="116"/>
        <v>#N/A</v>
      </c>
      <c r="U760" s="18" t="e">
        <f t="shared" si="117"/>
        <v>#N/A</v>
      </c>
      <c r="V760" s="14" t="e">
        <f t="shared" si="115"/>
        <v>#N/A</v>
      </c>
      <c r="W760" s="19" t="e">
        <f t="shared" si="118"/>
        <v>#N/A</v>
      </c>
      <c r="X760" t="e">
        <f>VLOOKUP(P760,Close[[ID]:[CreatedBy]],8,0)</f>
        <v>#N/A</v>
      </c>
    </row>
    <row r="761" spans="2:24" x14ac:dyDescent="0.35">
      <c r="B761" t="str">
        <f>IF(NOT(ISBLANK(A761)),VLOOKUP(A761,'BBT3'!A:F,2,0),"")</f>
        <v/>
      </c>
      <c r="C761" t="str">
        <f>IF(NOT(ISBLANK(A761)),VLOOKUP(A761,'BBT3'!A:F,3,0),"")</f>
        <v/>
      </c>
      <c r="D761" s="5" t="str">
        <f>IF(NOT(ISBLANK(A761)),VLOOKUP(A761,'BBT3'!A:F,4,1),"")</f>
        <v/>
      </c>
      <c r="E761" t="str">
        <f>IF(NOT(ISBLANK(A761)),VLOOKUP(A761,'BBT3'!A:F,5,0),"")</f>
        <v/>
      </c>
      <c r="F761" t="str">
        <f>IF(NOT(ISBLANK(A761)),VLOOKUP(A761,'BBT3'!A:F,6,0),"")</f>
        <v/>
      </c>
      <c r="G761" t="str">
        <f t="shared" si="110"/>
        <v/>
      </c>
      <c r="H761" t="str">
        <f>IF(NOT(ISBLANK(A761)),VLOOKUP(A761,'Close - PriceSaver'!A:J,5,0),"")</f>
        <v/>
      </c>
      <c r="I761" s="4" t="str" cm="1">
        <f t="array" ref="I761">IF(NOT(ISBLANK(A761)),((_xlfn.XLOOKUP(1,(_bbt3[[#All],[ID]]=A761)*(_bbt3[[#All],[METRIC_NAME]]="YLD_YTM_ASK"),_bbt3[[#All],[METRIC_VALUE]])*0.5)+(_xlfn.XLOOKUP(1,(_bbt3[[#All],[ID]]=A761)*(_bbt3[[#All],[METRIC_NAME]]="YLD_YTM_BID"),_bbt3[[#All],[METRIC_VALUE]])*0.5))/100,"")</f>
        <v/>
      </c>
      <c r="J761">
        <f>IF(ISNA(VLOOKUP(A761,'CloseDL - PriceSaverBBT3'!A:E,5,0)),0,VLOOKUP(A761,'CloseDL - PriceSaverBBT3'!A:E,5,0))</f>
        <v>0</v>
      </c>
      <c r="K761" s="7" t="str">
        <f t="shared" si="111"/>
        <v/>
      </c>
      <c r="L761" s="20">
        <f>IF(Close[[#This Row],[CreatedBy]]="MARINER\SilverAdm",1,0)</f>
        <v>1</v>
      </c>
      <c r="M761" t="str">
        <f>IF(NOT(ISBLANK(A761)),VLOOKUP(A761,'Close - PriceSaver'!A:J,6,0),"")</f>
        <v/>
      </c>
      <c r="Q761" t="e">
        <f t="shared" si="112"/>
        <v>#N/A</v>
      </c>
      <c r="R761" t="e">
        <f t="shared" si="113"/>
        <v>#N/A</v>
      </c>
      <c r="S761" t="e">
        <f t="shared" si="114"/>
        <v>#N/A</v>
      </c>
      <c r="T761" s="15" t="e">
        <f t="shared" si="116"/>
        <v>#N/A</v>
      </c>
      <c r="U761" s="18" t="e">
        <f t="shared" si="117"/>
        <v>#N/A</v>
      </c>
      <c r="V761" s="14" t="e">
        <f t="shared" si="115"/>
        <v>#N/A</v>
      </c>
      <c r="W761" s="19" t="e">
        <f t="shared" si="118"/>
        <v>#N/A</v>
      </c>
      <c r="X761" t="e">
        <f>VLOOKUP(P761,Close[[ID]:[CreatedBy]],8,0)</f>
        <v>#N/A</v>
      </c>
    </row>
    <row r="762" spans="2:24" x14ac:dyDescent="0.35">
      <c r="B762" t="str">
        <f>IF(NOT(ISBLANK(A762)),VLOOKUP(A762,'BBT3'!A:F,2,0),"")</f>
        <v/>
      </c>
      <c r="C762" t="str">
        <f>IF(NOT(ISBLANK(A762)),VLOOKUP(A762,'BBT3'!A:F,3,0),"")</f>
        <v/>
      </c>
      <c r="D762" s="5" t="str">
        <f>IF(NOT(ISBLANK(A762)),VLOOKUP(A762,'BBT3'!A:F,4,1),"")</f>
        <v/>
      </c>
      <c r="E762" t="str">
        <f>IF(NOT(ISBLANK(A762)),VLOOKUP(A762,'BBT3'!A:F,5,0),"")</f>
        <v/>
      </c>
      <c r="F762" t="str">
        <f>IF(NOT(ISBLANK(A762)),VLOOKUP(A762,'BBT3'!A:F,6,0),"")</f>
        <v/>
      </c>
      <c r="G762" t="str">
        <f t="shared" si="110"/>
        <v/>
      </c>
      <c r="H762" t="str">
        <f>IF(NOT(ISBLANK(A762)),VLOOKUP(A762,'Close - PriceSaver'!A:J,5,0),"")</f>
        <v/>
      </c>
      <c r="I762" s="4" t="str" cm="1">
        <f t="array" ref="I762">IF(NOT(ISBLANK(A762)),((_xlfn.XLOOKUP(1,(_bbt3[[#All],[ID]]=A762)*(_bbt3[[#All],[METRIC_NAME]]="YLD_YTM_ASK"),_bbt3[[#All],[METRIC_VALUE]])*0.5)+(_xlfn.XLOOKUP(1,(_bbt3[[#All],[ID]]=A762)*(_bbt3[[#All],[METRIC_NAME]]="YLD_YTM_BID"),_bbt3[[#All],[METRIC_VALUE]])*0.5))/100,"")</f>
        <v/>
      </c>
      <c r="J762">
        <f>IF(ISNA(VLOOKUP(A762,'CloseDL - PriceSaverBBT3'!A:E,5,0)),0,VLOOKUP(A762,'CloseDL - PriceSaverBBT3'!A:E,5,0))</f>
        <v>0</v>
      </c>
      <c r="K762" s="7" t="str">
        <f t="shared" si="111"/>
        <v/>
      </c>
      <c r="L762" s="20">
        <f>IF(Close[[#This Row],[CreatedBy]]="MARINER\SilverAdm",1,0)</f>
        <v>1</v>
      </c>
      <c r="M762" t="str">
        <f>IF(NOT(ISBLANK(A762)),VLOOKUP(A762,'Close - PriceSaver'!A:J,6,0),"")</f>
        <v/>
      </c>
      <c r="Q762" t="e">
        <f t="shared" si="112"/>
        <v>#N/A</v>
      </c>
      <c r="R762" t="e">
        <f t="shared" si="113"/>
        <v>#N/A</v>
      </c>
      <c r="S762" t="e">
        <f t="shared" si="114"/>
        <v>#N/A</v>
      </c>
      <c r="T762" s="15" t="e">
        <f t="shared" si="116"/>
        <v>#N/A</v>
      </c>
      <c r="U762" s="18" t="e">
        <f t="shared" si="117"/>
        <v>#N/A</v>
      </c>
      <c r="V762" s="14" t="e">
        <f t="shared" si="115"/>
        <v>#N/A</v>
      </c>
      <c r="W762" s="19" t="e">
        <f t="shared" si="118"/>
        <v>#N/A</v>
      </c>
      <c r="X762" t="e">
        <f>VLOOKUP(P762,Close[[ID]:[CreatedBy]],8,0)</f>
        <v>#N/A</v>
      </c>
    </row>
    <row r="763" spans="2:24" x14ac:dyDescent="0.35">
      <c r="B763" t="str">
        <f>IF(NOT(ISBLANK(A763)),VLOOKUP(A763,'BBT3'!A:F,2,0),"")</f>
        <v/>
      </c>
      <c r="C763" t="str">
        <f>IF(NOT(ISBLANK(A763)),VLOOKUP(A763,'BBT3'!A:F,3,0),"")</f>
        <v/>
      </c>
      <c r="D763" s="5" t="str">
        <f>IF(NOT(ISBLANK(A763)),VLOOKUP(A763,'BBT3'!A:F,4,1),"")</f>
        <v/>
      </c>
      <c r="E763" t="str">
        <f>IF(NOT(ISBLANK(A763)),VLOOKUP(A763,'BBT3'!A:F,5,0),"")</f>
        <v/>
      </c>
      <c r="F763" t="str">
        <f>IF(NOT(ISBLANK(A763)),VLOOKUP(A763,'BBT3'!A:F,6,0),"")</f>
        <v/>
      </c>
      <c r="G763" t="str">
        <f t="shared" si="110"/>
        <v/>
      </c>
      <c r="H763" t="str">
        <f>IF(NOT(ISBLANK(A763)),VLOOKUP(A763,'Close - PriceSaver'!A:J,5,0),"")</f>
        <v/>
      </c>
      <c r="I763" s="4" t="str" cm="1">
        <f t="array" ref="I763">IF(NOT(ISBLANK(A763)),((_xlfn.XLOOKUP(1,(_bbt3[[#All],[ID]]=A763)*(_bbt3[[#All],[METRIC_NAME]]="YLD_YTM_ASK"),_bbt3[[#All],[METRIC_VALUE]])*0.5)+(_xlfn.XLOOKUP(1,(_bbt3[[#All],[ID]]=A763)*(_bbt3[[#All],[METRIC_NAME]]="YLD_YTM_BID"),_bbt3[[#All],[METRIC_VALUE]])*0.5))/100,"")</f>
        <v/>
      </c>
      <c r="J763">
        <f>IF(ISNA(VLOOKUP(A763,'CloseDL - PriceSaverBBT3'!A:E,5,0)),0,VLOOKUP(A763,'CloseDL - PriceSaverBBT3'!A:E,5,0))</f>
        <v>0</v>
      </c>
      <c r="K763" s="7" t="str">
        <f t="shared" si="111"/>
        <v/>
      </c>
      <c r="L763" s="20">
        <f>IF(Close[[#This Row],[CreatedBy]]="MARINER\SilverAdm",1,0)</f>
        <v>1</v>
      </c>
      <c r="M763" t="str">
        <f>IF(NOT(ISBLANK(A763)),VLOOKUP(A763,'Close - PriceSaver'!A:J,6,0),"")</f>
        <v/>
      </c>
      <c r="Q763" t="e">
        <f t="shared" si="112"/>
        <v>#N/A</v>
      </c>
      <c r="R763" t="e">
        <f t="shared" si="113"/>
        <v>#N/A</v>
      </c>
      <c r="S763" t="e">
        <f t="shared" si="114"/>
        <v>#N/A</v>
      </c>
      <c r="T763" s="15" t="e">
        <f t="shared" si="116"/>
        <v>#N/A</v>
      </c>
      <c r="U763" s="18" t="e">
        <f t="shared" si="117"/>
        <v>#N/A</v>
      </c>
      <c r="V763" s="14" t="e">
        <f t="shared" si="115"/>
        <v>#N/A</v>
      </c>
      <c r="W763" s="19" t="e">
        <f t="shared" si="118"/>
        <v>#N/A</v>
      </c>
      <c r="X763" t="e">
        <f>VLOOKUP(P763,Close[[ID]:[CreatedBy]],8,0)</f>
        <v>#N/A</v>
      </c>
    </row>
    <row r="764" spans="2:24" x14ac:dyDescent="0.35">
      <c r="B764" t="str">
        <f>IF(NOT(ISBLANK(A764)),VLOOKUP(A764,'BBT3'!A:F,2,0),"")</f>
        <v/>
      </c>
      <c r="C764" t="str">
        <f>IF(NOT(ISBLANK(A764)),VLOOKUP(A764,'BBT3'!A:F,3,0),"")</f>
        <v/>
      </c>
      <c r="D764" s="5" t="str">
        <f>IF(NOT(ISBLANK(A764)),VLOOKUP(A764,'BBT3'!A:F,4,1),"")</f>
        <v/>
      </c>
      <c r="E764" t="str">
        <f>IF(NOT(ISBLANK(A764)),VLOOKUP(A764,'BBT3'!A:F,5,0),"")</f>
        <v/>
      </c>
      <c r="F764" t="str">
        <f>IF(NOT(ISBLANK(A764)),VLOOKUP(A764,'BBT3'!A:F,6,0),"")</f>
        <v/>
      </c>
      <c r="G764" t="str">
        <f t="shared" si="110"/>
        <v/>
      </c>
      <c r="H764" t="str">
        <f>IF(NOT(ISBLANK(A764)),VLOOKUP(A764,'Close - PriceSaver'!A:J,5,0),"")</f>
        <v/>
      </c>
      <c r="I764" s="4" t="str" cm="1">
        <f t="array" ref="I764">IF(NOT(ISBLANK(A764)),((_xlfn.XLOOKUP(1,(_bbt3[[#All],[ID]]=A764)*(_bbt3[[#All],[METRIC_NAME]]="YLD_YTM_ASK"),_bbt3[[#All],[METRIC_VALUE]])*0.5)+(_xlfn.XLOOKUP(1,(_bbt3[[#All],[ID]]=A764)*(_bbt3[[#All],[METRIC_NAME]]="YLD_YTM_BID"),_bbt3[[#All],[METRIC_VALUE]])*0.5))/100,"")</f>
        <v/>
      </c>
      <c r="J764">
        <f>IF(ISNA(VLOOKUP(A764,'CloseDL - PriceSaverBBT3'!A:E,5,0)),0,VLOOKUP(A764,'CloseDL - PriceSaverBBT3'!A:E,5,0))</f>
        <v>0</v>
      </c>
      <c r="K764" s="7" t="str">
        <f t="shared" si="111"/>
        <v/>
      </c>
      <c r="L764" s="20">
        <f>IF(Close[[#This Row],[CreatedBy]]="MARINER\SilverAdm",1,0)</f>
        <v>1</v>
      </c>
      <c r="M764" t="str">
        <f>IF(NOT(ISBLANK(A764)),VLOOKUP(A764,'Close - PriceSaver'!A:J,6,0),"")</f>
        <v/>
      </c>
      <c r="Q764" t="e">
        <f t="shared" si="112"/>
        <v>#N/A</v>
      </c>
      <c r="R764" t="e">
        <f t="shared" si="113"/>
        <v>#N/A</v>
      </c>
      <c r="S764" t="e">
        <f t="shared" si="114"/>
        <v>#N/A</v>
      </c>
      <c r="T764" s="15" t="e">
        <f t="shared" si="116"/>
        <v>#N/A</v>
      </c>
      <c r="U764" s="18" t="e">
        <f t="shared" si="117"/>
        <v>#N/A</v>
      </c>
      <c r="V764" s="14" t="e">
        <f t="shared" si="115"/>
        <v>#N/A</v>
      </c>
      <c r="W764" s="19" t="e">
        <f t="shared" si="118"/>
        <v>#N/A</v>
      </c>
      <c r="X764" t="e">
        <f>VLOOKUP(P764,Close[[ID]:[CreatedBy]],8,0)</f>
        <v>#N/A</v>
      </c>
    </row>
    <row r="765" spans="2:24" x14ac:dyDescent="0.35">
      <c r="B765" t="str">
        <f>IF(NOT(ISBLANK(A765)),VLOOKUP(A765,'BBT3'!A:F,2,0),"")</f>
        <v/>
      </c>
      <c r="C765" t="str">
        <f>IF(NOT(ISBLANK(A765)),VLOOKUP(A765,'BBT3'!A:F,3,0),"")</f>
        <v/>
      </c>
      <c r="D765" s="5" t="str">
        <f>IF(NOT(ISBLANK(A765)),VLOOKUP(A765,'BBT3'!A:F,4,1),"")</f>
        <v/>
      </c>
      <c r="E765" t="str">
        <f>IF(NOT(ISBLANK(A765)),VLOOKUP(A765,'BBT3'!A:F,5,0),"")</f>
        <v/>
      </c>
      <c r="F765" t="str">
        <f>IF(NOT(ISBLANK(A765)),VLOOKUP(A765,'BBT3'!A:F,6,0),"")</f>
        <v/>
      </c>
      <c r="G765" t="str">
        <f t="shared" si="110"/>
        <v/>
      </c>
      <c r="H765" t="str">
        <f>IF(NOT(ISBLANK(A765)),VLOOKUP(A765,'Close - PriceSaver'!A:J,5,0),"")</f>
        <v/>
      </c>
      <c r="I765" s="4" t="str" cm="1">
        <f t="array" ref="I765">IF(NOT(ISBLANK(A765)),((_xlfn.XLOOKUP(1,(_bbt3[[#All],[ID]]=A765)*(_bbt3[[#All],[METRIC_NAME]]="YLD_YTM_ASK"),_bbt3[[#All],[METRIC_VALUE]])*0.5)+(_xlfn.XLOOKUP(1,(_bbt3[[#All],[ID]]=A765)*(_bbt3[[#All],[METRIC_NAME]]="YLD_YTM_BID"),_bbt3[[#All],[METRIC_VALUE]])*0.5))/100,"")</f>
        <v/>
      </c>
      <c r="J765">
        <f>IF(ISNA(VLOOKUP(A765,'CloseDL - PriceSaverBBT3'!A:E,5,0)),0,VLOOKUP(A765,'CloseDL - PriceSaverBBT3'!A:E,5,0))</f>
        <v>0</v>
      </c>
      <c r="K765" s="7" t="str">
        <f t="shared" si="111"/>
        <v/>
      </c>
      <c r="L765" s="20">
        <f>IF(Close[[#This Row],[CreatedBy]]="MARINER\SilverAdm",1,0)</f>
        <v>1</v>
      </c>
      <c r="M765" t="str">
        <f>IF(NOT(ISBLANK(A765)),VLOOKUP(A765,'Close - PriceSaver'!A:J,6,0),"")</f>
        <v/>
      </c>
      <c r="Q765" t="e">
        <f t="shared" si="112"/>
        <v>#N/A</v>
      </c>
      <c r="R765" t="e">
        <f t="shared" si="113"/>
        <v>#N/A</v>
      </c>
      <c r="S765" t="e">
        <f t="shared" si="114"/>
        <v>#N/A</v>
      </c>
      <c r="T765" s="15" t="e">
        <f t="shared" si="116"/>
        <v>#N/A</v>
      </c>
      <c r="U765" s="18" t="e">
        <f t="shared" si="117"/>
        <v>#N/A</v>
      </c>
      <c r="V765" s="14" t="e">
        <f t="shared" si="115"/>
        <v>#N/A</v>
      </c>
      <c r="W765" s="19" t="e">
        <f t="shared" si="118"/>
        <v>#N/A</v>
      </c>
      <c r="X765" t="e">
        <f>VLOOKUP(P765,Close[[ID]:[CreatedBy]],8,0)</f>
        <v>#N/A</v>
      </c>
    </row>
    <row r="766" spans="2:24" x14ac:dyDescent="0.35">
      <c r="B766" t="str">
        <f>IF(NOT(ISBLANK(A766)),VLOOKUP(A766,'BBT3'!A:F,2,0),"")</f>
        <v/>
      </c>
      <c r="C766" t="str">
        <f>IF(NOT(ISBLANK(A766)),VLOOKUP(A766,'BBT3'!A:F,3,0),"")</f>
        <v/>
      </c>
      <c r="D766" s="5" t="str">
        <f>IF(NOT(ISBLANK(A766)),VLOOKUP(A766,'BBT3'!A:F,4,1),"")</f>
        <v/>
      </c>
      <c r="E766" t="str">
        <f>IF(NOT(ISBLANK(A766)),VLOOKUP(A766,'BBT3'!A:F,5,0),"")</f>
        <v/>
      </c>
      <c r="F766" t="str">
        <f>IF(NOT(ISBLANK(A766)),VLOOKUP(A766,'BBT3'!A:F,6,0),"")</f>
        <v/>
      </c>
      <c r="G766" t="str">
        <f t="shared" si="110"/>
        <v/>
      </c>
      <c r="H766" t="str">
        <f>IF(NOT(ISBLANK(A766)),VLOOKUP(A766,'Close - PriceSaver'!A:J,5,0),"")</f>
        <v/>
      </c>
      <c r="I766" s="4" t="str" cm="1">
        <f t="array" ref="I766">IF(NOT(ISBLANK(A766)),((_xlfn.XLOOKUP(1,(_bbt3[[#All],[ID]]=A766)*(_bbt3[[#All],[METRIC_NAME]]="YLD_YTM_ASK"),_bbt3[[#All],[METRIC_VALUE]])*0.5)+(_xlfn.XLOOKUP(1,(_bbt3[[#All],[ID]]=A766)*(_bbt3[[#All],[METRIC_NAME]]="YLD_YTM_BID"),_bbt3[[#All],[METRIC_VALUE]])*0.5))/100,"")</f>
        <v/>
      </c>
      <c r="J766">
        <f>IF(ISNA(VLOOKUP(A766,'CloseDL - PriceSaverBBT3'!A:E,5,0)),0,VLOOKUP(A766,'CloseDL - PriceSaverBBT3'!A:E,5,0))</f>
        <v>0</v>
      </c>
      <c r="K766" s="7" t="str">
        <f t="shared" si="111"/>
        <v/>
      </c>
      <c r="L766" s="20">
        <f>IF(Close[[#This Row],[CreatedBy]]="MARINER\SilverAdm",1,0)</f>
        <v>1</v>
      </c>
      <c r="M766" t="str">
        <f>IF(NOT(ISBLANK(A766)),VLOOKUP(A766,'Close - PriceSaver'!A:J,6,0),"")</f>
        <v/>
      </c>
      <c r="Q766" t="e">
        <f t="shared" si="112"/>
        <v>#N/A</v>
      </c>
      <c r="R766" t="e">
        <f t="shared" si="113"/>
        <v>#N/A</v>
      </c>
      <c r="S766" t="e">
        <f t="shared" si="114"/>
        <v>#N/A</v>
      </c>
      <c r="T766" s="15" t="e">
        <f t="shared" si="116"/>
        <v>#N/A</v>
      </c>
      <c r="U766" s="18" t="e">
        <f t="shared" si="117"/>
        <v>#N/A</v>
      </c>
      <c r="V766" s="14" t="e">
        <f t="shared" si="115"/>
        <v>#N/A</v>
      </c>
      <c r="W766" s="19" t="e">
        <f t="shared" si="118"/>
        <v>#N/A</v>
      </c>
      <c r="X766" t="e">
        <f>VLOOKUP(P766,Close[[ID]:[CreatedBy]],8,0)</f>
        <v>#N/A</v>
      </c>
    </row>
    <row r="767" spans="2:24" x14ac:dyDescent="0.35">
      <c r="B767" t="str">
        <f>IF(NOT(ISBLANK(A767)),VLOOKUP(A767,'BBT3'!A:F,2,0),"")</f>
        <v/>
      </c>
      <c r="C767" t="str">
        <f>IF(NOT(ISBLANK(A767)),VLOOKUP(A767,'BBT3'!A:F,3,0),"")</f>
        <v/>
      </c>
      <c r="D767" s="5" t="str">
        <f>IF(NOT(ISBLANK(A767)),VLOOKUP(A767,'BBT3'!A:F,4,1),"")</f>
        <v/>
      </c>
      <c r="E767" t="str">
        <f>IF(NOT(ISBLANK(A767)),VLOOKUP(A767,'BBT3'!A:F,5,0),"")</f>
        <v/>
      </c>
      <c r="F767" t="str">
        <f>IF(NOT(ISBLANK(A767)),VLOOKUP(A767,'BBT3'!A:F,6,0),"")</f>
        <v/>
      </c>
      <c r="G767" t="str">
        <f t="shared" si="110"/>
        <v/>
      </c>
      <c r="H767" t="str">
        <f>IF(NOT(ISBLANK(A767)),VLOOKUP(A767,'Close - PriceSaver'!A:J,5,0),"")</f>
        <v/>
      </c>
      <c r="I767" s="4" t="str" cm="1">
        <f t="array" ref="I767">IF(NOT(ISBLANK(A767)),((_xlfn.XLOOKUP(1,(_bbt3[[#All],[ID]]=A767)*(_bbt3[[#All],[METRIC_NAME]]="YLD_YTM_ASK"),_bbt3[[#All],[METRIC_VALUE]])*0.5)+(_xlfn.XLOOKUP(1,(_bbt3[[#All],[ID]]=A767)*(_bbt3[[#All],[METRIC_NAME]]="YLD_YTM_BID"),_bbt3[[#All],[METRIC_VALUE]])*0.5))/100,"")</f>
        <v/>
      </c>
      <c r="J767">
        <f>IF(ISNA(VLOOKUP(A767,'CloseDL - PriceSaverBBT3'!A:E,5,0)),0,VLOOKUP(A767,'CloseDL - PriceSaverBBT3'!A:E,5,0))</f>
        <v>0</v>
      </c>
      <c r="K767" s="7" t="str">
        <f t="shared" si="111"/>
        <v/>
      </c>
      <c r="L767" s="20">
        <f>IF(Close[[#This Row],[CreatedBy]]="MARINER\SilverAdm",1,0)</f>
        <v>1</v>
      </c>
      <c r="M767" t="str">
        <f>IF(NOT(ISBLANK(A767)),VLOOKUP(A767,'Close - PriceSaver'!A:J,6,0),"")</f>
        <v/>
      </c>
      <c r="Q767" t="e">
        <f t="shared" si="112"/>
        <v>#N/A</v>
      </c>
      <c r="R767" t="e">
        <f t="shared" si="113"/>
        <v>#N/A</v>
      </c>
      <c r="S767" t="e">
        <f t="shared" si="114"/>
        <v>#N/A</v>
      </c>
      <c r="T767" s="15" t="e">
        <f t="shared" si="116"/>
        <v>#N/A</v>
      </c>
      <c r="U767" s="18" t="e">
        <f t="shared" si="117"/>
        <v>#N/A</v>
      </c>
      <c r="V767" s="14" t="e">
        <f t="shared" si="115"/>
        <v>#N/A</v>
      </c>
      <c r="W767" s="19" t="e">
        <f t="shared" si="118"/>
        <v>#N/A</v>
      </c>
      <c r="X767" t="e">
        <f>VLOOKUP(P767,Close[[ID]:[CreatedBy]],8,0)</f>
        <v>#N/A</v>
      </c>
    </row>
    <row r="768" spans="2:24" x14ac:dyDescent="0.35">
      <c r="B768" t="str">
        <f>IF(NOT(ISBLANK(A768)),VLOOKUP(A768,'BBT3'!A:F,2,0),"")</f>
        <v/>
      </c>
      <c r="C768" t="str">
        <f>IF(NOT(ISBLANK(A768)),VLOOKUP(A768,'BBT3'!A:F,3,0),"")</f>
        <v/>
      </c>
      <c r="D768" s="5" t="str">
        <f>IF(NOT(ISBLANK(A768)),VLOOKUP(A768,'BBT3'!A:F,4,1),"")</f>
        <v/>
      </c>
      <c r="E768" t="str">
        <f>IF(NOT(ISBLANK(A768)),VLOOKUP(A768,'BBT3'!A:F,5,0),"")</f>
        <v/>
      </c>
      <c r="F768" t="str">
        <f>IF(NOT(ISBLANK(A768)),VLOOKUP(A768,'BBT3'!A:F,6,0),"")</f>
        <v/>
      </c>
      <c r="G768" t="str">
        <f t="shared" si="110"/>
        <v/>
      </c>
      <c r="H768" t="str">
        <f>IF(NOT(ISBLANK(A768)),VLOOKUP(A768,'Close - PriceSaver'!A:J,5,0),"")</f>
        <v/>
      </c>
      <c r="I768" s="4" t="str" cm="1">
        <f t="array" ref="I768">IF(NOT(ISBLANK(A768)),((_xlfn.XLOOKUP(1,(_bbt3[[#All],[ID]]=A768)*(_bbt3[[#All],[METRIC_NAME]]="YLD_YTM_ASK"),_bbt3[[#All],[METRIC_VALUE]])*0.5)+(_xlfn.XLOOKUP(1,(_bbt3[[#All],[ID]]=A768)*(_bbt3[[#All],[METRIC_NAME]]="YLD_YTM_BID"),_bbt3[[#All],[METRIC_VALUE]])*0.5))/100,"")</f>
        <v/>
      </c>
      <c r="J768">
        <f>IF(ISNA(VLOOKUP(A768,'CloseDL - PriceSaverBBT3'!A:E,5,0)),0,VLOOKUP(A768,'CloseDL - PriceSaverBBT3'!A:E,5,0))</f>
        <v>0</v>
      </c>
      <c r="K768" s="7" t="str">
        <f t="shared" si="111"/>
        <v/>
      </c>
      <c r="L768" s="20">
        <f>IF(Close[[#This Row],[CreatedBy]]="MARINER\SilverAdm",1,0)</f>
        <v>1</v>
      </c>
      <c r="M768" t="str">
        <f>IF(NOT(ISBLANK(A768)),VLOOKUP(A768,'Close - PriceSaver'!A:J,6,0),"")</f>
        <v/>
      </c>
      <c r="Q768" t="e">
        <f t="shared" si="112"/>
        <v>#N/A</v>
      </c>
      <c r="R768" t="e">
        <f t="shared" si="113"/>
        <v>#N/A</v>
      </c>
      <c r="S768" t="e">
        <f t="shared" si="114"/>
        <v>#N/A</v>
      </c>
      <c r="T768" s="15" t="e">
        <f t="shared" si="116"/>
        <v>#N/A</v>
      </c>
      <c r="U768" s="18" t="e">
        <f t="shared" si="117"/>
        <v>#N/A</v>
      </c>
      <c r="V768" s="14" t="e">
        <f t="shared" si="115"/>
        <v>#N/A</v>
      </c>
      <c r="W768" s="19" t="e">
        <f t="shared" si="118"/>
        <v>#N/A</v>
      </c>
      <c r="X768" t="e">
        <f>VLOOKUP(P768,Close[[ID]:[CreatedBy]],8,0)</f>
        <v>#N/A</v>
      </c>
    </row>
    <row r="769" spans="2:24" x14ac:dyDescent="0.35">
      <c r="B769" t="str">
        <f>IF(NOT(ISBLANK(A769)),VLOOKUP(A769,'BBT3'!A:F,2,0),"")</f>
        <v/>
      </c>
      <c r="C769" t="str">
        <f>IF(NOT(ISBLANK(A769)),VLOOKUP(A769,'BBT3'!A:F,3,0),"")</f>
        <v/>
      </c>
      <c r="D769" s="5" t="str">
        <f>IF(NOT(ISBLANK(A769)),VLOOKUP(A769,'BBT3'!A:F,4,1),"")</f>
        <v/>
      </c>
      <c r="E769" t="str">
        <f>IF(NOT(ISBLANK(A769)),VLOOKUP(A769,'BBT3'!A:F,5,0),"")</f>
        <v/>
      </c>
      <c r="F769" t="str">
        <f>IF(NOT(ISBLANK(A769)),VLOOKUP(A769,'BBT3'!A:F,6,0),"")</f>
        <v/>
      </c>
      <c r="G769" t="str">
        <f t="shared" si="110"/>
        <v/>
      </c>
      <c r="H769" t="str">
        <f>IF(NOT(ISBLANK(A769)),VLOOKUP(A769,'Close - PriceSaver'!A:J,5,0),"")</f>
        <v/>
      </c>
      <c r="I769" s="4" t="str" cm="1">
        <f t="array" ref="I769">IF(NOT(ISBLANK(A769)),((_xlfn.XLOOKUP(1,(_bbt3[[#All],[ID]]=A769)*(_bbt3[[#All],[METRIC_NAME]]="YLD_YTM_ASK"),_bbt3[[#All],[METRIC_VALUE]])*0.5)+(_xlfn.XLOOKUP(1,(_bbt3[[#All],[ID]]=A769)*(_bbt3[[#All],[METRIC_NAME]]="YLD_YTM_BID"),_bbt3[[#All],[METRIC_VALUE]])*0.5))/100,"")</f>
        <v/>
      </c>
      <c r="J769">
        <f>IF(ISNA(VLOOKUP(A769,'CloseDL - PriceSaverBBT3'!A:E,5,0)),0,VLOOKUP(A769,'CloseDL - PriceSaverBBT3'!A:E,5,0))</f>
        <v>0</v>
      </c>
      <c r="K769" s="7" t="str">
        <f t="shared" si="111"/>
        <v/>
      </c>
      <c r="L769" s="20">
        <f>IF(Close[[#This Row],[CreatedBy]]="MARINER\SilverAdm",1,0)</f>
        <v>1</v>
      </c>
      <c r="M769" t="str">
        <f>IF(NOT(ISBLANK(A769)),VLOOKUP(A769,'Close - PriceSaver'!A:J,6,0),"")</f>
        <v/>
      </c>
      <c r="Q769" t="e">
        <f t="shared" si="112"/>
        <v>#N/A</v>
      </c>
      <c r="R769" t="e">
        <f t="shared" si="113"/>
        <v>#N/A</v>
      </c>
      <c r="S769" t="e">
        <f t="shared" si="114"/>
        <v>#N/A</v>
      </c>
      <c r="T769" s="15" t="e">
        <f t="shared" si="116"/>
        <v>#N/A</v>
      </c>
      <c r="U769" s="18" t="e">
        <f t="shared" si="117"/>
        <v>#N/A</v>
      </c>
      <c r="V769" s="14" t="e">
        <f t="shared" si="115"/>
        <v>#N/A</v>
      </c>
      <c r="W769" s="19" t="e">
        <f t="shared" si="118"/>
        <v>#N/A</v>
      </c>
      <c r="X769" t="e">
        <f>VLOOKUP(P769,Close[[ID]:[CreatedBy]],8,0)</f>
        <v>#N/A</v>
      </c>
    </row>
    <row r="770" spans="2:24" x14ac:dyDescent="0.35">
      <c r="B770" t="str">
        <f>IF(NOT(ISBLANK(A770)),VLOOKUP(A770,'BBT3'!A:F,2,0),"")</f>
        <v/>
      </c>
      <c r="C770" t="str">
        <f>IF(NOT(ISBLANK(A770)),VLOOKUP(A770,'BBT3'!A:F,3,0),"")</f>
        <v/>
      </c>
      <c r="D770" s="5" t="str">
        <f>IF(NOT(ISBLANK(A770)),VLOOKUP(A770,'BBT3'!A:F,4,1),"")</f>
        <v/>
      </c>
      <c r="E770" t="str">
        <f>IF(NOT(ISBLANK(A770)),VLOOKUP(A770,'BBT3'!A:F,5,0),"")</f>
        <v/>
      </c>
      <c r="F770" t="str">
        <f>IF(NOT(ISBLANK(A770)),VLOOKUP(A770,'BBT3'!A:F,6,0),"")</f>
        <v/>
      </c>
      <c r="G770" t="str">
        <f t="shared" si="110"/>
        <v/>
      </c>
      <c r="H770" t="str">
        <f>IF(NOT(ISBLANK(A770)),VLOOKUP(A770,'Close - PriceSaver'!A:J,5,0),"")</f>
        <v/>
      </c>
      <c r="I770" s="4" t="str" cm="1">
        <f t="array" ref="I770">IF(NOT(ISBLANK(A770)),((_xlfn.XLOOKUP(1,(_bbt3[[#All],[ID]]=A770)*(_bbt3[[#All],[METRIC_NAME]]="YLD_YTM_ASK"),_bbt3[[#All],[METRIC_VALUE]])*0.5)+(_xlfn.XLOOKUP(1,(_bbt3[[#All],[ID]]=A770)*(_bbt3[[#All],[METRIC_NAME]]="YLD_YTM_BID"),_bbt3[[#All],[METRIC_VALUE]])*0.5))/100,"")</f>
        <v/>
      </c>
      <c r="J770">
        <f>IF(ISNA(VLOOKUP(A770,'CloseDL - PriceSaverBBT3'!A:E,5,0)),0,VLOOKUP(A770,'CloseDL - PriceSaverBBT3'!A:E,5,0))</f>
        <v>0</v>
      </c>
      <c r="K770" s="7" t="str">
        <f t="shared" si="111"/>
        <v/>
      </c>
      <c r="L770" s="20">
        <f>IF(Close[[#This Row],[CreatedBy]]="MARINER\SilverAdm",1,0)</f>
        <v>0</v>
      </c>
      <c r="M770" t="str">
        <f>IF(NOT(ISBLANK(A770)),VLOOKUP(A770,'Close - PriceSaver'!A:J,6,0),"")</f>
        <v/>
      </c>
      <c r="Q770" t="e">
        <f t="shared" si="112"/>
        <v>#N/A</v>
      </c>
      <c r="R770" t="e">
        <f t="shared" si="113"/>
        <v>#N/A</v>
      </c>
      <c r="S770" t="e">
        <f t="shared" si="114"/>
        <v>#N/A</v>
      </c>
      <c r="T770" s="15" t="e">
        <f t="shared" si="116"/>
        <v>#N/A</v>
      </c>
      <c r="U770" s="18" t="e">
        <f t="shared" si="117"/>
        <v>#N/A</v>
      </c>
      <c r="V770" s="14" t="e">
        <f t="shared" si="115"/>
        <v>#N/A</v>
      </c>
      <c r="W770" s="19" t="e">
        <f t="shared" si="118"/>
        <v>#N/A</v>
      </c>
      <c r="X770" t="e">
        <f>VLOOKUP(P770,Close[[ID]:[CreatedBy]],8,0)</f>
        <v>#N/A</v>
      </c>
    </row>
    <row r="771" spans="2:24" x14ac:dyDescent="0.35">
      <c r="B771" t="str">
        <f>IF(NOT(ISBLANK(A771)),VLOOKUP(A771,'BBT3'!A:F,2,0),"")</f>
        <v/>
      </c>
      <c r="C771" t="str">
        <f>IF(NOT(ISBLANK(A771)),VLOOKUP(A771,'BBT3'!A:F,3,0),"")</f>
        <v/>
      </c>
      <c r="D771" s="5" t="str">
        <f>IF(NOT(ISBLANK(A771)),VLOOKUP(A771,'BBT3'!A:F,4,1),"")</f>
        <v/>
      </c>
      <c r="E771" t="str">
        <f>IF(NOT(ISBLANK(A771)),VLOOKUP(A771,'BBT3'!A:F,5,0),"")</f>
        <v/>
      </c>
      <c r="F771" t="str">
        <f>IF(NOT(ISBLANK(A771)),VLOOKUP(A771,'BBT3'!A:F,6,0),"")</f>
        <v/>
      </c>
      <c r="G771" t="str">
        <f t="shared" ref="G771:G834" si="119">IF(NOT(ISBLANK(A771)),IF(D771=0,"Y","N"),"")</f>
        <v/>
      </c>
      <c r="H771" t="str">
        <f>IF(NOT(ISBLANK(A771)),VLOOKUP(A771,'Close - PriceSaver'!A:J,5,0),"")</f>
        <v/>
      </c>
      <c r="I771" s="4" t="str" cm="1">
        <f t="array" ref="I771">IF(NOT(ISBLANK(A771)),((_xlfn.XLOOKUP(1,(_bbt3[[#All],[ID]]=A771)*(_bbt3[[#All],[METRIC_NAME]]="YLD_YTM_ASK"),_bbt3[[#All],[METRIC_VALUE]])*0.5)+(_xlfn.XLOOKUP(1,(_bbt3[[#All],[ID]]=A771)*(_bbt3[[#All],[METRIC_NAME]]="YLD_YTM_BID"),_bbt3[[#All],[METRIC_VALUE]])*0.5))/100,"")</f>
        <v/>
      </c>
      <c r="J771">
        <f>IF(ISNA(VLOOKUP(A771,'CloseDL - PriceSaverBBT3'!A:E,5,0)),0,VLOOKUP(A771,'CloseDL - PriceSaverBBT3'!A:E,5,0))</f>
        <v>0</v>
      </c>
      <c r="K771" s="7" t="str">
        <f t="shared" ref="K771:K834" si="120">IF(ISNA(IF(NOT(ISBLANK(A771)),ABS(H771-J771),"")),0,(IF(NOT(ISBLANK(A771)),ABS(H771-J771)*10000,"")))</f>
        <v/>
      </c>
      <c r="L771" s="20">
        <f>IF(Close[[#This Row],[CreatedBy]]="MARINER\SilverAdm",1,0)</f>
        <v>1</v>
      </c>
      <c r="M771" t="str">
        <f>IF(NOT(ISBLANK(A771)),VLOOKUP(A771,'Close - PriceSaver'!A:J,6,0),"")</f>
        <v/>
      </c>
      <c r="Q771" t="e">
        <f t="shared" si="112"/>
        <v>#N/A</v>
      </c>
      <c r="R771" t="e">
        <f t="shared" si="113"/>
        <v>#N/A</v>
      </c>
      <c r="S771" t="e">
        <f t="shared" si="114"/>
        <v>#N/A</v>
      </c>
      <c r="T771" s="15" t="e">
        <f t="shared" si="116"/>
        <v>#N/A</v>
      </c>
      <c r="U771" s="18" t="e">
        <f t="shared" si="117"/>
        <v>#N/A</v>
      </c>
      <c r="V771" s="14" t="e">
        <f t="shared" si="115"/>
        <v>#N/A</v>
      </c>
      <c r="W771" s="19" t="e">
        <f t="shared" si="118"/>
        <v>#N/A</v>
      </c>
      <c r="X771" t="e">
        <f>VLOOKUP(P771,Close[[ID]:[CreatedBy]],8,0)</f>
        <v>#N/A</v>
      </c>
    </row>
    <row r="772" spans="2:24" x14ac:dyDescent="0.35">
      <c r="B772" t="str">
        <f>IF(NOT(ISBLANK(A772)),VLOOKUP(A772,'BBT3'!A:F,2,0),"")</f>
        <v/>
      </c>
      <c r="C772" t="str">
        <f>IF(NOT(ISBLANK(A772)),VLOOKUP(A772,'BBT3'!A:F,3,0),"")</f>
        <v/>
      </c>
      <c r="D772" s="5" t="str">
        <f>IF(NOT(ISBLANK(A772)),VLOOKUP(A772,'BBT3'!A:F,4,1),"")</f>
        <v/>
      </c>
      <c r="E772" t="str">
        <f>IF(NOT(ISBLANK(A772)),VLOOKUP(A772,'BBT3'!A:F,5,0),"")</f>
        <v/>
      </c>
      <c r="F772" t="str">
        <f>IF(NOT(ISBLANK(A772)),VLOOKUP(A772,'BBT3'!A:F,6,0),"")</f>
        <v/>
      </c>
      <c r="G772" t="str">
        <f t="shared" si="119"/>
        <v/>
      </c>
      <c r="H772" t="str">
        <f>IF(NOT(ISBLANK(A772)),VLOOKUP(A772,'Close - PriceSaver'!A:J,5,0),"")</f>
        <v/>
      </c>
      <c r="I772" s="4" t="str" cm="1">
        <f t="array" ref="I772">IF(NOT(ISBLANK(A772)),((_xlfn.XLOOKUP(1,(_bbt3[[#All],[ID]]=A772)*(_bbt3[[#All],[METRIC_NAME]]="YLD_YTM_ASK"),_bbt3[[#All],[METRIC_VALUE]])*0.5)+(_xlfn.XLOOKUP(1,(_bbt3[[#All],[ID]]=A772)*(_bbt3[[#All],[METRIC_NAME]]="YLD_YTM_BID"),_bbt3[[#All],[METRIC_VALUE]])*0.5))/100,"")</f>
        <v/>
      </c>
      <c r="J772">
        <f>IF(ISNA(VLOOKUP(A772,'CloseDL - PriceSaverBBT3'!A:E,5,0)),0,VLOOKUP(A772,'CloseDL - PriceSaverBBT3'!A:E,5,0))</f>
        <v>0</v>
      </c>
      <c r="K772" s="7" t="str">
        <f t="shared" si="120"/>
        <v/>
      </c>
      <c r="L772" s="20">
        <f>IF(Close[[#This Row],[CreatedBy]]="MARINER\SilverAdm",1,0)</f>
        <v>1</v>
      </c>
      <c r="M772" t="str">
        <f>IF(NOT(ISBLANK(A772)),VLOOKUP(A772,'Close - PriceSaver'!A:J,6,0),"")</f>
        <v/>
      </c>
      <c r="Q772" t="e">
        <f t="shared" si="112"/>
        <v>#N/A</v>
      </c>
      <c r="R772" t="e">
        <f t="shared" si="113"/>
        <v>#N/A</v>
      </c>
      <c r="S772" t="e">
        <f t="shared" si="114"/>
        <v>#N/A</v>
      </c>
      <c r="T772" s="15" t="e">
        <f t="shared" si="116"/>
        <v>#N/A</v>
      </c>
      <c r="U772" s="18" t="e">
        <f t="shared" si="117"/>
        <v>#N/A</v>
      </c>
      <c r="V772" s="14" t="e">
        <f t="shared" si="115"/>
        <v>#N/A</v>
      </c>
      <c r="W772" s="19" t="e">
        <f t="shared" si="118"/>
        <v>#N/A</v>
      </c>
      <c r="X772" t="e">
        <f>VLOOKUP(P772,Close[[ID]:[CreatedBy]],8,0)</f>
        <v>#N/A</v>
      </c>
    </row>
    <row r="773" spans="2:24" x14ac:dyDescent="0.35">
      <c r="B773" t="str">
        <f>IF(NOT(ISBLANK(A773)),VLOOKUP(A773,'BBT3'!A:F,2,0),"")</f>
        <v/>
      </c>
      <c r="C773" t="str">
        <f>IF(NOT(ISBLANK(A773)),VLOOKUP(A773,'BBT3'!A:F,3,0),"")</f>
        <v/>
      </c>
      <c r="D773" s="5" t="str">
        <f>IF(NOT(ISBLANK(A773)),VLOOKUP(A773,'BBT3'!A:F,4,1),"")</f>
        <v/>
      </c>
      <c r="E773" t="str">
        <f>IF(NOT(ISBLANK(A773)),VLOOKUP(A773,'BBT3'!A:F,5,0),"")</f>
        <v/>
      </c>
      <c r="F773" t="str">
        <f>IF(NOT(ISBLANK(A773)),VLOOKUP(A773,'BBT3'!A:F,6,0),"")</f>
        <v/>
      </c>
      <c r="G773" t="str">
        <f t="shared" si="119"/>
        <v/>
      </c>
      <c r="H773" t="str">
        <f>IF(NOT(ISBLANK(A773)),VLOOKUP(A773,'Close - PriceSaver'!A:J,5,0),"")</f>
        <v/>
      </c>
      <c r="I773" s="4" t="str" cm="1">
        <f t="array" ref="I773">IF(NOT(ISBLANK(A773)),((_xlfn.XLOOKUP(1,(_bbt3[[#All],[ID]]=A773)*(_bbt3[[#All],[METRIC_NAME]]="YLD_YTM_ASK"),_bbt3[[#All],[METRIC_VALUE]])*0.5)+(_xlfn.XLOOKUP(1,(_bbt3[[#All],[ID]]=A773)*(_bbt3[[#All],[METRIC_NAME]]="YLD_YTM_BID"),_bbt3[[#All],[METRIC_VALUE]])*0.5))/100,"")</f>
        <v/>
      </c>
      <c r="J773">
        <f>IF(ISNA(VLOOKUP(A773,'CloseDL - PriceSaverBBT3'!A:E,5,0)),0,VLOOKUP(A773,'CloseDL - PriceSaverBBT3'!A:E,5,0))</f>
        <v>0</v>
      </c>
      <c r="K773" s="7" t="str">
        <f t="shared" si="120"/>
        <v/>
      </c>
      <c r="L773" s="20">
        <f>IF(Close[[#This Row],[CreatedBy]]="MARINER\SilverAdm",1,0)</f>
        <v>1</v>
      </c>
      <c r="M773" t="str">
        <f>IF(NOT(ISBLANK(A773)),VLOOKUP(A773,'Close - PriceSaver'!A:J,6,0),"")</f>
        <v/>
      </c>
      <c r="Q773" t="e">
        <f t="shared" si="112"/>
        <v>#N/A</v>
      </c>
      <c r="R773" t="e">
        <f t="shared" si="113"/>
        <v>#N/A</v>
      </c>
      <c r="S773" t="e">
        <f t="shared" si="114"/>
        <v>#N/A</v>
      </c>
      <c r="T773" s="15" t="e">
        <f t="shared" si="116"/>
        <v>#N/A</v>
      </c>
      <c r="U773" s="18" t="e">
        <f t="shared" si="117"/>
        <v>#N/A</v>
      </c>
      <c r="V773" s="14" t="e">
        <f t="shared" si="115"/>
        <v>#N/A</v>
      </c>
      <c r="W773" s="19" t="e">
        <f t="shared" si="118"/>
        <v>#N/A</v>
      </c>
      <c r="X773" t="e">
        <f>VLOOKUP(P773,Close[[ID]:[CreatedBy]],8,0)</f>
        <v>#N/A</v>
      </c>
    </row>
    <row r="774" spans="2:24" x14ac:dyDescent="0.35">
      <c r="B774" t="str">
        <f>IF(NOT(ISBLANK(A774)),VLOOKUP(A774,'BBT3'!A:F,2,0),"")</f>
        <v/>
      </c>
      <c r="C774" t="str">
        <f>IF(NOT(ISBLANK(A774)),VLOOKUP(A774,'BBT3'!A:F,3,0),"")</f>
        <v/>
      </c>
      <c r="D774" s="5" t="str">
        <f>IF(NOT(ISBLANK(A774)),VLOOKUP(A774,'BBT3'!A:F,4,1),"")</f>
        <v/>
      </c>
      <c r="E774" t="str">
        <f>IF(NOT(ISBLANK(A774)),VLOOKUP(A774,'BBT3'!A:F,5,0),"")</f>
        <v/>
      </c>
      <c r="F774" t="str">
        <f>IF(NOT(ISBLANK(A774)),VLOOKUP(A774,'BBT3'!A:F,6,0),"")</f>
        <v/>
      </c>
      <c r="G774" t="str">
        <f t="shared" si="119"/>
        <v/>
      </c>
      <c r="H774" t="str">
        <f>IF(NOT(ISBLANK(A774)),VLOOKUP(A774,'Close - PriceSaver'!A:J,5,0),"")</f>
        <v/>
      </c>
      <c r="I774" s="4" t="str" cm="1">
        <f t="array" ref="I774">IF(NOT(ISBLANK(A774)),((_xlfn.XLOOKUP(1,(_bbt3[[#All],[ID]]=A774)*(_bbt3[[#All],[METRIC_NAME]]="YLD_YTM_ASK"),_bbt3[[#All],[METRIC_VALUE]])*0.5)+(_xlfn.XLOOKUP(1,(_bbt3[[#All],[ID]]=A774)*(_bbt3[[#All],[METRIC_NAME]]="YLD_YTM_BID"),_bbt3[[#All],[METRIC_VALUE]])*0.5))/100,"")</f>
        <v/>
      </c>
      <c r="J774">
        <f>IF(ISNA(VLOOKUP(A774,'CloseDL - PriceSaverBBT3'!A:E,5,0)),0,VLOOKUP(A774,'CloseDL - PriceSaverBBT3'!A:E,5,0))</f>
        <v>0</v>
      </c>
      <c r="K774" s="7" t="str">
        <f t="shared" si="120"/>
        <v/>
      </c>
      <c r="L774" s="20">
        <f>IF(Close[[#This Row],[CreatedBy]]="MARINER\SilverAdm",1,0)</f>
        <v>1</v>
      </c>
      <c r="M774" t="str">
        <f>IF(NOT(ISBLANK(A774)),VLOOKUP(A774,'Close - PriceSaver'!A:J,6,0),"")</f>
        <v/>
      </c>
      <c r="Q774" t="e">
        <f t="shared" si="112"/>
        <v>#N/A</v>
      </c>
      <c r="R774" t="e">
        <f t="shared" si="113"/>
        <v>#N/A</v>
      </c>
      <c r="S774" t="e">
        <f t="shared" si="114"/>
        <v>#N/A</v>
      </c>
      <c r="T774" s="15" t="e">
        <f t="shared" si="116"/>
        <v>#N/A</v>
      </c>
      <c r="U774" s="18" t="e">
        <f t="shared" si="117"/>
        <v>#N/A</v>
      </c>
      <c r="V774" s="14" t="e">
        <f t="shared" si="115"/>
        <v>#N/A</v>
      </c>
      <c r="W774" s="19" t="e">
        <f t="shared" si="118"/>
        <v>#N/A</v>
      </c>
      <c r="X774" t="e">
        <f>VLOOKUP(P774,Close[[ID]:[CreatedBy]],8,0)</f>
        <v>#N/A</v>
      </c>
    </row>
    <row r="775" spans="2:24" x14ac:dyDescent="0.35">
      <c r="B775" t="str">
        <f>IF(NOT(ISBLANK(A775)),VLOOKUP(A775,'BBT3'!A:F,2,0),"")</f>
        <v/>
      </c>
      <c r="C775" t="str">
        <f>IF(NOT(ISBLANK(A775)),VLOOKUP(A775,'BBT3'!A:F,3,0),"")</f>
        <v/>
      </c>
      <c r="D775" s="5" t="str">
        <f>IF(NOT(ISBLANK(A775)),VLOOKUP(A775,'BBT3'!A:F,4,1),"")</f>
        <v/>
      </c>
      <c r="E775" t="str">
        <f>IF(NOT(ISBLANK(A775)),VLOOKUP(A775,'BBT3'!A:F,5,0),"")</f>
        <v/>
      </c>
      <c r="F775" t="str">
        <f>IF(NOT(ISBLANK(A775)),VLOOKUP(A775,'BBT3'!A:F,6,0),"")</f>
        <v/>
      </c>
      <c r="G775" t="str">
        <f t="shared" si="119"/>
        <v/>
      </c>
      <c r="H775" t="str">
        <f>IF(NOT(ISBLANK(A775)),VLOOKUP(A775,'Close - PriceSaver'!A:J,5,0),"")</f>
        <v/>
      </c>
      <c r="I775" s="4" t="str" cm="1">
        <f t="array" ref="I775">IF(NOT(ISBLANK(A775)),((_xlfn.XLOOKUP(1,(_bbt3[[#All],[ID]]=A775)*(_bbt3[[#All],[METRIC_NAME]]="YLD_YTM_ASK"),_bbt3[[#All],[METRIC_VALUE]])*0.5)+(_xlfn.XLOOKUP(1,(_bbt3[[#All],[ID]]=A775)*(_bbt3[[#All],[METRIC_NAME]]="YLD_YTM_BID"),_bbt3[[#All],[METRIC_VALUE]])*0.5))/100,"")</f>
        <v/>
      </c>
      <c r="J775">
        <f>IF(ISNA(VLOOKUP(A775,'CloseDL - PriceSaverBBT3'!A:E,5,0)),0,VLOOKUP(A775,'CloseDL - PriceSaverBBT3'!A:E,5,0))</f>
        <v>0</v>
      </c>
      <c r="K775" s="7" t="str">
        <f t="shared" si="120"/>
        <v/>
      </c>
      <c r="L775" s="20">
        <f>IF(Close[[#This Row],[CreatedBy]]="MARINER\SilverAdm",1,0)</f>
        <v>0</v>
      </c>
      <c r="M775" t="str">
        <f>IF(NOT(ISBLANK(A775)),VLOOKUP(A775,'Close - PriceSaver'!A:J,6,0),"")</f>
        <v/>
      </c>
      <c r="Q775" t="e">
        <f t="shared" si="112"/>
        <v>#N/A</v>
      </c>
      <c r="R775" t="e">
        <f t="shared" si="113"/>
        <v>#N/A</v>
      </c>
      <c r="S775" t="e">
        <f t="shared" si="114"/>
        <v>#N/A</v>
      </c>
      <c r="T775" s="15" t="e">
        <f t="shared" si="116"/>
        <v>#N/A</v>
      </c>
      <c r="U775" s="18" t="e">
        <f t="shared" si="117"/>
        <v>#N/A</v>
      </c>
      <c r="V775" s="14" t="e">
        <f t="shared" si="115"/>
        <v>#N/A</v>
      </c>
      <c r="W775" s="19" t="e">
        <f t="shared" si="118"/>
        <v>#N/A</v>
      </c>
      <c r="X775" t="e">
        <f>VLOOKUP(P775,Close[[ID]:[CreatedBy]],8,0)</f>
        <v>#N/A</v>
      </c>
    </row>
    <row r="776" spans="2:24" x14ac:dyDescent="0.35">
      <c r="B776" t="str">
        <f>IF(NOT(ISBLANK(A776)),VLOOKUP(A776,'BBT3'!A:F,2,0),"")</f>
        <v/>
      </c>
      <c r="C776" t="str">
        <f>IF(NOT(ISBLANK(A776)),VLOOKUP(A776,'BBT3'!A:F,3,0),"")</f>
        <v/>
      </c>
      <c r="D776" s="5" t="str">
        <f>IF(NOT(ISBLANK(A776)),VLOOKUP(A776,'BBT3'!A:F,4,1),"")</f>
        <v/>
      </c>
      <c r="E776" t="str">
        <f>IF(NOT(ISBLANK(A776)),VLOOKUP(A776,'BBT3'!A:F,5,0),"")</f>
        <v/>
      </c>
      <c r="F776" t="str">
        <f>IF(NOT(ISBLANK(A776)),VLOOKUP(A776,'BBT3'!A:F,6,0),"")</f>
        <v/>
      </c>
      <c r="G776" t="str">
        <f t="shared" si="119"/>
        <v/>
      </c>
      <c r="H776" t="str">
        <f>IF(NOT(ISBLANK(A776)),VLOOKUP(A776,'Close - PriceSaver'!A:J,5,0),"")</f>
        <v/>
      </c>
      <c r="I776" s="4" t="str" cm="1">
        <f t="array" ref="I776">IF(NOT(ISBLANK(A776)),((_xlfn.XLOOKUP(1,(_bbt3[[#All],[ID]]=A776)*(_bbt3[[#All],[METRIC_NAME]]="YLD_YTM_ASK"),_bbt3[[#All],[METRIC_VALUE]])*0.5)+(_xlfn.XLOOKUP(1,(_bbt3[[#All],[ID]]=A776)*(_bbt3[[#All],[METRIC_NAME]]="YLD_YTM_BID"),_bbt3[[#All],[METRIC_VALUE]])*0.5))/100,"")</f>
        <v/>
      </c>
      <c r="J776">
        <f>IF(ISNA(VLOOKUP(A776,'CloseDL - PriceSaverBBT3'!A:E,5,0)),0,VLOOKUP(A776,'CloseDL - PriceSaverBBT3'!A:E,5,0))</f>
        <v>0</v>
      </c>
      <c r="K776" s="7" t="str">
        <f t="shared" si="120"/>
        <v/>
      </c>
      <c r="L776" s="20">
        <f>IF(Close[[#This Row],[CreatedBy]]="MARINER\SilverAdm",1,0)</f>
        <v>1</v>
      </c>
      <c r="M776" t="str">
        <f>IF(NOT(ISBLANK(A776)),VLOOKUP(A776,'Close - PriceSaver'!A:J,6,0),"")</f>
        <v/>
      </c>
      <c r="Q776" t="e">
        <f t="shared" si="112"/>
        <v>#N/A</v>
      </c>
      <c r="R776" t="e">
        <f t="shared" si="113"/>
        <v>#N/A</v>
      </c>
      <c r="S776" t="e">
        <f t="shared" si="114"/>
        <v>#N/A</v>
      </c>
      <c r="T776" s="15" t="e">
        <f t="shared" si="116"/>
        <v>#N/A</v>
      </c>
      <c r="U776" s="18" t="e">
        <f t="shared" si="117"/>
        <v>#N/A</v>
      </c>
      <c r="V776" s="14" t="e">
        <f t="shared" si="115"/>
        <v>#N/A</v>
      </c>
      <c r="W776" s="19" t="e">
        <f t="shared" si="118"/>
        <v>#N/A</v>
      </c>
      <c r="X776" t="e">
        <f>VLOOKUP(P776,Close[[ID]:[CreatedBy]],8,0)</f>
        <v>#N/A</v>
      </c>
    </row>
    <row r="777" spans="2:24" x14ac:dyDescent="0.35">
      <c r="B777" t="str">
        <f>IF(NOT(ISBLANK(A777)),VLOOKUP(A777,'BBT3'!A:F,2,0),"")</f>
        <v/>
      </c>
      <c r="C777" t="str">
        <f>IF(NOT(ISBLANK(A777)),VLOOKUP(A777,'BBT3'!A:F,3,0),"")</f>
        <v/>
      </c>
      <c r="D777" s="5" t="str">
        <f>IF(NOT(ISBLANK(A777)),VLOOKUP(A777,'BBT3'!A:F,4,1),"")</f>
        <v/>
      </c>
      <c r="E777" t="str">
        <f>IF(NOT(ISBLANK(A777)),VLOOKUP(A777,'BBT3'!A:F,5,0),"")</f>
        <v/>
      </c>
      <c r="F777" t="str">
        <f>IF(NOT(ISBLANK(A777)),VLOOKUP(A777,'BBT3'!A:F,6,0),"")</f>
        <v/>
      </c>
      <c r="G777" t="str">
        <f t="shared" si="119"/>
        <v/>
      </c>
      <c r="H777" t="str">
        <f>IF(NOT(ISBLANK(A777)),VLOOKUP(A777,'Close - PriceSaver'!A:J,5,0),"")</f>
        <v/>
      </c>
      <c r="I777" s="4" t="str" cm="1">
        <f t="array" ref="I777">IF(NOT(ISBLANK(A777)),((_xlfn.XLOOKUP(1,(_bbt3[[#All],[ID]]=A777)*(_bbt3[[#All],[METRIC_NAME]]="YLD_YTM_ASK"),_bbt3[[#All],[METRIC_VALUE]])*0.5)+(_xlfn.XLOOKUP(1,(_bbt3[[#All],[ID]]=A777)*(_bbt3[[#All],[METRIC_NAME]]="YLD_YTM_BID"),_bbt3[[#All],[METRIC_VALUE]])*0.5))/100,"")</f>
        <v/>
      </c>
      <c r="J777">
        <f>IF(ISNA(VLOOKUP(A777,'CloseDL - PriceSaverBBT3'!A:E,5,0)),0,VLOOKUP(A777,'CloseDL - PriceSaverBBT3'!A:E,5,0))</f>
        <v>0</v>
      </c>
      <c r="K777" s="7" t="str">
        <f t="shared" si="120"/>
        <v/>
      </c>
      <c r="L777" s="20">
        <f>IF(Close[[#This Row],[CreatedBy]]="MARINER\SilverAdm",1,0)</f>
        <v>1</v>
      </c>
      <c r="M777" t="str">
        <f>IF(NOT(ISBLANK(A777)),VLOOKUP(A777,'Close - PriceSaver'!A:J,6,0),"")</f>
        <v/>
      </c>
      <c r="Q777" t="e">
        <f t="shared" si="112"/>
        <v>#N/A</v>
      </c>
      <c r="R777" t="e">
        <f t="shared" si="113"/>
        <v>#N/A</v>
      </c>
      <c r="S777" t="e">
        <f t="shared" si="114"/>
        <v>#N/A</v>
      </c>
      <c r="T777" s="15" t="e">
        <f t="shared" si="116"/>
        <v>#N/A</v>
      </c>
      <c r="U777" s="18" t="e">
        <f t="shared" si="117"/>
        <v>#N/A</v>
      </c>
      <c r="V777" s="14" t="e">
        <f t="shared" si="115"/>
        <v>#N/A</v>
      </c>
      <c r="W777" s="19" t="e">
        <f t="shared" si="118"/>
        <v>#N/A</v>
      </c>
      <c r="X777" t="e">
        <f>VLOOKUP(P777,Close[[ID]:[CreatedBy]],8,0)</f>
        <v>#N/A</v>
      </c>
    </row>
    <row r="778" spans="2:24" x14ac:dyDescent="0.35">
      <c r="B778" t="str">
        <f>IF(NOT(ISBLANK(A778)),VLOOKUP(A778,'BBT3'!A:F,2,0),"")</f>
        <v/>
      </c>
      <c r="C778" t="str">
        <f>IF(NOT(ISBLANK(A778)),VLOOKUP(A778,'BBT3'!A:F,3,0),"")</f>
        <v/>
      </c>
      <c r="D778" s="5" t="str">
        <f>IF(NOT(ISBLANK(A778)),VLOOKUP(A778,'BBT3'!A:F,4,1),"")</f>
        <v/>
      </c>
      <c r="E778" t="str">
        <f>IF(NOT(ISBLANK(A778)),VLOOKUP(A778,'BBT3'!A:F,5,0),"")</f>
        <v/>
      </c>
      <c r="F778" t="str">
        <f>IF(NOT(ISBLANK(A778)),VLOOKUP(A778,'BBT3'!A:F,6,0),"")</f>
        <v/>
      </c>
      <c r="G778" t="str">
        <f t="shared" si="119"/>
        <v/>
      </c>
      <c r="H778" t="str">
        <f>IF(NOT(ISBLANK(A778)),VLOOKUP(A778,'Close - PriceSaver'!A:J,5,0),"")</f>
        <v/>
      </c>
      <c r="I778" s="4" t="str" cm="1">
        <f t="array" ref="I778">IF(NOT(ISBLANK(A778)),((_xlfn.XLOOKUP(1,(_bbt3[[#All],[ID]]=A778)*(_bbt3[[#All],[METRIC_NAME]]="YLD_YTM_ASK"),_bbt3[[#All],[METRIC_VALUE]])*0.5)+(_xlfn.XLOOKUP(1,(_bbt3[[#All],[ID]]=A778)*(_bbt3[[#All],[METRIC_NAME]]="YLD_YTM_BID"),_bbt3[[#All],[METRIC_VALUE]])*0.5))/100,"")</f>
        <v/>
      </c>
      <c r="J778">
        <f>IF(ISNA(VLOOKUP(A778,'CloseDL - PriceSaverBBT3'!A:E,5,0)),0,VLOOKUP(A778,'CloseDL - PriceSaverBBT3'!A:E,5,0))</f>
        <v>0</v>
      </c>
      <c r="K778" s="7" t="str">
        <f t="shared" si="120"/>
        <v/>
      </c>
      <c r="L778" s="20">
        <f>IF(Close[[#This Row],[CreatedBy]]="MARINER\SilverAdm",1,0)</f>
        <v>1</v>
      </c>
      <c r="M778" t="str">
        <f>IF(NOT(ISBLANK(A778)),VLOOKUP(A778,'Close - PriceSaver'!A:J,6,0),"")</f>
        <v/>
      </c>
      <c r="Q778" t="e">
        <f t="shared" si="112"/>
        <v>#N/A</v>
      </c>
      <c r="R778" t="e">
        <f t="shared" si="113"/>
        <v>#N/A</v>
      </c>
      <c r="S778" t="e">
        <f t="shared" si="114"/>
        <v>#N/A</v>
      </c>
      <c r="T778" s="15" t="e">
        <f t="shared" si="116"/>
        <v>#N/A</v>
      </c>
      <c r="U778" s="18" t="e">
        <f t="shared" si="117"/>
        <v>#N/A</v>
      </c>
      <c r="V778" s="14" t="e">
        <f t="shared" si="115"/>
        <v>#N/A</v>
      </c>
      <c r="W778" s="19" t="e">
        <f t="shared" si="118"/>
        <v>#N/A</v>
      </c>
      <c r="X778" t="e">
        <f>VLOOKUP(P778,Close[[ID]:[CreatedBy]],8,0)</f>
        <v>#N/A</v>
      </c>
    </row>
    <row r="779" spans="2:24" x14ac:dyDescent="0.35">
      <c r="B779" t="str">
        <f>IF(NOT(ISBLANK(A779)),VLOOKUP(A779,'BBT3'!A:F,2,0),"")</f>
        <v/>
      </c>
      <c r="C779" t="str">
        <f>IF(NOT(ISBLANK(A779)),VLOOKUP(A779,'BBT3'!A:F,3,0),"")</f>
        <v/>
      </c>
      <c r="D779" s="5" t="str">
        <f>IF(NOT(ISBLANK(A779)),VLOOKUP(A779,'BBT3'!A:F,4,1),"")</f>
        <v/>
      </c>
      <c r="E779" t="str">
        <f>IF(NOT(ISBLANK(A779)),VLOOKUP(A779,'BBT3'!A:F,5,0),"")</f>
        <v/>
      </c>
      <c r="F779" t="str">
        <f>IF(NOT(ISBLANK(A779)),VLOOKUP(A779,'BBT3'!A:F,6,0),"")</f>
        <v/>
      </c>
      <c r="G779" t="str">
        <f t="shared" si="119"/>
        <v/>
      </c>
      <c r="H779" t="str">
        <f>IF(NOT(ISBLANK(A779)),VLOOKUP(A779,'Close - PriceSaver'!A:J,5,0),"")</f>
        <v/>
      </c>
      <c r="I779" s="4" t="str" cm="1">
        <f t="array" ref="I779">IF(NOT(ISBLANK(A779)),((_xlfn.XLOOKUP(1,(_bbt3[[#All],[ID]]=A779)*(_bbt3[[#All],[METRIC_NAME]]="YLD_YTM_ASK"),_bbt3[[#All],[METRIC_VALUE]])*0.5)+(_xlfn.XLOOKUP(1,(_bbt3[[#All],[ID]]=A779)*(_bbt3[[#All],[METRIC_NAME]]="YLD_YTM_BID"),_bbt3[[#All],[METRIC_VALUE]])*0.5))/100,"")</f>
        <v/>
      </c>
      <c r="J779">
        <f>IF(ISNA(VLOOKUP(A779,'CloseDL - PriceSaverBBT3'!A:E,5,0)),0,VLOOKUP(A779,'CloseDL - PriceSaverBBT3'!A:E,5,0))</f>
        <v>0</v>
      </c>
      <c r="K779" s="7" t="str">
        <f t="shared" si="120"/>
        <v/>
      </c>
      <c r="L779" s="20">
        <f>IF(Close[[#This Row],[CreatedBy]]="MARINER\SilverAdm",1,0)</f>
        <v>1</v>
      </c>
      <c r="M779" t="str">
        <f>IF(NOT(ISBLANK(A779)),VLOOKUP(A779,'Close - PriceSaver'!A:J,6,0),"")</f>
        <v/>
      </c>
      <c r="Q779" t="e">
        <f t="shared" ref="Q779:Q842" si="121">VLOOKUP(P779,A:C,3,0)</f>
        <v>#N/A</v>
      </c>
      <c r="R779" t="e">
        <f t="shared" si="113"/>
        <v>#N/A</v>
      </c>
      <c r="S779" t="e">
        <f t="shared" si="114"/>
        <v>#N/A</v>
      </c>
      <c r="T779" s="15" t="e">
        <f t="shared" si="116"/>
        <v>#N/A</v>
      </c>
      <c r="U779" s="18" t="e">
        <f t="shared" si="117"/>
        <v>#N/A</v>
      </c>
      <c r="V779" s="14" t="e">
        <f t="shared" si="115"/>
        <v>#N/A</v>
      </c>
      <c r="W779" s="19" t="e">
        <f t="shared" si="118"/>
        <v>#N/A</v>
      </c>
      <c r="X779" t="e">
        <f>VLOOKUP(P779,Close[[ID]:[CreatedBy]],8,0)</f>
        <v>#N/A</v>
      </c>
    </row>
    <row r="780" spans="2:24" x14ac:dyDescent="0.35">
      <c r="B780" t="str">
        <f>IF(NOT(ISBLANK(A780)),VLOOKUP(A780,'BBT3'!A:F,2,0),"")</f>
        <v/>
      </c>
      <c r="C780" t="str">
        <f>IF(NOT(ISBLANK(A780)),VLOOKUP(A780,'BBT3'!A:F,3,0),"")</f>
        <v/>
      </c>
      <c r="D780" s="5" t="str">
        <f>IF(NOT(ISBLANK(A780)),VLOOKUP(A780,'BBT3'!A:F,4,1),"")</f>
        <v/>
      </c>
      <c r="E780" t="str">
        <f>IF(NOT(ISBLANK(A780)),VLOOKUP(A780,'BBT3'!A:F,5,0),"")</f>
        <v/>
      </c>
      <c r="F780" t="str">
        <f>IF(NOT(ISBLANK(A780)),VLOOKUP(A780,'BBT3'!A:F,6,0),"")</f>
        <v/>
      </c>
      <c r="G780" t="str">
        <f t="shared" si="119"/>
        <v/>
      </c>
      <c r="H780" t="str">
        <f>IF(NOT(ISBLANK(A780)),VLOOKUP(A780,'Close - PriceSaver'!A:J,5,0),"")</f>
        <v/>
      </c>
      <c r="I780" s="4" t="str" cm="1">
        <f t="array" ref="I780">IF(NOT(ISBLANK(A780)),((_xlfn.XLOOKUP(1,(_bbt3[[#All],[ID]]=A780)*(_bbt3[[#All],[METRIC_NAME]]="YLD_YTM_ASK"),_bbt3[[#All],[METRIC_VALUE]])*0.5)+(_xlfn.XLOOKUP(1,(_bbt3[[#All],[ID]]=A780)*(_bbt3[[#All],[METRIC_NAME]]="YLD_YTM_BID"),_bbt3[[#All],[METRIC_VALUE]])*0.5))/100,"")</f>
        <v/>
      </c>
      <c r="J780">
        <f>IF(ISNA(VLOOKUP(A780,'CloseDL - PriceSaverBBT3'!A:E,5,0)),0,VLOOKUP(A780,'CloseDL - PriceSaverBBT3'!A:E,5,0))</f>
        <v>0</v>
      </c>
      <c r="K780" s="7" t="str">
        <f t="shared" si="120"/>
        <v/>
      </c>
      <c r="L780" s="20">
        <f>IF(Close[[#This Row],[CreatedBy]]="MARINER\SilverAdm",1,0)</f>
        <v>1</v>
      </c>
      <c r="M780" t="str">
        <f>IF(NOT(ISBLANK(A780)),VLOOKUP(A780,'Close - PriceSaver'!A:J,6,0),"")</f>
        <v/>
      </c>
      <c r="Q780" t="e">
        <f t="shared" si="121"/>
        <v>#N/A</v>
      </c>
      <c r="R780" t="e">
        <f t="shared" si="113"/>
        <v>#N/A</v>
      </c>
      <c r="S780" t="e">
        <f t="shared" si="114"/>
        <v>#N/A</v>
      </c>
      <c r="T780" s="15" t="e">
        <f t="shared" si="116"/>
        <v>#N/A</v>
      </c>
      <c r="U780" s="18" t="e">
        <f t="shared" si="117"/>
        <v>#N/A</v>
      </c>
      <c r="V780" s="14" t="e">
        <f t="shared" si="115"/>
        <v>#N/A</v>
      </c>
      <c r="W780" s="19" t="e">
        <f t="shared" si="118"/>
        <v>#N/A</v>
      </c>
      <c r="X780" t="e">
        <f>VLOOKUP(P780,Close[[ID]:[CreatedBy]],8,0)</f>
        <v>#N/A</v>
      </c>
    </row>
    <row r="781" spans="2:24" x14ac:dyDescent="0.35">
      <c r="B781" t="str">
        <f>IF(NOT(ISBLANK(A781)),VLOOKUP(A781,'BBT3'!A:F,2,0),"")</f>
        <v/>
      </c>
      <c r="C781" t="str">
        <f>IF(NOT(ISBLANK(A781)),VLOOKUP(A781,'BBT3'!A:F,3,0),"")</f>
        <v/>
      </c>
      <c r="D781" s="5" t="str">
        <f>IF(NOT(ISBLANK(A781)),VLOOKUP(A781,'BBT3'!A:F,4,1),"")</f>
        <v/>
      </c>
      <c r="E781" t="str">
        <f>IF(NOT(ISBLANK(A781)),VLOOKUP(A781,'BBT3'!A:F,5,0),"")</f>
        <v/>
      </c>
      <c r="F781" t="str">
        <f>IF(NOT(ISBLANK(A781)),VLOOKUP(A781,'BBT3'!A:F,6,0),"")</f>
        <v/>
      </c>
      <c r="G781" t="str">
        <f t="shared" si="119"/>
        <v/>
      </c>
      <c r="H781" t="str">
        <f>IF(NOT(ISBLANK(A781)),VLOOKUP(A781,'Close - PriceSaver'!A:J,5,0),"")</f>
        <v/>
      </c>
      <c r="I781" s="4" t="str" cm="1">
        <f t="array" ref="I781">IF(NOT(ISBLANK(A781)),((_xlfn.XLOOKUP(1,(_bbt3[[#All],[ID]]=A781)*(_bbt3[[#All],[METRIC_NAME]]="YLD_YTM_ASK"),_bbt3[[#All],[METRIC_VALUE]])*0.5)+(_xlfn.XLOOKUP(1,(_bbt3[[#All],[ID]]=A781)*(_bbt3[[#All],[METRIC_NAME]]="YLD_YTM_BID"),_bbt3[[#All],[METRIC_VALUE]])*0.5))/100,"")</f>
        <v/>
      </c>
      <c r="J781">
        <f>IF(ISNA(VLOOKUP(A781,'CloseDL - PriceSaverBBT3'!A:E,5,0)),0,VLOOKUP(A781,'CloseDL - PriceSaverBBT3'!A:E,5,0))</f>
        <v>0</v>
      </c>
      <c r="K781" s="7" t="str">
        <f t="shared" si="120"/>
        <v/>
      </c>
      <c r="L781" s="20">
        <f>IF(Close[[#This Row],[CreatedBy]]="MARINER\SilverAdm",1,0)</f>
        <v>1</v>
      </c>
      <c r="M781" t="str">
        <f>IF(NOT(ISBLANK(A781)),VLOOKUP(A781,'Close - PriceSaver'!A:J,6,0),"")</f>
        <v/>
      </c>
      <c r="Q781" t="e">
        <f t="shared" si="121"/>
        <v>#N/A</v>
      </c>
      <c r="R781" t="e">
        <f t="shared" ref="R781:R844" si="122">VLOOKUP(P781,A:B,2,0)</f>
        <v>#N/A</v>
      </c>
      <c r="S781" t="e">
        <f t="shared" ref="S781:S844" si="123">VLOOKUP(P781,A:E,4,0)</f>
        <v>#N/A</v>
      </c>
      <c r="T781" s="15" t="e">
        <f t="shared" si="116"/>
        <v>#N/A</v>
      </c>
      <c r="U781" s="18" t="e">
        <f t="shared" si="117"/>
        <v>#N/A</v>
      </c>
      <c r="V781" s="14" t="e">
        <f t="shared" si="115"/>
        <v>#N/A</v>
      </c>
      <c r="W781" s="19" t="e">
        <f t="shared" si="118"/>
        <v>#N/A</v>
      </c>
      <c r="X781" t="e">
        <f>VLOOKUP(P781,Close[[ID]:[CreatedBy]],8,0)</f>
        <v>#N/A</v>
      </c>
    </row>
    <row r="782" spans="2:24" x14ac:dyDescent="0.35">
      <c r="B782" t="str">
        <f>IF(NOT(ISBLANK(A782)),VLOOKUP(A782,'BBT3'!A:F,2,0),"")</f>
        <v/>
      </c>
      <c r="C782" t="str">
        <f>IF(NOT(ISBLANK(A782)),VLOOKUP(A782,'BBT3'!A:F,3,0),"")</f>
        <v/>
      </c>
      <c r="D782" s="5" t="str">
        <f>IF(NOT(ISBLANK(A782)),VLOOKUP(A782,'BBT3'!A:F,4,1),"")</f>
        <v/>
      </c>
      <c r="E782" t="str">
        <f>IF(NOT(ISBLANK(A782)),VLOOKUP(A782,'BBT3'!A:F,5,0),"")</f>
        <v/>
      </c>
      <c r="F782" t="str">
        <f>IF(NOT(ISBLANK(A782)),VLOOKUP(A782,'BBT3'!A:F,6,0),"")</f>
        <v/>
      </c>
      <c r="G782" t="str">
        <f t="shared" si="119"/>
        <v/>
      </c>
      <c r="H782" t="str">
        <f>IF(NOT(ISBLANK(A782)),VLOOKUP(A782,'Close - PriceSaver'!A:J,5,0),"")</f>
        <v/>
      </c>
      <c r="I782" s="4" t="str" cm="1">
        <f t="array" ref="I782">IF(NOT(ISBLANK(A782)),((_xlfn.XLOOKUP(1,(_bbt3[[#All],[ID]]=A782)*(_bbt3[[#All],[METRIC_NAME]]="YLD_YTM_ASK"),_bbt3[[#All],[METRIC_VALUE]])*0.5)+(_xlfn.XLOOKUP(1,(_bbt3[[#All],[ID]]=A782)*(_bbt3[[#All],[METRIC_NAME]]="YLD_YTM_BID"),_bbt3[[#All],[METRIC_VALUE]])*0.5))/100,"")</f>
        <v/>
      </c>
      <c r="J782">
        <f>IF(ISNA(VLOOKUP(A782,'CloseDL - PriceSaverBBT3'!A:E,5,0)),0,VLOOKUP(A782,'CloseDL - PriceSaverBBT3'!A:E,5,0))</f>
        <v>0</v>
      </c>
      <c r="K782" s="7" t="str">
        <f t="shared" si="120"/>
        <v/>
      </c>
      <c r="L782" s="20">
        <f>IF(Close[[#This Row],[CreatedBy]]="MARINER\SilverAdm",1,0)</f>
        <v>1</v>
      </c>
      <c r="M782" t="str">
        <f>IF(NOT(ISBLANK(A782)),VLOOKUP(A782,'Close - PriceSaver'!A:J,6,0),"")</f>
        <v/>
      </c>
      <c r="Q782" t="e">
        <f t="shared" si="121"/>
        <v>#N/A</v>
      </c>
      <c r="R782" t="e">
        <f t="shared" si="122"/>
        <v>#N/A</v>
      </c>
      <c r="S782" t="e">
        <f t="shared" si="123"/>
        <v>#N/A</v>
      </c>
      <c r="T782" s="15" t="e">
        <f t="shared" si="116"/>
        <v>#N/A</v>
      </c>
      <c r="U782" s="18" t="e">
        <f t="shared" si="117"/>
        <v>#N/A</v>
      </c>
      <c r="V782" s="14" t="e">
        <f t="shared" ref="V782:V845" si="124">VLOOKUP(Q782,A:K,10,0)</f>
        <v>#N/A</v>
      </c>
      <c r="W782" s="19" t="e">
        <f t="shared" si="118"/>
        <v>#N/A</v>
      </c>
      <c r="X782" t="e">
        <f>VLOOKUP(P782,Close[[ID]:[CreatedBy]],8,0)</f>
        <v>#N/A</v>
      </c>
    </row>
    <row r="783" spans="2:24" x14ac:dyDescent="0.35">
      <c r="B783" t="str">
        <f>IF(NOT(ISBLANK(A783)),VLOOKUP(A783,'BBT3'!A:F,2,0),"")</f>
        <v/>
      </c>
      <c r="C783" t="str">
        <f>IF(NOT(ISBLANK(A783)),VLOOKUP(A783,'BBT3'!A:F,3,0),"")</f>
        <v/>
      </c>
      <c r="D783" s="5" t="str">
        <f>IF(NOT(ISBLANK(A783)),VLOOKUP(A783,'BBT3'!A:F,4,1),"")</f>
        <v/>
      </c>
      <c r="E783" t="str">
        <f>IF(NOT(ISBLANK(A783)),VLOOKUP(A783,'BBT3'!A:F,5,0),"")</f>
        <v/>
      </c>
      <c r="F783" t="str">
        <f>IF(NOT(ISBLANK(A783)),VLOOKUP(A783,'BBT3'!A:F,6,0),"")</f>
        <v/>
      </c>
      <c r="G783" t="str">
        <f t="shared" si="119"/>
        <v/>
      </c>
      <c r="H783" t="str">
        <f>IF(NOT(ISBLANK(A783)),VLOOKUP(A783,'Close - PriceSaver'!A:J,5,0),"")</f>
        <v/>
      </c>
      <c r="I783" s="4" t="str" cm="1">
        <f t="array" ref="I783">IF(NOT(ISBLANK(A783)),((_xlfn.XLOOKUP(1,(_bbt3[[#All],[ID]]=A783)*(_bbt3[[#All],[METRIC_NAME]]="YLD_YTM_ASK"),_bbt3[[#All],[METRIC_VALUE]])*0.5)+(_xlfn.XLOOKUP(1,(_bbt3[[#All],[ID]]=A783)*(_bbt3[[#All],[METRIC_NAME]]="YLD_YTM_BID"),_bbt3[[#All],[METRIC_VALUE]])*0.5))/100,"")</f>
        <v/>
      </c>
      <c r="J783">
        <f>IF(ISNA(VLOOKUP(A783,'CloseDL - PriceSaverBBT3'!A:E,5,0)),0,VLOOKUP(A783,'CloseDL - PriceSaverBBT3'!A:E,5,0))</f>
        <v>0</v>
      </c>
      <c r="K783" s="7" t="str">
        <f t="shared" si="120"/>
        <v/>
      </c>
      <c r="L783" s="20">
        <f>IF(Close[[#This Row],[CreatedBy]]="MARINER\SilverAdm",1,0)</f>
        <v>1</v>
      </c>
      <c r="M783" t="str">
        <f>IF(NOT(ISBLANK(A783)),VLOOKUP(A783,'Close - PriceSaver'!A:J,6,0),"")</f>
        <v/>
      </c>
      <c r="Q783" t="e">
        <f t="shared" si="121"/>
        <v>#N/A</v>
      </c>
      <c r="R783" t="e">
        <f t="shared" si="122"/>
        <v>#N/A</v>
      </c>
      <c r="S783" t="e">
        <f t="shared" si="123"/>
        <v>#N/A</v>
      </c>
      <c r="T783" s="15" t="e">
        <f t="shared" si="116"/>
        <v>#N/A</v>
      </c>
      <c r="U783" s="18" t="e">
        <f t="shared" si="117"/>
        <v>#N/A</v>
      </c>
      <c r="V783" s="14" t="e">
        <f t="shared" si="124"/>
        <v>#N/A</v>
      </c>
      <c r="W783" s="19" t="e">
        <f t="shared" si="118"/>
        <v>#N/A</v>
      </c>
      <c r="X783" t="e">
        <f>VLOOKUP(P783,Close[[ID]:[CreatedBy]],8,0)</f>
        <v>#N/A</v>
      </c>
    </row>
    <row r="784" spans="2:24" x14ac:dyDescent="0.35">
      <c r="B784" t="str">
        <f>IF(NOT(ISBLANK(A784)),VLOOKUP(A784,'BBT3'!A:F,2,0),"")</f>
        <v/>
      </c>
      <c r="C784" t="str">
        <f>IF(NOT(ISBLANK(A784)),VLOOKUP(A784,'BBT3'!A:F,3,0),"")</f>
        <v/>
      </c>
      <c r="D784" s="5" t="str">
        <f>IF(NOT(ISBLANK(A784)),VLOOKUP(A784,'BBT3'!A:F,4,1),"")</f>
        <v/>
      </c>
      <c r="E784" t="str">
        <f>IF(NOT(ISBLANK(A784)),VLOOKUP(A784,'BBT3'!A:F,5,0),"")</f>
        <v/>
      </c>
      <c r="F784" t="str">
        <f>IF(NOT(ISBLANK(A784)),VLOOKUP(A784,'BBT3'!A:F,6,0),"")</f>
        <v/>
      </c>
      <c r="G784" t="str">
        <f t="shared" si="119"/>
        <v/>
      </c>
      <c r="H784" t="str">
        <f>IF(NOT(ISBLANK(A784)),VLOOKUP(A784,'Close - PriceSaver'!A:J,5,0),"")</f>
        <v/>
      </c>
      <c r="I784" s="4" t="str" cm="1">
        <f t="array" ref="I784">IF(NOT(ISBLANK(A784)),((_xlfn.XLOOKUP(1,(_bbt3[[#All],[ID]]=A784)*(_bbt3[[#All],[METRIC_NAME]]="YLD_YTM_ASK"),_bbt3[[#All],[METRIC_VALUE]])*0.5)+(_xlfn.XLOOKUP(1,(_bbt3[[#All],[ID]]=A784)*(_bbt3[[#All],[METRIC_NAME]]="YLD_YTM_BID"),_bbt3[[#All],[METRIC_VALUE]])*0.5))/100,"")</f>
        <v/>
      </c>
      <c r="J784">
        <f>IF(ISNA(VLOOKUP(A784,'CloseDL - PriceSaverBBT3'!A:E,5,0)),0,VLOOKUP(A784,'CloseDL - PriceSaverBBT3'!A:E,5,0))</f>
        <v>0</v>
      </c>
      <c r="K784" s="7" t="str">
        <f t="shared" si="120"/>
        <v/>
      </c>
      <c r="L784" s="20">
        <f>IF(Close[[#This Row],[CreatedBy]]="MARINER\SilverAdm",1,0)</f>
        <v>0</v>
      </c>
      <c r="M784" t="str">
        <f>IF(NOT(ISBLANK(A784)),VLOOKUP(A784,'Close - PriceSaver'!A:J,6,0),"")</f>
        <v/>
      </c>
      <c r="Q784" t="e">
        <f t="shared" si="121"/>
        <v>#N/A</v>
      </c>
      <c r="R784" t="e">
        <f t="shared" si="122"/>
        <v>#N/A</v>
      </c>
      <c r="S784" t="e">
        <f t="shared" si="123"/>
        <v>#N/A</v>
      </c>
      <c r="T784" s="15" t="e">
        <f t="shared" si="116"/>
        <v>#N/A</v>
      </c>
      <c r="U784" s="18" t="e">
        <f t="shared" si="117"/>
        <v>#N/A</v>
      </c>
      <c r="V784" s="14" t="e">
        <f t="shared" si="124"/>
        <v>#N/A</v>
      </c>
      <c r="W784" s="19" t="e">
        <f t="shared" si="118"/>
        <v>#N/A</v>
      </c>
      <c r="X784" t="e">
        <f>VLOOKUP(P784,Close[[ID]:[CreatedBy]],8,0)</f>
        <v>#N/A</v>
      </c>
    </row>
    <row r="785" spans="2:24" x14ac:dyDescent="0.35">
      <c r="B785" t="str">
        <f>IF(NOT(ISBLANK(A785)),VLOOKUP(A785,'BBT3'!A:F,2,0),"")</f>
        <v/>
      </c>
      <c r="C785" t="str">
        <f>IF(NOT(ISBLANK(A785)),VLOOKUP(A785,'BBT3'!A:F,3,0),"")</f>
        <v/>
      </c>
      <c r="D785" s="5" t="str">
        <f>IF(NOT(ISBLANK(A785)),VLOOKUP(A785,'BBT3'!A:F,4,1),"")</f>
        <v/>
      </c>
      <c r="E785" t="str">
        <f>IF(NOT(ISBLANK(A785)),VLOOKUP(A785,'BBT3'!A:F,5,0),"")</f>
        <v/>
      </c>
      <c r="F785" t="str">
        <f>IF(NOT(ISBLANK(A785)),VLOOKUP(A785,'BBT3'!A:F,6,0),"")</f>
        <v/>
      </c>
      <c r="G785" t="str">
        <f t="shared" si="119"/>
        <v/>
      </c>
      <c r="H785" t="str">
        <f>IF(NOT(ISBLANK(A785)),VLOOKUP(A785,'Close - PriceSaver'!A:J,5,0),"")</f>
        <v/>
      </c>
      <c r="I785" s="4" t="str" cm="1">
        <f t="array" ref="I785">IF(NOT(ISBLANK(A785)),((_xlfn.XLOOKUP(1,(_bbt3[[#All],[ID]]=A785)*(_bbt3[[#All],[METRIC_NAME]]="YLD_YTM_ASK"),_bbt3[[#All],[METRIC_VALUE]])*0.5)+(_xlfn.XLOOKUP(1,(_bbt3[[#All],[ID]]=A785)*(_bbt3[[#All],[METRIC_NAME]]="YLD_YTM_BID"),_bbt3[[#All],[METRIC_VALUE]])*0.5))/100,"")</f>
        <v/>
      </c>
      <c r="J785">
        <f>IF(ISNA(VLOOKUP(A785,'CloseDL - PriceSaverBBT3'!A:E,5,0)),0,VLOOKUP(A785,'CloseDL - PriceSaverBBT3'!A:E,5,0))</f>
        <v>0</v>
      </c>
      <c r="K785" s="7" t="str">
        <f t="shared" si="120"/>
        <v/>
      </c>
      <c r="L785" s="20">
        <f>IF(Close[[#This Row],[CreatedBy]]="MARINER\SilverAdm",1,0)</f>
        <v>1</v>
      </c>
      <c r="M785" t="str">
        <f>IF(NOT(ISBLANK(A785)),VLOOKUP(A785,'Close - PriceSaver'!A:J,6,0),"")</f>
        <v/>
      </c>
      <c r="Q785" t="e">
        <f t="shared" si="121"/>
        <v>#N/A</v>
      </c>
      <c r="R785" t="e">
        <f t="shared" si="122"/>
        <v>#N/A</v>
      </c>
      <c r="S785" t="e">
        <f t="shared" si="123"/>
        <v>#N/A</v>
      </c>
      <c r="T785" s="15" t="e">
        <f t="shared" si="116"/>
        <v>#N/A</v>
      </c>
      <c r="U785" s="18" t="e">
        <f t="shared" si="117"/>
        <v>#N/A</v>
      </c>
      <c r="V785" s="14" t="e">
        <f t="shared" si="124"/>
        <v>#N/A</v>
      </c>
      <c r="W785" s="19" t="e">
        <f t="shared" si="118"/>
        <v>#N/A</v>
      </c>
      <c r="X785" t="e">
        <f>VLOOKUP(P785,Close[[ID]:[CreatedBy]],8,0)</f>
        <v>#N/A</v>
      </c>
    </row>
    <row r="786" spans="2:24" x14ac:dyDescent="0.35">
      <c r="B786" t="str">
        <f>IF(NOT(ISBLANK(A786)),VLOOKUP(A786,'BBT3'!A:F,2,0),"")</f>
        <v/>
      </c>
      <c r="C786" t="str">
        <f>IF(NOT(ISBLANK(A786)),VLOOKUP(A786,'BBT3'!A:F,3,0),"")</f>
        <v/>
      </c>
      <c r="D786" s="5" t="str">
        <f>IF(NOT(ISBLANK(A786)),VLOOKUP(A786,'BBT3'!A:F,4,1),"")</f>
        <v/>
      </c>
      <c r="E786" t="str">
        <f>IF(NOT(ISBLANK(A786)),VLOOKUP(A786,'BBT3'!A:F,5,0),"")</f>
        <v/>
      </c>
      <c r="F786" t="str">
        <f>IF(NOT(ISBLANK(A786)),VLOOKUP(A786,'BBT3'!A:F,6,0),"")</f>
        <v/>
      </c>
      <c r="G786" t="str">
        <f t="shared" si="119"/>
        <v/>
      </c>
      <c r="H786" t="str">
        <f>IF(NOT(ISBLANK(A786)),VLOOKUP(A786,'Close - PriceSaver'!A:J,5,0),"")</f>
        <v/>
      </c>
      <c r="I786" s="4" t="str" cm="1">
        <f t="array" ref="I786">IF(NOT(ISBLANK(A786)),((_xlfn.XLOOKUP(1,(_bbt3[[#All],[ID]]=A786)*(_bbt3[[#All],[METRIC_NAME]]="YLD_YTM_ASK"),_bbt3[[#All],[METRIC_VALUE]])*0.5)+(_xlfn.XLOOKUP(1,(_bbt3[[#All],[ID]]=A786)*(_bbt3[[#All],[METRIC_NAME]]="YLD_YTM_BID"),_bbt3[[#All],[METRIC_VALUE]])*0.5))/100,"")</f>
        <v/>
      </c>
      <c r="J786">
        <f>IF(ISNA(VLOOKUP(A786,'CloseDL - PriceSaverBBT3'!A:E,5,0)),0,VLOOKUP(A786,'CloseDL - PriceSaverBBT3'!A:E,5,0))</f>
        <v>0</v>
      </c>
      <c r="K786" s="7" t="str">
        <f t="shared" si="120"/>
        <v/>
      </c>
      <c r="L786" s="20">
        <f>IF(Close[[#This Row],[CreatedBy]]="MARINER\SilverAdm",1,0)</f>
        <v>1</v>
      </c>
      <c r="M786" t="str">
        <f>IF(NOT(ISBLANK(A786)),VLOOKUP(A786,'Close - PriceSaver'!A:J,6,0),"")</f>
        <v/>
      </c>
      <c r="Q786" t="e">
        <f t="shared" si="121"/>
        <v>#N/A</v>
      </c>
      <c r="R786" t="e">
        <f t="shared" si="122"/>
        <v>#N/A</v>
      </c>
      <c r="S786" t="e">
        <f t="shared" si="123"/>
        <v>#N/A</v>
      </c>
      <c r="T786" s="15" t="e">
        <f t="shared" si="116"/>
        <v>#N/A</v>
      </c>
      <c r="U786" s="18" t="e">
        <f t="shared" si="117"/>
        <v>#N/A</v>
      </c>
      <c r="V786" s="14" t="e">
        <f t="shared" si="124"/>
        <v>#N/A</v>
      </c>
      <c r="W786" s="19" t="e">
        <f t="shared" si="118"/>
        <v>#N/A</v>
      </c>
      <c r="X786" t="e">
        <f>VLOOKUP(P786,Close[[ID]:[CreatedBy]],8,0)</f>
        <v>#N/A</v>
      </c>
    </row>
    <row r="787" spans="2:24" x14ac:dyDescent="0.35">
      <c r="B787" t="str">
        <f>IF(NOT(ISBLANK(A787)),VLOOKUP(A787,'BBT3'!A:F,2,0),"")</f>
        <v/>
      </c>
      <c r="C787" t="str">
        <f>IF(NOT(ISBLANK(A787)),VLOOKUP(A787,'BBT3'!A:F,3,0),"")</f>
        <v/>
      </c>
      <c r="D787" s="5" t="str">
        <f>IF(NOT(ISBLANK(A787)),VLOOKUP(A787,'BBT3'!A:F,4,1),"")</f>
        <v/>
      </c>
      <c r="E787" t="str">
        <f>IF(NOT(ISBLANK(A787)),VLOOKUP(A787,'BBT3'!A:F,5,0),"")</f>
        <v/>
      </c>
      <c r="F787" t="str">
        <f>IF(NOT(ISBLANK(A787)),VLOOKUP(A787,'BBT3'!A:F,6,0),"")</f>
        <v/>
      </c>
      <c r="G787" t="str">
        <f t="shared" si="119"/>
        <v/>
      </c>
      <c r="H787" t="str">
        <f>IF(NOT(ISBLANK(A787)),VLOOKUP(A787,'Close - PriceSaver'!A:J,5,0),"")</f>
        <v/>
      </c>
      <c r="I787" s="4" t="str" cm="1">
        <f t="array" ref="I787">IF(NOT(ISBLANK(A787)),((_xlfn.XLOOKUP(1,(_bbt3[[#All],[ID]]=A787)*(_bbt3[[#All],[METRIC_NAME]]="YLD_YTM_ASK"),_bbt3[[#All],[METRIC_VALUE]])*0.5)+(_xlfn.XLOOKUP(1,(_bbt3[[#All],[ID]]=A787)*(_bbt3[[#All],[METRIC_NAME]]="YLD_YTM_BID"),_bbt3[[#All],[METRIC_VALUE]])*0.5))/100,"")</f>
        <v/>
      </c>
      <c r="J787">
        <f>IF(ISNA(VLOOKUP(A787,'CloseDL - PriceSaverBBT3'!A:E,5,0)),0,VLOOKUP(A787,'CloseDL - PriceSaverBBT3'!A:E,5,0))</f>
        <v>0</v>
      </c>
      <c r="K787" s="7" t="str">
        <f t="shared" si="120"/>
        <v/>
      </c>
      <c r="L787" s="20">
        <f>IF(Close[[#This Row],[CreatedBy]]="MARINER\SilverAdm",1,0)</f>
        <v>1</v>
      </c>
      <c r="M787" t="str">
        <f>IF(NOT(ISBLANK(A787)),VLOOKUP(A787,'Close - PriceSaver'!A:J,6,0),"")</f>
        <v/>
      </c>
      <c r="Q787" t="e">
        <f t="shared" si="121"/>
        <v>#N/A</v>
      </c>
      <c r="R787" t="e">
        <f t="shared" si="122"/>
        <v>#N/A</v>
      </c>
      <c r="S787" t="e">
        <f t="shared" si="123"/>
        <v>#N/A</v>
      </c>
      <c r="T787" s="15" t="e">
        <f t="shared" si="116"/>
        <v>#N/A</v>
      </c>
      <c r="U787" s="18" t="e">
        <f t="shared" si="117"/>
        <v>#N/A</v>
      </c>
      <c r="V787" s="14" t="e">
        <f t="shared" si="124"/>
        <v>#N/A</v>
      </c>
      <c r="W787" s="19" t="e">
        <f t="shared" si="118"/>
        <v>#N/A</v>
      </c>
      <c r="X787" t="e">
        <f>VLOOKUP(P787,Close[[ID]:[CreatedBy]],8,0)</f>
        <v>#N/A</v>
      </c>
    </row>
    <row r="788" spans="2:24" x14ac:dyDescent="0.35">
      <c r="B788" t="str">
        <f>IF(NOT(ISBLANK(A788)),VLOOKUP(A788,'BBT3'!A:F,2,0),"")</f>
        <v/>
      </c>
      <c r="C788" t="str">
        <f>IF(NOT(ISBLANK(A788)),VLOOKUP(A788,'BBT3'!A:F,3,0),"")</f>
        <v/>
      </c>
      <c r="D788" s="5" t="str">
        <f>IF(NOT(ISBLANK(A788)),VLOOKUP(A788,'BBT3'!A:F,4,1),"")</f>
        <v/>
      </c>
      <c r="E788" t="str">
        <f>IF(NOT(ISBLANK(A788)),VLOOKUP(A788,'BBT3'!A:F,5,0),"")</f>
        <v/>
      </c>
      <c r="F788" t="str">
        <f>IF(NOT(ISBLANK(A788)),VLOOKUP(A788,'BBT3'!A:F,6,0),"")</f>
        <v/>
      </c>
      <c r="G788" t="str">
        <f t="shared" si="119"/>
        <v/>
      </c>
      <c r="H788" t="str">
        <f>IF(NOT(ISBLANK(A788)),VLOOKUP(A788,'Close - PriceSaver'!A:J,5,0),"")</f>
        <v/>
      </c>
      <c r="I788" s="4" t="str" cm="1">
        <f t="array" ref="I788">IF(NOT(ISBLANK(A788)),((_xlfn.XLOOKUP(1,(_bbt3[[#All],[ID]]=A788)*(_bbt3[[#All],[METRIC_NAME]]="YLD_YTM_ASK"),_bbt3[[#All],[METRIC_VALUE]])*0.5)+(_xlfn.XLOOKUP(1,(_bbt3[[#All],[ID]]=A788)*(_bbt3[[#All],[METRIC_NAME]]="YLD_YTM_BID"),_bbt3[[#All],[METRIC_VALUE]])*0.5))/100,"")</f>
        <v/>
      </c>
      <c r="J788">
        <f>IF(ISNA(VLOOKUP(A788,'CloseDL - PriceSaverBBT3'!A:E,5,0)),0,VLOOKUP(A788,'CloseDL - PriceSaverBBT3'!A:E,5,0))</f>
        <v>0</v>
      </c>
      <c r="K788" s="7" t="str">
        <f t="shared" si="120"/>
        <v/>
      </c>
      <c r="L788" s="20">
        <f>IF(Close[[#This Row],[CreatedBy]]="MARINER\SilverAdm",1,0)</f>
        <v>1</v>
      </c>
      <c r="M788" t="str">
        <f>IF(NOT(ISBLANK(A788)),VLOOKUP(A788,'Close - PriceSaver'!A:J,6,0),"")</f>
        <v/>
      </c>
      <c r="Q788" t="e">
        <f t="shared" si="121"/>
        <v>#N/A</v>
      </c>
      <c r="R788" t="e">
        <f t="shared" si="122"/>
        <v>#N/A</v>
      </c>
      <c r="S788" t="e">
        <f t="shared" si="123"/>
        <v>#N/A</v>
      </c>
      <c r="T788" s="15" t="e">
        <f t="shared" ref="T788:T851" si="125">VLOOKUP(Q788,A:K,5,0)</f>
        <v>#N/A</v>
      </c>
      <c r="U788" s="18" t="e">
        <f t="shared" ref="U788:U851" si="126">VLOOKUP(Q788,A:K,8,0)</f>
        <v>#N/A</v>
      </c>
      <c r="V788" s="14" t="e">
        <f t="shared" si="124"/>
        <v>#N/A</v>
      </c>
      <c r="W788" s="19" t="e">
        <f t="shared" ref="W788:W851" si="127">(V788-U788)*100</f>
        <v>#N/A</v>
      </c>
      <c r="X788" t="e">
        <f>VLOOKUP(P788,Close[[ID]:[CreatedBy]],8,0)</f>
        <v>#N/A</v>
      </c>
    </row>
    <row r="789" spans="2:24" x14ac:dyDescent="0.35">
      <c r="B789" t="str">
        <f>IF(NOT(ISBLANK(A789)),VLOOKUP(A789,'BBT3'!A:F,2,0),"")</f>
        <v/>
      </c>
      <c r="C789" t="str">
        <f>IF(NOT(ISBLANK(A789)),VLOOKUP(A789,'BBT3'!A:F,3,0),"")</f>
        <v/>
      </c>
      <c r="D789" s="5" t="str">
        <f>IF(NOT(ISBLANK(A789)),VLOOKUP(A789,'BBT3'!A:F,4,1),"")</f>
        <v/>
      </c>
      <c r="E789" t="str">
        <f>IF(NOT(ISBLANK(A789)),VLOOKUP(A789,'BBT3'!A:F,5,0),"")</f>
        <v/>
      </c>
      <c r="F789" t="str">
        <f>IF(NOT(ISBLANK(A789)),VLOOKUP(A789,'BBT3'!A:F,6,0),"")</f>
        <v/>
      </c>
      <c r="G789" t="str">
        <f t="shared" si="119"/>
        <v/>
      </c>
      <c r="H789" t="str">
        <f>IF(NOT(ISBLANK(A789)),VLOOKUP(A789,'Close - PriceSaver'!A:J,5,0),"")</f>
        <v/>
      </c>
      <c r="I789" s="4" t="str" cm="1">
        <f t="array" ref="I789">IF(NOT(ISBLANK(A789)),((_xlfn.XLOOKUP(1,(_bbt3[[#All],[ID]]=A789)*(_bbt3[[#All],[METRIC_NAME]]="YLD_YTM_ASK"),_bbt3[[#All],[METRIC_VALUE]])*0.5)+(_xlfn.XLOOKUP(1,(_bbt3[[#All],[ID]]=A789)*(_bbt3[[#All],[METRIC_NAME]]="YLD_YTM_BID"),_bbt3[[#All],[METRIC_VALUE]])*0.5))/100,"")</f>
        <v/>
      </c>
      <c r="J789">
        <f>IF(ISNA(VLOOKUP(A789,'CloseDL - PriceSaverBBT3'!A:E,5,0)),0,VLOOKUP(A789,'CloseDL - PriceSaverBBT3'!A:E,5,0))</f>
        <v>0</v>
      </c>
      <c r="K789" s="7" t="str">
        <f t="shared" si="120"/>
        <v/>
      </c>
      <c r="L789" s="20">
        <f>IF(Close[[#This Row],[CreatedBy]]="MARINER\SilverAdm",1,0)</f>
        <v>1</v>
      </c>
      <c r="M789" t="str">
        <f>IF(NOT(ISBLANK(A789)),VLOOKUP(A789,'Close - PriceSaver'!A:J,6,0),"")</f>
        <v/>
      </c>
      <c r="Q789" t="e">
        <f t="shared" si="121"/>
        <v>#N/A</v>
      </c>
      <c r="R789" t="e">
        <f t="shared" si="122"/>
        <v>#N/A</v>
      </c>
      <c r="S789" t="e">
        <f t="shared" si="123"/>
        <v>#N/A</v>
      </c>
      <c r="T789" s="15" t="e">
        <f t="shared" si="125"/>
        <v>#N/A</v>
      </c>
      <c r="U789" s="18" t="e">
        <f t="shared" si="126"/>
        <v>#N/A</v>
      </c>
      <c r="V789" s="14" t="e">
        <f t="shared" si="124"/>
        <v>#N/A</v>
      </c>
      <c r="W789" s="19" t="e">
        <f t="shared" si="127"/>
        <v>#N/A</v>
      </c>
      <c r="X789" t="e">
        <f>VLOOKUP(P789,Close[[ID]:[CreatedBy]],8,0)</f>
        <v>#N/A</v>
      </c>
    </row>
    <row r="790" spans="2:24" x14ac:dyDescent="0.35">
      <c r="B790" t="str">
        <f>IF(NOT(ISBLANK(A790)),VLOOKUP(A790,'BBT3'!A:F,2,0),"")</f>
        <v/>
      </c>
      <c r="C790" t="str">
        <f>IF(NOT(ISBLANK(A790)),VLOOKUP(A790,'BBT3'!A:F,3,0),"")</f>
        <v/>
      </c>
      <c r="D790" s="5" t="str">
        <f>IF(NOT(ISBLANK(A790)),VLOOKUP(A790,'BBT3'!A:F,4,1),"")</f>
        <v/>
      </c>
      <c r="E790" t="str">
        <f>IF(NOT(ISBLANK(A790)),VLOOKUP(A790,'BBT3'!A:F,5,0),"")</f>
        <v/>
      </c>
      <c r="F790" t="str">
        <f>IF(NOT(ISBLANK(A790)),VLOOKUP(A790,'BBT3'!A:F,6,0),"")</f>
        <v/>
      </c>
      <c r="G790" t="str">
        <f t="shared" si="119"/>
        <v/>
      </c>
      <c r="H790" t="str">
        <f>IF(NOT(ISBLANK(A790)),VLOOKUP(A790,'Close - PriceSaver'!A:J,5,0),"")</f>
        <v/>
      </c>
      <c r="I790" s="4" t="str" cm="1">
        <f t="array" ref="I790">IF(NOT(ISBLANK(A790)),((_xlfn.XLOOKUP(1,(_bbt3[[#All],[ID]]=A790)*(_bbt3[[#All],[METRIC_NAME]]="YLD_YTM_ASK"),_bbt3[[#All],[METRIC_VALUE]])*0.5)+(_xlfn.XLOOKUP(1,(_bbt3[[#All],[ID]]=A790)*(_bbt3[[#All],[METRIC_NAME]]="YLD_YTM_BID"),_bbt3[[#All],[METRIC_VALUE]])*0.5))/100,"")</f>
        <v/>
      </c>
      <c r="J790">
        <f>IF(ISNA(VLOOKUP(A790,'CloseDL - PriceSaverBBT3'!A:E,5,0)),0,VLOOKUP(A790,'CloseDL - PriceSaverBBT3'!A:E,5,0))</f>
        <v>0</v>
      </c>
      <c r="K790" s="7" t="str">
        <f t="shared" si="120"/>
        <v/>
      </c>
      <c r="L790" s="20">
        <f>IF(Close[[#This Row],[CreatedBy]]="MARINER\SilverAdm",1,0)</f>
        <v>1</v>
      </c>
      <c r="M790" t="str">
        <f>IF(NOT(ISBLANK(A790)),VLOOKUP(A790,'Close - PriceSaver'!A:J,6,0),"")</f>
        <v/>
      </c>
      <c r="Q790" t="e">
        <f t="shared" si="121"/>
        <v>#N/A</v>
      </c>
      <c r="R790" t="e">
        <f t="shared" si="122"/>
        <v>#N/A</v>
      </c>
      <c r="S790" t="e">
        <f t="shared" si="123"/>
        <v>#N/A</v>
      </c>
      <c r="T790" s="15" t="e">
        <f t="shared" si="125"/>
        <v>#N/A</v>
      </c>
      <c r="U790" s="18" t="e">
        <f t="shared" si="126"/>
        <v>#N/A</v>
      </c>
      <c r="V790" s="14" t="e">
        <f t="shared" si="124"/>
        <v>#N/A</v>
      </c>
      <c r="W790" s="19" t="e">
        <f t="shared" si="127"/>
        <v>#N/A</v>
      </c>
      <c r="X790" t="e">
        <f>VLOOKUP(P790,Close[[ID]:[CreatedBy]],8,0)</f>
        <v>#N/A</v>
      </c>
    </row>
    <row r="791" spans="2:24" x14ac:dyDescent="0.35">
      <c r="B791" t="str">
        <f>IF(NOT(ISBLANK(A791)),VLOOKUP(A791,'BBT3'!A:F,2,0),"")</f>
        <v/>
      </c>
      <c r="C791" t="str">
        <f>IF(NOT(ISBLANK(A791)),VLOOKUP(A791,'BBT3'!A:F,3,0),"")</f>
        <v/>
      </c>
      <c r="D791" s="5" t="str">
        <f>IF(NOT(ISBLANK(A791)),VLOOKUP(A791,'BBT3'!A:F,4,1),"")</f>
        <v/>
      </c>
      <c r="E791" t="str">
        <f>IF(NOT(ISBLANK(A791)),VLOOKUP(A791,'BBT3'!A:F,5,0),"")</f>
        <v/>
      </c>
      <c r="F791" t="str">
        <f>IF(NOT(ISBLANK(A791)),VLOOKUP(A791,'BBT3'!A:F,6,0),"")</f>
        <v/>
      </c>
      <c r="G791" t="str">
        <f t="shared" si="119"/>
        <v/>
      </c>
      <c r="H791" t="str">
        <f>IF(NOT(ISBLANK(A791)),VLOOKUP(A791,'Close - PriceSaver'!A:J,5,0),"")</f>
        <v/>
      </c>
      <c r="I791" s="4" t="str" cm="1">
        <f t="array" ref="I791">IF(NOT(ISBLANK(A791)),((_xlfn.XLOOKUP(1,(_bbt3[[#All],[ID]]=A791)*(_bbt3[[#All],[METRIC_NAME]]="YLD_YTM_ASK"),_bbt3[[#All],[METRIC_VALUE]])*0.5)+(_xlfn.XLOOKUP(1,(_bbt3[[#All],[ID]]=A791)*(_bbt3[[#All],[METRIC_NAME]]="YLD_YTM_BID"),_bbt3[[#All],[METRIC_VALUE]])*0.5))/100,"")</f>
        <v/>
      </c>
      <c r="J791">
        <f>IF(ISNA(VLOOKUP(A791,'CloseDL - PriceSaverBBT3'!A:E,5,0)),0,VLOOKUP(A791,'CloseDL - PriceSaverBBT3'!A:E,5,0))</f>
        <v>0</v>
      </c>
      <c r="K791" s="7" t="str">
        <f t="shared" si="120"/>
        <v/>
      </c>
      <c r="L791" s="20">
        <f>IF(Close[[#This Row],[CreatedBy]]="MARINER\SilverAdm",1,0)</f>
        <v>1</v>
      </c>
      <c r="M791" t="str">
        <f>IF(NOT(ISBLANK(A791)),VLOOKUP(A791,'Close - PriceSaver'!A:J,6,0),"")</f>
        <v/>
      </c>
      <c r="Q791" t="e">
        <f t="shared" si="121"/>
        <v>#N/A</v>
      </c>
      <c r="R791" t="e">
        <f t="shared" si="122"/>
        <v>#N/A</v>
      </c>
      <c r="S791" t="e">
        <f t="shared" si="123"/>
        <v>#N/A</v>
      </c>
      <c r="T791" s="15" t="e">
        <f t="shared" si="125"/>
        <v>#N/A</v>
      </c>
      <c r="U791" s="18" t="e">
        <f t="shared" si="126"/>
        <v>#N/A</v>
      </c>
      <c r="V791" s="14" t="e">
        <f t="shared" si="124"/>
        <v>#N/A</v>
      </c>
      <c r="W791" s="19" t="e">
        <f t="shared" si="127"/>
        <v>#N/A</v>
      </c>
      <c r="X791" t="e">
        <f>VLOOKUP(P791,Close[[ID]:[CreatedBy]],8,0)</f>
        <v>#N/A</v>
      </c>
    </row>
    <row r="792" spans="2:24" x14ac:dyDescent="0.35">
      <c r="B792" t="str">
        <f>IF(NOT(ISBLANK(A792)),VLOOKUP(A792,'BBT3'!A:F,2,0),"")</f>
        <v/>
      </c>
      <c r="C792" t="str">
        <f>IF(NOT(ISBLANK(A792)),VLOOKUP(A792,'BBT3'!A:F,3,0),"")</f>
        <v/>
      </c>
      <c r="D792" s="5" t="str">
        <f>IF(NOT(ISBLANK(A792)),VLOOKUP(A792,'BBT3'!A:F,4,1),"")</f>
        <v/>
      </c>
      <c r="E792" t="str">
        <f>IF(NOT(ISBLANK(A792)),VLOOKUP(A792,'BBT3'!A:F,5,0),"")</f>
        <v/>
      </c>
      <c r="F792" t="str">
        <f>IF(NOT(ISBLANK(A792)),VLOOKUP(A792,'BBT3'!A:F,6,0),"")</f>
        <v/>
      </c>
      <c r="G792" t="str">
        <f t="shared" si="119"/>
        <v/>
      </c>
      <c r="H792" t="str">
        <f>IF(NOT(ISBLANK(A792)),VLOOKUP(A792,'Close - PriceSaver'!A:J,5,0),"")</f>
        <v/>
      </c>
      <c r="I792" s="4" t="str" cm="1">
        <f t="array" ref="I792">IF(NOT(ISBLANK(A792)),((_xlfn.XLOOKUP(1,(_bbt3[[#All],[ID]]=A792)*(_bbt3[[#All],[METRIC_NAME]]="YLD_YTM_ASK"),_bbt3[[#All],[METRIC_VALUE]])*0.5)+(_xlfn.XLOOKUP(1,(_bbt3[[#All],[ID]]=A792)*(_bbt3[[#All],[METRIC_NAME]]="YLD_YTM_BID"),_bbt3[[#All],[METRIC_VALUE]])*0.5))/100,"")</f>
        <v/>
      </c>
      <c r="J792">
        <f>IF(ISNA(VLOOKUP(A792,'CloseDL - PriceSaverBBT3'!A:E,5,0)),0,VLOOKUP(A792,'CloseDL - PriceSaverBBT3'!A:E,5,0))</f>
        <v>0</v>
      </c>
      <c r="K792" s="7" t="str">
        <f t="shared" si="120"/>
        <v/>
      </c>
      <c r="L792" s="20">
        <f>IF(Close[[#This Row],[CreatedBy]]="MARINER\SilverAdm",1,0)</f>
        <v>1</v>
      </c>
      <c r="M792" t="str">
        <f>IF(NOT(ISBLANK(A792)),VLOOKUP(A792,'Close - PriceSaver'!A:J,6,0),"")</f>
        <v/>
      </c>
      <c r="Q792" t="e">
        <f t="shared" si="121"/>
        <v>#N/A</v>
      </c>
      <c r="R792" t="e">
        <f t="shared" si="122"/>
        <v>#N/A</v>
      </c>
      <c r="S792" t="e">
        <f t="shared" si="123"/>
        <v>#N/A</v>
      </c>
      <c r="T792" s="15" t="e">
        <f t="shared" si="125"/>
        <v>#N/A</v>
      </c>
      <c r="U792" s="18" t="e">
        <f t="shared" si="126"/>
        <v>#N/A</v>
      </c>
      <c r="V792" s="14" t="e">
        <f t="shared" si="124"/>
        <v>#N/A</v>
      </c>
      <c r="W792" s="19" t="e">
        <f t="shared" si="127"/>
        <v>#N/A</v>
      </c>
      <c r="X792" t="e">
        <f>VLOOKUP(P792,Close[[ID]:[CreatedBy]],8,0)</f>
        <v>#N/A</v>
      </c>
    </row>
    <row r="793" spans="2:24" x14ac:dyDescent="0.35">
      <c r="B793" t="str">
        <f>IF(NOT(ISBLANK(A793)),VLOOKUP(A793,'BBT3'!A:F,2,0),"")</f>
        <v/>
      </c>
      <c r="C793" t="str">
        <f>IF(NOT(ISBLANK(A793)),VLOOKUP(A793,'BBT3'!A:F,3,0),"")</f>
        <v/>
      </c>
      <c r="D793" s="5" t="str">
        <f>IF(NOT(ISBLANK(A793)),VLOOKUP(A793,'BBT3'!A:F,4,1),"")</f>
        <v/>
      </c>
      <c r="E793" t="str">
        <f>IF(NOT(ISBLANK(A793)),VLOOKUP(A793,'BBT3'!A:F,5,0),"")</f>
        <v/>
      </c>
      <c r="F793" t="str">
        <f>IF(NOT(ISBLANK(A793)),VLOOKUP(A793,'BBT3'!A:F,6,0),"")</f>
        <v/>
      </c>
      <c r="G793" t="str">
        <f t="shared" si="119"/>
        <v/>
      </c>
      <c r="H793" t="str">
        <f>IF(NOT(ISBLANK(A793)),VLOOKUP(A793,'Close - PriceSaver'!A:J,5,0),"")</f>
        <v/>
      </c>
      <c r="I793" s="4" t="str" cm="1">
        <f t="array" ref="I793">IF(NOT(ISBLANK(A793)),((_xlfn.XLOOKUP(1,(_bbt3[[#All],[ID]]=A793)*(_bbt3[[#All],[METRIC_NAME]]="YLD_YTM_ASK"),_bbt3[[#All],[METRIC_VALUE]])*0.5)+(_xlfn.XLOOKUP(1,(_bbt3[[#All],[ID]]=A793)*(_bbt3[[#All],[METRIC_NAME]]="YLD_YTM_BID"),_bbt3[[#All],[METRIC_VALUE]])*0.5))/100,"")</f>
        <v/>
      </c>
      <c r="J793">
        <f>IF(ISNA(VLOOKUP(A793,'CloseDL - PriceSaverBBT3'!A:E,5,0)),0,VLOOKUP(A793,'CloseDL - PriceSaverBBT3'!A:E,5,0))</f>
        <v>0</v>
      </c>
      <c r="K793" s="7" t="str">
        <f t="shared" si="120"/>
        <v/>
      </c>
      <c r="L793" s="20">
        <f>IF(Close[[#This Row],[CreatedBy]]="MARINER\SilverAdm",1,0)</f>
        <v>1</v>
      </c>
      <c r="M793" t="str">
        <f>IF(NOT(ISBLANK(A793)),VLOOKUP(A793,'Close - PriceSaver'!A:J,6,0),"")</f>
        <v/>
      </c>
      <c r="Q793" t="e">
        <f t="shared" si="121"/>
        <v>#N/A</v>
      </c>
      <c r="R793" t="e">
        <f t="shared" si="122"/>
        <v>#N/A</v>
      </c>
      <c r="S793" t="e">
        <f t="shared" si="123"/>
        <v>#N/A</v>
      </c>
      <c r="T793" s="15" t="e">
        <f t="shared" si="125"/>
        <v>#N/A</v>
      </c>
      <c r="U793" s="18" t="e">
        <f t="shared" si="126"/>
        <v>#N/A</v>
      </c>
      <c r="V793" s="14" t="e">
        <f t="shared" si="124"/>
        <v>#N/A</v>
      </c>
      <c r="W793" s="19" t="e">
        <f t="shared" si="127"/>
        <v>#N/A</v>
      </c>
      <c r="X793" t="e">
        <f>VLOOKUP(P793,Close[[ID]:[CreatedBy]],8,0)</f>
        <v>#N/A</v>
      </c>
    </row>
    <row r="794" spans="2:24" x14ac:dyDescent="0.35">
      <c r="B794" t="str">
        <f>IF(NOT(ISBLANK(A794)),VLOOKUP(A794,'BBT3'!A:F,2,0),"")</f>
        <v/>
      </c>
      <c r="C794" t="str">
        <f>IF(NOT(ISBLANK(A794)),VLOOKUP(A794,'BBT3'!A:F,3,0),"")</f>
        <v/>
      </c>
      <c r="D794" s="5" t="str">
        <f>IF(NOT(ISBLANK(A794)),VLOOKUP(A794,'BBT3'!A:F,4,1),"")</f>
        <v/>
      </c>
      <c r="E794" t="str">
        <f>IF(NOT(ISBLANK(A794)),VLOOKUP(A794,'BBT3'!A:F,5,0),"")</f>
        <v/>
      </c>
      <c r="F794" t="str">
        <f>IF(NOT(ISBLANK(A794)),VLOOKUP(A794,'BBT3'!A:F,6,0),"")</f>
        <v/>
      </c>
      <c r="G794" t="str">
        <f t="shared" si="119"/>
        <v/>
      </c>
      <c r="H794" t="str">
        <f>IF(NOT(ISBLANK(A794)),VLOOKUP(A794,'Close - PriceSaver'!A:J,5,0),"")</f>
        <v/>
      </c>
      <c r="I794" s="4" t="str" cm="1">
        <f t="array" ref="I794">IF(NOT(ISBLANK(A794)),((_xlfn.XLOOKUP(1,(_bbt3[[#All],[ID]]=A794)*(_bbt3[[#All],[METRIC_NAME]]="YLD_YTM_ASK"),_bbt3[[#All],[METRIC_VALUE]])*0.5)+(_xlfn.XLOOKUP(1,(_bbt3[[#All],[ID]]=A794)*(_bbt3[[#All],[METRIC_NAME]]="YLD_YTM_BID"),_bbt3[[#All],[METRIC_VALUE]])*0.5))/100,"")</f>
        <v/>
      </c>
      <c r="J794">
        <f>IF(ISNA(VLOOKUP(A794,'CloseDL - PriceSaverBBT3'!A:E,5,0)),0,VLOOKUP(A794,'CloseDL - PriceSaverBBT3'!A:E,5,0))</f>
        <v>0</v>
      </c>
      <c r="K794" s="7" t="str">
        <f t="shared" si="120"/>
        <v/>
      </c>
      <c r="L794" s="20">
        <f>IF(Close[[#This Row],[CreatedBy]]="MARINER\SilverAdm",1,0)</f>
        <v>1</v>
      </c>
      <c r="M794" t="str">
        <f>IF(NOT(ISBLANK(A794)),VLOOKUP(A794,'Close - PriceSaver'!A:J,6,0),"")</f>
        <v/>
      </c>
      <c r="Q794" t="e">
        <f t="shared" si="121"/>
        <v>#N/A</v>
      </c>
      <c r="R794" t="e">
        <f t="shared" si="122"/>
        <v>#N/A</v>
      </c>
      <c r="S794" t="e">
        <f t="shared" si="123"/>
        <v>#N/A</v>
      </c>
      <c r="T794" s="15" t="e">
        <f t="shared" si="125"/>
        <v>#N/A</v>
      </c>
      <c r="U794" s="18" t="e">
        <f t="shared" si="126"/>
        <v>#N/A</v>
      </c>
      <c r="V794" s="14" t="e">
        <f t="shared" si="124"/>
        <v>#N/A</v>
      </c>
      <c r="W794" s="19" t="e">
        <f t="shared" si="127"/>
        <v>#N/A</v>
      </c>
      <c r="X794" t="e">
        <f>VLOOKUP(P794,Close[[ID]:[CreatedBy]],8,0)</f>
        <v>#N/A</v>
      </c>
    </row>
    <row r="795" spans="2:24" x14ac:dyDescent="0.35">
      <c r="B795" t="str">
        <f>IF(NOT(ISBLANK(A795)),VLOOKUP(A795,'BBT3'!A:F,2,0),"")</f>
        <v/>
      </c>
      <c r="C795" t="str">
        <f>IF(NOT(ISBLANK(A795)),VLOOKUP(A795,'BBT3'!A:F,3,0),"")</f>
        <v/>
      </c>
      <c r="D795" s="5" t="str">
        <f>IF(NOT(ISBLANK(A795)),VLOOKUP(A795,'BBT3'!A:F,4,1),"")</f>
        <v/>
      </c>
      <c r="E795" t="str">
        <f>IF(NOT(ISBLANK(A795)),VLOOKUP(A795,'BBT3'!A:F,5,0),"")</f>
        <v/>
      </c>
      <c r="F795" t="str">
        <f>IF(NOT(ISBLANK(A795)),VLOOKUP(A795,'BBT3'!A:F,6,0),"")</f>
        <v/>
      </c>
      <c r="G795" t="str">
        <f t="shared" si="119"/>
        <v/>
      </c>
      <c r="H795" t="str">
        <f>IF(NOT(ISBLANK(A795)),VLOOKUP(A795,'Close - PriceSaver'!A:J,5,0),"")</f>
        <v/>
      </c>
      <c r="I795" s="4" t="str" cm="1">
        <f t="array" ref="I795">IF(NOT(ISBLANK(A795)),((_xlfn.XLOOKUP(1,(_bbt3[[#All],[ID]]=A795)*(_bbt3[[#All],[METRIC_NAME]]="YLD_YTM_ASK"),_bbt3[[#All],[METRIC_VALUE]])*0.5)+(_xlfn.XLOOKUP(1,(_bbt3[[#All],[ID]]=A795)*(_bbt3[[#All],[METRIC_NAME]]="YLD_YTM_BID"),_bbt3[[#All],[METRIC_VALUE]])*0.5))/100,"")</f>
        <v/>
      </c>
      <c r="J795">
        <f>IF(ISNA(VLOOKUP(A795,'CloseDL - PriceSaverBBT3'!A:E,5,0)),0,VLOOKUP(A795,'CloseDL - PriceSaverBBT3'!A:E,5,0))</f>
        <v>0</v>
      </c>
      <c r="K795" s="7" t="str">
        <f t="shared" si="120"/>
        <v/>
      </c>
      <c r="L795" s="20">
        <f>IF(Close[[#This Row],[CreatedBy]]="MARINER\SilverAdm",1,0)</f>
        <v>1</v>
      </c>
      <c r="M795" t="str">
        <f>IF(NOT(ISBLANK(A795)),VLOOKUP(A795,'Close - PriceSaver'!A:J,6,0),"")</f>
        <v/>
      </c>
      <c r="Q795" t="e">
        <f t="shared" si="121"/>
        <v>#N/A</v>
      </c>
      <c r="R795" t="e">
        <f t="shared" si="122"/>
        <v>#N/A</v>
      </c>
      <c r="S795" t="e">
        <f t="shared" si="123"/>
        <v>#N/A</v>
      </c>
      <c r="T795" s="15" t="e">
        <f t="shared" si="125"/>
        <v>#N/A</v>
      </c>
      <c r="U795" s="18" t="e">
        <f t="shared" si="126"/>
        <v>#N/A</v>
      </c>
      <c r="V795" s="14" t="e">
        <f t="shared" si="124"/>
        <v>#N/A</v>
      </c>
      <c r="W795" s="19" t="e">
        <f t="shared" si="127"/>
        <v>#N/A</v>
      </c>
      <c r="X795" t="e">
        <f>VLOOKUP(P795,Close[[ID]:[CreatedBy]],8,0)</f>
        <v>#N/A</v>
      </c>
    </row>
    <row r="796" spans="2:24" x14ac:dyDescent="0.35">
      <c r="B796" t="str">
        <f>IF(NOT(ISBLANK(A796)),VLOOKUP(A796,'BBT3'!A:F,2,0),"")</f>
        <v/>
      </c>
      <c r="C796" t="str">
        <f>IF(NOT(ISBLANK(A796)),VLOOKUP(A796,'BBT3'!A:F,3,0),"")</f>
        <v/>
      </c>
      <c r="D796" s="5" t="str">
        <f>IF(NOT(ISBLANK(A796)),VLOOKUP(A796,'BBT3'!A:F,4,1),"")</f>
        <v/>
      </c>
      <c r="E796" t="str">
        <f>IF(NOT(ISBLANK(A796)),VLOOKUP(A796,'BBT3'!A:F,5,0),"")</f>
        <v/>
      </c>
      <c r="F796" t="str">
        <f>IF(NOT(ISBLANK(A796)),VLOOKUP(A796,'BBT3'!A:F,6,0),"")</f>
        <v/>
      </c>
      <c r="G796" t="str">
        <f t="shared" si="119"/>
        <v/>
      </c>
      <c r="H796" t="str">
        <f>IF(NOT(ISBLANK(A796)),VLOOKUP(A796,'Close - PriceSaver'!A:J,5,0),"")</f>
        <v/>
      </c>
      <c r="I796" s="4" t="str" cm="1">
        <f t="array" ref="I796">IF(NOT(ISBLANK(A796)),((_xlfn.XLOOKUP(1,(_bbt3[[#All],[ID]]=A796)*(_bbt3[[#All],[METRIC_NAME]]="YLD_YTM_ASK"),_bbt3[[#All],[METRIC_VALUE]])*0.5)+(_xlfn.XLOOKUP(1,(_bbt3[[#All],[ID]]=A796)*(_bbt3[[#All],[METRIC_NAME]]="YLD_YTM_BID"),_bbt3[[#All],[METRIC_VALUE]])*0.5))/100,"")</f>
        <v/>
      </c>
      <c r="J796">
        <f>IF(ISNA(VLOOKUP(A796,'CloseDL - PriceSaverBBT3'!A:E,5,0)),0,VLOOKUP(A796,'CloseDL - PriceSaverBBT3'!A:E,5,0))</f>
        <v>0</v>
      </c>
      <c r="K796" s="7" t="str">
        <f t="shared" si="120"/>
        <v/>
      </c>
      <c r="L796" s="20">
        <f>IF(Close[[#This Row],[CreatedBy]]="MARINER\SilverAdm",1,0)</f>
        <v>1</v>
      </c>
      <c r="M796" t="str">
        <f>IF(NOT(ISBLANK(A796)),VLOOKUP(A796,'Close - PriceSaver'!A:J,6,0),"")</f>
        <v/>
      </c>
      <c r="Q796" t="e">
        <f t="shared" si="121"/>
        <v>#N/A</v>
      </c>
      <c r="R796" t="e">
        <f t="shared" si="122"/>
        <v>#N/A</v>
      </c>
      <c r="S796" t="e">
        <f t="shared" si="123"/>
        <v>#N/A</v>
      </c>
      <c r="T796" s="15" t="e">
        <f t="shared" si="125"/>
        <v>#N/A</v>
      </c>
      <c r="U796" s="18" t="e">
        <f t="shared" si="126"/>
        <v>#N/A</v>
      </c>
      <c r="V796" s="14" t="e">
        <f t="shared" si="124"/>
        <v>#N/A</v>
      </c>
      <c r="W796" s="19" t="e">
        <f t="shared" si="127"/>
        <v>#N/A</v>
      </c>
      <c r="X796" t="e">
        <f>VLOOKUP(P796,Close[[ID]:[CreatedBy]],8,0)</f>
        <v>#N/A</v>
      </c>
    </row>
    <row r="797" spans="2:24" x14ac:dyDescent="0.35">
      <c r="B797" t="str">
        <f>IF(NOT(ISBLANK(A797)),VLOOKUP(A797,'BBT3'!A:F,2,0),"")</f>
        <v/>
      </c>
      <c r="C797" t="str">
        <f>IF(NOT(ISBLANK(A797)),VLOOKUP(A797,'BBT3'!A:F,3,0),"")</f>
        <v/>
      </c>
      <c r="D797" s="5" t="str">
        <f>IF(NOT(ISBLANK(A797)),VLOOKUP(A797,'BBT3'!A:F,4,1),"")</f>
        <v/>
      </c>
      <c r="E797" t="str">
        <f>IF(NOT(ISBLANK(A797)),VLOOKUP(A797,'BBT3'!A:F,5,0),"")</f>
        <v/>
      </c>
      <c r="F797" t="str">
        <f>IF(NOT(ISBLANK(A797)),VLOOKUP(A797,'BBT3'!A:F,6,0),"")</f>
        <v/>
      </c>
      <c r="G797" t="str">
        <f t="shared" si="119"/>
        <v/>
      </c>
      <c r="H797" t="str">
        <f>IF(NOT(ISBLANK(A797)),VLOOKUP(A797,'Close - PriceSaver'!A:J,5,0),"")</f>
        <v/>
      </c>
      <c r="I797" s="4" t="str" cm="1">
        <f t="array" ref="I797">IF(NOT(ISBLANK(A797)),((_xlfn.XLOOKUP(1,(_bbt3[[#All],[ID]]=A797)*(_bbt3[[#All],[METRIC_NAME]]="YLD_YTM_ASK"),_bbt3[[#All],[METRIC_VALUE]])*0.5)+(_xlfn.XLOOKUP(1,(_bbt3[[#All],[ID]]=A797)*(_bbt3[[#All],[METRIC_NAME]]="YLD_YTM_BID"),_bbt3[[#All],[METRIC_VALUE]])*0.5))/100,"")</f>
        <v/>
      </c>
      <c r="J797">
        <f>IF(ISNA(VLOOKUP(A797,'CloseDL - PriceSaverBBT3'!A:E,5,0)),0,VLOOKUP(A797,'CloseDL - PriceSaverBBT3'!A:E,5,0))</f>
        <v>0</v>
      </c>
      <c r="K797" s="7" t="str">
        <f t="shared" si="120"/>
        <v/>
      </c>
      <c r="L797" s="20">
        <f>IF(Close[[#This Row],[CreatedBy]]="MARINER\SilverAdm",1,0)</f>
        <v>1</v>
      </c>
      <c r="M797" t="str">
        <f>IF(NOT(ISBLANK(A797)),VLOOKUP(A797,'Close - PriceSaver'!A:J,6,0),"")</f>
        <v/>
      </c>
      <c r="Q797" t="e">
        <f t="shared" si="121"/>
        <v>#N/A</v>
      </c>
      <c r="R797" t="e">
        <f t="shared" si="122"/>
        <v>#N/A</v>
      </c>
      <c r="S797" t="e">
        <f t="shared" si="123"/>
        <v>#N/A</v>
      </c>
      <c r="T797" s="15" t="e">
        <f t="shared" si="125"/>
        <v>#N/A</v>
      </c>
      <c r="U797" s="18" t="e">
        <f t="shared" si="126"/>
        <v>#N/A</v>
      </c>
      <c r="V797" s="14" t="e">
        <f t="shared" si="124"/>
        <v>#N/A</v>
      </c>
      <c r="W797" s="19" t="e">
        <f t="shared" si="127"/>
        <v>#N/A</v>
      </c>
      <c r="X797" t="e">
        <f>VLOOKUP(P797,Close[[ID]:[CreatedBy]],8,0)</f>
        <v>#N/A</v>
      </c>
    </row>
    <row r="798" spans="2:24" x14ac:dyDescent="0.35">
      <c r="B798" t="str">
        <f>IF(NOT(ISBLANK(A798)),VLOOKUP(A798,'BBT3'!A:F,2,0),"")</f>
        <v/>
      </c>
      <c r="C798" t="str">
        <f>IF(NOT(ISBLANK(A798)),VLOOKUP(A798,'BBT3'!A:F,3,0),"")</f>
        <v/>
      </c>
      <c r="D798" s="5" t="str">
        <f>IF(NOT(ISBLANK(A798)),VLOOKUP(A798,'BBT3'!A:F,4,1),"")</f>
        <v/>
      </c>
      <c r="E798" t="str">
        <f>IF(NOT(ISBLANK(A798)),VLOOKUP(A798,'BBT3'!A:F,5,0),"")</f>
        <v/>
      </c>
      <c r="F798" t="str">
        <f>IF(NOT(ISBLANK(A798)),VLOOKUP(A798,'BBT3'!A:F,6,0),"")</f>
        <v/>
      </c>
      <c r="G798" t="str">
        <f t="shared" si="119"/>
        <v/>
      </c>
      <c r="H798" t="str">
        <f>IF(NOT(ISBLANK(A798)),VLOOKUP(A798,'Close - PriceSaver'!A:J,5,0),"")</f>
        <v/>
      </c>
      <c r="I798" s="4" t="str" cm="1">
        <f t="array" ref="I798">IF(NOT(ISBLANK(A798)),((_xlfn.XLOOKUP(1,(_bbt3[[#All],[ID]]=A798)*(_bbt3[[#All],[METRIC_NAME]]="YLD_YTM_ASK"),_bbt3[[#All],[METRIC_VALUE]])*0.5)+(_xlfn.XLOOKUP(1,(_bbt3[[#All],[ID]]=A798)*(_bbt3[[#All],[METRIC_NAME]]="YLD_YTM_BID"),_bbt3[[#All],[METRIC_VALUE]])*0.5))/100,"")</f>
        <v/>
      </c>
      <c r="J798">
        <f>IF(ISNA(VLOOKUP(A798,'CloseDL - PriceSaverBBT3'!A:E,5,0)),0,VLOOKUP(A798,'CloseDL - PriceSaverBBT3'!A:E,5,0))</f>
        <v>0</v>
      </c>
      <c r="K798" s="7" t="str">
        <f t="shared" si="120"/>
        <v/>
      </c>
      <c r="L798" s="20">
        <f>IF(Close[[#This Row],[CreatedBy]]="MARINER\SilverAdm",1,0)</f>
        <v>1</v>
      </c>
      <c r="M798" t="str">
        <f>IF(NOT(ISBLANK(A798)),VLOOKUP(A798,'Close - PriceSaver'!A:J,6,0),"")</f>
        <v/>
      </c>
      <c r="Q798" t="e">
        <f t="shared" si="121"/>
        <v>#N/A</v>
      </c>
      <c r="R798" t="e">
        <f t="shared" si="122"/>
        <v>#N/A</v>
      </c>
      <c r="S798" t="e">
        <f t="shared" si="123"/>
        <v>#N/A</v>
      </c>
      <c r="T798" s="15" t="e">
        <f t="shared" si="125"/>
        <v>#N/A</v>
      </c>
      <c r="U798" s="18" t="e">
        <f t="shared" si="126"/>
        <v>#N/A</v>
      </c>
      <c r="V798" s="14" t="e">
        <f t="shared" si="124"/>
        <v>#N/A</v>
      </c>
      <c r="W798" s="19" t="e">
        <f t="shared" si="127"/>
        <v>#N/A</v>
      </c>
      <c r="X798" t="e">
        <f>VLOOKUP(P798,Close[[ID]:[CreatedBy]],8,0)</f>
        <v>#N/A</v>
      </c>
    </row>
    <row r="799" spans="2:24" x14ac:dyDescent="0.35">
      <c r="B799" t="str">
        <f>IF(NOT(ISBLANK(A799)),VLOOKUP(A799,'BBT3'!A:F,2,0),"")</f>
        <v/>
      </c>
      <c r="C799" t="str">
        <f>IF(NOT(ISBLANK(A799)),VLOOKUP(A799,'BBT3'!A:F,3,0),"")</f>
        <v/>
      </c>
      <c r="D799" s="5" t="str">
        <f>IF(NOT(ISBLANK(A799)),VLOOKUP(A799,'BBT3'!A:F,4,1),"")</f>
        <v/>
      </c>
      <c r="E799" t="str">
        <f>IF(NOT(ISBLANK(A799)),VLOOKUP(A799,'BBT3'!A:F,5,0),"")</f>
        <v/>
      </c>
      <c r="F799" t="str">
        <f>IF(NOT(ISBLANK(A799)),VLOOKUP(A799,'BBT3'!A:F,6,0),"")</f>
        <v/>
      </c>
      <c r="G799" t="str">
        <f t="shared" si="119"/>
        <v/>
      </c>
      <c r="H799" t="str">
        <f>IF(NOT(ISBLANK(A799)),VLOOKUP(A799,'Close - PriceSaver'!A:J,5,0),"")</f>
        <v/>
      </c>
      <c r="I799" s="4" t="str" cm="1">
        <f t="array" ref="I799">IF(NOT(ISBLANK(A799)),((_xlfn.XLOOKUP(1,(_bbt3[[#All],[ID]]=A799)*(_bbt3[[#All],[METRIC_NAME]]="YLD_YTM_ASK"),_bbt3[[#All],[METRIC_VALUE]])*0.5)+(_xlfn.XLOOKUP(1,(_bbt3[[#All],[ID]]=A799)*(_bbt3[[#All],[METRIC_NAME]]="YLD_YTM_BID"),_bbt3[[#All],[METRIC_VALUE]])*0.5))/100,"")</f>
        <v/>
      </c>
      <c r="J799">
        <f>IF(ISNA(VLOOKUP(A799,'CloseDL - PriceSaverBBT3'!A:E,5,0)),0,VLOOKUP(A799,'CloseDL - PriceSaverBBT3'!A:E,5,0))</f>
        <v>0</v>
      </c>
      <c r="K799" s="7" t="str">
        <f t="shared" si="120"/>
        <v/>
      </c>
      <c r="L799" s="20">
        <f>IF(Close[[#This Row],[CreatedBy]]="MARINER\SilverAdm",1,0)</f>
        <v>1</v>
      </c>
      <c r="M799" t="str">
        <f>IF(NOT(ISBLANK(A799)),VLOOKUP(A799,'Close - PriceSaver'!A:J,6,0),"")</f>
        <v/>
      </c>
      <c r="Q799" t="e">
        <f t="shared" si="121"/>
        <v>#N/A</v>
      </c>
      <c r="R799" t="e">
        <f t="shared" si="122"/>
        <v>#N/A</v>
      </c>
      <c r="S799" t="e">
        <f t="shared" si="123"/>
        <v>#N/A</v>
      </c>
      <c r="T799" s="15" t="e">
        <f t="shared" si="125"/>
        <v>#N/A</v>
      </c>
      <c r="U799" s="18" t="e">
        <f t="shared" si="126"/>
        <v>#N/A</v>
      </c>
      <c r="V799" s="14" t="e">
        <f t="shared" si="124"/>
        <v>#N/A</v>
      </c>
      <c r="W799" s="19" t="e">
        <f t="shared" si="127"/>
        <v>#N/A</v>
      </c>
      <c r="X799" t="e">
        <f>VLOOKUP(P799,Close[[ID]:[CreatedBy]],8,0)</f>
        <v>#N/A</v>
      </c>
    </row>
    <row r="800" spans="2:24" x14ac:dyDescent="0.35">
      <c r="B800" t="str">
        <f>IF(NOT(ISBLANK(A800)),VLOOKUP(A800,'BBT3'!A:F,2,0),"")</f>
        <v/>
      </c>
      <c r="C800" t="str">
        <f>IF(NOT(ISBLANK(A800)),VLOOKUP(A800,'BBT3'!A:F,3,0),"")</f>
        <v/>
      </c>
      <c r="D800" s="5" t="str">
        <f>IF(NOT(ISBLANK(A800)),VLOOKUP(A800,'BBT3'!A:F,4,1),"")</f>
        <v/>
      </c>
      <c r="E800" t="str">
        <f>IF(NOT(ISBLANK(A800)),VLOOKUP(A800,'BBT3'!A:F,5,0),"")</f>
        <v/>
      </c>
      <c r="F800" t="str">
        <f>IF(NOT(ISBLANK(A800)),VLOOKUP(A800,'BBT3'!A:F,6,0),"")</f>
        <v/>
      </c>
      <c r="G800" t="str">
        <f t="shared" si="119"/>
        <v/>
      </c>
      <c r="H800" t="str">
        <f>IF(NOT(ISBLANK(A800)),VLOOKUP(A800,'Close - PriceSaver'!A:J,5,0),"")</f>
        <v/>
      </c>
      <c r="I800" s="4" t="str" cm="1">
        <f t="array" ref="I800">IF(NOT(ISBLANK(A800)),((_xlfn.XLOOKUP(1,(_bbt3[[#All],[ID]]=A800)*(_bbt3[[#All],[METRIC_NAME]]="YLD_YTM_ASK"),_bbt3[[#All],[METRIC_VALUE]])*0.5)+(_xlfn.XLOOKUP(1,(_bbt3[[#All],[ID]]=A800)*(_bbt3[[#All],[METRIC_NAME]]="YLD_YTM_BID"),_bbt3[[#All],[METRIC_VALUE]])*0.5))/100,"")</f>
        <v/>
      </c>
      <c r="J800">
        <f>IF(ISNA(VLOOKUP(A800,'CloseDL - PriceSaverBBT3'!A:E,5,0)),0,VLOOKUP(A800,'CloseDL - PriceSaverBBT3'!A:E,5,0))</f>
        <v>0</v>
      </c>
      <c r="K800" s="7" t="str">
        <f t="shared" si="120"/>
        <v/>
      </c>
      <c r="L800" s="20">
        <f>IF(Close[[#This Row],[CreatedBy]]="MARINER\SilverAdm",1,0)</f>
        <v>1</v>
      </c>
      <c r="M800" t="str">
        <f>IF(NOT(ISBLANK(A800)),VLOOKUP(A800,'Close - PriceSaver'!A:J,6,0),"")</f>
        <v/>
      </c>
      <c r="Q800" t="e">
        <f t="shared" si="121"/>
        <v>#N/A</v>
      </c>
      <c r="R800" t="e">
        <f t="shared" si="122"/>
        <v>#N/A</v>
      </c>
      <c r="S800" t="e">
        <f t="shared" si="123"/>
        <v>#N/A</v>
      </c>
      <c r="T800" s="15" t="e">
        <f t="shared" si="125"/>
        <v>#N/A</v>
      </c>
      <c r="U800" s="18" t="e">
        <f t="shared" si="126"/>
        <v>#N/A</v>
      </c>
      <c r="V800" s="14" t="e">
        <f t="shared" si="124"/>
        <v>#N/A</v>
      </c>
      <c r="W800" s="19" t="e">
        <f t="shared" si="127"/>
        <v>#N/A</v>
      </c>
      <c r="X800" t="e">
        <f>VLOOKUP(P800,Close[[ID]:[CreatedBy]],8,0)</f>
        <v>#N/A</v>
      </c>
    </row>
    <row r="801" spans="2:24" x14ac:dyDescent="0.35">
      <c r="B801" t="str">
        <f>IF(NOT(ISBLANK(A801)),VLOOKUP(A801,'BBT3'!A:F,2,0),"")</f>
        <v/>
      </c>
      <c r="C801" t="str">
        <f>IF(NOT(ISBLANK(A801)),VLOOKUP(A801,'BBT3'!A:F,3,0),"")</f>
        <v/>
      </c>
      <c r="D801" s="5" t="str">
        <f>IF(NOT(ISBLANK(A801)),VLOOKUP(A801,'BBT3'!A:F,4,1),"")</f>
        <v/>
      </c>
      <c r="E801" t="str">
        <f>IF(NOT(ISBLANK(A801)),VLOOKUP(A801,'BBT3'!A:F,5,0),"")</f>
        <v/>
      </c>
      <c r="F801" t="str">
        <f>IF(NOT(ISBLANK(A801)),VLOOKUP(A801,'BBT3'!A:F,6,0),"")</f>
        <v/>
      </c>
      <c r="G801" t="str">
        <f t="shared" si="119"/>
        <v/>
      </c>
      <c r="H801" t="str">
        <f>IF(NOT(ISBLANK(A801)),VLOOKUP(A801,'Close - PriceSaver'!A:J,5,0),"")</f>
        <v/>
      </c>
      <c r="I801" s="4" t="str" cm="1">
        <f t="array" ref="I801">IF(NOT(ISBLANK(A801)),((_xlfn.XLOOKUP(1,(_bbt3[[#All],[ID]]=A801)*(_bbt3[[#All],[METRIC_NAME]]="YLD_YTM_ASK"),_bbt3[[#All],[METRIC_VALUE]])*0.5)+(_xlfn.XLOOKUP(1,(_bbt3[[#All],[ID]]=A801)*(_bbt3[[#All],[METRIC_NAME]]="YLD_YTM_BID"),_bbt3[[#All],[METRIC_VALUE]])*0.5))/100,"")</f>
        <v/>
      </c>
      <c r="J801">
        <f>IF(ISNA(VLOOKUP(A801,'CloseDL - PriceSaverBBT3'!A:E,5,0)),0,VLOOKUP(A801,'CloseDL - PriceSaverBBT3'!A:E,5,0))</f>
        <v>0</v>
      </c>
      <c r="K801" s="7" t="str">
        <f t="shared" si="120"/>
        <v/>
      </c>
      <c r="L801" s="20">
        <f>IF(Close[[#This Row],[CreatedBy]]="MARINER\SilverAdm",1,0)</f>
        <v>1</v>
      </c>
      <c r="M801" t="str">
        <f>IF(NOT(ISBLANK(A801)),VLOOKUP(A801,'Close - PriceSaver'!A:J,6,0),"")</f>
        <v/>
      </c>
      <c r="Q801" t="e">
        <f t="shared" si="121"/>
        <v>#N/A</v>
      </c>
      <c r="R801" t="e">
        <f t="shared" si="122"/>
        <v>#N/A</v>
      </c>
      <c r="S801" t="e">
        <f t="shared" si="123"/>
        <v>#N/A</v>
      </c>
      <c r="T801" s="15" t="e">
        <f t="shared" si="125"/>
        <v>#N/A</v>
      </c>
      <c r="U801" s="18" t="e">
        <f t="shared" si="126"/>
        <v>#N/A</v>
      </c>
      <c r="V801" s="14" t="e">
        <f t="shared" si="124"/>
        <v>#N/A</v>
      </c>
      <c r="W801" s="19" t="e">
        <f t="shared" si="127"/>
        <v>#N/A</v>
      </c>
      <c r="X801" t="e">
        <f>VLOOKUP(P801,Close[[ID]:[CreatedBy]],8,0)</f>
        <v>#N/A</v>
      </c>
    </row>
    <row r="802" spans="2:24" x14ac:dyDescent="0.35">
      <c r="B802" t="str">
        <f>IF(NOT(ISBLANK(A802)),VLOOKUP(A802,'BBT3'!A:F,2,0),"")</f>
        <v/>
      </c>
      <c r="C802" t="str">
        <f>IF(NOT(ISBLANK(A802)),VLOOKUP(A802,'BBT3'!A:F,3,0),"")</f>
        <v/>
      </c>
      <c r="D802" s="5" t="str">
        <f>IF(NOT(ISBLANK(A802)),VLOOKUP(A802,'BBT3'!A:F,4,1),"")</f>
        <v/>
      </c>
      <c r="E802" t="str">
        <f>IF(NOT(ISBLANK(A802)),VLOOKUP(A802,'BBT3'!A:F,5,0),"")</f>
        <v/>
      </c>
      <c r="F802" t="str">
        <f>IF(NOT(ISBLANK(A802)),VLOOKUP(A802,'BBT3'!A:F,6,0),"")</f>
        <v/>
      </c>
      <c r="G802" t="str">
        <f t="shared" si="119"/>
        <v/>
      </c>
      <c r="H802" t="str">
        <f>IF(NOT(ISBLANK(A802)),VLOOKUP(A802,'Close - PriceSaver'!A:J,5,0),"")</f>
        <v/>
      </c>
      <c r="I802" s="4" t="str" cm="1">
        <f t="array" ref="I802">IF(NOT(ISBLANK(A802)),((_xlfn.XLOOKUP(1,(_bbt3[[#All],[ID]]=A802)*(_bbt3[[#All],[METRIC_NAME]]="YLD_YTM_ASK"),_bbt3[[#All],[METRIC_VALUE]])*0.5)+(_xlfn.XLOOKUP(1,(_bbt3[[#All],[ID]]=A802)*(_bbt3[[#All],[METRIC_NAME]]="YLD_YTM_BID"),_bbt3[[#All],[METRIC_VALUE]])*0.5))/100,"")</f>
        <v/>
      </c>
      <c r="J802">
        <f>IF(ISNA(VLOOKUP(A802,'CloseDL - PriceSaverBBT3'!A:E,5,0)),0,VLOOKUP(A802,'CloseDL - PriceSaverBBT3'!A:E,5,0))</f>
        <v>0</v>
      </c>
      <c r="K802" s="7" t="str">
        <f t="shared" si="120"/>
        <v/>
      </c>
      <c r="L802" s="20">
        <f>IF(Close[[#This Row],[CreatedBy]]="MARINER\SilverAdm",1,0)</f>
        <v>1</v>
      </c>
      <c r="M802" t="str">
        <f>IF(NOT(ISBLANK(A802)),VLOOKUP(A802,'Close - PriceSaver'!A:J,6,0),"")</f>
        <v/>
      </c>
      <c r="Q802" t="e">
        <f t="shared" si="121"/>
        <v>#N/A</v>
      </c>
      <c r="R802" t="e">
        <f t="shared" si="122"/>
        <v>#N/A</v>
      </c>
      <c r="S802" t="e">
        <f t="shared" si="123"/>
        <v>#N/A</v>
      </c>
      <c r="T802" s="15" t="e">
        <f t="shared" si="125"/>
        <v>#N/A</v>
      </c>
      <c r="U802" s="18" t="e">
        <f t="shared" si="126"/>
        <v>#N/A</v>
      </c>
      <c r="V802" s="14" t="e">
        <f t="shared" si="124"/>
        <v>#N/A</v>
      </c>
      <c r="W802" s="19" t="e">
        <f t="shared" si="127"/>
        <v>#N/A</v>
      </c>
      <c r="X802" t="e">
        <f>VLOOKUP(P802,Close[[ID]:[CreatedBy]],8,0)</f>
        <v>#N/A</v>
      </c>
    </row>
    <row r="803" spans="2:24" x14ac:dyDescent="0.35">
      <c r="B803" t="str">
        <f>IF(NOT(ISBLANK(A803)),VLOOKUP(A803,'BBT3'!A:F,2,0),"")</f>
        <v/>
      </c>
      <c r="C803" t="str">
        <f>IF(NOT(ISBLANK(A803)),VLOOKUP(A803,'BBT3'!A:F,3,0),"")</f>
        <v/>
      </c>
      <c r="D803" s="5" t="str">
        <f>IF(NOT(ISBLANK(A803)),VLOOKUP(A803,'BBT3'!A:F,4,1),"")</f>
        <v/>
      </c>
      <c r="E803" t="str">
        <f>IF(NOT(ISBLANK(A803)),VLOOKUP(A803,'BBT3'!A:F,5,0),"")</f>
        <v/>
      </c>
      <c r="F803" t="str">
        <f>IF(NOT(ISBLANK(A803)),VLOOKUP(A803,'BBT3'!A:F,6,0),"")</f>
        <v/>
      </c>
      <c r="G803" t="str">
        <f t="shared" si="119"/>
        <v/>
      </c>
      <c r="H803" t="str">
        <f>IF(NOT(ISBLANK(A803)),VLOOKUP(A803,'Close - PriceSaver'!A:J,5,0),"")</f>
        <v/>
      </c>
      <c r="I803" s="4" t="str" cm="1">
        <f t="array" ref="I803">IF(NOT(ISBLANK(A803)),((_xlfn.XLOOKUP(1,(_bbt3[[#All],[ID]]=A803)*(_bbt3[[#All],[METRIC_NAME]]="YLD_YTM_ASK"),_bbt3[[#All],[METRIC_VALUE]])*0.5)+(_xlfn.XLOOKUP(1,(_bbt3[[#All],[ID]]=A803)*(_bbt3[[#All],[METRIC_NAME]]="YLD_YTM_BID"),_bbt3[[#All],[METRIC_VALUE]])*0.5))/100,"")</f>
        <v/>
      </c>
      <c r="J803">
        <f>IF(ISNA(VLOOKUP(A803,'CloseDL - PriceSaverBBT3'!A:E,5,0)),0,VLOOKUP(A803,'CloseDL - PriceSaverBBT3'!A:E,5,0))</f>
        <v>0</v>
      </c>
      <c r="K803" s="7" t="str">
        <f t="shared" si="120"/>
        <v/>
      </c>
      <c r="L803" s="20">
        <f>IF(Close[[#This Row],[CreatedBy]]="MARINER\SilverAdm",1,0)</f>
        <v>1</v>
      </c>
      <c r="M803" t="str">
        <f>IF(NOT(ISBLANK(A803)),VLOOKUP(A803,'Close - PriceSaver'!A:J,6,0),"")</f>
        <v/>
      </c>
      <c r="Q803" t="e">
        <f t="shared" si="121"/>
        <v>#N/A</v>
      </c>
      <c r="R803" t="e">
        <f t="shared" si="122"/>
        <v>#N/A</v>
      </c>
      <c r="S803" t="e">
        <f t="shared" si="123"/>
        <v>#N/A</v>
      </c>
      <c r="T803" s="15" t="e">
        <f t="shared" si="125"/>
        <v>#N/A</v>
      </c>
      <c r="U803" s="18" t="e">
        <f t="shared" si="126"/>
        <v>#N/A</v>
      </c>
      <c r="V803" s="14" t="e">
        <f t="shared" si="124"/>
        <v>#N/A</v>
      </c>
      <c r="W803" s="19" t="e">
        <f t="shared" si="127"/>
        <v>#N/A</v>
      </c>
      <c r="X803" t="e">
        <f>VLOOKUP(P803,Close[[ID]:[CreatedBy]],8,0)</f>
        <v>#N/A</v>
      </c>
    </row>
    <row r="804" spans="2:24" x14ac:dyDescent="0.35">
      <c r="B804" t="str">
        <f>IF(NOT(ISBLANK(A804)),VLOOKUP(A804,'BBT3'!A:F,2,0),"")</f>
        <v/>
      </c>
      <c r="C804" t="str">
        <f>IF(NOT(ISBLANK(A804)),VLOOKUP(A804,'BBT3'!A:F,3,0),"")</f>
        <v/>
      </c>
      <c r="D804" s="5" t="str">
        <f>IF(NOT(ISBLANK(A804)),VLOOKUP(A804,'BBT3'!A:F,4,1),"")</f>
        <v/>
      </c>
      <c r="E804" t="str">
        <f>IF(NOT(ISBLANK(A804)),VLOOKUP(A804,'BBT3'!A:F,5,0),"")</f>
        <v/>
      </c>
      <c r="F804" t="str">
        <f>IF(NOT(ISBLANK(A804)),VLOOKUP(A804,'BBT3'!A:F,6,0),"")</f>
        <v/>
      </c>
      <c r="G804" t="str">
        <f t="shared" si="119"/>
        <v/>
      </c>
      <c r="H804" t="str">
        <f>IF(NOT(ISBLANK(A804)),VLOOKUP(A804,'Close - PriceSaver'!A:J,5,0),"")</f>
        <v/>
      </c>
      <c r="I804" s="4" t="str" cm="1">
        <f t="array" ref="I804">IF(NOT(ISBLANK(A804)),((_xlfn.XLOOKUP(1,(_bbt3[[#All],[ID]]=A804)*(_bbt3[[#All],[METRIC_NAME]]="YLD_YTM_ASK"),_bbt3[[#All],[METRIC_VALUE]])*0.5)+(_xlfn.XLOOKUP(1,(_bbt3[[#All],[ID]]=A804)*(_bbt3[[#All],[METRIC_NAME]]="YLD_YTM_BID"),_bbt3[[#All],[METRIC_VALUE]])*0.5))/100,"")</f>
        <v/>
      </c>
      <c r="J804">
        <f>IF(ISNA(VLOOKUP(A804,'CloseDL - PriceSaverBBT3'!A:E,5,0)),0,VLOOKUP(A804,'CloseDL - PriceSaverBBT3'!A:E,5,0))</f>
        <v>0</v>
      </c>
      <c r="K804" s="7" t="str">
        <f t="shared" si="120"/>
        <v/>
      </c>
      <c r="L804" s="20">
        <f>IF(Close[[#This Row],[CreatedBy]]="MARINER\SilverAdm",1,0)</f>
        <v>1</v>
      </c>
      <c r="M804" t="str">
        <f>IF(NOT(ISBLANK(A804)),VLOOKUP(A804,'Close - PriceSaver'!A:J,6,0),"")</f>
        <v/>
      </c>
      <c r="Q804" t="e">
        <f t="shared" si="121"/>
        <v>#N/A</v>
      </c>
      <c r="R804" t="e">
        <f t="shared" si="122"/>
        <v>#N/A</v>
      </c>
      <c r="S804" t="e">
        <f t="shared" si="123"/>
        <v>#N/A</v>
      </c>
      <c r="T804" s="15" t="e">
        <f t="shared" si="125"/>
        <v>#N/A</v>
      </c>
      <c r="U804" s="18" t="e">
        <f t="shared" si="126"/>
        <v>#N/A</v>
      </c>
      <c r="V804" s="14" t="e">
        <f t="shared" si="124"/>
        <v>#N/A</v>
      </c>
      <c r="W804" s="19" t="e">
        <f t="shared" si="127"/>
        <v>#N/A</v>
      </c>
      <c r="X804" t="e">
        <f>VLOOKUP(P804,Close[[ID]:[CreatedBy]],8,0)</f>
        <v>#N/A</v>
      </c>
    </row>
    <row r="805" spans="2:24" x14ac:dyDescent="0.35">
      <c r="B805" t="str">
        <f>IF(NOT(ISBLANK(A805)),VLOOKUP(A805,'BBT3'!A:F,2,0),"")</f>
        <v/>
      </c>
      <c r="C805" t="str">
        <f>IF(NOT(ISBLANK(A805)),VLOOKUP(A805,'BBT3'!A:F,3,0),"")</f>
        <v/>
      </c>
      <c r="D805" s="5" t="str">
        <f>IF(NOT(ISBLANK(A805)),VLOOKUP(A805,'BBT3'!A:F,4,1),"")</f>
        <v/>
      </c>
      <c r="E805" t="str">
        <f>IF(NOT(ISBLANK(A805)),VLOOKUP(A805,'BBT3'!A:F,5,0),"")</f>
        <v/>
      </c>
      <c r="F805" t="str">
        <f>IF(NOT(ISBLANK(A805)),VLOOKUP(A805,'BBT3'!A:F,6,0),"")</f>
        <v/>
      </c>
      <c r="G805" t="str">
        <f t="shared" si="119"/>
        <v/>
      </c>
      <c r="H805" t="str">
        <f>IF(NOT(ISBLANK(A805)),VLOOKUP(A805,'Close - PriceSaver'!A:J,5,0),"")</f>
        <v/>
      </c>
      <c r="I805" s="4" t="str" cm="1">
        <f t="array" ref="I805">IF(NOT(ISBLANK(A805)),((_xlfn.XLOOKUP(1,(_bbt3[[#All],[ID]]=A805)*(_bbt3[[#All],[METRIC_NAME]]="YLD_YTM_ASK"),_bbt3[[#All],[METRIC_VALUE]])*0.5)+(_xlfn.XLOOKUP(1,(_bbt3[[#All],[ID]]=A805)*(_bbt3[[#All],[METRIC_NAME]]="YLD_YTM_BID"),_bbt3[[#All],[METRIC_VALUE]])*0.5))/100,"")</f>
        <v/>
      </c>
      <c r="J805">
        <f>IF(ISNA(VLOOKUP(A805,'CloseDL - PriceSaverBBT3'!A:E,5,0)),0,VLOOKUP(A805,'CloseDL - PriceSaverBBT3'!A:E,5,0))</f>
        <v>0</v>
      </c>
      <c r="K805" s="7" t="str">
        <f t="shared" si="120"/>
        <v/>
      </c>
      <c r="L805" s="20">
        <f>IF(Close[[#This Row],[CreatedBy]]="MARINER\SilverAdm",1,0)</f>
        <v>1</v>
      </c>
      <c r="M805" t="str">
        <f>IF(NOT(ISBLANK(A805)),VLOOKUP(A805,'Close - PriceSaver'!A:J,6,0),"")</f>
        <v/>
      </c>
      <c r="Q805" t="e">
        <f t="shared" si="121"/>
        <v>#N/A</v>
      </c>
      <c r="R805" t="e">
        <f t="shared" si="122"/>
        <v>#N/A</v>
      </c>
      <c r="S805" t="e">
        <f t="shared" si="123"/>
        <v>#N/A</v>
      </c>
      <c r="T805" s="15" t="e">
        <f t="shared" si="125"/>
        <v>#N/A</v>
      </c>
      <c r="U805" s="18" t="e">
        <f t="shared" si="126"/>
        <v>#N/A</v>
      </c>
      <c r="V805" s="14" t="e">
        <f t="shared" si="124"/>
        <v>#N/A</v>
      </c>
      <c r="W805" s="19" t="e">
        <f t="shared" si="127"/>
        <v>#N/A</v>
      </c>
      <c r="X805" t="e">
        <f>VLOOKUP(P805,Close[[ID]:[CreatedBy]],8,0)</f>
        <v>#N/A</v>
      </c>
    </row>
    <row r="806" spans="2:24" x14ac:dyDescent="0.35">
      <c r="B806" t="str">
        <f>IF(NOT(ISBLANK(A806)),VLOOKUP(A806,'BBT3'!A:F,2,0),"")</f>
        <v/>
      </c>
      <c r="C806" t="str">
        <f>IF(NOT(ISBLANK(A806)),VLOOKUP(A806,'BBT3'!A:F,3,0),"")</f>
        <v/>
      </c>
      <c r="D806" s="5" t="str">
        <f>IF(NOT(ISBLANK(A806)),VLOOKUP(A806,'BBT3'!A:F,4,1),"")</f>
        <v/>
      </c>
      <c r="E806" t="str">
        <f>IF(NOT(ISBLANK(A806)),VLOOKUP(A806,'BBT3'!A:F,5,0),"")</f>
        <v/>
      </c>
      <c r="F806" t="str">
        <f>IF(NOT(ISBLANK(A806)),VLOOKUP(A806,'BBT3'!A:F,6,0),"")</f>
        <v/>
      </c>
      <c r="G806" t="str">
        <f t="shared" si="119"/>
        <v/>
      </c>
      <c r="H806" t="str">
        <f>IF(NOT(ISBLANK(A806)),VLOOKUP(A806,'Close - PriceSaver'!A:J,5,0),"")</f>
        <v/>
      </c>
      <c r="I806" s="4" t="str" cm="1">
        <f t="array" ref="I806">IF(NOT(ISBLANK(A806)),((_xlfn.XLOOKUP(1,(_bbt3[[#All],[ID]]=A806)*(_bbt3[[#All],[METRIC_NAME]]="YLD_YTM_ASK"),_bbt3[[#All],[METRIC_VALUE]])*0.5)+(_xlfn.XLOOKUP(1,(_bbt3[[#All],[ID]]=A806)*(_bbt3[[#All],[METRIC_NAME]]="YLD_YTM_BID"),_bbt3[[#All],[METRIC_VALUE]])*0.5))/100,"")</f>
        <v/>
      </c>
      <c r="J806">
        <f>IF(ISNA(VLOOKUP(A806,'CloseDL - PriceSaverBBT3'!A:E,5,0)),0,VLOOKUP(A806,'CloseDL - PriceSaverBBT3'!A:E,5,0))</f>
        <v>0</v>
      </c>
      <c r="K806" s="7" t="str">
        <f t="shared" si="120"/>
        <v/>
      </c>
      <c r="L806" s="20">
        <f>IF(Close[[#This Row],[CreatedBy]]="MARINER\SilverAdm",1,0)</f>
        <v>1</v>
      </c>
      <c r="M806" t="str">
        <f>IF(NOT(ISBLANK(A806)),VLOOKUP(A806,'Close - PriceSaver'!A:J,6,0),"")</f>
        <v/>
      </c>
      <c r="Q806" t="e">
        <f t="shared" si="121"/>
        <v>#N/A</v>
      </c>
      <c r="R806" t="e">
        <f t="shared" si="122"/>
        <v>#N/A</v>
      </c>
      <c r="S806" t="e">
        <f t="shared" si="123"/>
        <v>#N/A</v>
      </c>
      <c r="T806" s="15" t="e">
        <f t="shared" si="125"/>
        <v>#N/A</v>
      </c>
      <c r="U806" s="18" t="e">
        <f t="shared" si="126"/>
        <v>#N/A</v>
      </c>
      <c r="V806" s="14" t="e">
        <f t="shared" si="124"/>
        <v>#N/A</v>
      </c>
      <c r="W806" s="19" t="e">
        <f t="shared" si="127"/>
        <v>#N/A</v>
      </c>
      <c r="X806" t="e">
        <f>VLOOKUP(P806,Close[[ID]:[CreatedBy]],8,0)</f>
        <v>#N/A</v>
      </c>
    </row>
    <row r="807" spans="2:24" x14ac:dyDescent="0.35">
      <c r="B807" t="str">
        <f>IF(NOT(ISBLANK(A807)),VLOOKUP(A807,'BBT3'!A:F,2,0),"")</f>
        <v/>
      </c>
      <c r="C807" t="str">
        <f>IF(NOT(ISBLANK(A807)),VLOOKUP(A807,'BBT3'!A:F,3,0),"")</f>
        <v/>
      </c>
      <c r="D807" s="5" t="str">
        <f>IF(NOT(ISBLANK(A807)),VLOOKUP(A807,'BBT3'!A:F,4,1),"")</f>
        <v/>
      </c>
      <c r="E807" t="str">
        <f>IF(NOT(ISBLANK(A807)),VLOOKUP(A807,'BBT3'!A:F,5,0),"")</f>
        <v/>
      </c>
      <c r="F807" t="str">
        <f>IF(NOT(ISBLANK(A807)),VLOOKUP(A807,'BBT3'!A:F,6,0),"")</f>
        <v/>
      </c>
      <c r="G807" t="str">
        <f t="shared" si="119"/>
        <v/>
      </c>
      <c r="H807" t="str">
        <f>IF(NOT(ISBLANK(A807)),VLOOKUP(A807,'Close - PriceSaver'!A:J,5,0),"")</f>
        <v/>
      </c>
      <c r="I807" s="4" t="str" cm="1">
        <f t="array" ref="I807">IF(NOT(ISBLANK(A807)),((_xlfn.XLOOKUP(1,(_bbt3[[#All],[ID]]=A807)*(_bbt3[[#All],[METRIC_NAME]]="YLD_YTM_ASK"),_bbt3[[#All],[METRIC_VALUE]])*0.5)+(_xlfn.XLOOKUP(1,(_bbt3[[#All],[ID]]=A807)*(_bbt3[[#All],[METRIC_NAME]]="YLD_YTM_BID"),_bbt3[[#All],[METRIC_VALUE]])*0.5))/100,"")</f>
        <v/>
      </c>
      <c r="J807">
        <f>IF(ISNA(VLOOKUP(A807,'CloseDL - PriceSaverBBT3'!A:E,5,0)),0,VLOOKUP(A807,'CloseDL - PriceSaverBBT3'!A:E,5,0))</f>
        <v>0</v>
      </c>
      <c r="K807" s="7" t="str">
        <f t="shared" si="120"/>
        <v/>
      </c>
      <c r="L807" s="20">
        <f>IF(Close[[#This Row],[CreatedBy]]="MARINER\SilverAdm",1,0)</f>
        <v>1</v>
      </c>
      <c r="M807" t="str">
        <f>IF(NOT(ISBLANK(A807)),VLOOKUP(A807,'Close - PriceSaver'!A:J,6,0),"")</f>
        <v/>
      </c>
      <c r="Q807" t="e">
        <f t="shared" si="121"/>
        <v>#N/A</v>
      </c>
      <c r="R807" t="e">
        <f t="shared" si="122"/>
        <v>#N/A</v>
      </c>
      <c r="S807" t="e">
        <f t="shared" si="123"/>
        <v>#N/A</v>
      </c>
      <c r="T807" s="15" t="e">
        <f t="shared" si="125"/>
        <v>#N/A</v>
      </c>
      <c r="U807" s="18" t="e">
        <f t="shared" si="126"/>
        <v>#N/A</v>
      </c>
      <c r="V807" s="14" t="e">
        <f t="shared" si="124"/>
        <v>#N/A</v>
      </c>
      <c r="W807" s="19" t="e">
        <f t="shared" si="127"/>
        <v>#N/A</v>
      </c>
      <c r="X807" t="e">
        <f>VLOOKUP(P807,Close[[ID]:[CreatedBy]],8,0)</f>
        <v>#N/A</v>
      </c>
    </row>
    <row r="808" spans="2:24" x14ac:dyDescent="0.35">
      <c r="B808" t="str">
        <f>IF(NOT(ISBLANK(A808)),VLOOKUP(A808,'BBT3'!A:F,2,0),"")</f>
        <v/>
      </c>
      <c r="C808" t="str">
        <f>IF(NOT(ISBLANK(A808)),VLOOKUP(A808,'BBT3'!A:F,3,0),"")</f>
        <v/>
      </c>
      <c r="D808" s="5" t="str">
        <f>IF(NOT(ISBLANK(A808)),VLOOKUP(A808,'BBT3'!A:F,4,1),"")</f>
        <v/>
      </c>
      <c r="E808" t="str">
        <f>IF(NOT(ISBLANK(A808)),VLOOKUP(A808,'BBT3'!A:F,5,0),"")</f>
        <v/>
      </c>
      <c r="F808" t="str">
        <f>IF(NOT(ISBLANK(A808)),VLOOKUP(A808,'BBT3'!A:F,6,0),"")</f>
        <v/>
      </c>
      <c r="G808" t="str">
        <f t="shared" si="119"/>
        <v/>
      </c>
      <c r="H808" t="str">
        <f>IF(NOT(ISBLANK(A808)),VLOOKUP(A808,'Close - PriceSaver'!A:J,5,0),"")</f>
        <v/>
      </c>
      <c r="I808" s="4" t="str" cm="1">
        <f t="array" ref="I808">IF(NOT(ISBLANK(A808)),((_xlfn.XLOOKUP(1,(_bbt3[[#All],[ID]]=A808)*(_bbt3[[#All],[METRIC_NAME]]="YLD_YTM_ASK"),_bbt3[[#All],[METRIC_VALUE]])*0.5)+(_xlfn.XLOOKUP(1,(_bbt3[[#All],[ID]]=A808)*(_bbt3[[#All],[METRIC_NAME]]="YLD_YTM_BID"),_bbt3[[#All],[METRIC_VALUE]])*0.5))/100,"")</f>
        <v/>
      </c>
      <c r="J808">
        <f>IF(ISNA(VLOOKUP(A808,'CloseDL - PriceSaverBBT3'!A:E,5,0)),0,VLOOKUP(A808,'CloseDL - PriceSaverBBT3'!A:E,5,0))</f>
        <v>0</v>
      </c>
      <c r="K808" s="7" t="str">
        <f t="shared" si="120"/>
        <v/>
      </c>
      <c r="L808" s="20">
        <f>IF(Close[[#This Row],[CreatedBy]]="MARINER\SilverAdm",1,0)</f>
        <v>1</v>
      </c>
      <c r="M808" t="str">
        <f>IF(NOT(ISBLANK(A808)),VLOOKUP(A808,'Close - PriceSaver'!A:J,6,0),"")</f>
        <v/>
      </c>
      <c r="Q808" t="e">
        <f t="shared" si="121"/>
        <v>#N/A</v>
      </c>
      <c r="R808" t="e">
        <f t="shared" si="122"/>
        <v>#N/A</v>
      </c>
      <c r="S808" t="e">
        <f t="shared" si="123"/>
        <v>#N/A</v>
      </c>
      <c r="T808" s="15" t="e">
        <f t="shared" si="125"/>
        <v>#N/A</v>
      </c>
      <c r="U808" s="18" t="e">
        <f t="shared" si="126"/>
        <v>#N/A</v>
      </c>
      <c r="V808" s="14" t="e">
        <f t="shared" si="124"/>
        <v>#N/A</v>
      </c>
      <c r="W808" s="19" t="e">
        <f t="shared" si="127"/>
        <v>#N/A</v>
      </c>
      <c r="X808" t="e">
        <f>VLOOKUP(P808,Close[[ID]:[CreatedBy]],8,0)</f>
        <v>#N/A</v>
      </c>
    </row>
    <row r="809" spans="2:24" x14ac:dyDescent="0.35">
      <c r="B809" t="str">
        <f>IF(NOT(ISBLANK(A809)),VLOOKUP(A809,'BBT3'!A:F,2,0),"")</f>
        <v/>
      </c>
      <c r="C809" t="str">
        <f>IF(NOT(ISBLANK(A809)),VLOOKUP(A809,'BBT3'!A:F,3,0),"")</f>
        <v/>
      </c>
      <c r="D809" s="5" t="str">
        <f>IF(NOT(ISBLANK(A809)),VLOOKUP(A809,'BBT3'!A:F,4,1),"")</f>
        <v/>
      </c>
      <c r="E809" t="str">
        <f>IF(NOT(ISBLANK(A809)),VLOOKUP(A809,'BBT3'!A:F,5,0),"")</f>
        <v/>
      </c>
      <c r="F809" t="str">
        <f>IF(NOT(ISBLANK(A809)),VLOOKUP(A809,'BBT3'!A:F,6,0),"")</f>
        <v/>
      </c>
      <c r="G809" t="str">
        <f t="shared" si="119"/>
        <v/>
      </c>
      <c r="H809" t="str">
        <f>IF(NOT(ISBLANK(A809)),VLOOKUP(A809,'Close - PriceSaver'!A:J,5,0),"")</f>
        <v/>
      </c>
      <c r="I809" s="4" t="str" cm="1">
        <f t="array" ref="I809">IF(NOT(ISBLANK(A809)),((_xlfn.XLOOKUP(1,(_bbt3[[#All],[ID]]=A809)*(_bbt3[[#All],[METRIC_NAME]]="YLD_YTM_ASK"),_bbt3[[#All],[METRIC_VALUE]])*0.5)+(_xlfn.XLOOKUP(1,(_bbt3[[#All],[ID]]=A809)*(_bbt3[[#All],[METRIC_NAME]]="YLD_YTM_BID"),_bbt3[[#All],[METRIC_VALUE]])*0.5))/100,"")</f>
        <v/>
      </c>
      <c r="J809">
        <f>IF(ISNA(VLOOKUP(A809,'CloseDL - PriceSaverBBT3'!A:E,5,0)),0,VLOOKUP(A809,'CloseDL - PriceSaverBBT3'!A:E,5,0))</f>
        <v>0</v>
      </c>
      <c r="K809" s="7" t="str">
        <f t="shared" si="120"/>
        <v/>
      </c>
      <c r="L809" s="20">
        <f>IF(Close[[#This Row],[CreatedBy]]="MARINER\SilverAdm",1,0)</f>
        <v>1</v>
      </c>
      <c r="M809" t="str">
        <f>IF(NOT(ISBLANK(A809)),VLOOKUP(A809,'Close - PriceSaver'!A:J,6,0),"")</f>
        <v/>
      </c>
      <c r="Q809" t="e">
        <f t="shared" si="121"/>
        <v>#N/A</v>
      </c>
      <c r="R809" t="e">
        <f t="shared" si="122"/>
        <v>#N/A</v>
      </c>
      <c r="S809" t="e">
        <f t="shared" si="123"/>
        <v>#N/A</v>
      </c>
      <c r="T809" s="15" t="e">
        <f t="shared" si="125"/>
        <v>#N/A</v>
      </c>
      <c r="U809" s="18" t="e">
        <f t="shared" si="126"/>
        <v>#N/A</v>
      </c>
      <c r="V809" s="14" t="e">
        <f t="shared" si="124"/>
        <v>#N/A</v>
      </c>
      <c r="W809" s="19" t="e">
        <f t="shared" si="127"/>
        <v>#N/A</v>
      </c>
      <c r="X809" t="e">
        <f>VLOOKUP(P809,Close[[ID]:[CreatedBy]],8,0)</f>
        <v>#N/A</v>
      </c>
    </row>
    <row r="810" spans="2:24" x14ac:dyDescent="0.35">
      <c r="B810" t="str">
        <f>IF(NOT(ISBLANK(A810)),VLOOKUP(A810,'BBT3'!A:F,2,0),"")</f>
        <v/>
      </c>
      <c r="C810" t="str">
        <f>IF(NOT(ISBLANK(A810)),VLOOKUP(A810,'BBT3'!A:F,3,0),"")</f>
        <v/>
      </c>
      <c r="D810" s="5" t="str">
        <f>IF(NOT(ISBLANK(A810)),VLOOKUP(A810,'BBT3'!A:F,4,1),"")</f>
        <v/>
      </c>
      <c r="E810" t="str">
        <f>IF(NOT(ISBLANK(A810)),VLOOKUP(A810,'BBT3'!A:F,5,0),"")</f>
        <v/>
      </c>
      <c r="F810" t="str">
        <f>IF(NOT(ISBLANK(A810)),VLOOKUP(A810,'BBT3'!A:F,6,0),"")</f>
        <v/>
      </c>
      <c r="G810" t="str">
        <f t="shared" si="119"/>
        <v/>
      </c>
      <c r="H810" t="str">
        <f>IF(NOT(ISBLANK(A810)),VLOOKUP(A810,'Close - PriceSaver'!A:J,5,0),"")</f>
        <v/>
      </c>
      <c r="I810" s="4" t="str" cm="1">
        <f t="array" ref="I810">IF(NOT(ISBLANK(A810)),((_xlfn.XLOOKUP(1,(_bbt3[[#All],[ID]]=A810)*(_bbt3[[#All],[METRIC_NAME]]="YLD_YTM_ASK"),_bbt3[[#All],[METRIC_VALUE]])*0.5)+(_xlfn.XLOOKUP(1,(_bbt3[[#All],[ID]]=A810)*(_bbt3[[#All],[METRIC_NAME]]="YLD_YTM_BID"),_bbt3[[#All],[METRIC_VALUE]])*0.5))/100,"")</f>
        <v/>
      </c>
      <c r="J810">
        <f>IF(ISNA(VLOOKUP(A810,'CloseDL - PriceSaverBBT3'!A:E,5,0)),0,VLOOKUP(A810,'CloseDL - PriceSaverBBT3'!A:E,5,0))</f>
        <v>0</v>
      </c>
      <c r="K810" s="7" t="str">
        <f t="shared" si="120"/>
        <v/>
      </c>
      <c r="L810" s="20">
        <f>IF(Close[[#This Row],[CreatedBy]]="MARINER\SilverAdm",1,0)</f>
        <v>1</v>
      </c>
      <c r="M810" t="str">
        <f>IF(NOT(ISBLANK(A810)),VLOOKUP(A810,'Close - PriceSaver'!A:J,6,0),"")</f>
        <v/>
      </c>
      <c r="Q810" t="e">
        <f t="shared" si="121"/>
        <v>#N/A</v>
      </c>
      <c r="R810" t="e">
        <f t="shared" si="122"/>
        <v>#N/A</v>
      </c>
      <c r="S810" t="e">
        <f t="shared" si="123"/>
        <v>#N/A</v>
      </c>
      <c r="T810" s="15" t="e">
        <f t="shared" si="125"/>
        <v>#N/A</v>
      </c>
      <c r="U810" s="18" t="e">
        <f t="shared" si="126"/>
        <v>#N/A</v>
      </c>
      <c r="V810" s="14" t="e">
        <f t="shared" si="124"/>
        <v>#N/A</v>
      </c>
      <c r="W810" s="19" t="e">
        <f t="shared" si="127"/>
        <v>#N/A</v>
      </c>
      <c r="X810" t="e">
        <f>VLOOKUP(P810,Close[[ID]:[CreatedBy]],8,0)</f>
        <v>#N/A</v>
      </c>
    </row>
    <row r="811" spans="2:24" x14ac:dyDescent="0.35">
      <c r="B811" t="str">
        <f>IF(NOT(ISBLANK(A811)),VLOOKUP(A811,'BBT3'!A:F,2,0),"")</f>
        <v/>
      </c>
      <c r="C811" t="str">
        <f>IF(NOT(ISBLANK(A811)),VLOOKUP(A811,'BBT3'!A:F,3,0),"")</f>
        <v/>
      </c>
      <c r="D811" s="5" t="str">
        <f>IF(NOT(ISBLANK(A811)),VLOOKUP(A811,'BBT3'!A:F,4,1),"")</f>
        <v/>
      </c>
      <c r="E811" t="str">
        <f>IF(NOT(ISBLANK(A811)),VLOOKUP(A811,'BBT3'!A:F,5,0),"")</f>
        <v/>
      </c>
      <c r="F811" t="str">
        <f>IF(NOT(ISBLANK(A811)),VLOOKUP(A811,'BBT3'!A:F,6,0),"")</f>
        <v/>
      </c>
      <c r="G811" t="str">
        <f t="shared" si="119"/>
        <v/>
      </c>
      <c r="H811" t="str">
        <f>IF(NOT(ISBLANK(A811)),VLOOKUP(A811,'Close - PriceSaver'!A:J,5,0),"")</f>
        <v/>
      </c>
      <c r="I811" s="4" t="str" cm="1">
        <f t="array" ref="I811">IF(NOT(ISBLANK(A811)),((_xlfn.XLOOKUP(1,(_bbt3[[#All],[ID]]=A811)*(_bbt3[[#All],[METRIC_NAME]]="YLD_YTM_ASK"),_bbt3[[#All],[METRIC_VALUE]])*0.5)+(_xlfn.XLOOKUP(1,(_bbt3[[#All],[ID]]=A811)*(_bbt3[[#All],[METRIC_NAME]]="YLD_YTM_BID"),_bbt3[[#All],[METRIC_VALUE]])*0.5))/100,"")</f>
        <v/>
      </c>
      <c r="J811">
        <f>IF(ISNA(VLOOKUP(A811,'CloseDL - PriceSaverBBT3'!A:E,5,0)),0,VLOOKUP(A811,'CloseDL - PriceSaverBBT3'!A:E,5,0))</f>
        <v>0</v>
      </c>
      <c r="K811" s="7" t="str">
        <f t="shared" si="120"/>
        <v/>
      </c>
      <c r="L811" s="20">
        <f>IF(Close[[#This Row],[CreatedBy]]="MARINER\SilverAdm",1,0)</f>
        <v>1</v>
      </c>
      <c r="M811" t="str">
        <f>IF(NOT(ISBLANK(A811)),VLOOKUP(A811,'Close - PriceSaver'!A:J,6,0),"")</f>
        <v/>
      </c>
      <c r="Q811" t="e">
        <f t="shared" si="121"/>
        <v>#N/A</v>
      </c>
      <c r="R811" t="e">
        <f t="shared" si="122"/>
        <v>#N/A</v>
      </c>
      <c r="S811" t="e">
        <f t="shared" si="123"/>
        <v>#N/A</v>
      </c>
      <c r="T811" s="15" t="e">
        <f t="shared" si="125"/>
        <v>#N/A</v>
      </c>
      <c r="U811" s="18" t="e">
        <f t="shared" si="126"/>
        <v>#N/A</v>
      </c>
      <c r="V811" s="14" t="e">
        <f t="shared" si="124"/>
        <v>#N/A</v>
      </c>
      <c r="W811" s="19" t="e">
        <f t="shared" si="127"/>
        <v>#N/A</v>
      </c>
      <c r="X811" t="e">
        <f>VLOOKUP(P811,Close[[ID]:[CreatedBy]],8,0)</f>
        <v>#N/A</v>
      </c>
    </row>
    <row r="812" spans="2:24" x14ac:dyDescent="0.35">
      <c r="B812" t="str">
        <f>IF(NOT(ISBLANK(A812)),VLOOKUP(A812,'BBT3'!A:F,2,0),"")</f>
        <v/>
      </c>
      <c r="C812" t="str">
        <f>IF(NOT(ISBLANK(A812)),VLOOKUP(A812,'BBT3'!A:F,3,0),"")</f>
        <v/>
      </c>
      <c r="D812" s="5" t="str">
        <f>IF(NOT(ISBLANK(A812)),VLOOKUP(A812,'BBT3'!A:F,4,1),"")</f>
        <v/>
      </c>
      <c r="E812" t="str">
        <f>IF(NOT(ISBLANK(A812)),VLOOKUP(A812,'BBT3'!A:F,5,0),"")</f>
        <v/>
      </c>
      <c r="F812" t="str">
        <f>IF(NOT(ISBLANK(A812)),VLOOKUP(A812,'BBT3'!A:F,6,0),"")</f>
        <v/>
      </c>
      <c r="G812" t="str">
        <f t="shared" si="119"/>
        <v/>
      </c>
      <c r="H812" t="str">
        <f>IF(NOT(ISBLANK(A812)),VLOOKUP(A812,'Close - PriceSaver'!A:J,5,0),"")</f>
        <v/>
      </c>
      <c r="I812" s="4" t="str" cm="1">
        <f t="array" ref="I812">IF(NOT(ISBLANK(A812)),((_xlfn.XLOOKUP(1,(_bbt3[[#All],[ID]]=A812)*(_bbt3[[#All],[METRIC_NAME]]="YLD_YTM_ASK"),_bbt3[[#All],[METRIC_VALUE]])*0.5)+(_xlfn.XLOOKUP(1,(_bbt3[[#All],[ID]]=A812)*(_bbt3[[#All],[METRIC_NAME]]="YLD_YTM_BID"),_bbt3[[#All],[METRIC_VALUE]])*0.5))/100,"")</f>
        <v/>
      </c>
      <c r="J812">
        <f>IF(ISNA(VLOOKUP(A812,'CloseDL - PriceSaverBBT3'!A:E,5,0)),0,VLOOKUP(A812,'CloseDL - PriceSaverBBT3'!A:E,5,0))</f>
        <v>0</v>
      </c>
      <c r="K812" s="7" t="str">
        <f t="shared" si="120"/>
        <v/>
      </c>
      <c r="L812" s="20">
        <f>IF(Close[[#This Row],[CreatedBy]]="MARINER\SilverAdm",1,0)</f>
        <v>1</v>
      </c>
      <c r="M812" t="str">
        <f>IF(NOT(ISBLANK(A812)),VLOOKUP(A812,'Close - PriceSaver'!A:J,6,0),"")</f>
        <v/>
      </c>
      <c r="Q812" t="e">
        <f t="shared" si="121"/>
        <v>#N/A</v>
      </c>
      <c r="R812" t="e">
        <f t="shared" si="122"/>
        <v>#N/A</v>
      </c>
      <c r="S812" t="e">
        <f t="shared" si="123"/>
        <v>#N/A</v>
      </c>
      <c r="T812" s="15" t="e">
        <f t="shared" si="125"/>
        <v>#N/A</v>
      </c>
      <c r="U812" s="18" t="e">
        <f t="shared" si="126"/>
        <v>#N/A</v>
      </c>
      <c r="V812" s="14" t="e">
        <f t="shared" si="124"/>
        <v>#N/A</v>
      </c>
      <c r="W812" s="19" t="e">
        <f t="shared" si="127"/>
        <v>#N/A</v>
      </c>
      <c r="X812" t="e">
        <f>VLOOKUP(P812,Close[[ID]:[CreatedBy]],8,0)</f>
        <v>#N/A</v>
      </c>
    </row>
    <row r="813" spans="2:24" x14ac:dyDescent="0.35">
      <c r="B813" t="str">
        <f>IF(NOT(ISBLANK(A813)),VLOOKUP(A813,'BBT3'!A:F,2,0),"")</f>
        <v/>
      </c>
      <c r="C813" t="str">
        <f>IF(NOT(ISBLANK(A813)),VLOOKUP(A813,'BBT3'!A:F,3,0),"")</f>
        <v/>
      </c>
      <c r="D813" s="5" t="str">
        <f>IF(NOT(ISBLANK(A813)),VLOOKUP(A813,'BBT3'!A:F,4,1),"")</f>
        <v/>
      </c>
      <c r="E813" t="str">
        <f>IF(NOT(ISBLANK(A813)),VLOOKUP(A813,'BBT3'!A:F,5,0),"")</f>
        <v/>
      </c>
      <c r="F813" t="str">
        <f>IF(NOT(ISBLANK(A813)),VLOOKUP(A813,'BBT3'!A:F,6,0),"")</f>
        <v/>
      </c>
      <c r="G813" t="str">
        <f t="shared" si="119"/>
        <v/>
      </c>
      <c r="H813" t="str">
        <f>IF(NOT(ISBLANK(A813)),VLOOKUP(A813,'Close - PriceSaver'!A:J,5,0),"")</f>
        <v/>
      </c>
      <c r="I813" s="4" t="str" cm="1">
        <f t="array" ref="I813">IF(NOT(ISBLANK(A813)),((_xlfn.XLOOKUP(1,(_bbt3[[#All],[ID]]=A813)*(_bbt3[[#All],[METRIC_NAME]]="YLD_YTM_ASK"),_bbt3[[#All],[METRIC_VALUE]])*0.5)+(_xlfn.XLOOKUP(1,(_bbt3[[#All],[ID]]=A813)*(_bbt3[[#All],[METRIC_NAME]]="YLD_YTM_BID"),_bbt3[[#All],[METRIC_VALUE]])*0.5))/100,"")</f>
        <v/>
      </c>
      <c r="J813">
        <f>IF(ISNA(VLOOKUP(A813,'CloseDL - PriceSaverBBT3'!A:E,5,0)),0,VLOOKUP(A813,'CloseDL - PriceSaverBBT3'!A:E,5,0))</f>
        <v>0</v>
      </c>
      <c r="K813" s="7" t="str">
        <f t="shared" si="120"/>
        <v/>
      </c>
      <c r="L813" s="20">
        <f>IF(Close[[#This Row],[CreatedBy]]="MARINER\SilverAdm",1,0)</f>
        <v>1</v>
      </c>
      <c r="M813" t="str">
        <f>IF(NOT(ISBLANK(A813)),VLOOKUP(A813,'Close - PriceSaver'!A:J,6,0),"")</f>
        <v/>
      </c>
      <c r="Q813" t="e">
        <f t="shared" si="121"/>
        <v>#N/A</v>
      </c>
      <c r="R813" t="e">
        <f t="shared" si="122"/>
        <v>#N/A</v>
      </c>
      <c r="S813" t="e">
        <f t="shared" si="123"/>
        <v>#N/A</v>
      </c>
      <c r="T813" s="15" t="e">
        <f t="shared" si="125"/>
        <v>#N/A</v>
      </c>
      <c r="U813" s="18" t="e">
        <f t="shared" si="126"/>
        <v>#N/A</v>
      </c>
      <c r="V813" s="14" t="e">
        <f t="shared" si="124"/>
        <v>#N/A</v>
      </c>
      <c r="W813" s="19" t="e">
        <f t="shared" si="127"/>
        <v>#N/A</v>
      </c>
      <c r="X813" t="e">
        <f>VLOOKUP(P813,Close[[ID]:[CreatedBy]],8,0)</f>
        <v>#N/A</v>
      </c>
    </row>
    <row r="814" spans="2:24" x14ac:dyDescent="0.35">
      <c r="B814" t="str">
        <f>IF(NOT(ISBLANK(A814)),VLOOKUP(A814,'BBT3'!A:F,2,0),"")</f>
        <v/>
      </c>
      <c r="C814" t="str">
        <f>IF(NOT(ISBLANK(A814)),VLOOKUP(A814,'BBT3'!A:F,3,0),"")</f>
        <v/>
      </c>
      <c r="D814" s="5" t="str">
        <f>IF(NOT(ISBLANK(A814)),VLOOKUP(A814,'BBT3'!A:F,4,1),"")</f>
        <v/>
      </c>
      <c r="E814" t="str">
        <f>IF(NOT(ISBLANK(A814)),VLOOKUP(A814,'BBT3'!A:F,5,0),"")</f>
        <v/>
      </c>
      <c r="F814" t="str">
        <f>IF(NOT(ISBLANK(A814)),VLOOKUP(A814,'BBT3'!A:F,6,0),"")</f>
        <v/>
      </c>
      <c r="G814" t="str">
        <f t="shared" si="119"/>
        <v/>
      </c>
      <c r="H814" t="str">
        <f>IF(NOT(ISBLANK(A814)),VLOOKUP(A814,'Close - PriceSaver'!A:J,5,0),"")</f>
        <v/>
      </c>
      <c r="I814" s="4" t="str" cm="1">
        <f t="array" ref="I814">IF(NOT(ISBLANK(A814)),((_xlfn.XLOOKUP(1,(_bbt3[[#All],[ID]]=A814)*(_bbt3[[#All],[METRIC_NAME]]="YLD_YTM_ASK"),_bbt3[[#All],[METRIC_VALUE]])*0.5)+(_xlfn.XLOOKUP(1,(_bbt3[[#All],[ID]]=A814)*(_bbt3[[#All],[METRIC_NAME]]="YLD_YTM_BID"),_bbt3[[#All],[METRIC_VALUE]])*0.5))/100,"")</f>
        <v/>
      </c>
      <c r="J814">
        <f>IF(ISNA(VLOOKUP(A814,'CloseDL - PriceSaverBBT3'!A:E,5,0)),0,VLOOKUP(A814,'CloseDL - PriceSaverBBT3'!A:E,5,0))</f>
        <v>0</v>
      </c>
      <c r="K814" s="7" t="str">
        <f t="shared" si="120"/>
        <v/>
      </c>
      <c r="L814" s="20">
        <f>IF(Close[[#This Row],[CreatedBy]]="MARINER\SilverAdm",1,0)</f>
        <v>1</v>
      </c>
      <c r="M814" t="str">
        <f>IF(NOT(ISBLANK(A814)),VLOOKUP(A814,'Close - PriceSaver'!A:J,6,0),"")</f>
        <v/>
      </c>
      <c r="Q814" t="e">
        <f t="shared" si="121"/>
        <v>#N/A</v>
      </c>
      <c r="R814" t="e">
        <f t="shared" si="122"/>
        <v>#N/A</v>
      </c>
      <c r="S814" t="e">
        <f t="shared" si="123"/>
        <v>#N/A</v>
      </c>
      <c r="T814" s="15" t="e">
        <f t="shared" si="125"/>
        <v>#N/A</v>
      </c>
      <c r="U814" s="18" t="e">
        <f t="shared" si="126"/>
        <v>#N/A</v>
      </c>
      <c r="V814" s="14" t="e">
        <f t="shared" si="124"/>
        <v>#N/A</v>
      </c>
      <c r="W814" s="19" t="e">
        <f t="shared" si="127"/>
        <v>#N/A</v>
      </c>
      <c r="X814" t="e">
        <f>VLOOKUP(P814,Close[[ID]:[CreatedBy]],8,0)</f>
        <v>#N/A</v>
      </c>
    </row>
    <row r="815" spans="2:24" x14ac:dyDescent="0.35">
      <c r="B815" t="str">
        <f>IF(NOT(ISBLANK(A815)),VLOOKUP(A815,'BBT3'!A:F,2,0),"")</f>
        <v/>
      </c>
      <c r="C815" t="str">
        <f>IF(NOT(ISBLANK(A815)),VLOOKUP(A815,'BBT3'!A:F,3,0),"")</f>
        <v/>
      </c>
      <c r="D815" s="5" t="str">
        <f>IF(NOT(ISBLANK(A815)),VLOOKUP(A815,'BBT3'!A:F,4,1),"")</f>
        <v/>
      </c>
      <c r="E815" t="str">
        <f>IF(NOT(ISBLANK(A815)),VLOOKUP(A815,'BBT3'!A:F,5,0),"")</f>
        <v/>
      </c>
      <c r="F815" t="str">
        <f>IF(NOT(ISBLANK(A815)),VLOOKUP(A815,'BBT3'!A:F,6,0),"")</f>
        <v/>
      </c>
      <c r="G815" t="str">
        <f t="shared" si="119"/>
        <v/>
      </c>
      <c r="H815" t="str">
        <f>IF(NOT(ISBLANK(A815)),VLOOKUP(A815,'Close - PriceSaver'!A:J,5,0),"")</f>
        <v/>
      </c>
      <c r="I815" s="4" t="str" cm="1">
        <f t="array" ref="I815">IF(NOT(ISBLANK(A815)),((_xlfn.XLOOKUP(1,(_bbt3[[#All],[ID]]=A815)*(_bbt3[[#All],[METRIC_NAME]]="YLD_YTM_ASK"),_bbt3[[#All],[METRIC_VALUE]])*0.5)+(_xlfn.XLOOKUP(1,(_bbt3[[#All],[ID]]=A815)*(_bbt3[[#All],[METRIC_NAME]]="YLD_YTM_BID"),_bbt3[[#All],[METRIC_VALUE]])*0.5))/100,"")</f>
        <v/>
      </c>
      <c r="J815">
        <f>IF(ISNA(VLOOKUP(A815,'CloseDL - PriceSaverBBT3'!A:E,5,0)),0,VLOOKUP(A815,'CloseDL - PriceSaverBBT3'!A:E,5,0))</f>
        <v>0</v>
      </c>
      <c r="K815" s="7" t="str">
        <f t="shared" si="120"/>
        <v/>
      </c>
      <c r="L815" s="20">
        <f>IF(Close[[#This Row],[CreatedBy]]="MARINER\SilverAdm",1,0)</f>
        <v>1</v>
      </c>
      <c r="M815" t="str">
        <f>IF(NOT(ISBLANK(A815)),VLOOKUP(A815,'Close - PriceSaver'!A:J,6,0),"")</f>
        <v/>
      </c>
      <c r="Q815" t="e">
        <f t="shared" si="121"/>
        <v>#N/A</v>
      </c>
      <c r="R815" t="e">
        <f t="shared" si="122"/>
        <v>#N/A</v>
      </c>
      <c r="S815" t="e">
        <f t="shared" si="123"/>
        <v>#N/A</v>
      </c>
      <c r="T815" s="15" t="e">
        <f t="shared" si="125"/>
        <v>#N/A</v>
      </c>
      <c r="U815" s="18" t="e">
        <f t="shared" si="126"/>
        <v>#N/A</v>
      </c>
      <c r="V815" s="14" t="e">
        <f t="shared" si="124"/>
        <v>#N/A</v>
      </c>
      <c r="W815" s="19" t="e">
        <f t="shared" si="127"/>
        <v>#N/A</v>
      </c>
      <c r="X815" t="e">
        <f>VLOOKUP(P815,Close[[ID]:[CreatedBy]],8,0)</f>
        <v>#N/A</v>
      </c>
    </row>
    <row r="816" spans="2:24" x14ac:dyDescent="0.35">
      <c r="B816" t="str">
        <f>IF(NOT(ISBLANK(A816)),VLOOKUP(A816,'BBT3'!A:F,2,0),"")</f>
        <v/>
      </c>
      <c r="C816" t="str">
        <f>IF(NOT(ISBLANK(A816)),VLOOKUP(A816,'BBT3'!A:F,3,0),"")</f>
        <v/>
      </c>
      <c r="D816" s="5" t="str">
        <f>IF(NOT(ISBLANK(A816)),VLOOKUP(A816,'BBT3'!A:F,4,1),"")</f>
        <v/>
      </c>
      <c r="E816" t="str">
        <f>IF(NOT(ISBLANK(A816)),VLOOKUP(A816,'BBT3'!A:F,5,0),"")</f>
        <v/>
      </c>
      <c r="F816" t="str">
        <f>IF(NOT(ISBLANK(A816)),VLOOKUP(A816,'BBT3'!A:F,6,0),"")</f>
        <v/>
      </c>
      <c r="G816" t="str">
        <f t="shared" si="119"/>
        <v/>
      </c>
      <c r="H816" t="str">
        <f>IF(NOT(ISBLANK(A816)),VLOOKUP(A816,'Close - PriceSaver'!A:J,5,0),"")</f>
        <v/>
      </c>
      <c r="I816" s="4" t="str" cm="1">
        <f t="array" ref="I816">IF(NOT(ISBLANK(A816)),((_xlfn.XLOOKUP(1,(_bbt3[[#All],[ID]]=A816)*(_bbt3[[#All],[METRIC_NAME]]="YLD_YTM_ASK"),_bbt3[[#All],[METRIC_VALUE]])*0.5)+(_xlfn.XLOOKUP(1,(_bbt3[[#All],[ID]]=A816)*(_bbt3[[#All],[METRIC_NAME]]="YLD_YTM_BID"),_bbt3[[#All],[METRIC_VALUE]])*0.5))/100,"")</f>
        <v/>
      </c>
      <c r="J816">
        <f>IF(ISNA(VLOOKUP(A816,'CloseDL - PriceSaverBBT3'!A:E,5,0)),0,VLOOKUP(A816,'CloseDL - PriceSaverBBT3'!A:E,5,0))</f>
        <v>0</v>
      </c>
      <c r="K816" s="7" t="str">
        <f t="shared" si="120"/>
        <v/>
      </c>
      <c r="L816" s="20">
        <f>IF(Close[[#This Row],[CreatedBy]]="MARINER\SilverAdm",1,0)</f>
        <v>1</v>
      </c>
      <c r="M816" t="str">
        <f>IF(NOT(ISBLANK(A816)),VLOOKUP(A816,'Close - PriceSaver'!A:J,6,0),"")</f>
        <v/>
      </c>
      <c r="Q816" t="e">
        <f t="shared" si="121"/>
        <v>#N/A</v>
      </c>
      <c r="R816" t="e">
        <f t="shared" si="122"/>
        <v>#N/A</v>
      </c>
      <c r="S816" t="e">
        <f t="shared" si="123"/>
        <v>#N/A</v>
      </c>
      <c r="T816" s="15" t="e">
        <f t="shared" si="125"/>
        <v>#N/A</v>
      </c>
      <c r="U816" s="18" t="e">
        <f t="shared" si="126"/>
        <v>#N/A</v>
      </c>
      <c r="V816" s="14" t="e">
        <f t="shared" si="124"/>
        <v>#N/A</v>
      </c>
      <c r="W816" s="19" t="e">
        <f t="shared" si="127"/>
        <v>#N/A</v>
      </c>
      <c r="X816" t="e">
        <f>VLOOKUP(P816,Close[[ID]:[CreatedBy]],8,0)</f>
        <v>#N/A</v>
      </c>
    </row>
    <row r="817" spans="2:24" x14ac:dyDescent="0.35">
      <c r="B817" t="str">
        <f>IF(NOT(ISBLANK(A817)),VLOOKUP(A817,'BBT3'!A:F,2,0),"")</f>
        <v/>
      </c>
      <c r="C817" t="str">
        <f>IF(NOT(ISBLANK(A817)),VLOOKUP(A817,'BBT3'!A:F,3,0),"")</f>
        <v/>
      </c>
      <c r="D817" s="5" t="str">
        <f>IF(NOT(ISBLANK(A817)),VLOOKUP(A817,'BBT3'!A:F,4,1),"")</f>
        <v/>
      </c>
      <c r="E817" t="str">
        <f>IF(NOT(ISBLANK(A817)),VLOOKUP(A817,'BBT3'!A:F,5,0),"")</f>
        <v/>
      </c>
      <c r="F817" t="str">
        <f>IF(NOT(ISBLANK(A817)),VLOOKUP(A817,'BBT3'!A:F,6,0),"")</f>
        <v/>
      </c>
      <c r="G817" t="str">
        <f t="shared" si="119"/>
        <v/>
      </c>
      <c r="H817" t="str">
        <f>IF(NOT(ISBLANK(A817)),VLOOKUP(A817,'Close - PriceSaver'!A:J,5,0),"")</f>
        <v/>
      </c>
      <c r="I817" s="4" t="str" cm="1">
        <f t="array" ref="I817">IF(NOT(ISBLANK(A817)),((_xlfn.XLOOKUP(1,(_bbt3[[#All],[ID]]=A817)*(_bbt3[[#All],[METRIC_NAME]]="YLD_YTM_ASK"),_bbt3[[#All],[METRIC_VALUE]])*0.5)+(_xlfn.XLOOKUP(1,(_bbt3[[#All],[ID]]=A817)*(_bbt3[[#All],[METRIC_NAME]]="YLD_YTM_BID"),_bbt3[[#All],[METRIC_VALUE]])*0.5))/100,"")</f>
        <v/>
      </c>
      <c r="J817">
        <f>IF(ISNA(VLOOKUP(A817,'CloseDL - PriceSaverBBT3'!A:E,5,0)),0,VLOOKUP(A817,'CloseDL - PriceSaverBBT3'!A:E,5,0))</f>
        <v>0</v>
      </c>
      <c r="K817" s="7" t="str">
        <f t="shared" si="120"/>
        <v/>
      </c>
      <c r="L817" s="20">
        <f>IF(Close[[#This Row],[CreatedBy]]="MARINER\SilverAdm",1,0)</f>
        <v>1</v>
      </c>
      <c r="M817" t="str">
        <f>IF(NOT(ISBLANK(A817)),VLOOKUP(A817,'Close - PriceSaver'!A:J,6,0),"")</f>
        <v/>
      </c>
      <c r="Q817" t="e">
        <f t="shared" si="121"/>
        <v>#N/A</v>
      </c>
      <c r="R817" t="e">
        <f t="shared" si="122"/>
        <v>#N/A</v>
      </c>
      <c r="S817" t="e">
        <f t="shared" si="123"/>
        <v>#N/A</v>
      </c>
      <c r="T817" s="15" t="e">
        <f t="shared" si="125"/>
        <v>#N/A</v>
      </c>
      <c r="U817" s="18" t="e">
        <f t="shared" si="126"/>
        <v>#N/A</v>
      </c>
      <c r="V817" s="14" t="e">
        <f t="shared" si="124"/>
        <v>#N/A</v>
      </c>
      <c r="W817" s="19" t="e">
        <f t="shared" si="127"/>
        <v>#N/A</v>
      </c>
      <c r="X817" t="e">
        <f>VLOOKUP(P817,Close[[ID]:[CreatedBy]],8,0)</f>
        <v>#N/A</v>
      </c>
    </row>
    <row r="818" spans="2:24" x14ac:dyDescent="0.35">
      <c r="B818" t="str">
        <f>IF(NOT(ISBLANK(A818)),VLOOKUP(A818,'BBT3'!A:F,2,0),"")</f>
        <v/>
      </c>
      <c r="C818" t="str">
        <f>IF(NOT(ISBLANK(A818)),VLOOKUP(A818,'BBT3'!A:F,3,0),"")</f>
        <v/>
      </c>
      <c r="D818" s="5" t="str">
        <f>IF(NOT(ISBLANK(A818)),VLOOKUP(A818,'BBT3'!A:F,4,1),"")</f>
        <v/>
      </c>
      <c r="E818" t="str">
        <f>IF(NOT(ISBLANK(A818)),VLOOKUP(A818,'BBT3'!A:F,5,0),"")</f>
        <v/>
      </c>
      <c r="F818" t="str">
        <f>IF(NOT(ISBLANK(A818)),VLOOKUP(A818,'BBT3'!A:F,6,0),"")</f>
        <v/>
      </c>
      <c r="G818" t="str">
        <f t="shared" si="119"/>
        <v/>
      </c>
      <c r="H818" t="str">
        <f>IF(NOT(ISBLANK(A818)),VLOOKUP(A818,'Close - PriceSaver'!A:J,5,0),"")</f>
        <v/>
      </c>
      <c r="I818" s="4" t="str" cm="1">
        <f t="array" ref="I818">IF(NOT(ISBLANK(A818)),((_xlfn.XLOOKUP(1,(_bbt3[[#All],[ID]]=A818)*(_bbt3[[#All],[METRIC_NAME]]="YLD_YTM_ASK"),_bbt3[[#All],[METRIC_VALUE]])*0.5)+(_xlfn.XLOOKUP(1,(_bbt3[[#All],[ID]]=A818)*(_bbt3[[#All],[METRIC_NAME]]="YLD_YTM_BID"),_bbt3[[#All],[METRIC_VALUE]])*0.5))/100,"")</f>
        <v/>
      </c>
      <c r="J818">
        <f>IF(ISNA(VLOOKUP(A818,'CloseDL - PriceSaverBBT3'!A:E,5,0)),0,VLOOKUP(A818,'CloseDL - PriceSaverBBT3'!A:E,5,0))</f>
        <v>0</v>
      </c>
      <c r="K818" s="7" t="str">
        <f t="shared" si="120"/>
        <v/>
      </c>
      <c r="L818" s="20">
        <f>IF(Close[[#This Row],[CreatedBy]]="MARINER\SilverAdm",1,0)</f>
        <v>1</v>
      </c>
      <c r="M818" t="str">
        <f>IF(NOT(ISBLANK(A818)),VLOOKUP(A818,'Close - PriceSaver'!A:J,6,0),"")</f>
        <v/>
      </c>
      <c r="Q818" t="e">
        <f t="shared" si="121"/>
        <v>#N/A</v>
      </c>
      <c r="R818" t="e">
        <f t="shared" si="122"/>
        <v>#N/A</v>
      </c>
      <c r="S818" t="e">
        <f t="shared" si="123"/>
        <v>#N/A</v>
      </c>
      <c r="T818" s="15" t="e">
        <f t="shared" si="125"/>
        <v>#N/A</v>
      </c>
      <c r="U818" s="18" t="e">
        <f t="shared" si="126"/>
        <v>#N/A</v>
      </c>
      <c r="V818" s="14" t="e">
        <f t="shared" si="124"/>
        <v>#N/A</v>
      </c>
      <c r="W818" s="19" t="e">
        <f t="shared" si="127"/>
        <v>#N/A</v>
      </c>
      <c r="X818" t="e">
        <f>VLOOKUP(P818,Close[[ID]:[CreatedBy]],8,0)</f>
        <v>#N/A</v>
      </c>
    </row>
    <row r="819" spans="2:24" x14ac:dyDescent="0.35">
      <c r="B819" t="str">
        <f>IF(NOT(ISBLANK(A819)),VLOOKUP(A819,'BBT3'!A:F,2,0),"")</f>
        <v/>
      </c>
      <c r="C819" t="str">
        <f>IF(NOT(ISBLANK(A819)),VLOOKUP(A819,'BBT3'!A:F,3,0),"")</f>
        <v/>
      </c>
      <c r="D819" s="5" t="str">
        <f>IF(NOT(ISBLANK(A819)),VLOOKUP(A819,'BBT3'!A:F,4,1),"")</f>
        <v/>
      </c>
      <c r="E819" t="str">
        <f>IF(NOT(ISBLANK(A819)),VLOOKUP(A819,'BBT3'!A:F,5,0),"")</f>
        <v/>
      </c>
      <c r="F819" t="str">
        <f>IF(NOT(ISBLANK(A819)),VLOOKUP(A819,'BBT3'!A:F,6,0),"")</f>
        <v/>
      </c>
      <c r="G819" t="str">
        <f t="shared" si="119"/>
        <v/>
      </c>
      <c r="H819" t="str">
        <f>IF(NOT(ISBLANK(A819)),VLOOKUP(A819,'Close - PriceSaver'!A:J,5,0),"")</f>
        <v/>
      </c>
      <c r="I819" s="4" t="str" cm="1">
        <f t="array" ref="I819">IF(NOT(ISBLANK(A819)),((_xlfn.XLOOKUP(1,(_bbt3[[#All],[ID]]=A819)*(_bbt3[[#All],[METRIC_NAME]]="YLD_YTM_ASK"),_bbt3[[#All],[METRIC_VALUE]])*0.5)+(_xlfn.XLOOKUP(1,(_bbt3[[#All],[ID]]=A819)*(_bbt3[[#All],[METRIC_NAME]]="YLD_YTM_BID"),_bbt3[[#All],[METRIC_VALUE]])*0.5))/100,"")</f>
        <v/>
      </c>
      <c r="J819">
        <f>IF(ISNA(VLOOKUP(A819,'CloseDL - PriceSaverBBT3'!A:E,5,0)),0,VLOOKUP(A819,'CloseDL - PriceSaverBBT3'!A:E,5,0))</f>
        <v>0</v>
      </c>
      <c r="K819" s="7" t="str">
        <f t="shared" si="120"/>
        <v/>
      </c>
      <c r="L819" s="20">
        <f>IF(Close[[#This Row],[CreatedBy]]="MARINER\SilverAdm",1,0)</f>
        <v>1</v>
      </c>
      <c r="M819" t="str">
        <f>IF(NOT(ISBLANK(A819)),VLOOKUP(A819,'Close - PriceSaver'!A:J,6,0),"")</f>
        <v/>
      </c>
      <c r="Q819" t="e">
        <f t="shared" si="121"/>
        <v>#N/A</v>
      </c>
      <c r="R819" t="e">
        <f t="shared" si="122"/>
        <v>#N/A</v>
      </c>
      <c r="S819" t="e">
        <f t="shared" si="123"/>
        <v>#N/A</v>
      </c>
      <c r="T819" s="15" t="e">
        <f t="shared" si="125"/>
        <v>#N/A</v>
      </c>
      <c r="U819" s="18" t="e">
        <f t="shared" si="126"/>
        <v>#N/A</v>
      </c>
      <c r="V819" s="14" t="e">
        <f t="shared" si="124"/>
        <v>#N/A</v>
      </c>
      <c r="W819" s="19" t="e">
        <f t="shared" si="127"/>
        <v>#N/A</v>
      </c>
      <c r="X819" t="e">
        <f>VLOOKUP(P819,Close[[ID]:[CreatedBy]],8,0)</f>
        <v>#N/A</v>
      </c>
    </row>
    <row r="820" spans="2:24" x14ac:dyDescent="0.35">
      <c r="B820" t="str">
        <f>IF(NOT(ISBLANK(A820)),VLOOKUP(A820,'BBT3'!A:F,2,0),"")</f>
        <v/>
      </c>
      <c r="C820" t="str">
        <f>IF(NOT(ISBLANK(A820)),VLOOKUP(A820,'BBT3'!A:F,3,0),"")</f>
        <v/>
      </c>
      <c r="D820" s="5" t="str">
        <f>IF(NOT(ISBLANK(A820)),VLOOKUP(A820,'BBT3'!A:F,4,1),"")</f>
        <v/>
      </c>
      <c r="E820" t="str">
        <f>IF(NOT(ISBLANK(A820)),VLOOKUP(A820,'BBT3'!A:F,5,0),"")</f>
        <v/>
      </c>
      <c r="F820" t="str">
        <f>IF(NOT(ISBLANK(A820)),VLOOKUP(A820,'BBT3'!A:F,6,0),"")</f>
        <v/>
      </c>
      <c r="G820" t="str">
        <f t="shared" si="119"/>
        <v/>
      </c>
      <c r="H820" t="str">
        <f>IF(NOT(ISBLANK(A820)),VLOOKUP(A820,'Close - PriceSaver'!A:J,5,0),"")</f>
        <v/>
      </c>
      <c r="I820" s="4" t="str" cm="1">
        <f t="array" ref="I820">IF(NOT(ISBLANK(A820)),((_xlfn.XLOOKUP(1,(_bbt3[[#All],[ID]]=A820)*(_bbt3[[#All],[METRIC_NAME]]="YLD_YTM_ASK"),_bbt3[[#All],[METRIC_VALUE]])*0.5)+(_xlfn.XLOOKUP(1,(_bbt3[[#All],[ID]]=A820)*(_bbt3[[#All],[METRIC_NAME]]="YLD_YTM_BID"),_bbt3[[#All],[METRIC_VALUE]])*0.5))/100,"")</f>
        <v/>
      </c>
      <c r="J820">
        <f>IF(ISNA(VLOOKUP(A820,'CloseDL - PriceSaverBBT3'!A:E,5,0)),0,VLOOKUP(A820,'CloseDL - PriceSaverBBT3'!A:E,5,0))</f>
        <v>0</v>
      </c>
      <c r="K820" s="7" t="str">
        <f t="shared" si="120"/>
        <v/>
      </c>
      <c r="L820" s="20">
        <f>IF(Close[[#This Row],[CreatedBy]]="MARINER\SilverAdm",1,0)</f>
        <v>1</v>
      </c>
      <c r="M820" t="str">
        <f>IF(NOT(ISBLANK(A820)),VLOOKUP(A820,'Close - PriceSaver'!A:J,6,0),"")</f>
        <v/>
      </c>
      <c r="Q820" t="e">
        <f t="shared" si="121"/>
        <v>#N/A</v>
      </c>
      <c r="R820" t="e">
        <f t="shared" si="122"/>
        <v>#N/A</v>
      </c>
      <c r="S820" t="e">
        <f t="shared" si="123"/>
        <v>#N/A</v>
      </c>
      <c r="T820" s="15" t="e">
        <f t="shared" si="125"/>
        <v>#N/A</v>
      </c>
      <c r="U820" s="18" t="e">
        <f t="shared" si="126"/>
        <v>#N/A</v>
      </c>
      <c r="V820" s="14" t="e">
        <f t="shared" si="124"/>
        <v>#N/A</v>
      </c>
      <c r="W820" s="19" t="e">
        <f t="shared" si="127"/>
        <v>#N/A</v>
      </c>
      <c r="X820" t="e">
        <f>VLOOKUP(P820,Close[[ID]:[CreatedBy]],8,0)</f>
        <v>#N/A</v>
      </c>
    </row>
    <row r="821" spans="2:24" x14ac:dyDescent="0.35">
      <c r="B821" t="str">
        <f>IF(NOT(ISBLANK(A821)),VLOOKUP(A821,'BBT3'!A:F,2,0),"")</f>
        <v/>
      </c>
      <c r="C821" t="str">
        <f>IF(NOT(ISBLANK(A821)),VLOOKUP(A821,'BBT3'!A:F,3,0),"")</f>
        <v/>
      </c>
      <c r="D821" s="5" t="str">
        <f>IF(NOT(ISBLANK(A821)),VLOOKUP(A821,'BBT3'!A:F,4,1),"")</f>
        <v/>
      </c>
      <c r="E821" t="str">
        <f>IF(NOT(ISBLANK(A821)),VLOOKUP(A821,'BBT3'!A:F,5,0),"")</f>
        <v/>
      </c>
      <c r="F821" t="str">
        <f>IF(NOT(ISBLANK(A821)),VLOOKUP(A821,'BBT3'!A:F,6,0),"")</f>
        <v/>
      </c>
      <c r="G821" t="str">
        <f t="shared" si="119"/>
        <v/>
      </c>
      <c r="H821" t="str">
        <f>IF(NOT(ISBLANK(A821)),VLOOKUP(A821,'Close - PriceSaver'!A:J,5,0),"")</f>
        <v/>
      </c>
      <c r="I821" s="4" t="str" cm="1">
        <f t="array" ref="I821">IF(NOT(ISBLANK(A821)),((_xlfn.XLOOKUP(1,(_bbt3[[#All],[ID]]=A821)*(_bbt3[[#All],[METRIC_NAME]]="YLD_YTM_ASK"),_bbt3[[#All],[METRIC_VALUE]])*0.5)+(_xlfn.XLOOKUP(1,(_bbt3[[#All],[ID]]=A821)*(_bbt3[[#All],[METRIC_NAME]]="YLD_YTM_BID"),_bbt3[[#All],[METRIC_VALUE]])*0.5))/100,"")</f>
        <v/>
      </c>
      <c r="J821">
        <f>IF(ISNA(VLOOKUP(A821,'CloseDL - PriceSaverBBT3'!A:E,5,0)),0,VLOOKUP(A821,'CloseDL - PriceSaverBBT3'!A:E,5,0))</f>
        <v>0</v>
      </c>
      <c r="K821" s="7" t="str">
        <f t="shared" si="120"/>
        <v/>
      </c>
      <c r="L821" s="20">
        <f>IF(Close[[#This Row],[CreatedBy]]="MARINER\SilverAdm",1,0)</f>
        <v>1</v>
      </c>
      <c r="M821" t="str">
        <f>IF(NOT(ISBLANK(A821)),VLOOKUP(A821,'Close - PriceSaver'!A:J,6,0),"")</f>
        <v/>
      </c>
      <c r="Q821" t="e">
        <f t="shared" si="121"/>
        <v>#N/A</v>
      </c>
      <c r="R821" t="e">
        <f t="shared" si="122"/>
        <v>#N/A</v>
      </c>
      <c r="S821" t="e">
        <f t="shared" si="123"/>
        <v>#N/A</v>
      </c>
      <c r="T821" s="15" t="e">
        <f t="shared" si="125"/>
        <v>#N/A</v>
      </c>
      <c r="U821" s="18" t="e">
        <f t="shared" si="126"/>
        <v>#N/A</v>
      </c>
      <c r="V821" s="14" t="e">
        <f t="shared" si="124"/>
        <v>#N/A</v>
      </c>
      <c r="W821" s="19" t="e">
        <f t="shared" si="127"/>
        <v>#N/A</v>
      </c>
      <c r="X821" t="e">
        <f>VLOOKUP(P821,Close[[ID]:[CreatedBy]],8,0)</f>
        <v>#N/A</v>
      </c>
    </row>
    <row r="822" spans="2:24" x14ac:dyDescent="0.35">
      <c r="B822" t="str">
        <f>IF(NOT(ISBLANK(A822)),VLOOKUP(A822,'BBT3'!A:F,2,0),"")</f>
        <v/>
      </c>
      <c r="C822" t="str">
        <f>IF(NOT(ISBLANK(A822)),VLOOKUP(A822,'BBT3'!A:F,3,0),"")</f>
        <v/>
      </c>
      <c r="D822" s="5" t="str">
        <f>IF(NOT(ISBLANK(A822)),VLOOKUP(A822,'BBT3'!A:F,4,1),"")</f>
        <v/>
      </c>
      <c r="E822" t="str">
        <f>IF(NOT(ISBLANK(A822)),VLOOKUP(A822,'BBT3'!A:F,5,0),"")</f>
        <v/>
      </c>
      <c r="F822" t="str">
        <f>IF(NOT(ISBLANK(A822)),VLOOKUP(A822,'BBT3'!A:F,6,0),"")</f>
        <v/>
      </c>
      <c r="G822" t="str">
        <f t="shared" si="119"/>
        <v/>
      </c>
      <c r="H822" t="str">
        <f>IF(NOT(ISBLANK(A822)),VLOOKUP(A822,'Close - PriceSaver'!A:J,5,0),"")</f>
        <v/>
      </c>
      <c r="I822" s="4" t="str" cm="1">
        <f t="array" ref="I822">IF(NOT(ISBLANK(A822)),((_xlfn.XLOOKUP(1,(_bbt3[[#All],[ID]]=A822)*(_bbt3[[#All],[METRIC_NAME]]="YLD_YTM_ASK"),_bbt3[[#All],[METRIC_VALUE]])*0.5)+(_xlfn.XLOOKUP(1,(_bbt3[[#All],[ID]]=A822)*(_bbt3[[#All],[METRIC_NAME]]="YLD_YTM_BID"),_bbt3[[#All],[METRIC_VALUE]])*0.5))/100,"")</f>
        <v/>
      </c>
      <c r="J822">
        <f>IF(ISNA(VLOOKUP(A822,'CloseDL - PriceSaverBBT3'!A:E,5,0)),0,VLOOKUP(A822,'CloseDL - PriceSaverBBT3'!A:E,5,0))</f>
        <v>0</v>
      </c>
      <c r="K822" s="7" t="str">
        <f t="shared" si="120"/>
        <v/>
      </c>
      <c r="L822" s="20">
        <f>IF(Close[[#This Row],[CreatedBy]]="MARINER\SilverAdm",1,0)</f>
        <v>1</v>
      </c>
      <c r="M822" t="str">
        <f>IF(NOT(ISBLANK(A822)),VLOOKUP(A822,'Close - PriceSaver'!A:J,6,0),"")</f>
        <v/>
      </c>
      <c r="Q822" t="e">
        <f t="shared" si="121"/>
        <v>#N/A</v>
      </c>
      <c r="R822" t="e">
        <f t="shared" si="122"/>
        <v>#N/A</v>
      </c>
      <c r="S822" t="e">
        <f t="shared" si="123"/>
        <v>#N/A</v>
      </c>
      <c r="T822" s="15" t="e">
        <f t="shared" si="125"/>
        <v>#N/A</v>
      </c>
      <c r="U822" s="18" t="e">
        <f t="shared" si="126"/>
        <v>#N/A</v>
      </c>
      <c r="V822" s="14" t="e">
        <f t="shared" si="124"/>
        <v>#N/A</v>
      </c>
      <c r="W822" s="19" t="e">
        <f t="shared" si="127"/>
        <v>#N/A</v>
      </c>
      <c r="X822" t="e">
        <f>VLOOKUP(P822,Close[[ID]:[CreatedBy]],8,0)</f>
        <v>#N/A</v>
      </c>
    </row>
    <row r="823" spans="2:24" x14ac:dyDescent="0.35">
      <c r="B823" t="str">
        <f>IF(NOT(ISBLANK(A823)),VLOOKUP(A823,'BBT3'!A:F,2,0),"")</f>
        <v/>
      </c>
      <c r="C823" t="str">
        <f>IF(NOT(ISBLANK(A823)),VLOOKUP(A823,'BBT3'!A:F,3,0),"")</f>
        <v/>
      </c>
      <c r="D823" s="5" t="str">
        <f>IF(NOT(ISBLANK(A823)),VLOOKUP(A823,'BBT3'!A:F,4,1),"")</f>
        <v/>
      </c>
      <c r="E823" t="str">
        <f>IF(NOT(ISBLANK(A823)),VLOOKUP(A823,'BBT3'!A:F,5,0),"")</f>
        <v/>
      </c>
      <c r="F823" t="str">
        <f>IF(NOT(ISBLANK(A823)),VLOOKUP(A823,'BBT3'!A:F,6,0),"")</f>
        <v/>
      </c>
      <c r="G823" t="str">
        <f t="shared" si="119"/>
        <v/>
      </c>
      <c r="H823" t="str">
        <f>IF(NOT(ISBLANK(A823)),VLOOKUP(A823,'Close - PriceSaver'!A:J,5,0),"")</f>
        <v/>
      </c>
      <c r="I823" s="4" t="str" cm="1">
        <f t="array" ref="I823">IF(NOT(ISBLANK(A823)),((_xlfn.XLOOKUP(1,(_bbt3[[#All],[ID]]=A823)*(_bbt3[[#All],[METRIC_NAME]]="YLD_YTM_ASK"),_bbt3[[#All],[METRIC_VALUE]])*0.5)+(_xlfn.XLOOKUP(1,(_bbt3[[#All],[ID]]=A823)*(_bbt3[[#All],[METRIC_NAME]]="YLD_YTM_BID"),_bbt3[[#All],[METRIC_VALUE]])*0.5))/100,"")</f>
        <v/>
      </c>
      <c r="J823">
        <f>IF(ISNA(VLOOKUP(A823,'CloseDL - PriceSaverBBT3'!A:E,5,0)),0,VLOOKUP(A823,'CloseDL - PriceSaverBBT3'!A:E,5,0))</f>
        <v>0</v>
      </c>
      <c r="K823" s="7" t="str">
        <f t="shared" si="120"/>
        <v/>
      </c>
      <c r="L823" s="20">
        <f>IF(Close[[#This Row],[CreatedBy]]="MARINER\SilverAdm",1,0)</f>
        <v>1</v>
      </c>
      <c r="M823" t="str">
        <f>IF(NOT(ISBLANK(A823)),VLOOKUP(A823,'Close - PriceSaver'!A:J,6,0),"")</f>
        <v/>
      </c>
      <c r="Q823" t="e">
        <f t="shared" si="121"/>
        <v>#N/A</v>
      </c>
      <c r="R823" t="e">
        <f t="shared" si="122"/>
        <v>#N/A</v>
      </c>
      <c r="S823" t="e">
        <f t="shared" si="123"/>
        <v>#N/A</v>
      </c>
      <c r="T823" s="15" t="e">
        <f t="shared" si="125"/>
        <v>#N/A</v>
      </c>
      <c r="U823" s="18" t="e">
        <f t="shared" si="126"/>
        <v>#N/A</v>
      </c>
      <c r="V823" s="14" t="e">
        <f t="shared" si="124"/>
        <v>#N/A</v>
      </c>
      <c r="W823" s="19" t="e">
        <f t="shared" si="127"/>
        <v>#N/A</v>
      </c>
      <c r="X823" t="e">
        <f>VLOOKUP(P823,Close[[ID]:[CreatedBy]],8,0)</f>
        <v>#N/A</v>
      </c>
    </row>
    <row r="824" spans="2:24" x14ac:dyDescent="0.35">
      <c r="B824" t="str">
        <f>IF(NOT(ISBLANK(A824)),VLOOKUP(A824,'BBT3'!A:F,2,0),"")</f>
        <v/>
      </c>
      <c r="C824" t="str">
        <f>IF(NOT(ISBLANK(A824)),VLOOKUP(A824,'BBT3'!A:F,3,0),"")</f>
        <v/>
      </c>
      <c r="D824" s="5" t="str">
        <f>IF(NOT(ISBLANK(A824)),VLOOKUP(A824,'BBT3'!A:F,4,1),"")</f>
        <v/>
      </c>
      <c r="E824" t="str">
        <f>IF(NOT(ISBLANK(A824)),VLOOKUP(A824,'BBT3'!A:F,5,0),"")</f>
        <v/>
      </c>
      <c r="F824" t="str">
        <f>IF(NOT(ISBLANK(A824)),VLOOKUP(A824,'BBT3'!A:F,6,0),"")</f>
        <v/>
      </c>
      <c r="G824" t="str">
        <f t="shared" si="119"/>
        <v/>
      </c>
      <c r="H824" t="str">
        <f>IF(NOT(ISBLANK(A824)),VLOOKUP(A824,'Close - PriceSaver'!A:J,5,0),"")</f>
        <v/>
      </c>
      <c r="I824" s="4" t="str" cm="1">
        <f t="array" ref="I824">IF(NOT(ISBLANK(A824)),((_xlfn.XLOOKUP(1,(_bbt3[[#All],[ID]]=A824)*(_bbt3[[#All],[METRIC_NAME]]="YLD_YTM_ASK"),_bbt3[[#All],[METRIC_VALUE]])*0.5)+(_xlfn.XLOOKUP(1,(_bbt3[[#All],[ID]]=A824)*(_bbt3[[#All],[METRIC_NAME]]="YLD_YTM_BID"),_bbt3[[#All],[METRIC_VALUE]])*0.5))/100,"")</f>
        <v/>
      </c>
      <c r="J824">
        <f>IF(ISNA(VLOOKUP(A824,'CloseDL - PriceSaverBBT3'!A:E,5,0)),0,VLOOKUP(A824,'CloseDL - PriceSaverBBT3'!A:E,5,0))</f>
        <v>0</v>
      </c>
      <c r="K824" s="7" t="str">
        <f t="shared" si="120"/>
        <v/>
      </c>
      <c r="L824" s="20">
        <f>IF(Close[[#This Row],[CreatedBy]]="MARINER\SilverAdm",1,0)</f>
        <v>0</v>
      </c>
      <c r="M824" t="str">
        <f>IF(NOT(ISBLANK(A824)),VLOOKUP(A824,'Close - PriceSaver'!A:J,6,0),"")</f>
        <v/>
      </c>
      <c r="Q824" t="e">
        <f t="shared" si="121"/>
        <v>#N/A</v>
      </c>
      <c r="R824" t="e">
        <f t="shared" si="122"/>
        <v>#N/A</v>
      </c>
      <c r="S824" t="e">
        <f t="shared" si="123"/>
        <v>#N/A</v>
      </c>
      <c r="T824" s="15" t="e">
        <f t="shared" si="125"/>
        <v>#N/A</v>
      </c>
      <c r="U824" s="18" t="e">
        <f t="shared" si="126"/>
        <v>#N/A</v>
      </c>
      <c r="V824" s="14" t="e">
        <f t="shared" si="124"/>
        <v>#N/A</v>
      </c>
      <c r="W824" s="19" t="e">
        <f t="shared" si="127"/>
        <v>#N/A</v>
      </c>
      <c r="X824" t="e">
        <f>VLOOKUP(P824,Close[[ID]:[CreatedBy]],8,0)</f>
        <v>#N/A</v>
      </c>
    </row>
    <row r="825" spans="2:24" x14ac:dyDescent="0.35">
      <c r="B825" t="str">
        <f>IF(NOT(ISBLANK(A825)),VLOOKUP(A825,'BBT3'!A:F,2,0),"")</f>
        <v/>
      </c>
      <c r="C825" t="str">
        <f>IF(NOT(ISBLANK(A825)),VLOOKUP(A825,'BBT3'!A:F,3,0),"")</f>
        <v/>
      </c>
      <c r="D825" s="5" t="str">
        <f>IF(NOT(ISBLANK(A825)),VLOOKUP(A825,'BBT3'!A:F,4,1),"")</f>
        <v/>
      </c>
      <c r="E825" t="str">
        <f>IF(NOT(ISBLANK(A825)),VLOOKUP(A825,'BBT3'!A:F,5,0),"")</f>
        <v/>
      </c>
      <c r="F825" t="str">
        <f>IF(NOT(ISBLANK(A825)),VLOOKUP(A825,'BBT3'!A:F,6,0),"")</f>
        <v/>
      </c>
      <c r="G825" t="str">
        <f t="shared" si="119"/>
        <v/>
      </c>
      <c r="H825" t="str">
        <f>IF(NOT(ISBLANK(A825)),VLOOKUP(A825,'Close - PriceSaver'!A:J,5,0),"")</f>
        <v/>
      </c>
      <c r="I825" s="4" t="str" cm="1">
        <f t="array" ref="I825">IF(NOT(ISBLANK(A825)),((_xlfn.XLOOKUP(1,(_bbt3[[#All],[ID]]=A825)*(_bbt3[[#All],[METRIC_NAME]]="YLD_YTM_ASK"),_bbt3[[#All],[METRIC_VALUE]])*0.5)+(_xlfn.XLOOKUP(1,(_bbt3[[#All],[ID]]=A825)*(_bbt3[[#All],[METRIC_NAME]]="YLD_YTM_BID"),_bbt3[[#All],[METRIC_VALUE]])*0.5))/100,"")</f>
        <v/>
      </c>
      <c r="J825">
        <f>IF(ISNA(VLOOKUP(A825,'CloseDL - PriceSaverBBT3'!A:E,5,0)),0,VLOOKUP(A825,'CloseDL - PriceSaverBBT3'!A:E,5,0))</f>
        <v>0</v>
      </c>
      <c r="K825" s="7" t="str">
        <f t="shared" si="120"/>
        <v/>
      </c>
      <c r="L825" s="20">
        <f>IF(Close[[#This Row],[CreatedBy]]="MARINER\SilverAdm",1,0)</f>
        <v>1</v>
      </c>
      <c r="M825" t="str">
        <f>IF(NOT(ISBLANK(A825)),VLOOKUP(A825,'Close - PriceSaver'!A:J,6,0),"")</f>
        <v/>
      </c>
      <c r="Q825" t="e">
        <f t="shared" si="121"/>
        <v>#N/A</v>
      </c>
      <c r="R825" t="e">
        <f t="shared" si="122"/>
        <v>#N/A</v>
      </c>
      <c r="S825" t="e">
        <f t="shared" si="123"/>
        <v>#N/A</v>
      </c>
      <c r="T825" s="15" t="e">
        <f t="shared" si="125"/>
        <v>#N/A</v>
      </c>
      <c r="U825" s="18" t="e">
        <f t="shared" si="126"/>
        <v>#N/A</v>
      </c>
      <c r="V825" s="14" t="e">
        <f t="shared" si="124"/>
        <v>#N/A</v>
      </c>
      <c r="W825" s="19" t="e">
        <f t="shared" si="127"/>
        <v>#N/A</v>
      </c>
      <c r="X825" t="e">
        <f>VLOOKUP(P825,Close[[ID]:[CreatedBy]],8,0)</f>
        <v>#N/A</v>
      </c>
    </row>
    <row r="826" spans="2:24" x14ac:dyDescent="0.35">
      <c r="B826" t="str">
        <f>IF(NOT(ISBLANK(A826)),VLOOKUP(A826,'BBT3'!A:F,2,0),"")</f>
        <v/>
      </c>
      <c r="C826" t="str">
        <f>IF(NOT(ISBLANK(A826)),VLOOKUP(A826,'BBT3'!A:F,3,0),"")</f>
        <v/>
      </c>
      <c r="D826" s="5" t="str">
        <f>IF(NOT(ISBLANK(A826)),VLOOKUP(A826,'BBT3'!A:F,4,1),"")</f>
        <v/>
      </c>
      <c r="E826" t="str">
        <f>IF(NOT(ISBLANK(A826)),VLOOKUP(A826,'BBT3'!A:F,5,0),"")</f>
        <v/>
      </c>
      <c r="F826" t="str">
        <f>IF(NOT(ISBLANK(A826)),VLOOKUP(A826,'BBT3'!A:F,6,0),"")</f>
        <v/>
      </c>
      <c r="G826" t="str">
        <f t="shared" si="119"/>
        <v/>
      </c>
      <c r="H826" t="str">
        <f>IF(NOT(ISBLANK(A826)),VLOOKUP(A826,'Close - PriceSaver'!A:J,5,0),"")</f>
        <v/>
      </c>
      <c r="I826" s="4" t="str" cm="1">
        <f t="array" ref="I826">IF(NOT(ISBLANK(A826)),((_xlfn.XLOOKUP(1,(_bbt3[[#All],[ID]]=A826)*(_bbt3[[#All],[METRIC_NAME]]="YLD_YTM_ASK"),_bbt3[[#All],[METRIC_VALUE]])*0.5)+(_xlfn.XLOOKUP(1,(_bbt3[[#All],[ID]]=A826)*(_bbt3[[#All],[METRIC_NAME]]="YLD_YTM_BID"),_bbt3[[#All],[METRIC_VALUE]])*0.5))/100,"")</f>
        <v/>
      </c>
      <c r="J826">
        <f>IF(ISNA(VLOOKUP(A826,'CloseDL - PriceSaverBBT3'!A:E,5,0)),0,VLOOKUP(A826,'CloseDL - PriceSaverBBT3'!A:E,5,0))</f>
        <v>0</v>
      </c>
      <c r="K826" s="7" t="str">
        <f t="shared" si="120"/>
        <v/>
      </c>
      <c r="L826" s="20">
        <f>IF(Close[[#This Row],[CreatedBy]]="MARINER\SilverAdm",1,0)</f>
        <v>1</v>
      </c>
      <c r="M826" t="str">
        <f>IF(NOT(ISBLANK(A826)),VLOOKUP(A826,'Close - PriceSaver'!A:J,6,0),"")</f>
        <v/>
      </c>
      <c r="Q826" t="e">
        <f t="shared" si="121"/>
        <v>#N/A</v>
      </c>
      <c r="R826" t="e">
        <f t="shared" si="122"/>
        <v>#N/A</v>
      </c>
      <c r="S826" t="e">
        <f t="shared" si="123"/>
        <v>#N/A</v>
      </c>
      <c r="T826" s="15" t="e">
        <f t="shared" si="125"/>
        <v>#N/A</v>
      </c>
      <c r="U826" s="18" t="e">
        <f t="shared" si="126"/>
        <v>#N/A</v>
      </c>
      <c r="V826" s="14" t="e">
        <f t="shared" si="124"/>
        <v>#N/A</v>
      </c>
      <c r="W826" s="19" t="e">
        <f t="shared" si="127"/>
        <v>#N/A</v>
      </c>
      <c r="X826" t="e">
        <f>VLOOKUP(P826,Close[[ID]:[CreatedBy]],8,0)</f>
        <v>#N/A</v>
      </c>
    </row>
    <row r="827" spans="2:24" x14ac:dyDescent="0.35">
      <c r="B827" t="str">
        <f>IF(NOT(ISBLANK(A827)),VLOOKUP(A827,'BBT3'!A:F,2,0),"")</f>
        <v/>
      </c>
      <c r="C827" t="str">
        <f>IF(NOT(ISBLANK(A827)),VLOOKUP(A827,'BBT3'!A:F,3,0),"")</f>
        <v/>
      </c>
      <c r="D827" s="5" t="str">
        <f>IF(NOT(ISBLANK(A827)),VLOOKUP(A827,'BBT3'!A:F,4,1),"")</f>
        <v/>
      </c>
      <c r="E827" t="str">
        <f>IF(NOT(ISBLANK(A827)),VLOOKUP(A827,'BBT3'!A:F,5,0),"")</f>
        <v/>
      </c>
      <c r="F827" t="str">
        <f>IF(NOT(ISBLANK(A827)),VLOOKUP(A827,'BBT3'!A:F,6,0),"")</f>
        <v/>
      </c>
      <c r="G827" t="str">
        <f t="shared" si="119"/>
        <v/>
      </c>
      <c r="H827" t="str">
        <f>IF(NOT(ISBLANK(A827)),VLOOKUP(A827,'Close - PriceSaver'!A:J,5,0),"")</f>
        <v/>
      </c>
      <c r="I827" s="4" t="str" cm="1">
        <f t="array" ref="I827">IF(NOT(ISBLANK(A827)),((_xlfn.XLOOKUP(1,(_bbt3[[#All],[ID]]=A827)*(_bbt3[[#All],[METRIC_NAME]]="YLD_YTM_ASK"),_bbt3[[#All],[METRIC_VALUE]])*0.5)+(_xlfn.XLOOKUP(1,(_bbt3[[#All],[ID]]=A827)*(_bbt3[[#All],[METRIC_NAME]]="YLD_YTM_BID"),_bbt3[[#All],[METRIC_VALUE]])*0.5))/100,"")</f>
        <v/>
      </c>
      <c r="J827">
        <f>IF(ISNA(VLOOKUP(A827,'CloseDL - PriceSaverBBT3'!A:E,5,0)),0,VLOOKUP(A827,'CloseDL - PriceSaverBBT3'!A:E,5,0))</f>
        <v>0</v>
      </c>
      <c r="K827" s="7" t="str">
        <f t="shared" si="120"/>
        <v/>
      </c>
      <c r="L827" s="20">
        <f>IF(Close[[#This Row],[CreatedBy]]="MARINER\SilverAdm",1,0)</f>
        <v>0</v>
      </c>
      <c r="M827" t="str">
        <f>IF(NOT(ISBLANK(A827)),VLOOKUP(A827,'Close - PriceSaver'!A:J,6,0),"")</f>
        <v/>
      </c>
      <c r="Q827" t="e">
        <f t="shared" si="121"/>
        <v>#N/A</v>
      </c>
      <c r="R827" t="e">
        <f t="shared" si="122"/>
        <v>#N/A</v>
      </c>
      <c r="S827" t="e">
        <f t="shared" si="123"/>
        <v>#N/A</v>
      </c>
      <c r="T827" s="15" t="e">
        <f t="shared" si="125"/>
        <v>#N/A</v>
      </c>
      <c r="U827" s="18" t="e">
        <f t="shared" si="126"/>
        <v>#N/A</v>
      </c>
      <c r="V827" s="14" t="e">
        <f t="shared" si="124"/>
        <v>#N/A</v>
      </c>
      <c r="W827" s="19" t="e">
        <f t="shared" si="127"/>
        <v>#N/A</v>
      </c>
      <c r="X827" t="e">
        <f>VLOOKUP(P827,Close[[ID]:[CreatedBy]],8,0)</f>
        <v>#N/A</v>
      </c>
    </row>
    <row r="828" spans="2:24" x14ac:dyDescent="0.35">
      <c r="B828" t="str">
        <f>IF(NOT(ISBLANK(A828)),VLOOKUP(A828,'BBT3'!A:F,2,0),"")</f>
        <v/>
      </c>
      <c r="C828" t="str">
        <f>IF(NOT(ISBLANK(A828)),VLOOKUP(A828,'BBT3'!A:F,3,0),"")</f>
        <v/>
      </c>
      <c r="D828" s="5" t="str">
        <f>IF(NOT(ISBLANK(A828)),VLOOKUP(A828,'BBT3'!A:F,4,1),"")</f>
        <v/>
      </c>
      <c r="E828" t="str">
        <f>IF(NOT(ISBLANK(A828)),VLOOKUP(A828,'BBT3'!A:F,5,0),"")</f>
        <v/>
      </c>
      <c r="F828" t="str">
        <f>IF(NOT(ISBLANK(A828)),VLOOKUP(A828,'BBT3'!A:F,6,0),"")</f>
        <v/>
      </c>
      <c r="G828" t="str">
        <f t="shared" si="119"/>
        <v/>
      </c>
      <c r="H828" t="str">
        <f>IF(NOT(ISBLANK(A828)),VLOOKUP(A828,'Close - PriceSaver'!A:J,5,0),"")</f>
        <v/>
      </c>
      <c r="I828" s="4" t="str" cm="1">
        <f t="array" ref="I828">IF(NOT(ISBLANK(A828)),((_xlfn.XLOOKUP(1,(_bbt3[[#All],[ID]]=A828)*(_bbt3[[#All],[METRIC_NAME]]="YLD_YTM_ASK"),_bbt3[[#All],[METRIC_VALUE]])*0.5)+(_xlfn.XLOOKUP(1,(_bbt3[[#All],[ID]]=A828)*(_bbt3[[#All],[METRIC_NAME]]="YLD_YTM_BID"),_bbt3[[#All],[METRIC_VALUE]])*0.5))/100,"")</f>
        <v/>
      </c>
      <c r="J828">
        <f>IF(ISNA(VLOOKUP(A828,'CloseDL - PriceSaverBBT3'!A:E,5,0)),0,VLOOKUP(A828,'CloseDL - PriceSaverBBT3'!A:E,5,0))</f>
        <v>0</v>
      </c>
      <c r="K828" s="7" t="str">
        <f t="shared" si="120"/>
        <v/>
      </c>
      <c r="L828" s="20">
        <f>IF(Close[[#This Row],[CreatedBy]]="MARINER\SilverAdm",1,0)</f>
        <v>1</v>
      </c>
      <c r="M828" t="str">
        <f>IF(NOT(ISBLANK(A828)),VLOOKUP(A828,'Close - PriceSaver'!A:J,6,0),"")</f>
        <v/>
      </c>
      <c r="Q828" t="e">
        <f t="shared" si="121"/>
        <v>#N/A</v>
      </c>
      <c r="R828" t="e">
        <f t="shared" si="122"/>
        <v>#N/A</v>
      </c>
      <c r="S828" t="e">
        <f t="shared" si="123"/>
        <v>#N/A</v>
      </c>
      <c r="T828" s="15" t="e">
        <f t="shared" si="125"/>
        <v>#N/A</v>
      </c>
      <c r="U828" s="18" t="e">
        <f t="shared" si="126"/>
        <v>#N/A</v>
      </c>
      <c r="V828" s="14" t="e">
        <f t="shared" si="124"/>
        <v>#N/A</v>
      </c>
      <c r="W828" s="19" t="e">
        <f t="shared" si="127"/>
        <v>#N/A</v>
      </c>
      <c r="X828" t="e">
        <f>VLOOKUP(P828,Close[[ID]:[CreatedBy]],8,0)</f>
        <v>#N/A</v>
      </c>
    </row>
    <row r="829" spans="2:24" x14ac:dyDescent="0.35">
      <c r="B829" t="str">
        <f>IF(NOT(ISBLANK(A829)),VLOOKUP(A829,'BBT3'!A:F,2,0),"")</f>
        <v/>
      </c>
      <c r="C829" t="str">
        <f>IF(NOT(ISBLANK(A829)),VLOOKUP(A829,'BBT3'!A:F,3,0),"")</f>
        <v/>
      </c>
      <c r="D829" s="5" t="str">
        <f>IF(NOT(ISBLANK(A829)),VLOOKUP(A829,'BBT3'!A:F,4,1),"")</f>
        <v/>
      </c>
      <c r="E829" t="str">
        <f>IF(NOT(ISBLANK(A829)),VLOOKUP(A829,'BBT3'!A:F,5,0),"")</f>
        <v/>
      </c>
      <c r="F829" t="str">
        <f>IF(NOT(ISBLANK(A829)),VLOOKUP(A829,'BBT3'!A:F,6,0),"")</f>
        <v/>
      </c>
      <c r="G829" t="str">
        <f t="shared" si="119"/>
        <v/>
      </c>
      <c r="H829" t="str">
        <f>IF(NOT(ISBLANK(A829)),VLOOKUP(A829,'Close - PriceSaver'!A:J,5,0),"")</f>
        <v/>
      </c>
      <c r="I829" s="4" t="str" cm="1">
        <f t="array" ref="I829">IF(NOT(ISBLANK(A829)),((_xlfn.XLOOKUP(1,(_bbt3[[#All],[ID]]=A829)*(_bbt3[[#All],[METRIC_NAME]]="YLD_YTM_ASK"),_bbt3[[#All],[METRIC_VALUE]])*0.5)+(_xlfn.XLOOKUP(1,(_bbt3[[#All],[ID]]=A829)*(_bbt3[[#All],[METRIC_NAME]]="YLD_YTM_BID"),_bbt3[[#All],[METRIC_VALUE]])*0.5))/100,"")</f>
        <v/>
      </c>
      <c r="J829">
        <f>IF(ISNA(VLOOKUP(A829,'CloseDL - PriceSaverBBT3'!A:E,5,0)),0,VLOOKUP(A829,'CloseDL - PriceSaverBBT3'!A:E,5,0))</f>
        <v>0</v>
      </c>
      <c r="K829" s="7" t="str">
        <f t="shared" si="120"/>
        <v/>
      </c>
      <c r="L829" s="20">
        <f>IF(Close[[#This Row],[CreatedBy]]="MARINER\SilverAdm",1,0)</f>
        <v>1</v>
      </c>
      <c r="M829" t="str">
        <f>IF(NOT(ISBLANK(A829)),VLOOKUP(A829,'Close - PriceSaver'!A:J,6,0),"")</f>
        <v/>
      </c>
      <c r="Q829" t="e">
        <f t="shared" si="121"/>
        <v>#N/A</v>
      </c>
      <c r="R829" t="e">
        <f t="shared" si="122"/>
        <v>#N/A</v>
      </c>
      <c r="S829" t="e">
        <f t="shared" si="123"/>
        <v>#N/A</v>
      </c>
      <c r="T829" s="15" t="e">
        <f t="shared" si="125"/>
        <v>#N/A</v>
      </c>
      <c r="U829" s="18" t="e">
        <f t="shared" si="126"/>
        <v>#N/A</v>
      </c>
      <c r="V829" s="14" t="e">
        <f t="shared" si="124"/>
        <v>#N/A</v>
      </c>
      <c r="W829" s="19" t="e">
        <f t="shared" si="127"/>
        <v>#N/A</v>
      </c>
      <c r="X829" t="e">
        <f>VLOOKUP(P829,Close[[ID]:[CreatedBy]],8,0)</f>
        <v>#N/A</v>
      </c>
    </row>
    <row r="830" spans="2:24" x14ac:dyDescent="0.35">
      <c r="B830" t="str">
        <f>IF(NOT(ISBLANK(A830)),VLOOKUP(A830,'BBT3'!A:F,2,0),"")</f>
        <v/>
      </c>
      <c r="C830" t="str">
        <f>IF(NOT(ISBLANK(A830)),VLOOKUP(A830,'BBT3'!A:F,3,0),"")</f>
        <v/>
      </c>
      <c r="D830" s="5" t="str">
        <f>IF(NOT(ISBLANK(A830)),VLOOKUP(A830,'BBT3'!A:F,4,1),"")</f>
        <v/>
      </c>
      <c r="E830" t="str">
        <f>IF(NOT(ISBLANK(A830)),VLOOKUP(A830,'BBT3'!A:F,5,0),"")</f>
        <v/>
      </c>
      <c r="F830" t="str">
        <f>IF(NOT(ISBLANK(A830)),VLOOKUP(A830,'BBT3'!A:F,6,0),"")</f>
        <v/>
      </c>
      <c r="G830" t="str">
        <f t="shared" si="119"/>
        <v/>
      </c>
      <c r="H830" t="str">
        <f>IF(NOT(ISBLANK(A830)),VLOOKUP(A830,'Close - PriceSaver'!A:J,5,0),"")</f>
        <v/>
      </c>
      <c r="I830" s="4" t="str" cm="1">
        <f t="array" ref="I830">IF(NOT(ISBLANK(A830)),((_xlfn.XLOOKUP(1,(_bbt3[[#All],[ID]]=A830)*(_bbt3[[#All],[METRIC_NAME]]="YLD_YTM_ASK"),_bbt3[[#All],[METRIC_VALUE]])*0.5)+(_xlfn.XLOOKUP(1,(_bbt3[[#All],[ID]]=A830)*(_bbt3[[#All],[METRIC_NAME]]="YLD_YTM_BID"),_bbt3[[#All],[METRIC_VALUE]])*0.5))/100,"")</f>
        <v/>
      </c>
      <c r="J830">
        <f>IF(ISNA(VLOOKUP(A830,'CloseDL - PriceSaverBBT3'!A:E,5,0)),0,VLOOKUP(A830,'CloseDL - PriceSaverBBT3'!A:E,5,0))</f>
        <v>0</v>
      </c>
      <c r="K830" s="7" t="str">
        <f t="shared" si="120"/>
        <v/>
      </c>
      <c r="L830" s="20">
        <f>IF(Close[[#This Row],[CreatedBy]]="MARINER\SilverAdm",1,0)</f>
        <v>0</v>
      </c>
      <c r="M830" t="str">
        <f>IF(NOT(ISBLANK(A830)),VLOOKUP(A830,'Close - PriceSaver'!A:J,6,0),"")</f>
        <v/>
      </c>
      <c r="Q830" t="e">
        <f t="shared" si="121"/>
        <v>#N/A</v>
      </c>
      <c r="R830" t="e">
        <f t="shared" si="122"/>
        <v>#N/A</v>
      </c>
      <c r="S830" t="e">
        <f t="shared" si="123"/>
        <v>#N/A</v>
      </c>
      <c r="T830" s="15" t="e">
        <f t="shared" si="125"/>
        <v>#N/A</v>
      </c>
      <c r="U830" s="18" t="e">
        <f t="shared" si="126"/>
        <v>#N/A</v>
      </c>
      <c r="V830" s="14" t="e">
        <f t="shared" si="124"/>
        <v>#N/A</v>
      </c>
      <c r="W830" s="19" t="e">
        <f t="shared" si="127"/>
        <v>#N/A</v>
      </c>
      <c r="X830" t="e">
        <f>VLOOKUP(P830,Close[[ID]:[CreatedBy]],8,0)</f>
        <v>#N/A</v>
      </c>
    </row>
    <row r="831" spans="2:24" x14ac:dyDescent="0.35">
      <c r="B831" t="str">
        <f>IF(NOT(ISBLANK(A831)),VLOOKUP(A831,'BBT3'!A:F,2,0),"")</f>
        <v/>
      </c>
      <c r="C831" t="str">
        <f>IF(NOT(ISBLANK(A831)),VLOOKUP(A831,'BBT3'!A:F,3,0),"")</f>
        <v/>
      </c>
      <c r="D831" s="5" t="str">
        <f>IF(NOT(ISBLANK(A831)),VLOOKUP(A831,'BBT3'!A:F,4,1),"")</f>
        <v/>
      </c>
      <c r="E831" t="str">
        <f>IF(NOT(ISBLANK(A831)),VLOOKUP(A831,'BBT3'!A:F,5,0),"")</f>
        <v/>
      </c>
      <c r="F831" t="str">
        <f>IF(NOT(ISBLANK(A831)),VLOOKUP(A831,'BBT3'!A:F,6,0),"")</f>
        <v/>
      </c>
      <c r="G831" t="str">
        <f t="shared" si="119"/>
        <v/>
      </c>
      <c r="H831" t="str">
        <f>IF(NOT(ISBLANK(A831)),VLOOKUP(A831,'Close - PriceSaver'!A:J,5,0),"")</f>
        <v/>
      </c>
      <c r="I831" s="4" t="str" cm="1">
        <f t="array" ref="I831">IF(NOT(ISBLANK(A831)),((_xlfn.XLOOKUP(1,(_bbt3[[#All],[ID]]=A831)*(_bbt3[[#All],[METRIC_NAME]]="YLD_YTM_ASK"),_bbt3[[#All],[METRIC_VALUE]])*0.5)+(_xlfn.XLOOKUP(1,(_bbt3[[#All],[ID]]=A831)*(_bbt3[[#All],[METRIC_NAME]]="YLD_YTM_BID"),_bbt3[[#All],[METRIC_VALUE]])*0.5))/100,"")</f>
        <v/>
      </c>
      <c r="J831">
        <f>IF(ISNA(VLOOKUP(A831,'CloseDL - PriceSaverBBT3'!A:E,5,0)),0,VLOOKUP(A831,'CloseDL - PriceSaverBBT3'!A:E,5,0))</f>
        <v>0</v>
      </c>
      <c r="K831" s="7" t="str">
        <f t="shared" si="120"/>
        <v/>
      </c>
      <c r="L831" s="20">
        <f>IF(Close[[#This Row],[CreatedBy]]="MARINER\SilverAdm",1,0)</f>
        <v>1</v>
      </c>
      <c r="M831" t="str">
        <f>IF(NOT(ISBLANK(A831)),VLOOKUP(A831,'Close - PriceSaver'!A:J,6,0),"")</f>
        <v/>
      </c>
      <c r="Q831" t="e">
        <f t="shared" si="121"/>
        <v>#N/A</v>
      </c>
      <c r="R831" t="e">
        <f t="shared" si="122"/>
        <v>#N/A</v>
      </c>
      <c r="S831" t="e">
        <f t="shared" si="123"/>
        <v>#N/A</v>
      </c>
      <c r="T831" s="15" t="e">
        <f t="shared" si="125"/>
        <v>#N/A</v>
      </c>
      <c r="U831" s="18" t="e">
        <f t="shared" si="126"/>
        <v>#N/A</v>
      </c>
      <c r="V831" s="14" t="e">
        <f t="shared" si="124"/>
        <v>#N/A</v>
      </c>
      <c r="W831" s="19" t="e">
        <f t="shared" si="127"/>
        <v>#N/A</v>
      </c>
      <c r="X831" t="e">
        <f>VLOOKUP(P831,Close[[ID]:[CreatedBy]],8,0)</f>
        <v>#N/A</v>
      </c>
    </row>
    <row r="832" spans="2:24" x14ac:dyDescent="0.35">
      <c r="B832" t="str">
        <f>IF(NOT(ISBLANK(A832)),VLOOKUP(A832,'BBT3'!A:F,2,0),"")</f>
        <v/>
      </c>
      <c r="C832" t="str">
        <f>IF(NOT(ISBLANK(A832)),VLOOKUP(A832,'BBT3'!A:F,3,0),"")</f>
        <v/>
      </c>
      <c r="D832" s="5" t="str">
        <f>IF(NOT(ISBLANK(A832)),VLOOKUP(A832,'BBT3'!A:F,4,1),"")</f>
        <v/>
      </c>
      <c r="E832" t="str">
        <f>IF(NOT(ISBLANK(A832)),VLOOKUP(A832,'BBT3'!A:F,5,0),"")</f>
        <v/>
      </c>
      <c r="F832" t="str">
        <f>IF(NOT(ISBLANK(A832)),VLOOKUP(A832,'BBT3'!A:F,6,0),"")</f>
        <v/>
      </c>
      <c r="G832" t="str">
        <f t="shared" si="119"/>
        <v/>
      </c>
      <c r="H832" t="str">
        <f>IF(NOT(ISBLANK(A832)),VLOOKUP(A832,'Close - PriceSaver'!A:J,5,0),"")</f>
        <v/>
      </c>
      <c r="I832" s="4" t="str" cm="1">
        <f t="array" ref="I832">IF(NOT(ISBLANK(A832)),((_xlfn.XLOOKUP(1,(_bbt3[[#All],[ID]]=A832)*(_bbt3[[#All],[METRIC_NAME]]="YLD_YTM_ASK"),_bbt3[[#All],[METRIC_VALUE]])*0.5)+(_xlfn.XLOOKUP(1,(_bbt3[[#All],[ID]]=A832)*(_bbt3[[#All],[METRIC_NAME]]="YLD_YTM_BID"),_bbt3[[#All],[METRIC_VALUE]])*0.5))/100,"")</f>
        <v/>
      </c>
      <c r="J832">
        <f>IF(ISNA(VLOOKUP(A832,'CloseDL - PriceSaverBBT3'!A:E,5,0)),0,VLOOKUP(A832,'CloseDL - PriceSaverBBT3'!A:E,5,0))</f>
        <v>0</v>
      </c>
      <c r="K832" s="7" t="str">
        <f t="shared" si="120"/>
        <v/>
      </c>
      <c r="L832" s="20">
        <f>IF(Close[[#This Row],[CreatedBy]]="MARINER\SilverAdm",1,0)</f>
        <v>1</v>
      </c>
      <c r="M832" t="str">
        <f>IF(NOT(ISBLANK(A832)),VLOOKUP(A832,'Close - PriceSaver'!A:J,6,0),"")</f>
        <v/>
      </c>
      <c r="Q832" t="e">
        <f t="shared" si="121"/>
        <v>#N/A</v>
      </c>
      <c r="R832" t="e">
        <f t="shared" si="122"/>
        <v>#N/A</v>
      </c>
      <c r="S832" t="e">
        <f t="shared" si="123"/>
        <v>#N/A</v>
      </c>
      <c r="T832" s="15" t="e">
        <f t="shared" si="125"/>
        <v>#N/A</v>
      </c>
      <c r="U832" s="18" t="e">
        <f t="shared" si="126"/>
        <v>#N/A</v>
      </c>
      <c r="V832" s="14" t="e">
        <f t="shared" si="124"/>
        <v>#N/A</v>
      </c>
      <c r="W832" s="19" t="e">
        <f t="shared" si="127"/>
        <v>#N/A</v>
      </c>
      <c r="X832" t="e">
        <f>VLOOKUP(P832,Close[[ID]:[CreatedBy]],8,0)</f>
        <v>#N/A</v>
      </c>
    </row>
    <row r="833" spans="2:24" x14ac:dyDescent="0.35">
      <c r="B833" t="str">
        <f>IF(NOT(ISBLANK(A833)),VLOOKUP(A833,'BBT3'!A:F,2,0),"")</f>
        <v/>
      </c>
      <c r="C833" t="str">
        <f>IF(NOT(ISBLANK(A833)),VLOOKUP(A833,'BBT3'!A:F,3,0),"")</f>
        <v/>
      </c>
      <c r="D833" s="5" t="str">
        <f>IF(NOT(ISBLANK(A833)),VLOOKUP(A833,'BBT3'!A:F,4,1),"")</f>
        <v/>
      </c>
      <c r="E833" t="str">
        <f>IF(NOT(ISBLANK(A833)),VLOOKUP(A833,'BBT3'!A:F,5,0),"")</f>
        <v/>
      </c>
      <c r="F833" t="str">
        <f>IF(NOT(ISBLANK(A833)),VLOOKUP(A833,'BBT3'!A:F,6,0),"")</f>
        <v/>
      </c>
      <c r="G833" t="str">
        <f t="shared" si="119"/>
        <v/>
      </c>
      <c r="H833" t="str">
        <f>IF(NOT(ISBLANK(A833)),VLOOKUP(A833,'Close - PriceSaver'!A:J,5,0),"")</f>
        <v/>
      </c>
      <c r="I833" s="4" t="str" cm="1">
        <f t="array" ref="I833">IF(NOT(ISBLANK(A833)),((_xlfn.XLOOKUP(1,(_bbt3[[#All],[ID]]=A833)*(_bbt3[[#All],[METRIC_NAME]]="YLD_YTM_ASK"),_bbt3[[#All],[METRIC_VALUE]])*0.5)+(_xlfn.XLOOKUP(1,(_bbt3[[#All],[ID]]=A833)*(_bbt3[[#All],[METRIC_NAME]]="YLD_YTM_BID"),_bbt3[[#All],[METRIC_VALUE]])*0.5))/100,"")</f>
        <v/>
      </c>
      <c r="J833">
        <f>IF(ISNA(VLOOKUP(A833,'CloseDL - PriceSaverBBT3'!A:E,5,0)),0,VLOOKUP(A833,'CloseDL - PriceSaverBBT3'!A:E,5,0))</f>
        <v>0</v>
      </c>
      <c r="K833" s="7" t="str">
        <f t="shared" si="120"/>
        <v/>
      </c>
      <c r="L833" s="20">
        <f>IF(Close[[#This Row],[CreatedBy]]="MARINER\SilverAdm",1,0)</f>
        <v>0</v>
      </c>
      <c r="M833" t="str">
        <f>IF(NOT(ISBLANK(A833)),VLOOKUP(A833,'Close - PriceSaver'!A:J,6,0),"")</f>
        <v/>
      </c>
      <c r="Q833" t="e">
        <f t="shared" si="121"/>
        <v>#N/A</v>
      </c>
      <c r="R833" t="e">
        <f t="shared" si="122"/>
        <v>#N/A</v>
      </c>
      <c r="S833" t="e">
        <f t="shared" si="123"/>
        <v>#N/A</v>
      </c>
      <c r="T833" s="15" t="e">
        <f t="shared" si="125"/>
        <v>#N/A</v>
      </c>
      <c r="U833" s="18" t="e">
        <f t="shared" si="126"/>
        <v>#N/A</v>
      </c>
      <c r="V833" s="14" t="e">
        <f t="shared" si="124"/>
        <v>#N/A</v>
      </c>
      <c r="W833" s="19" t="e">
        <f t="shared" si="127"/>
        <v>#N/A</v>
      </c>
      <c r="X833" t="e">
        <f>VLOOKUP(P833,Close[[ID]:[CreatedBy]],8,0)</f>
        <v>#N/A</v>
      </c>
    </row>
    <row r="834" spans="2:24" x14ac:dyDescent="0.35">
      <c r="B834" t="str">
        <f>IF(NOT(ISBLANK(A834)),VLOOKUP(A834,'BBT3'!A:F,2,0),"")</f>
        <v/>
      </c>
      <c r="C834" t="str">
        <f>IF(NOT(ISBLANK(A834)),VLOOKUP(A834,'BBT3'!A:F,3,0),"")</f>
        <v/>
      </c>
      <c r="D834" s="5" t="str">
        <f>IF(NOT(ISBLANK(A834)),VLOOKUP(A834,'BBT3'!A:F,4,1),"")</f>
        <v/>
      </c>
      <c r="E834" t="str">
        <f>IF(NOT(ISBLANK(A834)),VLOOKUP(A834,'BBT3'!A:F,5,0),"")</f>
        <v/>
      </c>
      <c r="F834" t="str">
        <f>IF(NOT(ISBLANK(A834)),VLOOKUP(A834,'BBT3'!A:F,6,0),"")</f>
        <v/>
      </c>
      <c r="G834" t="str">
        <f t="shared" si="119"/>
        <v/>
      </c>
      <c r="H834" t="str">
        <f>IF(NOT(ISBLANK(A834)),VLOOKUP(A834,'Close - PriceSaver'!A:J,5,0),"")</f>
        <v/>
      </c>
      <c r="I834" s="4" t="str" cm="1">
        <f t="array" ref="I834">IF(NOT(ISBLANK(A834)),((_xlfn.XLOOKUP(1,(_bbt3[[#All],[ID]]=A834)*(_bbt3[[#All],[METRIC_NAME]]="YLD_YTM_ASK"),_bbt3[[#All],[METRIC_VALUE]])*0.5)+(_xlfn.XLOOKUP(1,(_bbt3[[#All],[ID]]=A834)*(_bbt3[[#All],[METRIC_NAME]]="YLD_YTM_BID"),_bbt3[[#All],[METRIC_VALUE]])*0.5))/100,"")</f>
        <v/>
      </c>
      <c r="J834">
        <f>IF(ISNA(VLOOKUP(A834,'CloseDL - PriceSaverBBT3'!A:E,5,0)),0,VLOOKUP(A834,'CloseDL - PriceSaverBBT3'!A:E,5,0))</f>
        <v>0</v>
      </c>
      <c r="K834" s="7" t="str">
        <f t="shared" si="120"/>
        <v/>
      </c>
      <c r="L834" s="20">
        <f>IF(Close[[#This Row],[CreatedBy]]="MARINER\SilverAdm",1,0)</f>
        <v>1</v>
      </c>
      <c r="M834" t="str">
        <f>IF(NOT(ISBLANK(A834)),VLOOKUP(A834,'Close - PriceSaver'!A:J,6,0),"")</f>
        <v/>
      </c>
      <c r="Q834" t="e">
        <f t="shared" si="121"/>
        <v>#N/A</v>
      </c>
      <c r="R834" t="e">
        <f t="shared" si="122"/>
        <v>#N/A</v>
      </c>
      <c r="S834" t="e">
        <f t="shared" si="123"/>
        <v>#N/A</v>
      </c>
      <c r="T834" s="15" t="e">
        <f t="shared" si="125"/>
        <v>#N/A</v>
      </c>
      <c r="U834" s="18" t="e">
        <f t="shared" si="126"/>
        <v>#N/A</v>
      </c>
      <c r="V834" s="14" t="e">
        <f t="shared" si="124"/>
        <v>#N/A</v>
      </c>
      <c r="W834" s="19" t="e">
        <f t="shared" si="127"/>
        <v>#N/A</v>
      </c>
      <c r="X834" t="e">
        <f>VLOOKUP(P834,Close[[ID]:[CreatedBy]],8,0)</f>
        <v>#N/A</v>
      </c>
    </row>
    <row r="835" spans="2:24" x14ac:dyDescent="0.35">
      <c r="B835" t="str">
        <f>IF(NOT(ISBLANK(A835)),VLOOKUP(A835,'BBT3'!A:F,2,0),"")</f>
        <v/>
      </c>
      <c r="C835" t="str">
        <f>IF(NOT(ISBLANK(A835)),VLOOKUP(A835,'BBT3'!A:F,3,0),"")</f>
        <v/>
      </c>
      <c r="D835" s="5" t="str">
        <f>IF(NOT(ISBLANK(A835)),VLOOKUP(A835,'BBT3'!A:F,4,1),"")</f>
        <v/>
      </c>
      <c r="E835" t="str">
        <f>IF(NOT(ISBLANK(A835)),VLOOKUP(A835,'BBT3'!A:F,5,0),"")</f>
        <v/>
      </c>
      <c r="F835" t="str">
        <f>IF(NOT(ISBLANK(A835)),VLOOKUP(A835,'BBT3'!A:F,6,0),"")</f>
        <v/>
      </c>
      <c r="G835" t="str">
        <f t="shared" ref="G835:G898" si="128">IF(NOT(ISBLANK(A835)),IF(D835=0,"Y","N"),"")</f>
        <v/>
      </c>
      <c r="H835" t="str">
        <f>IF(NOT(ISBLANK(A835)),VLOOKUP(A835,'Close - PriceSaver'!A:J,5,0),"")</f>
        <v/>
      </c>
      <c r="I835" s="4" t="str" cm="1">
        <f t="array" ref="I835">IF(NOT(ISBLANK(A835)),((_xlfn.XLOOKUP(1,(_bbt3[[#All],[ID]]=A835)*(_bbt3[[#All],[METRIC_NAME]]="YLD_YTM_ASK"),_bbt3[[#All],[METRIC_VALUE]])*0.5)+(_xlfn.XLOOKUP(1,(_bbt3[[#All],[ID]]=A835)*(_bbt3[[#All],[METRIC_NAME]]="YLD_YTM_BID"),_bbt3[[#All],[METRIC_VALUE]])*0.5))/100,"")</f>
        <v/>
      </c>
      <c r="J835">
        <f>IF(ISNA(VLOOKUP(A835,'CloseDL - PriceSaverBBT3'!A:E,5,0)),0,VLOOKUP(A835,'CloseDL - PriceSaverBBT3'!A:E,5,0))</f>
        <v>0</v>
      </c>
      <c r="K835" s="7" t="str">
        <f t="shared" ref="K835:K898" si="129">IF(ISNA(IF(NOT(ISBLANK(A835)),ABS(H835-J835),"")),0,(IF(NOT(ISBLANK(A835)),ABS(H835-J835)*10000,"")))</f>
        <v/>
      </c>
      <c r="L835" s="20">
        <f>IF(Close[[#This Row],[CreatedBy]]="MARINER\SilverAdm",1,0)</f>
        <v>1</v>
      </c>
      <c r="M835" t="str">
        <f>IF(NOT(ISBLANK(A835)),VLOOKUP(A835,'Close - PriceSaver'!A:J,6,0),"")</f>
        <v/>
      </c>
      <c r="Q835" t="e">
        <f t="shared" si="121"/>
        <v>#N/A</v>
      </c>
      <c r="R835" t="e">
        <f t="shared" si="122"/>
        <v>#N/A</v>
      </c>
      <c r="S835" t="e">
        <f t="shared" si="123"/>
        <v>#N/A</v>
      </c>
      <c r="T835" s="15" t="e">
        <f t="shared" si="125"/>
        <v>#N/A</v>
      </c>
      <c r="U835" s="18" t="e">
        <f t="shared" si="126"/>
        <v>#N/A</v>
      </c>
      <c r="V835" s="14" t="e">
        <f t="shared" si="124"/>
        <v>#N/A</v>
      </c>
      <c r="W835" s="19" t="e">
        <f t="shared" si="127"/>
        <v>#N/A</v>
      </c>
      <c r="X835" t="e">
        <f>VLOOKUP(P835,Close[[ID]:[CreatedBy]],8,0)</f>
        <v>#N/A</v>
      </c>
    </row>
    <row r="836" spans="2:24" x14ac:dyDescent="0.35">
      <c r="B836" t="str">
        <f>IF(NOT(ISBLANK(A836)),VLOOKUP(A836,'BBT3'!A:F,2,0),"")</f>
        <v/>
      </c>
      <c r="C836" t="str">
        <f>IF(NOT(ISBLANK(A836)),VLOOKUP(A836,'BBT3'!A:F,3,0),"")</f>
        <v/>
      </c>
      <c r="D836" s="5" t="str">
        <f>IF(NOT(ISBLANK(A836)),VLOOKUP(A836,'BBT3'!A:F,4,1),"")</f>
        <v/>
      </c>
      <c r="E836" t="str">
        <f>IF(NOT(ISBLANK(A836)),VLOOKUP(A836,'BBT3'!A:F,5,0),"")</f>
        <v/>
      </c>
      <c r="F836" t="str">
        <f>IF(NOT(ISBLANK(A836)),VLOOKUP(A836,'BBT3'!A:F,6,0),"")</f>
        <v/>
      </c>
      <c r="G836" t="str">
        <f t="shared" si="128"/>
        <v/>
      </c>
      <c r="H836" t="str">
        <f>IF(NOT(ISBLANK(A836)),VLOOKUP(A836,'Close - PriceSaver'!A:J,5,0),"")</f>
        <v/>
      </c>
      <c r="I836" s="4" t="str" cm="1">
        <f t="array" ref="I836">IF(NOT(ISBLANK(A836)),((_xlfn.XLOOKUP(1,(_bbt3[[#All],[ID]]=A836)*(_bbt3[[#All],[METRIC_NAME]]="YLD_YTM_ASK"),_bbt3[[#All],[METRIC_VALUE]])*0.5)+(_xlfn.XLOOKUP(1,(_bbt3[[#All],[ID]]=A836)*(_bbt3[[#All],[METRIC_NAME]]="YLD_YTM_BID"),_bbt3[[#All],[METRIC_VALUE]])*0.5))/100,"")</f>
        <v/>
      </c>
      <c r="J836">
        <f>IF(ISNA(VLOOKUP(A836,'CloseDL - PriceSaverBBT3'!A:E,5,0)),0,VLOOKUP(A836,'CloseDL - PriceSaverBBT3'!A:E,5,0))</f>
        <v>0</v>
      </c>
      <c r="K836" s="7" t="str">
        <f t="shared" si="129"/>
        <v/>
      </c>
      <c r="L836" s="20">
        <f>IF(Close[[#This Row],[CreatedBy]]="MARINER\SilverAdm",1,0)</f>
        <v>0</v>
      </c>
      <c r="M836" t="str">
        <f>IF(NOT(ISBLANK(A836)),VLOOKUP(A836,'Close - PriceSaver'!A:J,6,0),"")</f>
        <v/>
      </c>
      <c r="Q836" t="e">
        <f t="shared" si="121"/>
        <v>#N/A</v>
      </c>
      <c r="R836" t="e">
        <f t="shared" si="122"/>
        <v>#N/A</v>
      </c>
      <c r="S836" t="e">
        <f t="shared" si="123"/>
        <v>#N/A</v>
      </c>
      <c r="T836" s="15" t="e">
        <f t="shared" si="125"/>
        <v>#N/A</v>
      </c>
      <c r="U836" s="18" t="e">
        <f t="shared" si="126"/>
        <v>#N/A</v>
      </c>
      <c r="V836" s="14" t="e">
        <f t="shared" si="124"/>
        <v>#N/A</v>
      </c>
      <c r="W836" s="19" t="e">
        <f t="shared" si="127"/>
        <v>#N/A</v>
      </c>
      <c r="X836" t="e">
        <f>VLOOKUP(P836,Close[[ID]:[CreatedBy]],8,0)</f>
        <v>#N/A</v>
      </c>
    </row>
    <row r="837" spans="2:24" x14ac:dyDescent="0.35">
      <c r="B837" t="str">
        <f>IF(NOT(ISBLANK(A837)),VLOOKUP(A837,'BBT3'!A:F,2,0),"")</f>
        <v/>
      </c>
      <c r="C837" t="str">
        <f>IF(NOT(ISBLANK(A837)),VLOOKUP(A837,'BBT3'!A:F,3,0),"")</f>
        <v/>
      </c>
      <c r="D837" s="5" t="str">
        <f>IF(NOT(ISBLANK(A837)),VLOOKUP(A837,'BBT3'!A:F,4,1),"")</f>
        <v/>
      </c>
      <c r="E837" t="str">
        <f>IF(NOT(ISBLANK(A837)),VLOOKUP(A837,'BBT3'!A:F,5,0),"")</f>
        <v/>
      </c>
      <c r="F837" t="str">
        <f>IF(NOT(ISBLANK(A837)),VLOOKUP(A837,'BBT3'!A:F,6,0),"")</f>
        <v/>
      </c>
      <c r="G837" t="str">
        <f t="shared" si="128"/>
        <v/>
      </c>
      <c r="H837" t="str">
        <f>IF(NOT(ISBLANK(A837)),VLOOKUP(A837,'Close - PriceSaver'!A:J,5,0),"")</f>
        <v/>
      </c>
      <c r="I837" s="4" t="str" cm="1">
        <f t="array" ref="I837">IF(NOT(ISBLANK(A837)),((_xlfn.XLOOKUP(1,(_bbt3[[#All],[ID]]=A837)*(_bbt3[[#All],[METRIC_NAME]]="YLD_YTM_ASK"),_bbt3[[#All],[METRIC_VALUE]])*0.5)+(_xlfn.XLOOKUP(1,(_bbt3[[#All],[ID]]=A837)*(_bbt3[[#All],[METRIC_NAME]]="YLD_YTM_BID"),_bbt3[[#All],[METRIC_VALUE]])*0.5))/100,"")</f>
        <v/>
      </c>
      <c r="J837">
        <f>IF(ISNA(VLOOKUP(A837,'CloseDL - PriceSaverBBT3'!A:E,5,0)),0,VLOOKUP(A837,'CloseDL - PriceSaverBBT3'!A:E,5,0))</f>
        <v>0</v>
      </c>
      <c r="K837" s="7" t="str">
        <f t="shared" si="129"/>
        <v/>
      </c>
      <c r="L837" s="20">
        <f>IF(Close[[#This Row],[CreatedBy]]="MARINER\SilverAdm",1,0)</f>
        <v>1</v>
      </c>
      <c r="M837" t="str">
        <f>IF(NOT(ISBLANK(A837)),VLOOKUP(A837,'Close - PriceSaver'!A:J,6,0),"")</f>
        <v/>
      </c>
      <c r="Q837" t="e">
        <f t="shared" si="121"/>
        <v>#N/A</v>
      </c>
      <c r="R837" t="e">
        <f t="shared" si="122"/>
        <v>#N/A</v>
      </c>
      <c r="S837" t="e">
        <f t="shared" si="123"/>
        <v>#N/A</v>
      </c>
      <c r="T837" s="15" t="e">
        <f t="shared" si="125"/>
        <v>#N/A</v>
      </c>
      <c r="U837" s="18" t="e">
        <f t="shared" si="126"/>
        <v>#N/A</v>
      </c>
      <c r="V837" s="14" t="e">
        <f t="shared" si="124"/>
        <v>#N/A</v>
      </c>
      <c r="W837" s="19" t="e">
        <f t="shared" si="127"/>
        <v>#N/A</v>
      </c>
      <c r="X837" t="e">
        <f>VLOOKUP(P837,Close[[ID]:[CreatedBy]],8,0)</f>
        <v>#N/A</v>
      </c>
    </row>
    <row r="838" spans="2:24" x14ac:dyDescent="0.35">
      <c r="B838" t="str">
        <f>IF(NOT(ISBLANK(A838)),VLOOKUP(A838,'BBT3'!A:F,2,0),"")</f>
        <v/>
      </c>
      <c r="C838" t="str">
        <f>IF(NOT(ISBLANK(A838)),VLOOKUP(A838,'BBT3'!A:F,3,0),"")</f>
        <v/>
      </c>
      <c r="D838" s="5" t="str">
        <f>IF(NOT(ISBLANK(A838)),VLOOKUP(A838,'BBT3'!A:F,4,1),"")</f>
        <v/>
      </c>
      <c r="E838" t="str">
        <f>IF(NOT(ISBLANK(A838)),VLOOKUP(A838,'BBT3'!A:F,5,0),"")</f>
        <v/>
      </c>
      <c r="F838" t="str">
        <f>IF(NOT(ISBLANK(A838)),VLOOKUP(A838,'BBT3'!A:F,6,0),"")</f>
        <v/>
      </c>
      <c r="G838" t="str">
        <f t="shared" si="128"/>
        <v/>
      </c>
      <c r="H838" t="str">
        <f>IF(NOT(ISBLANK(A838)),VLOOKUP(A838,'Close - PriceSaver'!A:J,5,0),"")</f>
        <v/>
      </c>
      <c r="I838" s="4" t="str" cm="1">
        <f t="array" ref="I838">IF(NOT(ISBLANK(A838)),((_xlfn.XLOOKUP(1,(_bbt3[[#All],[ID]]=A838)*(_bbt3[[#All],[METRIC_NAME]]="YLD_YTM_ASK"),_bbt3[[#All],[METRIC_VALUE]])*0.5)+(_xlfn.XLOOKUP(1,(_bbt3[[#All],[ID]]=A838)*(_bbt3[[#All],[METRIC_NAME]]="YLD_YTM_BID"),_bbt3[[#All],[METRIC_VALUE]])*0.5))/100,"")</f>
        <v/>
      </c>
      <c r="J838">
        <f>IF(ISNA(VLOOKUP(A838,'CloseDL - PriceSaverBBT3'!A:E,5,0)),0,VLOOKUP(A838,'CloseDL - PriceSaverBBT3'!A:E,5,0))</f>
        <v>0</v>
      </c>
      <c r="K838" s="7" t="str">
        <f t="shared" si="129"/>
        <v/>
      </c>
      <c r="L838" s="20">
        <f>IF(Close[[#This Row],[CreatedBy]]="MARINER\SilverAdm",1,0)</f>
        <v>1</v>
      </c>
      <c r="M838" t="str">
        <f>IF(NOT(ISBLANK(A838)),VLOOKUP(A838,'Close - PriceSaver'!A:J,6,0),"")</f>
        <v/>
      </c>
      <c r="Q838" t="e">
        <f t="shared" si="121"/>
        <v>#N/A</v>
      </c>
      <c r="R838" t="e">
        <f t="shared" si="122"/>
        <v>#N/A</v>
      </c>
      <c r="S838" t="e">
        <f t="shared" si="123"/>
        <v>#N/A</v>
      </c>
      <c r="T838" s="15" t="e">
        <f t="shared" si="125"/>
        <v>#N/A</v>
      </c>
      <c r="U838" s="18" t="e">
        <f t="shared" si="126"/>
        <v>#N/A</v>
      </c>
      <c r="V838" s="14" t="e">
        <f t="shared" si="124"/>
        <v>#N/A</v>
      </c>
      <c r="W838" s="19" t="e">
        <f t="shared" si="127"/>
        <v>#N/A</v>
      </c>
      <c r="X838" t="e">
        <f>VLOOKUP(P838,Close[[ID]:[CreatedBy]],8,0)</f>
        <v>#N/A</v>
      </c>
    </row>
    <row r="839" spans="2:24" x14ac:dyDescent="0.35">
      <c r="B839" t="str">
        <f>IF(NOT(ISBLANK(A839)),VLOOKUP(A839,'BBT3'!A:F,2,0),"")</f>
        <v/>
      </c>
      <c r="C839" t="str">
        <f>IF(NOT(ISBLANK(A839)),VLOOKUP(A839,'BBT3'!A:F,3,0),"")</f>
        <v/>
      </c>
      <c r="D839" s="5" t="str">
        <f>IF(NOT(ISBLANK(A839)),VLOOKUP(A839,'BBT3'!A:F,4,1),"")</f>
        <v/>
      </c>
      <c r="E839" t="str">
        <f>IF(NOT(ISBLANK(A839)),VLOOKUP(A839,'BBT3'!A:F,5,0),"")</f>
        <v/>
      </c>
      <c r="F839" t="str">
        <f>IF(NOT(ISBLANK(A839)),VLOOKUP(A839,'BBT3'!A:F,6,0),"")</f>
        <v/>
      </c>
      <c r="G839" t="str">
        <f t="shared" si="128"/>
        <v/>
      </c>
      <c r="H839" t="str">
        <f>IF(NOT(ISBLANK(A839)),VLOOKUP(A839,'Close - PriceSaver'!A:J,5,0),"")</f>
        <v/>
      </c>
      <c r="I839" s="4" t="str" cm="1">
        <f t="array" ref="I839">IF(NOT(ISBLANK(A839)),((_xlfn.XLOOKUP(1,(_bbt3[[#All],[ID]]=A839)*(_bbt3[[#All],[METRIC_NAME]]="YLD_YTM_ASK"),_bbt3[[#All],[METRIC_VALUE]])*0.5)+(_xlfn.XLOOKUP(1,(_bbt3[[#All],[ID]]=A839)*(_bbt3[[#All],[METRIC_NAME]]="YLD_YTM_BID"),_bbt3[[#All],[METRIC_VALUE]])*0.5))/100,"")</f>
        <v/>
      </c>
      <c r="J839">
        <f>IF(ISNA(VLOOKUP(A839,'CloseDL - PriceSaverBBT3'!A:E,5,0)),0,VLOOKUP(A839,'CloseDL - PriceSaverBBT3'!A:E,5,0))</f>
        <v>0</v>
      </c>
      <c r="K839" s="7" t="str">
        <f t="shared" si="129"/>
        <v/>
      </c>
      <c r="L839" s="20">
        <f>IF(Close[[#This Row],[CreatedBy]]="MARINER\SilverAdm",1,0)</f>
        <v>1</v>
      </c>
      <c r="M839" t="str">
        <f>IF(NOT(ISBLANK(A839)),VLOOKUP(A839,'Close - PriceSaver'!A:J,6,0),"")</f>
        <v/>
      </c>
      <c r="Q839" t="e">
        <f t="shared" si="121"/>
        <v>#N/A</v>
      </c>
      <c r="R839" t="e">
        <f t="shared" si="122"/>
        <v>#N/A</v>
      </c>
      <c r="S839" t="e">
        <f t="shared" si="123"/>
        <v>#N/A</v>
      </c>
      <c r="T839" s="15" t="e">
        <f t="shared" si="125"/>
        <v>#N/A</v>
      </c>
      <c r="U839" s="18" t="e">
        <f t="shared" si="126"/>
        <v>#N/A</v>
      </c>
      <c r="V839" s="14" t="e">
        <f t="shared" si="124"/>
        <v>#N/A</v>
      </c>
      <c r="W839" s="19" t="e">
        <f t="shared" si="127"/>
        <v>#N/A</v>
      </c>
      <c r="X839" t="e">
        <f>VLOOKUP(P839,Close[[ID]:[CreatedBy]],8,0)</f>
        <v>#N/A</v>
      </c>
    </row>
    <row r="840" spans="2:24" x14ac:dyDescent="0.35">
      <c r="B840" t="str">
        <f>IF(NOT(ISBLANK(A840)),VLOOKUP(A840,'BBT3'!A:F,2,0),"")</f>
        <v/>
      </c>
      <c r="C840" t="str">
        <f>IF(NOT(ISBLANK(A840)),VLOOKUP(A840,'BBT3'!A:F,3,0),"")</f>
        <v/>
      </c>
      <c r="D840" s="5" t="str">
        <f>IF(NOT(ISBLANK(A840)),VLOOKUP(A840,'BBT3'!A:F,4,1),"")</f>
        <v/>
      </c>
      <c r="E840" t="str">
        <f>IF(NOT(ISBLANK(A840)),VLOOKUP(A840,'BBT3'!A:F,5,0),"")</f>
        <v/>
      </c>
      <c r="F840" t="str">
        <f>IF(NOT(ISBLANK(A840)),VLOOKUP(A840,'BBT3'!A:F,6,0),"")</f>
        <v/>
      </c>
      <c r="G840" t="str">
        <f t="shared" si="128"/>
        <v/>
      </c>
      <c r="H840" t="str">
        <f>IF(NOT(ISBLANK(A840)),VLOOKUP(A840,'Close - PriceSaver'!A:J,5,0),"")</f>
        <v/>
      </c>
      <c r="I840" s="4" t="str" cm="1">
        <f t="array" ref="I840">IF(NOT(ISBLANK(A840)),((_xlfn.XLOOKUP(1,(_bbt3[[#All],[ID]]=A840)*(_bbt3[[#All],[METRIC_NAME]]="YLD_YTM_ASK"),_bbt3[[#All],[METRIC_VALUE]])*0.5)+(_xlfn.XLOOKUP(1,(_bbt3[[#All],[ID]]=A840)*(_bbt3[[#All],[METRIC_NAME]]="YLD_YTM_BID"),_bbt3[[#All],[METRIC_VALUE]])*0.5))/100,"")</f>
        <v/>
      </c>
      <c r="J840">
        <f>IF(ISNA(VLOOKUP(A840,'CloseDL - PriceSaverBBT3'!A:E,5,0)),0,VLOOKUP(A840,'CloseDL - PriceSaverBBT3'!A:E,5,0))</f>
        <v>0</v>
      </c>
      <c r="K840" s="7" t="str">
        <f t="shared" si="129"/>
        <v/>
      </c>
      <c r="L840" s="20">
        <f>IF(Close[[#This Row],[CreatedBy]]="MARINER\SilverAdm",1,0)</f>
        <v>1</v>
      </c>
      <c r="M840" t="str">
        <f>IF(NOT(ISBLANK(A840)),VLOOKUP(A840,'Close - PriceSaver'!A:J,6,0),"")</f>
        <v/>
      </c>
      <c r="Q840" t="e">
        <f t="shared" si="121"/>
        <v>#N/A</v>
      </c>
      <c r="R840" t="e">
        <f t="shared" si="122"/>
        <v>#N/A</v>
      </c>
      <c r="S840" t="e">
        <f t="shared" si="123"/>
        <v>#N/A</v>
      </c>
      <c r="T840" s="15" t="e">
        <f t="shared" si="125"/>
        <v>#N/A</v>
      </c>
      <c r="U840" s="18" t="e">
        <f t="shared" si="126"/>
        <v>#N/A</v>
      </c>
      <c r="V840" s="14" t="e">
        <f t="shared" si="124"/>
        <v>#N/A</v>
      </c>
      <c r="W840" s="19" t="e">
        <f t="shared" si="127"/>
        <v>#N/A</v>
      </c>
      <c r="X840" t="e">
        <f>VLOOKUP(P840,Close[[ID]:[CreatedBy]],8,0)</f>
        <v>#N/A</v>
      </c>
    </row>
    <row r="841" spans="2:24" x14ac:dyDescent="0.35">
      <c r="B841" t="str">
        <f>IF(NOT(ISBLANK(A841)),VLOOKUP(A841,'BBT3'!A:F,2,0),"")</f>
        <v/>
      </c>
      <c r="C841" t="str">
        <f>IF(NOT(ISBLANK(A841)),VLOOKUP(A841,'BBT3'!A:F,3,0),"")</f>
        <v/>
      </c>
      <c r="D841" s="5" t="str">
        <f>IF(NOT(ISBLANK(A841)),VLOOKUP(A841,'BBT3'!A:F,4,1),"")</f>
        <v/>
      </c>
      <c r="E841" t="str">
        <f>IF(NOT(ISBLANK(A841)),VLOOKUP(A841,'BBT3'!A:F,5,0),"")</f>
        <v/>
      </c>
      <c r="F841" t="str">
        <f>IF(NOT(ISBLANK(A841)),VLOOKUP(A841,'BBT3'!A:F,6,0),"")</f>
        <v/>
      </c>
      <c r="G841" t="str">
        <f t="shared" si="128"/>
        <v/>
      </c>
      <c r="H841" t="str">
        <f>IF(NOT(ISBLANK(A841)),VLOOKUP(A841,'Close - PriceSaver'!A:J,5,0),"")</f>
        <v/>
      </c>
      <c r="I841" s="4" t="str" cm="1">
        <f t="array" ref="I841">IF(NOT(ISBLANK(A841)),((_xlfn.XLOOKUP(1,(_bbt3[[#All],[ID]]=A841)*(_bbt3[[#All],[METRIC_NAME]]="YLD_YTM_ASK"),_bbt3[[#All],[METRIC_VALUE]])*0.5)+(_xlfn.XLOOKUP(1,(_bbt3[[#All],[ID]]=A841)*(_bbt3[[#All],[METRIC_NAME]]="YLD_YTM_BID"),_bbt3[[#All],[METRIC_VALUE]])*0.5))/100,"")</f>
        <v/>
      </c>
      <c r="J841">
        <f>IF(ISNA(VLOOKUP(A841,'CloseDL - PriceSaverBBT3'!A:E,5,0)),0,VLOOKUP(A841,'CloseDL - PriceSaverBBT3'!A:E,5,0))</f>
        <v>0</v>
      </c>
      <c r="K841" s="7" t="str">
        <f t="shared" si="129"/>
        <v/>
      </c>
      <c r="L841" s="20">
        <f>IF(Close[[#This Row],[CreatedBy]]="MARINER\SilverAdm",1,0)</f>
        <v>1</v>
      </c>
      <c r="M841" t="str">
        <f>IF(NOT(ISBLANK(A841)),VLOOKUP(A841,'Close - PriceSaver'!A:J,6,0),"")</f>
        <v/>
      </c>
      <c r="Q841" t="e">
        <f t="shared" si="121"/>
        <v>#N/A</v>
      </c>
      <c r="R841" t="e">
        <f t="shared" si="122"/>
        <v>#N/A</v>
      </c>
      <c r="S841" t="e">
        <f t="shared" si="123"/>
        <v>#N/A</v>
      </c>
      <c r="T841" s="15" t="e">
        <f t="shared" si="125"/>
        <v>#N/A</v>
      </c>
      <c r="U841" s="18" t="e">
        <f t="shared" si="126"/>
        <v>#N/A</v>
      </c>
      <c r="V841" s="14" t="e">
        <f t="shared" si="124"/>
        <v>#N/A</v>
      </c>
      <c r="W841" s="19" t="e">
        <f t="shared" si="127"/>
        <v>#N/A</v>
      </c>
      <c r="X841" t="e">
        <f>VLOOKUP(P841,Close[[ID]:[CreatedBy]],8,0)</f>
        <v>#N/A</v>
      </c>
    </row>
    <row r="842" spans="2:24" x14ac:dyDescent="0.35">
      <c r="B842" t="str">
        <f>IF(NOT(ISBLANK(A842)),VLOOKUP(A842,'BBT3'!A:F,2,0),"")</f>
        <v/>
      </c>
      <c r="C842" t="str">
        <f>IF(NOT(ISBLANK(A842)),VLOOKUP(A842,'BBT3'!A:F,3,0),"")</f>
        <v/>
      </c>
      <c r="D842" s="5" t="str">
        <f>IF(NOT(ISBLANK(A842)),VLOOKUP(A842,'BBT3'!A:F,4,1),"")</f>
        <v/>
      </c>
      <c r="E842" t="str">
        <f>IF(NOT(ISBLANK(A842)),VLOOKUP(A842,'BBT3'!A:F,5,0),"")</f>
        <v/>
      </c>
      <c r="F842" t="str">
        <f>IF(NOT(ISBLANK(A842)),VLOOKUP(A842,'BBT3'!A:F,6,0),"")</f>
        <v/>
      </c>
      <c r="G842" t="str">
        <f t="shared" si="128"/>
        <v/>
      </c>
      <c r="H842" t="str">
        <f>IF(NOT(ISBLANK(A842)),VLOOKUP(A842,'Close - PriceSaver'!A:J,5,0),"")</f>
        <v/>
      </c>
      <c r="I842" s="4" t="str" cm="1">
        <f t="array" ref="I842">IF(NOT(ISBLANK(A842)),((_xlfn.XLOOKUP(1,(_bbt3[[#All],[ID]]=A842)*(_bbt3[[#All],[METRIC_NAME]]="YLD_YTM_ASK"),_bbt3[[#All],[METRIC_VALUE]])*0.5)+(_xlfn.XLOOKUP(1,(_bbt3[[#All],[ID]]=A842)*(_bbt3[[#All],[METRIC_NAME]]="YLD_YTM_BID"),_bbt3[[#All],[METRIC_VALUE]])*0.5))/100,"")</f>
        <v/>
      </c>
      <c r="J842">
        <f>IF(ISNA(VLOOKUP(A842,'CloseDL - PriceSaverBBT3'!A:E,5,0)),0,VLOOKUP(A842,'CloseDL - PriceSaverBBT3'!A:E,5,0))</f>
        <v>0</v>
      </c>
      <c r="K842" s="7" t="str">
        <f t="shared" si="129"/>
        <v/>
      </c>
      <c r="L842" s="20">
        <f>IF(Close[[#This Row],[CreatedBy]]="MARINER\SilverAdm",1,0)</f>
        <v>1</v>
      </c>
      <c r="M842" t="str">
        <f>IF(NOT(ISBLANK(A842)),VLOOKUP(A842,'Close - PriceSaver'!A:J,6,0),"")</f>
        <v/>
      </c>
      <c r="Q842" t="e">
        <f t="shared" si="121"/>
        <v>#N/A</v>
      </c>
      <c r="R842" t="e">
        <f t="shared" si="122"/>
        <v>#N/A</v>
      </c>
      <c r="S842" t="e">
        <f t="shared" si="123"/>
        <v>#N/A</v>
      </c>
      <c r="T842" s="15" t="e">
        <f t="shared" si="125"/>
        <v>#N/A</v>
      </c>
      <c r="U842" s="18" t="e">
        <f t="shared" si="126"/>
        <v>#N/A</v>
      </c>
      <c r="V842" s="14" t="e">
        <f t="shared" si="124"/>
        <v>#N/A</v>
      </c>
      <c r="W842" s="19" t="e">
        <f t="shared" si="127"/>
        <v>#N/A</v>
      </c>
      <c r="X842" t="e">
        <f>VLOOKUP(P842,Close[[ID]:[CreatedBy]],8,0)</f>
        <v>#N/A</v>
      </c>
    </row>
    <row r="843" spans="2:24" x14ac:dyDescent="0.35">
      <c r="B843" t="str">
        <f>IF(NOT(ISBLANK(A843)),VLOOKUP(A843,'BBT3'!A:F,2,0),"")</f>
        <v/>
      </c>
      <c r="C843" t="str">
        <f>IF(NOT(ISBLANK(A843)),VLOOKUP(A843,'BBT3'!A:F,3,0),"")</f>
        <v/>
      </c>
      <c r="D843" s="5" t="str">
        <f>IF(NOT(ISBLANK(A843)),VLOOKUP(A843,'BBT3'!A:F,4,1),"")</f>
        <v/>
      </c>
      <c r="E843" t="str">
        <f>IF(NOT(ISBLANK(A843)),VLOOKUP(A843,'BBT3'!A:F,5,0),"")</f>
        <v/>
      </c>
      <c r="F843" t="str">
        <f>IF(NOT(ISBLANK(A843)),VLOOKUP(A843,'BBT3'!A:F,6,0),"")</f>
        <v/>
      </c>
      <c r="G843" t="str">
        <f t="shared" si="128"/>
        <v/>
      </c>
      <c r="H843" t="str">
        <f>IF(NOT(ISBLANK(A843)),VLOOKUP(A843,'Close - PriceSaver'!A:J,5,0),"")</f>
        <v/>
      </c>
      <c r="I843" s="4" t="str" cm="1">
        <f t="array" ref="I843">IF(NOT(ISBLANK(A843)),((_xlfn.XLOOKUP(1,(_bbt3[[#All],[ID]]=A843)*(_bbt3[[#All],[METRIC_NAME]]="YLD_YTM_ASK"),_bbt3[[#All],[METRIC_VALUE]])*0.5)+(_xlfn.XLOOKUP(1,(_bbt3[[#All],[ID]]=A843)*(_bbt3[[#All],[METRIC_NAME]]="YLD_YTM_BID"),_bbt3[[#All],[METRIC_VALUE]])*0.5))/100,"")</f>
        <v/>
      </c>
      <c r="J843">
        <f>IF(ISNA(VLOOKUP(A843,'CloseDL - PriceSaverBBT3'!A:E,5,0)),0,VLOOKUP(A843,'CloseDL - PriceSaverBBT3'!A:E,5,0))</f>
        <v>0</v>
      </c>
      <c r="K843" s="7" t="str">
        <f t="shared" si="129"/>
        <v/>
      </c>
      <c r="L843" s="20">
        <f>IF(Close[[#This Row],[CreatedBy]]="MARINER\SilverAdm",1,0)</f>
        <v>1</v>
      </c>
      <c r="M843" t="str">
        <f>IF(NOT(ISBLANK(A843)),VLOOKUP(A843,'Close - PriceSaver'!A:J,6,0),"")</f>
        <v/>
      </c>
      <c r="Q843" t="e">
        <f t="shared" ref="Q843:Q906" si="130">VLOOKUP(P843,A:C,3,0)</f>
        <v>#N/A</v>
      </c>
      <c r="R843" t="e">
        <f t="shared" si="122"/>
        <v>#N/A</v>
      </c>
      <c r="S843" t="e">
        <f t="shared" si="123"/>
        <v>#N/A</v>
      </c>
      <c r="T843" s="15" t="e">
        <f t="shared" si="125"/>
        <v>#N/A</v>
      </c>
      <c r="U843" s="18" t="e">
        <f t="shared" si="126"/>
        <v>#N/A</v>
      </c>
      <c r="V843" s="14" t="e">
        <f t="shared" si="124"/>
        <v>#N/A</v>
      </c>
      <c r="W843" s="19" t="e">
        <f t="shared" si="127"/>
        <v>#N/A</v>
      </c>
      <c r="X843" t="e">
        <f>VLOOKUP(P843,Close[[ID]:[CreatedBy]],8,0)</f>
        <v>#N/A</v>
      </c>
    </row>
    <row r="844" spans="2:24" x14ac:dyDescent="0.35">
      <c r="B844" t="str">
        <f>IF(NOT(ISBLANK(A844)),VLOOKUP(A844,'BBT3'!A:F,2,0),"")</f>
        <v/>
      </c>
      <c r="C844" t="str">
        <f>IF(NOT(ISBLANK(A844)),VLOOKUP(A844,'BBT3'!A:F,3,0),"")</f>
        <v/>
      </c>
      <c r="D844" s="5" t="str">
        <f>IF(NOT(ISBLANK(A844)),VLOOKUP(A844,'BBT3'!A:F,4,1),"")</f>
        <v/>
      </c>
      <c r="E844" t="str">
        <f>IF(NOT(ISBLANK(A844)),VLOOKUP(A844,'BBT3'!A:F,5,0),"")</f>
        <v/>
      </c>
      <c r="F844" t="str">
        <f>IF(NOT(ISBLANK(A844)),VLOOKUP(A844,'BBT3'!A:F,6,0),"")</f>
        <v/>
      </c>
      <c r="G844" t="str">
        <f t="shared" si="128"/>
        <v/>
      </c>
      <c r="H844" t="str">
        <f>IF(NOT(ISBLANK(A844)),VLOOKUP(A844,'Close - PriceSaver'!A:J,5,0),"")</f>
        <v/>
      </c>
      <c r="I844" s="4" t="str" cm="1">
        <f t="array" ref="I844">IF(NOT(ISBLANK(A844)),((_xlfn.XLOOKUP(1,(_bbt3[[#All],[ID]]=A844)*(_bbt3[[#All],[METRIC_NAME]]="YLD_YTM_ASK"),_bbt3[[#All],[METRIC_VALUE]])*0.5)+(_xlfn.XLOOKUP(1,(_bbt3[[#All],[ID]]=A844)*(_bbt3[[#All],[METRIC_NAME]]="YLD_YTM_BID"),_bbt3[[#All],[METRIC_VALUE]])*0.5))/100,"")</f>
        <v/>
      </c>
      <c r="J844">
        <f>IF(ISNA(VLOOKUP(A844,'CloseDL - PriceSaverBBT3'!A:E,5,0)),0,VLOOKUP(A844,'CloseDL - PriceSaverBBT3'!A:E,5,0))</f>
        <v>0</v>
      </c>
      <c r="K844" s="7" t="str">
        <f t="shared" si="129"/>
        <v/>
      </c>
      <c r="L844" s="20">
        <f>IF(Close[[#This Row],[CreatedBy]]="MARINER\SilverAdm",1,0)</f>
        <v>1</v>
      </c>
      <c r="M844" t="str">
        <f>IF(NOT(ISBLANK(A844)),VLOOKUP(A844,'Close - PriceSaver'!A:J,6,0),"")</f>
        <v/>
      </c>
      <c r="Q844" t="e">
        <f t="shared" si="130"/>
        <v>#N/A</v>
      </c>
      <c r="R844" t="e">
        <f t="shared" si="122"/>
        <v>#N/A</v>
      </c>
      <c r="S844" t="e">
        <f t="shared" si="123"/>
        <v>#N/A</v>
      </c>
      <c r="T844" s="15" t="e">
        <f t="shared" si="125"/>
        <v>#N/A</v>
      </c>
      <c r="U844" s="18" t="e">
        <f t="shared" si="126"/>
        <v>#N/A</v>
      </c>
      <c r="V844" s="14" t="e">
        <f t="shared" si="124"/>
        <v>#N/A</v>
      </c>
      <c r="W844" s="19" t="e">
        <f t="shared" si="127"/>
        <v>#N/A</v>
      </c>
      <c r="X844" t="e">
        <f>VLOOKUP(P844,Close[[ID]:[CreatedBy]],8,0)</f>
        <v>#N/A</v>
      </c>
    </row>
    <row r="845" spans="2:24" x14ac:dyDescent="0.35">
      <c r="B845" t="str">
        <f>IF(NOT(ISBLANK(A845)),VLOOKUP(A845,'BBT3'!A:F,2,0),"")</f>
        <v/>
      </c>
      <c r="C845" t="str">
        <f>IF(NOT(ISBLANK(A845)),VLOOKUP(A845,'BBT3'!A:F,3,0),"")</f>
        <v/>
      </c>
      <c r="D845" s="5" t="str">
        <f>IF(NOT(ISBLANK(A845)),VLOOKUP(A845,'BBT3'!A:F,4,1),"")</f>
        <v/>
      </c>
      <c r="E845" t="str">
        <f>IF(NOT(ISBLANK(A845)),VLOOKUP(A845,'BBT3'!A:F,5,0),"")</f>
        <v/>
      </c>
      <c r="F845" t="str">
        <f>IF(NOT(ISBLANK(A845)),VLOOKUP(A845,'BBT3'!A:F,6,0),"")</f>
        <v/>
      </c>
      <c r="G845" t="str">
        <f t="shared" si="128"/>
        <v/>
      </c>
      <c r="H845" t="str">
        <f>IF(NOT(ISBLANK(A845)),VLOOKUP(A845,'Close - PriceSaver'!A:J,5,0),"")</f>
        <v/>
      </c>
      <c r="I845" s="4" t="str" cm="1">
        <f t="array" ref="I845">IF(NOT(ISBLANK(A845)),((_xlfn.XLOOKUP(1,(_bbt3[[#All],[ID]]=A845)*(_bbt3[[#All],[METRIC_NAME]]="YLD_YTM_ASK"),_bbt3[[#All],[METRIC_VALUE]])*0.5)+(_xlfn.XLOOKUP(1,(_bbt3[[#All],[ID]]=A845)*(_bbt3[[#All],[METRIC_NAME]]="YLD_YTM_BID"),_bbt3[[#All],[METRIC_VALUE]])*0.5))/100,"")</f>
        <v/>
      </c>
      <c r="J845">
        <f>IF(ISNA(VLOOKUP(A845,'CloseDL - PriceSaverBBT3'!A:E,5,0)),0,VLOOKUP(A845,'CloseDL - PriceSaverBBT3'!A:E,5,0))</f>
        <v>0</v>
      </c>
      <c r="K845" s="7" t="str">
        <f t="shared" si="129"/>
        <v/>
      </c>
      <c r="L845" s="20">
        <f>IF(Close[[#This Row],[CreatedBy]]="MARINER\SilverAdm",1,0)</f>
        <v>1</v>
      </c>
      <c r="M845" t="str">
        <f>IF(NOT(ISBLANK(A845)),VLOOKUP(A845,'Close - PriceSaver'!A:J,6,0),"")</f>
        <v/>
      </c>
      <c r="Q845" t="e">
        <f t="shared" si="130"/>
        <v>#N/A</v>
      </c>
      <c r="R845" t="e">
        <f t="shared" ref="R845:R908" si="131">VLOOKUP(P845,A:B,2,0)</f>
        <v>#N/A</v>
      </c>
      <c r="S845" t="e">
        <f t="shared" ref="S845:S908" si="132">VLOOKUP(P845,A:E,4,0)</f>
        <v>#N/A</v>
      </c>
      <c r="T845" s="15" t="e">
        <f t="shared" si="125"/>
        <v>#N/A</v>
      </c>
      <c r="U845" s="18" t="e">
        <f t="shared" si="126"/>
        <v>#N/A</v>
      </c>
      <c r="V845" s="14" t="e">
        <f t="shared" si="124"/>
        <v>#N/A</v>
      </c>
      <c r="W845" s="19" t="e">
        <f t="shared" si="127"/>
        <v>#N/A</v>
      </c>
      <c r="X845" t="e">
        <f>VLOOKUP(P845,Close[[ID]:[CreatedBy]],8,0)</f>
        <v>#N/A</v>
      </c>
    </row>
    <row r="846" spans="2:24" x14ac:dyDescent="0.35">
      <c r="B846" t="str">
        <f>IF(NOT(ISBLANK(A846)),VLOOKUP(A846,'BBT3'!A:F,2,0),"")</f>
        <v/>
      </c>
      <c r="C846" t="str">
        <f>IF(NOT(ISBLANK(A846)),VLOOKUP(A846,'BBT3'!A:F,3,0),"")</f>
        <v/>
      </c>
      <c r="D846" s="5" t="str">
        <f>IF(NOT(ISBLANK(A846)),VLOOKUP(A846,'BBT3'!A:F,4,1),"")</f>
        <v/>
      </c>
      <c r="E846" t="str">
        <f>IF(NOT(ISBLANK(A846)),VLOOKUP(A846,'BBT3'!A:F,5,0),"")</f>
        <v/>
      </c>
      <c r="F846" t="str">
        <f>IF(NOT(ISBLANK(A846)),VLOOKUP(A846,'BBT3'!A:F,6,0),"")</f>
        <v/>
      </c>
      <c r="G846" t="str">
        <f t="shared" si="128"/>
        <v/>
      </c>
      <c r="H846" t="str">
        <f>IF(NOT(ISBLANK(A846)),VLOOKUP(A846,'Close - PriceSaver'!A:J,5,0),"")</f>
        <v/>
      </c>
      <c r="I846" s="4" t="str" cm="1">
        <f t="array" ref="I846">IF(NOT(ISBLANK(A846)),((_xlfn.XLOOKUP(1,(_bbt3[[#All],[ID]]=A846)*(_bbt3[[#All],[METRIC_NAME]]="YLD_YTM_ASK"),_bbt3[[#All],[METRIC_VALUE]])*0.5)+(_xlfn.XLOOKUP(1,(_bbt3[[#All],[ID]]=A846)*(_bbt3[[#All],[METRIC_NAME]]="YLD_YTM_BID"),_bbt3[[#All],[METRIC_VALUE]])*0.5))/100,"")</f>
        <v/>
      </c>
      <c r="J846">
        <f>IF(ISNA(VLOOKUP(A846,'CloseDL - PriceSaverBBT3'!A:E,5,0)),0,VLOOKUP(A846,'CloseDL - PriceSaverBBT3'!A:E,5,0))</f>
        <v>0</v>
      </c>
      <c r="K846" s="7" t="str">
        <f t="shared" si="129"/>
        <v/>
      </c>
      <c r="L846" s="20">
        <f>IF(Close[[#This Row],[CreatedBy]]="MARINER\SilverAdm",1,0)</f>
        <v>1</v>
      </c>
      <c r="M846" t="str">
        <f>IF(NOT(ISBLANK(A846)),VLOOKUP(A846,'Close - PriceSaver'!A:J,6,0),"")</f>
        <v/>
      </c>
      <c r="Q846" t="e">
        <f t="shared" si="130"/>
        <v>#N/A</v>
      </c>
      <c r="R846" t="e">
        <f t="shared" si="131"/>
        <v>#N/A</v>
      </c>
      <c r="S846" t="e">
        <f t="shared" si="132"/>
        <v>#N/A</v>
      </c>
      <c r="T846" s="15" t="e">
        <f t="shared" si="125"/>
        <v>#N/A</v>
      </c>
      <c r="U846" s="18" t="e">
        <f t="shared" si="126"/>
        <v>#N/A</v>
      </c>
      <c r="V846" s="14" t="e">
        <f t="shared" ref="V846:V909" si="133">VLOOKUP(Q846,A:K,10,0)</f>
        <v>#N/A</v>
      </c>
      <c r="W846" s="19" t="e">
        <f t="shared" si="127"/>
        <v>#N/A</v>
      </c>
      <c r="X846" t="e">
        <f>VLOOKUP(P846,Close[[ID]:[CreatedBy]],8,0)</f>
        <v>#N/A</v>
      </c>
    </row>
    <row r="847" spans="2:24" x14ac:dyDescent="0.35">
      <c r="B847" t="str">
        <f>IF(NOT(ISBLANK(A847)),VLOOKUP(A847,'BBT3'!A:F,2,0),"")</f>
        <v/>
      </c>
      <c r="C847" t="str">
        <f>IF(NOT(ISBLANK(A847)),VLOOKUP(A847,'BBT3'!A:F,3,0),"")</f>
        <v/>
      </c>
      <c r="D847" s="5" t="str">
        <f>IF(NOT(ISBLANK(A847)),VLOOKUP(A847,'BBT3'!A:F,4,1),"")</f>
        <v/>
      </c>
      <c r="E847" t="str">
        <f>IF(NOT(ISBLANK(A847)),VLOOKUP(A847,'BBT3'!A:F,5,0),"")</f>
        <v/>
      </c>
      <c r="F847" t="str">
        <f>IF(NOT(ISBLANK(A847)),VLOOKUP(A847,'BBT3'!A:F,6,0),"")</f>
        <v/>
      </c>
      <c r="G847" t="str">
        <f t="shared" si="128"/>
        <v/>
      </c>
      <c r="H847" t="str">
        <f>IF(NOT(ISBLANK(A847)),VLOOKUP(A847,'Close - PriceSaver'!A:J,5,0),"")</f>
        <v/>
      </c>
      <c r="I847" s="4" t="str" cm="1">
        <f t="array" ref="I847">IF(NOT(ISBLANK(A847)),((_xlfn.XLOOKUP(1,(_bbt3[[#All],[ID]]=A847)*(_bbt3[[#All],[METRIC_NAME]]="YLD_YTM_ASK"),_bbt3[[#All],[METRIC_VALUE]])*0.5)+(_xlfn.XLOOKUP(1,(_bbt3[[#All],[ID]]=A847)*(_bbt3[[#All],[METRIC_NAME]]="YLD_YTM_BID"),_bbt3[[#All],[METRIC_VALUE]])*0.5))/100,"")</f>
        <v/>
      </c>
      <c r="J847">
        <f>IF(ISNA(VLOOKUP(A847,'CloseDL - PriceSaverBBT3'!A:E,5,0)),0,VLOOKUP(A847,'CloseDL - PriceSaverBBT3'!A:E,5,0))</f>
        <v>0</v>
      </c>
      <c r="K847" s="7" t="str">
        <f t="shared" si="129"/>
        <v/>
      </c>
      <c r="L847" s="20">
        <f>IF(Close[[#This Row],[CreatedBy]]="MARINER\SilverAdm",1,0)</f>
        <v>1</v>
      </c>
      <c r="M847" t="str">
        <f>IF(NOT(ISBLANK(A847)),VLOOKUP(A847,'Close - PriceSaver'!A:J,6,0),"")</f>
        <v/>
      </c>
      <c r="Q847" t="e">
        <f t="shared" si="130"/>
        <v>#N/A</v>
      </c>
      <c r="R847" t="e">
        <f t="shared" si="131"/>
        <v>#N/A</v>
      </c>
      <c r="S847" t="e">
        <f t="shared" si="132"/>
        <v>#N/A</v>
      </c>
      <c r="T847" s="15" t="e">
        <f t="shared" si="125"/>
        <v>#N/A</v>
      </c>
      <c r="U847" s="18" t="e">
        <f t="shared" si="126"/>
        <v>#N/A</v>
      </c>
      <c r="V847" s="14" t="e">
        <f t="shared" si="133"/>
        <v>#N/A</v>
      </c>
      <c r="W847" s="19" t="e">
        <f t="shared" si="127"/>
        <v>#N/A</v>
      </c>
      <c r="X847" t="e">
        <f>VLOOKUP(P847,Close[[ID]:[CreatedBy]],8,0)</f>
        <v>#N/A</v>
      </c>
    </row>
    <row r="848" spans="2:24" x14ac:dyDescent="0.35">
      <c r="B848" t="str">
        <f>IF(NOT(ISBLANK(A848)),VLOOKUP(A848,'BBT3'!A:F,2,0),"")</f>
        <v/>
      </c>
      <c r="C848" t="str">
        <f>IF(NOT(ISBLANK(A848)),VLOOKUP(A848,'BBT3'!A:F,3,0),"")</f>
        <v/>
      </c>
      <c r="D848" s="5" t="str">
        <f>IF(NOT(ISBLANK(A848)),VLOOKUP(A848,'BBT3'!A:F,4,1),"")</f>
        <v/>
      </c>
      <c r="E848" t="str">
        <f>IF(NOT(ISBLANK(A848)),VLOOKUP(A848,'BBT3'!A:F,5,0),"")</f>
        <v/>
      </c>
      <c r="F848" t="str">
        <f>IF(NOT(ISBLANK(A848)),VLOOKUP(A848,'BBT3'!A:F,6,0),"")</f>
        <v/>
      </c>
      <c r="G848" t="str">
        <f t="shared" si="128"/>
        <v/>
      </c>
      <c r="H848" t="str">
        <f>IF(NOT(ISBLANK(A848)),VLOOKUP(A848,'Close - PriceSaver'!A:J,5,0),"")</f>
        <v/>
      </c>
      <c r="I848" s="4" t="str" cm="1">
        <f t="array" ref="I848">IF(NOT(ISBLANK(A848)),((_xlfn.XLOOKUP(1,(_bbt3[[#All],[ID]]=A848)*(_bbt3[[#All],[METRIC_NAME]]="YLD_YTM_ASK"),_bbt3[[#All],[METRIC_VALUE]])*0.5)+(_xlfn.XLOOKUP(1,(_bbt3[[#All],[ID]]=A848)*(_bbt3[[#All],[METRIC_NAME]]="YLD_YTM_BID"),_bbt3[[#All],[METRIC_VALUE]])*0.5))/100,"")</f>
        <v/>
      </c>
      <c r="J848">
        <f>IF(ISNA(VLOOKUP(A848,'CloseDL - PriceSaverBBT3'!A:E,5,0)),0,VLOOKUP(A848,'CloseDL - PriceSaverBBT3'!A:E,5,0))</f>
        <v>0</v>
      </c>
      <c r="K848" s="7" t="str">
        <f t="shared" si="129"/>
        <v/>
      </c>
      <c r="L848" s="20">
        <f>IF(Close[[#This Row],[CreatedBy]]="MARINER\SilverAdm",1,0)</f>
        <v>1</v>
      </c>
      <c r="M848" t="str">
        <f>IF(NOT(ISBLANK(A848)),VLOOKUP(A848,'Close - PriceSaver'!A:J,6,0),"")</f>
        <v/>
      </c>
      <c r="Q848" t="e">
        <f t="shared" si="130"/>
        <v>#N/A</v>
      </c>
      <c r="R848" t="e">
        <f t="shared" si="131"/>
        <v>#N/A</v>
      </c>
      <c r="S848" t="e">
        <f t="shared" si="132"/>
        <v>#N/A</v>
      </c>
      <c r="T848" s="15" t="e">
        <f t="shared" si="125"/>
        <v>#N/A</v>
      </c>
      <c r="U848" s="18" t="e">
        <f t="shared" si="126"/>
        <v>#N/A</v>
      </c>
      <c r="V848" s="14" t="e">
        <f t="shared" si="133"/>
        <v>#N/A</v>
      </c>
      <c r="W848" s="19" t="e">
        <f t="shared" si="127"/>
        <v>#N/A</v>
      </c>
      <c r="X848" t="e">
        <f>VLOOKUP(P848,Close[[ID]:[CreatedBy]],8,0)</f>
        <v>#N/A</v>
      </c>
    </row>
    <row r="849" spans="2:24" x14ac:dyDescent="0.35">
      <c r="B849" t="str">
        <f>IF(NOT(ISBLANK(A849)),VLOOKUP(A849,'BBT3'!A:F,2,0),"")</f>
        <v/>
      </c>
      <c r="C849" t="str">
        <f>IF(NOT(ISBLANK(A849)),VLOOKUP(A849,'BBT3'!A:F,3,0),"")</f>
        <v/>
      </c>
      <c r="D849" s="5" t="str">
        <f>IF(NOT(ISBLANK(A849)),VLOOKUP(A849,'BBT3'!A:F,4,1),"")</f>
        <v/>
      </c>
      <c r="E849" t="str">
        <f>IF(NOT(ISBLANK(A849)),VLOOKUP(A849,'BBT3'!A:F,5,0),"")</f>
        <v/>
      </c>
      <c r="F849" t="str">
        <f>IF(NOT(ISBLANK(A849)),VLOOKUP(A849,'BBT3'!A:F,6,0),"")</f>
        <v/>
      </c>
      <c r="G849" t="str">
        <f t="shared" si="128"/>
        <v/>
      </c>
      <c r="H849" t="str">
        <f>IF(NOT(ISBLANK(A849)),VLOOKUP(A849,'Close - PriceSaver'!A:J,5,0),"")</f>
        <v/>
      </c>
      <c r="I849" s="4" t="str" cm="1">
        <f t="array" ref="I849">IF(NOT(ISBLANK(A849)),((_xlfn.XLOOKUP(1,(_bbt3[[#All],[ID]]=A849)*(_bbt3[[#All],[METRIC_NAME]]="YLD_YTM_ASK"),_bbt3[[#All],[METRIC_VALUE]])*0.5)+(_xlfn.XLOOKUP(1,(_bbt3[[#All],[ID]]=A849)*(_bbt3[[#All],[METRIC_NAME]]="YLD_YTM_BID"),_bbt3[[#All],[METRIC_VALUE]])*0.5))/100,"")</f>
        <v/>
      </c>
      <c r="J849">
        <f>IF(ISNA(VLOOKUP(A849,'CloseDL - PriceSaverBBT3'!A:E,5,0)),0,VLOOKUP(A849,'CloseDL - PriceSaverBBT3'!A:E,5,0))</f>
        <v>0</v>
      </c>
      <c r="K849" s="7" t="str">
        <f t="shared" si="129"/>
        <v/>
      </c>
      <c r="L849" s="20">
        <f>IF(Close[[#This Row],[CreatedBy]]="MARINER\SilverAdm",1,0)</f>
        <v>1</v>
      </c>
      <c r="M849" t="str">
        <f>IF(NOT(ISBLANK(A849)),VLOOKUP(A849,'Close - PriceSaver'!A:J,6,0),"")</f>
        <v/>
      </c>
      <c r="Q849" t="e">
        <f t="shared" si="130"/>
        <v>#N/A</v>
      </c>
      <c r="R849" t="e">
        <f t="shared" si="131"/>
        <v>#N/A</v>
      </c>
      <c r="S849" t="e">
        <f t="shared" si="132"/>
        <v>#N/A</v>
      </c>
      <c r="T849" s="15" t="e">
        <f t="shared" si="125"/>
        <v>#N/A</v>
      </c>
      <c r="U849" s="18" t="e">
        <f t="shared" si="126"/>
        <v>#N/A</v>
      </c>
      <c r="V849" s="14" t="e">
        <f t="shared" si="133"/>
        <v>#N/A</v>
      </c>
      <c r="W849" s="19" t="e">
        <f t="shared" si="127"/>
        <v>#N/A</v>
      </c>
      <c r="X849" t="e">
        <f>VLOOKUP(P849,Close[[ID]:[CreatedBy]],8,0)</f>
        <v>#N/A</v>
      </c>
    </row>
    <row r="850" spans="2:24" x14ac:dyDescent="0.35">
      <c r="B850" t="str">
        <f>IF(NOT(ISBLANK(A850)),VLOOKUP(A850,'BBT3'!A:F,2,0),"")</f>
        <v/>
      </c>
      <c r="C850" t="str">
        <f>IF(NOT(ISBLANK(A850)),VLOOKUP(A850,'BBT3'!A:F,3,0),"")</f>
        <v/>
      </c>
      <c r="D850" s="5" t="str">
        <f>IF(NOT(ISBLANK(A850)),VLOOKUP(A850,'BBT3'!A:F,4,1),"")</f>
        <v/>
      </c>
      <c r="E850" t="str">
        <f>IF(NOT(ISBLANK(A850)),VLOOKUP(A850,'BBT3'!A:F,5,0),"")</f>
        <v/>
      </c>
      <c r="F850" t="str">
        <f>IF(NOT(ISBLANK(A850)),VLOOKUP(A850,'BBT3'!A:F,6,0),"")</f>
        <v/>
      </c>
      <c r="G850" t="str">
        <f t="shared" si="128"/>
        <v/>
      </c>
      <c r="H850" t="str">
        <f>IF(NOT(ISBLANK(A850)),VLOOKUP(A850,'Close - PriceSaver'!A:J,5,0),"")</f>
        <v/>
      </c>
      <c r="I850" s="4" t="str" cm="1">
        <f t="array" ref="I850">IF(NOT(ISBLANK(A850)),((_xlfn.XLOOKUP(1,(_bbt3[[#All],[ID]]=A850)*(_bbt3[[#All],[METRIC_NAME]]="YLD_YTM_ASK"),_bbt3[[#All],[METRIC_VALUE]])*0.5)+(_xlfn.XLOOKUP(1,(_bbt3[[#All],[ID]]=A850)*(_bbt3[[#All],[METRIC_NAME]]="YLD_YTM_BID"),_bbt3[[#All],[METRIC_VALUE]])*0.5))/100,"")</f>
        <v/>
      </c>
      <c r="J850">
        <f>IF(ISNA(VLOOKUP(A850,'CloseDL - PriceSaverBBT3'!A:E,5,0)),0,VLOOKUP(A850,'CloseDL - PriceSaverBBT3'!A:E,5,0))</f>
        <v>0</v>
      </c>
      <c r="K850" s="7" t="str">
        <f t="shared" si="129"/>
        <v/>
      </c>
      <c r="L850" s="20">
        <f>IF(Close[[#This Row],[CreatedBy]]="MARINER\SilverAdm",1,0)</f>
        <v>1</v>
      </c>
      <c r="M850" t="str">
        <f>IF(NOT(ISBLANK(A850)),VLOOKUP(A850,'Close - PriceSaver'!A:J,6,0),"")</f>
        <v/>
      </c>
      <c r="Q850" t="e">
        <f t="shared" si="130"/>
        <v>#N/A</v>
      </c>
      <c r="R850" t="e">
        <f t="shared" si="131"/>
        <v>#N/A</v>
      </c>
      <c r="S850" t="e">
        <f t="shared" si="132"/>
        <v>#N/A</v>
      </c>
      <c r="T850" s="15" t="e">
        <f t="shared" si="125"/>
        <v>#N/A</v>
      </c>
      <c r="U850" s="18" t="e">
        <f t="shared" si="126"/>
        <v>#N/A</v>
      </c>
      <c r="V850" s="14" t="e">
        <f t="shared" si="133"/>
        <v>#N/A</v>
      </c>
      <c r="W850" s="19" t="e">
        <f t="shared" si="127"/>
        <v>#N/A</v>
      </c>
      <c r="X850" t="e">
        <f>VLOOKUP(P850,Close[[ID]:[CreatedBy]],8,0)</f>
        <v>#N/A</v>
      </c>
    </row>
    <row r="851" spans="2:24" x14ac:dyDescent="0.35">
      <c r="B851" t="str">
        <f>IF(NOT(ISBLANK(A851)),VLOOKUP(A851,'BBT3'!A:F,2,0),"")</f>
        <v/>
      </c>
      <c r="C851" t="str">
        <f>IF(NOT(ISBLANK(A851)),VLOOKUP(A851,'BBT3'!A:F,3,0),"")</f>
        <v/>
      </c>
      <c r="D851" s="5" t="str">
        <f>IF(NOT(ISBLANK(A851)),VLOOKUP(A851,'BBT3'!A:F,4,1),"")</f>
        <v/>
      </c>
      <c r="E851" t="str">
        <f>IF(NOT(ISBLANK(A851)),VLOOKUP(A851,'BBT3'!A:F,5,0),"")</f>
        <v/>
      </c>
      <c r="F851" t="str">
        <f>IF(NOT(ISBLANK(A851)),VLOOKUP(A851,'BBT3'!A:F,6,0),"")</f>
        <v/>
      </c>
      <c r="G851" t="str">
        <f t="shared" si="128"/>
        <v/>
      </c>
      <c r="H851" t="str">
        <f>IF(NOT(ISBLANK(A851)),VLOOKUP(A851,'Close - PriceSaver'!A:J,5,0),"")</f>
        <v/>
      </c>
      <c r="I851" s="4" t="str" cm="1">
        <f t="array" ref="I851">IF(NOT(ISBLANK(A851)),((_xlfn.XLOOKUP(1,(_bbt3[[#All],[ID]]=A851)*(_bbt3[[#All],[METRIC_NAME]]="YLD_YTM_ASK"),_bbt3[[#All],[METRIC_VALUE]])*0.5)+(_xlfn.XLOOKUP(1,(_bbt3[[#All],[ID]]=A851)*(_bbt3[[#All],[METRIC_NAME]]="YLD_YTM_BID"),_bbt3[[#All],[METRIC_VALUE]])*0.5))/100,"")</f>
        <v/>
      </c>
      <c r="J851">
        <f>IF(ISNA(VLOOKUP(A851,'CloseDL - PriceSaverBBT3'!A:E,5,0)),0,VLOOKUP(A851,'CloseDL - PriceSaverBBT3'!A:E,5,0))</f>
        <v>0</v>
      </c>
      <c r="K851" s="7" t="str">
        <f t="shared" si="129"/>
        <v/>
      </c>
      <c r="L851" s="20">
        <f>IF(Close[[#This Row],[CreatedBy]]="MARINER\SilverAdm",1,0)</f>
        <v>1</v>
      </c>
      <c r="M851" t="str">
        <f>IF(NOT(ISBLANK(A851)),VLOOKUP(A851,'Close - PriceSaver'!A:J,6,0),"")</f>
        <v/>
      </c>
      <c r="Q851" t="e">
        <f t="shared" si="130"/>
        <v>#N/A</v>
      </c>
      <c r="R851" t="e">
        <f t="shared" si="131"/>
        <v>#N/A</v>
      </c>
      <c r="S851" t="e">
        <f t="shared" si="132"/>
        <v>#N/A</v>
      </c>
      <c r="T851" s="15" t="e">
        <f t="shared" si="125"/>
        <v>#N/A</v>
      </c>
      <c r="U851" s="18" t="e">
        <f t="shared" si="126"/>
        <v>#N/A</v>
      </c>
      <c r="V851" s="14" t="e">
        <f t="shared" si="133"/>
        <v>#N/A</v>
      </c>
      <c r="W851" s="19" t="e">
        <f t="shared" si="127"/>
        <v>#N/A</v>
      </c>
      <c r="X851" t="e">
        <f>VLOOKUP(P851,Close[[ID]:[CreatedBy]],8,0)</f>
        <v>#N/A</v>
      </c>
    </row>
    <row r="852" spans="2:24" x14ac:dyDescent="0.35">
      <c r="B852" t="str">
        <f>IF(NOT(ISBLANK(A852)),VLOOKUP(A852,'BBT3'!A:F,2,0),"")</f>
        <v/>
      </c>
      <c r="C852" t="str">
        <f>IF(NOT(ISBLANK(A852)),VLOOKUP(A852,'BBT3'!A:F,3,0),"")</f>
        <v/>
      </c>
      <c r="D852" s="5" t="str">
        <f>IF(NOT(ISBLANK(A852)),VLOOKUP(A852,'BBT3'!A:F,4,1),"")</f>
        <v/>
      </c>
      <c r="E852" t="str">
        <f>IF(NOT(ISBLANK(A852)),VLOOKUP(A852,'BBT3'!A:F,5,0),"")</f>
        <v/>
      </c>
      <c r="F852" t="str">
        <f>IF(NOT(ISBLANK(A852)),VLOOKUP(A852,'BBT3'!A:F,6,0),"")</f>
        <v/>
      </c>
      <c r="G852" t="str">
        <f t="shared" si="128"/>
        <v/>
      </c>
      <c r="H852" t="str">
        <f>IF(NOT(ISBLANK(A852)),VLOOKUP(A852,'Close - PriceSaver'!A:J,5,0),"")</f>
        <v/>
      </c>
      <c r="I852" s="4" t="str" cm="1">
        <f t="array" ref="I852">IF(NOT(ISBLANK(A852)),((_xlfn.XLOOKUP(1,(_bbt3[[#All],[ID]]=A852)*(_bbt3[[#All],[METRIC_NAME]]="YLD_YTM_ASK"),_bbt3[[#All],[METRIC_VALUE]])*0.5)+(_xlfn.XLOOKUP(1,(_bbt3[[#All],[ID]]=A852)*(_bbt3[[#All],[METRIC_NAME]]="YLD_YTM_BID"),_bbt3[[#All],[METRIC_VALUE]])*0.5))/100,"")</f>
        <v/>
      </c>
      <c r="J852">
        <f>IF(ISNA(VLOOKUP(A852,'CloseDL - PriceSaverBBT3'!A:E,5,0)),0,VLOOKUP(A852,'CloseDL - PriceSaverBBT3'!A:E,5,0))</f>
        <v>0</v>
      </c>
      <c r="K852" s="7" t="str">
        <f t="shared" si="129"/>
        <v/>
      </c>
      <c r="L852" s="20">
        <f>IF(Close[[#This Row],[CreatedBy]]="MARINER\SilverAdm",1,0)</f>
        <v>1</v>
      </c>
      <c r="M852" t="str">
        <f>IF(NOT(ISBLANK(A852)),VLOOKUP(A852,'Close - PriceSaver'!A:J,6,0),"")</f>
        <v/>
      </c>
      <c r="Q852" t="e">
        <f t="shared" si="130"/>
        <v>#N/A</v>
      </c>
      <c r="R852" t="e">
        <f t="shared" si="131"/>
        <v>#N/A</v>
      </c>
      <c r="S852" t="e">
        <f t="shared" si="132"/>
        <v>#N/A</v>
      </c>
      <c r="T852" s="15" t="e">
        <f t="shared" ref="T852:T915" si="134">VLOOKUP(Q852,A:K,5,0)</f>
        <v>#N/A</v>
      </c>
      <c r="U852" s="18" t="e">
        <f t="shared" ref="U852:U915" si="135">VLOOKUP(Q852,A:K,8,0)</f>
        <v>#N/A</v>
      </c>
      <c r="V852" s="14" t="e">
        <f t="shared" si="133"/>
        <v>#N/A</v>
      </c>
      <c r="W852" s="19" t="e">
        <f t="shared" ref="W852:W915" si="136">(V852-U852)*100</f>
        <v>#N/A</v>
      </c>
      <c r="X852" t="e">
        <f>VLOOKUP(P852,Close[[ID]:[CreatedBy]],8,0)</f>
        <v>#N/A</v>
      </c>
    </row>
    <row r="853" spans="2:24" x14ac:dyDescent="0.35">
      <c r="B853" t="str">
        <f>IF(NOT(ISBLANK(A853)),VLOOKUP(A853,'BBT3'!A:F,2,0),"")</f>
        <v/>
      </c>
      <c r="C853" t="str">
        <f>IF(NOT(ISBLANK(A853)),VLOOKUP(A853,'BBT3'!A:F,3,0),"")</f>
        <v/>
      </c>
      <c r="D853" s="5" t="str">
        <f>IF(NOT(ISBLANK(A853)),VLOOKUP(A853,'BBT3'!A:F,4,1),"")</f>
        <v/>
      </c>
      <c r="E853" t="str">
        <f>IF(NOT(ISBLANK(A853)),VLOOKUP(A853,'BBT3'!A:F,5,0),"")</f>
        <v/>
      </c>
      <c r="F853" t="str">
        <f>IF(NOT(ISBLANK(A853)),VLOOKUP(A853,'BBT3'!A:F,6,0),"")</f>
        <v/>
      </c>
      <c r="G853" t="str">
        <f t="shared" si="128"/>
        <v/>
      </c>
      <c r="H853" t="str">
        <f>IF(NOT(ISBLANK(A853)),VLOOKUP(A853,'Close - PriceSaver'!A:J,5,0),"")</f>
        <v/>
      </c>
      <c r="I853" s="4" t="str" cm="1">
        <f t="array" ref="I853">IF(NOT(ISBLANK(A853)),((_xlfn.XLOOKUP(1,(_bbt3[[#All],[ID]]=A853)*(_bbt3[[#All],[METRIC_NAME]]="YLD_YTM_ASK"),_bbt3[[#All],[METRIC_VALUE]])*0.5)+(_xlfn.XLOOKUP(1,(_bbt3[[#All],[ID]]=A853)*(_bbt3[[#All],[METRIC_NAME]]="YLD_YTM_BID"),_bbt3[[#All],[METRIC_VALUE]])*0.5))/100,"")</f>
        <v/>
      </c>
      <c r="J853">
        <f>IF(ISNA(VLOOKUP(A853,'CloseDL - PriceSaverBBT3'!A:E,5,0)),0,VLOOKUP(A853,'CloseDL - PriceSaverBBT3'!A:E,5,0))</f>
        <v>0</v>
      </c>
      <c r="K853" s="7" t="str">
        <f t="shared" si="129"/>
        <v/>
      </c>
      <c r="L853" s="20">
        <f>IF(Close[[#This Row],[CreatedBy]]="MARINER\SilverAdm",1,0)</f>
        <v>1</v>
      </c>
      <c r="M853" t="str">
        <f>IF(NOT(ISBLANK(A853)),VLOOKUP(A853,'Close - PriceSaver'!A:J,6,0),"")</f>
        <v/>
      </c>
      <c r="Q853" t="e">
        <f t="shared" si="130"/>
        <v>#N/A</v>
      </c>
      <c r="R853" t="e">
        <f t="shared" si="131"/>
        <v>#N/A</v>
      </c>
      <c r="S853" t="e">
        <f t="shared" si="132"/>
        <v>#N/A</v>
      </c>
      <c r="T853" s="15" t="e">
        <f t="shared" si="134"/>
        <v>#N/A</v>
      </c>
      <c r="U853" s="18" t="e">
        <f t="shared" si="135"/>
        <v>#N/A</v>
      </c>
      <c r="V853" s="14" t="e">
        <f t="shared" si="133"/>
        <v>#N/A</v>
      </c>
      <c r="W853" s="19" t="e">
        <f t="shared" si="136"/>
        <v>#N/A</v>
      </c>
      <c r="X853" t="e">
        <f>VLOOKUP(P853,Close[[ID]:[CreatedBy]],8,0)</f>
        <v>#N/A</v>
      </c>
    </row>
    <row r="854" spans="2:24" x14ac:dyDescent="0.35">
      <c r="B854" t="str">
        <f>IF(NOT(ISBLANK(A854)),VLOOKUP(A854,'BBT3'!A:F,2,0),"")</f>
        <v/>
      </c>
      <c r="C854" t="str">
        <f>IF(NOT(ISBLANK(A854)),VLOOKUP(A854,'BBT3'!A:F,3,0),"")</f>
        <v/>
      </c>
      <c r="D854" s="5" t="str">
        <f>IF(NOT(ISBLANK(A854)),VLOOKUP(A854,'BBT3'!A:F,4,1),"")</f>
        <v/>
      </c>
      <c r="E854" t="str">
        <f>IF(NOT(ISBLANK(A854)),VLOOKUP(A854,'BBT3'!A:F,5,0),"")</f>
        <v/>
      </c>
      <c r="F854" t="str">
        <f>IF(NOT(ISBLANK(A854)),VLOOKUP(A854,'BBT3'!A:F,6,0),"")</f>
        <v/>
      </c>
      <c r="G854" t="str">
        <f t="shared" si="128"/>
        <v/>
      </c>
      <c r="H854" t="str">
        <f>IF(NOT(ISBLANK(A854)),VLOOKUP(A854,'Close - PriceSaver'!A:J,5,0),"")</f>
        <v/>
      </c>
      <c r="I854" s="4" t="str" cm="1">
        <f t="array" ref="I854">IF(NOT(ISBLANK(A854)),((_xlfn.XLOOKUP(1,(_bbt3[[#All],[ID]]=A854)*(_bbt3[[#All],[METRIC_NAME]]="YLD_YTM_ASK"),_bbt3[[#All],[METRIC_VALUE]])*0.5)+(_xlfn.XLOOKUP(1,(_bbt3[[#All],[ID]]=A854)*(_bbt3[[#All],[METRIC_NAME]]="YLD_YTM_BID"),_bbt3[[#All],[METRIC_VALUE]])*0.5))/100,"")</f>
        <v/>
      </c>
      <c r="J854">
        <f>IF(ISNA(VLOOKUP(A854,'CloseDL - PriceSaverBBT3'!A:E,5,0)),0,VLOOKUP(A854,'CloseDL - PriceSaverBBT3'!A:E,5,0))</f>
        <v>0</v>
      </c>
      <c r="K854" s="7" t="str">
        <f t="shared" si="129"/>
        <v/>
      </c>
      <c r="L854" s="20">
        <f>IF(Close[[#This Row],[CreatedBy]]="MARINER\SilverAdm",1,0)</f>
        <v>1</v>
      </c>
      <c r="M854" t="str">
        <f>IF(NOT(ISBLANK(A854)),VLOOKUP(A854,'Close - PriceSaver'!A:J,6,0),"")</f>
        <v/>
      </c>
      <c r="Q854" t="e">
        <f t="shared" si="130"/>
        <v>#N/A</v>
      </c>
      <c r="R854" t="e">
        <f t="shared" si="131"/>
        <v>#N/A</v>
      </c>
      <c r="S854" t="e">
        <f t="shared" si="132"/>
        <v>#N/A</v>
      </c>
      <c r="T854" s="15" t="e">
        <f t="shared" si="134"/>
        <v>#N/A</v>
      </c>
      <c r="U854" s="18" t="e">
        <f t="shared" si="135"/>
        <v>#N/A</v>
      </c>
      <c r="V854" s="14" t="e">
        <f t="shared" si="133"/>
        <v>#N/A</v>
      </c>
      <c r="W854" s="19" t="e">
        <f t="shared" si="136"/>
        <v>#N/A</v>
      </c>
      <c r="X854" t="e">
        <f>VLOOKUP(P854,Close[[ID]:[CreatedBy]],8,0)</f>
        <v>#N/A</v>
      </c>
    </row>
    <row r="855" spans="2:24" x14ac:dyDescent="0.35">
      <c r="B855" t="str">
        <f>IF(NOT(ISBLANK(A855)),VLOOKUP(A855,'BBT3'!A:F,2,0),"")</f>
        <v/>
      </c>
      <c r="C855" t="str">
        <f>IF(NOT(ISBLANK(A855)),VLOOKUP(A855,'BBT3'!A:F,3,0),"")</f>
        <v/>
      </c>
      <c r="D855" s="5" t="str">
        <f>IF(NOT(ISBLANK(A855)),VLOOKUP(A855,'BBT3'!A:F,4,1),"")</f>
        <v/>
      </c>
      <c r="E855" t="str">
        <f>IF(NOT(ISBLANK(A855)),VLOOKUP(A855,'BBT3'!A:F,5,0),"")</f>
        <v/>
      </c>
      <c r="F855" t="str">
        <f>IF(NOT(ISBLANK(A855)),VLOOKUP(A855,'BBT3'!A:F,6,0),"")</f>
        <v/>
      </c>
      <c r="G855" t="str">
        <f t="shared" si="128"/>
        <v/>
      </c>
      <c r="H855" t="str">
        <f>IF(NOT(ISBLANK(A855)),VLOOKUP(A855,'Close - PriceSaver'!A:J,5,0),"")</f>
        <v/>
      </c>
      <c r="I855" s="4" t="str" cm="1">
        <f t="array" ref="I855">IF(NOT(ISBLANK(A855)),((_xlfn.XLOOKUP(1,(_bbt3[[#All],[ID]]=A855)*(_bbt3[[#All],[METRIC_NAME]]="YLD_YTM_ASK"),_bbt3[[#All],[METRIC_VALUE]])*0.5)+(_xlfn.XLOOKUP(1,(_bbt3[[#All],[ID]]=A855)*(_bbt3[[#All],[METRIC_NAME]]="YLD_YTM_BID"),_bbt3[[#All],[METRIC_VALUE]])*0.5))/100,"")</f>
        <v/>
      </c>
      <c r="J855">
        <f>IF(ISNA(VLOOKUP(A855,'CloseDL - PriceSaverBBT3'!A:E,5,0)),0,VLOOKUP(A855,'CloseDL - PriceSaverBBT3'!A:E,5,0))</f>
        <v>0</v>
      </c>
      <c r="K855" s="7" t="str">
        <f t="shared" si="129"/>
        <v/>
      </c>
      <c r="L855" s="20">
        <f>IF(Close[[#This Row],[CreatedBy]]="MARINER\SilverAdm",1,0)</f>
        <v>1</v>
      </c>
      <c r="M855" t="str">
        <f>IF(NOT(ISBLANK(A855)),VLOOKUP(A855,'Close - PriceSaver'!A:J,6,0),"")</f>
        <v/>
      </c>
      <c r="Q855" t="e">
        <f t="shared" si="130"/>
        <v>#N/A</v>
      </c>
      <c r="R855" t="e">
        <f t="shared" si="131"/>
        <v>#N/A</v>
      </c>
      <c r="S855" t="e">
        <f t="shared" si="132"/>
        <v>#N/A</v>
      </c>
      <c r="T855" s="15" t="e">
        <f t="shared" si="134"/>
        <v>#N/A</v>
      </c>
      <c r="U855" s="18" t="e">
        <f t="shared" si="135"/>
        <v>#N/A</v>
      </c>
      <c r="V855" s="14" t="e">
        <f t="shared" si="133"/>
        <v>#N/A</v>
      </c>
      <c r="W855" s="19" t="e">
        <f t="shared" si="136"/>
        <v>#N/A</v>
      </c>
      <c r="X855" t="e">
        <f>VLOOKUP(P855,Close[[ID]:[CreatedBy]],8,0)</f>
        <v>#N/A</v>
      </c>
    </row>
    <row r="856" spans="2:24" x14ac:dyDescent="0.35">
      <c r="B856" t="str">
        <f>IF(NOT(ISBLANK(A856)),VLOOKUP(A856,'BBT3'!A:F,2,0),"")</f>
        <v/>
      </c>
      <c r="C856" t="str">
        <f>IF(NOT(ISBLANK(A856)),VLOOKUP(A856,'BBT3'!A:F,3,0),"")</f>
        <v/>
      </c>
      <c r="D856" s="5" t="str">
        <f>IF(NOT(ISBLANK(A856)),VLOOKUP(A856,'BBT3'!A:F,4,1),"")</f>
        <v/>
      </c>
      <c r="E856" t="str">
        <f>IF(NOT(ISBLANK(A856)),VLOOKUP(A856,'BBT3'!A:F,5,0),"")</f>
        <v/>
      </c>
      <c r="F856" t="str">
        <f>IF(NOT(ISBLANK(A856)),VLOOKUP(A856,'BBT3'!A:F,6,0),"")</f>
        <v/>
      </c>
      <c r="G856" t="str">
        <f t="shared" si="128"/>
        <v/>
      </c>
      <c r="H856" t="str">
        <f>IF(NOT(ISBLANK(A856)),VLOOKUP(A856,'Close - PriceSaver'!A:J,5,0),"")</f>
        <v/>
      </c>
      <c r="I856" s="4" t="str" cm="1">
        <f t="array" ref="I856">IF(NOT(ISBLANK(A856)),((_xlfn.XLOOKUP(1,(_bbt3[[#All],[ID]]=A856)*(_bbt3[[#All],[METRIC_NAME]]="YLD_YTM_ASK"),_bbt3[[#All],[METRIC_VALUE]])*0.5)+(_xlfn.XLOOKUP(1,(_bbt3[[#All],[ID]]=A856)*(_bbt3[[#All],[METRIC_NAME]]="YLD_YTM_BID"),_bbt3[[#All],[METRIC_VALUE]])*0.5))/100,"")</f>
        <v/>
      </c>
      <c r="J856">
        <f>IF(ISNA(VLOOKUP(A856,'CloseDL - PriceSaverBBT3'!A:E,5,0)),0,VLOOKUP(A856,'CloseDL - PriceSaverBBT3'!A:E,5,0))</f>
        <v>0</v>
      </c>
      <c r="K856" s="7" t="str">
        <f t="shared" si="129"/>
        <v/>
      </c>
      <c r="L856" s="20">
        <f>IF(Close[[#This Row],[CreatedBy]]="MARINER\SilverAdm",1,0)</f>
        <v>1</v>
      </c>
      <c r="M856" t="str">
        <f>IF(NOT(ISBLANK(A856)),VLOOKUP(A856,'Close - PriceSaver'!A:J,6,0),"")</f>
        <v/>
      </c>
      <c r="Q856" t="e">
        <f t="shared" si="130"/>
        <v>#N/A</v>
      </c>
      <c r="R856" t="e">
        <f t="shared" si="131"/>
        <v>#N/A</v>
      </c>
      <c r="S856" t="e">
        <f t="shared" si="132"/>
        <v>#N/A</v>
      </c>
      <c r="T856" s="15" t="e">
        <f t="shared" si="134"/>
        <v>#N/A</v>
      </c>
      <c r="U856" s="18" t="e">
        <f t="shared" si="135"/>
        <v>#N/A</v>
      </c>
      <c r="V856" s="14" t="e">
        <f t="shared" si="133"/>
        <v>#N/A</v>
      </c>
      <c r="W856" s="19" t="e">
        <f t="shared" si="136"/>
        <v>#N/A</v>
      </c>
      <c r="X856" t="e">
        <f>VLOOKUP(P856,Close[[ID]:[CreatedBy]],8,0)</f>
        <v>#N/A</v>
      </c>
    </row>
    <row r="857" spans="2:24" x14ac:dyDescent="0.35">
      <c r="B857" t="str">
        <f>IF(NOT(ISBLANK(A857)),VLOOKUP(A857,'BBT3'!A:F,2,0),"")</f>
        <v/>
      </c>
      <c r="C857" t="str">
        <f>IF(NOT(ISBLANK(A857)),VLOOKUP(A857,'BBT3'!A:F,3,0),"")</f>
        <v/>
      </c>
      <c r="D857" s="5" t="str">
        <f>IF(NOT(ISBLANK(A857)),VLOOKUP(A857,'BBT3'!A:F,4,1),"")</f>
        <v/>
      </c>
      <c r="E857" t="str">
        <f>IF(NOT(ISBLANK(A857)),VLOOKUP(A857,'BBT3'!A:F,5,0),"")</f>
        <v/>
      </c>
      <c r="F857" t="str">
        <f>IF(NOT(ISBLANK(A857)),VLOOKUP(A857,'BBT3'!A:F,6,0),"")</f>
        <v/>
      </c>
      <c r="G857" t="str">
        <f t="shared" si="128"/>
        <v/>
      </c>
      <c r="H857" t="str">
        <f>IF(NOT(ISBLANK(A857)),VLOOKUP(A857,'Close - PriceSaver'!A:J,5,0),"")</f>
        <v/>
      </c>
      <c r="I857" s="4" t="str" cm="1">
        <f t="array" ref="I857">IF(NOT(ISBLANK(A857)),((_xlfn.XLOOKUP(1,(_bbt3[[#All],[ID]]=A857)*(_bbt3[[#All],[METRIC_NAME]]="YLD_YTM_ASK"),_bbt3[[#All],[METRIC_VALUE]])*0.5)+(_xlfn.XLOOKUP(1,(_bbt3[[#All],[ID]]=A857)*(_bbt3[[#All],[METRIC_NAME]]="YLD_YTM_BID"),_bbt3[[#All],[METRIC_VALUE]])*0.5))/100,"")</f>
        <v/>
      </c>
      <c r="J857">
        <f>IF(ISNA(VLOOKUP(A857,'CloseDL - PriceSaverBBT3'!A:E,5,0)),0,VLOOKUP(A857,'CloseDL - PriceSaverBBT3'!A:E,5,0))</f>
        <v>0</v>
      </c>
      <c r="K857" s="7" t="str">
        <f t="shared" si="129"/>
        <v/>
      </c>
      <c r="L857" s="20">
        <f>IF(Close[[#This Row],[CreatedBy]]="MARINER\SilverAdm",1,0)</f>
        <v>1</v>
      </c>
      <c r="M857" t="str">
        <f>IF(NOT(ISBLANK(A857)),VLOOKUP(A857,'Close - PriceSaver'!A:J,6,0),"")</f>
        <v/>
      </c>
      <c r="Q857" t="e">
        <f t="shared" si="130"/>
        <v>#N/A</v>
      </c>
      <c r="R857" t="e">
        <f t="shared" si="131"/>
        <v>#N/A</v>
      </c>
      <c r="S857" t="e">
        <f t="shared" si="132"/>
        <v>#N/A</v>
      </c>
      <c r="T857" s="15" t="e">
        <f t="shared" si="134"/>
        <v>#N/A</v>
      </c>
      <c r="U857" s="18" t="e">
        <f t="shared" si="135"/>
        <v>#N/A</v>
      </c>
      <c r="V857" s="14" t="e">
        <f t="shared" si="133"/>
        <v>#N/A</v>
      </c>
      <c r="W857" s="19" t="e">
        <f t="shared" si="136"/>
        <v>#N/A</v>
      </c>
      <c r="X857" t="e">
        <f>VLOOKUP(P857,Close[[ID]:[CreatedBy]],8,0)</f>
        <v>#N/A</v>
      </c>
    </row>
    <row r="858" spans="2:24" x14ac:dyDescent="0.35">
      <c r="B858" t="str">
        <f>IF(NOT(ISBLANK(A858)),VLOOKUP(A858,'BBT3'!A:F,2,0),"")</f>
        <v/>
      </c>
      <c r="C858" t="str">
        <f>IF(NOT(ISBLANK(A858)),VLOOKUP(A858,'BBT3'!A:F,3,0),"")</f>
        <v/>
      </c>
      <c r="D858" s="5" t="str">
        <f>IF(NOT(ISBLANK(A858)),VLOOKUP(A858,'BBT3'!A:F,4,1),"")</f>
        <v/>
      </c>
      <c r="E858" t="str">
        <f>IF(NOT(ISBLANK(A858)),VLOOKUP(A858,'BBT3'!A:F,5,0),"")</f>
        <v/>
      </c>
      <c r="F858" t="str">
        <f>IF(NOT(ISBLANK(A858)),VLOOKUP(A858,'BBT3'!A:F,6,0),"")</f>
        <v/>
      </c>
      <c r="G858" t="str">
        <f t="shared" si="128"/>
        <v/>
      </c>
      <c r="H858" t="str">
        <f>IF(NOT(ISBLANK(A858)),VLOOKUP(A858,'Close - PriceSaver'!A:J,5,0),"")</f>
        <v/>
      </c>
      <c r="I858" s="4" t="str" cm="1">
        <f t="array" ref="I858">IF(NOT(ISBLANK(A858)),((_xlfn.XLOOKUP(1,(_bbt3[[#All],[ID]]=A858)*(_bbt3[[#All],[METRIC_NAME]]="YLD_YTM_ASK"),_bbt3[[#All],[METRIC_VALUE]])*0.5)+(_xlfn.XLOOKUP(1,(_bbt3[[#All],[ID]]=A858)*(_bbt3[[#All],[METRIC_NAME]]="YLD_YTM_BID"),_bbt3[[#All],[METRIC_VALUE]])*0.5))/100,"")</f>
        <v/>
      </c>
      <c r="J858">
        <f>IF(ISNA(VLOOKUP(A858,'CloseDL - PriceSaverBBT3'!A:E,5,0)),0,VLOOKUP(A858,'CloseDL - PriceSaverBBT3'!A:E,5,0))</f>
        <v>0</v>
      </c>
      <c r="K858" s="7" t="str">
        <f t="shared" si="129"/>
        <v/>
      </c>
      <c r="L858" s="20">
        <f>IF(Close[[#This Row],[CreatedBy]]="MARINER\SilverAdm",1,0)</f>
        <v>1</v>
      </c>
      <c r="M858" t="str">
        <f>IF(NOT(ISBLANK(A858)),VLOOKUP(A858,'Close - PriceSaver'!A:J,6,0),"")</f>
        <v/>
      </c>
      <c r="Q858" t="e">
        <f t="shared" si="130"/>
        <v>#N/A</v>
      </c>
      <c r="R858" t="e">
        <f t="shared" si="131"/>
        <v>#N/A</v>
      </c>
      <c r="S858" t="e">
        <f t="shared" si="132"/>
        <v>#N/A</v>
      </c>
      <c r="T858" s="15" t="e">
        <f t="shared" si="134"/>
        <v>#N/A</v>
      </c>
      <c r="U858" s="18" t="e">
        <f t="shared" si="135"/>
        <v>#N/A</v>
      </c>
      <c r="V858" s="14" t="e">
        <f t="shared" si="133"/>
        <v>#N/A</v>
      </c>
      <c r="W858" s="19" t="e">
        <f t="shared" si="136"/>
        <v>#N/A</v>
      </c>
      <c r="X858" t="e">
        <f>VLOOKUP(P858,Close[[ID]:[CreatedBy]],8,0)</f>
        <v>#N/A</v>
      </c>
    </row>
    <row r="859" spans="2:24" x14ac:dyDescent="0.35">
      <c r="B859" t="str">
        <f>IF(NOT(ISBLANK(A859)),VLOOKUP(A859,'BBT3'!A:F,2,0),"")</f>
        <v/>
      </c>
      <c r="C859" t="str">
        <f>IF(NOT(ISBLANK(A859)),VLOOKUP(A859,'BBT3'!A:F,3,0),"")</f>
        <v/>
      </c>
      <c r="D859" s="5" t="str">
        <f>IF(NOT(ISBLANK(A859)),VLOOKUP(A859,'BBT3'!A:F,4,1),"")</f>
        <v/>
      </c>
      <c r="E859" t="str">
        <f>IF(NOT(ISBLANK(A859)),VLOOKUP(A859,'BBT3'!A:F,5,0),"")</f>
        <v/>
      </c>
      <c r="F859" t="str">
        <f>IF(NOT(ISBLANK(A859)),VLOOKUP(A859,'BBT3'!A:F,6,0),"")</f>
        <v/>
      </c>
      <c r="G859" t="str">
        <f t="shared" si="128"/>
        <v/>
      </c>
      <c r="H859" t="str">
        <f>IF(NOT(ISBLANK(A859)),VLOOKUP(A859,'Close - PriceSaver'!A:J,5,0),"")</f>
        <v/>
      </c>
      <c r="I859" s="4" t="str" cm="1">
        <f t="array" ref="I859">IF(NOT(ISBLANK(A859)),((_xlfn.XLOOKUP(1,(_bbt3[[#All],[ID]]=A859)*(_bbt3[[#All],[METRIC_NAME]]="YLD_YTM_ASK"),_bbt3[[#All],[METRIC_VALUE]])*0.5)+(_xlfn.XLOOKUP(1,(_bbt3[[#All],[ID]]=A859)*(_bbt3[[#All],[METRIC_NAME]]="YLD_YTM_BID"),_bbt3[[#All],[METRIC_VALUE]])*0.5))/100,"")</f>
        <v/>
      </c>
      <c r="J859">
        <f>IF(ISNA(VLOOKUP(A859,'CloseDL - PriceSaverBBT3'!A:E,5,0)),0,VLOOKUP(A859,'CloseDL - PriceSaverBBT3'!A:E,5,0))</f>
        <v>0</v>
      </c>
      <c r="K859" s="7" t="str">
        <f t="shared" si="129"/>
        <v/>
      </c>
      <c r="L859" s="20">
        <f>IF(Close[[#This Row],[CreatedBy]]="MARINER\SilverAdm",1,0)</f>
        <v>1</v>
      </c>
      <c r="M859" t="str">
        <f>IF(NOT(ISBLANK(A859)),VLOOKUP(A859,'Close - PriceSaver'!A:J,6,0),"")</f>
        <v/>
      </c>
      <c r="Q859" t="e">
        <f t="shared" si="130"/>
        <v>#N/A</v>
      </c>
      <c r="R859" t="e">
        <f t="shared" si="131"/>
        <v>#N/A</v>
      </c>
      <c r="S859" t="e">
        <f t="shared" si="132"/>
        <v>#N/A</v>
      </c>
      <c r="T859" s="15" t="e">
        <f t="shared" si="134"/>
        <v>#N/A</v>
      </c>
      <c r="U859" s="18" t="e">
        <f t="shared" si="135"/>
        <v>#N/A</v>
      </c>
      <c r="V859" s="14" t="e">
        <f t="shared" si="133"/>
        <v>#N/A</v>
      </c>
      <c r="W859" s="19" t="e">
        <f t="shared" si="136"/>
        <v>#N/A</v>
      </c>
      <c r="X859" t="e">
        <f>VLOOKUP(P859,Close[[ID]:[CreatedBy]],8,0)</f>
        <v>#N/A</v>
      </c>
    </row>
    <row r="860" spans="2:24" x14ac:dyDescent="0.35">
      <c r="B860" t="str">
        <f>IF(NOT(ISBLANK(A860)),VLOOKUP(A860,'BBT3'!A:F,2,0),"")</f>
        <v/>
      </c>
      <c r="C860" t="str">
        <f>IF(NOT(ISBLANK(A860)),VLOOKUP(A860,'BBT3'!A:F,3,0),"")</f>
        <v/>
      </c>
      <c r="D860" s="5" t="str">
        <f>IF(NOT(ISBLANK(A860)),VLOOKUP(A860,'BBT3'!A:F,4,1),"")</f>
        <v/>
      </c>
      <c r="E860" t="str">
        <f>IF(NOT(ISBLANK(A860)),VLOOKUP(A860,'BBT3'!A:F,5,0),"")</f>
        <v/>
      </c>
      <c r="F860" t="str">
        <f>IF(NOT(ISBLANK(A860)),VLOOKUP(A860,'BBT3'!A:F,6,0),"")</f>
        <v/>
      </c>
      <c r="G860" t="str">
        <f t="shared" si="128"/>
        <v/>
      </c>
      <c r="H860" t="str">
        <f>IF(NOT(ISBLANK(A860)),VLOOKUP(A860,'Close - PriceSaver'!A:J,5,0),"")</f>
        <v/>
      </c>
      <c r="I860" s="4" t="str" cm="1">
        <f t="array" ref="I860">IF(NOT(ISBLANK(A860)),((_xlfn.XLOOKUP(1,(_bbt3[[#All],[ID]]=A860)*(_bbt3[[#All],[METRIC_NAME]]="YLD_YTM_ASK"),_bbt3[[#All],[METRIC_VALUE]])*0.5)+(_xlfn.XLOOKUP(1,(_bbt3[[#All],[ID]]=A860)*(_bbt3[[#All],[METRIC_NAME]]="YLD_YTM_BID"),_bbt3[[#All],[METRIC_VALUE]])*0.5))/100,"")</f>
        <v/>
      </c>
      <c r="J860">
        <f>IF(ISNA(VLOOKUP(A860,'CloseDL - PriceSaverBBT3'!A:E,5,0)),0,VLOOKUP(A860,'CloseDL - PriceSaverBBT3'!A:E,5,0))</f>
        <v>0</v>
      </c>
      <c r="K860" s="7" t="str">
        <f t="shared" si="129"/>
        <v/>
      </c>
      <c r="L860" s="20">
        <f>IF(Close[[#This Row],[CreatedBy]]="MARINER\SilverAdm",1,0)</f>
        <v>1</v>
      </c>
      <c r="M860" t="str">
        <f>IF(NOT(ISBLANK(A860)),VLOOKUP(A860,'Close - PriceSaver'!A:J,6,0),"")</f>
        <v/>
      </c>
      <c r="Q860" t="e">
        <f t="shared" si="130"/>
        <v>#N/A</v>
      </c>
      <c r="R860" t="e">
        <f t="shared" si="131"/>
        <v>#N/A</v>
      </c>
      <c r="S860" t="e">
        <f t="shared" si="132"/>
        <v>#N/A</v>
      </c>
      <c r="T860" s="15" t="e">
        <f t="shared" si="134"/>
        <v>#N/A</v>
      </c>
      <c r="U860" s="18" t="e">
        <f t="shared" si="135"/>
        <v>#N/A</v>
      </c>
      <c r="V860" s="14" t="e">
        <f t="shared" si="133"/>
        <v>#N/A</v>
      </c>
      <c r="W860" s="19" t="e">
        <f t="shared" si="136"/>
        <v>#N/A</v>
      </c>
      <c r="X860" t="e">
        <f>VLOOKUP(P860,Close[[ID]:[CreatedBy]],8,0)</f>
        <v>#N/A</v>
      </c>
    </row>
    <row r="861" spans="2:24" x14ac:dyDescent="0.35">
      <c r="B861" t="str">
        <f>IF(NOT(ISBLANK(A861)),VLOOKUP(A861,'BBT3'!A:F,2,0),"")</f>
        <v/>
      </c>
      <c r="C861" t="str">
        <f>IF(NOT(ISBLANK(A861)),VLOOKUP(A861,'BBT3'!A:F,3,0),"")</f>
        <v/>
      </c>
      <c r="D861" s="5" t="str">
        <f>IF(NOT(ISBLANK(A861)),VLOOKUP(A861,'BBT3'!A:F,4,1),"")</f>
        <v/>
      </c>
      <c r="E861" t="str">
        <f>IF(NOT(ISBLANK(A861)),VLOOKUP(A861,'BBT3'!A:F,5,0),"")</f>
        <v/>
      </c>
      <c r="F861" t="str">
        <f>IF(NOT(ISBLANK(A861)),VLOOKUP(A861,'BBT3'!A:F,6,0),"")</f>
        <v/>
      </c>
      <c r="G861" t="str">
        <f t="shared" si="128"/>
        <v/>
      </c>
      <c r="H861" t="str">
        <f>IF(NOT(ISBLANK(A861)),VLOOKUP(A861,'Close - PriceSaver'!A:J,5,0),"")</f>
        <v/>
      </c>
      <c r="I861" s="4" t="str" cm="1">
        <f t="array" ref="I861">IF(NOT(ISBLANK(A861)),((_xlfn.XLOOKUP(1,(_bbt3[[#All],[ID]]=A861)*(_bbt3[[#All],[METRIC_NAME]]="YLD_YTM_ASK"),_bbt3[[#All],[METRIC_VALUE]])*0.5)+(_xlfn.XLOOKUP(1,(_bbt3[[#All],[ID]]=A861)*(_bbt3[[#All],[METRIC_NAME]]="YLD_YTM_BID"),_bbt3[[#All],[METRIC_VALUE]])*0.5))/100,"")</f>
        <v/>
      </c>
      <c r="J861">
        <f>IF(ISNA(VLOOKUP(A861,'CloseDL - PriceSaverBBT3'!A:E,5,0)),0,VLOOKUP(A861,'CloseDL - PriceSaverBBT3'!A:E,5,0))</f>
        <v>0</v>
      </c>
      <c r="K861" s="7" t="str">
        <f t="shared" si="129"/>
        <v/>
      </c>
      <c r="L861" s="20">
        <f>IF(Close[[#This Row],[CreatedBy]]="MARINER\SilverAdm",1,0)</f>
        <v>1</v>
      </c>
      <c r="M861" t="str">
        <f>IF(NOT(ISBLANK(A861)),VLOOKUP(A861,'Close - PriceSaver'!A:J,6,0),"")</f>
        <v/>
      </c>
      <c r="Q861" t="e">
        <f t="shared" si="130"/>
        <v>#N/A</v>
      </c>
      <c r="R861" t="e">
        <f t="shared" si="131"/>
        <v>#N/A</v>
      </c>
      <c r="S861" t="e">
        <f t="shared" si="132"/>
        <v>#N/A</v>
      </c>
      <c r="T861" s="15" t="e">
        <f t="shared" si="134"/>
        <v>#N/A</v>
      </c>
      <c r="U861" s="18" t="e">
        <f t="shared" si="135"/>
        <v>#N/A</v>
      </c>
      <c r="V861" s="14" t="e">
        <f t="shared" si="133"/>
        <v>#N/A</v>
      </c>
      <c r="W861" s="19" t="e">
        <f t="shared" si="136"/>
        <v>#N/A</v>
      </c>
      <c r="X861" t="e">
        <f>VLOOKUP(P861,Close[[ID]:[CreatedBy]],8,0)</f>
        <v>#N/A</v>
      </c>
    </row>
    <row r="862" spans="2:24" x14ac:dyDescent="0.35">
      <c r="B862" t="str">
        <f>IF(NOT(ISBLANK(A862)),VLOOKUP(A862,'BBT3'!A:F,2,0),"")</f>
        <v/>
      </c>
      <c r="C862" t="str">
        <f>IF(NOT(ISBLANK(A862)),VLOOKUP(A862,'BBT3'!A:F,3,0),"")</f>
        <v/>
      </c>
      <c r="D862" s="5" t="str">
        <f>IF(NOT(ISBLANK(A862)),VLOOKUP(A862,'BBT3'!A:F,4,1),"")</f>
        <v/>
      </c>
      <c r="E862" t="str">
        <f>IF(NOT(ISBLANK(A862)),VLOOKUP(A862,'BBT3'!A:F,5,0),"")</f>
        <v/>
      </c>
      <c r="F862" t="str">
        <f>IF(NOT(ISBLANK(A862)),VLOOKUP(A862,'BBT3'!A:F,6,0),"")</f>
        <v/>
      </c>
      <c r="G862" t="str">
        <f t="shared" si="128"/>
        <v/>
      </c>
      <c r="H862" t="str">
        <f>IF(NOT(ISBLANK(A862)),VLOOKUP(A862,'Close - PriceSaver'!A:J,5,0),"")</f>
        <v/>
      </c>
      <c r="I862" s="4" t="str" cm="1">
        <f t="array" ref="I862">IF(NOT(ISBLANK(A862)),((_xlfn.XLOOKUP(1,(_bbt3[[#All],[ID]]=A862)*(_bbt3[[#All],[METRIC_NAME]]="YLD_YTM_ASK"),_bbt3[[#All],[METRIC_VALUE]])*0.5)+(_xlfn.XLOOKUP(1,(_bbt3[[#All],[ID]]=A862)*(_bbt3[[#All],[METRIC_NAME]]="YLD_YTM_BID"),_bbt3[[#All],[METRIC_VALUE]])*0.5))/100,"")</f>
        <v/>
      </c>
      <c r="J862">
        <f>IF(ISNA(VLOOKUP(A862,'CloseDL - PriceSaverBBT3'!A:E,5,0)),0,VLOOKUP(A862,'CloseDL - PriceSaverBBT3'!A:E,5,0))</f>
        <v>0</v>
      </c>
      <c r="K862" s="7" t="str">
        <f t="shared" si="129"/>
        <v/>
      </c>
      <c r="L862" s="20">
        <f>IF(Close[[#This Row],[CreatedBy]]="MARINER\SilverAdm",1,0)</f>
        <v>1</v>
      </c>
      <c r="M862" t="str">
        <f>IF(NOT(ISBLANK(A862)),VLOOKUP(A862,'Close - PriceSaver'!A:J,6,0),"")</f>
        <v/>
      </c>
      <c r="Q862" t="e">
        <f t="shared" si="130"/>
        <v>#N/A</v>
      </c>
      <c r="R862" t="e">
        <f t="shared" si="131"/>
        <v>#N/A</v>
      </c>
      <c r="S862" t="e">
        <f t="shared" si="132"/>
        <v>#N/A</v>
      </c>
      <c r="T862" s="15" t="e">
        <f t="shared" si="134"/>
        <v>#N/A</v>
      </c>
      <c r="U862" s="18" t="e">
        <f t="shared" si="135"/>
        <v>#N/A</v>
      </c>
      <c r="V862" s="14" t="e">
        <f t="shared" si="133"/>
        <v>#N/A</v>
      </c>
      <c r="W862" s="19" t="e">
        <f t="shared" si="136"/>
        <v>#N/A</v>
      </c>
      <c r="X862" t="e">
        <f>VLOOKUP(P862,Close[[ID]:[CreatedBy]],8,0)</f>
        <v>#N/A</v>
      </c>
    </row>
    <row r="863" spans="2:24" x14ac:dyDescent="0.35">
      <c r="B863" t="str">
        <f>IF(NOT(ISBLANK(A863)),VLOOKUP(A863,'BBT3'!A:F,2,0),"")</f>
        <v/>
      </c>
      <c r="C863" t="str">
        <f>IF(NOT(ISBLANK(A863)),VLOOKUP(A863,'BBT3'!A:F,3,0),"")</f>
        <v/>
      </c>
      <c r="D863" s="5" t="str">
        <f>IF(NOT(ISBLANK(A863)),VLOOKUP(A863,'BBT3'!A:F,4,1),"")</f>
        <v/>
      </c>
      <c r="E863" t="str">
        <f>IF(NOT(ISBLANK(A863)),VLOOKUP(A863,'BBT3'!A:F,5,0),"")</f>
        <v/>
      </c>
      <c r="F863" t="str">
        <f>IF(NOT(ISBLANK(A863)),VLOOKUP(A863,'BBT3'!A:F,6,0),"")</f>
        <v/>
      </c>
      <c r="G863" t="str">
        <f t="shared" si="128"/>
        <v/>
      </c>
      <c r="H863" t="str">
        <f>IF(NOT(ISBLANK(A863)),VLOOKUP(A863,'Close - PriceSaver'!A:J,5,0),"")</f>
        <v/>
      </c>
      <c r="I863" s="4" t="str" cm="1">
        <f t="array" ref="I863">IF(NOT(ISBLANK(A863)),((_xlfn.XLOOKUP(1,(_bbt3[[#All],[ID]]=A863)*(_bbt3[[#All],[METRIC_NAME]]="YLD_YTM_ASK"),_bbt3[[#All],[METRIC_VALUE]])*0.5)+(_xlfn.XLOOKUP(1,(_bbt3[[#All],[ID]]=A863)*(_bbt3[[#All],[METRIC_NAME]]="YLD_YTM_BID"),_bbt3[[#All],[METRIC_VALUE]])*0.5))/100,"")</f>
        <v/>
      </c>
      <c r="J863">
        <f>IF(ISNA(VLOOKUP(A863,'CloseDL - PriceSaverBBT3'!A:E,5,0)),0,VLOOKUP(A863,'CloseDL - PriceSaverBBT3'!A:E,5,0))</f>
        <v>0</v>
      </c>
      <c r="K863" s="7" t="str">
        <f t="shared" si="129"/>
        <v/>
      </c>
      <c r="L863" s="20">
        <f>IF(Close[[#This Row],[CreatedBy]]="MARINER\SilverAdm",1,0)</f>
        <v>1</v>
      </c>
      <c r="M863" t="str">
        <f>IF(NOT(ISBLANK(A863)),VLOOKUP(A863,'Close - PriceSaver'!A:J,6,0),"")</f>
        <v/>
      </c>
      <c r="Q863" t="e">
        <f t="shared" si="130"/>
        <v>#N/A</v>
      </c>
      <c r="R863" t="e">
        <f t="shared" si="131"/>
        <v>#N/A</v>
      </c>
      <c r="S863" t="e">
        <f t="shared" si="132"/>
        <v>#N/A</v>
      </c>
      <c r="T863" s="15" t="e">
        <f t="shared" si="134"/>
        <v>#N/A</v>
      </c>
      <c r="U863" s="18" t="e">
        <f t="shared" si="135"/>
        <v>#N/A</v>
      </c>
      <c r="V863" s="14" t="e">
        <f t="shared" si="133"/>
        <v>#N/A</v>
      </c>
      <c r="W863" s="19" t="e">
        <f t="shared" si="136"/>
        <v>#N/A</v>
      </c>
      <c r="X863" t="e">
        <f>VLOOKUP(P863,Close[[ID]:[CreatedBy]],8,0)</f>
        <v>#N/A</v>
      </c>
    </row>
    <row r="864" spans="2:24" x14ac:dyDescent="0.35">
      <c r="B864" t="str">
        <f>IF(NOT(ISBLANK(A864)),VLOOKUP(A864,'BBT3'!A:F,2,0),"")</f>
        <v/>
      </c>
      <c r="C864" t="str">
        <f>IF(NOT(ISBLANK(A864)),VLOOKUP(A864,'BBT3'!A:F,3,0),"")</f>
        <v/>
      </c>
      <c r="D864" s="5" t="str">
        <f>IF(NOT(ISBLANK(A864)),VLOOKUP(A864,'BBT3'!A:F,4,1),"")</f>
        <v/>
      </c>
      <c r="E864" t="str">
        <f>IF(NOT(ISBLANK(A864)),VLOOKUP(A864,'BBT3'!A:F,5,0),"")</f>
        <v/>
      </c>
      <c r="F864" t="str">
        <f>IF(NOT(ISBLANK(A864)),VLOOKUP(A864,'BBT3'!A:F,6,0),"")</f>
        <v/>
      </c>
      <c r="G864" t="str">
        <f t="shared" si="128"/>
        <v/>
      </c>
      <c r="H864" t="str">
        <f>IF(NOT(ISBLANK(A864)),VLOOKUP(A864,'Close - PriceSaver'!A:J,5,0),"")</f>
        <v/>
      </c>
      <c r="I864" s="4" t="str" cm="1">
        <f t="array" ref="I864">IF(NOT(ISBLANK(A864)),((_xlfn.XLOOKUP(1,(_bbt3[[#All],[ID]]=A864)*(_bbt3[[#All],[METRIC_NAME]]="YLD_YTM_ASK"),_bbt3[[#All],[METRIC_VALUE]])*0.5)+(_xlfn.XLOOKUP(1,(_bbt3[[#All],[ID]]=A864)*(_bbt3[[#All],[METRIC_NAME]]="YLD_YTM_BID"),_bbt3[[#All],[METRIC_VALUE]])*0.5))/100,"")</f>
        <v/>
      </c>
      <c r="J864">
        <f>IF(ISNA(VLOOKUP(A864,'CloseDL - PriceSaverBBT3'!A:E,5,0)),0,VLOOKUP(A864,'CloseDL - PriceSaverBBT3'!A:E,5,0))</f>
        <v>0</v>
      </c>
      <c r="K864" s="7" t="str">
        <f t="shared" si="129"/>
        <v/>
      </c>
      <c r="L864" s="20">
        <f>IF(Close[[#This Row],[CreatedBy]]="MARINER\SilverAdm",1,0)</f>
        <v>1</v>
      </c>
      <c r="M864" t="str">
        <f>IF(NOT(ISBLANK(A864)),VLOOKUP(A864,'Close - PriceSaver'!A:J,6,0),"")</f>
        <v/>
      </c>
      <c r="Q864" t="e">
        <f t="shared" si="130"/>
        <v>#N/A</v>
      </c>
      <c r="R864" t="e">
        <f t="shared" si="131"/>
        <v>#N/A</v>
      </c>
      <c r="S864" t="e">
        <f t="shared" si="132"/>
        <v>#N/A</v>
      </c>
      <c r="T864" s="15" t="e">
        <f t="shared" si="134"/>
        <v>#N/A</v>
      </c>
      <c r="U864" s="18" t="e">
        <f t="shared" si="135"/>
        <v>#N/A</v>
      </c>
      <c r="V864" s="14" t="e">
        <f t="shared" si="133"/>
        <v>#N/A</v>
      </c>
      <c r="W864" s="19" t="e">
        <f t="shared" si="136"/>
        <v>#N/A</v>
      </c>
      <c r="X864" t="e">
        <f>VLOOKUP(P864,Close[[ID]:[CreatedBy]],8,0)</f>
        <v>#N/A</v>
      </c>
    </row>
    <row r="865" spans="2:24" x14ac:dyDescent="0.35">
      <c r="B865" t="str">
        <f>IF(NOT(ISBLANK(A865)),VLOOKUP(A865,'BBT3'!A:F,2,0),"")</f>
        <v/>
      </c>
      <c r="C865" t="str">
        <f>IF(NOT(ISBLANK(A865)),VLOOKUP(A865,'BBT3'!A:F,3,0),"")</f>
        <v/>
      </c>
      <c r="D865" s="5" t="str">
        <f>IF(NOT(ISBLANK(A865)),VLOOKUP(A865,'BBT3'!A:F,4,1),"")</f>
        <v/>
      </c>
      <c r="E865" t="str">
        <f>IF(NOT(ISBLANK(A865)),VLOOKUP(A865,'BBT3'!A:F,5,0),"")</f>
        <v/>
      </c>
      <c r="F865" t="str">
        <f>IF(NOT(ISBLANK(A865)),VLOOKUP(A865,'BBT3'!A:F,6,0),"")</f>
        <v/>
      </c>
      <c r="G865" t="str">
        <f t="shared" si="128"/>
        <v/>
      </c>
      <c r="H865" t="str">
        <f>IF(NOT(ISBLANK(A865)),VLOOKUP(A865,'Close - PriceSaver'!A:J,5,0),"")</f>
        <v/>
      </c>
      <c r="I865" s="4" t="str" cm="1">
        <f t="array" ref="I865">IF(NOT(ISBLANK(A865)),((_xlfn.XLOOKUP(1,(_bbt3[[#All],[ID]]=A865)*(_bbt3[[#All],[METRIC_NAME]]="YLD_YTM_ASK"),_bbt3[[#All],[METRIC_VALUE]])*0.5)+(_xlfn.XLOOKUP(1,(_bbt3[[#All],[ID]]=A865)*(_bbt3[[#All],[METRIC_NAME]]="YLD_YTM_BID"),_bbt3[[#All],[METRIC_VALUE]])*0.5))/100,"")</f>
        <v/>
      </c>
      <c r="J865">
        <f>IF(ISNA(VLOOKUP(A865,'CloseDL - PriceSaverBBT3'!A:E,5,0)),0,VLOOKUP(A865,'CloseDL - PriceSaverBBT3'!A:E,5,0))</f>
        <v>0</v>
      </c>
      <c r="K865" s="7" t="str">
        <f t="shared" si="129"/>
        <v/>
      </c>
      <c r="L865" s="20">
        <f>IF(Close[[#This Row],[CreatedBy]]="MARINER\SilverAdm",1,0)</f>
        <v>1</v>
      </c>
      <c r="M865" t="str">
        <f>IF(NOT(ISBLANK(A865)),VLOOKUP(A865,'Close - PriceSaver'!A:J,6,0),"")</f>
        <v/>
      </c>
      <c r="Q865" t="e">
        <f t="shared" si="130"/>
        <v>#N/A</v>
      </c>
      <c r="R865" t="e">
        <f t="shared" si="131"/>
        <v>#N/A</v>
      </c>
      <c r="S865" t="e">
        <f t="shared" si="132"/>
        <v>#N/A</v>
      </c>
      <c r="T865" s="15" t="e">
        <f t="shared" si="134"/>
        <v>#N/A</v>
      </c>
      <c r="U865" s="18" t="e">
        <f t="shared" si="135"/>
        <v>#N/A</v>
      </c>
      <c r="V865" s="14" t="e">
        <f t="shared" si="133"/>
        <v>#N/A</v>
      </c>
      <c r="W865" s="19" t="e">
        <f t="shared" si="136"/>
        <v>#N/A</v>
      </c>
      <c r="X865" t="e">
        <f>VLOOKUP(P865,Close[[ID]:[CreatedBy]],8,0)</f>
        <v>#N/A</v>
      </c>
    </row>
    <row r="866" spans="2:24" x14ac:dyDescent="0.35">
      <c r="B866" t="str">
        <f>IF(NOT(ISBLANK(A866)),VLOOKUP(A866,'BBT3'!A:F,2,0),"")</f>
        <v/>
      </c>
      <c r="C866" t="str">
        <f>IF(NOT(ISBLANK(A866)),VLOOKUP(A866,'BBT3'!A:F,3,0),"")</f>
        <v/>
      </c>
      <c r="D866" s="5" t="str">
        <f>IF(NOT(ISBLANK(A866)),VLOOKUP(A866,'BBT3'!A:F,4,1),"")</f>
        <v/>
      </c>
      <c r="E866" t="str">
        <f>IF(NOT(ISBLANK(A866)),VLOOKUP(A866,'BBT3'!A:F,5,0),"")</f>
        <v/>
      </c>
      <c r="F866" t="str">
        <f>IF(NOT(ISBLANK(A866)),VLOOKUP(A866,'BBT3'!A:F,6,0),"")</f>
        <v/>
      </c>
      <c r="G866" t="str">
        <f t="shared" si="128"/>
        <v/>
      </c>
      <c r="H866" t="str">
        <f>IF(NOT(ISBLANK(A866)),VLOOKUP(A866,'Close - PriceSaver'!A:J,5,0),"")</f>
        <v/>
      </c>
      <c r="I866" s="4" t="str" cm="1">
        <f t="array" ref="I866">IF(NOT(ISBLANK(A866)),((_xlfn.XLOOKUP(1,(_bbt3[[#All],[ID]]=A866)*(_bbt3[[#All],[METRIC_NAME]]="YLD_YTM_ASK"),_bbt3[[#All],[METRIC_VALUE]])*0.5)+(_xlfn.XLOOKUP(1,(_bbt3[[#All],[ID]]=A866)*(_bbt3[[#All],[METRIC_NAME]]="YLD_YTM_BID"),_bbt3[[#All],[METRIC_VALUE]])*0.5))/100,"")</f>
        <v/>
      </c>
      <c r="J866">
        <f>IF(ISNA(VLOOKUP(A866,'CloseDL - PriceSaverBBT3'!A:E,5,0)),0,VLOOKUP(A866,'CloseDL - PriceSaverBBT3'!A:E,5,0))</f>
        <v>0</v>
      </c>
      <c r="K866" s="7" t="str">
        <f t="shared" si="129"/>
        <v/>
      </c>
      <c r="L866" s="20">
        <f>IF(Close[[#This Row],[CreatedBy]]="MARINER\SilverAdm",1,0)</f>
        <v>1</v>
      </c>
      <c r="M866" t="str">
        <f>IF(NOT(ISBLANK(A866)),VLOOKUP(A866,'Close - PriceSaver'!A:J,6,0),"")</f>
        <v/>
      </c>
      <c r="Q866" t="e">
        <f t="shared" si="130"/>
        <v>#N/A</v>
      </c>
      <c r="R866" t="e">
        <f t="shared" si="131"/>
        <v>#N/A</v>
      </c>
      <c r="S866" t="e">
        <f t="shared" si="132"/>
        <v>#N/A</v>
      </c>
      <c r="T866" s="15" t="e">
        <f t="shared" si="134"/>
        <v>#N/A</v>
      </c>
      <c r="U866" s="18" t="e">
        <f t="shared" si="135"/>
        <v>#N/A</v>
      </c>
      <c r="V866" s="14" t="e">
        <f t="shared" si="133"/>
        <v>#N/A</v>
      </c>
      <c r="W866" s="19" t="e">
        <f t="shared" si="136"/>
        <v>#N/A</v>
      </c>
      <c r="X866" t="e">
        <f>VLOOKUP(P866,Close[[ID]:[CreatedBy]],8,0)</f>
        <v>#N/A</v>
      </c>
    </row>
    <row r="867" spans="2:24" x14ac:dyDescent="0.35">
      <c r="B867" t="str">
        <f>IF(NOT(ISBLANK(A867)),VLOOKUP(A867,'BBT3'!A:F,2,0),"")</f>
        <v/>
      </c>
      <c r="C867" t="str">
        <f>IF(NOT(ISBLANK(A867)),VLOOKUP(A867,'BBT3'!A:F,3,0),"")</f>
        <v/>
      </c>
      <c r="D867" s="5" t="str">
        <f>IF(NOT(ISBLANK(A867)),VLOOKUP(A867,'BBT3'!A:F,4,1),"")</f>
        <v/>
      </c>
      <c r="E867" t="str">
        <f>IF(NOT(ISBLANK(A867)),VLOOKUP(A867,'BBT3'!A:F,5,0),"")</f>
        <v/>
      </c>
      <c r="F867" t="str">
        <f>IF(NOT(ISBLANK(A867)),VLOOKUP(A867,'BBT3'!A:F,6,0),"")</f>
        <v/>
      </c>
      <c r="G867" t="str">
        <f t="shared" si="128"/>
        <v/>
      </c>
      <c r="H867" t="str">
        <f>IF(NOT(ISBLANK(A867)),VLOOKUP(A867,'Close - PriceSaver'!A:J,5,0),"")</f>
        <v/>
      </c>
      <c r="I867" s="4" t="str" cm="1">
        <f t="array" ref="I867">IF(NOT(ISBLANK(A867)),((_xlfn.XLOOKUP(1,(_bbt3[[#All],[ID]]=A867)*(_bbt3[[#All],[METRIC_NAME]]="YLD_YTM_ASK"),_bbt3[[#All],[METRIC_VALUE]])*0.5)+(_xlfn.XLOOKUP(1,(_bbt3[[#All],[ID]]=A867)*(_bbt3[[#All],[METRIC_NAME]]="YLD_YTM_BID"),_bbt3[[#All],[METRIC_VALUE]])*0.5))/100,"")</f>
        <v/>
      </c>
      <c r="J867">
        <f>IF(ISNA(VLOOKUP(A867,'CloseDL - PriceSaverBBT3'!A:E,5,0)),0,VLOOKUP(A867,'CloseDL - PriceSaverBBT3'!A:E,5,0))</f>
        <v>0</v>
      </c>
      <c r="K867" s="7" t="str">
        <f t="shared" si="129"/>
        <v/>
      </c>
      <c r="L867" s="20">
        <f>IF(Close[[#This Row],[CreatedBy]]="MARINER\SilverAdm",1,0)</f>
        <v>1</v>
      </c>
      <c r="M867" t="str">
        <f>IF(NOT(ISBLANK(A867)),VLOOKUP(A867,'Close - PriceSaver'!A:J,6,0),"")</f>
        <v/>
      </c>
      <c r="Q867" t="e">
        <f t="shared" si="130"/>
        <v>#N/A</v>
      </c>
      <c r="R867" t="e">
        <f t="shared" si="131"/>
        <v>#N/A</v>
      </c>
      <c r="S867" t="e">
        <f t="shared" si="132"/>
        <v>#N/A</v>
      </c>
      <c r="T867" s="15" t="e">
        <f t="shared" si="134"/>
        <v>#N/A</v>
      </c>
      <c r="U867" s="18" t="e">
        <f t="shared" si="135"/>
        <v>#N/A</v>
      </c>
      <c r="V867" s="14" t="e">
        <f t="shared" si="133"/>
        <v>#N/A</v>
      </c>
      <c r="W867" s="19" t="e">
        <f t="shared" si="136"/>
        <v>#N/A</v>
      </c>
      <c r="X867" t="e">
        <f>VLOOKUP(P867,Close[[ID]:[CreatedBy]],8,0)</f>
        <v>#N/A</v>
      </c>
    </row>
    <row r="868" spans="2:24" x14ac:dyDescent="0.35">
      <c r="B868" t="str">
        <f>IF(NOT(ISBLANK(A868)),VLOOKUP(A868,'BBT3'!A:F,2,0),"")</f>
        <v/>
      </c>
      <c r="C868" t="str">
        <f>IF(NOT(ISBLANK(A868)),VLOOKUP(A868,'BBT3'!A:F,3,0),"")</f>
        <v/>
      </c>
      <c r="D868" s="5" t="str">
        <f>IF(NOT(ISBLANK(A868)),VLOOKUP(A868,'BBT3'!A:F,4,1),"")</f>
        <v/>
      </c>
      <c r="E868" t="str">
        <f>IF(NOT(ISBLANK(A868)),VLOOKUP(A868,'BBT3'!A:F,5,0),"")</f>
        <v/>
      </c>
      <c r="F868" t="str">
        <f>IF(NOT(ISBLANK(A868)),VLOOKUP(A868,'BBT3'!A:F,6,0),"")</f>
        <v/>
      </c>
      <c r="G868" t="str">
        <f t="shared" si="128"/>
        <v/>
      </c>
      <c r="H868" t="str">
        <f>IF(NOT(ISBLANK(A868)),VLOOKUP(A868,'Close - PriceSaver'!A:J,5,0),"")</f>
        <v/>
      </c>
      <c r="I868" s="4" t="str" cm="1">
        <f t="array" ref="I868">IF(NOT(ISBLANK(A868)),((_xlfn.XLOOKUP(1,(_bbt3[[#All],[ID]]=A868)*(_bbt3[[#All],[METRIC_NAME]]="YLD_YTM_ASK"),_bbt3[[#All],[METRIC_VALUE]])*0.5)+(_xlfn.XLOOKUP(1,(_bbt3[[#All],[ID]]=A868)*(_bbt3[[#All],[METRIC_NAME]]="YLD_YTM_BID"),_bbt3[[#All],[METRIC_VALUE]])*0.5))/100,"")</f>
        <v/>
      </c>
      <c r="J868">
        <f>IF(ISNA(VLOOKUP(A868,'CloseDL - PriceSaverBBT3'!A:E,5,0)),0,VLOOKUP(A868,'CloseDL - PriceSaverBBT3'!A:E,5,0))</f>
        <v>0</v>
      </c>
      <c r="K868" s="7" t="str">
        <f t="shared" si="129"/>
        <v/>
      </c>
      <c r="L868" s="20">
        <f>IF(Close[[#This Row],[CreatedBy]]="MARINER\SilverAdm",1,0)</f>
        <v>1</v>
      </c>
      <c r="M868" t="str">
        <f>IF(NOT(ISBLANK(A868)),VLOOKUP(A868,'Close - PriceSaver'!A:J,6,0),"")</f>
        <v/>
      </c>
      <c r="Q868" t="e">
        <f t="shared" si="130"/>
        <v>#N/A</v>
      </c>
      <c r="R868" t="e">
        <f t="shared" si="131"/>
        <v>#N/A</v>
      </c>
      <c r="S868" t="e">
        <f t="shared" si="132"/>
        <v>#N/A</v>
      </c>
      <c r="T868" s="15" t="e">
        <f t="shared" si="134"/>
        <v>#N/A</v>
      </c>
      <c r="U868" s="18" t="e">
        <f t="shared" si="135"/>
        <v>#N/A</v>
      </c>
      <c r="V868" s="14" t="e">
        <f t="shared" si="133"/>
        <v>#N/A</v>
      </c>
      <c r="W868" s="19" t="e">
        <f t="shared" si="136"/>
        <v>#N/A</v>
      </c>
      <c r="X868" t="e">
        <f>VLOOKUP(P868,Close[[ID]:[CreatedBy]],8,0)</f>
        <v>#N/A</v>
      </c>
    </row>
    <row r="869" spans="2:24" x14ac:dyDescent="0.35">
      <c r="B869" t="str">
        <f>IF(NOT(ISBLANK(A869)),VLOOKUP(A869,'BBT3'!A:F,2,0),"")</f>
        <v/>
      </c>
      <c r="C869" t="str">
        <f>IF(NOT(ISBLANK(A869)),VLOOKUP(A869,'BBT3'!A:F,3,0),"")</f>
        <v/>
      </c>
      <c r="D869" s="5" t="str">
        <f>IF(NOT(ISBLANK(A869)),VLOOKUP(A869,'BBT3'!A:F,4,1),"")</f>
        <v/>
      </c>
      <c r="E869" t="str">
        <f>IF(NOT(ISBLANK(A869)),VLOOKUP(A869,'BBT3'!A:F,5,0),"")</f>
        <v/>
      </c>
      <c r="F869" t="str">
        <f>IF(NOT(ISBLANK(A869)),VLOOKUP(A869,'BBT3'!A:F,6,0),"")</f>
        <v/>
      </c>
      <c r="G869" t="str">
        <f t="shared" si="128"/>
        <v/>
      </c>
      <c r="H869" t="str">
        <f>IF(NOT(ISBLANK(A869)),VLOOKUP(A869,'Close - PriceSaver'!A:J,5,0),"")</f>
        <v/>
      </c>
      <c r="I869" s="4" t="str" cm="1">
        <f t="array" ref="I869">IF(NOT(ISBLANK(A869)),((_xlfn.XLOOKUP(1,(_bbt3[[#All],[ID]]=A869)*(_bbt3[[#All],[METRIC_NAME]]="YLD_YTM_ASK"),_bbt3[[#All],[METRIC_VALUE]])*0.5)+(_xlfn.XLOOKUP(1,(_bbt3[[#All],[ID]]=A869)*(_bbt3[[#All],[METRIC_NAME]]="YLD_YTM_BID"),_bbt3[[#All],[METRIC_VALUE]])*0.5))/100,"")</f>
        <v/>
      </c>
      <c r="J869">
        <f>IF(ISNA(VLOOKUP(A869,'CloseDL - PriceSaverBBT3'!A:E,5,0)),0,VLOOKUP(A869,'CloseDL - PriceSaverBBT3'!A:E,5,0))</f>
        <v>0</v>
      </c>
      <c r="K869" s="7" t="str">
        <f t="shared" si="129"/>
        <v/>
      </c>
      <c r="L869" s="20">
        <f>IF(Close[[#This Row],[CreatedBy]]="MARINER\SilverAdm",1,0)</f>
        <v>1</v>
      </c>
      <c r="M869" t="str">
        <f>IF(NOT(ISBLANK(A869)),VLOOKUP(A869,'Close - PriceSaver'!A:J,6,0),"")</f>
        <v/>
      </c>
      <c r="Q869" t="e">
        <f t="shared" si="130"/>
        <v>#N/A</v>
      </c>
      <c r="R869" t="e">
        <f t="shared" si="131"/>
        <v>#N/A</v>
      </c>
      <c r="S869" t="e">
        <f t="shared" si="132"/>
        <v>#N/A</v>
      </c>
      <c r="T869" s="15" t="e">
        <f t="shared" si="134"/>
        <v>#N/A</v>
      </c>
      <c r="U869" s="18" t="e">
        <f t="shared" si="135"/>
        <v>#N/A</v>
      </c>
      <c r="V869" s="14" t="e">
        <f t="shared" si="133"/>
        <v>#N/A</v>
      </c>
      <c r="W869" s="19" t="e">
        <f t="shared" si="136"/>
        <v>#N/A</v>
      </c>
      <c r="X869" t="e">
        <f>VLOOKUP(P869,Close[[ID]:[CreatedBy]],8,0)</f>
        <v>#N/A</v>
      </c>
    </row>
    <row r="870" spans="2:24" x14ac:dyDescent="0.35">
      <c r="B870" t="str">
        <f>IF(NOT(ISBLANK(A870)),VLOOKUP(A870,'BBT3'!A:F,2,0),"")</f>
        <v/>
      </c>
      <c r="C870" t="str">
        <f>IF(NOT(ISBLANK(A870)),VLOOKUP(A870,'BBT3'!A:F,3,0),"")</f>
        <v/>
      </c>
      <c r="D870" s="5" t="str">
        <f>IF(NOT(ISBLANK(A870)),VLOOKUP(A870,'BBT3'!A:F,4,1),"")</f>
        <v/>
      </c>
      <c r="E870" t="str">
        <f>IF(NOT(ISBLANK(A870)),VLOOKUP(A870,'BBT3'!A:F,5,0),"")</f>
        <v/>
      </c>
      <c r="F870" t="str">
        <f>IF(NOT(ISBLANK(A870)),VLOOKUP(A870,'BBT3'!A:F,6,0),"")</f>
        <v/>
      </c>
      <c r="G870" t="str">
        <f t="shared" si="128"/>
        <v/>
      </c>
      <c r="H870" t="str">
        <f>IF(NOT(ISBLANK(A870)),VLOOKUP(A870,'Close - PriceSaver'!A:J,5,0),"")</f>
        <v/>
      </c>
      <c r="I870" s="4" t="str" cm="1">
        <f t="array" ref="I870">IF(NOT(ISBLANK(A870)),((_xlfn.XLOOKUP(1,(_bbt3[[#All],[ID]]=A870)*(_bbt3[[#All],[METRIC_NAME]]="YLD_YTM_ASK"),_bbt3[[#All],[METRIC_VALUE]])*0.5)+(_xlfn.XLOOKUP(1,(_bbt3[[#All],[ID]]=A870)*(_bbt3[[#All],[METRIC_NAME]]="YLD_YTM_BID"),_bbt3[[#All],[METRIC_VALUE]])*0.5))/100,"")</f>
        <v/>
      </c>
      <c r="J870">
        <f>IF(ISNA(VLOOKUP(A870,'CloseDL - PriceSaverBBT3'!A:E,5,0)),0,VLOOKUP(A870,'CloseDL - PriceSaverBBT3'!A:E,5,0))</f>
        <v>0</v>
      </c>
      <c r="K870" s="7" t="str">
        <f t="shared" si="129"/>
        <v/>
      </c>
      <c r="L870" s="20">
        <f>IF(Close[[#This Row],[CreatedBy]]="MARINER\SilverAdm",1,0)</f>
        <v>1</v>
      </c>
      <c r="M870" t="str">
        <f>IF(NOT(ISBLANK(A870)),VLOOKUP(A870,'Close - PriceSaver'!A:J,6,0),"")</f>
        <v/>
      </c>
      <c r="Q870" t="e">
        <f t="shared" si="130"/>
        <v>#N/A</v>
      </c>
      <c r="R870" t="e">
        <f t="shared" si="131"/>
        <v>#N/A</v>
      </c>
      <c r="S870" t="e">
        <f t="shared" si="132"/>
        <v>#N/A</v>
      </c>
      <c r="T870" s="15" t="e">
        <f t="shared" si="134"/>
        <v>#N/A</v>
      </c>
      <c r="U870" s="18" t="e">
        <f t="shared" si="135"/>
        <v>#N/A</v>
      </c>
      <c r="V870" s="14" t="e">
        <f t="shared" si="133"/>
        <v>#N/A</v>
      </c>
      <c r="W870" s="19" t="e">
        <f t="shared" si="136"/>
        <v>#N/A</v>
      </c>
      <c r="X870" t="e">
        <f>VLOOKUP(P870,Close[[ID]:[CreatedBy]],8,0)</f>
        <v>#N/A</v>
      </c>
    </row>
    <row r="871" spans="2:24" x14ac:dyDescent="0.35">
      <c r="B871" t="str">
        <f>IF(NOT(ISBLANK(A871)),VLOOKUP(A871,'BBT3'!A:F,2,0),"")</f>
        <v/>
      </c>
      <c r="C871" t="str">
        <f>IF(NOT(ISBLANK(A871)),VLOOKUP(A871,'BBT3'!A:F,3,0),"")</f>
        <v/>
      </c>
      <c r="D871" s="5" t="str">
        <f>IF(NOT(ISBLANK(A871)),VLOOKUP(A871,'BBT3'!A:F,4,1),"")</f>
        <v/>
      </c>
      <c r="E871" t="str">
        <f>IF(NOT(ISBLANK(A871)),VLOOKUP(A871,'BBT3'!A:F,5,0),"")</f>
        <v/>
      </c>
      <c r="F871" t="str">
        <f>IF(NOT(ISBLANK(A871)),VLOOKUP(A871,'BBT3'!A:F,6,0),"")</f>
        <v/>
      </c>
      <c r="G871" t="str">
        <f t="shared" si="128"/>
        <v/>
      </c>
      <c r="H871" t="str">
        <f>IF(NOT(ISBLANK(A871)),VLOOKUP(A871,'Close - PriceSaver'!A:J,5,0),"")</f>
        <v/>
      </c>
      <c r="I871" s="4" t="str" cm="1">
        <f t="array" ref="I871">IF(NOT(ISBLANK(A871)),((_xlfn.XLOOKUP(1,(_bbt3[[#All],[ID]]=A871)*(_bbt3[[#All],[METRIC_NAME]]="YLD_YTM_ASK"),_bbt3[[#All],[METRIC_VALUE]])*0.5)+(_xlfn.XLOOKUP(1,(_bbt3[[#All],[ID]]=A871)*(_bbt3[[#All],[METRIC_NAME]]="YLD_YTM_BID"),_bbt3[[#All],[METRIC_VALUE]])*0.5))/100,"")</f>
        <v/>
      </c>
      <c r="J871">
        <f>IF(ISNA(VLOOKUP(A871,'CloseDL - PriceSaverBBT3'!A:E,5,0)),0,VLOOKUP(A871,'CloseDL - PriceSaverBBT3'!A:E,5,0))</f>
        <v>0</v>
      </c>
      <c r="K871" s="7" t="str">
        <f t="shared" si="129"/>
        <v/>
      </c>
      <c r="L871" s="20">
        <f>IF(Close[[#This Row],[CreatedBy]]="MARINER\SilverAdm",1,0)</f>
        <v>1</v>
      </c>
      <c r="M871" t="str">
        <f>IF(NOT(ISBLANK(A871)),VLOOKUP(A871,'Close - PriceSaver'!A:J,6,0),"")</f>
        <v/>
      </c>
      <c r="Q871" t="e">
        <f t="shared" si="130"/>
        <v>#N/A</v>
      </c>
      <c r="R871" t="e">
        <f t="shared" si="131"/>
        <v>#N/A</v>
      </c>
      <c r="S871" t="e">
        <f t="shared" si="132"/>
        <v>#N/A</v>
      </c>
      <c r="T871" s="15" t="e">
        <f t="shared" si="134"/>
        <v>#N/A</v>
      </c>
      <c r="U871" s="18" t="e">
        <f t="shared" si="135"/>
        <v>#N/A</v>
      </c>
      <c r="V871" s="14" t="e">
        <f t="shared" si="133"/>
        <v>#N/A</v>
      </c>
      <c r="W871" s="19" t="e">
        <f t="shared" si="136"/>
        <v>#N/A</v>
      </c>
      <c r="X871" t="e">
        <f>VLOOKUP(P871,Close[[ID]:[CreatedBy]],8,0)</f>
        <v>#N/A</v>
      </c>
    </row>
    <row r="872" spans="2:24" x14ac:dyDescent="0.35">
      <c r="B872" t="str">
        <f>IF(NOT(ISBLANK(A872)),VLOOKUP(A872,'BBT3'!A:F,2,0),"")</f>
        <v/>
      </c>
      <c r="C872" t="str">
        <f>IF(NOT(ISBLANK(A872)),VLOOKUP(A872,'BBT3'!A:F,3,0),"")</f>
        <v/>
      </c>
      <c r="D872" s="5" t="str">
        <f>IF(NOT(ISBLANK(A872)),VLOOKUP(A872,'BBT3'!A:F,4,1),"")</f>
        <v/>
      </c>
      <c r="E872" t="str">
        <f>IF(NOT(ISBLANK(A872)),VLOOKUP(A872,'BBT3'!A:F,5,0),"")</f>
        <v/>
      </c>
      <c r="F872" t="str">
        <f>IF(NOT(ISBLANK(A872)),VLOOKUP(A872,'BBT3'!A:F,6,0),"")</f>
        <v/>
      </c>
      <c r="G872" t="str">
        <f t="shared" si="128"/>
        <v/>
      </c>
      <c r="H872" t="str">
        <f>IF(NOT(ISBLANK(A872)),VLOOKUP(A872,'Close - PriceSaver'!A:J,5,0),"")</f>
        <v/>
      </c>
      <c r="I872" s="4" t="str" cm="1">
        <f t="array" ref="I872">IF(NOT(ISBLANK(A872)),((_xlfn.XLOOKUP(1,(_bbt3[[#All],[ID]]=A872)*(_bbt3[[#All],[METRIC_NAME]]="YLD_YTM_ASK"),_bbt3[[#All],[METRIC_VALUE]])*0.5)+(_xlfn.XLOOKUP(1,(_bbt3[[#All],[ID]]=A872)*(_bbt3[[#All],[METRIC_NAME]]="YLD_YTM_BID"),_bbt3[[#All],[METRIC_VALUE]])*0.5))/100,"")</f>
        <v/>
      </c>
      <c r="J872">
        <f>IF(ISNA(VLOOKUP(A872,'CloseDL - PriceSaverBBT3'!A:E,5,0)),0,VLOOKUP(A872,'CloseDL - PriceSaverBBT3'!A:E,5,0))</f>
        <v>0</v>
      </c>
      <c r="K872" s="7" t="str">
        <f t="shared" si="129"/>
        <v/>
      </c>
      <c r="L872" s="20">
        <f>IF(Close[[#This Row],[CreatedBy]]="MARINER\SilverAdm",1,0)</f>
        <v>1</v>
      </c>
      <c r="M872" t="str">
        <f>IF(NOT(ISBLANK(A872)),VLOOKUP(A872,'Close - PriceSaver'!A:J,6,0),"")</f>
        <v/>
      </c>
      <c r="Q872" t="e">
        <f t="shared" si="130"/>
        <v>#N/A</v>
      </c>
      <c r="R872" t="e">
        <f t="shared" si="131"/>
        <v>#N/A</v>
      </c>
      <c r="S872" t="e">
        <f t="shared" si="132"/>
        <v>#N/A</v>
      </c>
      <c r="T872" s="15" t="e">
        <f t="shared" si="134"/>
        <v>#N/A</v>
      </c>
      <c r="U872" s="18" t="e">
        <f t="shared" si="135"/>
        <v>#N/A</v>
      </c>
      <c r="V872" s="14" t="e">
        <f t="shared" si="133"/>
        <v>#N/A</v>
      </c>
      <c r="W872" s="19" t="e">
        <f t="shared" si="136"/>
        <v>#N/A</v>
      </c>
      <c r="X872" t="e">
        <f>VLOOKUP(P872,Close[[ID]:[CreatedBy]],8,0)</f>
        <v>#N/A</v>
      </c>
    </row>
    <row r="873" spans="2:24" x14ac:dyDescent="0.35">
      <c r="B873" t="str">
        <f>IF(NOT(ISBLANK(A873)),VLOOKUP(A873,'BBT3'!A:F,2,0),"")</f>
        <v/>
      </c>
      <c r="C873" t="str">
        <f>IF(NOT(ISBLANK(A873)),VLOOKUP(A873,'BBT3'!A:F,3,0),"")</f>
        <v/>
      </c>
      <c r="D873" s="5" t="str">
        <f>IF(NOT(ISBLANK(A873)),VLOOKUP(A873,'BBT3'!A:F,4,1),"")</f>
        <v/>
      </c>
      <c r="E873" t="str">
        <f>IF(NOT(ISBLANK(A873)),VLOOKUP(A873,'BBT3'!A:F,5,0),"")</f>
        <v/>
      </c>
      <c r="F873" t="str">
        <f>IF(NOT(ISBLANK(A873)),VLOOKUP(A873,'BBT3'!A:F,6,0),"")</f>
        <v/>
      </c>
      <c r="G873" t="str">
        <f t="shared" si="128"/>
        <v/>
      </c>
      <c r="H873" t="str">
        <f>IF(NOT(ISBLANK(A873)),VLOOKUP(A873,'Close - PriceSaver'!A:J,5,0),"")</f>
        <v/>
      </c>
      <c r="I873" s="4" t="str" cm="1">
        <f t="array" ref="I873">IF(NOT(ISBLANK(A873)),((_xlfn.XLOOKUP(1,(_bbt3[[#All],[ID]]=A873)*(_bbt3[[#All],[METRIC_NAME]]="YLD_YTM_ASK"),_bbt3[[#All],[METRIC_VALUE]])*0.5)+(_xlfn.XLOOKUP(1,(_bbt3[[#All],[ID]]=A873)*(_bbt3[[#All],[METRIC_NAME]]="YLD_YTM_BID"),_bbt3[[#All],[METRIC_VALUE]])*0.5))/100,"")</f>
        <v/>
      </c>
      <c r="J873">
        <f>IF(ISNA(VLOOKUP(A873,'CloseDL - PriceSaverBBT3'!A:E,5,0)),0,VLOOKUP(A873,'CloseDL - PriceSaverBBT3'!A:E,5,0))</f>
        <v>0</v>
      </c>
      <c r="K873" s="7" t="str">
        <f t="shared" si="129"/>
        <v/>
      </c>
      <c r="L873" s="20">
        <f>IF(Close[[#This Row],[CreatedBy]]="MARINER\SilverAdm",1,0)</f>
        <v>1</v>
      </c>
      <c r="M873" t="str">
        <f>IF(NOT(ISBLANK(A873)),VLOOKUP(A873,'Close - PriceSaver'!A:J,6,0),"")</f>
        <v/>
      </c>
      <c r="Q873" t="e">
        <f t="shared" si="130"/>
        <v>#N/A</v>
      </c>
      <c r="R873" t="e">
        <f t="shared" si="131"/>
        <v>#N/A</v>
      </c>
      <c r="S873" t="e">
        <f t="shared" si="132"/>
        <v>#N/A</v>
      </c>
      <c r="T873" s="15" t="e">
        <f t="shared" si="134"/>
        <v>#N/A</v>
      </c>
      <c r="U873" s="18" t="e">
        <f t="shared" si="135"/>
        <v>#N/A</v>
      </c>
      <c r="V873" s="14" t="e">
        <f t="shared" si="133"/>
        <v>#N/A</v>
      </c>
      <c r="W873" s="19" t="e">
        <f t="shared" si="136"/>
        <v>#N/A</v>
      </c>
      <c r="X873" t="e">
        <f>VLOOKUP(P873,Close[[ID]:[CreatedBy]],8,0)</f>
        <v>#N/A</v>
      </c>
    </row>
    <row r="874" spans="2:24" x14ac:dyDescent="0.35">
      <c r="B874" t="str">
        <f>IF(NOT(ISBLANK(A874)),VLOOKUP(A874,'BBT3'!A:F,2,0),"")</f>
        <v/>
      </c>
      <c r="C874" t="str">
        <f>IF(NOT(ISBLANK(A874)),VLOOKUP(A874,'BBT3'!A:F,3,0),"")</f>
        <v/>
      </c>
      <c r="D874" s="5" t="str">
        <f>IF(NOT(ISBLANK(A874)),VLOOKUP(A874,'BBT3'!A:F,4,1),"")</f>
        <v/>
      </c>
      <c r="E874" t="str">
        <f>IF(NOT(ISBLANK(A874)),VLOOKUP(A874,'BBT3'!A:F,5,0),"")</f>
        <v/>
      </c>
      <c r="F874" t="str">
        <f>IF(NOT(ISBLANK(A874)),VLOOKUP(A874,'BBT3'!A:F,6,0),"")</f>
        <v/>
      </c>
      <c r="G874" t="str">
        <f t="shared" si="128"/>
        <v/>
      </c>
      <c r="H874" t="str">
        <f>IF(NOT(ISBLANK(A874)),VLOOKUP(A874,'Close - PriceSaver'!A:J,5,0),"")</f>
        <v/>
      </c>
      <c r="I874" s="4" t="str" cm="1">
        <f t="array" ref="I874">IF(NOT(ISBLANK(A874)),((_xlfn.XLOOKUP(1,(_bbt3[[#All],[ID]]=A874)*(_bbt3[[#All],[METRIC_NAME]]="YLD_YTM_ASK"),_bbt3[[#All],[METRIC_VALUE]])*0.5)+(_xlfn.XLOOKUP(1,(_bbt3[[#All],[ID]]=A874)*(_bbt3[[#All],[METRIC_NAME]]="YLD_YTM_BID"),_bbt3[[#All],[METRIC_VALUE]])*0.5))/100,"")</f>
        <v/>
      </c>
      <c r="J874">
        <f>IF(ISNA(VLOOKUP(A874,'CloseDL - PriceSaverBBT3'!A:E,5,0)),0,VLOOKUP(A874,'CloseDL - PriceSaverBBT3'!A:E,5,0))</f>
        <v>0</v>
      </c>
      <c r="K874" s="7" t="str">
        <f t="shared" si="129"/>
        <v/>
      </c>
      <c r="L874" s="20">
        <f>IF(Close[[#This Row],[CreatedBy]]="MARINER\SilverAdm",1,0)</f>
        <v>1</v>
      </c>
      <c r="M874" t="str">
        <f>IF(NOT(ISBLANK(A874)),VLOOKUP(A874,'Close - PriceSaver'!A:J,6,0),"")</f>
        <v/>
      </c>
      <c r="Q874" t="e">
        <f t="shared" si="130"/>
        <v>#N/A</v>
      </c>
      <c r="R874" t="e">
        <f t="shared" si="131"/>
        <v>#N/A</v>
      </c>
      <c r="S874" t="e">
        <f t="shared" si="132"/>
        <v>#N/A</v>
      </c>
      <c r="T874" s="15" t="e">
        <f t="shared" si="134"/>
        <v>#N/A</v>
      </c>
      <c r="U874" s="18" t="e">
        <f t="shared" si="135"/>
        <v>#N/A</v>
      </c>
      <c r="V874" s="14" t="e">
        <f t="shared" si="133"/>
        <v>#N/A</v>
      </c>
      <c r="W874" s="19" t="e">
        <f t="shared" si="136"/>
        <v>#N/A</v>
      </c>
      <c r="X874" t="e">
        <f>VLOOKUP(P874,Close[[ID]:[CreatedBy]],8,0)</f>
        <v>#N/A</v>
      </c>
    </row>
    <row r="875" spans="2:24" x14ac:dyDescent="0.35">
      <c r="B875" t="str">
        <f>IF(NOT(ISBLANK(A875)),VLOOKUP(A875,'BBT3'!A:F,2,0),"")</f>
        <v/>
      </c>
      <c r="C875" t="str">
        <f>IF(NOT(ISBLANK(A875)),VLOOKUP(A875,'BBT3'!A:F,3,0),"")</f>
        <v/>
      </c>
      <c r="D875" s="5" t="str">
        <f>IF(NOT(ISBLANK(A875)),VLOOKUP(A875,'BBT3'!A:F,4,1),"")</f>
        <v/>
      </c>
      <c r="E875" t="str">
        <f>IF(NOT(ISBLANK(A875)),VLOOKUP(A875,'BBT3'!A:F,5,0),"")</f>
        <v/>
      </c>
      <c r="F875" t="str">
        <f>IF(NOT(ISBLANK(A875)),VLOOKUP(A875,'BBT3'!A:F,6,0),"")</f>
        <v/>
      </c>
      <c r="G875" t="str">
        <f t="shared" si="128"/>
        <v/>
      </c>
      <c r="H875" t="str">
        <f>IF(NOT(ISBLANK(A875)),VLOOKUP(A875,'Close - PriceSaver'!A:J,5,0),"")</f>
        <v/>
      </c>
      <c r="I875" s="4" t="str" cm="1">
        <f t="array" ref="I875">IF(NOT(ISBLANK(A875)),((_xlfn.XLOOKUP(1,(_bbt3[[#All],[ID]]=A875)*(_bbt3[[#All],[METRIC_NAME]]="YLD_YTM_ASK"),_bbt3[[#All],[METRIC_VALUE]])*0.5)+(_xlfn.XLOOKUP(1,(_bbt3[[#All],[ID]]=A875)*(_bbt3[[#All],[METRIC_NAME]]="YLD_YTM_BID"),_bbt3[[#All],[METRIC_VALUE]])*0.5))/100,"")</f>
        <v/>
      </c>
      <c r="J875">
        <f>IF(ISNA(VLOOKUP(A875,'CloseDL - PriceSaverBBT3'!A:E,5,0)),0,VLOOKUP(A875,'CloseDL - PriceSaverBBT3'!A:E,5,0))</f>
        <v>0</v>
      </c>
      <c r="K875" s="7" t="str">
        <f t="shared" si="129"/>
        <v/>
      </c>
      <c r="L875" s="20">
        <f>IF(Close[[#This Row],[CreatedBy]]="MARINER\SilverAdm",1,0)</f>
        <v>1</v>
      </c>
      <c r="M875" t="str">
        <f>IF(NOT(ISBLANK(A875)),VLOOKUP(A875,'Close - PriceSaver'!A:J,6,0),"")</f>
        <v/>
      </c>
      <c r="Q875" t="e">
        <f t="shared" si="130"/>
        <v>#N/A</v>
      </c>
      <c r="R875" t="e">
        <f t="shared" si="131"/>
        <v>#N/A</v>
      </c>
      <c r="S875" t="e">
        <f t="shared" si="132"/>
        <v>#N/A</v>
      </c>
      <c r="T875" s="15" t="e">
        <f t="shared" si="134"/>
        <v>#N/A</v>
      </c>
      <c r="U875" s="18" t="e">
        <f t="shared" si="135"/>
        <v>#N/A</v>
      </c>
      <c r="V875" s="14" t="e">
        <f t="shared" si="133"/>
        <v>#N/A</v>
      </c>
      <c r="W875" s="19" t="e">
        <f t="shared" si="136"/>
        <v>#N/A</v>
      </c>
      <c r="X875" t="e">
        <f>VLOOKUP(P875,Close[[ID]:[CreatedBy]],8,0)</f>
        <v>#N/A</v>
      </c>
    </row>
    <row r="876" spans="2:24" x14ac:dyDescent="0.35">
      <c r="B876" t="str">
        <f>IF(NOT(ISBLANK(A876)),VLOOKUP(A876,'BBT3'!A:F,2,0),"")</f>
        <v/>
      </c>
      <c r="C876" t="str">
        <f>IF(NOT(ISBLANK(A876)),VLOOKUP(A876,'BBT3'!A:F,3,0),"")</f>
        <v/>
      </c>
      <c r="D876" s="5" t="str">
        <f>IF(NOT(ISBLANK(A876)),VLOOKUP(A876,'BBT3'!A:F,4,1),"")</f>
        <v/>
      </c>
      <c r="E876" t="str">
        <f>IF(NOT(ISBLANK(A876)),VLOOKUP(A876,'BBT3'!A:F,5,0),"")</f>
        <v/>
      </c>
      <c r="F876" t="str">
        <f>IF(NOT(ISBLANK(A876)),VLOOKUP(A876,'BBT3'!A:F,6,0),"")</f>
        <v/>
      </c>
      <c r="G876" t="str">
        <f t="shared" si="128"/>
        <v/>
      </c>
      <c r="H876" t="str">
        <f>IF(NOT(ISBLANK(A876)),VLOOKUP(A876,'Close - PriceSaver'!A:J,5,0),"")</f>
        <v/>
      </c>
      <c r="I876" s="4" t="str" cm="1">
        <f t="array" ref="I876">IF(NOT(ISBLANK(A876)),((_xlfn.XLOOKUP(1,(_bbt3[[#All],[ID]]=A876)*(_bbt3[[#All],[METRIC_NAME]]="YLD_YTM_ASK"),_bbt3[[#All],[METRIC_VALUE]])*0.5)+(_xlfn.XLOOKUP(1,(_bbt3[[#All],[ID]]=A876)*(_bbt3[[#All],[METRIC_NAME]]="YLD_YTM_BID"),_bbt3[[#All],[METRIC_VALUE]])*0.5))/100,"")</f>
        <v/>
      </c>
      <c r="J876">
        <f>IF(ISNA(VLOOKUP(A876,'CloseDL - PriceSaverBBT3'!A:E,5,0)),0,VLOOKUP(A876,'CloseDL - PriceSaverBBT3'!A:E,5,0))</f>
        <v>0</v>
      </c>
      <c r="K876" s="7" t="str">
        <f t="shared" si="129"/>
        <v/>
      </c>
      <c r="L876" s="20">
        <f>IF(Close[[#This Row],[CreatedBy]]="MARINER\SilverAdm",1,0)</f>
        <v>1</v>
      </c>
      <c r="M876" t="str">
        <f>IF(NOT(ISBLANK(A876)),VLOOKUP(A876,'Close - PriceSaver'!A:J,6,0),"")</f>
        <v/>
      </c>
      <c r="Q876" t="e">
        <f t="shared" si="130"/>
        <v>#N/A</v>
      </c>
      <c r="R876" t="e">
        <f t="shared" si="131"/>
        <v>#N/A</v>
      </c>
      <c r="S876" t="e">
        <f t="shared" si="132"/>
        <v>#N/A</v>
      </c>
      <c r="T876" s="15" t="e">
        <f t="shared" si="134"/>
        <v>#N/A</v>
      </c>
      <c r="U876" s="18" t="e">
        <f t="shared" si="135"/>
        <v>#N/A</v>
      </c>
      <c r="V876" s="14" t="e">
        <f t="shared" si="133"/>
        <v>#N/A</v>
      </c>
      <c r="W876" s="19" t="e">
        <f t="shared" si="136"/>
        <v>#N/A</v>
      </c>
      <c r="X876" t="e">
        <f>VLOOKUP(P876,Close[[ID]:[CreatedBy]],8,0)</f>
        <v>#N/A</v>
      </c>
    </row>
    <row r="877" spans="2:24" x14ac:dyDescent="0.35">
      <c r="B877" t="str">
        <f>IF(NOT(ISBLANK(A877)),VLOOKUP(A877,'BBT3'!A:F,2,0),"")</f>
        <v/>
      </c>
      <c r="C877" t="str">
        <f>IF(NOT(ISBLANK(A877)),VLOOKUP(A877,'BBT3'!A:F,3,0),"")</f>
        <v/>
      </c>
      <c r="D877" s="5" t="str">
        <f>IF(NOT(ISBLANK(A877)),VLOOKUP(A877,'BBT3'!A:F,4,1),"")</f>
        <v/>
      </c>
      <c r="E877" t="str">
        <f>IF(NOT(ISBLANK(A877)),VLOOKUP(A877,'BBT3'!A:F,5,0),"")</f>
        <v/>
      </c>
      <c r="F877" t="str">
        <f>IF(NOT(ISBLANK(A877)),VLOOKUP(A877,'BBT3'!A:F,6,0),"")</f>
        <v/>
      </c>
      <c r="G877" t="str">
        <f t="shared" si="128"/>
        <v/>
      </c>
      <c r="H877" t="str">
        <f>IF(NOT(ISBLANK(A877)),VLOOKUP(A877,'Close - PriceSaver'!A:J,5,0),"")</f>
        <v/>
      </c>
      <c r="I877" s="4" t="str" cm="1">
        <f t="array" ref="I877">IF(NOT(ISBLANK(A877)),((_xlfn.XLOOKUP(1,(_bbt3[[#All],[ID]]=A877)*(_bbt3[[#All],[METRIC_NAME]]="YLD_YTM_ASK"),_bbt3[[#All],[METRIC_VALUE]])*0.5)+(_xlfn.XLOOKUP(1,(_bbt3[[#All],[ID]]=A877)*(_bbt3[[#All],[METRIC_NAME]]="YLD_YTM_BID"),_bbt3[[#All],[METRIC_VALUE]])*0.5))/100,"")</f>
        <v/>
      </c>
      <c r="J877">
        <f>IF(ISNA(VLOOKUP(A877,'CloseDL - PriceSaverBBT3'!A:E,5,0)),0,VLOOKUP(A877,'CloseDL - PriceSaverBBT3'!A:E,5,0))</f>
        <v>0</v>
      </c>
      <c r="K877" s="7" t="str">
        <f t="shared" si="129"/>
        <v/>
      </c>
      <c r="L877" s="20">
        <f>IF(Close[[#This Row],[CreatedBy]]="MARINER\SilverAdm",1,0)</f>
        <v>1</v>
      </c>
      <c r="M877" t="str">
        <f>IF(NOT(ISBLANK(A877)),VLOOKUP(A877,'Close - PriceSaver'!A:J,6,0),"")</f>
        <v/>
      </c>
      <c r="Q877" t="e">
        <f t="shared" si="130"/>
        <v>#N/A</v>
      </c>
      <c r="R877" t="e">
        <f t="shared" si="131"/>
        <v>#N/A</v>
      </c>
      <c r="S877" t="e">
        <f t="shared" si="132"/>
        <v>#N/A</v>
      </c>
      <c r="T877" s="15" t="e">
        <f t="shared" si="134"/>
        <v>#N/A</v>
      </c>
      <c r="U877" s="18" t="e">
        <f t="shared" si="135"/>
        <v>#N/A</v>
      </c>
      <c r="V877" s="14" t="e">
        <f t="shared" si="133"/>
        <v>#N/A</v>
      </c>
      <c r="W877" s="19" t="e">
        <f t="shared" si="136"/>
        <v>#N/A</v>
      </c>
      <c r="X877" t="e">
        <f>VLOOKUP(P877,Close[[ID]:[CreatedBy]],8,0)</f>
        <v>#N/A</v>
      </c>
    </row>
    <row r="878" spans="2:24" x14ac:dyDescent="0.35">
      <c r="B878" t="str">
        <f>IF(NOT(ISBLANK(A878)),VLOOKUP(A878,'BBT3'!A:F,2,0),"")</f>
        <v/>
      </c>
      <c r="C878" t="str">
        <f>IF(NOT(ISBLANK(A878)),VLOOKUP(A878,'BBT3'!A:F,3,0),"")</f>
        <v/>
      </c>
      <c r="D878" s="5" t="str">
        <f>IF(NOT(ISBLANK(A878)),VLOOKUP(A878,'BBT3'!A:F,4,1),"")</f>
        <v/>
      </c>
      <c r="E878" t="str">
        <f>IF(NOT(ISBLANK(A878)),VLOOKUP(A878,'BBT3'!A:F,5,0),"")</f>
        <v/>
      </c>
      <c r="F878" t="str">
        <f>IF(NOT(ISBLANK(A878)),VLOOKUP(A878,'BBT3'!A:F,6,0),"")</f>
        <v/>
      </c>
      <c r="G878" t="str">
        <f t="shared" si="128"/>
        <v/>
      </c>
      <c r="H878" t="str">
        <f>IF(NOT(ISBLANK(A878)),VLOOKUP(A878,'Close - PriceSaver'!A:J,5,0),"")</f>
        <v/>
      </c>
      <c r="I878" s="4" t="str" cm="1">
        <f t="array" ref="I878">IF(NOT(ISBLANK(A878)),((_xlfn.XLOOKUP(1,(_bbt3[[#All],[ID]]=A878)*(_bbt3[[#All],[METRIC_NAME]]="YLD_YTM_ASK"),_bbt3[[#All],[METRIC_VALUE]])*0.5)+(_xlfn.XLOOKUP(1,(_bbt3[[#All],[ID]]=A878)*(_bbt3[[#All],[METRIC_NAME]]="YLD_YTM_BID"),_bbt3[[#All],[METRIC_VALUE]])*0.5))/100,"")</f>
        <v/>
      </c>
      <c r="J878">
        <f>IF(ISNA(VLOOKUP(A878,'CloseDL - PriceSaverBBT3'!A:E,5,0)),0,VLOOKUP(A878,'CloseDL - PriceSaverBBT3'!A:E,5,0))</f>
        <v>0</v>
      </c>
      <c r="K878" s="7" t="str">
        <f t="shared" si="129"/>
        <v/>
      </c>
      <c r="L878" s="20">
        <f>IF(Close[[#This Row],[CreatedBy]]="MARINER\SilverAdm",1,0)</f>
        <v>1</v>
      </c>
      <c r="M878" t="str">
        <f>IF(NOT(ISBLANK(A878)),VLOOKUP(A878,'Close - PriceSaver'!A:J,6,0),"")</f>
        <v/>
      </c>
      <c r="Q878" t="e">
        <f t="shared" si="130"/>
        <v>#N/A</v>
      </c>
      <c r="R878" t="e">
        <f t="shared" si="131"/>
        <v>#N/A</v>
      </c>
      <c r="S878" t="e">
        <f t="shared" si="132"/>
        <v>#N/A</v>
      </c>
      <c r="T878" s="15" t="e">
        <f t="shared" si="134"/>
        <v>#N/A</v>
      </c>
      <c r="U878" s="18" t="e">
        <f t="shared" si="135"/>
        <v>#N/A</v>
      </c>
      <c r="V878" s="14" t="e">
        <f t="shared" si="133"/>
        <v>#N/A</v>
      </c>
      <c r="W878" s="19" t="e">
        <f t="shared" si="136"/>
        <v>#N/A</v>
      </c>
      <c r="X878" t="e">
        <f>VLOOKUP(P878,Close[[ID]:[CreatedBy]],8,0)</f>
        <v>#N/A</v>
      </c>
    </row>
    <row r="879" spans="2:24" x14ac:dyDescent="0.35">
      <c r="B879" t="str">
        <f>IF(NOT(ISBLANK(A879)),VLOOKUP(A879,'BBT3'!A:F,2,0),"")</f>
        <v/>
      </c>
      <c r="C879" t="str">
        <f>IF(NOT(ISBLANK(A879)),VLOOKUP(A879,'BBT3'!A:F,3,0),"")</f>
        <v/>
      </c>
      <c r="D879" s="5" t="str">
        <f>IF(NOT(ISBLANK(A879)),VLOOKUP(A879,'BBT3'!A:F,4,1),"")</f>
        <v/>
      </c>
      <c r="E879" t="str">
        <f>IF(NOT(ISBLANK(A879)),VLOOKUP(A879,'BBT3'!A:F,5,0),"")</f>
        <v/>
      </c>
      <c r="F879" t="str">
        <f>IF(NOT(ISBLANK(A879)),VLOOKUP(A879,'BBT3'!A:F,6,0),"")</f>
        <v/>
      </c>
      <c r="G879" t="str">
        <f t="shared" si="128"/>
        <v/>
      </c>
      <c r="H879" t="str">
        <f>IF(NOT(ISBLANK(A879)),VLOOKUP(A879,'Close - PriceSaver'!A:J,5,0),"")</f>
        <v/>
      </c>
      <c r="I879" s="4" t="str" cm="1">
        <f t="array" ref="I879">IF(NOT(ISBLANK(A879)),((_xlfn.XLOOKUP(1,(_bbt3[[#All],[ID]]=A879)*(_bbt3[[#All],[METRIC_NAME]]="YLD_YTM_ASK"),_bbt3[[#All],[METRIC_VALUE]])*0.5)+(_xlfn.XLOOKUP(1,(_bbt3[[#All],[ID]]=A879)*(_bbt3[[#All],[METRIC_NAME]]="YLD_YTM_BID"),_bbt3[[#All],[METRIC_VALUE]])*0.5))/100,"")</f>
        <v/>
      </c>
      <c r="J879">
        <f>IF(ISNA(VLOOKUP(A879,'CloseDL - PriceSaverBBT3'!A:E,5,0)),0,VLOOKUP(A879,'CloseDL - PriceSaverBBT3'!A:E,5,0))</f>
        <v>0</v>
      </c>
      <c r="K879" s="7" t="str">
        <f t="shared" si="129"/>
        <v/>
      </c>
      <c r="L879" s="20">
        <f>IF(Close[[#This Row],[CreatedBy]]="MARINER\SilverAdm",1,0)</f>
        <v>1</v>
      </c>
      <c r="M879" t="str">
        <f>IF(NOT(ISBLANK(A879)),VLOOKUP(A879,'Close - PriceSaver'!A:J,6,0),"")</f>
        <v/>
      </c>
      <c r="Q879" t="e">
        <f t="shared" si="130"/>
        <v>#N/A</v>
      </c>
      <c r="R879" t="e">
        <f t="shared" si="131"/>
        <v>#N/A</v>
      </c>
      <c r="S879" t="e">
        <f t="shared" si="132"/>
        <v>#N/A</v>
      </c>
      <c r="T879" s="15" t="e">
        <f t="shared" si="134"/>
        <v>#N/A</v>
      </c>
      <c r="U879" s="18" t="e">
        <f t="shared" si="135"/>
        <v>#N/A</v>
      </c>
      <c r="V879" s="14" t="e">
        <f t="shared" si="133"/>
        <v>#N/A</v>
      </c>
      <c r="W879" s="19" t="e">
        <f t="shared" si="136"/>
        <v>#N/A</v>
      </c>
      <c r="X879" t="e">
        <f>VLOOKUP(P879,Close[[ID]:[CreatedBy]],8,0)</f>
        <v>#N/A</v>
      </c>
    </row>
    <row r="880" spans="2:24" x14ac:dyDescent="0.35">
      <c r="B880" t="str">
        <f>IF(NOT(ISBLANK(A880)),VLOOKUP(A880,'BBT3'!A:F,2,0),"")</f>
        <v/>
      </c>
      <c r="C880" t="str">
        <f>IF(NOT(ISBLANK(A880)),VLOOKUP(A880,'BBT3'!A:F,3,0),"")</f>
        <v/>
      </c>
      <c r="D880" s="5" t="str">
        <f>IF(NOT(ISBLANK(A880)),VLOOKUP(A880,'BBT3'!A:F,4,1),"")</f>
        <v/>
      </c>
      <c r="E880" t="str">
        <f>IF(NOT(ISBLANK(A880)),VLOOKUP(A880,'BBT3'!A:F,5,0),"")</f>
        <v/>
      </c>
      <c r="F880" t="str">
        <f>IF(NOT(ISBLANK(A880)),VLOOKUP(A880,'BBT3'!A:F,6,0),"")</f>
        <v/>
      </c>
      <c r="G880" t="str">
        <f t="shared" si="128"/>
        <v/>
      </c>
      <c r="H880" t="str">
        <f>IF(NOT(ISBLANK(A880)),VLOOKUP(A880,'Close - PriceSaver'!A:J,5,0),"")</f>
        <v/>
      </c>
      <c r="I880" s="4" t="str" cm="1">
        <f t="array" ref="I880">IF(NOT(ISBLANK(A880)),((_xlfn.XLOOKUP(1,(_bbt3[[#All],[ID]]=A880)*(_bbt3[[#All],[METRIC_NAME]]="YLD_YTM_ASK"),_bbt3[[#All],[METRIC_VALUE]])*0.5)+(_xlfn.XLOOKUP(1,(_bbt3[[#All],[ID]]=A880)*(_bbt3[[#All],[METRIC_NAME]]="YLD_YTM_BID"),_bbt3[[#All],[METRIC_VALUE]])*0.5))/100,"")</f>
        <v/>
      </c>
      <c r="J880">
        <f>IF(ISNA(VLOOKUP(A880,'CloseDL - PriceSaverBBT3'!A:E,5,0)),0,VLOOKUP(A880,'CloseDL - PriceSaverBBT3'!A:E,5,0))</f>
        <v>0</v>
      </c>
      <c r="K880" s="7" t="str">
        <f t="shared" si="129"/>
        <v/>
      </c>
      <c r="L880" s="20">
        <f>IF(Close[[#This Row],[CreatedBy]]="MARINER\SilverAdm",1,0)</f>
        <v>1</v>
      </c>
      <c r="M880" t="str">
        <f>IF(NOT(ISBLANK(A880)),VLOOKUP(A880,'Close - PriceSaver'!A:J,6,0),"")</f>
        <v/>
      </c>
      <c r="Q880" t="e">
        <f t="shared" si="130"/>
        <v>#N/A</v>
      </c>
      <c r="R880" t="e">
        <f t="shared" si="131"/>
        <v>#N/A</v>
      </c>
      <c r="S880" t="e">
        <f t="shared" si="132"/>
        <v>#N/A</v>
      </c>
      <c r="T880" s="15" t="e">
        <f t="shared" si="134"/>
        <v>#N/A</v>
      </c>
      <c r="U880" s="18" t="e">
        <f t="shared" si="135"/>
        <v>#N/A</v>
      </c>
      <c r="V880" s="14" t="e">
        <f t="shared" si="133"/>
        <v>#N/A</v>
      </c>
      <c r="W880" s="19" t="e">
        <f t="shared" si="136"/>
        <v>#N/A</v>
      </c>
      <c r="X880" t="e">
        <f>VLOOKUP(P880,Close[[ID]:[CreatedBy]],8,0)</f>
        <v>#N/A</v>
      </c>
    </row>
    <row r="881" spans="2:24" x14ac:dyDescent="0.35">
      <c r="B881" t="str">
        <f>IF(NOT(ISBLANK(A881)),VLOOKUP(A881,'BBT3'!A:F,2,0),"")</f>
        <v/>
      </c>
      <c r="C881" t="str">
        <f>IF(NOT(ISBLANK(A881)),VLOOKUP(A881,'BBT3'!A:F,3,0),"")</f>
        <v/>
      </c>
      <c r="D881" s="5" t="str">
        <f>IF(NOT(ISBLANK(A881)),VLOOKUP(A881,'BBT3'!A:F,4,1),"")</f>
        <v/>
      </c>
      <c r="E881" t="str">
        <f>IF(NOT(ISBLANK(A881)),VLOOKUP(A881,'BBT3'!A:F,5,0),"")</f>
        <v/>
      </c>
      <c r="F881" t="str">
        <f>IF(NOT(ISBLANK(A881)),VLOOKUP(A881,'BBT3'!A:F,6,0),"")</f>
        <v/>
      </c>
      <c r="G881" t="str">
        <f t="shared" si="128"/>
        <v/>
      </c>
      <c r="H881" t="str">
        <f>IF(NOT(ISBLANK(A881)),VLOOKUP(A881,'Close - PriceSaver'!A:J,5,0),"")</f>
        <v/>
      </c>
      <c r="I881" s="4" t="str" cm="1">
        <f t="array" ref="I881">IF(NOT(ISBLANK(A881)),((_xlfn.XLOOKUP(1,(_bbt3[[#All],[ID]]=A881)*(_bbt3[[#All],[METRIC_NAME]]="YLD_YTM_ASK"),_bbt3[[#All],[METRIC_VALUE]])*0.5)+(_xlfn.XLOOKUP(1,(_bbt3[[#All],[ID]]=A881)*(_bbt3[[#All],[METRIC_NAME]]="YLD_YTM_BID"),_bbt3[[#All],[METRIC_VALUE]])*0.5))/100,"")</f>
        <v/>
      </c>
      <c r="J881">
        <f>IF(ISNA(VLOOKUP(A881,'CloseDL - PriceSaverBBT3'!A:E,5,0)),0,VLOOKUP(A881,'CloseDL - PriceSaverBBT3'!A:E,5,0))</f>
        <v>0</v>
      </c>
      <c r="K881" s="7" t="str">
        <f t="shared" si="129"/>
        <v/>
      </c>
      <c r="L881" s="20">
        <f>IF(Close[[#This Row],[CreatedBy]]="MARINER\SilverAdm",1,0)</f>
        <v>1</v>
      </c>
      <c r="M881" t="str">
        <f>IF(NOT(ISBLANK(A881)),VLOOKUP(A881,'Close - PriceSaver'!A:J,6,0),"")</f>
        <v/>
      </c>
      <c r="Q881" t="e">
        <f t="shared" si="130"/>
        <v>#N/A</v>
      </c>
      <c r="R881" t="e">
        <f t="shared" si="131"/>
        <v>#N/A</v>
      </c>
      <c r="S881" t="e">
        <f t="shared" si="132"/>
        <v>#N/A</v>
      </c>
      <c r="T881" s="15" t="e">
        <f t="shared" si="134"/>
        <v>#N/A</v>
      </c>
      <c r="U881" s="18" t="e">
        <f t="shared" si="135"/>
        <v>#N/A</v>
      </c>
      <c r="V881" s="14" t="e">
        <f t="shared" si="133"/>
        <v>#N/A</v>
      </c>
      <c r="W881" s="19" t="e">
        <f t="shared" si="136"/>
        <v>#N/A</v>
      </c>
      <c r="X881" t="e">
        <f>VLOOKUP(P881,Close[[ID]:[CreatedBy]],8,0)</f>
        <v>#N/A</v>
      </c>
    </row>
    <row r="882" spans="2:24" x14ac:dyDescent="0.35">
      <c r="B882" t="str">
        <f>IF(NOT(ISBLANK(A882)),VLOOKUP(A882,'BBT3'!A:F,2,0),"")</f>
        <v/>
      </c>
      <c r="C882" t="str">
        <f>IF(NOT(ISBLANK(A882)),VLOOKUP(A882,'BBT3'!A:F,3,0),"")</f>
        <v/>
      </c>
      <c r="D882" s="5" t="str">
        <f>IF(NOT(ISBLANK(A882)),VLOOKUP(A882,'BBT3'!A:F,4,1),"")</f>
        <v/>
      </c>
      <c r="E882" t="str">
        <f>IF(NOT(ISBLANK(A882)),VLOOKUP(A882,'BBT3'!A:F,5,0),"")</f>
        <v/>
      </c>
      <c r="F882" t="str">
        <f>IF(NOT(ISBLANK(A882)),VLOOKUP(A882,'BBT3'!A:F,6,0),"")</f>
        <v/>
      </c>
      <c r="G882" t="str">
        <f t="shared" si="128"/>
        <v/>
      </c>
      <c r="H882" t="str">
        <f>IF(NOT(ISBLANK(A882)),VLOOKUP(A882,'Close - PriceSaver'!A:J,5,0),"")</f>
        <v/>
      </c>
      <c r="I882" s="4" t="str" cm="1">
        <f t="array" ref="I882">IF(NOT(ISBLANK(A882)),((_xlfn.XLOOKUP(1,(_bbt3[[#All],[ID]]=A882)*(_bbt3[[#All],[METRIC_NAME]]="YLD_YTM_ASK"),_bbt3[[#All],[METRIC_VALUE]])*0.5)+(_xlfn.XLOOKUP(1,(_bbt3[[#All],[ID]]=A882)*(_bbt3[[#All],[METRIC_NAME]]="YLD_YTM_BID"),_bbt3[[#All],[METRIC_VALUE]])*0.5))/100,"")</f>
        <v/>
      </c>
      <c r="J882">
        <f>IF(ISNA(VLOOKUP(A882,'CloseDL - PriceSaverBBT3'!A:E,5,0)),0,VLOOKUP(A882,'CloseDL - PriceSaverBBT3'!A:E,5,0))</f>
        <v>0</v>
      </c>
      <c r="K882" s="7" t="str">
        <f t="shared" si="129"/>
        <v/>
      </c>
      <c r="L882" s="20">
        <f>IF(Close[[#This Row],[CreatedBy]]="MARINER\SilverAdm",1,0)</f>
        <v>1</v>
      </c>
      <c r="M882" t="str">
        <f>IF(NOT(ISBLANK(A882)),VLOOKUP(A882,'Close - PriceSaver'!A:J,6,0),"")</f>
        <v/>
      </c>
      <c r="Q882" t="e">
        <f t="shared" si="130"/>
        <v>#N/A</v>
      </c>
      <c r="R882" t="e">
        <f t="shared" si="131"/>
        <v>#N/A</v>
      </c>
      <c r="S882" t="e">
        <f t="shared" si="132"/>
        <v>#N/A</v>
      </c>
      <c r="T882" s="15" t="e">
        <f t="shared" si="134"/>
        <v>#N/A</v>
      </c>
      <c r="U882" s="18" t="e">
        <f t="shared" si="135"/>
        <v>#N/A</v>
      </c>
      <c r="V882" s="14" t="e">
        <f t="shared" si="133"/>
        <v>#N/A</v>
      </c>
      <c r="W882" s="19" t="e">
        <f t="shared" si="136"/>
        <v>#N/A</v>
      </c>
      <c r="X882" t="e">
        <f>VLOOKUP(P882,Close[[ID]:[CreatedBy]],8,0)</f>
        <v>#N/A</v>
      </c>
    </row>
    <row r="883" spans="2:24" x14ac:dyDescent="0.35">
      <c r="B883" t="str">
        <f>IF(NOT(ISBLANK(A883)),VLOOKUP(A883,'BBT3'!A:F,2,0),"")</f>
        <v/>
      </c>
      <c r="C883" t="str">
        <f>IF(NOT(ISBLANK(A883)),VLOOKUP(A883,'BBT3'!A:F,3,0),"")</f>
        <v/>
      </c>
      <c r="D883" s="5" t="str">
        <f>IF(NOT(ISBLANK(A883)),VLOOKUP(A883,'BBT3'!A:F,4,1),"")</f>
        <v/>
      </c>
      <c r="E883" t="str">
        <f>IF(NOT(ISBLANK(A883)),VLOOKUP(A883,'BBT3'!A:F,5,0),"")</f>
        <v/>
      </c>
      <c r="F883" t="str">
        <f>IF(NOT(ISBLANK(A883)),VLOOKUP(A883,'BBT3'!A:F,6,0),"")</f>
        <v/>
      </c>
      <c r="G883" t="str">
        <f t="shared" si="128"/>
        <v/>
      </c>
      <c r="H883" t="str">
        <f>IF(NOT(ISBLANK(A883)),VLOOKUP(A883,'Close - PriceSaver'!A:J,5,0),"")</f>
        <v/>
      </c>
      <c r="I883" s="4" t="str" cm="1">
        <f t="array" ref="I883">IF(NOT(ISBLANK(A883)),((_xlfn.XLOOKUP(1,(_bbt3[[#All],[ID]]=A883)*(_bbt3[[#All],[METRIC_NAME]]="YLD_YTM_ASK"),_bbt3[[#All],[METRIC_VALUE]])*0.5)+(_xlfn.XLOOKUP(1,(_bbt3[[#All],[ID]]=A883)*(_bbt3[[#All],[METRIC_NAME]]="YLD_YTM_BID"),_bbt3[[#All],[METRIC_VALUE]])*0.5))/100,"")</f>
        <v/>
      </c>
      <c r="J883">
        <f>IF(ISNA(VLOOKUP(A883,'CloseDL - PriceSaverBBT3'!A:E,5,0)),0,VLOOKUP(A883,'CloseDL - PriceSaverBBT3'!A:E,5,0))</f>
        <v>0</v>
      </c>
      <c r="K883" s="7" t="str">
        <f t="shared" si="129"/>
        <v/>
      </c>
      <c r="L883" s="20">
        <f>IF(Close[[#This Row],[CreatedBy]]="MARINER\SilverAdm",1,0)</f>
        <v>1</v>
      </c>
      <c r="M883" t="str">
        <f>IF(NOT(ISBLANK(A883)),VLOOKUP(A883,'Close - PriceSaver'!A:J,6,0),"")</f>
        <v/>
      </c>
      <c r="Q883" t="e">
        <f t="shared" si="130"/>
        <v>#N/A</v>
      </c>
      <c r="R883" t="e">
        <f t="shared" si="131"/>
        <v>#N/A</v>
      </c>
      <c r="S883" t="e">
        <f t="shared" si="132"/>
        <v>#N/A</v>
      </c>
      <c r="T883" s="15" t="e">
        <f t="shared" si="134"/>
        <v>#N/A</v>
      </c>
      <c r="U883" s="18" t="e">
        <f t="shared" si="135"/>
        <v>#N/A</v>
      </c>
      <c r="V883" s="14" t="e">
        <f t="shared" si="133"/>
        <v>#N/A</v>
      </c>
      <c r="W883" s="19" t="e">
        <f t="shared" si="136"/>
        <v>#N/A</v>
      </c>
      <c r="X883" t="e">
        <f>VLOOKUP(P883,Close[[ID]:[CreatedBy]],8,0)</f>
        <v>#N/A</v>
      </c>
    </row>
    <row r="884" spans="2:24" x14ac:dyDescent="0.35">
      <c r="B884" t="str">
        <f>IF(NOT(ISBLANK(A884)),VLOOKUP(A884,'BBT3'!A:F,2,0),"")</f>
        <v/>
      </c>
      <c r="C884" t="str">
        <f>IF(NOT(ISBLANK(A884)),VLOOKUP(A884,'BBT3'!A:F,3,0),"")</f>
        <v/>
      </c>
      <c r="D884" s="5" t="str">
        <f>IF(NOT(ISBLANK(A884)),VLOOKUP(A884,'BBT3'!A:F,4,1),"")</f>
        <v/>
      </c>
      <c r="E884" t="str">
        <f>IF(NOT(ISBLANK(A884)),VLOOKUP(A884,'BBT3'!A:F,5,0),"")</f>
        <v/>
      </c>
      <c r="F884" t="str">
        <f>IF(NOT(ISBLANK(A884)),VLOOKUP(A884,'BBT3'!A:F,6,0),"")</f>
        <v/>
      </c>
      <c r="G884" t="str">
        <f t="shared" si="128"/>
        <v/>
      </c>
      <c r="H884" t="str">
        <f>IF(NOT(ISBLANK(A884)),VLOOKUP(A884,'Close - PriceSaver'!A:J,5,0),"")</f>
        <v/>
      </c>
      <c r="I884" s="4" t="str" cm="1">
        <f t="array" ref="I884">IF(NOT(ISBLANK(A884)),((_xlfn.XLOOKUP(1,(_bbt3[[#All],[ID]]=A884)*(_bbt3[[#All],[METRIC_NAME]]="YLD_YTM_ASK"),_bbt3[[#All],[METRIC_VALUE]])*0.5)+(_xlfn.XLOOKUP(1,(_bbt3[[#All],[ID]]=A884)*(_bbt3[[#All],[METRIC_NAME]]="YLD_YTM_BID"),_bbt3[[#All],[METRIC_VALUE]])*0.5))/100,"")</f>
        <v/>
      </c>
      <c r="J884">
        <f>IF(ISNA(VLOOKUP(A884,'CloseDL - PriceSaverBBT3'!A:E,5,0)),0,VLOOKUP(A884,'CloseDL - PriceSaverBBT3'!A:E,5,0))</f>
        <v>0</v>
      </c>
      <c r="K884" s="7" t="str">
        <f t="shared" si="129"/>
        <v/>
      </c>
      <c r="L884" s="20">
        <f>IF(Close[[#This Row],[CreatedBy]]="MARINER\SilverAdm",1,0)</f>
        <v>1</v>
      </c>
      <c r="M884" t="str">
        <f>IF(NOT(ISBLANK(A884)),VLOOKUP(A884,'Close - PriceSaver'!A:J,6,0),"")</f>
        <v/>
      </c>
      <c r="Q884" t="e">
        <f t="shared" si="130"/>
        <v>#N/A</v>
      </c>
      <c r="R884" t="e">
        <f t="shared" si="131"/>
        <v>#N/A</v>
      </c>
      <c r="S884" t="e">
        <f t="shared" si="132"/>
        <v>#N/A</v>
      </c>
      <c r="T884" s="15" t="e">
        <f t="shared" si="134"/>
        <v>#N/A</v>
      </c>
      <c r="U884" s="18" t="e">
        <f t="shared" si="135"/>
        <v>#N/A</v>
      </c>
      <c r="V884" s="14" t="e">
        <f t="shared" si="133"/>
        <v>#N/A</v>
      </c>
      <c r="W884" s="19" t="e">
        <f t="shared" si="136"/>
        <v>#N/A</v>
      </c>
      <c r="X884" t="e">
        <f>VLOOKUP(P884,Close[[ID]:[CreatedBy]],8,0)</f>
        <v>#N/A</v>
      </c>
    </row>
    <row r="885" spans="2:24" x14ac:dyDescent="0.35">
      <c r="B885" t="str">
        <f>IF(NOT(ISBLANK(A885)),VLOOKUP(A885,'BBT3'!A:F,2,0),"")</f>
        <v/>
      </c>
      <c r="C885" t="str">
        <f>IF(NOT(ISBLANK(A885)),VLOOKUP(A885,'BBT3'!A:F,3,0),"")</f>
        <v/>
      </c>
      <c r="D885" s="5" t="str">
        <f>IF(NOT(ISBLANK(A885)),VLOOKUP(A885,'BBT3'!A:F,4,1),"")</f>
        <v/>
      </c>
      <c r="E885" t="str">
        <f>IF(NOT(ISBLANK(A885)),VLOOKUP(A885,'BBT3'!A:F,5,0),"")</f>
        <v/>
      </c>
      <c r="F885" t="str">
        <f>IF(NOT(ISBLANK(A885)),VLOOKUP(A885,'BBT3'!A:F,6,0),"")</f>
        <v/>
      </c>
      <c r="G885" t="str">
        <f t="shared" si="128"/>
        <v/>
      </c>
      <c r="H885" t="str">
        <f>IF(NOT(ISBLANK(A885)),VLOOKUP(A885,'Close - PriceSaver'!A:J,5,0),"")</f>
        <v/>
      </c>
      <c r="I885" s="4" t="str" cm="1">
        <f t="array" ref="I885">IF(NOT(ISBLANK(A885)),((_xlfn.XLOOKUP(1,(_bbt3[[#All],[ID]]=A885)*(_bbt3[[#All],[METRIC_NAME]]="YLD_YTM_ASK"),_bbt3[[#All],[METRIC_VALUE]])*0.5)+(_xlfn.XLOOKUP(1,(_bbt3[[#All],[ID]]=A885)*(_bbt3[[#All],[METRIC_NAME]]="YLD_YTM_BID"),_bbt3[[#All],[METRIC_VALUE]])*0.5))/100,"")</f>
        <v/>
      </c>
      <c r="J885">
        <f>IF(ISNA(VLOOKUP(A885,'CloseDL - PriceSaverBBT3'!A:E,5,0)),0,VLOOKUP(A885,'CloseDL - PriceSaverBBT3'!A:E,5,0))</f>
        <v>0</v>
      </c>
      <c r="K885" s="7" t="str">
        <f t="shared" si="129"/>
        <v/>
      </c>
      <c r="L885" s="20">
        <f>IF(Close[[#This Row],[CreatedBy]]="MARINER\SilverAdm",1,0)</f>
        <v>1</v>
      </c>
      <c r="M885" t="str">
        <f>IF(NOT(ISBLANK(A885)),VLOOKUP(A885,'Close - PriceSaver'!A:J,6,0),"")</f>
        <v/>
      </c>
      <c r="Q885" t="e">
        <f t="shared" si="130"/>
        <v>#N/A</v>
      </c>
      <c r="R885" t="e">
        <f t="shared" si="131"/>
        <v>#N/A</v>
      </c>
      <c r="S885" t="e">
        <f t="shared" si="132"/>
        <v>#N/A</v>
      </c>
      <c r="T885" s="15" t="e">
        <f t="shared" si="134"/>
        <v>#N/A</v>
      </c>
      <c r="U885" s="18" t="e">
        <f t="shared" si="135"/>
        <v>#N/A</v>
      </c>
      <c r="V885" s="14" t="e">
        <f t="shared" si="133"/>
        <v>#N/A</v>
      </c>
      <c r="W885" s="19" t="e">
        <f t="shared" si="136"/>
        <v>#N/A</v>
      </c>
      <c r="X885" t="e">
        <f>VLOOKUP(P885,Close[[ID]:[CreatedBy]],8,0)</f>
        <v>#N/A</v>
      </c>
    </row>
    <row r="886" spans="2:24" x14ac:dyDescent="0.35">
      <c r="B886" t="str">
        <f>IF(NOT(ISBLANK(A886)),VLOOKUP(A886,'BBT3'!A:F,2,0),"")</f>
        <v/>
      </c>
      <c r="C886" t="str">
        <f>IF(NOT(ISBLANK(A886)),VLOOKUP(A886,'BBT3'!A:F,3,0),"")</f>
        <v/>
      </c>
      <c r="D886" s="5" t="str">
        <f>IF(NOT(ISBLANK(A886)),VLOOKUP(A886,'BBT3'!A:F,4,1),"")</f>
        <v/>
      </c>
      <c r="E886" t="str">
        <f>IF(NOT(ISBLANK(A886)),VLOOKUP(A886,'BBT3'!A:F,5,0),"")</f>
        <v/>
      </c>
      <c r="F886" t="str">
        <f>IF(NOT(ISBLANK(A886)),VLOOKUP(A886,'BBT3'!A:F,6,0),"")</f>
        <v/>
      </c>
      <c r="G886" t="str">
        <f t="shared" si="128"/>
        <v/>
      </c>
      <c r="H886" t="str">
        <f>IF(NOT(ISBLANK(A886)),VLOOKUP(A886,'Close - PriceSaver'!A:J,5,0),"")</f>
        <v/>
      </c>
      <c r="I886" s="4" t="str" cm="1">
        <f t="array" ref="I886">IF(NOT(ISBLANK(A886)),((_xlfn.XLOOKUP(1,(_bbt3[[#All],[ID]]=A886)*(_bbt3[[#All],[METRIC_NAME]]="YLD_YTM_ASK"),_bbt3[[#All],[METRIC_VALUE]])*0.5)+(_xlfn.XLOOKUP(1,(_bbt3[[#All],[ID]]=A886)*(_bbt3[[#All],[METRIC_NAME]]="YLD_YTM_BID"),_bbt3[[#All],[METRIC_VALUE]])*0.5))/100,"")</f>
        <v/>
      </c>
      <c r="J886">
        <f>IF(ISNA(VLOOKUP(A886,'CloseDL - PriceSaverBBT3'!A:E,5,0)),0,VLOOKUP(A886,'CloseDL - PriceSaverBBT3'!A:E,5,0))</f>
        <v>0</v>
      </c>
      <c r="K886" s="7" t="str">
        <f t="shared" si="129"/>
        <v/>
      </c>
      <c r="L886" s="20">
        <f>IF(Close[[#This Row],[CreatedBy]]="MARINER\SilverAdm",1,0)</f>
        <v>1</v>
      </c>
      <c r="M886" t="str">
        <f>IF(NOT(ISBLANK(A886)),VLOOKUP(A886,'Close - PriceSaver'!A:J,6,0),"")</f>
        <v/>
      </c>
      <c r="Q886" t="e">
        <f t="shared" si="130"/>
        <v>#N/A</v>
      </c>
      <c r="R886" t="e">
        <f t="shared" si="131"/>
        <v>#N/A</v>
      </c>
      <c r="S886" t="e">
        <f t="shared" si="132"/>
        <v>#N/A</v>
      </c>
      <c r="T886" s="15" t="e">
        <f t="shared" si="134"/>
        <v>#N/A</v>
      </c>
      <c r="U886" s="18" t="e">
        <f t="shared" si="135"/>
        <v>#N/A</v>
      </c>
      <c r="V886" s="14" t="e">
        <f t="shared" si="133"/>
        <v>#N/A</v>
      </c>
      <c r="W886" s="19" t="e">
        <f t="shared" si="136"/>
        <v>#N/A</v>
      </c>
      <c r="X886" t="e">
        <f>VLOOKUP(P886,Close[[ID]:[CreatedBy]],8,0)</f>
        <v>#N/A</v>
      </c>
    </row>
    <row r="887" spans="2:24" x14ac:dyDescent="0.35">
      <c r="B887" t="str">
        <f>IF(NOT(ISBLANK(A887)),VLOOKUP(A887,'BBT3'!A:F,2,0),"")</f>
        <v/>
      </c>
      <c r="C887" t="str">
        <f>IF(NOT(ISBLANK(A887)),VLOOKUP(A887,'BBT3'!A:F,3,0),"")</f>
        <v/>
      </c>
      <c r="D887" s="5" t="str">
        <f>IF(NOT(ISBLANK(A887)),VLOOKUP(A887,'BBT3'!A:F,4,1),"")</f>
        <v/>
      </c>
      <c r="E887" t="str">
        <f>IF(NOT(ISBLANK(A887)),VLOOKUP(A887,'BBT3'!A:F,5,0),"")</f>
        <v/>
      </c>
      <c r="F887" t="str">
        <f>IF(NOT(ISBLANK(A887)),VLOOKUP(A887,'BBT3'!A:F,6,0),"")</f>
        <v/>
      </c>
      <c r="G887" t="str">
        <f t="shared" si="128"/>
        <v/>
      </c>
      <c r="H887" t="str">
        <f>IF(NOT(ISBLANK(A887)),VLOOKUP(A887,'Close - PriceSaver'!A:J,5,0),"")</f>
        <v/>
      </c>
      <c r="I887" s="4" t="str" cm="1">
        <f t="array" ref="I887">IF(NOT(ISBLANK(A887)),((_xlfn.XLOOKUP(1,(_bbt3[[#All],[ID]]=A887)*(_bbt3[[#All],[METRIC_NAME]]="YLD_YTM_ASK"),_bbt3[[#All],[METRIC_VALUE]])*0.5)+(_xlfn.XLOOKUP(1,(_bbt3[[#All],[ID]]=A887)*(_bbt3[[#All],[METRIC_NAME]]="YLD_YTM_BID"),_bbt3[[#All],[METRIC_VALUE]])*0.5))/100,"")</f>
        <v/>
      </c>
      <c r="J887">
        <f>IF(ISNA(VLOOKUP(A887,'CloseDL - PriceSaverBBT3'!A:E,5,0)),0,VLOOKUP(A887,'CloseDL - PriceSaverBBT3'!A:E,5,0))</f>
        <v>0</v>
      </c>
      <c r="K887" s="7" t="str">
        <f t="shared" si="129"/>
        <v/>
      </c>
      <c r="L887" s="20">
        <f>IF(Close[[#This Row],[CreatedBy]]="MARINER\SilverAdm",1,0)</f>
        <v>1</v>
      </c>
      <c r="M887" t="str">
        <f>IF(NOT(ISBLANK(A887)),VLOOKUP(A887,'Close - PriceSaver'!A:J,6,0),"")</f>
        <v/>
      </c>
      <c r="Q887" t="e">
        <f t="shared" si="130"/>
        <v>#N/A</v>
      </c>
      <c r="R887" t="e">
        <f t="shared" si="131"/>
        <v>#N/A</v>
      </c>
      <c r="S887" t="e">
        <f t="shared" si="132"/>
        <v>#N/A</v>
      </c>
      <c r="T887" s="15" t="e">
        <f t="shared" si="134"/>
        <v>#N/A</v>
      </c>
      <c r="U887" s="18" t="e">
        <f t="shared" si="135"/>
        <v>#N/A</v>
      </c>
      <c r="V887" s="14" t="e">
        <f t="shared" si="133"/>
        <v>#N/A</v>
      </c>
      <c r="W887" s="19" t="e">
        <f t="shared" si="136"/>
        <v>#N/A</v>
      </c>
      <c r="X887" t="e">
        <f>VLOOKUP(P887,Close[[ID]:[CreatedBy]],8,0)</f>
        <v>#N/A</v>
      </c>
    </row>
    <row r="888" spans="2:24" x14ac:dyDescent="0.35">
      <c r="B888" t="str">
        <f>IF(NOT(ISBLANK(A888)),VLOOKUP(A888,'BBT3'!A:F,2,0),"")</f>
        <v/>
      </c>
      <c r="C888" t="str">
        <f>IF(NOT(ISBLANK(A888)),VLOOKUP(A888,'BBT3'!A:F,3,0),"")</f>
        <v/>
      </c>
      <c r="D888" s="5" t="str">
        <f>IF(NOT(ISBLANK(A888)),VLOOKUP(A888,'BBT3'!A:F,4,1),"")</f>
        <v/>
      </c>
      <c r="E888" t="str">
        <f>IF(NOT(ISBLANK(A888)),VLOOKUP(A888,'BBT3'!A:F,5,0),"")</f>
        <v/>
      </c>
      <c r="F888" t="str">
        <f>IF(NOT(ISBLANK(A888)),VLOOKUP(A888,'BBT3'!A:F,6,0),"")</f>
        <v/>
      </c>
      <c r="G888" t="str">
        <f t="shared" si="128"/>
        <v/>
      </c>
      <c r="H888" t="str">
        <f>IF(NOT(ISBLANK(A888)),VLOOKUP(A888,'Close - PriceSaver'!A:J,5,0),"")</f>
        <v/>
      </c>
      <c r="I888" s="4" t="str" cm="1">
        <f t="array" ref="I888">IF(NOT(ISBLANK(A888)),((_xlfn.XLOOKUP(1,(_bbt3[[#All],[ID]]=A888)*(_bbt3[[#All],[METRIC_NAME]]="YLD_YTM_ASK"),_bbt3[[#All],[METRIC_VALUE]])*0.5)+(_xlfn.XLOOKUP(1,(_bbt3[[#All],[ID]]=A888)*(_bbt3[[#All],[METRIC_NAME]]="YLD_YTM_BID"),_bbt3[[#All],[METRIC_VALUE]])*0.5))/100,"")</f>
        <v/>
      </c>
      <c r="J888">
        <f>IF(ISNA(VLOOKUP(A888,'CloseDL - PriceSaverBBT3'!A:E,5,0)),0,VLOOKUP(A888,'CloseDL - PriceSaverBBT3'!A:E,5,0))</f>
        <v>0</v>
      </c>
      <c r="K888" s="7" t="str">
        <f t="shared" si="129"/>
        <v/>
      </c>
      <c r="L888" s="20">
        <f>IF(Close[[#This Row],[CreatedBy]]="MARINER\SilverAdm",1,0)</f>
        <v>1</v>
      </c>
      <c r="M888" t="str">
        <f>IF(NOT(ISBLANK(A888)),VLOOKUP(A888,'Close - PriceSaver'!A:J,6,0),"")</f>
        <v/>
      </c>
      <c r="Q888" t="e">
        <f t="shared" si="130"/>
        <v>#N/A</v>
      </c>
      <c r="R888" t="e">
        <f t="shared" si="131"/>
        <v>#N/A</v>
      </c>
      <c r="S888" t="e">
        <f t="shared" si="132"/>
        <v>#N/A</v>
      </c>
      <c r="T888" s="15" t="e">
        <f t="shared" si="134"/>
        <v>#N/A</v>
      </c>
      <c r="U888" s="18" t="e">
        <f t="shared" si="135"/>
        <v>#N/A</v>
      </c>
      <c r="V888" s="14" t="e">
        <f t="shared" si="133"/>
        <v>#N/A</v>
      </c>
      <c r="W888" s="19" t="e">
        <f t="shared" si="136"/>
        <v>#N/A</v>
      </c>
      <c r="X888" t="e">
        <f>VLOOKUP(P888,Close[[ID]:[CreatedBy]],8,0)</f>
        <v>#N/A</v>
      </c>
    </row>
    <row r="889" spans="2:24" x14ac:dyDescent="0.35">
      <c r="B889" t="str">
        <f>IF(NOT(ISBLANK(A889)),VLOOKUP(A889,'BBT3'!A:F,2,0),"")</f>
        <v/>
      </c>
      <c r="C889" t="str">
        <f>IF(NOT(ISBLANK(A889)),VLOOKUP(A889,'BBT3'!A:F,3,0),"")</f>
        <v/>
      </c>
      <c r="D889" s="5" t="str">
        <f>IF(NOT(ISBLANK(A889)),VLOOKUP(A889,'BBT3'!A:F,4,1),"")</f>
        <v/>
      </c>
      <c r="E889" t="str">
        <f>IF(NOT(ISBLANK(A889)),VLOOKUP(A889,'BBT3'!A:F,5,0),"")</f>
        <v/>
      </c>
      <c r="F889" t="str">
        <f>IF(NOT(ISBLANK(A889)),VLOOKUP(A889,'BBT3'!A:F,6,0),"")</f>
        <v/>
      </c>
      <c r="G889" t="str">
        <f t="shared" si="128"/>
        <v/>
      </c>
      <c r="H889" t="str">
        <f>IF(NOT(ISBLANK(A889)),VLOOKUP(A889,'Close - PriceSaver'!A:J,5,0),"")</f>
        <v/>
      </c>
      <c r="I889" s="4" t="str" cm="1">
        <f t="array" ref="I889">IF(NOT(ISBLANK(A889)),((_xlfn.XLOOKUP(1,(_bbt3[[#All],[ID]]=A889)*(_bbt3[[#All],[METRIC_NAME]]="YLD_YTM_ASK"),_bbt3[[#All],[METRIC_VALUE]])*0.5)+(_xlfn.XLOOKUP(1,(_bbt3[[#All],[ID]]=A889)*(_bbt3[[#All],[METRIC_NAME]]="YLD_YTM_BID"),_bbt3[[#All],[METRIC_VALUE]])*0.5))/100,"")</f>
        <v/>
      </c>
      <c r="J889">
        <f>IF(ISNA(VLOOKUP(A889,'CloseDL - PriceSaverBBT3'!A:E,5,0)),0,VLOOKUP(A889,'CloseDL - PriceSaverBBT3'!A:E,5,0))</f>
        <v>0</v>
      </c>
      <c r="K889" s="7" t="str">
        <f t="shared" si="129"/>
        <v/>
      </c>
      <c r="L889" s="20">
        <f>IF(Close[[#This Row],[CreatedBy]]="MARINER\SilverAdm",1,0)</f>
        <v>1</v>
      </c>
      <c r="M889" t="str">
        <f>IF(NOT(ISBLANK(A889)),VLOOKUP(A889,'Close - PriceSaver'!A:J,6,0),"")</f>
        <v/>
      </c>
      <c r="Q889" t="e">
        <f t="shared" si="130"/>
        <v>#N/A</v>
      </c>
      <c r="R889" t="e">
        <f t="shared" si="131"/>
        <v>#N/A</v>
      </c>
      <c r="S889" t="e">
        <f t="shared" si="132"/>
        <v>#N/A</v>
      </c>
      <c r="T889" s="15" t="e">
        <f t="shared" si="134"/>
        <v>#N/A</v>
      </c>
      <c r="U889" s="18" t="e">
        <f t="shared" si="135"/>
        <v>#N/A</v>
      </c>
      <c r="V889" s="14" t="e">
        <f t="shared" si="133"/>
        <v>#N/A</v>
      </c>
      <c r="W889" s="19" t="e">
        <f t="shared" si="136"/>
        <v>#N/A</v>
      </c>
      <c r="X889" t="e">
        <f>VLOOKUP(P889,Close[[ID]:[CreatedBy]],8,0)</f>
        <v>#N/A</v>
      </c>
    </row>
    <row r="890" spans="2:24" x14ac:dyDescent="0.35">
      <c r="B890" t="str">
        <f>IF(NOT(ISBLANK(A890)),VLOOKUP(A890,'BBT3'!A:F,2,0),"")</f>
        <v/>
      </c>
      <c r="C890" t="str">
        <f>IF(NOT(ISBLANK(A890)),VLOOKUP(A890,'BBT3'!A:F,3,0),"")</f>
        <v/>
      </c>
      <c r="D890" s="5" t="str">
        <f>IF(NOT(ISBLANK(A890)),VLOOKUP(A890,'BBT3'!A:F,4,1),"")</f>
        <v/>
      </c>
      <c r="E890" t="str">
        <f>IF(NOT(ISBLANK(A890)),VLOOKUP(A890,'BBT3'!A:F,5,0),"")</f>
        <v/>
      </c>
      <c r="F890" t="str">
        <f>IF(NOT(ISBLANK(A890)),VLOOKUP(A890,'BBT3'!A:F,6,0),"")</f>
        <v/>
      </c>
      <c r="G890" t="str">
        <f t="shared" si="128"/>
        <v/>
      </c>
      <c r="H890" t="str">
        <f>IF(NOT(ISBLANK(A890)),VLOOKUP(A890,'Close - PriceSaver'!A:J,5,0),"")</f>
        <v/>
      </c>
      <c r="I890" s="4" t="str" cm="1">
        <f t="array" ref="I890">IF(NOT(ISBLANK(A890)),((_xlfn.XLOOKUP(1,(_bbt3[[#All],[ID]]=A890)*(_bbt3[[#All],[METRIC_NAME]]="YLD_YTM_ASK"),_bbt3[[#All],[METRIC_VALUE]])*0.5)+(_xlfn.XLOOKUP(1,(_bbt3[[#All],[ID]]=A890)*(_bbt3[[#All],[METRIC_NAME]]="YLD_YTM_BID"),_bbt3[[#All],[METRIC_VALUE]])*0.5))/100,"")</f>
        <v/>
      </c>
      <c r="J890">
        <f>IF(ISNA(VLOOKUP(A890,'CloseDL - PriceSaverBBT3'!A:E,5,0)),0,VLOOKUP(A890,'CloseDL - PriceSaverBBT3'!A:E,5,0))</f>
        <v>0</v>
      </c>
      <c r="K890" s="7" t="str">
        <f t="shared" si="129"/>
        <v/>
      </c>
      <c r="L890" s="20">
        <f>IF(Close[[#This Row],[CreatedBy]]="MARINER\SilverAdm",1,0)</f>
        <v>1</v>
      </c>
      <c r="M890" t="str">
        <f>IF(NOT(ISBLANK(A890)),VLOOKUP(A890,'Close - PriceSaver'!A:J,6,0),"")</f>
        <v/>
      </c>
      <c r="Q890" t="e">
        <f t="shared" si="130"/>
        <v>#N/A</v>
      </c>
      <c r="R890" t="e">
        <f t="shared" si="131"/>
        <v>#N/A</v>
      </c>
      <c r="S890" t="e">
        <f t="shared" si="132"/>
        <v>#N/A</v>
      </c>
      <c r="T890" s="15" t="e">
        <f t="shared" si="134"/>
        <v>#N/A</v>
      </c>
      <c r="U890" s="18" t="e">
        <f t="shared" si="135"/>
        <v>#N/A</v>
      </c>
      <c r="V890" s="14" t="e">
        <f t="shared" si="133"/>
        <v>#N/A</v>
      </c>
      <c r="W890" s="19" t="e">
        <f t="shared" si="136"/>
        <v>#N/A</v>
      </c>
      <c r="X890" t="e">
        <f>VLOOKUP(P890,Close[[ID]:[CreatedBy]],8,0)</f>
        <v>#N/A</v>
      </c>
    </row>
    <row r="891" spans="2:24" x14ac:dyDescent="0.35">
      <c r="B891" t="str">
        <f>IF(NOT(ISBLANK(A891)),VLOOKUP(A891,'BBT3'!A:F,2,0),"")</f>
        <v/>
      </c>
      <c r="C891" t="str">
        <f>IF(NOT(ISBLANK(A891)),VLOOKUP(A891,'BBT3'!A:F,3,0),"")</f>
        <v/>
      </c>
      <c r="D891" s="5" t="str">
        <f>IF(NOT(ISBLANK(A891)),VLOOKUP(A891,'BBT3'!A:F,4,1),"")</f>
        <v/>
      </c>
      <c r="E891" t="str">
        <f>IF(NOT(ISBLANK(A891)),VLOOKUP(A891,'BBT3'!A:F,5,0),"")</f>
        <v/>
      </c>
      <c r="F891" t="str">
        <f>IF(NOT(ISBLANK(A891)),VLOOKUP(A891,'BBT3'!A:F,6,0),"")</f>
        <v/>
      </c>
      <c r="G891" t="str">
        <f t="shared" si="128"/>
        <v/>
      </c>
      <c r="H891" t="str">
        <f>IF(NOT(ISBLANK(A891)),VLOOKUP(A891,'Close - PriceSaver'!A:J,5,0),"")</f>
        <v/>
      </c>
      <c r="I891" s="4" t="str" cm="1">
        <f t="array" ref="I891">IF(NOT(ISBLANK(A891)),((_xlfn.XLOOKUP(1,(_bbt3[[#All],[ID]]=A891)*(_bbt3[[#All],[METRIC_NAME]]="YLD_YTM_ASK"),_bbt3[[#All],[METRIC_VALUE]])*0.5)+(_xlfn.XLOOKUP(1,(_bbt3[[#All],[ID]]=A891)*(_bbt3[[#All],[METRIC_NAME]]="YLD_YTM_BID"),_bbt3[[#All],[METRIC_VALUE]])*0.5))/100,"")</f>
        <v/>
      </c>
      <c r="J891">
        <f>IF(ISNA(VLOOKUP(A891,'CloseDL - PriceSaverBBT3'!A:E,5,0)),0,VLOOKUP(A891,'CloseDL - PriceSaverBBT3'!A:E,5,0))</f>
        <v>0</v>
      </c>
      <c r="K891" s="7" t="str">
        <f t="shared" si="129"/>
        <v/>
      </c>
      <c r="L891" s="20">
        <f>IF(Close[[#This Row],[CreatedBy]]="MARINER\SilverAdm",1,0)</f>
        <v>1</v>
      </c>
      <c r="M891" t="str">
        <f>IF(NOT(ISBLANK(A891)),VLOOKUP(A891,'Close - PriceSaver'!A:J,6,0),"")</f>
        <v/>
      </c>
      <c r="Q891" t="e">
        <f t="shared" si="130"/>
        <v>#N/A</v>
      </c>
      <c r="R891" t="e">
        <f t="shared" si="131"/>
        <v>#N/A</v>
      </c>
      <c r="S891" t="e">
        <f t="shared" si="132"/>
        <v>#N/A</v>
      </c>
      <c r="T891" s="15" t="e">
        <f t="shared" si="134"/>
        <v>#N/A</v>
      </c>
      <c r="U891" s="18" t="e">
        <f t="shared" si="135"/>
        <v>#N/A</v>
      </c>
      <c r="V891" s="14" t="e">
        <f t="shared" si="133"/>
        <v>#N/A</v>
      </c>
      <c r="W891" s="19" t="e">
        <f t="shared" si="136"/>
        <v>#N/A</v>
      </c>
      <c r="X891" t="e">
        <f>VLOOKUP(P891,Close[[ID]:[CreatedBy]],8,0)</f>
        <v>#N/A</v>
      </c>
    </row>
    <row r="892" spans="2:24" x14ac:dyDescent="0.35">
      <c r="B892" t="str">
        <f>IF(NOT(ISBLANK(A892)),VLOOKUP(A892,'BBT3'!A:F,2,0),"")</f>
        <v/>
      </c>
      <c r="C892" t="str">
        <f>IF(NOT(ISBLANK(A892)),VLOOKUP(A892,'BBT3'!A:F,3,0),"")</f>
        <v/>
      </c>
      <c r="D892" s="5" t="str">
        <f>IF(NOT(ISBLANK(A892)),VLOOKUP(A892,'BBT3'!A:F,4,1),"")</f>
        <v/>
      </c>
      <c r="E892" t="str">
        <f>IF(NOT(ISBLANK(A892)),VLOOKUP(A892,'BBT3'!A:F,5,0),"")</f>
        <v/>
      </c>
      <c r="F892" t="str">
        <f>IF(NOT(ISBLANK(A892)),VLOOKUP(A892,'BBT3'!A:F,6,0),"")</f>
        <v/>
      </c>
      <c r="G892" t="str">
        <f t="shared" si="128"/>
        <v/>
      </c>
      <c r="H892" t="str">
        <f>IF(NOT(ISBLANK(A892)),VLOOKUP(A892,'Close - PriceSaver'!A:J,5,0),"")</f>
        <v/>
      </c>
      <c r="I892" s="4" t="str" cm="1">
        <f t="array" ref="I892">IF(NOT(ISBLANK(A892)),((_xlfn.XLOOKUP(1,(_bbt3[[#All],[ID]]=A892)*(_bbt3[[#All],[METRIC_NAME]]="YLD_YTM_ASK"),_bbt3[[#All],[METRIC_VALUE]])*0.5)+(_xlfn.XLOOKUP(1,(_bbt3[[#All],[ID]]=A892)*(_bbt3[[#All],[METRIC_NAME]]="YLD_YTM_BID"),_bbt3[[#All],[METRIC_VALUE]])*0.5))/100,"")</f>
        <v/>
      </c>
      <c r="J892">
        <f>IF(ISNA(VLOOKUP(A892,'CloseDL - PriceSaverBBT3'!A:E,5,0)),0,VLOOKUP(A892,'CloseDL - PriceSaverBBT3'!A:E,5,0))</f>
        <v>0</v>
      </c>
      <c r="K892" s="7" t="str">
        <f t="shared" si="129"/>
        <v/>
      </c>
      <c r="L892" s="20">
        <f>IF(Close[[#This Row],[CreatedBy]]="MARINER\SilverAdm",1,0)</f>
        <v>1</v>
      </c>
      <c r="M892" t="str">
        <f>IF(NOT(ISBLANK(A892)),VLOOKUP(A892,'Close - PriceSaver'!A:J,6,0),"")</f>
        <v/>
      </c>
      <c r="Q892" t="e">
        <f t="shared" si="130"/>
        <v>#N/A</v>
      </c>
      <c r="R892" t="e">
        <f t="shared" si="131"/>
        <v>#N/A</v>
      </c>
      <c r="S892" t="e">
        <f t="shared" si="132"/>
        <v>#N/A</v>
      </c>
      <c r="T892" s="15" t="e">
        <f t="shared" si="134"/>
        <v>#N/A</v>
      </c>
      <c r="U892" s="18" t="e">
        <f t="shared" si="135"/>
        <v>#N/A</v>
      </c>
      <c r="V892" s="14" t="e">
        <f t="shared" si="133"/>
        <v>#N/A</v>
      </c>
      <c r="W892" s="19" t="e">
        <f t="shared" si="136"/>
        <v>#N/A</v>
      </c>
      <c r="X892" t="e">
        <f>VLOOKUP(P892,Close[[ID]:[CreatedBy]],8,0)</f>
        <v>#N/A</v>
      </c>
    </row>
    <row r="893" spans="2:24" x14ac:dyDescent="0.35">
      <c r="B893" t="str">
        <f>IF(NOT(ISBLANK(A893)),VLOOKUP(A893,'BBT3'!A:F,2,0),"")</f>
        <v/>
      </c>
      <c r="C893" t="str">
        <f>IF(NOT(ISBLANK(A893)),VLOOKUP(A893,'BBT3'!A:F,3,0),"")</f>
        <v/>
      </c>
      <c r="D893" s="5" t="str">
        <f>IF(NOT(ISBLANK(A893)),VLOOKUP(A893,'BBT3'!A:F,4,1),"")</f>
        <v/>
      </c>
      <c r="E893" t="str">
        <f>IF(NOT(ISBLANK(A893)),VLOOKUP(A893,'BBT3'!A:F,5,0),"")</f>
        <v/>
      </c>
      <c r="F893" t="str">
        <f>IF(NOT(ISBLANK(A893)),VLOOKUP(A893,'BBT3'!A:F,6,0),"")</f>
        <v/>
      </c>
      <c r="G893" t="str">
        <f t="shared" si="128"/>
        <v/>
      </c>
      <c r="H893" t="str">
        <f>IF(NOT(ISBLANK(A893)),VLOOKUP(A893,'Close - PriceSaver'!A:J,5,0),"")</f>
        <v/>
      </c>
      <c r="I893" s="4" t="str" cm="1">
        <f t="array" ref="I893">IF(NOT(ISBLANK(A893)),((_xlfn.XLOOKUP(1,(_bbt3[[#All],[ID]]=A893)*(_bbt3[[#All],[METRIC_NAME]]="YLD_YTM_ASK"),_bbt3[[#All],[METRIC_VALUE]])*0.5)+(_xlfn.XLOOKUP(1,(_bbt3[[#All],[ID]]=A893)*(_bbt3[[#All],[METRIC_NAME]]="YLD_YTM_BID"),_bbt3[[#All],[METRIC_VALUE]])*0.5))/100,"")</f>
        <v/>
      </c>
      <c r="J893">
        <f>IF(ISNA(VLOOKUP(A893,'CloseDL - PriceSaverBBT3'!A:E,5,0)),0,VLOOKUP(A893,'CloseDL - PriceSaverBBT3'!A:E,5,0))</f>
        <v>0</v>
      </c>
      <c r="K893" s="7" t="str">
        <f t="shared" si="129"/>
        <v/>
      </c>
      <c r="L893" s="20">
        <f>IF(Close[[#This Row],[CreatedBy]]="MARINER\SilverAdm",1,0)</f>
        <v>1</v>
      </c>
      <c r="M893" t="str">
        <f>IF(NOT(ISBLANK(A893)),VLOOKUP(A893,'Close - PriceSaver'!A:J,6,0),"")</f>
        <v/>
      </c>
      <c r="Q893" t="e">
        <f t="shared" si="130"/>
        <v>#N/A</v>
      </c>
      <c r="R893" t="e">
        <f t="shared" si="131"/>
        <v>#N/A</v>
      </c>
      <c r="S893" t="e">
        <f t="shared" si="132"/>
        <v>#N/A</v>
      </c>
      <c r="T893" s="15" t="e">
        <f t="shared" si="134"/>
        <v>#N/A</v>
      </c>
      <c r="U893" s="18" t="e">
        <f t="shared" si="135"/>
        <v>#N/A</v>
      </c>
      <c r="V893" s="14" t="e">
        <f t="shared" si="133"/>
        <v>#N/A</v>
      </c>
      <c r="W893" s="19" t="e">
        <f t="shared" si="136"/>
        <v>#N/A</v>
      </c>
      <c r="X893" t="e">
        <f>VLOOKUP(P893,Close[[ID]:[CreatedBy]],8,0)</f>
        <v>#N/A</v>
      </c>
    </row>
    <row r="894" spans="2:24" x14ac:dyDescent="0.35">
      <c r="B894" t="str">
        <f>IF(NOT(ISBLANK(A894)),VLOOKUP(A894,'BBT3'!A:F,2,0),"")</f>
        <v/>
      </c>
      <c r="C894" t="str">
        <f>IF(NOT(ISBLANK(A894)),VLOOKUP(A894,'BBT3'!A:F,3,0),"")</f>
        <v/>
      </c>
      <c r="D894" s="5" t="str">
        <f>IF(NOT(ISBLANK(A894)),VLOOKUP(A894,'BBT3'!A:F,4,1),"")</f>
        <v/>
      </c>
      <c r="E894" t="str">
        <f>IF(NOT(ISBLANK(A894)),VLOOKUP(A894,'BBT3'!A:F,5,0),"")</f>
        <v/>
      </c>
      <c r="F894" t="str">
        <f>IF(NOT(ISBLANK(A894)),VLOOKUP(A894,'BBT3'!A:F,6,0),"")</f>
        <v/>
      </c>
      <c r="G894" t="str">
        <f t="shared" si="128"/>
        <v/>
      </c>
      <c r="H894" t="str">
        <f>IF(NOT(ISBLANK(A894)),VLOOKUP(A894,'Close - PriceSaver'!A:J,5,0),"")</f>
        <v/>
      </c>
      <c r="I894" s="4" t="str" cm="1">
        <f t="array" ref="I894">IF(NOT(ISBLANK(A894)),((_xlfn.XLOOKUP(1,(_bbt3[[#All],[ID]]=A894)*(_bbt3[[#All],[METRIC_NAME]]="YLD_YTM_ASK"),_bbt3[[#All],[METRIC_VALUE]])*0.5)+(_xlfn.XLOOKUP(1,(_bbt3[[#All],[ID]]=A894)*(_bbt3[[#All],[METRIC_NAME]]="YLD_YTM_BID"),_bbt3[[#All],[METRIC_VALUE]])*0.5))/100,"")</f>
        <v/>
      </c>
      <c r="J894">
        <f>IF(ISNA(VLOOKUP(A894,'CloseDL - PriceSaverBBT3'!A:E,5,0)),0,VLOOKUP(A894,'CloseDL - PriceSaverBBT3'!A:E,5,0))</f>
        <v>0</v>
      </c>
      <c r="K894" s="7" t="str">
        <f t="shared" si="129"/>
        <v/>
      </c>
      <c r="L894" s="20">
        <f>IF(Close[[#This Row],[CreatedBy]]="MARINER\SilverAdm",1,0)</f>
        <v>1</v>
      </c>
      <c r="M894" t="str">
        <f>IF(NOT(ISBLANK(A894)),VLOOKUP(A894,'Close - PriceSaver'!A:J,6,0),"")</f>
        <v/>
      </c>
      <c r="Q894" t="e">
        <f t="shared" si="130"/>
        <v>#N/A</v>
      </c>
      <c r="R894" t="e">
        <f t="shared" si="131"/>
        <v>#N/A</v>
      </c>
      <c r="S894" t="e">
        <f t="shared" si="132"/>
        <v>#N/A</v>
      </c>
      <c r="T894" s="15" t="e">
        <f t="shared" si="134"/>
        <v>#N/A</v>
      </c>
      <c r="U894" s="18" t="e">
        <f t="shared" si="135"/>
        <v>#N/A</v>
      </c>
      <c r="V894" s="14" t="e">
        <f t="shared" si="133"/>
        <v>#N/A</v>
      </c>
      <c r="W894" s="19" t="e">
        <f t="shared" si="136"/>
        <v>#N/A</v>
      </c>
      <c r="X894" t="e">
        <f>VLOOKUP(P894,Close[[ID]:[CreatedBy]],8,0)</f>
        <v>#N/A</v>
      </c>
    </row>
    <row r="895" spans="2:24" x14ac:dyDescent="0.35">
      <c r="B895" t="str">
        <f>IF(NOT(ISBLANK(A895)),VLOOKUP(A895,'BBT3'!A:F,2,0),"")</f>
        <v/>
      </c>
      <c r="C895" t="str">
        <f>IF(NOT(ISBLANK(A895)),VLOOKUP(A895,'BBT3'!A:F,3,0),"")</f>
        <v/>
      </c>
      <c r="D895" s="5" t="str">
        <f>IF(NOT(ISBLANK(A895)),VLOOKUP(A895,'BBT3'!A:F,4,1),"")</f>
        <v/>
      </c>
      <c r="E895" t="str">
        <f>IF(NOT(ISBLANK(A895)),VLOOKUP(A895,'BBT3'!A:F,5,0),"")</f>
        <v/>
      </c>
      <c r="F895" t="str">
        <f>IF(NOT(ISBLANK(A895)),VLOOKUP(A895,'BBT3'!A:F,6,0),"")</f>
        <v/>
      </c>
      <c r="G895" t="str">
        <f t="shared" si="128"/>
        <v/>
      </c>
      <c r="H895" t="str">
        <f>IF(NOT(ISBLANK(A895)),VLOOKUP(A895,'Close - PriceSaver'!A:J,5,0),"")</f>
        <v/>
      </c>
      <c r="I895" s="4" t="str" cm="1">
        <f t="array" ref="I895">IF(NOT(ISBLANK(A895)),((_xlfn.XLOOKUP(1,(_bbt3[[#All],[ID]]=A895)*(_bbt3[[#All],[METRIC_NAME]]="YLD_YTM_ASK"),_bbt3[[#All],[METRIC_VALUE]])*0.5)+(_xlfn.XLOOKUP(1,(_bbt3[[#All],[ID]]=A895)*(_bbt3[[#All],[METRIC_NAME]]="YLD_YTM_BID"),_bbt3[[#All],[METRIC_VALUE]])*0.5))/100,"")</f>
        <v/>
      </c>
      <c r="J895">
        <f>IF(ISNA(VLOOKUP(A895,'CloseDL - PriceSaverBBT3'!A:E,5,0)),0,VLOOKUP(A895,'CloseDL - PriceSaverBBT3'!A:E,5,0))</f>
        <v>0</v>
      </c>
      <c r="K895" s="7" t="str">
        <f t="shared" si="129"/>
        <v/>
      </c>
      <c r="L895" s="20">
        <f>IF(Close[[#This Row],[CreatedBy]]="MARINER\SilverAdm",1,0)</f>
        <v>1</v>
      </c>
      <c r="M895" t="str">
        <f>IF(NOT(ISBLANK(A895)),VLOOKUP(A895,'Close - PriceSaver'!A:J,6,0),"")</f>
        <v/>
      </c>
      <c r="Q895" t="e">
        <f t="shared" si="130"/>
        <v>#N/A</v>
      </c>
      <c r="R895" t="e">
        <f t="shared" si="131"/>
        <v>#N/A</v>
      </c>
      <c r="S895" t="e">
        <f t="shared" si="132"/>
        <v>#N/A</v>
      </c>
      <c r="T895" s="15" t="e">
        <f t="shared" si="134"/>
        <v>#N/A</v>
      </c>
      <c r="U895" s="18" t="e">
        <f t="shared" si="135"/>
        <v>#N/A</v>
      </c>
      <c r="V895" s="14" t="e">
        <f t="shared" si="133"/>
        <v>#N/A</v>
      </c>
      <c r="W895" s="19" t="e">
        <f t="shared" si="136"/>
        <v>#N/A</v>
      </c>
      <c r="X895" t="e">
        <f>VLOOKUP(P895,Close[[ID]:[CreatedBy]],8,0)</f>
        <v>#N/A</v>
      </c>
    </row>
    <row r="896" spans="2:24" x14ac:dyDescent="0.35">
      <c r="B896" t="str">
        <f>IF(NOT(ISBLANK(A896)),VLOOKUP(A896,'BBT3'!A:F,2,0),"")</f>
        <v/>
      </c>
      <c r="C896" t="str">
        <f>IF(NOT(ISBLANK(A896)),VLOOKUP(A896,'BBT3'!A:F,3,0),"")</f>
        <v/>
      </c>
      <c r="D896" s="5" t="str">
        <f>IF(NOT(ISBLANK(A896)),VLOOKUP(A896,'BBT3'!A:F,4,1),"")</f>
        <v/>
      </c>
      <c r="E896" t="str">
        <f>IF(NOT(ISBLANK(A896)),VLOOKUP(A896,'BBT3'!A:F,5,0),"")</f>
        <v/>
      </c>
      <c r="F896" t="str">
        <f>IF(NOT(ISBLANK(A896)),VLOOKUP(A896,'BBT3'!A:F,6,0),"")</f>
        <v/>
      </c>
      <c r="G896" t="str">
        <f t="shared" si="128"/>
        <v/>
      </c>
      <c r="H896" t="str">
        <f>IF(NOT(ISBLANK(A896)),VLOOKUP(A896,'Close - PriceSaver'!A:J,5,0),"")</f>
        <v/>
      </c>
      <c r="I896" s="4" t="str" cm="1">
        <f t="array" ref="I896">IF(NOT(ISBLANK(A896)),((_xlfn.XLOOKUP(1,(_bbt3[[#All],[ID]]=A896)*(_bbt3[[#All],[METRIC_NAME]]="YLD_YTM_ASK"),_bbt3[[#All],[METRIC_VALUE]])*0.5)+(_xlfn.XLOOKUP(1,(_bbt3[[#All],[ID]]=A896)*(_bbt3[[#All],[METRIC_NAME]]="YLD_YTM_BID"),_bbt3[[#All],[METRIC_VALUE]])*0.5))/100,"")</f>
        <v/>
      </c>
      <c r="J896">
        <f>IF(ISNA(VLOOKUP(A896,'CloseDL - PriceSaverBBT3'!A:E,5,0)),0,VLOOKUP(A896,'CloseDL - PriceSaverBBT3'!A:E,5,0))</f>
        <v>0</v>
      </c>
      <c r="K896" s="7" t="str">
        <f t="shared" si="129"/>
        <v/>
      </c>
      <c r="L896" s="20">
        <f>IF(Close[[#This Row],[CreatedBy]]="MARINER\SilverAdm",1,0)</f>
        <v>1</v>
      </c>
      <c r="M896" t="str">
        <f>IF(NOT(ISBLANK(A896)),VLOOKUP(A896,'Close - PriceSaver'!A:J,6,0),"")</f>
        <v/>
      </c>
      <c r="Q896" t="e">
        <f t="shared" si="130"/>
        <v>#N/A</v>
      </c>
      <c r="R896" t="e">
        <f t="shared" si="131"/>
        <v>#N/A</v>
      </c>
      <c r="S896" t="e">
        <f t="shared" si="132"/>
        <v>#N/A</v>
      </c>
      <c r="T896" s="15" t="e">
        <f t="shared" si="134"/>
        <v>#N/A</v>
      </c>
      <c r="U896" s="18" t="e">
        <f t="shared" si="135"/>
        <v>#N/A</v>
      </c>
      <c r="V896" s="14" t="e">
        <f t="shared" si="133"/>
        <v>#N/A</v>
      </c>
      <c r="W896" s="19" t="e">
        <f t="shared" si="136"/>
        <v>#N/A</v>
      </c>
      <c r="X896" t="e">
        <f>VLOOKUP(P896,Close[[ID]:[CreatedBy]],8,0)</f>
        <v>#N/A</v>
      </c>
    </row>
    <row r="897" spans="2:24" x14ac:dyDescent="0.35">
      <c r="B897" t="str">
        <f>IF(NOT(ISBLANK(A897)),VLOOKUP(A897,'BBT3'!A:F,2,0),"")</f>
        <v/>
      </c>
      <c r="C897" t="str">
        <f>IF(NOT(ISBLANK(A897)),VLOOKUP(A897,'BBT3'!A:F,3,0),"")</f>
        <v/>
      </c>
      <c r="D897" s="5" t="str">
        <f>IF(NOT(ISBLANK(A897)),VLOOKUP(A897,'BBT3'!A:F,4,1),"")</f>
        <v/>
      </c>
      <c r="E897" t="str">
        <f>IF(NOT(ISBLANK(A897)),VLOOKUP(A897,'BBT3'!A:F,5,0),"")</f>
        <v/>
      </c>
      <c r="F897" t="str">
        <f>IF(NOT(ISBLANK(A897)),VLOOKUP(A897,'BBT3'!A:F,6,0),"")</f>
        <v/>
      </c>
      <c r="G897" t="str">
        <f t="shared" si="128"/>
        <v/>
      </c>
      <c r="H897" t="str">
        <f>IF(NOT(ISBLANK(A897)),VLOOKUP(A897,'Close - PriceSaver'!A:J,5,0),"")</f>
        <v/>
      </c>
      <c r="I897" s="4" t="str" cm="1">
        <f t="array" ref="I897">IF(NOT(ISBLANK(A897)),((_xlfn.XLOOKUP(1,(_bbt3[[#All],[ID]]=A897)*(_bbt3[[#All],[METRIC_NAME]]="YLD_YTM_ASK"),_bbt3[[#All],[METRIC_VALUE]])*0.5)+(_xlfn.XLOOKUP(1,(_bbt3[[#All],[ID]]=A897)*(_bbt3[[#All],[METRIC_NAME]]="YLD_YTM_BID"),_bbt3[[#All],[METRIC_VALUE]])*0.5))/100,"")</f>
        <v/>
      </c>
      <c r="J897">
        <f>IF(ISNA(VLOOKUP(A897,'CloseDL - PriceSaverBBT3'!A:E,5,0)),0,VLOOKUP(A897,'CloseDL - PriceSaverBBT3'!A:E,5,0))</f>
        <v>0</v>
      </c>
      <c r="K897" s="7" t="str">
        <f t="shared" si="129"/>
        <v/>
      </c>
      <c r="L897" s="20">
        <f>IF(Close[[#This Row],[CreatedBy]]="MARINER\SilverAdm",1,0)</f>
        <v>1</v>
      </c>
      <c r="M897" t="str">
        <f>IF(NOT(ISBLANK(A897)),VLOOKUP(A897,'Close - PriceSaver'!A:J,6,0),"")</f>
        <v/>
      </c>
      <c r="Q897" t="e">
        <f t="shared" si="130"/>
        <v>#N/A</v>
      </c>
      <c r="R897" t="e">
        <f t="shared" si="131"/>
        <v>#N/A</v>
      </c>
      <c r="S897" t="e">
        <f t="shared" si="132"/>
        <v>#N/A</v>
      </c>
      <c r="T897" s="15" t="e">
        <f t="shared" si="134"/>
        <v>#N/A</v>
      </c>
      <c r="U897" s="18" t="e">
        <f t="shared" si="135"/>
        <v>#N/A</v>
      </c>
      <c r="V897" s="14" t="e">
        <f t="shared" si="133"/>
        <v>#N/A</v>
      </c>
      <c r="W897" s="19" t="e">
        <f t="shared" si="136"/>
        <v>#N/A</v>
      </c>
      <c r="X897" t="e">
        <f>VLOOKUP(P897,Close[[ID]:[CreatedBy]],8,0)</f>
        <v>#N/A</v>
      </c>
    </row>
    <row r="898" spans="2:24" x14ac:dyDescent="0.35">
      <c r="B898" t="str">
        <f>IF(NOT(ISBLANK(A898)),VLOOKUP(A898,'BBT3'!A:F,2,0),"")</f>
        <v/>
      </c>
      <c r="C898" t="str">
        <f>IF(NOT(ISBLANK(A898)),VLOOKUP(A898,'BBT3'!A:F,3,0),"")</f>
        <v/>
      </c>
      <c r="D898" s="5" t="str">
        <f>IF(NOT(ISBLANK(A898)),VLOOKUP(A898,'BBT3'!A:F,4,1),"")</f>
        <v/>
      </c>
      <c r="E898" t="str">
        <f>IF(NOT(ISBLANK(A898)),VLOOKUP(A898,'BBT3'!A:F,5,0),"")</f>
        <v/>
      </c>
      <c r="F898" t="str">
        <f>IF(NOT(ISBLANK(A898)),VLOOKUP(A898,'BBT3'!A:F,6,0),"")</f>
        <v/>
      </c>
      <c r="G898" t="str">
        <f t="shared" si="128"/>
        <v/>
      </c>
      <c r="H898" t="str">
        <f>IF(NOT(ISBLANK(A898)),VLOOKUP(A898,'Close - PriceSaver'!A:J,5,0),"")</f>
        <v/>
      </c>
      <c r="I898" s="4" t="str" cm="1">
        <f t="array" ref="I898">IF(NOT(ISBLANK(A898)),((_xlfn.XLOOKUP(1,(_bbt3[[#All],[ID]]=A898)*(_bbt3[[#All],[METRIC_NAME]]="YLD_YTM_ASK"),_bbt3[[#All],[METRIC_VALUE]])*0.5)+(_xlfn.XLOOKUP(1,(_bbt3[[#All],[ID]]=A898)*(_bbt3[[#All],[METRIC_NAME]]="YLD_YTM_BID"),_bbt3[[#All],[METRIC_VALUE]])*0.5))/100,"")</f>
        <v/>
      </c>
      <c r="J898">
        <f>IF(ISNA(VLOOKUP(A898,'CloseDL - PriceSaverBBT3'!A:E,5,0)),0,VLOOKUP(A898,'CloseDL - PriceSaverBBT3'!A:E,5,0))</f>
        <v>0</v>
      </c>
      <c r="K898" s="7" t="str">
        <f t="shared" si="129"/>
        <v/>
      </c>
      <c r="L898" s="20">
        <f>IF(Close[[#This Row],[CreatedBy]]="MARINER\SilverAdm",1,0)</f>
        <v>1</v>
      </c>
      <c r="M898" t="str">
        <f>IF(NOT(ISBLANK(A898)),VLOOKUP(A898,'Close - PriceSaver'!A:J,6,0),"")</f>
        <v/>
      </c>
      <c r="Q898" t="e">
        <f t="shared" si="130"/>
        <v>#N/A</v>
      </c>
      <c r="R898" t="e">
        <f t="shared" si="131"/>
        <v>#N/A</v>
      </c>
      <c r="S898" t="e">
        <f t="shared" si="132"/>
        <v>#N/A</v>
      </c>
      <c r="T898" s="15" t="e">
        <f t="shared" si="134"/>
        <v>#N/A</v>
      </c>
      <c r="U898" s="18" t="e">
        <f t="shared" si="135"/>
        <v>#N/A</v>
      </c>
      <c r="V898" s="14" t="e">
        <f t="shared" si="133"/>
        <v>#N/A</v>
      </c>
      <c r="W898" s="19" t="e">
        <f t="shared" si="136"/>
        <v>#N/A</v>
      </c>
      <c r="X898" t="e">
        <f>VLOOKUP(P898,Close[[ID]:[CreatedBy]],8,0)</f>
        <v>#N/A</v>
      </c>
    </row>
    <row r="899" spans="2:24" x14ac:dyDescent="0.35">
      <c r="B899" t="str">
        <f>IF(NOT(ISBLANK(A899)),VLOOKUP(A899,'BBT3'!A:F,2,0),"")</f>
        <v/>
      </c>
      <c r="C899" t="str">
        <f>IF(NOT(ISBLANK(A899)),VLOOKUP(A899,'BBT3'!A:F,3,0),"")</f>
        <v/>
      </c>
      <c r="D899" s="5" t="str">
        <f>IF(NOT(ISBLANK(A899)),VLOOKUP(A899,'BBT3'!A:F,4,1),"")</f>
        <v/>
      </c>
      <c r="E899" t="str">
        <f>IF(NOT(ISBLANK(A899)),VLOOKUP(A899,'BBT3'!A:F,5,0),"")</f>
        <v/>
      </c>
      <c r="F899" t="str">
        <f>IF(NOT(ISBLANK(A899)),VLOOKUP(A899,'BBT3'!A:F,6,0),"")</f>
        <v/>
      </c>
      <c r="G899" t="str">
        <f t="shared" ref="G899:G962" si="137">IF(NOT(ISBLANK(A899)),IF(D899=0,"Y","N"),"")</f>
        <v/>
      </c>
      <c r="H899" t="str">
        <f>IF(NOT(ISBLANK(A899)),VLOOKUP(A899,'Close - PriceSaver'!A:J,5,0),"")</f>
        <v/>
      </c>
      <c r="I899" s="4" t="str" cm="1">
        <f t="array" ref="I899">IF(NOT(ISBLANK(A899)),((_xlfn.XLOOKUP(1,(_bbt3[[#All],[ID]]=A899)*(_bbt3[[#All],[METRIC_NAME]]="YLD_YTM_ASK"),_bbt3[[#All],[METRIC_VALUE]])*0.5)+(_xlfn.XLOOKUP(1,(_bbt3[[#All],[ID]]=A899)*(_bbt3[[#All],[METRIC_NAME]]="YLD_YTM_BID"),_bbt3[[#All],[METRIC_VALUE]])*0.5))/100,"")</f>
        <v/>
      </c>
      <c r="J899">
        <f>IF(ISNA(VLOOKUP(A899,'CloseDL - PriceSaverBBT3'!A:E,5,0)),0,VLOOKUP(A899,'CloseDL - PriceSaverBBT3'!A:E,5,0))</f>
        <v>0</v>
      </c>
      <c r="K899" s="7" t="str">
        <f t="shared" ref="K899:K962" si="138">IF(ISNA(IF(NOT(ISBLANK(A899)),ABS(H899-J899),"")),0,(IF(NOT(ISBLANK(A899)),ABS(H899-J899)*10000,"")))</f>
        <v/>
      </c>
      <c r="L899" s="20">
        <f>IF(Close[[#This Row],[CreatedBy]]="MARINER\SilverAdm",1,0)</f>
        <v>1</v>
      </c>
      <c r="M899" t="str">
        <f>IF(NOT(ISBLANK(A899)),VLOOKUP(A899,'Close - PriceSaver'!A:J,6,0),"")</f>
        <v/>
      </c>
      <c r="Q899" t="e">
        <f t="shared" si="130"/>
        <v>#N/A</v>
      </c>
      <c r="R899" t="e">
        <f t="shared" si="131"/>
        <v>#N/A</v>
      </c>
      <c r="S899" t="e">
        <f t="shared" si="132"/>
        <v>#N/A</v>
      </c>
      <c r="T899" s="15" t="e">
        <f t="shared" si="134"/>
        <v>#N/A</v>
      </c>
      <c r="U899" s="18" t="e">
        <f t="shared" si="135"/>
        <v>#N/A</v>
      </c>
      <c r="V899" s="14" t="e">
        <f t="shared" si="133"/>
        <v>#N/A</v>
      </c>
      <c r="W899" s="19" t="e">
        <f t="shared" si="136"/>
        <v>#N/A</v>
      </c>
      <c r="X899" t="e">
        <f>VLOOKUP(P899,Close[[ID]:[CreatedBy]],8,0)</f>
        <v>#N/A</v>
      </c>
    </row>
    <row r="900" spans="2:24" x14ac:dyDescent="0.35">
      <c r="B900" t="str">
        <f>IF(NOT(ISBLANK(A900)),VLOOKUP(A900,'BBT3'!A:F,2,0),"")</f>
        <v/>
      </c>
      <c r="C900" t="str">
        <f>IF(NOT(ISBLANK(A900)),VLOOKUP(A900,'BBT3'!A:F,3,0),"")</f>
        <v/>
      </c>
      <c r="D900" s="5" t="str">
        <f>IF(NOT(ISBLANK(A900)),VLOOKUP(A900,'BBT3'!A:F,4,1),"")</f>
        <v/>
      </c>
      <c r="E900" t="str">
        <f>IF(NOT(ISBLANK(A900)),VLOOKUP(A900,'BBT3'!A:F,5,0),"")</f>
        <v/>
      </c>
      <c r="F900" t="str">
        <f>IF(NOT(ISBLANK(A900)),VLOOKUP(A900,'BBT3'!A:F,6,0),"")</f>
        <v/>
      </c>
      <c r="G900" t="str">
        <f t="shared" si="137"/>
        <v/>
      </c>
      <c r="H900" t="str">
        <f>IF(NOT(ISBLANK(A900)),VLOOKUP(A900,'Close - PriceSaver'!A:J,5,0),"")</f>
        <v/>
      </c>
      <c r="I900" s="4" t="str" cm="1">
        <f t="array" ref="I900">IF(NOT(ISBLANK(A900)),((_xlfn.XLOOKUP(1,(_bbt3[[#All],[ID]]=A900)*(_bbt3[[#All],[METRIC_NAME]]="YLD_YTM_ASK"),_bbt3[[#All],[METRIC_VALUE]])*0.5)+(_xlfn.XLOOKUP(1,(_bbt3[[#All],[ID]]=A900)*(_bbt3[[#All],[METRIC_NAME]]="YLD_YTM_BID"),_bbt3[[#All],[METRIC_VALUE]])*0.5))/100,"")</f>
        <v/>
      </c>
      <c r="J900">
        <f>IF(ISNA(VLOOKUP(A900,'CloseDL - PriceSaverBBT3'!A:E,5,0)),0,VLOOKUP(A900,'CloseDL - PriceSaverBBT3'!A:E,5,0))</f>
        <v>0</v>
      </c>
      <c r="K900" s="7" t="str">
        <f t="shared" si="138"/>
        <v/>
      </c>
      <c r="L900" s="20">
        <f>IF(Close[[#This Row],[CreatedBy]]="MARINER\SilverAdm",1,0)</f>
        <v>1</v>
      </c>
      <c r="M900" t="str">
        <f>IF(NOT(ISBLANK(A900)),VLOOKUP(A900,'Close - PriceSaver'!A:J,6,0),"")</f>
        <v/>
      </c>
      <c r="Q900" t="e">
        <f t="shared" si="130"/>
        <v>#N/A</v>
      </c>
      <c r="R900" t="e">
        <f t="shared" si="131"/>
        <v>#N/A</v>
      </c>
      <c r="S900" t="e">
        <f t="shared" si="132"/>
        <v>#N/A</v>
      </c>
      <c r="T900" s="15" t="e">
        <f t="shared" si="134"/>
        <v>#N/A</v>
      </c>
      <c r="U900" s="18" t="e">
        <f t="shared" si="135"/>
        <v>#N/A</v>
      </c>
      <c r="V900" s="14" t="e">
        <f t="shared" si="133"/>
        <v>#N/A</v>
      </c>
      <c r="W900" s="19" t="e">
        <f t="shared" si="136"/>
        <v>#N/A</v>
      </c>
      <c r="X900" t="e">
        <f>VLOOKUP(P900,Close[[ID]:[CreatedBy]],8,0)</f>
        <v>#N/A</v>
      </c>
    </row>
    <row r="901" spans="2:24" x14ac:dyDescent="0.35">
      <c r="B901" t="str">
        <f>IF(NOT(ISBLANK(A901)),VLOOKUP(A901,'BBT3'!A:F,2,0),"")</f>
        <v/>
      </c>
      <c r="C901" t="str">
        <f>IF(NOT(ISBLANK(A901)),VLOOKUP(A901,'BBT3'!A:F,3,0),"")</f>
        <v/>
      </c>
      <c r="D901" s="5" t="str">
        <f>IF(NOT(ISBLANK(A901)),VLOOKUP(A901,'BBT3'!A:F,4,1),"")</f>
        <v/>
      </c>
      <c r="E901" t="str">
        <f>IF(NOT(ISBLANK(A901)),VLOOKUP(A901,'BBT3'!A:F,5,0),"")</f>
        <v/>
      </c>
      <c r="F901" t="str">
        <f>IF(NOT(ISBLANK(A901)),VLOOKUP(A901,'BBT3'!A:F,6,0),"")</f>
        <v/>
      </c>
      <c r="G901" t="str">
        <f t="shared" si="137"/>
        <v/>
      </c>
      <c r="H901" t="str">
        <f>IF(NOT(ISBLANK(A901)),VLOOKUP(A901,'Close - PriceSaver'!A:J,5,0),"")</f>
        <v/>
      </c>
      <c r="I901" s="4" t="str" cm="1">
        <f t="array" ref="I901">IF(NOT(ISBLANK(A901)),((_xlfn.XLOOKUP(1,(_bbt3[[#All],[ID]]=A901)*(_bbt3[[#All],[METRIC_NAME]]="YLD_YTM_ASK"),_bbt3[[#All],[METRIC_VALUE]])*0.5)+(_xlfn.XLOOKUP(1,(_bbt3[[#All],[ID]]=A901)*(_bbt3[[#All],[METRIC_NAME]]="YLD_YTM_BID"),_bbt3[[#All],[METRIC_VALUE]])*0.5))/100,"")</f>
        <v/>
      </c>
      <c r="J901">
        <f>IF(ISNA(VLOOKUP(A901,'CloseDL - PriceSaverBBT3'!A:E,5,0)),0,VLOOKUP(A901,'CloseDL - PriceSaverBBT3'!A:E,5,0))</f>
        <v>0</v>
      </c>
      <c r="K901" s="7" t="str">
        <f t="shared" si="138"/>
        <v/>
      </c>
      <c r="L901" s="20">
        <f>IF(Close[[#This Row],[CreatedBy]]="MARINER\SilverAdm",1,0)</f>
        <v>1</v>
      </c>
      <c r="M901" t="str">
        <f>IF(NOT(ISBLANK(A901)),VLOOKUP(A901,'Close - PriceSaver'!A:J,6,0),"")</f>
        <v/>
      </c>
      <c r="Q901" t="e">
        <f t="shared" si="130"/>
        <v>#N/A</v>
      </c>
      <c r="R901" t="e">
        <f t="shared" si="131"/>
        <v>#N/A</v>
      </c>
      <c r="S901" t="e">
        <f t="shared" si="132"/>
        <v>#N/A</v>
      </c>
      <c r="T901" s="15" t="e">
        <f t="shared" si="134"/>
        <v>#N/A</v>
      </c>
      <c r="U901" s="18" t="e">
        <f t="shared" si="135"/>
        <v>#N/A</v>
      </c>
      <c r="V901" s="14" t="e">
        <f t="shared" si="133"/>
        <v>#N/A</v>
      </c>
      <c r="W901" s="19" t="e">
        <f t="shared" si="136"/>
        <v>#N/A</v>
      </c>
      <c r="X901" t="e">
        <f>VLOOKUP(P901,Close[[ID]:[CreatedBy]],8,0)</f>
        <v>#N/A</v>
      </c>
    </row>
    <row r="902" spans="2:24" x14ac:dyDescent="0.35">
      <c r="B902" t="str">
        <f>IF(NOT(ISBLANK(A902)),VLOOKUP(A902,'BBT3'!A:F,2,0),"")</f>
        <v/>
      </c>
      <c r="C902" t="str">
        <f>IF(NOT(ISBLANK(A902)),VLOOKUP(A902,'BBT3'!A:F,3,0),"")</f>
        <v/>
      </c>
      <c r="D902" s="5" t="str">
        <f>IF(NOT(ISBLANK(A902)),VLOOKUP(A902,'BBT3'!A:F,4,1),"")</f>
        <v/>
      </c>
      <c r="E902" t="str">
        <f>IF(NOT(ISBLANK(A902)),VLOOKUP(A902,'BBT3'!A:F,5,0),"")</f>
        <v/>
      </c>
      <c r="F902" t="str">
        <f>IF(NOT(ISBLANK(A902)),VLOOKUP(A902,'BBT3'!A:F,6,0),"")</f>
        <v/>
      </c>
      <c r="G902" t="str">
        <f t="shared" si="137"/>
        <v/>
      </c>
      <c r="H902" t="str">
        <f>IF(NOT(ISBLANK(A902)),VLOOKUP(A902,'Close - PriceSaver'!A:J,5,0),"")</f>
        <v/>
      </c>
      <c r="I902" s="4" t="str" cm="1">
        <f t="array" ref="I902">IF(NOT(ISBLANK(A902)),((_xlfn.XLOOKUP(1,(_bbt3[[#All],[ID]]=A902)*(_bbt3[[#All],[METRIC_NAME]]="YLD_YTM_ASK"),_bbt3[[#All],[METRIC_VALUE]])*0.5)+(_xlfn.XLOOKUP(1,(_bbt3[[#All],[ID]]=A902)*(_bbt3[[#All],[METRIC_NAME]]="YLD_YTM_BID"),_bbt3[[#All],[METRIC_VALUE]])*0.5))/100,"")</f>
        <v/>
      </c>
      <c r="J902">
        <f>IF(ISNA(VLOOKUP(A902,'CloseDL - PriceSaverBBT3'!A:E,5,0)),0,VLOOKUP(A902,'CloseDL - PriceSaverBBT3'!A:E,5,0))</f>
        <v>0</v>
      </c>
      <c r="K902" s="7" t="str">
        <f t="shared" si="138"/>
        <v/>
      </c>
      <c r="L902" s="20">
        <f>IF(Close[[#This Row],[CreatedBy]]="MARINER\SilverAdm",1,0)</f>
        <v>1</v>
      </c>
      <c r="M902" t="str">
        <f>IF(NOT(ISBLANK(A902)),VLOOKUP(A902,'Close - PriceSaver'!A:J,6,0),"")</f>
        <v/>
      </c>
      <c r="Q902" t="e">
        <f t="shared" si="130"/>
        <v>#N/A</v>
      </c>
      <c r="R902" t="e">
        <f t="shared" si="131"/>
        <v>#N/A</v>
      </c>
      <c r="S902" t="e">
        <f t="shared" si="132"/>
        <v>#N/A</v>
      </c>
      <c r="T902" s="15" t="e">
        <f t="shared" si="134"/>
        <v>#N/A</v>
      </c>
      <c r="U902" s="18" t="e">
        <f t="shared" si="135"/>
        <v>#N/A</v>
      </c>
      <c r="V902" s="14" t="e">
        <f t="shared" si="133"/>
        <v>#N/A</v>
      </c>
      <c r="W902" s="19" t="e">
        <f t="shared" si="136"/>
        <v>#N/A</v>
      </c>
      <c r="X902" t="e">
        <f>VLOOKUP(P902,Close[[ID]:[CreatedBy]],8,0)</f>
        <v>#N/A</v>
      </c>
    </row>
    <row r="903" spans="2:24" x14ac:dyDescent="0.35">
      <c r="B903" t="str">
        <f>IF(NOT(ISBLANK(A903)),VLOOKUP(A903,'BBT3'!A:F,2,0),"")</f>
        <v/>
      </c>
      <c r="C903" t="str">
        <f>IF(NOT(ISBLANK(A903)),VLOOKUP(A903,'BBT3'!A:F,3,0),"")</f>
        <v/>
      </c>
      <c r="D903" s="5" t="str">
        <f>IF(NOT(ISBLANK(A903)),VLOOKUP(A903,'BBT3'!A:F,4,1),"")</f>
        <v/>
      </c>
      <c r="E903" t="str">
        <f>IF(NOT(ISBLANK(A903)),VLOOKUP(A903,'BBT3'!A:F,5,0),"")</f>
        <v/>
      </c>
      <c r="F903" t="str">
        <f>IF(NOT(ISBLANK(A903)),VLOOKUP(A903,'BBT3'!A:F,6,0),"")</f>
        <v/>
      </c>
      <c r="G903" t="str">
        <f t="shared" si="137"/>
        <v/>
      </c>
      <c r="H903" t="str">
        <f>IF(NOT(ISBLANK(A903)),VLOOKUP(A903,'Close - PriceSaver'!A:J,5,0),"")</f>
        <v/>
      </c>
      <c r="I903" s="4" t="str" cm="1">
        <f t="array" ref="I903">IF(NOT(ISBLANK(A903)),((_xlfn.XLOOKUP(1,(_bbt3[[#All],[ID]]=A903)*(_bbt3[[#All],[METRIC_NAME]]="YLD_YTM_ASK"),_bbt3[[#All],[METRIC_VALUE]])*0.5)+(_xlfn.XLOOKUP(1,(_bbt3[[#All],[ID]]=A903)*(_bbt3[[#All],[METRIC_NAME]]="YLD_YTM_BID"),_bbt3[[#All],[METRIC_VALUE]])*0.5))/100,"")</f>
        <v/>
      </c>
      <c r="J903">
        <f>IF(ISNA(VLOOKUP(A903,'CloseDL - PriceSaverBBT3'!A:E,5,0)),0,VLOOKUP(A903,'CloseDL - PriceSaverBBT3'!A:E,5,0))</f>
        <v>0</v>
      </c>
      <c r="K903" s="7" t="str">
        <f t="shared" si="138"/>
        <v/>
      </c>
      <c r="L903" s="20">
        <f>IF(Close[[#This Row],[CreatedBy]]="MARINER\SilverAdm",1,0)</f>
        <v>1</v>
      </c>
      <c r="M903" t="str">
        <f>IF(NOT(ISBLANK(A903)),VLOOKUP(A903,'Close - PriceSaver'!A:J,6,0),"")</f>
        <v/>
      </c>
      <c r="Q903" t="e">
        <f t="shared" si="130"/>
        <v>#N/A</v>
      </c>
      <c r="R903" t="e">
        <f t="shared" si="131"/>
        <v>#N/A</v>
      </c>
      <c r="S903" t="e">
        <f t="shared" si="132"/>
        <v>#N/A</v>
      </c>
      <c r="T903" s="15" t="e">
        <f t="shared" si="134"/>
        <v>#N/A</v>
      </c>
      <c r="U903" s="18" t="e">
        <f t="shared" si="135"/>
        <v>#N/A</v>
      </c>
      <c r="V903" s="14" t="e">
        <f t="shared" si="133"/>
        <v>#N/A</v>
      </c>
      <c r="W903" s="19" t="e">
        <f t="shared" si="136"/>
        <v>#N/A</v>
      </c>
      <c r="X903" t="e">
        <f>VLOOKUP(P903,Close[[ID]:[CreatedBy]],8,0)</f>
        <v>#N/A</v>
      </c>
    </row>
    <row r="904" spans="2:24" x14ac:dyDescent="0.35">
      <c r="B904" t="str">
        <f>IF(NOT(ISBLANK(A904)),VLOOKUP(A904,'BBT3'!A:F,2,0),"")</f>
        <v/>
      </c>
      <c r="C904" t="str">
        <f>IF(NOT(ISBLANK(A904)),VLOOKUP(A904,'BBT3'!A:F,3,0),"")</f>
        <v/>
      </c>
      <c r="D904" s="5" t="str">
        <f>IF(NOT(ISBLANK(A904)),VLOOKUP(A904,'BBT3'!A:F,4,1),"")</f>
        <v/>
      </c>
      <c r="E904" t="str">
        <f>IF(NOT(ISBLANK(A904)),VLOOKUP(A904,'BBT3'!A:F,5,0),"")</f>
        <v/>
      </c>
      <c r="F904" t="str">
        <f>IF(NOT(ISBLANK(A904)),VLOOKUP(A904,'BBT3'!A:F,6,0),"")</f>
        <v/>
      </c>
      <c r="G904" t="str">
        <f t="shared" si="137"/>
        <v/>
      </c>
      <c r="H904" t="str">
        <f>IF(NOT(ISBLANK(A904)),VLOOKUP(A904,'Close - PriceSaver'!A:J,5,0),"")</f>
        <v/>
      </c>
      <c r="I904" s="4" t="str" cm="1">
        <f t="array" ref="I904">IF(NOT(ISBLANK(A904)),((_xlfn.XLOOKUP(1,(_bbt3[[#All],[ID]]=A904)*(_bbt3[[#All],[METRIC_NAME]]="YLD_YTM_ASK"),_bbt3[[#All],[METRIC_VALUE]])*0.5)+(_xlfn.XLOOKUP(1,(_bbt3[[#All],[ID]]=A904)*(_bbt3[[#All],[METRIC_NAME]]="YLD_YTM_BID"),_bbt3[[#All],[METRIC_VALUE]])*0.5))/100,"")</f>
        <v/>
      </c>
      <c r="J904">
        <f>IF(ISNA(VLOOKUP(A904,'CloseDL - PriceSaverBBT3'!A:E,5,0)),0,VLOOKUP(A904,'CloseDL - PriceSaverBBT3'!A:E,5,0))</f>
        <v>0</v>
      </c>
      <c r="K904" s="7" t="str">
        <f t="shared" si="138"/>
        <v/>
      </c>
      <c r="L904" s="20">
        <f>IF(Close[[#This Row],[CreatedBy]]="MARINER\SilverAdm",1,0)</f>
        <v>1</v>
      </c>
      <c r="M904" t="str">
        <f>IF(NOT(ISBLANK(A904)),VLOOKUP(A904,'Close - PriceSaver'!A:J,6,0),"")</f>
        <v/>
      </c>
      <c r="Q904" t="e">
        <f t="shared" si="130"/>
        <v>#N/A</v>
      </c>
      <c r="R904" t="e">
        <f t="shared" si="131"/>
        <v>#N/A</v>
      </c>
      <c r="S904" t="e">
        <f t="shared" si="132"/>
        <v>#N/A</v>
      </c>
      <c r="T904" s="15" t="e">
        <f t="shared" si="134"/>
        <v>#N/A</v>
      </c>
      <c r="U904" s="18" t="e">
        <f t="shared" si="135"/>
        <v>#N/A</v>
      </c>
      <c r="V904" s="14" t="e">
        <f t="shared" si="133"/>
        <v>#N/A</v>
      </c>
      <c r="W904" s="19" t="e">
        <f t="shared" si="136"/>
        <v>#N/A</v>
      </c>
      <c r="X904" t="e">
        <f>VLOOKUP(P904,Close[[ID]:[CreatedBy]],8,0)</f>
        <v>#N/A</v>
      </c>
    </row>
    <row r="905" spans="2:24" x14ac:dyDescent="0.35">
      <c r="B905" t="str">
        <f>IF(NOT(ISBLANK(A905)),VLOOKUP(A905,'BBT3'!A:F,2,0),"")</f>
        <v/>
      </c>
      <c r="C905" t="str">
        <f>IF(NOT(ISBLANK(A905)),VLOOKUP(A905,'BBT3'!A:F,3,0),"")</f>
        <v/>
      </c>
      <c r="D905" s="5" t="str">
        <f>IF(NOT(ISBLANK(A905)),VLOOKUP(A905,'BBT3'!A:F,4,1),"")</f>
        <v/>
      </c>
      <c r="E905" t="str">
        <f>IF(NOT(ISBLANK(A905)),VLOOKUP(A905,'BBT3'!A:F,5,0),"")</f>
        <v/>
      </c>
      <c r="F905" t="str">
        <f>IF(NOT(ISBLANK(A905)),VLOOKUP(A905,'BBT3'!A:F,6,0),"")</f>
        <v/>
      </c>
      <c r="G905" t="str">
        <f t="shared" si="137"/>
        <v/>
      </c>
      <c r="H905" t="str">
        <f>IF(NOT(ISBLANK(A905)),VLOOKUP(A905,'Close - PriceSaver'!A:J,5,0),"")</f>
        <v/>
      </c>
      <c r="I905" s="4" t="str" cm="1">
        <f t="array" ref="I905">IF(NOT(ISBLANK(A905)),((_xlfn.XLOOKUP(1,(_bbt3[[#All],[ID]]=A905)*(_bbt3[[#All],[METRIC_NAME]]="YLD_YTM_ASK"),_bbt3[[#All],[METRIC_VALUE]])*0.5)+(_xlfn.XLOOKUP(1,(_bbt3[[#All],[ID]]=A905)*(_bbt3[[#All],[METRIC_NAME]]="YLD_YTM_BID"),_bbt3[[#All],[METRIC_VALUE]])*0.5))/100,"")</f>
        <v/>
      </c>
      <c r="J905">
        <f>IF(ISNA(VLOOKUP(A905,'CloseDL - PriceSaverBBT3'!A:E,5,0)),0,VLOOKUP(A905,'CloseDL - PriceSaverBBT3'!A:E,5,0))</f>
        <v>0</v>
      </c>
      <c r="K905" s="7" t="str">
        <f t="shared" si="138"/>
        <v/>
      </c>
      <c r="L905" s="20">
        <f>IF(Close[[#This Row],[CreatedBy]]="MARINER\SilverAdm",1,0)</f>
        <v>1</v>
      </c>
      <c r="M905" t="str">
        <f>IF(NOT(ISBLANK(A905)),VLOOKUP(A905,'Close - PriceSaver'!A:J,6,0),"")</f>
        <v/>
      </c>
      <c r="Q905" t="e">
        <f t="shared" si="130"/>
        <v>#N/A</v>
      </c>
      <c r="R905" t="e">
        <f t="shared" si="131"/>
        <v>#N/A</v>
      </c>
      <c r="S905" t="e">
        <f t="shared" si="132"/>
        <v>#N/A</v>
      </c>
      <c r="T905" s="15" t="e">
        <f t="shared" si="134"/>
        <v>#N/A</v>
      </c>
      <c r="U905" s="18" t="e">
        <f t="shared" si="135"/>
        <v>#N/A</v>
      </c>
      <c r="V905" s="14" t="e">
        <f t="shared" si="133"/>
        <v>#N/A</v>
      </c>
      <c r="W905" s="19" t="e">
        <f t="shared" si="136"/>
        <v>#N/A</v>
      </c>
      <c r="X905" t="e">
        <f>VLOOKUP(P905,Close[[ID]:[CreatedBy]],8,0)</f>
        <v>#N/A</v>
      </c>
    </row>
    <row r="906" spans="2:24" x14ac:dyDescent="0.35">
      <c r="B906" t="str">
        <f>IF(NOT(ISBLANK(A906)),VLOOKUP(A906,'BBT3'!A:F,2,0),"")</f>
        <v/>
      </c>
      <c r="C906" t="str">
        <f>IF(NOT(ISBLANK(A906)),VLOOKUP(A906,'BBT3'!A:F,3,0),"")</f>
        <v/>
      </c>
      <c r="D906" s="5" t="str">
        <f>IF(NOT(ISBLANK(A906)),VLOOKUP(A906,'BBT3'!A:F,4,1),"")</f>
        <v/>
      </c>
      <c r="E906" t="str">
        <f>IF(NOT(ISBLANK(A906)),VLOOKUP(A906,'BBT3'!A:F,5,0),"")</f>
        <v/>
      </c>
      <c r="F906" t="str">
        <f>IF(NOT(ISBLANK(A906)),VLOOKUP(A906,'BBT3'!A:F,6,0),"")</f>
        <v/>
      </c>
      <c r="G906" t="str">
        <f t="shared" si="137"/>
        <v/>
      </c>
      <c r="H906" t="str">
        <f>IF(NOT(ISBLANK(A906)),VLOOKUP(A906,'Close - PriceSaver'!A:J,5,0),"")</f>
        <v/>
      </c>
      <c r="I906" s="4" t="str" cm="1">
        <f t="array" ref="I906">IF(NOT(ISBLANK(A906)),((_xlfn.XLOOKUP(1,(_bbt3[[#All],[ID]]=A906)*(_bbt3[[#All],[METRIC_NAME]]="YLD_YTM_ASK"),_bbt3[[#All],[METRIC_VALUE]])*0.5)+(_xlfn.XLOOKUP(1,(_bbt3[[#All],[ID]]=A906)*(_bbt3[[#All],[METRIC_NAME]]="YLD_YTM_BID"),_bbt3[[#All],[METRIC_VALUE]])*0.5))/100,"")</f>
        <v/>
      </c>
      <c r="J906">
        <f>IF(ISNA(VLOOKUP(A906,'CloseDL - PriceSaverBBT3'!A:E,5,0)),0,VLOOKUP(A906,'CloseDL - PriceSaverBBT3'!A:E,5,0))</f>
        <v>0</v>
      </c>
      <c r="K906" s="7" t="str">
        <f t="shared" si="138"/>
        <v/>
      </c>
      <c r="L906" s="20">
        <f>IF(Close[[#This Row],[CreatedBy]]="MARINER\SilverAdm",1,0)</f>
        <v>1</v>
      </c>
      <c r="M906" t="str">
        <f>IF(NOT(ISBLANK(A906)),VLOOKUP(A906,'Close - PriceSaver'!A:J,6,0),"")</f>
        <v/>
      </c>
      <c r="Q906" t="e">
        <f t="shared" si="130"/>
        <v>#N/A</v>
      </c>
      <c r="R906" t="e">
        <f t="shared" si="131"/>
        <v>#N/A</v>
      </c>
      <c r="S906" t="e">
        <f t="shared" si="132"/>
        <v>#N/A</v>
      </c>
      <c r="T906" s="15" t="e">
        <f t="shared" si="134"/>
        <v>#N/A</v>
      </c>
      <c r="U906" s="18" t="e">
        <f t="shared" si="135"/>
        <v>#N/A</v>
      </c>
      <c r="V906" s="14" t="e">
        <f t="shared" si="133"/>
        <v>#N/A</v>
      </c>
      <c r="W906" s="19" t="e">
        <f t="shared" si="136"/>
        <v>#N/A</v>
      </c>
      <c r="X906" t="e">
        <f>VLOOKUP(P906,Close[[ID]:[CreatedBy]],8,0)</f>
        <v>#N/A</v>
      </c>
    </row>
    <row r="907" spans="2:24" x14ac:dyDescent="0.35">
      <c r="B907" t="str">
        <f>IF(NOT(ISBLANK(A907)),VLOOKUP(A907,'BBT3'!A:F,2,0),"")</f>
        <v/>
      </c>
      <c r="C907" t="str">
        <f>IF(NOT(ISBLANK(A907)),VLOOKUP(A907,'BBT3'!A:F,3,0),"")</f>
        <v/>
      </c>
      <c r="D907" s="5" t="str">
        <f>IF(NOT(ISBLANK(A907)),VLOOKUP(A907,'BBT3'!A:F,4,1),"")</f>
        <v/>
      </c>
      <c r="E907" t="str">
        <f>IF(NOT(ISBLANK(A907)),VLOOKUP(A907,'BBT3'!A:F,5,0),"")</f>
        <v/>
      </c>
      <c r="F907" t="str">
        <f>IF(NOT(ISBLANK(A907)),VLOOKUP(A907,'BBT3'!A:F,6,0),"")</f>
        <v/>
      </c>
      <c r="G907" t="str">
        <f t="shared" si="137"/>
        <v/>
      </c>
      <c r="H907" t="str">
        <f>IF(NOT(ISBLANK(A907)),VLOOKUP(A907,'Close - PriceSaver'!A:J,5,0),"")</f>
        <v/>
      </c>
      <c r="I907" s="4" t="str" cm="1">
        <f t="array" ref="I907">IF(NOT(ISBLANK(A907)),((_xlfn.XLOOKUP(1,(_bbt3[[#All],[ID]]=A907)*(_bbt3[[#All],[METRIC_NAME]]="YLD_YTM_ASK"),_bbt3[[#All],[METRIC_VALUE]])*0.5)+(_xlfn.XLOOKUP(1,(_bbt3[[#All],[ID]]=A907)*(_bbt3[[#All],[METRIC_NAME]]="YLD_YTM_BID"),_bbt3[[#All],[METRIC_VALUE]])*0.5))/100,"")</f>
        <v/>
      </c>
      <c r="J907">
        <f>IF(ISNA(VLOOKUP(A907,'CloseDL - PriceSaverBBT3'!A:E,5,0)),0,VLOOKUP(A907,'CloseDL - PriceSaverBBT3'!A:E,5,0))</f>
        <v>0</v>
      </c>
      <c r="K907" s="7" t="str">
        <f t="shared" si="138"/>
        <v/>
      </c>
      <c r="L907" s="20">
        <f>IF(Close[[#This Row],[CreatedBy]]="MARINER\SilverAdm",1,0)</f>
        <v>1</v>
      </c>
      <c r="M907" t="str">
        <f>IF(NOT(ISBLANK(A907)),VLOOKUP(A907,'Close - PriceSaver'!A:J,6,0),"")</f>
        <v/>
      </c>
      <c r="Q907" t="e">
        <f t="shared" ref="Q907:Q970" si="139">VLOOKUP(P907,A:C,3,0)</f>
        <v>#N/A</v>
      </c>
      <c r="R907" t="e">
        <f t="shared" si="131"/>
        <v>#N/A</v>
      </c>
      <c r="S907" t="e">
        <f t="shared" si="132"/>
        <v>#N/A</v>
      </c>
      <c r="T907" s="15" t="e">
        <f t="shared" si="134"/>
        <v>#N/A</v>
      </c>
      <c r="U907" s="18" t="e">
        <f t="shared" si="135"/>
        <v>#N/A</v>
      </c>
      <c r="V907" s="14" t="e">
        <f t="shared" si="133"/>
        <v>#N/A</v>
      </c>
      <c r="W907" s="19" t="e">
        <f t="shared" si="136"/>
        <v>#N/A</v>
      </c>
      <c r="X907" t="e">
        <f>VLOOKUP(P907,Close[[ID]:[CreatedBy]],8,0)</f>
        <v>#N/A</v>
      </c>
    </row>
    <row r="908" spans="2:24" x14ac:dyDescent="0.35">
      <c r="B908" t="str">
        <f>IF(NOT(ISBLANK(A908)),VLOOKUP(A908,'BBT3'!A:F,2,0),"")</f>
        <v/>
      </c>
      <c r="C908" t="str">
        <f>IF(NOT(ISBLANK(A908)),VLOOKUP(A908,'BBT3'!A:F,3,0),"")</f>
        <v/>
      </c>
      <c r="D908" s="5" t="str">
        <f>IF(NOT(ISBLANK(A908)),VLOOKUP(A908,'BBT3'!A:F,4,1),"")</f>
        <v/>
      </c>
      <c r="E908" t="str">
        <f>IF(NOT(ISBLANK(A908)),VLOOKUP(A908,'BBT3'!A:F,5,0),"")</f>
        <v/>
      </c>
      <c r="F908" t="str">
        <f>IF(NOT(ISBLANK(A908)),VLOOKUP(A908,'BBT3'!A:F,6,0),"")</f>
        <v/>
      </c>
      <c r="G908" t="str">
        <f t="shared" si="137"/>
        <v/>
      </c>
      <c r="H908" t="str">
        <f>IF(NOT(ISBLANK(A908)),VLOOKUP(A908,'Close - PriceSaver'!A:J,5,0),"")</f>
        <v/>
      </c>
      <c r="I908" s="4" t="str" cm="1">
        <f t="array" ref="I908">IF(NOT(ISBLANK(A908)),((_xlfn.XLOOKUP(1,(_bbt3[[#All],[ID]]=A908)*(_bbt3[[#All],[METRIC_NAME]]="YLD_YTM_ASK"),_bbt3[[#All],[METRIC_VALUE]])*0.5)+(_xlfn.XLOOKUP(1,(_bbt3[[#All],[ID]]=A908)*(_bbt3[[#All],[METRIC_NAME]]="YLD_YTM_BID"),_bbt3[[#All],[METRIC_VALUE]])*0.5))/100,"")</f>
        <v/>
      </c>
      <c r="J908">
        <f>IF(ISNA(VLOOKUP(A908,'CloseDL - PriceSaverBBT3'!A:E,5,0)),0,VLOOKUP(A908,'CloseDL - PriceSaverBBT3'!A:E,5,0))</f>
        <v>0</v>
      </c>
      <c r="K908" s="7" t="str">
        <f t="shared" si="138"/>
        <v/>
      </c>
      <c r="L908" s="20">
        <f>IF(Close[[#This Row],[CreatedBy]]="MARINER\SilverAdm",1,0)</f>
        <v>1</v>
      </c>
      <c r="M908" t="str">
        <f>IF(NOT(ISBLANK(A908)),VLOOKUP(A908,'Close - PriceSaver'!A:J,6,0),"")</f>
        <v/>
      </c>
      <c r="Q908" t="e">
        <f t="shared" si="139"/>
        <v>#N/A</v>
      </c>
      <c r="R908" t="e">
        <f t="shared" si="131"/>
        <v>#N/A</v>
      </c>
      <c r="S908" t="e">
        <f t="shared" si="132"/>
        <v>#N/A</v>
      </c>
      <c r="T908" s="15" t="e">
        <f t="shared" si="134"/>
        <v>#N/A</v>
      </c>
      <c r="U908" s="18" t="e">
        <f t="shared" si="135"/>
        <v>#N/A</v>
      </c>
      <c r="V908" s="14" t="e">
        <f t="shared" si="133"/>
        <v>#N/A</v>
      </c>
      <c r="W908" s="19" t="e">
        <f t="shared" si="136"/>
        <v>#N/A</v>
      </c>
      <c r="X908" t="e">
        <f>VLOOKUP(P908,Close[[ID]:[CreatedBy]],8,0)</f>
        <v>#N/A</v>
      </c>
    </row>
    <row r="909" spans="2:24" x14ac:dyDescent="0.35">
      <c r="B909" t="str">
        <f>IF(NOT(ISBLANK(A909)),VLOOKUP(A909,'BBT3'!A:F,2,0),"")</f>
        <v/>
      </c>
      <c r="C909" t="str">
        <f>IF(NOT(ISBLANK(A909)),VLOOKUP(A909,'BBT3'!A:F,3,0),"")</f>
        <v/>
      </c>
      <c r="D909" s="5" t="str">
        <f>IF(NOT(ISBLANK(A909)),VLOOKUP(A909,'BBT3'!A:F,4,1),"")</f>
        <v/>
      </c>
      <c r="E909" t="str">
        <f>IF(NOT(ISBLANK(A909)),VLOOKUP(A909,'BBT3'!A:F,5,0),"")</f>
        <v/>
      </c>
      <c r="F909" t="str">
        <f>IF(NOT(ISBLANK(A909)),VLOOKUP(A909,'BBT3'!A:F,6,0),"")</f>
        <v/>
      </c>
      <c r="G909" t="str">
        <f t="shared" si="137"/>
        <v/>
      </c>
      <c r="H909" t="str">
        <f>IF(NOT(ISBLANK(A909)),VLOOKUP(A909,'Close - PriceSaver'!A:J,5,0),"")</f>
        <v/>
      </c>
      <c r="I909" s="4" t="str" cm="1">
        <f t="array" ref="I909">IF(NOT(ISBLANK(A909)),((_xlfn.XLOOKUP(1,(_bbt3[[#All],[ID]]=A909)*(_bbt3[[#All],[METRIC_NAME]]="YLD_YTM_ASK"),_bbt3[[#All],[METRIC_VALUE]])*0.5)+(_xlfn.XLOOKUP(1,(_bbt3[[#All],[ID]]=A909)*(_bbt3[[#All],[METRIC_NAME]]="YLD_YTM_BID"),_bbt3[[#All],[METRIC_VALUE]])*0.5))/100,"")</f>
        <v/>
      </c>
      <c r="J909">
        <f>IF(ISNA(VLOOKUP(A909,'CloseDL - PriceSaverBBT3'!A:E,5,0)),0,VLOOKUP(A909,'CloseDL - PriceSaverBBT3'!A:E,5,0))</f>
        <v>0</v>
      </c>
      <c r="K909" s="7" t="str">
        <f t="shared" si="138"/>
        <v/>
      </c>
      <c r="L909" s="20">
        <f>IF(Close[[#This Row],[CreatedBy]]="MARINER\SilverAdm",1,0)</f>
        <v>1</v>
      </c>
      <c r="M909" t="str">
        <f>IF(NOT(ISBLANK(A909)),VLOOKUP(A909,'Close - PriceSaver'!A:J,6,0),"")</f>
        <v/>
      </c>
      <c r="Q909" t="e">
        <f t="shared" si="139"/>
        <v>#N/A</v>
      </c>
      <c r="R909" t="e">
        <f t="shared" ref="R909:R972" si="140">VLOOKUP(P909,A:B,2,0)</f>
        <v>#N/A</v>
      </c>
      <c r="S909" t="e">
        <f t="shared" ref="S909:S972" si="141">VLOOKUP(P909,A:E,4,0)</f>
        <v>#N/A</v>
      </c>
      <c r="T909" s="15" t="e">
        <f t="shared" si="134"/>
        <v>#N/A</v>
      </c>
      <c r="U909" s="18" t="e">
        <f t="shared" si="135"/>
        <v>#N/A</v>
      </c>
      <c r="V909" s="14" t="e">
        <f t="shared" si="133"/>
        <v>#N/A</v>
      </c>
      <c r="W909" s="19" t="e">
        <f t="shared" si="136"/>
        <v>#N/A</v>
      </c>
      <c r="X909" t="e">
        <f>VLOOKUP(P909,Close[[ID]:[CreatedBy]],8,0)</f>
        <v>#N/A</v>
      </c>
    </row>
    <row r="910" spans="2:24" x14ac:dyDescent="0.35">
      <c r="B910" t="str">
        <f>IF(NOT(ISBLANK(A910)),VLOOKUP(A910,'BBT3'!A:F,2,0),"")</f>
        <v/>
      </c>
      <c r="C910" t="str">
        <f>IF(NOT(ISBLANK(A910)),VLOOKUP(A910,'BBT3'!A:F,3,0),"")</f>
        <v/>
      </c>
      <c r="D910" s="5" t="str">
        <f>IF(NOT(ISBLANK(A910)),VLOOKUP(A910,'BBT3'!A:F,4,1),"")</f>
        <v/>
      </c>
      <c r="E910" t="str">
        <f>IF(NOT(ISBLANK(A910)),VLOOKUP(A910,'BBT3'!A:F,5,0),"")</f>
        <v/>
      </c>
      <c r="F910" t="str">
        <f>IF(NOT(ISBLANK(A910)),VLOOKUP(A910,'BBT3'!A:F,6,0),"")</f>
        <v/>
      </c>
      <c r="G910" t="str">
        <f t="shared" si="137"/>
        <v/>
      </c>
      <c r="H910" t="str">
        <f>IF(NOT(ISBLANK(A910)),VLOOKUP(A910,'Close - PriceSaver'!A:J,5,0),"")</f>
        <v/>
      </c>
      <c r="I910" s="4" t="str" cm="1">
        <f t="array" ref="I910">IF(NOT(ISBLANK(A910)),((_xlfn.XLOOKUP(1,(_bbt3[[#All],[ID]]=A910)*(_bbt3[[#All],[METRIC_NAME]]="YLD_YTM_ASK"),_bbt3[[#All],[METRIC_VALUE]])*0.5)+(_xlfn.XLOOKUP(1,(_bbt3[[#All],[ID]]=A910)*(_bbt3[[#All],[METRIC_NAME]]="YLD_YTM_BID"),_bbt3[[#All],[METRIC_VALUE]])*0.5))/100,"")</f>
        <v/>
      </c>
      <c r="J910">
        <f>IF(ISNA(VLOOKUP(A910,'CloseDL - PriceSaverBBT3'!A:E,5,0)),0,VLOOKUP(A910,'CloseDL - PriceSaverBBT3'!A:E,5,0))</f>
        <v>0</v>
      </c>
      <c r="K910" s="7" t="str">
        <f t="shared" si="138"/>
        <v/>
      </c>
      <c r="L910" s="20">
        <f>IF(Close[[#This Row],[CreatedBy]]="MARINER\SilverAdm",1,0)</f>
        <v>1</v>
      </c>
      <c r="M910" t="str">
        <f>IF(NOT(ISBLANK(A910)),VLOOKUP(A910,'Close - PriceSaver'!A:J,6,0),"")</f>
        <v/>
      </c>
      <c r="Q910" t="e">
        <f t="shared" si="139"/>
        <v>#N/A</v>
      </c>
      <c r="R910" t="e">
        <f t="shared" si="140"/>
        <v>#N/A</v>
      </c>
      <c r="S910" t="e">
        <f t="shared" si="141"/>
        <v>#N/A</v>
      </c>
      <c r="T910" s="15" t="e">
        <f t="shared" si="134"/>
        <v>#N/A</v>
      </c>
      <c r="U910" s="18" t="e">
        <f t="shared" si="135"/>
        <v>#N/A</v>
      </c>
      <c r="V910" s="14" t="e">
        <f t="shared" ref="V910:V973" si="142">VLOOKUP(Q910,A:K,10,0)</f>
        <v>#N/A</v>
      </c>
      <c r="W910" s="19" t="e">
        <f t="shared" si="136"/>
        <v>#N/A</v>
      </c>
      <c r="X910" t="e">
        <f>VLOOKUP(P910,Close[[ID]:[CreatedBy]],8,0)</f>
        <v>#N/A</v>
      </c>
    </row>
    <row r="911" spans="2:24" x14ac:dyDescent="0.35">
      <c r="B911" t="str">
        <f>IF(NOT(ISBLANK(A911)),VLOOKUP(A911,'BBT3'!A:F,2,0),"")</f>
        <v/>
      </c>
      <c r="C911" t="str">
        <f>IF(NOT(ISBLANK(A911)),VLOOKUP(A911,'BBT3'!A:F,3,0),"")</f>
        <v/>
      </c>
      <c r="D911" s="5" t="str">
        <f>IF(NOT(ISBLANK(A911)),VLOOKUP(A911,'BBT3'!A:F,4,1),"")</f>
        <v/>
      </c>
      <c r="E911" t="str">
        <f>IF(NOT(ISBLANK(A911)),VLOOKUP(A911,'BBT3'!A:F,5,0),"")</f>
        <v/>
      </c>
      <c r="F911" t="str">
        <f>IF(NOT(ISBLANK(A911)),VLOOKUP(A911,'BBT3'!A:F,6,0),"")</f>
        <v/>
      </c>
      <c r="G911" t="str">
        <f t="shared" si="137"/>
        <v/>
      </c>
      <c r="H911" t="str">
        <f>IF(NOT(ISBLANK(A911)),VLOOKUP(A911,'Close - PriceSaver'!A:J,5,0),"")</f>
        <v/>
      </c>
      <c r="I911" s="4" t="str" cm="1">
        <f t="array" ref="I911">IF(NOT(ISBLANK(A911)),((_xlfn.XLOOKUP(1,(_bbt3[[#All],[ID]]=A911)*(_bbt3[[#All],[METRIC_NAME]]="YLD_YTM_ASK"),_bbt3[[#All],[METRIC_VALUE]])*0.5)+(_xlfn.XLOOKUP(1,(_bbt3[[#All],[ID]]=A911)*(_bbt3[[#All],[METRIC_NAME]]="YLD_YTM_BID"),_bbt3[[#All],[METRIC_VALUE]])*0.5))/100,"")</f>
        <v/>
      </c>
      <c r="J911">
        <f>IF(ISNA(VLOOKUP(A911,'CloseDL - PriceSaverBBT3'!A:E,5,0)),0,VLOOKUP(A911,'CloseDL - PriceSaverBBT3'!A:E,5,0))</f>
        <v>0</v>
      </c>
      <c r="K911" s="7" t="str">
        <f t="shared" si="138"/>
        <v/>
      </c>
      <c r="L911" s="20">
        <f>IF(Close[[#This Row],[CreatedBy]]="MARINER\SilverAdm",1,0)</f>
        <v>1</v>
      </c>
      <c r="M911" t="str">
        <f>IF(NOT(ISBLANK(A911)),VLOOKUP(A911,'Close - PriceSaver'!A:J,6,0),"")</f>
        <v/>
      </c>
      <c r="Q911" t="e">
        <f t="shared" si="139"/>
        <v>#N/A</v>
      </c>
      <c r="R911" t="e">
        <f t="shared" si="140"/>
        <v>#N/A</v>
      </c>
      <c r="S911" t="e">
        <f t="shared" si="141"/>
        <v>#N/A</v>
      </c>
      <c r="T911" s="15" t="e">
        <f t="shared" si="134"/>
        <v>#N/A</v>
      </c>
      <c r="U911" s="18" t="e">
        <f t="shared" si="135"/>
        <v>#N/A</v>
      </c>
      <c r="V911" s="14" t="e">
        <f t="shared" si="142"/>
        <v>#N/A</v>
      </c>
      <c r="W911" s="19" t="e">
        <f t="shared" si="136"/>
        <v>#N/A</v>
      </c>
      <c r="X911" t="e">
        <f>VLOOKUP(P911,Close[[ID]:[CreatedBy]],8,0)</f>
        <v>#N/A</v>
      </c>
    </row>
    <row r="912" spans="2:24" x14ac:dyDescent="0.35">
      <c r="B912" t="str">
        <f>IF(NOT(ISBLANK(A912)),VLOOKUP(A912,'BBT3'!A:F,2,0),"")</f>
        <v/>
      </c>
      <c r="C912" t="str">
        <f>IF(NOT(ISBLANK(A912)),VLOOKUP(A912,'BBT3'!A:F,3,0),"")</f>
        <v/>
      </c>
      <c r="D912" s="5" t="str">
        <f>IF(NOT(ISBLANK(A912)),VLOOKUP(A912,'BBT3'!A:F,4,1),"")</f>
        <v/>
      </c>
      <c r="E912" t="str">
        <f>IF(NOT(ISBLANK(A912)),VLOOKUP(A912,'BBT3'!A:F,5,0),"")</f>
        <v/>
      </c>
      <c r="F912" t="str">
        <f>IF(NOT(ISBLANK(A912)),VLOOKUP(A912,'BBT3'!A:F,6,0),"")</f>
        <v/>
      </c>
      <c r="G912" t="str">
        <f t="shared" si="137"/>
        <v/>
      </c>
      <c r="H912" t="str">
        <f>IF(NOT(ISBLANK(A912)),VLOOKUP(A912,'Close - PriceSaver'!A:J,5,0),"")</f>
        <v/>
      </c>
      <c r="I912" s="4" t="str" cm="1">
        <f t="array" ref="I912">IF(NOT(ISBLANK(A912)),((_xlfn.XLOOKUP(1,(_bbt3[[#All],[ID]]=A912)*(_bbt3[[#All],[METRIC_NAME]]="YLD_YTM_ASK"),_bbt3[[#All],[METRIC_VALUE]])*0.5)+(_xlfn.XLOOKUP(1,(_bbt3[[#All],[ID]]=A912)*(_bbt3[[#All],[METRIC_NAME]]="YLD_YTM_BID"),_bbt3[[#All],[METRIC_VALUE]])*0.5))/100,"")</f>
        <v/>
      </c>
      <c r="J912">
        <f>IF(ISNA(VLOOKUP(A912,'CloseDL - PriceSaverBBT3'!A:E,5,0)),0,VLOOKUP(A912,'CloseDL - PriceSaverBBT3'!A:E,5,0))</f>
        <v>0</v>
      </c>
      <c r="K912" s="7" t="str">
        <f t="shared" si="138"/>
        <v/>
      </c>
      <c r="L912" s="20">
        <f>IF(Close[[#This Row],[CreatedBy]]="MARINER\SilverAdm",1,0)</f>
        <v>1</v>
      </c>
      <c r="M912" t="str">
        <f>IF(NOT(ISBLANK(A912)),VLOOKUP(A912,'Close - PriceSaver'!A:J,6,0),"")</f>
        <v/>
      </c>
      <c r="Q912" t="e">
        <f t="shared" si="139"/>
        <v>#N/A</v>
      </c>
      <c r="R912" t="e">
        <f t="shared" si="140"/>
        <v>#N/A</v>
      </c>
      <c r="S912" t="e">
        <f t="shared" si="141"/>
        <v>#N/A</v>
      </c>
      <c r="T912" s="15" t="e">
        <f t="shared" si="134"/>
        <v>#N/A</v>
      </c>
      <c r="U912" s="18" t="e">
        <f t="shared" si="135"/>
        <v>#N/A</v>
      </c>
      <c r="V912" s="14" t="e">
        <f t="shared" si="142"/>
        <v>#N/A</v>
      </c>
      <c r="W912" s="19" t="e">
        <f t="shared" si="136"/>
        <v>#N/A</v>
      </c>
      <c r="X912" t="e">
        <f>VLOOKUP(P912,Close[[ID]:[CreatedBy]],8,0)</f>
        <v>#N/A</v>
      </c>
    </row>
    <row r="913" spans="2:24" x14ac:dyDescent="0.35">
      <c r="B913" t="str">
        <f>IF(NOT(ISBLANK(A913)),VLOOKUP(A913,'BBT3'!A:F,2,0),"")</f>
        <v/>
      </c>
      <c r="C913" t="str">
        <f>IF(NOT(ISBLANK(A913)),VLOOKUP(A913,'BBT3'!A:F,3,0),"")</f>
        <v/>
      </c>
      <c r="D913" s="5" t="str">
        <f>IF(NOT(ISBLANK(A913)),VLOOKUP(A913,'BBT3'!A:F,4,1),"")</f>
        <v/>
      </c>
      <c r="E913" t="str">
        <f>IF(NOT(ISBLANK(A913)),VLOOKUP(A913,'BBT3'!A:F,5,0),"")</f>
        <v/>
      </c>
      <c r="F913" t="str">
        <f>IF(NOT(ISBLANK(A913)),VLOOKUP(A913,'BBT3'!A:F,6,0),"")</f>
        <v/>
      </c>
      <c r="G913" t="str">
        <f t="shared" si="137"/>
        <v/>
      </c>
      <c r="H913" t="str">
        <f>IF(NOT(ISBLANK(A913)),VLOOKUP(A913,'Close - PriceSaver'!A:J,5,0),"")</f>
        <v/>
      </c>
      <c r="I913" s="4" t="str" cm="1">
        <f t="array" ref="I913">IF(NOT(ISBLANK(A913)),((_xlfn.XLOOKUP(1,(_bbt3[[#All],[ID]]=A913)*(_bbt3[[#All],[METRIC_NAME]]="YLD_YTM_ASK"),_bbt3[[#All],[METRIC_VALUE]])*0.5)+(_xlfn.XLOOKUP(1,(_bbt3[[#All],[ID]]=A913)*(_bbt3[[#All],[METRIC_NAME]]="YLD_YTM_BID"),_bbt3[[#All],[METRIC_VALUE]])*0.5))/100,"")</f>
        <v/>
      </c>
      <c r="J913">
        <f>IF(ISNA(VLOOKUP(A913,'CloseDL - PriceSaverBBT3'!A:E,5,0)),0,VLOOKUP(A913,'CloseDL - PriceSaverBBT3'!A:E,5,0))</f>
        <v>0</v>
      </c>
      <c r="K913" s="7" t="str">
        <f t="shared" si="138"/>
        <v/>
      </c>
      <c r="L913" s="20">
        <f>IF(Close[[#This Row],[CreatedBy]]="MARINER\SilverAdm",1,0)</f>
        <v>1</v>
      </c>
      <c r="M913" t="str">
        <f>IF(NOT(ISBLANK(A913)),VLOOKUP(A913,'Close - PriceSaver'!A:J,6,0),"")</f>
        <v/>
      </c>
      <c r="Q913" t="e">
        <f t="shared" si="139"/>
        <v>#N/A</v>
      </c>
      <c r="R913" t="e">
        <f t="shared" si="140"/>
        <v>#N/A</v>
      </c>
      <c r="S913" t="e">
        <f t="shared" si="141"/>
        <v>#N/A</v>
      </c>
      <c r="T913" s="15" t="e">
        <f t="shared" si="134"/>
        <v>#N/A</v>
      </c>
      <c r="U913" s="18" t="e">
        <f t="shared" si="135"/>
        <v>#N/A</v>
      </c>
      <c r="V913" s="14" t="e">
        <f t="shared" si="142"/>
        <v>#N/A</v>
      </c>
      <c r="W913" s="19" t="e">
        <f t="shared" si="136"/>
        <v>#N/A</v>
      </c>
      <c r="X913" t="e">
        <f>VLOOKUP(P913,Close[[ID]:[CreatedBy]],8,0)</f>
        <v>#N/A</v>
      </c>
    </row>
    <row r="914" spans="2:24" x14ac:dyDescent="0.35">
      <c r="B914" t="str">
        <f>IF(NOT(ISBLANK(A914)),VLOOKUP(A914,'BBT3'!A:F,2,0),"")</f>
        <v/>
      </c>
      <c r="C914" t="str">
        <f>IF(NOT(ISBLANK(A914)),VLOOKUP(A914,'BBT3'!A:F,3,0),"")</f>
        <v/>
      </c>
      <c r="D914" s="5" t="str">
        <f>IF(NOT(ISBLANK(A914)),VLOOKUP(A914,'BBT3'!A:F,4,1),"")</f>
        <v/>
      </c>
      <c r="E914" t="str">
        <f>IF(NOT(ISBLANK(A914)),VLOOKUP(A914,'BBT3'!A:F,5,0),"")</f>
        <v/>
      </c>
      <c r="F914" t="str">
        <f>IF(NOT(ISBLANK(A914)),VLOOKUP(A914,'BBT3'!A:F,6,0),"")</f>
        <v/>
      </c>
      <c r="G914" t="str">
        <f t="shared" si="137"/>
        <v/>
      </c>
      <c r="H914" t="str">
        <f>IF(NOT(ISBLANK(A914)),VLOOKUP(A914,'Close - PriceSaver'!A:J,5,0),"")</f>
        <v/>
      </c>
      <c r="I914" s="4" t="str" cm="1">
        <f t="array" ref="I914">IF(NOT(ISBLANK(A914)),((_xlfn.XLOOKUP(1,(_bbt3[[#All],[ID]]=A914)*(_bbt3[[#All],[METRIC_NAME]]="YLD_YTM_ASK"),_bbt3[[#All],[METRIC_VALUE]])*0.5)+(_xlfn.XLOOKUP(1,(_bbt3[[#All],[ID]]=A914)*(_bbt3[[#All],[METRIC_NAME]]="YLD_YTM_BID"),_bbt3[[#All],[METRIC_VALUE]])*0.5))/100,"")</f>
        <v/>
      </c>
      <c r="J914">
        <f>IF(ISNA(VLOOKUP(A914,'CloseDL - PriceSaverBBT3'!A:E,5,0)),0,VLOOKUP(A914,'CloseDL - PriceSaverBBT3'!A:E,5,0))</f>
        <v>0</v>
      </c>
      <c r="K914" s="7" t="str">
        <f t="shared" si="138"/>
        <v/>
      </c>
      <c r="L914" s="20">
        <f>IF(Close[[#This Row],[CreatedBy]]="MARINER\SilverAdm",1,0)</f>
        <v>1</v>
      </c>
      <c r="M914" t="str">
        <f>IF(NOT(ISBLANK(A914)),VLOOKUP(A914,'Close - PriceSaver'!A:J,6,0),"")</f>
        <v/>
      </c>
      <c r="Q914" t="e">
        <f t="shared" si="139"/>
        <v>#N/A</v>
      </c>
      <c r="R914" t="e">
        <f t="shared" si="140"/>
        <v>#N/A</v>
      </c>
      <c r="S914" t="e">
        <f t="shared" si="141"/>
        <v>#N/A</v>
      </c>
      <c r="T914" s="15" t="e">
        <f t="shared" si="134"/>
        <v>#N/A</v>
      </c>
      <c r="U914" s="18" t="e">
        <f t="shared" si="135"/>
        <v>#N/A</v>
      </c>
      <c r="V914" s="14" t="e">
        <f t="shared" si="142"/>
        <v>#N/A</v>
      </c>
      <c r="W914" s="19" t="e">
        <f t="shared" si="136"/>
        <v>#N/A</v>
      </c>
      <c r="X914" t="e">
        <f>VLOOKUP(P914,Close[[ID]:[CreatedBy]],8,0)</f>
        <v>#N/A</v>
      </c>
    </row>
    <row r="915" spans="2:24" x14ac:dyDescent="0.35">
      <c r="B915" t="str">
        <f>IF(NOT(ISBLANK(A915)),VLOOKUP(A915,'BBT3'!A:F,2,0),"")</f>
        <v/>
      </c>
      <c r="C915" t="str">
        <f>IF(NOT(ISBLANK(A915)),VLOOKUP(A915,'BBT3'!A:F,3,0),"")</f>
        <v/>
      </c>
      <c r="D915" s="5" t="str">
        <f>IF(NOT(ISBLANK(A915)),VLOOKUP(A915,'BBT3'!A:F,4,1),"")</f>
        <v/>
      </c>
      <c r="E915" t="str">
        <f>IF(NOT(ISBLANK(A915)),VLOOKUP(A915,'BBT3'!A:F,5,0),"")</f>
        <v/>
      </c>
      <c r="F915" t="str">
        <f>IF(NOT(ISBLANK(A915)),VLOOKUP(A915,'BBT3'!A:F,6,0),"")</f>
        <v/>
      </c>
      <c r="G915" t="str">
        <f t="shared" si="137"/>
        <v/>
      </c>
      <c r="H915" t="str">
        <f>IF(NOT(ISBLANK(A915)),VLOOKUP(A915,'Close - PriceSaver'!A:J,5,0),"")</f>
        <v/>
      </c>
      <c r="I915" s="4" t="str" cm="1">
        <f t="array" ref="I915">IF(NOT(ISBLANK(A915)),((_xlfn.XLOOKUP(1,(_bbt3[[#All],[ID]]=A915)*(_bbt3[[#All],[METRIC_NAME]]="YLD_YTM_ASK"),_bbt3[[#All],[METRIC_VALUE]])*0.5)+(_xlfn.XLOOKUP(1,(_bbt3[[#All],[ID]]=A915)*(_bbt3[[#All],[METRIC_NAME]]="YLD_YTM_BID"),_bbt3[[#All],[METRIC_VALUE]])*0.5))/100,"")</f>
        <v/>
      </c>
      <c r="J915">
        <f>IF(ISNA(VLOOKUP(A915,'CloseDL - PriceSaverBBT3'!A:E,5,0)),0,VLOOKUP(A915,'CloseDL - PriceSaverBBT3'!A:E,5,0))</f>
        <v>0</v>
      </c>
      <c r="K915" s="7" t="str">
        <f t="shared" si="138"/>
        <v/>
      </c>
      <c r="L915" s="20">
        <f>IF(Close[[#This Row],[CreatedBy]]="MARINER\SilverAdm",1,0)</f>
        <v>1</v>
      </c>
      <c r="M915" t="str">
        <f>IF(NOT(ISBLANK(A915)),VLOOKUP(A915,'Close - PriceSaver'!A:J,6,0),"")</f>
        <v/>
      </c>
      <c r="Q915" t="e">
        <f t="shared" si="139"/>
        <v>#N/A</v>
      </c>
      <c r="R915" t="e">
        <f t="shared" si="140"/>
        <v>#N/A</v>
      </c>
      <c r="S915" t="e">
        <f t="shared" si="141"/>
        <v>#N/A</v>
      </c>
      <c r="T915" s="15" t="e">
        <f t="shared" si="134"/>
        <v>#N/A</v>
      </c>
      <c r="U915" s="18" t="e">
        <f t="shared" si="135"/>
        <v>#N/A</v>
      </c>
      <c r="V915" s="14" t="e">
        <f t="shared" si="142"/>
        <v>#N/A</v>
      </c>
      <c r="W915" s="19" t="e">
        <f t="shared" si="136"/>
        <v>#N/A</v>
      </c>
      <c r="X915" t="e">
        <f>VLOOKUP(P915,Close[[ID]:[CreatedBy]],8,0)</f>
        <v>#N/A</v>
      </c>
    </row>
    <row r="916" spans="2:24" x14ac:dyDescent="0.35">
      <c r="B916" t="str">
        <f>IF(NOT(ISBLANK(A916)),VLOOKUP(A916,'BBT3'!A:F,2,0),"")</f>
        <v/>
      </c>
      <c r="C916" t="str">
        <f>IF(NOT(ISBLANK(A916)),VLOOKUP(A916,'BBT3'!A:F,3,0),"")</f>
        <v/>
      </c>
      <c r="D916" s="5" t="str">
        <f>IF(NOT(ISBLANK(A916)),VLOOKUP(A916,'BBT3'!A:F,4,1),"")</f>
        <v/>
      </c>
      <c r="E916" t="str">
        <f>IF(NOT(ISBLANK(A916)),VLOOKUP(A916,'BBT3'!A:F,5,0),"")</f>
        <v/>
      </c>
      <c r="F916" t="str">
        <f>IF(NOT(ISBLANK(A916)),VLOOKUP(A916,'BBT3'!A:F,6,0),"")</f>
        <v/>
      </c>
      <c r="G916" t="str">
        <f t="shared" si="137"/>
        <v/>
      </c>
      <c r="H916" t="str">
        <f>IF(NOT(ISBLANK(A916)),VLOOKUP(A916,'Close - PriceSaver'!A:J,5,0),"")</f>
        <v/>
      </c>
      <c r="I916" s="4" t="str" cm="1">
        <f t="array" ref="I916">IF(NOT(ISBLANK(A916)),((_xlfn.XLOOKUP(1,(_bbt3[[#All],[ID]]=A916)*(_bbt3[[#All],[METRIC_NAME]]="YLD_YTM_ASK"),_bbt3[[#All],[METRIC_VALUE]])*0.5)+(_xlfn.XLOOKUP(1,(_bbt3[[#All],[ID]]=A916)*(_bbt3[[#All],[METRIC_NAME]]="YLD_YTM_BID"),_bbt3[[#All],[METRIC_VALUE]])*0.5))/100,"")</f>
        <v/>
      </c>
      <c r="J916">
        <f>IF(ISNA(VLOOKUP(A916,'CloseDL - PriceSaverBBT3'!A:E,5,0)),0,VLOOKUP(A916,'CloseDL - PriceSaverBBT3'!A:E,5,0))</f>
        <v>0</v>
      </c>
      <c r="K916" s="7" t="str">
        <f t="shared" si="138"/>
        <v/>
      </c>
      <c r="L916" s="20">
        <f>IF(Close[[#This Row],[CreatedBy]]="MARINER\SilverAdm",1,0)</f>
        <v>1</v>
      </c>
      <c r="M916" t="str">
        <f>IF(NOT(ISBLANK(A916)),VLOOKUP(A916,'Close - PriceSaver'!A:J,6,0),"")</f>
        <v/>
      </c>
      <c r="Q916" t="e">
        <f t="shared" si="139"/>
        <v>#N/A</v>
      </c>
      <c r="R916" t="e">
        <f t="shared" si="140"/>
        <v>#N/A</v>
      </c>
      <c r="S916" t="e">
        <f t="shared" si="141"/>
        <v>#N/A</v>
      </c>
      <c r="T916" s="15" t="e">
        <f t="shared" ref="T916:T979" si="143">VLOOKUP(Q916,A:K,5,0)</f>
        <v>#N/A</v>
      </c>
      <c r="U916" s="18" t="e">
        <f t="shared" ref="U916:U979" si="144">VLOOKUP(Q916,A:K,8,0)</f>
        <v>#N/A</v>
      </c>
      <c r="V916" s="14" t="e">
        <f t="shared" si="142"/>
        <v>#N/A</v>
      </c>
      <c r="W916" s="19" t="e">
        <f t="shared" ref="W916:W979" si="145">(V916-U916)*100</f>
        <v>#N/A</v>
      </c>
      <c r="X916" t="e">
        <f>VLOOKUP(P916,Close[[ID]:[CreatedBy]],8,0)</f>
        <v>#N/A</v>
      </c>
    </row>
    <row r="917" spans="2:24" x14ac:dyDescent="0.35">
      <c r="B917" t="str">
        <f>IF(NOT(ISBLANK(A917)),VLOOKUP(A917,'BBT3'!A:F,2,0),"")</f>
        <v/>
      </c>
      <c r="C917" t="str">
        <f>IF(NOT(ISBLANK(A917)),VLOOKUP(A917,'BBT3'!A:F,3,0),"")</f>
        <v/>
      </c>
      <c r="D917" s="5" t="str">
        <f>IF(NOT(ISBLANK(A917)),VLOOKUP(A917,'BBT3'!A:F,4,1),"")</f>
        <v/>
      </c>
      <c r="E917" t="str">
        <f>IF(NOT(ISBLANK(A917)),VLOOKUP(A917,'BBT3'!A:F,5,0),"")</f>
        <v/>
      </c>
      <c r="F917" t="str">
        <f>IF(NOT(ISBLANK(A917)),VLOOKUP(A917,'BBT3'!A:F,6,0),"")</f>
        <v/>
      </c>
      <c r="G917" t="str">
        <f t="shared" si="137"/>
        <v/>
      </c>
      <c r="H917" t="str">
        <f>IF(NOT(ISBLANK(A917)),VLOOKUP(A917,'Close - PriceSaver'!A:J,5,0),"")</f>
        <v/>
      </c>
      <c r="I917" s="4" t="str" cm="1">
        <f t="array" ref="I917">IF(NOT(ISBLANK(A917)),((_xlfn.XLOOKUP(1,(_bbt3[[#All],[ID]]=A917)*(_bbt3[[#All],[METRIC_NAME]]="YLD_YTM_ASK"),_bbt3[[#All],[METRIC_VALUE]])*0.5)+(_xlfn.XLOOKUP(1,(_bbt3[[#All],[ID]]=A917)*(_bbt3[[#All],[METRIC_NAME]]="YLD_YTM_BID"),_bbt3[[#All],[METRIC_VALUE]])*0.5))/100,"")</f>
        <v/>
      </c>
      <c r="J917">
        <f>IF(ISNA(VLOOKUP(A917,'CloseDL - PriceSaverBBT3'!A:E,5,0)),0,VLOOKUP(A917,'CloseDL - PriceSaverBBT3'!A:E,5,0))</f>
        <v>0</v>
      </c>
      <c r="K917" s="7" t="str">
        <f t="shared" si="138"/>
        <v/>
      </c>
      <c r="L917" s="20">
        <f>IF(Close[[#This Row],[CreatedBy]]="MARINER\SilverAdm",1,0)</f>
        <v>1</v>
      </c>
      <c r="M917" t="str">
        <f>IF(NOT(ISBLANK(A917)),VLOOKUP(A917,'Close - PriceSaver'!A:J,6,0),"")</f>
        <v/>
      </c>
      <c r="Q917" t="e">
        <f t="shared" si="139"/>
        <v>#N/A</v>
      </c>
      <c r="R917" t="e">
        <f t="shared" si="140"/>
        <v>#N/A</v>
      </c>
      <c r="S917" t="e">
        <f t="shared" si="141"/>
        <v>#N/A</v>
      </c>
      <c r="T917" s="15" t="e">
        <f t="shared" si="143"/>
        <v>#N/A</v>
      </c>
      <c r="U917" s="18" t="e">
        <f t="shared" si="144"/>
        <v>#N/A</v>
      </c>
      <c r="V917" s="14" t="e">
        <f t="shared" si="142"/>
        <v>#N/A</v>
      </c>
      <c r="W917" s="19" t="e">
        <f t="shared" si="145"/>
        <v>#N/A</v>
      </c>
      <c r="X917" t="e">
        <f>VLOOKUP(P917,Close[[ID]:[CreatedBy]],8,0)</f>
        <v>#N/A</v>
      </c>
    </row>
    <row r="918" spans="2:24" x14ac:dyDescent="0.35">
      <c r="B918" t="str">
        <f>IF(NOT(ISBLANK(A918)),VLOOKUP(A918,'BBT3'!A:F,2,0),"")</f>
        <v/>
      </c>
      <c r="C918" t="str">
        <f>IF(NOT(ISBLANK(A918)),VLOOKUP(A918,'BBT3'!A:F,3,0),"")</f>
        <v/>
      </c>
      <c r="D918" s="5" t="str">
        <f>IF(NOT(ISBLANK(A918)),VLOOKUP(A918,'BBT3'!A:F,4,1),"")</f>
        <v/>
      </c>
      <c r="E918" t="str">
        <f>IF(NOT(ISBLANK(A918)),VLOOKUP(A918,'BBT3'!A:F,5,0),"")</f>
        <v/>
      </c>
      <c r="F918" t="str">
        <f>IF(NOT(ISBLANK(A918)),VLOOKUP(A918,'BBT3'!A:F,6,0),"")</f>
        <v/>
      </c>
      <c r="G918" t="str">
        <f t="shared" si="137"/>
        <v/>
      </c>
      <c r="H918" t="str">
        <f>IF(NOT(ISBLANK(A918)),VLOOKUP(A918,'Close - PriceSaver'!A:J,5,0),"")</f>
        <v/>
      </c>
      <c r="I918" s="4" t="str" cm="1">
        <f t="array" ref="I918">IF(NOT(ISBLANK(A918)),((_xlfn.XLOOKUP(1,(_bbt3[[#All],[ID]]=A918)*(_bbt3[[#All],[METRIC_NAME]]="YLD_YTM_ASK"),_bbt3[[#All],[METRIC_VALUE]])*0.5)+(_xlfn.XLOOKUP(1,(_bbt3[[#All],[ID]]=A918)*(_bbt3[[#All],[METRIC_NAME]]="YLD_YTM_BID"),_bbt3[[#All],[METRIC_VALUE]])*0.5))/100,"")</f>
        <v/>
      </c>
      <c r="J918">
        <f>IF(ISNA(VLOOKUP(A918,'CloseDL - PriceSaverBBT3'!A:E,5,0)),0,VLOOKUP(A918,'CloseDL - PriceSaverBBT3'!A:E,5,0))</f>
        <v>0</v>
      </c>
      <c r="K918" s="7" t="str">
        <f t="shared" si="138"/>
        <v/>
      </c>
      <c r="L918" s="20">
        <f>IF(Close[[#This Row],[CreatedBy]]="MARINER\SilverAdm",1,0)</f>
        <v>1</v>
      </c>
      <c r="M918" t="str">
        <f>IF(NOT(ISBLANK(A918)),VLOOKUP(A918,'Close - PriceSaver'!A:J,6,0),"")</f>
        <v/>
      </c>
      <c r="Q918" t="e">
        <f t="shared" si="139"/>
        <v>#N/A</v>
      </c>
      <c r="R918" t="e">
        <f t="shared" si="140"/>
        <v>#N/A</v>
      </c>
      <c r="S918" t="e">
        <f t="shared" si="141"/>
        <v>#N/A</v>
      </c>
      <c r="T918" s="15" t="e">
        <f t="shared" si="143"/>
        <v>#N/A</v>
      </c>
      <c r="U918" s="18" t="e">
        <f t="shared" si="144"/>
        <v>#N/A</v>
      </c>
      <c r="V918" s="14" t="e">
        <f t="shared" si="142"/>
        <v>#N/A</v>
      </c>
      <c r="W918" s="19" t="e">
        <f t="shared" si="145"/>
        <v>#N/A</v>
      </c>
      <c r="X918" t="e">
        <f>VLOOKUP(P918,Close[[ID]:[CreatedBy]],8,0)</f>
        <v>#N/A</v>
      </c>
    </row>
    <row r="919" spans="2:24" x14ac:dyDescent="0.35">
      <c r="B919" t="str">
        <f>IF(NOT(ISBLANK(A919)),VLOOKUP(A919,'BBT3'!A:F,2,0),"")</f>
        <v/>
      </c>
      <c r="C919" t="str">
        <f>IF(NOT(ISBLANK(A919)),VLOOKUP(A919,'BBT3'!A:F,3,0),"")</f>
        <v/>
      </c>
      <c r="D919" s="5" t="str">
        <f>IF(NOT(ISBLANK(A919)),VLOOKUP(A919,'BBT3'!A:F,4,1),"")</f>
        <v/>
      </c>
      <c r="E919" t="str">
        <f>IF(NOT(ISBLANK(A919)),VLOOKUP(A919,'BBT3'!A:F,5,0),"")</f>
        <v/>
      </c>
      <c r="F919" t="str">
        <f>IF(NOT(ISBLANK(A919)),VLOOKUP(A919,'BBT3'!A:F,6,0),"")</f>
        <v/>
      </c>
      <c r="G919" t="str">
        <f t="shared" si="137"/>
        <v/>
      </c>
      <c r="H919" t="str">
        <f>IF(NOT(ISBLANK(A919)),VLOOKUP(A919,'Close - PriceSaver'!A:J,5,0),"")</f>
        <v/>
      </c>
      <c r="I919" s="4" t="str" cm="1">
        <f t="array" ref="I919">IF(NOT(ISBLANK(A919)),((_xlfn.XLOOKUP(1,(_bbt3[[#All],[ID]]=A919)*(_bbt3[[#All],[METRIC_NAME]]="YLD_YTM_ASK"),_bbt3[[#All],[METRIC_VALUE]])*0.5)+(_xlfn.XLOOKUP(1,(_bbt3[[#All],[ID]]=A919)*(_bbt3[[#All],[METRIC_NAME]]="YLD_YTM_BID"),_bbt3[[#All],[METRIC_VALUE]])*0.5))/100,"")</f>
        <v/>
      </c>
      <c r="J919">
        <f>IF(ISNA(VLOOKUP(A919,'CloseDL - PriceSaverBBT3'!A:E,5,0)),0,VLOOKUP(A919,'CloseDL - PriceSaverBBT3'!A:E,5,0))</f>
        <v>0</v>
      </c>
      <c r="K919" s="7" t="str">
        <f t="shared" si="138"/>
        <v/>
      </c>
      <c r="L919" s="20">
        <f>IF(Close[[#This Row],[CreatedBy]]="MARINER\SilverAdm",1,0)</f>
        <v>1</v>
      </c>
      <c r="M919" t="str">
        <f>IF(NOT(ISBLANK(A919)),VLOOKUP(A919,'Close - PriceSaver'!A:J,6,0),"")</f>
        <v/>
      </c>
      <c r="Q919" t="e">
        <f t="shared" si="139"/>
        <v>#N/A</v>
      </c>
      <c r="R919" t="e">
        <f t="shared" si="140"/>
        <v>#N/A</v>
      </c>
      <c r="S919" t="e">
        <f t="shared" si="141"/>
        <v>#N/A</v>
      </c>
      <c r="T919" s="15" t="e">
        <f t="shared" si="143"/>
        <v>#N/A</v>
      </c>
      <c r="U919" s="18" t="e">
        <f t="shared" si="144"/>
        <v>#N/A</v>
      </c>
      <c r="V919" s="14" t="e">
        <f t="shared" si="142"/>
        <v>#N/A</v>
      </c>
      <c r="W919" s="19" t="e">
        <f t="shared" si="145"/>
        <v>#N/A</v>
      </c>
      <c r="X919" t="e">
        <f>VLOOKUP(P919,Close[[ID]:[CreatedBy]],8,0)</f>
        <v>#N/A</v>
      </c>
    </row>
    <row r="920" spans="2:24" x14ac:dyDescent="0.35">
      <c r="B920" t="str">
        <f>IF(NOT(ISBLANK(A920)),VLOOKUP(A920,'BBT3'!A:F,2,0),"")</f>
        <v/>
      </c>
      <c r="C920" t="str">
        <f>IF(NOT(ISBLANK(A920)),VLOOKUP(A920,'BBT3'!A:F,3,0),"")</f>
        <v/>
      </c>
      <c r="D920" s="5" t="str">
        <f>IF(NOT(ISBLANK(A920)),VLOOKUP(A920,'BBT3'!A:F,4,1),"")</f>
        <v/>
      </c>
      <c r="E920" t="str">
        <f>IF(NOT(ISBLANK(A920)),VLOOKUP(A920,'BBT3'!A:F,5,0),"")</f>
        <v/>
      </c>
      <c r="F920" t="str">
        <f>IF(NOT(ISBLANK(A920)),VLOOKUP(A920,'BBT3'!A:F,6,0),"")</f>
        <v/>
      </c>
      <c r="G920" t="str">
        <f t="shared" si="137"/>
        <v/>
      </c>
      <c r="H920" t="str">
        <f>IF(NOT(ISBLANK(A920)),VLOOKUP(A920,'Close - PriceSaver'!A:J,5,0),"")</f>
        <v/>
      </c>
      <c r="I920" s="4" t="str" cm="1">
        <f t="array" ref="I920">IF(NOT(ISBLANK(A920)),((_xlfn.XLOOKUP(1,(_bbt3[[#All],[ID]]=A920)*(_bbt3[[#All],[METRIC_NAME]]="YLD_YTM_ASK"),_bbt3[[#All],[METRIC_VALUE]])*0.5)+(_xlfn.XLOOKUP(1,(_bbt3[[#All],[ID]]=A920)*(_bbt3[[#All],[METRIC_NAME]]="YLD_YTM_BID"),_bbt3[[#All],[METRIC_VALUE]])*0.5))/100,"")</f>
        <v/>
      </c>
      <c r="J920">
        <f>IF(ISNA(VLOOKUP(A920,'CloseDL - PriceSaverBBT3'!A:E,5,0)),0,VLOOKUP(A920,'CloseDL - PriceSaverBBT3'!A:E,5,0))</f>
        <v>0</v>
      </c>
      <c r="K920" s="7" t="str">
        <f t="shared" si="138"/>
        <v/>
      </c>
      <c r="L920" s="20">
        <f>IF(Close[[#This Row],[CreatedBy]]="MARINER\SilverAdm",1,0)</f>
        <v>1</v>
      </c>
      <c r="M920" t="str">
        <f>IF(NOT(ISBLANK(A920)),VLOOKUP(A920,'Close - PriceSaver'!A:J,6,0),"")</f>
        <v/>
      </c>
      <c r="Q920" t="e">
        <f t="shared" si="139"/>
        <v>#N/A</v>
      </c>
      <c r="R920" t="e">
        <f t="shared" si="140"/>
        <v>#N/A</v>
      </c>
      <c r="S920" t="e">
        <f t="shared" si="141"/>
        <v>#N/A</v>
      </c>
      <c r="T920" s="15" t="e">
        <f t="shared" si="143"/>
        <v>#N/A</v>
      </c>
      <c r="U920" s="18" t="e">
        <f t="shared" si="144"/>
        <v>#N/A</v>
      </c>
      <c r="V920" s="14" t="e">
        <f t="shared" si="142"/>
        <v>#N/A</v>
      </c>
      <c r="W920" s="19" t="e">
        <f t="shared" si="145"/>
        <v>#N/A</v>
      </c>
      <c r="X920" t="e">
        <f>VLOOKUP(P920,Close[[ID]:[CreatedBy]],8,0)</f>
        <v>#N/A</v>
      </c>
    </row>
    <row r="921" spans="2:24" x14ac:dyDescent="0.35">
      <c r="B921" t="str">
        <f>IF(NOT(ISBLANK(A921)),VLOOKUP(A921,'BBT3'!A:F,2,0),"")</f>
        <v/>
      </c>
      <c r="C921" t="str">
        <f>IF(NOT(ISBLANK(A921)),VLOOKUP(A921,'BBT3'!A:F,3,0),"")</f>
        <v/>
      </c>
      <c r="D921" s="5" t="str">
        <f>IF(NOT(ISBLANK(A921)),VLOOKUP(A921,'BBT3'!A:F,4,1),"")</f>
        <v/>
      </c>
      <c r="E921" t="str">
        <f>IF(NOT(ISBLANK(A921)),VLOOKUP(A921,'BBT3'!A:F,5,0),"")</f>
        <v/>
      </c>
      <c r="F921" t="str">
        <f>IF(NOT(ISBLANK(A921)),VLOOKUP(A921,'BBT3'!A:F,6,0),"")</f>
        <v/>
      </c>
      <c r="G921" t="str">
        <f t="shared" si="137"/>
        <v/>
      </c>
      <c r="H921" t="str">
        <f>IF(NOT(ISBLANK(A921)),VLOOKUP(A921,'Close - PriceSaver'!A:J,5,0),"")</f>
        <v/>
      </c>
      <c r="I921" s="4" t="str" cm="1">
        <f t="array" ref="I921">IF(NOT(ISBLANK(A921)),((_xlfn.XLOOKUP(1,(_bbt3[[#All],[ID]]=A921)*(_bbt3[[#All],[METRIC_NAME]]="YLD_YTM_ASK"),_bbt3[[#All],[METRIC_VALUE]])*0.5)+(_xlfn.XLOOKUP(1,(_bbt3[[#All],[ID]]=A921)*(_bbt3[[#All],[METRIC_NAME]]="YLD_YTM_BID"),_bbt3[[#All],[METRIC_VALUE]])*0.5))/100,"")</f>
        <v/>
      </c>
      <c r="J921">
        <f>IF(ISNA(VLOOKUP(A921,'CloseDL - PriceSaverBBT3'!A:E,5,0)),0,VLOOKUP(A921,'CloseDL - PriceSaverBBT3'!A:E,5,0))</f>
        <v>0</v>
      </c>
      <c r="K921" s="7" t="str">
        <f t="shared" si="138"/>
        <v/>
      </c>
      <c r="L921" s="20">
        <f>IF(Close[[#This Row],[CreatedBy]]="MARINER\SilverAdm",1,0)</f>
        <v>1</v>
      </c>
      <c r="M921" t="str">
        <f>IF(NOT(ISBLANK(A921)),VLOOKUP(A921,'Close - PriceSaver'!A:J,6,0),"")</f>
        <v/>
      </c>
      <c r="Q921" t="e">
        <f t="shared" si="139"/>
        <v>#N/A</v>
      </c>
      <c r="R921" t="e">
        <f t="shared" si="140"/>
        <v>#N/A</v>
      </c>
      <c r="S921" t="e">
        <f t="shared" si="141"/>
        <v>#N/A</v>
      </c>
      <c r="T921" s="15" t="e">
        <f t="shared" si="143"/>
        <v>#N/A</v>
      </c>
      <c r="U921" s="18" t="e">
        <f t="shared" si="144"/>
        <v>#N/A</v>
      </c>
      <c r="V921" s="14" t="e">
        <f t="shared" si="142"/>
        <v>#N/A</v>
      </c>
      <c r="W921" s="19" t="e">
        <f t="shared" si="145"/>
        <v>#N/A</v>
      </c>
      <c r="X921" t="e">
        <f>VLOOKUP(P921,Close[[ID]:[CreatedBy]],8,0)</f>
        <v>#N/A</v>
      </c>
    </row>
    <row r="922" spans="2:24" x14ac:dyDescent="0.35">
      <c r="B922" t="str">
        <f>IF(NOT(ISBLANK(A922)),VLOOKUP(A922,'BBT3'!A:F,2,0),"")</f>
        <v/>
      </c>
      <c r="C922" t="str">
        <f>IF(NOT(ISBLANK(A922)),VLOOKUP(A922,'BBT3'!A:F,3,0),"")</f>
        <v/>
      </c>
      <c r="D922" s="5" t="str">
        <f>IF(NOT(ISBLANK(A922)),VLOOKUP(A922,'BBT3'!A:F,4,1),"")</f>
        <v/>
      </c>
      <c r="E922" t="str">
        <f>IF(NOT(ISBLANK(A922)),VLOOKUP(A922,'BBT3'!A:F,5,0),"")</f>
        <v/>
      </c>
      <c r="F922" t="str">
        <f>IF(NOT(ISBLANK(A922)),VLOOKUP(A922,'BBT3'!A:F,6,0),"")</f>
        <v/>
      </c>
      <c r="G922" t="str">
        <f t="shared" si="137"/>
        <v/>
      </c>
      <c r="H922" t="str">
        <f>IF(NOT(ISBLANK(A922)),VLOOKUP(A922,'Close - PriceSaver'!A:J,5,0),"")</f>
        <v/>
      </c>
      <c r="I922" s="4" t="str" cm="1">
        <f t="array" ref="I922">IF(NOT(ISBLANK(A922)),((_xlfn.XLOOKUP(1,(_bbt3[[#All],[ID]]=A922)*(_bbt3[[#All],[METRIC_NAME]]="YLD_YTM_ASK"),_bbt3[[#All],[METRIC_VALUE]])*0.5)+(_xlfn.XLOOKUP(1,(_bbt3[[#All],[ID]]=A922)*(_bbt3[[#All],[METRIC_NAME]]="YLD_YTM_BID"),_bbt3[[#All],[METRIC_VALUE]])*0.5))/100,"")</f>
        <v/>
      </c>
      <c r="J922">
        <f>IF(ISNA(VLOOKUP(A922,'CloseDL - PriceSaverBBT3'!A:E,5,0)),0,VLOOKUP(A922,'CloseDL - PriceSaverBBT3'!A:E,5,0))</f>
        <v>0</v>
      </c>
      <c r="K922" s="7" t="str">
        <f t="shared" si="138"/>
        <v/>
      </c>
      <c r="L922" s="20">
        <f>IF(Close[[#This Row],[CreatedBy]]="MARINER\SilverAdm",1,0)</f>
        <v>1</v>
      </c>
      <c r="M922" t="str">
        <f>IF(NOT(ISBLANK(A922)),VLOOKUP(A922,'Close - PriceSaver'!A:J,6,0),"")</f>
        <v/>
      </c>
      <c r="Q922" t="e">
        <f t="shared" si="139"/>
        <v>#N/A</v>
      </c>
      <c r="R922" t="e">
        <f t="shared" si="140"/>
        <v>#N/A</v>
      </c>
      <c r="S922" t="e">
        <f t="shared" si="141"/>
        <v>#N/A</v>
      </c>
      <c r="T922" s="15" t="e">
        <f t="shared" si="143"/>
        <v>#N/A</v>
      </c>
      <c r="U922" s="18" t="e">
        <f t="shared" si="144"/>
        <v>#N/A</v>
      </c>
      <c r="V922" s="14" t="e">
        <f t="shared" si="142"/>
        <v>#N/A</v>
      </c>
      <c r="W922" s="19" t="e">
        <f t="shared" si="145"/>
        <v>#N/A</v>
      </c>
      <c r="X922" t="e">
        <f>VLOOKUP(P922,Close[[ID]:[CreatedBy]],8,0)</f>
        <v>#N/A</v>
      </c>
    </row>
    <row r="923" spans="2:24" x14ac:dyDescent="0.35">
      <c r="B923" t="str">
        <f>IF(NOT(ISBLANK(A923)),VLOOKUP(A923,'BBT3'!A:F,2,0),"")</f>
        <v/>
      </c>
      <c r="C923" t="str">
        <f>IF(NOT(ISBLANK(A923)),VLOOKUP(A923,'BBT3'!A:F,3,0),"")</f>
        <v/>
      </c>
      <c r="D923" s="5" t="str">
        <f>IF(NOT(ISBLANK(A923)),VLOOKUP(A923,'BBT3'!A:F,4,1),"")</f>
        <v/>
      </c>
      <c r="E923" t="str">
        <f>IF(NOT(ISBLANK(A923)),VLOOKUP(A923,'BBT3'!A:F,5,0),"")</f>
        <v/>
      </c>
      <c r="F923" t="str">
        <f>IF(NOT(ISBLANK(A923)),VLOOKUP(A923,'BBT3'!A:F,6,0),"")</f>
        <v/>
      </c>
      <c r="G923" t="str">
        <f t="shared" si="137"/>
        <v/>
      </c>
      <c r="H923" t="str">
        <f>IF(NOT(ISBLANK(A923)),VLOOKUP(A923,'Close - PriceSaver'!A:J,5,0),"")</f>
        <v/>
      </c>
      <c r="I923" s="4" t="str" cm="1">
        <f t="array" ref="I923">IF(NOT(ISBLANK(A923)),((_xlfn.XLOOKUP(1,(_bbt3[[#All],[ID]]=A923)*(_bbt3[[#All],[METRIC_NAME]]="YLD_YTM_ASK"),_bbt3[[#All],[METRIC_VALUE]])*0.5)+(_xlfn.XLOOKUP(1,(_bbt3[[#All],[ID]]=A923)*(_bbt3[[#All],[METRIC_NAME]]="YLD_YTM_BID"),_bbt3[[#All],[METRIC_VALUE]])*0.5))/100,"")</f>
        <v/>
      </c>
      <c r="J923">
        <f>IF(ISNA(VLOOKUP(A923,'CloseDL - PriceSaverBBT3'!A:E,5,0)),0,VLOOKUP(A923,'CloseDL - PriceSaverBBT3'!A:E,5,0))</f>
        <v>0</v>
      </c>
      <c r="K923" s="7" t="str">
        <f t="shared" si="138"/>
        <v/>
      </c>
      <c r="L923" s="20">
        <f>IF(Close[[#This Row],[CreatedBy]]="MARINER\SilverAdm",1,0)</f>
        <v>1</v>
      </c>
      <c r="M923" t="str">
        <f>IF(NOT(ISBLANK(A923)),VLOOKUP(A923,'Close - PriceSaver'!A:J,6,0),"")</f>
        <v/>
      </c>
      <c r="Q923" t="e">
        <f t="shared" si="139"/>
        <v>#N/A</v>
      </c>
      <c r="R923" t="e">
        <f t="shared" si="140"/>
        <v>#N/A</v>
      </c>
      <c r="S923" t="e">
        <f t="shared" si="141"/>
        <v>#N/A</v>
      </c>
      <c r="T923" s="15" t="e">
        <f t="shared" si="143"/>
        <v>#N/A</v>
      </c>
      <c r="U923" s="18" t="e">
        <f t="shared" si="144"/>
        <v>#N/A</v>
      </c>
      <c r="V923" s="14" t="e">
        <f t="shared" si="142"/>
        <v>#N/A</v>
      </c>
      <c r="W923" s="19" t="e">
        <f t="shared" si="145"/>
        <v>#N/A</v>
      </c>
      <c r="X923" t="e">
        <f>VLOOKUP(P923,Close[[ID]:[CreatedBy]],8,0)</f>
        <v>#N/A</v>
      </c>
    </row>
    <row r="924" spans="2:24" x14ac:dyDescent="0.35">
      <c r="B924" t="str">
        <f>IF(NOT(ISBLANK(A924)),VLOOKUP(A924,'BBT3'!A:F,2,0),"")</f>
        <v/>
      </c>
      <c r="C924" t="str">
        <f>IF(NOT(ISBLANK(A924)),VLOOKUP(A924,'BBT3'!A:F,3,0),"")</f>
        <v/>
      </c>
      <c r="D924" s="5" t="str">
        <f>IF(NOT(ISBLANK(A924)),VLOOKUP(A924,'BBT3'!A:F,4,1),"")</f>
        <v/>
      </c>
      <c r="E924" t="str">
        <f>IF(NOT(ISBLANK(A924)),VLOOKUP(A924,'BBT3'!A:F,5,0),"")</f>
        <v/>
      </c>
      <c r="F924" t="str">
        <f>IF(NOT(ISBLANK(A924)),VLOOKUP(A924,'BBT3'!A:F,6,0),"")</f>
        <v/>
      </c>
      <c r="G924" t="str">
        <f t="shared" si="137"/>
        <v/>
      </c>
      <c r="H924" t="str">
        <f>IF(NOT(ISBLANK(A924)),VLOOKUP(A924,'Close - PriceSaver'!A:J,5,0),"")</f>
        <v/>
      </c>
      <c r="I924" s="4" t="str" cm="1">
        <f t="array" ref="I924">IF(NOT(ISBLANK(A924)),((_xlfn.XLOOKUP(1,(_bbt3[[#All],[ID]]=A924)*(_bbt3[[#All],[METRIC_NAME]]="YLD_YTM_ASK"),_bbt3[[#All],[METRIC_VALUE]])*0.5)+(_xlfn.XLOOKUP(1,(_bbt3[[#All],[ID]]=A924)*(_bbt3[[#All],[METRIC_NAME]]="YLD_YTM_BID"),_bbt3[[#All],[METRIC_VALUE]])*0.5))/100,"")</f>
        <v/>
      </c>
      <c r="J924">
        <f>IF(ISNA(VLOOKUP(A924,'CloseDL - PriceSaverBBT3'!A:E,5,0)),0,VLOOKUP(A924,'CloseDL - PriceSaverBBT3'!A:E,5,0))</f>
        <v>0</v>
      </c>
      <c r="K924" s="7" t="str">
        <f t="shared" si="138"/>
        <v/>
      </c>
      <c r="L924" s="20">
        <f>IF(Close[[#This Row],[CreatedBy]]="MARINER\SilverAdm",1,0)</f>
        <v>1</v>
      </c>
      <c r="M924" t="str">
        <f>IF(NOT(ISBLANK(A924)),VLOOKUP(A924,'Close - PriceSaver'!A:J,6,0),"")</f>
        <v/>
      </c>
      <c r="Q924" t="e">
        <f t="shared" si="139"/>
        <v>#N/A</v>
      </c>
      <c r="R924" t="e">
        <f t="shared" si="140"/>
        <v>#N/A</v>
      </c>
      <c r="S924" t="e">
        <f t="shared" si="141"/>
        <v>#N/A</v>
      </c>
      <c r="T924" s="15" t="e">
        <f t="shared" si="143"/>
        <v>#N/A</v>
      </c>
      <c r="U924" s="18" t="e">
        <f t="shared" si="144"/>
        <v>#N/A</v>
      </c>
      <c r="V924" s="14" t="e">
        <f t="shared" si="142"/>
        <v>#N/A</v>
      </c>
      <c r="W924" s="19" t="e">
        <f t="shared" si="145"/>
        <v>#N/A</v>
      </c>
      <c r="X924" t="e">
        <f>VLOOKUP(P924,Close[[ID]:[CreatedBy]],8,0)</f>
        <v>#N/A</v>
      </c>
    </row>
    <row r="925" spans="2:24" x14ac:dyDescent="0.35">
      <c r="B925" t="str">
        <f>IF(NOT(ISBLANK(A925)),VLOOKUP(A925,'BBT3'!A:F,2,0),"")</f>
        <v/>
      </c>
      <c r="C925" t="str">
        <f>IF(NOT(ISBLANK(A925)),VLOOKUP(A925,'BBT3'!A:F,3,0),"")</f>
        <v/>
      </c>
      <c r="D925" s="5" t="str">
        <f>IF(NOT(ISBLANK(A925)),VLOOKUP(A925,'BBT3'!A:F,4,1),"")</f>
        <v/>
      </c>
      <c r="E925" t="str">
        <f>IF(NOT(ISBLANK(A925)),VLOOKUP(A925,'BBT3'!A:F,5,0),"")</f>
        <v/>
      </c>
      <c r="F925" t="str">
        <f>IF(NOT(ISBLANK(A925)),VLOOKUP(A925,'BBT3'!A:F,6,0),"")</f>
        <v/>
      </c>
      <c r="G925" t="str">
        <f t="shared" si="137"/>
        <v/>
      </c>
      <c r="H925" t="str">
        <f>IF(NOT(ISBLANK(A925)),VLOOKUP(A925,'Close - PriceSaver'!A:J,5,0),"")</f>
        <v/>
      </c>
      <c r="I925" s="4" t="str" cm="1">
        <f t="array" ref="I925">IF(NOT(ISBLANK(A925)),((_xlfn.XLOOKUP(1,(_bbt3[[#All],[ID]]=A925)*(_bbt3[[#All],[METRIC_NAME]]="YLD_YTM_ASK"),_bbt3[[#All],[METRIC_VALUE]])*0.5)+(_xlfn.XLOOKUP(1,(_bbt3[[#All],[ID]]=A925)*(_bbt3[[#All],[METRIC_NAME]]="YLD_YTM_BID"),_bbt3[[#All],[METRIC_VALUE]])*0.5))/100,"")</f>
        <v/>
      </c>
      <c r="J925">
        <f>IF(ISNA(VLOOKUP(A925,'CloseDL - PriceSaverBBT3'!A:E,5,0)),0,VLOOKUP(A925,'CloseDL - PriceSaverBBT3'!A:E,5,0))</f>
        <v>0</v>
      </c>
      <c r="K925" s="7" t="str">
        <f t="shared" si="138"/>
        <v/>
      </c>
      <c r="L925" s="20">
        <f>IF(Close[[#This Row],[CreatedBy]]="MARINER\SilverAdm",1,0)</f>
        <v>1</v>
      </c>
      <c r="M925" t="str">
        <f>IF(NOT(ISBLANK(A925)),VLOOKUP(A925,'Close - PriceSaver'!A:J,6,0),"")</f>
        <v/>
      </c>
      <c r="Q925" t="e">
        <f t="shared" si="139"/>
        <v>#N/A</v>
      </c>
      <c r="R925" t="e">
        <f t="shared" si="140"/>
        <v>#N/A</v>
      </c>
      <c r="S925" t="e">
        <f t="shared" si="141"/>
        <v>#N/A</v>
      </c>
      <c r="T925" s="15" t="e">
        <f t="shared" si="143"/>
        <v>#N/A</v>
      </c>
      <c r="U925" s="18" t="e">
        <f t="shared" si="144"/>
        <v>#N/A</v>
      </c>
      <c r="V925" s="14" t="e">
        <f t="shared" si="142"/>
        <v>#N/A</v>
      </c>
      <c r="W925" s="19" t="e">
        <f t="shared" si="145"/>
        <v>#N/A</v>
      </c>
      <c r="X925" t="e">
        <f>VLOOKUP(P925,Close[[ID]:[CreatedBy]],8,0)</f>
        <v>#N/A</v>
      </c>
    </row>
    <row r="926" spans="2:24" x14ac:dyDescent="0.35">
      <c r="B926" t="str">
        <f>IF(NOT(ISBLANK(A926)),VLOOKUP(A926,'BBT3'!A:F,2,0),"")</f>
        <v/>
      </c>
      <c r="C926" t="str">
        <f>IF(NOT(ISBLANK(A926)),VLOOKUP(A926,'BBT3'!A:F,3,0),"")</f>
        <v/>
      </c>
      <c r="D926" s="5" t="str">
        <f>IF(NOT(ISBLANK(A926)),VLOOKUP(A926,'BBT3'!A:F,4,1),"")</f>
        <v/>
      </c>
      <c r="E926" t="str">
        <f>IF(NOT(ISBLANK(A926)),VLOOKUP(A926,'BBT3'!A:F,5,0),"")</f>
        <v/>
      </c>
      <c r="F926" t="str">
        <f>IF(NOT(ISBLANK(A926)),VLOOKUP(A926,'BBT3'!A:F,6,0),"")</f>
        <v/>
      </c>
      <c r="G926" t="str">
        <f t="shared" si="137"/>
        <v/>
      </c>
      <c r="H926" t="str">
        <f>IF(NOT(ISBLANK(A926)),VLOOKUP(A926,'Close - PriceSaver'!A:J,5,0),"")</f>
        <v/>
      </c>
      <c r="I926" s="4" t="str" cm="1">
        <f t="array" ref="I926">IF(NOT(ISBLANK(A926)),((_xlfn.XLOOKUP(1,(_bbt3[[#All],[ID]]=A926)*(_bbt3[[#All],[METRIC_NAME]]="YLD_YTM_ASK"),_bbt3[[#All],[METRIC_VALUE]])*0.5)+(_xlfn.XLOOKUP(1,(_bbt3[[#All],[ID]]=A926)*(_bbt3[[#All],[METRIC_NAME]]="YLD_YTM_BID"),_bbt3[[#All],[METRIC_VALUE]])*0.5))/100,"")</f>
        <v/>
      </c>
      <c r="J926">
        <f>IF(ISNA(VLOOKUP(A926,'CloseDL - PriceSaverBBT3'!A:E,5,0)),0,VLOOKUP(A926,'CloseDL - PriceSaverBBT3'!A:E,5,0))</f>
        <v>0</v>
      </c>
      <c r="K926" s="7" t="str">
        <f t="shared" si="138"/>
        <v/>
      </c>
      <c r="L926" s="20">
        <f>IF(Close[[#This Row],[CreatedBy]]="MARINER\SilverAdm",1,0)</f>
        <v>1</v>
      </c>
      <c r="M926" t="str">
        <f>IF(NOT(ISBLANK(A926)),VLOOKUP(A926,'Close - PriceSaver'!A:J,6,0),"")</f>
        <v/>
      </c>
      <c r="Q926" t="e">
        <f t="shared" si="139"/>
        <v>#N/A</v>
      </c>
      <c r="R926" t="e">
        <f t="shared" si="140"/>
        <v>#N/A</v>
      </c>
      <c r="S926" t="e">
        <f t="shared" si="141"/>
        <v>#N/A</v>
      </c>
      <c r="T926" s="15" t="e">
        <f t="shared" si="143"/>
        <v>#N/A</v>
      </c>
      <c r="U926" s="18" t="e">
        <f t="shared" si="144"/>
        <v>#N/A</v>
      </c>
      <c r="V926" s="14" t="e">
        <f t="shared" si="142"/>
        <v>#N/A</v>
      </c>
      <c r="W926" s="19" t="e">
        <f t="shared" si="145"/>
        <v>#N/A</v>
      </c>
      <c r="X926" t="e">
        <f>VLOOKUP(P926,Close[[ID]:[CreatedBy]],8,0)</f>
        <v>#N/A</v>
      </c>
    </row>
    <row r="927" spans="2:24" x14ac:dyDescent="0.35">
      <c r="B927" t="str">
        <f>IF(NOT(ISBLANK(A927)),VLOOKUP(A927,'BBT3'!A:F,2,0),"")</f>
        <v/>
      </c>
      <c r="C927" t="str">
        <f>IF(NOT(ISBLANK(A927)),VLOOKUP(A927,'BBT3'!A:F,3,0),"")</f>
        <v/>
      </c>
      <c r="D927" s="5" t="str">
        <f>IF(NOT(ISBLANK(A927)),VLOOKUP(A927,'BBT3'!A:F,4,1),"")</f>
        <v/>
      </c>
      <c r="E927" t="str">
        <f>IF(NOT(ISBLANK(A927)),VLOOKUP(A927,'BBT3'!A:F,5,0),"")</f>
        <v/>
      </c>
      <c r="F927" t="str">
        <f>IF(NOT(ISBLANK(A927)),VLOOKUP(A927,'BBT3'!A:F,6,0),"")</f>
        <v/>
      </c>
      <c r="G927" t="str">
        <f t="shared" si="137"/>
        <v/>
      </c>
      <c r="H927" t="str">
        <f>IF(NOT(ISBLANK(A927)),VLOOKUP(A927,'Close - PriceSaver'!A:J,5,0),"")</f>
        <v/>
      </c>
      <c r="I927" s="4" t="str" cm="1">
        <f t="array" ref="I927">IF(NOT(ISBLANK(A927)),((_xlfn.XLOOKUP(1,(_bbt3[[#All],[ID]]=A927)*(_bbt3[[#All],[METRIC_NAME]]="YLD_YTM_ASK"),_bbt3[[#All],[METRIC_VALUE]])*0.5)+(_xlfn.XLOOKUP(1,(_bbt3[[#All],[ID]]=A927)*(_bbt3[[#All],[METRIC_NAME]]="YLD_YTM_BID"),_bbt3[[#All],[METRIC_VALUE]])*0.5))/100,"")</f>
        <v/>
      </c>
      <c r="J927">
        <f>IF(ISNA(VLOOKUP(A927,'CloseDL - PriceSaverBBT3'!A:E,5,0)),0,VLOOKUP(A927,'CloseDL - PriceSaverBBT3'!A:E,5,0))</f>
        <v>0</v>
      </c>
      <c r="K927" s="7" t="str">
        <f t="shared" si="138"/>
        <v/>
      </c>
      <c r="L927" s="20">
        <f>IF(Close[[#This Row],[CreatedBy]]="MARINER\SilverAdm",1,0)</f>
        <v>1</v>
      </c>
      <c r="M927" t="str">
        <f>IF(NOT(ISBLANK(A927)),VLOOKUP(A927,'Close - PriceSaver'!A:J,6,0),"")</f>
        <v/>
      </c>
      <c r="Q927" t="e">
        <f t="shared" si="139"/>
        <v>#N/A</v>
      </c>
      <c r="R927" t="e">
        <f t="shared" si="140"/>
        <v>#N/A</v>
      </c>
      <c r="S927" t="e">
        <f t="shared" si="141"/>
        <v>#N/A</v>
      </c>
      <c r="T927" s="15" t="e">
        <f t="shared" si="143"/>
        <v>#N/A</v>
      </c>
      <c r="U927" s="18" t="e">
        <f t="shared" si="144"/>
        <v>#N/A</v>
      </c>
      <c r="V927" s="14" t="e">
        <f t="shared" si="142"/>
        <v>#N/A</v>
      </c>
      <c r="W927" s="19" t="e">
        <f t="shared" si="145"/>
        <v>#N/A</v>
      </c>
      <c r="X927" t="e">
        <f>VLOOKUP(P927,Close[[ID]:[CreatedBy]],8,0)</f>
        <v>#N/A</v>
      </c>
    </row>
    <row r="928" spans="2:24" x14ac:dyDescent="0.35">
      <c r="B928" t="str">
        <f>IF(NOT(ISBLANK(A928)),VLOOKUP(A928,'BBT3'!A:F,2,0),"")</f>
        <v/>
      </c>
      <c r="C928" t="str">
        <f>IF(NOT(ISBLANK(A928)),VLOOKUP(A928,'BBT3'!A:F,3,0),"")</f>
        <v/>
      </c>
      <c r="D928" s="5" t="str">
        <f>IF(NOT(ISBLANK(A928)),VLOOKUP(A928,'BBT3'!A:F,4,1),"")</f>
        <v/>
      </c>
      <c r="E928" t="str">
        <f>IF(NOT(ISBLANK(A928)),VLOOKUP(A928,'BBT3'!A:F,5,0),"")</f>
        <v/>
      </c>
      <c r="F928" t="str">
        <f>IF(NOT(ISBLANK(A928)),VLOOKUP(A928,'BBT3'!A:F,6,0),"")</f>
        <v/>
      </c>
      <c r="G928" t="str">
        <f t="shared" si="137"/>
        <v/>
      </c>
      <c r="H928" t="str">
        <f>IF(NOT(ISBLANK(A928)),VLOOKUP(A928,'Close - PriceSaver'!A:J,5,0),"")</f>
        <v/>
      </c>
      <c r="I928" s="4" t="str" cm="1">
        <f t="array" ref="I928">IF(NOT(ISBLANK(A928)),((_xlfn.XLOOKUP(1,(_bbt3[[#All],[ID]]=A928)*(_bbt3[[#All],[METRIC_NAME]]="YLD_YTM_ASK"),_bbt3[[#All],[METRIC_VALUE]])*0.5)+(_xlfn.XLOOKUP(1,(_bbt3[[#All],[ID]]=A928)*(_bbt3[[#All],[METRIC_NAME]]="YLD_YTM_BID"),_bbt3[[#All],[METRIC_VALUE]])*0.5))/100,"")</f>
        <v/>
      </c>
      <c r="J928">
        <f>IF(ISNA(VLOOKUP(A928,'CloseDL - PriceSaverBBT3'!A:E,5,0)),0,VLOOKUP(A928,'CloseDL - PriceSaverBBT3'!A:E,5,0))</f>
        <v>0</v>
      </c>
      <c r="K928" s="7" t="str">
        <f t="shared" si="138"/>
        <v/>
      </c>
      <c r="L928" s="20">
        <f>IF(Close[[#This Row],[CreatedBy]]="MARINER\SilverAdm",1,0)</f>
        <v>1</v>
      </c>
      <c r="M928" t="str">
        <f>IF(NOT(ISBLANK(A928)),VLOOKUP(A928,'Close - PriceSaver'!A:J,6,0),"")</f>
        <v/>
      </c>
      <c r="Q928" t="e">
        <f t="shared" si="139"/>
        <v>#N/A</v>
      </c>
      <c r="R928" t="e">
        <f t="shared" si="140"/>
        <v>#N/A</v>
      </c>
      <c r="S928" t="e">
        <f t="shared" si="141"/>
        <v>#N/A</v>
      </c>
      <c r="T928" s="15" t="e">
        <f t="shared" si="143"/>
        <v>#N/A</v>
      </c>
      <c r="U928" s="18" t="e">
        <f t="shared" si="144"/>
        <v>#N/A</v>
      </c>
      <c r="V928" s="14" t="e">
        <f t="shared" si="142"/>
        <v>#N/A</v>
      </c>
      <c r="W928" s="19" t="e">
        <f t="shared" si="145"/>
        <v>#N/A</v>
      </c>
      <c r="X928" t="e">
        <f>VLOOKUP(P928,Close[[ID]:[CreatedBy]],8,0)</f>
        <v>#N/A</v>
      </c>
    </row>
    <row r="929" spans="2:24" x14ac:dyDescent="0.35">
      <c r="B929" t="str">
        <f>IF(NOT(ISBLANK(A929)),VLOOKUP(A929,'BBT3'!A:F,2,0),"")</f>
        <v/>
      </c>
      <c r="C929" t="str">
        <f>IF(NOT(ISBLANK(A929)),VLOOKUP(A929,'BBT3'!A:F,3,0),"")</f>
        <v/>
      </c>
      <c r="D929" s="5" t="str">
        <f>IF(NOT(ISBLANK(A929)),VLOOKUP(A929,'BBT3'!A:F,4,1),"")</f>
        <v/>
      </c>
      <c r="E929" t="str">
        <f>IF(NOT(ISBLANK(A929)),VLOOKUP(A929,'BBT3'!A:F,5,0),"")</f>
        <v/>
      </c>
      <c r="F929" t="str">
        <f>IF(NOT(ISBLANK(A929)),VLOOKUP(A929,'BBT3'!A:F,6,0),"")</f>
        <v/>
      </c>
      <c r="G929" t="str">
        <f t="shared" si="137"/>
        <v/>
      </c>
      <c r="H929" t="str">
        <f>IF(NOT(ISBLANK(A929)),VLOOKUP(A929,'Close - PriceSaver'!A:J,5,0),"")</f>
        <v/>
      </c>
      <c r="I929" s="4" t="str" cm="1">
        <f t="array" ref="I929">IF(NOT(ISBLANK(A929)),((_xlfn.XLOOKUP(1,(_bbt3[[#All],[ID]]=A929)*(_bbt3[[#All],[METRIC_NAME]]="YLD_YTM_ASK"),_bbt3[[#All],[METRIC_VALUE]])*0.5)+(_xlfn.XLOOKUP(1,(_bbt3[[#All],[ID]]=A929)*(_bbt3[[#All],[METRIC_NAME]]="YLD_YTM_BID"),_bbt3[[#All],[METRIC_VALUE]])*0.5))/100,"")</f>
        <v/>
      </c>
      <c r="J929">
        <f>IF(ISNA(VLOOKUP(A929,'CloseDL - PriceSaverBBT3'!A:E,5,0)),0,VLOOKUP(A929,'CloseDL - PriceSaverBBT3'!A:E,5,0))</f>
        <v>0</v>
      </c>
      <c r="K929" s="7" t="str">
        <f t="shared" si="138"/>
        <v/>
      </c>
      <c r="L929" s="20">
        <f>IF(Close[[#This Row],[CreatedBy]]="MARINER\SilverAdm",1,0)</f>
        <v>1</v>
      </c>
      <c r="M929" t="str">
        <f>IF(NOT(ISBLANK(A929)),VLOOKUP(A929,'Close - PriceSaver'!A:J,6,0),"")</f>
        <v/>
      </c>
      <c r="Q929" t="e">
        <f t="shared" si="139"/>
        <v>#N/A</v>
      </c>
      <c r="R929" t="e">
        <f t="shared" si="140"/>
        <v>#N/A</v>
      </c>
      <c r="S929" t="e">
        <f t="shared" si="141"/>
        <v>#N/A</v>
      </c>
      <c r="T929" s="15" t="e">
        <f t="shared" si="143"/>
        <v>#N/A</v>
      </c>
      <c r="U929" s="18" t="e">
        <f t="shared" si="144"/>
        <v>#N/A</v>
      </c>
      <c r="V929" s="14" t="e">
        <f t="shared" si="142"/>
        <v>#N/A</v>
      </c>
      <c r="W929" s="19" t="e">
        <f t="shared" si="145"/>
        <v>#N/A</v>
      </c>
      <c r="X929" t="e">
        <f>VLOOKUP(P929,Close[[ID]:[CreatedBy]],8,0)</f>
        <v>#N/A</v>
      </c>
    </row>
    <row r="930" spans="2:24" x14ac:dyDescent="0.35">
      <c r="B930" t="str">
        <f>IF(NOT(ISBLANK(A930)),VLOOKUP(A930,'BBT3'!A:F,2,0),"")</f>
        <v/>
      </c>
      <c r="C930" t="str">
        <f>IF(NOT(ISBLANK(A930)),VLOOKUP(A930,'BBT3'!A:F,3,0),"")</f>
        <v/>
      </c>
      <c r="D930" s="5" t="str">
        <f>IF(NOT(ISBLANK(A930)),VLOOKUP(A930,'BBT3'!A:F,4,1),"")</f>
        <v/>
      </c>
      <c r="E930" t="str">
        <f>IF(NOT(ISBLANK(A930)),VLOOKUP(A930,'BBT3'!A:F,5,0),"")</f>
        <v/>
      </c>
      <c r="F930" t="str">
        <f>IF(NOT(ISBLANK(A930)),VLOOKUP(A930,'BBT3'!A:F,6,0),"")</f>
        <v/>
      </c>
      <c r="G930" t="str">
        <f t="shared" si="137"/>
        <v/>
      </c>
      <c r="H930" t="str">
        <f>IF(NOT(ISBLANK(A930)),VLOOKUP(A930,'Close - PriceSaver'!A:J,5,0),"")</f>
        <v/>
      </c>
      <c r="I930" s="4" t="str" cm="1">
        <f t="array" ref="I930">IF(NOT(ISBLANK(A930)),((_xlfn.XLOOKUP(1,(_bbt3[[#All],[ID]]=A930)*(_bbt3[[#All],[METRIC_NAME]]="YLD_YTM_ASK"),_bbt3[[#All],[METRIC_VALUE]])*0.5)+(_xlfn.XLOOKUP(1,(_bbt3[[#All],[ID]]=A930)*(_bbt3[[#All],[METRIC_NAME]]="YLD_YTM_BID"),_bbt3[[#All],[METRIC_VALUE]])*0.5))/100,"")</f>
        <v/>
      </c>
      <c r="J930">
        <f>IF(ISNA(VLOOKUP(A930,'CloseDL - PriceSaverBBT3'!A:E,5,0)),0,VLOOKUP(A930,'CloseDL - PriceSaverBBT3'!A:E,5,0))</f>
        <v>0</v>
      </c>
      <c r="K930" s="7" t="str">
        <f t="shared" si="138"/>
        <v/>
      </c>
      <c r="L930" s="20">
        <f>IF(Close[[#This Row],[CreatedBy]]="MARINER\SilverAdm",1,0)</f>
        <v>1</v>
      </c>
      <c r="M930" t="str">
        <f>IF(NOT(ISBLANK(A930)),VLOOKUP(A930,'Close - PriceSaver'!A:J,6,0),"")</f>
        <v/>
      </c>
      <c r="Q930" t="e">
        <f t="shared" si="139"/>
        <v>#N/A</v>
      </c>
      <c r="R930" t="e">
        <f t="shared" si="140"/>
        <v>#N/A</v>
      </c>
      <c r="S930" t="e">
        <f t="shared" si="141"/>
        <v>#N/A</v>
      </c>
      <c r="T930" s="15" t="e">
        <f t="shared" si="143"/>
        <v>#N/A</v>
      </c>
      <c r="U930" s="18" t="e">
        <f t="shared" si="144"/>
        <v>#N/A</v>
      </c>
      <c r="V930" s="14" t="e">
        <f t="shared" si="142"/>
        <v>#N/A</v>
      </c>
      <c r="W930" s="19" t="e">
        <f t="shared" si="145"/>
        <v>#N/A</v>
      </c>
      <c r="X930" t="e">
        <f>VLOOKUP(P930,Close[[ID]:[CreatedBy]],8,0)</f>
        <v>#N/A</v>
      </c>
    </row>
    <row r="931" spans="2:24" x14ac:dyDescent="0.35">
      <c r="B931" t="str">
        <f>IF(NOT(ISBLANK(A931)),VLOOKUP(A931,'BBT3'!A:F,2,0),"")</f>
        <v/>
      </c>
      <c r="C931" t="str">
        <f>IF(NOT(ISBLANK(A931)),VLOOKUP(A931,'BBT3'!A:F,3,0),"")</f>
        <v/>
      </c>
      <c r="D931" s="5" t="str">
        <f>IF(NOT(ISBLANK(A931)),VLOOKUP(A931,'BBT3'!A:F,4,1),"")</f>
        <v/>
      </c>
      <c r="E931" t="str">
        <f>IF(NOT(ISBLANK(A931)),VLOOKUP(A931,'BBT3'!A:F,5,0),"")</f>
        <v/>
      </c>
      <c r="F931" t="str">
        <f>IF(NOT(ISBLANK(A931)),VLOOKUP(A931,'BBT3'!A:F,6,0),"")</f>
        <v/>
      </c>
      <c r="G931" t="str">
        <f t="shared" si="137"/>
        <v/>
      </c>
      <c r="H931" t="str">
        <f>IF(NOT(ISBLANK(A931)),VLOOKUP(A931,'Close - PriceSaver'!A:J,5,0),"")</f>
        <v/>
      </c>
      <c r="I931" s="4" t="str" cm="1">
        <f t="array" ref="I931">IF(NOT(ISBLANK(A931)),((_xlfn.XLOOKUP(1,(_bbt3[[#All],[ID]]=A931)*(_bbt3[[#All],[METRIC_NAME]]="YLD_YTM_ASK"),_bbt3[[#All],[METRIC_VALUE]])*0.5)+(_xlfn.XLOOKUP(1,(_bbt3[[#All],[ID]]=A931)*(_bbt3[[#All],[METRIC_NAME]]="YLD_YTM_BID"),_bbt3[[#All],[METRIC_VALUE]])*0.5))/100,"")</f>
        <v/>
      </c>
      <c r="J931">
        <f>IF(ISNA(VLOOKUP(A931,'CloseDL - PriceSaverBBT3'!A:E,5,0)),0,VLOOKUP(A931,'CloseDL - PriceSaverBBT3'!A:E,5,0))</f>
        <v>0</v>
      </c>
      <c r="K931" s="7" t="str">
        <f t="shared" si="138"/>
        <v/>
      </c>
      <c r="L931" s="20">
        <f>IF(Close[[#This Row],[CreatedBy]]="MARINER\SilverAdm",1,0)</f>
        <v>1</v>
      </c>
      <c r="M931" t="str">
        <f>IF(NOT(ISBLANK(A931)),VLOOKUP(A931,'Close - PriceSaver'!A:J,6,0),"")</f>
        <v/>
      </c>
      <c r="Q931" t="e">
        <f t="shared" si="139"/>
        <v>#N/A</v>
      </c>
      <c r="R931" t="e">
        <f t="shared" si="140"/>
        <v>#N/A</v>
      </c>
      <c r="S931" t="e">
        <f t="shared" si="141"/>
        <v>#N/A</v>
      </c>
      <c r="T931" s="15" t="e">
        <f t="shared" si="143"/>
        <v>#N/A</v>
      </c>
      <c r="U931" s="18" t="e">
        <f t="shared" si="144"/>
        <v>#N/A</v>
      </c>
      <c r="V931" s="14" t="e">
        <f t="shared" si="142"/>
        <v>#N/A</v>
      </c>
      <c r="W931" s="19" t="e">
        <f t="shared" si="145"/>
        <v>#N/A</v>
      </c>
      <c r="X931" t="e">
        <f>VLOOKUP(P931,Close[[ID]:[CreatedBy]],8,0)</f>
        <v>#N/A</v>
      </c>
    </row>
    <row r="932" spans="2:24" x14ac:dyDescent="0.35">
      <c r="B932" t="str">
        <f>IF(NOT(ISBLANK(A932)),VLOOKUP(A932,'BBT3'!A:F,2,0),"")</f>
        <v/>
      </c>
      <c r="C932" t="str">
        <f>IF(NOT(ISBLANK(A932)),VLOOKUP(A932,'BBT3'!A:F,3,0),"")</f>
        <v/>
      </c>
      <c r="D932" s="5" t="str">
        <f>IF(NOT(ISBLANK(A932)),VLOOKUP(A932,'BBT3'!A:F,4,1),"")</f>
        <v/>
      </c>
      <c r="E932" t="str">
        <f>IF(NOT(ISBLANK(A932)),VLOOKUP(A932,'BBT3'!A:F,5,0),"")</f>
        <v/>
      </c>
      <c r="F932" t="str">
        <f>IF(NOT(ISBLANK(A932)),VLOOKUP(A932,'BBT3'!A:F,6,0),"")</f>
        <v/>
      </c>
      <c r="G932" t="str">
        <f t="shared" si="137"/>
        <v/>
      </c>
      <c r="H932" t="str">
        <f>IF(NOT(ISBLANK(A932)),VLOOKUP(A932,'Close - PriceSaver'!A:J,5,0),"")</f>
        <v/>
      </c>
      <c r="I932" s="4" t="str" cm="1">
        <f t="array" ref="I932">IF(NOT(ISBLANK(A932)),((_xlfn.XLOOKUP(1,(_bbt3[[#All],[ID]]=A932)*(_bbt3[[#All],[METRIC_NAME]]="YLD_YTM_ASK"),_bbt3[[#All],[METRIC_VALUE]])*0.5)+(_xlfn.XLOOKUP(1,(_bbt3[[#All],[ID]]=A932)*(_bbt3[[#All],[METRIC_NAME]]="YLD_YTM_BID"),_bbt3[[#All],[METRIC_VALUE]])*0.5))/100,"")</f>
        <v/>
      </c>
      <c r="J932">
        <f>IF(ISNA(VLOOKUP(A932,'CloseDL - PriceSaverBBT3'!A:E,5,0)),0,VLOOKUP(A932,'CloseDL - PriceSaverBBT3'!A:E,5,0))</f>
        <v>0</v>
      </c>
      <c r="K932" s="7" t="str">
        <f t="shared" si="138"/>
        <v/>
      </c>
      <c r="L932" s="20">
        <f>IF(Close[[#This Row],[CreatedBy]]="MARINER\SilverAdm",1,0)</f>
        <v>1</v>
      </c>
      <c r="M932" t="str">
        <f>IF(NOT(ISBLANK(A932)),VLOOKUP(A932,'Close - PriceSaver'!A:J,6,0),"")</f>
        <v/>
      </c>
      <c r="Q932" t="e">
        <f t="shared" si="139"/>
        <v>#N/A</v>
      </c>
      <c r="R932" t="e">
        <f t="shared" si="140"/>
        <v>#N/A</v>
      </c>
      <c r="S932" t="e">
        <f t="shared" si="141"/>
        <v>#N/A</v>
      </c>
      <c r="T932" s="15" t="e">
        <f t="shared" si="143"/>
        <v>#N/A</v>
      </c>
      <c r="U932" s="18" t="e">
        <f t="shared" si="144"/>
        <v>#N/A</v>
      </c>
      <c r="V932" s="14" t="e">
        <f t="shared" si="142"/>
        <v>#N/A</v>
      </c>
      <c r="W932" s="19" t="e">
        <f t="shared" si="145"/>
        <v>#N/A</v>
      </c>
      <c r="X932" t="e">
        <f>VLOOKUP(P932,Close[[ID]:[CreatedBy]],8,0)</f>
        <v>#N/A</v>
      </c>
    </row>
    <row r="933" spans="2:24" x14ac:dyDescent="0.35">
      <c r="B933" t="str">
        <f>IF(NOT(ISBLANK(A933)),VLOOKUP(A933,'BBT3'!A:F,2,0),"")</f>
        <v/>
      </c>
      <c r="C933" t="str">
        <f>IF(NOT(ISBLANK(A933)),VLOOKUP(A933,'BBT3'!A:F,3,0),"")</f>
        <v/>
      </c>
      <c r="D933" s="5" t="str">
        <f>IF(NOT(ISBLANK(A933)),VLOOKUP(A933,'BBT3'!A:F,4,1),"")</f>
        <v/>
      </c>
      <c r="E933" t="str">
        <f>IF(NOT(ISBLANK(A933)),VLOOKUP(A933,'BBT3'!A:F,5,0),"")</f>
        <v/>
      </c>
      <c r="F933" t="str">
        <f>IF(NOT(ISBLANK(A933)),VLOOKUP(A933,'BBT3'!A:F,6,0),"")</f>
        <v/>
      </c>
      <c r="G933" t="str">
        <f t="shared" si="137"/>
        <v/>
      </c>
      <c r="H933" t="str">
        <f>IF(NOT(ISBLANK(A933)),VLOOKUP(A933,'Close - PriceSaver'!A:J,5,0),"")</f>
        <v/>
      </c>
      <c r="I933" s="4" t="str" cm="1">
        <f t="array" ref="I933">IF(NOT(ISBLANK(A933)),((_xlfn.XLOOKUP(1,(_bbt3[[#All],[ID]]=A933)*(_bbt3[[#All],[METRIC_NAME]]="YLD_YTM_ASK"),_bbt3[[#All],[METRIC_VALUE]])*0.5)+(_xlfn.XLOOKUP(1,(_bbt3[[#All],[ID]]=A933)*(_bbt3[[#All],[METRIC_NAME]]="YLD_YTM_BID"),_bbt3[[#All],[METRIC_VALUE]])*0.5))/100,"")</f>
        <v/>
      </c>
      <c r="J933">
        <f>IF(ISNA(VLOOKUP(A933,'CloseDL - PriceSaverBBT3'!A:E,5,0)),0,VLOOKUP(A933,'CloseDL - PriceSaverBBT3'!A:E,5,0))</f>
        <v>0</v>
      </c>
      <c r="K933" s="7" t="str">
        <f t="shared" si="138"/>
        <v/>
      </c>
      <c r="L933" s="20">
        <f>IF(Close[[#This Row],[CreatedBy]]="MARINER\SilverAdm",1,0)</f>
        <v>1</v>
      </c>
      <c r="M933" t="str">
        <f>IF(NOT(ISBLANK(A933)),VLOOKUP(A933,'Close - PriceSaver'!A:J,6,0),"")</f>
        <v/>
      </c>
      <c r="Q933" t="e">
        <f t="shared" si="139"/>
        <v>#N/A</v>
      </c>
      <c r="R933" t="e">
        <f t="shared" si="140"/>
        <v>#N/A</v>
      </c>
      <c r="S933" t="e">
        <f t="shared" si="141"/>
        <v>#N/A</v>
      </c>
      <c r="T933" s="15" t="e">
        <f t="shared" si="143"/>
        <v>#N/A</v>
      </c>
      <c r="U933" s="18" t="e">
        <f t="shared" si="144"/>
        <v>#N/A</v>
      </c>
      <c r="V933" s="14" t="e">
        <f t="shared" si="142"/>
        <v>#N/A</v>
      </c>
      <c r="W933" s="19" t="e">
        <f t="shared" si="145"/>
        <v>#N/A</v>
      </c>
      <c r="X933" t="e">
        <f>VLOOKUP(P933,Close[[ID]:[CreatedBy]],8,0)</f>
        <v>#N/A</v>
      </c>
    </row>
    <row r="934" spans="2:24" x14ac:dyDescent="0.35">
      <c r="B934" t="str">
        <f>IF(NOT(ISBLANK(A934)),VLOOKUP(A934,'BBT3'!A:F,2,0),"")</f>
        <v/>
      </c>
      <c r="C934" t="str">
        <f>IF(NOT(ISBLANK(A934)),VLOOKUP(A934,'BBT3'!A:F,3,0),"")</f>
        <v/>
      </c>
      <c r="D934" s="5" t="str">
        <f>IF(NOT(ISBLANK(A934)),VLOOKUP(A934,'BBT3'!A:F,4,1),"")</f>
        <v/>
      </c>
      <c r="E934" t="str">
        <f>IF(NOT(ISBLANK(A934)),VLOOKUP(A934,'BBT3'!A:F,5,0),"")</f>
        <v/>
      </c>
      <c r="F934" t="str">
        <f>IF(NOT(ISBLANK(A934)),VLOOKUP(A934,'BBT3'!A:F,6,0),"")</f>
        <v/>
      </c>
      <c r="G934" t="str">
        <f t="shared" si="137"/>
        <v/>
      </c>
      <c r="H934" t="str">
        <f>IF(NOT(ISBLANK(A934)),VLOOKUP(A934,'Close - PriceSaver'!A:J,5,0),"")</f>
        <v/>
      </c>
      <c r="I934" s="4" t="str" cm="1">
        <f t="array" ref="I934">IF(NOT(ISBLANK(A934)),((_xlfn.XLOOKUP(1,(_bbt3[[#All],[ID]]=A934)*(_bbt3[[#All],[METRIC_NAME]]="YLD_YTM_ASK"),_bbt3[[#All],[METRIC_VALUE]])*0.5)+(_xlfn.XLOOKUP(1,(_bbt3[[#All],[ID]]=A934)*(_bbt3[[#All],[METRIC_NAME]]="YLD_YTM_BID"),_bbt3[[#All],[METRIC_VALUE]])*0.5))/100,"")</f>
        <v/>
      </c>
      <c r="J934">
        <f>IF(ISNA(VLOOKUP(A934,'CloseDL - PriceSaverBBT3'!A:E,5,0)),0,VLOOKUP(A934,'CloseDL - PriceSaverBBT3'!A:E,5,0))</f>
        <v>0</v>
      </c>
      <c r="K934" s="7" t="str">
        <f t="shared" si="138"/>
        <v/>
      </c>
      <c r="L934" s="20">
        <f>IF(Close[[#This Row],[CreatedBy]]="MARINER\SilverAdm",1,0)</f>
        <v>1</v>
      </c>
      <c r="M934" t="str">
        <f>IF(NOT(ISBLANK(A934)),VLOOKUP(A934,'Close - PriceSaver'!A:J,6,0),"")</f>
        <v/>
      </c>
      <c r="Q934" t="e">
        <f t="shared" si="139"/>
        <v>#N/A</v>
      </c>
      <c r="R934" t="e">
        <f t="shared" si="140"/>
        <v>#N/A</v>
      </c>
      <c r="S934" t="e">
        <f t="shared" si="141"/>
        <v>#N/A</v>
      </c>
      <c r="T934" s="15" t="e">
        <f t="shared" si="143"/>
        <v>#N/A</v>
      </c>
      <c r="U934" s="18" t="e">
        <f t="shared" si="144"/>
        <v>#N/A</v>
      </c>
      <c r="V934" s="14" t="e">
        <f t="shared" si="142"/>
        <v>#N/A</v>
      </c>
      <c r="W934" s="19" t="e">
        <f t="shared" si="145"/>
        <v>#N/A</v>
      </c>
      <c r="X934" t="e">
        <f>VLOOKUP(P934,Close[[ID]:[CreatedBy]],8,0)</f>
        <v>#N/A</v>
      </c>
    </row>
    <row r="935" spans="2:24" x14ac:dyDescent="0.35">
      <c r="B935" t="str">
        <f>IF(NOT(ISBLANK(A935)),VLOOKUP(A935,'BBT3'!A:F,2,0),"")</f>
        <v/>
      </c>
      <c r="C935" t="str">
        <f>IF(NOT(ISBLANK(A935)),VLOOKUP(A935,'BBT3'!A:F,3,0),"")</f>
        <v/>
      </c>
      <c r="D935" s="5" t="str">
        <f>IF(NOT(ISBLANK(A935)),VLOOKUP(A935,'BBT3'!A:F,4,1),"")</f>
        <v/>
      </c>
      <c r="E935" t="str">
        <f>IF(NOT(ISBLANK(A935)),VLOOKUP(A935,'BBT3'!A:F,5,0),"")</f>
        <v/>
      </c>
      <c r="F935" t="str">
        <f>IF(NOT(ISBLANK(A935)),VLOOKUP(A935,'BBT3'!A:F,6,0),"")</f>
        <v/>
      </c>
      <c r="G935" t="str">
        <f t="shared" si="137"/>
        <v/>
      </c>
      <c r="H935" t="str">
        <f>IF(NOT(ISBLANK(A935)),VLOOKUP(A935,'Close - PriceSaver'!A:J,5,0),"")</f>
        <v/>
      </c>
      <c r="I935" s="4" t="str" cm="1">
        <f t="array" ref="I935">IF(NOT(ISBLANK(A935)),((_xlfn.XLOOKUP(1,(_bbt3[[#All],[ID]]=A935)*(_bbt3[[#All],[METRIC_NAME]]="YLD_YTM_ASK"),_bbt3[[#All],[METRIC_VALUE]])*0.5)+(_xlfn.XLOOKUP(1,(_bbt3[[#All],[ID]]=A935)*(_bbt3[[#All],[METRIC_NAME]]="YLD_YTM_BID"),_bbt3[[#All],[METRIC_VALUE]])*0.5))/100,"")</f>
        <v/>
      </c>
      <c r="J935">
        <f>IF(ISNA(VLOOKUP(A935,'CloseDL - PriceSaverBBT3'!A:E,5,0)),0,VLOOKUP(A935,'CloseDL - PriceSaverBBT3'!A:E,5,0))</f>
        <v>0</v>
      </c>
      <c r="K935" s="7" t="str">
        <f t="shared" si="138"/>
        <v/>
      </c>
      <c r="L935" s="20">
        <f>IF(Close[[#This Row],[CreatedBy]]="MARINER\SilverAdm",1,0)</f>
        <v>1</v>
      </c>
      <c r="M935" t="str">
        <f>IF(NOT(ISBLANK(A935)),VLOOKUP(A935,'Close - PriceSaver'!A:J,6,0),"")</f>
        <v/>
      </c>
      <c r="Q935" t="e">
        <f t="shared" si="139"/>
        <v>#N/A</v>
      </c>
      <c r="R935" t="e">
        <f t="shared" si="140"/>
        <v>#N/A</v>
      </c>
      <c r="S935" t="e">
        <f t="shared" si="141"/>
        <v>#N/A</v>
      </c>
      <c r="T935" s="15" t="e">
        <f t="shared" si="143"/>
        <v>#N/A</v>
      </c>
      <c r="U935" s="18" t="e">
        <f t="shared" si="144"/>
        <v>#N/A</v>
      </c>
      <c r="V935" s="14" t="e">
        <f t="shared" si="142"/>
        <v>#N/A</v>
      </c>
      <c r="W935" s="19" t="e">
        <f t="shared" si="145"/>
        <v>#N/A</v>
      </c>
      <c r="X935" t="e">
        <f>VLOOKUP(P935,Close[[ID]:[CreatedBy]],8,0)</f>
        <v>#N/A</v>
      </c>
    </row>
    <row r="936" spans="2:24" x14ac:dyDescent="0.35">
      <c r="B936" t="str">
        <f>IF(NOT(ISBLANK(A936)),VLOOKUP(A936,'BBT3'!A:F,2,0),"")</f>
        <v/>
      </c>
      <c r="C936" t="str">
        <f>IF(NOT(ISBLANK(A936)),VLOOKUP(A936,'BBT3'!A:F,3,0),"")</f>
        <v/>
      </c>
      <c r="D936" s="5" t="str">
        <f>IF(NOT(ISBLANK(A936)),VLOOKUP(A936,'BBT3'!A:F,4,1),"")</f>
        <v/>
      </c>
      <c r="E936" t="str">
        <f>IF(NOT(ISBLANK(A936)),VLOOKUP(A936,'BBT3'!A:F,5,0),"")</f>
        <v/>
      </c>
      <c r="F936" t="str">
        <f>IF(NOT(ISBLANK(A936)),VLOOKUP(A936,'BBT3'!A:F,6,0),"")</f>
        <v/>
      </c>
      <c r="G936" t="str">
        <f t="shared" si="137"/>
        <v/>
      </c>
      <c r="H936" t="str">
        <f>IF(NOT(ISBLANK(A936)),VLOOKUP(A936,'Close - PriceSaver'!A:J,5,0),"")</f>
        <v/>
      </c>
      <c r="I936" s="4" t="str" cm="1">
        <f t="array" ref="I936">IF(NOT(ISBLANK(A936)),((_xlfn.XLOOKUP(1,(_bbt3[[#All],[ID]]=A936)*(_bbt3[[#All],[METRIC_NAME]]="YLD_YTM_ASK"),_bbt3[[#All],[METRIC_VALUE]])*0.5)+(_xlfn.XLOOKUP(1,(_bbt3[[#All],[ID]]=A936)*(_bbt3[[#All],[METRIC_NAME]]="YLD_YTM_BID"),_bbt3[[#All],[METRIC_VALUE]])*0.5))/100,"")</f>
        <v/>
      </c>
      <c r="J936">
        <f>IF(ISNA(VLOOKUP(A936,'CloseDL - PriceSaverBBT3'!A:E,5,0)),0,VLOOKUP(A936,'CloseDL - PriceSaverBBT3'!A:E,5,0))</f>
        <v>0</v>
      </c>
      <c r="K936" s="7" t="str">
        <f t="shared" si="138"/>
        <v/>
      </c>
      <c r="L936" s="20">
        <f>IF(Close[[#This Row],[CreatedBy]]="MARINER\SilverAdm",1,0)</f>
        <v>1</v>
      </c>
      <c r="M936" t="str">
        <f>IF(NOT(ISBLANK(A936)),VLOOKUP(A936,'Close - PriceSaver'!A:J,6,0),"")</f>
        <v/>
      </c>
      <c r="Q936" t="e">
        <f t="shared" si="139"/>
        <v>#N/A</v>
      </c>
      <c r="R936" t="e">
        <f t="shared" si="140"/>
        <v>#N/A</v>
      </c>
      <c r="S936" t="e">
        <f t="shared" si="141"/>
        <v>#N/A</v>
      </c>
      <c r="T936" s="15" t="e">
        <f t="shared" si="143"/>
        <v>#N/A</v>
      </c>
      <c r="U936" s="18" t="e">
        <f t="shared" si="144"/>
        <v>#N/A</v>
      </c>
      <c r="V936" s="14" t="e">
        <f t="shared" si="142"/>
        <v>#N/A</v>
      </c>
      <c r="W936" s="19" t="e">
        <f t="shared" si="145"/>
        <v>#N/A</v>
      </c>
      <c r="X936" t="e">
        <f>VLOOKUP(P936,Close[[ID]:[CreatedBy]],8,0)</f>
        <v>#N/A</v>
      </c>
    </row>
    <row r="937" spans="2:24" x14ac:dyDescent="0.35">
      <c r="B937" t="str">
        <f>IF(NOT(ISBLANK(A937)),VLOOKUP(A937,'BBT3'!A:F,2,0),"")</f>
        <v/>
      </c>
      <c r="C937" t="str">
        <f>IF(NOT(ISBLANK(A937)),VLOOKUP(A937,'BBT3'!A:F,3,0),"")</f>
        <v/>
      </c>
      <c r="D937" s="5" t="str">
        <f>IF(NOT(ISBLANK(A937)),VLOOKUP(A937,'BBT3'!A:F,4,1),"")</f>
        <v/>
      </c>
      <c r="E937" t="str">
        <f>IF(NOT(ISBLANK(A937)),VLOOKUP(A937,'BBT3'!A:F,5,0),"")</f>
        <v/>
      </c>
      <c r="F937" t="str">
        <f>IF(NOT(ISBLANK(A937)),VLOOKUP(A937,'BBT3'!A:F,6,0),"")</f>
        <v/>
      </c>
      <c r="G937" t="str">
        <f t="shared" si="137"/>
        <v/>
      </c>
      <c r="H937" t="str">
        <f>IF(NOT(ISBLANK(A937)),VLOOKUP(A937,'Close - PriceSaver'!A:J,5,0),"")</f>
        <v/>
      </c>
      <c r="I937" s="4" t="str" cm="1">
        <f t="array" ref="I937">IF(NOT(ISBLANK(A937)),((_xlfn.XLOOKUP(1,(_bbt3[[#All],[ID]]=A937)*(_bbt3[[#All],[METRIC_NAME]]="YLD_YTM_ASK"),_bbt3[[#All],[METRIC_VALUE]])*0.5)+(_xlfn.XLOOKUP(1,(_bbt3[[#All],[ID]]=A937)*(_bbt3[[#All],[METRIC_NAME]]="YLD_YTM_BID"),_bbt3[[#All],[METRIC_VALUE]])*0.5))/100,"")</f>
        <v/>
      </c>
      <c r="J937">
        <f>IF(ISNA(VLOOKUP(A937,'CloseDL - PriceSaverBBT3'!A:E,5,0)),0,VLOOKUP(A937,'CloseDL - PriceSaverBBT3'!A:E,5,0))</f>
        <v>0</v>
      </c>
      <c r="K937" s="7" t="str">
        <f t="shared" si="138"/>
        <v/>
      </c>
      <c r="L937" s="20">
        <f>IF(Close[[#This Row],[CreatedBy]]="MARINER\SilverAdm",1,0)</f>
        <v>1</v>
      </c>
      <c r="M937" t="str">
        <f>IF(NOT(ISBLANK(A937)),VLOOKUP(A937,'Close - PriceSaver'!A:J,6,0),"")</f>
        <v/>
      </c>
      <c r="Q937" t="e">
        <f t="shared" si="139"/>
        <v>#N/A</v>
      </c>
      <c r="R937" t="e">
        <f t="shared" si="140"/>
        <v>#N/A</v>
      </c>
      <c r="S937" t="e">
        <f t="shared" si="141"/>
        <v>#N/A</v>
      </c>
      <c r="T937" s="15" t="e">
        <f t="shared" si="143"/>
        <v>#N/A</v>
      </c>
      <c r="U937" s="18" t="e">
        <f t="shared" si="144"/>
        <v>#N/A</v>
      </c>
      <c r="V937" s="14" t="e">
        <f t="shared" si="142"/>
        <v>#N/A</v>
      </c>
      <c r="W937" s="19" t="e">
        <f t="shared" si="145"/>
        <v>#N/A</v>
      </c>
      <c r="X937" t="e">
        <f>VLOOKUP(P937,Close[[ID]:[CreatedBy]],8,0)</f>
        <v>#N/A</v>
      </c>
    </row>
    <row r="938" spans="2:24" x14ac:dyDescent="0.35">
      <c r="B938" t="str">
        <f>IF(NOT(ISBLANK(A938)),VLOOKUP(A938,'BBT3'!A:F,2,0),"")</f>
        <v/>
      </c>
      <c r="C938" t="str">
        <f>IF(NOT(ISBLANK(A938)),VLOOKUP(A938,'BBT3'!A:F,3,0),"")</f>
        <v/>
      </c>
      <c r="D938" s="5" t="str">
        <f>IF(NOT(ISBLANK(A938)),VLOOKUP(A938,'BBT3'!A:F,4,1),"")</f>
        <v/>
      </c>
      <c r="E938" t="str">
        <f>IF(NOT(ISBLANK(A938)),VLOOKUP(A938,'BBT3'!A:F,5,0),"")</f>
        <v/>
      </c>
      <c r="F938" t="str">
        <f>IF(NOT(ISBLANK(A938)),VLOOKUP(A938,'BBT3'!A:F,6,0),"")</f>
        <v/>
      </c>
      <c r="G938" t="str">
        <f t="shared" si="137"/>
        <v/>
      </c>
      <c r="H938" t="str">
        <f>IF(NOT(ISBLANK(A938)),VLOOKUP(A938,'Close - PriceSaver'!A:J,5,0),"")</f>
        <v/>
      </c>
      <c r="I938" s="4" t="str" cm="1">
        <f t="array" ref="I938">IF(NOT(ISBLANK(A938)),((_xlfn.XLOOKUP(1,(_bbt3[[#All],[ID]]=A938)*(_bbt3[[#All],[METRIC_NAME]]="YLD_YTM_ASK"),_bbt3[[#All],[METRIC_VALUE]])*0.5)+(_xlfn.XLOOKUP(1,(_bbt3[[#All],[ID]]=A938)*(_bbt3[[#All],[METRIC_NAME]]="YLD_YTM_BID"),_bbt3[[#All],[METRIC_VALUE]])*0.5))/100,"")</f>
        <v/>
      </c>
      <c r="J938">
        <f>IF(ISNA(VLOOKUP(A938,'CloseDL - PriceSaverBBT3'!A:E,5,0)),0,VLOOKUP(A938,'CloseDL - PriceSaverBBT3'!A:E,5,0))</f>
        <v>0</v>
      </c>
      <c r="K938" s="7" t="str">
        <f t="shared" si="138"/>
        <v/>
      </c>
      <c r="L938" s="20">
        <f>IF(Close[[#This Row],[CreatedBy]]="MARINER\SilverAdm",1,0)</f>
        <v>1</v>
      </c>
      <c r="M938" t="str">
        <f>IF(NOT(ISBLANK(A938)),VLOOKUP(A938,'Close - PriceSaver'!A:J,6,0),"")</f>
        <v/>
      </c>
      <c r="Q938" t="e">
        <f t="shared" si="139"/>
        <v>#N/A</v>
      </c>
      <c r="R938" t="e">
        <f t="shared" si="140"/>
        <v>#N/A</v>
      </c>
      <c r="S938" t="e">
        <f t="shared" si="141"/>
        <v>#N/A</v>
      </c>
      <c r="T938" s="15" t="e">
        <f t="shared" si="143"/>
        <v>#N/A</v>
      </c>
      <c r="U938" s="18" t="e">
        <f t="shared" si="144"/>
        <v>#N/A</v>
      </c>
      <c r="V938" s="14" t="e">
        <f t="shared" si="142"/>
        <v>#N/A</v>
      </c>
      <c r="W938" s="19" t="e">
        <f t="shared" si="145"/>
        <v>#N/A</v>
      </c>
      <c r="X938" t="e">
        <f>VLOOKUP(P938,Close[[ID]:[CreatedBy]],8,0)</f>
        <v>#N/A</v>
      </c>
    </row>
    <row r="939" spans="2:24" x14ac:dyDescent="0.35">
      <c r="B939" t="str">
        <f>IF(NOT(ISBLANK(A939)),VLOOKUP(A939,'BBT3'!A:F,2,0),"")</f>
        <v/>
      </c>
      <c r="C939" t="str">
        <f>IF(NOT(ISBLANK(A939)),VLOOKUP(A939,'BBT3'!A:F,3,0),"")</f>
        <v/>
      </c>
      <c r="D939" s="5" t="str">
        <f>IF(NOT(ISBLANK(A939)),VLOOKUP(A939,'BBT3'!A:F,4,1),"")</f>
        <v/>
      </c>
      <c r="E939" t="str">
        <f>IF(NOT(ISBLANK(A939)),VLOOKUP(A939,'BBT3'!A:F,5,0),"")</f>
        <v/>
      </c>
      <c r="F939" t="str">
        <f>IF(NOT(ISBLANK(A939)),VLOOKUP(A939,'BBT3'!A:F,6,0),"")</f>
        <v/>
      </c>
      <c r="G939" t="str">
        <f t="shared" si="137"/>
        <v/>
      </c>
      <c r="H939" t="str">
        <f>IF(NOT(ISBLANK(A939)),VLOOKUP(A939,'Close - PriceSaver'!A:J,5,0),"")</f>
        <v/>
      </c>
      <c r="I939" s="4" t="str" cm="1">
        <f t="array" ref="I939">IF(NOT(ISBLANK(A939)),((_xlfn.XLOOKUP(1,(_bbt3[[#All],[ID]]=A939)*(_bbt3[[#All],[METRIC_NAME]]="YLD_YTM_ASK"),_bbt3[[#All],[METRIC_VALUE]])*0.5)+(_xlfn.XLOOKUP(1,(_bbt3[[#All],[ID]]=A939)*(_bbt3[[#All],[METRIC_NAME]]="YLD_YTM_BID"),_bbt3[[#All],[METRIC_VALUE]])*0.5))/100,"")</f>
        <v/>
      </c>
      <c r="J939">
        <f>IF(ISNA(VLOOKUP(A939,'CloseDL - PriceSaverBBT3'!A:E,5,0)),0,VLOOKUP(A939,'CloseDL - PriceSaverBBT3'!A:E,5,0))</f>
        <v>0</v>
      </c>
      <c r="K939" s="7" t="str">
        <f t="shared" si="138"/>
        <v/>
      </c>
      <c r="L939" s="20">
        <f>IF(Close[[#This Row],[CreatedBy]]="MARINER\SilverAdm",1,0)</f>
        <v>1</v>
      </c>
      <c r="M939" t="str">
        <f>IF(NOT(ISBLANK(A939)),VLOOKUP(A939,'Close - PriceSaver'!A:J,6,0),"")</f>
        <v/>
      </c>
      <c r="Q939" t="e">
        <f t="shared" si="139"/>
        <v>#N/A</v>
      </c>
      <c r="R939" t="e">
        <f t="shared" si="140"/>
        <v>#N/A</v>
      </c>
      <c r="S939" t="e">
        <f t="shared" si="141"/>
        <v>#N/A</v>
      </c>
      <c r="T939" s="15" t="e">
        <f t="shared" si="143"/>
        <v>#N/A</v>
      </c>
      <c r="U939" s="18" t="e">
        <f t="shared" si="144"/>
        <v>#N/A</v>
      </c>
      <c r="V939" s="14" t="e">
        <f t="shared" si="142"/>
        <v>#N/A</v>
      </c>
      <c r="W939" s="19" t="e">
        <f t="shared" si="145"/>
        <v>#N/A</v>
      </c>
      <c r="X939" t="e">
        <f>VLOOKUP(P939,Close[[ID]:[CreatedBy]],8,0)</f>
        <v>#N/A</v>
      </c>
    </row>
    <row r="940" spans="2:24" x14ac:dyDescent="0.35">
      <c r="B940" t="str">
        <f>IF(NOT(ISBLANK(A940)),VLOOKUP(A940,'BBT3'!A:F,2,0),"")</f>
        <v/>
      </c>
      <c r="C940" t="str">
        <f>IF(NOT(ISBLANK(A940)),VLOOKUP(A940,'BBT3'!A:F,3,0),"")</f>
        <v/>
      </c>
      <c r="D940" s="5" t="str">
        <f>IF(NOT(ISBLANK(A940)),VLOOKUP(A940,'BBT3'!A:F,4,1),"")</f>
        <v/>
      </c>
      <c r="E940" t="str">
        <f>IF(NOT(ISBLANK(A940)),VLOOKUP(A940,'BBT3'!A:F,5,0),"")</f>
        <v/>
      </c>
      <c r="F940" t="str">
        <f>IF(NOT(ISBLANK(A940)),VLOOKUP(A940,'BBT3'!A:F,6,0),"")</f>
        <v/>
      </c>
      <c r="G940" t="str">
        <f t="shared" si="137"/>
        <v/>
      </c>
      <c r="H940" t="str">
        <f>IF(NOT(ISBLANK(A940)),VLOOKUP(A940,'Close - PriceSaver'!A:J,5,0),"")</f>
        <v/>
      </c>
      <c r="I940" s="4" t="str" cm="1">
        <f t="array" ref="I940">IF(NOT(ISBLANK(A940)),((_xlfn.XLOOKUP(1,(_bbt3[[#All],[ID]]=A940)*(_bbt3[[#All],[METRIC_NAME]]="YLD_YTM_ASK"),_bbt3[[#All],[METRIC_VALUE]])*0.5)+(_xlfn.XLOOKUP(1,(_bbt3[[#All],[ID]]=A940)*(_bbt3[[#All],[METRIC_NAME]]="YLD_YTM_BID"),_bbt3[[#All],[METRIC_VALUE]])*0.5))/100,"")</f>
        <v/>
      </c>
      <c r="J940">
        <f>IF(ISNA(VLOOKUP(A940,'CloseDL - PriceSaverBBT3'!A:E,5,0)),0,VLOOKUP(A940,'CloseDL - PriceSaverBBT3'!A:E,5,0))</f>
        <v>0</v>
      </c>
      <c r="K940" s="7" t="str">
        <f t="shared" si="138"/>
        <v/>
      </c>
      <c r="L940" s="20">
        <f>IF(Close[[#This Row],[CreatedBy]]="MARINER\SilverAdm",1,0)</f>
        <v>1</v>
      </c>
      <c r="M940" t="str">
        <f>IF(NOT(ISBLANK(A940)),VLOOKUP(A940,'Close - PriceSaver'!A:J,6,0),"")</f>
        <v/>
      </c>
      <c r="Q940" t="e">
        <f t="shared" si="139"/>
        <v>#N/A</v>
      </c>
      <c r="R940" t="e">
        <f t="shared" si="140"/>
        <v>#N/A</v>
      </c>
      <c r="S940" t="e">
        <f t="shared" si="141"/>
        <v>#N/A</v>
      </c>
      <c r="T940" s="15" t="e">
        <f t="shared" si="143"/>
        <v>#N/A</v>
      </c>
      <c r="U940" s="18" t="e">
        <f t="shared" si="144"/>
        <v>#N/A</v>
      </c>
      <c r="V940" s="14" t="e">
        <f t="shared" si="142"/>
        <v>#N/A</v>
      </c>
      <c r="W940" s="19" t="e">
        <f t="shared" si="145"/>
        <v>#N/A</v>
      </c>
      <c r="X940" t="e">
        <f>VLOOKUP(P940,Close[[ID]:[CreatedBy]],8,0)</f>
        <v>#N/A</v>
      </c>
    </row>
    <row r="941" spans="2:24" x14ac:dyDescent="0.35">
      <c r="B941" t="str">
        <f>IF(NOT(ISBLANK(A941)),VLOOKUP(A941,'BBT3'!A:F,2,0),"")</f>
        <v/>
      </c>
      <c r="C941" t="str">
        <f>IF(NOT(ISBLANK(A941)),VLOOKUP(A941,'BBT3'!A:F,3,0),"")</f>
        <v/>
      </c>
      <c r="D941" s="5" t="str">
        <f>IF(NOT(ISBLANK(A941)),VLOOKUP(A941,'BBT3'!A:F,4,1),"")</f>
        <v/>
      </c>
      <c r="E941" t="str">
        <f>IF(NOT(ISBLANK(A941)),VLOOKUP(A941,'BBT3'!A:F,5,0),"")</f>
        <v/>
      </c>
      <c r="F941" t="str">
        <f>IF(NOT(ISBLANK(A941)),VLOOKUP(A941,'BBT3'!A:F,6,0),"")</f>
        <v/>
      </c>
      <c r="G941" t="str">
        <f t="shared" si="137"/>
        <v/>
      </c>
      <c r="H941" t="str">
        <f>IF(NOT(ISBLANK(A941)),VLOOKUP(A941,'Close - PriceSaver'!A:J,5,0),"")</f>
        <v/>
      </c>
      <c r="I941" s="4" t="str" cm="1">
        <f t="array" ref="I941">IF(NOT(ISBLANK(A941)),((_xlfn.XLOOKUP(1,(_bbt3[[#All],[ID]]=A941)*(_bbt3[[#All],[METRIC_NAME]]="YLD_YTM_ASK"),_bbt3[[#All],[METRIC_VALUE]])*0.5)+(_xlfn.XLOOKUP(1,(_bbt3[[#All],[ID]]=A941)*(_bbt3[[#All],[METRIC_NAME]]="YLD_YTM_BID"),_bbt3[[#All],[METRIC_VALUE]])*0.5))/100,"")</f>
        <v/>
      </c>
      <c r="J941">
        <f>IF(ISNA(VLOOKUP(A941,'CloseDL - PriceSaverBBT3'!A:E,5,0)),0,VLOOKUP(A941,'CloseDL - PriceSaverBBT3'!A:E,5,0))</f>
        <v>0</v>
      </c>
      <c r="K941" s="7" t="str">
        <f t="shared" si="138"/>
        <v/>
      </c>
      <c r="L941" s="20">
        <f>IF(Close[[#This Row],[CreatedBy]]="MARINER\SilverAdm",1,0)</f>
        <v>1</v>
      </c>
      <c r="M941" t="str">
        <f>IF(NOT(ISBLANK(A941)),VLOOKUP(A941,'Close - PriceSaver'!A:J,6,0),"")</f>
        <v/>
      </c>
      <c r="Q941" t="e">
        <f t="shared" si="139"/>
        <v>#N/A</v>
      </c>
      <c r="R941" t="e">
        <f t="shared" si="140"/>
        <v>#N/A</v>
      </c>
      <c r="S941" t="e">
        <f t="shared" si="141"/>
        <v>#N/A</v>
      </c>
      <c r="T941" s="15" t="e">
        <f t="shared" si="143"/>
        <v>#N/A</v>
      </c>
      <c r="U941" s="18" t="e">
        <f t="shared" si="144"/>
        <v>#N/A</v>
      </c>
      <c r="V941" s="14" t="e">
        <f t="shared" si="142"/>
        <v>#N/A</v>
      </c>
      <c r="W941" s="19" t="e">
        <f t="shared" si="145"/>
        <v>#N/A</v>
      </c>
      <c r="X941" t="e">
        <f>VLOOKUP(P941,Close[[ID]:[CreatedBy]],8,0)</f>
        <v>#N/A</v>
      </c>
    </row>
    <row r="942" spans="2:24" x14ac:dyDescent="0.35">
      <c r="B942" t="str">
        <f>IF(NOT(ISBLANK(A942)),VLOOKUP(A942,'BBT3'!A:F,2,0),"")</f>
        <v/>
      </c>
      <c r="C942" t="str">
        <f>IF(NOT(ISBLANK(A942)),VLOOKUP(A942,'BBT3'!A:F,3,0),"")</f>
        <v/>
      </c>
      <c r="D942" s="5" t="str">
        <f>IF(NOT(ISBLANK(A942)),VLOOKUP(A942,'BBT3'!A:F,4,1),"")</f>
        <v/>
      </c>
      <c r="E942" t="str">
        <f>IF(NOT(ISBLANK(A942)),VLOOKUP(A942,'BBT3'!A:F,5,0),"")</f>
        <v/>
      </c>
      <c r="F942" t="str">
        <f>IF(NOT(ISBLANK(A942)),VLOOKUP(A942,'BBT3'!A:F,6,0),"")</f>
        <v/>
      </c>
      <c r="G942" t="str">
        <f t="shared" si="137"/>
        <v/>
      </c>
      <c r="H942" t="str">
        <f>IF(NOT(ISBLANK(A942)),VLOOKUP(A942,'Close - PriceSaver'!A:J,5,0),"")</f>
        <v/>
      </c>
      <c r="I942" s="4" t="str" cm="1">
        <f t="array" ref="I942">IF(NOT(ISBLANK(A942)),((_xlfn.XLOOKUP(1,(_bbt3[[#All],[ID]]=A942)*(_bbt3[[#All],[METRIC_NAME]]="YLD_YTM_ASK"),_bbt3[[#All],[METRIC_VALUE]])*0.5)+(_xlfn.XLOOKUP(1,(_bbt3[[#All],[ID]]=A942)*(_bbt3[[#All],[METRIC_NAME]]="YLD_YTM_BID"),_bbt3[[#All],[METRIC_VALUE]])*0.5))/100,"")</f>
        <v/>
      </c>
      <c r="J942">
        <f>IF(ISNA(VLOOKUP(A942,'CloseDL - PriceSaverBBT3'!A:E,5,0)),0,VLOOKUP(A942,'CloseDL - PriceSaverBBT3'!A:E,5,0))</f>
        <v>0</v>
      </c>
      <c r="K942" s="7" t="str">
        <f t="shared" si="138"/>
        <v/>
      </c>
      <c r="L942" s="20">
        <f>IF(Close[[#This Row],[CreatedBy]]="MARINER\SilverAdm",1,0)</f>
        <v>1</v>
      </c>
      <c r="M942" t="str">
        <f>IF(NOT(ISBLANK(A942)),VLOOKUP(A942,'Close - PriceSaver'!A:J,6,0),"")</f>
        <v/>
      </c>
      <c r="Q942" t="e">
        <f t="shared" si="139"/>
        <v>#N/A</v>
      </c>
      <c r="R942" t="e">
        <f t="shared" si="140"/>
        <v>#N/A</v>
      </c>
      <c r="S942" t="e">
        <f t="shared" si="141"/>
        <v>#N/A</v>
      </c>
      <c r="T942" s="15" t="e">
        <f t="shared" si="143"/>
        <v>#N/A</v>
      </c>
      <c r="U942" s="18" t="e">
        <f t="shared" si="144"/>
        <v>#N/A</v>
      </c>
      <c r="V942" s="14" t="e">
        <f t="shared" si="142"/>
        <v>#N/A</v>
      </c>
      <c r="W942" s="19" t="e">
        <f t="shared" si="145"/>
        <v>#N/A</v>
      </c>
      <c r="X942" t="e">
        <f>VLOOKUP(P942,Close[[ID]:[CreatedBy]],8,0)</f>
        <v>#N/A</v>
      </c>
    </row>
    <row r="943" spans="2:24" x14ac:dyDescent="0.35">
      <c r="B943" t="str">
        <f>IF(NOT(ISBLANK(A943)),VLOOKUP(A943,'BBT3'!A:F,2,0),"")</f>
        <v/>
      </c>
      <c r="C943" t="str">
        <f>IF(NOT(ISBLANK(A943)),VLOOKUP(A943,'BBT3'!A:F,3,0),"")</f>
        <v/>
      </c>
      <c r="D943" s="5" t="str">
        <f>IF(NOT(ISBLANK(A943)),VLOOKUP(A943,'BBT3'!A:F,4,1),"")</f>
        <v/>
      </c>
      <c r="E943" t="str">
        <f>IF(NOT(ISBLANK(A943)),VLOOKUP(A943,'BBT3'!A:F,5,0),"")</f>
        <v/>
      </c>
      <c r="F943" t="str">
        <f>IF(NOT(ISBLANK(A943)),VLOOKUP(A943,'BBT3'!A:F,6,0),"")</f>
        <v/>
      </c>
      <c r="G943" t="str">
        <f t="shared" si="137"/>
        <v/>
      </c>
      <c r="H943" t="str">
        <f>IF(NOT(ISBLANK(A943)),VLOOKUP(A943,'Close - PriceSaver'!A:J,5,0),"")</f>
        <v/>
      </c>
      <c r="I943" s="4" t="str" cm="1">
        <f t="array" ref="I943">IF(NOT(ISBLANK(A943)),((_xlfn.XLOOKUP(1,(_bbt3[[#All],[ID]]=A943)*(_bbt3[[#All],[METRIC_NAME]]="YLD_YTM_ASK"),_bbt3[[#All],[METRIC_VALUE]])*0.5)+(_xlfn.XLOOKUP(1,(_bbt3[[#All],[ID]]=A943)*(_bbt3[[#All],[METRIC_NAME]]="YLD_YTM_BID"),_bbt3[[#All],[METRIC_VALUE]])*0.5))/100,"")</f>
        <v/>
      </c>
      <c r="J943">
        <f>IF(ISNA(VLOOKUP(A943,'CloseDL - PriceSaverBBT3'!A:E,5,0)),0,VLOOKUP(A943,'CloseDL - PriceSaverBBT3'!A:E,5,0))</f>
        <v>0</v>
      </c>
      <c r="K943" s="7" t="str">
        <f t="shared" si="138"/>
        <v/>
      </c>
      <c r="L943" s="20">
        <f>IF(Close[[#This Row],[CreatedBy]]="MARINER\SilverAdm",1,0)</f>
        <v>1</v>
      </c>
      <c r="M943" t="str">
        <f>IF(NOT(ISBLANK(A943)),VLOOKUP(A943,'Close - PriceSaver'!A:J,6,0),"")</f>
        <v/>
      </c>
      <c r="Q943" t="e">
        <f t="shared" si="139"/>
        <v>#N/A</v>
      </c>
      <c r="R943" t="e">
        <f t="shared" si="140"/>
        <v>#N/A</v>
      </c>
      <c r="S943" t="e">
        <f t="shared" si="141"/>
        <v>#N/A</v>
      </c>
      <c r="T943" s="15" t="e">
        <f t="shared" si="143"/>
        <v>#N/A</v>
      </c>
      <c r="U943" s="18" t="e">
        <f t="shared" si="144"/>
        <v>#N/A</v>
      </c>
      <c r="V943" s="14" t="e">
        <f t="shared" si="142"/>
        <v>#N/A</v>
      </c>
      <c r="W943" s="19" t="e">
        <f t="shared" si="145"/>
        <v>#N/A</v>
      </c>
      <c r="X943" t="e">
        <f>VLOOKUP(P943,Close[[ID]:[CreatedBy]],8,0)</f>
        <v>#N/A</v>
      </c>
    </row>
    <row r="944" spans="2:24" x14ac:dyDescent="0.35">
      <c r="B944" t="str">
        <f>IF(NOT(ISBLANK(A944)),VLOOKUP(A944,'BBT3'!A:F,2,0),"")</f>
        <v/>
      </c>
      <c r="C944" t="str">
        <f>IF(NOT(ISBLANK(A944)),VLOOKUP(A944,'BBT3'!A:F,3,0),"")</f>
        <v/>
      </c>
      <c r="D944" s="5" t="str">
        <f>IF(NOT(ISBLANK(A944)),VLOOKUP(A944,'BBT3'!A:F,4,1),"")</f>
        <v/>
      </c>
      <c r="E944" t="str">
        <f>IF(NOT(ISBLANK(A944)),VLOOKUP(A944,'BBT3'!A:F,5,0),"")</f>
        <v/>
      </c>
      <c r="F944" t="str">
        <f>IF(NOT(ISBLANK(A944)),VLOOKUP(A944,'BBT3'!A:F,6,0),"")</f>
        <v/>
      </c>
      <c r="G944" t="str">
        <f t="shared" si="137"/>
        <v/>
      </c>
      <c r="H944" t="str">
        <f>IF(NOT(ISBLANK(A944)),VLOOKUP(A944,'Close - PriceSaver'!A:J,5,0),"")</f>
        <v/>
      </c>
      <c r="I944" s="4" t="str" cm="1">
        <f t="array" ref="I944">IF(NOT(ISBLANK(A944)),((_xlfn.XLOOKUP(1,(_bbt3[[#All],[ID]]=A944)*(_bbt3[[#All],[METRIC_NAME]]="YLD_YTM_ASK"),_bbt3[[#All],[METRIC_VALUE]])*0.5)+(_xlfn.XLOOKUP(1,(_bbt3[[#All],[ID]]=A944)*(_bbt3[[#All],[METRIC_NAME]]="YLD_YTM_BID"),_bbt3[[#All],[METRIC_VALUE]])*0.5))/100,"")</f>
        <v/>
      </c>
      <c r="J944">
        <f>IF(ISNA(VLOOKUP(A944,'CloseDL - PriceSaverBBT3'!A:E,5,0)),0,VLOOKUP(A944,'CloseDL - PriceSaverBBT3'!A:E,5,0))</f>
        <v>0</v>
      </c>
      <c r="K944" s="7" t="str">
        <f t="shared" si="138"/>
        <v/>
      </c>
      <c r="L944" s="20">
        <f>IF(Close[[#This Row],[CreatedBy]]="MARINER\SilverAdm",1,0)</f>
        <v>1</v>
      </c>
      <c r="M944" t="str">
        <f>IF(NOT(ISBLANK(A944)),VLOOKUP(A944,'Close - PriceSaver'!A:J,6,0),"")</f>
        <v/>
      </c>
      <c r="Q944" t="e">
        <f t="shared" si="139"/>
        <v>#N/A</v>
      </c>
      <c r="R944" t="e">
        <f t="shared" si="140"/>
        <v>#N/A</v>
      </c>
      <c r="S944" t="e">
        <f t="shared" si="141"/>
        <v>#N/A</v>
      </c>
      <c r="T944" s="15" t="e">
        <f t="shared" si="143"/>
        <v>#N/A</v>
      </c>
      <c r="U944" s="18" t="e">
        <f t="shared" si="144"/>
        <v>#N/A</v>
      </c>
      <c r="V944" s="14" t="e">
        <f t="shared" si="142"/>
        <v>#N/A</v>
      </c>
      <c r="W944" s="19" t="e">
        <f t="shared" si="145"/>
        <v>#N/A</v>
      </c>
      <c r="X944" t="e">
        <f>VLOOKUP(P944,Close[[ID]:[CreatedBy]],8,0)</f>
        <v>#N/A</v>
      </c>
    </row>
    <row r="945" spans="2:24" x14ac:dyDescent="0.35">
      <c r="B945" t="str">
        <f>IF(NOT(ISBLANK(A945)),VLOOKUP(A945,'BBT3'!A:F,2,0),"")</f>
        <v/>
      </c>
      <c r="C945" t="str">
        <f>IF(NOT(ISBLANK(A945)),VLOOKUP(A945,'BBT3'!A:F,3,0),"")</f>
        <v/>
      </c>
      <c r="D945" s="5" t="str">
        <f>IF(NOT(ISBLANK(A945)),VLOOKUP(A945,'BBT3'!A:F,4,1),"")</f>
        <v/>
      </c>
      <c r="E945" t="str">
        <f>IF(NOT(ISBLANK(A945)),VLOOKUP(A945,'BBT3'!A:F,5,0),"")</f>
        <v/>
      </c>
      <c r="F945" t="str">
        <f>IF(NOT(ISBLANK(A945)),VLOOKUP(A945,'BBT3'!A:F,6,0),"")</f>
        <v/>
      </c>
      <c r="G945" t="str">
        <f t="shared" si="137"/>
        <v/>
      </c>
      <c r="H945" t="str">
        <f>IF(NOT(ISBLANK(A945)),VLOOKUP(A945,'Close - PriceSaver'!A:J,5,0),"")</f>
        <v/>
      </c>
      <c r="I945" s="4" t="str" cm="1">
        <f t="array" ref="I945">IF(NOT(ISBLANK(A945)),((_xlfn.XLOOKUP(1,(_bbt3[[#All],[ID]]=A945)*(_bbt3[[#All],[METRIC_NAME]]="YLD_YTM_ASK"),_bbt3[[#All],[METRIC_VALUE]])*0.5)+(_xlfn.XLOOKUP(1,(_bbt3[[#All],[ID]]=A945)*(_bbt3[[#All],[METRIC_NAME]]="YLD_YTM_BID"),_bbt3[[#All],[METRIC_VALUE]])*0.5))/100,"")</f>
        <v/>
      </c>
      <c r="J945">
        <f>IF(ISNA(VLOOKUP(A945,'CloseDL - PriceSaverBBT3'!A:E,5,0)),0,VLOOKUP(A945,'CloseDL - PriceSaverBBT3'!A:E,5,0))</f>
        <v>0</v>
      </c>
      <c r="K945" s="7" t="str">
        <f t="shared" si="138"/>
        <v/>
      </c>
      <c r="L945" s="20">
        <f>IF(Close[[#This Row],[CreatedBy]]="MARINER\SilverAdm",1,0)</f>
        <v>1</v>
      </c>
      <c r="M945" t="str">
        <f>IF(NOT(ISBLANK(A945)),VLOOKUP(A945,'Close - PriceSaver'!A:J,6,0),"")</f>
        <v/>
      </c>
      <c r="Q945" t="e">
        <f t="shared" si="139"/>
        <v>#N/A</v>
      </c>
      <c r="R945" t="e">
        <f t="shared" si="140"/>
        <v>#N/A</v>
      </c>
      <c r="S945" t="e">
        <f t="shared" si="141"/>
        <v>#N/A</v>
      </c>
      <c r="T945" s="15" t="e">
        <f t="shared" si="143"/>
        <v>#N/A</v>
      </c>
      <c r="U945" s="18" t="e">
        <f t="shared" si="144"/>
        <v>#N/A</v>
      </c>
      <c r="V945" s="14" t="e">
        <f t="shared" si="142"/>
        <v>#N/A</v>
      </c>
      <c r="W945" s="19" t="e">
        <f t="shared" si="145"/>
        <v>#N/A</v>
      </c>
      <c r="X945" t="e">
        <f>VLOOKUP(P945,Close[[ID]:[CreatedBy]],8,0)</f>
        <v>#N/A</v>
      </c>
    </row>
    <row r="946" spans="2:24" x14ac:dyDescent="0.35">
      <c r="B946" t="str">
        <f>IF(NOT(ISBLANK(A946)),VLOOKUP(A946,'BBT3'!A:F,2,0),"")</f>
        <v/>
      </c>
      <c r="C946" t="str">
        <f>IF(NOT(ISBLANK(A946)),VLOOKUP(A946,'BBT3'!A:F,3,0),"")</f>
        <v/>
      </c>
      <c r="D946" s="5" t="str">
        <f>IF(NOT(ISBLANK(A946)),VLOOKUP(A946,'BBT3'!A:F,4,1),"")</f>
        <v/>
      </c>
      <c r="E946" t="str">
        <f>IF(NOT(ISBLANK(A946)),VLOOKUP(A946,'BBT3'!A:F,5,0),"")</f>
        <v/>
      </c>
      <c r="F946" t="str">
        <f>IF(NOT(ISBLANK(A946)),VLOOKUP(A946,'BBT3'!A:F,6,0),"")</f>
        <v/>
      </c>
      <c r="G946" t="str">
        <f t="shared" si="137"/>
        <v/>
      </c>
      <c r="H946" t="str">
        <f>IF(NOT(ISBLANK(A946)),VLOOKUP(A946,'Close - PriceSaver'!A:J,5,0),"")</f>
        <v/>
      </c>
      <c r="I946" s="4" t="str" cm="1">
        <f t="array" ref="I946">IF(NOT(ISBLANK(A946)),((_xlfn.XLOOKUP(1,(_bbt3[[#All],[ID]]=A946)*(_bbt3[[#All],[METRIC_NAME]]="YLD_YTM_ASK"),_bbt3[[#All],[METRIC_VALUE]])*0.5)+(_xlfn.XLOOKUP(1,(_bbt3[[#All],[ID]]=A946)*(_bbt3[[#All],[METRIC_NAME]]="YLD_YTM_BID"),_bbt3[[#All],[METRIC_VALUE]])*0.5))/100,"")</f>
        <v/>
      </c>
      <c r="J946">
        <f>IF(ISNA(VLOOKUP(A946,'CloseDL - PriceSaverBBT3'!A:E,5,0)),0,VLOOKUP(A946,'CloseDL - PriceSaverBBT3'!A:E,5,0))</f>
        <v>0</v>
      </c>
      <c r="K946" s="7" t="str">
        <f t="shared" si="138"/>
        <v/>
      </c>
      <c r="L946" s="20">
        <f>IF(Close[[#This Row],[CreatedBy]]="MARINER\SilverAdm",1,0)</f>
        <v>1</v>
      </c>
      <c r="M946" t="str">
        <f>IF(NOT(ISBLANK(A946)),VLOOKUP(A946,'Close - PriceSaver'!A:J,6,0),"")</f>
        <v/>
      </c>
      <c r="Q946" t="e">
        <f t="shared" si="139"/>
        <v>#N/A</v>
      </c>
      <c r="R946" t="e">
        <f t="shared" si="140"/>
        <v>#N/A</v>
      </c>
      <c r="S946" t="e">
        <f t="shared" si="141"/>
        <v>#N/A</v>
      </c>
      <c r="T946" s="15" t="e">
        <f t="shared" si="143"/>
        <v>#N/A</v>
      </c>
      <c r="U946" s="18" t="e">
        <f t="shared" si="144"/>
        <v>#N/A</v>
      </c>
      <c r="V946" s="14" t="e">
        <f t="shared" si="142"/>
        <v>#N/A</v>
      </c>
      <c r="W946" s="19" t="e">
        <f t="shared" si="145"/>
        <v>#N/A</v>
      </c>
      <c r="X946" t="e">
        <f>VLOOKUP(P946,Close[[ID]:[CreatedBy]],8,0)</f>
        <v>#N/A</v>
      </c>
    </row>
    <row r="947" spans="2:24" x14ac:dyDescent="0.35">
      <c r="B947" t="str">
        <f>IF(NOT(ISBLANK(A947)),VLOOKUP(A947,'BBT3'!A:F,2,0),"")</f>
        <v/>
      </c>
      <c r="C947" t="str">
        <f>IF(NOT(ISBLANK(A947)),VLOOKUP(A947,'BBT3'!A:F,3,0),"")</f>
        <v/>
      </c>
      <c r="D947" s="5" t="str">
        <f>IF(NOT(ISBLANK(A947)),VLOOKUP(A947,'BBT3'!A:F,4,1),"")</f>
        <v/>
      </c>
      <c r="E947" t="str">
        <f>IF(NOT(ISBLANK(A947)),VLOOKUP(A947,'BBT3'!A:F,5,0),"")</f>
        <v/>
      </c>
      <c r="F947" t="str">
        <f>IF(NOT(ISBLANK(A947)),VLOOKUP(A947,'BBT3'!A:F,6,0),"")</f>
        <v/>
      </c>
      <c r="G947" t="str">
        <f t="shared" si="137"/>
        <v/>
      </c>
      <c r="H947" t="str">
        <f>IF(NOT(ISBLANK(A947)),VLOOKUP(A947,'Close - PriceSaver'!A:J,5,0),"")</f>
        <v/>
      </c>
      <c r="I947" s="4" t="str" cm="1">
        <f t="array" ref="I947">IF(NOT(ISBLANK(A947)),((_xlfn.XLOOKUP(1,(_bbt3[[#All],[ID]]=A947)*(_bbt3[[#All],[METRIC_NAME]]="YLD_YTM_ASK"),_bbt3[[#All],[METRIC_VALUE]])*0.5)+(_xlfn.XLOOKUP(1,(_bbt3[[#All],[ID]]=A947)*(_bbt3[[#All],[METRIC_NAME]]="YLD_YTM_BID"),_bbt3[[#All],[METRIC_VALUE]])*0.5))/100,"")</f>
        <v/>
      </c>
      <c r="J947">
        <f>IF(ISNA(VLOOKUP(A947,'CloseDL - PriceSaverBBT3'!A:E,5,0)),0,VLOOKUP(A947,'CloseDL - PriceSaverBBT3'!A:E,5,0))</f>
        <v>0</v>
      </c>
      <c r="K947" s="7" t="str">
        <f t="shared" si="138"/>
        <v/>
      </c>
      <c r="L947" s="20">
        <f>IF(Close[[#This Row],[CreatedBy]]="MARINER\SilverAdm",1,0)</f>
        <v>1</v>
      </c>
      <c r="M947" t="str">
        <f>IF(NOT(ISBLANK(A947)),VLOOKUP(A947,'Close - PriceSaver'!A:J,6,0),"")</f>
        <v/>
      </c>
      <c r="Q947" t="e">
        <f t="shared" si="139"/>
        <v>#N/A</v>
      </c>
      <c r="R947" t="e">
        <f t="shared" si="140"/>
        <v>#N/A</v>
      </c>
      <c r="S947" t="e">
        <f t="shared" si="141"/>
        <v>#N/A</v>
      </c>
      <c r="T947" s="15" t="e">
        <f t="shared" si="143"/>
        <v>#N/A</v>
      </c>
      <c r="U947" s="18" t="e">
        <f t="shared" si="144"/>
        <v>#N/A</v>
      </c>
      <c r="V947" s="14" t="e">
        <f t="shared" si="142"/>
        <v>#N/A</v>
      </c>
      <c r="W947" s="19" t="e">
        <f t="shared" si="145"/>
        <v>#N/A</v>
      </c>
      <c r="X947" t="e">
        <f>VLOOKUP(P947,Close[[ID]:[CreatedBy]],8,0)</f>
        <v>#N/A</v>
      </c>
    </row>
    <row r="948" spans="2:24" x14ac:dyDescent="0.35">
      <c r="B948" t="str">
        <f>IF(NOT(ISBLANK(A948)),VLOOKUP(A948,'BBT3'!A:F,2,0),"")</f>
        <v/>
      </c>
      <c r="C948" t="str">
        <f>IF(NOT(ISBLANK(A948)),VLOOKUP(A948,'BBT3'!A:F,3,0),"")</f>
        <v/>
      </c>
      <c r="D948" s="5" t="str">
        <f>IF(NOT(ISBLANK(A948)),VLOOKUP(A948,'BBT3'!A:F,4,1),"")</f>
        <v/>
      </c>
      <c r="E948" t="str">
        <f>IF(NOT(ISBLANK(A948)),VLOOKUP(A948,'BBT3'!A:F,5,0),"")</f>
        <v/>
      </c>
      <c r="F948" t="str">
        <f>IF(NOT(ISBLANK(A948)),VLOOKUP(A948,'BBT3'!A:F,6,0),"")</f>
        <v/>
      </c>
      <c r="G948" t="str">
        <f t="shared" si="137"/>
        <v/>
      </c>
      <c r="H948" t="str">
        <f>IF(NOT(ISBLANK(A948)),VLOOKUP(A948,'Close - PriceSaver'!A:J,5,0),"")</f>
        <v/>
      </c>
      <c r="I948" s="4" t="str" cm="1">
        <f t="array" ref="I948">IF(NOT(ISBLANK(A948)),((_xlfn.XLOOKUP(1,(_bbt3[[#All],[ID]]=A948)*(_bbt3[[#All],[METRIC_NAME]]="YLD_YTM_ASK"),_bbt3[[#All],[METRIC_VALUE]])*0.5)+(_xlfn.XLOOKUP(1,(_bbt3[[#All],[ID]]=A948)*(_bbt3[[#All],[METRIC_NAME]]="YLD_YTM_BID"),_bbt3[[#All],[METRIC_VALUE]])*0.5))/100,"")</f>
        <v/>
      </c>
      <c r="J948">
        <f>IF(ISNA(VLOOKUP(A948,'CloseDL - PriceSaverBBT3'!A:E,5,0)),0,VLOOKUP(A948,'CloseDL - PriceSaverBBT3'!A:E,5,0))</f>
        <v>0</v>
      </c>
      <c r="K948" s="7" t="str">
        <f t="shared" si="138"/>
        <v/>
      </c>
      <c r="L948" s="20">
        <f>IF(Close[[#This Row],[CreatedBy]]="MARINER\SilverAdm",1,0)</f>
        <v>1</v>
      </c>
      <c r="M948" t="str">
        <f>IF(NOT(ISBLANK(A948)),VLOOKUP(A948,'Close - PriceSaver'!A:J,6,0),"")</f>
        <v/>
      </c>
      <c r="Q948" t="e">
        <f t="shared" si="139"/>
        <v>#N/A</v>
      </c>
      <c r="R948" t="e">
        <f t="shared" si="140"/>
        <v>#N/A</v>
      </c>
      <c r="S948" t="e">
        <f t="shared" si="141"/>
        <v>#N/A</v>
      </c>
      <c r="T948" s="15" t="e">
        <f t="shared" si="143"/>
        <v>#N/A</v>
      </c>
      <c r="U948" s="18" t="e">
        <f t="shared" si="144"/>
        <v>#N/A</v>
      </c>
      <c r="V948" s="14" t="e">
        <f t="shared" si="142"/>
        <v>#N/A</v>
      </c>
      <c r="W948" s="19" t="e">
        <f t="shared" si="145"/>
        <v>#N/A</v>
      </c>
      <c r="X948" t="e">
        <f>VLOOKUP(P948,Close[[ID]:[CreatedBy]],8,0)</f>
        <v>#N/A</v>
      </c>
    </row>
    <row r="949" spans="2:24" x14ac:dyDescent="0.35">
      <c r="B949" t="str">
        <f>IF(NOT(ISBLANK(A949)),VLOOKUP(A949,'BBT3'!A:F,2,0),"")</f>
        <v/>
      </c>
      <c r="C949" t="str">
        <f>IF(NOT(ISBLANK(A949)),VLOOKUP(A949,'BBT3'!A:F,3,0),"")</f>
        <v/>
      </c>
      <c r="D949" s="5" t="str">
        <f>IF(NOT(ISBLANK(A949)),VLOOKUP(A949,'BBT3'!A:F,4,1),"")</f>
        <v/>
      </c>
      <c r="E949" t="str">
        <f>IF(NOT(ISBLANK(A949)),VLOOKUP(A949,'BBT3'!A:F,5,0),"")</f>
        <v/>
      </c>
      <c r="F949" t="str">
        <f>IF(NOT(ISBLANK(A949)),VLOOKUP(A949,'BBT3'!A:F,6,0),"")</f>
        <v/>
      </c>
      <c r="G949" t="str">
        <f t="shared" si="137"/>
        <v/>
      </c>
      <c r="H949" t="str">
        <f>IF(NOT(ISBLANK(A949)),VLOOKUP(A949,'Close - PriceSaver'!A:J,5,0),"")</f>
        <v/>
      </c>
      <c r="I949" s="4" t="str" cm="1">
        <f t="array" ref="I949">IF(NOT(ISBLANK(A949)),((_xlfn.XLOOKUP(1,(_bbt3[[#All],[ID]]=A949)*(_bbt3[[#All],[METRIC_NAME]]="YLD_YTM_ASK"),_bbt3[[#All],[METRIC_VALUE]])*0.5)+(_xlfn.XLOOKUP(1,(_bbt3[[#All],[ID]]=A949)*(_bbt3[[#All],[METRIC_NAME]]="YLD_YTM_BID"),_bbt3[[#All],[METRIC_VALUE]])*0.5))/100,"")</f>
        <v/>
      </c>
      <c r="J949">
        <f>IF(ISNA(VLOOKUP(A949,'CloseDL - PriceSaverBBT3'!A:E,5,0)),0,VLOOKUP(A949,'CloseDL - PriceSaverBBT3'!A:E,5,0))</f>
        <v>0</v>
      </c>
      <c r="K949" s="7" t="str">
        <f t="shared" si="138"/>
        <v/>
      </c>
      <c r="L949" s="20">
        <f>IF(Close[[#This Row],[CreatedBy]]="MARINER\SilverAdm",1,0)</f>
        <v>1</v>
      </c>
      <c r="M949" t="str">
        <f>IF(NOT(ISBLANK(A949)),VLOOKUP(A949,'Close - PriceSaver'!A:J,6,0),"")</f>
        <v/>
      </c>
      <c r="Q949" t="e">
        <f t="shared" si="139"/>
        <v>#N/A</v>
      </c>
      <c r="R949" t="e">
        <f t="shared" si="140"/>
        <v>#N/A</v>
      </c>
      <c r="S949" t="e">
        <f t="shared" si="141"/>
        <v>#N/A</v>
      </c>
      <c r="T949" s="15" t="e">
        <f t="shared" si="143"/>
        <v>#N/A</v>
      </c>
      <c r="U949" s="18" t="e">
        <f t="shared" si="144"/>
        <v>#N/A</v>
      </c>
      <c r="V949" s="14" t="e">
        <f t="shared" si="142"/>
        <v>#N/A</v>
      </c>
      <c r="W949" s="19" t="e">
        <f t="shared" si="145"/>
        <v>#N/A</v>
      </c>
      <c r="X949" t="e">
        <f>VLOOKUP(P949,Close[[ID]:[CreatedBy]],8,0)</f>
        <v>#N/A</v>
      </c>
    </row>
    <row r="950" spans="2:24" x14ac:dyDescent="0.35">
      <c r="B950" t="str">
        <f>IF(NOT(ISBLANK(A950)),VLOOKUP(A950,'BBT3'!A:F,2,0),"")</f>
        <v/>
      </c>
      <c r="C950" t="str">
        <f>IF(NOT(ISBLANK(A950)),VLOOKUP(A950,'BBT3'!A:F,3,0),"")</f>
        <v/>
      </c>
      <c r="D950" s="5" t="str">
        <f>IF(NOT(ISBLANK(A950)),VLOOKUP(A950,'BBT3'!A:F,4,1),"")</f>
        <v/>
      </c>
      <c r="E950" t="str">
        <f>IF(NOT(ISBLANK(A950)),VLOOKUP(A950,'BBT3'!A:F,5,0),"")</f>
        <v/>
      </c>
      <c r="F950" t="str">
        <f>IF(NOT(ISBLANK(A950)),VLOOKUP(A950,'BBT3'!A:F,6,0),"")</f>
        <v/>
      </c>
      <c r="G950" t="str">
        <f t="shared" si="137"/>
        <v/>
      </c>
      <c r="H950" t="str">
        <f>IF(NOT(ISBLANK(A950)),VLOOKUP(A950,'Close - PriceSaver'!A:J,5,0),"")</f>
        <v/>
      </c>
      <c r="I950" s="4" t="str" cm="1">
        <f t="array" ref="I950">IF(NOT(ISBLANK(A950)),((_xlfn.XLOOKUP(1,(_bbt3[[#All],[ID]]=A950)*(_bbt3[[#All],[METRIC_NAME]]="YLD_YTM_ASK"),_bbt3[[#All],[METRIC_VALUE]])*0.5)+(_xlfn.XLOOKUP(1,(_bbt3[[#All],[ID]]=A950)*(_bbt3[[#All],[METRIC_NAME]]="YLD_YTM_BID"),_bbt3[[#All],[METRIC_VALUE]])*0.5))/100,"")</f>
        <v/>
      </c>
      <c r="J950">
        <f>IF(ISNA(VLOOKUP(A950,'CloseDL - PriceSaverBBT3'!A:E,5,0)),0,VLOOKUP(A950,'CloseDL - PriceSaverBBT3'!A:E,5,0))</f>
        <v>0</v>
      </c>
      <c r="K950" s="7" t="str">
        <f t="shared" si="138"/>
        <v/>
      </c>
      <c r="L950" s="20">
        <f>IF(Close[[#This Row],[CreatedBy]]="MARINER\SilverAdm",1,0)</f>
        <v>1</v>
      </c>
      <c r="M950" t="str">
        <f>IF(NOT(ISBLANK(A950)),VLOOKUP(A950,'Close - PriceSaver'!A:J,6,0),"")</f>
        <v/>
      </c>
      <c r="Q950" t="e">
        <f t="shared" si="139"/>
        <v>#N/A</v>
      </c>
      <c r="R950" t="e">
        <f t="shared" si="140"/>
        <v>#N/A</v>
      </c>
      <c r="S950" t="e">
        <f t="shared" si="141"/>
        <v>#N/A</v>
      </c>
      <c r="T950" s="15" t="e">
        <f t="shared" si="143"/>
        <v>#N/A</v>
      </c>
      <c r="U950" s="18" t="e">
        <f t="shared" si="144"/>
        <v>#N/A</v>
      </c>
      <c r="V950" s="14" t="e">
        <f t="shared" si="142"/>
        <v>#N/A</v>
      </c>
      <c r="W950" s="19" t="e">
        <f t="shared" si="145"/>
        <v>#N/A</v>
      </c>
      <c r="X950" t="e">
        <f>VLOOKUP(P950,Close[[ID]:[CreatedBy]],8,0)</f>
        <v>#N/A</v>
      </c>
    </row>
    <row r="951" spans="2:24" x14ac:dyDescent="0.35">
      <c r="B951" t="str">
        <f>IF(NOT(ISBLANK(A951)),VLOOKUP(A951,'BBT3'!A:F,2,0),"")</f>
        <v/>
      </c>
      <c r="C951" t="str">
        <f>IF(NOT(ISBLANK(A951)),VLOOKUP(A951,'BBT3'!A:F,3,0),"")</f>
        <v/>
      </c>
      <c r="D951" s="5" t="str">
        <f>IF(NOT(ISBLANK(A951)),VLOOKUP(A951,'BBT3'!A:F,4,1),"")</f>
        <v/>
      </c>
      <c r="E951" t="str">
        <f>IF(NOT(ISBLANK(A951)),VLOOKUP(A951,'BBT3'!A:F,5,0),"")</f>
        <v/>
      </c>
      <c r="F951" t="str">
        <f>IF(NOT(ISBLANK(A951)),VLOOKUP(A951,'BBT3'!A:F,6,0),"")</f>
        <v/>
      </c>
      <c r="G951" t="str">
        <f t="shared" si="137"/>
        <v/>
      </c>
      <c r="H951" t="str">
        <f>IF(NOT(ISBLANK(A951)),VLOOKUP(A951,'Close - PriceSaver'!A:J,5,0),"")</f>
        <v/>
      </c>
      <c r="I951" s="4" t="str" cm="1">
        <f t="array" ref="I951">IF(NOT(ISBLANK(A951)),((_xlfn.XLOOKUP(1,(_bbt3[[#All],[ID]]=A951)*(_bbt3[[#All],[METRIC_NAME]]="YLD_YTM_ASK"),_bbt3[[#All],[METRIC_VALUE]])*0.5)+(_xlfn.XLOOKUP(1,(_bbt3[[#All],[ID]]=A951)*(_bbt3[[#All],[METRIC_NAME]]="YLD_YTM_BID"),_bbt3[[#All],[METRIC_VALUE]])*0.5))/100,"")</f>
        <v/>
      </c>
      <c r="J951">
        <f>IF(ISNA(VLOOKUP(A951,'CloseDL - PriceSaverBBT3'!A:E,5,0)),0,VLOOKUP(A951,'CloseDL - PriceSaverBBT3'!A:E,5,0))</f>
        <v>0</v>
      </c>
      <c r="K951" s="7" t="str">
        <f t="shared" si="138"/>
        <v/>
      </c>
      <c r="L951" s="20">
        <f>IF(Close[[#This Row],[CreatedBy]]="MARINER\SilverAdm",1,0)</f>
        <v>1</v>
      </c>
      <c r="M951" t="str">
        <f>IF(NOT(ISBLANK(A951)),VLOOKUP(A951,'Close - PriceSaver'!A:J,6,0),"")</f>
        <v/>
      </c>
      <c r="Q951" t="e">
        <f t="shared" si="139"/>
        <v>#N/A</v>
      </c>
      <c r="R951" t="e">
        <f t="shared" si="140"/>
        <v>#N/A</v>
      </c>
      <c r="S951" t="e">
        <f t="shared" si="141"/>
        <v>#N/A</v>
      </c>
      <c r="T951" s="15" t="e">
        <f t="shared" si="143"/>
        <v>#N/A</v>
      </c>
      <c r="U951" s="18" t="e">
        <f t="shared" si="144"/>
        <v>#N/A</v>
      </c>
      <c r="V951" s="14" t="e">
        <f t="shared" si="142"/>
        <v>#N/A</v>
      </c>
      <c r="W951" s="19" t="e">
        <f t="shared" si="145"/>
        <v>#N/A</v>
      </c>
      <c r="X951" t="e">
        <f>VLOOKUP(P951,Close[[ID]:[CreatedBy]],8,0)</f>
        <v>#N/A</v>
      </c>
    </row>
    <row r="952" spans="2:24" x14ac:dyDescent="0.35">
      <c r="B952" t="str">
        <f>IF(NOT(ISBLANK(A952)),VLOOKUP(A952,'BBT3'!A:F,2,0),"")</f>
        <v/>
      </c>
      <c r="C952" t="str">
        <f>IF(NOT(ISBLANK(A952)),VLOOKUP(A952,'BBT3'!A:F,3,0),"")</f>
        <v/>
      </c>
      <c r="D952" s="5" t="str">
        <f>IF(NOT(ISBLANK(A952)),VLOOKUP(A952,'BBT3'!A:F,4,1),"")</f>
        <v/>
      </c>
      <c r="E952" t="str">
        <f>IF(NOT(ISBLANK(A952)),VLOOKUP(A952,'BBT3'!A:F,5,0),"")</f>
        <v/>
      </c>
      <c r="F952" t="str">
        <f>IF(NOT(ISBLANK(A952)),VLOOKUP(A952,'BBT3'!A:F,6,0),"")</f>
        <v/>
      </c>
      <c r="G952" t="str">
        <f t="shared" si="137"/>
        <v/>
      </c>
      <c r="H952" t="str">
        <f>IF(NOT(ISBLANK(A952)),VLOOKUP(A952,'Close - PriceSaver'!A:J,5,0),"")</f>
        <v/>
      </c>
      <c r="I952" s="4" t="str" cm="1">
        <f t="array" ref="I952">IF(NOT(ISBLANK(A952)),((_xlfn.XLOOKUP(1,(_bbt3[[#All],[ID]]=A952)*(_bbt3[[#All],[METRIC_NAME]]="YLD_YTM_ASK"),_bbt3[[#All],[METRIC_VALUE]])*0.5)+(_xlfn.XLOOKUP(1,(_bbt3[[#All],[ID]]=A952)*(_bbt3[[#All],[METRIC_NAME]]="YLD_YTM_BID"),_bbt3[[#All],[METRIC_VALUE]])*0.5))/100,"")</f>
        <v/>
      </c>
      <c r="J952">
        <f>IF(ISNA(VLOOKUP(A952,'CloseDL - PriceSaverBBT3'!A:E,5,0)),0,VLOOKUP(A952,'CloseDL - PriceSaverBBT3'!A:E,5,0))</f>
        <v>0</v>
      </c>
      <c r="K952" s="7" t="str">
        <f t="shared" si="138"/>
        <v/>
      </c>
      <c r="L952" s="20">
        <f>IF(Close[[#This Row],[CreatedBy]]="MARINER\SilverAdm",1,0)</f>
        <v>1</v>
      </c>
      <c r="M952" t="str">
        <f>IF(NOT(ISBLANK(A952)),VLOOKUP(A952,'Close - PriceSaver'!A:J,6,0),"")</f>
        <v/>
      </c>
      <c r="Q952" t="e">
        <f t="shared" si="139"/>
        <v>#N/A</v>
      </c>
      <c r="R952" t="e">
        <f t="shared" si="140"/>
        <v>#N/A</v>
      </c>
      <c r="S952" t="e">
        <f t="shared" si="141"/>
        <v>#N/A</v>
      </c>
      <c r="T952" s="15" t="e">
        <f t="shared" si="143"/>
        <v>#N/A</v>
      </c>
      <c r="U952" s="18" t="e">
        <f t="shared" si="144"/>
        <v>#N/A</v>
      </c>
      <c r="V952" s="14" t="e">
        <f t="shared" si="142"/>
        <v>#N/A</v>
      </c>
      <c r="W952" s="19" t="e">
        <f t="shared" si="145"/>
        <v>#N/A</v>
      </c>
      <c r="X952" t="e">
        <f>VLOOKUP(P952,Close[[ID]:[CreatedBy]],8,0)</f>
        <v>#N/A</v>
      </c>
    </row>
    <row r="953" spans="2:24" x14ac:dyDescent="0.35">
      <c r="B953" t="str">
        <f>IF(NOT(ISBLANK(A953)),VLOOKUP(A953,'BBT3'!A:F,2,0),"")</f>
        <v/>
      </c>
      <c r="C953" t="str">
        <f>IF(NOT(ISBLANK(A953)),VLOOKUP(A953,'BBT3'!A:F,3,0),"")</f>
        <v/>
      </c>
      <c r="D953" s="5" t="str">
        <f>IF(NOT(ISBLANK(A953)),VLOOKUP(A953,'BBT3'!A:F,4,1),"")</f>
        <v/>
      </c>
      <c r="E953" t="str">
        <f>IF(NOT(ISBLANK(A953)),VLOOKUP(A953,'BBT3'!A:F,5,0),"")</f>
        <v/>
      </c>
      <c r="F953" t="str">
        <f>IF(NOT(ISBLANK(A953)),VLOOKUP(A953,'BBT3'!A:F,6,0),"")</f>
        <v/>
      </c>
      <c r="G953" t="str">
        <f t="shared" si="137"/>
        <v/>
      </c>
      <c r="H953" t="str">
        <f>IF(NOT(ISBLANK(A953)),VLOOKUP(A953,'Close - PriceSaver'!A:J,5,0),"")</f>
        <v/>
      </c>
      <c r="I953" s="4" t="str" cm="1">
        <f t="array" ref="I953">IF(NOT(ISBLANK(A953)),((_xlfn.XLOOKUP(1,(_bbt3[[#All],[ID]]=A953)*(_bbt3[[#All],[METRIC_NAME]]="YLD_YTM_ASK"),_bbt3[[#All],[METRIC_VALUE]])*0.5)+(_xlfn.XLOOKUP(1,(_bbt3[[#All],[ID]]=A953)*(_bbt3[[#All],[METRIC_NAME]]="YLD_YTM_BID"),_bbt3[[#All],[METRIC_VALUE]])*0.5))/100,"")</f>
        <v/>
      </c>
      <c r="J953">
        <f>IF(ISNA(VLOOKUP(A953,'CloseDL - PriceSaverBBT3'!A:E,5,0)),0,VLOOKUP(A953,'CloseDL - PriceSaverBBT3'!A:E,5,0))</f>
        <v>0</v>
      </c>
      <c r="K953" s="7" t="str">
        <f t="shared" si="138"/>
        <v/>
      </c>
      <c r="L953" s="20">
        <f>IF(Close[[#This Row],[CreatedBy]]="MARINER\SilverAdm",1,0)</f>
        <v>1</v>
      </c>
      <c r="M953" t="str">
        <f>IF(NOT(ISBLANK(A953)),VLOOKUP(A953,'Close - PriceSaver'!A:J,6,0),"")</f>
        <v/>
      </c>
      <c r="Q953" t="e">
        <f t="shared" si="139"/>
        <v>#N/A</v>
      </c>
      <c r="R953" t="e">
        <f t="shared" si="140"/>
        <v>#N/A</v>
      </c>
      <c r="S953" t="e">
        <f t="shared" si="141"/>
        <v>#N/A</v>
      </c>
      <c r="T953" s="15" t="e">
        <f t="shared" si="143"/>
        <v>#N/A</v>
      </c>
      <c r="U953" s="18" t="e">
        <f t="shared" si="144"/>
        <v>#N/A</v>
      </c>
      <c r="V953" s="14" t="e">
        <f t="shared" si="142"/>
        <v>#N/A</v>
      </c>
      <c r="W953" s="19" t="e">
        <f t="shared" si="145"/>
        <v>#N/A</v>
      </c>
      <c r="X953" t="e">
        <f>VLOOKUP(P953,Close[[ID]:[CreatedBy]],8,0)</f>
        <v>#N/A</v>
      </c>
    </row>
    <row r="954" spans="2:24" x14ac:dyDescent="0.35">
      <c r="B954" t="str">
        <f>IF(NOT(ISBLANK(A954)),VLOOKUP(A954,'BBT3'!A:F,2,0),"")</f>
        <v/>
      </c>
      <c r="C954" t="str">
        <f>IF(NOT(ISBLANK(A954)),VLOOKUP(A954,'BBT3'!A:F,3,0),"")</f>
        <v/>
      </c>
      <c r="D954" s="5" t="str">
        <f>IF(NOT(ISBLANK(A954)),VLOOKUP(A954,'BBT3'!A:F,4,1),"")</f>
        <v/>
      </c>
      <c r="E954" t="str">
        <f>IF(NOT(ISBLANK(A954)),VLOOKUP(A954,'BBT3'!A:F,5,0),"")</f>
        <v/>
      </c>
      <c r="F954" t="str">
        <f>IF(NOT(ISBLANK(A954)),VLOOKUP(A954,'BBT3'!A:F,6,0),"")</f>
        <v/>
      </c>
      <c r="G954" t="str">
        <f t="shared" si="137"/>
        <v/>
      </c>
      <c r="H954" t="str">
        <f>IF(NOT(ISBLANK(A954)),VLOOKUP(A954,'Close - PriceSaver'!A:J,5,0),"")</f>
        <v/>
      </c>
      <c r="I954" s="4" t="str" cm="1">
        <f t="array" ref="I954">IF(NOT(ISBLANK(A954)),((_xlfn.XLOOKUP(1,(_bbt3[[#All],[ID]]=A954)*(_bbt3[[#All],[METRIC_NAME]]="YLD_YTM_ASK"),_bbt3[[#All],[METRIC_VALUE]])*0.5)+(_xlfn.XLOOKUP(1,(_bbt3[[#All],[ID]]=A954)*(_bbt3[[#All],[METRIC_NAME]]="YLD_YTM_BID"),_bbt3[[#All],[METRIC_VALUE]])*0.5))/100,"")</f>
        <v/>
      </c>
      <c r="J954">
        <f>IF(ISNA(VLOOKUP(A954,'CloseDL - PriceSaverBBT3'!A:E,5,0)),0,VLOOKUP(A954,'CloseDL - PriceSaverBBT3'!A:E,5,0))</f>
        <v>0</v>
      </c>
      <c r="K954" s="7" t="str">
        <f t="shared" si="138"/>
        <v/>
      </c>
      <c r="L954" s="20">
        <f>IF(Close[[#This Row],[CreatedBy]]="MARINER\SilverAdm",1,0)</f>
        <v>1</v>
      </c>
      <c r="M954" t="str">
        <f>IF(NOT(ISBLANK(A954)),VLOOKUP(A954,'Close - PriceSaver'!A:J,6,0),"")</f>
        <v/>
      </c>
      <c r="Q954" t="e">
        <f t="shared" si="139"/>
        <v>#N/A</v>
      </c>
      <c r="R954" t="e">
        <f t="shared" si="140"/>
        <v>#N/A</v>
      </c>
      <c r="S954" t="e">
        <f t="shared" si="141"/>
        <v>#N/A</v>
      </c>
      <c r="T954" s="15" t="e">
        <f t="shared" si="143"/>
        <v>#N/A</v>
      </c>
      <c r="U954" s="18" t="e">
        <f t="shared" si="144"/>
        <v>#N/A</v>
      </c>
      <c r="V954" s="14" t="e">
        <f t="shared" si="142"/>
        <v>#N/A</v>
      </c>
      <c r="W954" s="19" t="e">
        <f t="shared" si="145"/>
        <v>#N/A</v>
      </c>
      <c r="X954" t="e">
        <f>VLOOKUP(P954,Close[[ID]:[CreatedBy]],8,0)</f>
        <v>#N/A</v>
      </c>
    </row>
    <row r="955" spans="2:24" x14ac:dyDescent="0.35">
      <c r="B955" t="str">
        <f>IF(NOT(ISBLANK(A955)),VLOOKUP(A955,'BBT3'!A:F,2,0),"")</f>
        <v/>
      </c>
      <c r="C955" t="str">
        <f>IF(NOT(ISBLANK(A955)),VLOOKUP(A955,'BBT3'!A:F,3,0),"")</f>
        <v/>
      </c>
      <c r="D955" s="5" t="str">
        <f>IF(NOT(ISBLANK(A955)),VLOOKUP(A955,'BBT3'!A:F,4,1),"")</f>
        <v/>
      </c>
      <c r="E955" t="str">
        <f>IF(NOT(ISBLANK(A955)),VLOOKUP(A955,'BBT3'!A:F,5,0),"")</f>
        <v/>
      </c>
      <c r="F955" t="str">
        <f>IF(NOT(ISBLANK(A955)),VLOOKUP(A955,'BBT3'!A:F,6,0),"")</f>
        <v/>
      </c>
      <c r="G955" t="str">
        <f t="shared" si="137"/>
        <v/>
      </c>
      <c r="H955" t="str">
        <f>IF(NOT(ISBLANK(A955)),VLOOKUP(A955,'Close - PriceSaver'!A:J,5,0),"")</f>
        <v/>
      </c>
      <c r="I955" s="4" t="str" cm="1">
        <f t="array" ref="I955">IF(NOT(ISBLANK(A955)),((_xlfn.XLOOKUP(1,(_bbt3[[#All],[ID]]=A955)*(_bbt3[[#All],[METRIC_NAME]]="YLD_YTM_ASK"),_bbt3[[#All],[METRIC_VALUE]])*0.5)+(_xlfn.XLOOKUP(1,(_bbt3[[#All],[ID]]=A955)*(_bbt3[[#All],[METRIC_NAME]]="YLD_YTM_BID"),_bbt3[[#All],[METRIC_VALUE]])*0.5))/100,"")</f>
        <v/>
      </c>
      <c r="J955">
        <f>IF(ISNA(VLOOKUP(A955,'CloseDL - PriceSaverBBT3'!A:E,5,0)),0,VLOOKUP(A955,'CloseDL - PriceSaverBBT3'!A:E,5,0))</f>
        <v>0</v>
      </c>
      <c r="K955" s="7" t="str">
        <f t="shared" si="138"/>
        <v/>
      </c>
      <c r="L955" s="20">
        <f>IF(Close[[#This Row],[CreatedBy]]="MARINER\SilverAdm",1,0)</f>
        <v>1</v>
      </c>
      <c r="M955" t="str">
        <f>IF(NOT(ISBLANK(A955)),VLOOKUP(A955,'Close - PriceSaver'!A:J,6,0),"")</f>
        <v/>
      </c>
      <c r="Q955" t="e">
        <f t="shared" si="139"/>
        <v>#N/A</v>
      </c>
      <c r="R955" t="e">
        <f t="shared" si="140"/>
        <v>#N/A</v>
      </c>
      <c r="S955" t="e">
        <f t="shared" si="141"/>
        <v>#N/A</v>
      </c>
      <c r="T955" s="15" t="e">
        <f t="shared" si="143"/>
        <v>#N/A</v>
      </c>
      <c r="U955" s="18" t="e">
        <f t="shared" si="144"/>
        <v>#N/A</v>
      </c>
      <c r="V955" s="14" t="e">
        <f t="shared" si="142"/>
        <v>#N/A</v>
      </c>
      <c r="W955" s="19" t="e">
        <f t="shared" si="145"/>
        <v>#N/A</v>
      </c>
      <c r="X955" t="e">
        <f>VLOOKUP(P955,Close[[ID]:[CreatedBy]],8,0)</f>
        <v>#N/A</v>
      </c>
    </row>
    <row r="956" spans="2:24" x14ac:dyDescent="0.35">
      <c r="B956" t="str">
        <f>IF(NOT(ISBLANK(A956)),VLOOKUP(A956,'BBT3'!A:F,2,0),"")</f>
        <v/>
      </c>
      <c r="C956" t="str">
        <f>IF(NOT(ISBLANK(A956)),VLOOKUP(A956,'BBT3'!A:F,3,0),"")</f>
        <v/>
      </c>
      <c r="D956" s="5" t="str">
        <f>IF(NOT(ISBLANK(A956)),VLOOKUP(A956,'BBT3'!A:F,4,1),"")</f>
        <v/>
      </c>
      <c r="E956" t="str">
        <f>IF(NOT(ISBLANK(A956)),VLOOKUP(A956,'BBT3'!A:F,5,0),"")</f>
        <v/>
      </c>
      <c r="F956" t="str">
        <f>IF(NOT(ISBLANK(A956)),VLOOKUP(A956,'BBT3'!A:F,6,0),"")</f>
        <v/>
      </c>
      <c r="G956" t="str">
        <f t="shared" si="137"/>
        <v/>
      </c>
      <c r="H956" t="str">
        <f>IF(NOT(ISBLANK(A956)),VLOOKUP(A956,'Close - PriceSaver'!A:J,5,0),"")</f>
        <v/>
      </c>
      <c r="I956" s="4" t="str" cm="1">
        <f t="array" ref="I956">IF(NOT(ISBLANK(A956)),((_xlfn.XLOOKUP(1,(_bbt3[[#All],[ID]]=A956)*(_bbt3[[#All],[METRIC_NAME]]="YLD_YTM_ASK"),_bbt3[[#All],[METRIC_VALUE]])*0.5)+(_xlfn.XLOOKUP(1,(_bbt3[[#All],[ID]]=A956)*(_bbt3[[#All],[METRIC_NAME]]="YLD_YTM_BID"),_bbt3[[#All],[METRIC_VALUE]])*0.5))/100,"")</f>
        <v/>
      </c>
      <c r="J956">
        <f>IF(ISNA(VLOOKUP(A956,'CloseDL - PriceSaverBBT3'!A:E,5,0)),0,VLOOKUP(A956,'CloseDL - PriceSaverBBT3'!A:E,5,0))</f>
        <v>0</v>
      </c>
      <c r="K956" s="7" t="str">
        <f t="shared" si="138"/>
        <v/>
      </c>
      <c r="L956" s="20">
        <f>IF(Close[[#This Row],[CreatedBy]]="MARINER\SilverAdm",1,0)</f>
        <v>1</v>
      </c>
      <c r="M956" t="str">
        <f>IF(NOT(ISBLANK(A956)),VLOOKUP(A956,'Close - PriceSaver'!A:J,6,0),"")</f>
        <v/>
      </c>
      <c r="Q956" t="e">
        <f t="shared" si="139"/>
        <v>#N/A</v>
      </c>
      <c r="R956" t="e">
        <f t="shared" si="140"/>
        <v>#N/A</v>
      </c>
      <c r="S956" t="e">
        <f t="shared" si="141"/>
        <v>#N/A</v>
      </c>
      <c r="T956" s="15" t="e">
        <f t="shared" si="143"/>
        <v>#N/A</v>
      </c>
      <c r="U956" s="18" t="e">
        <f t="shared" si="144"/>
        <v>#N/A</v>
      </c>
      <c r="V956" s="14" t="e">
        <f t="shared" si="142"/>
        <v>#N/A</v>
      </c>
      <c r="W956" s="19" t="e">
        <f t="shared" si="145"/>
        <v>#N/A</v>
      </c>
      <c r="X956" t="e">
        <f>VLOOKUP(P956,Close[[ID]:[CreatedBy]],8,0)</f>
        <v>#N/A</v>
      </c>
    </row>
    <row r="957" spans="2:24" x14ac:dyDescent="0.35">
      <c r="B957" t="str">
        <f>IF(NOT(ISBLANK(A957)),VLOOKUP(A957,'BBT3'!A:F,2,0),"")</f>
        <v/>
      </c>
      <c r="C957" t="str">
        <f>IF(NOT(ISBLANK(A957)),VLOOKUP(A957,'BBT3'!A:F,3,0),"")</f>
        <v/>
      </c>
      <c r="D957" s="5" t="str">
        <f>IF(NOT(ISBLANK(A957)),VLOOKUP(A957,'BBT3'!A:F,4,1),"")</f>
        <v/>
      </c>
      <c r="E957" t="str">
        <f>IF(NOT(ISBLANK(A957)),VLOOKUP(A957,'BBT3'!A:F,5,0),"")</f>
        <v/>
      </c>
      <c r="F957" t="str">
        <f>IF(NOT(ISBLANK(A957)),VLOOKUP(A957,'BBT3'!A:F,6,0),"")</f>
        <v/>
      </c>
      <c r="G957" t="str">
        <f t="shared" si="137"/>
        <v/>
      </c>
      <c r="H957" t="str">
        <f>IF(NOT(ISBLANK(A957)),VLOOKUP(A957,'Close - PriceSaver'!A:J,5,0),"")</f>
        <v/>
      </c>
      <c r="I957" s="4" t="str" cm="1">
        <f t="array" ref="I957">IF(NOT(ISBLANK(A957)),((_xlfn.XLOOKUP(1,(_bbt3[[#All],[ID]]=A957)*(_bbt3[[#All],[METRIC_NAME]]="YLD_YTM_ASK"),_bbt3[[#All],[METRIC_VALUE]])*0.5)+(_xlfn.XLOOKUP(1,(_bbt3[[#All],[ID]]=A957)*(_bbt3[[#All],[METRIC_NAME]]="YLD_YTM_BID"),_bbt3[[#All],[METRIC_VALUE]])*0.5))/100,"")</f>
        <v/>
      </c>
      <c r="J957">
        <f>IF(ISNA(VLOOKUP(A957,'CloseDL - PriceSaverBBT3'!A:E,5,0)),0,VLOOKUP(A957,'CloseDL - PriceSaverBBT3'!A:E,5,0))</f>
        <v>0</v>
      </c>
      <c r="K957" s="7" t="str">
        <f t="shared" si="138"/>
        <v/>
      </c>
      <c r="L957" s="20">
        <f>IF(Close[[#This Row],[CreatedBy]]="MARINER\SilverAdm",1,0)</f>
        <v>1</v>
      </c>
      <c r="M957" t="str">
        <f>IF(NOT(ISBLANK(A957)),VLOOKUP(A957,'Close - PriceSaver'!A:J,6,0),"")</f>
        <v/>
      </c>
      <c r="Q957" t="e">
        <f t="shared" si="139"/>
        <v>#N/A</v>
      </c>
      <c r="R957" t="e">
        <f t="shared" si="140"/>
        <v>#N/A</v>
      </c>
      <c r="S957" t="e">
        <f t="shared" si="141"/>
        <v>#N/A</v>
      </c>
      <c r="T957" s="15" t="e">
        <f t="shared" si="143"/>
        <v>#N/A</v>
      </c>
      <c r="U957" s="18" t="e">
        <f t="shared" si="144"/>
        <v>#N/A</v>
      </c>
      <c r="V957" s="14" t="e">
        <f t="shared" si="142"/>
        <v>#N/A</v>
      </c>
      <c r="W957" s="19" t="e">
        <f t="shared" si="145"/>
        <v>#N/A</v>
      </c>
      <c r="X957" t="e">
        <f>VLOOKUP(P957,Close[[ID]:[CreatedBy]],8,0)</f>
        <v>#N/A</v>
      </c>
    </row>
    <row r="958" spans="2:24" x14ac:dyDescent="0.35">
      <c r="B958" t="str">
        <f>IF(NOT(ISBLANK(A958)),VLOOKUP(A958,'BBT3'!A:F,2,0),"")</f>
        <v/>
      </c>
      <c r="C958" t="str">
        <f>IF(NOT(ISBLANK(A958)),VLOOKUP(A958,'BBT3'!A:F,3,0),"")</f>
        <v/>
      </c>
      <c r="D958" s="5" t="str">
        <f>IF(NOT(ISBLANK(A958)),VLOOKUP(A958,'BBT3'!A:F,4,1),"")</f>
        <v/>
      </c>
      <c r="E958" t="str">
        <f>IF(NOT(ISBLANK(A958)),VLOOKUP(A958,'BBT3'!A:F,5,0),"")</f>
        <v/>
      </c>
      <c r="F958" t="str">
        <f>IF(NOT(ISBLANK(A958)),VLOOKUP(A958,'BBT3'!A:F,6,0),"")</f>
        <v/>
      </c>
      <c r="G958" t="str">
        <f t="shared" si="137"/>
        <v/>
      </c>
      <c r="H958" t="str">
        <f>IF(NOT(ISBLANK(A958)),VLOOKUP(A958,'Close - PriceSaver'!A:J,5,0),"")</f>
        <v/>
      </c>
      <c r="I958" s="4" t="str" cm="1">
        <f t="array" ref="I958">IF(NOT(ISBLANK(A958)),((_xlfn.XLOOKUP(1,(_bbt3[[#All],[ID]]=A958)*(_bbt3[[#All],[METRIC_NAME]]="YLD_YTM_ASK"),_bbt3[[#All],[METRIC_VALUE]])*0.5)+(_xlfn.XLOOKUP(1,(_bbt3[[#All],[ID]]=A958)*(_bbt3[[#All],[METRIC_NAME]]="YLD_YTM_BID"),_bbt3[[#All],[METRIC_VALUE]])*0.5))/100,"")</f>
        <v/>
      </c>
      <c r="J958">
        <f>IF(ISNA(VLOOKUP(A958,'CloseDL - PriceSaverBBT3'!A:E,5,0)),0,VLOOKUP(A958,'CloseDL - PriceSaverBBT3'!A:E,5,0))</f>
        <v>0</v>
      </c>
      <c r="K958" s="7" t="str">
        <f t="shared" si="138"/>
        <v/>
      </c>
      <c r="L958" s="20">
        <f>IF(Close[[#This Row],[CreatedBy]]="MARINER\SilverAdm",1,0)</f>
        <v>1</v>
      </c>
      <c r="M958" t="str">
        <f>IF(NOT(ISBLANK(A958)),VLOOKUP(A958,'Close - PriceSaver'!A:J,6,0),"")</f>
        <v/>
      </c>
      <c r="Q958" t="e">
        <f t="shared" si="139"/>
        <v>#N/A</v>
      </c>
      <c r="R958" t="e">
        <f t="shared" si="140"/>
        <v>#N/A</v>
      </c>
      <c r="S958" t="e">
        <f t="shared" si="141"/>
        <v>#N/A</v>
      </c>
      <c r="T958" s="15" t="e">
        <f t="shared" si="143"/>
        <v>#N/A</v>
      </c>
      <c r="U958" s="18" t="e">
        <f t="shared" si="144"/>
        <v>#N/A</v>
      </c>
      <c r="V958" s="14" t="e">
        <f t="shared" si="142"/>
        <v>#N/A</v>
      </c>
      <c r="W958" s="19" t="e">
        <f t="shared" si="145"/>
        <v>#N/A</v>
      </c>
      <c r="X958" t="e">
        <f>VLOOKUP(P958,Close[[ID]:[CreatedBy]],8,0)</f>
        <v>#N/A</v>
      </c>
    </row>
    <row r="959" spans="2:24" x14ac:dyDescent="0.35">
      <c r="B959" t="str">
        <f>IF(NOT(ISBLANK(A959)),VLOOKUP(A959,'BBT3'!A:F,2,0),"")</f>
        <v/>
      </c>
      <c r="C959" t="str">
        <f>IF(NOT(ISBLANK(A959)),VLOOKUP(A959,'BBT3'!A:F,3,0),"")</f>
        <v/>
      </c>
      <c r="D959" s="5" t="str">
        <f>IF(NOT(ISBLANK(A959)),VLOOKUP(A959,'BBT3'!A:F,4,1),"")</f>
        <v/>
      </c>
      <c r="E959" t="str">
        <f>IF(NOT(ISBLANK(A959)),VLOOKUP(A959,'BBT3'!A:F,5,0),"")</f>
        <v/>
      </c>
      <c r="F959" t="str">
        <f>IF(NOT(ISBLANK(A959)),VLOOKUP(A959,'BBT3'!A:F,6,0),"")</f>
        <v/>
      </c>
      <c r="G959" t="str">
        <f t="shared" si="137"/>
        <v/>
      </c>
      <c r="H959" t="str">
        <f>IF(NOT(ISBLANK(A959)),VLOOKUP(A959,'Close - PriceSaver'!A:J,5,0),"")</f>
        <v/>
      </c>
      <c r="I959" s="4" t="str" cm="1">
        <f t="array" ref="I959">IF(NOT(ISBLANK(A959)),((_xlfn.XLOOKUP(1,(_bbt3[[#All],[ID]]=A959)*(_bbt3[[#All],[METRIC_NAME]]="YLD_YTM_ASK"),_bbt3[[#All],[METRIC_VALUE]])*0.5)+(_xlfn.XLOOKUP(1,(_bbt3[[#All],[ID]]=A959)*(_bbt3[[#All],[METRIC_NAME]]="YLD_YTM_BID"),_bbt3[[#All],[METRIC_VALUE]])*0.5))/100,"")</f>
        <v/>
      </c>
      <c r="J959">
        <f>IF(ISNA(VLOOKUP(A959,'CloseDL - PriceSaverBBT3'!A:E,5,0)),0,VLOOKUP(A959,'CloseDL - PriceSaverBBT3'!A:E,5,0))</f>
        <v>0</v>
      </c>
      <c r="K959" s="7" t="str">
        <f t="shared" si="138"/>
        <v/>
      </c>
      <c r="L959" s="20">
        <f>IF(Close[[#This Row],[CreatedBy]]="MARINER\SilverAdm",1,0)</f>
        <v>1</v>
      </c>
      <c r="M959" t="str">
        <f>IF(NOT(ISBLANK(A959)),VLOOKUP(A959,'Close - PriceSaver'!A:J,6,0),"")</f>
        <v/>
      </c>
      <c r="Q959" t="e">
        <f t="shared" si="139"/>
        <v>#N/A</v>
      </c>
      <c r="R959" t="e">
        <f t="shared" si="140"/>
        <v>#N/A</v>
      </c>
      <c r="S959" t="e">
        <f t="shared" si="141"/>
        <v>#N/A</v>
      </c>
      <c r="T959" s="15" t="e">
        <f t="shared" si="143"/>
        <v>#N/A</v>
      </c>
      <c r="U959" s="18" t="e">
        <f t="shared" si="144"/>
        <v>#N/A</v>
      </c>
      <c r="V959" s="14" t="e">
        <f t="shared" si="142"/>
        <v>#N/A</v>
      </c>
      <c r="W959" s="19" t="e">
        <f t="shared" si="145"/>
        <v>#N/A</v>
      </c>
      <c r="X959" t="e">
        <f>VLOOKUP(P959,Close[[ID]:[CreatedBy]],8,0)</f>
        <v>#N/A</v>
      </c>
    </row>
    <row r="960" spans="2:24" x14ac:dyDescent="0.35">
      <c r="B960" t="str">
        <f>IF(NOT(ISBLANK(A960)),VLOOKUP(A960,'BBT3'!A:F,2,0),"")</f>
        <v/>
      </c>
      <c r="C960" t="str">
        <f>IF(NOT(ISBLANK(A960)),VLOOKUP(A960,'BBT3'!A:F,3,0),"")</f>
        <v/>
      </c>
      <c r="D960" s="5" t="str">
        <f>IF(NOT(ISBLANK(A960)),VLOOKUP(A960,'BBT3'!A:F,4,1),"")</f>
        <v/>
      </c>
      <c r="E960" t="str">
        <f>IF(NOT(ISBLANK(A960)),VLOOKUP(A960,'BBT3'!A:F,5,0),"")</f>
        <v/>
      </c>
      <c r="F960" t="str">
        <f>IF(NOT(ISBLANK(A960)),VLOOKUP(A960,'BBT3'!A:F,6,0),"")</f>
        <v/>
      </c>
      <c r="G960" t="str">
        <f t="shared" si="137"/>
        <v/>
      </c>
      <c r="H960" t="str">
        <f>IF(NOT(ISBLANK(A960)),VLOOKUP(A960,'Close - PriceSaver'!A:J,5,0),"")</f>
        <v/>
      </c>
      <c r="I960" s="4" t="str" cm="1">
        <f t="array" ref="I960">IF(NOT(ISBLANK(A960)),((_xlfn.XLOOKUP(1,(_bbt3[[#All],[ID]]=A960)*(_bbt3[[#All],[METRIC_NAME]]="YLD_YTM_ASK"),_bbt3[[#All],[METRIC_VALUE]])*0.5)+(_xlfn.XLOOKUP(1,(_bbt3[[#All],[ID]]=A960)*(_bbt3[[#All],[METRIC_NAME]]="YLD_YTM_BID"),_bbt3[[#All],[METRIC_VALUE]])*0.5))/100,"")</f>
        <v/>
      </c>
      <c r="J960">
        <f>IF(ISNA(VLOOKUP(A960,'CloseDL - PriceSaverBBT3'!A:E,5,0)),0,VLOOKUP(A960,'CloseDL - PriceSaverBBT3'!A:E,5,0))</f>
        <v>0</v>
      </c>
      <c r="K960" s="7" t="str">
        <f t="shared" si="138"/>
        <v/>
      </c>
      <c r="L960" s="20">
        <f>IF(Close[[#This Row],[CreatedBy]]="MARINER\SilverAdm",1,0)</f>
        <v>1</v>
      </c>
      <c r="M960" t="str">
        <f>IF(NOT(ISBLANK(A960)),VLOOKUP(A960,'Close - PriceSaver'!A:J,6,0),"")</f>
        <v/>
      </c>
      <c r="Q960" t="e">
        <f t="shared" si="139"/>
        <v>#N/A</v>
      </c>
      <c r="R960" t="e">
        <f t="shared" si="140"/>
        <v>#N/A</v>
      </c>
      <c r="S960" t="e">
        <f t="shared" si="141"/>
        <v>#N/A</v>
      </c>
      <c r="T960" s="15" t="e">
        <f t="shared" si="143"/>
        <v>#N/A</v>
      </c>
      <c r="U960" s="18" t="e">
        <f t="shared" si="144"/>
        <v>#N/A</v>
      </c>
      <c r="V960" s="14" t="e">
        <f t="shared" si="142"/>
        <v>#N/A</v>
      </c>
      <c r="W960" s="19" t="e">
        <f t="shared" si="145"/>
        <v>#N/A</v>
      </c>
      <c r="X960" t="e">
        <f>VLOOKUP(P960,Close[[ID]:[CreatedBy]],8,0)</f>
        <v>#N/A</v>
      </c>
    </row>
    <row r="961" spans="2:24" x14ac:dyDescent="0.35">
      <c r="B961" t="str">
        <f>IF(NOT(ISBLANK(A961)),VLOOKUP(A961,'BBT3'!A:F,2,0),"")</f>
        <v/>
      </c>
      <c r="C961" t="str">
        <f>IF(NOT(ISBLANK(A961)),VLOOKUP(A961,'BBT3'!A:F,3,0),"")</f>
        <v/>
      </c>
      <c r="D961" s="5" t="str">
        <f>IF(NOT(ISBLANK(A961)),VLOOKUP(A961,'BBT3'!A:F,4,1),"")</f>
        <v/>
      </c>
      <c r="E961" t="str">
        <f>IF(NOT(ISBLANK(A961)),VLOOKUP(A961,'BBT3'!A:F,5,0),"")</f>
        <v/>
      </c>
      <c r="F961" t="str">
        <f>IF(NOT(ISBLANK(A961)),VLOOKUP(A961,'BBT3'!A:F,6,0),"")</f>
        <v/>
      </c>
      <c r="G961" t="str">
        <f t="shared" si="137"/>
        <v/>
      </c>
      <c r="H961" t="str">
        <f>IF(NOT(ISBLANK(A961)),VLOOKUP(A961,'Close - PriceSaver'!A:J,5,0),"")</f>
        <v/>
      </c>
      <c r="I961" s="4" t="str" cm="1">
        <f t="array" ref="I961">IF(NOT(ISBLANK(A961)),((_xlfn.XLOOKUP(1,(_bbt3[[#All],[ID]]=A961)*(_bbt3[[#All],[METRIC_NAME]]="YLD_YTM_ASK"),_bbt3[[#All],[METRIC_VALUE]])*0.5)+(_xlfn.XLOOKUP(1,(_bbt3[[#All],[ID]]=A961)*(_bbt3[[#All],[METRIC_NAME]]="YLD_YTM_BID"),_bbt3[[#All],[METRIC_VALUE]])*0.5))/100,"")</f>
        <v/>
      </c>
      <c r="J961">
        <f>IF(ISNA(VLOOKUP(A961,'CloseDL - PriceSaverBBT3'!A:E,5,0)),0,VLOOKUP(A961,'CloseDL - PriceSaverBBT3'!A:E,5,0))</f>
        <v>0</v>
      </c>
      <c r="K961" s="7" t="str">
        <f t="shared" si="138"/>
        <v/>
      </c>
      <c r="L961" s="20">
        <f>IF(Close[[#This Row],[CreatedBy]]="MARINER\SilverAdm",1,0)</f>
        <v>1</v>
      </c>
      <c r="M961" t="str">
        <f>IF(NOT(ISBLANK(A961)),VLOOKUP(A961,'Close - PriceSaver'!A:J,6,0),"")</f>
        <v/>
      </c>
      <c r="Q961" t="e">
        <f t="shared" si="139"/>
        <v>#N/A</v>
      </c>
      <c r="R961" t="e">
        <f t="shared" si="140"/>
        <v>#N/A</v>
      </c>
      <c r="S961" t="e">
        <f t="shared" si="141"/>
        <v>#N/A</v>
      </c>
      <c r="T961" s="15" t="e">
        <f t="shared" si="143"/>
        <v>#N/A</v>
      </c>
      <c r="U961" s="18" t="e">
        <f t="shared" si="144"/>
        <v>#N/A</v>
      </c>
      <c r="V961" s="14" t="e">
        <f t="shared" si="142"/>
        <v>#N/A</v>
      </c>
      <c r="W961" s="19" t="e">
        <f t="shared" si="145"/>
        <v>#N/A</v>
      </c>
      <c r="X961" t="e">
        <f>VLOOKUP(P961,Close[[ID]:[CreatedBy]],8,0)</f>
        <v>#N/A</v>
      </c>
    </row>
    <row r="962" spans="2:24" x14ac:dyDescent="0.35">
      <c r="B962" t="str">
        <f>IF(NOT(ISBLANK(A962)),VLOOKUP(A962,'BBT3'!A:F,2,0),"")</f>
        <v/>
      </c>
      <c r="C962" t="str">
        <f>IF(NOT(ISBLANK(A962)),VLOOKUP(A962,'BBT3'!A:F,3,0),"")</f>
        <v/>
      </c>
      <c r="D962" s="5" t="str">
        <f>IF(NOT(ISBLANK(A962)),VLOOKUP(A962,'BBT3'!A:F,4,1),"")</f>
        <v/>
      </c>
      <c r="E962" t="str">
        <f>IF(NOT(ISBLANK(A962)),VLOOKUP(A962,'BBT3'!A:F,5,0),"")</f>
        <v/>
      </c>
      <c r="F962" t="str">
        <f>IF(NOT(ISBLANK(A962)),VLOOKUP(A962,'BBT3'!A:F,6,0),"")</f>
        <v/>
      </c>
      <c r="G962" t="str">
        <f t="shared" si="137"/>
        <v/>
      </c>
      <c r="H962" t="str">
        <f>IF(NOT(ISBLANK(A962)),VLOOKUP(A962,'Close - PriceSaver'!A:J,5,0),"")</f>
        <v/>
      </c>
      <c r="I962" s="4" t="str" cm="1">
        <f t="array" ref="I962">IF(NOT(ISBLANK(A962)),((_xlfn.XLOOKUP(1,(_bbt3[[#All],[ID]]=A962)*(_bbt3[[#All],[METRIC_NAME]]="YLD_YTM_ASK"),_bbt3[[#All],[METRIC_VALUE]])*0.5)+(_xlfn.XLOOKUP(1,(_bbt3[[#All],[ID]]=A962)*(_bbt3[[#All],[METRIC_NAME]]="YLD_YTM_BID"),_bbt3[[#All],[METRIC_VALUE]])*0.5))/100,"")</f>
        <v/>
      </c>
      <c r="J962">
        <f>IF(ISNA(VLOOKUP(A962,'CloseDL - PriceSaverBBT3'!A:E,5,0)),0,VLOOKUP(A962,'CloseDL - PriceSaverBBT3'!A:E,5,0))</f>
        <v>0</v>
      </c>
      <c r="K962" s="7" t="str">
        <f t="shared" si="138"/>
        <v/>
      </c>
      <c r="L962" s="20">
        <f>IF(Close[[#This Row],[CreatedBy]]="MARINER\SilverAdm",1,0)</f>
        <v>1</v>
      </c>
      <c r="M962" t="str">
        <f>IF(NOT(ISBLANK(A962)),VLOOKUP(A962,'Close - PriceSaver'!A:J,6,0),"")</f>
        <v/>
      </c>
      <c r="Q962" t="e">
        <f t="shared" si="139"/>
        <v>#N/A</v>
      </c>
      <c r="R962" t="e">
        <f t="shared" si="140"/>
        <v>#N/A</v>
      </c>
      <c r="S962" t="e">
        <f t="shared" si="141"/>
        <v>#N/A</v>
      </c>
      <c r="T962" s="15" t="e">
        <f t="shared" si="143"/>
        <v>#N/A</v>
      </c>
      <c r="U962" s="18" t="e">
        <f t="shared" si="144"/>
        <v>#N/A</v>
      </c>
      <c r="V962" s="14" t="e">
        <f t="shared" si="142"/>
        <v>#N/A</v>
      </c>
      <c r="W962" s="19" t="e">
        <f t="shared" si="145"/>
        <v>#N/A</v>
      </c>
      <c r="X962" t="e">
        <f>VLOOKUP(P962,Close[[ID]:[CreatedBy]],8,0)</f>
        <v>#N/A</v>
      </c>
    </row>
    <row r="963" spans="2:24" x14ac:dyDescent="0.35">
      <c r="B963" t="str">
        <f>IF(NOT(ISBLANK(A963)),VLOOKUP(A963,'BBT3'!A:F,2,0),"")</f>
        <v/>
      </c>
      <c r="C963" t="str">
        <f>IF(NOT(ISBLANK(A963)),VLOOKUP(A963,'BBT3'!A:F,3,0),"")</f>
        <v/>
      </c>
      <c r="D963" s="5" t="str">
        <f>IF(NOT(ISBLANK(A963)),VLOOKUP(A963,'BBT3'!A:F,4,1),"")</f>
        <v/>
      </c>
      <c r="E963" t="str">
        <f>IF(NOT(ISBLANK(A963)),VLOOKUP(A963,'BBT3'!A:F,5,0),"")</f>
        <v/>
      </c>
      <c r="F963" t="str">
        <f>IF(NOT(ISBLANK(A963)),VLOOKUP(A963,'BBT3'!A:F,6,0),"")</f>
        <v/>
      </c>
      <c r="G963" t="str">
        <f t="shared" ref="G963:G1026" si="146">IF(NOT(ISBLANK(A963)),IF(D963=0,"Y","N"),"")</f>
        <v/>
      </c>
      <c r="H963" t="str">
        <f>IF(NOT(ISBLANK(A963)),VLOOKUP(A963,'Close - PriceSaver'!A:J,5,0),"")</f>
        <v/>
      </c>
      <c r="I963" s="4" t="str" cm="1">
        <f t="array" ref="I963">IF(NOT(ISBLANK(A963)),((_xlfn.XLOOKUP(1,(_bbt3[[#All],[ID]]=A963)*(_bbt3[[#All],[METRIC_NAME]]="YLD_YTM_ASK"),_bbt3[[#All],[METRIC_VALUE]])*0.5)+(_xlfn.XLOOKUP(1,(_bbt3[[#All],[ID]]=A963)*(_bbt3[[#All],[METRIC_NAME]]="YLD_YTM_BID"),_bbt3[[#All],[METRIC_VALUE]])*0.5))/100,"")</f>
        <v/>
      </c>
      <c r="J963">
        <f>IF(ISNA(VLOOKUP(A963,'CloseDL - PriceSaverBBT3'!A:E,5,0)),0,VLOOKUP(A963,'CloseDL - PriceSaverBBT3'!A:E,5,0))</f>
        <v>0</v>
      </c>
      <c r="K963" s="7" t="str">
        <f t="shared" ref="K963:K1026" si="147">IF(ISNA(IF(NOT(ISBLANK(A963)),ABS(H963-J963),"")),0,(IF(NOT(ISBLANK(A963)),ABS(H963-J963)*10000,"")))</f>
        <v/>
      </c>
      <c r="L963" s="20">
        <f>IF(Close[[#This Row],[CreatedBy]]="MARINER\SilverAdm",1,0)</f>
        <v>1</v>
      </c>
      <c r="M963" t="str">
        <f>IF(NOT(ISBLANK(A963)),VLOOKUP(A963,'Close - PriceSaver'!A:J,6,0),"")</f>
        <v/>
      </c>
      <c r="Q963" t="e">
        <f t="shared" si="139"/>
        <v>#N/A</v>
      </c>
      <c r="R963" t="e">
        <f t="shared" si="140"/>
        <v>#N/A</v>
      </c>
      <c r="S963" t="e">
        <f t="shared" si="141"/>
        <v>#N/A</v>
      </c>
      <c r="T963" s="15" t="e">
        <f t="shared" si="143"/>
        <v>#N/A</v>
      </c>
      <c r="U963" s="18" t="e">
        <f t="shared" si="144"/>
        <v>#N/A</v>
      </c>
      <c r="V963" s="14" t="e">
        <f t="shared" si="142"/>
        <v>#N/A</v>
      </c>
      <c r="W963" s="19" t="e">
        <f t="shared" si="145"/>
        <v>#N/A</v>
      </c>
      <c r="X963" t="e">
        <f>VLOOKUP(P963,Close[[ID]:[CreatedBy]],8,0)</f>
        <v>#N/A</v>
      </c>
    </row>
    <row r="964" spans="2:24" x14ac:dyDescent="0.35">
      <c r="B964" t="str">
        <f>IF(NOT(ISBLANK(A964)),VLOOKUP(A964,'BBT3'!A:F,2,0),"")</f>
        <v/>
      </c>
      <c r="C964" t="str">
        <f>IF(NOT(ISBLANK(A964)),VLOOKUP(A964,'BBT3'!A:F,3,0),"")</f>
        <v/>
      </c>
      <c r="D964" s="5" t="str">
        <f>IF(NOT(ISBLANK(A964)),VLOOKUP(A964,'BBT3'!A:F,4,1),"")</f>
        <v/>
      </c>
      <c r="E964" t="str">
        <f>IF(NOT(ISBLANK(A964)),VLOOKUP(A964,'BBT3'!A:F,5,0),"")</f>
        <v/>
      </c>
      <c r="F964" t="str">
        <f>IF(NOT(ISBLANK(A964)),VLOOKUP(A964,'BBT3'!A:F,6,0),"")</f>
        <v/>
      </c>
      <c r="G964" t="str">
        <f t="shared" si="146"/>
        <v/>
      </c>
      <c r="H964" t="str">
        <f>IF(NOT(ISBLANK(A964)),VLOOKUP(A964,'Close - PriceSaver'!A:J,5,0),"")</f>
        <v/>
      </c>
      <c r="I964" s="4" t="str" cm="1">
        <f t="array" ref="I964">IF(NOT(ISBLANK(A964)),((_xlfn.XLOOKUP(1,(_bbt3[[#All],[ID]]=A964)*(_bbt3[[#All],[METRIC_NAME]]="YLD_YTM_ASK"),_bbt3[[#All],[METRIC_VALUE]])*0.5)+(_xlfn.XLOOKUP(1,(_bbt3[[#All],[ID]]=A964)*(_bbt3[[#All],[METRIC_NAME]]="YLD_YTM_BID"),_bbt3[[#All],[METRIC_VALUE]])*0.5))/100,"")</f>
        <v/>
      </c>
      <c r="J964">
        <f>IF(ISNA(VLOOKUP(A964,'CloseDL - PriceSaverBBT3'!A:E,5,0)),0,VLOOKUP(A964,'CloseDL - PriceSaverBBT3'!A:E,5,0))</f>
        <v>0</v>
      </c>
      <c r="K964" s="7" t="str">
        <f t="shared" si="147"/>
        <v/>
      </c>
      <c r="L964" s="20">
        <f>IF(Close[[#This Row],[CreatedBy]]="MARINER\SilverAdm",1,0)</f>
        <v>1</v>
      </c>
      <c r="M964" t="str">
        <f>IF(NOT(ISBLANK(A964)),VLOOKUP(A964,'Close - PriceSaver'!A:J,6,0),"")</f>
        <v/>
      </c>
      <c r="Q964" t="e">
        <f t="shared" si="139"/>
        <v>#N/A</v>
      </c>
      <c r="R964" t="e">
        <f t="shared" si="140"/>
        <v>#N/A</v>
      </c>
      <c r="S964" t="e">
        <f t="shared" si="141"/>
        <v>#N/A</v>
      </c>
      <c r="T964" s="15" t="e">
        <f t="shared" si="143"/>
        <v>#N/A</v>
      </c>
      <c r="U964" s="18" t="e">
        <f t="shared" si="144"/>
        <v>#N/A</v>
      </c>
      <c r="V964" s="14" t="e">
        <f t="shared" si="142"/>
        <v>#N/A</v>
      </c>
      <c r="W964" s="19" t="e">
        <f t="shared" si="145"/>
        <v>#N/A</v>
      </c>
      <c r="X964" t="e">
        <f>VLOOKUP(P964,Close[[ID]:[CreatedBy]],8,0)</f>
        <v>#N/A</v>
      </c>
    </row>
    <row r="965" spans="2:24" x14ac:dyDescent="0.35">
      <c r="B965" t="str">
        <f>IF(NOT(ISBLANK(A965)),VLOOKUP(A965,'BBT3'!A:F,2,0),"")</f>
        <v/>
      </c>
      <c r="C965" t="str">
        <f>IF(NOT(ISBLANK(A965)),VLOOKUP(A965,'BBT3'!A:F,3,0),"")</f>
        <v/>
      </c>
      <c r="D965" s="5" t="str">
        <f>IF(NOT(ISBLANK(A965)),VLOOKUP(A965,'BBT3'!A:F,4,1),"")</f>
        <v/>
      </c>
      <c r="E965" t="str">
        <f>IF(NOT(ISBLANK(A965)),VLOOKUP(A965,'BBT3'!A:F,5,0),"")</f>
        <v/>
      </c>
      <c r="F965" t="str">
        <f>IF(NOT(ISBLANK(A965)),VLOOKUP(A965,'BBT3'!A:F,6,0),"")</f>
        <v/>
      </c>
      <c r="G965" t="str">
        <f t="shared" si="146"/>
        <v/>
      </c>
      <c r="H965" t="str">
        <f>IF(NOT(ISBLANK(A965)),VLOOKUP(A965,'Close - PriceSaver'!A:J,5,0),"")</f>
        <v/>
      </c>
      <c r="I965" s="4" t="str" cm="1">
        <f t="array" ref="I965">IF(NOT(ISBLANK(A965)),((_xlfn.XLOOKUP(1,(_bbt3[[#All],[ID]]=A965)*(_bbt3[[#All],[METRIC_NAME]]="YLD_YTM_ASK"),_bbt3[[#All],[METRIC_VALUE]])*0.5)+(_xlfn.XLOOKUP(1,(_bbt3[[#All],[ID]]=A965)*(_bbt3[[#All],[METRIC_NAME]]="YLD_YTM_BID"),_bbt3[[#All],[METRIC_VALUE]])*0.5))/100,"")</f>
        <v/>
      </c>
      <c r="J965">
        <f>IF(ISNA(VLOOKUP(A965,'CloseDL - PriceSaverBBT3'!A:E,5,0)),0,VLOOKUP(A965,'CloseDL - PriceSaverBBT3'!A:E,5,0))</f>
        <v>0</v>
      </c>
      <c r="K965" s="7" t="str">
        <f t="shared" si="147"/>
        <v/>
      </c>
      <c r="L965" s="20">
        <f>IF(Close[[#This Row],[CreatedBy]]="MARINER\SilverAdm",1,0)</f>
        <v>1</v>
      </c>
      <c r="M965" t="str">
        <f>IF(NOT(ISBLANK(A965)),VLOOKUP(A965,'Close - PriceSaver'!A:J,6,0),"")</f>
        <v/>
      </c>
      <c r="Q965" t="e">
        <f t="shared" si="139"/>
        <v>#N/A</v>
      </c>
      <c r="R965" t="e">
        <f t="shared" si="140"/>
        <v>#N/A</v>
      </c>
      <c r="S965" t="e">
        <f t="shared" si="141"/>
        <v>#N/A</v>
      </c>
      <c r="T965" s="15" t="e">
        <f t="shared" si="143"/>
        <v>#N/A</v>
      </c>
      <c r="U965" s="18" t="e">
        <f t="shared" si="144"/>
        <v>#N/A</v>
      </c>
      <c r="V965" s="14" t="e">
        <f t="shared" si="142"/>
        <v>#N/A</v>
      </c>
      <c r="W965" s="19" t="e">
        <f t="shared" si="145"/>
        <v>#N/A</v>
      </c>
      <c r="X965" t="e">
        <f>VLOOKUP(P965,Close[[ID]:[CreatedBy]],8,0)</f>
        <v>#N/A</v>
      </c>
    </row>
    <row r="966" spans="2:24" x14ac:dyDescent="0.35">
      <c r="B966" t="str">
        <f>IF(NOT(ISBLANK(A966)),VLOOKUP(A966,'BBT3'!A:F,2,0),"")</f>
        <v/>
      </c>
      <c r="C966" t="str">
        <f>IF(NOT(ISBLANK(A966)),VLOOKUP(A966,'BBT3'!A:F,3,0),"")</f>
        <v/>
      </c>
      <c r="D966" s="5" t="str">
        <f>IF(NOT(ISBLANK(A966)),VLOOKUP(A966,'BBT3'!A:F,4,1),"")</f>
        <v/>
      </c>
      <c r="E966" t="str">
        <f>IF(NOT(ISBLANK(A966)),VLOOKUP(A966,'BBT3'!A:F,5,0),"")</f>
        <v/>
      </c>
      <c r="F966" t="str">
        <f>IF(NOT(ISBLANK(A966)),VLOOKUP(A966,'BBT3'!A:F,6,0),"")</f>
        <v/>
      </c>
      <c r="G966" t="str">
        <f t="shared" si="146"/>
        <v/>
      </c>
      <c r="H966" t="str">
        <f>IF(NOT(ISBLANK(A966)),VLOOKUP(A966,'Close - PriceSaver'!A:J,5,0),"")</f>
        <v/>
      </c>
      <c r="I966" s="4" t="str" cm="1">
        <f t="array" ref="I966">IF(NOT(ISBLANK(A966)),((_xlfn.XLOOKUP(1,(_bbt3[[#All],[ID]]=A966)*(_bbt3[[#All],[METRIC_NAME]]="YLD_YTM_ASK"),_bbt3[[#All],[METRIC_VALUE]])*0.5)+(_xlfn.XLOOKUP(1,(_bbt3[[#All],[ID]]=A966)*(_bbt3[[#All],[METRIC_NAME]]="YLD_YTM_BID"),_bbt3[[#All],[METRIC_VALUE]])*0.5))/100,"")</f>
        <v/>
      </c>
      <c r="J966">
        <f>IF(ISNA(VLOOKUP(A966,'CloseDL - PriceSaverBBT3'!A:E,5,0)),0,VLOOKUP(A966,'CloseDL - PriceSaverBBT3'!A:E,5,0))</f>
        <v>0</v>
      </c>
      <c r="K966" s="7" t="str">
        <f t="shared" si="147"/>
        <v/>
      </c>
      <c r="L966" s="20">
        <f>IF(Close[[#This Row],[CreatedBy]]="MARINER\SilverAdm",1,0)</f>
        <v>1</v>
      </c>
      <c r="M966" t="str">
        <f>IF(NOT(ISBLANK(A966)),VLOOKUP(A966,'Close - PriceSaver'!A:J,6,0),"")</f>
        <v/>
      </c>
      <c r="Q966" t="e">
        <f t="shared" si="139"/>
        <v>#N/A</v>
      </c>
      <c r="R966" t="e">
        <f t="shared" si="140"/>
        <v>#N/A</v>
      </c>
      <c r="S966" t="e">
        <f t="shared" si="141"/>
        <v>#N/A</v>
      </c>
      <c r="T966" s="15" t="e">
        <f t="shared" si="143"/>
        <v>#N/A</v>
      </c>
      <c r="U966" s="18" t="e">
        <f t="shared" si="144"/>
        <v>#N/A</v>
      </c>
      <c r="V966" s="14" t="e">
        <f t="shared" si="142"/>
        <v>#N/A</v>
      </c>
      <c r="W966" s="19" t="e">
        <f t="shared" si="145"/>
        <v>#N/A</v>
      </c>
      <c r="X966" t="e">
        <f>VLOOKUP(P966,Close[[ID]:[CreatedBy]],8,0)</f>
        <v>#N/A</v>
      </c>
    </row>
    <row r="967" spans="2:24" x14ac:dyDescent="0.35">
      <c r="B967" t="str">
        <f>IF(NOT(ISBLANK(A967)),VLOOKUP(A967,'BBT3'!A:F,2,0),"")</f>
        <v/>
      </c>
      <c r="C967" t="str">
        <f>IF(NOT(ISBLANK(A967)),VLOOKUP(A967,'BBT3'!A:F,3,0),"")</f>
        <v/>
      </c>
      <c r="D967" s="5" t="str">
        <f>IF(NOT(ISBLANK(A967)),VLOOKUP(A967,'BBT3'!A:F,4,1),"")</f>
        <v/>
      </c>
      <c r="E967" t="str">
        <f>IF(NOT(ISBLANK(A967)),VLOOKUP(A967,'BBT3'!A:F,5,0),"")</f>
        <v/>
      </c>
      <c r="F967" t="str">
        <f>IF(NOT(ISBLANK(A967)),VLOOKUP(A967,'BBT3'!A:F,6,0),"")</f>
        <v/>
      </c>
      <c r="G967" t="str">
        <f t="shared" si="146"/>
        <v/>
      </c>
      <c r="H967" t="str">
        <f>IF(NOT(ISBLANK(A967)),VLOOKUP(A967,'Close - PriceSaver'!A:J,5,0),"")</f>
        <v/>
      </c>
      <c r="I967" s="4" t="str" cm="1">
        <f t="array" ref="I967">IF(NOT(ISBLANK(A967)),((_xlfn.XLOOKUP(1,(_bbt3[[#All],[ID]]=A967)*(_bbt3[[#All],[METRIC_NAME]]="YLD_YTM_ASK"),_bbt3[[#All],[METRIC_VALUE]])*0.5)+(_xlfn.XLOOKUP(1,(_bbt3[[#All],[ID]]=A967)*(_bbt3[[#All],[METRIC_NAME]]="YLD_YTM_BID"),_bbt3[[#All],[METRIC_VALUE]])*0.5))/100,"")</f>
        <v/>
      </c>
      <c r="J967">
        <f>IF(ISNA(VLOOKUP(A967,'CloseDL - PriceSaverBBT3'!A:E,5,0)),0,VLOOKUP(A967,'CloseDL - PriceSaverBBT3'!A:E,5,0))</f>
        <v>0</v>
      </c>
      <c r="K967" s="7" t="str">
        <f t="shared" si="147"/>
        <v/>
      </c>
      <c r="L967" s="20">
        <f>IF(Close[[#This Row],[CreatedBy]]="MARINER\SilverAdm",1,0)</f>
        <v>1</v>
      </c>
      <c r="M967" t="str">
        <f>IF(NOT(ISBLANK(A967)),VLOOKUP(A967,'Close - PriceSaver'!A:J,6,0),"")</f>
        <v/>
      </c>
      <c r="Q967" t="e">
        <f t="shared" si="139"/>
        <v>#N/A</v>
      </c>
      <c r="R967" t="e">
        <f t="shared" si="140"/>
        <v>#N/A</v>
      </c>
      <c r="S967" t="e">
        <f t="shared" si="141"/>
        <v>#N/A</v>
      </c>
      <c r="T967" s="15" t="e">
        <f t="shared" si="143"/>
        <v>#N/A</v>
      </c>
      <c r="U967" s="18" t="e">
        <f t="shared" si="144"/>
        <v>#N/A</v>
      </c>
      <c r="V967" s="14" t="e">
        <f t="shared" si="142"/>
        <v>#N/A</v>
      </c>
      <c r="W967" s="19" t="e">
        <f t="shared" si="145"/>
        <v>#N/A</v>
      </c>
      <c r="X967" t="e">
        <f>VLOOKUP(P967,Close[[ID]:[CreatedBy]],8,0)</f>
        <v>#N/A</v>
      </c>
    </row>
    <row r="968" spans="2:24" x14ac:dyDescent="0.35">
      <c r="B968" t="str">
        <f>IF(NOT(ISBLANK(A968)),VLOOKUP(A968,'BBT3'!A:F,2,0),"")</f>
        <v/>
      </c>
      <c r="C968" t="str">
        <f>IF(NOT(ISBLANK(A968)),VLOOKUP(A968,'BBT3'!A:F,3,0),"")</f>
        <v/>
      </c>
      <c r="D968" s="5" t="str">
        <f>IF(NOT(ISBLANK(A968)),VLOOKUP(A968,'BBT3'!A:F,4,1),"")</f>
        <v/>
      </c>
      <c r="E968" t="str">
        <f>IF(NOT(ISBLANK(A968)),VLOOKUP(A968,'BBT3'!A:F,5,0),"")</f>
        <v/>
      </c>
      <c r="F968" t="str">
        <f>IF(NOT(ISBLANK(A968)),VLOOKUP(A968,'BBT3'!A:F,6,0),"")</f>
        <v/>
      </c>
      <c r="G968" t="str">
        <f t="shared" si="146"/>
        <v/>
      </c>
      <c r="H968" t="str">
        <f>IF(NOT(ISBLANK(A968)),VLOOKUP(A968,'Close - PriceSaver'!A:J,5,0),"")</f>
        <v/>
      </c>
      <c r="I968" s="4" t="str" cm="1">
        <f t="array" ref="I968">IF(NOT(ISBLANK(A968)),((_xlfn.XLOOKUP(1,(_bbt3[[#All],[ID]]=A968)*(_bbt3[[#All],[METRIC_NAME]]="YLD_YTM_ASK"),_bbt3[[#All],[METRIC_VALUE]])*0.5)+(_xlfn.XLOOKUP(1,(_bbt3[[#All],[ID]]=A968)*(_bbt3[[#All],[METRIC_NAME]]="YLD_YTM_BID"),_bbt3[[#All],[METRIC_VALUE]])*0.5))/100,"")</f>
        <v/>
      </c>
      <c r="J968">
        <f>IF(ISNA(VLOOKUP(A968,'CloseDL - PriceSaverBBT3'!A:E,5,0)),0,VLOOKUP(A968,'CloseDL - PriceSaverBBT3'!A:E,5,0))</f>
        <v>0</v>
      </c>
      <c r="K968" s="7" t="str">
        <f t="shared" si="147"/>
        <v/>
      </c>
      <c r="L968" s="20">
        <f>IF(Close[[#This Row],[CreatedBy]]="MARINER\SilverAdm",1,0)</f>
        <v>1</v>
      </c>
      <c r="M968" t="str">
        <f>IF(NOT(ISBLANK(A968)),VLOOKUP(A968,'Close - PriceSaver'!A:J,6,0),"")</f>
        <v/>
      </c>
      <c r="Q968" t="e">
        <f t="shared" si="139"/>
        <v>#N/A</v>
      </c>
      <c r="R968" t="e">
        <f t="shared" si="140"/>
        <v>#N/A</v>
      </c>
      <c r="S968" t="e">
        <f t="shared" si="141"/>
        <v>#N/A</v>
      </c>
      <c r="T968" s="15" t="e">
        <f t="shared" si="143"/>
        <v>#N/A</v>
      </c>
      <c r="U968" s="18" t="e">
        <f t="shared" si="144"/>
        <v>#N/A</v>
      </c>
      <c r="V968" s="14" t="e">
        <f t="shared" si="142"/>
        <v>#N/A</v>
      </c>
      <c r="W968" s="19" t="e">
        <f t="shared" si="145"/>
        <v>#N/A</v>
      </c>
      <c r="X968" t="e">
        <f>VLOOKUP(P968,Close[[ID]:[CreatedBy]],8,0)</f>
        <v>#N/A</v>
      </c>
    </row>
    <row r="969" spans="2:24" x14ac:dyDescent="0.35">
      <c r="B969" t="str">
        <f>IF(NOT(ISBLANK(A969)),VLOOKUP(A969,'BBT3'!A:F,2,0),"")</f>
        <v/>
      </c>
      <c r="C969" t="str">
        <f>IF(NOT(ISBLANK(A969)),VLOOKUP(A969,'BBT3'!A:F,3,0),"")</f>
        <v/>
      </c>
      <c r="D969" s="5" t="str">
        <f>IF(NOT(ISBLANK(A969)),VLOOKUP(A969,'BBT3'!A:F,4,1),"")</f>
        <v/>
      </c>
      <c r="E969" t="str">
        <f>IF(NOT(ISBLANK(A969)),VLOOKUP(A969,'BBT3'!A:F,5,0),"")</f>
        <v/>
      </c>
      <c r="F969" t="str">
        <f>IF(NOT(ISBLANK(A969)),VLOOKUP(A969,'BBT3'!A:F,6,0),"")</f>
        <v/>
      </c>
      <c r="G969" t="str">
        <f t="shared" si="146"/>
        <v/>
      </c>
      <c r="H969" t="str">
        <f>IF(NOT(ISBLANK(A969)),VLOOKUP(A969,'Close - PriceSaver'!A:J,5,0),"")</f>
        <v/>
      </c>
      <c r="I969" s="4" t="str" cm="1">
        <f t="array" ref="I969">IF(NOT(ISBLANK(A969)),((_xlfn.XLOOKUP(1,(_bbt3[[#All],[ID]]=A969)*(_bbt3[[#All],[METRIC_NAME]]="YLD_YTM_ASK"),_bbt3[[#All],[METRIC_VALUE]])*0.5)+(_xlfn.XLOOKUP(1,(_bbt3[[#All],[ID]]=A969)*(_bbt3[[#All],[METRIC_NAME]]="YLD_YTM_BID"),_bbt3[[#All],[METRIC_VALUE]])*0.5))/100,"")</f>
        <v/>
      </c>
      <c r="J969">
        <f>IF(ISNA(VLOOKUP(A969,'CloseDL - PriceSaverBBT3'!A:E,5,0)),0,VLOOKUP(A969,'CloseDL - PriceSaverBBT3'!A:E,5,0))</f>
        <v>0</v>
      </c>
      <c r="K969" s="7" t="str">
        <f t="shared" si="147"/>
        <v/>
      </c>
      <c r="L969" s="20">
        <f>IF(Close[[#This Row],[CreatedBy]]="MARINER\SilverAdm",1,0)</f>
        <v>1</v>
      </c>
      <c r="M969" t="str">
        <f>IF(NOT(ISBLANK(A969)),VLOOKUP(A969,'Close - PriceSaver'!A:J,6,0),"")</f>
        <v/>
      </c>
      <c r="Q969" t="e">
        <f t="shared" si="139"/>
        <v>#N/A</v>
      </c>
      <c r="R969" t="e">
        <f t="shared" si="140"/>
        <v>#N/A</v>
      </c>
      <c r="S969" t="e">
        <f t="shared" si="141"/>
        <v>#N/A</v>
      </c>
      <c r="T969" s="15" t="e">
        <f t="shared" si="143"/>
        <v>#N/A</v>
      </c>
      <c r="U969" s="18" t="e">
        <f t="shared" si="144"/>
        <v>#N/A</v>
      </c>
      <c r="V969" s="14" t="e">
        <f t="shared" si="142"/>
        <v>#N/A</v>
      </c>
      <c r="W969" s="19" t="e">
        <f t="shared" si="145"/>
        <v>#N/A</v>
      </c>
      <c r="X969" t="e">
        <f>VLOOKUP(P969,Close[[ID]:[CreatedBy]],8,0)</f>
        <v>#N/A</v>
      </c>
    </row>
    <row r="970" spans="2:24" x14ac:dyDescent="0.35">
      <c r="B970" t="str">
        <f>IF(NOT(ISBLANK(A970)),VLOOKUP(A970,'BBT3'!A:F,2,0),"")</f>
        <v/>
      </c>
      <c r="C970" t="str">
        <f>IF(NOT(ISBLANK(A970)),VLOOKUP(A970,'BBT3'!A:F,3,0),"")</f>
        <v/>
      </c>
      <c r="D970" s="5" t="str">
        <f>IF(NOT(ISBLANK(A970)),VLOOKUP(A970,'BBT3'!A:F,4,1),"")</f>
        <v/>
      </c>
      <c r="E970" t="str">
        <f>IF(NOT(ISBLANK(A970)),VLOOKUP(A970,'BBT3'!A:F,5,0),"")</f>
        <v/>
      </c>
      <c r="F970" t="str">
        <f>IF(NOT(ISBLANK(A970)),VLOOKUP(A970,'BBT3'!A:F,6,0),"")</f>
        <v/>
      </c>
      <c r="G970" t="str">
        <f t="shared" si="146"/>
        <v/>
      </c>
      <c r="H970" t="str">
        <f>IF(NOT(ISBLANK(A970)),VLOOKUP(A970,'Close - PriceSaver'!A:J,5,0),"")</f>
        <v/>
      </c>
      <c r="I970" s="4" t="str" cm="1">
        <f t="array" ref="I970">IF(NOT(ISBLANK(A970)),((_xlfn.XLOOKUP(1,(_bbt3[[#All],[ID]]=A970)*(_bbt3[[#All],[METRIC_NAME]]="YLD_YTM_ASK"),_bbt3[[#All],[METRIC_VALUE]])*0.5)+(_xlfn.XLOOKUP(1,(_bbt3[[#All],[ID]]=A970)*(_bbt3[[#All],[METRIC_NAME]]="YLD_YTM_BID"),_bbt3[[#All],[METRIC_VALUE]])*0.5))/100,"")</f>
        <v/>
      </c>
      <c r="J970">
        <f>IF(ISNA(VLOOKUP(A970,'CloseDL - PriceSaverBBT3'!A:E,5,0)),0,VLOOKUP(A970,'CloseDL - PriceSaverBBT3'!A:E,5,0))</f>
        <v>0</v>
      </c>
      <c r="K970" s="7" t="str">
        <f t="shared" si="147"/>
        <v/>
      </c>
      <c r="L970" s="20">
        <f>IF(Close[[#This Row],[CreatedBy]]="MARINER\SilverAdm",1,0)</f>
        <v>1</v>
      </c>
      <c r="M970" t="str">
        <f>IF(NOT(ISBLANK(A970)),VLOOKUP(A970,'Close - PriceSaver'!A:J,6,0),"")</f>
        <v/>
      </c>
      <c r="Q970" t="e">
        <f t="shared" si="139"/>
        <v>#N/A</v>
      </c>
      <c r="R970" t="e">
        <f t="shared" si="140"/>
        <v>#N/A</v>
      </c>
      <c r="S970" t="e">
        <f t="shared" si="141"/>
        <v>#N/A</v>
      </c>
      <c r="T970" s="15" t="e">
        <f t="shared" si="143"/>
        <v>#N/A</v>
      </c>
      <c r="U970" s="18" t="e">
        <f t="shared" si="144"/>
        <v>#N/A</v>
      </c>
      <c r="V970" s="14" t="e">
        <f t="shared" si="142"/>
        <v>#N/A</v>
      </c>
      <c r="W970" s="19" t="e">
        <f t="shared" si="145"/>
        <v>#N/A</v>
      </c>
      <c r="X970" t="e">
        <f>VLOOKUP(P970,Close[[ID]:[CreatedBy]],8,0)</f>
        <v>#N/A</v>
      </c>
    </row>
    <row r="971" spans="2:24" x14ac:dyDescent="0.35">
      <c r="B971" t="str">
        <f>IF(NOT(ISBLANK(A971)),VLOOKUP(A971,'BBT3'!A:F,2,0),"")</f>
        <v/>
      </c>
      <c r="C971" t="str">
        <f>IF(NOT(ISBLANK(A971)),VLOOKUP(A971,'BBT3'!A:F,3,0),"")</f>
        <v/>
      </c>
      <c r="D971" s="5" t="str">
        <f>IF(NOT(ISBLANK(A971)),VLOOKUP(A971,'BBT3'!A:F,4,1),"")</f>
        <v/>
      </c>
      <c r="E971" t="str">
        <f>IF(NOT(ISBLANK(A971)),VLOOKUP(A971,'BBT3'!A:F,5,0),"")</f>
        <v/>
      </c>
      <c r="F971" t="str">
        <f>IF(NOT(ISBLANK(A971)),VLOOKUP(A971,'BBT3'!A:F,6,0),"")</f>
        <v/>
      </c>
      <c r="G971" t="str">
        <f t="shared" si="146"/>
        <v/>
      </c>
      <c r="H971" t="str">
        <f>IF(NOT(ISBLANK(A971)),VLOOKUP(A971,'Close - PriceSaver'!A:J,5,0),"")</f>
        <v/>
      </c>
      <c r="I971" s="4" t="str" cm="1">
        <f t="array" ref="I971">IF(NOT(ISBLANK(A971)),((_xlfn.XLOOKUP(1,(_bbt3[[#All],[ID]]=A971)*(_bbt3[[#All],[METRIC_NAME]]="YLD_YTM_ASK"),_bbt3[[#All],[METRIC_VALUE]])*0.5)+(_xlfn.XLOOKUP(1,(_bbt3[[#All],[ID]]=A971)*(_bbt3[[#All],[METRIC_NAME]]="YLD_YTM_BID"),_bbt3[[#All],[METRIC_VALUE]])*0.5))/100,"")</f>
        <v/>
      </c>
      <c r="J971">
        <f>IF(ISNA(VLOOKUP(A971,'CloseDL - PriceSaverBBT3'!A:E,5,0)),0,VLOOKUP(A971,'CloseDL - PriceSaverBBT3'!A:E,5,0))</f>
        <v>0</v>
      </c>
      <c r="K971" s="7" t="str">
        <f t="shared" si="147"/>
        <v/>
      </c>
      <c r="L971" s="20">
        <f>IF(Close[[#This Row],[CreatedBy]]="MARINER\SilverAdm",1,0)</f>
        <v>1</v>
      </c>
      <c r="M971" t="str">
        <f>IF(NOT(ISBLANK(A971)),VLOOKUP(A971,'Close - PriceSaver'!A:J,6,0),"")</f>
        <v/>
      </c>
      <c r="Q971" t="e">
        <f t="shared" ref="Q971:Q1034" si="148">VLOOKUP(P971,A:C,3,0)</f>
        <v>#N/A</v>
      </c>
      <c r="R971" t="e">
        <f t="shared" si="140"/>
        <v>#N/A</v>
      </c>
      <c r="S971" t="e">
        <f t="shared" si="141"/>
        <v>#N/A</v>
      </c>
      <c r="T971" s="15" t="e">
        <f t="shared" si="143"/>
        <v>#N/A</v>
      </c>
      <c r="U971" s="18" t="e">
        <f t="shared" si="144"/>
        <v>#N/A</v>
      </c>
      <c r="V971" s="14" t="e">
        <f t="shared" si="142"/>
        <v>#N/A</v>
      </c>
      <c r="W971" s="19" t="e">
        <f t="shared" si="145"/>
        <v>#N/A</v>
      </c>
      <c r="X971" t="e">
        <f>VLOOKUP(P971,Close[[ID]:[CreatedBy]],8,0)</f>
        <v>#N/A</v>
      </c>
    </row>
    <row r="972" spans="2:24" x14ac:dyDescent="0.35">
      <c r="B972" t="str">
        <f>IF(NOT(ISBLANK(A972)),VLOOKUP(A972,'BBT3'!A:F,2,0),"")</f>
        <v/>
      </c>
      <c r="C972" t="str">
        <f>IF(NOT(ISBLANK(A972)),VLOOKUP(A972,'BBT3'!A:F,3,0),"")</f>
        <v/>
      </c>
      <c r="D972" s="5" t="str">
        <f>IF(NOT(ISBLANK(A972)),VLOOKUP(A972,'BBT3'!A:F,4,1),"")</f>
        <v/>
      </c>
      <c r="E972" t="str">
        <f>IF(NOT(ISBLANK(A972)),VLOOKUP(A972,'BBT3'!A:F,5,0),"")</f>
        <v/>
      </c>
      <c r="F972" t="str">
        <f>IF(NOT(ISBLANK(A972)),VLOOKUP(A972,'BBT3'!A:F,6,0),"")</f>
        <v/>
      </c>
      <c r="G972" t="str">
        <f t="shared" si="146"/>
        <v/>
      </c>
      <c r="H972" t="str">
        <f>IF(NOT(ISBLANK(A972)),VLOOKUP(A972,'Close - PriceSaver'!A:J,5,0),"")</f>
        <v/>
      </c>
      <c r="I972" s="4" t="str" cm="1">
        <f t="array" ref="I972">IF(NOT(ISBLANK(A972)),((_xlfn.XLOOKUP(1,(_bbt3[[#All],[ID]]=A972)*(_bbt3[[#All],[METRIC_NAME]]="YLD_YTM_ASK"),_bbt3[[#All],[METRIC_VALUE]])*0.5)+(_xlfn.XLOOKUP(1,(_bbt3[[#All],[ID]]=A972)*(_bbt3[[#All],[METRIC_NAME]]="YLD_YTM_BID"),_bbt3[[#All],[METRIC_VALUE]])*0.5))/100,"")</f>
        <v/>
      </c>
      <c r="J972">
        <f>IF(ISNA(VLOOKUP(A972,'CloseDL - PriceSaverBBT3'!A:E,5,0)),0,VLOOKUP(A972,'CloseDL - PriceSaverBBT3'!A:E,5,0))</f>
        <v>0</v>
      </c>
      <c r="K972" s="7" t="str">
        <f t="shared" si="147"/>
        <v/>
      </c>
      <c r="L972" s="20">
        <f>IF(Close[[#This Row],[CreatedBy]]="MARINER\SilverAdm",1,0)</f>
        <v>1</v>
      </c>
      <c r="M972" t="str">
        <f>IF(NOT(ISBLANK(A972)),VLOOKUP(A972,'Close - PriceSaver'!A:J,6,0),"")</f>
        <v/>
      </c>
      <c r="Q972" t="e">
        <f t="shared" si="148"/>
        <v>#N/A</v>
      </c>
      <c r="R972" t="e">
        <f t="shared" si="140"/>
        <v>#N/A</v>
      </c>
      <c r="S972" t="e">
        <f t="shared" si="141"/>
        <v>#N/A</v>
      </c>
      <c r="T972" s="15" t="e">
        <f t="shared" si="143"/>
        <v>#N/A</v>
      </c>
      <c r="U972" s="18" t="e">
        <f t="shared" si="144"/>
        <v>#N/A</v>
      </c>
      <c r="V972" s="14" t="e">
        <f t="shared" si="142"/>
        <v>#N/A</v>
      </c>
      <c r="W972" s="19" t="e">
        <f t="shared" si="145"/>
        <v>#N/A</v>
      </c>
      <c r="X972" t="e">
        <f>VLOOKUP(P972,Close[[ID]:[CreatedBy]],8,0)</f>
        <v>#N/A</v>
      </c>
    </row>
    <row r="973" spans="2:24" x14ac:dyDescent="0.35">
      <c r="B973" t="str">
        <f>IF(NOT(ISBLANK(A973)),VLOOKUP(A973,'BBT3'!A:F,2,0),"")</f>
        <v/>
      </c>
      <c r="C973" t="str">
        <f>IF(NOT(ISBLANK(A973)),VLOOKUP(A973,'BBT3'!A:F,3,0),"")</f>
        <v/>
      </c>
      <c r="D973" s="5" t="str">
        <f>IF(NOT(ISBLANK(A973)),VLOOKUP(A973,'BBT3'!A:F,4,1),"")</f>
        <v/>
      </c>
      <c r="E973" t="str">
        <f>IF(NOT(ISBLANK(A973)),VLOOKUP(A973,'BBT3'!A:F,5,0),"")</f>
        <v/>
      </c>
      <c r="F973" t="str">
        <f>IF(NOT(ISBLANK(A973)),VLOOKUP(A973,'BBT3'!A:F,6,0),"")</f>
        <v/>
      </c>
      <c r="G973" t="str">
        <f t="shared" si="146"/>
        <v/>
      </c>
      <c r="H973" t="str">
        <f>IF(NOT(ISBLANK(A973)),VLOOKUP(A973,'Close - PriceSaver'!A:J,5,0),"")</f>
        <v/>
      </c>
      <c r="I973" s="4" t="str" cm="1">
        <f t="array" ref="I973">IF(NOT(ISBLANK(A973)),((_xlfn.XLOOKUP(1,(_bbt3[[#All],[ID]]=A973)*(_bbt3[[#All],[METRIC_NAME]]="YLD_YTM_ASK"),_bbt3[[#All],[METRIC_VALUE]])*0.5)+(_xlfn.XLOOKUP(1,(_bbt3[[#All],[ID]]=A973)*(_bbt3[[#All],[METRIC_NAME]]="YLD_YTM_BID"),_bbt3[[#All],[METRIC_VALUE]])*0.5))/100,"")</f>
        <v/>
      </c>
      <c r="J973">
        <f>IF(ISNA(VLOOKUP(A973,'CloseDL - PriceSaverBBT3'!A:E,5,0)),0,VLOOKUP(A973,'CloseDL - PriceSaverBBT3'!A:E,5,0))</f>
        <v>0</v>
      </c>
      <c r="K973" s="7" t="str">
        <f t="shared" si="147"/>
        <v/>
      </c>
      <c r="L973" s="20">
        <f>IF(Close[[#This Row],[CreatedBy]]="MARINER\SilverAdm",1,0)</f>
        <v>1</v>
      </c>
      <c r="M973" t="str">
        <f>IF(NOT(ISBLANK(A973)),VLOOKUP(A973,'Close - PriceSaver'!A:J,6,0),"")</f>
        <v/>
      </c>
      <c r="Q973" t="e">
        <f t="shared" si="148"/>
        <v>#N/A</v>
      </c>
      <c r="R973" t="e">
        <f t="shared" ref="R973:R1036" si="149">VLOOKUP(P973,A:B,2,0)</f>
        <v>#N/A</v>
      </c>
      <c r="S973" t="e">
        <f t="shared" ref="S973:S1036" si="150">VLOOKUP(P973,A:E,4,0)</f>
        <v>#N/A</v>
      </c>
      <c r="T973" s="15" t="e">
        <f t="shared" si="143"/>
        <v>#N/A</v>
      </c>
      <c r="U973" s="18" t="e">
        <f t="shared" si="144"/>
        <v>#N/A</v>
      </c>
      <c r="V973" s="14" t="e">
        <f t="shared" si="142"/>
        <v>#N/A</v>
      </c>
      <c r="W973" s="19" t="e">
        <f t="shared" si="145"/>
        <v>#N/A</v>
      </c>
      <c r="X973" t="e">
        <f>VLOOKUP(P973,Close[[ID]:[CreatedBy]],8,0)</f>
        <v>#N/A</v>
      </c>
    </row>
    <row r="974" spans="2:24" x14ac:dyDescent="0.35">
      <c r="B974" t="str">
        <f>IF(NOT(ISBLANK(A974)),VLOOKUP(A974,'BBT3'!A:F,2,0),"")</f>
        <v/>
      </c>
      <c r="C974" t="str">
        <f>IF(NOT(ISBLANK(A974)),VLOOKUP(A974,'BBT3'!A:F,3,0),"")</f>
        <v/>
      </c>
      <c r="D974" s="5" t="str">
        <f>IF(NOT(ISBLANK(A974)),VLOOKUP(A974,'BBT3'!A:F,4,1),"")</f>
        <v/>
      </c>
      <c r="E974" t="str">
        <f>IF(NOT(ISBLANK(A974)),VLOOKUP(A974,'BBT3'!A:F,5,0),"")</f>
        <v/>
      </c>
      <c r="F974" t="str">
        <f>IF(NOT(ISBLANK(A974)),VLOOKUP(A974,'BBT3'!A:F,6,0),"")</f>
        <v/>
      </c>
      <c r="G974" t="str">
        <f t="shared" si="146"/>
        <v/>
      </c>
      <c r="H974" t="str">
        <f>IF(NOT(ISBLANK(A974)),VLOOKUP(A974,'Close - PriceSaver'!A:J,5,0),"")</f>
        <v/>
      </c>
      <c r="I974" s="4" t="str" cm="1">
        <f t="array" ref="I974">IF(NOT(ISBLANK(A974)),((_xlfn.XLOOKUP(1,(_bbt3[[#All],[ID]]=A974)*(_bbt3[[#All],[METRIC_NAME]]="YLD_YTM_ASK"),_bbt3[[#All],[METRIC_VALUE]])*0.5)+(_xlfn.XLOOKUP(1,(_bbt3[[#All],[ID]]=A974)*(_bbt3[[#All],[METRIC_NAME]]="YLD_YTM_BID"),_bbt3[[#All],[METRIC_VALUE]])*0.5))/100,"")</f>
        <v/>
      </c>
      <c r="J974">
        <f>IF(ISNA(VLOOKUP(A974,'CloseDL - PriceSaverBBT3'!A:E,5,0)),0,VLOOKUP(A974,'CloseDL - PriceSaverBBT3'!A:E,5,0))</f>
        <v>0</v>
      </c>
      <c r="K974" s="7" t="str">
        <f t="shared" si="147"/>
        <v/>
      </c>
      <c r="L974" s="20">
        <f>IF(Close[[#This Row],[CreatedBy]]="MARINER\SilverAdm",1,0)</f>
        <v>1</v>
      </c>
      <c r="M974" t="str">
        <f>IF(NOT(ISBLANK(A974)),VLOOKUP(A974,'Close - PriceSaver'!A:J,6,0),"")</f>
        <v/>
      </c>
      <c r="Q974" t="e">
        <f t="shared" si="148"/>
        <v>#N/A</v>
      </c>
      <c r="R974" t="e">
        <f t="shared" si="149"/>
        <v>#N/A</v>
      </c>
      <c r="S974" t="e">
        <f t="shared" si="150"/>
        <v>#N/A</v>
      </c>
      <c r="T974" s="15" t="e">
        <f t="shared" si="143"/>
        <v>#N/A</v>
      </c>
      <c r="U974" s="18" t="e">
        <f t="shared" si="144"/>
        <v>#N/A</v>
      </c>
      <c r="V974" s="14" t="e">
        <f t="shared" ref="V974:V1037" si="151">VLOOKUP(Q974,A:K,10,0)</f>
        <v>#N/A</v>
      </c>
      <c r="W974" s="19" t="e">
        <f t="shared" si="145"/>
        <v>#N/A</v>
      </c>
      <c r="X974" t="e">
        <f>VLOOKUP(P974,Close[[ID]:[CreatedBy]],8,0)</f>
        <v>#N/A</v>
      </c>
    </row>
    <row r="975" spans="2:24" x14ac:dyDescent="0.35">
      <c r="B975" t="str">
        <f>IF(NOT(ISBLANK(A975)),VLOOKUP(A975,'BBT3'!A:F,2,0),"")</f>
        <v/>
      </c>
      <c r="C975" t="str">
        <f>IF(NOT(ISBLANK(A975)),VLOOKUP(A975,'BBT3'!A:F,3,0),"")</f>
        <v/>
      </c>
      <c r="D975" s="5" t="str">
        <f>IF(NOT(ISBLANK(A975)),VLOOKUP(A975,'BBT3'!A:F,4,1),"")</f>
        <v/>
      </c>
      <c r="E975" t="str">
        <f>IF(NOT(ISBLANK(A975)),VLOOKUP(A975,'BBT3'!A:F,5,0),"")</f>
        <v/>
      </c>
      <c r="F975" t="str">
        <f>IF(NOT(ISBLANK(A975)),VLOOKUP(A975,'BBT3'!A:F,6,0),"")</f>
        <v/>
      </c>
      <c r="G975" t="str">
        <f t="shared" si="146"/>
        <v/>
      </c>
      <c r="H975" t="str">
        <f>IF(NOT(ISBLANK(A975)),VLOOKUP(A975,'Close - PriceSaver'!A:J,5,0),"")</f>
        <v/>
      </c>
      <c r="I975" s="4" t="str" cm="1">
        <f t="array" ref="I975">IF(NOT(ISBLANK(A975)),((_xlfn.XLOOKUP(1,(_bbt3[[#All],[ID]]=A975)*(_bbt3[[#All],[METRIC_NAME]]="YLD_YTM_ASK"),_bbt3[[#All],[METRIC_VALUE]])*0.5)+(_xlfn.XLOOKUP(1,(_bbt3[[#All],[ID]]=A975)*(_bbt3[[#All],[METRIC_NAME]]="YLD_YTM_BID"),_bbt3[[#All],[METRIC_VALUE]])*0.5))/100,"")</f>
        <v/>
      </c>
      <c r="J975">
        <f>IF(ISNA(VLOOKUP(A975,'CloseDL - PriceSaverBBT3'!A:E,5,0)),0,VLOOKUP(A975,'CloseDL - PriceSaverBBT3'!A:E,5,0))</f>
        <v>0</v>
      </c>
      <c r="K975" s="7" t="str">
        <f t="shared" si="147"/>
        <v/>
      </c>
      <c r="L975" s="20">
        <f>IF(Close[[#This Row],[CreatedBy]]="MARINER\SilverAdm",1,0)</f>
        <v>1</v>
      </c>
      <c r="M975" t="str">
        <f>IF(NOT(ISBLANK(A975)),VLOOKUP(A975,'Close - PriceSaver'!A:J,6,0),"")</f>
        <v/>
      </c>
      <c r="Q975" t="e">
        <f t="shared" si="148"/>
        <v>#N/A</v>
      </c>
      <c r="R975" t="e">
        <f t="shared" si="149"/>
        <v>#N/A</v>
      </c>
      <c r="S975" t="e">
        <f t="shared" si="150"/>
        <v>#N/A</v>
      </c>
      <c r="T975" s="15" t="e">
        <f t="shared" si="143"/>
        <v>#N/A</v>
      </c>
      <c r="U975" s="18" t="e">
        <f t="shared" si="144"/>
        <v>#N/A</v>
      </c>
      <c r="V975" s="14" t="e">
        <f t="shared" si="151"/>
        <v>#N/A</v>
      </c>
      <c r="W975" s="19" t="e">
        <f t="shared" si="145"/>
        <v>#N/A</v>
      </c>
      <c r="X975" t="e">
        <f>VLOOKUP(P975,Close[[ID]:[CreatedBy]],8,0)</f>
        <v>#N/A</v>
      </c>
    </row>
    <row r="976" spans="2:24" x14ac:dyDescent="0.35">
      <c r="B976" t="str">
        <f>IF(NOT(ISBLANK(A976)),VLOOKUP(A976,'BBT3'!A:F,2,0),"")</f>
        <v/>
      </c>
      <c r="C976" t="str">
        <f>IF(NOT(ISBLANK(A976)),VLOOKUP(A976,'BBT3'!A:F,3,0),"")</f>
        <v/>
      </c>
      <c r="D976" s="5" t="str">
        <f>IF(NOT(ISBLANK(A976)),VLOOKUP(A976,'BBT3'!A:F,4,1),"")</f>
        <v/>
      </c>
      <c r="E976" t="str">
        <f>IF(NOT(ISBLANK(A976)),VLOOKUP(A976,'BBT3'!A:F,5,0),"")</f>
        <v/>
      </c>
      <c r="F976" t="str">
        <f>IF(NOT(ISBLANK(A976)),VLOOKUP(A976,'BBT3'!A:F,6,0),"")</f>
        <v/>
      </c>
      <c r="G976" t="str">
        <f t="shared" si="146"/>
        <v/>
      </c>
      <c r="H976" t="str">
        <f>IF(NOT(ISBLANK(A976)),VLOOKUP(A976,'Close - PriceSaver'!A:J,5,0),"")</f>
        <v/>
      </c>
      <c r="I976" s="4" t="str" cm="1">
        <f t="array" ref="I976">IF(NOT(ISBLANK(A976)),((_xlfn.XLOOKUP(1,(_bbt3[[#All],[ID]]=A976)*(_bbt3[[#All],[METRIC_NAME]]="YLD_YTM_ASK"),_bbt3[[#All],[METRIC_VALUE]])*0.5)+(_xlfn.XLOOKUP(1,(_bbt3[[#All],[ID]]=A976)*(_bbt3[[#All],[METRIC_NAME]]="YLD_YTM_BID"),_bbt3[[#All],[METRIC_VALUE]])*0.5))/100,"")</f>
        <v/>
      </c>
      <c r="J976">
        <f>IF(ISNA(VLOOKUP(A976,'CloseDL - PriceSaverBBT3'!A:E,5,0)),0,VLOOKUP(A976,'CloseDL - PriceSaverBBT3'!A:E,5,0))</f>
        <v>0</v>
      </c>
      <c r="K976" s="7" t="str">
        <f t="shared" si="147"/>
        <v/>
      </c>
      <c r="L976" s="20">
        <f>IF(Close[[#This Row],[CreatedBy]]="MARINER\SilverAdm",1,0)</f>
        <v>1</v>
      </c>
      <c r="M976" t="str">
        <f>IF(NOT(ISBLANK(A976)),VLOOKUP(A976,'Close - PriceSaver'!A:J,6,0),"")</f>
        <v/>
      </c>
      <c r="Q976" t="e">
        <f t="shared" si="148"/>
        <v>#N/A</v>
      </c>
      <c r="R976" t="e">
        <f t="shared" si="149"/>
        <v>#N/A</v>
      </c>
      <c r="S976" t="e">
        <f t="shared" si="150"/>
        <v>#N/A</v>
      </c>
      <c r="T976" s="15" t="e">
        <f t="shared" si="143"/>
        <v>#N/A</v>
      </c>
      <c r="U976" s="18" t="e">
        <f t="shared" si="144"/>
        <v>#N/A</v>
      </c>
      <c r="V976" s="14" t="e">
        <f t="shared" si="151"/>
        <v>#N/A</v>
      </c>
      <c r="W976" s="19" t="e">
        <f t="shared" si="145"/>
        <v>#N/A</v>
      </c>
      <c r="X976" t="e">
        <f>VLOOKUP(P976,Close[[ID]:[CreatedBy]],8,0)</f>
        <v>#N/A</v>
      </c>
    </row>
    <row r="977" spans="2:24" x14ac:dyDescent="0.35">
      <c r="B977" t="str">
        <f>IF(NOT(ISBLANK(A977)),VLOOKUP(A977,'BBT3'!A:F,2,0),"")</f>
        <v/>
      </c>
      <c r="C977" t="str">
        <f>IF(NOT(ISBLANK(A977)),VLOOKUP(A977,'BBT3'!A:F,3,0),"")</f>
        <v/>
      </c>
      <c r="D977" s="5" t="str">
        <f>IF(NOT(ISBLANK(A977)),VLOOKUP(A977,'BBT3'!A:F,4,1),"")</f>
        <v/>
      </c>
      <c r="E977" t="str">
        <f>IF(NOT(ISBLANK(A977)),VLOOKUP(A977,'BBT3'!A:F,5,0),"")</f>
        <v/>
      </c>
      <c r="F977" t="str">
        <f>IF(NOT(ISBLANK(A977)),VLOOKUP(A977,'BBT3'!A:F,6,0),"")</f>
        <v/>
      </c>
      <c r="G977" t="str">
        <f t="shared" si="146"/>
        <v/>
      </c>
      <c r="H977" t="str">
        <f>IF(NOT(ISBLANK(A977)),VLOOKUP(A977,'Close - PriceSaver'!A:J,5,0),"")</f>
        <v/>
      </c>
      <c r="I977" s="4" t="str" cm="1">
        <f t="array" ref="I977">IF(NOT(ISBLANK(A977)),((_xlfn.XLOOKUP(1,(_bbt3[[#All],[ID]]=A977)*(_bbt3[[#All],[METRIC_NAME]]="YLD_YTM_ASK"),_bbt3[[#All],[METRIC_VALUE]])*0.5)+(_xlfn.XLOOKUP(1,(_bbt3[[#All],[ID]]=A977)*(_bbt3[[#All],[METRIC_NAME]]="YLD_YTM_BID"),_bbt3[[#All],[METRIC_VALUE]])*0.5))/100,"")</f>
        <v/>
      </c>
      <c r="J977">
        <f>IF(ISNA(VLOOKUP(A977,'CloseDL - PriceSaverBBT3'!A:E,5,0)),0,VLOOKUP(A977,'CloseDL - PriceSaverBBT3'!A:E,5,0))</f>
        <v>0</v>
      </c>
      <c r="K977" s="7" t="str">
        <f t="shared" si="147"/>
        <v/>
      </c>
      <c r="L977" s="20">
        <f>IF(Close[[#This Row],[CreatedBy]]="MARINER\SilverAdm",1,0)</f>
        <v>1</v>
      </c>
      <c r="M977" t="str">
        <f>IF(NOT(ISBLANK(A977)),VLOOKUP(A977,'Close - PriceSaver'!A:J,6,0),"")</f>
        <v/>
      </c>
      <c r="Q977" t="e">
        <f t="shared" si="148"/>
        <v>#N/A</v>
      </c>
      <c r="R977" t="e">
        <f t="shared" si="149"/>
        <v>#N/A</v>
      </c>
      <c r="S977" t="e">
        <f t="shared" si="150"/>
        <v>#N/A</v>
      </c>
      <c r="T977" s="15" t="e">
        <f t="shared" si="143"/>
        <v>#N/A</v>
      </c>
      <c r="U977" s="18" t="e">
        <f t="shared" si="144"/>
        <v>#N/A</v>
      </c>
      <c r="V977" s="14" t="e">
        <f t="shared" si="151"/>
        <v>#N/A</v>
      </c>
      <c r="W977" s="19" t="e">
        <f t="shared" si="145"/>
        <v>#N/A</v>
      </c>
      <c r="X977" t="e">
        <f>VLOOKUP(P977,Close[[ID]:[CreatedBy]],8,0)</f>
        <v>#N/A</v>
      </c>
    </row>
    <row r="978" spans="2:24" x14ac:dyDescent="0.35">
      <c r="B978" t="str">
        <f>IF(NOT(ISBLANK(A978)),VLOOKUP(A978,'BBT3'!A:F,2,0),"")</f>
        <v/>
      </c>
      <c r="C978" t="str">
        <f>IF(NOT(ISBLANK(A978)),VLOOKUP(A978,'BBT3'!A:F,3,0),"")</f>
        <v/>
      </c>
      <c r="D978" s="5" t="str">
        <f>IF(NOT(ISBLANK(A978)),VLOOKUP(A978,'BBT3'!A:F,4,1),"")</f>
        <v/>
      </c>
      <c r="E978" t="str">
        <f>IF(NOT(ISBLANK(A978)),VLOOKUP(A978,'BBT3'!A:F,5,0),"")</f>
        <v/>
      </c>
      <c r="F978" t="str">
        <f>IF(NOT(ISBLANK(A978)),VLOOKUP(A978,'BBT3'!A:F,6,0),"")</f>
        <v/>
      </c>
      <c r="G978" t="str">
        <f t="shared" si="146"/>
        <v/>
      </c>
      <c r="H978" t="str">
        <f>IF(NOT(ISBLANK(A978)),VLOOKUP(A978,'Close - PriceSaver'!A:J,5,0),"")</f>
        <v/>
      </c>
      <c r="I978" s="4" t="str" cm="1">
        <f t="array" ref="I978">IF(NOT(ISBLANK(A978)),((_xlfn.XLOOKUP(1,(_bbt3[[#All],[ID]]=A978)*(_bbt3[[#All],[METRIC_NAME]]="YLD_YTM_ASK"),_bbt3[[#All],[METRIC_VALUE]])*0.5)+(_xlfn.XLOOKUP(1,(_bbt3[[#All],[ID]]=A978)*(_bbt3[[#All],[METRIC_NAME]]="YLD_YTM_BID"),_bbt3[[#All],[METRIC_VALUE]])*0.5))/100,"")</f>
        <v/>
      </c>
      <c r="J978">
        <f>IF(ISNA(VLOOKUP(A978,'CloseDL - PriceSaverBBT3'!A:E,5,0)),0,VLOOKUP(A978,'CloseDL - PriceSaverBBT3'!A:E,5,0))</f>
        <v>0</v>
      </c>
      <c r="K978" s="7" t="str">
        <f t="shared" si="147"/>
        <v/>
      </c>
      <c r="L978" s="20">
        <f>IF(Close[[#This Row],[CreatedBy]]="MARINER\SilverAdm",1,0)</f>
        <v>1</v>
      </c>
      <c r="M978" t="str">
        <f>IF(NOT(ISBLANK(A978)),VLOOKUP(A978,'Close - PriceSaver'!A:J,6,0),"")</f>
        <v/>
      </c>
      <c r="Q978" t="e">
        <f t="shared" si="148"/>
        <v>#N/A</v>
      </c>
      <c r="R978" t="e">
        <f t="shared" si="149"/>
        <v>#N/A</v>
      </c>
      <c r="S978" t="e">
        <f t="shared" si="150"/>
        <v>#N/A</v>
      </c>
      <c r="T978" s="15" t="e">
        <f t="shared" si="143"/>
        <v>#N/A</v>
      </c>
      <c r="U978" s="18" t="e">
        <f t="shared" si="144"/>
        <v>#N/A</v>
      </c>
      <c r="V978" s="14" t="e">
        <f t="shared" si="151"/>
        <v>#N/A</v>
      </c>
      <c r="W978" s="19" t="e">
        <f t="shared" si="145"/>
        <v>#N/A</v>
      </c>
      <c r="X978" t="e">
        <f>VLOOKUP(P978,Close[[ID]:[CreatedBy]],8,0)</f>
        <v>#N/A</v>
      </c>
    </row>
    <row r="979" spans="2:24" x14ac:dyDescent="0.35">
      <c r="B979" t="str">
        <f>IF(NOT(ISBLANK(A979)),VLOOKUP(A979,'BBT3'!A:F,2,0),"")</f>
        <v/>
      </c>
      <c r="C979" t="str">
        <f>IF(NOT(ISBLANK(A979)),VLOOKUP(A979,'BBT3'!A:F,3,0),"")</f>
        <v/>
      </c>
      <c r="D979" s="5" t="str">
        <f>IF(NOT(ISBLANK(A979)),VLOOKUP(A979,'BBT3'!A:F,4,1),"")</f>
        <v/>
      </c>
      <c r="E979" t="str">
        <f>IF(NOT(ISBLANK(A979)),VLOOKUP(A979,'BBT3'!A:F,5,0),"")</f>
        <v/>
      </c>
      <c r="F979" t="str">
        <f>IF(NOT(ISBLANK(A979)),VLOOKUP(A979,'BBT3'!A:F,6,0),"")</f>
        <v/>
      </c>
      <c r="G979" t="str">
        <f t="shared" si="146"/>
        <v/>
      </c>
      <c r="H979" t="str">
        <f>IF(NOT(ISBLANK(A979)),VLOOKUP(A979,'Close - PriceSaver'!A:J,5,0),"")</f>
        <v/>
      </c>
      <c r="I979" s="4" t="str" cm="1">
        <f t="array" ref="I979">IF(NOT(ISBLANK(A979)),((_xlfn.XLOOKUP(1,(_bbt3[[#All],[ID]]=A979)*(_bbt3[[#All],[METRIC_NAME]]="YLD_YTM_ASK"),_bbt3[[#All],[METRIC_VALUE]])*0.5)+(_xlfn.XLOOKUP(1,(_bbt3[[#All],[ID]]=A979)*(_bbt3[[#All],[METRIC_NAME]]="YLD_YTM_BID"),_bbt3[[#All],[METRIC_VALUE]])*0.5))/100,"")</f>
        <v/>
      </c>
      <c r="J979">
        <f>IF(ISNA(VLOOKUP(A979,'CloseDL - PriceSaverBBT3'!A:E,5,0)),0,VLOOKUP(A979,'CloseDL - PriceSaverBBT3'!A:E,5,0))</f>
        <v>0</v>
      </c>
      <c r="K979" s="7" t="str">
        <f t="shared" si="147"/>
        <v/>
      </c>
      <c r="L979" s="20">
        <f>IF(Close[[#This Row],[CreatedBy]]="MARINER\SilverAdm",1,0)</f>
        <v>1</v>
      </c>
      <c r="M979" t="str">
        <f>IF(NOT(ISBLANK(A979)),VLOOKUP(A979,'Close - PriceSaver'!A:J,6,0),"")</f>
        <v/>
      </c>
      <c r="Q979" t="e">
        <f t="shared" si="148"/>
        <v>#N/A</v>
      </c>
      <c r="R979" t="e">
        <f t="shared" si="149"/>
        <v>#N/A</v>
      </c>
      <c r="S979" t="e">
        <f t="shared" si="150"/>
        <v>#N/A</v>
      </c>
      <c r="T979" s="15" t="e">
        <f t="shared" si="143"/>
        <v>#N/A</v>
      </c>
      <c r="U979" s="18" t="e">
        <f t="shared" si="144"/>
        <v>#N/A</v>
      </c>
      <c r="V979" s="14" t="e">
        <f t="shared" si="151"/>
        <v>#N/A</v>
      </c>
      <c r="W979" s="19" t="e">
        <f t="shared" si="145"/>
        <v>#N/A</v>
      </c>
      <c r="X979" t="e">
        <f>VLOOKUP(P979,Close[[ID]:[CreatedBy]],8,0)</f>
        <v>#N/A</v>
      </c>
    </row>
    <row r="980" spans="2:24" x14ac:dyDescent="0.35">
      <c r="B980" t="str">
        <f>IF(NOT(ISBLANK(A980)),VLOOKUP(A980,'BBT3'!A:F,2,0),"")</f>
        <v/>
      </c>
      <c r="C980" t="str">
        <f>IF(NOT(ISBLANK(A980)),VLOOKUP(A980,'BBT3'!A:F,3,0),"")</f>
        <v/>
      </c>
      <c r="D980" s="5" t="str">
        <f>IF(NOT(ISBLANK(A980)),VLOOKUP(A980,'BBT3'!A:F,4,1),"")</f>
        <v/>
      </c>
      <c r="E980" t="str">
        <f>IF(NOT(ISBLANK(A980)),VLOOKUP(A980,'BBT3'!A:F,5,0),"")</f>
        <v/>
      </c>
      <c r="F980" t="str">
        <f>IF(NOT(ISBLANK(A980)),VLOOKUP(A980,'BBT3'!A:F,6,0),"")</f>
        <v/>
      </c>
      <c r="G980" t="str">
        <f t="shared" si="146"/>
        <v/>
      </c>
      <c r="H980" t="str">
        <f>IF(NOT(ISBLANK(A980)),VLOOKUP(A980,'Close - PriceSaver'!A:J,5,0),"")</f>
        <v/>
      </c>
      <c r="I980" s="4" t="str" cm="1">
        <f t="array" ref="I980">IF(NOT(ISBLANK(A980)),((_xlfn.XLOOKUP(1,(_bbt3[[#All],[ID]]=A980)*(_bbt3[[#All],[METRIC_NAME]]="YLD_YTM_ASK"),_bbt3[[#All],[METRIC_VALUE]])*0.5)+(_xlfn.XLOOKUP(1,(_bbt3[[#All],[ID]]=A980)*(_bbt3[[#All],[METRIC_NAME]]="YLD_YTM_BID"),_bbt3[[#All],[METRIC_VALUE]])*0.5))/100,"")</f>
        <v/>
      </c>
      <c r="J980">
        <f>IF(ISNA(VLOOKUP(A980,'CloseDL - PriceSaverBBT3'!A:E,5,0)),0,VLOOKUP(A980,'CloseDL - PriceSaverBBT3'!A:E,5,0))</f>
        <v>0</v>
      </c>
      <c r="K980" s="7" t="str">
        <f t="shared" si="147"/>
        <v/>
      </c>
      <c r="L980" s="20">
        <f>IF(Close[[#This Row],[CreatedBy]]="MARINER\SilverAdm",1,0)</f>
        <v>1</v>
      </c>
      <c r="M980" t="str">
        <f>IF(NOT(ISBLANK(A980)),VLOOKUP(A980,'Close - PriceSaver'!A:J,6,0),"")</f>
        <v/>
      </c>
      <c r="Q980" t="e">
        <f t="shared" si="148"/>
        <v>#N/A</v>
      </c>
      <c r="R980" t="e">
        <f t="shared" si="149"/>
        <v>#N/A</v>
      </c>
      <c r="S980" t="e">
        <f t="shared" si="150"/>
        <v>#N/A</v>
      </c>
      <c r="T980" s="15" t="e">
        <f t="shared" ref="T980:T1043" si="152">VLOOKUP(Q980,A:K,5,0)</f>
        <v>#N/A</v>
      </c>
      <c r="U980" s="18" t="e">
        <f t="shared" ref="U980:U1043" si="153">VLOOKUP(Q980,A:K,8,0)</f>
        <v>#N/A</v>
      </c>
      <c r="V980" s="14" t="e">
        <f t="shared" si="151"/>
        <v>#N/A</v>
      </c>
      <c r="W980" s="19" t="e">
        <f t="shared" ref="W980:W1043" si="154">(V980-U980)*100</f>
        <v>#N/A</v>
      </c>
      <c r="X980" t="e">
        <f>VLOOKUP(P980,Close[[ID]:[CreatedBy]],8,0)</f>
        <v>#N/A</v>
      </c>
    </row>
    <row r="981" spans="2:24" x14ac:dyDescent="0.35">
      <c r="B981" t="str">
        <f>IF(NOT(ISBLANK(A981)),VLOOKUP(A981,'BBT3'!A:F,2,0),"")</f>
        <v/>
      </c>
      <c r="C981" t="str">
        <f>IF(NOT(ISBLANK(A981)),VLOOKUP(A981,'BBT3'!A:F,3,0),"")</f>
        <v/>
      </c>
      <c r="D981" s="5" t="str">
        <f>IF(NOT(ISBLANK(A981)),VLOOKUP(A981,'BBT3'!A:F,4,1),"")</f>
        <v/>
      </c>
      <c r="E981" t="str">
        <f>IF(NOT(ISBLANK(A981)),VLOOKUP(A981,'BBT3'!A:F,5,0),"")</f>
        <v/>
      </c>
      <c r="F981" t="str">
        <f>IF(NOT(ISBLANK(A981)),VLOOKUP(A981,'BBT3'!A:F,6,0),"")</f>
        <v/>
      </c>
      <c r="G981" t="str">
        <f t="shared" si="146"/>
        <v/>
      </c>
      <c r="H981" t="str">
        <f>IF(NOT(ISBLANK(A981)),VLOOKUP(A981,'Close - PriceSaver'!A:J,5,0),"")</f>
        <v/>
      </c>
      <c r="I981" s="4" t="str" cm="1">
        <f t="array" ref="I981">IF(NOT(ISBLANK(A981)),((_xlfn.XLOOKUP(1,(_bbt3[[#All],[ID]]=A981)*(_bbt3[[#All],[METRIC_NAME]]="YLD_YTM_ASK"),_bbt3[[#All],[METRIC_VALUE]])*0.5)+(_xlfn.XLOOKUP(1,(_bbt3[[#All],[ID]]=A981)*(_bbt3[[#All],[METRIC_NAME]]="YLD_YTM_BID"),_bbt3[[#All],[METRIC_VALUE]])*0.5))/100,"")</f>
        <v/>
      </c>
      <c r="J981">
        <f>IF(ISNA(VLOOKUP(A981,'CloseDL - PriceSaverBBT3'!A:E,5,0)),0,VLOOKUP(A981,'CloseDL - PriceSaverBBT3'!A:E,5,0))</f>
        <v>0</v>
      </c>
      <c r="K981" s="7" t="str">
        <f t="shared" si="147"/>
        <v/>
      </c>
      <c r="L981" s="20">
        <f>IF(Close[[#This Row],[CreatedBy]]="MARINER\SilverAdm",1,0)</f>
        <v>1</v>
      </c>
      <c r="M981" t="str">
        <f>IF(NOT(ISBLANK(A981)),VLOOKUP(A981,'Close - PriceSaver'!A:J,6,0),"")</f>
        <v/>
      </c>
      <c r="Q981" t="e">
        <f t="shared" si="148"/>
        <v>#N/A</v>
      </c>
      <c r="R981" t="e">
        <f t="shared" si="149"/>
        <v>#N/A</v>
      </c>
      <c r="S981" t="e">
        <f t="shared" si="150"/>
        <v>#N/A</v>
      </c>
      <c r="T981" s="15" t="e">
        <f t="shared" si="152"/>
        <v>#N/A</v>
      </c>
      <c r="U981" s="18" t="e">
        <f t="shared" si="153"/>
        <v>#N/A</v>
      </c>
      <c r="V981" s="14" t="e">
        <f t="shared" si="151"/>
        <v>#N/A</v>
      </c>
      <c r="W981" s="19" t="e">
        <f t="shared" si="154"/>
        <v>#N/A</v>
      </c>
      <c r="X981" t="e">
        <f>VLOOKUP(P981,Close[[ID]:[CreatedBy]],8,0)</f>
        <v>#N/A</v>
      </c>
    </row>
    <row r="982" spans="2:24" x14ac:dyDescent="0.35">
      <c r="B982" t="str">
        <f>IF(NOT(ISBLANK(A982)),VLOOKUP(A982,'BBT3'!A:F,2,0),"")</f>
        <v/>
      </c>
      <c r="C982" t="str">
        <f>IF(NOT(ISBLANK(A982)),VLOOKUP(A982,'BBT3'!A:F,3,0),"")</f>
        <v/>
      </c>
      <c r="D982" s="5" t="str">
        <f>IF(NOT(ISBLANK(A982)),VLOOKUP(A982,'BBT3'!A:F,4,1),"")</f>
        <v/>
      </c>
      <c r="E982" t="str">
        <f>IF(NOT(ISBLANK(A982)),VLOOKUP(A982,'BBT3'!A:F,5,0),"")</f>
        <v/>
      </c>
      <c r="F982" t="str">
        <f>IF(NOT(ISBLANK(A982)),VLOOKUP(A982,'BBT3'!A:F,6,0),"")</f>
        <v/>
      </c>
      <c r="G982" t="str">
        <f t="shared" si="146"/>
        <v/>
      </c>
      <c r="H982" t="str">
        <f>IF(NOT(ISBLANK(A982)),VLOOKUP(A982,'Close - PriceSaver'!A:J,5,0),"")</f>
        <v/>
      </c>
      <c r="I982" s="4" t="str" cm="1">
        <f t="array" ref="I982">IF(NOT(ISBLANK(A982)),((_xlfn.XLOOKUP(1,(_bbt3[[#All],[ID]]=A982)*(_bbt3[[#All],[METRIC_NAME]]="YLD_YTM_ASK"),_bbt3[[#All],[METRIC_VALUE]])*0.5)+(_xlfn.XLOOKUP(1,(_bbt3[[#All],[ID]]=A982)*(_bbt3[[#All],[METRIC_NAME]]="YLD_YTM_BID"),_bbt3[[#All],[METRIC_VALUE]])*0.5))/100,"")</f>
        <v/>
      </c>
      <c r="J982">
        <f>IF(ISNA(VLOOKUP(A982,'CloseDL - PriceSaverBBT3'!A:E,5,0)),0,VLOOKUP(A982,'CloseDL - PriceSaverBBT3'!A:E,5,0))</f>
        <v>0</v>
      </c>
      <c r="K982" s="7" t="str">
        <f t="shared" si="147"/>
        <v/>
      </c>
      <c r="L982" s="20">
        <f>IF(Close[[#This Row],[CreatedBy]]="MARINER\SilverAdm",1,0)</f>
        <v>1</v>
      </c>
      <c r="M982" t="str">
        <f>IF(NOT(ISBLANK(A982)),VLOOKUP(A982,'Close - PriceSaver'!A:J,6,0),"")</f>
        <v/>
      </c>
      <c r="Q982" t="e">
        <f t="shared" si="148"/>
        <v>#N/A</v>
      </c>
      <c r="R982" t="e">
        <f t="shared" si="149"/>
        <v>#N/A</v>
      </c>
      <c r="S982" t="e">
        <f t="shared" si="150"/>
        <v>#N/A</v>
      </c>
      <c r="T982" s="15" t="e">
        <f t="shared" si="152"/>
        <v>#N/A</v>
      </c>
      <c r="U982" s="18" t="e">
        <f t="shared" si="153"/>
        <v>#N/A</v>
      </c>
      <c r="V982" s="14" t="e">
        <f t="shared" si="151"/>
        <v>#N/A</v>
      </c>
      <c r="W982" s="19" t="e">
        <f t="shared" si="154"/>
        <v>#N/A</v>
      </c>
      <c r="X982" t="e">
        <f>VLOOKUP(P982,Close[[ID]:[CreatedBy]],8,0)</f>
        <v>#N/A</v>
      </c>
    </row>
    <row r="983" spans="2:24" x14ac:dyDescent="0.35">
      <c r="B983" t="str">
        <f>IF(NOT(ISBLANK(A983)),VLOOKUP(A983,'BBT3'!A:F,2,0),"")</f>
        <v/>
      </c>
      <c r="C983" t="str">
        <f>IF(NOT(ISBLANK(A983)),VLOOKUP(A983,'BBT3'!A:F,3,0),"")</f>
        <v/>
      </c>
      <c r="D983" s="5" t="str">
        <f>IF(NOT(ISBLANK(A983)),VLOOKUP(A983,'BBT3'!A:F,4,1),"")</f>
        <v/>
      </c>
      <c r="E983" t="str">
        <f>IF(NOT(ISBLANK(A983)),VLOOKUP(A983,'BBT3'!A:F,5,0),"")</f>
        <v/>
      </c>
      <c r="F983" t="str">
        <f>IF(NOT(ISBLANK(A983)),VLOOKUP(A983,'BBT3'!A:F,6,0),"")</f>
        <v/>
      </c>
      <c r="G983" t="str">
        <f t="shared" si="146"/>
        <v/>
      </c>
      <c r="H983" t="str">
        <f>IF(NOT(ISBLANK(A983)),VLOOKUP(A983,'Close - PriceSaver'!A:J,5,0),"")</f>
        <v/>
      </c>
      <c r="I983" s="4" t="str" cm="1">
        <f t="array" ref="I983">IF(NOT(ISBLANK(A983)),((_xlfn.XLOOKUP(1,(_bbt3[[#All],[ID]]=A983)*(_bbt3[[#All],[METRIC_NAME]]="YLD_YTM_ASK"),_bbt3[[#All],[METRIC_VALUE]])*0.5)+(_xlfn.XLOOKUP(1,(_bbt3[[#All],[ID]]=A983)*(_bbt3[[#All],[METRIC_NAME]]="YLD_YTM_BID"),_bbt3[[#All],[METRIC_VALUE]])*0.5))/100,"")</f>
        <v/>
      </c>
      <c r="J983">
        <f>IF(ISNA(VLOOKUP(A983,'CloseDL - PriceSaverBBT3'!A:E,5,0)),0,VLOOKUP(A983,'CloseDL - PriceSaverBBT3'!A:E,5,0))</f>
        <v>0</v>
      </c>
      <c r="K983" s="7" t="str">
        <f t="shared" si="147"/>
        <v/>
      </c>
      <c r="L983" s="20">
        <f>IF(Close[[#This Row],[CreatedBy]]="MARINER\SilverAdm",1,0)</f>
        <v>1</v>
      </c>
      <c r="M983" t="str">
        <f>IF(NOT(ISBLANK(A983)),VLOOKUP(A983,'Close - PriceSaver'!A:J,6,0),"")</f>
        <v/>
      </c>
      <c r="Q983" t="e">
        <f t="shared" si="148"/>
        <v>#N/A</v>
      </c>
      <c r="R983" t="e">
        <f t="shared" si="149"/>
        <v>#N/A</v>
      </c>
      <c r="S983" t="e">
        <f t="shared" si="150"/>
        <v>#N/A</v>
      </c>
      <c r="T983" s="15" t="e">
        <f t="shared" si="152"/>
        <v>#N/A</v>
      </c>
      <c r="U983" s="18" t="e">
        <f t="shared" si="153"/>
        <v>#N/A</v>
      </c>
      <c r="V983" s="14" t="e">
        <f t="shared" si="151"/>
        <v>#N/A</v>
      </c>
      <c r="W983" s="19" t="e">
        <f t="shared" si="154"/>
        <v>#N/A</v>
      </c>
      <c r="X983" t="e">
        <f>VLOOKUP(P983,Close[[ID]:[CreatedBy]],8,0)</f>
        <v>#N/A</v>
      </c>
    </row>
    <row r="984" spans="2:24" x14ac:dyDescent="0.35">
      <c r="B984" t="str">
        <f>IF(NOT(ISBLANK(A984)),VLOOKUP(A984,'BBT3'!A:F,2,0),"")</f>
        <v/>
      </c>
      <c r="C984" t="str">
        <f>IF(NOT(ISBLANK(A984)),VLOOKUP(A984,'BBT3'!A:F,3,0),"")</f>
        <v/>
      </c>
      <c r="D984" s="5" t="str">
        <f>IF(NOT(ISBLANK(A984)),VLOOKUP(A984,'BBT3'!A:F,4,1),"")</f>
        <v/>
      </c>
      <c r="E984" t="str">
        <f>IF(NOT(ISBLANK(A984)),VLOOKUP(A984,'BBT3'!A:F,5,0),"")</f>
        <v/>
      </c>
      <c r="F984" t="str">
        <f>IF(NOT(ISBLANK(A984)),VLOOKUP(A984,'BBT3'!A:F,6,0),"")</f>
        <v/>
      </c>
      <c r="G984" t="str">
        <f t="shared" si="146"/>
        <v/>
      </c>
      <c r="H984" t="str">
        <f>IF(NOT(ISBLANK(A984)),VLOOKUP(A984,'Close - PriceSaver'!A:J,5,0),"")</f>
        <v/>
      </c>
      <c r="I984" s="4" t="str" cm="1">
        <f t="array" ref="I984">IF(NOT(ISBLANK(A984)),((_xlfn.XLOOKUP(1,(_bbt3[[#All],[ID]]=A984)*(_bbt3[[#All],[METRIC_NAME]]="YLD_YTM_ASK"),_bbt3[[#All],[METRIC_VALUE]])*0.5)+(_xlfn.XLOOKUP(1,(_bbt3[[#All],[ID]]=A984)*(_bbt3[[#All],[METRIC_NAME]]="YLD_YTM_BID"),_bbt3[[#All],[METRIC_VALUE]])*0.5))/100,"")</f>
        <v/>
      </c>
      <c r="J984">
        <f>IF(ISNA(VLOOKUP(A984,'CloseDL - PriceSaverBBT3'!A:E,5,0)),0,VLOOKUP(A984,'CloseDL - PriceSaverBBT3'!A:E,5,0))</f>
        <v>0</v>
      </c>
      <c r="K984" s="7" t="str">
        <f t="shared" si="147"/>
        <v/>
      </c>
      <c r="L984" s="20">
        <f>IF(Close[[#This Row],[CreatedBy]]="MARINER\SilverAdm",1,0)</f>
        <v>1</v>
      </c>
      <c r="M984" t="str">
        <f>IF(NOT(ISBLANK(A984)),VLOOKUP(A984,'Close - PriceSaver'!A:J,6,0),"")</f>
        <v/>
      </c>
      <c r="Q984" t="e">
        <f t="shared" si="148"/>
        <v>#N/A</v>
      </c>
      <c r="R984" t="e">
        <f t="shared" si="149"/>
        <v>#N/A</v>
      </c>
      <c r="S984" t="e">
        <f t="shared" si="150"/>
        <v>#N/A</v>
      </c>
      <c r="T984" s="15" t="e">
        <f t="shared" si="152"/>
        <v>#N/A</v>
      </c>
      <c r="U984" s="18" t="e">
        <f t="shared" si="153"/>
        <v>#N/A</v>
      </c>
      <c r="V984" s="14" t="e">
        <f t="shared" si="151"/>
        <v>#N/A</v>
      </c>
      <c r="W984" s="19" t="e">
        <f t="shared" si="154"/>
        <v>#N/A</v>
      </c>
      <c r="X984" t="e">
        <f>VLOOKUP(P984,Close[[ID]:[CreatedBy]],8,0)</f>
        <v>#N/A</v>
      </c>
    </row>
    <row r="985" spans="2:24" x14ac:dyDescent="0.35">
      <c r="B985" t="str">
        <f>IF(NOT(ISBLANK(A985)),VLOOKUP(A985,'BBT3'!A:F,2,0),"")</f>
        <v/>
      </c>
      <c r="C985" t="str">
        <f>IF(NOT(ISBLANK(A985)),VLOOKUP(A985,'BBT3'!A:F,3,0),"")</f>
        <v/>
      </c>
      <c r="D985" s="5" t="str">
        <f>IF(NOT(ISBLANK(A985)),VLOOKUP(A985,'BBT3'!A:F,4,1),"")</f>
        <v/>
      </c>
      <c r="E985" t="str">
        <f>IF(NOT(ISBLANK(A985)),VLOOKUP(A985,'BBT3'!A:F,5,0),"")</f>
        <v/>
      </c>
      <c r="F985" t="str">
        <f>IF(NOT(ISBLANK(A985)),VLOOKUP(A985,'BBT3'!A:F,6,0),"")</f>
        <v/>
      </c>
      <c r="G985" t="str">
        <f t="shared" si="146"/>
        <v/>
      </c>
      <c r="H985" t="str">
        <f>IF(NOT(ISBLANK(A985)),VLOOKUP(A985,'Close - PriceSaver'!A:J,5,0),"")</f>
        <v/>
      </c>
      <c r="I985" s="4" t="str" cm="1">
        <f t="array" ref="I985">IF(NOT(ISBLANK(A985)),((_xlfn.XLOOKUP(1,(_bbt3[[#All],[ID]]=A985)*(_bbt3[[#All],[METRIC_NAME]]="YLD_YTM_ASK"),_bbt3[[#All],[METRIC_VALUE]])*0.5)+(_xlfn.XLOOKUP(1,(_bbt3[[#All],[ID]]=A985)*(_bbt3[[#All],[METRIC_NAME]]="YLD_YTM_BID"),_bbt3[[#All],[METRIC_VALUE]])*0.5))/100,"")</f>
        <v/>
      </c>
      <c r="J985">
        <f>IF(ISNA(VLOOKUP(A985,'CloseDL - PriceSaverBBT3'!A:E,5,0)),0,VLOOKUP(A985,'CloseDL - PriceSaverBBT3'!A:E,5,0))</f>
        <v>0</v>
      </c>
      <c r="K985" s="7" t="str">
        <f t="shared" si="147"/>
        <v/>
      </c>
      <c r="L985" s="20">
        <f>IF(Close[[#This Row],[CreatedBy]]="MARINER\SilverAdm",1,0)</f>
        <v>1</v>
      </c>
      <c r="M985" t="str">
        <f>IF(NOT(ISBLANK(A985)),VLOOKUP(A985,'Close - PriceSaver'!A:J,6,0),"")</f>
        <v/>
      </c>
      <c r="Q985" t="e">
        <f t="shared" si="148"/>
        <v>#N/A</v>
      </c>
      <c r="R985" t="e">
        <f t="shared" si="149"/>
        <v>#N/A</v>
      </c>
      <c r="S985" t="e">
        <f t="shared" si="150"/>
        <v>#N/A</v>
      </c>
      <c r="T985" s="15" t="e">
        <f t="shared" si="152"/>
        <v>#N/A</v>
      </c>
      <c r="U985" s="18" t="e">
        <f t="shared" si="153"/>
        <v>#N/A</v>
      </c>
      <c r="V985" s="14" t="e">
        <f t="shared" si="151"/>
        <v>#N/A</v>
      </c>
      <c r="W985" s="19" t="e">
        <f t="shared" si="154"/>
        <v>#N/A</v>
      </c>
      <c r="X985" t="e">
        <f>VLOOKUP(P985,Close[[ID]:[CreatedBy]],8,0)</f>
        <v>#N/A</v>
      </c>
    </row>
    <row r="986" spans="2:24" x14ac:dyDescent="0.35">
      <c r="B986" t="str">
        <f>IF(NOT(ISBLANK(A986)),VLOOKUP(A986,'BBT3'!A:F,2,0),"")</f>
        <v/>
      </c>
      <c r="C986" t="str">
        <f>IF(NOT(ISBLANK(A986)),VLOOKUP(A986,'BBT3'!A:F,3,0),"")</f>
        <v/>
      </c>
      <c r="D986" s="5" t="str">
        <f>IF(NOT(ISBLANK(A986)),VLOOKUP(A986,'BBT3'!A:F,4,1),"")</f>
        <v/>
      </c>
      <c r="E986" t="str">
        <f>IF(NOT(ISBLANK(A986)),VLOOKUP(A986,'BBT3'!A:F,5,0),"")</f>
        <v/>
      </c>
      <c r="F986" t="str">
        <f>IF(NOT(ISBLANK(A986)),VLOOKUP(A986,'BBT3'!A:F,6,0),"")</f>
        <v/>
      </c>
      <c r="G986" t="str">
        <f t="shared" si="146"/>
        <v/>
      </c>
      <c r="H986" t="str">
        <f>IF(NOT(ISBLANK(A986)),VLOOKUP(A986,'Close - PriceSaver'!A:J,5,0),"")</f>
        <v/>
      </c>
      <c r="I986" s="4" t="str" cm="1">
        <f t="array" ref="I986">IF(NOT(ISBLANK(A986)),((_xlfn.XLOOKUP(1,(_bbt3[[#All],[ID]]=A986)*(_bbt3[[#All],[METRIC_NAME]]="YLD_YTM_ASK"),_bbt3[[#All],[METRIC_VALUE]])*0.5)+(_xlfn.XLOOKUP(1,(_bbt3[[#All],[ID]]=A986)*(_bbt3[[#All],[METRIC_NAME]]="YLD_YTM_BID"),_bbt3[[#All],[METRIC_VALUE]])*0.5))/100,"")</f>
        <v/>
      </c>
      <c r="J986">
        <f>IF(ISNA(VLOOKUP(A986,'CloseDL - PriceSaverBBT3'!A:E,5,0)),0,VLOOKUP(A986,'CloseDL - PriceSaverBBT3'!A:E,5,0))</f>
        <v>0</v>
      </c>
      <c r="K986" s="7" t="str">
        <f t="shared" si="147"/>
        <v/>
      </c>
      <c r="L986" s="20">
        <f>IF(Close[[#This Row],[CreatedBy]]="MARINER\SilverAdm",1,0)</f>
        <v>1</v>
      </c>
      <c r="M986" t="str">
        <f>IF(NOT(ISBLANK(A986)),VLOOKUP(A986,'Close - PriceSaver'!A:J,6,0),"")</f>
        <v/>
      </c>
      <c r="Q986" t="e">
        <f t="shared" si="148"/>
        <v>#N/A</v>
      </c>
      <c r="R986" t="e">
        <f t="shared" si="149"/>
        <v>#N/A</v>
      </c>
      <c r="S986" t="e">
        <f t="shared" si="150"/>
        <v>#N/A</v>
      </c>
      <c r="T986" s="15" t="e">
        <f t="shared" si="152"/>
        <v>#N/A</v>
      </c>
      <c r="U986" s="18" t="e">
        <f t="shared" si="153"/>
        <v>#N/A</v>
      </c>
      <c r="V986" s="14" t="e">
        <f t="shared" si="151"/>
        <v>#N/A</v>
      </c>
      <c r="W986" s="19" t="e">
        <f t="shared" si="154"/>
        <v>#N/A</v>
      </c>
      <c r="X986" t="e">
        <f>VLOOKUP(P986,Close[[ID]:[CreatedBy]],8,0)</f>
        <v>#N/A</v>
      </c>
    </row>
    <row r="987" spans="2:24" x14ac:dyDescent="0.35">
      <c r="B987" t="str">
        <f>IF(NOT(ISBLANK(A987)),VLOOKUP(A987,'BBT3'!A:F,2,0),"")</f>
        <v/>
      </c>
      <c r="C987" t="str">
        <f>IF(NOT(ISBLANK(A987)),VLOOKUP(A987,'BBT3'!A:F,3,0),"")</f>
        <v/>
      </c>
      <c r="D987" s="5" t="str">
        <f>IF(NOT(ISBLANK(A987)),VLOOKUP(A987,'BBT3'!A:F,4,1),"")</f>
        <v/>
      </c>
      <c r="E987" t="str">
        <f>IF(NOT(ISBLANK(A987)),VLOOKUP(A987,'BBT3'!A:F,5,0),"")</f>
        <v/>
      </c>
      <c r="F987" t="str">
        <f>IF(NOT(ISBLANK(A987)),VLOOKUP(A987,'BBT3'!A:F,6,0),"")</f>
        <v/>
      </c>
      <c r="G987" t="str">
        <f t="shared" si="146"/>
        <v/>
      </c>
      <c r="H987" t="str">
        <f>IF(NOT(ISBLANK(A987)),VLOOKUP(A987,'Close - PriceSaver'!A:J,5,0),"")</f>
        <v/>
      </c>
      <c r="I987" s="4" t="str" cm="1">
        <f t="array" ref="I987">IF(NOT(ISBLANK(A987)),((_xlfn.XLOOKUP(1,(_bbt3[[#All],[ID]]=A987)*(_bbt3[[#All],[METRIC_NAME]]="YLD_YTM_ASK"),_bbt3[[#All],[METRIC_VALUE]])*0.5)+(_xlfn.XLOOKUP(1,(_bbt3[[#All],[ID]]=A987)*(_bbt3[[#All],[METRIC_NAME]]="YLD_YTM_BID"),_bbt3[[#All],[METRIC_VALUE]])*0.5))/100,"")</f>
        <v/>
      </c>
      <c r="J987">
        <f>IF(ISNA(VLOOKUP(A987,'CloseDL - PriceSaverBBT3'!A:E,5,0)),0,VLOOKUP(A987,'CloseDL - PriceSaverBBT3'!A:E,5,0))</f>
        <v>0</v>
      </c>
      <c r="K987" s="7" t="str">
        <f t="shared" si="147"/>
        <v/>
      </c>
      <c r="L987" s="20">
        <f>IF(Close[[#This Row],[CreatedBy]]="MARINER\SilverAdm",1,0)</f>
        <v>1</v>
      </c>
      <c r="M987" t="str">
        <f>IF(NOT(ISBLANK(A987)),VLOOKUP(A987,'Close - PriceSaver'!A:J,6,0),"")</f>
        <v/>
      </c>
      <c r="Q987" t="e">
        <f t="shared" si="148"/>
        <v>#N/A</v>
      </c>
      <c r="R987" t="e">
        <f t="shared" si="149"/>
        <v>#N/A</v>
      </c>
      <c r="S987" t="e">
        <f t="shared" si="150"/>
        <v>#N/A</v>
      </c>
      <c r="T987" s="15" t="e">
        <f t="shared" si="152"/>
        <v>#N/A</v>
      </c>
      <c r="U987" s="18" t="e">
        <f t="shared" si="153"/>
        <v>#N/A</v>
      </c>
      <c r="V987" s="14" t="e">
        <f t="shared" si="151"/>
        <v>#N/A</v>
      </c>
      <c r="W987" s="19" t="e">
        <f t="shared" si="154"/>
        <v>#N/A</v>
      </c>
      <c r="X987" t="e">
        <f>VLOOKUP(P987,Close[[ID]:[CreatedBy]],8,0)</f>
        <v>#N/A</v>
      </c>
    </row>
    <row r="988" spans="2:24" x14ac:dyDescent="0.35">
      <c r="B988" t="str">
        <f>IF(NOT(ISBLANK(A988)),VLOOKUP(A988,'BBT3'!A:F,2,0),"")</f>
        <v/>
      </c>
      <c r="C988" t="str">
        <f>IF(NOT(ISBLANK(A988)),VLOOKUP(A988,'BBT3'!A:F,3,0),"")</f>
        <v/>
      </c>
      <c r="D988" s="5" t="str">
        <f>IF(NOT(ISBLANK(A988)),VLOOKUP(A988,'BBT3'!A:F,4,1),"")</f>
        <v/>
      </c>
      <c r="E988" t="str">
        <f>IF(NOT(ISBLANK(A988)),VLOOKUP(A988,'BBT3'!A:F,5,0),"")</f>
        <v/>
      </c>
      <c r="F988" t="str">
        <f>IF(NOT(ISBLANK(A988)),VLOOKUP(A988,'BBT3'!A:F,6,0),"")</f>
        <v/>
      </c>
      <c r="G988" t="str">
        <f t="shared" si="146"/>
        <v/>
      </c>
      <c r="H988" t="str">
        <f>IF(NOT(ISBLANK(A988)),VLOOKUP(A988,'Close - PriceSaver'!A:J,5,0),"")</f>
        <v/>
      </c>
      <c r="I988" s="4" t="str" cm="1">
        <f t="array" ref="I988">IF(NOT(ISBLANK(A988)),((_xlfn.XLOOKUP(1,(_bbt3[[#All],[ID]]=A988)*(_bbt3[[#All],[METRIC_NAME]]="YLD_YTM_ASK"),_bbt3[[#All],[METRIC_VALUE]])*0.5)+(_xlfn.XLOOKUP(1,(_bbt3[[#All],[ID]]=A988)*(_bbt3[[#All],[METRIC_NAME]]="YLD_YTM_BID"),_bbt3[[#All],[METRIC_VALUE]])*0.5))/100,"")</f>
        <v/>
      </c>
      <c r="J988">
        <f>IF(ISNA(VLOOKUP(A988,'CloseDL - PriceSaverBBT3'!A:E,5,0)),0,VLOOKUP(A988,'CloseDL - PriceSaverBBT3'!A:E,5,0))</f>
        <v>0</v>
      </c>
      <c r="K988" s="7" t="str">
        <f t="shared" si="147"/>
        <v/>
      </c>
      <c r="L988" s="20">
        <f>IF(Close[[#This Row],[CreatedBy]]="MARINER\SilverAdm",1,0)</f>
        <v>1</v>
      </c>
      <c r="M988" t="str">
        <f>IF(NOT(ISBLANK(A988)),VLOOKUP(A988,'Close - PriceSaver'!A:J,6,0),"")</f>
        <v/>
      </c>
      <c r="Q988" t="e">
        <f t="shared" si="148"/>
        <v>#N/A</v>
      </c>
      <c r="R988" t="e">
        <f t="shared" si="149"/>
        <v>#N/A</v>
      </c>
      <c r="S988" t="e">
        <f t="shared" si="150"/>
        <v>#N/A</v>
      </c>
      <c r="T988" s="15" t="e">
        <f t="shared" si="152"/>
        <v>#N/A</v>
      </c>
      <c r="U988" s="18" t="e">
        <f t="shared" si="153"/>
        <v>#N/A</v>
      </c>
      <c r="V988" s="14" t="e">
        <f t="shared" si="151"/>
        <v>#N/A</v>
      </c>
      <c r="W988" s="19" t="e">
        <f t="shared" si="154"/>
        <v>#N/A</v>
      </c>
      <c r="X988" t="e">
        <f>VLOOKUP(P988,Close[[ID]:[CreatedBy]],8,0)</f>
        <v>#N/A</v>
      </c>
    </row>
    <row r="989" spans="2:24" x14ac:dyDescent="0.35">
      <c r="B989" t="str">
        <f>IF(NOT(ISBLANK(A989)),VLOOKUP(A989,'BBT3'!A:F,2,0),"")</f>
        <v/>
      </c>
      <c r="C989" t="str">
        <f>IF(NOT(ISBLANK(A989)),VLOOKUP(A989,'BBT3'!A:F,3,0),"")</f>
        <v/>
      </c>
      <c r="D989" s="5" t="str">
        <f>IF(NOT(ISBLANK(A989)),VLOOKUP(A989,'BBT3'!A:F,4,1),"")</f>
        <v/>
      </c>
      <c r="E989" t="str">
        <f>IF(NOT(ISBLANK(A989)),VLOOKUP(A989,'BBT3'!A:F,5,0),"")</f>
        <v/>
      </c>
      <c r="F989" t="str">
        <f>IF(NOT(ISBLANK(A989)),VLOOKUP(A989,'BBT3'!A:F,6,0),"")</f>
        <v/>
      </c>
      <c r="G989" t="str">
        <f t="shared" si="146"/>
        <v/>
      </c>
      <c r="H989" t="str">
        <f>IF(NOT(ISBLANK(A989)),VLOOKUP(A989,'Close - PriceSaver'!A:J,5,0),"")</f>
        <v/>
      </c>
      <c r="I989" s="4" t="str" cm="1">
        <f t="array" ref="I989">IF(NOT(ISBLANK(A989)),((_xlfn.XLOOKUP(1,(_bbt3[[#All],[ID]]=A989)*(_bbt3[[#All],[METRIC_NAME]]="YLD_YTM_ASK"),_bbt3[[#All],[METRIC_VALUE]])*0.5)+(_xlfn.XLOOKUP(1,(_bbt3[[#All],[ID]]=A989)*(_bbt3[[#All],[METRIC_NAME]]="YLD_YTM_BID"),_bbt3[[#All],[METRIC_VALUE]])*0.5))/100,"")</f>
        <v/>
      </c>
      <c r="J989">
        <f>IF(ISNA(VLOOKUP(A989,'CloseDL - PriceSaverBBT3'!A:E,5,0)),0,VLOOKUP(A989,'CloseDL - PriceSaverBBT3'!A:E,5,0))</f>
        <v>0</v>
      </c>
      <c r="K989" s="7" t="str">
        <f t="shared" si="147"/>
        <v/>
      </c>
      <c r="L989" s="20">
        <f>IF(Close[[#This Row],[CreatedBy]]="MARINER\SilverAdm",1,0)</f>
        <v>1</v>
      </c>
      <c r="M989" t="str">
        <f>IF(NOT(ISBLANK(A989)),VLOOKUP(A989,'Close - PriceSaver'!A:J,6,0),"")</f>
        <v/>
      </c>
      <c r="Q989" t="e">
        <f t="shared" si="148"/>
        <v>#N/A</v>
      </c>
      <c r="R989" t="e">
        <f t="shared" si="149"/>
        <v>#N/A</v>
      </c>
      <c r="S989" t="e">
        <f t="shared" si="150"/>
        <v>#N/A</v>
      </c>
      <c r="T989" s="15" t="e">
        <f t="shared" si="152"/>
        <v>#N/A</v>
      </c>
      <c r="U989" s="18" t="e">
        <f t="shared" si="153"/>
        <v>#N/A</v>
      </c>
      <c r="V989" s="14" t="e">
        <f t="shared" si="151"/>
        <v>#N/A</v>
      </c>
      <c r="W989" s="19" t="e">
        <f t="shared" si="154"/>
        <v>#N/A</v>
      </c>
      <c r="X989" t="e">
        <f>VLOOKUP(P989,Close[[ID]:[CreatedBy]],8,0)</f>
        <v>#N/A</v>
      </c>
    </row>
    <row r="990" spans="2:24" x14ac:dyDescent="0.35">
      <c r="B990" t="str">
        <f>IF(NOT(ISBLANK(A990)),VLOOKUP(A990,'BBT3'!A:F,2,0),"")</f>
        <v/>
      </c>
      <c r="C990" t="str">
        <f>IF(NOT(ISBLANK(A990)),VLOOKUP(A990,'BBT3'!A:F,3,0),"")</f>
        <v/>
      </c>
      <c r="D990" s="5" t="str">
        <f>IF(NOT(ISBLANK(A990)),VLOOKUP(A990,'BBT3'!A:F,4,1),"")</f>
        <v/>
      </c>
      <c r="E990" t="str">
        <f>IF(NOT(ISBLANK(A990)),VLOOKUP(A990,'BBT3'!A:F,5,0),"")</f>
        <v/>
      </c>
      <c r="F990" t="str">
        <f>IF(NOT(ISBLANK(A990)),VLOOKUP(A990,'BBT3'!A:F,6,0),"")</f>
        <v/>
      </c>
      <c r="G990" t="str">
        <f t="shared" si="146"/>
        <v/>
      </c>
      <c r="H990" t="str">
        <f>IF(NOT(ISBLANK(A990)),VLOOKUP(A990,'Close - PriceSaver'!A:J,5,0),"")</f>
        <v/>
      </c>
      <c r="I990" s="4" t="str" cm="1">
        <f t="array" ref="I990">IF(NOT(ISBLANK(A990)),((_xlfn.XLOOKUP(1,(_bbt3[[#All],[ID]]=A990)*(_bbt3[[#All],[METRIC_NAME]]="YLD_YTM_ASK"),_bbt3[[#All],[METRIC_VALUE]])*0.5)+(_xlfn.XLOOKUP(1,(_bbt3[[#All],[ID]]=A990)*(_bbt3[[#All],[METRIC_NAME]]="YLD_YTM_BID"),_bbt3[[#All],[METRIC_VALUE]])*0.5))/100,"")</f>
        <v/>
      </c>
      <c r="J990">
        <f>IF(ISNA(VLOOKUP(A990,'CloseDL - PriceSaverBBT3'!A:E,5,0)),0,VLOOKUP(A990,'CloseDL - PriceSaverBBT3'!A:E,5,0))</f>
        <v>0</v>
      </c>
      <c r="K990" s="7" t="str">
        <f t="shared" si="147"/>
        <v/>
      </c>
      <c r="L990" s="20">
        <f>IF(Close[[#This Row],[CreatedBy]]="MARINER\SilverAdm",1,0)</f>
        <v>1</v>
      </c>
      <c r="M990" t="str">
        <f>IF(NOT(ISBLANK(A990)),VLOOKUP(A990,'Close - PriceSaver'!A:J,6,0),"")</f>
        <v/>
      </c>
      <c r="Q990" t="e">
        <f t="shared" si="148"/>
        <v>#N/A</v>
      </c>
      <c r="R990" t="e">
        <f t="shared" si="149"/>
        <v>#N/A</v>
      </c>
      <c r="S990" t="e">
        <f t="shared" si="150"/>
        <v>#N/A</v>
      </c>
      <c r="T990" s="15" t="e">
        <f t="shared" si="152"/>
        <v>#N/A</v>
      </c>
      <c r="U990" s="18" t="e">
        <f t="shared" si="153"/>
        <v>#N/A</v>
      </c>
      <c r="V990" s="14" t="e">
        <f t="shared" si="151"/>
        <v>#N/A</v>
      </c>
      <c r="W990" s="19" t="e">
        <f t="shared" si="154"/>
        <v>#N/A</v>
      </c>
      <c r="X990" t="e">
        <f>VLOOKUP(P990,Close[[ID]:[CreatedBy]],8,0)</f>
        <v>#N/A</v>
      </c>
    </row>
    <row r="991" spans="2:24" x14ac:dyDescent="0.35">
      <c r="B991" t="str">
        <f>IF(NOT(ISBLANK(A991)),VLOOKUP(A991,'BBT3'!A:F,2,0),"")</f>
        <v/>
      </c>
      <c r="C991" t="str">
        <f>IF(NOT(ISBLANK(A991)),VLOOKUP(A991,'BBT3'!A:F,3,0),"")</f>
        <v/>
      </c>
      <c r="D991" s="5" t="str">
        <f>IF(NOT(ISBLANK(A991)),VLOOKUP(A991,'BBT3'!A:F,4,1),"")</f>
        <v/>
      </c>
      <c r="E991" t="str">
        <f>IF(NOT(ISBLANK(A991)),VLOOKUP(A991,'BBT3'!A:F,5,0),"")</f>
        <v/>
      </c>
      <c r="F991" t="str">
        <f>IF(NOT(ISBLANK(A991)),VLOOKUP(A991,'BBT3'!A:F,6,0),"")</f>
        <v/>
      </c>
      <c r="G991" t="str">
        <f t="shared" si="146"/>
        <v/>
      </c>
      <c r="H991" t="str">
        <f>IF(NOT(ISBLANK(A991)),VLOOKUP(A991,'Close - PriceSaver'!A:J,5,0),"")</f>
        <v/>
      </c>
      <c r="I991" s="4" t="str" cm="1">
        <f t="array" ref="I991">IF(NOT(ISBLANK(A991)),((_xlfn.XLOOKUP(1,(_bbt3[[#All],[ID]]=A991)*(_bbt3[[#All],[METRIC_NAME]]="YLD_YTM_ASK"),_bbt3[[#All],[METRIC_VALUE]])*0.5)+(_xlfn.XLOOKUP(1,(_bbt3[[#All],[ID]]=A991)*(_bbt3[[#All],[METRIC_NAME]]="YLD_YTM_BID"),_bbt3[[#All],[METRIC_VALUE]])*0.5))/100,"")</f>
        <v/>
      </c>
      <c r="J991">
        <f>IF(ISNA(VLOOKUP(A991,'CloseDL - PriceSaverBBT3'!A:E,5,0)),0,VLOOKUP(A991,'CloseDL - PriceSaverBBT3'!A:E,5,0))</f>
        <v>0</v>
      </c>
      <c r="K991" s="7" t="str">
        <f t="shared" si="147"/>
        <v/>
      </c>
      <c r="L991" s="20">
        <f>IF(Close[[#This Row],[CreatedBy]]="MARINER\SilverAdm",1,0)</f>
        <v>1</v>
      </c>
      <c r="M991" t="str">
        <f>IF(NOT(ISBLANK(A991)),VLOOKUP(A991,'Close - PriceSaver'!A:J,6,0),"")</f>
        <v/>
      </c>
      <c r="Q991" t="e">
        <f t="shared" si="148"/>
        <v>#N/A</v>
      </c>
      <c r="R991" t="e">
        <f t="shared" si="149"/>
        <v>#N/A</v>
      </c>
      <c r="S991" t="e">
        <f t="shared" si="150"/>
        <v>#N/A</v>
      </c>
      <c r="T991" s="15" t="e">
        <f t="shared" si="152"/>
        <v>#N/A</v>
      </c>
      <c r="U991" s="18" t="e">
        <f t="shared" si="153"/>
        <v>#N/A</v>
      </c>
      <c r="V991" s="14" t="e">
        <f t="shared" si="151"/>
        <v>#N/A</v>
      </c>
      <c r="W991" s="19" t="e">
        <f t="shared" si="154"/>
        <v>#N/A</v>
      </c>
      <c r="X991" t="e">
        <f>VLOOKUP(P991,Close[[ID]:[CreatedBy]],8,0)</f>
        <v>#N/A</v>
      </c>
    </row>
    <row r="992" spans="2:24" x14ac:dyDescent="0.35">
      <c r="B992" t="str">
        <f>IF(NOT(ISBLANK(A992)),VLOOKUP(A992,'BBT3'!A:F,2,0),"")</f>
        <v/>
      </c>
      <c r="C992" t="str">
        <f>IF(NOT(ISBLANK(A992)),VLOOKUP(A992,'BBT3'!A:F,3,0),"")</f>
        <v/>
      </c>
      <c r="D992" s="5" t="str">
        <f>IF(NOT(ISBLANK(A992)),VLOOKUP(A992,'BBT3'!A:F,4,1),"")</f>
        <v/>
      </c>
      <c r="E992" t="str">
        <f>IF(NOT(ISBLANK(A992)),VLOOKUP(A992,'BBT3'!A:F,5,0),"")</f>
        <v/>
      </c>
      <c r="F992" t="str">
        <f>IF(NOT(ISBLANK(A992)),VLOOKUP(A992,'BBT3'!A:F,6,0),"")</f>
        <v/>
      </c>
      <c r="G992" t="str">
        <f t="shared" si="146"/>
        <v/>
      </c>
      <c r="H992" t="str">
        <f>IF(NOT(ISBLANK(A992)),VLOOKUP(A992,'Close - PriceSaver'!A:J,5,0),"")</f>
        <v/>
      </c>
      <c r="I992" s="4" t="str" cm="1">
        <f t="array" ref="I992">IF(NOT(ISBLANK(A992)),((_xlfn.XLOOKUP(1,(_bbt3[[#All],[ID]]=A992)*(_bbt3[[#All],[METRIC_NAME]]="YLD_YTM_ASK"),_bbt3[[#All],[METRIC_VALUE]])*0.5)+(_xlfn.XLOOKUP(1,(_bbt3[[#All],[ID]]=A992)*(_bbt3[[#All],[METRIC_NAME]]="YLD_YTM_BID"),_bbt3[[#All],[METRIC_VALUE]])*0.5))/100,"")</f>
        <v/>
      </c>
      <c r="J992">
        <f>IF(ISNA(VLOOKUP(A992,'CloseDL - PriceSaverBBT3'!A:E,5,0)),0,VLOOKUP(A992,'CloseDL - PriceSaverBBT3'!A:E,5,0))</f>
        <v>0</v>
      </c>
      <c r="K992" s="7" t="str">
        <f t="shared" si="147"/>
        <v/>
      </c>
      <c r="L992" s="20">
        <f>IF(Close[[#This Row],[CreatedBy]]="MARINER\SilverAdm",1,0)</f>
        <v>1</v>
      </c>
      <c r="M992" t="str">
        <f>IF(NOT(ISBLANK(A992)),VLOOKUP(A992,'Close - PriceSaver'!A:J,6,0),"")</f>
        <v/>
      </c>
      <c r="Q992" t="e">
        <f t="shared" si="148"/>
        <v>#N/A</v>
      </c>
      <c r="R992" t="e">
        <f t="shared" si="149"/>
        <v>#N/A</v>
      </c>
      <c r="S992" t="e">
        <f t="shared" si="150"/>
        <v>#N/A</v>
      </c>
      <c r="T992" s="15" t="e">
        <f t="shared" si="152"/>
        <v>#N/A</v>
      </c>
      <c r="U992" s="18" t="e">
        <f t="shared" si="153"/>
        <v>#N/A</v>
      </c>
      <c r="V992" s="14" t="e">
        <f t="shared" si="151"/>
        <v>#N/A</v>
      </c>
      <c r="W992" s="19" t="e">
        <f t="shared" si="154"/>
        <v>#N/A</v>
      </c>
      <c r="X992" t="e">
        <f>VLOOKUP(P992,Close[[ID]:[CreatedBy]],8,0)</f>
        <v>#N/A</v>
      </c>
    </row>
    <row r="993" spans="2:24" x14ac:dyDescent="0.35">
      <c r="B993" t="str">
        <f>IF(NOT(ISBLANK(A993)),VLOOKUP(A993,'BBT3'!A:F,2,0),"")</f>
        <v/>
      </c>
      <c r="C993" t="str">
        <f>IF(NOT(ISBLANK(A993)),VLOOKUP(A993,'BBT3'!A:F,3,0),"")</f>
        <v/>
      </c>
      <c r="D993" s="5" t="str">
        <f>IF(NOT(ISBLANK(A993)),VLOOKUP(A993,'BBT3'!A:F,4,1),"")</f>
        <v/>
      </c>
      <c r="E993" t="str">
        <f>IF(NOT(ISBLANK(A993)),VLOOKUP(A993,'BBT3'!A:F,5,0),"")</f>
        <v/>
      </c>
      <c r="F993" t="str">
        <f>IF(NOT(ISBLANK(A993)),VLOOKUP(A993,'BBT3'!A:F,6,0),"")</f>
        <v/>
      </c>
      <c r="G993" t="str">
        <f t="shared" si="146"/>
        <v/>
      </c>
      <c r="H993" t="str">
        <f>IF(NOT(ISBLANK(A993)),VLOOKUP(A993,'Close - PriceSaver'!A:J,5,0),"")</f>
        <v/>
      </c>
      <c r="I993" s="4" t="str" cm="1">
        <f t="array" ref="I993">IF(NOT(ISBLANK(A993)),((_xlfn.XLOOKUP(1,(_bbt3[[#All],[ID]]=A993)*(_bbt3[[#All],[METRIC_NAME]]="YLD_YTM_ASK"),_bbt3[[#All],[METRIC_VALUE]])*0.5)+(_xlfn.XLOOKUP(1,(_bbt3[[#All],[ID]]=A993)*(_bbt3[[#All],[METRIC_NAME]]="YLD_YTM_BID"),_bbt3[[#All],[METRIC_VALUE]])*0.5))/100,"")</f>
        <v/>
      </c>
      <c r="J993">
        <f>IF(ISNA(VLOOKUP(A993,'CloseDL - PriceSaverBBT3'!A:E,5,0)),0,VLOOKUP(A993,'CloseDL - PriceSaverBBT3'!A:E,5,0))</f>
        <v>0</v>
      </c>
      <c r="K993" s="7" t="str">
        <f t="shared" si="147"/>
        <v/>
      </c>
      <c r="L993" s="20">
        <f>IF(Close[[#This Row],[CreatedBy]]="MARINER\SilverAdm",1,0)</f>
        <v>1</v>
      </c>
      <c r="M993" t="str">
        <f>IF(NOT(ISBLANK(A993)),VLOOKUP(A993,'Close - PriceSaver'!A:J,6,0),"")</f>
        <v/>
      </c>
      <c r="Q993" t="e">
        <f t="shared" si="148"/>
        <v>#N/A</v>
      </c>
      <c r="R993" t="e">
        <f t="shared" si="149"/>
        <v>#N/A</v>
      </c>
      <c r="S993" t="e">
        <f t="shared" si="150"/>
        <v>#N/A</v>
      </c>
      <c r="T993" s="15" t="e">
        <f t="shared" si="152"/>
        <v>#N/A</v>
      </c>
      <c r="U993" s="18" t="e">
        <f t="shared" si="153"/>
        <v>#N/A</v>
      </c>
      <c r="V993" s="14" t="e">
        <f t="shared" si="151"/>
        <v>#N/A</v>
      </c>
      <c r="W993" s="19" t="e">
        <f t="shared" si="154"/>
        <v>#N/A</v>
      </c>
      <c r="X993" t="e">
        <f>VLOOKUP(P993,Close[[ID]:[CreatedBy]],8,0)</f>
        <v>#N/A</v>
      </c>
    </row>
    <row r="994" spans="2:24" x14ac:dyDescent="0.35">
      <c r="B994" t="str">
        <f>IF(NOT(ISBLANK(A994)),VLOOKUP(A994,'BBT3'!A:F,2,0),"")</f>
        <v/>
      </c>
      <c r="C994" t="str">
        <f>IF(NOT(ISBLANK(A994)),VLOOKUP(A994,'BBT3'!A:F,3,0),"")</f>
        <v/>
      </c>
      <c r="D994" s="5" t="str">
        <f>IF(NOT(ISBLANK(A994)),VLOOKUP(A994,'BBT3'!A:F,4,1),"")</f>
        <v/>
      </c>
      <c r="E994" t="str">
        <f>IF(NOT(ISBLANK(A994)),VLOOKUP(A994,'BBT3'!A:F,5,0),"")</f>
        <v/>
      </c>
      <c r="F994" t="str">
        <f>IF(NOT(ISBLANK(A994)),VLOOKUP(A994,'BBT3'!A:F,6,0),"")</f>
        <v/>
      </c>
      <c r="G994" t="str">
        <f t="shared" si="146"/>
        <v/>
      </c>
      <c r="H994" t="str">
        <f>IF(NOT(ISBLANK(A994)),VLOOKUP(A994,'Close - PriceSaver'!A:J,5,0),"")</f>
        <v/>
      </c>
      <c r="I994" s="4" t="str" cm="1">
        <f t="array" ref="I994">IF(NOT(ISBLANK(A994)),((_xlfn.XLOOKUP(1,(_bbt3[[#All],[ID]]=A994)*(_bbt3[[#All],[METRIC_NAME]]="YLD_YTM_ASK"),_bbt3[[#All],[METRIC_VALUE]])*0.5)+(_xlfn.XLOOKUP(1,(_bbt3[[#All],[ID]]=A994)*(_bbt3[[#All],[METRIC_NAME]]="YLD_YTM_BID"),_bbt3[[#All],[METRIC_VALUE]])*0.5))/100,"")</f>
        <v/>
      </c>
      <c r="J994">
        <f>IF(ISNA(VLOOKUP(A994,'CloseDL - PriceSaverBBT3'!A:E,5,0)),0,VLOOKUP(A994,'CloseDL - PriceSaverBBT3'!A:E,5,0))</f>
        <v>0</v>
      </c>
      <c r="K994" s="7" t="str">
        <f t="shared" si="147"/>
        <v/>
      </c>
      <c r="L994" s="20">
        <f>IF(Close[[#This Row],[CreatedBy]]="MARINER\SilverAdm",1,0)</f>
        <v>1</v>
      </c>
      <c r="M994" t="str">
        <f>IF(NOT(ISBLANK(A994)),VLOOKUP(A994,'Close - PriceSaver'!A:J,6,0),"")</f>
        <v/>
      </c>
      <c r="Q994" t="e">
        <f t="shared" si="148"/>
        <v>#N/A</v>
      </c>
      <c r="R994" t="e">
        <f t="shared" si="149"/>
        <v>#N/A</v>
      </c>
      <c r="S994" t="e">
        <f t="shared" si="150"/>
        <v>#N/A</v>
      </c>
      <c r="T994" s="15" t="e">
        <f t="shared" si="152"/>
        <v>#N/A</v>
      </c>
      <c r="U994" s="18" t="e">
        <f t="shared" si="153"/>
        <v>#N/A</v>
      </c>
      <c r="V994" s="14" t="e">
        <f t="shared" si="151"/>
        <v>#N/A</v>
      </c>
      <c r="W994" s="19" t="e">
        <f t="shared" si="154"/>
        <v>#N/A</v>
      </c>
      <c r="X994" t="e">
        <f>VLOOKUP(P994,Close[[ID]:[CreatedBy]],8,0)</f>
        <v>#N/A</v>
      </c>
    </row>
    <row r="995" spans="2:24" x14ac:dyDescent="0.35">
      <c r="B995" t="str">
        <f>IF(NOT(ISBLANK(A995)),VLOOKUP(A995,'BBT3'!A:F,2,0),"")</f>
        <v/>
      </c>
      <c r="C995" t="str">
        <f>IF(NOT(ISBLANK(A995)),VLOOKUP(A995,'BBT3'!A:F,3,0),"")</f>
        <v/>
      </c>
      <c r="D995" s="5" t="str">
        <f>IF(NOT(ISBLANK(A995)),VLOOKUP(A995,'BBT3'!A:F,4,1),"")</f>
        <v/>
      </c>
      <c r="E995" t="str">
        <f>IF(NOT(ISBLANK(A995)),VLOOKUP(A995,'BBT3'!A:F,5,0),"")</f>
        <v/>
      </c>
      <c r="F995" t="str">
        <f>IF(NOT(ISBLANK(A995)),VLOOKUP(A995,'BBT3'!A:F,6,0),"")</f>
        <v/>
      </c>
      <c r="G995" t="str">
        <f t="shared" si="146"/>
        <v/>
      </c>
      <c r="H995" t="str">
        <f>IF(NOT(ISBLANK(A995)),VLOOKUP(A995,'Close - PriceSaver'!A:J,5,0),"")</f>
        <v/>
      </c>
      <c r="I995" s="4" t="str" cm="1">
        <f t="array" ref="I995">IF(NOT(ISBLANK(A995)),((_xlfn.XLOOKUP(1,(_bbt3[[#All],[ID]]=A995)*(_bbt3[[#All],[METRIC_NAME]]="YLD_YTM_ASK"),_bbt3[[#All],[METRIC_VALUE]])*0.5)+(_xlfn.XLOOKUP(1,(_bbt3[[#All],[ID]]=A995)*(_bbt3[[#All],[METRIC_NAME]]="YLD_YTM_BID"),_bbt3[[#All],[METRIC_VALUE]])*0.5))/100,"")</f>
        <v/>
      </c>
      <c r="J995">
        <f>IF(ISNA(VLOOKUP(A995,'CloseDL - PriceSaverBBT3'!A:E,5,0)),0,VLOOKUP(A995,'CloseDL - PriceSaverBBT3'!A:E,5,0))</f>
        <v>0</v>
      </c>
      <c r="K995" s="7" t="str">
        <f t="shared" si="147"/>
        <v/>
      </c>
      <c r="L995" s="20">
        <f>IF(Close[[#This Row],[CreatedBy]]="MARINER\SilverAdm",1,0)</f>
        <v>1</v>
      </c>
      <c r="M995" t="str">
        <f>IF(NOT(ISBLANK(A995)),VLOOKUP(A995,'Close - PriceSaver'!A:J,6,0),"")</f>
        <v/>
      </c>
      <c r="Q995" t="e">
        <f t="shared" si="148"/>
        <v>#N/A</v>
      </c>
      <c r="R995" t="e">
        <f t="shared" si="149"/>
        <v>#N/A</v>
      </c>
      <c r="S995" t="e">
        <f t="shared" si="150"/>
        <v>#N/A</v>
      </c>
      <c r="T995" s="15" t="e">
        <f t="shared" si="152"/>
        <v>#N/A</v>
      </c>
      <c r="U995" s="18" t="e">
        <f t="shared" si="153"/>
        <v>#N/A</v>
      </c>
      <c r="V995" s="14" t="e">
        <f t="shared" si="151"/>
        <v>#N/A</v>
      </c>
      <c r="W995" s="19" t="e">
        <f t="shared" si="154"/>
        <v>#N/A</v>
      </c>
      <c r="X995" t="e">
        <f>VLOOKUP(P995,Close[[ID]:[CreatedBy]],8,0)</f>
        <v>#N/A</v>
      </c>
    </row>
    <row r="996" spans="2:24" x14ac:dyDescent="0.35">
      <c r="B996" t="str">
        <f>IF(NOT(ISBLANK(A996)),VLOOKUP(A996,'BBT3'!A:F,2,0),"")</f>
        <v/>
      </c>
      <c r="C996" t="str">
        <f>IF(NOT(ISBLANK(A996)),VLOOKUP(A996,'BBT3'!A:F,3,0),"")</f>
        <v/>
      </c>
      <c r="D996" s="5" t="str">
        <f>IF(NOT(ISBLANK(A996)),VLOOKUP(A996,'BBT3'!A:F,4,1),"")</f>
        <v/>
      </c>
      <c r="E996" t="str">
        <f>IF(NOT(ISBLANK(A996)),VLOOKUP(A996,'BBT3'!A:F,5,0),"")</f>
        <v/>
      </c>
      <c r="F996" t="str">
        <f>IF(NOT(ISBLANK(A996)),VLOOKUP(A996,'BBT3'!A:F,6,0),"")</f>
        <v/>
      </c>
      <c r="G996" t="str">
        <f t="shared" si="146"/>
        <v/>
      </c>
      <c r="H996" t="str">
        <f>IF(NOT(ISBLANK(A996)),VLOOKUP(A996,'Close - PriceSaver'!A:J,5,0),"")</f>
        <v/>
      </c>
      <c r="I996" s="4" t="str" cm="1">
        <f t="array" ref="I996">IF(NOT(ISBLANK(A996)),((_xlfn.XLOOKUP(1,(_bbt3[[#All],[ID]]=A996)*(_bbt3[[#All],[METRIC_NAME]]="YLD_YTM_ASK"),_bbt3[[#All],[METRIC_VALUE]])*0.5)+(_xlfn.XLOOKUP(1,(_bbt3[[#All],[ID]]=A996)*(_bbt3[[#All],[METRIC_NAME]]="YLD_YTM_BID"),_bbt3[[#All],[METRIC_VALUE]])*0.5))/100,"")</f>
        <v/>
      </c>
      <c r="J996">
        <f>IF(ISNA(VLOOKUP(A996,'CloseDL - PriceSaverBBT3'!A:E,5,0)),0,VLOOKUP(A996,'CloseDL - PriceSaverBBT3'!A:E,5,0))</f>
        <v>0</v>
      </c>
      <c r="K996" s="7" t="str">
        <f t="shared" si="147"/>
        <v/>
      </c>
      <c r="L996" s="20">
        <f>IF(Close[[#This Row],[CreatedBy]]="MARINER\SilverAdm",1,0)</f>
        <v>1</v>
      </c>
      <c r="M996" t="str">
        <f>IF(NOT(ISBLANK(A996)),VLOOKUP(A996,'Close - PriceSaver'!A:J,6,0),"")</f>
        <v/>
      </c>
      <c r="Q996" t="e">
        <f t="shared" si="148"/>
        <v>#N/A</v>
      </c>
      <c r="R996" t="e">
        <f t="shared" si="149"/>
        <v>#N/A</v>
      </c>
      <c r="S996" t="e">
        <f t="shared" si="150"/>
        <v>#N/A</v>
      </c>
      <c r="T996" s="15" t="e">
        <f t="shared" si="152"/>
        <v>#N/A</v>
      </c>
      <c r="U996" s="18" t="e">
        <f t="shared" si="153"/>
        <v>#N/A</v>
      </c>
      <c r="V996" s="14" t="e">
        <f t="shared" si="151"/>
        <v>#N/A</v>
      </c>
      <c r="W996" s="19" t="e">
        <f t="shared" si="154"/>
        <v>#N/A</v>
      </c>
      <c r="X996" t="e">
        <f>VLOOKUP(P996,Close[[ID]:[CreatedBy]],8,0)</f>
        <v>#N/A</v>
      </c>
    </row>
    <row r="997" spans="2:24" x14ac:dyDescent="0.35">
      <c r="B997" t="str">
        <f>IF(NOT(ISBLANK(A997)),VLOOKUP(A997,'BBT3'!A:F,2,0),"")</f>
        <v/>
      </c>
      <c r="C997" t="str">
        <f>IF(NOT(ISBLANK(A997)),VLOOKUP(A997,'BBT3'!A:F,3,0),"")</f>
        <v/>
      </c>
      <c r="D997" s="5" t="str">
        <f>IF(NOT(ISBLANK(A997)),VLOOKUP(A997,'BBT3'!A:F,4,1),"")</f>
        <v/>
      </c>
      <c r="E997" t="str">
        <f>IF(NOT(ISBLANK(A997)),VLOOKUP(A997,'BBT3'!A:F,5,0),"")</f>
        <v/>
      </c>
      <c r="F997" t="str">
        <f>IF(NOT(ISBLANK(A997)),VLOOKUP(A997,'BBT3'!A:F,6,0),"")</f>
        <v/>
      </c>
      <c r="G997" t="str">
        <f t="shared" si="146"/>
        <v/>
      </c>
      <c r="H997" t="str">
        <f>IF(NOT(ISBLANK(A997)),VLOOKUP(A997,'Close - PriceSaver'!A:J,5,0),"")</f>
        <v/>
      </c>
      <c r="I997" s="4" t="str" cm="1">
        <f t="array" ref="I997">IF(NOT(ISBLANK(A997)),((_xlfn.XLOOKUP(1,(_bbt3[[#All],[ID]]=A997)*(_bbt3[[#All],[METRIC_NAME]]="YLD_YTM_ASK"),_bbt3[[#All],[METRIC_VALUE]])*0.5)+(_xlfn.XLOOKUP(1,(_bbt3[[#All],[ID]]=A997)*(_bbt3[[#All],[METRIC_NAME]]="YLD_YTM_BID"),_bbt3[[#All],[METRIC_VALUE]])*0.5))/100,"")</f>
        <v/>
      </c>
      <c r="J997">
        <f>IF(ISNA(VLOOKUP(A997,'CloseDL - PriceSaverBBT3'!A:E,5,0)),0,VLOOKUP(A997,'CloseDL - PriceSaverBBT3'!A:E,5,0))</f>
        <v>0</v>
      </c>
      <c r="K997" s="7" t="str">
        <f t="shared" si="147"/>
        <v/>
      </c>
      <c r="L997" s="20">
        <f>IF(Close[[#This Row],[CreatedBy]]="MARINER\SilverAdm",1,0)</f>
        <v>1</v>
      </c>
      <c r="M997" t="str">
        <f>IF(NOT(ISBLANK(A997)),VLOOKUP(A997,'Close - PriceSaver'!A:J,6,0),"")</f>
        <v/>
      </c>
      <c r="Q997" t="e">
        <f t="shared" si="148"/>
        <v>#N/A</v>
      </c>
      <c r="R997" t="e">
        <f t="shared" si="149"/>
        <v>#N/A</v>
      </c>
      <c r="S997" t="e">
        <f t="shared" si="150"/>
        <v>#N/A</v>
      </c>
      <c r="T997" s="15" t="e">
        <f t="shared" si="152"/>
        <v>#N/A</v>
      </c>
      <c r="U997" s="18" t="e">
        <f t="shared" si="153"/>
        <v>#N/A</v>
      </c>
      <c r="V997" s="14" t="e">
        <f t="shared" si="151"/>
        <v>#N/A</v>
      </c>
      <c r="W997" s="19" t="e">
        <f t="shared" si="154"/>
        <v>#N/A</v>
      </c>
      <c r="X997" t="e">
        <f>VLOOKUP(P997,Close[[ID]:[CreatedBy]],8,0)</f>
        <v>#N/A</v>
      </c>
    </row>
    <row r="998" spans="2:24" x14ac:dyDescent="0.35">
      <c r="B998" t="str">
        <f>IF(NOT(ISBLANK(A998)),VLOOKUP(A998,'BBT3'!A:F,2,0),"")</f>
        <v/>
      </c>
      <c r="C998" t="str">
        <f>IF(NOT(ISBLANK(A998)),VLOOKUP(A998,'BBT3'!A:F,3,0),"")</f>
        <v/>
      </c>
      <c r="D998" s="5" t="str">
        <f>IF(NOT(ISBLANK(A998)),VLOOKUP(A998,'BBT3'!A:F,4,1),"")</f>
        <v/>
      </c>
      <c r="E998" t="str">
        <f>IF(NOT(ISBLANK(A998)),VLOOKUP(A998,'BBT3'!A:F,5,0),"")</f>
        <v/>
      </c>
      <c r="F998" t="str">
        <f>IF(NOT(ISBLANK(A998)),VLOOKUP(A998,'BBT3'!A:F,6,0),"")</f>
        <v/>
      </c>
      <c r="G998" t="str">
        <f t="shared" si="146"/>
        <v/>
      </c>
      <c r="H998" t="str">
        <f>IF(NOT(ISBLANK(A998)),VLOOKUP(A998,'Close - PriceSaver'!A:J,5,0),"")</f>
        <v/>
      </c>
      <c r="I998" s="4" t="str" cm="1">
        <f t="array" ref="I998">IF(NOT(ISBLANK(A998)),((_xlfn.XLOOKUP(1,(_bbt3[[#All],[ID]]=A998)*(_bbt3[[#All],[METRIC_NAME]]="YLD_YTM_ASK"),_bbt3[[#All],[METRIC_VALUE]])*0.5)+(_xlfn.XLOOKUP(1,(_bbt3[[#All],[ID]]=A998)*(_bbt3[[#All],[METRIC_NAME]]="YLD_YTM_BID"),_bbt3[[#All],[METRIC_VALUE]])*0.5))/100,"")</f>
        <v/>
      </c>
      <c r="J998">
        <f>IF(ISNA(VLOOKUP(A998,'CloseDL - PriceSaverBBT3'!A:E,5,0)),0,VLOOKUP(A998,'CloseDL - PriceSaverBBT3'!A:E,5,0))</f>
        <v>0</v>
      </c>
      <c r="K998" s="7" t="str">
        <f t="shared" si="147"/>
        <v/>
      </c>
      <c r="L998" s="20">
        <f>IF(Close[[#This Row],[CreatedBy]]="MARINER\SilverAdm",1,0)</f>
        <v>1</v>
      </c>
      <c r="M998" t="str">
        <f>IF(NOT(ISBLANK(A998)),VLOOKUP(A998,'Close - PriceSaver'!A:J,6,0),"")</f>
        <v/>
      </c>
      <c r="Q998" t="e">
        <f t="shared" si="148"/>
        <v>#N/A</v>
      </c>
      <c r="R998" t="e">
        <f t="shared" si="149"/>
        <v>#N/A</v>
      </c>
      <c r="S998" t="e">
        <f t="shared" si="150"/>
        <v>#N/A</v>
      </c>
      <c r="T998" s="15" t="e">
        <f t="shared" si="152"/>
        <v>#N/A</v>
      </c>
      <c r="U998" s="18" t="e">
        <f t="shared" si="153"/>
        <v>#N/A</v>
      </c>
      <c r="V998" s="14" t="e">
        <f t="shared" si="151"/>
        <v>#N/A</v>
      </c>
      <c r="W998" s="19" t="e">
        <f t="shared" si="154"/>
        <v>#N/A</v>
      </c>
      <c r="X998" t="e">
        <f>VLOOKUP(P998,Close[[ID]:[CreatedBy]],8,0)</f>
        <v>#N/A</v>
      </c>
    </row>
    <row r="999" spans="2:24" x14ac:dyDescent="0.35">
      <c r="B999" t="str">
        <f>IF(NOT(ISBLANK(A999)),VLOOKUP(A999,'BBT3'!A:F,2,0),"")</f>
        <v/>
      </c>
      <c r="C999" t="str">
        <f>IF(NOT(ISBLANK(A999)),VLOOKUP(A999,'BBT3'!A:F,3,0),"")</f>
        <v/>
      </c>
      <c r="D999" s="5" t="str">
        <f>IF(NOT(ISBLANK(A999)),VLOOKUP(A999,'BBT3'!A:F,4,1),"")</f>
        <v/>
      </c>
      <c r="E999" t="str">
        <f>IF(NOT(ISBLANK(A999)),VLOOKUP(A999,'BBT3'!A:F,5,0),"")</f>
        <v/>
      </c>
      <c r="F999" t="str">
        <f>IF(NOT(ISBLANK(A999)),VLOOKUP(A999,'BBT3'!A:F,6,0),"")</f>
        <v/>
      </c>
      <c r="G999" t="str">
        <f t="shared" si="146"/>
        <v/>
      </c>
      <c r="H999" t="str">
        <f>IF(NOT(ISBLANK(A999)),VLOOKUP(A999,'Close - PriceSaver'!A:J,5,0),"")</f>
        <v/>
      </c>
      <c r="I999" s="4" t="str" cm="1">
        <f t="array" ref="I999">IF(NOT(ISBLANK(A999)),((_xlfn.XLOOKUP(1,(_bbt3[[#All],[ID]]=A999)*(_bbt3[[#All],[METRIC_NAME]]="YLD_YTM_ASK"),_bbt3[[#All],[METRIC_VALUE]])*0.5)+(_xlfn.XLOOKUP(1,(_bbt3[[#All],[ID]]=A999)*(_bbt3[[#All],[METRIC_NAME]]="YLD_YTM_BID"),_bbt3[[#All],[METRIC_VALUE]])*0.5))/100,"")</f>
        <v/>
      </c>
      <c r="J999">
        <f>IF(ISNA(VLOOKUP(A999,'CloseDL - PriceSaverBBT3'!A:E,5,0)),0,VLOOKUP(A999,'CloseDL - PriceSaverBBT3'!A:E,5,0))</f>
        <v>0</v>
      </c>
      <c r="K999" s="7" t="str">
        <f t="shared" si="147"/>
        <v/>
      </c>
      <c r="L999" s="20">
        <f>IF(Close[[#This Row],[CreatedBy]]="MARINER\SilverAdm",1,0)</f>
        <v>1</v>
      </c>
      <c r="M999" t="str">
        <f>IF(NOT(ISBLANK(A999)),VLOOKUP(A999,'Close - PriceSaver'!A:J,6,0),"")</f>
        <v/>
      </c>
      <c r="Q999" t="e">
        <f t="shared" si="148"/>
        <v>#N/A</v>
      </c>
      <c r="R999" t="e">
        <f t="shared" si="149"/>
        <v>#N/A</v>
      </c>
      <c r="S999" t="e">
        <f t="shared" si="150"/>
        <v>#N/A</v>
      </c>
      <c r="T999" s="15" t="e">
        <f t="shared" si="152"/>
        <v>#N/A</v>
      </c>
      <c r="U999" s="18" t="e">
        <f t="shared" si="153"/>
        <v>#N/A</v>
      </c>
      <c r="V999" s="14" t="e">
        <f t="shared" si="151"/>
        <v>#N/A</v>
      </c>
      <c r="W999" s="19" t="e">
        <f t="shared" si="154"/>
        <v>#N/A</v>
      </c>
      <c r="X999" t="e">
        <f>VLOOKUP(P999,Close[[ID]:[CreatedBy]],8,0)</f>
        <v>#N/A</v>
      </c>
    </row>
    <row r="1000" spans="2:24" x14ac:dyDescent="0.35">
      <c r="B1000" t="str">
        <f>IF(NOT(ISBLANK(A1000)),VLOOKUP(A1000,'BBT3'!A:F,2,0),"")</f>
        <v/>
      </c>
      <c r="C1000" t="str">
        <f>IF(NOT(ISBLANK(A1000)),VLOOKUP(A1000,'BBT3'!A:F,3,0),"")</f>
        <v/>
      </c>
      <c r="D1000" s="5" t="str">
        <f>IF(NOT(ISBLANK(A1000)),VLOOKUP(A1000,'BBT3'!A:F,4,1),"")</f>
        <v/>
      </c>
      <c r="E1000" t="str">
        <f>IF(NOT(ISBLANK(A1000)),VLOOKUP(A1000,'BBT3'!A:F,5,0),"")</f>
        <v/>
      </c>
      <c r="F1000" t="str">
        <f>IF(NOT(ISBLANK(A1000)),VLOOKUP(A1000,'BBT3'!A:F,6,0),"")</f>
        <v/>
      </c>
      <c r="G1000" t="str">
        <f t="shared" si="146"/>
        <v/>
      </c>
      <c r="H1000" t="str">
        <f>IF(NOT(ISBLANK(A1000)),VLOOKUP(A1000,'Close - PriceSaver'!A:J,5,0),"")</f>
        <v/>
      </c>
      <c r="I1000" s="4" t="str" cm="1">
        <f t="array" ref="I1000">IF(NOT(ISBLANK(A1000)),((_xlfn.XLOOKUP(1,(_bbt3[[#All],[ID]]=A1000)*(_bbt3[[#All],[METRIC_NAME]]="YLD_YTM_ASK"),_bbt3[[#All],[METRIC_VALUE]])*0.5)+(_xlfn.XLOOKUP(1,(_bbt3[[#All],[ID]]=A1000)*(_bbt3[[#All],[METRIC_NAME]]="YLD_YTM_BID"),_bbt3[[#All],[METRIC_VALUE]])*0.5))/100,"")</f>
        <v/>
      </c>
      <c r="J1000">
        <f>IF(ISNA(VLOOKUP(A1000,'CloseDL - PriceSaverBBT3'!A:E,5,0)),0,VLOOKUP(A1000,'CloseDL - PriceSaverBBT3'!A:E,5,0))</f>
        <v>0</v>
      </c>
      <c r="K1000" s="7" t="str">
        <f t="shared" si="147"/>
        <v/>
      </c>
      <c r="L1000" s="20">
        <f>IF(Close[[#This Row],[CreatedBy]]="MARINER\SilverAdm",1,0)</f>
        <v>1</v>
      </c>
      <c r="M1000" t="str">
        <f>IF(NOT(ISBLANK(A1000)),VLOOKUP(A1000,'Close - PriceSaver'!A:J,6,0),"")</f>
        <v/>
      </c>
      <c r="Q1000" t="e">
        <f t="shared" si="148"/>
        <v>#N/A</v>
      </c>
      <c r="R1000" t="e">
        <f t="shared" si="149"/>
        <v>#N/A</v>
      </c>
      <c r="S1000" t="e">
        <f t="shared" si="150"/>
        <v>#N/A</v>
      </c>
      <c r="T1000" s="15" t="e">
        <f t="shared" si="152"/>
        <v>#N/A</v>
      </c>
      <c r="U1000" s="18" t="e">
        <f t="shared" si="153"/>
        <v>#N/A</v>
      </c>
      <c r="V1000" s="14" t="e">
        <f t="shared" si="151"/>
        <v>#N/A</v>
      </c>
      <c r="W1000" s="19" t="e">
        <f t="shared" si="154"/>
        <v>#N/A</v>
      </c>
      <c r="X1000" t="e">
        <f>VLOOKUP(P1000,Close[[ID]:[CreatedBy]],8,0)</f>
        <v>#N/A</v>
      </c>
    </row>
    <row r="1001" spans="2:24" x14ac:dyDescent="0.35">
      <c r="B1001" t="str">
        <f>IF(NOT(ISBLANK(A1001)),VLOOKUP(A1001,'BBT3'!A:F,2,0),"")</f>
        <v/>
      </c>
      <c r="C1001" t="str">
        <f>IF(NOT(ISBLANK(A1001)),VLOOKUP(A1001,'BBT3'!A:F,3,0),"")</f>
        <v/>
      </c>
      <c r="D1001" s="5" t="str">
        <f>IF(NOT(ISBLANK(A1001)),VLOOKUP(A1001,'BBT3'!A:F,4,1),"")</f>
        <v/>
      </c>
      <c r="E1001" t="str">
        <f>IF(NOT(ISBLANK(A1001)),VLOOKUP(A1001,'BBT3'!A:F,5,0),"")</f>
        <v/>
      </c>
      <c r="F1001" t="str">
        <f>IF(NOT(ISBLANK(A1001)),VLOOKUP(A1001,'BBT3'!A:F,6,0),"")</f>
        <v/>
      </c>
      <c r="G1001" t="str">
        <f t="shared" si="146"/>
        <v/>
      </c>
      <c r="H1001" t="str">
        <f>IF(NOT(ISBLANK(A1001)),VLOOKUP(A1001,'Close - PriceSaver'!A:J,5,0),"")</f>
        <v/>
      </c>
      <c r="I1001" s="4" t="str" cm="1">
        <f t="array" ref="I1001">IF(NOT(ISBLANK(A1001)),((_xlfn.XLOOKUP(1,(_bbt3[[#All],[ID]]=A1001)*(_bbt3[[#All],[METRIC_NAME]]="YLD_YTM_ASK"),_bbt3[[#All],[METRIC_VALUE]])*0.5)+(_xlfn.XLOOKUP(1,(_bbt3[[#All],[ID]]=A1001)*(_bbt3[[#All],[METRIC_NAME]]="YLD_YTM_BID"),_bbt3[[#All],[METRIC_VALUE]])*0.5))/100,"")</f>
        <v/>
      </c>
      <c r="J1001">
        <f>IF(ISNA(VLOOKUP(A1001,'CloseDL - PriceSaverBBT3'!A:E,5,0)),0,VLOOKUP(A1001,'CloseDL - PriceSaverBBT3'!A:E,5,0))</f>
        <v>0</v>
      </c>
      <c r="K1001" s="7" t="str">
        <f t="shared" si="147"/>
        <v/>
      </c>
      <c r="L1001" s="20">
        <f>IF(Close[[#This Row],[CreatedBy]]="MARINER\SilverAdm",1,0)</f>
        <v>1</v>
      </c>
      <c r="M1001" t="str">
        <f>IF(NOT(ISBLANK(A1001)),VLOOKUP(A1001,'Close - PriceSaver'!A:J,6,0),"")</f>
        <v/>
      </c>
      <c r="Q1001" t="e">
        <f t="shared" si="148"/>
        <v>#N/A</v>
      </c>
      <c r="R1001" t="e">
        <f t="shared" si="149"/>
        <v>#N/A</v>
      </c>
      <c r="S1001" t="e">
        <f t="shared" si="150"/>
        <v>#N/A</v>
      </c>
      <c r="T1001" s="15" t="e">
        <f t="shared" si="152"/>
        <v>#N/A</v>
      </c>
      <c r="U1001" s="18" t="e">
        <f t="shared" si="153"/>
        <v>#N/A</v>
      </c>
      <c r="V1001" s="14" t="e">
        <f t="shared" si="151"/>
        <v>#N/A</v>
      </c>
      <c r="W1001" s="19" t="e">
        <f t="shared" si="154"/>
        <v>#N/A</v>
      </c>
      <c r="X1001" t="e">
        <f>VLOOKUP(P1001,Close[[ID]:[CreatedBy]],8,0)</f>
        <v>#N/A</v>
      </c>
    </row>
    <row r="1002" spans="2:24" x14ac:dyDescent="0.35">
      <c r="B1002" t="str">
        <f>IF(NOT(ISBLANK(A1002)),VLOOKUP(A1002,'BBT3'!A:F,2,0),"")</f>
        <v/>
      </c>
      <c r="C1002" t="str">
        <f>IF(NOT(ISBLANK(A1002)),VLOOKUP(A1002,'BBT3'!A:F,3,0),"")</f>
        <v/>
      </c>
      <c r="D1002" s="5" t="str">
        <f>IF(NOT(ISBLANK(A1002)),VLOOKUP(A1002,'BBT3'!A:F,4,1),"")</f>
        <v/>
      </c>
      <c r="E1002" t="str">
        <f>IF(NOT(ISBLANK(A1002)),VLOOKUP(A1002,'BBT3'!A:F,5,0),"")</f>
        <v/>
      </c>
      <c r="F1002" t="str">
        <f>IF(NOT(ISBLANK(A1002)),VLOOKUP(A1002,'BBT3'!A:F,6,0),"")</f>
        <v/>
      </c>
      <c r="G1002" t="str">
        <f t="shared" si="146"/>
        <v/>
      </c>
      <c r="H1002" t="str">
        <f>IF(NOT(ISBLANK(A1002)),VLOOKUP(A1002,'Close - PriceSaver'!A:J,5,0),"")</f>
        <v/>
      </c>
      <c r="I1002" s="4" t="str" cm="1">
        <f t="array" ref="I1002">IF(NOT(ISBLANK(A1002)),((_xlfn.XLOOKUP(1,(_bbt3[[#All],[ID]]=A1002)*(_bbt3[[#All],[METRIC_NAME]]="YLD_YTM_ASK"),_bbt3[[#All],[METRIC_VALUE]])*0.5)+(_xlfn.XLOOKUP(1,(_bbt3[[#All],[ID]]=A1002)*(_bbt3[[#All],[METRIC_NAME]]="YLD_YTM_BID"),_bbt3[[#All],[METRIC_VALUE]])*0.5))/100,"")</f>
        <v/>
      </c>
      <c r="J1002">
        <f>IF(ISNA(VLOOKUP(A1002,'CloseDL - PriceSaverBBT3'!A:E,5,0)),0,VLOOKUP(A1002,'CloseDL - PriceSaverBBT3'!A:E,5,0))</f>
        <v>0</v>
      </c>
      <c r="K1002" s="7" t="str">
        <f t="shared" si="147"/>
        <v/>
      </c>
      <c r="L1002" s="20">
        <f>IF(Close[[#This Row],[CreatedBy]]="MARINER\SilverAdm",1,0)</f>
        <v>1</v>
      </c>
      <c r="M1002" t="str">
        <f>IF(NOT(ISBLANK(A1002)),VLOOKUP(A1002,'Close - PriceSaver'!A:J,6,0),"")</f>
        <v/>
      </c>
      <c r="Q1002" t="e">
        <f t="shared" si="148"/>
        <v>#N/A</v>
      </c>
      <c r="R1002" t="e">
        <f t="shared" si="149"/>
        <v>#N/A</v>
      </c>
      <c r="S1002" t="e">
        <f t="shared" si="150"/>
        <v>#N/A</v>
      </c>
      <c r="T1002" s="15" t="e">
        <f t="shared" si="152"/>
        <v>#N/A</v>
      </c>
      <c r="U1002" s="18" t="e">
        <f t="shared" si="153"/>
        <v>#N/A</v>
      </c>
      <c r="V1002" s="14" t="e">
        <f t="shared" si="151"/>
        <v>#N/A</v>
      </c>
      <c r="W1002" s="19" t="e">
        <f t="shared" si="154"/>
        <v>#N/A</v>
      </c>
      <c r="X1002" t="e">
        <f>VLOOKUP(P1002,Close[[ID]:[CreatedBy]],8,0)</f>
        <v>#N/A</v>
      </c>
    </row>
    <row r="1003" spans="2:24" x14ac:dyDescent="0.35">
      <c r="B1003" t="str">
        <f>IF(NOT(ISBLANK(A1003)),VLOOKUP(A1003,'BBT3'!A:F,2,0),"")</f>
        <v/>
      </c>
      <c r="C1003" t="str">
        <f>IF(NOT(ISBLANK(A1003)),VLOOKUP(A1003,'BBT3'!A:F,3,0),"")</f>
        <v/>
      </c>
      <c r="D1003" s="5" t="str">
        <f>IF(NOT(ISBLANK(A1003)),VLOOKUP(A1003,'BBT3'!A:F,4,1),"")</f>
        <v/>
      </c>
      <c r="E1003" t="str">
        <f>IF(NOT(ISBLANK(A1003)),VLOOKUP(A1003,'BBT3'!A:F,5,0),"")</f>
        <v/>
      </c>
      <c r="F1003" t="str">
        <f>IF(NOT(ISBLANK(A1003)),VLOOKUP(A1003,'BBT3'!A:F,6,0),"")</f>
        <v/>
      </c>
      <c r="G1003" t="str">
        <f t="shared" si="146"/>
        <v/>
      </c>
      <c r="H1003" t="str">
        <f>IF(NOT(ISBLANK(A1003)),VLOOKUP(A1003,'Close - PriceSaver'!A:J,5,0),"")</f>
        <v/>
      </c>
      <c r="I1003" s="4" t="str" cm="1">
        <f t="array" ref="I1003">IF(NOT(ISBLANK(A1003)),((_xlfn.XLOOKUP(1,(_bbt3[[#All],[ID]]=A1003)*(_bbt3[[#All],[METRIC_NAME]]="YLD_YTM_ASK"),_bbt3[[#All],[METRIC_VALUE]])*0.5)+(_xlfn.XLOOKUP(1,(_bbt3[[#All],[ID]]=A1003)*(_bbt3[[#All],[METRIC_NAME]]="YLD_YTM_BID"),_bbt3[[#All],[METRIC_VALUE]])*0.5))/100,"")</f>
        <v/>
      </c>
      <c r="J1003">
        <f>IF(ISNA(VLOOKUP(A1003,'CloseDL - PriceSaverBBT3'!A:E,5,0)),0,VLOOKUP(A1003,'CloseDL - PriceSaverBBT3'!A:E,5,0))</f>
        <v>0</v>
      </c>
      <c r="K1003" s="7" t="str">
        <f t="shared" si="147"/>
        <v/>
      </c>
      <c r="L1003" s="20">
        <f>IF(Close[[#This Row],[CreatedBy]]="MARINER\SilverAdm",1,0)</f>
        <v>1</v>
      </c>
      <c r="M1003" t="str">
        <f>IF(NOT(ISBLANK(A1003)),VLOOKUP(A1003,'Close - PriceSaver'!A:J,6,0),"")</f>
        <v/>
      </c>
      <c r="Q1003" t="e">
        <f t="shared" si="148"/>
        <v>#N/A</v>
      </c>
      <c r="R1003" t="e">
        <f t="shared" si="149"/>
        <v>#N/A</v>
      </c>
      <c r="S1003" t="e">
        <f t="shared" si="150"/>
        <v>#N/A</v>
      </c>
      <c r="T1003" s="15" t="e">
        <f t="shared" si="152"/>
        <v>#N/A</v>
      </c>
      <c r="U1003" s="18" t="e">
        <f t="shared" si="153"/>
        <v>#N/A</v>
      </c>
      <c r="V1003" s="14" t="e">
        <f t="shared" si="151"/>
        <v>#N/A</v>
      </c>
      <c r="W1003" s="19" t="e">
        <f t="shared" si="154"/>
        <v>#N/A</v>
      </c>
      <c r="X1003" t="e">
        <f>VLOOKUP(P1003,Close[[ID]:[CreatedBy]],8,0)</f>
        <v>#N/A</v>
      </c>
    </row>
    <row r="1004" spans="2:24" x14ac:dyDescent="0.35">
      <c r="B1004" t="str">
        <f>IF(NOT(ISBLANK(A1004)),VLOOKUP(A1004,'BBT3'!A:F,2,0),"")</f>
        <v/>
      </c>
      <c r="C1004" t="str">
        <f>IF(NOT(ISBLANK(A1004)),VLOOKUP(A1004,'BBT3'!A:F,3,0),"")</f>
        <v/>
      </c>
      <c r="D1004" s="5" t="str">
        <f>IF(NOT(ISBLANK(A1004)),VLOOKUP(A1004,'BBT3'!A:F,4,1),"")</f>
        <v/>
      </c>
      <c r="E1004" t="str">
        <f>IF(NOT(ISBLANK(A1004)),VLOOKUP(A1004,'BBT3'!A:F,5,0),"")</f>
        <v/>
      </c>
      <c r="F1004" t="str">
        <f>IF(NOT(ISBLANK(A1004)),VLOOKUP(A1004,'BBT3'!A:F,6,0),"")</f>
        <v/>
      </c>
      <c r="G1004" t="str">
        <f t="shared" si="146"/>
        <v/>
      </c>
      <c r="H1004" t="str">
        <f>IF(NOT(ISBLANK(A1004)),VLOOKUP(A1004,'Close - PriceSaver'!A:J,5,0),"")</f>
        <v/>
      </c>
      <c r="I1004" s="4" t="str" cm="1">
        <f t="array" ref="I1004">IF(NOT(ISBLANK(A1004)),((_xlfn.XLOOKUP(1,(_bbt3[[#All],[ID]]=A1004)*(_bbt3[[#All],[METRIC_NAME]]="YLD_YTM_ASK"),_bbt3[[#All],[METRIC_VALUE]])*0.5)+(_xlfn.XLOOKUP(1,(_bbt3[[#All],[ID]]=A1004)*(_bbt3[[#All],[METRIC_NAME]]="YLD_YTM_BID"),_bbt3[[#All],[METRIC_VALUE]])*0.5))/100,"")</f>
        <v/>
      </c>
      <c r="J1004">
        <f>IF(ISNA(VLOOKUP(A1004,'CloseDL - PriceSaverBBT3'!A:E,5,0)),0,VLOOKUP(A1004,'CloseDL - PriceSaverBBT3'!A:E,5,0))</f>
        <v>0</v>
      </c>
      <c r="K1004" s="7" t="str">
        <f t="shared" si="147"/>
        <v/>
      </c>
      <c r="L1004" s="20">
        <f>IF(Close[[#This Row],[CreatedBy]]="MARINER\SilverAdm",1,0)</f>
        <v>1</v>
      </c>
      <c r="M1004" t="str">
        <f>IF(NOT(ISBLANK(A1004)),VLOOKUP(A1004,'Close - PriceSaver'!A:J,6,0),"")</f>
        <v/>
      </c>
      <c r="Q1004" t="e">
        <f t="shared" si="148"/>
        <v>#N/A</v>
      </c>
      <c r="R1004" t="e">
        <f t="shared" si="149"/>
        <v>#N/A</v>
      </c>
      <c r="S1004" t="e">
        <f t="shared" si="150"/>
        <v>#N/A</v>
      </c>
      <c r="T1004" s="15" t="e">
        <f t="shared" si="152"/>
        <v>#N/A</v>
      </c>
      <c r="U1004" s="18" t="e">
        <f t="shared" si="153"/>
        <v>#N/A</v>
      </c>
      <c r="V1004" s="14" t="e">
        <f t="shared" si="151"/>
        <v>#N/A</v>
      </c>
      <c r="W1004" s="19" t="e">
        <f t="shared" si="154"/>
        <v>#N/A</v>
      </c>
      <c r="X1004" t="e">
        <f>VLOOKUP(P1004,Close[[ID]:[CreatedBy]],8,0)</f>
        <v>#N/A</v>
      </c>
    </row>
    <row r="1005" spans="2:24" x14ac:dyDescent="0.35">
      <c r="B1005" t="str">
        <f>IF(NOT(ISBLANK(A1005)),VLOOKUP(A1005,'BBT3'!A:F,2,0),"")</f>
        <v/>
      </c>
      <c r="C1005" t="str">
        <f>IF(NOT(ISBLANK(A1005)),VLOOKUP(A1005,'BBT3'!A:F,3,0),"")</f>
        <v/>
      </c>
      <c r="D1005" s="5" t="str">
        <f>IF(NOT(ISBLANK(A1005)),VLOOKUP(A1005,'BBT3'!A:F,4,1),"")</f>
        <v/>
      </c>
      <c r="E1005" t="str">
        <f>IF(NOT(ISBLANK(A1005)),VLOOKUP(A1005,'BBT3'!A:F,5,0),"")</f>
        <v/>
      </c>
      <c r="F1005" t="str">
        <f>IF(NOT(ISBLANK(A1005)),VLOOKUP(A1005,'BBT3'!A:F,6,0),"")</f>
        <v/>
      </c>
      <c r="G1005" t="str">
        <f t="shared" si="146"/>
        <v/>
      </c>
      <c r="H1005" t="str">
        <f>IF(NOT(ISBLANK(A1005)),VLOOKUP(A1005,'Close - PriceSaver'!A:J,5,0),"")</f>
        <v/>
      </c>
      <c r="I1005" s="4" t="str" cm="1">
        <f t="array" ref="I1005">IF(NOT(ISBLANK(A1005)),((_xlfn.XLOOKUP(1,(_bbt3[[#All],[ID]]=A1005)*(_bbt3[[#All],[METRIC_NAME]]="YLD_YTM_ASK"),_bbt3[[#All],[METRIC_VALUE]])*0.5)+(_xlfn.XLOOKUP(1,(_bbt3[[#All],[ID]]=A1005)*(_bbt3[[#All],[METRIC_NAME]]="YLD_YTM_BID"),_bbt3[[#All],[METRIC_VALUE]])*0.5))/100,"")</f>
        <v/>
      </c>
      <c r="J1005">
        <f>IF(ISNA(VLOOKUP(A1005,'CloseDL - PriceSaverBBT3'!A:E,5,0)),0,VLOOKUP(A1005,'CloseDL - PriceSaverBBT3'!A:E,5,0))</f>
        <v>0</v>
      </c>
      <c r="K1005" s="7" t="str">
        <f t="shared" si="147"/>
        <v/>
      </c>
      <c r="L1005" s="20">
        <f>IF(Close[[#This Row],[CreatedBy]]="MARINER\SilverAdm",1,0)</f>
        <v>1</v>
      </c>
      <c r="M1005" t="str">
        <f>IF(NOT(ISBLANK(A1005)),VLOOKUP(A1005,'Close - PriceSaver'!A:J,6,0),"")</f>
        <v/>
      </c>
      <c r="Q1005" t="e">
        <f t="shared" si="148"/>
        <v>#N/A</v>
      </c>
      <c r="R1005" t="e">
        <f t="shared" si="149"/>
        <v>#N/A</v>
      </c>
      <c r="S1005" t="e">
        <f t="shared" si="150"/>
        <v>#N/A</v>
      </c>
      <c r="T1005" s="15" t="e">
        <f t="shared" si="152"/>
        <v>#N/A</v>
      </c>
      <c r="U1005" s="18" t="e">
        <f t="shared" si="153"/>
        <v>#N/A</v>
      </c>
      <c r="V1005" s="14" t="e">
        <f t="shared" si="151"/>
        <v>#N/A</v>
      </c>
      <c r="W1005" s="19" t="e">
        <f t="shared" si="154"/>
        <v>#N/A</v>
      </c>
      <c r="X1005" t="e">
        <f>VLOOKUP(P1005,Close[[ID]:[CreatedBy]],8,0)</f>
        <v>#N/A</v>
      </c>
    </row>
    <row r="1006" spans="2:24" x14ac:dyDescent="0.35">
      <c r="B1006" t="str">
        <f>IF(NOT(ISBLANK(A1006)),VLOOKUP(A1006,'BBT3'!A:F,2,0),"")</f>
        <v/>
      </c>
      <c r="C1006" t="str">
        <f>IF(NOT(ISBLANK(A1006)),VLOOKUP(A1006,'BBT3'!A:F,3,0),"")</f>
        <v/>
      </c>
      <c r="D1006" s="5" t="str">
        <f>IF(NOT(ISBLANK(A1006)),VLOOKUP(A1006,'BBT3'!A:F,4,1),"")</f>
        <v/>
      </c>
      <c r="E1006" t="str">
        <f>IF(NOT(ISBLANK(A1006)),VLOOKUP(A1006,'BBT3'!A:F,5,0),"")</f>
        <v/>
      </c>
      <c r="F1006" t="str">
        <f>IF(NOT(ISBLANK(A1006)),VLOOKUP(A1006,'BBT3'!A:F,6,0),"")</f>
        <v/>
      </c>
      <c r="G1006" t="str">
        <f t="shared" si="146"/>
        <v/>
      </c>
      <c r="H1006" t="str">
        <f>IF(NOT(ISBLANK(A1006)),VLOOKUP(A1006,'Close - PriceSaver'!A:J,5,0),"")</f>
        <v/>
      </c>
      <c r="I1006" s="4" t="str" cm="1">
        <f t="array" ref="I1006">IF(NOT(ISBLANK(A1006)),((_xlfn.XLOOKUP(1,(_bbt3[[#All],[ID]]=A1006)*(_bbt3[[#All],[METRIC_NAME]]="YLD_YTM_ASK"),_bbt3[[#All],[METRIC_VALUE]])*0.5)+(_xlfn.XLOOKUP(1,(_bbt3[[#All],[ID]]=A1006)*(_bbt3[[#All],[METRIC_NAME]]="YLD_YTM_BID"),_bbt3[[#All],[METRIC_VALUE]])*0.5))/100,"")</f>
        <v/>
      </c>
      <c r="J1006">
        <f>IF(ISNA(VLOOKUP(A1006,'CloseDL - PriceSaverBBT3'!A:E,5,0)),0,VLOOKUP(A1006,'CloseDL - PriceSaverBBT3'!A:E,5,0))</f>
        <v>0</v>
      </c>
      <c r="K1006" s="7" t="str">
        <f t="shared" si="147"/>
        <v/>
      </c>
      <c r="L1006" s="20">
        <f>IF(Close[[#This Row],[CreatedBy]]="MARINER\SilverAdm",1,0)</f>
        <v>1</v>
      </c>
      <c r="M1006" t="str">
        <f>IF(NOT(ISBLANK(A1006)),VLOOKUP(A1006,'Close - PriceSaver'!A:J,6,0),"")</f>
        <v/>
      </c>
      <c r="Q1006" t="e">
        <f t="shared" si="148"/>
        <v>#N/A</v>
      </c>
      <c r="R1006" t="e">
        <f t="shared" si="149"/>
        <v>#N/A</v>
      </c>
      <c r="S1006" t="e">
        <f t="shared" si="150"/>
        <v>#N/A</v>
      </c>
      <c r="T1006" s="15" t="e">
        <f t="shared" si="152"/>
        <v>#N/A</v>
      </c>
      <c r="U1006" s="18" t="e">
        <f t="shared" si="153"/>
        <v>#N/A</v>
      </c>
      <c r="V1006" s="14" t="e">
        <f t="shared" si="151"/>
        <v>#N/A</v>
      </c>
      <c r="W1006" s="19" t="e">
        <f t="shared" si="154"/>
        <v>#N/A</v>
      </c>
      <c r="X1006" t="e">
        <f>VLOOKUP(P1006,Close[[ID]:[CreatedBy]],8,0)</f>
        <v>#N/A</v>
      </c>
    </row>
    <row r="1007" spans="2:24" x14ac:dyDescent="0.35">
      <c r="B1007" t="str">
        <f>IF(NOT(ISBLANK(A1007)),VLOOKUP(A1007,'BBT3'!A:F,2,0),"")</f>
        <v/>
      </c>
      <c r="C1007" t="str">
        <f>IF(NOT(ISBLANK(A1007)),VLOOKUP(A1007,'BBT3'!A:F,3,0),"")</f>
        <v/>
      </c>
      <c r="D1007" s="5" t="str">
        <f>IF(NOT(ISBLANK(A1007)),VLOOKUP(A1007,'BBT3'!A:F,4,1),"")</f>
        <v/>
      </c>
      <c r="E1007" t="str">
        <f>IF(NOT(ISBLANK(A1007)),VLOOKUP(A1007,'BBT3'!A:F,5,0),"")</f>
        <v/>
      </c>
      <c r="F1007" t="str">
        <f>IF(NOT(ISBLANK(A1007)),VLOOKUP(A1007,'BBT3'!A:F,6,0),"")</f>
        <v/>
      </c>
      <c r="G1007" t="str">
        <f t="shared" si="146"/>
        <v/>
      </c>
      <c r="H1007" t="str">
        <f>IF(NOT(ISBLANK(A1007)),VLOOKUP(A1007,'Close - PriceSaver'!A:J,5,0),"")</f>
        <v/>
      </c>
      <c r="I1007" s="4" t="str" cm="1">
        <f t="array" ref="I1007">IF(NOT(ISBLANK(A1007)),((_xlfn.XLOOKUP(1,(_bbt3[[#All],[ID]]=A1007)*(_bbt3[[#All],[METRIC_NAME]]="YLD_YTM_ASK"),_bbt3[[#All],[METRIC_VALUE]])*0.5)+(_xlfn.XLOOKUP(1,(_bbt3[[#All],[ID]]=A1007)*(_bbt3[[#All],[METRIC_NAME]]="YLD_YTM_BID"),_bbt3[[#All],[METRIC_VALUE]])*0.5))/100,"")</f>
        <v/>
      </c>
      <c r="J1007">
        <f>IF(ISNA(VLOOKUP(A1007,'CloseDL - PriceSaverBBT3'!A:E,5,0)),0,VLOOKUP(A1007,'CloseDL - PriceSaverBBT3'!A:E,5,0))</f>
        <v>0</v>
      </c>
      <c r="K1007" s="7" t="str">
        <f t="shared" si="147"/>
        <v/>
      </c>
      <c r="L1007" s="20">
        <f>IF(Close[[#This Row],[CreatedBy]]="MARINER\SilverAdm",1,0)</f>
        <v>1</v>
      </c>
      <c r="M1007" t="str">
        <f>IF(NOT(ISBLANK(A1007)),VLOOKUP(A1007,'Close - PriceSaver'!A:J,6,0),"")</f>
        <v/>
      </c>
      <c r="Q1007" t="e">
        <f t="shared" si="148"/>
        <v>#N/A</v>
      </c>
      <c r="R1007" t="e">
        <f t="shared" si="149"/>
        <v>#N/A</v>
      </c>
      <c r="S1007" t="e">
        <f t="shared" si="150"/>
        <v>#N/A</v>
      </c>
      <c r="T1007" s="15" t="e">
        <f t="shared" si="152"/>
        <v>#N/A</v>
      </c>
      <c r="U1007" s="18" t="e">
        <f t="shared" si="153"/>
        <v>#N/A</v>
      </c>
      <c r="V1007" s="14" t="e">
        <f t="shared" si="151"/>
        <v>#N/A</v>
      </c>
      <c r="W1007" s="19" t="e">
        <f t="shared" si="154"/>
        <v>#N/A</v>
      </c>
      <c r="X1007" t="e">
        <f>VLOOKUP(P1007,Close[[ID]:[CreatedBy]],8,0)</f>
        <v>#N/A</v>
      </c>
    </row>
    <row r="1008" spans="2:24" x14ac:dyDescent="0.35">
      <c r="B1008" t="str">
        <f>IF(NOT(ISBLANK(A1008)),VLOOKUP(A1008,'BBT3'!A:F,2,0),"")</f>
        <v/>
      </c>
      <c r="C1008" t="str">
        <f>IF(NOT(ISBLANK(A1008)),VLOOKUP(A1008,'BBT3'!A:F,3,0),"")</f>
        <v/>
      </c>
      <c r="D1008" s="5" t="str">
        <f>IF(NOT(ISBLANK(A1008)),VLOOKUP(A1008,'BBT3'!A:F,4,1),"")</f>
        <v/>
      </c>
      <c r="E1008" t="str">
        <f>IF(NOT(ISBLANK(A1008)),VLOOKUP(A1008,'BBT3'!A:F,5,0),"")</f>
        <v/>
      </c>
      <c r="F1008" t="str">
        <f>IF(NOT(ISBLANK(A1008)),VLOOKUP(A1008,'BBT3'!A:F,6,0),"")</f>
        <v/>
      </c>
      <c r="G1008" t="str">
        <f t="shared" si="146"/>
        <v/>
      </c>
      <c r="H1008" t="str">
        <f>IF(NOT(ISBLANK(A1008)),VLOOKUP(A1008,'Close - PriceSaver'!A:J,5,0),"")</f>
        <v/>
      </c>
      <c r="I1008" s="4" t="str" cm="1">
        <f t="array" ref="I1008">IF(NOT(ISBLANK(A1008)),((_xlfn.XLOOKUP(1,(_bbt3[[#All],[ID]]=A1008)*(_bbt3[[#All],[METRIC_NAME]]="YLD_YTM_ASK"),_bbt3[[#All],[METRIC_VALUE]])*0.5)+(_xlfn.XLOOKUP(1,(_bbt3[[#All],[ID]]=A1008)*(_bbt3[[#All],[METRIC_NAME]]="YLD_YTM_BID"),_bbt3[[#All],[METRIC_VALUE]])*0.5))/100,"")</f>
        <v/>
      </c>
      <c r="J1008">
        <f>IF(ISNA(VLOOKUP(A1008,'CloseDL - PriceSaverBBT3'!A:E,5,0)),0,VLOOKUP(A1008,'CloseDL - PriceSaverBBT3'!A:E,5,0))</f>
        <v>0</v>
      </c>
      <c r="K1008" s="7" t="str">
        <f t="shared" si="147"/>
        <v/>
      </c>
      <c r="L1008" s="20">
        <f>IF(Close[[#This Row],[CreatedBy]]="MARINER\SilverAdm",1,0)</f>
        <v>1</v>
      </c>
      <c r="M1008" t="str">
        <f>IF(NOT(ISBLANK(A1008)),VLOOKUP(A1008,'Close - PriceSaver'!A:J,6,0),"")</f>
        <v/>
      </c>
      <c r="Q1008" t="e">
        <f t="shared" si="148"/>
        <v>#N/A</v>
      </c>
      <c r="R1008" t="e">
        <f t="shared" si="149"/>
        <v>#N/A</v>
      </c>
      <c r="S1008" t="e">
        <f t="shared" si="150"/>
        <v>#N/A</v>
      </c>
      <c r="T1008" s="15" t="e">
        <f t="shared" si="152"/>
        <v>#N/A</v>
      </c>
      <c r="U1008" s="18" t="e">
        <f t="shared" si="153"/>
        <v>#N/A</v>
      </c>
      <c r="V1008" s="14" t="e">
        <f t="shared" si="151"/>
        <v>#N/A</v>
      </c>
      <c r="W1008" s="19" t="e">
        <f t="shared" si="154"/>
        <v>#N/A</v>
      </c>
      <c r="X1008" t="e">
        <f>VLOOKUP(P1008,Close[[ID]:[CreatedBy]],8,0)</f>
        <v>#N/A</v>
      </c>
    </row>
    <row r="1009" spans="2:24" x14ac:dyDescent="0.35">
      <c r="B1009" t="str">
        <f>IF(NOT(ISBLANK(A1009)),VLOOKUP(A1009,'BBT3'!A:F,2,0),"")</f>
        <v/>
      </c>
      <c r="C1009" t="str">
        <f>IF(NOT(ISBLANK(A1009)),VLOOKUP(A1009,'BBT3'!A:F,3,0),"")</f>
        <v/>
      </c>
      <c r="D1009" s="5" t="str">
        <f>IF(NOT(ISBLANK(A1009)),VLOOKUP(A1009,'BBT3'!A:F,4,1),"")</f>
        <v/>
      </c>
      <c r="E1009" t="str">
        <f>IF(NOT(ISBLANK(A1009)),VLOOKUP(A1009,'BBT3'!A:F,5,0),"")</f>
        <v/>
      </c>
      <c r="F1009" t="str">
        <f>IF(NOT(ISBLANK(A1009)),VLOOKUP(A1009,'BBT3'!A:F,6,0),"")</f>
        <v/>
      </c>
      <c r="G1009" t="str">
        <f t="shared" si="146"/>
        <v/>
      </c>
      <c r="H1009" t="str">
        <f>IF(NOT(ISBLANK(A1009)),VLOOKUP(A1009,'Close - PriceSaver'!A:J,5,0),"")</f>
        <v/>
      </c>
      <c r="I1009" s="4" t="str" cm="1">
        <f t="array" ref="I1009">IF(NOT(ISBLANK(A1009)),((_xlfn.XLOOKUP(1,(_bbt3[[#All],[ID]]=A1009)*(_bbt3[[#All],[METRIC_NAME]]="YLD_YTM_ASK"),_bbt3[[#All],[METRIC_VALUE]])*0.5)+(_xlfn.XLOOKUP(1,(_bbt3[[#All],[ID]]=A1009)*(_bbt3[[#All],[METRIC_NAME]]="YLD_YTM_BID"),_bbt3[[#All],[METRIC_VALUE]])*0.5))/100,"")</f>
        <v/>
      </c>
      <c r="J1009">
        <f>IF(ISNA(VLOOKUP(A1009,'CloseDL - PriceSaverBBT3'!A:E,5,0)),0,VLOOKUP(A1009,'CloseDL - PriceSaverBBT3'!A:E,5,0))</f>
        <v>0</v>
      </c>
      <c r="K1009" s="7" t="str">
        <f t="shared" si="147"/>
        <v/>
      </c>
      <c r="L1009" s="20">
        <f>IF(Close[[#This Row],[CreatedBy]]="MARINER\SilverAdm",1,0)</f>
        <v>1</v>
      </c>
      <c r="M1009" t="str">
        <f>IF(NOT(ISBLANK(A1009)),VLOOKUP(A1009,'Close - PriceSaver'!A:J,6,0),"")</f>
        <v/>
      </c>
      <c r="Q1009" t="e">
        <f t="shared" si="148"/>
        <v>#N/A</v>
      </c>
      <c r="R1009" t="e">
        <f t="shared" si="149"/>
        <v>#N/A</v>
      </c>
      <c r="S1009" t="e">
        <f t="shared" si="150"/>
        <v>#N/A</v>
      </c>
      <c r="T1009" s="15" t="e">
        <f t="shared" si="152"/>
        <v>#N/A</v>
      </c>
      <c r="U1009" s="18" t="e">
        <f t="shared" si="153"/>
        <v>#N/A</v>
      </c>
      <c r="V1009" s="14" t="e">
        <f t="shared" si="151"/>
        <v>#N/A</v>
      </c>
      <c r="W1009" s="19" t="e">
        <f t="shared" si="154"/>
        <v>#N/A</v>
      </c>
      <c r="X1009" t="e">
        <f>VLOOKUP(P1009,Close[[ID]:[CreatedBy]],8,0)</f>
        <v>#N/A</v>
      </c>
    </row>
    <row r="1010" spans="2:24" x14ac:dyDescent="0.35">
      <c r="B1010" t="str">
        <f>IF(NOT(ISBLANK(A1010)),VLOOKUP(A1010,'BBT3'!A:F,2,0),"")</f>
        <v/>
      </c>
      <c r="C1010" t="str">
        <f>IF(NOT(ISBLANK(A1010)),VLOOKUP(A1010,'BBT3'!A:F,3,0),"")</f>
        <v/>
      </c>
      <c r="D1010" s="5" t="str">
        <f>IF(NOT(ISBLANK(A1010)),VLOOKUP(A1010,'BBT3'!A:F,4,1),"")</f>
        <v/>
      </c>
      <c r="E1010" t="str">
        <f>IF(NOT(ISBLANK(A1010)),VLOOKUP(A1010,'BBT3'!A:F,5,0),"")</f>
        <v/>
      </c>
      <c r="F1010" t="str">
        <f>IF(NOT(ISBLANK(A1010)),VLOOKUP(A1010,'BBT3'!A:F,6,0),"")</f>
        <v/>
      </c>
      <c r="G1010" t="str">
        <f t="shared" si="146"/>
        <v/>
      </c>
      <c r="H1010" t="str">
        <f>IF(NOT(ISBLANK(A1010)),VLOOKUP(A1010,'Close - PriceSaver'!A:J,5,0),"")</f>
        <v/>
      </c>
      <c r="I1010" s="4" t="str" cm="1">
        <f t="array" ref="I1010">IF(NOT(ISBLANK(A1010)),((_xlfn.XLOOKUP(1,(_bbt3[[#All],[ID]]=A1010)*(_bbt3[[#All],[METRIC_NAME]]="YLD_YTM_ASK"),_bbt3[[#All],[METRIC_VALUE]])*0.5)+(_xlfn.XLOOKUP(1,(_bbt3[[#All],[ID]]=A1010)*(_bbt3[[#All],[METRIC_NAME]]="YLD_YTM_BID"),_bbt3[[#All],[METRIC_VALUE]])*0.5))/100,"")</f>
        <v/>
      </c>
      <c r="J1010">
        <f>IF(ISNA(VLOOKUP(A1010,'CloseDL - PriceSaverBBT3'!A:E,5,0)),0,VLOOKUP(A1010,'CloseDL - PriceSaverBBT3'!A:E,5,0))</f>
        <v>0</v>
      </c>
      <c r="K1010" s="7" t="str">
        <f t="shared" si="147"/>
        <v/>
      </c>
      <c r="L1010" s="20">
        <f>IF(Close[[#This Row],[CreatedBy]]="MARINER\SilverAdm",1,0)</f>
        <v>1</v>
      </c>
      <c r="M1010" t="str">
        <f>IF(NOT(ISBLANK(A1010)),VLOOKUP(A1010,'Close - PriceSaver'!A:J,6,0),"")</f>
        <v/>
      </c>
      <c r="Q1010" t="e">
        <f t="shared" si="148"/>
        <v>#N/A</v>
      </c>
      <c r="R1010" t="e">
        <f t="shared" si="149"/>
        <v>#N/A</v>
      </c>
      <c r="S1010" t="e">
        <f t="shared" si="150"/>
        <v>#N/A</v>
      </c>
      <c r="T1010" s="15" t="e">
        <f t="shared" si="152"/>
        <v>#N/A</v>
      </c>
      <c r="U1010" s="18" t="e">
        <f t="shared" si="153"/>
        <v>#N/A</v>
      </c>
      <c r="V1010" s="14" t="e">
        <f t="shared" si="151"/>
        <v>#N/A</v>
      </c>
      <c r="W1010" s="19" t="e">
        <f t="shared" si="154"/>
        <v>#N/A</v>
      </c>
      <c r="X1010" t="e">
        <f>VLOOKUP(P1010,Close[[ID]:[CreatedBy]],8,0)</f>
        <v>#N/A</v>
      </c>
    </row>
    <row r="1011" spans="2:24" x14ac:dyDescent="0.35">
      <c r="B1011" t="str">
        <f>IF(NOT(ISBLANK(A1011)),VLOOKUP(A1011,'BBT3'!A:F,2,0),"")</f>
        <v/>
      </c>
      <c r="C1011" t="str">
        <f>IF(NOT(ISBLANK(A1011)),VLOOKUP(A1011,'BBT3'!A:F,3,0),"")</f>
        <v/>
      </c>
      <c r="D1011" s="5" t="str">
        <f>IF(NOT(ISBLANK(A1011)),VLOOKUP(A1011,'BBT3'!A:F,4,1),"")</f>
        <v/>
      </c>
      <c r="E1011" t="str">
        <f>IF(NOT(ISBLANK(A1011)),VLOOKUP(A1011,'BBT3'!A:F,5,0),"")</f>
        <v/>
      </c>
      <c r="F1011" t="str">
        <f>IF(NOT(ISBLANK(A1011)),VLOOKUP(A1011,'BBT3'!A:F,6,0),"")</f>
        <v/>
      </c>
      <c r="G1011" t="str">
        <f t="shared" si="146"/>
        <v/>
      </c>
      <c r="H1011" t="str">
        <f>IF(NOT(ISBLANK(A1011)),VLOOKUP(A1011,'Close - PriceSaver'!A:J,5,0),"")</f>
        <v/>
      </c>
      <c r="I1011" s="4" t="str" cm="1">
        <f t="array" ref="I1011">IF(NOT(ISBLANK(A1011)),((_xlfn.XLOOKUP(1,(_bbt3[[#All],[ID]]=A1011)*(_bbt3[[#All],[METRIC_NAME]]="YLD_YTM_ASK"),_bbt3[[#All],[METRIC_VALUE]])*0.5)+(_xlfn.XLOOKUP(1,(_bbt3[[#All],[ID]]=A1011)*(_bbt3[[#All],[METRIC_NAME]]="YLD_YTM_BID"),_bbt3[[#All],[METRIC_VALUE]])*0.5))/100,"")</f>
        <v/>
      </c>
      <c r="J1011">
        <f>IF(ISNA(VLOOKUP(A1011,'CloseDL - PriceSaverBBT3'!A:E,5,0)),0,VLOOKUP(A1011,'CloseDL - PriceSaverBBT3'!A:E,5,0))</f>
        <v>0</v>
      </c>
      <c r="K1011" s="7" t="str">
        <f t="shared" si="147"/>
        <v/>
      </c>
      <c r="L1011" s="20">
        <f>IF(Close[[#This Row],[CreatedBy]]="MARINER\SilverAdm",1,0)</f>
        <v>1</v>
      </c>
      <c r="M1011" t="str">
        <f>IF(NOT(ISBLANK(A1011)),VLOOKUP(A1011,'Close - PriceSaver'!A:J,6,0),"")</f>
        <v/>
      </c>
      <c r="Q1011" t="e">
        <f t="shared" si="148"/>
        <v>#N/A</v>
      </c>
      <c r="R1011" t="e">
        <f t="shared" si="149"/>
        <v>#N/A</v>
      </c>
      <c r="S1011" t="e">
        <f t="shared" si="150"/>
        <v>#N/A</v>
      </c>
      <c r="T1011" s="15" t="e">
        <f t="shared" si="152"/>
        <v>#N/A</v>
      </c>
      <c r="U1011" s="18" t="e">
        <f t="shared" si="153"/>
        <v>#N/A</v>
      </c>
      <c r="V1011" s="14" t="e">
        <f t="shared" si="151"/>
        <v>#N/A</v>
      </c>
      <c r="W1011" s="19" t="e">
        <f t="shared" si="154"/>
        <v>#N/A</v>
      </c>
      <c r="X1011" t="e">
        <f>VLOOKUP(P1011,Close[[ID]:[CreatedBy]],8,0)</f>
        <v>#N/A</v>
      </c>
    </row>
    <row r="1012" spans="2:24" x14ac:dyDescent="0.35">
      <c r="B1012" t="str">
        <f>IF(NOT(ISBLANK(A1012)),VLOOKUP(A1012,'BBT3'!A:F,2,0),"")</f>
        <v/>
      </c>
      <c r="C1012" t="str">
        <f>IF(NOT(ISBLANK(A1012)),VLOOKUP(A1012,'BBT3'!A:F,3,0),"")</f>
        <v/>
      </c>
      <c r="D1012" s="5" t="str">
        <f>IF(NOT(ISBLANK(A1012)),VLOOKUP(A1012,'BBT3'!A:F,4,1),"")</f>
        <v/>
      </c>
      <c r="E1012" t="str">
        <f>IF(NOT(ISBLANK(A1012)),VLOOKUP(A1012,'BBT3'!A:F,5,0),"")</f>
        <v/>
      </c>
      <c r="F1012" t="str">
        <f>IF(NOT(ISBLANK(A1012)),VLOOKUP(A1012,'BBT3'!A:F,6,0),"")</f>
        <v/>
      </c>
      <c r="G1012" t="str">
        <f t="shared" si="146"/>
        <v/>
      </c>
      <c r="H1012" t="str">
        <f>IF(NOT(ISBLANK(A1012)),VLOOKUP(A1012,'Close - PriceSaver'!A:J,5,0),"")</f>
        <v/>
      </c>
      <c r="I1012" s="4" t="str" cm="1">
        <f t="array" ref="I1012">IF(NOT(ISBLANK(A1012)),((_xlfn.XLOOKUP(1,(_bbt3[[#All],[ID]]=A1012)*(_bbt3[[#All],[METRIC_NAME]]="YLD_YTM_ASK"),_bbt3[[#All],[METRIC_VALUE]])*0.5)+(_xlfn.XLOOKUP(1,(_bbt3[[#All],[ID]]=A1012)*(_bbt3[[#All],[METRIC_NAME]]="YLD_YTM_BID"),_bbt3[[#All],[METRIC_VALUE]])*0.5))/100,"")</f>
        <v/>
      </c>
      <c r="J1012">
        <f>IF(ISNA(VLOOKUP(A1012,'CloseDL - PriceSaverBBT3'!A:E,5,0)),0,VLOOKUP(A1012,'CloseDL - PriceSaverBBT3'!A:E,5,0))</f>
        <v>0</v>
      </c>
      <c r="K1012" s="7" t="str">
        <f t="shared" si="147"/>
        <v/>
      </c>
      <c r="L1012" s="20">
        <f>IF(Close[[#This Row],[CreatedBy]]="MARINER\SilverAdm",1,0)</f>
        <v>1</v>
      </c>
      <c r="M1012" t="str">
        <f>IF(NOT(ISBLANK(A1012)),VLOOKUP(A1012,'Close - PriceSaver'!A:J,6,0),"")</f>
        <v/>
      </c>
      <c r="Q1012" t="e">
        <f t="shared" si="148"/>
        <v>#N/A</v>
      </c>
      <c r="R1012" t="e">
        <f t="shared" si="149"/>
        <v>#N/A</v>
      </c>
      <c r="S1012" t="e">
        <f t="shared" si="150"/>
        <v>#N/A</v>
      </c>
      <c r="T1012" s="15" t="e">
        <f t="shared" si="152"/>
        <v>#N/A</v>
      </c>
      <c r="U1012" s="18" t="e">
        <f t="shared" si="153"/>
        <v>#N/A</v>
      </c>
      <c r="V1012" s="14" t="e">
        <f t="shared" si="151"/>
        <v>#N/A</v>
      </c>
      <c r="W1012" s="19" t="e">
        <f t="shared" si="154"/>
        <v>#N/A</v>
      </c>
      <c r="X1012" t="e">
        <f>VLOOKUP(P1012,Close[[ID]:[CreatedBy]],8,0)</f>
        <v>#N/A</v>
      </c>
    </row>
    <row r="1013" spans="2:24" x14ac:dyDescent="0.35">
      <c r="B1013" t="str">
        <f>IF(NOT(ISBLANK(A1013)),VLOOKUP(A1013,'BBT3'!A:F,2,0),"")</f>
        <v/>
      </c>
      <c r="C1013" t="str">
        <f>IF(NOT(ISBLANK(A1013)),VLOOKUP(A1013,'BBT3'!A:F,3,0),"")</f>
        <v/>
      </c>
      <c r="D1013" s="5" t="str">
        <f>IF(NOT(ISBLANK(A1013)),VLOOKUP(A1013,'BBT3'!A:F,4,1),"")</f>
        <v/>
      </c>
      <c r="E1013" t="str">
        <f>IF(NOT(ISBLANK(A1013)),VLOOKUP(A1013,'BBT3'!A:F,5,0),"")</f>
        <v/>
      </c>
      <c r="F1013" t="str">
        <f>IF(NOT(ISBLANK(A1013)),VLOOKUP(A1013,'BBT3'!A:F,6,0),"")</f>
        <v/>
      </c>
      <c r="G1013" t="str">
        <f t="shared" si="146"/>
        <v/>
      </c>
      <c r="H1013" t="str">
        <f>IF(NOT(ISBLANK(A1013)),VLOOKUP(A1013,'Close - PriceSaver'!A:J,5,0),"")</f>
        <v/>
      </c>
      <c r="I1013" s="4" t="str" cm="1">
        <f t="array" ref="I1013">IF(NOT(ISBLANK(A1013)),((_xlfn.XLOOKUP(1,(_bbt3[[#All],[ID]]=A1013)*(_bbt3[[#All],[METRIC_NAME]]="YLD_YTM_ASK"),_bbt3[[#All],[METRIC_VALUE]])*0.5)+(_xlfn.XLOOKUP(1,(_bbt3[[#All],[ID]]=A1013)*(_bbt3[[#All],[METRIC_NAME]]="YLD_YTM_BID"),_bbt3[[#All],[METRIC_VALUE]])*0.5))/100,"")</f>
        <v/>
      </c>
      <c r="J1013">
        <f>IF(ISNA(VLOOKUP(A1013,'CloseDL - PriceSaverBBT3'!A:E,5,0)),0,VLOOKUP(A1013,'CloseDL - PriceSaverBBT3'!A:E,5,0))</f>
        <v>0</v>
      </c>
      <c r="K1013" s="7" t="str">
        <f t="shared" si="147"/>
        <v/>
      </c>
      <c r="L1013" s="20">
        <f>IF(Close[[#This Row],[CreatedBy]]="MARINER\SilverAdm",1,0)</f>
        <v>1</v>
      </c>
      <c r="M1013" t="str">
        <f>IF(NOT(ISBLANK(A1013)),VLOOKUP(A1013,'Close - PriceSaver'!A:J,6,0),"")</f>
        <v/>
      </c>
      <c r="Q1013" t="e">
        <f t="shared" si="148"/>
        <v>#N/A</v>
      </c>
      <c r="R1013" t="e">
        <f t="shared" si="149"/>
        <v>#N/A</v>
      </c>
      <c r="S1013" t="e">
        <f t="shared" si="150"/>
        <v>#N/A</v>
      </c>
      <c r="T1013" s="15" t="e">
        <f t="shared" si="152"/>
        <v>#N/A</v>
      </c>
      <c r="U1013" s="18" t="e">
        <f t="shared" si="153"/>
        <v>#N/A</v>
      </c>
      <c r="V1013" s="14" t="e">
        <f t="shared" si="151"/>
        <v>#N/A</v>
      </c>
      <c r="W1013" s="19" t="e">
        <f t="shared" si="154"/>
        <v>#N/A</v>
      </c>
      <c r="X1013" t="e">
        <f>VLOOKUP(P1013,Close[[ID]:[CreatedBy]],8,0)</f>
        <v>#N/A</v>
      </c>
    </row>
    <row r="1014" spans="2:24" x14ac:dyDescent="0.35">
      <c r="B1014" t="str">
        <f>IF(NOT(ISBLANK(A1014)),VLOOKUP(A1014,'BBT3'!A:F,2,0),"")</f>
        <v/>
      </c>
      <c r="C1014" t="str">
        <f>IF(NOT(ISBLANK(A1014)),VLOOKUP(A1014,'BBT3'!A:F,3,0),"")</f>
        <v/>
      </c>
      <c r="D1014" s="5" t="str">
        <f>IF(NOT(ISBLANK(A1014)),VLOOKUP(A1014,'BBT3'!A:F,4,1),"")</f>
        <v/>
      </c>
      <c r="E1014" t="str">
        <f>IF(NOT(ISBLANK(A1014)),VLOOKUP(A1014,'BBT3'!A:F,5,0),"")</f>
        <v/>
      </c>
      <c r="F1014" t="str">
        <f>IF(NOT(ISBLANK(A1014)),VLOOKUP(A1014,'BBT3'!A:F,6,0),"")</f>
        <v/>
      </c>
      <c r="G1014" t="str">
        <f t="shared" si="146"/>
        <v/>
      </c>
      <c r="H1014" t="str">
        <f>IF(NOT(ISBLANK(A1014)),VLOOKUP(A1014,'Close - PriceSaver'!A:J,5,0),"")</f>
        <v/>
      </c>
      <c r="I1014" s="4" t="str" cm="1">
        <f t="array" ref="I1014">IF(NOT(ISBLANK(A1014)),((_xlfn.XLOOKUP(1,(_bbt3[[#All],[ID]]=A1014)*(_bbt3[[#All],[METRIC_NAME]]="YLD_YTM_ASK"),_bbt3[[#All],[METRIC_VALUE]])*0.5)+(_xlfn.XLOOKUP(1,(_bbt3[[#All],[ID]]=A1014)*(_bbt3[[#All],[METRIC_NAME]]="YLD_YTM_BID"),_bbt3[[#All],[METRIC_VALUE]])*0.5))/100,"")</f>
        <v/>
      </c>
      <c r="J1014">
        <f>IF(ISNA(VLOOKUP(A1014,'CloseDL - PriceSaverBBT3'!A:E,5,0)),0,VLOOKUP(A1014,'CloseDL - PriceSaverBBT3'!A:E,5,0))</f>
        <v>0</v>
      </c>
      <c r="K1014" s="7" t="str">
        <f t="shared" si="147"/>
        <v/>
      </c>
      <c r="L1014" s="20">
        <f>IF(Close[[#This Row],[CreatedBy]]="MARINER\SilverAdm",1,0)</f>
        <v>1</v>
      </c>
      <c r="M1014" t="str">
        <f>IF(NOT(ISBLANK(A1014)),VLOOKUP(A1014,'Close - PriceSaver'!A:J,6,0),"")</f>
        <v/>
      </c>
      <c r="Q1014" t="e">
        <f t="shared" si="148"/>
        <v>#N/A</v>
      </c>
      <c r="R1014" t="e">
        <f t="shared" si="149"/>
        <v>#N/A</v>
      </c>
      <c r="S1014" t="e">
        <f t="shared" si="150"/>
        <v>#N/A</v>
      </c>
      <c r="T1014" s="15" t="e">
        <f t="shared" si="152"/>
        <v>#N/A</v>
      </c>
      <c r="U1014" s="18" t="e">
        <f t="shared" si="153"/>
        <v>#N/A</v>
      </c>
      <c r="V1014" s="14" t="e">
        <f t="shared" si="151"/>
        <v>#N/A</v>
      </c>
      <c r="W1014" s="19" t="e">
        <f t="shared" si="154"/>
        <v>#N/A</v>
      </c>
      <c r="X1014" t="e">
        <f>VLOOKUP(P1014,Close[[ID]:[CreatedBy]],8,0)</f>
        <v>#N/A</v>
      </c>
    </row>
    <row r="1015" spans="2:24" x14ac:dyDescent="0.35">
      <c r="B1015" t="str">
        <f>IF(NOT(ISBLANK(A1015)),VLOOKUP(A1015,'BBT3'!A:F,2,0),"")</f>
        <v/>
      </c>
      <c r="C1015" t="str">
        <f>IF(NOT(ISBLANK(A1015)),VLOOKUP(A1015,'BBT3'!A:F,3,0),"")</f>
        <v/>
      </c>
      <c r="D1015" s="5" t="str">
        <f>IF(NOT(ISBLANK(A1015)),VLOOKUP(A1015,'BBT3'!A:F,4,1),"")</f>
        <v/>
      </c>
      <c r="E1015" t="str">
        <f>IF(NOT(ISBLANK(A1015)),VLOOKUP(A1015,'BBT3'!A:F,5,0),"")</f>
        <v/>
      </c>
      <c r="F1015" t="str">
        <f>IF(NOT(ISBLANK(A1015)),VLOOKUP(A1015,'BBT3'!A:F,6,0),"")</f>
        <v/>
      </c>
      <c r="G1015" t="str">
        <f t="shared" si="146"/>
        <v/>
      </c>
      <c r="H1015" t="str">
        <f>IF(NOT(ISBLANK(A1015)),VLOOKUP(A1015,'Close - PriceSaver'!A:J,5,0),"")</f>
        <v/>
      </c>
      <c r="I1015" s="4" t="str" cm="1">
        <f t="array" ref="I1015">IF(NOT(ISBLANK(A1015)),((_xlfn.XLOOKUP(1,(_bbt3[[#All],[ID]]=A1015)*(_bbt3[[#All],[METRIC_NAME]]="YLD_YTM_ASK"),_bbt3[[#All],[METRIC_VALUE]])*0.5)+(_xlfn.XLOOKUP(1,(_bbt3[[#All],[ID]]=A1015)*(_bbt3[[#All],[METRIC_NAME]]="YLD_YTM_BID"),_bbt3[[#All],[METRIC_VALUE]])*0.5))/100,"")</f>
        <v/>
      </c>
      <c r="J1015">
        <f>IF(ISNA(VLOOKUP(A1015,'CloseDL - PriceSaverBBT3'!A:E,5,0)),0,VLOOKUP(A1015,'CloseDL - PriceSaverBBT3'!A:E,5,0))</f>
        <v>0</v>
      </c>
      <c r="K1015" s="7" t="str">
        <f t="shared" si="147"/>
        <v/>
      </c>
      <c r="L1015" s="20">
        <f>IF(Close[[#This Row],[CreatedBy]]="MARINER\SilverAdm",1,0)</f>
        <v>1</v>
      </c>
      <c r="M1015" t="str">
        <f>IF(NOT(ISBLANK(A1015)),VLOOKUP(A1015,'Close - PriceSaver'!A:J,6,0),"")</f>
        <v/>
      </c>
      <c r="Q1015" t="e">
        <f t="shared" si="148"/>
        <v>#N/A</v>
      </c>
      <c r="R1015" t="e">
        <f t="shared" si="149"/>
        <v>#N/A</v>
      </c>
      <c r="S1015" t="e">
        <f t="shared" si="150"/>
        <v>#N/A</v>
      </c>
      <c r="T1015" s="15" t="e">
        <f t="shared" si="152"/>
        <v>#N/A</v>
      </c>
      <c r="U1015" s="18" t="e">
        <f t="shared" si="153"/>
        <v>#N/A</v>
      </c>
      <c r="V1015" s="14" t="e">
        <f t="shared" si="151"/>
        <v>#N/A</v>
      </c>
      <c r="W1015" s="19" t="e">
        <f t="shared" si="154"/>
        <v>#N/A</v>
      </c>
      <c r="X1015" t="e">
        <f>VLOOKUP(P1015,Close[[ID]:[CreatedBy]],8,0)</f>
        <v>#N/A</v>
      </c>
    </row>
    <row r="1016" spans="2:24" x14ac:dyDescent="0.35">
      <c r="B1016" t="str">
        <f>IF(NOT(ISBLANK(A1016)),VLOOKUP(A1016,'BBT3'!A:F,2,0),"")</f>
        <v/>
      </c>
      <c r="C1016" t="str">
        <f>IF(NOT(ISBLANK(A1016)),VLOOKUP(A1016,'BBT3'!A:F,3,0),"")</f>
        <v/>
      </c>
      <c r="D1016" s="5" t="str">
        <f>IF(NOT(ISBLANK(A1016)),VLOOKUP(A1016,'BBT3'!A:F,4,1),"")</f>
        <v/>
      </c>
      <c r="E1016" t="str">
        <f>IF(NOT(ISBLANK(A1016)),VLOOKUP(A1016,'BBT3'!A:F,5,0),"")</f>
        <v/>
      </c>
      <c r="F1016" t="str">
        <f>IF(NOT(ISBLANK(A1016)),VLOOKUP(A1016,'BBT3'!A:F,6,0),"")</f>
        <v/>
      </c>
      <c r="G1016" t="str">
        <f t="shared" si="146"/>
        <v/>
      </c>
      <c r="H1016" t="str">
        <f>IF(NOT(ISBLANK(A1016)),VLOOKUP(A1016,'Close - PriceSaver'!A:J,5,0),"")</f>
        <v/>
      </c>
      <c r="I1016" s="4" t="str" cm="1">
        <f t="array" ref="I1016">IF(NOT(ISBLANK(A1016)),((_xlfn.XLOOKUP(1,(_bbt3[[#All],[ID]]=A1016)*(_bbt3[[#All],[METRIC_NAME]]="YLD_YTM_ASK"),_bbt3[[#All],[METRIC_VALUE]])*0.5)+(_xlfn.XLOOKUP(1,(_bbt3[[#All],[ID]]=A1016)*(_bbt3[[#All],[METRIC_NAME]]="YLD_YTM_BID"),_bbt3[[#All],[METRIC_VALUE]])*0.5))/100,"")</f>
        <v/>
      </c>
      <c r="J1016">
        <f>IF(ISNA(VLOOKUP(A1016,'CloseDL - PriceSaverBBT3'!A:E,5,0)),0,VLOOKUP(A1016,'CloseDL - PriceSaverBBT3'!A:E,5,0))</f>
        <v>0</v>
      </c>
      <c r="K1016" s="7" t="str">
        <f t="shared" si="147"/>
        <v/>
      </c>
      <c r="L1016" s="20">
        <f>IF(Close[[#This Row],[CreatedBy]]="MARINER\SilverAdm",1,0)</f>
        <v>1</v>
      </c>
      <c r="M1016" t="str">
        <f>IF(NOT(ISBLANK(A1016)),VLOOKUP(A1016,'Close - PriceSaver'!A:J,6,0),"")</f>
        <v/>
      </c>
      <c r="Q1016" t="e">
        <f t="shared" si="148"/>
        <v>#N/A</v>
      </c>
      <c r="R1016" t="e">
        <f t="shared" si="149"/>
        <v>#N/A</v>
      </c>
      <c r="S1016" t="e">
        <f t="shared" si="150"/>
        <v>#N/A</v>
      </c>
      <c r="T1016" s="15" t="e">
        <f t="shared" si="152"/>
        <v>#N/A</v>
      </c>
      <c r="U1016" s="18" t="e">
        <f t="shared" si="153"/>
        <v>#N/A</v>
      </c>
      <c r="V1016" s="14" t="e">
        <f t="shared" si="151"/>
        <v>#N/A</v>
      </c>
      <c r="W1016" s="19" t="e">
        <f t="shared" si="154"/>
        <v>#N/A</v>
      </c>
      <c r="X1016" t="e">
        <f>VLOOKUP(P1016,Close[[ID]:[CreatedBy]],8,0)</f>
        <v>#N/A</v>
      </c>
    </row>
    <row r="1017" spans="2:24" x14ac:dyDescent="0.35">
      <c r="B1017" t="str">
        <f>IF(NOT(ISBLANK(A1017)),VLOOKUP(A1017,'BBT3'!A:F,2,0),"")</f>
        <v/>
      </c>
      <c r="C1017" t="str">
        <f>IF(NOT(ISBLANK(A1017)),VLOOKUP(A1017,'BBT3'!A:F,3,0),"")</f>
        <v/>
      </c>
      <c r="D1017" s="5" t="str">
        <f>IF(NOT(ISBLANK(A1017)),VLOOKUP(A1017,'BBT3'!A:F,4,1),"")</f>
        <v/>
      </c>
      <c r="E1017" t="str">
        <f>IF(NOT(ISBLANK(A1017)),VLOOKUP(A1017,'BBT3'!A:F,5,0),"")</f>
        <v/>
      </c>
      <c r="F1017" t="str">
        <f>IF(NOT(ISBLANK(A1017)),VLOOKUP(A1017,'BBT3'!A:F,6,0),"")</f>
        <v/>
      </c>
      <c r="G1017" t="str">
        <f t="shared" si="146"/>
        <v/>
      </c>
      <c r="H1017" t="str">
        <f>IF(NOT(ISBLANK(A1017)),VLOOKUP(A1017,'Close - PriceSaver'!A:J,5,0),"")</f>
        <v/>
      </c>
      <c r="I1017" s="4" t="str" cm="1">
        <f t="array" ref="I1017">IF(NOT(ISBLANK(A1017)),((_xlfn.XLOOKUP(1,(_bbt3[[#All],[ID]]=A1017)*(_bbt3[[#All],[METRIC_NAME]]="YLD_YTM_ASK"),_bbt3[[#All],[METRIC_VALUE]])*0.5)+(_xlfn.XLOOKUP(1,(_bbt3[[#All],[ID]]=A1017)*(_bbt3[[#All],[METRIC_NAME]]="YLD_YTM_BID"),_bbt3[[#All],[METRIC_VALUE]])*0.5))/100,"")</f>
        <v/>
      </c>
      <c r="J1017">
        <f>IF(ISNA(VLOOKUP(A1017,'CloseDL - PriceSaverBBT3'!A:E,5,0)),0,VLOOKUP(A1017,'CloseDL - PriceSaverBBT3'!A:E,5,0))</f>
        <v>0</v>
      </c>
      <c r="K1017" s="7" t="str">
        <f t="shared" si="147"/>
        <v/>
      </c>
      <c r="L1017" s="20">
        <f>IF(Close[[#This Row],[CreatedBy]]="MARINER\SilverAdm",1,0)</f>
        <v>1</v>
      </c>
      <c r="M1017" t="str">
        <f>IF(NOT(ISBLANK(A1017)),VLOOKUP(A1017,'Close - PriceSaver'!A:J,6,0),"")</f>
        <v/>
      </c>
      <c r="Q1017" t="e">
        <f t="shared" si="148"/>
        <v>#N/A</v>
      </c>
      <c r="R1017" t="e">
        <f t="shared" si="149"/>
        <v>#N/A</v>
      </c>
      <c r="S1017" t="e">
        <f t="shared" si="150"/>
        <v>#N/A</v>
      </c>
      <c r="T1017" s="15" t="e">
        <f t="shared" si="152"/>
        <v>#N/A</v>
      </c>
      <c r="U1017" s="18" t="e">
        <f t="shared" si="153"/>
        <v>#N/A</v>
      </c>
      <c r="V1017" s="14" t="e">
        <f t="shared" si="151"/>
        <v>#N/A</v>
      </c>
      <c r="W1017" s="19" t="e">
        <f t="shared" si="154"/>
        <v>#N/A</v>
      </c>
      <c r="X1017" t="e">
        <f>VLOOKUP(P1017,Close[[ID]:[CreatedBy]],8,0)</f>
        <v>#N/A</v>
      </c>
    </row>
    <row r="1018" spans="2:24" x14ac:dyDescent="0.35">
      <c r="B1018" t="str">
        <f>IF(NOT(ISBLANK(A1018)),VLOOKUP(A1018,'BBT3'!A:F,2,0),"")</f>
        <v/>
      </c>
      <c r="C1018" t="str">
        <f>IF(NOT(ISBLANK(A1018)),VLOOKUP(A1018,'BBT3'!A:F,3,0),"")</f>
        <v/>
      </c>
      <c r="D1018" s="5" t="str">
        <f>IF(NOT(ISBLANK(A1018)),VLOOKUP(A1018,'BBT3'!A:F,4,1),"")</f>
        <v/>
      </c>
      <c r="E1018" t="str">
        <f>IF(NOT(ISBLANK(A1018)),VLOOKUP(A1018,'BBT3'!A:F,5,0),"")</f>
        <v/>
      </c>
      <c r="F1018" t="str">
        <f>IF(NOT(ISBLANK(A1018)),VLOOKUP(A1018,'BBT3'!A:F,6,0),"")</f>
        <v/>
      </c>
      <c r="G1018" t="str">
        <f t="shared" si="146"/>
        <v/>
      </c>
      <c r="H1018" t="str">
        <f>IF(NOT(ISBLANK(A1018)),VLOOKUP(A1018,'Close - PriceSaver'!A:J,5,0),"")</f>
        <v/>
      </c>
      <c r="I1018" s="4" t="str" cm="1">
        <f t="array" ref="I1018">IF(NOT(ISBLANK(A1018)),((_xlfn.XLOOKUP(1,(_bbt3[[#All],[ID]]=A1018)*(_bbt3[[#All],[METRIC_NAME]]="YLD_YTM_ASK"),_bbt3[[#All],[METRIC_VALUE]])*0.5)+(_xlfn.XLOOKUP(1,(_bbt3[[#All],[ID]]=A1018)*(_bbt3[[#All],[METRIC_NAME]]="YLD_YTM_BID"),_bbt3[[#All],[METRIC_VALUE]])*0.5))/100,"")</f>
        <v/>
      </c>
      <c r="J1018">
        <f>IF(ISNA(VLOOKUP(A1018,'CloseDL - PriceSaverBBT3'!A:E,5,0)),0,VLOOKUP(A1018,'CloseDL - PriceSaverBBT3'!A:E,5,0))</f>
        <v>0</v>
      </c>
      <c r="K1018" s="7" t="str">
        <f t="shared" si="147"/>
        <v/>
      </c>
      <c r="L1018" s="20">
        <f>IF(Close[[#This Row],[CreatedBy]]="MARINER\SilverAdm",1,0)</f>
        <v>1</v>
      </c>
      <c r="M1018" t="str">
        <f>IF(NOT(ISBLANK(A1018)),VLOOKUP(A1018,'Close - PriceSaver'!A:J,6,0),"")</f>
        <v/>
      </c>
      <c r="Q1018" t="e">
        <f t="shared" si="148"/>
        <v>#N/A</v>
      </c>
      <c r="R1018" t="e">
        <f t="shared" si="149"/>
        <v>#N/A</v>
      </c>
      <c r="S1018" t="e">
        <f t="shared" si="150"/>
        <v>#N/A</v>
      </c>
      <c r="T1018" s="15" t="e">
        <f t="shared" si="152"/>
        <v>#N/A</v>
      </c>
      <c r="U1018" s="18" t="e">
        <f t="shared" si="153"/>
        <v>#N/A</v>
      </c>
      <c r="V1018" s="14" t="e">
        <f t="shared" si="151"/>
        <v>#N/A</v>
      </c>
      <c r="W1018" s="19" t="e">
        <f t="shared" si="154"/>
        <v>#N/A</v>
      </c>
      <c r="X1018" t="e">
        <f>VLOOKUP(P1018,Close[[ID]:[CreatedBy]],8,0)</f>
        <v>#N/A</v>
      </c>
    </row>
    <row r="1019" spans="2:24" x14ac:dyDescent="0.35">
      <c r="B1019" t="str">
        <f>IF(NOT(ISBLANK(A1019)),VLOOKUP(A1019,'BBT3'!A:F,2,0),"")</f>
        <v/>
      </c>
      <c r="C1019" t="str">
        <f>IF(NOT(ISBLANK(A1019)),VLOOKUP(A1019,'BBT3'!A:F,3,0),"")</f>
        <v/>
      </c>
      <c r="D1019" s="5" t="str">
        <f>IF(NOT(ISBLANK(A1019)),VLOOKUP(A1019,'BBT3'!A:F,4,1),"")</f>
        <v/>
      </c>
      <c r="E1019" t="str">
        <f>IF(NOT(ISBLANK(A1019)),VLOOKUP(A1019,'BBT3'!A:F,5,0),"")</f>
        <v/>
      </c>
      <c r="F1019" t="str">
        <f>IF(NOT(ISBLANK(A1019)),VLOOKUP(A1019,'BBT3'!A:F,6,0),"")</f>
        <v/>
      </c>
      <c r="G1019" t="str">
        <f t="shared" si="146"/>
        <v/>
      </c>
      <c r="H1019" t="str">
        <f>IF(NOT(ISBLANK(A1019)),VLOOKUP(A1019,'Close - PriceSaver'!A:J,5,0),"")</f>
        <v/>
      </c>
      <c r="I1019" s="4" t="str" cm="1">
        <f t="array" ref="I1019">IF(NOT(ISBLANK(A1019)),((_xlfn.XLOOKUP(1,(_bbt3[[#All],[ID]]=A1019)*(_bbt3[[#All],[METRIC_NAME]]="YLD_YTM_ASK"),_bbt3[[#All],[METRIC_VALUE]])*0.5)+(_xlfn.XLOOKUP(1,(_bbt3[[#All],[ID]]=A1019)*(_bbt3[[#All],[METRIC_NAME]]="YLD_YTM_BID"),_bbt3[[#All],[METRIC_VALUE]])*0.5))/100,"")</f>
        <v/>
      </c>
      <c r="J1019">
        <f>IF(ISNA(VLOOKUP(A1019,'CloseDL - PriceSaverBBT3'!A:E,5,0)),0,VLOOKUP(A1019,'CloseDL - PriceSaverBBT3'!A:E,5,0))</f>
        <v>0</v>
      </c>
      <c r="K1019" s="7" t="str">
        <f t="shared" si="147"/>
        <v/>
      </c>
      <c r="L1019" s="20">
        <f>IF(Close[[#This Row],[CreatedBy]]="MARINER\SilverAdm",1,0)</f>
        <v>1</v>
      </c>
      <c r="M1019" t="str">
        <f>IF(NOT(ISBLANK(A1019)),VLOOKUP(A1019,'Close - PriceSaver'!A:J,6,0),"")</f>
        <v/>
      </c>
      <c r="Q1019" t="e">
        <f t="shared" si="148"/>
        <v>#N/A</v>
      </c>
      <c r="R1019" t="e">
        <f t="shared" si="149"/>
        <v>#N/A</v>
      </c>
      <c r="S1019" t="e">
        <f t="shared" si="150"/>
        <v>#N/A</v>
      </c>
      <c r="T1019" s="15" t="e">
        <f t="shared" si="152"/>
        <v>#N/A</v>
      </c>
      <c r="U1019" s="18" t="e">
        <f t="shared" si="153"/>
        <v>#N/A</v>
      </c>
      <c r="V1019" s="14" t="e">
        <f t="shared" si="151"/>
        <v>#N/A</v>
      </c>
      <c r="W1019" s="19" t="e">
        <f t="shared" si="154"/>
        <v>#N/A</v>
      </c>
      <c r="X1019" t="e">
        <f>VLOOKUP(P1019,Close[[ID]:[CreatedBy]],8,0)</f>
        <v>#N/A</v>
      </c>
    </row>
    <row r="1020" spans="2:24" x14ac:dyDescent="0.35">
      <c r="B1020" t="str">
        <f>IF(NOT(ISBLANK(A1020)),VLOOKUP(A1020,'BBT3'!A:F,2,0),"")</f>
        <v/>
      </c>
      <c r="C1020" t="str">
        <f>IF(NOT(ISBLANK(A1020)),VLOOKUP(A1020,'BBT3'!A:F,3,0),"")</f>
        <v/>
      </c>
      <c r="D1020" s="5" t="str">
        <f>IF(NOT(ISBLANK(A1020)),VLOOKUP(A1020,'BBT3'!A:F,4,1),"")</f>
        <v/>
      </c>
      <c r="E1020" t="str">
        <f>IF(NOT(ISBLANK(A1020)),VLOOKUP(A1020,'BBT3'!A:F,5,0),"")</f>
        <v/>
      </c>
      <c r="F1020" t="str">
        <f>IF(NOT(ISBLANK(A1020)),VLOOKUP(A1020,'BBT3'!A:F,6,0),"")</f>
        <v/>
      </c>
      <c r="G1020" t="str">
        <f t="shared" si="146"/>
        <v/>
      </c>
      <c r="H1020" t="str">
        <f>IF(NOT(ISBLANK(A1020)),VLOOKUP(A1020,'Close - PriceSaver'!A:J,5,0),"")</f>
        <v/>
      </c>
      <c r="I1020" s="4" t="str" cm="1">
        <f t="array" ref="I1020">IF(NOT(ISBLANK(A1020)),((_xlfn.XLOOKUP(1,(_bbt3[[#All],[ID]]=A1020)*(_bbt3[[#All],[METRIC_NAME]]="YLD_YTM_ASK"),_bbt3[[#All],[METRIC_VALUE]])*0.5)+(_xlfn.XLOOKUP(1,(_bbt3[[#All],[ID]]=A1020)*(_bbt3[[#All],[METRIC_NAME]]="YLD_YTM_BID"),_bbt3[[#All],[METRIC_VALUE]])*0.5))/100,"")</f>
        <v/>
      </c>
      <c r="J1020">
        <f>IF(ISNA(VLOOKUP(A1020,'CloseDL - PriceSaverBBT3'!A:E,5,0)),0,VLOOKUP(A1020,'CloseDL - PriceSaverBBT3'!A:E,5,0))</f>
        <v>0</v>
      </c>
      <c r="K1020" s="7" t="str">
        <f t="shared" si="147"/>
        <v/>
      </c>
      <c r="L1020" s="20">
        <f>IF(Close[[#This Row],[CreatedBy]]="MARINER\SilverAdm",1,0)</f>
        <v>1</v>
      </c>
      <c r="M1020" t="str">
        <f>IF(NOT(ISBLANK(A1020)),VLOOKUP(A1020,'Close - PriceSaver'!A:J,6,0),"")</f>
        <v/>
      </c>
      <c r="Q1020" t="e">
        <f t="shared" si="148"/>
        <v>#N/A</v>
      </c>
      <c r="R1020" t="e">
        <f t="shared" si="149"/>
        <v>#N/A</v>
      </c>
      <c r="S1020" t="e">
        <f t="shared" si="150"/>
        <v>#N/A</v>
      </c>
      <c r="T1020" s="15" t="e">
        <f t="shared" si="152"/>
        <v>#N/A</v>
      </c>
      <c r="U1020" s="18" t="e">
        <f t="shared" si="153"/>
        <v>#N/A</v>
      </c>
      <c r="V1020" s="14" t="e">
        <f t="shared" si="151"/>
        <v>#N/A</v>
      </c>
      <c r="W1020" s="19" t="e">
        <f t="shared" si="154"/>
        <v>#N/A</v>
      </c>
      <c r="X1020" t="e">
        <f>VLOOKUP(P1020,Close[[ID]:[CreatedBy]],8,0)</f>
        <v>#N/A</v>
      </c>
    </row>
    <row r="1021" spans="2:24" x14ac:dyDescent="0.35">
      <c r="B1021" t="str">
        <f>IF(NOT(ISBLANK(A1021)),VLOOKUP(A1021,'BBT3'!A:F,2,0),"")</f>
        <v/>
      </c>
      <c r="C1021" t="str">
        <f>IF(NOT(ISBLANK(A1021)),VLOOKUP(A1021,'BBT3'!A:F,3,0),"")</f>
        <v/>
      </c>
      <c r="D1021" s="5" t="str">
        <f>IF(NOT(ISBLANK(A1021)),VLOOKUP(A1021,'BBT3'!A:F,4,1),"")</f>
        <v/>
      </c>
      <c r="E1021" t="str">
        <f>IF(NOT(ISBLANK(A1021)),VLOOKUP(A1021,'BBT3'!A:F,5,0),"")</f>
        <v/>
      </c>
      <c r="F1021" t="str">
        <f>IF(NOT(ISBLANK(A1021)),VLOOKUP(A1021,'BBT3'!A:F,6,0),"")</f>
        <v/>
      </c>
      <c r="G1021" t="str">
        <f t="shared" si="146"/>
        <v/>
      </c>
      <c r="H1021" t="str">
        <f>IF(NOT(ISBLANK(A1021)),VLOOKUP(A1021,'Close - PriceSaver'!A:J,5,0),"")</f>
        <v/>
      </c>
      <c r="I1021" s="4" t="str" cm="1">
        <f t="array" ref="I1021">IF(NOT(ISBLANK(A1021)),((_xlfn.XLOOKUP(1,(_bbt3[[#All],[ID]]=A1021)*(_bbt3[[#All],[METRIC_NAME]]="YLD_YTM_ASK"),_bbt3[[#All],[METRIC_VALUE]])*0.5)+(_xlfn.XLOOKUP(1,(_bbt3[[#All],[ID]]=A1021)*(_bbt3[[#All],[METRIC_NAME]]="YLD_YTM_BID"),_bbt3[[#All],[METRIC_VALUE]])*0.5))/100,"")</f>
        <v/>
      </c>
      <c r="J1021">
        <f>IF(ISNA(VLOOKUP(A1021,'CloseDL - PriceSaverBBT3'!A:E,5,0)),0,VLOOKUP(A1021,'CloseDL - PriceSaverBBT3'!A:E,5,0))</f>
        <v>0</v>
      </c>
      <c r="K1021" s="7" t="str">
        <f t="shared" si="147"/>
        <v/>
      </c>
      <c r="L1021" s="20">
        <f>IF(Close[[#This Row],[CreatedBy]]="MARINER\SilverAdm",1,0)</f>
        <v>1</v>
      </c>
      <c r="M1021" t="str">
        <f>IF(NOT(ISBLANK(A1021)),VLOOKUP(A1021,'Close - PriceSaver'!A:J,6,0),"")</f>
        <v/>
      </c>
      <c r="Q1021" t="e">
        <f t="shared" si="148"/>
        <v>#N/A</v>
      </c>
      <c r="R1021" t="e">
        <f t="shared" si="149"/>
        <v>#N/A</v>
      </c>
      <c r="S1021" t="e">
        <f t="shared" si="150"/>
        <v>#N/A</v>
      </c>
      <c r="T1021" s="15" t="e">
        <f t="shared" si="152"/>
        <v>#N/A</v>
      </c>
      <c r="U1021" s="18" t="e">
        <f t="shared" si="153"/>
        <v>#N/A</v>
      </c>
      <c r="V1021" s="14" t="e">
        <f t="shared" si="151"/>
        <v>#N/A</v>
      </c>
      <c r="W1021" s="19" t="e">
        <f t="shared" si="154"/>
        <v>#N/A</v>
      </c>
      <c r="X1021" t="e">
        <f>VLOOKUP(P1021,Close[[ID]:[CreatedBy]],8,0)</f>
        <v>#N/A</v>
      </c>
    </row>
    <row r="1022" spans="2:24" x14ac:dyDescent="0.35">
      <c r="B1022" t="str">
        <f>IF(NOT(ISBLANK(A1022)),VLOOKUP(A1022,'BBT3'!A:F,2,0),"")</f>
        <v/>
      </c>
      <c r="C1022" t="str">
        <f>IF(NOT(ISBLANK(A1022)),VLOOKUP(A1022,'BBT3'!A:F,3,0),"")</f>
        <v/>
      </c>
      <c r="D1022" s="5" t="str">
        <f>IF(NOT(ISBLANK(A1022)),VLOOKUP(A1022,'BBT3'!A:F,4,1),"")</f>
        <v/>
      </c>
      <c r="E1022" t="str">
        <f>IF(NOT(ISBLANK(A1022)),VLOOKUP(A1022,'BBT3'!A:F,5,0),"")</f>
        <v/>
      </c>
      <c r="F1022" t="str">
        <f>IF(NOT(ISBLANK(A1022)),VLOOKUP(A1022,'BBT3'!A:F,6,0),"")</f>
        <v/>
      </c>
      <c r="G1022" t="str">
        <f t="shared" si="146"/>
        <v/>
      </c>
      <c r="H1022" t="str">
        <f>IF(NOT(ISBLANK(A1022)),VLOOKUP(A1022,'Close - PriceSaver'!A:J,5,0),"")</f>
        <v/>
      </c>
      <c r="I1022" s="4" t="str" cm="1">
        <f t="array" ref="I1022">IF(NOT(ISBLANK(A1022)),((_xlfn.XLOOKUP(1,(_bbt3[[#All],[ID]]=A1022)*(_bbt3[[#All],[METRIC_NAME]]="YLD_YTM_ASK"),_bbt3[[#All],[METRIC_VALUE]])*0.5)+(_xlfn.XLOOKUP(1,(_bbt3[[#All],[ID]]=A1022)*(_bbt3[[#All],[METRIC_NAME]]="YLD_YTM_BID"),_bbt3[[#All],[METRIC_VALUE]])*0.5))/100,"")</f>
        <v/>
      </c>
      <c r="J1022">
        <f>IF(ISNA(VLOOKUP(A1022,'CloseDL - PriceSaverBBT3'!A:E,5,0)),0,VLOOKUP(A1022,'CloseDL - PriceSaverBBT3'!A:E,5,0))</f>
        <v>0</v>
      </c>
      <c r="K1022" s="7" t="str">
        <f t="shared" si="147"/>
        <v/>
      </c>
      <c r="L1022" s="20">
        <f>IF(Close[[#This Row],[CreatedBy]]="MARINER\SilverAdm",1,0)</f>
        <v>1</v>
      </c>
      <c r="M1022" t="str">
        <f>IF(NOT(ISBLANK(A1022)),VLOOKUP(A1022,'Close - PriceSaver'!A:J,6,0),"")</f>
        <v/>
      </c>
      <c r="Q1022" t="e">
        <f t="shared" si="148"/>
        <v>#N/A</v>
      </c>
      <c r="R1022" t="e">
        <f t="shared" si="149"/>
        <v>#N/A</v>
      </c>
      <c r="S1022" t="e">
        <f t="shared" si="150"/>
        <v>#N/A</v>
      </c>
      <c r="T1022" s="15" t="e">
        <f t="shared" si="152"/>
        <v>#N/A</v>
      </c>
      <c r="U1022" s="18" t="e">
        <f t="shared" si="153"/>
        <v>#N/A</v>
      </c>
      <c r="V1022" s="14" t="e">
        <f t="shared" si="151"/>
        <v>#N/A</v>
      </c>
      <c r="W1022" s="19" t="e">
        <f t="shared" si="154"/>
        <v>#N/A</v>
      </c>
      <c r="X1022" t="e">
        <f>VLOOKUP(P1022,Close[[ID]:[CreatedBy]],8,0)</f>
        <v>#N/A</v>
      </c>
    </row>
    <row r="1023" spans="2:24" x14ac:dyDescent="0.35">
      <c r="B1023" t="str">
        <f>IF(NOT(ISBLANK(A1023)),VLOOKUP(A1023,'BBT3'!A:F,2,0),"")</f>
        <v/>
      </c>
      <c r="C1023" t="str">
        <f>IF(NOT(ISBLANK(A1023)),VLOOKUP(A1023,'BBT3'!A:F,3,0),"")</f>
        <v/>
      </c>
      <c r="D1023" s="5" t="str">
        <f>IF(NOT(ISBLANK(A1023)),VLOOKUP(A1023,'BBT3'!A:F,4,1),"")</f>
        <v/>
      </c>
      <c r="E1023" t="str">
        <f>IF(NOT(ISBLANK(A1023)),VLOOKUP(A1023,'BBT3'!A:F,5,0),"")</f>
        <v/>
      </c>
      <c r="F1023" t="str">
        <f>IF(NOT(ISBLANK(A1023)),VLOOKUP(A1023,'BBT3'!A:F,6,0),"")</f>
        <v/>
      </c>
      <c r="G1023" t="str">
        <f t="shared" si="146"/>
        <v/>
      </c>
      <c r="H1023" t="str">
        <f>IF(NOT(ISBLANK(A1023)),VLOOKUP(A1023,'Close - PriceSaver'!A:J,5,0),"")</f>
        <v/>
      </c>
      <c r="I1023" s="4" t="str" cm="1">
        <f t="array" ref="I1023">IF(NOT(ISBLANK(A1023)),((_xlfn.XLOOKUP(1,(_bbt3[[#All],[ID]]=A1023)*(_bbt3[[#All],[METRIC_NAME]]="YLD_YTM_ASK"),_bbt3[[#All],[METRIC_VALUE]])*0.5)+(_xlfn.XLOOKUP(1,(_bbt3[[#All],[ID]]=A1023)*(_bbt3[[#All],[METRIC_NAME]]="YLD_YTM_BID"),_bbt3[[#All],[METRIC_VALUE]])*0.5))/100,"")</f>
        <v/>
      </c>
      <c r="J1023">
        <f>IF(ISNA(VLOOKUP(A1023,'CloseDL - PriceSaverBBT3'!A:E,5,0)),0,VLOOKUP(A1023,'CloseDL - PriceSaverBBT3'!A:E,5,0))</f>
        <v>0</v>
      </c>
      <c r="K1023" s="7" t="str">
        <f t="shared" si="147"/>
        <v/>
      </c>
      <c r="L1023" s="20">
        <f>IF(Close[[#This Row],[CreatedBy]]="MARINER\SilverAdm",1,0)</f>
        <v>1</v>
      </c>
      <c r="M1023" t="str">
        <f>IF(NOT(ISBLANK(A1023)),VLOOKUP(A1023,'Close - PriceSaver'!A:J,6,0),"")</f>
        <v/>
      </c>
      <c r="Q1023" t="e">
        <f t="shared" si="148"/>
        <v>#N/A</v>
      </c>
      <c r="R1023" t="e">
        <f t="shared" si="149"/>
        <v>#N/A</v>
      </c>
      <c r="S1023" t="e">
        <f t="shared" si="150"/>
        <v>#N/A</v>
      </c>
      <c r="T1023" s="15" t="e">
        <f t="shared" si="152"/>
        <v>#N/A</v>
      </c>
      <c r="U1023" s="18" t="e">
        <f t="shared" si="153"/>
        <v>#N/A</v>
      </c>
      <c r="V1023" s="14" t="e">
        <f t="shared" si="151"/>
        <v>#N/A</v>
      </c>
      <c r="W1023" s="19" t="e">
        <f t="shared" si="154"/>
        <v>#N/A</v>
      </c>
      <c r="X1023" t="e">
        <f>VLOOKUP(P1023,Close[[ID]:[CreatedBy]],8,0)</f>
        <v>#N/A</v>
      </c>
    </row>
    <row r="1024" spans="2:24" x14ac:dyDescent="0.35">
      <c r="B1024" t="str">
        <f>IF(NOT(ISBLANK(A1024)),VLOOKUP(A1024,'BBT3'!A:F,2,0),"")</f>
        <v/>
      </c>
      <c r="C1024" t="str">
        <f>IF(NOT(ISBLANK(A1024)),VLOOKUP(A1024,'BBT3'!A:F,3,0),"")</f>
        <v/>
      </c>
      <c r="D1024" s="5" t="str">
        <f>IF(NOT(ISBLANK(A1024)),VLOOKUP(A1024,'BBT3'!A:F,4,1),"")</f>
        <v/>
      </c>
      <c r="E1024" t="str">
        <f>IF(NOT(ISBLANK(A1024)),VLOOKUP(A1024,'BBT3'!A:F,5,0),"")</f>
        <v/>
      </c>
      <c r="F1024" t="str">
        <f>IF(NOT(ISBLANK(A1024)),VLOOKUP(A1024,'BBT3'!A:F,6,0),"")</f>
        <v/>
      </c>
      <c r="G1024" t="str">
        <f t="shared" si="146"/>
        <v/>
      </c>
      <c r="H1024" t="str">
        <f>IF(NOT(ISBLANK(A1024)),VLOOKUP(A1024,'Close - PriceSaver'!A:J,5,0),"")</f>
        <v/>
      </c>
      <c r="I1024" s="4" t="str" cm="1">
        <f t="array" ref="I1024">IF(NOT(ISBLANK(A1024)),((_xlfn.XLOOKUP(1,(_bbt3[[#All],[ID]]=A1024)*(_bbt3[[#All],[METRIC_NAME]]="YLD_YTM_ASK"),_bbt3[[#All],[METRIC_VALUE]])*0.5)+(_xlfn.XLOOKUP(1,(_bbt3[[#All],[ID]]=A1024)*(_bbt3[[#All],[METRIC_NAME]]="YLD_YTM_BID"),_bbt3[[#All],[METRIC_VALUE]])*0.5))/100,"")</f>
        <v/>
      </c>
      <c r="J1024">
        <f>IF(ISNA(VLOOKUP(A1024,'CloseDL - PriceSaverBBT3'!A:E,5,0)),0,VLOOKUP(A1024,'CloseDL - PriceSaverBBT3'!A:E,5,0))</f>
        <v>0</v>
      </c>
      <c r="K1024" s="7" t="str">
        <f t="shared" si="147"/>
        <v/>
      </c>
      <c r="L1024" s="20">
        <f>IF(Close[[#This Row],[CreatedBy]]="MARINER\SilverAdm",1,0)</f>
        <v>1</v>
      </c>
      <c r="M1024" t="str">
        <f>IF(NOT(ISBLANK(A1024)),VLOOKUP(A1024,'Close - PriceSaver'!A:J,6,0),"")</f>
        <v/>
      </c>
      <c r="Q1024" t="e">
        <f t="shared" si="148"/>
        <v>#N/A</v>
      </c>
      <c r="R1024" t="e">
        <f t="shared" si="149"/>
        <v>#N/A</v>
      </c>
      <c r="S1024" t="e">
        <f t="shared" si="150"/>
        <v>#N/A</v>
      </c>
      <c r="T1024" s="15" t="e">
        <f t="shared" si="152"/>
        <v>#N/A</v>
      </c>
      <c r="U1024" s="18" t="e">
        <f t="shared" si="153"/>
        <v>#N/A</v>
      </c>
      <c r="V1024" s="14" t="e">
        <f t="shared" si="151"/>
        <v>#N/A</v>
      </c>
      <c r="W1024" s="19" t="e">
        <f t="shared" si="154"/>
        <v>#N/A</v>
      </c>
      <c r="X1024" t="e">
        <f>VLOOKUP(P1024,Close[[ID]:[CreatedBy]],8,0)</f>
        <v>#N/A</v>
      </c>
    </row>
    <row r="1025" spans="2:24" x14ac:dyDescent="0.35">
      <c r="B1025" t="str">
        <f>IF(NOT(ISBLANK(A1025)),VLOOKUP(A1025,'BBT3'!A:F,2,0),"")</f>
        <v/>
      </c>
      <c r="C1025" t="str">
        <f>IF(NOT(ISBLANK(A1025)),VLOOKUP(A1025,'BBT3'!A:F,3,0),"")</f>
        <v/>
      </c>
      <c r="D1025" s="5" t="str">
        <f>IF(NOT(ISBLANK(A1025)),VLOOKUP(A1025,'BBT3'!A:F,4,1),"")</f>
        <v/>
      </c>
      <c r="E1025" t="str">
        <f>IF(NOT(ISBLANK(A1025)),VLOOKUP(A1025,'BBT3'!A:F,5,0),"")</f>
        <v/>
      </c>
      <c r="F1025" t="str">
        <f>IF(NOT(ISBLANK(A1025)),VLOOKUP(A1025,'BBT3'!A:F,6,0),"")</f>
        <v/>
      </c>
      <c r="G1025" t="str">
        <f t="shared" si="146"/>
        <v/>
      </c>
      <c r="H1025" t="str">
        <f>IF(NOT(ISBLANK(A1025)),VLOOKUP(A1025,'Close - PriceSaver'!A:J,5,0),"")</f>
        <v/>
      </c>
      <c r="I1025" s="4" t="str" cm="1">
        <f t="array" ref="I1025">IF(NOT(ISBLANK(A1025)),((_xlfn.XLOOKUP(1,(_bbt3[[#All],[ID]]=A1025)*(_bbt3[[#All],[METRIC_NAME]]="YLD_YTM_ASK"),_bbt3[[#All],[METRIC_VALUE]])*0.5)+(_xlfn.XLOOKUP(1,(_bbt3[[#All],[ID]]=A1025)*(_bbt3[[#All],[METRIC_NAME]]="YLD_YTM_BID"),_bbt3[[#All],[METRIC_VALUE]])*0.5))/100,"")</f>
        <v/>
      </c>
      <c r="J1025">
        <f>IF(ISNA(VLOOKUP(A1025,'CloseDL - PriceSaverBBT3'!A:E,5,0)),0,VLOOKUP(A1025,'CloseDL - PriceSaverBBT3'!A:E,5,0))</f>
        <v>0</v>
      </c>
      <c r="K1025" s="7" t="str">
        <f t="shared" si="147"/>
        <v/>
      </c>
      <c r="L1025" s="20">
        <f>IF(Close[[#This Row],[CreatedBy]]="MARINER\SilverAdm",1,0)</f>
        <v>1</v>
      </c>
      <c r="M1025" t="str">
        <f>IF(NOT(ISBLANK(A1025)),VLOOKUP(A1025,'Close - PriceSaver'!A:J,6,0),"")</f>
        <v/>
      </c>
      <c r="Q1025" t="e">
        <f t="shared" si="148"/>
        <v>#N/A</v>
      </c>
      <c r="R1025" t="e">
        <f t="shared" si="149"/>
        <v>#N/A</v>
      </c>
      <c r="S1025" t="e">
        <f t="shared" si="150"/>
        <v>#N/A</v>
      </c>
      <c r="T1025" s="15" t="e">
        <f t="shared" si="152"/>
        <v>#N/A</v>
      </c>
      <c r="U1025" s="18" t="e">
        <f t="shared" si="153"/>
        <v>#N/A</v>
      </c>
      <c r="V1025" s="14" t="e">
        <f t="shared" si="151"/>
        <v>#N/A</v>
      </c>
      <c r="W1025" s="19" t="e">
        <f t="shared" si="154"/>
        <v>#N/A</v>
      </c>
      <c r="X1025" t="e">
        <f>VLOOKUP(P1025,Close[[ID]:[CreatedBy]],8,0)</f>
        <v>#N/A</v>
      </c>
    </row>
    <row r="1026" spans="2:24" x14ac:dyDescent="0.35">
      <c r="B1026" t="str">
        <f>IF(NOT(ISBLANK(A1026)),VLOOKUP(A1026,'BBT3'!A:F,2,0),"")</f>
        <v/>
      </c>
      <c r="C1026" t="str">
        <f>IF(NOT(ISBLANK(A1026)),VLOOKUP(A1026,'BBT3'!A:F,3,0),"")</f>
        <v/>
      </c>
      <c r="D1026" s="5" t="str">
        <f>IF(NOT(ISBLANK(A1026)),VLOOKUP(A1026,'BBT3'!A:F,4,1),"")</f>
        <v/>
      </c>
      <c r="E1026" t="str">
        <f>IF(NOT(ISBLANK(A1026)),VLOOKUP(A1026,'BBT3'!A:F,5,0),"")</f>
        <v/>
      </c>
      <c r="F1026" t="str">
        <f>IF(NOT(ISBLANK(A1026)),VLOOKUP(A1026,'BBT3'!A:F,6,0),"")</f>
        <v/>
      </c>
      <c r="G1026" t="str">
        <f t="shared" si="146"/>
        <v/>
      </c>
      <c r="H1026" t="str">
        <f>IF(NOT(ISBLANK(A1026)),VLOOKUP(A1026,'Close - PriceSaver'!A:J,5,0),"")</f>
        <v/>
      </c>
      <c r="I1026" s="4" t="str" cm="1">
        <f t="array" ref="I1026">IF(NOT(ISBLANK(A1026)),((_xlfn.XLOOKUP(1,(_bbt3[[#All],[ID]]=A1026)*(_bbt3[[#All],[METRIC_NAME]]="YLD_YTM_ASK"),_bbt3[[#All],[METRIC_VALUE]])*0.5)+(_xlfn.XLOOKUP(1,(_bbt3[[#All],[ID]]=A1026)*(_bbt3[[#All],[METRIC_NAME]]="YLD_YTM_BID"),_bbt3[[#All],[METRIC_VALUE]])*0.5))/100,"")</f>
        <v/>
      </c>
      <c r="J1026">
        <f>IF(ISNA(VLOOKUP(A1026,'CloseDL - PriceSaverBBT3'!A:E,5,0)),0,VLOOKUP(A1026,'CloseDL - PriceSaverBBT3'!A:E,5,0))</f>
        <v>0</v>
      </c>
      <c r="K1026" s="7" t="str">
        <f t="shared" si="147"/>
        <v/>
      </c>
      <c r="L1026" s="20">
        <f>IF(Close[[#This Row],[CreatedBy]]="MARINER\SilverAdm",1,0)</f>
        <v>1</v>
      </c>
      <c r="M1026" t="str">
        <f>IF(NOT(ISBLANK(A1026)),VLOOKUP(A1026,'Close - PriceSaver'!A:J,6,0),"")</f>
        <v/>
      </c>
      <c r="Q1026" t="e">
        <f t="shared" si="148"/>
        <v>#N/A</v>
      </c>
      <c r="R1026" t="e">
        <f t="shared" si="149"/>
        <v>#N/A</v>
      </c>
      <c r="S1026" t="e">
        <f t="shared" si="150"/>
        <v>#N/A</v>
      </c>
      <c r="T1026" s="15" t="e">
        <f t="shared" si="152"/>
        <v>#N/A</v>
      </c>
      <c r="U1026" s="18" t="e">
        <f t="shared" si="153"/>
        <v>#N/A</v>
      </c>
      <c r="V1026" s="14" t="e">
        <f t="shared" si="151"/>
        <v>#N/A</v>
      </c>
      <c r="W1026" s="19" t="e">
        <f t="shared" si="154"/>
        <v>#N/A</v>
      </c>
      <c r="X1026" t="e">
        <f>VLOOKUP(P1026,Close[[ID]:[CreatedBy]],8,0)</f>
        <v>#N/A</v>
      </c>
    </row>
    <row r="1027" spans="2:24" x14ac:dyDescent="0.35">
      <c r="B1027" t="str">
        <f>IF(NOT(ISBLANK(A1027)),VLOOKUP(A1027,'BBT3'!A:F,2,0),"")</f>
        <v/>
      </c>
      <c r="C1027" t="str">
        <f>IF(NOT(ISBLANK(A1027)),VLOOKUP(A1027,'BBT3'!A:F,3,0),"")</f>
        <v/>
      </c>
      <c r="D1027" s="5" t="str">
        <f>IF(NOT(ISBLANK(A1027)),VLOOKUP(A1027,'BBT3'!A:F,4,1),"")</f>
        <v/>
      </c>
      <c r="E1027" t="str">
        <f>IF(NOT(ISBLANK(A1027)),VLOOKUP(A1027,'BBT3'!A:F,5,0),"")</f>
        <v/>
      </c>
      <c r="F1027" t="str">
        <f>IF(NOT(ISBLANK(A1027)),VLOOKUP(A1027,'BBT3'!A:F,6,0),"")</f>
        <v/>
      </c>
      <c r="G1027" t="str">
        <f t="shared" ref="G1027:G1090" si="155">IF(NOT(ISBLANK(A1027)),IF(D1027=0,"Y","N"),"")</f>
        <v/>
      </c>
      <c r="H1027" t="str">
        <f>IF(NOT(ISBLANK(A1027)),VLOOKUP(A1027,'Close - PriceSaver'!A:J,5,0),"")</f>
        <v/>
      </c>
      <c r="I1027" s="4" t="str" cm="1">
        <f t="array" ref="I1027">IF(NOT(ISBLANK(A1027)),((_xlfn.XLOOKUP(1,(_bbt3[[#All],[ID]]=A1027)*(_bbt3[[#All],[METRIC_NAME]]="YLD_YTM_ASK"),_bbt3[[#All],[METRIC_VALUE]])*0.5)+(_xlfn.XLOOKUP(1,(_bbt3[[#All],[ID]]=A1027)*(_bbt3[[#All],[METRIC_NAME]]="YLD_YTM_BID"),_bbt3[[#All],[METRIC_VALUE]])*0.5))/100,"")</f>
        <v/>
      </c>
      <c r="J1027">
        <f>IF(ISNA(VLOOKUP(A1027,'CloseDL - PriceSaverBBT3'!A:E,5,0)),0,VLOOKUP(A1027,'CloseDL - PriceSaverBBT3'!A:E,5,0))</f>
        <v>0</v>
      </c>
      <c r="K1027" s="7" t="str">
        <f t="shared" ref="K1027:K1090" si="156">IF(ISNA(IF(NOT(ISBLANK(A1027)),ABS(H1027-J1027),"")),0,(IF(NOT(ISBLANK(A1027)),ABS(H1027-J1027)*10000,"")))</f>
        <v/>
      </c>
      <c r="L1027" s="20">
        <f>IF(Close[[#This Row],[CreatedBy]]="MARINER\SilverAdm",1,0)</f>
        <v>1</v>
      </c>
      <c r="M1027" t="str">
        <f>IF(NOT(ISBLANK(A1027)),VLOOKUP(A1027,'Close - PriceSaver'!A:J,6,0),"")</f>
        <v/>
      </c>
      <c r="Q1027" t="e">
        <f t="shared" si="148"/>
        <v>#N/A</v>
      </c>
      <c r="R1027" t="e">
        <f t="shared" si="149"/>
        <v>#N/A</v>
      </c>
      <c r="S1027" t="e">
        <f t="shared" si="150"/>
        <v>#N/A</v>
      </c>
      <c r="T1027" s="15" t="e">
        <f t="shared" si="152"/>
        <v>#N/A</v>
      </c>
      <c r="U1027" s="18" t="e">
        <f t="shared" si="153"/>
        <v>#N/A</v>
      </c>
      <c r="V1027" s="14" t="e">
        <f t="shared" si="151"/>
        <v>#N/A</v>
      </c>
      <c r="W1027" s="19" t="e">
        <f t="shared" si="154"/>
        <v>#N/A</v>
      </c>
      <c r="X1027" t="e">
        <f>VLOOKUP(P1027,Close[[ID]:[CreatedBy]],8,0)</f>
        <v>#N/A</v>
      </c>
    </row>
    <row r="1028" spans="2:24" x14ac:dyDescent="0.35">
      <c r="B1028" t="str">
        <f>IF(NOT(ISBLANK(A1028)),VLOOKUP(A1028,'BBT3'!A:F,2,0),"")</f>
        <v/>
      </c>
      <c r="C1028" t="str">
        <f>IF(NOT(ISBLANK(A1028)),VLOOKUP(A1028,'BBT3'!A:F,3,0),"")</f>
        <v/>
      </c>
      <c r="D1028" s="5" t="str">
        <f>IF(NOT(ISBLANK(A1028)),VLOOKUP(A1028,'BBT3'!A:F,4,1),"")</f>
        <v/>
      </c>
      <c r="E1028" t="str">
        <f>IF(NOT(ISBLANK(A1028)),VLOOKUP(A1028,'BBT3'!A:F,5,0),"")</f>
        <v/>
      </c>
      <c r="F1028" t="str">
        <f>IF(NOT(ISBLANK(A1028)),VLOOKUP(A1028,'BBT3'!A:F,6,0),"")</f>
        <v/>
      </c>
      <c r="G1028" t="str">
        <f t="shared" si="155"/>
        <v/>
      </c>
      <c r="H1028" t="str">
        <f>IF(NOT(ISBLANK(A1028)),VLOOKUP(A1028,'Close - PriceSaver'!A:J,5,0),"")</f>
        <v/>
      </c>
      <c r="I1028" s="4" t="str" cm="1">
        <f t="array" ref="I1028">IF(NOT(ISBLANK(A1028)),((_xlfn.XLOOKUP(1,(_bbt3[[#All],[ID]]=A1028)*(_bbt3[[#All],[METRIC_NAME]]="YLD_YTM_ASK"),_bbt3[[#All],[METRIC_VALUE]])*0.5)+(_xlfn.XLOOKUP(1,(_bbt3[[#All],[ID]]=A1028)*(_bbt3[[#All],[METRIC_NAME]]="YLD_YTM_BID"),_bbt3[[#All],[METRIC_VALUE]])*0.5))/100,"")</f>
        <v/>
      </c>
      <c r="J1028">
        <f>IF(ISNA(VLOOKUP(A1028,'CloseDL - PriceSaverBBT3'!A:E,5,0)),0,VLOOKUP(A1028,'CloseDL - PriceSaverBBT3'!A:E,5,0))</f>
        <v>0</v>
      </c>
      <c r="K1028" s="7" t="str">
        <f t="shared" si="156"/>
        <v/>
      </c>
      <c r="L1028" s="20">
        <f>IF(Close[[#This Row],[CreatedBy]]="MARINER\SilverAdm",1,0)</f>
        <v>1</v>
      </c>
      <c r="M1028" t="str">
        <f>IF(NOT(ISBLANK(A1028)),VLOOKUP(A1028,'Close - PriceSaver'!A:J,6,0),"")</f>
        <v/>
      </c>
      <c r="Q1028" t="e">
        <f t="shared" si="148"/>
        <v>#N/A</v>
      </c>
      <c r="R1028" t="e">
        <f t="shared" si="149"/>
        <v>#N/A</v>
      </c>
      <c r="S1028" t="e">
        <f t="shared" si="150"/>
        <v>#N/A</v>
      </c>
      <c r="T1028" s="15" t="e">
        <f t="shared" si="152"/>
        <v>#N/A</v>
      </c>
      <c r="U1028" s="18" t="e">
        <f t="shared" si="153"/>
        <v>#N/A</v>
      </c>
      <c r="V1028" s="14" t="e">
        <f t="shared" si="151"/>
        <v>#N/A</v>
      </c>
      <c r="W1028" s="19" t="e">
        <f t="shared" si="154"/>
        <v>#N/A</v>
      </c>
      <c r="X1028" t="e">
        <f>VLOOKUP(P1028,Close[[ID]:[CreatedBy]],8,0)</f>
        <v>#N/A</v>
      </c>
    </row>
    <row r="1029" spans="2:24" x14ac:dyDescent="0.35">
      <c r="B1029" t="str">
        <f>IF(NOT(ISBLANK(A1029)),VLOOKUP(A1029,'BBT3'!A:F,2,0),"")</f>
        <v/>
      </c>
      <c r="C1029" t="str">
        <f>IF(NOT(ISBLANK(A1029)),VLOOKUP(A1029,'BBT3'!A:F,3,0),"")</f>
        <v/>
      </c>
      <c r="D1029" s="5" t="str">
        <f>IF(NOT(ISBLANK(A1029)),VLOOKUP(A1029,'BBT3'!A:F,4,1),"")</f>
        <v/>
      </c>
      <c r="E1029" t="str">
        <f>IF(NOT(ISBLANK(A1029)),VLOOKUP(A1029,'BBT3'!A:F,5,0),"")</f>
        <v/>
      </c>
      <c r="F1029" t="str">
        <f>IF(NOT(ISBLANK(A1029)),VLOOKUP(A1029,'BBT3'!A:F,6,0),"")</f>
        <v/>
      </c>
      <c r="G1029" t="str">
        <f t="shared" si="155"/>
        <v/>
      </c>
      <c r="H1029" t="str">
        <f>IF(NOT(ISBLANK(A1029)),VLOOKUP(A1029,'Close - PriceSaver'!A:J,5,0),"")</f>
        <v/>
      </c>
      <c r="I1029" s="4" t="str" cm="1">
        <f t="array" ref="I1029">IF(NOT(ISBLANK(A1029)),((_xlfn.XLOOKUP(1,(_bbt3[[#All],[ID]]=A1029)*(_bbt3[[#All],[METRIC_NAME]]="YLD_YTM_ASK"),_bbt3[[#All],[METRIC_VALUE]])*0.5)+(_xlfn.XLOOKUP(1,(_bbt3[[#All],[ID]]=A1029)*(_bbt3[[#All],[METRIC_NAME]]="YLD_YTM_BID"),_bbt3[[#All],[METRIC_VALUE]])*0.5))/100,"")</f>
        <v/>
      </c>
      <c r="J1029">
        <f>IF(ISNA(VLOOKUP(A1029,'CloseDL - PriceSaverBBT3'!A:E,5,0)),0,VLOOKUP(A1029,'CloseDL - PriceSaverBBT3'!A:E,5,0))</f>
        <v>0</v>
      </c>
      <c r="K1029" s="7" t="str">
        <f t="shared" si="156"/>
        <v/>
      </c>
      <c r="L1029" s="20">
        <f>IF(Close[[#This Row],[CreatedBy]]="MARINER\SilverAdm",1,0)</f>
        <v>1</v>
      </c>
      <c r="M1029" t="str">
        <f>IF(NOT(ISBLANK(A1029)),VLOOKUP(A1029,'Close - PriceSaver'!A:J,6,0),"")</f>
        <v/>
      </c>
      <c r="Q1029" t="e">
        <f t="shared" si="148"/>
        <v>#N/A</v>
      </c>
      <c r="R1029" t="e">
        <f t="shared" si="149"/>
        <v>#N/A</v>
      </c>
      <c r="S1029" t="e">
        <f t="shared" si="150"/>
        <v>#N/A</v>
      </c>
      <c r="T1029" s="15" t="e">
        <f t="shared" si="152"/>
        <v>#N/A</v>
      </c>
      <c r="U1029" s="18" t="e">
        <f t="shared" si="153"/>
        <v>#N/A</v>
      </c>
      <c r="V1029" s="14" t="e">
        <f t="shared" si="151"/>
        <v>#N/A</v>
      </c>
      <c r="W1029" s="19" t="e">
        <f t="shared" si="154"/>
        <v>#N/A</v>
      </c>
      <c r="X1029" t="e">
        <f>VLOOKUP(P1029,Close[[ID]:[CreatedBy]],8,0)</f>
        <v>#N/A</v>
      </c>
    </row>
    <row r="1030" spans="2:24" x14ac:dyDescent="0.35">
      <c r="B1030" t="str">
        <f>IF(NOT(ISBLANK(A1030)),VLOOKUP(A1030,'BBT3'!A:F,2,0),"")</f>
        <v/>
      </c>
      <c r="C1030" t="str">
        <f>IF(NOT(ISBLANK(A1030)),VLOOKUP(A1030,'BBT3'!A:F,3,0),"")</f>
        <v/>
      </c>
      <c r="D1030" s="5" t="str">
        <f>IF(NOT(ISBLANK(A1030)),VLOOKUP(A1030,'BBT3'!A:F,4,1),"")</f>
        <v/>
      </c>
      <c r="E1030" t="str">
        <f>IF(NOT(ISBLANK(A1030)),VLOOKUP(A1030,'BBT3'!A:F,5,0),"")</f>
        <v/>
      </c>
      <c r="F1030" t="str">
        <f>IF(NOT(ISBLANK(A1030)),VLOOKUP(A1030,'BBT3'!A:F,6,0),"")</f>
        <v/>
      </c>
      <c r="G1030" t="str">
        <f t="shared" si="155"/>
        <v/>
      </c>
      <c r="H1030" t="str">
        <f>IF(NOT(ISBLANK(A1030)),VLOOKUP(A1030,'Close - PriceSaver'!A:J,5,0),"")</f>
        <v/>
      </c>
      <c r="I1030" s="4" t="str" cm="1">
        <f t="array" ref="I1030">IF(NOT(ISBLANK(A1030)),((_xlfn.XLOOKUP(1,(_bbt3[[#All],[ID]]=A1030)*(_bbt3[[#All],[METRIC_NAME]]="YLD_YTM_ASK"),_bbt3[[#All],[METRIC_VALUE]])*0.5)+(_xlfn.XLOOKUP(1,(_bbt3[[#All],[ID]]=A1030)*(_bbt3[[#All],[METRIC_NAME]]="YLD_YTM_BID"),_bbt3[[#All],[METRIC_VALUE]])*0.5))/100,"")</f>
        <v/>
      </c>
      <c r="J1030">
        <f>IF(ISNA(VLOOKUP(A1030,'CloseDL - PriceSaverBBT3'!A:E,5,0)),0,VLOOKUP(A1030,'CloseDL - PriceSaverBBT3'!A:E,5,0))</f>
        <v>0</v>
      </c>
      <c r="K1030" s="7" t="str">
        <f t="shared" si="156"/>
        <v/>
      </c>
      <c r="L1030" s="20">
        <f>IF(Close[[#This Row],[CreatedBy]]="MARINER\SilverAdm",1,0)</f>
        <v>1</v>
      </c>
      <c r="M1030" t="str">
        <f>IF(NOT(ISBLANK(A1030)),VLOOKUP(A1030,'Close - PriceSaver'!A:J,6,0),"")</f>
        <v/>
      </c>
      <c r="Q1030" t="e">
        <f t="shared" si="148"/>
        <v>#N/A</v>
      </c>
      <c r="R1030" t="e">
        <f t="shared" si="149"/>
        <v>#N/A</v>
      </c>
      <c r="S1030" t="e">
        <f t="shared" si="150"/>
        <v>#N/A</v>
      </c>
      <c r="T1030" s="15" t="e">
        <f t="shared" si="152"/>
        <v>#N/A</v>
      </c>
      <c r="U1030" s="18" t="e">
        <f t="shared" si="153"/>
        <v>#N/A</v>
      </c>
      <c r="V1030" s="14" t="e">
        <f t="shared" si="151"/>
        <v>#N/A</v>
      </c>
      <c r="W1030" s="19" t="e">
        <f t="shared" si="154"/>
        <v>#N/A</v>
      </c>
      <c r="X1030" t="e">
        <f>VLOOKUP(P1030,Close[[ID]:[CreatedBy]],8,0)</f>
        <v>#N/A</v>
      </c>
    </row>
    <row r="1031" spans="2:24" x14ac:dyDescent="0.35">
      <c r="B1031" t="str">
        <f>IF(NOT(ISBLANK(A1031)),VLOOKUP(A1031,'BBT3'!A:F,2,0),"")</f>
        <v/>
      </c>
      <c r="C1031" t="str">
        <f>IF(NOT(ISBLANK(A1031)),VLOOKUP(A1031,'BBT3'!A:F,3,0),"")</f>
        <v/>
      </c>
      <c r="D1031" s="5" t="str">
        <f>IF(NOT(ISBLANK(A1031)),VLOOKUP(A1031,'BBT3'!A:F,4,1),"")</f>
        <v/>
      </c>
      <c r="E1031" t="str">
        <f>IF(NOT(ISBLANK(A1031)),VLOOKUP(A1031,'BBT3'!A:F,5,0),"")</f>
        <v/>
      </c>
      <c r="F1031" t="str">
        <f>IF(NOT(ISBLANK(A1031)),VLOOKUP(A1031,'BBT3'!A:F,6,0),"")</f>
        <v/>
      </c>
      <c r="G1031" t="str">
        <f t="shared" si="155"/>
        <v/>
      </c>
      <c r="H1031" t="str">
        <f>IF(NOT(ISBLANK(A1031)),VLOOKUP(A1031,'Close - PriceSaver'!A:J,5,0),"")</f>
        <v/>
      </c>
      <c r="I1031" s="4" t="str" cm="1">
        <f t="array" ref="I1031">IF(NOT(ISBLANK(A1031)),((_xlfn.XLOOKUP(1,(_bbt3[[#All],[ID]]=A1031)*(_bbt3[[#All],[METRIC_NAME]]="YLD_YTM_ASK"),_bbt3[[#All],[METRIC_VALUE]])*0.5)+(_xlfn.XLOOKUP(1,(_bbt3[[#All],[ID]]=A1031)*(_bbt3[[#All],[METRIC_NAME]]="YLD_YTM_BID"),_bbt3[[#All],[METRIC_VALUE]])*0.5))/100,"")</f>
        <v/>
      </c>
      <c r="J1031">
        <f>IF(ISNA(VLOOKUP(A1031,'CloseDL - PriceSaverBBT3'!A:E,5,0)),0,VLOOKUP(A1031,'CloseDL - PriceSaverBBT3'!A:E,5,0))</f>
        <v>0</v>
      </c>
      <c r="K1031" s="7" t="str">
        <f t="shared" si="156"/>
        <v/>
      </c>
      <c r="L1031" s="20">
        <f>IF(Close[[#This Row],[CreatedBy]]="MARINER\SilverAdm",1,0)</f>
        <v>1</v>
      </c>
      <c r="M1031" t="str">
        <f>IF(NOT(ISBLANK(A1031)),VLOOKUP(A1031,'Close - PriceSaver'!A:J,6,0),"")</f>
        <v/>
      </c>
      <c r="Q1031" t="e">
        <f t="shared" si="148"/>
        <v>#N/A</v>
      </c>
      <c r="R1031" t="e">
        <f t="shared" si="149"/>
        <v>#N/A</v>
      </c>
      <c r="S1031" t="e">
        <f t="shared" si="150"/>
        <v>#N/A</v>
      </c>
      <c r="T1031" s="15" t="e">
        <f t="shared" si="152"/>
        <v>#N/A</v>
      </c>
      <c r="U1031" s="18" t="e">
        <f t="shared" si="153"/>
        <v>#N/A</v>
      </c>
      <c r="V1031" s="14" t="e">
        <f t="shared" si="151"/>
        <v>#N/A</v>
      </c>
      <c r="W1031" s="19" t="e">
        <f t="shared" si="154"/>
        <v>#N/A</v>
      </c>
      <c r="X1031" t="e">
        <f>VLOOKUP(P1031,Close[[ID]:[CreatedBy]],8,0)</f>
        <v>#N/A</v>
      </c>
    </row>
    <row r="1032" spans="2:24" x14ac:dyDescent="0.35">
      <c r="B1032" t="str">
        <f>IF(NOT(ISBLANK(A1032)),VLOOKUP(A1032,'BBT3'!A:F,2,0),"")</f>
        <v/>
      </c>
      <c r="C1032" t="str">
        <f>IF(NOT(ISBLANK(A1032)),VLOOKUP(A1032,'BBT3'!A:F,3,0),"")</f>
        <v/>
      </c>
      <c r="D1032" s="5" t="str">
        <f>IF(NOT(ISBLANK(A1032)),VLOOKUP(A1032,'BBT3'!A:F,4,1),"")</f>
        <v/>
      </c>
      <c r="E1032" t="str">
        <f>IF(NOT(ISBLANK(A1032)),VLOOKUP(A1032,'BBT3'!A:F,5,0),"")</f>
        <v/>
      </c>
      <c r="F1032" t="str">
        <f>IF(NOT(ISBLANK(A1032)),VLOOKUP(A1032,'BBT3'!A:F,6,0),"")</f>
        <v/>
      </c>
      <c r="G1032" t="str">
        <f t="shared" si="155"/>
        <v/>
      </c>
      <c r="H1032" t="str">
        <f>IF(NOT(ISBLANK(A1032)),VLOOKUP(A1032,'Close - PriceSaver'!A:J,5,0),"")</f>
        <v/>
      </c>
      <c r="I1032" s="4" t="str" cm="1">
        <f t="array" ref="I1032">IF(NOT(ISBLANK(A1032)),((_xlfn.XLOOKUP(1,(_bbt3[[#All],[ID]]=A1032)*(_bbt3[[#All],[METRIC_NAME]]="YLD_YTM_ASK"),_bbt3[[#All],[METRIC_VALUE]])*0.5)+(_xlfn.XLOOKUP(1,(_bbt3[[#All],[ID]]=A1032)*(_bbt3[[#All],[METRIC_NAME]]="YLD_YTM_BID"),_bbt3[[#All],[METRIC_VALUE]])*0.5))/100,"")</f>
        <v/>
      </c>
      <c r="J1032">
        <f>IF(ISNA(VLOOKUP(A1032,'CloseDL - PriceSaverBBT3'!A:E,5,0)),0,VLOOKUP(A1032,'CloseDL - PriceSaverBBT3'!A:E,5,0))</f>
        <v>0</v>
      </c>
      <c r="K1032" s="7" t="str">
        <f t="shared" si="156"/>
        <v/>
      </c>
      <c r="L1032" s="20">
        <f>IF(Close[[#This Row],[CreatedBy]]="MARINER\SilverAdm",1,0)</f>
        <v>1</v>
      </c>
      <c r="M1032" t="str">
        <f>IF(NOT(ISBLANK(A1032)),VLOOKUP(A1032,'Close - PriceSaver'!A:J,6,0),"")</f>
        <v/>
      </c>
      <c r="Q1032" t="e">
        <f t="shared" si="148"/>
        <v>#N/A</v>
      </c>
      <c r="R1032" t="e">
        <f t="shared" si="149"/>
        <v>#N/A</v>
      </c>
      <c r="S1032" t="e">
        <f t="shared" si="150"/>
        <v>#N/A</v>
      </c>
      <c r="T1032" s="15" t="e">
        <f t="shared" si="152"/>
        <v>#N/A</v>
      </c>
      <c r="U1032" s="18" t="e">
        <f t="shared" si="153"/>
        <v>#N/A</v>
      </c>
      <c r="V1032" s="14" t="e">
        <f t="shared" si="151"/>
        <v>#N/A</v>
      </c>
      <c r="W1032" s="19" t="e">
        <f t="shared" si="154"/>
        <v>#N/A</v>
      </c>
      <c r="X1032" t="e">
        <f>VLOOKUP(P1032,Close[[ID]:[CreatedBy]],8,0)</f>
        <v>#N/A</v>
      </c>
    </row>
    <row r="1033" spans="2:24" x14ac:dyDescent="0.35">
      <c r="B1033" t="str">
        <f>IF(NOT(ISBLANK(A1033)),VLOOKUP(A1033,'BBT3'!A:F,2,0),"")</f>
        <v/>
      </c>
      <c r="C1033" t="str">
        <f>IF(NOT(ISBLANK(A1033)),VLOOKUP(A1033,'BBT3'!A:F,3,0),"")</f>
        <v/>
      </c>
      <c r="D1033" s="5" t="str">
        <f>IF(NOT(ISBLANK(A1033)),VLOOKUP(A1033,'BBT3'!A:F,4,1),"")</f>
        <v/>
      </c>
      <c r="E1033" t="str">
        <f>IF(NOT(ISBLANK(A1033)),VLOOKUP(A1033,'BBT3'!A:F,5,0),"")</f>
        <v/>
      </c>
      <c r="F1033" t="str">
        <f>IF(NOT(ISBLANK(A1033)),VLOOKUP(A1033,'BBT3'!A:F,6,0),"")</f>
        <v/>
      </c>
      <c r="G1033" t="str">
        <f t="shared" si="155"/>
        <v/>
      </c>
      <c r="H1033" t="str">
        <f>IF(NOT(ISBLANK(A1033)),VLOOKUP(A1033,'Close - PriceSaver'!A:J,5,0),"")</f>
        <v/>
      </c>
      <c r="I1033" s="4" t="str" cm="1">
        <f t="array" ref="I1033">IF(NOT(ISBLANK(A1033)),((_xlfn.XLOOKUP(1,(_bbt3[[#All],[ID]]=A1033)*(_bbt3[[#All],[METRIC_NAME]]="YLD_YTM_ASK"),_bbt3[[#All],[METRIC_VALUE]])*0.5)+(_xlfn.XLOOKUP(1,(_bbt3[[#All],[ID]]=A1033)*(_bbt3[[#All],[METRIC_NAME]]="YLD_YTM_BID"),_bbt3[[#All],[METRIC_VALUE]])*0.5))/100,"")</f>
        <v/>
      </c>
      <c r="J1033">
        <f>IF(ISNA(VLOOKUP(A1033,'CloseDL - PriceSaverBBT3'!A:E,5,0)),0,VLOOKUP(A1033,'CloseDL - PriceSaverBBT3'!A:E,5,0))</f>
        <v>0</v>
      </c>
      <c r="K1033" s="7" t="str">
        <f t="shared" si="156"/>
        <v/>
      </c>
      <c r="L1033" s="20">
        <f>IF(Close[[#This Row],[CreatedBy]]="MARINER\SilverAdm",1,0)</f>
        <v>1</v>
      </c>
      <c r="M1033" t="str">
        <f>IF(NOT(ISBLANK(A1033)),VLOOKUP(A1033,'Close - PriceSaver'!A:J,6,0),"")</f>
        <v/>
      </c>
      <c r="Q1033" t="e">
        <f t="shared" si="148"/>
        <v>#N/A</v>
      </c>
      <c r="R1033" t="e">
        <f t="shared" si="149"/>
        <v>#N/A</v>
      </c>
      <c r="S1033" t="e">
        <f t="shared" si="150"/>
        <v>#N/A</v>
      </c>
      <c r="T1033" s="15" t="e">
        <f t="shared" si="152"/>
        <v>#N/A</v>
      </c>
      <c r="U1033" s="18" t="e">
        <f t="shared" si="153"/>
        <v>#N/A</v>
      </c>
      <c r="V1033" s="14" t="e">
        <f t="shared" si="151"/>
        <v>#N/A</v>
      </c>
      <c r="W1033" s="19" t="e">
        <f t="shared" si="154"/>
        <v>#N/A</v>
      </c>
      <c r="X1033" t="e">
        <f>VLOOKUP(P1033,Close[[ID]:[CreatedBy]],8,0)</f>
        <v>#N/A</v>
      </c>
    </row>
    <row r="1034" spans="2:24" x14ac:dyDescent="0.35">
      <c r="B1034" t="str">
        <f>IF(NOT(ISBLANK(A1034)),VLOOKUP(A1034,'BBT3'!A:F,2,0),"")</f>
        <v/>
      </c>
      <c r="C1034" t="str">
        <f>IF(NOT(ISBLANK(A1034)),VLOOKUP(A1034,'BBT3'!A:F,3,0),"")</f>
        <v/>
      </c>
      <c r="D1034" s="5" t="str">
        <f>IF(NOT(ISBLANK(A1034)),VLOOKUP(A1034,'BBT3'!A:F,4,1),"")</f>
        <v/>
      </c>
      <c r="E1034" t="str">
        <f>IF(NOT(ISBLANK(A1034)),VLOOKUP(A1034,'BBT3'!A:F,5,0),"")</f>
        <v/>
      </c>
      <c r="F1034" t="str">
        <f>IF(NOT(ISBLANK(A1034)),VLOOKUP(A1034,'BBT3'!A:F,6,0),"")</f>
        <v/>
      </c>
      <c r="G1034" t="str">
        <f t="shared" si="155"/>
        <v/>
      </c>
      <c r="H1034" t="str">
        <f>IF(NOT(ISBLANK(A1034)),VLOOKUP(A1034,'Close - PriceSaver'!A:J,5,0),"")</f>
        <v/>
      </c>
      <c r="I1034" s="4" t="str" cm="1">
        <f t="array" ref="I1034">IF(NOT(ISBLANK(A1034)),((_xlfn.XLOOKUP(1,(_bbt3[[#All],[ID]]=A1034)*(_bbt3[[#All],[METRIC_NAME]]="YLD_YTM_ASK"),_bbt3[[#All],[METRIC_VALUE]])*0.5)+(_xlfn.XLOOKUP(1,(_bbt3[[#All],[ID]]=A1034)*(_bbt3[[#All],[METRIC_NAME]]="YLD_YTM_BID"),_bbt3[[#All],[METRIC_VALUE]])*0.5))/100,"")</f>
        <v/>
      </c>
      <c r="J1034">
        <f>IF(ISNA(VLOOKUP(A1034,'CloseDL - PriceSaverBBT3'!A:E,5,0)),0,VLOOKUP(A1034,'CloseDL - PriceSaverBBT3'!A:E,5,0))</f>
        <v>0</v>
      </c>
      <c r="K1034" s="7" t="str">
        <f t="shared" si="156"/>
        <v/>
      </c>
      <c r="L1034" s="20">
        <f>IF(Close[[#This Row],[CreatedBy]]="MARINER\SilverAdm",1,0)</f>
        <v>1</v>
      </c>
      <c r="M1034" t="str">
        <f>IF(NOT(ISBLANK(A1034)),VLOOKUP(A1034,'Close - PriceSaver'!A:J,6,0),"")</f>
        <v/>
      </c>
      <c r="Q1034" t="e">
        <f t="shared" si="148"/>
        <v>#N/A</v>
      </c>
      <c r="R1034" t="e">
        <f t="shared" si="149"/>
        <v>#N/A</v>
      </c>
      <c r="S1034" t="e">
        <f t="shared" si="150"/>
        <v>#N/A</v>
      </c>
      <c r="T1034" s="15" t="e">
        <f t="shared" si="152"/>
        <v>#N/A</v>
      </c>
      <c r="U1034" s="18" t="e">
        <f t="shared" si="153"/>
        <v>#N/A</v>
      </c>
      <c r="V1034" s="14" t="e">
        <f t="shared" si="151"/>
        <v>#N/A</v>
      </c>
      <c r="W1034" s="19" t="e">
        <f t="shared" si="154"/>
        <v>#N/A</v>
      </c>
      <c r="X1034" t="e">
        <f>VLOOKUP(P1034,Close[[ID]:[CreatedBy]],8,0)</f>
        <v>#N/A</v>
      </c>
    </row>
    <row r="1035" spans="2:24" x14ac:dyDescent="0.35">
      <c r="B1035" t="str">
        <f>IF(NOT(ISBLANK(A1035)),VLOOKUP(A1035,'BBT3'!A:F,2,0),"")</f>
        <v/>
      </c>
      <c r="C1035" t="str">
        <f>IF(NOT(ISBLANK(A1035)),VLOOKUP(A1035,'BBT3'!A:F,3,0),"")</f>
        <v/>
      </c>
      <c r="D1035" s="5" t="str">
        <f>IF(NOT(ISBLANK(A1035)),VLOOKUP(A1035,'BBT3'!A:F,4,1),"")</f>
        <v/>
      </c>
      <c r="E1035" t="str">
        <f>IF(NOT(ISBLANK(A1035)),VLOOKUP(A1035,'BBT3'!A:F,5,0),"")</f>
        <v/>
      </c>
      <c r="F1035" t="str">
        <f>IF(NOT(ISBLANK(A1035)),VLOOKUP(A1035,'BBT3'!A:F,6,0),"")</f>
        <v/>
      </c>
      <c r="G1035" t="str">
        <f t="shared" si="155"/>
        <v/>
      </c>
      <c r="H1035" t="str">
        <f>IF(NOT(ISBLANK(A1035)),VLOOKUP(A1035,'Close - PriceSaver'!A:J,5,0),"")</f>
        <v/>
      </c>
      <c r="I1035" s="4" t="str" cm="1">
        <f t="array" ref="I1035">IF(NOT(ISBLANK(A1035)),((_xlfn.XLOOKUP(1,(_bbt3[[#All],[ID]]=A1035)*(_bbt3[[#All],[METRIC_NAME]]="YLD_YTM_ASK"),_bbt3[[#All],[METRIC_VALUE]])*0.5)+(_xlfn.XLOOKUP(1,(_bbt3[[#All],[ID]]=A1035)*(_bbt3[[#All],[METRIC_NAME]]="YLD_YTM_BID"),_bbt3[[#All],[METRIC_VALUE]])*0.5))/100,"")</f>
        <v/>
      </c>
      <c r="J1035">
        <f>IF(ISNA(VLOOKUP(A1035,'CloseDL - PriceSaverBBT3'!A:E,5,0)),0,VLOOKUP(A1035,'CloseDL - PriceSaverBBT3'!A:E,5,0))</f>
        <v>0</v>
      </c>
      <c r="K1035" s="7" t="str">
        <f t="shared" si="156"/>
        <v/>
      </c>
      <c r="L1035" s="20">
        <f>IF(Close[[#This Row],[CreatedBy]]="MARINER\SilverAdm",1,0)</f>
        <v>1</v>
      </c>
      <c r="M1035" t="str">
        <f>IF(NOT(ISBLANK(A1035)),VLOOKUP(A1035,'Close - PriceSaver'!A:J,6,0),"")</f>
        <v/>
      </c>
      <c r="Q1035" t="e">
        <f t="shared" ref="Q1035:Q1098" si="157">VLOOKUP(P1035,A:C,3,0)</f>
        <v>#N/A</v>
      </c>
      <c r="R1035" t="e">
        <f t="shared" si="149"/>
        <v>#N/A</v>
      </c>
      <c r="S1035" t="e">
        <f t="shared" si="150"/>
        <v>#N/A</v>
      </c>
      <c r="T1035" s="15" t="e">
        <f t="shared" si="152"/>
        <v>#N/A</v>
      </c>
      <c r="U1035" s="18" t="e">
        <f t="shared" si="153"/>
        <v>#N/A</v>
      </c>
      <c r="V1035" s="14" t="e">
        <f t="shared" si="151"/>
        <v>#N/A</v>
      </c>
      <c r="W1035" s="19" t="e">
        <f t="shared" si="154"/>
        <v>#N/A</v>
      </c>
      <c r="X1035" t="e">
        <f>VLOOKUP(P1035,Close[[ID]:[CreatedBy]],8,0)</f>
        <v>#N/A</v>
      </c>
    </row>
    <row r="1036" spans="2:24" x14ac:dyDescent="0.35">
      <c r="B1036" t="str">
        <f>IF(NOT(ISBLANK(A1036)),VLOOKUP(A1036,'BBT3'!A:F,2,0),"")</f>
        <v/>
      </c>
      <c r="C1036" t="str">
        <f>IF(NOT(ISBLANK(A1036)),VLOOKUP(A1036,'BBT3'!A:F,3,0),"")</f>
        <v/>
      </c>
      <c r="D1036" s="5" t="str">
        <f>IF(NOT(ISBLANK(A1036)),VLOOKUP(A1036,'BBT3'!A:F,4,1),"")</f>
        <v/>
      </c>
      <c r="E1036" t="str">
        <f>IF(NOT(ISBLANK(A1036)),VLOOKUP(A1036,'BBT3'!A:F,5,0),"")</f>
        <v/>
      </c>
      <c r="F1036" t="str">
        <f>IF(NOT(ISBLANK(A1036)),VLOOKUP(A1036,'BBT3'!A:F,6,0),"")</f>
        <v/>
      </c>
      <c r="G1036" t="str">
        <f t="shared" si="155"/>
        <v/>
      </c>
      <c r="H1036" t="str">
        <f>IF(NOT(ISBLANK(A1036)),VLOOKUP(A1036,'Close - PriceSaver'!A:J,5,0),"")</f>
        <v/>
      </c>
      <c r="I1036" s="4" t="str" cm="1">
        <f t="array" ref="I1036">IF(NOT(ISBLANK(A1036)),((_xlfn.XLOOKUP(1,(_bbt3[[#All],[ID]]=A1036)*(_bbt3[[#All],[METRIC_NAME]]="YLD_YTM_ASK"),_bbt3[[#All],[METRIC_VALUE]])*0.5)+(_xlfn.XLOOKUP(1,(_bbt3[[#All],[ID]]=A1036)*(_bbt3[[#All],[METRIC_NAME]]="YLD_YTM_BID"),_bbt3[[#All],[METRIC_VALUE]])*0.5))/100,"")</f>
        <v/>
      </c>
      <c r="J1036">
        <f>IF(ISNA(VLOOKUP(A1036,'CloseDL - PriceSaverBBT3'!A:E,5,0)),0,VLOOKUP(A1036,'CloseDL - PriceSaverBBT3'!A:E,5,0))</f>
        <v>0</v>
      </c>
      <c r="K1036" s="7" t="str">
        <f t="shared" si="156"/>
        <v/>
      </c>
      <c r="L1036" s="20">
        <f>IF(Close[[#This Row],[CreatedBy]]="MARINER\SilverAdm",1,0)</f>
        <v>1</v>
      </c>
      <c r="M1036" t="str">
        <f>IF(NOT(ISBLANK(A1036)),VLOOKUP(A1036,'Close - PriceSaver'!A:J,6,0),"")</f>
        <v/>
      </c>
      <c r="Q1036" t="e">
        <f t="shared" si="157"/>
        <v>#N/A</v>
      </c>
      <c r="R1036" t="e">
        <f t="shared" si="149"/>
        <v>#N/A</v>
      </c>
      <c r="S1036" t="e">
        <f t="shared" si="150"/>
        <v>#N/A</v>
      </c>
      <c r="T1036" s="15" t="e">
        <f t="shared" si="152"/>
        <v>#N/A</v>
      </c>
      <c r="U1036" s="18" t="e">
        <f t="shared" si="153"/>
        <v>#N/A</v>
      </c>
      <c r="V1036" s="14" t="e">
        <f t="shared" si="151"/>
        <v>#N/A</v>
      </c>
      <c r="W1036" s="19" t="e">
        <f t="shared" si="154"/>
        <v>#N/A</v>
      </c>
      <c r="X1036" t="e">
        <f>VLOOKUP(P1036,Close[[ID]:[CreatedBy]],8,0)</f>
        <v>#N/A</v>
      </c>
    </row>
    <row r="1037" spans="2:24" x14ac:dyDescent="0.35">
      <c r="B1037" t="str">
        <f>IF(NOT(ISBLANK(A1037)),VLOOKUP(A1037,'BBT3'!A:F,2,0),"")</f>
        <v/>
      </c>
      <c r="C1037" t="str">
        <f>IF(NOT(ISBLANK(A1037)),VLOOKUP(A1037,'BBT3'!A:F,3,0),"")</f>
        <v/>
      </c>
      <c r="D1037" s="5" t="str">
        <f>IF(NOT(ISBLANK(A1037)),VLOOKUP(A1037,'BBT3'!A:F,4,1),"")</f>
        <v/>
      </c>
      <c r="E1037" t="str">
        <f>IF(NOT(ISBLANK(A1037)),VLOOKUP(A1037,'BBT3'!A:F,5,0),"")</f>
        <v/>
      </c>
      <c r="F1037" t="str">
        <f>IF(NOT(ISBLANK(A1037)),VLOOKUP(A1037,'BBT3'!A:F,6,0),"")</f>
        <v/>
      </c>
      <c r="G1037" t="str">
        <f t="shared" si="155"/>
        <v/>
      </c>
      <c r="H1037" t="str">
        <f>IF(NOT(ISBLANK(A1037)),VLOOKUP(A1037,'Close - PriceSaver'!A:J,5,0),"")</f>
        <v/>
      </c>
      <c r="I1037" s="4" t="str" cm="1">
        <f t="array" ref="I1037">IF(NOT(ISBLANK(A1037)),((_xlfn.XLOOKUP(1,(_bbt3[[#All],[ID]]=A1037)*(_bbt3[[#All],[METRIC_NAME]]="YLD_YTM_ASK"),_bbt3[[#All],[METRIC_VALUE]])*0.5)+(_xlfn.XLOOKUP(1,(_bbt3[[#All],[ID]]=A1037)*(_bbt3[[#All],[METRIC_NAME]]="YLD_YTM_BID"),_bbt3[[#All],[METRIC_VALUE]])*0.5))/100,"")</f>
        <v/>
      </c>
      <c r="J1037">
        <f>IF(ISNA(VLOOKUP(A1037,'CloseDL - PriceSaverBBT3'!A:E,5,0)),0,VLOOKUP(A1037,'CloseDL - PriceSaverBBT3'!A:E,5,0))</f>
        <v>0</v>
      </c>
      <c r="K1037" s="7" t="str">
        <f t="shared" si="156"/>
        <v/>
      </c>
      <c r="L1037" s="20">
        <f>IF(Close[[#This Row],[CreatedBy]]="MARINER\SilverAdm",1,0)</f>
        <v>1</v>
      </c>
      <c r="M1037" t="str">
        <f>IF(NOT(ISBLANK(A1037)),VLOOKUP(A1037,'Close - PriceSaver'!A:J,6,0),"")</f>
        <v/>
      </c>
      <c r="Q1037" t="e">
        <f t="shared" si="157"/>
        <v>#N/A</v>
      </c>
      <c r="R1037" t="e">
        <f t="shared" ref="R1037:R1100" si="158">VLOOKUP(P1037,A:B,2,0)</f>
        <v>#N/A</v>
      </c>
      <c r="S1037" t="e">
        <f t="shared" ref="S1037:S1100" si="159">VLOOKUP(P1037,A:E,4,0)</f>
        <v>#N/A</v>
      </c>
      <c r="T1037" s="15" t="e">
        <f t="shared" si="152"/>
        <v>#N/A</v>
      </c>
      <c r="U1037" s="18" t="e">
        <f t="shared" si="153"/>
        <v>#N/A</v>
      </c>
      <c r="V1037" s="14" t="e">
        <f t="shared" si="151"/>
        <v>#N/A</v>
      </c>
      <c r="W1037" s="19" t="e">
        <f t="shared" si="154"/>
        <v>#N/A</v>
      </c>
      <c r="X1037" t="e">
        <f>VLOOKUP(P1037,Close[[ID]:[CreatedBy]],8,0)</f>
        <v>#N/A</v>
      </c>
    </row>
    <row r="1038" spans="2:24" x14ac:dyDescent="0.35">
      <c r="B1038" t="str">
        <f>IF(NOT(ISBLANK(A1038)),VLOOKUP(A1038,'BBT3'!A:F,2,0),"")</f>
        <v/>
      </c>
      <c r="C1038" t="str">
        <f>IF(NOT(ISBLANK(A1038)),VLOOKUP(A1038,'BBT3'!A:F,3,0),"")</f>
        <v/>
      </c>
      <c r="D1038" s="5" t="str">
        <f>IF(NOT(ISBLANK(A1038)),VLOOKUP(A1038,'BBT3'!A:F,4,1),"")</f>
        <v/>
      </c>
      <c r="E1038" t="str">
        <f>IF(NOT(ISBLANK(A1038)),VLOOKUP(A1038,'BBT3'!A:F,5,0),"")</f>
        <v/>
      </c>
      <c r="F1038" t="str">
        <f>IF(NOT(ISBLANK(A1038)),VLOOKUP(A1038,'BBT3'!A:F,6,0),"")</f>
        <v/>
      </c>
      <c r="G1038" t="str">
        <f t="shared" si="155"/>
        <v/>
      </c>
      <c r="H1038" t="str">
        <f>IF(NOT(ISBLANK(A1038)),VLOOKUP(A1038,'Close - PriceSaver'!A:J,5,0),"")</f>
        <v/>
      </c>
      <c r="I1038" s="4" t="str" cm="1">
        <f t="array" ref="I1038">IF(NOT(ISBLANK(A1038)),((_xlfn.XLOOKUP(1,(_bbt3[[#All],[ID]]=A1038)*(_bbt3[[#All],[METRIC_NAME]]="YLD_YTM_ASK"),_bbt3[[#All],[METRIC_VALUE]])*0.5)+(_xlfn.XLOOKUP(1,(_bbt3[[#All],[ID]]=A1038)*(_bbt3[[#All],[METRIC_NAME]]="YLD_YTM_BID"),_bbt3[[#All],[METRIC_VALUE]])*0.5))/100,"")</f>
        <v/>
      </c>
      <c r="J1038">
        <f>IF(ISNA(VLOOKUP(A1038,'CloseDL - PriceSaverBBT3'!A:E,5,0)),0,VLOOKUP(A1038,'CloseDL - PriceSaverBBT3'!A:E,5,0))</f>
        <v>0</v>
      </c>
      <c r="K1038" s="7" t="str">
        <f t="shared" si="156"/>
        <v/>
      </c>
      <c r="L1038" s="20">
        <f>IF(Close[[#This Row],[CreatedBy]]="MARINER\SilverAdm",1,0)</f>
        <v>1</v>
      </c>
      <c r="M1038" t="str">
        <f>IF(NOT(ISBLANK(A1038)),VLOOKUP(A1038,'Close - PriceSaver'!A:J,6,0),"")</f>
        <v/>
      </c>
      <c r="Q1038" t="e">
        <f t="shared" si="157"/>
        <v>#N/A</v>
      </c>
      <c r="R1038" t="e">
        <f t="shared" si="158"/>
        <v>#N/A</v>
      </c>
      <c r="S1038" t="e">
        <f t="shared" si="159"/>
        <v>#N/A</v>
      </c>
      <c r="T1038" s="15" t="e">
        <f t="shared" si="152"/>
        <v>#N/A</v>
      </c>
      <c r="U1038" s="18" t="e">
        <f t="shared" si="153"/>
        <v>#N/A</v>
      </c>
      <c r="V1038" s="14" t="e">
        <f t="shared" ref="V1038:V1101" si="160">VLOOKUP(Q1038,A:K,10,0)</f>
        <v>#N/A</v>
      </c>
      <c r="W1038" s="19" t="e">
        <f t="shared" si="154"/>
        <v>#N/A</v>
      </c>
      <c r="X1038" t="e">
        <f>VLOOKUP(P1038,Close[[ID]:[CreatedBy]],8,0)</f>
        <v>#N/A</v>
      </c>
    </row>
    <row r="1039" spans="2:24" x14ac:dyDescent="0.35">
      <c r="B1039" t="str">
        <f>IF(NOT(ISBLANK(A1039)),VLOOKUP(A1039,'BBT3'!A:F,2,0),"")</f>
        <v/>
      </c>
      <c r="C1039" t="str">
        <f>IF(NOT(ISBLANK(A1039)),VLOOKUP(A1039,'BBT3'!A:F,3,0),"")</f>
        <v/>
      </c>
      <c r="D1039" s="5" t="str">
        <f>IF(NOT(ISBLANK(A1039)),VLOOKUP(A1039,'BBT3'!A:F,4,1),"")</f>
        <v/>
      </c>
      <c r="E1039" t="str">
        <f>IF(NOT(ISBLANK(A1039)),VLOOKUP(A1039,'BBT3'!A:F,5,0),"")</f>
        <v/>
      </c>
      <c r="F1039" t="str">
        <f>IF(NOT(ISBLANK(A1039)),VLOOKUP(A1039,'BBT3'!A:F,6,0),"")</f>
        <v/>
      </c>
      <c r="G1039" t="str">
        <f t="shared" si="155"/>
        <v/>
      </c>
      <c r="H1039" t="str">
        <f>IF(NOT(ISBLANK(A1039)),VLOOKUP(A1039,'Close - PriceSaver'!A:J,5,0),"")</f>
        <v/>
      </c>
      <c r="I1039" s="4" t="str" cm="1">
        <f t="array" ref="I1039">IF(NOT(ISBLANK(A1039)),((_xlfn.XLOOKUP(1,(_bbt3[[#All],[ID]]=A1039)*(_bbt3[[#All],[METRIC_NAME]]="YLD_YTM_ASK"),_bbt3[[#All],[METRIC_VALUE]])*0.5)+(_xlfn.XLOOKUP(1,(_bbt3[[#All],[ID]]=A1039)*(_bbt3[[#All],[METRIC_NAME]]="YLD_YTM_BID"),_bbt3[[#All],[METRIC_VALUE]])*0.5))/100,"")</f>
        <v/>
      </c>
      <c r="J1039">
        <f>IF(ISNA(VLOOKUP(A1039,'CloseDL - PriceSaverBBT3'!A:E,5,0)),0,VLOOKUP(A1039,'CloseDL - PriceSaverBBT3'!A:E,5,0))</f>
        <v>0</v>
      </c>
      <c r="K1039" s="7" t="str">
        <f t="shared" si="156"/>
        <v/>
      </c>
      <c r="L1039" s="20">
        <f>IF(Close[[#This Row],[CreatedBy]]="MARINER\SilverAdm",1,0)</f>
        <v>1</v>
      </c>
      <c r="M1039" t="str">
        <f>IF(NOT(ISBLANK(A1039)),VLOOKUP(A1039,'Close - PriceSaver'!A:J,6,0),"")</f>
        <v/>
      </c>
      <c r="Q1039" t="e">
        <f t="shared" si="157"/>
        <v>#N/A</v>
      </c>
      <c r="R1039" t="e">
        <f t="shared" si="158"/>
        <v>#N/A</v>
      </c>
      <c r="S1039" t="e">
        <f t="shared" si="159"/>
        <v>#N/A</v>
      </c>
      <c r="T1039" s="15" t="e">
        <f t="shared" si="152"/>
        <v>#N/A</v>
      </c>
      <c r="U1039" s="18" t="e">
        <f t="shared" si="153"/>
        <v>#N/A</v>
      </c>
      <c r="V1039" s="14" t="e">
        <f t="shared" si="160"/>
        <v>#N/A</v>
      </c>
      <c r="W1039" s="19" t="e">
        <f t="shared" si="154"/>
        <v>#N/A</v>
      </c>
      <c r="X1039" t="e">
        <f>VLOOKUP(P1039,Close[[ID]:[CreatedBy]],8,0)</f>
        <v>#N/A</v>
      </c>
    </row>
    <row r="1040" spans="2:24" x14ac:dyDescent="0.35">
      <c r="B1040" t="str">
        <f>IF(NOT(ISBLANK(A1040)),VLOOKUP(A1040,'BBT3'!A:F,2,0),"")</f>
        <v/>
      </c>
      <c r="C1040" t="str">
        <f>IF(NOT(ISBLANK(A1040)),VLOOKUP(A1040,'BBT3'!A:F,3,0),"")</f>
        <v/>
      </c>
      <c r="D1040" s="5" t="str">
        <f>IF(NOT(ISBLANK(A1040)),VLOOKUP(A1040,'BBT3'!A:F,4,1),"")</f>
        <v/>
      </c>
      <c r="E1040" t="str">
        <f>IF(NOT(ISBLANK(A1040)),VLOOKUP(A1040,'BBT3'!A:F,5,0),"")</f>
        <v/>
      </c>
      <c r="F1040" t="str">
        <f>IF(NOT(ISBLANK(A1040)),VLOOKUP(A1040,'BBT3'!A:F,6,0),"")</f>
        <v/>
      </c>
      <c r="G1040" t="str">
        <f t="shared" si="155"/>
        <v/>
      </c>
      <c r="H1040" t="str">
        <f>IF(NOT(ISBLANK(A1040)),VLOOKUP(A1040,'Close - PriceSaver'!A:J,5,0),"")</f>
        <v/>
      </c>
      <c r="I1040" s="4" t="str" cm="1">
        <f t="array" ref="I1040">IF(NOT(ISBLANK(A1040)),((_xlfn.XLOOKUP(1,(_bbt3[[#All],[ID]]=A1040)*(_bbt3[[#All],[METRIC_NAME]]="YLD_YTM_ASK"),_bbt3[[#All],[METRIC_VALUE]])*0.5)+(_xlfn.XLOOKUP(1,(_bbt3[[#All],[ID]]=A1040)*(_bbt3[[#All],[METRIC_NAME]]="YLD_YTM_BID"),_bbt3[[#All],[METRIC_VALUE]])*0.5))/100,"")</f>
        <v/>
      </c>
      <c r="J1040">
        <f>IF(ISNA(VLOOKUP(A1040,'CloseDL - PriceSaverBBT3'!A:E,5,0)),0,VLOOKUP(A1040,'CloseDL - PriceSaverBBT3'!A:E,5,0))</f>
        <v>0</v>
      </c>
      <c r="K1040" s="7" t="str">
        <f t="shared" si="156"/>
        <v/>
      </c>
      <c r="L1040" s="20">
        <f>IF(Close[[#This Row],[CreatedBy]]="MARINER\SilverAdm",1,0)</f>
        <v>1</v>
      </c>
      <c r="M1040" t="str">
        <f>IF(NOT(ISBLANK(A1040)),VLOOKUP(A1040,'Close - PriceSaver'!A:J,6,0),"")</f>
        <v/>
      </c>
      <c r="Q1040" t="e">
        <f t="shared" si="157"/>
        <v>#N/A</v>
      </c>
      <c r="R1040" t="e">
        <f t="shared" si="158"/>
        <v>#N/A</v>
      </c>
      <c r="S1040" t="e">
        <f t="shared" si="159"/>
        <v>#N/A</v>
      </c>
      <c r="T1040" s="15" t="e">
        <f t="shared" si="152"/>
        <v>#N/A</v>
      </c>
      <c r="U1040" s="18" t="e">
        <f t="shared" si="153"/>
        <v>#N/A</v>
      </c>
      <c r="V1040" s="14" t="e">
        <f t="shared" si="160"/>
        <v>#N/A</v>
      </c>
      <c r="W1040" s="19" t="e">
        <f t="shared" si="154"/>
        <v>#N/A</v>
      </c>
      <c r="X1040" t="e">
        <f>VLOOKUP(P1040,Close[[ID]:[CreatedBy]],8,0)</f>
        <v>#N/A</v>
      </c>
    </row>
    <row r="1041" spans="2:24" x14ac:dyDescent="0.35">
      <c r="B1041" t="str">
        <f>IF(NOT(ISBLANK(A1041)),VLOOKUP(A1041,'BBT3'!A:F,2,0),"")</f>
        <v/>
      </c>
      <c r="C1041" t="str">
        <f>IF(NOT(ISBLANK(A1041)),VLOOKUP(A1041,'BBT3'!A:F,3,0),"")</f>
        <v/>
      </c>
      <c r="D1041" s="5" t="str">
        <f>IF(NOT(ISBLANK(A1041)),VLOOKUP(A1041,'BBT3'!A:F,4,1),"")</f>
        <v/>
      </c>
      <c r="E1041" t="str">
        <f>IF(NOT(ISBLANK(A1041)),VLOOKUP(A1041,'BBT3'!A:F,5,0),"")</f>
        <v/>
      </c>
      <c r="F1041" t="str">
        <f>IF(NOT(ISBLANK(A1041)),VLOOKUP(A1041,'BBT3'!A:F,6,0),"")</f>
        <v/>
      </c>
      <c r="G1041" t="str">
        <f t="shared" si="155"/>
        <v/>
      </c>
      <c r="H1041" t="str">
        <f>IF(NOT(ISBLANK(A1041)),VLOOKUP(A1041,'Close - PriceSaver'!A:J,5,0),"")</f>
        <v/>
      </c>
      <c r="I1041" s="4" t="str" cm="1">
        <f t="array" ref="I1041">IF(NOT(ISBLANK(A1041)),((_xlfn.XLOOKUP(1,(_bbt3[[#All],[ID]]=A1041)*(_bbt3[[#All],[METRIC_NAME]]="YLD_YTM_ASK"),_bbt3[[#All],[METRIC_VALUE]])*0.5)+(_xlfn.XLOOKUP(1,(_bbt3[[#All],[ID]]=A1041)*(_bbt3[[#All],[METRIC_NAME]]="YLD_YTM_BID"),_bbt3[[#All],[METRIC_VALUE]])*0.5))/100,"")</f>
        <v/>
      </c>
      <c r="J1041">
        <f>IF(ISNA(VLOOKUP(A1041,'CloseDL - PriceSaverBBT3'!A:E,5,0)),0,VLOOKUP(A1041,'CloseDL - PriceSaverBBT3'!A:E,5,0))</f>
        <v>0</v>
      </c>
      <c r="K1041" s="7" t="str">
        <f t="shared" si="156"/>
        <v/>
      </c>
      <c r="L1041" s="20">
        <f>IF(Close[[#This Row],[CreatedBy]]="MARINER\SilverAdm",1,0)</f>
        <v>1</v>
      </c>
      <c r="M1041" t="str">
        <f>IF(NOT(ISBLANK(A1041)),VLOOKUP(A1041,'Close - PriceSaver'!A:J,6,0),"")</f>
        <v/>
      </c>
      <c r="Q1041" t="e">
        <f t="shared" si="157"/>
        <v>#N/A</v>
      </c>
      <c r="R1041" t="e">
        <f t="shared" si="158"/>
        <v>#N/A</v>
      </c>
      <c r="S1041" t="e">
        <f t="shared" si="159"/>
        <v>#N/A</v>
      </c>
      <c r="T1041" s="15" t="e">
        <f t="shared" si="152"/>
        <v>#N/A</v>
      </c>
      <c r="U1041" s="18" t="e">
        <f t="shared" si="153"/>
        <v>#N/A</v>
      </c>
      <c r="V1041" s="14" t="e">
        <f t="shared" si="160"/>
        <v>#N/A</v>
      </c>
      <c r="W1041" s="19" t="e">
        <f t="shared" si="154"/>
        <v>#N/A</v>
      </c>
      <c r="X1041" t="e">
        <f>VLOOKUP(P1041,Close[[ID]:[CreatedBy]],8,0)</f>
        <v>#N/A</v>
      </c>
    </row>
    <row r="1042" spans="2:24" x14ac:dyDescent="0.35">
      <c r="B1042" t="str">
        <f>IF(NOT(ISBLANK(A1042)),VLOOKUP(A1042,'BBT3'!A:F,2,0),"")</f>
        <v/>
      </c>
      <c r="C1042" t="str">
        <f>IF(NOT(ISBLANK(A1042)),VLOOKUP(A1042,'BBT3'!A:F,3,0),"")</f>
        <v/>
      </c>
      <c r="D1042" s="5" t="str">
        <f>IF(NOT(ISBLANK(A1042)),VLOOKUP(A1042,'BBT3'!A:F,4,1),"")</f>
        <v/>
      </c>
      <c r="E1042" t="str">
        <f>IF(NOT(ISBLANK(A1042)),VLOOKUP(A1042,'BBT3'!A:F,5,0),"")</f>
        <v/>
      </c>
      <c r="F1042" t="str">
        <f>IF(NOT(ISBLANK(A1042)),VLOOKUP(A1042,'BBT3'!A:F,6,0),"")</f>
        <v/>
      </c>
      <c r="G1042" t="str">
        <f t="shared" si="155"/>
        <v/>
      </c>
      <c r="H1042" t="str">
        <f>IF(NOT(ISBLANK(A1042)),VLOOKUP(A1042,'Close - PriceSaver'!A:J,5,0),"")</f>
        <v/>
      </c>
      <c r="I1042" s="4" t="str" cm="1">
        <f t="array" ref="I1042">IF(NOT(ISBLANK(A1042)),((_xlfn.XLOOKUP(1,(_bbt3[[#All],[ID]]=A1042)*(_bbt3[[#All],[METRIC_NAME]]="YLD_YTM_ASK"),_bbt3[[#All],[METRIC_VALUE]])*0.5)+(_xlfn.XLOOKUP(1,(_bbt3[[#All],[ID]]=A1042)*(_bbt3[[#All],[METRIC_NAME]]="YLD_YTM_BID"),_bbt3[[#All],[METRIC_VALUE]])*0.5))/100,"")</f>
        <v/>
      </c>
      <c r="J1042">
        <f>IF(ISNA(VLOOKUP(A1042,'CloseDL - PriceSaverBBT3'!A:E,5,0)),0,VLOOKUP(A1042,'CloseDL - PriceSaverBBT3'!A:E,5,0))</f>
        <v>0</v>
      </c>
      <c r="K1042" s="7" t="str">
        <f t="shared" si="156"/>
        <v/>
      </c>
      <c r="L1042" s="20">
        <f>IF(Close[[#This Row],[CreatedBy]]="MARINER\SilverAdm",1,0)</f>
        <v>1</v>
      </c>
      <c r="M1042" t="str">
        <f>IF(NOT(ISBLANK(A1042)),VLOOKUP(A1042,'Close - PriceSaver'!A:J,6,0),"")</f>
        <v/>
      </c>
      <c r="Q1042" t="e">
        <f t="shared" si="157"/>
        <v>#N/A</v>
      </c>
      <c r="R1042" t="e">
        <f t="shared" si="158"/>
        <v>#N/A</v>
      </c>
      <c r="S1042" t="e">
        <f t="shared" si="159"/>
        <v>#N/A</v>
      </c>
      <c r="T1042" s="15" t="e">
        <f t="shared" si="152"/>
        <v>#N/A</v>
      </c>
      <c r="U1042" s="18" t="e">
        <f t="shared" si="153"/>
        <v>#N/A</v>
      </c>
      <c r="V1042" s="14" t="e">
        <f t="shared" si="160"/>
        <v>#N/A</v>
      </c>
      <c r="W1042" s="19" t="e">
        <f t="shared" si="154"/>
        <v>#N/A</v>
      </c>
      <c r="X1042" t="e">
        <f>VLOOKUP(P1042,Close[[ID]:[CreatedBy]],8,0)</f>
        <v>#N/A</v>
      </c>
    </row>
    <row r="1043" spans="2:24" x14ac:dyDescent="0.35">
      <c r="B1043" t="str">
        <f>IF(NOT(ISBLANK(A1043)),VLOOKUP(A1043,'BBT3'!A:F,2,0),"")</f>
        <v/>
      </c>
      <c r="C1043" t="str">
        <f>IF(NOT(ISBLANK(A1043)),VLOOKUP(A1043,'BBT3'!A:F,3,0),"")</f>
        <v/>
      </c>
      <c r="D1043" s="5" t="str">
        <f>IF(NOT(ISBLANK(A1043)),VLOOKUP(A1043,'BBT3'!A:F,4,1),"")</f>
        <v/>
      </c>
      <c r="E1043" t="str">
        <f>IF(NOT(ISBLANK(A1043)),VLOOKUP(A1043,'BBT3'!A:F,5,0),"")</f>
        <v/>
      </c>
      <c r="F1043" t="str">
        <f>IF(NOT(ISBLANK(A1043)),VLOOKUP(A1043,'BBT3'!A:F,6,0),"")</f>
        <v/>
      </c>
      <c r="G1043" t="str">
        <f t="shared" si="155"/>
        <v/>
      </c>
      <c r="H1043" t="str">
        <f>IF(NOT(ISBLANK(A1043)),VLOOKUP(A1043,'Close - PriceSaver'!A:J,5,0),"")</f>
        <v/>
      </c>
      <c r="I1043" s="4" t="str" cm="1">
        <f t="array" ref="I1043">IF(NOT(ISBLANK(A1043)),((_xlfn.XLOOKUP(1,(_bbt3[[#All],[ID]]=A1043)*(_bbt3[[#All],[METRIC_NAME]]="YLD_YTM_ASK"),_bbt3[[#All],[METRIC_VALUE]])*0.5)+(_xlfn.XLOOKUP(1,(_bbt3[[#All],[ID]]=A1043)*(_bbt3[[#All],[METRIC_NAME]]="YLD_YTM_BID"),_bbt3[[#All],[METRIC_VALUE]])*0.5))/100,"")</f>
        <v/>
      </c>
      <c r="J1043">
        <f>IF(ISNA(VLOOKUP(A1043,'CloseDL - PriceSaverBBT3'!A:E,5,0)),0,VLOOKUP(A1043,'CloseDL - PriceSaverBBT3'!A:E,5,0))</f>
        <v>0</v>
      </c>
      <c r="K1043" s="7" t="str">
        <f t="shared" si="156"/>
        <v/>
      </c>
      <c r="L1043" s="20">
        <f>IF(Close[[#This Row],[CreatedBy]]="MARINER\SilverAdm",1,0)</f>
        <v>1</v>
      </c>
      <c r="M1043" t="str">
        <f>IF(NOT(ISBLANK(A1043)),VLOOKUP(A1043,'Close - PriceSaver'!A:J,6,0),"")</f>
        <v/>
      </c>
      <c r="Q1043" t="e">
        <f t="shared" si="157"/>
        <v>#N/A</v>
      </c>
      <c r="R1043" t="e">
        <f t="shared" si="158"/>
        <v>#N/A</v>
      </c>
      <c r="S1043" t="e">
        <f t="shared" si="159"/>
        <v>#N/A</v>
      </c>
      <c r="T1043" s="15" t="e">
        <f t="shared" si="152"/>
        <v>#N/A</v>
      </c>
      <c r="U1043" s="18" t="e">
        <f t="shared" si="153"/>
        <v>#N/A</v>
      </c>
      <c r="V1043" s="14" t="e">
        <f t="shared" si="160"/>
        <v>#N/A</v>
      </c>
      <c r="W1043" s="19" t="e">
        <f t="shared" si="154"/>
        <v>#N/A</v>
      </c>
      <c r="X1043" t="e">
        <f>VLOOKUP(P1043,Close[[ID]:[CreatedBy]],8,0)</f>
        <v>#N/A</v>
      </c>
    </row>
    <row r="1044" spans="2:24" x14ac:dyDescent="0.35">
      <c r="B1044" t="str">
        <f>IF(NOT(ISBLANK(A1044)),VLOOKUP(A1044,'BBT3'!A:F,2,0),"")</f>
        <v/>
      </c>
      <c r="C1044" t="str">
        <f>IF(NOT(ISBLANK(A1044)),VLOOKUP(A1044,'BBT3'!A:F,3,0),"")</f>
        <v/>
      </c>
      <c r="D1044" s="5" t="str">
        <f>IF(NOT(ISBLANK(A1044)),VLOOKUP(A1044,'BBT3'!A:F,4,1),"")</f>
        <v/>
      </c>
      <c r="E1044" t="str">
        <f>IF(NOT(ISBLANK(A1044)),VLOOKUP(A1044,'BBT3'!A:F,5,0),"")</f>
        <v/>
      </c>
      <c r="F1044" t="str">
        <f>IF(NOT(ISBLANK(A1044)),VLOOKUP(A1044,'BBT3'!A:F,6,0),"")</f>
        <v/>
      </c>
      <c r="G1044" t="str">
        <f t="shared" si="155"/>
        <v/>
      </c>
      <c r="H1044" t="str">
        <f>IF(NOT(ISBLANK(A1044)),VLOOKUP(A1044,'Close - PriceSaver'!A:J,5,0),"")</f>
        <v/>
      </c>
      <c r="I1044" s="4" t="str" cm="1">
        <f t="array" ref="I1044">IF(NOT(ISBLANK(A1044)),((_xlfn.XLOOKUP(1,(_bbt3[[#All],[ID]]=A1044)*(_bbt3[[#All],[METRIC_NAME]]="YLD_YTM_ASK"),_bbt3[[#All],[METRIC_VALUE]])*0.5)+(_xlfn.XLOOKUP(1,(_bbt3[[#All],[ID]]=A1044)*(_bbt3[[#All],[METRIC_NAME]]="YLD_YTM_BID"),_bbt3[[#All],[METRIC_VALUE]])*0.5))/100,"")</f>
        <v/>
      </c>
      <c r="J1044">
        <f>IF(ISNA(VLOOKUP(A1044,'CloseDL - PriceSaverBBT3'!A:E,5,0)),0,VLOOKUP(A1044,'CloseDL - PriceSaverBBT3'!A:E,5,0))</f>
        <v>0</v>
      </c>
      <c r="K1044" s="7" t="str">
        <f t="shared" si="156"/>
        <v/>
      </c>
      <c r="L1044" s="20">
        <f>IF(Close[[#This Row],[CreatedBy]]="MARINER\SilverAdm",1,0)</f>
        <v>1</v>
      </c>
      <c r="M1044" t="str">
        <f>IF(NOT(ISBLANK(A1044)),VLOOKUP(A1044,'Close - PriceSaver'!A:J,6,0),"")</f>
        <v/>
      </c>
      <c r="Q1044" t="e">
        <f t="shared" si="157"/>
        <v>#N/A</v>
      </c>
      <c r="R1044" t="e">
        <f t="shared" si="158"/>
        <v>#N/A</v>
      </c>
      <c r="S1044" t="e">
        <f t="shared" si="159"/>
        <v>#N/A</v>
      </c>
      <c r="T1044" s="15" t="e">
        <f t="shared" ref="T1044:T1107" si="161">VLOOKUP(Q1044,A:K,5,0)</f>
        <v>#N/A</v>
      </c>
      <c r="U1044" s="18" t="e">
        <f t="shared" ref="U1044:U1107" si="162">VLOOKUP(Q1044,A:K,8,0)</f>
        <v>#N/A</v>
      </c>
      <c r="V1044" s="14" t="e">
        <f t="shared" si="160"/>
        <v>#N/A</v>
      </c>
      <c r="W1044" s="19" t="e">
        <f t="shared" ref="W1044:W1107" si="163">(V1044-U1044)*100</f>
        <v>#N/A</v>
      </c>
      <c r="X1044" t="e">
        <f>VLOOKUP(P1044,Close[[ID]:[CreatedBy]],8,0)</f>
        <v>#N/A</v>
      </c>
    </row>
    <row r="1045" spans="2:24" x14ac:dyDescent="0.35">
      <c r="B1045" t="str">
        <f>IF(NOT(ISBLANK(A1045)),VLOOKUP(A1045,'BBT3'!A:F,2,0),"")</f>
        <v/>
      </c>
      <c r="C1045" t="str">
        <f>IF(NOT(ISBLANK(A1045)),VLOOKUP(A1045,'BBT3'!A:F,3,0),"")</f>
        <v/>
      </c>
      <c r="D1045" s="5" t="str">
        <f>IF(NOT(ISBLANK(A1045)),VLOOKUP(A1045,'BBT3'!A:F,4,1),"")</f>
        <v/>
      </c>
      <c r="E1045" t="str">
        <f>IF(NOT(ISBLANK(A1045)),VLOOKUP(A1045,'BBT3'!A:F,5,0),"")</f>
        <v/>
      </c>
      <c r="F1045" t="str">
        <f>IF(NOT(ISBLANK(A1045)),VLOOKUP(A1045,'BBT3'!A:F,6,0),"")</f>
        <v/>
      </c>
      <c r="G1045" t="str">
        <f t="shared" si="155"/>
        <v/>
      </c>
      <c r="H1045" t="str">
        <f>IF(NOT(ISBLANK(A1045)),VLOOKUP(A1045,'Close - PriceSaver'!A:J,5,0),"")</f>
        <v/>
      </c>
      <c r="I1045" s="4" t="str" cm="1">
        <f t="array" ref="I1045">IF(NOT(ISBLANK(A1045)),((_xlfn.XLOOKUP(1,(_bbt3[[#All],[ID]]=A1045)*(_bbt3[[#All],[METRIC_NAME]]="YLD_YTM_ASK"),_bbt3[[#All],[METRIC_VALUE]])*0.5)+(_xlfn.XLOOKUP(1,(_bbt3[[#All],[ID]]=A1045)*(_bbt3[[#All],[METRIC_NAME]]="YLD_YTM_BID"),_bbt3[[#All],[METRIC_VALUE]])*0.5))/100,"")</f>
        <v/>
      </c>
      <c r="J1045">
        <f>IF(ISNA(VLOOKUP(A1045,'CloseDL - PriceSaverBBT3'!A:E,5,0)),0,VLOOKUP(A1045,'CloseDL - PriceSaverBBT3'!A:E,5,0))</f>
        <v>0</v>
      </c>
      <c r="K1045" s="7" t="str">
        <f t="shared" si="156"/>
        <v/>
      </c>
      <c r="L1045" s="20">
        <f>IF(Close[[#This Row],[CreatedBy]]="MARINER\SilverAdm",1,0)</f>
        <v>1</v>
      </c>
      <c r="M1045" t="str">
        <f>IF(NOT(ISBLANK(A1045)),VLOOKUP(A1045,'Close - PriceSaver'!A:J,6,0),"")</f>
        <v/>
      </c>
      <c r="Q1045" t="e">
        <f t="shared" si="157"/>
        <v>#N/A</v>
      </c>
      <c r="R1045" t="e">
        <f t="shared" si="158"/>
        <v>#N/A</v>
      </c>
      <c r="S1045" t="e">
        <f t="shared" si="159"/>
        <v>#N/A</v>
      </c>
      <c r="T1045" s="15" t="e">
        <f t="shared" si="161"/>
        <v>#N/A</v>
      </c>
      <c r="U1045" s="18" t="e">
        <f t="shared" si="162"/>
        <v>#N/A</v>
      </c>
      <c r="V1045" s="14" t="e">
        <f t="shared" si="160"/>
        <v>#N/A</v>
      </c>
      <c r="W1045" s="19" t="e">
        <f t="shared" si="163"/>
        <v>#N/A</v>
      </c>
      <c r="X1045" t="e">
        <f>VLOOKUP(P1045,Close[[ID]:[CreatedBy]],8,0)</f>
        <v>#N/A</v>
      </c>
    </row>
    <row r="1046" spans="2:24" x14ac:dyDescent="0.35">
      <c r="B1046" t="str">
        <f>IF(NOT(ISBLANK(A1046)),VLOOKUP(A1046,'BBT3'!A:F,2,0),"")</f>
        <v/>
      </c>
      <c r="C1046" t="str">
        <f>IF(NOT(ISBLANK(A1046)),VLOOKUP(A1046,'BBT3'!A:F,3,0),"")</f>
        <v/>
      </c>
      <c r="D1046" s="5" t="str">
        <f>IF(NOT(ISBLANK(A1046)),VLOOKUP(A1046,'BBT3'!A:F,4,1),"")</f>
        <v/>
      </c>
      <c r="E1046" t="str">
        <f>IF(NOT(ISBLANK(A1046)),VLOOKUP(A1046,'BBT3'!A:F,5,0),"")</f>
        <v/>
      </c>
      <c r="F1046" t="str">
        <f>IF(NOT(ISBLANK(A1046)),VLOOKUP(A1046,'BBT3'!A:F,6,0),"")</f>
        <v/>
      </c>
      <c r="G1046" t="str">
        <f t="shared" si="155"/>
        <v/>
      </c>
      <c r="H1046" t="str">
        <f>IF(NOT(ISBLANK(A1046)),VLOOKUP(A1046,'Close - PriceSaver'!A:J,5,0),"")</f>
        <v/>
      </c>
      <c r="I1046" s="4" t="str" cm="1">
        <f t="array" ref="I1046">IF(NOT(ISBLANK(A1046)),((_xlfn.XLOOKUP(1,(_bbt3[[#All],[ID]]=A1046)*(_bbt3[[#All],[METRIC_NAME]]="YLD_YTM_ASK"),_bbt3[[#All],[METRIC_VALUE]])*0.5)+(_xlfn.XLOOKUP(1,(_bbt3[[#All],[ID]]=A1046)*(_bbt3[[#All],[METRIC_NAME]]="YLD_YTM_BID"),_bbt3[[#All],[METRIC_VALUE]])*0.5))/100,"")</f>
        <v/>
      </c>
      <c r="J1046">
        <f>IF(ISNA(VLOOKUP(A1046,'CloseDL - PriceSaverBBT3'!A:E,5,0)),0,VLOOKUP(A1046,'CloseDL - PriceSaverBBT3'!A:E,5,0))</f>
        <v>0</v>
      </c>
      <c r="K1046" s="7" t="str">
        <f t="shared" si="156"/>
        <v/>
      </c>
      <c r="L1046" s="20">
        <f>IF(Close[[#This Row],[CreatedBy]]="MARINER\SilverAdm",1,0)</f>
        <v>1</v>
      </c>
      <c r="M1046" t="str">
        <f>IF(NOT(ISBLANK(A1046)),VLOOKUP(A1046,'Close - PriceSaver'!A:J,6,0),"")</f>
        <v/>
      </c>
      <c r="Q1046" t="e">
        <f t="shared" si="157"/>
        <v>#N/A</v>
      </c>
      <c r="R1046" t="e">
        <f t="shared" si="158"/>
        <v>#N/A</v>
      </c>
      <c r="S1046" t="e">
        <f t="shared" si="159"/>
        <v>#N/A</v>
      </c>
      <c r="T1046" s="15" t="e">
        <f t="shared" si="161"/>
        <v>#N/A</v>
      </c>
      <c r="U1046" s="18" t="e">
        <f t="shared" si="162"/>
        <v>#N/A</v>
      </c>
      <c r="V1046" s="14" t="e">
        <f t="shared" si="160"/>
        <v>#N/A</v>
      </c>
      <c r="W1046" s="19" t="e">
        <f t="shared" si="163"/>
        <v>#N/A</v>
      </c>
      <c r="X1046" t="e">
        <f>VLOOKUP(P1046,Close[[ID]:[CreatedBy]],8,0)</f>
        <v>#N/A</v>
      </c>
    </row>
    <row r="1047" spans="2:24" x14ac:dyDescent="0.35">
      <c r="B1047" t="str">
        <f>IF(NOT(ISBLANK(A1047)),VLOOKUP(A1047,'BBT3'!A:F,2,0),"")</f>
        <v/>
      </c>
      <c r="C1047" t="str">
        <f>IF(NOT(ISBLANK(A1047)),VLOOKUP(A1047,'BBT3'!A:F,3,0),"")</f>
        <v/>
      </c>
      <c r="D1047" s="5" t="str">
        <f>IF(NOT(ISBLANK(A1047)),VLOOKUP(A1047,'BBT3'!A:F,4,1),"")</f>
        <v/>
      </c>
      <c r="E1047" t="str">
        <f>IF(NOT(ISBLANK(A1047)),VLOOKUP(A1047,'BBT3'!A:F,5,0),"")</f>
        <v/>
      </c>
      <c r="F1047" t="str">
        <f>IF(NOT(ISBLANK(A1047)),VLOOKUP(A1047,'BBT3'!A:F,6,0),"")</f>
        <v/>
      </c>
      <c r="G1047" t="str">
        <f t="shared" si="155"/>
        <v/>
      </c>
      <c r="H1047" t="str">
        <f>IF(NOT(ISBLANK(A1047)),VLOOKUP(A1047,'Close - PriceSaver'!A:J,5,0),"")</f>
        <v/>
      </c>
      <c r="I1047" s="4" t="str" cm="1">
        <f t="array" ref="I1047">IF(NOT(ISBLANK(A1047)),((_xlfn.XLOOKUP(1,(_bbt3[[#All],[ID]]=A1047)*(_bbt3[[#All],[METRIC_NAME]]="YLD_YTM_ASK"),_bbt3[[#All],[METRIC_VALUE]])*0.5)+(_xlfn.XLOOKUP(1,(_bbt3[[#All],[ID]]=A1047)*(_bbt3[[#All],[METRIC_NAME]]="YLD_YTM_BID"),_bbt3[[#All],[METRIC_VALUE]])*0.5))/100,"")</f>
        <v/>
      </c>
      <c r="J1047">
        <f>IF(ISNA(VLOOKUP(A1047,'CloseDL - PriceSaverBBT3'!A:E,5,0)),0,VLOOKUP(A1047,'CloseDL - PriceSaverBBT3'!A:E,5,0))</f>
        <v>0</v>
      </c>
      <c r="K1047" s="7" t="str">
        <f t="shared" si="156"/>
        <v/>
      </c>
      <c r="L1047" s="20">
        <f>IF(Close[[#This Row],[CreatedBy]]="MARINER\SilverAdm",1,0)</f>
        <v>1</v>
      </c>
      <c r="M1047" t="str">
        <f>IF(NOT(ISBLANK(A1047)),VLOOKUP(A1047,'Close - PriceSaver'!A:J,6,0),"")</f>
        <v/>
      </c>
      <c r="Q1047" t="e">
        <f t="shared" si="157"/>
        <v>#N/A</v>
      </c>
      <c r="R1047" t="e">
        <f t="shared" si="158"/>
        <v>#N/A</v>
      </c>
      <c r="S1047" t="e">
        <f t="shared" si="159"/>
        <v>#N/A</v>
      </c>
      <c r="T1047" s="15" t="e">
        <f t="shared" si="161"/>
        <v>#N/A</v>
      </c>
      <c r="U1047" s="18" t="e">
        <f t="shared" si="162"/>
        <v>#N/A</v>
      </c>
      <c r="V1047" s="14" t="e">
        <f t="shared" si="160"/>
        <v>#N/A</v>
      </c>
      <c r="W1047" s="19" t="e">
        <f t="shared" si="163"/>
        <v>#N/A</v>
      </c>
      <c r="X1047" t="e">
        <f>VLOOKUP(P1047,Close[[ID]:[CreatedBy]],8,0)</f>
        <v>#N/A</v>
      </c>
    </row>
    <row r="1048" spans="2:24" x14ac:dyDescent="0.35">
      <c r="B1048" t="str">
        <f>IF(NOT(ISBLANK(A1048)),VLOOKUP(A1048,'BBT3'!A:F,2,0),"")</f>
        <v/>
      </c>
      <c r="C1048" t="str">
        <f>IF(NOT(ISBLANK(A1048)),VLOOKUP(A1048,'BBT3'!A:F,3,0),"")</f>
        <v/>
      </c>
      <c r="D1048" s="5" t="str">
        <f>IF(NOT(ISBLANK(A1048)),VLOOKUP(A1048,'BBT3'!A:F,4,1),"")</f>
        <v/>
      </c>
      <c r="E1048" t="str">
        <f>IF(NOT(ISBLANK(A1048)),VLOOKUP(A1048,'BBT3'!A:F,5,0),"")</f>
        <v/>
      </c>
      <c r="F1048" t="str">
        <f>IF(NOT(ISBLANK(A1048)),VLOOKUP(A1048,'BBT3'!A:F,6,0),"")</f>
        <v/>
      </c>
      <c r="G1048" t="str">
        <f t="shared" si="155"/>
        <v/>
      </c>
      <c r="H1048" t="str">
        <f>IF(NOT(ISBLANK(A1048)),VLOOKUP(A1048,'Close - PriceSaver'!A:J,5,0),"")</f>
        <v/>
      </c>
      <c r="I1048" s="4" t="str" cm="1">
        <f t="array" ref="I1048">IF(NOT(ISBLANK(A1048)),((_xlfn.XLOOKUP(1,(_bbt3[[#All],[ID]]=A1048)*(_bbt3[[#All],[METRIC_NAME]]="YLD_YTM_ASK"),_bbt3[[#All],[METRIC_VALUE]])*0.5)+(_xlfn.XLOOKUP(1,(_bbt3[[#All],[ID]]=A1048)*(_bbt3[[#All],[METRIC_NAME]]="YLD_YTM_BID"),_bbt3[[#All],[METRIC_VALUE]])*0.5))/100,"")</f>
        <v/>
      </c>
      <c r="J1048">
        <f>IF(ISNA(VLOOKUP(A1048,'CloseDL - PriceSaverBBT3'!A:E,5,0)),0,VLOOKUP(A1048,'CloseDL - PriceSaverBBT3'!A:E,5,0))</f>
        <v>0</v>
      </c>
      <c r="K1048" s="7" t="str">
        <f t="shared" si="156"/>
        <v/>
      </c>
      <c r="L1048" s="20">
        <f>IF(Close[[#This Row],[CreatedBy]]="MARINER\SilverAdm",1,0)</f>
        <v>1</v>
      </c>
      <c r="M1048" t="str">
        <f>IF(NOT(ISBLANK(A1048)),VLOOKUP(A1048,'Close - PriceSaver'!A:J,6,0),"")</f>
        <v/>
      </c>
      <c r="Q1048" t="e">
        <f t="shared" si="157"/>
        <v>#N/A</v>
      </c>
      <c r="R1048" t="e">
        <f t="shared" si="158"/>
        <v>#N/A</v>
      </c>
      <c r="S1048" t="e">
        <f t="shared" si="159"/>
        <v>#N/A</v>
      </c>
      <c r="T1048" s="15" t="e">
        <f t="shared" si="161"/>
        <v>#N/A</v>
      </c>
      <c r="U1048" s="18" t="e">
        <f t="shared" si="162"/>
        <v>#N/A</v>
      </c>
      <c r="V1048" s="14" t="e">
        <f t="shared" si="160"/>
        <v>#N/A</v>
      </c>
      <c r="W1048" s="19" t="e">
        <f t="shared" si="163"/>
        <v>#N/A</v>
      </c>
      <c r="X1048" t="e">
        <f>VLOOKUP(P1048,Close[[ID]:[CreatedBy]],8,0)</f>
        <v>#N/A</v>
      </c>
    </row>
    <row r="1049" spans="2:24" x14ac:dyDescent="0.35">
      <c r="B1049" t="str">
        <f>IF(NOT(ISBLANK(A1049)),VLOOKUP(A1049,'BBT3'!A:F,2,0),"")</f>
        <v/>
      </c>
      <c r="C1049" t="str">
        <f>IF(NOT(ISBLANK(A1049)),VLOOKUP(A1049,'BBT3'!A:F,3,0),"")</f>
        <v/>
      </c>
      <c r="D1049" s="5" t="str">
        <f>IF(NOT(ISBLANK(A1049)),VLOOKUP(A1049,'BBT3'!A:F,4,1),"")</f>
        <v/>
      </c>
      <c r="E1049" t="str">
        <f>IF(NOT(ISBLANK(A1049)),VLOOKUP(A1049,'BBT3'!A:F,5,0),"")</f>
        <v/>
      </c>
      <c r="F1049" t="str">
        <f>IF(NOT(ISBLANK(A1049)),VLOOKUP(A1049,'BBT3'!A:F,6,0),"")</f>
        <v/>
      </c>
      <c r="G1049" t="str">
        <f t="shared" si="155"/>
        <v/>
      </c>
      <c r="H1049" t="str">
        <f>IF(NOT(ISBLANK(A1049)),VLOOKUP(A1049,'Close - PriceSaver'!A:J,5,0),"")</f>
        <v/>
      </c>
      <c r="I1049" s="4" t="str" cm="1">
        <f t="array" ref="I1049">IF(NOT(ISBLANK(A1049)),((_xlfn.XLOOKUP(1,(_bbt3[[#All],[ID]]=A1049)*(_bbt3[[#All],[METRIC_NAME]]="YLD_YTM_ASK"),_bbt3[[#All],[METRIC_VALUE]])*0.5)+(_xlfn.XLOOKUP(1,(_bbt3[[#All],[ID]]=A1049)*(_bbt3[[#All],[METRIC_NAME]]="YLD_YTM_BID"),_bbt3[[#All],[METRIC_VALUE]])*0.5))/100,"")</f>
        <v/>
      </c>
      <c r="J1049">
        <f>IF(ISNA(VLOOKUP(A1049,'CloseDL - PriceSaverBBT3'!A:E,5,0)),0,VLOOKUP(A1049,'CloseDL - PriceSaverBBT3'!A:E,5,0))</f>
        <v>0</v>
      </c>
      <c r="K1049" s="7" t="str">
        <f t="shared" si="156"/>
        <v/>
      </c>
      <c r="L1049" s="20">
        <f>IF(Close[[#This Row],[CreatedBy]]="MARINER\SilverAdm",1,0)</f>
        <v>1</v>
      </c>
      <c r="M1049" t="str">
        <f>IF(NOT(ISBLANK(A1049)),VLOOKUP(A1049,'Close - PriceSaver'!A:J,6,0),"")</f>
        <v/>
      </c>
      <c r="Q1049" t="e">
        <f t="shared" si="157"/>
        <v>#N/A</v>
      </c>
      <c r="R1049" t="e">
        <f t="shared" si="158"/>
        <v>#N/A</v>
      </c>
      <c r="S1049" t="e">
        <f t="shared" si="159"/>
        <v>#N/A</v>
      </c>
      <c r="T1049" s="15" t="e">
        <f t="shared" si="161"/>
        <v>#N/A</v>
      </c>
      <c r="U1049" s="18" t="e">
        <f t="shared" si="162"/>
        <v>#N/A</v>
      </c>
      <c r="V1049" s="14" t="e">
        <f t="shared" si="160"/>
        <v>#N/A</v>
      </c>
      <c r="W1049" s="19" t="e">
        <f t="shared" si="163"/>
        <v>#N/A</v>
      </c>
      <c r="X1049" t="e">
        <f>VLOOKUP(P1049,Close[[ID]:[CreatedBy]],8,0)</f>
        <v>#N/A</v>
      </c>
    </row>
    <row r="1050" spans="2:24" x14ac:dyDescent="0.35">
      <c r="B1050" t="str">
        <f>IF(NOT(ISBLANK(A1050)),VLOOKUP(A1050,'BBT3'!A:F,2,0),"")</f>
        <v/>
      </c>
      <c r="C1050" t="str">
        <f>IF(NOT(ISBLANK(A1050)),VLOOKUP(A1050,'BBT3'!A:F,3,0),"")</f>
        <v/>
      </c>
      <c r="D1050" s="5" t="str">
        <f>IF(NOT(ISBLANK(A1050)),VLOOKUP(A1050,'BBT3'!A:F,4,1),"")</f>
        <v/>
      </c>
      <c r="E1050" t="str">
        <f>IF(NOT(ISBLANK(A1050)),VLOOKUP(A1050,'BBT3'!A:F,5,0),"")</f>
        <v/>
      </c>
      <c r="F1050" t="str">
        <f>IF(NOT(ISBLANK(A1050)),VLOOKUP(A1050,'BBT3'!A:F,6,0),"")</f>
        <v/>
      </c>
      <c r="G1050" t="str">
        <f t="shared" si="155"/>
        <v/>
      </c>
      <c r="H1050" t="str">
        <f>IF(NOT(ISBLANK(A1050)),VLOOKUP(A1050,'Close - PriceSaver'!A:J,5,0),"")</f>
        <v/>
      </c>
      <c r="I1050" s="4" t="str" cm="1">
        <f t="array" ref="I1050">IF(NOT(ISBLANK(A1050)),((_xlfn.XLOOKUP(1,(_bbt3[[#All],[ID]]=A1050)*(_bbt3[[#All],[METRIC_NAME]]="YLD_YTM_ASK"),_bbt3[[#All],[METRIC_VALUE]])*0.5)+(_xlfn.XLOOKUP(1,(_bbt3[[#All],[ID]]=A1050)*(_bbt3[[#All],[METRIC_NAME]]="YLD_YTM_BID"),_bbt3[[#All],[METRIC_VALUE]])*0.5))/100,"")</f>
        <v/>
      </c>
      <c r="J1050">
        <f>IF(ISNA(VLOOKUP(A1050,'CloseDL - PriceSaverBBT3'!A:E,5,0)),0,VLOOKUP(A1050,'CloseDL - PriceSaverBBT3'!A:E,5,0))</f>
        <v>0</v>
      </c>
      <c r="K1050" s="7" t="str">
        <f t="shared" si="156"/>
        <v/>
      </c>
      <c r="L1050" s="20">
        <f>IF(Close[[#This Row],[CreatedBy]]="MARINER\SilverAdm",1,0)</f>
        <v>1</v>
      </c>
      <c r="M1050" t="str">
        <f>IF(NOT(ISBLANK(A1050)),VLOOKUP(A1050,'Close - PriceSaver'!A:J,6,0),"")</f>
        <v/>
      </c>
      <c r="Q1050" t="e">
        <f t="shared" si="157"/>
        <v>#N/A</v>
      </c>
      <c r="R1050" t="e">
        <f t="shared" si="158"/>
        <v>#N/A</v>
      </c>
      <c r="S1050" t="e">
        <f t="shared" si="159"/>
        <v>#N/A</v>
      </c>
      <c r="T1050" s="15" t="e">
        <f t="shared" si="161"/>
        <v>#N/A</v>
      </c>
      <c r="U1050" s="18" t="e">
        <f t="shared" si="162"/>
        <v>#N/A</v>
      </c>
      <c r="V1050" s="14" t="e">
        <f t="shared" si="160"/>
        <v>#N/A</v>
      </c>
      <c r="W1050" s="19" t="e">
        <f t="shared" si="163"/>
        <v>#N/A</v>
      </c>
      <c r="X1050" t="e">
        <f>VLOOKUP(P1050,Close[[ID]:[CreatedBy]],8,0)</f>
        <v>#N/A</v>
      </c>
    </row>
    <row r="1051" spans="2:24" x14ac:dyDescent="0.35">
      <c r="B1051" t="str">
        <f>IF(NOT(ISBLANK(A1051)),VLOOKUP(A1051,'BBT3'!A:F,2,0),"")</f>
        <v/>
      </c>
      <c r="C1051" t="str">
        <f>IF(NOT(ISBLANK(A1051)),VLOOKUP(A1051,'BBT3'!A:F,3,0),"")</f>
        <v/>
      </c>
      <c r="D1051" s="5" t="str">
        <f>IF(NOT(ISBLANK(A1051)),VLOOKUP(A1051,'BBT3'!A:F,4,1),"")</f>
        <v/>
      </c>
      <c r="E1051" t="str">
        <f>IF(NOT(ISBLANK(A1051)),VLOOKUP(A1051,'BBT3'!A:F,5,0),"")</f>
        <v/>
      </c>
      <c r="F1051" t="str">
        <f>IF(NOT(ISBLANK(A1051)),VLOOKUP(A1051,'BBT3'!A:F,6,0),"")</f>
        <v/>
      </c>
      <c r="G1051" t="str">
        <f t="shared" si="155"/>
        <v/>
      </c>
      <c r="H1051" t="str">
        <f>IF(NOT(ISBLANK(A1051)),VLOOKUP(A1051,'Close - PriceSaver'!A:J,5,0),"")</f>
        <v/>
      </c>
      <c r="I1051" s="4" t="str" cm="1">
        <f t="array" ref="I1051">IF(NOT(ISBLANK(A1051)),((_xlfn.XLOOKUP(1,(_bbt3[[#All],[ID]]=A1051)*(_bbt3[[#All],[METRIC_NAME]]="YLD_YTM_ASK"),_bbt3[[#All],[METRIC_VALUE]])*0.5)+(_xlfn.XLOOKUP(1,(_bbt3[[#All],[ID]]=A1051)*(_bbt3[[#All],[METRIC_NAME]]="YLD_YTM_BID"),_bbt3[[#All],[METRIC_VALUE]])*0.5))/100,"")</f>
        <v/>
      </c>
      <c r="J1051">
        <f>IF(ISNA(VLOOKUP(A1051,'CloseDL - PriceSaverBBT3'!A:E,5,0)),0,VLOOKUP(A1051,'CloseDL - PriceSaverBBT3'!A:E,5,0))</f>
        <v>0</v>
      </c>
      <c r="K1051" s="7" t="str">
        <f t="shared" si="156"/>
        <v/>
      </c>
      <c r="L1051" s="20">
        <f>IF(Close[[#This Row],[CreatedBy]]="MARINER\SilverAdm",1,0)</f>
        <v>1</v>
      </c>
      <c r="M1051" t="str">
        <f>IF(NOT(ISBLANK(A1051)),VLOOKUP(A1051,'Close - PriceSaver'!A:J,6,0),"")</f>
        <v/>
      </c>
      <c r="Q1051" t="e">
        <f t="shared" si="157"/>
        <v>#N/A</v>
      </c>
      <c r="R1051" t="e">
        <f t="shared" si="158"/>
        <v>#N/A</v>
      </c>
      <c r="S1051" t="e">
        <f t="shared" si="159"/>
        <v>#N/A</v>
      </c>
      <c r="T1051" s="15" t="e">
        <f t="shared" si="161"/>
        <v>#N/A</v>
      </c>
      <c r="U1051" s="18" t="e">
        <f t="shared" si="162"/>
        <v>#N/A</v>
      </c>
      <c r="V1051" s="14" t="e">
        <f t="shared" si="160"/>
        <v>#N/A</v>
      </c>
      <c r="W1051" s="19" t="e">
        <f t="shared" si="163"/>
        <v>#N/A</v>
      </c>
      <c r="X1051" t="e">
        <f>VLOOKUP(P1051,Close[[ID]:[CreatedBy]],8,0)</f>
        <v>#N/A</v>
      </c>
    </row>
    <row r="1052" spans="2:24" x14ac:dyDescent="0.35">
      <c r="B1052" t="str">
        <f>IF(NOT(ISBLANK(A1052)),VLOOKUP(A1052,'BBT3'!A:F,2,0),"")</f>
        <v/>
      </c>
      <c r="C1052" t="str">
        <f>IF(NOT(ISBLANK(A1052)),VLOOKUP(A1052,'BBT3'!A:F,3,0),"")</f>
        <v/>
      </c>
      <c r="D1052" s="5" t="str">
        <f>IF(NOT(ISBLANK(A1052)),VLOOKUP(A1052,'BBT3'!A:F,4,1),"")</f>
        <v/>
      </c>
      <c r="E1052" t="str">
        <f>IF(NOT(ISBLANK(A1052)),VLOOKUP(A1052,'BBT3'!A:F,5,0),"")</f>
        <v/>
      </c>
      <c r="F1052" t="str">
        <f>IF(NOT(ISBLANK(A1052)),VLOOKUP(A1052,'BBT3'!A:F,6,0),"")</f>
        <v/>
      </c>
      <c r="G1052" t="str">
        <f t="shared" si="155"/>
        <v/>
      </c>
      <c r="H1052" t="str">
        <f>IF(NOT(ISBLANK(A1052)),VLOOKUP(A1052,'Close - PriceSaver'!A:J,5,0),"")</f>
        <v/>
      </c>
      <c r="I1052" s="4" t="str" cm="1">
        <f t="array" ref="I1052">IF(NOT(ISBLANK(A1052)),((_xlfn.XLOOKUP(1,(_bbt3[[#All],[ID]]=A1052)*(_bbt3[[#All],[METRIC_NAME]]="YLD_YTM_ASK"),_bbt3[[#All],[METRIC_VALUE]])*0.5)+(_xlfn.XLOOKUP(1,(_bbt3[[#All],[ID]]=A1052)*(_bbt3[[#All],[METRIC_NAME]]="YLD_YTM_BID"),_bbt3[[#All],[METRIC_VALUE]])*0.5))/100,"")</f>
        <v/>
      </c>
      <c r="J1052">
        <f>IF(ISNA(VLOOKUP(A1052,'CloseDL - PriceSaverBBT3'!A:E,5,0)),0,VLOOKUP(A1052,'CloseDL - PriceSaverBBT3'!A:E,5,0))</f>
        <v>0</v>
      </c>
      <c r="K1052" s="7" t="str">
        <f t="shared" si="156"/>
        <v/>
      </c>
      <c r="L1052" s="20">
        <f>IF(Close[[#This Row],[CreatedBy]]="MARINER\SilverAdm",1,0)</f>
        <v>1</v>
      </c>
      <c r="M1052" t="str">
        <f>IF(NOT(ISBLANK(A1052)),VLOOKUP(A1052,'Close - PriceSaver'!A:J,6,0),"")</f>
        <v/>
      </c>
      <c r="Q1052" t="e">
        <f t="shared" si="157"/>
        <v>#N/A</v>
      </c>
      <c r="R1052" t="e">
        <f t="shared" si="158"/>
        <v>#N/A</v>
      </c>
      <c r="S1052" t="e">
        <f t="shared" si="159"/>
        <v>#N/A</v>
      </c>
      <c r="T1052" s="15" t="e">
        <f t="shared" si="161"/>
        <v>#N/A</v>
      </c>
      <c r="U1052" s="18" t="e">
        <f t="shared" si="162"/>
        <v>#N/A</v>
      </c>
      <c r="V1052" s="14" t="e">
        <f t="shared" si="160"/>
        <v>#N/A</v>
      </c>
      <c r="W1052" s="19" t="e">
        <f t="shared" si="163"/>
        <v>#N/A</v>
      </c>
      <c r="X1052" t="e">
        <f>VLOOKUP(P1052,Close[[ID]:[CreatedBy]],8,0)</f>
        <v>#N/A</v>
      </c>
    </row>
    <row r="1053" spans="2:24" x14ac:dyDescent="0.35">
      <c r="B1053" t="str">
        <f>IF(NOT(ISBLANK(A1053)),VLOOKUP(A1053,'BBT3'!A:F,2,0),"")</f>
        <v/>
      </c>
      <c r="C1053" t="str">
        <f>IF(NOT(ISBLANK(A1053)),VLOOKUP(A1053,'BBT3'!A:F,3,0),"")</f>
        <v/>
      </c>
      <c r="D1053" s="5" t="str">
        <f>IF(NOT(ISBLANK(A1053)),VLOOKUP(A1053,'BBT3'!A:F,4,1),"")</f>
        <v/>
      </c>
      <c r="E1053" t="str">
        <f>IF(NOT(ISBLANK(A1053)),VLOOKUP(A1053,'BBT3'!A:F,5,0),"")</f>
        <v/>
      </c>
      <c r="F1053" t="str">
        <f>IF(NOT(ISBLANK(A1053)),VLOOKUP(A1053,'BBT3'!A:F,6,0),"")</f>
        <v/>
      </c>
      <c r="G1053" t="str">
        <f t="shared" si="155"/>
        <v/>
      </c>
      <c r="H1053" t="str">
        <f>IF(NOT(ISBLANK(A1053)),VLOOKUP(A1053,'Close - PriceSaver'!A:J,5,0),"")</f>
        <v/>
      </c>
      <c r="I1053" s="4" t="str" cm="1">
        <f t="array" ref="I1053">IF(NOT(ISBLANK(A1053)),((_xlfn.XLOOKUP(1,(_bbt3[[#All],[ID]]=A1053)*(_bbt3[[#All],[METRIC_NAME]]="YLD_YTM_ASK"),_bbt3[[#All],[METRIC_VALUE]])*0.5)+(_xlfn.XLOOKUP(1,(_bbt3[[#All],[ID]]=A1053)*(_bbt3[[#All],[METRIC_NAME]]="YLD_YTM_BID"),_bbt3[[#All],[METRIC_VALUE]])*0.5))/100,"")</f>
        <v/>
      </c>
      <c r="J1053">
        <f>IF(ISNA(VLOOKUP(A1053,'CloseDL - PriceSaverBBT3'!A:E,5,0)),0,VLOOKUP(A1053,'CloseDL - PriceSaverBBT3'!A:E,5,0))</f>
        <v>0</v>
      </c>
      <c r="K1053" s="7" t="str">
        <f t="shared" si="156"/>
        <v/>
      </c>
      <c r="L1053" s="20">
        <f>IF(Close[[#This Row],[CreatedBy]]="MARINER\SilverAdm",1,0)</f>
        <v>1</v>
      </c>
      <c r="M1053" t="str">
        <f>IF(NOT(ISBLANK(A1053)),VLOOKUP(A1053,'Close - PriceSaver'!A:J,6,0),"")</f>
        <v/>
      </c>
      <c r="Q1053" t="e">
        <f t="shared" si="157"/>
        <v>#N/A</v>
      </c>
      <c r="R1053" t="e">
        <f t="shared" si="158"/>
        <v>#N/A</v>
      </c>
      <c r="S1053" t="e">
        <f t="shared" si="159"/>
        <v>#N/A</v>
      </c>
      <c r="T1053" s="15" t="e">
        <f t="shared" si="161"/>
        <v>#N/A</v>
      </c>
      <c r="U1053" s="18" t="e">
        <f t="shared" si="162"/>
        <v>#N/A</v>
      </c>
      <c r="V1053" s="14" t="e">
        <f t="shared" si="160"/>
        <v>#N/A</v>
      </c>
      <c r="W1053" s="19" t="e">
        <f t="shared" si="163"/>
        <v>#N/A</v>
      </c>
      <c r="X1053" t="e">
        <f>VLOOKUP(P1053,Close[[ID]:[CreatedBy]],8,0)</f>
        <v>#N/A</v>
      </c>
    </row>
    <row r="1054" spans="2:24" x14ac:dyDescent="0.35">
      <c r="B1054" t="str">
        <f>IF(NOT(ISBLANK(A1054)),VLOOKUP(A1054,'BBT3'!A:F,2,0),"")</f>
        <v/>
      </c>
      <c r="C1054" t="str">
        <f>IF(NOT(ISBLANK(A1054)),VLOOKUP(A1054,'BBT3'!A:F,3,0),"")</f>
        <v/>
      </c>
      <c r="D1054" s="5" t="str">
        <f>IF(NOT(ISBLANK(A1054)),VLOOKUP(A1054,'BBT3'!A:F,4,1),"")</f>
        <v/>
      </c>
      <c r="E1054" t="str">
        <f>IF(NOT(ISBLANK(A1054)),VLOOKUP(A1054,'BBT3'!A:F,5,0),"")</f>
        <v/>
      </c>
      <c r="F1054" t="str">
        <f>IF(NOT(ISBLANK(A1054)),VLOOKUP(A1054,'BBT3'!A:F,6,0),"")</f>
        <v/>
      </c>
      <c r="G1054" t="str">
        <f t="shared" si="155"/>
        <v/>
      </c>
      <c r="H1054" t="str">
        <f>IF(NOT(ISBLANK(A1054)),VLOOKUP(A1054,'Close - PriceSaver'!A:J,5,0),"")</f>
        <v/>
      </c>
      <c r="I1054" s="4" t="str" cm="1">
        <f t="array" ref="I1054">IF(NOT(ISBLANK(A1054)),((_xlfn.XLOOKUP(1,(_bbt3[[#All],[ID]]=A1054)*(_bbt3[[#All],[METRIC_NAME]]="YLD_YTM_ASK"),_bbt3[[#All],[METRIC_VALUE]])*0.5)+(_xlfn.XLOOKUP(1,(_bbt3[[#All],[ID]]=A1054)*(_bbt3[[#All],[METRIC_NAME]]="YLD_YTM_BID"),_bbt3[[#All],[METRIC_VALUE]])*0.5))/100,"")</f>
        <v/>
      </c>
      <c r="J1054">
        <f>IF(ISNA(VLOOKUP(A1054,'CloseDL - PriceSaverBBT3'!A:E,5,0)),0,VLOOKUP(A1054,'CloseDL - PriceSaverBBT3'!A:E,5,0))</f>
        <v>0</v>
      </c>
      <c r="K1054" s="7" t="str">
        <f t="shared" si="156"/>
        <v/>
      </c>
      <c r="L1054" s="20">
        <f>IF(Close[[#This Row],[CreatedBy]]="MARINER\SilverAdm",1,0)</f>
        <v>1</v>
      </c>
      <c r="M1054" t="str">
        <f>IF(NOT(ISBLANK(A1054)),VLOOKUP(A1054,'Close - PriceSaver'!A:J,6,0),"")</f>
        <v/>
      </c>
      <c r="Q1054" t="e">
        <f t="shared" si="157"/>
        <v>#N/A</v>
      </c>
      <c r="R1054" t="e">
        <f t="shared" si="158"/>
        <v>#N/A</v>
      </c>
      <c r="S1054" t="e">
        <f t="shared" si="159"/>
        <v>#N/A</v>
      </c>
      <c r="T1054" s="15" t="e">
        <f t="shared" si="161"/>
        <v>#N/A</v>
      </c>
      <c r="U1054" s="18" t="e">
        <f t="shared" si="162"/>
        <v>#N/A</v>
      </c>
      <c r="V1054" s="14" t="e">
        <f t="shared" si="160"/>
        <v>#N/A</v>
      </c>
      <c r="W1054" s="19" t="e">
        <f t="shared" si="163"/>
        <v>#N/A</v>
      </c>
      <c r="X1054" t="e">
        <f>VLOOKUP(P1054,Close[[ID]:[CreatedBy]],8,0)</f>
        <v>#N/A</v>
      </c>
    </row>
    <row r="1055" spans="2:24" x14ac:dyDescent="0.35">
      <c r="B1055" t="str">
        <f>IF(NOT(ISBLANK(A1055)),VLOOKUP(A1055,'BBT3'!A:F,2,0),"")</f>
        <v/>
      </c>
      <c r="C1055" t="str">
        <f>IF(NOT(ISBLANK(A1055)),VLOOKUP(A1055,'BBT3'!A:F,3,0),"")</f>
        <v/>
      </c>
      <c r="D1055" s="5" t="str">
        <f>IF(NOT(ISBLANK(A1055)),VLOOKUP(A1055,'BBT3'!A:F,4,1),"")</f>
        <v/>
      </c>
      <c r="E1055" t="str">
        <f>IF(NOT(ISBLANK(A1055)),VLOOKUP(A1055,'BBT3'!A:F,5,0),"")</f>
        <v/>
      </c>
      <c r="F1055" t="str">
        <f>IF(NOT(ISBLANK(A1055)),VLOOKUP(A1055,'BBT3'!A:F,6,0),"")</f>
        <v/>
      </c>
      <c r="G1055" t="str">
        <f t="shared" si="155"/>
        <v/>
      </c>
      <c r="H1055" t="str">
        <f>IF(NOT(ISBLANK(A1055)),VLOOKUP(A1055,'Close - PriceSaver'!A:J,5,0),"")</f>
        <v/>
      </c>
      <c r="I1055" s="4" t="str" cm="1">
        <f t="array" ref="I1055">IF(NOT(ISBLANK(A1055)),((_xlfn.XLOOKUP(1,(_bbt3[[#All],[ID]]=A1055)*(_bbt3[[#All],[METRIC_NAME]]="YLD_YTM_ASK"),_bbt3[[#All],[METRIC_VALUE]])*0.5)+(_xlfn.XLOOKUP(1,(_bbt3[[#All],[ID]]=A1055)*(_bbt3[[#All],[METRIC_NAME]]="YLD_YTM_BID"),_bbt3[[#All],[METRIC_VALUE]])*0.5))/100,"")</f>
        <v/>
      </c>
      <c r="J1055">
        <f>IF(ISNA(VLOOKUP(A1055,'CloseDL - PriceSaverBBT3'!A:E,5,0)),0,VLOOKUP(A1055,'CloseDL - PriceSaverBBT3'!A:E,5,0))</f>
        <v>0</v>
      </c>
      <c r="K1055" s="7" t="str">
        <f t="shared" si="156"/>
        <v/>
      </c>
      <c r="L1055" s="20">
        <f>IF(Close[[#This Row],[CreatedBy]]="MARINER\SilverAdm",1,0)</f>
        <v>1</v>
      </c>
      <c r="M1055" t="str">
        <f>IF(NOT(ISBLANK(A1055)),VLOOKUP(A1055,'Close - PriceSaver'!A:J,6,0),"")</f>
        <v/>
      </c>
      <c r="Q1055" t="e">
        <f t="shared" si="157"/>
        <v>#N/A</v>
      </c>
      <c r="R1055" t="e">
        <f t="shared" si="158"/>
        <v>#N/A</v>
      </c>
      <c r="S1055" t="e">
        <f t="shared" si="159"/>
        <v>#N/A</v>
      </c>
      <c r="T1055" s="15" t="e">
        <f t="shared" si="161"/>
        <v>#N/A</v>
      </c>
      <c r="U1055" s="18" t="e">
        <f t="shared" si="162"/>
        <v>#N/A</v>
      </c>
      <c r="V1055" s="14" t="e">
        <f t="shared" si="160"/>
        <v>#N/A</v>
      </c>
      <c r="W1055" s="19" t="e">
        <f t="shared" si="163"/>
        <v>#N/A</v>
      </c>
      <c r="X1055" t="e">
        <f>VLOOKUP(P1055,Close[[ID]:[CreatedBy]],8,0)</f>
        <v>#N/A</v>
      </c>
    </row>
    <row r="1056" spans="2:24" x14ac:dyDescent="0.35">
      <c r="B1056" t="str">
        <f>IF(NOT(ISBLANK(A1056)),VLOOKUP(A1056,'BBT3'!A:F,2,0),"")</f>
        <v/>
      </c>
      <c r="C1056" t="str">
        <f>IF(NOT(ISBLANK(A1056)),VLOOKUP(A1056,'BBT3'!A:F,3,0),"")</f>
        <v/>
      </c>
      <c r="D1056" s="5" t="str">
        <f>IF(NOT(ISBLANK(A1056)),VLOOKUP(A1056,'BBT3'!A:F,4,1),"")</f>
        <v/>
      </c>
      <c r="E1056" t="str">
        <f>IF(NOT(ISBLANK(A1056)),VLOOKUP(A1056,'BBT3'!A:F,5,0),"")</f>
        <v/>
      </c>
      <c r="F1056" t="str">
        <f>IF(NOT(ISBLANK(A1056)),VLOOKUP(A1056,'BBT3'!A:F,6,0),"")</f>
        <v/>
      </c>
      <c r="G1056" t="str">
        <f t="shared" si="155"/>
        <v/>
      </c>
      <c r="H1056" t="str">
        <f>IF(NOT(ISBLANK(A1056)),VLOOKUP(A1056,'Close - PriceSaver'!A:J,5,0),"")</f>
        <v/>
      </c>
      <c r="I1056" s="4" t="str" cm="1">
        <f t="array" ref="I1056">IF(NOT(ISBLANK(A1056)),((_xlfn.XLOOKUP(1,(_bbt3[[#All],[ID]]=A1056)*(_bbt3[[#All],[METRIC_NAME]]="YLD_YTM_ASK"),_bbt3[[#All],[METRIC_VALUE]])*0.5)+(_xlfn.XLOOKUP(1,(_bbt3[[#All],[ID]]=A1056)*(_bbt3[[#All],[METRIC_NAME]]="YLD_YTM_BID"),_bbt3[[#All],[METRIC_VALUE]])*0.5))/100,"")</f>
        <v/>
      </c>
      <c r="J1056">
        <f>IF(ISNA(VLOOKUP(A1056,'CloseDL - PriceSaverBBT3'!A:E,5,0)),0,VLOOKUP(A1056,'CloseDL - PriceSaverBBT3'!A:E,5,0))</f>
        <v>0</v>
      </c>
      <c r="K1056" s="7" t="str">
        <f t="shared" si="156"/>
        <v/>
      </c>
      <c r="L1056" s="20">
        <f>IF(Close[[#This Row],[CreatedBy]]="MARINER\SilverAdm",1,0)</f>
        <v>1</v>
      </c>
      <c r="M1056" t="str">
        <f>IF(NOT(ISBLANK(A1056)),VLOOKUP(A1056,'Close - PriceSaver'!A:J,6,0),"")</f>
        <v/>
      </c>
      <c r="Q1056" t="e">
        <f t="shared" si="157"/>
        <v>#N/A</v>
      </c>
      <c r="R1056" t="e">
        <f t="shared" si="158"/>
        <v>#N/A</v>
      </c>
      <c r="S1056" t="e">
        <f t="shared" si="159"/>
        <v>#N/A</v>
      </c>
      <c r="T1056" s="15" t="e">
        <f t="shared" si="161"/>
        <v>#N/A</v>
      </c>
      <c r="U1056" s="18" t="e">
        <f t="shared" si="162"/>
        <v>#N/A</v>
      </c>
      <c r="V1056" s="14" t="e">
        <f t="shared" si="160"/>
        <v>#N/A</v>
      </c>
      <c r="W1056" s="19" t="e">
        <f t="shared" si="163"/>
        <v>#N/A</v>
      </c>
      <c r="X1056" t="e">
        <f>VLOOKUP(P1056,Close[[ID]:[CreatedBy]],8,0)</f>
        <v>#N/A</v>
      </c>
    </row>
    <row r="1057" spans="2:24" x14ac:dyDescent="0.35">
      <c r="B1057" t="str">
        <f>IF(NOT(ISBLANK(A1057)),VLOOKUP(A1057,'BBT3'!A:F,2,0),"")</f>
        <v/>
      </c>
      <c r="C1057" t="str">
        <f>IF(NOT(ISBLANK(A1057)),VLOOKUP(A1057,'BBT3'!A:F,3,0),"")</f>
        <v/>
      </c>
      <c r="D1057" s="5" t="str">
        <f>IF(NOT(ISBLANK(A1057)),VLOOKUP(A1057,'BBT3'!A:F,4,1),"")</f>
        <v/>
      </c>
      <c r="E1057" t="str">
        <f>IF(NOT(ISBLANK(A1057)),VLOOKUP(A1057,'BBT3'!A:F,5,0),"")</f>
        <v/>
      </c>
      <c r="F1057" t="str">
        <f>IF(NOT(ISBLANK(A1057)),VLOOKUP(A1057,'BBT3'!A:F,6,0),"")</f>
        <v/>
      </c>
      <c r="G1057" t="str">
        <f t="shared" si="155"/>
        <v/>
      </c>
      <c r="H1057" t="str">
        <f>IF(NOT(ISBLANK(A1057)),VLOOKUP(A1057,'Close - PriceSaver'!A:J,5,0),"")</f>
        <v/>
      </c>
      <c r="I1057" s="4" t="str" cm="1">
        <f t="array" ref="I1057">IF(NOT(ISBLANK(A1057)),((_xlfn.XLOOKUP(1,(_bbt3[[#All],[ID]]=A1057)*(_bbt3[[#All],[METRIC_NAME]]="YLD_YTM_ASK"),_bbt3[[#All],[METRIC_VALUE]])*0.5)+(_xlfn.XLOOKUP(1,(_bbt3[[#All],[ID]]=A1057)*(_bbt3[[#All],[METRIC_NAME]]="YLD_YTM_BID"),_bbt3[[#All],[METRIC_VALUE]])*0.5))/100,"")</f>
        <v/>
      </c>
      <c r="J1057">
        <f>IF(ISNA(VLOOKUP(A1057,'CloseDL - PriceSaverBBT3'!A:E,5,0)),0,VLOOKUP(A1057,'CloseDL - PriceSaverBBT3'!A:E,5,0))</f>
        <v>0</v>
      </c>
      <c r="K1057" s="7" t="str">
        <f t="shared" si="156"/>
        <v/>
      </c>
      <c r="L1057" s="20">
        <f>IF(Close[[#This Row],[CreatedBy]]="MARINER\SilverAdm",1,0)</f>
        <v>1</v>
      </c>
      <c r="M1057" t="str">
        <f>IF(NOT(ISBLANK(A1057)),VLOOKUP(A1057,'Close - PriceSaver'!A:J,6,0),"")</f>
        <v/>
      </c>
      <c r="Q1057" t="e">
        <f t="shared" si="157"/>
        <v>#N/A</v>
      </c>
      <c r="R1057" t="e">
        <f t="shared" si="158"/>
        <v>#N/A</v>
      </c>
      <c r="S1057" t="e">
        <f t="shared" si="159"/>
        <v>#N/A</v>
      </c>
      <c r="T1057" s="15" t="e">
        <f t="shared" si="161"/>
        <v>#N/A</v>
      </c>
      <c r="U1057" s="18" t="e">
        <f t="shared" si="162"/>
        <v>#N/A</v>
      </c>
      <c r="V1057" s="14" t="e">
        <f t="shared" si="160"/>
        <v>#N/A</v>
      </c>
      <c r="W1057" s="19" t="e">
        <f t="shared" si="163"/>
        <v>#N/A</v>
      </c>
      <c r="X1057" t="e">
        <f>VLOOKUP(P1057,Close[[ID]:[CreatedBy]],8,0)</f>
        <v>#N/A</v>
      </c>
    </row>
    <row r="1058" spans="2:24" x14ac:dyDescent="0.35">
      <c r="B1058" t="str">
        <f>IF(NOT(ISBLANK(A1058)),VLOOKUP(A1058,'BBT3'!A:F,2,0),"")</f>
        <v/>
      </c>
      <c r="C1058" t="str">
        <f>IF(NOT(ISBLANK(A1058)),VLOOKUP(A1058,'BBT3'!A:F,3,0),"")</f>
        <v/>
      </c>
      <c r="D1058" s="5" t="str">
        <f>IF(NOT(ISBLANK(A1058)),VLOOKUP(A1058,'BBT3'!A:F,4,1),"")</f>
        <v/>
      </c>
      <c r="E1058" t="str">
        <f>IF(NOT(ISBLANK(A1058)),VLOOKUP(A1058,'BBT3'!A:F,5,0),"")</f>
        <v/>
      </c>
      <c r="F1058" t="str">
        <f>IF(NOT(ISBLANK(A1058)),VLOOKUP(A1058,'BBT3'!A:F,6,0),"")</f>
        <v/>
      </c>
      <c r="G1058" t="str">
        <f t="shared" si="155"/>
        <v/>
      </c>
      <c r="H1058" t="str">
        <f>IF(NOT(ISBLANK(A1058)),VLOOKUP(A1058,'Close - PriceSaver'!A:J,5,0),"")</f>
        <v/>
      </c>
      <c r="I1058" s="4" t="str" cm="1">
        <f t="array" ref="I1058">IF(NOT(ISBLANK(A1058)),((_xlfn.XLOOKUP(1,(_bbt3[[#All],[ID]]=A1058)*(_bbt3[[#All],[METRIC_NAME]]="YLD_YTM_ASK"),_bbt3[[#All],[METRIC_VALUE]])*0.5)+(_xlfn.XLOOKUP(1,(_bbt3[[#All],[ID]]=A1058)*(_bbt3[[#All],[METRIC_NAME]]="YLD_YTM_BID"),_bbt3[[#All],[METRIC_VALUE]])*0.5))/100,"")</f>
        <v/>
      </c>
      <c r="J1058">
        <f>IF(ISNA(VLOOKUP(A1058,'CloseDL - PriceSaverBBT3'!A:E,5,0)),0,VLOOKUP(A1058,'CloseDL - PriceSaverBBT3'!A:E,5,0))</f>
        <v>0</v>
      </c>
      <c r="K1058" s="7" t="str">
        <f t="shared" si="156"/>
        <v/>
      </c>
      <c r="L1058" s="20">
        <f>IF(Close[[#This Row],[CreatedBy]]="MARINER\SilverAdm",1,0)</f>
        <v>1</v>
      </c>
      <c r="M1058" t="str">
        <f>IF(NOT(ISBLANK(A1058)),VLOOKUP(A1058,'Close - PriceSaver'!A:J,6,0),"")</f>
        <v/>
      </c>
      <c r="Q1058" t="e">
        <f t="shared" si="157"/>
        <v>#N/A</v>
      </c>
      <c r="R1058" t="e">
        <f t="shared" si="158"/>
        <v>#N/A</v>
      </c>
      <c r="S1058" t="e">
        <f t="shared" si="159"/>
        <v>#N/A</v>
      </c>
      <c r="T1058" s="15" t="e">
        <f t="shared" si="161"/>
        <v>#N/A</v>
      </c>
      <c r="U1058" s="18" t="e">
        <f t="shared" si="162"/>
        <v>#N/A</v>
      </c>
      <c r="V1058" s="14" t="e">
        <f t="shared" si="160"/>
        <v>#N/A</v>
      </c>
      <c r="W1058" s="19" t="e">
        <f t="shared" si="163"/>
        <v>#N/A</v>
      </c>
      <c r="X1058" t="e">
        <f>VLOOKUP(P1058,Close[[ID]:[CreatedBy]],8,0)</f>
        <v>#N/A</v>
      </c>
    </row>
    <row r="1059" spans="2:24" x14ac:dyDescent="0.35">
      <c r="B1059" t="str">
        <f>IF(NOT(ISBLANK(A1059)),VLOOKUP(A1059,'BBT3'!A:F,2,0),"")</f>
        <v/>
      </c>
      <c r="C1059" t="str">
        <f>IF(NOT(ISBLANK(A1059)),VLOOKUP(A1059,'BBT3'!A:F,3,0),"")</f>
        <v/>
      </c>
      <c r="D1059" s="5" t="str">
        <f>IF(NOT(ISBLANK(A1059)),VLOOKUP(A1059,'BBT3'!A:F,4,1),"")</f>
        <v/>
      </c>
      <c r="E1059" t="str">
        <f>IF(NOT(ISBLANK(A1059)),VLOOKUP(A1059,'BBT3'!A:F,5,0),"")</f>
        <v/>
      </c>
      <c r="F1059" t="str">
        <f>IF(NOT(ISBLANK(A1059)),VLOOKUP(A1059,'BBT3'!A:F,6,0),"")</f>
        <v/>
      </c>
      <c r="G1059" t="str">
        <f t="shared" si="155"/>
        <v/>
      </c>
      <c r="H1059" t="str">
        <f>IF(NOT(ISBLANK(A1059)),VLOOKUP(A1059,'Close - PriceSaver'!A:J,5,0),"")</f>
        <v/>
      </c>
      <c r="I1059" s="4" t="str" cm="1">
        <f t="array" ref="I1059">IF(NOT(ISBLANK(A1059)),((_xlfn.XLOOKUP(1,(_bbt3[[#All],[ID]]=A1059)*(_bbt3[[#All],[METRIC_NAME]]="YLD_YTM_ASK"),_bbt3[[#All],[METRIC_VALUE]])*0.5)+(_xlfn.XLOOKUP(1,(_bbt3[[#All],[ID]]=A1059)*(_bbt3[[#All],[METRIC_NAME]]="YLD_YTM_BID"),_bbt3[[#All],[METRIC_VALUE]])*0.5))/100,"")</f>
        <v/>
      </c>
      <c r="J1059">
        <f>IF(ISNA(VLOOKUP(A1059,'CloseDL - PriceSaverBBT3'!A:E,5,0)),0,VLOOKUP(A1059,'CloseDL - PriceSaverBBT3'!A:E,5,0))</f>
        <v>0</v>
      </c>
      <c r="K1059" s="7" t="str">
        <f t="shared" si="156"/>
        <v/>
      </c>
      <c r="L1059" s="20">
        <f>IF(Close[[#This Row],[CreatedBy]]="MARINER\SilverAdm",1,0)</f>
        <v>1</v>
      </c>
      <c r="M1059" t="str">
        <f>IF(NOT(ISBLANK(A1059)),VLOOKUP(A1059,'Close - PriceSaver'!A:J,6,0),"")</f>
        <v/>
      </c>
      <c r="Q1059" t="e">
        <f t="shared" si="157"/>
        <v>#N/A</v>
      </c>
      <c r="R1059" t="e">
        <f t="shared" si="158"/>
        <v>#N/A</v>
      </c>
      <c r="S1059" t="e">
        <f t="shared" si="159"/>
        <v>#N/A</v>
      </c>
      <c r="T1059" s="15" t="e">
        <f t="shared" si="161"/>
        <v>#N/A</v>
      </c>
      <c r="U1059" s="18" t="e">
        <f t="shared" si="162"/>
        <v>#N/A</v>
      </c>
      <c r="V1059" s="14" t="e">
        <f t="shared" si="160"/>
        <v>#N/A</v>
      </c>
      <c r="W1059" s="19" t="e">
        <f t="shared" si="163"/>
        <v>#N/A</v>
      </c>
      <c r="X1059" t="e">
        <f>VLOOKUP(P1059,Close[[ID]:[CreatedBy]],8,0)</f>
        <v>#N/A</v>
      </c>
    </row>
    <row r="1060" spans="2:24" x14ac:dyDescent="0.35">
      <c r="B1060" t="str">
        <f>IF(NOT(ISBLANK(A1060)),VLOOKUP(A1060,'BBT3'!A:F,2,0),"")</f>
        <v/>
      </c>
      <c r="C1060" t="str">
        <f>IF(NOT(ISBLANK(A1060)),VLOOKUP(A1060,'BBT3'!A:F,3,0),"")</f>
        <v/>
      </c>
      <c r="D1060" s="5" t="str">
        <f>IF(NOT(ISBLANK(A1060)),VLOOKUP(A1060,'BBT3'!A:F,4,1),"")</f>
        <v/>
      </c>
      <c r="E1060" t="str">
        <f>IF(NOT(ISBLANK(A1060)),VLOOKUP(A1060,'BBT3'!A:F,5,0),"")</f>
        <v/>
      </c>
      <c r="F1060" t="str">
        <f>IF(NOT(ISBLANK(A1060)),VLOOKUP(A1060,'BBT3'!A:F,6,0),"")</f>
        <v/>
      </c>
      <c r="G1060" t="str">
        <f t="shared" si="155"/>
        <v/>
      </c>
      <c r="H1060" t="str">
        <f>IF(NOT(ISBLANK(A1060)),VLOOKUP(A1060,'Close - PriceSaver'!A:J,5,0),"")</f>
        <v/>
      </c>
      <c r="I1060" s="4" t="str" cm="1">
        <f t="array" ref="I1060">IF(NOT(ISBLANK(A1060)),((_xlfn.XLOOKUP(1,(_bbt3[[#All],[ID]]=A1060)*(_bbt3[[#All],[METRIC_NAME]]="YLD_YTM_ASK"),_bbt3[[#All],[METRIC_VALUE]])*0.5)+(_xlfn.XLOOKUP(1,(_bbt3[[#All],[ID]]=A1060)*(_bbt3[[#All],[METRIC_NAME]]="YLD_YTM_BID"),_bbt3[[#All],[METRIC_VALUE]])*0.5))/100,"")</f>
        <v/>
      </c>
      <c r="J1060">
        <f>IF(ISNA(VLOOKUP(A1060,'CloseDL - PriceSaverBBT3'!A:E,5,0)),0,VLOOKUP(A1060,'CloseDL - PriceSaverBBT3'!A:E,5,0))</f>
        <v>0</v>
      </c>
      <c r="K1060" s="7" t="str">
        <f t="shared" si="156"/>
        <v/>
      </c>
      <c r="L1060" s="20">
        <f>IF(Close[[#This Row],[CreatedBy]]="MARINER\SilverAdm",1,0)</f>
        <v>1</v>
      </c>
      <c r="M1060" t="str">
        <f>IF(NOT(ISBLANK(A1060)),VLOOKUP(A1060,'Close - PriceSaver'!A:J,6,0),"")</f>
        <v/>
      </c>
      <c r="Q1060" t="e">
        <f t="shared" si="157"/>
        <v>#N/A</v>
      </c>
      <c r="R1060" t="e">
        <f t="shared" si="158"/>
        <v>#N/A</v>
      </c>
      <c r="S1060" t="e">
        <f t="shared" si="159"/>
        <v>#N/A</v>
      </c>
      <c r="T1060" s="15" t="e">
        <f t="shared" si="161"/>
        <v>#N/A</v>
      </c>
      <c r="U1060" s="18" t="e">
        <f t="shared" si="162"/>
        <v>#N/A</v>
      </c>
      <c r="V1060" s="14" t="e">
        <f t="shared" si="160"/>
        <v>#N/A</v>
      </c>
      <c r="W1060" s="19" t="e">
        <f t="shared" si="163"/>
        <v>#N/A</v>
      </c>
      <c r="X1060" t="e">
        <f>VLOOKUP(P1060,Close[[ID]:[CreatedBy]],8,0)</f>
        <v>#N/A</v>
      </c>
    </row>
    <row r="1061" spans="2:24" x14ac:dyDescent="0.35">
      <c r="B1061" t="str">
        <f>IF(NOT(ISBLANK(A1061)),VLOOKUP(A1061,'BBT3'!A:F,2,0),"")</f>
        <v/>
      </c>
      <c r="C1061" t="str">
        <f>IF(NOT(ISBLANK(A1061)),VLOOKUP(A1061,'BBT3'!A:F,3,0),"")</f>
        <v/>
      </c>
      <c r="D1061" s="5" t="str">
        <f>IF(NOT(ISBLANK(A1061)),VLOOKUP(A1061,'BBT3'!A:F,4,1),"")</f>
        <v/>
      </c>
      <c r="E1061" t="str">
        <f>IF(NOT(ISBLANK(A1061)),VLOOKUP(A1061,'BBT3'!A:F,5,0),"")</f>
        <v/>
      </c>
      <c r="F1061" t="str">
        <f>IF(NOT(ISBLANK(A1061)),VLOOKUP(A1061,'BBT3'!A:F,6,0),"")</f>
        <v/>
      </c>
      <c r="G1061" t="str">
        <f t="shared" si="155"/>
        <v/>
      </c>
      <c r="H1061" t="str">
        <f>IF(NOT(ISBLANK(A1061)),VLOOKUP(A1061,'Close - PriceSaver'!A:J,5,0),"")</f>
        <v/>
      </c>
      <c r="I1061" s="4" t="str" cm="1">
        <f t="array" ref="I1061">IF(NOT(ISBLANK(A1061)),((_xlfn.XLOOKUP(1,(_bbt3[[#All],[ID]]=A1061)*(_bbt3[[#All],[METRIC_NAME]]="YLD_YTM_ASK"),_bbt3[[#All],[METRIC_VALUE]])*0.5)+(_xlfn.XLOOKUP(1,(_bbt3[[#All],[ID]]=A1061)*(_bbt3[[#All],[METRIC_NAME]]="YLD_YTM_BID"),_bbt3[[#All],[METRIC_VALUE]])*0.5))/100,"")</f>
        <v/>
      </c>
      <c r="J1061">
        <f>IF(ISNA(VLOOKUP(A1061,'CloseDL - PriceSaverBBT3'!A:E,5,0)),0,VLOOKUP(A1061,'CloseDL - PriceSaverBBT3'!A:E,5,0))</f>
        <v>0</v>
      </c>
      <c r="K1061" s="7" t="str">
        <f t="shared" si="156"/>
        <v/>
      </c>
      <c r="L1061" s="20">
        <f>IF(Close[[#This Row],[CreatedBy]]="MARINER\SilverAdm",1,0)</f>
        <v>1</v>
      </c>
      <c r="M1061" t="str">
        <f>IF(NOT(ISBLANK(A1061)),VLOOKUP(A1061,'Close - PriceSaver'!A:J,6,0),"")</f>
        <v/>
      </c>
      <c r="Q1061" t="e">
        <f t="shared" si="157"/>
        <v>#N/A</v>
      </c>
      <c r="R1061" t="e">
        <f t="shared" si="158"/>
        <v>#N/A</v>
      </c>
      <c r="S1061" t="e">
        <f t="shared" si="159"/>
        <v>#N/A</v>
      </c>
      <c r="T1061" s="15" t="e">
        <f t="shared" si="161"/>
        <v>#N/A</v>
      </c>
      <c r="U1061" s="18" t="e">
        <f t="shared" si="162"/>
        <v>#N/A</v>
      </c>
      <c r="V1061" s="14" t="e">
        <f t="shared" si="160"/>
        <v>#N/A</v>
      </c>
      <c r="W1061" s="19" t="e">
        <f t="shared" si="163"/>
        <v>#N/A</v>
      </c>
      <c r="X1061" t="e">
        <f>VLOOKUP(P1061,Close[[ID]:[CreatedBy]],8,0)</f>
        <v>#N/A</v>
      </c>
    </row>
    <row r="1062" spans="2:24" x14ac:dyDescent="0.35">
      <c r="B1062" t="str">
        <f>IF(NOT(ISBLANK(A1062)),VLOOKUP(A1062,'BBT3'!A:F,2,0),"")</f>
        <v/>
      </c>
      <c r="C1062" t="str">
        <f>IF(NOT(ISBLANK(A1062)),VLOOKUP(A1062,'BBT3'!A:F,3,0),"")</f>
        <v/>
      </c>
      <c r="D1062" s="5" t="str">
        <f>IF(NOT(ISBLANK(A1062)),VLOOKUP(A1062,'BBT3'!A:F,4,1),"")</f>
        <v/>
      </c>
      <c r="E1062" t="str">
        <f>IF(NOT(ISBLANK(A1062)),VLOOKUP(A1062,'BBT3'!A:F,5,0),"")</f>
        <v/>
      </c>
      <c r="F1062" t="str">
        <f>IF(NOT(ISBLANK(A1062)),VLOOKUP(A1062,'BBT3'!A:F,6,0),"")</f>
        <v/>
      </c>
      <c r="G1062" t="str">
        <f t="shared" si="155"/>
        <v/>
      </c>
      <c r="H1062" t="str">
        <f>IF(NOT(ISBLANK(A1062)),VLOOKUP(A1062,'Close - PriceSaver'!A:J,5,0),"")</f>
        <v/>
      </c>
      <c r="I1062" s="4" t="str" cm="1">
        <f t="array" ref="I1062">IF(NOT(ISBLANK(A1062)),((_xlfn.XLOOKUP(1,(_bbt3[[#All],[ID]]=A1062)*(_bbt3[[#All],[METRIC_NAME]]="YLD_YTM_ASK"),_bbt3[[#All],[METRIC_VALUE]])*0.5)+(_xlfn.XLOOKUP(1,(_bbt3[[#All],[ID]]=A1062)*(_bbt3[[#All],[METRIC_NAME]]="YLD_YTM_BID"),_bbt3[[#All],[METRIC_VALUE]])*0.5))/100,"")</f>
        <v/>
      </c>
      <c r="J1062">
        <f>IF(ISNA(VLOOKUP(A1062,'CloseDL - PriceSaverBBT3'!A:E,5,0)),0,VLOOKUP(A1062,'CloseDL - PriceSaverBBT3'!A:E,5,0))</f>
        <v>0</v>
      </c>
      <c r="K1062" s="7" t="str">
        <f t="shared" si="156"/>
        <v/>
      </c>
      <c r="L1062" s="20">
        <f>IF(Close[[#This Row],[CreatedBy]]="MARINER\SilverAdm",1,0)</f>
        <v>1</v>
      </c>
      <c r="M1062" t="str">
        <f>IF(NOT(ISBLANK(A1062)),VLOOKUP(A1062,'Close - PriceSaver'!A:J,6,0),"")</f>
        <v/>
      </c>
      <c r="Q1062" t="e">
        <f t="shared" si="157"/>
        <v>#N/A</v>
      </c>
      <c r="R1062" t="e">
        <f t="shared" si="158"/>
        <v>#N/A</v>
      </c>
      <c r="S1062" t="e">
        <f t="shared" si="159"/>
        <v>#N/A</v>
      </c>
      <c r="T1062" s="15" t="e">
        <f t="shared" si="161"/>
        <v>#N/A</v>
      </c>
      <c r="U1062" s="18" t="e">
        <f t="shared" si="162"/>
        <v>#N/A</v>
      </c>
      <c r="V1062" s="14" t="e">
        <f t="shared" si="160"/>
        <v>#N/A</v>
      </c>
      <c r="W1062" s="19" t="e">
        <f t="shared" si="163"/>
        <v>#N/A</v>
      </c>
      <c r="X1062" t="e">
        <f>VLOOKUP(P1062,Close[[ID]:[CreatedBy]],8,0)</f>
        <v>#N/A</v>
      </c>
    </row>
    <row r="1063" spans="2:24" x14ac:dyDescent="0.35">
      <c r="B1063" t="str">
        <f>IF(NOT(ISBLANK(A1063)),VLOOKUP(A1063,'BBT3'!A:F,2,0),"")</f>
        <v/>
      </c>
      <c r="C1063" t="str">
        <f>IF(NOT(ISBLANK(A1063)),VLOOKUP(A1063,'BBT3'!A:F,3,0),"")</f>
        <v/>
      </c>
      <c r="D1063" s="5" t="str">
        <f>IF(NOT(ISBLANK(A1063)),VLOOKUP(A1063,'BBT3'!A:F,4,1),"")</f>
        <v/>
      </c>
      <c r="E1063" t="str">
        <f>IF(NOT(ISBLANK(A1063)),VLOOKUP(A1063,'BBT3'!A:F,5,0),"")</f>
        <v/>
      </c>
      <c r="F1063" t="str">
        <f>IF(NOT(ISBLANK(A1063)),VLOOKUP(A1063,'BBT3'!A:F,6,0),"")</f>
        <v/>
      </c>
      <c r="G1063" t="str">
        <f t="shared" si="155"/>
        <v/>
      </c>
      <c r="H1063" t="str">
        <f>IF(NOT(ISBLANK(A1063)),VLOOKUP(A1063,'Close - PriceSaver'!A:J,5,0),"")</f>
        <v/>
      </c>
      <c r="I1063" s="4" t="str" cm="1">
        <f t="array" ref="I1063">IF(NOT(ISBLANK(A1063)),((_xlfn.XLOOKUP(1,(_bbt3[[#All],[ID]]=A1063)*(_bbt3[[#All],[METRIC_NAME]]="YLD_YTM_ASK"),_bbt3[[#All],[METRIC_VALUE]])*0.5)+(_xlfn.XLOOKUP(1,(_bbt3[[#All],[ID]]=A1063)*(_bbt3[[#All],[METRIC_NAME]]="YLD_YTM_BID"),_bbt3[[#All],[METRIC_VALUE]])*0.5))/100,"")</f>
        <v/>
      </c>
      <c r="J1063">
        <f>IF(ISNA(VLOOKUP(A1063,'CloseDL - PriceSaverBBT3'!A:E,5,0)),0,VLOOKUP(A1063,'CloseDL - PriceSaverBBT3'!A:E,5,0))</f>
        <v>0</v>
      </c>
      <c r="K1063" s="7" t="str">
        <f t="shared" si="156"/>
        <v/>
      </c>
      <c r="L1063" s="20">
        <f>IF(Close[[#This Row],[CreatedBy]]="MARINER\SilverAdm",1,0)</f>
        <v>1</v>
      </c>
      <c r="M1063" t="str">
        <f>IF(NOT(ISBLANK(A1063)),VLOOKUP(A1063,'Close - PriceSaver'!A:J,6,0),"")</f>
        <v/>
      </c>
      <c r="Q1063" t="e">
        <f t="shared" si="157"/>
        <v>#N/A</v>
      </c>
      <c r="R1063" t="e">
        <f t="shared" si="158"/>
        <v>#N/A</v>
      </c>
      <c r="S1063" t="e">
        <f t="shared" si="159"/>
        <v>#N/A</v>
      </c>
      <c r="T1063" s="15" t="e">
        <f t="shared" si="161"/>
        <v>#N/A</v>
      </c>
      <c r="U1063" s="18" t="e">
        <f t="shared" si="162"/>
        <v>#N/A</v>
      </c>
      <c r="V1063" s="14" t="e">
        <f t="shared" si="160"/>
        <v>#N/A</v>
      </c>
      <c r="W1063" s="19" t="e">
        <f t="shared" si="163"/>
        <v>#N/A</v>
      </c>
      <c r="X1063" t="e">
        <f>VLOOKUP(P1063,Close[[ID]:[CreatedBy]],8,0)</f>
        <v>#N/A</v>
      </c>
    </row>
    <row r="1064" spans="2:24" x14ac:dyDescent="0.35">
      <c r="B1064" t="str">
        <f>IF(NOT(ISBLANK(A1064)),VLOOKUP(A1064,'BBT3'!A:F,2,0),"")</f>
        <v/>
      </c>
      <c r="C1064" t="str">
        <f>IF(NOT(ISBLANK(A1064)),VLOOKUP(A1064,'BBT3'!A:F,3,0),"")</f>
        <v/>
      </c>
      <c r="D1064" s="5" t="str">
        <f>IF(NOT(ISBLANK(A1064)),VLOOKUP(A1064,'BBT3'!A:F,4,1),"")</f>
        <v/>
      </c>
      <c r="E1064" t="str">
        <f>IF(NOT(ISBLANK(A1064)),VLOOKUP(A1064,'BBT3'!A:F,5,0),"")</f>
        <v/>
      </c>
      <c r="F1064" t="str">
        <f>IF(NOT(ISBLANK(A1064)),VLOOKUP(A1064,'BBT3'!A:F,6,0),"")</f>
        <v/>
      </c>
      <c r="G1064" t="str">
        <f t="shared" si="155"/>
        <v/>
      </c>
      <c r="H1064" t="str">
        <f>IF(NOT(ISBLANK(A1064)),VLOOKUP(A1064,'Close - PriceSaver'!A:J,5,0),"")</f>
        <v/>
      </c>
      <c r="I1064" s="4" t="str" cm="1">
        <f t="array" ref="I1064">IF(NOT(ISBLANK(A1064)),((_xlfn.XLOOKUP(1,(_bbt3[[#All],[ID]]=A1064)*(_bbt3[[#All],[METRIC_NAME]]="YLD_YTM_ASK"),_bbt3[[#All],[METRIC_VALUE]])*0.5)+(_xlfn.XLOOKUP(1,(_bbt3[[#All],[ID]]=A1064)*(_bbt3[[#All],[METRIC_NAME]]="YLD_YTM_BID"),_bbt3[[#All],[METRIC_VALUE]])*0.5))/100,"")</f>
        <v/>
      </c>
      <c r="J1064">
        <f>IF(ISNA(VLOOKUP(A1064,'CloseDL - PriceSaverBBT3'!A:E,5,0)),0,VLOOKUP(A1064,'CloseDL - PriceSaverBBT3'!A:E,5,0))</f>
        <v>0</v>
      </c>
      <c r="K1064" s="7" t="str">
        <f t="shared" si="156"/>
        <v/>
      </c>
      <c r="L1064" s="20">
        <f>IF(Close[[#This Row],[CreatedBy]]="MARINER\SilverAdm",1,0)</f>
        <v>1</v>
      </c>
      <c r="M1064" t="str">
        <f>IF(NOT(ISBLANK(A1064)),VLOOKUP(A1064,'Close - PriceSaver'!A:J,6,0),"")</f>
        <v/>
      </c>
      <c r="Q1064" t="e">
        <f t="shared" si="157"/>
        <v>#N/A</v>
      </c>
      <c r="R1064" t="e">
        <f t="shared" si="158"/>
        <v>#N/A</v>
      </c>
      <c r="S1064" t="e">
        <f t="shared" si="159"/>
        <v>#N/A</v>
      </c>
      <c r="T1064" s="15" t="e">
        <f t="shared" si="161"/>
        <v>#N/A</v>
      </c>
      <c r="U1064" s="18" t="e">
        <f t="shared" si="162"/>
        <v>#N/A</v>
      </c>
      <c r="V1064" s="14" t="e">
        <f t="shared" si="160"/>
        <v>#N/A</v>
      </c>
      <c r="W1064" s="19" t="e">
        <f t="shared" si="163"/>
        <v>#N/A</v>
      </c>
      <c r="X1064" t="e">
        <f>VLOOKUP(P1064,Close[[ID]:[CreatedBy]],8,0)</f>
        <v>#N/A</v>
      </c>
    </row>
    <row r="1065" spans="2:24" x14ac:dyDescent="0.35">
      <c r="B1065" t="str">
        <f>IF(NOT(ISBLANK(A1065)),VLOOKUP(A1065,'BBT3'!A:F,2,0),"")</f>
        <v/>
      </c>
      <c r="C1065" t="str">
        <f>IF(NOT(ISBLANK(A1065)),VLOOKUP(A1065,'BBT3'!A:F,3,0),"")</f>
        <v/>
      </c>
      <c r="D1065" s="5" t="str">
        <f>IF(NOT(ISBLANK(A1065)),VLOOKUP(A1065,'BBT3'!A:F,4,1),"")</f>
        <v/>
      </c>
      <c r="E1065" t="str">
        <f>IF(NOT(ISBLANK(A1065)),VLOOKUP(A1065,'BBT3'!A:F,5,0),"")</f>
        <v/>
      </c>
      <c r="F1065" t="str">
        <f>IF(NOT(ISBLANK(A1065)),VLOOKUP(A1065,'BBT3'!A:F,6,0),"")</f>
        <v/>
      </c>
      <c r="G1065" t="str">
        <f t="shared" si="155"/>
        <v/>
      </c>
      <c r="H1065" t="str">
        <f>IF(NOT(ISBLANK(A1065)),VLOOKUP(A1065,'Close - PriceSaver'!A:J,5,0),"")</f>
        <v/>
      </c>
      <c r="I1065" s="4" t="str" cm="1">
        <f t="array" ref="I1065">IF(NOT(ISBLANK(A1065)),((_xlfn.XLOOKUP(1,(_bbt3[[#All],[ID]]=A1065)*(_bbt3[[#All],[METRIC_NAME]]="YLD_YTM_ASK"),_bbt3[[#All],[METRIC_VALUE]])*0.5)+(_xlfn.XLOOKUP(1,(_bbt3[[#All],[ID]]=A1065)*(_bbt3[[#All],[METRIC_NAME]]="YLD_YTM_BID"),_bbt3[[#All],[METRIC_VALUE]])*0.5))/100,"")</f>
        <v/>
      </c>
      <c r="J1065">
        <f>IF(ISNA(VLOOKUP(A1065,'CloseDL - PriceSaverBBT3'!A:E,5,0)),0,VLOOKUP(A1065,'CloseDL - PriceSaverBBT3'!A:E,5,0))</f>
        <v>0</v>
      </c>
      <c r="K1065" s="7" t="str">
        <f t="shared" si="156"/>
        <v/>
      </c>
      <c r="L1065" s="20">
        <f>IF(Close[[#This Row],[CreatedBy]]="MARINER\SilverAdm",1,0)</f>
        <v>1</v>
      </c>
      <c r="M1065" t="str">
        <f>IF(NOT(ISBLANK(A1065)),VLOOKUP(A1065,'Close - PriceSaver'!A:J,6,0),"")</f>
        <v/>
      </c>
      <c r="Q1065" t="e">
        <f t="shared" si="157"/>
        <v>#N/A</v>
      </c>
      <c r="R1065" t="e">
        <f t="shared" si="158"/>
        <v>#N/A</v>
      </c>
      <c r="S1065" t="e">
        <f t="shared" si="159"/>
        <v>#N/A</v>
      </c>
      <c r="T1065" s="15" t="e">
        <f t="shared" si="161"/>
        <v>#N/A</v>
      </c>
      <c r="U1065" s="18" t="e">
        <f t="shared" si="162"/>
        <v>#N/A</v>
      </c>
      <c r="V1065" s="14" t="e">
        <f t="shared" si="160"/>
        <v>#N/A</v>
      </c>
      <c r="W1065" s="19" t="e">
        <f t="shared" si="163"/>
        <v>#N/A</v>
      </c>
      <c r="X1065" t="e">
        <f>VLOOKUP(P1065,Close[[ID]:[CreatedBy]],8,0)</f>
        <v>#N/A</v>
      </c>
    </row>
    <row r="1066" spans="2:24" x14ac:dyDescent="0.35">
      <c r="B1066" t="str">
        <f>IF(NOT(ISBLANK(A1066)),VLOOKUP(A1066,'BBT3'!A:F,2,0),"")</f>
        <v/>
      </c>
      <c r="C1066" t="str">
        <f>IF(NOT(ISBLANK(A1066)),VLOOKUP(A1066,'BBT3'!A:F,3,0),"")</f>
        <v/>
      </c>
      <c r="D1066" s="5" t="str">
        <f>IF(NOT(ISBLANK(A1066)),VLOOKUP(A1066,'BBT3'!A:F,4,1),"")</f>
        <v/>
      </c>
      <c r="E1066" t="str">
        <f>IF(NOT(ISBLANK(A1066)),VLOOKUP(A1066,'BBT3'!A:F,5,0),"")</f>
        <v/>
      </c>
      <c r="F1066" t="str">
        <f>IF(NOT(ISBLANK(A1066)),VLOOKUP(A1066,'BBT3'!A:F,6,0),"")</f>
        <v/>
      </c>
      <c r="G1066" t="str">
        <f t="shared" si="155"/>
        <v/>
      </c>
      <c r="H1066" t="str">
        <f>IF(NOT(ISBLANK(A1066)),VLOOKUP(A1066,'Close - PriceSaver'!A:J,5,0),"")</f>
        <v/>
      </c>
      <c r="I1066" s="4" t="str" cm="1">
        <f t="array" ref="I1066">IF(NOT(ISBLANK(A1066)),((_xlfn.XLOOKUP(1,(_bbt3[[#All],[ID]]=A1066)*(_bbt3[[#All],[METRIC_NAME]]="YLD_YTM_ASK"),_bbt3[[#All],[METRIC_VALUE]])*0.5)+(_xlfn.XLOOKUP(1,(_bbt3[[#All],[ID]]=A1066)*(_bbt3[[#All],[METRIC_NAME]]="YLD_YTM_BID"),_bbt3[[#All],[METRIC_VALUE]])*0.5))/100,"")</f>
        <v/>
      </c>
      <c r="J1066">
        <f>IF(ISNA(VLOOKUP(A1066,'CloseDL - PriceSaverBBT3'!A:E,5,0)),0,VLOOKUP(A1066,'CloseDL - PriceSaverBBT3'!A:E,5,0))</f>
        <v>0</v>
      </c>
      <c r="K1066" s="7" t="str">
        <f t="shared" si="156"/>
        <v/>
      </c>
      <c r="L1066" s="20">
        <f>IF(Close[[#This Row],[CreatedBy]]="MARINER\SilverAdm",1,0)</f>
        <v>1</v>
      </c>
      <c r="M1066" t="str">
        <f>IF(NOT(ISBLANK(A1066)),VLOOKUP(A1066,'Close - PriceSaver'!A:J,6,0),"")</f>
        <v/>
      </c>
      <c r="Q1066" t="e">
        <f t="shared" si="157"/>
        <v>#N/A</v>
      </c>
      <c r="R1066" t="e">
        <f t="shared" si="158"/>
        <v>#N/A</v>
      </c>
      <c r="S1066" t="e">
        <f t="shared" si="159"/>
        <v>#N/A</v>
      </c>
      <c r="T1066" s="15" t="e">
        <f t="shared" si="161"/>
        <v>#N/A</v>
      </c>
      <c r="U1066" s="18" t="e">
        <f t="shared" si="162"/>
        <v>#N/A</v>
      </c>
      <c r="V1066" s="14" t="e">
        <f t="shared" si="160"/>
        <v>#N/A</v>
      </c>
      <c r="W1066" s="19" t="e">
        <f t="shared" si="163"/>
        <v>#N/A</v>
      </c>
      <c r="X1066" t="e">
        <f>VLOOKUP(P1066,Close[[ID]:[CreatedBy]],8,0)</f>
        <v>#N/A</v>
      </c>
    </row>
    <row r="1067" spans="2:24" x14ac:dyDescent="0.35">
      <c r="B1067" t="str">
        <f>IF(NOT(ISBLANK(A1067)),VLOOKUP(A1067,'BBT3'!A:F,2,0),"")</f>
        <v/>
      </c>
      <c r="C1067" t="str">
        <f>IF(NOT(ISBLANK(A1067)),VLOOKUP(A1067,'BBT3'!A:F,3,0),"")</f>
        <v/>
      </c>
      <c r="D1067" s="5" t="str">
        <f>IF(NOT(ISBLANK(A1067)),VLOOKUP(A1067,'BBT3'!A:F,4,1),"")</f>
        <v/>
      </c>
      <c r="E1067" t="str">
        <f>IF(NOT(ISBLANK(A1067)),VLOOKUP(A1067,'BBT3'!A:F,5,0),"")</f>
        <v/>
      </c>
      <c r="F1067" t="str">
        <f>IF(NOT(ISBLANK(A1067)),VLOOKUP(A1067,'BBT3'!A:F,6,0),"")</f>
        <v/>
      </c>
      <c r="G1067" t="str">
        <f t="shared" si="155"/>
        <v/>
      </c>
      <c r="H1067" t="str">
        <f>IF(NOT(ISBLANK(A1067)),VLOOKUP(A1067,'Close - PriceSaver'!A:J,5,0),"")</f>
        <v/>
      </c>
      <c r="I1067" s="4" t="str" cm="1">
        <f t="array" ref="I1067">IF(NOT(ISBLANK(A1067)),((_xlfn.XLOOKUP(1,(_bbt3[[#All],[ID]]=A1067)*(_bbt3[[#All],[METRIC_NAME]]="YLD_YTM_ASK"),_bbt3[[#All],[METRIC_VALUE]])*0.5)+(_xlfn.XLOOKUP(1,(_bbt3[[#All],[ID]]=A1067)*(_bbt3[[#All],[METRIC_NAME]]="YLD_YTM_BID"),_bbt3[[#All],[METRIC_VALUE]])*0.5))/100,"")</f>
        <v/>
      </c>
      <c r="J1067">
        <f>IF(ISNA(VLOOKUP(A1067,'CloseDL - PriceSaverBBT3'!A:E,5,0)),0,VLOOKUP(A1067,'CloseDL - PriceSaverBBT3'!A:E,5,0))</f>
        <v>0</v>
      </c>
      <c r="K1067" s="7" t="str">
        <f t="shared" si="156"/>
        <v/>
      </c>
      <c r="L1067" s="20">
        <f>IF(Close[[#This Row],[CreatedBy]]="MARINER\SilverAdm",1,0)</f>
        <v>1</v>
      </c>
      <c r="M1067" t="str">
        <f>IF(NOT(ISBLANK(A1067)),VLOOKUP(A1067,'Close - PriceSaver'!A:J,6,0),"")</f>
        <v/>
      </c>
      <c r="Q1067" t="e">
        <f t="shared" si="157"/>
        <v>#N/A</v>
      </c>
      <c r="R1067" t="e">
        <f t="shared" si="158"/>
        <v>#N/A</v>
      </c>
      <c r="S1067" t="e">
        <f t="shared" si="159"/>
        <v>#N/A</v>
      </c>
      <c r="T1067" s="15" t="e">
        <f t="shared" si="161"/>
        <v>#N/A</v>
      </c>
      <c r="U1067" s="18" t="e">
        <f t="shared" si="162"/>
        <v>#N/A</v>
      </c>
      <c r="V1067" s="14" t="e">
        <f t="shared" si="160"/>
        <v>#N/A</v>
      </c>
      <c r="W1067" s="19" t="e">
        <f t="shared" si="163"/>
        <v>#N/A</v>
      </c>
      <c r="X1067" t="e">
        <f>VLOOKUP(P1067,Close[[ID]:[CreatedBy]],8,0)</f>
        <v>#N/A</v>
      </c>
    </row>
    <row r="1068" spans="2:24" x14ac:dyDescent="0.35">
      <c r="B1068" t="str">
        <f>IF(NOT(ISBLANK(A1068)),VLOOKUP(A1068,'BBT3'!A:F,2,0),"")</f>
        <v/>
      </c>
      <c r="C1068" t="str">
        <f>IF(NOT(ISBLANK(A1068)),VLOOKUP(A1068,'BBT3'!A:F,3,0),"")</f>
        <v/>
      </c>
      <c r="D1068" s="5" t="str">
        <f>IF(NOT(ISBLANK(A1068)),VLOOKUP(A1068,'BBT3'!A:F,4,1),"")</f>
        <v/>
      </c>
      <c r="E1068" t="str">
        <f>IF(NOT(ISBLANK(A1068)),VLOOKUP(A1068,'BBT3'!A:F,5,0),"")</f>
        <v/>
      </c>
      <c r="F1068" t="str">
        <f>IF(NOT(ISBLANK(A1068)),VLOOKUP(A1068,'BBT3'!A:F,6,0),"")</f>
        <v/>
      </c>
      <c r="G1068" t="str">
        <f t="shared" si="155"/>
        <v/>
      </c>
      <c r="H1068" t="str">
        <f>IF(NOT(ISBLANK(A1068)),VLOOKUP(A1068,'Close - PriceSaver'!A:J,5,0),"")</f>
        <v/>
      </c>
      <c r="I1068" s="4" t="str" cm="1">
        <f t="array" ref="I1068">IF(NOT(ISBLANK(A1068)),((_xlfn.XLOOKUP(1,(_bbt3[[#All],[ID]]=A1068)*(_bbt3[[#All],[METRIC_NAME]]="YLD_YTM_ASK"),_bbt3[[#All],[METRIC_VALUE]])*0.5)+(_xlfn.XLOOKUP(1,(_bbt3[[#All],[ID]]=A1068)*(_bbt3[[#All],[METRIC_NAME]]="YLD_YTM_BID"),_bbt3[[#All],[METRIC_VALUE]])*0.5))/100,"")</f>
        <v/>
      </c>
      <c r="J1068">
        <f>IF(ISNA(VLOOKUP(A1068,'CloseDL - PriceSaverBBT3'!A:E,5,0)),0,VLOOKUP(A1068,'CloseDL - PriceSaverBBT3'!A:E,5,0))</f>
        <v>0</v>
      </c>
      <c r="K1068" s="7" t="str">
        <f t="shared" si="156"/>
        <v/>
      </c>
      <c r="L1068" s="20">
        <f>IF(Close[[#This Row],[CreatedBy]]="MARINER\SilverAdm",1,0)</f>
        <v>1</v>
      </c>
      <c r="M1068" t="str">
        <f>IF(NOT(ISBLANK(A1068)),VLOOKUP(A1068,'Close - PriceSaver'!A:J,6,0),"")</f>
        <v/>
      </c>
      <c r="Q1068" t="e">
        <f t="shared" si="157"/>
        <v>#N/A</v>
      </c>
      <c r="R1068" t="e">
        <f t="shared" si="158"/>
        <v>#N/A</v>
      </c>
      <c r="S1068" t="e">
        <f t="shared" si="159"/>
        <v>#N/A</v>
      </c>
      <c r="T1068" s="15" t="e">
        <f t="shared" si="161"/>
        <v>#N/A</v>
      </c>
      <c r="U1068" s="18" t="e">
        <f t="shared" si="162"/>
        <v>#N/A</v>
      </c>
      <c r="V1068" s="14" t="e">
        <f t="shared" si="160"/>
        <v>#N/A</v>
      </c>
      <c r="W1068" s="19" t="e">
        <f t="shared" si="163"/>
        <v>#N/A</v>
      </c>
      <c r="X1068" t="e">
        <f>VLOOKUP(P1068,Close[[ID]:[CreatedBy]],8,0)</f>
        <v>#N/A</v>
      </c>
    </row>
    <row r="1069" spans="2:24" x14ac:dyDescent="0.35">
      <c r="B1069" t="str">
        <f>IF(NOT(ISBLANK(A1069)),VLOOKUP(A1069,'BBT3'!A:F,2,0),"")</f>
        <v/>
      </c>
      <c r="C1069" t="str">
        <f>IF(NOT(ISBLANK(A1069)),VLOOKUP(A1069,'BBT3'!A:F,3,0),"")</f>
        <v/>
      </c>
      <c r="D1069" s="5" t="str">
        <f>IF(NOT(ISBLANK(A1069)),VLOOKUP(A1069,'BBT3'!A:F,4,1),"")</f>
        <v/>
      </c>
      <c r="E1069" t="str">
        <f>IF(NOT(ISBLANK(A1069)),VLOOKUP(A1069,'BBT3'!A:F,5,0),"")</f>
        <v/>
      </c>
      <c r="F1069" t="str">
        <f>IF(NOT(ISBLANK(A1069)),VLOOKUP(A1069,'BBT3'!A:F,6,0),"")</f>
        <v/>
      </c>
      <c r="G1069" t="str">
        <f t="shared" si="155"/>
        <v/>
      </c>
      <c r="H1069" t="str">
        <f>IF(NOT(ISBLANK(A1069)),VLOOKUP(A1069,'Close - PriceSaver'!A:J,5,0),"")</f>
        <v/>
      </c>
      <c r="I1069" s="4" t="str" cm="1">
        <f t="array" ref="I1069">IF(NOT(ISBLANK(A1069)),((_xlfn.XLOOKUP(1,(_bbt3[[#All],[ID]]=A1069)*(_bbt3[[#All],[METRIC_NAME]]="YLD_YTM_ASK"),_bbt3[[#All],[METRIC_VALUE]])*0.5)+(_xlfn.XLOOKUP(1,(_bbt3[[#All],[ID]]=A1069)*(_bbt3[[#All],[METRIC_NAME]]="YLD_YTM_BID"),_bbt3[[#All],[METRIC_VALUE]])*0.5))/100,"")</f>
        <v/>
      </c>
      <c r="J1069">
        <f>IF(ISNA(VLOOKUP(A1069,'CloseDL - PriceSaverBBT3'!A:E,5,0)),0,VLOOKUP(A1069,'CloseDL - PriceSaverBBT3'!A:E,5,0))</f>
        <v>0</v>
      </c>
      <c r="K1069" s="7" t="str">
        <f t="shared" si="156"/>
        <v/>
      </c>
      <c r="L1069" s="20">
        <f>IF(Close[[#This Row],[CreatedBy]]="MARINER\SilverAdm",1,0)</f>
        <v>1</v>
      </c>
      <c r="M1069" t="str">
        <f>IF(NOT(ISBLANK(A1069)),VLOOKUP(A1069,'Close - PriceSaver'!A:J,6,0),"")</f>
        <v/>
      </c>
      <c r="Q1069" t="e">
        <f t="shared" si="157"/>
        <v>#N/A</v>
      </c>
      <c r="R1069" t="e">
        <f t="shared" si="158"/>
        <v>#N/A</v>
      </c>
      <c r="S1069" t="e">
        <f t="shared" si="159"/>
        <v>#N/A</v>
      </c>
      <c r="T1069" s="15" t="e">
        <f t="shared" si="161"/>
        <v>#N/A</v>
      </c>
      <c r="U1069" s="18" t="e">
        <f t="shared" si="162"/>
        <v>#N/A</v>
      </c>
      <c r="V1069" s="14" t="e">
        <f t="shared" si="160"/>
        <v>#N/A</v>
      </c>
      <c r="W1069" s="19" t="e">
        <f t="shared" si="163"/>
        <v>#N/A</v>
      </c>
      <c r="X1069" t="e">
        <f>VLOOKUP(P1069,Close[[ID]:[CreatedBy]],8,0)</f>
        <v>#N/A</v>
      </c>
    </row>
    <row r="1070" spans="2:24" x14ac:dyDescent="0.35">
      <c r="B1070" t="str">
        <f>IF(NOT(ISBLANK(A1070)),VLOOKUP(A1070,'BBT3'!A:F,2,0),"")</f>
        <v/>
      </c>
      <c r="C1070" t="str">
        <f>IF(NOT(ISBLANK(A1070)),VLOOKUP(A1070,'BBT3'!A:F,3,0),"")</f>
        <v/>
      </c>
      <c r="D1070" s="5" t="str">
        <f>IF(NOT(ISBLANK(A1070)),VLOOKUP(A1070,'BBT3'!A:F,4,1),"")</f>
        <v/>
      </c>
      <c r="E1070" t="str">
        <f>IF(NOT(ISBLANK(A1070)),VLOOKUP(A1070,'BBT3'!A:F,5,0),"")</f>
        <v/>
      </c>
      <c r="F1070" t="str">
        <f>IF(NOT(ISBLANK(A1070)),VLOOKUP(A1070,'BBT3'!A:F,6,0),"")</f>
        <v/>
      </c>
      <c r="G1070" t="str">
        <f t="shared" si="155"/>
        <v/>
      </c>
      <c r="H1070" t="str">
        <f>IF(NOT(ISBLANK(A1070)),VLOOKUP(A1070,'Close - PriceSaver'!A:J,5,0),"")</f>
        <v/>
      </c>
      <c r="I1070" s="4" t="str" cm="1">
        <f t="array" ref="I1070">IF(NOT(ISBLANK(A1070)),((_xlfn.XLOOKUP(1,(_bbt3[[#All],[ID]]=A1070)*(_bbt3[[#All],[METRIC_NAME]]="YLD_YTM_ASK"),_bbt3[[#All],[METRIC_VALUE]])*0.5)+(_xlfn.XLOOKUP(1,(_bbt3[[#All],[ID]]=A1070)*(_bbt3[[#All],[METRIC_NAME]]="YLD_YTM_BID"),_bbt3[[#All],[METRIC_VALUE]])*0.5))/100,"")</f>
        <v/>
      </c>
      <c r="J1070">
        <f>IF(ISNA(VLOOKUP(A1070,'CloseDL - PriceSaverBBT3'!A:E,5,0)),0,VLOOKUP(A1070,'CloseDL - PriceSaverBBT3'!A:E,5,0))</f>
        <v>0</v>
      </c>
      <c r="K1070" s="7" t="str">
        <f t="shared" si="156"/>
        <v/>
      </c>
      <c r="L1070" s="20">
        <f>IF(Close[[#This Row],[CreatedBy]]="MARINER\SilverAdm",1,0)</f>
        <v>1</v>
      </c>
      <c r="M1070" t="str">
        <f>IF(NOT(ISBLANK(A1070)),VLOOKUP(A1070,'Close - PriceSaver'!A:J,6,0),"")</f>
        <v/>
      </c>
      <c r="Q1070" t="e">
        <f t="shared" si="157"/>
        <v>#N/A</v>
      </c>
      <c r="R1070" t="e">
        <f t="shared" si="158"/>
        <v>#N/A</v>
      </c>
      <c r="S1070" t="e">
        <f t="shared" si="159"/>
        <v>#N/A</v>
      </c>
      <c r="T1070" s="15" t="e">
        <f t="shared" si="161"/>
        <v>#N/A</v>
      </c>
      <c r="U1070" s="18" t="e">
        <f t="shared" si="162"/>
        <v>#N/A</v>
      </c>
      <c r="V1070" s="14" t="e">
        <f t="shared" si="160"/>
        <v>#N/A</v>
      </c>
      <c r="W1070" s="19" t="e">
        <f t="shared" si="163"/>
        <v>#N/A</v>
      </c>
      <c r="X1070" t="e">
        <f>VLOOKUP(P1070,Close[[ID]:[CreatedBy]],8,0)</f>
        <v>#N/A</v>
      </c>
    </row>
    <row r="1071" spans="2:24" x14ac:dyDescent="0.35">
      <c r="B1071" t="str">
        <f>IF(NOT(ISBLANK(A1071)),VLOOKUP(A1071,'BBT3'!A:F,2,0),"")</f>
        <v/>
      </c>
      <c r="C1071" t="str">
        <f>IF(NOT(ISBLANK(A1071)),VLOOKUP(A1071,'BBT3'!A:F,3,0),"")</f>
        <v/>
      </c>
      <c r="D1071" s="5" t="str">
        <f>IF(NOT(ISBLANK(A1071)),VLOOKUP(A1071,'BBT3'!A:F,4,1),"")</f>
        <v/>
      </c>
      <c r="E1071" t="str">
        <f>IF(NOT(ISBLANK(A1071)),VLOOKUP(A1071,'BBT3'!A:F,5,0),"")</f>
        <v/>
      </c>
      <c r="F1071" t="str">
        <f>IF(NOT(ISBLANK(A1071)),VLOOKUP(A1071,'BBT3'!A:F,6,0),"")</f>
        <v/>
      </c>
      <c r="G1071" t="str">
        <f t="shared" si="155"/>
        <v/>
      </c>
      <c r="H1071" t="str">
        <f>IF(NOT(ISBLANK(A1071)),VLOOKUP(A1071,'Close - PriceSaver'!A:J,5,0),"")</f>
        <v/>
      </c>
      <c r="I1071" s="4" t="str" cm="1">
        <f t="array" ref="I1071">IF(NOT(ISBLANK(A1071)),((_xlfn.XLOOKUP(1,(_bbt3[[#All],[ID]]=A1071)*(_bbt3[[#All],[METRIC_NAME]]="YLD_YTM_ASK"),_bbt3[[#All],[METRIC_VALUE]])*0.5)+(_xlfn.XLOOKUP(1,(_bbt3[[#All],[ID]]=A1071)*(_bbt3[[#All],[METRIC_NAME]]="YLD_YTM_BID"),_bbt3[[#All],[METRIC_VALUE]])*0.5))/100,"")</f>
        <v/>
      </c>
      <c r="J1071">
        <f>IF(ISNA(VLOOKUP(A1071,'CloseDL - PriceSaverBBT3'!A:E,5,0)),0,VLOOKUP(A1071,'CloseDL - PriceSaverBBT3'!A:E,5,0))</f>
        <v>0</v>
      </c>
      <c r="K1071" s="7" t="str">
        <f t="shared" si="156"/>
        <v/>
      </c>
      <c r="L1071" s="20">
        <f>IF(Close[[#This Row],[CreatedBy]]="MARINER\SilverAdm",1,0)</f>
        <v>1</v>
      </c>
      <c r="M1071" t="str">
        <f>IF(NOT(ISBLANK(A1071)),VLOOKUP(A1071,'Close - PriceSaver'!A:J,6,0),"")</f>
        <v/>
      </c>
      <c r="Q1071" t="e">
        <f t="shared" si="157"/>
        <v>#N/A</v>
      </c>
      <c r="R1071" t="e">
        <f t="shared" si="158"/>
        <v>#N/A</v>
      </c>
      <c r="S1071" t="e">
        <f t="shared" si="159"/>
        <v>#N/A</v>
      </c>
      <c r="T1071" s="15" t="e">
        <f t="shared" si="161"/>
        <v>#N/A</v>
      </c>
      <c r="U1071" s="18" t="e">
        <f t="shared" si="162"/>
        <v>#N/A</v>
      </c>
      <c r="V1071" s="14" t="e">
        <f t="shared" si="160"/>
        <v>#N/A</v>
      </c>
      <c r="W1071" s="19" t="e">
        <f t="shared" si="163"/>
        <v>#N/A</v>
      </c>
      <c r="X1071" t="e">
        <f>VLOOKUP(P1071,Close[[ID]:[CreatedBy]],8,0)</f>
        <v>#N/A</v>
      </c>
    </row>
    <row r="1072" spans="2:24" x14ac:dyDescent="0.35">
      <c r="B1072" t="str">
        <f>IF(NOT(ISBLANK(A1072)),VLOOKUP(A1072,'BBT3'!A:F,2,0),"")</f>
        <v/>
      </c>
      <c r="C1072" t="str">
        <f>IF(NOT(ISBLANK(A1072)),VLOOKUP(A1072,'BBT3'!A:F,3,0),"")</f>
        <v/>
      </c>
      <c r="D1072" s="5" t="str">
        <f>IF(NOT(ISBLANK(A1072)),VLOOKUP(A1072,'BBT3'!A:F,4,1),"")</f>
        <v/>
      </c>
      <c r="E1072" t="str">
        <f>IF(NOT(ISBLANK(A1072)),VLOOKUP(A1072,'BBT3'!A:F,5,0),"")</f>
        <v/>
      </c>
      <c r="F1072" t="str">
        <f>IF(NOT(ISBLANK(A1072)),VLOOKUP(A1072,'BBT3'!A:F,6,0),"")</f>
        <v/>
      </c>
      <c r="G1072" t="str">
        <f t="shared" si="155"/>
        <v/>
      </c>
      <c r="H1072" t="str">
        <f>IF(NOT(ISBLANK(A1072)),VLOOKUP(A1072,'Close - PriceSaver'!A:J,5,0),"")</f>
        <v/>
      </c>
      <c r="I1072" s="4" t="str" cm="1">
        <f t="array" ref="I1072">IF(NOT(ISBLANK(A1072)),((_xlfn.XLOOKUP(1,(_bbt3[[#All],[ID]]=A1072)*(_bbt3[[#All],[METRIC_NAME]]="YLD_YTM_ASK"),_bbt3[[#All],[METRIC_VALUE]])*0.5)+(_xlfn.XLOOKUP(1,(_bbt3[[#All],[ID]]=A1072)*(_bbt3[[#All],[METRIC_NAME]]="YLD_YTM_BID"),_bbt3[[#All],[METRIC_VALUE]])*0.5))/100,"")</f>
        <v/>
      </c>
      <c r="J1072">
        <f>IF(ISNA(VLOOKUP(A1072,'CloseDL - PriceSaverBBT3'!A:E,5,0)),0,VLOOKUP(A1072,'CloseDL - PriceSaverBBT3'!A:E,5,0))</f>
        <v>0</v>
      </c>
      <c r="K1072" s="7" t="str">
        <f t="shared" si="156"/>
        <v/>
      </c>
      <c r="L1072" s="20">
        <f>IF(Close[[#This Row],[CreatedBy]]="MARINER\SilverAdm",1,0)</f>
        <v>1</v>
      </c>
      <c r="M1072" t="str">
        <f>IF(NOT(ISBLANK(A1072)),VLOOKUP(A1072,'Close - PriceSaver'!A:J,6,0),"")</f>
        <v/>
      </c>
      <c r="Q1072" t="e">
        <f t="shared" si="157"/>
        <v>#N/A</v>
      </c>
      <c r="R1072" t="e">
        <f t="shared" si="158"/>
        <v>#N/A</v>
      </c>
      <c r="S1072" t="e">
        <f t="shared" si="159"/>
        <v>#N/A</v>
      </c>
      <c r="T1072" s="15" t="e">
        <f t="shared" si="161"/>
        <v>#N/A</v>
      </c>
      <c r="U1072" s="18" t="e">
        <f t="shared" si="162"/>
        <v>#N/A</v>
      </c>
      <c r="V1072" s="14" t="e">
        <f t="shared" si="160"/>
        <v>#N/A</v>
      </c>
      <c r="W1072" s="19" t="e">
        <f t="shared" si="163"/>
        <v>#N/A</v>
      </c>
      <c r="X1072" t="e">
        <f>VLOOKUP(P1072,Close[[ID]:[CreatedBy]],8,0)</f>
        <v>#N/A</v>
      </c>
    </row>
    <row r="1073" spans="2:24" x14ac:dyDescent="0.35">
      <c r="B1073" t="str">
        <f>IF(NOT(ISBLANK(A1073)),VLOOKUP(A1073,'BBT3'!A:F,2,0),"")</f>
        <v/>
      </c>
      <c r="C1073" t="str">
        <f>IF(NOT(ISBLANK(A1073)),VLOOKUP(A1073,'BBT3'!A:F,3,0),"")</f>
        <v/>
      </c>
      <c r="D1073" s="5" t="str">
        <f>IF(NOT(ISBLANK(A1073)),VLOOKUP(A1073,'BBT3'!A:F,4,1),"")</f>
        <v/>
      </c>
      <c r="E1073" t="str">
        <f>IF(NOT(ISBLANK(A1073)),VLOOKUP(A1073,'BBT3'!A:F,5,0),"")</f>
        <v/>
      </c>
      <c r="F1073" t="str">
        <f>IF(NOT(ISBLANK(A1073)),VLOOKUP(A1073,'BBT3'!A:F,6,0),"")</f>
        <v/>
      </c>
      <c r="G1073" t="str">
        <f t="shared" si="155"/>
        <v/>
      </c>
      <c r="H1073" t="str">
        <f>IF(NOT(ISBLANK(A1073)),VLOOKUP(A1073,'Close - PriceSaver'!A:J,5,0),"")</f>
        <v/>
      </c>
      <c r="I1073" s="4" t="str" cm="1">
        <f t="array" ref="I1073">IF(NOT(ISBLANK(A1073)),((_xlfn.XLOOKUP(1,(_bbt3[[#All],[ID]]=A1073)*(_bbt3[[#All],[METRIC_NAME]]="YLD_YTM_ASK"),_bbt3[[#All],[METRIC_VALUE]])*0.5)+(_xlfn.XLOOKUP(1,(_bbt3[[#All],[ID]]=A1073)*(_bbt3[[#All],[METRIC_NAME]]="YLD_YTM_BID"),_bbt3[[#All],[METRIC_VALUE]])*0.5))/100,"")</f>
        <v/>
      </c>
      <c r="J1073">
        <f>IF(ISNA(VLOOKUP(A1073,'CloseDL - PriceSaverBBT3'!A:E,5,0)),0,VLOOKUP(A1073,'CloseDL - PriceSaverBBT3'!A:E,5,0))</f>
        <v>0</v>
      </c>
      <c r="K1073" s="7" t="str">
        <f t="shared" si="156"/>
        <v/>
      </c>
      <c r="L1073" s="20">
        <f>IF(Close[[#This Row],[CreatedBy]]="MARINER\SilverAdm",1,0)</f>
        <v>1</v>
      </c>
      <c r="M1073" t="str">
        <f>IF(NOT(ISBLANK(A1073)),VLOOKUP(A1073,'Close - PriceSaver'!A:J,6,0),"")</f>
        <v/>
      </c>
      <c r="Q1073" t="e">
        <f t="shared" si="157"/>
        <v>#N/A</v>
      </c>
      <c r="R1073" t="e">
        <f t="shared" si="158"/>
        <v>#N/A</v>
      </c>
      <c r="S1073" t="e">
        <f t="shared" si="159"/>
        <v>#N/A</v>
      </c>
      <c r="T1073" s="15" t="e">
        <f t="shared" si="161"/>
        <v>#N/A</v>
      </c>
      <c r="U1073" s="18" t="e">
        <f t="shared" si="162"/>
        <v>#N/A</v>
      </c>
      <c r="V1073" s="14" t="e">
        <f t="shared" si="160"/>
        <v>#N/A</v>
      </c>
      <c r="W1073" s="19" t="e">
        <f t="shared" si="163"/>
        <v>#N/A</v>
      </c>
      <c r="X1073" t="e">
        <f>VLOOKUP(P1073,Close[[ID]:[CreatedBy]],8,0)</f>
        <v>#N/A</v>
      </c>
    </row>
    <row r="1074" spans="2:24" x14ac:dyDescent="0.35">
      <c r="B1074" t="str">
        <f>IF(NOT(ISBLANK(A1074)),VLOOKUP(A1074,'BBT3'!A:F,2,0),"")</f>
        <v/>
      </c>
      <c r="C1074" t="str">
        <f>IF(NOT(ISBLANK(A1074)),VLOOKUP(A1074,'BBT3'!A:F,3,0),"")</f>
        <v/>
      </c>
      <c r="D1074" s="5" t="str">
        <f>IF(NOT(ISBLANK(A1074)),VLOOKUP(A1074,'BBT3'!A:F,4,1),"")</f>
        <v/>
      </c>
      <c r="E1074" t="str">
        <f>IF(NOT(ISBLANK(A1074)),VLOOKUP(A1074,'BBT3'!A:F,5,0),"")</f>
        <v/>
      </c>
      <c r="F1074" t="str">
        <f>IF(NOT(ISBLANK(A1074)),VLOOKUP(A1074,'BBT3'!A:F,6,0),"")</f>
        <v/>
      </c>
      <c r="G1074" t="str">
        <f t="shared" si="155"/>
        <v/>
      </c>
      <c r="H1074" t="str">
        <f>IF(NOT(ISBLANK(A1074)),VLOOKUP(A1074,'Close - PriceSaver'!A:J,5,0),"")</f>
        <v/>
      </c>
      <c r="I1074" s="4" t="str" cm="1">
        <f t="array" ref="I1074">IF(NOT(ISBLANK(A1074)),((_xlfn.XLOOKUP(1,(_bbt3[[#All],[ID]]=A1074)*(_bbt3[[#All],[METRIC_NAME]]="YLD_YTM_ASK"),_bbt3[[#All],[METRIC_VALUE]])*0.5)+(_xlfn.XLOOKUP(1,(_bbt3[[#All],[ID]]=A1074)*(_bbt3[[#All],[METRIC_NAME]]="YLD_YTM_BID"),_bbt3[[#All],[METRIC_VALUE]])*0.5))/100,"")</f>
        <v/>
      </c>
      <c r="J1074">
        <f>IF(ISNA(VLOOKUP(A1074,'CloseDL - PriceSaverBBT3'!A:E,5,0)),0,VLOOKUP(A1074,'CloseDL - PriceSaverBBT3'!A:E,5,0))</f>
        <v>0</v>
      </c>
      <c r="K1074" s="7" t="str">
        <f t="shared" si="156"/>
        <v/>
      </c>
      <c r="L1074" s="20">
        <f>IF(Close[[#This Row],[CreatedBy]]="MARINER\SilverAdm",1,0)</f>
        <v>1</v>
      </c>
      <c r="M1074" t="str">
        <f>IF(NOT(ISBLANK(A1074)),VLOOKUP(A1074,'Close - PriceSaver'!A:J,6,0),"")</f>
        <v/>
      </c>
      <c r="Q1074" t="e">
        <f t="shared" si="157"/>
        <v>#N/A</v>
      </c>
      <c r="R1074" t="e">
        <f t="shared" si="158"/>
        <v>#N/A</v>
      </c>
      <c r="S1074" t="e">
        <f t="shared" si="159"/>
        <v>#N/A</v>
      </c>
      <c r="T1074" s="15" t="e">
        <f t="shared" si="161"/>
        <v>#N/A</v>
      </c>
      <c r="U1074" s="18" t="e">
        <f t="shared" si="162"/>
        <v>#N/A</v>
      </c>
      <c r="V1074" s="14" t="e">
        <f t="shared" si="160"/>
        <v>#N/A</v>
      </c>
      <c r="W1074" s="19" t="e">
        <f t="shared" si="163"/>
        <v>#N/A</v>
      </c>
      <c r="X1074" t="e">
        <f>VLOOKUP(P1074,Close[[ID]:[CreatedBy]],8,0)</f>
        <v>#N/A</v>
      </c>
    </row>
    <row r="1075" spans="2:24" x14ac:dyDescent="0.35">
      <c r="B1075" t="str">
        <f>IF(NOT(ISBLANK(A1075)),VLOOKUP(A1075,'BBT3'!A:F,2,0),"")</f>
        <v/>
      </c>
      <c r="C1075" t="str">
        <f>IF(NOT(ISBLANK(A1075)),VLOOKUP(A1075,'BBT3'!A:F,3,0),"")</f>
        <v/>
      </c>
      <c r="D1075" s="5" t="str">
        <f>IF(NOT(ISBLANK(A1075)),VLOOKUP(A1075,'BBT3'!A:F,4,1),"")</f>
        <v/>
      </c>
      <c r="E1075" t="str">
        <f>IF(NOT(ISBLANK(A1075)),VLOOKUP(A1075,'BBT3'!A:F,5,0),"")</f>
        <v/>
      </c>
      <c r="F1075" t="str">
        <f>IF(NOT(ISBLANK(A1075)),VLOOKUP(A1075,'BBT3'!A:F,6,0),"")</f>
        <v/>
      </c>
      <c r="G1075" t="str">
        <f t="shared" si="155"/>
        <v/>
      </c>
      <c r="H1075" t="str">
        <f>IF(NOT(ISBLANK(A1075)),VLOOKUP(A1075,'Close - PriceSaver'!A:J,5,0),"")</f>
        <v/>
      </c>
      <c r="I1075" s="4" t="str" cm="1">
        <f t="array" ref="I1075">IF(NOT(ISBLANK(A1075)),((_xlfn.XLOOKUP(1,(_bbt3[[#All],[ID]]=A1075)*(_bbt3[[#All],[METRIC_NAME]]="YLD_YTM_ASK"),_bbt3[[#All],[METRIC_VALUE]])*0.5)+(_xlfn.XLOOKUP(1,(_bbt3[[#All],[ID]]=A1075)*(_bbt3[[#All],[METRIC_NAME]]="YLD_YTM_BID"),_bbt3[[#All],[METRIC_VALUE]])*0.5))/100,"")</f>
        <v/>
      </c>
      <c r="J1075">
        <f>IF(ISNA(VLOOKUP(A1075,'CloseDL - PriceSaverBBT3'!A:E,5,0)),0,VLOOKUP(A1075,'CloseDL - PriceSaverBBT3'!A:E,5,0))</f>
        <v>0</v>
      </c>
      <c r="K1075" s="7" t="str">
        <f t="shared" si="156"/>
        <v/>
      </c>
      <c r="L1075" s="20">
        <f>IF(Close[[#This Row],[CreatedBy]]="MARINER\SilverAdm",1,0)</f>
        <v>1</v>
      </c>
      <c r="M1075" t="str">
        <f>IF(NOT(ISBLANK(A1075)),VLOOKUP(A1075,'Close - PriceSaver'!A:J,6,0),"")</f>
        <v/>
      </c>
      <c r="Q1075" t="e">
        <f t="shared" si="157"/>
        <v>#N/A</v>
      </c>
      <c r="R1075" t="e">
        <f t="shared" si="158"/>
        <v>#N/A</v>
      </c>
      <c r="S1075" t="e">
        <f t="shared" si="159"/>
        <v>#N/A</v>
      </c>
      <c r="T1075" s="15" t="e">
        <f t="shared" si="161"/>
        <v>#N/A</v>
      </c>
      <c r="U1075" s="18" t="e">
        <f t="shared" si="162"/>
        <v>#N/A</v>
      </c>
      <c r="V1075" s="14" t="e">
        <f t="shared" si="160"/>
        <v>#N/A</v>
      </c>
      <c r="W1075" s="19" t="e">
        <f t="shared" si="163"/>
        <v>#N/A</v>
      </c>
      <c r="X1075" t="e">
        <f>VLOOKUP(P1075,Close[[ID]:[CreatedBy]],8,0)</f>
        <v>#N/A</v>
      </c>
    </row>
    <row r="1076" spans="2:24" x14ac:dyDescent="0.35">
      <c r="B1076" t="str">
        <f>IF(NOT(ISBLANK(A1076)),VLOOKUP(A1076,'BBT3'!A:F,2,0),"")</f>
        <v/>
      </c>
      <c r="C1076" t="str">
        <f>IF(NOT(ISBLANK(A1076)),VLOOKUP(A1076,'BBT3'!A:F,3,0),"")</f>
        <v/>
      </c>
      <c r="D1076" s="5" t="str">
        <f>IF(NOT(ISBLANK(A1076)),VLOOKUP(A1076,'BBT3'!A:F,4,1),"")</f>
        <v/>
      </c>
      <c r="E1076" t="str">
        <f>IF(NOT(ISBLANK(A1076)),VLOOKUP(A1076,'BBT3'!A:F,5,0),"")</f>
        <v/>
      </c>
      <c r="F1076" t="str">
        <f>IF(NOT(ISBLANK(A1076)),VLOOKUP(A1076,'BBT3'!A:F,6,0),"")</f>
        <v/>
      </c>
      <c r="G1076" t="str">
        <f t="shared" si="155"/>
        <v/>
      </c>
      <c r="H1076" t="str">
        <f>IF(NOT(ISBLANK(A1076)),VLOOKUP(A1076,'Close - PriceSaver'!A:J,5,0),"")</f>
        <v/>
      </c>
      <c r="I1076" s="4" t="str" cm="1">
        <f t="array" ref="I1076">IF(NOT(ISBLANK(A1076)),((_xlfn.XLOOKUP(1,(_bbt3[[#All],[ID]]=A1076)*(_bbt3[[#All],[METRIC_NAME]]="YLD_YTM_ASK"),_bbt3[[#All],[METRIC_VALUE]])*0.5)+(_xlfn.XLOOKUP(1,(_bbt3[[#All],[ID]]=A1076)*(_bbt3[[#All],[METRIC_NAME]]="YLD_YTM_BID"),_bbt3[[#All],[METRIC_VALUE]])*0.5))/100,"")</f>
        <v/>
      </c>
      <c r="J1076">
        <f>IF(ISNA(VLOOKUP(A1076,'CloseDL - PriceSaverBBT3'!A:E,5,0)),0,VLOOKUP(A1076,'CloseDL - PriceSaverBBT3'!A:E,5,0))</f>
        <v>0</v>
      </c>
      <c r="K1076" s="7" t="str">
        <f t="shared" si="156"/>
        <v/>
      </c>
      <c r="L1076" s="20">
        <f>IF(Close[[#This Row],[CreatedBy]]="MARINER\SilverAdm",1,0)</f>
        <v>1</v>
      </c>
      <c r="M1076" t="str">
        <f>IF(NOT(ISBLANK(A1076)),VLOOKUP(A1076,'Close - PriceSaver'!A:J,6,0),"")</f>
        <v/>
      </c>
      <c r="Q1076" t="e">
        <f t="shared" si="157"/>
        <v>#N/A</v>
      </c>
      <c r="R1076" t="e">
        <f t="shared" si="158"/>
        <v>#N/A</v>
      </c>
      <c r="S1076" t="e">
        <f t="shared" si="159"/>
        <v>#N/A</v>
      </c>
      <c r="T1076" s="15" t="e">
        <f t="shared" si="161"/>
        <v>#N/A</v>
      </c>
      <c r="U1076" s="18" t="e">
        <f t="shared" si="162"/>
        <v>#N/A</v>
      </c>
      <c r="V1076" s="14" t="e">
        <f t="shared" si="160"/>
        <v>#N/A</v>
      </c>
      <c r="W1076" s="19" t="e">
        <f t="shared" si="163"/>
        <v>#N/A</v>
      </c>
      <c r="X1076" t="e">
        <f>VLOOKUP(P1076,Close[[ID]:[CreatedBy]],8,0)</f>
        <v>#N/A</v>
      </c>
    </row>
    <row r="1077" spans="2:24" x14ac:dyDescent="0.35">
      <c r="B1077" t="str">
        <f>IF(NOT(ISBLANK(A1077)),VLOOKUP(A1077,'BBT3'!A:F,2,0),"")</f>
        <v/>
      </c>
      <c r="C1077" t="str">
        <f>IF(NOT(ISBLANK(A1077)),VLOOKUP(A1077,'BBT3'!A:F,3,0),"")</f>
        <v/>
      </c>
      <c r="D1077" s="5" t="str">
        <f>IF(NOT(ISBLANK(A1077)),VLOOKUP(A1077,'BBT3'!A:F,4,1),"")</f>
        <v/>
      </c>
      <c r="E1077" t="str">
        <f>IF(NOT(ISBLANK(A1077)),VLOOKUP(A1077,'BBT3'!A:F,5,0),"")</f>
        <v/>
      </c>
      <c r="F1077" t="str">
        <f>IF(NOT(ISBLANK(A1077)),VLOOKUP(A1077,'BBT3'!A:F,6,0),"")</f>
        <v/>
      </c>
      <c r="G1077" t="str">
        <f t="shared" si="155"/>
        <v/>
      </c>
      <c r="H1077" t="str">
        <f>IF(NOT(ISBLANK(A1077)),VLOOKUP(A1077,'Close - PriceSaver'!A:J,5,0),"")</f>
        <v/>
      </c>
      <c r="I1077" s="4" t="str" cm="1">
        <f t="array" ref="I1077">IF(NOT(ISBLANK(A1077)),((_xlfn.XLOOKUP(1,(_bbt3[[#All],[ID]]=A1077)*(_bbt3[[#All],[METRIC_NAME]]="YLD_YTM_ASK"),_bbt3[[#All],[METRIC_VALUE]])*0.5)+(_xlfn.XLOOKUP(1,(_bbt3[[#All],[ID]]=A1077)*(_bbt3[[#All],[METRIC_NAME]]="YLD_YTM_BID"),_bbt3[[#All],[METRIC_VALUE]])*0.5))/100,"")</f>
        <v/>
      </c>
      <c r="J1077">
        <f>IF(ISNA(VLOOKUP(A1077,'CloseDL - PriceSaverBBT3'!A:E,5,0)),0,VLOOKUP(A1077,'CloseDL - PriceSaverBBT3'!A:E,5,0))</f>
        <v>0</v>
      </c>
      <c r="K1077" s="7" t="str">
        <f t="shared" si="156"/>
        <v/>
      </c>
      <c r="L1077" s="20">
        <f>IF(Close[[#This Row],[CreatedBy]]="MARINER\SilverAdm",1,0)</f>
        <v>1</v>
      </c>
      <c r="M1077" t="str">
        <f>IF(NOT(ISBLANK(A1077)),VLOOKUP(A1077,'Close - PriceSaver'!A:J,6,0),"")</f>
        <v/>
      </c>
      <c r="Q1077" t="e">
        <f t="shared" si="157"/>
        <v>#N/A</v>
      </c>
      <c r="R1077" t="e">
        <f t="shared" si="158"/>
        <v>#N/A</v>
      </c>
      <c r="S1077" t="e">
        <f t="shared" si="159"/>
        <v>#N/A</v>
      </c>
      <c r="T1077" s="15" t="e">
        <f t="shared" si="161"/>
        <v>#N/A</v>
      </c>
      <c r="U1077" s="18" t="e">
        <f t="shared" si="162"/>
        <v>#N/A</v>
      </c>
      <c r="V1077" s="14" t="e">
        <f t="shared" si="160"/>
        <v>#N/A</v>
      </c>
      <c r="W1077" s="19" t="e">
        <f t="shared" si="163"/>
        <v>#N/A</v>
      </c>
      <c r="X1077" t="e">
        <f>VLOOKUP(P1077,Close[[ID]:[CreatedBy]],8,0)</f>
        <v>#N/A</v>
      </c>
    </row>
    <row r="1078" spans="2:24" x14ac:dyDescent="0.35">
      <c r="B1078" t="str">
        <f>IF(NOT(ISBLANK(A1078)),VLOOKUP(A1078,'BBT3'!A:F,2,0),"")</f>
        <v/>
      </c>
      <c r="C1078" t="str">
        <f>IF(NOT(ISBLANK(A1078)),VLOOKUP(A1078,'BBT3'!A:F,3,0),"")</f>
        <v/>
      </c>
      <c r="D1078" s="5" t="str">
        <f>IF(NOT(ISBLANK(A1078)),VLOOKUP(A1078,'BBT3'!A:F,4,1),"")</f>
        <v/>
      </c>
      <c r="E1078" t="str">
        <f>IF(NOT(ISBLANK(A1078)),VLOOKUP(A1078,'BBT3'!A:F,5,0),"")</f>
        <v/>
      </c>
      <c r="F1078" t="str">
        <f>IF(NOT(ISBLANK(A1078)),VLOOKUP(A1078,'BBT3'!A:F,6,0),"")</f>
        <v/>
      </c>
      <c r="G1078" t="str">
        <f t="shared" si="155"/>
        <v/>
      </c>
      <c r="H1078" t="str">
        <f>IF(NOT(ISBLANK(A1078)),VLOOKUP(A1078,'Close - PriceSaver'!A:J,5,0),"")</f>
        <v/>
      </c>
      <c r="I1078" s="4" t="str" cm="1">
        <f t="array" ref="I1078">IF(NOT(ISBLANK(A1078)),((_xlfn.XLOOKUP(1,(_bbt3[[#All],[ID]]=A1078)*(_bbt3[[#All],[METRIC_NAME]]="YLD_YTM_ASK"),_bbt3[[#All],[METRIC_VALUE]])*0.5)+(_xlfn.XLOOKUP(1,(_bbt3[[#All],[ID]]=A1078)*(_bbt3[[#All],[METRIC_NAME]]="YLD_YTM_BID"),_bbt3[[#All],[METRIC_VALUE]])*0.5))/100,"")</f>
        <v/>
      </c>
      <c r="J1078">
        <f>IF(ISNA(VLOOKUP(A1078,'CloseDL - PriceSaverBBT3'!A:E,5,0)),0,VLOOKUP(A1078,'CloseDL - PriceSaverBBT3'!A:E,5,0))</f>
        <v>0</v>
      </c>
      <c r="K1078" s="7" t="str">
        <f t="shared" si="156"/>
        <v/>
      </c>
      <c r="L1078" s="20">
        <f>IF(Close[[#This Row],[CreatedBy]]="MARINER\SilverAdm",1,0)</f>
        <v>1</v>
      </c>
      <c r="M1078" t="str">
        <f>IF(NOT(ISBLANK(A1078)),VLOOKUP(A1078,'Close - PriceSaver'!A:J,6,0),"")</f>
        <v/>
      </c>
      <c r="Q1078" t="e">
        <f t="shared" si="157"/>
        <v>#N/A</v>
      </c>
      <c r="R1078" t="e">
        <f t="shared" si="158"/>
        <v>#N/A</v>
      </c>
      <c r="S1078" t="e">
        <f t="shared" si="159"/>
        <v>#N/A</v>
      </c>
      <c r="T1078" s="15" t="e">
        <f t="shared" si="161"/>
        <v>#N/A</v>
      </c>
      <c r="U1078" s="18" t="e">
        <f t="shared" si="162"/>
        <v>#N/A</v>
      </c>
      <c r="V1078" s="14" t="e">
        <f t="shared" si="160"/>
        <v>#N/A</v>
      </c>
      <c r="W1078" s="19" t="e">
        <f t="shared" si="163"/>
        <v>#N/A</v>
      </c>
      <c r="X1078" t="e">
        <f>VLOOKUP(P1078,Close[[ID]:[CreatedBy]],8,0)</f>
        <v>#N/A</v>
      </c>
    </row>
    <row r="1079" spans="2:24" x14ac:dyDescent="0.35">
      <c r="B1079" t="str">
        <f>IF(NOT(ISBLANK(A1079)),VLOOKUP(A1079,'BBT3'!A:F,2,0),"")</f>
        <v/>
      </c>
      <c r="C1079" t="str">
        <f>IF(NOT(ISBLANK(A1079)),VLOOKUP(A1079,'BBT3'!A:F,3,0),"")</f>
        <v/>
      </c>
      <c r="D1079" s="5" t="str">
        <f>IF(NOT(ISBLANK(A1079)),VLOOKUP(A1079,'BBT3'!A:F,4,1),"")</f>
        <v/>
      </c>
      <c r="E1079" t="str">
        <f>IF(NOT(ISBLANK(A1079)),VLOOKUP(A1079,'BBT3'!A:F,5,0),"")</f>
        <v/>
      </c>
      <c r="F1079" t="str">
        <f>IF(NOT(ISBLANK(A1079)),VLOOKUP(A1079,'BBT3'!A:F,6,0),"")</f>
        <v/>
      </c>
      <c r="G1079" t="str">
        <f t="shared" si="155"/>
        <v/>
      </c>
      <c r="H1079" t="str">
        <f>IF(NOT(ISBLANK(A1079)),VLOOKUP(A1079,'Close - PriceSaver'!A:J,5,0),"")</f>
        <v/>
      </c>
      <c r="I1079" s="4" t="str" cm="1">
        <f t="array" ref="I1079">IF(NOT(ISBLANK(A1079)),((_xlfn.XLOOKUP(1,(_bbt3[[#All],[ID]]=A1079)*(_bbt3[[#All],[METRIC_NAME]]="YLD_YTM_ASK"),_bbt3[[#All],[METRIC_VALUE]])*0.5)+(_xlfn.XLOOKUP(1,(_bbt3[[#All],[ID]]=A1079)*(_bbt3[[#All],[METRIC_NAME]]="YLD_YTM_BID"),_bbt3[[#All],[METRIC_VALUE]])*0.5))/100,"")</f>
        <v/>
      </c>
      <c r="J1079">
        <f>IF(ISNA(VLOOKUP(A1079,'CloseDL - PriceSaverBBT3'!A:E,5,0)),0,VLOOKUP(A1079,'CloseDL - PriceSaverBBT3'!A:E,5,0))</f>
        <v>0</v>
      </c>
      <c r="K1079" s="7" t="str">
        <f t="shared" si="156"/>
        <v/>
      </c>
      <c r="L1079" s="20">
        <f>IF(Close[[#This Row],[CreatedBy]]="MARINER\SilverAdm",1,0)</f>
        <v>1</v>
      </c>
      <c r="M1079" t="str">
        <f>IF(NOT(ISBLANK(A1079)),VLOOKUP(A1079,'Close - PriceSaver'!A:J,6,0),"")</f>
        <v/>
      </c>
      <c r="Q1079" t="e">
        <f t="shared" si="157"/>
        <v>#N/A</v>
      </c>
      <c r="R1079" t="e">
        <f t="shared" si="158"/>
        <v>#N/A</v>
      </c>
      <c r="S1079" t="e">
        <f t="shared" si="159"/>
        <v>#N/A</v>
      </c>
      <c r="T1079" s="15" t="e">
        <f t="shared" si="161"/>
        <v>#N/A</v>
      </c>
      <c r="U1079" s="18" t="e">
        <f t="shared" si="162"/>
        <v>#N/A</v>
      </c>
      <c r="V1079" s="14" t="e">
        <f t="shared" si="160"/>
        <v>#N/A</v>
      </c>
      <c r="W1079" s="19" t="e">
        <f t="shared" si="163"/>
        <v>#N/A</v>
      </c>
      <c r="X1079" t="e">
        <f>VLOOKUP(P1079,Close[[ID]:[CreatedBy]],8,0)</f>
        <v>#N/A</v>
      </c>
    </row>
    <row r="1080" spans="2:24" x14ac:dyDescent="0.35">
      <c r="B1080" t="str">
        <f>IF(NOT(ISBLANK(A1080)),VLOOKUP(A1080,'BBT3'!A:F,2,0),"")</f>
        <v/>
      </c>
      <c r="C1080" t="str">
        <f>IF(NOT(ISBLANK(A1080)),VLOOKUP(A1080,'BBT3'!A:F,3,0),"")</f>
        <v/>
      </c>
      <c r="D1080" s="5" t="str">
        <f>IF(NOT(ISBLANK(A1080)),VLOOKUP(A1080,'BBT3'!A:F,4,1),"")</f>
        <v/>
      </c>
      <c r="E1080" t="str">
        <f>IF(NOT(ISBLANK(A1080)),VLOOKUP(A1080,'BBT3'!A:F,5,0),"")</f>
        <v/>
      </c>
      <c r="F1080" t="str">
        <f>IF(NOT(ISBLANK(A1080)),VLOOKUP(A1080,'BBT3'!A:F,6,0),"")</f>
        <v/>
      </c>
      <c r="G1080" t="str">
        <f t="shared" si="155"/>
        <v/>
      </c>
      <c r="H1080" t="str">
        <f>IF(NOT(ISBLANK(A1080)),VLOOKUP(A1080,'Close - PriceSaver'!A:J,5,0),"")</f>
        <v/>
      </c>
      <c r="I1080" s="4" t="str" cm="1">
        <f t="array" ref="I1080">IF(NOT(ISBLANK(A1080)),((_xlfn.XLOOKUP(1,(_bbt3[[#All],[ID]]=A1080)*(_bbt3[[#All],[METRIC_NAME]]="YLD_YTM_ASK"),_bbt3[[#All],[METRIC_VALUE]])*0.5)+(_xlfn.XLOOKUP(1,(_bbt3[[#All],[ID]]=A1080)*(_bbt3[[#All],[METRIC_NAME]]="YLD_YTM_BID"),_bbt3[[#All],[METRIC_VALUE]])*0.5))/100,"")</f>
        <v/>
      </c>
      <c r="J1080">
        <f>IF(ISNA(VLOOKUP(A1080,'CloseDL - PriceSaverBBT3'!A:E,5,0)),0,VLOOKUP(A1080,'CloseDL - PriceSaverBBT3'!A:E,5,0))</f>
        <v>0</v>
      </c>
      <c r="K1080" s="7" t="str">
        <f t="shared" si="156"/>
        <v/>
      </c>
      <c r="L1080" s="20">
        <f>IF(Close[[#This Row],[CreatedBy]]="MARINER\SilverAdm",1,0)</f>
        <v>1</v>
      </c>
      <c r="M1080" t="str">
        <f>IF(NOT(ISBLANK(A1080)),VLOOKUP(A1080,'Close - PriceSaver'!A:J,6,0),"")</f>
        <v/>
      </c>
      <c r="Q1080" t="e">
        <f t="shared" si="157"/>
        <v>#N/A</v>
      </c>
      <c r="R1080" t="e">
        <f t="shared" si="158"/>
        <v>#N/A</v>
      </c>
      <c r="S1080" t="e">
        <f t="shared" si="159"/>
        <v>#N/A</v>
      </c>
      <c r="T1080" s="15" t="e">
        <f t="shared" si="161"/>
        <v>#N/A</v>
      </c>
      <c r="U1080" s="18" t="e">
        <f t="shared" si="162"/>
        <v>#N/A</v>
      </c>
      <c r="V1080" s="14" t="e">
        <f t="shared" si="160"/>
        <v>#N/A</v>
      </c>
      <c r="W1080" s="19" t="e">
        <f t="shared" si="163"/>
        <v>#N/A</v>
      </c>
      <c r="X1080" t="e">
        <f>VLOOKUP(P1080,Close[[ID]:[CreatedBy]],8,0)</f>
        <v>#N/A</v>
      </c>
    </row>
    <row r="1081" spans="2:24" x14ac:dyDescent="0.35">
      <c r="B1081" t="str">
        <f>IF(NOT(ISBLANK(A1081)),VLOOKUP(A1081,'BBT3'!A:F,2,0),"")</f>
        <v/>
      </c>
      <c r="C1081" t="str">
        <f>IF(NOT(ISBLANK(A1081)),VLOOKUP(A1081,'BBT3'!A:F,3,0),"")</f>
        <v/>
      </c>
      <c r="D1081" s="5" t="str">
        <f>IF(NOT(ISBLANK(A1081)),VLOOKUP(A1081,'BBT3'!A:F,4,1),"")</f>
        <v/>
      </c>
      <c r="E1081" t="str">
        <f>IF(NOT(ISBLANK(A1081)),VLOOKUP(A1081,'BBT3'!A:F,5,0),"")</f>
        <v/>
      </c>
      <c r="F1081" t="str">
        <f>IF(NOT(ISBLANK(A1081)),VLOOKUP(A1081,'BBT3'!A:F,6,0),"")</f>
        <v/>
      </c>
      <c r="G1081" t="str">
        <f t="shared" si="155"/>
        <v/>
      </c>
      <c r="H1081" t="str">
        <f>IF(NOT(ISBLANK(A1081)),VLOOKUP(A1081,'Close - PriceSaver'!A:J,5,0),"")</f>
        <v/>
      </c>
      <c r="I1081" s="4" t="str" cm="1">
        <f t="array" ref="I1081">IF(NOT(ISBLANK(A1081)),((_xlfn.XLOOKUP(1,(_bbt3[[#All],[ID]]=A1081)*(_bbt3[[#All],[METRIC_NAME]]="YLD_YTM_ASK"),_bbt3[[#All],[METRIC_VALUE]])*0.5)+(_xlfn.XLOOKUP(1,(_bbt3[[#All],[ID]]=A1081)*(_bbt3[[#All],[METRIC_NAME]]="YLD_YTM_BID"),_bbt3[[#All],[METRIC_VALUE]])*0.5))/100,"")</f>
        <v/>
      </c>
      <c r="J1081">
        <f>IF(ISNA(VLOOKUP(A1081,'CloseDL - PriceSaverBBT3'!A:E,5,0)),0,VLOOKUP(A1081,'CloseDL - PriceSaverBBT3'!A:E,5,0))</f>
        <v>0</v>
      </c>
      <c r="K1081" s="7" t="str">
        <f t="shared" si="156"/>
        <v/>
      </c>
      <c r="L1081" s="20">
        <f>IF(Close[[#This Row],[CreatedBy]]="MARINER\SilverAdm",1,0)</f>
        <v>1</v>
      </c>
      <c r="M1081" t="str">
        <f>IF(NOT(ISBLANK(A1081)),VLOOKUP(A1081,'Close - PriceSaver'!A:J,6,0),"")</f>
        <v/>
      </c>
      <c r="Q1081" t="e">
        <f t="shared" si="157"/>
        <v>#N/A</v>
      </c>
      <c r="R1081" t="e">
        <f t="shared" si="158"/>
        <v>#N/A</v>
      </c>
      <c r="S1081" t="e">
        <f t="shared" si="159"/>
        <v>#N/A</v>
      </c>
      <c r="T1081" s="15" t="e">
        <f t="shared" si="161"/>
        <v>#N/A</v>
      </c>
      <c r="U1081" s="18" t="e">
        <f t="shared" si="162"/>
        <v>#N/A</v>
      </c>
      <c r="V1081" s="14" t="e">
        <f t="shared" si="160"/>
        <v>#N/A</v>
      </c>
      <c r="W1081" s="19" t="e">
        <f t="shared" si="163"/>
        <v>#N/A</v>
      </c>
      <c r="X1081" t="e">
        <f>VLOOKUP(P1081,Close[[ID]:[CreatedBy]],8,0)</f>
        <v>#N/A</v>
      </c>
    </row>
    <row r="1082" spans="2:24" x14ac:dyDescent="0.35">
      <c r="B1082" t="str">
        <f>IF(NOT(ISBLANK(A1082)),VLOOKUP(A1082,'BBT3'!A:F,2,0),"")</f>
        <v/>
      </c>
      <c r="C1082" t="str">
        <f>IF(NOT(ISBLANK(A1082)),VLOOKUP(A1082,'BBT3'!A:F,3,0),"")</f>
        <v/>
      </c>
      <c r="D1082" s="5" t="str">
        <f>IF(NOT(ISBLANK(A1082)),VLOOKUP(A1082,'BBT3'!A:F,4,1),"")</f>
        <v/>
      </c>
      <c r="E1082" t="str">
        <f>IF(NOT(ISBLANK(A1082)),VLOOKUP(A1082,'BBT3'!A:F,5,0),"")</f>
        <v/>
      </c>
      <c r="F1082" t="str">
        <f>IF(NOT(ISBLANK(A1082)),VLOOKUP(A1082,'BBT3'!A:F,6,0),"")</f>
        <v/>
      </c>
      <c r="G1082" t="str">
        <f t="shared" si="155"/>
        <v/>
      </c>
      <c r="H1082" t="str">
        <f>IF(NOT(ISBLANK(A1082)),VLOOKUP(A1082,'Close - PriceSaver'!A:J,5,0),"")</f>
        <v/>
      </c>
      <c r="I1082" s="4" t="str" cm="1">
        <f t="array" ref="I1082">IF(NOT(ISBLANK(A1082)),((_xlfn.XLOOKUP(1,(_bbt3[[#All],[ID]]=A1082)*(_bbt3[[#All],[METRIC_NAME]]="YLD_YTM_ASK"),_bbt3[[#All],[METRIC_VALUE]])*0.5)+(_xlfn.XLOOKUP(1,(_bbt3[[#All],[ID]]=A1082)*(_bbt3[[#All],[METRIC_NAME]]="YLD_YTM_BID"),_bbt3[[#All],[METRIC_VALUE]])*0.5))/100,"")</f>
        <v/>
      </c>
      <c r="J1082">
        <f>IF(ISNA(VLOOKUP(A1082,'CloseDL - PriceSaverBBT3'!A:E,5,0)),0,VLOOKUP(A1082,'CloseDL - PriceSaverBBT3'!A:E,5,0))</f>
        <v>0</v>
      </c>
      <c r="K1082" s="7" t="str">
        <f t="shared" si="156"/>
        <v/>
      </c>
      <c r="L1082" s="20">
        <f>IF(Close[[#This Row],[CreatedBy]]="MARINER\SilverAdm",1,0)</f>
        <v>1</v>
      </c>
      <c r="M1082" t="str">
        <f>IF(NOT(ISBLANK(A1082)),VLOOKUP(A1082,'Close - PriceSaver'!A:J,6,0),"")</f>
        <v/>
      </c>
      <c r="Q1082" t="e">
        <f t="shared" si="157"/>
        <v>#N/A</v>
      </c>
      <c r="R1082" t="e">
        <f t="shared" si="158"/>
        <v>#N/A</v>
      </c>
      <c r="S1082" t="e">
        <f t="shared" si="159"/>
        <v>#N/A</v>
      </c>
      <c r="T1082" s="15" t="e">
        <f t="shared" si="161"/>
        <v>#N/A</v>
      </c>
      <c r="U1082" s="18" t="e">
        <f t="shared" si="162"/>
        <v>#N/A</v>
      </c>
      <c r="V1082" s="14" t="e">
        <f t="shared" si="160"/>
        <v>#N/A</v>
      </c>
      <c r="W1082" s="19" t="e">
        <f t="shared" si="163"/>
        <v>#N/A</v>
      </c>
      <c r="X1082" t="e">
        <f>VLOOKUP(P1082,Close[[ID]:[CreatedBy]],8,0)</f>
        <v>#N/A</v>
      </c>
    </row>
    <row r="1083" spans="2:24" x14ac:dyDescent="0.35">
      <c r="B1083" t="str">
        <f>IF(NOT(ISBLANK(A1083)),VLOOKUP(A1083,'BBT3'!A:F,2,0),"")</f>
        <v/>
      </c>
      <c r="C1083" t="str">
        <f>IF(NOT(ISBLANK(A1083)),VLOOKUP(A1083,'BBT3'!A:F,3,0),"")</f>
        <v/>
      </c>
      <c r="D1083" s="5" t="str">
        <f>IF(NOT(ISBLANK(A1083)),VLOOKUP(A1083,'BBT3'!A:F,4,1),"")</f>
        <v/>
      </c>
      <c r="E1083" t="str">
        <f>IF(NOT(ISBLANK(A1083)),VLOOKUP(A1083,'BBT3'!A:F,5,0),"")</f>
        <v/>
      </c>
      <c r="F1083" t="str">
        <f>IF(NOT(ISBLANK(A1083)),VLOOKUP(A1083,'BBT3'!A:F,6,0),"")</f>
        <v/>
      </c>
      <c r="G1083" t="str">
        <f t="shared" si="155"/>
        <v/>
      </c>
      <c r="H1083" t="str">
        <f>IF(NOT(ISBLANK(A1083)),VLOOKUP(A1083,'Close - PriceSaver'!A:J,5,0),"")</f>
        <v/>
      </c>
      <c r="I1083" s="4" t="str" cm="1">
        <f t="array" ref="I1083">IF(NOT(ISBLANK(A1083)),((_xlfn.XLOOKUP(1,(_bbt3[[#All],[ID]]=A1083)*(_bbt3[[#All],[METRIC_NAME]]="YLD_YTM_ASK"),_bbt3[[#All],[METRIC_VALUE]])*0.5)+(_xlfn.XLOOKUP(1,(_bbt3[[#All],[ID]]=A1083)*(_bbt3[[#All],[METRIC_NAME]]="YLD_YTM_BID"),_bbt3[[#All],[METRIC_VALUE]])*0.5))/100,"")</f>
        <v/>
      </c>
      <c r="J1083">
        <f>IF(ISNA(VLOOKUP(A1083,'CloseDL - PriceSaverBBT3'!A:E,5,0)),0,VLOOKUP(A1083,'CloseDL - PriceSaverBBT3'!A:E,5,0))</f>
        <v>0</v>
      </c>
      <c r="K1083" s="7" t="str">
        <f t="shared" si="156"/>
        <v/>
      </c>
      <c r="L1083" s="20">
        <f>IF(Close[[#This Row],[CreatedBy]]="MARINER\SilverAdm",1,0)</f>
        <v>1</v>
      </c>
      <c r="M1083" t="str">
        <f>IF(NOT(ISBLANK(A1083)),VLOOKUP(A1083,'Close - PriceSaver'!A:J,6,0),"")</f>
        <v/>
      </c>
      <c r="Q1083" t="e">
        <f t="shared" si="157"/>
        <v>#N/A</v>
      </c>
      <c r="R1083" t="e">
        <f t="shared" si="158"/>
        <v>#N/A</v>
      </c>
      <c r="S1083" t="e">
        <f t="shared" si="159"/>
        <v>#N/A</v>
      </c>
      <c r="T1083" s="15" t="e">
        <f t="shared" si="161"/>
        <v>#N/A</v>
      </c>
      <c r="U1083" s="18" t="e">
        <f t="shared" si="162"/>
        <v>#N/A</v>
      </c>
      <c r="V1083" s="14" t="e">
        <f t="shared" si="160"/>
        <v>#N/A</v>
      </c>
      <c r="W1083" s="19" t="e">
        <f t="shared" si="163"/>
        <v>#N/A</v>
      </c>
      <c r="X1083" t="e">
        <f>VLOOKUP(P1083,Close[[ID]:[CreatedBy]],8,0)</f>
        <v>#N/A</v>
      </c>
    </row>
    <row r="1084" spans="2:24" x14ac:dyDescent="0.35">
      <c r="B1084" t="str">
        <f>IF(NOT(ISBLANK(A1084)),VLOOKUP(A1084,'BBT3'!A:F,2,0),"")</f>
        <v/>
      </c>
      <c r="C1084" t="str">
        <f>IF(NOT(ISBLANK(A1084)),VLOOKUP(A1084,'BBT3'!A:F,3,0),"")</f>
        <v/>
      </c>
      <c r="D1084" s="5" t="str">
        <f>IF(NOT(ISBLANK(A1084)),VLOOKUP(A1084,'BBT3'!A:F,4,1),"")</f>
        <v/>
      </c>
      <c r="E1084" t="str">
        <f>IF(NOT(ISBLANK(A1084)),VLOOKUP(A1084,'BBT3'!A:F,5,0),"")</f>
        <v/>
      </c>
      <c r="F1084" t="str">
        <f>IF(NOT(ISBLANK(A1084)),VLOOKUP(A1084,'BBT3'!A:F,6,0),"")</f>
        <v/>
      </c>
      <c r="G1084" t="str">
        <f t="shared" si="155"/>
        <v/>
      </c>
      <c r="H1084" t="str">
        <f>IF(NOT(ISBLANK(A1084)),VLOOKUP(A1084,'Close - PriceSaver'!A:J,5,0),"")</f>
        <v/>
      </c>
      <c r="I1084" s="4" t="str" cm="1">
        <f t="array" ref="I1084">IF(NOT(ISBLANK(A1084)),((_xlfn.XLOOKUP(1,(_bbt3[[#All],[ID]]=A1084)*(_bbt3[[#All],[METRIC_NAME]]="YLD_YTM_ASK"),_bbt3[[#All],[METRIC_VALUE]])*0.5)+(_xlfn.XLOOKUP(1,(_bbt3[[#All],[ID]]=A1084)*(_bbt3[[#All],[METRIC_NAME]]="YLD_YTM_BID"),_bbt3[[#All],[METRIC_VALUE]])*0.5))/100,"")</f>
        <v/>
      </c>
      <c r="J1084">
        <f>IF(ISNA(VLOOKUP(A1084,'CloseDL - PriceSaverBBT3'!A:E,5,0)),0,VLOOKUP(A1084,'CloseDL - PriceSaverBBT3'!A:E,5,0))</f>
        <v>0</v>
      </c>
      <c r="K1084" s="7" t="str">
        <f t="shared" si="156"/>
        <v/>
      </c>
      <c r="L1084" s="20">
        <f>IF(Close[[#This Row],[CreatedBy]]="MARINER\SilverAdm",1,0)</f>
        <v>1</v>
      </c>
      <c r="M1084" t="str">
        <f>IF(NOT(ISBLANK(A1084)),VLOOKUP(A1084,'Close - PriceSaver'!A:J,6,0),"")</f>
        <v/>
      </c>
      <c r="Q1084" t="e">
        <f t="shared" si="157"/>
        <v>#N/A</v>
      </c>
      <c r="R1084" t="e">
        <f t="shared" si="158"/>
        <v>#N/A</v>
      </c>
      <c r="S1084" t="e">
        <f t="shared" si="159"/>
        <v>#N/A</v>
      </c>
      <c r="T1084" s="15" t="e">
        <f t="shared" si="161"/>
        <v>#N/A</v>
      </c>
      <c r="U1084" s="18" t="e">
        <f t="shared" si="162"/>
        <v>#N/A</v>
      </c>
      <c r="V1084" s="14" t="e">
        <f t="shared" si="160"/>
        <v>#N/A</v>
      </c>
      <c r="W1084" s="19" t="e">
        <f t="shared" si="163"/>
        <v>#N/A</v>
      </c>
      <c r="X1084" t="e">
        <f>VLOOKUP(P1084,Close[[ID]:[CreatedBy]],8,0)</f>
        <v>#N/A</v>
      </c>
    </row>
    <row r="1085" spans="2:24" x14ac:dyDescent="0.35">
      <c r="B1085" t="str">
        <f>IF(NOT(ISBLANK(A1085)),VLOOKUP(A1085,'BBT3'!A:F,2,0),"")</f>
        <v/>
      </c>
      <c r="C1085" t="str">
        <f>IF(NOT(ISBLANK(A1085)),VLOOKUP(A1085,'BBT3'!A:F,3,0),"")</f>
        <v/>
      </c>
      <c r="D1085" s="5" t="str">
        <f>IF(NOT(ISBLANK(A1085)),VLOOKUP(A1085,'BBT3'!A:F,4,1),"")</f>
        <v/>
      </c>
      <c r="E1085" t="str">
        <f>IF(NOT(ISBLANK(A1085)),VLOOKUP(A1085,'BBT3'!A:F,5,0),"")</f>
        <v/>
      </c>
      <c r="F1085" t="str">
        <f>IF(NOT(ISBLANK(A1085)),VLOOKUP(A1085,'BBT3'!A:F,6,0),"")</f>
        <v/>
      </c>
      <c r="G1085" t="str">
        <f t="shared" si="155"/>
        <v/>
      </c>
      <c r="H1085" t="str">
        <f>IF(NOT(ISBLANK(A1085)),VLOOKUP(A1085,'Close - PriceSaver'!A:J,5,0),"")</f>
        <v/>
      </c>
      <c r="I1085" s="4" t="str" cm="1">
        <f t="array" ref="I1085">IF(NOT(ISBLANK(A1085)),((_xlfn.XLOOKUP(1,(_bbt3[[#All],[ID]]=A1085)*(_bbt3[[#All],[METRIC_NAME]]="YLD_YTM_ASK"),_bbt3[[#All],[METRIC_VALUE]])*0.5)+(_xlfn.XLOOKUP(1,(_bbt3[[#All],[ID]]=A1085)*(_bbt3[[#All],[METRIC_NAME]]="YLD_YTM_BID"),_bbt3[[#All],[METRIC_VALUE]])*0.5))/100,"")</f>
        <v/>
      </c>
      <c r="J1085">
        <f>IF(ISNA(VLOOKUP(A1085,'CloseDL - PriceSaverBBT3'!A:E,5,0)),0,VLOOKUP(A1085,'CloseDL - PriceSaverBBT3'!A:E,5,0))</f>
        <v>0</v>
      </c>
      <c r="K1085" s="7" t="str">
        <f t="shared" si="156"/>
        <v/>
      </c>
      <c r="L1085" s="20">
        <f>IF(Close[[#This Row],[CreatedBy]]="MARINER\SilverAdm",1,0)</f>
        <v>1</v>
      </c>
      <c r="M1085" t="str">
        <f>IF(NOT(ISBLANK(A1085)),VLOOKUP(A1085,'Close - PriceSaver'!A:J,6,0),"")</f>
        <v/>
      </c>
      <c r="Q1085" t="e">
        <f t="shared" si="157"/>
        <v>#N/A</v>
      </c>
      <c r="R1085" t="e">
        <f t="shared" si="158"/>
        <v>#N/A</v>
      </c>
      <c r="S1085" t="e">
        <f t="shared" si="159"/>
        <v>#N/A</v>
      </c>
      <c r="T1085" s="15" t="e">
        <f t="shared" si="161"/>
        <v>#N/A</v>
      </c>
      <c r="U1085" s="18" t="e">
        <f t="shared" si="162"/>
        <v>#N/A</v>
      </c>
      <c r="V1085" s="14" t="e">
        <f t="shared" si="160"/>
        <v>#N/A</v>
      </c>
      <c r="W1085" s="19" t="e">
        <f t="shared" si="163"/>
        <v>#N/A</v>
      </c>
      <c r="X1085" t="e">
        <f>VLOOKUP(P1085,Close[[ID]:[CreatedBy]],8,0)</f>
        <v>#N/A</v>
      </c>
    </row>
    <row r="1086" spans="2:24" x14ac:dyDescent="0.35">
      <c r="B1086" t="str">
        <f>IF(NOT(ISBLANK(A1086)),VLOOKUP(A1086,'BBT3'!A:F,2,0),"")</f>
        <v/>
      </c>
      <c r="C1086" t="str">
        <f>IF(NOT(ISBLANK(A1086)),VLOOKUP(A1086,'BBT3'!A:F,3,0),"")</f>
        <v/>
      </c>
      <c r="D1086" s="5" t="str">
        <f>IF(NOT(ISBLANK(A1086)),VLOOKUP(A1086,'BBT3'!A:F,4,1),"")</f>
        <v/>
      </c>
      <c r="E1086" t="str">
        <f>IF(NOT(ISBLANK(A1086)),VLOOKUP(A1086,'BBT3'!A:F,5,0),"")</f>
        <v/>
      </c>
      <c r="F1086" t="str">
        <f>IF(NOT(ISBLANK(A1086)),VLOOKUP(A1086,'BBT3'!A:F,6,0),"")</f>
        <v/>
      </c>
      <c r="G1086" t="str">
        <f t="shared" si="155"/>
        <v/>
      </c>
      <c r="H1086" t="str">
        <f>IF(NOT(ISBLANK(A1086)),VLOOKUP(A1086,'Close - PriceSaver'!A:J,5,0),"")</f>
        <v/>
      </c>
      <c r="I1086" s="4" t="str" cm="1">
        <f t="array" ref="I1086">IF(NOT(ISBLANK(A1086)),((_xlfn.XLOOKUP(1,(_bbt3[[#All],[ID]]=A1086)*(_bbt3[[#All],[METRIC_NAME]]="YLD_YTM_ASK"),_bbt3[[#All],[METRIC_VALUE]])*0.5)+(_xlfn.XLOOKUP(1,(_bbt3[[#All],[ID]]=A1086)*(_bbt3[[#All],[METRIC_NAME]]="YLD_YTM_BID"),_bbt3[[#All],[METRIC_VALUE]])*0.5))/100,"")</f>
        <v/>
      </c>
      <c r="J1086">
        <f>IF(ISNA(VLOOKUP(A1086,'CloseDL - PriceSaverBBT3'!A:E,5,0)),0,VLOOKUP(A1086,'CloseDL - PriceSaverBBT3'!A:E,5,0))</f>
        <v>0</v>
      </c>
      <c r="K1086" s="7" t="str">
        <f t="shared" si="156"/>
        <v/>
      </c>
      <c r="L1086" s="20">
        <f>IF(Close[[#This Row],[CreatedBy]]="MARINER\SilverAdm",1,0)</f>
        <v>1</v>
      </c>
      <c r="M1086" t="str">
        <f>IF(NOT(ISBLANK(A1086)),VLOOKUP(A1086,'Close - PriceSaver'!A:J,6,0),"")</f>
        <v/>
      </c>
      <c r="Q1086" t="e">
        <f t="shared" si="157"/>
        <v>#N/A</v>
      </c>
      <c r="R1086" t="e">
        <f t="shared" si="158"/>
        <v>#N/A</v>
      </c>
      <c r="S1086" t="e">
        <f t="shared" si="159"/>
        <v>#N/A</v>
      </c>
      <c r="T1086" s="15" t="e">
        <f t="shared" si="161"/>
        <v>#N/A</v>
      </c>
      <c r="U1086" s="18" t="e">
        <f t="shared" si="162"/>
        <v>#N/A</v>
      </c>
      <c r="V1086" s="14" t="e">
        <f t="shared" si="160"/>
        <v>#N/A</v>
      </c>
      <c r="W1086" s="19" t="e">
        <f t="shared" si="163"/>
        <v>#N/A</v>
      </c>
      <c r="X1086" t="e">
        <f>VLOOKUP(P1086,Close[[ID]:[CreatedBy]],8,0)</f>
        <v>#N/A</v>
      </c>
    </row>
    <row r="1087" spans="2:24" x14ac:dyDescent="0.35">
      <c r="B1087" t="str">
        <f>IF(NOT(ISBLANK(A1087)),VLOOKUP(A1087,'BBT3'!A:F,2,0),"")</f>
        <v/>
      </c>
      <c r="C1087" t="str">
        <f>IF(NOT(ISBLANK(A1087)),VLOOKUP(A1087,'BBT3'!A:F,3,0),"")</f>
        <v/>
      </c>
      <c r="D1087" s="5" t="str">
        <f>IF(NOT(ISBLANK(A1087)),VLOOKUP(A1087,'BBT3'!A:F,4,1),"")</f>
        <v/>
      </c>
      <c r="E1087" t="str">
        <f>IF(NOT(ISBLANK(A1087)),VLOOKUP(A1087,'BBT3'!A:F,5,0),"")</f>
        <v/>
      </c>
      <c r="F1087" t="str">
        <f>IF(NOT(ISBLANK(A1087)),VLOOKUP(A1087,'BBT3'!A:F,6,0),"")</f>
        <v/>
      </c>
      <c r="G1087" t="str">
        <f t="shared" si="155"/>
        <v/>
      </c>
      <c r="H1087" t="str">
        <f>IF(NOT(ISBLANK(A1087)),VLOOKUP(A1087,'Close - PriceSaver'!A:J,5,0),"")</f>
        <v/>
      </c>
      <c r="I1087" s="4" t="str" cm="1">
        <f t="array" ref="I1087">IF(NOT(ISBLANK(A1087)),((_xlfn.XLOOKUP(1,(_bbt3[[#All],[ID]]=A1087)*(_bbt3[[#All],[METRIC_NAME]]="YLD_YTM_ASK"),_bbt3[[#All],[METRIC_VALUE]])*0.5)+(_xlfn.XLOOKUP(1,(_bbt3[[#All],[ID]]=A1087)*(_bbt3[[#All],[METRIC_NAME]]="YLD_YTM_BID"),_bbt3[[#All],[METRIC_VALUE]])*0.5))/100,"")</f>
        <v/>
      </c>
      <c r="J1087">
        <f>IF(ISNA(VLOOKUP(A1087,'CloseDL - PriceSaverBBT3'!A:E,5,0)),0,VLOOKUP(A1087,'CloseDL - PriceSaverBBT3'!A:E,5,0))</f>
        <v>0</v>
      </c>
      <c r="K1087" s="7" t="str">
        <f t="shared" si="156"/>
        <v/>
      </c>
      <c r="L1087" s="20">
        <f>IF(Close[[#This Row],[CreatedBy]]="MARINER\SilverAdm",1,0)</f>
        <v>1</v>
      </c>
      <c r="M1087" t="str">
        <f>IF(NOT(ISBLANK(A1087)),VLOOKUP(A1087,'Close - PriceSaver'!A:J,6,0),"")</f>
        <v/>
      </c>
      <c r="Q1087" t="e">
        <f t="shared" si="157"/>
        <v>#N/A</v>
      </c>
      <c r="R1087" t="e">
        <f t="shared" si="158"/>
        <v>#N/A</v>
      </c>
      <c r="S1087" t="e">
        <f t="shared" si="159"/>
        <v>#N/A</v>
      </c>
      <c r="T1087" s="15" t="e">
        <f t="shared" si="161"/>
        <v>#N/A</v>
      </c>
      <c r="U1087" s="18" t="e">
        <f t="shared" si="162"/>
        <v>#N/A</v>
      </c>
      <c r="V1087" s="14" t="e">
        <f t="shared" si="160"/>
        <v>#N/A</v>
      </c>
      <c r="W1087" s="19" t="e">
        <f t="shared" si="163"/>
        <v>#N/A</v>
      </c>
      <c r="X1087" t="e">
        <f>VLOOKUP(P1087,Close[[ID]:[CreatedBy]],8,0)</f>
        <v>#N/A</v>
      </c>
    </row>
    <row r="1088" spans="2:24" x14ac:dyDescent="0.35">
      <c r="B1088" t="str">
        <f>IF(NOT(ISBLANK(A1088)),VLOOKUP(A1088,'BBT3'!A:F,2,0),"")</f>
        <v/>
      </c>
      <c r="C1088" t="str">
        <f>IF(NOT(ISBLANK(A1088)),VLOOKUP(A1088,'BBT3'!A:F,3,0),"")</f>
        <v/>
      </c>
      <c r="D1088" s="5" t="str">
        <f>IF(NOT(ISBLANK(A1088)),VLOOKUP(A1088,'BBT3'!A:F,4,1),"")</f>
        <v/>
      </c>
      <c r="E1088" t="str">
        <f>IF(NOT(ISBLANK(A1088)),VLOOKUP(A1088,'BBT3'!A:F,5,0),"")</f>
        <v/>
      </c>
      <c r="F1088" t="str">
        <f>IF(NOT(ISBLANK(A1088)),VLOOKUP(A1088,'BBT3'!A:F,6,0),"")</f>
        <v/>
      </c>
      <c r="G1088" t="str">
        <f t="shared" si="155"/>
        <v/>
      </c>
      <c r="H1088" t="str">
        <f>IF(NOT(ISBLANK(A1088)),VLOOKUP(A1088,'Close - PriceSaver'!A:J,5,0),"")</f>
        <v/>
      </c>
      <c r="I1088" s="4" t="str" cm="1">
        <f t="array" ref="I1088">IF(NOT(ISBLANK(A1088)),((_xlfn.XLOOKUP(1,(_bbt3[[#All],[ID]]=A1088)*(_bbt3[[#All],[METRIC_NAME]]="YLD_YTM_ASK"),_bbt3[[#All],[METRIC_VALUE]])*0.5)+(_xlfn.XLOOKUP(1,(_bbt3[[#All],[ID]]=A1088)*(_bbt3[[#All],[METRIC_NAME]]="YLD_YTM_BID"),_bbt3[[#All],[METRIC_VALUE]])*0.5))/100,"")</f>
        <v/>
      </c>
      <c r="J1088">
        <f>IF(ISNA(VLOOKUP(A1088,'CloseDL - PriceSaverBBT3'!A:E,5,0)),0,VLOOKUP(A1088,'CloseDL - PriceSaverBBT3'!A:E,5,0))</f>
        <v>0</v>
      </c>
      <c r="K1088" s="7" t="str">
        <f t="shared" si="156"/>
        <v/>
      </c>
      <c r="L1088" s="20">
        <f>IF(Close[[#This Row],[CreatedBy]]="MARINER\SilverAdm",1,0)</f>
        <v>1</v>
      </c>
      <c r="M1088" t="str">
        <f>IF(NOT(ISBLANK(A1088)),VLOOKUP(A1088,'Close - PriceSaver'!A:J,6,0),"")</f>
        <v/>
      </c>
      <c r="Q1088" t="e">
        <f t="shared" si="157"/>
        <v>#N/A</v>
      </c>
      <c r="R1088" t="e">
        <f t="shared" si="158"/>
        <v>#N/A</v>
      </c>
      <c r="S1088" t="e">
        <f t="shared" si="159"/>
        <v>#N/A</v>
      </c>
      <c r="T1088" s="15" t="e">
        <f t="shared" si="161"/>
        <v>#N/A</v>
      </c>
      <c r="U1088" s="18" t="e">
        <f t="shared" si="162"/>
        <v>#N/A</v>
      </c>
      <c r="V1088" s="14" t="e">
        <f t="shared" si="160"/>
        <v>#N/A</v>
      </c>
      <c r="W1088" s="19" t="e">
        <f t="shared" si="163"/>
        <v>#N/A</v>
      </c>
      <c r="X1088" t="e">
        <f>VLOOKUP(P1088,Close[[ID]:[CreatedBy]],8,0)</f>
        <v>#N/A</v>
      </c>
    </row>
    <row r="1089" spans="2:24" x14ac:dyDescent="0.35">
      <c r="B1089" t="str">
        <f>IF(NOT(ISBLANK(A1089)),VLOOKUP(A1089,'BBT3'!A:F,2,0),"")</f>
        <v/>
      </c>
      <c r="C1089" t="str">
        <f>IF(NOT(ISBLANK(A1089)),VLOOKUP(A1089,'BBT3'!A:F,3,0),"")</f>
        <v/>
      </c>
      <c r="D1089" s="5" t="str">
        <f>IF(NOT(ISBLANK(A1089)),VLOOKUP(A1089,'BBT3'!A:F,4,1),"")</f>
        <v/>
      </c>
      <c r="E1089" t="str">
        <f>IF(NOT(ISBLANK(A1089)),VLOOKUP(A1089,'BBT3'!A:F,5,0),"")</f>
        <v/>
      </c>
      <c r="F1089" t="str">
        <f>IF(NOT(ISBLANK(A1089)),VLOOKUP(A1089,'BBT3'!A:F,6,0),"")</f>
        <v/>
      </c>
      <c r="G1089" t="str">
        <f t="shared" si="155"/>
        <v/>
      </c>
      <c r="H1089" t="str">
        <f>IF(NOT(ISBLANK(A1089)),VLOOKUP(A1089,'Close - PriceSaver'!A:J,5,0),"")</f>
        <v/>
      </c>
      <c r="I1089" s="4" t="str" cm="1">
        <f t="array" ref="I1089">IF(NOT(ISBLANK(A1089)),((_xlfn.XLOOKUP(1,(_bbt3[[#All],[ID]]=A1089)*(_bbt3[[#All],[METRIC_NAME]]="YLD_YTM_ASK"),_bbt3[[#All],[METRIC_VALUE]])*0.5)+(_xlfn.XLOOKUP(1,(_bbt3[[#All],[ID]]=A1089)*(_bbt3[[#All],[METRIC_NAME]]="YLD_YTM_BID"),_bbt3[[#All],[METRIC_VALUE]])*0.5))/100,"")</f>
        <v/>
      </c>
      <c r="J1089">
        <f>IF(ISNA(VLOOKUP(A1089,'CloseDL - PriceSaverBBT3'!A:E,5,0)),0,VLOOKUP(A1089,'CloseDL - PriceSaverBBT3'!A:E,5,0))</f>
        <v>0</v>
      </c>
      <c r="K1089" s="7" t="str">
        <f t="shared" si="156"/>
        <v/>
      </c>
      <c r="L1089" s="20">
        <f>IF(Close[[#This Row],[CreatedBy]]="MARINER\SilverAdm",1,0)</f>
        <v>1</v>
      </c>
      <c r="M1089" t="str">
        <f>IF(NOT(ISBLANK(A1089)),VLOOKUP(A1089,'Close - PriceSaver'!A:J,6,0),"")</f>
        <v/>
      </c>
      <c r="Q1089" t="e">
        <f t="shared" si="157"/>
        <v>#N/A</v>
      </c>
      <c r="R1089" t="e">
        <f t="shared" si="158"/>
        <v>#N/A</v>
      </c>
      <c r="S1089" t="e">
        <f t="shared" si="159"/>
        <v>#N/A</v>
      </c>
      <c r="T1089" s="15" t="e">
        <f t="shared" si="161"/>
        <v>#N/A</v>
      </c>
      <c r="U1089" s="18" t="e">
        <f t="shared" si="162"/>
        <v>#N/A</v>
      </c>
      <c r="V1089" s="14" t="e">
        <f t="shared" si="160"/>
        <v>#N/A</v>
      </c>
      <c r="W1089" s="19" t="e">
        <f t="shared" si="163"/>
        <v>#N/A</v>
      </c>
      <c r="X1089" t="e">
        <f>VLOOKUP(P1089,Close[[ID]:[CreatedBy]],8,0)</f>
        <v>#N/A</v>
      </c>
    </row>
    <row r="1090" spans="2:24" x14ac:dyDescent="0.35">
      <c r="B1090" t="str">
        <f>IF(NOT(ISBLANK(A1090)),VLOOKUP(A1090,'BBT3'!A:F,2,0),"")</f>
        <v/>
      </c>
      <c r="C1090" t="str">
        <f>IF(NOT(ISBLANK(A1090)),VLOOKUP(A1090,'BBT3'!A:F,3,0),"")</f>
        <v/>
      </c>
      <c r="D1090" s="5" t="str">
        <f>IF(NOT(ISBLANK(A1090)),VLOOKUP(A1090,'BBT3'!A:F,4,1),"")</f>
        <v/>
      </c>
      <c r="E1090" t="str">
        <f>IF(NOT(ISBLANK(A1090)),VLOOKUP(A1090,'BBT3'!A:F,5,0),"")</f>
        <v/>
      </c>
      <c r="F1090" t="str">
        <f>IF(NOT(ISBLANK(A1090)),VLOOKUP(A1090,'BBT3'!A:F,6,0),"")</f>
        <v/>
      </c>
      <c r="G1090" t="str">
        <f t="shared" si="155"/>
        <v/>
      </c>
      <c r="H1090" t="str">
        <f>IF(NOT(ISBLANK(A1090)),VLOOKUP(A1090,'Close - PriceSaver'!A:J,5,0),"")</f>
        <v/>
      </c>
      <c r="I1090" s="4" t="str" cm="1">
        <f t="array" ref="I1090">IF(NOT(ISBLANK(A1090)),((_xlfn.XLOOKUP(1,(_bbt3[[#All],[ID]]=A1090)*(_bbt3[[#All],[METRIC_NAME]]="YLD_YTM_ASK"),_bbt3[[#All],[METRIC_VALUE]])*0.5)+(_xlfn.XLOOKUP(1,(_bbt3[[#All],[ID]]=A1090)*(_bbt3[[#All],[METRIC_NAME]]="YLD_YTM_BID"),_bbt3[[#All],[METRIC_VALUE]])*0.5))/100,"")</f>
        <v/>
      </c>
      <c r="J1090">
        <f>IF(ISNA(VLOOKUP(A1090,'CloseDL - PriceSaverBBT3'!A:E,5,0)),0,VLOOKUP(A1090,'CloseDL - PriceSaverBBT3'!A:E,5,0))</f>
        <v>0</v>
      </c>
      <c r="K1090" s="7" t="str">
        <f t="shared" si="156"/>
        <v/>
      </c>
      <c r="L1090" s="20">
        <f>IF(Close[[#This Row],[CreatedBy]]="MARINER\SilverAdm",1,0)</f>
        <v>1</v>
      </c>
      <c r="M1090" t="str">
        <f>IF(NOT(ISBLANK(A1090)),VLOOKUP(A1090,'Close - PriceSaver'!A:J,6,0),"")</f>
        <v/>
      </c>
      <c r="Q1090" t="e">
        <f t="shared" si="157"/>
        <v>#N/A</v>
      </c>
      <c r="R1090" t="e">
        <f t="shared" si="158"/>
        <v>#N/A</v>
      </c>
      <c r="S1090" t="e">
        <f t="shared" si="159"/>
        <v>#N/A</v>
      </c>
      <c r="T1090" s="15" t="e">
        <f t="shared" si="161"/>
        <v>#N/A</v>
      </c>
      <c r="U1090" s="18" t="e">
        <f t="shared" si="162"/>
        <v>#N/A</v>
      </c>
      <c r="V1090" s="14" t="e">
        <f t="shared" si="160"/>
        <v>#N/A</v>
      </c>
      <c r="W1090" s="19" t="e">
        <f t="shared" si="163"/>
        <v>#N/A</v>
      </c>
      <c r="X1090" t="e">
        <f>VLOOKUP(P1090,Close[[ID]:[CreatedBy]],8,0)</f>
        <v>#N/A</v>
      </c>
    </row>
    <row r="1091" spans="2:24" x14ac:dyDescent="0.35">
      <c r="B1091" t="str">
        <f>IF(NOT(ISBLANK(A1091)),VLOOKUP(A1091,'BBT3'!A:F,2,0),"")</f>
        <v/>
      </c>
      <c r="C1091" t="str">
        <f>IF(NOT(ISBLANK(A1091)),VLOOKUP(A1091,'BBT3'!A:F,3,0),"")</f>
        <v/>
      </c>
      <c r="D1091" s="5" t="str">
        <f>IF(NOT(ISBLANK(A1091)),VLOOKUP(A1091,'BBT3'!A:F,4,1),"")</f>
        <v/>
      </c>
      <c r="E1091" t="str">
        <f>IF(NOT(ISBLANK(A1091)),VLOOKUP(A1091,'BBT3'!A:F,5,0),"")</f>
        <v/>
      </c>
      <c r="F1091" t="str">
        <f>IF(NOT(ISBLANK(A1091)),VLOOKUP(A1091,'BBT3'!A:F,6,0),"")</f>
        <v/>
      </c>
      <c r="G1091" t="str">
        <f t="shared" ref="G1091:G1154" si="164">IF(NOT(ISBLANK(A1091)),IF(D1091=0,"Y","N"),"")</f>
        <v/>
      </c>
      <c r="H1091" t="str">
        <f>IF(NOT(ISBLANK(A1091)),VLOOKUP(A1091,'Close - PriceSaver'!A:J,5,0),"")</f>
        <v/>
      </c>
      <c r="I1091" s="4" t="str" cm="1">
        <f t="array" ref="I1091">IF(NOT(ISBLANK(A1091)),((_xlfn.XLOOKUP(1,(_bbt3[[#All],[ID]]=A1091)*(_bbt3[[#All],[METRIC_NAME]]="YLD_YTM_ASK"),_bbt3[[#All],[METRIC_VALUE]])*0.5)+(_xlfn.XLOOKUP(1,(_bbt3[[#All],[ID]]=A1091)*(_bbt3[[#All],[METRIC_NAME]]="YLD_YTM_BID"),_bbt3[[#All],[METRIC_VALUE]])*0.5))/100,"")</f>
        <v/>
      </c>
      <c r="J1091">
        <f>IF(ISNA(VLOOKUP(A1091,'CloseDL - PriceSaverBBT3'!A:E,5,0)),0,VLOOKUP(A1091,'CloseDL - PriceSaverBBT3'!A:E,5,0))</f>
        <v>0</v>
      </c>
      <c r="K1091" s="7" t="str">
        <f t="shared" ref="K1091:K1154" si="165">IF(ISNA(IF(NOT(ISBLANK(A1091)),ABS(H1091-J1091),"")),0,(IF(NOT(ISBLANK(A1091)),ABS(H1091-J1091)*10000,"")))</f>
        <v/>
      </c>
      <c r="L1091" s="20">
        <f>IF(Close[[#This Row],[CreatedBy]]="MARINER\SilverAdm",1,0)</f>
        <v>1</v>
      </c>
      <c r="M1091" t="str">
        <f>IF(NOT(ISBLANK(A1091)),VLOOKUP(A1091,'Close - PriceSaver'!A:J,6,0),"")</f>
        <v/>
      </c>
      <c r="Q1091" t="e">
        <f t="shared" si="157"/>
        <v>#N/A</v>
      </c>
      <c r="R1091" t="e">
        <f t="shared" si="158"/>
        <v>#N/A</v>
      </c>
      <c r="S1091" t="e">
        <f t="shared" si="159"/>
        <v>#N/A</v>
      </c>
      <c r="T1091" s="15" t="e">
        <f t="shared" si="161"/>
        <v>#N/A</v>
      </c>
      <c r="U1091" s="18" t="e">
        <f t="shared" si="162"/>
        <v>#N/A</v>
      </c>
      <c r="V1091" s="14" t="e">
        <f t="shared" si="160"/>
        <v>#N/A</v>
      </c>
      <c r="W1091" s="19" t="e">
        <f t="shared" si="163"/>
        <v>#N/A</v>
      </c>
      <c r="X1091" t="e">
        <f>VLOOKUP(P1091,Close[[ID]:[CreatedBy]],8,0)</f>
        <v>#N/A</v>
      </c>
    </row>
    <row r="1092" spans="2:24" x14ac:dyDescent="0.35">
      <c r="B1092" t="str">
        <f>IF(NOT(ISBLANK(A1092)),VLOOKUP(A1092,'BBT3'!A:F,2,0),"")</f>
        <v/>
      </c>
      <c r="C1092" t="str">
        <f>IF(NOT(ISBLANK(A1092)),VLOOKUP(A1092,'BBT3'!A:F,3,0),"")</f>
        <v/>
      </c>
      <c r="D1092" s="5" t="str">
        <f>IF(NOT(ISBLANK(A1092)),VLOOKUP(A1092,'BBT3'!A:F,4,1),"")</f>
        <v/>
      </c>
      <c r="E1092" t="str">
        <f>IF(NOT(ISBLANK(A1092)),VLOOKUP(A1092,'BBT3'!A:F,5,0),"")</f>
        <v/>
      </c>
      <c r="F1092" t="str">
        <f>IF(NOT(ISBLANK(A1092)),VLOOKUP(A1092,'BBT3'!A:F,6,0),"")</f>
        <v/>
      </c>
      <c r="G1092" t="str">
        <f t="shared" si="164"/>
        <v/>
      </c>
      <c r="H1092" t="str">
        <f>IF(NOT(ISBLANK(A1092)),VLOOKUP(A1092,'Close - PriceSaver'!A:J,5,0),"")</f>
        <v/>
      </c>
      <c r="I1092" s="4" t="str" cm="1">
        <f t="array" ref="I1092">IF(NOT(ISBLANK(A1092)),((_xlfn.XLOOKUP(1,(_bbt3[[#All],[ID]]=A1092)*(_bbt3[[#All],[METRIC_NAME]]="YLD_YTM_ASK"),_bbt3[[#All],[METRIC_VALUE]])*0.5)+(_xlfn.XLOOKUP(1,(_bbt3[[#All],[ID]]=A1092)*(_bbt3[[#All],[METRIC_NAME]]="YLD_YTM_BID"),_bbt3[[#All],[METRIC_VALUE]])*0.5))/100,"")</f>
        <v/>
      </c>
      <c r="J1092">
        <f>IF(ISNA(VLOOKUP(A1092,'CloseDL - PriceSaverBBT3'!A:E,5,0)),0,VLOOKUP(A1092,'CloseDL - PriceSaverBBT3'!A:E,5,0))</f>
        <v>0</v>
      </c>
      <c r="K1092" s="7" t="str">
        <f t="shared" si="165"/>
        <v/>
      </c>
      <c r="L1092" s="20">
        <f>IF(Close[[#This Row],[CreatedBy]]="MARINER\SilverAdm",1,0)</f>
        <v>1</v>
      </c>
      <c r="M1092" t="str">
        <f>IF(NOT(ISBLANK(A1092)),VLOOKUP(A1092,'Close - PriceSaver'!A:J,6,0),"")</f>
        <v/>
      </c>
      <c r="Q1092" t="e">
        <f t="shared" si="157"/>
        <v>#N/A</v>
      </c>
      <c r="R1092" t="e">
        <f t="shared" si="158"/>
        <v>#N/A</v>
      </c>
      <c r="S1092" t="e">
        <f t="shared" si="159"/>
        <v>#N/A</v>
      </c>
      <c r="T1092" s="15" t="e">
        <f t="shared" si="161"/>
        <v>#N/A</v>
      </c>
      <c r="U1092" s="18" t="e">
        <f t="shared" si="162"/>
        <v>#N/A</v>
      </c>
      <c r="V1092" s="14" t="e">
        <f t="shared" si="160"/>
        <v>#N/A</v>
      </c>
      <c r="W1092" s="19" t="e">
        <f t="shared" si="163"/>
        <v>#N/A</v>
      </c>
      <c r="X1092" t="e">
        <f>VLOOKUP(P1092,Close[[ID]:[CreatedBy]],8,0)</f>
        <v>#N/A</v>
      </c>
    </row>
    <row r="1093" spans="2:24" x14ac:dyDescent="0.35">
      <c r="B1093" t="str">
        <f>IF(NOT(ISBLANK(A1093)),VLOOKUP(A1093,'BBT3'!A:F,2,0),"")</f>
        <v/>
      </c>
      <c r="C1093" t="str">
        <f>IF(NOT(ISBLANK(A1093)),VLOOKUP(A1093,'BBT3'!A:F,3,0),"")</f>
        <v/>
      </c>
      <c r="D1093" s="5" t="str">
        <f>IF(NOT(ISBLANK(A1093)),VLOOKUP(A1093,'BBT3'!A:F,4,1),"")</f>
        <v/>
      </c>
      <c r="E1093" t="str">
        <f>IF(NOT(ISBLANK(A1093)),VLOOKUP(A1093,'BBT3'!A:F,5,0),"")</f>
        <v/>
      </c>
      <c r="F1093" t="str">
        <f>IF(NOT(ISBLANK(A1093)),VLOOKUP(A1093,'BBT3'!A:F,6,0),"")</f>
        <v/>
      </c>
      <c r="G1093" t="str">
        <f t="shared" si="164"/>
        <v/>
      </c>
      <c r="H1093" t="str">
        <f>IF(NOT(ISBLANK(A1093)),VLOOKUP(A1093,'Close - PriceSaver'!A:J,5,0),"")</f>
        <v/>
      </c>
      <c r="I1093" s="4" t="str" cm="1">
        <f t="array" ref="I1093">IF(NOT(ISBLANK(A1093)),((_xlfn.XLOOKUP(1,(_bbt3[[#All],[ID]]=A1093)*(_bbt3[[#All],[METRIC_NAME]]="YLD_YTM_ASK"),_bbt3[[#All],[METRIC_VALUE]])*0.5)+(_xlfn.XLOOKUP(1,(_bbt3[[#All],[ID]]=A1093)*(_bbt3[[#All],[METRIC_NAME]]="YLD_YTM_BID"),_bbt3[[#All],[METRIC_VALUE]])*0.5))/100,"")</f>
        <v/>
      </c>
      <c r="J1093">
        <f>IF(ISNA(VLOOKUP(A1093,'CloseDL - PriceSaverBBT3'!A:E,5,0)),0,VLOOKUP(A1093,'CloseDL - PriceSaverBBT3'!A:E,5,0))</f>
        <v>0</v>
      </c>
      <c r="K1093" s="7" t="str">
        <f t="shared" si="165"/>
        <v/>
      </c>
      <c r="L1093" s="20">
        <f>IF(Close[[#This Row],[CreatedBy]]="MARINER\SilverAdm",1,0)</f>
        <v>1</v>
      </c>
      <c r="M1093" t="str">
        <f>IF(NOT(ISBLANK(A1093)),VLOOKUP(A1093,'Close - PriceSaver'!A:J,6,0),"")</f>
        <v/>
      </c>
      <c r="Q1093" t="e">
        <f t="shared" si="157"/>
        <v>#N/A</v>
      </c>
      <c r="R1093" t="e">
        <f t="shared" si="158"/>
        <v>#N/A</v>
      </c>
      <c r="S1093" t="e">
        <f t="shared" si="159"/>
        <v>#N/A</v>
      </c>
      <c r="T1093" s="15" t="e">
        <f t="shared" si="161"/>
        <v>#N/A</v>
      </c>
      <c r="U1093" s="18" t="e">
        <f t="shared" si="162"/>
        <v>#N/A</v>
      </c>
      <c r="V1093" s="14" t="e">
        <f t="shared" si="160"/>
        <v>#N/A</v>
      </c>
      <c r="W1093" s="19" t="e">
        <f t="shared" si="163"/>
        <v>#N/A</v>
      </c>
      <c r="X1093" t="e">
        <f>VLOOKUP(P1093,Close[[ID]:[CreatedBy]],8,0)</f>
        <v>#N/A</v>
      </c>
    </row>
    <row r="1094" spans="2:24" x14ac:dyDescent="0.35">
      <c r="B1094" t="str">
        <f>IF(NOT(ISBLANK(A1094)),VLOOKUP(A1094,'BBT3'!A:F,2,0),"")</f>
        <v/>
      </c>
      <c r="C1094" t="str">
        <f>IF(NOT(ISBLANK(A1094)),VLOOKUP(A1094,'BBT3'!A:F,3,0),"")</f>
        <v/>
      </c>
      <c r="D1094" s="5" t="str">
        <f>IF(NOT(ISBLANK(A1094)),VLOOKUP(A1094,'BBT3'!A:F,4,1),"")</f>
        <v/>
      </c>
      <c r="E1094" t="str">
        <f>IF(NOT(ISBLANK(A1094)),VLOOKUP(A1094,'BBT3'!A:F,5,0),"")</f>
        <v/>
      </c>
      <c r="F1094" t="str">
        <f>IF(NOT(ISBLANK(A1094)),VLOOKUP(A1094,'BBT3'!A:F,6,0),"")</f>
        <v/>
      </c>
      <c r="G1094" t="str">
        <f t="shared" si="164"/>
        <v/>
      </c>
      <c r="H1094" t="str">
        <f>IF(NOT(ISBLANK(A1094)),VLOOKUP(A1094,'Close - PriceSaver'!A:J,5,0),"")</f>
        <v/>
      </c>
      <c r="I1094" s="4" t="str" cm="1">
        <f t="array" ref="I1094">IF(NOT(ISBLANK(A1094)),((_xlfn.XLOOKUP(1,(_bbt3[[#All],[ID]]=A1094)*(_bbt3[[#All],[METRIC_NAME]]="YLD_YTM_ASK"),_bbt3[[#All],[METRIC_VALUE]])*0.5)+(_xlfn.XLOOKUP(1,(_bbt3[[#All],[ID]]=A1094)*(_bbt3[[#All],[METRIC_NAME]]="YLD_YTM_BID"),_bbt3[[#All],[METRIC_VALUE]])*0.5))/100,"")</f>
        <v/>
      </c>
      <c r="J1094">
        <f>IF(ISNA(VLOOKUP(A1094,'CloseDL - PriceSaverBBT3'!A:E,5,0)),0,VLOOKUP(A1094,'CloseDL - PriceSaverBBT3'!A:E,5,0))</f>
        <v>0</v>
      </c>
      <c r="K1094" s="7" t="str">
        <f t="shared" si="165"/>
        <v/>
      </c>
      <c r="L1094" s="20">
        <f>IF(Close[[#This Row],[CreatedBy]]="MARINER\SilverAdm",1,0)</f>
        <v>1</v>
      </c>
      <c r="M1094" t="str">
        <f>IF(NOT(ISBLANK(A1094)),VLOOKUP(A1094,'Close - PriceSaver'!A:J,6,0),"")</f>
        <v/>
      </c>
      <c r="Q1094" t="e">
        <f t="shared" si="157"/>
        <v>#N/A</v>
      </c>
      <c r="R1094" t="e">
        <f t="shared" si="158"/>
        <v>#N/A</v>
      </c>
      <c r="S1094" t="e">
        <f t="shared" si="159"/>
        <v>#N/A</v>
      </c>
      <c r="T1094" s="15" t="e">
        <f t="shared" si="161"/>
        <v>#N/A</v>
      </c>
      <c r="U1094" s="18" t="e">
        <f t="shared" si="162"/>
        <v>#N/A</v>
      </c>
      <c r="V1094" s="14" t="e">
        <f t="shared" si="160"/>
        <v>#N/A</v>
      </c>
      <c r="W1094" s="19" t="e">
        <f t="shared" si="163"/>
        <v>#N/A</v>
      </c>
      <c r="X1094" t="e">
        <f>VLOOKUP(P1094,Close[[ID]:[CreatedBy]],8,0)</f>
        <v>#N/A</v>
      </c>
    </row>
    <row r="1095" spans="2:24" x14ac:dyDescent="0.35">
      <c r="B1095" t="str">
        <f>IF(NOT(ISBLANK(A1095)),VLOOKUP(A1095,'BBT3'!A:F,2,0),"")</f>
        <v/>
      </c>
      <c r="C1095" t="str">
        <f>IF(NOT(ISBLANK(A1095)),VLOOKUP(A1095,'BBT3'!A:F,3,0),"")</f>
        <v/>
      </c>
      <c r="D1095" s="5" t="str">
        <f>IF(NOT(ISBLANK(A1095)),VLOOKUP(A1095,'BBT3'!A:F,4,1),"")</f>
        <v/>
      </c>
      <c r="E1095" t="str">
        <f>IF(NOT(ISBLANK(A1095)),VLOOKUP(A1095,'BBT3'!A:F,5,0),"")</f>
        <v/>
      </c>
      <c r="F1095" t="str">
        <f>IF(NOT(ISBLANK(A1095)),VLOOKUP(A1095,'BBT3'!A:F,6,0),"")</f>
        <v/>
      </c>
      <c r="G1095" t="str">
        <f t="shared" si="164"/>
        <v/>
      </c>
      <c r="H1095" t="str">
        <f>IF(NOT(ISBLANK(A1095)),VLOOKUP(A1095,'Close - PriceSaver'!A:J,5,0),"")</f>
        <v/>
      </c>
      <c r="I1095" s="4" t="str" cm="1">
        <f t="array" ref="I1095">IF(NOT(ISBLANK(A1095)),((_xlfn.XLOOKUP(1,(_bbt3[[#All],[ID]]=A1095)*(_bbt3[[#All],[METRIC_NAME]]="YLD_YTM_ASK"),_bbt3[[#All],[METRIC_VALUE]])*0.5)+(_xlfn.XLOOKUP(1,(_bbt3[[#All],[ID]]=A1095)*(_bbt3[[#All],[METRIC_NAME]]="YLD_YTM_BID"),_bbt3[[#All],[METRIC_VALUE]])*0.5))/100,"")</f>
        <v/>
      </c>
      <c r="J1095">
        <f>IF(ISNA(VLOOKUP(A1095,'CloseDL - PriceSaverBBT3'!A:E,5,0)),0,VLOOKUP(A1095,'CloseDL - PriceSaverBBT3'!A:E,5,0))</f>
        <v>0</v>
      </c>
      <c r="K1095" s="7" t="str">
        <f t="shared" si="165"/>
        <v/>
      </c>
      <c r="L1095" s="20">
        <f>IF(Close[[#This Row],[CreatedBy]]="MARINER\SilverAdm",1,0)</f>
        <v>1</v>
      </c>
      <c r="M1095" t="str">
        <f>IF(NOT(ISBLANK(A1095)),VLOOKUP(A1095,'Close - PriceSaver'!A:J,6,0),"")</f>
        <v/>
      </c>
      <c r="Q1095" t="e">
        <f t="shared" si="157"/>
        <v>#N/A</v>
      </c>
      <c r="R1095" t="e">
        <f t="shared" si="158"/>
        <v>#N/A</v>
      </c>
      <c r="S1095" t="e">
        <f t="shared" si="159"/>
        <v>#N/A</v>
      </c>
      <c r="T1095" s="15" t="e">
        <f t="shared" si="161"/>
        <v>#N/A</v>
      </c>
      <c r="U1095" s="18" t="e">
        <f t="shared" si="162"/>
        <v>#N/A</v>
      </c>
      <c r="V1095" s="14" t="e">
        <f t="shared" si="160"/>
        <v>#N/A</v>
      </c>
      <c r="W1095" s="19" t="e">
        <f t="shared" si="163"/>
        <v>#N/A</v>
      </c>
      <c r="X1095" t="e">
        <f>VLOOKUP(P1095,Close[[ID]:[CreatedBy]],8,0)</f>
        <v>#N/A</v>
      </c>
    </row>
    <row r="1096" spans="2:24" x14ac:dyDescent="0.35">
      <c r="B1096" t="str">
        <f>IF(NOT(ISBLANK(A1096)),VLOOKUP(A1096,'BBT3'!A:F,2,0),"")</f>
        <v/>
      </c>
      <c r="C1096" t="str">
        <f>IF(NOT(ISBLANK(A1096)),VLOOKUP(A1096,'BBT3'!A:F,3,0),"")</f>
        <v/>
      </c>
      <c r="D1096" s="5" t="str">
        <f>IF(NOT(ISBLANK(A1096)),VLOOKUP(A1096,'BBT3'!A:F,4,1),"")</f>
        <v/>
      </c>
      <c r="E1096" t="str">
        <f>IF(NOT(ISBLANK(A1096)),VLOOKUP(A1096,'BBT3'!A:F,5,0),"")</f>
        <v/>
      </c>
      <c r="F1096" t="str">
        <f>IF(NOT(ISBLANK(A1096)),VLOOKUP(A1096,'BBT3'!A:F,6,0),"")</f>
        <v/>
      </c>
      <c r="G1096" t="str">
        <f t="shared" si="164"/>
        <v/>
      </c>
      <c r="H1096" t="str">
        <f>IF(NOT(ISBLANK(A1096)),VLOOKUP(A1096,'Close - PriceSaver'!A:J,5,0),"")</f>
        <v/>
      </c>
      <c r="I1096" s="4" t="str" cm="1">
        <f t="array" ref="I1096">IF(NOT(ISBLANK(A1096)),((_xlfn.XLOOKUP(1,(_bbt3[[#All],[ID]]=A1096)*(_bbt3[[#All],[METRIC_NAME]]="YLD_YTM_ASK"),_bbt3[[#All],[METRIC_VALUE]])*0.5)+(_xlfn.XLOOKUP(1,(_bbt3[[#All],[ID]]=A1096)*(_bbt3[[#All],[METRIC_NAME]]="YLD_YTM_BID"),_bbt3[[#All],[METRIC_VALUE]])*0.5))/100,"")</f>
        <v/>
      </c>
      <c r="J1096">
        <f>IF(ISNA(VLOOKUP(A1096,'CloseDL - PriceSaverBBT3'!A:E,5,0)),0,VLOOKUP(A1096,'CloseDL - PriceSaverBBT3'!A:E,5,0))</f>
        <v>0</v>
      </c>
      <c r="K1096" s="7" t="str">
        <f t="shared" si="165"/>
        <v/>
      </c>
      <c r="L1096" s="20">
        <f>IF(Close[[#This Row],[CreatedBy]]="MARINER\SilverAdm",1,0)</f>
        <v>1</v>
      </c>
      <c r="M1096" t="str">
        <f>IF(NOT(ISBLANK(A1096)),VLOOKUP(A1096,'Close - PriceSaver'!A:J,6,0),"")</f>
        <v/>
      </c>
      <c r="Q1096" t="e">
        <f t="shared" si="157"/>
        <v>#N/A</v>
      </c>
      <c r="R1096" t="e">
        <f t="shared" si="158"/>
        <v>#N/A</v>
      </c>
      <c r="S1096" t="e">
        <f t="shared" si="159"/>
        <v>#N/A</v>
      </c>
      <c r="T1096" s="15" t="e">
        <f t="shared" si="161"/>
        <v>#N/A</v>
      </c>
      <c r="U1096" s="18" t="e">
        <f t="shared" si="162"/>
        <v>#N/A</v>
      </c>
      <c r="V1096" s="14" t="e">
        <f t="shared" si="160"/>
        <v>#N/A</v>
      </c>
      <c r="W1096" s="19" t="e">
        <f t="shared" si="163"/>
        <v>#N/A</v>
      </c>
      <c r="X1096" t="e">
        <f>VLOOKUP(P1096,Close[[ID]:[CreatedBy]],8,0)</f>
        <v>#N/A</v>
      </c>
    </row>
    <row r="1097" spans="2:24" x14ac:dyDescent="0.35">
      <c r="B1097" t="str">
        <f>IF(NOT(ISBLANK(A1097)),VLOOKUP(A1097,'BBT3'!A:F,2,0),"")</f>
        <v/>
      </c>
      <c r="C1097" t="str">
        <f>IF(NOT(ISBLANK(A1097)),VLOOKUP(A1097,'BBT3'!A:F,3,0),"")</f>
        <v/>
      </c>
      <c r="D1097" s="5" t="str">
        <f>IF(NOT(ISBLANK(A1097)),VLOOKUP(A1097,'BBT3'!A:F,4,1),"")</f>
        <v/>
      </c>
      <c r="E1097" t="str">
        <f>IF(NOT(ISBLANK(A1097)),VLOOKUP(A1097,'BBT3'!A:F,5,0),"")</f>
        <v/>
      </c>
      <c r="F1097" t="str">
        <f>IF(NOT(ISBLANK(A1097)),VLOOKUP(A1097,'BBT3'!A:F,6,0),"")</f>
        <v/>
      </c>
      <c r="G1097" t="str">
        <f t="shared" si="164"/>
        <v/>
      </c>
      <c r="H1097" t="str">
        <f>IF(NOT(ISBLANK(A1097)),VLOOKUP(A1097,'Close - PriceSaver'!A:J,5,0),"")</f>
        <v/>
      </c>
      <c r="I1097" s="4" t="str" cm="1">
        <f t="array" ref="I1097">IF(NOT(ISBLANK(A1097)),((_xlfn.XLOOKUP(1,(_bbt3[[#All],[ID]]=A1097)*(_bbt3[[#All],[METRIC_NAME]]="YLD_YTM_ASK"),_bbt3[[#All],[METRIC_VALUE]])*0.5)+(_xlfn.XLOOKUP(1,(_bbt3[[#All],[ID]]=A1097)*(_bbt3[[#All],[METRIC_NAME]]="YLD_YTM_BID"),_bbt3[[#All],[METRIC_VALUE]])*0.5))/100,"")</f>
        <v/>
      </c>
      <c r="J1097">
        <f>IF(ISNA(VLOOKUP(A1097,'CloseDL - PriceSaverBBT3'!A:E,5,0)),0,VLOOKUP(A1097,'CloseDL - PriceSaverBBT3'!A:E,5,0))</f>
        <v>0</v>
      </c>
      <c r="K1097" s="7" t="str">
        <f t="shared" si="165"/>
        <v/>
      </c>
      <c r="L1097" s="20">
        <f>IF(Close[[#This Row],[CreatedBy]]="MARINER\SilverAdm",1,0)</f>
        <v>1</v>
      </c>
      <c r="M1097" t="str">
        <f>IF(NOT(ISBLANK(A1097)),VLOOKUP(A1097,'Close - PriceSaver'!A:J,6,0),"")</f>
        <v/>
      </c>
      <c r="Q1097" t="e">
        <f t="shared" si="157"/>
        <v>#N/A</v>
      </c>
      <c r="R1097" t="e">
        <f t="shared" si="158"/>
        <v>#N/A</v>
      </c>
      <c r="S1097" t="e">
        <f t="shared" si="159"/>
        <v>#N/A</v>
      </c>
      <c r="T1097" s="15" t="e">
        <f t="shared" si="161"/>
        <v>#N/A</v>
      </c>
      <c r="U1097" s="18" t="e">
        <f t="shared" si="162"/>
        <v>#N/A</v>
      </c>
      <c r="V1097" s="14" t="e">
        <f t="shared" si="160"/>
        <v>#N/A</v>
      </c>
      <c r="W1097" s="19" t="e">
        <f t="shared" si="163"/>
        <v>#N/A</v>
      </c>
      <c r="X1097" t="e">
        <f>VLOOKUP(P1097,Close[[ID]:[CreatedBy]],8,0)</f>
        <v>#N/A</v>
      </c>
    </row>
    <row r="1098" spans="2:24" x14ac:dyDescent="0.35">
      <c r="B1098" t="str">
        <f>IF(NOT(ISBLANK(A1098)),VLOOKUP(A1098,'BBT3'!A:F,2,0),"")</f>
        <v/>
      </c>
      <c r="C1098" t="str">
        <f>IF(NOT(ISBLANK(A1098)),VLOOKUP(A1098,'BBT3'!A:F,3,0),"")</f>
        <v/>
      </c>
      <c r="D1098" s="5" t="str">
        <f>IF(NOT(ISBLANK(A1098)),VLOOKUP(A1098,'BBT3'!A:F,4,1),"")</f>
        <v/>
      </c>
      <c r="E1098" t="str">
        <f>IF(NOT(ISBLANK(A1098)),VLOOKUP(A1098,'BBT3'!A:F,5,0),"")</f>
        <v/>
      </c>
      <c r="F1098" t="str">
        <f>IF(NOT(ISBLANK(A1098)),VLOOKUP(A1098,'BBT3'!A:F,6,0),"")</f>
        <v/>
      </c>
      <c r="G1098" t="str">
        <f t="shared" si="164"/>
        <v/>
      </c>
      <c r="H1098" t="str">
        <f>IF(NOT(ISBLANK(A1098)),VLOOKUP(A1098,'Close - PriceSaver'!A:J,5,0),"")</f>
        <v/>
      </c>
      <c r="I1098" s="4" t="str" cm="1">
        <f t="array" ref="I1098">IF(NOT(ISBLANK(A1098)),((_xlfn.XLOOKUP(1,(_bbt3[[#All],[ID]]=A1098)*(_bbt3[[#All],[METRIC_NAME]]="YLD_YTM_ASK"),_bbt3[[#All],[METRIC_VALUE]])*0.5)+(_xlfn.XLOOKUP(1,(_bbt3[[#All],[ID]]=A1098)*(_bbt3[[#All],[METRIC_NAME]]="YLD_YTM_BID"),_bbt3[[#All],[METRIC_VALUE]])*0.5))/100,"")</f>
        <v/>
      </c>
      <c r="J1098">
        <f>IF(ISNA(VLOOKUP(A1098,'CloseDL - PriceSaverBBT3'!A:E,5,0)),0,VLOOKUP(A1098,'CloseDL - PriceSaverBBT3'!A:E,5,0))</f>
        <v>0</v>
      </c>
      <c r="K1098" s="7" t="str">
        <f t="shared" si="165"/>
        <v/>
      </c>
      <c r="L1098" s="20">
        <f>IF(Close[[#This Row],[CreatedBy]]="MARINER\SilverAdm",1,0)</f>
        <v>1</v>
      </c>
      <c r="M1098" t="str">
        <f>IF(NOT(ISBLANK(A1098)),VLOOKUP(A1098,'Close - PriceSaver'!A:J,6,0),"")</f>
        <v/>
      </c>
      <c r="Q1098" t="e">
        <f t="shared" si="157"/>
        <v>#N/A</v>
      </c>
      <c r="R1098" t="e">
        <f t="shared" si="158"/>
        <v>#N/A</v>
      </c>
      <c r="S1098" t="e">
        <f t="shared" si="159"/>
        <v>#N/A</v>
      </c>
      <c r="T1098" s="15" t="e">
        <f t="shared" si="161"/>
        <v>#N/A</v>
      </c>
      <c r="U1098" s="18" t="e">
        <f t="shared" si="162"/>
        <v>#N/A</v>
      </c>
      <c r="V1098" s="14" t="e">
        <f t="shared" si="160"/>
        <v>#N/A</v>
      </c>
      <c r="W1098" s="19" t="e">
        <f t="shared" si="163"/>
        <v>#N/A</v>
      </c>
      <c r="X1098" t="e">
        <f>VLOOKUP(P1098,Close[[ID]:[CreatedBy]],8,0)</f>
        <v>#N/A</v>
      </c>
    </row>
    <row r="1099" spans="2:24" x14ac:dyDescent="0.35">
      <c r="B1099" t="str">
        <f>IF(NOT(ISBLANK(A1099)),VLOOKUP(A1099,'BBT3'!A:F,2,0),"")</f>
        <v/>
      </c>
      <c r="C1099" t="str">
        <f>IF(NOT(ISBLANK(A1099)),VLOOKUP(A1099,'BBT3'!A:F,3,0),"")</f>
        <v/>
      </c>
      <c r="D1099" s="5" t="str">
        <f>IF(NOT(ISBLANK(A1099)),VLOOKUP(A1099,'BBT3'!A:F,4,1),"")</f>
        <v/>
      </c>
      <c r="E1099" t="str">
        <f>IF(NOT(ISBLANK(A1099)),VLOOKUP(A1099,'BBT3'!A:F,5,0),"")</f>
        <v/>
      </c>
      <c r="F1099" t="str">
        <f>IF(NOT(ISBLANK(A1099)),VLOOKUP(A1099,'BBT3'!A:F,6,0),"")</f>
        <v/>
      </c>
      <c r="G1099" t="str">
        <f t="shared" si="164"/>
        <v/>
      </c>
      <c r="H1099" t="str">
        <f>IF(NOT(ISBLANK(A1099)),VLOOKUP(A1099,'Close - PriceSaver'!A:J,5,0),"")</f>
        <v/>
      </c>
      <c r="I1099" s="4" t="str" cm="1">
        <f t="array" ref="I1099">IF(NOT(ISBLANK(A1099)),((_xlfn.XLOOKUP(1,(_bbt3[[#All],[ID]]=A1099)*(_bbt3[[#All],[METRIC_NAME]]="YLD_YTM_ASK"),_bbt3[[#All],[METRIC_VALUE]])*0.5)+(_xlfn.XLOOKUP(1,(_bbt3[[#All],[ID]]=A1099)*(_bbt3[[#All],[METRIC_NAME]]="YLD_YTM_BID"),_bbt3[[#All],[METRIC_VALUE]])*0.5))/100,"")</f>
        <v/>
      </c>
      <c r="J1099">
        <f>IF(ISNA(VLOOKUP(A1099,'CloseDL - PriceSaverBBT3'!A:E,5,0)),0,VLOOKUP(A1099,'CloseDL - PriceSaverBBT3'!A:E,5,0))</f>
        <v>0</v>
      </c>
      <c r="K1099" s="7" t="str">
        <f t="shared" si="165"/>
        <v/>
      </c>
      <c r="L1099" s="20">
        <f>IF(Close[[#This Row],[CreatedBy]]="MARINER\SilverAdm",1,0)</f>
        <v>1</v>
      </c>
      <c r="M1099" t="str">
        <f>IF(NOT(ISBLANK(A1099)),VLOOKUP(A1099,'Close - PriceSaver'!A:J,6,0),"")</f>
        <v/>
      </c>
      <c r="Q1099" t="e">
        <f t="shared" ref="Q1099:Q1162" si="166">VLOOKUP(P1099,A:C,3,0)</f>
        <v>#N/A</v>
      </c>
      <c r="R1099" t="e">
        <f t="shared" si="158"/>
        <v>#N/A</v>
      </c>
      <c r="S1099" t="e">
        <f t="shared" si="159"/>
        <v>#N/A</v>
      </c>
      <c r="T1099" s="15" t="e">
        <f t="shared" si="161"/>
        <v>#N/A</v>
      </c>
      <c r="U1099" s="18" t="e">
        <f t="shared" si="162"/>
        <v>#N/A</v>
      </c>
      <c r="V1099" s="14" t="e">
        <f t="shared" si="160"/>
        <v>#N/A</v>
      </c>
      <c r="W1099" s="19" t="e">
        <f t="shared" si="163"/>
        <v>#N/A</v>
      </c>
      <c r="X1099" t="e">
        <f>VLOOKUP(P1099,Close[[ID]:[CreatedBy]],8,0)</f>
        <v>#N/A</v>
      </c>
    </row>
    <row r="1100" spans="2:24" x14ac:dyDescent="0.35">
      <c r="B1100" t="str">
        <f>IF(NOT(ISBLANK(A1100)),VLOOKUP(A1100,'BBT3'!A:F,2,0),"")</f>
        <v/>
      </c>
      <c r="C1100" t="str">
        <f>IF(NOT(ISBLANK(A1100)),VLOOKUP(A1100,'BBT3'!A:F,3,0),"")</f>
        <v/>
      </c>
      <c r="D1100" s="5" t="str">
        <f>IF(NOT(ISBLANK(A1100)),VLOOKUP(A1100,'BBT3'!A:F,4,1),"")</f>
        <v/>
      </c>
      <c r="E1100" t="str">
        <f>IF(NOT(ISBLANK(A1100)),VLOOKUP(A1100,'BBT3'!A:F,5,0),"")</f>
        <v/>
      </c>
      <c r="F1100" t="str">
        <f>IF(NOT(ISBLANK(A1100)),VLOOKUP(A1100,'BBT3'!A:F,6,0),"")</f>
        <v/>
      </c>
      <c r="G1100" t="str">
        <f t="shared" si="164"/>
        <v/>
      </c>
      <c r="H1100" t="str">
        <f>IF(NOT(ISBLANK(A1100)),VLOOKUP(A1100,'Close - PriceSaver'!A:J,5,0),"")</f>
        <v/>
      </c>
      <c r="I1100" s="4" t="str" cm="1">
        <f t="array" ref="I1100">IF(NOT(ISBLANK(A1100)),((_xlfn.XLOOKUP(1,(_bbt3[[#All],[ID]]=A1100)*(_bbt3[[#All],[METRIC_NAME]]="YLD_YTM_ASK"),_bbt3[[#All],[METRIC_VALUE]])*0.5)+(_xlfn.XLOOKUP(1,(_bbt3[[#All],[ID]]=A1100)*(_bbt3[[#All],[METRIC_NAME]]="YLD_YTM_BID"),_bbt3[[#All],[METRIC_VALUE]])*0.5))/100,"")</f>
        <v/>
      </c>
      <c r="J1100">
        <f>IF(ISNA(VLOOKUP(A1100,'CloseDL - PriceSaverBBT3'!A:E,5,0)),0,VLOOKUP(A1100,'CloseDL - PriceSaverBBT3'!A:E,5,0))</f>
        <v>0</v>
      </c>
      <c r="K1100" s="7" t="str">
        <f t="shared" si="165"/>
        <v/>
      </c>
      <c r="L1100" s="20">
        <f>IF(Close[[#This Row],[CreatedBy]]="MARINER\SilverAdm",1,0)</f>
        <v>1</v>
      </c>
      <c r="M1100" t="str">
        <f>IF(NOT(ISBLANK(A1100)),VLOOKUP(A1100,'Close - PriceSaver'!A:J,6,0),"")</f>
        <v/>
      </c>
      <c r="Q1100" t="e">
        <f t="shared" si="166"/>
        <v>#N/A</v>
      </c>
      <c r="R1100" t="e">
        <f t="shared" si="158"/>
        <v>#N/A</v>
      </c>
      <c r="S1100" t="e">
        <f t="shared" si="159"/>
        <v>#N/A</v>
      </c>
      <c r="T1100" s="15" t="e">
        <f t="shared" si="161"/>
        <v>#N/A</v>
      </c>
      <c r="U1100" s="18" t="e">
        <f t="shared" si="162"/>
        <v>#N/A</v>
      </c>
      <c r="V1100" s="14" t="e">
        <f t="shared" si="160"/>
        <v>#N/A</v>
      </c>
      <c r="W1100" s="19" t="e">
        <f t="shared" si="163"/>
        <v>#N/A</v>
      </c>
      <c r="X1100" t="e">
        <f>VLOOKUP(P1100,Close[[ID]:[CreatedBy]],8,0)</f>
        <v>#N/A</v>
      </c>
    </row>
    <row r="1101" spans="2:24" x14ac:dyDescent="0.35">
      <c r="B1101" t="str">
        <f>IF(NOT(ISBLANK(A1101)),VLOOKUP(A1101,'BBT3'!A:F,2,0),"")</f>
        <v/>
      </c>
      <c r="C1101" t="str">
        <f>IF(NOT(ISBLANK(A1101)),VLOOKUP(A1101,'BBT3'!A:F,3,0),"")</f>
        <v/>
      </c>
      <c r="D1101" s="5" t="str">
        <f>IF(NOT(ISBLANK(A1101)),VLOOKUP(A1101,'BBT3'!A:F,4,1),"")</f>
        <v/>
      </c>
      <c r="E1101" t="str">
        <f>IF(NOT(ISBLANK(A1101)),VLOOKUP(A1101,'BBT3'!A:F,5,0),"")</f>
        <v/>
      </c>
      <c r="F1101" t="str">
        <f>IF(NOT(ISBLANK(A1101)),VLOOKUP(A1101,'BBT3'!A:F,6,0),"")</f>
        <v/>
      </c>
      <c r="G1101" t="str">
        <f t="shared" si="164"/>
        <v/>
      </c>
      <c r="H1101" t="str">
        <f>IF(NOT(ISBLANK(A1101)),VLOOKUP(A1101,'Close - PriceSaver'!A:J,5,0),"")</f>
        <v/>
      </c>
      <c r="I1101" s="4" t="str" cm="1">
        <f t="array" ref="I1101">IF(NOT(ISBLANK(A1101)),((_xlfn.XLOOKUP(1,(_bbt3[[#All],[ID]]=A1101)*(_bbt3[[#All],[METRIC_NAME]]="YLD_YTM_ASK"),_bbt3[[#All],[METRIC_VALUE]])*0.5)+(_xlfn.XLOOKUP(1,(_bbt3[[#All],[ID]]=A1101)*(_bbt3[[#All],[METRIC_NAME]]="YLD_YTM_BID"),_bbt3[[#All],[METRIC_VALUE]])*0.5))/100,"")</f>
        <v/>
      </c>
      <c r="J1101">
        <f>IF(ISNA(VLOOKUP(A1101,'CloseDL - PriceSaverBBT3'!A:E,5,0)),0,VLOOKUP(A1101,'CloseDL - PriceSaverBBT3'!A:E,5,0))</f>
        <v>0</v>
      </c>
      <c r="K1101" s="7" t="str">
        <f t="shared" si="165"/>
        <v/>
      </c>
      <c r="L1101" s="20">
        <f>IF(Close[[#This Row],[CreatedBy]]="MARINER\SilverAdm",1,0)</f>
        <v>1</v>
      </c>
      <c r="M1101" t="str">
        <f>IF(NOT(ISBLANK(A1101)),VLOOKUP(A1101,'Close - PriceSaver'!A:J,6,0),"")</f>
        <v/>
      </c>
      <c r="Q1101" t="e">
        <f t="shared" si="166"/>
        <v>#N/A</v>
      </c>
      <c r="R1101" t="e">
        <f t="shared" ref="R1101:R1164" si="167">VLOOKUP(P1101,A:B,2,0)</f>
        <v>#N/A</v>
      </c>
      <c r="S1101" t="e">
        <f t="shared" ref="S1101:S1164" si="168">VLOOKUP(P1101,A:E,4,0)</f>
        <v>#N/A</v>
      </c>
      <c r="T1101" s="15" t="e">
        <f t="shared" si="161"/>
        <v>#N/A</v>
      </c>
      <c r="U1101" s="18" t="e">
        <f t="shared" si="162"/>
        <v>#N/A</v>
      </c>
      <c r="V1101" s="14" t="e">
        <f t="shared" si="160"/>
        <v>#N/A</v>
      </c>
      <c r="W1101" s="19" t="e">
        <f t="shared" si="163"/>
        <v>#N/A</v>
      </c>
      <c r="X1101" t="e">
        <f>VLOOKUP(P1101,Close[[ID]:[CreatedBy]],8,0)</f>
        <v>#N/A</v>
      </c>
    </row>
    <row r="1102" spans="2:24" x14ac:dyDescent="0.35">
      <c r="B1102" t="str">
        <f>IF(NOT(ISBLANK(A1102)),VLOOKUP(A1102,'BBT3'!A:F,2,0),"")</f>
        <v/>
      </c>
      <c r="C1102" t="str">
        <f>IF(NOT(ISBLANK(A1102)),VLOOKUP(A1102,'BBT3'!A:F,3,0),"")</f>
        <v/>
      </c>
      <c r="D1102" s="5" t="str">
        <f>IF(NOT(ISBLANK(A1102)),VLOOKUP(A1102,'BBT3'!A:F,4,1),"")</f>
        <v/>
      </c>
      <c r="E1102" t="str">
        <f>IF(NOT(ISBLANK(A1102)),VLOOKUP(A1102,'BBT3'!A:F,5,0),"")</f>
        <v/>
      </c>
      <c r="F1102" t="str">
        <f>IF(NOT(ISBLANK(A1102)),VLOOKUP(A1102,'BBT3'!A:F,6,0),"")</f>
        <v/>
      </c>
      <c r="G1102" t="str">
        <f t="shared" si="164"/>
        <v/>
      </c>
      <c r="H1102" t="str">
        <f>IF(NOT(ISBLANK(A1102)),VLOOKUP(A1102,'Close - PriceSaver'!A:J,5,0),"")</f>
        <v/>
      </c>
      <c r="I1102" s="4" t="str" cm="1">
        <f t="array" ref="I1102">IF(NOT(ISBLANK(A1102)),((_xlfn.XLOOKUP(1,(_bbt3[[#All],[ID]]=A1102)*(_bbt3[[#All],[METRIC_NAME]]="YLD_YTM_ASK"),_bbt3[[#All],[METRIC_VALUE]])*0.5)+(_xlfn.XLOOKUP(1,(_bbt3[[#All],[ID]]=A1102)*(_bbt3[[#All],[METRIC_NAME]]="YLD_YTM_BID"),_bbt3[[#All],[METRIC_VALUE]])*0.5))/100,"")</f>
        <v/>
      </c>
      <c r="J1102">
        <f>IF(ISNA(VLOOKUP(A1102,'CloseDL - PriceSaverBBT3'!A:E,5,0)),0,VLOOKUP(A1102,'CloseDL - PriceSaverBBT3'!A:E,5,0))</f>
        <v>0</v>
      </c>
      <c r="K1102" s="7" t="str">
        <f t="shared" si="165"/>
        <v/>
      </c>
      <c r="L1102" s="20">
        <f>IF(Close[[#This Row],[CreatedBy]]="MARINER\SilverAdm",1,0)</f>
        <v>1</v>
      </c>
      <c r="M1102" t="str">
        <f>IF(NOT(ISBLANK(A1102)),VLOOKUP(A1102,'Close - PriceSaver'!A:J,6,0),"")</f>
        <v/>
      </c>
      <c r="Q1102" t="e">
        <f t="shared" si="166"/>
        <v>#N/A</v>
      </c>
      <c r="R1102" t="e">
        <f t="shared" si="167"/>
        <v>#N/A</v>
      </c>
      <c r="S1102" t="e">
        <f t="shared" si="168"/>
        <v>#N/A</v>
      </c>
      <c r="T1102" s="15" t="e">
        <f t="shared" si="161"/>
        <v>#N/A</v>
      </c>
      <c r="U1102" s="18" t="e">
        <f t="shared" si="162"/>
        <v>#N/A</v>
      </c>
      <c r="V1102" s="14" t="e">
        <f t="shared" ref="V1102:V1165" si="169">VLOOKUP(Q1102,A:K,10,0)</f>
        <v>#N/A</v>
      </c>
      <c r="W1102" s="19" t="e">
        <f t="shared" si="163"/>
        <v>#N/A</v>
      </c>
      <c r="X1102" t="e">
        <f>VLOOKUP(P1102,Close[[ID]:[CreatedBy]],8,0)</f>
        <v>#N/A</v>
      </c>
    </row>
    <row r="1103" spans="2:24" x14ac:dyDescent="0.35">
      <c r="B1103" t="str">
        <f>IF(NOT(ISBLANK(A1103)),VLOOKUP(A1103,'BBT3'!A:F,2,0),"")</f>
        <v/>
      </c>
      <c r="C1103" t="str">
        <f>IF(NOT(ISBLANK(A1103)),VLOOKUP(A1103,'BBT3'!A:F,3,0),"")</f>
        <v/>
      </c>
      <c r="D1103" s="5" t="str">
        <f>IF(NOT(ISBLANK(A1103)),VLOOKUP(A1103,'BBT3'!A:F,4,1),"")</f>
        <v/>
      </c>
      <c r="E1103" t="str">
        <f>IF(NOT(ISBLANK(A1103)),VLOOKUP(A1103,'BBT3'!A:F,5,0),"")</f>
        <v/>
      </c>
      <c r="F1103" t="str">
        <f>IF(NOT(ISBLANK(A1103)),VLOOKUP(A1103,'BBT3'!A:F,6,0),"")</f>
        <v/>
      </c>
      <c r="G1103" t="str">
        <f t="shared" si="164"/>
        <v/>
      </c>
      <c r="H1103" t="str">
        <f>IF(NOT(ISBLANK(A1103)),VLOOKUP(A1103,'Close - PriceSaver'!A:J,5,0),"")</f>
        <v/>
      </c>
      <c r="I1103" s="4" t="str" cm="1">
        <f t="array" ref="I1103">IF(NOT(ISBLANK(A1103)),((_xlfn.XLOOKUP(1,(_bbt3[[#All],[ID]]=A1103)*(_bbt3[[#All],[METRIC_NAME]]="YLD_YTM_ASK"),_bbt3[[#All],[METRIC_VALUE]])*0.5)+(_xlfn.XLOOKUP(1,(_bbt3[[#All],[ID]]=A1103)*(_bbt3[[#All],[METRIC_NAME]]="YLD_YTM_BID"),_bbt3[[#All],[METRIC_VALUE]])*0.5))/100,"")</f>
        <v/>
      </c>
      <c r="J1103">
        <f>IF(ISNA(VLOOKUP(A1103,'CloseDL - PriceSaverBBT3'!A:E,5,0)),0,VLOOKUP(A1103,'CloseDL - PriceSaverBBT3'!A:E,5,0))</f>
        <v>0</v>
      </c>
      <c r="K1103" s="7" t="str">
        <f t="shared" si="165"/>
        <v/>
      </c>
      <c r="L1103" s="20">
        <f>IF(Close[[#This Row],[CreatedBy]]="MARINER\SilverAdm",1,0)</f>
        <v>1</v>
      </c>
      <c r="M1103" t="str">
        <f>IF(NOT(ISBLANK(A1103)),VLOOKUP(A1103,'Close - PriceSaver'!A:J,6,0),"")</f>
        <v/>
      </c>
      <c r="Q1103" t="e">
        <f t="shared" si="166"/>
        <v>#N/A</v>
      </c>
      <c r="R1103" t="e">
        <f t="shared" si="167"/>
        <v>#N/A</v>
      </c>
      <c r="S1103" t="e">
        <f t="shared" si="168"/>
        <v>#N/A</v>
      </c>
      <c r="T1103" s="15" t="e">
        <f t="shared" si="161"/>
        <v>#N/A</v>
      </c>
      <c r="U1103" s="18" t="e">
        <f t="shared" si="162"/>
        <v>#N/A</v>
      </c>
      <c r="V1103" s="14" t="e">
        <f t="shared" si="169"/>
        <v>#N/A</v>
      </c>
      <c r="W1103" s="19" t="e">
        <f t="shared" si="163"/>
        <v>#N/A</v>
      </c>
      <c r="X1103" t="e">
        <f>VLOOKUP(P1103,Close[[ID]:[CreatedBy]],8,0)</f>
        <v>#N/A</v>
      </c>
    </row>
    <row r="1104" spans="2:24" x14ac:dyDescent="0.35">
      <c r="B1104" t="str">
        <f>IF(NOT(ISBLANK(A1104)),VLOOKUP(A1104,'BBT3'!A:F,2,0),"")</f>
        <v/>
      </c>
      <c r="C1104" t="str">
        <f>IF(NOT(ISBLANK(A1104)),VLOOKUP(A1104,'BBT3'!A:F,3,0),"")</f>
        <v/>
      </c>
      <c r="D1104" s="5" t="str">
        <f>IF(NOT(ISBLANK(A1104)),VLOOKUP(A1104,'BBT3'!A:F,4,1),"")</f>
        <v/>
      </c>
      <c r="E1104" t="str">
        <f>IF(NOT(ISBLANK(A1104)),VLOOKUP(A1104,'BBT3'!A:F,5,0),"")</f>
        <v/>
      </c>
      <c r="F1104" t="str">
        <f>IF(NOT(ISBLANK(A1104)),VLOOKUP(A1104,'BBT3'!A:F,6,0),"")</f>
        <v/>
      </c>
      <c r="G1104" t="str">
        <f t="shared" si="164"/>
        <v/>
      </c>
      <c r="H1104" t="str">
        <f>IF(NOT(ISBLANK(A1104)),VLOOKUP(A1104,'Close - PriceSaver'!A:J,5,0),"")</f>
        <v/>
      </c>
      <c r="I1104" s="4" t="str" cm="1">
        <f t="array" ref="I1104">IF(NOT(ISBLANK(A1104)),((_xlfn.XLOOKUP(1,(_bbt3[[#All],[ID]]=A1104)*(_bbt3[[#All],[METRIC_NAME]]="YLD_YTM_ASK"),_bbt3[[#All],[METRIC_VALUE]])*0.5)+(_xlfn.XLOOKUP(1,(_bbt3[[#All],[ID]]=A1104)*(_bbt3[[#All],[METRIC_NAME]]="YLD_YTM_BID"),_bbt3[[#All],[METRIC_VALUE]])*0.5))/100,"")</f>
        <v/>
      </c>
      <c r="J1104">
        <f>IF(ISNA(VLOOKUP(A1104,'CloseDL - PriceSaverBBT3'!A:E,5,0)),0,VLOOKUP(A1104,'CloseDL - PriceSaverBBT3'!A:E,5,0))</f>
        <v>0</v>
      </c>
      <c r="K1104" s="7" t="str">
        <f t="shared" si="165"/>
        <v/>
      </c>
      <c r="L1104" s="20">
        <f>IF(Close[[#This Row],[CreatedBy]]="MARINER\SilverAdm",1,0)</f>
        <v>1</v>
      </c>
      <c r="M1104" t="str">
        <f>IF(NOT(ISBLANK(A1104)),VLOOKUP(A1104,'Close - PriceSaver'!A:J,6,0),"")</f>
        <v/>
      </c>
      <c r="Q1104" t="e">
        <f t="shared" si="166"/>
        <v>#N/A</v>
      </c>
      <c r="R1104" t="e">
        <f t="shared" si="167"/>
        <v>#N/A</v>
      </c>
      <c r="S1104" t="e">
        <f t="shared" si="168"/>
        <v>#N/A</v>
      </c>
      <c r="T1104" s="15" t="e">
        <f t="shared" si="161"/>
        <v>#N/A</v>
      </c>
      <c r="U1104" s="18" t="e">
        <f t="shared" si="162"/>
        <v>#N/A</v>
      </c>
      <c r="V1104" s="14" t="e">
        <f t="shared" si="169"/>
        <v>#N/A</v>
      </c>
      <c r="W1104" s="19" t="e">
        <f t="shared" si="163"/>
        <v>#N/A</v>
      </c>
      <c r="X1104" t="e">
        <f>VLOOKUP(P1104,Close[[ID]:[CreatedBy]],8,0)</f>
        <v>#N/A</v>
      </c>
    </row>
    <row r="1105" spans="2:24" x14ac:dyDescent="0.35">
      <c r="B1105" t="str">
        <f>IF(NOT(ISBLANK(A1105)),VLOOKUP(A1105,'BBT3'!A:F,2,0),"")</f>
        <v/>
      </c>
      <c r="C1105" t="str">
        <f>IF(NOT(ISBLANK(A1105)),VLOOKUP(A1105,'BBT3'!A:F,3,0),"")</f>
        <v/>
      </c>
      <c r="D1105" s="5" t="str">
        <f>IF(NOT(ISBLANK(A1105)),VLOOKUP(A1105,'BBT3'!A:F,4,1),"")</f>
        <v/>
      </c>
      <c r="E1105" t="str">
        <f>IF(NOT(ISBLANK(A1105)),VLOOKUP(A1105,'BBT3'!A:F,5,0),"")</f>
        <v/>
      </c>
      <c r="F1105" t="str">
        <f>IF(NOT(ISBLANK(A1105)),VLOOKUP(A1105,'BBT3'!A:F,6,0),"")</f>
        <v/>
      </c>
      <c r="G1105" t="str">
        <f t="shared" si="164"/>
        <v/>
      </c>
      <c r="H1105" t="str">
        <f>IF(NOT(ISBLANK(A1105)),VLOOKUP(A1105,'Close - PriceSaver'!A:J,5,0),"")</f>
        <v/>
      </c>
      <c r="I1105" s="4" t="str" cm="1">
        <f t="array" ref="I1105">IF(NOT(ISBLANK(A1105)),((_xlfn.XLOOKUP(1,(_bbt3[[#All],[ID]]=A1105)*(_bbt3[[#All],[METRIC_NAME]]="YLD_YTM_ASK"),_bbt3[[#All],[METRIC_VALUE]])*0.5)+(_xlfn.XLOOKUP(1,(_bbt3[[#All],[ID]]=A1105)*(_bbt3[[#All],[METRIC_NAME]]="YLD_YTM_BID"),_bbt3[[#All],[METRIC_VALUE]])*0.5))/100,"")</f>
        <v/>
      </c>
      <c r="J1105">
        <f>IF(ISNA(VLOOKUP(A1105,'CloseDL - PriceSaverBBT3'!A:E,5,0)),0,VLOOKUP(A1105,'CloseDL - PriceSaverBBT3'!A:E,5,0))</f>
        <v>0</v>
      </c>
      <c r="K1105" s="7" t="str">
        <f t="shared" si="165"/>
        <v/>
      </c>
      <c r="L1105" s="20">
        <f>IF(Close[[#This Row],[CreatedBy]]="MARINER\SilverAdm",1,0)</f>
        <v>1</v>
      </c>
      <c r="M1105" t="str">
        <f>IF(NOT(ISBLANK(A1105)),VLOOKUP(A1105,'Close - PriceSaver'!A:J,6,0),"")</f>
        <v/>
      </c>
      <c r="Q1105" t="e">
        <f t="shared" si="166"/>
        <v>#N/A</v>
      </c>
      <c r="R1105" t="e">
        <f t="shared" si="167"/>
        <v>#N/A</v>
      </c>
      <c r="S1105" t="e">
        <f t="shared" si="168"/>
        <v>#N/A</v>
      </c>
      <c r="T1105" s="15" t="e">
        <f t="shared" si="161"/>
        <v>#N/A</v>
      </c>
      <c r="U1105" s="18" t="e">
        <f t="shared" si="162"/>
        <v>#N/A</v>
      </c>
      <c r="V1105" s="14" t="e">
        <f t="shared" si="169"/>
        <v>#N/A</v>
      </c>
      <c r="W1105" s="19" t="e">
        <f t="shared" si="163"/>
        <v>#N/A</v>
      </c>
      <c r="X1105" t="e">
        <f>VLOOKUP(P1105,Close[[ID]:[CreatedBy]],8,0)</f>
        <v>#N/A</v>
      </c>
    </row>
    <row r="1106" spans="2:24" x14ac:dyDescent="0.35">
      <c r="B1106" t="str">
        <f>IF(NOT(ISBLANK(A1106)),VLOOKUP(A1106,'BBT3'!A:F,2,0),"")</f>
        <v/>
      </c>
      <c r="C1106" t="str">
        <f>IF(NOT(ISBLANK(A1106)),VLOOKUP(A1106,'BBT3'!A:F,3,0),"")</f>
        <v/>
      </c>
      <c r="D1106" s="5" t="str">
        <f>IF(NOT(ISBLANK(A1106)),VLOOKUP(A1106,'BBT3'!A:F,4,1),"")</f>
        <v/>
      </c>
      <c r="E1106" t="str">
        <f>IF(NOT(ISBLANK(A1106)),VLOOKUP(A1106,'BBT3'!A:F,5,0),"")</f>
        <v/>
      </c>
      <c r="F1106" t="str">
        <f>IF(NOT(ISBLANK(A1106)),VLOOKUP(A1106,'BBT3'!A:F,6,0),"")</f>
        <v/>
      </c>
      <c r="G1106" t="str">
        <f t="shared" si="164"/>
        <v/>
      </c>
      <c r="H1106" t="str">
        <f>IF(NOT(ISBLANK(A1106)),VLOOKUP(A1106,'Close - PriceSaver'!A:J,5,0),"")</f>
        <v/>
      </c>
      <c r="I1106" s="4" t="str" cm="1">
        <f t="array" ref="I1106">IF(NOT(ISBLANK(A1106)),((_xlfn.XLOOKUP(1,(_bbt3[[#All],[ID]]=A1106)*(_bbt3[[#All],[METRIC_NAME]]="YLD_YTM_ASK"),_bbt3[[#All],[METRIC_VALUE]])*0.5)+(_xlfn.XLOOKUP(1,(_bbt3[[#All],[ID]]=A1106)*(_bbt3[[#All],[METRIC_NAME]]="YLD_YTM_BID"),_bbt3[[#All],[METRIC_VALUE]])*0.5))/100,"")</f>
        <v/>
      </c>
      <c r="J1106">
        <f>IF(ISNA(VLOOKUP(A1106,'CloseDL - PriceSaverBBT3'!A:E,5,0)),0,VLOOKUP(A1106,'CloseDL - PriceSaverBBT3'!A:E,5,0))</f>
        <v>0</v>
      </c>
      <c r="K1106" s="7" t="str">
        <f t="shared" si="165"/>
        <v/>
      </c>
      <c r="L1106" s="20">
        <f>IF(Close[[#This Row],[CreatedBy]]="MARINER\SilverAdm",1,0)</f>
        <v>1</v>
      </c>
      <c r="M1106" t="str">
        <f>IF(NOT(ISBLANK(A1106)),VLOOKUP(A1106,'Close - PriceSaver'!A:J,6,0),"")</f>
        <v/>
      </c>
      <c r="Q1106" t="e">
        <f t="shared" si="166"/>
        <v>#N/A</v>
      </c>
      <c r="R1106" t="e">
        <f t="shared" si="167"/>
        <v>#N/A</v>
      </c>
      <c r="S1106" t="e">
        <f t="shared" si="168"/>
        <v>#N/A</v>
      </c>
      <c r="T1106" s="15" t="e">
        <f t="shared" si="161"/>
        <v>#N/A</v>
      </c>
      <c r="U1106" s="18" t="e">
        <f t="shared" si="162"/>
        <v>#N/A</v>
      </c>
      <c r="V1106" s="14" t="e">
        <f t="shared" si="169"/>
        <v>#N/A</v>
      </c>
      <c r="W1106" s="19" t="e">
        <f t="shared" si="163"/>
        <v>#N/A</v>
      </c>
      <c r="X1106" t="e">
        <f>VLOOKUP(P1106,Close[[ID]:[CreatedBy]],8,0)</f>
        <v>#N/A</v>
      </c>
    </row>
    <row r="1107" spans="2:24" x14ac:dyDescent="0.35">
      <c r="B1107" t="str">
        <f>IF(NOT(ISBLANK(A1107)),VLOOKUP(A1107,'BBT3'!A:F,2,0),"")</f>
        <v/>
      </c>
      <c r="C1107" t="str">
        <f>IF(NOT(ISBLANK(A1107)),VLOOKUP(A1107,'BBT3'!A:F,3,0),"")</f>
        <v/>
      </c>
      <c r="D1107" s="5" t="str">
        <f>IF(NOT(ISBLANK(A1107)),VLOOKUP(A1107,'BBT3'!A:F,4,1),"")</f>
        <v/>
      </c>
      <c r="E1107" t="str">
        <f>IF(NOT(ISBLANK(A1107)),VLOOKUP(A1107,'BBT3'!A:F,5,0),"")</f>
        <v/>
      </c>
      <c r="F1107" t="str">
        <f>IF(NOT(ISBLANK(A1107)),VLOOKUP(A1107,'BBT3'!A:F,6,0),"")</f>
        <v/>
      </c>
      <c r="G1107" t="str">
        <f t="shared" si="164"/>
        <v/>
      </c>
      <c r="H1107" t="str">
        <f>IF(NOT(ISBLANK(A1107)),VLOOKUP(A1107,'Close - PriceSaver'!A:J,5,0),"")</f>
        <v/>
      </c>
      <c r="I1107" s="4" t="str" cm="1">
        <f t="array" ref="I1107">IF(NOT(ISBLANK(A1107)),((_xlfn.XLOOKUP(1,(_bbt3[[#All],[ID]]=A1107)*(_bbt3[[#All],[METRIC_NAME]]="YLD_YTM_ASK"),_bbt3[[#All],[METRIC_VALUE]])*0.5)+(_xlfn.XLOOKUP(1,(_bbt3[[#All],[ID]]=A1107)*(_bbt3[[#All],[METRIC_NAME]]="YLD_YTM_BID"),_bbt3[[#All],[METRIC_VALUE]])*0.5))/100,"")</f>
        <v/>
      </c>
      <c r="J1107">
        <f>IF(ISNA(VLOOKUP(A1107,'CloseDL - PriceSaverBBT3'!A:E,5,0)),0,VLOOKUP(A1107,'CloseDL - PriceSaverBBT3'!A:E,5,0))</f>
        <v>0</v>
      </c>
      <c r="K1107" s="7" t="str">
        <f t="shared" si="165"/>
        <v/>
      </c>
      <c r="L1107" s="20">
        <f>IF(Close[[#This Row],[CreatedBy]]="MARINER\SilverAdm",1,0)</f>
        <v>1</v>
      </c>
      <c r="M1107" t="str">
        <f>IF(NOT(ISBLANK(A1107)),VLOOKUP(A1107,'Close - PriceSaver'!A:J,6,0),"")</f>
        <v/>
      </c>
      <c r="Q1107" t="e">
        <f t="shared" si="166"/>
        <v>#N/A</v>
      </c>
      <c r="R1107" t="e">
        <f t="shared" si="167"/>
        <v>#N/A</v>
      </c>
      <c r="S1107" t="e">
        <f t="shared" si="168"/>
        <v>#N/A</v>
      </c>
      <c r="T1107" s="15" t="e">
        <f t="shared" si="161"/>
        <v>#N/A</v>
      </c>
      <c r="U1107" s="18" t="e">
        <f t="shared" si="162"/>
        <v>#N/A</v>
      </c>
      <c r="V1107" s="14" t="e">
        <f t="shared" si="169"/>
        <v>#N/A</v>
      </c>
      <c r="W1107" s="19" t="e">
        <f t="shared" si="163"/>
        <v>#N/A</v>
      </c>
      <c r="X1107" t="e">
        <f>VLOOKUP(P1107,Close[[ID]:[CreatedBy]],8,0)</f>
        <v>#N/A</v>
      </c>
    </row>
    <row r="1108" spans="2:24" x14ac:dyDescent="0.35">
      <c r="B1108" t="str">
        <f>IF(NOT(ISBLANK(A1108)),VLOOKUP(A1108,'BBT3'!A:F,2,0),"")</f>
        <v/>
      </c>
      <c r="C1108" t="str">
        <f>IF(NOT(ISBLANK(A1108)),VLOOKUP(A1108,'BBT3'!A:F,3,0),"")</f>
        <v/>
      </c>
      <c r="D1108" s="5" t="str">
        <f>IF(NOT(ISBLANK(A1108)),VLOOKUP(A1108,'BBT3'!A:F,4,1),"")</f>
        <v/>
      </c>
      <c r="E1108" t="str">
        <f>IF(NOT(ISBLANK(A1108)),VLOOKUP(A1108,'BBT3'!A:F,5,0),"")</f>
        <v/>
      </c>
      <c r="F1108" t="str">
        <f>IF(NOT(ISBLANK(A1108)),VLOOKUP(A1108,'BBT3'!A:F,6,0),"")</f>
        <v/>
      </c>
      <c r="G1108" t="str">
        <f t="shared" si="164"/>
        <v/>
      </c>
      <c r="H1108" t="str">
        <f>IF(NOT(ISBLANK(A1108)),VLOOKUP(A1108,'Close - PriceSaver'!A:J,5,0),"")</f>
        <v/>
      </c>
      <c r="I1108" s="4" t="str" cm="1">
        <f t="array" ref="I1108">IF(NOT(ISBLANK(A1108)),((_xlfn.XLOOKUP(1,(_bbt3[[#All],[ID]]=A1108)*(_bbt3[[#All],[METRIC_NAME]]="YLD_YTM_ASK"),_bbt3[[#All],[METRIC_VALUE]])*0.5)+(_xlfn.XLOOKUP(1,(_bbt3[[#All],[ID]]=A1108)*(_bbt3[[#All],[METRIC_NAME]]="YLD_YTM_BID"),_bbt3[[#All],[METRIC_VALUE]])*0.5))/100,"")</f>
        <v/>
      </c>
      <c r="J1108">
        <f>IF(ISNA(VLOOKUP(A1108,'CloseDL - PriceSaverBBT3'!A:E,5,0)),0,VLOOKUP(A1108,'CloseDL - PriceSaverBBT3'!A:E,5,0))</f>
        <v>0</v>
      </c>
      <c r="K1108" s="7" t="str">
        <f t="shared" si="165"/>
        <v/>
      </c>
      <c r="L1108" s="20">
        <f>IF(Close[[#This Row],[CreatedBy]]="MARINER\SilverAdm",1,0)</f>
        <v>1</v>
      </c>
      <c r="M1108" t="str">
        <f>IF(NOT(ISBLANK(A1108)),VLOOKUP(A1108,'Close - PriceSaver'!A:J,6,0),"")</f>
        <v/>
      </c>
      <c r="Q1108" t="e">
        <f t="shared" si="166"/>
        <v>#N/A</v>
      </c>
      <c r="R1108" t="e">
        <f t="shared" si="167"/>
        <v>#N/A</v>
      </c>
      <c r="S1108" t="e">
        <f t="shared" si="168"/>
        <v>#N/A</v>
      </c>
      <c r="T1108" s="15" t="e">
        <f t="shared" ref="T1108:T1171" si="170">VLOOKUP(Q1108,A:K,5,0)</f>
        <v>#N/A</v>
      </c>
      <c r="U1108" s="18" t="e">
        <f t="shared" ref="U1108:U1171" si="171">VLOOKUP(Q1108,A:K,8,0)</f>
        <v>#N/A</v>
      </c>
      <c r="V1108" s="14" t="e">
        <f t="shared" si="169"/>
        <v>#N/A</v>
      </c>
      <c r="W1108" s="19" t="e">
        <f t="shared" ref="W1108:W1171" si="172">(V1108-U1108)*100</f>
        <v>#N/A</v>
      </c>
      <c r="X1108" t="e">
        <f>VLOOKUP(P1108,Close[[ID]:[CreatedBy]],8,0)</f>
        <v>#N/A</v>
      </c>
    </row>
    <row r="1109" spans="2:24" x14ac:dyDescent="0.35">
      <c r="B1109" t="str">
        <f>IF(NOT(ISBLANK(A1109)),VLOOKUP(A1109,'BBT3'!A:F,2,0),"")</f>
        <v/>
      </c>
      <c r="C1109" t="str">
        <f>IF(NOT(ISBLANK(A1109)),VLOOKUP(A1109,'BBT3'!A:F,3,0),"")</f>
        <v/>
      </c>
      <c r="D1109" s="5" t="str">
        <f>IF(NOT(ISBLANK(A1109)),VLOOKUP(A1109,'BBT3'!A:F,4,1),"")</f>
        <v/>
      </c>
      <c r="E1109" t="str">
        <f>IF(NOT(ISBLANK(A1109)),VLOOKUP(A1109,'BBT3'!A:F,5,0),"")</f>
        <v/>
      </c>
      <c r="F1109" t="str">
        <f>IF(NOT(ISBLANK(A1109)),VLOOKUP(A1109,'BBT3'!A:F,6,0),"")</f>
        <v/>
      </c>
      <c r="G1109" t="str">
        <f t="shared" si="164"/>
        <v/>
      </c>
      <c r="H1109" t="str">
        <f>IF(NOT(ISBLANK(A1109)),VLOOKUP(A1109,'Close - PriceSaver'!A:J,5,0),"")</f>
        <v/>
      </c>
      <c r="I1109" s="4" t="str" cm="1">
        <f t="array" ref="I1109">IF(NOT(ISBLANK(A1109)),((_xlfn.XLOOKUP(1,(_bbt3[[#All],[ID]]=A1109)*(_bbt3[[#All],[METRIC_NAME]]="YLD_YTM_ASK"),_bbt3[[#All],[METRIC_VALUE]])*0.5)+(_xlfn.XLOOKUP(1,(_bbt3[[#All],[ID]]=A1109)*(_bbt3[[#All],[METRIC_NAME]]="YLD_YTM_BID"),_bbt3[[#All],[METRIC_VALUE]])*0.5))/100,"")</f>
        <v/>
      </c>
      <c r="J1109">
        <f>IF(ISNA(VLOOKUP(A1109,'CloseDL - PriceSaverBBT3'!A:E,5,0)),0,VLOOKUP(A1109,'CloseDL - PriceSaverBBT3'!A:E,5,0))</f>
        <v>0</v>
      </c>
      <c r="K1109" s="7" t="str">
        <f t="shared" si="165"/>
        <v/>
      </c>
      <c r="L1109" s="20">
        <f>IF(Close[[#This Row],[CreatedBy]]="MARINER\SilverAdm",1,0)</f>
        <v>1</v>
      </c>
      <c r="M1109" t="str">
        <f>IF(NOT(ISBLANK(A1109)),VLOOKUP(A1109,'Close - PriceSaver'!A:J,6,0),"")</f>
        <v/>
      </c>
      <c r="Q1109" t="e">
        <f t="shared" si="166"/>
        <v>#N/A</v>
      </c>
      <c r="R1109" t="e">
        <f t="shared" si="167"/>
        <v>#N/A</v>
      </c>
      <c r="S1109" t="e">
        <f t="shared" si="168"/>
        <v>#N/A</v>
      </c>
      <c r="T1109" s="15" t="e">
        <f t="shared" si="170"/>
        <v>#N/A</v>
      </c>
      <c r="U1109" s="18" t="e">
        <f t="shared" si="171"/>
        <v>#N/A</v>
      </c>
      <c r="V1109" s="14" t="e">
        <f t="shared" si="169"/>
        <v>#N/A</v>
      </c>
      <c r="W1109" s="19" t="e">
        <f t="shared" si="172"/>
        <v>#N/A</v>
      </c>
      <c r="X1109" t="e">
        <f>VLOOKUP(P1109,Close[[ID]:[CreatedBy]],8,0)</f>
        <v>#N/A</v>
      </c>
    </row>
    <row r="1110" spans="2:24" x14ac:dyDescent="0.35">
      <c r="B1110" t="str">
        <f>IF(NOT(ISBLANK(A1110)),VLOOKUP(A1110,'BBT3'!A:F,2,0),"")</f>
        <v/>
      </c>
      <c r="C1110" t="str">
        <f>IF(NOT(ISBLANK(A1110)),VLOOKUP(A1110,'BBT3'!A:F,3,0),"")</f>
        <v/>
      </c>
      <c r="D1110" s="5" t="str">
        <f>IF(NOT(ISBLANK(A1110)),VLOOKUP(A1110,'BBT3'!A:F,4,1),"")</f>
        <v/>
      </c>
      <c r="E1110" t="str">
        <f>IF(NOT(ISBLANK(A1110)),VLOOKUP(A1110,'BBT3'!A:F,5,0),"")</f>
        <v/>
      </c>
      <c r="F1110" t="str">
        <f>IF(NOT(ISBLANK(A1110)),VLOOKUP(A1110,'BBT3'!A:F,6,0),"")</f>
        <v/>
      </c>
      <c r="G1110" t="str">
        <f t="shared" si="164"/>
        <v/>
      </c>
      <c r="H1110" t="str">
        <f>IF(NOT(ISBLANK(A1110)),VLOOKUP(A1110,'Close - PriceSaver'!A:J,5,0),"")</f>
        <v/>
      </c>
      <c r="I1110" s="4" t="str" cm="1">
        <f t="array" ref="I1110">IF(NOT(ISBLANK(A1110)),((_xlfn.XLOOKUP(1,(_bbt3[[#All],[ID]]=A1110)*(_bbt3[[#All],[METRIC_NAME]]="YLD_YTM_ASK"),_bbt3[[#All],[METRIC_VALUE]])*0.5)+(_xlfn.XLOOKUP(1,(_bbt3[[#All],[ID]]=A1110)*(_bbt3[[#All],[METRIC_NAME]]="YLD_YTM_BID"),_bbt3[[#All],[METRIC_VALUE]])*0.5))/100,"")</f>
        <v/>
      </c>
      <c r="J1110">
        <f>IF(ISNA(VLOOKUP(A1110,'CloseDL - PriceSaverBBT3'!A:E,5,0)),0,VLOOKUP(A1110,'CloseDL - PriceSaverBBT3'!A:E,5,0))</f>
        <v>0</v>
      </c>
      <c r="K1110" s="7" t="str">
        <f t="shared" si="165"/>
        <v/>
      </c>
      <c r="L1110" s="20">
        <f>IF(Close[[#This Row],[CreatedBy]]="MARINER\SilverAdm",1,0)</f>
        <v>1</v>
      </c>
      <c r="M1110" t="str">
        <f>IF(NOT(ISBLANK(A1110)),VLOOKUP(A1110,'Close - PriceSaver'!A:J,6,0),"")</f>
        <v/>
      </c>
      <c r="Q1110" t="e">
        <f t="shared" si="166"/>
        <v>#N/A</v>
      </c>
      <c r="R1110" t="e">
        <f t="shared" si="167"/>
        <v>#N/A</v>
      </c>
      <c r="S1110" t="e">
        <f t="shared" si="168"/>
        <v>#N/A</v>
      </c>
      <c r="T1110" s="15" t="e">
        <f t="shared" si="170"/>
        <v>#N/A</v>
      </c>
      <c r="U1110" s="18" t="e">
        <f t="shared" si="171"/>
        <v>#N/A</v>
      </c>
      <c r="V1110" s="14" t="e">
        <f t="shared" si="169"/>
        <v>#N/A</v>
      </c>
      <c r="W1110" s="19" t="e">
        <f t="shared" si="172"/>
        <v>#N/A</v>
      </c>
      <c r="X1110" t="e">
        <f>VLOOKUP(P1110,Close[[ID]:[CreatedBy]],8,0)</f>
        <v>#N/A</v>
      </c>
    </row>
    <row r="1111" spans="2:24" x14ac:dyDescent="0.35">
      <c r="B1111" t="str">
        <f>IF(NOT(ISBLANK(A1111)),VLOOKUP(A1111,'BBT3'!A:F,2,0),"")</f>
        <v/>
      </c>
      <c r="C1111" t="str">
        <f>IF(NOT(ISBLANK(A1111)),VLOOKUP(A1111,'BBT3'!A:F,3,0),"")</f>
        <v/>
      </c>
      <c r="D1111" s="5" t="str">
        <f>IF(NOT(ISBLANK(A1111)),VLOOKUP(A1111,'BBT3'!A:F,4,1),"")</f>
        <v/>
      </c>
      <c r="E1111" t="str">
        <f>IF(NOT(ISBLANK(A1111)),VLOOKUP(A1111,'BBT3'!A:F,5,0),"")</f>
        <v/>
      </c>
      <c r="F1111" t="str">
        <f>IF(NOT(ISBLANK(A1111)),VLOOKUP(A1111,'BBT3'!A:F,6,0),"")</f>
        <v/>
      </c>
      <c r="G1111" t="str">
        <f t="shared" si="164"/>
        <v/>
      </c>
      <c r="H1111" t="str">
        <f>IF(NOT(ISBLANK(A1111)),VLOOKUP(A1111,'Close - PriceSaver'!A:J,5,0),"")</f>
        <v/>
      </c>
      <c r="I1111" s="4" t="str" cm="1">
        <f t="array" ref="I1111">IF(NOT(ISBLANK(A1111)),((_xlfn.XLOOKUP(1,(_bbt3[[#All],[ID]]=A1111)*(_bbt3[[#All],[METRIC_NAME]]="YLD_YTM_ASK"),_bbt3[[#All],[METRIC_VALUE]])*0.5)+(_xlfn.XLOOKUP(1,(_bbt3[[#All],[ID]]=A1111)*(_bbt3[[#All],[METRIC_NAME]]="YLD_YTM_BID"),_bbt3[[#All],[METRIC_VALUE]])*0.5))/100,"")</f>
        <v/>
      </c>
      <c r="J1111">
        <f>IF(ISNA(VLOOKUP(A1111,'CloseDL - PriceSaverBBT3'!A:E,5,0)),0,VLOOKUP(A1111,'CloseDL - PriceSaverBBT3'!A:E,5,0))</f>
        <v>0</v>
      </c>
      <c r="K1111" s="7" t="str">
        <f t="shared" si="165"/>
        <v/>
      </c>
      <c r="L1111" s="20">
        <f>IF(Close[[#This Row],[CreatedBy]]="MARINER\SilverAdm",1,0)</f>
        <v>1</v>
      </c>
      <c r="M1111" t="str">
        <f>IF(NOT(ISBLANK(A1111)),VLOOKUP(A1111,'Close - PriceSaver'!A:J,6,0),"")</f>
        <v/>
      </c>
      <c r="Q1111" t="e">
        <f t="shared" si="166"/>
        <v>#N/A</v>
      </c>
      <c r="R1111" t="e">
        <f t="shared" si="167"/>
        <v>#N/A</v>
      </c>
      <c r="S1111" t="e">
        <f t="shared" si="168"/>
        <v>#N/A</v>
      </c>
      <c r="T1111" s="15" t="e">
        <f t="shared" si="170"/>
        <v>#N/A</v>
      </c>
      <c r="U1111" s="18" t="e">
        <f t="shared" si="171"/>
        <v>#N/A</v>
      </c>
      <c r="V1111" s="14" t="e">
        <f t="shared" si="169"/>
        <v>#N/A</v>
      </c>
      <c r="W1111" s="19" t="e">
        <f t="shared" si="172"/>
        <v>#N/A</v>
      </c>
      <c r="X1111" t="e">
        <f>VLOOKUP(P1111,Close[[ID]:[CreatedBy]],8,0)</f>
        <v>#N/A</v>
      </c>
    </row>
    <row r="1112" spans="2:24" x14ac:dyDescent="0.35">
      <c r="B1112" t="str">
        <f>IF(NOT(ISBLANK(A1112)),VLOOKUP(A1112,'BBT3'!A:F,2,0),"")</f>
        <v/>
      </c>
      <c r="C1112" t="str">
        <f>IF(NOT(ISBLANK(A1112)),VLOOKUP(A1112,'BBT3'!A:F,3,0),"")</f>
        <v/>
      </c>
      <c r="D1112" s="5" t="str">
        <f>IF(NOT(ISBLANK(A1112)),VLOOKUP(A1112,'BBT3'!A:F,4,1),"")</f>
        <v/>
      </c>
      <c r="E1112" t="str">
        <f>IF(NOT(ISBLANK(A1112)),VLOOKUP(A1112,'BBT3'!A:F,5,0),"")</f>
        <v/>
      </c>
      <c r="F1112" t="str">
        <f>IF(NOT(ISBLANK(A1112)),VLOOKUP(A1112,'BBT3'!A:F,6,0),"")</f>
        <v/>
      </c>
      <c r="G1112" t="str">
        <f t="shared" si="164"/>
        <v/>
      </c>
      <c r="H1112" t="str">
        <f>IF(NOT(ISBLANK(A1112)),VLOOKUP(A1112,'Close - PriceSaver'!A:J,5,0),"")</f>
        <v/>
      </c>
      <c r="I1112" s="4" t="str" cm="1">
        <f t="array" ref="I1112">IF(NOT(ISBLANK(A1112)),((_xlfn.XLOOKUP(1,(_bbt3[[#All],[ID]]=A1112)*(_bbt3[[#All],[METRIC_NAME]]="YLD_YTM_ASK"),_bbt3[[#All],[METRIC_VALUE]])*0.5)+(_xlfn.XLOOKUP(1,(_bbt3[[#All],[ID]]=A1112)*(_bbt3[[#All],[METRIC_NAME]]="YLD_YTM_BID"),_bbt3[[#All],[METRIC_VALUE]])*0.5))/100,"")</f>
        <v/>
      </c>
      <c r="J1112">
        <f>IF(ISNA(VLOOKUP(A1112,'CloseDL - PriceSaverBBT3'!A:E,5,0)),0,VLOOKUP(A1112,'CloseDL - PriceSaverBBT3'!A:E,5,0))</f>
        <v>0</v>
      </c>
      <c r="K1112" s="7" t="str">
        <f t="shared" si="165"/>
        <v/>
      </c>
      <c r="L1112" s="20">
        <f>IF(Close[[#This Row],[CreatedBy]]="MARINER\SilverAdm",1,0)</f>
        <v>1</v>
      </c>
      <c r="M1112" t="str">
        <f>IF(NOT(ISBLANK(A1112)),VLOOKUP(A1112,'Close - PriceSaver'!A:J,6,0),"")</f>
        <v/>
      </c>
      <c r="Q1112" t="e">
        <f t="shared" si="166"/>
        <v>#N/A</v>
      </c>
      <c r="R1112" t="e">
        <f t="shared" si="167"/>
        <v>#N/A</v>
      </c>
      <c r="S1112" t="e">
        <f t="shared" si="168"/>
        <v>#N/A</v>
      </c>
      <c r="T1112" s="15" t="e">
        <f t="shared" si="170"/>
        <v>#N/A</v>
      </c>
      <c r="U1112" s="18" t="e">
        <f t="shared" si="171"/>
        <v>#N/A</v>
      </c>
      <c r="V1112" s="14" t="e">
        <f t="shared" si="169"/>
        <v>#N/A</v>
      </c>
      <c r="W1112" s="19" t="e">
        <f t="shared" si="172"/>
        <v>#N/A</v>
      </c>
      <c r="X1112" t="e">
        <f>VLOOKUP(P1112,Close[[ID]:[CreatedBy]],8,0)</f>
        <v>#N/A</v>
      </c>
    </row>
    <row r="1113" spans="2:24" x14ac:dyDescent="0.35">
      <c r="B1113" t="str">
        <f>IF(NOT(ISBLANK(A1113)),VLOOKUP(A1113,'BBT3'!A:F,2,0),"")</f>
        <v/>
      </c>
      <c r="C1113" t="str">
        <f>IF(NOT(ISBLANK(A1113)),VLOOKUP(A1113,'BBT3'!A:F,3,0),"")</f>
        <v/>
      </c>
      <c r="D1113" s="5" t="str">
        <f>IF(NOT(ISBLANK(A1113)),VLOOKUP(A1113,'BBT3'!A:F,4,1),"")</f>
        <v/>
      </c>
      <c r="E1113" t="str">
        <f>IF(NOT(ISBLANK(A1113)),VLOOKUP(A1113,'BBT3'!A:F,5,0),"")</f>
        <v/>
      </c>
      <c r="F1113" t="str">
        <f>IF(NOT(ISBLANK(A1113)),VLOOKUP(A1113,'BBT3'!A:F,6,0),"")</f>
        <v/>
      </c>
      <c r="G1113" t="str">
        <f t="shared" si="164"/>
        <v/>
      </c>
      <c r="H1113" t="str">
        <f>IF(NOT(ISBLANK(A1113)),VLOOKUP(A1113,'Close - PriceSaver'!A:J,5,0),"")</f>
        <v/>
      </c>
      <c r="I1113" s="4" t="str" cm="1">
        <f t="array" ref="I1113">IF(NOT(ISBLANK(A1113)),((_xlfn.XLOOKUP(1,(_bbt3[[#All],[ID]]=A1113)*(_bbt3[[#All],[METRIC_NAME]]="YLD_YTM_ASK"),_bbt3[[#All],[METRIC_VALUE]])*0.5)+(_xlfn.XLOOKUP(1,(_bbt3[[#All],[ID]]=A1113)*(_bbt3[[#All],[METRIC_NAME]]="YLD_YTM_BID"),_bbt3[[#All],[METRIC_VALUE]])*0.5))/100,"")</f>
        <v/>
      </c>
      <c r="J1113">
        <f>IF(ISNA(VLOOKUP(A1113,'CloseDL - PriceSaverBBT3'!A:E,5,0)),0,VLOOKUP(A1113,'CloseDL - PriceSaverBBT3'!A:E,5,0))</f>
        <v>0</v>
      </c>
      <c r="K1113" s="7" t="str">
        <f t="shared" si="165"/>
        <v/>
      </c>
      <c r="L1113" s="20">
        <f>IF(Close[[#This Row],[CreatedBy]]="MARINER\SilverAdm",1,0)</f>
        <v>1</v>
      </c>
      <c r="M1113" t="str">
        <f>IF(NOT(ISBLANK(A1113)),VLOOKUP(A1113,'Close - PriceSaver'!A:J,6,0),"")</f>
        <v/>
      </c>
      <c r="Q1113" t="e">
        <f t="shared" si="166"/>
        <v>#N/A</v>
      </c>
      <c r="R1113" t="e">
        <f t="shared" si="167"/>
        <v>#N/A</v>
      </c>
      <c r="S1113" t="e">
        <f t="shared" si="168"/>
        <v>#N/A</v>
      </c>
      <c r="T1113" s="15" t="e">
        <f t="shared" si="170"/>
        <v>#N/A</v>
      </c>
      <c r="U1113" s="18" t="e">
        <f t="shared" si="171"/>
        <v>#N/A</v>
      </c>
      <c r="V1113" s="14" t="e">
        <f t="shared" si="169"/>
        <v>#N/A</v>
      </c>
      <c r="W1113" s="19" t="e">
        <f t="shared" si="172"/>
        <v>#N/A</v>
      </c>
      <c r="X1113" t="e">
        <f>VLOOKUP(P1113,Close[[ID]:[CreatedBy]],8,0)</f>
        <v>#N/A</v>
      </c>
    </row>
    <row r="1114" spans="2:24" x14ac:dyDescent="0.35">
      <c r="B1114" t="str">
        <f>IF(NOT(ISBLANK(A1114)),VLOOKUP(A1114,'BBT3'!A:F,2,0),"")</f>
        <v/>
      </c>
      <c r="C1114" t="str">
        <f>IF(NOT(ISBLANK(A1114)),VLOOKUP(A1114,'BBT3'!A:F,3,0),"")</f>
        <v/>
      </c>
      <c r="D1114" s="5" t="str">
        <f>IF(NOT(ISBLANK(A1114)),VLOOKUP(A1114,'BBT3'!A:F,4,1),"")</f>
        <v/>
      </c>
      <c r="E1114" t="str">
        <f>IF(NOT(ISBLANK(A1114)),VLOOKUP(A1114,'BBT3'!A:F,5,0),"")</f>
        <v/>
      </c>
      <c r="F1114" t="str">
        <f>IF(NOT(ISBLANK(A1114)),VLOOKUP(A1114,'BBT3'!A:F,6,0),"")</f>
        <v/>
      </c>
      <c r="G1114" t="str">
        <f t="shared" si="164"/>
        <v/>
      </c>
      <c r="H1114" t="str">
        <f>IF(NOT(ISBLANK(A1114)),VLOOKUP(A1114,'Close - PriceSaver'!A:J,5,0),"")</f>
        <v/>
      </c>
      <c r="I1114" s="4" t="str" cm="1">
        <f t="array" ref="I1114">IF(NOT(ISBLANK(A1114)),((_xlfn.XLOOKUP(1,(_bbt3[[#All],[ID]]=A1114)*(_bbt3[[#All],[METRIC_NAME]]="YLD_YTM_ASK"),_bbt3[[#All],[METRIC_VALUE]])*0.5)+(_xlfn.XLOOKUP(1,(_bbt3[[#All],[ID]]=A1114)*(_bbt3[[#All],[METRIC_NAME]]="YLD_YTM_BID"),_bbt3[[#All],[METRIC_VALUE]])*0.5))/100,"")</f>
        <v/>
      </c>
      <c r="J1114">
        <f>IF(ISNA(VLOOKUP(A1114,'CloseDL - PriceSaverBBT3'!A:E,5,0)),0,VLOOKUP(A1114,'CloseDL - PriceSaverBBT3'!A:E,5,0))</f>
        <v>0</v>
      </c>
      <c r="K1114" s="7" t="str">
        <f t="shared" si="165"/>
        <v/>
      </c>
      <c r="L1114" s="20">
        <f>IF(Close[[#This Row],[CreatedBy]]="MARINER\SilverAdm",1,0)</f>
        <v>1</v>
      </c>
      <c r="M1114" t="str">
        <f>IF(NOT(ISBLANK(A1114)),VLOOKUP(A1114,'Close - PriceSaver'!A:J,6,0),"")</f>
        <v/>
      </c>
      <c r="Q1114" t="e">
        <f t="shared" si="166"/>
        <v>#N/A</v>
      </c>
      <c r="R1114" t="e">
        <f t="shared" si="167"/>
        <v>#N/A</v>
      </c>
      <c r="S1114" t="e">
        <f t="shared" si="168"/>
        <v>#N/A</v>
      </c>
      <c r="T1114" s="15" t="e">
        <f t="shared" si="170"/>
        <v>#N/A</v>
      </c>
      <c r="U1114" s="18" t="e">
        <f t="shared" si="171"/>
        <v>#N/A</v>
      </c>
      <c r="V1114" s="14" t="e">
        <f t="shared" si="169"/>
        <v>#N/A</v>
      </c>
      <c r="W1114" s="19" t="e">
        <f t="shared" si="172"/>
        <v>#N/A</v>
      </c>
      <c r="X1114" t="e">
        <f>VLOOKUP(P1114,Close[[ID]:[CreatedBy]],8,0)</f>
        <v>#N/A</v>
      </c>
    </row>
    <row r="1115" spans="2:24" x14ac:dyDescent="0.35">
      <c r="B1115" t="str">
        <f>IF(NOT(ISBLANK(A1115)),VLOOKUP(A1115,'BBT3'!A:F,2,0),"")</f>
        <v/>
      </c>
      <c r="C1115" t="str">
        <f>IF(NOT(ISBLANK(A1115)),VLOOKUP(A1115,'BBT3'!A:F,3,0),"")</f>
        <v/>
      </c>
      <c r="D1115" s="5" t="str">
        <f>IF(NOT(ISBLANK(A1115)),VLOOKUP(A1115,'BBT3'!A:F,4,1),"")</f>
        <v/>
      </c>
      <c r="E1115" t="str">
        <f>IF(NOT(ISBLANK(A1115)),VLOOKUP(A1115,'BBT3'!A:F,5,0),"")</f>
        <v/>
      </c>
      <c r="F1115" t="str">
        <f>IF(NOT(ISBLANK(A1115)),VLOOKUP(A1115,'BBT3'!A:F,6,0),"")</f>
        <v/>
      </c>
      <c r="G1115" t="str">
        <f t="shared" si="164"/>
        <v/>
      </c>
      <c r="H1115" t="str">
        <f>IF(NOT(ISBLANK(A1115)),VLOOKUP(A1115,'Close - PriceSaver'!A:J,5,0),"")</f>
        <v/>
      </c>
      <c r="I1115" s="4" t="str" cm="1">
        <f t="array" ref="I1115">IF(NOT(ISBLANK(A1115)),((_xlfn.XLOOKUP(1,(_bbt3[[#All],[ID]]=A1115)*(_bbt3[[#All],[METRIC_NAME]]="YLD_YTM_ASK"),_bbt3[[#All],[METRIC_VALUE]])*0.5)+(_xlfn.XLOOKUP(1,(_bbt3[[#All],[ID]]=A1115)*(_bbt3[[#All],[METRIC_NAME]]="YLD_YTM_BID"),_bbt3[[#All],[METRIC_VALUE]])*0.5))/100,"")</f>
        <v/>
      </c>
      <c r="J1115">
        <f>IF(ISNA(VLOOKUP(A1115,'CloseDL - PriceSaverBBT3'!A:E,5,0)),0,VLOOKUP(A1115,'CloseDL - PriceSaverBBT3'!A:E,5,0))</f>
        <v>0</v>
      </c>
      <c r="K1115" s="7" t="str">
        <f t="shared" si="165"/>
        <v/>
      </c>
      <c r="L1115" s="20">
        <f>IF(Close[[#This Row],[CreatedBy]]="MARINER\SilverAdm",1,0)</f>
        <v>1</v>
      </c>
      <c r="M1115" t="str">
        <f>IF(NOT(ISBLANK(A1115)),VLOOKUP(A1115,'Close - PriceSaver'!A:J,6,0),"")</f>
        <v/>
      </c>
      <c r="Q1115" t="e">
        <f t="shared" si="166"/>
        <v>#N/A</v>
      </c>
      <c r="R1115" t="e">
        <f t="shared" si="167"/>
        <v>#N/A</v>
      </c>
      <c r="S1115" t="e">
        <f t="shared" si="168"/>
        <v>#N/A</v>
      </c>
      <c r="T1115" s="15" t="e">
        <f t="shared" si="170"/>
        <v>#N/A</v>
      </c>
      <c r="U1115" s="18" t="e">
        <f t="shared" si="171"/>
        <v>#N/A</v>
      </c>
      <c r="V1115" s="14" t="e">
        <f t="shared" si="169"/>
        <v>#N/A</v>
      </c>
      <c r="W1115" s="19" t="e">
        <f t="shared" si="172"/>
        <v>#N/A</v>
      </c>
      <c r="X1115" t="e">
        <f>VLOOKUP(P1115,Close[[ID]:[CreatedBy]],8,0)</f>
        <v>#N/A</v>
      </c>
    </row>
    <row r="1116" spans="2:24" x14ac:dyDescent="0.35">
      <c r="B1116" t="str">
        <f>IF(NOT(ISBLANK(A1116)),VLOOKUP(A1116,'BBT3'!A:F,2,0),"")</f>
        <v/>
      </c>
      <c r="C1116" t="str">
        <f>IF(NOT(ISBLANK(A1116)),VLOOKUP(A1116,'BBT3'!A:F,3,0),"")</f>
        <v/>
      </c>
      <c r="D1116" s="5" t="str">
        <f>IF(NOT(ISBLANK(A1116)),VLOOKUP(A1116,'BBT3'!A:F,4,1),"")</f>
        <v/>
      </c>
      <c r="E1116" t="str">
        <f>IF(NOT(ISBLANK(A1116)),VLOOKUP(A1116,'BBT3'!A:F,5,0),"")</f>
        <v/>
      </c>
      <c r="F1116" t="str">
        <f>IF(NOT(ISBLANK(A1116)),VLOOKUP(A1116,'BBT3'!A:F,6,0),"")</f>
        <v/>
      </c>
      <c r="G1116" t="str">
        <f t="shared" si="164"/>
        <v/>
      </c>
      <c r="H1116" t="str">
        <f>IF(NOT(ISBLANK(A1116)),VLOOKUP(A1116,'Close - PriceSaver'!A:J,5,0),"")</f>
        <v/>
      </c>
      <c r="I1116" s="4" t="str" cm="1">
        <f t="array" ref="I1116">IF(NOT(ISBLANK(A1116)),((_xlfn.XLOOKUP(1,(_bbt3[[#All],[ID]]=A1116)*(_bbt3[[#All],[METRIC_NAME]]="YLD_YTM_ASK"),_bbt3[[#All],[METRIC_VALUE]])*0.5)+(_xlfn.XLOOKUP(1,(_bbt3[[#All],[ID]]=A1116)*(_bbt3[[#All],[METRIC_NAME]]="YLD_YTM_BID"),_bbt3[[#All],[METRIC_VALUE]])*0.5))/100,"")</f>
        <v/>
      </c>
      <c r="J1116">
        <f>IF(ISNA(VLOOKUP(A1116,'CloseDL - PriceSaverBBT3'!A:E,5,0)),0,VLOOKUP(A1116,'CloseDL - PriceSaverBBT3'!A:E,5,0))</f>
        <v>0</v>
      </c>
      <c r="K1116" s="7" t="str">
        <f t="shared" si="165"/>
        <v/>
      </c>
      <c r="L1116" s="20">
        <f>IF(Close[[#This Row],[CreatedBy]]="MARINER\SilverAdm",1,0)</f>
        <v>1</v>
      </c>
      <c r="M1116" t="str">
        <f>IF(NOT(ISBLANK(A1116)),VLOOKUP(A1116,'Close - PriceSaver'!A:J,6,0),"")</f>
        <v/>
      </c>
      <c r="Q1116" t="e">
        <f t="shared" si="166"/>
        <v>#N/A</v>
      </c>
      <c r="R1116" t="e">
        <f t="shared" si="167"/>
        <v>#N/A</v>
      </c>
      <c r="S1116" t="e">
        <f t="shared" si="168"/>
        <v>#N/A</v>
      </c>
      <c r="T1116" s="15" t="e">
        <f t="shared" si="170"/>
        <v>#N/A</v>
      </c>
      <c r="U1116" s="18" t="e">
        <f t="shared" si="171"/>
        <v>#N/A</v>
      </c>
      <c r="V1116" s="14" t="e">
        <f t="shared" si="169"/>
        <v>#N/A</v>
      </c>
      <c r="W1116" s="19" t="e">
        <f t="shared" si="172"/>
        <v>#N/A</v>
      </c>
      <c r="X1116" t="e">
        <f>VLOOKUP(P1116,Close[[ID]:[CreatedBy]],8,0)</f>
        <v>#N/A</v>
      </c>
    </row>
    <row r="1117" spans="2:24" x14ac:dyDescent="0.35">
      <c r="B1117" t="str">
        <f>IF(NOT(ISBLANK(A1117)),VLOOKUP(A1117,'BBT3'!A:F,2,0),"")</f>
        <v/>
      </c>
      <c r="C1117" t="str">
        <f>IF(NOT(ISBLANK(A1117)),VLOOKUP(A1117,'BBT3'!A:F,3,0),"")</f>
        <v/>
      </c>
      <c r="D1117" s="5" t="str">
        <f>IF(NOT(ISBLANK(A1117)),VLOOKUP(A1117,'BBT3'!A:F,4,1),"")</f>
        <v/>
      </c>
      <c r="E1117" t="str">
        <f>IF(NOT(ISBLANK(A1117)),VLOOKUP(A1117,'BBT3'!A:F,5,0),"")</f>
        <v/>
      </c>
      <c r="F1117" t="str">
        <f>IF(NOT(ISBLANK(A1117)),VLOOKUP(A1117,'BBT3'!A:F,6,0),"")</f>
        <v/>
      </c>
      <c r="G1117" t="str">
        <f t="shared" si="164"/>
        <v/>
      </c>
      <c r="H1117" t="str">
        <f>IF(NOT(ISBLANK(A1117)),VLOOKUP(A1117,'Close - PriceSaver'!A:J,5,0),"")</f>
        <v/>
      </c>
      <c r="I1117" s="4" t="str" cm="1">
        <f t="array" ref="I1117">IF(NOT(ISBLANK(A1117)),((_xlfn.XLOOKUP(1,(_bbt3[[#All],[ID]]=A1117)*(_bbt3[[#All],[METRIC_NAME]]="YLD_YTM_ASK"),_bbt3[[#All],[METRIC_VALUE]])*0.5)+(_xlfn.XLOOKUP(1,(_bbt3[[#All],[ID]]=A1117)*(_bbt3[[#All],[METRIC_NAME]]="YLD_YTM_BID"),_bbt3[[#All],[METRIC_VALUE]])*0.5))/100,"")</f>
        <v/>
      </c>
      <c r="J1117">
        <f>IF(ISNA(VLOOKUP(A1117,'CloseDL - PriceSaverBBT3'!A:E,5,0)),0,VLOOKUP(A1117,'CloseDL - PriceSaverBBT3'!A:E,5,0))</f>
        <v>0</v>
      </c>
      <c r="K1117" s="7" t="str">
        <f t="shared" si="165"/>
        <v/>
      </c>
      <c r="L1117" s="20">
        <f>IF(Close[[#This Row],[CreatedBy]]="MARINER\SilverAdm",1,0)</f>
        <v>1</v>
      </c>
      <c r="M1117" t="str">
        <f>IF(NOT(ISBLANK(A1117)),VLOOKUP(A1117,'Close - PriceSaver'!A:J,6,0),"")</f>
        <v/>
      </c>
      <c r="Q1117" t="e">
        <f t="shared" si="166"/>
        <v>#N/A</v>
      </c>
      <c r="R1117" t="e">
        <f t="shared" si="167"/>
        <v>#N/A</v>
      </c>
      <c r="S1117" t="e">
        <f t="shared" si="168"/>
        <v>#N/A</v>
      </c>
      <c r="T1117" s="15" t="e">
        <f t="shared" si="170"/>
        <v>#N/A</v>
      </c>
      <c r="U1117" s="18" t="e">
        <f t="shared" si="171"/>
        <v>#N/A</v>
      </c>
      <c r="V1117" s="14" t="e">
        <f t="shared" si="169"/>
        <v>#N/A</v>
      </c>
      <c r="W1117" s="19" t="e">
        <f t="shared" si="172"/>
        <v>#N/A</v>
      </c>
      <c r="X1117" t="e">
        <f>VLOOKUP(P1117,Close[[ID]:[CreatedBy]],8,0)</f>
        <v>#N/A</v>
      </c>
    </row>
    <row r="1118" spans="2:24" x14ac:dyDescent="0.35">
      <c r="B1118" t="str">
        <f>IF(NOT(ISBLANK(A1118)),VLOOKUP(A1118,'BBT3'!A:F,2,0),"")</f>
        <v/>
      </c>
      <c r="C1118" t="str">
        <f>IF(NOT(ISBLANK(A1118)),VLOOKUP(A1118,'BBT3'!A:F,3,0),"")</f>
        <v/>
      </c>
      <c r="D1118" s="5" t="str">
        <f>IF(NOT(ISBLANK(A1118)),VLOOKUP(A1118,'BBT3'!A:F,4,1),"")</f>
        <v/>
      </c>
      <c r="E1118" t="str">
        <f>IF(NOT(ISBLANK(A1118)),VLOOKUP(A1118,'BBT3'!A:F,5,0),"")</f>
        <v/>
      </c>
      <c r="F1118" t="str">
        <f>IF(NOT(ISBLANK(A1118)),VLOOKUP(A1118,'BBT3'!A:F,6,0),"")</f>
        <v/>
      </c>
      <c r="G1118" t="str">
        <f t="shared" si="164"/>
        <v/>
      </c>
      <c r="H1118" t="str">
        <f>IF(NOT(ISBLANK(A1118)),VLOOKUP(A1118,'Close - PriceSaver'!A:J,5,0),"")</f>
        <v/>
      </c>
      <c r="I1118" s="4" t="str" cm="1">
        <f t="array" ref="I1118">IF(NOT(ISBLANK(A1118)),((_xlfn.XLOOKUP(1,(_bbt3[[#All],[ID]]=A1118)*(_bbt3[[#All],[METRIC_NAME]]="YLD_YTM_ASK"),_bbt3[[#All],[METRIC_VALUE]])*0.5)+(_xlfn.XLOOKUP(1,(_bbt3[[#All],[ID]]=A1118)*(_bbt3[[#All],[METRIC_NAME]]="YLD_YTM_BID"),_bbt3[[#All],[METRIC_VALUE]])*0.5))/100,"")</f>
        <v/>
      </c>
      <c r="J1118">
        <f>IF(ISNA(VLOOKUP(A1118,'CloseDL - PriceSaverBBT3'!A:E,5,0)),0,VLOOKUP(A1118,'CloseDL - PriceSaverBBT3'!A:E,5,0))</f>
        <v>0</v>
      </c>
      <c r="K1118" s="7" t="str">
        <f t="shared" si="165"/>
        <v/>
      </c>
      <c r="L1118" s="20">
        <f>IF(Close[[#This Row],[CreatedBy]]="MARINER\SilverAdm",1,0)</f>
        <v>1</v>
      </c>
      <c r="M1118" t="str">
        <f>IF(NOT(ISBLANK(A1118)),VLOOKUP(A1118,'Close - PriceSaver'!A:J,6,0),"")</f>
        <v/>
      </c>
      <c r="Q1118" t="e">
        <f t="shared" si="166"/>
        <v>#N/A</v>
      </c>
      <c r="R1118" t="e">
        <f t="shared" si="167"/>
        <v>#N/A</v>
      </c>
      <c r="S1118" t="e">
        <f t="shared" si="168"/>
        <v>#N/A</v>
      </c>
      <c r="T1118" s="15" t="e">
        <f t="shared" si="170"/>
        <v>#N/A</v>
      </c>
      <c r="U1118" s="18" t="e">
        <f t="shared" si="171"/>
        <v>#N/A</v>
      </c>
      <c r="V1118" s="14" t="e">
        <f t="shared" si="169"/>
        <v>#N/A</v>
      </c>
      <c r="W1118" s="19" t="e">
        <f t="shared" si="172"/>
        <v>#N/A</v>
      </c>
      <c r="X1118" t="e">
        <f>VLOOKUP(P1118,Close[[ID]:[CreatedBy]],8,0)</f>
        <v>#N/A</v>
      </c>
    </row>
    <row r="1119" spans="2:24" x14ac:dyDescent="0.35">
      <c r="B1119" t="str">
        <f>IF(NOT(ISBLANK(A1119)),VLOOKUP(A1119,'BBT3'!A:F,2,0),"")</f>
        <v/>
      </c>
      <c r="C1119" t="str">
        <f>IF(NOT(ISBLANK(A1119)),VLOOKUP(A1119,'BBT3'!A:F,3,0),"")</f>
        <v/>
      </c>
      <c r="D1119" s="5" t="str">
        <f>IF(NOT(ISBLANK(A1119)),VLOOKUP(A1119,'BBT3'!A:F,4,1),"")</f>
        <v/>
      </c>
      <c r="E1119" t="str">
        <f>IF(NOT(ISBLANK(A1119)),VLOOKUP(A1119,'BBT3'!A:F,5,0),"")</f>
        <v/>
      </c>
      <c r="F1119" t="str">
        <f>IF(NOT(ISBLANK(A1119)),VLOOKUP(A1119,'BBT3'!A:F,6,0),"")</f>
        <v/>
      </c>
      <c r="G1119" t="str">
        <f t="shared" si="164"/>
        <v/>
      </c>
      <c r="H1119" t="str">
        <f>IF(NOT(ISBLANK(A1119)),VLOOKUP(A1119,'Close - PriceSaver'!A:J,5,0),"")</f>
        <v/>
      </c>
      <c r="I1119" s="4" t="str" cm="1">
        <f t="array" ref="I1119">IF(NOT(ISBLANK(A1119)),((_xlfn.XLOOKUP(1,(_bbt3[[#All],[ID]]=A1119)*(_bbt3[[#All],[METRIC_NAME]]="YLD_YTM_ASK"),_bbt3[[#All],[METRIC_VALUE]])*0.5)+(_xlfn.XLOOKUP(1,(_bbt3[[#All],[ID]]=A1119)*(_bbt3[[#All],[METRIC_NAME]]="YLD_YTM_BID"),_bbt3[[#All],[METRIC_VALUE]])*0.5))/100,"")</f>
        <v/>
      </c>
      <c r="J1119">
        <f>IF(ISNA(VLOOKUP(A1119,'CloseDL - PriceSaverBBT3'!A:E,5,0)),0,VLOOKUP(A1119,'CloseDL - PriceSaverBBT3'!A:E,5,0))</f>
        <v>0</v>
      </c>
      <c r="K1119" s="7" t="str">
        <f t="shared" si="165"/>
        <v/>
      </c>
      <c r="L1119" s="20">
        <f>IF(Close[[#This Row],[CreatedBy]]="MARINER\SilverAdm",1,0)</f>
        <v>1</v>
      </c>
      <c r="M1119" t="str">
        <f>IF(NOT(ISBLANK(A1119)),VLOOKUP(A1119,'Close - PriceSaver'!A:J,6,0),"")</f>
        <v/>
      </c>
      <c r="Q1119" t="e">
        <f t="shared" si="166"/>
        <v>#N/A</v>
      </c>
      <c r="R1119" t="e">
        <f t="shared" si="167"/>
        <v>#N/A</v>
      </c>
      <c r="S1119" t="e">
        <f t="shared" si="168"/>
        <v>#N/A</v>
      </c>
      <c r="T1119" s="15" t="e">
        <f t="shared" si="170"/>
        <v>#N/A</v>
      </c>
      <c r="U1119" s="18" t="e">
        <f t="shared" si="171"/>
        <v>#N/A</v>
      </c>
      <c r="V1119" s="14" t="e">
        <f t="shared" si="169"/>
        <v>#N/A</v>
      </c>
      <c r="W1119" s="19" t="e">
        <f t="shared" si="172"/>
        <v>#N/A</v>
      </c>
      <c r="X1119" t="e">
        <f>VLOOKUP(P1119,Close[[ID]:[CreatedBy]],8,0)</f>
        <v>#N/A</v>
      </c>
    </row>
    <row r="1120" spans="2:24" x14ac:dyDescent="0.35">
      <c r="B1120" t="str">
        <f>IF(NOT(ISBLANK(A1120)),VLOOKUP(A1120,'BBT3'!A:F,2,0),"")</f>
        <v/>
      </c>
      <c r="C1120" t="str">
        <f>IF(NOT(ISBLANK(A1120)),VLOOKUP(A1120,'BBT3'!A:F,3,0),"")</f>
        <v/>
      </c>
      <c r="D1120" s="5" t="str">
        <f>IF(NOT(ISBLANK(A1120)),VLOOKUP(A1120,'BBT3'!A:F,4,1),"")</f>
        <v/>
      </c>
      <c r="E1120" t="str">
        <f>IF(NOT(ISBLANK(A1120)),VLOOKUP(A1120,'BBT3'!A:F,5,0),"")</f>
        <v/>
      </c>
      <c r="F1120" t="str">
        <f>IF(NOT(ISBLANK(A1120)),VLOOKUP(A1120,'BBT3'!A:F,6,0),"")</f>
        <v/>
      </c>
      <c r="G1120" t="str">
        <f t="shared" si="164"/>
        <v/>
      </c>
      <c r="H1120" t="str">
        <f>IF(NOT(ISBLANK(A1120)),VLOOKUP(A1120,'Close - PriceSaver'!A:J,5,0),"")</f>
        <v/>
      </c>
      <c r="I1120" s="4" t="str" cm="1">
        <f t="array" ref="I1120">IF(NOT(ISBLANK(A1120)),((_xlfn.XLOOKUP(1,(_bbt3[[#All],[ID]]=A1120)*(_bbt3[[#All],[METRIC_NAME]]="YLD_YTM_ASK"),_bbt3[[#All],[METRIC_VALUE]])*0.5)+(_xlfn.XLOOKUP(1,(_bbt3[[#All],[ID]]=A1120)*(_bbt3[[#All],[METRIC_NAME]]="YLD_YTM_BID"),_bbt3[[#All],[METRIC_VALUE]])*0.5))/100,"")</f>
        <v/>
      </c>
      <c r="J1120">
        <f>IF(ISNA(VLOOKUP(A1120,'CloseDL - PriceSaverBBT3'!A:E,5,0)),0,VLOOKUP(A1120,'CloseDL - PriceSaverBBT3'!A:E,5,0))</f>
        <v>0</v>
      </c>
      <c r="K1120" s="7" t="str">
        <f t="shared" si="165"/>
        <v/>
      </c>
      <c r="L1120" s="20">
        <f>IF(Close[[#This Row],[CreatedBy]]="MARINER\SilverAdm",1,0)</f>
        <v>1</v>
      </c>
      <c r="M1120" t="str">
        <f>IF(NOT(ISBLANK(A1120)),VLOOKUP(A1120,'Close - PriceSaver'!A:J,6,0),"")</f>
        <v/>
      </c>
      <c r="Q1120" t="e">
        <f t="shared" si="166"/>
        <v>#N/A</v>
      </c>
      <c r="R1120" t="e">
        <f t="shared" si="167"/>
        <v>#N/A</v>
      </c>
      <c r="S1120" t="e">
        <f t="shared" si="168"/>
        <v>#N/A</v>
      </c>
      <c r="T1120" s="15" t="e">
        <f t="shared" si="170"/>
        <v>#N/A</v>
      </c>
      <c r="U1120" s="18" t="e">
        <f t="shared" si="171"/>
        <v>#N/A</v>
      </c>
      <c r="V1120" s="14" t="e">
        <f t="shared" si="169"/>
        <v>#N/A</v>
      </c>
      <c r="W1120" s="19" t="e">
        <f t="shared" si="172"/>
        <v>#N/A</v>
      </c>
      <c r="X1120" t="e">
        <f>VLOOKUP(P1120,Close[[ID]:[CreatedBy]],8,0)</f>
        <v>#N/A</v>
      </c>
    </row>
    <row r="1121" spans="2:24" x14ac:dyDescent="0.35">
      <c r="B1121" t="str">
        <f>IF(NOT(ISBLANK(A1121)),VLOOKUP(A1121,'BBT3'!A:F,2,0),"")</f>
        <v/>
      </c>
      <c r="C1121" t="str">
        <f>IF(NOT(ISBLANK(A1121)),VLOOKUP(A1121,'BBT3'!A:F,3,0),"")</f>
        <v/>
      </c>
      <c r="D1121" s="5" t="str">
        <f>IF(NOT(ISBLANK(A1121)),VLOOKUP(A1121,'BBT3'!A:F,4,1),"")</f>
        <v/>
      </c>
      <c r="E1121" t="str">
        <f>IF(NOT(ISBLANK(A1121)),VLOOKUP(A1121,'BBT3'!A:F,5,0),"")</f>
        <v/>
      </c>
      <c r="F1121" t="str">
        <f>IF(NOT(ISBLANK(A1121)),VLOOKUP(A1121,'BBT3'!A:F,6,0),"")</f>
        <v/>
      </c>
      <c r="G1121" t="str">
        <f t="shared" si="164"/>
        <v/>
      </c>
      <c r="H1121" t="str">
        <f>IF(NOT(ISBLANK(A1121)),VLOOKUP(A1121,'Close - PriceSaver'!A:J,5,0),"")</f>
        <v/>
      </c>
      <c r="I1121" s="4" t="str" cm="1">
        <f t="array" ref="I1121">IF(NOT(ISBLANK(A1121)),((_xlfn.XLOOKUP(1,(_bbt3[[#All],[ID]]=A1121)*(_bbt3[[#All],[METRIC_NAME]]="YLD_YTM_ASK"),_bbt3[[#All],[METRIC_VALUE]])*0.5)+(_xlfn.XLOOKUP(1,(_bbt3[[#All],[ID]]=A1121)*(_bbt3[[#All],[METRIC_NAME]]="YLD_YTM_BID"),_bbt3[[#All],[METRIC_VALUE]])*0.5))/100,"")</f>
        <v/>
      </c>
      <c r="J1121">
        <f>IF(ISNA(VLOOKUP(A1121,'CloseDL - PriceSaverBBT3'!A:E,5,0)),0,VLOOKUP(A1121,'CloseDL - PriceSaverBBT3'!A:E,5,0))</f>
        <v>0</v>
      </c>
      <c r="K1121" s="7" t="str">
        <f t="shared" si="165"/>
        <v/>
      </c>
      <c r="L1121" s="20">
        <f>IF(Close[[#This Row],[CreatedBy]]="MARINER\SilverAdm",1,0)</f>
        <v>1</v>
      </c>
      <c r="M1121" t="str">
        <f>IF(NOT(ISBLANK(A1121)),VLOOKUP(A1121,'Close - PriceSaver'!A:J,6,0),"")</f>
        <v/>
      </c>
      <c r="Q1121" t="e">
        <f t="shared" si="166"/>
        <v>#N/A</v>
      </c>
      <c r="R1121" t="e">
        <f t="shared" si="167"/>
        <v>#N/A</v>
      </c>
      <c r="S1121" t="e">
        <f t="shared" si="168"/>
        <v>#N/A</v>
      </c>
      <c r="T1121" s="15" t="e">
        <f t="shared" si="170"/>
        <v>#N/A</v>
      </c>
      <c r="U1121" s="18" t="e">
        <f t="shared" si="171"/>
        <v>#N/A</v>
      </c>
      <c r="V1121" s="14" t="e">
        <f t="shared" si="169"/>
        <v>#N/A</v>
      </c>
      <c r="W1121" s="19" t="e">
        <f t="shared" si="172"/>
        <v>#N/A</v>
      </c>
      <c r="X1121" t="e">
        <f>VLOOKUP(P1121,Close[[ID]:[CreatedBy]],8,0)</f>
        <v>#N/A</v>
      </c>
    </row>
    <row r="1122" spans="2:24" x14ac:dyDescent="0.35">
      <c r="B1122" t="str">
        <f>IF(NOT(ISBLANK(A1122)),VLOOKUP(A1122,'BBT3'!A:F,2,0),"")</f>
        <v/>
      </c>
      <c r="C1122" t="str">
        <f>IF(NOT(ISBLANK(A1122)),VLOOKUP(A1122,'BBT3'!A:F,3,0),"")</f>
        <v/>
      </c>
      <c r="D1122" s="5" t="str">
        <f>IF(NOT(ISBLANK(A1122)),VLOOKUP(A1122,'BBT3'!A:F,4,1),"")</f>
        <v/>
      </c>
      <c r="E1122" t="str">
        <f>IF(NOT(ISBLANK(A1122)),VLOOKUP(A1122,'BBT3'!A:F,5,0),"")</f>
        <v/>
      </c>
      <c r="F1122" t="str">
        <f>IF(NOT(ISBLANK(A1122)),VLOOKUP(A1122,'BBT3'!A:F,6,0),"")</f>
        <v/>
      </c>
      <c r="G1122" t="str">
        <f t="shared" si="164"/>
        <v/>
      </c>
      <c r="H1122" t="str">
        <f>IF(NOT(ISBLANK(A1122)),VLOOKUP(A1122,'Close - PriceSaver'!A:J,5,0),"")</f>
        <v/>
      </c>
      <c r="I1122" s="4" t="str" cm="1">
        <f t="array" ref="I1122">IF(NOT(ISBLANK(A1122)),((_xlfn.XLOOKUP(1,(_bbt3[[#All],[ID]]=A1122)*(_bbt3[[#All],[METRIC_NAME]]="YLD_YTM_ASK"),_bbt3[[#All],[METRIC_VALUE]])*0.5)+(_xlfn.XLOOKUP(1,(_bbt3[[#All],[ID]]=A1122)*(_bbt3[[#All],[METRIC_NAME]]="YLD_YTM_BID"),_bbt3[[#All],[METRIC_VALUE]])*0.5))/100,"")</f>
        <v/>
      </c>
      <c r="J1122">
        <f>IF(ISNA(VLOOKUP(A1122,'CloseDL - PriceSaverBBT3'!A:E,5,0)),0,VLOOKUP(A1122,'CloseDL - PriceSaverBBT3'!A:E,5,0))</f>
        <v>0</v>
      </c>
      <c r="K1122" s="7" t="str">
        <f t="shared" si="165"/>
        <v/>
      </c>
      <c r="L1122" s="20">
        <f>IF(Close[[#This Row],[CreatedBy]]="MARINER\SilverAdm",1,0)</f>
        <v>1</v>
      </c>
      <c r="M1122" t="str">
        <f>IF(NOT(ISBLANK(A1122)),VLOOKUP(A1122,'Close - PriceSaver'!A:J,6,0),"")</f>
        <v/>
      </c>
      <c r="Q1122" t="e">
        <f t="shared" si="166"/>
        <v>#N/A</v>
      </c>
      <c r="R1122" t="e">
        <f t="shared" si="167"/>
        <v>#N/A</v>
      </c>
      <c r="S1122" t="e">
        <f t="shared" si="168"/>
        <v>#N/A</v>
      </c>
      <c r="T1122" s="15" t="e">
        <f t="shared" si="170"/>
        <v>#N/A</v>
      </c>
      <c r="U1122" s="18" t="e">
        <f t="shared" si="171"/>
        <v>#N/A</v>
      </c>
      <c r="V1122" s="14" t="e">
        <f t="shared" si="169"/>
        <v>#N/A</v>
      </c>
      <c r="W1122" s="19" t="e">
        <f t="shared" si="172"/>
        <v>#N/A</v>
      </c>
      <c r="X1122" t="e">
        <f>VLOOKUP(P1122,Close[[ID]:[CreatedBy]],8,0)</f>
        <v>#N/A</v>
      </c>
    </row>
    <row r="1123" spans="2:24" x14ac:dyDescent="0.35">
      <c r="B1123" t="str">
        <f>IF(NOT(ISBLANK(A1123)),VLOOKUP(A1123,'BBT3'!A:F,2,0),"")</f>
        <v/>
      </c>
      <c r="C1123" t="str">
        <f>IF(NOT(ISBLANK(A1123)),VLOOKUP(A1123,'BBT3'!A:F,3,0),"")</f>
        <v/>
      </c>
      <c r="D1123" s="5" t="str">
        <f>IF(NOT(ISBLANK(A1123)),VLOOKUP(A1123,'BBT3'!A:F,4,1),"")</f>
        <v/>
      </c>
      <c r="E1123" t="str">
        <f>IF(NOT(ISBLANK(A1123)),VLOOKUP(A1123,'BBT3'!A:F,5,0),"")</f>
        <v/>
      </c>
      <c r="F1123" t="str">
        <f>IF(NOT(ISBLANK(A1123)),VLOOKUP(A1123,'BBT3'!A:F,6,0),"")</f>
        <v/>
      </c>
      <c r="G1123" t="str">
        <f t="shared" si="164"/>
        <v/>
      </c>
      <c r="H1123" t="str">
        <f>IF(NOT(ISBLANK(A1123)),VLOOKUP(A1123,'Close - PriceSaver'!A:J,5,0),"")</f>
        <v/>
      </c>
      <c r="I1123" s="4" t="str" cm="1">
        <f t="array" ref="I1123">IF(NOT(ISBLANK(A1123)),((_xlfn.XLOOKUP(1,(_bbt3[[#All],[ID]]=A1123)*(_bbt3[[#All],[METRIC_NAME]]="YLD_YTM_ASK"),_bbt3[[#All],[METRIC_VALUE]])*0.5)+(_xlfn.XLOOKUP(1,(_bbt3[[#All],[ID]]=A1123)*(_bbt3[[#All],[METRIC_NAME]]="YLD_YTM_BID"),_bbt3[[#All],[METRIC_VALUE]])*0.5))/100,"")</f>
        <v/>
      </c>
      <c r="J1123">
        <f>IF(ISNA(VLOOKUP(A1123,'CloseDL - PriceSaverBBT3'!A:E,5,0)),0,VLOOKUP(A1123,'CloseDL - PriceSaverBBT3'!A:E,5,0))</f>
        <v>0</v>
      </c>
      <c r="K1123" s="7" t="str">
        <f t="shared" si="165"/>
        <v/>
      </c>
      <c r="L1123" s="20">
        <f>IF(Close[[#This Row],[CreatedBy]]="MARINER\SilverAdm",1,0)</f>
        <v>1</v>
      </c>
      <c r="M1123" t="str">
        <f>IF(NOT(ISBLANK(A1123)),VLOOKUP(A1123,'Close - PriceSaver'!A:J,6,0),"")</f>
        <v/>
      </c>
      <c r="Q1123" t="e">
        <f t="shared" si="166"/>
        <v>#N/A</v>
      </c>
      <c r="R1123" t="e">
        <f t="shared" si="167"/>
        <v>#N/A</v>
      </c>
      <c r="S1123" t="e">
        <f t="shared" si="168"/>
        <v>#N/A</v>
      </c>
      <c r="T1123" s="15" t="e">
        <f t="shared" si="170"/>
        <v>#N/A</v>
      </c>
      <c r="U1123" s="18" t="e">
        <f t="shared" si="171"/>
        <v>#N/A</v>
      </c>
      <c r="V1123" s="14" t="e">
        <f t="shared" si="169"/>
        <v>#N/A</v>
      </c>
      <c r="W1123" s="19" t="e">
        <f t="shared" si="172"/>
        <v>#N/A</v>
      </c>
      <c r="X1123" t="e">
        <f>VLOOKUP(P1123,Close[[ID]:[CreatedBy]],8,0)</f>
        <v>#N/A</v>
      </c>
    </row>
    <row r="1124" spans="2:24" x14ac:dyDescent="0.35">
      <c r="B1124" t="str">
        <f>IF(NOT(ISBLANK(A1124)),VLOOKUP(A1124,'BBT3'!A:F,2,0),"")</f>
        <v/>
      </c>
      <c r="C1124" t="str">
        <f>IF(NOT(ISBLANK(A1124)),VLOOKUP(A1124,'BBT3'!A:F,3,0),"")</f>
        <v/>
      </c>
      <c r="D1124" s="5" t="str">
        <f>IF(NOT(ISBLANK(A1124)),VLOOKUP(A1124,'BBT3'!A:F,4,1),"")</f>
        <v/>
      </c>
      <c r="E1124" t="str">
        <f>IF(NOT(ISBLANK(A1124)),VLOOKUP(A1124,'BBT3'!A:F,5,0),"")</f>
        <v/>
      </c>
      <c r="F1124" t="str">
        <f>IF(NOT(ISBLANK(A1124)),VLOOKUP(A1124,'BBT3'!A:F,6,0),"")</f>
        <v/>
      </c>
      <c r="G1124" t="str">
        <f t="shared" si="164"/>
        <v/>
      </c>
      <c r="H1124" t="str">
        <f>IF(NOT(ISBLANK(A1124)),VLOOKUP(A1124,'Close - PriceSaver'!A:J,5,0),"")</f>
        <v/>
      </c>
      <c r="I1124" s="4" t="str" cm="1">
        <f t="array" ref="I1124">IF(NOT(ISBLANK(A1124)),((_xlfn.XLOOKUP(1,(_bbt3[[#All],[ID]]=A1124)*(_bbt3[[#All],[METRIC_NAME]]="YLD_YTM_ASK"),_bbt3[[#All],[METRIC_VALUE]])*0.5)+(_xlfn.XLOOKUP(1,(_bbt3[[#All],[ID]]=A1124)*(_bbt3[[#All],[METRIC_NAME]]="YLD_YTM_BID"),_bbt3[[#All],[METRIC_VALUE]])*0.5))/100,"")</f>
        <v/>
      </c>
      <c r="J1124">
        <f>IF(ISNA(VLOOKUP(A1124,'CloseDL - PriceSaverBBT3'!A:E,5,0)),0,VLOOKUP(A1124,'CloseDL - PriceSaverBBT3'!A:E,5,0))</f>
        <v>0</v>
      </c>
      <c r="K1124" s="7" t="str">
        <f t="shared" si="165"/>
        <v/>
      </c>
      <c r="L1124" s="20">
        <f>IF(Close[[#This Row],[CreatedBy]]="MARINER\SilverAdm",1,0)</f>
        <v>1</v>
      </c>
      <c r="M1124" t="str">
        <f>IF(NOT(ISBLANK(A1124)),VLOOKUP(A1124,'Close - PriceSaver'!A:J,6,0),"")</f>
        <v/>
      </c>
      <c r="Q1124" t="e">
        <f t="shared" si="166"/>
        <v>#N/A</v>
      </c>
      <c r="R1124" t="e">
        <f t="shared" si="167"/>
        <v>#N/A</v>
      </c>
      <c r="S1124" t="e">
        <f t="shared" si="168"/>
        <v>#N/A</v>
      </c>
      <c r="T1124" s="15" t="e">
        <f t="shared" si="170"/>
        <v>#N/A</v>
      </c>
      <c r="U1124" s="18" t="e">
        <f t="shared" si="171"/>
        <v>#N/A</v>
      </c>
      <c r="V1124" s="14" t="e">
        <f t="shared" si="169"/>
        <v>#N/A</v>
      </c>
      <c r="W1124" s="19" t="e">
        <f t="shared" si="172"/>
        <v>#N/A</v>
      </c>
      <c r="X1124" t="e">
        <f>VLOOKUP(P1124,Close[[ID]:[CreatedBy]],8,0)</f>
        <v>#N/A</v>
      </c>
    </row>
    <row r="1125" spans="2:24" x14ac:dyDescent="0.35">
      <c r="B1125" t="str">
        <f>IF(NOT(ISBLANK(A1125)),VLOOKUP(A1125,'BBT3'!A:F,2,0),"")</f>
        <v/>
      </c>
      <c r="C1125" t="str">
        <f>IF(NOT(ISBLANK(A1125)),VLOOKUP(A1125,'BBT3'!A:F,3,0),"")</f>
        <v/>
      </c>
      <c r="D1125" s="5" t="str">
        <f>IF(NOT(ISBLANK(A1125)),VLOOKUP(A1125,'BBT3'!A:F,4,1),"")</f>
        <v/>
      </c>
      <c r="E1125" t="str">
        <f>IF(NOT(ISBLANK(A1125)),VLOOKUP(A1125,'BBT3'!A:F,5,0),"")</f>
        <v/>
      </c>
      <c r="F1125" t="str">
        <f>IF(NOT(ISBLANK(A1125)),VLOOKUP(A1125,'BBT3'!A:F,6,0),"")</f>
        <v/>
      </c>
      <c r="G1125" t="str">
        <f t="shared" si="164"/>
        <v/>
      </c>
      <c r="H1125" t="str">
        <f>IF(NOT(ISBLANK(A1125)),VLOOKUP(A1125,'Close - PriceSaver'!A:J,5,0),"")</f>
        <v/>
      </c>
      <c r="I1125" s="4" t="str" cm="1">
        <f t="array" ref="I1125">IF(NOT(ISBLANK(A1125)),((_xlfn.XLOOKUP(1,(_bbt3[[#All],[ID]]=A1125)*(_bbt3[[#All],[METRIC_NAME]]="YLD_YTM_ASK"),_bbt3[[#All],[METRIC_VALUE]])*0.5)+(_xlfn.XLOOKUP(1,(_bbt3[[#All],[ID]]=A1125)*(_bbt3[[#All],[METRIC_NAME]]="YLD_YTM_BID"),_bbt3[[#All],[METRIC_VALUE]])*0.5))/100,"")</f>
        <v/>
      </c>
      <c r="J1125">
        <f>IF(ISNA(VLOOKUP(A1125,'CloseDL - PriceSaverBBT3'!A:E,5,0)),0,VLOOKUP(A1125,'CloseDL - PriceSaverBBT3'!A:E,5,0))</f>
        <v>0</v>
      </c>
      <c r="K1125" s="7" t="str">
        <f t="shared" si="165"/>
        <v/>
      </c>
      <c r="L1125" s="20">
        <f>IF(Close[[#This Row],[CreatedBy]]="MARINER\SilverAdm",1,0)</f>
        <v>1</v>
      </c>
      <c r="M1125" t="str">
        <f>IF(NOT(ISBLANK(A1125)),VLOOKUP(A1125,'Close - PriceSaver'!A:J,6,0),"")</f>
        <v/>
      </c>
      <c r="Q1125" t="e">
        <f t="shared" si="166"/>
        <v>#N/A</v>
      </c>
      <c r="R1125" t="e">
        <f t="shared" si="167"/>
        <v>#N/A</v>
      </c>
      <c r="S1125" t="e">
        <f t="shared" si="168"/>
        <v>#N/A</v>
      </c>
      <c r="T1125" s="15" t="e">
        <f t="shared" si="170"/>
        <v>#N/A</v>
      </c>
      <c r="U1125" s="18" t="e">
        <f t="shared" si="171"/>
        <v>#N/A</v>
      </c>
      <c r="V1125" s="14" t="e">
        <f t="shared" si="169"/>
        <v>#N/A</v>
      </c>
      <c r="W1125" s="19" t="e">
        <f t="shared" si="172"/>
        <v>#N/A</v>
      </c>
      <c r="X1125" t="e">
        <f>VLOOKUP(P1125,Close[[ID]:[CreatedBy]],8,0)</f>
        <v>#N/A</v>
      </c>
    </row>
    <row r="1126" spans="2:24" x14ac:dyDescent="0.35">
      <c r="B1126" t="str">
        <f>IF(NOT(ISBLANK(A1126)),VLOOKUP(A1126,'BBT3'!A:F,2,0),"")</f>
        <v/>
      </c>
      <c r="C1126" t="str">
        <f>IF(NOT(ISBLANK(A1126)),VLOOKUP(A1126,'BBT3'!A:F,3,0),"")</f>
        <v/>
      </c>
      <c r="D1126" s="5" t="str">
        <f>IF(NOT(ISBLANK(A1126)),VLOOKUP(A1126,'BBT3'!A:F,4,1),"")</f>
        <v/>
      </c>
      <c r="E1126" t="str">
        <f>IF(NOT(ISBLANK(A1126)),VLOOKUP(A1126,'BBT3'!A:F,5,0),"")</f>
        <v/>
      </c>
      <c r="F1126" t="str">
        <f>IF(NOT(ISBLANK(A1126)),VLOOKUP(A1126,'BBT3'!A:F,6,0),"")</f>
        <v/>
      </c>
      <c r="G1126" t="str">
        <f t="shared" si="164"/>
        <v/>
      </c>
      <c r="H1126" t="str">
        <f>IF(NOT(ISBLANK(A1126)),VLOOKUP(A1126,'Close - PriceSaver'!A:J,5,0),"")</f>
        <v/>
      </c>
      <c r="I1126" s="4" t="str" cm="1">
        <f t="array" ref="I1126">IF(NOT(ISBLANK(A1126)),((_xlfn.XLOOKUP(1,(_bbt3[[#All],[ID]]=A1126)*(_bbt3[[#All],[METRIC_NAME]]="YLD_YTM_ASK"),_bbt3[[#All],[METRIC_VALUE]])*0.5)+(_xlfn.XLOOKUP(1,(_bbt3[[#All],[ID]]=A1126)*(_bbt3[[#All],[METRIC_NAME]]="YLD_YTM_BID"),_bbt3[[#All],[METRIC_VALUE]])*0.5))/100,"")</f>
        <v/>
      </c>
      <c r="J1126">
        <f>IF(ISNA(VLOOKUP(A1126,'CloseDL - PriceSaverBBT3'!A:E,5,0)),0,VLOOKUP(A1126,'CloseDL - PriceSaverBBT3'!A:E,5,0))</f>
        <v>0</v>
      </c>
      <c r="K1126" s="7" t="str">
        <f t="shared" si="165"/>
        <v/>
      </c>
      <c r="L1126" s="20">
        <f>IF(Close[[#This Row],[CreatedBy]]="MARINER\SilverAdm",1,0)</f>
        <v>1</v>
      </c>
      <c r="M1126" t="str">
        <f>IF(NOT(ISBLANK(A1126)),VLOOKUP(A1126,'Close - PriceSaver'!A:J,6,0),"")</f>
        <v/>
      </c>
      <c r="Q1126" t="e">
        <f t="shared" si="166"/>
        <v>#N/A</v>
      </c>
      <c r="R1126" t="e">
        <f t="shared" si="167"/>
        <v>#N/A</v>
      </c>
      <c r="S1126" t="e">
        <f t="shared" si="168"/>
        <v>#N/A</v>
      </c>
      <c r="T1126" s="15" t="e">
        <f t="shared" si="170"/>
        <v>#N/A</v>
      </c>
      <c r="U1126" s="18" t="e">
        <f t="shared" si="171"/>
        <v>#N/A</v>
      </c>
      <c r="V1126" s="14" t="e">
        <f t="shared" si="169"/>
        <v>#N/A</v>
      </c>
      <c r="W1126" s="19" t="e">
        <f t="shared" si="172"/>
        <v>#N/A</v>
      </c>
      <c r="X1126" t="e">
        <f>VLOOKUP(P1126,Close[[ID]:[CreatedBy]],8,0)</f>
        <v>#N/A</v>
      </c>
    </row>
    <row r="1127" spans="2:24" x14ac:dyDescent="0.35">
      <c r="B1127" t="str">
        <f>IF(NOT(ISBLANK(A1127)),VLOOKUP(A1127,'BBT3'!A:F,2,0),"")</f>
        <v/>
      </c>
      <c r="C1127" t="str">
        <f>IF(NOT(ISBLANK(A1127)),VLOOKUP(A1127,'BBT3'!A:F,3,0),"")</f>
        <v/>
      </c>
      <c r="D1127" s="5" t="str">
        <f>IF(NOT(ISBLANK(A1127)),VLOOKUP(A1127,'BBT3'!A:F,4,1),"")</f>
        <v/>
      </c>
      <c r="E1127" t="str">
        <f>IF(NOT(ISBLANK(A1127)),VLOOKUP(A1127,'BBT3'!A:F,5,0),"")</f>
        <v/>
      </c>
      <c r="F1127" t="str">
        <f>IF(NOT(ISBLANK(A1127)),VLOOKUP(A1127,'BBT3'!A:F,6,0),"")</f>
        <v/>
      </c>
      <c r="G1127" t="str">
        <f t="shared" si="164"/>
        <v/>
      </c>
      <c r="H1127" t="str">
        <f>IF(NOT(ISBLANK(A1127)),VLOOKUP(A1127,'Close - PriceSaver'!A:J,5,0),"")</f>
        <v/>
      </c>
      <c r="I1127" s="4" t="str" cm="1">
        <f t="array" ref="I1127">IF(NOT(ISBLANK(A1127)),((_xlfn.XLOOKUP(1,(_bbt3[[#All],[ID]]=A1127)*(_bbt3[[#All],[METRIC_NAME]]="YLD_YTM_ASK"),_bbt3[[#All],[METRIC_VALUE]])*0.5)+(_xlfn.XLOOKUP(1,(_bbt3[[#All],[ID]]=A1127)*(_bbt3[[#All],[METRIC_NAME]]="YLD_YTM_BID"),_bbt3[[#All],[METRIC_VALUE]])*0.5))/100,"")</f>
        <v/>
      </c>
      <c r="J1127">
        <f>IF(ISNA(VLOOKUP(A1127,'CloseDL - PriceSaverBBT3'!A:E,5,0)),0,VLOOKUP(A1127,'CloseDL - PriceSaverBBT3'!A:E,5,0))</f>
        <v>0</v>
      </c>
      <c r="K1127" s="7" t="str">
        <f t="shared" si="165"/>
        <v/>
      </c>
      <c r="L1127" s="20">
        <f>IF(Close[[#This Row],[CreatedBy]]="MARINER\SilverAdm",1,0)</f>
        <v>1</v>
      </c>
      <c r="M1127" t="str">
        <f>IF(NOT(ISBLANK(A1127)),VLOOKUP(A1127,'Close - PriceSaver'!A:J,6,0),"")</f>
        <v/>
      </c>
      <c r="Q1127" t="e">
        <f t="shared" si="166"/>
        <v>#N/A</v>
      </c>
      <c r="R1127" t="e">
        <f t="shared" si="167"/>
        <v>#N/A</v>
      </c>
      <c r="S1127" t="e">
        <f t="shared" si="168"/>
        <v>#N/A</v>
      </c>
      <c r="T1127" s="15" t="e">
        <f t="shared" si="170"/>
        <v>#N/A</v>
      </c>
      <c r="U1127" s="18" t="e">
        <f t="shared" si="171"/>
        <v>#N/A</v>
      </c>
      <c r="V1127" s="14" t="e">
        <f t="shared" si="169"/>
        <v>#N/A</v>
      </c>
      <c r="W1127" s="19" t="e">
        <f t="shared" si="172"/>
        <v>#N/A</v>
      </c>
      <c r="X1127" t="e">
        <f>VLOOKUP(P1127,Close[[ID]:[CreatedBy]],8,0)</f>
        <v>#N/A</v>
      </c>
    </row>
    <row r="1128" spans="2:24" x14ac:dyDescent="0.35">
      <c r="B1128" t="str">
        <f>IF(NOT(ISBLANK(A1128)),VLOOKUP(A1128,'BBT3'!A:F,2,0),"")</f>
        <v/>
      </c>
      <c r="C1128" t="str">
        <f>IF(NOT(ISBLANK(A1128)),VLOOKUP(A1128,'BBT3'!A:F,3,0),"")</f>
        <v/>
      </c>
      <c r="D1128" s="5" t="str">
        <f>IF(NOT(ISBLANK(A1128)),VLOOKUP(A1128,'BBT3'!A:F,4,1),"")</f>
        <v/>
      </c>
      <c r="E1128" t="str">
        <f>IF(NOT(ISBLANK(A1128)),VLOOKUP(A1128,'BBT3'!A:F,5,0),"")</f>
        <v/>
      </c>
      <c r="F1128" t="str">
        <f>IF(NOT(ISBLANK(A1128)),VLOOKUP(A1128,'BBT3'!A:F,6,0),"")</f>
        <v/>
      </c>
      <c r="G1128" t="str">
        <f t="shared" si="164"/>
        <v/>
      </c>
      <c r="H1128" t="str">
        <f>IF(NOT(ISBLANK(A1128)),VLOOKUP(A1128,'Close - PriceSaver'!A:J,5,0),"")</f>
        <v/>
      </c>
      <c r="I1128" s="4" t="str" cm="1">
        <f t="array" ref="I1128">IF(NOT(ISBLANK(A1128)),((_xlfn.XLOOKUP(1,(_bbt3[[#All],[ID]]=A1128)*(_bbt3[[#All],[METRIC_NAME]]="YLD_YTM_ASK"),_bbt3[[#All],[METRIC_VALUE]])*0.5)+(_xlfn.XLOOKUP(1,(_bbt3[[#All],[ID]]=A1128)*(_bbt3[[#All],[METRIC_NAME]]="YLD_YTM_BID"),_bbt3[[#All],[METRIC_VALUE]])*0.5))/100,"")</f>
        <v/>
      </c>
      <c r="J1128">
        <f>IF(ISNA(VLOOKUP(A1128,'CloseDL - PriceSaverBBT3'!A:E,5,0)),0,VLOOKUP(A1128,'CloseDL - PriceSaverBBT3'!A:E,5,0))</f>
        <v>0</v>
      </c>
      <c r="K1128" s="7" t="str">
        <f t="shared" si="165"/>
        <v/>
      </c>
      <c r="L1128" s="20">
        <f>IF(Close[[#This Row],[CreatedBy]]="MARINER\SilverAdm",1,0)</f>
        <v>1</v>
      </c>
      <c r="M1128" t="str">
        <f>IF(NOT(ISBLANK(A1128)),VLOOKUP(A1128,'Close - PriceSaver'!A:J,6,0),"")</f>
        <v/>
      </c>
      <c r="Q1128" t="e">
        <f t="shared" si="166"/>
        <v>#N/A</v>
      </c>
      <c r="R1128" t="e">
        <f t="shared" si="167"/>
        <v>#N/A</v>
      </c>
      <c r="S1128" t="e">
        <f t="shared" si="168"/>
        <v>#N/A</v>
      </c>
      <c r="T1128" s="15" t="e">
        <f t="shared" si="170"/>
        <v>#N/A</v>
      </c>
      <c r="U1128" s="18" t="e">
        <f t="shared" si="171"/>
        <v>#N/A</v>
      </c>
      <c r="V1128" s="14" t="e">
        <f t="shared" si="169"/>
        <v>#N/A</v>
      </c>
      <c r="W1128" s="19" t="e">
        <f t="shared" si="172"/>
        <v>#N/A</v>
      </c>
      <c r="X1128" t="e">
        <f>VLOOKUP(P1128,Close[[ID]:[CreatedBy]],8,0)</f>
        <v>#N/A</v>
      </c>
    </row>
    <row r="1129" spans="2:24" x14ac:dyDescent="0.35">
      <c r="B1129" t="str">
        <f>IF(NOT(ISBLANK(A1129)),VLOOKUP(A1129,'BBT3'!A:F,2,0),"")</f>
        <v/>
      </c>
      <c r="C1129" t="str">
        <f>IF(NOT(ISBLANK(A1129)),VLOOKUP(A1129,'BBT3'!A:F,3,0),"")</f>
        <v/>
      </c>
      <c r="D1129" s="5" t="str">
        <f>IF(NOT(ISBLANK(A1129)),VLOOKUP(A1129,'BBT3'!A:F,4,1),"")</f>
        <v/>
      </c>
      <c r="E1129" t="str">
        <f>IF(NOT(ISBLANK(A1129)),VLOOKUP(A1129,'BBT3'!A:F,5,0),"")</f>
        <v/>
      </c>
      <c r="F1129" t="str">
        <f>IF(NOT(ISBLANK(A1129)),VLOOKUP(A1129,'BBT3'!A:F,6,0),"")</f>
        <v/>
      </c>
      <c r="G1129" t="str">
        <f t="shared" si="164"/>
        <v/>
      </c>
      <c r="H1129" t="str">
        <f>IF(NOT(ISBLANK(A1129)),VLOOKUP(A1129,'Close - PriceSaver'!A:J,5,0),"")</f>
        <v/>
      </c>
      <c r="I1129" s="4" t="str" cm="1">
        <f t="array" ref="I1129">IF(NOT(ISBLANK(A1129)),((_xlfn.XLOOKUP(1,(_bbt3[[#All],[ID]]=A1129)*(_bbt3[[#All],[METRIC_NAME]]="YLD_YTM_ASK"),_bbt3[[#All],[METRIC_VALUE]])*0.5)+(_xlfn.XLOOKUP(1,(_bbt3[[#All],[ID]]=A1129)*(_bbt3[[#All],[METRIC_NAME]]="YLD_YTM_BID"),_bbt3[[#All],[METRIC_VALUE]])*0.5))/100,"")</f>
        <v/>
      </c>
      <c r="J1129">
        <f>IF(ISNA(VLOOKUP(A1129,'CloseDL - PriceSaverBBT3'!A:E,5,0)),0,VLOOKUP(A1129,'CloseDL - PriceSaverBBT3'!A:E,5,0))</f>
        <v>0</v>
      </c>
      <c r="K1129" s="7" t="str">
        <f t="shared" si="165"/>
        <v/>
      </c>
      <c r="L1129" s="20">
        <f>IF(Close[[#This Row],[CreatedBy]]="MARINER\SilverAdm",1,0)</f>
        <v>1</v>
      </c>
      <c r="M1129" t="str">
        <f>IF(NOT(ISBLANK(A1129)),VLOOKUP(A1129,'Close - PriceSaver'!A:J,6,0),"")</f>
        <v/>
      </c>
      <c r="Q1129" t="e">
        <f t="shared" si="166"/>
        <v>#N/A</v>
      </c>
      <c r="R1129" t="e">
        <f t="shared" si="167"/>
        <v>#N/A</v>
      </c>
      <c r="S1129" t="e">
        <f t="shared" si="168"/>
        <v>#N/A</v>
      </c>
      <c r="T1129" s="15" t="e">
        <f t="shared" si="170"/>
        <v>#N/A</v>
      </c>
      <c r="U1129" s="18" t="e">
        <f t="shared" si="171"/>
        <v>#N/A</v>
      </c>
      <c r="V1129" s="14" t="e">
        <f t="shared" si="169"/>
        <v>#N/A</v>
      </c>
      <c r="W1129" s="19" t="e">
        <f t="shared" si="172"/>
        <v>#N/A</v>
      </c>
      <c r="X1129" t="e">
        <f>VLOOKUP(P1129,Close[[ID]:[CreatedBy]],8,0)</f>
        <v>#N/A</v>
      </c>
    </row>
    <row r="1130" spans="2:24" x14ac:dyDescent="0.35">
      <c r="B1130" t="str">
        <f>IF(NOT(ISBLANK(A1130)),VLOOKUP(A1130,'BBT3'!A:F,2,0),"")</f>
        <v/>
      </c>
      <c r="C1130" t="str">
        <f>IF(NOT(ISBLANK(A1130)),VLOOKUP(A1130,'BBT3'!A:F,3,0),"")</f>
        <v/>
      </c>
      <c r="D1130" s="5" t="str">
        <f>IF(NOT(ISBLANK(A1130)),VLOOKUP(A1130,'BBT3'!A:F,4,1),"")</f>
        <v/>
      </c>
      <c r="E1130" t="str">
        <f>IF(NOT(ISBLANK(A1130)),VLOOKUP(A1130,'BBT3'!A:F,5,0),"")</f>
        <v/>
      </c>
      <c r="F1130" t="str">
        <f>IF(NOT(ISBLANK(A1130)),VLOOKUP(A1130,'BBT3'!A:F,6,0),"")</f>
        <v/>
      </c>
      <c r="G1130" t="str">
        <f t="shared" si="164"/>
        <v/>
      </c>
      <c r="H1130" t="str">
        <f>IF(NOT(ISBLANK(A1130)),VLOOKUP(A1130,'Close - PriceSaver'!A:J,5,0),"")</f>
        <v/>
      </c>
      <c r="I1130" s="4" t="str" cm="1">
        <f t="array" ref="I1130">IF(NOT(ISBLANK(A1130)),((_xlfn.XLOOKUP(1,(_bbt3[[#All],[ID]]=A1130)*(_bbt3[[#All],[METRIC_NAME]]="YLD_YTM_ASK"),_bbt3[[#All],[METRIC_VALUE]])*0.5)+(_xlfn.XLOOKUP(1,(_bbt3[[#All],[ID]]=A1130)*(_bbt3[[#All],[METRIC_NAME]]="YLD_YTM_BID"),_bbt3[[#All],[METRIC_VALUE]])*0.5))/100,"")</f>
        <v/>
      </c>
      <c r="J1130">
        <f>IF(ISNA(VLOOKUP(A1130,'CloseDL - PriceSaverBBT3'!A:E,5,0)),0,VLOOKUP(A1130,'CloseDL - PriceSaverBBT3'!A:E,5,0))</f>
        <v>0</v>
      </c>
      <c r="K1130" s="7" t="str">
        <f t="shared" si="165"/>
        <v/>
      </c>
      <c r="L1130" s="20">
        <f>IF(Close[[#This Row],[CreatedBy]]="MARINER\SilverAdm",1,0)</f>
        <v>1</v>
      </c>
      <c r="M1130" t="str">
        <f>IF(NOT(ISBLANK(A1130)),VLOOKUP(A1130,'Close - PriceSaver'!A:J,6,0),"")</f>
        <v/>
      </c>
      <c r="Q1130" t="e">
        <f t="shared" si="166"/>
        <v>#N/A</v>
      </c>
      <c r="R1130" t="e">
        <f t="shared" si="167"/>
        <v>#N/A</v>
      </c>
      <c r="S1130" t="e">
        <f t="shared" si="168"/>
        <v>#N/A</v>
      </c>
      <c r="T1130" s="15" t="e">
        <f t="shared" si="170"/>
        <v>#N/A</v>
      </c>
      <c r="U1130" s="18" t="e">
        <f t="shared" si="171"/>
        <v>#N/A</v>
      </c>
      <c r="V1130" s="14" t="e">
        <f t="shared" si="169"/>
        <v>#N/A</v>
      </c>
      <c r="W1130" s="19" t="e">
        <f t="shared" si="172"/>
        <v>#N/A</v>
      </c>
      <c r="X1130" t="e">
        <f>VLOOKUP(P1130,Close[[ID]:[CreatedBy]],8,0)</f>
        <v>#N/A</v>
      </c>
    </row>
    <row r="1131" spans="2:24" x14ac:dyDescent="0.35">
      <c r="B1131" t="str">
        <f>IF(NOT(ISBLANK(A1131)),VLOOKUP(A1131,'BBT3'!A:F,2,0),"")</f>
        <v/>
      </c>
      <c r="C1131" t="str">
        <f>IF(NOT(ISBLANK(A1131)),VLOOKUP(A1131,'BBT3'!A:F,3,0),"")</f>
        <v/>
      </c>
      <c r="D1131" s="5" t="str">
        <f>IF(NOT(ISBLANK(A1131)),VLOOKUP(A1131,'BBT3'!A:F,4,1),"")</f>
        <v/>
      </c>
      <c r="E1131" t="str">
        <f>IF(NOT(ISBLANK(A1131)),VLOOKUP(A1131,'BBT3'!A:F,5,0),"")</f>
        <v/>
      </c>
      <c r="F1131" t="str">
        <f>IF(NOT(ISBLANK(A1131)),VLOOKUP(A1131,'BBT3'!A:F,6,0),"")</f>
        <v/>
      </c>
      <c r="G1131" t="str">
        <f t="shared" si="164"/>
        <v/>
      </c>
      <c r="H1131" t="str">
        <f>IF(NOT(ISBLANK(A1131)),VLOOKUP(A1131,'Close - PriceSaver'!A:J,5,0),"")</f>
        <v/>
      </c>
      <c r="I1131" s="4" t="str" cm="1">
        <f t="array" ref="I1131">IF(NOT(ISBLANK(A1131)),((_xlfn.XLOOKUP(1,(_bbt3[[#All],[ID]]=A1131)*(_bbt3[[#All],[METRIC_NAME]]="YLD_YTM_ASK"),_bbt3[[#All],[METRIC_VALUE]])*0.5)+(_xlfn.XLOOKUP(1,(_bbt3[[#All],[ID]]=A1131)*(_bbt3[[#All],[METRIC_NAME]]="YLD_YTM_BID"),_bbt3[[#All],[METRIC_VALUE]])*0.5))/100,"")</f>
        <v/>
      </c>
      <c r="J1131">
        <f>IF(ISNA(VLOOKUP(A1131,'CloseDL - PriceSaverBBT3'!A:E,5,0)),0,VLOOKUP(A1131,'CloseDL - PriceSaverBBT3'!A:E,5,0))</f>
        <v>0</v>
      </c>
      <c r="K1131" s="7" t="str">
        <f t="shared" si="165"/>
        <v/>
      </c>
      <c r="L1131" s="20">
        <f>IF(Close[[#This Row],[CreatedBy]]="MARINER\SilverAdm",1,0)</f>
        <v>1</v>
      </c>
      <c r="M1131" t="str">
        <f>IF(NOT(ISBLANK(A1131)),VLOOKUP(A1131,'Close - PriceSaver'!A:J,6,0),"")</f>
        <v/>
      </c>
      <c r="Q1131" t="e">
        <f t="shared" si="166"/>
        <v>#N/A</v>
      </c>
      <c r="R1131" t="e">
        <f t="shared" si="167"/>
        <v>#N/A</v>
      </c>
      <c r="S1131" t="e">
        <f t="shared" si="168"/>
        <v>#N/A</v>
      </c>
      <c r="T1131" s="15" t="e">
        <f t="shared" si="170"/>
        <v>#N/A</v>
      </c>
      <c r="U1131" s="18" t="e">
        <f t="shared" si="171"/>
        <v>#N/A</v>
      </c>
      <c r="V1131" s="14" t="e">
        <f t="shared" si="169"/>
        <v>#N/A</v>
      </c>
      <c r="W1131" s="19" t="e">
        <f t="shared" si="172"/>
        <v>#N/A</v>
      </c>
      <c r="X1131" t="e">
        <f>VLOOKUP(P1131,Close[[ID]:[CreatedBy]],8,0)</f>
        <v>#N/A</v>
      </c>
    </row>
    <row r="1132" spans="2:24" x14ac:dyDescent="0.35">
      <c r="B1132" t="str">
        <f>IF(NOT(ISBLANK(A1132)),VLOOKUP(A1132,'BBT3'!A:F,2,0),"")</f>
        <v/>
      </c>
      <c r="C1132" t="str">
        <f>IF(NOT(ISBLANK(A1132)),VLOOKUP(A1132,'BBT3'!A:F,3,0),"")</f>
        <v/>
      </c>
      <c r="D1132" s="5" t="str">
        <f>IF(NOT(ISBLANK(A1132)),VLOOKUP(A1132,'BBT3'!A:F,4,1),"")</f>
        <v/>
      </c>
      <c r="E1132" t="str">
        <f>IF(NOT(ISBLANK(A1132)),VLOOKUP(A1132,'BBT3'!A:F,5,0),"")</f>
        <v/>
      </c>
      <c r="F1132" t="str">
        <f>IF(NOT(ISBLANK(A1132)),VLOOKUP(A1132,'BBT3'!A:F,6,0),"")</f>
        <v/>
      </c>
      <c r="G1132" t="str">
        <f t="shared" si="164"/>
        <v/>
      </c>
      <c r="H1132" t="str">
        <f>IF(NOT(ISBLANK(A1132)),VLOOKUP(A1132,'Close - PriceSaver'!A:J,5,0),"")</f>
        <v/>
      </c>
      <c r="I1132" s="4" t="str" cm="1">
        <f t="array" ref="I1132">IF(NOT(ISBLANK(A1132)),((_xlfn.XLOOKUP(1,(_bbt3[[#All],[ID]]=A1132)*(_bbt3[[#All],[METRIC_NAME]]="YLD_YTM_ASK"),_bbt3[[#All],[METRIC_VALUE]])*0.5)+(_xlfn.XLOOKUP(1,(_bbt3[[#All],[ID]]=A1132)*(_bbt3[[#All],[METRIC_NAME]]="YLD_YTM_BID"),_bbt3[[#All],[METRIC_VALUE]])*0.5))/100,"")</f>
        <v/>
      </c>
      <c r="J1132">
        <f>IF(ISNA(VLOOKUP(A1132,'CloseDL - PriceSaverBBT3'!A:E,5,0)),0,VLOOKUP(A1132,'CloseDL - PriceSaverBBT3'!A:E,5,0))</f>
        <v>0</v>
      </c>
      <c r="K1132" s="7" t="str">
        <f t="shared" si="165"/>
        <v/>
      </c>
      <c r="L1132" s="20">
        <f>IF(Close[[#This Row],[CreatedBy]]="MARINER\SilverAdm",1,0)</f>
        <v>1</v>
      </c>
      <c r="M1132" t="str">
        <f>IF(NOT(ISBLANK(A1132)),VLOOKUP(A1132,'Close - PriceSaver'!A:J,6,0),"")</f>
        <v/>
      </c>
      <c r="Q1132" t="e">
        <f t="shared" si="166"/>
        <v>#N/A</v>
      </c>
      <c r="R1132" t="e">
        <f t="shared" si="167"/>
        <v>#N/A</v>
      </c>
      <c r="S1132" t="e">
        <f t="shared" si="168"/>
        <v>#N/A</v>
      </c>
      <c r="T1132" s="15" t="e">
        <f t="shared" si="170"/>
        <v>#N/A</v>
      </c>
      <c r="U1132" s="18" t="e">
        <f t="shared" si="171"/>
        <v>#N/A</v>
      </c>
      <c r="V1132" s="14" t="e">
        <f t="shared" si="169"/>
        <v>#N/A</v>
      </c>
      <c r="W1132" s="19" t="e">
        <f t="shared" si="172"/>
        <v>#N/A</v>
      </c>
      <c r="X1132" t="e">
        <f>VLOOKUP(P1132,Close[[ID]:[CreatedBy]],8,0)</f>
        <v>#N/A</v>
      </c>
    </row>
    <row r="1133" spans="2:24" x14ac:dyDescent="0.35">
      <c r="B1133" t="str">
        <f>IF(NOT(ISBLANK(A1133)),VLOOKUP(A1133,'BBT3'!A:F,2,0),"")</f>
        <v/>
      </c>
      <c r="C1133" t="str">
        <f>IF(NOT(ISBLANK(A1133)),VLOOKUP(A1133,'BBT3'!A:F,3,0),"")</f>
        <v/>
      </c>
      <c r="D1133" s="5" t="str">
        <f>IF(NOT(ISBLANK(A1133)),VLOOKUP(A1133,'BBT3'!A:F,4,1),"")</f>
        <v/>
      </c>
      <c r="E1133" t="str">
        <f>IF(NOT(ISBLANK(A1133)),VLOOKUP(A1133,'BBT3'!A:F,5,0),"")</f>
        <v/>
      </c>
      <c r="F1133" t="str">
        <f>IF(NOT(ISBLANK(A1133)),VLOOKUP(A1133,'BBT3'!A:F,6,0),"")</f>
        <v/>
      </c>
      <c r="G1133" t="str">
        <f t="shared" si="164"/>
        <v/>
      </c>
      <c r="H1133" t="str">
        <f>IF(NOT(ISBLANK(A1133)),VLOOKUP(A1133,'Close - PriceSaver'!A:J,5,0),"")</f>
        <v/>
      </c>
      <c r="I1133" s="4" t="str" cm="1">
        <f t="array" ref="I1133">IF(NOT(ISBLANK(A1133)),((_xlfn.XLOOKUP(1,(_bbt3[[#All],[ID]]=A1133)*(_bbt3[[#All],[METRIC_NAME]]="YLD_YTM_ASK"),_bbt3[[#All],[METRIC_VALUE]])*0.5)+(_xlfn.XLOOKUP(1,(_bbt3[[#All],[ID]]=A1133)*(_bbt3[[#All],[METRIC_NAME]]="YLD_YTM_BID"),_bbt3[[#All],[METRIC_VALUE]])*0.5))/100,"")</f>
        <v/>
      </c>
      <c r="J1133">
        <f>IF(ISNA(VLOOKUP(A1133,'CloseDL - PriceSaverBBT3'!A:E,5,0)),0,VLOOKUP(A1133,'CloseDL - PriceSaverBBT3'!A:E,5,0))</f>
        <v>0</v>
      </c>
      <c r="K1133" s="7" t="str">
        <f t="shared" si="165"/>
        <v/>
      </c>
      <c r="L1133" s="20">
        <f>IF(Close[[#This Row],[CreatedBy]]="MARINER\SilverAdm",1,0)</f>
        <v>1</v>
      </c>
      <c r="M1133" t="str">
        <f>IF(NOT(ISBLANK(A1133)),VLOOKUP(A1133,'Close - PriceSaver'!A:J,6,0),"")</f>
        <v/>
      </c>
      <c r="Q1133" t="e">
        <f t="shared" si="166"/>
        <v>#N/A</v>
      </c>
      <c r="R1133" t="e">
        <f t="shared" si="167"/>
        <v>#N/A</v>
      </c>
      <c r="S1133" t="e">
        <f t="shared" si="168"/>
        <v>#N/A</v>
      </c>
      <c r="T1133" s="15" t="e">
        <f t="shared" si="170"/>
        <v>#N/A</v>
      </c>
      <c r="U1133" s="18" t="e">
        <f t="shared" si="171"/>
        <v>#N/A</v>
      </c>
      <c r="V1133" s="14" t="e">
        <f t="shared" si="169"/>
        <v>#N/A</v>
      </c>
      <c r="W1133" s="19" t="e">
        <f t="shared" si="172"/>
        <v>#N/A</v>
      </c>
      <c r="X1133" t="e">
        <f>VLOOKUP(P1133,Close[[ID]:[CreatedBy]],8,0)</f>
        <v>#N/A</v>
      </c>
    </row>
    <row r="1134" spans="2:24" x14ac:dyDescent="0.35">
      <c r="B1134" t="str">
        <f>IF(NOT(ISBLANK(A1134)),VLOOKUP(A1134,'BBT3'!A:F,2,0),"")</f>
        <v/>
      </c>
      <c r="C1134" t="str">
        <f>IF(NOT(ISBLANK(A1134)),VLOOKUP(A1134,'BBT3'!A:F,3,0),"")</f>
        <v/>
      </c>
      <c r="D1134" s="5" t="str">
        <f>IF(NOT(ISBLANK(A1134)),VLOOKUP(A1134,'BBT3'!A:F,4,1),"")</f>
        <v/>
      </c>
      <c r="E1134" t="str">
        <f>IF(NOT(ISBLANK(A1134)),VLOOKUP(A1134,'BBT3'!A:F,5,0),"")</f>
        <v/>
      </c>
      <c r="F1134" t="str">
        <f>IF(NOT(ISBLANK(A1134)),VLOOKUP(A1134,'BBT3'!A:F,6,0),"")</f>
        <v/>
      </c>
      <c r="G1134" t="str">
        <f t="shared" si="164"/>
        <v/>
      </c>
      <c r="H1134" t="str">
        <f>IF(NOT(ISBLANK(A1134)),VLOOKUP(A1134,'Close - PriceSaver'!A:J,5,0),"")</f>
        <v/>
      </c>
      <c r="I1134" s="4" t="str" cm="1">
        <f t="array" ref="I1134">IF(NOT(ISBLANK(A1134)),((_xlfn.XLOOKUP(1,(_bbt3[[#All],[ID]]=A1134)*(_bbt3[[#All],[METRIC_NAME]]="YLD_YTM_ASK"),_bbt3[[#All],[METRIC_VALUE]])*0.5)+(_xlfn.XLOOKUP(1,(_bbt3[[#All],[ID]]=A1134)*(_bbt3[[#All],[METRIC_NAME]]="YLD_YTM_BID"),_bbt3[[#All],[METRIC_VALUE]])*0.5))/100,"")</f>
        <v/>
      </c>
      <c r="J1134">
        <f>IF(ISNA(VLOOKUP(A1134,'CloseDL - PriceSaverBBT3'!A:E,5,0)),0,VLOOKUP(A1134,'CloseDL - PriceSaverBBT3'!A:E,5,0))</f>
        <v>0</v>
      </c>
      <c r="K1134" s="7" t="str">
        <f t="shared" si="165"/>
        <v/>
      </c>
      <c r="L1134" s="20">
        <f>IF(Close[[#This Row],[CreatedBy]]="MARINER\SilverAdm",1,0)</f>
        <v>1</v>
      </c>
      <c r="M1134" t="str">
        <f>IF(NOT(ISBLANK(A1134)),VLOOKUP(A1134,'Close - PriceSaver'!A:J,6,0),"")</f>
        <v/>
      </c>
      <c r="Q1134" t="e">
        <f t="shared" si="166"/>
        <v>#N/A</v>
      </c>
      <c r="R1134" t="e">
        <f t="shared" si="167"/>
        <v>#N/A</v>
      </c>
      <c r="S1134" t="e">
        <f t="shared" si="168"/>
        <v>#N/A</v>
      </c>
      <c r="T1134" s="15" t="e">
        <f t="shared" si="170"/>
        <v>#N/A</v>
      </c>
      <c r="U1134" s="18" t="e">
        <f t="shared" si="171"/>
        <v>#N/A</v>
      </c>
      <c r="V1134" s="14" t="e">
        <f t="shared" si="169"/>
        <v>#N/A</v>
      </c>
      <c r="W1134" s="19" t="e">
        <f t="shared" si="172"/>
        <v>#N/A</v>
      </c>
      <c r="X1134" t="e">
        <f>VLOOKUP(P1134,Close[[ID]:[CreatedBy]],8,0)</f>
        <v>#N/A</v>
      </c>
    </row>
    <row r="1135" spans="2:24" x14ac:dyDescent="0.35">
      <c r="B1135" t="str">
        <f>IF(NOT(ISBLANK(A1135)),VLOOKUP(A1135,'BBT3'!A:F,2,0),"")</f>
        <v/>
      </c>
      <c r="C1135" t="str">
        <f>IF(NOT(ISBLANK(A1135)),VLOOKUP(A1135,'BBT3'!A:F,3,0),"")</f>
        <v/>
      </c>
      <c r="D1135" s="5" t="str">
        <f>IF(NOT(ISBLANK(A1135)),VLOOKUP(A1135,'BBT3'!A:F,4,1),"")</f>
        <v/>
      </c>
      <c r="E1135" t="str">
        <f>IF(NOT(ISBLANK(A1135)),VLOOKUP(A1135,'BBT3'!A:F,5,0),"")</f>
        <v/>
      </c>
      <c r="F1135" t="str">
        <f>IF(NOT(ISBLANK(A1135)),VLOOKUP(A1135,'BBT3'!A:F,6,0),"")</f>
        <v/>
      </c>
      <c r="G1135" t="str">
        <f t="shared" si="164"/>
        <v/>
      </c>
      <c r="H1135" t="str">
        <f>IF(NOT(ISBLANK(A1135)),VLOOKUP(A1135,'Close - PriceSaver'!A:J,5,0),"")</f>
        <v/>
      </c>
      <c r="I1135" s="4" t="str" cm="1">
        <f t="array" ref="I1135">IF(NOT(ISBLANK(A1135)),((_xlfn.XLOOKUP(1,(_bbt3[[#All],[ID]]=A1135)*(_bbt3[[#All],[METRIC_NAME]]="YLD_YTM_ASK"),_bbt3[[#All],[METRIC_VALUE]])*0.5)+(_xlfn.XLOOKUP(1,(_bbt3[[#All],[ID]]=A1135)*(_bbt3[[#All],[METRIC_NAME]]="YLD_YTM_BID"),_bbt3[[#All],[METRIC_VALUE]])*0.5))/100,"")</f>
        <v/>
      </c>
      <c r="J1135">
        <f>IF(ISNA(VLOOKUP(A1135,'CloseDL - PriceSaverBBT3'!A:E,5,0)),0,VLOOKUP(A1135,'CloseDL - PriceSaverBBT3'!A:E,5,0))</f>
        <v>0</v>
      </c>
      <c r="K1135" s="7" t="str">
        <f t="shared" si="165"/>
        <v/>
      </c>
      <c r="L1135" s="20">
        <f>IF(Close[[#This Row],[CreatedBy]]="MARINER\SilverAdm",1,0)</f>
        <v>1</v>
      </c>
      <c r="M1135" t="str">
        <f>IF(NOT(ISBLANK(A1135)),VLOOKUP(A1135,'Close - PriceSaver'!A:J,6,0),"")</f>
        <v/>
      </c>
      <c r="Q1135" t="e">
        <f t="shared" si="166"/>
        <v>#N/A</v>
      </c>
      <c r="R1135" t="e">
        <f t="shared" si="167"/>
        <v>#N/A</v>
      </c>
      <c r="S1135" t="e">
        <f t="shared" si="168"/>
        <v>#N/A</v>
      </c>
      <c r="T1135" s="15" t="e">
        <f t="shared" si="170"/>
        <v>#N/A</v>
      </c>
      <c r="U1135" s="18" t="e">
        <f t="shared" si="171"/>
        <v>#N/A</v>
      </c>
      <c r="V1135" s="14" t="e">
        <f t="shared" si="169"/>
        <v>#N/A</v>
      </c>
      <c r="W1135" s="19" t="e">
        <f t="shared" si="172"/>
        <v>#N/A</v>
      </c>
      <c r="X1135" t="e">
        <f>VLOOKUP(P1135,Close[[ID]:[CreatedBy]],8,0)</f>
        <v>#N/A</v>
      </c>
    </row>
    <row r="1136" spans="2:24" x14ac:dyDescent="0.35">
      <c r="B1136" t="str">
        <f>IF(NOT(ISBLANK(A1136)),VLOOKUP(A1136,'BBT3'!A:F,2,0),"")</f>
        <v/>
      </c>
      <c r="C1136" t="str">
        <f>IF(NOT(ISBLANK(A1136)),VLOOKUP(A1136,'BBT3'!A:F,3,0),"")</f>
        <v/>
      </c>
      <c r="D1136" s="5" t="str">
        <f>IF(NOT(ISBLANK(A1136)),VLOOKUP(A1136,'BBT3'!A:F,4,1),"")</f>
        <v/>
      </c>
      <c r="E1136" t="str">
        <f>IF(NOT(ISBLANK(A1136)),VLOOKUP(A1136,'BBT3'!A:F,5,0),"")</f>
        <v/>
      </c>
      <c r="F1136" t="str">
        <f>IF(NOT(ISBLANK(A1136)),VLOOKUP(A1136,'BBT3'!A:F,6,0),"")</f>
        <v/>
      </c>
      <c r="G1136" t="str">
        <f t="shared" si="164"/>
        <v/>
      </c>
      <c r="H1136" t="str">
        <f>IF(NOT(ISBLANK(A1136)),VLOOKUP(A1136,'Close - PriceSaver'!A:J,5,0),"")</f>
        <v/>
      </c>
      <c r="I1136" s="4" t="str" cm="1">
        <f t="array" ref="I1136">IF(NOT(ISBLANK(A1136)),((_xlfn.XLOOKUP(1,(_bbt3[[#All],[ID]]=A1136)*(_bbt3[[#All],[METRIC_NAME]]="YLD_YTM_ASK"),_bbt3[[#All],[METRIC_VALUE]])*0.5)+(_xlfn.XLOOKUP(1,(_bbt3[[#All],[ID]]=A1136)*(_bbt3[[#All],[METRIC_NAME]]="YLD_YTM_BID"),_bbt3[[#All],[METRIC_VALUE]])*0.5))/100,"")</f>
        <v/>
      </c>
      <c r="J1136">
        <f>IF(ISNA(VLOOKUP(A1136,'CloseDL - PriceSaverBBT3'!A:E,5,0)),0,VLOOKUP(A1136,'CloseDL - PriceSaverBBT3'!A:E,5,0))</f>
        <v>0</v>
      </c>
      <c r="K1136" s="7" t="str">
        <f t="shared" si="165"/>
        <v/>
      </c>
      <c r="L1136" s="20">
        <f>IF(Close[[#This Row],[CreatedBy]]="MARINER\SilverAdm",1,0)</f>
        <v>1</v>
      </c>
      <c r="M1136" t="str">
        <f>IF(NOT(ISBLANK(A1136)),VLOOKUP(A1136,'Close - PriceSaver'!A:J,6,0),"")</f>
        <v/>
      </c>
      <c r="Q1136" t="e">
        <f t="shared" si="166"/>
        <v>#N/A</v>
      </c>
      <c r="R1136" t="e">
        <f t="shared" si="167"/>
        <v>#N/A</v>
      </c>
      <c r="S1136" t="e">
        <f t="shared" si="168"/>
        <v>#N/A</v>
      </c>
      <c r="T1136" s="15" t="e">
        <f t="shared" si="170"/>
        <v>#N/A</v>
      </c>
      <c r="U1136" s="18" t="e">
        <f t="shared" si="171"/>
        <v>#N/A</v>
      </c>
      <c r="V1136" s="14" t="e">
        <f t="shared" si="169"/>
        <v>#N/A</v>
      </c>
      <c r="W1136" s="19" t="e">
        <f t="shared" si="172"/>
        <v>#N/A</v>
      </c>
      <c r="X1136" t="e">
        <f>VLOOKUP(P1136,Close[[ID]:[CreatedBy]],8,0)</f>
        <v>#N/A</v>
      </c>
    </row>
    <row r="1137" spans="2:24" x14ac:dyDescent="0.35">
      <c r="B1137" t="str">
        <f>IF(NOT(ISBLANK(A1137)),VLOOKUP(A1137,'BBT3'!A:F,2,0),"")</f>
        <v/>
      </c>
      <c r="C1137" t="str">
        <f>IF(NOT(ISBLANK(A1137)),VLOOKUP(A1137,'BBT3'!A:F,3,0),"")</f>
        <v/>
      </c>
      <c r="D1137" s="5" t="str">
        <f>IF(NOT(ISBLANK(A1137)),VLOOKUP(A1137,'BBT3'!A:F,4,1),"")</f>
        <v/>
      </c>
      <c r="E1137" t="str">
        <f>IF(NOT(ISBLANK(A1137)),VLOOKUP(A1137,'BBT3'!A:F,5,0),"")</f>
        <v/>
      </c>
      <c r="F1137" t="str">
        <f>IF(NOT(ISBLANK(A1137)),VLOOKUP(A1137,'BBT3'!A:F,6,0),"")</f>
        <v/>
      </c>
      <c r="G1137" t="str">
        <f t="shared" si="164"/>
        <v/>
      </c>
      <c r="H1137" t="str">
        <f>IF(NOT(ISBLANK(A1137)),VLOOKUP(A1137,'Close - PriceSaver'!A:J,5,0),"")</f>
        <v/>
      </c>
      <c r="I1137" s="4" t="str" cm="1">
        <f t="array" ref="I1137">IF(NOT(ISBLANK(A1137)),((_xlfn.XLOOKUP(1,(_bbt3[[#All],[ID]]=A1137)*(_bbt3[[#All],[METRIC_NAME]]="YLD_YTM_ASK"),_bbt3[[#All],[METRIC_VALUE]])*0.5)+(_xlfn.XLOOKUP(1,(_bbt3[[#All],[ID]]=A1137)*(_bbt3[[#All],[METRIC_NAME]]="YLD_YTM_BID"),_bbt3[[#All],[METRIC_VALUE]])*0.5))/100,"")</f>
        <v/>
      </c>
      <c r="J1137">
        <f>IF(ISNA(VLOOKUP(A1137,'CloseDL - PriceSaverBBT3'!A:E,5,0)),0,VLOOKUP(A1137,'CloseDL - PriceSaverBBT3'!A:E,5,0))</f>
        <v>0</v>
      </c>
      <c r="K1137" s="7" t="str">
        <f t="shared" si="165"/>
        <v/>
      </c>
      <c r="L1137" s="20">
        <f>IF(Close[[#This Row],[CreatedBy]]="MARINER\SilverAdm",1,0)</f>
        <v>1</v>
      </c>
      <c r="M1137" t="str">
        <f>IF(NOT(ISBLANK(A1137)),VLOOKUP(A1137,'Close - PriceSaver'!A:J,6,0),"")</f>
        <v/>
      </c>
      <c r="Q1137" t="e">
        <f t="shared" si="166"/>
        <v>#N/A</v>
      </c>
      <c r="R1137" t="e">
        <f t="shared" si="167"/>
        <v>#N/A</v>
      </c>
      <c r="S1137" t="e">
        <f t="shared" si="168"/>
        <v>#N/A</v>
      </c>
      <c r="T1137" s="15" t="e">
        <f t="shared" si="170"/>
        <v>#N/A</v>
      </c>
      <c r="U1137" s="18" t="e">
        <f t="shared" si="171"/>
        <v>#N/A</v>
      </c>
      <c r="V1137" s="14" t="e">
        <f t="shared" si="169"/>
        <v>#N/A</v>
      </c>
      <c r="W1137" s="19" t="e">
        <f t="shared" si="172"/>
        <v>#N/A</v>
      </c>
      <c r="X1137" t="e">
        <f>VLOOKUP(P1137,Close[[ID]:[CreatedBy]],8,0)</f>
        <v>#N/A</v>
      </c>
    </row>
    <row r="1138" spans="2:24" x14ac:dyDescent="0.35">
      <c r="B1138" t="str">
        <f>IF(NOT(ISBLANK(A1138)),VLOOKUP(A1138,'BBT3'!A:F,2,0),"")</f>
        <v/>
      </c>
      <c r="C1138" t="str">
        <f>IF(NOT(ISBLANK(A1138)),VLOOKUP(A1138,'BBT3'!A:F,3,0),"")</f>
        <v/>
      </c>
      <c r="D1138" s="5" t="str">
        <f>IF(NOT(ISBLANK(A1138)),VLOOKUP(A1138,'BBT3'!A:F,4,1),"")</f>
        <v/>
      </c>
      <c r="E1138" t="str">
        <f>IF(NOT(ISBLANK(A1138)),VLOOKUP(A1138,'BBT3'!A:F,5,0),"")</f>
        <v/>
      </c>
      <c r="F1138" t="str">
        <f>IF(NOT(ISBLANK(A1138)),VLOOKUP(A1138,'BBT3'!A:F,6,0),"")</f>
        <v/>
      </c>
      <c r="G1138" t="str">
        <f t="shared" si="164"/>
        <v/>
      </c>
      <c r="H1138" t="str">
        <f>IF(NOT(ISBLANK(A1138)),VLOOKUP(A1138,'Close - PriceSaver'!A:J,5,0),"")</f>
        <v/>
      </c>
      <c r="I1138" s="4" t="str" cm="1">
        <f t="array" ref="I1138">IF(NOT(ISBLANK(A1138)),((_xlfn.XLOOKUP(1,(_bbt3[[#All],[ID]]=A1138)*(_bbt3[[#All],[METRIC_NAME]]="YLD_YTM_ASK"),_bbt3[[#All],[METRIC_VALUE]])*0.5)+(_xlfn.XLOOKUP(1,(_bbt3[[#All],[ID]]=A1138)*(_bbt3[[#All],[METRIC_NAME]]="YLD_YTM_BID"),_bbt3[[#All],[METRIC_VALUE]])*0.5))/100,"")</f>
        <v/>
      </c>
      <c r="J1138">
        <f>IF(ISNA(VLOOKUP(A1138,'CloseDL - PriceSaverBBT3'!A:E,5,0)),0,VLOOKUP(A1138,'CloseDL - PriceSaverBBT3'!A:E,5,0))</f>
        <v>0</v>
      </c>
      <c r="K1138" s="7" t="str">
        <f t="shared" si="165"/>
        <v/>
      </c>
      <c r="L1138" s="20">
        <f>IF(Close[[#This Row],[CreatedBy]]="MARINER\SilverAdm",1,0)</f>
        <v>1</v>
      </c>
      <c r="M1138" t="str">
        <f>IF(NOT(ISBLANK(A1138)),VLOOKUP(A1138,'Close - PriceSaver'!A:J,6,0),"")</f>
        <v/>
      </c>
      <c r="Q1138" t="e">
        <f t="shared" si="166"/>
        <v>#N/A</v>
      </c>
      <c r="R1138" t="e">
        <f t="shared" si="167"/>
        <v>#N/A</v>
      </c>
      <c r="S1138" t="e">
        <f t="shared" si="168"/>
        <v>#N/A</v>
      </c>
      <c r="T1138" s="15" t="e">
        <f t="shared" si="170"/>
        <v>#N/A</v>
      </c>
      <c r="U1138" s="18" t="e">
        <f t="shared" si="171"/>
        <v>#N/A</v>
      </c>
      <c r="V1138" s="14" t="e">
        <f t="shared" si="169"/>
        <v>#N/A</v>
      </c>
      <c r="W1138" s="19" t="e">
        <f t="shared" si="172"/>
        <v>#N/A</v>
      </c>
      <c r="X1138" t="e">
        <f>VLOOKUP(P1138,Close[[ID]:[CreatedBy]],8,0)</f>
        <v>#N/A</v>
      </c>
    </row>
    <row r="1139" spans="2:24" x14ac:dyDescent="0.35">
      <c r="B1139" t="str">
        <f>IF(NOT(ISBLANK(A1139)),VLOOKUP(A1139,'BBT3'!A:F,2,0),"")</f>
        <v/>
      </c>
      <c r="C1139" t="str">
        <f>IF(NOT(ISBLANK(A1139)),VLOOKUP(A1139,'BBT3'!A:F,3,0),"")</f>
        <v/>
      </c>
      <c r="D1139" s="5" t="str">
        <f>IF(NOT(ISBLANK(A1139)),VLOOKUP(A1139,'BBT3'!A:F,4,1),"")</f>
        <v/>
      </c>
      <c r="E1139" t="str">
        <f>IF(NOT(ISBLANK(A1139)),VLOOKUP(A1139,'BBT3'!A:F,5,0),"")</f>
        <v/>
      </c>
      <c r="F1139" t="str">
        <f>IF(NOT(ISBLANK(A1139)),VLOOKUP(A1139,'BBT3'!A:F,6,0),"")</f>
        <v/>
      </c>
      <c r="G1139" t="str">
        <f t="shared" si="164"/>
        <v/>
      </c>
      <c r="H1139" t="str">
        <f>IF(NOT(ISBLANK(A1139)),VLOOKUP(A1139,'Close - PriceSaver'!A:J,5,0),"")</f>
        <v/>
      </c>
      <c r="I1139" s="4" t="str" cm="1">
        <f t="array" ref="I1139">IF(NOT(ISBLANK(A1139)),((_xlfn.XLOOKUP(1,(_bbt3[[#All],[ID]]=A1139)*(_bbt3[[#All],[METRIC_NAME]]="YLD_YTM_ASK"),_bbt3[[#All],[METRIC_VALUE]])*0.5)+(_xlfn.XLOOKUP(1,(_bbt3[[#All],[ID]]=A1139)*(_bbt3[[#All],[METRIC_NAME]]="YLD_YTM_BID"),_bbt3[[#All],[METRIC_VALUE]])*0.5))/100,"")</f>
        <v/>
      </c>
      <c r="J1139">
        <f>IF(ISNA(VLOOKUP(A1139,'CloseDL - PriceSaverBBT3'!A:E,5,0)),0,VLOOKUP(A1139,'CloseDL - PriceSaverBBT3'!A:E,5,0))</f>
        <v>0</v>
      </c>
      <c r="K1139" s="7" t="str">
        <f t="shared" si="165"/>
        <v/>
      </c>
      <c r="L1139" s="20">
        <f>IF(Close[[#This Row],[CreatedBy]]="MARINER\SilverAdm",1,0)</f>
        <v>1</v>
      </c>
      <c r="M1139" t="str">
        <f>IF(NOT(ISBLANK(A1139)),VLOOKUP(A1139,'Close - PriceSaver'!A:J,6,0),"")</f>
        <v/>
      </c>
      <c r="Q1139" t="e">
        <f t="shared" si="166"/>
        <v>#N/A</v>
      </c>
      <c r="R1139" t="e">
        <f t="shared" si="167"/>
        <v>#N/A</v>
      </c>
      <c r="S1139" t="e">
        <f t="shared" si="168"/>
        <v>#N/A</v>
      </c>
      <c r="T1139" s="15" t="e">
        <f t="shared" si="170"/>
        <v>#N/A</v>
      </c>
      <c r="U1139" s="18" t="e">
        <f t="shared" si="171"/>
        <v>#N/A</v>
      </c>
      <c r="V1139" s="14" t="e">
        <f t="shared" si="169"/>
        <v>#N/A</v>
      </c>
      <c r="W1139" s="19" t="e">
        <f t="shared" si="172"/>
        <v>#N/A</v>
      </c>
      <c r="X1139" t="e">
        <f>VLOOKUP(P1139,Close[[ID]:[CreatedBy]],8,0)</f>
        <v>#N/A</v>
      </c>
    </row>
    <row r="1140" spans="2:24" x14ac:dyDescent="0.35">
      <c r="B1140" t="str">
        <f>IF(NOT(ISBLANK(A1140)),VLOOKUP(A1140,'BBT3'!A:F,2,0),"")</f>
        <v/>
      </c>
      <c r="C1140" t="str">
        <f>IF(NOT(ISBLANK(A1140)),VLOOKUP(A1140,'BBT3'!A:F,3,0),"")</f>
        <v/>
      </c>
      <c r="D1140" s="5" t="str">
        <f>IF(NOT(ISBLANK(A1140)),VLOOKUP(A1140,'BBT3'!A:F,4,1),"")</f>
        <v/>
      </c>
      <c r="E1140" t="str">
        <f>IF(NOT(ISBLANK(A1140)),VLOOKUP(A1140,'BBT3'!A:F,5,0),"")</f>
        <v/>
      </c>
      <c r="F1140" t="str">
        <f>IF(NOT(ISBLANK(A1140)),VLOOKUP(A1140,'BBT3'!A:F,6,0),"")</f>
        <v/>
      </c>
      <c r="G1140" t="str">
        <f t="shared" si="164"/>
        <v/>
      </c>
      <c r="H1140" t="str">
        <f>IF(NOT(ISBLANK(A1140)),VLOOKUP(A1140,'Close - PriceSaver'!A:J,5,0),"")</f>
        <v/>
      </c>
      <c r="I1140" s="4" t="str" cm="1">
        <f t="array" ref="I1140">IF(NOT(ISBLANK(A1140)),((_xlfn.XLOOKUP(1,(_bbt3[[#All],[ID]]=A1140)*(_bbt3[[#All],[METRIC_NAME]]="YLD_YTM_ASK"),_bbt3[[#All],[METRIC_VALUE]])*0.5)+(_xlfn.XLOOKUP(1,(_bbt3[[#All],[ID]]=A1140)*(_bbt3[[#All],[METRIC_NAME]]="YLD_YTM_BID"),_bbt3[[#All],[METRIC_VALUE]])*0.5))/100,"")</f>
        <v/>
      </c>
      <c r="J1140">
        <f>IF(ISNA(VLOOKUP(A1140,'CloseDL - PriceSaverBBT3'!A:E,5,0)),0,VLOOKUP(A1140,'CloseDL - PriceSaverBBT3'!A:E,5,0))</f>
        <v>0</v>
      </c>
      <c r="K1140" s="7" t="str">
        <f t="shared" si="165"/>
        <v/>
      </c>
      <c r="L1140" s="20">
        <f>IF(Close[[#This Row],[CreatedBy]]="MARINER\SilverAdm",1,0)</f>
        <v>1</v>
      </c>
      <c r="M1140" t="str">
        <f>IF(NOT(ISBLANK(A1140)),VLOOKUP(A1140,'Close - PriceSaver'!A:J,6,0),"")</f>
        <v/>
      </c>
      <c r="Q1140" t="e">
        <f t="shared" si="166"/>
        <v>#N/A</v>
      </c>
      <c r="R1140" t="e">
        <f t="shared" si="167"/>
        <v>#N/A</v>
      </c>
      <c r="S1140" t="e">
        <f t="shared" si="168"/>
        <v>#N/A</v>
      </c>
      <c r="T1140" s="15" t="e">
        <f t="shared" si="170"/>
        <v>#N/A</v>
      </c>
      <c r="U1140" s="18" t="e">
        <f t="shared" si="171"/>
        <v>#N/A</v>
      </c>
      <c r="V1140" s="14" t="e">
        <f t="shared" si="169"/>
        <v>#N/A</v>
      </c>
      <c r="W1140" s="19" t="e">
        <f t="shared" si="172"/>
        <v>#N/A</v>
      </c>
      <c r="X1140" t="e">
        <f>VLOOKUP(P1140,Close[[ID]:[CreatedBy]],8,0)</f>
        <v>#N/A</v>
      </c>
    </row>
    <row r="1141" spans="2:24" x14ac:dyDescent="0.35">
      <c r="B1141" t="str">
        <f>IF(NOT(ISBLANK(A1141)),VLOOKUP(A1141,'BBT3'!A:F,2,0),"")</f>
        <v/>
      </c>
      <c r="C1141" t="str">
        <f>IF(NOT(ISBLANK(A1141)),VLOOKUP(A1141,'BBT3'!A:F,3,0),"")</f>
        <v/>
      </c>
      <c r="D1141" s="5" t="str">
        <f>IF(NOT(ISBLANK(A1141)),VLOOKUP(A1141,'BBT3'!A:F,4,1),"")</f>
        <v/>
      </c>
      <c r="E1141" t="str">
        <f>IF(NOT(ISBLANK(A1141)),VLOOKUP(A1141,'BBT3'!A:F,5,0),"")</f>
        <v/>
      </c>
      <c r="F1141" t="str">
        <f>IF(NOT(ISBLANK(A1141)),VLOOKUP(A1141,'BBT3'!A:F,6,0),"")</f>
        <v/>
      </c>
      <c r="G1141" t="str">
        <f t="shared" si="164"/>
        <v/>
      </c>
      <c r="H1141" t="str">
        <f>IF(NOT(ISBLANK(A1141)),VLOOKUP(A1141,'Close - PriceSaver'!A:J,5,0),"")</f>
        <v/>
      </c>
      <c r="I1141" s="4" t="str" cm="1">
        <f t="array" ref="I1141">IF(NOT(ISBLANK(A1141)),((_xlfn.XLOOKUP(1,(_bbt3[[#All],[ID]]=A1141)*(_bbt3[[#All],[METRIC_NAME]]="YLD_YTM_ASK"),_bbt3[[#All],[METRIC_VALUE]])*0.5)+(_xlfn.XLOOKUP(1,(_bbt3[[#All],[ID]]=A1141)*(_bbt3[[#All],[METRIC_NAME]]="YLD_YTM_BID"),_bbt3[[#All],[METRIC_VALUE]])*0.5))/100,"")</f>
        <v/>
      </c>
      <c r="J1141">
        <f>IF(ISNA(VLOOKUP(A1141,'CloseDL - PriceSaverBBT3'!A:E,5,0)),0,VLOOKUP(A1141,'CloseDL - PriceSaverBBT3'!A:E,5,0))</f>
        <v>0</v>
      </c>
      <c r="K1141" s="7" t="str">
        <f t="shared" si="165"/>
        <v/>
      </c>
      <c r="L1141" s="20">
        <f>IF(Close[[#This Row],[CreatedBy]]="MARINER\SilverAdm",1,0)</f>
        <v>1</v>
      </c>
      <c r="M1141" t="str">
        <f>IF(NOT(ISBLANK(A1141)),VLOOKUP(A1141,'Close - PriceSaver'!A:J,6,0),"")</f>
        <v/>
      </c>
      <c r="Q1141" t="e">
        <f t="shared" si="166"/>
        <v>#N/A</v>
      </c>
      <c r="R1141" t="e">
        <f t="shared" si="167"/>
        <v>#N/A</v>
      </c>
      <c r="S1141" t="e">
        <f t="shared" si="168"/>
        <v>#N/A</v>
      </c>
      <c r="T1141" s="15" t="e">
        <f t="shared" si="170"/>
        <v>#N/A</v>
      </c>
      <c r="U1141" s="18" t="e">
        <f t="shared" si="171"/>
        <v>#N/A</v>
      </c>
      <c r="V1141" s="14" t="e">
        <f t="shared" si="169"/>
        <v>#N/A</v>
      </c>
      <c r="W1141" s="19" t="e">
        <f t="shared" si="172"/>
        <v>#N/A</v>
      </c>
      <c r="X1141" t="e">
        <f>VLOOKUP(P1141,Close[[ID]:[CreatedBy]],8,0)</f>
        <v>#N/A</v>
      </c>
    </row>
    <row r="1142" spans="2:24" x14ac:dyDescent="0.35">
      <c r="B1142" t="str">
        <f>IF(NOT(ISBLANK(A1142)),VLOOKUP(A1142,'BBT3'!A:F,2,0),"")</f>
        <v/>
      </c>
      <c r="C1142" t="str">
        <f>IF(NOT(ISBLANK(A1142)),VLOOKUP(A1142,'BBT3'!A:F,3,0),"")</f>
        <v/>
      </c>
      <c r="D1142" s="5" t="str">
        <f>IF(NOT(ISBLANK(A1142)),VLOOKUP(A1142,'BBT3'!A:F,4,1),"")</f>
        <v/>
      </c>
      <c r="E1142" t="str">
        <f>IF(NOT(ISBLANK(A1142)),VLOOKUP(A1142,'BBT3'!A:F,5,0),"")</f>
        <v/>
      </c>
      <c r="F1142" t="str">
        <f>IF(NOT(ISBLANK(A1142)),VLOOKUP(A1142,'BBT3'!A:F,6,0),"")</f>
        <v/>
      </c>
      <c r="G1142" t="str">
        <f t="shared" si="164"/>
        <v/>
      </c>
      <c r="H1142" t="str">
        <f>IF(NOT(ISBLANK(A1142)),VLOOKUP(A1142,'Close - PriceSaver'!A:J,5,0),"")</f>
        <v/>
      </c>
      <c r="I1142" s="4" t="str" cm="1">
        <f t="array" ref="I1142">IF(NOT(ISBLANK(A1142)),((_xlfn.XLOOKUP(1,(_bbt3[[#All],[ID]]=A1142)*(_bbt3[[#All],[METRIC_NAME]]="YLD_YTM_ASK"),_bbt3[[#All],[METRIC_VALUE]])*0.5)+(_xlfn.XLOOKUP(1,(_bbt3[[#All],[ID]]=A1142)*(_bbt3[[#All],[METRIC_NAME]]="YLD_YTM_BID"),_bbt3[[#All],[METRIC_VALUE]])*0.5))/100,"")</f>
        <v/>
      </c>
      <c r="J1142">
        <f>IF(ISNA(VLOOKUP(A1142,'CloseDL - PriceSaverBBT3'!A:E,5,0)),0,VLOOKUP(A1142,'CloseDL - PriceSaverBBT3'!A:E,5,0))</f>
        <v>0</v>
      </c>
      <c r="K1142" s="7" t="str">
        <f t="shared" si="165"/>
        <v/>
      </c>
      <c r="L1142" s="20">
        <f>IF(Close[[#This Row],[CreatedBy]]="MARINER\SilverAdm",1,0)</f>
        <v>1</v>
      </c>
      <c r="M1142" t="str">
        <f>IF(NOT(ISBLANK(A1142)),VLOOKUP(A1142,'Close - PriceSaver'!A:J,6,0),"")</f>
        <v/>
      </c>
      <c r="Q1142" t="e">
        <f t="shared" si="166"/>
        <v>#N/A</v>
      </c>
      <c r="R1142" t="e">
        <f t="shared" si="167"/>
        <v>#N/A</v>
      </c>
      <c r="S1142" t="e">
        <f t="shared" si="168"/>
        <v>#N/A</v>
      </c>
      <c r="T1142" s="15" t="e">
        <f t="shared" si="170"/>
        <v>#N/A</v>
      </c>
      <c r="U1142" s="18" t="e">
        <f t="shared" si="171"/>
        <v>#N/A</v>
      </c>
      <c r="V1142" s="14" t="e">
        <f t="shared" si="169"/>
        <v>#N/A</v>
      </c>
      <c r="W1142" s="19" t="e">
        <f t="shared" si="172"/>
        <v>#N/A</v>
      </c>
      <c r="X1142" t="e">
        <f>VLOOKUP(P1142,Close[[ID]:[CreatedBy]],8,0)</f>
        <v>#N/A</v>
      </c>
    </row>
    <row r="1143" spans="2:24" x14ac:dyDescent="0.35">
      <c r="B1143" t="str">
        <f>IF(NOT(ISBLANK(A1143)),VLOOKUP(A1143,'BBT3'!A:F,2,0),"")</f>
        <v/>
      </c>
      <c r="C1143" t="str">
        <f>IF(NOT(ISBLANK(A1143)),VLOOKUP(A1143,'BBT3'!A:F,3,0),"")</f>
        <v/>
      </c>
      <c r="D1143" s="5" t="str">
        <f>IF(NOT(ISBLANK(A1143)),VLOOKUP(A1143,'BBT3'!A:F,4,1),"")</f>
        <v/>
      </c>
      <c r="E1143" t="str">
        <f>IF(NOT(ISBLANK(A1143)),VLOOKUP(A1143,'BBT3'!A:F,5,0),"")</f>
        <v/>
      </c>
      <c r="F1143" t="str">
        <f>IF(NOT(ISBLANK(A1143)),VLOOKUP(A1143,'BBT3'!A:F,6,0),"")</f>
        <v/>
      </c>
      <c r="G1143" t="str">
        <f t="shared" si="164"/>
        <v/>
      </c>
      <c r="H1143" t="str">
        <f>IF(NOT(ISBLANK(A1143)),VLOOKUP(A1143,'Close - PriceSaver'!A:J,5,0),"")</f>
        <v/>
      </c>
      <c r="I1143" s="4" t="str" cm="1">
        <f t="array" ref="I1143">IF(NOT(ISBLANK(A1143)),((_xlfn.XLOOKUP(1,(_bbt3[[#All],[ID]]=A1143)*(_bbt3[[#All],[METRIC_NAME]]="YLD_YTM_ASK"),_bbt3[[#All],[METRIC_VALUE]])*0.5)+(_xlfn.XLOOKUP(1,(_bbt3[[#All],[ID]]=A1143)*(_bbt3[[#All],[METRIC_NAME]]="YLD_YTM_BID"),_bbt3[[#All],[METRIC_VALUE]])*0.5))/100,"")</f>
        <v/>
      </c>
      <c r="J1143">
        <f>IF(ISNA(VLOOKUP(A1143,'CloseDL - PriceSaverBBT3'!A:E,5,0)),0,VLOOKUP(A1143,'CloseDL - PriceSaverBBT3'!A:E,5,0))</f>
        <v>0</v>
      </c>
      <c r="K1143" s="7" t="str">
        <f t="shared" si="165"/>
        <v/>
      </c>
      <c r="L1143" s="20">
        <f>IF(Close[[#This Row],[CreatedBy]]="MARINER\SilverAdm",1,0)</f>
        <v>1</v>
      </c>
      <c r="M1143" t="str">
        <f>IF(NOT(ISBLANK(A1143)),VLOOKUP(A1143,'Close - PriceSaver'!A:J,6,0),"")</f>
        <v/>
      </c>
      <c r="Q1143" t="e">
        <f t="shared" si="166"/>
        <v>#N/A</v>
      </c>
      <c r="R1143" t="e">
        <f t="shared" si="167"/>
        <v>#N/A</v>
      </c>
      <c r="S1143" t="e">
        <f t="shared" si="168"/>
        <v>#N/A</v>
      </c>
      <c r="T1143" s="15" t="e">
        <f t="shared" si="170"/>
        <v>#N/A</v>
      </c>
      <c r="U1143" s="18" t="e">
        <f t="shared" si="171"/>
        <v>#N/A</v>
      </c>
      <c r="V1143" s="14" t="e">
        <f t="shared" si="169"/>
        <v>#N/A</v>
      </c>
      <c r="W1143" s="19" t="e">
        <f t="shared" si="172"/>
        <v>#N/A</v>
      </c>
      <c r="X1143" t="e">
        <f>VLOOKUP(P1143,Close[[ID]:[CreatedBy]],8,0)</f>
        <v>#N/A</v>
      </c>
    </row>
    <row r="1144" spans="2:24" x14ac:dyDescent="0.35">
      <c r="B1144" t="str">
        <f>IF(NOT(ISBLANK(A1144)),VLOOKUP(A1144,'BBT3'!A:F,2,0),"")</f>
        <v/>
      </c>
      <c r="C1144" t="str">
        <f>IF(NOT(ISBLANK(A1144)),VLOOKUP(A1144,'BBT3'!A:F,3,0),"")</f>
        <v/>
      </c>
      <c r="D1144" s="5" t="str">
        <f>IF(NOT(ISBLANK(A1144)),VLOOKUP(A1144,'BBT3'!A:F,4,1),"")</f>
        <v/>
      </c>
      <c r="E1144" t="str">
        <f>IF(NOT(ISBLANK(A1144)),VLOOKUP(A1144,'BBT3'!A:F,5,0),"")</f>
        <v/>
      </c>
      <c r="F1144" t="str">
        <f>IF(NOT(ISBLANK(A1144)),VLOOKUP(A1144,'BBT3'!A:F,6,0),"")</f>
        <v/>
      </c>
      <c r="G1144" t="str">
        <f t="shared" si="164"/>
        <v/>
      </c>
      <c r="H1144" t="str">
        <f>IF(NOT(ISBLANK(A1144)),VLOOKUP(A1144,'Close - PriceSaver'!A:J,5,0),"")</f>
        <v/>
      </c>
      <c r="I1144" s="4" t="str" cm="1">
        <f t="array" ref="I1144">IF(NOT(ISBLANK(A1144)),((_xlfn.XLOOKUP(1,(_bbt3[[#All],[ID]]=A1144)*(_bbt3[[#All],[METRIC_NAME]]="YLD_YTM_ASK"),_bbt3[[#All],[METRIC_VALUE]])*0.5)+(_xlfn.XLOOKUP(1,(_bbt3[[#All],[ID]]=A1144)*(_bbt3[[#All],[METRIC_NAME]]="YLD_YTM_BID"),_bbt3[[#All],[METRIC_VALUE]])*0.5))/100,"")</f>
        <v/>
      </c>
      <c r="J1144">
        <f>IF(ISNA(VLOOKUP(A1144,'CloseDL - PriceSaverBBT3'!A:E,5,0)),0,VLOOKUP(A1144,'CloseDL - PriceSaverBBT3'!A:E,5,0))</f>
        <v>0</v>
      </c>
      <c r="K1144" s="7" t="str">
        <f t="shared" si="165"/>
        <v/>
      </c>
      <c r="L1144" s="20">
        <f>IF(Close[[#This Row],[CreatedBy]]="MARINER\SilverAdm",1,0)</f>
        <v>1</v>
      </c>
      <c r="M1144" t="str">
        <f>IF(NOT(ISBLANK(A1144)),VLOOKUP(A1144,'Close - PriceSaver'!A:J,6,0),"")</f>
        <v/>
      </c>
      <c r="Q1144" t="e">
        <f t="shared" si="166"/>
        <v>#N/A</v>
      </c>
      <c r="R1144" t="e">
        <f t="shared" si="167"/>
        <v>#N/A</v>
      </c>
      <c r="S1144" t="e">
        <f t="shared" si="168"/>
        <v>#N/A</v>
      </c>
      <c r="T1144" s="15" t="e">
        <f t="shared" si="170"/>
        <v>#N/A</v>
      </c>
      <c r="U1144" s="18" t="e">
        <f t="shared" si="171"/>
        <v>#N/A</v>
      </c>
      <c r="V1144" s="14" t="e">
        <f t="shared" si="169"/>
        <v>#N/A</v>
      </c>
      <c r="W1144" s="19" t="e">
        <f t="shared" si="172"/>
        <v>#N/A</v>
      </c>
      <c r="X1144" t="e">
        <f>VLOOKUP(P1144,Close[[ID]:[CreatedBy]],8,0)</f>
        <v>#N/A</v>
      </c>
    </row>
    <row r="1145" spans="2:24" x14ac:dyDescent="0.35">
      <c r="B1145" t="str">
        <f>IF(NOT(ISBLANK(A1145)),VLOOKUP(A1145,'BBT3'!A:F,2,0),"")</f>
        <v/>
      </c>
      <c r="C1145" t="str">
        <f>IF(NOT(ISBLANK(A1145)),VLOOKUP(A1145,'BBT3'!A:F,3,0),"")</f>
        <v/>
      </c>
      <c r="D1145" s="5" t="str">
        <f>IF(NOT(ISBLANK(A1145)),VLOOKUP(A1145,'BBT3'!A:F,4,1),"")</f>
        <v/>
      </c>
      <c r="E1145" t="str">
        <f>IF(NOT(ISBLANK(A1145)),VLOOKUP(A1145,'BBT3'!A:F,5,0),"")</f>
        <v/>
      </c>
      <c r="F1145" t="str">
        <f>IF(NOT(ISBLANK(A1145)),VLOOKUP(A1145,'BBT3'!A:F,6,0),"")</f>
        <v/>
      </c>
      <c r="G1145" t="str">
        <f t="shared" si="164"/>
        <v/>
      </c>
      <c r="H1145" t="str">
        <f>IF(NOT(ISBLANK(A1145)),VLOOKUP(A1145,'Close - PriceSaver'!A:J,5,0),"")</f>
        <v/>
      </c>
      <c r="I1145" s="4" t="str" cm="1">
        <f t="array" ref="I1145">IF(NOT(ISBLANK(A1145)),((_xlfn.XLOOKUP(1,(_bbt3[[#All],[ID]]=A1145)*(_bbt3[[#All],[METRIC_NAME]]="YLD_YTM_ASK"),_bbt3[[#All],[METRIC_VALUE]])*0.5)+(_xlfn.XLOOKUP(1,(_bbt3[[#All],[ID]]=A1145)*(_bbt3[[#All],[METRIC_NAME]]="YLD_YTM_BID"),_bbt3[[#All],[METRIC_VALUE]])*0.5))/100,"")</f>
        <v/>
      </c>
      <c r="J1145">
        <f>IF(ISNA(VLOOKUP(A1145,'CloseDL - PriceSaverBBT3'!A:E,5,0)),0,VLOOKUP(A1145,'CloseDL - PriceSaverBBT3'!A:E,5,0))</f>
        <v>0</v>
      </c>
      <c r="K1145" s="7" t="str">
        <f t="shared" si="165"/>
        <v/>
      </c>
      <c r="L1145" s="20">
        <f>IF(Close[[#This Row],[CreatedBy]]="MARINER\SilverAdm",1,0)</f>
        <v>1</v>
      </c>
      <c r="M1145" t="str">
        <f>IF(NOT(ISBLANK(A1145)),VLOOKUP(A1145,'Close - PriceSaver'!A:J,6,0),"")</f>
        <v/>
      </c>
      <c r="Q1145" t="e">
        <f t="shared" si="166"/>
        <v>#N/A</v>
      </c>
      <c r="R1145" t="e">
        <f t="shared" si="167"/>
        <v>#N/A</v>
      </c>
      <c r="S1145" t="e">
        <f t="shared" si="168"/>
        <v>#N/A</v>
      </c>
      <c r="T1145" s="15" t="e">
        <f t="shared" si="170"/>
        <v>#N/A</v>
      </c>
      <c r="U1145" s="18" t="e">
        <f t="shared" si="171"/>
        <v>#N/A</v>
      </c>
      <c r="V1145" s="14" t="e">
        <f t="shared" si="169"/>
        <v>#N/A</v>
      </c>
      <c r="W1145" s="19" t="e">
        <f t="shared" si="172"/>
        <v>#N/A</v>
      </c>
      <c r="X1145" t="e">
        <f>VLOOKUP(P1145,Close[[ID]:[CreatedBy]],8,0)</f>
        <v>#N/A</v>
      </c>
    </row>
    <row r="1146" spans="2:24" x14ac:dyDescent="0.35">
      <c r="B1146" t="str">
        <f>IF(NOT(ISBLANK(A1146)),VLOOKUP(A1146,'BBT3'!A:F,2,0),"")</f>
        <v/>
      </c>
      <c r="C1146" t="str">
        <f>IF(NOT(ISBLANK(A1146)),VLOOKUP(A1146,'BBT3'!A:F,3,0),"")</f>
        <v/>
      </c>
      <c r="D1146" s="5" t="str">
        <f>IF(NOT(ISBLANK(A1146)),VLOOKUP(A1146,'BBT3'!A:F,4,1),"")</f>
        <v/>
      </c>
      <c r="E1146" t="str">
        <f>IF(NOT(ISBLANK(A1146)),VLOOKUP(A1146,'BBT3'!A:F,5,0),"")</f>
        <v/>
      </c>
      <c r="F1146" t="str">
        <f>IF(NOT(ISBLANK(A1146)),VLOOKUP(A1146,'BBT3'!A:F,6,0),"")</f>
        <v/>
      </c>
      <c r="G1146" t="str">
        <f t="shared" si="164"/>
        <v/>
      </c>
      <c r="H1146" t="str">
        <f>IF(NOT(ISBLANK(A1146)),VLOOKUP(A1146,'Close - PriceSaver'!A:J,5,0),"")</f>
        <v/>
      </c>
      <c r="I1146" s="4" t="str" cm="1">
        <f t="array" ref="I1146">IF(NOT(ISBLANK(A1146)),((_xlfn.XLOOKUP(1,(_bbt3[[#All],[ID]]=A1146)*(_bbt3[[#All],[METRIC_NAME]]="YLD_YTM_ASK"),_bbt3[[#All],[METRIC_VALUE]])*0.5)+(_xlfn.XLOOKUP(1,(_bbt3[[#All],[ID]]=A1146)*(_bbt3[[#All],[METRIC_NAME]]="YLD_YTM_BID"),_bbt3[[#All],[METRIC_VALUE]])*0.5))/100,"")</f>
        <v/>
      </c>
      <c r="J1146">
        <f>IF(ISNA(VLOOKUP(A1146,'CloseDL - PriceSaverBBT3'!A:E,5,0)),0,VLOOKUP(A1146,'CloseDL - PriceSaverBBT3'!A:E,5,0))</f>
        <v>0</v>
      </c>
      <c r="K1146" s="7" t="str">
        <f t="shared" si="165"/>
        <v/>
      </c>
      <c r="L1146" s="20">
        <f>IF(Close[[#This Row],[CreatedBy]]="MARINER\SilverAdm",1,0)</f>
        <v>1</v>
      </c>
      <c r="M1146" t="str">
        <f>IF(NOT(ISBLANK(A1146)),VLOOKUP(A1146,'Close - PriceSaver'!A:J,6,0),"")</f>
        <v/>
      </c>
      <c r="Q1146" t="e">
        <f t="shared" si="166"/>
        <v>#N/A</v>
      </c>
      <c r="R1146" t="e">
        <f t="shared" si="167"/>
        <v>#N/A</v>
      </c>
      <c r="S1146" t="e">
        <f t="shared" si="168"/>
        <v>#N/A</v>
      </c>
      <c r="T1146" s="15" t="e">
        <f t="shared" si="170"/>
        <v>#N/A</v>
      </c>
      <c r="U1146" s="18" t="e">
        <f t="shared" si="171"/>
        <v>#N/A</v>
      </c>
      <c r="V1146" s="14" t="e">
        <f t="shared" si="169"/>
        <v>#N/A</v>
      </c>
      <c r="W1146" s="19" t="e">
        <f t="shared" si="172"/>
        <v>#N/A</v>
      </c>
      <c r="X1146" t="e">
        <f>VLOOKUP(P1146,Close[[ID]:[CreatedBy]],8,0)</f>
        <v>#N/A</v>
      </c>
    </row>
    <row r="1147" spans="2:24" x14ac:dyDescent="0.35">
      <c r="B1147" t="str">
        <f>IF(NOT(ISBLANK(A1147)),VLOOKUP(A1147,'BBT3'!A:F,2,0),"")</f>
        <v/>
      </c>
      <c r="C1147" t="str">
        <f>IF(NOT(ISBLANK(A1147)),VLOOKUP(A1147,'BBT3'!A:F,3,0),"")</f>
        <v/>
      </c>
      <c r="D1147" s="5" t="str">
        <f>IF(NOT(ISBLANK(A1147)),VLOOKUP(A1147,'BBT3'!A:F,4,1),"")</f>
        <v/>
      </c>
      <c r="E1147" t="str">
        <f>IF(NOT(ISBLANK(A1147)),VLOOKUP(A1147,'BBT3'!A:F,5,0),"")</f>
        <v/>
      </c>
      <c r="F1147" t="str">
        <f>IF(NOT(ISBLANK(A1147)),VLOOKUP(A1147,'BBT3'!A:F,6,0),"")</f>
        <v/>
      </c>
      <c r="G1147" t="str">
        <f t="shared" si="164"/>
        <v/>
      </c>
      <c r="H1147" t="str">
        <f>IF(NOT(ISBLANK(A1147)),VLOOKUP(A1147,'Close - PriceSaver'!A:J,5,0),"")</f>
        <v/>
      </c>
      <c r="I1147" s="4" t="str" cm="1">
        <f t="array" ref="I1147">IF(NOT(ISBLANK(A1147)),((_xlfn.XLOOKUP(1,(_bbt3[[#All],[ID]]=A1147)*(_bbt3[[#All],[METRIC_NAME]]="YLD_YTM_ASK"),_bbt3[[#All],[METRIC_VALUE]])*0.5)+(_xlfn.XLOOKUP(1,(_bbt3[[#All],[ID]]=A1147)*(_bbt3[[#All],[METRIC_NAME]]="YLD_YTM_BID"),_bbt3[[#All],[METRIC_VALUE]])*0.5))/100,"")</f>
        <v/>
      </c>
      <c r="J1147">
        <f>IF(ISNA(VLOOKUP(A1147,'CloseDL - PriceSaverBBT3'!A:E,5,0)),0,VLOOKUP(A1147,'CloseDL - PriceSaverBBT3'!A:E,5,0))</f>
        <v>0</v>
      </c>
      <c r="K1147" s="7" t="str">
        <f t="shared" si="165"/>
        <v/>
      </c>
      <c r="L1147" s="20">
        <f>IF(Close[[#This Row],[CreatedBy]]="MARINER\SilverAdm",1,0)</f>
        <v>1</v>
      </c>
      <c r="M1147" t="str">
        <f>IF(NOT(ISBLANK(A1147)),VLOOKUP(A1147,'Close - PriceSaver'!A:J,6,0),"")</f>
        <v/>
      </c>
      <c r="Q1147" t="e">
        <f t="shared" si="166"/>
        <v>#N/A</v>
      </c>
      <c r="R1147" t="e">
        <f t="shared" si="167"/>
        <v>#N/A</v>
      </c>
      <c r="S1147" t="e">
        <f t="shared" si="168"/>
        <v>#N/A</v>
      </c>
      <c r="T1147" s="15" t="e">
        <f t="shared" si="170"/>
        <v>#N/A</v>
      </c>
      <c r="U1147" s="18" t="e">
        <f t="shared" si="171"/>
        <v>#N/A</v>
      </c>
      <c r="V1147" s="14" t="e">
        <f t="shared" si="169"/>
        <v>#N/A</v>
      </c>
      <c r="W1147" s="19" t="e">
        <f t="shared" si="172"/>
        <v>#N/A</v>
      </c>
      <c r="X1147" t="e">
        <f>VLOOKUP(P1147,Close[[ID]:[CreatedBy]],8,0)</f>
        <v>#N/A</v>
      </c>
    </row>
    <row r="1148" spans="2:24" x14ac:dyDescent="0.35">
      <c r="B1148" t="str">
        <f>IF(NOT(ISBLANK(A1148)),VLOOKUP(A1148,'BBT3'!A:F,2,0),"")</f>
        <v/>
      </c>
      <c r="C1148" t="str">
        <f>IF(NOT(ISBLANK(A1148)),VLOOKUP(A1148,'BBT3'!A:F,3,0),"")</f>
        <v/>
      </c>
      <c r="D1148" s="5" t="str">
        <f>IF(NOT(ISBLANK(A1148)),VLOOKUP(A1148,'BBT3'!A:F,4,1),"")</f>
        <v/>
      </c>
      <c r="E1148" t="str">
        <f>IF(NOT(ISBLANK(A1148)),VLOOKUP(A1148,'BBT3'!A:F,5,0),"")</f>
        <v/>
      </c>
      <c r="F1148" t="str">
        <f>IF(NOT(ISBLANK(A1148)),VLOOKUP(A1148,'BBT3'!A:F,6,0),"")</f>
        <v/>
      </c>
      <c r="G1148" t="str">
        <f t="shared" si="164"/>
        <v/>
      </c>
      <c r="H1148" t="str">
        <f>IF(NOT(ISBLANK(A1148)),VLOOKUP(A1148,'Close - PriceSaver'!A:J,5,0),"")</f>
        <v/>
      </c>
      <c r="I1148" s="4" t="str" cm="1">
        <f t="array" ref="I1148">IF(NOT(ISBLANK(A1148)),((_xlfn.XLOOKUP(1,(_bbt3[[#All],[ID]]=A1148)*(_bbt3[[#All],[METRIC_NAME]]="YLD_YTM_ASK"),_bbt3[[#All],[METRIC_VALUE]])*0.5)+(_xlfn.XLOOKUP(1,(_bbt3[[#All],[ID]]=A1148)*(_bbt3[[#All],[METRIC_NAME]]="YLD_YTM_BID"),_bbt3[[#All],[METRIC_VALUE]])*0.5))/100,"")</f>
        <v/>
      </c>
      <c r="J1148">
        <f>IF(ISNA(VLOOKUP(A1148,'CloseDL - PriceSaverBBT3'!A:E,5,0)),0,VLOOKUP(A1148,'CloseDL - PriceSaverBBT3'!A:E,5,0))</f>
        <v>0</v>
      </c>
      <c r="K1148" s="7" t="str">
        <f t="shared" si="165"/>
        <v/>
      </c>
      <c r="L1148" s="20">
        <f>IF(Close[[#This Row],[CreatedBy]]="MARINER\SilverAdm",1,0)</f>
        <v>1</v>
      </c>
      <c r="M1148" t="str">
        <f>IF(NOT(ISBLANK(A1148)),VLOOKUP(A1148,'Close - PriceSaver'!A:J,6,0),"")</f>
        <v/>
      </c>
      <c r="Q1148" t="e">
        <f t="shared" si="166"/>
        <v>#N/A</v>
      </c>
      <c r="R1148" t="e">
        <f t="shared" si="167"/>
        <v>#N/A</v>
      </c>
      <c r="S1148" t="e">
        <f t="shared" si="168"/>
        <v>#N/A</v>
      </c>
      <c r="T1148" s="15" t="e">
        <f t="shared" si="170"/>
        <v>#N/A</v>
      </c>
      <c r="U1148" s="18" t="e">
        <f t="shared" si="171"/>
        <v>#N/A</v>
      </c>
      <c r="V1148" s="14" t="e">
        <f t="shared" si="169"/>
        <v>#N/A</v>
      </c>
      <c r="W1148" s="19" t="e">
        <f t="shared" si="172"/>
        <v>#N/A</v>
      </c>
      <c r="X1148" t="e">
        <f>VLOOKUP(P1148,Close[[ID]:[CreatedBy]],8,0)</f>
        <v>#N/A</v>
      </c>
    </row>
    <row r="1149" spans="2:24" x14ac:dyDescent="0.35">
      <c r="B1149" t="str">
        <f>IF(NOT(ISBLANK(A1149)),VLOOKUP(A1149,'BBT3'!A:F,2,0),"")</f>
        <v/>
      </c>
      <c r="C1149" t="str">
        <f>IF(NOT(ISBLANK(A1149)),VLOOKUP(A1149,'BBT3'!A:F,3,0),"")</f>
        <v/>
      </c>
      <c r="D1149" s="5" t="str">
        <f>IF(NOT(ISBLANK(A1149)),VLOOKUP(A1149,'BBT3'!A:F,4,1),"")</f>
        <v/>
      </c>
      <c r="E1149" t="str">
        <f>IF(NOT(ISBLANK(A1149)),VLOOKUP(A1149,'BBT3'!A:F,5,0),"")</f>
        <v/>
      </c>
      <c r="F1149" t="str">
        <f>IF(NOT(ISBLANK(A1149)),VLOOKUP(A1149,'BBT3'!A:F,6,0),"")</f>
        <v/>
      </c>
      <c r="G1149" t="str">
        <f t="shared" si="164"/>
        <v/>
      </c>
      <c r="H1149" t="str">
        <f>IF(NOT(ISBLANK(A1149)),VLOOKUP(A1149,'Close - PriceSaver'!A:J,5,0),"")</f>
        <v/>
      </c>
      <c r="I1149" s="4" t="str" cm="1">
        <f t="array" ref="I1149">IF(NOT(ISBLANK(A1149)),((_xlfn.XLOOKUP(1,(_bbt3[[#All],[ID]]=A1149)*(_bbt3[[#All],[METRIC_NAME]]="YLD_YTM_ASK"),_bbt3[[#All],[METRIC_VALUE]])*0.5)+(_xlfn.XLOOKUP(1,(_bbt3[[#All],[ID]]=A1149)*(_bbt3[[#All],[METRIC_NAME]]="YLD_YTM_BID"),_bbt3[[#All],[METRIC_VALUE]])*0.5))/100,"")</f>
        <v/>
      </c>
      <c r="J1149">
        <f>IF(ISNA(VLOOKUP(A1149,'CloseDL - PriceSaverBBT3'!A:E,5,0)),0,VLOOKUP(A1149,'CloseDL - PriceSaverBBT3'!A:E,5,0))</f>
        <v>0</v>
      </c>
      <c r="K1149" s="7" t="str">
        <f t="shared" si="165"/>
        <v/>
      </c>
      <c r="L1149" s="20">
        <f>IF(Close[[#This Row],[CreatedBy]]="MARINER\SilverAdm",1,0)</f>
        <v>1</v>
      </c>
      <c r="M1149" t="str">
        <f>IF(NOT(ISBLANK(A1149)),VLOOKUP(A1149,'Close - PriceSaver'!A:J,6,0),"")</f>
        <v/>
      </c>
      <c r="Q1149" t="e">
        <f t="shared" si="166"/>
        <v>#N/A</v>
      </c>
      <c r="R1149" t="e">
        <f t="shared" si="167"/>
        <v>#N/A</v>
      </c>
      <c r="S1149" t="e">
        <f t="shared" si="168"/>
        <v>#N/A</v>
      </c>
      <c r="T1149" s="15" t="e">
        <f t="shared" si="170"/>
        <v>#N/A</v>
      </c>
      <c r="U1149" s="18" t="e">
        <f t="shared" si="171"/>
        <v>#N/A</v>
      </c>
      <c r="V1149" s="14" t="e">
        <f t="shared" si="169"/>
        <v>#N/A</v>
      </c>
      <c r="W1149" s="19" t="e">
        <f t="shared" si="172"/>
        <v>#N/A</v>
      </c>
      <c r="X1149" t="e">
        <f>VLOOKUP(P1149,Close[[ID]:[CreatedBy]],8,0)</f>
        <v>#N/A</v>
      </c>
    </row>
    <row r="1150" spans="2:24" x14ac:dyDescent="0.35">
      <c r="B1150" t="str">
        <f>IF(NOT(ISBLANK(A1150)),VLOOKUP(A1150,'BBT3'!A:F,2,0),"")</f>
        <v/>
      </c>
      <c r="C1150" t="str">
        <f>IF(NOT(ISBLANK(A1150)),VLOOKUP(A1150,'BBT3'!A:F,3,0),"")</f>
        <v/>
      </c>
      <c r="D1150" s="5" t="str">
        <f>IF(NOT(ISBLANK(A1150)),VLOOKUP(A1150,'BBT3'!A:F,4,1),"")</f>
        <v/>
      </c>
      <c r="E1150" t="str">
        <f>IF(NOT(ISBLANK(A1150)),VLOOKUP(A1150,'BBT3'!A:F,5,0),"")</f>
        <v/>
      </c>
      <c r="F1150" t="str">
        <f>IF(NOT(ISBLANK(A1150)),VLOOKUP(A1150,'BBT3'!A:F,6,0),"")</f>
        <v/>
      </c>
      <c r="G1150" t="str">
        <f t="shared" si="164"/>
        <v/>
      </c>
      <c r="H1150" t="str">
        <f>IF(NOT(ISBLANK(A1150)),VLOOKUP(A1150,'Close - PriceSaver'!A:J,5,0),"")</f>
        <v/>
      </c>
      <c r="I1150" s="4" t="str" cm="1">
        <f t="array" ref="I1150">IF(NOT(ISBLANK(A1150)),((_xlfn.XLOOKUP(1,(_bbt3[[#All],[ID]]=A1150)*(_bbt3[[#All],[METRIC_NAME]]="YLD_YTM_ASK"),_bbt3[[#All],[METRIC_VALUE]])*0.5)+(_xlfn.XLOOKUP(1,(_bbt3[[#All],[ID]]=A1150)*(_bbt3[[#All],[METRIC_NAME]]="YLD_YTM_BID"),_bbt3[[#All],[METRIC_VALUE]])*0.5))/100,"")</f>
        <v/>
      </c>
      <c r="J1150">
        <f>IF(ISNA(VLOOKUP(A1150,'CloseDL - PriceSaverBBT3'!A:E,5,0)),0,VLOOKUP(A1150,'CloseDL - PriceSaverBBT3'!A:E,5,0))</f>
        <v>0</v>
      </c>
      <c r="K1150" s="7" t="str">
        <f t="shared" si="165"/>
        <v/>
      </c>
      <c r="L1150" s="20">
        <f>IF(Close[[#This Row],[CreatedBy]]="MARINER\SilverAdm",1,0)</f>
        <v>1</v>
      </c>
      <c r="M1150" t="str">
        <f>IF(NOT(ISBLANK(A1150)),VLOOKUP(A1150,'Close - PriceSaver'!A:J,6,0),"")</f>
        <v/>
      </c>
      <c r="Q1150" t="e">
        <f t="shared" si="166"/>
        <v>#N/A</v>
      </c>
      <c r="R1150" t="e">
        <f t="shared" si="167"/>
        <v>#N/A</v>
      </c>
      <c r="S1150" t="e">
        <f t="shared" si="168"/>
        <v>#N/A</v>
      </c>
      <c r="T1150" s="15" t="e">
        <f t="shared" si="170"/>
        <v>#N/A</v>
      </c>
      <c r="U1150" s="18" t="e">
        <f t="shared" si="171"/>
        <v>#N/A</v>
      </c>
      <c r="V1150" s="14" t="e">
        <f t="shared" si="169"/>
        <v>#N/A</v>
      </c>
      <c r="W1150" s="19" t="e">
        <f t="shared" si="172"/>
        <v>#N/A</v>
      </c>
      <c r="X1150" t="e">
        <f>VLOOKUP(P1150,Close[[ID]:[CreatedBy]],8,0)</f>
        <v>#N/A</v>
      </c>
    </row>
    <row r="1151" spans="2:24" x14ac:dyDescent="0.35">
      <c r="B1151" t="str">
        <f>IF(NOT(ISBLANK(A1151)),VLOOKUP(A1151,'BBT3'!A:F,2,0),"")</f>
        <v/>
      </c>
      <c r="C1151" t="str">
        <f>IF(NOT(ISBLANK(A1151)),VLOOKUP(A1151,'BBT3'!A:F,3,0),"")</f>
        <v/>
      </c>
      <c r="D1151" s="5" t="str">
        <f>IF(NOT(ISBLANK(A1151)),VLOOKUP(A1151,'BBT3'!A:F,4,1),"")</f>
        <v/>
      </c>
      <c r="E1151" t="str">
        <f>IF(NOT(ISBLANK(A1151)),VLOOKUP(A1151,'BBT3'!A:F,5,0),"")</f>
        <v/>
      </c>
      <c r="F1151" t="str">
        <f>IF(NOT(ISBLANK(A1151)),VLOOKUP(A1151,'BBT3'!A:F,6,0),"")</f>
        <v/>
      </c>
      <c r="G1151" t="str">
        <f t="shared" si="164"/>
        <v/>
      </c>
      <c r="H1151" t="str">
        <f>IF(NOT(ISBLANK(A1151)),VLOOKUP(A1151,'Close - PriceSaver'!A:J,5,0),"")</f>
        <v/>
      </c>
      <c r="I1151" s="4" t="str" cm="1">
        <f t="array" ref="I1151">IF(NOT(ISBLANK(A1151)),((_xlfn.XLOOKUP(1,(_bbt3[[#All],[ID]]=A1151)*(_bbt3[[#All],[METRIC_NAME]]="YLD_YTM_ASK"),_bbt3[[#All],[METRIC_VALUE]])*0.5)+(_xlfn.XLOOKUP(1,(_bbt3[[#All],[ID]]=A1151)*(_bbt3[[#All],[METRIC_NAME]]="YLD_YTM_BID"),_bbt3[[#All],[METRIC_VALUE]])*0.5))/100,"")</f>
        <v/>
      </c>
      <c r="J1151">
        <f>IF(ISNA(VLOOKUP(A1151,'CloseDL - PriceSaverBBT3'!A:E,5,0)),0,VLOOKUP(A1151,'CloseDL - PriceSaverBBT3'!A:E,5,0))</f>
        <v>0</v>
      </c>
      <c r="K1151" s="7" t="str">
        <f t="shared" si="165"/>
        <v/>
      </c>
      <c r="L1151" s="20">
        <f>IF(Close[[#This Row],[CreatedBy]]="MARINER\SilverAdm",1,0)</f>
        <v>1</v>
      </c>
      <c r="M1151" t="str">
        <f>IF(NOT(ISBLANK(A1151)),VLOOKUP(A1151,'Close - PriceSaver'!A:J,6,0),"")</f>
        <v/>
      </c>
      <c r="Q1151" t="e">
        <f t="shared" si="166"/>
        <v>#N/A</v>
      </c>
      <c r="R1151" t="e">
        <f t="shared" si="167"/>
        <v>#N/A</v>
      </c>
      <c r="S1151" t="e">
        <f t="shared" si="168"/>
        <v>#N/A</v>
      </c>
      <c r="T1151" s="15" t="e">
        <f t="shared" si="170"/>
        <v>#N/A</v>
      </c>
      <c r="U1151" s="18" t="e">
        <f t="shared" si="171"/>
        <v>#N/A</v>
      </c>
      <c r="V1151" s="14" t="e">
        <f t="shared" si="169"/>
        <v>#N/A</v>
      </c>
      <c r="W1151" s="19" t="e">
        <f t="shared" si="172"/>
        <v>#N/A</v>
      </c>
      <c r="X1151" t="e">
        <f>VLOOKUP(P1151,Close[[ID]:[CreatedBy]],8,0)</f>
        <v>#N/A</v>
      </c>
    </row>
    <row r="1152" spans="2:24" x14ac:dyDescent="0.35">
      <c r="B1152" t="str">
        <f>IF(NOT(ISBLANK(A1152)),VLOOKUP(A1152,'BBT3'!A:F,2,0),"")</f>
        <v/>
      </c>
      <c r="C1152" t="str">
        <f>IF(NOT(ISBLANK(A1152)),VLOOKUP(A1152,'BBT3'!A:F,3,0),"")</f>
        <v/>
      </c>
      <c r="D1152" s="5" t="str">
        <f>IF(NOT(ISBLANK(A1152)),VLOOKUP(A1152,'BBT3'!A:F,4,1),"")</f>
        <v/>
      </c>
      <c r="E1152" t="str">
        <f>IF(NOT(ISBLANK(A1152)),VLOOKUP(A1152,'BBT3'!A:F,5,0),"")</f>
        <v/>
      </c>
      <c r="F1152" t="str">
        <f>IF(NOT(ISBLANK(A1152)),VLOOKUP(A1152,'BBT3'!A:F,6,0),"")</f>
        <v/>
      </c>
      <c r="G1152" t="str">
        <f t="shared" si="164"/>
        <v/>
      </c>
      <c r="H1152" t="str">
        <f>IF(NOT(ISBLANK(A1152)),VLOOKUP(A1152,'Close - PriceSaver'!A:J,5,0),"")</f>
        <v/>
      </c>
      <c r="I1152" s="4" t="str" cm="1">
        <f t="array" ref="I1152">IF(NOT(ISBLANK(A1152)),((_xlfn.XLOOKUP(1,(_bbt3[[#All],[ID]]=A1152)*(_bbt3[[#All],[METRIC_NAME]]="YLD_YTM_ASK"),_bbt3[[#All],[METRIC_VALUE]])*0.5)+(_xlfn.XLOOKUP(1,(_bbt3[[#All],[ID]]=A1152)*(_bbt3[[#All],[METRIC_NAME]]="YLD_YTM_BID"),_bbt3[[#All],[METRIC_VALUE]])*0.5))/100,"")</f>
        <v/>
      </c>
      <c r="J1152">
        <f>IF(ISNA(VLOOKUP(A1152,'CloseDL - PriceSaverBBT3'!A:E,5,0)),0,VLOOKUP(A1152,'CloseDL - PriceSaverBBT3'!A:E,5,0))</f>
        <v>0</v>
      </c>
      <c r="K1152" s="7" t="str">
        <f t="shared" si="165"/>
        <v/>
      </c>
      <c r="L1152" s="20">
        <f>IF(Close[[#This Row],[CreatedBy]]="MARINER\SilverAdm",1,0)</f>
        <v>1</v>
      </c>
      <c r="M1152" t="str">
        <f>IF(NOT(ISBLANK(A1152)),VLOOKUP(A1152,'Close - PriceSaver'!A:J,6,0),"")</f>
        <v/>
      </c>
      <c r="Q1152" t="e">
        <f t="shared" si="166"/>
        <v>#N/A</v>
      </c>
      <c r="R1152" t="e">
        <f t="shared" si="167"/>
        <v>#N/A</v>
      </c>
      <c r="S1152" t="e">
        <f t="shared" si="168"/>
        <v>#N/A</v>
      </c>
      <c r="T1152" s="15" t="e">
        <f t="shared" si="170"/>
        <v>#N/A</v>
      </c>
      <c r="U1152" s="18" t="e">
        <f t="shared" si="171"/>
        <v>#N/A</v>
      </c>
      <c r="V1152" s="14" t="e">
        <f t="shared" si="169"/>
        <v>#N/A</v>
      </c>
      <c r="W1152" s="19" t="e">
        <f t="shared" si="172"/>
        <v>#N/A</v>
      </c>
      <c r="X1152" t="e">
        <f>VLOOKUP(P1152,Close[[ID]:[CreatedBy]],8,0)</f>
        <v>#N/A</v>
      </c>
    </row>
    <row r="1153" spans="2:24" x14ac:dyDescent="0.35">
      <c r="B1153" t="str">
        <f>IF(NOT(ISBLANK(A1153)),VLOOKUP(A1153,'BBT3'!A:F,2,0),"")</f>
        <v/>
      </c>
      <c r="C1153" t="str">
        <f>IF(NOT(ISBLANK(A1153)),VLOOKUP(A1153,'BBT3'!A:F,3,0),"")</f>
        <v/>
      </c>
      <c r="D1153" s="5" t="str">
        <f>IF(NOT(ISBLANK(A1153)),VLOOKUP(A1153,'BBT3'!A:F,4,1),"")</f>
        <v/>
      </c>
      <c r="E1153" t="str">
        <f>IF(NOT(ISBLANK(A1153)),VLOOKUP(A1153,'BBT3'!A:F,5,0),"")</f>
        <v/>
      </c>
      <c r="F1153" t="str">
        <f>IF(NOT(ISBLANK(A1153)),VLOOKUP(A1153,'BBT3'!A:F,6,0),"")</f>
        <v/>
      </c>
      <c r="G1153" t="str">
        <f t="shared" si="164"/>
        <v/>
      </c>
      <c r="H1153" t="str">
        <f>IF(NOT(ISBLANK(A1153)),VLOOKUP(A1153,'Close - PriceSaver'!A:J,5,0),"")</f>
        <v/>
      </c>
      <c r="I1153" s="4" t="str" cm="1">
        <f t="array" ref="I1153">IF(NOT(ISBLANK(A1153)),((_xlfn.XLOOKUP(1,(_bbt3[[#All],[ID]]=A1153)*(_bbt3[[#All],[METRIC_NAME]]="YLD_YTM_ASK"),_bbt3[[#All],[METRIC_VALUE]])*0.5)+(_xlfn.XLOOKUP(1,(_bbt3[[#All],[ID]]=A1153)*(_bbt3[[#All],[METRIC_NAME]]="YLD_YTM_BID"),_bbt3[[#All],[METRIC_VALUE]])*0.5))/100,"")</f>
        <v/>
      </c>
      <c r="J1153">
        <f>IF(ISNA(VLOOKUP(A1153,'CloseDL - PriceSaverBBT3'!A:E,5,0)),0,VLOOKUP(A1153,'CloseDL - PriceSaverBBT3'!A:E,5,0))</f>
        <v>0</v>
      </c>
      <c r="K1153" s="7" t="str">
        <f t="shared" si="165"/>
        <v/>
      </c>
      <c r="L1153" s="20">
        <f>IF(Close[[#This Row],[CreatedBy]]="MARINER\SilverAdm",1,0)</f>
        <v>1</v>
      </c>
      <c r="M1153" t="str">
        <f>IF(NOT(ISBLANK(A1153)),VLOOKUP(A1153,'Close - PriceSaver'!A:J,6,0),"")</f>
        <v/>
      </c>
      <c r="Q1153" t="e">
        <f t="shared" si="166"/>
        <v>#N/A</v>
      </c>
      <c r="R1153" t="e">
        <f t="shared" si="167"/>
        <v>#N/A</v>
      </c>
      <c r="S1153" t="e">
        <f t="shared" si="168"/>
        <v>#N/A</v>
      </c>
      <c r="T1153" s="15" t="e">
        <f t="shared" si="170"/>
        <v>#N/A</v>
      </c>
      <c r="U1153" s="18" t="e">
        <f t="shared" si="171"/>
        <v>#N/A</v>
      </c>
      <c r="V1153" s="14" t="e">
        <f t="shared" si="169"/>
        <v>#N/A</v>
      </c>
      <c r="W1153" s="19" t="e">
        <f t="shared" si="172"/>
        <v>#N/A</v>
      </c>
      <c r="X1153" t="e">
        <f>VLOOKUP(P1153,Close[[ID]:[CreatedBy]],8,0)</f>
        <v>#N/A</v>
      </c>
    </row>
    <row r="1154" spans="2:24" x14ac:dyDescent="0.35">
      <c r="B1154" t="str">
        <f>IF(NOT(ISBLANK(A1154)),VLOOKUP(A1154,'BBT3'!A:F,2,0),"")</f>
        <v/>
      </c>
      <c r="C1154" t="str">
        <f>IF(NOT(ISBLANK(A1154)),VLOOKUP(A1154,'BBT3'!A:F,3,0),"")</f>
        <v/>
      </c>
      <c r="D1154" s="5" t="str">
        <f>IF(NOT(ISBLANK(A1154)),VLOOKUP(A1154,'BBT3'!A:F,4,1),"")</f>
        <v/>
      </c>
      <c r="E1154" t="str">
        <f>IF(NOT(ISBLANK(A1154)),VLOOKUP(A1154,'BBT3'!A:F,5,0),"")</f>
        <v/>
      </c>
      <c r="F1154" t="str">
        <f>IF(NOT(ISBLANK(A1154)),VLOOKUP(A1154,'BBT3'!A:F,6,0),"")</f>
        <v/>
      </c>
      <c r="G1154" t="str">
        <f t="shared" si="164"/>
        <v/>
      </c>
      <c r="H1154" t="str">
        <f>IF(NOT(ISBLANK(A1154)),VLOOKUP(A1154,'Close - PriceSaver'!A:J,5,0),"")</f>
        <v/>
      </c>
      <c r="I1154" s="4" t="str" cm="1">
        <f t="array" ref="I1154">IF(NOT(ISBLANK(A1154)),((_xlfn.XLOOKUP(1,(_bbt3[[#All],[ID]]=A1154)*(_bbt3[[#All],[METRIC_NAME]]="YLD_YTM_ASK"),_bbt3[[#All],[METRIC_VALUE]])*0.5)+(_xlfn.XLOOKUP(1,(_bbt3[[#All],[ID]]=A1154)*(_bbt3[[#All],[METRIC_NAME]]="YLD_YTM_BID"),_bbt3[[#All],[METRIC_VALUE]])*0.5))/100,"")</f>
        <v/>
      </c>
      <c r="J1154">
        <f>IF(ISNA(VLOOKUP(A1154,'CloseDL - PriceSaverBBT3'!A:E,5,0)),0,VLOOKUP(A1154,'CloseDL - PriceSaverBBT3'!A:E,5,0))</f>
        <v>0</v>
      </c>
      <c r="K1154" s="7" t="str">
        <f t="shared" si="165"/>
        <v/>
      </c>
      <c r="L1154" s="20">
        <f>IF(Close[[#This Row],[CreatedBy]]="MARINER\SilverAdm",1,0)</f>
        <v>1</v>
      </c>
      <c r="M1154" t="str">
        <f>IF(NOT(ISBLANK(A1154)),VLOOKUP(A1154,'Close - PriceSaver'!A:J,6,0),"")</f>
        <v/>
      </c>
      <c r="Q1154" t="e">
        <f t="shared" si="166"/>
        <v>#N/A</v>
      </c>
      <c r="R1154" t="e">
        <f t="shared" si="167"/>
        <v>#N/A</v>
      </c>
      <c r="S1154" t="e">
        <f t="shared" si="168"/>
        <v>#N/A</v>
      </c>
      <c r="T1154" s="15" t="e">
        <f t="shared" si="170"/>
        <v>#N/A</v>
      </c>
      <c r="U1154" s="18" t="e">
        <f t="shared" si="171"/>
        <v>#N/A</v>
      </c>
      <c r="V1154" s="14" t="e">
        <f t="shared" si="169"/>
        <v>#N/A</v>
      </c>
      <c r="W1154" s="19" t="e">
        <f t="shared" si="172"/>
        <v>#N/A</v>
      </c>
      <c r="X1154" t="e">
        <f>VLOOKUP(P1154,Close[[ID]:[CreatedBy]],8,0)</f>
        <v>#N/A</v>
      </c>
    </row>
    <row r="1155" spans="2:24" x14ac:dyDescent="0.35">
      <c r="B1155" t="str">
        <f>IF(NOT(ISBLANK(A1155)),VLOOKUP(A1155,'BBT3'!A:F,2,0),"")</f>
        <v/>
      </c>
      <c r="C1155" t="str">
        <f>IF(NOT(ISBLANK(A1155)),VLOOKUP(A1155,'BBT3'!A:F,3,0),"")</f>
        <v/>
      </c>
      <c r="D1155" s="5" t="str">
        <f>IF(NOT(ISBLANK(A1155)),VLOOKUP(A1155,'BBT3'!A:F,4,1),"")</f>
        <v/>
      </c>
      <c r="E1155" t="str">
        <f>IF(NOT(ISBLANK(A1155)),VLOOKUP(A1155,'BBT3'!A:F,5,0),"")</f>
        <v/>
      </c>
      <c r="F1155" t="str">
        <f>IF(NOT(ISBLANK(A1155)),VLOOKUP(A1155,'BBT3'!A:F,6,0),"")</f>
        <v/>
      </c>
      <c r="G1155" t="str">
        <f t="shared" ref="G1155:G1218" si="173">IF(NOT(ISBLANK(A1155)),IF(D1155=0,"Y","N"),"")</f>
        <v/>
      </c>
      <c r="H1155" t="str">
        <f>IF(NOT(ISBLANK(A1155)),VLOOKUP(A1155,'Close - PriceSaver'!A:J,5,0),"")</f>
        <v/>
      </c>
      <c r="I1155" s="4" t="str" cm="1">
        <f t="array" ref="I1155">IF(NOT(ISBLANK(A1155)),((_xlfn.XLOOKUP(1,(_bbt3[[#All],[ID]]=A1155)*(_bbt3[[#All],[METRIC_NAME]]="YLD_YTM_ASK"),_bbt3[[#All],[METRIC_VALUE]])*0.5)+(_xlfn.XLOOKUP(1,(_bbt3[[#All],[ID]]=A1155)*(_bbt3[[#All],[METRIC_NAME]]="YLD_YTM_BID"),_bbt3[[#All],[METRIC_VALUE]])*0.5))/100,"")</f>
        <v/>
      </c>
      <c r="J1155">
        <f>IF(ISNA(VLOOKUP(A1155,'CloseDL - PriceSaverBBT3'!A:E,5,0)),0,VLOOKUP(A1155,'CloseDL - PriceSaverBBT3'!A:E,5,0))</f>
        <v>0</v>
      </c>
      <c r="K1155" s="7" t="str">
        <f t="shared" ref="K1155:K1218" si="174">IF(ISNA(IF(NOT(ISBLANK(A1155)),ABS(H1155-J1155),"")),0,(IF(NOT(ISBLANK(A1155)),ABS(H1155-J1155)*10000,"")))</f>
        <v/>
      </c>
      <c r="L1155" s="20">
        <f>IF(Close[[#This Row],[CreatedBy]]="MARINER\SilverAdm",1,0)</f>
        <v>1</v>
      </c>
      <c r="M1155" t="str">
        <f>IF(NOT(ISBLANK(A1155)),VLOOKUP(A1155,'Close - PriceSaver'!A:J,6,0),"")</f>
        <v/>
      </c>
      <c r="Q1155" t="e">
        <f t="shared" si="166"/>
        <v>#N/A</v>
      </c>
      <c r="R1155" t="e">
        <f t="shared" si="167"/>
        <v>#N/A</v>
      </c>
      <c r="S1155" t="e">
        <f t="shared" si="168"/>
        <v>#N/A</v>
      </c>
      <c r="T1155" s="15" t="e">
        <f t="shared" si="170"/>
        <v>#N/A</v>
      </c>
      <c r="U1155" s="18" t="e">
        <f t="shared" si="171"/>
        <v>#N/A</v>
      </c>
      <c r="V1155" s="14" t="e">
        <f t="shared" si="169"/>
        <v>#N/A</v>
      </c>
      <c r="W1155" s="19" t="e">
        <f t="shared" si="172"/>
        <v>#N/A</v>
      </c>
      <c r="X1155" t="e">
        <f>VLOOKUP(P1155,Close[[ID]:[CreatedBy]],8,0)</f>
        <v>#N/A</v>
      </c>
    </row>
    <row r="1156" spans="2:24" x14ac:dyDescent="0.35">
      <c r="B1156" t="str">
        <f>IF(NOT(ISBLANK(A1156)),VLOOKUP(A1156,'BBT3'!A:F,2,0),"")</f>
        <v/>
      </c>
      <c r="C1156" t="str">
        <f>IF(NOT(ISBLANK(A1156)),VLOOKUP(A1156,'BBT3'!A:F,3,0),"")</f>
        <v/>
      </c>
      <c r="D1156" s="5" t="str">
        <f>IF(NOT(ISBLANK(A1156)),VLOOKUP(A1156,'BBT3'!A:F,4,1),"")</f>
        <v/>
      </c>
      <c r="E1156" t="str">
        <f>IF(NOT(ISBLANK(A1156)),VLOOKUP(A1156,'BBT3'!A:F,5,0),"")</f>
        <v/>
      </c>
      <c r="F1156" t="str">
        <f>IF(NOT(ISBLANK(A1156)),VLOOKUP(A1156,'BBT3'!A:F,6,0),"")</f>
        <v/>
      </c>
      <c r="G1156" t="str">
        <f t="shared" si="173"/>
        <v/>
      </c>
      <c r="H1156" t="str">
        <f>IF(NOT(ISBLANK(A1156)),VLOOKUP(A1156,'Close - PriceSaver'!A:J,5,0),"")</f>
        <v/>
      </c>
      <c r="I1156" s="4" t="str" cm="1">
        <f t="array" ref="I1156">IF(NOT(ISBLANK(A1156)),((_xlfn.XLOOKUP(1,(_bbt3[[#All],[ID]]=A1156)*(_bbt3[[#All],[METRIC_NAME]]="YLD_YTM_ASK"),_bbt3[[#All],[METRIC_VALUE]])*0.5)+(_xlfn.XLOOKUP(1,(_bbt3[[#All],[ID]]=A1156)*(_bbt3[[#All],[METRIC_NAME]]="YLD_YTM_BID"),_bbt3[[#All],[METRIC_VALUE]])*0.5))/100,"")</f>
        <v/>
      </c>
      <c r="J1156">
        <f>IF(ISNA(VLOOKUP(A1156,'CloseDL - PriceSaverBBT3'!A:E,5,0)),0,VLOOKUP(A1156,'CloseDL - PriceSaverBBT3'!A:E,5,0))</f>
        <v>0</v>
      </c>
      <c r="K1156" s="7" t="str">
        <f t="shared" si="174"/>
        <v/>
      </c>
      <c r="L1156" s="20">
        <f>IF(Close[[#This Row],[CreatedBy]]="MARINER\SilverAdm",1,0)</f>
        <v>1</v>
      </c>
      <c r="M1156" t="str">
        <f>IF(NOT(ISBLANK(A1156)),VLOOKUP(A1156,'Close - PriceSaver'!A:J,6,0),"")</f>
        <v/>
      </c>
      <c r="Q1156" t="e">
        <f t="shared" si="166"/>
        <v>#N/A</v>
      </c>
      <c r="R1156" t="e">
        <f t="shared" si="167"/>
        <v>#N/A</v>
      </c>
      <c r="S1156" t="e">
        <f t="shared" si="168"/>
        <v>#N/A</v>
      </c>
      <c r="T1156" s="15" t="e">
        <f t="shared" si="170"/>
        <v>#N/A</v>
      </c>
      <c r="U1156" s="18" t="e">
        <f t="shared" si="171"/>
        <v>#N/A</v>
      </c>
      <c r="V1156" s="14" t="e">
        <f t="shared" si="169"/>
        <v>#N/A</v>
      </c>
      <c r="W1156" s="19" t="e">
        <f t="shared" si="172"/>
        <v>#N/A</v>
      </c>
      <c r="X1156" t="e">
        <f>VLOOKUP(P1156,Close[[ID]:[CreatedBy]],8,0)</f>
        <v>#N/A</v>
      </c>
    </row>
    <row r="1157" spans="2:24" x14ac:dyDescent="0.35">
      <c r="B1157" t="str">
        <f>IF(NOT(ISBLANK(A1157)),VLOOKUP(A1157,'BBT3'!A:F,2,0),"")</f>
        <v/>
      </c>
      <c r="C1157" t="str">
        <f>IF(NOT(ISBLANK(A1157)),VLOOKUP(A1157,'BBT3'!A:F,3,0),"")</f>
        <v/>
      </c>
      <c r="D1157" s="5" t="str">
        <f>IF(NOT(ISBLANK(A1157)),VLOOKUP(A1157,'BBT3'!A:F,4,1),"")</f>
        <v/>
      </c>
      <c r="E1157" t="str">
        <f>IF(NOT(ISBLANK(A1157)),VLOOKUP(A1157,'BBT3'!A:F,5,0),"")</f>
        <v/>
      </c>
      <c r="F1157" t="str">
        <f>IF(NOT(ISBLANK(A1157)),VLOOKUP(A1157,'BBT3'!A:F,6,0),"")</f>
        <v/>
      </c>
      <c r="G1157" t="str">
        <f t="shared" si="173"/>
        <v/>
      </c>
      <c r="H1157" t="str">
        <f>IF(NOT(ISBLANK(A1157)),VLOOKUP(A1157,'Close - PriceSaver'!A:J,5,0),"")</f>
        <v/>
      </c>
      <c r="I1157" s="4" t="str" cm="1">
        <f t="array" ref="I1157">IF(NOT(ISBLANK(A1157)),((_xlfn.XLOOKUP(1,(_bbt3[[#All],[ID]]=A1157)*(_bbt3[[#All],[METRIC_NAME]]="YLD_YTM_ASK"),_bbt3[[#All],[METRIC_VALUE]])*0.5)+(_xlfn.XLOOKUP(1,(_bbt3[[#All],[ID]]=A1157)*(_bbt3[[#All],[METRIC_NAME]]="YLD_YTM_BID"),_bbt3[[#All],[METRIC_VALUE]])*0.5))/100,"")</f>
        <v/>
      </c>
      <c r="J1157">
        <f>IF(ISNA(VLOOKUP(A1157,'CloseDL - PriceSaverBBT3'!A:E,5,0)),0,VLOOKUP(A1157,'CloseDL - PriceSaverBBT3'!A:E,5,0))</f>
        <v>0</v>
      </c>
      <c r="K1157" s="7" t="str">
        <f t="shared" si="174"/>
        <v/>
      </c>
      <c r="L1157" s="20">
        <f>IF(Close[[#This Row],[CreatedBy]]="MARINER\SilverAdm",1,0)</f>
        <v>1</v>
      </c>
      <c r="M1157" t="str">
        <f>IF(NOT(ISBLANK(A1157)),VLOOKUP(A1157,'Close - PriceSaver'!A:J,6,0),"")</f>
        <v/>
      </c>
      <c r="Q1157" t="e">
        <f t="shared" si="166"/>
        <v>#N/A</v>
      </c>
      <c r="R1157" t="e">
        <f t="shared" si="167"/>
        <v>#N/A</v>
      </c>
      <c r="S1157" t="e">
        <f t="shared" si="168"/>
        <v>#N/A</v>
      </c>
      <c r="T1157" s="15" t="e">
        <f t="shared" si="170"/>
        <v>#N/A</v>
      </c>
      <c r="U1157" s="18" t="e">
        <f t="shared" si="171"/>
        <v>#N/A</v>
      </c>
      <c r="V1157" s="14" t="e">
        <f t="shared" si="169"/>
        <v>#N/A</v>
      </c>
      <c r="W1157" s="19" t="e">
        <f t="shared" si="172"/>
        <v>#N/A</v>
      </c>
      <c r="X1157" t="e">
        <f>VLOOKUP(P1157,Close[[ID]:[CreatedBy]],8,0)</f>
        <v>#N/A</v>
      </c>
    </row>
    <row r="1158" spans="2:24" x14ac:dyDescent="0.35">
      <c r="B1158" t="str">
        <f>IF(NOT(ISBLANK(A1158)),VLOOKUP(A1158,'BBT3'!A:F,2,0),"")</f>
        <v/>
      </c>
      <c r="C1158" t="str">
        <f>IF(NOT(ISBLANK(A1158)),VLOOKUP(A1158,'BBT3'!A:F,3,0),"")</f>
        <v/>
      </c>
      <c r="D1158" s="5" t="str">
        <f>IF(NOT(ISBLANK(A1158)),VLOOKUP(A1158,'BBT3'!A:F,4,1),"")</f>
        <v/>
      </c>
      <c r="E1158" t="str">
        <f>IF(NOT(ISBLANK(A1158)),VLOOKUP(A1158,'BBT3'!A:F,5,0),"")</f>
        <v/>
      </c>
      <c r="F1158" t="str">
        <f>IF(NOT(ISBLANK(A1158)),VLOOKUP(A1158,'BBT3'!A:F,6,0),"")</f>
        <v/>
      </c>
      <c r="G1158" t="str">
        <f t="shared" si="173"/>
        <v/>
      </c>
      <c r="H1158" t="str">
        <f>IF(NOT(ISBLANK(A1158)),VLOOKUP(A1158,'Close - PriceSaver'!A:J,5,0),"")</f>
        <v/>
      </c>
      <c r="I1158" s="4" t="str" cm="1">
        <f t="array" ref="I1158">IF(NOT(ISBLANK(A1158)),((_xlfn.XLOOKUP(1,(_bbt3[[#All],[ID]]=A1158)*(_bbt3[[#All],[METRIC_NAME]]="YLD_YTM_ASK"),_bbt3[[#All],[METRIC_VALUE]])*0.5)+(_xlfn.XLOOKUP(1,(_bbt3[[#All],[ID]]=A1158)*(_bbt3[[#All],[METRIC_NAME]]="YLD_YTM_BID"),_bbt3[[#All],[METRIC_VALUE]])*0.5))/100,"")</f>
        <v/>
      </c>
      <c r="J1158">
        <f>IF(ISNA(VLOOKUP(A1158,'CloseDL - PriceSaverBBT3'!A:E,5,0)),0,VLOOKUP(A1158,'CloseDL - PriceSaverBBT3'!A:E,5,0))</f>
        <v>0</v>
      </c>
      <c r="K1158" s="7" t="str">
        <f t="shared" si="174"/>
        <v/>
      </c>
      <c r="L1158" s="20">
        <f>IF(Close[[#This Row],[CreatedBy]]="MARINER\SilverAdm",1,0)</f>
        <v>1</v>
      </c>
      <c r="M1158" t="str">
        <f>IF(NOT(ISBLANK(A1158)),VLOOKUP(A1158,'Close - PriceSaver'!A:J,6,0),"")</f>
        <v/>
      </c>
      <c r="Q1158" t="e">
        <f t="shared" si="166"/>
        <v>#N/A</v>
      </c>
      <c r="R1158" t="e">
        <f t="shared" si="167"/>
        <v>#N/A</v>
      </c>
      <c r="S1158" t="e">
        <f t="shared" si="168"/>
        <v>#N/A</v>
      </c>
      <c r="T1158" s="15" t="e">
        <f t="shared" si="170"/>
        <v>#N/A</v>
      </c>
      <c r="U1158" s="18" t="e">
        <f t="shared" si="171"/>
        <v>#N/A</v>
      </c>
      <c r="V1158" s="14" t="e">
        <f t="shared" si="169"/>
        <v>#N/A</v>
      </c>
      <c r="W1158" s="19" t="e">
        <f t="shared" si="172"/>
        <v>#N/A</v>
      </c>
      <c r="X1158" t="e">
        <f>VLOOKUP(P1158,Close[[ID]:[CreatedBy]],8,0)</f>
        <v>#N/A</v>
      </c>
    </row>
    <row r="1159" spans="2:24" x14ac:dyDescent="0.35">
      <c r="B1159" t="str">
        <f>IF(NOT(ISBLANK(A1159)),VLOOKUP(A1159,'BBT3'!A:F,2,0),"")</f>
        <v/>
      </c>
      <c r="C1159" t="str">
        <f>IF(NOT(ISBLANK(A1159)),VLOOKUP(A1159,'BBT3'!A:F,3,0),"")</f>
        <v/>
      </c>
      <c r="D1159" s="5" t="str">
        <f>IF(NOT(ISBLANK(A1159)),VLOOKUP(A1159,'BBT3'!A:F,4,1),"")</f>
        <v/>
      </c>
      <c r="E1159" t="str">
        <f>IF(NOT(ISBLANK(A1159)),VLOOKUP(A1159,'BBT3'!A:F,5,0),"")</f>
        <v/>
      </c>
      <c r="F1159" t="str">
        <f>IF(NOT(ISBLANK(A1159)),VLOOKUP(A1159,'BBT3'!A:F,6,0),"")</f>
        <v/>
      </c>
      <c r="G1159" t="str">
        <f t="shared" si="173"/>
        <v/>
      </c>
      <c r="H1159" t="str">
        <f>IF(NOT(ISBLANK(A1159)),VLOOKUP(A1159,'Close - PriceSaver'!A:J,5,0),"")</f>
        <v/>
      </c>
      <c r="I1159" s="4" t="str" cm="1">
        <f t="array" ref="I1159">IF(NOT(ISBLANK(A1159)),((_xlfn.XLOOKUP(1,(_bbt3[[#All],[ID]]=A1159)*(_bbt3[[#All],[METRIC_NAME]]="YLD_YTM_ASK"),_bbt3[[#All],[METRIC_VALUE]])*0.5)+(_xlfn.XLOOKUP(1,(_bbt3[[#All],[ID]]=A1159)*(_bbt3[[#All],[METRIC_NAME]]="YLD_YTM_BID"),_bbt3[[#All],[METRIC_VALUE]])*0.5))/100,"")</f>
        <v/>
      </c>
      <c r="J1159">
        <f>IF(ISNA(VLOOKUP(A1159,'CloseDL - PriceSaverBBT3'!A:E,5,0)),0,VLOOKUP(A1159,'CloseDL - PriceSaverBBT3'!A:E,5,0))</f>
        <v>0</v>
      </c>
      <c r="K1159" s="7" t="str">
        <f t="shared" si="174"/>
        <v/>
      </c>
      <c r="L1159" s="20">
        <f>IF(Close[[#This Row],[CreatedBy]]="MARINER\SilverAdm",1,0)</f>
        <v>1</v>
      </c>
      <c r="M1159" t="str">
        <f>IF(NOT(ISBLANK(A1159)),VLOOKUP(A1159,'Close - PriceSaver'!A:J,6,0),"")</f>
        <v/>
      </c>
      <c r="Q1159" t="e">
        <f t="shared" si="166"/>
        <v>#N/A</v>
      </c>
      <c r="R1159" t="e">
        <f t="shared" si="167"/>
        <v>#N/A</v>
      </c>
      <c r="S1159" t="e">
        <f t="shared" si="168"/>
        <v>#N/A</v>
      </c>
      <c r="T1159" s="15" t="e">
        <f t="shared" si="170"/>
        <v>#N/A</v>
      </c>
      <c r="U1159" s="18" t="e">
        <f t="shared" si="171"/>
        <v>#N/A</v>
      </c>
      <c r="V1159" s="14" t="e">
        <f t="shared" si="169"/>
        <v>#N/A</v>
      </c>
      <c r="W1159" s="19" t="e">
        <f t="shared" si="172"/>
        <v>#N/A</v>
      </c>
      <c r="X1159" t="e">
        <f>VLOOKUP(P1159,Close[[ID]:[CreatedBy]],8,0)</f>
        <v>#N/A</v>
      </c>
    </row>
    <row r="1160" spans="2:24" x14ac:dyDescent="0.35">
      <c r="B1160" t="str">
        <f>IF(NOT(ISBLANK(A1160)),VLOOKUP(A1160,'BBT3'!A:F,2,0),"")</f>
        <v/>
      </c>
      <c r="C1160" t="str">
        <f>IF(NOT(ISBLANK(A1160)),VLOOKUP(A1160,'BBT3'!A:F,3,0),"")</f>
        <v/>
      </c>
      <c r="D1160" s="5" t="str">
        <f>IF(NOT(ISBLANK(A1160)),VLOOKUP(A1160,'BBT3'!A:F,4,1),"")</f>
        <v/>
      </c>
      <c r="E1160" t="str">
        <f>IF(NOT(ISBLANK(A1160)),VLOOKUP(A1160,'BBT3'!A:F,5,0),"")</f>
        <v/>
      </c>
      <c r="F1160" t="str">
        <f>IF(NOT(ISBLANK(A1160)),VLOOKUP(A1160,'BBT3'!A:F,6,0),"")</f>
        <v/>
      </c>
      <c r="G1160" t="str">
        <f t="shared" si="173"/>
        <v/>
      </c>
      <c r="H1160" t="str">
        <f>IF(NOT(ISBLANK(A1160)),VLOOKUP(A1160,'Close - PriceSaver'!A:J,5,0),"")</f>
        <v/>
      </c>
      <c r="I1160" s="4" t="str" cm="1">
        <f t="array" ref="I1160">IF(NOT(ISBLANK(A1160)),((_xlfn.XLOOKUP(1,(_bbt3[[#All],[ID]]=A1160)*(_bbt3[[#All],[METRIC_NAME]]="YLD_YTM_ASK"),_bbt3[[#All],[METRIC_VALUE]])*0.5)+(_xlfn.XLOOKUP(1,(_bbt3[[#All],[ID]]=A1160)*(_bbt3[[#All],[METRIC_NAME]]="YLD_YTM_BID"),_bbt3[[#All],[METRIC_VALUE]])*0.5))/100,"")</f>
        <v/>
      </c>
      <c r="J1160">
        <f>IF(ISNA(VLOOKUP(A1160,'CloseDL - PriceSaverBBT3'!A:E,5,0)),0,VLOOKUP(A1160,'CloseDL - PriceSaverBBT3'!A:E,5,0))</f>
        <v>0</v>
      </c>
      <c r="K1160" s="7" t="str">
        <f t="shared" si="174"/>
        <v/>
      </c>
      <c r="L1160" s="20">
        <f>IF(Close[[#This Row],[CreatedBy]]="MARINER\SilverAdm",1,0)</f>
        <v>1</v>
      </c>
      <c r="M1160" t="str">
        <f>IF(NOT(ISBLANK(A1160)),VLOOKUP(A1160,'Close - PriceSaver'!A:J,6,0),"")</f>
        <v/>
      </c>
      <c r="Q1160" t="e">
        <f t="shared" si="166"/>
        <v>#N/A</v>
      </c>
      <c r="R1160" t="e">
        <f t="shared" si="167"/>
        <v>#N/A</v>
      </c>
      <c r="S1160" t="e">
        <f t="shared" si="168"/>
        <v>#N/A</v>
      </c>
      <c r="T1160" s="15" t="e">
        <f t="shared" si="170"/>
        <v>#N/A</v>
      </c>
      <c r="U1160" s="18" t="e">
        <f t="shared" si="171"/>
        <v>#N/A</v>
      </c>
      <c r="V1160" s="14" t="e">
        <f t="shared" si="169"/>
        <v>#N/A</v>
      </c>
      <c r="W1160" s="19" t="e">
        <f t="shared" si="172"/>
        <v>#N/A</v>
      </c>
      <c r="X1160" t="e">
        <f>VLOOKUP(P1160,Close[[ID]:[CreatedBy]],8,0)</f>
        <v>#N/A</v>
      </c>
    </row>
    <row r="1161" spans="2:24" x14ac:dyDescent="0.35">
      <c r="B1161" t="str">
        <f>IF(NOT(ISBLANK(A1161)),VLOOKUP(A1161,'BBT3'!A:F,2,0),"")</f>
        <v/>
      </c>
      <c r="C1161" t="str">
        <f>IF(NOT(ISBLANK(A1161)),VLOOKUP(A1161,'BBT3'!A:F,3,0),"")</f>
        <v/>
      </c>
      <c r="D1161" s="5" t="str">
        <f>IF(NOT(ISBLANK(A1161)),VLOOKUP(A1161,'BBT3'!A:F,4,1),"")</f>
        <v/>
      </c>
      <c r="E1161" t="str">
        <f>IF(NOT(ISBLANK(A1161)),VLOOKUP(A1161,'BBT3'!A:F,5,0),"")</f>
        <v/>
      </c>
      <c r="F1161" t="str">
        <f>IF(NOT(ISBLANK(A1161)),VLOOKUP(A1161,'BBT3'!A:F,6,0),"")</f>
        <v/>
      </c>
      <c r="G1161" t="str">
        <f t="shared" si="173"/>
        <v/>
      </c>
      <c r="H1161" t="str">
        <f>IF(NOT(ISBLANK(A1161)),VLOOKUP(A1161,'Close - PriceSaver'!A:J,5,0),"")</f>
        <v/>
      </c>
      <c r="I1161" s="4" t="str" cm="1">
        <f t="array" ref="I1161">IF(NOT(ISBLANK(A1161)),((_xlfn.XLOOKUP(1,(_bbt3[[#All],[ID]]=A1161)*(_bbt3[[#All],[METRIC_NAME]]="YLD_YTM_ASK"),_bbt3[[#All],[METRIC_VALUE]])*0.5)+(_xlfn.XLOOKUP(1,(_bbt3[[#All],[ID]]=A1161)*(_bbt3[[#All],[METRIC_NAME]]="YLD_YTM_BID"),_bbt3[[#All],[METRIC_VALUE]])*0.5))/100,"")</f>
        <v/>
      </c>
      <c r="J1161">
        <f>IF(ISNA(VLOOKUP(A1161,'CloseDL - PriceSaverBBT3'!A:E,5,0)),0,VLOOKUP(A1161,'CloseDL - PriceSaverBBT3'!A:E,5,0))</f>
        <v>0</v>
      </c>
      <c r="K1161" s="7" t="str">
        <f t="shared" si="174"/>
        <v/>
      </c>
      <c r="L1161" s="20">
        <f>IF(Close[[#This Row],[CreatedBy]]="MARINER\SilverAdm",1,0)</f>
        <v>1</v>
      </c>
      <c r="M1161" t="str">
        <f>IF(NOT(ISBLANK(A1161)),VLOOKUP(A1161,'Close - PriceSaver'!A:J,6,0),"")</f>
        <v/>
      </c>
      <c r="Q1161" t="e">
        <f t="shared" si="166"/>
        <v>#N/A</v>
      </c>
      <c r="R1161" t="e">
        <f t="shared" si="167"/>
        <v>#N/A</v>
      </c>
      <c r="S1161" t="e">
        <f t="shared" si="168"/>
        <v>#N/A</v>
      </c>
      <c r="T1161" s="15" t="e">
        <f t="shared" si="170"/>
        <v>#N/A</v>
      </c>
      <c r="U1161" s="18" t="e">
        <f t="shared" si="171"/>
        <v>#N/A</v>
      </c>
      <c r="V1161" s="14" t="e">
        <f t="shared" si="169"/>
        <v>#N/A</v>
      </c>
      <c r="W1161" s="19" t="e">
        <f t="shared" si="172"/>
        <v>#N/A</v>
      </c>
      <c r="X1161" t="e">
        <f>VLOOKUP(P1161,Close[[ID]:[CreatedBy]],8,0)</f>
        <v>#N/A</v>
      </c>
    </row>
    <row r="1162" spans="2:24" x14ac:dyDescent="0.35">
      <c r="B1162" t="str">
        <f>IF(NOT(ISBLANK(A1162)),VLOOKUP(A1162,'BBT3'!A:F,2,0),"")</f>
        <v/>
      </c>
      <c r="C1162" t="str">
        <f>IF(NOT(ISBLANK(A1162)),VLOOKUP(A1162,'BBT3'!A:F,3,0),"")</f>
        <v/>
      </c>
      <c r="D1162" s="5" t="str">
        <f>IF(NOT(ISBLANK(A1162)),VLOOKUP(A1162,'BBT3'!A:F,4,1),"")</f>
        <v/>
      </c>
      <c r="E1162" t="str">
        <f>IF(NOT(ISBLANK(A1162)),VLOOKUP(A1162,'BBT3'!A:F,5,0),"")</f>
        <v/>
      </c>
      <c r="F1162" t="str">
        <f>IF(NOT(ISBLANK(A1162)),VLOOKUP(A1162,'BBT3'!A:F,6,0),"")</f>
        <v/>
      </c>
      <c r="G1162" t="str">
        <f t="shared" si="173"/>
        <v/>
      </c>
      <c r="H1162" t="str">
        <f>IF(NOT(ISBLANK(A1162)),VLOOKUP(A1162,'Close - PriceSaver'!A:J,5,0),"")</f>
        <v/>
      </c>
      <c r="I1162" s="4" t="str" cm="1">
        <f t="array" ref="I1162">IF(NOT(ISBLANK(A1162)),((_xlfn.XLOOKUP(1,(_bbt3[[#All],[ID]]=A1162)*(_bbt3[[#All],[METRIC_NAME]]="YLD_YTM_ASK"),_bbt3[[#All],[METRIC_VALUE]])*0.5)+(_xlfn.XLOOKUP(1,(_bbt3[[#All],[ID]]=A1162)*(_bbt3[[#All],[METRIC_NAME]]="YLD_YTM_BID"),_bbt3[[#All],[METRIC_VALUE]])*0.5))/100,"")</f>
        <v/>
      </c>
      <c r="J1162">
        <f>IF(ISNA(VLOOKUP(A1162,'CloseDL - PriceSaverBBT3'!A:E,5,0)),0,VLOOKUP(A1162,'CloseDL - PriceSaverBBT3'!A:E,5,0))</f>
        <v>0</v>
      </c>
      <c r="K1162" s="7" t="str">
        <f t="shared" si="174"/>
        <v/>
      </c>
      <c r="L1162" s="20">
        <f>IF(Close[[#This Row],[CreatedBy]]="MARINER\SilverAdm",1,0)</f>
        <v>1</v>
      </c>
      <c r="M1162" t="str">
        <f>IF(NOT(ISBLANK(A1162)),VLOOKUP(A1162,'Close - PriceSaver'!A:J,6,0),"")</f>
        <v/>
      </c>
      <c r="Q1162" t="e">
        <f t="shared" si="166"/>
        <v>#N/A</v>
      </c>
      <c r="R1162" t="e">
        <f t="shared" si="167"/>
        <v>#N/A</v>
      </c>
      <c r="S1162" t="e">
        <f t="shared" si="168"/>
        <v>#N/A</v>
      </c>
      <c r="T1162" s="15" t="e">
        <f t="shared" si="170"/>
        <v>#N/A</v>
      </c>
      <c r="U1162" s="18" t="e">
        <f t="shared" si="171"/>
        <v>#N/A</v>
      </c>
      <c r="V1162" s="14" t="e">
        <f t="shared" si="169"/>
        <v>#N/A</v>
      </c>
      <c r="W1162" s="19" t="e">
        <f t="shared" si="172"/>
        <v>#N/A</v>
      </c>
      <c r="X1162" t="e">
        <f>VLOOKUP(P1162,Close[[ID]:[CreatedBy]],8,0)</f>
        <v>#N/A</v>
      </c>
    </row>
    <row r="1163" spans="2:24" x14ac:dyDescent="0.35">
      <c r="B1163" t="str">
        <f>IF(NOT(ISBLANK(A1163)),VLOOKUP(A1163,'BBT3'!A:F,2,0),"")</f>
        <v/>
      </c>
      <c r="C1163" t="str">
        <f>IF(NOT(ISBLANK(A1163)),VLOOKUP(A1163,'BBT3'!A:F,3,0),"")</f>
        <v/>
      </c>
      <c r="D1163" s="5" t="str">
        <f>IF(NOT(ISBLANK(A1163)),VLOOKUP(A1163,'BBT3'!A:F,4,1),"")</f>
        <v/>
      </c>
      <c r="E1163" t="str">
        <f>IF(NOT(ISBLANK(A1163)),VLOOKUP(A1163,'BBT3'!A:F,5,0),"")</f>
        <v/>
      </c>
      <c r="F1163" t="str">
        <f>IF(NOT(ISBLANK(A1163)),VLOOKUP(A1163,'BBT3'!A:F,6,0),"")</f>
        <v/>
      </c>
      <c r="G1163" t="str">
        <f t="shared" si="173"/>
        <v/>
      </c>
      <c r="H1163" t="str">
        <f>IF(NOT(ISBLANK(A1163)),VLOOKUP(A1163,'Close - PriceSaver'!A:J,5,0),"")</f>
        <v/>
      </c>
      <c r="I1163" s="4" t="str" cm="1">
        <f t="array" ref="I1163">IF(NOT(ISBLANK(A1163)),((_xlfn.XLOOKUP(1,(_bbt3[[#All],[ID]]=A1163)*(_bbt3[[#All],[METRIC_NAME]]="YLD_YTM_ASK"),_bbt3[[#All],[METRIC_VALUE]])*0.5)+(_xlfn.XLOOKUP(1,(_bbt3[[#All],[ID]]=A1163)*(_bbt3[[#All],[METRIC_NAME]]="YLD_YTM_BID"),_bbt3[[#All],[METRIC_VALUE]])*0.5))/100,"")</f>
        <v/>
      </c>
      <c r="J1163">
        <f>IF(ISNA(VLOOKUP(A1163,'CloseDL - PriceSaverBBT3'!A:E,5,0)),0,VLOOKUP(A1163,'CloseDL - PriceSaverBBT3'!A:E,5,0))</f>
        <v>0</v>
      </c>
      <c r="K1163" s="7" t="str">
        <f t="shared" si="174"/>
        <v/>
      </c>
      <c r="L1163" s="20">
        <f>IF(Close[[#This Row],[CreatedBy]]="MARINER\SilverAdm",1,0)</f>
        <v>1</v>
      </c>
      <c r="M1163" t="str">
        <f>IF(NOT(ISBLANK(A1163)),VLOOKUP(A1163,'Close - PriceSaver'!A:J,6,0),"")</f>
        <v/>
      </c>
      <c r="Q1163" t="e">
        <f t="shared" ref="Q1163:Q1226" si="175">VLOOKUP(P1163,A:C,3,0)</f>
        <v>#N/A</v>
      </c>
      <c r="R1163" t="e">
        <f t="shared" si="167"/>
        <v>#N/A</v>
      </c>
      <c r="S1163" t="e">
        <f t="shared" si="168"/>
        <v>#N/A</v>
      </c>
      <c r="T1163" s="15" t="e">
        <f t="shared" si="170"/>
        <v>#N/A</v>
      </c>
      <c r="U1163" s="18" t="e">
        <f t="shared" si="171"/>
        <v>#N/A</v>
      </c>
      <c r="V1163" s="14" t="e">
        <f t="shared" si="169"/>
        <v>#N/A</v>
      </c>
      <c r="W1163" s="19" t="e">
        <f t="shared" si="172"/>
        <v>#N/A</v>
      </c>
      <c r="X1163" t="e">
        <f>VLOOKUP(P1163,Close[[ID]:[CreatedBy]],8,0)</f>
        <v>#N/A</v>
      </c>
    </row>
    <row r="1164" spans="2:24" x14ac:dyDescent="0.35">
      <c r="B1164" t="str">
        <f>IF(NOT(ISBLANK(A1164)),VLOOKUP(A1164,'BBT3'!A:F,2,0),"")</f>
        <v/>
      </c>
      <c r="C1164" t="str">
        <f>IF(NOT(ISBLANK(A1164)),VLOOKUP(A1164,'BBT3'!A:F,3,0),"")</f>
        <v/>
      </c>
      <c r="D1164" s="5" t="str">
        <f>IF(NOT(ISBLANK(A1164)),VLOOKUP(A1164,'BBT3'!A:F,4,1),"")</f>
        <v/>
      </c>
      <c r="E1164" t="str">
        <f>IF(NOT(ISBLANK(A1164)),VLOOKUP(A1164,'BBT3'!A:F,5,0),"")</f>
        <v/>
      </c>
      <c r="F1164" t="str">
        <f>IF(NOT(ISBLANK(A1164)),VLOOKUP(A1164,'BBT3'!A:F,6,0),"")</f>
        <v/>
      </c>
      <c r="G1164" t="str">
        <f t="shared" si="173"/>
        <v/>
      </c>
      <c r="H1164" t="str">
        <f>IF(NOT(ISBLANK(A1164)),VLOOKUP(A1164,'Close - PriceSaver'!A:J,5,0),"")</f>
        <v/>
      </c>
      <c r="I1164" s="4" t="str" cm="1">
        <f t="array" ref="I1164">IF(NOT(ISBLANK(A1164)),((_xlfn.XLOOKUP(1,(_bbt3[[#All],[ID]]=A1164)*(_bbt3[[#All],[METRIC_NAME]]="YLD_YTM_ASK"),_bbt3[[#All],[METRIC_VALUE]])*0.5)+(_xlfn.XLOOKUP(1,(_bbt3[[#All],[ID]]=A1164)*(_bbt3[[#All],[METRIC_NAME]]="YLD_YTM_BID"),_bbt3[[#All],[METRIC_VALUE]])*0.5))/100,"")</f>
        <v/>
      </c>
      <c r="J1164">
        <f>IF(ISNA(VLOOKUP(A1164,'CloseDL - PriceSaverBBT3'!A:E,5,0)),0,VLOOKUP(A1164,'CloseDL - PriceSaverBBT3'!A:E,5,0))</f>
        <v>0</v>
      </c>
      <c r="K1164" s="7" t="str">
        <f t="shared" si="174"/>
        <v/>
      </c>
      <c r="L1164" s="20">
        <f>IF(Close[[#This Row],[CreatedBy]]="MARINER\SilverAdm",1,0)</f>
        <v>1</v>
      </c>
      <c r="M1164" t="str">
        <f>IF(NOT(ISBLANK(A1164)),VLOOKUP(A1164,'Close - PriceSaver'!A:J,6,0),"")</f>
        <v/>
      </c>
      <c r="Q1164" t="e">
        <f t="shared" si="175"/>
        <v>#N/A</v>
      </c>
      <c r="R1164" t="e">
        <f t="shared" si="167"/>
        <v>#N/A</v>
      </c>
      <c r="S1164" t="e">
        <f t="shared" si="168"/>
        <v>#N/A</v>
      </c>
      <c r="T1164" s="15" t="e">
        <f t="shared" si="170"/>
        <v>#N/A</v>
      </c>
      <c r="U1164" s="18" t="e">
        <f t="shared" si="171"/>
        <v>#N/A</v>
      </c>
      <c r="V1164" s="14" t="e">
        <f t="shared" si="169"/>
        <v>#N/A</v>
      </c>
      <c r="W1164" s="19" t="e">
        <f t="shared" si="172"/>
        <v>#N/A</v>
      </c>
      <c r="X1164" t="e">
        <f>VLOOKUP(P1164,Close[[ID]:[CreatedBy]],8,0)</f>
        <v>#N/A</v>
      </c>
    </row>
    <row r="1165" spans="2:24" x14ac:dyDescent="0.35">
      <c r="B1165" t="str">
        <f>IF(NOT(ISBLANK(A1165)),VLOOKUP(A1165,'BBT3'!A:F,2,0),"")</f>
        <v/>
      </c>
      <c r="C1165" t="str">
        <f>IF(NOT(ISBLANK(A1165)),VLOOKUP(A1165,'BBT3'!A:F,3,0),"")</f>
        <v/>
      </c>
      <c r="D1165" s="5" t="str">
        <f>IF(NOT(ISBLANK(A1165)),VLOOKUP(A1165,'BBT3'!A:F,4,1),"")</f>
        <v/>
      </c>
      <c r="E1165" t="str">
        <f>IF(NOT(ISBLANK(A1165)),VLOOKUP(A1165,'BBT3'!A:F,5,0),"")</f>
        <v/>
      </c>
      <c r="F1165" t="str">
        <f>IF(NOT(ISBLANK(A1165)),VLOOKUP(A1165,'BBT3'!A:F,6,0),"")</f>
        <v/>
      </c>
      <c r="G1165" t="str">
        <f t="shared" si="173"/>
        <v/>
      </c>
      <c r="H1165" t="str">
        <f>IF(NOT(ISBLANK(A1165)),VLOOKUP(A1165,'Close - PriceSaver'!A:J,5,0),"")</f>
        <v/>
      </c>
      <c r="I1165" s="4" t="str" cm="1">
        <f t="array" ref="I1165">IF(NOT(ISBLANK(A1165)),((_xlfn.XLOOKUP(1,(_bbt3[[#All],[ID]]=A1165)*(_bbt3[[#All],[METRIC_NAME]]="YLD_YTM_ASK"),_bbt3[[#All],[METRIC_VALUE]])*0.5)+(_xlfn.XLOOKUP(1,(_bbt3[[#All],[ID]]=A1165)*(_bbt3[[#All],[METRIC_NAME]]="YLD_YTM_BID"),_bbt3[[#All],[METRIC_VALUE]])*0.5))/100,"")</f>
        <v/>
      </c>
      <c r="J1165">
        <f>IF(ISNA(VLOOKUP(A1165,'CloseDL - PriceSaverBBT3'!A:E,5,0)),0,VLOOKUP(A1165,'CloseDL - PriceSaverBBT3'!A:E,5,0))</f>
        <v>0</v>
      </c>
      <c r="K1165" s="7" t="str">
        <f t="shared" si="174"/>
        <v/>
      </c>
      <c r="L1165" s="20">
        <f>IF(Close[[#This Row],[CreatedBy]]="MARINER\SilverAdm",1,0)</f>
        <v>1</v>
      </c>
      <c r="M1165" t="str">
        <f>IF(NOT(ISBLANK(A1165)),VLOOKUP(A1165,'Close - PriceSaver'!A:J,6,0),"")</f>
        <v/>
      </c>
      <c r="Q1165" t="e">
        <f t="shared" si="175"/>
        <v>#N/A</v>
      </c>
      <c r="R1165" t="e">
        <f t="shared" ref="R1165:R1228" si="176">VLOOKUP(P1165,A:B,2,0)</f>
        <v>#N/A</v>
      </c>
      <c r="S1165" t="e">
        <f t="shared" ref="S1165:S1228" si="177">VLOOKUP(P1165,A:E,4,0)</f>
        <v>#N/A</v>
      </c>
      <c r="T1165" s="15" t="e">
        <f t="shared" si="170"/>
        <v>#N/A</v>
      </c>
      <c r="U1165" s="18" t="e">
        <f t="shared" si="171"/>
        <v>#N/A</v>
      </c>
      <c r="V1165" s="14" t="e">
        <f t="shared" si="169"/>
        <v>#N/A</v>
      </c>
      <c r="W1165" s="19" t="e">
        <f t="shared" si="172"/>
        <v>#N/A</v>
      </c>
      <c r="X1165" t="e">
        <f>VLOOKUP(P1165,Close[[ID]:[CreatedBy]],8,0)</f>
        <v>#N/A</v>
      </c>
    </row>
    <row r="1166" spans="2:24" x14ac:dyDescent="0.35">
      <c r="B1166" t="str">
        <f>IF(NOT(ISBLANK(A1166)),VLOOKUP(A1166,'BBT3'!A:F,2,0),"")</f>
        <v/>
      </c>
      <c r="C1166" t="str">
        <f>IF(NOT(ISBLANK(A1166)),VLOOKUP(A1166,'BBT3'!A:F,3,0),"")</f>
        <v/>
      </c>
      <c r="D1166" s="5" t="str">
        <f>IF(NOT(ISBLANK(A1166)),VLOOKUP(A1166,'BBT3'!A:F,4,1),"")</f>
        <v/>
      </c>
      <c r="E1166" t="str">
        <f>IF(NOT(ISBLANK(A1166)),VLOOKUP(A1166,'BBT3'!A:F,5,0),"")</f>
        <v/>
      </c>
      <c r="F1166" t="str">
        <f>IF(NOT(ISBLANK(A1166)),VLOOKUP(A1166,'BBT3'!A:F,6,0),"")</f>
        <v/>
      </c>
      <c r="G1166" t="str">
        <f t="shared" si="173"/>
        <v/>
      </c>
      <c r="H1166" t="str">
        <f>IF(NOT(ISBLANK(A1166)),VLOOKUP(A1166,'Close - PriceSaver'!A:J,5,0),"")</f>
        <v/>
      </c>
      <c r="I1166" s="4" t="str" cm="1">
        <f t="array" ref="I1166">IF(NOT(ISBLANK(A1166)),((_xlfn.XLOOKUP(1,(_bbt3[[#All],[ID]]=A1166)*(_bbt3[[#All],[METRIC_NAME]]="YLD_YTM_ASK"),_bbt3[[#All],[METRIC_VALUE]])*0.5)+(_xlfn.XLOOKUP(1,(_bbt3[[#All],[ID]]=A1166)*(_bbt3[[#All],[METRIC_NAME]]="YLD_YTM_BID"),_bbt3[[#All],[METRIC_VALUE]])*0.5))/100,"")</f>
        <v/>
      </c>
      <c r="J1166">
        <f>IF(ISNA(VLOOKUP(A1166,'CloseDL - PriceSaverBBT3'!A:E,5,0)),0,VLOOKUP(A1166,'CloseDL - PriceSaverBBT3'!A:E,5,0))</f>
        <v>0</v>
      </c>
      <c r="K1166" s="7" t="str">
        <f t="shared" si="174"/>
        <v/>
      </c>
      <c r="L1166" s="20">
        <f>IF(Close[[#This Row],[CreatedBy]]="MARINER\SilverAdm",1,0)</f>
        <v>1</v>
      </c>
      <c r="M1166" t="str">
        <f>IF(NOT(ISBLANK(A1166)),VLOOKUP(A1166,'Close - PriceSaver'!A:J,6,0),"")</f>
        <v/>
      </c>
      <c r="Q1166" t="e">
        <f t="shared" si="175"/>
        <v>#N/A</v>
      </c>
      <c r="R1166" t="e">
        <f t="shared" si="176"/>
        <v>#N/A</v>
      </c>
      <c r="S1166" t="e">
        <f t="shared" si="177"/>
        <v>#N/A</v>
      </c>
      <c r="T1166" s="15" t="e">
        <f t="shared" si="170"/>
        <v>#N/A</v>
      </c>
      <c r="U1166" s="18" t="e">
        <f t="shared" si="171"/>
        <v>#N/A</v>
      </c>
      <c r="V1166" s="14" t="e">
        <f t="shared" ref="V1166:V1229" si="178">VLOOKUP(Q1166,A:K,10,0)</f>
        <v>#N/A</v>
      </c>
      <c r="W1166" s="19" t="e">
        <f t="shared" si="172"/>
        <v>#N/A</v>
      </c>
      <c r="X1166" t="e">
        <f>VLOOKUP(P1166,Close[[ID]:[CreatedBy]],8,0)</f>
        <v>#N/A</v>
      </c>
    </row>
    <row r="1167" spans="2:24" x14ac:dyDescent="0.35">
      <c r="B1167" t="str">
        <f>IF(NOT(ISBLANK(A1167)),VLOOKUP(A1167,'BBT3'!A:F,2,0),"")</f>
        <v/>
      </c>
      <c r="C1167" t="str">
        <f>IF(NOT(ISBLANK(A1167)),VLOOKUP(A1167,'BBT3'!A:F,3,0),"")</f>
        <v/>
      </c>
      <c r="D1167" s="5" t="str">
        <f>IF(NOT(ISBLANK(A1167)),VLOOKUP(A1167,'BBT3'!A:F,4,1),"")</f>
        <v/>
      </c>
      <c r="E1167" t="str">
        <f>IF(NOT(ISBLANK(A1167)),VLOOKUP(A1167,'BBT3'!A:F,5,0),"")</f>
        <v/>
      </c>
      <c r="F1167" t="str">
        <f>IF(NOT(ISBLANK(A1167)),VLOOKUP(A1167,'BBT3'!A:F,6,0),"")</f>
        <v/>
      </c>
      <c r="G1167" t="str">
        <f t="shared" si="173"/>
        <v/>
      </c>
      <c r="H1167" t="str">
        <f>IF(NOT(ISBLANK(A1167)),VLOOKUP(A1167,'Close - PriceSaver'!A:J,5,0),"")</f>
        <v/>
      </c>
      <c r="I1167" s="4" t="str" cm="1">
        <f t="array" ref="I1167">IF(NOT(ISBLANK(A1167)),((_xlfn.XLOOKUP(1,(_bbt3[[#All],[ID]]=A1167)*(_bbt3[[#All],[METRIC_NAME]]="YLD_YTM_ASK"),_bbt3[[#All],[METRIC_VALUE]])*0.5)+(_xlfn.XLOOKUP(1,(_bbt3[[#All],[ID]]=A1167)*(_bbt3[[#All],[METRIC_NAME]]="YLD_YTM_BID"),_bbt3[[#All],[METRIC_VALUE]])*0.5))/100,"")</f>
        <v/>
      </c>
      <c r="J1167">
        <f>IF(ISNA(VLOOKUP(A1167,'CloseDL - PriceSaverBBT3'!A:E,5,0)),0,VLOOKUP(A1167,'CloseDL - PriceSaverBBT3'!A:E,5,0))</f>
        <v>0</v>
      </c>
      <c r="K1167" s="7" t="str">
        <f t="shared" si="174"/>
        <v/>
      </c>
      <c r="L1167" s="20">
        <f>IF(Close[[#This Row],[CreatedBy]]="MARINER\SilverAdm",1,0)</f>
        <v>1</v>
      </c>
      <c r="M1167" t="str">
        <f>IF(NOT(ISBLANK(A1167)),VLOOKUP(A1167,'Close - PriceSaver'!A:J,6,0),"")</f>
        <v/>
      </c>
      <c r="Q1167" t="e">
        <f t="shared" si="175"/>
        <v>#N/A</v>
      </c>
      <c r="R1167" t="e">
        <f t="shared" si="176"/>
        <v>#N/A</v>
      </c>
      <c r="S1167" t="e">
        <f t="shared" si="177"/>
        <v>#N/A</v>
      </c>
      <c r="T1167" s="15" t="e">
        <f t="shared" si="170"/>
        <v>#N/A</v>
      </c>
      <c r="U1167" s="18" t="e">
        <f t="shared" si="171"/>
        <v>#N/A</v>
      </c>
      <c r="V1167" s="14" t="e">
        <f t="shared" si="178"/>
        <v>#N/A</v>
      </c>
      <c r="W1167" s="19" t="e">
        <f t="shared" si="172"/>
        <v>#N/A</v>
      </c>
      <c r="X1167" t="e">
        <f>VLOOKUP(P1167,Close[[ID]:[CreatedBy]],8,0)</f>
        <v>#N/A</v>
      </c>
    </row>
    <row r="1168" spans="2:24" x14ac:dyDescent="0.35">
      <c r="B1168" t="str">
        <f>IF(NOT(ISBLANK(A1168)),VLOOKUP(A1168,'BBT3'!A:F,2,0),"")</f>
        <v/>
      </c>
      <c r="C1168" t="str">
        <f>IF(NOT(ISBLANK(A1168)),VLOOKUP(A1168,'BBT3'!A:F,3,0),"")</f>
        <v/>
      </c>
      <c r="D1168" s="5" t="str">
        <f>IF(NOT(ISBLANK(A1168)),VLOOKUP(A1168,'BBT3'!A:F,4,1),"")</f>
        <v/>
      </c>
      <c r="E1168" t="str">
        <f>IF(NOT(ISBLANK(A1168)),VLOOKUP(A1168,'BBT3'!A:F,5,0),"")</f>
        <v/>
      </c>
      <c r="F1168" t="str">
        <f>IF(NOT(ISBLANK(A1168)),VLOOKUP(A1168,'BBT3'!A:F,6,0),"")</f>
        <v/>
      </c>
      <c r="G1168" t="str">
        <f t="shared" si="173"/>
        <v/>
      </c>
      <c r="H1168" t="str">
        <f>IF(NOT(ISBLANK(A1168)),VLOOKUP(A1168,'Close - PriceSaver'!A:J,5,0),"")</f>
        <v/>
      </c>
      <c r="I1168" s="4" t="str" cm="1">
        <f t="array" ref="I1168">IF(NOT(ISBLANK(A1168)),((_xlfn.XLOOKUP(1,(_bbt3[[#All],[ID]]=A1168)*(_bbt3[[#All],[METRIC_NAME]]="YLD_YTM_ASK"),_bbt3[[#All],[METRIC_VALUE]])*0.5)+(_xlfn.XLOOKUP(1,(_bbt3[[#All],[ID]]=A1168)*(_bbt3[[#All],[METRIC_NAME]]="YLD_YTM_BID"),_bbt3[[#All],[METRIC_VALUE]])*0.5))/100,"")</f>
        <v/>
      </c>
      <c r="J1168">
        <f>IF(ISNA(VLOOKUP(A1168,'CloseDL - PriceSaverBBT3'!A:E,5,0)),0,VLOOKUP(A1168,'CloseDL - PriceSaverBBT3'!A:E,5,0))</f>
        <v>0</v>
      </c>
      <c r="K1168" s="7" t="str">
        <f t="shared" si="174"/>
        <v/>
      </c>
      <c r="L1168" s="20">
        <f>IF(Close[[#This Row],[CreatedBy]]="MARINER\SilverAdm",1,0)</f>
        <v>1</v>
      </c>
      <c r="M1168" t="str">
        <f>IF(NOT(ISBLANK(A1168)),VLOOKUP(A1168,'Close - PriceSaver'!A:J,6,0),"")</f>
        <v/>
      </c>
      <c r="Q1168" t="e">
        <f t="shared" si="175"/>
        <v>#N/A</v>
      </c>
      <c r="R1168" t="e">
        <f t="shared" si="176"/>
        <v>#N/A</v>
      </c>
      <c r="S1168" t="e">
        <f t="shared" si="177"/>
        <v>#N/A</v>
      </c>
      <c r="T1168" s="15" t="e">
        <f t="shared" si="170"/>
        <v>#N/A</v>
      </c>
      <c r="U1168" s="18" t="e">
        <f t="shared" si="171"/>
        <v>#N/A</v>
      </c>
      <c r="V1168" s="14" t="e">
        <f t="shared" si="178"/>
        <v>#N/A</v>
      </c>
      <c r="W1168" s="19" t="e">
        <f t="shared" si="172"/>
        <v>#N/A</v>
      </c>
      <c r="X1168" t="e">
        <f>VLOOKUP(P1168,Close[[ID]:[CreatedBy]],8,0)</f>
        <v>#N/A</v>
      </c>
    </row>
    <row r="1169" spans="2:24" x14ac:dyDescent="0.35">
      <c r="B1169" t="str">
        <f>IF(NOT(ISBLANK(A1169)),VLOOKUP(A1169,'BBT3'!A:F,2,0),"")</f>
        <v/>
      </c>
      <c r="C1169" t="str">
        <f>IF(NOT(ISBLANK(A1169)),VLOOKUP(A1169,'BBT3'!A:F,3,0),"")</f>
        <v/>
      </c>
      <c r="D1169" s="5" t="str">
        <f>IF(NOT(ISBLANK(A1169)),VLOOKUP(A1169,'BBT3'!A:F,4,1),"")</f>
        <v/>
      </c>
      <c r="E1169" t="str">
        <f>IF(NOT(ISBLANK(A1169)),VLOOKUP(A1169,'BBT3'!A:F,5,0),"")</f>
        <v/>
      </c>
      <c r="F1169" t="str">
        <f>IF(NOT(ISBLANK(A1169)),VLOOKUP(A1169,'BBT3'!A:F,6,0),"")</f>
        <v/>
      </c>
      <c r="G1169" t="str">
        <f t="shared" si="173"/>
        <v/>
      </c>
      <c r="H1169" t="str">
        <f>IF(NOT(ISBLANK(A1169)),VLOOKUP(A1169,'Close - PriceSaver'!A:J,5,0),"")</f>
        <v/>
      </c>
      <c r="I1169" s="4" t="str" cm="1">
        <f t="array" ref="I1169">IF(NOT(ISBLANK(A1169)),((_xlfn.XLOOKUP(1,(_bbt3[[#All],[ID]]=A1169)*(_bbt3[[#All],[METRIC_NAME]]="YLD_YTM_ASK"),_bbt3[[#All],[METRIC_VALUE]])*0.5)+(_xlfn.XLOOKUP(1,(_bbt3[[#All],[ID]]=A1169)*(_bbt3[[#All],[METRIC_NAME]]="YLD_YTM_BID"),_bbt3[[#All],[METRIC_VALUE]])*0.5))/100,"")</f>
        <v/>
      </c>
      <c r="J1169">
        <f>IF(ISNA(VLOOKUP(A1169,'CloseDL - PriceSaverBBT3'!A:E,5,0)),0,VLOOKUP(A1169,'CloseDL - PriceSaverBBT3'!A:E,5,0))</f>
        <v>0</v>
      </c>
      <c r="K1169" s="7" t="str">
        <f t="shared" si="174"/>
        <v/>
      </c>
      <c r="L1169" s="20">
        <f>IF(Close[[#This Row],[CreatedBy]]="MARINER\SilverAdm",1,0)</f>
        <v>1</v>
      </c>
      <c r="M1169" t="str">
        <f>IF(NOT(ISBLANK(A1169)),VLOOKUP(A1169,'Close - PriceSaver'!A:J,6,0),"")</f>
        <v/>
      </c>
      <c r="Q1169" t="e">
        <f t="shared" si="175"/>
        <v>#N/A</v>
      </c>
      <c r="R1169" t="e">
        <f t="shared" si="176"/>
        <v>#N/A</v>
      </c>
      <c r="S1169" t="e">
        <f t="shared" si="177"/>
        <v>#N/A</v>
      </c>
      <c r="T1169" s="15" t="e">
        <f t="shared" si="170"/>
        <v>#N/A</v>
      </c>
      <c r="U1169" s="18" t="e">
        <f t="shared" si="171"/>
        <v>#N/A</v>
      </c>
      <c r="V1169" s="14" t="e">
        <f t="shared" si="178"/>
        <v>#N/A</v>
      </c>
      <c r="W1169" s="19" t="e">
        <f t="shared" si="172"/>
        <v>#N/A</v>
      </c>
      <c r="X1169" t="e">
        <f>VLOOKUP(P1169,Close[[ID]:[CreatedBy]],8,0)</f>
        <v>#N/A</v>
      </c>
    </row>
    <row r="1170" spans="2:24" x14ac:dyDescent="0.35">
      <c r="B1170" t="str">
        <f>IF(NOT(ISBLANK(A1170)),VLOOKUP(A1170,'BBT3'!A:F,2,0),"")</f>
        <v/>
      </c>
      <c r="C1170" t="str">
        <f>IF(NOT(ISBLANK(A1170)),VLOOKUP(A1170,'BBT3'!A:F,3,0),"")</f>
        <v/>
      </c>
      <c r="D1170" s="5" t="str">
        <f>IF(NOT(ISBLANK(A1170)),VLOOKUP(A1170,'BBT3'!A:F,4,1),"")</f>
        <v/>
      </c>
      <c r="E1170" t="str">
        <f>IF(NOT(ISBLANK(A1170)),VLOOKUP(A1170,'BBT3'!A:F,5,0),"")</f>
        <v/>
      </c>
      <c r="F1170" t="str">
        <f>IF(NOT(ISBLANK(A1170)),VLOOKUP(A1170,'BBT3'!A:F,6,0),"")</f>
        <v/>
      </c>
      <c r="G1170" t="str">
        <f t="shared" si="173"/>
        <v/>
      </c>
      <c r="H1170" t="str">
        <f>IF(NOT(ISBLANK(A1170)),VLOOKUP(A1170,'Close - PriceSaver'!A:J,5,0),"")</f>
        <v/>
      </c>
      <c r="I1170" s="4" t="str" cm="1">
        <f t="array" ref="I1170">IF(NOT(ISBLANK(A1170)),((_xlfn.XLOOKUP(1,(_bbt3[[#All],[ID]]=A1170)*(_bbt3[[#All],[METRIC_NAME]]="YLD_YTM_ASK"),_bbt3[[#All],[METRIC_VALUE]])*0.5)+(_xlfn.XLOOKUP(1,(_bbt3[[#All],[ID]]=A1170)*(_bbt3[[#All],[METRIC_NAME]]="YLD_YTM_BID"),_bbt3[[#All],[METRIC_VALUE]])*0.5))/100,"")</f>
        <v/>
      </c>
      <c r="J1170">
        <f>IF(ISNA(VLOOKUP(A1170,'CloseDL - PriceSaverBBT3'!A:E,5,0)),0,VLOOKUP(A1170,'CloseDL - PriceSaverBBT3'!A:E,5,0))</f>
        <v>0</v>
      </c>
      <c r="K1170" s="7" t="str">
        <f t="shared" si="174"/>
        <v/>
      </c>
      <c r="L1170" s="20">
        <f>IF(Close[[#This Row],[CreatedBy]]="MARINER\SilverAdm",1,0)</f>
        <v>1</v>
      </c>
      <c r="M1170" t="str">
        <f>IF(NOT(ISBLANK(A1170)),VLOOKUP(A1170,'Close - PriceSaver'!A:J,6,0),"")</f>
        <v/>
      </c>
      <c r="Q1170" t="e">
        <f t="shared" si="175"/>
        <v>#N/A</v>
      </c>
      <c r="R1170" t="e">
        <f t="shared" si="176"/>
        <v>#N/A</v>
      </c>
      <c r="S1170" t="e">
        <f t="shared" si="177"/>
        <v>#N/A</v>
      </c>
      <c r="T1170" s="15" t="e">
        <f t="shared" si="170"/>
        <v>#N/A</v>
      </c>
      <c r="U1170" s="18" t="e">
        <f t="shared" si="171"/>
        <v>#N/A</v>
      </c>
      <c r="V1170" s="14" t="e">
        <f t="shared" si="178"/>
        <v>#N/A</v>
      </c>
      <c r="W1170" s="19" t="e">
        <f t="shared" si="172"/>
        <v>#N/A</v>
      </c>
      <c r="X1170" t="e">
        <f>VLOOKUP(P1170,Close[[ID]:[CreatedBy]],8,0)</f>
        <v>#N/A</v>
      </c>
    </row>
    <row r="1171" spans="2:24" x14ac:dyDescent="0.35">
      <c r="B1171" t="str">
        <f>IF(NOT(ISBLANK(A1171)),VLOOKUP(A1171,'BBT3'!A:F,2,0),"")</f>
        <v/>
      </c>
      <c r="C1171" t="str">
        <f>IF(NOT(ISBLANK(A1171)),VLOOKUP(A1171,'BBT3'!A:F,3,0),"")</f>
        <v/>
      </c>
      <c r="D1171" s="5" t="str">
        <f>IF(NOT(ISBLANK(A1171)),VLOOKUP(A1171,'BBT3'!A:F,4,1),"")</f>
        <v/>
      </c>
      <c r="E1171" t="str">
        <f>IF(NOT(ISBLANK(A1171)),VLOOKUP(A1171,'BBT3'!A:F,5,0),"")</f>
        <v/>
      </c>
      <c r="F1171" t="str">
        <f>IF(NOT(ISBLANK(A1171)),VLOOKUP(A1171,'BBT3'!A:F,6,0),"")</f>
        <v/>
      </c>
      <c r="G1171" t="str">
        <f t="shared" si="173"/>
        <v/>
      </c>
      <c r="H1171" t="str">
        <f>IF(NOT(ISBLANK(A1171)),VLOOKUP(A1171,'Close - PriceSaver'!A:J,5,0),"")</f>
        <v/>
      </c>
      <c r="I1171" s="4" t="str" cm="1">
        <f t="array" ref="I1171">IF(NOT(ISBLANK(A1171)),((_xlfn.XLOOKUP(1,(_bbt3[[#All],[ID]]=A1171)*(_bbt3[[#All],[METRIC_NAME]]="YLD_YTM_ASK"),_bbt3[[#All],[METRIC_VALUE]])*0.5)+(_xlfn.XLOOKUP(1,(_bbt3[[#All],[ID]]=A1171)*(_bbt3[[#All],[METRIC_NAME]]="YLD_YTM_BID"),_bbt3[[#All],[METRIC_VALUE]])*0.5))/100,"")</f>
        <v/>
      </c>
      <c r="J1171">
        <f>IF(ISNA(VLOOKUP(A1171,'CloseDL - PriceSaverBBT3'!A:E,5,0)),0,VLOOKUP(A1171,'CloseDL - PriceSaverBBT3'!A:E,5,0))</f>
        <v>0</v>
      </c>
      <c r="K1171" s="7" t="str">
        <f t="shared" si="174"/>
        <v/>
      </c>
      <c r="L1171" s="20">
        <f>IF(Close[[#This Row],[CreatedBy]]="MARINER\SilverAdm",1,0)</f>
        <v>1</v>
      </c>
      <c r="M1171" t="str">
        <f>IF(NOT(ISBLANK(A1171)),VLOOKUP(A1171,'Close - PriceSaver'!A:J,6,0),"")</f>
        <v/>
      </c>
      <c r="Q1171" t="e">
        <f t="shared" si="175"/>
        <v>#N/A</v>
      </c>
      <c r="R1171" t="e">
        <f t="shared" si="176"/>
        <v>#N/A</v>
      </c>
      <c r="S1171" t="e">
        <f t="shared" si="177"/>
        <v>#N/A</v>
      </c>
      <c r="T1171" s="15" t="e">
        <f t="shared" si="170"/>
        <v>#N/A</v>
      </c>
      <c r="U1171" s="18" t="e">
        <f t="shared" si="171"/>
        <v>#N/A</v>
      </c>
      <c r="V1171" s="14" t="e">
        <f t="shared" si="178"/>
        <v>#N/A</v>
      </c>
      <c r="W1171" s="19" t="e">
        <f t="shared" si="172"/>
        <v>#N/A</v>
      </c>
      <c r="X1171" t="e">
        <f>VLOOKUP(P1171,Close[[ID]:[CreatedBy]],8,0)</f>
        <v>#N/A</v>
      </c>
    </row>
    <row r="1172" spans="2:24" x14ac:dyDescent="0.35">
      <c r="B1172" t="str">
        <f>IF(NOT(ISBLANK(A1172)),VLOOKUP(A1172,'BBT3'!A:F,2,0),"")</f>
        <v/>
      </c>
      <c r="C1172" t="str">
        <f>IF(NOT(ISBLANK(A1172)),VLOOKUP(A1172,'BBT3'!A:F,3,0),"")</f>
        <v/>
      </c>
      <c r="D1172" s="5" t="str">
        <f>IF(NOT(ISBLANK(A1172)),VLOOKUP(A1172,'BBT3'!A:F,4,1),"")</f>
        <v/>
      </c>
      <c r="E1172" t="str">
        <f>IF(NOT(ISBLANK(A1172)),VLOOKUP(A1172,'BBT3'!A:F,5,0),"")</f>
        <v/>
      </c>
      <c r="F1172" t="str">
        <f>IF(NOT(ISBLANK(A1172)),VLOOKUP(A1172,'BBT3'!A:F,6,0),"")</f>
        <v/>
      </c>
      <c r="G1172" t="str">
        <f t="shared" si="173"/>
        <v/>
      </c>
      <c r="H1172" t="str">
        <f>IF(NOT(ISBLANK(A1172)),VLOOKUP(A1172,'Close - PriceSaver'!A:J,5,0),"")</f>
        <v/>
      </c>
      <c r="I1172" s="4" t="str" cm="1">
        <f t="array" ref="I1172">IF(NOT(ISBLANK(A1172)),((_xlfn.XLOOKUP(1,(_bbt3[[#All],[ID]]=A1172)*(_bbt3[[#All],[METRIC_NAME]]="YLD_YTM_ASK"),_bbt3[[#All],[METRIC_VALUE]])*0.5)+(_xlfn.XLOOKUP(1,(_bbt3[[#All],[ID]]=A1172)*(_bbt3[[#All],[METRIC_NAME]]="YLD_YTM_BID"),_bbt3[[#All],[METRIC_VALUE]])*0.5))/100,"")</f>
        <v/>
      </c>
      <c r="J1172">
        <f>IF(ISNA(VLOOKUP(A1172,'CloseDL - PriceSaverBBT3'!A:E,5,0)),0,VLOOKUP(A1172,'CloseDL - PriceSaverBBT3'!A:E,5,0))</f>
        <v>0</v>
      </c>
      <c r="K1172" s="7" t="str">
        <f t="shared" si="174"/>
        <v/>
      </c>
      <c r="L1172" s="20">
        <f>IF(Close[[#This Row],[CreatedBy]]="MARINER\SilverAdm",1,0)</f>
        <v>1</v>
      </c>
      <c r="M1172" t="str">
        <f>IF(NOT(ISBLANK(A1172)),VLOOKUP(A1172,'Close - PriceSaver'!A:J,6,0),"")</f>
        <v/>
      </c>
      <c r="Q1172" t="e">
        <f t="shared" si="175"/>
        <v>#N/A</v>
      </c>
      <c r="R1172" t="e">
        <f t="shared" si="176"/>
        <v>#N/A</v>
      </c>
      <c r="S1172" t="e">
        <f t="shared" si="177"/>
        <v>#N/A</v>
      </c>
      <c r="T1172" s="15" t="e">
        <f t="shared" ref="T1172:T1235" si="179">VLOOKUP(Q1172,A:K,5,0)</f>
        <v>#N/A</v>
      </c>
      <c r="U1172" s="18" t="e">
        <f t="shared" ref="U1172:U1235" si="180">VLOOKUP(Q1172,A:K,8,0)</f>
        <v>#N/A</v>
      </c>
      <c r="V1172" s="14" t="e">
        <f t="shared" si="178"/>
        <v>#N/A</v>
      </c>
      <c r="W1172" s="19" t="e">
        <f t="shared" ref="W1172:W1235" si="181">(V1172-U1172)*100</f>
        <v>#N/A</v>
      </c>
      <c r="X1172" t="e">
        <f>VLOOKUP(P1172,Close[[ID]:[CreatedBy]],8,0)</f>
        <v>#N/A</v>
      </c>
    </row>
    <row r="1173" spans="2:24" x14ac:dyDescent="0.35">
      <c r="B1173" t="str">
        <f>IF(NOT(ISBLANK(A1173)),VLOOKUP(A1173,'BBT3'!A:F,2,0),"")</f>
        <v/>
      </c>
      <c r="C1173" t="str">
        <f>IF(NOT(ISBLANK(A1173)),VLOOKUP(A1173,'BBT3'!A:F,3,0),"")</f>
        <v/>
      </c>
      <c r="D1173" s="5" t="str">
        <f>IF(NOT(ISBLANK(A1173)),VLOOKUP(A1173,'BBT3'!A:F,4,1),"")</f>
        <v/>
      </c>
      <c r="E1173" t="str">
        <f>IF(NOT(ISBLANK(A1173)),VLOOKUP(A1173,'BBT3'!A:F,5,0),"")</f>
        <v/>
      </c>
      <c r="F1173" t="str">
        <f>IF(NOT(ISBLANK(A1173)),VLOOKUP(A1173,'BBT3'!A:F,6,0),"")</f>
        <v/>
      </c>
      <c r="G1173" t="str">
        <f t="shared" si="173"/>
        <v/>
      </c>
      <c r="H1173" t="str">
        <f>IF(NOT(ISBLANK(A1173)),VLOOKUP(A1173,'Close - PriceSaver'!A:J,5,0),"")</f>
        <v/>
      </c>
      <c r="I1173" s="4" t="str" cm="1">
        <f t="array" ref="I1173">IF(NOT(ISBLANK(A1173)),((_xlfn.XLOOKUP(1,(_bbt3[[#All],[ID]]=A1173)*(_bbt3[[#All],[METRIC_NAME]]="YLD_YTM_ASK"),_bbt3[[#All],[METRIC_VALUE]])*0.5)+(_xlfn.XLOOKUP(1,(_bbt3[[#All],[ID]]=A1173)*(_bbt3[[#All],[METRIC_NAME]]="YLD_YTM_BID"),_bbt3[[#All],[METRIC_VALUE]])*0.5))/100,"")</f>
        <v/>
      </c>
      <c r="J1173">
        <f>IF(ISNA(VLOOKUP(A1173,'CloseDL - PriceSaverBBT3'!A:E,5,0)),0,VLOOKUP(A1173,'CloseDL - PriceSaverBBT3'!A:E,5,0))</f>
        <v>0</v>
      </c>
      <c r="K1173" s="7" t="str">
        <f t="shared" si="174"/>
        <v/>
      </c>
      <c r="L1173" s="20">
        <f>IF(Close[[#This Row],[CreatedBy]]="MARINER\SilverAdm",1,0)</f>
        <v>1</v>
      </c>
      <c r="M1173" t="str">
        <f>IF(NOT(ISBLANK(A1173)),VLOOKUP(A1173,'Close - PriceSaver'!A:J,6,0),"")</f>
        <v/>
      </c>
      <c r="Q1173" t="e">
        <f t="shared" si="175"/>
        <v>#N/A</v>
      </c>
      <c r="R1173" t="e">
        <f t="shared" si="176"/>
        <v>#N/A</v>
      </c>
      <c r="S1173" t="e">
        <f t="shared" si="177"/>
        <v>#N/A</v>
      </c>
      <c r="T1173" s="15" t="e">
        <f t="shared" si="179"/>
        <v>#N/A</v>
      </c>
      <c r="U1173" s="18" t="e">
        <f t="shared" si="180"/>
        <v>#N/A</v>
      </c>
      <c r="V1173" s="14" t="e">
        <f t="shared" si="178"/>
        <v>#N/A</v>
      </c>
      <c r="W1173" s="19" t="e">
        <f t="shared" si="181"/>
        <v>#N/A</v>
      </c>
      <c r="X1173" t="e">
        <f>VLOOKUP(P1173,Close[[ID]:[CreatedBy]],8,0)</f>
        <v>#N/A</v>
      </c>
    </row>
    <row r="1174" spans="2:24" x14ac:dyDescent="0.35">
      <c r="B1174" t="str">
        <f>IF(NOT(ISBLANK(A1174)),VLOOKUP(A1174,'BBT3'!A:F,2,0),"")</f>
        <v/>
      </c>
      <c r="C1174" t="str">
        <f>IF(NOT(ISBLANK(A1174)),VLOOKUP(A1174,'BBT3'!A:F,3,0),"")</f>
        <v/>
      </c>
      <c r="D1174" s="5" t="str">
        <f>IF(NOT(ISBLANK(A1174)),VLOOKUP(A1174,'BBT3'!A:F,4,1),"")</f>
        <v/>
      </c>
      <c r="E1174" t="str">
        <f>IF(NOT(ISBLANK(A1174)),VLOOKUP(A1174,'BBT3'!A:F,5,0),"")</f>
        <v/>
      </c>
      <c r="F1174" t="str">
        <f>IF(NOT(ISBLANK(A1174)),VLOOKUP(A1174,'BBT3'!A:F,6,0),"")</f>
        <v/>
      </c>
      <c r="G1174" t="str">
        <f t="shared" si="173"/>
        <v/>
      </c>
      <c r="H1174" t="str">
        <f>IF(NOT(ISBLANK(A1174)),VLOOKUP(A1174,'Close - PriceSaver'!A:J,5,0),"")</f>
        <v/>
      </c>
      <c r="I1174" s="4" t="str" cm="1">
        <f t="array" ref="I1174">IF(NOT(ISBLANK(A1174)),((_xlfn.XLOOKUP(1,(_bbt3[[#All],[ID]]=A1174)*(_bbt3[[#All],[METRIC_NAME]]="YLD_YTM_ASK"),_bbt3[[#All],[METRIC_VALUE]])*0.5)+(_xlfn.XLOOKUP(1,(_bbt3[[#All],[ID]]=A1174)*(_bbt3[[#All],[METRIC_NAME]]="YLD_YTM_BID"),_bbt3[[#All],[METRIC_VALUE]])*0.5))/100,"")</f>
        <v/>
      </c>
      <c r="J1174">
        <f>IF(ISNA(VLOOKUP(A1174,'CloseDL - PriceSaverBBT3'!A:E,5,0)),0,VLOOKUP(A1174,'CloseDL - PriceSaverBBT3'!A:E,5,0))</f>
        <v>0</v>
      </c>
      <c r="K1174" s="7" t="str">
        <f t="shared" si="174"/>
        <v/>
      </c>
      <c r="L1174" s="20">
        <f>IF(Close[[#This Row],[CreatedBy]]="MARINER\SilverAdm",1,0)</f>
        <v>1</v>
      </c>
      <c r="M1174" t="str">
        <f>IF(NOT(ISBLANK(A1174)),VLOOKUP(A1174,'Close - PriceSaver'!A:J,6,0),"")</f>
        <v/>
      </c>
      <c r="Q1174" t="e">
        <f t="shared" si="175"/>
        <v>#N/A</v>
      </c>
      <c r="R1174" t="e">
        <f t="shared" si="176"/>
        <v>#N/A</v>
      </c>
      <c r="S1174" t="e">
        <f t="shared" si="177"/>
        <v>#N/A</v>
      </c>
      <c r="T1174" s="15" t="e">
        <f t="shared" si="179"/>
        <v>#N/A</v>
      </c>
      <c r="U1174" s="18" t="e">
        <f t="shared" si="180"/>
        <v>#N/A</v>
      </c>
      <c r="V1174" s="14" t="e">
        <f t="shared" si="178"/>
        <v>#N/A</v>
      </c>
      <c r="W1174" s="19" t="e">
        <f t="shared" si="181"/>
        <v>#N/A</v>
      </c>
      <c r="X1174" t="e">
        <f>VLOOKUP(P1174,Close[[ID]:[CreatedBy]],8,0)</f>
        <v>#N/A</v>
      </c>
    </row>
    <row r="1175" spans="2:24" x14ac:dyDescent="0.35">
      <c r="B1175" t="str">
        <f>IF(NOT(ISBLANK(A1175)),VLOOKUP(A1175,'BBT3'!A:F,2,0),"")</f>
        <v/>
      </c>
      <c r="C1175" t="str">
        <f>IF(NOT(ISBLANK(A1175)),VLOOKUP(A1175,'BBT3'!A:F,3,0),"")</f>
        <v/>
      </c>
      <c r="D1175" s="5" t="str">
        <f>IF(NOT(ISBLANK(A1175)),VLOOKUP(A1175,'BBT3'!A:F,4,1),"")</f>
        <v/>
      </c>
      <c r="E1175" t="str">
        <f>IF(NOT(ISBLANK(A1175)),VLOOKUP(A1175,'BBT3'!A:F,5,0),"")</f>
        <v/>
      </c>
      <c r="F1175" t="str">
        <f>IF(NOT(ISBLANK(A1175)),VLOOKUP(A1175,'BBT3'!A:F,6,0),"")</f>
        <v/>
      </c>
      <c r="G1175" t="str">
        <f t="shared" si="173"/>
        <v/>
      </c>
      <c r="H1175" t="str">
        <f>IF(NOT(ISBLANK(A1175)),VLOOKUP(A1175,'Close - PriceSaver'!A:J,5,0),"")</f>
        <v/>
      </c>
      <c r="I1175" s="4" t="str" cm="1">
        <f t="array" ref="I1175">IF(NOT(ISBLANK(A1175)),((_xlfn.XLOOKUP(1,(_bbt3[[#All],[ID]]=A1175)*(_bbt3[[#All],[METRIC_NAME]]="YLD_YTM_ASK"),_bbt3[[#All],[METRIC_VALUE]])*0.5)+(_xlfn.XLOOKUP(1,(_bbt3[[#All],[ID]]=A1175)*(_bbt3[[#All],[METRIC_NAME]]="YLD_YTM_BID"),_bbt3[[#All],[METRIC_VALUE]])*0.5))/100,"")</f>
        <v/>
      </c>
      <c r="J1175">
        <f>IF(ISNA(VLOOKUP(A1175,'CloseDL - PriceSaverBBT3'!A:E,5,0)),0,VLOOKUP(A1175,'CloseDL - PriceSaverBBT3'!A:E,5,0))</f>
        <v>0</v>
      </c>
      <c r="K1175" s="7" t="str">
        <f t="shared" si="174"/>
        <v/>
      </c>
      <c r="L1175" s="20">
        <f>IF(Close[[#This Row],[CreatedBy]]="MARINER\SilverAdm",1,0)</f>
        <v>1</v>
      </c>
      <c r="M1175" t="str">
        <f>IF(NOT(ISBLANK(A1175)),VLOOKUP(A1175,'Close - PriceSaver'!A:J,6,0),"")</f>
        <v/>
      </c>
      <c r="Q1175" t="e">
        <f t="shared" si="175"/>
        <v>#N/A</v>
      </c>
      <c r="R1175" t="e">
        <f t="shared" si="176"/>
        <v>#N/A</v>
      </c>
      <c r="S1175" t="e">
        <f t="shared" si="177"/>
        <v>#N/A</v>
      </c>
      <c r="T1175" s="15" t="e">
        <f t="shared" si="179"/>
        <v>#N/A</v>
      </c>
      <c r="U1175" s="18" t="e">
        <f t="shared" si="180"/>
        <v>#N/A</v>
      </c>
      <c r="V1175" s="14" t="e">
        <f t="shared" si="178"/>
        <v>#N/A</v>
      </c>
      <c r="W1175" s="19" t="e">
        <f t="shared" si="181"/>
        <v>#N/A</v>
      </c>
      <c r="X1175" t="e">
        <f>VLOOKUP(P1175,Close[[ID]:[CreatedBy]],8,0)</f>
        <v>#N/A</v>
      </c>
    </row>
    <row r="1176" spans="2:24" x14ac:dyDescent="0.35">
      <c r="B1176" t="str">
        <f>IF(NOT(ISBLANK(A1176)),VLOOKUP(A1176,'BBT3'!A:F,2,0),"")</f>
        <v/>
      </c>
      <c r="C1176" t="str">
        <f>IF(NOT(ISBLANK(A1176)),VLOOKUP(A1176,'BBT3'!A:F,3,0),"")</f>
        <v/>
      </c>
      <c r="D1176" s="5" t="str">
        <f>IF(NOT(ISBLANK(A1176)),VLOOKUP(A1176,'BBT3'!A:F,4,1),"")</f>
        <v/>
      </c>
      <c r="E1176" t="str">
        <f>IF(NOT(ISBLANK(A1176)),VLOOKUP(A1176,'BBT3'!A:F,5,0),"")</f>
        <v/>
      </c>
      <c r="F1176" t="str">
        <f>IF(NOT(ISBLANK(A1176)),VLOOKUP(A1176,'BBT3'!A:F,6,0),"")</f>
        <v/>
      </c>
      <c r="G1176" t="str">
        <f t="shared" si="173"/>
        <v/>
      </c>
      <c r="H1176" t="str">
        <f>IF(NOT(ISBLANK(A1176)),VLOOKUP(A1176,'Close - PriceSaver'!A:J,5,0),"")</f>
        <v/>
      </c>
      <c r="I1176" s="4" t="str" cm="1">
        <f t="array" ref="I1176">IF(NOT(ISBLANK(A1176)),((_xlfn.XLOOKUP(1,(_bbt3[[#All],[ID]]=A1176)*(_bbt3[[#All],[METRIC_NAME]]="YLD_YTM_ASK"),_bbt3[[#All],[METRIC_VALUE]])*0.5)+(_xlfn.XLOOKUP(1,(_bbt3[[#All],[ID]]=A1176)*(_bbt3[[#All],[METRIC_NAME]]="YLD_YTM_BID"),_bbt3[[#All],[METRIC_VALUE]])*0.5))/100,"")</f>
        <v/>
      </c>
      <c r="J1176">
        <f>IF(ISNA(VLOOKUP(A1176,'CloseDL - PriceSaverBBT3'!A:E,5,0)),0,VLOOKUP(A1176,'CloseDL - PriceSaverBBT3'!A:E,5,0))</f>
        <v>0</v>
      </c>
      <c r="K1176" s="7" t="str">
        <f t="shared" si="174"/>
        <v/>
      </c>
      <c r="L1176" s="20">
        <f>IF(Close[[#This Row],[CreatedBy]]="MARINER\SilverAdm",1,0)</f>
        <v>1</v>
      </c>
      <c r="M1176" t="str">
        <f>IF(NOT(ISBLANK(A1176)),VLOOKUP(A1176,'Close - PriceSaver'!A:J,6,0),"")</f>
        <v/>
      </c>
      <c r="Q1176" t="e">
        <f t="shared" si="175"/>
        <v>#N/A</v>
      </c>
      <c r="R1176" t="e">
        <f t="shared" si="176"/>
        <v>#N/A</v>
      </c>
      <c r="S1176" t="e">
        <f t="shared" si="177"/>
        <v>#N/A</v>
      </c>
      <c r="T1176" s="15" t="e">
        <f t="shared" si="179"/>
        <v>#N/A</v>
      </c>
      <c r="U1176" s="18" t="e">
        <f t="shared" si="180"/>
        <v>#N/A</v>
      </c>
      <c r="V1176" s="14" t="e">
        <f t="shared" si="178"/>
        <v>#N/A</v>
      </c>
      <c r="W1176" s="19" t="e">
        <f t="shared" si="181"/>
        <v>#N/A</v>
      </c>
      <c r="X1176" t="e">
        <f>VLOOKUP(P1176,Close[[ID]:[CreatedBy]],8,0)</f>
        <v>#N/A</v>
      </c>
    </row>
    <row r="1177" spans="2:24" x14ac:dyDescent="0.35">
      <c r="B1177" t="str">
        <f>IF(NOT(ISBLANK(A1177)),VLOOKUP(A1177,'BBT3'!A:F,2,0),"")</f>
        <v/>
      </c>
      <c r="C1177" t="str">
        <f>IF(NOT(ISBLANK(A1177)),VLOOKUP(A1177,'BBT3'!A:F,3,0),"")</f>
        <v/>
      </c>
      <c r="D1177" s="5" t="str">
        <f>IF(NOT(ISBLANK(A1177)),VLOOKUP(A1177,'BBT3'!A:F,4,1),"")</f>
        <v/>
      </c>
      <c r="E1177" t="str">
        <f>IF(NOT(ISBLANK(A1177)),VLOOKUP(A1177,'BBT3'!A:F,5,0),"")</f>
        <v/>
      </c>
      <c r="F1177" t="str">
        <f>IF(NOT(ISBLANK(A1177)),VLOOKUP(A1177,'BBT3'!A:F,6,0),"")</f>
        <v/>
      </c>
      <c r="G1177" t="str">
        <f t="shared" si="173"/>
        <v/>
      </c>
      <c r="H1177" t="str">
        <f>IF(NOT(ISBLANK(A1177)),VLOOKUP(A1177,'Close - PriceSaver'!A:J,5,0),"")</f>
        <v/>
      </c>
      <c r="I1177" s="4" t="str" cm="1">
        <f t="array" ref="I1177">IF(NOT(ISBLANK(A1177)),((_xlfn.XLOOKUP(1,(_bbt3[[#All],[ID]]=A1177)*(_bbt3[[#All],[METRIC_NAME]]="YLD_YTM_ASK"),_bbt3[[#All],[METRIC_VALUE]])*0.5)+(_xlfn.XLOOKUP(1,(_bbt3[[#All],[ID]]=A1177)*(_bbt3[[#All],[METRIC_NAME]]="YLD_YTM_BID"),_bbt3[[#All],[METRIC_VALUE]])*0.5))/100,"")</f>
        <v/>
      </c>
      <c r="J1177">
        <f>IF(ISNA(VLOOKUP(A1177,'CloseDL - PriceSaverBBT3'!A:E,5,0)),0,VLOOKUP(A1177,'CloseDL - PriceSaverBBT3'!A:E,5,0))</f>
        <v>0</v>
      </c>
      <c r="K1177" s="7" t="str">
        <f t="shared" si="174"/>
        <v/>
      </c>
      <c r="L1177" s="20">
        <f>IF(Close[[#This Row],[CreatedBy]]="MARINER\SilverAdm",1,0)</f>
        <v>1</v>
      </c>
      <c r="M1177" t="str">
        <f>IF(NOT(ISBLANK(A1177)),VLOOKUP(A1177,'Close - PriceSaver'!A:J,6,0),"")</f>
        <v/>
      </c>
      <c r="Q1177" t="e">
        <f t="shared" si="175"/>
        <v>#N/A</v>
      </c>
      <c r="R1177" t="e">
        <f t="shared" si="176"/>
        <v>#N/A</v>
      </c>
      <c r="S1177" t="e">
        <f t="shared" si="177"/>
        <v>#N/A</v>
      </c>
      <c r="T1177" s="15" t="e">
        <f t="shared" si="179"/>
        <v>#N/A</v>
      </c>
      <c r="U1177" s="18" t="e">
        <f t="shared" si="180"/>
        <v>#N/A</v>
      </c>
      <c r="V1177" s="14" t="e">
        <f t="shared" si="178"/>
        <v>#N/A</v>
      </c>
      <c r="W1177" s="19" t="e">
        <f t="shared" si="181"/>
        <v>#N/A</v>
      </c>
      <c r="X1177" t="e">
        <f>VLOOKUP(P1177,Close[[ID]:[CreatedBy]],8,0)</f>
        <v>#N/A</v>
      </c>
    </row>
    <row r="1178" spans="2:24" x14ac:dyDescent="0.35">
      <c r="B1178" t="str">
        <f>IF(NOT(ISBLANK(A1178)),VLOOKUP(A1178,'BBT3'!A:F,2,0),"")</f>
        <v/>
      </c>
      <c r="C1178" t="str">
        <f>IF(NOT(ISBLANK(A1178)),VLOOKUP(A1178,'BBT3'!A:F,3,0),"")</f>
        <v/>
      </c>
      <c r="D1178" s="5" t="str">
        <f>IF(NOT(ISBLANK(A1178)),VLOOKUP(A1178,'BBT3'!A:F,4,1),"")</f>
        <v/>
      </c>
      <c r="E1178" t="str">
        <f>IF(NOT(ISBLANK(A1178)),VLOOKUP(A1178,'BBT3'!A:F,5,0),"")</f>
        <v/>
      </c>
      <c r="F1178" t="str">
        <f>IF(NOT(ISBLANK(A1178)),VLOOKUP(A1178,'BBT3'!A:F,6,0),"")</f>
        <v/>
      </c>
      <c r="G1178" t="str">
        <f t="shared" si="173"/>
        <v/>
      </c>
      <c r="H1178" t="str">
        <f>IF(NOT(ISBLANK(A1178)),VLOOKUP(A1178,'Close - PriceSaver'!A:J,5,0),"")</f>
        <v/>
      </c>
      <c r="I1178" s="4" t="str" cm="1">
        <f t="array" ref="I1178">IF(NOT(ISBLANK(A1178)),((_xlfn.XLOOKUP(1,(_bbt3[[#All],[ID]]=A1178)*(_bbt3[[#All],[METRIC_NAME]]="YLD_YTM_ASK"),_bbt3[[#All],[METRIC_VALUE]])*0.5)+(_xlfn.XLOOKUP(1,(_bbt3[[#All],[ID]]=A1178)*(_bbt3[[#All],[METRIC_NAME]]="YLD_YTM_BID"),_bbt3[[#All],[METRIC_VALUE]])*0.5))/100,"")</f>
        <v/>
      </c>
      <c r="J1178">
        <f>IF(ISNA(VLOOKUP(A1178,'CloseDL - PriceSaverBBT3'!A:E,5,0)),0,VLOOKUP(A1178,'CloseDL - PriceSaverBBT3'!A:E,5,0))</f>
        <v>0</v>
      </c>
      <c r="K1178" s="7" t="str">
        <f t="shared" si="174"/>
        <v/>
      </c>
      <c r="L1178" s="20">
        <f>IF(Close[[#This Row],[CreatedBy]]="MARINER\SilverAdm",1,0)</f>
        <v>1</v>
      </c>
      <c r="M1178" t="str">
        <f>IF(NOT(ISBLANK(A1178)),VLOOKUP(A1178,'Close - PriceSaver'!A:J,6,0),"")</f>
        <v/>
      </c>
      <c r="Q1178" t="e">
        <f t="shared" si="175"/>
        <v>#N/A</v>
      </c>
      <c r="R1178" t="e">
        <f t="shared" si="176"/>
        <v>#N/A</v>
      </c>
      <c r="S1178" t="e">
        <f t="shared" si="177"/>
        <v>#N/A</v>
      </c>
      <c r="T1178" s="15" t="e">
        <f t="shared" si="179"/>
        <v>#N/A</v>
      </c>
      <c r="U1178" s="18" t="e">
        <f t="shared" si="180"/>
        <v>#N/A</v>
      </c>
      <c r="V1178" s="14" t="e">
        <f t="shared" si="178"/>
        <v>#N/A</v>
      </c>
      <c r="W1178" s="19" t="e">
        <f t="shared" si="181"/>
        <v>#N/A</v>
      </c>
      <c r="X1178" t="e">
        <f>VLOOKUP(P1178,Close[[ID]:[CreatedBy]],8,0)</f>
        <v>#N/A</v>
      </c>
    </row>
    <row r="1179" spans="2:24" x14ac:dyDescent="0.35">
      <c r="B1179" t="str">
        <f>IF(NOT(ISBLANK(A1179)),VLOOKUP(A1179,'BBT3'!A:F,2,0),"")</f>
        <v/>
      </c>
      <c r="C1179" t="str">
        <f>IF(NOT(ISBLANK(A1179)),VLOOKUP(A1179,'BBT3'!A:F,3,0),"")</f>
        <v/>
      </c>
      <c r="D1179" s="5" t="str">
        <f>IF(NOT(ISBLANK(A1179)),VLOOKUP(A1179,'BBT3'!A:F,4,1),"")</f>
        <v/>
      </c>
      <c r="E1179" t="str">
        <f>IF(NOT(ISBLANK(A1179)),VLOOKUP(A1179,'BBT3'!A:F,5,0),"")</f>
        <v/>
      </c>
      <c r="F1179" t="str">
        <f>IF(NOT(ISBLANK(A1179)),VLOOKUP(A1179,'BBT3'!A:F,6,0),"")</f>
        <v/>
      </c>
      <c r="G1179" t="str">
        <f t="shared" si="173"/>
        <v/>
      </c>
      <c r="H1179" t="str">
        <f>IF(NOT(ISBLANK(A1179)),VLOOKUP(A1179,'Close - PriceSaver'!A:J,5,0),"")</f>
        <v/>
      </c>
      <c r="I1179" s="4" t="str" cm="1">
        <f t="array" ref="I1179">IF(NOT(ISBLANK(A1179)),((_xlfn.XLOOKUP(1,(_bbt3[[#All],[ID]]=A1179)*(_bbt3[[#All],[METRIC_NAME]]="YLD_YTM_ASK"),_bbt3[[#All],[METRIC_VALUE]])*0.5)+(_xlfn.XLOOKUP(1,(_bbt3[[#All],[ID]]=A1179)*(_bbt3[[#All],[METRIC_NAME]]="YLD_YTM_BID"),_bbt3[[#All],[METRIC_VALUE]])*0.5))/100,"")</f>
        <v/>
      </c>
      <c r="J1179">
        <f>IF(ISNA(VLOOKUP(A1179,'CloseDL - PriceSaverBBT3'!A:E,5,0)),0,VLOOKUP(A1179,'CloseDL - PriceSaverBBT3'!A:E,5,0))</f>
        <v>0</v>
      </c>
      <c r="K1179" s="7" t="str">
        <f t="shared" si="174"/>
        <v/>
      </c>
      <c r="L1179" s="20">
        <f>IF(Close[[#This Row],[CreatedBy]]="MARINER\SilverAdm",1,0)</f>
        <v>1</v>
      </c>
      <c r="M1179" t="str">
        <f>IF(NOT(ISBLANK(A1179)),VLOOKUP(A1179,'Close - PriceSaver'!A:J,6,0),"")</f>
        <v/>
      </c>
      <c r="Q1179" t="e">
        <f t="shared" si="175"/>
        <v>#N/A</v>
      </c>
      <c r="R1179" t="e">
        <f t="shared" si="176"/>
        <v>#N/A</v>
      </c>
      <c r="S1179" t="e">
        <f t="shared" si="177"/>
        <v>#N/A</v>
      </c>
      <c r="T1179" s="15" t="e">
        <f t="shared" si="179"/>
        <v>#N/A</v>
      </c>
      <c r="U1179" s="18" t="e">
        <f t="shared" si="180"/>
        <v>#N/A</v>
      </c>
      <c r="V1179" s="14" t="e">
        <f t="shared" si="178"/>
        <v>#N/A</v>
      </c>
      <c r="W1179" s="19" t="e">
        <f t="shared" si="181"/>
        <v>#N/A</v>
      </c>
      <c r="X1179" t="e">
        <f>VLOOKUP(P1179,Close[[ID]:[CreatedBy]],8,0)</f>
        <v>#N/A</v>
      </c>
    </row>
    <row r="1180" spans="2:24" x14ac:dyDescent="0.35">
      <c r="B1180" t="str">
        <f>IF(NOT(ISBLANK(A1180)),VLOOKUP(A1180,'BBT3'!A:F,2,0),"")</f>
        <v/>
      </c>
      <c r="C1180" t="str">
        <f>IF(NOT(ISBLANK(A1180)),VLOOKUP(A1180,'BBT3'!A:F,3,0),"")</f>
        <v/>
      </c>
      <c r="D1180" s="5" t="str">
        <f>IF(NOT(ISBLANK(A1180)),VLOOKUP(A1180,'BBT3'!A:F,4,1),"")</f>
        <v/>
      </c>
      <c r="E1180" t="str">
        <f>IF(NOT(ISBLANK(A1180)),VLOOKUP(A1180,'BBT3'!A:F,5,0),"")</f>
        <v/>
      </c>
      <c r="F1180" t="str">
        <f>IF(NOT(ISBLANK(A1180)),VLOOKUP(A1180,'BBT3'!A:F,6,0),"")</f>
        <v/>
      </c>
      <c r="G1180" t="str">
        <f t="shared" si="173"/>
        <v/>
      </c>
      <c r="H1180" t="str">
        <f>IF(NOT(ISBLANK(A1180)),VLOOKUP(A1180,'Close - PriceSaver'!A:J,5,0),"")</f>
        <v/>
      </c>
      <c r="I1180" s="4" t="str" cm="1">
        <f t="array" ref="I1180">IF(NOT(ISBLANK(A1180)),((_xlfn.XLOOKUP(1,(_bbt3[[#All],[ID]]=A1180)*(_bbt3[[#All],[METRIC_NAME]]="YLD_YTM_ASK"),_bbt3[[#All],[METRIC_VALUE]])*0.5)+(_xlfn.XLOOKUP(1,(_bbt3[[#All],[ID]]=A1180)*(_bbt3[[#All],[METRIC_NAME]]="YLD_YTM_BID"),_bbt3[[#All],[METRIC_VALUE]])*0.5))/100,"")</f>
        <v/>
      </c>
      <c r="J1180">
        <f>IF(ISNA(VLOOKUP(A1180,'CloseDL - PriceSaverBBT3'!A:E,5,0)),0,VLOOKUP(A1180,'CloseDL - PriceSaverBBT3'!A:E,5,0))</f>
        <v>0</v>
      </c>
      <c r="K1180" s="7" t="str">
        <f t="shared" si="174"/>
        <v/>
      </c>
      <c r="L1180" s="20">
        <f>IF(Close[[#This Row],[CreatedBy]]="MARINER\SilverAdm",1,0)</f>
        <v>1</v>
      </c>
      <c r="M1180" t="str">
        <f>IF(NOT(ISBLANK(A1180)),VLOOKUP(A1180,'Close - PriceSaver'!A:J,6,0),"")</f>
        <v/>
      </c>
      <c r="Q1180" t="e">
        <f t="shared" si="175"/>
        <v>#N/A</v>
      </c>
      <c r="R1180" t="e">
        <f t="shared" si="176"/>
        <v>#N/A</v>
      </c>
      <c r="S1180" t="e">
        <f t="shared" si="177"/>
        <v>#N/A</v>
      </c>
      <c r="T1180" s="15" t="e">
        <f t="shared" si="179"/>
        <v>#N/A</v>
      </c>
      <c r="U1180" s="18" t="e">
        <f t="shared" si="180"/>
        <v>#N/A</v>
      </c>
      <c r="V1180" s="14" t="e">
        <f t="shared" si="178"/>
        <v>#N/A</v>
      </c>
      <c r="W1180" s="19" t="e">
        <f t="shared" si="181"/>
        <v>#N/A</v>
      </c>
      <c r="X1180" t="e">
        <f>VLOOKUP(P1180,Close[[ID]:[CreatedBy]],8,0)</f>
        <v>#N/A</v>
      </c>
    </row>
    <row r="1181" spans="2:24" x14ac:dyDescent="0.35">
      <c r="B1181" t="str">
        <f>IF(NOT(ISBLANK(A1181)),VLOOKUP(A1181,'BBT3'!A:F,2,0),"")</f>
        <v/>
      </c>
      <c r="C1181" t="str">
        <f>IF(NOT(ISBLANK(A1181)),VLOOKUP(A1181,'BBT3'!A:F,3,0),"")</f>
        <v/>
      </c>
      <c r="D1181" s="5" t="str">
        <f>IF(NOT(ISBLANK(A1181)),VLOOKUP(A1181,'BBT3'!A:F,4,1),"")</f>
        <v/>
      </c>
      <c r="E1181" t="str">
        <f>IF(NOT(ISBLANK(A1181)),VLOOKUP(A1181,'BBT3'!A:F,5,0),"")</f>
        <v/>
      </c>
      <c r="F1181" t="str">
        <f>IF(NOT(ISBLANK(A1181)),VLOOKUP(A1181,'BBT3'!A:F,6,0),"")</f>
        <v/>
      </c>
      <c r="G1181" t="str">
        <f t="shared" si="173"/>
        <v/>
      </c>
      <c r="H1181" t="str">
        <f>IF(NOT(ISBLANK(A1181)),VLOOKUP(A1181,'Close - PriceSaver'!A:J,5,0),"")</f>
        <v/>
      </c>
      <c r="I1181" s="4" t="str" cm="1">
        <f t="array" ref="I1181">IF(NOT(ISBLANK(A1181)),((_xlfn.XLOOKUP(1,(_bbt3[[#All],[ID]]=A1181)*(_bbt3[[#All],[METRIC_NAME]]="YLD_YTM_ASK"),_bbt3[[#All],[METRIC_VALUE]])*0.5)+(_xlfn.XLOOKUP(1,(_bbt3[[#All],[ID]]=A1181)*(_bbt3[[#All],[METRIC_NAME]]="YLD_YTM_BID"),_bbt3[[#All],[METRIC_VALUE]])*0.5))/100,"")</f>
        <v/>
      </c>
      <c r="J1181">
        <f>IF(ISNA(VLOOKUP(A1181,'CloseDL - PriceSaverBBT3'!A:E,5,0)),0,VLOOKUP(A1181,'CloseDL - PriceSaverBBT3'!A:E,5,0))</f>
        <v>0</v>
      </c>
      <c r="K1181" s="7" t="str">
        <f t="shared" si="174"/>
        <v/>
      </c>
      <c r="L1181" s="20">
        <f>IF(Close[[#This Row],[CreatedBy]]="MARINER\SilverAdm",1,0)</f>
        <v>1</v>
      </c>
      <c r="M1181" t="str">
        <f>IF(NOT(ISBLANK(A1181)),VLOOKUP(A1181,'Close - PriceSaver'!A:J,6,0),"")</f>
        <v/>
      </c>
      <c r="Q1181" t="e">
        <f t="shared" si="175"/>
        <v>#N/A</v>
      </c>
      <c r="R1181" t="e">
        <f t="shared" si="176"/>
        <v>#N/A</v>
      </c>
      <c r="S1181" t="e">
        <f t="shared" si="177"/>
        <v>#N/A</v>
      </c>
      <c r="T1181" s="15" t="e">
        <f t="shared" si="179"/>
        <v>#N/A</v>
      </c>
      <c r="U1181" s="18" t="e">
        <f t="shared" si="180"/>
        <v>#N/A</v>
      </c>
      <c r="V1181" s="14" t="e">
        <f t="shared" si="178"/>
        <v>#N/A</v>
      </c>
      <c r="W1181" s="19" t="e">
        <f t="shared" si="181"/>
        <v>#N/A</v>
      </c>
      <c r="X1181" t="e">
        <f>VLOOKUP(P1181,Close[[ID]:[CreatedBy]],8,0)</f>
        <v>#N/A</v>
      </c>
    </row>
    <row r="1182" spans="2:24" x14ac:dyDescent="0.35">
      <c r="B1182" t="str">
        <f>IF(NOT(ISBLANK(A1182)),VLOOKUP(A1182,'BBT3'!A:F,2,0),"")</f>
        <v/>
      </c>
      <c r="C1182" t="str">
        <f>IF(NOT(ISBLANK(A1182)),VLOOKUP(A1182,'BBT3'!A:F,3,0),"")</f>
        <v/>
      </c>
      <c r="D1182" s="5" t="str">
        <f>IF(NOT(ISBLANK(A1182)),VLOOKUP(A1182,'BBT3'!A:F,4,1),"")</f>
        <v/>
      </c>
      <c r="E1182" t="str">
        <f>IF(NOT(ISBLANK(A1182)),VLOOKUP(A1182,'BBT3'!A:F,5,0),"")</f>
        <v/>
      </c>
      <c r="F1182" t="str">
        <f>IF(NOT(ISBLANK(A1182)),VLOOKUP(A1182,'BBT3'!A:F,6,0),"")</f>
        <v/>
      </c>
      <c r="G1182" t="str">
        <f t="shared" si="173"/>
        <v/>
      </c>
      <c r="H1182" t="str">
        <f>IF(NOT(ISBLANK(A1182)),VLOOKUP(A1182,'Close - PriceSaver'!A:J,5,0),"")</f>
        <v/>
      </c>
      <c r="I1182" s="4" t="str" cm="1">
        <f t="array" ref="I1182">IF(NOT(ISBLANK(A1182)),((_xlfn.XLOOKUP(1,(_bbt3[[#All],[ID]]=A1182)*(_bbt3[[#All],[METRIC_NAME]]="YLD_YTM_ASK"),_bbt3[[#All],[METRIC_VALUE]])*0.5)+(_xlfn.XLOOKUP(1,(_bbt3[[#All],[ID]]=A1182)*(_bbt3[[#All],[METRIC_NAME]]="YLD_YTM_BID"),_bbt3[[#All],[METRIC_VALUE]])*0.5))/100,"")</f>
        <v/>
      </c>
      <c r="J1182">
        <f>IF(ISNA(VLOOKUP(A1182,'CloseDL - PriceSaverBBT3'!A:E,5,0)),0,VLOOKUP(A1182,'CloseDL - PriceSaverBBT3'!A:E,5,0))</f>
        <v>0</v>
      </c>
      <c r="K1182" s="7" t="str">
        <f t="shared" si="174"/>
        <v/>
      </c>
      <c r="L1182" s="20">
        <f>IF(Close[[#This Row],[CreatedBy]]="MARINER\SilverAdm",1,0)</f>
        <v>1</v>
      </c>
      <c r="M1182" t="str">
        <f>IF(NOT(ISBLANK(A1182)),VLOOKUP(A1182,'Close - PriceSaver'!A:J,6,0),"")</f>
        <v/>
      </c>
      <c r="Q1182" t="e">
        <f t="shared" si="175"/>
        <v>#N/A</v>
      </c>
      <c r="R1182" t="e">
        <f t="shared" si="176"/>
        <v>#N/A</v>
      </c>
      <c r="S1182" t="e">
        <f t="shared" si="177"/>
        <v>#N/A</v>
      </c>
      <c r="T1182" s="15" t="e">
        <f t="shared" si="179"/>
        <v>#N/A</v>
      </c>
      <c r="U1182" s="18" t="e">
        <f t="shared" si="180"/>
        <v>#N/A</v>
      </c>
      <c r="V1182" s="14" t="e">
        <f t="shared" si="178"/>
        <v>#N/A</v>
      </c>
      <c r="W1182" s="19" t="e">
        <f t="shared" si="181"/>
        <v>#N/A</v>
      </c>
      <c r="X1182" t="e">
        <f>VLOOKUP(P1182,Close[[ID]:[CreatedBy]],8,0)</f>
        <v>#N/A</v>
      </c>
    </row>
    <row r="1183" spans="2:24" x14ac:dyDescent="0.35">
      <c r="B1183" t="str">
        <f>IF(NOT(ISBLANK(A1183)),VLOOKUP(A1183,'BBT3'!A:F,2,0),"")</f>
        <v/>
      </c>
      <c r="C1183" t="str">
        <f>IF(NOT(ISBLANK(A1183)),VLOOKUP(A1183,'BBT3'!A:F,3,0),"")</f>
        <v/>
      </c>
      <c r="D1183" s="5" t="str">
        <f>IF(NOT(ISBLANK(A1183)),VLOOKUP(A1183,'BBT3'!A:F,4,1),"")</f>
        <v/>
      </c>
      <c r="E1183" t="str">
        <f>IF(NOT(ISBLANK(A1183)),VLOOKUP(A1183,'BBT3'!A:F,5,0),"")</f>
        <v/>
      </c>
      <c r="F1183" t="str">
        <f>IF(NOT(ISBLANK(A1183)),VLOOKUP(A1183,'BBT3'!A:F,6,0),"")</f>
        <v/>
      </c>
      <c r="G1183" t="str">
        <f t="shared" si="173"/>
        <v/>
      </c>
      <c r="H1183" t="str">
        <f>IF(NOT(ISBLANK(A1183)),VLOOKUP(A1183,'Close - PriceSaver'!A:J,5,0),"")</f>
        <v/>
      </c>
      <c r="I1183" s="4" t="str" cm="1">
        <f t="array" ref="I1183">IF(NOT(ISBLANK(A1183)),((_xlfn.XLOOKUP(1,(_bbt3[[#All],[ID]]=A1183)*(_bbt3[[#All],[METRIC_NAME]]="YLD_YTM_ASK"),_bbt3[[#All],[METRIC_VALUE]])*0.5)+(_xlfn.XLOOKUP(1,(_bbt3[[#All],[ID]]=A1183)*(_bbt3[[#All],[METRIC_NAME]]="YLD_YTM_BID"),_bbt3[[#All],[METRIC_VALUE]])*0.5))/100,"")</f>
        <v/>
      </c>
      <c r="J1183">
        <f>IF(ISNA(VLOOKUP(A1183,'CloseDL - PriceSaverBBT3'!A:E,5,0)),0,VLOOKUP(A1183,'CloseDL - PriceSaverBBT3'!A:E,5,0))</f>
        <v>0</v>
      </c>
      <c r="K1183" s="7" t="str">
        <f t="shared" si="174"/>
        <v/>
      </c>
      <c r="L1183" s="20">
        <f>IF(Close[[#This Row],[CreatedBy]]="MARINER\SilverAdm",1,0)</f>
        <v>1</v>
      </c>
      <c r="M1183" t="str">
        <f>IF(NOT(ISBLANK(A1183)),VLOOKUP(A1183,'Close - PriceSaver'!A:J,6,0),"")</f>
        <v/>
      </c>
      <c r="Q1183" t="e">
        <f t="shared" si="175"/>
        <v>#N/A</v>
      </c>
      <c r="R1183" t="e">
        <f t="shared" si="176"/>
        <v>#N/A</v>
      </c>
      <c r="S1183" t="e">
        <f t="shared" si="177"/>
        <v>#N/A</v>
      </c>
      <c r="T1183" s="15" t="e">
        <f t="shared" si="179"/>
        <v>#N/A</v>
      </c>
      <c r="U1183" s="18" t="e">
        <f t="shared" si="180"/>
        <v>#N/A</v>
      </c>
      <c r="V1183" s="14" t="e">
        <f t="shared" si="178"/>
        <v>#N/A</v>
      </c>
      <c r="W1183" s="19" t="e">
        <f t="shared" si="181"/>
        <v>#N/A</v>
      </c>
      <c r="X1183" t="e">
        <f>VLOOKUP(P1183,Close[[ID]:[CreatedBy]],8,0)</f>
        <v>#N/A</v>
      </c>
    </row>
    <row r="1184" spans="2:24" x14ac:dyDescent="0.35">
      <c r="B1184" t="str">
        <f>IF(NOT(ISBLANK(A1184)),VLOOKUP(A1184,'BBT3'!A:F,2,0),"")</f>
        <v/>
      </c>
      <c r="C1184" t="str">
        <f>IF(NOT(ISBLANK(A1184)),VLOOKUP(A1184,'BBT3'!A:F,3,0),"")</f>
        <v/>
      </c>
      <c r="D1184" s="5" t="str">
        <f>IF(NOT(ISBLANK(A1184)),VLOOKUP(A1184,'BBT3'!A:F,4,1),"")</f>
        <v/>
      </c>
      <c r="E1184" t="str">
        <f>IF(NOT(ISBLANK(A1184)),VLOOKUP(A1184,'BBT3'!A:F,5,0),"")</f>
        <v/>
      </c>
      <c r="F1184" t="str">
        <f>IF(NOT(ISBLANK(A1184)),VLOOKUP(A1184,'BBT3'!A:F,6,0),"")</f>
        <v/>
      </c>
      <c r="G1184" t="str">
        <f t="shared" si="173"/>
        <v/>
      </c>
      <c r="H1184" t="str">
        <f>IF(NOT(ISBLANK(A1184)),VLOOKUP(A1184,'Close - PriceSaver'!A:J,5,0),"")</f>
        <v/>
      </c>
      <c r="I1184" s="4" t="str" cm="1">
        <f t="array" ref="I1184">IF(NOT(ISBLANK(A1184)),((_xlfn.XLOOKUP(1,(_bbt3[[#All],[ID]]=A1184)*(_bbt3[[#All],[METRIC_NAME]]="YLD_YTM_ASK"),_bbt3[[#All],[METRIC_VALUE]])*0.5)+(_xlfn.XLOOKUP(1,(_bbt3[[#All],[ID]]=A1184)*(_bbt3[[#All],[METRIC_NAME]]="YLD_YTM_BID"),_bbt3[[#All],[METRIC_VALUE]])*0.5))/100,"")</f>
        <v/>
      </c>
      <c r="J1184">
        <f>IF(ISNA(VLOOKUP(A1184,'CloseDL - PriceSaverBBT3'!A:E,5,0)),0,VLOOKUP(A1184,'CloseDL - PriceSaverBBT3'!A:E,5,0))</f>
        <v>0</v>
      </c>
      <c r="K1184" s="7" t="str">
        <f t="shared" si="174"/>
        <v/>
      </c>
      <c r="L1184" s="20">
        <f>IF(Close[[#This Row],[CreatedBy]]="MARINER\SilverAdm",1,0)</f>
        <v>1</v>
      </c>
      <c r="M1184" t="str">
        <f>IF(NOT(ISBLANK(A1184)),VLOOKUP(A1184,'Close - PriceSaver'!A:J,6,0),"")</f>
        <v/>
      </c>
      <c r="Q1184" t="e">
        <f t="shared" si="175"/>
        <v>#N/A</v>
      </c>
      <c r="R1184" t="e">
        <f t="shared" si="176"/>
        <v>#N/A</v>
      </c>
      <c r="S1184" t="e">
        <f t="shared" si="177"/>
        <v>#N/A</v>
      </c>
      <c r="T1184" s="15" t="e">
        <f t="shared" si="179"/>
        <v>#N/A</v>
      </c>
      <c r="U1184" s="18" t="e">
        <f t="shared" si="180"/>
        <v>#N/A</v>
      </c>
      <c r="V1184" s="14" t="e">
        <f t="shared" si="178"/>
        <v>#N/A</v>
      </c>
      <c r="W1184" s="19" t="e">
        <f t="shared" si="181"/>
        <v>#N/A</v>
      </c>
      <c r="X1184" t="e">
        <f>VLOOKUP(P1184,Close[[ID]:[CreatedBy]],8,0)</f>
        <v>#N/A</v>
      </c>
    </row>
    <row r="1185" spans="2:24" x14ac:dyDescent="0.35">
      <c r="B1185" t="str">
        <f>IF(NOT(ISBLANK(A1185)),VLOOKUP(A1185,'BBT3'!A:F,2,0),"")</f>
        <v/>
      </c>
      <c r="C1185" t="str">
        <f>IF(NOT(ISBLANK(A1185)),VLOOKUP(A1185,'BBT3'!A:F,3,0),"")</f>
        <v/>
      </c>
      <c r="D1185" s="5" t="str">
        <f>IF(NOT(ISBLANK(A1185)),VLOOKUP(A1185,'BBT3'!A:F,4,1),"")</f>
        <v/>
      </c>
      <c r="E1185" t="str">
        <f>IF(NOT(ISBLANK(A1185)),VLOOKUP(A1185,'BBT3'!A:F,5,0),"")</f>
        <v/>
      </c>
      <c r="F1185" t="str">
        <f>IF(NOT(ISBLANK(A1185)),VLOOKUP(A1185,'BBT3'!A:F,6,0),"")</f>
        <v/>
      </c>
      <c r="G1185" t="str">
        <f t="shared" si="173"/>
        <v/>
      </c>
      <c r="H1185" t="str">
        <f>IF(NOT(ISBLANK(A1185)),VLOOKUP(A1185,'Close - PriceSaver'!A:J,5,0),"")</f>
        <v/>
      </c>
      <c r="I1185" s="4" t="str" cm="1">
        <f t="array" ref="I1185">IF(NOT(ISBLANK(A1185)),((_xlfn.XLOOKUP(1,(_bbt3[[#All],[ID]]=A1185)*(_bbt3[[#All],[METRIC_NAME]]="YLD_YTM_ASK"),_bbt3[[#All],[METRIC_VALUE]])*0.5)+(_xlfn.XLOOKUP(1,(_bbt3[[#All],[ID]]=A1185)*(_bbt3[[#All],[METRIC_NAME]]="YLD_YTM_BID"),_bbt3[[#All],[METRIC_VALUE]])*0.5))/100,"")</f>
        <v/>
      </c>
      <c r="J1185">
        <f>IF(ISNA(VLOOKUP(A1185,'CloseDL - PriceSaverBBT3'!A:E,5,0)),0,VLOOKUP(A1185,'CloseDL - PriceSaverBBT3'!A:E,5,0))</f>
        <v>0</v>
      </c>
      <c r="K1185" s="7" t="str">
        <f t="shared" si="174"/>
        <v/>
      </c>
      <c r="L1185" s="20">
        <f>IF(Close[[#This Row],[CreatedBy]]="MARINER\SilverAdm",1,0)</f>
        <v>1</v>
      </c>
      <c r="M1185" t="str">
        <f>IF(NOT(ISBLANK(A1185)),VLOOKUP(A1185,'Close - PriceSaver'!A:J,6,0),"")</f>
        <v/>
      </c>
      <c r="Q1185" t="e">
        <f t="shared" si="175"/>
        <v>#N/A</v>
      </c>
      <c r="R1185" t="e">
        <f t="shared" si="176"/>
        <v>#N/A</v>
      </c>
      <c r="S1185" t="e">
        <f t="shared" si="177"/>
        <v>#N/A</v>
      </c>
      <c r="T1185" s="15" t="e">
        <f t="shared" si="179"/>
        <v>#N/A</v>
      </c>
      <c r="U1185" s="18" t="e">
        <f t="shared" si="180"/>
        <v>#N/A</v>
      </c>
      <c r="V1185" s="14" t="e">
        <f t="shared" si="178"/>
        <v>#N/A</v>
      </c>
      <c r="W1185" s="19" t="e">
        <f t="shared" si="181"/>
        <v>#N/A</v>
      </c>
      <c r="X1185" t="e">
        <f>VLOOKUP(P1185,Close[[ID]:[CreatedBy]],8,0)</f>
        <v>#N/A</v>
      </c>
    </row>
    <row r="1186" spans="2:24" x14ac:dyDescent="0.35">
      <c r="B1186" t="str">
        <f>IF(NOT(ISBLANK(A1186)),VLOOKUP(A1186,'BBT3'!A:F,2,0),"")</f>
        <v/>
      </c>
      <c r="C1186" t="str">
        <f>IF(NOT(ISBLANK(A1186)),VLOOKUP(A1186,'BBT3'!A:F,3,0),"")</f>
        <v/>
      </c>
      <c r="D1186" s="5" t="str">
        <f>IF(NOT(ISBLANK(A1186)),VLOOKUP(A1186,'BBT3'!A:F,4,1),"")</f>
        <v/>
      </c>
      <c r="E1186" t="str">
        <f>IF(NOT(ISBLANK(A1186)),VLOOKUP(A1186,'BBT3'!A:F,5,0),"")</f>
        <v/>
      </c>
      <c r="F1186" t="str">
        <f>IF(NOT(ISBLANK(A1186)),VLOOKUP(A1186,'BBT3'!A:F,6,0),"")</f>
        <v/>
      </c>
      <c r="G1186" t="str">
        <f t="shared" si="173"/>
        <v/>
      </c>
      <c r="H1186" t="str">
        <f>IF(NOT(ISBLANK(A1186)),VLOOKUP(A1186,'Close - PriceSaver'!A:J,5,0),"")</f>
        <v/>
      </c>
      <c r="I1186" s="4" t="str" cm="1">
        <f t="array" ref="I1186">IF(NOT(ISBLANK(A1186)),((_xlfn.XLOOKUP(1,(_bbt3[[#All],[ID]]=A1186)*(_bbt3[[#All],[METRIC_NAME]]="YLD_YTM_ASK"),_bbt3[[#All],[METRIC_VALUE]])*0.5)+(_xlfn.XLOOKUP(1,(_bbt3[[#All],[ID]]=A1186)*(_bbt3[[#All],[METRIC_NAME]]="YLD_YTM_BID"),_bbt3[[#All],[METRIC_VALUE]])*0.5))/100,"")</f>
        <v/>
      </c>
      <c r="J1186">
        <f>IF(ISNA(VLOOKUP(A1186,'CloseDL - PriceSaverBBT3'!A:E,5,0)),0,VLOOKUP(A1186,'CloseDL - PriceSaverBBT3'!A:E,5,0))</f>
        <v>0</v>
      </c>
      <c r="K1186" s="7" t="str">
        <f t="shared" si="174"/>
        <v/>
      </c>
      <c r="L1186" s="20">
        <f>IF(Close[[#This Row],[CreatedBy]]="MARINER\SilverAdm",1,0)</f>
        <v>1</v>
      </c>
      <c r="M1186" t="str">
        <f>IF(NOT(ISBLANK(A1186)),VLOOKUP(A1186,'Close - PriceSaver'!A:J,6,0),"")</f>
        <v/>
      </c>
      <c r="Q1186" t="e">
        <f t="shared" si="175"/>
        <v>#N/A</v>
      </c>
      <c r="R1186" t="e">
        <f t="shared" si="176"/>
        <v>#N/A</v>
      </c>
      <c r="S1186" t="e">
        <f t="shared" si="177"/>
        <v>#N/A</v>
      </c>
      <c r="T1186" s="15" t="e">
        <f t="shared" si="179"/>
        <v>#N/A</v>
      </c>
      <c r="U1186" s="18" t="e">
        <f t="shared" si="180"/>
        <v>#N/A</v>
      </c>
      <c r="V1186" s="14" t="e">
        <f t="shared" si="178"/>
        <v>#N/A</v>
      </c>
      <c r="W1186" s="19" t="e">
        <f t="shared" si="181"/>
        <v>#N/A</v>
      </c>
      <c r="X1186" t="e">
        <f>VLOOKUP(P1186,Close[[ID]:[CreatedBy]],8,0)</f>
        <v>#N/A</v>
      </c>
    </row>
    <row r="1187" spans="2:24" x14ac:dyDescent="0.35">
      <c r="B1187" t="str">
        <f>IF(NOT(ISBLANK(A1187)),VLOOKUP(A1187,'BBT3'!A:F,2,0),"")</f>
        <v/>
      </c>
      <c r="C1187" t="str">
        <f>IF(NOT(ISBLANK(A1187)),VLOOKUP(A1187,'BBT3'!A:F,3,0),"")</f>
        <v/>
      </c>
      <c r="D1187" s="5" t="str">
        <f>IF(NOT(ISBLANK(A1187)),VLOOKUP(A1187,'BBT3'!A:F,4,1),"")</f>
        <v/>
      </c>
      <c r="E1187" t="str">
        <f>IF(NOT(ISBLANK(A1187)),VLOOKUP(A1187,'BBT3'!A:F,5,0),"")</f>
        <v/>
      </c>
      <c r="F1187" t="str">
        <f>IF(NOT(ISBLANK(A1187)),VLOOKUP(A1187,'BBT3'!A:F,6,0),"")</f>
        <v/>
      </c>
      <c r="G1187" t="str">
        <f t="shared" si="173"/>
        <v/>
      </c>
      <c r="H1187" t="str">
        <f>IF(NOT(ISBLANK(A1187)),VLOOKUP(A1187,'Close - PriceSaver'!A:J,5,0),"")</f>
        <v/>
      </c>
      <c r="I1187" s="4" t="str" cm="1">
        <f t="array" ref="I1187">IF(NOT(ISBLANK(A1187)),((_xlfn.XLOOKUP(1,(_bbt3[[#All],[ID]]=A1187)*(_bbt3[[#All],[METRIC_NAME]]="YLD_YTM_ASK"),_bbt3[[#All],[METRIC_VALUE]])*0.5)+(_xlfn.XLOOKUP(1,(_bbt3[[#All],[ID]]=A1187)*(_bbt3[[#All],[METRIC_NAME]]="YLD_YTM_BID"),_bbt3[[#All],[METRIC_VALUE]])*0.5))/100,"")</f>
        <v/>
      </c>
      <c r="J1187">
        <f>IF(ISNA(VLOOKUP(A1187,'CloseDL - PriceSaverBBT3'!A:E,5,0)),0,VLOOKUP(A1187,'CloseDL - PriceSaverBBT3'!A:E,5,0))</f>
        <v>0</v>
      </c>
      <c r="K1187" s="7" t="str">
        <f t="shared" si="174"/>
        <v/>
      </c>
      <c r="L1187" s="20">
        <f>IF(Close[[#This Row],[CreatedBy]]="MARINER\SilverAdm",1,0)</f>
        <v>1</v>
      </c>
      <c r="M1187" t="str">
        <f>IF(NOT(ISBLANK(A1187)),VLOOKUP(A1187,'Close - PriceSaver'!A:J,6,0),"")</f>
        <v/>
      </c>
      <c r="Q1187" t="e">
        <f t="shared" si="175"/>
        <v>#N/A</v>
      </c>
      <c r="R1187" t="e">
        <f t="shared" si="176"/>
        <v>#N/A</v>
      </c>
      <c r="S1187" t="e">
        <f t="shared" si="177"/>
        <v>#N/A</v>
      </c>
      <c r="T1187" s="15" t="e">
        <f t="shared" si="179"/>
        <v>#N/A</v>
      </c>
      <c r="U1187" s="18" t="e">
        <f t="shared" si="180"/>
        <v>#N/A</v>
      </c>
      <c r="V1187" s="14" t="e">
        <f t="shared" si="178"/>
        <v>#N/A</v>
      </c>
      <c r="W1187" s="19" t="e">
        <f t="shared" si="181"/>
        <v>#N/A</v>
      </c>
      <c r="X1187" t="e">
        <f>VLOOKUP(P1187,Close[[ID]:[CreatedBy]],8,0)</f>
        <v>#N/A</v>
      </c>
    </row>
    <row r="1188" spans="2:24" x14ac:dyDescent="0.35">
      <c r="B1188" t="str">
        <f>IF(NOT(ISBLANK(A1188)),VLOOKUP(A1188,'BBT3'!A:F,2,0),"")</f>
        <v/>
      </c>
      <c r="C1188" t="str">
        <f>IF(NOT(ISBLANK(A1188)),VLOOKUP(A1188,'BBT3'!A:F,3,0),"")</f>
        <v/>
      </c>
      <c r="D1188" s="5" t="str">
        <f>IF(NOT(ISBLANK(A1188)),VLOOKUP(A1188,'BBT3'!A:F,4,1),"")</f>
        <v/>
      </c>
      <c r="E1188" t="str">
        <f>IF(NOT(ISBLANK(A1188)),VLOOKUP(A1188,'BBT3'!A:F,5,0),"")</f>
        <v/>
      </c>
      <c r="F1188" t="str">
        <f>IF(NOT(ISBLANK(A1188)),VLOOKUP(A1188,'BBT3'!A:F,6,0),"")</f>
        <v/>
      </c>
      <c r="G1188" t="str">
        <f t="shared" si="173"/>
        <v/>
      </c>
      <c r="H1188" t="str">
        <f>IF(NOT(ISBLANK(A1188)),VLOOKUP(A1188,'Close - PriceSaver'!A:J,5,0),"")</f>
        <v/>
      </c>
      <c r="I1188" s="4" t="str" cm="1">
        <f t="array" ref="I1188">IF(NOT(ISBLANK(A1188)),((_xlfn.XLOOKUP(1,(_bbt3[[#All],[ID]]=A1188)*(_bbt3[[#All],[METRIC_NAME]]="YLD_YTM_ASK"),_bbt3[[#All],[METRIC_VALUE]])*0.5)+(_xlfn.XLOOKUP(1,(_bbt3[[#All],[ID]]=A1188)*(_bbt3[[#All],[METRIC_NAME]]="YLD_YTM_BID"),_bbt3[[#All],[METRIC_VALUE]])*0.5))/100,"")</f>
        <v/>
      </c>
      <c r="J1188">
        <f>IF(ISNA(VLOOKUP(A1188,'CloseDL - PriceSaverBBT3'!A:E,5,0)),0,VLOOKUP(A1188,'CloseDL - PriceSaverBBT3'!A:E,5,0))</f>
        <v>0</v>
      </c>
      <c r="K1188" s="7" t="str">
        <f t="shared" si="174"/>
        <v/>
      </c>
      <c r="L1188" s="20">
        <f>IF(Close[[#This Row],[CreatedBy]]="MARINER\SilverAdm",1,0)</f>
        <v>1</v>
      </c>
      <c r="M1188" t="str">
        <f>IF(NOT(ISBLANK(A1188)),VLOOKUP(A1188,'Close - PriceSaver'!A:J,6,0),"")</f>
        <v/>
      </c>
      <c r="Q1188" t="e">
        <f t="shared" si="175"/>
        <v>#N/A</v>
      </c>
      <c r="R1188" t="e">
        <f t="shared" si="176"/>
        <v>#N/A</v>
      </c>
      <c r="S1188" t="e">
        <f t="shared" si="177"/>
        <v>#N/A</v>
      </c>
      <c r="T1188" s="15" t="e">
        <f t="shared" si="179"/>
        <v>#N/A</v>
      </c>
      <c r="U1188" s="18" t="e">
        <f t="shared" si="180"/>
        <v>#N/A</v>
      </c>
      <c r="V1188" s="14" t="e">
        <f t="shared" si="178"/>
        <v>#N/A</v>
      </c>
      <c r="W1188" s="19" t="e">
        <f t="shared" si="181"/>
        <v>#N/A</v>
      </c>
      <c r="X1188" t="e">
        <f>VLOOKUP(P1188,Close[[ID]:[CreatedBy]],8,0)</f>
        <v>#N/A</v>
      </c>
    </row>
    <row r="1189" spans="2:24" x14ac:dyDescent="0.35">
      <c r="B1189" t="str">
        <f>IF(NOT(ISBLANK(A1189)),VLOOKUP(A1189,'BBT3'!A:F,2,0),"")</f>
        <v/>
      </c>
      <c r="C1189" t="str">
        <f>IF(NOT(ISBLANK(A1189)),VLOOKUP(A1189,'BBT3'!A:F,3,0),"")</f>
        <v/>
      </c>
      <c r="D1189" s="5" t="str">
        <f>IF(NOT(ISBLANK(A1189)),VLOOKUP(A1189,'BBT3'!A:F,4,1),"")</f>
        <v/>
      </c>
      <c r="E1189" t="str">
        <f>IF(NOT(ISBLANK(A1189)),VLOOKUP(A1189,'BBT3'!A:F,5,0),"")</f>
        <v/>
      </c>
      <c r="F1189" t="str">
        <f>IF(NOT(ISBLANK(A1189)),VLOOKUP(A1189,'BBT3'!A:F,6,0),"")</f>
        <v/>
      </c>
      <c r="G1189" t="str">
        <f t="shared" si="173"/>
        <v/>
      </c>
      <c r="H1189" t="str">
        <f>IF(NOT(ISBLANK(A1189)),VLOOKUP(A1189,'Close - PriceSaver'!A:J,5,0),"")</f>
        <v/>
      </c>
      <c r="I1189" s="4" t="str" cm="1">
        <f t="array" ref="I1189">IF(NOT(ISBLANK(A1189)),((_xlfn.XLOOKUP(1,(_bbt3[[#All],[ID]]=A1189)*(_bbt3[[#All],[METRIC_NAME]]="YLD_YTM_ASK"),_bbt3[[#All],[METRIC_VALUE]])*0.5)+(_xlfn.XLOOKUP(1,(_bbt3[[#All],[ID]]=A1189)*(_bbt3[[#All],[METRIC_NAME]]="YLD_YTM_BID"),_bbt3[[#All],[METRIC_VALUE]])*0.5))/100,"")</f>
        <v/>
      </c>
      <c r="J1189">
        <f>IF(ISNA(VLOOKUP(A1189,'CloseDL - PriceSaverBBT3'!A:E,5,0)),0,VLOOKUP(A1189,'CloseDL - PriceSaverBBT3'!A:E,5,0))</f>
        <v>0</v>
      </c>
      <c r="K1189" s="7" t="str">
        <f t="shared" si="174"/>
        <v/>
      </c>
      <c r="L1189" s="20">
        <f>IF(Close[[#This Row],[CreatedBy]]="MARINER\SilverAdm",1,0)</f>
        <v>1</v>
      </c>
      <c r="M1189" t="str">
        <f>IF(NOT(ISBLANK(A1189)),VLOOKUP(A1189,'Close - PriceSaver'!A:J,6,0),"")</f>
        <v/>
      </c>
      <c r="Q1189" t="e">
        <f t="shared" si="175"/>
        <v>#N/A</v>
      </c>
      <c r="R1189" t="e">
        <f t="shared" si="176"/>
        <v>#N/A</v>
      </c>
      <c r="S1189" t="e">
        <f t="shared" si="177"/>
        <v>#N/A</v>
      </c>
      <c r="T1189" s="15" t="e">
        <f t="shared" si="179"/>
        <v>#N/A</v>
      </c>
      <c r="U1189" s="18" t="e">
        <f t="shared" si="180"/>
        <v>#N/A</v>
      </c>
      <c r="V1189" s="14" t="e">
        <f t="shared" si="178"/>
        <v>#N/A</v>
      </c>
      <c r="W1189" s="19" t="e">
        <f t="shared" si="181"/>
        <v>#N/A</v>
      </c>
      <c r="X1189" t="e">
        <f>VLOOKUP(P1189,Close[[ID]:[CreatedBy]],8,0)</f>
        <v>#N/A</v>
      </c>
    </row>
    <row r="1190" spans="2:24" x14ac:dyDescent="0.35">
      <c r="B1190" t="str">
        <f>IF(NOT(ISBLANK(A1190)),VLOOKUP(A1190,'BBT3'!A:F,2,0),"")</f>
        <v/>
      </c>
      <c r="C1190" t="str">
        <f>IF(NOT(ISBLANK(A1190)),VLOOKUP(A1190,'BBT3'!A:F,3,0),"")</f>
        <v/>
      </c>
      <c r="D1190" s="5" t="str">
        <f>IF(NOT(ISBLANK(A1190)),VLOOKUP(A1190,'BBT3'!A:F,4,1),"")</f>
        <v/>
      </c>
      <c r="E1190" t="str">
        <f>IF(NOT(ISBLANK(A1190)),VLOOKUP(A1190,'BBT3'!A:F,5,0),"")</f>
        <v/>
      </c>
      <c r="F1190" t="str">
        <f>IF(NOT(ISBLANK(A1190)),VLOOKUP(A1190,'BBT3'!A:F,6,0),"")</f>
        <v/>
      </c>
      <c r="G1190" t="str">
        <f t="shared" si="173"/>
        <v/>
      </c>
      <c r="H1190" t="str">
        <f>IF(NOT(ISBLANK(A1190)),VLOOKUP(A1190,'Close - PriceSaver'!A:J,5,0),"")</f>
        <v/>
      </c>
      <c r="I1190" s="4" t="str" cm="1">
        <f t="array" ref="I1190">IF(NOT(ISBLANK(A1190)),((_xlfn.XLOOKUP(1,(_bbt3[[#All],[ID]]=A1190)*(_bbt3[[#All],[METRIC_NAME]]="YLD_YTM_ASK"),_bbt3[[#All],[METRIC_VALUE]])*0.5)+(_xlfn.XLOOKUP(1,(_bbt3[[#All],[ID]]=A1190)*(_bbt3[[#All],[METRIC_NAME]]="YLD_YTM_BID"),_bbt3[[#All],[METRIC_VALUE]])*0.5))/100,"")</f>
        <v/>
      </c>
      <c r="J1190">
        <f>IF(ISNA(VLOOKUP(A1190,'CloseDL - PriceSaverBBT3'!A:E,5,0)),0,VLOOKUP(A1190,'CloseDL - PriceSaverBBT3'!A:E,5,0))</f>
        <v>0</v>
      </c>
      <c r="K1190" s="7" t="str">
        <f t="shared" si="174"/>
        <v/>
      </c>
      <c r="L1190" s="20">
        <f>IF(Close[[#This Row],[CreatedBy]]="MARINER\SilverAdm",1,0)</f>
        <v>1</v>
      </c>
      <c r="M1190" t="str">
        <f>IF(NOT(ISBLANK(A1190)),VLOOKUP(A1190,'Close - PriceSaver'!A:J,6,0),"")</f>
        <v/>
      </c>
      <c r="Q1190" t="e">
        <f t="shared" si="175"/>
        <v>#N/A</v>
      </c>
      <c r="R1190" t="e">
        <f t="shared" si="176"/>
        <v>#N/A</v>
      </c>
      <c r="S1190" t="e">
        <f t="shared" si="177"/>
        <v>#N/A</v>
      </c>
      <c r="T1190" s="15" t="e">
        <f t="shared" si="179"/>
        <v>#N/A</v>
      </c>
      <c r="U1190" s="18" t="e">
        <f t="shared" si="180"/>
        <v>#N/A</v>
      </c>
      <c r="V1190" s="14" t="e">
        <f t="shared" si="178"/>
        <v>#N/A</v>
      </c>
      <c r="W1190" s="19" t="e">
        <f t="shared" si="181"/>
        <v>#N/A</v>
      </c>
      <c r="X1190" t="e">
        <f>VLOOKUP(P1190,Close[[ID]:[CreatedBy]],8,0)</f>
        <v>#N/A</v>
      </c>
    </row>
    <row r="1191" spans="2:24" x14ac:dyDescent="0.35">
      <c r="B1191" t="str">
        <f>IF(NOT(ISBLANK(A1191)),VLOOKUP(A1191,'BBT3'!A:F,2,0),"")</f>
        <v/>
      </c>
      <c r="C1191" t="str">
        <f>IF(NOT(ISBLANK(A1191)),VLOOKUP(A1191,'BBT3'!A:F,3,0),"")</f>
        <v/>
      </c>
      <c r="D1191" s="5" t="str">
        <f>IF(NOT(ISBLANK(A1191)),VLOOKUP(A1191,'BBT3'!A:F,4,1),"")</f>
        <v/>
      </c>
      <c r="E1191" t="str">
        <f>IF(NOT(ISBLANK(A1191)),VLOOKUP(A1191,'BBT3'!A:F,5,0),"")</f>
        <v/>
      </c>
      <c r="F1191" t="str">
        <f>IF(NOT(ISBLANK(A1191)),VLOOKUP(A1191,'BBT3'!A:F,6,0),"")</f>
        <v/>
      </c>
      <c r="G1191" t="str">
        <f t="shared" si="173"/>
        <v/>
      </c>
      <c r="H1191" t="str">
        <f>IF(NOT(ISBLANK(A1191)),VLOOKUP(A1191,'Close - PriceSaver'!A:J,5,0),"")</f>
        <v/>
      </c>
      <c r="I1191" s="4" t="str" cm="1">
        <f t="array" ref="I1191">IF(NOT(ISBLANK(A1191)),((_xlfn.XLOOKUP(1,(_bbt3[[#All],[ID]]=A1191)*(_bbt3[[#All],[METRIC_NAME]]="YLD_YTM_ASK"),_bbt3[[#All],[METRIC_VALUE]])*0.5)+(_xlfn.XLOOKUP(1,(_bbt3[[#All],[ID]]=A1191)*(_bbt3[[#All],[METRIC_NAME]]="YLD_YTM_BID"),_bbt3[[#All],[METRIC_VALUE]])*0.5))/100,"")</f>
        <v/>
      </c>
      <c r="J1191">
        <f>IF(ISNA(VLOOKUP(A1191,'CloseDL - PriceSaverBBT3'!A:E,5,0)),0,VLOOKUP(A1191,'CloseDL - PriceSaverBBT3'!A:E,5,0))</f>
        <v>0</v>
      </c>
      <c r="K1191" s="7" t="str">
        <f t="shared" si="174"/>
        <v/>
      </c>
      <c r="L1191" s="20">
        <f>IF(Close[[#This Row],[CreatedBy]]="MARINER\SilverAdm",1,0)</f>
        <v>1</v>
      </c>
      <c r="M1191" t="str">
        <f>IF(NOT(ISBLANK(A1191)),VLOOKUP(A1191,'Close - PriceSaver'!A:J,6,0),"")</f>
        <v/>
      </c>
      <c r="Q1191" t="e">
        <f t="shared" si="175"/>
        <v>#N/A</v>
      </c>
      <c r="R1191" t="e">
        <f t="shared" si="176"/>
        <v>#N/A</v>
      </c>
      <c r="S1191" t="e">
        <f t="shared" si="177"/>
        <v>#N/A</v>
      </c>
      <c r="T1191" s="15" t="e">
        <f t="shared" si="179"/>
        <v>#N/A</v>
      </c>
      <c r="U1191" s="18" t="e">
        <f t="shared" si="180"/>
        <v>#N/A</v>
      </c>
      <c r="V1191" s="14" t="e">
        <f t="shared" si="178"/>
        <v>#N/A</v>
      </c>
      <c r="W1191" s="19" t="e">
        <f t="shared" si="181"/>
        <v>#N/A</v>
      </c>
      <c r="X1191" t="e">
        <f>VLOOKUP(P1191,Close[[ID]:[CreatedBy]],8,0)</f>
        <v>#N/A</v>
      </c>
    </row>
    <row r="1192" spans="2:24" x14ac:dyDescent="0.35">
      <c r="B1192" t="str">
        <f>IF(NOT(ISBLANK(A1192)),VLOOKUP(A1192,'BBT3'!A:F,2,0),"")</f>
        <v/>
      </c>
      <c r="C1192" t="str">
        <f>IF(NOT(ISBLANK(A1192)),VLOOKUP(A1192,'BBT3'!A:F,3,0),"")</f>
        <v/>
      </c>
      <c r="D1192" s="5" t="str">
        <f>IF(NOT(ISBLANK(A1192)),VLOOKUP(A1192,'BBT3'!A:F,4,1),"")</f>
        <v/>
      </c>
      <c r="E1192" t="str">
        <f>IF(NOT(ISBLANK(A1192)),VLOOKUP(A1192,'BBT3'!A:F,5,0),"")</f>
        <v/>
      </c>
      <c r="F1192" t="str">
        <f>IF(NOT(ISBLANK(A1192)),VLOOKUP(A1192,'BBT3'!A:F,6,0),"")</f>
        <v/>
      </c>
      <c r="G1192" t="str">
        <f t="shared" si="173"/>
        <v/>
      </c>
      <c r="H1192" t="str">
        <f>IF(NOT(ISBLANK(A1192)),VLOOKUP(A1192,'Close - PriceSaver'!A:J,5,0),"")</f>
        <v/>
      </c>
      <c r="I1192" s="4" t="str" cm="1">
        <f t="array" ref="I1192">IF(NOT(ISBLANK(A1192)),((_xlfn.XLOOKUP(1,(_bbt3[[#All],[ID]]=A1192)*(_bbt3[[#All],[METRIC_NAME]]="YLD_YTM_ASK"),_bbt3[[#All],[METRIC_VALUE]])*0.5)+(_xlfn.XLOOKUP(1,(_bbt3[[#All],[ID]]=A1192)*(_bbt3[[#All],[METRIC_NAME]]="YLD_YTM_BID"),_bbt3[[#All],[METRIC_VALUE]])*0.5))/100,"")</f>
        <v/>
      </c>
      <c r="J1192">
        <f>IF(ISNA(VLOOKUP(A1192,'CloseDL - PriceSaverBBT3'!A:E,5,0)),0,VLOOKUP(A1192,'CloseDL - PriceSaverBBT3'!A:E,5,0))</f>
        <v>0</v>
      </c>
      <c r="K1192" s="7" t="str">
        <f t="shared" si="174"/>
        <v/>
      </c>
      <c r="L1192" s="20">
        <f>IF(Close[[#This Row],[CreatedBy]]="MARINER\SilverAdm",1,0)</f>
        <v>1</v>
      </c>
      <c r="M1192" t="str">
        <f>IF(NOT(ISBLANK(A1192)),VLOOKUP(A1192,'Close - PriceSaver'!A:J,6,0),"")</f>
        <v/>
      </c>
      <c r="Q1192" t="e">
        <f t="shared" si="175"/>
        <v>#N/A</v>
      </c>
      <c r="R1192" t="e">
        <f t="shared" si="176"/>
        <v>#N/A</v>
      </c>
      <c r="S1192" t="e">
        <f t="shared" si="177"/>
        <v>#N/A</v>
      </c>
      <c r="T1192" s="15" t="e">
        <f t="shared" si="179"/>
        <v>#N/A</v>
      </c>
      <c r="U1192" s="18" t="e">
        <f t="shared" si="180"/>
        <v>#N/A</v>
      </c>
      <c r="V1192" s="14" t="e">
        <f t="shared" si="178"/>
        <v>#N/A</v>
      </c>
      <c r="W1192" s="19" t="e">
        <f t="shared" si="181"/>
        <v>#N/A</v>
      </c>
      <c r="X1192" t="e">
        <f>VLOOKUP(P1192,Close[[ID]:[CreatedBy]],8,0)</f>
        <v>#N/A</v>
      </c>
    </row>
    <row r="1193" spans="2:24" x14ac:dyDescent="0.35">
      <c r="B1193" t="str">
        <f>IF(NOT(ISBLANK(A1193)),VLOOKUP(A1193,'BBT3'!A:F,2,0),"")</f>
        <v/>
      </c>
      <c r="C1193" t="str">
        <f>IF(NOT(ISBLANK(A1193)),VLOOKUP(A1193,'BBT3'!A:F,3,0),"")</f>
        <v/>
      </c>
      <c r="D1193" s="5" t="str">
        <f>IF(NOT(ISBLANK(A1193)),VLOOKUP(A1193,'BBT3'!A:F,4,1),"")</f>
        <v/>
      </c>
      <c r="E1193" t="str">
        <f>IF(NOT(ISBLANK(A1193)),VLOOKUP(A1193,'BBT3'!A:F,5,0),"")</f>
        <v/>
      </c>
      <c r="F1193" t="str">
        <f>IF(NOT(ISBLANK(A1193)),VLOOKUP(A1193,'BBT3'!A:F,6,0),"")</f>
        <v/>
      </c>
      <c r="G1193" t="str">
        <f t="shared" si="173"/>
        <v/>
      </c>
      <c r="H1193" t="str">
        <f>IF(NOT(ISBLANK(A1193)),VLOOKUP(A1193,'Close - PriceSaver'!A:J,5,0),"")</f>
        <v/>
      </c>
      <c r="I1193" s="4" t="str" cm="1">
        <f t="array" ref="I1193">IF(NOT(ISBLANK(A1193)),((_xlfn.XLOOKUP(1,(_bbt3[[#All],[ID]]=A1193)*(_bbt3[[#All],[METRIC_NAME]]="YLD_YTM_ASK"),_bbt3[[#All],[METRIC_VALUE]])*0.5)+(_xlfn.XLOOKUP(1,(_bbt3[[#All],[ID]]=A1193)*(_bbt3[[#All],[METRIC_NAME]]="YLD_YTM_BID"),_bbt3[[#All],[METRIC_VALUE]])*0.5))/100,"")</f>
        <v/>
      </c>
      <c r="J1193">
        <f>IF(ISNA(VLOOKUP(A1193,'CloseDL - PriceSaverBBT3'!A:E,5,0)),0,VLOOKUP(A1193,'CloseDL - PriceSaverBBT3'!A:E,5,0))</f>
        <v>0</v>
      </c>
      <c r="K1193" s="7" t="str">
        <f t="shared" si="174"/>
        <v/>
      </c>
      <c r="L1193" s="20">
        <f>IF(Close[[#This Row],[CreatedBy]]="MARINER\SilverAdm",1,0)</f>
        <v>1</v>
      </c>
      <c r="M1193" t="str">
        <f>IF(NOT(ISBLANK(A1193)),VLOOKUP(A1193,'Close - PriceSaver'!A:J,6,0),"")</f>
        <v/>
      </c>
      <c r="Q1193" t="e">
        <f t="shared" si="175"/>
        <v>#N/A</v>
      </c>
      <c r="R1193" t="e">
        <f t="shared" si="176"/>
        <v>#N/A</v>
      </c>
      <c r="S1193" t="e">
        <f t="shared" si="177"/>
        <v>#N/A</v>
      </c>
      <c r="T1193" s="15" t="e">
        <f t="shared" si="179"/>
        <v>#N/A</v>
      </c>
      <c r="U1193" s="18" t="e">
        <f t="shared" si="180"/>
        <v>#N/A</v>
      </c>
      <c r="V1193" s="14" t="e">
        <f t="shared" si="178"/>
        <v>#N/A</v>
      </c>
      <c r="W1193" s="19" t="e">
        <f t="shared" si="181"/>
        <v>#N/A</v>
      </c>
      <c r="X1193" t="e">
        <f>VLOOKUP(P1193,Close[[ID]:[CreatedBy]],8,0)</f>
        <v>#N/A</v>
      </c>
    </row>
    <row r="1194" spans="2:24" x14ac:dyDescent="0.35">
      <c r="B1194" t="str">
        <f>IF(NOT(ISBLANK(A1194)),VLOOKUP(A1194,'BBT3'!A:F,2,0),"")</f>
        <v/>
      </c>
      <c r="C1194" t="str">
        <f>IF(NOT(ISBLANK(A1194)),VLOOKUP(A1194,'BBT3'!A:F,3,0),"")</f>
        <v/>
      </c>
      <c r="D1194" s="5" t="str">
        <f>IF(NOT(ISBLANK(A1194)),VLOOKUP(A1194,'BBT3'!A:F,4,1),"")</f>
        <v/>
      </c>
      <c r="E1194" t="str">
        <f>IF(NOT(ISBLANK(A1194)),VLOOKUP(A1194,'BBT3'!A:F,5,0),"")</f>
        <v/>
      </c>
      <c r="F1194" t="str">
        <f>IF(NOT(ISBLANK(A1194)),VLOOKUP(A1194,'BBT3'!A:F,6,0),"")</f>
        <v/>
      </c>
      <c r="G1194" t="str">
        <f t="shared" si="173"/>
        <v/>
      </c>
      <c r="H1194" t="str">
        <f>IF(NOT(ISBLANK(A1194)),VLOOKUP(A1194,'Close - PriceSaver'!A:J,5,0),"")</f>
        <v/>
      </c>
      <c r="I1194" s="4" t="str" cm="1">
        <f t="array" ref="I1194">IF(NOT(ISBLANK(A1194)),((_xlfn.XLOOKUP(1,(_bbt3[[#All],[ID]]=A1194)*(_bbt3[[#All],[METRIC_NAME]]="YLD_YTM_ASK"),_bbt3[[#All],[METRIC_VALUE]])*0.5)+(_xlfn.XLOOKUP(1,(_bbt3[[#All],[ID]]=A1194)*(_bbt3[[#All],[METRIC_NAME]]="YLD_YTM_BID"),_bbt3[[#All],[METRIC_VALUE]])*0.5))/100,"")</f>
        <v/>
      </c>
      <c r="J1194">
        <f>IF(ISNA(VLOOKUP(A1194,'CloseDL - PriceSaverBBT3'!A:E,5,0)),0,VLOOKUP(A1194,'CloseDL - PriceSaverBBT3'!A:E,5,0))</f>
        <v>0</v>
      </c>
      <c r="K1194" s="7" t="str">
        <f t="shared" si="174"/>
        <v/>
      </c>
      <c r="L1194" s="20">
        <f>IF(Close[[#This Row],[CreatedBy]]="MARINER\SilverAdm",1,0)</f>
        <v>1</v>
      </c>
      <c r="M1194" t="str">
        <f>IF(NOT(ISBLANK(A1194)),VLOOKUP(A1194,'Close - PriceSaver'!A:J,6,0),"")</f>
        <v/>
      </c>
      <c r="Q1194" t="e">
        <f t="shared" si="175"/>
        <v>#N/A</v>
      </c>
      <c r="R1194" t="e">
        <f t="shared" si="176"/>
        <v>#N/A</v>
      </c>
      <c r="S1194" t="e">
        <f t="shared" si="177"/>
        <v>#N/A</v>
      </c>
      <c r="T1194" s="15" t="e">
        <f t="shared" si="179"/>
        <v>#N/A</v>
      </c>
      <c r="U1194" s="18" t="e">
        <f t="shared" si="180"/>
        <v>#N/A</v>
      </c>
      <c r="V1194" s="14" t="e">
        <f t="shared" si="178"/>
        <v>#N/A</v>
      </c>
      <c r="W1194" s="19" t="e">
        <f t="shared" si="181"/>
        <v>#N/A</v>
      </c>
      <c r="X1194" t="e">
        <f>VLOOKUP(P1194,Close[[ID]:[CreatedBy]],8,0)</f>
        <v>#N/A</v>
      </c>
    </row>
    <row r="1195" spans="2:24" x14ac:dyDescent="0.35">
      <c r="B1195" t="str">
        <f>IF(NOT(ISBLANK(A1195)),VLOOKUP(A1195,'BBT3'!A:F,2,0),"")</f>
        <v/>
      </c>
      <c r="C1195" t="str">
        <f>IF(NOT(ISBLANK(A1195)),VLOOKUP(A1195,'BBT3'!A:F,3,0),"")</f>
        <v/>
      </c>
      <c r="D1195" s="5" t="str">
        <f>IF(NOT(ISBLANK(A1195)),VLOOKUP(A1195,'BBT3'!A:F,4,1),"")</f>
        <v/>
      </c>
      <c r="E1195" t="str">
        <f>IF(NOT(ISBLANK(A1195)),VLOOKUP(A1195,'BBT3'!A:F,5,0),"")</f>
        <v/>
      </c>
      <c r="F1195" t="str">
        <f>IF(NOT(ISBLANK(A1195)),VLOOKUP(A1195,'BBT3'!A:F,6,0),"")</f>
        <v/>
      </c>
      <c r="G1195" t="str">
        <f t="shared" si="173"/>
        <v/>
      </c>
      <c r="H1195" t="str">
        <f>IF(NOT(ISBLANK(A1195)),VLOOKUP(A1195,'Close - PriceSaver'!A:J,5,0),"")</f>
        <v/>
      </c>
      <c r="I1195" s="4" t="str" cm="1">
        <f t="array" ref="I1195">IF(NOT(ISBLANK(A1195)),((_xlfn.XLOOKUP(1,(_bbt3[[#All],[ID]]=A1195)*(_bbt3[[#All],[METRIC_NAME]]="YLD_YTM_ASK"),_bbt3[[#All],[METRIC_VALUE]])*0.5)+(_xlfn.XLOOKUP(1,(_bbt3[[#All],[ID]]=A1195)*(_bbt3[[#All],[METRIC_NAME]]="YLD_YTM_BID"),_bbt3[[#All],[METRIC_VALUE]])*0.5))/100,"")</f>
        <v/>
      </c>
      <c r="J1195">
        <f>IF(ISNA(VLOOKUP(A1195,'CloseDL - PriceSaverBBT3'!A:E,5,0)),0,VLOOKUP(A1195,'CloseDL - PriceSaverBBT3'!A:E,5,0))</f>
        <v>0</v>
      </c>
      <c r="K1195" s="7" t="str">
        <f t="shared" si="174"/>
        <v/>
      </c>
      <c r="L1195" s="20">
        <f>IF(Close[[#This Row],[CreatedBy]]="MARINER\SilverAdm",1,0)</f>
        <v>1</v>
      </c>
      <c r="M1195" t="str">
        <f>IF(NOT(ISBLANK(A1195)),VLOOKUP(A1195,'Close - PriceSaver'!A:J,6,0),"")</f>
        <v/>
      </c>
      <c r="Q1195" t="e">
        <f t="shared" si="175"/>
        <v>#N/A</v>
      </c>
      <c r="R1195" t="e">
        <f t="shared" si="176"/>
        <v>#N/A</v>
      </c>
      <c r="S1195" t="e">
        <f t="shared" si="177"/>
        <v>#N/A</v>
      </c>
      <c r="T1195" s="15" t="e">
        <f t="shared" si="179"/>
        <v>#N/A</v>
      </c>
      <c r="U1195" s="18" t="e">
        <f t="shared" si="180"/>
        <v>#N/A</v>
      </c>
      <c r="V1195" s="14" t="e">
        <f t="shared" si="178"/>
        <v>#N/A</v>
      </c>
      <c r="W1195" s="19" t="e">
        <f t="shared" si="181"/>
        <v>#N/A</v>
      </c>
      <c r="X1195" t="e">
        <f>VLOOKUP(P1195,Close[[ID]:[CreatedBy]],8,0)</f>
        <v>#N/A</v>
      </c>
    </row>
    <row r="1196" spans="2:24" x14ac:dyDescent="0.35">
      <c r="B1196" t="str">
        <f>IF(NOT(ISBLANK(A1196)),VLOOKUP(A1196,'BBT3'!A:F,2,0),"")</f>
        <v/>
      </c>
      <c r="C1196" t="str">
        <f>IF(NOT(ISBLANK(A1196)),VLOOKUP(A1196,'BBT3'!A:F,3,0),"")</f>
        <v/>
      </c>
      <c r="D1196" s="5" t="str">
        <f>IF(NOT(ISBLANK(A1196)),VLOOKUP(A1196,'BBT3'!A:F,4,1),"")</f>
        <v/>
      </c>
      <c r="E1196" t="str">
        <f>IF(NOT(ISBLANK(A1196)),VLOOKUP(A1196,'BBT3'!A:F,5,0),"")</f>
        <v/>
      </c>
      <c r="F1196" t="str">
        <f>IF(NOT(ISBLANK(A1196)),VLOOKUP(A1196,'BBT3'!A:F,6,0),"")</f>
        <v/>
      </c>
      <c r="G1196" t="str">
        <f t="shared" si="173"/>
        <v/>
      </c>
      <c r="H1196" t="str">
        <f>IF(NOT(ISBLANK(A1196)),VLOOKUP(A1196,'Close - PriceSaver'!A:J,5,0),"")</f>
        <v/>
      </c>
      <c r="I1196" s="4" t="str" cm="1">
        <f t="array" ref="I1196">IF(NOT(ISBLANK(A1196)),((_xlfn.XLOOKUP(1,(_bbt3[[#All],[ID]]=A1196)*(_bbt3[[#All],[METRIC_NAME]]="YLD_YTM_ASK"),_bbt3[[#All],[METRIC_VALUE]])*0.5)+(_xlfn.XLOOKUP(1,(_bbt3[[#All],[ID]]=A1196)*(_bbt3[[#All],[METRIC_NAME]]="YLD_YTM_BID"),_bbt3[[#All],[METRIC_VALUE]])*0.5))/100,"")</f>
        <v/>
      </c>
      <c r="J1196">
        <f>IF(ISNA(VLOOKUP(A1196,'CloseDL - PriceSaverBBT3'!A:E,5,0)),0,VLOOKUP(A1196,'CloseDL - PriceSaverBBT3'!A:E,5,0))</f>
        <v>0</v>
      </c>
      <c r="K1196" s="7" t="str">
        <f t="shared" si="174"/>
        <v/>
      </c>
      <c r="L1196" s="20">
        <f>IF(Close[[#This Row],[CreatedBy]]="MARINER\SilverAdm",1,0)</f>
        <v>1</v>
      </c>
      <c r="M1196" t="str">
        <f>IF(NOT(ISBLANK(A1196)),VLOOKUP(A1196,'Close - PriceSaver'!A:J,6,0),"")</f>
        <v/>
      </c>
      <c r="Q1196" t="e">
        <f t="shared" si="175"/>
        <v>#N/A</v>
      </c>
      <c r="R1196" t="e">
        <f t="shared" si="176"/>
        <v>#N/A</v>
      </c>
      <c r="S1196" t="e">
        <f t="shared" si="177"/>
        <v>#N/A</v>
      </c>
      <c r="T1196" s="15" t="e">
        <f t="shared" si="179"/>
        <v>#N/A</v>
      </c>
      <c r="U1196" s="18" t="e">
        <f t="shared" si="180"/>
        <v>#N/A</v>
      </c>
      <c r="V1196" s="14" t="e">
        <f t="shared" si="178"/>
        <v>#N/A</v>
      </c>
      <c r="W1196" s="19" t="e">
        <f t="shared" si="181"/>
        <v>#N/A</v>
      </c>
      <c r="X1196" t="e">
        <f>VLOOKUP(P1196,Close[[ID]:[CreatedBy]],8,0)</f>
        <v>#N/A</v>
      </c>
    </row>
    <row r="1197" spans="2:24" x14ac:dyDescent="0.35">
      <c r="B1197" t="str">
        <f>IF(NOT(ISBLANK(A1197)),VLOOKUP(A1197,'BBT3'!A:F,2,0),"")</f>
        <v/>
      </c>
      <c r="C1197" t="str">
        <f>IF(NOT(ISBLANK(A1197)),VLOOKUP(A1197,'BBT3'!A:F,3,0),"")</f>
        <v/>
      </c>
      <c r="D1197" s="5" t="str">
        <f>IF(NOT(ISBLANK(A1197)),VLOOKUP(A1197,'BBT3'!A:F,4,1),"")</f>
        <v/>
      </c>
      <c r="E1197" t="str">
        <f>IF(NOT(ISBLANK(A1197)),VLOOKUP(A1197,'BBT3'!A:F,5,0),"")</f>
        <v/>
      </c>
      <c r="F1197" t="str">
        <f>IF(NOT(ISBLANK(A1197)),VLOOKUP(A1197,'BBT3'!A:F,6,0),"")</f>
        <v/>
      </c>
      <c r="G1197" t="str">
        <f t="shared" si="173"/>
        <v/>
      </c>
      <c r="H1197" t="str">
        <f>IF(NOT(ISBLANK(A1197)),VLOOKUP(A1197,'Close - PriceSaver'!A:J,5,0),"")</f>
        <v/>
      </c>
      <c r="I1197" s="4" t="str" cm="1">
        <f t="array" ref="I1197">IF(NOT(ISBLANK(A1197)),((_xlfn.XLOOKUP(1,(_bbt3[[#All],[ID]]=A1197)*(_bbt3[[#All],[METRIC_NAME]]="YLD_YTM_ASK"),_bbt3[[#All],[METRIC_VALUE]])*0.5)+(_xlfn.XLOOKUP(1,(_bbt3[[#All],[ID]]=A1197)*(_bbt3[[#All],[METRIC_NAME]]="YLD_YTM_BID"),_bbt3[[#All],[METRIC_VALUE]])*0.5))/100,"")</f>
        <v/>
      </c>
      <c r="J1197">
        <f>IF(ISNA(VLOOKUP(A1197,'CloseDL - PriceSaverBBT3'!A:E,5,0)),0,VLOOKUP(A1197,'CloseDL - PriceSaverBBT3'!A:E,5,0))</f>
        <v>0</v>
      </c>
      <c r="K1197" s="7" t="str">
        <f t="shared" si="174"/>
        <v/>
      </c>
      <c r="L1197" s="20">
        <f>IF(Close[[#This Row],[CreatedBy]]="MARINER\SilverAdm",1,0)</f>
        <v>1</v>
      </c>
      <c r="M1197" t="str">
        <f>IF(NOT(ISBLANK(A1197)),VLOOKUP(A1197,'Close - PriceSaver'!A:J,6,0),"")</f>
        <v/>
      </c>
      <c r="Q1197" t="e">
        <f t="shared" si="175"/>
        <v>#N/A</v>
      </c>
      <c r="R1197" t="e">
        <f t="shared" si="176"/>
        <v>#N/A</v>
      </c>
      <c r="S1197" t="e">
        <f t="shared" si="177"/>
        <v>#N/A</v>
      </c>
      <c r="T1197" s="15" t="e">
        <f t="shared" si="179"/>
        <v>#N/A</v>
      </c>
      <c r="U1197" s="18" t="e">
        <f t="shared" si="180"/>
        <v>#N/A</v>
      </c>
      <c r="V1197" s="14" t="e">
        <f t="shared" si="178"/>
        <v>#N/A</v>
      </c>
      <c r="W1197" s="19" t="e">
        <f t="shared" si="181"/>
        <v>#N/A</v>
      </c>
      <c r="X1197" t="e">
        <f>VLOOKUP(P1197,Close[[ID]:[CreatedBy]],8,0)</f>
        <v>#N/A</v>
      </c>
    </row>
    <row r="1198" spans="2:24" x14ac:dyDescent="0.35">
      <c r="B1198" t="str">
        <f>IF(NOT(ISBLANK(A1198)),VLOOKUP(A1198,'BBT3'!A:F,2,0),"")</f>
        <v/>
      </c>
      <c r="C1198" t="str">
        <f>IF(NOT(ISBLANK(A1198)),VLOOKUP(A1198,'BBT3'!A:F,3,0),"")</f>
        <v/>
      </c>
      <c r="D1198" s="5" t="str">
        <f>IF(NOT(ISBLANK(A1198)),VLOOKUP(A1198,'BBT3'!A:F,4,1),"")</f>
        <v/>
      </c>
      <c r="E1198" t="str">
        <f>IF(NOT(ISBLANK(A1198)),VLOOKUP(A1198,'BBT3'!A:F,5,0),"")</f>
        <v/>
      </c>
      <c r="F1198" t="str">
        <f>IF(NOT(ISBLANK(A1198)),VLOOKUP(A1198,'BBT3'!A:F,6,0),"")</f>
        <v/>
      </c>
      <c r="G1198" t="str">
        <f t="shared" si="173"/>
        <v/>
      </c>
      <c r="H1198" t="str">
        <f>IF(NOT(ISBLANK(A1198)),VLOOKUP(A1198,'Close - PriceSaver'!A:J,5,0),"")</f>
        <v/>
      </c>
      <c r="I1198" s="4" t="str" cm="1">
        <f t="array" ref="I1198">IF(NOT(ISBLANK(A1198)),((_xlfn.XLOOKUP(1,(_bbt3[[#All],[ID]]=A1198)*(_bbt3[[#All],[METRIC_NAME]]="YLD_YTM_ASK"),_bbt3[[#All],[METRIC_VALUE]])*0.5)+(_xlfn.XLOOKUP(1,(_bbt3[[#All],[ID]]=A1198)*(_bbt3[[#All],[METRIC_NAME]]="YLD_YTM_BID"),_bbt3[[#All],[METRIC_VALUE]])*0.5))/100,"")</f>
        <v/>
      </c>
      <c r="J1198">
        <f>IF(ISNA(VLOOKUP(A1198,'CloseDL - PriceSaverBBT3'!A:E,5,0)),0,VLOOKUP(A1198,'CloseDL - PriceSaverBBT3'!A:E,5,0))</f>
        <v>0</v>
      </c>
      <c r="K1198" s="7" t="str">
        <f t="shared" si="174"/>
        <v/>
      </c>
      <c r="L1198" s="20">
        <f>IF(Close[[#This Row],[CreatedBy]]="MARINER\SilverAdm",1,0)</f>
        <v>1</v>
      </c>
      <c r="M1198" t="str">
        <f>IF(NOT(ISBLANK(A1198)),VLOOKUP(A1198,'Close - PriceSaver'!A:J,6,0),"")</f>
        <v/>
      </c>
      <c r="Q1198" t="e">
        <f t="shared" si="175"/>
        <v>#N/A</v>
      </c>
      <c r="R1198" t="e">
        <f t="shared" si="176"/>
        <v>#N/A</v>
      </c>
      <c r="S1198" t="e">
        <f t="shared" si="177"/>
        <v>#N/A</v>
      </c>
      <c r="T1198" s="15" t="e">
        <f t="shared" si="179"/>
        <v>#N/A</v>
      </c>
      <c r="U1198" s="18" t="e">
        <f t="shared" si="180"/>
        <v>#N/A</v>
      </c>
      <c r="V1198" s="14" t="e">
        <f t="shared" si="178"/>
        <v>#N/A</v>
      </c>
      <c r="W1198" s="19" t="e">
        <f t="shared" si="181"/>
        <v>#N/A</v>
      </c>
      <c r="X1198" t="e">
        <f>VLOOKUP(P1198,Close[[ID]:[CreatedBy]],8,0)</f>
        <v>#N/A</v>
      </c>
    </row>
    <row r="1199" spans="2:24" x14ac:dyDescent="0.35">
      <c r="B1199" t="str">
        <f>IF(NOT(ISBLANK(A1199)),VLOOKUP(A1199,'BBT3'!A:F,2,0),"")</f>
        <v/>
      </c>
      <c r="C1199" t="str">
        <f>IF(NOT(ISBLANK(A1199)),VLOOKUP(A1199,'BBT3'!A:F,3,0),"")</f>
        <v/>
      </c>
      <c r="D1199" s="5" t="str">
        <f>IF(NOT(ISBLANK(A1199)),VLOOKUP(A1199,'BBT3'!A:F,4,1),"")</f>
        <v/>
      </c>
      <c r="E1199" t="str">
        <f>IF(NOT(ISBLANK(A1199)),VLOOKUP(A1199,'BBT3'!A:F,5,0),"")</f>
        <v/>
      </c>
      <c r="F1199" t="str">
        <f>IF(NOT(ISBLANK(A1199)),VLOOKUP(A1199,'BBT3'!A:F,6,0),"")</f>
        <v/>
      </c>
      <c r="G1199" t="str">
        <f t="shared" si="173"/>
        <v/>
      </c>
      <c r="H1199" t="str">
        <f>IF(NOT(ISBLANK(A1199)),VLOOKUP(A1199,'Close - PriceSaver'!A:J,5,0),"")</f>
        <v/>
      </c>
      <c r="I1199" s="4" t="str" cm="1">
        <f t="array" ref="I1199">IF(NOT(ISBLANK(A1199)),((_xlfn.XLOOKUP(1,(_bbt3[[#All],[ID]]=A1199)*(_bbt3[[#All],[METRIC_NAME]]="YLD_YTM_ASK"),_bbt3[[#All],[METRIC_VALUE]])*0.5)+(_xlfn.XLOOKUP(1,(_bbt3[[#All],[ID]]=A1199)*(_bbt3[[#All],[METRIC_NAME]]="YLD_YTM_BID"),_bbt3[[#All],[METRIC_VALUE]])*0.5))/100,"")</f>
        <v/>
      </c>
      <c r="J1199">
        <f>IF(ISNA(VLOOKUP(A1199,'CloseDL - PriceSaverBBT3'!A:E,5,0)),0,VLOOKUP(A1199,'CloseDL - PriceSaverBBT3'!A:E,5,0))</f>
        <v>0</v>
      </c>
      <c r="K1199" s="7" t="str">
        <f t="shared" si="174"/>
        <v/>
      </c>
      <c r="L1199" s="20">
        <f>IF(Close[[#This Row],[CreatedBy]]="MARINER\SilverAdm",1,0)</f>
        <v>1</v>
      </c>
      <c r="M1199" t="str">
        <f>IF(NOT(ISBLANK(A1199)),VLOOKUP(A1199,'Close - PriceSaver'!A:J,6,0),"")</f>
        <v/>
      </c>
      <c r="Q1199" t="e">
        <f t="shared" si="175"/>
        <v>#N/A</v>
      </c>
      <c r="R1199" t="e">
        <f t="shared" si="176"/>
        <v>#N/A</v>
      </c>
      <c r="S1199" t="e">
        <f t="shared" si="177"/>
        <v>#N/A</v>
      </c>
      <c r="T1199" s="15" t="e">
        <f t="shared" si="179"/>
        <v>#N/A</v>
      </c>
      <c r="U1199" s="18" t="e">
        <f t="shared" si="180"/>
        <v>#N/A</v>
      </c>
      <c r="V1199" s="14" t="e">
        <f t="shared" si="178"/>
        <v>#N/A</v>
      </c>
      <c r="W1199" s="19" t="e">
        <f t="shared" si="181"/>
        <v>#N/A</v>
      </c>
      <c r="X1199" t="e">
        <f>VLOOKUP(P1199,Close[[ID]:[CreatedBy]],8,0)</f>
        <v>#N/A</v>
      </c>
    </row>
    <row r="1200" spans="2:24" x14ac:dyDescent="0.35">
      <c r="B1200" t="str">
        <f>IF(NOT(ISBLANK(A1200)),VLOOKUP(A1200,'BBT3'!A:F,2,0),"")</f>
        <v/>
      </c>
      <c r="C1200" t="str">
        <f>IF(NOT(ISBLANK(A1200)),VLOOKUP(A1200,'BBT3'!A:F,3,0),"")</f>
        <v/>
      </c>
      <c r="D1200" s="5" t="str">
        <f>IF(NOT(ISBLANK(A1200)),VLOOKUP(A1200,'BBT3'!A:F,4,1),"")</f>
        <v/>
      </c>
      <c r="E1200" t="str">
        <f>IF(NOT(ISBLANK(A1200)),VLOOKUP(A1200,'BBT3'!A:F,5,0),"")</f>
        <v/>
      </c>
      <c r="F1200" t="str">
        <f>IF(NOT(ISBLANK(A1200)),VLOOKUP(A1200,'BBT3'!A:F,6,0),"")</f>
        <v/>
      </c>
      <c r="G1200" t="str">
        <f t="shared" si="173"/>
        <v/>
      </c>
      <c r="H1200" t="str">
        <f>IF(NOT(ISBLANK(A1200)),VLOOKUP(A1200,'Close - PriceSaver'!A:J,5,0),"")</f>
        <v/>
      </c>
      <c r="I1200" s="4" t="str" cm="1">
        <f t="array" ref="I1200">IF(NOT(ISBLANK(A1200)),((_xlfn.XLOOKUP(1,(_bbt3[[#All],[ID]]=A1200)*(_bbt3[[#All],[METRIC_NAME]]="YLD_YTM_ASK"),_bbt3[[#All],[METRIC_VALUE]])*0.5)+(_xlfn.XLOOKUP(1,(_bbt3[[#All],[ID]]=A1200)*(_bbt3[[#All],[METRIC_NAME]]="YLD_YTM_BID"),_bbt3[[#All],[METRIC_VALUE]])*0.5))/100,"")</f>
        <v/>
      </c>
      <c r="J1200">
        <f>IF(ISNA(VLOOKUP(A1200,'CloseDL - PriceSaverBBT3'!A:E,5,0)),0,VLOOKUP(A1200,'CloseDL - PriceSaverBBT3'!A:E,5,0))</f>
        <v>0</v>
      </c>
      <c r="K1200" s="7" t="str">
        <f t="shared" si="174"/>
        <v/>
      </c>
      <c r="L1200" s="20">
        <f>IF(Close[[#This Row],[CreatedBy]]="MARINER\SilverAdm",1,0)</f>
        <v>1</v>
      </c>
      <c r="M1200" t="str">
        <f>IF(NOT(ISBLANK(A1200)),VLOOKUP(A1200,'Close - PriceSaver'!A:J,6,0),"")</f>
        <v/>
      </c>
      <c r="Q1200" t="e">
        <f t="shared" si="175"/>
        <v>#N/A</v>
      </c>
      <c r="R1200" t="e">
        <f t="shared" si="176"/>
        <v>#N/A</v>
      </c>
      <c r="S1200" t="e">
        <f t="shared" si="177"/>
        <v>#N/A</v>
      </c>
      <c r="T1200" s="15" t="e">
        <f t="shared" si="179"/>
        <v>#N/A</v>
      </c>
      <c r="U1200" s="18" t="e">
        <f t="shared" si="180"/>
        <v>#N/A</v>
      </c>
      <c r="V1200" s="14" t="e">
        <f t="shared" si="178"/>
        <v>#N/A</v>
      </c>
      <c r="W1200" s="19" t="e">
        <f t="shared" si="181"/>
        <v>#N/A</v>
      </c>
      <c r="X1200" t="e">
        <f>VLOOKUP(P1200,Close[[ID]:[CreatedBy]],8,0)</f>
        <v>#N/A</v>
      </c>
    </row>
    <row r="1201" spans="2:24" x14ac:dyDescent="0.35">
      <c r="B1201" t="str">
        <f>IF(NOT(ISBLANK(A1201)),VLOOKUP(A1201,'BBT3'!A:F,2,0),"")</f>
        <v/>
      </c>
      <c r="C1201" t="str">
        <f>IF(NOT(ISBLANK(A1201)),VLOOKUP(A1201,'BBT3'!A:F,3,0),"")</f>
        <v/>
      </c>
      <c r="D1201" s="5" t="str">
        <f>IF(NOT(ISBLANK(A1201)),VLOOKUP(A1201,'BBT3'!A:F,4,1),"")</f>
        <v/>
      </c>
      <c r="E1201" t="str">
        <f>IF(NOT(ISBLANK(A1201)),VLOOKUP(A1201,'BBT3'!A:F,5,0),"")</f>
        <v/>
      </c>
      <c r="F1201" t="str">
        <f>IF(NOT(ISBLANK(A1201)),VLOOKUP(A1201,'BBT3'!A:F,6,0),"")</f>
        <v/>
      </c>
      <c r="G1201" t="str">
        <f t="shared" si="173"/>
        <v/>
      </c>
      <c r="H1201" t="str">
        <f>IF(NOT(ISBLANK(A1201)),VLOOKUP(A1201,'Close - PriceSaver'!A:J,5,0),"")</f>
        <v/>
      </c>
      <c r="I1201" s="4" t="str" cm="1">
        <f t="array" ref="I1201">IF(NOT(ISBLANK(A1201)),((_xlfn.XLOOKUP(1,(_bbt3[[#All],[ID]]=A1201)*(_bbt3[[#All],[METRIC_NAME]]="YLD_YTM_ASK"),_bbt3[[#All],[METRIC_VALUE]])*0.5)+(_xlfn.XLOOKUP(1,(_bbt3[[#All],[ID]]=A1201)*(_bbt3[[#All],[METRIC_NAME]]="YLD_YTM_BID"),_bbt3[[#All],[METRIC_VALUE]])*0.5))/100,"")</f>
        <v/>
      </c>
      <c r="J1201">
        <f>IF(ISNA(VLOOKUP(A1201,'CloseDL - PriceSaverBBT3'!A:E,5,0)),0,VLOOKUP(A1201,'CloseDL - PriceSaverBBT3'!A:E,5,0))</f>
        <v>0</v>
      </c>
      <c r="K1201" s="7" t="str">
        <f t="shared" si="174"/>
        <v/>
      </c>
      <c r="L1201" s="20">
        <f>IF(Close[[#This Row],[CreatedBy]]="MARINER\SilverAdm",1,0)</f>
        <v>1</v>
      </c>
      <c r="M1201" t="str">
        <f>IF(NOT(ISBLANK(A1201)),VLOOKUP(A1201,'Close - PriceSaver'!A:J,6,0),"")</f>
        <v/>
      </c>
      <c r="Q1201" t="e">
        <f t="shared" si="175"/>
        <v>#N/A</v>
      </c>
      <c r="R1201" t="e">
        <f t="shared" si="176"/>
        <v>#N/A</v>
      </c>
      <c r="S1201" t="e">
        <f t="shared" si="177"/>
        <v>#N/A</v>
      </c>
      <c r="T1201" s="15" t="e">
        <f t="shared" si="179"/>
        <v>#N/A</v>
      </c>
      <c r="U1201" s="18" t="e">
        <f t="shared" si="180"/>
        <v>#N/A</v>
      </c>
      <c r="V1201" s="14" t="e">
        <f t="shared" si="178"/>
        <v>#N/A</v>
      </c>
      <c r="W1201" s="19" t="e">
        <f t="shared" si="181"/>
        <v>#N/A</v>
      </c>
      <c r="X1201" t="e">
        <f>VLOOKUP(P1201,Close[[ID]:[CreatedBy]],8,0)</f>
        <v>#N/A</v>
      </c>
    </row>
    <row r="1202" spans="2:24" x14ac:dyDescent="0.35">
      <c r="B1202" t="str">
        <f>IF(NOT(ISBLANK(A1202)),VLOOKUP(A1202,'BBT3'!A:F,2,0),"")</f>
        <v/>
      </c>
      <c r="C1202" t="str">
        <f>IF(NOT(ISBLANK(A1202)),VLOOKUP(A1202,'BBT3'!A:F,3,0),"")</f>
        <v/>
      </c>
      <c r="D1202" s="5" t="str">
        <f>IF(NOT(ISBLANK(A1202)),VLOOKUP(A1202,'BBT3'!A:F,4,1),"")</f>
        <v/>
      </c>
      <c r="E1202" t="str">
        <f>IF(NOT(ISBLANK(A1202)),VLOOKUP(A1202,'BBT3'!A:F,5,0),"")</f>
        <v/>
      </c>
      <c r="F1202" t="str">
        <f>IF(NOT(ISBLANK(A1202)),VLOOKUP(A1202,'BBT3'!A:F,6,0),"")</f>
        <v/>
      </c>
      <c r="G1202" t="str">
        <f t="shared" si="173"/>
        <v/>
      </c>
      <c r="H1202" t="str">
        <f>IF(NOT(ISBLANK(A1202)),VLOOKUP(A1202,'Close - PriceSaver'!A:J,5,0),"")</f>
        <v/>
      </c>
      <c r="I1202" s="4" t="str" cm="1">
        <f t="array" ref="I1202">IF(NOT(ISBLANK(A1202)),((_xlfn.XLOOKUP(1,(_bbt3[[#All],[ID]]=A1202)*(_bbt3[[#All],[METRIC_NAME]]="YLD_YTM_ASK"),_bbt3[[#All],[METRIC_VALUE]])*0.5)+(_xlfn.XLOOKUP(1,(_bbt3[[#All],[ID]]=A1202)*(_bbt3[[#All],[METRIC_NAME]]="YLD_YTM_BID"),_bbt3[[#All],[METRIC_VALUE]])*0.5))/100,"")</f>
        <v/>
      </c>
      <c r="J1202">
        <f>IF(ISNA(VLOOKUP(A1202,'CloseDL - PriceSaverBBT3'!A:E,5,0)),0,VLOOKUP(A1202,'CloseDL - PriceSaverBBT3'!A:E,5,0))</f>
        <v>0</v>
      </c>
      <c r="K1202" s="7" t="str">
        <f t="shared" si="174"/>
        <v/>
      </c>
      <c r="L1202" s="20">
        <f>IF(Close[[#This Row],[CreatedBy]]="MARINER\SilverAdm",1,0)</f>
        <v>1</v>
      </c>
      <c r="M1202" t="str">
        <f>IF(NOT(ISBLANK(A1202)),VLOOKUP(A1202,'Close - PriceSaver'!A:J,6,0),"")</f>
        <v/>
      </c>
      <c r="Q1202" t="e">
        <f t="shared" si="175"/>
        <v>#N/A</v>
      </c>
      <c r="R1202" t="e">
        <f t="shared" si="176"/>
        <v>#N/A</v>
      </c>
      <c r="S1202" t="e">
        <f t="shared" si="177"/>
        <v>#N/A</v>
      </c>
      <c r="T1202" s="15" t="e">
        <f t="shared" si="179"/>
        <v>#N/A</v>
      </c>
      <c r="U1202" s="18" t="e">
        <f t="shared" si="180"/>
        <v>#N/A</v>
      </c>
      <c r="V1202" s="14" t="e">
        <f t="shared" si="178"/>
        <v>#N/A</v>
      </c>
      <c r="W1202" s="19" t="e">
        <f t="shared" si="181"/>
        <v>#N/A</v>
      </c>
      <c r="X1202" t="e">
        <f>VLOOKUP(P1202,Close[[ID]:[CreatedBy]],8,0)</f>
        <v>#N/A</v>
      </c>
    </row>
    <row r="1203" spans="2:24" x14ac:dyDescent="0.35">
      <c r="B1203" t="str">
        <f>IF(NOT(ISBLANK(A1203)),VLOOKUP(A1203,'BBT3'!A:F,2,0),"")</f>
        <v/>
      </c>
      <c r="C1203" t="str">
        <f>IF(NOT(ISBLANK(A1203)),VLOOKUP(A1203,'BBT3'!A:F,3,0),"")</f>
        <v/>
      </c>
      <c r="D1203" s="5" t="str">
        <f>IF(NOT(ISBLANK(A1203)),VLOOKUP(A1203,'BBT3'!A:F,4,1),"")</f>
        <v/>
      </c>
      <c r="E1203" t="str">
        <f>IF(NOT(ISBLANK(A1203)),VLOOKUP(A1203,'BBT3'!A:F,5,0),"")</f>
        <v/>
      </c>
      <c r="F1203" t="str">
        <f>IF(NOT(ISBLANK(A1203)),VLOOKUP(A1203,'BBT3'!A:F,6,0),"")</f>
        <v/>
      </c>
      <c r="G1203" t="str">
        <f t="shared" si="173"/>
        <v/>
      </c>
      <c r="H1203" t="str">
        <f>IF(NOT(ISBLANK(A1203)),VLOOKUP(A1203,'Close - PriceSaver'!A:J,5,0),"")</f>
        <v/>
      </c>
      <c r="I1203" s="4" t="str" cm="1">
        <f t="array" ref="I1203">IF(NOT(ISBLANK(A1203)),((_xlfn.XLOOKUP(1,(_bbt3[[#All],[ID]]=A1203)*(_bbt3[[#All],[METRIC_NAME]]="YLD_YTM_ASK"),_bbt3[[#All],[METRIC_VALUE]])*0.5)+(_xlfn.XLOOKUP(1,(_bbt3[[#All],[ID]]=A1203)*(_bbt3[[#All],[METRIC_NAME]]="YLD_YTM_BID"),_bbt3[[#All],[METRIC_VALUE]])*0.5))/100,"")</f>
        <v/>
      </c>
      <c r="J1203">
        <f>IF(ISNA(VLOOKUP(A1203,'CloseDL - PriceSaverBBT3'!A:E,5,0)),0,VLOOKUP(A1203,'CloseDL - PriceSaverBBT3'!A:E,5,0))</f>
        <v>0</v>
      </c>
      <c r="K1203" s="7" t="str">
        <f t="shared" si="174"/>
        <v/>
      </c>
      <c r="L1203" s="20">
        <f>IF(Close[[#This Row],[CreatedBy]]="MARINER\SilverAdm",1,0)</f>
        <v>1</v>
      </c>
      <c r="M1203" t="str">
        <f>IF(NOT(ISBLANK(A1203)),VLOOKUP(A1203,'Close - PriceSaver'!A:J,6,0),"")</f>
        <v/>
      </c>
      <c r="Q1203" t="e">
        <f t="shared" si="175"/>
        <v>#N/A</v>
      </c>
      <c r="R1203" t="e">
        <f t="shared" si="176"/>
        <v>#N/A</v>
      </c>
      <c r="S1203" t="e">
        <f t="shared" si="177"/>
        <v>#N/A</v>
      </c>
      <c r="T1203" s="15" t="e">
        <f t="shared" si="179"/>
        <v>#N/A</v>
      </c>
      <c r="U1203" s="18" t="e">
        <f t="shared" si="180"/>
        <v>#N/A</v>
      </c>
      <c r="V1203" s="14" t="e">
        <f t="shared" si="178"/>
        <v>#N/A</v>
      </c>
      <c r="W1203" s="19" t="e">
        <f t="shared" si="181"/>
        <v>#N/A</v>
      </c>
      <c r="X1203" t="e">
        <f>VLOOKUP(P1203,Close[[ID]:[CreatedBy]],8,0)</f>
        <v>#N/A</v>
      </c>
    </row>
    <row r="1204" spans="2:24" x14ac:dyDescent="0.35">
      <c r="B1204" t="str">
        <f>IF(NOT(ISBLANK(A1204)),VLOOKUP(A1204,'BBT3'!A:F,2,0),"")</f>
        <v/>
      </c>
      <c r="C1204" t="str">
        <f>IF(NOT(ISBLANK(A1204)),VLOOKUP(A1204,'BBT3'!A:F,3,0),"")</f>
        <v/>
      </c>
      <c r="D1204" s="5" t="str">
        <f>IF(NOT(ISBLANK(A1204)),VLOOKUP(A1204,'BBT3'!A:F,4,1),"")</f>
        <v/>
      </c>
      <c r="E1204" t="str">
        <f>IF(NOT(ISBLANK(A1204)),VLOOKUP(A1204,'BBT3'!A:F,5,0),"")</f>
        <v/>
      </c>
      <c r="F1204" t="str">
        <f>IF(NOT(ISBLANK(A1204)),VLOOKUP(A1204,'BBT3'!A:F,6,0),"")</f>
        <v/>
      </c>
      <c r="G1204" t="str">
        <f t="shared" si="173"/>
        <v/>
      </c>
      <c r="H1204" t="str">
        <f>IF(NOT(ISBLANK(A1204)),VLOOKUP(A1204,'Close - PriceSaver'!A:J,5,0),"")</f>
        <v/>
      </c>
      <c r="I1204" s="4" t="str" cm="1">
        <f t="array" ref="I1204">IF(NOT(ISBLANK(A1204)),((_xlfn.XLOOKUP(1,(_bbt3[[#All],[ID]]=A1204)*(_bbt3[[#All],[METRIC_NAME]]="YLD_YTM_ASK"),_bbt3[[#All],[METRIC_VALUE]])*0.5)+(_xlfn.XLOOKUP(1,(_bbt3[[#All],[ID]]=A1204)*(_bbt3[[#All],[METRIC_NAME]]="YLD_YTM_BID"),_bbt3[[#All],[METRIC_VALUE]])*0.5))/100,"")</f>
        <v/>
      </c>
      <c r="J1204">
        <f>IF(ISNA(VLOOKUP(A1204,'CloseDL - PriceSaverBBT3'!A:E,5,0)),0,VLOOKUP(A1204,'CloseDL - PriceSaverBBT3'!A:E,5,0))</f>
        <v>0</v>
      </c>
      <c r="K1204" s="7" t="str">
        <f t="shared" si="174"/>
        <v/>
      </c>
      <c r="L1204" s="20">
        <f>IF(Close[[#This Row],[CreatedBy]]="MARINER\SilverAdm",1,0)</f>
        <v>1</v>
      </c>
      <c r="M1204" t="str">
        <f>IF(NOT(ISBLANK(A1204)),VLOOKUP(A1204,'Close - PriceSaver'!A:J,6,0),"")</f>
        <v/>
      </c>
      <c r="Q1204" t="e">
        <f t="shared" si="175"/>
        <v>#N/A</v>
      </c>
      <c r="R1204" t="e">
        <f t="shared" si="176"/>
        <v>#N/A</v>
      </c>
      <c r="S1204" t="e">
        <f t="shared" si="177"/>
        <v>#N/A</v>
      </c>
      <c r="T1204" s="15" t="e">
        <f t="shared" si="179"/>
        <v>#N/A</v>
      </c>
      <c r="U1204" s="18" t="e">
        <f t="shared" si="180"/>
        <v>#N/A</v>
      </c>
      <c r="V1204" s="14" t="e">
        <f t="shared" si="178"/>
        <v>#N/A</v>
      </c>
      <c r="W1204" s="19" t="e">
        <f t="shared" si="181"/>
        <v>#N/A</v>
      </c>
      <c r="X1204" t="e">
        <f>VLOOKUP(P1204,Close[[ID]:[CreatedBy]],8,0)</f>
        <v>#N/A</v>
      </c>
    </row>
    <row r="1205" spans="2:24" x14ac:dyDescent="0.35">
      <c r="B1205" t="str">
        <f>IF(NOT(ISBLANK(A1205)),VLOOKUP(A1205,'BBT3'!A:F,2,0),"")</f>
        <v/>
      </c>
      <c r="C1205" t="str">
        <f>IF(NOT(ISBLANK(A1205)),VLOOKUP(A1205,'BBT3'!A:F,3,0),"")</f>
        <v/>
      </c>
      <c r="D1205" s="5" t="str">
        <f>IF(NOT(ISBLANK(A1205)),VLOOKUP(A1205,'BBT3'!A:F,4,1),"")</f>
        <v/>
      </c>
      <c r="E1205" t="str">
        <f>IF(NOT(ISBLANK(A1205)),VLOOKUP(A1205,'BBT3'!A:F,5,0),"")</f>
        <v/>
      </c>
      <c r="F1205" t="str">
        <f>IF(NOT(ISBLANK(A1205)),VLOOKUP(A1205,'BBT3'!A:F,6,0),"")</f>
        <v/>
      </c>
      <c r="G1205" t="str">
        <f t="shared" si="173"/>
        <v/>
      </c>
      <c r="H1205" t="str">
        <f>IF(NOT(ISBLANK(A1205)),VLOOKUP(A1205,'Close - PriceSaver'!A:J,5,0),"")</f>
        <v/>
      </c>
      <c r="I1205" s="4" t="str" cm="1">
        <f t="array" ref="I1205">IF(NOT(ISBLANK(A1205)),((_xlfn.XLOOKUP(1,(_bbt3[[#All],[ID]]=A1205)*(_bbt3[[#All],[METRIC_NAME]]="YLD_YTM_ASK"),_bbt3[[#All],[METRIC_VALUE]])*0.5)+(_xlfn.XLOOKUP(1,(_bbt3[[#All],[ID]]=A1205)*(_bbt3[[#All],[METRIC_NAME]]="YLD_YTM_BID"),_bbt3[[#All],[METRIC_VALUE]])*0.5))/100,"")</f>
        <v/>
      </c>
      <c r="J1205">
        <f>IF(ISNA(VLOOKUP(A1205,'CloseDL - PriceSaverBBT3'!A:E,5,0)),0,VLOOKUP(A1205,'CloseDL - PriceSaverBBT3'!A:E,5,0))</f>
        <v>0</v>
      </c>
      <c r="K1205" s="7" t="str">
        <f t="shared" si="174"/>
        <v/>
      </c>
      <c r="L1205" s="20">
        <f>IF(Close[[#This Row],[CreatedBy]]="MARINER\SilverAdm",1,0)</f>
        <v>1</v>
      </c>
      <c r="M1205" t="str">
        <f>IF(NOT(ISBLANK(A1205)),VLOOKUP(A1205,'Close - PriceSaver'!A:J,6,0),"")</f>
        <v/>
      </c>
      <c r="Q1205" t="e">
        <f t="shared" si="175"/>
        <v>#N/A</v>
      </c>
      <c r="R1205" t="e">
        <f t="shared" si="176"/>
        <v>#N/A</v>
      </c>
      <c r="S1205" t="e">
        <f t="shared" si="177"/>
        <v>#N/A</v>
      </c>
      <c r="T1205" s="15" t="e">
        <f t="shared" si="179"/>
        <v>#N/A</v>
      </c>
      <c r="U1205" s="18" t="e">
        <f t="shared" si="180"/>
        <v>#N/A</v>
      </c>
      <c r="V1205" s="14" t="e">
        <f t="shared" si="178"/>
        <v>#N/A</v>
      </c>
      <c r="W1205" s="19" t="e">
        <f t="shared" si="181"/>
        <v>#N/A</v>
      </c>
      <c r="X1205" t="e">
        <f>VLOOKUP(P1205,Close[[ID]:[CreatedBy]],8,0)</f>
        <v>#N/A</v>
      </c>
    </row>
    <row r="1206" spans="2:24" x14ac:dyDescent="0.35">
      <c r="B1206" t="str">
        <f>IF(NOT(ISBLANK(A1206)),VLOOKUP(A1206,'BBT3'!A:F,2,0),"")</f>
        <v/>
      </c>
      <c r="C1206" t="str">
        <f>IF(NOT(ISBLANK(A1206)),VLOOKUP(A1206,'BBT3'!A:F,3,0),"")</f>
        <v/>
      </c>
      <c r="D1206" s="5" t="str">
        <f>IF(NOT(ISBLANK(A1206)),VLOOKUP(A1206,'BBT3'!A:F,4,1),"")</f>
        <v/>
      </c>
      <c r="E1206" t="str">
        <f>IF(NOT(ISBLANK(A1206)),VLOOKUP(A1206,'BBT3'!A:F,5,0),"")</f>
        <v/>
      </c>
      <c r="F1206" t="str">
        <f>IF(NOT(ISBLANK(A1206)),VLOOKUP(A1206,'BBT3'!A:F,6,0),"")</f>
        <v/>
      </c>
      <c r="G1206" t="str">
        <f t="shared" si="173"/>
        <v/>
      </c>
      <c r="H1206" t="str">
        <f>IF(NOT(ISBLANK(A1206)),VLOOKUP(A1206,'Close - PriceSaver'!A:J,5,0),"")</f>
        <v/>
      </c>
      <c r="I1206" s="4" t="str" cm="1">
        <f t="array" ref="I1206">IF(NOT(ISBLANK(A1206)),((_xlfn.XLOOKUP(1,(_bbt3[[#All],[ID]]=A1206)*(_bbt3[[#All],[METRIC_NAME]]="YLD_YTM_ASK"),_bbt3[[#All],[METRIC_VALUE]])*0.5)+(_xlfn.XLOOKUP(1,(_bbt3[[#All],[ID]]=A1206)*(_bbt3[[#All],[METRIC_NAME]]="YLD_YTM_BID"),_bbt3[[#All],[METRIC_VALUE]])*0.5))/100,"")</f>
        <v/>
      </c>
      <c r="J1206">
        <f>IF(ISNA(VLOOKUP(A1206,'CloseDL - PriceSaverBBT3'!A:E,5,0)),0,VLOOKUP(A1206,'CloseDL - PriceSaverBBT3'!A:E,5,0))</f>
        <v>0</v>
      </c>
      <c r="K1206" s="7" t="str">
        <f t="shared" si="174"/>
        <v/>
      </c>
      <c r="L1206" s="20">
        <f>IF(Close[[#This Row],[CreatedBy]]="MARINER\SilverAdm",1,0)</f>
        <v>1</v>
      </c>
      <c r="M1206" t="str">
        <f>IF(NOT(ISBLANK(A1206)),VLOOKUP(A1206,'Close - PriceSaver'!A:J,6,0),"")</f>
        <v/>
      </c>
      <c r="Q1206" t="e">
        <f t="shared" si="175"/>
        <v>#N/A</v>
      </c>
      <c r="R1206" t="e">
        <f t="shared" si="176"/>
        <v>#N/A</v>
      </c>
      <c r="S1206" t="e">
        <f t="shared" si="177"/>
        <v>#N/A</v>
      </c>
      <c r="T1206" s="15" t="e">
        <f t="shared" si="179"/>
        <v>#N/A</v>
      </c>
      <c r="U1206" s="18" t="e">
        <f t="shared" si="180"/>
        <v>#N/A</v>
      </c>
      <c r="V1206" s="14" t="e">
        <f t="shared" si="178"/>
        <v>#N/A</v>
      </c>
      <c r="W1206" s="19" t="e">
        <f t="shared" si="181"/>
        <v>#N/A</v>
      </c>
      <c r="X1206" t="e">
        <f>VLOOKUP(P1206,Close[[ID]:[CreatedBy]],8,0)</f>
        <v>#N/A</v>
      </c>
    </row>
    <row r="1207" spans="2:24" x14ac:dyDescent="0.35">
      <c r="B1207" t="str">
        <f>IF(NOT(ISBLANK(A1207)),VLOOKUP(A1207,'BBT3'!A:F,2,0),"")</f>
        <v/>
      </c>
      <c r="C1207" t="str">
        <f>IF(NOT(ISBLANK(A1207)),VLOOKUP(A1207,'BBT3'!A:F,3,0),"")</f>
        <v/>
      </c>
      <c r="D1207" s="5" t="str">
        <f>IF(NOT(ISBLANK(A1207)),VLOOKUP(A1207,'BBT3'!A:F,4,1),"")</f>
        <v/>
      </c>
      <c r="E1207" t="str">
        <f>IF(NOT(ISBLANK(A1207)),VLOOKUP(A1207,'BBT3'!A:F,5,0),"")</f>
        <v/>
      </c>
      <c r="F1207" t="str">
        <f>IF(NOT(ISBLANK(A1207)),VLOOKUP(A1207,'BBT3'!A:F,6,0),"")</f>
        <v/>
      </c>
      <c r="G1207" t="str">
        <f t="shared" si="173"/>
        <v/>
      </c>
      <c r="H1207" t="str">
        <f>IF(NOT(ISBLANK(A1207)),VLOOKUP(A1207,'Close - PriceSaver'!A:J,5,0),"")</f>
        <v/>
      </c>
      <c r="I1207" s="4" t="str" cm="1">
        <f t="array" ref="I1207">IF(NOT(ISBLANK(A1207)),((_xlfn.XLOOKUP(1,(_bbt3[[#All],[ID]]=A1207)*(_bbt3[[#All],[METRIC_NAME]]="YLD_YTM_ASK"),_bbt3[[#All],[METRIC_VALUE]])*0.5)+(_xlfn.XLOOKUP(1,(_bbt3[[#All],[ID]]=A1207)*(_bbt3[[#All],[METRIC_NAME]]="YLD_YTM_BID"),_bbt3[[#All],[METRIC_VALUE]])*0.5))/100,"")</f>
        <v/>
      </c>
      <c r="J1207">
        <f>IF(ISNA(VLOOKUP(A1207,'CloseDL - PriceSaverBBT3'!A:E,5,0)),0,VLOOKUP(A1207,'CloseDL - PriceSaverBBT3'!A:E,5,0))</f>
        <v>0</v>
      </c>
      <c r="K1207" s="7" t="str">
        <f t="shared" si="174"/>
        <v/>
      </c>
      <c r="L1207" s="20">
        <f>IF(Close[[#This Row],[CreatedBy]]="MARINER\SilverAdm",1,0)</f>
        <v>1</v>
      </c>
      <c r="M1207" t="str">
        <f>IF(NOT(ISBLANK(A1207)),VLOOKUP(A1207,'Close - PriceSaver'!A:J,6,0),"")</f>
        <v/>
      </c>
      <c r="Q1207" t="e">
        <f t="shared" si="175"/>
        <v>#N/A</v>
      </c>
      <c r="R1207" t="e">
        <f t="shared" si="176"/>
        <v>#N/A</v>
      </c>
      <c r="S1207" t="e">
        <f t="shared" si="177"/>
        <v>#N/A</v>
      </c>
      <c r="T1207" s="15" t="e">
        <f t="shared" si="179"/>
        <v>#N/A</v>
      </c>
      <c r="U1207" s="18" t="e">
        <f t="shared" si="180"/>
        <v>#N/A</v>
      </c>
      <c r="V1207" s="14" t="e">
        <f t="shared" si="178"/>
        <v>#N/A</v>
      </c>
      <c r="W1207" s="19" t="e">
        <f t="shared" si="181"/>
        <v>#N/A</v>
      </c>
      <c r="X1207" t="e">
        <f>VLOOKUP(P1207,Close[[ID]:[CreatedBy]],8,0)</f>
        <v>#N/A</v>
      </c>
    </row>
    <row r="1208" spans="2:24" x14ac:dyDescent="0.35">
      <c r="B1208" t="str">
        <f>IF(NOT(ISBLANK(A1208)),VLOOKUP(A1208,'BBT3'!A:F,2,0),"")</f>
        <v/>
      </c>
      <c r="C1208" t="str">
        <f>IF(NOT(ISBLANK(A1208)),VLOOKUP(A1208,'BBT3'!A:F,3,0),"")</f>
        <v/>
      </c>
      <c r="D1208" s="5" t="str">
        <f>IF(NOT(ISBLANK(A1208)),VLOOKUP(A1208,'BBT3'!A:F,4,1),"")</f>
        <v/>
      </c>
      <c r="E1208" t="str">
        <f>IF(NOT(ISBLANK(A1208)),VLOOKUP(A1208,'BBT3'!A:F,5,0),"")</f>
        <v/>
      </c>
      <c r="F1208" t="str">
        <f>IF(NOT(ISBLANK(A1208)),VLOOKUP(A1208,'BBT3'!A:F,6,0),"")</f>
        <v/>
      </c>
      <c r="G1208" t="str">
        <f t="shared" si="173"/>
        <v/>
      </c>
      <c r="H1208" t="str">
        <f>IF(NOT(ISBLANK(A1208)),VLOOKUP(A1208,'Close - PriceSaver'!A:J,5,0),"")</f>
        <v/>
      </c>
      <c r="I1208" s="4" t="str" cm="1">
        <f t="array" ref="I1208">IF(NOT(ISBLANK(A1208)),((_xlfn.XLOOKUP(1,(_bbt3[[#All],[ID]]=A1208)*(_bbt3[[#All],[METRIC_NAME]]="YLD_YTM_ASK"),_bbt3[[#All],[METRIC_VALUE]])*0.5)+(_xlfn.XLOOKUP(1,(_bbt3[[#All],[ID]]=A1208)*(_bbt3[[#All],[METRIC_NAME]]="YLD_YTM_BID"),_bbt3[[#All],[METRIC_VALUE]])*0.5))/100,"")</f>
        <v/>
      </c>
      <c r="J1208">
        <f>IF(ISNA(VLOOKUP(A1208,'CloseDL - PriceSaverBBT3'!A:E,5,0)),0,VLOOKUP(A1208,'CloseDL - PriceSaverBBT3'!A:E,5,0))</f>
        <v>0</v>
      </c>
      <c r="K1208" s="7" t="str">
        <f t="shared" si="174"/>
        <v/>
      </c>
      <c r="L1208" s="20">
        <f>IF(Close[[#This Row],[CreatedBy]]="MARINER\SilverAdm",1,0)</f>
        <v>1</v>
      </c>
      <c r="M1208" t="str">
        <f>IF(NOT(ISBLANK(A1208)),VLOOKUP(A1208,'Close - PriceSaver'!A:J,6,0),"")</f>
        <v/>
      </c>
      <c r="Q1208" t="e">
        <f t="shared" si="175"/>
        <v>#N/A</v>
      </c>
      <c r="R1208" t="e">
        <f t="shared" si="176"/>
        <v>#N/A</v>
      </c>
      <c r="S1208" t="e">
        <f t="shared" si="177"/>
        <v>#N/A</v>
      </c>
      <c r="T1208" s="15" t="e">
        <f t="shared" si="179"/>
        <v>#N/A</v>
      </c>
      <c r="U1208" s="18" t="e">
        <f t="shared" si="180"/>
        <v>#N/A</v>
      </c>
      <c r="V1208" s="14" t="e">
        <f t="shared" si="178"/>
        <v>#N/A</v>
      </c>
      <c r="W1208" s="19" t="e">
        <f t="shared" si="181"/>
        <v>#N/A</v>
      </c>
      <c r="X1208" t="e">
        <f>VLOOKUP(P1208,Close[[ID]:[CreatedBy]],8,0)</f>
        <v>#N/A</v>
      </c>
    </row>
    <row r="1209" spans="2:24" x14ac:dyDescent="0.35">
      <c r="B1209" t="str">
        <f>IF(NOT(ISBLANK(A1209)),VLOOKUP(A1209,'BBT3'!A:F,2,0),"")</f>
        <v/>
      </c>
      <c r="C1209" t="str">
        <f>IF(NOT(ISBLANK(A1209)),VLOOKUP(A1209,'BBT3'!A:F,3,0),"")</f>
        <v/>
      </c>
      <c r="D1209" s="5" t="str">
        <f>IF(NOT(ISBLANK(A1209)),VLOOKUP(A1209,'BBT3'!A:F,4,1),"")</f>
        <v/>
      </c>
      <c r="E1209" t="str">
        <f>IF(NOT(ISBLANK(A1209)),VLOOKUP(A1209,'BBT3'!A:F,5,0),"")</f>
        <v/>
      </c>
      <c r="F1209" t="str">
        <f>IF(NOT(ISBLANK(A1209)),VLOOKUP(A1209,'BBT3'!A:F,6,0),"")</f>
        <v/>
      </c>
      <c r="G1209" t="str">
        <f t="shared" si="173"/>
        <v/>
      </c>
      <c r="H1209" t="str">
        <f>IF(NOT(ISBLANK(A1209)),VLOOKUP(A1209,'Close - PriceSaver'!A:J,5,0),"")</f>
        <v/>
      </c>
      <c r="I1209" s="4" t="str" cm="1">
        <f t="array" ref="I1209">IF(NOT(ISBLANK(A1209)),((_xlfn.XLOOKUP(1,(_bbt3[[#All],[ID]]=A1209)*(_bbt3[[#All],[METRIC_NAME]]="YLD_YTM_ASK"),_bbt3[[#All],[METRIC_VALUE]])*0.5)+(_xlfn.XLOOKUP(1,(_bbt3[[#All],[ID]]=A1209)*(_bbt3[[#All],[METRIC_NAME]]="YLD_YTM_BID"),_bbt3[[#All],[METRIC_VALUE]])*0.5))/100,"")</f>
        <v/>
      </c>
      <c r="J1209">
        <f>IF(ISNA(VLOOKUP(A1209,'CloseDL - PriceSaverBBT3'!A:E,5,0)),0,VLOOKUP(A1209,'CloseDL - PriceSaverBBT3'!A:E,5,0))</f>
        <v>0</v>
      </c>
      <c r="K1209" s="7" t="str">
        <f t="shared" si="174"/>
        <v/>
      </c>
      <c r="L1209" s="20">
        <f>IF(Close[[#This Row],[CreatedBy]]="MARINER\SilverAdm",1,0)</f>
        <v>1</v>
      </c>
      <c r="M1209" t="str">
        <f>IF(NOT(ISBLANK(A1209)),VLOOKUP(A1209,'Close - PriceSaver'!A:J,6,0),"")</f>
        <v/>
      </c>
      <c r="Q1209" t="e">
        <f t="shared" si="175"/>
        <v>#N/A</v>
      </c>
      <c r="R1209" t="e">
        <f t="shared" si="176"/>
        <v>#N/A</v>
      </c>
      <c r="S1209" t="e">
        <f t="shared" si="177"/>
        <v>#N/A</v>
      </c>
      <c r="T1209" s="15" t="e">
        <f t="shared" si="179"/>
        <v>#N/A</v>
      </c>
      <c r="U1209" s="18" t="e">
        <f t="shared" si="180"/>
        <v>#N/A</v>
      </c>
      <c r="V1209" s="14" t="e">
        <f t="shared" si="178"/>
        <v>#N/A</v>
      </c>
      <c r="W1209" s="19" t="e">
        <f t="shared" si="181"/>
        <v>#N/A</v>
      </c>
      <c r="X1209" t="e">
        <f>VLOOKUP(P1209,Close[[ID]:[CreatedBy]],8,0)</f>
        <v>#N/A</v>
      </c>
    </row>
    <row r="1210" spans="2:24" x14ac:dyDescent="0.35">
      <c r="B1210" t="str">
        <f>IF(NOT(ISBLANK(A1210)),VLOOKUP(A1210,'BBT3'!A:F,2,0),"")</f>
        <v/>
      </c>
      <c r="C1210" t="str">
        <f>IF(NOT(ISBLANK(A1210)),VLOOKUP(A1210,'BBT3'!A:F,3,0),"")</f>
        <v/>
      </c>
      <c r="D1210" s="5" t="str">
        <f>IF(NOT(ISBLANK(A1210)),VLOOKUP(A1210,'BBT3'!A:F,4,1),"")</f>
        <v/>
      </c>
      <c r="E1210" t="str">
        <f>IF(NOT(ISBLANK(A1210)),VLOOKUP(A1210,'BBT3'!A:F,5,0),"")</f>
        <v/>
      </c>
      <c r="F1210" t="str">
        <f>IF(NOT(ISBLANK(A1210)),VLOOKUP(A1210,'BBT3'!A:F,6,0),"")</f>
        <v/>
      </c>
      <c r="G1210" t="str">
        <f t="shared" si="173"/>
        <v/>
      </c>
      <c r="H1210" t="str">
        <f>IF(NOT(ISBLANK(A1210)),VLOOKUP(A1210,'Close - PriceSaver'!A:J,5,0),"")</f>
        <v/>
      </c>
      <c r="I1210" s="4" t="str" cm="1">
        <f t="array" ref="I1210">IF(NOT(ISBLANK(A1210)),((_xlfn.XLOOKUP(1,(_bbt3[[#All],[ID]]=A1210)*(_bbt3[[#All],[METRIC_NAME]]="YLD_YTM_ASK"),_bbt3[[#All],[METRIC_VALUE]])*0.5)+(_xlfn.XLOOKUP(1,(_bbt3[[#All],[ID]]=A1210)*(_bbt3[[#All],[METRIC_NAME]]="YLD_YTM_BID"),_bbt3[[#All],[METRIC_VALUE]])*0.5))/100,"")</f>
        <v/>
      </c>
      <c r="J1210">
        <f>IF(ISNA(VLOOKUP(A1210,'CloseDL - PriceSaverBBT3'!A:E,5,0)),0,VLOOKUP(A1210,'CloseDL - PriceSaverBBT3'!A:E,5,0))</f>
        <v>0</v>
      </c>
      <c r="K1210" s="7" t="str">
        <f t="shared" si="174"/>
        <v/>
      </c>
      <c r="L1210" s="20">
        <f>IF(Close[[#This Row],[CreatedBy]]="MARINER\SilverAdm",1,0)</f>
        <v>1</v>
      </c>
      <c r="M1210" t="str">
        <f>IF(NOT(ISBLANK(A1210)),VLOOKUP(A1210,'Close - PriceSaver'!A:J,6,0),"")</f>
        <v/>
      </c>
      <c r="Q1210" t="e">
        <f t="shared" si="175"/>
        <v>#N/A</v>
      </c>
      <c r="R1210" t="e">
        <f t="shared" si="176"/>
        <v>#N/A</v>
      </c>
      <c r="S1210" t="e">
        <f t="shared" si="177"/>
        <v>#N/A</v>
      </c>
      <c r="T1210" s="15" t="e">
        <f t="shared" si="179"/>
        <v>#N/A</v>
      </c>
      <c r="U1210" s="18" t="e">
        <f t="shared" si="180"/>
        <v>#N/A</v>
      </c>
      <c r="V1210" s="14" t="e">
        <f t="shared" si="178"/>
        <v>#N/A</v>
      </c>
      <c r="W1210" s="19" t="e">
        <f t="shared" si="181"/>
        <v>#N/A</v>
      </c>
      <c r="X1210" t="e">
        <f>VLOOKUP(P1210,Close[[ID]:[CreatedBy]],8,0)</f>
        <v>#N/A</v>
      </c>
    </row>
    <row r="1211" spans="2:24" x14ac:dyDescent="0.35">
      <c r="B1211" t="str">
        <f>IF(NOT(ISBLANK(A1211)),VLOOKUP(A1211,'BBT3'!A:F,2,0),"")</f>
        <v/>
      </c>
      <c r="C1211" t="str">
        <f>IF(NOT(ISBLANK(A1211)),VLOOKUP(A1211,'BBT3'!A:F,3,0),"")</f>
        <v/>
      </c>
      <c r="D1211" s="5" t="str">
        <f>IF(NOT(ISBLANK(A1211)),VLOOKUP(A1211,'BBT3'!A:F,4,1),"")</f>
        <v/>
      </c>
      <c r="E1211" t="str">
        <f>IF(NOT(ISBLANK(A1211)),VLOOKUP(A1211,'BBT3'!A:F,5,0),"")</f>
        <v/>
      </c>
      <c r="F1211" t="str">
        <f>IF(NOT(ISBLANK(A1211)),VLOOKUP(A1211,'BBT3'!A:F,6,0),"")</f>
        <v/>
      </c>
      <c r="G1211" t="str">
        <f t="shared" si="173"/>
        <v/>
      </c>
      <c r="H1211" t="str">
        <f>IF(NOT(ISBLANK(A1211)),VLOOKUP(A1211,'Close - PriceSaver'!A:J,5,0),"")</f>
        <v/>
      </c>
      <c r="I1211" s="4" t="str" cm="1">
        <f t="array" ref="I1211">IF(NOT(ISBLANK(A1211)),((_xlfn.XLOOKUP(1,(_bbt3[[#All],[ID]]=A1211)*(_bbt3[[#All],[METRIC_NAME]]="YLD_YTM_ASK"),_bbt3[[#All],[METRIC_VALUE]])*0.5)+(_xlfn.XLOOKUP(1,(_bbt3[[#All],[ID]]=A1211)*(_bbt3[[#All],[METRIC_NAME]]="YLD_YTM_BID"),_bbt3[[#All],[METRIC_VALUE]])*0.5))/100,"")</f>
        <v/>
      </c>
      <c r="J1211">
        <f>IF(ISNA(VLOOKUP(A1211,'CloseDL - PriceSaverBBT3'!A:E,5,0)),0,VLOOKUP(A1211,'CloseDL - PriceSaverBBT3'!A:E,5,0))</f>
        <v>0</v>
      </c>
      <c r="K1211" s="7" t="str">
        <f t="shared" si="174"/>
        <v/>
      </c>
      <c r="L1211" s="20">
        <f>IF(Close[[#This Row],[CreatedBy]]="MARINER\SilverAdm",1,0)</f>
        <v>1</v>
      </c>
      <c r="M1211" t="str">
        <f>IF(NOT(ISBLANK(A1211)),VLOOKUP(A1211,'Close - PriceSaver'!A:J,6,0),"")</f>
        <v/>
      </c>
      <c r="Q1211" t="e">
        <f t="shared" si="175"/>
        <v>#N/A</v>
      </c>
      <c r="R1211" t="e">
        <f t="shared" si="176"/>
        <v>#N/A</v>
      </c>
      <c r="S1211" t="e">
        <f t="shared" si="177"/>
        <v>#N/A</v>
      </c>
      <c r="T1211" s="15" t="e">
        <f t="shared" si="179"/>
        <v>#N/A</v>
      </c>
      <c r="U1211" s="18" t="e">
        <f t="shared" si="180"/>
        <v>#N/A</v>
      </c>
      <c r="V1211" s="14" t="e">
        <f t="shared" si="178"/>
        <v>#N/A</v>
      </c>
      <c r="W1211" s="19" t="e">
        <f t="shared" si="181"/>
        <v>#N/A</v>
      </c>
      <c r="X1211" t="e">
        <f>VLOOKUP(P1211,Close[[ID]:[CreatedBy]],8,0)</f>
        <v>#N/A</v>
      </c>
    </row>
    <row r="1212" spans="2:24" x14ac:dyDescent="0.35">
      <c r="B1212" t="str">
        <f>IF(NOT(ISBLANK(A1212)),VLOOKUP(A1212,'BBT3'!A:F,2,0),"")</f>
        <v/>
      </c>
      <c r="C1212" t="str">
        <f>IF(NOT(ISBLANK(A1212)),VLOOKUP(A1212,'BBT3'!A:F,3,0),"")</f>
        <v/>
      </c>
      <c r="D1212" s="5" t="str">
        <f>IF(NOT(ISBLANK(A1212)),VLOOKUP(A1212,'BBT3'!A:F,4,1),"")</f>
        <v/>
      </c>
      <c r="E1212" t="str">
        <f>IF(NOT(ISBLANK(A1212)),VLOOKUP(A1212,'BBT3'!A:F,5,0),"")</f>
        <v/>
      </c>
      <c r="F1212" t="str">
        <f>IF(NOT(ISBLANK(A1212)),VLOOKUP(A1212,'BBT3'!A:F,6,0),"")</f>
        <v/>
      </c>
      <c r="G1212" t="str">
        <f t="shared" si="173"/>
        <v/>
      </c>
      <c r="H1212" t="str">
        <f>IF(NOT(ISBLANK(A1212)),VLOOKUP(A1212,'Close - PriceSaver'!A:J,5,0),"")</f>
        <v/>
      </c>
      <c r="I1212" s="4" t="str" cm="1">
        <f t="array" ref="I1212">IF(NOT(ISBLANK(A1212)),((_xlfn.XLOOKUP(1,(_bbt3[[#All],[ID]]=A1212)*(_bbt3[[#All],[METRIC_NAME]]="YLD_YTM_ASK"),_bbt3[[#All],[METRIC_VALUE]])*0.5)+(_xlfn.XLOOKUP(1,(_bbt3[[#All],[ID]]=A1212)*(_bbt3[[#All],[METRIC_NAME]]="YLD_YTM_BID"),_bbt3[[#All],[METRIC_VALUE]])*0.5))/100,"")</f>
        <v/>
      </c>
      <c r="J1212">
        <f>IF(ISNA(VLOOKUP(A1212,'CloseDL - PriceSaverBBT3'!A:E,5,0)),0,VLOOKUP(A1212,'CloseDL - PriceSaverBBT3'!A:E,5,0))</f>
        <v>0</v>
      </c>
      <c r="K1212" s="7" t="str">
        <f t="shared" si="174"/>
        <v/>
      </c>
      <c r="L1212" s="20">
        <f>IF(Close[[#This Row],[CreatedBy]]="MARINER\SilverAdm",1,0)</f>
        <v>1</v>
      </c>
      <c r="M1212" t="str">
        <f>IF(NOT(ISBLANK(A1212)),VLOOKUP(A1212,'Close - PriceSaver'!A:J,6,0),"")</f>
        <v/>
      </c>
      <c r="Q1212" t="e">
        <f t="shared" si="175"/>
        <v>#N/A</v>
      </c>
      <c r="R1212" t="e">
        <f t="shared" si="176"/>
        <v>#N/A</v>
      </c>
      <c r="S1212" t="e">
        <f t="shared" si="177"/>
        <v>#N/A</v>
      </c>
      <c r="T1212" s="15" t="e">
        <f t="shared" si="179"/>
        <v>#N/A</v>
      </c>
      <c r="U1212" s="18" t="e">
        <f t="shared" si="180"/>
        <v>#N/A</v>
      </c>
      <c r="V1212" s="14" t="e">
        <f t="shared" si="178"/>
        <v>#N/A</v>
      </c>
      <c r="W1212" s="19" t="e">
        <f t="shared" si="181"/>
        <v>#N/A</v>
      </c>
      <c r="X1212" t="e">
        <f>VLOOKUP(P1212,Close[[ID]:[CreatedBy]],8,0)</f>
        <v>#N/A</v>
      </c>
    </row>
    <row r="1213" spans="2:24" x14ac:dyDescent="0.35">
      <c r="B1213" t="str">
        <f>IF(NOT(ISBLANK(A1213)),VLOOKUP(A1213,'BBT3'!A:F,2,0),"")</f>
        <v/>
      </c>
      <c r="C1213" t="str">
        <f>IF(NOT(ISBLANK(A1213)),VLOOKUP(A1213,'BBT3'!A:F,3,0),"")</f>
        <v/>
      </c>
      <c r="D1213" s="5" t="str">
        <f>IF(NOT(ISBLANK(A1213)),VLOOKUP(A1213,'BBT3'!A:F,4,1),"")</f>
        <v/>
      </c>
      <c r="E1213" t="str">
        <f>IF(NOT(ISBLANK(A1213)),VLOOKUP(A1213,'BBT3'!A:F,5,0),"")</f>
        <v/>
      </c>
      <c r="F1213" t="str">
        <f>IF(NOT(ISBLANK(A1213)),VLOOKUP(A1213,'BBT3'!A:F,6,0),"")</f>
        <v/>
      </c>
      <c r="G1213" t="str">
        <f t="shared" si="173"/>
        <v/>
      </c>
      <c r="H1213" t="str">
        <f>IF(NOT(ISBLANK(A1213)),VLOOKUP(A1213,'Close - PriceSaver'!A:J,5,0),"")</f>
        <v/>
      </c>
      <c r="I1213" s="4" t="str" cm="1">
        <f t="array" ref="I1213">IF(NOT(ISBLANK(A1213)),((_xlfn.XLOOKUP(1,(_bbt3[[#All],[ID]]=A1213)*(_bbt3[[#All],[METRIC_NAME]]="YLD_YTM_ASK"),_bbt3[[#All],[METRIC_VALUE]])*0.5)+(_xlfn.XLOOKUP(1,(_bbt3[[#All],[ID]]=A1213)*(_bbt3[[#All],[METRIC_NAME]]="YLD_YTM_BID"),_bbt3[[#All],[METRIC_VALUE]])*0.5))/100,"")</f>
        <v/>
      </c>
      <c r="J1213">
        <f>IF(ISNA(VLOOKUP(A1213,'CloseDL - PriceSaverBBT3'!A:E,5,0)),0,VLOOKUP(A1213,'CloseDL - PriceSaverBBT3'!A:E,5,0))</f>
        <v>0</v>
      </c>
      <c r="K1213" s="7" t="str">
        <f t="shared" si="174"/>
        <v/>
      </c>
      <c r="L1213" s="20">
        <f>IF(Close[[#This Row],[CreatedBy]]="MARINER\SilverAdm",1,0)</f>
        <v>1</v>
      </c>
      <c r="M1213" t="str">
        <f>IF(NOT(ISBLANK(A1213)),VLOOKUP(A1213,'Close - PriceSaver'!A:J,6,0),"")</f>
        <v/>
      </c>
      <c r="Q1213" t="e">
        <f t="shared" si="175"/>
        <v>#N/A</v>
      </c>
      <c r="R1213" t="e">
        <f t="shared" si="176"/>
        <v>#N/A</v>
      </c>
      <c r="S1213" t="e">
        <f t="shared" si="177"/>
        <v>#N/A</v>
      </c>
      <c r="T1213" s="15" t="e">
        <f t="shared" si="179"/>
        <v>#N/A</v>
      </c>
      <c r="U1213" s="18" t="e">
        <f t="shared" si="180"/>
        <v>#N/A</v>
      </c>
      <c r="V1213" s="14" t="e">
        <f t="shared" si="178"/>
        <v>#N/A</v>
      </c>
      <c r="W1213" s="19" t="e">
        <f t="shared" si="181"/>
        <v>#N/A</v>
      </c>
      <c r="X1213" t="e">
        <f>VLOOKUP(P1213,Close[[ID]:[CreatedBy]],8,0)</f>
        <v>#N/A</v>
      </c>
    </row>
    <row r="1214" spans="2:24" x14ac:dyDescent="0.35">
      <c r="B1214" t="str">
        <f>IF(NOT(ISBLANK(A1214)),VLOOKUP(A1214,'BBT3'!A:F,2,0),"")</f>
        <v/>
      </c>
      <c r="C1214" t="str">
        <f>IF(NOT(ISBLANK(A1214)),VLOOKUP(A1214,'BBT3'!A:F,3,0),"")</f>
        <v/>
      </c>
      <c r="D1214" s="5" t="str">
        <f>IF(NOT(ISBLANK(A1214)),VLOOKUP(A1214,'BBT3'!A:F,4,1),"")</f>
        <v/>
      </c>
      <c r="E1214" t="str">
        <f>IF(NOT(ISBLANK(A1214)),VLOOKUP(A1214,'BBT3'!A:F,5,0),"")</f>
        <v/>
      </c>
      <c r="F1214" t="str">
        <f>IF(NOT(ISBLANK(A1214)),VLOOKUP(A1214,'BBT3'!A:F,6,0),"")</f>
        <v/>
      </c>
      <c r="G1214" t="str">
        <f t="shared" si="173"/>
        <v/>
      </c>
      <c r="H1214" t="str">
        <f>IF(NOT(ISBLANK(A1214)),VLOOKUP(A1214,'Close - PriceSaver'!A:J,5,0),"")</f>
        <v/>
      </c>
      <c r="I1214" s="4" t="str" cm="1">
        <f t="array" ref="I1214">IF(NOT(ISBLANK(A1214)),((_xlfn.XLOOKUP(1,(_bbt3[[#All],[ID]]=A1214)*(_bbt3[[#All],[METRIC_NAME]]="YLD_YTM_ASK"),_bbt3[[#All],[METRIC_VALUE]])*0.5)+(_xlfn.XLOOKUP(1,(_bbt3[[#All],[ID]]=A1214)*(_bbt3[[#All],[METRIC_NAME]]="YLD_YTM_BID"),_bbt3[[#All],[METRIC_VALUE]])*0.5))/100,"")</f>
        <v/>
      </c>
      <c r="J1214">
        <f>IF(ISNA(VLOOKUP(A1214,'CloseDL - PriceSaverBBT3'!A:E,5,0)),0,VLOOKUP(A1214,'CloseDL - PriceSaverBBT3'!A:E,5,0))</f>
        <v>0</v>
      </c>
      <c r="K1214" s="7" t="str">
        <f t="shared" si="174"/>
        <v/>
      </c>
      <c r="L1214" s="20">
        <f>IF(Close[[#This Row],[CreatedBy]]="MARINER\SilverAdm",1,0)</f>
        <v>1</v>
      </c>
      <c r="M1214" t="str">
        <f>IF(NOT(ISBLANK(A1214)),VLOOKUP(A1214,'Close - PriceSaver'!A:J,6,0),"")</f>
        <v/>
      </c>
      <c r="Q1214" t="e">
        <f t="shared" si="175"/>
        <v>#N/A</v>
      </c>
      <c r="R1214" t="e">
        <f t="shared" si="176"/>
        <v>#N/A</v>
      </c>
      <c r="S1214" t="e">
        <f t="shared" si="177"/>
        <v>#N/A</v>
      </c>
      <c r="T1214" s="15" t="e">
        <f t="shared" si="179"/>
        <v>#N/A</v>
      </c>
      <c r="U1214" s="18" t="e">
        <f t="shared" si="180"/>
        <v>#N/A</v>
      </c>
      <c r="V1214" s="14" t="e">
        <f t="shared" si="178"/>
        <v>#N/A</v>
      </c>
      <c r="W1214" s="19" t="e">
        <f t="shared" si="181"/>
        <v>#N/A</v>
      </c>
      <c r="X1214" t="e">
        <f>VLOOKUP(P1214,Close[[ID]:[CreatedBy]],8,0)</f>
        <v>#N/A</v>
      </c>
    </row>
    <row r="1215" spans="2:24" x14ac:dyDescent="0.35">
      <c r="B1215" t="str">
        <f>IF(NOT(ISBLANK(A1215)),VLOOKUP(A1215,'BBT3'!A:F,2,0),"")</f>
        <v/>
      </c>
      <c r="C1215" t="str">
        <f>IF(NOT(ISBLANK(A1215)),VLOOKUP(A1215,'BBT3'!A:F,3,0),"")</f>
        <v/>
      </c>
      <c r="D1215" s="5" t="str">
        <f>IF(NOT(ISBLANK(A1215)),VLOOKUP(A1215,'BBT3'!A:F,4,1),"")</f>
        <v/>
      </c>
      <c r="E1215" t="str">
        <f>IF(NOT(ISBLANK(A1215)),VLOOKUP(A1215,'BBT3'!A:F,5,0),"")</f>
        <v/>
      </c>
      <c r="F1215" t="str">
        <f>IF(NOT(ISBLANK(A1215)),VLOOKUP(A1215,'BBT3'!A:F,6,0),"")</f>
        <v/>
      </c>
      <c r="G1215" t="str">
        <f t="shared" si="173"/>
        <v/>
      </c>
      <c r="H1215" t="str">
        <f>IF(NOT(ISBLANK(A1215)),VLOOKUP(A1215,'Close - PriceSaver'!A:J,5,0),"")</f>
        <v/>
      </c>
      <c r="I1215" s="4" t="str" cm="1">
        <f t="array" ref="I1215">IF(NOT(ISBLANK(A1215)),((_xlfn.XLOOKUP(1,(_bbt3[[#All],[ID]]=A1215)*(_bbt3[[#All],[METRIC_NAME]]="YLD_YTM_ASK"),_bbt3[[#All],[METRIC_VALUE]])*0.5)+(_xlfn.XLOOKUP(1,(_bbt3[[#All],[ID]]=A1215)*(_bbt3[[#All],[METRIC_NAME]]="YLD_YTM_BID"),_bbt3[[#All],[METRIC_VALUE]])*0.5))/100,"")</f>
        <v/>
      </c>
      <c r="J1215">
        <f>IF(ISNA(VLOOKUP(A1215,'CloseDL - PriceSaverBBT3'!A:E,5,0)),0,VLOOKUP(A1215,'CloseDL - PriceSaverBBT3'!A:E,5,0))</f>
        <v>0</v>
      </c>
      <c r="K1215" s="7" t="str">
        <f t="shared" si="174"/>
        <v/>
      </c>
      <c r="L1215" s="20">
        <f>IF(Close[[#This Row],[CreatedBy]]="MARINER\SilverAdm",1,0)</f>
        <v>1</v>
      </c>
      <c r="M1215" t="str">
        <f>IF(NOT(ISBLANK(A1215)),VLOOKUP(A1215,'Close - PriceSaver'!A:J,6,0),"")</f>
        <v/>
      </c>
      <c r="Q1215" t="e">
        <f t="shared" si="175"/>
        <v>#N/A</v>
      </c>
      <c r="R1215" t="e">
        <f t="shared" si="176"/>
        <v>#N/A</v>
      </c>
      <c r="S1215" t="e">
        <f t="shared" si="177"/>
        <v>#N/A</v>
      </c>
      <c r="T1215" s="15" t="e">
        <f t="shared" si="179"/>
        <v>#N/A</v>
      </c>
      <c r="U1215" s="18" t="e">
        <f t="shared" si="180"/>
        <v>#N/A</v>
      </c>
      <c r="V1215" s="14" t="e">
        <f t="shared" si="178"/>
        <v>#N/A</v>
      </c>
      <c r="W1215" s="19" t="e">
        <f t="shared" si="181"/>
        <v>#N/A</v>
      </c>
      <c r="X1215" t="e">
        <f>VLOOKUP(P1215,Close[[ID]:[CreatedBy]],8,0)</f>
        <v>#N/A</v>
      </c>
    </row>
    <row r="1216" spans="2:24" x14ac:dyDescent="0.35">
      <c r="B1216" t="str">
        <f>IF(NOT(ISBLANK(A1216)),VLOOKUP(A1216,'BBT3'!A:F,2,0),"")</f>
        <v/>
      </c>
      <c r="C1216" t="str">
        <f>IF(NOT(ISBLANK(A1216)),VLOOKUP(A1216,'BBT3'!A:F,3,0),"")</f>
        <v/>
      </c>
      <c r="D1216" s="5" t="str">
        <f>IF(NOT(ISBLANK(A1216)),VLOOKUP(A1216,'BBT3'!A:F,4,1),"")</f>
        <v/>
      </c>
      <c r="E1216" t="str">
        <f>IF(NOT(ISBLANK(A1216)),VLOOKUP(A1216,'BBT3'!A:F,5,0),"")</f>
        <v/>
      </c>
      <c r="F1216" t="str">
        <f>IF(NOT(ISBLANK(A1216)),VLOOKUP(A1216,'BBT3'!A:F,6,0),"")</f>
        <v/>
      </c>
      <c r="G1216" t="str">
        <f t="shared" si="173"/>
        <v/>
      </c>
      <c r="H1216" t="str">
        <f>IF(NOT(ISBLANK(A1216)),VLOOKUP(A1216,'Close - PriceSaver'!A:J,5,0),"")</f>
        <v/>
      </c>
      <c r="I1216" s="4" t="str" cm="1">
        <f t="array" ref="I1216">IF(NOT(ISBLANK(A1216)),((_xlfn.XLOOKUP(1,(_bbt3[[#All],[ID]]=A1216)*(_bbt3[[#All],[METRIC_NAME]]="YLD_YTM_ASK"),_bbt3[[#All],[METRIC_VALUE]])*0.5)+(_xlfn.XLOOKUP(1,(_bbt3[[#All],[ID]]=A1216)*(_bbt3[[#All],[METRIC_NAME]]="YLD_YTM_BID"),_bbt3[[#All],[METRIC_VALUE]])*0.5))/100,"")</f>
        <v/>
      </c>
      <c r="J1216">
        <f>IF(ISNA(VLOOKUP(A1216,'CloseDL - PriceSaverBBT3'!A:E,5,0)),0,VLOOKUP(A1216,'CloseDL - PriceSaverBBT3'!A:E,5,0))</f>
        <v>0</v>
      </c>
      <c r="K1216" s="7" t="str">
        <f t="shared" si="174"/>
        <v/>
      </c>
      <c r="L1216" s="20">
        <f>IF(Close[[#This Row],[CreatedBy]]="MARINER\SilverAdm",1,0)</f>
        <v>1</v>
      </c>
      <c r="M1216" t="str">
        <f>IF(NOT(ISBLANK(A1216)),VLOOKUP(A1216,'Close - PriceSaver'!A:J,6,0),"")</f>
        <v/>
      </c>
      <c r="Q1216" t="e">
        <f t="shared" si="175"/>
        <v>#N/A</v>
      </c>
      <c r="R1216" t="e">
        <f t="shared" si="176"/>
        <v>#N/A</v>
      </c>
      <c r="S1216" t="e">
        <f t="shared" si="177"/>
        <v>#N/A</v>
      </c>
      <c r="T1216" s="15" t="e">
        <f t="shared" si="179"/>
        <v>#N/A</v>
      </c>
      <c r="U1216" s="18" t="e">
        <f t="shared" si="180"/>
        <v>#N/A</v>
      </c>
      <c r="V1216" s="14" t="e">
        <f t="shared" si="178"/>
        <v>#N/A</v>
      </c>
      <c r="W1216" s="19" t="e">
        <f t="shared" si="181"/>
        <v>#N/A</v>
      </c>
      <c r="X1216" t="e">
        <f>VLOOKUP(P1216,Close[[ID]:[CreatedBy]],8,0)</f>
        <v>#N/A</v>
      </c>
    </row>
    <row r="1217" spans="2:24" x14ac:dyDescent="0.35">
      <c r="B1217" t="str">
        <f>IF(NOT(ISBLANK(A1217)),VLOOKUP(A1217,'BBT3'!A:F,2,0),"")</f>
        <v/>
      </c>
      <c r="C1217" t="str">
        <f>IF(NOT(ISBLANK(A1217)),VLOOKUP(A1217,'BBT3'!A:F,3,0),"")</f>
        <v/>
      </c>
      <c r="D1217" s="5" t="str">
        <f>IF(NOT(ISBLANK(A1217)),VLOOKUP(A1217,'BBT3'!A:F,4,1),"")</f>
        <v/>
      </c>
      <c r="E1217" t="str">
        <f>IF(NOT(ISBLANK(A1217)),VLOOKUP(A1217,'BBT3'!A:F,5,0),"")</f>
        <v/>
      </c>
      <c r="F1217" t="str">
        <f>IF(NOT(ISBLANK(A1217)),VLOOKUP(A1217,'BBT3'!A:F,6,0),"")</f>
        <v/>
      </c>
      <c r="G1217" t="str">
        <f t="shared" si="173"/>
        <v/>
      </c>
      <c r="H1217" t="str">
        <f>IF(NOT(ISBLANK(A1217)),VLOOKUP(A1217,'Close - PriceSaver'!A:J,5,0),"")</f>
        <v/>
      </c>
      <c r="I1217" s="4" t="str" cm="1">
        <f t="array" ref="I1217">IF(NOT(ISBLANK(A1217)),((_xlfn.XLOOKUP(1,(_bbt3[[#All],[ID]]=A1217)*(_bbt3[[#All],[METRIC_NAME]]="YLD_YTM_ASK"),_bbt3[[#All],[METRIC_VALUE]])*0.5)+(_xlfn.XLOOKUP(1,(_bbt3[[#All],[ID]]=A1217)*(_bbt3[[#All],[METRIC_NAME]]="YLD_YTM_BID"),_bbt3[[#All],[METRIC_VALUE]])*0.5))/100,"")</f>
        <v/>
      </c>
      <c r="J1217">
        <f>IF(ISNA(VLOOKUP(A1217,'CloseDL - PriceSaverBBT3'!A:E,5,0)),0,VLOOKUP(A1217,'CloseDL - PriceSaverBBT3'!A:E,5,0))</f>
        <v>0</v>
      </c>
      <c r="K1217" s="7" t="str">
        <f t="shared" si="174"/>
        <v/>
      </c>
      <c r="L1217" s="20">
        <f>IF(Close[[#This Row],[CreatedBy]]="MARINER\SilverAdm",1,0)</f>
        <v>1</v>
      </c>
      <c r="M1217" t="str">
        <f>IF(NOT(ISBLANK(A1217)),VLOOKUP(A1217,'Close - PriceSaver'!A:J,6,0),"")</f>
        <v/>
      </c>
      <c r="Q1217" t="e">
        <f t="shared" si="175"/>
        <v>#N/A</v>
      </c>
      <c r="R1217" t="e">
        <f t="shared" si="176"/>
        <v>#N/A</v>
      </c>
      <c r="S1217" t="e">
        <f t="shared" si="177"/>
        <v>#N/A</v>
      </c>
      <c r="T1217" s="15" t="e">
        <f t="shared" si="179"/>
        <v>#N/A</v>
      </c>
      <c r="U1217" s="18" t="e">
        <f t="shared" si="180"/>
        <v>#N/A</v>
      </c>
      <c r="V1217" s="14" t="e">
        <f t="shared" si="178"/>
        <v>#N/A</v>
      </c>
      <c r="W1217" s="19" t="e">
        <f t="shared" si="181"/>
        <v>#N/A</v>
      </c>
      <c r="X1217" t="e">
        <f>VLOOKUP(P1217,Close[[ID]:[CreatedBy]],8,0)</f>
        <v>#N/A</v>
      </c>
    </row>
    <row r="1218" spans="2:24" x14ac:dyDescent="0.35">
      <c r="B1218" t="str">
        <f>IF(NOT(ISBLANK(A1218)),VLOOKUP(A1218,'BBT3'!A:F,2,0),"")</f>
        <v/>
      </c>
      <c r="C1218" t="str">
        <f>IF(NOT(ISBLANK(A1218)),VLOOKUP(A1218,'BBT3'!A:F,3,0),"")</f>
        <v/>
      </c>
      <c r="D1218" s="5" t="str">
        <f>IF(NOT(ISBLANK(A1218)),VLOOKUP(A1218,'BBT3'!A:F,4,1),"")</f>
        <v/>
      </c>
      <c r="E1218" t="str">
        <f>IF(NOT(ISBLANK(A1218)),VLOOKUP(A1218,'BBT3'!A:F,5,0),"")</f>
        <v/>
      </c>
      <c r="F1218" t="str">
        <f>IF(NOT(ISBLANK(A1218)),VLOOKUP(A1218,'BBT3'!A:F,6,0),"")</f>
        <v/>
      </c>
      <c r="G1218" t="str">
        <f t="shared" si="173"/>
        <v/>
      </c>
      <c r="H1218" t="str">
        <f>IF(NOT(ISBLANK(A1218)),VLOOKUP(A1218,'Close - PriceSaver'!A:J,5,0),"")</f>
        <v/>
      </c>
      <c r="I1218" s="4" t="str" cm="1">
        <f t="array" ref="I1218">IF(NOT(ISBLANK(A1218)),((_xlfn.XLOOKUP(1,(_bbt3[[#All],[ID]]=A1218)*(_bbt3[[#All],[METRIC_NAME]]="YLD_YTM_ASK"),_bbt3[[#All],[METRIC_VALUE]])*0.5)+(_xlfn.XLOOKUP(1,(_bbt3[[#All],[ID]]=A1218)*(_bbt3[[#All],[METRIC_NAME]]="YLD_YTM_BID"),_bbt3[[#All],[METRIC_VALUE]])*0.5))/100,"")</f>
        <v/>
      </c>
      <c r="J1218">
        <f>IF(ISNA(VLOOKUP(A1218,'CloseDL - PriceSaverBBT3'!A:E,5,0)),0,VLOOKUP(A1218,'CloseDL - PriceSaverBBT3'!A:E,5,0))</f>
        <v>0</v>
      </c>
      <c r="K1218" s="7" t="str">
        <f t="shared" si="174"/>
        <v/>
      </c>
      <c r="L1218" s="20">
        <f>IF(Close[[#This Row],[CreatedBy]]="MARINER\SilverAdm",1,0)</f>
        <v>1</v>
      </c>
      <c r="M1218" t="str">
        <f>IF(NOT(ISBLANK(A1218)),VLOOKUP(A1218,'Close - PriceSaver'!A:J,6,0),"")</f>
        <v/>
      </c>
      <c r="Q1218" t="e">
        <f t="shared" si="175"/>
        <v>#N/A</v>
      </c>
      <c r="R1218" t="e">
        <f t="shared" si="176"/>
        <v>#N/A</v>
      </c>
      <c r="S1218" t="e">
        <f t="shared" si="177"/>
        <v>#N/A</v>
      </c>
      <c r="T1218" s="15" t="e">
        <f t="shared" si="179"/>
        <v>#N/A</v>
      </c>
      <c r="U1218" s="18" t="e">
        <f t="shared" si="180"/>
        <v>#N/A</v>
      </c>
      <c r="V1218" s="14" t="e">
        <f t="shared" si="178"/>
        <v>#N/A</v>
      </c>
      <c r="W1218" s="19" t="e">
        <f t="shared" si="181"/>
        <v>#N/A</v>
      </c>
      <c r="X1218" t="e">
        <f>VLOOKUP(P1218,Close[[ID]:[CreatedBy]],8,0)</f>
        <v>#N/A</v>
      </c>
    </row>
    <row r="1219" spans="2:24" x14ac:dyDescent="0.35">
      <c r="B1219" t="str">
        <f>IF(NOT(ISBLANK(A1219)),VLOOKUP(A1219,'BBT3'!A:F,2,0),"")</f>
        <v/>
      </c>
      <c r="C1219" t="str">
        <f>IF(NOT(ISBLANK(A1219)),VLOOKUP(A1219,'BBT3'!A:F,3,0),"")</f>
        <v/>
      </c>
      <c r="D1219" s="5" t="str">
        <f>IF(NOT(ISBLANK(A1219)),VLOOKUP(A1219,'BBT3'!A:F,4,1),"")</f>
        <v/>
      </c>
      <c r="E1219" t="str">
        <f>IF(NOT(ISBLANK(A1219)),VLOOKUP(A1219,'BBT3'!A:F,5,0),"")</f>
        <v/>
      </c>
      <c r="F1219" t="str">
        <f>IF(NOT(ISBLANK(A1219)),VLOOKUP(A1219,'BBT3'!A:F,6,0),"")</f>
        <v/>
      </c>
      <c r="G1219" t="str">
        <f t="shared" ref="G1219:G1282" si="182">IF(NOT(ISBLANK(A1219)),IF(D1219=0,"Y","N"),"")</f>
        <v/>
      </c>
      <c r="H1219" t="str">
        <f>IF(NOT(ISBLANK(A1219)),VLOOKUP(A1219,'Close - PriceSaver'!A:J,5,0),"")</f>
        <v/>
      </c>
      <c r="I1219" s="4" t="str" cm="1">
        <f t="array" ref="I1219">IF(NOT(ISBLANK(A1219)),((_xlfn.XLOOKUP(1,(_bbt3[[#All],[ID]]=A1219)*(_bbt3[[#All],[METRIC_NAME]]="YLD_YTM_ASK"),_bbt3[[#All],[METRIC_VALUE]])*0.5)+(_xlfn.XLOOKUP(1,(_bbt3[[#All],[ID]]=A1219)*(_bbt3[[#All],[METRIC_NAME]]="YLD_YTM_BID"),_bbt3[[#All],[METRIC_VALUE]])*0.5))/100,"")</f>
        <v/>
      </c>
      <c r="J1219">
        <f>IF(ISNA(VLOOKUP(A1219,'CloseDL - PriceSaverBBT3'!A:E,5,0)),0,VLOOKUP(A1219,'CloseDL - PriceSaverBBT3'!A:E,5,0))</f>
        <v>0</v>
      </c>
      <c r="K1219" s="7" t="str">
        <f t="shared" ref="K1219:K1282" si="183">IF(ISNA(IF(NOT(ISBLANK(A1219)),ABS(H1219-J1219),"")),0,(IF(NOT(ISBLANK(A1219)),ABS(H1219-J1219)*10000,"")))</f>
        <v/>
      </c>
      <c r="L1219" s="20">
        <f>IF(Close[[#This Row],[CreatedBy]]="MARINER\SilverAdm",1,0)</f>
        <v>1</v>
      </c>
      <c r="M1219" t="str">
        <f>IF(NOT(ISBLANK(A1219)),VLOOKUP(A1219,'Close - PriceSaver'!A:J,6,0),"")</f>
        <v/>
      </c>
      <c r="Q1219" t="e">
        <f t="shared" si="175"/>
        <v>#N/A</v>
      </c>
      <c r="R1219" t="e">
        <f t="shared" si="176"/>
        <v>#N/A</v>
      </c>
      <c r="S1219" t="e">
        <f t="shared" si="177"/>
        <v>#N/A</v>
      </c>
      <c r="T1219" s="15" t="e">
        <f t="shared" si="179"/>
        <v>#N/A</v>
      </c>
      <c r="U1219" s="18" t="e">
        <f t="shared" si="180"/>
        <v>#N/A</v>
      </c>
      <c r="V1219" s="14" t="e">
        <f t="shared" si="178"/>
        <v>#N/A</v>
      </c>
      <c r="W1219" s="19" t="e">
        <f t="shared" si="181"/>
        <v>#N/A</v>
      </c>
      <c r="X1219" t="e">
        <f>VLOOKUP(P1219,Close[[ID]:[CreatedBy]],8,0)</f>
        <v>#N/A</v>
      </c>
    </row>
    <row r="1220" spans="2:24" x14ac:dyDescent="0.35">
      <c r="B1220" t="str">
        <f>IF(NOT(ISBLANK(A1220)),VLOOKUP(A1220,'BBT3'!A:F,2,0),"")</f>
        <v/>
      </c>
      <c r="C1220" t="str">
        <f>IF(NOT(ISBLANK(A1220)),VLOOKUP(A1220,'BBT3'!A:F,3,0),"")</f>
        <v/>
      </c>
      <c r="D1220" s="5" t="str">
        <f>IF(NOT(ISBLANK(A1220)),VLOOKUP(A1220,'BBT3'!A:F,4,1),"")</f>
        <v/>
      </c>
      <c r="E1220" t="str">
        <f>IF(NOT(ISBLANK(A1220)),VLOOKUP(A1220,'BBT3'!A:F,5,0),"")</f>
        <v/>
      </c>
      <c r="F1220" t="str">
        <f>IF(NOT(ISBLANK(A1220)),VLOOKUP(A1220,'BBT3'!A:F,6,0),"")</f>
        <v/>
      </c>
      <c r="G1220" t="str">
        <f t="shared" si="182"/>
        <v/>
      </c>
      <c r="H1220" t="str">
        <f>IF(NOT(ISBLANK(A1220)),VLOOKUP(A1220,'Close - PriceSaver'!A:J,5,0),"")</f>
        <v/>
      </c>
      <c r="I1220" s="4" t="str" cm="1">
        <f t="array" ref="I1220">IF(NOT(ISBLANK(A1220)),((_xlfn.XLOOKUP(1,(_bbt3[[#All],[ID]]=A1220)*(_bbt3[[#All],[METRIC_NAME]]="YLD_YTM_ASK"),_bbt3[[#All],[METRIC_VALUE]])*0.5)+(_xlfn.XLOOKUP(1,(_bbt3[[#All],[ID]]=A1220)*(_bbt3[[#All],[METRIC_NAME]]="YLD_YTM_BID"),_bbt3[[#All],[METRIC_VALUE]])*0.5))/100,"")</f>
        <v/>
      </c>
      <c r="J1220">
        <f>IF(ISNA(VLOOKUP(A1220,'CloseDL - PriceSaverBBT3'!A:E,5,0)),0,VLOOKUP(A1220,'CloseDL - PriceSaverBBT3'!A:E,5,0))</f>
        <v>0</v>
      </c>
      <c r="K1220" s="7" t="str">
        <f t="shared" si="183"/>
        <v/>
      </c>
      <c r="L1220" s="20">
        <f>IF(Close[[#This Row],[CreatedBy]]="MARINER\SilverAdm",1,0)</f>
        <v>1</v>
      </c>
      <c r="M1220" t="str">
        <f>IF(NOT(ISBLANK(A1220)),VLOOKUP(A1220,'Close - PriceSaver'!A:J,6,0),"")</f>
        <v/>
      </c>
      <c r="Q1220" t="e">
        <f t="shared" si="175"/>
        <v>#N/A</v>
      </c>
      <c r="R1220" t="e">
        <f t="shared" si="176"/>
        <v>#N/A</v>
      </c>
      <c r="S1220" t="e">
        <f t="shared" si="177"/>
        <v>#N/A</v>
      </c>
      <c r="T1220" s="15" t="e">
        <f t="shared" si="179"/>
        <v>#N/A</v>
      </c>
      <c r="U1220" s="18" t="e">
        <f t="shared" si="180"/>
        <v>#N/A</v>
      </c>
      <c r="V1220" s="14" t="e">
        <f t="shared" si="178"/>
        <v>#N/A</v>
      </c>
      <c r="W1220" s="19" t="e">
        <f t="shared" si="181"/>
        <v>#N/A</v>
      </c>
      <c r="X1220" t="e">
        <f>VLOOKUP(P1220,Close[[ID]:[CreatedBy]],8,0)</f>
        <v>#N/A</v>
      </c>
    </row>
    <row r="1221" spans="2:24" x14ac:dyDescent="0.35">
      <c r="B1221" t="str">
        <f>IF(NOT(ISBLANK(A1221)),VLOOKUP(A1221,'BBT3'!A:F,2,0),"")</f>
        <v/>
      </c>
      <c r="C1221" t="str">
        <f>IF(NOT(ISBLANK(A1221)),VLOOKUP(A1221,'BBT3'!A:F,3,0),"")</f>
        <v/>
      </c>
      <c r="D1221" s="5" t="str">
        <f>IF(NOT(ISBLANK(A1221)),VLOOKUP(A1221,'BBT3'!A:F,4,1),"")</f>
        <v/>
      </c>
      <c r="E1221" t="str">
        <f>IF(NOT(ISBLANK(A1221)),VLOOKUP(A1221,'BBT3'!A:F,5,0),"")</f>
        <v/>
      </c>
      <c r="F1221" t="str">
        <f>IF(NOT(ISBLANK(A1221)),VLOOKUP(A1221,'BBT3'!A:F,6,0),"")</f>
        <v/>
      </c>
      <c r="G1221" t="str">
        <f t="shared" si="182"/>
        <v/>
      </c>
      <c r="H1221" t="str">
        <f>IF(NOT(ISBLANK(A1221)),VLOOKUP(A1221,'Close - PriceSaver'!A:J,5,0),"")</f>
        <v/>
      </c>
      <c r="I1221" s="4" t="str" cm="1">
        <f t="array" ref="I1221">IF(NOT(ISBLANK(A1221)),((_xlfn.XLOOKUP(1,(_bbt3[[#All],[ID]]=A1221)*(_bbt3[[#All],[METRIC_NAME]]="YLD_YTM_ASK"),_bbt3[[#All],[METRIC_VALUE]])*0.5)+(_xlfn.XLOOKUP(1,(_bbt3[[#All],[ID]]=A1221)*(_bbt3[[#All],[METRIC_NAME]]="YLD_YTM_BID"),_bbt3[[#All],[METRIC_VALUE]])*0.5))/100,"")</f>
        <v/>
      </c>
      <c r="J1221">
        <f>IF(ISNA(VLOOKUP(A1221,'CloseDL - PriceSaverBBT3'!A:E,5,0)),0,VLOOKUP(A1221,'CloseDL - PriceSaverBBT3'!A:E,5,0))</f>
        <v>0</v>
      </c>
      <c r="K1221" s="7" t="str">
        <f t="shared" si="183"/>
        <v/>
      </c>
      <c r="L1221" s="20">
        <f>IF(Close[[#This Row],[CreatedBy]]="MARINER\SilverAdm",1,0)</f>
        <v>1</v>
      </c>
      <c r="M1221" t="str">
        <f>IF(NOT(ISBLANK(A1221)),VLOOKUP(A1221,'Close - PriceSaver'!A:J,6,0),"")</f>
        <v/>
      </c>
      <c r="Q1221" t="e">
        <f t="shared" si="175"/>
        <v>#N/A</v>
      </c>
      <c r="R1221" t="e">
        <f t="shared" si="176"/>
        <v>#N/A</v>
      </c>
      <c r="S1221" t="e">
        <f t="shared" si="177"/>
        <v>#N/A</v>
      </c>
      <c r="T1221" s="15" t="e">
        <f t="shared" si="179"/>
        <v>#N/A</v>
      </c>
      <c r="U1221" s="18" t="e">
        <f t="shared" si="180"/>
        <v>#N/A</v>
      </c>
      <c r="V1221" s="14" t="e">
        <f t="shared" si="178"/>
        <v>#N/A</v>
      </c>
      <c r="W1221" s="19" t="e">
        <f t="shared" si="181"/>
        <v>#N/A</v>
      </c>
      <c r="X1221" t="e">
        <f>VLOOKUP(P1221,Close[[ID]:[CreatedBy]],8,0)</f>
        <v>#N/A</v>
      </c>
    </row>
    <row r="1222" spans="2:24" x14ac:dyDescent="0.35">
      <c r="B1222" t="str">
        <f>IF(NOT(ISBLANK(A1222)),VLOOKUP(A1222,'BBT3'!A:F,2,0),"")</f>
        <v/>
      </c>
      <c r="C1222" t="str">
        <f>IF(NOT(ISBLANK(A1222)),VLOOKUP(A1222,'BBT3'!A:F,3,0),"")</f>
        <v/>
      </c>
      <c r="D1222" s="5" t="str">
        <f>IF(NOT(ISBLANK(A1222)),VLOOKUP(A1222,'BBT3'!A:F,4,1),"")</f>
        <v/>
      </c>
      <c r="E1222" t="str">
        <f>IF(NOT(ISBLANK(A1222)),VLOOKUP(A1222,'BBT3'!A:F,5,0),"")</f>
        <v/>
      </c>
      <c r="F1222" t="str">
        <f>IF(NOT(ISBLANK(A1222)),VLOOKUP(A1222,'BBT3'!A:F,6,0),"")</f>
        <v/>
      </c>
      <c r="G1222" t="str">
        <f t="shared" si="182"/>
        <v/>
      </c>
      <c r="H1222" t="str">
        <f>IF(NOT(ISBLANK(A1222)),VLOOKUP(A1222,'Close - PriceSaver'!A:J,5,0),"")</f>
        <v/>
      </c>
      <c r="I1222" s="4" t="str" cm="1">
        <f t="array" ref="I1222">IF(NOT(ISBLANK(A1222)),((_xlfn.XLOOKUP(1,(_bbt3[[#All],[ID]]=A1222)*(_bbt3[[#All],[METRIC_NAME]]="YLD_YTM_ASK"),_bbt3[[#All],[METRIC_VALUE]])*0.5)+(_xlfn.XLOOKUP(1,(_bbt3[[#All],[ID]]=A1222)*(_bbt3[[#All],[METRIC_NAME]]="YLD_YTM_BID"),_bbt3[[#All],[METRIC_VALUE]])*0.5))/100,"")</f>
        <v/>
      </c>
      <c r="J1222">
        <f>IF(ISNA(VLOOKUP(A1222,'CloseDL - PriceSaverBBT3'!A:E,5,0)),0,VLOOKUP(A1222,'CloseDL - PriceSaverBBT3'!A:E,5,0))</f>
        <v>0</v>
      </c>
      <c r="K1222" s="7" t="str">
        <f t="shared" si="183"/>
        <v/>
      </c>
      <c r="L1222" s="20">
        <f>IF(Close[[#This Row],[CreatedBy]]="MARINER\SilverAdm",1,0)</f>
        <v>1</v>
      </c>
      <c r="M1222" t="str">
        <f>IF(NOT(ISBLANK(A1222)),VLOOKUP(A1222,'Close - PriceSaver'!A:J,6,0),"")</f>
        <v/>
      </c>
      <c r="Q1222" t="e">
        <f t="shared" si="175"/>
        <v>#N/A</v>
      </c>
      <c r="R1222" t="e">
        <f t="shared" si="176"/>
        <v>#N/A</v>
      </c>
      <c r="S1222" t="e">
        <f t="shared" si="177"/>
        <v>#N/A</v>
      </c>
      <c r="T1222" s="15" t="e">
        <f t="shared" si="179"/>
        <v>#N/A</v>
      </c>
      <c r="U1222" s="18" t="e">
        <f t="shared" si="180"/>
        <v>#N/A</v>
      </c>
      <c r="V1222" s="14" t="e">
        <f t="shared" si="178"/>
        <v>#N/A</v>
      </c>
      <c r="W1222" s="19" t="e">
        <f t="shared" si="181"/>
        <v>#N/A</v>
      </c>
      <c r="X1222" t="e">
        <f>VLOOKUP(P1222,Close[[ID]:[CreatedBy]],8,0)</f>
        <v>#N/A</v>
      </c>
    </row>
    <row r="1223" spans="2:24" x14ac:dyDescent="0.35">
      <c r="B1223" t="str">
        <f>IF(NOT(ISBLANK(A1223)),VLOOKUP(A1223,'BBT3'!A:F,2,0),"")</f>
        <v/>
      </c>
      <c r="C1223" t="str">
        <f>IF(NOT(ISBLANK(A1223)),VLOOKUP(A1223,'BBT3'!A:F,3,0),"")</f>
        <v/>
      </c>
      <c r="D1223" s="5" t="str">
        <f>IF(NOT(ISBLANK(A1223)),VLOOKUP(A1223,'BBT3'!A:F,4,1),"")</f>
        <v/>
      </c>
      <c r="E1223" t="str">
        <f>IF(NOT(ISBLANK(A1223)),VLOOKUP(A1223,'BBT3'!A:F,5,0),"")</f>
        <v/>
      </c>
      <c r="F1223" t="str">
        <f>IF(NOT(ISBLANK(A1223)),VLOOKUP(A1223,'BBT3'!A:F,6,0),"")</f>
        <v/>
      </c>
      <c r="G1223" t="str">
        <f t="shared" si="182"/>
        <v/>
      </c>
      <c r="H1223" t="str">
        <f>IF(NOT(ISBLANK(A1223)),VLOOKUP(A1223,'Close - PriceSaver'!A:J,5,0),"")</f>
        <v/>
      </c>
      <c r="I1223" s="4" t="str" cm="1">
        <f t="array" ref="I1223">IF(NOT(ISBLANK(A1223)),((_xlfn.XLOOKUP(1,(_bbt3[[#All],[ID]]=A1223)*(_bbt3[[#All],[METRIC_NAME]]="YLD_YTM_ASK"),_bbt3[[#All],[METRIC_VALUE]])*0.5)+(_xlfn.XLOOKUP(1,(_bbt3[[#All],[ID]]=A1223)*(_bbt3[[#All],[METRIC_NAME]]="YLD_YTM_BID"),_bbt3[[#All],[METRIC_VALUE]])*0.5))/100,"")</f>
        <v/>
      </c>
      <c r="J1223">
        <f>IF(ISNA(VLOOKUP(A1223,'CloseDL - PriceSaverBBT3'!A:E,5,0)),0,VLOOKUP(A1223,'CloseDL - PriceSaverBBT3'!A:E,5,0))</f>
        <v>0</v>
      </c>
      <c r="K1223" s="7" t="str">
        <f t="shared" si="183"/>
        <v/>
      </c>
      <c r="L1223" s="20">
        <f>IF(Close[[#This Row],[CreatedBy]]="MARINER\SilverAdm",1,0)</f>
        <v>1</v>
      </c>
      <c r="M1223" t="str">
        <f>IF(NOT(ISBLANK(A1223)),VLOOKUP(A1223,'Close - PriceSaver'!A:J,6,0),"")</f>
        <v/>
      </c>
      <c r="Q1223" t="e">
        <f t="shared" si="175"/>
        <v>#N/A</v>
      </c>
      <c r="R1223" t="e">
        <f t="shared" si="176"/>
        <v>#N/A</v>
      </c>
      <c r="S1223" t="e">
        <f t="shared" si="177"/>
        <v>#N/A</v>
      </c>
      <c r="T1223" s="15" t="e">
        <f t="shared" si="179"/>
        <v>#N/A</v>
      </c>
      <c r="U1223" s="18" t="e">
        <f t="shared" si="180"/>
        <v>#N/A</v>
      </c>
      <c r="V1223" s="14" t="e">
        <f t="shared" si="178"/>
        <v>#N/A</v>
      </c>
      <c r="W1223" s="19" t="e">
        <f t="shared" si="181"/>
        <v>#N/A</v>
      </c>
      <c r="X1223" t="e">
        <f>VLOOKUP(P1223,Close[[ID]:[CreatedBy]],8,0)</f>
        <v>#N/A</v>
      </c>
    </row>
    <row r="1224" spans="2:24" x14ac:dyDescent="0.35">
      <c r="B1224" t="str">
        <f>IF(NOT(ISBLANK(A1224)),VLOOKUP(A1224,'BBT3'!A:F,2,0),"")</f>
        <v/>
      </c>
      <c r="C1224" t="str">
        <f>IF(NOT(ISBLANK(A1224)),VLOOKUP(A1224,'BBT3'!A:F,3,0),"")</f>
        <v/>
      </c>
      <c r="D1224" s="5" t="str">
        <f>IF(NOT(ISBLANK(A1224)),VLOOKUP(A1224,'BBT3'!A:F,4,1),"")</f>
        <v/>
      </c>
      <c r="E1224" t="str">
        <f>IF(NOT(ISBLANK(A1224)),VLOOKUP(A1224,'BBT3'!A:F,5,0),"")</f>
        <v/>
      </c>
      <c r="F1224" t="str">
        <f>IF(NOT(ISBLANK(A1224)),VLOOKUP(A1224,'BBT3'!A:F,6,0),"")</f>
        <v/>
      </c>
      <c r="G1224" t="str">
        <f t="shared" si="182"/>
        <v/>
      </c>
      <c r="H1224" t="str">
        <f>IF(NOT(ISBLANK(A1224)),VLOOKUP(A1224,'Close - PriceSaver'!A:J,5,0),"")</f>
        <v/>
      </c>
      <c r="I1224" s="4" t="str" cm="1">
        <f t="array" ref="I1224">IF(NOT(ISBLANK(A1224)),((_xlfn.XLOOKUP(1,(_bbt3[[#All],[ID]]=A1224)*(_bbt3[[#All],[METRIC_NAME]]="YLD_YTM_ASK"),_bbt3[[#All],[METRIC_VALUE]])*0.5)+(_xlfn.XLOOKUP(1,(_bbt3[[#All],[ID]]=A1224)*(_bbt3[[#All],[METRIC_NAME]]="YLD_YTM_BID"),_bbt3[[#All],[METRIC_VALUE]])*0.5))/100,"")</f>
        <v/>
      </c>
      <c r="J1224">
        <f>IF(ISNA(VLOOKUP(A1224,'CloseDL - PriceSaverBBT3'!A:E,5,0)),0,VLOOKUP(A1224,'CloseDL - PriceSaverBBT3'!A:E,5,0))</f>
        <v>0</v>
      </c>
      <c r="K1224" s="7" t="str">
        <f t="shared" si="183"/>
        <v/>
      </c>
      <c r="L1224" s="20">
        <f>IF(Close[[#This Row],[CreatedBy]]="MARINER\SilverAdm",1,0)</f>
        <v>1</v>
      </c>
      <c r="M1224" t="str">
        <f>IF(NOT(ISBLANK(A1224)),VLOOKUP(A1224,'Close - PriceSaver'!A:J,6,0),"")</f>
        <v/>
      </c>
      <c r="Q1224" t="e">
        <f t="shared" si="175"/>
        <v>#N/A</v>
      </c>
      <c r="R1224" t="e">
        <f t="shared" si="176"/>
        <v>#N/A</v>
      </c>
      <c r="S1224" t="e">
        <f t="shared" si="177"/>
        <v>#N/A</v>
      </c>
      <c r="T1224" s="15" t="e">
        <f t="shared" si="179"/>
        <v>#N/A</v>
      </c>
      <c r="U1224" s="18" t="e">
        <f t="shared" si="180"/>
        <v>#N/A</v>
      </c>
      <c r="V1224" s="14" t="e">
        <f t="shared" si="178"/>
        <v>#N/A</v>
      </c>
      <c r="W1224" s="19" t="e">
        <f t="shared" si="181"/>
        <v>#N/A</v>
      </c>
      <c r="X1224" t="e">
        <f>VLOOKUP(P1224,Close[[ID]:[CreatedBy]],8,0)</f>
        <v>#N/A</v>
      </c>
    </row>
    <row r="1225" spans="2:24" x14ac:dyDescent="0.35">
      <c r="B1225" t="str">
        <f>IF(NOT(ISBLANK(A1225)),VLOOKUP(A1225,'BBT3'!A:F,2,0),"")</f>
        <v/>
      </c>
      <c r="C1225" t="str">
        <f>IF(NOT(ISBLANK(A1225)),VLOOKUP(A1225,'BBT3'!A:F,3,0),"")</f>
        <v/>
      </c>
      <c r="D1225" s="5" t="str">
        <f>IF(NOT(ISBLANK(A1225)),VLOOKUP(A1225,'BBT3'!A:F,4,1),"")</f>
        <v/>
      </c>
      <c r="E1225" t="str">
        <f>IF(NOT(ISBLANK(A1225)),VLOOKUP(A1225,'BBT3'!A:F,5,0),"")</f>
        <v/>
      </c>
      <c r="F1225" t="str">
        <f>IF(NOT(ISBLANK(A1225)),VLOOKUP(A1225,'BBT3'!A:F,6,0),"")</f>
        <v/>
      </c>
      <c r="G1225" t="str">
        <f t="shared" si="182"/>
        <v/>
      </c>
      <c r="H1225" t="str">
        <f>IF(NOT(ISBLANK(A1225)),VLOOKUP(A1225,'Close - PriceSaver'!A:J,5,0),"")</f>
        <v/>
      </c>
      <c r="I1225" s="4" t="str" cm="1">
        <f t="array" ref="I1225">IF(NOT(ISBLANK(A1225)),((_xlfn.XLOOKUP(1,(_bbt3[[#All],[ID]]=A1225)*(_bbt3[[#All],[METRIC_NAME]]="YLD_YTM_ASK"),_bbt3[[#All],[METRIC_VALUE]])*0.5)+(_xlfn.XLOOKUP(1,(_bbt3[[#All],[ID]]=A1225)*(_bbt3[[#All],[METRIC_NAME]]="YLD_YTM_BID"),_bbt3[[#All],[METRIC_VALUE]])*0.5))/100,"")</f>
        <v/>
      </c>
      <c r="J1225">
        <f>IF(ISNA(VLOOKUP(A1225,'CloseDL - PriceSaverBBT3'!A:E,5,0)),0,VLOOKUP(A1225,'CloseDL - PriceSaverBBT3'!A:E,5,0))</f>
        <v>0</v>
      </c>
      <c r="K1225" s="7" t="str">
        <f t="shared" si="183"/>
        <v/>
      </c>
      <c r="L1225" s="20">
        <f>IF(Close[[#This Row],[CreatedBy]]="MARINER\SilverAdm",1,0)</f>
        <v>1</v>
      </c>
      <c r="M1225" t="str">
        <f>IF(NOT(ISBLANK(A1225)),VLOOKUP(A1225,'Close - PriceSaver'!A:J,6,0),"")</f>
        <v/>
      </c>
      <c r="Q1225" t="e">
        <f t="shared" si="175"/>
        <v>#N/A</v>
      </c>
      <c r="R1225" t="e">
        <f t="shared" si="176"/>
        <v>#N/A</v>
      </c>
      <c r="S1225" t="e">
        <f t="shared" si="177"/>
        <v>#N/A</v>
      </c>
      <c r="T1225" s="15" t="e">
        <f t="shared" si="179"/>
        <v>#N/A</v>
      </c>
      <c r="U1225" s="18" t="e">
        <f t="shared" si="180"/>
        <v>#N/A</v>
      </c>
      <c r="V1225" s="14" t="e">
        <f t="shared" si="178"/>
        <v>#N/A</v>
      </c>
      <c r="W1225" s="19" t="e">
        <f t="shared" si="181"/>
        <v>#N/A</v>
      </c>
      <c r="X1225" t="e">
        <f>VLOOKUP(P1225,Close[[ID]:[CreatedBy]],8,0)</f>
        <v>#N/A</v>
      </c>
    </row>
    <row r="1226" spans="2:24" x14ac:dyDescent="0.35">
      <c r="B1226" t="str">
        <f>IF(NOT(ISBLANK(A1226)),VLOOKUP(A1226,'BBT3'!A:F,2,0),"")</f>
        <v/>
      </c>
      <c r="C1226" t="str">
        <f>IF(NOT(ISBLANK(A1226)),VLOOKUP(A1226,'BBT3'!A:F,3,0),"")</f>
        <v/>
      </c>
      <c r="D1226" s="5" t="str">
        <f>IF(NOT(ISBLANK(A1226)),VLOOKUP(A1226,'BBT3'!A:F,4,1),"")</f>
        <v/>
      </c>
      <c r="E1226" t="str">
        <f>IF(NOT(ISBLANK(A1226)),VLOOKUP(A1226,'BBT3'!A:F,5,0),"")</f>
        <v/>
      </c>
      <c r="F1226" t="str">
        <f>IF(NOT(ISBLANK(A1226)),VLOOKUP(A1226,'BBT3'!A:F,6,0),"")</f>
        <v/>
      </c>
      <c r="G1226" t="str">
        <f t="shared" si="182"/>
        <v/>
      </c>
      <c r="H1226" t="str">
        <f>IF(NOT(ISBLANK(A1226)),VLOOKUP(A1226,'Close - PriceSaver'!A:J,5,0),"")</f>
        <v/>
      </c>
      <c r="I1226" s="4" t="str" cm="1">
        <f t="array" ref="I1226">IF(NOT(ISBLANK(A1226)),((_xlfn.XLOOKUP(1,(_bbt3[[#All],[ID]]=A1226)*(_bbt3[[#All],[METRIC_NAME]]="YLD_YTM_ASK"),_bbt3[[#All],[METRIC_VALUE]])*0.5)+(_xlfn.XLOOKUP(1,(_bbt3[[#All],[ID]]=A1226)*(_bbt3[[#All],[METRIC_NAME]]="YLD_YTM_BID"),_bbt3[[#All],[METRIC_VALUE]])*0.5))/100,"")</f>
        <v/>
      </c>
      <c r="J1226">
        <f>IF(ISNA(VLOOKUP(A1226,'CloseDL - PriceSaverBBT3'!A:E,5,0)),0,VLOOKUP(A1226,'CloseDL - PriceSaverBBT3'!A:E,5,0))</f>
        <v>0</v>
      </c>
      <c r="K1226" s="7" t="str">
        <f t="shared" si="183"/>
        <v/>
      </c>
      <c r="L1226" s="20">
        <f>IF(Close[[#This Row],[CreatedBy]]="MARINER\SilverAdm",1,0)</f>
        <v>1</v>
      </c>
      <c r="M1226" t="str">
        <f>IF(NOT(ISBLANK(A1226)),VLOOKUP(A1226,'Close - PriceSaver'!A:J,6,0),"")</f>
        <v/>
      </c>
      <c r="Q1226" t="e">
        <f t="shared" si="175"/>
        <v>#N/A</v>
      </c>
      <c r="R1226" t="e">
        <f t="shared" si="176"/>
        <v>#N/A</v>
      </c>
      <c r="S1226" t="e">
        <f t="shared" si="177"/>
        <v>#N/A</v>
      </c>
      <c r="T1226" s="15" t="e">
        <f t="shared" si="179"/>
        <v>#N/A</v>
      </c>
      <c r="U1226" s="18" t="e">
        <f t="shared" si="180"/>
        <v>#N/A</v>
      </c>
      <c r="V1226" s="14" t="e">
        <f t="shared" si="178"/>
        <v>#N/A</v>
      </c>
      <c r="W1226" s="19" t="e">
        <f t="shared" si="181"/>
        <v>#N/A</v>
      </c>
      <c r="X1226" t="e">
        <f>VLOOKUP(P1226,Close[[ID]:[CreatedBy]],8,0)</f>
        <v>#N/A</v>
      </c>
    </row>
    <row r="1227" spans="2:24" x14ac:dyDescent="0.35">
      <c r="B1227" t="str">
        <f>IF(NOT(ISBLANK(A1227)),VLOOKUP(A1227,'BBT3'!A:F,2,0),"")</f>
        <v/>
      </c>
      <c r="C1227" t="str">
        <f>IF(NOT(ISBLANK(A1227)),VLOOKUP(A1227,'BBT3'!A:F,3,0),"")</f>
        <v/>
      </c>
      <c r="D1227" s="5" t="str">
        <f>IF(NOT(ISBLANK(A1227)),VLOOKUP(A1227,'BBT3'!A:F,4,1),"")</f>
        <v/>
      </c>
      <c r="E1227" t="str">
        <f>IF(NOT(ISBLANK(A1227)),VLOOKUP(A1227,'BBT3'!A:F,5,0),"")</f>
        <v/>
      </c>
      <c r="F1227" t="str">
        <f>IF(NOT(ISBLANK(A1227)),VLOOKUP(A1227,'BBT3'!A:F,6,0),"")</f>
        <v/>
      </c>
      <c r="G1227" t="str">
        <f t="shared" si="182"/>
        <v/>
      </c>
      <c r="H1227" t="str">
        <f>IF(NOT(ISBLANK(A1227)),VLOOKUP(A1227,'Close - PriceSaver'!A:J,5,0),"")</f>
        <v/>
      </c>
      <c r="I1227" s="4" t="str" cm="1">
        <f t="array" ref="I1227">IF(NOT(ISBLANK(A1227)),((_xlfn.XLOOKUP(1,(_bbt3[[#All],[ID]]=A1227)*(_bbt3[[#All],[METRIC_NAME]]="YLD_YTM_ASK"),_bbt3[[#All],[METRIC_VALUE]])*0.5)+(_xlfn.XLOOKUP(1,(_bbt3[[#All],[ID]]=A1227)*(_bbt3[[#All],[METRIC_NAME]]="YLD_YTM_BID"),_bbt3[[#All],[METRIC_VALUE]])*0.5))/100,"")</f>
        <v/>
      </c>
      <c r="J1227">
        <f>IF(ISNA(VLOOKUP(A1227,'CloseDL - PriceSaverBBT3'!A:E,5,0)),0,VLOOKUP(A1227,'CloseDL - PriceSaverBBT3'!A:E,5,0))</f>
        <v>0</v>
      </c>
      <c r="K1227" s="7" t="str">
        <f t="shared" si="183"/>
        <v/>
      </c>
      <c r="L1227" s="20">
        <f>IF(Close[[#This Row],[CreatedBy]]="MARINER\SilverAdm",1,0)</f>
        <v>1</v>
      </c>
      <c r="M1227" t="str">
        <f>IF(NOT(ISBLANK(A1227)),VLOOKUP(A1227,'Close - PriceSaver'!A:J,6,0),"")</f>
        <v/>
      </c>
      <c r="Q1227" t="e">
        <f t="shared" ref="Q1227:Q1290" si="184">VLOOKUP(P1227,A:C,3,0)</f>
        <v>#N/A</v>
      </c>
      <c r="R1227" t="e">
        <f t="shared" si="176"/>
        <v>#N/A</v>
      </c>
      <c r="S1227" t="e">
        <f t="shared" si="177"/>
        <v>#N/A</v>
      </c>
      <c r="T1227" s="15" t="e">
        <f t="shared" si="179"/>
        <v>#N/A</v>
      </c>
      <c r="U1227" s="18" t="e">
        <f t="shared" si="180"/>
        <v>#N/A</v>
      </c>
      <c r="V1227" s="14" t="e">
        <f t="shared" si="178"/>
        <v>#N/A</v>
      </c>
      <c r="W1227" s="19" t="e">
        <f t="shared" si="181"/>
        <v>#N/A</v>
      </c>
      <c r="X1227" t="e">
        <f>VLOOKUP(P1227,Close[[ID]:[CreatedBy]],8,0)</f>
        <v>#N/A</v>
      </c>
    </row>
    <row r="1228" spans="2:24" x14ac:dyDescent="0.35">
      <c r="B1228" t="str">
        <f>IF(NOT(ISBLANK(A1228)),VLOOKUP(A1228,'BBT3'!A:F,2,0),"")</f>
        <v/>
      </c>
      <c r="C1228" t="str">
        <f>IF(NOT(ISBLANK(A1228)),VLOOKUP(A1228,'BBT3'!A:F,3,0),"")</f>
        <v/>
      </c>
      <c r="D1228" s="5" t="str">
        <f>IF(NOT(ISBLANK(A1228)),VLOOKUP(A1228,'BBT3'!A:F,4,1),"")</f>
        <v/>
      </c>
      <c r="E1228" t="str">
        <f>IF(NOT(ISBLANK(A1228)),VLOOKUP(A1228,'BBT3'!A:F,5,0),"")</f>
        <v/>
      </c>
      <c r="F1228" t="str">
        <f>IF(NOT(ISBLANK(A1228)),VLOOKUP(A1228,'BBT3'!A:F,6,0),"")</f>
        <v/>
      </c>
      <c r="G1228" t="str">
        <f t="shared" si="182"/>
        <v/>
      </c>
      <c r="H1228" t="str">
        <f>IF(NOT(ISBLANK(A1228)),VLOOKUP(A1228,'Close - PriceSaver'!A:J,5,0),"")</f>
        <v/>
      </c>
      <c r="I1228" s="4" t="str" cm="1">
        <f t="array" ref="I1228">IF(NOT(ISBLANK(A1228)),((_xlfn.XLOOKUP(1,(_bbt3[[#All],[ID]]=A1228)*(_bbt3[[#All],[METRIC_NAME]]="YLD_YTM_ASK"),_bbt3[[#All],[METRIC_VALUE]])*0.5)+(_xlfn.XLOOKUP(1,(_bbt3[[#All],[ID]]=A1228)*(_bbt3[[#All],[METRIC_NAME]]="YLD_YTM_BID"),_bbt3[[#All],[METRIC_VALUE]])*0.5))/100,"")</f>
        <v/>
      </c>
      <c r="J1228">
        <f>IF(ISNA(VLOOKUP(A1228,'CloseDL - PriceSaverBBT3'!A:E,5,0)),0,VLOOKUP(A1228,'CloseDL - PriceSaverBBT3'!A:E,5,0))</f>
        <v>0</v>
      </c>
      <c r="K1228" s="7" t="str">
        <f t="shared" si="183"/>
        <v/>
      </c>
      <c r="L1228" s="20">
        <f>IF(Close[[#This Row],[CreatedBy]]="MARINER\SilverAdm",1,0)</f>
        <v>1</v>
      </c>
      <c r="M1228" t="str">
        <f>IF(NOT(ISBLANK(A1228)),VLOOKUP(A1228,'Close - PriceSaver'!A:J,6,0),"")</f>
        <v/>
      </c>
      <c r="Q1228" t="e">
        <f t="shared" si="184"/>
        <v>#N/A</v>
      </c>
      <c r="R1228" t="e">
        <f t="shared" si="176"/>
        <v>#N/A</v>
      </c>
      <c r="S1228" t="e">
        <f t="shared" si="177"/>
        <v>#N/A</v>
      </c>
      <c r="T1228" s="15" t="e">
        <f t="shared" si="179"/>
        <v>#N/A</v>
      </c>
      <c r="U1228" s="18" t="e">
        <f t="shared" si="180"/>
        <v>#N/A</v>
      </c>
      <c r="V1228" s="14" t="e">
        <f t="shared" si="178"/>
        <v>#N/A</v>
      </c>
      <c r="W1228" s="19" t="e">
        <f t="shared" si="181"/>
        <v>#N/A</v>
      </c>
      <c r="X1228" t="e">
        <f>VLOOKUP(P1228,Close[[ID]:[CreatedBy]],8,0)</f>
        <v>#N/A</v>
      </c>
    </row>
    <row r="1229" spans="2:24" x14ac:dyDescent="0.35">
      <c r="B1229" t="str">
        <f>IF(NOT(ISBLANK(A1229)),VLOOKUP(A1229,'BBT3'!A:F,2,0),"")</f>
        <v/>
      </c>
      <c r="C1229" t="str">
        <f>IF(NOT(ISBLANK(A1229)),VLOOKUP(A1229,'BBT3'!A:F,3,0),"")</f>
        <v/>
      </c>
      <c r="D1229" s="5" t="str">
        <f>IF(NOT(ISBLANK(A1229)),VLOOKUP(A1229,'BBT3'!A:F,4,1),"")</f>
        <v/>
      </c>
      <c r="E1229" t="str">
        <f>IF(NOT(ISBLANK(A1229)),VLOOKUP(A1229,'BBT3'!A:F,5,0),"")</f>
        <v/>
      </c>
      <c r="F1229" t="str">
        <f>IF(NOT(ISBLANK(A1229)),VLOOKUP(A1229,'BBT3'!A:F,6,0),"")</f>
        <v/>
      </c>
      <c r="G1229" t="str">
        <f t="shared" si="182"/>
        <v/>
      </c>
      <c r="H1229" t="str">
        <f>IF(NOT(ISBLANK(A1229)),VLOOKUP(A1229,'Close - PriceSaver'!A:J,5,0),"")</f>
        <v/>
      </c>
      <c r="I1229" s="4" t="str" cm="1">
        <f t="array" ref="I1229">IF(NOT(ISBLANK(A1229)),((_xlfn.XLOOKUP(1,(_bbt3[[#All],[ID]]=A1229)*(_bbt3[[#All],[METRIC_NAME]]="YLD_YTM_ASK"),_bbt3[[#All],[METRIC_VALUE]])*0.5)+(_xlfn.XLOOKUP(1,(_bbt3[[#All],[ID]]=A1229)*(_bbt3[[#All],[METRIC_NAME]]="YLD_YTM_BID"),_bbt3[[#All],[METRIC_VALUE]])*0.5))/100,"")</f>
        <v/>
      </c>
      <c r="J1229">
        <f>IF(ISNA(VLOOKUP(A1229,'CloseDL - PriceSaverBBT3'!A:E,5,0)),0,VLOOKUP(A1229,'CloseDL - PriceSaverBBT3'!A:E,5,0))</f>
        <v>0</v>
      </c>
      <c r="K1229" s="7" t="str">
        <f t="shared" si="183"/>
        <v/>
      </c>
      <c r="L1229" s="20">
        <f>IF(Close[[#This Row],[CreatedBy]]="MARINER\SilverAdm",1,0)</f>
        <v>1</v>
      </c>
      <c r="M1229" t="str">
        <f>IF(NOT(ISBLANK(A1229)),VLOOKUP(A1229,'Close - PriceSaver'!A:J,6,0),"")</f>
        <v/>
      </c>
      <c r="Q1229" t="e">
        <f t="shared" si="184"/>
        <v>#N/A</v>
      </c>
      <c r="R1229" t="e">
        <f t="shared" ref="R1229:R1292" si="185">VLOOKUP(P1229,A:B,2,0)</f>
        <v>#N/A</v>
      </c>
      <c r="S1229" t="e">
        <f t="shared" ref="S1229:S1292" si="186">VLOOKUP(P1229,A:E,4,0)</f>
        <v>#N/A</v>
      </c>
      <c r="T1229" s="15" t="e">
        <f t="shared" si="179"/>
        <v>#N/A</v>
      </c>
      <c r="U1229" s="18" t="e">
        <f t="shared" si="180"/>
        <v>#N/A</v>
      </c>
      <c r="V1229" s="14" t="e">
        <f t="shared" si="178"/>
        <v>#N/A</v>
      </c>
      <c r="W1229" s="19" t="e">
        <f t="shared" si="181"/>
        <v>#N/A</v>
      </c>
      <c r="X1229" t="e">
        <f>VLOOKUP(P1229,Close[[ID]:[CreatedBy]],8,0)</f>
        <v>#N/A</v>
      </c>
    </row>
    <row r="1230" spans="2:24" x14ac:dyDescent="0.35">
      <c r="B1230" t="str">
        <f>IF(NOT(ISBLANK(A1230)),VLOOKUP(A1230,'BBT3'!A:F,2,0),"")</f>
        <v/>
      </c>
      <c r="C1230" t="str">
        <f>IF(NOT(ISBLANK(A1230)),VLOOKUP(A1230,'BBT3'!A:F,3,0),"")</f>
        <v/>
      </c>
      <c r="D1230" s="5" t="str">
        <f>IF(NOT(ISBLANK(A1230)),VLOOKUP(A1230,'BBT3'!A:F,4,1),"")</f>
        <v/>
      </c>
      <c r="E1230" t="str">
        <f>IF(NOT(ISBLANK(A1230)),VLOOKUP(A1230,'BBT3'!A:F,5,0),"")</f>
        <v/>
      </c>
      <c r="F1230" t="str">
        <f>IF(NOT(ISBLANK(A1230)),VLOOKUP(A1230,'BBT3'!A:F,6,0),"")</f>
        <v/>
      </c>
      <c r="G1230" t="str">
        <f t="shared" si="182"/>
        <v/>
      </c>
      <c r="H1230" t="str">
        <f>IF(NOT(ISBLANK(A1230)),VLOOKUP(A1230,'Close - PriceSaver'!A:J,5,0),"")</f>
        <v/>
      </c>
      <c r="I1230" s="4" t="str" cm="1">
        <f t="array" ref="I1230">IF(NOT(ISBLANK(A1230)),((_xlfn.XLOOKUP(1,(_bbt3[[#All],[ID]]=A1230)*(_bbt3[[#All],[METRIC_NAME]]="YLD_YTM_ASK"),_bbt3[[#All],[METRIC_VALUE]])*0.5)+(_xlfn.XLOOKUP(1,(_bbt3[[#All],[ID]]=A1230)*(_bbt3[[#All],[METRIC_NAME]]="YLD_YTM_BID"),_bbt3[[#All],[METRIC_VALUE]])*0.5))/100,"")</f>
        <v/>
      </c>
      <c r="J1230">
        <f>IF(ISNA(VLOOKUP(A1230,'CloseDL - PriceSaverBBT3'!A:E,5,0)),0,VLOOKUP(A1230,'CloseDL - PriceSaverBBT3'!A:E,5,0))</f>
        <v>0</v>
      </c>
      <c r="K1230" s="7" t="str">
        <f t="shared" si="183"/>
        <v/>
      </c>
      <c r="L1230" s="20">
        <f>IF(Close[[#This Row],[CreatedBy]]="MARINER\SilverAdm",1,0)</f>
        <v>1</v>
      </c>
      <c r="M1230" t="str">
        <f>IF(NOT(ISBLANK(A1230)),VLOOKUP(A1230,'Close - PriceSaver'!A:J,6,0),"")</f>
        <v/>
      </c>
      <c r="Q1230" t="e">
        <f t="shared" si="184"/>
        <v>#N/A</v>
      </c>
      <c r="R1230" t="e">
        <f t="shared" si="185"/>
        <v>#N/A</v>
      </c>
      <c r="S1230" t="e">
        <f t="shared" si="186"/>
        <v>#N/A</v>
      </c>
      <c r="T1230" s="15" t="e">
        <f t="shared" si="179"/>
        <v>#N/A</v>
      </c>
      <c r="U1230" s="18" t="e">
        <f t="shared" si="180"/>
        <v>#N/A</v>
      </c>
      <c r="V1230" s="14" t="e">
        <f t="shared" ref="V1230:V1293" si="187">VLOOKUP(Q1230,A:K,10,0)</f>
        <v>#N/A</v>
      </c>
      <c r="W1230" s="19" t="e">
        <f t="shared" si="181"/>
        <v>#N/A</v>
      </c>
      <c r="X1230" t="e">
        <f>VLOOKUP(P1230,Close[[ID]:[CreatedBy]],8,0)</f>
        <v>#N/A</v>
      </c>
    </row>
    <row r="1231" spans="2:24" x14ac:dyDescent="0.35">
      <c r="B1231" t="str">
        <f>IF(NOT(ISBLANK(A1231)),VLOOKUP(A1231,'BBT3'!A:F,2,0),"")</f>
        <v/>
      </c>
      <c r="C1231" t="str">
        <f>IF(NOT(ISBLANK(A1231)),VLOOKUP(A1231,'BBT3'!A:F,3,0),"")</f>
        <v/>
      </c>
      <c r="D1231" s="5" t="str">
        <f>IF(NOT(ISBLANK(A1231)),VLOOKUP(A1231,'BBT3'!A:F,4,1),"")</f>
        <v/>
      </c>
      <c r="E1231" t="str">
        <f>IF(NOT(ISBLANK(A1231)),VLOOKUP(A1231,'BBT3'!A:F,5,0),"")</f>
        <v/>
      </c>
      <c r="F1231" t="str">
        <f>IF(NOT(ISBLANK(A1231)),VLOOKUP(A1231,'BBT3'!A:F,6,0),"")</f>
        <v/>
      </c>
      <c r="G1231" t="str">
        <f t="shared" si="182"/>
        <v/>
      </c>
      <c r="H1231" t="str">
        <f>IF(NOT(ISBLANK(A1231)),VLOOKUP(A1231,'Close - PriceSaver'!A:J,5,0),"")</f>
        <v/>
      </c>
      <c r="I1231" s="4" t="str" cm="1">
        <f t="array" ref="I1231">IF(NOT(ISBLANK(A1231)),((_xlfn.XLOOKUP(1,(_bbt3[[#All],[ID]]=A1231)*(_bbt3[[#All],[METRIC_NAME]]="YLD_YTM_ASK"),_bbt3[[#All],[METRIC_VALUE]])*0.5)+(_xlfn.XLOOKUP(1,(_bbt3[[#All],[ID]]=A1231)*(_bbt3[[#All],[METRIC_NAME]]="YLD_YTM_BID"),_bbt3[[#All],[METRIC_VALUE]])*0.5))/100,"")</f>
        <v/>
      </c>
      <c r="J1231">
        <f>IF(ISNA(VLOOKUP(A1231,'CloseDL - PriceSaverBBT3'!A:E,5,0)),0,VLOOKUP(A1231,'CloseDL - PriceSaverBBT3'!A:E,5,0))</f>
        <v>0</v>
      </c>
      <c r="K1231" s="7" t="str">
        <f t="shared" si="183"/>
        <v/>
      </c>
      <c r="L1231" s="20">
        <f>IF(Close[[#This Row],[CreatedBy]]="MARINER\SilverAdm",1,0)</f>
        <v>1</v>
      </c>
      <c r="M1231" t="str">
        <f>IF(NOT(ISBLANK(A1231)),VLOOKUP(A1231,'Close - PriceSaver'!A:J,6,0),"")</f>
        <v/>
      </c>
      <c r="Q1231" t="e">
        <f t="shared" si="184"/>
        <v>#N/A</v>
      </c>
      <c r="R1231" t="e">
        <f t="shared" si="185"/>
        <v>#N/A</v>
      </c>
      <c r="S1231" t="e">
        <f t="shared" si="186"/>
        <v>#N/A</v>
      </c>
      <c r="T1231" s="15" t="e">
        <f t="shared" si="179"/>
        <v>#N/A</v>
      </c>
      <c r="U1231" s="18" t="e">
        <f t="shared" si="180"/>
        <v>#N/A</v>
      </c>
      <c r="V1231" s="14" t="e">
        <f t="shared" si="187"/>
        <v>#N/A</v>
      </c>
      <c r="W1231" s="19" t="e">
        <f t="shared" si="181"/>
        <v>#N/A</v>
      </c>
      <c r="X1231" t="e">
        <f>VLOOKUP(P1231,Close[[ID]:[CreatedBy]],8,0)</f>
        <v>#N/A</v>
      </c>
    </row>
    <row r="1232" spans="2:24" x14ac:dyDescent="0.35">
      <c r="B1232" t="str">
        <f>IF(NOT(ISBLANK(A1232)),VLOOKUP(A1232,'BBT3'!A:F,2,0),"")</f>
        <v/>
      </c>
      <c r="C1232" t="str">
        <f>IF(NOT(ISBLANK(A1232)),VLOOKUP(A1232,'BBT3'!A:F,3,0),"")</f>
        <v/>
      </c>
      <c r="D1232" s="5" t="str">
        <f>IF(NOT(ISBLANK(A1232)),VLOOKUP(A1232,'BBT3'!A:F,4,1),"")</f>
        <v/>
      </c>
      <c r="E1232" t="str">
        <f>IF(NOT(ISBLANK(A1232)),VLOOKUP(A1232,'BBT3'!A:F,5,0),"")</f>
        <v/>
      </c>
      <c r="F1232" t="str">
        <f>IF(NOT(ISBLANK(A1232)),VLOOKUP(A1232,'BBT3'!A:F,6,0),"")</f>
        <v/>
      </c>
      <c r="G1232" t="str">
        <f t="shared" si="182"/>
        <v/>
      </c>
      <c r="H1232" t="str">
        <f>IF(NOT(ISBLANK(A1232)),VLOOKUP(A1232,'Close - PriceSaver'!A:J,5,0),"")</f>
        <v/>
      </c>
      <c r="I1232" s="4" t="str" cm="1">
        <f t="array" ref="I1232">IF(NOT(ISBLANK(A1232)),((_xlfn.XLOOKUP(1,(_bbt3[[#All],[ID]]=A1232)*(_bbt3[[#All],[METRIC_NAME]]="YLD_YTM_ASK"),_bbt3[[#All],[METRIC_VALUE]])*0.5)+(_xlfn.XLOOKUP(1,(_bbt3[[#All],[ID]]=A1232)*(_bbt3[[#All],[METRIC_NAME]]="YLD_YTM_BID"),_bbt3[[#All],[METRIC_VALUE]])*0.5))/100,"")</f>
        <v/>
      </c>
      <c r="J1232">
        <f>IF(ISNA(VLOOKUP(A1232,'CloseDL - PriceSaverBBT3'!A:E,5,0)),0,VLOOKUP(A1232,'CloseDL - PriceSaverBBT3'!A:E,5,0))</f>
        <v>0</v>
      </c>
      <c r="K1232" s="7" t="str">
        <f t="shared" si="183"/>
        <v/>
      </c>
      <c r="L1232" s="20">
        <f>IF(Close[[#This Row],[CreatedBy]]="MARINER\SilverAdm",1,0)</f>
        <v>1</v>
      </c>
      <c r="M1232" t="str">
        <f>IF(NOT(ISBLANK(A1232)),VLOOKUP(A1232,'Close - PriceSaver'!A:J,6,0),"")</f>
        <v/>
      </c>
      <c r="Q1232" t="e">
        <f t="shared" si="184"/>
        <v>#N/A</v>
      </c>
      <c r="R1232" t="e">
        <f t="shared" si="185"/>
        <v>#N/A</v>
      </c>
      <c r="S1232" t="e">
        <f t="shared" si="186"/>
        <v>#N/A</v>
      </c>
      <c r="T1232" s="15" t="e">
        <f t="shared" si="179"/>
        <v>#N/A</v>
      </c>
      <c r="U1232" s="18" t="e">
        <f t="shared" si="180"/>
        <v>#N/A</v>
      </c>
      <c r="V1232" s="14" t="e">
        <f t="shared" si="187"/>
        <v>#N/A</v>
      </c>
      <c r="W1232" s="19" t="e">
        <f t="shared" si="181"/>
        <v>#N/A</v>
      </c>
      <c r="X1232" t="e">
        <f>VLOOKUP(P1232,Close[[ID]:[CreatedBy]],8,0)</f>
        <v>#N/A</v>
      </c>
    </row>
    <row r="1233" spans="2:24" x14ac:dyDescent="0.35">
      <c r="B1233" t="str">
        <f>IF(NOT(ISBLANK(A1233)),VLOOKUP(A1233,'BBT3'!A:F,2,0),"")</f>
        <v/>
      </c>
      <c r="C1233" t="str">
        <f>IF(NOT(ISBLANK(A1233)),VLOOKUP(A1233,'BBT3'!A:F,3,0),"")</f>
        <v/>
      </c>
      <c r="D1233" s="5" t="str">
        <f>IF(NOT(ISBLANK(A1233)),VLOOKUP(A1233,'BBT3'!A:F,4,1),"")</f>
        <v/>
      </c>
      <c r="E1233" t="str">
        <f>IF(NOT(ISBLANK(A1233)),VLOOKUP(A1233,'BBT3'!A:F,5,0),"")</f>
        <v/>
      </c>
      <c r="F1233" t="str">
        <f>IF(NOT(ISBLANK(A1233)),VLOOKUP(A1233,'BBT3'!A:F,6,0),"")</f>
        <v/>
      </c>
      <c r="G1233" t="str">
        <f t="shared" si="182"/>
        <v/>
      </c>
      <c r="H1233" t="str">
        <f>IF(NOT(ISBLANK(A1233)),VLOOKUP(A1233,'Close - PriceSaver'!A:J,5,0),"")</f>
        <v/>
      </c>
      <c r="I1233" s="4" t="str" cm="1">
        <f t="array" ref="I1233">IF(NOT(ISBLANK(A1233)),((_xlfn.XLOOKUP(1,(_bbt3[[#All],[ID]]=A1233)*(_bbt3[[#All],[METRIC_NAME]]="YLD_YTM_ASK"),_bbt3[[#All],[METRIC_VALUE]])*0.5)+(_xlfn.XLOOKUP(1,(_bbt3[[#All],[ID]]=A1233)*(_bbt3[[#All],[METRIC_NAME]]="YLD_YTM_BID"),_bbt3[[#All],[METRIC_VALUE]])*0.5))/100,"")</f>
        <v/>
      </c>
      <c r="J1233">
        <f>IF(ISNA(VLOOKUP(A1233,'CloseDL - PriceSaverBBT3'!A:E,5,0)),0,VLOOKUP(A1233,'CloseDL - PriceSaverBBT3'!A:E,5,0))</f>
        <v>0</v>
      </c>
      <c r="K1233" s="7" t="str">
        <f t="shared" si="183"/>
        <v/>
      </c>
      <c r="L1233" s="20">
        <f>IF(Close[[#This Row],[CreatedBy]]="MARINER\SilverAdm",1,0)</f>
        <v>1</v>
      </c>
      <c r="M1233" t="str">
        <f>IF(NOT(ISBLANK(A1233)),VLOOKUP(A1233,'Close - PriceSaver'!A:J,6,0),"")</f>
        <v/>
      </c>
      <c r="Q1233" t="e">
        <f t="shared" si="184"/>
        <v>#N/A</v>
      </c>
      <c r="R1233" t="e">
        <f t="shared" si="185"/>
        <v>#N/A</v>
      </c>
      <c r="S1233" t="e">
        <f t="shared" si="186"/>
        <v>#N/A</v>
      </c>
      <c r="T1233" s="15" t="e">
        <f t="shared" si="179"/>
        <v>#N/A</v>
      </c>
      <c r="U1233" s="18" t="e">
        <f t="shared" si="180"/>
        <v>#N/A</v>
      </c>
      <c r="V1233" s="14" t="e">
        <f t="shared" si="187"/>
        <v>#N/A</v>
      </c>
      <c r="W1233" s="19" t="e">
        <f t="shared" si="181"/>
        <v>#N/A</v>
      </c>
      <c r="X1233" t="e">
        <f>VLOOKUP(P1233,Close[[ID]:[CreatedBy]],8,0)</f>
        <v>#N/A</v>
      </c>
    </row>
    <row r="1234" spans="2:24" x14ac:dyDescent="0.35">
      <c r="B1234" t="str">
        <f>IF(NOT(ISBLANK(A1234)),VLOOKUP(A1234,'BBT3'!A:F,2,0),"")</f>
        <v/>
      </c>
      <c r="C1234" t="str">
        <f>IF(NOT(ISBLANK(A1234)),VLOOKUP(A1234,'BBT3'!A:F,3,0),"")</f>
        <v/>
      </c>
      <c r="D1234" s="5" t="str">
        <f>IF(NOT(ISBLANK(A1234)),VLOOKUP(A1234,'BBT3'!A:F,4,1),"")</f>
        <v/>
      </c>
      <c r="E1234" t="str">
        <f>IF(NOT(ISBLANK(A1234)),VLOOKUP(A1234,'BBT3'!A:F,5,0),"")</f>
        <v/>
      </c>
      <c r="F1234" t="str">
        <f>IF(NOT(ISBLANK(A1234)),VLOOKUP(A1234,'BBT3'!A:F,6,0),"")</f>
        <v/>
      </c>
      <c r="G1234" t="str">
        <f t="shared" si="182"/>
        <v/>
      </c>
      <c r="H1234" t="str">
        <f>IF(NOT(ISBLANK(A1234)),VLOOKUP(A1234,'Close - PriceSaver'!A:J,5,0),"")</f>
        <v/>
      </c>
      <c r="I1234" s="4" t="str" cm="1">
        <f t="array" ref="I1234">IF(NOT(ISBLANK(A1234)),((_xlfn.XLOOKUP(1,(_bbt3[[#All],[ID]]=A1234)*(_bbt3[[#All],[METRIC_NAME]]="YLD_YTM_ASK"),_bbt3[[#All],[METRIC_VALUE]])*0.5)+(_xlfn.XLOOKUP(1,(_bbt3[[#All],[ID]]=A1234)*(_bbt3[[#All],[METRIC_NAME]]="YLD_YTM_BID"),_bbt3[[#All],[METRIC_VALUE]])*0.5))/100,"")</f>
        <v/>
      </c>
      <c r="J1234">
        <f>IF(ISNA(VLOOKUP(A1234,'CloseDL - PriceSaverBBT3'!A:E,5,0)),0,VLOOKUP(A1234,'CloseDL - PriceSaverBBT3'!A:E,5,0))</f>
        <v>0</v>
      </c>
      <c r="K1234" s="7" t="str">
        <f t="shared" si="183"/>
        <v/>
      </c>
      <c r="L1234" s="20">
        <f>IF(Close[[#This Row],[CreatedBy]]="MARINER\SilverAdm",1,0)</f>
        <v>1</v>
      </c>
      <c r="M1234" t="str">
        <f>IF(NOT(ISBLANK(A1234)),VLOOKUP(A1234,'Close - PriceSaver'!A:J,6,0),"")</f>
        <v/>
      </c>
      <c r="Q1234" t="e">
        <f t="shared" si="184"/>
        <v>#N/A</v>
      </c>
      <c r="R1234" t="e">
        <f t="shared" si="185"/>
        <v>#N/A</v>
      </c>
      <c r="S1234" t="e">
        <f t="shared" si="186"/>
        <v>#N/A</v>
      </c>
      <c r="T1234" s="15" t="e">
        <f t="shared" si="179"/>
        <v>#N/A</v>
      </c>
      <c r="U1234" s="18" t="e">
        <f t="shared" si="180"/>
        <v>#N/A</v>
      </c>
      <c r="V1234" s="14" t="e">
        <f t="shared" si="187"/>
        <v>#N/A</v>
      </c>
      <c r="W1234" s="19" t="e">
        <f t="shared" si="181"/>
        <v>#N/A</v>
      </c>
      <c r="X1234" t="e">
        <f>VLOOKUP(P1234,Close[[ID]:[CreatedBy]],8,0)</f>
        <v>#N/A</v>
      </c>
    </row>
    <row r="1235" spans="2:24" x14ac:dyDescent="0.35">
      <c r="B1235" t="str">
        <f>IF(NOT(ISBLANK(A1235)),VLOOKUP(A1235,'BBT3'!A:F,2,0),"")</f>
        <v/>
      </c>
      <c r="C1235" t="str">
        <f>IF(NOT(ISBLANK(A1235)),VLOOKUP(A1235,'BBT3'!A:F,3,0),"")</f>
        <v/>
      </c>
      <c r="D1235" s="5" t="str">
        <f>IF(NOT(ISBLANK(A1235)),VLOOKUP(A1235,'BBT3'!A:F,4,1),"")</f>
        <v/>
      </c>
      <c r="E1235" t="str">
        <f>IF(NOT(ISBLANK(A1235)),VLOOKUP(A1235,'BBT3'!A:F,5,0),"")</f>
        <v/>
      </c>
      <c r="F1235" t="str">
        <f>IF(NOT(ISBLANK(A1235)),VLOOKUP(A1235,'BBT3'!A:F,6,0),"")</f>
        <v/>
      </c>
      <c r="G1235" t="str">
        <f t="shared" si="182"/>
        <v/>
      </c>
      <c r="H1235" t="str">
        <f>IF(NOT(ISBLANK(A1235)),VLOOKUP(A1235,'Close - PriceSaver'!A:J,5,0),"")</f>
        <v/>
      </c>
      <c r="I1235" s="4" t="str" cm="1">
        <f t="array" ref="I1235">IF(NOT(ISBLANK(A1235)),((_xlfn.XLOOKUP(1,(_bbt3[[#All],[ID]]=A1235)*(_bbt3[[#All],[METRIC_NAME]]="YLD_YTM_ASK"),_bbt3[[#All],[METRIC_VALUE]])*0.5)+(_xlfn.XLOOKUP(1,(_bbt3[[#All],[ID]]=A1235)*(_bbt3[[#All],[METRIC_NAME]]="YLD_YTM_BID"),_bbt3[[#All],[METRIC_VALUE]])*0.5))/100,"")</f>
        <v/>
      </c>
      <c r="J1235">
        <f>IF(ISNA(VLOOKUP(A1235,'CloseDL - PriceSaverBBT3'!A:E,5,0)),0,VLOOKUP(A1235,'CloseDL - PriceSaverBBT3'!A:E,5,0))</f>
        <v>0</v>
      </c>
      <c r="K1235" s="7" t="str">
        <f t="shared" si="183"/>
        <v/>
      </c>
      <c r="L1235" s="20">
        <f>IF(Close[[#This Row],[CreatedBy]]="MARINER\SilverAdm",1,0)</f>
        <v>1</v>
      </c>
      <c r="M1235" t="str">
        <f>IF(NOT(ISBLANK(A1235)),VLOOKUP(A1235,'Close - PriceSaver'!A:J,6,0),"")</f>
        <v/>
      </c>
      <c r="Q1235" t="e">
        <f t="shared" si="184"/>
        <v>#N/A</v>
      </c>
      <c r="R1235" t="e">
        <f t="shared" si="185"/>
        <v>#N/A</v>
      </c>
      <c r="S1235" t="e">
        <f t="shared" si="186"/>
        <v>#N/A</v>
      </c>
      <c r="T1235" s="15" t="e">
        <f t="shared" si="179"/>
        <v>#N/A</v>
      </c>
      <c r="U1235" s="18" t="e">
        <f t="shared" si="180"/>
        <v>#N/A</v>
      </c>
      <c r="V1235" s="14" t="e">
        <f t="shared" si="187"/>
        <v>#N/A</v>
      </c>
      <c r="W1235" s="19" t="e">
        <f t="shared" si="181"/>
        <v>#N/A</v>
      </c>
      <c r="X1235" t="e">
        <f>VLOOKUP(P1235,Close[[ID]:[CreatedBy]],8,0)</f>
        <v>#N/A</v>
      </c>
    </row>
    <row r="1236" spans="2:24" x14ac:dyDescent="0.35">
      <c r="B1236" t="str">
        <f>IF(NOT(ISBLANK(A1236)),VLOOKUP(A1236,'BBT3'!A:F,2,0),"")</f>
        <v/>
      </c>
      <c r="C1236" t="str">
        <f>IF(NOT(ISBLANK(A1236)),VLOOKUP(A1236,'BBT3'!A:F,3,0),"")</f>
        <v/>
      </c>
      <c r="D1236" s="5" t="str">
        <f>IF(NOT(ISBLANK(A1236)),VLOOKUP(A1236,'BBT3'!A:F,4,1),"")</f>
        <v/>
      </c>
      <c r="E1236" t="str">
        <f>IF(NOT(ISBLANK(A1236)),VLOOKUP(A1236,'BBT3'!A:F,5,0),"")</f>
        <v/>
      </c>
      <c r="F1236" t="str">
        <f>IF(NOT(ISBLANK(A1236)),VLOOKUP(A1236,'BBT3'!A:F,6,0),"")</f>
        <v/>
      </c>
      <c r="G1236" t="str">
        <f t="shared" si="182"/>
        <v/>
      </c>
      <c r="H1236" t="str">
        <f>IF(NOT(ISBLANK(A1236)),VLOOKUP(A1236,'Close - PriceSaver'!A:J,5,0),"")</f>
        <v/>
      </c>
      <c r="I1236" s="4" t="str" cm="1">
        <f t="array" ref="I1236">IF(NOT(ISBLANK(A1236)),((_xlfn.XLOOKUP(1,(_bbt3[[#All],[ID]]=A1236)*(_bbt3[[#All],[METRIC_NAME]]="YLD_YTM_ASK"),_bbt3[[#All],[METRIC_VALUE]])*0.5)+(_xlfn.XLOOKUP(1,(_bbt3[[#All],[ID]]=A1236)*(_bbt3[[#All],[METRIC_NAME]]="YLD_YTM_BID"),_bbt3[[#All],[METRIC_VALUE]])*0.5))/100,"")</f>
        <v/>
      </c>
      <c r="J1236">
        <f>IF(ISNA(VLOOKUP(A1236,'CloseDL - PriceSaverBBT3'!A:E,5,0)),0,VLOOKUP(A1236,'CloseDL - PriceSaverBBT3'!A:E,5,0))</f>
        <v>0</v>
      </c>
      <c r="K1236" s="7" t="str">
        <f t="shared" si="183"/>
        <v/>
      </c>
      <c r="L1236" s="20">
        <f>IF(Close[[#This Row],[CreatedBy]]="MARINER\SilverAdm",1,0)</f>
        <v>1</v>
      </c>
      <c r="M1236" t="str">
        <f>IF(NOT(ISBLANK(A1236)),VLOOKUP(A1236,'Close - PriceSaver'!A:J,6,0),"")</f>
        <v/>
      </c>
      <c r="Q1236" t="e">
        <f t="shared" si="184"/>
        <v>#N/A</v>
      </c>
      <c r="R1236" t="e">
        <f t="shared" si="185"/>
        <v>#N/A</v>
      </c>
      <c r="S1236" t="e">
        <f t="shared" si="186"/>
        <v>#N/A</v>
      </c>
      <c r="T1236" s="15" t="e">
        <f t="shared" ref="T1236:T1299" si="188">VLOOKUP(Q1236,A:K,5,0)</f>
        <v>#N/A</v>
      </c>
      <c r="U1236" s="18" t="e">
        <f t="shared" ref="U1236:U1299" si="189">VLOOKUP(Q1236,A:K,8,0)</f>
        <v>#N/A</v>
      </c>
      <c r="V1236" s="14" t="e">
        <f t="shared" si="187"/>
        <v>#N/A</v>
      </c>
      <c r="W1236" s="19" t="e">
        <f t="shared" ref="W1236:W1299" si="190">(V1236-U1236)*100</f>
        <v>#N/A</v>
      </c>
      <c r="X1236" t="e">
        <f>VLOOKUP(P1236,Close[[ID]:[CreatedBy]],8,0)</f>
        <v>#N/A</v>
      </c>
    </row>
    <row r="1237" spans="2:24" x14ac:dyDescent="0.35">
      <c r="B1237" t="str">
        <f>IF(NOT(ISBLANK(A1237)),VLOOKUP(A1237,'BBT3'!A:F,2,0),"")</f>
        <v/>
      </c>
      <c r="C1237" t="str">
        <f>IF(NOT(ISBLANK(A1237)),VLOOKUP(A1237,'BBT3'!A:F,3,0),"")</f>
        <v/>
      </c>
      <c r="D1237" s="5" t="str">
        <f>IF(NOT(ISBLANK(A1237)),VLOOKUP(A1237,'BBT3'!A:F,4,1),"")</f>
        <v/>
      </c>
      <c r="E1237" t="str">
        <f>IF(NOT(ISBLANK(A1237)),VLOOKUP(A1237,'BBT3'!A:F,5,0),"")</f>
        <v/>
      </c>
      <c r="F1237" t="str">
        <f>IF(NOT(ISBLANK(A1237)),VLOOKUP(A1237,'BBT3'!A:F,6,0),"")</f>
        <v/>
      </c>
      <c r="G1237" t="str">
        <f t="shared" si="182"/>
        <v/>
      </c>
      <c r="H1237" t="str">
        <f>IF(NOT(ISBLANK(A1237)),VLOOKUP(A1237,'Close - PriceSaver'!A:J,5,0),"")</f>
        <v/>
      </c>
      <c r="I1237" s="4" t="str" cm="1">
        <f t="array" ref="I1237">IF(NOT(ISBLANK(A1237)),((_xlfn.XLOOKUP(1,(_bbt3[[#All],[ID]]=A1237)*(_bbt3[[#All],[METRIC_NAME]]="YLD_YTM_ASK"),_bbt3[[#All],[METRIC_VALUE]])*0.5)+(_xlfn.XLOOKUP(1,(_bbt3[[#All],[ID]]=A1237)*(_bbt3[[#All],[METRIC_NAME]]="YLD_YTM_BID"),_bbt3[[#All],[METRIC_VALUE]])*0.5))/100,"")</f>
        <v/>
      </c>
      <c r="J1237">
        <f>IF(ISNA(VLOOKUP(A1237,'CloseDL - PriceSaverBBT3'!A:E,5,0)),0,VLOOKUP(A1237,'CloseDL - PriceSaverBBT3'!A:E,5,0))</f>
        <v>0</v>
      </c>
      <c r="K1237" s="7" t="str">
        <f t="shared" si="183"/>
        <v/>
      </c>
      <c r="L1237" s="20">
        <f>IF(Close[[#This Row],[CreatedBy]]="MARINER\SilverAdm",1,0)</f>
        <v>1</v>
      </c>
      <c r="M1237" t="str">
        <f>IF(NOT(ISBLANK(A1237)),VLOOKUP(A1237,'Close - PriceSaver'!A:J,6,0),"")</f>
        <v/>
      </c>
      <c r="Q1237" t="e">
        <f t="shared" si="184"/>
        <v>#N/A</v>
      </c>
      <c r="R1237" t="e">
        <f t="shared" si="185"/>
        <v>#N/A</v>
      </c>
      <c r="S1237" t="e">
        <f t="shared" si="186"/>
        <v>#N/A</v>
      </c>
      <c r="T1237" s="15" t="e">
        <f t="shared" si="188"/>
        <v>#N/A</v>
      </c>
      <c r="U1237" s="18" t="e">
        <f t="shared" si="189"/>
        <v>#N/A</v>
      </c>
      <c r="V1237" s="14" t="e">
        <f t="shared" si="187"/>
        <v>#N/A</v>
      </c>
      <c r="W1237" s="19" t="e">
        <f t="shared" si="190"/>
        <v>#N/A</v>
      </c>
      <c r="X1237" t="e">
        <f>VLOOKUP(P1237,Close[[ID]:[CreatedBy]],8,0)</f>
        <v>#N/A</v>
      </c>
    </row>
    <row r="1238" spans="2:24" x14ac:dyDescent="0.35">
      <c r="B1238" t="str">
        <f>IF(NOT(ISBLANK(A1238)),VLOOKUP(A1238,'BBT3'!A:F,2,0),"")</f>
        <v/>
      </c>
      <c r="C1238" t="str">
        <f>IF(NOT(ISBLANK(A1238)),VLOOKUP(A1238,'BBT3'!A:F,3,0),"")</f>
        <v/>
      </c>
      <c r="D1238" s="5" t="str">
        <f>IF(NOT(ISBLANK(A1238)),VLOOKUP(A1238,'BBT3'!A:F,4,1),"")</f>
        <v/>
      </c>
      <c r="E1238" t="str">
        <f>IF(NOT(ISBLANK(A1238)),VLOOKUP(A1238,'BBT3'!A:F,5,0),"")</f>
        <v/>
      </c>
      <c r="F1238" t="str">
        <f>IF(NOT(ISBLANK(A1238)),VLOOKUP(A1238,'BBT3'!A:F,6,0),"")</f>
        <v/>
      </c>
      <c r="G1238" t="str">
        <f t="shared" si="182"/>
        <v/>
      </c>
      <c r="H1238" t="str">
        <f>IF(NOT(ISBLANK(A1238)),VLOOKUP(A1238,'Close - PriceSaver'!A:J,5,0),"")</f>
        <v/>
      </c>
      <c r="I1238" s="4" t="str" cm="1">
        <f t="array" ref="I1238">IF(NOT(ISBLANK(A1238)),((_xlfn.XLOOKUP(1,(_bbt3[[#All],[ID]]=A1238)*(_bbt3[[#All],[METRIC_NAME]]="YLD_YTM_ASK"),_bbt3[[#All],[METRIC_VALUE]])*0.5)+(_xlfn.XLOOKUP(1,(_bbt3[[#All],[ID]]=A1238)*(_bbt3[[#All],[METRIC_NAME]]="YLD_YTM_BID"),_bbt3[[#All],[METRIC_VALUE]])*0.5))/100,"")</f>
        <v/>
      </c>
      <c r="J1238">
        <f>IF(ISNA(VLOOKUP(A1238,'CloseDL - PriceSaverBBT3'!A:E,5,0)),0,VLOOKUP(A1238,'CloseDL - PriceSaverBBT3'!A:E,5,0))</f>
        <v>0</v>
      </c>
      <c r="K1238" s="7" t="str">
        <f t="shared" si="183"/>
        <v/>
      </c>
      <c r="L1238" s="20">
        <f>IF(Close[[#This Row],[CreatedBy]]="MARINER\SilverAdm",1,0)</f>
        <v>1</v>
      </c>
      <c r="M1238" t="str">
        <f>IF(NOT(ISBLANK(A1238)),VLOOKUP(A1238,'Close - PriceSaver'!A:J,6,0),"")</f>
        <v/>
      </c>
      <c r="Q1238" t="e">
        <f t="shared" si="184"/>
        <v>#N/A</v>
      </c>
      <c r="R1238" t="e">
        <f t="shared" si="185"/>
        <v>#N/A</v>
      </c>
      <c r="S1238" t="e">
        <f t="shared" si="186"/>
        <v>#N/A</v>
      </c>
      <c r="T1238" s="15" t="e">
        <f t="shared" si="188"/>
        <v>#N/A</v>
      </c>
      <c r="U1238" s="18" t="e">
        <f t="shared" si="189"/>
        <v>#N/A</v>
      </c>
      <c r="V1238" s="14" t="e">
        <f t="shared" si="187"/>
        <v>#N/A</v>
      </c>
      <c r="W1238" s="19" t="e">
        <f t="shared" si="190"/>
        <v>#N/A</v>
      </c>
      <c r="X1238" t="e">
        <f>VLOOKUP(P1238,Close[[ID]:[CreatedBy]],8,0)</f>
        <v>#N/A</v>
      </c>
    </row>
    <row r="1239" spans="2:24" x14ac:dyDescent="0.35">
      <c r="B1239" t="str">
        <f>IF(NOT(ISBLANK(A1239)),VLOOKUP(A1239,'BBT3'!A:F,2,0),"")</f>
        <v/>
      </c>
      <c r="C1239" t="str">
        <f>IF(NOT(ISBLANK(A1239)),VLOOKUP(A1239,'BBT3'!A:F,3,0),"")</f>
        <v/>
      </c>
      <c r="D1239" s="5" t="str">
        <f>IF(NOT(ISBLANK(A1239)),VLOOKUP(A1239,'BBT3'!A:F,4,1),"")</f>
        <v/>
      </c>
      <c r="E1239" t="str">
        <f>IF(NOT(ISBLANK(A1239)),VLOOKUP(A1239,'BBT3'!A:F,5,0),"")</f>
        <v/>
      </c>
      <c r="F1239" t="str">
        <f>IF(NOT(ISBLANK(A1239)),VLOOKUP(A1239,'BBT3'!A:F,6,0),"")</f>
        <v/>
      </c>
      <c r="G1239" t="str">
        <f t="shared" si="182"/>
        <v/>
      </c>
      <c r="H1239" t="str">
        <f>IF(NOT(ISBLANK(A1239)),VLOOKUP(A1239,'Close - PriceSaver'!A:J,5,0),"")</f>
        <v/>
      </c>
      <c r="I1239" s="4" t="str" cm="1">
        <f t="array" ref="I1239">IF(NOT(ISBLANK(A1239)),((_xlfn.XLOOKUP(1,(_bbt3[[#All],[ID]]=A1239)*(_bbt3[[#All],[METRIC_NAME]]="YLD_YTM_ASK"),_bbt3[[#All],[METRIC_VALUE]])*0.5)+(_xlfn.XLOOKUP(1,(_bbt3[[#All],[ID]]=A1239)*(_bbt3[[#All],[METRIC_NAME]]="YLD_YTM_BID"),_bbt3[[#All],[METRIC_VALUE]])*0.5))/100,"")</f>
        <v/>
      </c>
      <c r="J1239">
        <f>IF(ISNA(VLOOKUP(A1239,'CloseDL - PriceSaverBBT3'!A:E,5,0)),0,VLOOKUP(A1239,'CloseDL - PriceSaverBBT3'!A:E,5,0))</f>
        <v>0</v>
      </c>
      <c r="K1239" s="7" t="str">
        <f t="shared" si="183"/>
        <v/>
      </c>
      <c r="L1239" s="20">
        <f>IF(Close[[#This Row],[CreatedBy]]="MARINER\SilverAdm",1,0)</f>
        <v>1</v>
      </c>
      <c r="M1239" t="str">
        <f>IF(NOT(ISBLANK(A1239)),VLOOKUP(A1239,'Close - PriceSaver'!A:J,6,0),"")</f>
        <v/>
      </c>
      <c r="Q1239" t="e">
        <f t="shared" si="184"/>
        <v>#N/A</v>
      </c>
      <c r="R1239" t="e">
        <f t="shared" si="185"/>
        <v>#N/A</v>
      </c>
      <c r="S1239" t="e">
        <f t="shared" si="186"/>
        <v>#N/A</v>
      </c>
      <c r="T1239" s="15" t="e">
        <f t="shared" si="188"/>
        <v>#N/A</v>
      </c>
      <c r="U1239" s="18" t="e">
        <f t="shared" si="189"/>
        <v>#N/A</v>
      </c>
      <c r="V1239" s="14" t="e">
        <f t="shared" si="187"/>
        <v>#N/A</v>
      </c>
      <c r="W1239" s="19" t="e">
        <f t="shared" si="190"/>
        <v>#N/A</v>
      </c>
      <c r="X1239" t="e">
        <f>VLOOKUP(P1239,Close[[ID]:[CreatedBy]],8,0)</f>
        <v>#N/A</v>
      </c>
    </row>
    <row r="1240" spans="2:24" x14ac:dyDescent="0.35">
      <c r="B1240" t="str">
        <f>IF(NOT(ISBLANK(A1240)),VLOOKUP(A1240,'BBT3'!A:F,2,0),"")</f>
        <v/>
      </c>
      <c r="C1240" t="str">
        <f>IF(NOT(ISBLANK(A1240)),VLOOKUP(A1240,'BBT3'!A:F,3,0),"")</f>
        <v/>
      </c>
      <c r="D1240" s="5" t="str">
        <f>IF(NOT(ISBLANK(A1240)),VLOOKUP(A1240,'BBT3'!A:F,4,1),"")</f>
        <v/>
      </c>
      <c r="E1240" t="str">
        <f>IF(NOT(ISBLANK(A1240)),VLOOKUP(A1240,'BBT3'!A:F,5,0),"")</f>
        <v/>
      </c>
      <c r="F1240" t="str">
        <f>IF(NOT(ISBLANK(A1240)),VLOOKUP(A1240,'BBT3'!A:F,6,0),"")</f>
        <v/>
      </c>
      <c r="G1240" t="str">
        <f t="shared" si="182"/>
        <v/>
      </c>
      <c r="H1240" t="str">
        <f>IF(NOT(ISBLANK(A1240)),VLOOKUP(A1240,'Close - PriceSaver'!A:J,5,0),"")</f>
        <v/>
      </c>
      <c r="I1240" s="4" t="str" cm="1">
        <f t="array" ref="I1240">IF(NOT(ISBLANK(A1240)),((_xlfn.XLOOKUP(1,(_bbt3[[#All],[ID]]=A1240)*(_bbt3[[#All],[METRIC_NAME]]="YLD_YTM_ASK"),_bbt3[[#All],[METRIC_VALUE]])*0.5)+(_xlfn.XLOOKUP(1,(_bbt3[[#All],[ID]]=A1240)*(_bbt3[[#All],[METRIC_NAME]]="YLD_YTM_BID"),_bbt3[[#All],[METRIC_VALUE]])*0.5))/100,"")</f>
        <v/>
      </c>
      <c r="J1240">
        <f>IF(ISNA(VLOOKUP(A1240,'CloseDL - PriceSaverBBT3'!A:E,5,0)),0,VLOOKUP(A1240,'CloseDL - PriceSaverBBT3'!A:E,5,0))</f>
        <v>0</v>
      </c>
      <c r="K1240" s="7" t="str">
        <f t="shared" si="183"/>
        <v/>
      </c>
      <c r="L1240" s="20">
        <f>IF(Close[[#This Row],[CreatedBy]]="MARINER\SilverAdm",1,0)</f>
        <v>1</v>
      </c>
      <c r="M1240" t="str">
        <f>IF(NOT(ISBLANK(A1240)),VLOOKUP(A1240,'Close - PriceSaver'!A:J,6,0),"")</f>
        <v/>
      </c>
      <c r="Q1240" t="e">
        <f t="shared" si="184"/>
        <v>#N/A</v>
      </c>
      <c r="R1240" t="e">
        <f t="shared" si="185"/>
        <v>#N/A</v>
      </c>
      <c r="S1240" t="e">
        <f t="shared" si="186"/>
        <v>#N/A</v>
      </c>
      <c r="T1240" s="15" t="e">
        <f t="shared" si="188"/>
        <v>#N/A</v>
      </c>
      <c r="U1240" s="18" t="e">
        <f t="shared" si="189"/>
        <v>#N/A</v>
      </c>
      <c r="V1240" s="14" t="e">
        <f t="shared" si="187"/>
        <v>#N/A</v>
      </c>
      <c r="W1240" s="19" t="e">
        <f t="shared" si="190"/>
        <v>#N/A</v>
      </c>
      <c r="X1240" t="e">
        <f>VLOOKUP(P1240,Close[[ID]:[CreatedBy]],8,0)</f>
        <v>#N/A</v>
      </c>
    </row>
    <row r="1241" spans="2:24" x14ac:dyDescent="0.35">
      <c r="B1241" t="str">
        <f>IF(NOT(ISBLANK(A1241)),VLOOKUP(A1241,'BBT3'!A:F,2,0),"")</f>
        <v/>
      </c>
      <c r="C1241" t="str">
        <f>IF(NOT(ISBLANK(A1241)),VLOOKUP(A1241,'BBT3'!A:F,3,0),"")</f>
        <v/>
      </c>
      <c r="D1241" s="5" t="str">
        <f>IF(NOT(ISBLANK(A1241)),VLOOKUP(A1241,'BBT3'!A:F,4,1),"")</f>
        <v/>
      </c>
      <c r="E1241" t="str">
        <f>IF(NOT(ISBLANK(A1241)),VLOOKUP(A1241,'BBT3'!A:F,5,0),"")</f>
        <v/>
      </c>
      <c r="F1241" t="str">
        <f>IF(NOT(ISBLANK(A1241)),VLOOKUP(A1241,'BBT3'!A:F,6,0),"")</f>
        <v/>
      </c>
      <c r="G1241" t="str">
        <f t="shared" si="182"/>
        <v/>
      </c>
      <c r="H1241" t="str">
        <f>IF(NOT(ISBLANK(A1241)),VLOOKUP(A1241,'Close - PriceSaver'!A:J,5,0),"")</f>
        <v/>
      </c>
      <c r="I1241" s="4" t="str" cm="1">
        <f t="array" ref="I1241">IF(NOT(ISBLANK(A1241)),((_xlfn.XLOOKUP(1,(_bbt3[[#All],[ID]]=A1241)*(_bbt3[[#All],[METRIC_NAME]]="YLD_YTM_ASK"),_bbt3[[#All],[METRIC_VALUE]])*0.5)+(_xlfn.XLOOKUP(1,(_bbt3[[#All],[ID]]=A1241)*(_bbt3[[#All],[METRIC_NAME]]="YLD_YTM_BID"),_bbt3[[#All],[METRIC_VALUE]])*0.5))/100,"")</f>
        <v/>
      </c>
      <c r="J1241">
        <f>IF(ISNA(VLOOKUP(A1241,'CloseDL - PriceSaverBBT3'!A:E,5,0)),0,VLOOKUP(A1241,'CloseDL - PriceSaverBBT3'!A:E,5,0))</f>
        <v>0</v>
      </c>
      <c r="K1241" s="7" t="str">
        <f t="shared" si="183"/>
        <v/>
      </c>
      <c r="L1241" s="20">
        <f>IF(Close[[#This Row],[CreatedBy]]="MARINER\SilverAdm",1,0)</f>
        <v>1</v>
      </c>
      <c r="M1241" t="str">
        <f>IF(NOT(ISBLANK(A1241)),VLOOKUP(A1241,'Close - PriceSaver'!A:J,6,0),"")</f>
        <v/>
      </c>
      <c r="Q1241" t="e">
        <f t="shared" si="184"/>
        <v>#N/A</v>
      </c>
      <c r="R1241" t="e">
        <f t="shared" si="185"/>
        <v>#N/A</v>
      </c>
      <c r="S1241" t="e">
        <f t="shared" si="186"/>
        <v>#N/A</v>
      </c>
      <c r="T1241" s="15" t="e">
        <f t="shared" si="188"/>
        <v>#N/A</v>
      </c>
      <c r="U1241" s="18" t="e">
        <f t="shared" si="189"/>
        <v>#N/A</v>
      </c>
      <c r="V1241" s="14" t="e">
        <f t="shared" si="187"/>
        <v>#N/A</v>
      </c>
      <c r="W1241" s="19" t="e">
        <f t="shared" si="190"/>
        <v>#N/A</v>
      </c>
      <c r="X1241" t="e">
        <f>VLOOKUP(P1241,Close[[ID]:[CreatedBy]],8,0)</f>
        <v>#N/A</v>
      </c>
    </row>
    <row r="1242" spans="2:24" x14ac:dyDescent="0.35">
      <c r="B1242" t="str">
        <f>IF(NOT(ISBLANK(A1242)),VLOOKUP(A1242,'BBT3'!A:F,2,0),"")</f>
        <v/>
      </c>
      <c r="C1242" t="str">
        <f>IF(NOT(ISBLANK(A1242)),VLOOKUP(A1242,'BBT3'!A:F,3,0),"")</f>
        <v/>
      </c>
      <c r="D1242" s="5" t="str">
        <f>IF(NOT(ISBLANK(A1242)),VLOOKUP(A1242,'BBT3'!A:F,4,1),"")</f>
        <v/>
      </c>
      <c r="E1242" t="str">
        <f>IF(NOT(ISBLANK(A1242)),VLOOKUP(A1242,'BBT3'!A:F,5,0),"")</f>
        <v/>
      </c>
      <c r="F1242" t="str">
        <f>IF(NOT(ISBLANK(A1242)),VLOOKUP(A1242,'BBT3'!A:F,6,0),"")</f>
        <v/>
      </c>
      <c r="G1242" t="str">
        <f t="shared" si="182"/>
        <v/>
      </c>
      <c r="H1242" t="str">
        <f>IF(NOT(ISBLANK(A1242)),VLOOKUP(A1242,'Close - PriceSaver'!A:J,5,0),"")</f>
        <v/>
      </c>
      <c r="I1242" s="4" t="str" cm="1">
        <f t="array" ref="I1242">IF(NOT(ISBLANK(A1242)),((_xlfn.XLOOKUP(1,(_bbt3[[#All],[ID]]=A1242)*(_bbt3[[#All],[METRIC_NAME]]="YLD_YTM_ASK"),_bbt3[[#All],[METRIC_VALUE]])*0.5)+(_xlfn.XLOOKUP(1,(_bbt3[[#All],[ID]]=A1242)*(_bbt3[[#All],[METRIC_NAME]]="YLD_YTM_BID"),_bbt3[[#All],[METRIC_VALUE]])*0.5))/100,"")</f>
        <v/>
      </c>
      <c r="J1242">
        <f>IF(ISNA(VLOOKUP(A1242,'CloseDL - PriceSaverBBT3'!A:E,5,0)),0,VLOOKUP(A1242,'CloseDL - PriceSaverBBT3'!A:E,5,0))</f>
        <v>0</v>
      </c>
      <c r="K1242" s="7" t="str">
        <f t="shared" si="183"/>
        <v/>
      </c>
      <c r="L1242" s="20">
        <f>IF(Close[[#This Row],[CreatedBy]]="MARINER\SilverAdm",1,0)</f>
        <v>1</v>
      </c>
      <c r="M1242" t="str">
        <f>IF(NOT(ISBLANK(A1242)),VLOOKUP(A1242,'Close - PriceSaver'!A:J,6,0),"")</f>
        <v/>
      </c>
      <c r="Q1242" t="e">
        <f t="shared" si="184"/>
        <v>#N/A</v>
      </c>
      <c r="R1242" t="e">
        <f t="shared" si="185"/>
        <v>#N/A</v>
      </c>
      <c r="S1242" t="e">
        <f t="shared" si="186"/>
        <v>#N/A</v>
      </c>
      <c r="T1242" s="15" t="e">
        <f t="shared" si="188"/>
        <v>#N/A</v>
      </c>
      <c r="U1242" s="18" t="e">
        <f t="shared" si="189"/>
        <v>#N/A</v>
      </c>
      <c r="V1242" s="14" t="e">
        <f t="shared" si="187"/>
        <v>#N/A</v>
      </c>
      <c r="W1242" s="19" t="e">
        <f t="shared" si="190"/>
        <v>#N/A</v>
      </c>
      <c r="X1242" t="e">
        <f>VLOOKUP(P1242,Close[[ID]:[CreatedBy]],8,0)</f>
        <v>#N/A</v>
      </c>
    </row>
    <row r="1243" spans="2:24" x14ac:dyDescent="0.35">
      <c r="B1243" t="str">
        <f>IF(NOT(ISBLANK(A1243)),VLOOKUP(A1243,'BBT3'!A:F,2,0),"")</f>
        <v/>
      </c>
      <c r="C1243" t="str">
        <f>IF(NOT(ISBLANK(A1243)),VLOOKUP(A1243,'BBT3'!A:F,3,0),"")</f>
        <v/>
      </c>
      <c r="D1243" s="5" t="str">
        <f>IF(NOT(ISBLANK(A1243)),VLOOKUP(A1243,'BBT3'!A:F,4,1),"")</f>
        <v/>
      </c>
      <c r="E1243" t="str">
        <f>IF(NOT(ISBLANK(A1243)),VLOOKUP(A1243,'BBT3'!A:F,5,0),"")</f>
        <v/>
      </c>
      <c r="F1243" t="str">
        <f>IF(NOT(ISBLANK(A1243)),VLOOKUP(A1243,'BBT3'!A:F,6,0),"")</f>
        <v/>
      </c>
      <c r="G1243" t="str">
        <f t="shared" si="182"/>
        <v/>
      </c>
      <c r="H1243" t="str">
        <f>IF(NOT(ISBLANK(A1243)),VLOOKUP(A1243,'Close - PriceSaver'!A:J,5,0),"")</f>
        <v/>
      </c>
      <c r="I1243" s="4" t="str" cm="1">
        <f t="array" ref="I1243">IF(NOT(ISBLANK(A1243)),((_xlfn.XLOOKUP(1,(_bbt3[[#All],[ID]]=A1243)*(_bbt3[[#All],[METRIC_NAME]]="YLD_YTM_ASK"),_bbt3[[#All],[METRIC_VALUE]])*0.5)+(_xlfn.XLOOKUP(1,(_bbt3[[#All],[ID]]=A1243)*(_bbt3[[#All],[METRIC_NAME]]="YLD_YTM_BID"),_bbt3[[#All],[METRIC_VALUE]])*0.5))/100,"")</f>
        <v/>
      </c>
      <c r="J1243">
        <f>IF(ISNA(VLOOKUP(A1243,'CloseDL - PriceSaverBBT3'!A:E,5,0)),0,VLOOKUP(A1243,'CloseDL - PriceSaverBBT3'!A:E,5,0))</f>
        <v>0</v>
      </c>
      <c r="K1243" s="7" t="str">
        <f t="shared" si="183"/>
        <v/>
      </c>
      <c r="L1243" s="20">
        <f>IF(Close[[#This Row],[CreatedBy]]="MARINER\SilverAdm",1,0)</f>
        <v>1</v>
      </c>
      <c r="M1243" t="str">
        <f>IF(NOT(ISBLANK(A1243)),VLOOKUP(A1243,'Close - PriceSaver'!A:J,6,0),"")</f>
        <v/>
      </c>
      <c r="Q1243" t="e">
        <f t="shared" si="184"/>
        <v>#N/A</v>
      </c>
      <c r="R1243" t="e">
        <f t="shared" si="185"/>
        <v>#N/A</v>
      </c>
      <c r="S1243" t="e">
        <f t="shared" si="186"/>
        <v>#N/A</v>
      </c>
      <c r="T1243" s="15" t="e">
        <f t="shared" si="188"/>
        <v>#N/A</v>
      </c>
      <c r="U1243" s="18" t="e">
        <f t="shared" si="189"/>
        <v>#N/A</v>
      </c>
      <c r="V1243" s="14" t="e">
        <f t="shared" si="187"/>
        <v>#N/A</v>
      </c>
      <c r="W1243" s="19" t="e">
        <f t="shared" si="190"/>
        <v>#N/A</v>
      </c>
      <c r="X1243" t="e">
        <f>VLOOKUP(P1243,Close[[ID]:[CreatedBy]],8,0)</f>
        <v>#N/A</v>
      </c>
    </row>
    <row r="1244" spans="2:24" x14ac:dyDescent="0.35">
      <c r="B1244" t="str">
        <f>IF(NOT(ISBLANK(A1244)),VLOOKUP(A1244,'BBT3'!A:F,2,0),"")</f>
        <v/>
      </c>
      <c r="C1244" t="str">
        <f>IF(NOT(ISBLANK(A1244)),VLOOKUP(A1244,'BBT3'!A:F,3,0),"")</f>
        <v/>
      </c>
      <c r="D1244" s="5" t="str">
        <f>IF(NOT(ISBLANK(A1244)),VLOOKUP(A1244,'BBT3'!A:F,4,1),"")</f>
        <v/>
      </c>
      <c r="E1244" t="str">
        <f>IF(NOT(ISBLANK(A1244)),VLOOKUP(A1244,'BBT3'!A:F,5,0),"")</f>
        <v/>
      </c>
      <c r="F1244" t="str">
        <f>IF(NOT(ISBLANK(A1244)),VLOOKUP(A1244,'BBT3'!A:F,6,0),"")</f>
        <v/>
      </c>
      <c r="G1244" t="str">
        <f t="shared" si="182"/>
        <v/>
      </c>
      <c r="H1244" t="str">
        <f>IF(NOT(ISBLANK(A1244)),VLOOKUP(A1244,'Close - PriceSaver'!A:J,5,0),"")</f>
        <v/>
      </c>
      <c r="I1244" s="4" t="str" cm="1">
        <f t="array" ref="I1244">IF(NOT(ISBLANK(A1244)),((_xlfn.XLOOKUP(1,(_bbt3[[#All],[ID]]=A1244)*(_bbt3[[#All],[METRIC_NAME]]="YLD_YTM_ASK"),_bbt3[[#All],[METRIC_VALUE]])*0.5)+(_xlfn.XLOOKUP(1,(_bbt3[[#All],[ID]]=A1244)*(_bbt3[[#All],[METRIC_NAME]]="YLD_YTM_BID"),_bbt3[[#All],[METRIC_VALUE]])*0.5))/100,"")</f>
        <v/>
      </c>
      <c r="J1244">
        <f>IF(ISNA(VLOOKUP(A1244,'CloseDL - PriceSaverBBT3'!A:E,5,0)),0,VLOOKUP(A1244,'CloseDL - PriceSaverBBT3'!A:E,5,0))</f>
        <v>0</v>
      </c>
      <c r="K1244" s="7" t="str">
        <f t="shared" si="183"/>
        <v/>
      </c>
      <c r="L1244" s="20">
        <f>IF(Close[[#This Row],[CreatedBy]]="MARINER\SilverAdm",1,0)</f>
        <v>1</v>
      </c>
      <c r="M1244" t="str">
        <f>IF(NOT(ISBLANK(A1244)),VLOOKUP(A1244,'Close - PriceSaver'!A:J,6,0),"")</f>
        <v/>
      </c>
      <c r="Q1244" t="e">
        <f t="shared" si="184"/>
        <v>#N/A</v>
      </c>
      <c r="R1244" t="e">
        <f t="shared" si="185"/>
        <v>#N/A</v>
      </c>
      <c r="S1244" t="e">
        <f t="shared" si="186"/>
        <v>#N/A</v>
      </c>
      <c r="T1244" s="15" t="e">
        <f t="shared" si="188"/>
        <v>#N/A</v>
      </c>
      <c r="U1244" s="18" t="e">
        <f t="shared" si="189"/>
        <v>#N/A</v>
      </c>
      <c r="V1244" s="14" t="e">
        <f t="shared" si="187"/>
        <v>#N/A</v>
      </c>
      <c r="W1244" s="19" t="e">
        <f t="shared" si="190"/>
        <v>#N/A</v>
      </c>
      <c r="X1244" t="e">
        <f>VLOOKUP(P1244,Close[[ID]:[CreatedBy]],8,0)</f>
        <v>#N/A</v>
      </c>
    </row>
    <row r="1245" spans="2:24" x14ac:dyDescent="0.35">
      <c r="B1245" t="str">
        <f>IF(NOT(ISBLANK(A1245)),VLOOKUP(A1245,'BBT3'!A:F,2,0),"")</f>
        <v/>
      </c>
      <c r="C1245" t="str">
        <f>IF(NOT(ISBLANK(A1245)),VLOOKUP(A1245,'BBT3'!A:F,3,0),"")</f>
        <v/>
      </c>
      <c r="D1245" s="5" t="str">
        <f>IF(NOT(ISBLANK(A1245)),VLOOKUP(A1245,'BBT3'!A:F,4,1),"")</f>
        <v/>
      </c>
      <c r="E1245" t="str">
        <f>IF(NOT(ISBLANK(A1245)),VLOOKUP(A1245,'BBT3'!A:F,5,0),"")</f>
        <v/>
      </c>
      <c r="F1245" t="str">
        <f>IF(NOT(ISBLANK(A1245)),VLOOKUP(A1245,'BBT3'!A:F,6,0),"")</f>
        <v/>
      </c>
      <c r="G1245" t="str">
        <f t="shared" si="182"/>
        <v/>
      </c>
      <c r="H1245" t="str">
        <f>IF(NOT(ISBLANK(A1245)),VLOOKUP(A1245,'Close - PriceSaver'!A:J,5,0),"")</f>
        <v/>
      </c>
      <c r="I1245" s="4" t="str" cm="1">
        <f t="array" ref="I1245">IF(NOT(ISBLANK(A1245)),((_xlfn.XLOOKUP(1,(_bbt3[[#All],[ID]]=A1245)*(_bbt3[[#All],[METRIC_NAME]]="YLD_YTM_ASK"),_bbt3[[#All],[METRIC_VALUE]])*0.5)+(_xlfn.XLOOKUP(1,(_bbt3[[#All],[ID]]=A1245)*(_bbt3[[#All],[METRIC_NAME]]="YLD_YTM_BID"),_bbt3[[#All],[METRIC_VALUE]])*0.5))/100,"")</f>
        <v/>
      </c>
      <c r="J1245">
        <f>IF(ISNA(VLOOKUP(A1245,'CloseDL - PriceSaverBBT3'!A:E,5,0)),0,VLOOKUP(A1245,'CloseDL - PriceSaverBBT3'!A:E,5,0))</f>
        <v>0</v>
      </c>
      <c r="K1245" s="7" t="str">
        <f t="shared" si="183"/>
        <v/>
      </c>
      <c r="L1245" s="20">
        <f>IF(Close[[#This Row],[CreatedBy]]="MARINER\SilverAdm",1,0)</f>
        <v>1</v>
      </c>
      <c r="M1245" t="str">
        <f>IF(NOT(ISBLANK(A1245)),VLOOKUP(A1245,'Close - PriceSaver'!A:J,6,0),"")</f>
        <v/>
      </c>
      <c r="Q1245" t="e">
        <f t="shared" si="184"/>
        <v>#N/A</v>
      </c>
      <c r="R1245" t="e">
        <f t="shared" si="185"/>
        <v>#N/A</v>
      </c>
      <c r="S1245" t="e">
        <f t="shared" si="186"/>
        <v>#N/A</v>
      </c>
      <c r="T1245" s="15" t="e">
        <f t="shared" si="188"/>
        <v>#N/A</v>
      </c>
      <c r="U1245" s="18" t="e">
        <f t="shared" si="189"/>
        <v>#N/A</v>
      </c>
      <c r="V1245" s="14" t="e">
        <f t="shared" si="187"/>
        <v>#N/A</v>
      </c>
      <c r="W1245" s="19" t="e">
        <f t="shared" si="190"/>
        <v>#N/A</v>
      </c>
      <c r="X1245" t="e">
        <f>VLOOKUP(P1245,Close[[ID]:[CreatedBy]],8,0)</f>
        <v>#N/A</v>
      </c>
    </row>
    <row r="1246" spans="2:24" x14ac:dyDescent="0.35">
      <c r="B1246" t="str">
        <f>IF(NOT(ISBLANK(A1246)),VLOOKUP(A1246,'BBT3'!A:F,2,0),"")</f>
        <v/>
      </c>
      <c r="C1246" t="str">
        <f>IF(NOT(ISBLANK(A1246)),VLOOKUP(A1246,'BBT3'!A:F,3,0),"")</f>
        <v/>
      </c>
      <c r="D1246" s="5" t="str">
        <f>IF(NOT(ISBLANK(A1246)),VLOOKUP(A1246,'BBT3'!A:F,4,1),"")</f>
        <v/>
      </c>
      <c r="E1246" t="str">
        <f>IF(NOT(ISBLANK(A1246)),VLOOKUP(A1246,'BBT3'!A:F,5,0),"")</f>
        <v/>
      </c>
      <c r="F1246" t="str">
        <f>IF(NOT(ISBLANK(A1246)),VLOOKUP(A1246,'BBT3'!A:F,6,0),"")</f>
        <v/>
      </c>
      <c r="G1246" t="str">
        <f t="shared" si="182"/>
        <v/>
      </c>
      <c r="H1246" t="str">
        <f>IF(NOT(ISBLANK(A1246)),VLOOKUP(A1246,'Close - PriceSaver'!A:J,5,0),"")</f>
        <v/>
      </c>
      <c r="I1246" s="4" t="str" cm="1">
        <f t="array" ref="I1246">IF(NOT(ISBLANK(A1246)),((_xlfn.XLOOKUP(1,(_bbt3[[#All],[ID]]=A1246)*(_bbt3[[#All],[METRIC_NAME]]="YLD_YTM_ASK"),_bbt3[[#All],[METRIC_VALUE]])*0.5)+(_xlfn.XLOOKUP(1,(_bbt3[[#All],[ID]]=A1246)*(_bbt3[[#All],[METRIC_NAME]]="YLD_YTM_BID"),_bbt3[[#All],[METRIC_VALUE]])*0.5))/100,"")</f>
        <v/>
      </c>
      <c r="J1246">
        <f>IF(ISNA(VLOOKUP(A1246,'CloseDL - PriceSaverBBT3'!A:E,5,0)),0,VLOOKUP(A1246,'CloseDL - PriceSaverBBT3'!A:E,5,0))</f>
        <v>0</v>
      </c>
      <c r="K1246" s="7" t="str">
        <f t="shared" si="183"/>
        <v/>
      </c>
      <c r="L1246" s="20">
        <f>IF(Close[[#This Row],[CreatedBy]]="MARINER\SilverAdm",1,0)</f>
        <v>1</v>
      </c>
      <c r="M1246" t="str">
        <f>IF(NOT(ISBLANK(A1246)),VLOOKUP(A1246,'Close - PriceSaver'!A:J,6,0),"")</f>
        <v/>
      </c>
      <c r="Q1246" t="e">
        <f t="shared" si="184"/>
        <v>#N/A</v>
      </c>
      <c r="R1246" t="e">
        <f t="shared" si="185"/>
        <v>#N/A</v>
      </c>
      <c r="S1246" t="e">
        <f t="shared" si="186"/>
        <v>#N/A</v>
      </c>
      <c r="T1246" s="15" t="e">
        <f t="shared" si="188"/>
        <v>#N/A</v>
      </c>
      <c r="U1246" s="18" t="e">
        <f t="shared" si="189"/>
        <v>#N/A</v>
      </c>
      <c r="V1246" s="14" t="e">
        <f t="shared" si="187"/>
        <v>#N/A</v>
      </c>
      <c r="W1246" s="19" t="e">
        <f t="shared" si="190"/>
        <v>#N/A</v>
      </c>
      <c r="X1246" t="e">
        <f>VLOOKUP(P1246,Close[[ID]:[CreatedBy]],8,0)</f>
        <v>#N/A</v>
      </c>
    </row>
    <row r="1247" spans="2:24" x14ac:dyDescent="0.35">
      <c r="B1247" t="str">
        <f>IF(NOT(ISBLANK(A1247)),VLOOKUP(A1247,'BBT3'!A:F,2,0),"")</f>
        <v/>
      </c>
      <c r="C1247" t="str">
        <f>IF(NOT(ISBLANK(A1247)),VLOOKUP(A1247,'BBT3'!A:F,3,0),"")</f>
        <v/>
      </c>
      <c r="D1247" s="5" t="str">
        <f>IF(NOT(ISBLANK(A1247)),VLOOKUP(A1247,'BBT3'!A:F,4,1),"")</f>
        <v/>
      </c>
      <c r="E1247" t="str">
        <f>IF(NOT(ISBLANK(A1247)),VLOOKUP(A1247,'BBT3'!A:F,5,0),"")</f>
        <v/>
      </c>
      <c r="F1247" t="str">
        <f>IF(NOT(ISBLANK(A1247)),VLOOKUP(A1247,'BBT3'!A:F,6,0),"")</f>
        <v/>
      </c>
      <c r="G1247" t="str">
        <f t="shared" si="182"/>
        <v/>
      </c>
      <c r="H1247" t="str">
        <f>IF(NOT(ISBLANK(A1247)),VLOOKUP(A1247,'Close - PriceSaver'!A:J,5,0),"")</f>
        <v/>
      </c>
      <c r="I1247" s="4" t="str" cm="1">
        <f t="array" ref="I1247">IF(NOT(ISBLANK(A1247)),((_xlfn.XLOOKUP(1,(_bbt3[[#All],[ID]]=A1247)*(_bbt3[[#All],[METRIC_NAME]]="YLD_YTM_ASK"),_bbt3[[#All],[METRIC_VALUE]])*0.5)+(_xlfn.XLOOKUP(1,(_bbt3[[#All],[ID]]=A1247)*(_bbt3[[#All],[METRIC_NAME]]="YLD_YTM_BID"),_bbt3[[#All],[METRIC_VALUE]])*0.5))/100,"")</f>
        <v/>
      </c>
      <c r="J1247">
        <f>IF(ISNA(VLOOKUP(A1247,'CloseDL - PriceSaverBBT3'!A:E,5,0)),0,VLOOKUP(A1247,'CloseDL - PriceSaverBBT3'!A:E,5,0))</f>
        <v>0</v>
      </c>
      <c r="K1247" s="7" t="str">
        <f t="shared" si="183"/>
        <v/>
      </c>
      <c r="L1247" s="20">
        <f>IF(Close[[#This Row],[CreatedBy]]="MARINER\SilverAdm",1,0)</f>
        <v>1</v>
      </c>
      <c r="M1247" t="str">
        <f>IF(NOT(ISBLANK(A1247)),VLOOKUP(A1247,'Close - PriceSaver'!A:J,6,0),"")</f>
        <v/>
      </c>
      <c r="Q1247" t="e">
        <f t="shared" si="184"/>
        <v>#N/A</v>
      </c>
      <c r="R1247" t="e">
        <f t="shared" si="185"/>
        <v>#N/A</v>
      </c>
      <c r="S1247" t="e">
        <f t="shared" si="186"/>
        <v>#N/A</v>
      </c>
      <c r="T1247" s="15" t="e">
        <f t="shared" si="188"/>
        <v>#N/A</v>
      </c>
      <c r="U1247" s="18" t="e">
        <f t="shared" si="189"/>
        <v>#N/A</v>
      </c>
      <c r="V1247" s="14" t="e">
        <f t="shared" si="187"/>
        <v>#N/A</v>
      </c>
      <c r="W1247" s="19" t="e">
        <f t="shared" si="190"/>
        <v>#N/A</v>
      </c>
      <c r="X1247" t="e">
        <f>VLOOKUP(P1247,Close[[ID]:[CreatedBy]],8,0)</f>
        <v>#N/A</v>
      </c>
    </row>
    <row r="1248" spans="2:24" x14ac:dyDescent="0.35">
      <c r="B1248" t="str">
        <f>IF(NOT(ISBLANK(A1248)),VLOOKUP(A1248,'BBT3'!A:F,2,0),"")</f>
        <v/>
      </c>
      <c r="C1248" t="str">
        <f>IF(NOT(ISBLANK(A1248)),VLOOKUP(A1248,'BBT3'!A:F,3,0),"")</f>
        <v/>
      </c>
      <c r="D1248" s="5" t="str">
        <f>IF(NOT(ISBLANK(A1248)),VLOOKUP(A1248,'BBT3'!A:F,4,1),"")</f>
        <v/>
      </c>
      <c r="E1248" t="str">
        <f>IF(NOT(ISBLANK(A1248)),VLOOKUP(A1248,'BBT3'!A:F,5,0),"")</f>
        <v/>
      </c>
      <c r="F1248" t="str">
        <f>IF(NOT(ISBLANK(A1248)),VLOOKUP(A1248,'BBT3'!A:F,6,0),"")</f>
        <v/>
      </c>
      <c r="G1248" t="str">
        <f t="shared" si="182"/>
        <v/>
      </c>
      <c r="H1248" t="str">
        <f>IF(NOT(ISBLANK(A1248)),VLOOKUP(A1248,'Close - PriceSaver'!A:J,5,0),"")</f>
        <v/>
      </c>
      <c r="I1248" s="4" t="str" cm="1">
        <f t="array" ref="I1248">IF(NOT(ISBLANK(A1248)),((_xlfn.XLOOKUP(1,(_bbt3[[#All],[ID]]=A1248)*(_bbt3[[#All],[METRIC_NAME]]="YLD_YTM_ASK"),_bbt3[[#All],[METRIC_VALUE]])*0.5)+(_xlfn.XLOOKUP(1,(_bbt3[[#All],[ID]]=A1248)*(_bbt3[[#All],[METRIC_NAME]]="YLD_YTM_BID"),_bbt3[[#All],[METRIC_VALUE]])*0.5))/100,"")</f>
        <v/>
      </c>
      <c r="J1248">
        <f>IF(ISNA(VLOOKUP(A1248,'CloseDL - PriceSaverBBT3'!A:E,5,0)),0,VLOOKUP(A1248,'CloseDL - PriceSaverBBT3'!A:E,5,0))</f>
        <v>0</v>
      </c>
      <c r="K1248" s="7" t="str">
        <f t="shared" si="183"/>
        <v/>
      </c>
      <c r="L1248" s="20">
        <f>IF(Close[[#This Row],[CreatedBy]]="MARINER\SilverAdm",1,0)</f>
        <v>1</v>
      </c>
      <c r="M1248" t="str">
        <f>IF(NOT(ISBLANK(A1248)),VLOOKUP(A1248,'Close - PriceSaver'!A:J,6,0),"")</f>
        <v/>
      </c>
      <c r="Q1248" t="e">
        <f t="shared" si="184"/>
        <v>#N/A</v>
      </c>
      <c r="R1248" t="e">
        <f t="shared" si="185"/>
        <v>#N/A</v>
      </c>
      <c r="S1248" t="e">
        <f t="shared" si="186"/>
        <v>#N/A</v>
      </c>
      <c r="T1248" s="15" t="e">
        <f t="shared" si="188"/>
        <v>#N/A</v>
      </c>
      <c r="U1248" s="18" t="e">
        <f t="shared" si="189"/>
        <v>#N/A</v>
      </c>
      <c r="V1248" s="14" t="e">
        <f t="shared" si="187"/>
        <v>#N/A</v>
      </c>
      <c r="W1248" s="19" t="e">
        <f t="shared" si="190"/>
        <v>#N/A</v>
      </c>
      <c r="X1248" t="e">
        <f>VLOOKUP(P1248,Close[[ID]:[CreatedBy]],8,0)</f>
        <v>#N/A</v>
      </c>
    </row>
    <row r="1249" spans="2:24" x14ac:dyDescent="0.35">
      <c r="B1249" t="str">
        <f>IF(NOT(ISBLANK(A1249)),VLOOKUP(A1249,'BBT3'!A:F,2,0),"")</f>
        <v/>
      </c>
      <c r="C1249" t="str">
        <f>IF(NOT(ISBLANK(A1249)),VLOOKUP(A1249,'BBT3'!A:F,3,0),"")</f>
        <v/>
      </c>
      <c r="D1249" s="5" t="str">
        <f>IF(NOT(ISBLANK(A1249)),VLOOKUP(A1249,'BBT3'!A:F,4,1),"")</f>
        <v/>
      </c>
      <c r="E1249" t="str">
        <f>IF(NOT(ISBLANK(A1249)),VLOOKUP(A1249,'BBT3'!A:F,5,0),"")</f>
        <v/>
      </c>
      <c r="F1249" t="str">
        <f>IF(NOT(ISBLANK(A1249)),VLOOKUP(A1249,'BBT3'!A:F,6,0),"")</f>
        <v/>
      </c>
      <c r="G1249" t="str">
        <f t="shared" si="182"/>
        <v/>
      </c>
      <c r="H1249" t="str">
        <f>IF(NOT(ISBLANK(A1249)),VLOOKUP(A1249,'Close - PriceSaver'!A:J,5,0),"")</f>
        <v/>
      </c>
      <c r="I1249" s="4" t="str" cm="1">
        <f t="array" ref="I1249">IF(NOT(ISBLANK(A1249)),((_xlfn.XLOOKUP(1,(_bbt3[[#All],[ID]]=A1249)*(_bbt3[[#All],[METRIC_NAME]]="YLD_YTM_ASK"),_bbt3[[#All],[METRIC_VALUE]])*0.5)+(_xlfn.XLOOKUP(1,(_bbt3[[#All],[ID]]=A1249)*(_bbt3[[#All],[METRIC_NAME]]="YLD_YTM_BID"),_bbt3[[#All],[METRIC_VALUE]])*0.5))/100,"")</f>
        <v/>
      </c>
      <c r="J1249">
        <f>IF(ISNA(VLOOKUP(A1249,'CloseDL - PriceSaverBBT3'!A:E,5,0)),0,VLOOKUP(A1249,'CloseDL - PriceSaverBBT3'!A:E,5,0))</f>
        <v>0</v>
      </c>
      <c r="K1249" s="7" t="str">
        <f t="shared" si="183"/>
        <v/>
      </c>
      <c r="L1249" s="20">
        <f>IF(Close[[#This Row],[CreatedBy]]="MARINER\SilverAdm",1,0)</f>
        <v>1</v>
      </c>
      <c r="M1249" t="str">
        <f>IF(NOT(ISBLANK(A1249)),VLOOKUP(A1249,'Close - PriceSaver'!A:J,6,0),"")</f>
        <v/>
      </c>
      <c r="Q1249" t="e">
        <f t="shared" si="184"/>
        <v>#N/A</v>
      </c>
      <c r="R1249" t="e">
        <f t="shared" si="185"/>
        <v>#N/A</v>
      </c>
      <c r="S1249" t="e">
        <f t="shared" si="186"/>
        <v>#N/A</v>
      </c>
      <c r="T1249" s="15" t="e">
        <f t="shared" si="188"/>
        <v>#N/A</v>
      </c>
      <c r="U1249" s="18" t="e">
        <f t="shared" si="189"/>
        <v>#N/A</v>
      </c>
      <c r="V1249" s="14" t="e">
        <f t="shared" si="187"/>
        <v>#N/A</v>
      </c>
      <c r="W1249" s="19" t="e">
        <f t="shared" si="190"/>
        <v>#N/A</v>
      </c>
      <c r="X1249" t="e">
        <f>VLOOKUP(P1249,Close[[ID]:[CreatedBy]],8,0)</f>
        <v>#N/A</v>
      </c>
    </row>
    <row r="1250" spans="2:24" x14ac:dyDescent="0.35">
      <c r="B1250" t="str">
        <f>IF(NOT(ISBLANK(A1250)),VLOOKUP(A1250,'BBT3'!A:F,2,0),"")</f>
        <v/>
      </c>
      <c r="C1250" t="str">
        <f>IF(NOT(ISBLANK(A1250)),VLOOKUP(A1250,'BBT3'!A:F,3,0),"")</f>
        <v/>
      </c>
      <c r="D1250" s="5" t="str">
        <f>IF(NOT(ISBLANK(A1250)),VLOOKUP(A1250,'BBT3'!A:F,4,1),"")</f>
        <v/>
      </c>
      <c r="E1250" t="str">
        <f>IF(NOT(ISBLANK(A1250)),VLOOKUP(A1250,'BBT3'!A:F,5,0),"")</f>
        <v/>
      </c>
      <c r="F1250" t="str">
        <f>IF(NOT(ISBLANK(A1250)),VLOOKUP(A1250,'BBT3'!A:F,6,0),"")</f>
        <v/>
      </c>
      <c r="G1250" t="str">
        <f t="shared" si="182"/>
        <v/>
      </c>
      <c r="H1250" t="str">
        <f>IF(NOT(ISBLANK(A1250)),VLOOKUP(A1250,'Close - PriceSaver'!A:J,5,0),"")</f>
        <v/>
      </c>
      <c r="I1250" s="4" t="str" cm="1">
        <f t="array" ref="I1250">IF(NOT(ISBLANK(A1250)),((_xlfn.XLOOKUP(1,(_bbt3[[#All],[ID]]=A1250)*(_bbt3[[#All],[METRIC_NAME]]="YLD_YTM_ASK"),_bbt3[[#All],[METRIC_VALUE]])*0.5)+(_xlfn.XLOOKUP(1,(_bbt3[[#All],[ID]]=A1250)*(_bbt3[[#All],[METRIC_NAME]]="YLD_YTM_BID"),_bbt3[[#All],[METRIC_VALUE]])*0.5))/100,"")</f>
        <v/>
      </c>
      <c r="J1250">
        <f>IF(ISNA(VLOOKUP(A1250,'CloseDL - PriceSaverBBT3'!A:E,5,0)),0,VLOOKUP(A1250,'CloseDL - PriceSaverBBT3'!A:E,5,0))</f>
        <v>0</v>
      </c>
      <c r="K1250" s="7" t="str">
        <f t="shared" si="183"/>
        <v/>
      </c>
      <c r="L1250" s="20">
        <f>IF(Close[[#This Row],[CreatedBy]]="MARINER\SilverAdm",1,0)</f>
        <v>1</v>
      </c>
      <c r="M1250" t="str">
        <f>IF(NOT(ISBLANK(A1250)),VLOOKUP(A1250,'Close - PriceSaver'!A:J,6,0),"")</f>
        <v/>
      </c>
      <c r="Q1250" t="e">
        <f t="shared" si="184"/>
        <v>#N/A</v>
      </c>
      <c r="R1250" t="e">
        <f t="shared" si="185"/>
        <v>#N/A</v>
      </c>
      <c r="S1250" t="e">
        <f t="shared" si="186"/>
        <v>#N/A</v>
      </c>
      <c r="T1250" s="15" t="e">
        <f t="shared" si="188"/>
        <v>#N/A</v>
      </c>
      <c r="U1250" s="18" t="e">
        <f t="shared" si="189"/>
        <v>#N/A</v>
      </c>
      <c r="V1250" s="14" t="e">
        <f t="shared" si="187"/>
        <v>#N/A</v>
      </c>
      <c r="W1250" s="19" t="e">
        <f t="shared" si="190"/>
        <v>#N/A</v>
      </c>
      <c r="X1250" t="e">
        <f>VLOOKUP(P1250,Close[[ID]:[CreatedBy]],8,0)</f>
        <v>#N/A</v>
      </c>
    </row>
    <row r="1251" spans="2:24" x14ac:dyDescent="0.35">
      <c r="B1251" t="str">
        <f>IF(NOT(ISBLANK(A1251)),VLOOKUP(A1251,'BBT3'!A:F,2,0),"")</f>
        <v/>
      </c>
      <c r="C1251" t="str">
        <f>IF(NOT(ISBLANK(A1251)),VLOOKUP(A1251,'BBT3'!A:F,3,0),"")</f>
        <v/>
      </c>
      <c r="D1251" s="5" t="str">
        <f>IF(NOT(ISBLANK(A1251)),VLOOKUP(A1251,'BBT3'!A:F,4,1),"")</f>
        <v/>
      </c>
      <c r="E1251" t="str">
        <f>IF(NOT(ISBLANK(A1251)),VLOOKUP(A1251,'BBT3'!A:F,5,0),"")</f>
        <v/>
      </c>
      <c r="F1251" t="str">
        <f>IF(NOT(ISBLANK(A1251)),VLOOKUP(A1251,'BBT3'!A:F,6,0),"")</f>
        <v/>
      </c>
      <c r="G1251" t="str">
        <f t="shared" si="182"/>
        <v/>
      </c>
      <c r="H1251" t="str">
        <f>IF(NOT(ISBLANK(A1251)),VLOOKUP(A1251,'Close - PriceSaver'!A:J,5,0),"")</f>
        <v/>
      </c>
      <c r="I1251" s="4" t="str" cm="1">
        <f t="array" ref="I1251">IF(NOT(ISBLANK(A1251)),((_xlfn.XLOOKUP(1,(_bbt3[[#All],[ID]]=A1251)*(_bbt3[[#All],[METRIC_NAME]]="YLD_YTM_ASK"),_bbt3[[#All],[METRIC_VALUE]])*0.5)+(_xlfn.XLOOKUP(1,(_bbt3[[#All],[ID]]=A1251)*(_bbt3[[#All],[METRIC_NAME]]="YLD_YTM_BID"),_bbt3[[#All],[METRIC_VALUE]])*0.5))/100,"")</f>
        <v/>
      </c>
      <c r="J1251">
        <f>IF(ISNA(VLOOKUP(A1251,'CloseDL - PriceSaverBBT3'!A:E,5,0)),0,VLOOKUP(A1251,'CloseDL - PriceSaverBBT3'!A:E,5,0))</f>
        <v>0</v>
      </c>
      <c r="K1251" s="7" t="str">
        <f t="shared" si="183"/>
        <v/>
      </c>
      <c r="L1251" s="20">
        <f>IF(Close[[#This Row],[CreatedBy]]="MARINER\SilverAdm",1,0)</f>
        <v>1</v>
      </c>
      <c r="M1251" t="str">
        <f>IF(NOT(ISBLANK(A1251)),VLOOKUP(A1251,'Close - PriceSaver'!A:J,6,0),"")</f>
        <v/>
      </c>
      <c r="Q1251" t="e">
        <f t="shared" si="184"/>
        <v>#N/A</v>
      </c>
      <c r="R1251" t="e">
        <f t="shared" si="185"/>
        <v>#N/A</v>
      </c>
      <c r="S1251" t="e">
        <f t="shared" si="186"/>
        <v>#N/A</v>
      </c>
      <c r="T1251" s="15" t="e">
        <f t="shared" si="188"/>
        <v>#N/A</v>
      </c>
      <c r="U1251" s="18" t="e">
        <f t="shared" si="189"/>
        <v>#N/A</v>
      </c>
      <c r="V1251" s="14" t="e">
        <f t="shared" si="187"/>
        <v>#N/A</v>
      </c>
      <c r="W1251" s="19" t="e">
        <f t="shared" si="190"/>
        <v>#N/A</v>
      </c>
      <c r="X1251" t="e">
        <f>VLOOKUP(P1251,Close[[ID]:[CreatedBy]],8,0)</f>
        <v>#N/A</v>
      </c>
    </row>
    <row r="1252" spans="2:24" x14ac:dyDescent="0.35">
      <c r="B1252" t="str">
        <f>IF(NOT(ISBLANK(A1252)),VLOOKUP(A1252,'BBT3'!A:F,2,0),"")</f>
        <v/>
      </c>
      <c r="C1252" t="str">
        <f>IF(NOT(ISBLANK(A1252)),VLOOKUP(A1252,'BBT3'!A:F,3,0),"")</f>
        <v/>
      </c>
      <c r="D1252" s="5" t="str">
        <f>IF(NOT(ISBLANK(A1252)),VLOOKUP(A1252,'BBT3'!A:F,4,1),"")</f>
        <v/>
      </c>
      <c r="E1252" t="str">
        <f>IF(NOT(ISBLANK(A1252)),VLOOKUP(A1252,'BBT3'!A:F,5,0),"")</f>
        <v/>
      </c>
      <c r="F1252" t="str">
        <f>IF(NOT(ISBLANK(A1252)),VLOOKUP(A1252,'BBT3'!A:F,6,0),"")</f>
        <v/>
      </c>
      <c r="G1252" t="str">
        <f t="shared" si="182"/>
        <v/>
      </c>
      <c r="H1252" t="str">
        <f>IF(NOT(ISBLANK(A1252)),VLOOKUP(A1252,'Close - PriceSaver'!A:J,5,0),"")</f>
        <v/>
      </c>
      <c r="I1252" s="4" t="str" cm="1">
        <f t="array" ref="I1252">IF(NOT(ISBLANK(A1252)),((_xlfn.XLOOKUP(1,(_bbt3[[#All],[ID]]=A1252)*(_bbt3[[#All],[METRIC_NAME]]="YLD_YTM_ASK"),_bbt3[[#All],[METRIC_VALUE]])*0.5)+(_xlfn.XLOOKUP(1,(_bbt3[[#All],[ID]]=A1252)*(_bbt3[[#All],[METRIC_NAME]]="YLD_YTM_BID"),_bbt3[[#All],[METRIC_VALUE]])*0.5))/100,"")</f>
        <v/>
      </c>
      <c r="J1252">
        <f>IF(ISNA(VLOOKUP(A1252,'CloseDL - PriceSaverBBT3'!A:E,5,0)),0,VLOOKUP(A1252,'CloseDL - PriceSaverBBT3'!A:E,5,0))</f>
        <v>0</v>
      </c>
      <c r="K1252" s="7" t="str">
        <f t="shared" si="183"/>
        <v/>
      </c>
      <c r="L1252" s="20">
        <f>IF(Close[[#This Row],[CreatedBy]]="MARINER\SilverAdm",1,0)</f>
        <v>1</v>
      </c>
      <c r="M1252" t="str">
        <f>IF(NOT(ISBLANK(A1252)),VLOOKUP(A1252,'Close - PriceSaver'!A:J,6,0),"")</f>
        <v/>
      </c>
      <c r="Q1252" t="e">
        <f t="shared" si="184"/>
        <v>#N/A</v>
      </c>
      <c r="R1252" t="e">
        <f t="shared" si="185"/>
        <v>#N/A</v>
      </c>
      <c r="S1252" t="e">
        <f t="shared" si="186"/>
        <v>#N/A</v>
      </c>
      <c r="T1252" s="15" t="e">
        <f t="shared" si="188"/>
        <v>#N/A</v>
      </c>
      <c r="U1252" s="18" t="e">
        <f t="shared" si="189"/>
        <v>#N/A</v>
      </c>
      <c r="V1252" s="14" t="e">
        <f t="shared" si="187"/>
        <v>#N/A</v>
      </c>
      <c r="W1252" s="19" t="e">
        <f t="shared" si="190"/>
        <v>#N/A</v>
      </c>
      <c r="X1252" t="e">
        <f>VLOOKUP(P1252,Close[[ID]:[CreatedBy]],8,0)</f>
        <v>#N/A</v>
      </c>
    </row>
    <row r="1253" spans="2:24" x14ac:dyDescent="0.35">
      <c r="B1253" t="str">
        <f>IF(NOT(ISBLANK(A1253)),VLOOKUP(A1253,'BBT3'!A:F,2,0),"")</f>
        <v/>
      </c>
      <c r="C1253" t="str">
        <f>IF(NOT(ISBLANK(A1253)),VLOOKUP(A1253,'BBT3'!A:F,3,0),"")</f>
        <v/>
      </c>
      <c r="D1253" s="5" t="str">
        <f>IF(NOT(ISBLANK(A1253)),VLOOKUP(A1253,'BBT3'!A:F,4,1),"")</f>
        <v/>
      </c>
      <c r="E1253" t="str">
        <f>IF(NOT(ISBLANK(A1253)),VLOOKUP(A1253,'BBT3'!A:F,5,0),"")</f>
        <v/>
      </c>
      <c r="F1253" t="str">
        <f>IF(NOT(ISBLANK(A1253)),VLOOKUP(A1253,'BBT3'!A:F,6,0),"")</f>
        <v/>
      </c>
      <c r="G1253" t="str">
        <f t="shared" si="182"/>
        <v/>
      </c>
      <c r="H1253" t="str">
        <f>IF(NOT(ISBLANK(A1253)),VLOOKUP(A1253,'Close - PriceSaver'!A:J,5,0),"")</f>
        <v/>
      </c>
      <c r="I1253" s="4" t="str" cm="1">
        <f t="array" ref="I1253">IF(NOT(ISBLANK(A1253)),((_xlfn.XLOOKUP(1,(_bbt3[[#All],[ID]]=A1253)*(_bbt3[[#All],[METRIC_NAME]]="YLD_YTM_ASK"),_bbt3[[#All],[METRIC_VALUE]])*0.5)+(_xlfn.XLOOKUP(1,(_bbt3[[#All],[ID]]=A1253)*(_bbt3[[#All],[METRIC_NAME]]="YLD_YTM_BID"),_bbt3[[#All],[METRIC_VALUE]])*0.5))/100,"")</f>
        <v/>
      </c>
      <c r="J1253">
        <f>IF(ISNA(VLOOKUP(A1253,'CloseDL - PriceSaverBBT3'!A:E,5,0)),0,VLOOKUP(A1253,'CloseDL - PriceSaverBBT3'!A:E,5,0))</f>
        <v>0</v>
      </c>
      <c r="K1253" s="7" t="str">
        <f t="shared" si="183"/>
        <v/>
      </c>
      <c r="L1253" s="20">
        <f>IF(Close[[#This Row],[CreatedBy]]="MARINER\SilverAdm",1,0)</f>
        <v>1</v>
      </c>
      <c r="M1253" t="str">
        <f>IF(NOT(ISBLANK(A1253)),VLOOKUP(A1253,'Close - PriceSaver'!A:J,6,0),"")</f>
        <v/>
      </c>
      <c r="Q1253" t="e">
        <f t="shared" si="184"/>
        <v>#N/A</v>
      </c>
      <c r="R1253" t="e">
        <f t="shared" si="185"/>
        <v>#N/A</v>
      </c>
      <c r="S1253" t="e">
        <f t="shared" si="186"/>
        <v>#N/A</v>
      </c>
      <c r="T1253" s="15" t="e">
        <f t="shared" si="188"/>
        <v>#N/A</v>
      </c>
      <c r="U1253" s="18" t="e">
        <f t="shared" si="189"/>
        <v>#N/A</v>
      </c>
      <c r="V1253" s="14" t="e">
        <f t="shared" si="187"/>
        <v>#N/A</v>
      </c>
      <c r="W1253" s="19" t="e">
        <f t="shared" si="190"/>
        <v>#N/A</v>
      </c>
      <c r="X1253" t="e">
        <f>VLOOKUP(P1253,Close[[ID]:[CreatedBy]],8,0)</f>
        <v>#N/A</v>
      </c>
    </row>
    <row r="1254" spans="2:24" x14ac:dyDescent="0.35">
      <c r="B1254" t="str">
        <f>IF(NOT(ISBLANK(A1254)),VLOOKUP(A1254,'BBT3'!A:F,2,0),"")</f>
        <v/>
      </c>
      <c r="C1254" t="str">
        <f>IF(NOT(ISBLANK(A1254)),VLOOKUP(A1254,'BBT3'!A:F,3,0),"")</f>
        <v/>
      </c>
      <c r="D1254" s="5" t="str">
        <f>IF(NOT(ISBLANK(A1254)),VLOOKUP(A1254,'BBT3'!A:F,4,1),"")</f>
        <v/>
      </c>
      <c r="E1254" t="str">
        <f>IF(NOT(ISBLANK(A1254)),VLOOKUP(A1254,'BBT3'!A:F,5,0),"")</f>
        <v/>
      </c>
      <c r="F1254" t="str">
        <f>IF(NOT(ISBLANK(A1254)),VLOOKUP(A1254,'BBT3'!A:F,6,0),"")</f>
        <v/>
      </c>
      <c r="G1254" t="str">
        <f t="shared" si="182"/>
        <v/>
      </c>
      <c r="H1254" t="str">
        <f>IF(NOT(ISBLANK(A1254)),VLOOKUP(A1254,'Close - PriceSaver'!A:J,5,0),"")</f>
        <v/>
      </c>
      <c r="I1254" s="4" t="str" cm="1">
        <f t="array" ref="I1254">IF(NOT(ISBLANK(A1254)),((_xlfn.XLOOKUP(1,(_bbt3[[#All],[ID]]=A1254)*(_bbt3[[#All],[METRIC_NAME]]="YLD_YTM_ASK"),_bbt3[[#All],[METRIC_VALUE]])*0.5)+(_xlfn.XLOOKUP(1,(_bbt3[[#All],[ID]]=A1254)*(_bbt3[[#All],[METRIC_NAME]]="YLD_YTM_BID"),_bbt3[[#All],[METRIC_VALUE]])*0.5))/100,"")</f>
        <v/>
      </c>
      <c r="J1254">
        <f>IF(ISNA(VLOOKUP(A1254,'CloseDL - PriceSaverBBT3'!A:E,5,0)),0,VLOOKUP(A1254,'CloseDL - PriceSaverBBT3'!A:E,5,0))</f>
        <v>0</v>
      </c>
      <c r="K1254" s="7" t="str">
        <f t="shared" si="183"/>
        <v/>
      </c>
      <c r="L1254" s="20">
        <f>IF(Close[[#This Row],[CreatedBy]]="MARINER\SilverAdm",1,0)</f>
        <v>1</v>
      </c>
      <c r="M1254" t="str">
        <f>IF(NOT(ISBLANK(A1254)),VLOOKUP(A1254,'Close - PriceSaver'!A:J,6,0),"")</f>
        <v/>
      </c>
      <c r="Q1254" t="e">
        <f t="shared" si="184"/>
        <v>#N/A</v>
      </c>
      <c r="R1254" t="e">
        <f t="shared" si="185"/>
        <v>#N/A</v>
      </c>
      <c r="S1254" t="e">
        <f t="shared" si="186"/>
        <v>#N/A</v>
      </c>
      <c r="T1254" s="15" t="e">
        <f t="shared" si="188"/>
        <v>#N/A</v>
      </c>
      <c r="U1254" s="18" t="e">
        <f t="shared" si="189"/>
        <v>#N/A</v>
      </c>
      <c r="V1254" s="14" t="e">
        <f t="shared" si="187"/>
        <v>#N/A</v>
      </c>
      <c r="W1254" s="19" t="e">
        <f t="shared" si="190"/>
        <v>#N/A</v>
      </c>
      <c r="X1254" t="e">
        <f>VLOOKUP(P1254,Close[[ID]:[CreatedBy]],8,0)</f>
        <v>#N/A</v>
      </c>
    </row>
    <row r="1255" spans="2:24" x14ac:dyDescent="0.35">
      <c r="B1255" t="str">
        <f>IF(NOT(ISBLANK(A1255)),VLOOKUP(A1255,'BBT3'!A:F,2,0),"")</f>
        <v/>
      </c>
      <c r="C1255" t="str">
        <f>IF(NOT(ISBLANK(A1255)),VLOOKUP(A1255,'BBT3'!A:F,3,0),"")</f>
        <v/>
      </c>
      <c r="D1255" s="5" t="str">
        <f>IF(NOT(ISBLANK(A1255)),VLOOKUP(A1255,'BBT3'!A:F,4,1),"")</f>
        <v/>
      </c>
      <c r="E1255" t="str">
        <f>IF(NOT(ISBLANK(A1255)),VLOOKUP(A1255,'BBT3'!A:F,5,0),"")</f>
        <v/>
      </c>
      <c r="F1255" t="str">
        <f>IF(NOT(ISBLANK(A1255)),VLOOKUP(A1255,'BBT3'!A:F,6,0),"")</f>
        <v/>
      </c>
      <c r="G1255" t="str">
        <f t="shared" si="182"/>
        <v/>
      </c>
      <c r="H1255" t="str">
        <f>IF(NOT(ISBLANK(A1255)),VLOOKUP(A1255,'Close - PriceSaver'!A:J,5,0),"")</f>
        <v/>
      </c>
      <c r="I1255" s="4" t="str" cm="1">
        <f t="array" ref="I1255">IF(NOT(ISBLANK(A1255)),((_xlfn.XLOOKUP(1,(_bbt3[[#All],[ID]]=A1255)*(_bbt3[[#All],[METRIC_NAME]]="YLD_YTM_ASK"),_bbt3[[#All],[METRIC_VALUE]])*0.5)+(_xlfn.XLOOKUP(1,(_bbt3[[#All],[ID]]=A1255)*(_bbt3[[#All],[METRIC_NAME]]="YLD_YTM_BID"),_bbt3[[#All],[METRIC_VALUE]])*0.5))/100,"")</f>
        <v/>
      </c>
      <c r="J1255">
        <f>IF(ISNA(VLOOKUP(A1255,'CloseDL - PriceSaverBBT3'!A:E,5,0)),0,VLOOKUP(A1255,'CloseDL - PriceSaverBBT3'!A:E,5,0))</f>
        <v>0</v>
      </c>
      <c r="K1255" s="7" t="str">
        <f t="shared" si="183"/>
        <v/>
      </c>
      <c r="L1255" s="20">
        <f>IF(Close[[#This Row],[CreatedBy]]="MARINER\SilverAdm",1,0)</f>
        <v>1</v>
      </c>
      <c r="M1255" t="str">
        <f>IF(NOT(ISBLANK(A1255)),VLOOKUP(A1255,'Close - PriceSaver'!A:J,6,0),"")</f>
        <v/>
      </c>
      <c r="Q1255" t="e">
        <f t="shared" si="184"/>
        <v>#N/A</v>
      </c>
      <c r="R1255" t="e">
        <f t="shared" si="185"/>
        <v>#N/A</v>
      </c>
      <c r="S1255" t="e">
        <f t="shared" si="186"/>
        <v>#N/A</v>
      </c>
      <c r="T1255" s="15" t="e">
        <f t="shared" si="188"/>
        <v>#N/A</v>
      </c>
      <c r="U1255" s="18" t="e">
        <f t="shared" si="189"/>
        <v>#N/A</v>
      </c>
      <c r="V1255" s="14" t="e">
        <f t="shared" si="187"/>
        <v>#N/A</v>
      </c>
      <c r="W1255" s="19" t="e">
        <f t="shared" si="190"/>
        <v>#N/A</v>
      </c>
      <c r="X1255" t="e">
        <f>VLOOKUP(P1255,Close[[ID]:[CreatedBy]],8,0)</f>
        <v>#N/A</v>
      </c>
    </row>
    <row r="1256" spans="2:24" x14ac:dyDescent="0.35">
      <c r="B1256" t="str">
        <f>IF(NOT(ISBLANK(A1256)),VLOOKUP(A1256,'BBT3'!A:F,2,0),"")</f>
        <v/>
      </c>
      <c r="C1256" t="str">
        <f>IF(NOT(ISBLANK(A1256)),VLOOKUP(A1256,'BBT3'!A:F,3,0),"")</f>
        <v/>
      </c>
      <c r="D1256" s="5" t="str">
        <f>IF(NOT(ISBLANK(A1256)),VLOOKUP(A1256,'BBT3'!A:F,4,1),"")</f>
        <v/>
      </c>
      <c r="E1256" t="str">
        <f>IF(NOT(ISBLANK(A1256)),VLOOKUP(A1256,'BBT3'!A:F,5,0),"")</f>
        <v/>
      </c>
      <c r="F1256" t="str">
        <f>IF(NOT(ISBLANK(A1256)),VLOOKUP(A1256,'BBT3'!A:F,6,0),"")</f>
        <v/>
      </c>
      <c r="G1256" t="str">
        <f t="shared" si="182"/>
        <v/>
      </c>
      <c r="H1256" t="str">
        <f>IF(NOT(ISBLANK(A1256)),VLOOKUP(A1256,'Close - PriceSaver'!A:J,5,0),"")</f>
        <v/>
      </c>
      <c r="I1256" s="4" t="str" cm="1">
        <f t="array" ref="I1256">IF(NOT(ISBLANK(A1256)),((_xlfn.XLOOKUP(1,(_bbt3[[#All],[ID]]=A1256)*(_bbt3[[#All],[METRIC_NAME]]="YLD_YTM_ASK"),_bbt3[[#All],[METRIC_VALUE]])*0.5)+(_xlfn.XLOOKUP(1,(_bbt3[[#All],[ID]]=A1256)*(_bbt3[[#All],[METRIC_NAME]]="YLD_YTM_BID"),_bbt3[[#All],[METRIC_VALUE]])*0.5))/100,"")</f>
        <v/>
      </c>
      <c r="J1256">
        <f>IF(ISNA(VLOOKUP(A1256,'CloseDL - PriceSaverBBT3'!A:E,5,0)),0,VLOOKUP(A1256,'CloseDL - PriceSaverBBT3'!A:E,5,0))</f>
        <v>0</v>
      </c>
      <c r="K1256" s="7" t="str">
        <f t="shared" si="183"/>
        <v/>
      </c>
      <c r="L1256" s="20">
        <f>IF(Close[[#This Row],[CreatedBy]]="MARINER\SilverAdm",1,0)</f>
        <v>1</v>
      </c>
      <c r="M1256" t="str">
        <f>IF(NOT(ISBLANK(A1256)),VLOOKUP(A1256,'Close - PriceSaver'!A:J,6,0),"")</f>
        <v/>
      </c>
      <c r="Q1256" t="e">
        <f t="shared" si="184"/>
        <v>#N/A</v>
      </c>
      <c r="R1256" t="e">
        <f t="shared" si="185"/>
        <v>#N/A</v>
      </c>
      <c r="S1256" t="e">
        <f t="shared" si="186"/>
        <v>#N/A</v>
      </c>
      <c r="T1256" s="15" t="e">
        <f t="shared" si="188"/>
        <v>#N/A</v>
      </c>
      <c r="U1256" s="18" t="e">
        <f t="shared" si="189"/>
        <v>#N/A</v>
      </c>
      <c r="V1256" s="14" t="e">
        <f t="shared" si="187"/>
        <v>#N/A</v>
      </c>
      <c r="W1256" s="19" t="e">
        <f t="shared" si="190"/>
        <v>#N/A</v>
      </c>
      <c r="X1256" t="e">
        <f>VLOOKUP(P1256,Close[[ID]:[CreatedBy]],8,0)</f>
        <v>#N/A</v>
      </c>
    </row>
    <row r="1257" spans="2:24" x14ac:dyDescent="0.35">
      <c r="B1257" t="str">
        <f>IF(NOT(ISBLANK(A1257)),VLOOKUP(A1257,'BBT3'!A:F,2,0),"")</f>
        <v/>
      </c>
      <c r="C1257" t="str">
        <f>IF(NOT(ISBLANK(A1257)),VLOOKUP(A1257,'BBT3'!A:F,3,0),"")</f>
        <v/>
      </c>
      <c r="D1257" s="5" t="str">
        <f>IF(NOT(ISBLANK(A1257)),VLOOKUP(A1257,'BBT3'!A:F,4,1),"")</f>
        <v/>
      </c>
      <c r="E1257" t="str">
        <f>IF(NOT(ISBLANK(A1257)),VLOOKUP(A1257,'BBT3'!A:F,5,0),"")</f>
        <v/>
      </c>
      <c r="F1257" t="str">
        <f>IF(NOT(ISBLANK(A1257)),VLOOKUP(A1257,'BBT3'!A:F,6,0),"")</f>
        <v/>
      </c>
      <c r="G1257" t="str">
        <f t="shared" si="182"/>
        <v/>
      </c>
      <c r="H1257" t="str">
        <f>IF(NOT(ISBLANK(A1257)),VLOOKUP(A1257,'Close - PriceSaver'!A:J,5,0),"")</f>
        <v/>
      </c>
      <c r="I1257" s="4" t="str" cm="1">
        <f t="array" ref="I1257">IF(NOT(ISBLANK(A1257)),((_xlfn.XLOOKUP(1,(_bbt3[[#All],[ID]]=A1257)*(_bbt3[[#All],[METRIC_NAME]]="YLD_YTM_ASK"),_bbt3[[#All],[METRIC_VALUE]])*0.5)+(_xlfn.XLOOKUP(1,(_bbt3[[#All],[ID]]=A1257)*(_bbt3[[#All],[METRIC_NAME]]="YLD_YTM_BID"),_bbt3[[#All],[METRIC_VALUE]])*0.5))/100,"")</f>
        <v/>
      </c>
      <c r="J1257">
        <f>IF(ISNA(VLOOKUP(A1257,'CloseDL - PriceSaverBBT3'!A:E,5,0)),0,VLOOKUP(A1257,'CloseDL - PriceSaverBBT3'!A:E,5,0))</f>
        <v>0</v>
      </c>
      <c r="K1257" s="7" t="str">
        <f t="shared" si="183"/>
        <v/>
      </c>
      <c r="L1257" s="20">
        <f>IF(Close[[#This Row],[CreatedBy]]="MARINER\SilverAdm",1,0)</f>
        <v>1</v>
      </c>
      <c r="M1257" t="str">
        <f>IF(NOT(ISBLANK(A1257)),VLOOKUP(A1257,'Close - PriceSaver'!A:J,6,0),"")</f>
        <v/>
      </c>
      <c r="Q1257" t="e">
        <f t="shared" si="184"/>
        <v>#N/A</v>
      </c>
      <c r="R1257" t="e">
        <f t="shared" si="185"/>
        <v>#N/A</v>
      </c>
      <c r="S1257" t="e">
        <f t="shared" si="186"/>
        <v>#N/A</v>
      </c>
      <c r="T1257" s="15" t="e">
        <f t="shared" si="188"/>
        <v>#N/A</v>
      </c>
      <c r="U1257" s="18" t="e">
        <f t="shared" si="189"/>
        <v>#N/A</v>
      </c>
      <c r="V1257" s="14" t="e">
        <f t="shared" si="187"/>
        <v>#N/A</v>
      </c>
      <c r="W1257" s="19" t="e">
        <f t="shared" si="190"/>
        <v>#N/A</v>
      </c>
      <c r="X1257" t="e">
        <f>VLOOKUP(P1257,Close[[ID]:[CreatedBy]],8,0)</f>
        <v>#N/A</v>
      </c>
    </row>
    <row r="1258" spans="2:24" x14ac:dyDescent="0.35">
      <c r="B1258" t="str">
        <f>IF(NOT(ISBLANK(A1258)),VLOOKUP(A1258,'BBT3'!A:F,2,0),"")</f>
        <v/>
      </c>
      <c r="C1258" t="str">
        <f>IF(NOT(ISBLANK(A1258)),VLOOKUP(A1258,'BBT3'!A:F,3,0),"")</f>
        <v/>
      </c>
      <c r="D1258" s="5" t="str">
        <f>IF(NOT(ISBLANK(A1258)),VLOOKUP(A1258,'BBT3'!A:F,4,1),"")</f>
        <v/>
      </c>
      <c r="E1258" t="str">
        <f>IF(NOT(ISBLANK(A1258)),VLOOKUP(A1258,'BBT3'!A:F,5,0),"")</f>
        <v/>
      </c>
      <c r="F1258" t="str">
        <f>IF(NOT(ISBLANK(A1258)),VLOOKUP(A1258,'BBT3'!A:F,6,0),"")</f>
        <v/>
      </c>
      <c r="G1258" t="str">
        <f t="shared" si="182"/>
        <v/>
      </c>
      <c r="H1258" t="str">
        <f>IF(NOT(ISBLANK(A1258)),VLOOKUP(A1258,'Close - PriceSaver'!A:J,5,0),"")</f>
        <v/>
      </c>
      <c r="I1258" s="4" t="str" cm="1">
        <f t="array" ref="I1258">IF(NOT(ISBLANK(A1258)),((_xlfn.XLOOKUP(1,(_bbt3[[#All],[ID]]=A1258)*(_bbt3[[#All],[METRIC_NAME]]="YLD_YTM_ASK"),_bbt3[[#All],[METRIC_VALUE]])*0.5)+(_xlfn.XLOOKUP(1,(_bbt3[[#All],[ID]]=A1258)*(_bbt3[[#All],[METRIC_NAME]]="YLD_YTM_BID"),_bbt3[[#All],[METRIC_VALUE]])*0.5))/100,"")</f>
        <v/>
      </c>
      <c r="J1258">
        <f>IF(ISNA(VLOOKUP(A1258,'CloseDL - PriceSaverBBT3'!A:E,5,0)),0,VLOOKUP(A1258,'CloseDL - PriceSaverBBT3'!A:E,5,0))</f>
        <v>0</v>
      </c>
      <c r="K1258" s="7" t="str">
        <f t="shared" si="183"/>
        <v/>
      </c>
      <c r="L1258" s="20">
        <f>IF(Close[[#This Row],[CreatedBy]]="MARINER\SilverAdm",1,0)</f>
        <v>1</v>
      </c>
      <c r="M1258" t="str">
        <f>IF(NOT(ISBLANK(A1258)),VLOOKUP(A1258,'Close - PriceSaver'!A:J,6,0),"")</f>
        <v/>
      </c>
      <c r="Q1258" t="e">
        <f t="shared" si="184"/>
        <v>#N/A</v>
      </c>
      <c r="R1258" t="e">
        <f t="shared" si="185"/>
        <v>#N/A</v>
      </c>
      <c r="S1258" t="e">
        <f t="shared" si="186"/>
        <v>#N/A</v>
      </c>
      <c r="T1258" s="15" t="e">
        <f t="shared" si="188"/>
        <v>#N/A</v>
      </c>
      <c r="U1258" s="18" t="e">
        <f t="shared" si="189"/>
        <v>#N/A</v>
      </c>
      <c r="V1258" s="14" t="e">
        <f t="shared" si="187"/>
        <v>#N/A</v>
      </c>
      <c r="W1258" s="19" t="e">
        <f t="shared" si="190"/>
        <v>#N/A</v>
      </c>
      <c r="X1258" t="e">
        <f>VLOOKUP(P1258,Close[[ID]:[CreatedBy]],8,0)</f>
        <v>#N/A</v>
      </c>
    </row>
    <row r="1259" spans="2:24" x14ac:dyDescent="0.35">
      <c r="B1259" t="str">
        <f>IF(NOT(ISBLANK(A1259)),VLOOKUP(A1259,'BBT3'!A:F,2,0),"")</f>
        <v/>
      </c>
      <c r="C1259" t="str">
        <f>IF(NOT(ISBLANK(A1259)),VLOOKUP(A1259,'BBT3'!A:F,3,0),"")</f>
        <v/>
      </c>
      <c r="D1259" s="5" t="str">
        <f>IF(NOT(ISBLANK(A1259)),VLOOKUP(A1259,'BBT3'!A:F,4,1),"")</f>
        <v/>
      </c>
      <c r="E1259" t="str">
        <f>IF(NOT(ISBLANK(A1259)),VLOOKUP(A1259,'BBT3'!A:F,5,0),"")</f>
        <v/>
      </c>
      <c r="F1259" t="str">
        <f>IF(NOT(ISBLANK(A1259)),VLOOKUP(A1259,'BBT3'!A:F,6,0),"")</f>
        <v/>
      </c>
      <c r="G1259" t="str">
        <f t="shared" si="182"/>
        <v/>
      </c>
      <c r="H1259" t="str">
        <f>IF(NOT(ISBLANK(A1259)),VLOOKUP(A1259,'Close - PriceSaver'!A:J,5,0),"")</f>
        <v/>
      </c>
      <c r="I1259" s="4" t="str" cm="1">
        <f t="array" ref="I1259">IF(NOT(ISBLANK(A1259)),((_xlfn.XLOOKUP(1,(_bbt3[[#All],[ID]]=A1259)*(_bbt3[[#All],[METRIC_NAME]]="YLD_YTM_ASK"),_bbt3[[#All],[METRIC_VALUE]])*0.5)+(_xlfn.XLOOKUP(1,(_bbt3[[#All],[ID]]=A1259)*(_bbt3[[#All],[METRIC_NAME]]="YLD_YTM_BID"),_bbt3[[#All],[METRIC_VALUE]])*0.5))/100,"")</f>
        <v/>
      </c>
      <c r="J1259">
        <f>IF(ISNA(VLOOKUP(A1259,'CloseDL - PriceSaverBBT3'!A:E,5,0)),0,VLOOKUP(A1259,'CloseDL - PriceSaverBBT3'!A:E,5,0))</f>
        <v>0</v>
      </c>
      <c r="K1259" s="7" t="str">
        <f t="shared" si="183"/>
        <v/>
      </c>
      <c r="L1259" s="20">
        <f>IF(Close[[#This Row],[CreatedBy]]="MARINER\SilverAdm",1,0)</f>
        <v>1</v>
      </c>
      <c r="M1259" t="str">
        <f>IF(NOT(ISBLANK(A1259)),VLOOKUP(A1259,'Close - PriceSaver'!A:J,6,0),"")</f>
        <v/>
      </c>
      <c r="Q1259" t="e">
        <f t="shared" si="184"/>
        <v>#N/A</v>
      </c>
      <c r="R1259" t="e">
        <f t="shared" si="185"/>
        <v>#N/A</v>
      </c>
      <c r="S1259" t="e">
        <f t="shared" si="186"/>
        <v>#N/A</v>
      </c>
      <c r="T1259" s="15" t="e">
        <f t="shared" si="188"/>
        <v>#N/A</v>
      </c>
      <c r="U1259" s="18" t="e">
        <f t="shared" si="189"/>
        <v>#N/A</v>
      </c>
      <c r="V1259" s="14" t="e">
        <f t="shared" si="187"/>
        <v>#N/A</v>
      </c>
      <c r="W1259" s="19" t="e">
        <f t="shared" si="190"/>
        <v>#N/A</v>
      </c>
      <c r="X1259" t="e">
        <f>VLOOKUP(P1259,Close[[ID]:[CreatedBy]],8,0)</f>
        <v>#N/A</v>
      </c>
    </row>
    <row r="1260" spans="2:24" x14ac:dyDescent="0.35">
      <c r="B1260" t="str">
        <f>IF(NOT(ISBLANK(A1260)),VLOOKUP(A1260,'BBT3'!A:F,2,0),"")</f>
        <v/>
      </c>
      <c r="C1260" t="str">
        <f>IF(NOT(ISBLANK(A1260)),VLOOKUP(A1260,'BBT3'!A:F,3,0),"")</f>
        <v/>
      </c>
      <c r="D1260" s="5" t="str">
        <f>IF(NOT(ISBLANK(A1260)),VLOOKUP(A1260,'BBT3'!A:F,4,1),"")</f>
        <v/>
      </c>
      <c r="E1260" t="str">
        <f>IF(NOT(ISBLANK(A1260)),VLOOKUP(A1260,'BBT3'!A:F,5,0),"")</f>
        <v/>
      </c>
      <c r="F1260" t="str">
        <f>IF(NOT(ISBLANK(A1260)),VLOOKUP(A1260,'BBT3'!A:F,6,0),"")</f>
        <v/>
      </c>
      <c r="G1260" t="str">
        <f t="shared" si="182"/>
        <v/>
      </c>
      <c r="H1260" t="str">
        <f>IF(NOT(ISBLANK(A1260)),VLOOKUP(A1260,'Close - PriceSaver'!A:J,5,0),"")</f>
        <v/>
      </c>
      <c r="I1260" s="4" t="str" cm="1">
        <f t="array" ref="I1260">IF(NOT(ISBLANK(A1260)),((_xlfn.XLOOKUP(1,(_bbt3[[#All],[ID]]=A1260)*(_bbt3[[#All],[METRIC_NAME]]="YLD_YTM_ASK"),_bbt3[[#All],[METRIC_VALUE]])*0.5)+(_xlfn.XLOOKUP(1,(_bbt3[[#All],[ID]]=A1260)*(_bbt3[[#All],[METRIC_NAME]]="YLD_YTM_BID"),_bbt3[[#All],[METRIC_VALUE]])*0.5))/100,"")</f>
        <v/>
      </c>
      <c r="J1260">
        <f>IF(ISNA(VLOOKUP(A1260,'CloseDL - PriceSaverBBT3'!A:E,5,0)),0,VLOOKUP(A1260,'CloseDL - PriceSaverBBT3'!A:E,5,0))</f>
        <v>0</v>
      </c>
      <c r="K1260" s="7" t="str">
        <f t="shared" si="183"/>
        <v/>
      </c>
      <c r="L1260" s="20">
        <f>IF(Close[[#This Row],[CreatedBy]]="MARINER\SilverAdm",1,0)</f>
        <v>1</v>
      </c>
      <c r="M1260" t="str">
        <f>IF(NOT(ISBLANK(A1260)),VLOOKUP(A1260,'Close - PriceSaver'!A:J,6,0),"")</f>
        <v/>
      </c>
      <c r="Q1260" t="e">
        <f t="shared" si="184"/>
        <v>#N/A</v>
      </c>
      <c r="R1260" t="e">
        <f t="shared" si="185"/>
        <v>#N/A</v>
      </c>
      <c r="S1260" t="e">
        <f t="shared" si="186"/>
        <v>#N/A</v>
      </c>
      <c r="T1260" s="15" t="e">
        <f t="shared" si="188"/>
        <v>#N/A</v>
      </c>
      <c r="U1260" s="18" t="e">
        <f t="shared" si="189"/>
        <v>#N/A</v>
      </c>
      <c r="V1260" s="14" t="e">
        <f t="shared" si="187"/>
        <v>#N/A</v>
      </c>
      <c r="W1260" s="19" t="e">
        <f t="shared" si="190"/>
        <v>#N/A</v>
      </c>
      <c r="X1260" t="e">
        <f>VLOOKUP(P1260,Close[[ID]:[CreatedBy]],8,0)</f>
        <v>#N/A</v>
      </c>
    </row>
    <row r="1261" spans="2:24" x14ac:dyDescent="0.35">
      <c r="B1261" t="str">
        <f>IF(NOT(ISBLANK(A1261)),VLOOKUP(A1261,'BBT3'!A:F,2,0),"")</f>
        <v/>
      </c>
      <c r="C1261" t="str">
        <f>IF(NOT(ISBLANK(A1261)),VLOOKUP(A1261,'BBT3'!A:F,3,0),"")</f>
        <v/>
      </c>
      <c r="D1261" s="5" t="str">
        <f>IF(NOT(ISBLANK(A1261)),VLOOKUP(A1261,'BBT3'!A:F,4,1),"")</f>
        <v/>
      </c>
      <c r="E1261" t="str">
        <f>IF(NOT(ISBLANK(A1261)),VLOOKUP(A1261,'BBT3'!A:F,5,0),"")</f>
        <v/>
      </c>
      <c r="F1261" t="str">
        <f>IF(NOT(ISBLANK(A1261)),VLOOKUP(A1261,'BBT3'!A:F,6,0),"")</f>
        <v/>
      </c>
      <c r="G1261" t="str">
        <f t="shared" si="182"/>
        <v/>
      </c>
      <c r="H1261" t="str">
        <f>IF(NOT(ISBLANK(A1261)),VLOOKUP(A1261,'Close - PriceSaver'!A:J,5,0),"")</f>
        <v/>
      </c>
      <c r="I1261" s="4" t="str" cm="1">
        <f t="array" ref="I1261">IF(NOT(ISBLANK(A1261)),((_xlfn.XLOOKUP(1,(_bbt3[[#All],[ID]]=A1261)*(_bbt3[[#All],[METRIC_NAME]]="YLD_YTM_ASK"),_bbt3[[#All],[METRIC_VALUE]])*0.5)+(_xlfn.XLOOKUP(1,(_bbt3[[#All],[ID]]=A1261)*(_bbt3[[#All],[METRIC_NAME]]="YLD_YTM_BID"),_bbt3[[#All],[METRIC_VALUE]])*0.5))/100,"")</f>
        <v/>
      </c>
      <c r="J1261">
        <f>IF(ISNA(VLOOKUP(A1261,'CloseDL - PriceSaverBBT3'!A:E,5,0)),0,VLOOKUP(A1261,'CloseDL - PriceSaverBBT3'!A:E,5,0))</f>
        <v>0</v>
      </c>
      <c r="K1261" s="7" t="str">
        <f t="shared" si="183"/>
        <v/>
      </c>
      <c r="L1261" s="20">
        <f>IF(Close[[#This Row],[CreatedBy]]="MARINER\SilverAdm",1,0)</f>
        <v>1</v>
      </c>
      <c r="M1261" t="str">
        <f>IF(NOT(ISBLANK(A1261)),VLOOKUP(A1261,'Close - PriceSaver'!A:J,6,0),"")</f>
        <v/>
      </c>
      <c r="Q1261" t="e">
        <f t="shared" si="184"/>
        <v>#N/A</v>
      </c>
      <c r="R1261" t="e">
        <f t="shared" si="185"/>
        <v>#N/A</v>
      </c>
      <c r="S1261" t="e">
        <f t="shared" si="186"/>
        <v>#N/A</v>
      </c>
      <c r="T1261" s="15" t="e">
        <f t="shared" si="188"/>
        <v>#N/A</v>
      </c>
      <c r="U1261" s="18" t="e">
        <f t="shared" si="189"/>
        <v>#N/A</v>
      </c>
      <c r="V1261" s="14" t="e">
        <f t="shared" si="187"/>
        <v>#N/A</v>
      </c>
      <c r="W1261" s="19" t="e">
        <f t="shared" si="190"/>
        <v>#N/A</v>
      </c>
      <c r="X1261" t="e">
        <f>VLOOKUP(P1261,Close[[ID]:[CreatedBy]],8,0)</f>
        <v>#N/A</v>
      </c>
    </row>
    <row r="1262" spans="2:24" x14ac:dyDescent="0.35">
      <c r="B1262" t="str">
        <f>IF(NOT(ISBLANK(A1262)),VLOOKUP(A1262,'BBT3'!A:F,2,0),"")</f>
        <v/>
      </c>
      <c r="C1262" t="str">
        <f>IF(NOT(ISBLANK(A1262)),VLOOKUP(A1262,'BBT3'!A:F,3,0),"")</f>
        <v/>
      </c>
      <c r="D1262" s="5" t="str">
        <f>IF(NOT(ISBLANK(A1262)),VLOOKUP(A1262,'BBT3'!A:F,4,1),"")</f>
        <v/>
      </c>
      <c r="E1262" t="str">
        <f>IF(NOT(ISBLANK(A1262)),VLOOKUP(A1262,'BBT3'!A:F,5,0),"")</f>
        <v/>
      </c>
      <c r="F1262" t="str">
        <f>IF(NOT(ISBLANK(A1262)),VLOOKUP(A1262,'BBT3'!A:F,6,0),"")</f>
        <v/>
      </c>
      <c r="G1262" t="str">
        <f t="shared" si="182"/>
        <v/>
      </c>
      <c r="H1262" t="str">
        <f>IF(NOT(ISBLANK(A1262)),VLOOKUP(A1262,'Close - PriceSaver'!A:J,5,0),"")</f>
        <v/>
      </c>
      <c r="I1262" s="4" t="str" cm="1">
        <f t="array" ref="I1262">IF(NOT(ISBLANK(A1262)),((_xlfn.XLOOKUP(1,(_bbt3[[#All],[ID]]=A1262)*(_bbt3[[#All],[METRIC_NAME]]="YLD_YTM_ASK"),_bbt3[[#All],[METRIC_VALUE]])*0.5)+(_xlfn.XLOOKUP(1,(_bbt3[[#All],[ID]]=A1262)*(_bbt3[[#All],[METRIC_NAME]]="YLD_YTM_BID"),_bbt3[[#All],[METRIC_VALUE]])*0.5))/100,"")</f>
        <v/>
      </c>
      <c r="J1262">
        <f>IF(ISNA(VLOOKUP(A1262,'CloseDL - PriceSaverBBT3'!A:E,5,0)),0,VLOOKUP(A1262,'CloseDL - PriceSaverBBT3'!A:E,5,0))</f>
        <v>0</v>
      </c>
      <c r="K1262" s="7" t="str">
        <f t="shared" si="183"/>
        <v/>
      </c>
      <c r="L1262" s="20">
        <f>IF(Close[[#This Row],[CreatedBy]]="MARINER\SilverAdm",1,0)</f>
        <v>1</v>
      </c>
      <c r="M1262" t="str">
        <f>IF(NOT(ISBLANK(A1262)),VLOOKUP(A1262,'Close - PriceSaver'!A:J,6,0),"")</f>
        <v/>
      </c>
      <c r="Q1262" t="e">
        <f t="shared" si="184"/>
        <v>#N/A</v>
      </c>
      <c r="R1262" t="e">
        <f t="shared" si="185"/>
        <v>#N/A</v>
      </c>
      <c r="S1262" t="e">
        <f t="shared" si="186"/>
        <v>#N/A</v>
      </c>
      <c r="T1262" s="15" t="e">
        <f t="shared" si="188"/>
        <v>#N/A</v>
      </c>
      <c r="U1262" s="18" t="e">
        <f t="shared" si="189"/>
        <v>#N/A</v>
      </c>
      <c r="V1262" s="14" t="e">
        <f t="shared" si="187"/>
        <v>#N/A</v>
      </c>
      <c r="W1262" s="19" t="e">
        <f t="shared" si="190"/>
        <v>#N/A</v>
      </c>
      <c r="X1262" t="e">
        <f>VLOOKUP(P1262,Close[[ID]:[CreatedBy]],8,0)</f>
        <v>#N/A</v>
      </c>
    </row>
    <row r="1263" spans="2:24" x14ac:dyDescent="0.35">
      <c r="B1263" t="str">
        <f>IF(NOT(ISBLANK(A1263)),VLOOKUP(A1263,'BBT3'!A:F,2,0),"")</f>
        <v/>
      </c>
      <c r="C1263" t="str">
        <f>IF(NOT(ISBLANK(A1263)),VLOOKUP(A1263,'BBT3'!A:F,3,0),"")</f>
        <v/>
      </c>
      <c r="D1263" s="5" t="str">
        <f>IF(NOT(ISBLANK(A1263)),VLOOKUP(A1263,'BBT3'!A:F,4,1),"")</f>
        <v/>
      </c>
      <c r="E1263" t="str">
        <f>IF(NOT(ISBLANK(A1263)),VLOOKUP(A1263,'BBT3'!A:F,5,0),"")</f>
        <v/>
      </c>
      <c r="F1263" t="str">
        <f>IF(NOT(ISBLANK(A1263)),VLOOKUP(A1263,'BBT3'!A:F,6,0),"")</f>
        <v/>
      </c>
      <c r="G1263" t="str">
        <f t="shared" si="182"/>
        <v/>
      </c>
      <c r="H1263" t="str">
        <f>IF(NOT(ISBLANK(A1263)),VLOOKUP(A1263,'Close - PriceSaver'!A:J,5,0),"")</f>
        <v/>
      </c>
      <c r="I1263" s="4" t="str" cm="1">
        <f t="array" ref="I1263">IF(NOT(ISBLANK(A1263)),((_xlfn.XLOOKUP(1,(_bbt3[[#All],[ID]]=A1263)*(_bbt3[[#All],[METRIC_NAME]]="YLD_YTM_ASK"),_bbt3[[#All],[METRIC_VALUE]])*0.5)+(_xlfn.XLOOKUP(1,(_bbt3[[#All],[ID]]=A1263)*(_bbt3[[#All],[METRIC_NAME]]="YLD_YTM_BID"),_bbt3[[#All],[METRIC_VALUE]])*0.5))/100,"")</f>
        <v/>
      </c>
      <c r="J1263">
        <f>IF(ISNA(VLOOKUP(A1263,'CloseDL - PriceSaverBBT3'!A:E,5,0)),0,VLOOKUP(A1263,'CloseDL - PriceSaverBBT3'!A:E,5,0))</f>
        <v>0</v>
      </c>
      <c r="K1263" s="7" t="str">
        <f t="shared" si="183"/>
        <v/>
      </c>
      <c r="L1263" s="20">
        <f>IF(Close[[#This Row],[CreatedBy]]="MARINER\SilverAdm",1,0)</f>
        <v>1</v>
      </c>
      <c r="M1263" t="str">
        <f>IF(NOT(ISBLANK(A1263)),VLOOKUP(A1263,'Close - PriceSaver'!A:J,6,0),"")</f>
        <v/>
      </c>
      <c r="Q1263" t="e">
        <f t="shared" si="184"/>
        <v>#N/A</v>
      </c>
      <c r="R1263" t="e">
        <f t="shared" si="185"/>
        <v>#N/A</v>
      </c>
      <c r="S1263" t="e">
        <f t="shared" si="186"/>
        <v>#N/A</v>
      </c>
      <c r="T1263" s="15" t="e">
        <f t="shared" si="188"/>
        <v>#N/A</v>
      </c>
      <c r="U1263" s="18" t="e">
        <f t="shared" si="189"/>
        <v>#N/A</v>
      </c>
      <c r="V1263" s="14" t="e">
        <f t="shared" si="187"/>
        <v>#N/A</v>
      </c>
      <c r="W1263" s="19" t="e">
        <f t="shared" si="190"/>
        <v>#N/A</v>
      </c>
      <c r="X1263" t="e">
        <f>VLOOKUP(P1263,Close[[ID]:[CreatedBy]],8,0)</f>
        <v>#N/A</v>
      </c>
    </row>
    <row r="1264" spans="2:24" x14ac:dyDescent="0.35">
      <c r="B1264" t="str">
        <f>IF(NOT(ISBLANK(A1264)),VLOOKUP(A1264,'BBT3'!A:F,2,0),"")</f>
        <v/>
      </c>
      <c r="C1264" t="str">
        <f>IF(NOT(ISBLANK(A1264)),VLOOKUP(A1264,'BBT3'!A:F,3,0),"")</f>
        <v/>
      </c>
      <c r="D1264" s="5" t="str">
        <f>IF(NOT(ISBLANK(A1264)),VLOOKUP(A1264,'BBT3'!A:F,4,1),"")</f>
        <v/>
      </c>
      <c r="E1264" t="str">
        <f>IF(NOT(ISBLANK(A1264)),VLOOKUP(A1264,'BBT3'!A:F,5,0),"")</f>
        <v/>
      </c>
      <c r="F1264" t="str">
        <f>IF(NOT(ISBLANK(A1264)),VLOOKUP(A1264,'BBT3'!A:F,6,0),"")</f>
        <v/>
      </c>
      <c r="G1264" t="str">
        <f t="shared" si="182"/>
        <v/>
      </c>
      <c r="H1264" t="str">
        <f>IF(NOT(ISBLANK(A1264)),VLOOKUP(A1264,'Close - PriceSaver'!A:J,5,0),"")</f>
        <v/>
      </c>
      <c r="I1264" s="4" t="str" cm="1">
        <f t="array" ref="I1264">IF(NOT(ISBLANK(A1264)),((_xlfn.XLOOKUP(1,(_bbt3[[#All],[ID]]=A1264)*(_bbt3[[#All],[METRIC_NAME]]="YLD_YTM_ASK"),_bbt3[[#All],[METRIC_VALUE]])*0.5)+(_xlfn.XLOOKUP(1,(_bbt3[[#All],[ID]]=A1264)*(_bbt3[[#All],[METRIC_NAME]]="YLD_YTM_BID"),_bbt3[[#All],[METRIC_VALUE]])*0.5))/100,"")</f>
        <v/>
      </c>
      <c r="J1264">
        <f>IF(ISNA(VLOOKUP(A1264,'CloseDL - PriceSaverBBT3'!A:E,5,0)),0,VLOOKUP(A1264,'CloseDL - PriceSaverBBT3'!A:E,5,0))</f>
        <v>0</v>
      </c>
      <c r="K1264" s="7" t="str">
        <f t="shared" si="183"/>
        <v/>
      </c>
      <c r="L1264" s="20">
        <f>IF(Close[[#This Row],[CreatedBy]]="MARINER\SilverAdm",1,0)</f>
        <v>1</v>
      </c>
      <c r="M1264" t="str">
        <f>IF(NOT(ISBLANK(A1264)),VLOOKUP(A1264,'Close - PriceSaver'!A:J,6,0),"")</f>
        <v/>
      </c>
      <c r="Q1264" t="e">
        <f t="shared" si="184"/>
        <v>#N/A</v>
      </c>
      <c r="R1264" t="e">
        <f t="shared" si="185"/>
        <v>#N/A</v>
      </c>
      <c r="S1264" t="e">
        <f t="shared" si="186"/>
        <v>#N/A</v>
      </c>
      <c r="T1264" s="15" t="e">
        <f t="shared" si="188"/>
        <v>#N/A</v>
      </c>
      <c r="U1264" s="18" t="e">
        <f t="shared" si="189"/>
        <v>#N/A</v>
      </c>
      <c r="V1264" s="14" t="e">
        <f t="shared" si="187"/>
        <v>#N/A</v>
      </c>
      <c r="W1264" s="19" t="e">
        <f t="shared" si="190"/>
        <v>#N/A</v>
      </c>
      <c r="X1264" t="e">
        <f>VLOOKUP(P1264,Close[[ID]:[CreatedBy]],8,0)</f>
        <v>#N/A</v>
      </c>
    </row>
    <row r="1265" spans="2:24" x14ac:dyDescent="0.35">
      <c r="B1265" t="str">
        <f>IF(NOT(ISBLANK(A1265)),VLOOKUP(A1265,'BBT3'!A:F,2,0),"")</f>
        <v/>
      </c>
      <c r="C1265" t="str">
        <f>IF(NOT(ISBLANK(A1265)),VLOOKUP(A1265,'BBT3'!A:F,3,0),"")</f>
        <v/>
      </c>
      <c r="D1265" s="5" t="str">
        <f>IF(NOT(ISBLANK(A1265)),VLOOKUP(A1265,'BBT3'!A:F,4,1),"")</f>
        <v/>
      </c>
      <c r="E1265" t="str">
        <f>IF(NOT(ISBLANK(A1265)),VLOOKUP(A1265,'BBT3'!A:F,5,0),"")</f>
        <v/>
      </c>
      <c r="F1265" t="str">
        <f>IF(NOT(ISBLANK(A1265)),VLOOKUP(A1265,'BBT3'!A:F,6,0),"")</f>
        <v/>
      </c>
      <c r="G1265" t="str">
        <f t="shared" si="182"/>
        <v/>
      </c>
      <c r="H1265" t="str">
        <f>IF(NOT(ISBLANK(A1265)),VLOOKUP(A1265,'Close - PriceSaver'!A:J,5,0),"")</f>
        <v/>
      </c>
      <c r="I1265" s="4" t="str" cm="1">
        <f t="array" ref="I1265">IF(NOT(ISBLANK(A1265)),((_xlfn.XLOOKUP(1,(_bbt3[[#All],[ID]]=A1265)*(_bbt3[[#All],[METRIC_NAME]]="YLD_YTM_ASK"),_bbt3[[#All],[METRIC_VALUE]])*0.5)+(_xlfn.XLOOKUP(1,(_bbt3[[#All],[ID]]=A1265)*(_bbt3[[#All],[METRIC_NAME]]="YLD_YTM_BID"),_bbt3[[#All],[METRIC_VALUE]])*0.5))/100,"")</f>
        <v/>
      </c>
      <c r="J1265">
        <f>IF(ISNA(VLOOKUP(A1265,'CloseDL - PriceSaverBBT3'!A:E,5,0)),0,VLOOKUP(A1265,'CloseDL - PriceSaverBBT3'!A:E,5,0))</f>
        <v>0</v>
      </c>
      <c r="K1265" s="7" t="str">
        <f t="shared" si="183"/>
        <v/>
      </c>
      <c r="L1265" s="20">
        <f>IF(Close[[#This Row],[CreatedBy]]="MARINER\SilverAdm",1,0)</f>
        <v>1</v>
      </c>
      <c r="M1265" t="str">
        <f>IF(NOT(ISBLANK(A1265)),VLOOKUP(A1265,'Close - PriceSaver'!A:J,6,0),"")</f>
        <v/>
      </c>
      <c r="Q1265" t="e">
        <f t="shared" si="184"/>
        <v>#N/A</v>
      </c>
      <c r="R1265" t="e">
        <f t="shared" si="185"/>
        <v>#N/A</v>
      </c>
      <c r="S1265" t="e">
        <f t="shared" si="186"/>
        <v>#N/A</v>
      </c>
      <c r="T1265" s="15" t="e">
        <f t="shared" si="188"/>
        <v>#N/A</v>
      </c>
      <c r="U1265" s="18" t="e">
        <f t="shared" si="189"/>
        <v>#N/A</v>
      </c>
      <c r="V1265" s="14" t="e">
        <f t="shared" si="187"/>
        <v>#N/A</v>
      </c>
      <c r="W1265" s="19" t="e">
        <f t="shared" si="190"/>
        <v>#N/A</v>
      </c>
      <c r="X1265" t="e">
        <f>VLOOKUP(P1265,Close[[ID]:[CreatedBy]],8,0)</f>
        <v>#N/A</v>
      </c>
    </row>
    <row r="1266" spans="2:24" x14ac:dyDescent="0.35">
      <c r="B1266" t="str">
        <f>IF(NOT(ISBLANK(A1266)),VLOOKUP(A1266,'BBT3'!A:F,2,0),"")</f>
        <v/>
      </c>
      <c r="C1266" t="str">
        <f>IF(NOT(ISBLANK(A1266)),VLOOKUP(A1266,'BBT3'!A:F,3,0),"")</f>
        <v/>
      </c>
      <c r="D1266" s="5" t="str">
        <f>IF(NOT(ISBLANK(A1266)),VLOOKUP(A1266,'BBT3'!A:F,4,1),"")</f>
        <v/>
      </c>
      <c r="E1266" t="str">
        <f>IF(NOT(ISBLANK(A1266)),VLOOKUP(A1266,'BBT3'!A:F,5,0),"")</f>
        <v/>
      </c>
      <c r="F1266" t="str">
        <f>IF(NOT(ISBLANK(A1266)),VLOOKUP(A1266,'BBT3'!A:F,6,0),"")</f>
        <v/>
      </c>
      <c r="G1266" t="str">
        <f t="shared" si="182"/>
        <v/>
      </c>
      <c r="H1266" t="str">
        <f>IF(NOT(ISBLANK(A1266)),VLOOKUP(A1266,'Close - PriceSaver'!A:J,5,0),"")</f>
        <v/>
      </c>
      <c r="I1266" s="4" t="str" cm="1">
        <f t="array" ref="I1266">IF(NOT(ISBLANK(A1266)),((_xlfn.XLOOKUP(1,(_bbt3[[#All],[ID]]=A1266)*(_bbt3[[#All],[METRIC_NAME]]="YLD_YTM_ASK"),_bbt3[[#All],[METRIC_VALUE]])*0.5)+(_xlfn.XLOOKUP(1,(_bbt3[[#All],[ID]]=A1266)*(_bbt3[[#All],[METRIC_NAME]]="YLD_YTM_BID"),_bbt3[[#All],[METRIC_VALUE]])*0.5))/100,"")</f>
        <v/>
      </c>
      <c r="J1266">
        <f>IF(ISNA(VLOOKUP(A1266,'CloseDL - PriceSaverBBT3'!A:E,5,0)),0,VLOOKUP(A1266,'CloseDL - PriceSaverBBT3'!A:E,5,0))</f>
        <v>0</v>
      </c>
      <c r="K1266" s="7" t="str">
        <f t="shared" si="183"/>
        <v/>
      </c>
      <c r="L1266" s="20">
        <f>IF(Close[[#This Row],[CreatedBy]]="MARINER\SilverAdm",1,0)</f>
        <v>1</v>
      </c>
      <c r="M1266" t="str">
        <f>IF(NOT(ISBLANK(A1266)),VLOOKUP(A1266,'Close - PriceSaver'!A:J,6,0),"")</f>
        <v/>
      </c>
      <c r="Q1266" t="e">
        <f t="shared" si="184"/>
        <v>#N/A</v>
      </c>
      <c r="R1266" t="e">
        <f t="shared" si="185"/>
        <v>#N/A</v>
      </c>
      <c r="S1266" t="e">
        <f t="shared" si="186"/>
        <v>#N/A</v>
      </c>
      <c r="T1266" s="15" t="e">
        <f t="shared" si="188"/>
        <v>#N/A</v>
      </c>
      <c r="U1266" s="18" t="e">
        <f t="shared" si="189"/>
        <v>#N/A</v>
      </c>
      <c r="V1266" s="14" t="e">
        <f t="shared" si="187"/>
        <v>#N/A</v>
      </c>
      <c r="W1266" s="19" t="e">
        <f t="shared" si="190"/>
        <v>#N/A</v>
      </c>
      <c r="X1266" t="e">
        <f>VLOOKUP(P1266,Close[[ID]:[CreatedBy]],8,0)</f>
        <v>#N/A</v>
      </c>
    </row>
    <row r="1267" spans="2:24" x14ac:dyDescent="0.35">
      <c r="B1267" t="str">
        <f>IF(NOT(ISBLANK(A1267)),VLOOKUP(A1267,'BBT3'!A:F,2,0),"")</f>
        <v/>
      </c>
      <c r="C1267" t="str">
        <f>IF(NOT(ISBLANK(A1267)),VLOOKUP(A1267,'BBT3'!A:F,3,0),"")</f>
        <v/>
      </c>
      <c r="D1267" s="5" t="str">
        <f>IF(NOT(ISBLANK(A1267)),VLOOKUP(A1267,'BBT3'!A:F,4,1),"")</f>
        <v/>
      </c>
      <c r="E1267" t="str">
        <f>IF(NOT(ISBLANK(A1267)),VLOOKUP(A1267,'BBT3'!A:F,5,0),"")</f>
        <v/>
      </c>
      <c r="F1267" t="str">
        <f>IF(NOT(ISBLANK(A1267)),VLOOKUP(A1267,'BBT3'!A:F,6,0),"")</f>
        <v/>
      </c>
      <c r="G1267" t="str">
        <f t="shared" si="182"/>
        <v/>
      </c>
      <c r="H1267" t="str">
        <f>IF(NOT(ISBLANK(A1267)),VLOOKUP(A1267,'Close - PriceSaver'!A:J,5,0),"")</f>
        <v/>
      </c>
      <c r="I1267" s="4" t="str" cm="1">
        <f t="array" ref="I1267">IF(NOT(ISBLANK(A1267)),((_xlfn.XLOOKUP(1,(_bbt3[[#All],[ID]]=A1267)*(_bbt3[[#All],[METRIC_NAME]]="YLD_YTM_ASK"),_bbt3[[#All],[METRIC_VALUE]])*0.5)+(_xlfn.XLOOKUP(1,(_bbt3[[#All],[ID]]=A1267)*(_bbt3[[#All],[METRIC_NAME]]="YLD_YTM_BID"),_bbt3[[#All],[METRIC_VALUE]])*0.5))/100,"")</f>
        <v/>
      </c>
      <c r="J1267">
        <f>IF(ISNA(VLOOKUP(A1267,'CloseDL - PriceSaverBBT3'!A:E,5,0)),0,VLOOKUP(A1267,'CloseDL - PriceSaverBBT3'!A:E,5,0))</f>
        <v>0</v>
      </c>
      <c r="K1267" s="7" t="str">
        <f t="shared" si="183"/>
        <v/>
      </c>
      <c r="L1267" s="20">
        <f>IF(Close[[#This Row],[CreatedBy]]="MARINER\SilverAdm",1,0)</f>
        <v>1</v>
      </c>
      <c r="M1267" t="str">
        <f>IF(NOT(ISBLANK(A1267)),VLOOKUP(A1267,'Close - PriceSaver'!A:J,6,0),"")</f>
        <v/>
      </c>
      <c r="Q1267" t="e">
        <f t="shared" si="184"/>
        <v>#N/A</v>
      </c>
      <c r="R1267" t="e">
        <f t="shared" si="185"/>
        <v>#N/A</v>
      </c>
      <c r="S1267" t="e">
        <f t="shared" si="186"/>
        <v>#N/A</v>
      </c>
      <c r="T1267" s="15" t="e">
        <f t="shared" si="188"/>
        <v>#N/A</v>
      </c>
      <c r="U1267" s="18" t="e">
        <f t="shared" si="189"/>
        <v>#N/A</v>
      </c>
      <c r="V1267" s="14" t="e">
        <f t="shared" si="187"/>
        <v>#N/A</v>
      </c>
      <c r="W1267" s="19" t="e">
        <f t="shared" si="190"/>
        <v>#N/A</v>
      </c>
      <c r="X1267" t="e">
        <f>VLOOKUP(P1267,Close[[ID]:[CreatedBy]],8,0)</f>
        <v>#N/A</v>
      </c>
    </row>
    <row r="1268" spans="2:24" x14ac:dyDescent="0.35">
      <c r="B1268" t="str">
        <f>IF(NOT(ISBLANK(A1268)),VLOOKUP(A1268,'BBT3'!A:F,2,0),"")</f>
        <v/>
      </c>
      <c r="C1268" t="str">
        <f>IF(NOT(ISBLANK(A1268)),VLOOKUP(A1268,'BBT3'!A:F,3,0),"")</f>
        <v/>
      </c>
      <c r="D1268" s="5" t="str">
        <f>IF(NOT(ISBLANK(A1268)),VLOOKUP(A1268,'BBT3'!A:F,4,1),"")</f>
        <v/>
      </c>
      <c r="E1268" t="str">
        <f>IF(NOT(ISBLANK(A1268)),VLOOKUP(A1268,'BBT3'!A:F,5,0),"")</f>
        <v/>
      </c>
      <c r="F1268" t="str">
        <f>IF(NOT(ISBLANK(A1268)),VLOOKUP(A1268,'BBT3'!A:F,6,0),"")</f>
        <v/>
      </c>
      <c r="G1268" t="str">
        <f t="shared" si="182"/>
        <v/>
      </c>
      <c r="H1268" t="str">
        <f>IF(NOT(ISBLANK(A1268)),VLOOKUP(A1268,'Close - PriceSaver'!A:J,5,0),"")</f>
        <v/>
      </c>
      <c r="I1268" s="4" t="str" cm="1">
        <f t="array" ref="I1268">IF(NOT(ISBLANK(A1268)),((_xlfn.XLOOKUP(1,(_bbt3[[#All],[ID]]=A1268)*(_bbt3[[#All],[METRIC_NAME]]="YLD_YTM_ASK"),_bbt3[[#All],[METRIC_VALUE]])*0.5)+(_xlfn.XLOOKUP(1,(_bbt3[[#All],[ID]]=A1268)*(_bbt3[[#All],[METRIC_NAME]]="YLD_YTM_BID"),_bbt3[[#All],[METRIC_VALUE]])*0.5))/100,"")</f>
        <v/>
      </c>
      <c r="J1268">
        <f>IF(ISNA(VLOOKUP(A1268,'CloseDL - PriceSaverBBT3'!A:E,5,0)),0,VLOOKUP(A1268,'CloseDL - PriceSaverBBT3'!A:E,5,0))</f>
        <v>0</v>
      </c>
      <c r="K1268" s="7" t="str">
        <f t="shared" si="183"/>
        <v/>
      </c>
      <c r="L1268" s="20">
        <f>IF(Close[[#This Row],[CreatedBy]]="MARINER\SilverAdm",1,0)</f>
        <v>1</v>
      </c>
      <c r="M1268" t="str">
        <f>IF(NOT(ISBLANK(A1268)),VLOOKUP(A1268,'Close - PriceSaver'!A:J,6,0),"")</f>
        <v/>
      </c>
      <c r="Q1268" t="e">
        <f t="shared" si="184"/>
        <v>#N/A</v>
      </c>
      <c r="R1268" t="e">
        <f t="shared" si="185"/>
        <v>#N/A</v>
      </c>
      <c r="S1268" t="e">
        <f t="shared" si="186"/>
        <v>#N/A</v>
      </c>
      <c r="T1268" s="15" t="e">
        <f t="shared" si="188"/>
        <v>#N/A</v>
      </c>
      <c r="U1268" s="18" t="e">
        <f t="shared" si="189"/>
        <v>#N/A</v>
      </c>
      <c r="V1268" s="14" t="e">
        <f t="shared" si="187"/>
        <v>#N/A</v>
      </c>
      <c r="W1268" s="19" t="e">
        <f t="shared" si="190"/>
        <v>#N/A</v>
      </c>
      <c r="X1268" t="e">
        <f>VLOOKUP(P1268,Close[[ID]:[CreatedBy]],8,0)</f>
        <v>#N/A</v>
      </c>
    </row>
    <row r="1269" spans="2:24" x14ac:dyDescent="0.35">
      <c r="B1269" t="str">
        <f>IF(NOT(ISBLANK(A1269)),VLOOKUP(A1269,'BBT3'!A:F,2,0),"")</f>
        <v/>
      </c>
      <c r="C1269" t="str">
        <f>IF(NOT(ISBLANK(A1269)),VLOOKUP(A1269,'BBT3'!A:F,3,0),"")</f>
        <v/>
      </c>
      <c r="D1269" s="5" t="str">
        <f>IF(NOT(ISBLANK(A1269)),VLOOKUP(A1269,'BBT3'!A:F,4,1),"")</f>
        <v/>
      </c>
      <c r="E1269" t="str">
        <f>IF(NOT(ISBLANK(A1269)),VLOOKUP(A1269,'BBT3'!A:F,5,0),"")</f>
        <v/>
      </c>
      <c r="F1269" t="str">
        <f>IF(NOT(ISBLANK(A1269)),VLOOKUP(A1269,'BBT3'!A:F,6,0),"")</f>
        <v/>
      </c>
      <c r="G1269" t="str">
        <f t="shared" si="182"/>
        <v/>
      </c>
      <c r="H1269" t="str">
        <f>IF(NOT(ISBLANK(A1269)),VLOOKUP(A1269,'Close - PriceSaver'!A:J,5,0),"")</f>
        <v/>
      </c>
      <c r="I1269" s="4" t="str" cm="1">
        <f t="array" ref="I1269">IF(NOT(ISBLANK(A1269)),((_xlfn.XLOOKUP(1,(_bbt3[[#All],[ID]]=A1269)*(_bbt3[[#All],[METRIC_NAME]]="YLD_YTM_ASK"),_bbt3[[#All],[METRIC_VALUE]])*0.5)+(_xlfn.XLOOKUP(1,(_bbt3[[#All],[ID]]=A1269)*(_bbt3[[#All],[METRIC_NAME]]="YLD_YTM_BID"),_bbt3[[#All],[METRIC_VALUE]])*0.5))/100,"")</f>
        <v/>
      </c>
      <c r="J1269">
        <f>IF(ISNA(VLOOKUP(A1269,'CloseDL - PriceSaverBBT3'!A:E,5,0)),0,VLOOKUP(A1269,'CloseDL - PriceSaverBBT3'!A:E,5,0))</f>
        <v>0</v>
      </c>
      <c r="K1269" s="7" t="str">
        <f t="shared" si="183"/>
        <v/>
      </c>
      <c r="L1269" s="20">
        <f>IF(Close[[#This Row],[CreatedBy]]="MARINER\SilverAdm",1,0)</f>
        <v>1</v>
      </c>
      <c r="M1269" t="str">
        <f>IF(NOT(ISBLANK(A1269)),VLOOKUP(A1269,'Close - PriceSaver'!A:J,6,0),"")</f>
        <v/>
      </c>
      <c r="Q1269" t="e">
        <f t="shared" si="184"/>
        <v>#N/A</v>
      </c>
      <c r="R1269" t="e">
        <f t="shared" si="185"/>
        <v>#N/A</v>
      </c>
      <c r="S1269" t="e">
        <f t="shared" si="186"/>
        <v>#N/A</v>
      </c>
      <c r="T1269" s="15" t="e">
        <f t="shared" si="188"/>
        <v>#N/A</v>
      </c>
      <c r="U1269" s="18" t="e">
        <f t="shared" si="189"/>
        <v>#N/A</v>
      </c>
      <c r="V1269" s="14" t="e">
        <f t="shared" si="187"/>
        <v>#N/A</v>
      </c>
      <c r="W1269" s="19" t="e">
        <f t="shared" si="190"/>
        <v>#N/A</v>
      </c>
      <c r="X1269" t="e">
        <f>VLOOKUP(P1269,Close[[ID]:[CreatedBy]],8,0)</f>
        <v>#N/A</v>
      </c>
    </row>
    <row r="1270" spans="2:24" x14ac:dyDescent="0.35">
      <c r="B1270" t="str">
        <f>IF(NOT(ISBLANK(A1270)),VLOOKUP(A1270,'BBT3'!A:F,2,0),"")</f>
        <v/>
      </c>
      <c r="C1270" t="str">
        <f>IF(NOT(ISBLANK(A1270)),VLOOKUP(A1270,'BBT3'!A:F,3,0),"")</f>
        <v/>
      </c>
      <c r="D1270" s="5" t="str">
        <f>IF(NOT(ISBLANK(A1270)),VLOOKUP(A1270,'BBT3'!A:F,4,1),"")</f>
        <v/>
      </c>
      <c r="E1270" t="str">
        <f>IF(NOT(ISBLANK(A1270)),VLOOKUP(A1270,'BBT3'!A:F,5,0),"")</f>
        <v/>
      </c>
      <c r="F1270" t="str">
        <f>IF(NOT(ISBLANK(A1270)),VLOOKUP(A1270,'BBT3'!A:F,6,0),"")</f>
        <v/>
      </c>
      <c r="G1270" t="str">
        <f t="shared" si="182"/>
        <v/>
      </c>
      <c r="H1270" t="str">
        <f>IF(NOT(ISBLANK(A1270)),VLOOKUP(A1270,'Close - PriceSaver'!A:J,5,0),"")</f>
        <v/>
      </c>
      <c r="I1270" s="4" t="str" cm="1">
        <f t="array" ref="I1270">IF(NOT(ISBLANK(A1270)),((_xlfn.XLOOKUP(1,(_bbt3[[#All],[ID]]=A1270)*(_bbt3[[#All],[METRIC_NAME]]="YLD_YTM_ASK"),_bbt3[[#All],[METRIC_VALUE]])*0.5)+(_xlfn.XLOOKUP(1,(_bbt3[[#All],[ID]]=A1270)*(_bbt3[[#All],[METRIC_NAME]]="YLD_YTM_BID"),_bbt3[[#All],[METRIC_VALUE]])*0.5))/100,"")</f>
        <v/>
      </c>
      <c r="J1270">
        <f>IF(ISNA(VLOOKUP(A1270,'CloseDL - PriceSaverBBT3'!A:E,5,0)),0,VLOOKUP(A1270,'CloseDL - PriceSaverBBT3'!A:E,5,0))</f>
        <v>0</v>
      </c>
      <c r="K1270" s="7" t="str">
        <f t="shared" si="183"/>
        <v/>
      </c>
      <c r="L1270" s="20">
        <f>IF(Close[[#This Row],[CreatedBy]]="MARINER\SilverAdm",1,0)</f>
        <v>1</v>
      </c>
      <c r="M1270" t="str">
        <f>IF(NOT(ISBLANK(A1270)),VLOOKUP(A1270,'Close - PriceSaver'!A:J,6,0),"")</f>
        <v/>
      </c>
      <c r="Q1270" t="e">
        <f t="shared" si="184"/>
        <v>#N/A</v>
      </c>
      <c r="R1270" t="e">
        <f t="shared" si="185"/>
        <v>#N/A</v>
      </c>
      <c r="S1270" t="e">
        <f t="shared" si="186"/>
        <v>#N/A</v>
      </c>
      <c r="T1270" s="15" t="e">
        <f t="shared" si="188"/>
        <v>#N/A</v>
      </c>
      <c r="U1270" s="18" t="e">
        <f t="shared" si="189"/>
        <v>#N/A</v>
      </c>
      <c r="V1270" s="14" t="e">
        <f t="shared" si="187"/>
        <v>#N/A</v>
      </c>
      <c r="W1270" s="19" t="e">
        <f t="shared" si="190"/>
        <v>#N/A</v>
      </c>
      <c r="X1270" t="e">
        <f>VLOOKUP(P1270,Close[[ID]:[CreatedBy]],8,0)</f>
        <v>#N/A</v>
      </c>
    </row>
    <row r="1271" spans="2:24" x14ac:dyDescent="0.35">
      <c r="B1271" t="str">
        <f>IF(NOT(ISBLANK(A1271)),VLOOKUP(A1271,'BBT3'!A:F,2,0),"")</f>
        <v/>
      </c>
      <c r="C1271" t="str">
        <f>IF(NOT(ISBLANK(A1271)),VLOOKUP(A1271,'BBT3'!A:F,3,0),"")</f>
        <v/>
      </c>
      <c r="D1271" s="5" t="str">
        <f>IF(NOT(ISBLANK(A1271)),VLOOKUP(A1271,'BBT3'!A:F,4,1),"")</f>
        <v/>
      </c>
      <c r="E1271" t="str">
        <f>IF(NOT(ISBLANK(A1271)),VLOOKUP(A1271,'BBT3'!A:F,5,0),"")</f>
        <v/>
      </c>
      <c r="F1271" t="str">
        <f>IF(NOT(ISBLANK(A1271)),VLOOKUP(A1271,'BBT3'!A:F,6,0),"")</f>
        <v/>
      </c>
      <c r="G1271" t="str">
        <f t="shared" si="182"/>
        <v/>
      </c>
      <c r="H1271" t="str">
        <f>IF(NOT(ISBLANK(A1271)),VLOOKUP(A1271,'Close - PriceSaver'!A:J,5,0),"")</f>
        <v/>
      </c>
      <c r="I1271" s="4" t="str" cm="1">
        <f t="array" ref="I1271">IF(NOT(ISBLANK(A1271)),((_xlfn.XLOOKUP(1,(_bbt3[[#All],[ID]]=A1271)*(_bbt3[[#All],[METRIC_NAME]]="YLD_YTM_ASK"),_bbt3[[#All],[METRIC_VALUE]])*0.5)+(_xlfn.XLOOKUP(1,(_bbt3[[#All],[ID]]=A1271)*(_bbt3[[#All],[METRIC_NAME]]="YLD_YTM_BID"),_bbt3[[#All],[METRIC_VALUE]])*0.5))/100,"")</f>
        <v/>
      </c>
      <c r="J1271">
        <f>IF(ISNA(VLOOKUP(A1271,'CloseDL - PriceSaverBBT3'!A:E,5,0)),0,VLOOKUP(A1271,'CloseDL - PriceSaverBBT3'!A:E,5,0))</f>
        <v>0</v>
      </c>
      <c r="K1271" s="7" t="str">
        <f t="shared" si="183"/>
        <v/>
      </c>
      <c r="L1271" s="20">
        <f>IF(Close[[#This Row],[CreatedBy]]="MARINER\SilverAdm",1,0)</f>
        <v>1</v>
      </c>
      <c r="M1271" t="str">
        <f>IF(NOT(ISBLANK(A1271)),VLOOKUP(A1271,'Close - PriceSaver'!A:J,6,0),"")</f>
        <v/>
      </c>
      <c r="Q1271" t="e">
        <f t="shared" si="184"/>
        <v>#N/A</v>
      </c>
      <c r="R1271" t="e">
        <f t="shared" si="185"/>
        <v>#N/A</v>
      </c>
      <c r="S1271" t="e">
        <f t="shared" si="186"/>
        <v>#N/A</v>
      </c>
      <c r="T1271" s="15" t="e">
        <f t="shared" si="188"/>
        <v>#N/A</v>
      </c>
      <c r="U1271" s="18" t="e">
        <f t="shared" si="189"/>
        <v>#N/A</v>
      </c>
      <c r="V1271" s="14" t="e">
        <f t="shared" si="187"/>
        <v>#N/A</v>
      </c>
      <c r="W1271" s="19" t="e">
        <f t="shared" si="190"/>
        <v>#N/A</v>
      </c>
      <c r="X1271" t="e">
        <f>VLOOKUP(P1271,Close[[ID]:[CreatedBy]],8,0)</f>
        <v>#N/A</v>
      </c>
    </row>
    <row r="1272" spans="2:24" x14ac:dyDescent="0.35">
      <c r="B1272" t="str">
        <f>IF(NOT(ISBLANK(A1272)),VLOOKUP(A1272,'BBT3'!A:F,2,0),"")</f>
        <v/>
      </c>
      <c r="C1272" t="str">
        <f>IF(NOT(ISBLANK(A1272)),VLOOKUP(A1272,'BBT3'!A:F,3,0),"")</f>
        <v/>
      </c>
      <c r="D1272" s="5" t="str">
        <f>IF(NOT(ISBLANK(A1272)),VLOOKUP(A1272,'BBT3'!A:F,4,1),"")</f>
        <v/>
      </c>
      <c r="E1272" t="str">
        <f>IF(NOT(ISBLANK(A1272)),VLOOKUP(A1272,'BBT3'!A:F,5,0),"")</f>
        <v/>
      </c>
      <c r="F1272" t="str">
        <f>IF(NOT(ISBLANK(A1272)),VLOOKUP(A1272,'BBT3'!A:F,6,0),"")</f>
        <v/>
      </c>
      <c r="G1272" t="str">
        <f t="shared" si="182"/>
        <v/>
      </c>
      <c r="H1272" t="str">
        <f>IF(NOT(ISBLANK(A1272)),VLOOKUP(A1272,'Close - PriceSaver'!A:J,5,0),"")</f>
        <v/>
      </c>
      <c r="I1272" s="4" t="str" cm="1">
        <f t="array" ref="I1272">IF(NOT(ISBLANK(A1272)),((_xlfn.XLOOKUP(1,(_bbt3[[#All],[ID]]=A1272)*(_bbt3[[#All],[METRIC_NAME]]="YLD_YTM_ASK"),_bbt3[[#All],[METRIC_VALUE]])*0.5)+(_xlfn.XLOOKUP(1,(_bbt3[[#All],[ID]]=A1272)*(_bbt3[[#All],[METRIC_NAME]]="YLD_YTM_BID"),_bbt3[[#All],[METRIC_VALUE]])*0.5))/100,"")</f>
        <v/>
      </c>
      <c r="J1272">
        <f>IF(ISNA(VLOOKUP(A1272,'CloseDL - PriceSaverBBT3'!A:E,5,0)),0,VLOOKUP(A1272,'CloseDL - PriceSaverBBT3'!A:E,5,0))</f>
        <v>0</v>
      </c>
      <c r="K1272" s="7" t="str">
        <f t="shared" si="183"/>
        <v/>
      </c>
      <c r="L1272" s="20">
        <f>IF(Close[[#This Row],[CreatedBy]]="MARINER\SilverAdm",1,0)</f>
        <v>1</v>
      </c>
      <c r="M1272" t="str">
        <f>IF(NOT(ISBLANK(A1272)),VLOOKUP(A1272,'Close - PriceSaver'!A:J,6,0),"")</f>
        <v/>
      </c>
      <c r="Q1272" t="e">
        <f t="shared" si="184"/>
        <v>#N/A</v>
      </c>
      <c r="R1272" t="e">
        <f t="shared" si="185"/>
        <v>#N/A</v>
      </c>
      <c r="S1272" t="e">
        <f t="shared" si="186"/>
        <v>#N/A</v>
      </c>
      <c r="T1272" s="15" t="e">
        <f t="shared" si="188"/>
        <v>#N/A</v>
      </c>
      <c r="U1272" s="18" t="e">
        <f t="shared" si="189"/>
        <v>#N/A</v>
      </c>
      <c r="V1272" s="14" t="e">
        <f t="shared" si="187"/>
        <v>#N/A</v>
      </c>
      <c r="W1272" s="19" t="e">
        <f t="shared" si="190"/>
        <v>#N/A</v>
      </c>
      <c r="X1272" t="e">
        <f>VLOOKUP(P1272,Close[[ID]:[CreatedBy]],8,0)</f>
        <v>#N/A</v>
      </c>
    </row>
    <row r="1273" spans="2:24" x14ac:dyDescent="0.35">
      <c r="B1273" t="str">
        <f>IF(NOT(ISBLANK(A1273)),VLOOKUP(A1273,'BBT3'!A:F,2,0),"")</f>
        <v/>
      </c>
      <c r="C1273" t="str">
        <f>IF(NOT(ISBLANK(A1273)),VLOOKUP(A1273,'BBT3'!A:F,3,0),"")</f>
        <v/>
      </c>
      <c r="D1273" s="5" t="str">
        <f>IF(NOT(ISBLANK(A1273)),VLOOKUP(A1273,'BBT3'!A:F,4,1),"")</f>
        <v/>
      </c>
      <c r="E1273" t="str">
        <f>IF(NOT(ISBLANK(A1273)),VLOOKUP(A1273,'BBT3'!A:F,5,0),"")</f>
        <v/>
      </c>
      <c r="F1273" t="str">
        <f>IF(NOT(ISBLANK(A1273)),VLOOKUP(A1273,'BBT3'!A:F,6,0),"")</f>
        <v/>
      </c>
      <c r="G1273" t="str">
        <f t="shared" si="182"/>
        <v/>
      </c>
      <c r="H1273" t="str">
        <f>IF(NOT(ISBLANK(A1273)),VLOOKUP(A1273,'Close - PriceSaver'!A:J,5,0),"")</f>
        <v/>
      </c>
      <c r="I1273" s="4" t="str" cm="1">
        <f t="array" ref="I1273">IF(NOT(ISBLANK(A1273)),((_xlfn.XLOOKUP(1,(_bbt3[[#All],[ID]]=A1273)*(_bbt3[[#All],[METRIC_NAME]]="YLD_YTM_ASK"),_bbt3[[#All],[METRIC_VALUE]])*0.5)+(_xlfn.XLOOKUP(1,(_bbt3[[#All],[ID]]=A1273)*(_bbt3[[#All],[METRIC_NAME]]="YLD_YTM_BID"),_bbt3[[#All],[METRIC_VALUE]])*0.5))/100,"")</f>
        <v/>
      </c>
      <c r="J1273">
        <f>IF(ISNA(VLOOKUP(A1273,'CloseDL - PriceSaverBBT3'!A:E,5,0)),0,VLOOKUP(A1273,'CloseDL - PriceSaverBBT3'!A:E,5,0))</f>
        <v>0</v>
      </c>
      <c r="K1273" s="7" t="str">
        <f t="shared" si="183"/>
        <v/>
      </c>
      <c r="L1273" s="20">
        <f>IF(Close[[#This Row],[CreatedBy]]="MARINER\SilverAdm",1,0)</f>
        <v>1</v>
      </c>
      <c r="M1273" t="str">
        <f>IF(NOT(ISBLANK(A1273)),VLOOKUP(A1273,'Close - PriceSaver'!A:J,6,0),"")</f>
        <v/>
      </c>
      <c r="Q1273" t="e">
        <f t="shared" si="184"/>
        <v>#N/A</v>
      </c>
      <c r="R1273" t="e">
        <f t="shared" si="185"/>
        <v>#N/A</v>
      </c>
      <c r="S1273" t="e">
        <f t="shared" si="186"/>
        <v>#N/A</v>
      </c>
      <c r="T1273" s="15" t="e">
        <f t="shared" si="188"/>
        <v>#N/A</v>
      </c>
      <c r="U1273" s="18" t="e">
        <f t="shared" si="189"/>
        <v>#N/A</v>
      </c>
      <c r="V1273" s="14" t="e">
        <f t="shared" si="187"/>
        <v>#N/A</v>
      </c>
      <c r="W1273" s="19" t="e">
        <f t="shared" si="190"/>
        <v>#N/A</v>
      </c>
      <c r="X1273" t="e">
        <f>VLOOKUP(P1273,Close[[ID]:[CreatedBy]],8,0)</f>
        <v>#N/A</v>
      </c>
    </row>
    <row r="1274" spans="2:24" x14ac:dyDescent="0.35">
      <c r="B1274" t="str">
        <f>IF(NOT(ISBLANK(A1274)),VLOOKUP(A1274,'BBT3'!A:F,2,0),"")</f>
        <v/>
      </c>
      <c r="C1274" t="str">
        <f>IF(NOT(ISBLANK(A1274)),VLOOKUP(A1274,'BBT3'!A:F,3,0),"")</f>
        <v/>
      </c>
      <c r="D1274" s="5" t="str">
        <f>IF(NOT(ISBLANK(A1274)),VLOOKUP(A1274,'BBT3'!A:F,4,1),"")</f>
        <v/>
      </c>
      <c r="E1274" t="str">
        <f>IF(NOT(ISBLANK(A1274)),VLOOKUP(A1274,'BBT3'!A:F,5,0),"")</f>
        <v/>
      </c>
      <c r="F1274" t="str">
        <f>IF(NOT(ISBLANK(A1274)),VLOOKUP(A1274,'BBT3'!A:F,6,0),"")</f>
        <v/>
      </c>
      <c r="G1274" t="str">
        <f t="shared" si="182"/>
        <v/>
      </c>
      <c r="H1274" t="str">
        <f>IF(NOT(ISBLANK(A1274)),VLOOKUP(A1274,'Close - PriceSaver'!A:J,5,0),"")</f>
        <v/>
      </c>
      <c r="I1274" s="4" t="str" cm="1">
        <f t="array" ref="I1274">IF(NOT(ISBLANK(A1274)),((_xlfn.XLOOKUP(1,(_bbt3[[#All],[ID]]=A1274)*(_bbt3[[#All],[METRIC_NAME]]="YLD_YTM_ASK"),_bbt3[[#All],[METRIC_VALUE]])*0.5)+(_xlfn.XLOOKUP(1,(_bbt3[[#All],[ID]]=A1274)*(_bbt3[[#All],[METRIC_NAME]]="YLD_YTM_BID"),_bbt3[[#All],[METRIC_VALUE]])*0.5))/100,"")</f>
        <v/>
      </c>
      <c r="J1274">
        <f>IF(ISNA(VLOOKUP(A1274,'CloseDL - PriceSaverBBT3'!A:E,5,0)),0,VLOOKUP(A1274,'CloseDL - PriceSaverBBT3'!A:E,5,0))</f>
        <v>0</v>
      </c>
      <c r="K1274" s="7" t="str">
        <f t="shared" si="183"/>
        <v/>
      </c>
      <c r="L1274" s="20">
        <f>IF(Close[[#This Row],[CreatedBy]]="MARINER\SilverAdm",1,0)</f>
        <v>1</v>
      </c>
      <c r="M1274" t="str">
        <f>IF(NOT(ISBLANK(A1274)),VLOOKUP(A1274,'Close - PriceSaver'!A:J,6,0),"")</f>
        <v/>
      </c>
      <c r="Q1274" t="e">
        <f t="shared" si="184"/>
        <v>#N/A</v>
      </c>
      <c r="R1274" t="e">
        <f t="shared" si="185"/>
        <v>#N/A</v>
      </c>
      <c r="S1274" t="e">
        <f t="shared" si="186"/>
        <v>#N/A</v>
      </c>
      <c r="T1274" s="15" t="e">
        <f t="shared" si="188"/>
        <v>#N/A</v>
      </c>
      <c r="U1274" s="18" t="e">
        <f t="shared" si="189"/>
        <v>#N/A</v>
      </c>
      <c r="V1274" s="14" t="e">
        <f t="shared" si="187"/>
        <v>#N/A</v>
      </c>
      <c r="W1274" s="19" t="e">
        <f t="shared" si="190"/>
        <v>#N/A</v>
      </c>
      <c r="X1274" t="e">
        <f>VLOOKUP(P1274,Close[[ID]:[CreatedBy]],8,0)</f>
        <v>#N/A</v>
      </c>
    </row>
    <row r="1275" spans="2:24" x14ac:dyDescent="0.35">
      <c r="B1275" t="str">
        <f>IF(NOT(ISBLANK(A1275)),VLOOKUP(A1275,'BBT3'!A:F,2,0),"")</f>
        <v/>
      </c>
      <c r="C1275" t="str">
        <f>IF(NOT(ISBLANK(A1275)),VLOOKUP(A1275,'BBT3'!A:F,3,0),"")</f>
        <v/>
      </c>
      <c r="D1275" s="5" t="str">
        <f>IF(NOT(ISBLANK(A1275)),VLOOKUP(A1275,'BBT3'!A:F,4,1),"")</f>
        <v/>
      </c>
      <c r="E1275" t="str">
        <f>IF(NOT(ISBLANK(A1275)),VLOOKUP(A1275,'BBT3'!A:F,5,0),"")</f>
        <v/>
      </c>
      <c r="F1275" t="str">
        <f>IF(NOT(ISBLANK(A1275)),VLOOKUP(A1275,'BBT3'!A:F,6,0),"")</f>
        <v/>
      </c>
      <c r="G1275" t="str">
        <f t="shared" si="182"/>
        <v/>
      </c>
      <c r="H1275" t="str">
        <f>IF(NOT(ISBLANK(A1275)),VLOOKUP(A1275,'Close - PriceSaver'!A:J,5,0),"")</f>
        <v/>
      </c>
      <c r="I1275" s="4" t="str" cm="1">
        <f t="array" ref="I1275">IF(NOT(ISBLANK(A1275)),((_xlfn.XLOOKUP(1,(_bbt3[[#All],[ID]]=A1275)*(_bbt3[[#All],[METRIC_NAME]]="YLD_YTM_ASK"),_bbt3[[#All],[METRIC_VALUE]])*0.5)+(_xlfn.XLOOKUP(1,(_bbt3[[#All],[ID]]=A1275)*(_bbt3[[#All],[METRIC_NAME]]="YLD_YTM_BID"),_bbt3[[#All],[METRIC_VALUE]])*0.5))/100,"")</f>
        <v/>
      </c>
      <c r="J1275">
        <f>IF(ISNA(VLOOKUP(A1275,'CloseDL - PriceSaverBBT3'!A:E,5,0)),0,VLOOKUP(A1275,'CloseDL - PriceSaverBBT3'!A:E,5,0))</f>
        <v>0</v>
      </c>
      <c r="K1275" s="7" t="str">
        <f t="shared" si="183"/>
        <v/>
      </c>
      <c r="L1275" s="20">
        <f>IF(Close[[#This Row],[CreatedBy]]="MARINER\SilverAdm",1,0)</f>
        <v>1</v>
      </c>
      <c r="M1275" t="str">
        <f>IF(NOT(ISBLANK(A1275)),VLOOKUP(A1275,'Close - PriceSaver'!A:J,6,0),"")</f>
        <v/>
      </c>
      <c r="Q1275" t="e">
        <f t="shared" si="184"/>
        <v>#N/A</v>
      </c>
      <c r="R1275" t="e">
        <f t="shared" si="185"/>
        <v>#N/A</v>
      </c>
      <c r="S1275" t="e">
        <f t="shared" si="186"/>
        <v>#N/A</v>
      </c>
      <c r="T1275" s="15" t="e">
        <f t="shared" si="188"/>
        <v>#N/A</v>
      </c>
      <c r="U1275" s="18" t="e">
        <f t="shared" si="189"/>
        <v>#N/A</v>
      </c>
      <c r="V1275" s="14" t="e">
        <f t="shared" si="187"/>
        <v>#N/A</v>
      </c>
      <c r="W1275" s="19" t="e">
        <f t="shared" si="190"/>
        <v>#N/A</v>
      </c>
      <c r="X1275" t="e">
        <f>VLOOKUP(P1275,Close[[ID]:[CreatedBy]],8,0)</f>
        <v>#N/A</v>
      </c>
    </row>
    <row r="1276" spans="2:24" x14ac:dyDescent="0.35">
      <c r="B1276" t="str">
        <f>IF(NOT(ISBLANK(A1276)),VLOOKUP(A1276,'BBT3'!A:F,2,0),"")</f>
        <v/>
      </c>
      <c r="C1276" t="str">
        <f>IF(NOT(ISBLANK(A1276)),VLOOKUP(A1276,'BBT3'!A:F,3,0),"")</f>
        <v/>
      </c>
      <c r="D1276" s="5" t="str">
        <f>IF(NOT(ISBLANK(A1276)),VLOOKUP(A1276,'BBT3'!A:F,4,1),"")</f>
        <v/>
      </c>
      <c r="E1276" t="str">
        <f>IF(NOT(ISBLANK(A1276)),VLOOKUP(A1276,'BBT3'!A:F,5,0),"")</f>
        <v/>
      </c>
      <c r="F1276" t="str">
        <f>IF(NOT(ISBLANK(A1276)),VLOOKUP(A1276,'BBT3'!A:F,6,0),"")</f>
        <v/>
      </c>
      <c r="G1276" t="str">
        <f t="shared" si="182"/>
        <v/>
      </c>
      <c r="H1276" t="str">
        <f>IF(NOT(ISBLANK(A1276)),VLOOKUP(A1276,'Close - PriceSaver'!A:J,5,0),"")</f>
        <v/>
      </c>
      <c r="I1276" s="4" t="str" cm="1">
        <f t="array" ref="I1276">IF(NOT(ISBLANK(A1276)),((_xlfn.XLOOKUP(1,(_bbt3[[#All],[ID]]=A1276)*(_bbt3[[#All],[METRIC_NAME]]="YLD_YTM_ASK"),_bbt3[[#All],[METRIC_VALUE]])*0.5)+(_xlfn.XLOOKUP(1,(_bbt3[[#All],[ID]]=A1276)*(_bbt3[[#All],[METRIC_NAME]]="YLD_YTM_BID"),_bbt3[[#All],[METRIC_VALUE]])*0.5))/100,"")</f>
        <v/>
      </c>
      <c r="J1276">
        <f>IF(ISNA(VLOOKUP(A1276,'CloseDL - PriceSaverBBT3'!A:E,5,0)),0,VLOOKUP(A1276,'CloseDL - PriceSaverBBT3'!A:E,5,0))</f>
        <v>0</v>
      </c>
      <c r="K1276" s="7" t="str">
        <f t="shared" si="183"/>
        <v/>
      </c>
      <c r="L1276" s="20">
        <f>IF(Close[[#This Row],[CreatedBy]]="MARINER\SilverAdm",1,0)</f>
        <v>1</v>
      </c>
      <c r="M1276" t="str">
        <f>IF(NOT(ISBLANK(A1276)),VLOOKUP(A1276,'Close - PriceSaver'!A:J,6,0),"")</f>
        <v/>
      </c>
      <c r="Q1276" t="e">
        <f t="shared" si="184"/>
        <v>#N/A</v>
      </c>
      <c r="R1276" t="e">
        <f t="shared" si="185"/>
        <v>#N/A</v>
      </c>
      <c r="S1276" t="e">
        <f t="shared" si="186"/>
        <v>#N/A</v>
      </c>
      <c r="T1276" s="15" t="e">
        <f t="shared" si="188"/>
        <v>#N/A</v>
      </c>
      <c r="U1276" s="18" t="e">
        <f t="shared" si="189"/>
        <v>#N/A</v>
      </c>
      <c r="V1276" s="14" t="e">
        <f t="shared" si="187"/>
        <v>#N/A</v>
      </c>
      <c r="W1276" s="19" t="e">
        <f t="shared" si="190"/>
        <v>#N/A</v>
      </c>
      <c r="X1276" t="e">
        <f>VLOOKUP(P1276,Close[[ID]:[CreatedBy]],8,0)</f>
        <v>#N/A</v>
      </c>
    </row>
    <row r="1277" spans="2:24" x14ac:dyDescent="0.35">
      <c r="B1277" t="str">
        <f>IF(NOT(ISBLANK(A1277)),VLOOKUP(A1277,'BBT3'!A:F,2,0),"")</f>
        <v/>
      </c>
      <c r="C1277" t="str">
        <f>IF(NOT(ISBLANK(A1277)),VLOOKUP(A1277,'BBT3'!A:F,3,0),"")</f>
        <v/>
      </c>
      <c r="D1277" s="5" t="str">
        <f>IF(NOT(ISBLANK(A1277)),VLOOKUP(A1277,'BBT3'!A:F,4,1),"")</f>
        <v/>
      </c>
      <c r="E1277" t="str">
        <f>IF(NOT(ISBLANK(A1277)),VLOOKUP(A1277,'BBT3'!A:F,5,0),"")</f>
        <v/>
      </c>
      <c r="F1277" t="str">
        <f>IF(NOT(ISBLANK(A1277)),VLOOKUP(A1277,'BBT3'!A:F,6,0),"")</f>
        <v/>
      </c>
      <c r="G1277" t="str">
        <f t="shared" si="182"/>
        <v/>
      </c>
      <c r="H1277" t="str">
        <f>IF(NOT(ISBLANK(A1277)),VLOOKUP(A1277,'Close - PriceSaver'!A:J,5,0),"")</f>
        <v/>
      </c>
      <c r="I1277" s="4" t="str" cm="1">
        <f t="array" ref="I1277">IF(NOT(ISBLANK(A1277)),((_xlfn.XLOOKUP(1,(_bbt3[[#All],[ID]]=A1277)*(_bbt3[[#All],[METRIC_NAME]]="YLD_YTM_ASK"),_bbt3[[#All],[METRIC_VALUE]])*0.5)+(_xlfn.XLOOKUP(1,(_bbt3[[#All],[ID]]=A1277)*(_bbt3[[#All],[METRIC_NAME]]="YLD_YTM_BID"),_bbt3[[#All],[METRIC_VALUE]])*0.5))/100,"")</f>
        <v/>
      </c>
      <c r="J1277">
        <f>IF(ISNA(VLOOKUP(A1277,'CloseDL - PriceSaverBBT3'!A:E,5,0)),0,VLOOKUP(A1277,'CloseDL - PriceSaverBBT3'!A:E,5,0))</f>
        <v>0</v>
      </c>
      <c r="K1277" s="7" t="str">
        <f t="shared" si="183"/>
        <v/>
      </c>
      <c r="L1277" s="20">
        <f>IF(Close[[#This Row],[CreatedBy]]="MARINER\SilverAdm",1,0)</f>
        <v>1</v>
      </c>
      <c r="M1277" t="str">
        <f>IF(NOT(ISBLANK(A1277)),VLOOKUP(A1277,'Close - PriceSaver'!A:J,6,0),"")</f>
        <v/>
      </c>
      <c r="Q1277" t="e">
        <f t="shared" si="184"/>
        <v>#N/A</v>
      </c>
      <c r="R1277" t="e">
        <f t="shared" si="185"/>
        <v>#N/A</v>
      </c>
      <c r="S1277" t="e">
        <f t="shared" si="186"/>
        <v>#N/A</v>
      </c>
      <c r="T1277" s="15" t="e">
        <f t="shared" si="188"/>
        <v>#N/A</v>
      </c>
      <c r="U1277" s="18" t="e">
        <f t="shared" si="189"/>
        <v>#N/A</v>
      </c>
      <c r="V1277" s="14" t="e">
        <f t="shared" si="187"/>
        <v>#N/A</v>
      </c>
      <c r="W1277" s="19" t="e">
        <f t="shared" si="190"/>
        <v>#N/A</v>
      </c>
      <c r="X1277" t="e">
        <f>VLOOKUP(P1277,Close[[ID]:[CreatedBy]],8,0)</f>
        <v>#N/A</v>
      </c>
    </row>
    <row r="1278" spans="2:24" x14ac:dyDescent="0.35">
      <c r="B1278" t="str">
        <f>IF(NOT(ISBLANK(A1278)),VLOOKUP(A1278,'BBT3'!A:F,2,0),"")</f>
        <v/>
      </c>
      <c r="C1278" t="str">
        <f>IF(NOT(ISBLANK(A1278)),VLOOKUP(A1278,'BBT3'!A:F,3,0),"")</f>
        <v/>
      </c>
      <c r="D1278" s="5" t="str">
        <f>IF(NOT(ISBLANK(A1278)),VLOOKUP(A1278,'BBT3'!A:F,4,1),"")</f>
        <v/>
      </c>
      <c r="E1278" t="str">
        <f>IF(NOT(ISBLANK(A1278)),VLOOKUP(A1278,'BBT3'!A:F,5,0),"")</f>
        <v/>
      </c>
      <c r="F1278" t="str">
        <f>IF(NOT(ISBLANK(A1278)),VLOOKUP(A1278,'BBT3'!A:F,6,0),"")</f>
        <v/>
      </c>
      <c r="G1278" t="str">
        <f t="shared" si="182"/>
        <v/>
      </c>
      <c r="H1278" t="str">
        <f>IF(NOT(ISBLANK(A1278)),VLOOKUP(A1278,'Close - PriceSaver'!A:J,5,0),"")</f>
        <v/>
      </c>
      <c r="I1278" s="4" t="str" cm="1">
        <f t="array" ref="I1278">IF(NOT(ISBLANK(A1278)),((_xlfn.XLOOKUP(1,(_bbt3[[#All],[ID]]=A1278)*(_bbt3[[#All],[METRIC_NAME]]="YLD_YTM_ASK"),_bbt3[[#All],[METRIC_VALUE]])*0.5)+(_xlfn.XLOOKUP(1,(_bbt3[[#All],[ID]]=A1278)*(_bbt3[[#All],[METRIC_NAME]]="YLD_YTM_BID"),_bbt3[[#All],[METRIC_VALUE]])*0.5))/100,"")</f>
        <v/>
      </c>
      <c r="J1278">
        <f>IF(ISNA(VLOOKUP(A1278,'CloseDL - PriceSaverBBT3'!A:E,5,0)),0,VLOOKUP(A1278,'CloseDL - PriceSaverBBT3'!A:E,5,0))</f>
        <v>0</v>
      </c>
      <c r="K1278" s="7" t="str">
        <f t="shared" si="183"/>
        <v/>
      </c>
      <c r="L1278" s="20">
        <f>IF(Close[[#This Row],[CreatedBy]]="MARINER\SilverAdm",1,0)</f>
        <v>1</v>
      </c>
      <c r="M1278" t="str">
        <f>IF(NOT(ISBLANK(A1278)),VLOOKUP(A1278,'Close - PriceSaver'!A:J,6,0),"")</f>
        <v/>
      </c>
      <c r="Q1278" t="e">
        <f t="shared" si="184"/>
        <v>#N/A</v>
      </c>
      <c r="R1278" t="e">
        <f t="shared" si="185"/>
        <v>#N/A</v>
      </c>
      <c r="S1278" t="e">
        <f t="shared" si="186"/>
        <v>#N/A</v>
      </c>
      <c r="T1278" s="15" t="e">
        <f t="shared" si="188"/>
        <v>#N/A</v>
      </c>
      <c r="U1278" s="18" t="e">
        <f t="shared" si="189"/>
        <v>#N/A</v>
      </c>
      <c r="V1278" s="14" t="e">
        <f t="shared" si="187"/>
        <v>#N/A</v>
      </c>
      <c r="W1278" s="19" t="e">
        <f t="shared" si="190"/>
        <v>#N/A</v>
      </c>
      <c r="X1278" t="e">
        <f>VLOOKUP(P1278,Close[[ID]:[CreatedBy]],8,0)</f>
        <v>#N/A</v>
      </c>
    </row>
    <row r="1279" spans="2:24" x14ac:dyDescent="0.35">
      <c r="B1279" t="str">
        <f>IF(NOT(ISBLANK(A1279)),VLOOKUP(A1279,'BBT3'!A:F,2,0),"")</f>
        <v/>
      </c>
      <c r="C1279" t="str">
        <f>IF(NOT(ISBLANK(A1279)),VLOOKUP(A1279,'BBT3'!A:F,3,0),"")</f>
        <v/>
      </c>
      <c r="D1279" s="5" t="str">
        <f>IF(NOT(ISBLANK(A1279)),VLOOKUP(A1279,'BBT3'!A:F,4,1),"")</f>
        <v/>
      </c>
      <c r="E1279" t="str">
        <f>IF(NOT(ISBLANK(A1279)),VLOOKUP(A1279,'BBT3'!A:F,5,0),"")</f>
        <v/>
      </c>
      <c r="F1279" t="str">
        <f>IF(NOT(ISBLANK(A1279)),VLOOKUP(A1279,'BBT3'!A:F,6,0),"")</f>
        <v/>
      </c>
      <c r="G1279" t="str">
        <f t="shared" si="182"/>
        <v/>
      </c>
      <c r="H1279" t="str">
        <f>IF(NOT(ISBLANK(A1279)),VLOOKUP(A1279,'Close - PriceSaver'!A:J,5,0),"")</f>
        <v/>
      </c>
      <c r="I1279" s="4" t="str" cm="1">
        <f t="array" ref="I1279">IF(NOT(ISBLANK(A1279)),((_xlfn.XLOOKUP(1,(_bbt3[[#All],[ID]]=A1279)*(_bbt3[[#All],[METRIC_NAME]]="YLD_YTM_ASK"),_bbt3[[#All],[METRIC_VALUE]])*0.5)+(_xlfn.XLOOKUP(1,(_bbt3[[#All],[ID]]=A1279)*(_bbt3[[#All],[METRIC_NAME]]="YLD_YTM_BID"),_bbt3[[#All],[METRIC_VALUE]])*0.5))/100,"")</f>
        <v/>
      </c>
      <c r="J1279">
        <f>IF(ISNA(VLOOKUP(A1279,'CloseDL - PriceSaverBBT3'!A:E,5,0)),0,VLOOKUP(A1279,'CloseDL - PriceSaverBBT3'!A:E,5,0))</f>
        <v>0</v>
      </c>
      <c r="K1279" s="7" t="str">
        <f t="shared" si="183"/>
        <v/>
      </c>
      <c r="L1279" s="20">
        <f>IF(Close[[#This Row],[CreatedBy]]="MARINER\SilverAdm",1,0)</f>
        <v>1</v>
      </c>
      <c r="M1279" t="str">
        <f>IF(NOT(ISBLANK(A1279)),VLOOKUP(A1279,'Close - PriceSaver'!A:J,6,0),"")</f>
        <v/>
      </c>
      <c r="Q1279" t="e">
        <f t="shared" si="184"/>
        <v>#N/A</v>
      </c>
      <c r="R1279" t="e">
        <f t="shared" si="185"/>
        <v>#N/A</v>
      </c>
      <c r="S1279" t="e">
        <f t="shared" si="186"/>
        <v>#N/A</v>
      </c>
      <c r="T1279" s="15" t="e">
        <f t="shared" si="188"/>
        <v>#N/A</v>
      </c>
      <c r="U1279" s="18" t="e">
        <f t="shared" si="189"/>
        <v>#N/A</v>
      </c>
      <c r="V1279" s="14" t="e">
        <f t="shared" si="187"/>
        <v>#N/A</v>
      </c>
      <c r="W1279" s="19" t="e">
        <f t="shared" si="190"/>
        <v>#N/A</v>
      </c>
      <c r="X1279" t="e">
        <f>VLOOKUP(P1279,Close[[ID]:[CreatedBy]],8,0)</f>
        <v>#N/A</v>
      </c>
    </row>
    <row r="1280" spans="2:24" x14ac:dyDescent="0.35">
      <c r="B1280" t="str">
        <f>IF(NOT(ISBLANK(A1280)),VLOOKUP(A1280,'BBT3'!A:F,2,0),"")</f>
        <v/>
      </c>
      <c r="C1280" t="str">
        <f>IF(NOT(ISBLANK(A1280)),VLOOKUP(A1280,'BBT3'!A:F,3,0),"")</f>
        <v/>
      </c>
      <c r="D1280" s="5" t="str">
        <f>IF(NOT(ISBLANK(A1280)),VLOOKUP(A1280,'BBT3'!A:F,4,1),"")</f>
        <v/>
      </c>
      <c r="E1280" t="str">
        <f>IF(NOT(ISBLANK(A1280)),VLOOKUP(A1280,'BBT3'!A:F,5,0),"")</f>
        <v/>
      </c>
      <c r="F1280" t="str">
        <f>IF(NOT(ISBLANK(A1280)),VLOOKUP(A1280,'BBT3'!A:F,6,0),"")</f>
        <v/>
      </c>
      <c r="G1280" t="str">
        <f t="shared" si="182"/>
        <v/>
      </c>
      <c r="H1280" t="str">
        <f>IF(NOT(ISBLANK(A1280)),VLOOKUP(A1280,'Close - PriceSaver'!A:J,5,0),"")</f>
        <v/>
      </c>
      <c r="I1280" s="4" t="str" cm="1">
        <f t="array" ref="I1280">IF(NOT(ISBLANK(A1280)),((_xlfn.XLOOKUP(1,(_bbt3[[#All],[ID]]=A1280)*(_bbt3[[#All],[METRIC_NAME]]="YLD_YTM_ASK"),_bbt3[[#All],[METRIC_VALUE]])*0.5)+(_xlfn.XLOOKUP(1,(_bbt3[[#All],[ID]]=A1280)*(_bbt3[[#All],[METRIC_NAME]]="YLD_YTM_BID"),_bbt3[[#All],[METRIC_VALUE]])*0.5))/100,"")</f>
        <v/>
      </c>
      <c r="J1280">
        <f>IF(ISNA(VLOOKUP(A1280,'CloseDL - PriceSaverBBT3'!A:E,5,0)),0,VLOOKUP(A1280,'CloseDL - PriceSaverBBT3'!A:E,5,0))</f>
        <v>0</v>
      </c>
      <c r="K1280" s="7" t="str">
        <f t="shared" si="183"/>
        <v/>
      </c>
      <c r="L1280" s="20">
        <f>IF(Close[[#This Row],[CreatedBy]]="MARINER\SilverAdm",1,0)</f>
        <v>1</v>
      </c>
      <c r="M1280" t="str">
        <f>IF(NOT(ISBLANK(A1280)),VLOOKUP(A1280,'Close - PriceSaver'!A:J,6,0),"")</f>
        <v/>
      </c>
      <c r="Q1280" t="e">
        <f t="shared" si="184"/>
        <v>#N/A</v>
      </c>
      <c r="R1280" t="e">
        <f t="shared" si="185"/>
        <v>#N/A</v>
      </c>
      <c r="S1280" t="e">
        <f t="shared" si="186"/>
        <v>#N/A</v>
      </c>
      <c r="T1280" s="15" t="e">
        <f t="shared" si="188"/>
        <v>#N/A</v>
      </c>
      <c r="U1280" s="18" t="e">
        <f t="shared" si="189"/>
        <v>#N/A</v>
      </c>
      <c r="V1280" s="14" t="e">
        <f t="shared" si="187"/>
        <v>#N/A</v>
      </c>
      <c r="W1280" s="19" t="e">
        <f t="shared" si="190"/>
        <v>#N/A</v>
      </c>
      <c r="X1280" t="e">
        <f>VLOOKUP(P1280,Close[[ID]:[CreatedBy]],8,0)</f>
        <v>#N/A</v>
      </c>
    </row>
    <row r="1281" spans="2:24" x14ac:dyDescent="0.35">
      <c r="B1281" t="str">
        <f>IF(NOT(ISBLANK(A1281)),VLOOKUP(A1281,'BBT3'!A:F,2,0),"")</f>
        <v/>
      </c>
      <c r="C1281" t="str">
        <f>IF(NOT(ISBLANK(A1281)),VLOOKUP(A1281,'BBT3'!A:F,3,0),"")</f>
        <v/>
      </c>
      <c r="D1281" s="5" t="str">
        <f>IF(NOT(ISBLANK(A1281)),VLOOKUP(A1281,'BBT3'!A:F,4,1),"")</f>
        <v/>
      </c>
      <c r="E1281" t="str">
        <f>IF(NOT(ISBLANK(A1281)),VLOOKUP(A1281,'BBT3'!A:F,5,0),"")</f>
        <v/>
      </c>
      <c r="F1281" t="str">
        <f>IF(NOT(ISBLANK(A1281)),VLOOKUP(A1281,'BBT3'!A:F,6,0),"")</f>
        <v/>
      </c>
      <c r="G1281" t="str">
        <f t="shared" si="182"/>
        <v/>
      </c>
      <c r="H1281" t="str">
        <f>IF(NOT(ISBLANK(A1281)),VLOOKUP(A1281,'Close - PriceSaver'!A:J,5,0),"")</f>
        <v/>
      </c>
      <c r="I1281" s="4" t="str" cm="1">
        <f t="array" ref="I1281">IF(NOT(ISBLANK(A1281)),((_xlfn.XLOOKUP(1,(_bbt3[[#All],[ID]]=A1281)*(_bbt3[[#All],[METRIC_NAME]]="YLD_YTM_ASK"),_bbt3[[#All],[METRIC_VALUE]])*0.5)+(_xlfn.XLOOKUP(1,(_bbt3[[#All],[ID]]=A1281)*(_bbt3[[#All],[METRIC_NAME]]="YLD_YTM_BID"),_bbt3[[#All],[METRIC_VALUE]])*0.5))/100,"")</f>
        <v/>
      </c>
      <c r="J1281">
        <f>IF(ISNA(VLOOKUP(A1281,'CloseDL - PriceSaverBBT3'!A:E,5,0)),0,VLOOKUP(A1281,'CloseDL - PriceSaverBBT3'!A:E,5,0))</f>
        <v>0</v>
      </c>
      <c r="K1281" s="7" t="str">
        <f t="shared" si="183"/>
        <v/>
      </c>
      <c r="L1281" s="20">
        <f>IF(Close[[#This Row],[CreatedBy]]="MARINER\SilverAdm",1,0)</f>
        <v>1</v>
      </c>
      <c r="M1281" t="str">
        <f>IF(NOT(ISBLANK(A1281)),VLOOKUP(A1281,'Close - PriceSaver'!A:J,6,0),"")</f>
        <v/>
      </c>
      <c r="Q1281" t="e">
        <f t="shared" si="184"/>
        <v>#N/A</v>
      </c>
      <c r="R1281" t="e">
        <f t="shared" si="185"/>
        <v>#N/A</v>
      </c>
      <c r="S1281" t="e">
        <f t="shared" si="186"/>
        <v>#N/A</v>
      </c>
      <c r="T1281" s="15" t="e">
        <f t="shared" si="188"/>
        <v>#N/A</v>
      </c>
      <c r="U1281" s="18" t="e">
        <f t="shared" si="189"/>
        <v>#N/A</v>
      </c>
      <c r="V1281" s="14" t="e">
        <f t="shared" si="187"/>
        <v>#N/A</v>
      </c>
      <c r="W1281" s="19" t="e">
        <f t="shared" si="190"/>
        <v>#N/A</v>
      </c>
      <c r="X1281" t="e">
        <f>VLOOKUP(P1281,Close[[ID]:[CreatedBy]],8,0)</f>
        <v>#N/A</v>
      </c>
    </row>
    <row r="1282" spans="2:24" x14ac:dyDescent="0.35">
      <c r="B1282" t="str">
        <f>IF(NOT(ISBLANK(A1282)),VLOOKUP(A1282,'BBT3'!A:F,2,0),"")</f>
        <v/>
      </c>
      <c r="C1282" t="str">
        <f>IF(NOT(ISBLANK(A1282)),VLOOKUP(A1282,'BBT3'!A:F,3,0),"")</f>
        <v/>
      </c>
      <c r="D1282" s="5" t="str">
        <f>IF(NOT(ISBLANK(A1282)),VLOOKUP(A1282,'BBT3'!A:F,4,1),"")</f>
        <v/>
      </c>
      <c r="E1282" t="str">
        <f>IF(NOT(ISBLANK(A1282)),VLOOKUP(A1282,'BBT3'!A:F,5,0),"")</f>
        <v/>
      </c>
      <c r="F1282" t="str">
        <f>IF(NOT(ISBLANK(A1282)),VLOOKUP(A1282,'BBT3'!A:F,6,0),"")</f>
        <v/>
      </c>
      <c r="G1282" t="str">
        <f t="shared" si="182"/>
        <v/>
      </c>
      <c r="H1282" t="str">
        <f>IF(NOT(ISBLANK(A1282)),VLOOKUP(A1282,'Close - PriceSaver'!A:J,5,0),"")</f>
        <v/>
      </c>
      <c r="I1282" s="4" t="str" cm="1">
        <f t="array" ref="I1282">IF(NOT(ISBLANK(A1282)),((_xlfn.XLOOKUP(1,(_bbt3[[#All],[ID]]=A1282)*(_bbt3[[#All],[METRIC_NAME]]="YLD_YTM_ASK"),_bbt3[[#All],[METRIC_VALUE]])*0.5)+(_xlfn.XLOOKUP(1,(_bbt3[[#All],[ID]]=A1282)*(_bbt3[[#All],[METRIC_NAME]]="YLD_YTM_BID"),_bbt3[[#All],[METRIC_VALUE]])*0.5))/100,"")</f>
        <v/>
      </c>
      <c r="J1282">
        <f>IF(ISNA(VLOOKUP(A1282,'CloseDL - PriceSaverBBT3'!A:E,5,0)),0,VLOOKUP(A1282,'CloseDL - PriceSaverBBT3'!A:E,5,0))</f>
        <v>0</v>
      </c>
      <c r="K1282" s="7" t="str">
        <f t="shared" si="183"/>
        <v/>
      </c>
      <c r="L1282" s="20">
        <f>IF(Close[[#This Row],[CreatedBy]]="MARINER\SilverAdm",1,0)</f>
        <v>1</v>
      </c>
      <c r="M1282" t="str">
        <f>IF(NOT(ISBLANK(A1282)),VLOOKUP(A1282,'Close - PriceSaver'!A:J,6,0),"")</f>
        <v/>
      </c>
      <c r="Q1282" t="e">
        <f t="shared" si="184"/>
        <v>#N/A</v>
      </c>
      <c r="R1282" t="e">
        <f t="shared" si="185"/>
        <v>#N/A</v>
      </c>
      <c r="S1282" t="e">
        <f t="shared" si="186"/>
        <v>#N/A</v>
      </c>
      <c r="T1282" s="15" t="e">
        <f t="shared" si="188"/>
        <v>#N/A</v>
      </c>
      <c r="U1282" s="18" t="e">
        <f t="shared" si="189"/>
        <v>#N/A</v>
      </c>
      <c r="V1282" s="14" t="e">
        <f t="shared" si="187"/>
        <v>#N/A</v>
      </c>
      <c r="W1282" s="19" t="e">
        <f t="shared" si="190"/>
        <v>#N/A</v>
      </c>
      <c r="X1282" t="e">
        <f>VLOOKUP(P1282,Close[[ID]:[CreatedBy]],8,0)</f>
        <v>#N/A</v>
      </c>
    </row>
    <row r="1283" spans="2:24" x14ac:dyDescent="0.35">
      <c r="B1283" t="str">
        <f>IF(NOT(ISBLANK(A1283)),VLOOKUP(A1283,'BBT3'!A:F,2,0),"")</f>
        <v/>
      </c>
      <c r="C1283" t="str">
        <f>IF(NOT(ISBLANK(A1283)),VLOOKUP(A1283,'BBT3'!A:F,3,0),"")</f>
        <v/>
      </c>
      <c r="D1283" s="5" t="str">
        <f>IF(NOT(ISBLANK(A1283)),VLOOKUP(A1283,'BBT3'!A:F,4,1),"")</f>
        <v/>
      </c>
      <c r="E1283" t="str">
        <f>IF(NOT(ISBLANK(A1283)),VLOOKUP(A1283,'BBT3'!A:F,5,0),"")</f>
        <v/>
      </c>
      <c r="F1283" t="str">
        <f>IF(NOT(ISBLANK(A1283)),VLOOKUP(A1283,'BBT3'!A:F,6,0),"")</f>
        <v/>
      </c>
      <c r="G1283" t="str">
        <f t="shared" ref="G1283:G1346" si="191">IF(NOT(ISBLANK(A1283)),IF(D1283=0,"Y","N"),"")</f>
        <v/>
      </c>
      <c r="H1283" t="str">
        <f>IF(NOT(ISBLANK(A1283)),VLOOKUP(A1283,'Close - PriceSaver'!A:J,5,0),"")</f>
        <v/>
      </c>
      <c r="I1283" s="4" t="str" cm="1">
        <f t="array" ref="I1283">IF(NOT(ISBLANK(A1283)),((_xlfn.XLOOKUP(1,(_bbt3[[#All],[ID]]=A1283)*(_bbt3[[#All],[METRIC_NAME]]="YLD_YTM_ASK"),_bbt3[[#All],[METRIC_VALUE]])*0.5)+(_xlfn.XLOOKUP(1,(_bbt3[[#All],[ID]]=A1283)*(_bbt3[[#All],[METRIC_NAME]]="YLD_YTM_BID"),_bbt3[[#All],[METRIC_VALUE]])*0.5))/100,"")</f>
        <v/>
      </c>
      <c r="J1283">
        <f>IF(ISNA(VLOOKUP(A1283,'CloseDL - PriceSaverBBT3'!A:E,5,0)),0,VLOOKUP(A1283,'CloseDL - PriceSaverBBT3'!A:E,5,0))</f>
        <v>0</v>
      </c>
      <c r="K1283" s="7" t="str">
        <f t="shared" ref="K1283:K1346" si="192">IF(ISNA(IF(NOT(ISBLANK(A1283)),ABS(H1283-J1283),"")),0,(IF(NOT(ISBLANK(A1283)),ABS(H1283-J1283)*10000,"")))</f>
        <v/>
      </c>
      <c r="L1283" s="20">
        <f>IF(Close[[#This Row],[CreatedBy]]="MARINER\SilverAdm",1,0)</f>
        <v>1</v>
      </c>
      <c r="M1283" t="str">
        <f>IF(NOT(ISBLANK(A1283)),VLOOKUP(A1283,'Close - PriceSaver'!A:J,6,0),"")</f>
        <v/>
      </c>
      <c r="Q1283" t="e">
        <f t="shared" si="184"/>
        <v>#N/A</v>
      </c>
      <c r="R1283" t="e">
        <f t="shared" si="185"/>
        <v>#N/A</v>
      </c>
      <c r="S1283" t="e">
        <f t="shared" si="186"/>
        <v>#N/A</v>
      </c>
      <c r="T1283" s="15" t="e">
        <f t="shared" si="188"/>
        <v>#N/A</v>
      </c>
      <c r="U1283" s="18" t="e">
        <f t="shared" si="189"/>
        <v>#N/A</v>
      </c>
      <c r="V1283" s="14" t="e">
        <f t="shared" si="187"/>
        <v>#N/A</v>
      </c>
      <c r="W1283" s="19" t="e">
        <f t="shared" si="190"/>
        <v>#N/A</v>
      </c>
      <c r="X1283" t="e">
        <f>VLOOKUP(P1283,Close[[ID]:[CreatedBy]],8,0)</f>
        <v>#N/A</v>
      </c>
    </row>
    <row r="1284" spans="2:24" x14ac:dyDescent="0.35">
      <c r="B1284" t="str">
        <f>IF(NOT(ISBLANK(A1284)),VLOOKUP(A1284,'BBT3'!A:F,2,0),"")</f>
        <v/>
      </c>
      <c r="C1284" t="str">
        <f>IF(NOT(ISBLANK(A1284)),VLOOKUP(A1284,'BBT3'!A:F,3,0),"")</f>
        <v/>
      </c>
      <c r="D1284" s="5" t="str">
        <f>IF(NOT(ISBLANK(A1284)),VLOOKUP(A1284,'BBT3'!A:F,4,1),"")</f>
        <v/>
      </c>
      <c r="E1284" t="str">
        <f>IF(NOT(ISBLANK(A1284)),VLOOKUP(A1284,'BBT3'!A:F,5,0),"")</f>
        <v/>
      </c>
      <c r="F1284" t="str">
        <f>IF(NOT(ISBLANK(A1284)),VLOOKUP(A1284,'BBT3'!A:F,6,0),"")</f>
        <v/>
      </c>
      <c r="G1284" t="str">
        <f t="shared" si="191"/>
        <v/>
      </c>
      <c r="H1284" t="str">
        <f>IF(NOT(ISBLANK(A1284)),VLOOKUP(A1284,'Close - PriceSaver'!A:J,5,0),"")</f>
        <v/>
      </c>
      <c r="I1284" s="4" t="str" cm="1">
        <f t="array" ref="I1284">IF(NOT(ISBLANK(A1284)),((_xlfn.XLOOKUP(1,(_bbt3[[#All],[ID]]=A1284)*(_bbt3[[#All],[METRIC_NAME]]="YLD_YTM_ASK"),_bbt3[[#All],[METRIC_VALUE]])*0.5)+(_xlfn.XLOOKUP(1,(_bbt3[[#All],[ID]]=A1284)*(_bbt3[[#All],[METRIC_NAME]]="YLD_YTM_BID"),_bbt3[[#All],[METRIC_VALUE]])*0.5))/100,"")</f>
        <v/>
      </c>
      <c r="J1284">
        <f>IF(ISNA(VLOOKUP(A1284,'CloseDL - PriceSaverBBT3'!A:E,5,0)),0,VLOOKUP(A1284,'CloseDL - PriceSaverBBT3'!A:E,5,0))</f>
        <v>0</v>
      </c>
      <c r="K1284" s="7" t="str">
        <f t="shared" si="192"/>
        <v/>
      </c>
      <c r="L1284" s="20">
        <f>IF(Close[[#This Row],[CreatedBy]]="MARINER\SilverAdm",1,0)</f>
        <v>1</v>
      </c>
      <c r="M1284" t="str">
        <f>IF(NOT(ISBLANK(A1284)),VLOOKUP(A1284,'Close - PriceSaver'!A:J,6,0),"")</f>
        <v/>
      </c>
      <c r="Q1284" t="e">
        <f t="shared" si="184"/>
        <v>#N/A</v>
      </c>
      <c r="R1284" t="e">
        <f t="shared" si="185"/>
        <v>#N/A</v>
      </c>
      <c r="S1284" t="e">
        <f t="shared" si="186"/>
        <v>#N/A</v>
      </c>
      <c r="T1284" s="15" t="e">
        <f t="shared" si="188"/>
        <v>#N/A</v>
      </c>
      <c r="U1284" s="18" t="e">
        <f t="shared" si="189"/>
        <v>#N/A</v>
      </c>
      <c r="V1284" s="14" t="e">
        <f t="shared" si="187"/>
        <v>#N/A</v>
      </c>
      <c r="W1284" s="19" t="e">
        <f t="shared" si="190"/>
        <v>#N/A</v>
      </c>
      <c r="X1284" t="e">
        <f>VLOOKUP(P1284,Close[[ID]:[CreatedBy]],8,0)</f>
        <v>#N/A</v>
      </c>
    </row>
    <row r="1285" spans="2:24" x14ac:dyDescent="0.35">
      <c r="B1285" t="str">
        <f>IF(NOT(ISBLANK(A1285)),VLOOKUP(A1285,'BBT3'!A:F,2,0),"")</f>
        <v/>
      </c>
      <c r="C1285" t="str">
        <f>IF(NOT(ISBLANK(A1285)),VLOOKUP(A1285,'BBT3'!A:F,3,0),"")</f>
        <v/>
      </c>
      <c r="D1285" s="5" t="str">
        <f>IF(NOT(ISBLANK(A1285)),VLOOKUP(A1285,'BBT3'!A:F,4,1),"")</f>
        <v/>
      </c>
      <c r="E1285" t="str">
        <f>IF(NOT(ISBLANK(A1285)),VLOOKUP(A1285,'BBT3'!A:F,5,0),"")</f>
        <v/>
      </c>
      <c r="F1285" t="str">
        <f>IF(NOT(ISBLANK(A1285)),VLOOKUP(A1285,'BBT3'!A:F,6,0),"")</f>
        <v/>
      </c>
      <c r="G1285" t="str">
        <f t="shared" si="191"/>
        <v/>
      </c>
      <c r="H1285" t="str">
        <f>IF(NOT(ISBLANK(A1285)),VLOOKUP(A1285,'Close - PriceSaver'!A:J,5,0),"")</f>
        <v/>
      </c>
      <c r="I1285" s="4" t="str" cm="1">
        <f t="array" ref="I1285">IF(NOT(ISBLANK(A1285)),((_xlfn.XLOOKUP(1,(_bbt3[[#All],[ID]]=A1285)*(_bbt3[[#All],[METRIC_NAME]]="YLD_YTM_ASK"),_bbt3[[#All],[METRIC_VALUE]])*0.5)+(_xlfn.XLOOKUP(1,(_bbt3[[#All],[ID]]=A1285)*(_bbt3[[#All],[METRIC_NAME]]="YLD_YTM_BID"),_bbt3[[#All],[METRIC_VALUE]])*0.5))/100,"")</f>
        <v/>
      </c>
      <c r="J1285">
        <f>IF(ISNA(VLOOKUP(A1285,'CloseDL - PriceSaverBBT3'!A:E,5,0)),0,VLOOKUP(A1285,'CloseDL - PriceSaverBBT3'!A:E,5,0))</f>
        <v>0</v>
      </c>
      <c r="K1285" s="7" t="str">
        <f t="shared" si="192"/>
        <v/>
      </c>
      <c r="L1285" s="20">
        <f>IF(Close[[#This Row],[CreatedBy]]="MARINER\SilverAdm",1,0)</f>
        <v>1</v>
      </c>
      <c r="M1285" t="str">
        <f>IF(NOT(ISBLANK(A1285)),VLOOKUP(A1285,'Close - PriceSaver'!A:J,6,0),"")</f>
        <v/>
      </c>
      <c r="Q1285" t="e">
        <f t="shared" si="184"/>
        <v>#N/A</v>
      </c>
      <c r="R1285" t="e">
        <f t="shared" si="185"/>
        <v>#N/A</v>
      </c>
      <c r="S1285" t="e">
        <f t="shared" si="186"/>
        <v>#N/A</v>
      </c>
      <c r="T1285" s="15" t="e">
        <f t="shared" si="188"/>
        <v>#N/A</v>
      </c>
      <c r="U1285" s="18" t="e">
        <f t="shared" si="189"/>
        <v>#N/A</v>
      </c>
      <c r="V1285" s="14" t="e">
        <f t="shared" si="187"/>
        <v>#N/A</v>
      </c>
      <c r="W1285" s="19" t="e">
        <f t="shared" si="190"/>
        <v>#N/A</v>
      </c>
      <c r="X1285" t="e">
        <f>VLOOKUP(P1285,Close[[ID]:[CreatedBy]],8,0)</f>
        <v>#N/A</v>
      </c>
    </row>
    <row r="1286" spans="2:24" x14ac:dyDescent="0.35">
      <c r="B1286" t="str">
        <f>IF(NOT(ISBLANK(A1286)),VLOOKUP(A1286,'BBT3'!A:F,2,0),"")</f>
        <v/>
      </c>
      <c r="C1286" t="str">
        <f>IF(NOT(ISBLANK(A1286)),VLOOKUP(A1286,'BBT3'!A:F,3,0),"")</f>
        <v/>
      </c>
      <c r="D1286" s="5" t="str">
        <f>IF(NOT(ISBLANK(A1286)),VLOOKUP(A1286,'BBT3'!A:F,4,1),"")</f>
        <v/>
      </c>
      <c r="E1286" t="str">
        <f>IF(NOT(ISBLANK(A1286)),VLOOKUP(A1286,'BBT3'!A:F,5,0),"")</f>
        <v/>
      </c>
      <c r="F1286" t="str">
        <f>IF(NOT(ISBLANK(A1286)),VLOOKUP(A1286,'BBT3'!A:F,6,0),"")</f>
        <v/>
      </c>
      <c r="G1286" t="str">
        <f t="shared" si="191"/>
        <v/>
      </c>
      <c r="H1286" t="str">
        <f>IF(NOT(ISBLANK(A1286)),VLOOKUP(A1286,'Close - PriceSaver'!A:J,5,0),"")</f>
        <v/>
      </c>
      <c r="I1286" s="4" t="str" cm="1">
        <f t="array" ref="I1286">IF(NOT(ISBLANK(A1286)),((_xlfn.XLOOKUP(1,(_bbt3[[#All],[ID]]=A1286)*(_bbt3[[#All],[METRIC_NAME]]="YLD_YTM_ASK"),_bbt3[[#All],[METRIC_VALUE]])*0.5)+(_xlfn.XLOOKUP(1,(_bbt3[[#All],[ID]]=A1286)*(_bbt3[[#All],[METRIC_NAME]]="YLD_YTM_BID"),_bbt3[[#All],[METRIC_VALUE]])*0.5))/100,"")</f>
        <v/>
      </c>
      <c r="J1286">
        <f>IF(ISNA(VLOOKUP(A1286,'CloseDL - PriceSaverBBT3'!A:E,5,0)),0,VLOOKUP(A1286,'CloseDL - PriceSaverBBT3'!A:E,5,0))</f>
        <v>0</v>
      </c>
      <c r="K1286" s="7" t="str">
        <f t="shared" si="192"/>
        <v/>
      </c>
      <c r="L1286" s="20">
        <f>IF(Close[[#This Row],[CreatedBy]]="MARINER\SilverAdm",1,0)</f>
        <v>1</v>
      </c>
      <c r="M1286" t="str">
        <f>IF(NOT(ISBLANK(A1286)),VLOOKUP(A1286,'Close - PriceSaver'!A:J,6,0),"")</f>
        <v/>
      </c>
      <c r="Q1286" t="e">
        <f t="shared" si="184"/>
        <v>#N/A</v>
      </c>
      <c r="R1286" t="e">
        <f t="shared" si="185"/>
        <v>#N/A</v>
      </c>
      <c r="S1286" t="e">
        <f t="shared" si="186"/>
        <v>#N/A</v>
      </c>
      <c r="T1286" s="15" t="e">
        <f t="shared" si="188"/>
        <v>#N/A</v>
      </c>
      <c r="U1286" s="18" t="e">
        <f t="shared" si="189"/>
        <v>#N/A</v>
      </c>
      <c r="V1286" s="14" t="e">
        <f t="shared" si="187"/>
        <v>#N/A</v>
      </c>
      <c r="W1286" s="19" t="e">
        <f t="shared" si="190"/>
        <v>#N/A</v>
      </c>
      <c r="X1286" t="e">
        <f>VLOOKUP(P1286,Close[[ID]:[CreatedBy]],8,0)</f>
        <v>#N/A</v>
      </c>
    </row>
    <row r="1287" spans="2:24" x14ac:dyDescent="0.35">
      <c r="B1287" t="str">
        <f>IF(NOT(ISBLANK(A1287)),VLOOKUP(A1287,'BBT3'!A:F,2,0),"")</f>
        <v/>
      </c>
      <c r="C1287" t="str">
        <f>IF(NOT(ISBLANK(A1287)),VLOOKUP(A1287,'BBT3'!A:F,3,0),"")</f>
        <v/>
      </c>
      <c r="D1287" s="5" t="str">
        <f>IF(NOT(ISBLANK(A1287)),VLOOKUP(A1287,'BBT3'!A:F,4,1),"")</f>
        <v/>
      </c>
      <c r="E1287" t="str">
        <f>IF(NOT(ISBLANK(A1287)),VLOOKUP(A1287,'BBT3'!A:F,5,0),"")</f>
        <v/>
      </c>
      <c r="F1287" t="str">
        <f>IF(NOT(ISBLANK(A1287)),VLOOKUP(A1287,'BBT3'!A:F,6,0),"")</f>
        <v/>
      </c>
      <c r="G1287" t="str">
        <f t="shared" si="191"/>
        <v/>
      </c>
      <c r="H1287" t="str">
        <f>IF(NOT(ISBLANK(A1287)),VLOOKUP(A1287,'Close - PriceSaver'!A:J,5,0),"")</f>
        <v/>
      </c>
      <c r="I1287" s="4" t="str" cm="1">
        <f t="array" ref="I1287">IF(NOT(ISBLANK(A1287)),((_xlfn.XLOOKUP(1,(_bbt3[[#All],[ID]]=A1287)*(_bbt3[[#All],[METRIC_NAME]]="YLD_YTM_ASK"),_bbt3[[#All],[METRIC_VALUE]])*0.5)+(_xlfn.XLOOKUP(1,(_bbt3[[#All],[ID]]=A1287)*(_bbt3[[#All],[METRIC_NAME]]="YLD_YTM_BID"),_bbt3[[#All],[METRIC_VALUE]])*0.5))/100,"")</f>
        <v/>
      </c>
      <c r="J1287">
        <f>IF(ISNA(VLOOKUP(A1287,'CloseDL - PriceSaverBBT3'!A:E,5,0)),0,VLOOKUP(A1287,'CloseDL - PriceSaverBBT3'!A:E,5,0))</f>
        <v>0</v>
      </c>
      <c r="K1287" s="7" t="str">
        <f t="shared" si="192"/>
        <v/>
      </c>
      <c r="L1287" s="20">
        <f>IF(Close[[#This Row],[CreatedBy]]="MARINER\SilverAdm",1,0)</f>
        <v>1</v>
      </c>
      <c r="M1287" t="str">
        <f>IF(NOT(ISBLANK(A1287)),VLOOKUP(A1287,'Close - PriceSaver'!A:J,6,0),"")</f>
        <v/>
      </c>
      <c r="Q1287" t="e">
        <f t="shared" si="184"/>
        <v>#N/A</v>
      </c>
      <c r="R1287" t="e">
        <f t="shared" si="185"/>
        <v>#N/A</v>
      </c>
      <c r="S1287" t="e">
        <f t="shared" si="186"/>
        <v>#N/A</v>
      </c>
      <c r="T1287" s="15" t="e">
        <f t="shared" si="188"/>
        <v>#N/A</v>
      </c>
      <c r="U1287" s="18" t="e">
        <f t="shared" si="189"/>
        <v>#N/A</v>
      </c>
      <c r="V1287" s="14" t="e">
        <f t="shared" si="187"/>
        <v>#N/A</v>
      </c>
      <c r="W1287" s="19" t="e">
        <f t="shared" si="190"/>
        <v>#N/A</v>
      </c>
      <c r="X1287" t="e">
        <f>VLOOKUP(P1287,Close[[ID]:[CreatedBy]],8,0)</f>
        <v>#N/A</v>
      </c>
    </row>
    <row r="1288" spans="2:24" x14ac:dyDescent="0.35">
      <c r="B1288" t="str">
        <f>IF(NOT(ISBLANK(A1288)),VLOOKUP(A1288,'BBT3'!A:F,2,0),"")</f>
        <v/>
      </c>
      <c r="C1288" t="str">
        <f>IF(NOT(ISBLANK(A1288)),VLOOKUP(A1288,'BBT3'!A:F,3,0),"")</f>
        <v/>
      </c>
      <c r="D1288" s="5" t="str">
        <f>IF(NOT(ISBLANK(A1288)),VLOOKUP(A1288,'BBT3'!A:F,4,1),"")</f>
        <v/>
      </c>
      <c r="E1288" t="str">
        <f>IF(NOT(ISBLANK(A1288)),VLOOKUP(A1288,'BBT3'!A:F,5,0),"")</f>
        <v/>
      </c>
      <c r="F1288" t="str">
        <f>IF(NOT(ISBLANK(A1288)),VLOOKUP(A1288,'BBT3'!A:F,6,0),"")</f>
        <v/>
      </c>
      <c r="G1288" t="str">
        <f t="shared" si="191"/>
        <v/>
      </c>
      <c r="H1288" t="str">
        <f>IF(NOT(ISBLANK(A1288)),VLOOKUP(A1288,'Close - PriceSaver'!A:J,5,0),"")</f>
        <v/>
      </c>
      <c r="I1288" s="4" t="str" cm="1">
        <f t="array" ref="I1288">IF(NOT(ISBLANK(A1288)),((_xlfn.XLOOKUP(1,(_bbt3[[#All],[ID]]=A1288)*(_bbt3[[#All],[METRIC_NAME]]="YLD_YTM_ASK"),_bbt3[[#All],[METRIC_VALUE]])*0.5)+(_xlfn.XLOOKUP(1,(_bbt3[[#All],[ID]]=A1288)*(_bbt3[[#All],[METRIC_NAME]]="YLD_YTM_BID"),_bbt3[[#All],[METRIC_VALUE]])*0.5))/100,"")</f>
        <v/>
      </c>
      <c r="J1288">
        <f>IF(ISNA(VLOOKUP(A1288,'CloseDL - PriceSaverBBT3'!A:E,5,0)),0,VLOOKUP(A1288,'CloseDL - PriceSaverBBT3'!A:E,5,0))</f>
        <v>0</v>
      </c>
      <c r="K1288" s="7" t="str">
        <f t="shared" si="192"/>
        <v/>
      </c>
      <c r="L1288" s="20">
        <f>IF(Close[[#This Row],[CreatedBy]]="MARINER\SilverAdm",1,0)</f>
        <v>1</v>
      </c>
      <c r="M1288" t="str">
        <f>IF(NOT(ISBLANK(A1288)),VLOOKUP(A1288,'Close - PriceSaver'!A:J,6,0),"")</f>
        <v/>
      </c>
      <c r="Q1288" t="e">
        <f t="shared" si="184"/>
        <v>#N/A</v>
      </c>
      <c r="R1288" t="e">
        <f t="shared" si="185"/>
        <v>#N/A</v>
      </c>
      <c r="S1288" t="e">
        <f t="shared" si="186"/>
        <v>#N/A</v>
      </c>
      <c r="T1288" s="15" t="e">
        <f t="shared" si="188"/>
        <v>#N/A</v>
      </c>
      <c r="U1288" s="18" t="e">
        <f t="shared" si="189"/>
        <v>#N/A</v>
      </c>
      <c r="V1288" s="14" t="e">
        <f t="shared" si="187"/>
        <v>#N/A</v>
      </c>
      <c r="W1288" s="19" t="e">
        <f t="shared" si="190"/>
        <v>#N/A</v>
      </c>
      <c r="X1288" t="e">
        <f>VLOOKUP(P1288,Close[[ID]:[CreatedBy]],8,0)</f>
        <v>#N/A</v>
      </c>
    </row>
    <row r="1289" spans="2:24" x14ac:dyDescent="0.35">
      <c r="B1289" t="str">
        <f>IF(NOT(ISBLANK(A1289)),VLOOKUP(A1289,'BBT3'!A:F,2,0),"")</f>
        <v/>
      </c>
      <c r="C1289" t="str">
        <f>IF(NOT(ISBLANK(A1289)),VLOOKUP(A1289,'BBT3'!A:F,3,0),"")</f>
        <v/>
      </c>
      <c r="D1289" s="5" t="str">
        <f>IF(NOT(ISBLANK(A1289)),VLOOKUP(A1289,'BBT3'!A:F,4,1),"")</f>
        <v/>
      </c>
      <c r="E1289" t="str">
        <f>IF(NOT(ISBLANK(A1289)),VLOOKUP(A1289,'BBT3'!A:F,5,0),"")</f>
        <v/>
      </c>
      <c r="F1289" t="str">
        <f>IF(NOT(ISBLANK(A1289)),VLOOKUP(A1289,'BBT3'!A:F,6,0),"")</f>
        <v/>
      </c>
      <c r="G1289" t="str">
        <f t="shared" si="191"/>
        <v/>
      </c>
      <c r="H1289" t="str">
        <f>IF(NOT(ISBLANK(A1289)),VLOOKUP(A1289,'Close - PriceSaver'!A:J,5,0),"")</f>
        <v/>
      </c>
      <c r="I1289" s="4" t="str" cm="1">
        <f t="array" ref="I1289">IF(NOT(ISBLANK(A1289)),((_xlfn.XLOOKUP(1,(_bbt3[[#All],[ID]]=A1289)*(_bbt3[[#All],[METRIC_NAME]]="YLD_YTM_ASK"),_bbt3[[#All],[METRIC_VALUE]])*0.5)+(_xlfn.XLOOKUP(1,(_bbt3[[#All],[ID]]=A1289)*(_bbt3[[#All],[METRIC_NAME]]="YLD_YTM_BID"),_bbt3[[#All],[METRIC_VALUE]])*0.5))/100,"")</f>
        <v/>
      </c>
      <c r="J1289">
        <f>IF(ISNA(VLOOKUP(A1289,'CloseDL - PriceSaverBBT3'!A:E,5,0)),0,VLOOKUP(A1289,'CloseDL - PriceSaverBBT3'!A:E,5,0))</f>
        <v>0</v>
      </c>
      <c r="K1289" s="7" t="str">
        <f t="shared" si="192"/>
        <v/>
      </c>
      <c r="L1289" s="20">
        <f>IF(Close[[#This Row],[CreatedBy]]="MARINER\SilverAdm",1,0)</f>
        <v>1</v>
      </c>
      <c r="M1289" t="str">
        <f>IF(NOT(ISBLANK(A1289)),VLOOKUP(A1289,'Close - PriceSaver'!A:J,6,0),"")</f>
        <v/>
      </c>
      <c r="Q1289" t="e">
        <f t="shared" si="184"/>
        <v>#N/A</v>
      </c>
      <c r="R1289" t="e">
        <f t="shared" si="185"/>
        <v>#N/A</v>
      </c>
      <c r="S1289" t="e">
        <f t="shared" si="186"/>
        <v>#N/A</v>
      </c>
      <c r="T1289" s="15" t="e">
        <f t="shared" si="188"/>
        <v>#N/A</v>
      </c>
      <c r="U1289" s="18" t="e">
        <f t="shared" si="189"/>
        <v>#N/A</v>
      </c>
      <c r="V1289" s="14" t="e">
        <f t="shared" si="187"/>
        <v>#N/A</v>
      </c>
      <c r="W1289" s="19" t="e">
        <f t="shared" si="190"/>
        <v>#N/A</v>
      </c>
      <c r="X1289" t="e">
        <f>VLOOKUP(P1289,Close[[ID]:[CreatedBy]],8,0)</f>
        <v>#N/A</v>
      </c>
    </row>
    <row r="1290" spans="2:24" x14ac:dyDescent="0.35">
      <c r="B1290" t="str">
        <f>IF(NOT(ISBLANK(A1290)),VLOOKUP(A1290,'BBT3'!A:F,2,0),"")</f>
        <v/>
      </c>
      <c r="C1290" t="str">
        <f>IF(NOT(ISBLANK(A1290)),VLOOKUP(A1290,'BBT3'!A:F,3,0),"")</f>
        <v/>
      </c>
      <c r="D1290" s="5" t="str">
        <f>IF(NOT(ISBLANK(A1290)),VLOOKUP(A1290,'BBT3'!A:F,4,1),"")</f>
        <v/>
      </c>
      <c r="E1290" t="str">
        <f>IF(NOT(ISBLANK(A1290)),VLOOKUP(A1290,'BBT3'!A:F,5,0),"")</f>
        <v/>
      </c>
      <c r="F1290" t="str">
        <f>IF(NOT(ISBLANK(A1290)),VLOOKUP(A1290,'BBT3'!A:F,6,0),"")</f>
        <v/>
      </c>
      <c r="G1290" t="str">
        <f t="shared" si="191"/>
        <v/>
      </c>
      <c r="H1290" t="str">
        <f>IF(NOT(ISBLANK(A1290)),VLOOKUP(A1290,'Close - PriceSaver'!A:J,5,0),"")</f>
        <v/>
      </c>
      <c r="I1290" s="4" t="str" cm="1">
        <f t="array" ref="I1290">IF(NOT(ISBLANK(A1290)),((_xlfn.XLOOKUP(1,(_bbt3[[#All],[ID]]=A1290)*(_bbt3[[#All],[METRIC_NAME]]="YLD_YTM_ASK"),_bbt3[[#All],[METRIC_VALUE]])*0.5)+(_xlfn.XLOOKUP(1,(_bbt3[[#All],[ID]]=A1290)*(_bbt3[[#All],[METRIC_NAME]]="YLD_YTM_BID"),_bbt3[[#All],[METRIC_VALUE]])*0.5))/100,"")</f>
        <v/>
      </c>
      <c r="J1290">
        <f>IF(ISNA(VLOOKUP(A1290,'CloseDL - PriceSaverBBT3'!A:E,5,0)),0,VLOOKUP(A1290,'CloseDL - PriceSaverBBT3'!A:E,5,0))</f>
        <v>0</v>
      </c>
      <c r="K1290" s="7" t="str">
        <f t="shared" si="192"/>
        <v/>
      </c>
      <c r="L1290" s="20">
        <f>IF(Close[[#This Row],[CreatedBy]]="MARINER\SilverAdm",1,0)</f>
        <v>1</v>
      </c>
      <c r="M1290" t="str">
        <f>IF(NOT(ISBLANK(A1290)),VLOOKUP(A1290,'Close - PriceSaver'!A:J,6,0),"")</f>
        <v/>
      </c>
      <c r="Q1290" t="e">
        <f t="shared" si="184"/>
        <v>#N/A</v>
      </c>
      <c r="R1290" t="e">
        <f t="shared" si="185"/>
        <v>#N/A</v>
      </c>
      <c r="S1290" t="e">
        <f t="shared" si="186"/>
        <v>#N/A</v>
      </c>
      <c r="T1290" s="15" t="e">
        <f t="shared" si="188"/>
        <v>#N/A</v>
      </c>
      <c r="U1290" s="18" t="e">
        <f t="shared" si="189"/>
        <v>#N/A</v>
      </c>
      <c r="V1290" s="14" t="e">
        <f t="shared" si="187"/>
        <v>#N/A</v>
      </c>
      <c r="W1290" s="19" t="e">
        <f t="shared" si="190"/>
        <v>#N/A</v>
      </c>
      <c r="X1290" t="e">
        <f>VLOOKUP(P1290,Close[[ID]:[CreatedBy]],8,0)</f>
        <v>#N/A</v>
      </c>
    </row>
    <row r="1291" spans="2:24" x14ac:dyDescent="0.35">
      <c r="B1291" t="str">
        <f>IF(NOT(ISBLANK(A1291)),VLOOKUP(A1291,'BBT3'!A:F,2,0),"")</f>
        <v/>
      </c>
      <c r="C1291" t="str">
        <f>IF(NOT(ISBLANK(A1291)),VLOOKUP(A1291,'BBT3'!A:F,3,0),"")</f>
        <v/>
      </c>
      <c r="D1291" s="5" t="str">
        <f>IF(NOT(ISBLANK(A1291)),VLOOKUP(A1291,'BBT3'!A:F,4,1),"")</f>
        <v/>
      </c>
      <c r="E1291" t="str">
        <f>IF(NOT(ISBLANK(A1291)),VLOOKUP(A1291,'BBT3'!A:F,5,0),"")</f>
        <v/>
      </c>
      <c r="F1291" t="str">
        <f>IF(NOT(ISBLANK(A1291)),VLOOKUP(A1291,'BBT3'!A:F,6,0),"")</f>
        <v/>
      </c>
      <c r="G1291" t="str">
        <f t="shared" si="191"/>
        <v/>
      </c>
      <c r="H1291" t="str">
        <f>IF(NOT(ISBLANK(A1291)),VLOOKUP(A1291,'Close - PriceSaver'!A:J,5,0),"")</f>
        <v/>
      </c>
      <c r="I1291" s="4" t="str" cm="1">
        <f t="array" ref="I1291">IF(NOT(ISBLANK(A1291)),((_xlfn.XLOOKUP(1,(_bbt3[[#All],[ID]]=A1291)*(_bbt3[[#All],[METRIC_NAME]]="YLD_YTM_ASK"),_bbt3[[#All],[METRIC_VALUE]])*0.5)+(_xlfn.XLOOKUP(1,(_bbt3[[#All],[ID]]=A1291)*(_bbt3[[#All],[METRIC_NAME]]="YLD_YTM_BID"),_bbt3[[#All],[METRIC_VALUE]])*0.5))/100,"")</f>
        <v/>
      </c>
      <c r="J1291">
        <f>IF(ISNA(VLOOKUP(A1291,'CloseDL - PriceSaverBBT3'!A:E,5,0)),0,VLOOKUP(A1291,'CloseDL - PriceSaverBBT3'!A:E,5,0))</f>
        <v>0</v>
      </c>
      <c r="K1291" s="7" t="str">
        <f t="shared" si="192"/>
        <v/>
      </c>
      <c r="L1291" s="20">
        <f>IF(Close[[#This Row],[CreatedBy]]="MARINER\SilverAdm",1,0)</f>
        <v>1</v>
      </c>
      <c r="M1291" t="str">
        <f>IF(NOT(ISBLANK(A1291)),VLOOKUP(A1291,'Close - PriceSaver'!A:J,6,0),"")</f>
        <v/>
      </c>
      <c r="Q1291" t="e">
        <f t="shared" ref="Q1291:Q1354" si="193">VLOOKUP(P1291,A:C,3,0)</f>
        <v>#N/A</v>
      </c>
      <c r="R1291" t="e">
        <f t="shared" si="185"/>
        <v>#N/A</v>
      </c>
      <c r="S1291" t="e">
        <f t="shared" si="186"/>
        <v>#N/A</v>
      </c>
      <c r="T1291" s="15" t="e">
        <f t="shared" si="188"/>
        <v>#N/A</v>
      </c>
      <c r="U1291" s="18" t="e">
        <f t="shared" si="189"/>
        <v>#N/A</v>
      </c>
      <c r="V1291" s="14" t="e">
        <f t="shared" si="187"/>
        <v>#N/A</v>
      </c>
      <c r="W1291" s="19" t="e">
        <f t="shared" si="190"/>
        <v>#N/A</v>
      </c>
      <c r="X1291" t="e">
        <f>VLOOKUP(P1291,Close[[ID]:[CreatedBy]],8,0)</f>
        <v>#N/A</v>
      </c>
    </row>
    <row r="1292" spans="2:24" x14ac:dyDescent="0.35">
      <c r="B1292" t="str">
        <f>IF(NOT(ISBLANK(A1292)),VLOOKUP(A1292,'BBT3'!A:F,2,0),"")</f>
        <v/>
      </c>
      <c r="C1292" t="str">
        <f>IF(NOT(ISBLANK(A1292)),VLOOKUP(A1292,'BBT3'!A:F,3,0),"")</f>
        <v/>
      </c>
      <c r="D1292" s="5" t="str">
        <f>IF(NOT(ISBLANK(A1292)),VLOOKUP(A1292,'BBT3'!A:F,4,1),"")</f>
        <v/>
      </c>
      <c r="E1292" t="str">
        <f>IF(NOT(ISBLANK(A1292)),VLOOKUP(A1292,'BBT3'!A:F,5,0),"")</f>
        <v/>
      </c>
      <c r="F1292" t="str">
        <f>IF(NOT(ISBLANK(A1292)),VLOOKUP(A1292,'BBT3'!A:F,6,0),"")</f>
        <v/>
      </c>
      <c r="G1292" t="str">
        <f t="shared" si="191"/>
        <v/>
      </c>
      <c r="H1292" t="str">
        <f>IF(NOT(ISBLANK(A1292)),VLOOKUP(A1292,'Close - PriceSaver'!A:J,5,0),"")</f>
        <v/>
      </c>
      <c r="I1292" s="4" t="str" cm="1">
        <f t="array" ref="I1292">IF(NOT(ISBLANK(A1292)),((_xlfn.XLOOKUP(1,(_bbt3[[#All],[ID]]=A1292)*(_bbt3[[#All],[METRIC_NAME]]="YLD_YTM_ASK"),_bbt3[[#All],[METRIC_VALUE]])*0.5)+(_xlfn.XLOOKUP(1,(_bbt3[[#All],[ID]]=A1292)*(_bbt3[[#All],[METRIC_NAME]]="YLD_YTM_BID"),_bbt3[[#All],[METRIC_VALUE]])*0.5))/100,"")</f>
        <v/>
      </c>
      <c r="J1292">
        <f>IF(ISNA(VLOOKUP(A1292,'CloseDL - PriceSaverBBT3'!A:E,5,0)),0,VLOOKUP(A1292,'CloseDL - PriceSaverBBT3'!A:E,5,0))</f>
        <v>0</v>
      </c>
      <c r="K1292" s="7" t="str">
        <f t="shared" si="192"/>
        <v/>
      </c>
      <c r="L1292" s="20">
        <f>IF(Close[[#This Row],[CreatedBy]]="MARINER\SilverAdm",1,0)</f>
        <v>1</v>
      </c>
      <c r="M1292" t="str">
        <f>IF(NOT(ISBLANK(A1292)),VLOOKUP(A1292,'Close - PriceSaver'!A:J,6,0),"")</f>
        <v/>
      </c>
      <c r="Q1292" t="e">
        <f t="shared" si="193"/>
        <v>#N/A</v>
      </c>
      <c r="R1292" t="e">
        <f t="shared" si="185"/>
        <v>#N/A</v>
      </c>
      <c r="S1292" t="e">
        <f t="shared" si="186"/>
        <v>#N/A</v>
      </c>
      <c r="T1292" s="15" t="e">
        <f t="shared" si="188"/>
        <v>#N/A</v>
      </c>
      <c r="U1292" s="18" t="e">
        <f t="shared" si="189"/>
        <v>#N/A</v>
      </c>
      <c r="V1292" s="14" t="e">
        <f t="shared" si="187"/>
        <v>#N/A</v>
      </c>
      <c r="W1292" s="19" t="e">
        <f t="shared" si="190"/>
        <v>#N/A</v>
      </c>
      <c r="X1292" t="e">
        <f>VLOOKUP(P1292,Close[[ID]:[CreatedBy]],8,0)</f>
        <v>#N/A</v>
      </c>
    </row>
    <row r="1293" spans="2:24" x14ac:dyDescent="0.35">
      <c r="B1293" t="str">
        <f>IF(NOT(ISBLANK(A1293)),VLOOKUP(A1293,'BBT3'!A:F,2,0),"")</f>
        <v/>
      </c>
      <c r="C1293" t="str">
        <f>IF(NOT(ISBLANK(A1293)),VLOOKUP(A1293,'BBT3'!A:F,3,0),"")</f>
        <v/>
      </c>
      <c r="D1293" s="5" t="str">
        <f>IF(NOT(ISBLANK(A1293)),VLOOKUP(A1293,'BBT3'!A:F,4,1),"")</f>
        <v/>
      </c>
      <c r="E1293" t="str">
        <f>IF(NOT(ISBLANK(A1293)),VLOOKUP(A1293,'BBT3'!A:F,5,0),"")</f>
        <v/>
      </c>
      <c r="F1293" t="str">
        <f>IF(NOT(ISBLANK(A1293)),VLOOKUP(A1293,'BBT3'!A:F,6,0),"")</f>
        <v/>
      </c>
      <c r="G1293" t="str">
        <f t="shared" si="191"/>
        <v/>
      </c>
      <c r="H1293" t="str">
        <f>IF(NOT(ISBLANK(A1293)),VLOOKUP(A1293,'Close - PriceSaver'!A:J,5,0),"")</f>
        <v/>
      </c>
      <c r="I1293" s="4" t="str" cm="1">
        <f t="array" ref="I1293">IF(NOT(ISBLANK(A1293)),((_xlfn.XLOOKUP(1,(_bbt3[[#All],[ID]]=A1293)*(_bbt3[[#All],[METRIC_NAME]]="YLD_YTM_ASK"),_bbt3[[#All],[METRIC_VALUE]])*0.5)+(_xlfn.XLOOKUP(1,(_bbt3[[#All],[ID]]=A1293)*(_bbt3[[#All],[METRIC_NAME]]="YLD_YTM_BID"),_bbt3[[#All],[METRIC_VALUE]])*0.5))/100,"")</f>
        <v/>
      </c>
      <c r="J1293">
        <f>IF(ISNA(VLOOKUP(A1293,'CloseDL - PriceSaverBBT3'!A:E,5,0)),0,VLOOKUP(A1293,'CloseDL - PriceSaverBBT3'!A:E,5,0))</f>
        <v>0</v>
      </c>
      <c r="K1293" s="7" t="str">
        <f t="shared" si="192"/>
        <v/>
      </c>
      <c r="L1293" s="20">
        <f>IF(Close[[#This Row],[CreatedBy]]="MARINER\SilverAdm",1,0)</f>
        <v>1</v>
      </c>
      <c r="M1293" t="str">
        <f>IF(NOT(ISBLANK(A1293)),VLOOKUP(A1293,'Close - PriceSaver'!A:J,6,0),"")</f>
        <v/>
      </c>
      <c r="Q1293" t="e">
        <f t="shared" si="193"/>
        <v>#N/A</v>
      </c>
      <c r="R1293" t="e">
        <f t="shared" ref="R1293:R1356" si="194">VLOOKUP(P1293,A:B,2,0)</f>
        <v>#N/A</v>
      </c>
      <c r="S1293" t="e">
        <f t="shared" ref="S1293:S1356" si="195">VLOOKUP(P1293,A:E,4,0)</f>
        <v>#N/A</v>
      </c>
      <c r="T1293" s="15" t="e">
        <f t="shared" si="188"/>
        <v>#N/A</v>
      </c>
      <c r="U1293" s="18" t="e">
        <f t="shared" si="189"/>
        <v>#N/A</v>
      </c>
      <c r="V1293" s="14" t="e">
        <f t="shared" si="187"/>
        <v>#N/A</v>
      </c>
      <c r="W1293" s="19" t="e">
        <f t="shared" si="190"/>
        <v>#N/A</v>
      </c>
      <c r="X1293" t="e">
        <f>VLOOKUP(P1293,Close[[ID]:[CreatedBy]],8,0)</f>
        <v>#N/A</v>
      </c>
    </row>
    <row r="1294" spans="2:24" x14ac:dyDescent="0.35">
      <c r="B1294" t="str">
        <f>IF(NOT(ISBLANK(A1294)),VLOOKUP(A1294,'BBT3'!A:F,2,0),"")</f>
        <v/>
      </c>
      <c r="C1294" t="str">
        <f>IF(NOT(ISBLANK(A1294)),VLOOKUP(A1294,'BBT3'!A:F,3,0),"")</f>
        <v/>
      </c>
      <c r="D1294" s="5" t="str">
        <f>IF(NOT(ISBLANK(A1294)),VLOOKUP(A1294,'BBT3'!A:F,4,1),"")</f>
        <v/>
      </c>
      <c r="E1294" t="str">
        <f>IF(NOT(ISBLANK(A1294)),VLOOKUP(A1294,'BBT3'!A:F,5,0),"")</f>
        <v/>
      </c>
      <c r="F1294" t="str">
        <f>IF(NOT(ISBLANK(A1294)),VLOOKUP(A1294,'BBT3'!A:F,6,0),"")</f>
        <v/>
      </c>
      <c r="G1294" t="str">
        <f t="shared" si="191"/>
        <v/>
      </c>
      <c r="H1294" t="str">
        <f>IF(NOT(ISBLANK(A1294)),VLOOKUP(A1294,'Close - PriceSaver'!A:J,5,0),"")</f>
        <v/>
      </c>
      <c r="I1294" s="4" t="str" cm="1">
        <f t="array" ref="I1294">IF(NOT(ISBLANK(A1294)),((_xlfn.XLOOKUP(1,(_bbt3[[#All],[ID]]=A1294)*(_bbt3[[#All],[METRIC_NAME]]="YLD_YTM_ASK"),_bbt3[[#All],[METRIC_VALUE]])*0.5)+(_xlfn.XLOOKUP(1,(_bbt3[[#All],[ID]]=A1294)*(_bbt3[[#All],[METRIC_NAME]]="YLD_YTM_BID"),_bbt3[[#All],[METRIC_VALUE]])*0.5))/100,"")</f>
        <v/>
      </c>
      <c r="J1294">
        <f>IF(ISNA(VLOOKUP(A1294,'CloseDL - PriceSaverBBT3'!A:E,5,0)),0,VLOOKUP(A1294,'CloseDL - PriceSaverBBT3'!A:E,5,0))</f>
        <v>0</v>
      </c>
      <c r="K1294" s="7" t="str">
        <f t="shared" si="192"/>
        <v/>
      </c>
      <c r="L1294" s="20">
        <f>IF(Close[[#This Row],[CreatedBy]]="MARINER\SilverAdm",1,0)</f>
        <v>1</v>
      </c>
      <c r="M1294" t="str">
        <f>IF(NOT(ISBLANK(A1294)),VLOOKUP(A1294,'Close - PriceSaver'!A:J,6,0),"")</f>
        <v/>
      </c>
      <c r="Q1294" t="e">
        <f t="shared" si="193"/>
        <v>#N/A</v>
      </c>
      <c r="R1294" t="e">
        <f t="shared" si="194"/>
        <v>#N/A</v>
      </c>
      <c r="S1294" t="e">
        <f t="shared" si="195"/>
        <v>#N/A</v>
      </c>
      <c r="T1294" s="15" t="e">
        <f t="shared" si="188"/>
        <v>#N/A</v>
      </c>
      <c r="U1294" s="18" t="e">
        <f t="shared" si="189"/>
        <v>#N/A</v>
      </c>
      <c r="V1294" s="14" t="e">
        <f t="shared" ref="V1294:V1357" si="196">VLOOKUP(Q1294,A:K,10,0)</f>
        <v>#N/A</v>
      </c>
      <c r="W1294" s="19" t="e">
        <f t="shared" si="190"/>
        <v>#N/A</v>
      </c>
      <c r="X1294" t="e">
        <f>VLOOKUP(P1294,Close[[ID]:[CreatedBy]],8,0)</f>
        <v>#N/A</v>
      </c>
    </row>
    <row r="1295" spans="2:24" x14ac:dyDescent="0.35">
      <c r="B1295" t="str">
        <f>IF(NOT(ISBLANK(A1295)),VLOOKUP(A1295,'BBT3'!A:F,2,0),"")</f>
        <v/>
      </c>
      <c r="C1295" t="str">
        <f>IF(NOT(ISBLANK(A1295)),VLOOKUP(A1295,'BBT3'!A:F,3,0),"")</f>
        <v/>
      </c>
      <c r="D1295" s="5" t="str">
        <f>IF(NOT(ISBLANK(A1295)),VLOOKUP(A1295,'BBT3'!A:F,4,1),"")</f>
        <v/>
      </c>
      <c r="E1295" t="str">
        <f>IF(NOT(ISBLANK(A1295)),VLOOKUP(A1295,'BBT3'!A:F,5,0),"")</f>
        <v/>
      </c>
      <c r="F1295" t="str">
        <f>IF(NOT(ISBLANK(A1295)),VLOOKUP(A1295,'BBT3'!A:F,6,0),"")</f>
        <v/>
      </c>
      <c r="G1295" t="str">
        <f t="shared" si="191"/>
        <v/>
      </c>
      <c r="H1295" t="str">
        <f>IF(NOT(ISBLANK(A1295)),VLOOKUP(A1295,'Close - PriceSaver'!A:J,5,0),"")</f>
        <v/>
      </c>
      <c r="I1295" s="4" t="str" cm="1">
        <f t="array" ref="I1295">IF(NOT(ISBLANK(A1295)),((_xlfn.XLOOKUP(1,(_bbt3[[#All],[ID]]=A1295)*(_bbt3[[#All],[METRIC_NAME]]="YLD_YTM_ASK"),_bbt3[[#All],[METRIC_VALUE]])*0.5)+(_xlfn.XLOOKUP(1,(_bbt3[[#All],[ID]]=A1295)*(_bbt3[[#All],[METRIC_NAME]]="YLD_YTM_BID"),_bbt3[[#All],[METRIC_VALUE]])*0.5))/100,"")</f>
        <v/>
      </c>
      <c r="J1295">
        <f>IF(ISNA(VLOOKUP(A1295,'CloseDL - PriceSaverBBT3'!A:E,5,0)),0,VLOOKUP(A1295,'CloseDL - PriceSaverBBT3'!A:E,5,0))</f>
        <v>0</v>
      </c>
      <c r="K1295" s="7" t="str">
        <f t="shared" si="192"/>
        <v/>
      </c>
      <c r="L1295" s="20">
        <f>IF(Close[[#This Row],[CreatedBy]]="MARINER\SilverAdm",1,0)</f>
        <v>1</v>
      </c>
      <c r="M1295" t="str">
        <f>IF(NOT(ISBLANK(A1295)),VLOOKUP(A1295,'Close - PriceSaver'!A:J,6,0),"")</f>
        <v/>
      </c>
      <c r="Q1295" t="e">
        <f t="shared" si="193"/>
        <v>#N/A</v>
      </c>
      <c r="R1295" t="e">
        <f t="shared" si="194"/>
        <v>#N/A</v>
      </c>
      <c r="S1295" t="e">
        <f t="shared" si="195"/>
        <v>#N/A</v>
      </c>
      <c r="T1295" s="15" t="e">
        <f t="shared" si="188"/>
        <v>#N/A</v>
      </c>
      <c r="U1295" s="18" t="e">
        <f t="shared" si="189"/>
        <v>#N/A</v>
      </c>
      <c r="V1295" s="14" t="e">
        <f t="shared" si="196"/>
        <v>#N/A</v>
      </c>
      <c r="W1295" s="19" t="e">
        <f t="shared" si="190"/>
        <v>#N/A</v>
      </c>
      <c r="X1295" t="e">
        <f>VLOOKUP(P1295,Close[[ID]:[CreatedBy]],8,0)</f>
        <v>#N/A</v>
      </c>
    </row>
    <row r="1296" spans="2:24" x14ac:dyDescent="0.35">
      <c r="B1296" t="str">
        <f>IF(NOT(ISBLANK(A1296)),VLOOKUP(A1296,'BBT3'!A:F,2,0),"")</f>
        <v/>
      </c>
      <c r="C1296" t="str">
        <f>IF(NOT(ISBLANK(A1296)),VLOOKUP(A1296,'BBT3'!A:F,3,0),"")</f>
        <v/>
      </c>
      <c r="D1296" s="5" t="str">
        <f>IF(NOT(ISBLANK(A1296)),VLOOKUP(A1296,'BBT3'!A:F,4,1),"")</f>
        <v/>
      </c>
      <c r="E1296" t="str">
        <f>IF(NOT(ISBLANK(A1296)),VLOOKUP(A1296,'BBT3'!A:F,5,0),"")</f>
        <v/>
      </c>
      <c r="F1296" t="str">
        <f>IF(NOT(ISBLANK(A1296)),VLOOKUP(A1296,'BBT3'!A:F,6,0),"")</f>
        <v/>
      </c>
      <c r="G1296" t="str">
        <f t="shared" si="191"/>
        <v/>
      </c>
      <c r="H1296" t="str">
        <f>IF(NOT(ISBLANK(A1296)),VLOOKUP(A1296,'Close - PriceSaver'!A:J,5,0),"")</f>
        <v/>
      </c>
      <c r="I1296" s="4" t="str" cm="1">
        <f t="array" ref="I1296">IF(NOT(ISBLANK(A1296)),((_xlfn.XLOOKUP(1,(_bbt3[[#All],[ID]]=A1296)*(_bbt3[[#All],[METRIC_NAME]]="YLD_YTM_ASK"),_bbt3[[#All],[METRIC_VALUE]])*0.5)+(_xlfn.XLOOKUP(1,(_bbt3[[#All],[ID]]=A1296)*(_bbt3[[#All],[METRIC_NAME]]="YLD_YTM_BID"),_bbt3[[#All],[METRIC_VALUE]])*0.5))/100,"")</f>
        <v/>
      </c>
      <c r="J1296">
        <f>IF(ISNA(VLOOKUP(A1296,'CloseDL - PriceSaverBBT3'!A:E,5,0)),0,VLOOKUP(A1296,'CloseDL - PriceSaverBBT3'!A:E,5,0))</f>
        <v>0</v>
      </c>
      <c r="K1296" s="7" t="str">
        <f t="shared" si="192"/>
        <v/>
      </c>
      <c r="L1296" s="20">
        <f>IF(Close[[#This Row],[CreatedBy]]="MARINER\SilverAdm",1,0)</f>
        <v>1</v>
      </c>
      <c r="M1296" t="str">
        <f>IF(NOT(ISBLANK(A1296)),VLOOKUP(A1296,'Close - PriceSaver'!A:J,6,0),"")</f>
        <v/>
      </c>
      <c r="Q1296" t="e">
        <f t="shared" si="193"/>
        <v>#N/A</v>
      </c>
      <c r="R1296" t="e">
        <f t="shared" si="194"/>
        <v>#N/A</v>
      </c>
      <c r="S1296" t="e">
        <f t="shared" si="195"/>
        <v>#N/A</v>
      </c>
      <c r="T1296" s="15" t="e">
        <f t="shared" si="188"/>
        <v>#N/A</v>
      </c>
      <c r="U1296" s="18" t="e">
        <f t="shared" si="189"/>
        <v>#N/A</v>
      </c>
      <c r="V1296" s="14" t="e">
        <f t="shared" si="196"/>
        <v>#N/A</v>
      </c>
      <c r="W1296" s="19" t="e">
        <f t="shared" si="190"/>
        <v>#N/A</v>
      </c>
      <c r="X1296" t="e">
        <f>VLOOKUP(P1296,Close[[ID]:[CreatedBy]],8,0)</f>
        <v>#N/A</v>
      </c>
    </row>
    <row r="1297" spans="2:24" x14ac:dyDescent="0.35">
      <c r="B1297" t="str">
        <f>IF(NOT(ISBLANK(A1297)),VLOOKUP(A1297,'BBT3'!A:F,2,0),"")</f>
        <v/>
      </c>
      <c r="C1297" t="str">
        <f>IF(NOT(ISBLANK(A1297)),VLOOKUP(A1297,'BBT3'!A:F,3,0),"")</f>
        <v/>
      </c>
      <c r="D1297" s="5" t="str">
        <f>IF(NOT(ISBLANK(A1297)),VLOOKUP(A1297,'BBT3'!A:F,4,1),"")</f>
        <v/>
      </c>
      <c r="E1297" t="str">
        <f>IF(NOT(ISBLANK(A1297)),VLOOKUP(A1297,'BBT3'!A:F,5,0),"")</f>
        <v/>
      </c>
      <c r="F1297" t="str">
        <f>IF(NOT(ISBLANK(A1297)),VLOOKUP(A1297,'BBT3'!A:F,6,0),"")</f>
        <v/>
      </c>
      <c r="G1297" t="str">
        <f t="shared" si="191"/>
        <v/>
      </c>
      <c r="H1297" t="str">
        <f>IF(NOT(ISBLANK(A1297)),VLOOKUP(A1297,'Close - PriceSaver'!A:J,5,0),"")</f>
        <v/>
      </c>
      <c r="I1297" s="4" t="str" cm="1">
        <f t="array" ref="I1297">IF(NOT(ISBLANK(A1297)),((_xlfn.XLOOKUP(1,(_bbt3[[#All],[ID]]=A1297)*(_bbt3[[#All],[METRIC_NAME]]="YLD_YTM_ASK"),_bbt3[[#All],[METRIC_VALUE]])*0.5)+(_xlfn.XLOOKUP(1,(_bbt3[[#All],[ID]]=A1297)*(_bbt3[[#All],[METRIC_NAME]]="YLD_YTM_BID"),_bbt3[[#All],[METRIC_VALUE]])*0.5))/100,"")</f>
        <v/>
      </c>
      <c r="J1297">
        <f>IF(ISNA(VLOOKUP(A1297,'CloseDL - PriceSaverBBT3'!A:E,5,0)),0,VLOOKUP(A1297,'CloseDL - PriceSaverBBT3'!A:E,5,0))</f>
        <v>0</v>
      </c>
      <c r="K1297" s="7" t="str">
        <f t="shared" si="192"/>
        <v/>
      </c>
      <c r="L1297" s="20">
        <f>IF(Close[[#This Row],[CreatedBy]]="MARINER\SilverAdm",1,0)</f>
        <v>1</v>
      </c>
      <c r="M1297" t="str">
        <f>IF(NOT(ISBLANK(A1297)),VLOOKUP(A1297,'Close - PriceSaver'!A:J,6,0),"")</f>
        <v/>
      </c>
      <c r="Q1297" t="e">
        <f t="shared" si="193"/>
        <v>#N/A</v>
      </c>
      <c r="R1297" t="e">
        <f t="shared" si="194"/>
        <v>#N/A</v>
      </c>
      <c r="S1297" t="e">
        <f t="shared" si="195"/>
        <v>#N/A</v>
      </c>
      <c r="T1297" s="15" t="e">
        <f t="shared" si="188"/>
        <v>#N/A</v>
      </c>
      <c r="U1297" s="18" t="e">
        <f t="shared" si="189"/>
        <v>#N/A</v>
      </c>
      <c r="V1297" s="14" t="e">
        <f t="shared" si="196"/>
        <v>#N/A</v>
      </c>
      <c r="W1297" s="19" t="e">
        <f t="shared" si="190"/>
        <v>#N/A</v>
      </c>
      <c r="X1297" t="e">
        <f>VLOOKUP(P1297,Close[[ID]:[CreatedBy]],8,0)</f>
        <v>#N/A</v>
      </c>
    </row>
    <row r="1298" spans="2:24" x14ac:dyDescent="0.35">
      <c r="B1298" t="str">
        <f>IF(NOT(ISBLANK(A1298)),VLOOKUP(A1298,'BBT3'!A:F,2,0),"")</f>
        <v/>
      </c>
      <c r="C1298" t="str">
        <f>IF(NOT(ISBLANK(A1298)),VLOOKUP(A1298,'BBT3'!A:F,3,0),"")</f>
        <v/>
      </c>
      <c r="D1298" s="5" t="str">
        <f>IF(NOT(ISBLANK(A1298)),VLOOKUP(A1298,'BBT3'!A:F,4,1),"")</f>
        <v/>
      </c>
      <c r="E1298" t="str">
        <f>IF(NOT(ISBLANK(A1298)),VLOOKUP(A1298,'BBT3'!A:F,5,0),"")</f>
        <v/>
      </c>
      <c r="F1298" t="str">
        <f>IF(NOT(ISBLANK(A1298)),VLOOKUP(A1298,'BBT3'!A:F,6,0),"")</f>
        <v/>
      </c>
      <c r="G1298" t="str">
        <f t="shared" si="191"/>
        <v/>
      </c>
      <c r="H1298" t="str">
        <f>IF(NOT(ISBLANK(A1298)),VLOOKUP(A1298,'Close - PriceSaver'!A:J,5,0),"")</f>
        <v/>
      </c>
      <c r="I1298" s="4" t="str" cm="1">
        <f t="array" ref="I1298">IF(NOT(ISBLANK(A1298)),((_xlfn.XLOOKUP(1,(_bbt3[[#All],[ID]]=A1298)*(_bbt3[[#All],[METRIC_NAME]]="YLD_YTM_ASK"),_bbt3[[#All],[METRIC_VALUE]])*0.5)+(_xlfn.XLOOKUP(1,(_bbt3[[#All],[ID]]=A1298)*(_bbt3[[#All],[METRIC_NAME]]="YLD_YTM_BID"),_bbt3[[#All],[METRIC_VALUE]])*0.5))/100,"")</f>
        <v/>
      </c>
      <c r="J1298">
        <f>IF(ISNA(VLOOKUP(A1298,'CloseDL - PriceSaverBBT3'!A:E,5,0)),0,VLOOKUP(A1298,'CloseDL - PriceSaverBBT3'!A:E,5,0))</f>
        <v>0</v>
      </c>
      <c r="K1298" s="7" t="str">
        <f t="shared" si="192"/>
        <v/>
      </c>
      <c r="L1298" s="20">
        <f>IF(Close[[#This Row],[CreatedBy]]="MARINER\SilverAdm",1,0)</f>
        <v>1</v>
      </c>
      <c r="M1298" t="str">
        <f>IF(NOT(ISBLANK(A1298)),VLOOKUP(A1298,'Close - PriceSaver'!A:J,6,0),"")</f>
        <v/>
      </c>
      <c r="Q1298" t="e">
        <f t="shared" si="193"/>
        <v>#N/A</v>
      </c>
      <c r="R1298" t="e">
        <f t="shared" si="194"/>
        <v>#N/A</v>
      </c>
      <c r="S1298" t="e">
        <f t="shared" si="195"/>
        <v>#N/A</v>
      </c>
      <c r="T1298" s="15" t="e">
        <f t="shared" si="188"/>
        <v>#N/A</v>
      </c>
      <c r="U1298" s="18" t="e">
        <f t="shared" si="189"/>
        <v>#N/A</v>
      </c>
      <c r="V1298" s="14" t="e">
        <f t="shared" si="196"/>
        <v>#N/A</v>
      </c>
      <c r="W1298" s="19" t="e">
        <f t="shared" si="190"/>
        <v>#N/A</v>
      </c>
      <c r="X1298" t="e">
        <f>VLOOKUP(P1298,Close[[ID]:[CreatedBy]],8,0)</f>
        <v>#N/A</v>
      </c>
    </row>
    <row r="1299" spans="2:24" x14ac:dyDescent="0.35">
      <c r="B1299" t="str">
        <f>IF(NOT(ISBLANK(A1299)),VLOOKUP(A1299,'BBT3'!A:F,2,0),"")</f>
        <v/>
      </c>
      <c r="C1299" t="str">
        <f>IF(NOT(ISBLANK(A1299)),VLOOKUP(A1299,'BBT3'!A:F,3,0),"")</f>
        <v/>
      </c>
      <c r="D1299" s="5" t="str">
        <f>IF(NOT(ISBLANK(A1299)),VLOOKUP(A1299,'BBT3'!A:F,4,1),"")</f>
        <v/>
      </c>
      <c r="E1299" t="str">
        <f>IF(NOT(ISBLANK(A1299)),VLOOKUP(A1299,'BBT3'!A:F,5,0),"")</f>
        <v/>
      </c>
      <c r="F1299" t="str">
        <f>IF(NOT(ISBLANK(A1299)),VLOOKUP(A1299,'BBT3'!A:F,6,0),"")</f>
        <v/>
      </c>
      <c r="G1299" t="str">
        <f t="shared" si="191"/>
        <v/>
      </c>
      <c r="H1299" t="str">
        <f>IF(NOT(ISBLANK(A1299)),VLOOKUP(A1299,'Close - PriceSaver'!A:J,5,0),"")</f>
        <v/>
      </c>
      <c r="I1299" s="4" t="str" cm="1">
        <f t="array" ref="I1299">IF(NOT(ISBLANK(A1299)),((_xlfn.XLOOKUP(1,(_bbt3[[#All],[ID]]=A1299)*(_bbt3[[#All],[METRIC_NAME]]="YLD_YTM_ASK"),_bbt3[[#All],[METRIC_VALUE]])*0.5)+(_xlfn.XLOOKUP(1,(_bbt3[[#All],[ID]]=A1299)*(_bbt3[[#All],[METRIC_NAME]]="YLD_YTM_BID"),_bbt3[[#All],[METRIC_VALUE]])*0.5))/100,"")</f>
        <v/>
      </c>
      <c r="J1299">
        <f>IF(ISNA(VLOOKUP(A1299,'CloseDL - PriceSaverBBT3'!A:E,5,0)),0,VLOOKUP(A1299,'CloseDL - PriceSaverBBT3'!A:E,5,0))</f>
        <v>0</v>
      </c>
      <c r="K1299" s="7" t="str">
        <f t="shared" si="192"/>
        <v/>
      </c>
      <c r="L1299" s="20">
        <f>IF(Close[[#This Row],[CreatedBy]]="MARINER\SilverAdm",1,0)</f>
        <v>1</v>
      </c>
      <c r="M1299" t="str">
        <f>IF(NOT(ISBLANK(A1299)),VLOOKUP(A1299,'Close - PriceSaver'!A:J,6,0),"")</f>
        <v/>
      </c>
      <c r="Q1299" t="e">
        <f t="shared" si="193"/>
        <v>#N/A</v>
      </c>
      <c r="R1299" t="e">
        <f t="shared" si="194"/>
        <v>#N/A</v>
      </c>
      <c r="S1299" t="e">
        <f t="shared" si="195"/>
        <v>#N/A</v>
      </c>
      <c r="T1299" s="15" t="e">
        <f t="shared" si="188"/>
        <v>#N/A</v>
      </c>
      <c r="U1299" s="18" t="e">
        <f t="shared" si="189"/>
        <v>#N/A</v>
      </c>
      <c r="V1299" s="14" t="e">
        <f t="shared" si="196"/>
        <v>#N/A</v>
      </c>
      <c r="W1299" s="19" t="e">
        <f t="shared" si="190"/>
        <v>#N/A</v>
      </c>
      <c r="X1299" t="e">
        <f>VLOOKUP(P1299,Close[[ID]:[CreatedBy]],8,0)</f>
        <v>#N/A</v>
      </c>
    </row>
    <row r="1300" spans="2:24" x14ac:dyDescent="0.35">
      <c r="B1300" t="str">
        <f>IF(NOT(ISBLANK(A1300)),VLOOKUP(A1300,'BBT3'!A:F,2,0),"")</f>
        <v/>
      </c>
      <c r="C1300" t="str">
        <f>IF(NOT(ISBLANK(A1300)),VLOOKUP(A1300,'BBT3'!A:F,3,0),"")</f>
        <v/>
      </c>
      <c r="D1300" s="5" t="str">
        <f>IF(NOT(ISBLANK(A1300)),VLOOKUP(A1300,'BBT3'!A:F,4,1),"")</f>
        <v/>
      </c>
      <c r="E1300" t="str">
        <f>IF(NOT(ISBLANK(A1300)),VLOOKUP(A1300,'BBT3'!A:F,5,0),"")</f>
        <v/>
      </c>
      <c r="F1300" t="str">
        <f>IF(NOT(ISBLANK(A1300)),VLOOKUP(A1300,'BBT3'!A:F,6,0),"")</f>
        <v/>
      </c>
      <c r="G1300" t="str">
        <f t="shared" si="191"/>
        <v/>
      </c>
      <c r="H1300" t="str">
        <f>IF(NOT(ISBLANK(A1300)),VLOOKUP(A1300,'Close - PriceSaver'!A:J,5,0),"")</f>
        <v/>
      </c>
      <c r="I1300" s="4" t="str" cm="1">
        <f t="array" ref="I1300">IF(NOT(ISBLANK(A1300)),((_xlfn.XLOOKUP(1,(_bbt3[[#All],[ID]]=A1300)*(_bbt3[[#All],[METRIC_NAME]]="YLD_YTM_ASK"),_bbt3[[#All],[METRIC_VALUE]])*0.5)+(_xlfn.XLOOKUP(1,(_bbt3[[#All],[ID]]=A1300)*(_bbt3[[#All],[METRIC_NAME]]="YLD_YTM_BID"),_bbt3[[#All],[METRIC_VALUE]])*0.5))/100,"")</f>
        <v/>
      </c>
      <c r="J1300">
        <f>IF(ISNA(VLOOKUP(A1300,'CloseDL - PriceSaverBBT3'!A:E,5,0)),0,VLOOKUP(A1300,'CloseDL - PriceSaverBBT3'!A:E,5,0))</f>
        <v>0</v>
      </c>
      <c r="K1300" s="7" t="str">
        <f t="shared" si="192"/>
        <v/>
      </c>
      <c r="L1300" s="20">
        <f>IF(Close[[#This Row],[CreatedBy]]="MARINER\SilverAdm",1,0)</f>
        <v>1</v>
      </c>
      <c r="M1300" t="str">
        <f>IF(NOT(ISBLANK(A1300)),VLOOKUP(A1300,'Close - PriceSaver'!A:J,6,0),"")</f>
        <v/>
      </c>
      <c r="Q1300" t="e">
        <f t="shared" si="193"/>
        <v>#N/A</v>
      </c>
      <c r="R1300" t="e">
        <f t="shared" si="194"/>
        <v>#N/A</v>
      </c>
      <c r="S1300" t="e">
        <f t="shared" si="195"/>
        <v>#N/A</v>
      </c>
      <c r="T1300" s="15" t="e">
        <f t="shared" ref="T1300:T1363" si="197">VLOOKUP(Q1300,A:K,5,0)</f>
        <v>#N/A</v>
      </c>
      <c r="U1300" s="18" t="e">
        <f t="shared" ref="U1300:U1363" si="198">VLOOKUP(Q1300,A:K,8,0)</f>
        <v>#N/A</v>
      </c>
      <c r="V1300" s="14" t="e">
        <f t="shared" si="196"/>
        <v>#N/A</v>
      </c>
      <c r="W1300" s="19" t="e">
        <f t="shared" ref="W1300:W1363" si="199">(V1300-U1300)*100</f>
        <v>#N/A</v>
      </c>
      <c r="X1300" t="e">
        <f>VLOOKUP(P1300,Close[[ID]:[CreatedBy]],8,0)</f>
        <v>#N/A</v>
      </c>
    </row>
    <row r="1301" spans="2:24" x14ac:dyDescent="0.35">
      <c r="B1301" t="str">
        <f>IF(NOT(ISBLANK(A1301)),VLOOKUP(A1301,'BBT3'!A:F,2,0),"")</f>
        <v/>
      </c>
      <c r="C1301" t="str">
        <f>IF(NOT(ISBLANK(A1301)),VLOOKUP(A1301,'BBT3'!A:F,3,0),"")</f>
        <v/>
      </c>
      <c r="D1301" s="5" t="str">
        <f>IF(NOT(ISBLANK(A1301)),VLOOKUP(A1301,'BBT3'!A:F,4,1),"")</f>
        <v/>
      </c>
      <c r="E1301" t="str">
        <f>IF(NOT(ISBLANK(A1301)),VLOOKUP(A1301,'BBT3'!A:F,5,0),"")</f>
        <v/>
      </c>
      <c r="F1301" t="str">
        <f>IF(NOT(ISBLANK(A1301)),VLOOKUP(A1301,'BBT3'!A:F,6,0),"")</f>
        <v/>
      </c>
      <c r="G1301" t="str">
        <f t="shared" si="191"/>
        <v/>
      </c>
      <c r="H1301" t="str">
        <f>IF(NOT(ISBLANK(A1301)),VLOOKUP(A1301,'Close - PriceSaver'!A:J,5,0),"")</f>
        <v/>
      </c>
      <c r="I1301" s="4" t="str" cm="1">
        <f t="array" ref="I1301">IF(NOT(ISBLANK(A1301)),((_xlfn.XLOOKUP(1,(_bbt3[[#All],[ID]]=A1301)*(_bbt3[[#All],[METRIC_NAME]]="YLD_YTM_ASK"),_bbt3[[#All],[METRIC_VALUE]])*0.5)+(_xlfn.XLOOKUP(1,(_bbt3[[#All],[ID]]=A1301)*(_bbt3[[#All],[METRIC_NAME]]="YLD_YTM_BID"),_bbt3[[#All],[METRIC_VALUE]])*0.5))/100,"")</f>
        <v/>
      </c>
      <c r="J1301">
        <f>IF(ISNA(VLOOKUP(A1301,'CloseDL - PriceSaverBBT3'!A:E,5,0)),0,VLOOKUP(A1301,'CloseDL - PriceSaverBBT3'!A:E,5,0))</f>
        <v>0</v>
      </c>
      <c r="K1301" s="7" t="str">
        <f t="shared" si="192"/>
        <v/>
      </c>
      <c r="L1301" s="20">
        <f>IF(Close[[#This Row],[CreatedBy]]="MARINER\SilverAdm",1,0)</f>
        <v>1</v>
      </c>
      <c r="M1301" t="str">
        <f>IF(NOT(ISBLANK(A1301)),VLOOKUP(A1301,'Close - PriceSaver'!A:J,6,0),"")</f>
        <v/>
      </c>
      <c r="Q1301" t="e">
        <f t="shared" si="193"/>
        <v>#N/A</v>
      </c>
      <c r="R1301" t="e">
        <f t="shared" si="194"/>
        <v>#N/A</v>
      </c>
      <c r="S1301" t="e">
        <f t="shared" si="195"/>
        <v>#N/A</v>
      </c>
      <c r="T1301" s="15" t="e">
        <f t="shared" si="197"/>
        <v>#N/A</v>
      </c>
      <c r="U1301" s="18" t="e">
        <f t="shared" si="198"/>
        <v>#N/A</v>
      </c>
      <c r="V1301" s="14" t="e">
        <f t="shared" si="196"/>
        <v>#N/A</v>
      </c>
      <c r="W1301" s="19" t="e">
        <f t="shared" si="199"/>
        <v>#N/A</v>
      </c>
      <c r="X1301" t="e">
        <f>VLOOKUP(P1301,Close[[ID]:[CreatedBy]],8,0)</f>
        <v>#N/A</v>
      </c>
    </row>
    <row r="1302" spans="2:24" x14ac:dyDescent="0.35">
      <c r="B1302" t="str">
        <f>IF(NOT(ISBLANK(A1302)),VLOOKUP(A1302,'BBT3'!A:F,2,0),"")</f>
        <v/>
      </c>
      <c r="C1302" t="str">
        <f>IF(NOT(ISBLANK(A1302)),VLOOKUP(A1302,'BBT3'!A:F,3,0),"")</f>
        <v/>
      </c>
      <c r="D1302" s="5" t="str">
        <f>IF(NOT(ISBLANK(A1302)),VLOOKUP(A1302,'BBT3'!A:F,4,1),"")</f>
        <v/>
      </c>
      <c r="E1302" t="str">
        <f>IF(NOT(ISBLANK(A1302)),VLOOKUP(A1302,'BBT3'!A:F,5,0),"")</f>
        <v/>
      </c>
      <c r="F1302" t="str">
        <f>IF(NOT(ISBLANK(A1302)),VLOOKUP(A1302,'BBT3'!A:F,6,0),"")</f>
        <v/>
      </c>
      <c r="G1302" t="str">
        <f t="shared" si="191"/>
        <v/>
      </c>
      <c r="H1302" t="str">
        <f>IF(NOT(ISBLANK(A1302)),VLOOKUP(A1302,'Close - PriceSaver'!A:J,5,0),"")</f>
        <v/>
      </c>
      <c r="I1302" s="4" t="str" cm="1">
        <f t="array" ref="I1302">IF(NOT(ISBLANK(A1302)),((_xlfn.XLOOKUP(1,(_bbt3[[#All],[ID]]=A1302)*(_bbt3[[#All],[METRIC_NAME]]="YLD_YTM_ASK"),_bbt3[[#All],[METRIC_VALUE]])*0.5)+(_xlfn.XLOOKUP(1,(_bbt3[[#All],[ID]]=A1302)*(_bbt3[[#All],[METRIC_NAME]]="YLD_YTM_BID"),_bbt3[[#All],[METRIC_VALUE]])*0.5))/100,"")</f>
        <v/>
      </c>
      <c r="J1302">
        <f>IF(ISNA(VLOOKUP(A1302,'CloseDL - PriceSaverBBT3'!A:E,5,0)),0,VLOOKUP(A1302,'CloseDL - PriceSaverBBT3'!A:E,5,0))</f>
        <v>0</v>
      </c>
      <c r="K1302" s="7" t="str">
        <f t="shared" si="192"/>
        <v/>
      </c>
      <c r="L1302" s="20">
        <f>IF(Close[[#This Row],[CreatedBy]]="MARINER\SilverAdm",1,0)</f>
        <v>1</v>
      </c>
      <c r="M1302" t="str">
        <f>IF(NOT(ISBLANK(A1302)),VLOOKUP(A1302,'Close - PriceSaver'!A:J,6,0),"")</f>
        <v/>
      </c>
      <c r="Q1302" t="e">
        <f t="shared" si="193"/>
        <v>#N/A</v>
      </c>
      <c r="R1302" t="e">
        <f t="shared" si="194"/>
        <v>#N/A</v>
      </c>
      <c r="S1302" t="e">
        <f t="shared" si="195"/>
        <v>#N/A</v>
      </c>
      <c r="T1302" s="15" t="e">
        <f t="shared" si="197"/>
        <v>#N/A</v>
      </c>
      <c r="U1302" s="18" t="e">
        <f t="shared" si="198"/>
        <v>#N/A</v>
      </c>
      <c r="V1302" s="14" t="e">
        <f t="shared" si="196"/>
        <v>#N/A</v>
      </c>
      <c r="W1302" s="19" t="e">
        <f t="shared" si="199"/>
        <v>#N/A</v>
      </c>
      <c r="X1302" t="e">
        <f>VLOOKUP(P1302,Close[[ID]:[CreatedBy]],8,0)</f>
        <v>#N/A</v>
      </c>
    </row>
    <row r="1303" spans="2:24" x14ac:dyDescent="0.35">
      <c r="B1303" t="str">
        <f>IF(NOT(ISBLANK(A1303)),VLOOKUP(A1303,'BBT3'!A:F,2,0),"")</f>
        <v/>
      </c>
      <c r="C1303" t="str">
        <f>IF(NOT(ISBLANK(A1303)),VLOOKUP(A1303,'BBT3'!A:F,3,0),"")</f>
        <v/>
      </c>
      <c r="D1303" s="5" t="str">
        <f>IF(NOT(ISBLANK(A1303)),VLOOKUP(A1303,'BBT3'!A:F,4,1),"")</f>
        <v/>
      </c>
      <c r="E1303" t="str">
        <f>IF(NOT(ISBLANK(A1303)),VLOOKUP(A1303,'BBT3'!A:F,5,0),"")</f>
        <v/>
      </c>
      <c r="F1303" t="str">
        <f>IF(NOT(ISBLANK(A1303)),VLOOKUP(A1303,'BBT3'!A:F,6,0),"")</f>
        <v/>
      </c>
      <c r="G1303" t="str">
        <f t="shared" si="191"/>
        <v/>
      </c>
      <c r="H1303" t="str">
        <f>IF(NOT(ISBLANK(A1303)),VLOOKUP(A1303,'Close - PriceSaver'!A:J,5,0),"")</f>
        <v/>
      </c>
      <c r="I1303" s="4" t="str" cm="1">
        <f t="array" ref="I1303">IF(NOT(ISBLANK(A1303)),((_xlfn.XLOOKUP(1,(_bbt3[[#All],[ID]]=A1303)*(_bbt3[[#All],[METRIC_NAME]]="YLD_YTM_ASK"),_bbt3[[#All],[METRIC_VALUE]])*0.5)+(_xlfn.XLOOKUP(1,(_bbt3[[#All],[ID]]=A1303)*(_bbt3[[#All],[METRIC_NAME]]="YLD_YTM_BID"),_bbt3[[#All],[METRIC_VALUE]])*0.5))/100,"")</f>
        <v/>
      </c>
      <c r="J1303">
        <f>IF(ISNA(VLOOKUP(A1303,'CloseDL - PriceSaverBBT3'!A:E,5,0)),0,VLOOKUP(A1303,'CloseDL - PriceSaverBBT3'!A:E,5,0))</f>
        <v>0</v>
      </c>
      <c r="K1303" s="7" t="str">
        <f t="shared" si="192"/>
        <v/>
      </c>
      <c r="L1303" s="20">
        <f>IF(Close[[#This Row],[CreatedBy]]="MARINER\SilverAdm",1,0)</f>
        <v>1</v>
      </c>
      <c r="M1303" t="str">
        <f>IF(NOT(ISBLANK(A1303)),VLOOKUP(A1303,'Close - PriceSaver'!A:J,6,0),"")</f>
        <v/>
      </c>
      <c r="Q1303" t="e">
        <f t="shared" si="193"/>
        <v>#N/A</v>
      </c>
      <c r="R1303" t="e">
        <f t="shared" si="194"/>
        <v>#N/A</v>
      </c>
      <c r="S1303" t="e">
        <f t="shared" si="195"/>
        <v>#N/A</v>
      </c>
      <c r="T1303" s="15" t="e">
        <f t="shared" si="197"/>
        <v>#N/A</v>
      </c>
      <c r="U1303" s="18" t="e">
        <f t="shared" si="198"/>
        <v>#N/A</v>
      </c>
      <c r="V1303" s="14" t="e">
        <f t="shared" si="196"/>
        <v>#N/A</v>
      </c>
      <c r="W1303" s="19" t="e">
        <f t="shared" si="199"/>
        <v>#N/A</v>
      </c>
      <c r="X1303" t="e">
        <f>VLOOKUP(P1303,Close[[ID]:[CreatedBy]],8,0)</f>
        <v>#N/A</v>
      </c>
    </row>
    <row r="1304" spans="2:24" x14ac:dyDescent="0.35">
      <c r="B1304" t="str">
        <f>IF(NOT(ISBLANK(A1304)),VLOOKUP(A1304,'BBT3'!A:F,2,0),"")</f>
        <v/>
      </c>
      <c r="C1304" t="str">
        <f>IF(NOT(ISBLANK(A1304)),VLOOKUP(A1304,'BBT3'!A:F,3,0),"")</f>
        <v/>
      </c>
      <c r="D1304" s="5" t="str">
        <f>IF(NOT(ISBLANK(A1304)),VLOOKUP(A1304,'BBT3'!A:F,4,1),"")</f>
        <v/>
      </c>
      <c r="E1304" t="str">
        <f>IF(NOT(ISBLANK(A1304)),VLOOKUP(A1304,'BBT3'!A:F,5,0),"")</f>
        <v/>
      </c>
      <c r="F1304" t="str">
        <f>IF(NOT(ISBLANK(A1304)),VLOOKUP(A1304,'BBT3'!A:F,6,0),"")</f>
        <v/>
      </c>
      <c r="G1304" t="str">
        <f t="shared" si="191"/>
        <v/>
      </c>
      <c r="H1304" t="str">
        <f>IF(NOT(ISBLANK(A1304)),VLOOKUP(A1304,'Close - PriceSaver'!A:J,5,0),"")</f>
        <v/>
      </c>
      <c r="I1304" s="4" t="str" cm="1">
        <f t="array" ref="I1304">IF(NOT(ISBLANK(A1304)),((_xlfn.XLOOKUP(1,(_bbt3[[#All],[ID]]=A1304)*(_bbt3[[#All],[METRIC_NAME]]="YLD_YTM_ASK"),_bbt3[[#All],[METRIC_VALUE]])*0.5)+(_xlfn.XLOOKUP(1,(_bbt3[[#All],[ID]]=A1304)*(_bbt3[[#All],[METRIC_NAME]]="YLD_YTM_BID"),_bbt3[[#All],[METRIC_VALUE]])*0.5))/100,"")</f>
        <v/>
      </c>
      <c r="J1304">
        <f>IF(ISNA(VLOOKUP(A1304,'CloseDL - PriceSaverBBT3'!A:E,5,0)),0,VLOOKUP(A1304,'CloseDL - PriceSaverBBT3'!A:E,5,0))</f>
        <v>0</v>
      </c>
      <c r="K1304" s="7" t="str">
        <f t="shared" si="192"/>
        <v/>
      </c>
      <c r="L1304" s="20">
        <f>IF(Close[[#This Row],[CreatedBy]]="MARINER\SilverAdm",1,0)</f>
        <v>1</v>
      </c>
      <c r="M1304" t="str">
        <f>IF(NOT(ISBLANK(A1304)),VLOOKUP(A1304,'Close - PriceSaver'!A:J,6,0),"")</f>
        <v/>
      </c>
      <c r="Q1304" t="e">
        <f t="shared" si="193"/>
        <v>#N/A</v>
      </c>
      <c r="R1304" t="e">
        <f t="shared" si="194"/>
        <v>#N/A</v>
      </c>
      <c r="S1304" t="e">
        <f t="shared" si="195"/>
        <v>#N/A</v>
      </c>
      <c r="T1304" s="15" t="e">
        <f t="shared" si="197"/>
        <v>#N/A</v>
      </c>
      <c r="U1304" s="18" t="e">
        <f t="shared" si="198"/>
        <v>#N/A</v>
      </c>
      <c r="V1304" s="14" t="e">
        <f t="shared" si="196"/>
        <v>#N/A</v>
      </c>
      <c r="W1304" s="19" t="e">
        <f t="shared" si="199"/>
        <v>#N/A</v>
      </c>
      <c r="X1304" t="e">
        <f>VLOOKUP(P1304,Close[[ID]:[CreatedBy]],8,0)</f>
        <v>#N/A</v>
      </c>
    </row>
    <row r="1305" spans="2:24" x14ac:dyDescent="0.35">
      <c r="B1305" t="str">
        <f>IF(NOT(ISBLANK(A1305)),VLOOKUP(A1305,'BBT3'!A:F,2,0),"")</f>
        <v/>
      </c>
      <c r="C1305" t="str">
        <f>IF(NOT(ISBLANK(A1305)),VLOOKUP(A1305,'BBT3'!A:F,3,0),"")</f>
        <v/>
      </c>
      <c r="D1305" s="5" t="str">
        <f>IF(NOT(ISBLANK(A1305)),VLOOKUP(A1305,'BBT3'!A:F,4,1),"")</f>
        <v/>
      </c>
      <c r="E1305" t="str">
        <f>IF(NOT(ISBLANK(A1305)),VLOOKUP(A1305,'BBT3'!A:F,5,0),"")</f>
        <v/>
      </c>
      <c r="F1305" t="str">
        <f>IF(NOT(ISBLANK(A1305)),VLOOKUP(A1305,'BBT3'!A:F,6,0),"")</f>
        <v/>
      </c>
      <c r="G1305" t="str">
        <f t="shared" si="191"/>
        <v/>
      </c>
      <c r="H1305" t="str">
        <f>IF(NOT(ISBLANK(A1305)),VLOOKUP(A1305,'Close - PriceSaver'!A:J,5,0),"")</f>
        <v/>
      </c>
      <c r="I1305" s="4" t="str" cm="1">
        <f t="array" ref="I1305">IF(NOT(ISBLANK(A1305)),((_xlfn.XLOOKUP(1,(_bbt3[[#All],[ID]]=A1305)*(_bbt3[[#All],[METRIC_NAME]]="YLD_YTM_ASK"),_bbt3[[#All],[METRIC_VALUE]])*0.5)+(_xlfn.XLOOKUP(1,(_bbt3[[#All],[ID]]=A1305)*(_bbt3[[#All],[METRIC_NAME]]="YLD_YTM_BID"),_bbt3[[#All],[METRIC_VALUE]])*0.5))/100,"")</f>
        <v/>
      </c>
      <c r="J1305">
        <f>IF(ISNA(VLOOKUP(A1305,'CloseDL - PriceSaverBBT3'!A:E,5,0)),0,VLOOKUP(A1305,'CloseDL - PriceSaverBBT3'!A:E,5,0))</f>
        <v>0</v>
      </c>
      <c r="K1305" s="7" t="str">
        <f t="shared" si="192"/>
        <v/>
      </c>
      <c r="L1305" s="20">
        <f>IF(Close[[#This Row],[CreatedBy]]="MARINER\SilverAdm",1,0)</f>
        <v>1</v>
      </c>
      <c r="M1305" t="str">
        <f>IF(NOT(ISBLANK(A1305)),VLOOKUP(A1305,'Close - PriceSaver'!A:J,6,0),"")</f>
        <v/>
      </c>
      <c r="Q1305" t="e">
        <f t="shared" si="193"/>
        <v>#N/A</v>
      </c>
      <c r="R1305" t="e">
        <f t="shared" si="194"/>
        <v>#N/A</v>
      </c>
      <c r="S1305" t="e">
        <f t="shared" si="195"/>
        <v>#N/A</v>
      </c>
      <c r="T1305" s="15" t="e">
        <f t="shared" si="197"/>
        <v>#N/A</v>
      </c>
      <c r="U1305" s="18" t="e">
        <f t="shared" si="198"/>
        <v>#N/A</v>
      </c>
      <c r="V1305" s="14" t="e">
        <f t="shared" si="196"/>
        <v>#N/A</v>
      </c>
      <c r="W1305" s="19" t="e">
        <f t="shared" si="199"/>
        <v>#N/A</v>
      </c>
      <c r="X1305" t="e">
        <f>VLOOKUP(P1305,Close[[ID]:[CreatedBy]],8,0)</f>
        <v>#N/A</v>
      </c>
    </row>
    <row r="1306" spans="2:24" x14ac:dyDescent="0.35">
      <c r="B1306" t="str">
        <f>IF(NOT(ISBLANK(A1306)),VLOOKUP(A1306,'BBT3'!A:F,2,0),"")</f>
        <v/>
      </c>
      <c r="C1306" t="str">
        <f>IF(NOT(ISBLANK(A1306)),VLOOKUP(A1306,'BBT3'!A:F,3,0),"")</f>
        <v/>
      </c>
      <c r="D1306" s="5" t="str">
        <f>IF(NOT(ISBLANK(A1306)),VLOOKUP(A1306,'BBT3'!A:F,4,1),"")</f>
        <v/>
      </c>
      <c r="E1306" t="str">
        <f>IF(NOT(ISBLANK(A1306)),VLOOKUP(A1306,'BBT3'!A:F,5,0),"")</f>
        <v/>
      </c>
      <c r="F1306" t="str">
        <f>IF(NOT(ISBLANK(A1306)),VLOOKUP(A1306,'BBT3'!A:F,6,0),"")</f>
        <v/>
      </c>
      <c r="G1306" t="str">
        <f t="shared" si="191"/>
        <v/>
      </c>
      <c r="H1306" t="str">
        <f>IF(NOT(ISBLANK(A1306)),VLOOKUP(A1306,'Close - PriceSaver'!A:J,5,0),"")</f>
        <v/>
      </c>
      <c r="I1306" s="4" t="str" cm="1">
        <f t="array" ref="I1306">IF(NOT(ISBLANK(A1306)),((_xlfn.XLOOKUP(1,(_bbt3[[#All],[ID]]=A1306)*(_bbt3[[#All],[METRIC_NAME]]="YLD_YTM_ASK"),_bbt3[[#All],[METRIC_VALUE]])*0.5)+(_xlfn.XLOOKUP(1,(_bbt3[[#All],[ID]]=A1306)*(_bbt3[[#All],[METRIC_NAME]]="YLD_YTM_BID"),_bbt3[[#All],[METRIC_VALUE]])*0.5))/100,"")</f>
        <v/>
      </c>
      <c r="J1306">
        <f>IF(ISNA(VLOOKUP(A1306,'CloseDL - PriceSaverBBT3'!A:E,5,0)),0,VLOOKUP(A1306,'CloseDL - PriceSaverBBT3'!A:E,5,0))</f>
        <v>0</v>
      </c>
      <c r="K1306" s="7" t="str">
        <f t="shared" si="192"/>
        <v/>
      </c>
      <c r="L1306" s="20">
        <f>IF(Close[[#This Row],[CreatedBy]]="MARINER\SilverAdm",1,0)</f>
        <v>1</v>
      </c>
      <c r="M1306" t="str">
        <f>IF(NOT(ISBLANK(A1306)),VLOOKUP(A1306,'Close - PriceSaver'!A:J,6,0),"")</f>
        <v/>
      </c>
      <c r="Q1306" t="e">
        <f t="shared" si="193"/>
        <v>#N/A</v>
      </c>
      <c r="R1306" t="e">
        <f t="shared" si="194"/>
        <v>#N/A</v>
      </c>
      <c r="S1306" t="e">
        <f t="shared" si="195"/>
        <v>#N/A</v>
      </c>
      <c r="T1306" s="15" t="e">
        <f t="shared" si="197"/>
        <v>#N/A</v>
      </c>
      <c r="U1306" s="18" t="e">
        <f t="shared" si="198"/>
        <v>#N/A</v>
      </c>
      <c r="V1306" s="14" t="e">
        <f t="shared" si="196"/>
        <v>#N/A</v>
      </c>
      <c r="W1306" s="19" t="e">
        <f t="shared" si="199"/>
        <v>#N/A</v>
      </c>
      <c r="X1306" t="e">
        <f>VLOOKUP(P1306,Close[[ID]:[CreatedBy]],8,0)</f>
        <v>#N/A</v>
      </c>
    </row>
    <row r="1307" spans="2:24" x14ac:dyDescent="0.35">
      <c r="B1307" t="str">
        <f>IF(NOT(ISBLANK(A1307)),VLOOKUP(A1307,'BBT3'!A:F,2,0),"")</f>
        <v/>
      </c>
      <c r="C1307" t="str">
        <f>IF(NOT(ISBLANK(A1307)),VLOOKUP(A1307,'BBT3'!A:F,3,0),"")</f>
        <v/>
      </c>
      <c r="D1307" s="5" t="str">
        <f>IF(NOT(ISBLANK(A1307)),VLOOKUP(A1307,'BBT3'!A:F,4,1),"")</f>
        <v/>
      </c>
      <c r="E1307" t="str">
        <f>IF(NOT(ISBLANK(A1307)),VLOOKUP(A1307,'BBT3'!A:F,5,0),"")</f>
        <v/>
      </c>
      <c r="F1307" t="str">
        <f>IF(NOT(ISBLANK(A1307)),VLOOKUP(A1307,'BBT3'!A:F,6,0),"")</f>
        <v/>
      </c>
      <c r="G1307" t="str">
        <f t="shared" si="191"/>
        <v/>
      </c>
      <c r="H1307" t="str">
        <f>IF(NOT(ISBLANK(A1307)),VLOOKUP(A1307,'Close - PriceSaver'!A:J,5,0),"")</f>
        <v/>
      </c>
      <c r="I1307" s="4" t="str" cm="1">
        <f t="array" ref="I1307">IF(NOT(ISBLANK(A1307)),((_xlfn.XLOOKUP(1,(_bbt3[[#All],[ID]]=A1307)*(_bbt3[[#All],[METRIC_NAME]]="YLD_YTM_ASK"),_bbt3[[#All],[METRIC_VALUE]])*0.5)+(_xlfn.XLOOKUP(1,(_bbt3[[#All],[ID]]=A1307)*(_bbt3[[#All],[METRIC_NAME]]="YLD_YTM_BID"),_bbt3[[#All],[METRIC_VALUE]])*0.5))/100,"")</f>
        <v/>
      </c>
      <c r="J1307">
        <f>IF(ISNA(VLOOKUP(A1307,'CloseDL - PriceSaverBBT3'!A:E,5,0)),0,VLOOKUP(A1307,'CloseDL - PriceSaverBBT3'!A:E,5,0))</f>
        <v>0</v>
      </c>
      <c r="K1307" s="7" t="str">
        <f t="shared" si="192"/>
        <v/>
      </c>
      <c r="L1307" s="20">
        <f>IF(Close[[#This Row],[CreatedBy]]="MARINER\SilverAdm",1,0)</f>
        <v>1</v>
      </c>
      <c r="M1307" t="str">
        <f>IF(NOT(ISBLANK(A1307)),VLOOKUP(A1307,'Close - PriceSaver'!A:J,6,0),"")</f>
        <v/>
      </c>
      <c r="Q1307" t="e">
        <f t="shared" si="193"/>
        <v>#N/A</v>
      </c>
      <c r="R1307" t="e">
        <f t="shared" si="194"/>
        <v>#N/A</v>
      </c>
      <c r="S1307" t="e">
        <f t="shared" si="195"/>
        <v>#N/A</v>
      </c>
      <c r="T1307" s="15" t="e">
        <f t="shared" si="197"/>
        <v>#N/A</v>
      </c>
      <c r="U1307" s="18" t="e">
        <f t="shared" si="198"/>
        <v>#N/A</v>
      </c>
      <c r="V1307" s="14" t="e">
        <f t="shared" si="196"/>
        <v>#N/A</v>
      </c>
      <c r="W1307" s="19" t="e">
        <f t="shared" si="199"/>
        <v>#N/A</v>
      </c>
      <c r="X1307" t="e">
        <f>VLOOKUP(P1307,Close[[ID]:[CreatedBy]],8,0)</f>
        <v>#N/A</v>
      </c>
    </row>
    <row r="1308" spans="2:24" x14ac:dyDescent="0.35">
      <c r="B1308" t="str">
        <f>IF(NOT(ISBLANK(A1308)),VLOOKUP(A1308,'BBT3'!A:F,2,0),"")</f>
        <v/>
      </c>
      <c r="C1308" t="str">
        <f>IF(NOT(ISBLANK(A1308)),VLOOKUP(A1308,'BBT3'!A:F,3,0),"")</f>
        <v/>
      </c>
      <c r="D1308" s="5" t="str">
        <f>IF(NOT(ISBLANK(A1308)),VLOOKUP(A1308,'BBT3'!A:F,4,1),"")</f>
        <v/>
      </c>
      <c r="E1308" t="str">
        <f>IF(NOT(ISBLANK(A1308)),VLOOKUP(A1308,'BBT3'!A:F,5,0),"")</f>
        <v/>
      </c>
      <c r="F1308" t="str">
        <f>IF(NOT(ISBLANK(A1308)),VLOOKUP(A1308,'BBT3'!A:F,6,0),"")</f>
        <v/>
      </c>
      <c r="G1308" t="str">
        <f t="shared" si="191"/>
        <v/>
      </c>
      <c r="H1308" t="str">
        <f>IF(NOT(ISBLANK(A1308)),VLOOKUP(A1308,'Close - PriceSaver'!A:J,5,0),"")</f>
        <v/>
      </c>
      <c r="I1308" s="4" t="str" cm="1">
        <f t="array" ref="I1308">IF(NOT(ISBLANK(A1308)),((_xlfn.XLOOKUP(1,(_bbt3[[#All],[ID]]=A1308)*(_bbt3[[#All],[METRIC_NAME]]="YLD_YTM_ASK"),_bbt3[[#All],[METRIC_VALUE]])*0.5)+(_xlfn.XLOOKUP(1,(_bbt3[[#All],[ID]]=A1308)*(_bbt3[[#All],[METRIC_NAME]]="YLD_YTM_BID"),_bbt3[[#All],[METRIC_VALUE]])*0.5))/100,"")</f>
        <v/>
      </c>
      <c r="J1308">
        <f>IF(ISNA(VLOOKUP(A1308,'CloseDL - PriceSaverBBT3'!A:E,5,0)),0,VLOOKUP(A1308,'CloseDL - PriceSaverBBT3'!A:E,5,0))</f>
        <v>0</v>
      </c>
      <c r="K1308" s="7" t="str">
        <f t="shared" si="192"/>
        <v/>
      </c>
      <c r="L1308" s="20">
        <f>IF(Close[[#This Row],[CreatedBy]]="MARINER\SilverAdm",1,0)</f>
        <v>1</v>
      </c>
      <c r="M1308" t="str">
        <f>IF(NOT(ISBLANK(A1308)),VLOOKUP(A1308,'Close - PriceSaver'!A:J,6,0),"")</f>
        <v/>
      </c>
      <c r="Q1308" t="e">
        <f t="shared" si="193"/>
        <v>#N/A</v>
      </c>
      <c r="R1308" t="e">
        <f t="shared" si="194"/>
        <v>#N/A</v>
      </c>
      <c r="S1308" t="e">
        <f t="shared" si="195"/>
        <v>#N/A</v>
      </c>
      <c r="T1308" s="15" t="e">
        <f t="shared" si="197"/>
        <v>#N/A</v>
      </c>
      <c r="U1308" s="18" t="e">
        <f t="shared" si="198"/>
        <v>#N/A</v>
      </c>
      <c r="V1308" s="14" t="e">
        <f t="shared" si="196"/>
        <v>#N/A</v>
      </c>
      <c r="W1308" s="19" t="e">
        <f t="shared" si="199"/>
        <v>#N/A</v>
      </c>
      <c r="X1308" t="e">
        <f>VLOOKUP(P1308,Close[[ID]:[CreatedBy]],8,0)</f>
        <v>#N/A</v>
      </c>
    </row>
    <row r="1309" spans="2:24" x14ac:dyDescent="0.35">
      <c r="B1309" t="str">
        <f>IF(NOT(ISBLANK(A1309)),VLOOKUP(A1309,'BBT3'!A:F,2,0),"")</f>
        <v/>
      </c>
      <c r="C1309" t="str">
        <f>IF(NOT(ISBLANK(A1309)),VLOOKUP(A1309,'BBT3'!A:F,3,0),"")</f>
        <v/>
      </c>
      <c r="D1309" s="5" t="str">
        <f>IF(NOT(ISBLANK(A1309)),VLOOKUP(A1309,'BBT3'!A:F,4,1),"")</f>
        <v/>
      </c>
      <c r="E1309" t="str">
        <f>IF(NOT(ISBLANK(A1309)),VLOOKUP(A1309,'BBT3'!A:F,5,0),"")</f>
        <v/>
      </c>
      <c r="F1309" t="str">
        <f>IF(NOT(ISBLANK(A1309)),VLOOKUP(A1309,'BBT3'!A:F,6,0),"")</f>
        <v/>
      </c>
      <c r="G1309" t="str">
        <f t="shared" si="191"/>
        <v/>
      </c>
      <c r="H1309" t="str">
        <f>IF(NOT(ISBLANK(A1309)),VLOOKUP(A1309,'Close - PriceSaver'!A:J,5,0),"")</f>
        <v/>
      </c>
      <c r="I1309" s="4" t="str" cm="1">
        <f t="array" ref="I1309">IF(NOT(ISBLANK(A1309)),((_xlfn.XLOOKUP(1,(_bbt3[[#All],[ID]]=A1309)*(_bbt3[[#All],[METRIC_NAME]]="YLD_YTM_ASK"),_bbt3[[#All],[METRIC_VALUE]])*0.5)+(_xlfn.XLOOKUP(1,(_bbt3[[#All],[ID]]=A1309)*(_bbt3[[#All],[METRIC_NAME]]="YLD_YTM_BID"),_bbt3[[#All],[METRIC_VALUE]])*0.5))/100,"")</f>
        <v/>
      </c>
      <c r="J1309">
        <f>IF(ISNA(VLOOKUP(A1309,'CloseDL - PriceSaverBBT3'!A:E,5,0)),0,VLOOKUP(A1309,'CloseDL - PriceSaverBBT3'!A:E,5,0))</f>
        <v>0</v>
      </c>
      <c r="K1309" s="7" t="str">
        <f t="shared" si="192"/>
        <v/>
      </c>
      <c r="L1309" s="20">
        <f>IF(Close[[#This Row],[CreatedBy]]="MARINER\SilverAdm",1,0)</f>
        <v>1</v>
      </c>
      <c r="M1309" t="str">
        <f>IF(NOT(ISBLANK(A1309)),VLOOKUP(A1309,'Close - PriceSaver'!A:J,6,0),"")</f>
        <v/>
      </c>
      <c r="Q1309" t="e">
        <f t="shared" si="193"/>
        <v>#N/A</v>
      </c>
      <c r="R1309" t="e">
        <f t="shared" si="194"/>
        <v>#N/A</v>
      </c>
      <c r="S1309" t="e">
        <f t="shared" si="195"/>
        <v>#N/A</v>
      </c>
      <c r="T1309" s="15" t="e">
        <f t="shared" si="197"/>
        <v>#N/A</v>
      </c>
      <c r="U1309" s="18" t="e">
        <f t="shared" si="198"/>
        <v>#N/A</v>
      </c>
      <c r="V1309" s="14" t="e">
        <f t="shared" si="196"/>
        <v>#N/A</v>
      </c>
      <c r="W1309" s="19" t="e">
        <f t="shared" si="199"/>
        <v>#N/A</v>
      </c>
      <c r="X1309" t="e">
        <f>VLOOKUP(P1309,Close[[ID]:[CreatedBy]],8,0)</f>
        <v>#N/A</v>
      </c>
    </row>
    <row r="1310" spans="2:24" x14ac:dyDescent="0.35">
      <c r="B1310" t="str">
        <f>IF(NOT(ISBLANK(A1310)),VLOOKUP(A1310,'BBT3'!A:F,2,0),"")</f>
        <v/>
      </c>
      <c r="C1310" t="str">
        <f>IF(NOT(ISBLANK(A1310)),VLOOKUP(A1310,'BBT3'!A:F,3,0),"")</f>
        <v/>
      </c>
      <c r="D1310" s="5" t="str">
        <f>IF(NOT(ISBLANK(A1310)),VLOOKUP(A1310,'BBT3'!A:F,4,1),"")</f>
        <v/>
      </c>
      <c r="E1310" t="str">
        <f>IF(NOT(ISBLANK(A1310)),VLOOKUP(A1310,'BBT3'!A:F,5,0),"")</f>
        <v/>
      </c>
      <c r="F1310" t="str">
        <f>IF(NOT(ISBLANK(A1310)),VLOOKUP(A1310,'BBT3'!A:F,6,0),"")</f>
        <v/>
      </c>
      <c r="G1310" t="str">
        <f t="shared" si="191"/>
        <v/>
      </c>
      <c r="H1310" t="str">
        <f>IF(NOT(ISBLANK(A1310)),VLOOKUP(A1310,'Close - PriceSaver'!A:J,5,0),"")</f>
        <v/>
      </c>
      <c r="I1310" s="4" t="str" cm="1">
        <f t="array" ref="I1310">IF(NOT(ISBLANK(A1310)),((_xlfn.XLOOKUP(1,(_bbt3[[#All],[ID]]=A1310)*(_bbt3[[#All],[METRIC_NAME]]="YLD_YTM_ASK"),_bbt3[[#All],[METRIC_VALUE]])*0.5)+(_xlfn.XLOOKUP(1,(_bbt3[[#All],[ID]]=A1310)*(_bbt3[[#All],[METRIC_NAME]]="YLD_YTM_BID"),_bbt3[[#All],[METRIC_VALUE]])*0.5))/100,"")</f>
        <v/>
      </c>
      <c r="J1310">
        <f>IF(ISNA(VLOOKUP(A1310,'CloseDL - PriceSaverBBT3'!A:E,5,0)),0,VLOOKUP(A1310,'CloseDL - PriceSaverBBT3'!A:E,5,0))</f>
        <v>0</v>
      </c>
      <c r="K1310" s="7" t="str">
        <f t="shared" si="192"/>
        <v/>
      </c>
      <c r="L1310" s="20">
        <f>IF(Close[[#This Row],[CreatedBy]]="MARINER\SilverAdm",1,0)</f>
        <v>1</v>
      </c>
      <c r="M1310" t="str">
        <f>IF(NOT(ISBLANK(A1310)),VLOOKUP(A1310,'Close - PriceSaver'!A:J,6,0),"")</f>
        <v/>
      </c>
      <c r="Q1310" t="e">
        <f t="shared" si="193"/>
        <v>#N/A</v>
      </c>
      <c r="R1310" t="e">
        <f t="shared" si="194"/>
        <v>#N/A</v>
      </c>
      <c r="S1310" t="e">
        <f t="shared" si="195"/>
        <v>#N/A</v>
      </c>
      <c r="T1310" s="15" t="e">
        <f t="shared" si="197"/>
        <v>#N/A</v>
      </c>
      <c r="U1310" s="18" t="e">
        <f t="shared" si="198"/>
        <v>#N/A</v>
      </c>
      <c r="V1310" s="14" t="e">
        <f t="shared" si="196"/>
        <v>#N/A</v>
      </c>
      <c r="W1310" s="19" t="e">
        <f t="shared" si="199"/>
        <v>#N/A</v>
      </c>
      <c r="X1310" t="e">
        <f>VLOOKUP(P1310,Close[[ID]:[CreatedBy]],8,0)</f>
        <v>#N/A</v>
      </c>
    </row>
    <row r="1311" spans="2:24" x14ac:dyDescent="0.35">
      <c r="B1311" t="str">
        <f>IF(NOT(ISBLANK(A1311)),VLOOKUP(A1311,'BBT3'!A:F,2,0),"")</f>
        <v/>
      </c>
      <c r="C1311" t="str">
        <f>IF(NOT(ISBLANK(A1311)),VLOOKUP(A1311,'BBT3'!A:F,3,0),"")</f>
        <v/>
      </c>
      <c r="D1311" s="5" t="str">
        <f>IF(NOT(ISBLANK(A1311)),VLOOKUP(A1311,'BBT3'!A:F,4,1),"")</f>
        <v/>
      </c>
      <c r="E1311" t="str">
        <f>IF(NOT(ISBLANK(A1311)),VLOOKUP(A1311,'BBT3'!A:F,5,0),"")</f>
        <v/>
      </c>
      <c r="F1311" t="str">
        <f>IF(NOT(ISBLANK(A1311)),VLOOKUP(A1311,'BBT3'!A:F,6,0),"")</f>
        <v/>
      </c>
      <c r="G1311" t="str">
        <f t="shared" si="191"/>
        <v/>
      </c>
      <c r="H1311" t="str">
        <f>IF(NOT(ISBLANK(A1311)),VLOOKUP(A1311,'Close - PriceSaver'!A:J,5,0),"")</f>
        <v/>
      </c>
      <c r="I1311" s="4" t="str" cm="1">
        <f t="array" ref="I1311">IF(NOT(ISBLANK(A1311)),((_xlfn.XLOOKUP(1,(_bbt3[[#All],[ID]]=A1311)*(_bbt3[[#All],[METRIC_NAME]]="YLD_YTM_ASK"),_bbt3[[#All],[METRIC_VALUE]])*0.5)+(_xlfn.XLOOKUP(1,(_bbt3[[#All],[ID]]=A1311)*(_bbt3[[#All],[METRIC_NAME]]="YLD_YTM_BID"),_bbt3[[#All],[METRIC_VALUE]])*0.5))/100,"")</f>
        <v/>
      </c>
      <c r="J1311">
        <f>IF(ISNA(VLOOKUP(A1311,'CloseDL - PriceSaverBBT3'!A:E,5,0)),0,VLOOKUP(A1311,'CloseDL - PriceSaverBBT3'!A:E,5,0))</f>
        <v>0</v>
      </c>
      <c r="K1311" s="7" t="str">
        <f t="shared" si="192"/>
        <v/>
      </c>
      <c r="L1311" s="20">
        <f>IF(Close[[#This Row],[CreatedBy]]="MARINER\SilverAdm",1,0)</f>
        <v>1</v>
      </c>
      <c r="M1311" t="str">
        <f>IF(NOT(ISBLANK(A1311)),VLOOKUP(A1311,'Close - PriceSaver'!A:J,6,0),"")</f>
        <v/>
      </c>
      <c r="Q1311" t="e">
        <f t="shared" si="193"/>
        <v>#N/A</v>
      </c>
      <c r="R1311" t="e">
        <f t="shared" si="194"/>
        <v>#N/A</v>
      </c>
      <c r="S1311" t="e">
        <f t="shared" si="195"/>
        <v>#N/A</v>
      </c>
      <c r="T1311" s="15" t="e">
        <f t="shared" si="197"/>
        <v>#N/A</v>
      </c>
      <c r="U1311" s="18" t="e">
        <f t="shared" si="198"/>
        <v>#N/A</v>
      </c>
      <c r="V1311" s="14" t="e">
        <f t="shared" si="196"/>
        <v>#N/A</v>
      </c>
      <c r="W1311" s="19" t="e">
        <f t="shared" si="199"/>
        <v>#N/A</v>
      </c>
      <c r="X1311" t="e">
        <f>VLOOKUP(P1311,Close[[ID]:[CreatedBy]],8,0)</f>
        <v>#N/A</v>
      </c>
    </row>
    <row r="1312" spans="2:24" x14ac:dyDescent="0.35">
      <c r="B1312" t="str">
        <f>IF(NOT(ISBLANK(A1312)),VLOOKUP(A1312,'BBT3'!A:F,2,0),"")</f>
        <v/>
      </c>
      <c r="C1312" t="str">
        <f>IF(NOT(ISBLANK(A1312)),VLOOKUP(A1312,'BBT3'!A:F,3,0),"")</f>
        <v/>
      </c>
      <c r="D1312" s="5" t="str">
        <f>IF(NOT(ISBLANK(A1312)),VLOOKUP(A1312,'BBT3'!A:F,4,1),"")</f>
        <v/>
      </c>
      <c r="E1312" t="str">
        <f>IF(NOT(ISBLANK(A1312)),VLOOKUP(A1312,'BBT3'!A:F,5,0),"")</f>
        <v/>
      </c>
      <c r="F1312" t="str">
        <f>IF(NOT(ISBLANK(A1312)),VLOOKUP(A1312,'BBT3'!A:F,6,0),"")</f>
        <v/>
      </c>
      <c r="G1312" t="str">
        <f t="shared" si="191"/>
        <v/>
      </c>
      <c r="H1312" t="str">
        <f>IF(NOT(ISBLANK(A1312)),VLOOKUP(A1312,'Close - PriceSaver'!A:J,5,0),"")</f>
        <v/>
      </c>
      <c r="I1312" s="4" t="str" cm="1">
        <f t="array" ref="I1312">IF(NOT(ISBLANK(A1312)),((_xlfn.XLOOKUP(1,(_bbt3[[#All],[ID]]=A1312)*(_bbt3[[#All],[METRIC_NAME]]="YLD_YTM_ASK"),_bbt3[[#All],[METRIC_VALUE]])*0.5)+(_xlfn.XLOOKUP(1,(_bbt3[[#All],[ID]]=A1312)*(_bbt3[[#All],[METRIC_NAME]]="YLD_YTM_BID"),_bbt3[[#All],[METRIC_VALUE]])*0.5))/100,"")</f>
        <v/>
      </c>
      <c r="J1312">
        <f>IF(ISNA(VLOOKUP(A1312,'CloseDL - PriceSaverBBT3'!A:E,5,0)),0,VLOOKUP(A1312,'CloseDL - PriceSaverBBT3'!A:E,5,0))</f>
        <v>0</v>
      </c>
      <c r="K1312" s="7" t="str">
        <f t="shared" si="192"/>
        <v/>
      </c>
      <c r="L1312" s="20">
        <f>IF(Close[[#This Row],[CreatedBy]]="MARINER\SilverAdm",1,0)</f>
        <v>1</v>
      </c>
      <c r="M1312" t="str">
        <f>IF(NOT(ISBLANK(A1312)),VLOOKUP(A1312,'Close - PriceSaver'!A:J,6,0),"")</f>
        <v/>
      </c>
      <c r="Q1312" t="e">
        <f t="shared" si="193"/>
        <v>#N/A</v>
      </c>
      <c r="R1312" t="e">
        <f t="shared" si="194"/>
        <v>#N/A</v>
      </c>
      <c r="S1312" t="e">
        <f t="shared" si="195"/>
        <v>#N/A</v>
      </c>
      <c r="T1312" s="15" t="e">
        <f t="shared" si="197"/>
        <v>#N/A</v>
      </c>
      <c r="U1312" s="18" t="e">
        <f t="shared" si="198"/>
        <v>#N/A</v>
      </c>
      <c r="V1312" s="14" t="e">
        <f t="shared" si="196"/>
        <v>#N/A</v>
      </c>
      <c r="W1312" s="19" t="e">
        <f t="shared" si="199"/>
        <v>#N/A</v>
      </c>
      <c r="X1312" t="e">
        <f>VLOOKUP(P1312,Close[[ID]:[CreatedBy]],8,0)</f>
        <v>#N/A</v>
      </c>
    </row>
    <row r="1313" spans="2:24" x14ac:dyDescent="0.35">
      <c r="B1313" t="str">
        <f>IF(NOT(ISBLANK(A1313)),VLOOKUP(A1313,'BBT3'!A:F,2,0),"")</f>
        <v/>
      </c>
      <c r="C1313" t="str">
        <f>IF(NOT(ISBLANK(A1313)),VLOOKUP(A1313,'BBT3'!A:F,3,0),"")</f>
        <v/>
      </c>
      <c r="D1313" s="5" t="str">
        <f>IF(NOT(ISBLANK(A1313)),VLOOKUP(A1313,'BBT3'!A:F,4,1),"")</f>
        <v/>
      </c>
      <c r="E1313" t="str">
        <f>IF(NOT(ISBLANK(A1313)),VLOOKUP(A1313,'BBT3'!A:F,5,0),"")</f>
        <v/>
      </c>
      <c r="F1313" t="str">
        <f>IF(NOT(ISBLANK(A1313)),VLOOKUP(A1313,'BBT3'!A:F,6,0),"")</f>
        <v/>
      </c>
      <c r="G1313" t="str">
        <f t="shared" si="191"/>
        <v/>
      </c>
      <c r="H1313" t="str">
        <f>IF(NOT(ISBLANK(A1313)),VLOOKUP(A1313,'Close - PriceSaver'!A:J,5,0),"")</f>
        <v/>
      </c>
      <c r="I1313" s="4" t="str" cm="1">
        <f t="array" ref="I1313">IF(NOT(ISBLANK(A1313)),((_xlfn.XLOOKUP(1,(_bbt3[[#All],[ID]]=A1313)*(_bbt3[[#All],[METRIC_NAME]]="YLD_YTM_ASK"),_bbt3[[#All],[METRIC_VALUE]])*0.5)+(_xlfn.XLOOKUP(1,(_bbt3[[#All],[ID]]=A1313)*(_bbt3[[#All],[METRIC_NAME]]="YLD_YTM_BID"),_bbt3[[#All],[METRIC_VALUE]])*0.5))/100,"")</f>
        <v/>
      </c>
      <c r="J1313">
        <f>IF(ISNA(VLOOKUP(A1313,'CloseDL - PriceSaverBBT3'!A:E,5,0)),0,VLOOKUP(A1313,'CloseDL - PriceSaverBBT3'!A:E,5,0))</f>
        <v>0</v>
      </c>
      <c r="K1313" s="7" t="str">
        <f t="shared" si="192"/>
        <v/>
      </c>
      <c r="L1313" s="20">
        <f>IF(Close[[#This Row],[CreatedBy]]="MARINER\SilverAdm",1,0)</f>
        <v>1</v>
      </c>
      <c r="M1313" t="str">
        <f>IF(NOT(ISBLANK(A1313)),VLOOKUP(A1313,'Close - PriceSaver'!A:J,6,0),"")</f>
        <v/>
      </c>
      <c r="Q1313" t="e">
        <f t="shared" si="193"/>
        <v>#N/A</v>
      </c>
      <c r="R1313" t="e">
        <f t="shared" si="194"/>
        <v>#N/A</v>
      </c>
      <c r="S1313" t="e">
        <f t="shared" si="195"/>
        <v>#N/A</v>
      </c>
      <c r="T1313" s="15" t="e">
        <f t="shared" si="197"/>
        <v>#N/A</v>
      </c>
      <c r="U1313" s="18" t="e">
        <f t="shared" si="198"/>
        <v>#N/A</v>
      </c>
      <c r="V1313" s="14" t="e">
        <f t="shared" si="196"/>
        <v>#N/A</v>
      </c>
      <c r="W1313" s="19" t="e">
        <f t="shared" si="199"/>
        <v>#N/A</v>
      </c>
      <c r="X1313" t="e">
        <f>VLOOKUP(P1313,Close[[ID]:[CreatedBy]],8,0)</f>
        <v>#N/A</v>
      </c>
    </row>
    <row r="1314" spans="2:24" x14ac:dyDescent="0.35">
      <c r="B1314" t="str">
        <f>IF(NOT(ISBLANK(A1314)),VLOOKUP(A1314,'BBT3'!A:F,2,0),"")</f>
        <v/>
      </c>
      <c r="C1314" t="str">
        <f>IF(NOT(ISBLANK(A1314)),VLOOKUP(A1314,'BBT3'!A:F,3,0),"")</f>
        <v/>
      </c>
      <c r="D1314" s="5" t="str">
        <f>IF(NOT(ISBLANK(A1314)),VLOOKUP(A1314,'BBT3'!A:F,4,1),"")</f>
        <v/>
      </c>
      <c r="E1314" t="str">
        <f>IF(NOT(ISBLANK(A1314)),VLOOKUP(A1314,'BBT3'!A:F,5,0),"")</f>
        <v/>
      </c>
      <c r="F1314" t="str">
        <f>IF(NOT(ISBLANK(A1314)),VLOOKUP(A1314,'BBT3'!A:F,6,0),"")</f>
        <v/>
      </c>
      <c r="G1314" t="str">
        <f t="shared" si="191"/>
        <v/>
      </c>
      <c r="H1314" t="str">
        <f>IF(NOT(ISBLANK(A1314)),VLOOKUP(A1314,'Close - PriceSaver'!A:J,5,0),"")</f>
        <v/>
      </c>
      <c r="I1314" s="4" t="str" cm="1">
        <f t="array" ref="I1314">IF(NOT(ISBLANK(A1314)),((_xlfn.XLOOKUP(1,(_bbt3[[#All],[ID]]=A1314)*(_bbt3[[#All],[METRIC_NAME]]="YLD_YTM_ASK"),_bbt3[[#All],[METRIC_VALUE]])*0.5)+(_xlfn.XLOOKUP(1,(_bbt3[[#All],[ID]]=A1314)*(_bbt3[[#All],[METRIC_NAME]]="YLD_YTM_BID"),_bbt3[[#All],[METRIC_VALUE]])*0.5))/100,"")</f>
        <v/>
      </c>
      <c r="J1314">
        <f>IF(ISNA(VLOOKUP(A1314,'CloseDL - PriceSaverBBT3'!A:E,5,0)),0,VLOOKUP(A1314,'CloseDL - PriceSaverBBT3'!A:E,5,0))</f>
        <v>0</v>
      </c>
      <c r="K1314" s="7" t="str">
        <f t="shared" si="192"/>
        <v/>
      </c>
      <c r="L1314" s="20">
        <f>IF(Close[[#This Row],[CreatedBy]]="MARINER\SilverAdm",1,0)</f>
        <v>1</v>
      </c>
      <c r="M1314" t="str">
        <f>IF(NOT(ISBLANK(A1314)),VLOOKUP(A1314,'Close - PriceSaver'!A:J,6,0),"")</f>
        <v/>
      </c>
      <c r="Q1314" t="e">
        <f t="shared" si="193"/>
        <v>#N/A</v>
      </c>
      <c r="R1314" t="e">
        <f t="shared" si="194"/>
        <v>#N/A</v>
      </c>
      <c r="S1314" t="e">
        <f t="shared" si="195"/>
        <v>#N/A</v>
      </c>
      <c r="T1314" s="15" t="e">
        <f t="shared" si="197"/>
        <v>#N/A</v>
      </c>
      <c r="U1314" s="18" t="e">
        <f t="shared" si="198"/>
        <v>#N/A</v>
      </c>
      <c r="V1314" s="14" t="e">
        <f t="shared" si="196"/>
        <v>#N/A</v>
      </c>
      <c r="W1314" s="19" t="e">
        <f t="shared" si="199"/>
        <v>#N/A</v>
      </c>
      <c r="X1314" t="e">
        <f>VLOOKUP(P1314,Close[[ID]:[CreatedBy]],8,0)</f>
        <v>#N/A</v>
      </c>
    </row>
    <row r="1315" spans="2:24" x14ac:dyDescent="0.35">
      <c r="B1315" t="str">
        <f>IF(NOT(ISBLANK(A1315)),VLOOKUP(A1315,'BBT3'!A:F,2,0),"")</f>
        <v/>
      </c>
      <c r="C1315" t="str">
        <f>IF(NOT(ISBLANK(A1315)),VLOOKUP(A1315,'BBT3'!A:F,3,0),"")</f>
        <v/>
      </c>
      <c r="D1315" s="5" t="str">
        <f>IF(NOT(ISBLANK(A1315)),VLOOKUP(A1315,'BBT3'!A:F,4,1),"")</f>
        <v/>
      </c>
      <c r="E1315" t="str">
        <f>IF(NOT(ISBLANK(A1315)),VLOOKUP(A1315,'BBT3'!A:F,5,0),"")</f>
        <v/>
      </c>
      <c r="F1315" t="str">
        <f>IF(NOT(ISBLANK(A1315)),VLOOKUP(A1315,'BBT3'!A:F,6,0),"")</f>
        <v/>
      </c>
      <c r="G1315" t="str">
        <f t="shared" si="191"/>
        <v/>
      </c>
      <c r="H1315" t="str">
        <f>IF(NOT(ISBLANK(A1315)),VLOOKUP(A1315,'Close - PriceSaver'!A:J,5,0),"")</f>
        <v/>
      </c>
      <c r="I1315" s="4" t="str" cm="1">
        <f t="array" ref="I1315">IF(NOT(ISBLANK(A1315)),((_xlfn.XLOOKUP(1,(_bbt3[[#All],[ID]]=A1315)*(_bbt3[[#All],[METRIC_NAME]]="YLD_YTM_ASK"),_bbt3[[#All],[METRIC_VALUE]])*0.5)+(_xlfn.XLOOKUP(1,(_bbt3[[#All],[ID]]=A1315)*(_bbt3[[#All],[METRIC_NAME]]="YLD_YTM_BID"),_bbt3[[#All],[METRIC_VALUE]])*0.5))/100,"")</f>
        <v/>
      </c>
      <c r="J1315">
        <f>IF(ISNA(VLOOKUP(A1315,'CloseDL - PriceSaverBBT3'!A:E,5,0)),0,VLOOKUP(A1315,'CloseDL - PriceSaverBBT3'!A:E,5,0))</f>
        <v>0</v>
      </c>
      <c r="K1315" s="7" t="str">
        <f t="shared" si="192"/>
        <v/>
      </c>
      <c r="L1315" s="20">
        <f>IF(Close[[#This Row],[CreatedBy]]="MARINER\SilverAdm",1,0)</f>
        <v>1</v>
      </c>
      <c r="M1315" t="str">
        <f>IF(NOT(ISBLANK(A1315)),VLOOKUP(A1315,'Close - PriceSaver'!A:J,6,0),"")</f>
        <v/>
      </c>
      <c r="Q1315" t="e">
        <f t="shared" si="193"/>
        <v>#N/A</v>
      </c>
      <c r="R1315" t="e">
        <f t="shared" si="194"/>
        <v>#N/A</v>
      </c>
      <c r="S1315" t="e">
        <f t="shared" si="195"/>
        <v>#N/A</v>
      </c>
      <c r="T1315" s="15" t="e">
        <f t="shared" si="197"/>
        <v>#N/A</v>
      </c>
      <c r="U1315" s="18" t="e">
        <f t="shared" si="198"/>
        <v>#N/A</v>
      </c>
      <c r="V1315" s="14" t="e">
        <f t="shared" si="196"/>
        <v>#N/A</v>
      </c>
      <c r="W1315" s="19" t="e">
        <f t="shared" si="199"/>
        <v>#N/A</v>
      </c>
      <c r="X1315" t="e">
        <f>VLOOKUP(P1315,Close[[ID]:[CreatedBy]],8,0)</f>
        <v>#N/A</v>
      </c>
    </row>
    <row r="1316" spans="2:24" x14ac:dyDescent="0.35">
      <c r="B1316" t="str">
        <f>IF(NOT(ISBLANK(A1316)),VLOOKUP(A1316,'BBT3'!A:F,2,0),"")</f>
        <v/>
      </c>
      <c r="C1316" t="str">
        <f>IF(NOT(ISBLANK(A1316)),VLOOKUP(A1316,'BBT3'!A:F,3,0),"")</f>
        <v/>
      </c>
      <c r="D1316" s="5" t="str">
        <f>IF(NOT(ISBLANK(A1316)),VLOOKUP(A1316,'BBT3'!A:F,4,1),"")</f>
        <v/>
      </c>
      <c r="E1316" t="str">
        <f>IF(NOT(ISBLANK(A1316)),VLOOKUP(A1316,'BBT3'!A:F,5,0),"")</f>
        <v/>
      </c>
      <c r="F1316" t="str">
        <f>IF(NOT(ISBLANK(A1316)),VLOOKUP(A1316,'BBT3'!A:F,6,0),"")</f>
        <v/>
      </c>
      <c r="G1316" t="str">
        <f t="shared" si="191"/>
        <v/>
      </c>
      <c r="H1316" t="str">
        <f>IF(NOT(ISBLANK(A1316)),VLOOKUP(A1316,'Close - PriceSaver'!A:J,5,0),"")</f>
        <v/>
      </c>
      <c r="I1316" s="4" t="str" cm="1">
        <f t="array" ref="I1316">IF(NOT(ISBLANK(A1316)),((_xlfn.XLOOKUP(1,(_bbt3[[#All],[ID]]=A1316)*(_bbt3[[#All],[METRIC_NAME]]="YLD_YTM_ASK"),_bbt3[[#All],[METRIC_VALUE]])*0.5)+(_xlfn.XLOOKUP(1,(_bbt3[[#All],[ID]]=A1316)*(_bbt3[[#All],[METRIC_NAME]]="YLD_YTM_BID"),_bbt3[[#All],[METRIC_VALUE]])*0.5))/100,"")</f>
        <v/>
      </c>
      <c r="J1316">
        <f>IF(ISNA(VLOOKUP(A1316,'CloseDL - PriceSaverBBT3'!A:E,5,0)),0,VLOOKUP(A1316,'CloseDL - PriceSaverBBT3'!A:E,5,0))</f>
        <v>0</v>
      </c>
      <c r="K1316" s="7" t="str">
        <f t="shared" si="192"/>
        <v/>
      </c>
      <c r="L1316" s="20">
        <f>IF(Close[[#This Row],[CreatedBy]]="MARINER\SilverAdm",1,0)</f>
        <v>1</v>
      </c>
      <c r="M1316" t="str">
        <f>IF(NOT(ISBLANK(A1316)),VLOOKUP(A1316,'Close - PriceSaver'!A:J,6,0),"")</f>
        <v/>
      </c>
      <c r="Q1316" t="e">
        <f t="shared" si="193"/>
        <v>#N/A</v>
      </c>
      <c r="R1316" t="e">
        <f t="shared" si="194"/>
        <v>#N/A</v>
      </c>
      <c r="S1316" t="e">
        <f t="shared" si="195"/>
        <v>#N/A</v>
      </c>
      <c r="T1316" s="15" t="e">
        <f t="shared" si="197"/>
        <v>#N/A</v>
      </c>
      <c r="U1316" s="18" t="e">
        <f t="shared" si="198"/>
        <v>#N/A</v>
      </c>
      <c r="V1316" s="14" t="e">
        <f t="shared" si="196"/>
        <v>#N/A</v>
      </c>
      <c r="W1316" s="19" t="e">
        <f t="shared" si="199"/>
        <v>#N/A</v>
      </c>
      <c r="X1316" t="e">
        <f>VLOOKUP(P1316,Close[[ID]:[CreatedBy]],8,0)</f>
        <v>#N/A</v>
      </c>
    </row>
    <row r="1317" spans="2:24" x14ac:dyDescent="0.35">
      <c r="B1317" t="str">
        <f>IF(NOT(ISBLANK(A1317)),VLOOKUP(A1317,'BBT3'!A:F,2,0),"")</f>
        <v/>
      </c>
      <c r="C1317" t="str">
        <f>IF(NOT(ISBLANK(A1317)),VLOOKUP(A1317,'BBT3'!A:F,3,0),"")</f>
        <v/>
      </c>
      <c r="D1317" s="5" t="str">
        <f>IF(NOT(ISBLANK(A1317)),VLOOKUP(A1317,'BBT3'!A:F,4,1),"")</f>
        <v/>
      </c>
      <c r="E1317" t="str">
        <f>IF(NOT(ISBLANK(A1317)),VLOOKUP(A1317,'BBT3'!A:F,5,0),"")</f>
        <v/>
      </c>
      <c r="F1317" t="str">
        <f>IF(NOT(ISBLANK(A1317)),VLOOKUP(A1317,'BBT3'!A:F,6,0),"")</f>
        <v/>
      </c>
      <c r="G1317" t="str">
        <f t="shared" si="191"/>
        <v/>
      </c>
      <c r="H1317" t="str">
        <f>IF(NOT(ISBLANK(A1317)),VLOOKUP(A1317,'Close - PriceSaver'!A:J,5,0),"")</f>
        <v/>
      </c>
      <c r="I1317" s="4" t="str" cm="1">
        <f t="array" ref="I1317">IF(NOT(ISBLANK(A1317)),((_xlfn.XLOOKUP(1,(_bbt3[[#All],[ID]]=A1317)*(_bbt3[[#All],[METRIC_NAME]]="YLD_YTM_ASK"),_bbt3[[#All],[METRIC_VALUE]])*0.5)+(_xlfn.XLOOKUP(1,(_bbt3[[#All],[ID]]=A1317)*(_bbt3[[#All],[METRIC_NAME]]="YLD_YTM_BID"),_bbt3[[#All],[METRIC_VALUE]])*0.5))/100,"")</f>
        <v/>
      </c>
      <c r="J1317">
        <f>IF(ISNA(VLOOKUP(A1317,'CloseDL - PriceSaverBBT3'!A:E,5,0)),0,VLOOKUP(A1317,'CloseDL - PriceSaverBBT3'!A:E,5,0))</f>
        <v>0</v>
      </c>
      <c r="K1317" s="7" t="str">
        <f t="shared" si="192"/>
        <v/>
      </c>
      <c r="L1317" s="20">
        <f>IF(Close[[#This Row],[CreatedBy]]="MARINER\SilverAdm",1,0)</f>
        <v>1</v>
      </c>
      <c r="M1317" t="str">
        <f>IF(NOT(ISBLANK(A1317)),VLOOKUP(A1317,'Close - PriceSaver'!A:J,6,0),"")</f>
        <v/>
      </c>
      <c r="Q1317" t="e">
        <f t="shared" si="193"/>
        <v>#N/A</v>
      </c>
      <c r="R1317" t="e">
        <f t="shared" si="194"/>
        <v>#N/A</v>
      </c>
      <c r="S1317" t="e">
        <f t="shared" si="195"/>
        <v>#N/A</v>
      </c>
      <c r="T1317" s="15" t="e">
        <f t="shared" si="197"/>
        <v>#N/A</v>
      </c>
      <c r="U1317" s="18" t="e">
        <f t="shared" si="198"/>
        <v>#N/A</v>
      </c>
      <c r="V1317" s="14" t="e">
        <f t="shared" si="196"/>
        <v>#N/A</v>
      </c>
      <c r="W1317" s="19" t="e">
        <f t="shared" si="199"/>
        <v>#N/A</v>
      </c>
      <c r="X1317" t="e">
        <f>VLOOKUP(P1317,Close[[ID]:[CreatedBy]],8,0)</f>
        <v>#N/A</v>
      </c>
    </row>
    <row r="1318" spans="2:24" x14ac:dyDescent="0.35">
      <c r="B1318" t="str">
        <f>IF(NOT(ISBLANK(A1318)),VLOOKUP(A1318,'BBT3'!A:F,2,0),"")</f>
        <v/>
      </c>
      <c r="C1318" t="str">
        <f>IF(NOT(ISBLANK(A1318)),VLOOKUP(A1318,'BBT3'!A:F,3,0),"")</f>
        <v/>
      </c>
      <c r="D1318" s="5" t="str">
        <f>IF(NOT(ISBLANK(A1318)),VLOOKUP(A1318,'BBT3'!A:F,4,1),"")</f>
        <v/>
      </c>
      <c r="E1318" t="str">
        <f>IF(NOT(ISBLANK(A1318)),VLOOKUP(A1318,'BBT3'!A:F,5,0),"")</f>
        <v/>
      </c>
      <c r="F1318" t="str">
        <f>IF(NOT(ISBLANK(A1318)),VLOOKUP(A1318,'BBT3'!A:F,6,0),"")</f>
        <v/>
      </c>
      <c r="G1318" t="str">
        <f t="shared" si="191"/>
        <v/>
      </c>
      <c r="H1318" t="str">
        <f>IF(NOT(ISBLANK(A1318)),VLOOKUP(A1318,'Close - PriceSaver'!A:J,5,0),"")</f>
        <v/>
      </c>
      <c r="I1318" s="4" t="str" cm="1">
        <f t="array" ref="I1318">IF(NOT(ISBLANK(A1318)),((_xlfn.XLOOKUP(1,(_bbt3[[#All],[ID]]=A1318)*(_bbt3[[#All],[METRIC_NAME]]="YLD_YTM_ASK"),_bbt3[[#All],[METRIC_VALUE]])*0.5)+(_xlfn.XLOOKUP(1,(_bbt3[[#All],[ID]]=A1318)*(_bbt3[[#All],[METRIC_NAME]]="YLD_YTM_BID"),_bbt3[[#All],[METRIC_VALUE]])*0.5))/100,"")</f>
        <v/>
      </c>
      <c r="J1318">
        <f>IF(ISNA(VLOOKUP(A1318,'CloseDL - PriceSaverBBT3'!A:E,5,0)),0,VLOOKUP(A1318,'CloseDL - PriceSaverBBT3'!A:E,5,0))</f>
        <v>0</v>
      </c>
      <c r="K1318" s="7" t="str">
        <f t="shared" si="192"/>
        <v/>
      </c>
      <c r="L1318" s="20">
        <f>IF(Close[[#This Row],[CreatedBy]]="MARINER\SilverAdm",1,0)</f>
        <v>1</v>
      </c>
      <c r="M1318" t="str">
        <f>IF(NOT(ISBLANK(A1318)),VLOOKUP(A1318,'Close - PriceSaver'!A:J,6,0),"")</f>
        <v/>
      </c>
      <c r="Q1318" t="e">
        <f t="shared" si="193"/>
        <v>#N/A</v>
      </c>
      <c r="R1318" t="e">
        <f t="shared" si="194"/>
        <v>#N/A</v>
      </c>
      <c r="S1318" t="e">
        <f t="shared" si="195"/>
        <v>#N/A</v>
      </c>
      <c r="T1318" s="15" t="e">
        <f t="shared" si="197"/>
        <v>#N/A</v>
      </c>
      <c r="U1318" s="18" t="e">
        <f t="shared" si="198"/>
        <v>#N/A</v>
      </c>
      <c r="V1318" s="14" t="e">
        <f t="shared" si="196"/>
        <v>#N/A</v>
      </c>
      <c r="W1318" s="19" t="e">
        <f t="shared" si="199"/>
        <v>#N/A</v>
      </c>
      <c r="X1318" t="e">
        <f>VLOOKUP(P1318,Close[[ID]:[CreatedBy]],8,0)</f>
        <v>#N/A</v>
      </c>
    </row>
    <row r="1319" spans="2:24" x14ac:dyDescent="0.35">
      <c r="B1319" t="str">
        <f>IF(NOT(ISBLANK(A1319)),VLOOKUP(A1319,'BBT3'!A:F,2,0),"")</f>
        <v/>
      </c>
      <c r="C1319" t="str">
        <f>IF(NOT(ISBLANK(A1319)),VLOOKUP(A1319,'BBT3'!A:F,3,0),"")</f>
        <v/>
      </c>
      <c r="D1319" s="5" t="str">
        <f>IF(NOT(ISBLANK(A1319)),VLOOKUP(A1319,'BBT3'!A:F,4,1),"")</f>
        <v/>
      </c>
      <c r="E1319" t="str">
        <f>IF(NOT(ISBLANK(A1319)),VLOOKUP(A1319,'BBT3'!A:F,5,0),"")</f>
        <v/>
      </c>
      <c r="F1319" t="str">
        <f>IF(NOT(ISBLANK(A1319)),VLOOKUP(A1319,'BBT3'!A:F,6,0),"")</f>
        <v/>
      </c>
      <c r="G1319" t="str">
        <f t="shared" si="191"/>
        <v/>
      </c>
      <c r="H1319" t="str">
        <f>IF(NOT(ISBLANK(A1319)),VLOOKUP(A1319,'Close - PriceSaver'!A:J,5,0),"")</f>
        <v/>
      </c>
      <c r="I1319" s="4" t="str" cm="1">
        <f t="array" ref="I1319">IF(NOT(ISBLANK(A1319)),((_xlfn.XLOOKUP(1,(_bbt3[[#All],[ID]]=A1319)*(_bbt3[[#All],[METRIC_NAME]]="YLD_YTM_ASK"),_bbt3[[#All],[METRIC_VALUE]])*0.5)+(_xlfn.XLOOKUP(1,(_bbt3[[#All],[ID]]=A1319)*(_bbt3[[#All],[METRIC_NAME]]="YLD_YTM_BID"),_bbt3[[#All],[METRIC_VALUE]])*0.5))/100,"")</f>
        <v/>
      </c>
      <c r="J1319">
        <f>IF(ISNA(VLOOKUP(A1319,'CloseDL - PriceSaverBBT3'!A:E,5,0)),0,VLOOKUP(A1319,'CloseDL - PriceSaverBBT3'!A:E,5,0))</f>
        <v>0</v>
      </c>
      <c r="K1319" s="7" t="str">
        <f t="shared" si="192"/>
        <v/>
      </c>
      <c r="L1319" s="20">
        <f>IF(Close[[#This Row],[CreatedBy]]="MARINER\SilverAdm",1,0)</f>
        <v>1</v>
      </c>
      <c r="M1319" t="str">
        <f>IF(NOT(ISBLANK(A1319)),VLOOKUP(A1319,'Close - PriceSaver'!A:J,6,0),"")</f>
        <v/>
      </c>
      <c r="Q1319" t="e">
        <f t="shared" si="193"/>
        <v>#N/A</v>
      </c>
      <c r="R1319" t="e">
        <f t="shared" si="194"/>
        <v>#N/A</v>
      </c>
      <c r="S1319" t="e">
        <f t="shared" si="195"/>
        <v>#N/A</v>
      </c>
      <c r="T1319" s="15" t="e">
        <f t="shared" si="197"/>
        <v>#N/A</v>
      </c>
      <c r="U1319" s="18" t="e">
        <f t="shared" si="198"/>
        <v>#N/A</v>
      </c>
      <c r="V1319" s="14" t="e">
        <f t="shared" si="196"/>
        <v>#N/A</v>
      </c>
      <c r="W1319" s="19" t="e">
        <f t="shared" si="199"/>
        <v>#N/A</v>
      </c>
      <c r="X1319" t="e">
        <f>VLOOKUP(P1319,Close[[ID]:[CreatedBy]],8,0)</f>
        <v>#N/A</v>
      </c>
    </row>
    <row r="1320" spans="2:24" x14ac:dyDescent="0.35">
      <c r="B1320" t="str">
        <f>IF(NOT(ISBLANK(A1320)),VLOOKUP(A1320,'BBT3'!A:F,2,0),"")</f>
        <v/>
      </c>
      <c r="C1320" t="str">
        <f>IF(NOT(ISBLANK(A1320)),VLOOKUP(A1320,'BBT3'!A:F,3,0),"")</f>
        <v/>
      </c>
      <c r="D1320" s="5" t="str">
        <f>IF(NOT(ISBLANK(A1320)),VLOOKUP(A1320,'BBT3'!A:F,4,1),"")</f>
        <v/>
      </c>
      <c r="E1320" t="str">
        <f>IF(NOT(ISBLANK(A1320)),VLOOKUP(A1320,'BBT3'!A:F,5,0),"")</f>
        <v/>
      </c>
      <c r="F1320" t="str">
        <f>IF(NOT(ISBLANK(A1320)),VLOOKUP(A1320,'BBT3'!A:F,6,0),"")</f>
        <v/>
      </c>
      <c r="G1320" t="str">
        <f t="shared" si="191"/>
        <v/>
      </c>
      <c r="H1320" t="str">
        <f>IF(NOT(ISBLANK(A1320)),VLOOKUP(A1320,'Close - PriceSaver'!A:J,5,0),"")</f>
        <v/>
      </c>
      <c r="I1320" s="4" t="str" cm="1">
        <f t="array" ref="I1320">IF(NOT(ISBLANK(A1320)),((_xlfn.XLOOKUP(1,(_bbt3[[#All],[ID]]=A1320)*(_bbt3[[#All],[METRIC_NAME]]="YLD_YTM_ASK"),_bbt3[[#All],[METRIC_VALUE]])*0.5)+(_xlfn.XLOOKUP(1,(_bbt3[[#All],[ID]]=A1320)*(_bbt3[[#All],[METRIC_NAME]]="YLD_YTM_BID"),_bbt3[[#All],[METRIC_VALUE]])*0.5))/100,"")</f>
        <v/>
      </c>
      <c r="J1320">
        <f>IF(ISNA(VLOOKUP(A1320,'CloseDL - PriceSaverBBT3'!A:E,5,0)),0,VLOOKUP(A1320,'CloseDL - PriceSaverBBT3'!A:E,5,0))</f>
        <v>0</v>
      </c>
      <c r="K1320" s="7" t="str">
        <f t="shared" si="192"/>
        <v/>
      </c>
      <c r="L1320" s="20">
        <f>IF(Close[[#This Row],[CreatedBy]]="MARINER\SilverAdm",1,0)</f>
        <v>1</v>
      </c>
      <c r="M1320" t="str">
        <f>IF(NOT(ISBLANK(A1320)),VLOOKUP(A1320,'Close - PriceSaver'!A:J,6,0),"")</f>
        <v/>
      </c>
      <c r="Q1320" t="e">
        <f t="shared" si="193"/>
        <v>#N/A</v>
      </c>
      <c r="R1320" t="e">
        <f t="shared" si="194"/>
        <v>#N/A</v>
      </c>
      <c r="S1320" t="e">
        <f t="shared" si="195"/>
        <v>#N/A</v>
      </c>
      <c r="T1320" s="15" t="e">
        <f t="shared" si="197"/>
        <v>#N/A</v>
      </c>
      <c r="U1320" s="18" t="e">
        <f t="shared" si="198"/>
        <v>#N/A</v>
      </c>
      <c r="V1320" s="14" t="e">
        <f t="shared" si="196"/>
        <v>#N/A</v>
      </c>
      <c r="W1320" s="19" t="e">
        <f t="shared" si="199"/>
        <v>#N/A</v>
      </c>
      <c r="X1320" t="e">
        <f>VLOOKUP(P1320,Close[[ID]:[CreatedBy]],8,0)</f>
        <v>#N/A</v>
      </c>
    </row>
    <row r="1321" spans="2:24" x14ac:dyDescent="0.35">
      <c r="B1321" t="str">
        <f>IF(NOT(ISBLANK(A1321)),VLOOKUP(A1321,'BBT3'!A:F,2,0),"")</f>
        <v/>
      </c>
      <c r="C1321" t="str">
        <f>IF(NOT(ISBLANK(A1321)),VLOOKUP(A1321,'BBT3'!A:F,3,0),"")</f>
        <v/>
      </c>
      <c r="D1321" s="5" t="str">
        <f>IF(NOT(ISBLANK(A1321)),VLOOKUP(A1321,'BBT3'!A:F,4,1),"")</f>
        <v/>
      </c>
      <c r="E1321" t="str">
        <f>IF(NOT(ISBLANK(A1321)),VLOOKUP(A1321,'BBT3'!A:F,5,0),"")</f>
        <v/>
      </c>
      <c r="F1321" t="str">
        <f>IF(NOT(ISBLANK(A1321)),VLOOKUP(A1321,'BBT3'!A:F,6,0),"")</f>
        <v/>
      </c>
      <c r="G1321" t="str">
        <f t="shared" si="191"/>
        <v/>
      </c>
      <c r="H1321" t="str">
        <f>IF(NOT(ISBLANK(A1321)),VLOOKUP(A1321,'Close - PriceSaver'!A:J,5,0),"")</f>
        <v/>
      </c>
      <c r="I1321" s="4" t="str" cm="1">
        <f t="array" ref="I1321">IF(NOT(ISBLANK(A1321)),((_xlfn.XLOOKUP(1,(_bbt3[[#All],[ID]]=A1321)*(_bbt3[[#All],[METRIC_NAME]]="YLD_YTM_ASK"),_bbt3[[#All],[METRIC_VALUE]])*0.5)+(_xlfn.XLOOKUP(1,(_bbt3[[#All],[ID]]=A1321)*(_bbt3[[#All],[METRIC_NAME]]="YLD_YTM_BID"),_bbt3[[#All],[METRIC_VALUE]])*0.5))/100,"")</f>
        <v/>
      </c>
      <c r="J1321">
        <f>IF(ISNA(VLOOKUP(A1321,'CloseDL - PriceSaverBBT3'!A:E,5,0)),0,VLOOKUP(A1321,'CloseDL - PriceSaverBBT3'!A:E,5,0))</f>
        <v>0</v>
      </c>
      <c r="K1321" s="7" t="str">
        <f t="shared" si="192"/>
        <v/>
      </c>
      <c r="L1321" s="20">
        <f>IF(Close[[#This Row],[CreatedBy]]="MARINER\SilverAdm",1,0)</f>
        <v>1</v>
      </c>
      <c r="M1321" t="str">
        <f>IF(NOT(ISBLANK(A1321)),VLOOKUP(A1321,'Close - PriceSaver'!A:J,6,0),"")</f>
        <v/>
      </c>
      <c r="Q1321" t="e">
        <f t="shared" si="193"/>
        <v>#N/A</v>
      </c>
      <c r="R1321" t="e">
        <f t="shared" si="194"/>
        <v>#N/A</v>
      </c>
      <c r="S1321" t="e">
        <f t="shared" si="195"/>
        <v>#N/A</v>
      </c>
      <c r="T1321" s="15" t="e">
        <f t="shared" si="197"/>
        <v>#N/A</v>
      </c>
      <c r="U1321" s="18" t="e">
        <f t="shared" si="198"/>
        <v>#N/A</v>
      </c>
      <c r="V1321" s="14" t="e">
        <f t="shared" si="196"/>
        <v>#N/A</v>
      </c>
      <c r="W1321" s="19" t="e">
        <f t="shared" si="199"/>
        <v>#N/A</v>
      </c>
      <c r="X1321" t="e">
        <f>VLOOKUP(P1321,Close[[ID]:[CreatedBy]],8,0)</f>
        <v>#N/A</v>
      </c>
    </row>
    <row r="1322" spans="2:24" x14ac:dyDescent="0.35">
      <c r="B1322" t="str">
        <f>IF(NOT(ISBLANK(A1322)),VLOOKUP(A1322,'BBT3'!A:F,2,0),"")</f>
        <v/>
      </c>
      <c r="C1322" t="str">
        <f>IF(NOT(ISBLANK(A1322)),VLOOKUP(A1322,'BBT3'!A:F,3,0),"")</f>
        <v/>
      </c>
      <c r="D1322" s="5" t="str">
        <f>IF(NOT(ISBLANK(A1322)),VLOOKUP(A1322,'BBT3'!A:F,4,1),"")</f>
        <v/>
      </c>
      <c r="E1322" t="str">
        <f>IF(NOT(ISBLANK(A1322)),VLOOKUP(A1322,'BBT3'!A:F,5,0),"")</f>
        <v/>
      </c>
      <c r="F1322" t="str">
        <f>IF(NOT(ISBLANK(A1322)),VLOOKUP(A1322,'BBT3'!A:F,6,0),"")</f>
        <v/>
      </c>
      <c r="G1322" t="str">
        <f t="shared" si="191"/>
        <v/>
      </c>
      <c r="H1322" t="str">
        <f>IF(NOT(ISBLANK(A1322)),VLOOKUP(A1322,'Close - PriceSaver'!A:J,5,0),"")</f>
        <v/>
      </c>
      <c r="I1322" s="4" t="str" cm="1">
        <f t="array" ref="I1322">IF(NOT(ISBLANK(A1322)),((_xlfn.XLOOKUP(1,(_bbt3[[#All],[ID]]=A1322)*(_bbt3[[#All],[METRIC_NAME]]="YLD_YTM_ASK"),_bbt3[[#All],[METRIC_VALUE]])*0.5)+(_xlfn.XLOOKUP(1,(_bbt3[[#All],[ID]]=A1322)*(_bbt3[[#All],[METRIC_NAME]]="YLD_YTM_BID"),_bbt3[[#All],[METRIC_VALUE]])*0.5))/100,"")</f>
        <v/>
      </c>
      <c r="J1322">
        <f>IF(ISNA(VLOOKUP(A1322,'CloseDL - PriceSaverBBT3'!A:E,5,0)),0,VLOOKUP(A1322,'CloseDL - PriceSaverBBT3'!A:E,5,0))</f>
        <v>0</v>
      </c>
      <c r="K1322" s="7" t="str">
        <f t="shared" si="192"/>
        <v/>
      </c>
      <c r="L1322" s="20">
        <f>IF(Close[[#This Row],[CreatedBy]]="MARINER\SilverAdm",1,0)</f>
        <v>1</v>
      </c>
      <c r="M1322" t="str">
        <f>IF(NOT(ISBLANK(A1322)),VLOOKUP(A1322,'Close - PriceSaver'!A:J,6,0),"")</f>
        <v/>
      </c>
      <c r="Q1322" t="e">
        <f t="shared" si="193"/>
        <v>#N/A</v>
      </c>
      <c r="R1322" t="e">
        <f t="shared" si="194"/>
        <v>#N/A</v>
      </c>
      <c r="S1322" t="e">
        <f t="shared" si="195"/>
        <v>#N/A</v>
      </c>
      <c r="T1322" s="15" t="e">
        <f t="shared" si="197"/>
        <v>#N/A</v>
      </c>
      <c r="U1322" s="18" t="e">
        <f t="shared" si="198"/>
        <v>#N/A</v>
      </c>
      <c r="V1322" s="14" t="e">
        <f t="shared" si="196"/>
        <v>#N/A</v>
      </c>
      <c r="W1322" s="19" t="e">
        <f t="shared" si="199"/>
        <v>#N/A</v>
      </c>
      <c r="X1322" t="e">
        <f>VLOOKUP(P1322,Close[[ID]:[CreatedBy]],8,0)</f>
        <v>#N/A</v>
      </c>
    </row>
    <row r="1323" spans="2:24" x14ac:dyDescent="0.35">
      <c r="B1323" t="str">
        <f>IF(NOT(ISBLANK(A1323)),VLOOKUP(A1323,'BBT3'!A:F,2,0),"")</f>
        <v/>
      </c>
      <c r="C1323" t="str">
        <f>IF(NOT(ISBLANK(A1323)),VLOOKUP(A1323,'BBT3'!A:F,3,0),"")</f>
        <v/>
      </c>
      <c r="D1323" s="5" t="str">
        <f>IF(NOT(ISBLANK(A1323)),VLOOKUP(A1323,'BBT3'!A:F,4,1),"")</f>
        <v/>
      </c>
      <c r="E1323" t="str">
        <f>IF(NOT(ISBLANK(A1323)),VLOOKUP(A1323,'BBT3'!A:F,5,0),"")</f>
        <v/>
      </c>
      <c r="F1323" t="str">
        <f>IF(NOT(ISBLANK(A1323)),VLOOKUP(A1323,'BBT3'!A:F,6,0),"")</f>
        <v/>
      </c>
      <c r="G1323" t="str">
        <f t="shared" si="191"/>
        <v/>
      </c>
      <c r="H1323" t="str">
        <f>IF(NOT(ISBLANK(A1323)),VLOOKUP(A1323,'Close - PriceSaver'!A:J,5,0),"")</f>
        <v/>
      </c>
      <c r="I1323" s="4" t="str" cm="1">
        <f t="array" ref="I1323">IF(NOT(ISBLANK(A1323)),((_xlfn.XLOOKUP(1,(_bbt3[[#All],[ID]]=A1323)*(_bbt3[[#All],[METRIC_NAME]]="YLD_YTM_ASK"),_bbt3[[#All],[METRIC_VALUE]])*0.5)+(_xlfn.XLOOKUP(1,(_bbt3[[#All],[ID]]=A1323)*(_bbt3[[#All],[METRIC_NAME]]="YLD_YTM_BID"),_bbt3[[#All],[METRIC_VALUE]])*0.5))/100,"")</f>
        <v/>
      </c>
      <c r="J1323">
        <f>IF(ISNA(VLOOKUP(A1323,'CloseDL - PriceSaverBBT3'!A:E,5,0)),0,VLOOKUP(A1323,'CloseDL - PriceSaverBBT3'!A:E,5,0))</f>
        <v>0</v>
      </c>
      <c r="K1323" s="7" t="str">
        <f t="shared" si="192"/>
        <v/>
      </c>
      <c r="L1323" s="20">
        <f>IF(Close[[#This Row],[CreatedBy]]="MARINER\SilverAdm",1,0)</f>
        <v>1</v>
      </c>
      <c r="M1323" t="str">
        <f>IF(NOT(ISBLANK(A1323)),VLOOKUP(A1323,'Close - PriceSaver'!A:J,6,0),"")</f>
        <v/>
      </c>
      <c r="Q1323" t="e">
        <f t="shared" si="193"/>
        <v>#N/A</v>
      </c>
      <c r="R1323" t="e">
        <f t="shared" si="194"/>
        <v>#N/A</v>
      </c>
      <c r="S1323" t="e">
        <f t="shared" si="195"/>
        <v>#N/A</v>
      </c>
      <c r="T1323" s="15" t="e">
        <f t="shared" si="197"/>
        <v>#N/A</v>
      </c>
      <c r="U1323" s="18" t="e">
        <f t="shared" si="198"/>
        <v>#N/A</v>
      </c>
      <c r="V1323" s="14" t="e">
        <f t="shared" si="196"/>
        <v>#N/A</v>
      </c>
      <c r="W1323" s="19" t="e">
        <f t="shared" si="199"/>
        <v>#N/A</v>
      </c>
      <c r="X1323" t="e">
        <f>VLOOKUP(P1323,Close[[ID]:[CreatedBy]],8,0)</f>
        <v>#N/A</v>
      </c>
    </row>
    <row r="1324" spans="2:24" x14ac:dyDescent="0.35">
      <c r="B1324" t="str">
        <f>IF(NOT(ISBLANK(A1324)),VLOOKUP(A1324,'BBT3'!A:F,2,0),"")</f>
        <v/>
      </c>
      <c r="C1324" t="str">
        <f>IF(NOT(ISBLANK(A1324)),VLOOKUP(A1324,'BBT3'!A:F,3,0),"")</f>
        <v/>
      </c>
      <c r="D1324" s="5" t="str">
        <f>IF(NOT(ISBLANK(A1324)),VLOOKUP(A1324,'BBT3'!A:F,4,1),"")</f>
        <v/>
      </c>
      <c r="E1324" t="str">
        <f>IF(NOT(ISBLANK(A1324)),VLOOKUP(A1324,'BBT3'!A:F,5,0),"")</f>
        <v/>
      </c>
      <c r="F1324" t="str">
        <f>IF(NOT(ISBLANK(A1324)),VLOOKUP(A1324,'BBT3'!A:F,6,0),"")</f>
        <v/>
      </c>
      <c r="G1324" t="str">
        <f t="shared" si="191"/>
        <v/>
      </c>
      <c r="H1324" t="str">
        <f>IF(NOT(ISBLANK(A1324)),VLOOKUP(A1324,'Close - PriceSaver'!A:J,5,0),"")</f>
        <v/>
      </c>
      <c r="I1324" s="4" t="str" cm="1">
        <f t="array" ref="I1324">IF(NOT(ISBLANK(A1324)),((_xlfn.XLOOKUP(1,(_bbt3[[#All],[ID]]=A1324)*(_bbt3[[#All],[METRIC_NAME]]="YLD_YTM_ASK"),_bbt3[[#All],[METRIC_VALUE]])*0.5)+(_xlfn.XLOOKUP(1,(_bbt3[[#All],[ID]]=A1324)*(_bbt3[[#All],[METRIC_NAME]]="YLD_YTM_BID"),_bbt3[[#All],[METRIC_VALUE]])*0.5))/100,"")</f>
        <v/>
      </c>
      <c r="J1324">
        <f>IF(ISNA(VLOOKUP(A1324,'CloseDL - PriceSaverBBT3'!A:E,5,0)),0,VLOOKUP(A1324,'CloseDL - PriceSaverBBT3'!A:E,5,0))</f>
        <v>0</v>
      </c>
      <c r="K1324" s="7" t="str">
        <f t="shared" si="192"/>
        <v/>
      </c>
      <c r="L1324" s="20">
        <f>IF(Close[[#This Row],[CreatedBy]]="MARINER\SilverAdm",1,0)</f>
        <v>1</v>
      </c>
      <c r="M1324" t="str">
        <f>IF(NOT(ISBLANK(A1324)),VLOOKUP(A1324,'Close - PriceSaver'!A:J,6,0),"")</f>
        <v/>
      </c>
      <c r="Q1324" t="e">
        <f t="shared" si="193"/>
        <v>#N/A</v>
      </c>
      <c r="R1324" t="e">
        <f t="shared" si="194"/>
        <v>#N/A</v>
      </c>
      <c r="S1324" t="e">
        <f t="shared" si="195"/>
        <v>#N/A</v>
      </c>
      <c r="T1324" s="15" t="e">
        <f t="shared" si="197"/>
        <v>#N/A</v>
      </c>
      <c r="U1324" s="18" t="e">
        <f t="shared" si="198"/>
        <v>#N/A</v>
      </c>
      <c r="V1324" s="14" t="e">
        <f t="shared" si="196"/>
        <v>#N/A</v>
      </c>
      <c r="W1324" s="19" t="e">
        <f t="shared" si="199"/>
        <v>#N/A</v>
      </c>
      <c r="X1324" t="e">
        <f>VLOOKUP(P1324,Close[[ID]:[CreatedBy]],8,0)</f>
        <v>#N/A</v>
      </c>
    </row>
    <row r="1325" spans="2:24" x14ac:dyDescent="0.35">
      <c r="B1325" t="str">
        <f>IF(NOT(ISBLANK(A1325)),VLOOKUP(A1325,'BBT3'!A:F,2,0),"")</f>
        <v/>
      </c>
      <c r="C1325" t="str">
        <f>IF(NOT(ISBLANK(A1325)),VLOOKUP(A1325,'BBT3'!A:F,3,0),"")</f>
        <v/>
      </c>
      <c r="D1325" s="5" t="str">
        <f>IF(NOT(ISBLANK(A1325)),VLOOKUP(A1325,'BBT3'!A:F,4,1),"")</f>
        <v/>
      </c>
      <c r="E1325" t="str">
        <f>IF(NOT(ISBLANK(A1325)),VLOOKUP(A1325,'BBT3'!A:F,5,0),"")</f>
        <v/>
      </c>
      <c r="F1325" t="str">
        <f>IF(NOT(ISBLANK(A1325)),VLOOKUP(A1325,'BBT3'!A:F,6,0),"")</f>
        <v/>
      </c>
      <c r="G1325" t="str">
        <f t="shared" si="191"/>
        <v/>
      </c>
      <c r="H1325" t="str">
        <f>IF(NOT(ISBLANK(A1325)),VLOOKUP(A1325,'Close - PriceSaver'!A:J,5,0),"")</f>
        <v/>
      </c>
      <c r="I1325" s="4" t="str" cm="1">
        <f t="array" ref="I1325">IF(NOT(ISBLANK(A1325)),((_xlfn.XLOOKUP(1,(_bbt3[[#All],[ID]]=A1325)*(_bbt3[[#All],[METRIC_NAME]]="YLD_YTM_ASK"),_bbt3[[#All],[METRIC_VALUE]])*0.5)+(_xlfn.XLOOKUP(1,(_bbt3[[#All],[ID]]=A1325)*(_bbt3[[#All],[METRIC_NAME]]="YLD_YTM_BID"),_bbt3[[#All],[METRIC_VALUE]])*0.5))/100,"")</f>
        <v/>
      </c>
      <c r="J1325">
        <f>IF(ISNA(VLOOKUP(A1325,'CloseDL - PriceSaverBBT3'!A:E,5,0)),0,VLOOKUP(A1325,'CloseDL - PriceSaverBBT3'!A:E,5,0))</f>
        <v>0</v>
      </c>
      <c r="K1325" s="7" t="str">
        <f t="shared" si="192"/>
        <v/>
      </c>
      <c r="L1325" s="20">
        <f>IF(Close[[#This Row],[CreatedBy]]="MARINER\SilverAdm",1,0)</f>
        <v>1</v>
      </c>
      <c r="M1325" t="str">
        <f>IF(NOT(ISBLANK(A1325)),VLOOKUP(A1325,'Close - PriceSaver'!A:J,6,0),"")</f>
        <v/>
      </c>
      <c r="Q1325" t="e">
        <f t="shared" si="193"/>
        <v>#N/A</v>
      </c>
      <c r="R1325" t="e">
        <f t="shared" si="194"/>
        <v>#N/A</v>
      </c>
      <c r="S1325" t="e">
        <f t="shared" si="195"/>
        <v>#N/A</v>
      </c>
      <c r="T1325" s="15" t="e">
        <f t="shared" si="197"/>
        <v>#N/A</v>
      </c>
      <c r="U1325" s="18" t="e">
        <f t="shared" si="198"/>
        <v>#N/A</v>
      </c>
      <c r="V1325" s="14" t="e">
        <f t="shared" si="196"/>
        <v>#N/A</v>
      </c>
      <c r="W1325" s="19" t="e">
        <f t="shared" si="199"/>
        <v>#N/A</v>
      </c>
      <c r="X1325" t="e">
        <f>VLOOKUP(P1325,Close[[ID]:[CreatedBy]],8,0)</f>
        <v>#N/A</v>
      </c>
    </row>
    <row r="1326" spans="2:24" x14ac:dyDescent="0.35">
      <c r="B1326" t="str">
        <f>IF(NOT(ISBLANK(A1326)),VLOOKUP(A1326,'BBT3'!A:F,2,0),"")</f>
        <v/>
      </c>
      <c r="C1326" t="str">
        <f>IF(NOT(ISBLANK(A1326)),VLOOKUP(A1326,'BBT3'!A:F,3,0),"")</f>
        <v/>
      </c>
      <c r="D1326" s="5" t="str">
        <f>IF(NOT(ISBLANK(A1326)),VLOOKUP(A1326,'BBT3'!A:F,4,1),"")</f>
        <v/>
      </c>
      <c r="E1326" t="str">
        <f>IF(NOT(ISBLANK(A1326)),VLOOKUP(A1326,'BBT3'!A:F,5,0),"")</f>
        <v/>
      </c>
      <c r="F1326" t="str">
        <f>IF(NOT(ISBLANK(A1326)),VLOOKUP(A1326,'BBT3'!A:F,6,0),"")</f>
        <v/>
      </c>
      <c r="G1326" t="str">
        <f t="shared" si="191"/>
        <v/>
      </c>
      <c r="H1326" t="str">
        <f>IF(NOT(ISBLANK(A1326)),VLOOKUP(A1326,'Close - PriceSaver'!A:J,5,0),"")</f>
        <v/>
      </c>
      <c r="I1326" s="4" t="str" cm="1">
        <f t="array" ref="I1326">IF(NOT(ISBLANK(A1326)),((_xlfn.XLOOKUP(1,(_bbt3[[#All],[ID]]=A1326)*(_bbt3[[#All],[METRIC_NAME]]="YLD_YTM_ASK"),_bbt3[[#All],[METRIC_VALUE]])*0.5)+(_xlfn.XLOOKUP(1,(_bbt3[[#All],[ID]]=A1326)*(_bbt3[[#All],[METRIC_NAME]]="YLD_YTM_BID"),_bbt3[[#All],[METRIC_VALUE]])*0.5))/100,"")</f>
        <v/>
      </c>
      <c r="J1326">
        <f>IF(ISNA(VLOOKUP(A1326,'CloseDL - PriceSaverBBT3'!A:E,5,0)),0,VLOOKUP(A1326,'CloseDL - PriceSaverBBT3'!A:E,5,0))</f>
        <v>0</v>
      </c>
      <c r="K1326" s="7" t="str">
        <f t="shared" si="192"/>
        <v/>
      </c>
      <c r="L1326" s="20">
        <f>IF(Close[[#This Row],[CreatedBy]]="MARINER\SilverAdm",1,0)</f>
        <v>1</v>
      </c>
      <c r="M1326" t="str">
        <f>IF(NOT(ISBLANK(A1326)),VLOOKUP(A1326,'Close - PriceSaver'!A:J,6,0),"")</f>
        <v/>
      </c>
      <c r="Q1326" t="e">
        <f t="shared" si="193"/>
        <v>#N/A</v>
      </c>
      <c r="R1326" t="e">
        <f t="shared" si="194"/>
        <v>#N/A</v>
      </c>
      <c r="S1326" t="e">
        <f t="shared" si="195"/>
        <v>#N/A</v>
      </c>
      <c r="T1326" s="15" t="e">
        <f t="shared" si="197"/>
        <v>#N/A</v>
      </c>
      <c r="U1326" s="18" t="e">
        <f t="shared" si="198"/>
        <v>#N/A</v>
      </c>
      <c r="V1326" s="14" t="e">
        <f t="shared" si="196"/>
        <v>#N/A</v>
      </c>
      <c r="W1326" s="19" t="e">
        <f t="shared" si="199"/>
        <v>#N/A</v>
      </c>
      <c r="X1326" t="e">
        <f>VLOOKUP(P1326,Close[[ID]:[CreatedBy]],8,0)</f>
        <v>#N/A</v>
      </c>
    </row>
    <row r="1327" spans="2:24" x14ac:dyDescent="0.35">
      <c r="B1327" t="str">
        <f>IF(NOT(ISBLANK(A1327)),VLOOKUP(A1327,'BBT3'!A:F,2,0),"")</f>
        <v/>
      </c>
      <c r="C1327" t="str">
        <f>IF(NOT(ISBLANK(A1327)),VLOOKUP(A1327,'BBT3'!A:F,3,0),"")</f>
        <v/>
      </c>
      <c r="D1327" s="5" t="str">
        <f>IF(NOT(ISBLANK(A1327)),VLOOKUP(A1327,'BBT3'!A:F,4,1),"")</f>
        <v/>
      </c>
      <c r="E1327" t="str">
        <f>IF(NOT(ISBLANK(A1327)),VLOOKUP(A1327,'BBT3'!A:F,5,0),"")</f>
        <v/>
      </c>
      <c r="F1327" t="str">
        <f>IF(NOT(ISBLANK(A1327)),VLOOKUP(A1327,'BBT3'!A:F,6,0),"")</f>
        <v/>
      </c>
      <c r="G1327" t="str">
        <f t="shared" si="191"/>
        <v/>
      </c>
      <c r="H1327" t="str">
        <f>IF(NOT(ISBLANK(A1327)),VLOOKUP(A1327,'Close - PriceSaver'!A:J,5,0),"")</f>
        <v/>
      </c>
      <c r="I1327" s="4" t="str" cm="1">
        <f t="array" ref="I1327">IF(NOT(ISBLANK(A1327)),((_xlfn.XLOOKUP(1,(_bbt3[[#All],[ID]]=A1327)*(_bbt3[[#All],[METRIC_NAME]]="YLD_YTM_ASK"),_bbt3[[#All],[METRIC_VALUE]])*0.5)+(_xlfn.XLOOKUP(1,(_bbt3[[#All],[ID]]=A1327)*(_bbt3[[#All],[METRIC_NAME]]="YLD_YTM_BID"),_bbt3[[#All],[METRIC_VALUE]])*0.5))/100,"")</f>
        <v/>
      </c>
      <c r="J1327">
        <f>IF(ISNA(VLOOKUP(A1327,'CloseDL - PriceSaverBBT3'!A:E,5,0)),0,VLOOKUP(A1327,'CloseDL - PriceSaverBBT3'!A:E,5,0))</f>
        <v>0</v>
      </c>
      <c r="K1327" s="7" t="str">
        <f t="shared" si="192"/>
        <v/>
      </c>
      <c r="L1327" s="20">
        <f>IF(Close[[#This Row],[CreatedBy]]="MARINER\SilverAdm",1,0)</f>
        <v>1</v>
      </c>
      <c r="M1327" t="str">
        <f>IF(NOT(ISBLANK(A1327)),VLOOKUP(A1327,'Close - PriceSaver'!A:J,6,0),"")</f>
        <v/>
      </c>
      <c r="Q1327" t="e">
        <f t="shared" si="193"/>
        <v>#N/A</v>
      </c>
      <c r="R1327" t="e">
        <f t="shared" si="194"/>
        <v>#N/A</v>
      </c>
      <c r="S1327" t="e">
        <f t="shared" si="195"/>
        <v>#N/A</v>
      </c>
      <c r="T1327" s="15" t="e">
        <f t="shared" si="197"/>
        <v>#N/A</v>
      </c>
      <c r="U1327" s="18" t="e">
        <f t="shared" si="198"/>
        <v>#N/A</v>
      </c>
      <c r="V1327" s="14" t="e">
        <f t="shared" si="196"/>
        <v>#N/A</v>
      </c>
      <c r="W1327" s="19" t="e">
        <f t="shared" si="199"/>
        <v>#N/A</v>
      </c>
      <c r="X1327" t="e">
        <f>VLOOKUP(P1327,Close[[ID]:[CreatedBy]],8,0)</f>
        <v>#N/A</v>
      </c>
    </row>
    <row r="1328" spans="2:24" x14ac:dyDescent="0.35">
      <c r="B1328" t="str">
        <f>IF(NOT(ISBLANK(A1328)),VLOOKUP(A1328,'BBT3'!A:F,2,0),"")</f>
        <v/>
      </c>
      <c r="C1328" t="str">
        <f>IF(NOT(ISBLANK(A1328)),VLOOKUP(A1328,'BBT3'!A:F,3,0),"")</f>
        <v/>
      </c>
      <c r="D1328" s="5" t="str">
        <f>IF(NOT(ISBLANK(A1328)),VLOOKUP(A1328,'BBT3'!A:F,4,1),"")</f>
        <v/>
      </c>
      <c r="E1328" t="str">
        <f>IF(NOT(ISBLANK(A1328)),VLOOKUP(A1328,'BBT3'!A:F,5,0),"")</f>
        <v/>
      </c>
      <c r="F1328" t="str">
        <f>IF(NOT(ISBLANK(A1328)),VLOOKUP(A1328,'BBT3'!A:F,6,0),"")</f>
        <v/>
      </c>
      <c r="G1328" t="str">
        <f t="shared" si="191"/>
        <v/>
      </c>
      <c r="H1328" t="str">
        <f>IF(NOT(ISBLANK(A1328)),VLOOKUP(A1328,'Close - PriceSaver'!A:J,5,0),"")</f>
        <v/>
      </c>
      <c r="I1328" s="4" t="str" cm="1">
        <f t="array" ref="I1328">IF(NOT(ISBLANK(A1328)),((_xlfn.XLOOKUP(1,(_bbt3[[#All],[ID]]=A1328)*(_bbt3[[#All],[METRIC_NAME]]="YLD_YTM_ASK"),_bbt3[[#All],[METRIC_VALUE]])*0.5)+(_xlfn.XLOOKUP(1,(_bbt3[[#All],[ID]]=A1328)*(_bbt3[[#All],[METRIC_NAME]]="YLD_YTM_BID"),_bbt3[[#All],[METRIC_VALUE]])*0.5))/100,"")</f>
        <v/>
      </c>
      <c r="J1328">
        <f>IF(ISNA(VLOOKUP(A1328,'CloseDL - PriceSaverBBT3'!A:E,5,0)),0,VLOOKUP(A1328,'CloseDL - PriceSaverBBT3'!A:E,5,0))</f>
        <v>0</v>
      </c>
      <c r="K1328" s="7" t="str">
        <f t="shared" si="192"/>
        <v/>
      </c>
      <c r="L1328" s="20">
        <f>IF(Close[[#This Row],[CreatedBy]]="MARINER\SilverAdm",1,0)</f>
        <v>1</v>
      </c>
      <c r="M1328" t="str">
        <f>IF(NOT(ISBLANK(A1328)),VLOOKUP(A1328,'Close - PriceSaver'!A:J,6,0),"")</f>
        <v/>
      </c>
      <c r="Q1328" t="e">
        <f t="shared" si="193"/>
        <v>#N/A</v>
      </c>
      <c r="R1328" t="e">
        <f t="shared" si="194"/>
        <v>#N/A</v>
      </c>
      <c r="S1328" t="e">
        <f t="shared" si="195"/>
        <v>#N/A</v>
      </c>
      <c r="T1328" s="15" t="e">
        <f t="shared" si="197"/>
        <v>#N/A</v>
      </c>
      <c r="U1328" s="18" t="e">
        <f t="shared" si="198"/>
        <v>#N/A</v>
      </c>
      <c r="V1328" s="14" t="e">
        <f t="shared" si="196"/>
        <v>#N/A</v>
      </c>
      <c r="W1328" s="19" t="e">
        <f t="shared" si="199"/>
        <v>#N/A</v>
      </c>
      <c r="X1328" t="e">
        <f>VLOOKUP(P1328,Close[[ID]:[CreatedBy]],8,0)</f>
        <v>#N/A</v>
      </c>
    </row>
    <row r="1329" spans="2:24" x14ac:dyDescent="0.35">
      <c r="B1329" t="str">
        <f>IF(NOT(ISBLANK(A1329)),VLOOKUP(A1329,'BBT3'!A:F,2,0),"")</f>
        <v/>
      </c>
      <c r="C1329" t="str">
        <f>IF(NOT(ISBLANK(A1329)),VLOOKUP(A1329,'BBT3'!A:F,3,0),"")</f>
        <v/>
      </c>
      <c r="D1329" s="5" t="str">
        <f>IF(NOT(ISBLANK(A1329)),VLOOKUP(A1329,'BBT3'!A:F,4,1),"")</f>
        <v/>
      </c>
      <c r="E1329" t="str">
        <f>IF(NOT(ISBLANK(A1329)),VLOOKUP(A1329,'BBT3'!A:F,5,0),"")</f>
        <v/>
      </c>
      <c r="F1329" t="str">
        <f>IF(NOT(ISBLANK(A1329)),VLOOKUP(A1329,'BBT3'!A:F,6,0),"")</f>
        <v/>
      </c>
      <c r="G1329" t="str">
        <f t="shared" si="191"/>
        <v/>
      </c>
      <c r="H1329" t="str">
        <f>IF(NOT(ISBLANK(A1329)),VLOOKUP(A1329,'Close - PriceSaver'!A:J,5,0),"")</f>
        <v/>
      </c>
      <c r="I1329" s="4" t="str" cm="1">
        <f t="array" ref="I1329">IF(NOT(ISBLANK(A1329)),((_xlfn.XLOOKUP(1,(_bbt3[[#All],[ID]]=A1329)*(_bbt3[[#All],[METRIC_NAME]]="YLD_YTM_ASK"),_bbt3[[#All],[METRIC_VALUE]])*0.5)+(_xlfn.XLOOKUP(1,(_bbt3[[#All],[ID]]=A1329)*(_bbt3[[#All],[METRIC_NAME]]="YLD_YTM_BID"),_bbt3[[#All],[METRIC_VALUE]])*0.5))/100,"")</f>
        <v/>
      </c>
      <c r="J1329">
        <f>IF(ISNA(VLOOKUP(A1329,'CloseDL - PriceSaverBBT3'!A:E,5,0)),0,VLOOKUP(A1329,'CloseDL - PriceSaverBBT3'!A:E,5,0))</f>
        <v>0</v>
      </c>
      <c r="K1329" s="7" t="str">
        <f t="shared" si="192"/>
        <v/>
      </c>
      <c r="L1329" s="20">
        <f>IF(Close[[#This Row],[CreatedBy]]="MARINER\SilverAdm",1,0)</f>
        <v>1</v>
      </c>
      <c r="M1329" t="str">
        <f>IF(NOT(ISBLANK(A1329)),VLOOKUP(A1329,'Close - PriceSaver'!A:J,6,0),"")</f>
        <v/>
      </c>
      <c r="Q1329" t="e">
        <f t="shared" si="193"/>
        <v>#N/A</v>
      </c>
      <c r="R1329" t="e">
        <f t="shared" si="194"/>
        <v>#N/A</v>
      </c>
      <c r="S1329" t="e">
        <f t="shared" si="195"/>
        <v>#N/A</v>
      </c>
      <c r="T1329" s="15" t="e">
        <f t="shared" si="197"/>
        <v>#N/A</v>
      </c>
      <c r="U1329" s="18" t="e">
        <f t="shared" si="198"/>
        <v>#N/A</v>
      </c>
      <c r="V1329" s="14" t="e">
        <f t="shared" si="196"/>
        <v>#N/A</v>
      </c>
      <c r="W1329" s="19" t="e">
        <f t="shared" si="199"/>
        <v>#N/A</v>
      </c>
      <c r="X1329" t="e">
        <f>VLOOKUP(P1329,Close[[ID]:[CreatedBy]],8,0)</f>
        <v>#N/A</v>
      </c>
    </row>
    <row r="1330" spans="2:24" x14ac:dyDescent="0.35">
      <c r="B1330" t="str">
        <f>IF(NOT(ISBLANK(A1330)),VLOOKUP(A1330,'BBT3'!A:F,2,0),"")</f>
        <v/>
      </c>
      <c r="C1330" t="str">
        <f>IF(NOT(ISBLANK(A1330)),VLOOKUP(A1330,'BBT3'!A:F,3,0),"")</f>
        <v/>
      </c>
      <c r="D1330" s="5" t="str">
        <f>IF(NOT(ISBLANK(A1330)),VLOOKUP(A1330,'BBT3'!A:F,4,1),"")</f>
        <v/>
      </c>
      <c r="E1330" t="str">
        <f>IF(NOT(ISBLANK(A1330)),VLOOKUP(A1330,'BBT3'!A:F,5,0),"")</f>
        <v/>
      </c>
      <c r="F1330" t="str">
        <f>IF(NOT(ISBLANK(A1330)),VLOOKUP(A1330,'BBT3'!A:F,6,0),"")</f>
        <v/>
      </c>
      <c r="G1330" t="str">
        <f t="shared" si="191"/>
        <v/>
      </c>
      <c r="H1330" t="str">
        <f>IF(NOT(ISBLANK(A1330)),VLOOKUP(A1330,'Close - PriceSaver'!A:J,5,0),"")</f>
        <v/>
      </c>
      <c r="I1330" s="4" t="str" cm="1">
        <f t="array" ref="I1330">IF(NOT(ISBLANK(A1330)),((_xlfn.XLOOKUP(1,(_bbt3[[#All],[ID]]=A1330)*(_bbt3[[#All],[METRIC_NAME]]="YLD_YTM_ASK"),_bbt3[[#All],[METRIC_VALUE]])*0.5)+(_xlfn.XLOOKUP(1,(_bbt3[[#All],[ID]]=A1330)*(_bbt3[[#All],[METRIC_NAME]]="YLD_YTM_BID"),_bbt3[[#All],[METRIC_VALUE]])*0.5))/100,"")</f>
        <v/>
      </c>
      <c r="J1330">
        <f>IF(ISNA(VLOOKUP(A1330,'CloseDL - PriceSaverBBT3'!A:E,5,0)),0,VLOOKUP(A1330,'CloseDL - PriceSaverBBT3'!A:E,5,0))</f>
        <v>0</v>
      </c>
      <c r="K1330" s="7" t="str">
        <f t="shared" si="192"/>
        <v/>
      </c>
      <c r="L1330" s="20">
        <f>IF(Close[[#This Row],[CreatedBy]]="MARINER\SilverAdm",1,0)</f>
        <v>1</v>
      </c>
      <c r="M1330" t="str">
        <f>IF(NOT(ISBLANK(A1330)),VLOOKUP(A1330,'Close - PriceSaver'!A:J,6,0),"")</f>
        <v/>
      </c>
      <c r="Q1330" t="e">
        <f t="shared" si="193"/>
        <v>#N/A</v>
      </c>
      <c r="R1330" t="e">
        <f t="shared" si="194"/>
        <v>#N/A</v>
      </c>
      <c r="S1330" t="e">
        <f t="shared" si="195"/>
        <v>#N/A</v>
      </c>
      <c r="T1330" s="15" t="e">
        <f t="shared" si="197"/>
        <v>#N/A</v>
      </c>
      <c r="U1330" s="18" t="e">
        <f t="shared" si="198"/>
        <v>#N/A</v>
      </c>
      <c r="V1330" s="14" t="e">
        <f t="shared" si="196"/>
        <v>#N/A</v>
      </c>
      <c r="W1330" s="19" t="e">
        <f t="shared" si="199"/>
        <v>#N/A</v>
      </c>
      <c r="X1330" t="e">
        <f>VLOOKUP(P1330,Close[[ID]:[CreatedBy]],8,0)</f>
        <v>#N/A</v>
      </c>
    </row>
    <row r="1331" spans="2:24" x14ac:dyDescent="0.35">
      <c r="B1331" t="str">
        <f>IF(NOT(ISBLANK(A1331)),VLOOKUP(A1331,'BBT3'!A:F,2,0),"")</f>
        <v/>
      </c>
      <c r="C1331" t="str">
        <f>IF(NOT(ISBLANK(A1331)),VLOOKUP(A1331,'BBT3'!A:F,3,0),"")</f>
        <v/>
      </c>
      <c r="D1331" s="5" t="str">
        <f>IF(NOT(ISBLANK(A1331)),VLOOKUP(A1331,'BBT3'!A:F,4,1),"")</f>
        <v/>
      </c>
      <c r="E1331" t="str">
        <f>IF(NOT(ISBLANK(A1331)),VLOOKUP(A1331,'BBT3'!A:F,5,0),"")</f>
        <v/>
      </c>
      <c r="F1331" t="str">
        <f>IF(NOT(ISBLANK(A1331)),VLOOKUP(A1331,'BBT3'!A:F,6,0),"")</f>
        <v/>
      </c>
      <c r="G1331" t="str">
        <f t="shared" si="191"/>
        <v/>
      </c>
      <c r="H1331" t="str">
        <f>IF(NOT(ISBLANK(A1331)),VLOOKUP(A1331,'Close - PriceSaver'!A:J,5,0),"")</f>
        <v/>
      </c>
      <c r="I1331" s="4" t="str" cm="1">
        <f t="array" ref="I1331">IF(NOT(ISBLANK(A1331)),((_xlfn.XLOOKUP(1,(_bbt3[[#All],[ID]]=A1331)*(_bbt3[[#All],[METRIC_NAME]]="YLD_YTM_ASK"),_bbt3[[#All],[METRIC_VALUE]])*0.5)+(_xlfn.XLOOKUP(1,(_bbt3[[#All],[ID]]=A1331)*(_bbt3[[#All],[METRIC_NAME]]="YLD_YTM_BID"),_bbt3[[#All],[METRIC_VALUE]])*0.5))/100,"")</f>
        <v/>
      </c>
      <c r="J1331">
        <f>IF(ISNA(VLOOKUP(A1331,'CloseDL - PriceSaverBBT3'!A:E,5,0)),0,VLOOKUP(A1331,'CloseDL - PriceSaverBBT3'!A:E,5,0))</f>
        <v>0</v>
      </c>
      <c r="K1331" s="7" t="str">
        <f t="shared" si="192"/>
        <v/>
      </c>
      <c r="L1331" s="20">
        <f>IF(Close[[#This Row],[CreatedBy]]="MARINER\SilverAdm",1,0)</f>
        <v>1</v>
      </c>
      <c r="M1331" t="str">
        <f>IF(NOT(ISBLANK(A1331)),VLOOKUP(A1331,'Close - PriceSaver'!A:J,6,0),"")</f>
        <v/>
      </c>
      <c r="Q1331" t="e">
        <f t="shared" si="193"/>
        <v>#N/A</v>
      </c>
      <c r="R1331" t="e">
        <f t="shared" si="194"/>
        <v>#N/A</v>
      </c>
      <c r="S1331" t="e">
        <f t="shared" si="195"/>
        <v>#N/A</v>
      </c>
      <c r="T1331" s="15" t="e">
        <f t="shared" si="197"/>
        <v>#N/A</v>
      </c>
      <c r="U1331" s="18" t="e">
        <f t="shared" si="198"/>
        <v>#N/A</v>
      </c>
      <c r="V1331" s="14" t="e">
        <f t="shared" si="196"/>
        <v>#N/A</v>
      </c>
      <c r="W1331" s="19" t="e">
        <f t="shared" si="199"/>
        <v>#N/A</v>
      </c>
      <c r="X1331" t="e">
        <f>VLOOKUP(P1331,Close[[ID]:[CreatedBy]],8,0)</f>
        <v>#N/A</v>
      </c>
    </row>
    <row r="1332" spans="2:24" x14ac:dyDescent="0.35">
      <c r="B1332" t="str">
        <f>IF(NOT(ISBLANK(A1332)),VLOOKUP(A1332,'BBT3'!A:F,2,0),"")</f>
        <v/>
      </c>
      <c r="C1332" t="str">
        <f>IF(NOT(ISBLANK(A1332)),VLOOKUP(A1332,'BBT3'!A:F,3,0),"")</f>
        <v/>
      </c>
      <c r="D1332" s="5" t="str">
        <f>IF(NOT(ISBLANK(A1332)),VLOOKUP(A1332,'BBT3'!A:F,4,1),"")</f>
        <v/>
      </c>
      <c r="E1332" t="str">
        <f>IF(NOT(ISBLANK(A1332)),VLOOKUP(A1332,'BBT3'!A:F,5,0),"")</f>
        <v/>
      </c>
      <c r="F1332" t="str">
        <f>IF(NOT(ISBLANK(A1332)),VLOOKUP(A1332,'BBT3'!A:F,6,0),"")</f>
        <v/>
      </c>
      <c r="G1332" t="str">
        <f t="shared" si="191"/>
        <v/>
      </c>
      <c r="H1332" t="str">
        <f>IF(NOT(ISBLANK(A1332)),VLOOKUP(A1332,'Close - PriceSaver'!A:J,5,0),"")</f>
        <v/>
      </c>
      <c r="I1332" s="4" t="str" cm="1">
        <f t="array" ref="I1332">IF(NOT(ISBLANK(A1332)),((_xlfn.XLOOKUP(1,(_bbt3[[#All],[ID]]=A1332)*(_bbt3[[#All],[METRIC_NAME]]="YLD_YTM_ASK"),_bbt3[[#All],[METRIC_VALUE]])*0.5)+(_xlfn.XLOOKUP(1,(_bbt3[[#All],[ID]]=A1332)*(_bbt3[[#All],[METRIC_NAME]]="YLD_YTM_BID"),_bbt3[[#All],[METRIC_VALUE]])*0.5))/100,"")</f>
        <v/>
      </c>
      <c r="J1332">
        <f>IF(ISNA(VLOOKUP(A1332,'CloseDL - PriceSaverBBT3'!A:E,5,0)),0,VLOOKUP(A1332,'CloseDL - PriceSaverBBT3'!A:E,5,0))</f>
        <v>0</v>
      </c>
      <c r="K1332" s="7" t="str">
        <f t="shared" si="192"/>
        <v/>
      </c>
      <c r="L1332" s="20">
        <f>IF(Close[[#This Row],[CreatedBy]]="MARINER\SilverAdm",1,0)</f>
        <v>1</v>
      </c>
      <c r="M1332" t="str">
        <f>IF(NOT(ISBLANK(A1332)),VLOOKUP(A1332,'Close - PriceSaver'!A:J,6,0),"")</f>
        <v/>
      </c>
      <c r="Q1332" t="e">
        <f t="shared" si="193"/>
        <v>#N/A</v>
      </c>
      <c r="R1332" t="e">
        <f t="shared" si="194"/>
        <v>#N/A</v>
      </c>
      <c r="S1332" t="e">
        <f t="shared" si="195"/>
        <v>#N/A</v>
      </c>
      <c r="T1332" s="15" t="e">
        <f t="shared" si="197"/>
        <v>#N/A</v>
      </c>
      <c r="U1332" s="18" t="e">
        <f t="shared" si="198"/>
        <v>#N/A</v>
      </c>
      <c r="V1332" s="14" t="e">
        <f t="shared" si="196"/>
        <v>#N/A</v>
      </c>
      <c r="W1332" s="19" t="e">
        <f t="shared" si="199"/>
        <v>#N/A</v>
      </c>
      <c r="X1332" t="e">
        <f>VLOOKUP(P1332,Close[[ID]:[CreatedBy]],8,0)</f>
        <v>#N/A</v>
      </c>
    </row>
    <row r="1333" spans="2:24" x14ac:dyDescent="0.35">
      <c r="B1333" t="str">
        <f>IF(NOT(ISBLANK(A1333)),VLOOKUP(A1333,'BBT3'!A:F,2,0),"")</f>
        <v/>
      </c>
      <c r="C1333" t="str">
        <f>IF(NOT(ISBLANK(A1333)),VLOOKUP(A1333,'BBT3'!A:F,3,0),"")</f>
        <v/>
      </c>
      <c r="D1333" s="5" t="str">
        <f>IF(NOT(ISBLANK(A1333)),VLOOKUP(A1333,'BBT3'!A:F,4,1),"")</f>
        <v/>
      </c>
      <c r="E1333" t="str">
        <f>IF(NOT(ISBLANK(A1333)),VLOOKUP(A1333,'BBT3'!A:F,5,0),"")</f>
        <v/>
      </c>
      <c r="F1333" t="str">
        <f>IF(NOT(ISBLANK(A1333)),VLOOKUP(A1333,'BBT3'!A:F,6,0),"")</f>
        <v/>
      </c>
      <c r="G1333" t="str">
        <f t="shared" si="191"/>
        <v/>
      </c>
      <c r="H1333" t="str">
        <f>IF(NOT(ISBLANK(A1333)),VLOOKUP(A1333,'Close - PriceSaver'!A:J,5,0),"")</f>
        <v/>
      </c>
      <c r="I1333" s="4" t="str" cm="1">
        <f t="array" ref="I1333">IF(NOT(ISBLANK(A1333)),((_xlfn.XLOOKUP(1,(_bbt3[[#All],[ID]]=A1333)*(_bbt3[[#All],[METRIC_NAME]]="YLD_YTM_ASK"),_bbt3[[#All],[METRIC_VALUE]])*0.5)+(_xlfn.XLOOKUP(1,(_bbt3[[#All],[ID]]=A1333)*(_bbt3[[#All],[METRIC_NAME]]="YLD_YTM_BID"),_bbt3[[#All],[METRIC_VALUE]])*0.5))/100,"")</f>
        <v/>
      </c>
      <c r="J1333">
        <f>IF(ISNA(VLOOKUP(A1333,'CloseDL - PriceSaverBBT3'!A:E,5,0)),0,VLOOKUP(A1333,'CloseDL - PriceSaverBBT3'!A:E,5,0))</f>
        <v>0</v>
      </c>
      <c r="K1333" s="7" t="str">
        <f t="shared" si="192"/>
        <v/>
      </c>
      <c r="L1333" s="20">
        <f>IF(Close[[#This Row],[CreatedBy]]="MARINER\SilverAdm",1,0)</f>
        <v>1</v>
      </c>
      <c r="M1333" t="str">
        <f>IF(NOT(ISBLANK(A1333)),VLOOKUP(A1333,'Close - PriceSaver'!A:J,6,0),"")</f>
        <v/>
      </c>
      <c r="Q1333" t="e">
        <f t="shared" si="193"/>
        <v>#N/A</v>
      </c>
      <c r="R1333" t="e">
        <f t="shared" si="194"/>
        <v>#N/A</v>
      </c>
      <c r="S1333" t="e">
        <f t="shared" si="195"/>
        <v>#N/A</v>
      </c>
      <c r="T1333" s="15" t="e">
        <f t="shared" si="197"/>
        <v>#N/A</v>
      </c>
      <c r="U1333" s="18" t="e">
        <f t="shared" si="198"/>
        <v>#N/A</v>
      </c>
      <c r="V1333" s="14" t="e">
        <f t="shared" si="196"/>
        <v>#N/A</v>
      </c>
      <c r="W1333" s="19" t="e">
        <f t="shared" si="199"/>
        <v>#N/A</v>
      </c>
      <c r="X1333" t="e">
        <f>VLOOKUP(P1333,Close[[ID]:[CreatedBy]],8,0)</f>
        <v>#N/A</v>
      </c>
    </row>
    <row r="1334" spans="2:24" x14ac:dyDescent="0.35">
      <c r="B1334" t="str">
        <f>IF(NOT(ISBLANK(A1334)),VLOOKUP(A1334,'BBT3'!A:F,2,0),"")</f>
        <v/>
      </c>
      <c r="C1334" t="str">
        <f>IF(NOT(ISBLANK(A1334)),VLOOKUP(A1334,'BBT3'!A:F,3,0),"")</f>
        <v/>
      </c>
      <c r="D1334" s="5" t="str">
        <f>IF(NOT(ISBLANK(A1334)),VLOOKUP(A1334,'BBT3'!A:F,4,1),"")</f>
        <v/>
      </c>
      <c r="E1334" t="str">
        <f>IF(NOT(ISBLANK(A1334)),VLOOKUP(A1334,'BBT3'!A:F,5,0),"")</f>
        <v/>
      </c>
      <c r="F1334" t="str">
        <f>IF(NOT(ISBLANK(A1334)),VLOOKUP(A1334,'BBT3'!A:F,6,0),"")</f>
        <v/>
      </c>
      <c r="G1334" t="str">
        <f t="shared" si="191"/>
        <v/>
      </c>
      <c r="H1334" t="str">
        <f>IF(NOT(ISBLANK(A1334)),VLOOKUP(A1334,'Close - PriceSaver'!A:J,5,0),"")</f>
        <v/>
      </c>
      <c r="I1334" s="4" t="str" cm="1">
        <f t="array" ref="I1334">IF(NOT(ISBLANK(A1334)),((_xlfn.XLOOKUP(1,(_bbt3[[#All],[ID]]=A1334)*(_bbt3[[#All],[METRIC_NAME]]="YLD_YTM_ASK"),_bbt3[[#All],[METRIC_VALUE]])*0.5)+(_xlfn.XLOOKUP(1,(_bbt3[[#All],[ID]]=A1334)*(_bbt3[[#All],[METRIC_NAME]]="YLD_YTM_BID"),_bbt3[[#All],[METRIC_VALUE]])*0.5))/100,"")</f>
        <v/>
      </c>
      <c r="J1334">
        <f>IF(ISNA(VLOOKUP(A1334,'CloseDL - PriceSaverBBT3'!A:E,5,0)),0,VLOOKUP(A1334,'CloseDL - PriceSaverBBT3'!A:E,5,0))</f>
        <v>0</v>
      </c>
      <c r="K1334" s="7" t="str">
        <f t="shared" si="192"/>
        <v/>
      </c>
      <c r="L1334" s="20">
        <f>IF(Close[[#This Row],[CreatedBy]]="MARINER\SilverAdm",1,0)</f>
        <v>1</v>
      </c>
      <c r="M1334" t="str">
        <f>IF(NOT(ISBLANK(A1334)),VLOOKUP(A1334,'Close - PriceSaver'!A:J,6,0),"")</f>
        <v/>
      </c>
      <c r="Q1334" t="e">
        <f t="shared" si="193"/>
        <v>#N/A</v>
      </c>
      <c r="R1334" t="e">
        <f t="shared" si="194"/>
        <v>#N/A</v>
      </c>
      <c r="S1334" t="e">
        <f t="shared" si="195"/>
        <v>#N/A</v>
      </c>
      <c r="T1334" s="15" t="e">
        <f t="shared" si="197"/>
        <v>#N/A</v>
      </c>
      <c r="U1334" s="18" t="e">
        <f t="shared" si="198"/>
        <v>#N/A</v>
      </c>
      <c r="V1334" s="14" t="e">
        <f t="shared" si="196"/>
        <v>#N/A</v>
      </c>
      <c r="W1334" s="19" t="e">
        <f t="shared" si="199"/>
        <v>#N/A</v>
      </c>
      <c r="X1334" t="e">
        <f>VLOOKUP(P1334,Close[[ID]:[CreatedBy]],8,0)</f>
        <v>#N/A</v>
      </c>
    </row>
    <row r="1335" spans="2:24" x14ac:dyDescent="0.35">
      <c r="B1335" t="str">
        <f>IF(NOT(ISBLANK(A1335)),VLOOKUP(A1335,'BBT3'!A:F,2,0),"")</f>
        <v/>
      </c>
      <c r="C1335" t="str">
        <f>IF(NOT(ISBLANK(A1335)),VLOOKUP(A1335,'BBT3'!A:F,3,0),"")</f>
        <v/>
      </c>
      <c r="D1335" s="5" t="str">
        <f>IF(NOT(ISBLANK(A1335)),VLOOKUP(A1335,'BBT3'!A:F,4,1),"")</f>
        <v/>
      </c>
      <c r="E1335" t="str">
        <f>IF(NOT(ISBLANK(A1335)),VLOOKUP(A1335,'BBT3'!A:F,5,0),"")</f>
        <v/>
      </c>
      <c r="F1335" t="str">
        <f>IF(NOT(ISBLANK(A1335)),VLOOKUP(A1335,'BBT3'!A:F,6,0),"")</f>
        <v/>
      </c>
      <c r="G1335" t="str">
        <f t="shared" si="191"/>
        <v/>
      </c>
      <c r="H1335" t="str">
        <f>IF(NOT(ISBLANK(A1335)),VLOOKUP(A1335,'Close - PriceSaver'!A:J,5,0),"")</f>
        <v/>
      </c>
      <c r="I1335" s="4" t="str" cm="1">
        <f t="array" ref="I1335">IF(NOT(ISBLANK(A1335)),((_xlfn.XLOOKUP(1,(_bbt3[[#All],[ID]]=A1335)*(_bbt3[[#All],[METRIC_NAME]]="YLD_YTM_ASK"),_bbt3[[#All],[METRIC_VALUE]])*0.5)+(_xlfn.XLOOKUP(1,(_bbt3[[#All],[ID]]=A1335)*(_bbt3[[#All],[METRIC_NAME]]="YLD_YTM_BID"),_bbt3[[#All],[METRIC_VALUE]])*0.5))/100,"")</f>
        <v/>
      </c>
      <c r="J1335">
        <f>IF(ISNA(VLOOKUP(A1335,'CloseDL - PriceSaverBBT3'!A:E,5,0)),0,VLOOKUP(A1335,'CloseDL - PriceSaverBBT3'!A:E,5,0))</f>
        <v>0</v>
      </c>
      <c r="K1335" s="7" t="str">
        <f t="shared" si="192"/>
        <v/>
      </c>
      <c r="L1335" s="20">
        <f>IF(Close[[#This Row],[CreatedBy]]="MARINER\SilverAdm",1,0)</f>
        <v>1</v>
      </c>
      <c r="M1335" t="str">
        <f>IF(NOT(ISBLANK(A1335)),VLOOKUP(A1335,'Close - PriceSaver'!A:J,6,0),"")</f>
        <v/>
      </c>
      <c r="Q1335" t="e">
        <f t="shared" si="193"/>
        <v>#N/A</v>
      </c>
      <c r="R1335" t="e">
        <f t="shared" si="194"/>
        <v>#N/A</v>
      </c>
      <c r="S1335" t="e">
        <f t="shared" si="195"/>
        <v>#N/A</v>
      </c>
      <c r="T1335" s="15" t="e">
        <f t="shared" si="197"/>
        <v>#N/A</v>
      </c>
      <c r="U1335" s="18" t="e">
        <f t="shared" si="198"/>
        <v>#N/A</v>
      </c>
      <c r="V1335" s="14" t="e">
        <f t="shared" si="196"/>
        <v>#N/A</v>
      </c>
      <c r="W1335" s="19" t="e">
        <f t="shared" si="199"/>
        <v>#N/A</v>
      </c>
      <c r="X1335" t="e">
        <f>VLOOKUP(P1335,Close[[ID]:[CreatedBy]],8,0)</f>
        <v>#N/A</v>
      </c>
    </row>
    <row r="1336" spans="2:24" x14ac:dyDescent="0.35">
      <c r="B1336" t="str">
        <f>IF(NOT(ISBLANK(A1336)),VLOOKUP(A1336,'BBT3'!A:F,2,0),"")</f>
        <v/>
      </c>
      <c r="C1336" t="str">
        <f>IF(NOT(ISBLANK(A1336)),VLOOKUP(A1336,'BBT3'!A:F,3,0),"")</f>
        <v/>
      </c>
      <c r="D1336" s="5" t="str">
        <f>IF(NOT(ISBLANK(A1336)),VLOOKUP(A1336,'BBT3'!A:F,4,1),"")</f>
        <v/>
      </c>
      <c r="E1336" t="str">
        <f>IF(NOT(ISBLANK(A1336)),VLOOKUP(A1336,'BBT3'!A:F,5,0),"")</f>
        <v/>
      </c>
      <c r="F1336" t="str">
        <f>IF(NOT(ISBLANK(A1336)),VLOOKUP(A1336,'BBT3'!A:F,6,0),"")</f>
        <v/>
      </c>
      <c r="G1336" t="str">
        <f t="shared" si="191"/>
        <v/>
      </c>
      <c r="H1336" t="str">
        <f>IF(NOT(ISBLANK(A1336)),VLOOKUP(A1336,'Close - PriceSaver'!A:J,5,0),"")</f>
        <v/>
      </c>
      <c r="I1336" s="4" t="str" cm="1">
        <f t="array" ref="I1336">IF(NOT(ISBLANK(A1336)),((_xlfn.XLOOKUP(1,(_bbt3[[#All],[ID]]=A1336)*(_bbt3[[#All],[METRIC_NAME]]="YLD_YTM_ASK"),_bbt3[[#All],[METRIC_VALUE]])*0.5)+(_xlfn.XLOOKUP(1,(_bbt3[[#All],[ID]]=A1336)*(_bbt3[[#All],[METRIC_NAME]]="YLD_YTM_BID"),_bbt3[[#All],[METRIC_VALUE]])*0.5))/100,"")</f>
        <v/>
      </c>
      <c r="J1336">
        <f>IF(ISNA(VLOOKUP(A1336,'CloseDL - PriceSaverBBT3'!A:E,5,0)),0,VLOOKUP(A1336,'CloseDL - PriceSaverBBT3'!A:E,5,0))</f>
        <v>0</v>
      </c>
      <c r="K1336" s="7" t="str">
        <f t="shared" si="192"/>
        <v/>
      </c>
      <c r="L1336" s="20">
        <f>IF(Close[[#This Row],[CreatedBy]]="MARINER\SilverAdm",1,0)</f>
        <v>1</v>
      </c>
      <c r="M1336" t="str">
        <f>IF(NOT(ISBLANK(A1336)),VLOOKUP(A1336,'Close - PriceSaver'!A:J,6,0),"")</f>
        <v/>
      </c>
      <c r="Q1336" t="e">
        <f t="shared" si="193"/>
        <v>#N/A</v>
      </c>
      <c r="R1336" t="e">
        <f t="shared" si="194"/>
        <v>#N/A</v>
      </c>
      <c r="S1336" t="e">
        <f t="shared" si="195"/>
        <v>#N/A</v>
      </c>
      <c r="T1336" s="15" t="e">
        <f t="shared" si="197"/>
        <v>#N/A</v>
      </c>
      <c r="U1336" s="18" t="e">
        <f t="shared" si="198"/>
        <v>#N/A</v>
      </c>
      <c r="V1336" s="14" t="e">
        <f t="shared" si="196"/>
        <v>#N/A</v>
      </c>
      <c r="W1336" s="19" t="e">
        <f t="shared" si="199"/>
        <v>#N/A</v>
      </c>
      <c r="X1336" t="e">
        <f>VLOOKUP(P1336,Close[[ID]:[CreatedBy]],8,0)</f>
        <v>#N/A</v>
      </c>
    </row>
    <row r="1337" spans="2:24" x14ac:dyDescent="0.35">
      <c r="B1337" t="str">
        <f>IF(NOT(ISBLANK(A1337)),VLOOKUP(A1337,'BBT3'!A:F,2,0),"")</f>
        <v/>
      </c>
      <c r="C1337" t="str">
        <f>IF(NOT(ISBLANK(A1337)),VLOOKUP(A1337,'BBT3'!A:F,3,0),"")</f>
        <v/>
      </c>
      <c r="D1337" s="5" t="str">
        <f>IF(NOT(ISBLANK(A1337)),VLOOKUP(A1337,'BBT3'!A:F,4,1),"")</f>
        <v/>
      </c>
      <c r="E1337" t="str">
        <f>IF(NOT(ISBLANK(A1337)),VLOOKUP(A1337,'BBT3'!A:F,5,0),"")</f>
        <v/>
      </c>
      <c r="F1337" t="str">
        <f>IF(NOT(ISBLANK(A1337)),VLOOKUP(A1337,'BBT3'!A:F,6,0),"")</f>
        <v/>
      </c>
      <c r="G1337" t="str">
        <f t="shared" si="191"/>
        <v/>
      </c>
      <c r="H1337" t="str">
        <f>IF(NOT(ISBLANK(A1337)),VLOOKUP(A1337,'Close - PriceSaver'!A:J,5,0),"")</f>
        <v/>
      </c>
      <c r="I1337" s="4" t="str" cm="1">
        <f t="array" ref="I1337">IF(NOT(ISBLANK(A1337)),((_xlfn.XLOOKUP(1,(_bbt3[[#All],[ID]]=A1337)*(_bbt3[[#All],[METRIC_NAME]]="YLD_YTM_ASK"),_bbt3[[#All],[METRIC_VALUE]])*0.5)+(_xlfn.XLOOKUP(1,(_bbt3[[#All],[ID]]=A1337)*(_bbt3[[#All],[METRIC_NAME]]="YLD_YTM_BID"),_bbt3[[#All],[METRIC_VALUE]])*0.5))/100,"")</f>
        <v/>
      </c>
      <c r="J1337">
        <f>IF(ISNA(VLOOKUP(A1337,'CloseDL - PriceSaverBBT3'!A:E,5,0)),0,VLOOKUP(A1337,'CloseDL - PriceSaverBBT3'!A:E,5,0))</f>
        <v>0</v>
      </c>
      <c r="K1337" s="7" t="str">
        <f t="shared" si="192"/>
        <v/>
      </c>
      <c r="L1337" s="20">
        <f>IF(Close[[#This Row],[CreatedBy]]="MARINER\SilverAdm",1,0)</f>
        <v>1</v>
      </c>
      <c r="M1337" t="str">
        <f>IF(NOT(ISBLANK(A1337)),VLOOKUP(A1337,'Close - PriceSaver'!A:J,6,0),"")</f>
        <v/>
      </c>
      <c r="Q1337" t="e">
        <f t="shared" si="193"/>
        <v>#N/A</v>
      </c>
      <c r="R1337" t="e">
        <f t="shared" si="194"/>
        <v>#N/A</v>
      </c>
      <c r="S1337" t="e">
        <f t="shared" si="195"/>
        <v>#N/A</v>
      </c>
      <c r="T1337" s="15" t="e">
        <f t="shared" si="197"/>
        <v>#N/A</v>
      </c>
      <c r="U1337" s="18" t="e">
        <f t="shared" si="198"/>
        <v>#N/A</v>
      </c>
      <c r="V1337" s="14" t="e">
        <f t="shared" si="196"/>
        <v>#N/A</v>
      </c>
      <c r="W1337" s="19" t="e">
        <f t="shared" si="199"/>
        <v>#N/A</v>
      </c>
      <c r="X1337" t="e">
        <f>VLOOKUP(P1337,Close[[ID]:[CreatedBy]],8,0)</f>
        <v>#N/A</v>
      </c>
    </row>
    <row r="1338" spans="2:24" x14ac:dyDescent="0.35">
      <c r="B1338" t="str">
        <f>IF(NOT(ISBLANK(A1338)),VLOOKUP(A1338,'BBT3'!A:F,2,0),"")</f>
        <v/>
      </c>
      <c r="C1338" t="str">
        <f>IF(NOT(ISBLANK(A1338)),VLOOKUP(A1338,'BBT3'!A:F,3,0),"")</f>
        <v/>
      </c>
      <c r="D1338" s="5" t="str">
        <f>IF(NOT(ISBLANK(A1338)),VLOOKUP(A1338,'BBT3'!A:F,4,1),"")</f>
        <v/>
      </c>
      <c r="E1338" t="str">
        <f>IF(NOT(ISBLANK(A1338)),VLOOKUP(A1338,'BBT3'!A:F,5,0),"")</f>
        <v/>
      </c>
      <c r="F1338" t="str">
        <f>IF(NOT(ISBLANK(A1338)),VLOOKUP(A1338,'BBT3'!A:F,6,0),"")</f>
        <v/>
      </c>
      <c r="G1338" t="str">
        <f t="shared" si="191"/>
        <v/>
      </c>
      <c r="H1338" t="str">
        <f>IF(NOT(ISBLANK(A1338)),VLOOKUP(A1338,'Close - PriceSaver'!A:J,5,0),"")</f>
        <v/>
      </c>
      <c r="I1338" s="4" t="str" cm="1">
        <f t="array" ref="I1338">IF(NOT(ISBLANK(A1338)),((_xlfn.XLOOKUP(1,(_bbt3[[#All],[ID]]=A1338)*(_bbt3[[#All],[METRIC_NAME]]="YLD_YTM_ASK"),_bbt3[[#All],[METRIC_VALUE]])*0.5)+(_xlfn.XLOOKUP(1,(_bbt3[[#All],[ID]]=A1338)*(_bbt3[[#All],[METRIC_NAME]]="YLD_YTM_BID"),_bbt3[[#All],[METRIC_VALUE]])*0.5))/100,"")</f>
        <v/>
      </c>
      <c r="J1338">
        <f>IF(ISNA(VLOOKUP(A1338,'CloseDL - PriceSaverBBT3'!A:E,5,0)),0,VLOOKUP(A1338,'CloseDL - PriceSaverBBT3'!A:E,5,0))</f>
        <v>0</v>
      </c>
      <c r="K1338" s="7" t="str">
        <f t="shared" si="192"/>
        <v/>
      </c>
      <c r="L1338" s="20">
        <f>IF(Close[[#This Row],[CreatedBy]]="MARINER\SilverAdm",1,0)</f>
        <v>1</v>
      </c>
      <c r="M1338" t="str">
        <f>IF(NOT(ISBLANK(A1338)),VLOOKUP(A1338,'Close - PriceSaver'!A:J,6,0),"")</f>
        <v/>
      </c>
      <c r="Q1338" t="e">
        <f t="shared" si="193"/>
        <v>#N/A</v>
      </c>
      <c r="R1338" t="e">
        <f t="shared" si="194"/>
        <v>#N/A</v>
      </c>
      <c r="S1338" t="e">
        <f t="shared" si="195"/>
        <v>#N/A</v>
      </c>
      <c r="T1338" s="15" t="e">
        <f t="shared" si="197"/>
        <v>#N/A</v>
      </c>
      <c r="U1338" s="18" t="e">
        <f t="shared" si="198"/>
        <v>#N/A</v>
      </c>
      <c r="V1338" s="14" t="e">
        <f t="shared" si="196"/>
        <v>#N/A</v>
      </c>
      <c r="W1338" s="19" t="e">
        <f t="shared" si="199"/>
        <v>#N/A</v>
      </c>
      <c r="X1338" t="e">
        <f>VLOOKUP(P1338,Close[[ID]:[CreatedBy]],8,0)</f>
        <v>#N/A</v>
      </c>
    </row>
    <row r="1339" spans="2:24" x14ac:dyDescent="0.35">
      <c r="B1339" t="str">
        <f>IF(NOT(ISBLANK(A1339)),VLOOKUP(A1339,'BBT3'!A:F,2,0),"")</f>
        <v/>
      </c>
      <c r="C1339" t="str">
        <f>IF(NOT(ISBLANK(A1339)),VLOOKUP(A1339,'BBT3'!A:F,3,0),"")</f>
        <v/>
      </c>
      <c r="D1339" s="5" t="str">
        <f>IF(NOT(ISBLANK(A1339)),VLOOKUP(A1339,'BBT3'!A:F,4,1),"")</f>
        <v/>
      </c>
      <c r="E1339" t="str">
        <f>IF(NOT(ISBLANK(A1339)),VLOOKUP(A1339,'BBT3'!A:F,5,0),"")</f>
        <v/>
      </c>
      <c r="F1339" t="str">
        <f>IF(NOT(ISBLANK(A1339)),VLOOKUP(A1339,'BBT3'!A:F,6,0),"")</f>
        <v/>
      </c>
      <c r="G1339" t="str">
        <f t="shared" si="191"/>
        <v/>
      </c>
      <c r="H1339" t="str">
        <f>IF(NOT(ISBLANK(A1339)),VLOOKUP(A1339,'Close - PriceSaver'!A:J,5,0),"")</f>
        <v/>
      </c>
      <c r="I1339" s="4" t="str" cm="1">
        <f t="array" ref="I1339">IF(NOT(ISBLANK(A1339)),((_xlfn.XLOOKUP(1,(_bbt3[[#All],[ID]]=A1339)*(_bbt3[[#All],[METRIC_NAME]]="YLD_YTM_ASK"),_bbt3[[#All],[METRIC_VALUE]])*0.5)+(_xlfn.XLOOKUP(1,(_bbt3[[#All],[ID]]=A1339)*(_bbt3[[#All],[METRIC_NAME]]="YLD_YTM_BID"),_bbt3[[#All],[METRIC_VALUE]])*0.5))/100,"")</f>
        <v/>
      </c>
      <c r="J1339">
        <f>IF(ISNA(VLOOKUP(A1339,'CloseDL - PriceSaverBBT3'!A:E,5,0)),0,VLOOKUP(A1339,'CloseDL - PriceSaverBBT3'!A:E,5,0))</f>
        <v>0</v>
      </c>
      <c r="K1339" s="7" t="str">
        <f t="shared" si="192"/>
        <v/>
      </c>
      <c r="L1339" s="20">
        <f>IF(Close[[#This Row],[CreatedBy]]="MARINER\SilverAdm",1,0)</f>
        <v>1</v>
      </c>
      <c r="M1339" t="str">
        <f>IF(NOT(ISBLANK(A1339)),VLOOKUP(A1339,'Close - PriceSaver'!A:J,6,0),"")</f>
        <v/>
      </c>
      <c r="Q1339" t="e">
        <f t="shared" si="193"/>
        <v>#N/A</v>
      </c>
      <c r="R1339" t="e">
        <f t="shared" si="194"/>
        <v>#N/A</v>
      </c>
      <c r="S1339" t="e">
        <f t="shared" si="195"/>
        <v>#N/A</v>
      </c>
      <c r="T1339" s="15" t="e">
        <f t="shared" si="197"/>
        <v>#N/A</v>
      </c>
      <c r="U1339" s="18" t="e">
        <f t="shared" si="198"/>
        <v>#N/A</v>
      </c>
      <c r="V1339" s="14" t="e">
        <f t="shared" si="196"/>
        <v>#N/A</v>
      </c>
      <c r="W1339" s="19" t="e">
        <f t="shared" si="199"/>
        <v>#N/A</v>
      </c>
      <c r="X1339" t="e">
        <f>VLOOKUP(P1339,Close[[ID]:[CreatedBy]],8,0)</f>
        <v>#N/A</v>
      </c>
    </row>
    <row r="1340" spans="2:24" x14ac:dyDescent="0.35">
      <c r="B1340" t="str">
        <f>IF(NOT(ISBLANK(A1340)),VLOOKUP(A1340,'BBT3'!A:F,2,0),"")</f>
        <v/>
      </c>
      <c r="C1340" t="str">
        <f>IF(NOT(ISBLANK(A1340)),VLOOKUP(A1340,'BBT3'!A:F,3,0),"")</f>
        <v/>
      </c>
      <c r="D1340" s="5" t="str">
        <f>IF(NOT(ISBLANK(A1340)),VLOOKUP(A1340,'BBT3'!A:F,4,1),"")</f>
        <v/>
      </c>
      <c r="E1340" t="str">
        <f>IF(NOT(ISBLANK(A1340)),VLOOKUP(A1340,'BBT3'!A:F,5,0),"")</f>
        <v/>
      </c>
      <c r="F1340" t="str">
        <f>IF(NOT(ISBLANK(A1340)),VLOOKUP(A1340,'BBT3'!A:F,6,0),"")</f>
        <v/>
      </c>
      <c r="G1340" t="str">
        <f t="shared" si="191"/>
        <v/>
      </c>
      <c r="H1340" t="str">
        <f>IF(NOT(ISBLANK(A1340)),VLOOKUP(A1340,'Close - PriceSaver'!A:J,5,0),"")</f>
        <v/>
      </c>
      <c r="I1340" s="4" t="str" cm="1">
        <f t="array" ref="I1340">IF(NOT(ISBLANK(A1340)),((_xlfn.XLOOKUP(1,(_bbt3[[#All],[ID]]=A1340)*(_bbt3[[#All],[METRIC_NAME]]="YLD_YTM_ASK"),_bbt3[[#All],[METRIC_VALUE]])*0.5)+(_xlfn.XLOOKUP(1,(_bbt3[[#All],[ID]]=A1340)*(_bbt3[[#All],[METRIC_NAME]]="YLD_YTM_BID"),_bbt3[[#All],[METRIC_VALUE]])*0.5))/100,"")</f>
        <v/>
      </c>
      <c r="J1340">
        <f>IF(ISNA(VLOOKUP(A1340,'CloseDL - PriceSaverBBT3'!A:E,5,0)),0,VLOOKUP(A1340,'CloseDL - PriceSaverBBT3'!A:E,5,0))</f>
        <v>0</v>
      </c>
      <c r="K1340" s="7" t="str">
        <f t="shared" si="192"/>
        <v/>
      </c>
      <c r="L1340" s="20">
        <f>IF(Close[[#This Row],[CreatedBy]]="MARINER\SilverAdm",1,0)</f>
        <v>1</v>
      </c>
      <c r="M1340" t="str">
        <f>IF(NOT(ISBLANK(A1340)),VLOOKUP(A1340,'Close - PriceSaver'!A:J,6,0),"")</f>
        <v/>
      </c>
      <c r="Q1340" t="e">
        <f t="shared" si="193"/>
        <v>#N/A</v>
      </c>
      <c r="R1340" t="e">
        <f t="shared" si="194"/>
        <v>#N/A</v>
      </c>
      <c r="S1340" t="e">
        <f t="shared" si="195"/>
        <v>#N/A</v>
      </c>
      <c r="T1340" s="15" t="e">
        <f t="shared" si="197"/>
        <v>#N/A</v>
      </c>
      <c r="U1340" s="18" t="e">
        <f t="shared" si="198"/>
        <v>#N/A</v>
      </c>
      <c r="V1340" s="14" t="e">
        <f t="shared" si="196"/>
        <v>#N/A</v>
      </c>
      <c r="W1340" s="19" t="e">
        <f t="shared" si="199"/>
        <v>#N/A</v>
      </c>
      <c r="X1340" t="e">
        <f>VLOOKUP(P1340,Close[[ID]:[CreatedBy]],8,0)</f>
        <v>#N/A</v>
      </c>
    </row>
    <row r="1341" spans="2:24" x14ac:dyDescent="0.35">
      <c r="B1341" t="str">
        <f>IF(NOT(ISBLANK(A1341)),VLOOKUP(A1341,'BBT3'!A:F,2,0),"")</f>
        <v/>
      </c>
      <c r="C1341" t="str">
        <f>IF(NOT(ISBLANK(A1341)),VLOOKUP(A1341,'BBT3'!A:F,3,0),"")</f>
        <v/>
      </c>
      <c r="D1341" s="5" t="str">
        <f>IF(NOT(ISBLANK(A1341)),VLOOKUP(A1341,'BBT3'!A:F,4,1),"")</f>
        <v/>
      </c>
      <c r="E1341" t="str">
        <f>IF(NOT(ISBLANK(A1341)),VLOOKUP(A1341,'BBT3'!A:F,5,0),"")</f>
        <v/>
      </c>
      <c r="F1341" t="str">
        <f>IF(NOT(ISBLANK(A1341)),VLOOKUP(A1341,'BBT3'!A:F,6,0),"")</f>
        <v/>
      </c>
      <c r="G1341" t="str">
        <f t="shared" si="191"/>
        <v/>
      </c>
      <c r="H1341" t="str">
        <f>IF(NOT(ISBLANK(A1341)),VLOOKUP(A1341,'Close - PriceSaver'!A:J,5,0),"")</f>
        <v/>
      </c>
      <c r="I1341" s="4" t="str" cm="1">
        <f t="array" ref="I1341">IF(NOT(ISBLANK(A1341)),((_xlfn.XLOOKUP(1,(_bbt3[[#All],[ID]]=A1341)*(_bbt3[[#All],[METRIC_NAME]]="YLD_YTM_ASK"),_bbt3[[#All],[METRIC_VALUE]])*0.5)+(_xlfn.XLOOKUP(1,(_bbt3[[#All],[ID]]=A1341)*(_bbt3[[#All],[METRIC_NAME]]="YLD_YTM_BID"),_bbt3[[#All],[METRIC_VALUE]])*0.5))/100,"")</f>
        <v/>
      </c>
      <c r="J1341">
        <f>IF(ISNA(VLOOKUP(A1341,'CloseDL - PriceSaverBBT3'!A:E,5,0)),0,VLOOKUP(A1341,'CloseDL - PriceSaverBBT3'!A:E,5,0))</f>
        <v>0</v>
      </c>
      <c r="K1341" s="7" t="str">
        <f t="shared" si="192"/>
        <v/>
      </c>
      <c r="L1341" s="20">
        <f>IF(Close[[#This Row],[CreatedBy]]="MARINER\SilverAdm",1,0)</f>
        <v>1</v>
      </c>
      <c r="M1341" t="str">
        <f>IF(NOT(ISBLANK(A1341)),VLOOKUP(A1341,'Close - PriceSaver'!A:J,6,0),"")</f>
        <v/>
      </c>
      <c r="Q1341" t="e">
        <f t="shared" si="193"/>
        <v>#N/A</v>
      </c>
      <c r="R1341" t="e">
        <f t="shared" si="194"/>
        <v>#N/A</v>
      </c>
      <c r="S1341" t="e">
        <f t="shared" si="195"/>
        <v>#N/A</v>
      </c>
      <c r="T1341" s="15" t="e">
        <f t="shared" si="197"/>
        <v>#N/A</v>
      </c>
      <c r="U1341" s="18" t="e">
        <f t="shared" si="198"/>
        <v>#N/A</v>
      </c>
      <c r="V1341" s="14" t="e">
        <f t="shared" si="196"/>
        <v>#N/A</v>
      </c>
      <c r="W1341" s="19" t="e">
        <f t="shared" si="199"/>
        <v>#N/A</v>
      </c>
      <c r="X1341" t="e">
        <f>VLOOKUP(P1341,Close[[ID]:[CreatedBy]],8,0)</f>
        <v>#N/A</v>
      </c>
    </row>
    <row r="1342" spans="2:24" x14ac:dyDescent="0.35">
      <c r="B1342" t="str">
        <f>IF(NOT(ISBLANK(A1342)),VLOOKUP(A1342,'BBT3'!A:F,2,0),"")</f>
        <v/>
      </c>
      <c r="C1342" t="str">
        <f>IF(NOT(ISBLANK(A1342)),VLOOKUP(A1342,'BBT3'!A:F,3,0),"")</f>
        <v/>
      </c>
      <c r="D1342" s="5" t="str">
        <f>IF(NOT(ISBLANK(A1342)),VLOOKUP(A1342,'BBT3'!A:F,4,1),"")</f>
        <v/>
      </c>
      <c r="E1342" t="str">
        <f>IF(NOT(ISBLANK(A1342)),VLOOKUP(A1342,'BBT3'!A:F,5,0),"")</f>
        <v/>
      </c>
      <c r="F1342" t="str">
        <f>IF(NOT(ISBLANK(A1342)),VLOOKUP(A1342,'BBT3'!A:F,6,0),"")</f>
        <v/>
      </c>
      <c r="G1342" t="str">
        <f t="shared" si="191"/>
        <v/>
      </c>
      <c r="H1342" t="str">
        <f>IF(NOT(ISBLANK(A1342)),VLOOKUP(A1342,'Close - PriceSaver'!A:J,5,0),"")</f>
        <v/>
      </c>
      <c r="I1342" s="4" t="str" cm="1">
        <f t="array" ref="I1342">IF(NOT(ISBLANK(A1342)),((_xlfn.XLOOKUP(1,(_bbt3[[#All],[ID]]=A1342)*(_bbt3[[#All],[METRIC_NAME]]="YLD_YTM_ASK"),_bbt3[[#All],[METRIC_VALUE]])*0.5)+(_xlfn.XLOOKUP(1,(_bbt3[[#All],[ID]]=A1342)*(_bbt3[[#All],[METRIC_NAME]]="YLD_YTM_BID"),_bbt3[[#All],[METRIC_VALUE]])*0.5))/100,"")</f>
        <v/>
      </c>
      <c r="J1342">
        <f>IF(ISNA(VLOOKUP(A1342,'CloseDL - PriceSaverBBT3'!A:E,5,0)),0,VLOOKUP(A1342,'CloseDL - PriceSaverBBT3'!A:E,5,0))</f>
        <v>0</v>
      </c>
      <c r="K1342" s="7" t="str">
        <f t="shared" si="192"/>
        <v/>
      </c>
      <c r="L1342" s="20">
        <f>IF(Close[[#This Row],[CreatedBy]]="MARINER\SilverAdm",1,0)</f>
        <v>1</v>
      </c>
      <c r="M1342" t="str">
        <f>IF(NOT(ISBLANK(A1342)),VLOOKUP(A1342,'Close - PriceSaver'!A:J,6,0),"")</f>
        <v/>
      </c>
      <c r="Q1342" t="e">
        <f t="shared" si="193"/>
        <v>#N/A</v>
      </c>
      <c r="R1342" t="e">
        <f t="shared" si="194"/>
        <v>#N/A</v>
      </c>
      <c r="S1342" t="e">
        <f t="shared" si="195"/>
        <v>#N/A</v>
      </c>
      <c r="T1342" s="15" t="e">
        <f t="shared" si="197"/>
        <v>#N/A</v>
      </c>
      <c r="U1342" s="18" t="e">
        <f t="shared" si="198"/>
        <v>#N/A</v>
      </c>
      <c r="V1342" s="14" t="e">
        <f t="shared" si="196"/>
        <v>#N/A</v>
      </c>
      <c r="W1342" s="19" t="e">
        <f t="shared" si="199"/>
        <v>#N/A</v>
      </c>
      <c r="X1342" t="e">
        <f>VLOOKUP(P1342,Close[[ID]:[CreatedBy]],8,0)</f>
        <v>#N/A</v>
      </c>
    </row>
    <row r="1343" spans="2:24" x14ac:dyDescent="0.35">
      <c r="B1343" t="str">
        <f>IF(NOT(ISBLANK(A1343)),VLOOKUP(A1343,'BBT3'!A:F,2,0),"")</f>
        <v/>
      </c>
      <c r="C1343" t="str">
        <f>IF(NOT(ISBLANK(A1343)),VLOOKUP(A1343,'BBT3'!A:F,3,0),"")</f>
        <v/>
      </c>
      <c r="D1343" s="5" t="str">
        <f>IF(NOT(ISBLANK(A1343)),VLOOKUP(A1343,'BBT3'!A:F,4,1),"")</f>
        <v/>
      </c>
      <c r="E1343" t="str">
        <f>IF(NOT(ISBLANK(A1343)),VLOOKUP(A1343,'BBT3'!A:F,5,0),"")</f>
        <v/>
      </c>
      <c r="F1343" t="str">
        <f>IF(NOT(ISBLANK(A1343)),VLOOKUP(A1343,'BBT3'!A:F,6,0),"")</f>
        <v/>
      </c>
      <c r="G1343" t="str">
        <f t="shared" si="191"/>
        <v/>
      </c>
      <c r="H1343" t="str">
        <f>IF(NOT(ISBLANK(A1343)),VLOOKUP(A1343,'Close - PriceSaver'!A:J,5,0),"")</f>
        <v/>
      </c>
      <c r="I1343" s="4" t="str" cm="1">
        <f t="array" ref="I1343">IF(NOT(ISBLANK(A1343)),((_xlfn.XLOOKUP(1,(_bbt3[[#All],[ID]]=A1343)*(_bbt3[[#All],[METRIC_NAME]]="YLD_YTM_ASK"),_bbt3[[#All],[METRIC_VALUE]])*0.5)+(_xlfn.XLOOKUP(1,(_bbt3[[#All],[ID]]=A1343)*(_bbt3[[#All],[METRIC_NAME]]="YLD_YTM_BID"),_bbt3[[#All],[METRIC_VALUE]])*0.5))/100,"")</f>
        <v/>
      </c>
      <c r="J1343">
        <f>IF(ISNA(VLOOKUP(A1343,'CloseDL - PriceSaverBBT3'!A:E,5,0)),0,VLOOKUP(A1343,'CloseDL - PriceSaverBBT3'!A:E,5,0))</f>
        <v>0</v>
      </c>
      <c r="K1343" s="7" t="str">
        <f t="shared" si="192"/>
        <v/>
      </c>
      <c r="L1343" s="20">
        <f>IF(Close[[#This Row],[CreatedBy]]="MARINER\SilverAdm",1,0)</f>
        <v>1</v>
      </c>
      <c r="M1343" t="str">
        <f>IF(NOT(ISBLANK(A1343)),VLOOKUP(A1343,'Close - PriceSaver'!A:J,6,0),"")</f>
        <v/>
      </c>
      <c r="Q1343" t="e">
        <f t="shared" si="193"/>
        <v>#N/A</v>
      </c>
      <c r="R1343" t="e">
        <f t="shared" si="194"/>
        <v>#N/A</v>
      </c>
      <c r="S1343" t="e">
        <f t="shared" si="195"/>
        <v>#N/A</v>
      </c>
      <c r="T1343" s="15" t="e">
        <f t="shared" si="197"/>
        <v>#N/A</v>
      </c>
      <c r="U1343" s="18" t="e">
        <f t="shared" si="198"/>
        <v>#N/A</v>
      </c>
      <c r="V1343" s="14" t="e">
        <f t="shared" si="196"/>
        <v>#N/A</v>
      </c>
      <c r="W1343" s="19" t="e">
        <f t="shared" si="199"/>
        <v>#N/A</v>
      </c>
      <c r="X1343" t="e">
        <f>VLOOKUP(P1343,Close[[ID]:[CreatedBy]],8,0)</f>
        <v>#N/A</v>
      </c>
    </row>
    <row r="1344" spans="2:24" x14ac:dyDescent="0.35">
      <c r="B1344" t="str">
        <f>IF(NOT(ISBLANK(A1344)),VLOOKUP(A1344,'BBT3'!A:F,2,0),"")</f>
        <v/>
      </c>
      <c r="C1344" t="str">
        <f>IF(NOT(ISBLANK(A1344)),VLOOKUP(A1344,'BBT3'!A:F,3,0),"")</f>
        <v/>
      </c>
      <c r="D1344" s="5" t="str">
        <f>IF(NOT(ISBLANK(A1344)),VLOOKUP(A1344,'BBT3'!A:F,4,1),"")</f>
        <v/>
      </c>
      <c r="E1344" t="str">
        <f>IF(NOT(ISBLANK(A1344)),VLOOKUP(A1344,'BBT3'!A:F,5,0),"")</f>
        <v/>
      </c>
      <c r="F1344" t="str">
        <f>IF(NOT(ISBLANK(A1344)),VLOOKUP(A1344,'BBT3'!A:F,6,0),"")</f>
        <v/>
      </c>
      <c r="G1344" t="str">
        <f t="shared" si="191"/>
        <v/>
      </c>
      <c r="H1344" t="str">
        <f>IF(NOT(ISBLANK(A1344)),VLOOKUP(A1344,'Close - PriceSaver'!A:J,5,0),"")</f>
        <v/>
      </c>
      <c r="I1344" s="4" t="str" cm="1">
        <f t="array" ref="I1344">IF(NOT(ISBLANK(A1344)),((_xlfn.XLOOKUP(1,(_bbt3[[#All],[ID]]=A1344)*(_bbt3[[#All],[METRIC_NAME]]="YLD_YTM_ASK"),_bbt3[[#All],[METRIC_VALUE]])*0.5)+(_xlfn.XLOOKUP(1,(_bbt3[[#All],[ID]]=A1344)*(_bbt3[[#All],[METRIC_NAME]]="YLD_YTM_BID"),_bbt3[[#All],[METRIC_VALUE]])*0.5))/100,"")</f>
        <v/>
      </c>
      <c r="J1344">
        <f>IF(ISNA(VLOOKUP(A1344,'CloseDL - PriceSaverBBT3'!A:E,5,0)),0,VLOOKUP(A1344,'CloseDL - PriceSaverBBT3'!A:E,5,0))</f>
        <v>0</v>
      </c>
      <c r="K1344" s="7" t="str">
        <f t="shared" si="192"/>
        <v/>
      </c>
      <c r="L1344" s="20">
        <f>IF(Close[[#This Row],[CreatedBy]]="MARINER\SilverAdm",1,0)</f>
        <v>1</v>
      </c>
      <c r="M1344" t="str">
        <f>IF(NOT(ISBLANK(A1344)),VLOOKUP(A1344,'Close - PriceSaver'!A:J,6,0),"")</f>
        <v/>
      </c>
      <c r="Q1344" t="e">
        <f t="shared" si="193"/>
        <v>#N/A</v>
      </c>
      <c r="R1344" t="e">
        <f t="shared" si="194"/>
        <v>#N/A</v>
      </c>
      <c r="S1344" t="e">
        <f t="shared" si="195"/>
        <v>#N/A</v>
      </c>
      <c r="T1344" s="15" t="e">
        <f t="shared" si="197"/>
        <v>#N/A</v>
      </c>
      <c r="U1344" s="18" t="e">
        <f t="shared" si="198"/>
        <v>#N/A</v>
      </c>
      <c r="V1344" s="14" t="e">
        <f t="shared" si="196"/>
        <v>#N/A</v>
      </c>
      <c r="W1344" s="19" t="e">
        <f t="shared" si="199"/>
        <v>#N/A</v>
      </c>
      <c r="X1344" t="e">
        <f>VLOOKUP(P1344,Close[[ID]:[CreatedBy]],8,0)</f>
        <v>#N/A</v>
      </c>
    </row>
    <row r="1345" spans="2:24" x14ac:dyDescent="0.35">
      <c r="B1345" t="str">
        <f>IF(NOT(ISBLANK(A1345)),VLOOKUP(A1345,'BBT3'!A:F,2,0),"")</f>
        <v/>
      </c>
      <c r="C1345" t="str">
        <f>IF(NOT(ISBLANK(A1345)),VLOOKUP(A1345,'BBT3'!A:F,3,0),"")</f>
        <v/>
      </c>
      <c r="D1345" s="5" t="str">
        <f>IF(NOT(ISBLANK(A1345)),VLOOKUP(A1345,'BBT3'!A:F,4,1),"")</f>
        <v/>
      </c>
      <c r="E1345" t="str">
        <f>IF(NOT(ISBLANK(A1345)),VLOOKUP(A1345,'BBT3'!A:F,5,0),"")</f>
        <v/>
      </c>
      <c r="F1345" t="str">
        <f>IF(NOT(ISBLANK(A1345)),VLOOKUP(A1345,'BBT3'!A:F,6,0),"")</f>
        <v/>
      </c>
      <c r="G1345" t="str">
        <f t="shared" si="191"/>
        <v/>
      </c>
      <c r="H1345" t="str">
        <f>IF(NOT(ISBLANK(A1345)),VLOOKUP(A1345,'Close - PriceSaver'!A:J,5,0),"")</f>
        <v/>
      </c>
      <c r="I1345" s="4" t="str" cm="1">
        <f t="array" ref="I1345">IF(NOT(ISBLANK(A1345)),((_xlfn.XLOOKUP(1,(_bbt3[[#All],[ID]]=A1345)*(_bbt3[[#All],[METRIC_NAME]]="YLD_YTM_ASK"),_bbt3[[#All],[METRIC_VALUE]])*0.5)+(_xlfn.XLOOKUP(1,(_bbt3[[#All],[ID]]=A1345)*(_bbt3[[#All],[METRIC_NAME]]="YLD_YTM_BID"),_bbt3[[#All],[METRIC_VALUE]])*0.5))/100,"")</f>
        <v/>
      </c>
      <c r="J1345">
        <f>IF(ISNA(VLOOKUP(A1345,'CloseDL - PriceSaverBBT3'!A:E,5,0)),0,VLOOKUP(A1345,'CloseDL - PriceSaverBBT3'!A:E,5,0))</f>
        <v>0</v>
      </c>
      <c r="K1345" s="7" t="str">
        <f t="shared" si="192"/>
        <v/>
      </c>
      <c r="L1345" s="20">
        <f>IF(Close[[#This Row],[CreatedBy]]="MARINER\SilverAdm",1,0)</f>
        <v>1</v>
      </c>
      <c r="M1345" t="str">
        <f>IF(NOT(ISBLANK(A1345)),VLOOKUP(A1345,'Close - PriceSaver'!A:J,6,0),"")</f>
        <v/>
      </c>
      <c r="Q1345" t="e">
        <f t="shared" si="193"/>
        <v>#N/A</v>
      </c>
      <c r="R1345" t="e">
        <f t="shared" si="194"/>
        <v>#N/A</v>
      </c>
      <c r="S1345" t="e">
        <f t="shared" si="195"/>
        <v>#N/A</v>
      </c>
      <c r="T1345" s="15" t="e">
        <f t="shared" si="197"/>
        <v>#N/A</v>
      </c>
      <c r="U1345" s="18" t="e">
        <f t="shared" si="198"/>
        <v>#N/A</v>
      </c>
      <c r="V1345" s="14" t="e">
        <f t="shared" si="196"/>
        <v>#N/A</v>
      </c>
      <c r="W1345" s="19" t="e">
        <f t="shared" si="199"/>
        <v>#N/A</v>
      </c>
      <c r="X1345" t="e">
        <f>VLOOKUP(P1345,Close[[ID]:[CreatedBy]],8,0)</f>
        <v>#N/A</v>
      </c>
    </row>
    <row r="1346" spans="2:24" x14ac:dyDescent="0.35">
      <c r="B1346" t="str">
        <f>IF(NOT(ISBLANK(A1346)),VLOOKUP(A1346,'BBT3'!A:F,2,0),"")</f>
        <v/>
      </c>
      <c r="C1346" t="str">
        <f>IF(NOT(ISBLANK(A1346)),VLOOKUP(A1346,'BBT3'!A:F,3,0),"")</f>
        <v/>
      </c>
      <c r="D1346" s="5" t="str">
        <f>IF(NOT(ISBLANK(A1346)),VLOOKUP(A1346,'BBT3'!A:F,4,1),"")</f>
        <v/>
      </c>
      <c r="E1346" t="str">
        <f>IF(NOT(ISBLANK(A1346)),VLOOKUP(A1346,'BBT3'!A:F,5,0),"")</f>
        <v/>
      </c>
      <c r="F1346" t="str">
        <f>IF(NOT(ISBLANK(A1346)),VLOOKUP(A1346,'BBT3'!A:F,6,0),"")</f>
        <v/>
      </c>
      <c r="G1346" t="str">
        <f t="shared" si="191"/>
        <v/>
      </c>
      <c r="H1346" t="str">
        <f>IF(NOT(ISBLANK(A1346)),VLOOKUP(A1346,'Close - PriceSaver'!A:J,5,0),"")</f>
        <v/>
      </c>
      <c r="I1346" s="4" t="str" cm="1">
        <f t="array" ref="I1346">IF(NOT(ISBLANK(A1346)),((_xlfn.XLOOKUP(1,(_bbt3[[#All],[ID]]=A1346)*(_bbt3[[#All],[METRIC_NAME]]="YLD_YTM_ASK"),_bbt3[[#All],[METRIC_VALUE]])*0.5)+(_xlfn.XLOOKUP(1,(_bbt3[[#All],[ID]]=A1346)*(_bbt3[[#All],[METRIC_NAME]]="YLD_YTM_BID"),_bbt3[[#All],[METRIC_VALUE]])*0.5))/100,"")</f>
        <v/>
      </c>
      <c r="J1346">
        <f>IF(ISNA(VLOOKUP(A1346,'CloseDL - PriceSaverBBT3'!A:E,5,0)),0,VLOOKUP(A1346,'CloseDL - PriceSaverBBT3'!A:E,5,0))</f>
        <v>0</v>
      </c>
      <c r="K1346" s="7" t="str">
        <f t="shared" si="192"/>
        <v/>
      </c>
      <c r="L1346" s="20">
        <f>IF(Close[[#This Row],[CreatedBy]]="MARINER\SilverAdm",1,0)</f>
        <v>1</v>
      </c>
      <c r="M1346" t="str">
        <f>IF(NOT(ISBLANK(A1346)),VLOOKUP(A1346,'Close - PriceSaver'!A:J,6,0),"")</f>
        <v/>
      </c>
      <c r="Q1346" t="e">
        <f t="shared" si="193"/>
        <v>#N/A</v>
      </c>
      <c r="R1346" t="e">
        <f t="shared" si="194"/>
        <v>#N/A</v>
      </c>
      <c r="S1346" t="e">
        <f t="shared" si="195"/>
        <v>#N/A</v>
      </c>
      <c r="T1346" s="15" t="e">
        <f t="shared" si="197"/>
        <v>#N/A</v>
      </c>
      <c r="U1346" s="18" t="e">
        <f t="shared" si="198"/>
        <v>#N/A</v>
      </c>
      <c r="V1346" s="14" t="e">
        <f t="shared" si="196"/>
        <v>#N/A</v>
      </c>
      <c r="W1346" s="19" t="e">
        <f t="shared" si="199"/>
        <v>#N/A</v>
      </c>
      <c r="X1346" t="e">
        <f>VLOOKUP(P1346,Close[[ID]:[CreatedBy]],8,0)</f>
        <v>#N/A</v>
      </c>
    </row>
    <row r="1347" spans="2:24" x14ac:dyDescent="0.35">
      <c r="B1347" t="str">
        <f>IF(NOT(ISBLANK(A1347)),VLOOKUP(A1347,'BBT3'!A:F,2,0),"")</f>
        <v/>
      </c>
      <c r="C1347" t="str">
        <f>IF(NOT(ISBLANK(A1347)),VLOOKUP(A1347,'BBT3'!A:F,3,0),"")</f>
        <v/>
      </c>
      <c r="D1347" s="5" t="str">
        <f>IF(NOT(ISBLANK(A1347)),VLOOKUP(A1347,'BBT3'!A:F,4,1),"")</f>
        <v/>
      </c>
      <c r="E1347" t="str">
        <f>IF(NOT(ISBLANK(A1347)),VLOOKUP(A1347,'BBT3'!A:F,5,0),"")</f>
        <v/>
      </c>
      <c r="F1347" t="str">
        <f>IF(NOT(ISBLANK(A1347)),VLOOKUP(A1347,'BBT3'!A:F,6,0),"")</f>
        <v/>
      </c>
      <c r="G1347" t="str">
        <f t="shared" ref="G1347:G1410" si="200">IF(NOT(ISBLANK(A1347)),IF(D1347=0,"Y","N"),"")</f>
        <v/>
      </c>
      <c r="H1347" t="str">
        <f>IF(NOT(ISBLANK(A1347)),VLOOKUP(A1347,'Close - PriceSaver'!A:J,5,0),"")</f>
        <v/>
      </c>
      <c r="I1347" s="4" t="str" cm="1">
        <f t="array" ref="I1347">IF(NOT(ISBLANK(A1347)),((_xlfn.XLOOKUP(1,(_bbt3[[#All],[ID]]=A1347)*(_bbt3[[#All],[METRIC_NAME]]="YLD_YTM_ASK"),_bbt3[[#All],[METRIC_VALUE]])*0.5)+(_xlfn.XLOOKUP(1,(_bbt3[[#All],[ID]]=A1347)*(_bbt3[[#All],[METRIC_NAME]]="YLD_YTM_BID"),_bbt3[[#All],[METRIC_VALUE]])*0.5))/100,"")</f>
        <v/>
      </c>
      <c r="J1347">
        <f>IF(ISNA(VLOOKUP(A1347,'CloseDL - PriceSaverBBT3'!A:E,5,0)),0,VLOOKUP(A1347,'CloseDL - PriceSaverBBT3'!A:E,5,0))</f>
        <v>0</v>
      </c>
      <c r="K1347" s="7" t="str">
        <f t="shared" ref="K1347:K1410" si="201">IF(ISNA(IF(NOT(ISBLANK(A1347)),ABS(H1347-J1347),"")),0,(IF(NOT(ISBLANK(A1347)),ABS(H1347-J1347)*10000,"")))</f>
        <v/>
      </c>
      <c r="L1347" s="20">
        <f>IF(Close[[#This Row],[CreatedBy]]="MARINER\SilverAdm",1,0)</f>
        <v>1</v>
      </c>
      <c r="M1347" t="str">
        <f>IF(NOT(ISBLANK(A1347)),VLOOKUP(A1347,'Close - PriceSaver'!A:J,6,0),"")</f>
        <v/>
      </c>
      <c r="Q1347" t="e">
        <f t="shared" si="193"/>
        <v>#N/A</v>
      </c>
      <c r="R1347" t="e">
        <f t="shared" si="194"/>
        <v>#N/A</v>
      </c>
      <c r="S1347" t="e">
        <f t="shared" si="195"/>
        <v>#N/A</v>
      </c>
      <c r="T1347" s="15" t="e">
        <f t="shared" si="197"/>
        <v>#N/A</v>
      </c>
      <c r="U1347" s="18" t="e">
        <f t="shared" si="198"/>
        <v>#N/A</v>
      </c>
      <c r="V1347" s="14" t="e">
        <f t="shared" si="196"/>
        <v>#N/A</v>
      </c>
      <c r="W1347" s="19" t="e">
        <f t="shared" si="199"/>
        <v>#N/A</v>
      </c>
      <c r="X1347" t="e">
        <f>VLOOKUP(P1347,Close[[ID]:[CreatedBy]],8,0)</f>
        <v>#N/A</v>
      </c>
    </row>
    <row r="1348" spans="2:24" x14ac:dyDescent="0.35">
      <c r="B1348" t="str">
        <f>IF(NOT(ISBLANK(A1348)),VLOOKUP(A1348,'BBT3'!A:F,2,0),"")</f>
        <v/>
      </c>
      <c r="C1348" t="str">
        <f>IF(NOT(ISBLANK(A1348)),VLOOKUP(A1348,'BBT3'!A:F,3,0),"")</f>
        <v/>
      </c>
      <c r="D1348" s="5" t="str">
        <f>IF(NOT(ISBLANK(A1348)),VLOOKUP(A1348,'BBT3'!A:F,4,1),"")</f>
        <v/>
      </c>
      <c r="E1348" t="str">
        <f>IF(NOT(ISBLANK(A1348)),VLOOKUP(A1348,'BBT3'!A:F,5,0),"")</f>
        <v/>
      </c>
      <c r="F1348" t="str">
        <f>IF(NOT(ISBLANK(A1348)),VLOOKUP(A1348,'BBT3'!A:F,6,0),"")</f>
        <v/>
      </c>
      <c r="G1348" t="str">
        <f t="shared" si="200"/>
        <v/>
      </c>
      <c r="H1348" t="str">
        <f>IF(NOT(ISBLANK(A1348)),VLOOKUP(A1348,'Close - PriceSaver'!A:J,5,0),"")</f>
        <v/>
      </c>
      <c r="I1348" s="4" t="str" cm="1">
        <f t="array" ref="I1348">IF(NOT(ISBLANK(A1348)),((_xlfn.XLOOKUP(1,(_bbt3[[#All],[ID]]=A1348)*(_bbt3[[#All],[METRIC_NAME]]="YLD_YTM_ASK"),_bbt3[[#All],[METRIC_VALUE]])*0.5)+(_xlfn.XLOOKUP(1,(_bbt3[[#All],[ID]]=A1348)*(_bbt3[[#All],[METRIC_NAME]]="YLD_YTM_BID"),_bbt3[[#All],[METRIC_VALUE]])*0.5))/100,"")</f>
        <v/>
      </c>
      <c r="J1348">
        <f>IF(ISNA(VLOOKUP(A1348,'CloseDL - PriceSaverBBT3'!A:E,5,0)),0,VLOOKUP(A1348,'CloseDL - PriceSaverBBT3'!A:E,5,0))</f>
        <v>0</v>
      </c>
      <c r="K1348" s="7" t="str">
        <f t="shared" si="201"/>
        <v/>
      </c>
      <c r="L1348" s="20">
        <f>IF(Close[[#This Row],[CreatedBy]]="MARINER\SilverAdm",1,0)</f>
        <v>1</v>
      </c>
      <c r="M1348" t="str">
        <f>IF(NOT(ISBLANK(A1348)),VLOOKUP(A1348,'Close - PriceSaver'!A:J,6,0),"")</f>
        <v/>
      </c>
      <c r="Q1348" t="e">
        <f t="shared" si="193"/>
        <v>#N/A</v>
      </c>
      <c r="R1348" t="e">
        <f t="shared" si="194"/>
        <v>#N/A</v>
      </c>
      <c r="S1348" t="e">
        <f t="shared" si="195"/>
        <v>#N/A</v>
      </c>
      <c r="T1348" s="15" t="e">
        <f t="shared" si="197"/>
        <v>#N/A</v>
      </c>
      <c r="U1348" s="18" t="e">
        <f t="shared" si="198"/>
        <v>#N/A</v>
      </c>
      <c r="V1348" s="14" t="e">
        <f t="shared" si="196"/>
        <v>#N/A</v>
      </c>
      <c r="W1348" s="19" t="e">
        <f t="shared" si="199"/>
        <v>#N/A</v>
      </c>
      <c r="X1348" t="e">
        <f>VLOOKUP(P1348,Close[[ID]:[CreatedBy]],8,0)</f>
        <v>#N/A</v>
      </c>
    </row>
    <row r="1349" spans="2:24" x14ac:dyDescent="0.35">
      <c r="B1349" t="str">
        <f>IF(NOT(ISBLANK(A1349)),VLOOKUP(A1349,'BBT3'!A:F,2,0),"")</f>
        <v/>
      </c>
      <c r="C1349" t="str">
        <f>IF(NOT(ISBLANK(A1349)),VLOOKUP(A1349,'BBT3'!A:F,3,0),"")</f>
        <v/>
      </c>
      <c r="D1349" s="5" t="str">
        <f>IF(NOT(ISBLANK(A1349)),VLOOKUP(A1349,'BBT3'!A:F,4,1),"")</f>
        <v/>
      </c>
      <c r="E1349" t="str">
        <f>IF(NOT(ISBLANK(A1349)),VLOOKUP(A1349,'BBT3'!A:F,5,0),"")</f>
        <v/>
      </c>
      <c r="F1349" t="str">
        <f>IF(NOT(ISBLANK(A1349)),VLOOKUP(A1349,'BBT3'!A:F,6,0),"")</f>
        <v/>
      </c>
      <c r="G1349" t="str">
        <f t="shared" si="200"/>
        <v/>
      </c>
      <c r="H1349" t="str">
        <f>IF(NOT(ISBLANK(A1349)),VLOOKUP(A1349,'Close - PriceSaver'!A:J,5,0),"")</f>
        <v/>
      </c>
      <c r="I1349" s="4" t="str" cm="1">
        <f t="array" ref="I1349">IF(NOT(ISBLANK(A1349)),((_xlfn.XLOOKUP(1,(_bbt3[[#All],[ID]]=A1349)*(_bbt3[[#All],[METRIC_NAME]]="YLD_YTM_ASK"),_bbt3[[#All],[METRIC_VALUE]])*0.5)+(_xlfn.XLOOKUP(1,(_bbt3[[#All],[ID]]=A1349)*(_bbt3[[#All],[METRIC_NAME]]="YLD_YTM_BID"),_bbt3[[#All],[METRIC_VALUE]])*0.5))/100,"")</f>
        <v/>
      </c>
      <c r="J1349">
        <f>IF(ISNA(VLOOKUP(A1349,'CloseDL - PriceSaverBBT3'!A:E,5,0)),0,VLOOKUP(A1349,'CloseDL - PriceSaverBBT3'!A:E,5,0))</f>
        <v>0</v>
      </c>
      <c r="K1349" s="7" t="str">
        <f t="shared" si="201"/>
        <v/>
      </c>
      <c r="L1349" s="20">
        <f>IF(Close[[#This Row],[CreatedBy]]="MARINER\SilverAdm",1,0)</f>
        <v>1</v>
      </c>
      <c r="M1349" t="str">
        <f>IF(NOT(ISBLANK(A1349)),VLOOKUP(A1349,'Close - PriceSaver'!A:J,6,0),"")</f>
        <v/>
      </c>
      <c r="Q1349" t="e">
        <f t="shared" si="193"/>
        <v>#N/A</v>
      </c>
      <c r="R1349" t="e">
        <f t="shared" si="194"/>
        <v>#N/A</v>
      </c>
      <c r="S1349" t="e">
        <f t="shared" si="195"/>
        <v>#N/A</v>
      </c>
      <c r="T1349" s="15" t="e">
        <f t="shared" si="197"/>
        <v>#N/A</v>
      </c>
      <c r="U1349" s="18" t="e">
        <f t="shared" si="198"/>
        <v>#N/A</v>
      </c>
      <c r="V1349" s="14" t="e">
        <f t="shared" si="196"/>
        <v>#N/A</v>
      </c>
      <c r="W1349" s="19" t="e">
        <f t="shared" si="199"/>
        <v>#N/A</v>
      </c>
      <c r="X1349" t="e">
        <f>VLOOKUP(P1349,Close[[ID]:[CreatedBy]],8,0)</f>
        <v>#N/A</v>
      </c>
    </row>
    <row r="1350" spans="2:24" x14ac:dyDescent="0.35">
      <c r="B1350" t="str">
        <f>IF(NOT(ISBLANK(A1350)),VLOOKUP(A1350,'BBT3'!A:F,2,0),"")</f>
        <v/>
      </c>
      <c r="C1350" t="str">
        <f>IF(NOT(ISBLANK(A1350)),VLOOKUP(A1350,'BBT3'!A:F,3,0),"")</f>
        <v/>
      </c>
      <c r="D1350" s="5" t="str">
        <f>IF(NOT(ISBLANK(A1350)),VLOOKUP(A1350,'BBT3'!A:F,4,1),"")</f>
        <v/>
      </c>
      <c r="E1350" t="str">
        <f>IF(NOT(ISBLANK(A1350)),VLOOKUP(A1350,'BBT3'!A:F,5,0),"")</f>
        <v/>
      </c>
      <c r="F1350" t="str">
        <f>IF(NOT(ISBLANK(A1350)),VLOOKUP(A1350,'BBT3'!A:F,6,0),"")</f>
        <v/>
      </c>
      <c r="G1350" t="str">
        <f t="shared" si="200"/>
        <v/>
      </c>
      <c r="H1350" t="str">
        <f>IF(NOT(ISBLANK(A1350)),VLOOKUP(A1350,'Close - PriceSaver'!A:J,5,0),"")</f>
        <v/>
      </c>
      <c r="I1350" s="4" t="str" cm="1">
        <f t="array" ref="I1350">IF(NOT(ISBLANK(A1350)),((_xlfn.XLOOKUP(1,(_bbt3[[#All],[ID]]=A1350)*(_bbt3[[#All],[METRIC_NAME]]="YLD_YTM_ASK"),_bbt3[[#All],[METRIC_VALUE]])*0.5)+(_xlfn.XLOOKUP(1,(_bbt3[[#All],[ID]]=A1350)*(_bbt3[[#All],[METRIC_NAME]]="YLD_YTM_BID"),_bbt3[[#All],[METRIC_VALUE]])*0.5))/100,"")</f>
        <v/>
      </c>
      <c r="J1350">
        <f>IF(ISNA(VLOOKUP(A1350,'CloseDL - PriceSaverBBT3'!A:E,5,0)),0,VLOOKUP(A1350,'CloseDL - PriceSaverBBT3'!A:E,5,0))</f>
        <v>0</v>
      </c>
      <c r="K1350" s="7" t="str">
        <f t="shared" si="201"/>
        <v/>
      </c>
      <c r="L1350" s="20">
        <f>IF(Close[[#This Row],[CreatedBy]]="MARINER\SilverAdm",1,0)</f>
        <v>1</v>
      </c>
      <c r="M1350" t="str">
        <f>IF(NOT(ISBLANK(A1350)),VLOOKUP(A1350,'Close - PriceSaver'!A:J,6,0),"")</f>
        <v/>
      </c>
      <c r="Q1350" t="e">
        <f t="shared" si="193"/>
        <v>#N/A</v>
      </c>
      <c r="R1350" t="e">
        <f t="shared" si="194"/>
        <v>#N/A</v>
      </c>
      <c r="S1350" t="e">
        <f t="shared" si="195"/>
        <v>#N/A</v>
      </c>
      <c r="T1350" s="15" t="e">
        <f t="shared" si="197"/>
        <v>#N/A</v>
      </c>
      <c r="U1350" s="18" t="e">
        <f t="shared" si="198"/>
        <v>#N/A</v>
      </c>
      <c r="V1350" s="14" t="e">
        <f t="shared" si="196"/>
        <v>#N/A</v>
      </c>
      <c r="W1350" s="19" t="e">
        <f t="shared" si="199"/>
        <v>#N/A</v>
      </c>
      <c r="X1350" t="e">
        <f>VLOOKUP(P1350,Close[[ID]:[CreatedBy]],8,0)</f>
        <v>#N/A</v>
      </c>
    </row>
    <row r="1351" spans="2:24" x14ac:dyDescent="0.35">
      <c r="B1351" t="str">
        <f>IF(NOT(ISBLANK(A1351)),VLOOKUP(A1351,'BBT3'!A:F,2,0),"")</f>
        <v/>
      </c>
      <c r="C1351" t="str">
        <f>IF(NOT(ISBLANK(A1351)),VLOOKUP(A1351,'BBT3'!A:F,3,0),"")</f>
        <v/>
      </c>
      <c r="D1351" s="5" t="str">
        <f>IF(NOT(ISBLANK(A1351)),VLOOKUP(A1351,'BBT3'!A:F,4,1),"")</f>
        <v/>
      </c>
      <c r="E1351" t="str">
        <f>IF(NOT(ISBLANK(A1351)),VLOOKUP(A1351,'BBT3'!A:F,5,0),"")</f>
        <v/>
      </c>
      <c r="F1351" t="str">
        <f>IF(NOT(ISBLANK(A1351)),VLOOKUP(A1351,'BBT3'!A:F,6,0),"")</f>
        <v/>
      </c>
      <c r="G1351" t="str">
        <f t="shared" si="200"/>
        <v/>
      </c>
      <c r="H1351" t="str">
        <f>IF(NOT(ISBLANK(A1351)),VLOOKUP(A1351,'Close - PriceSaver'!A:J,5,0),"")</f>
        <v/>
      </c>
      <c r="I1351" s="4" t="str" cm="1">
        <f t="array" ref="I1351">IF(NOT(ISBLANK(A1351)),((_xlfn.XLOOKUP(1,(_bbt3[[#All],[ID]]=A1351)*(_bbt3[[#All],[METRIC_NAME]]="YLD_YTM_ASK"),_bbt3[[#All],[METRIC_VALUE]])*0.5)+(_xlfn.XLOOKUP(1,(_bbt3[[#All],[ID]]=A1351)*(_bbt3[[#All],[METRIC_NAME]]="YLD_YTM_BID"),_bbt3[[#All],[METRIC_VALUE]])*0.5))/100,"")</f>
        <v/>
      </c>
      <c r="J1351">
        <f>IF(ISNA(VLOOKUP(A1351,'CloseDL - PriceSaverBBT3'!A:E,5,0)),0,VLOOKUP(A1351,'CloseDL - PriceSaverBBT3'!A:E,5,0))</f>
        <v>0</v>
      </c>
      <c r="K1351" s="7" t="str">
        <f t="shared" si="201"/>
        <v/>
      </c>
      <c r="L1351" s="20">
        <f>IF(Close[[#This Row],[CreatedBy]]="MARINER\SilverAdm",1,0)</f>
        <v>1</v>
      </c>
      <c r="M1351" t="str">
        <f>IF(NOT(ISBLANK(A1351)),VLOOKUP(A1351,'Close - PriceSaver'!A:J,6,0),"")</f>
        <v/>
      </c>
      <c r="Q1351" t="e">
        <f t="shared" si="193"/>
        <v>#N/A</v>
      </c>
      <c r="R1351" t="e">
        <f t="shared" si="194"/>
        <v>#N/A</v>
      </c>
      <c r="S1351" t="e">
        <f t="shared" si="195"/>
        <v>#N/A</v>
      </c>
      <c r="T1351" s="15" t="e">
        <f t="shared" si="197"/>
        <v>#N/A</v>
      </c>
      <c r="U1351" s="18" t="e">
        <f t="shared" si="198"/>
        <v>#N/A</v>
      </c>
      <c r="V1351" s="14" t="e">
        <f t="shared" si="196"/>
        <v>#N/A</v>
      </c>
      <c r="W1351" s="19" t="e">
        <f t="shared" si="199"/>
        <v>#N/A</v>
      </c>
      <c r="X1351" t="e">
        <f>VLOOKUP(P1351,Close[[ID]:[CreatedBy]],8,0)</f>
        <v>#N/A</v>
      </c>
    </row>
    <row r="1352" spans="2:24" x14ac:dyDescent="0.35">
      <c r="B1352" t="str">
        <f>IF(NOT(ISBLANK(A1352)),VLOOKUP(A1352,'BBT3'!A:F,2,0),"")</f>
        <v/>
      </c>
      <c r="C1352" t="str">
        <f>IF(NOT(ISBLANK(A1352)),VLOOKUP(A1352,'BBT3'!A:F,3,0),"")</f>
        <v/>
      </c>
      <c r="D1352" s="5" t="str">
        <f>IF(NOT(ISBLANK(A1352)),VLOOKUP(A1352,'BBT3'!A:F,4,1),"")</f>
        <v/>
      </c>
      <c r="E1352" t="str">
        <f>IF(NOT(ISBLANK(A1352)),VLOOKUP(A1352,'BBT3'!A:F,5,0),"")</f>
        <v/>
      </c>
      <c r="F1352" t="str">
        <f>IF(NOT(ISBLANK(A1352)),VLOOKUP(A1352,'BBT3'!A:F,6,0),"")</f>
        <v/>
      </c>
      <c r="G1352" t="str">
        <f t="shared" si="200"/>
        <v/>
      </c>
      <c r="H1352" t="str">
        <f>IF(NOT(ISBLANK(A1352)),VLOOKUP(A1352,'Close - PriceSaver'!A:J,5,0),"")</f>
        <v/>
      </c>
      <c r="I1352" s="4" t="str" cm="1">
        <f t="array" ref="I1352">IF(NOT(ISBLANK(A1352)),((_xlfn.XLOOKUP(1,(_bbt3[[#All],[ID]]=A1352)*(_bbt3[[#All],[METRIC_NAME]]="YLD_YTM_ASK"),_bbt3[[#All],[METRIC_VALUE]])*0.5)+(_xlfn.XLOOKUP(1,(_bbt3[[#All],[ID]]=A1352)*(_bbt3[[#All],[METRIC_NAME]]="YLD_YTM_BID"),_bbt3[[#All],[METRIC_VALUE]])*0.5))/100,"")</f>
        <v/>
      </c>
      <c r="J1352">
        <f>IF(ISNA(VLOOKUP(A1352,'CloseDL - PriceSaverBBT3'!A:E,5,0)),0,VLOOKUP(A1352,'CloseDL - PriceSaverBBT3'!A:E,5,0))</f>
        <v>0</v>
      </c>
      <c r="K1352" s="7" t="str">
        <f t="shared" si="201"/>
        <v/>
      </c>
      <c r="L1352" s="20">
        <f>IF(Close[[#This Row],[CreatedBy]]="MARINER\SilverAdm",1,0)</f>
        <v>1</v>
      </c>
      <c r="M1352" t="str">
        <f>IF(NOT(ISBLANK(A1352)),VLOOKUP(A1352,'Close - PriceSaver'!A:J,6,0),"")</f>
        <v/>
      </c>
      <c r="Q1352" t="e">
        <f t="shared" si="193"/>
        <v>#N/A</v>
      </c>
      <c r="R1352" t="e">
        <f t="shared" si="194"/>
        <v>#N/A</v>
      </c>
      <c r="S1352" t="e">
        <f t="shared" si="195"/>
        <v>#N/A</v>
      </c>
      <c r="T1352" s="15" t="e">
        <f t="shared" si="197"/>
        <v>#N/A</v>
      </c>
      <c r="U1352" s="18" t="e">
        <f t="shared" si="198"/>
        <v>#N/A</v>
      </c>
      <c r="V1352" s="14" t="e">
        <f t="shared" si="196"/>
        <v>#N/A</v>
      </c>
      <c r="W1352" s="19" t="e">
        <f t="shared" si="199"/>
        <v>#N/A</v>
      </c>
      <c r="X1352" t="e">
        <f>VLOOKUP(P1352,Close[[ID]:[CreatedBy]],8,0)</f>
        <v>#N/A</v>
      </c>
    </row>
    <row r="1353" spans="2:24" x14ac:dyDescent="0.35">
      <c r="B1353" t="str">
        <f>IF(NOT(ISBLANK(A1353)),VLOOKUP(A1353,'BBT3'!A:F,2,0),"")</f>
        <v/>
      </c>
      <c r="C1353" t="str">
        <f>IF(NOT(ISBLANK(A1353)),VLOOKUP(A1353,'BBT3'!A:F,3,0),"")</f>
        <v/>
      </c>
      <c r="D1353" s="5" t="str">
        <f>IF(NOT(ISBLANK(A1353)),VLOOKUP(A1353,'BBT3'!A:F,4,1),"")</f>
        <v/>
      </c>
      <c r="E1353" t="str">
        <f>IF(NOT(ISBLANK(A1353)),VLOOKUP(A1353,'BBT3'!A:F,5,0),"")</f>
        <v/>
      </c>
      <c r="F1353" t="str">
        <f>IF(NOT(ISBLANK(A1353)),VLOOKUP(A1353,'BBT3'!A:F,6,0),"")</f>
        <v/>
      </c>
      <c r="G1353" t="str">
        <f t="shared" si="200"/>
        <v/>
      </c>
      <c r="H1353" t="str">
        <f>IF(NOT(ISBLANK(A1353)),VLOOKUP(A1353,'Close - PriceSaver'!A:J,5,0),"")</f>
        <v/>
      </c>
      <c r="I1353" s="4" t="str" cm="1">
        <f t="array" ref="I1353">IF(NOT(ISBLANK(A1353)),((_xlfn.XLOOKUP(1,(_bbt3[[#All],[ID]]=A1353)*(_bbt3[[#All],[METRIC_NAME]]="YLD_YTM_ASK"),_bbt3[[#All],[METRIC_VALUE]])*0.5)+(_xlfn.XLOOKUP(1,(_bbt3[[#All],[ID]]=A1353)*(_bbt3[[#All],[METRIC_NAME]]="YLD_YTM_BID"),_bbt3[[#All],[METRIC_VALUE]])*0.5))/100,"")</f>
        <v/>
      </c>
      <c r="J1353">
        <f>IF(ISNA(VLOOKUP(A1353,'CloseDL - PriceSaverBBT3'!A:E,5,0)),0,VLOOKUP(A1353,'CloseDL - PriceSaverBBT3'!A:E,5,0))</f>
        <v>0</v>
      </c>
      <c r="K1353" s="7" t="str">
        <f t="shared" si="201"/>
        <v/>
      </c>
      <c r="L1353" s="20">
        <f>IF(Close[[#This Row],[CreatedBy]]="MARINER\SilverAdm",1,0)</f>
        <v>1</v>
      </c>
      <c r="M1353" t="str">
        <f>IF(NOT(ISBLANK(A1353)),VLOOKUP(A1353,'Close - PriceSaver'!A:J,6,0),"")</f>
        <v/>
      </c>
      <c r="Q1353" t="e">
        <f t="shared" si="193"/>
        <v>#N/A</v>
      </c>
      <c r="R1353" t="e">
        <f t="shared" si="194"/>
        <v>#N/A</v>
      </c>
      <c r="S1353" t="e">
        <f t="shared" si="195"/>
        <v>#N/A</v>
      </c>
      <c r="T1353" s="15" t="e">
        <f t="shared" si="197"/>
        <v>#N/A</v>
      </c>
      <c r="U1353" s="18" t="e">
        <f t="shared" si="198"/>
        <v>#N/A</v>
      </c>
      <c r="V1353" s="14" t="e">
        <f t="shared" si="196"/>
        <v>#N/A</v>
      </c>
      <c r="W1353" s="19" t="e">
        <f t="shared" si="199"/>
        <v>#N/A</v>
      </c>
      <c r="X1353" t="e">
        <f>VLOOKUP(P1353,Close[[ID]:[CreatedBy]],8,0)</f>
        <v>#N/A</v>
      </c>
    </row>
    <row r="1354" spans="2:24" x14ac:dyDescent="0.35">
      <c r="B1354" t="str">
        <f>IF(NOT(ISBLANK(A1354)),VLOOKUP(A1354,'BBT3'!A:F,2,0),"")</f>
        <v/>
      </c>
      <c r="C1354" t="str">
        <f>IF(NOT(ISBLANK(A1354)),VLOOKUP(A1354,'BBT3'!A:F,3,0),"")</f>
        <v/>
      </c>
      <c r="D1354" s="5" t="str">
        <f>IF(NOT(ISBLANK(A1354)),VLOOKUP(A1354,'BBT3'!A:F,4,1),"")</f>
        <v/>
      </c>
      <c r="E1354" t="str">
        <f>IF(NOT(ISBLANK(A1354)),VLOOKUP(A1354,'BBT3'!A:F,5,0),"")</f>
        <v/>
      </c>
      <c r="F1354" t="str">
        <f>IF(NOT(ISBLANK(A1354)),VLOOKUP(A1354,'BBT3'!A:F,6,0),"")</f>
        <v/>
      </c>
      <c r="G1354" t="str">
        <f t="shared" si="200"/>
        <v/>
      </c>
      <c r="H1354" t="str">
        <f>IF(NOT(ISBLANK(A1354)),VLOOKUP(A1354,'Close - PriceSaver'!A:J,5,0),"")</f>
        <v/>
      </c>
      <c r="I1354" s="4" t="str" cm="1">
        <f t="array" ref="I1354">IF(NOT(ISBLANK(A1354)),((_xlfn.XLOOKUP(1,(_bbt3[[#All],[ID]]=A1354)*(_bbt3[[#All],[METRIC_NAME]]="YLD_YTM_ASK"),_bbt3[[#All],[METRIC_VALUE]])*0.5)+(_xlfn.XLOOKUP(1,(_bbt3[[#All],[ID]]=A1354)*(_bbt3[[#All],[METRIC_NAME]]="YLD_YTM_BID"),_bbt3[[#All],[METRIC_VALUE]])*0.5))/100,"")</f>
        <v/>
      </c>
      <c r="J1354">
        <f>IF(ISNA(VLOOKUP(A1354,'CloseDL - PriceSaverBBT3'!A:E,5,0)),0,VLOOKUP(A1354,'CloseDL - PriceSaverBBT3'!A:E,5,0))</f>
        <v>0</v>
      </c>
      <c r="K1354" s="7" t="str">
        <f t="shared" si="201"/>
        <v/>
      </c>
      <c r="L1354" s="20">
        <f>IF(Close[[#This Row],[CreatedBy]]="MARINER\SilverAdm",1,0)</f>
        <v>1</v>
      </c>
      <c r="M1354" t="str">
        <f>IF(NOT(ISBLANK(A1354)),VLOOKUP(A1354,'Close - PriceSaver'!A:J,6,0),"")</f>
        <v/>
      </c>
      <c r="Q1354" t="e">
        <f t="shared" si="193"/>
        <v>#N/A</v>
      </c>
      <c r="R1354" t="e">
        <f t="shared" si="194"/>
        <v>#N/A</v>
      </c>
      <c r="S1354" t="e">
        <f t="shared" si="195"/>
        <v>#N/A</v>
      </c>
      <c r="T1354" s="15" t="e">
        <f t="shared" si="197"/>
        <v>#N/A</v>
      </c>
      <c r="U1354" s="18" t="e">
        <f t="shared" si="198"/>
        <v>#N/A</v>
      </c>
      <c r="V1354" s="14" t="e">
        <f t="shared" si="196"/>
        <v>#N/A</v>
      </c>
      <c r="W1354" s="19" t="e">
        <f t="shared" si="199"/>
        <v>#N/A</v>
      </c>
      <c r="X1354" t="e">
        <f>VLOOKUP(P1354,Close[[ID]:[CreatedBy]],8,0)</f>
        <v>#N/A</v>
      </c>
    </row>
    <row r="1355" spans="2:24" x14ac:dyDescent="0.35">
      <c r="B1355" t="str">
        <f>IF(NOT(ISBLANK(A1355)),VLOOKUP(A1355,'BBT3'!A:F,2,0),"")</f>
        <v/>
      </c>
      <c r="C1355" t="str">
        <f>IF(NOT(ISBLANK(A1355)),VLOOKUP(A1355,'BBT3'!A:F,3,0),"")</f>
        <v/>
      </c>
      <c r="D1355" s="5" t="str">
        <f>IF(NOT(ISBLANK(A1355)),VLOOKUP(A1355,'BBT3'!A:F,4,1),"")</f>
        <v/>
      </c>
      <c r="E1355" t="str">
        <f>IF(NOT(ISBLANK(A1355)),VLOOKUP(A1355,'BBT3'!A:F,5,0),"")</f>
        <v/>
      </c>
      <c r="F1355" t="str">
        <f>IF(NOT(ISBLANK(A1355)),VLOOKUP(A1355,'BBT3'!A:F,6,0),"")</f>
        <v/>
      </c>
      <c r="G1355" t="str">
        <f t="shared" si="200"/>
        <v/>
      </c>
      <c r="H1355" t="str">
        <f>IF(NOT(ISBLANK(A1355)),VLOOKUP(A1355,'Close - PriceSaver'!A:J,5,0),"")</f>
        <v/>
      </c>
      <c r="I1355" s="4" t="str" cm="1">
        <f t="array" ref="I1355">IF(NOT(ISBLANK(A1355)),((_xlfn.XLOOKUP(1,(_bbt3[[#All],[ID]]=A1355)*(_bbt3[[#All],[METRIC_NAME]]="YLD_YTM_ASK"),_bbt3[[#All],[METRIC_VALUE]])*0.5)+(_xlfn.XLOOKUP(1,(_bbt3[[#All],[ID]]=A1355)*(_bbt3[[#All],[METRIC_NAME]]="YLD_YTM_BID"),_bbt3[[#All],[METRIC_VALUE]])*0.5))/100,"")</f>
        <v/>
      </c>
      <c r="J1355">
        <f>IF(ISNA(VLOOKUP(A1355,'CloseDL - PriceSaverBBT3'!A:E,5,0)),0,VLOOKUP(A1355,'CloseDL - PriceSaverBBT3'!A:E,5,0))</f>
        <v>0</v>
      </c>
      <c r="K1355" s="7" t="str">
        <f t="shared" si="201"/>
        <v/>
      </c>
      <c r="L1355" s="20">
        <f>IF(Close[[#This Row],[CreatedBy]]="MARINER\SilverAdm",1,0)</f>
        <v>1</v>
      </c>
      <c r="M1355" t="str">
        <f>IF(NOT(ISBLANK(A1355)),VLOOKUP(A1355,'Close - PriceSaver'!A:J,6,0),"")</f>
        <v/>
      </c>
      <c r="Q1355" t="e">
        <f t="shared" ref="Q1355:Q1418" si="202">VLOOKUP(P1355,A:C,3,0)</f>
        <v>#N/A</v>
      </c>
      <c r="R1355" t="e">
        <f t="shared" si="194"/>
        <v>#N/A</v>
      </c>
      <c r="S1355" t="e">
        <f t="shared" si="195"/>
        <v>#N/A</v>
      </c>
      <c r="T1355" s="15" t="e">
        <f t="shared" si="197"/>
        <v>#N/A</v>
      </c>
      <c r="U1355" s="18" t="e">
        <f t="shared" si="198"/>
        <v>#N/A</v>
      </c>
      <c r="V1355" s="14" t="e">
        <f t="shared" si="196"/>
        <v>#N/A</v>
      </c>
      <c r="W1355" s="19" t="e">
        <f t="shared" si="199"/>
        <v>#N/A</v>
      </c>
      <c r="X1355" t="e">
        <f>VLOOKUP(P1355,Close[[ID]:[CreatedBy]],8,0)</f>
        <v>#N/A</v>
      </c>
    </row>
    <row r="1356" spans="2:24" x14ac:dyDescent="0.35">
      <c r="B1356" t="str">
        <f>IF(NOT(ISBLANK(A1356)),VLOOKUP(A1356,'BBT3'!A:F,2,0),"")</f>
        <v/>
      </c>
      <c r="C1356" t="str">
        <f>IF(NOT(ISBLANK(A1356)),VLOOKUP(A1356,'BBT3'!A:F,3,0),"")</f>
        <v/>
      </c>
      <c r="D1356" s="5" t="str">
        <f>IF(NOT(ISBLANK(A1356)),VLOOKUP(A1356,'BBT3'!A:F,4,1),"")</f>
        <v/>
      </c>
      <c r="E1356" t="str">
        <f>IF(NOT(ISBLANK(A1356)),VLOOKUP(A1356,'BBT3'!A:F,5,0),"")</f>
        <v/>
      </c>
      <c r="F1356" t="str">
        <f>IF(NOT(ISBLANK(A1356)),VLOOKUP(A1356,'BBT3'!A:F,6,0),"")</f>
        <v/>
      </c>
      <c r="G1356" t="str">
        <f t="shared" si="200"/>
        <v/>
      </c>
      <c r="H1356" t="str">
        <f>IF(NOT(ISBLANK(A1356)),VLOOKUP(A1356,'Close - PriceSaver'!A:J,5,0),"")</f>
        <v/>
      </c>
      <c r="I1356" s="4" t="str" cm="1">
        <f t="array" ref="I1356">IF(NOT(ISBLANK(A1356)),((_xlfn.XLOOKUP(1,(_bbt3[[#All],[ID]]=A1356)*(_bbt3[[#All],[METRIC_NAME]]="YLD_YTM_ASK"),_bbt3[[#All],[METRIC_VALUE]])*0.5)+(_xlfn.XLOOKUP(1,(_bbt3[[#All],[ID]]=A1356)*(_bbt3[[#All],[METRIC_NAME]]="YLD_YTM_BID"),_bbt3[[#All],[METRIC_VALUE]])*0.5))/100,"")</f>
        <v/>
      </c>
      <c r="J1356">
        <f>IF(ISNA(VLOOKUP(A1356,'CloseDL - PriceSaverBBT3'!A:E,5,0)),0,VLOOKUP(A1356,'CloseDL - PriceSaverBBT3'!A:E,5,0))</f>
        <v>0</v>
      </c>
      <c r="K1356" s="7" t="str">
        <f t="shared" si="201"/>
        <v/>
      </c>
      <c r="L1356" s="20">
        <f>IF(Close[[#This Row],[CreatedBy]]="MARINER\SilverAdm",1,0)</f>
        <v>1</v>
      </c>
      <c r="M1356" t="str">
        <f>IF(NOT(ISBLANK(A1356)),VLOOKUP(A1356,'Close - PriceSaver'!A:J,6,0),"")</f>
        <v/>
      </c>
      <c r="Q1356" t="e">
        <f t="shared" si="202"/>
        <v>#N/A</v>
      </c>
      <c r="R1356" t="e">
        <f t="shared" si="194"/>
        <v>#N/A</v>
      </c>
      <c r="S1356" t="e">
        <f t="shared" si="195"/>
        <v>#N/A</v>
      </c>
      <c r="T1356" s="15" t="e">
        <f t="shared" si="197"/>
        <v>#N/A</v>
      </c>
      <c r="U1356" s="18" t="e">
        <f t="shared" si="198"/>
        <v>#N/A</v>
      </c>
      <c r="V1356" s="14" t="e">
        <f t="shared" si="196"/>
        <v>#N/A</v>
      </c>
      <c r="W1356" s="19" t="e">
        <f t="shared" si="199"/>
        <v>#N/A</v>
      </c>
      <c r="X1356" t="e">
        <f>VLOOKUP(P1356,Close[[ID]:[CreatedBy]],8,0)</f>
        <v>#N/A</v>
      </c>
    </row>
    <row r="1357" spans="2:24" x14ac:dyDescent="0.35">
      <c r="B1357" t="str">
        <f>IF(NOT(ISBLANK(A1357)),VLOOKUP(A1357,'BBT3'!A:F,2,0),"")</f>
        <v/>
      </c>
      <c r="C1357" t="str">
        <f>IF(NOT(ISBLANK(A1357)),VLOOKUP(A1357,'BBT3'!A:F,3,0),"")</f>
        <v/>
      </c>
      <c r="D1357" s="5" t="str">
        <f>IF(NOT(ISBLANK(A1357)),VLOOKUP(A1357,'BBT3'!A:F,4,1),"")</f>
        <v/>
      </c>
      <c r="E1357" t="str">
        <f>IF(NOT(ISBLANK(A1357)),VLOOKUP(A1357,'BBT3'!A:F,5,0),"")</f>
        <v/>
      </c>
      <c r="F1357" t="str">
        <f>IF(NOT(ISBLANK(A1357)),VLOOKUP(A1357,'BBT3'!A:F,6,0),"")</f>
        <v/>
      </c>
      <c r="G1357" t="str">
        <f t="shared" si="200"/>
        <v/>
      </c>
      <c r="H1357" t="str">
        <f>IF(NOT(ISBLANK(A1357)),VLOOKUP(A1357,'Close - PriceSaver'!A:J,5,0),"")</f>
        <v/>
      </c>
      <c r="I1357" s="4" t="str" cm="1">
        <f t="array" ref="I1357">IF(NOT(ISBLANK(A1357)),((_xlfn.XLOOKUP(1,(_bbt3[[#All],[ID]]=A1357)*(_bbt3[[#All],[METRIC_NAME]]="YLD_YTM_ASK"),_bbt3[[#All],[METRIC_VALUE]])*0.5)+(_xlfn.XLOOKUP(1,(_bbt3[[#All],[ID]]=A1357)*(_bbt3[[#All],[METRIC_NAME]]="YLD_YTM_BID"),_bbt3[[#All],[METRIC_VALUE]])*0.5))/100,"")</f>
        <v/>
      </c>
      <c r="J1357">
        <f>IF(ISNA(VLOOKUP(A1357,'CloseDL - PriceSaverBBT3'!A:E,5,0)),0,VLOOKUP(A1357,'CloseDL - PriceSaverBBT3'!A:E,5,0))</f>
        <v>0</v>
      </c>
      <c r="K1357" s="7" t="str">
        <f t="shared" si="201"/>
        <v/>
      </c>
      <c r="L1357" s="20">
        <f>IF(Close[[#This Row],[CreatedBy]]="MARINER\SilverAdm",1,0)</f>
        <v>1</v>
      </c>
      <c r="M1357" t="str">
        <f>IF(NOT(ISBLANK(A1357)),VLOOKUP(A1357,'Close - PriceSaver'!A:J,6,0),"")</f>
        <v/>
      </c>
      <c r="Q1357" t="e">
        <f t="shared" si="202"/>
        <v>#N/A</v>
      </c>
      <c r="R1357" t="e">
        <f t="shared" ref="R1357:R1414" si="203">VLOOKUP(P1357,A:B,2,0)</f>
        <v>#N/A</v>
      </c>
      <c r="S1357" t="e">
        <f t="shared" ref="S1357:S1414" si="204">VLOOKUP(P1357,A:E,4,0)</f>
        <v>#N/A</v>
      </c>
      <c r="T1357" s="15" t="e">
        <f t="shared" si="197"/>
        <v>#N/A</v>
      </c>
      <c r="U1357" s="18" t="e">
        <f t="shared" si="198"/>
        <v>#N/A</v>
      </c>
      <c r="V1357" s="14" t="e">
        <f t="shared" si="196"/>
        <v>#N/A</v>
      </c>
      <c r="W1357" s="19" t="e">
        <f t="shared" si="199"/>
        <v>#N/A</v>
      </c>
      <c r="X1357" t="e">
        <f>VLOOKUP(P1357,Close[[ID]:[CreatedBy]],8,0)</f>
        <v>#N/A</v>
      </c>
    </row>
    <row r="1358" spans="2:24" x14ac:dyDescent="0.35">
      <c r="B1358" t="str">
        <f>IF(NOT(ISBLANK(A1358)),VLOOKUP(A1358,'BBT3'!A:F,2,0),"")</f>
        <v/>
      </c>
      <c r="C1358" t="str">
        <f>IF(NOT(ISBLANK(A1358)),VLOOKUP(A1358,'BBT3'!A:F,3,0),"")</f>
        <v/>
      </c>
      <c r="D1358" s="5" t="str">
        <f>IF(NOT(ISBLANK(A1358)),VLOOKUP(A1358,'BBT3'!A:F,4,1),"")</f>
        <v/>
      </c>
      <c r="E1358" t="str">
        <f>IF(NOT(ISBLANK(A1358)),VLOOKUP(A1358,'BBT3'!A:F,5,0),"")</f>
        <v/>
      </c>
      <c r="F1358" t="str">
        <f>IF(NOT(ISBLANK(A1358)),VLOOKUP(A1358,'BBT3'!A:F,6,0),"")</f>
        <v/>
      </c>
      <c r="G1358" t="str">
        <f t="shared" si="200"/>
        <v/>
      </c>
      <c r="H1358" t="str">
        <f>IF(NOT(ISBLANK(A1358)),VLOOKUP(A1358,'Close - PriceSaver'!A:J,5,0),"")</f>
        <v/>
      </c>
      <c r="I1358" s="4" t="str" cm="1">
        <f t="array" ref="I1358">IF(NOT(ISBLANK(A1358)),((_xlfn.XLOOKUP(1,(_bbt3[[#All],[ID]]=A1358)*(_bbt3[[#All],[METRIC_NAME]]="YLD_YTM_ASK"),_bbt3[[#All],[METRIC_VALUE]])*0.5)+(_xlfn.XLOOKUP(1,(_bbt3[[#All],[ID]]=A1358)*(_bbt3[[#All],[METRIC_NAME]]="YLD_YTM_BID"),_bbt3[[#All],[METRIC_VALUE]])*0.5))/100,"")</f>
        <v/>
      </c>
      <c r="J1358">
        <f>IF(ISNA(VLOOKUP(A1358,'CloseDL - PriceSaverBBT3'!A:E,5,0)),0,VLOOKUP(A1358,'CloseDL - PriceSaverBBT3'!A:E,5,0))</f>
        <v>0</v>
      </c>
      <c r="K1358" s="7" t="str">
        <f t="shared" si="201"/>
        <v/>
      </c>
      <c r="L1358" s="20">
        <f>IF(Close[[#This Row],[CreatedBy]]="MARINER\SilverAdm",1,0)</f>
        <v>1</v>
      </c>
      <c r="M1358" t="str">
        <f>IF(NOT(ISBLANK(A1358)),VLOOKUP(A1358,'Close - PriceSaver'!A:J,6,0),"")</f>
        <v/>
      </c>
      <c r="Q1358" t="e">
        <f t="shared" si="202"/>
        <v>#N/A</v>
      </c>
      <c r="R1358" t="e">
        <f t="shared" si="203"/>
        <v>#N/A</v>
      </c>
      <c r="S1358" t="e">
        <f t="shared" si="204"/>
        <v>#N/A</v>
      </c>
      <c r="T1358" s="15" t="e">
        <f t="shared" si="197"/>
        <v>#N/A</v>
      </c>
      <c r="U1358" s="18" t="e">
        <f t="shared" si="198"/>
        <v>#N/A</v>
      </c>
      <c r="V1358" s="14" t="e">
        <f t="shared" ref="V1358:V1421" si="205">VLOOKUP(Q1358,A:K,10,0)</f>
        <v>#N/A</v>
      </c>
      <c r="W1358" s="19" t="e">
        <f t="shared" si="199"/>
        <v>#N/A</v>
      </c>
      <c r="X1358" t="e">
        <f>VLOOKUP(P1358,Close[[ID]:[CreatedBy]],8,0)</f>
        <v>#N/A</v>
      </c>
    </row>
    <row r="1359" spans="2:24" x14ac:dyDescent="0.35">
      <c r="B1359" t="str">
        <f>IF(NOT(ISBLANK(A1359)),VLOOKUP(A1359,'BBT3'!A:F,2,0),"")</f>
        <v/>
      </c>
      <c r="C1359" t="str">
        <f>IF(NOT(ISBLANK(A1359)),VLOOKUP(A1359,'BBT3'!A:F,3,0),"")</f>
        <v/>
      </c>
      <c r="D1359" s="5" t="str">
        <f>IF(NOT(ISBLANK(A1359)),VLOOKUP(A1359,'BBT3'!A:F,4,1),"")</f>
        <v/>
      </c>
      <c r="E1359" t="str">
        <f>IF(NOT(ISBLANK(A1359)),VLOOKUP(A1359,'BBT3'!A:F,5,0),"")</f>
        <v/>
      </c>
      <c r="F1359" t="str">
        <f>IF(NOT(ISBLANK(A1359)),VLOOKUP(A1359,'BBT3'!A:F,6,0),"")</f>
        <v/>
      </c>
      <c r="G1359" t="str">
        <f t="shared" si="200"/>
        <v/>
      </c>
      <c r="H1359" t="str">
        <f>IF(NOT(ISBLANK(A1359)),VLOOKUP(A1359,'Close - PriceSaver'!A:J,5,0),"")</f>
        <v/>
      </c>
      <c r="I1359" s="4" t="str" cm="1">
        <f t="array" ref="I1359">IF(NOT(ISBLANK(A1359)),((_xlfn.XLOOKUP(1,(_bbt3[[#All],[ID]]=A1359)*(_bbt3[[#All],[METRIC_NAME]]="YLD_YTM_ASK"),_bbt3[[#All],[METRIC_VALUE]])*0.5)+(_xlfn.XLOOKUP(1,(_bbt3[[#All],[ID]]=A1359)*(_bbt3[[#All],[METRIC_NAME]]="YLD_YTM_BID"),_bbt3[[#All],[METRIC_VALUE]])*0.5))/100,"")</f>
        <v/>
      </c>
      <c r="J1359">
        <f>IF(ISNA(VLOOKUP(A1359,'CloseDL - PriceSaverBBT3'!A:E,5,0)),0,VLOOKUP(A1359,'CloseDL - PriceSaverBBT3'!A:E,5,0))</f>
        <v>0</v>
      </c>
      <c r="K1359" s="7" t="str">
        <f t="shared" si="201"/>
        <v/>
      </c>
      <c r="L1359" s="20">
        <f>IF(Close[[#This Row],[CreatedBy]]="MARINER\SilverAdm",1,0)</f>
        <v>1</v>
      </c>
      <c r="M1359" t="str">
        <f>IF(NOT(ISBLANK(A1359)),VLOOKUP(A1359,'Close - PriceSaver'!A:J,6,0),"")</f>
        <v/>
      </c>
      <c r="Q1359" t="e">
        <f t="shared" si="202"/>
        <v>#N/A</v>
      </c>
      <c r="R1359" t="e">
        <f t="shared" si="203"/>
        <v>#N/A</v>
      </c>
      <c r="S1359" t="e">
        <f t="shared" si="204"/>
        <v>#N/A</v>
      </c>
      <c r="T1359" s="15" t="e">
        <f t="shared" si="197"/>
        <v>#N/A</v>
      </c>
      <c r="U1359" s="18" t="e">
        <f t="shared" si="198"/>
        <v>#N/A</v>
      </c>
      <c r="V1359" s="14" t="e">
        <f t="shared" si="205"/>
        <v>#N/A</v>
      </c>
      <c r="W1359" s="19" t="e">
        <f t="shared" si="199"/>
        <v>#N/A</v>
      </c>
      <c r="X1359" t="e">
        <f>VLOOKUP(P1359,Close[[ID]:[CreatedBy]],8,0)</f>
        <v>#N/A</v>
      </c>
    </row>
    <row r="1360" spans="2:24" x14ac:dyDescent="0.35">
      <c r="B1360" t="str">
        <f>IF(NOT(ISBLANK(A1360)),VLOOKUP(A1360,'BBT3'!A:F,2,0),"")</f>
        <v/>
      </c>
      <c r="C1360" t="str">
        <f>IF(NOT(ISBLANK(A1360)),VLOOKUP(A1360,'BBT3'!A:F,3,0),"")</f>
        <v/>
      </c>
      <c r="D1360" s="5" t="str">
        <f>IF(NOT(ISBLANK(A1360)),VLOOKUP(A1360,'BBT3'!A:F,4,1),"")</f>
        <v/>
      </c>
      <c r="E1360" t="str">
        <f>IF(NOT(ISBLANK(A1360)),VLOOKUP(A1360,'BBT3'!A:F,5,0),"")</f>
        <v/>
      </c>
      <c r="F1360" t="str">
        <f>IF(NOT(ISBLANK(A1360)),VLOOKUP(A1360,'BBT3'!A:F,6,0),"")</f>
        <v/>
      </c>
      <c r="G1360" t="str">
        <f t="shared" si="200"/>
        <v/>
      </c>
      <c r="H1360" t="str">
        <f>IF(NOT(ISBLANK(A1360)),VLOOKUP(A1360,'Close - PriceSaver'!A:J,5,0),"")</f>
        <v/>
      </c>
      <c r="I1360" s="4" t="str" cm="1">
        <f t="array" ref="I1360">IF(NOT(ISBLANK(A1360)),((_xlfn.XLOOKUP(1,(_bbt3[[#All],[ID]]=A1360)*(_bbt3[[#All],[METRIC_NAME]]="YLD_YTM_ASK"),_bbt3[[#All],[METRIC_VALUE]])*0.5)+(_xlfn.XLOOKUP(1,(_bbt3[[#All],[ID]]=A1360)*(_bbt3[[#All],[METRIC_NAME]]="YLD_YTM_BID"),_bbt3[[#All],[METRIC_VALUE]])*0.5))/100,"")</f>
        <v/>
      </c>
      <c r="J1360">
        <f>IF(ISNA(VLOOKUP(A1360,'CloseDL - PriceSaverBBT3'!A:E,5,0)),0,VLOOKUP(A1360,'CloseDL - PriceSaverBBT3'!A:E,5,0))</f>
        <v>0</v>
      </c>
      <c r="K1360" s="7" t="str">
        <f t="shared" si="201"/>
        <v/>
      </c>
      <c r="L1360" s="20">
        <f>IF(Close[[#This Row],[CreatedBy]]="MARINER\SilverAdm",1,0)</f>
        <v>1</v>
      </c>
      <c r="M1360" t="str">
        <f>IF(NOT(ISBLANK(A1360)),VLOOKUP(A1360,'Close - PriceSaver'!A:J,6,0),"")</f>
        <v/>
      </c>
      <c r="Q1360" t="e">
        <f t="shared" si="202"/>
        <v>#N/A</v>
      </c>
      <c r="R1360" t="e">
        <f t="shared" si="203"/>
        <v>#N/A</v>
      </c>
      <c r="S1360" t="e">
        <f t="shared" si="204"/>
        <v>#N/A</v>
      </c>
      <c r="T1360" s="15" t="e">
        <f t="shared" si="197"/>
        <v>#N/A</v>
      </c>
      <c r="U1360" s="18" t="e">
        <f t="shared" si="198"/>
        <v>#N/A</v>
      </c>
      <c r="V1360" s="14" t="e">
        <f t="shared" si="205"/>
        <v>#N/A</v>
      </c>
      <c r="W1360" s="19" t="e">
        <f t="shared" si="199"/>
        <v>#N/A</v>
      </c>
      <c r="X1360" t="e">
        <f>VLOOKUP(P1360,Close[[ID]:[CreatedBy]],8,0)</f>
        <v>#N/A</v>
      </c>
    </row>
    <row r="1361" spans="2:24" x14ac:dyDescent="0.35">
      <c r="B1361" t="str">
        <f>IF(NOT(ISBLANK(A1361)),VLOOKUP(A1361,'BBT3'!A:F,2,0),"")</f>
        <v/>
      </c>
      <c r="C1361" t="str">
        <f>IF(NOT(ISBLANK(A1361)),VLOOKUP(A1361,'BBT3'!A:F,3,0),"")</f>
        <v/>
      </c>
      <c r="D1361" s="5" t="str">
        <f>IF(NOT(ISBLANK(A1361)),VLOOKUP(A1361,'BBT3'!A:F,4,1),"")</f>
        <v/>
      </c>
      <c r="E1361" t="str">
        <f>IF(NOT(ISBLANK(A1361)),VLOOKUP(A1361,'BBT3'!A:F,5,0),"")</f>
        <v/>
      </c>
      <c r="F1361" t="str">
        <f>IF(NOT(ISBLANK(A1361)),VLOOKUP(A1361,'BBT3'!A:F,6,0),"")</f>
        <v/>
      </c>
      <c r="G1361" t="str">
        <f t="shared" si="200"/>
        <v/>
      </c>
      <c r="H1361" t="str">
        <f>IF(NOT(ISBLANK(A1361)),VLOOKUP(A1361,'Close - PriceSaver'!A:J,5,0),"")</f>
        <v/>
      </c>
      <c r="I1361" s="4" t="str" cm="1">
        <f t="array" ref="I1361">IF(NOT(ISBLANK(A1361)),((_xlfn.XLOOKUP(1,(_bbt3[[#All],[ID]]=A1361)*(_bbt3[[#All],[METRIC_NAME]]="YLD_YTM_ASK"),_bbt3[[#All],[METRIC_VALUE]])*0.5)+(_xlfn.XLOOKUP(1,(_bbt3[[#All],[ID]]=A1361)*(_bbt3[[#All],[METRIC_NAME]]="YLD_YTM_BID"),_bbt3[[#All],[METRIC_VALUE]])*0.5))/100,"")</f>
        <v/>
      </c>
      <c r="J1361">
        <f>IF(ISNA(VLOOKUP(A1361,'CloseDL - PriceSaverBBT3'!A:E,5,0)),0,VLOOKUP(A1361,'CloseDL - PriceSaverBBT3'!A:E,5,0))</f>
        <v>0</v>
      </c>
      <c r="K1361" s="7" t="str">
        <f t="shared" si="201"/>
        <v/>
      </c>
      <c r="L1361" s="20">
        <f>IF(Close[[#This Row],[CreatedBy]]="MARINER\SilverAdm",1,0)</f>
        <v>1</v>
      </c>
      <c r="M1361" t="str">
        <f>IF(NOT(ISBLANK(A1361)),VLOOKUP(A1361,'Close - PriceSaver'!A:J,6,0),"")</f>
        <v/>
      </c>
      <c r="Q1361" t="e">
        <f t="shared" si="202"/>
        <v>#N/A</v>
      </c>
      <c r="R1361" t="e">
        <f t="shared" si="203"/>
        <v>#N/A</v>
      </c>
      <c r="S1361" t="e">
        <f t="shared" si="204"/>
        <v>#N/A</v>
      </c>
      <c r="T1361" s="15" t="e">
        <f t="shared" si="197"/>
        <v>#N/A</v>
      </c>
      <c r="U1361" s="18" t="e">
        <f t="shared" si="198"/>
        <v>#N/A</v>
      </c>
      <c r="V1361" s="14" t="e">
        <f t="shared" si="205"/>
        <v>#N/A</v>
      </c>
      <c r="W1361" s="19" t="e">
        <f t="shared" si="199"/>
        <v>#N/A</v>
      </c>
      <c r="X1361" t="e">
        <f>VLOOKUP(P1361,Close[[ID]:[CreatedBy]],8,0)</f>
        <v>#N/A</v>
      </c>
    </row>
    <row r="1362" spans="2:24" x14ac:dyDescent="0.35">
      <c r="B1362" t="str">
        <f>IF(NOT(ISBLANK(A1362)),VLOOKUP(A1362,'BBT3'!A:F,2,0),"")</f>
        <v/>
      </c>
      <c r="C1362" t="str">
        <f>IF(NOT(ISBLANK(A1362)),VLOOKUP(A1362,'BBT3'!A:F,3,0),"")</f>
        <v/>
      </c>
      <c r="D1362" s="5" t="str">
        <f>IF(NOT(ISBLANK(A1362)),VLOOKUP(A1362,'BBT3'!A:F,4,1),"")</f>
        <v/>
      </c>
      <c r="E1362" t="str">
        <f>IF(NOT(ISBLANK(A1362)),VLOOKUP(A1362,'BBT3'!A:F,5,0),"")</f>
        <v/>
      </c>
      <c r="F1362" t="str">
        <f>IF(NOT(ISBLANK(A1362)),VLOOKUP(A1362,'BBT3'!A:F,6,0),"")</f>
        <v/>
      </c>
      <c r="G1362" t="str">
        <f t="shared" si="200"/>
        <v/>
      </c>
      <c r="H1362" t="str">
        <f>IF(NOT(ISBLANK(A1362)),VLOOKUP(A1362,'Close - PriceSaver'!A:J,5,0),"")</f>
        <v/>
      </c>
      <c r="I1362" s="4" t="str" cm="1">
        <f t="array" ref="I1362">IF(NOT(ISBLANK(A1362)),((_xlfn.XLOOKUP(1,(_bbt3[[#All],[ID]]=A1362)*(_bbt3[[#All],[METRIC_NAME]]="YLD_YTM_ASK"),_bbt3[[#All],[METRIC_VALUE]])*0.5)+(_xlfn.XLOOKUP(1,(_bbt3[[#All],[ID]]=A1362)*(_bbt3[[#All],[METRIC_NAME]]="YLD_YTM_BID"),_bbt3[[#All],[METRIC_VALUE]])*0.5))/100,"")</f>
        <v/>
      </c>
      <c r="J1362">
        <f>IF(ISNA(VLOOKUP(A1362,'CloseDL - PriceSaverBBT3'!A:E,5,0)),0,VLOOKUP(A1362,'CloseDL - PriceSaverBBT3'!A:E,5,0))</f>
        <v>0</v>
      </c>
      <c r="K1362" s="7" t="str">
        <f t="shared" si="201"/>
        <v/>
      </c>
      <c r="L1362" s="20">
        <f>IF(Close[[#This Row],[CreatedBy]]="MARINER\SilverAdm",1,0)</f>
        <v>1</v>
      </c>
      <c r="M1362" t="str">
        <f>IF(NOT(ISBLANK(A1362)),VLOOKUP(A1362,'Close - PriceSaver'!A:J,6,0),"")</f>
        <v/>
      </c>
      <c r="Q1362" t="e">
        <f t="shared" si="202"/>
        <v>#N/A</v>
      </c>
      <c r="R1362" t="e">
        <f t="shared" si="203"/>
        <v>#N/A</v>
      </c>
      <c r="S1362" t="e">
        <f t="shared" si="204"/>
        <v>#N/A</v>
      </c>
      <c r="T1362" s="15" t="e">
        <f t="shared" si="197"/>
        <v>#N/A</v>
      </c>
      <c r="U1362" s="18" t="e">
        <f t="shared" si="198"/>
        <v>#N/A</v>
      </c>
      <c r="V1362" s="14" t="e">
        <f t="shared" si="205"/>
        <v>#N/A</v>
      </c>
      <c r="W1362" s="19" t="e">
        <f t="shared" si="199"/>
        <v>#N/A</v>
      </c>
      <c r="X1362" t="e">
        <f>VLOOKUP(P1362,Close[[ID]:[CreatedBy]],8,0)</f>
        <v>#N/A</v>
      </c>
    </row>
    <row r="1363" spans="2:24" x14ac:dyDescent="0.35">
      <c r="B1363" t="str">
        <f>IF(NOT(ISBLANK(A1363)),VLOOKUP(A1363,'BBT3'!A:F,2,0),"")</f>
        <v/>
      </c>
      <c r="C1363" t="str">
        <f>IF(NOT(ISBLANK(A1363)),VLOOKUP(A1363,'BBT3'!A:F,3,0),"")</f>
        <v/>
      </c>
      <c r="D1363" s="5" t="str">
        <f>IF(NOT(ISBLANK(A1363)),VLOOKUP(A1363,'BBT3'!A:F,4,1),"")</f>
        <v/>
      </c>
      <c r="E1363" t="str">
        <f>IF(NOT(ISBLANK(A1363)),VLOOKUP(A1363,'BBT3'!A:F,5,0),"")</f>
        <v/>
      </c>
      <c r="F1363" t="str">
        <f>IF(NOT(ISBLANK(A1363)),VLOOKUP(A1363,'BBT3'!A:F,6,0),"")</f>
        <v/>
      </c>
      <c r="G1363" t="str">
        <f t="shared" si="200"/>
        <v/>
      </c>
      <c r="H1363" t="str">
        <f>IF(NOT(ISBLANK(A1363)),VLOOKUP(A1363,'Close - PriceSaver'!A:J,5,0),"")</f>
        <v/>
      </c>
      <c r="I1363" s="4" t="str" cm="1">
        <f t="array" ref="I1363">IF(NOT(ISBLANK(A1363)),((_xlfn.XLOOKUP(1,(_bbt3[[#All],[ID]]=A1363)*(_bbt3[[#All],[METRIC_NAME]]="YLD_YTM_ASK"),_bbt3[[#All],[METRIC_VALUE]])*0.5)+(_xlfn.XLOOKUP(1,(_bbt3[[#All],[ID]]=A1363)*(_bbt3[[#All],[METRIC_NAME]]="YLD_YTM_BID"),_bbt3[[#All],[METRIC_VALUE]])*0.5))/100,"")</f>
        <v/>
      </c>
      <c r="J1363">
        <f>IF(ISNA(VLOOKUP(A1363,'CloseDL - PriceSaverBBT3'!A:E,5,0)),0,VLOOKUP(A1363,'CloseDL - PriceSaverBBT3'!A:E,5,0))</f>
        <v>0</v>
      </c>
      <c r="K1363" s="7" t="str">
        <f t="shared" si="201"/>
        <v/>
      </c>
      <c r="L1363" s="20">
        <f>IF(Close[[#This Row],[CreatedBy]]="MARINER\SilverAdm",1,0)</f>
        <v>1</v>
      </c>
      <c r="M1363" t="str">
        <f>IF(NOT(ISBLANK(A1363)),VLOOKUP(A1363,'Close - PriceSaver'!A:J,6,0),"")</f>
        <v/>
      </c>
      <c r="Q1363" t="e">
        <f t="shared" si="202"/>
        <v>#N/A</v>
      </c>
      <c r="R1363" t="e">
        <f t="shared" si="203"/>
        <v>#N/A</v>
      </c>
      <c r="S1363" t="e">
        <f t="shared" si="204"/>
        <v>#N/A</v>
      </c>
      <c r="T1363" s="15" t="e">
        <f t="shared" si="197"/>
        <v>#N/A</v>
      </c>
      <c r="U1363" s="18" t="e">
        <f t="shared" si="198"/>
        <v>#N/A</v>
      </c>
      <c r="V1363" s="14" t="e">
        <f t="shared" si="205"/>
        <v>#N/A</v>
      </c>
      <c r="W1363" s="19" t="e">
        <f t="shared" si="199"/>
        <v>#N/A</v>
      </c>
      <c r="X1363" t="e">
        <f>VLOOKUP(P1363,Close[[ID]:[CreatedBy]],8,0)</f>
        <v>#N/A</v>
      </c>
    </row>
    <row r="1364" spans="2:24" x14ac:dyDescent="0.35">
      <c r="B1364" t="str">
        <f>IF(NOT(ISBLANK(A1364)),VLOOKUP(A1364,'BBT3'!A:F,2,0),"")</f>
        <v/>
      </c>
      <c r="C1364" t="str">
        <f>IF(NOT(ISBLANK(A1364)),VLOOKUP(A1364,'BBT3'!A:F,3,0),"")</f>
        <v/>
      </c>
      <c r="D1364" s="5" t="str">
        <f>IF(NOT(ISBLANK(A1364)),VLOOKUP(A1364,'BBT3'!A:F,4,1),"")</f>
        <v/>
      </c>
      <c r="E1364" t="str">
        <f>IF(NOT(ISBLANK(A1364)),VLOOKUP(A1364,'BBT3'!A:F,5,0),"")</f>
        <v/>
      </c>
      <c r="F1364" t="str">
        <f>IF(NOT(ISBLANK(A1364)),VLOOKUP(A1364,'BBT3'!A:F,6,0),"")</f>
        <v/>
      </c>
      <c r="G1364" t="str">
        <f t="shared" si="200"/>
        <v/>
      </c>
      <c r="H1364" t="str">
        <f>IF(NOT(ISBLANK(A1364)),VLOOKUP(A1364,'Close - PriceSaver'!A:J,5,0),"")</f>
        <v/>
      </c>
      <c r="I1364" s="4" t="str" cm="1">
        <f t="array" ref="I1364">IF(NOT(ISBLANK(A1364)),((_xlfn.XLOOKUP(1,(_bbt3[[#All],[ID]]=A1364)*(_bbt3[[#All],[METRIC_NAME]]="YLD_YTM_ASK"),_bbt3[[#All],[METRIC_VALUE]])*0.5)+(_xlfn.XLOOKUP(1,(_bbt3[[#All],[ID]]=A1364)*(_bbt3[[#All],[METRIC_NAME]]="YLD_YTM_BID"),_bbt3[[#All],[METRIC_VALUE]])*0.5))/100,"")</f>
        <v/>
      </c>
      <c r="J1364">
        <f>IF(ISNA(VLOOKUP(A1364,'CloseDL - PriceSaverBBT3'!A:E,5,0)),0,VLOOKUP(A1364,'CloseDL - PriceSaverBBT3'!A:E,5,0))</f>
        <v>0</v>
      </c>
      <c r="K1364" s="7" t="str">
        <f t="shared" si="201"/>
        <v/>
      </c>
      <c r="L1364" s="20">
        <f>IF(Close[[#This Row],[CreatedBy]]="MARINER\SilverAdm",1,0)</f>
        <v>1</v>
      </c>
      <c r="M1364" t="str">
        <f>IF(NOT(ISBLANK(A1364)),VLOOKUP(A1364,'Close - PriceSaver'!A:J,6,0),"")</f>
        <v/>
      </c>
      <c r="Q1364" t="e">
        <f t="shared" si="202"/>
        <v>#N/A</v>
      </c>
      <c r="R1364" t="e">
        <f t="shared" si="203"/>
        <v>#N/A</v>
      </c>
      <c r="S1364" t="e">
        <f t="shared" si="204"/>
        <v>#N/A</v>
      </c>
      <c r="T1364" s="15" t="e">
        <f t="shared" ref="T1364:T1427" si="206">VLOOKUP(Q1364,A:K,5,0)</f>
        <v>#N/A</v>
      </c>
      <c r="U1364" s="18" t="e">
        <f t="shared" ref="U1364:U1427" si="207">VLOOKUP(Q1364,A:K,8,0)</f>
        <v>#N/A</v>
      </c>
      <c r="V1364" s="14" t="e">
        <f t="shared" si="205"/>
        <v>#N/A</v>
      </c>
      <c r="W1364" s="19" t="e">
        <f t="shared" ref="W1364:W1427" si="208">(V1364-U1364)*100</f>
        <v>#N/A</v>
      </c>
      <c r="X1364" t="e">
        <f>VLOOKUP(P1364,Close[[ID]:[CreatedBy]],8,0)</f>
        <v>#N/A</v>
      </c>
    </row>
    <row r="1365" spans="2:24" x14ac:dyDescent="0.35">
      <c r="B1365" t="str">
        <f>IF(NOT(ISBLANK(A1365)),VLOOKUP(A1365,'BBT3'!A:F,2,0),"")</f>
        <v/>
      </c>
      <c r="C1365" t="str">
        <f>IF(NOT(ISBLANK(A1365)),VLOOKUP(A1365,'BBT3'!A:F,3,0),"")</f>
        <v/>
      </c>
      <c r="D1365" s="5" t="str">
        <f>IF(NOT(ISBLANK(A1365)),VLOOKUP(A1365,'BBT3'!A:F,4,1),"")</f>
        <v/>
      </c>
      <c r="E1365" t="str">
        <f>IF(NOT(ISBLANK(A1365)),VLOOKUP(A1365,'BBT3'!A:F,5,0),"")</f>
        <v/>
      </c>
      <c r="F1365" t="str">
        <f>IF(NOT(ISBLANK(A1365)),VLOOKUP(A1365,'BBT3'!A:F,6,0),"")</f>
        <v/>
      </c>
      <c r="G1365" t="str">
        <f t="shared" si="200"/>
        <v/>
      </c>
      <c r="H1365" t="str">
        <f>IF(NOT(ISBLANK(A1365)),VLOOKUP(A1365,'Close - PriceSaver'!A:J,5,0),"")</f>
        <v/>
      </c>
      <c r="I1365" s="4" t="str" cm="1">
        <f t="array" ref="I1365">IF(NOT(ISBLANK(A1365)),((_xlfn.XLOOKUP(1,(_bbt3[[#All],[ID]]=A1365)*(_bbt3[[#All],[METRIC_NAME]]="YLD_YTM_ASK"),_bbt3[[#All],[METRIC_VALUE]])*0.5)+(_xlfn.XLOOKUP(1,(_bbt3[[#All],[ID]]=A1365)*(_bbt3[[#All],[METRIC_NAME]]="YLD_YTM_BID"),_bbt3[[#All],[METRIC_VALUE]])*0.5))/100,"")</f>
        <v/>
      </c>
      <c r="J1365">
        <f>IF(ISNA(VLOOKUP(A1365,'CloseDL - PriceSaverBBT3'!A:E,5,0)),0,VLOOKUP(A1365,'CloseDL - PriceSaverBBT3'!A:E,5,0))</f>
        <v>0</v>
      </c>
      <c r="K1365" s="7" t="str">
        <f t="shared" si="201"/>
        <v/>
      </c>
      <c r="L1365" s="20">
        <f>IF(Close[[#This Row],[CreatedBy]]="MARINER\SilverAdm",1,0)</f>
        <v>1</v>
      </c>
      <c r="M1365" t="str">
        <f>IF(NOT(ISBLANK(A1365)),VLOOKUP(A1365,'Close - PriceSaver'!A:J,6,0),"")</f>
        <v/>
      </c>
      <c r="Q1365" t="e">
        <f t="shared" si="202"/>
        <v>#N/A</v>
      </c>
      <c r="R1365" t="e">
        <f t="shared" si="203"/>
        <v>#N/A</v>
      </c>
      <c r="S1365" t="e">
        <f t="shared" si="204"/>
        <v>#N/A</v>
      </c>
      <c r="T1365" s="15" t="e">
        <f t="shared" si="206"/>
        <v>#N/A</v>
      </c>
      <c r="U1365" s="18" t="e">
        <f t="shared" si="207"/>
        <v>#N/A</v>
      </c>
      <c r="V1365" s="14" t="e">
        <f t="shared" si="205"/>
        <v>#N/A</v>
      </c>
      <c r="W1365" s="19" t="e">
        <f t="shared" si="208"/>
        <v>#N/A</v>
      </c>
      <c r="X1365" t="e">
        <f>VLOOKUP(P1365,Close[[ID]:[CreatedBy]],8,0)</f>
        <v>#N/A</v>
      </c>
    </row>
    <row r="1366" spans="2:24" x14ac:dyDescent="0.35">
      <c r="B1366" t="str">
        <f>IF(NOT(ISBLANK(A1366)),VLOOKUP(A1366,'BBT3'!A:F,2,0),"")</f>
        <v/>
      </c>
      <c r="C1366" t="str">
        <f>IF(NOT(ISBLANK(A1366)),VLOOKUP(A1366,'BBT3'!A:F,3,0),"")</f>
        <v/>
      </c>
      <c r="D1366" s="5" t="str">
        <f>IF(NOT(ISBLANK(A1366)),VLOOKUP(A1366,'BBT3'!A:F,4,1),"")</f>
        <v/>
      </c>
      <c r="E1366" t="str">
        <f>IF(NOT(ISBLANK(A1366)),VLOOKUP(A1366,'BBT3'!A:F,5,0),"")</f>
        <v/>
      </c>
      <c r="F1366" t="str">
        <f>IF(NOT(ISBLANK(A1366)),VLOOKUP(A1366,'BBT3'!A:F,6,0),"")</f>
        <v/>
      </c>
      <c r="G1366" t="str">
        <f t="shared" si="200"/>
        <v/>
      </c>
      <c r="H1366" t="str">
        <f>IF(NOT(ISBLANK(A1366)),VLOOKUP(A1366,'Close - PriceSaver'!A:J,5,0),"")</f>
        <v/>
      </c>
      <c r="I1366" s="4" t="str" cm="1">
        <f t="array" ref="I1366">IF(NOT(ISBLANK(A1366)),((_xlfn.XLOOKUP(1,(_bbt3[[#All],[ID]]=A1366)*(_bbt3[[#All],[METRIC_NAME]]="YLD_YTM_ASK"),_bbt3[[#All],[METRIC_VALUE]])*0.5)+(_xlfn.XLOOKUP(1,(_bbt3[[#All],[ID]]=A1366)*(_bbt3[[#All],[METRIC_NAME]]="YLD_YTM_BID"),_bbt3[[#All],[METRIC_VALUE]])*0.5))/100,"")</f>
        <v/>
      </c>
      <c r="J1366">
        <f>IF(ISNA(VLOOKUP(A1366,'CloseDL - PriceSaverBBT3'!A:E,5,0)),0,VLOOKUP(A1366,'CloseDL - PriceSaverBBT3'!A:E,5,0))</f>
        <v>0</v>
      </c>
      <c r="K1366" s="7" t="str">
        <f t="shared" si="201"/>
        <v/>
      </c>
      <c r="L1366" s="20">
        <f>IF(Close[[#This Row],[CreatedBy]]="MARINER\SilverAdm",1,0)</f>
        <v>1</v>
      </c>
      <c r="M1366" t="str">
        <f>IF(NOT(ISBLANK(A1366)),VLOOKUP(A1366,'Close - PriceSaver'!A:J,6,0),"")</f>
        <v/>
      </c>
      <c r="Q1366" t="e">
        <f t="shared" si="202"/>
        <v>#N/A</v>
      </c>
      <c r="R1366" t="e">
        <f t="shared" si="203"/>
        <v>#N/A</v>
      </c>
      <c r="S1366" t="e">
        <f t="shared" si="204"/>
        <v>#N/A</v>
      </c>
      <c r="T1366" s="15" t="e">
        <f t="shared" si="206"/>
        <v>#N/A</v>
      </c>
      <c r="U1366" s="18" t="e">
        <f t="shared" si="207"/>
        <v>#N/A</v>
      </c>
      <c r="V1366" s="14" t="e">
        <f t="shared" si="205"/>
        <v>#N/A</v>
      </c>
      <c r="W1366" s="19" t="e">
        <f t="shared" si="208"/>
        <v>#N/A</v>
      </c>
      <c r="X1366" t="e">
        <f>VLOOKUP(P1366,Close[[ID]:[CreatedBy]],8,0)</f>
        <v>#N/A</v>
      </c>
    </row>
    <row r="1367" spans="2:24" x14ac:dyDescent="0.35">
      <c r="B1367" t="str">
        <f>IF(NOT(ISBLANK(A1367)),VLOOKUP(A1367,'BBT3'!A:F,2,0),"")</f>
        <v/>
      </c>
      <c r="C1367" t="str">
        <f>IF(NOT(ISBLANK(A1367)),VLOOKUP(A1367,'BBT3'!A:F,3,0),"")</f>
        <v/>
      </c>
      <c r="D1367" s="5" t="str">
        <f>IF(NOT(ISBLANK(A1367)),VLOOKUP(A1367,'BBT3'!A:F,4,1),"")</f>
        <v/>
      </c>
      <c r="E1367" t="str">
        <f>IF(NOT(ISBLANK(A1367)),VLOOKUP(A1367,'BBT3'!A:F,5,0),"")</f>
        <v/>
      </c>
      <c r="F1367" t="str">
        <f>IF(NOT(ISBLANK(A1367)),VLOOKUP(A1367,'BBT3'!A:F,6,0),"")</f>
        <v/>
      </c>
      <c r="G1367" t="str">
        <f t="shared" si="200"/>
        <v/>
      </c>
      <c r="H1367" t="str">
        <f>IF(NOT(ISBLANK(A1367)),VLOOKUP(A1367,'Close - PriceSaver'!A:J,5,0),"")</f>
        <v/>
      </c>
      <c r="I1367" s="4" t="str" cm="1">
        <f t="array" ref="I1367">IF(NOT(ISBLANK(A1367)),((_xlfn.XLOOKUP(1,(_bbt3[[#All],[ID]]=A1367)*(_bbt3[[#All],[METRIC_NAME]]="YLD_YTM_ASK"),_bbt3[[#All],[METRIC_VALUE]])*0.5)+(_xlfn.XLOOKUP(1,(_bbt3[[#All],[ID]]=A1367)*(_bbt3[[#All],[METRIC_NAME]]="YLD_YTM_BID"),_bbt3[[#All],[METRIC_VALUE]])*0.5))/100,"")</f>
        <v/>
      </c>
      <c r="J1367">
        <f>IF(ISNA(VLOOKUP(A1367,'CloseDL - PriceSaverBBT3'!A:E,5,0)),0,VLOOKUP(A1367,'CloseDL - PriceSaverBBT3'!A:E,5,0))</f>
        <v>0</v>
      </c>
      <c r="K1367" s="7" t="str">
        <f t="shared" si="201"/>
        <v/>
      </c>
      <c r="L1367" s="20">
        <f>IF(Close[[#This Row],[CreatedBy]]="MARINER\SilverAdm",1,0)</f>
        <v>1</v>
      </c>
      <c r="M1367" t="str">
        <f>IF(NOT(ISBLANK(A1367)),VLOOKUP(A1367,'Close - PriceSaver'!A:J,6,0),"")</f>
        <v/>
      </c>
      <c r="Q1367" t="e">
        <f t="shared" si="202"/>
        <v>#N/A</v>
      </c>
      <c r="R1367" t="e">
        <f t="shared" si="203"/>
        <v>#N/A</v>
      </c>
      <c r="S1367" t="e">
        <f t="shared" si="204"/>
        <v>#N/A</v>
      </c>
      <c r="T1367" s="15" t="e">
        <f t="shared" si="206"/>
        <v>#N/A</v>
      </c>
      <c r="U1367" s="18" t="e">
        <f t="shared" si="207"/>
        <v>#N/A</v>
      </c>
      <c r="V1367" s="14" t="e">
        <f t="shared" si="205"/>
        <v>#N/A</v>
      </c>
      <c r="W1367" s="19" t="e">
        <f t="shared" si="208"/>
        <v>#N/A</v>
      </c>
      <c r="X1367" t="e">
        <f>VLOOKUP(P1367,Close[[ID]:[CreatedBy]],8,0)</f>
        <v>#N/A</v>
      </c>
    </row>
    <row r="1368" spans="2:24" x14ac:dyDescent="0.35">
      <c r="B1368" t="str">
        <f>IF(NOT(ISBLANK(A1368)),VLOOKUP(A1368,'BBT3'!A:F,2,0),"")</f>
        <v/>
      </c>
      <c r="C1368" t="str">
        <f>IF(NOT(ISBLANK(A1368)),VLOOKUP(A1368,'BBT3'!A:F,3,0),"")</f>
        <v/>
      </c>
      <c r="D1368" s="5" t="str">
        <f>IF(NOT(ISBLANK(A1368)),VLOOKUP(A1368,'BBT3'!A:F,4,1),"")</f>
        <v/>
      </c>
      <c r="E1368" t="str">
        <f>IF(NOT(ISBLANK(A1368)),VLOOKUP(A1368,'BBT3'!A:F,5,0),"")</f>
        <v/>
      </c>
      <c r="F1368" t="str">
        <f>IF(NOT(ISBLANK(A1368)),VLOOKUP(A1368,'BBT3'!A:F,6,0),"")</f>
        <v/>
      </c>
      <c r="G1368" t="str">
        <f t="shared" si="200"/>
        <v/>
      </c>
      <c r="H1368" t="str">
        <f>IF(NOT(ISBLANK(A1368)),VLOOKUP(A1368,'Close - PriceSaver'!A:J,5,0),"")</f>
        <v/>
      </c>
      <c r="I1368" s="4" t="str" cm="1">
        <f t="array" ref="I1368">IF(NOT(ISBLANK(A1368)),((_xlfn.XLOOKUP(1,(_bbt3[[#All],[ID]]=A1368)*(_bbt3[[#All],[METRIC_NAME]]="YLD_YTM_ASK"),_bbt3[[#All],[METRIC_VALUE]])*0.5)+(_xlfn.XLOOKUP(1,(_bbt3[[#All],[ID]]=A1368)*(_bbt3[[#All],[METRIC_NAME]]="YLD_YTM_BID"),_bbt3[[#All],[METRIC_VALUE]])*0.5))/100,"")</f>
        <v/>
      </c>
      <c r="J1368">
        <f>IF(ISNA(VLOOKUP(A1368,'CloseDL - PriceSaverBBT3'!A:E,5,0)),0,VLOOKUP(A1368,'CloseDL - PriceSaverBBT3'!A:E,5,0))</f>
        <v>0</v>
      </c>
      <c r="K1368" s="7" t="str">
        <f t="shared" si="201"/>
        <v/>
      </c>
      <c r="L1368" s="20">
        <f>IF(Close[[#This Row],[CreatedBy]]="MARINER\SilverAdm",1,0)</f>
        <v>1</v>
      </c>
      <c r="M1368" t="str">
        <f>IF(NOT(ISBLANK(A1368)),VLOOKUP(A1368,'Close - PriceSaver'!A:J,6,0),"")</f>
        <v/>
      </c>
      <c r="Q1368" t="e">
        <f t="shared" si="202"/>
        <v>#N/A</v>
      </c>
      <c r="R1368" t="e">
        <f t="shared" si="203"/>
        <v>#N/A</v>
      </c>
      <c r="S1368" t="e">
        <f t="shared" si="204"/>
        <v>#N/A</v>
      </c>
      <c r="T1368" s="15" t="e">
        <f t="shared" si="206"/>
        <v>#N/A</v>
      </c>
      <c r="U1368" s="18" t="e">
        <f t="shared" si="207"/>
        <v>#N/A</v>
      </c>
      <c r="V1368" s="14" t="e">
        <f t="shared" si="205"/>
        <v>#N/A</v>
      </c>
      <c r="W1368" s="19" t="e">
        <f t="shared" si="208"/>
        <v>#N/A</v>
      </c>
      <c r="X1368" t="e">
        <f>VLOOKUP(P1368,Close[[ID]:[CreatedBy]],8,0)</f>
        <v>#N/A</v>
      </c>
    </row>
    <row r="1369" spans="2:24" x14ac:dyDescent="0.35">
      <c r="B1369" t="str">
        <f>IF(NOT(ISBLANK(A1369)),VLOOKUP(A1369,'BBT3'!A:F,2,0),"")</f>
        <v/>
      </c>
      <c r="C1369" t="str">
        <f>IF(NOT(ISBLANK(A1369)),VLOOKUP(A1369,'BBT3'!A:F,3,0),"")</f>
        <v/>
      </c>
      <c r="D1369" s="5" t="str">
        <f>IF(NOT(ISBLANK(A1369)),VLOOKUP(A1369,'BBT3'!A:F,4,1),"")</f>
        <v/>
      </c>
      <c r="E1369" t="str">
        <f>IF(NOT(ISBLANK(A1369)),VLOOKUP(A1369,'BBT3'!A:F,5,0),"")</f>
        <v/>
      </c>
      <c r="F1369" t="str">
        <f>IF(NOT(ISBLANK(A1369)),VLOOKUP(A1369,'BBT3'!A:F,6,0),"")</f>
        <v/>
      </c>
      <c r="G1369" t="str">
        <f t="shared" si="200"/>
        <v/>
      </c>
      <c r="H1369" t="str">
        <f>IF(NOT(ISBLANK(A1369)),VLOOKUP(A1369,'Close - PriceSaver'!A:J,5,0),"")</f>
        <v/>
      </c>
      <c r="I1369" s="4" t="str" cm="1">
        <f t="array" ref="I1369">IF(NOT(ISBLANK(A1369)),((_xlfn.XLOOKUP(1,(_bbt3[[#All],[ID]]=A1369)*(_bbt3[[#All],[METRIC_NAME]]="YLD_YTM_ASK"),_bbt3[[#All],[METRIC_VALUE]])*0.5)+(_xlfn.XLOOKUP(1,(_bbt3[[#All],[ID]]=A1369)*(_bbt3[[#All],[METRIC_NAME]]="YLD_YTM_BID"),_bbt3[[#All],[METRIC_VALUE]])*0.5))/100,"")</f>
        <v/>
      </c>
      <c r="J1369">
        <f>IF(ISNA(VLOOKUP(A1369,'CloseDL - PriceSaverBBT3'!A:E,5,0)),0,VLOOKUP(A1369,'CloseDL - PriceSaverBBT3'!A:E,5,0))</f>
        <v>0</v>
      </c>
      <c r="K1369" s="7" t="str">
        <f t="shared" si="201"/>
        <v/>
      </c>
      <c r="L1369" s="20">
        <f>IF(Close[[#This Row],[CreatedBy]]="MARINER\SilverAdm",1,0)</f>
        <v>1</v>
      </c>
      <c r="M1369" t="str">
        <f>IF(NOT(ISBLANK(A1369)),VLOOKUP(A1369,'Close - PriceSaver'!A:J,6,0),"")</f>
        <v/>
      </c>
      <c r="Q1369" t="e">
        <f t="shared" si="202"/>
        <v>#N/A</v>
      </c>
      <c r="R1369" t="e">
        <f t="shared" si="203"/>
        <v>#N/A</v>
      </c>
      <c r="S1369" t="e">
        <f t="shared" si="204"/>
        <v>#N/A</v>
      </c>
      <c r="T1369" s="15" t="e">
        <f t="shared" si="206"/>
        <v>#N/A</v>
      </c>
      <c r="U1369" s="18" t="e">
        <f t="shared" si="207"/>
        <v>#N/A</v>
      </c>
      <c r="V1369" s="14" t="e">
        <f t="shared" si="205"/>
        <v>#N/A</v>
      </c>
      <c r="W1369" s="19" t="e">
        <f t="shared" si="208"/>
        <v>#N/A</v>
      </c>
      <c r="X1369" t="e">
        <f>VLOOKUP(P1369,Close[[ID]:[CreatedBy]],8,0)</f>
        <v>#N/A</v>
      </c>
    </row>
    <row r="1370" spans="2:24" x14ac:dyDescent="0.35">
      <c r="B1370" t="str">
        <f>IF(NOT(ISBLANK(A1370)),VLOOKUP(A1370,'BBT3'!A:F,2,0),"")</f>
        <v/>
      </c>
      <c r="C1370" t="str">
        <f>IF(NOT(ISBLANK(A1370)),VLOOKUP(A1370,'BBT3'!A:F,3,0),"")</f>
        <v/>
      </c>
      <c r="D1370" s="5" t="str">
        <f>IF(NOT(ISBLANK(A1370)),VLOOKUP(A1370,'BBT3'!A:F,4,1),"")</f>
        <v/>
      </c>
      <c r="E1370" t="str">
        <f>IF(NOT(ISBLANK(A1370)),VLOOKUP(A1370,'BBT3'!A:F,5,0),"")</f>
        <v/>
      </c>
      <c r="F1370" t="str">
        <f>IF(NOT(ISBLANK(A1370)),VLOOKUP(A1370,'BBT3'!A:F,6,0),"")</f>
        <v/>
      </c>
      <c r="G1370" t="str">
        <f t="shared" si="200"/>
        <v/>
      </c>
      <c r="H1370" t="str">
        <f>IF(NOT(ISBLANK(A1370)),VLOOKUP(A1370,'Close - PriceSaver'!A:J,5,0),"")</f>
        <v/>
      </c>
      <c r="I1370" s="4" t="str" cm="1">
        <f t="array" ref="I1370">IF(NOT(ISBLANK(A1370)),((_xlfn.XLOOKUP(1,(_bbt3[[#All],[ID]]=A1370)*(_bbt3[[#All],[METRIC_NAME]]="YLD_YTM_ASK"),_bbt3[[#All],[METRIC_VALUE]])*0.5)+(_xlfn.XLOOKUP(1,(_bbt3[[#All],[ID]]=A1370)*(_bbt3[[#All],[METRIC_NAME]]="YLD_YTM_BID"),_bbt3[[#All],[METRIC_VALUE]])*0.5))/100,"")</f>
        <v/>
      </c>
      <c r="J1370">
        <f>IF(ISNA(VLOOKUP(A1370,'CloseDL - PriceSaverBBT3'!A:E,5,0)),0,VLOOKUP(A1370,'CloseDL - PriceSaverBBT3'!A:E,5,0))</f>
        <v>0</v>
      </c>
      <c r="K1370" s="7" t="str">
        <f t="shared" si="201"/>
        <v/>
      </c>
      <c r="L1370" s="20">
        <f>IF(Close[[#This Row],[CreatedBy]]="MARINER\SilverAdm",1,0)</f>
        <v>1</v>
      </c>
      <c r="M1370" t="str">
        <f>IF(NOT(ISBLANK(A1370)),VLOOKUP(A1370,'Close - PriceSaver'!A:J,6,0),"")</f>
        <v/>
      </c>
      <c r="Q1370" t="e">
        <f t="shared" si="202"/>
        <v>#N/A</v>
      </c>
      <c r="R1370" t="e">
        <f t="shared" si="203"/>
        <v>#N/A</v>
      </c>
      <c r="S1370" t="e">
        <f t="shared" si="204"/>
        <v>#N/A</v>
      </c>
      <c r="T1370" s="15" t="e">
        <f t="shared" si="206"/>
        <v>#N/A</v>
      </c>
      <c r="U1370" s="18" t="e">
        <f t="shared" si="207"/>
        <v>#N/A</v>
      </c>
      <c r="V1370" s="14" t="e">
        <f t="shared" si="205"/>
        <v>#N/A</v>
      </c>
      <c r="W1370" s="19" t="e">
        <f t="shared" si="208"/>
        <v>#N/A</v>
      </c>
      <c r="X1370" t="e">
        <f>VLOOKUP(P1370,Close[[ID]:[CreatedBy]],8,0)</f>
        <v>#N/A</v>
      </c>
    </row>
    <row r="1371" spans="2:24" x14ac:dyDescent="0.35">
      <c r="B1371" t="str">
        <f>IF(NOT(ISBLANK(A1371)),VLOOKUP(A1371,'BBT3'!A:F,2,0),"")</f>
        <v/>
      </c>
      <c r="C1371" t="str">
        <f>IF(NOT(ISBLANK(A1371)),VLOOKUP(A1371,'BBT3'!A:F,3,0),"")</f>
        <v/>
      </c>
      <c r="D1371" s="5" t="str">
        <f>IF(NOT(ISBLANK(A1371)),VLOOKUP(A1371,'BBT3'!A:F,4,1),"")</f>
        <v/>
      </c>
      <c r="E1371" t="str">
        <f>IF(NOT(ISBLANK(A1371)),VLOOKUP(A1371,'BBT3'!A:F,5,0),"")</f>
        <v/>
      </c>
      <c r="F1371" t="str">
        <f>IF(NOT(ISBLANK(A1371)),VLOOKUP(A1371,'BBT3'!A:F,6,0),"")</f>
        <v/>
      </c>
      <c r="G1371" t="str">
        <f t="shared" si="200"/>
        <v/>
      </c>
      <c r="H1371" t="str">
        <f>IF(NOT(ISBLANK(A1371)),VLOOKUP(A1371,'Close - PriceSaver'!A:J,5,0),"")</f>
        <v/>
      </c>
      <c r="I1371" s="4" t="str" cm="1">
        <f t="array" ref="I1371">IF(NOT(ISBLANK(A1371)),((_xlfn.XLOOKUP(1,(_bbt3[[#All],[ID]]=A1371)*(_bbt3[[#All],[METRIC_NAME]]="YLD_YTM_ASK"),_bbt3[[#All],[METRIC_VALUE]])*0.5)+(_xlfn.XLOOKUP(1,(_bbt3[[#All],[ID]]=A1371)*(_bbt3[[#All],[METRIC_NAME]]="YLD_YTM_BID"),_bbt3[[#All],[METRIC_VALUE]])*0.5))/100,"")</f>
        <v/>
      </c>
      <c r="J1371">
        <f>IF(ISNA(VLOOKUP(A1371,'CloseDL - PriceSaverBBT3'!A:E,5,0)),0,VLOOKUP(A1371,'CloseDL - PriceSaverBBT3'!A:E,5,0))</f>
        <v>0</v>
      </c>
      <c r="K1371" s="7" t="str">
        <f t="shared" si="201"/>
        <v/>
      </c>
      <c r="L1371" s="20">
        <f>IF(Close[[#This Row],[CreatedBy]]="MARINER\SilverAdm",1,0)</f>
        <v>1</v>
      </c>
      <c r="M1371" t="str">
        <f>IF(NOT(ISBLANK(A1371)),VLOOKUP(A1371,'Close - PriceSaver'!A:J,6,0),"")</f>
        <v/>
      </c>
      <c r="Q1371" t="e">
        <f t="shared" si="202"/>
        <v>#N/A</v>
      </c>
      <c r="R1371" t="e">
        <f t="shared" si="203"/>
        <v>#N/A</v>
      </c>
      <c r="S1371" t="e">
        <f t="shared" si="204"/>
        <v>#N/A</v>
      </c>
      <c r="T1371" s="15" t="e">
        <f t="shared" si="206"/>
        <v>#N/A</v>
      </c>
      <c r="U1371" s="18" t="e">
        <f t="shared" si="207"/>
        <v>#N/A</v>
      </c>
      <c r="V1371" s="14" t="e">
        <f t="shared" si="205"/>
        <v>#N/A</v>
      </c>
      <c r="W1371" s="19" t="e">
        <f t="shared" si="208"/>
        <v>#N/A</v>
      </c>
      <c r="X1371" t="e">
        <f>VLOOKUP(P1371,Close[[ID]:[CreatedBy]],8,0)</f>
        <v>#N/A</v>
      </c>
    </row>
    <row r="1372" spans="2:24" x14ac:dyDescent="0.35">
      <c r="B1372" t="str">
        <f>IF(NOT(ISBLANK(A1372)),VLOOKUP(A1372,'BBT3'!A:F,2,0),"")</f>
        <v/>
      </c>
      <c r="C1372" t="str">
        <f>IF(NOT(ISBLANK(A1372)),VLOOKUP(A1372,'BBT3'!A:F,3,0),"")</f>
        <v/>
      </c>
      <c r="D1372" s="5" t="str">
        <f>IF(NOT(ISBLANK(A1372)),VLOOKUP(A1372,'BBT3'!A:F,4,1),"")</f>
        <v/>
      </c>
      <c r="E1372" t="str">
        <f>IF(NOT(ISBLANK(A1372)),VLOOKUP(A1372,'BBT3'!A:F,5,0),"")</f>
        <v/>
      </c>
      <c r="F1372" t="str">
        <f>IF(NOT(ISBLANK(A1372)),VLOOKUP(A1372,'BBT3'!A:F,6,0),"")</f>
        <v/>
      </c>
      <c r="G1372" t="str">
        <f t="shared" si="200"/>
        <v/>
      </c>
      <c r="H1372" t="str">
        <f>IF(NOT(ISBLANK(A1372)),VLOOKUP(A1372,'Close - PriceSaver'!A:J,5,0),"")</f>
        <v/>
      </c>
      <c r="I1372" s="4" t="str" cm="1">
        <f t="array" ref="I1372">IF(NOT(ISBLANK(A1372)),((_xlfn.XLOOKUP(1,(_bbt3[[#All],[ID]]=A1372)*(_bbt3[[#All],[METRIC_NAME]]="YLD_YTM_ASK"),_bbt3[[#All],[METRIC_VALUE]])*0.5)+(_xlfn.XLOOKUP(1,(_bbt3[[#All],[ID]]=A1372)*(_bbt3[[#All],[METRIC_NAME]]="YLD_YTM_BID"),_bbt3[[#All],[METRIC_VALUE]])*0.5))/100,"")</f>
        <v/>
      </c>
      <c r="J1372">
        <f>IF(ISNA(VLOOKUP(A1372,'CloseDL - PriceSaverBBT3'!A:E,5,0)),0,VLOOKUP(A1372,'CloseDL - PriceSaverBBT3'!A:E,5,0))</f>
        <v>0</v>
      </c>
      <c r="K1372" s="7" t="str">
        <f t="shared" si="201"/>
        <v/>
      </c>
      <c r="L1372" s="20">
        <f>IF(Close[[#This Row],[CreatedBy]]="MARINER\SilverAdm",1,0)</f>
        <v>1</v>
      </c>
      <c r="M1372" t="str">
        <f>IF(NOT(ISBLANK(A1372)),VLOOKUP(A1372,'Close - PriceSaver'!A:J,6,0),"")</f>
        <v/>
      </c>
      <c r="Q1372" t="e">
        <f t="shared" si="202"/>
        <v>#N/A</v>
      </c>
      <c r="R1372" t="e">
        <f t="shared" si="203"/>
        <v>#N/A</v>
      </c>
      <c r="S1372" t="e">
        <f t="shared" si="204"/>
        <v>#N/A</v>
      </c>
      <c r="T1372" s="15" t="e">
        <f t="shared" si="206"/>
        <v>#N/A</v>
      </c>
      <c r="U1372" s="18" t="e">
        <f t="shared" si="207"/>
        <v>#N/A</v>
      </c>
      <c r="V1372" s="14" t="e">
        <f t="shared" si="205"/>
        <v>#N/A</v>
      </c>
      <c r="W1372" s="19" t="e">
        <f t="shared" si="208"/>
        <v>#N/A</v>
      </c>
      <c r="X1372" t="e">
        <f>VLOOKUP(P1372,Close[[ID]:[CreatedBy]],8,0)</f>
        <v>#N/A</v>
      </c>
    </row>
    <row r="1373" spans="2:24" x14ac:dyDescent="0.35">
      <c r="B1373" t="str">
        <f>IF(NOT(ISBLANK(A1373)),VLOOKUP(A1373,'BBT3'!A:F,2,0),"")</f>
        <v/>
      </c>
      <c r="C1373" t="str">
        <f>IF(NOT(ISBLANK(A1373)),VLOOKUP(A1373,'BBT3'!A:F,3,0),"")</f>
        <v/>
      </c>
      <c r="D1373" s="5" t="str">
        <f>IF(NOT(ISBLANK(A1373)),VLOOKUP(A1373,'BBT3'!A:F,4,1),"")</f>
        <v/>
      </c>
      <c r="E1373" t="str">
        <f>IF(NOT(ISBLANK(A1373)),VLOOKUP(A1373,'BBT3'!A:F,5,0),"")</f>
        <v/>
      </c>
      <c r="F1373" t="str">
        <f>IF(NOT(ISBLANK(A1373)),VLOOKUP(A1373,'BBT3'!A:F,6,0),"")</f>
        <v/>
      </c>
      <c r="G1373" t="str">
        <f t="shared" si="200"/>
        <v/>
      </c>
      <c r="H1373" t="str">
        <f>IF(NOT(ISBLANK(A1373)),VLOOKUP(A1373,'Close - PriceSaver'!A:J,5,0),"")</f>
        <v/>
      </c>
      <c r="I1373" s="4" t="str" cm="1">
        <f t="array" ref="I1373">IF(NOT(ISBLANK(A1373)),((_xlfn.XLOOKUP(1,(_bbt3[[#All],[ID]]=A1373)*(_bbt3[[#All],[METRIC_NAME]]="YLD_YTM_ASK"),_bbt3[[#All],[METRIC_VALUE]])*0.5)+(_xlfn.XLOOKUP(1,(_bbt3[[#All],[ID]]=A1373)*(_bbt3[[#All],[METRIC_NAME]]="YLD_YTM_BID"),_bbt3[[#All],[METRIC_VALUE]])*0.5))/100,"")</f>
        <v/>
      </c>
      <c r="J1373">
        <f>IF(ISNA(VLOOKUP(A1373,'CloseDL - PriceSaverBBT3'!A:E,5,0)),0,VLOOKUP(A1373,'CloseDL - PriceSaverBBT3'!A:E,5,0))</f>
        <v>0</v>
      </c>
      <c r="K1373" s="7" t="str">
        <f t="shared" si="201"/>
        <v/>
      </c>
      <c r="L1373" s="20">
        <f>IF(Close[[#This Row],[CreatedBy]]="MARINER\SilverAdm",1,0)</f>
        <v>1</v>
      </c>
      <c r="M1373" t="str">
        <f>IF(NOT(ISBLANK(A1373)),VLOOKUP(A1373,'Close - PriceSaver'!A:J,6,0),"")</f>
        <v/>
      </c>
      <c r="Q1373" t="e">
        <f t="shared" si="202"/>
        <v>#N/A</v>
      </c>
      <c r="R1373" t="e">
        <f t="shared" si="203"/>
        <v>#N/A</v>
      </c>
      <c r="S1373" t="e">
        <f t="shared" si="204"/>
        <v>#N/A</v>
      </c>
      <c r="T1373" s="15" t="e">
        <f t="shared" si="206"/>
        <v>#N/A</v>
      </c>
      <c r="U1373" s="18" t="e">
        <f t="shared" si="207"/>
        <v>#N/A</v>
      </c>
      <c r="V1373" s="14" t="e">
        <f t="shared" si="205"/>
        <v>#N/A</v>
      </c>
      <c r="W1373" s="19" t="e">
        <f t="shared" si="208"/>
        <v>#N/A</v>
      </c>
      <c r="X1373" t="e">
        <f>VLOOKUP(P1373,Close[[ID]:[CreatedBy]],8,0)</f>
        <v>#N/A</v>
      </c>
    </row>
    <row r="1374" spans="2:24" x14ac:dyDescent="0.35">
      <c r="B1374" t="str">
        <f>IF(NOT(ISBLANK(A1374)),VLOOKUP(A1374,'BBT3'!A:F,2,0),"")</f>
        <v/>
      </c>
      <c r="C1374" t="str">
        <f>IF(NOT(ISBLANK(A1374)),VLOOKUP(A1374,'BBT3'!A:F,3,0),"")</f>
        <v/>
      </c>
      <c r="D1374" s="5" t="str">
        <f>IF(NOT(ISBLANK(A1374)),VLOOKUP(A1374,'BBT3'!A:F,4,1),"")</f>
        <v/>
      </c>
      <c r="E1374" t="str">
        <f>IF(NOT(ISBLANK(A1374)),VLOOKUP(A1374,'BBT3'!A:F,5,0),"")</f>
        <v/>
      </c>
      <c r="F1374" t="str">
        <f>IF(NOT(ISBLANK(A1374)),VLOOKUP(A1374,'BBT3'!A:F,6,0),"")</f>
        <v/>
      </c>
      <c r="G1374" t="str">
        <f t="shared" si="200"/>
        <v/>
      </c>
      <c r="H1374" t="str">
        <f>IF(NOT(ISBLANK(A1374)),VLOOKUP(A1374,'Close - PriceSaver'!A:J,5,0),"")</f>
        <v/>
      </c>
      <c r="I1374" s="4" t="str" cm="1">
        <f t="array" ref="I1374">IF(NOT(ISBLANK(A1374)),((_xlfn.XLOOKUP(1,(_bbt3[[#All],[ID]]=A1374)*(_bbt3[[#All],[METRIC_NAME]]="YLD_YTM_ASK"),_bbt3[[#All],[METRIC_VALUE]])*0.5)+(_xlfn.XLOOKUP(1,(_bbt3[[#All],[ID]]=A1374)*(_bbt3[[#All],[METRIC_NAME]]="YLD_YTM_BID"),_bbt3[[#All],[METRIC_VALUE]])*0.5))/100,"")</f>
        <v/>
      </c>
      <c r="J1374">
        <f>IF(ISNA(VLOOKUP(A1374,'CloseDL - PriceSaverBBT3'!A:E,5,0)),0,VLOOKUP(A1374,'CloseDL - PriceSaverBBT3'!A:E,5,0))</f>
        <v>0</v>
      </c>
      <c r="K1374" s="7" t="str">
        <f t="shared" si="201"/>
        <v/>
      </c>
      <c r="L1374" s="20">
        <f>IF(Close[[#This Row],[CreatedBy]]="MARINER\SilverAdm",1,0)</f>
        <v>1</v>
      </c>
      <c r="M1374" t="str">
        <f>IF(NOT(ISBLANK(A1374)),VLOOKUP(A1374,'Close - PriceSaver'!A:J,6,0),"")</f>
        <v/>
      </c>
      <c r="Q1374" t="e">
        <f t="shared" si="202"/>
        <v>#N/A</v>
      </c>
      <c r="R1374" t="e">
        <f t="shared" si="203"/>
        <v>#N/A</v>
      </c>
      <c r="S1374" t="e">
        <f t="shared" si="204"/>
        <v>#N/A</v>
      </c>
      <c r="T1374" s="15" t="e">
        <f t="shared" si="206"/>
        <v>#N/A</v>
      </c>
      <c r="U1374" s="18" t="e">
        <f t="shared" si="207"/>
        <v>#N/A</v>
      </c>
      <c r="V1374" s="14" t="e">
        <f t="shared" si="205"/>
        <v>#N/A</v>
      </c>
      <c r="W1374" s="19" t="e">
        <f t="shared" si="208"/>
        <v>#N/A</v>
      </c>
      <c r="X1374" t="e">
        <f>VLOOKUP(P1374,Close[[ID]:[CreatedBy]],8,0)</f>
        <v>#N/A</v>
      </c>
    </row>
    <row r="1375" spans="2:24" x14ac:dyDescent="0.35">
      <c r="B1375" t="str">
        <f>IF(NOT(ISBLANK(A1375)),VLOOKUP(A1375,'BBT3'!A:F,2,0),"")</f>
        <v/>
      </c>
      <c r="C1375" t="str">
        <f>IF(NOT(ISBLANK(A1375)),VLOOKUP(A1375,'BBT3'!A:F,3,0),"")</f>
        <v/>
      </c>
      <c r="D1375" s="5" t="str">
        <f>IF(NOT(ISBLANK(A1375)),VLOOKUP(A1375,'BBT3'!A:F,4,1),"")</f>
        <v/>
      </c>
      <c r="E1375" t="str">
        <f>IF(NOT(ISBLANK(A1375)),VLOOKUP(A1375,'BBT3'!A:F,5,0),"")</f>
        <v/>
      </c>
      <c r="F1375" t="str">
        <f>IF(NOT(ISBLANK(A1375)),VLOOKUP(A1375,'BBT3'!A:F,6,0),"")</f>
        <v/>
      </c>
      <c r="G1375" t="str">
        <f t="shared" si="200"/>
        <v/>
      </c>
      <c r="H1375" t="str">
        <f>IF(NOT(ISBLANK(A1375)),VLOOKUP(A1375,'Close - PriceSaver'!A:J,5,0),"")</f>
        <v/>
      </c>
      <c r="I1375" s="4" t="str" cm="1">
        <f t="array" ref="I1375">IF(NOT(ISBLANK(A1375)),((_xlfn.XLOOKUP(1,(_bbt3[[#All],[ID]]=A1375)*(_bbt3[[#All],[METRIC_NAME]]="YLD_YTM_ASK"),_bbt3[[#All],[METRIC_VALUE]])*0.5)+(_xlfn.XLOOKUP(1,(_bbt3[[#All],[ID]]=A1375)*(_bbt3[[#All],[METRIC_NAME]]="YLD_YTM_BID"),_bbt3[[#All],[METRIC_VALUE]])*0.5))/100,"")</f>
        <v/>
      </c>
      <c r="J1375">
        <f>IF(ISNA(VLOOKUP(A1375,'CloseDL - PriceSaverBBT3'!A:E,5,0)),0,VLOOKUP(A1375,'CloseDL - PriceSaverBBT3'!A:E,5,0))</f>
        <v>0</v>
      </c>
      <c r="K1375" s="7" t="str">
        <f t="shared" si="201"/>
        <v/>
      </c>
      <c r="L1375" s="20">
        <f>IF(Close[[#This Row],[CreatedBy]]="MARINER\SilverAdm",1,0)</f>
        <v>1</v>
      </c>
      <c r="M1375" t="str">
        <f>IF(NOT(ISBLANK(A1375)),VLOOKUP(A1375,'Close - PriceSaver'!A:J,6,0),"")</f>
        <v/>
      </c>
      <c r="Q1375" t="e">
        <f t="shared" si="202"/>
        <v>#N/A</v>
      </c>
      <c r="R1375" t="e">
        <f t="shared" si="203"/>
        <v>#N/A</v>
      </c>
      <c r="S1375" t="e">
        <f t="shared" si="204"/>
        <v>#N/A</v>
      </c>
      <c r="T1375" s="15" t="e">
        <f t="shared" si="206"/>
        <v>#N/A</v>
      </c>
      <c r="U1375" s="18" t="e">
        <f t="shared" si="207"/>
        <v>#N/A</v>
      </c>
      <c r="V1375" s="14" t="e">
        <f t="shared" si="205"/>
        <v>#N/A</v>
      </c>
      <c r="W1375" s="19" t="e">
        <f t="shared" si="208"/>
        <v>#N/A</v>
      </c>
      <c r="X1375" t="e">
        <f>VLOOKUP(P1375,Close[[ID]:[CreatedBy]],8,0)</f>
        <v>#N/A</v>
      </c>
    </row>
    <row r="1376" spans="2:24" x14ac:dyDescent="0.35">
      <c r="B1376" t="str">
        <f>IF(NOT(ISBLANK(A1376)),VLOOKUP(A1376,'BBT3'!A:F,2,0),"")</f>
        <v/>
      </c>
      <c r="C1376" t="str">
        <f>IF(NOT(ISBLANK(A1376)),VLOOKUP(A1376,'BBT3'!A:F,3,0),"")</f>
        <v/>
      </c>
      <c r="D1376" s="5" t="str">
        <f>IF(NOT(ISBLANK(A1376)),VLOOKUP(A1376,'BBT3'!A:F,4,1),"")</f>
        <v/>
      </c>
      <c r="E1376" t="str">
        <f>IF(NOT(ISBLANK(A1376)),VLOOKUP(A1376,'BBT3'!A:F,5,0),"")</f>
        <v/>
      </c>
      <c r="F1376" t="str">
        <f>IF(NOT(ISBLANK(A1376)),VLOOKUP(A1376,'BBT3'!A:F,6,0),"")</f>
        <v/>
      </c>
      <c r="G1376" t="str">
        <f t="shared" si="200"/>
        <v/>
      </c>
      <c r="H1376" t="str">
        <f>IF(NOT(ISBLANK(A1376)),VLOOKUP(A1376,'Close - PriceSaver'!A:J,5,0),"")</f>
        <v/>
      </c>
      <c r="I1376" s="4" t="str" cm="1">
        <f t="array" ref="I1376">IF(NOT(ISBLANK(A1376)),((_xlfn.XLOOKUP(1,(_bbt3[[#All],[ID]]=A1376)*(_bbt3[[#All],[METRIC_NAME]]="YLD_YTM_ASK"),_bbt3[[#All],[METRIC_VALUE]])*0.5)+(_xlfn.XLOOKUP(1,(_bbt3[[#All],[ID]]=A1376)*(_bbt3[[#All],[METRIC_NAME]]="YLD_YTM_BID"),_bbt3[[#All],[METRIC_VALUE]])*0.5))/100,"")</f>
        <v/>
      </c>
      <c r="J1376">
        <f>IF(ISNA(VLOOKUP(A1376,'CloseDL - PriceSaverBBT3'!A:E,5,0)),0,VLOOKUP(A1376,'CloseDL - PriceSaverBBT3'!A:E,5,0))</f>
        <v>0</v>
      </c>
      <c r="K1376" s="7" t="str">
        <f t="shared" si="201"/>
        <v/>
      </c>
      <c r="L1376" s="20">
        <f>IF(Close[[#This Row],[CreatedBy]]="MARINER\SilverAdm",1,0)</f>
        <v>1</v>
      </c>
      <c r="M1376" t="str">
        <f>IF(NOT(ISBLANK(A1376)),VLOOKUP(A1376,'Close - PriceSaver'!A:J,6,0),"")</f>
        <v/>
      </c>
      <c r="Q1376" t="e">
        <f t="shared" si="202"/>
        <v>#N/A</v>
      </c>
      <c r="R1376" t="e">
        <f t="shared" si="203"/>
        <v>#N/A</v>
      </c>
      <c r="S1376" t="e">
        <f t="shared" si="204"/>
        <v>#N/A</v>
      </c>
      <c r="T1376" s="15" t="e">
        <f t="shared" si="206"/>
        <v>#N/A</v>
      </c>
      <c r="U1376" s="18" t="e">
        <f t="shared" si="207"/>
        <v>#N/A</v>
      </c>
      <c r="V1376" s="14" t="e">
        <f t="shared" si="205"/>
        <v>#N/A</v>
      </c>
      <c r="W1376" s="19" t="e">
        <f t="shared" si="208"/>
        <v>#N/A</v>
      </c>
      <c r="X1376" t="e">
        <f>VLOOKUP(P1376,Close[[ID]:[CreatedBy]],8,0)</f>
        <v>#N/A</v>
      </c>
    </row>
    <row r="1377" spans="2:24" x14ac:dyDescent="0.35">
      <c r="B1377" t="str">
        <f>IF(NOT(ISBLANK(A1377)),VLOOKUP(A1377,'BBT3'!A:F,2,0),"")</f>
        <v/>
      </c>
      <c r="C1377" t="str">
        <f>IF(NOT(ISBLANK(A1377)),VLOOKUP(A1377,'BBT3'!A:F,3,0),"")</f>
        <v/>
      </c>
      <c r="D1377" s="5" t="str">
        <f>IF(NOT(ISBLANK(A1377)),VLOOKUP(A1377,'BBT3'!A:F,4,1),"")</f>
        <v/>
      </c>
      <c r="E1377" t="str">
        <f>IF(NOT(ISBLANK(A1377)),VLOOKUP(A1377,'BBT3'!A:F,5,0),"")</f>
        <v/>
      </c>
      <c r="F1377" t="str">
        <f>IF(NOT(ISBLANK(A1377)),VLOOKUP(A1377,'BBT3'!A:F,6,0),"")</f>
        <v/>
      </c>
      <c r="G1377" t="str">
        <f t="shared" si="200"/>
        <v/>
      </c>
      <c r="H1377" t="str">
        <f>IF(NOT(ISBLANK(A1377)),VLOOKUP(A1377,'Close - PriceSaver'!A:J,5,0),"")</f>
        <v/>
      </c>
      <c r="I1377" s="4" t="str" cm="1">
        <f t="array" ref="I1377">IF(NOT(ISBLANK(A1377)),((_xlfn.XLOOKUP(1,(_bbt3[[#All],[ID]]=A1377)*(_bbt3[[#All],[METRIC_NAME]]="YLD_YTM_ASK"),_bbt3[[#All],[METRIC_VALUE]])*0.5)+(_xlfn.XLOOKUP(1,(_bbt3[[#All],[ID]]=A1377)*(_bbt3[[#All],[METRIC_NAME]]="YLD_YTM_BID"),_bbt3[[#All],[METRIC_VALUE]])*0.5))/100,"")</f>
        <v/>
      </c>
      <c r="J1377">
        <f>IF(ISNA(VLOOKUP(A1377,'CloseDL - PriceSaverBBT3'!A:E,5,0)),0,VLOOKUP(A1377,'CloseDL - PriceSaverBBT3'!A:E,5,0))</f>
        <v>0</v>
      </c>
      <c r="K1377" s="7" t="str">
        <f t="shared" si="201"/>
        <v/>
      </c>
      <c r="L1377" s="20">
        <f>IF(Close[[#This Row],[CreatedBy]]="MARINER\SilverAdm",1,0)</f>
        <v>1</v>
      </c>
      <c r="M1377" t="str">
        <f>IF(NOT(ISBLANK(A1377)),VLOOKUP(A1377,'Close - PriceSaver'!A:J,6,0),"")</f>
        <v/>
      </c>
      <c r="Q1377" t="e">
        <f t="shared" si="202"/>
        <v>#N/A</v>
      </c>
      <c r="R1377" t="e">
        <f t="shared" si="203"/>
        <v>#N/A</v>
      </c>
      <c r="S1377" t="e">
        <f t="shared" si="204"/>
        <v>#N/A</v>
      </c>
      <c r="T1377" s="15" t="e">
        <f t="shared" si="206"/>
        <v>#N/A</v>
      </c>
      <c r="U1377" s="18" t="e">
        <f t="shared" si="207"/>
        <v>#N/A</v>
      </c>
      <c r="V1377" s="14" t="e">
        <f t="shared" si="205"/>
        <v>#N/A</v>
      </c>
      <c r="W1377" s="19" t="e">
        <f t="shared" si="208"/>
        <v>#N/A</v>
      </c>
      <c r="X1377" t="e">
        <f>VLOOKUP(P1377,Close[[ID]:[CreatedBy]],8,0)</f>
        <v>#N/A</v>
      </c>
    </row>
    <row r="1378" spans="2:24" x14ac:dyDescent="0.35">
      <c r="B1378" t="str">
        <f>IF(NOT(ISBLANK(A1378)),VLOOKUP(A1378,'BBT3'!A:F,2,0),"")</f>
        <v/>
      </c>
      <c r="C1378" t="str">
        <f>IF(NOT(ISBLANK(A1378)),VLOOKUP(A1378,'BBT3'!A:F,3,0),"")</f>
        <v/>
      </c>
      <c r="D1378" s="5" t="str">
        <f>IF(NOT(ISBLANK(A1378)),VLOOKUP(A1378,'BBT3'!A:F,4,1),"")</f>
        <v/>
      </c>
      <c r="E1378" t="str">
        <f>IF(NOT(ISBLANK(A1378)),VLOOKUP(A1378,'BBT3'!A:F,5,0),"")</f>
        <v/>
      </c>
      <c r="F1378" t="str">
        <f>IF(NOT(ISBLANK(A1378)),VLOOKUP(A1378,'BBT3'!A:F,6,0),"")</f>
        <v/>
      </c>
      <c r="G1378" t="str">
        <f t="shared" si="200"/>
        <v/>
      </c>
      <c r="H1378" t="str">
        <f>IF(NOT(ISBLANK(A1378)),VLOOKUP(A1378,'Close - PriceSaver'!A:J,5,0),"")</f>
        <v/>
      </c>
      <c r="I1378" s="4" t="str" cm="1">
        <f t="array" ref="I1378">IF(NOT(ISBLANK(A1378)),((_xlfn.XLOOKUP(1,(_bbt3[[#All],[ID]]=A1378)*(_bbt3[[#All],[METRIC_NAME]]="YLD_YTM_ASK"),_bbt3[[#All],[METRIC_VALUE]])*0.5)+(_xlfn.XLOOKUP(1,(_bbt3[[#All],[ID]]=A1378)*(_bbt3[[#All],[METRIC_NAME]]="YLD_YTM_BID"),_bbt3[[#All],[METRIC_VALUE]])*0.5))/100,"")</f>
        <v/>
      </c>
      <c r="J1378">
        <f>IF(ISNA(VLOOKUP(A1378,'CloseDL - PriceSaverBBT3'!A:E,5,0)),0,VLOOKUP(A1378,'CloseDL - PriceSaverBBT3'!A:E,5,0))</f>
        <v>0</v>
      </c>
      <c r="K1378" s="7" t="str">
        <f t="shared" si="201"/>
        <v/>
      </c>
      <c r="L1378" s="20">
        <f>IF(Close[[#This Row],[CreatedBy]]="MARINER\SilverAdm",1,0)</f>
        <v>1</v>
      </c>
      <c r="M1378" t="str">
        <f>IF(NOT(ISBLANK(A1378)),VLOOKUP(A1378,'Close - PriceSaver'!A:J,6,0),"")</f>
        <v/>
      </c>
      <c r="Q1378" t="e">
        <f t="shared" si="202"/>
        <v>#N/A</v>
      </c>
      <c r="R1378" t="e">
        <f t="shared" si="203"/>
        <v>#N/A</v>
      </c>
      <c r="S1378" t="e">
        <f t="shared" si="204"/>
        <v>#N/A</v>
      </c>
      <c r="T1378" s="15" t="e">
        <f t="shared" si="206"/>
        <v>#N/A</v>
      </c>
      <c r="U1378" s="18" t="e">
        <f t="shared" si="207"/>
        <v>#N/A</v>
      </c>
      <c r="V1378" s="14" t="e">
        <f t="shared" si="205"/>
        <v>#N/A</v>
      </c>
      <c r="W1378" s="19" t="e">
        <f t="shared" si="208"/>
        <v>#N/A</v>
      </c>
      <c r="X1378" t="e">
        <f>VLOOKUP(P1378,Close[[ID]:[CreatedBy]],8,0)</f>
        <v>#N/A</v>
      </c>
    </row>
    <row r="1379" spans="2:24" x14ac:dyDescent="0.35">
      <c r="B1379" t="str">
        <f>IF(NOT(ISBLANK(A1379)),VLOOKUP(A1379,'BBT3'!A:F,2,0),"")</f>
        <v/>
      </c>
      <c r="C1379" t="str">
        <f>IF(NOT(ISBLANK(A1379)),VLOOKUP(A1379,'BBT3'!A:F,3,0),"")</f>
        <v/>
      </c>
      <c r="D1379" s="5" t="str">
        <f>IF(NOT(ISBLANK(A1379)),VLOOKUP(A1379,'BBT3'!A:F,4,1),"")</f>
        <v/>
      </c>
      <c r="E1379" t="str">
        <f>IF(NOT(ISBLANK(A1379)),VLOOKUP(A1379,'BBT3'!A:F,5,0),"")</f>
        <v/>
      </c>
      <c r="F1379" t="str">
        <f>IF(NOT(ISBLANK(A1379)),VLOOKUP(A1379,'BBT3'!A:F,6,0),"")</f>
        <v/>
      </c>
      <c r="G1379" t="str">
        <f t="shared" si="200"/>
        <v/>
      </c>
      <c r="H1379" t="str">
        <f>IF(NOT(ISBLANK(A1379)),VLOOKUP(A1379,'Close - PriceSaver'!A:J,5,0),"")</f>
        <v/>
      </c>
      <c r="I1379" s="4" t="str" cm="1">
        <f t="array" ref="I1379">IF(NOT(ISBLANK(A1379)),((_xlfn.XLOOKUP(1,(_bbt3[[#All],[ID]]=A1379)*(_bbt3[[#All],[METRIC_NAME]]="YLD_YTM_ASK"),_bbt3[[#All],[METRIC_VALUE]])*0.5)+(_xlfn.XLOOKUP(1,(_bbt3[[#All],[ID]]=A1379)*(_bbt3[[#All],[METRIC_NAME]]="YLD_YTM_BID"),_bbt3[[#All],[METRIC_VALUE]])*0.5))/100,"")</f>
        <v/>
      </c>
      <c r="J1379">
        <f>IF(ISNA(VLOOKUP(A1379,'CloseDL - PriceSaverBBT3'!A:E,5,0)),0,VLOOKUP(A1379,'CloseDL - PriceSaverBBT3'!A:E,5,0))</f>
        <v>0</v>
      </c>
      <c r="K1379" s="7" t="str">
        <f t="shared" si="201"/>
        <v/>
      </c>
      <c r="L1379" s="20">
        <f>IF(Close[[#This Row],[CreatedBy]]="MARINER\SilverAdm",1,0)</f>
        <v>1</v>
      </c>
      <c r="M1379" t="str">
        <f>IF(NOT(ISBLANK(A1379)),VLOOKUP(A1379,'Close - PriceSaver'!A:J,6,0),"")</f>
        <v/>
      </c>
      <c r="Q1379" t="e">
        <f t="shared" si="202"/>
        <v>#N/A</v>
      </c>
      <c r="R1379" t="e">
        <f t="shared" si="203"/>
        <v>#N/A</v>
      </c>
      <c r="S1379" t="e">
        <f t="shared" si="204"/>
        <v>#N/A</v>
      </c>
      <c r="T1379" s="15" t="e">
        <f t="shared" si="206"/>
        <v>#N/A</v>
      </c>
      <c r="U1379" s="18" t="e">
        <f t="shared" si="207"/>
        <v>#N/A</v>
      </c>
      <c r="V1379" s="14" t="e">
        <f t="shared" si="205"/>
        <v>#N/A</v>
      </c>
      <c r="W1379" s="19" t="e">
        <f t="shared" si="208"/>
        <v>#N/A</v>
      </c>
      <c r="X1379" t="e">
        <f>VLOOKUP(P1379,Close[[ID]:[CreatedBy]],8,0)</f>
        <v>#N/A</v>
      </c>
    </row>
    <row r="1380" spans="2:24" x14ac:dyDescent="0.35">
      <c r="B1380" t="str">
        <f>IF(NOT(ISBLANK(A1380)),VLOOKUP(A1380,'BBT3'!A:F,2,0),"")</f>
        <v/>
      </c>
      <c r="C1380" t="str">
        <f>IF(NOT(ISBLANK(A1380)),VLOOKUP(A1380,'BBT3'!A:F,3,0),"")</f>
        <v/>
      </c>
      <c r="D1380" s="5" t="str">
        <f>IF(NOT(ISBLANK(A1380)),VLOOKUP(A1380,'BBT3'!A:F,4,1),"")</f>
        <v/>
      </c>
      <c r="E1380" t="str">
        <f>IF(NOT(ISBLANK(A1380)),VLOOKUP(A1380,'BBT3'!A:F,5,0),"")</f>
        <v/>
      </c>
      <c r="F1380" t="str">
        <f>IF(NOT(ISBLANK(A1380)),VLOOKUP(A1380,'BBT3'!A:F,6,0),"")</f>
        <v/>
      </c>
      <c r="G1380" t="str">
        <f t="shared" si="200"/>
        <v/>
      </c>
      <c r="H1380" t="str">
        <f>IF(NOT(ISBLANK(A1380)),VLOOKUP(A1380,'Close - PriceSaver'!A:J,5,0),"")</f>
        <v/>
      </c>
      <c r="I1380" s="4" t="str" cm="1">
        <f t="array" ref="I1380">IF(NOT(ISBLANK(A1380)),((_xlfn.XLOOKUP(1,(_bbt3[[#All],[ID]]=A1380)*(_bbt3[[#All],[METRIC_NAME]]="YLD_YTM_ASK"),_bbt3[[#All],[METRIC_VALUE]])*0.5)+(_xlfn.XLOOKUP(1,(_bbt3[[#All],[ID]]=A1380)*(_bbt3[[#All],[METRIC_NAME]]="YLD_YTM_BID"),_bbt3[[#All],[METRIC_VALUE]])*0.5))/100,"")</f>
        <v/>
      </c>
      <c r="J1380">
        <f>IF(ISNA(VLOOKUP(A1380,'CloseDL - PriceSaverBBT3'!A:E,5,0)),0,VLOOKUP(A1380,'CloseDL - PriceSaverBBT3'!A:E,5,0))</f>
        <v>0</v>
      </c>
      <c r="K1380" s="7" t="str">
        <f t="shared" si="201"/>
        <v/>
      </c>
      <c r="L1380" s="20">
        <f>IF(Close[[#This Row],[CreatedBy]]="MARINER\SilverAdm",1,0)</f>
        <v>1</v>
      </c>
      <c r="M1380" t="str">
        <f>IF(NOT(ISBLANK(A1380)),VLOOKUP(A1380,'Close - PriceSaver'!A:J,6,0),"")</f>
        <v/>
      </c>
      <c r="Q1380" t="e">
        <f t="shared" si="202"/>
        <v>#N/A</v>
      </c>
      <c r="R1380" t="e">
        <f t="shared" si="203"/>
        <v>#N/A</v>
      </c>
      <c r="S1380" t="e">
        <f t="shared" si="204"/>
        <v>#N/A</v>
      </c>
      <c r="T1380" s="15" t="e">
        <f t="shared" si="206"/>
        <v>#N/A</v>
      </c>
      <c r="U1380" s="18" t="e">
        <f t="shared" si="207"/>
        <v>#N/A</v>
      </c>
      <c r="V1380" s="14" t="e">
        <f t="shared" si="205"/>
        <v>#N/A</v>
      </c>
      <c r="W1380" s="19" t="e">
        <f t="shared" si="208"/>
        <v>#N/A</v>
      </c>
      <c r="X1380" t="e">
        <f>VLOOKUP(P1380,Close[[ID]:[CreatedBy]],8,0)</f>
        <v>#N/A</v>
      </c>
    </row>
    <row r="1381" spans="2:24" x14ac:dyDescent="0.35">
      <c r="B1381" t="str">
        <f>IF(NOT(ISBLANK(A1381)),VLOOKUP(A1381,'BBT3'!A:F,2,0),"")</f>
        <v/>
      </c>
      <c r="C1381" t="str">
        <f>IF(NOT(ISBLANK(A1381)),VLOOKUP(A1381,'BBT3'!A:F,3,0),"")</f>
        <v/>
      </c>
      <c r="D1381" s="5" t="str">
        <f>IF(NOT(ISBLANK(A1381)),VLOOKUP(A1381,'BBT3'!A:F,4,1),"")</f>
        <v/>
      </c>
      <c r="E1381" t="str">
        <f>IF(NOT(ISBLANK(A1381)),VLOOKUP(A1381,'BBT3'!A:F,5,0),"")</f>
        <v/>
      </c>
      <c r="F1381" t="str">
        <f>IF(NOT(ISBLANK(A1381)),VLOOKUP(A1381,'BBT3'!A:F,6,0),"")</f>
        <v/>
      </c>
      <c r="G1381" t="str">
        <f t="shared" si="200"/>
        <v/>
      </c>
      <c r="H1381" t="str">
        <f>IF(NOT(ISBLANK(A1381)),VLOOKUP(A1381,'Close - PriceSaver'!A:J,5,0),"")</f>
        <v/>
      </c>
      <c r="I1381" s="4" t="str" cm="1">
        <f t="array" ref="I1381">IF(NOT(ISBLANK(A1381)),((_xlfn.XLOOKUP(1,(_bbt3[[#All],[ID]]=A1381)*(_bbt3[[#All],[METRIC_NAME]]="YLD_YTM_ASK"),_bbt3[[#All],[METRIC_VALUE]])*0.5)+(_xlfn.XLOOKUP(1,(_bbt3[[#All],[ID]]=A1381)*(_bbt3[[#All],[METRIC_NAME]]="YLD_YTM_BID"),_bbt3[[#All],[METRIC_VALUE]])*0.5))/100,"")</f>
        <v/>
      </c>
      <c r="J1381">
        <f>IF(ISNA(VLOOKUP(A1381,'CloseDL - PriceSaverBBT3'!A:E,5,0)),0,VLOOKUP(A1381,'CloseDL - PriceSaverBBT3'!A:E,5,0))</f>
        <v>0</v>
      </c>
      <c r="K1381" s="7" t="str">
        <f t="shared" si="201"/>
        <v/>
      </c>
      <c r="L1381" s="20">
        <f>IF(Close[[#This Row],[CreatedBy]]="MARINER\SilverAdm",1,0)</f>
        <v>1</v>
      </c>
      <c r="M1381" t="str">
        <f>IF(NOT(ISBLANK(A1381)),VLOOKUP(A1381,'Close - PriceSaver'!A:J,6,0),"")</f>
        <v/>
      </c>
      <c r="Q1381" t="e">
        <f t="shared" si="202"/>
        <v>#N/A</v>
      </c>
      <c r="R1381" t="e">
        <f t="shared" si="203"/>
        <v>#N/A</v>
      </c>
      <c r="S1381" t="e">
        <f t="shared" si="204"/>
        <v>#N/A</v>
      </c>
      <c r="T1381" s="15" t="e">
        <f t="shared" si="206"/>
        <v>#N/A</v>
      </c>
      <c r="U1381" s="18" t="e">
        <f t="shared" si="207"/>
        <v>#N/A</v>
      </c>
      <c r="V1381" s="14" t="e">
        <f t="shared" si="205"/>
        <v>#N/A</v>
      </c>
      <c r="W1381" s="19" t="e">
        <f t="shared" si="208"/>
        <v>#N/A</v>
      </c>
      <c r="X1381" t="e">
        <f>VLOOKUP(P1381,Close[[ID]:[CreatedBy]],8,0)</f>
        <v>#N/A</v>
      </c>
    </row>
    <row r="1382" spans="2:24" x14ac:dyDescent="0.35">
      <c r="B1382" t="str">
        <f>IF(NOT(ISBLANK(A1382)),VLOOKUP(A1382,'BBT3'!A:F,2,0),"")</f>
        <v/>
      </c>
      <c r="C1382" t="str">
        <f>IF(NOT(ISBLANK(A1382)),VLOOKUP(A1382,'BBT3'!A:F,3,0),"")</f>
        <v/>
      </c>
      <c r="D1382" s="5" t="str">
        <f>IF(NOT(ISBLANK(A1382)),VLOOKUP(A1382,'BBT3'!A:F,4,1),"")</f>
        <v/>
      </c>
      <c r="E1382" t="str">
        <f>IF(NOT(ISBLANK(A1382)),VLOOKUP(A1382,'BBT3'!A:F,5,0),"")</f>
        <v/>
      </c>
      <c r="F1382" t="str">
        <f>IF(NOT(ISBLANK(A1382)),VLOOKUP(A1382,'BBT3'!A:F,6,0),"")</f>
        <v/>
      </c>
      <c r="G1382" t="str">
        <f t="shared" si="200"/>
        <v/>
      </c>
      <c r="H1382" t="str">
        <f>IF(NOT(ISBLANK(A1382)),VLOOKUP(A1382,'Close - PriceSaver'!A:J,5,0),"")</f>
        <v/>
      </c>
      <c r="I1382" s="4" t="str" cm="1">
        <f t="array" ref="I1382">IF(NOT(ISBLANK(A1382)),((_xlfn.XLOOKUP(1,(_bbt3[[#All],[ID]]=A1382)*(_bbt3[[#All],[METRIC_NAME]]="YLD_YTM_ASK"),_bbt3[[#All],[METRIC_VALUE]])*0.5)+(_xlfn.XLOOKUP(1,(_bbt3[[#All],[ID]]=A1382)*(_bbt3[[#All],[METRIC_NAME]]="YLD_YTM_BID"),_bbt3[[#All],[METRIC_VALUE]])*0.5))/100,"")</f>
        <v/>
      </c>
      <c r="J1382">
        <f>IF(ISNA(VLOOKUP(A1382,'CloseDL - PriceSaverBBT3'!A:E,5,0)),0,VLOOKUP(A1382,'CloseDL - PriceSaverBBT3'!A:E,5,0))</f>
        <v>0</v>
      </c>
      <c r="K1382" s="7" t="str">
        <f t="shared" si="201"/>
        <v/>
      </c>
      <c r="L1382" s="20">
        <f>IF(Close[[#This Row],[CreatedBy]]="MARINER\SilverAdm",1,0)</f>
        <v>1</v>
      </c>
      <c r="M1382" t="str">
        <f>IF(NOT(ISBLANK(A1382)),VLOOKUP(A1382,'Close - PriceSaver'!A:J,6,0),"")</f>
        <v/>
      </c>
      <c r="Q1382" t="e">
        <f t="shared" si="202"/>
        <v>#N/A</v>
      </c>
      <c r="R1382" t="e">
        <f t="shared" si="203"/>
        <v>#N/A</v>
      </c>
      <c r="S1382" t="e">
        <f t="shared" si="204"/>
        <v>#N/A</v>
      </c>
      <c r="T1382" s="15" t="e">
        <f t="shared" si="206"/>
        <v>#N/A</v>
      </c>
      <c r="U1382" s="18" t="e">
        <f t="shared" si="207"/>
        <v>#N/A</v>
      </c>
      <c r="V1382" s="14" t="e">
        <f t="shared" si="205"/>
        <v>#N/A</v>
      </c>
      <c r="W1382" s="19" t="e">
        <f t="shared" si="208"/>
        <v>#N/A</v>
      </c>
      <c r="X1382" t="e">
        <f>VLOOKUP(P1382,Close[[ID]:[CreatedBy]],8,0)</f>
        <v>#N/A</v>
      </c>
    </row>
    <row r="1383" spans="2:24" x14ac:dyDescent="0.35">
      <c r="B1383" t="str">
        <f>IF(NOT(ISBLANK(A1383)),VLOOKUP(A1383,'BBT3'!A:F,2,0),"")</f>
        <v/>
      </c>
      <c r="C1383" t="str">
        <f>IF(NOT(ISBLANK(A1383)),VLOOKUP(A1383,'BBT3'!A:F,3,0),"")</f>
        <v/>
      </c>
      <c r="D1383" s="5" t="str">
        <f>IF(NOT(ISBLANK(A1383)),VLOOKUP(A1383,'BBT3'!A:F,4,1),"")</f>
        <v/>
      </c>
      <c r="E1383" t="str">
        <f>IF(NOT(ISBLANK(A1383)),VLOOKUP(A1383,'BBT3'!A:F,5,0),"")</f>
        <v/>
      </c>
      <c r="F1383" t="str">
        <f>IF(NOT(ISBLANK(A1383)),VLOOKUP(A1383,'BBT3'!A:F,6,0),"")</f>
        <v/>
      </c>
      <c r="G1383" t="str">
        <f t="shared" si="200"/>
        <v/>
      </c>
      <c r="H1383" t="str">
        <f>IF(NOT(ISBLANK(A1383)),VLOOKUP(A1383,'Close - PriceSaver'!A:J,5,0),"")</f>
        <v/>
      </c>
      <c r="I1383" s="4" t="str" cm="1">
        <f t="array" ref="I1383">IF(NOT(ISBLANK(A1383)),((_xlfn.XLOOKUP(1,(_bbt3[[#All],[ID]]=A1383)*(_bbt3[[#All],[METRIC_NAME]]="YLD_YTM_ASK"),_bbt3[[#All],[METRIC_VALUE]])*0.5)+(_xlfn.XLOOKUP(1,(_bbt3[[#All],[ID]]=A1383)*(_bbt3[[#All],[METRIC_NAME]]="YLD_YTM_BID"),_bbt3[[#All],[METRIC_VALUE]])*0.5))/100,"")</f>
        <v/>
      </c>
      <c r="J1383">
        <f>IF(ISNA(VLOOKUP(A1383,'CloseDL - PriceSaverBBT3'!A:E,5,0)),0,VLOOKUP(A1383,'CloseDL - PriceSaverBBT3'!A:E,5,0))</f>
        <v>0</v>
      </c>
      <c r="K1383" s="7" t="str">
        <f t="shared" si="201"/>
        <v/>
      </c>
      <c r="L1383" s="20">
        <f>IF(Close[[#This Row],[CreatedBy]]="MARINER\SilverAdm",1,0)</f>
        <v>1</v>
      </c>
      <c r="M1383" t="str">
        <f>IF(NOT(ISBLANK(A1383)),VLOOKUP(A1383,'Close - PriceSaver'!A:J,6,0),"")</f>
        <v/>
      </c>
      <c r="Q1383" t="e">
        <f t="shared" si="202"/>
        <v>#N/A</v>
      </c>
      <c r="R1383" t="e">
        <f t="shared" si="203"/>
        <v>#N/A</v>
      </c>
      <c r="S1383" t="e">
        <f t="shared" si="204"/>
        <v>#N/A</v>
      </c>
      <c r="T1383" s="15" t="e">
        <f t="shared" si="206"/>
        <v>#N/A</v>
      </c>
      <c r="U1383" s="18" t="e">
        <f t="shared" si="207"/>
        <v>#N/A</v>
      </c>
      <c r="V1383" s="14" t="e">
        <f t="shared" si="205"/>
        <v>#N/A</v>
      </c>
      <c r="W1383" s="19" t="e">
        <f t="shared" si="208"/>
        <v>#N/A</v>
      </c>
      <c r="X1383" t="e">
        <f>VLOOKUP(P1383,Close[[ID]:[CreatedBy]],8,0)</f>
        <v>#N/A</v>
      </c>
    </row>
    <row r="1384" spans="2:24" x14ac:dyDescent="0.35">
      <c r="B1384" t="str">
        <f>IF(NOT(ISBLANK(A1384)),VLOOKUP(A1384,'BBT3'!A:F,2,0),"")</f>
        <v/>
      </c>
      <c r="C1384" t="str">
        <f>IF(NOT(ISBLANK(A1384)),VLOOKUP(A1384,'BBT3'!A:F,3,0),"")</f>
        <v/>
      </c>
      <c r="D1384" s="5" t="str">
        <f>IF(NOT(ISBLANK(A1384)),VLOOKUP(A1384,'BBT3'!A:F,4,1),"")</f>
        <v/>
      </c>
      <c r="E1384" t="str">
        <f>IF(NOT(ISBLANK(A1384)),VLOOKUP(A1384,'BBT3'!A:F,5,0),"")</f>
        <v/>
      </c>
      <c r="F1384" t="str">
        <f>IF(NOT(ISBLANK(A1384)),VLOOKUP(A1384,'BBT3'!A:F,6,0),"")</f>
        <v/>
      </c>
      <c r="G1384" t="str">
        <f t="shared" si="200"/>
        <v/>
      </c>
      <c r="H1384" t="str">
        <f>IF(NOT(ISBLANK(A1384)),VLOOKUP(A1384,'Close - PriceSaver'!A:J,5,0),"")</f>
        <v/>
      </c>
      <c r="I1384" s="4" t="str" cm="1">
        <f t="array" ref="I1384">IF(NOT(ISBLANK(A1384)),((_xlfn.XLOOKUP(1,(_bbt3[[#All],[ID]]=A1384)*(_bbt3[[#All],[METRIC_NAME]]="YLD_YTM_ASK"),_bbt3[[#All],[METRIC_VALUE]])*0.5)+(_xlfn.XLOOKUP(1,(_bbt3[[#All],[ID]]=A1384)*(_bbt3[[#All],[METRIC_NAME]]="YLD_YTM_BID"),_bbt3[[#All],[METRIC_VALUE]])*0.5))/100,"")</f>
        <v/>
      </c>
      <c r="J1384">
        <f>IF(ISNA(VLOOKUP(A1384,'CloseDL - PriceSaverBBT3'!A:E,5,0)),0,VLOOKUP(A1384,'CloseDL - PriceSaverBBT3'!A:E,5,0))</f>
        <v>0</v>
      </c>
      <c r="K1384" s="7" t="str">
        <f t="shared" si="201"/>
        <v/>
      </c>
      <c r="L1384" s="20">
        <f>IF(Close[[#This Row],[CreatedBy]]="MARINER\SilverAdm",1,0)</f>
        <v>1</v>
      </c>
      <c r="M1384" t="str">
        <f>IF(NOT(ISBLANK(A1384)),VLOOKUP(A1384,'Close - PriceSaver'!A:J,6,0),"")</f>
        <v/>
      </c>
      <c r="Q1384" t="e">
        <f t="shared" si="202"/>
        <v>#N/A</v>
      </c>
      <c r="R1384" t="e">
        <f t="shared" si="203"/>
        <v>#N/A</v>
      </c>
      <c r="S1384" t="e">
        <f t="shared" si="204"/>
        <v>#N/A</v>
      </c>
      <c r="T1384" s="15" t="e">
        <f t="shared" si="206"/>
        <v>#N/A</v>
      </c>
      <c r="U1384" s="18" t="e">
        <f t="shared" si="207"/>
        <v>#N/A</v>
      </c>
      <c r="V1384" s="14" t="e">
        <f t="shared" si="205"/>
        <v>#N/A</v>
      </c>
      <c r="W1384" s="19" t="e">
        <f t="shared" si="208"/>
        <v>#N/A</v>
      </c>
      <c r="X1384" t="e">
        <f>VLOOKUP(P1384,Close[[ID]:[CreatedBy]],8,0)</f>
        <v>#N/A</v>
      </c>
    </row>
    <row r="1385" spans="2:24" x14ac:dyDescent="0.35">
      <c r="B1385" t="str">
        <f>IF(NOT(ISBLANK(A1385)),VLOOKUP(A1385,'BBT3'!A:F,2,0),"")</f>
        <v/>
      </c>
      <c r="C1385" t="str">
        <f>IF(NOT(ISBLANK(A1385)),VLOOKUP(A1385,'BBT3'!A:F,3,0),"")</f>
        <v/>
      </c>
      <c r="D1385" s="5" t="str">
        <f>IF(NOT(ISBLANK(A1385)),VLOOKUP(A1385,'BBT3'!A:F,4,1),"")</f>
        <v/>
      </c>
      <c r="E1385" t="str">
        <f>IF(NOT(ISBLANK(A1385)),VLOOKUP(A1385,'BBT3'!A:F,5,0),"")</f>
        <v/>
      </c>
      <c r="F1385" t="str">
        <f>IF(NOT(ISBLANK(A1385)),VLOOKUP(A1385,'BBT3'!A:F,6,0),"")</f>
        <v/>
      </c>
      <c r="G1385" t="str">
        <f t="shared" si="200"/>
        <v/>
      </c>
      <c r="H1385" t="str">
        <f>IF(NOT(ISBLANK(A1385)),VLOOKUP(A1385,'Close - PriceSaver'!A:J,5,0),"")</f>
        <v/>
      </c>
      <c r="I1385" s="4" t="str" cm="1">
        <f t="array" ref="I1385">IF(NOT(ISBLANK(A1385)),((_xlfn.XLOOKUP(1,(_bbt3[[#All],[ID]]=A1385)*(_bbt3[[#All],[METRIC_NAME]]="YLD_YTM_ASK"),_bbt3[[#All],[METRIC_VALUE]])*0.5)+(_xlfn.XLOOKUP(1,(_bbt3[[#All],[ID]]=A1385)*(_bbt3[[#All],[METRIC_NAME]]="YLD_YTM_BID"),_bbt3[[#All],[METRIC_VALUE]])*0.5))/100,"")</f>
        <v/>
      </c>
      <c r="J1385">
        <f>IF(ISNA(VLOOKUP(A1385,'CloseDL - PriceSaverBBT3'!A:E,5,0)),0,VLOOKUP(A1385,'CloseDL - PriceSaverBBT3'!A:E,5,0))</f>
        <v>0</v>
      </c>
      <c r="K1385" s="7" t="str">
        <f t="shared" si="201"/>
        <v/>
      </c>
      <c r="L1385" s="20">
        <f>IF(Close[[#This Row],[CreatedBy]]="MARINER\SilverAdm",1,0)</f>
        <v>1</v>
      </c>
      <c r="M1385" t="str">
        <f>IF(NOT(ISBLANK(A1385)),VLOOKUP(A1385,'Close - PriceSaver'!A:J,6,0),"")</f>
        <v/>
      </c>
      <c r="Q1385" t="e">
        <f t="shared" si="202"/>
        <v>#N/A</v>
      </c>
      <c r="R1385" t="e">
        <f t="shared" si="203"/>
        <v>#N/A</v>
      </c>
      <c r="S1385" t="e">
        <f t="shared" si="204"/>
        <v>#N/A</v>
      </c>
      <c r="T1385" s="15" t="e">
        <f t="shared" si="206"/>
        <v>#N/A</v>
      </c>
      <c r="U1385" s="18" t="e">
        <f t="shared" si="207"/>
        <v>#N/A</v>
      </c>
      <c r="V1385" s="14" t="e">
        <f t="shared" si="205"/>
        <v>#N/A</v>
      </c>
      <c r="W1385" s="19" t="e">
        <f t="shared" si="208"/>
        <v>#N/A</v>
      </c>
      <c r="X1385" t="e">
        <f>VLOOKUP(P1385,Close[[ID]:[CreatedBy]],8,0)</f>
        <v>#N/A</v>
      </c>
    </row>
    <row r="1386" spans="2:24" x14ac:dyDescent="0.35">
      <c r="B1386" t="str">
        <f>IF(NOT(ISBLANK(A1386)),VLOOKUP(A1386,'BBT3'!A:F,2,0),"")</f>
        <v/>
      </c>
      <c r="C1386" t="str">
        <f>IF(NOT(ISBLANK(A1386)),VLOOKUP(A1386,'BBT3'!A:F,3,0),"")</f>
        <v/>
      </c>
      <c r="D1386" s="5" t="str">
        <f>IF(NOT(ISBLANK(A1386)),VLOOKUP(A1386,'BBT3'!A:F,4,1),"")</f>
        <v/>
      </c>
      <c r="E1386" t="str">
        <f>IF(NOT(ISBLANK(A1386)),VLOOKUP(A1386,'BBT3'!A:F,5,0),"")</f>
        <v/>
      </c>
      <c r="F1386" t="str">
        <f>IF(NOT(ISBLANK(A1386)),VLOOKUP(A1386,'BBT3'!A:F,6,0),"")</f>
        <v/>
      </c>
      <c r="G1386" t="str">
        <f t="shared" si="200"/>
        <v/>
      </c>
      <c r="H1386" t="str">
        <f>IF(NOT(ISBLANK(A1386)),VLOOKUP(A1386,'Close - PriceSaver'!A:J,5,0),"")</f>
        <v/>
      </c>
      <c r="I1386" s="4" t="str" cm="1">
        <f t="array" ref="I1386">IF(NOT(ISBLANK(A1386)),((_xlfn.XLOOKUP(1,(_bbt3[[#All],[ID]]=A1386)*(_bbt3[[#All],[METRIC_NAME]]="YLD_YTM_ASK"),_bbt3[[#All],[METRIC_VALUE]])*0.5)+(_xlfn.XLOOKUP(1,(_bbt3[[#All],[ID]]=A1386)*(_bbt3[[#All],[METRIC_NAME]]="YLD_YTM_BID"),_bbt3[[#All],[METRIC_VALUE]])*0.5))/100,"")</f>
        <v/>
      </c>
      <c r="J1386">
        <f>IF(ISNA(VLOOKUP(A1386,'CloseDL - PriceSaverBBT3'!A:E,5,0)),0,VLOOKUP(A1386,'CloseDL - PriceSaverBBT3'!A:E,5,0))</f>
        <v>0</v>
      </c>
      <c r="K1386" s="7" t="str">
        <f t="shared" si="201"/>
        <v/>
      </c>
      <c r="L1386" s="20">
        <f>IF(Close[[#This Row],[CreatedBy]]="MARINER\SilverAdm",1,0)</f>
        <v>1</v>
      </c>
      <c r="M1386" t="str">
        <f>IF(NOT(ISBLANK(A1386)),VLOOKUP(A1386,'Close - PriceSaver'!A:J,6,0),"")</f>
        <v/>
      </c>
      <c r="Q1386" t="e">
        <f t="shared" si="202"/>
        <v>#N/A</v>
      </c>
      <c r="R1386" t="e">
        <f t="shared" si="203"/>
        <v>#N/A</v>
      </c>
      <c r="S1386" t="e">
        <f t="shared" si="204"/>
        <v>#N/A</v>
      </c>
      <c r="T1386" s="15" t="e">
        <f t="shared" si="206"/>
        <v>#N/A</v>
      </c>
      <c r="U1386" s="18" t="e">
        <f t="shared" si="207"/>
        <v>#N/A</v>
      </c>
      <c r="V1386" s="14" t="e">
        <f t="shared" si="205"/>
        <v>#N/A</v>
      </c>
      <c r="W1386" s="19" t="e">
        <f t="shared" si="208"/>
        <v>#N/A</v>
      </c>
      <c r="X1386" t="e">
        <f>VLOOKUP(P1386,Close[[ID]:[CreatedBy]],8,0)</f>
        <v>#N/A</v>
      </c>
    </row>
    <row r="1387" spans="2:24" x14ac:dyDescent="0.35">
      <c r="B1387" t="str">
        <f>IF(NOT(ISBLANK(A1387)),VLOOKUP(A1387,'BBT3'!A:F,2,0),"")</f>
        <v/>
      </c>
      <c r="C1387" t="str">
        <f>IF(NOT(ISBLANK(A1387)),VLOOKUP(A1387,'BBT3'!A:F,3,0),"")</f>
        <v/>
      </c>
      <c r="D1387" s="5" t="str">
        <f>IF(NOT(ISBLANK(A1387)),VLOOKUP(A1387,'BBT3'!A:F,4,1),"")</f>
        <v/>
      </c>
      <c r="E1387" t="str">
        <f>IF(NOT(ISBLANK(A1387)),VLOOKUP(A1387,'BBT3'!A:F,5,0),"")</f>
        <v/>
      </c>
      <c r="F1387" t="str">
        <f>IF(NOT(ISBLANK(A1387)),VLOOKUP(A1387,'BBT3'!A:F,6,0),"")</f>
        <v/>
      </c>
      <c r="G1387" t="str">
        <f t="shared" si="200"/>
        <v/>
      </c>
      <c r="H1387" t="str">
        <f>IF(NOT(ISBLANK(A1387)),VLOOKUP(A1387,'Close - PriceSaver'!A:J,5,0),"")</f>
        <v/>
      </c>
      <c r="I1387" s="4" t="str" cm="1">
        <f t="array" ref="I1387">IF(NOT(ISBLANK(A1387)),((_xlfn.XLOOKUP(1,(_bbt3[[#All],[ID]]=A1387)*(_bbt3[[#All],[METRIC_NAME]]="YLD_YTM_ASK"),_bbt3[[#All],[METRIC_VALUE]])*0.5)+(_xlfn.XLOOKUP(1,(_bbt3[[#All],[ID]]=A1387)*(_bbt3[[#All],[METRIC_NAME]]="YLD_YTM_BID"),_bbt3[[#All],[METRIC_VALUE]])*0.5))/100,"")</f>
        <v/>
      </c>
      <c r="J1387">
        <f>IF(ISNA(VLOOKUP(A1387,'CloseDL - PriceSaverBBT3'!A:E,5,0)),0,VLOOKUP(A1387,'CloseDL - PriceSaverBBT3'!A:E,5,0))</f>
        <v>0</v>
      </c>
      <c r="K1387" s="7" t="str">
        <f t="shared" si="201"/>
        <v/>
      </c>
      <c r="L1387" s="20">
        <f>IF(Close[[#This Row],[CreatedBy]]="MARINER\SilverAdm",1,0)</f>
        <v>1</v>
      </c>
      <c r="M1387" t="str">
        <f>IF(NOT(ISBLANK(A1387)),VLOOKUP(A1387,'Close - PriceSaver'!A:J,6,0),"")</f>
        <v/>
      </c>
      <c r="Q1387" t="e">
        <f t="shared" si="202"/>
        <v>#N/A</v>
      </c>
      <c r="R1387" t="e">
        <f t="shared" si="203"/>
        <v>#N/A</v>
      </c>
      <c r="S1387" t="e">
        <f t="shared" si="204"/>
        <v>#N/A</v>
      </c>
      <c r="T1387" s="15" t="e">
        <f t="shared" si="206"/>
        <v>#N/A</v>
      </c>
      <c r="U1387" s="18" t="e">
        <f t="shared" si="207"/>
        <v>#N/A</v>
      </c>
      <c r="V1387" s="14" t="e">
        <f t="shared" si="205"/>
        <v>#N/A</v>
      </c>
      <c r="W1387" s="19" t="e">
        <f t="shared" si="208"/>
        <v>#N/A</v>
      </c>
      <c r="X1387" t="e">
        <f>VLOOKUP(P1387,Close[[ID]:[CreatedBy]],8,0)</f>
        <v>#N/A</v>
      </c>
    </row>
    <row r="1388" spans="2:24" x14ac:dyDescent="0.35">
      <c r="B1388" t="str">
        <f>IF(NOT(ISBLANK(A1388)),VLOOKUP(A1388,'BBT3'!A:F,2,0),"")</f>
        <v/>
      </c>
      <c r="C1388" t="str">
        <f>IF(NOT(ISBLANK(A1388)),VLOOKUP(A1388,'BBT3'!A:F,3,0),"")</f>
        <v/>
      </c>
      <c r="D1388" s="5" t="str">
        <f>IF(NOT(ISBLANK(A1388)),VLOOKUP(A1388,'BBT3'!A:F,4,1),"")</f>
        <v/>
      </c>
      <c r="E1388" t="str">
        <f>IF(NOT(ISBLANK(A1388)),VLOOKUP(A1388,'BBT3'!A:F,5,0),"")</f>
        <v/>
      </c>
      <c r="F1388" t="str">
        <f>IF(NOT(ISBLANK(A1388)),VLOOKUP(A1388,'BBT3'!A:F,6,0),"")</f>
        <v/>
      </c>
      <c r="G1388" t="str">
        <f t="shared" si="200"/>
        <v/>
      </c>
      <c r="H1388" t="str">
        <f>IF(NOT(ISBLANK(A1388)),VLOOKUP(A1388,'Close - PriceSaver'!A:J,5,0),"")</f>
        <v/>
      </c>
      <c r="I1388" s="4" t="str" cm="1">
        <f t="array" ref="I1388">IF(NOT(ISBLANK(A1388)),((_xlfn.XLOOKUP(1,(_bbt3[[#All],[ID]]=A1388)*(_bbt3[[#All],[METRIC_NAME]]="YLD_YTM_ASK"),_bbt3[[#All],[METRIC_VALUE]])*0.5)+(_xlfn.XLOOKUP(1,(_bbt3[[#All],[ID]]=A1388)*(_bbt3[[#All],[METRIC_NAME]]="YLD_YTM_BID"),_bbt3[[#All],[METRIC_VALUE]])*0.5))/100,"")</f>
        <v/>
      </c>
      <c r="J1388">
        <f>IF(ISNA(VLOOKUP(A1388,'CloseDL - PriceSaverBBT3'!A:E,5,0)),0,VLOOKUP(A1388,'CloseDL - PriceSaverBBT3'!A:E,5,0))</f>
        <v>0</v>
      </c>
      <c r="K1388" s="7" t="str">
        <f t="shared" si="201"/>
        <v/>
      </c>
      <c r="L1388" s="20">
        <f>IF(Close[[#This Row],[CreatedBy]]="MARINER\SilverAdm",1,0)</f>
        <v>1</v>
      </c>
      <c r="M1388" t="str">
        <f>IF(NOT(ISBLANK(A1388)),VLOOKUP(A1388,'Close - PriceSaver'!A:J,6,0),"")</f>
        <v/>
      </c>
      <c r="Q1388" t="e">
        <f t="shared" si="202"/>
        <v>#N/A</v>
      </c>
      <c r="R1388" t="e">
        <f t="shared" si="203"/>
        <v>#N/A</v>
      </c>
      <c r="S1388" t="e">
        <f t="shared" si="204"/>
        <v>#N/A</v>
      </c>
      <c r="T1388" s="15" t="e">
        <f t="shared" si="206"/>
        <v>#N/A</v>
      </c>
      <c r="U1388" s="18" t="e">
        <f t="shared" si="207"/>
        <v>#N/A</v>
      </c>
      <c r="V1388" s="14" t="e">
        <f t="shared" si="205"/>
        <v>#N/A</v>
      </c>
      <c r="W1388" s="19" t="e">
        <f t="shared" si="208"/>
        <v>#N/A</v>
      </c>
      <c r="X1388" t="e">
        <f>VLOOKUP(P1388,Close[[ID]:[CreatedBy]],8,0)</f>
        <v>#N/A</v>
      </c>
    </row>
    <row r="1389" spans="2:24" x14ac:dyDescent="0.35">
      <c r="B1389" t="str">
        <f>IF(NOT(ISBLANK(A1389)),VLOOKUP(A1389,'BBT3'!A:F,2,0),"")</f>
        <v/>
      </c>
      <c r="C1389" t="str">
        <f>IF(NOT(ISBLANK(A1389)),VLOOKUP(A1389,'BBT3'!A:F,3,0),"")</f>
        <v/>
      </c>
      <c r="D1389" s="5" t="str">
        <f>IF(NOT(ISBLANK(A1389)),VLOOKUP(A1389,'BBT3'!A:F,4,1),"")</f>
        <v/>
      </c>
      <c r="E1389" t="str">
        <f>IF(NOT(ISBLANK(A1389)),VLOOKUP(A1389,'BBT3'!A:F,5,0),"")</f>
        <v/>
      </c>
      <c r="F1389" t="str">
        <f>IF(NOT(ISBLANK(A1389)),VLOOKUP(A1389,'BBT3'!A:F,6,0),"")</f>
        <v/>
      </c>
      <c r="G1389" t="str">
        <f t="shared" si="200"/>
        <v/>
      </c>
      <c r="H1389" t="str">
        <f>IF(NOT(ISBLANK(A1389)),VLOOKUP(A1389,'Close - PriceSaver'!A:J,5,0),"")</f>
        <v/>
      </c>
      <c r="I1389" s="4" t="str" cm="1">
        <f t="array" ref="I1389">IF(NOT(ISBLANK(A1389)),((_xlfn.XLOOKUP(1,(_bbt3[[#All],[ID]]=A1389)*(_bbt3[[#All],[METRIC_NAME]]="YLD_YTM_ASK"),_bbt3[[#All],[METRIC_VALUE]])*0.5)+(_xlfn.XLOOKUP(1,(_bbt3[[#All],[ID]]=A1389)*(_bbt3[[#All],[METRIC_NAME]]="YLD_YTM_BID"),_bbt3[[#All],[METRIC_VALUE]])*0.5))/100,"")</f>
        <v/>
      </c>
      <c r="J1389">
        <f>IF(ISNA(VLOOKUP(A1389,'CloseDL - PriceSaverBBT3'!A:E,5,0)),0,VLOOKUP(A1389,'CloseDL - PriceSaverBBT3'!A:E,5,0))</f>
        <v>0</v>
      </c>
      <c r="K1389" s="7" t="str">
        <f t="shared" si="201"/>
        <v/>
      </c>
      <c r="L1389" s="20">
        <f>IF(Close[[#This Row],[CreatedBy]]="MARINER\SilverAdm",1,0)</f>
        <v>1</v>
      </c>
      <c r="M1389" t="str">
        <f>IF(NOT(ISBLANK(A1389)),VLOOKUP(A1389,'Close - PriceSaver'!A:J,6,0),"")</f>
        <v/>
      </c>
      <c r="Q1389" t="e">
        <f t="shared" si="202"/>
        <v>#N/A</v>
      </c>
      <c r="R1389" t="e">
        <f t="shared" si="203"/>
        <v>#N/A</v>
      </c>
      <c r="S1389" t="e">
        <f t="shared" si="204"/>
        <v>#N/A</v>
      </c>
      <c r="T1389" s="15" t="e">
        <f t="shared" si="206"/>
        <v>#N/A</v>
      </c>
      <c r="U1389" s="18" t="e">
        <f t="shared" si="207"/>
        <v>#N/A</v>
      </c>
      <c r="V1389" s="14" t="e">
        <f t="shared" si="205"/>
        <v>#N/A</v>
      </c>
      <c r="W1389" s="19" t="e">
        <f t="shared" si="208"/>
        <v>#N/A</v>
      </c>
      <c r="X1389" t="e">
        <f>VLOOKUP(P1389,Close[[ID]:[CreatedBy]],8,0)</f>
        <v>#N/A</v>
      </c>
    </row>
    <row r="1390" spans="2:24" x14ac:dyDescent="0.35">
      <c r="B1390" t="str">
        <f>IF(NOT(ISBLANK(A1390)),VLOOKUP(A1390,'BBT3'!A:F,2,0),"")</f>
        <v/>
      </c>
      <c r="C1390" t="str">
        <f>IF(NOT(ISBLANK(A1390)),VLOOKUP(A1390,'BBT3'!A:F,3,0),"")</f>
        <v/>
      </c>
      <c r="D1390" s="5" t="str">
        <f>IF(NOT(ISBLANK(A1390)),VLOOKUP(A1390,'BBT3'!A:F,4,1),"")</f>
        <v/>
      </c>
      <c r="E1390" t="str">
        <f>IF(NOT(ISBLANK(A1390)),VLOOKUP(A1390,'BBT3'!A:F,5,0),"")</f>
        <v/>
      </c>
      <c r="F1390" t="str">
        <f>IF(NOT(ISBLANK(A1390)),VLOOKUP(A1390,'BBT3'!A:F,6,0),"")</f>
        <v/>
      </c>
      <c r="G1390" t="str">
        <f t="shared" si="200"/>
        <v/>
      </c>
      <c r="H1390" t="str">
        <f>IF(NOT(ISBLANK(A1390)),VLOOKUP(A1390,'Close - PriceSaver'!A:J,5,0),"")</f>
        <v/>
      </c>
      <c r="I1390" s="4" t="str" cm="1">
        <f t="array" ref="I1390">IF(NOT(ISBLANK(A1390)),((_xlfn.XLOOKUP(1,(_bbt3[[#All],[ID]]=A1390)*(_bbt3[[#All],[METRIC_NAME]]="YLD_YTM_ASK"),_bbt3[[#All],[METRIC_VALUE]])*0.5)+(_xlfn.XLOOKUP(1,(_bbt3[[#All],[ID]]=A1390)*(_bbt3[[#All],[METRIC_NAME]]="YLD_YTM_BID"),_bbt3[[#All],[METRIC_VALUE]])*0.5))/100,"")</f>
        <v/>
      </c>
      <c r="J1390">
        <f>IF(ISNA(VLOOKUP(A1390,'CloseDL - PriceSaverBBT3'!A:E,5,0)),0,VLOOKUP(A1390,'CloseDL - PriceSaverBBT3'!A:E,5,0))</f>
        <v>0</v>
      </c>
      <c r="K1390" s="7" t="str">
        <f t="shared" si="201"/>
        <v/>
      </c>
      <c r="L1390" s="20">
        <f>IF(Close[[#This Row],[CreatedBy]]="MARINER\SilverAdm",1,0)</f>
        <v>1</v>
      </c>
      <c r="M1390" t="str">
        <f>IF(NOT(ISBLANK(A1390)),VLOOKUP(A1390,'Close - PriceSaver'!A:J,6,0),"")</f>
        <v/>
      </c>
      <c r="Q1390" t="e">
        <f t="shared" si="202"/>
        <v>#N/A</v>
      </c>
      <c r="R1390" t="e">
        <f t="shared" si="203"/>
        <v>#N/A</v>
      </c>
      <c r="S1390" t="e">
        <f t="shared" si="204"/>
        <v>#N/A</v>
      </c>
      <c r="T1390" s="15" t="e">
        <f t="shared" si="206"/>
        <v>#N/A</v>
      </c>
      <c r="U1390" s="18" t="e">
        <f t="shared" si="207"/>
        <v>#N/A</v>
      </c>
      <c r="V1390" s="14" t="e">
        <f t="shared" si="205"/>
        <v>#N/A</v>
      </c>
      <c r="W1390" s="19" t="e">
        <f t="shared" si="208"/>
        <v>#N/A</v>
      </c>
      <c r="X1390" t="e">
        <f>VLOOKUP(P1390,Close[[ID]:[CreatedBy]],8,0)</f>
        <v>#N/A</v>
      </c>
    </row>
    <row r="1391" spans="2:24" x14ac:dyDescent="0.35">
      <c r="B1391" t="str">
        <f>IF(NOT(ISBLANK(A1391)),VLOOKUP(A1391,'BBT3'!A:F,2,0),"")</f>
        <v/>
      </c>
      <c r="C1391" t="str">
        <f>IF(NOT(ISBLANK(A1391)),VLOOKUP(A1391,'BBT3'!A:F,3,0),"")</f>
        <v/>
      </c>
      <c r="D1391" s="5" t="str">
        <f>IF(NOT(ISBLANK(A1391)),VLOOKUP(A1391,'BBT3'!A:F,4,1),"")</f>
        <v/>
      </c>
      <c r="E1391" t="str">
        <f>IF(NOT(ISBLANK(A1391)),VLOOKUP(A1391,'BBT3'!A:F,5,0),"")</f>
        <v/>
      </c>
      <c r="F1391" t="str">
        <f>IF(NOT(ISBLANK(A1391)),VLOOKUP(A1391,'BBT3'!A:F,6,0),"")</f>
        <v/>
      </c>
      <c r="G1391" t="str">
        <f t="shared" si="200"/>
        <v/>
      </c>
      <c r="H1391" t="str">
        <f>IF(NOT(ISBLANK(A1391)),VLOOKUP(A1391,'Close - PriceSaver'!A:J,5,0),"")</f>
        <v/>
      </c>
      <c r="I1391" s="4" t="str" cm="1">
        <f t="array" ref="I1391">IF(NOT(ISBLANK(A1391)),((_xlfn.XLOOKUP(1,(_bbt3[[#All],[ID]]=A1391)*(_bbt3[[#All],[METRIC_NAME]]="YLD_YTM_ASK"),_bbt3[[#All],[METRIC_VALUE]])*0.5)+(_xlfn.XLOOKUP(1,(_bbt3[[#All],[ID]]=A1391)*(_bbt3[[#All],[METRIC_NAME]]="YLD_YTM_BID"),_bbt3[[#All],[METRIC_VALUE]])*0.5))/100,"")</f>
        <v/>
      </c>
      <c r="J1391">
        <f>IF(ISNA(VLOOKUP(A1391,'CloseDL - PriceSaverBBT3'!A:E,5,0)),0,VLOOKUP(A1391,'CloseDL - PriceSaverBBT3'!A:E,5,0))</f>
        <v>0</v>
      </c>
      <c r="K1391" s="7" t="str">
        <f t="shared" si="201"/>
        <v/>
      </c>
      <c r="L1391" s="20">
        <f>IF(Close[[#This Row],[CreatedBy]]="MARINER\SilverAdm",1,0)</f>
        <v>1</v>
      </c>
      <c r="M1391" t="str">
        <f>IF(NOT(ISBLANK(A1391)),VLOOKUP(A1391,'Close - PriceSaver'!A:J,6,0),"")</f>
        <v/>
      </c>
      <c r="Q1391" t="e">
        <f t="shared" si="202"/>
        <v>#N/A</v>
      </c>
      <c r="R1391" t="e">
        <f t="shared" si="203"/>
        <v>#N/A</v>
      </c>
      <c r="S1391" t="e">
        <f t="shared" si="204"/>
        <v>#N/A</v>
      </c>
      <c r="T1391" s="15" t="e">
        <f t="shared" si="206"/>
        <v>#N/A</v>
      </c>
      <c r="U1391" s="18" t="e">
        <f t="shared" si="207"/>
        <v>#N/A</v>
      </c>
      <c r="V1391" s="14" t="e">
        <f t="shared" si="205"/>
        <v>#N/A</v>
      </c>
      <c r="W1391" s="19" t="e">
        <f t="shared" si="208"/>
        <v>#N/A</v>
      </c>
      <c r="X1391" t="e">
        <f>VLOOKUP(P1391,Close[[ID]:[CreatedBy]],8,0)</f>
        <v>#N/A</v>
      </c>
    </row>
    <row r="1392" spans="2:24" x14ac:dyDescent="0.35">
      <c r="B1392" t="str">
        <f>IF(NOT(ISBLANK(A1392)),VLOOKUP(A1392,'BBT3'!A:F,2,0),"")</f>
        <v/>
      </c>
      <c r="C1392" t="str">
        <f>IF(NOT(ISBLANK(A1392)),VLOOKUP(A1392,'BBT3'!A:F,3,0),"")</f>
        <v/>
      </c>
      <c r="D1392" s="5" t="str">
        <f>IF(NOT(ISBLANK(A1392)),VLOOKUP(A1392,'BBT3'!A:F,4,1),"")</f>
        <v/>
      </c>
      <c r="E1392" t="str">
        <f>IF(NOT(ISBLANK(A1392)),VLOOKUP(A1392,'BBT3'!A:F,5,0),"")</f>
        <v/>
      </c>
      <c r="F1392" t="str">
        <f>IF(NOT(ISBLANK(A1392)),VLOOKUP(A1392,'BBT3'!A:F,6,0),"")</f>
        <v/>
      </c>
      <c r="G1392" t="str">
        <f t="shared" si="200"/>
        <v/>
      </c>
      <c r="H1392" t="str">
        <f>IF(NOT(ISBLANK(A1392)),VLOOKUP(A1392,'Close - PriceSaver'!A:J,5,0),"")</f>
        <v/>
      </c>
      <c r="I1392" s="4" t="str" cm="1">
        <f t="array" ref="I1392">IF(NOT(ISBLANK(A1392)),((_xlfn.XLOOKUP(1,(_bbt3[[#All],[ID]]=A1392)*(_bbt3[[#All],[METRIC_NAME]]="YLD_YTM_ASK"),_bbt3[[#All],[METRIC_VALUE]])*0.5)+(_xlfn.XLOOKUP(1,(_bbt3[[#All],[ID]]=A1392)*(_bbt3[[#All],[METRIC_NAME]]="YLD_YTM_BID"),_bbt3[[#All],[METRIC_VALUE]])*0.5))/100,"")</f>
        <v/>
      </c>
      <c r="J1392">
        <f>IF(ISNA(VLOOKUP(A1392,'CloseDL - PriceSaverBBT3'!A:E,5,0)),0,VLOOKUP(A1392,'CloseDL - PriceSaverBBT3'!A:E,5,0))</f>
        <v>0</v>
      </c>
      <c r="K1392" s="7" t="str">
        <f t="shared" si="201"/>
        <v/>
      </c>
      <c r="L1392" s="20">
        <f>IF(Close[[#This Row],[CreatedBy]]="MARINER\SilverAdm",1,0)</f>
        <v>1</v>
      </c>
      <c r="M1392" t="str">
        <f>IF(NOT(ISBLANK(A1392)),VLOOKUP(A1392,'Close - PriceSaver'!A:J,6,0),"")</f>
        <v/>
      </c>
      <c r="Q1392" t="e">
        <f t="shared" si="202"/>
        <v>#N/A</v>
      </c>
      <c r="R1392" t="e">
        <f t="shared" si="203"/>
        <v>#N/A</v>
      </c>
      <c r="S1392" t="e">
        <f t="shared" si="204"/>
        <v>#N/A</v>
      </c>
      <c r="T1392" s="15" t="e">
        <f t="shared" si="206"/>
        <v>#N/A</v>
      </c>
      <c r="U1392" s="18" t="e">
        <f t="shared" si="207"/>
        <v>#N/A</v>
      </c>
      <c r="V1392" s="14" t="e">
        <f t="shared" si="205"/>
        <v>#N/A</v>
      </c>
      <c r="W1392" s="19" t="e">
        <f t="shared" si="208"/>
        <v>#N/A</v>
      </c>
      <c r="X1392" t="e">
        <f>VLOOKUP(P1392,Close[[ID]:[CreatedBy]],8,0)</f>
        <v>#N/A</v>
      </c>
    </row>
    <row r="1393" spans="2:24" x14ac:dyDescent="0.35">
      <c r="B1393" t="str">
        <f>IF(NOT(ISBLANK(A1393)),VLOOKUP(A1393,'BBT3'!A:F,2,0),"")</f>
        <v/>
      </c>
      <c r="C1393" t="str">
        <f>IF(NOT(ISBLANK(A1393)),VLOOKUP(A1393,'BBT3'!A:F,3,0),"")</f>
        <v/>
      </c>
      <c r="D1393" s="5" t="str">
        <f>IF(NOT(ISBLANK(A1393)),VLOOKUP(A1393,'BBT3'!A:F,4,1),"")</f>
        <v/>
      </c>
      <c r="E1393" t="str">
        <f>IF(NOT(ISBLANK(A1393)),VLOOKUP(A1393,'BBT3'!A:F,5,0),"")</f>
        <v/>
      </c>
      <c r="F1393" t="str">
        <f>IF(NOT(ISBLANK(A1393)),VLOOKUP(A1393,'BBT3'!A:F,6,0),"")</f>
        <v/>
      </c>
      <c r="G1393" t="str">
        <f t="shared" si="200"/>
        <v/>
      </c>
      <c r="H1393" t="str">
        <f>IF(NOT(ISBLANK(A1393)),VLOOKUP(A1393,'Close - PriceSaver'!A:J,5,0),"")</f>
        <v/>
      </c>
      <c r="I1393" s="4" t="str" cm="1">
        <f t="array" ref="I1393">IF(NOT(ISBLANK(A1393)),((_xlfn.XLOOKUP(1,(_bbt3[[#All],[ID]]=A1393)*(_bbt3[[#All],[METRIC_NAME]]="YLD_YTM_ASK"),_bbt3[[#All],[METRIC_VALUE]])*0.5)+(_xlfn.XLOOKUP(1,(_bbt3[[#All],[ID]]=A1393)*(_bbt3[[#All],[METRIC_NAME]]="YLD_YTM_BID"),_bbt3[[#All],[METRIC_VALUE]])*0.5))/100,"")</f>
        <v/>
      </c>
      <c r="J1393">
        <f>IF(ISNA(VLOOKUP(A1393,'CloseDL - PriceSaverBBT3'!A:E,5,0)),0,VLOOKUP(A1393,'CloseDL - PriceSaverBBT3'!A:E,5,0))</f>
        <v>0</v>
      </c>
      <c r="K1393" s="7" t="str">
        <f t="shared" si="201"/>
        <v/>
      </c>
      <c r="L1393" s="20">
        <f>IF(Close[[#This Row],[CreatedBy]]="MARINER\SilverAdm",1,0)</f>
        <v>1</v>
      </c>
      <c r="M1393" t="str">
        <f>IF(NOT(ISBLANK(A1393)),VLOOKUP(A1393,'Close - PriceSaver'!A:J,6,0),"")</f>
        <v/>
      </c>
      <c r="Q1393" t="e">
        <f t="shared" si="202"/>
        <v>#N/A</v>
      </c>
      <c r="R1393" t="e">
        <f t="shared" si="203"/>
        <v>#N/A</v>
      </c>
      <c r="S1393" t="e">
        <f t="shared" si="204"/>
        <v>#N/A</v>
      </c>
      <c r="T1393" s="15" t="e">
        <f t="shared" si="206"/>
        <v>#N/A</v>
      </c>
      <c r="U1393" s="18" t="e">
        <f t="shared" si="207"/>
        <v>#N/A</v>
      </c>
      <c r="V1393" s="14" t="e">
        <f t="shared" si="205"/>
        <v>#N/A</v>
      </c>
      <c r="W1393" s="19" t="e">
        <f t="shared" si="208"/>
        <v>#N/A</v>
      </c>
      <c r="X1393" t="e">
        <f>VLOOKUP(P1393,Close[[ID]:[CreatedBy]],8,0)</f>
        <v>#N/A</v>
      </c>
    </row>
    <row r="1394" spans="2:24" x14ac:dyDescent="0.35">
      <c r="B1394" t="str">
        <f>IF(NOT(ISBLANK(A1394)),VLOOKUP(A1394,'BBT3'!A:F,2,0),"")</f>
        <v/>
      </c>
      <c r="C1394" t="str">
        <f>IF(NOT(ISBLANK(A1394)),VLOOKUP(A1394,'BBT3'!A:F,3,0),"")</f>
        <v/>
      </c>
      <c r="D1394" s="5" t="str">
        <f>IF(NOT(ISBLANK(A1394)),VLOOKUP(A1394,'BBT3'!A:F,4,1),"")</f>
        <v/>
      </c>
      <c r="E1394" t="str">
        <f>IF(NOT(ISBLANK(A1394)),VLOOKUP(A1394,'BBT3'!A:F,5,0),"")</f>
        <v/>
      </c>
      <c r="F1394" t="str">
        <f>IF(NOT(ISBLANK(A1394)),VLOOKUP(A1394,'BBT3'!A:F,6,0),"")</f>
        <v/>
      </c>
      <c r="G1394" t="str">
        <f t="shared" si="200"/>
        <v/>
      </c>
      <c r="H1394" t="str">
        <f>IF(NOT(ISBLANK(A1394)),VLOOKUP(A1394,'Close - PriceSaver'!A:J,5,0),"")</f>
        <v/>
      </c>
      <c r="I1394" s="4" t="str" cm="1">
        <f t="array" ref="I1394">IF(NOT(ISBLANK(A1394)),((_xlfn.XLOOKUP(1,(_bbt3[[#All],[ID]]=A1394)*(_bbt3[[#All],[METRIC_NAME]]="YLD_YTM_ASK"),_bbt3[[#All],[METRIC_VALUE]])*0.5)+(_xlfn.XLOOKUP(1,(_bbt3[[#All],[ID]]=A1394)*(_bbt3[[#All],[METRIC_NAME]]="YLD_YTM_BID"),_bbt3[[#All],[METRIC_VALUE]])*0.5))/100,"")</f>
        <v/>
      </c>
      <c r="J1394">
        <f>IF(ISNA(VLOOKUP(A1394,'CloseDL - PriceSaverBBT3'!A:E,5,0)),0,VLOOKUP(A1394,'CloseDL - PriceSaverBBT3'!A:E,5,0))</f>
        <v>0</v>
      </c>
      <c r="K1394" s="7" t="str">
        <f t="shared" si="201"/>
        <v/>
      </c>
      <c r="L1394" s="20">
        <f>IF(Close[[#This Row],[CreatedBy]]="MARINER\SilverAdm",1,0)</f>
        <v>1</v>
      </c>
      <c r="M1394" t="str">
        <f>IF(NOT(ISBLANK(A1394)),VLOOKUP(A1394,'Close - PriceSaver'!A:J,6,0),"")</f>
        <v/>
      </c>
      <c r="Q1394" t="e">
        <f t="shared" si="202"/>
        <v>#N/A</v>
      </c>
      <c r="R1394" t="e">
        <f t="shared" si="203"/>
        <v>#N/A</v>
      </c>
      <c r="S1394" t="e">
        <f t="shared" si="204"/>
        <v>#N/A</v>
      </c>
      <c r="T1394" s="15" t="e">
        <f t="shared" si="206"/>
        <v>#N/A</v>
      </c>
      <c r="U1394" s="18" t="e">
        <f t="shared" si="207"/>
        <v>#N/A</v>
      </c>
      <c r="V1394" s="14" t="e">
        <f t="shared" si="205"/>
        <v>#N/A</v>
      </c>
      <c r="W1394" s="19" t="e">
        <f t="shared" si="208"/>
        <v>#N/A</v>
      </c>
      <c r="X1394" t="e">
        <f>VLOOKUP(P1394,Close[[ID]:[CreatedBy]],8,0)</f>
        <v>#N/A</v>
      </c>
    </row>
    <row r="1395" spans="2:24" x14ac:dyDescent="0.35">
      <c r="B1395" t="str">
        <f>IF(NOT(ISBLANK(A1395)),VLOOKUP(A1395,'BBT3'!A:F,2,0),"")</f>
        <v/>
      </c>
      <c r="C1395" t="str">
        <f>IF(NOT(ISBLANK(A1395)),VLOOKUP(A1395,'BBT3'!A:F,3,0),"")</f>
        <v/>
      </c>
      <c r="D1395" s="5" t="str">
        <f>IF(NOT(ISBLANK(A1395)),VLOOKUP(A1395,'BBT3'!A:F,4,1),"")</f>
        <v/>
      </c>
      <c r="E1395" t="str">
        <f>IF(NOT(ISBLANK(A1395)),VLOOKUP(A1395,'BBT3'!A:F,5,0),"")</f>
        <v/>
      </c>
      <c r="F1395" t="str">
        <f>IF(NOT(ISBLANK(A1395)),VLOOKUP(A1395,'BBT3'!A:F,6,0),"")</f>
        <v/>
      </c>
      <c r="G1395" t="str">
        <f t="shared" si="200"/>
        <v/>
      </c>
      <c r="H1395" t="str">
        <f>IF(NOT(ISBLANK(A1395)),VLOOKUP(A1395,'Close - PriceSaver'!A:J,5,0),"")</f>
        <v/>
      </c>
      <c r="I1395" s="4" t="str" cm="1">
        <f t="array" ref="I1395">IF(NOT(ISBLANK(A1395)),((_xlfn.XLOOKUP(1,(_bbt3[[#All],[ID]]=A1395)*(_bbt3[[#All],[METRIC_NAME]]="YLD_YTM_ASK"),_bbt3[[#All],[METRIC_VALUE]])*0.5)+(_xlfn.XLOOKUP(1,(_bbt3[[#All],[ID]]=A1395)*(_bbt3[[#All],[METRIC_NAME]]="YLD_YTM_BID"),_bbt3[[#All],[METRIC_VALUE]])*0.5))/100,"")</f>
        <v/>
      </c>
      <c r="J1395">
        <f>IF(ISNA(VLOOKUP(A1395,'CloseDL - PriceSaverBBT3'!A:E,5,0)),0,VLOOKUP(A1395,'CloseDL - PriceSaverBBT3'!A:E,5,0))</f>
        <v>0</v>
      </c>
      <c r="K1395" s="7" t="str">
        <f t="shared" si="201"/>
        <v/>
      </c>
      <c r="L1395" s="20">
        <f>IF(Close[[#This Row],[CreatedBy]]="MARINER\SilverAdm",1,0)</f>
        <v>1</v>
      </c>
      <c r="M1395" t="str">
        <f>IF(NOT(ISBLANK(A1395)),VLOOKUP(A1395,'Close - PriceSaver'!A:J,6,0),"")</f>
        <v/>
      </c>
      <c r="Q1395" t="e">
        <f t="shared" si="202"/>
        <v>#N/A</v>
      </c>
      <c r="R1395" t="e">
        <f t="shared" si="203"/>
        <v>#N/A</v>
      </c>
      <c r="S1395" t="e">
        <f t="shared" si="204"/>
        <v>#N/A</v>
      </c>
      <c r="T1395" s="15" t="e">
        <f t="shared" si="206"/>
        <v>#N/A</v>
      </c>
      <c r="U1395" s="18" t="e">
        <f t="shared" si="207"/>
        <v>#N/A</v>
      </c>
      <c r="V1395" s="14" t="e">
        <f t="shared" si="205"/>
        <v>#N/A</v>
      </c>
      <c r="W1395" s="19" t="e">
        <f t="shared" si="208"/>
        <v>#N/A</v>
      </c>
      <c r="X1395" t="e">
        <f>VLOOKUP(P1395,Close[[ID]:[CreatedBy]],8,0)</f>
        <v>#N/A</v>
      </c>
    </row>
    <row r="1396" spans="2:24" x14ac:dyDescent="0.35">
      <c r="B1396" t="str">
        <f>IF(NOT(ISBLANK(A1396)),VLOOKUP(A1396,'BBT3'!A:F,2,0),"")</f>
        <v/>
      </c>
      <c r="C1396" t="str">
        <f>IF(NOT(ISBLANK(A1396)),VLOOKUP(A1396,'BBT3'!A:F,3,0),"")</f>
        <v/>
      </c>
      <c r="D1396" s="5" t="str">
        <f>IF(NOT(ISBLANK(A1396)),VLOOKUP(A1396,'BBT3'!A:F,4,1),"")</f>
        <v/>
      </c>
      <c r="E1396" t="str">
        <f>IF(NOT(ISBLANK(A1396)),VLOOKUP(A1396,'BBT3'!A:F,5,0),"")</f>
        <v/>
      </c>
      <c r="F1396" t="str">
        <f>IF(NOT(ISBLANK(A1396)),VLOOKUP(A1396,'BBT3'!A:F,6,0),"")</f>
        <v/>
      </c>
      <c r="G1396" t="str">
        <f t="shared" si="200"/>
        <v/>
      </c>
      <c r="H1396" t="str">
        <f>IF(NOT(ISBLANK(A1396)),VLOOKUP(A1396,'Close - PriceSaver'!A:J,5,0),"")</f>
        <v/>
      </c>
      <c r="I1396" s="4" t="str" cm="1">
        <f t="array" ref="I1396">IF(NOT(ISBLANK(A1396)),((_xlfn.XLOOKUP(1,(_bbt3[[#All],[ID]]=A1396)*(_bbt3[[#All],[METRIC_NAME]]="YLD_YTM_ASK"),_bbt3[[#All],[METRIC_VALUE]])*0.5)+(_xlfn.XLOOKUP(1,(_bbt3[[#All],[ID]]=A1396)*(_bbt3[[#All],[METRIC_NAME]]="YLD_YTM_BID"),_bbt3[[#All],[METRIC_VALUE]])*0.5))/100,"")</f>
        <v/>
      </c>
      <c r="J1396">
        <f>IF(ISNA(VLOOKUP(A1396,'CloseDL - PriceSaverBBT3'!A:E,5,0)),0,VLOOKUP(A1396,'CloseDL - PriceSaverBBT3'!A:E,5,0))</f>
        <v>0</v>
      </c>
      <c r="K1396" s="7" t="str">
        <f t="shared" si="201"/>
        <v/>
      </c>
      <c r="L1396" s="20">
        <f>IF(Close[[#This Row],[CreatedBy]]="MARINER\SilverAdm",1,0)</f>
        <v>1</v>
      </c>
      <c r="M1396" t="str">
        <f>IF(NOT(ISBLANK(A1396)),VLOOKUP(A1396,'Close - PriceSaver'!A:J,6,0),"")</f>
        <v/>
      </c>
      <c r="Q1396" t="e">
        <f t="shared" si="202"/>
        <v>#N/A</v>
      </c>
      <c r="R1396" t="e">
        <f t="shared" si="203"/>
        <v>#N/A</v>
      </c>
      <c r="S1396" t="e">
        <f t="shared" si="204"/>
        <v>#N/A</v>
      </c>
      <c r="T1396" s="15" t="e">
        <f t="shared" si="206"/>
        <v>#N/A</v>
      </c>
      <c r="U1396" s="18" t="e">
        <f t="shared" si="207"/>
        <v>#N/A</v>
      </c>
      <c r="V1396" s="14" t="e">
        <f t="shared" si="205"/>
        <v>#N/A</v>
      </c>
      <c r="W1396" s="19" t="e">
        <f t="shared" si="208"/>
        <v>#N/A</v>
      </c>
      <c r="X1396" t="e">
        <f>VLOOKUP(P1396,Close[[ID]:[CreatedBy]],8,0)</f>
        <v>#N/A</v>
      </c>
    </row>
    <row r="1397" spans="2:24" x14ac:dyDescent="0.35">
      <c r="B1397" t="str">
        <f>IF(NOT(ISBLANK(A1397)),VLOOKUP(A1397,'BBT3'!A:F,2,0),"")</f>
        <v/>
      </c>
      <c r="C1397" t="str">
        <f>IF(NOT(ISBLANK(A1397)),VLOOKUP(A1397,'BBT3'!A:F,3,0),"")</f>
        <v/>
      </c>
      <c r="D1397" s="5" t="str">
        <f>IF(NOT(ISBLANK(A1397)),VLOOKUP(A1397,'BBT3'!A:F,4,1),"")</f>
        <v/>
      </c>
      <c r="E1397" t="str">
        <f>IF(NOT(ISBLANK(A1397)),VLOOKUP(A1397,'BBT3'!A:F,5,0),"")</f>
        <v/>
      </c>
      <c r="F1397" t="str">
        <f>IF(NOT(ISBLANK(A1397)),VLOOKUP(A1397,'BBT3'!A:F,6,0),"")</f>
        <v/>
      </c>
      <c r="G1397" t="str">
        <f t="shared" si="200"/>
        <v/>
      </c>
      <c r="H1397" t="str">
        <f>IF(NOT(ISBLANK(A1397)),VLOOKUP(A1397,'Close - PriceSaver'!A:J,5,0),"")</f>
        <v/>
      </c>
      <c r="I1397" s="4" t="str" cm="1">
        <f t="array" ref="I1397">IF(NOT(ISBLANK(A1397)),((_xlfn.XLOOKUP(1,(_bbt3[[#All],[ID]]=A1397)*(_bbt3[[#All],[METRIC_NAME]]="YLD_YTM_ASK"),_bbt3[[#All],[METRIC_VALUE]])*0.5)+(_xlfn.XLOOKUP(1,(_bbt3[[#All],[ID]]=A1397)*(_bbt3[[#All],[METRIC_NAME]]="YLD_YTM_BID"),_bbt3[[#All],[METRIC_VALUE]])*0.5))/100,"")</f>
        <v/>
      </c>
      <c r="J1397">
        <f>IF(ISNA(VLOOKUP(A1397,'CloseDL - PriceSaverBBT3'!A:E,5,0)),0,VLOOKUP(A1397,'CloseDL - PriceSaverBBT3'!A:E,5,0))</f>
        <v>0</v>
      </c>
      <c r="K1397" s="7" t="str">
        <f t="shared" si="201"/>
        <v/>
      </c>
      <c r="L1397" s="20">
        <f>IF(Close[[#This Row],[CreatedBy]]="MARINER\SilverAdm",1,0)</f>
        <v>1</v>
      </c>
      <c r="M1397" t="str">
        <f>IF(NOT(ISBLANK(A1397)),VLOOKUP(A1397,'Close - PriceSaver'!A:J,6,0),"")</f>
        <v/>
      </c>
      <c r="Q1397" t="e">
        <f t="shared" si="202"/>
        <v>#N/A</v>
      </c>
      <c r="R1397" t="e">
        <f t="shared" si="203"/>
        <v>#N/A</v>
      </c>
      <c r="S1397" t="e">
        <f t="shared" si="204"/>
        <v>#N/A</v>
      </c>
      <c r="T1397" s="15" t="e">
        <f t="shared" si="206"/>
        <v>#N/A</v>
      </c>
      <c r="U1397" s="18" t="e">
        <f t="shared" si="207"/>
        <v>#N/A</v>
      </c>
      <c r="V1397" s="14" t="e">
        <f t="shared" si="205"/>
        <v>#N/A</v>
      </c>
      <c r="W1397" s="19" t="e">
        <f t="shared" si="208"/>
        <v>#N/A</v>
      </c>
      <c r="X1397" t="e">
        <f>VLOOKUP(P1397,Close[[ID]:[CreatedBy]],8,0)</f>
        <v>#N/A</v>
      </c>
    </row>
    <row r="1398" spans="2:24" x14ac:dyDescent="0.35">
      <c r="B1398" t="str">
        <f>IF(NOT(ISBLANK(A1398)),VLOOKUP(A1398,'BBT3'!A:F,2,0),"")</f>
        <v/>
      </c>
      <c r="C1398" t="str">
        <f>IF(NOT(ISBLANK(A1398)),VLOOKUP(A1398,'BBT3'!A:F,3,0),"")</f>
        <v/>
      </c>
      <c r="D1398" s="5" t="str">
        <f>IF(NOT(ISBLANK(A1398)),VLOOKUP(A1398,'BBT3'!A:F,4,1),"")</f>
        <v/>
      </c>
      <c r="E1398" t="str">
        <f>IF(NOT(ISBLANK(A1398)),VLOOKUP(A1398,'BBT3'!A:F,5,0),"")</f>
        <v/>
      </c>
      <c r="F1398" t="str">
        <f>IF(NOT(ISBLANK(A1398)),VLOOKUP(A1398,'BBT3'!A:F,6,0),"")</f>
        <v/>
      </c>
      <c r="G1398" t="str">
        <f t="shared" si="200"/>
        <v/>
      </c>
      <c r="H1398" t="str">
        <f>IF(NOT(ISBLANK(A1398)),VLOOKUP(A1398,'Close - PriceSaver'!A:J,5,0),"")</f>
        <v/>
      </c>
      <c r="I1398" s="4" t="str" cm="1">
        <f t="array" ref="I1398">IF(NOT(ISBLANK(A1398)),((_xlfn.XLOOKUP(1,(_bbt3[[#All],[ID]]=A1398)*(_bbt3[[#All],[METRIC_NAME]]="YLD_YTM_ASK"),_bbt3[[#All],[METRIC_VALUE]])*0.5)+(_xlfn.XLOOKUP(1,(_bbt3[[#All],[ID]]=A1398)*(_bbt3[[#All],[METRIC_NAME]]="YLD_YTM_BID"),_bbt3[[#All],[METRIC_VALUE]])*0.5))/100,"")</f>
        <v/>
      </c>
      <c r="J1398">
        <f>IF(ISNA(VLOOKUP(A1398,'CloseDL - PriceSaverBBT3'!A:E,5,0)),0,VLOOKUP(A1398,'CloseDL - PriceSaverBBT3'!A:E,5,0))</f>
        <v>0</v>
      </c>
      <c r="K1398" s="7" t="str">
        <f t="shared" si="201"/>
        <v/>
      </c>
      <c r="L1398" s="20">
        <f>IF(Close[[#This Row],[CreatedBy]]="MARINER\SilverAdm",1,0)</f>
        <v>1</v>
      </c>
      <c r="M1398" t="str">
        <f>IF(NOT(ISBLANK(A1398)),VLOOKUP(A1398,'Close - PriceSaver'!A:J,6,0),"")</f>
        <v/>
      </c>
      <c r="Q1398" t="e">
        <f t="shared" si="202"/>
        <v>#N/A</v>
      </c>
      <c r="R1398" t="e">
        <f t="shared" si="203"/>
        <v>#N/A</v>
      </c>
      <c r="S1398" t="e">
        <f t="shared" si="204"/>
        <v>#N/A</v>
      </c>
      <c r="T1398" s="15" t="e">
        <f t="shared" si="206"/>
        <v>#N/A</v>
      </c>
      <c r="U1398" s="18" t="e">
        <f t="shared" si="207"/>
        <v>#N/A</v>
      </c>
      <c r="V1398" s="14" t="e">
        <f t="shared" si="205"/>
        <v>#N/A</v>
      </c>
      <c r="W1398" s="19" t="e">
        <f t="shared" si="208"/>
        <v>#N/A</v>
      </c>
      <c r="X1398" t="e">
        <f>VLOOKUP(P1398,Close[[ID]:[CreatedBy]],8,0)</f>
        <v>#N/A</v>
      </c>
    </row>
    <row r="1399" spans="2:24" x14ac:dyDescent="0.35">
      <c r="B1399" t="str">
        <f>IF(NOT(ISBLANK(A1399)),VLOOKUP(A1399,'BBT3'!A:F,2,0),"")</f>
        <v/>
      </c>
      <c r="C1399" t="str">
        <f>IF(NOT(ISBLANK(A1399)),VLOOKUP(A1399,'BBT3'!A:F,3,0),"")</f>
        <v/>
      </c>
      <c r="D1399" s="5" t="str">
        <f>IF(NOT(ISBLANK(A1399)),VLOOKUP(A1399,'BBT3'!A:F,4,1),"")</f>
        <v/>
      </c>
      <c r="E1399" t="str">
        <f>IF(NOT(ISBLANK(A1399)),VLOOKUP(A1399,'BBT3'!A:F,5,0),"")</f>
        <v/>
      </c>
      <c r="F1399" t="str">
        <f>IF(NOT(ISBLANK(A1399)),VLOOKUP(A1399,'BBT3'!A:F,6,0),"")</f>
        <v/>
      </c>
      <c r="G1399" t="str">
        <f t="shared" si="200"/>
        <v/>
      </c>
      <c r="H1399" t="str">
        <f>IF(NOT(ISBLANK(A1399)),VLOOKUP(A1399,'Close - PriceSaver'!A:J,5,0),"")</f>
        <v/>
      </c>
      <c r="I1399" s="4" t="str" cm="1">
        <f t="array" ref="I1399">IF(NOT(ISBLANK(A1399)),((_xlfn.XLOOKUP(1,(_bbt3[[#All],[ID]]=A1399)*(_bbt3[[#All],[METRIC_NAME]]="YLD_YTM_ASK"),_bbt3[[#All],[METRIC_VALUE]])*0.5)+(_xlfn.XLOOKUP(1,(_bbt3[[#All],[ID]]=A1399)*(_bbt3[[#All],[METRIC_NAME]]="YLD_YTM_BID"),_bbt3[[#All],[METRIC_VALUE]])*0.5))/100,"")</f>
        <v/>
      </c>
      <c r="J1399">
        <f>IF(ISNA(VLOOKUP(A1399,'CloseDL - PriceSaverBBT3'!A:E,5,0)),0,VLOOKUP(A1399,'CloseDL - PriceSaverBBT3'!A:E,5,0))</f>
        <v>0</v>
      </c>
      <c r="K1399" s="7" t="str">
        <f t="shared" si="201"/>
        <v/>
      </c>
      <c r="L1399" s="20">
        <f>IF(Close[[#This Row],[CreatedBy]]="MARINER\SilverAdm",1,0)</f>
        <v>1</v>
      </c>
      <c r="M1399" t="str">
        <f>IF(NOT(ISBLANK(A1399)),VLOOKUP(A1399,'Close - PriceSaver'!A:J,6,0),"")</f>
        <v/>
      </c>
      <c r="Q1399" t="e">
        <f t="shared" si="202"/>
        <v>#N/A</v>
      </c>
      <c r="R1399" t="e">
        <f t="shared" si="203"/>
        <v>#N/A</v>
      </c>
      <c r="S1399" t="e">
        <f t="shared" si="204"/>
        <v>#N/A</v>
      </c>
      <c r="T1399" s="15" t="e">
        <f t="shared" si="206"/>
        <v>#N/A</v>
      </c>
      <c r="U1399" s="18" t="e">
        <f t="shared" si="207"/>
        <v>#N/A</v>
      </c>
      <c r="V1399" s="14" t="e">
        <f t="shared" si="205"/>
        <v>#N/A</v>
      </c>
      <c r="W1399" s="19" t="e">
        <f t="shared" si="208"/>
        <v>#N/A</v>
      </c>
      <c r="X1399" t="e">
        <f>VLOOKUP(P1399,Close[[ID]:[CreatedBy]],8,0)</f>
        <v>#N/A</v>
      </c>
    </row>
    <row r="1400" spans="2:24" x14ac:dyDescent="0.35">
      <c r="B1400" t="str">
        <f>IF(NOT(ISBLANK(A1400)),VLOOKUP(A1400,'BBT3'!A:F,2,0),"")</f>
        <v/>
      </c>
      <c r="C1400" t="str">
        <f>IF(NOT(ISBLANK(A1400)),VLOOKUP(A1400,'BBT3'!A:F,3,0),"")</f>
        <v/>
      </c>
      <c r="D1400" s="5" t="str">
        <f>IF(NOT(ISBLANK(A1400)),VLOOKUP(A1400,'BBT3'!A:F,4,1),"")</f>
        <v/>
      </c>
      <c r="E1400" t="str">
        <f>IF(NOT(ISBLANK(A1400)),VLOOKUP(A1400,'BBT3'!A:F,5,0),"")</f>
        <v/>
      </c>
      <c r="F1400" t="str">
        <f>IF(NOT(ISBLANK(A1400)),VLOOKUP(A1400,'BBT3'!A:F,6,0),"")</f>
        <v/>
      </c>
      <c r="G1400" t="str">
        <f t="shared" si="200"/>
        <v/>
      </c>
      <c r="H1400" t="str">
        <f>IF(NOT(ISBLANK(A1400)),VLOOKUP(A1400,'Close - PriceSaver'!A:J,5,0),"")</f>
        <v/>
      </c>
      <c r="I1400" s="4" t="str" cm="1">
        <f t="array" ref="I1400">IF(NOT(ISBLANK(A1400)),((_xlfn.XLOOKUP(1,(_bbt3[[#All],[ID]]=A1400)*(_bbt3[[#All],[METRIC_NAME]]="YLD_YTM_ASK"),_bbt3[[#All],[METRIC_VALUE]])*0.5)+(_xlfn.XLOOKUP(1,(_bbt3[[#All],[ID]]=A1400)*(_bbt3[[#All],[METRIC_NAME]]="YLD_YTM_BID"),_bbt3[[#All],[METRIC_VALUE]])*0.5))/100,"")</f>
        <v/>
      </c>
      <c r="J1400">
        <f>IF(ISNA(VLOOKUP(A1400,'CloseDL - PriceSaverBBT3'!A:E,5,0)),0,VLOOKUP(A1400,'CloseDL - PriceSaverBBT3'!A:E,5,0))</f>
        <v>0</v>
      </c>
      <c r="K1400" s="7" t="str">
        <f t="shared" si="201"/>
        <v/>
      </c>
      <c r="L1400" s="20">
        <f>IF(Close[[#This Row],[CreatedBy]]="MARINER\SilverAdm",1,0)</f>
        <v>1</v>
      </c>
      <c r="M1400" t="str">
        <f>IF(NOT(ISBLANK(A1400)),VLOOKUP(A1400,'Close - PriceSaver'!A:J,6,0),"")</f>
        <v/>
      </c>
      <c r="Q1400" t="e">
        <f t="shared" si="202"/>
        <v>#N/A</v>
      </c>
      <c r="R1400" t="e">
        <f t="shared" si="203"/>
        <v>#N/A</v>
      </c>
      <c r="S1400" t="e">
        <f t="shared" si="204"/>
        <v>#N/A</v>
      </c>
      <c r="T1400" s="15" t="e">
        <f t="shared" si="206"/>
        <v>#N/A</v>
      </c>
      <c r="U1400" s="18" t="e">
        <f t="shared" si="207"/>
        <v>#N/A</v>
      </c>
      <c r="V1400" s="14" t="e">
        <f t="shared" si="205"/>
        <v>#N/A</v>
      </c>
      <c r="W1400" s="19" t="e">
        <f t="shared" si="208"/>
        <v>#N/A</v>
      </c>
      <c r="X1400" t="e">
        <f>VLOOKUP(P1400,Close[[ID]:[CreatedBy]],8,0)</f>
        <v>#N/A</v>
      </c>
    </row>
    <row r="1401" spans="2:24" x14ac:dyDescent="0.35">
      <c r="B1401" t="str">
        <f>IF(NOT(ISBLANK(A1401)),VLOOKUP(A1401,'BBT3'!A:F,2,0),"")</f>
        <v/>
      </c>
      <c r="C1401" t="str">
        <f>IF(NOT(ISBLANK(A1401)),VLOOKUP(A1401,'BBT3'!A:F,3,0),"")</f>
        <v/>
      </c>
      <c r="D1401" s="5" t="str">
        <f>IF(NOT(ISBLANK(A1401)),VLOOKUP(A1401,'BBT3'!A:F,4,1),"")</f>
        <v/>
      </c>
      <c r="E1401" t="str">
        <f>IF(NOT(ISBLANK(A1401)),VLOOKUP(A1401,'BBT3'!A:F,5,0),"")</f>
        <v/>
      </c>
      <c r="F1401" t="str">
        <f>IF(NOT(ISBLANK(A1401)),VLOOKUP(A1401,'BBT3'!A:F,6,0),"")</f>
        <v/>
      </c>
      <c r="G1401" t="str">
        <f t="shared" si="200"/>
        <v/>
      </c>
      <c r="H1401" t="str">
        <f>IF(NOT(ISBLANK(A1401)),VLOOKUP(A1401,'Close - PriceSaver'!A:J,5,0),"")</f>
        <v/>
      </c>
      <c r="I1401" s="4" t="str" cm="1">
        <f t="array" ref="I1401">IF(NOT(ISBLANK(A1401)),((_xlfn.XLOOKUP(1,(_bbt3[[#All],[ID]]=A1401)*(_bbt3[[#All],[METRIC_NAME]]="YLD_YTM_ASK"),_bbt3[[#All],[METRIC_VALUE]])*0.5)+(_xlfn.XLOOKUP(1,(_bbt3[[#All],[ID]]=A1401)*(_bbt3[[#All],[METRIC_NAME]]="YLD_YTM_BID"),_bbt3[[#All],[METRIC_VALUE]])*0.5))/100,"")</f>
        <v/>
      </c>
      <c r="J1401">
        <f>IF(ISNA(VLOOKUP(A1401,'CloseDL - PriceSaverBBT3'!A:E,5,0)),0,VLOOKUP(A1401,'CloseDL - PriceSaverBBT3'!A:E,5,0))</f>
        <v>0</v>
      </c>
      <c r="K1401" s="7" t="str">
        <f t="shared" si="201"/>
        <v/>
      </c>
      <c r="L1401" s="20">
        <f>IF(Close[[#This Row],[CreatedBy]]="MARINER\SilverAdm",1,0)</f>
        <v>1</v>
      </c>
      <c r="M1401" t="str">
        <f>IF(NOT(ISBLANK(A1401)),VLOOKUP(A1401,'Close - PriceSaver'!A:J,6,0),"")</f>
        <v/>
      </c>
      <c r="Q1401" t="e">
        <f t="shared" si="202"/>
        <v>#N/A</v>
      </c>
      <c r="R1401" t="e">
        <f t="shared" si="203"/>
        <v>#N/A</v>
      </c>
      <c r="S1401" t="e">
        <f t="shared" si="204"/>
        <v>#N/A</v>
      </c>
      <c r="T1401" s="15" t="e">
        <f t="shared" si="206"/>
        <v>#N/A</v>
      </c>
      <c r="U1401" s="18" t="e">
        <f t="shared" si="207"/>
        <v>#N/A</v>
      </c>
      <c r="V1401" s="14" t="e">
        <f t="shared" si="205"/>
        <v>#N/A</v>
      </c>
      <c r="W1401" s="19" t="e">
        <f t="shared" si="208"/>
        <v>#N/A</v>
      </c>
      <c r="X1401" t="e">
        <f>VLOOKUP(P1401,Close[[ID]:[CreatedBy]],8,0)</f>
        <v>#N/A</v>
      </c>
    </row>
    <row r="1402" spans="2:24" x14ac:dyDescent="0.35">
      <c r="B1402" t="str">
        <f>IF(NOT(ISBLANK(A1402)),VLOOKUP(A1402,'BBT3'!A:F,2,0),"")</f>
        <v/>
      </c>
      <c r="C1402" t="str">
        <f>IF(NOT(ISBLANK(A1402)),VLOOKUP(A1402,'BBT3'!A:F,3,0),"")</f>
        <v/>
      </c>
      <c r="D1402" s="5" t="str">
        <f>IF(NOT(ISBLANK(A1402)),VLOOKUP(A1402,'BBT3'!A:F,4,1),"")</f>
        <v/>
      </c>
      <c r="E1402" t="str">
        <f>IF(NOT(ISBLANK(A1402)),VLOOKUP(A1402,'BBT3'!A:F,5,0),"")</f>
        <v/>
      </c>
      <c r="F1402" t="str">
        <f>IF(NOT(ISBLANK(A1402)),VLOOKUP(A1402,'BBT3'!A:F,6,0),"")</f>
        <v/>
      </c>
      <c r="G1402" t="str">
        <f t="shared" si="200"/>
        <v/>
      </c>
      <c r="H1402" t="str">
        <f>IF(NOT(ISBLANK(A1402)),VLOOKUP(A1402,'Close - PriceSaver'!A:J,5,0),"")</f>
        <v/>
      </c>
      <c r="I1402" s="4" t="str" cm="1">
        <f t="array" ref="I1402">IF(NOT(ISBLANK(A1402)),((_xlfn.XLOOKUP(1,(_bbt3[[#All],[ID]]=A1402)*(_bbt3[[#All],[METRIC_NAME]]="YLD_YTM_ASK"),_bbt3[[#All],[METRIC_VALUE]])*0.5)+(_xlfn.XLOOKUP(1,(_bbt3[[#All],[ID]]=A1402)*(_bbt3[[#All],[METRIC_NAME]]="YLD_YTM_BID"),_bbt3[[#All],[METRIC_VALUE]])*0.5))/100,"")</f>
        <v/>
      </c>
      <c r="J1402">
        <f>IF(ISNA(VLOOKUP(A1402,'CloseDL - PriceSaverBBT3'!A:E,5,0)),0,VLOOKUP(A1402,'CloseDL - PriceSaverBBT3'!A:E,5,0))</f>
        <v>0</v>
      </c>
      <c r="K1402" s="7" t="str">
        <f t="shared" si="201"/>
        <v/>
      </c>
      <c r="L1402" s="20">
        <f>IF(Close[[#This Row],[CreatedBy]]="MARINER\SilverAdm",1,0)</f>
        <v>1</v>
      </c>
      <c r="M1402" t="str">
        <f>IF(NOT(ISBLANK(A1402)),VLOOKUP(A1402,'Close - PriceSaver'!A:J,6,0),"")</f>
        <v/>
      </c>
      <c r="Q1402" t="e">
        <f t="shared" si="202"/>
        <v>#N/A</v>
      </c>
      <c r="R1402" t="e">
        <f t="shared" si="203"/>
        <v>#N/A</v>
      </c>
      <c r="S1402" t="e">
        <f t="shared" si="204"/>
        <v>#N/A</v>
      </c>
      <c r="T1402" s="15" t="e">
        <f t="shared" si="206"/>
        <v>#N/A</v>
      </c>
      <c r="U1402" s="18" t="e">
        <f t="shared" si="207"/>
        <v>#N/A</v>
      </c>
      <c r="V1402" s="14" t="e">
        <f t="shared" si="205"/>
        <v>#N/A</v>
      </c>
      <c r="W1402" s="19" t="e">
        <f t="shared" si="208"/>
        <v>#N/A</v>
      </c>
      <c r="X1402" t="e">
        <f>VLOOKUP(P1402,Close[[ID]:[CreatedBy]],8,0)</f>
        <v>#N/A</v>
      </c>
    </row>
    <row r="1403" spans="2:24" x14ac:dyDescent="0.35">
      <c r="B1403" t="str">
        <f>IF(NOT(ISBLANK(A1403)),VLOOKUP(A1403,'BBT3'!A:F,2,0),"")</f>
        <v/>
      </c>
      <c r="C1403" t="str">
        <f>IF(NOT(ISBLANK(A1403)),VLOOKUP(A1403,'BBT3'!A:F,3,0),"")</f>
        <v/>
      </c>
      <c r="D1403" s="5" t="str">
        <f>IF(NOT(ISBLANK(A1403)),VLOOKUP(A1403,'BBT3'!A:F,4,1),"")</f>
        <v/>
      </c>
      <c r="E1403" t="str">
        <f>IF(NOT(ISBLANK(A1403)),VLOOKUP(A1403,'BBT3'!A:F,5,0),"")</f>
        <v/>
      </c>
      <c r="F1403" t="str">
        <f>IF(NOT(ISBLANK(A1403)),VLOOKUP(A1403,'BBT3'!A:F,6,0),"")</f>
        <v/>
      </c>
      <c r="G1403" t="str">
        <f t="shared" si="200"/>
        <v/>
      </c>
      <c r="H1403" t="str">
        <f>IF(NOT(ISBLANK(A1403)),VLOOKUP(A1403,'Close - PriceSaver'!A:J,5,0),"")</f>
        <v/>
      </c>
      <c r="I1403" s="4" t="str" cm="1">
        <f t="array" ref="I1403">IF(NOT(ISBLANK(A1403)),((_xlfn.XLOOKUP(1,(_bbt3[[#All],[ID]]=A1403)*(_bbt3[[#All],[METRIC_NAME]]="YLD_YTM_ASK"),_bbt3[[#All],[METRIC_VALUE]])*0.5)+(_xlfn.XLOOKUP(1,(_bbt3[[#All],[ID]]=A1403)*(_bbt3[[#All],[METRIC_NAME]]="YLD_YTM_BID"),_bbt3[[#All],[METRIC_VALUE]])*0.5))/100,"")</f>
        <v/>
      </c>
      <c r="J1403">
        <f>IF(ISNA(VLOOKUP(A1403,'CloseDL - PriceSaverBBT3'!A:E,5,0)),0,VLOOKUP(A1403,'CloseDL - PriceSaverBBT3'!A:E,5,0))</f>
        <v>0</v>
      </c>
      <c r="K1403" s="7" t="str">
        <f t="shared" si="201"/>
        <v/>
      </c>
      <c r="L1403" s="20">
        <f>IF(Close[[#This Row],[CreatedBy]]="MARINER\SilverAdm",1,0)</f>
        <v>1</v>
      </c>
      <c r="M1403" t="str">
        <f>IF(NOT(ISBLANK(A1403)),VLOOKUP(A1403,'Close - PriceSaver'!A:J,6,0),"")</f>
        <v/>
      </c>
      <c r="Q1403" t="e">
        <f t="shared" si="202"/>
        <v>#N/A</v>
      </c>
      <c r="R1403" t="e">
        <f t="shared" si="203"/>
        <v>#N/A</v>
      </c>
      <c r="S1403" t="e">
        <f t="shared" si="204"/>
        <v>#N/A</v>
      </c>
      <c r="T1403" s="15" t="e">
        <f t="shared" si="206"/>
        <v>#N/A</v>
      </c>
      <c r="U1403" s="18" t="e">
        <f t="shared" si="207"/>
        <v>#N/A</v>
      </c>
      <c r="V1403" s="14" t="e">
        <f t="shared" si="205"/>
        <v>#N/A</v>
      </c>
      <c r="W1403" s="19" t="e">
        <f t="shared" si="208"/>
        <v>#N/A</v>
      </c>
      <c r="X1403" t="e">
        <f>VLOOKUP(P1403,Close[[ID]:[CreatedBy]],8,0)</f>
        <v>#N/A</v>
      </c>
    </row>
    <row r="1404" spans="2:24" x14ac:dyDescent="0.35">
      <c r="B1404" t="str">
        <f>IF(NOT(ISBLANK(A1404)),VLOOKUP(A1404,'BBT3'!A:F,2,0),"")</f>
        <v/>
      </c>
      <c r="C1404" t="str">
        <f>IF(NOT(ISBLANK(A1404)),VLOOKUP(A1404,'BBT3'!A:F,3,0),"")</f>
        <v/>
      </c>
      <c r="D1404" s="5" t="str">
        <f>IF(NOT(ISBLANK(A1404)),VLOOKUP(A1404,'BBT3'!A:F,4,1),"")</f>
        <v/>
      </c>
      <c r="E1404" t="str">
        <f>IF(NOT(ISBLANK(A1404)),VLOOKUP(A1404,'BBT3'!A:F,5,0),"")</f>
        <v/>
      </c>
      <c r="F1404" t="str">
        <f>IF(NOT(ISBLANK(A1404)),VLOOKUP(A1404,'BBT3'!A:F,6,0),"")</f>
        <v/>
      </c>
      <c r="G1404" t="str">
        <f t="shared" si="200"/>
        <v/>
      </c>
      <c r="H1404" t="str">
        <f>IF(NOT(ISBLANK(A1404)),VLOOKUP(A1404,'Close - PriceSaver'!A:J,5,0),"")</f>
        <v/>
      </c>
      <c r="I1404" s="4" t="str" cm="1">
        <f t="array" ref="I1404">IF(NOT(ISBLANK(A1404)),((_xlfn.XLOOKUP(1,(_bbt3[[#All],[ID]]=A1404)*(_bbt3[[#All],[METRIC_NAME]]="YLD_YTM_ASK"),_bbt3[[#All],[METRIC_VALUE]])*0.5)+(_xlfn.XLOOKUP(1,(_bbt3[[#All],[ID]]=A1404)*(_bbt3[[#All],[METRIC_NAME]]="YLD_YTM_BID"),_bbt3[[#All],[METRIC_VALUE]])*0.5))/100,"")</f>
        <v/>
      </c>
      <c r="J1404">
        <f>IF(ISNA(VLOOKUP(A1404,'CloseDL - PriceSaverBBT3'!A:E,5,0)),0,VLOOKUP(A1404,'CloseDL - PriceSaverBBT3'!A:E,5,0))</f>
        <v>0</v>
      </c>
      <c r="K1404" s="7" t="str">
        <f t="shared" si="201"/>
        <v/>
      </c>
      <c r="L1404" s="20">
        <f>IF(Close[[#This Row],[CreatedBy]]="MARINER\SilverAdm",1,0)</f>
        <v>1</v>
      </c>
      <c r="M1404" t="str">
        <f>IF(NOT(ISBLANK(A1404)),VLOOKUP(A1404,'Close - PriceSaver'!A:J,6,0),"")</f>
        <v/>
      </c>
      <c r="Q1404" t="e">
        <f t="shared" si="202"/>
        <v>#N/A</v>
      </c>
      <c r="R1404" t="e">
        <f t="shared" si="203"/>
        <v>#N/A</v>
      </c>
      <c r="S1404" t="e">
        <f t="shared" si="204"/>
        <v>#N/A</v>
      </c>
      <c r="T1404" s="15" t="e">
        <f t="shared" si="206"/>
        <v>#N/A</v>
      </c>
      <c r="U1404" s="18" t="e">
        <f t="shared" si="207"/>
        <v>#N/A</v>
      </c>
      <c r="V1404" s="14" t="e">
        <f t="shared" si="205"/>
        <v>#N/A</v>
      </c>
      <c r="W1404" s="19" t="e">
        <f t="shared" si="208"/>
        <v>#N/A</v>
      </c>
      <c r="X1404" t="e">
        <f>VLOOKUP(P1404,Close[[ID]:[CreatedBy]],8,0)</f>
        <v>#N/A</v>
      </c>
    </row>
    <row r="1405" spans="2:24" x14ac:dyDescent="0.35">
      <c r="B1405" t="str">
        <f>IF(NOT(ISBLANK(A1405)),VLOOKUP(A1405,'BBT3'!A:F,2,0),"")</f>
        <v/>
      </c>
      <c r="C1405" t="str">
        <f>IF(NOT(ISBLANK(A1405)),VLOOKUP(A1405,'BBT3'!A:F,3,0),"")</f>
        <v/>
      </c>
      <c r="D1405" s="5" t="str">
        <f>IF(NOT(ISBLANK(A1405)),VLOOKUP(A1405,'BBT3'!A:F,4,1),"")</f>
        <v/>
      </c>
      <c r="E1405" t="str">
        <f>IF(NOT(ISBLANK(A1405)),VLOOKUP(A1405,'BBT3'!A:F,5,0),"")</f>
        <v/>
      </c>
      <c r="F1405" t="str">
        <f>IF(NOT(ISBLANK(A1405)),VLOOKUP(A1405,'BBT3'!A:F,6,0),"")</f>
        <v/>
      </c>
      <c r="G1405" t="str">
        <f t="shared" si="200"/>
        <v/>
      </c>
      <c r="H1405" t="str">
        <f>IF(NOT(ISBLANK(A1405)),VLOOKUP(A1405,'Close - PriceSaver'!A:J,5,0),"")</f>
        <v/>
      </c>
      <c r="I1405" s="4" t="str" cm="1">
        <f t="array" ref="I1405">IF(NOT(ISBLANK(A1405)),((_xlfn.XLOOKUP(1,(_bbt3[[#All],[ID]]=A1405)*(_bbt3[[#All],[METRIC_NAME]]="YLD_YTM_ASK"),_bbt3[[#All],[METRIC_VALUE]])*0.5)+(_xlfn.XLOOKUP(1,(_bbt3[[#All],[ID]]=A1405)*(_bbt3[[#All],[METRIC_NAME]]="YLD_YTM_BID"),_bbt3[[#All],[METRIC_VALUE]])*0.5))/100,"")</f>
        <v/>
      </c>
      <c r="J1405">
        <f>IF(ISNA(VLOOKUP(A1405,'CloseDL - PriceSaverBBT3'!A:E,5,0)),0,VLOOKUP(A1405,'CloseDL - PriceSaverBBT3'!A:E,5,0))</f>
        <v>0</v>
      </c>
      <c r="K1405" s="7" t="str">
        <f t="shared" si="201"/>
        <v/>
      </c>
      <c r="L1405" s="20">
        <f>IF(Close[[#This Row],[CreatedBy]]="MARINER\SilverAdm",1,0)</f>
        <v>1</v>
      </c>
      <c r="M1405" t="str">
        <f>IF(NOT(ISBLANK(A1405)),VLOOKUP(A1405,'Close - PriceSaver'!A:J,6,0),"")</f>
        <v/>
      </c>
      <c r="Q1405" t="e">
        <f t="shared" si="202"/>
        <v>#N/A</v>
      </c>
      <c r="R1405" t="e">
        <f t="shared" si="203"/>
        <v>#N/A</v>
      </c>
      <c r="S1405" t="e">
        <f t="shared" si="204"/>
        <v>#N/A</v>
      </c>
      <c r="T1405" s="15" t="e">
        <f t="shared" si="206"/>
        <v>#N/A</v>
      </c>
      <c r="U1405" s="18" t="e">
        <f t="shared" si="207"/>
        <v>#N/A</v>
      </c>
      <c r="V1405" s="14" t="e">
        <f t="shared" si="205"/>
        <v>#N/A</v>
      </c>
      <c r="W1405" s="19" t="e">
        <f t="shared" si="208"/>
        <v>#N/A</v>
      </c>
      <c r="X1405" t="e">
        <f>VLOOKUP(P1405,Close[[ID]:[CreatedBy]],8,0)</f>
        <v>#N/A</v>
      </c>
    </row>
    <row r="1406" spans="2:24" x14ac:dyDescent="0.35">
      <c r="B1406" t="str">
        <f>IF(NOT(ISBLANK(A1406)),VLOOKUP(A1406,'BBT3'!A:F,2,0),"")</f>
        <v/>
      </c>
      <c r="C1406" t="str">
        <f>IF(NOT(ISBLANK(A1406)),VLOOKUP(A1406,'BBT3'!A:F,3,0),"")</f>
        <v/>
      </c>
      <c r="D1406" s="5" t="str">
        <f>IF(NOT(ISBLANK(A1406)),VLOOKUP(A1406,'BBT3'!A:F,4,1),"")</f>
        <v/>
      </c>
      <c r="E1406" t="str">
        <f>IF(NOT(ISBLANK(A1406)),VLOOKUP(A1406,'BBT3'!A:F,5,0),"")</f>
        <v/>
      </c>
      <c r="F1406" t="str">
        <f>IF(NOT(ISBLANK(A1406)),VLOOKUP(A1406,'BBT3'!A:F,6,0),"")</f>
        <v/>
      </c>
      <c r="G1406" t="str">
        <f t="shared" si="200"/>
        <v/>
      </c>
      <c r="H1406" t="str">
        <f>IF(NOT(ISBLANK(A1406)),VLOOKUP(A1406,'Close - PriceSaver'!A:J,5,0),"")</f>
        <v/>
      </c>
      <c r="I1406" s="4" t="str" cm="1">
        <f t="array" ref="I1406">IF(NOT(ISBLANK(A1406)),((_xlfn.XLOOKUP(1,(_bbt3[[#All],[ID]]=A1406)*(_bbt3[[#All],[METRIC_NAME]]="YLD_YTM_ASK"),_bbt3[[#All],[METRIC_VALUE]])*0.5)+(_xlfn.XLOOKUP(1,(_bbt3[[#All],[ID]]=A1406)*(_bbt3[[#All],[METRIC_NAME]]="YLD_YTM_BID"),_bbt3[[#All],[METRIC_VALUE]])*0.5))/100,"")</f>
        <v/>
      </c>
      <c r="J1406">
        <f>IF(ISNA(VLOOKUP(A1406,'CloseDL - PriceSaverBBT3'!A:E,5,0)),0,VLOOKUP(A1406,'CloseDL - PriceSaverBBT3'!A:E,5,0))</f>
        <v>0</v>
      </c>
      <c r="K1406" s="7" t="str">
        <f t="shared" si="201"/>
        <v/>
      </c>
      <c r="L1406" s="20">
        <f>IF(Close[[#This Row],[CreatedBy]]="MARINER\SilverAdm",1,0)</f>
        <v>1</v>
      </c>
      <c r="M1406" t="str">
        <f>IF(NOT(ISBLANK(A1406)),VLOOKUP(A1406,'Close - PriceSaver'!A:J,6,0),"")</f>
        <v/>
      </c>
      <c r="Q1406" t="e">
        <f t="shared" si="202"/>
        <v>#N/A</v>
      </c>
      <c r="R1406" t="e">
        <f t="shared" si="203"/>
        <v>#N/A</v>
      </c>
      <c r="S1406" t="e">
        <f t="shared" si="204"/>
        <v>#N/A</v>
      </c>
      <c r="T1406" s="15" t="e">
        <f t="shared" si="206"/>
        <v>#N/A</v>
      </c>
      <c r="U1406" s="18" t="e">
        <f t="shared" si="207"/>
        <v>#N/A</v>
      </c>
      <c r="V1406" s="14" t="e">
        <f t="shared" si="205"/>
        <v>#N/A</v>
      </c>
      <c r="W1406" s="19" t="e">
        <f t="shared" si="208"/>
        <v>#N/A</v>
      </c>
      <c r="X1406" t="e">
        <f>VLOOKUP(P1406,Close[[ID]:[CreatedBy]],8,0)</f>
        <v>#N/A</v>
      </c>
    </row>
    <row r="1407" spans="2:24" x14ac:dyDescent="0.35">
      <c r="B1407" t="str">
        <f>IF(NOT(ISBLANK(A1407)),VLOOKUP(A1407,'BBT3'!A:F,2,0),"")</f>
        <v/>
      </c>
      <c r="C1407" t="str">
        <f>IF(NOT(ISBLANK(A1407)),VLOOKUP(A1407,'BBT3'!A:F,3,0),"")</f>
        <v/>
      </c>
      <c r="D1407" s="5" t="str">
        <f>IF(NOT(ISBLANK(A1407)),VLOOKUP(A1407,'BBT3'!A:F,4,1),"")</f>
        <v/>
      </c>
      <c r="E1407" t="str">
        <f>IF(NOT(ISBLANK(A1407)),VLOOKUP(A1407,'BBT3'!A:F,5,0),"")</f>
        <v/>
      </c>
      <c r="F1407" t="str">
        <f>IF(NOT(ISBLANK(A1407)),VLOOKUP(A1407,'BBT3'!A:F,6,0),"")</f>
        <v/>
      </c>
      <c r="G1407" t="str">
        <f t="shared" si="200"/>
        <v/>
      </c>
      <c r="H1407" t="str">
        <f>IF(NOT(ISBLANK(A1407)),VLOOKUP(A1407,'Close - PriceSaver'!A:J,5,0),"")</f>
        <v/>
      </c>
      <c r="I1407" s="4" t="str" cm="1">
        <f t="array" ref="I1407">IF(NOT(ISBLANK(A1407)),((_xlfn.XLOOKUP(1,(_bbt3[[#All],[ID]]=A1407)*(_bbt3[[#All],[METRIC_NAME]]="YLD_YTM_ASK"),_bbt3[[#All],[METRIC_VALUE]])*0.5)+(_xlfn.XLOOKUP(1,(_bbt3[[#All],[ID]]=A1407)*(_bbt3[[#All],[METRIC_NAME]]="YLD_YTM_BID"),_bbt3[[#All],[METRIC_VALUE]])*0.5))/100,"")</f>
        <v/>
      </c>
      <c r="J1407">
        <f>IF(ISNA(VLOOKUP(A1407,'CloseDL - PriceSaverBBT3'!A:E,5,0)),0,VLOOKUP(A1407,'CloseDL - PriceSaverBBT3'!A:E,5,0))</f>
        <v>0</v>
      </c>
      <c r="K1407" s="7" t="str">
        <f t="shared" si="201"/>
        <v/>
      </c>
      <c r="L1407" s="20">
        <f>IF(Close[[#This Row],[CreatedBy]]="MARINER\SilverAdm",1,0)</f>
        <v>1</v>
      </c>
      <c r="M1407" t="str">
        <f>IF(NOT(ISBLANK(A1407)),VLOOKUP(A1407,'Close - PriceSaver'!A:J,6,0),"")</f>
        <v/>
      </c>
      <c r="Q1407" t="e">
        <f t="shared" si="202"/>
        <v>#N/A</v>
      </c>
      <c r="R1407" t="e">
        <f t="shared" si="203"/>
        <v>#N/A</v>
      </c>
      <c r="S1407" t="e">
        <f t="shared" si="204"/>
        <v>#N/A</v>
      </c>
      <c r="T1407" s="15" t="e">
        <f t="shared" si="206"/>
        <v>#N/A</v>
      </c>
      <c r="U1407" s="18" t="e">
        <f t="shared" si="207"/>
        <v>#N/A</v>
      </c>
      <c r="V1407" s="14" t="e">
        <f t="shared" si="205"/>
        <v>#N/A</v>
      </c>
      <c r="W1407" s="19" t="e">
        <f t="shared" si="208"/>
        <v>#N/A</v>
      </c>
      <c r="X1407" t="e">
        <f>VLOOKUP(P1407,Close[[ID]:[CreatedBy]],8,0)</f>
        <v>#N/A</v>
      </c>
    </row>
    <row r="1408" spans="2:24" x14ac:dyDescent="0.35">
      <c r="B1408" t="str">
        <f>IF(NOT(ISBLANK(A1408)),VLOOKUP(A1408,'BBT3'!A:F,2,0),"")</f>
        <v/>
      </c>
      <c r="C1408" t="str">
        <f>IF(NOT(ISBLANK(A1408)),VLOOKUP(A1408,'BBT3'!A:F,3,0),"")</f>
        <v/>
      </c>
      <c r="D1408" s="5" t="str">
        <f>IF(NOT(ISBLANK(A1408)),VLOOKUP(A1408,'BBT3'!A:F,4,1),"")</f>
        <v/>
      </c>
      <c r="E1408" t="str">
        <f>IF(NOT(ISBLANK(A1408)),VLOOKUP(A1408,'BBT3'!A:F,5,0),"")</f>
        <v/>
      </c>
      <c r="F1408" t="str">
        <f>IF(NOT(ISBLANK(A1408)),VLOOKUP(A1408,'BBT3'!A:F,6,0),"")</f>
        <v/>
      </c>
      <c r="G1408" t="str">
        <f t="shared" si="200"/>
        <v/>
      </c>
      <c r="H1408" t="str">
        <f>IF(NOT(ISBLANK(A1408)),VLOOKUP(A1408,'Close - PriceSaver'!A:J,5,0),"")</f>
        <v/>
      </c>
      <c r="I1408" s="4" t="str" cm="1">
        <f t="array" ref="I1408">IF(NOT(ISBLANK(A1408)),((_xlfn.XLOOKUP(1,(_bbt3[[#All],[ID]]=A1408)*(_bbt3[[#All],[METRIC_NAME]]="YLD_YTM_ASK"),_bbt3[[#All],[METRIC_VALUE]])*0.5)+(_xlfn.XLOOKUP(1,(_bbt3[[#All],[ID]]=A1408)*(_bbt3[[#All],[METRIC_NAME]]="YLD_YTM_BID"),_bbt3[[#All],[METRIC_VALUE]])*0.5))/100,"")</f>
        <v/>
      </c>
      <c r="J1408">
        <f>IF(ISNA(VLOOKUP(A1408,'CloseDL - PriceSaverBBT3'!A:E,5,0)),0,VLOOKUP(A1408,'CloseDL - PriceSaverBBT3'!A:E,5,0))</f>
        <v>0</v>
      </c>
      <c r="K1408" s="7" t="str">
        <f t="shared" si="201"/>
        <v/>
      </c>
      <c r="L1408" s="20">
        <f>IF(Close[[#This Row],[CreatedBy]]="MARINER\SilverAdm",1,0)</f>
        <v>1</v>
      </c>
      <c r="M1408" t="str">
        <f>IF(NOT(ISBLANK(A1408)),VLOOKUP(A1408,'Close - PriceSaver'!A:J,6,0),"")</f>
        <v/>
      </c>
      <c r="Q1408" t="e">
        <f t="shared" si="202"/>
        <v>#N/A</v>
      </c>
      <c r="R1408" t="e">
        <f t="shared" si="203"/>
        <v>#N/A</v>
      </c>
      <c r="S1408" t="e">
        <f t="shared" si="204"/>
        <v>#N/A</v>
      </c>
      <c r="T1408" s="15" t="e">
        <f t="shared" si="206"/>
        <v>#N/A</v>
      </c>
      <c r="U1408" s="18" t="e">
        <f t="shared" si="207"/>
        <v>#N/A</v>
      </c>
      <c r="V1408" s="14" t="e">
        <f t="shared" si="205"/>
        <v>#N/A</v>
      </c>
      <c r="W1408" s="19" t="e">
        <f t="shared" si="208"/>
        <v>#N/A</v>
      </c>
      <c r="X1408" t="e">
        <f>VLOOKUP(P1408,Close[[ID]:[CreatedBy]],8,0)</f>
        <v>#N/A</v>
      </c>
    </row>
    <row r="1409" spans="2:24" x14ac:dyDescent="0.35">
      <c r="B1409" t="str">
        <f>IF(NOT(ISBLANK(A1409)),VLOOKUP(A1409,'BBT3'!A:F,2,0),"")</f>
        <v/>
      </c>
      <c r="C1409" t="str">
        <f>IF(NOT(ISBLANK(A1409)),VLOOKUP(A1409,'BBT3'!A:F,3,0),"")</f>
        <v/>
      </c>
      <c r="D1409" s="5" t="str">
        <f>IF(NOT(ISBLANK(A1409)),VLOOKUP(A1409,'BBT3'!A:F,4,1),"")</f>
        <v/>
      </c>
      <c r="E1409" t="str">
        <f>IF(NOT(ISBLANK(A1409)),VLOOKUP(A1409,'BBT3'!A:F,5,0),"")</f>
        <v/>
      </c>
      <c r="F1409" t="str">
        <f>IF(NOT(ISBLANK(A1409)),VLOOKUP(A1409,'BBT3'!A:F,6,0),"")</f>
        <v/>
      </c>
      <c r="G1409" t="str">
        <f t="shared" si="200"/>
        <v/>
      </c>
      <c r="H1409" t="str">
        <f>IF(NOT(ISBLANK(A1409)),VLOOKUP(A1409,'Close - PriceSaver'!A:J,5,0),"")</f>
        <v/>
      </c>
      <c r="I1409" s="4" t="str" cm="1">
        <f t="array" ref="I1409">IF(NOT(ISBLANK(A1409)),((_xlfn.XLOOKUP(1,(_bbt3[[#All],[ID]]=A1409)*(_bbt3[[#All],[METRIC_NAME]]="YLD_YTM_ASK"),_bbt3[[#All],[METRIC_VALUE]])*0.5)+(_xlfn.XLOOKUP(1,(_bbt3[[#All],[ID]]=A1409)*(_bbt3[[#All],[METRIC_NAME]]="YLD_YTM_BID"),_bbt3[[#All],[METRIC_VALUE]])*0.5))/100,"")</f>
        <v/>
      </c>
      <c r="J1409">
        <f>IF(ISNA(VLOOKUP(A1409,'CloseDL - PriceSaverBBT3'!A:E,5,0)),0,VLOOKUP(A1409,'CloseDL - PriceSaverBBT3'!A:E,5,0))</f>
        <v>0</v>
      </c>
      <c r="K1409" s="7" t="str">
        <f t="shared" si="201"/>
        <v/>
      </c>
      <c r="L1409" s="20">
        <f>IF(Close[[#This Row],[CreatedBy]]="MARINER\SilverAdm",1,0)</f>
        <v>1</v>
      </c>
      <c r="M1409" t="str">
        <f>IF(NOT(ISBLANK(A1409)),VLOOKUP(A1409,'Close - PriceSaver'!A:J,6,0),"")</f>
        <v/>
      </c>
      <c r="Q1409" t="e">
        <f t="shared" si="202"/>
        <v>#N/A</v>
      </c>
      <c r="R1409" t="e">
        <f t="shared" si="203"/>
        <v>#N/A</v>
      </c>
      <c r="S1409" t="e">
        <f t="shared" si="204"/>
        <v>#N/A</v>
      </c>
      <c r="T1409" s="15" t="e">
        <f t="shared" si="206"/>
        <v>#N/A</v>
      </c>
      <c r="U1409" s="18" t="e">
        <f t="shared" si="207"/>
        <v>#N/A</v>
      </c>
      <c r="V1409" s="14" t="e">
        <f t="shared" si="205"/>
        <v>#N/A</v>
      </c>
      <c r="W1409" s="19" t="e">
        <f t="shared" si="208"/>
        <v>#N/A</v>
      </c>
      <c r="X1409" t="e">
        <f>VLOOKUP(P1409,Close[[ID]:[CreatedBy]],8,0)</f>
        <v>#N/A</v>
      </c>
    </row>
    <row r="1410" spans="2:24" x14ac:dyDescent="0.35">
      <c r="B1410" t="str">
        <f>IF(NOT(ISBLANK(A1410)),VLOOKUP(A1410,'BBT3'!A:F,2,0),"")</f>
        <v/>
      </c>
      <c r="C1410" t="str">
        <f>IF(NOT(ISBLANK(A1410)),VLOOKUP(A1410,'BBT3'!A:F,3,0),"")</f>
        <v/>
      </c>
      <c r="D1410" s="5" t="str">
        <f>IF(NOT(ISBLANK(A1410)),VLOOKUP(A1410,'BBT3'!A:F,4,1),"")</f>
        <v/>
      </c>
      <c r="E1410" t="str">
        <f>IF(NOT(ISBLANK(A1410)),VLOOKUP(A1410,'BBT3'!A:F,5,0),"")</f>
        <v/>
      </c>
      <c r="F1410" t="str">
        <f>IF(NOT(ISBLANK(A1410)),VLOOKUP(A1410,'BBT3'!A:F,6,0),"")</f>
        <v/>
      </c>
      <c r="G1410" t="str">
        <f t="shared" si="200"/>
        <v/>
      </c>
      <c r="H1410" t="str">
        <f>IF(NOT(ISBLANK(A1410)),VLOOKUP(A1410,'Close - PriceSaver'!A:J,5,0),"")</f>
        <v/>
      </c>
      <c r="I1410" s="4" t="str" cm="1">
        <f t="array" ref="I1410">IF(NOT(ISBLANK(A1410)),((_xlfn.XLOOKUP(1,(_bbt3[[#All],[ID]]=A1410)*(_bbt3[[#All],[METRIC_NAME]]="YLD_YTM_ASK"),_bbt3[[#All],[METRIC_VALUE]])*0.5)+(_xlfn.XLOOKUP(1,(_bbt3[[#All],[ID]]=A1410)*(_bbt3[[#All],[METRIC_NAME]]="YLD_YTM_BID"),_bbt3[[#All],[METRIC_VALUE]])*0.5))/100,"")</f>
        <v/>
      </c>
      <c r="J1410">
        <f>IF(ISNA(VLOOKUP(A1410,'CloseDL - PriceSaverBBT3'!A:E,5,0)),0,VLOOKUP(A1410,'CloseDL - PriceSaverBBT3'!A:E,5,0))</f>
        <v>0</v>
      </c>
      <c r="K1410" s="7" t="str">
        <f t="shared" si="201"/>
        <v/>
      </c>
      <c r="L1410" s="20">
        <f>IF(Close[[#This Row],[CreatedBy]]="MARINER\SilverAdm",1,0)</f>
        <v>1</v>
      </c>
      <c r="M1410" t="str">
        <f>IF(NOT(ISBLANK(A1410)),VLOOKUP(A1410,'Close - PriceSaver'!A:J,6,0),"")</f>
        <v/>
      </c>
      <c r="Q1410" t="e">
        <f t="shared" si="202"/>
        <v>#N/A</v>
      </c>
      <c r="R1410" t="e">
        <f t="shared" si="203"/>
        <v>#N/A</v>
      </c>
      <c r="S1410" t="e">
        <f t="shared" si="204"/>
        <v>#N/A</v>
      </c>
      <c r="T1410" s="15" t="e">
        <f t="shared" si="206"/>
        <v>#N/A</v>
      </c>
      <c r="U1410" s="18" t="e">
        <f t="shared" si="207"/>
        <v>#N/A</v>
      </c>
      <c r="V1410" s="14" t="e">
        <f t="shared" si="205"/>
        <v>#N/A</v>
      </c>
      <c r="W1410" s="19" t="e">
        <f t="shared" si="208"/>
        <v>#N/A</v>
      </c>
      <c r="X1410" t="e">
        <f>VLOOKUP(P1410,Close[[ID]:[CreatedBy]],8,0)</f>
        <v>#N/A</v>
      </c>
    </row>
    <row r="1411" spans="2:24" x14ac:dyDescent="0.35">
      <c r="B1411" t="str">
        <f>IF(NOT(ISBLANK(A1411)),VLOOKUP(A1411,'BBT3'!A:F,2,0),"")</f>
        <v/>
      </c>
      <c r="C1411" t="str">
        <f>IF(NOT(ISBLANK(A1411)),VLOOKUP(A1411,'BBT3'!A:F,3,0),"")</f>
        <v/>
      </c>
      <c r="D1411" s="5" t="str">
        <f>IF(NOT(ISBLANK(A1411)),VLOOKUP(A1411,'BBT3'!A:F,4,1),"")</f>
        <v/>
      </c>
      <c r="E1411" t="str">
        <f>IF(NOT(ISBLANK(A1411)),VLOOKUP(A1411,'BBT3'!A:F,5,0),"")</f>
        <v/>
      </c>
      <c r="F1411" t="str">
        <f>IF(NOT(ISBLANK(A1411)),VLOOKUP(A1411,'BBT3'!A:F,6,0),"")</f>
        <v/>
      </c>
      <c r="G1411" t="str">
        <f t="shared" ref="G1411:G1474" si="209">IF(NOT(ISBLANK(A1411)),IF(D1411=0,"Y","N"),"")</f>
        <v/>
      </c>
      <c r="H1411" t="str">
        <f>IF(NOT(ISBLANK(A1411)),VLOOKUP(A1411,'Close - PriceSaver'!A:J,5,0),"")</f>
        <v/>
      </c>
      <c r="I1411" s="4" t="str" cm="1">
        <f t="array" ref="I1411">IF(NOT(ISBLANK(A1411)),((_xlfn.XLOOKUP(1,(_bbt3[[#All],[ID]]=A1411)*(_bbt3[[#All],[METRIC_NAME]]="YLD_YTM_ASK"),_bbt3[[#All],[METRIC_VALUE]])*0.5)+(_xlfn.XLOOKUP(1,(_bbt3[[#All],[ID]]=A1411)*(_bbt3[[#All],[METRIC_NAME]]="YLD_YTM_BID"),_bbt3[[#All],[METRIC_VALUE]])*0.5))/100,"")</f>
        <v/>
      </c>
      <c r="J1411">
        <f>IF(ISNA(VLOOKUP(A1411,'CloseDL - PriceSaverBBT3'!A:E,5,0)),0,VLOOKUP(A1411,'CloseDL - PriceSaverBBT3'!A:E,5,0))</f>
        <v>0</v>
      </c>
      <c r="K1411" s="7" t="str">
        <f t="shared" ref="K1411:K1474" si="210">IF(ISNA(IF(NOT(ISBLANK(A1411)),ABS(H1411-J1411),"")),0,(IF(NOT(ISBLANK(A1411)),ABS(H1411-J1411)*10000,"")))</f>
        <v/>
      </c>
      <c r="L1411" s="20">
        <f>IF(Close[[#This Row],[CreatedBy]]="MARINER\SilverAdm",1,0)</f>
        <v>1</v>
      </c>
      <c r="M1411" t="str">
        <f>IF(NOT(ISBLANK(A1411)),VLOOKUP(A1411,'Close - PriceSaver'!A:J,6,0),"")</f>
        <v/>
      </c>
      <c r="Q1411" t="e">
        <f t="shared" si="202"/>
        <v>#N/A</v>
      </c>
      <c r="R1411" t="e">
        <f t="shared" si="203"/>
        <v>#N/A</v>
      </c>
      <c r="S1411" t="e">
        <f t="shared" si="204"/>
        <v>#N/A</v>
      </c>
      <c r="T1411" s="15" t="e">
        <f t="shared" si="206"/>
        <v>#N/A</v>
      </c>
      <c r="U1411" s="18" t="e">
        <f t="shared" si="207"/>
        <v>#N/A</v>
      </c>
      <c r="V1411" s="14" t="e">
        <f t="shared" si="205"/>
        <v>#N/A</v>
      </c>
      <c r="W1411" s="19" t="e">
        <f t="shared" si="208"/>
        <v>#N/A</v>
      </c>
      <c r="X1411" t="e">
        <f>VLOOKUP(P1411,Close[[ID]:[CreatedBy]],8,0)</f>
        <v>#N/A</v>
      </c>
    </row>
    <row r="1412" spans="2:24" x14ac:dyDescent="0.35">
      <c r="B1412" t="str">
        <f>IF(NOT(ISBLANK(A1412)),VLOOKUP(A1412,'BBT3'!A:F,2,0),"")</f>
        <v/>
      </c>
      <c r="C1412" t="str">
        <f>IF(NOT(ISBLANK(A1412)),VLOOKUP(A1412,'BBT3'!A:F,3,0),"")</f>
        <v/>
      </c>
      <c r="D1412" s="5" t="str">
        <f>IF(NOT(ISBLANK(A1412)),VLOOKUP(A1412,'BBT3'!A:F,4,1),"")</f>
        <v/>
      </c>
      <c r="E1412" t="str">
        <f>IF(NOT(ISBLANK(A1412)),VLOOKUP(A1412,'BBT3'!A:F,5,0),"")</f>
        <v/>
      </c>
      <c r="F1412" t="str">
        <f>IF(NOT(ISBLANK(A1412)),VLOOKUP(A1412,'BBT3'!A:F,6,0),"")</f>
        <v/>
      </c>
      <c r="G1412" t="str">
        <f t="shared" si="209"/>
        <v/>
      </c>
      <c r="H1412" t="str">
        <f>IF(NOT(ISBLANK(A1412)),VLOOKUP(A1412,'Close - PriceSaver'!A:J,5,0),"")</f>
        <v/>
      </c>
      <c r="I1412" s="4" t="str" cm="1">
        <f t="array" ref="I1412">IF(NOT(ISBLANK(A1412)),((_xlfn.XLOOKUP(1,(_bbt3[[#All],[ID]]=A1412)*(_bbt3[[#All],[METRIC_NAME]]="YLD_YTM_ASK"),_bbt3[[#All],[METRIC_VALUE]])*0.5)+(_xlfn.XLOOKUP(1,(_bbt3[[#All],[ID]]=A1412)*(_bbt3[[#All],[METRIC_NAME]]="YLD_YTM_BID"),_bbt3[[#All],[METRIC_VALUE]])*0.5))/100,"")</f>
        <v/>
      </c>
      <c r="J1412">
        <f>IF(ISNA(VLOOKUP(A1412,'CloseDL - PriceSaverBBT3'!A:E,5,0)),0,VLOOKUP(A1412,'CloseDL - PriceSaverBBT3'!A:E,5,0))</f>
        <v>0</v>
      </c>
      <c r="K1412" s="7" t="str">
        <f t="shared" si="210"/>
        <v/>
      </c>
      <c r="L1412" s="20">
        <f>IF(Close[[#This Row],[CreatedBy]]="MARINER\SilverAdm",1,0)</f>
        <v>1</v>
      </c>
      <c r="M1412" t="str">
        <f>IF(NOT(ISBLANK(A1412)),VLOOKUP(A1412,'Close - PriceSaver'!A:J,6,0),"")</f>
        <v/>
      </c>
      <c r="Q1412" t="e">
        <f t="shared" si="202"/>
        <v>#N/A</v>
      </c>
      <c r="R1412" t="e">
        <f t="shared" si="203"/>
        <v>#N/A</v>
      </c>
      <c r="S1412" t="e">
        <f t="shared" si="204"/>
        <v>#N/A</v>
      </c>
      <c r="T1412" s="15" t="e">
        <f t="shared" si="206"/>
        <v>#N/A</v>
      </c>
      <c r="U1412" s="18" t="e">
        <f t="shared" si="207"/>
        <v>#N/A</v>
      </c>
      <c r="V1412" s="14" t="e">
        <f t="shared" si="205"/>
        <v>#N/A</v>
      </c>
      <c r="W1412" s="19" t="e">
        <f t="shared" si="208"/>
        <v>#N/A</v>
      </c>
      <c r="X1412" t="e">
        <f>VLOOKUP(P1412,Close[[ID]:[CreatedBy]],8,0)</f>
        <v>#N/A</v>
      </c>
    </row>
    <row r="1413" spans="2:24" x14ac:dyDescent="0.35">
      <c r="B1413" t="str">
        <f>IF(NOT(ISBLANK(A1413)),VLOOKUP(A1413,'BBT3'!A:F,2,0),"")</f>
        <v/>
      </c>
      <c r="C1413" t="str">
        <f>IF(NOT(ISBLANK(A1413)),VLOOKUP(A1413,'BBT3'!A:F,3,0),"")</f>
        <v/>
      </c>
      <c r="D1413" s="5" t="str">
        <f>IF(NOT(ISBLANK(A1413)),VLOOKUP(A1413,'BBT3'!A:F,4,1),"")</f>
        <v/>
      </c>
      <c r="E1413" t="str">
        <f>IF(NOT(ISBLANK(A1413)),VLOOKUP(A1413,'BBT3'!A:F,5,0),"")</f>
        <v/>
      </c>
      <c r="F1413" t="str">
        <f>IF(NOT(ISBLANK(A1413)),VLOOKUP(A1413,'BBT3'!A:F,6,0),"")</f>
        <v/>
      </c>
      <c r="G1413" t="str">
        <f t="shared" si="209"/>
        <v/>
      </c>
      <c r="H1413" t="str">
        <f>IF(NOT(ISBLANK(A1413)),VLOOKUP(A1413,'Close - PriceSaver'!A:J,5,0),"")</f>
        <v/>
      </c>
      <c r="I1413" s="4" t="str" cm="1">
        <f t="array" ref="I1413">IF(NOT(ISBLANK(A1413)),((_xlfn.XLOOKUP(1,(_bbt3[[#All],[ID]]=A1413)*(_bbt3[[#All],[METRIC_NAME]]="YLD_YTM_ASK"),_bbt3[[#All],[METRIC_VALUE]])*0.5)+(_xlfn.XLOOKUP(1,(_bbt3[[#All],[ID]]=A1413)*(_bbt3[[#All],[METRIC_NAME]]="YLD_YTM_BID"),_bbt3[[#All],[METRIC_VALUE]])*0.5))/100,"")</f>
        <v/>
      </c>
      <c r="J1413">
        <f>IF(ISNA(VLOOKUP(A1413,'CloseDL - PriceSaverBBT3'!A:E,5,0)),0,VLOOKUP(A1413,'CloseDL - PriceSaverBBT3'!A:E,5,0))</f>
        <v>0</v>
      </c>
      <c r="K1413" s="7" t="str">
        <f t="shared" si="210"/>
        <v/>
      </c>
      <c r="L1413" s="20">
        <f>IF(Close[[#This Row],[CreatedBy]]="MARINER\SilverAdm",1,0)</f>
        <v>1</v>
      </c>
      <c r="M1413" t="str">
        <f>IF(NOT(ISBLANK(A1413)),VLOOKUP(A1413,'Close - PriceSaver'!A:J,6,0),"")</f>
        <v/>
      </c>
      <c r="Q1413" t="e">
        <f t="shared" si="202"/>
        <v>#N/A</v>
      </c>
      <c r="R1413" t="e">
        <f t="shared" si="203"/>
        <v>#N/A</v>
      </c>
      <c r="S1413" t="e">
        <f t="shared" si="204"/>
        <v>#N/A</v>
      </c>
      <c r="T1413" s="15" t="e">
        <f t="shared" si="206"/>
        <v>#N/A</v>
      </c>
      <c r="U1413" s="18" t="e">
        <f t="shared" si="207"/>
        <v>#N/A</v>
      </c>
      <c r="V1413" s="14" t="e">
        <f t="shared" si="205"/>
        <v>#N/A</v>
      </c>
      <c r="W1413" s="19" t="e">
        <f t="shared" si="208"/>
        <v>#N/A</v>
      </c>
      <c r="X1413" t="e">
        <f>VLOOKUP(P1413,Close[[ID]:[CreatedBy]],8,0)</f>
        <v>#N/A</v>
      </c>
    </row>
    <row r="1414" spans="2:24" x14ac:dyDescent="0.35">
      <c r="B1414" t="str">
        <f>IF(NOT(ISBLANK(A1414)),VLOOKUP(A1414,'BBT3'!A:F,2,0),"")</f>
        <v/>
      </c>
      <c r="C1414" t="str">
        <f>IF(NOT(ISBLANK(A1414)),VLOOKUP(A1414,'BBT3'!A:F,3,0),"")</f>
        <v/>
      </c>
      <c r="D1414" s="5" t="str">
        <f>IF(NOT(ISBLANK(A1414)),VLOOKUP(A1414,'BBT3'!A:F,4,1),"")</f>
        <v/>
      </c>
      <c r="E1414" t="str">
        <f>IF(NOT(ISBLANK(A1414)),VLOOKUP(A1414,'BBT3'!A:F,5,0),"")</f>
        <v/>
      </c>
      <c r="F1414" t="str">
        <f>IF(NOT(ISBLANK(A1414)),VLOOKUP(A1414,'BBT3'!A:F,6,0),"")</f>
        <v/>
      </c>
      <c r="G1414" t="str">
        <f t="shared" si="209"/>
        <v/>
      </c>
      <c r="H1414" t="str">
        <f>IF(NOT(ISBLANK(A1414)),VLOOKUP(A1414,'Close - PriceSaver'!A:J,5,0),"")</f>
        <v/>
      </c>
      <c r="I1414" s="4" t="str" cm="1">
        <f t="array" ref="I1414">IF(NOT(ISBLANK(A1414)),((_xlfn.XLOOKUP(1,(_bbt3[[#All],[ID]]=A1414)*(_bbt3[[#All],[METRIC_NAME]]="YLD_YTM_ASK"),_bbt3[[#All],[METRIC_VALUE]])*0.5)+(_xlfn.XLOOKUP(1,(_bbt3[[#All],[ID]]=A1414)*(_bbt3[[#All],[METRIC_NAME]]="YLD_YTM_BID"),_bbt3[[#All],[METRIC_VALUE]])*0.5))/100,"")</f>
        <v/>
      </c>
      <c r="J1414">
        <f>IF(ISNA(VLOOKUP(A1414,'CloseDL - PriceSaverBBT3'!A:E,5,0)),0,VLOOKUP(A1414,'CloseDL - PriceSaverBBT3'!A:E,5,0))</f>
        <v>0</v>
      </c>
      <c r="K1414" s="7" t="str">
        <f t="shared" si="210"/>
        <v/>
      </c>
      <c r="L1414" s="20">
        <f>IF(Close[[#This Row],[CreatedBy]]="MARINER\SilverAdm",1,0)</f>
        <v>1</v>
      </c>
      <c r="M1414" t="str">
        <f>IF(NOT(ISBLANK(A1414)),VLOOKUP(A1414,'Close - PriceSaver'!A:J,6,0),"")</f>
        <v/>
      </c>
      <c r="Q1414" t="e">
        <f t="shared" si="202"/>
        <v>#N/A</v>
      </c>
      <c r="R1414" t="e">
        <f t="shared" si="203"/>
        <v>#N/A</v>
      </c>
      <c r="S1414" t="e">
        <f t="shared" si="204"/>
        <v>#N/A</v>
      </c>
      <c r="T1414" s="15" t="e">
        <f t="shared" si="206"/>
        <v>#N/A</v>
      </c>
      <c r="U1414" s="18" t="e">
        <f t="shared" si="207"/>
        <v>#N/A</v>
      </c>
      <c r="V1414" s="14" t="e">
        <f t="shared" si="205"/>
        <v>#N/A</v>
      </c>
      <c r="W1414" s="19" t="e">
        <f t="shared" si="208"/>
        <v>#N/A</v>
      </c>
      <c r="X1414" t="e">
        <f>VLOOKUP(P1414,Close[[ID]:[CreatedBy]],8,0)</f>
        <v>#N/A</v>
      </c>
    </row>
    <row r="1415" spans="2:24" x14ac:dyDescent="0.35">
      <c r="B1415" t="str">
        <f>IF(NOT(ISBLANK(A1415)),VLOOKUP(A1415,'BBT3'!A:F,2,0),"")</f>
        <v/>
      </c>
      <c r="C1415" t="str">
        <f>IF(NOT(ISBLANK(A1415)),VLOOKUP(A1415,'BBT3'!A:F,3,0),"")</f>
        <v/>
      </c>
      <c r="D1415" s="5" t="str">
        <f>IF(NOT(ISBLANK(A1415)),VLOOKUP(A1415,'BBT3'!A:F,4,1),"")</f>
        <v/>
      </c>
      <c r="E1415" t="str">
        <f>IF(NOT(ISBLANK(A1415)),VLOOKUP(A1415,'BBT3'!A:F,5,0),"")</f>
        <v/>
      </c>
      <c r="F1415" t="str">
        <f>IF(NOT(ISBLANK(A1415)),VLOOKUP(A1415,'BBT3'!A:F,6,0),"")</f>
        <v/>
      </c>
      <c r="G1415" t="str">
        <f t="shared" si="209"/>
        <v/>
      </c>
      <c r="H1415" t="str">
        <f>IF(NOT(ISBLANK(A1415)),VLOOKUP(A1415,'Close - PriceSaver'!A:J,5,0),"")</f>
        <v/>
      </c>
      <c r="I1415" s="4" t="str" cm="1">
        <f t="array" ref="I1415">IF(NOT(ISBLANK(A1415)),((_xlfn.XLOOKUP(1,(_bbt3[[#All],[ID]]=A1415)*(_bbt3[[#All],[METRIC_NAME]]="YLD_YTM_ASK"),_bbt3[[#All],[METRIC_VALUE]])*0.5)+(_xlfn.XLOOKUP(1,(_bbt3[[#All],[ID]]=A1415)*(_bbt3[[#All],[METRIC_NAME]]="YLD_YTM_BID"),_bbt3[[#All],[METRIC_VALUE]])*0.5))/100,"")</f>
        <v/>
      </c>
      <c r="J1415">
        <f>IF(ISNA(VLOOKUP(A1415,'CloseDL - PriceSaverBBT3'!A:E,5,0)),0,VLOOKUP(A1415,'CloseDL - PriceSaverBBT3'!A:E,5,0))</f>
        <v>0</v>
      </c>
      <c r="K1415" s="7" t="str">
        <f t="shared" si="210"/>
        <v/>
      </c>
      <c r="L1415" s="20">
        <f>IF(Close[[#This Row],[CreatedBy]]="MARINER\SilverAdm",1,0)</f>
        <v>1</v>
      </c>
      <c r="M1415" t="str">
        <f>IF(NOT(ISBLANK(A1415)),VLOOKUP(A1415,'Close - PriceSaver'!A:J,6,0),"")</f>
        <v/>
      </c>
      <c r="Q1415" t="e">
        <f t="shared" si="202"/>
        <v>#N/A</v>
      </c>
      <c r="T1415" s="15" t="e">
        <f t="shared" si="206"/>
        <v>#N/A</v>
      </c>
      <c r="U1415" s="18" t="e">
        <f t="shared" si="207"/>
        <v>#N/A</v>
      </c>
      <c r="V1415" s="14" t="e">
        <f t="shared" si="205"/>
        <v>#N/A</v>
      </c>
      <c r="W1415" s="19" t="e">
        <f t="shared" si="208"/>
        <v>#N/A</v>
      </c>
      <c r="X1415" t="e">
        <f>VLOOKUP(P1415,Close[[ID]:[CreatedBy]],8,0)</f>
        <v>#N/A</v>
      </c>
    </row>
    <row r="1416" spans="2:24" x14ac:dyDescent="0.35">
      <c r="B1416" t="str">
        <f>IF(NOT(ISBLANK(A1416)),VLOOKUP(A1416,'BBT3'!A:F,2,0),"")</f>
        <v/>
      </c>
      <c r="C1416" t="str">
        <f>IF(NOT(ISBLANK(A1416)),VLOOKUP(A1416,'BBT3'!A:F,3,0),"")</f>
        <v/>
      </c>
      <c r="D1416" s="5" t="str">
        <f>IF(NOT(ISBLANK(A1416)),VLOOKUP(A1416,'BBT3'!A:F,4,1),"")</f>
        <v/>
      </c>
      <c r="E1416" t="str">
        <f>IF(NOT(ISBLANK(A1416)),VLOOKUP(A1416,'BBT3'!A:F,5,0),"")</f>
        <v/>
      </c>
      <c r="F1416" t="str">
        <f>IF(NOT(ISBLANK(A1416)),VLOOKUP(A1416,'BBT3'!A:F,6,0),"")</f>
        <v/>
      </c>
      <c r="G1416" t="str">
        <f t="shared" si="209"/>
        <v/>
      </c>
      <c r="H1416" t="str">
        <f>IF(NOT(ISBLANK(A1416)),VLOOKUP(A1416,'Close - PriceSaver'!A:J,5,0),"")</f>
        <v/>
      </c>
      <c r="I1416" s="4" t="str" cm="1">
        <f t="array" ref="I1416">IF(NOT(ISBLANK(A1416)),((_xlfn.XLOOKUP(1,(_bbt3[[#All],[ID]]=A1416)*(_bbt3[[#All],[METRIC_NAME]]="YLD_YTM_ASK"),_bbt3[[#All],[METRIC_VALUE]])*0.5)+(_xlfn.XLOOKUP(1,(_bbt3[[#All],[ID]]=A1416)*(_bbt3[[#All],[METRIC_NAME]]="YLD_YTM_BID"),_bbt3[[#All],[METRIC_VALUE]])*0.5))/100,"")</f>
        <v/>
      </c>
      <c r="J1416">
        <f>IF(ISNA(VLOOKUP(A1416,'CloseDL - PriceSaverBBT3'!A:E,5,0)),0,VLOOKUP(A1416,'CloseDL - PriceSaverBBT3'!A:E,5,0))</f>
        <v>0</v>
      </c>
      <c r="K1416" s="7" t="str">
        <f t="shared" si="210"/>
        <v/>
      </c>
      <c r="L1416" s="20">
        <f>IF(Close[[#This Row],[CreatedBy]]="MARINER\SilverAdm",1,0)</f>
        <v>1</v>
      </c>
      <c r="M1416" t="str">
        <f>IF(NOT(ISBLANK(A1416)),VLOOKUP(A1416,'Close - PriceSaver'!A:J,6,0),"")</f>
        <v/>
      </c>
      <c r="Q1416" t="e">
        <f t="shared" si="202"/>
        <v>#N/A</v>
      </c>
      <c r="T1416" s="15" t="e">
        <f t="shared" si="206"/>
        <v>#N/A</v>
      </c>
      <c r="U1416" s="18" t="e">
        <f t="shared" si="207"/>
        <v>#N/A</v>
      </c>
      <c r="V1416" s="14" t="e">
        <f t="shared" si="205"/>
        <v>#N/A</v>
      </c>
      <c r="W1416" s="19" t="e">
        <f t="shared" si="208"/>
        <v>#N/A</v>
      </c>
      <c r="X1416" t="e">
        <f>VLOOKUP(P1416,Close[[ID]:[CreatedBy]],8,0)</f>
        <v>#N/A</v>
      </c>
    </row>
    <row r="1417" spans="2:24" x14ac:dyDescent="0.35">
      <c r="B1417" t="str">
        <f>IF(NOT(ISBLANK(A1417)),VLOOKUP(A1417,'BBT3'!A:F,2,0),"")</f>
        <v/>
      </c>
      <c r="C1417" t="str">
        <f>IF(NOT(ISBLANK(A1417)),VLOOKUP(A1417,'BBT3'!A:F,3,0),"")</f>
        <v/>
      </c>
      <c r="D1417" s="5" t="str">
        <f>IF(NOT(ISBLANK(A1417)),VLOOKUP(A1417,'BBT3'!A:F,4,1),"")</f>
        <v/>
      </c>
      <c r="E1417" t="str">
        <f>IF(NOT(ISBLANK(A1417)),VLOOKUP(A1417,'BBT3'!A:F,5,0),"")</f>
        <v/>
      </c>
      <c r="F1417" t="str">
        <f>IF(NOT(ISBLANK(A1417)),VLOOKUP(A1417,'BBT3'!A:F,6,0),"")</f>
        <v/>
      </c>
      <c r="G1417" t="str">
        <f t="shared" si="209"/>
        <v/>
      </c>
      <c r="H1417" t="str">
        <f>IF(NOT(ISBLANK(A1417)),VLOOKUP(A1417,'Close - PriceSaver'!A:J,5,0),"")</f>
        <v/>
      </c>
      <c r="I1417" s="4" t="str" cm="1">
        <f t="array" ref="I1417">IF(NOT(ISBLANK(A1417)),((_xlfn.XLOOKUP(1,(_bbt3[[#All],[ID]]=A1417)*(_bbt3[[#All],[METRIC_NAME]]="YLD_YTM_ASK"),_bbt3[[#All],[METRIC_VALUE]])*0.5)+(_xlfn.XLOOKUP(1,(_bbt3[[#All],[ID]]=A1417)*(_bbt3[[#All],[METRIC_NAME]]="YLD_YTM_BID"),_bbt3[[#All],[METRIC_VALUE]])*0.5))/100,"")</f>
        <v/>
      </c>
      <c r="J1417">
        <f>IF(ISNA(VLOOKUP(A1417,'CloseDL - PriceSaverBBT3'!A:E,5,0)),0,VLOOKUP(A1417,'CloseDL - PriceSaverBBT3'!A:E,5,0))</f>
        <v>0</v>
      </c>
      <c r="K1417" s="7" t="str">
        <f t="shared" si="210"/>
        <v/>
      </c>
      <c r="L1417" s="20">
        <f>IF(Close[[#This Row],[CreatedBy]]="MARINER\SilverAdm",1,0)</f>
        <v>1</v>
      </c>
      <c r="M1417" t="str">
        <f>IF(NOT(ISBLANK(A1417)),VLOOKUP(A1417,'Close - PriceSaver'!A:J,6,0),"")</f>
        <v/>
      </c>
      <c r="Q1417" t="e">
        <f t="shared" si="202"/>
        <v>#N/A</v>
      </c>
      <c r="T1417" s="15" t="e">
        <f t="shared" si="206"/>
        <v>#N/A</v>
      </c>
      <c r="U1417" s="18" t="e">
        <f t="shared" si="207"/>
        <v>#N/A</v>
      </c>
      <c r="V1417" s="14" t="e">
        <f t="shared" si="205"/>
        <v>#N/A</v>
      </c>
      <c r="W1417" s="19" t="e">
        <f t="shared" si="208"/>
        <v>#N/A</v>
      </c>
      <c r="X1417" t="e">
        <f>VLOOKUP(P1417,Close[[ID]:[CreatedBy]],8,0)</f>
        <v>#N/A</v>
      </c>
    </row>
    <row r="1418" spans="2:24" x14ac:dyDescent="0.35">
      <c r="B1418" t="str">
        <f>IF(NOT(ISBLANK(A1418)),VLOOKUP(A1418,'BBT3'!A:F,2,0),"")</f>
        <v/>
      </c>
      <c r="C1418" t="str">
        <f>IF(NOT(ISBLANK(A1418)),VLOOKUP(A1418,'BBT3'!A:F,3,0),"")</f>
        <v/>
      </c>
      <c r="D1418" s="5" t="str">
        <f>IF(NOT(ISBLANK(A1418)),VLOOKUP(A1418,'BBT3'!A:F,4,1),"")</f>
        <v/>
      </c>
      <c r="E1418" t="str">
        <f>IF(NOT(ISBLANK(A1418)),VLOOKUP(A1418,'BBT3'!A:F,5,0),"")</f>
        <v/>
      </c>
      <c r="F1418" t="str">
        <f>IF(NOT(ISBLANK(A1418)),VLOOKUP(A1418,'BBT3'!A:F,6,0),"")</f>
        <v/>
      </c>
      <c r="G1418" t="str">
        <f t="shared" si="209"/>
        <v/>
      </c>
      <c r="H1418" t="str">
        <f>IF(NOT(ISBLANK(A1418)),VLOOKUP(A1418,'Close - PriceSaver'!A:J,5,0),"")</f>
        <v/>
      </c>
      <c r="I1418" s="4" t="str" cm="1">
        <f t="array" ref="I1418">IF(NOT(ISBLANK(A1418)),((_xlfn.XLOOKUP(1,(_bbt3[[#All],[ID]]=A1418)*(_bbt3[[#All],[METRIC_NAME]]="YLD_YTM_ASK"),_bbt3[[#All],[METRIC_VALUE]])*0.5)+(_xlfn.XLOOKUP(1,(_bbt3[[#All],[ID]]=A1418)*(_bbt3[[#All],[METRIC_NAME]]="YLD_YTM_BID"),_bbt3[[#All],[METRIC_VALUE]])*0.5))/100,"")</f>
        <v/>
      </c>
      <c r="J1418">
        <f>IF(ISNA(VLOOKUP(A1418,'CloseDL - PriceSaverBBT3'!A:E,5,0)),0,VLOOKUP(A1418,'CloseDL - PriceSaverBBT3'!A:E,5,0))</f>
        <v>0</v>
      </c>
      <c r="K1418" s="7" t="str">
        <f t="shared" si="210"/>
        <v/>
      </c>
      <c r="L1418" s="20">
        <f>IF(Close[[#This Row],[CreatedBy]]="MARINER\SilverAdm",1,0)</f>
        <v>1</v>
      </c>
      <c r="M1418" t="str">
        <f>IF(NOT(ISBLANK(A1418)),VLOOKUP(A1418,'Close - PriceSaver'!A:J,6,0),"")</f>
        <v/>
      </c>
      <c r="Q1418" t="e">
        <f t="shared" si="202"/>
        <v>#N/A</v>
      </c>
      <c r="T1418" s="15" t="e">
        <f t="shared" si="206"/>
        <v>#N/A</v>
      </c>
      <c r="U1418" s="18" t="e">
        <f t="shared" si="207"/>
        <v>#N/A</v>
      </c>
      <c r="V1418" s="14" t="e">
        <f t="shared" si="205"/>
        <v>#N/A</v>
      </c>
      <c r="W1418" s="19" t="e">
        <f t="shared" si="208"/>
        <v>#N/A</v>
      </c>
      <c r="X1418" t="e">
        <f>VLOOKUP(P1418,Close[[ID]:[CreatedBy]],8,0)</f>
        <v>#N/A</v>
      </c>
    </row>
    <row r="1419" spans="2:24" x14ac:dyDescent="0.35">
      <c r="B1419" t="str">
        <f>IF(NOT(ISBLANK(A1419)),VLOOKUP(A1419,'BBT3'!A:F,2,0),"")</f>
        <v/>
      </c>
      <c r="C1419" t="str">
        <f>IF(NOT(ISBLANK(A1419)),VLOOKUP(A1419,'BBT3'!A:F,3,0),"")</f>
        <v/>
      </c>
      <c r="D1419" s="5" t="str">
        <f>IF(NOT(ISBLANK(A1419)),VLOOKUP(A1419,'BBT3'!A:F,4,1),"")</f>
        <v/>
      </c>
      <c r="E1419" t="str">
        <f>IF(NOT(ISBLANK(A1419)),VLOOKUP(A1419,'BBT3'!A:F,5,0),"")</f>
        <v/>
      </c>
      <c r="F1419" t="str">
        <f>IF(NOT(ISBLANK(A1419)),VLOOKUP(A1419,'BBT3'!A:F,6,0),"")</f>
        <v/>
      </c>
      <c r="G1419" t="str">
        <f t="shared" si="209"/>
        <v/>
      </c>
      <c r="H1419" t="str">
        <f>IF(NOT(ISBLANK(A1419)),VLOOKUP(A1419,'Close - PriceSaver'!A:J,5,0),"")</f>
        <v/>
      </c>
      <c r="I1419" s="4" t="str" cm="1">
        <f t="array" ref="I1419">IF(NOT(ISBLANK(A1419)),((_xlfn.XLOOKUP(1,(_bbt3[[#All],[ID]]=A1419)*(_bbt3[[#All],[METRIC_NAME]]="YLD_YTM_ASK"),_bbt3[[#All],[METRIC_VALUE]])*0.5)+(_xlfn.XLOOKUP(1,(_bbt3[[#All],[ID]]=A1419)*(_bbt3[[#All],[METRIC_NAME]]="YLD_YTM_BID"),_bbt3[[#All],[METRIC_VALUE]])*0.5))/100,"")</f>
        <v/>
      </c>
      <c r="J1419">
        <f>IF(ISNA(VLOOKUP(A1419,'CloseDL - PriceSaverBBT3'!A:E,5,0)),0,VLOOKUP(A1419,'CloseDL - PriceSaverBBT3'!A:E,5,0))</f>
        <v>0</v>
      </c>
      <c r="K1419" s="7" t="str">
        <f t="shared" si="210"/>
        <v/>
      </c>
      <c r="L1419" s="20">
        <f>IF(Close[[#This Row],[CreatedBy]]="MARINER\SilverAdm",1,0)</f>
        <v>1</v>
      </c>
      <c r="M1419" t="str">
        <f>IF(NOT(ISBLANK(A1419)),VLOOKUP(A1419,'Close - PriceSaver'!A:J,6,0),"")</f>
        <v/>
      </c>
      <c r="Q1419" t="e">
        <f t="shared" ref="Q1419:Q1458" si="211">VLOOKUP(P1419,A:C,3,0)</f>
        <v>#N/A</v>
      </c>
      <c r="T1419" s="15" t="e">
        <f t="shared" si="206"/>
        <v>#N/A</v>
      </c>
      <c r="U1419" s="18" t="e">
        <f t="shared" si="207"/>
        <v>#N/A</v>
      </c>
      <c r="V1419" s="14" t="e">
        <f t="shared" si="205"/>
        <v>#N/A</v>
      </c>
      <c r="W1419" s="19" t="e">
        <f t="shared" si="208"/>
        <v>#N/A</v>
      </c>
      <c r="X1419" t="e">
        <f>VLOOKUP(P1419,Close[[ID]:[CreatedBy]],8,0)</f>
        <v>#N/A</v>
      </c>
    </row>
    <row r="1420" spans="2:24" x14ac:dyDescent="0.35">
      <c r="B1420" t="str">
        <f>IF(NOT(ISBLANK(A1420)),VLOOKUP(A1420,'BBT3'!A:F,2,0),"")</f>
        <v/>
      </c>
      <c r="C1420" t="str">
        <f>IF(NOT(ISBLANK(A1420)),VLOOKUP(A1420,'BBT3'!A:F,3,0),"")</f>
        <v/>
      </c>
      <c r="D1420" s="5" t="str">
        <f>IF(NOT(ISBLANK(A1420)),VLOOKUP(A1420,'BBT3'!A:F,4,1),"")</f>
        <v/>
      </c>
      <c r="E1420" t="str">
        <f>IF(NOT(ISBLANK(A1420)),VLOOKUP(A1420,'BBT3'!A:F,5,0),"")</f>
        <v/>
      </c>
      <c r="F1420" t="str">
        <f>IF(NOT(ISBLANK(A1420)),VLOOKUP(A1420,'BBT3'!A:F,6,0),"")</f>
        <v/>
      </c>
      <c r="G1420" t="str">
        <f t="shared" si="209"/>
        <v/>
      </c>
      <c r="H1420" t="str">
        <f>IF(NOT(ISBLANK(A1420)),VLOOKUP(A1420,'Close - PriceSaver'!A:J,5,0),"")</f>
        <v/>
      </c>
      <c r="I1420" s="4" t="str" cm="1">
        <f t="array" ref="I1420">IF(NOT(ISBLANK(A1420)),((_xlfn.XLOOKUP(1,(_bbt3[[#All],[ID]]=A1420)*(_bbt3[[#All],[METRIC_NAME]]="YLD_YTM_ASK"),_bbt3[[#All],[METRIC_VALUE]])*0.5)+(_xlfn.XLOOKUP(1,(_bbt3[[#All],[ID]]=A1420)*(_bbt3[[#All],[METRIC_NAME]]="YLD_YTM_BID"),_bbt3[[#All],[METRIC_VALUE]])*0.5))/100,"")</f>
        <v/>
      </c>
      <c r="J1420">
        <f>IF(ISNA(VLOOKUP(A1420,'CloseDL - PriceSaverBBT3'!A:E,5,0)),0,VLOOKUP(A1420,'CloseDL - PriceSaverBBT3'!A:E,5,0))</f>
        <v>0</v>
      </c>
      <c r="K1420" s="7" t="str">
        <f t="shared" si="210"/>
        <v/>
      </c>
      <c r="L1420" s="20">
        <f>IF(Close[[#This Row],[CreatedBy]]="MARINER\SilverAdm",1,0)</f>
        <v>1</v>
      </c>
      <c r="M1420" t="str">
        <f>IF(NOT(ISBLANK(A1420)),VLOOKUP(A1420,'Close - PriceSaver'!A:J,6,0),"")</f>
        <v/>
      </c>
      <c r="Q1420" t="e">
        <f t="shared" si="211"/>
        <v>#N/A</v>
      </c>
      <c r="T1420" s="15" t="e">
        <f t="shared" si="206"/>
        <v>#N/A</v>
      </c>
      <c r="U1420" s="18" t="e">
        <f t="shared" si="207"/>
        <v>#N/A</v>
      </c>
      <c r="V1420" s="14" t="e">
        <f t="shared" si="205"/>
        <v>#N/A</v>
      </c>
      <c r="W1420" s="19" t="e">
        <f t="shared" si="208"/>
        <v>#N/A</v>
      </c>
      <c r="X1420" t="e">
        <f>VLOOKUP(P1420,Close[[ID]:[CreatedBy]],8,0)</f>
        <v>#N/A</v>
      </c>
    </row>
    <row r="1421" spans="2:24" x14ac:dyDescent="0.35">
      <c r="B1421" t="str">
        <f>IF(NOT(ISBLANK(A1421)),VLOOKUP(A1421,'BBT3'!A:F,2,0),"")</f>
        <v/>
      </c>
      <c r="C1421" t="str">
        <f>IF(NOT(ISBLANK(A1421)),VLOOKUP(A1421,'BBT3'!A:F,3,0),"")</f>
        <v/>
      </c>
      <c r="D1421" s="5" t="str">
        <f>IF(NOT(ISBLANK(A1421)),VLOOKUP(A1421,'BBT3'!A:F,4,1),"")</f>
        <v/>
      </c>
      <c r="E1421" t="str">
        <f>IF(NOT(ISBLANK(A1421)),VLOOKUP(A1421,'BBT3'!A:F,5,0),"")</f>
        <v/>
      </c>
      <c r="F1421" t="str">
        <f>IF(NOT(ISBLANK(A1421)),VLOOKUP(A1421,'BBT3'!A:F,6,0),"")</f>
        <v/>
      </c>
      <c r="G1421" t="str">
        <f t="shared" si="209"/>
        <v/>
      </c>
      <c r="H1421" t="str">
        <f>IF(NOT(ISBLANK(A1421)),VLOOKUP(A1421,'Close - PriceSaver'!A:J,5,0),"")</f>
        <v/>
      </c>
      <c r="I1421" s="4" t="str" cm="1">
        <f t="array" ref="I1421">IF(NOT(ISBLANK(A1421)),((_xlfn.XLOOKUP(1,(_bbt3[[#All],[ID]]=A1421)*(_bbt3[[#All],[METRIC_NAME]]="YLD_YTM_ASK"),_bbt3[[#All],[METRIC_VALUE]])*0.5)+(_xlfn.XLOOKUP(1,(_bbt3[[#All],[ID]]=A1421)*(_bbt3[[#All],[METRIC_NAME]]="YLD_YTM_BID"),_bbt3[[#All],[METRIC_VALUE]])*0.5))/100,"")</f>
        <v/>
      </c>
      <c r="J1421">
        <f>IF(ISNA(VLOOKUP(A1421,'CloseDL - PriceSaverBBT3'!A:E,5,0)),0,VLOOKUP(A1421,'CloseDL - PriceSaverBBT3'!A:E,5,0))</f>
        <v>0</v>
      </c>
      <c r="K1421" s="7" t="str">
        <f t="shared" si="210"/>
        <v/>
      </c>
      <c r="L1421" s="20">
        <f>IF(Close[[#This Row],[CreatedBy]]="MARINER\SilverAdm",1,0)</f>
        <v>1</v>
      </c>
      <c r="M1421" t="str">
        <f>IF(NOT(ISBLANK(A1421)),VLOOKUP(A1421,'Close - PriceSaver'!A:J,6,0),"")</f>
        <v/>
      </c>
      <c r="Q1421" t="e">
        <f t="shared" si="211"/>
        <v>#N/A</v>
      </c>
      <c r="T1421" s="15" t="e">
        <f t="shared" si="206"/>
        <v>#N/A</v>
      </c>
      <c r="U1421" s="18" t="e">
        <f t="shared" si="207"/>
        <v>#N/A</v>
      </c>
      <c r="V1421" s="14" t="e">
        <f t="shared" si="205"/>
        <v>#N/A</v>
      </c>
      <c r="W1421" s="19" t="e">
        <f t="shared" si="208"/>
        <v>#N/A</v>
      </c>
      <c r="X1421" t="e">
        <f>VLOOKUP(P1421,Close[[ID]:[CreatedBy]],8,0)</f>
        <v>#N/A</v>
      </c>
    </row>
    <row r="1422" spans="2:24" x14ac:dyDescent="0.35">
      <c r="B1422" t="str">
        <f>IF(NOT(ISBLANK(A1422)),VLOOKUP(A1422,'BBT3'!A:F,2,0),"")</f>
        <v/>
      </c>
      <c r="C1422" t="str">
        <f>IF(NOT(ISBLANK(A1422)),VLOOKUP(A1422,'BBT3'!A:F,3,0),"")</f>
        <v/>
      </c>
      <c r="D1422" s="5" t="str">
        <f>IF(NOT(ISBLANK(A1422)),VLOOKUP(A1422,'BBT3'!A:F,4,1),"")</f>
        <v/>
      </c>
      <c r="E1422" t="str">
        <f>IF(NOT(ISBLANK(A1422)),VLOOKUP(A1422,'BBT3'!A:F,5,0),"")</f>
        <v/>
      </c>
      <c r="F1422" t="str">
        <f>IF(NOT(ISBLANK(A1422)),VLOOKUP(A1422,'BBT3'!A:F,6,0),"")</f>
        <v/>
      </c>
      <c r="G1422" t="str">
        <f t="shared" si="209"/>
        <v/>
      </c>
      <c r="H1422" t="str">
        <f>IF(NOT(ISBLANK(A1422)),VLOOKUP(A1422,'Close - PriceSaver'!A:J,5,0),"")</f>
        <v/>
      </c>
      <c r="I1422" s="4" t="str" cm="1">
        <f t="array" ref="I1422">IF(NOT(ISBLANK(A1422)),((_xlfn.XLOOKUP(1,(_bbt3[[#All],[ID]]=A1422)*(_bbt3[[#All],[METRIC_NAME]]="YLD_YTM_ASK"),_bbt3[[#All],[METRIC_VALUE]])*0.5)+(_xlfn.XLOOKUP(1,(_bbt3[[#All],[ID]]=A1422)*(_bbt3[[#All],[METRIC_NAME]]="YLD_YTM_BID"),_bbt3[[#All],[METRIC_VALUE]])*0.5))/100,"")</f>
        <v/>
      </c>
      <c r="J1422">
        <f>IF(ISNA(VLOOKUP(A1422,'CloseDL - PriceSaverBBT3'!A:E,5,0)),0,VLOOKUP(A1422,'CloseDL - PriceSaverBBT3'!A:E,5,0))</f>
        <v>0</v>
      </c>
      <c r="K1422" s="7" t="str">
        <f t="shared" si="210"/>
        <v/>
      </c>
      <c r="L1422" s="20">
        <f>IF(Close[[#This Row],[CreatedBy]]="MARINER\SilverAdm",1,0)</f>
        <v>1</v>
      </c>
      <c r="M1422" t="str">
        <f>IF(NOT(ISBLANK(A1422)),VLOOKUP(A1422,'Close - PriceSaver'!A:J,6,0),"")</f>
        <v/>
      </c>
      <c r="Q1422" t="e">
        <f t="shared" si="211"/>
        <v>#N/A</v>
      </c>
      <c r="T1422" s="15" t="e">
        <f t="shared" si="206"/>
        <v>#N/A</v>
      </c>
      <c r="U1422" s="18" t="e">
        <f t="shared" si="207"/>
        <v>#N/A</v>
      </c>
      <c r="V1422" s="14" t="e">
        <f t="shared" ref="V1422:V1458" si="212">VLOOKUP(Q1422,A:K,10,0)</f>
        <v>#N/A</v>
      </c>
      <c r="W1422" s="19" t="e">
        <f t="shared" si="208"/>
        <v>#N/A</v>
      </c>
      <c r="X1422" t="e">
        <f>VLOOKUP(P1422,Close[[ID]:[CreatedBy]],8,0)</f>
        <v>#N/A</v>
      </c>
    </row>
    <row r="1423" spans="2:24" x14ac:dyDescent="0.35">
      <c r="B1423" t="str">
        <f>IF(NOT(ISBLANK(A1423)),VLOOKUP(A1423,'BBT3'!A:F,2,0),"")</f>
        <v/>
      </c>
      <c r="C1423" t="str">
        <f>IF(NOT(ISBLANK(A1423)),VLOOKUP(A1423,'BBT3'!A:F,3,0),"")</f>
        <v/>
      </c>
      <c r="D1423" s="5" t="str">
        <f>IF(NOT(ISBLANK(A1423)),VLOOKUP(A1423,'BBT3'!A:F,4,1),"")</f>
        <v/>
      </c>
      <c r="E1423" t="str">
        <f>IF(NOT(ISBLANK(A1423)),VLOOKUP(A1423,'BBT3'!A:F,5,0),"")</f>
        <v/>
      </c>
      <c r="F1423" t="str">
        <f>IF(NOT(ISBLANK(A1423)),VLOOKUP(A1423,'BBT3'!A:F,6,0),"")</f>
        <v/>
      </c>
      <c r="G1423" t="str">
        <f t="shared" si="209"/>
        <v/>
      </c>
      <c r="H1423" t="str">
        <f>IF(NOT(ISBLANK(A1423)),VLOOKUP(A1423,'Close - PriceSaver'!A:J,5,0),"")</f>
        <v/>
      </c>
      <c r="I1423" s="4" t="str" cm="1">
        <f t="array" ref="I1423">IF(NOT(ISBLANK(A1423)),((_xlfn.XLOOKUP(1,(_bbt3[[#All],[ID]]=A1423)*(_bbt3[[#All],[METRIC_NAME]]="YLD_YTM_ASK"),_bbt3[[#All],[METRIC_VALUE]])*0.5)+(_xlfn.XLOOKUP(1,(_bbt3[[#All],[ID]]=A1423)*(_bbt3[[#All],[METRIC_NAME]]="YLD_YTM_BID"),_bbt3[[#All],[METRIC_VALUE]])*0.5))/100,"")</f>
        <v/>
      </c>
      <c r="J1423">
        <f>IF(ISNA(VLOOKUP(A1423,'CloseDL - PriceSaverBBT3'!A:E,5,0)),0,VLOOKUP(A1423,'CloseDL - PriceSaverBBT3'!A:E,5,0))</f>
        <v>0</v>
      </c>
      <c r="K1423" s="7" t="str">
        <f t="shared" si="210"/>
        <v/>
      </c>
      <c r="L1423" s="20">
        <f>IF(Close[[#This Row],[CreatedBy]]="MARINER\SilverAdm",1,0)</f>
        <v>1</v>
      </c>
      <c r="M1423" t="str">
        <f>IF(NOT(ISBLANK(A1423)),VLOOKUP(A1423,'Close - PriceSaver'!A:J,6,0),"")</f>
        <v/>
      </c>
      <c r="Q1423" t="e">
        <f t="shared" si="211"/>
        <v>#N/A</v>
      </c>
      <c r="T1423" s="15" t="e">
        <f t="shared" si="206"/>
        <v>#N/A</v>
      </c>
      <c r="U1423" s="18" t="e">
        <f t="shared" si="207"/>
        <v>#N/A</v>
      </c>
      <c r="V1423" s="14" t="e">
        <f t="shared" si="212"/>
        <v>#N/A</v>
      </c>
      <c r="W1423" s="19" t="e">
        <f t="shared" si="208"/>
        <v>#N/A</v>
      </c>
      <c r="X1423" t="e">
        <f>VLOOKUP(P1423,Close[[ID]:[CreatedBy]],8,0)</f>
        <v>#N/A</v>
      </c>
    </row>
    <row r="1424" spans="2:24" x14ac:dyDescent="0.35">
      <c r="B1424" t="str">
        <f>IF(NOT(ISBLANK(A1424)),VLOOKUP(A1424,'BBT3'!A:F,2,0),"")</f>
        <v/>
      </c>
      <c r="C1424" t="str">
        <f>IF(NOT(ISBLANK(A1424)),VLOOKUP(A1424,'BBT3'!A:F,3,0),"")</f>
        <v/>
      </c>
      <c r="D1424" s="5" t="str">
        <f>IF(NOT(ISBLANK(A1424)),VLOOKUP(A1424,'BBT3'!A:F,4,1),"")</f>
        <v/>
      </c>
      <c r="E1424" t="str">
        <f>IF(NOT(ISBLANK(A1424)),VLOOKUP(A1424,'BBT3'!A:F,5,0),"")</f>
        <v/>
      </c>
      <c r="F1424" t="str">
        <f>IF(NOT(ISBLANK(A1424)),VLOOKUP(A1424,'BBT3'!A:F,6,0),"")</f>
        <v/>
      </c>
      <c r="G1424" t="str">
        <f t="shared" si="209"/>
        <v/>
      </c>
      <c r="H1424" t="str">
        <f>IF(NOT(ISBLANK(A1424)),VLOOKUP(A1424,'Close - PriceSaver'!A:J,5,0),"")</f>
        <v/>
      </c>
      <c r="I1424" s="4" t="str" cm="1">
        <f t="array" ref="I1424">IF(NOT(ISBLANK(A1424)),((_xlfn.XLOOKUP(1,(_bbt3[[#All],[ID]]=A1424)*(_bbt3[[#All],[METRIC_NAME]]="YLD_YTM_ASK"),_bbt3[[#All],[METRIC_VALUE]])*0.5)+(_xlfn.XLOOKUP(1,(_bbt3[[#All],[ID]]=A1424)*(_bbt3[[#All],[METRIC_NAME]]="YLD_YTM_BID"),_bbt3[[#All],[METRIC_VALUE]])*0.5))/100,"")</f>
        <v/>
      </c>
      <c r="J1424">
        <f>IF(ISNA(VLOOKUP(A1424,'CloseDL - PriceSaverBBT3'!A:E,5,0)),0,VLOOKUP(A1424,'CloseDL - PriceSaverBBT3'!A:E,5,0))</f>
        <v>0</v>
      </c>
      <c r="K1424" s="7" t="str">
        <f t="shared" si="210"/>
        <v/>
      </c>
      <c r="L1424" s="20">
        <f>IF(Close[[#This Row],[CreatedBy]]="MARINER\SilverAdm",1,0)</f>
        <v>1</v>
      </c>
      <c r="M1424" t="str">
        <f>IF(NOT(ISBLANK(A1424)),VLOOKUP(A1424,'Close - PriceSaver'!A:J,6,0),"")</f>
        <v/>
      </c>
      <c r="Q1424" t="e">
        <f t="shared" si="211"/>
        <v>#N/A</v>
      </c>
      <c r="T1424" s="15" t="e">
        <f t="shared" si="206"/>
        <v>#N/A</v>
      </c>
      <c r="U1424" s="18" t="e">
        <f t="shared" si="207"/>
        <v>#N/A</v>
      </c>
      <c r="V1424" s="14" t="e">
        <f t="shared" si="212"/>
        <v>#N/A</v>
      </c>
      <c r="W1424" s="19" t="e">
        <f t="shared" si="208"/>
        <v>#N/A</v>
      </c>
      <c r="X1424" t="e">
        <f>VLOOKUP(P1424,Close[[ID]:[CreatedBy]],8,0)</f>
        <v>#N/A</v>
      </c>
    </row>
    <row r="1425" spans="2:24" x14ac:dyDescent="0.35">
      <c r="B1425" t="str">
        <f>IF(NOT(ISBLANK(A1425)),VLOOKUP(A1425,'BBT3'!A:F,2,0),"")</f>
        <v/>
      </c>
      <c r="C1425" t="str">
        <f>IF(NOT(ISBLANK(A1425)),VLOOKUP(A1425,'BBT3'!A:F,3,0),"")</f>
        <v/>
      </c>
      <c r="D1425" s="5" t="str">
        <f>IF(NOT(ISBLANK(A1425)),VLOOKUP(A1425,'BBT3'!A:F,4,1),"")</f>
        <v/>
      </c>
      <c r="E1425" t="str">
        <f>IF(NOT(ISBLANK(A1425)),VLOOKUP(A1425,'BBT3'!A:F,5,0),"")</f>
        <v/>
      </c>
      <c r="F1425" t="str">
        <f>IF(NOT(ISBLANK(A1425)),VLOOKUP(A1425,'BBT3'!A:F,6,0),"")</f>
        <v/>
      </c>
      <c r="G1425" t="str">
        <f t="shared" si="209"/>
        <v/>
      </c>
      <c r="H1425" t="str">
        <f>IF(NOT(ISBLANK(A1425)),VLOOKUP(A1425,'Close - PriceSaver'!A:J,5,0),"")</f>
        <v/>
      </c>
      <c r="I1425" s="4" t="str" cm="1">
        <f t="array" ref="I1425">IF(NOT(ISBLANK(A1425)),((_xlfn.XLOOKUP(1,(_bbt3[[#All],[ID]]=A1425)*(_bbt3[[#All],[METRIC_NAME]]="YLD_YTM_ASK"),_bbt3[[#All],[METRIC_VALUE]])*0.5)+(_xlfn.XLOOKUP(1,(_bbt3[[#All],[ID]]=A1425)*(_bbt3[[#All],[METRIC_NAME]]="YLD_YTM_BID"),_bbt3[[#All],[METRIC_VALUE]])*0.5))/100,"")</f>
        <v/>
      </c>
      <c r="J1425">
        <f>IF(ISNA(VLOOKUP(A1425,'CloseDL - PriceSaverBBT3'!A:E,5,0)),0,VLOOKUP(A1425,'CloseDL - PriceSaverBBT3'!A:E,5,0))</f>
        <v>0</v>
      </c>
      <c r="K1425" s="7" t="str">
        <f t="shared" si="210"/>
        <v/>
      </c>
      <c r="L1425" s="20">
        <f>IF(Close[[#This Row],[CreatedBy]]="MARINER\SilverAdm",1,0)</f>
        <v>1</v>
      </c>
      <c r="M1425" t="str">
        <f>IF(NOT(ISBLANK(A1425)),VLOOKUP(A1425,'Close - PriceSaver'!A:J,6,0),"")</f>
        <v/>
      </c>
      <c r="Q1425" t="e">
        <f t="shared" si="211"/>
        <v>#N/A</v>
      </c>
      <c r="T1425" s="15" t="e">
        <f t="shared" si="206"/>
        <v>#N/A</v>
      </c>
      <c r="U1425" s="18" t="e">
        <f t="shared" si="207"/>
        <v>#N/A</v>
      </c>
      <c r="V1425" s="14" t="e">
        <f t="shared" si="212"/>
        <v>#N/A</v>
      </c>
      <c r="W1425" s="19" t="e">
        <f t="shared" si="208"/>
        <v>#N/A</v>
      </c>
      <c r="X1425" t="e">
        <f>VLOOKUP(P1425,Close[[ID]:[CreatedBy]],8,0)</f>
        <v>#N/A</v>
      </c>
    </row>
    <row r="1426" spans="2:24" x14ac:dyDescent="0.35">
      <c r="B1426" t="str">
        <f>IF(NOT(ISBLANK(A1426)),VLOOKUP(A1426,'BBT3'!A:F,2,0),"")</f>
        <v/>
      </c>
      <c r="C1426" t="str">
        <f>IF(NOT(ISBLANK(A1426)),VLOOKUP(A1426,'BBT3'!A:F,3,0),"")</f>
        <v/>
      </c>
      <c r="D1426" s="5" t="str">
        <f>IF(NOT(ISBLANK(A1426)),VLOOKUP(A1426,'BBT3'!A:F,4,1),"")</f>
        <v/>
      </c>
      <c r="E1426" t="str">
        <f>IF(NOT(ISBLANK(A1426)),VLOOKUP(A1426,'BBT3'!A:F,5,0),"")</f>
        <v/>
      </c>
      <c r="F1426" t="str">
        <f>IF(NOT(ISBLANK(A1426)),VLOOKUP(A1426,'BBT3'!A:F,6,0),"")</f>
        <v/>
      </c>
      <c r="G1426" t="str">
        <f t="shared" si="209"/>
        <v/>
      </c>
      <c r="H1426" t="str">
        <f>IF(NOT(ISBLANK(A1426)),VLOOKUP(A1426,'Close - PriceSaver'!A:J,5,0),"")</f>
        <v/>
      </c>
      <c r="I1426" s="4" t="str" cm="1">
        <f t="array" ref="I1426">IF(NOT(ISBLANK(A1426)),((_xlfn.XLOOKUP(1,(_bbt3[[#All],[ID]]=A1426)*(_bbt3[[#All],[METRIC_NAME]]="YLD_YTM_ASK"),_bbt3[[#All],[METRIC_VALUE]])*0.5)+(_xlfn.XLOOKUP(1,(_bbt3[[#All],[ID]]=A1426)*(_bbt3[[#All],[METRIC_NAME]]="YLD_YTM_BID"),_bbt3[[#All],[METRIC_VALUE]])*0.5))/100,"")</f>
        <v/>
      </c>
      <c r="J1426">
        <f>IF(ISNA(VLOOKUP(A1426,'CloseDL - PriceSaverBBT3'!A:E,5,0)),0,VLOOKUP(A1426,'CloseDL - PriceSaverBBT3'!A:E,5,0))</f>
        <v>0</v>
      </c>
      <c r="K1426" s="7" t="str">
        <f t="shared" si="210"/>
        <v/>
      </c>
      <c r="L1426" s="20">
        <f>IF(Close[[#This Row],[CreatedBy]]="MARINER\SilverAdm",1,0)</f>
        <v>1</v>
      </c>
      <c r="M1426" t="str">
        <f>IF(NOT(ISBLANK(A1426)),VLOOKUP(A1426,'Close - PriceSaver'!A:J,6,0),"")</f>
        <v/>
      </c>
      <c r="Q1426" t="e">
        <f t="shared" si="211"/>
        <v>#N/A</v>
      </c>
      <c r="T1426" s="15" t="e">
        <f t="shared" si="206"/>
        <v>#N/A</v>
      </c>
      <c r="U1426" s="18" t="e">
        <f t="shared" si="207"/>
        <v>#N/A</v>
      </c>
      <c r="V1426" s="14" t="e">
        <f t="shared" si="212"/>
        <v>#N/A</v>
      </c>
      <c r="W1426" s="19" t="e">
        <f t="shared" si="208"/>
        <v>#N/A</v>
      </c>
      <c r="X1426" t="e">
        <f>VLOOKUP(P1426,Close[[ID]:[CreatedBy]],8,0)</f>
        <v>#N/A</v>
      </c>
    </row>
    <row r="1427" spans="2:24" x14ac:dyDescent="0.35">
      <c r="B1427" t="str">
        <f>IF(NOT(ISBLANK(A1427)),VLOOKUP(A1427,'BBT3'!A:F,2,0),"")</f>
        <v/>
      </c>
      <c r="C1427" t="str">
        <f>IF(NOT(ISBLANK(A1427)),VLOOKUP(A1427,'BBT3'!A:F,3,0),"")</f>
        <v/>
      </c>
      <c r="D1427" s="5" t="str">
        <f>IF(NOT(ISBLANK(A1427)),VLOOKUP(A1427,'BBT3'!A:F,4,1),"")</f>
        <v/>
      </c>
      <c r="E1427" t="str">
        <f>IF(NOT(ISBLANK(A1427)),VLOOKUP(A1427,'BBT3'!A:F,5,0),"")</f>
        <v/>
      </c>
      <c r="F1427" t="str">
        <f>IF(NOT(ISBLANK(A1427)),VLOOKUP(A1427,'BBT3'!A:F,6,0),"")</f>
        <v/>
      </c>
      <c r="G1427" t="str">
        <f t="shared" si="209"/>
        <v/>
      </c>
      <c r="H1427" t="str">
        <f>IF(NOT(ISBLANK(A1427)),VLOOKUP(A1427,'Close - PriceSaver'!A:J,5,0),"")</f>
        <v/>
      </c>
      <c r="I1427" s="4" t="str" cm="1">
        <f t="array" ref="I1427">IF(NOT(ISBLANK(A1427)),((_xlfn.XLOOKUP(1,(_bbt3[[#All],[ID]]=A1427)*(_bbt3[[#All],[METRIC_NAME]]="YLD_YTM_ASK"),_bbt3[[#All],[METRIC_VALUE]])*0.5)+(_xlfn.XLOOKUP(1,(_bbt3[[#All],[ID]]=A1427)*(_bbt3[[#All],[METRIC_NAME]]="YLD_YTM_BID"),_bbt3[[#All],[METRIC_VALUE]])*0.5))/100,"")</f>
        <v/>
      </c>
      <c r="J1427">
        <f>IF(ISNA(VLOOKUP(A1427,'CloseDL - PriceSaverBBT3'!A:E,5,0)),0,VLOOKUP(A1427,'CloseDL - PriceSaverBBT3'!A:E,5,0))</f>
        <v>0</v>
      </c>
      <c r="K1427" s="7" t="str">
        <f t="shared" si="210"/>
        <v/>
      </c>
      <c r="L1427" s="20">
        <f>IF(Close[[#This Row],[CreatedBy]]="MARINER\SilverAdm",1,0)</f>
        <v>1</v>
      </c>
      <c r="M1427" t="str">
        <f>IF(NOT(ISBLANK(A1427)),VLOOKUP(A1427,'Close - PriceSaver'!A:J,6,0),"")</f>
        <v/>
      </c>
      <c r="Q1427" t="e">
        <f t="shared" si="211"/>
        <v>#N/A</v>
      </c>
      <c r="T1427" s="15" t="e">
        <f t="shared" si="206"/>
        <v>#N/A</v>
      </c>
      <c r="U1427" s="18" t="e">
        <f t="shared" si="207"/>
        <v>#N/A</v>
      </c>
      <c r="V1427" s="14" t="e">
        <f t="shared" si="212"/>
        <v>#N/A</v>
      </c>
      <c r="W1427" s="19" t="e">
        <f t="shared" si="208"/>
        <v>#N/A</v>
      </c>
      <c r="X1427" t="e">
        <f>VLOOKUP(P1427,Close[[ID]:[CreatedBy]],8,0)</f>
        <v>#N/A</v>
      </c>
    </row>
    <row r="1428" spans="2:24" x14ac:dyDescent="0.35">
      <c r="B1428" t="str">
        <f>IF(NOT(ISBLANK(A1428)),VLOOKUP(A1428,'BBT3'!A:F,2,0),"")</f>
        <v/>
      </c>
      <c r="C1428" t="str">
        <f>IF(NOT(ISBLANK(A1428)),VLOOKUP(A1428,'BBT3'!A:F,3,0),"")</f>
        <v/>
      </c>
      <c r="D1428" s="5" t="str">
        <f>IF(NOT(ISBLANK(A1428)),VLOOKUP(A1428,'BBT3'!A:F,4,1),"")</f>
        <v/>
      </c>
      <c r="E1428" t="str">
        <f>IF(NOT(ISBLANK(A1428)),VLOOKUP(A1428,'BBT3'!A:F,5,0),"")</f>
        <v/>
      </c>
      <c r="F1428" t="str">
        <f>IF(NOT(ISBLANK(A1428)),VLOOKUP(A1428,'BBT3'!A:F,6,0),"")</f>
        <v/>
      </c>
      <c r="G1428" t="str">
        <f t="shared" si="209"/>
        <v/>
      </c>
      <c r="H1428" t="str">
        <f>IF(NOT(ISBLANK(A1428)),VLOOKUP(A1428,'Close - PriceSaver'!A:J,5,0),"")</f>
        <v/>
      </c>
      <c r="I1428" s="4" t="str" cm="1">
        <f t="array" ref="I1428">IF(NOT(ISBLANK(A1428)),((_xlfn.XLOOKUP(1,(_bbt3[[#All],[ID]]=A1428)*(_bbt3[[#All],[METRIC_NAME]]="YLD_YTM_ASK"),_bbt3[[#All],[METRIC_VALUE]])*0.5)+(_xlfn.XLOOKUP(1,(_bbt3[[#All],[ID]]=A1428)*(_bbt3[[#All],[METRIC_NAME]]="YLD_YTM_BID"),_bbt3[[#All],[METRIC_VALUE]])*0.5))/100,"")</f>
        <v/>
      </c>
      <c r="J1428">
        <f>IF(ISNA(VLOOKUP(A1428,'CloseDL - PriceSaverBBT3'!A:E,5,0)),0,VLOOKUP(A1428,'CloseDL - PriceSaverBBT3'!A:E,5,0))</f>
        <v>0</v>
      </c>
      <c r="K1428" s="7" t="str">
        <f t="shared" si="210"/>
        <v/>
      </c>
      <c r="L1428" s="20">
        <f>IF(Close[[#This Row],[CreatedBy]]="MARINER\SilverAdm",1,0)</f>
        <v>1</v>
      </c>
      <c r="M1428" t="str">
        <f>IF(NOT(ISBLANK(A1428)),VLOOKUP(A1428,'Close - PriceSaver'!A:J,6,0),"")</f>
        <v/>
      </c>
      <c r="Q1428" t="e">
        <f t="shared" si="211"/>
        <v>#N/A</v>
      </c>
      <c r="T1428" s="15" t="e">
        <f t="shared" ref="T1428:T1452" si="213">VLOOKUP(Q1428,A:K,5,0)</f>
        <v>#N/A</v>
      </c>
      <c r="U1428" s="18" t="e">
        <f t="shared" ref="U1428:U1458" si="214">VLOOKUP(Q1428,A:K,8,0)</f>
        <v>#N/A</v>
      </c>
      <c r="V1428" s="14" t="e">
        <f t="shared" si="212"/>
        <v>#N/A</v>
      </c>
      <c r="W1428" s="19" t="e">
        <f t="shared" ref="W1428:W1458" si="215">(V1428-U1428)*100</f>
        <v>#N/A</v>
      </c>
      <c r="X1428" t="e">
        <f>VLOOKUP(P1428,Close[[ID]:[CreatedBy]],8,0)</f>
        <v>#N/A</v>
      </c>
    </row>
    <row r="1429" spans="2:24" x14ac:dyDescent="0.35">
      <c r="B1429" t="str">
        <f>IF(NOT(ISBLANK(A1429)),VLOOKUP(A1429,'BBT3'!A:F,2,0),"")</f>
        <v/>
      </c>
      <c r="C1429" t="str">
        <f>IF(NOT(ISBLANK(A1429)),VLOOKUP(A1429,'BBT3'!A:F,3,0),"")</f>
        <v/>
      </c>
      <c r="D1429" s="5" t="str">
        <f>IF(NOT(ISBLANK(A1429)),VLOOKUP(A1429,'BBT3'!A:F,4,1),"")</f>
        <v/>
      </c>
      <c r="E1429" t="str">
        <f>IF(NOT(ISBLANK(A1429)),VLOOKUP(A1429,'BBT3'!A:F,5,0),"")</f>
        <v/>
      </c>
      <c r="F1429" t="str">
        <f>IF(NOT(ISBLANK(A1429)),VLOOKUP(A1429,'BBT3'!A:F,6,0),"")</f>
        <v/>
      </c>
      <c r="G1429" t="str">
        <f t="shared" si="209"/>
        <v/>
      </c>
      <c r="H1429" t="str">
        <f>IF(NOT(ISBLANK(A1429)),VLOOKUP(A1429,'Close - PriceSaver'!A:J,5,0),"")</f>
        <v/>
      </c>
      <c r="I1429" s="4" t="str" cm="1">
        <f t="array" ref="I1429">IF(NOT(ISBLANK(A1429)),((_xlfn.XLOOKUP(1,(_bbt3[[#All],[ID]]=A1429)*(_bbt3[[#All],[METRIC_NAME]]="YLD_YTM_ASK"),_bbt3[[#All],[METRIC_VALUE]])*0.5)+(_xlfn.XLOOKUP(1,(_bbt3[[#All],[ID]]=A1429)*(_bbt3[[#All],[METRIC_NAME]]="YLD_YTM_BID"),_bbt3[[#All],[METRIC_VALUE]])*0.5))/100,"")</f>
        <v/>
      </c>
      <c r="J1429">
        <f>IF(ISNA(VLOOKUP(A1429,'CloseDL - PriceSaverBBT3'!A:E,5,0)),0,VLOOKUP(A1429,'CloseDL - PriceSaverBBT3'!A:E,5,0))</f>
        <v>0</v>
      </c>
      <c r="K1429" s="7" t="str">
        <f t="shared" si="210"/>
        <v/>
      </c>
      <c r="L1429" s="20">
        <f>IF(Close[[#This Row],[CreatedBy]]="MARINER\SilverAdm",1,0)</f>
        <v>1</v>
      </c>
      <c r="M1429" t="str">
        <f>IF(NOT(ISBLANK(A1429)),VLOOKUP(A1429,'Close - PriceSaver'!A:J,6,0),"")</f>
        <v/>
      </c>
      <c r="Q1429" t="e">
        <f t="shared" si="211"/>
        <v>#N/A</v>
      </c>
      <c r="T1429" s="15" t="e">
        <f t="shared" si="213"/>
        <v>#N/A</v>
      </c>
      <c r="U1429" s="18" t="e">
        <f t="shared" si="214"/>
        <v>#N/A</v>
      </c>
      <c r="V1429" s="14" t="e">
        <f t="shared" si="212"/>
        <v>#N/A</v>
      </c>
      <c r="W1429" s="19" t="e">
        <f t="shared" si="215"/>
        <v>#N/A</v>
      </c>
      <c r="X1429" t="e">
        <f>VLOOKUP(P1429,Close[[ID]:[CreatedBy]],8,0)</f>
        <v>#N/A</v>
      </c>
    </row>
    <row r="1430" spans="2:24" x14ac:dyDescent="0.35">
      <c r="B1430" t="str">
        <f>IF(NOT(ISBLANK(A1430)),VLOOKUP(A1430,'BBT3'!A:F,2,0),"")</f>
        <v/>
      </c>
      <c r="C1430" t="str">
        <f>IF(NOT(ISBLANK(A1430)),VLOOKUP(A1430,'BBT3'!A:F,3,0),"")</f>
        <v/>
      </c>
      <c r="D1430" s="5" t="str">
        <f>IF(NOT(ISBLANK(A1430)),VLOOKUP(A1430,'BBT3'!A:F,4,1),"")</f>
        <v/>
      </c>
      <c r="E1430" t="str">
        <f>IF(NOT(ISBLANK(A1430)),VLOOKUP(A1430,'BBT3'!A:F,5,0),"")</f>
        <v/>
      </c>
      <c r="F1430" t="str">
        <f>IF(NOT(ISBLANK(A1430)),VLOOKUP(A1430,'BBT3'!A:F,6,0),"")</f>
        <v/>
      </c>
      <c r="G1430" t="str">
        <f t="shared" si="209"/>
        <v/>
      </c>
      <c r="H1430" t="str">
        <f>IF(NOT(ISBLANK(A1430)),VLOOKUP(A1430,'Close - PriceSaver'!A:J,5,0),"")</f>
        <v/>
      </c>
      <c r="I1430" s="4" t="str" cm="1">
        <f t="array" ref="I1430">IF(NOT(ISBLANK(A1430)),((_xlfn.XLOOKUP(1,(_bbt3[[#All],[ID]]=A1430)*(_bbt3[[#All],[METRIC_NAME]]="YLD_YTM_ASK"),_bbt3[[#All],[METRIC_VALUE]])*0.5)+(_xlfn.XLOOKUP(1,(_bbt3[[#All],[ID]]=A1430)*(_bbt3[[#All],[METRIC_NAME]]="YLD_YTM_BID"),_bbt3[[#All],[METRIC_VALUE]])*0.5))/100,"")</f>
        <v/>
      </c>
      <c r="J1430">
        <f>IF(ISNA(VLOOKUP(A1430,'CloseDL - PriceSaverBBT3'!A:E,5,0)),0,VLOOKUP(A1430,'CloseDL - PriceSaverBBT3'!A:E,5,0))</f>
        <v>0</v>
      </c>
      <c r="K1430" s="7" t="str">
        <f t="shared" si="210"/>
        <v/>
      </c>
      <c r="L1430" s="20">
        <f>IF(Close[[#This Row],[CreatedBy]]="MARINER\SilverAdm",1,0)</f>
        <v>1</v>
      </c>
      <c r="M1430" t="str">
        <f>IF(NOT(ISBLANK(A1430)),VLOOKUP(A1430,'Close - PriceSaver'!A:J,6,0),"")</f>
        <v/>
      </c>
      <c r="Q1430" t="e">
        <f t="shared" si="211"/>
        <v>#N/A</v>
      </c>
      <c r="T1430" s="15" t="e">
        <f t="shared" si="213"/>
        <v>#N/A</v>
      </c>
      <c r="U1430" s="18" t="e">
        <f t="shared" si="214"/>
        <v>#N/A</v>
      </c>
      <c r="V1430" s="14" t="e">
        <f t="shared" si="212"/>
        <v>#N/A</v>
      </c>
      <c r="W1430" s="19" t="e">
        <f t="shared" si="215"/>
        <v>#N/A</v>
      </c>
      <c r="X1430" t="e">
        <f>VLOOKUP(P1430,Close[[ID]:[CreatedBy]],8,0)</f>
        <v>#N/A</v>
      </c>
    </row>
    <row r="1431" spans="2:24" x14ac:dyDescent="0.35">
      <c r="B1431" t="str">
        <f>IF(NOT(ISBLANK(A1431)),VLOOKUP(A1431,'BBT3'!A:F,2,0),"")</f>
        <v/>
      </c>
      <c r="C1431" t="str">
        <f>IF(NOT(ISBLANK(A1431)),VLOOKUP(A1431,'BBT3'!A:F,3,0),"")</f>
        <v/>
      </c>
      <c r="D1431" s="5" t="str">
        <f>IF(NOT(ISBLANK(A1431)),VLOOKUP(A1431,'BBT3'!A:F,4,1),"")</f>
        <v/>
      </c>
      <c r="E1431" t="str">
        <f>IF(NOT(ISBLANK(A1431)),VLOOKUP(A1431,'BBT3'!A:F,5,0),"")</f>
        <v/>
      </c>
      <c r="F1431" t="str">
        <f>IF(NOT(ISBLANK(A1431)),VLOOKUP(A1431,'BBT3'!A:F,6,0),"")</f>
        <v/>
      </c>
      <c r="G1431" t="str">
        <f t="shared" si="209"/>
        <v/>
      </c>
      <c r="H1431" t="str">
        <f>IF(NOT(ISBLANK(A1431)),VLOOKUP(A1431,'Close - PriceSaver'!A:J,5,0),"")</f>
        <v/>
      </c>
      <c r="I1431" s="4" t="str" cm="1">
        <f t="array" ref="I1431">IF(NOT(ISBLANK(A1431)),((_xlfn.XLOOKUP(1,(_bbt3[[#All],[ID]]=A1431)*(_bbt3[[#All],[METRIC_NAME]]="YLD_YTM_ASK"),_bbt3[[#All],[METRIC_VALUE]])*0.5)+(_xlfn.XLOOKUP(1,(_bbt3[[#All],[ID]]=A1431)*(_bbt3[[#All],[METRIC_NAME]]="YLD_YTM_BID"),_bbt3[[#All],[METRIC_VALUE]])*0.5))/100,"")</f>
        <v/>
      </c>
      <c r="J1431">
        <f>IF(ISNA(VLOOKUP(A1431,'CloseDL - PriceSaverBBT3'!A:E,5,0)),0,VLOOKUP(A1431,'CloseDL - PriceSaverBBT3'!A:E,5,0))</f>
        <v>0</v>
      </c>
      <c r="K1431" s="7" t="str">
        <f t="shared" si="210"/>
        <v/>
      </c>
      <c r="L1431" s="20">
        <f>IF(Close[[#This Row],[CreatedBy]]="MARINER\SilverAdm",1,0)</f>
        <v>1</v>
      </c>
      <c r="M1431" t="str">
        <f>IF(NOT(ISBLANK(A1431)),VLOOKUP(A1431,'Close - PriceSaver'!A:J,6,0),"")</f>
        <v/>
      </c>
      <c r="Q1431" t="e">
        <f t="shared" si="211"/>
        <v>#N/A</v>
      </c>
      <c r="T1431" s="15" t="e">
        <f t="shared" si="213"/>
        <v>#N/A</v>
      </c>
      <c r="U1431" s="18" t="e">
        <f t="shared" si="214"/>
        <v>#N/A</v>
      </c>
      <c r="V1431" s="14" t="e">
        <f t="shared" si="212"/>
        <v>#N/A</v>
      </c>
      <c r="W1431" s="19" t="e">
        <f t="shared" si="215"/>
        <v>#N/A</v>
      </c>
      <c r="X1431" t="e">
        <f>VLOOKUP(P1431,Close[[ID]:[CreatedBy]],8,0)</f>
        <v>#N/A</v>
      </c>
    </row>
    <row r="1432" spans="2:24" x14ac:dyDescent="0.35">
      <c r="B1432" t="str">
        <f>IF(NOT(ISBLANK(A1432)),VLOOKUP(A1432,'BBT3'!A:F,2,0),"")</f>
        <v/>
      </c>
      <c r="C1432" t="str">
        <f>IF(NOT(ISBLANK(A1432)),VLOOKUP(A1432,'BBT3'!A:F,3,0),"")</f>
        <v/>
      </c>
      <c r="D1432" s="5" t="str">
        <f>IF(NOT(ISBLANK(A1432)),VLOOKUP(A1432,'BBT3'!A:F,4,1),"")</f>
        <v/>
      </c>
      <c r="E1432" t="str">
        <f>IF(NOT(ISBLANK(A1432)),VLOOKUP(A1432,'BBT3'!A:F,5,0),"")</f>
        <v/>
      </c>
      <c r="F1432" t="str">
        <f>IF(NOT(ISBLANK(A1432)),VLOOKUP(A1432,'BBT3'!A:F,6,0),"")</f>
        <v/>
      </c>
      <c r="G1432" t="str">
        <f t="shared" si="209"/>
        <v/>
      </c>
      <c r="H1432" t="str">
        <f>IF(NOT(ISBLANK(A1432)),VLOOKUP(A1432,'Close - PriceSaver'!A:J,5,0),"")</f>
        <v/>
      </c>
      <c r="I1432" s="4" t="str" cm="1">
        <f t="array" ref="I1432">IF(NOT(ISBLANK(A1432)),((_xlfn.XLOOKUP(1,(_bbt3[[#All],[ID]]=A1432)*(_bbt3[[#All],[METRIC_NAME]]="YLD_YTM_ASK"),_bbt3[[#All],[METRIC_VALUE]])*0.5)+(_xlfn.XLOOKUP(1,(_bbt3[[#All],[ID]]=A1432)*(_bbt3[[#All],[METRIC_NAME]]="YLD_YTM_BID"),_bbt3[[#All],[METRIC_VALUE]])*0.5))/100,"")</f>
        <v/>
      </c>
      <c r="J1432">
        <f>IF(ISNA(VLOOKUP(A1432,'CloseDL - PriceSaverBBT3'!A:E,5,0)),0,VLOOKUP(A1432,'CloseDL - PriceSaverBBT3'!A:E,5,0))</f>
        <v>0</v>
      </c>
      <c r="K1432" s="7" t="str">
        <f t="shared" si="210"/>
        <v/>
      </c>
      <c r="L1432" s="20">
        <f>IF(Close[[#This Row],[CreatedBy]]="MARINER\SilverAdm",1,0)</f>
        <v>1</v>
      </c>
      <c r="M1432" t="str">
        <f>IF(NOT(ISBLANK(A1432)),VLOOKUP(A1432,'Close - PriceSaver'!A:J,6,0),"")</f>
        <v/>
      </c>
      <c r="Q1432" t="e">
        <f t="shared" si="211"/>
        <v>#N/A</v>
      </c>
      <c r="T1432" s="15" t="e">
        <f t="shared" si="213"/>
        <v>#N/A</v>
      </c>
      <c r="U1432" s="18" t="e">
        <f t="shared" si="214"/>
        <v>#N/A</v>
      </c>
      <c r="V1432" s="14" t="e">
        <f t="shared" si="212"/>
        <v>#N/A</v>
      </c>
      <c r="W1432" s="19" t="e">
        <f t="shared" si="215"/>
        <v>#N/A</v>
      </c>
      <c r="X1432" t="e">
        <f>VLOOKUP(P1432,Close[[ID]:[CreatedBy]],8,0)</f>
        <v>#N/A</v>
      </c>
    </row>
    <row r="1433" spans="2:24" x14ac:dyDescent="0.35">
      <c r="B1433" t="str">
        <f>IF(NOT(ISBLANK(A1433)),VLOOKUP(A1433,'BBT3'!A:F,2,0),"")</f>
        <v/>
      </c>
      <c r="C1433" t="str">
        <f>IF(NOT(ISBLANK(A1433)),VLOOKUP(A1433,'BBT3'!A:F,3,0),"")</f>
        <v/>
      </c>
      <c r="D1433" s="5" t="str">
        <f>IF(NOT(ISBLANK(A1433)),VLOOKUP(A1433,'BBT3'!A:F,4,1),"")</f>
        <v/>
      </c>
      <c r="E1433" t="str">
        <f>IF(NOT(ISBLANK(A1433)),VLOOKUP(A1433,'BBT3'!A:F,5,0),"")</f>
        <v/>
      </c>
      <c r="F1433" t="str">
        <f>IF(NOT(ISBLANK(A1433)),VLOOKUP(A1433,'BBT3'!A:F,6,0),"")</f>
        <v/>
      </c>
      <c r="G1433" t="str">
        <f t="shared" si="209"/>
        <v/>
      </c>
      <c r="H1433" t="str">
        <f>IF(NOT(ISBLANK(A1433)),VLOOKUP(A1433,'Close - PriceSaver'!A:J,5,0),"")</f>
        <v/>
      </c>
      <c r="I1433" s="4" t="str" cm="1">
        <f t="array" ref="I1433">IF(NOT(ISBLANK(A1433)),((_xlfn.XLOOKUP(1,(_bbt3[[#All],[ID]]=A1433)*(_bbt3[[#All],[METRIC_NAME]]="YLD_YTM_ASK"),_bbt3[[#All],[METRIC_VALUE]])*0.5)+(_xlfn.XLOOKUP(1,(_bbt3[[#All],[ID]]=A1433)*(_bbt3[[#All],[METRIC_NAME]]="YLD_YTM_BID"),_bbt3[[#All],[METRIC_VALUE]])*0.5))/100,"")</f>
        <v/>
      </c>
      <c r="J1433">
        <f>IF(ISNA(VLOOKUP(A1433,'CloseDL - PriceSaverBBT3'!A:E,5,0)),0,VLOOKUP(A1433,'CloseDL - PriceSaverBBT3'!A:E,5,0))</f>
        <v>0</v>
      </c>
      <c r="K1433" s="7" t="str">
        <f t="shared" si="210"/>
        <v/>
      </c>
      <c r="L1433" s="20">
        <f>IF(Close[[#This Row],[CreatedBy]]="MARINER\SilverAdm",1,0)</f>
        <v>1</v>
      </c>
      <c r="M1433" t="str">
        <f>IF(NOT(ISBLANK(A1433)),VLOOKUP(A1433,'Close - PriceSaver'!A:J,6,0),"")</f>
        <v/>
      </c>
      <c r="Q1433" t="e">
        <f t="shared" si="211"/>
        <v>#N/A</v>
      </c>
      <c r="T1433" s="15" t="e">
        <f t="shared" si="213"/>
        <v>#N/A</v>
      </c>
      <c r="U1433" s="18" t="e">
        <f t="shared" si="214"/>
        <v>#N/A</v>
      </c>
      <c r="V1433" s="14" t="e">
        <f t="shared" si="212"/>
        <v>#N/A</v>
      </c>
      <c r="W1433" s="19" t="e">
        <f t="shared" si="215"/>
        <v>#N/A</v>
      </c>
      <c r="X1433" t="e">
        <f>VLOOKUP(P1433,Close[[ID]:[CreatedBy]],8,0)</f>
        <v>#N/A</v>
      </c>
    </row>
    <row r="1434" spans="2:24" x14ac:dyDescent="0.35">
      <c r="B1434" t="str">
        <f>IF(NOT(ISBLANK(A1434)),VLOOKUP(A1434,'BBT3'!A:F,2,0),"")</f>
        <v/>
      </c>
      <c r="C1434" t="str">
        <f>IF(NOT(ISBLANK(A1434)),VLOOKUP(A1434,'BBT3'!A:F,3,0),"")</f>
        <v/>
      </c>
      <c r="D1434" s="5" t="str">
        <f>IF(NOT(ISBLANK(A1434)),VLOOKUP(A1434,'BBT3'!A:F,4,1),"")</f>
        <v/>
      </c>
      <c r="E1434" t="str">
        <f>IF(NOT(ISBLANK(A1434)),VLOOKUP(A1434,'BBT3'!A:F,5,0),"")</f>
        <v/>
      </c>
      <c r="F1434" t="str">
        <f>IF(NOT(ISBLANK(A1434)),VLOOKUP(A1434,'BBT3'!A:F,6,0),"")</f>
        <v/>
      </c>
      <c r="G1434" t="str">
        <f t="shared" si="209"/>
        <v/>
      </c>
      <c r="H1434" t="str">
        <f>IF(NOT(ISBLANK(A1434)),VLOOKUP(A1434,'Close - PriceSaver'!A:J,5,0),"")</f>
        <v/>
      </c>
      <c r="I1434" s="4" t="str" cm="1">
        <f t="array" ref="I1434">IF(NOT(ISBLANK(A1434)),((_xlfn.XLOOKUP(1,(_bbt3[[#All],[ID]]=A1434)*(_bbt3[[#All],[METRIC_NAME]]="YLD_YTM_ASK"),_bbt3[[#All],[METRIC_VALUE]])*0.5)+(_xlfn.XLOOKUP(1,(_bbt3[[#All],[ID]]=A1434)*(_bbt3[[#All],[METRIC_NAME]]="YLD_YTM_BID"),_bbt3[[#All],[METRIC_VALUE]])*0.5))/100,"")</f>
        <v/>
      </c>
      <c r="J1434">
        <f>IF(ISNA(VLOOKUP(A1434,'CloseDL - PriceSaverBBT3'!A:E,5,0)),0,VLOOKUP(A1434,'CloseDL - PriceSaverBBT3'!A:E,5,0))</f>
        <v>0</v>
      </c>
      <c r="K1434" s="7" t="str">
        <f t="shared" si="210"/>
        <v/>
      </c>
      <c r="L1434" s="20">
        <f>IF(Close[[#This Row],[CreatedBy]]="MARINER\SilverAdm",1,0)</f>
        <v>1</v>
      </c>
      <c r="M1434" t="str">
        <f>IF(NOT(ISBLANK(A1434)),VLOOKUP(A1434,'Close - PriceSaver'!A:J,6,0),"")</f>
        <v/>
      </c>
      <c r="Q1434" t="e">
        <f t="shared" si="211"/>
        <v>#N/A</v>
      </c>
      <c r="T1434" s="15" t="e">
        <f t="shared" si="213"/>
        <v>#N/A</v>
      </c>
      <c r="U1434" s="18" t="e">
        <f t="shared" si="214"/>
        <v>#N/A</v>
      </c>
      <c r="V1434" s="14" t="e">
        <f t="shared" si="212"/>
        <v>#N/A</v>
      </c>
      <c r="W1434" s="19" t="e">
        <f t="shared" si="215"/>
        <v>#N/A</v>
      </c>
      <c r="X1434" t="e">
        <f>VLOOKUP(P1434,Close[[ID]:[CreatedBy]],8,0)</f>
        <v>#N/A</v>
      </c>
    </row>
    <row r="1435" spans="2:24" x14ac:dyDescent="0.35">
      <c r="B1435" t="str">
        <f>IF(NOT(ISBLANK(A1435)),VLOOKUP(A1435,'BBT3'!A:F,2,0),"")</f>
        <v/>
      </c>
      <c r="C1435" t="str">
        <f>IF(NOT(ISBLANK(A1435)),VLOOKUP(A1435,'BBT3'!A:F,3,0),"")</f>
        <v/>
      </c>
      <c r="D1435" s="5" t="str">
        <f>IF(NOT(ISBLANK(A1435)),VLOOKUP(A1435,'BBT3'!A:F,4,1),"")</f>
        <v/>
      </c>
      <c r="E1435" t="str">
        <f>IF(NOT(ISBLANK(A1435)),VLOOKUP(A1435,'BBT3'!A:F,5,0),"")</f>
        <v/>
      </c>
      <c r="F1435" t="str">
        <f>IF(NOT(ISBLANK(A1435)),VLOOKUP(A1435,'BBT3'!A:F,6,0),"")</f>
        <v/>
      </c>
      <c r="G1435" t="str">
        <f t="shared" si="209"/>
        <v/>
      </c>
      <c r="H1435" t="str">
        <f>IF(NOT(ISBLANK(A1435)),VLOOKUP(A1435,'Close - PriceSaver'!A:J,5,0),"")</f>
        <v/>
      </c>
      <c r="I1435" s="4" t="str" cm="1">
        <f t="array" ref="I1435">IF(NOT(ISBLANK(A1435)),((_xlfn.XLOOKUP(1,(_bbt3[[#All],[ID]]=A1435)*(_bbt3[[#All],[METRIC_NAME]]="YLD_YTM_ASK"),_bbt3[[#All],[METRIC_VALUE]])*0.5)+(_xlfn.XLOOKUP(1,(_bbt3[[#All],[ID]]=A1435)*(_bbt3[[#All],[METRIC_NAME]]="YLD_YTM_BID"),_bbt3[[#All],[METRIC_VALUE]])*0.5))/100,"")</f>
        <v/>
      </c>
      <c r="J1435">
        <f>IF(ISNA(VLOOKUP(A1435,'CloseDL - PriceSaverBBT3'!A:E,5,0)),0,VLOOKUP(A1435,'CloseDL - PriceSaverBBT3'!A:E,5,0))</f>
        <v>0</v>
      </c>
      <c r="K1435" s="7" t="str">
        <f t="shared" si="210"/>
        <v/>
      </c>
      <c r="L1435" s="20">
        <f>IF(Close[[#This Row],[CreatedBy]]="MARINER\SilverAdm",1,0)</f>
        <v>1</v>
      </c>
      <c r="M1435" t="str">
        <f>IF(NOT(ISBLANK(A1435)),VLOOKUP(A1435,'Close - PriceSaver'!A:J,6,0),"")</f>
        <v/>
      </c>
      <c r="Q1435" t="e">
        <f t="shared" si="211"/>
        <v>#N/A</v>
      </c>
      <c r="T1435" s="15" t="e">
        <f t="shared" si="213"/>
        <v>#N/A</v>
      </c>
      <c r="U1435" s="18" t="e">
        <f t="shared" si="214"/>
        <v>#N/A</v>
      </c>
      <c r="V1435" s="14" t="e">
        <f t="shared" si="212"/>
        <v>#N/A</v>
      </c>
      <c r="W1435" s="19" t="e">
        <f t="shared" si="215"/>
        <v>#N/A</v>
      </c>
      <c r="X1435" t="e">
        <f>VLOOKUP(P1435,Close[[ID]:[CreatedBy]],8,0)</f>
        <v>#N/A</v>
      </c>
    </row>
    <row r="1436" spans="2:24" x14ac:dyDescent="0.35">
      <c r="B1436" t="str">
        <f>IF(NOT(ISBLANK(A1436)),VLOOKUP(A1436,'BBT3'!A:F,2,0),"")</f>
        <v/>
      </c>
      <c r="C1436" t="str">
        <f>IF(NOT(ISBLANK(A1436)),VLOOKUP(A1436,'BBT3'!A:F,3,0),"")</f>
        <v/>
      </c>
      <c r="D1436" s="5" t="str">
        <f>IF(NOT(ISBLANK(A1436)),VLOOKUP(A1436,'BBT3'!A:F,4,1),"")</f>
        <v/>
      </c>
      <c r="E1436" t="str">
        <f>IF(NOT(ISBLANK(A1436)),VLOOKUP(A1436,'BBT3'!A:F,5,0),"")</f>
        <v/>
      </c>
      <c r="F1436" t="str">
        <f>IF(NOT(ISBLANK(A1436)),VLOOKUP(A1436,'BBT3'!A:F,6,0),"")</f>
        <v/>
      </c>
      <c r="G1436" t="str">
        <f t="shared" si="209"/>
        <v/>
      </c>
      <c r="H1436" t="str">
        <f>IF(NOT(ISBLANK(A1436)),VLOOKUP(A1436,'Close - PriceSaver'!A:J,5,0),"")</f>
        <v/>
      </c>
      <c r="I1436" s="4" t="str" cm="1">
        <f t="array" ref="I1436">IF(NOT(ISBLANK(A1436)),((_xlfn.XLOOKUP(1,(_bbt3[[#All],[ID]]=A1436)*(_bbt3[[#All],[METRIC_NAME]]="YLD_YTM_ASK"),_bbt3[[#All],[METRIC_VALUE]])*0.5)+(_xlfn.XLOOKUP(1,(_bbt3[[#All],[ID]]=A1436)*(_bbt3[[#All],[METRIC_NAME]]="YLD_YTM_BID"),_bbt3[[#All],[METRIC_VALUE]])*0.5))/100,"")</f>
        <v/>
      </c>
      <c r="J1436">
        <f>IF(ISNA(VLOOKUP(A1436,'CloseDL - PriceSaverBBT3'!A:E,5,0)),0,VLOOKUP(A1436,'CloseDL - PriceSaverBBT3'!A:E,5,0))</f>
        <v>0</v>
      </c>
      <c r="K1436" s="7" t="str">
        <f t="shared" si="210"/>
        <v/>
      </c>
      <c r="L1436" s="20">
        <f>IF(Close[[#This Row],[CreatedBy]]="MARINER\SilverAdm",1,0)</f>
        <v>1</v>
      </c>
      <c r="M1436" t="str">
        <f>IF(NOT(ISBLANK(A1436)),VLOOKUP(A1436,'Close - PriceSaver'!A:J,6,0),"")</f>
        <v/>
      </c>
      <c r="Q1436" t="e">
        <f t="shared" si="211"/>
        <v>#N/A</v>
      </c>
      <c r="T1436" s="15" t="e">
        <f t="shared" si="213"/>
        <v>#N/A</v>
      </c>
      <c r="U1436" s="18" t="e">
        <f t="shared" si="214"/>
        <v>#N/A</v>
      </c>
      <c r="V1436" s="14" t="e">
        <f t="shared" si="212"/>
        <v>#N/A</v>
      </c>
      <c r="W1436" s="19" t="e">
        <f t="shared" si="215"/>
        <v>#N/A</v>
      </c>
      <c r="X1436" t="e">
        <f>VLOOKUP(P1436,Close[[ID]:[CreatedBy]],8,0)</f>
        <v>#N/A</v>
      </c>
    </row>
    <row r="1437" spans="2:24" x14ac:dyDescent="0.35">
      <c r="B1437" t="str">
        <f>IF(NOT(ISBLANK(A1437)),VLOOKUP(A1437,'BBT3'!A:F,2,0),"")</f>
        <v/>
      </c>
      <c r="C1437" t="str">
        <f>IF(NOT(ISBLANK(A1437)),VLOOKUP(A1437,'BBT3'!A:F,3,0),"")</f>
        <v/>
      </c>
      <c r="D1437" s="5" t="str">
        <f>IF(NOT(ISBLANK(A1437)),VLOOKUP(A1437,'BBT3'!A:F,4,1),"")</f>
        <v/>
      </c>
      <c r="E1437" t="str">
        <f>IF(NOT(ISBLANK(A1437)),VLOOKUP(A1437,'BBT3'!A:F,5,0),"")</f>
        <v/>
      </c>
      <c r="F1437" t="str">
        <f>IF(NOT(ISBLANK(A1437)),VLOOKUP(A1437,'BBT3'!A:F,6,0),"")</f>
        <v/>
      </c>
      <c r="G1437" t="str">
        <f t="shared" si="209"/>
        <v/>
      </c>
      <c r="H1437" t="str">
        <f>IF(NOT(ISBLANK(A1437)),VLOOKUP(A1437,'Close - PriceSaver'!A:J,5,0),"")</f>
        <v/>
      </c>
      <c r="I1437" s="4" t="str" cm="1">
        <f t="array" ref="I1437">IF(NOT(ISBLANK(A1437)),((_xlfn.XLOOKUP(1,(_bbt3[[#All],[ID]]=A1437)*(_bbt3[[#All],[METRIC_NAME]]="YLD_YTM_ASK"),_bbt3[[#All],[METRIC_VALUE]])*0.5)+(_xlfn.XLOOKUP(1,(_bbt3[[#All],[ID]]=A1437)*(_bbt3[[#All],[METRIC_NAME]]="YLD_YTM_BID"),_bbt3[[#All],[METRIC_VALUE]])*0.5))/100,"")</f>
        <v/>
      </c>
      <c r="J1437">
        <f>IF(ISNA(VLOOKUP(A1437,'CloseDL - PriceSaverBBT3'!A:E,5,0)),0,VLOOKUP(A1437,'CloseDL - PriceSaverBBT3'!A:E,5,0))</f>
        <v>0</v>
      </c>
      <c r="K1437" s="7" t="str">
        <f t="shared" si="210"/>
        <v/>
      </c>
      <c r="L1437" s="20">
        <f>IF(Close[[#This Row],[CreatedBy]]="MARINER\SilverAdm",1,0)</f>
        <v>1</v>
      </c>
      <c r="M1437" t="str">
        <f>IF(NOT(ISBLANK(A1437)),VLOOKUP(A1437,'Close - PriceSaver'!A:J,6,0),"")</f>
        <v/>
      </c>
      <c r="Q1437" t="e">
        <f t="shared" si="211"/>
        <v>#N/A</v>
      </c>
      <c r="T1437" s="15" t="e">
        <f t="shared" si="213"/>
        <v>#N/A</v>
      </c>
      <c r="U1437" s="18" t="e">
        <f t="shared" si="214"/>
        <v>#N/A</v>
      </c>
      <c r="V1437" s="14" t="e">
        <f t="shared" si="212"/>
        <v>#N/A</v>
      </c>
      <c r="W1437" s="19" t="e">
        <f t="shared" si="215"/>
        <v>#N/A</v>
      </c>
      <c r="X1437" t="e">
        <f>VLOOKUP(P1437,Close[[ID]:[CreatedBy]],8,0)</f>
        <v>#N/A</v>
      </c>
    </row>
    <row r="1438" spans="2:24" x14ac:dyDescent="0.35">
      <c r="B1438" t="str">
        <f>IF(NOT(ISBLANK(A1438)),VLOOKUP(A1438,'BBT3'!A:F,2,0),"")</f>
        <v/>
      </c>
      <c r="C1438" t="str">
        <f>IF(NOT(ISBLANK(A1438)),VLOOKUP(A1438,'BBT3'!A:F,3,0),"")</f>
        <v/>
      </c>
      <c r="D1438" s="5" t="str">
        <f>IF(NOT(ISBLANK(A1438)),VLOOKUP(A1438,'BBT3'!A:F,4,1),"")</f>
        <v/>
      </c>
      <c r="E1438" t="str">
        <f>IF(NOT(ISBLANK(A1438)),VLOOKUP(A1438,'BBT3'!A:F,5,0),"")</f>
        <v/>
      </c>
      <c r="F1438" t="str">
        <f>IF(NOT(ISBLANK(A1438)),VLOOKUP(A1438,'BBT3'!A:F,6,0),"")</f>
        <v/>
      </c>
      <c r="G1438" t="str">
        <f t="shared" si="209"/>
        <v/>
      </c>
      <c r="H1438" t="str">
        <f>IF(NOT(ISBLANK(A1438)),VLOOKUP(A1438,'Close - PriceSaver'!A:J,5,0),"")</f>
        <v/>
      </c>
      <c r="I1438" s="4" t="str" cm="1">
        <f t="array" ref="I1438">IF(NOT(ISBLANK(A1438)),((_xlfn.XLOOKUP(1,(_bbt3[[#All],[ID]]=A1438)*(_bbt3[[#All],[METRIC_NAME]]="YLD_YTM_ASK"),_bbt3[[#All],[METRIC_VALUE]])*0.5)+(_xlfn.XLOOKUP(1,(_bbt3[[#All],[ID]]=A1438)*(_bbt3[[#All],[METRIC_NAME]]="YLD_YTM_BID"),_bbt3[[#All],[METRIC_VALUE]])*0.5))/100,"")</f>
        <v/>
      </c>
      <c r="J1438">
        <f>IF(ISNA(VLOOKUP(A1438,'CloseDL - PriceSaverBBT3'!A:E,5,0)),0,VLOOKUP(A1438,'CloseDL - PriceSaverBBT3'!A:E,5,0))</f>
        <v>0</v>
      </c>
      <c r="K1438" s="7" t="str">
        <f t="shared" si="210"/>
        <v/>
      </c>
      <c r="L1438" s="20">
        <f>IF(Close[[#This Row],[CreatedBy]]="MARINER\SilverAdm",1,0)</f>
        <v>1</v>
      </c>
      <c r="M1438" t="str">
        <f>IF(NOT(ISBLANK(A1438)),VLOOKUP(A1438,'Close - PriceSaver'!A:J,6,0),"")</f>
        <v/>
      </c>
      <c r="Q1438" t="e">
        <f t="shared" si="211"/>
        <v>#N/A</v>
      </c>
      <c r="T1438" s="15" t="e">
        <f t="shared" si="213"/>
        <v>#N/A</v>
      </c>
      <c r="U1438" s="18" t="e">
        <f t="shared" si="214"/>
        <v>#N/A</v>
      </c>
      <c r="V1438" s="14" t="e">
        <f t="shared" si="212"/>
        <v>#N/A</v>
      </c>
      <c r="W1438" s="19" t="e">
        <f t="shared" si="215"/>
        <v>#N/A</v>
      </c>
      <c r="X1438" t="e">
        <f>VLOOKUP(P1438,Close[[ID]:[CreatedBy]],8,0)</f>
        <v>#N/A</v>
      </c>
    </row>
    <row r="1439" spans="2:24" x14ac:dyDescent="0.35">
      <c r="B1439" t="str">
        <f>IF(NOT(ISBLANK(A1439)),VLOOKUP(A1439,'BBT3'!A:F,2,0),"")</f>
        <v/>
      </c>
      <c r="C1439" t="str">
        <f>IF(NOT(ISBLANK(A1439)),VLOOKUP(A1439,'BBT3'!A:F,3,0),"")</f>
        <v/>
      </c>
      <c r="D1439" s="5" t="str">
        <f>IF(NOT(ISBLANK(A1439)),VLOOKUP(A1439,'BBT3'!A:F,4,1),"")</f>
        <v/>
      </c>
      <c r="E1439" t="str">
        <f>IF(NOT(ISBLANK(A1439)),VLOOKUP(A1439,'BBT3'!A:F,5,0),"")</f>
        <v/>
      </c>
      <c r="F1439" t="str">
        <f>IF(NOT(ISBLANK(A1439)),VLOOKUP(A1439,'BBT3'!A:F,6,0),"")</f>
        <v/>
      </c>
      <c r="G1439" t="str">
        <f t="shared" si="209"/>
        <v/>
      </c>
      <c r="H1439" t="str">
        <f>IF(NOT(ISBLANK(A1439)),VLOOKUP(A1439,'Close - PriceSaver'!A:J,5,0),"")</f>
        <v/>
      </c>
      <c r="I1439" s="4" t="str" cm="1">
        <f t="array" ref="I1439">IF(NOT(ISBLANK(A1439)),((_xlfn.XLOOKUP(1,(_bbt3[[#All],[ID]]=A1439)*(_bbt3[[#All],[METRIC_NAME]]="YLD_YTM_ASK"),_bbt3[[#All],[METRIC_VALUE]])*0.5)+(_xlfn.XLOOKUP(1,(_bbt3[[#All],[ID]]=A1439)*(_bbt3[[#All],[METRIC_NAME]]="YLD_YTM_BID"),_bbt3[[#All],[METRIC_VALUE]])*0.5))/100,"")</f>
        <v/>
      </c>
      <c r="J1439">
        <f>IF(ISNA(VLOOKUP(A1439,'CloseDL - PriceSaverBBT3'!A:E,5,0)),0,VLOOKUP(A1439,'CloseDL - PriceSaverBBT3'!A:E,5,0))</f>
        <v>0</v>
      </c>
      <c r="K1439" s="7" t="str">
        <f t="shared" si="210"/>
        <v/>
      </c>
      <c r="L1439" s="20">
        <f>IF(Close[[#This Row],[CreatedBy]]="MARINER\SilverAdm",1,0)</f>
        <v>1</v>
      </c>
      <c r="M1439" t="str">
        <f>IF(NOT(ISBLANK(A1439)),VLOOKUP(A1439,'Close - PriceSaver'!A:J,6,0),"")</f>
        <v/>
      </c>
      <c r="Q1439" t="e">
        <f t="shared" si="211"/>
        <v>#N/A</v>
      </c>
      <c r="T1439" s="15" t="e">
        <f t="shared" si="213"/>
        <v>#N/A</v>
      </c>
      <c r="U1439" s="18" t="e">
        <f t="shared" si="214"/>
        <v>#N/A</v>
      </c>
      <c r="V1439" s="14" t="e">
        <f t="shared" si="212"/>
        <v>#N/A</v>
      </c>
      <c r="W1439" s="19" t="e">
        <f t="shared" si="215"/>
        <v>#N/A</v>
      </c>
      <c r="X1439" t="e">
        <f>VLOOKUP(P1439,Close[[ID]:[CreatedBy]],8,0)</f>
        <v>#N/A</v>
      </c>
    </row>
    <row r="1440" spans="2:24" x14ac:dyDescent="0.35">
      <c r="B1440" t="str">
        <f>IF(NOT(ISBLANK(A1440)),VLOOKUP(A1440,'BBT3'!A:F,2,0),"")</f>
        <v/>
      </c>
      <c r="C1440" t="str">
        <f>IF(NOT(ISBLANK(A1440)),VLOOKUP(A1440,'BBT3'!A:F,3,0),"")</f>
        <v/>
      </c>
      <c r="D1440" s="5" t="str">
        <f>IF(NOT(ISBLANK(A1440)),VLOOKUP(A1440,'BBT3'!A:F,4,1),"")</f>
        <v/>
      </c>
      <c r="E1440" t="str">
        <f>IF(NOT(ISBLANK(A1440)),VLOOKUP(A1440,'BBT3'!A:F,5,0),"")</f>
        <v/>
      </c>
      <c r="F1440" t="str">
        <f>IF(NOT(ISBLANK(A1440)),VLOOKUP(A1440,'BBT3'!A:F,6,0),"")</f>
        <v/>
      </c>
      <c r="G1440" t="str">
        <f t="shared" si="209"/>
        <v/>
      </c>
      <c r="H1440" t="str">
        <f>IF(NOT(ISBLANK(A1440)),VLOOKUP(A1440,'Close - PriceSaver'!A:J,5,0),"")</f>
        <v/>
      </c>
      <c r="I1440" s="4" t="str" cm="1">
        <f t="array" ref="I1440">IF(NOT(ISBLANK(A1440)),((_xlfn.XLOOKUP(1,(_bbt3[[#All],[ID]]=A1440)*(_bbt3[[#All],[METRIC_NAME]]="YLD_YTM_ASK"),_bbt3[[#All],[METRIC_VALUE]])*0.5)+(_xlfn.XLOOKUP(1,(_bbt3[[#All],[ID]]=A1440)*(_bbt3[[#All],[METRIC_NAME]]="YLD_YTM_BID"),_bbt3[[#All],[METRIC_VALUE]])*0.5))/100,"")</f>
        <v/>
      </c>
      <c r="J1440">
        <f>IF(ISNA(VLOOKUP(A1440,'CloseDL - PriceSaverBBT3'!A:E,5,0)),0,VLOOKUP(A1440,'CloseDL - PriceSaverBBT3'!A:E,5,0))</f>
        <v>0</v>
      </c>
      <c r="K1440" s="7" t="str">
        <f t="shared" si="210"/>
        <v/>
      </c>
      <c r="L1440" s="20">
        <f>IF(Close[[#This Row],[CreatedBy]]="MARINER\SilverAdm",1,0)</f>
        <v>1</v>
      </c>
      <c r="M1440" t="str">
        <f>IF(NOT(ISBLANK(A1440)),VLOOKUP(A1440,'Close - PriceSaver'!A:J,6,0),"")</f>
        <v/>
      </c>
      <c r="Q1440" t="e">
        <f t="shared" si="211"/>
        <v>#N/A</v>
      </c>
      <c r="T1440" s="15" t="e">
        <f t="shared" si="213"/>
        <v>#N/A</v>
      </c>
      <c r="U1440" s="18" t="e">
        <f t="shared" si="214"/>
        <v>#N/A</v>
      </c>
      <c r="V1440" s="14" t="e">
        <f t="shared" si="212"/>
        <v>#N/A</v>
      </c>
      <c r="W1440" s="19" t="e">
        <f t="shared" si="215"/>
        <v>#N/A</v>
      </c>
      <c r="X1440" t="e">
        <f>VLOOKUP(P1440,Close[[ID]:[CreatedBy]],8,0)</f>
        <v>#N/A</v>
      </c>
    </row>
    <row r="1441" spans="2:24" x14ac:dyDescent="0.35">
      <c r="B1441" t="str">
        <f>IF(NOT(ISBLANK(A1441)),VLOOKUP(A1441,'BBT3'!A:F,2,0),"")</f>
        <v/>
      </c>
      <c r="C1441" t="str">
        <f>IF(NOT(ISBLANK(A1441)),VLOOKUP(A1441,'BBT3'!A:F,3,0),"")</f>
        <v/>
      </c>
      <c r="D1441" s="5" t="str">
        <f>IF(NOT(ISBLANK(A1441)),VLOOKUP(A1441,'BBT3'!A:F,4,1),"")</f>
        <v/>
      </c>
      <c r="E1441" t="str">
        <f>IF(NOT(ISBLANK(A1441)),VLOOKUP(A1441,'BBT3'!A:F,5,0),"")</f>
        <v/>
      </c>
      <c r="F1441" t="str">
        <f>IF(NOT(ISBLANK(A1441)),VLOOKUP(A1441,'BBT3'!A:F,6,0),"")</f>
        <v/>
      </c>
      <c r="G1441" t="str">
        <f t="shared" si="209"/>
        <v/>
      </c>
      <c r="H1441" t="str">
        <f>IF(NOT(ISBLANK(A1441)),VLOOKUP(A1441,'Close - PriceSaver'!A:J,5,0),"")</f>
        <v/>
      </c>
      <c r="I1441" s="4" t="str" cm="1">
        <f t="array" ref="I1441">IF(NOT(ISBLANK(A1441)),((_xlfn.XLOOKUP(1,(_bbt3[[#All],[ID]]=A1441)*(_bbt3[[#All],[METRIC_NAME]]="YLD_YTM_ASK"),_bbt3[[#All],[METRIC_VALUE]])*0.5)+(_xlfn.XLOOKUP(1,(_bbt3[[#All],[ID]]=A1441)*(_bbt3[[#All],[METRIC_NAME]]="YLD_YTM_BID"),_bbt3[[#All],[METRIC_VALUE]])*0.5))/100,"")</f>
        <v/>
      </c>
      <c r="J1441">
        <f>IF(ISNA(VLOOKUP(A1441,'CloseDL - PriceSaverBBT3'!A:E,5,0)),0,VLOOKUP(A1441,'CloseDL - PriceSaverBBT3'!A:E,5,0))</f>
        <v>0</v>
      </c>
      <c r="K1441" s="7" t="str">
        <f t="shared" si="210"/>
        <v/>
      </c>
      <c r="L1441" s="20">
        <f>IF(Close[[#This Row],[CreatedBy]]="MARINER\SilverAdm",1,0)</f>
        <v>1</v>
      </c>
      <c r="M1441" t="str">
        <f>IF(NOT(ISBLANK(A1441)),VLOOKUP(A1441,'Close - PriceSaver'!A:J,6,0),"")</f>
        <v/>
      </c>
      <c r="Q1441" t="e">
        <f t="shared" si="211"/>
        <v>#N/A</v>
      </c>
      <c r="T1441" s="15" t="e">
        <f t="shared" si="213"/>
        <v>#N/A</v>
      </c>
      <c r="U1441" s="18" t="e">
        <f t="shared" si="214"/>
        <v>#N/A</v>
      </c>
      <c r="V1441" s="14" t="e">
        <f t="shared" si="212"/>
        <v>#N/A</v>
      </c>
      <c r="W1441" s="19" t="e">
        <f t="shared" si="215"/>
        <v>#N/A</v>
      </c>
      <c r="X1441" t="e">
        <f>VLOOKUP(P1441,Close[[ID]:[CreatedBy]],8,0)</f>
        <v>#N/A</v>
      </c>
    </row>
    <row r="1442" spans="2:24" x14ac:dyDescent="0.35">
      <c r="B1442" t="str">
        <f>IF(NOT(ISBLANK(A1442)),VLOOKUP(A1442,'BBT3'!A:F,2,0),"")</f>
        <v/>
      </c>
      <c r="C1442" t="str">
        <f>IF(NOT(ISBLANK(A1442)),VLOOKUP(A1442,'BBT3'!A:F,3,0),"")</f>
        <v/>
      </c>
      <c r="D1442" s="5" t="str">
        <f>IF(NOT(ISBLANK(A1442)),VLOOKUP(A1442,'BBT3'!A:F,4,1),"")</f>
        <v/>
      </c>
      <c r="E1442" t="str">
        <f>IF(NOT(ISBLANK(A1442)),VLOOKUP(A1442,'BBT3'!A:F,5,0),"")</f>
        <v/>
      </c>
      <c r="F1442" t="str">
        <f>IF(NOT(ISBLANK(A1442)),VLOOKUP(A1442,'BBT3'!A:F,6,0),"")</f>
        <v/>
      </c>
      <c r="G1442" t="str">
        <f t="shared" si="209"/>
        <v/>
      </c>
      <c r="H1442" t="str">
        <f>IF(NOT(ISBLANK(A1442)),VLOOKUP(A1442,'Close - PriceSaver'!A:J,5,0),"")</f>
        <v/>
      </c>
      <c r="I1442" s="4" t="str" cm="1">
        <f t="array" ref="I1442">IF(NOT(ISBLANK(A1442)),((_xlfn.XLOOKUP(1,(_bbt3[[#All],[ID]]=A1442)*(_bbt3[[#All],[METRIC_NAME]]="YLD_YTM_ASK"),_bbt3[[#All],[METRIC_VALUE]])*0.5)+(_xlfn.XLOOKUP(1,(_bbt3[[#All],[ID]]=A1442)*(_bbt3[[#All],[METRIC_NAME]]="YLD_YTM_BID"),_bbt3[[#All],[METRIC_VALUE]])*0.5))/100,"")</f>
        <v/>
      </c>
      <c r="J1442">
        <f>IF(ISNA(VLOOKUP(A1442,'CloseDL - PriceSaverBBT3'!A:E,5,0)),0,VLOOKUP(A1442,'CloseDL - PriceSaverBBT3'!A:E,5,0))</f>
        <v>0</v>
      </c>
      <c r="K1442" s="7" t="str">
        <f t="shared" si="210"/>
        <v/>
      </c>
      <c r="L1442" s="20">
        <f>IF(Close[[#This Row],[CreatedBy]]="MARINER\SilverAdm",1,0)</f>
        <v>1</v>
      </c>
      <c r="M1442" t="str">
        <f>IF(NOT(ISBLANK(A1442)),VLOOKUP(A1442,'Close - PriceSaver'!A:J,6,0),"")</f>
        <v/>
      </c>
      <c r="Q1442" t="e">
        <f t="shared" si="211"/>
        <v>#N/A</v>
      </c>
      <c r="T1442" s="15" t="e">
        <f t="shared" si="213"/>
        <v>#N/A</v>
      </c>
      <c r="U1442" s="18" t="e">
        <f t="shared" si="214"/>
        <v>#N/A</v>
      </c>
      <c r="V1442" s="14" t="e">
        <f t="shared" si="212"/>
        <v>#N/A</v>
      </c>
      <c r="W1442" s="19" t="e">
        <f t="shared" si="215"/>
        <v>#N/A</v>
      </c>
      <c r="X1442" t="e">
        <f>VLOOKUP(P1442,Close[[ID]:[CreatedBy]],8,0)</f>
        <v>#N/A</v>
      </c>
    </row>
    <row r="1443" spans="2:24" x14ac:dyDescent="0.35">
      <c r="B1443" t="str">
        <f>IF(NOT(ISBLANK(A1443)),VLOOKUP(A1443,'BBT3'!A:F,2,0),"")</f>
        <v/>
      </c>
      <c r="C1443" t="str">
        <f>IF(NOT(ISBLANK(A1443)),VLOOKUP(A1443,'BBT3'!A:F,3,0),"")</f>
        <v/>
      </c>
      <c r="D1443" s="5" t="str">
        <f>IF(NOT(ISBLANK(A1443)),VLOOKUP(A1443,'BBT3'!A:F,4,1),"")</f>
        <v/>
      </c>
      <c r="E1443" t="str">
        <f>IF(NOT(ISBLANK(A1443)),VLOOKUP(A1443,'BBT3'!A:F,5,0),"")</f>
        <v/>
      </c>
      <c r="F1443" t="str">
        <f>IF(NOT(ISBLANK(A1443)),VLOOKUP(A1443,'BBT3'!A:F,6,0),"")</f>
        <v/>
      </c>
      <c r="G1443" t="str">
        <f t="shared" si="209"/>
        <v/>
      </c>
      <c r="H1443" t="str">
        <f>IF(NOT(ISBLANK(A1443)),VLOOKUP(A1443,'Close - PriceSaver'!A:J,5,0),"")</f>
        <v/>
      </c>
      <c r="I1443" s="4" t="str" cm="1">
        <f t="array" ref="I1443">IF(NOT(ISBLANK(A1443)),((_xlfn.XLOOKUP(1,(_bbt3[[#All],[ID]]=A1443)*(_bbt3[[#All],[METRIC_NAME]]="YLD_YTM_ASK"),_bbt3[[#All],[METRIC_VALUE]])*0.5)+(_xlfn.XLOOKUP(1,(_bbt3[[#All],[ID]]=A1443)*(_bbt3[[#All],[METRIC_NAME]]="YLD_YTM_BID"),_bbt3[[#All],[METRIC_VALUE]])*0.5))/100,"")</f>
        <v/>
      </c>
      <c r="J1443">
        <f>IF(ISNA(VLOOKUP(A1443,'CloseDL - PriceSaverBBT3'!A:E,5,0)),0,VLOOKUP(A1443,'CloseDL - PriceSaverBBT3'!A:E,5,0))</f>
        <v>0</v>
      </c>
      <c r="K1443" s="7" t="str">
        <f t="shared" si="210"/>
        <v/>
      </c>
      <c r="L1443" s="20">
        <f>IF(Close[[#This Row],[CreatedBy]]="MARINER\SilverAdm",1,0)</f>
        <v>1</v>
      </c>
      <c r="M1443" t="str">
        <f>IF(NOT(ISBLANK(A1443)),VLOOKUP(A1443,'Close - PriceSaver'!A:J,6,0),"")</f>
        <v/>
      </c>
      <c r="Q1443" t="e">
        <f t="shared" si="211"/>
        <v>#N/A</v>
      </c>
      <c r="T1443" s="15" t="e">
        <f t="shared" si="213"/>
        <v>#N/A</v>
      </c>
      <c r="U1443" s="18" t="e">
        <f t="shared" si="214"/>
        <v>#N/A</v>
      </c>
      <c r="V1443" s="14" t="e">
        <f t="shared" si="212"/>
        <v>#N/A</v>
      </c>
      <c r="W1443" s="19" t="e">
        <f t="shared" si="215"/>
        <v>#N/A</v>
      </c>
      <c r="X1443" t="e">
        <f>VLOOKUP(P1443,Close[[ID]:[CreatedBy]],8,0)</f>
        <v>#N/A</v>
      </c>
    </row>
    <row r="1444" spans="2:24" x14ac:dyDescent="0.35">
      <c r="B1444" t="str">
        <f>IF(NOT(ISBLANK(A1444)),VLOOKUP(A1444,'BBT3'!A:F,2,0),"")</f>
        <v/>
      </c>
      <c r="C1444" t="str">
        <f>IF(NOT(ISBLANK(A1444)),VLOOKUP(A1444,'BBT3'!A:F,3,0),"")</f>
        <v/>
      </c>
      <c r="D1444" s="5" t="str">
        <f>IF(NOT(ISBLANK(A1444)),VLOOKUP(A1444,'BBT3'!A:F,4,1),"")</f>
        <v/>
      </c>
      <c r="E1444" t="str">
        <f>IF(NOT(ISBLANK(A1444)),VLOOKUP(A1444,'BBT3'!A:F,5,0),"")</f>
        <v/>
      </c>
      <c r="F1444" t="str">
        <f>IF(NOT(ISBLANK(A1444)),VLOOKUP(A1444,'BBT3'!A:F,6,0),"")</f>
        <v/>
      </c>
      <c r="G1444" t="str">
        <f t="shared" si="209"/>
        <v/>
      </c>
      <c r="H1444" t="str">
        <f>IF(NOT(ISBLANK(A1444)),VLOOKUP(A1444,'Close - PriceSaver'!A:J,5,0),"")</f>
        <v/>
      </c>
      <c r="I1444" s="4" t="str" cm="1">
        <f t="array" ref="I1444">IF(NOT(ISBLANK(A1444)),((_xlfn.XLOOKUP(1,(_bbt3[[#All],[ID]]=A1444)*(_bbt3[[#All],[METRIC_NAME]]="YLD_YTM_ASK"),_bbt3[[#All],[METRIC_VALUE]])*0.5)+(_xlfn.XLOOKUP(1,(_bbt3[[#All],[ID]]=A1444)*(_bbt3[[#All],[METRIC_NAME]]="YLD_YTM_BID"),_bbt3[[#All],[METRIC_VALUE]])*0.5))/100,"")</f>
        <v/>
      </c>
      <c r="J1444">
        <f>IF(ISNA(VLOOKUP(A1444,'CloseDL - PriceSaverBBT3'!A:E,5,0)),0,VLOOKUP(A1444,'CloseDL - PriceSaverBBT3'!A:E,5,0))</f>
        <v>0</v>
      </c>
      <c r="K1444" s="7" t="str">
        <f t="shared" si="210"/>
        <v/>
      </c>
      <c r="L1444" s="20">
        <f>IF(Close[[#This Row],[CreatedBy]]="MARINER\SilverAdm",1,0)</f>
        <v>1</v>
      </c>
      <c r="M1444" t="str">
        <f>IF(NOT(ISBLANK(A1444)),VLOOKUP(A1444,'Close - PriceSaver'!A:J,6,0),"")</f>
        <v/>
      </c>
      <c r="Q1444" t="e">
        <f t="shared" si="211"/>
        <v>#N/A</v>
      </c>
      <c r="T1444" s="15" t="e">
        <f t="shared" si="213"/>
        <v>#N/A</v>
      </c>
      <c r="U1444" s="18" t="e">
        <f t="shared" si="214"/>
        <v>#N/A</v>
      </c>
      <c r="V1444" s="14" t="e">
        <f t="shared" si="212"/>
        <v>#N/A</v>
      </c>
      <c r="W1444" s="19" t="e">
        <f t="shared" si="215"/>
        <v>#N/A</v>
      </c>
      <c r="X1444" t="e">
        <f>VLOOKUP(P1444,Close[[ID]:[CreatedBy]],8,0)</f>
        <v>#N/A</v>
      </c>
    </row>
    <row r="1445" spans="2:24" x14ac:dyDescent="0.35">
      <c r="B1445" t="str">
        <f>IF(NOT(ISBLANK(A1445)),VLOOKUP(A1445,'BBT3'!A:F,2,0),"")</f>
        <v/>
      </c>
      <c r="C1445" t="str">
        <f>IF(NOT(ISBLANK(A1445)),VLOOKUP(A1445,'BBT3'!A:F,3,0),"")</f>
        <v/>
      </c>
      <c r="D1445" s="5" t="str">
        <f>IF(NOT(ISBLANK(A1445)),VLOOKUP(A1445,'BBT3'!A:F,4,1),"")</f>
        <v/>
      </c>
      <c r="E1445" t="str">
        <f>IF(NOT(ISBLANK(A1445)),VLOOKUP(A1445,'BBT3'!A:F,5,0),"")</f>
        <v/>
      </c>
      <c r="F1445" t="str">
        <f>IF(NOT(ISBLANK(A1445)),VLOOKUP(A1445,'BBT3'!A:F,6,0),"")</f>
        <v/>
      </c>
      <c r="G1445" t="str">
        <f t="shared" si="209"/>
        <v/>
      </c>
      <c r="H1445" t="str">
        <f>IF(NOT(ISBLANK(A1445)),VLOOKUP(A1445,'Close - PriceSaver'!A:J,5,0),"")</f>
        <v/>
      </c>
      <c r="I1445" s="4" t="str" cm="1">
        <f t="array" ref="I1445">IF(NOT(ISBLANK(A1445)),((_xlfn.XLOOKUP(1,(_bbt3[[#All],[ID]]=A1445)*(_bbt3[[#All],[METRIC_NAME]]="YLD_YTM_ASK"),_bbt3[[#All],[METRIC_VALUE]])*0.5)+(_xlfn.XLOOKUP(1,(_bbt3[[#All],[ID]]=A1445)*(_bbt3[[#All],[METRIC_NAME]]="YLD_YTM_BID"),_bbt3[[#All],[METRIC_VALUE]])*0.5))/100,"")</f>
        <v/>
      </c>
      <c r="J1445">
        <f>IF(ISNA(VLOOKUP(A1445,'CloseDL - PriceSaverBBT3'!A:E,5,0)),0,VLOOKUP(A1445,'CloseDL - PriceSaverBBT3'!A:E,5,0))</f>
        <v>0</v>
      </c>
      <c r="K1445" s="7" t="str">
        <f t="shared" si="210"/>
        <v/>
      </c>
      <c r="L1445" s="20">
        <f>IF(Close[[#This Row],[CreatedBy]]="MARINER\SilverAdm",1,0)</f>
        <v>1</v>
      </c>
      <c r="M1445" t="str">
        <f>IF(NOT(ISBLANK(A1445)),VLOOKUP(A1445,'Close - PriceSaver'!A:J,6,0),"")</f>
        <v/>
      </c>
      <c r="Q1445" t="e">
        <f t="shared" si="211"/>
        <v>#N/A</v>
      </c>
      <c r="T1445" s="15" t="e">
        <f t="shared" si="213"/>
        <v>#N/A</v>
      </c>
      <c r="U1445" s="18" t="e">
        <f t="shared" si="214"/>
        <v>#N/A</v>
      </c>
      <c r="V1445" s="14" t="e">
        <f t="shared" si="212"/>
        <v>#N/A</v>
      </c>
      <c r="W1445" s="19" t="e">
        <f t="shared" si="215"/>
        <v>#N/A</v>
      </c>
      <c r="X1445" t="e">
        <f>VLOOKUP(P1445,Close[[ID]:[CreatedBy]],8,0)</f>
        <v>#N/A</v>
      </c>
    </row>
    <row r="1446" spans="2:24" x14ac:dyDescent="0.35">
      <c r="B1446" t="str">
        <f>IF(NOT(ISBLANK(A1446)),VLOOKUP(A1446,'BBT3'!A:F,2,0),"")</f>
        <v/>
      </c>
      <c r="C1446" t="str">
        <f>IF(NOT(ISBLANK(A1446)),VLOOKUP(A1446,'BBT3'!A:F,3,0),"")</f>
        <v/>
      </c>
      <c r="D1446" s="5" t="str">
        <f>IF(NOT(ISBLANK(A1446)),VLOOKUP(A1446,'BBT3'!A:F,4,1),"")</f>
        <v/>
      </c>
      <c r="E1446" t="str">
        <f>IF(NOT(ISBLANK(A1446)),VLOOKUP(A1446,'BBT3'!A:F,5,0),"")</f>
        <v/>
      </c>
      <c r="F1446" t="str">
        <f>IF(NOT(ISBLANK(A1446)),VLOOKUP(A1446,'BBT3'!A:F,6,0),"")</f>
        <v/>
      </c>
      <c r="G1446" t="str">
        <f t="shared" si="209"/>
        <v/>
      </c>
      <c r="H1446" t="str">
        <f>IF(NOT(ISBLANK(A1446)),VLOOKUP(A1446,'Close - PriceSaver'!A:J,5,0),"")</f>
        <v/>
      </c>
      <c r="I1446" s="4" t="str" cm="1">
        <f t="array" ref="I1446">IF(NOT(ISBLANK(A1446)),((_xlfn.XLOOKUP(1,(_bbt3[[#All],[ID]]=A1446)*(_bbt3[[#All],[METRIC_NAME]]="YLD_YTM_ASK"),_bbt3[[#All],[METRIC_VALUE]])*0.5)+(_xlfn.XLOOKUP(1,(_bbt3[[#All],[ID]]=A1446)*(_bbt3[[#All],[METRIC_NAME]]="YLD_YTM_BID"),_bbt3[[#All],[METRIC_VALUE]])*0.5))/100,"")</f>
        <v/>
      </c>
      <c r="J1446">
        <f>IF(ISNA(VLOOKUP(A1446,'CloseDL - PriceSaverBBT3'!A:E,5,0)),0,VLOOKUP(A1446,'CloseDL - PriceSaverBBT3'!A:E,5,0))</f>
        <v>0</v>
      </c>
      <c r="K1446" s="7" t="str">
        <f t="shared" si="210"/>
        <v/>
      </c>
      <c r="L1446" s="20">
        <f>IF(Close[[#This Row],[CreatedBy]]="MARINER\SilverAdm",1,0)</f>
        <v>1</v>
      </c>
      <c r="M1446" t="str">
        <f>IF(NOT(ISBLANK(A1446)),VLOOKUP(A1446,'Close - PriceSaver'!A:J,6,0),"")</f>
        <v/>
      </c>
      <c r="Q1446" t="e">
        <f t="shared" si="211"/>
        <v>#N/A</v>
      </c>
      <c r="T1446" s="15" t="e">
        <f t="shared" si="213"/>
        <v>#N/A</v>
      </c>
      <c r="U1446" s="18" t="e">
        <f t="shared" si="214"/>
        <v>#N/A</v>
      </c>
      <c r="V1446" s="14" t="e">
        <f t="shared" si="212"/>
        <v>#N/A</v>
      </c>
      <c r="W1446" s="19" t="e">
        <f t="shared" si="215"/>
        <v>#N/A</v>
      </c>
      <c r="X1446" t="e">
        <f>VLOOKUP(P1446,Close[[ID]:[CreatedBy]],8,0)</f>
        <v>#N/A</v>
      </c>
    </row>
    <row r="1447" spans="2:24" x14ac:dyDescent="0.35">
      <c r="B1447" t="str">
        <f>IF(NOT(ISBLANK(A1447)),VLOOKUP(A1447,'BBT3'!A:F,2,0),"")</f>
        <v/>
      </c>
      <c r="C1447" t="str">
        <f>IF(NOT(ISBLANK(A1447)),VLOOKUP(A1447,'BBT3'!A:F,3,0),"")</f>
        <v/>
      </c>
      <c r="D1447" s="5" t="str">
        <f>IF(NOT(ISBLANK(A1447)),VLOOKUP(A1447,'BBT3'!A:F,4,1),"")</f>
        <v/>
      </c>
      <c r="E1447" t="str">
        <f>IF(NOT(ISBLANK(A1447)),VLOOKUP(A1447,'BBT3'!A:F,5,0),"")</f>
        <v/>
      </c>
      <c r="F1447" t="str">
        <f>IF(NOT(ISBLANK(A1447)),VLOOKUP(A1447,'BBT3'!A:F,6,0),"")</f>
        <v/>
      </c>
      <c r="G1447" t="str">
        <f t="shared" si="209"/>
        <v/>
      </c>
      <c r="H1447" t="str">
        <f>IF(NOT(ISBLANK(A1447)),VLOOKUP(A1447,'Close - PriceSaver'!A:J,5,0),"")</f>
        <v/>
      </c>
      <c r="I1447" s="4" t="str" cm="1">
        <f t="array" ref="I1447">IF(NOT(ISBLANK(A1447)),((_xlfn.XLOOKUP(1,(_bbt3[[#All],[ID]]=A1447)*(_bbt3[[#All],[METRIC_NAME]]="YLD_YTM_ASK"),_bbt3[[#All],[METRIC_VALUE]])*0.5)+(_xlfn.XLOOKUP(1,(_bbt3[[#All],[ID]]=A1447)*(_bbt3[[#All],[METRIC_NAME]]="YLD_YTM_BID"),_bbt3[[#All],[METRIC_VALUE]])*0.5))/100,"")</f>
        <v/>
      </c>
      <c r="J1447">
        <f>IF(ISNA(VLOOKUP(A1447,'CloseDL - PriceSaverBBT3'!A:E,5,0)),0,VLOOKUP(A1447,'CloseDL - PriceSaverBBT3'!A:E,5,0))</f>
        <v>0</v>
      </c>
      <c r="K1447" s="7" t="str">
        <f t="shared" si="210"/>
        <v/>
      </c>
      <c r="L1447" s="20">
        <f>IF(Close[[#This Row],[CreatedBy]]="MARINER\SilverAdm",1,0)</f>
        <v>1</v>
      </c>
      <c r="M1447" t="str">
        <f>IF(NOT(ISBLANK(A1447)),VLOOKUP(A1447,'Close - PriceSaver'!A:J,6,0),"")</f>
        <v/>
      </c>
      <c r="Q1447" t="e">
        <f t="shared" si="211"/>
        <v>#N/A</v>
      </c>
      <c r="T1447" s="15" t="e">
        <f t="shared" si="213"/>
        <v>#N/A</v>
      </c>
      <c r="U1447" s="18" t="e">
        <f t="shared" si="214"/>
        <v>#N/A</v>
      </c>
      <c r="V1447" s="14" t="e">
        <f t="shared" si="212"/>
        <v>#N/A</v>
      </c>
      <c r="W1447" s="19" t="e">
        <f t="shared" si="215"/>
        <v>#N/A</v>
      </c>
      <c r="X1447" t="e">
        <f>VLOOKUP(P1447,Close[[ID]:[CreatedBy]],8,0)</f>
        <v>#N/A</v>
      </c>
    </row>
    <row r="1448" spans="2:24" x14ac:dyDescent="0.35">
      <c r="B1448" t="str">
        <f>IF(NOT(ISBLANK(A1448)),VLOOKUP(A1448,'BBT3'!A:F,2,0),"")</f>
        <v/>
      </c>
      <c r="C1448" t="str">
        <f>IF(NOT(ISBLANK(A1448)),VLOOKUP(A1448,'BBT3'!A:F,3,0),"")</f>
        <v/>
      </c>
      <c r="D1448" s="5" t="str">
        <f>IF(NOT(ISBLANK(A1448)),VLOOKUP(A1448,'BBT3'!A:F,4,1),"")</f>
        <v/>
      </c>
      <c r="E1448" t="str">
        <f>IF(NOT(ISBLANK(A1448)),VLOOKUP(A1448,'BBT3'!A:F,5,0),"")</f>
        <v/>
      </c>
      <c r="F1448" t="str">
        <f>IF(NOT(ISBLANK(A1448)),VLOOKUP(A1448,'BBT3'!A:F,6,0),"")</f>
        <v/>
      </c>
      <c r="G1448" t="str">
        <f t="shared" si="209"/>
        <v/>
      </c>
      <c r="H1448" t="str">
        <f>IF(NOT(ISBLANK(A1448)),VLOOKUP(A1448,'Close - PriceSaver'!A:J,5,0),"")</f>
        <v/>
      </c>
      <c r="I1448" s="4" t="str" cm="1">
        <f t="array" ref="I1448">IF(NOT(ISBLANK(A1448)),((_xlfn.XLOOKUP(1,(_bbt3[[#All],[ID]]=A1448)*(_bbt3[[#All],[METRIC_NAME]]="YLD_YTM_ASK"),_bbt3[[#All],[METRIC_VALUE]])*0.5)+(_xlfn.XLOOKUP(1,(_bbt3[[#All],[ID]]=A1448)*(_bbt3[[#All],[METRIC_NAME]]="YLD_YTM_BID"),_bbt3[[#All],[METRIC_VALUE]])*0.5))/100,"")</f>
        <v/>
      </c>
      <c r="J1448">
        <f>IF(ISNA(VLOOKUP(A1448,'CloseDL - PriceSaverBBT3'!A:E,5,0)),0,VLOOKUP(A1448,'CloseDL - PriceSaverBBT3'!A:E,5,0))</f>
        <v>0</v>
      </c>
      <c r="K1448" s="7" t="str">
        <f t="shared" si="210"/>
        <v/>
      </c>
      <c r="L1448" s="20">
        <f>IF(Close[[#This Row],[CreatedBy]]="MARINER\SilverAdm",1,0)</f>
        <v>1</v>
      </c>
      <c r="M1448" t="str">
        <f>IF(NOT(ISBLANK(A1448)),VLOOKUP(A1448,'Close - PriceSaver'!A:J,6,0),"")</f>
        <v/>
      </c>
      <c r="Q1448" t="e">
        <f t="shared" si="211"/>
        <v>#N/A</v>
      </c>
      <c r="T1448" s="15" t="e">
        <f t="shared" si="213"/>
        <v>#N/A</v>
      </c>
      <c r="U1448" s="18" t="e">
        <f t="shared" si="214"/>
        <v>#N/A</v>
      </c>
      <c r="V1448" s="14" t="e">
        <f t="shared" si="212"/>
        <v>#N/A</v>
      </c>
      <c r="W1448" s="19" t="e">
        <f t="shared" si="215"/>
        <v>#N/A</v>
      </c>
      <c r="X1448" t="e">
        <f>VLOOKUP(P1448,Close[[ID]:[CreatedBy]],8,0)</f>
        <v>#N/A</v>
      </c>
    </row>
    <row r="1449" spans="2:24" x14ac:dyDescent="0.35">
      <c r="B1449" t="str">
        <f>IF(NOT(ISBLANK(A1449)),VLOOKUP(A1449,'BBT3'!A:F,2,0),"")</f>
        <v/>
      </c>
      <c r="C1449" t="str">
        <f>IF(NOT(ISBLANK(A1449)),VLOOKUP(A1449,'BBT3'!A:F,3,0),"")</f>
        <v/>
      </c>
      <c r="D1449" s="5" t="str">
        <f>IF(NOT(ISBLANK(A1449)),VLOOKUP(A1449,'BBT3'!A:F,4,1),"")</f>
        <v/>
      </c>
      <c r="E1449" t="str">
        <f>IF(NOT(ISBLANK(A1449)),VLOOKUP(A1449,'BBT3'!A:F,5,0),"")</f>
        <v/>
      </c>
      <c r="F1449" t="str">
        <f>IF(NOT(ISBLANK(A1449)),VLOOKUP(A1449,'BBT3'!A:F,6,0),"")</f>
        <v/>
      </c>
      <c r="G1449" t="str">
        <f t="shared" si="209"/>
        <v/>
      </c>
      <c r="H1449" t="str">
        <f>IF(NOT(ISBLANK(A1449)),VLOOKUP(A1449,'Close - PriceSaver'!A:J,5,0),"")</f>
        <v/>
      </c>
      <c r="I1449" s="4" t="str" cm="1">
        <f t="array" ref="I1449">IF(NOT(ISBLANK(A1449)),((_xlfn.XLOOKUP(1,(_bbt3[[#All],[ID]]=A1449)*(_bbt3[[#All],[METRIC_NAME]]="YLD_YTM_ASK"),_bbt3[[#All],[METRIC_VALUE]])*0.5)+(_xlfn.XLOOKUP(1,(_bbt3[[#All],[ID]]=A1449)*(_bbt3[[#All],[METRIC_NAME]]="YLD_YTM_BID"),_bbt3[[#All],[METRIC_VALUE]])*0.5))/100,"")</f>
        <v/>
      </c>
      <c r="J1449">
        <f>IF(ISNA(VLOOKUP(A1449,'CloseDL - PriceSaverBBT3'!A:E,5,0)),0,VLOOKUP(A1449,'CloseDL - PriceSaverBBT3'!A:E,5,0))</f>
        <v>0</v>
      </c>
      <c r="K1449" s="7" t="str">
        <f t="shared" si="210"/>
        <v/>
      </c>
      <c r="L1449" s="20">
        <f>IF(Close[[#This Row],[CreatedBy]]="MARINER\SilverAdm",1,0)</f>
        <v>1</v>
      </c>
      <c r="M1449" t="str">
        <f>IF(NOT(ISBLANK(A1449)),VLOOKUP(A1449,'Close - PriceSaver'!A:J,6,0),"")</f>
        <v/>
      </c>
      <c r="Q1449" t="e">
        <f t="shared" si="211"/>
        <v>#N/A</v>
      </c>
      <c r="T1449" s="15" t="e">
        <f t="shared" si="213"/>
        <v>#N/A</v>
      </c>
      <c r="U1449" s="18" t="e">
        <f t="shared" si="214"/>
        <v>#N/A</v>
      </c>
      <c r="V1449" s="14" t="e">
        <f t="shared" si="212"/>
        <v>#N/A</v>
      </c>
      <c r="W1449" s="19" t="e">
        <f t="shared" si="215"/>
        <v>#N/A</v>
      </c>
      <c r="X1449" t="e">
        <f>VLOOKUP(P1449,Close[[ID]:[CreatedBy]],8,0)</f>
        <v>#N/A</v>
      </c>
    </row>
    <row r="1450" spans="2:24" x14ac:dyDescent="0.35">
      <c r="B1450" t="str">
        <f>IF(NOT(ISBLANK(A1450)),VLOOKUP(A1450,'BBT3'!A:F,2,0),"")</f>
        <v/>
      </c>
      <c r="C1450" t="str">
        <f>IF(NOT(ISBLANK(A1450)),VLOOKUP(A1450,'BBT3'!A:F,3,0),"")</f>
        <v/>
      </c>
      <c r="D1450" s="5" t="str">
        <f>IF(NOT(ISBLANK(A1450)),VLOOKUP(A1450,'BBT3'!A:F,4,1),"")</f>
        <v/>
      </c>
      <c r="E1450" t="str">
        <f>IF(NOT(ISBLANK(A1450)),VLOOKUP(A1450,'BBT3'!A:F,5,0),"")</f>
        <v/>
      </c>
      <c r="F1450" t="str">
        <f>IF(NOT(ISBLANK(A1450)),VLOOKUP(A1450,'BBT3'!A:F,6,0),"")</f>
        <v/>
      </c>
      <c r="G1450" t="str">
        <f t="shared" si="209"/>
        <v/>
      </c>
      <c r="H1450" t="str">
        <f>IF(NOT(ISBLANK(A1450)),VLOOKUP(A1450,'Close - PriceSaver'!A:J,5,0),"")</f>
        <v/>
      </c>
      <c r="I1450" s="4" t="str" cm="1">
        <f t="array" ref="I1450">IF(NOT(ISBLANK(A1450)),((_xlfn.XLOOKUP(1,(_bbt3[[#All],[ID]]=A1450)*(_bbt3[[#All],[METRIC_NAME]]="YLD_YTM_ASK"),_bbt3[[#All],[METRIC_VALUE]])*0.5)+(_xlfn.XLOOKUP(1,(_bbt3[[#All],[ID]]=A1450)*(_bbt3[[#All],[METRIC_NAME]]="YLD_YTM_BID"),_bbt3[[#All],[METRIC_VALUE]])*0.5))/100,"")</f>
        <v/>
      </c>
      <c r="J1450">
        <f>IF(ISNA(VLOOKUP(A1450,'CloseDL - PriceSaverBBT3'!A:E,5,0)),0,VLOOKUP(A1450,'CloseDL - PriceSaverBBT3'!A:E,5,0))</f>
        <v>0</v>
      </c>
      <c r="K1450" s="7" t="str">
        <f t="shared" si="210"/>
        <v/>
      </c>
      <c r="L1450" s="20">
        <f>IF(Close[[#This Row],[CreatedBy]]="MARINER\SilverAdm",1,0)</f>
        <v>1</v>
      </c>
      <c r="M1450" t="str">
        <f>IF(NOT(ISBLANK(A1450)),VLOOKUP(A1450,'Close - PriceSaver'!A:J,6,0),"")</f>
        <v/>
      </c>
      <c r="Q1450" t="e">
        <f t="shared" si="211"/>
        <v>#N/A</v>
      </c>
      <c r="T1450" s="15" t="e">
        <f t="shared" si="213"/>
        <v>#N/A</v>
      </c>
      <c r="U1450" s="18" t="e">
        <f t="shared" si="214"/>
        <v>#N/A</v>
      </c>
      <c r="V1450" s="14" t="e">
        <f t="shared" si="212"/>
        <v>#N/A</v>
      </c>
      <c r="W1450" s="19" t="e">
        <f t="shared" si="215"/>
        <v>#N/A</v>
      </c>
      <c r="X1450" t="e">
        <f>VLOOKUP(P1450,Close[[ID]:[CreatedBy]],8,0)</f>
        <v>#N/A</v>
      </c>
    </row>
    <row r="1451" spans="2:24" x14ac:dyDescent="0.35">
      <c r="B1451" t="str">
        <f>IF(NOT(ISBLANK(A1451)),VLOOKUP(A1451,'BBT3'!A:F,2,0),"")</f>
        <v/>
      </c>
      <c r="C1451" t="str">
        <f>IF(NOT(ISBLANK(A1451)),VLOOKUP(A1451,'BBT3'!A:F,3,0),"")</f>
        <v/>
      </c>
      <c r="D1451" s="5" t="str">
        <f>IF(NOT(ISBLANK(A1451)),VLOOKUP(A1451,'BBT3'!A:F,4,1),"")</f>
        <v/>
      </c>
      <c r="E1451" t="str">
        <f>IF(NOT(ISBLANK(A1451)),VLOOKUP(A1451,'BBT3'!A:F,5,0),"")</f>
        <v/>
      </c>
      <c r="F1451" t="str">
        <f>IF(NOT(ISBLANK(A1451)),VLOOKUP(A1451,'BBT3'!A:F,6,0),"")</f>
        <v/>
      </c>
      <c r="G1451" t="str">
        <f t="shared" si="209"/>
        <v/>
      </c>
      <c r="H1451" t="str">
        <f>IF(NOT(ISBLANK(A1451)),VLOOKUP(A1451,'Close - PriceSaver'!A:J,5,0),"")</f>
        <v/>
      </c>
      <c r="I1451" s="4" t="str" cm="1">
        <f t="array" ref="I1451">IF(NOT(ISBLANK(A1451)),((_xlfn.XLOOKUP(1,(_bbt3[[#All],[ID]]=A1451)*(_bbt3[[#All],[METRIC_NAME]]="YLD_YTM_ASK"),_bbt3[[#All],[METRIC_VALUE]])*0.5)+(_xlfn.XLOOKUP(1,(_bbt3[[#All],[ID]]=A1451)*(_bbt3[[#All],[METRIC_NAME]]="YLD_YTM_BID"),_bbt3[[#All],[METRIC_VALUE]])*0.5))/100,"")</f>
        <v/>
      </c>
      <c r="J1451">
        <f>IF(ISNA(VLOOKUP(A1451,'CloseDL - PriceSaverBBT3'!A:E,5,0)),0,VLOOKUP(A1451,'CloseDL - PriceSaverBBT3'!A:E,5,0))</f>
        <v>0</v>
      </c>
      <c r="K1451" s="7" t="str">
        <f t="shared" si="210"/>
        <v/>
      </c>
      <c r="L1451" s="20">
        <f>IF(Close[[#This Row],[CreatedBy]]="MARINER\SilverAdm",1,0)</f>
        <v>1</v>
      </c>
      <c r="M1451" t="str">
        <f>IF(NOT(ISBLANK(A1451)),VLOOKUP(A1451,'Close - PriceSaver'!A:J,6,0),"")</f>
        <v/>
      </c>
      <c r="Q1451" t="e">
        <f t="shared" si="211"/>
        <v>#N/A</v>
      </c>
      <c r="T1451" s="15" t="e">
        <f t="shared" si="213"/>
        <v>#N/A</v>
      </c>
      <c r="U1451" s="18" t="e">
        <f t="shared" si="214"/>
        <v>#N/A</v>
      </c>
      <c r="V1451" s="14" t="e">
        <f t="shared" si="212"/>
        <v>#N/A</v>
      </c>
      <c r="W1451" s="19" t="e">
        <f t="shared" si="215"/>
        <v>#N/A</v>
      </c>
      <c r="X1451" t="e">
        <f>VLOOKUP(P1451,Close[[ID]:[CreatedBy]],8,0)</f>
        <v>#N/A</v>
      </c>
    </row>
    <row r="1452" spans="2:24" x14ac:dyDescent="0.35">
      <c r="B1452" t="str">
        <f>IF(NOT(ISBLANK(A1452)),VLOOKUP(A1452,'BBT3'!A:F,2,0),"")</f>
        <v/>
      </c>
      <c r="C1452" t="str">
        <f>IF(NOT(ISBLANK(A1452)),VLOOKUP(A1452,'BBT3'!A:F,3,0),"")</f>
        <v/>
      </c>
      <c r="D1452" s="5" t="str">
        <f>IF(NOT(ISBLANK(A1452)),VLOOKUP(A1452,'BBT3'!A:F,4,1),"")</f>
        <v/>
      </c>
      <c r="E1452" t="str">
        <f>IF(NOT(ISBLANK(A1452)),VLOOKUP(A1452,'BBT3'!A:F,5,0),"")</f>
        <v/>
      </c>
      <c r="F1452" t="str">
        <f>IF(NOT(ISBLANK(A1452)),VLOOKUP(A1452,'BBT3'!A:F,6,0),"")</f>
        <v/>
      </c>
      <c r="G1452" t="str">
        <f t="shared" si="209"/>
        <v/>
      </c>
      <c r="H1452" t="str">
        <f>IF(NOT(ISBLANK(A1452)),VLOOKUP(A1452,'Close - PriceSaver'!A:J,5,0),"")</f>
        <v/>
      </c>
      <c r="I1452" s="4" t="str" cm="1">
        <f t="array" ref="I1452">IF(NOT(ISBLANK(A1452)),((_xlfn.XLOOKUP(1,(_bbt3[[#All],[ID]]=A1452)*(_bbt3[[#All],[METRIC_NAME]]="YLD_YTM_ASK"),_bbt3[[#All],[METRIC_VALUE]])*0.5)+(_xlfn.XLOOKUP(1,(_bbt3[[#All],[ID]]=A1452)*(_bbt3[[#All],[METRIC_NAME]]="YLD_YTM_BID"),_bbt3[[#All],[METRIC_VALUE]])*0.5))/100,"")</f>
        <v/>
      </c>
      <c r="J1452">
        <f>IF(ISNA(VLOOKUP(A1452,'CloseDL - PriceSaverBBT3'!A:E,5,0)),0,VLOOKUP(A1452,'CloseDL - PriceSaverBBT3'!A:E,5,0))</f>
        <v>0</v>
      </c>
      <c r="K1452" s="7" t="str">
        <f t="shared" si="210"/>
        <v/>
      </c>
      <c r="L1452" s="20">
        <f>IF(Close[[#This Row],[CreatedBy]]="MARINER\SilverAdm",1,0)</f>
        <v>1</v>
      </c>
      <c r="M1452" t="str">
        <f>IF(NOT(ISBLANK(A1452)),VLOOKUP(A1452,'Close - PriceSaver'!A:J,6,0),"")</f>
        <v/>
      </c>
      <c r="Q1452" t="e">
        <f t="shared" si="211"/>
        <v>#N/A</v>
      </c>
      <c r="T1452" s="15" t="e">
        <f t="shared" si="213"/>
        <v>#N/A</v>
      </c>
      <c r="U1452" s="18" t="e">
        <f t="shared" si="214"/>
        <v>#N/A</v>
      </c>
      <c r="V1452" s="14" t="e">
        <f t="shared" si="212"/>
        <v>#N/A</v>
      </c>
      <c r="W1452" s="19" t="e">
        <f t="shared" si="215"/>
        <v>#N/A</v>
      </c>
      <c r="X1452" t="e">
        <f>VLOOKUP(P1452,Close[[ID]:[CreatedBy]],8,0)</f>
        <v>#N/A</v>
      </c>
    </row>
    <row r="1453" spans="2:24" x14ac:dyDescent="0.35">
      <c r="B1453" t="str">
        <f>IF(NOT(ISBLANK(A1453)),VLOOKUP(A1453,'BBT3'!A:F,2,0),"")</f>
        <v/>
      </c>
      <c r="C1453" t="str">
        <f>IF(NOT(ISBLANK(A1453)),VLOOKUP(A1453,'BBT3'!A:F,3,0),"")</f>
        <v/>
      </c>
      <c r="D1453" s="5" t="str">
        <f>IF(NOT(ISBLANK(A1453)),VLOOKUP(A1453,'BBT3'!A:F,4,1),"")</f>
        <v/>
      </c>
      <c r="E1453" t="str">
        <f>IF(NOT(ISBLANK(A1453)),VLOOKUP(A1453,'BBT3'!A:F,5,0),"")</f>
        <v/>
      </c>
      <c r="F1453" t="str">
        <f>IF(NOT(ISBLANK(A1453)),VLOOKUP(A1453,'BBT3'!A:F,6,0),"")</f>
        <v/>
      </c>
      <c r="G1453" t="str">
        <f t="shared" si="209"/>
        <v/>
      </c>
      <c r="H1453" t="str">
        <f>IF(NOT(ISBLANK(A1453)),VLOOKUP(A1453,'Close - PriceSaver'!A:J,5,0),"")</f>
        <v/>
      </c>
      <c r="I1453" s="4" t="str" cm="1">
        <f t="array" ref="I1453">IF(NOT(ISBLANK(A1453)),((_xlfn.XLOOKUP(1,(_bbt3[[#All],[ID]]=A1453)*(_bbt3[[#All],[METRIC_NAME]]="YLD_YTM_ASK"),_bbt3[[#All],[METRIC_VALUE]])*0.5)+(_xlfn.XLOOKUP(1,(_bbt3[[#All],[ID]]=A1453)*(_bbt3[[#All],[METRIC_NAME]]="YLD_YTM_BID"),_bbt3[[#All],[METRIC_VALUE]])*0.5))/100,"")</f>
        <v/>
      </c>
      <c r="J1453">
        <f>IF(ISNA(VLOOKUP(A1453,'CloseDL - PriceSaverBBT3'!A:E,5,0)),0,VLOOKUP(A1453,'CloseDL - PriceSaverBBT3'!A:E,5,0))</f>
        <v>0</v>
      </c>
      <c r="K1453" s="7" t="str">
        <f t="shared" si="210"/>
        <v/>
      </c>
      <c r="L1453" s="20">
        <f>IF(Close[[#This Row],[CreatedBy]]="MARINER\SilverAdm",1,0)</f>
        <v>1</v>
      </c>
      <c r="M1453" t="str">
        <f>IF(NOT(ISBLANK(A1453)),VLOOKUP(A1453,'Close - PriceSaver'!A:J,6,0),"")</f>
        <v/>
      </c>
      <c r="Q1453" t="e">
        <f t="shared" si="211"/>
        <v>#N/A</v>
      </c>
      <c r="U1453" s="18" t="e">
        <f t="shared" si="214"/>
        <v>#N/A</v>
      </c>
      <c r="V1453" s="14" t="e">
        <f t="shared" si="212"/>
        <v>#N/A</v>
      </c>
      <c r="W1453" s="19" t="e">
        <f t="shared" si="215"/>
        <v>#N/A</v>
      </c>
      <c r="X1453" t="e">
        <f>VLOOKUP(P1453,Close[[ID]:[CreatedBy]],8,0)</f>
        <v>#N/A</v>
      </c>
    </row>
    <row r="1454" spans="2:24" x14ac:dyDescent="0.35">
      <c r="B1454" t="str">
        <f>IF(NOT(ISBLANK(A1454)),VLOOKUP(A1454,'BBT3'!A:F,2,0),"")</f>
        <v/>
      </c>
      <c r="C1454" t="str">
        <f>IF(NOT(ISBLANK(A1454)),VLOOKUP(A1454,'BBT3'!A:F,3,0),"")</f>
        <v/>
      </c>
      <c r="D1454" s="5" t="str">
        <f>IF(NOT(ISBLANK(A1454)),VLOOKUP(A1454,'BBT3'!A:F,4,1),"")</f>
        <v/>
      </c>
      <c r="E1454" t="str">
        <f>IF(NOT(ISBLANK(A1454)),VLOOKUP(A1454,'BBT3'!A:F,5,0),"")</f>
        <v/>
      </c>
      <c r="F1454" t="str">
        <f>IF(NOT(ISBLANK(A1454)),VLOOKUP(A1454,'BBT3'!A:F,6,0),"")</f>
        <v/>
      </c>
      <c r="G1454" t="str">
        <f t="shared" si="209"/>
        <v/>
      </c>
      <c r="H1454" t="str">
        <f>IF(NOT(ISBLANK(A1454)),VLOOKUP(A1454,'Close - PriceSaver'!A:J,5,0),"")</f>
        <v/>
      </c>
      <c r="I1454" s="4" t="str" cm="1">
        <f t="array" ref="I1454">IF(NOT(ISBLANK(A1454)),((_xlfn.XLOOKUP(1,(_bbt3[[#All],[ID]]=A1454)*(_bbt3[[#All],[METRIC_NAME]]="YLD_YTM_ASK"),_bbt3[[#All],[METRIC_VALUE]])*0.5)+(_xlfn.XLOOKUP(1,(_bbt3[[#All],[ID]]=A1454)*(_bbt3[[#All],[METRIC_NAME]]="YLD_YTM_BID"),_bbt3[[#All],[METRIC_VALUE]])*0.5))/100,"")</f>
        <v/>
      </c>
      <c r="J1454">
        <f>IF(ISNA(VLOOKUP(A1454,'CloseDL - PriceSaverBBT3'!A:E,5,0)),0,VLOOKUP(A1454,'CloseDL - PriceSaverBBT3'!A:E,5,0))</f>
        <v>0</v>
      </c>
      <c r="K1454" s="7" t="str">
        <f t="shared" si="210"/>
        <v/>
      </c>
      <c r="L1454" s="20">
        <f>IF(Close[[#This Row],[CreatedBy]]="MARINER\SilverAdm",1,0)</f>
        <v>1</v>
      </c>
      <c r="M1454" t="str">
        <f>IF(NOT(ISBLANK(A1454)),VLOOKUP(A1454,'Close - PriceSaver'!A:J,6,0),"")</f>
        <v/>
      </c>
      <c r="Q1454" t="e">
        <f t="shared" si="211"/>
        <v>#N/A</v>
      </c>
      <c r="U1454" s="18" t="e">
        <f t="shared" si="214"/>
        <v>#N/A</v>
      </c>
      <c r="V1454" s="14" t="e">
        <f t="shared" si="212"/>
        <v>#N/A</v>
      </c>
      <c r="W1454" s="19" t="e">
        <f t="shared" si="215"/>
        <v>#N/A</v>
      </c>
      <c r="X1454" t="e">
        <f>VLOOKUP(P1454,Close[[ID]:[CreatedBy]],8,0)</f>
        <v>#N/A</v>
      </c>
    </row>
    <row r="1455" spans="2:24" x14ac:dyDescent="0.35">
      <c r="B1455" t="str">
        <f>IF(NOT(ISBLANK(A1455)),VLOOKUP(A1455,'BBT3'!A:F,2,0),"")</f>
        <v/>
      </c>
      <c r="C1455" t="str">
        <f>IF(NOT(ISBLANK(A1455)),VLOOKUP(A1455,'BBT3'!A:F,3,0),"")</f>
        <v/>
      </c>
      <c r="D1455" s="5" t="str">
        <f>IF(NOT(ISBLANK(A1455)),VLOOKUP(A1455,'BBT3'!A:F,4,1),"")</f>
        <v/>
      </c>
      <c r="E1455" t="str">
        <f>IF(NOT(ISBLANK(A1455)),VLOOKUP(A1455,'BBT3'!A:F,5,0),"")</f>
        <v/>
      </c>
      <c r="F1455" t="str">
        <f>IF(NOT(ISBLANK(A1455)),VLOOKUP(A1455,'BBT3'!A:F,6,0),"")</f>
        <v/>
      </c>
      <c r="G1455" t="str">
        <f t="shared" si="209"/>
        <v/>
      </c>
      <c r="H1455" t="str">
        <f>IF(NOT(ISBLANK(A1455)),VLOOKUP(A1455,'Close - PriceSaver'!A:J,5,0),"")</f>
        <v/>
      </c>
      <c r="I1455" s="4" t="str" cm="1">
        <f t="array" ref="I1455">IF(NOT(ISBLANK(A1455)),((_xlfn.XLOOKUP(1,(_bbt3[[#All],[ID]]=A1455)*(_bbt3[[#All],[METRIC_NAME]]="YLD_YTM_ASK"),_bbt3[[#All],[METRIC_VALUE]])*0.5)+(_xlfn.XLOOKUP(1,(_bbt3[[#All],[ID]]=A1455)*(_bbt3[[#All],[METRIC_NAME]]="YLD_YTM_BID"),_bbt3[[#All],[METRIC_VALUE]])*0.5))/100,"")</f>
        <v/>
      </c>
      <c r="J1455">
        <f>IF(ISNA(VLOOKUP(A1455,'CloseDL - PriceSaverBBT3'!A:E,5,0)),0,VLOOKUP(A1455,'CloseDL - PriceSaverBBT3'!A:E,5,0))</f>
        <v>0</v>
      </c>
      <c r="K1455" s="7" t="str">
        <f t="shared" si="210"/>
        <v/>
      </c>
      <c r="L1455" s="20">
        <f>IF(Close[[#This Row],[CreatedBy]]="MARINER\SilverAdm",1,0)</f>
        <v>1</v>
      </c>
      <c r="M1455" t="str">
        <f>IF(NOT(ISBLANK(A1455)),VLOOKUP(A1455,'Close - PriceSaver'!A:J,6,0),"")</f>
        <v/>
      </c>
      <c r="Q1455" t="e">
        <f t="shared" si="211"/>
        <v>#N/A</v>
      </c>
      <c r="U1455" s="18" t="e">
        <f t="shared" si="214"/>
        <v>#N/A</v>
      </c>
      <c r="V1455" s="14" t="e">
        <f t="shared" si="212"/>
        <v>#N/A</v>
      </c>
      <c r="W1455" s="19" t="e">
        <f t="shared" si="215"/>
        <v>#N/A</v>
      </c>
      <c r="X1455" t="e">
        <f>VLOOKUP(P1455,Close[[ID]:[CreatedBy]],8,0)</f>
        <v>#N/A</v>
      </c>
    </row>
    <row r="1456" spans="2:24" x14ac:dyDescent="0.35">
      <c r="B1456" t="str">
        <f>IF(NOT(ISBLANK(A1456)),VLOOKUP(A1456,'BBT3'!A:F,2,0),"")</f>
        <v/>
      </c>
      <c r="C1456" t="str">
        <f>IF(NOT(ISBLANK(A1456)),VLOOKUP(A1456,'BBT3'!A:F,3,0),"")</f>
        <v/>
      </c>
      <c r="D1456" s="5" t="str">
        <f>IF(NOT(ISBLANK(A1456)),VLOOKUP(A1456,'BBT3'!A:F,4,1),"")</f>
        <v/>
      </c>
      <c r="E1456" t="str">
        <f>IF(NOT(ISBLANK(A1456)),VLOOKUP(A1456,'BBT3'!A:F,5,0),"")</f>
        <v/>
      </c>
      <c r="F1456" t="str">
        <f>IF(NOT(ISBLANK(A1456)),VLOOKUP(A1456,'BBT3'!A:F,6,0),"")</f>
        <v/>
      </c>
      <c r="G1456" t="str">
        <f t="shared" si="209"/>
        <v/>
      </c>
      <c r="H1456" t="str">
        <f>IF(NOT(ISBLANK(A1456)),VLOOKUP(A1456,'Close - PriceSaver'!A:J,5,0),"")</f>
        <v/>
      </c>
      <c r="I1456" s="4" t="str" cm="1">
        <f t="array" ref="I1456">IF(NOT(ISBLANK(A1456)),((_xlfn.XLOOKUP(1,(_bbt3[[#All],[ID]]=A1456)*(_bbt3[[#All],[METRIC_NAME]]="YLD_YTM_ASK"),_bbt3[[#All],[METRIC_VALUE]])*0.5)+(_xlfn.XLOOKUP(1,(_bbt3[[#All],[ID]]=A1456)*(_bbt3[[#All],[METRIC_NAME]]="YLD_YTM_BID"),_bbt3[[#All],[METRIC_VALUE]])*0.5))/100,"")</f>
        <v/>
      </c>
      <c r="J1456">
        <f>IF(ISNA(VLOOKUP(A1456,'CloseDL - PriceSaverBBT3'!A:E,5,0)),0,VLOOKUP(A1456,'CloseDL - PriceSaverBBT3'!A:E,5,0))</f>
        <v>0</v>
      </c>
      <c r="K1456" s="7" t="str">
        <f t="shared" si="210"/>
        <v/>
      </c>
      <c r="L1456" s="20">
        <f>IF(Close[[#This Row],[CreatedBy]]="MARINER\SilverAdm",1,0)</f>
        <v>1</v>
      </c>
      <c r="M1456" t="str">
        <f>IF(NOT(ISBLANK(A1456)),VLOOKUP(A1456,'Close - PriceSaver'!A:J,6,0),"")</f>
        <v/>
      </c>
      <c r="Q1456" t="e">
        <f t="shared" si="211"/>
        <v>#N/A</v>
      </c>
      <c r="U1456" s="18" t="e">
        <f t="shared" si="214"/>
        <v>#N/A</v>
      </c>
      <c r="V1456" s="14" t="e">
        <f t="shared" si="212"/>
        <v>#N/A</v>
      </c>
      <c r="W1456" s="19" t="e">
        <f t="shared" si="215"/>
        <v>#N/A</v>
      </c>
      <c r="X1456" t="e">
        <f>VLOOKUP(P1456,Close[[ID]:[CreatedBy]],8,0)</f>
        <v>#N/A</v>
      </c>
    </row>
    <row r="1457" spans="2:24" x14ac:dyDescent="0.35">
      <c r="B1457" t="str">
        <f>IF(NOT(ISBLANK(A1457)),VLOOKUP(A1457,'BBT3'!A:F,2,0),"")</f>
        <v/>
      </c>
      <c r="C1457" t="str">
        <f>IF(NOT(ISBLANK(A1457)),VLOOKUP(A1457,'BBT3'!A:F,3,0),"")</f>
        <v/>
      </c>
      <c r="D1457" s="5" t="str">
        <f>IF(NOT(ISBLANK(A1457)),VLOOKUP(A1457,'BBT3'!A:F,4,1),"")</f>
        <v/>
      </c>
      <c r="E1457" t="str">
        <f>IF(NOT(ISBLANK(A1457)),VLOOKUP(A1457,'BBT3'!A:F,5,0),"")</f>
        <v/>
      </c>
      <c r="F1457" t="str">
        <f>IF(NOT(ISBLANK(A1457)),VLOOKUP(A1457,'BBT3'!A:F,6,0),"")</f>
        <v/>
      </c>
      <c r="G1457" t="str">
        <f t="shared" si="209"/>
        <v/>
      </c>
      <c r="H1457" t="str">
        <f>IF(NOT(ISBLANK(A1457)),VLOOKUP(A1457,'Close - PriceSaver'!A:J,5,0),"")</f>
        <v/>
      </c>
      <c r="I1457" s="4" t="str" cm="1">
        <f t="array" ref="I1457">IF(NOT(ISBLANK(A1457)),((_xlfn.XLOOKUP(1,(_bbt3[[#All],[ID]]=A1457)*(_bbt3[[#All],[METRIC_NAME]]="YLD_YTM_ASK"),_bbt3[[#All],[METRIC_VALUE]])*0.5)+(_xlfn.XLOOKUP(1,(_bbt3[[#All],[ID]]=A1457)*(_bbt3[[#All],[METRIC_NAME]]="YLD_YTM_BID"),_bbt3[[#All],[METRIC_VALUE]])*0.5))/100,"")</f>
        <v/>
      </c>
      <c r="J1457">
        <f>IF(ISNA(VLOOKUP(A1457,'CloseDL - PriceSaverBBT3'!A:E,5,0)),0,VLOOKUP(A1457,'CloseDL - PriceSaverBBT3'!A:E,5,0))</f>
        <v>0</v>
      </c>
      <c r="K1457" s="7" t="str">
        <f t="shared" si="210"/>
        <v/>
      </c>
      <c r="L1457" s="20">
        <f>IF(Close[[#This Row],[CreatedBy]]="MARINER\SilverAdm",1,0)</f>
        <v>1</v>
      </c>
      <c r="M1457" t="str">
        <f>IF(NOT(ISBLANK(A1457)),VLOOKUP(A1457,'Close - PriceSaver'!A:J,6,0),"")</f>
        <v/>
      </c>
      <c r="Q1457" t="e">
        <f t="shared" si="211"/>
        <v>#N/A</v>
      </c>
      <c r="U1457" s="18" t="e">
        <f t="shared" si="214"/>
        <v>#N/A</v>
      </c>
      <c r="V1457" s="14" t="e">
        <f t="shared" si="212"/>
        <v>#N/A</v>
      </c>
      <c r="W1457" s="19" t="e">
        <f t="shared" si="215"/>
        <v>#N/A</v>
      </c>
      <c r="X1457" t="e">
        <f>VLOOKUP(P1457,Close[[ID]:[CreatedBy]],8,0)</f>
        <v>#N/A</v>
      </c>
    </row>
    <row r="1458" spans="2:24" x14ac:dyDescent="0.35">
      <c r="B1458" t="str">
        <f>IF(NOT(ISBLANK(A1458)),VLOOKUP(A1458,'BBT3'!A:F,2,0),"")</f>
        <v/>
      </c>
      <c r="C1458" t="str">
        <f>IF(NOT(ISBLANK(A1458)),VLOOKUP(A1458,'BBT3'!A:F,3,0),"")</f>
        <v/>
      </c>
      <c r="D1458" s="5" t="str">
        <f>IF(NOT(ISBLANK(A1458)),VLOOKUP(A1458,'BBT3'!A:F,4,1),"")</f>
        <v/>
      </c>
      <c r="E1458" t="str">
        <f>IF(NOT(ISBLANK(A1458)),VLOOKUP(A1458,'BBT3'!A:F,5,0),"")</f>
        <v/>
      </c>
      <c r="F1458" t="str">
        <f>IF(NOT(ISBLANK(A1458)),VLOOKUP(A1458,'BBT3'!A:F,6,0),"")</f>
        <v/>
      </c>
      <c r="G1458" t="str">
        <f t="shared" si="209"/>
        <v/>
      </c>
      <c r="H1458" t="str">
        <f>IF(NOT(ISBLANK(A1458)),VLOOKUP(A1458,'Close - PriceSaver'!A:J,5,0),"")</f>
        <v/>
      </c>
      <c r="I1458" s="4" t="str" cm="1">
        <f t="array" ref="I1458">IF(NOT(ISBLANK(A1458)),((_xlfn.XLOOKUP(1,(_bbt3[[#All],[ID]]=A1458)*(_bbt3[[#All],[METRIC_NAME]]="YLD_YTM_ASK"),_bbt3[[#All],[METRIC_VALUE]])*0.5)+(_xlfn.XLOOKUP(1,(_bbt3[[#All],[ID]]=A1458)*(_bbt3[[#All],[METRIC_NAME]]="YLD_YTM_BID"),_bbt3[[#All],[METRIC_VALUE]])*0.5))/100,"")</f>
        <v/>
      </c>
      <c r="J1458">
        <f>IF(ISNA(VLOOKUP(A1458,'CloseDL - PriceSaverBBT3'!A:E,5,0)),0,VLOOKUP(A1458,'CloseDL - PriceSaverBBT3'!A:E,5,0))</f>
        <v>0</v>
      </c>
      <c r="K1458" s="7" t="str">
        <f t="shared" si="210"/>
        <v/>
      </c>
      <c r="L1458" s="20">
        <f>IF(Close[[#This Row],[CreatedBy]]="MARINER\SilverAdm",1,0)</f>
        <v>1</v>
      </c>
      <c r="M1458" t="str">
        <f>IF(NOT(ISBLANK(A1458)),VLOOKUP(A1458,'Close - PriceSaver'!A:J,6,0),"")</f>
        <v/>
      </c>
      <c r="Q1458" t="e">
        <f t="shared" si="211"/>
        <v>#N/A</v>
      </c>
      <c r="U1458" s="18" t="e">
        <f t="shared" si="214"/>
        <v>#N/A</v>
      </c>
      <c r="V1458" s="14" t="e">
        <f t="shared" si="212"/>
        <v>#N/A</v>
      </c>
      <c r="W1458" s="19" t="e">
        <f t="shared" si="215"/>
        <v>#N/A</v>
      </c>
      <c r="X1458" t="e">
        <f>VLOOKUP(P1458,Close[[ID]:[CreatedBy]],8,0)</f>
        <v>#N/A</v>
      </c>
    </row>
    <row r="1459" spans="2:24" x14ac:dyDescent="0.35">
      <c r="B1459" t="str">
        <f>IF(NOT(ISBLANK(A1459)),VLOOKUP(A1459,'BBT3'!A:F,2,0),"")</f>
        <v/>
      </c>
      <c r="C1459" t="str">
        <f>IF(NOT(ISBLANK(A1459)),VLOOKUP(A1459,'BBT3'!A:F,3,0),"")</f>
        <v/>
      </c>
      <c r="D1459" s="5" t="str">
        <f>IF(NOT(ISBLANK(A1459)),VLOOKUP(A1459,'BBT3'!A:F,4,1),"")</f>
        <v/>
      </c>
      <c r="E1459" t="str">
        <f>IF(NOT(ISBLANK(A1459)),VLOOKUP(A1459,'BBT3'!A:F,5,0),"")</f>
        <v/>
      </c>
      <c r="F1459" t="str">
        <f>IF(NOT(ISBLANK(A1459)),VLOOKUP(A1459,'BBT3'!A:F,6,0),"")</f>
        <v/>
      </c>
      <c r="G1459" t="str">
        <f t="shared" si="209"/>
        <v/>
      </c>
      <c r="H1459" t="str">
        <f>IF(NOT(ISBLANK(A1459)),VLOOKUP(A1459,'Close - PriceSaver'!A:J,5,0),"")</f>
        <v/>
      </c>
      <c r="I1459" s="4" t="str" cm="1">
        <f t="array" ref="I1459">IF(NOT(ISBLANK(A1459)),((_xlfn.XLOOKUP(1,(_bbt3[[#All],[ID]]=A1459)*(_bbt3[[#All],[METRIC_NAME]]="YLD_YTM_ASK"),_bbt3[[#All],[METRIC_VALUE]])*0.5)+(_xlfn.XLOOKUP(1,(_bbt3[[#All],[ID]]=A1459)*(_bbt3[[#All],[METRIC_NAME]]="YLD_YTM_BID"),_bbt3[[#All],[METRIC_VALUE]])*0.5))/100,"")</f>
        <v/>
      </c>
      <c r="J1459">
        <f>IF(ISNA(VLOOKUP(A1459,'CloseDL - PriceSaverBBT3'!A:E,5,0)),0,VLOOKUP(A1459,'CloseDL - PriceSaverBBT3'!A:E,5,0))</f>
        <v>0</v>
      </c>
      <c r="K1459" s="7" t="str">
        <f t="shared" si="210"/>
        <v/>
      </c>
      <c r="L1459" s="20">
        <f>IF(Close[[#This Row],[CreatedBy]]="MARINER\SilverAdm",1,0)</f>
        <v>1</v>
      </c>
      <c r="M1459" t="str">
        <f>IF(NOT(ISBLANK(A1459)),VLOOKUP(A1459,'Close - PriceSaver'!A:J,6,0),"")</f>
        <v/>
      </c>
    </row>
    <row r="1460" spans="2:24" x14ac:dyDescent="0.35">
      <c r="B1460" t="str">
        <f>IF(NOT(ISBLANK(A1460)),VLOOKUP(A1460,'BBT3'!A:F,2,0),"")</f>
        <v/>
      </c>
      <c r="C1460" t="str">
        <f>IF(NOT(ISBLANK(A1460)),VLOOKUP(A1460,'BBT3'!A:F,3,0),"")</f>
        <v/>
      </c>
      <c r="D1460" s="5" t="str">
        <f>IF(NOT(ISBLANK(A1460)),VLOOKUP(A1460,'BBT3'!A:F,4,1),"")</f>
        <v/>
      </c>
      <c r="E1460" t="str">
        <f>IF(NOT(ISBLANK(A1460)),VLOOKUP(A1460,'BBT3'!A:F,5,0),"")</f>
        <v/>
      </c>
      <c r="F1460" t="str">
        <f>IF(NOT(ISBLANK(A1460)),VLOOKUP(A1460,'BBT3'!A:F,6,0),"")</f>
        <v/>
      </c>
      <c r="G1460" t="str">
        <f t="shared" si="209"/>
        <v/>
      </c>
      <c r="H1460" t="str">
        <f>IF(NOT(ISBLANK(A1460)),VLOOKUP(A1460,'Close - PriceSaver'!A:J,5,0),"")</f>
        <v/>
      </c>
      <c r="I1460" s="4" t="str" cm="1">
        <f t="array" ref="I1460">IF(NOT(ISBLANK(A1460)),((_xlfn.XLOOKUP(1,(_bbt3[[#All],[ID]]=A1460)*(_bbt3[[#All],[METRIC_NAME]]="YLD_YTM_ASK"),_bbt3[[#All],[METRIC_VALUE]])*0.5)+(_xlfn.XLOOKUP(1,(_bbt3[[#All],[ID]]=A1460)*(_bbt3[[#All],[METRIC_NAME]]="YLD_YTM_BID"),_bbt3[[#All],[METRIC_VALUE]])*0.5))/100,"")</f>
        <v/>
      </c>
      <c r="J1460">
        <f>IF(ISNA(VLOOKUP(A1460,'CloseDL - PriceSaverBBT3'!A:E,5,0)),0,VLOOKUP(A1460,'CloseDL - PriceSaverBBT3'!A:E,5,0))</f>
        <v>0</v>
      </c>
      <c r="K1460" s="7" t="str">
        <f t="shared" si="210"/>
        <v/>
      </c>
      <c r="L1460" s="20">
        <f>IF(Close[[#This Row],[CreatedBy]]="MARINER\SilverAdm",1,0)</f>
        <v>1</v>
      </c>
      <c r="M1460" t="str">
        <f>IF(NOT(ISBLANK(A1460)),VLOOKUP(A1460,'Close - PriceSaver'!A:J,6,0),"")</f>
        <v/>
      </c>
    </row>
    <row r="1461" spans="2:24" x14ac:dyDescent="0.35">
      <c r="B1461" t="str">
        <f>IF(NOT(ISBLANK(A1461)),VLOOKUP(A1461,'BBT3'!A:F,2,0),"")</f>
        <v/>
      </c>
      <c r="C1461" t="str">
        <f>IF(NOT(ISBLANK(A1461)),VLOOKUP(A1461,'BBT3'!A:F,3,0),"")</f>
        <v/>
      </c>
      <c r="D1461" s="5" t="str">
        <f>IF(NOT(ISBLANK(A1461)),VLOOKUP(A1461,'BBT3'!A:F,4,1),"")</f>
        <v/>
      </c>
      <c r="E1461" t="str">
        <f>IF(NOT(ISBLANK(A1461)),VLOOKUP(A1461,'BBT3'!A:F,5,0),"")</f>
        <v/>
      </c>
      <c r="F1461" t="str">
        <f>IF(NOT(ISBLANK(A1461)),VLOOKUP(A1461,'BBT3'!A:F,6,0),"")</f>
        <v/>
      </c>
      <c r="G1461" t="str">
        <f t="shared" si="209"/>
        <v/>
      </c>
      <c r="H1461" t="str">
        <f>IF(NOT(ISBLANK(A1461)),VLOOKUP(A1461,'Close - PriceSaver'!A:J,5,0),"")</f>
        <v/>
      </c>
      <c r="I1461" s="4" t="str" cm="1">
        <f t="array" ref="I1461">IF(NOT(ISBLANK(A1461)),((_xlfn.XLOOKUP(1,(_bbt3[[#All],[ID]]=A1461)*(_bbt3[[#All],[METRIC_NAME]]="YLD_YTM_ASK"),_bbt3[[#All],[METRIC_VALUE]])*0.5)+(_xlfn.XLOOKUP(1,(_bbt3[[#All],[ID]]=A1461)*(_bbt3[[#All],[METRIC_NAME]]="YLD_YTM_BID"),_bbt3[[#All],[METRIC_VALUE]])*0.5))/100,"")</f>
        <v/>
      </c>
      <c r="J1461">
        <f>IF(ISNA(VLOOKUP(A1461,'CloseDL - PriceSaverBBT3'!A:E,5,0)),0,VLOOKUP(A1461,'CloseDL - PriceSaverBBT3'!A:E,5,0))</f>
        <v>0</v>
      </c>
      <c r="K1461" s="7" t="str">
        <f t="shared" si="210"/>
        <v/>
      </c>
      <c r="L1461" s="20">
        <f>IF(Close[[#This Row],[CreatedBy]]="MARINER\SilverAdm",1,0)</f>
        <v>1</v>
      </c>
      <c r="M1461" t="str">
        <f>IF(NOT(ISBLANK(A1461)),VLOOKUP(A1461,'Close - PriceSaver'!A:J,6,0),"")</f>
        <v/>
      </c>
    </row>
    <row r="1462" spans="2:24" x14ac:dyDescent="0.35">
      <c r="B1462" t="str">
        <f>IF(NOT(ISBLANK(A1462)),VLOOKUP(A1462,'BBT3'!A:F,2,0),"")</f>
        <v/>
      </c>
      <c r="C1462" t="str">
        <f>IF(NOT(ISBLANK(A1462)),VLOOKUP(A1462,'BBT3'!A:F,3,0),"")</f>
        <v/>
      </c>
      <c r="D1462" s="5" t="str">
        <f>IF(NOT(ISBLANK(A1462)),VLOOKUP(A1462,'BBT3'!A:F,4,1),"")</f>
        <v/>
      </c>
      <c r="E1462" t="str">
        <f>IF(NOT(ISBLANK(A1462)),VLOOKUP(A1462,'BBT3'!A:F,5,0),"")</f>
        <v/>
      </c>
      <c r="F1462" t="str">
        <f>IF(NOT(ISBLANK(A1462)),VLOOKUP(A1462,'BBT3'!A:F,6,0),"")</f>
        <v/>
      </c>
      <c r="G1462" t="str">
        <f t="shared" si="209"/>
        <v/>
      </c>
      <c r="H1462" t="str">
        <f>IF(NOT(ISBLANK(A1462)),VLOOKUP(A1462,'Close - PriceSaver'!A:J,5,0),"")</f>
        <v/>
      </c>
      <c r="I1462" s="4" t="str" cm="1">
        <f t="array" ref="I1462">IF(NOT(ISBLANK(A1462)),((_xlfn.XLOOKUP(1,(_bbt3[[#All],[ID]]=A1462)*(_bbt3[[#All],[METRIC_NAME]]="YLD_YTM_ASK"),_bbt3[[#All],[METRIC_VALUE]])*0.5)+(_xlfn.XLOOKUP(1,(_bbt3[[#All],[ID]]=A1462)*(_bbt3[[#All],[METRIC_NAME]]="YLD_YTM_BID"),_bbt3[[#All],[METRIC_VALUE]])*0.5))/100,"")</f>
        <v/>
      </c>
      <c r="J1462">
        <f>IF(ISNA(VLOOKUP(A1462,'CloseDL - PriceSaverBBT3'!A:E,5,0)),0,VLOOKUP(A1462,'CloseDL - PriceSaverBBT3'!A:E,5,0))</f>
        <v>0</v>
      </c>
      <c r="K1462" s="7" t="str">
        <f t="shared" si="210"/>
        <v/>
      </c>
      <c r="L1462" s="20">
        <f>IF(Close[[#This Row],[CreatedBy]]="MARINER\SilverAdm",1,0)</f>
        <v>1</v>
      </c>
      <c r="M1462" t="str">
        <f>IF(NOT(ISBLANK(A1462)),VLOOKUP(A1462,'Close - PriceSaver'!A:J,6,0),"")</f>
        <v/>
      </c>
    </row>
    <row r="1463" spans="2:24" x14ac:dyDescent="0.35">
      <c r="B1463" t="str">
        <f>IF(NOT(ISBLANK(A1463)),VLOOKUP(A1463,'BBT3'!A:F,2,0),"")</f>
        <v/>
      </c>
      <c r="C1463" t="str">
        <f>IF(NOT(ISBLANK(A1463)),VLOOKUP(A1463,'BBT3'!A:F,3,0),"")</f>
        <v/>
      </c>
      <c r="D1463" s="5" t="str">
        <f>IF(NOT(ISBLANK(A1463)),VLOOKUP(A1463,'BBT3'!A:F,4,1),"")</f>
        <v/>
      </c>
      <c r="E1463" t="str">
        <f>IF(NOT(ISBLANK(A1463)),VLOOKUP(A1463,'BBT3'!A:F,5,0),"")</f>
        <v/>
      </c>
      <c r="F1463" t="str">
        <f>IF(NOT(ISBLANK(A1463)),VLOOKUP(A1463,'BBT3'!A:F,6,0),"")</f>
        <v/>
      </c>
      <c r="G1463" t="str">
        <f t="shared" si="209"/>
        <v/>
      </c>
      <c r="H1463" t="str">
        <f>IF(NOT(ISBLANK(A1463)),VLOOKUP(A1463,'Close - PriceSaver'!A:J,5,0),"")</f>
        <v/>
      </c>
      <c r="I1463" s="4" t="str" cm="1">
        <f t="array" ref="I1463">IF(NOT(ISBLANK(A1463)),((_xlfn.XLOOKUP(1,(_bbt3[[#All],[ID]]=A1463)*(_bbt3[[#All],[METRIC_NAME]]="YLD_YTM_ASK"),_bbt3[[#All],[METRIC_VALUE]])*0.5)+(_xlfn.XLOOKUP(1,(_bbt3[[#All],[ID]]=A1463)*(_bbt3[[#All],[METRIC_NAME]]="YLD_YTM_BID"),_bbt3[[#All],[METRIC_VALUE]])*0.5))/100,"")</f>
        <v/>
      </c>
      <c r="J1463">
        <f>IF(ISNA(VLOOKUP(A1463,'CloseDL - PriceSaverBBT3'!A:E,5,0)),0,VLOOKUP(A1463,'CloseDL - PriceSaverBBT3'!A:E,5,0))</f>
        <v>0</v>
      </c>
      <c r="K1463" s="7" t="str">
        <f t="shared" si="210"/>
        <v/>
      </c>
      <c r="L1463" s="20">
        <f>IF(Close[[#This Row],[CreatedBy]]="MARINER\SilverAdm",1,0)</f>
        <v>1</v>
      </c>
      <c r="M1463" t="str">
        <f>IF(NOT(ISBLANK(A1463)),VLOOKUP(A1463,'Close - PriceSaver'!A:J,6,0),"")</f>
        <v/>
      </c>
    </row>
    <row r="1464" spans="2:24" x14ac:dyDescent="0.35">
      <c r="B1464" t="str">
        <f>IF(NOT(ISBLANK(A1464)),VLOOKUP(A1464,'BBT3'!A:F,2,0),"")</f>
        <v/>
      </c>
      <c r="C1464" t="str">
        <f>IF(NOT(ISBLANK(A1464)),VLOOKUP(A1464,'BBT3'!A:F,3,0),"")</f>
        <v/>
      </c>
      <c r="D1464" s="5" t="str">
        <f>IF(NOT(ISBLANK(A1464)),VLOOKUP(A1464,'BBT3'!A:F,4,1),"")</f>
        <v/>
      </c>
      <c r="E1464" t="str">
        <f>IF(NOT(ISBLANK(A1464)),VLOOKUP(A1464,'BBT3'!A:F,5,0),"")</f>
        <v/>
      </c>
      <c r="F1464" t="str">
        <f>IF(NOT(ISBLANK(A1464)),VLOOKUP(A1464,'BBT3'!A:F,6,0),"")</f>
        <v/>
      </c>
      <c r="G1464" t="str">
        <f t="shared" si="209"/>
        <v/>
      </c>
      <c r="H1464" t="str">
        <f>IF(NOT(ISBLANK(A1464)),VLOOKUP(A1464,'Close - PriceSaver'!A:J,5,0),"")</f>
        <v/>
      </c>
      <c r="I1464" s="4" t="str" cm="1">
        <f t="array" ref="I1464">IF(NOT(ISBLANK(A1464)),((_xlfn.XLOOKUP(1,(_bbt3[[#All],[ID]]=A1464)*(_bbt3[[#All],[METRIC_NAME]]="YLD_YTM_ASK"),_bbt3[[#All],[METRIC_VALUE]])*0.5)+(_xlfn.XLOOKUP(1,(_bbt3[[#All],[ID]]=A1464)*(_bbt3[[#All],[METRIC_NAME]]="YLD_YTM_BID"),_bbt3[[#All],[METRIC_VALUE]])*0.5))/100,"")</f>
        <v/>
      </c>
      <c r="J1464">
        <f>IF(ISNA(VLOOKUP(A1464,'CloseDL - PriceSaverBBT3'!A:E,5,0)),0,VLOOKUP(A1464,'CloseDL - PriceSaverBBT3'!A:E,5,0))</f>
        <v>0</v>
      </c>
      <c r="K1464" s="7" t="str">
        <f t="shared" si="210"/>
        <v/>
      </c>
      <c r="L1464" s="20">
        <f>IF(Close[[#This Row],[CreatedBy]]="MARINER\SilverAdm",1,0)</f>
        <v>1</v>
      </c>
      <c r="M1464" t="str">
        <f>IF(NOT(ISBLANK(A1464)),VLOOKUP(A1464,'Close - PriceSaver'!A:J,6,0),"")</f>
        <v/>
      </c>
    </row>
    <row r="1465" spans="2:24" x14ac:dyDescent="0.35">
      <c r="B1465" t="str">
        <f>IF(NOT(ISBLANK(A1465)),VLOOKUP(A1465,'BBT3'!A:F,2,0),"")</f>
        <v/>
      </c>
      <c r="C1465" t="str">
        <f>IF(NOT(ISBLANK(A1465)),VLOOKUP(A1465,'BBT3'!A:F,3,0),"")</f>
        <v/>
      </c>
      <c r="D1465" s="5" t="str">
        <f>IF(NOT(ISBLANK(A1465)),VLOOKUP(A1465,'BBT3'!A:F,4,1),"")</f>
        <v/>
      </c>
      <c r="E1465" t="str">
        <f>IF(NOT(ISBLANK(A1465)),VLOOKUP(A1465,'BBT3'!A:F,5,0),"")</f>
        <v/>
      </c>
      <c r="F1465" t="str">
        <f>IF(NOT(ISBLANK(A1465)),VLOOKUP(A1465,'BBT3'!A:F,6,0),"")</f>
        <v/>
      </c>
      <c r="G1465" t="str">
        <f t="shared" si="209"/>
        <v/>
      </c>
      <c r="H1465" t="str">
        <f>IF(NOT(ISBLANK(A1465)),VLOOKUP(A1465,'Close - PriceSaver'!A:J,5,0),"")</f>
        <v/>
      </c>
      <c r="I1465" s="4" t="str" cm="1">
        <f t="array" ref="I1465">IF(NOT(ISBLANK(A1465)),((_xlfn.XLOOKUP(1,(_bbt3[[#All],[ID]]=A1465)*(_bbt3[[#All],[METRIC_NAME]]="YLD_YTM_ASK"),_bbt3[[#All],[METRIC_VALUE]])*0.5)+(_xlfn.XLOOKUP(1,(_bbt3[[#All],[ID]]=A1465)*(_bbt3[[#All],[METRIC_NAME]]="YLD_YTM_BID"),_bbt3[[#All],[METRIC_VALUE]])*0.5))/100,"")</f>
        <v/>
      </c>
      <c r="J1465">
        <f>IF(ISNA(VLOOKUP(A1465,'CloseDL - PriceSaverBBT3'!A:E,5,0)),0,VLOOKUP(A1465,'CloseDL - PriceSaverBBT3'!A:E,5,0))</f>
        <v>0</v>
      </c>
      <c r="K1465" s="7" t="str">
        <f t="shared" si="210"/>
        <v/>
      </c>
      <c r="L1465" s="20">
        <f>IF(Close[[#This Row],[CreatedBy]]="MARINER\SilverAdm",1,0)</f>
        <v>1</v>
      </c>
      <c r="M1465" t="str">
        <f>IF(NOT(ISBLANK(A1465)),VLOOKUP(A1465,'Close - PriceSaver'!A:J,6,0),"")</f>
        <v/>
      </c>
    </row>
    <row r="1466" spans="2:24" x14ac:dyDescent="0.35">
      <c r="B1466" t="str">
        <f>IF(NOT(ISBLANK(A1466)),VLOOKUP(A1466,'BBT3'!A:F,2,0),"")</f>
        <v/>
      </c>
      <c r="C1466" t="str">
        <f>IF(NOT(ISBLANK(A1466)),VLOOKUP(A1466,'BBT3'!A:F,3,0),"")</f>
        <v/>
      </c>
      <c r="D1466" s="5" t="str">
        <f>IF(NOT(ISBLANK(A1466)),VLOOKUP(A1466,'BBT3'!A:F,4,1),"")</f>
        <v/>
      </c>
      <c r="E1466" t="str">
        <f>IF(NOT(ISBLANK(A1466)),VLOOKUP(A1466,'BBT3'!A:F,5,0),"")</f>
        <v/>
      </c>
      <c r="F1466" t="str">
        <f>IF(NOT(ISBLANK(A1466)),VLOOKUP(A1466,'BBT3'!A:F,6,0),"")</f>
        <v/>
      </c>
      <c r="G1466" t="str">
        <f t="shared" si="209"/>
        <v/>
      </c>
      <c r="H1466" t="str">
        <f>IF(NOT(ISBLANK(A1466)),VLOOKUP(A1466,'Close - PriceSaver'!A:J,5,0),"")</f>
        <v/>
      </c>
      <c r="I1466" s="4" t="str" cm="1">
        <f t="array" ref="I1466">IF(NOT(ISBLANK(A1466)),((_xlfn.XLOOKUP(1,(_bbt3[[#All],[ID]]=A1466)*(_bbt3[[#All],[METRIC_NAME]]="YLD_YTM_ASK"),_bbt3[[#All],[METRIC_VALUE]])*0.5)+(_xlfn.XLOOKUP(1,(_bbt3[[#All],[ID]]=A1466)*(_bbt3[[#All],[METRIC_NAME]]="YLD_YTM_BID"),_bbt3[[#All],[METRIC_VALUE]])*0.5))/100,"")</f>
        <v/>
      </c>
      <c r="J1466">
        <f>IF(ISNA(VLOOKUP(A1466,'CloseDL - PriceSaverBBT3'!A:E,5,0)),0,VLOOKUP(A1466,'CloseDL - PriceSaverBBT3'!A:E,5,0))</f>
        <v>0</v>
      </c>
      <c r="K1466" s="7" t="str">
        <f t="shared" si="210"/>
        <v/>
      </c>
      <c r="L1466" s="20">
        <f>IF(Close[[#This Row],[CreatedBy]]="MARINER\SilverAdm",1,0)</f>
        <v>1</v>
      </c>
      <c r="M1466" t="str">
        <f>IF(NOT(ISBLANK(A1466)),VLOOKUP(A1466,'Close - PriceSaver'!A:J,6,0),"")</f>
        <v/>
      </c>
    </row>
    <row r="1467" spans="2:24" x14ac:dyDescent="0.35">
      <c r="B1467" t="str">
        <f>IF(NOT(ISBLANK(A1467)),VLOOKUP(A1467,'BBT3'!A:F,2,0),"")</f>
        <v/>
      </c>
      <c r="C1467" t="str">
        <f>IF(NOT(ISBLANK(A1467)),VLOOKUP(A1467,'BBT3'!A:F,3,0),"")</f>
        <v/>
      </c>
      <c r="D1467" s="5" t="str">
        <f>IF(NOT(ISBLANK(A1467)),VLOOKUP(A1467,'BBT3'!A:F,4,1),"")</f>
        <v/>
      </c>
      <c r="E1467" t="str">
        <f>IF(NOT(ISBLANK(A1467)),VLOOKUP(A1467,'BBT3'!A:F,5,0),"")</f>
        <v/>
      </c>
      <c r="F1467" t="str">
        <f>IF(NOT(ISBLANK(A1467)),VLOOKUP(A1467,'BBT3'!A:F,6,0),"")</f>
        <v/>
      </c>
      <c r="G1467" t="str">
        <f t="shared" si="209"/>
        <v/>
      </c>
      <c r="H1467" t="str">
        <f>IF(NOT(ISBLANK(A1467)),VLOOKUP(A1467,'Close - PriceSaver'!A:J,5,0),"")</f>
        <v/>
      </c>
      <c r="I1467" s="4" t="str" cm="1">
        <f t="array" ref="I1467">IF(NOT(ISBLANK(A1467)),((_xlfn.XLOOKUP(1,(_bbt3[[#All],[ID]]=A1467)*(_bbt3[[#All],[METRIC_NAME]]="YLD_YTM_ASK"),_bbt3[[#All],[METRIC_VALUE]])*0.5)+(_xlfn.XLOOKUP(1,(_bbt3[[#All],[ID]]=A1467)*(_bbt3[[#All],[METRIC_NAME]]="YLD_YTM_BID"),_bbt3[[#All],[METRIC_VALUE]])*0.5))/100,"")</f>
        <v/>
      </c>
      <c r="J1467">
        <f>IF(ISNA(VLOOKUP(A1467,'CloseDL - PriceSaverBBT3'!A:E,5,0)),0,VLOOKUP(A1467,'CloseDL - PriceSaverBBT3'!A:E,5,0))</f>
        <v>0</v>
      </c>
      <c r="K1467" s="7" t="str">
        <f t="shared" si="210"/>
        <v/>
      </c>
      <c r="L1467" s="20">
        <f>IF(Close[[#This Row],[CreatedBy]]="MARINER\SilverAdm",1,0)</f>
        <v>1</v>
      </c>
      <c r="M1467" t="str">
        <f>IF(NOT(ISBLANK(A1467)),VLOOKUP(A1467,'Close - PriceSaver'!A:J,6,0),"")</f>
        <v/>
      </c>
    </row>
    <row r="1468" spans="2:24" x14ac:dyDescent="0.35">
      <c r="B1468" t="str">
        <f>IF(NOT(ISBLANK(A1468)),VLOOKUP(A1468,'BBT3'!A:F,2,0),"")</f>
        <v/>
      </c>
      <c r="C1468" t="str">
        <f>IF(NOT(ISBLANK(A1468)),VLOOKUP(A1468,'BBT3'!A:F,3,0),"")</f>
        <v/>
      </c>
      <c r="D1468" s="5" t="str">
        <f>IF(NOT(ISBLANK(A1468)),VLOOKUP(A1468,'BBT3'!A:F,4,1),"")</f>
        <v/>
      </c>
      <c r="E1468" t="str">
        <f>IF(NOT(ISBLANK(A1468)),VLOOKUP(A1468,'BBT3'!A:F,5,0),"")</f>
        <v/>
      </c>
      <c r="F1468" t="str">
        <f>IF(NOT(ISBLANK(A1468)),VLOOKUP(A1468,'BBT3'!A:F,6,0),"")</f>
        <v/>
      </c>
      <c r="G1468" t="str">
        <f t="shared" si="209"/>
        <v/>
      </c>
      <c r="H1468" t="str">
        <f>IF(NOT(ISBLANK(A1468)),VLOOKUP(A1468,'Close - PriceSaver'!A:J,5,0),"")</f>
        <v/>
      </c>
      <c r="I1468" s="4" t="str" cm="1">
        <f t="array" ref="I1468">IF(NOT(ISBLANK(A1468)),((_xlfn.XLOOKUP(1,(_bbt3[[#All],[ID]]=A1468)*(_bbt3[[#All],[METRIC_NAME]]="YLD_YTM_ASK"),_bbt3[[#All],[METRIC_VALUE]])*0.5)+(_xlfn.XLOOKUP(1,(_bbt3[[#All],[ID]]=A1468)*(_bbt3[[#All],[METRIC_NAME]]="YLD_YTM_BID"),_bbt3[[#All],[METRIC_VALUE]])*0.5))/100,"")</f>
        <v/>
      </c>
      <c r="J1468">
        <f>IF(ISNA(VLOOKUP(A1468,'CloseDL - PriceSaverBBT3'!A:E,5,0)),0,VLOOKUP(A1468,'CloseDL - PriceSaverBBT3'!A:E,5,0))</f>
        <v>0</v>
      </c>
      <c r="K1468" s="7" t="str">
        <f t="shared" si="210"/>
        <v/>
      </c>
      <c r="L1468" s="20">
        <f>IF(Close[[#This Row],[CreatedBy]]="MARINER\SilverAdm",1,0)</f>
        <v>1</v>
      </c>
      <c r="M1468" t="str">
        <f>IF(NOT(ISBLANK(A1468)),VLOOKUP(A1468,'Close - PriceSaver'!A:J,6,0),"")</f>
        <v/>
      </c>
    </row>
    <row r="1469" spans="2:24" x14ac:dyDescent="0.35">
      <c r="B1469" t="str">
        <f>IF(NOT(ISBLANK(A1469)),VLOOKUP(A1469,'BBT3'!A:F,2,0),"")</f>
        <v/>
      </c>
      <c r="C1469" t="str">
        <f>IF(NOT(ISBLANK(A1469)),VLOOKUP(A1469,'BBT3'!A:F,3,0),"")</f>
        <v/>
      </c>
      <c r="D1469" s="5" t="str">
        <f>IF(NOT(ISBLANK(A1469)),VLOOKUP(A1469,'BBT3'!A:F,4,1),"")</f>
        <v/>
      </c>
      <c r="E1469" t="str">
        <f>IF(NOT(ISBLANK(A1469)),VLOOKUP(A1469,'BBT3'!A:F,5,0),"")</f>
        <v/>
      </c>
      <c r="F1469" t="str">
        <f>IF(NOT(ISBLANK(A1469)),VLOOKUP(A1469,'BBT3'!A:F,6,0),"")</f>
        <v/>
      </c>
      <c r="G1469" t="str">
        <f t="shared" si="209"/>
        <v/>
      </c>
      <c r="H1469" t="str">
        <f>IF(NOT(ISBLANK(A1469)),VLOOKUP(A1469,'Close - PriceSaver'!A:J,5,0),"")</f>
        <v/>
      </c>
      <c r="I1469" s="4" t="str" cm="1">
        <f t="array" ref="I1469">IF(NOT(ISBLANK(A1469)),((_xlfn.XLOOKUP(1,(_bbt3[[#All],[ID]]=A1469)*(_bbt3[[#All],[METRIC_NAME]]="YLD_YTM_ASK"),_bbt3[[#All],[METRIC_VALUE]])*0.5)+(_xlfn.XLOOKUP(1,(_bbt3[[#All],[ID]]=A1469)*(_bbt3[[#All],[METRIC_NAME]]="YLD_YTM_BID"),_bbt3[[#All],[METRIC_VALUE]])*0.5))/100,"")</f>
        <v/>
      </c>
      <c r="J1469">
        <f>IF(ISNA(VLOOKUP(A1469,'CloseDL - PriceSaverBBT3'!A:E,5,0)),0,VLOOKUP(A1469,'CloseDL - PriceSaverBBT3'!A:E,5,0))</f>
        <v>0</v>
      </c>
      <c r="K1469" s="7" t="str">
        <f t="shared" si="210"/>
        <v/>
      </c>
      <c r="L1469" s="20">
        <f>IF(Close[[#This Row],[CreatedBy]]="MARINER\SilverAdm",1,0)</f>
        <v>1</v>
      </c>
      <c r="M1469" t="str">
        <f>IF(NOT(ISBLANK(A1469)),VLOOKUP(A1469,'Close - PriceSaver'!A:J,6,0),"")</f>
        <v/>
      </c>
    </row>
    <row r="1470" spans="2:24" x14ac:dyDescent="0.35">
      <c r="B1470" t="str">
        <f>IF(NOT(ISBLANK(A1470)),VLOOKUP(A1470,'BBT3'!A:F,2,0),"")</f>
        <v/>
      </c>
      <c r="C1470" t="str">
        <f>IF(NOT(ISBLANK(A1470)),VLOOKUP(A1470,'BBT3'!A:F,3,0),"")</f>
        <v/>
      </c>
      <c r="D1470" s="5" t="str">
        <f>IF(NOT(ISBLANK(A1470)),VLOOKUP(A1470,'BBT3'!A:F,4,1),"")</f>
        <v/>
      </c>
      <c r="E1470" t="str">
        <f>IF(NOT(ISBLANK(A1470)),VLOOKUP(A1470,'BBT3'!A:F,5,0),"")</f>
        <v/>
      </c>
      <c r="F1470" t="str">
        <f>IF(NOT(ISBLANK(A1470)),VLOOKUP(A1470,'BBT3'!A:F,6,0),"")</f>
        <v/>
      </c>
      <c r="G1470" t="str">
        <f t="shared" si="209"/>
        <v/>
      </c>
      <c r="H1470" t="str">
        <f>IF(NOT(ISBLANK(A1470)),VLOOKUP(A1470,'Close - PriceSaver'!A:J,5,0),"")</f>
        <v/>
      </c>
      <c r="I1470" s="4" t="str" cm="1">
        <f t="array" ref="I1470">IF(NOT(ISBLANK(A1470)),((_xlfn.XLOOKUP(1,(_bbt3[[#All],[ID]]=A1470)*(_bbt3[[#All],[METRIC_NAME]]="YLD_YTM_ASK"),_bbt3[[#All],[METRIC_VALUE]])*0.5)+(_xlfn.XLOOKUP(1,(_bbt3[[#All],[ID]]=A1470)*(_bbt3[[#All],[METRIC_NAME]]="YLD_YTM_BID"),_bbt3[[#All],[METRIC_VALUE]])*0.5))/100,"")</f>
        <v/>
      </c>
      <c r="J1470">
        <f>IF(ISNA(VLOOKUP(A1470,'CloseDL - PriceSaverBBT3'!A:E,5,0)),0,VLOOKUP(A1470,'CloseDL - PriceSaverBBT3'!A:E,5,0))</f>
        <v>0</v>
      </c>
      <c r="K1470" s="7" t="str">
        <f t="shared" si="210"/>
        <v/>
      </c>
      <c r="L1470" s="20">
        <f>IF(Close[[#This Row],[CreatedBy]]="MARINER\SilverAdm",1,0)</f>
        <v>1</v>
      </c>
      <c r="M1470" t="str">
        <f>IF(NOT(ISBLANK(A1470)),VLOOKUP(A1470,'Close - PriceSaver'!A:J,6,0),"")</f>
        <v/>
      </c>
    </row>
    <row r="1471" spans="2:24" x14ac:dyDescent="0.35">
      <c r="B1471" t="str">
        <f>IF(NOT(ISBLANK(A1471)),VLOOKUP(A1471,'BBT3'!A:F,2,0),"")</f>
        <v/>
      </c>
      <c r="C1471" t="str">
        <f>IF(NOT(ISBLANK(A1471)),VLOOKUP(A1471,'BBT3'!A:F,3,0),"")</f>
        <v/>
      </c>
      <c r="D1471" s="5" t="str">
        <f>IF(NOT(ISBLANK(A1471)),VLOOKUP(A1471,'BBT3'!A:F,4,1),"")</f>
        <v/>
      </c>
      <c r="E1471" t="str">
        <f>IF(NOT(ISBLANK(A1471)),VLOOKUP(A1471,'BBT3'!A:F,5,0),"")</f>
        <v/>
      </c>
      <c r="F1471" t="str">
        <f>IF(NOT(ISBLANK(A1471)),VLOOKUP(A1471,'BBT3'!A:F,6,0),"")</f>
        <v/>
      </c>
      <c r="G1471" t="str">
        <f t="shared" si="209"/>
        <v/>
      </c>
      <c r="H1471" t="str">
        <f>IF(NOT(ISBLANK(A1471)),VLOOKUP(A1471,'Close - PriceSaver'!A:J,5,0),"")</f>
        <v/>
      </c>
      <c r="I1471" s="4" t="str" cm="1">
        <f t="array" ref="I1471">IF(NOT(ISBLANK(A1471)),((_xlfn.XLOOKUP(1,(_bbt3[[#All],[ID]]=A1471)*(_bbt3[[#All],[METRIC_NAME]]="YLD_YTM_ASK"),_bbt3[[#All],[METRIC_VALUE]])*0.5)+(_xlfn.XLOOKUP(1,(_bbt3[[#All],[ID]]=A1471)*(_bbt3[[#All],[METRIC_NAME]]="YLD_YTM_BID"),_bbt3[[#All],[METRIC_VALUE]])*0.5))/100,"")</f>
        <v/>
      </c>
      <c r="J1471">
        <f>IF(ISNA(VLOOKUP(A1471,'CloseDL - PriceSaverBBT3'!A:E,5,0)),0,VLOOKUP(A1471,'CloseDL - PriceSaverBBT3'!A:E,5,0))</f>
        <v>0</v>
      </c>
      <c r="K1471" s="7" t="str">
        <f t="shared" si="210"/>
        <v/>
      </c>
      <c r="L1471" s="20">
        <f>IF(Close[[#This Row],[CreatedBy]]="MARINER\SilverAdm",1,0)</f>
        <v>1</v>
      </c>
      <c r="M1471" t="str">
        <f>IF(NOT(ISBLANK(A1471)),VLOOKUP(A1471,'Close - PriceSaver'!A:J,6,0),"")</f>
        <v/>
      </c>
    </row>
    <row r="1472" spans="2:24" x14ac:dyDescent="0.35">
      <c r="B1472" t="str">
        <f>IF(NOT(ISBLANK(A1472)),VLOOKUP(A1472,'BBT3'!A:F,2,0),"")</f>
        <v/>
      </c>
      <c r="C1472" t="str">
        <f>IF(NOT(ISBLANK(A1472)),VLOOKUP(A1472,'BBT3'!A:F,3,0),"")</f>
        <v/>
      </c>
      <c r="D1472" s="5" t="str">
        <f>IF(NOT(ISBLANK(A1472)),VLOOKUP(A1472,'BBT3'!A:F,4,1),"")</f>
        <v/>
      </c>
      <c r="E1472" t="str">
        <f>IF(NOT(ISBLANK(A1472)),VLOOKUP(A1472,'BBT3'!A:F,5,0),"")</f>
        <v/>
      </c>
      <c r="F1472" t="str">
        <f>IF(NOT(ISBLANK(A1472)),VLOOKUP(A1472,'BBT3'!A:F,6,0),"")</f>
        <v/>
      </c>
      <c r="G1472" t="str">
        <f t="shared" si="209"/>
        <v/>
      </c>
      <c r="H1472" t="str">
        <f>IF(NOT(ISBLANK(A1472)),VLOOKUP(A1472,'Close - PriceSaver'!A:J,5,0),"")</f>
        <v/>
      </c>
      <c r="I1472" s="4" t="str" cm="1">
        <f t="array" ref="I1472">IF(NOT(ISBLANK(A1472)),((_xlfn.XLOOKUP(1,(_bbt3[[#All],[ID]]=A1472)*(_bbt3[[#All],[METRIC_NAME]]="YLD_YTM_ASK"),_bbt3[[#All],[METRIC_VALUE]])*0.5)+(_xlfn.XLOOKUP(1,(_bbt3[[#All],[ID]]=A1472)*(_bbt3[[#All],[METRIC_NAME]]="YLD_YTM_BID"),_bbt3[[#All],[METRIC_VALUE]])*0.5))/100,"")</f>
        <v/>
      </c>
      <c r="J1472">
        <f>IF(ISNA(VLOOKUP(A1472,'CloseDL - PriceSaverBBT3'!A:E,5,0)),0,VLOOKUP(A1472,'CloseDL - PriceSaverBBT3'!A:E,5,0))</f>
        <v>0</v>
      </c>
      <c r="K1472" s="7" t="str">
        <f t="shared" si="210"/>
        <v/>
      </c>
      <c r="L1472" s="20">
        <f>IF(Close[[#This Row],[CreatedBy]]="MARINER\SilverAdm",1,0)</f>
        <v>1</v>
      </c>
      <c r="M1472" t="str">
        <f>IF(NOT(ISBLANK(A1472)),VLOOKUP(A1472,'Close - PriceSaver'!A:J,6,0),"")</f>
        <v/>
      </c>
    </row>
    <row r="1473" spans="2:13" x14ac:dyDescent="0.35">
      <c r="B1473" t="str">
        <f>IF(NOT(ISBLANK(A1473)),VLOOKUP(A1473,'BBT3'!A:F,2,0),"")</f>
        <v/>
      </c>
      <c r="C1473" t="str">
        <f>IF(NOT(ISBLANK(A1473)),VLOOKUP(A1473,'BBT3'!A:F,3,0),"")</f>
        <v/>
      </c>
      <c r="D1473" s="5" t="str">
        <f>IF(NOT(ISBLANK(A1473)),VLOOKUP(A1473,'BBT3'!A:F,4,1),"")</f>
        <v/>
      </c>
      <c r="E1473" t="str">
        <f>IF(NOT(ISBLANK(A1473)),VLOOKUP(A1473,'BBT3'!A:F,5,0),"")</f>
        <v/>
      </c>
      <c r="F1473" t="str">
        <f>IF(NOT(ISBLANK(A1473)),VLOOKUP(A1473,'BBT3'!A:F,6,0),"")</f>
        <v/>
      </c>
      <c r="G1473" t="str">
        <f t="shared" si="209"/>
        <v/>
      </c>
      <c r="H1473" t="str">
        <f>IF(NOT(ISBLANK(A1473)),VLOOKUP(A1473,'Close - PriceSaver'!A:J,5,0),"")</f>
        <v/>
      </c>
      <c r="I1473" s="4" t="str" cm="1">
        <f t="array" ref="I1473">IF(NOT(ISBLANK(A1473)),((_xlfn.XLOOKUP(1,(_bbt3[[#All],[ID]]=A1473)*(_bbt3[[#All],[METRIC_NAME]]="YLD_YTM_ASK"),_bbt3[[#All],[METRIC_VALUE]])*0.5)+(_xlfn.XLOOKUP(1,(_bbt3[[#All],[ID]]=A1473)*(_bbt3[[#All],[METRIC_NAME]]="YLD_YTM_BID"),_bbt3[[#All],[METRIC_VALUE]])*0.5))/100,"")</f>
        <v/>
      </c>
      <c r="J1473">
        <f>IF(ISNA(VLOOKUP(A1473,'CloseDL - PriceSaverBBT3'!A:E,5,0)),0,VLOOKUP(A1473,'CloseDL - PriceSaverBBT3'!A:E,5,0))</f>
        <v>0</v>
      </c>
      <c r="K1473" s="7" t="str">
        <f t="shared" si="210"/>
        <v/>
      </c>
      <c r="L1473" s="20">
        <f>IF(Close[[#This Row],[CreatedBy]]="MARINER\SilverAdm",1,0)</f>
        <v>1</v>
      </c>
      <c r="M1473" t="str">
        <f>IF(NOT(ISBLANK(A1473)),VLOOKUP(A1473,'Close - PriceSaver'!A:J,6,0),"")</f>
        <v/>
      </c>
    </row>
    <row r="1474" spans="2:13" x14ac:dyDescent="0.35">
      <c r="B1474" t="str">
        <f>IF(NOT(ISBLANK(A1474)),VLOOKUP(A1474,'BBT3'!A:F,2,0),"")</f>
        <v/>
      </c>
      <c r="C1474" t="str">
        <f>IF(NOT(ISBLANK(A1474)),VLOOKUP(A1474,'BBT3'!A:F,3,0),"")</f>
        <v/>
      </c>
      <c r="D1474" s="5" t="str">
        <f>IF(NOT(ISBLANK(A1474)),VLOOKUP(A1474,'BBT3'!A:F,4,1),"")</f>
        <v/>
      </c>
      <c r="E1474" t="str">
        <f>IF(NOT(ISBLANK(A1474)),VLOOKUP(A1474,'BBT3'!A:F,5,0),"")</f>
        <v/>
      </c>
      <c r="F1474" t="str">
        <f>IF(NOT(ISBLANK(A1474)),VLOOKUP(A1474,'BBT3'!A:F,6,0),"")</f>
        <v/>
      </c>
      <c r="G1474" t="str">
        <f t="shared" si="209"/>
        <v/>
      </c>
      <c r="H1474" t="str">
        <f>IF(NOT(ISBLANK(A1474)),VLOOKUP(A1474,'Close - PriceSaver'!A:J,5,0),"")</f>
        <v/>
      </c>
      <c r="I1474" s="4" t="str" cm="1">
        <f t="array" ref="I1474">IF(NOT(ISBLANK(A1474)),((_xlfn.XLOOKUP(1,(_bbt3[[#All],[ID]]=A1474)*(_bbt3[[#All],[METRIC_NAME]]="YLD_YTM_ASK"),_bbt3[[#All],[METRIC_VALUE]])*0.5)+(_xlfn.XLOOKUP(1,(_bbt3[[#All],[ID]]=A1474)*(_bbt3[[#All],[METRIC_NAME]]="YLD_YTM_BID"),_bbt3[[#All],[METRIC_VALUE]])*0.5))/100,"")</f>
        <v/>
      </c>
      <c r="J1474">
        <f>IF(ISNA(VLOOKUP(A1474,'CloseDL - PriceSaverBBT3'!A:E,5,0)),0,VLOOKUP(A1474,'CloseDL - PriceSaverBBT3'!A:E,5,0))</f>
        <v>0</v>
      </c>
      <c r="K1474" s="7" t="str">
        <f t="shared" si="210"/>
        <v/>
      </c>
      <c r="L1474" s="20">
        <f>IF(Close[[#This Row],[CreatedBy]]="MARINER\SilverAdm",1,0)</f>
        <v>1</v>
      </c>
      <c r="M1474" t="str">
        <f>IF(NOT(ISBLANK(A1474)),VLOOKUP(A1474,'Close - PriceSaver'!A:J,6,0),"")</f>
        <v/>
      </c>
    </row>
    <row r="1475" spans="2:13" x14ac:dyDescent="0.35">
      <c r="B1475" t="str">
        <f>IF(NOT(ISBLANK(A1475)),VLOOKUP(A1475,'BBT3'!A:F,2,0),"")</f>
        <v/>
      </c>
      <c r="C1475" t="str">
        <f>IF(NOT(ISBLANK(A1475)),VLOOKUP(A1475,'BBT3'!A:F,3,0),"")</f>
        <v/>
      </c>
      <c r="D1475" s="5" t="str">
        <f>IF(NOT(ISBLANK(A1475)),VLOOKUP(A1475,'BBT3'!A:F,4,1),"")</f>
        <v/>
      </c>
      <c r="E1475" t="str">
        <f>IF(NOT(ISBLANK(A1475)),VLOOKUP(A1475,'BBT3'!A:F,5,0),"")</f>
        <v/>
      </c>
      <c r="F1475" t="str">
        <f>IF(NOT(ISBLANK(A1475)),VLOOKUP(A1475,'BBT3'!A:F,6,0),"")</f>
        <v/>
      </c>
      <c r="G1475" t="str">
        <f t="shared" ref="G1475:G1538" si="216">IF(NOT(ISBLANK(A1475)),IF(D1475=0,"Y","N"),"")</f>
        <v/>
      </c>
      <c r="H1475" t="str">
        <f>IF(NOT(ISBLANK(A1475)),VLOOKUP(A1475,'Close - PriceSaver'!A:J,5,0),"")</f>
        <v/>
      </c>
      <c r="I1475" s="4" t="str" cm="1">
        <f t="array" ref="I1475">IF(NOT(ISBLANK(A1475)),((_xlfn.XLOOKUP(1,(_bbt3[[#All],[ID]]=A1475)*(_bbt3[[#All],[METRIC_NAME]]="YLD_YTM_ASK"),_bbt3[[#All],[METRIC_VALUE]])*0.5)+(_xlfn.XLOOKUP(1,(_bbt3[[#All],[ID]]=A1475)*(_bbt3[[#All],[METRIC_NAME]]="YLD_YTM_BID"),_bbt3[[#All],[METRIC_VALUE]])*0.5))/100,"")</f>
        <v/>
      </c>
      <c r="J1475">
        <f>IF(ISNA(VLOOKUP(A1475,'CloseDL - PriceSaverBBT3'!A:E,5,0)),0,VLOOKUP(A1475,'CloseDL - PriceSaverBBT3'!A:E,5,0))</f>
        <v>0</v>
      </c>
      <c r="K1475" s="7" t="str">
        <f t="shared" ref="K1475:K1538" si="217">IF(ISNA(IF(NOT(ISBLANK(A1475)),ABS(H1475-J1475),"")),0,(IF(NOT(ISBLANK(A1475)),ABS(H1475-J1475)*10000,"")))</f>
        <v/>
      </c>
      <c r="L1475" s="20">
        <f>IF(Close[[#This Row],[CreatedBy]]="MARINER\SilverAdm",1,0)</f>
        <v>1</v>
      </c>
      <c r="M1475" t="str">
        <f>IF(NOT(ISBLANK(A1475)),VLOOKUP(A1475,'Close - PriceSaver'!A:J,6,0),"")</f>
        <v/>
      </c>
    </row>
    <row r="1476" spans="2:13" x14ac:dyDescent="0.35">
      <c r="B1476" t="str">
        <f>IF(NOT(ISBLANK(A1476)),VLOOKUP(A1476,'BBT3'!A:F,2,0),"")</f>
        <v/>
      </c>
      <c r="C1476" t="str">
        <f>IF(NOT(ISBLANK(A1476)),VLOOKUP(A1476,'BBT3'!A:F,3,0),"")</f>
        <v/>
      </c>
      <c r="D1476" s="5" t="str">
        <f>IF(NOT(ISBLANK(A1476)),VLOOKUP(A1476,'BBT3'!A:F,4,1),"")</f>
        <v/>
      </c>
      <c r="E1476" t="str">
        <f>IF(NOT(ISBLANK(A1476)),VLOOKUP(A1476,'BBT3'!A:F,5,0),"")</f>
        <v/>
      </c>
      <c r="F1476" t="str">
        <f>IF(NOT(ISBLANK(A1476)),VLOOKUP(A1476,'BBT3'!A:F,6,0),"")</f>
        <v/>
      </c>
      <c r="G1476" t="str">
        <f t="shared" si="216"/>
        <v/>
      </c>
      <c r="H1476" t="str">
        <f>IF(NOT(ISBLANK(A1476)),VLOOKUP(A1476,'Close - PriceSaver'!A:J,5,0),"")</f>
        <v/>
      </c>
      <c r="I1476" s="4" t="str" cm="1">
        <f t="array" ref="I1476">IF(NOT(ISBLANK(A1476)),((_xlfn.XLOOKUP(1,(_bbt3[[#All],[ID]]=A1476)*(_bbt3[[#All],[METRIC_NAME]]="YLD_YTM_ASK"),_bbt3[[#All],[METRIC_VALUE]])*0.5)+(_xlfn.XLOOKUP(1,(_bbt3[[#All],[ID]]=A1476)*(_bbt3[[#All],[METRIC_NAME]]="YLD_YTM_BID"),_bbt3[[#All],[METRIC_VALUE]])*0.5))/100,"")</f>
        <v/>
      </c>
      <c r="J1476">
        <f>IF(ISNA(VLOOKUP(A1476,'CloseDL - PriceSaverBBT3'!A:E,5,0)),0,VLOOKUP(A1476,'CloseDL - PriceSaverBBT3'!A:E,5,0))</f>
        <v>0</v>
      </c>
      <c r="K1476" s="7" t="str">
        <f t="shared" si="217"/>
        <v/>
      </c>
      <c r="L1476" s="20">
        <f>IF(Close[[#This Row],[CreatedBy]]="MARINER\SilverAdm",1,0)</f>
        <v>1</v>
      </c>
      <c r="M1476" t="str">
        <f>IF(NOT(ISBLANK(A1476)),VLOOKUP(A1476,'Close - PriceSaver'!A:J,6,0),"")</f>
        <v/>
      </c>
    </row>
    <row r="1477" spans="2:13" x14ac:dyDescent="0.35">
      <c r="B1477" t="str">
        <f>IF(NOT(ISBLANK(A1477)),VLOOKUP(A1477,'BBT3'!A:F,2,0),"")</f>
        <v/>
      </c>
      <c r="C1477" t="str">
        <f>IF(NOT(ISBLANK(A1477)),VLOOKUP(A1477,'BBT3'!A:F,3,0),"")</f>
        <v/>
      </c>
      <c r="D1477" s="5" t="str">
        <f>IF(NOT(ISBLANK(A1477)),VLOOKUP(A1477,'BBT3'!A:F,4,1),"")</f>
        <v/>
      </c>
      <c r="E1477" t="str">
        <f>IF(NOT(ISBLANK(A1477)),VLOOKUP(A1477,'BBT3'!A:F,5,0),"")</f>
        <v/>
      </c>
      <c r="F1477" t="str">
        <f>IF(NOT(ISBLANK(A1477)),VLOOKUP(A1477,'BBT3'!A:F,6,0),"")</f>
        <v/>
      </c>
      <c r="G1477" t="str">
        <f t="shared" si="216"/>
        <v/>
      </c>
      <c r="H1477" t="str">
        <f>IF(NOT(ISBLANK(A1477)),VLOOKUP(A1477,'Close - PriceSaver'!A:J,5,0),"")</f>
        <v/>
      </c>
      <c r="I1477" s="4" t="str" cm="1">
        <f t="array" ref="I1477">IF(NOT(ISBLANK(A1477)),((_xlfn.XLOOKUP(1,(_bbt3[[#All],[ID]]=A1477)*(_bbt3[[#All],[METRIC_NAME]]="YLD_YTM_ASK"),_bbt3[[#All],[METRIC_VALUE]])*0.5)+(_xlfn.XLOOKUP(1,(_bbt3[[#All],[ID]]=A1477)*(_bbt3[[#All],[METRIC_NAME]]="YLD_YTM_BID"),_bbt3[[#All],[METRIC_VALUE]])*0.5))/100,"")</f>
        <v/>
      </c>
      <c r="J1477">
        <f>IF(ISNA(VLOOKUP(A1477,'CloseDL - PriceSaverBBT3'!A:E,5,0)),0,VLOOKUP(A1477,'CloseDL - PriceSaverBBT3'!A:E,5,0))</f>
        <v>0</v>
      </c>
      <c r="K1477" s="7" t="str">
        <f t="shared" si="217"/>
        <v/>
      </c>
      <c r="L1477" s="20">
        <f>IF(Close[[#This Row],[CreatedBy]]="MARINER\SilverAdm",1,0)</f>
        <v>1</v>
      </c>
      <c r="M1477" t="str">
        <f>IF(NOT(ISBLANK(A1477)),VLOOKUP(A1477,'Close - PriceSaver'!A:J,6,0),"")</f>
        <v/>
      </c>
    </row>
    <row r="1478" spans="2:13" x14ac:dyDescent="0.35">
      <c r="B1478" t="str">
        <f>IF(NOT(ISBLANK(A1478)),VLOOKUP(A1478,'BBT3'!A:F,2,0),"")</f>
        <v/>
      </c>
      <c r="C1478" t="str">
        <f>IF(NOT(ISBLANK(A1478)),VLOOKUP(A1478,'BBT3'!A:F,3,0),"")</f>
        <v/>
      </c>
      <c r="D1478" s="5" t="str">
        <f>IF(NOT(ISBLANK(A1478)),VLOOKUP(A1478,'BBT3'!A:F,4,1),"")</f>
        <v/>
      </c>
      <c r="E1478" t="str">
        <f>IF(NOT(ISBLANK(A1478)),VLOOKUP(A1478,'BBT3'!A:F,5,0),"")</f>
        <v/>
      </c>
      <c r="F1478" t="str">
        <f>IF(NOT(ISBLANK(A1478)),VLOOKUP(A1478,'BBT3'!A:F,6,0),"")</f>
        <v/>
      </c>
      <c r="G1478" t="str">
        <f t="shared" si="216"/>
        <v/>
      </c>
      <c r="H1478" t="str">
        <f>IF(NOT(ISBLANK(A1478)),VLOOKUP(A1478,'Close - PriceSaver'!A:J,5,0),"")</f>
        <v/>
      </c>
      <c r="I1478" s="4" t="str" cm="1">
        <f t="array" ref="I1478">IF(NOT(ISBLANK(A1478)),((_xlfn.XLOOKUP(1,(_bbt3[[#All],[ID]]=A1478)*(_bbt3[[#All],[METRIC_NAME]]="YLD_YTM_ASK"),_bbt3[[#All],[METRIC_VALUE]])*0.5)+(_xlfn.XLOOKUP(1,(_bbt3[[#All],[ID]]=A1478)*(_bbt3[[#All],[METRIC_NAME]]="YLD_YTM_BID"),_bbt3[[#All],[METRIC_VALUE]])*0.5))/100,"")</f>
        <v/>
      </c>
      <c r="J1478">
        <f>IF(ISNA(VLOOKUP(A1478,'CloseDL - PriceSaverBBT3'!A:E,5,0)),0,VLOOKUP(A1478,'CloseDL - PriceSaverBBT3'!A:E,5,0))</f>
        <v>0</v>
      </c>
      <c r="K1478" s="7" t="str">
        <f t="shared" si="217"/>
        <v/>
      </c>
      <c r="L1478" s="20">
        <f>IF(Close[[#This Row],[CreatedBy]]="MARINER\SilverAdm",1,0)</f>
        <v>1</v>
      </c>
      <c r="M1478" t="str">
        <f>IF(NOT(ISBLANK(A1478)),VLOOKUP(A1478,'Close - PriceSaver'!A:J,6,0),"")</f>
        <v/>
      </c>
    </row>
    <row r="1479" spans="2:13" x14ac:dyDescent="0.35">
      <c r="B1479" t="str">
        <f>IF(NOT(ISBLANK(A1479)),VLOOKUP(A1479,'BBT3'!A:F,2,0),"")</f>
        <v/>
      </c>
      <c r="C1479" t="str">
        <f>IF(NOT(ISBLANK(A1479)),VLOOKUP(A1479,'BBT3'!A:F,3,0),"")</f>
        <v/>
      </c>
      <c r="D1479" s="5" t="str">
        <f>IF(NOT(ISBLANK(A1479)),VLOOKUP(A1479,'BBT3'!A:F,4,1),"")</f>
        <v/>
      </c>
      <c r="E1479" t="str">
        <f>IF(NOT(ISBLANK(A1479)),VLOOKUP(A1479,'BBT3'!A:F,5,0),"")</f>
        <v/>
      </c>
      <c r="F1479" t="str">
        <f>IF(NOT(ISBLANK(A1479)),VLOOKUP(A1479,'BBT3'!A:F,6,0),"")</f>
        <v/>
      </c>
      <c r="G1479" t="str">
        <f t="shared" si="216"/>
        <v/>
      </c>
      <c r="H1479" t="str">
        <f>IF(NOT(ISBLANK(A1479)),VLOOKUP(A1479,'Close - PriceSaver'!A:J,5,0),"")</f>
        <v/>
      </c>
      <c r="I1479" s="4" t="str" cm="1">
        <f t="array" ref="I1479">IF(NOT(ISBLANK(A1479)),((_xlfn.XLOOKUP(1,(_bbt3[[#All],[ID]]=A1479)*(_bbt3[[#All],[METRIC_NAME]]="YLD_YTM_ASK"),_bbt3[[#All],[METRIC_VALUE]])*0.5)+(_xlfn.XLOOKUP(1,(_bbt3[[#All],[ID]]=A1479)*(_bbt3[[#All],[METRIC_NAME]]="YLD_YTM_BID"),_bbt3[[#All],[METRIC_VALUE]])*0.5))/100,"")</f>
        <v/>
      </c>
      <c r="J1479">
        <f>IF(ISNA(VLOOKUP(A1479,'CloseDL - PriceSaverBBT3'!A:E,5,0)),0,VLOOKUP(A1479,'CloseDL - PriceSaverBBT3'!A:E,5,0))</f>
        <v>0</v>
      </c>
      <c r="K1479" s="7" t="str">
        <f t="shared" si="217"/>
        <v/>
      </c>
      <c r="L1479" s="20">
        <f>IF(Close[[#This Row],[CreatedBy]]="MARINER\SilverAdm",1,0)</f>
        <v>1</v>
      </c>
      <c r="M1479" t="str">
        <f>IF(NOT(ISBLANK(A1479)),VLOOKUP(A1479,'Close - PriceSaver'!A:J,6,0),"")</f>
        <v/>
      </c>
    </row>
    <row r="1480" spans="2:13" x14ac:dyDescent="0.35">
      <c r="B1480" t="str">
        <f>IF(NOT(ISBLANK(A1480)),VLOOKUP(A1480,'BBT3'!A:F,2,0),"")</f>
        <v/>
      </c>
      <c r="C1480" t="str">
        <f>IF(NOT(ISBLANK(A1480)),VLOOKUP(A1480,'BBT3'!A:F,3,0),"")</f>
        <v/>
      </c>
      <c r="D1480" s="5" t="str">
        <f>IF(NOT(ISBLANK(A1480)),VLOOKUP(A1480,'BBT3'!A:F,4,1),"")</f>
        <v/>
      </c>
      <c r="E1480" t="str">
        <f>IF(NOT(ISBLANK(A1480)),VLOOKUP(A1480,'BBT3'!A:F,5,0),"")</f>
        <v/>
      </c>
      <c r="F1480" t="str">
        <f>IF(NOT(ISBLANK(A1480)),VLOOKUP(A1480,'BBT3'!A:F,6,0),"")</f>
        <v/>
      </c>
      <c r="G1480" t="str">
        <f t="shared" si="216"/>
        <v/>
      </c>
      <c r="H1480" t="str">
        <f>IF(NOT(ISBLANK(A1480)),VLOOKUP(A1480,'Close - PriceSaver'!A:J,5,0),"")</f>
        <v/>
      </c>
      <c r="I1480" s="4" t="str" cm="1">
        <f t="array" ref="I1480">IF(NOT(ISBLANK(A1480)),((_xlfn.XLOOKUP(1,(_bbt3[[#All],[ID]]=A1480)*(_bbt3[[#All],[METRIC_NAME]]="YLD_YTM_ASK"),_bbt3[[#All],[METRIC_VALUE]])*0.5)+(_xlfn.XLOOKUP(1,(_bbt3[[#All],[ID]]=A1480)*(_bbt3[[#All],[METRIC_NAME]]="YLD_YTM_BID"),_bbt3[[#All],[METRIC_VALUE]])*0.5))/100,"")</f>
        <v/>
      </c>
      <c r="J1480">
        <f>IF(ISNA(VLOOKUP(A1480,'CloseDL - PriceSaverBBT3'!A:E,5,0)),0,VLOOKUP(A1480,'CloseDL - PriceSaverBBT3'!A:E,5,0))</f>
        <v>0</v>
      </c>
      <c r="K1480" s="7" t="str">
        <f t="shared" si="217"/>
        <v/>
      </c>
      <c r="L1480" s="20">
        <f>IF(Close[[#This Row],[CreatedBy]]="MARINER\SilverAdm",1,0)</f>
        <v>1</v>
      </c>
      <c r="M1480" t="str">
        <f>IF(NOT(ISBLANK(A1480)),VLOOKUP(A1480,'Close - PriceSaver'!A:J,6,0),"")</f>
        <v/>
      </c>
    </row>
    <row r="1481" spans="2:13" x14ac:dyDescent="0.35">
      <c r="B1481" t="str">
        <f>IF(NOT(ISBLANK(A1481)),VLOOKUP(A1481,'BBT3'!A:F,2,0),"")</f>
        <v/>
      </c>
      <c r="C1481" t="str">
        <f>IF(NOT(ISBLANK(A1481)),VLOOKUP(A1481,'BBT3'!A:F,3,0),"")</f>
        <v/>
      </c>
      <c r="D1481" s="5" t="str">
        <f>IF(NOT(ISBLANK(A1481)),VLOOKUP(A1481,'BBT3'!A:F,4,1),"")</f>
        <v/>
      </c>
      <c r="E1481" t="str">
        <f>IF(NOT(ISBLANK(A1481)),VLOOKUP(A1481,'BBT3'!A:F,5,0),"")</f>
        <v/>
      </c>
      <c r="F1481" t="str">
        <f>IF(NOT(ISBLANK(A1481)),VLOOKUP(A1481,'BBT3'!A:F,6,0),"")</f>
        <v/>
      </c>
      <c r="G1481" t="str">
        <f t="shared" si="216"/>
        <v/>
      </c>
      <c r="H1481" t="str">
        <f>IF(NOT(ISBLANK(A1481)),VLOOKUP(A1481,'Close - PriceSaver'!A:J,5,0),"")</f>
        <v/>
      </c>
      <c r="I1481" s="4" t="str" cm="1">
        <f t="array" ref="I1481">IF(NOT(ISBLANK(A1481)),((_xlfn.XLOOKUP(1,(_bbt3[[#All],[ID]]=A1481)*(_bbt3[[#All],[METRIC_NAME]]="YLD_YTM_ASK"),_bbt3[[#All],[METRIC_VALUE]])*0.5)+(_xlfn.XLOOKUP(1,(_bbt3[[#All],[ID]]=A1481)*(_bbt3[[#All],[METRIC_NAME]]="YLD_YTM_BID"),_bbt3[[#All],[METRIC_VALUE]])*0.5))/100,"")</f>
        <v/>
      </c>
      <c r="J1481">
        <f>IF(ISNA(VLOOKUP(A1481,'CloseDL - PriceSaverBBT3'!A:E,5,0)),0,VLOOKUP(A1481,'CloseDL - PriceSaverBBT3'!A:E,5,0))</f>
        <v>0</v>
      </c>
      <c r="K1481" s="7" t="str">
        <f t="shared" si="217"/>
        <v/>
      </c>
      <c r="L1481" s="20">
        <f>IF(Close[[#This Row],[CreatedBy]]="MARINER\SilverAdm",1,0)</f>
        <v>1</v>
      </c>
      <c r="M1481" t="str">
        <f>IF(NOT(ISBLANK(A1481)),VLOOKUP(A1481,'Close - PriceSaver'!A:J,6,0),"")</f>
        <v/>
      </c>
    </row>
    <row r="1482" spans="2:13" x14ac:dyDescent="0.35">
      <c r="B1482" t="str">
        <f>IF(NOT(ISBLANK(A1482)),VLOOKUP(A1482,'BBT3'!A:F,2,0),"")</f>
        <v/>
      </c>
      <c r="C1482" t="str">
        <f>IF(NOT(ISBLANK(A1482)),VLOOKUP(A1482,'BBT3'!A:F,3,0),"")</f>
        <v/>
      </c>
      <c r="D1482" s="5" t="str">
        <f>IF(NOT(ISBLANK(A1482)),VLOOKUP(A1482,'BBT3'!A:F,4,1),"")</f>
        <v/>
      </c>
      <c r="E1482" t="str">
        <f>IF(NOT(ISBLANK(A1482)),VLOOKUP(A1482,'BBT3'!A:F,5,0),"")</f>
        <v/>
      </c>
      <c r="F1482" t="str">
        <f>IF(NOT(ISBLANK(A1482)),VLOOKUP(A1482,'BBT3'!A:F,6,0),"")</f>
        <v/>
      </c>
      <c r="G1482" t="str">
        <f t="shared" si="216"/>
        <v/>
      </c>
      <c r="H1482" t="str">
        <f>IF(NOT(ISBLANK(A1482)),VLOOKUP(A1482,'Close - PriceSaver'!A:J,5,0),"")</f>
        <v/>
      </c>
      <c r="I1482" s="4" t="str" cm="1">
        <f t="array" ref="I1482">IF(NOT(ISBLANK(A1482)),((_xlfn.XLOOKUP(1,(_bbt3[[#All],[ID]]=A1482)*(_bbt3[[#All],[METRIC_NAME]]="YLD_YTM_ASK"),_bbt3[[#All],[METRIC_VALUE]])*0.5)+(_xlfn.XLOOKUP(1,(_bbt3[[#All],[ID]]=A1482)*(_bbt3[[#All],[METRIC_NAME]]="YLD_YTM_BID"),_bbt3[[#All],[METRIC_VALUE]])*0.5))/100,"")</f>
        <v/>
      </c>
      <c r="J1482">
        <f>IF(ISNA(VLOOKUP(A1482,'CloseDL - PriceSaverBBT3'!A:E,5,0)),0,VLOOKUP(A1482,'CloseDL - PriceSaverBBT3'!A:E,5,0))</f>
        <v>0</v>
      </c>
      <c r="K1482" s="7" t="str">
        <f t="shared" si="217"/>
        <v/>
      </c>
      <c r="L1482" s="20">
        <f>IF(Close[[#This Row],[CreatedBy]]="MARINER\SilverAdm",1,0)</f>
        <v>1</v>
      </c>
      <c r="M1482" t="str">
        <f>IF(NOT(ISBLANK(A1482)),VLOOKUP(A1482,'Close - PriceSaver'!A:J,6,0),"")</f>
        <v/>
      </c>
    </row>
    <row r="1483" spans="2:13" x14ac:dyDescent="0.35">
      <c r="B1483" t="str">
        <f>IF(NOT(ISBLANK(A1483)),VLOOKUP(A1483,'BBT3'!A:F,2,0),"")</f>
        <v/>
      </c>
      <c r="C1483" t="str">
        <f>IF(NOT(ISBLANK(A1483)),VLOOKUP(A1483,'BBT3'!A:F,3,0),"")</f>
        <v/>
      </c>
      <c r="D1483" s="5" t="str">
        <f>IF(NOT(ISBLANK(A1483)),VLOOKUP(A1483,'BBT3'!A:F,4,1),"")</f>
        <v/>
      </c>
      <c r="E1483" t="str">
        <f>IF(NOT(ISBLANK(A1483)),VLOOKUP(A1483,'BBT3'!A:F,5,0),"")</f>
        <v/>
      </c>
      <c r="F1483" t="str">
        <f>IF(NOT(ISBLANK(A1483)),VLOOKUP(A1483,'BBT3'!A:F,6,0),"")</f>
        <v/>
      </c>
      <c r="G1483" t="str">
        <f t="shared" si="216"/>
        <v/>
      </c>
      <c r="H1483" t="str">
        <f>IF(NOT(ISBLANK(A1483)),VLOOKUP(A1483,'Close - PriceSaver'!A:J,5,0),"")</f>
        <v/>
      </c>
      <c r="I1483" s="4" t="str" cm="1">
        <f t="array" ref="I1483">IF(NOT(ISBLANK(A1483)),((_xlfn.XLOOKUP(1,(_bbt3[[#All],[ID]]=A1483)*(_bbt3[[#All],[METRIC_NAME]]="YLD_YTM_ASK"),_bbt3[[#All],[METRIC_VALUE]])*0.5)+(_xlfn.XLOOKUP(1,(_bbt3[[#All],[ID]]=A1483)*(_bbt3[[#All],[METRIC_NAME]]="YLD_YTM_BID"),_bbt3[[#All],[METRIC_VALUE]])*0.5))/100,"")</f>
        <v/>
      </c>
      <c r="J1483">
        <f>IF(ISNA(VLOOKUP(A1483,'CloseDL - PriceSaverBBT3'!A:E,5,0)),0,VLOOKUP(A1483,'CloseDL - PriceSaverBBT3'!A:E,5,0))</f>
        <v>0</v>
      </c>
      <c r="K1483" s="7" t="str">
        <f t="shared" si="217"/>
        <v/>
      </c>
      <c r="L1483" s="20">
        <f>IF(Close[[#This Row],[CreatedBy]]="MARINER\SilverAdm",1,0)</f>
        <v>1</v>
      </c>
      <c r="M1483" t="str">
        <f>IF(NOT(ISBLANK(A1483)),VLOOKUP(A1483,'Close - PriceSaver'!A:J,6,0),"")</f>
        <v/>
      </c>
    </row>
    <row r="1484" spans="2:13" x14ac:dyDescent="0.35">
      <c r="B1484" t="str">
        <f>IF(NOT(ISBLANK(A1484)),VLOOKUP(A1484,'BBT3'!A:F,2,0),"")</f>
        <v/>
      </c>
      <c r="C1484" t="str">
        <f>IF(NOT(ISBLANK(A1484)),VLOOKUP(A1484,'BBT3'!A:F,3,0),"")</f>
        <v/>
      </c>
      <c r="D1484" s="5" t="str">
        <f>IF(NOT(ISBLANK(A1484)),VLOOKUP(A1484,'BBT3'!A:F,4,1),"")</f>
        <v/>
      </c>
      <c r="E1484" t="str">
        <f>IF(NOT(ISBLANK(A1484)),VLOOKUP(A1484,'BBT3'!A:F,5,0),"")</f>
        <v/>
      </c>
      <c r="F1484" t="str">
        <f>IF(NOT(ISBLANK(A1484)),VLOOKUP(A1484,'BBT3'!A:F,6,0),"")</f>
        <v/>
      </c>
      <c r="G1484" t="str">
        <f t="shared" si="216"/>
        <v/>
      </c>
      <c r="H1484" t="str">
        <f>IF(NOT(ISBLANK(A1484)),VLOOKUP(A1484,'Close - PriceSaver'!A:J,5,0),"")</f>
        <v/>
      </c>
      <c r="I1484" s="4" t="str" cm="1">
        <f t="array" ref="I1484">IF(NOT(ISBLANK(A1484)),((_xlfn.XLOOKUP(1,(_bbt3[[#All],[ID]]=A1484)*(_bbt3[[#All],[METRIC_NAME]]="YLD_YTM_ASK"),_bbt3[[#All],[METRIC_VALUE]])*0.5)+(_xlfn.XLOOKUP(1,(_bbt3[[#All],[ID]]=A1484)*(_bbt3[[#All],[METRIC_NAME]]="YLD_YTM_BID"),_bbt3[[#All],[METRIC_VALUE]])*0.5))/100,"")</f>
        <v/>
      </c>
      <c r="J1484">
        <f>IF(ISNA(VLOOKUP(A1484,'CloseDL - PriceSaverBBT3'!A:E,5,0)),0,VLOOKUP(A1484,'CloseDL - PriceSaverBBT3'!A:E,5,0))</f>
        <v>0</v>
      </c>
      <c r="K1484" s="7" t="str">
        <f t="shared" si="217"/>
        <v/>
      </c>
      <c r="L1484" s="20">
        <f>IF(Close[[#This Row],[CreatedBy]]="MARINER\SilverAdm",1,0)</f>
        <v>1</v>
      </c>
      <c r="M1484" t="str">
        <f>IF(NOT(ISBLANK(A1484)),VLOOKUP(A1484,'Close - PriceSaver'!A:J,6,0),"")</f>
        <v/>
      </c>
    </row>
    <row r="1485" spans="2:13" x14ac:dyDescent="0.35">
      <c r="B1485" t="str">
        <f>IF(NOT(ISBLANK(A1485)),VLOOKUP(A1485,'BBT3'!A:F,2,0),"")</f>
        <v/>
      </c>
      <c r="C1485" t="str">
        <f>IF(NOT(ISBLANK(A1485)),VLOOKUP(A1485,'BBT3'!A:F,3,0),"")</f>
        <v/>
      </c>
      <c r="D1485" s="5" t="str">
        <f>IF(NOT(ISBLANK(A1485)),VLOOKUP(A1485,'BBT3'!A:F,4,1),"")</f>
        <v/>
      </c>
      <c r="E1485" t="str">
        <f>IF(NOT(ISBLANK(A1485)),VLOOKUP(A1485,'BBT3'!A:F,5,0),"")</f>
        <v/>
      </c>
      <c r="F1485" t="str">
        <f>IF(NOT(ISBLANK(A1485)),VLOOKUP(A1485,'BBT3'!A:F,6,0),"")</f>
        <v/>
      </c>
      <c r="G1485" t="str">
        <f t="shared" si="216"/>
        <v/>
      </c>
      <c r="H1485" t="str">
        <f>IF(NOT(ISBLANK(A1485)),VLOOKUP(A1485,'Close - PriceSaver'!A:J,5,0),"")</f>
        <v/>
      </c>
      <c r="I1485" s="4" t="str" cm="1">
        <f t="array" ref="I1485">IF(NOT(ISBLANK(A1485)),((_xlfn.XLOOKUP(1,(_bbt3[[#All],[ID]]=A1485)*(_bbt3[[#All],[METRIC_NAME]]="YLD_YTM_ASK"),_bbt3[[#All],[METRIC_VALUE]])*0.5)+(_xlfn.XLOOKUP(1,(_bbt3[[#All],[ID]]=A1485)*(_bbt3[[#All],[METRIC_NAME]]="YLD_YTM_BID"),_bbt3[[#All],[METRIC_VALUE]])*0.5))/100,"")</f>
        <v/>
      </c>
      <c r="J1485">
        <f>IF(ISNA(VLOOKUP(A1485,'CloseDL - PriceSaverBBT3'!A:E,5,0)),0,VLOOKUP(A1485,'CloseDL - PriceSaverBBT3'!A:E,5,0))</f>
        <v>0</v>
      </c>
      <c r="K1485" s="7" t="str">
        <f t="shared" si="217"/>
        <v/>
      </c>
      <c r="L1485" s="20">
        <f>IF(Close[[#This Row],[CreatedBy]]="MARINER\SilverAdm",1,0)</f>
        <v>1</v>
      </c>
      <c r="M1485" t="str">
        <f>IF(NOT(ISBLANK(A1485)),VLOOKUP(A1485,'Close - PriceSaver'!A:J,6,0),"")</f>
        <v/>
      </c>
    </row>
    <row r="1486" spans="2:13" x14ac:dyDescent="0.35">
      <c r="B1486" t="str">
        <f>IF(NOT(ISBLANK(A1486)),VLOOKUP(A1486,'BBT3'!A:F,2,0),"")</f>
        <v/>
      </c>
      <c r="C1486" t="str">
        <f>IF(NOT(ISBLANK(A1486)),VLOOKUP(A1486,'BBT3'!A:F,3,0),"")</f>
        <v/>
      </c>
      <c r="D1486" s="5" t="str">
        <f>IF(NOT(ISBLANK(A1486)),VLOOKUP(A1486,'BBT3'!A:F,4,1),"")</f>
        <v/>
      </c>
      <c r="E1486" t="str">
        <f>IF(NOT(ISBLANK(A1486)),VLOOKUP(A1486,'BBT3'!A:F,5,0),"")</f>
        <v/>
      </c>
      <c r="F1486" t="str">
        <f>IF(NOT(ISBLANK(A1486)),VLOOKUP(A1486,'BBT3'!A:F,6,0),"")</f>
        <v/>
      </c>
      <c r="G1486" t="str">
        <f t="shared" si="216"/>
        <v/>
      </c>
      <c r="H1486" t="str">
        <f>IF(NOT(ISBLANK(A1486)),VLOOKUP(A1486,'Close - PriceSaver'!A:J,5,0),"")</f>
        <v/>
      </c>
      <c r="I1486" s="4" t="str" cm="1">
        <f t="array" ref="I1486">IF(NOT(ISBLANK(A1486)),((_xlfn.XLOOKUP(1,(_bbt3[[#All],[ID]]=A1486)*(_bbt3[[#All],[METRIC_NAME]]="YLD_YTM_ASK"),_bbt3[[#All],[METRIC_VALUE]])*0.5)+(_xlfn.XLOOKUP(1,(_bbt3[[#All],[ID]]=A1486)*(_bbt3[[#All],[METRIC_NAME]]="YLD_YTM_BID"),_bbt3[[#All],[METRIC_VALUE]])*0.5))/100,"")</f>
        <v/>
      </c>
      <c r="J1486">
        <f>IF(ISNA(VLOOKUP(A1486,'CloseDL - PriceSaverBBT3'!A:E,5,0)),0,VLOOKUP(A1486,'CloseDL - PriceSaverBBT3'!A:E,5,0))</f>
        <v>0</v>
      </c>
      <c r="K1486" s="7" t="str">
        <f t="shared" si="217"/>
        <v/>
      </c>
      <c r="L1486" s="20">
        <f>IF(Close[[#This Row],[CreatedBy]]="MARINER\SilverAdm",1,0)</f>
        <v>1</v>
      </c>
      <c r="M1486" t="str">
        <f>IF(NOT(ISBLANK(A1486)),VLOOKUP(A1486,'Close - PriceSaver'!A:J,6,0),"")</f>
        <v/>
      </c>
    </row>
    <row r="1487" spans="2:13" x14ac:dyDescent="0.35">
      <c r="B1487" t="str">
        <f>IF(NOT(ISBLANK(A1487)),VLOOKUP(A1487,'BBT3'!A:F,2,0),"")</f>
        <v/>
      </c>
      <c r="C1487" t="str">
        <f>IF(NOT(ISBLANK(A1487)),VLOOKUP(A1487,'BBT3'!A:F,3,0),"")</f>
        <v/>
      </c>
      <c r="D1487" s="5" t="str">
        <f>IF(NOT(ISBLANK(A1487)),VLOOKUP(A1487,'BBT3'!A:F,4,1),"")</f>
        <v/>
      </c>
      <c r="E1487" t="str">
        <f>IF(NOT(ISBLANK(A1487)),VLOOKUP(A1487,'BBT3'!A:F,5,0),"")</f>
        <v/>
      </c>
      <c r="F1487" t="str">
        <f>IF(NOT(ISBLANK(A1487)),VLOOKUP(A1487,'BBT3'!A:F,6,0),"")</f>
        <v/>
      </c>
      <c r="G1487" t="str">
        <f t="shared" si="216"/>
        <v/>
      </c>
      <c r="H1487" t="str">
        <f>IF(NOT(ISBLANK(A1487)),VLOOKUP(A1487,'Close - PriceSaver'!A:J,5,0),"")</f>
        <v/>
      </c>
      <c r="I1487" s="4" t="str" cm="1">
        <f t="array" ref="I1487">IF(NOT(ISBLANK(A1487)),((_xlfn.XLOOKUP(1,(_bbt3[[#All],[ID]]=A1487)*(_bbt3[[#All],[METRIC_NAME]]="YLD_YTM_ASK"),_bbt3[[#All],[METRIC_VALUE]])*0.5)+(_xlfn.XLOOKUP(1,(_bbt3[[#All],[ID]]=A1487)*(_bbt3[[#All],[METRIC_NAME]]="YLD_YTM_BID"),_bbt3[[#All],[METRIC_VALUE]])*0.5))/100,"")</f>
        <v/>
      </c>
      <c r="J1487">
        <f>IF(ISNA(VLOOKUP(A1487,'CloseDL - PriceSaverBBT3'!A:E,5,0)),0,VLOOKUP(A1487,'CloseDL - PriceSaverBBT3'!A:E,5,0))</f>
        <v>0</v>
      </c>
      <c r="K1487" s="7" t="str">
        <f t="shared" si="217"/>
        <v/>
      </c>
      <c r="L1487" s="20">
        <f>IF(Close[[#This Row],[CreatedBy]]="MARINER\SilverAdm",1,0)</f>
        <v>1</v>
      </c>
      <c r="M1487" t="str">
        <f>IF(NOT(ISBLANK(A1487)),VLOOKUP(A1487,'Close - PriceSaver'!A:J,6,0),"")</f>
        <v/>
      </c>
    </row>
    <row r="1488" spans="2:13" x14ac:dyDescent="0.35">
      <c r="B1488" t="str">
        <f>IF(NOT(ISBLANK(A1488)),VLOOKUP(A1488,'BBT3'!A:F,2,0),"")</f>
        <v/>
      </c>
      <c r="C1488" t="str">
        <f>IF(NOT(ISBLANK(A1488)),VLOOKUP(A1488,'BBT3'!A:F,3,0),"")</f>
        <v/>
      </c>
      <c r="D1488" s="5" t="str">
        <f>IF(NOT(ISBLANK(A1488)),VLOOKUP(A1488,'BBT3'!A:F,4,1),"")</f>
        <v/>
      </c>
      <c r="E1488" t="str">
        <f>IF(NOT(ISBLANK(A1488)),VLOOKUP(A1488,'BBT3'!A:F,5,0),"")</f>
        <v/>
      </c>
      <c r="F1488" t="str">
        <f>IF(NOT(ISBLANK(A1488)),VLOOKUP(A1488,'BBT3'!A:F,6,0),"")</f>
        <v/>
      </c>
      <c r="G1488" t="str">
        <f t="shared" si="216"/>
        <v/>
      </c>
      <c r="H1488" t="str">
        <f>IF(NOT(ISBLANK(A1488)),VLOOKUP(A1488,'Close - PriceSaver'!A:J,5,0),"")</f>
        <v/>
      </c>
      <c r="I1488" s="4" t="str" cm="1">
        <f t="array" ref="I1488">IF(NOT(ISBLANK(A1488)),((_xlfn.XLOOKUP(1,(_bbt3[[#All],[ID]]=A1488)*(_bbt3[[#All],[METRIC_NAME]]="YLD_YTM_ASK"),_bbt3[[#All],[METRIC_VALUE]])*0.5)+(_xlfn.XLOOKUP(1,(_bbt3[[#All],[ID]]=A1488)*(_bbt3[[#All],[METRIC_NAME]]="YLD_YTM_BID"),_bbt3[[#All],[METRIC_VALUE]])*0.5))/100,"")</f>
        <v/>
      </c>
      <c r="J1488">
        <f>IF(ISNA(VLOOKUP(A1488,'CloseDL - PriceSaverBBT3'!A:E,5,0)),0,VLOOKUP(A1488,'CloseDL - PriceSaverBBT3'!A:E,5,0))</f>
        <v>0</v>
      </c>
      <c r="K1488" s="7" t="str">
        <f t="shared" si="217"/>
        <v/>
      </c>
      <c r="L1488" s="20">
        <f>IF(Close[[#This Row],[CreatedBy]]="MARINER\SilverAdm",1,0)</f>
        <v>1</v>
      </c>
      <c r="M1488" t="str">
        <f>IF(NOT(ISBLANK(A1488)),VLOOKUP(A1488,'Close - PriceSaver'!A:J,6,0),"")</f>
        <v/>
      </c>
    </row>
    <row r="1489" spans="2:13" x14ac:dyDescent="0.35">
      <c r="B1489" t="str">
        <f>IF(NOT(ISBLANK(A1489)),VLOOKUP(A1489,'BBT3'!A:F,2,0),"")</f>
        <v/>
      </c>
      <c r="C1489" t="str">
        <f>IF(NOT(ISBLANK(A1489)),VLOOKUP(A1489,'BBT3'!A:F,3,0),"")</f>
        <v/>
      </c>
      <c r="D1489" s="5" t="str">
        <f>IF(NOT(ISBLANK(A1489)),VLOOKUP(A1489,'BBT3'!A:F,4,1),"")</f>
        <v/>
      </c>
      <c r="E1489" t="str">
        <f>IF(NOT(ISBLANK(A1489)),VLOOKUP(A1489,'BBT3'!A:F,5,0),"")</f>
        <v/>
      </c>
      <c r="F1489" t="str">
        <f>IF(NOT(ISBLANK(A1489)),VLOOKUP(A1489,'BBT3'!A:F,6,0),"")</f>
        <v/>
      </c>
      <c r="G1489" t="str">
        <f t="shared" si="216"/>
        <v/>
      </c>
      <c r="H1489" t="str">
        <f>IF(NOT(ISBLANK(A1489)),VLOOKUP(A1489,'Close - PriceSaver'!A:J,5,0),"")</f>
        <v/>
      </c>
      <c r="I1489" s="4" t="str" cm="1">
        <f t="array" ref="I1489">IF(NOT(ISBLANK(A1489)),((_xlfn.XLOOKUP(1,(_bbt3[[#All],[ID]]=A1489)*(_bbt3[[#All],[METRIC_NAME]]="YLD_YTM_ASK"),_bbt3[[#All],[METRIC_VALUE]])*0.5)+(_xlfn.XLOOKUP(1,(_bbt3[[#All],[ID]]=A1489)*(_bbt3[[#All],[METRIC_NAME]]="YLD_YTM_BID"),_bbt3[[#All],[METRIC_VALUE]])*0.5))/100,"")</f>
        <v/>
      </c>
      <c r="J1489">
        <f>IF(ISNA(VLOOKUP(A1489,'CloseDL - PriceSaverBBT3'!A:E,5,0)),0,VLOOKUP(A1489,'CloseDL - PriceSaverBBT3'!A:E,5,0))</f>
        <v>0</v>
      </c>
      <c r="K1489" s="7" t="str">
        <f t="shared" si="217"/>
        <v/>
      </c>
      <c r="L1489" s="20">
        <f>IF(Close[[#This Row],[CreatedBy]]="MARINER\SilverAdm",1,0)</f>
        <v>1</v>
      </c>
      <c r="M1489" t="str">
        <f>IF(NOT(ISBLANK(A1489)),VLOOKUP(A1489,'Close - PriceSaver'!A:J,6,0),"")</f>
        <v/>
      </c>
    </row>
    <row r="1490" spans="2:13" x14ac:dyDescent="0.35">
      <c r="B1490" t="str">
        <f>IF(NOT(ISBLANK(A1490)),VLOOKUP(A1490,'BBT3'!A:F,2,0),"")</f>
        <v/>
      </c>
      <c r="C1490" t="str">
        <f>IF(NOT(ISBLANK(A1490)),VLOOKUP(A1490,'BBT3'!A:F,3,0),"")</f>
        <v/>
      </c>
      <c r="D1490" s="5" t="str">
        <f>IF(NOT(ISBLANK(A1490)),VLOOKUP(A1490,'BBT3'!A:F,4,1),"")</f>
        <v/>
      </c>
      <c r="E1490" t="str">
        <f>IF(NOT(ISBLANK(A1490)),VLOOKUP(A1490,'BBT3'!A:F,5,0),"")</f>
        <v/>
      </c>
      <c r="F1490" t="str">
        <f>IF(NOT(ISBLANK(A1490)),VLOOKUP(A1490,'BBT3'!A:F,6,0),"")</f>
        <v/>
      </c>
      <c r="G1490" t="str">
        <f t="shared" si="216"/>
        <v/>
      </c>
      <c r="H1490" t="str">
        <f>IF(NOT(ISBLANK(A1490)),VLOOKUP(A1490,'Close - PriceSaver'!A:J,5,0),"")</f>
        <v/>
      </c>
      <c r="I1490" s="4" t="str" cm="1">
        <f t="array" ref="I1490">IF(NOT(ISBLANK(A1490)),((_xlfn.XLOOKUP(1,(_bbt3[[#All],[ID]]=A1490)*(_bbt3[[#All],[METRIC_NAME]]="YLD_YTM_ASK"),_bbt3[[#All],[METRIC_VALUE]])*0.5)+(_xlfn.XLOOKUP(1,(_bbt3[[#All],[ID]]=A1490)*(_bbt3[[#All],[METRIC_NAME]]="YLD_YTM_BID"),_bbt3[[#All],[METRIC_VALUE]])*0.5))/100,"")</f>
        <v/>
      </c>
      <c r="J1490">
        <f>IF(ISNA(VLOOKUP(A1490,'CloseDL - PriceSaverBBT3'!A:E,5,0)),0,VLOOKUP(A1490,'CloseDL - PriceSaverBBT3'!A:E,5,0))</f>
        <v>0</v>
      </c>
      <c r="K1490" s="7" t="str">
        <f t="shared" si="217"/>
        <v/>
      </c>
      <c r="L1490" s="20">
        <f>IF(Close[[#This Row],[CreatedBy]]="MARINER\SilverAdm",1,0)</f>
        <v>1</v>
      </c>
      <c r="M1490" t="str">
        <f>IF(NOT(ISBLANK(A1490)),VLOOKUP(A1490,'Close - PriceSaver'!A:J,6,0),"")</f>
        <v/>
      </c>
    </row>
    <row r="1491" spans="2:13" x14ac:dyDescent="0.35">
      <c r="B1491" t="str">
        <f>IF(NOT(ISBLANK(A1491)),VLOOKUP(A1491,'BBT3'!A:F,2,0),"")</f>
        <v/>
      </c>
      <c r="C1491" t="str">
        <f>IF(NOT(ISBLANK(A1491)),VLOOKUP(A1491,'BBT3'!A:F,3,0),"")</f>
        <v/>
      </c>
      <c r="D1491" s="5" t="str">
        <f>IF(NOT(ISBLANK(A1491)),VLOOKUP(A1491,'BBT3'!A:F,4,1),"")</f>
        <v/>
      </c>
      <c r="E1491" t="str">
        <f>IF(NOT(ISBLANK(A1491)),VLOOKUP(A1491,'BBT3'!A:F,5,0),"")</f>
        <v/>
      </c>
      <c r="F1491" t="str">
        <f>IF(NOT(ISBLANK(A1491)),VLOOKUP(A1491,'BBT3'!A:F,6,0),"")</f>
        <v/>
      </c>
      <c r="G1491" t="str">
        <f t="shared" si="216"/>
        <v/>
      </c>
      <c r="H1491" t="str">
        <f>IF(NOT(ISBLANK(A1491)),VLOOKUP(A1491,'Close - PriceSaver'!A:J,5,0),"")</f>
        <v/>
      </c>
      <c r="I1491" s="4" t="str" cm="1">
        <f t="array" ref="I1491">IF(NOT(ISBLANK(A1491)),((_xlfn.XLOOKUP(1,(_bbt3[[#All],[ID]]=A1491)*(_bbt3[[#All],[METRIC_NAME]]="YLD_YTM_ASK"),_bbt3[[#All],[METRIC_VALUE]])*0.5)+(_xlfn.XLOOKUP(1,(_bbt3[[#All],[ID]]=A1491)*(_bbt3[[#All],[METRIC_NAME]]="YLD_YTM_BID"),_bbt3[[#All],[METRIC_VALUE]])*0.5))/100,"")</f>
        <v/>
      </c>
      <c r="J1491">
        <f>IF(ISNA(VLOOKUP(A1491,'CloseDL - PriceSaverBBT3'!A:E,5,0)),0,VLOOKUP(A1491,'CloseDL - PriceSaverBBT3'!A:E,5,0))</f>
        <v>0</v>
      </c>
      <c r="K1491" s="7" t="str">
        <f t="shared" si="217"/>
        <v/>
      </c>
      <c r="L1491" s="20">
        <f>IF(Close[[#This Row],[CreatedBy]]="MARINER\SilverAdm",1,0)</f>
        <v>1</v>
      </c>
      <c r="M1491" t="str">
        <f>IF(NOT(ISBLANK(A1491)),VLOOKUP(A1491,'Close - PriceSaver'!A:J,6,0),"")</f>
        <v/>
      </c>
    </row>
    <row r="1492" spans="2:13" x14ac:dyDescent="0.35">
      <c r="B1492" t="str">
        <f>IF(NOT(ISBLANK(A1492)),VLOOKUP(A1492,'BBT3'!A:F,2,0),"")</f>
        <v/>
      </c>
      <c r="C1492" t="str">
        <f>IF(NOT(ISBLANK(A1492)),VLOOKUP(A1492,'BBT3'!A:F,3,0),"")</f>
        <v/>
      </c>
      <c r="D1492" s="5" t="str">
        <f>IF(NOT(ISBLANK(A1492)),VLOOKUP(A1492,'BBT3'!A:F,4,1),"")</f>
        <v/>
      </c>
      <c r="E1492" t="str">
        <f>IF(NOT(ISBLANK(A1492)),VLOOKUP(A1492,'BBT3'!A:F,5,0),"")</f>
        <v/>
      </c>
      <c r="F1492" t="str">
        <f>IF(NOT(ISBLANK(A1492)),VLOOKUP(A1492,'BBT3'!A:F,6,0),"")</f>
        <v/>
      </c>
      <c r="G1492" t="str">
        <f t="shared" si="216"/>
        <v/>
      </c>
      <c r="H1492" t="str">
        <f>IF(NOT(ISBLANK(A1492)),VLOOKUP(A1492,'Close - PriceSaver'!A:J,5,0),"")</f>
        <v/>
      </c>
      <c r="I1492" s="4" t="str" cm="1">
        <f t="array" ref="I1492">IF(NOT(ISBLANK(A1492)),((_xlfn.XLOOKUP(1,(_bbt3[[#All],[ID]]=A1492)*(_bbt3[[#All],[METRIC_NAME]]="YLD_YTM_ASK"),_bbt3[[#All],[METRIC_VALUE]])*0.5)+(_xlfn.XLOOKUP(1,(_bbt3[[#All],[ID]]=A1492)*(_bbt3[[#All],[METRIC_NAME]]="YLD_YTM_BID"),_bbt3[[#All],[METRIC_VALUE]])*0.5))/100,"")</f>
        <v/>
      </c>
      <c r="J1492">
        <f>IF(ISNA(VLOOKUP(A1492,'CloseDL - PriceSaverBBT3'!A:E,5,0)),0,VLOOKUP(A1492,'CloseDL - PriceSaverBBT3'!A:E,5,0))</f>
        <v>0</v>
      </c>
      <c r="K1492" s="7" t="str">
        <f t="shared" si="217"/>
        <v/>
      </c>
      <c r="L1492" s="20">
        <f>IF(Close[[#This Row],[CreatedBy]]="MARINER\SilverAdm",1,0)</f>
        <v>1</v>
      </c>
      <c r="M1492" t="str">
        <f>IF(NOT(ISBLANK(A1492)),VLOOKUP(A1492,'Close - PriceSaver'!A:J,6,0),"")</f>
        <v/>
      </c>
    </row>
    <row r="1493" spans="2:13" x14ac:dyDescent="0.35">
      <c r="B1493" t="str">
        <f>IF(NOT(ISBLANK(A1493)),VLOOKUP(A1493,'BBT3'!A:F,2,0),"")</f>
        <v/>
      </c>
      <c r="C1493" t="str">
        <f>IF(NOT(ISBLANK(A1493)),VLOOKUP(A1493,'BBT3'!A:F,3,0),"")</f>
        <v/>
      </c>
      <c r="D1493" s="5" t="str">
        <f>IF(NOT(ISBLANK(A1493)),VLOOKUP(A1493,'BBT3'!A:F,4,1),"")</f>
        <v/>
      </c>
      <c r="E1493" t="str">
        <f>IF(NOT(ISBLANK(A1493)),VLOOKUP(A1493,'BBT3'!A:F,5,0),"")</f>
        <v/>
      </c>
      <c r="F1493" t="str">
        <f>IF(NOT(ISBLANK(A1493)),VLOOKUP(A1493,'BBT3'!A:F,6,0),"")</f>
        <v/>
      </c>
      <c r="G1493" t="str">
        <f t="shared" si="216"/>
        <v/>
      </c>
      <c r="H1493" t="str">
        <f>IF(NOT(ISBLANK(A1493)),VLOOKUP(A1493,'Close - PriceSaver'!A:J,5,0),"")</f>
        <v/>
      </c>
      <c r="I1493" s="4" t="str" cm="1">
        <f t="array" ref="I1493">IF(NOT(ISBLANK(A1493)),((_xlfn.XLOOKUP(1,(_bbt3[[#All],[ID]]=A1493)*(_bbt3[[#All],[METRIC_NAME]]="YLD_YTM_ASK"),_bbt3[[#All],[METRIC_VALUE]])*0.5)+(_xlfn.XLOOKUP(1,(_bbt3[[#All],[ID]]=A1493)*(_bbt3[[#All],[METRIC_NAME]]="YLD_YTM_BID"),_bbt3[[#All],[METRIC_VALUE]])*0.5))/100,"")</f>
        <v/>
      </c>
      <c r="J1493">
        <f>IF(ISNA(VLOOKUP(A1493,'CloseDL - PriceSaverBBT3'!A:E,5,0)),0,VLOOKUP(A1493,'CloseDL - PriceSaverBBT3'!A:E,5,0))</f>
        <v>0</v>
      </c>
      <c r="K1493" s="7" t="str">
        <f t="shared" si="217"/>
        <v/>
      </c>
      <c r="L1493" s="20">
        <f>IF(Close[[#This Row],[CreatedBy]]="MARINER\SilverAdm",1,0)</f>
        <v>1</v>
      </c>
      <c r="M1493" t="str">
        <f>IF(NOT(ISBLANK(A1493)),VLOOKUP(A1493,'Close - PriceSaver'!A:J,6,0),"")</f>
        <v/>
      </c>
    </row>
    <row r="1494" spans="2:13" x14ac:dyDescent="0.35">
      <c r="B1494" t="str">
        <f>IF(NOT(ISBLANK(A1494)),VLOOKUP(A1494,'BBT3'!A:F,2,0),"")</f>
        <v/>
      </c>
      <c r="C1494" t="str">
        <f>IF(NOT(ISBLANK(A1494)),VLOOKUP(A1494,'BBT3'!A:F,3,0),"")</f>
        <v/>
      </c>
      <c r="D1494" s="5" t="str">
        <f>IF(NOT(ISBLANK(A1494)),VLOOKUP(A1494,'BBT3'!A:F,4,1),"")</f>
        <v/>
      </c>
      <c r="E1494" t="str">
        <f>IF(NOT(ISBLANK(A1494)),VLOOKUP(A1494,'BBT3'!A:F,5,0),"")</f>
        <v/>
      </c>
      <c r="F1494" t="str">
        <f>IF(NOT(ISBLANK(A1494)),VLOOKUP(A1494,'BBT3'!A:F,6,0),"")</f>
        <v/>
      </c>
      <c r="G1494" t="str">
        <f t="shared" si="216"/>
        <v/>
      </c>
      <c r="H1494" t="str">
        <f>IF(NOT(ISBLANK(A1494)),VLOOKUP(A1494,'Close - PriceSaver'!A:J,5,0),"")</f>
        <v/>
      </c>
      <c r="I1494" s="4" t="str" cm="1">
        <f t="array" ref="I1494">IF(NOT(ISBLANK(A1494)),((_xlfn.XLOOKUP(1,(_bbt3[[#All],[ID]]=A1494)*(_bbt3[[#All],[METRIC_NAME]]="YLD_YTM_ASK"),_bbt3[[#All],[METRIC_VALUE]])*0.5)+(_xlfn.XLOOKUP(1,(_bbt3[[#All],[ID]]=A1494)*(_bbt3[[#All],[METRIC_NAME]]="YLD_YTM_BID"),_bbt3[[#All],[METRIC_VALUE]])*0.5))/100,"")</f>
        <v/>
      </c>
      <c r="J1494">
        <f>IF(ISNA(VLOOKUP(A1494,'CloseDL - PriceSaverBBT3'!A:E,5,0)),0,VLOOKUP(A1494,'CloseDL - PriceSaverBBT3'!A:E,5,0))</f>
        <v>0</v>
      </c>
      <c r="K1494" s="7" t="str">
        <f t="shared" si="217"/>
        <v/>
      </c>
      <c r="L1494" s="20">
        <f>IF(Close[[#This Row],[CreatedBy]]="MARINER\SilverAdm",1,0)</f>
        <v>1</v>
      </c>
      <c r="M1494" t="str">
        <f>IF(NOT(ISBLANK(A1494)),VLOOKUP(A1494,'Close - PriceSaver'!A:J,6,0),"")</f>
        <v/>
      </c>
    </row>
    <row r="1495" spans="2:13" x14ac:dyDescent="0.35">
      <c r="B1495" t="str">
        <f>IF(NOT(ISBLANK(A1495)),VLOOKUP(A1495,'BBT3'!A:F,2,0),"")</f>
        <v/>
      </c>
      <c r="C1495" t="str">
        <f>IF(NOT(ISBLANK(A1495)),VLOOKUP(A1495,'BBT3'!A:F,3,0),"")</f>
        <v/>
      </c>
      <c r="D1495" s="5" t="str">
        <f>IF(NOT(ISBLANK(A1495)),VLOOKUP(A1495,'BBT3'!A:F,4,1),"")</f>
        <v/>
      </c>
      <c r="E1495" t="str">
        <f>IF(NOT(ISBLANK(A1495)),VLOOKUP(A1495,'BBT3'!A:F,5,0),"")</f>
        <v/>
      </c>
      <c r="F1495" t="str">
        <f>IF(NOT(ISBLANK(A1495)),VLOOKUP(A1495,'BBT3'!A:F,6,0),"")</f>
        <v/>
      </c>
      <c r="G1495" t="str">
        <f t="shared" si="216"/>
        <v/>
      </c>
      <c r="H1495" t="str">
        <f>IF(NOT(ISBLANK(A1495)),VLOOKUP(A1495,'Close - PriceSaver'!A:J,5,0),"")</f>
        <v/>
      </c>
      <c r="I1495" s="4" t="str" cm="1">
        <f t="array" ref="I1495">IF(NOT(ISBLANK(A1495)),((_xlfn.XLOOKUP(1,(_bbt3[[#All],[ID]]=A1495)*(_bbt3[[#All],[METRIC_NAME]]="YLD_YTM_ASK"),_bbt3[[#All],[METRIC_VALUE]])*0.5)+(_xlfn.XLOOKUP(1,(_bbt3[[#All],[ID]]=A1495)*(_bbt3[[#All],[METRIC_NAME]]="YLD_YTM_BID"),_bbt3[[#All],[METRIC_VALUE]])*0.5))/100,"")</f>
        <v/>
      </c>
      <c r="J1495">
        <f>IF(ISNA(VLOOKUP(A1495,'CloseDL - PriceSaverBBT3'!A:E,5,0)),0,VLOOKUP(A1495,'CloseDL - PriceSaverBBT3'!A:E,5,0))</f>
        <v>0</v>
      </c>
      <c r="K1495" s="7" t="str">
        <f t="shared" si="217"/>
        <v/>
      </c>
      <c r="L1495" s="20">
        <f>IF(Close[[#This Row],[CreatedBy]]="MARINER\SilverAdm",1,0)</f>
        <v>1</v>
      </c>
      <c r="M1495" t="str">
        <f>IF(NOT(ISBLANK(A1495)),VLOOKUP(A1495,'Close - PriceSaver'!A:J,6,0),"")</f>
        <v/>
      </c>
    </row>
    <row r="1496" spans="2:13" x14ac:dyDescent="0.35">
      <c r="B1496" t="str">
        <f>IF(NOT(ISBLANK(A1496)),VLOOKUP(A1496,'BBT3'!A:F,2,0),"")</f>
        <v/>
      </c>
      <c r="C1496" t="str">
        <f>IF(NOT(ISBLANK(A1496)),VLOOKUP(A1496,'BBT3'!A:F,3,0),"")</f>
        <v/>
      </c>
      <c r="D1496" s="5" t="str">
        <f>IF(NOT(ISBLANK(A1496)),VLOOKUP(A1496,'BBT3'!A:F,4,1),"")</f>
        <v/>
      </c>
      <c r="E1496" t="str">
        <f>IF(NOT(ISBLANK(A1496)),VLOOKUP(A1496,'BBT3'!A:F,5,0),"")</f>
        <v/>
      </c>
      <c r="F1496" t="str">
        <f>IF(NOT(ISBLANK(A1496)),VLOOKUP(A1496,'BBT3'!A:F,6,0),"")</f>
        <v/>
      </c>
      <c r="G1496" t="str">
        <f t="shared" si="216"/>
        <v/>
      </c>
      <c r="H1496" t="str">
        <f>IF(NOT(ISBLANK(A1496)),VLOOKUP(A1496,'Close - PriceSaver'!A:J,5,0),"")</f>
        <v/>
      </c>
      <c r="I1496" s="4" t="str" cm="1">
        <f t="array" ref="I1496">IF(NOT(ISBLANK(A1496)),((_xlfn.XLOOKUP(1,(_bbt3[[#All],[ID]]=A1496)*(_bbt3[[#All],[METRIC_NAME]]="YLD_YTM_ASK"),_bbt3[[#All],[METRIC_VALUE]])*0.5)+(_xlfn.XLOOKUP(1,(_bbt3[[#All],[ID]]=A1496)*(_bbt3[[#All],[METRIC_NAME]]="YLD_YTM_BID"),_bbt3[[#All],[METRIC_VALUE]])*0.5))/100,"")</f>
        <v/>
      </c>
      <c r="J1496">
        <f>IF(ISNA(VLOOKUP(A1496,'CloseDL - PriceSaverBBT3'!A:E,5,0)),0,VLOOKUP(A1496,'CloseDL - PriceSaverBBT3'!A:E,5,0))</f>
        <v>0</v>
      </c>
      <c r="K1496" s="7" t="str">
        <f t="shared" si="217"/>
        <v/>
      </c>
      <c r="L1496" s="20">
        <f>IF(Close[[#This Row],[CreatedBy]]="MARINER\SilverAdm",1,0)</f>
        <v>1</v>
      </c>
      <c r="M1496" t="str">
        <f>IF(NOT(ISBLANK(A1496)),VLOOKUP(A1496,'Close - PriceSaver'!A:J,6,0),"")</f>
        <v/>
      </c>
    </row>
    <row r="1497" spans="2:13" x14ac:dyDescent="0.35">
      <c r="B1497" t="str">
        <f>IF(NOT(ISBLANK(A1497)),VLOOKUP(A1497,'BBT3'!A:F,2,0),"")</f>
        <v/>
      </c>
      <c r="C1497" t="str">
        <f>IF(NOT(ISBLANK(A1497)),VLOOKUP(A1497,'BBT3'!A:F,3,0),"")</f>
        <v/>
      </c>
      <c r="D1497" s="5" t="str">
        <f>IF(NOT(ISBLANK(A1497)),VLOOKUP(A1497,'BBT3'!A:F,4,1),"")</f>
        <v/>
      </c>
      <c r="E1497" t="str">
        <f>IF(NOT(ISBLANK(A1497)),VLOOKUP(A1497,'BBT3'!A:F,5,0),"")</f>
        <v/>
      </c>
      <c r="F1497" t="str">
        <f>IF(NOT(ISBLANK(A1497)),VLOOKUP(A1497,'BBT3'!A:F,6,0),"")</f>
        <v/>
      </c>
      <c r="G1497" t="str">
        <f t="shared" si="216"/>
        <v/>
      </c>
      <c r="H1497" t="str">
        <f>IF(NOT(ISBLANK(A1497)),VLOOKUP(A1497,'Close - PriceSaver'!A:J,5,0),"")</f>
        <v/>
      </c>
      <c r="I1497" s="4" t="str" cm="1">
        <f t="array" ref="I1497">IF(NOT(ISBLANK(A1497)),((_xlfn.XLOOKUP(1,(_bbt3[[#All],[ID]]=A1497)*(_bbt3[[#All],[METRIC_NAME]]="YLD_YTM_ASK"),_bbt3[[#All],[METRIC_VALUE]])*0.5)+(_xlfn.XLOOKUP(1,(_bbt3[[#All],[ID]]=A1497)*(_bbt3[[#All],[METRIC_NAME]]="YLD_YTM_BID"),_bbt3[[#All],[METRIC_VALUE]])*0.5))/100,"")</f>
        <v/>
      </c>
      <c r="J1497">
        <f>IF(ISNA(VLOOKUP(A1497,'CloseDL - PriceSaverBBT3'!A:E,5,0)),0,VLOOKUP(A1497,'CloseDL - PriceSaverBBT3'!A:E,5,0))</f>
        <v>0</v>
      </c>
      <c r="K1497" s="7" t="str">
        <f t="shared" si="217"/>
        <v/>
      </c>
      <c r="L1497" s="20">
        <f>IF(Close[[#This Row],[CreatedBy]]="MARINER\SilverAdm",1,0)</f>
        <v>1</v>
      </c>
      <c r="M1497" t="str">
        <f>IF(NOT(ISBLANK(A1497)),VLOOKUP(A1497,'Close - PriceSaver'!A:J,6,0),"")</f>
        <v/>
      </c>
    </row>
    <row r="1498" spans="2:13" x14ac:dyDescent="0.35">
      <c r="B1498" t="str">
        <f>IF(NOT(ISBLANK(A1498)),VLOOKUP(A1498,'BBT3'!A:F,2,0),"")</f>
        <v/>
      </c>
      <c r="C1498" t="str">
        <f>IF(NOT(ISBLANK(A1498)),VLOOKUP(A1498,'BBT3'!A:F,3,0),"")</f>
        <v/>
      </c>
      <c r="D1498" s="5" t="str">
        <f>IF(NOT(ISBLANK(A1498)),VLOOKUP(A1498,'BBT3'!A:F,4,1),"")</f>
        <v/>
      </c>
      <c r="E1498" t="str">
        <f>IF(NOT(ISBLANK(A1498)),VLOOKUP(A1498,'BBT3'!A:F,5,0),"")</f>
        <v/>
      </c>
      <c r="F1498" t="str">
        <f>IF(NOT(ISBLANK(A1498)),VLOOKUP(A1498,'BBT3'!A:F,6,0),"")</f>
        <v/>
      </c>
      <c r="G1498" t="str">
        <f t="shared" si="216"/>
        <v/>
      </c>
      <c r="H1498" t="str">
        <f>IF(NOT(ISBLANK(A1498)),VLOOKUP(A1498,'Close - PriceSaver'!A:J,5,0),"")</f>
        <v/>
      </c>
      <c r="I1498" s="4" t="str" cm="1">
        <f t="array" ref="I1498">IF(NOT(ISBLANK(A1498)),((_xlfn.XLOOKUP(1,(_bbt3[[#All],[ID]]=A1498)*(_bbt3[[#All],[METRIC_NAME]]="YLD_YTM_ASK"),_bbt3[[#All],[METRIC_VALUE]])*0.5)+(_xlfn.XLOOKUP(1,(_bbt3[[#All],[ID]]=A1498)*(_bbt3[[#All],[METRIC_NAME]]="YLD_YTM_BID"),_bbt3[[#All],[METRIC_VALUE]])*0.5))/100,"")</f>
        <v/>
      </c>
      <c r="J1498">
        <f>IF(ISNA(VLOOKUP(A1498,'CloseDL - PriceSaverBBT3'!A:E,5,0)),0,VLOOKUP(A1498,'CloseDL - PriceSaverBBT3'!A:E,5,0))</f>
        <v>0</v>
      </c>
      <c r="K1498" s="7" t="str">
        <f t="shared" si="217"/>
        <v/>
      </c>
      <c r="L1498" s="20">
        <f>IF(Close[[#This Row],[CreatedBy]]="MARINER\SilverAdm",1,0)</f>
        <v>1</v>
      </c>
      <c r="M1498" t="str">
        <f>IF(NOT(ISBLANK(A1498)),VLOOKUP(A1498,'Close - PriceSaver'!A:J,6,0),"")</f>
        <v/>
      </c>
    </row>
    <row r="1499" spans="2:13" x14ac:dyDescent="0.35">
      <c r="B1499" t="str">
        <f>IF(NOT(ISBLANK(A1499)),VLOOKUP(A1499,'BBT3'!A:F,2,0),"")</f>
        <v/>
      </c>
      <c r="C1499" t="str">
        <f>IF(NOT(ISBLANK(A1499)),VLOOKUP(A1499,'BBT3'!A:F,3,0),"")</f>
        <v/>
      </c>
      <c r="D1499" s="5" t="str">
        <f>IF(NOT(ISBLANK(A1499)),VLOOKUP(A1499,'BBT3'!A:F,4,1),"")</f>
        <v/>
      </c>
      <c r="E1499" t="str">
        <f>IF(NOT(ISBLANK(A1499)),VLOOKUP(A1499,'BBT3'!A:F,5,0),"")</f>
        <v/>
      </c>
      <c r="F1499" t="str">
        <f>IF(NOT(ISBLANK(A1499)),VLOOKUP(A1499,'BBT3'!A:F,6,0),"")</f>
        <v/>
      </c>
      <c r="G1499" t="str">
        <f t="shared" si="216"/>
        <v/>
      </c>
      <c r="H1499" t="str">
        <f>IF(NOT(ISBLANK(A1499)),VLOOKUP(A1499,'Close - PriceSaver'!A:J,5,0),"")</f>
        <v/>
      </c>
      <c r="I1499" s="4" t="str" cm="1">
        <f t="array" ref="I1499">IF(NOT(ISBLANK(A1499)),((_xlfn.XLOOKUP(1,(_bbt3[[#All],[ID]]=A1499)*(_bbt3[[#All],[METRIC_NAME]]="YLD_YTM_ASK"),_bbt3[[#All],[METRIC_VALUE]])*0.5)+(_xlfn.XLOOKUP(1,(_bbt3[[#All],[ID]]=A1499)*(_bbt3[[#All],[METRIC_NAME]]="YLD_YTM_BID"),_bbt3[[#All],[METRIC_VALUE]])*0.5))/100,"")</f>
        <v/>
      </c>
      <c r="J1499">
        <f>IF(ISNA(VLOOKUP(A1499,'CloseDL - PriceSaverBBT3'!A:E,5,0)),0,VLOOKUP(A1499,'CloseDL - PriceSaverBBT3'!A:E,5,0))</f>
        <v>0</v>
      </c>
      <c r="K1499" s="7" t="str">
        <f t="shared" si="217"/>
        <v/>
      </c>
      <c r="L1499" s="20">
        <f>IF(Close[[#This Row],[CreatedBy]]="MARINER\SilverAdm",1,0)</f>
        <v>1</v>
      </c>
      <c r="M1499" t="str">
        <f>IF(NOT(ISBLANK(A1499)),VLOOKUP(A1499,'Close - PriceSaver'!A:J,6,0),"")</f>
        <v/>
      </c>
    </row>
    <row r="1500" spans="2:13" x14ac:dyDescent="0.35">
      <c r="B1500" t="str">
        <f>IF(NOT(ISBLANK(A1500)),VLOOKUP(A1500,'BBT3'!A:F,2,0),"")</f>
        <v/>
      </c>
      <c r="C1500" t="str">
        <f>IF(NOT(ISBLANK(A1500)),VLOOKUP(A1500,'BBT3'!A:F,3,0),"")</f>
        <v/>
      </c>
      <c r="D1500" s="5" t="str">
        <f>IF(NOT(ISBLANK(A1500)),VLOOKUP(A1500,'BBT3'!A:F,4,1),"")</f>
        <v/>
      </c>
      <c r="E1500" t="str">
        <f>IF(NOT(ISBLANK(A1500)),VLOOKUP(A1500,'BBT3'!A:F,5,0),"")</f>
        <v/>
      </c>
      <c r="F1500" t="str">
        <f>IF(NOT(ISBLANK(A1500)),VLOOKUP(A1500,'BBT3'!A:F,6,0),"")</f>
        <v/>
      </c>
      <c r="G1500" t="str">
        <f t="shared" si="216"/>
        <v/>
      </c>
      <c r="H1500" t="str">
        <f>IF(NOT(ISBLANK(A1500)),VLOOKUP(A1500,'Close - PriceSaver'!A:J,5,0),"")</f>
        <v/>
      </c>
      <c r="I1500" s="4" t="str" cm="1">
        <f t="array" ref="I1500">IF(NOT(ISBLANK(A1500)),((_xlfn.XLOOKUP(1,(_bbt3[[#All],[ID]]=A1500)*(_bbt3[[#All],[METRIC_NAME]]="YLD_YTM_ASK"),_bbt3[[#All],[METRIC_VALUE]])*0.5)+(_xlfn.XLOOKUP(1,(_bbt3[[#All],[ID]]=A1500)*(_bbt3[[#All],[METRIC_NAME]]="YLD_YTM_BID"),_bbt3[[#All],[METRIC_VALUE]])*0.5))/100,"")</f>
        <v/>
      </c>
      <c r="J1500">
        <f>IF(ISNA(VLOOKUP(A1500,'CloseDL - PriceSaverBBT3'!A:E,5,0)),0,VLOOKUP(A1500,'CloseDL - PriceSaverBBT3'!A:E,5,0))</f>
        <v>0</v>
      </c>
      <c r="K1500" s="7" t="str">
        <f t="shared" si="217"/>
        <v/>
      </c>
      <c r="L1500" s="20">
        <f>IF(Close[[#This Row],[CreatedBy]]="MARINER\SilverAdm",1,0)</f>
        <v>1</v>
      </c>
      <c r="M1500" t="str">
        <f>IF(NOT(ISBLANK(A1500)),VLOOKUP(A1500,'Close - PriceSaver'!A:J,6,0),"")</f>
        <v/>
      </c>
    </row>
    <row r="1501" spans="2:13" x14ac:dyDescent="0.35">
      <c r="B1501" t="str">
        <f>IF(NOT(ISBLANK(A1501)),VLOOKUP(A1501,'BBT3'!A:F,2,0),"")</f>
        <v/>
      </c>
      <c r="C1501" t="str">
        <f>IF(NOT(ISBLANK(A1501)),VLOOKUP(A1501,'BBT3'!A:F,3,0),"")</f>
        <v/>
      </c>
      <c r="D1501" s="5" t="str">
        <f>IF(NOT(ISBLANK(A1501)),VLOOKUP(A1501,'BBT3'!A:F,4,1),"")</f>
        <v/>
      </c>
      <c r="E1501" t="str">
        <f>IF(NOT(ISBLANK(A1501)),VLOOKUP(A1501,'BBT3'!A:F,5,0),"")</f>
        <v/>
      </c>
      <c r="F1501" t="str">
        <f>IF(NOT(ISBLANK(A1501)),VLOOKUP(A1501,'BBT3'!A:F,6,0),"")</f>
        <v/>
      </c>
      <c r="G1501" t="str">
        <f t="shared" si="216"/>
        <v/>
      </c>
      <c r="H1501" t="str">
        <f>IF(NOT(ISBLANK(A1501)),VLOOKUP(A1501,'Close - PriceSaver'!A:J,5,0),"")</f>
        <v/>
      </c>
      <c r="I1501" s="4" t="str" cm="1">
        <f t="array" ref="I1501">IF(NOT(ISBLANK(A1501)),((_xlfn.XLOOKUP(1,(_bbt3[[#All],[ID]]=A1501)*(_bbt3[[#All],[METRIC_NAME]]="YLD_YTM_ASK"),_bbt3[[#All],[METRIC_VALUE]])*0.5)+(_xlfn.XLOOKUP(1,(_bbt3[[#All],[ID]]=A1501)*(_bbt3[[#All],[METRIC_NAME]]="YLD_YTM_BID"),_bbt3[[#All],[METRIC_VALUE]])*0.5))/100,"")</f>
        <v/>
      </c>
      <c r="J1501">
        <f>IF(ISNA(VLOOKUP(A1501,'CloseDL - PriceSaverBBT3'!A:E,5,0)),0,VLOOKUP(A1501,'CloseDL - PriceSaverBBT3'!A:E,5,0))</f>
        <v>0</v>
      </c>
      <c r="K1501" s="7" t="str">
        <f t="shared" si="217"/>
        <v/>
      </c>
      <c r="L1501" s="20">
        <f>IF(Close[[#This Row],[CreatedBy]]="MARINER\SilverAdm",1,0)</f>
        <v>1</v>
      </c>
      <c r="M1501" t="str">
        <f>IF(NOT(ISBLANK(A1501)),VLOOKUP(A1501,'Close - PriceSaver'!A:J,6,0),"")</f>
        <v/>
      </c>
    </row>
    <row r="1502" spans="2:13" x14ac:dyDescent="0.35">
      <c r="B1502" t="str">
        <f>IF(NOT(ISBLANK(A1502)),VLOOKUP(A1502,'BBT3'!A:F,2,0),"")</f>
        <v/>
      </c>
      <c r="C1502" t="str">
        <f>IF(NOT(ISBLANK(A1502)),VLOOKUP(A1502,'BBT3'!A:F,3,0),"")</f>
        <v/>
      </c>
      <c r="D1502" s="5" t="str">
        <f>IF(NOT(ISBLANK(A1502)),VLOOKUP(A1502,'BBT3'!A:F,4,1),"")</f>
        <v/>
      </c>
      <c r="E1502" t="str">
        <f>IF(NOT(ISBLANK(A1502)),VLOOKUP(A1502,'BBT3'!A:F,5,0),"")</f>
        <v/>
      </c>
      <c r="F1502" t="str">
        <f>IF(NOT(ISBLANK(A1502)),VLOOKUP(A1502,'BBT3'!A:F,6,0),"")</f>
        <v/>
      </c>
      <c r="G1502" t="str">
        <f t="shared" si="216"/>
        <v/>
      </c>
      <c r="H1502" t="str">
        <f>IF(NOT(ISBLANK(A1502)),VLOOKUP(A1502,'Close - PriceSaver'!A:J,5,0),"")</f>
        <v/>
      </c>
      <c r="I1502" s="4" t="str" cm="1">
        <f t="array" ref="I1502">IF(NOT(ISBLANK(A1502)),((_xlfn.XLOOKUP(1,(_bbt3[[#All],[ID]]=A1502)*(_bbt3[[#All],[METRIC_NAME]]="YLD_YTM_ASK"),_bbt3[[#All],[METRIC_VALUE]])*0.5)+(_xlfn.XLOOKUP(1,(_bbt3[[#All],[ID]]=A1502)*(_bbt3[[#All],[METRIC_NAME]]="YLD_YTM_BID"),_bbt3[[#All],[METRIC_VALUE]])*0.5))/100,"")</f>
        <v/>
      </c>
      <c r="J1502">
        <f>IF(ISNA(VLOOKUP(A1502,'CloseDL - PriceSaverBBT3'!A:E,5,0)),0,VLOOKUP(A1502,'CloseDL - PriceSaverBBT3'!A:E,5,0))</f>
        <v>0</v>
      </c>
      <c r="K1502" s="7" t="str">
        <f t="shared" si="217"/>
        <v/>
      </c>
      <c r="L1502" s="20">
        <f>IF(Close[[#This Row],[CreatedBy]]="MARINER\SilverAdm",1,0)</f>
        <v>1</v>
      </c>
      <c r="M1502" t="str">
        <f>IF(NOT(ISBLANK(A1502)),VLOOKUP(A1502,'Close - PriceSaver'!A:J,6,0),"")</f>
        <v/>
      </c>
    </row>
    <row r="1503" spans="2:13" x14ac:dyDescent="0.35">
      <c r="B1503" t="str">
        <f>IF(NOT(ISBLANK(A1503)),VLOOKUP(A1503,'BBT3'!A:F,2,0),"")</f>
        <v/>
      </c>
      <c r="C1503" t="str">
        <f>IF(NOT(ISBLANK(A1503)),VLOOKUP(A1503,'BBT3'!A:F,3,0),"")</f>
        <v/>
      </c>
      <c r="D1503" s="5" t="str">
        <f>IF(NOT(ISBLANK(A1503)),VLOOKUP(A1503,'BBT3'!A:F,4,1),"")</f>
        <v/>
      </c>
      <c r="E1503" t="str">
        <f>IF(NOT(ISBLANK(A1503)),VLOOKUP(A1503,'BBT3'!A:F,5,0),"")</f>
        <v/>
      </c>
      <c r="F1503" t="str">
        <f>IF(NOT(ISBLANK(A1503)),VLOOKUP(A1503,'BBT3'!A:F,6,0),"")</f>
        <v/>
      </c>
      <c r="G1503" t="str">
        <f t="shared" si="216"/>
        <v/>
      </c>
      <c r="H1503" t="str">
        <f>IF(NOT(ISBLANK(A1503)),VLOOKUP(A1503,'Close - PriceSaver'!A:J,5,0),"")</f>
        <v/>
      </c>
      <c r="I1503" s="4" t="str" cm="1">
        <f t="array" ref="I1503">IF(NOT(ISBLANK(A1503)),((_xlfn.XLOOKUP(1,(_bbt3[[#All],[ID]]=A1503)*(_bbt3[[#All],[METRIC_NAME]]="YLD_YTM_ASK"),_bbt3[[#All],[METRIC_VALUE]])*0.5)+(_xlfn.XLOOKUP(1,(_bbt3[[#All],[ID]]=A1503)*(_bbt3[[#All],[METRIC_NAME]]="YLD_YTM_BID"),_bbt3[[#All],[METRIC_VALUE]])*0.5))/100,"")</f>
        <v/>
      </c>
      <c r="J1503">
        <f>IF(ISNA(VLOOKUP(A1503,'CloseDL - PriceSaverBBT3'!A:E,5,0)),0,VLOOKUP(A1503,'CloseDL - PriceSaverBBT3'!A:E,5,0))</f>
        <v>0</v>
      </c>
      <c r="K1503" s="7" t="str">
        <f t="shared" si="217"/>
        <v/>
      </c>
      <c r="L1503" s="20">
        <f>IF(Close[[#This Row],[CreatedBy]]="MARINER\SilverAdm",1,0)</f>
        <v>1</v>
      </c>
      <c r="M1503" t="str">
        <f>IF(NOT(ISBLANK(A1503)),VLOOKUP(A1503,'Close - PriceSaver'!A:J,6,0),"")</f>
        <v/>
      </c>
    </row>
    <row r="1504" spans="2:13" x14ac:dyDescent="0.35">
      <c r="B1504" t="str">
        <f>IF(NOT(ISBLANK(A1504)),VLOOKUP(A1504,'BBT3'!A:F,2,0),"")</f>
        <v/>
      </c>
      <c r="C1504" t="str">
        <f>IF(NOT(ISBLANK(A1504)),VLOOKUP(A1504,'BBT3'!A:F,3,0),"")</f>
        <v/>
      </c>
      <c r="D1504" s="5" t="str">
        <f>IF(NOT(ISBLANK(A1504)),VLOOKUP(A1504,'BBT3'!A:F,4,1),"")</f>
        <v/>
      </c>
      <c r="E1504" t="str">
        <f>IF(NOT(ISBLANK(A1504)),VLOOKUP(A1504,'BBT3'!A:F,5,0),"")</f>
        <v/>
      </c>
      <c r="F1504" t="str">
        <f>IF(NOT(ISBLANK(A1504)),VLOOKUP(A1504,'BBT3'!A:F,6,0),"")</f>
        <v/>
      </c>
      <c r="G1504" t="str">
        <f t="shared" si="216"/>
        <v/>
      </c>
      <c r="H1504" t="str">
        <f>IF(NOT(ISBLANK(A1504)),VLOOKUP(A1504,'Close - PriceSaver'!A:J,5,0),"")</f>
        <v/>
      </c>
      <c r="I1504" s="4" t="str" cm="1">
        <f t="array" ref="I1504">IF(NOT(ISBLANK(A1504)),((_xlfn.XLOOKUP(1,(_bbt3[[#All],[ID]]=A1504)*(_bbt3[[#All],[METRIC_NAME]]="YLD_YTM_ASK"),_bbt3[[#All],[METRIC_VALUE]])*0.5)+(_xlfn.XLOOKUP(1,(_bbt3[[#All],[ID]]=A1504)*(_bbt3[[#All],[METRIC_NAME]]="YLD_YTM_BID"),_bbt3[[#All],[METRIC_VALUE]])*0.5))/100,"")</f>
        <v/>
      </c>
      <c r="J1504">
        <f>IF(ISNA(VLOOKUP(A1504,'CloseDL - PriceSaverBBT3'!A:E,5,0)),0,VLOOKUP(A1504,'CloseDL - PriceSaverBBT3'!A:E,5,0))</f>
        <v>0</v>
      </c>
      <c r="K1504" s="7" t="str">
        <f t="shared" si="217"/>
        <v/>
      </c>
      <c r="L1504" s="20">
        <f>IF(Close[[#This Row],[CreatedBy]]="MARINER\SilverAdm",1,0)</f>
        <v>1</v>
      </c>
      <c r="M1504" t="str">
        <f>IF(NOT(ISBLANK(A1504)),VLOOKUP(A1504,'Close - PriceSaver'!A:J,6,0),"")</f>
        <v/>
      </c>
    </row>
    <row r="1505" spans="2:13" x14ac:dyDescent="0.35">
      <c r="B1505" t="str">
        <f>IF(NOT(ISBLANK(A1505)),VLOOKUP(A1505,'BBT3'!A:F,2,0),"")</f>
        <v/>
      </c>
      <c r="C1505" t="str">
        <f>IF(NOT(ISBLANK(A1505)),VLOOKUP(A1505,'BBT3'!A:F,3,0),"")</f>
        <v/>
      </c>
      <c r="D1505" s="5" t="str">
        <f>IF(NOT(ISBLANK(A1505)),VLOOKUP(A1505,'BBT3'!A:F,4,1),"")</f>
        <v/>
      </c>
      <c r="E1505" t="str">
        <f>IF(NOT(ISBLANK(A1505)),VLOOKUP(A1505,'BBT3'!A:F,5,0),"")</f>
        <v/>
      </c>
      <c r="F1505" t="str">
        <f>IF(NOT(ISBLANK(A1505)),VLOOKUP(A1505,'BBT3'!A:F,6,0),"")</f>
        <v/>
      </c>
      <c r="G1505" t="str">
        <f t="shared" si="216"/>
        <v/>
      </c>
      <c r="H1505" t="str">
        <f>IF(NOT(ISBLANK(A1505)),VLOOKUP(A1505,'Close - PriceSaver'!A:J,5,0),"")</f>
        <v/>
      </c>
      <c r="I1505" s="4" t="str" cm="1">
        <f t="array" ref="I1505">IF(NOT(ISBLANK(A1505)),((_xlfn.XLOOKUP(1,(_bbt3[[#All],[ID]]=A1505)*(_bbt3[[#All],[METRIC_NAME]]="YLD_YTM_ASK"),_bbt3[[#All],[METRIC_VALUE]])*0.5)+(_xlfn.XLOOKUP(1,(_bbt3[[#All],[ID]]=A1505)*(_bbt3[[#All],[METRIC_NAME]]="YLD_YTM_BID"),_bbt3[[#All],[METRIC_VALUE]])*0.5))/100,"")</f>
        <v/>
      </c>
      <c r="J1505">
        <f>IF(ISNA(VLOOKUP(A1505,'CloseDL - PriceSaverBBT3'!A:E,5,0)),0,VLOOKUP(A1505,'CloseDL - PriceSaverBBT3'!A:E,5,0))</f>
        <v>0</v>
      </c>
      <c r="K1505" s="7" t="str">
        <f t="shared" si="217"/>
        <v/>
      </c>
      <c r="L1505" s="20">
        <f>IF(Close[[#This Row],[CreatedBy]]="MARINER\SilverAdm",1,0)</f>
        <v>1</v>
      </c>
      <c r="M1505" t="str">
        <f>IF(NOT(ISBLANK(A1505)),VLOOKUP(A1505,'Close - PriceSaver'!A:J,6,0),"")</f>
        <v/>
      </c>
    </row>
    <row r="1506" spans="2:13" x14ac:dyDescent="0.35">
      <c r="B1506" t="str">
        <f>IF(NOT(ISBLANK(A1506)),VLOOKUP(A1506,'BBT3'!A:F,2,0),"")</f>
        <v/>
      </c>
      <c r="C1506" t="str">
        <f>IF(NOT(ISBLANK(A1506)),VLOOKUP(A1506,'BBT3'!A:F,3,0),"")</f>
        <v/>
      </c>
      <c r="D1506" s="5" t="str">
        <f>IF(NOT(ISBLANK(A1506)),VLOOKUP(A1506,'BBT3'!A:F,4,1),"")</f>
        <v/>
      </c>
      <c r="E1506" t="str">
        <f>IF(NOT(ISBLANK(A1506)),VLOOKUP(A1506,'BBT3'!A:F,5,0),"")</f>
        <v/>
      </c>
      <c r="F1506" t="str">
        <f>IF(NOT(ISBLANK(A1506)),VLOOKUP(A1506,'BBT3'!A:F,6,0),"")</f>
        <v/>
      </c>
      <c r="G1506" t="str">
        <f t="shared" si="216"/>
        <v/>
      </c>
      <c r="H1506" t="str">
        <f>IF(NOT(ISBLANK(A1506)),VLOOKUP(A1506,'Close - PriceSaver'!A:J,5,0),"")</f>
        <v/>
      </c>
      <c r="I1506" s="4" t="str" cm="1">
        <f t="array" ref="I1506">IF(NOT(ISBLANK(A1506)),((_xlfn.XLOOKUP(1,(_bbt3[[#All],[ID]]=A1506)*(_bbt3[[#All],[METRIC_NAME]]="YLD_YTM_ASK"),_bbt3[[#All],[METRIC_VALUE]])*0.5)+(_xlfn.XLOOKUP(1,(_bbt3[[#All],[ID]]=A1506)*(_bbt3[[#All],[METRIC_NAME]]="YLD_YTM_BID"),_bbt3[[#All],[METRIC_VALUE]])*0.5))/100,"")</f>
        <v/>
      </c>
      <c r="J1506">
        <f>IF(ISNA(VLOOKUP(A1506,'CloseDL - PriceSaverBBT3'!A:E,5,0)),0,VLOOKUP(A1506,'CloseDL - PriceSaverBBT3'!A:E,5,0))</f>
        <v>0</v>
      </c>
      <c r="K1506" s="7" t="str">
        <f t="shared" si="217"/>
        <v/>
      </c>
      <c r="L1506" s="20">
        <f>IF(Close[[#This Row],[CreatedBy]]="MARINER\SilverAdm",1,0)</f>
        <v>1</v>
      </c>
      <c r="M1506" t="str">
        <f>IF(NOT(ISBLANK(A1506)),VLOOKUP(A1506,'Close - PriceSaver'!A:J,6,0),"")</f>
        <v/>
      </c>
    </row>
    <row r="1507" spans="2:13" x14ac:dyDescent="0.35">
      <c r="B1507" t="str">
        <f>IF(NOT(ISBLANK(A1507)),VLOOKUP(A1507,'BBT3'!A:F,2,0),"")</f>
        <v/>
      </c>
      <c r="C1507" t="str">
        <f>IF(NOT(ISBLANK(A1507)),VLOOKUP(A1507,'BBT3'!A:F,3,0),"")</f>
        <v/>
      </c>
      <c r="D1507" s="5" t="str">
        <f>IF(NOT(ISBLANK(A1507)),VLOOKUP(A1507,'BBT3'!A:F,4,1),"")</f>
        <v/>
      </c>
      <c r="E1507" t="str">
        <f>IF(NOT(ISBLANK(A1507)),VLOOKUP(A1507,'BBT3'!A:F,5,0),"")</f>
        <v/>
      </c>
      <c r="F1507" t="str">
        <f>IF(NOT(ISBLANK(A1507)),VLOOKUP(A1507,'BBT3'!A:F,6,0),"")</f>
        <v/>
      </c>
      <c r="G1507" t="str">
        <f t="shared" si="216"/>
        <v/>
      </c>
      <c r="H1507" t="str">
        <f>IF(NOT(ISBLANK(A1507)),VLOOKUP(A1507,'Close - PriceSaver'!A:J,5,0),"")</f>
        <v/>
      </c>
      <c r="I1507" s="4" t="str" cm="1">
        <f t="array" ref="I1507">IF(NOT(ISBLANK(A1507)),((_xlfn.XLOOKUP(1,(_bbt3[[#All],[ID]]=A1507)*(_bbt3[[#All],[METRIC_NAME]]="YLD_YTM_ASK"),_bbt3[[#All],[METRIC_VALUE]])*0.5)+(_xlfn.XLOOKUP(1,(_bbt3[[#All],[ID]]=A1507)*(_bbt3[[#All],[METRIC_NAME]]="YLD_YTM_BID"),_bbt3[[#All],[METRIC_VALUE]])*0.5))/100,"")</f>
        <v/>
      </c>
      <c r="J1507">
        <f>IF(ISNA(VLOOKUP(A1507,'CloseDL - PriceSaverBBT3'!A:E,5,0)),0,VLOOKUP(A1507,'CloseDL - PriceSaverBBT3'!A:E,5,0))</f>
        <v>0</v>
      </c>
      <c r="K1507" s="7" t="str">
        <f t="shared" si="217"/>
        <v/>
      </c>
      <c r="L1507" s="20">
        <f>IF(Close[[#This Row],[CreatedBy]]="MARINER\SilverAdm",1,0)</f>
        <v>1</v>
      </c>
      <c r="M1507" t="str">
        <f>IF(NOT(ISBLANK(A1507)),VLOOKUP(A1507,'Close - PriceSaver'!A:J,6,0),"")</f>
        <v/>
      </c>
    </row>
    <row r="1508" spans="2:13" x14ac:dyDescent="0.35">
      <c r="B1508" t="str">
        <f>IF(NOT(ISBLANK(A1508)),VLOOKUP(A1508,'BBT3'!A:F,2,0),"")</f>
        <v/>
      </c>
      <c r="C1508" t="str">
        <f>IF(NOT(ISBLANK(A1508)),VLOOKUP(A1508,'BBT3'!A:F,3,0),"")</f>
        <v/>
      </c>
      <c r="D1508" s="5" t="str">
        <f>IF(NOT(ISBLANK(A1508)),VLOOKUP(A1508,'BBT3'!A:F,4,1),"")</f>
        <v/>
      </c>
      <c r="E1508" t="str">
        <f>IF(NOT(ISBLANK(A1508)),VLOOKUP(A1508,'BBT3'!A:F,5,0),"")</f>
        <v/>
      </c>
      <c r="F1508" t="str">
        <f>IF(NOT(ISBLANK(A1508)),VLOOKUP(A1508,'BBT3'!A:F,6,0),"")</f>
        <v/>
      </c>
      <c r="G1508" t="str">
        <f t="shared" si="216"/>
        <v/>
      </c>
      <c r="H1508" t="str">
        <f>IF(NOT(ISBLANK(A1508)),VLOOKUP(A1508,'Close - PriceSaver'!A:J,5,0),"")</f>
        <v/>
      </c>
      <c r="I1508" s="4" t="str" cm="1">
        <f t="array" ref="I1508">IF(NOT(ISBLANK(A1508)),((_xlfn.XLOOKUP(1,(_bbt3[[#All],[ID]]=A1508)*(_bbt3[[#All],[METRIC_NAME]]="YLD_YTM_ASK"),_bbt3[[#All],[METRIC_VALUE]])*0.5)+(_xlfn.XLOOKUP(1,(_bbt3[[#All],[ID]]=A1508)*(_bbt3[[#All],[METRIC_NAME]]="YLD_YTM_BID"),_bbt3[[#All],[METRIC_VALUE]])*0.5))/100,"")</f>
        <v/>
      </c>
      <c r="J1508">
        <f>IF(ISNA(VLOOKUP(A1508,'CloseDL - PriceSaverBBT3'!A:E,5,0)),0,VLOOKUP(A1508,'CloseDL - PriceSaverBBT3'!A:E,5,0))</f>
        <v>0</v>
      </c>
      <c r="K1508" s="7" t="str">
        <f t="shared" si="217"/>
        <v/>
      </c>
      <c r="L1508" s="20">
        <f>IF(Close[[#This Row],[CreatedBy]]="MARINER\SilverAdm",1,0)</f>
        <v>1</v>
      </c>
      <c r="M1508" t="str">
        <f>IF(NOT(ISBLANK(A1508)),VLOOKUP(A1508,'Close - PriceSaver'!A:J,6,0),"")</f>
        <v/>
      </c>
    </row>
    <row r="1509" spans="2:13" x14ac:dyDescent="0.35">
      <c r="B1509" t="str">
        <f>IF(NOT(ISBLANK(A1509)),VLOOKUP(A1509,'BBT3'!A:F,2,0),"")</f>
        <v/>
      </c>
      <c r="C1509" t="str">
        <f>IF(NOT(ISBLANK(A1509)),VLOOKUP(A1509,'BBT3'!A:F,3,0),"")</f>
        <v/>
      </c>
      <c r="D1509" s="5" t="str">
        <f>IF(NOT(ISBLANK(A1509)),VLOOKUP(A1509,'BBT3'!A:F,4,1),"")</f>
        <v/>
      </c>
      <c r="E1509" t="str">
        <f>IF(NOT(ISBLANK(A1509)),VLOOKUP(A1509,'BBT3'!A:F,5,0),"")</f>
        <v/>
      </c>
      <c r="F1509" t="str">
        <f>IF(NOT(ISBLANK(A1509)),VLOOKUP(A1509,'BBT3'!A:F,6,0),"")</f>
        <v/>
      </c>
      <c r="G1509" t="str">
        <f t="shared" si="216"/>
        <v/>
      </c>
      <c r="H1509" t="str">
        <f>IF(NOT(ISBLANK(A1509)),VLOOKUP(A1509,'Close - PriceSaver'!A:J,5,0),"")</f>
        <v/>
      </c>
      <c r="I1509" s="4" t="str" cm="1">
        <f t="array" ref="I1509">IF(NOT(ISBLANK(A1509)),((_xlfn.XLOOKUP(1,(_bbt3[[#All],[ID]]=A1509)*(_bbt3[[#All],[METRIC_NAME]]="YLD_YTM_ASK"),_bbt3[[#All],[METRIC_VALUE]])*0.5)+(_xlfn.XLOOKUP(1,(_bbt3[[#All],[ID]]=A1509)*(_bbt3[[#All],[METRIC_NAME]]="YLD_YTM_BID"),_bbt3[[#All],[METRIC_VALUE]])*0.5))/100,"")</f>
        <v/>
      </c>
      <c r="J1509">
        <f>IF(ISNA(VLOOKUP(A1509,'CloseDL - PriceSaverBBT3'!A:E,5,0)),0,VLOOKUP(A1509,'CloseDL - PriceSaverBBT3'!A:E,5,0))</f>
        <v>0</v>
      </c>
      <c r="K1509" s="7" t="str">
        <f t="shared" si="217"/>
        <v/>
      </c>
      <c r="L1509" s="20">
        <f>IF(Close[[#This Row],[CreatedBy]]="MARINER\SilverAdm",1,0)</f>
        <v>1</v>
      </c>
      <c r="M1509" t="str">
        <f>IF(NOT(ISBLANK(A1509)),VLOOKUP(A1509,'Close - PriceSaver'!A:J,6,0),"")</f>
        <v/>
      </c>
    </row>
    <row r="1510" spans="2:13" x14ac:dyDescent="0.35">
      <c r="B1510" t="str">
        <f>IF(NOT(ISBLANK(A1510)),VLOOKUP(A1510,'BBT3'!A:F,2,0),"")</f>
        <v/>
      </c>
      <c r="C1510" t="str">
        <f>IF(NOT(ISBLANK(A1510)),VLOOKUP(A1510,'BBT3'!A:F,3,0),"")</f>
        <v/>
      </c>
      <c r="D1510" s="5" t="str">
        <f>IF(NOT(ISBLANK(A1510)),VLOOKUP(A1510,'BBT3'!A:F,4,1),"")</f>
        <v/>
      </c>
      <c r="E1510" t="str">
        <f>IF(NOT(ISBLANK(A1510)),VLOOKUP(A1510,'BBT3'!A:F,5,0),"")</f>
        <v/>
      </c>
      <c r="F1510" t="str">
        <f>IF(NOT(ISBLANK(A1510)),VLOOKUP(A1510,'BBT3'!A:F,6,0),"")</f>
        <v/>
      </c>
      <c r="G1510" t="str">
        <f t="shared" si="216"/>
        <v/>
      </c>
      <c r="H1510" t="str">
        <f>IF(NOT(ISBLANK(A1510)),VLOOKUP(A1510,'Close - PriceSaver'!A:J,5,0),"")</f>
        <v/>
      </c>
      <c r="I1510" s="4" t="str" cm="1">
        <f t="array" ref="I1510">IF(NOT(ISBLANK(A1510)),((_xlfn.XLOOKUP(1,(_bbt3[[#All],[ID]]=A1510)*(_bbt3[[#All],[METRIC_NAME]]="YLD_YTM_ASK"),_bbt3[[#All],[METRIC_VALUE]])*0.5)+(_xlfn.XLOOKUP(1,(_bbt3[[#All],[ID]]=A1510)*(_bbt3[[#All],[METRIC_NAME]]="YLD_YTM_BID"),_bbt3[[#All],[METRIC_VALUE]])*0.5))/100,"")</f>
        <v/>
      </c>
      <c r="J1510">
        <f>IF(ISNA(VLOOKUP(A1510,'CloseDL - PriceSaverBBT3'!A:E,5,0)),0,VLOOKUP(A1510,'CloseDL - PriceSaverBBT3'!A:E,5,0))</f>
        <v>0</v>
      </c>
      <c r="K1510" s="7" t="str">
        <f t="shared" si="217"/>
        <v/>
      </c>
      <c r="L1510" s="20">
        <f>IF(Close[[#This Row],[CreatedBy]]="MARINER\SilverAdm",1,0)</f>
        <v>1</v>
      </c>
      <c r="M1510" t="str">
        <f>IF(NOT(ISBLANK(A1510)),VLOOKUP(A1510,'Close - PriceSaver'!A:J,6,0),"")</f>
        <v/>
      </c>
    </row>
    <row r="1511" spans="2:13" x14ac:dyDescent="0.35">
      <c r="B1511" t="str">
        <f>IF(NOT(ISBLANK(A1511)),VLOOKUP(A1511,'BBT3'!A:F,2,0),"")</f>
        <v/>
      </c>
      <c r="C1511" t="str">
        <f>IF(NOT(ISBLANK(A1511)),VLOOKUP(A1511,'BBT3'!A:F,3,0),"")</f>
        <v/>
      </c>
      <c r="D1511" s="5" t="str">
        <f>IF(NOT(ISBLANK(A1511)),VLOOKUP(A1511,'BBT3'!A:F,4,1),"")</f>
        <v/>
      </c>
      <c r="E1511" t="str">
        <f>IF(NOT(ISBLANK(A1511)),VLOOKUP(A1511,'BBT3'!A:F,5,0),"")</f>
        <v/>
      </c>
      <c r="F1511" t="str">
        <f>IF(NOT(ISBLANK(A1511)),VLOOKUP(A1511,'BBT3'!A:F,6,0),"")</f>
        <v/>
      </c>
      <c r="G1511" t="str">
        <f t="shared" si="216"/>
        <v/>
      </c>
      <c r="H1511" t="str">
        <f>IF(NOT(ISBLANK(A1511)),VLOOKUP(A1511,'Close - PriceSaver'!A:J,5,0),"")</f>
        <v/>
      </c>
      <c r="I1511" s="4" t="str" cm="1">
        <f t="array" ref="I1511">IF(NOT(ISBLANK(A1511)),((_xlfn.XLOOKUP(1,(_bbt3[[#All],[ID]]=A1511)*(_bbt3[[#All],[METRIC_NAME]]="YLD_YTM_ASK"),_bbt3[[#All],[METRIC_VALUE]])*0.5)+(_xlfn.XLOOKUP(1,(_bbt3[[#All],[ID]]=A1511)*(_bbt3[[#All],[METRIC_NAME]]="YLD_YTM_BID"),_bbt3[[#All],[METRIC_VALUE]])*0.5))/100,"")</f>
        <v/>
      </c>
      <c r="J1511">
        <f>IF(ISNA(VLOOKUP(A1511,'CloseDL - PriceSaverBBT3'!A:E,5,0)),0,VLOOKUP(A1511,'CloseDL - PriceSaverBBT3'!A:E,5,0))</f>
        <v>0</v>
      </c>
      <c r="K1511" s="7" t="str">
        <f t="shared" si="217"/>
        <v/>
      </c>
      <c r="L1511" s="20">
        <f>IF(Close[[#This Row],[CreatedBy]]="MARINER\SilverAdm",1,0)</f>
        <v>1</v>
      </c>
      <c r="M1511" t="str">
        <f>IF(NOT(ISBLANK(A1511)),VLOOKUP(A1511,'Close - PriceSaver'!A:J,6,0),"")</f>
        <v/>
      </c>
    </row>
    <row r="1512" spans="2:13" x14ac:dyDescent="0.35">
      <c r="B1512" t="str">
        <f>IF(NOT(ISBLANK(A1512)),VLOOKUP(A1512,'BBT3'!A:F,2,0),"")</f>
        <v/>
      </c>
      <c r="C1512" t="str">
        <f>IF(NOT(ISBLANK(A1512)),VLOOKUP(A1512,'BBT3'!A:F,3,0),"")</f>
        <v/>
      </c>
      <c r="D1512" s="5" t="str">
        <f>IF(NOT(ISBLANK(A1512)),VLOOKUP(A1512,'BBT3'!A:F,4,1),"")</f>
        <v/>
      </c>
      <c r="E1512" t="str">
        <f>IF(NOT(ISBLANK(A1512)),VLOOKUP(A1512,'BBT3'!A:F,5,0),"")</f>
        <v/>
      </c>
      <c r="F1512" t="str">
        <f>IF(NOT(ISBLANK(A1512)),VLOOKUP(A1512,'BBT3'!A:F,6,0),"")</f>
        <v/>
      </c>
      <c r="G1512" t="str">
        <f t="shared" si="216"/>
        <v/>
      </c>
      <c r="H1512" t="str">
        <f>IF(NOT(ISBLANK(A1512)),VLOOKUP(A1512,'Close - PriceSaver'!A:J,5,0),"")</f>
        <v/>
      </c>
      <c r="I1512" s="4" t="str" cm="1">
        <f t="array" ref="I1512">IF(NOT(ISBLANK(A1512)),((_xlfn.XLOOKUP(1,(_bbt3[[#All],[ID]]=A1512)*(_bbt3[[#All],[METRIC_NAME]]="YLD_YTM_ASK"),_bbt3[[#All],[METRIC_VALUE]])*0.5)+(_xlfn.XLOOKUP(1,(_bbt3[[#All],[ID]]=A1512)*(_bbt3[[#All],[METRIC_NAME]]="YLD_YTM_BID"),_bbt3[[#All],[METRIC_VALUE]])*0.5))/100,"")</f>
        <v/>
      </c>
      <c r="J1512">
        <f>IF(ISNA(VLOOKUP(A1512,'CloseDL - PriceSaverBBT3'!A:E,5,0)),0,VLOOKUP(A1512,'CloseDL - PriceSaverBBT3'!A:E,5,0))</f>
        <v>0</v>
      </c>
      <c r="K1512" s="7" t="str">
        <f t="shared" si="217"/>
        <v/>
      </c>
      <c r="L1512" s="20">
        <f>IF(Close[[#This Row],[CreatedBy]]="MARINER\SilverAdm",1,0)</f>
        <v>1</v>
      </c>
      <c r="M1512" t="str">
        <f>IF(NOT(ISBLANK(A1512)),VLOOKUP(A1512,'Close - PriceSaver'!A:J,6,0),"")</f>
        <v/>
      </c>
    </row>
    <row r="1513" spans="2:13" x14ac:dyDescent="0.35">
      <c r="B1513" t="str">
        <f>IF(NOT(ISBLANK(A1513)),VLOOKUP(A1513,'BBT3'!A:F,2,0),"")</f>
        <v/>
      </c>
      <c r="C1513" t="str">
        <f>IF(NOT(ISBLANK(A1513)),VLOOKUP(A1513,'BBT3'!A:F,3,0),"")</f>
        <v/>
      </c>
      <c r="D1513" s="5" t="str">
        <f>IF(NOT(ISBLANK(A1513)),VLOOKUP(A1513,'BBT3'!A:F,4,1),"")</f>
        <v/>
      </c>
      <c r="E1513" t="str">
        <f>IF(NOT(ISBLANK(A1513)),VLOOKUP(A1513,'BBT3'!A:F,5,0),"")</f>
        <v/>
      </c>
      <c r="F1513" t="str">
        <f>IF(NOT(ISBLANK(A1513)),VLOOKUP(A1513,'BBT3'!A:F,6,0),"")</f>
        <v/>
      </c>
      <c r="G1513" t="str">
        <f t="shared" si="216"/>
        <v/>
      </c>
      <c r="H1513" t="str">
        <f>IF(NOT(ISBLANK(A1513)),VLOOKUP(A1513,'Close - PriceSaver'!A:J,5,0),"")</f>
        <v/>
      </c>
      <c r="I1513" s="4" t="str" cm="1">
        <f t="array" ref="I1513">IF(NOT(ISBLANK(A1513)),((_xlfn.XLOOKUP(1,(_bbt3[[#All],[ID]]=A1513)*(_bbt3[[#All],[METRIC_NAME]]="YLD_YTM_ASK"),_bbt3[[#All],[METRIC_VALUE]])*0.5)+(_xlfn.XLOOKUP(1,(_bbt3[[#All],[ID]]=A1513)*(_bbt3[[#All],[METRIC_NAME]]="YLD_YTM_BID"),_bbt3[[#All],[METRIC_VALUE]])*0.5))/100,"")</f>
        <v/>
      </c>
      <c r="J1513">
        <f>IF(ISNA(VLOOKUP(A1513,'CloseDL - PriceSaverBBT3'!A:E,5,0)),0,VLOOKUP(A1513,'CloseDL - PriceSaverBBT3'!A:E,5,0))</f>
        <v>0</v>
      </c>
      <c r="K1513" s="7" t="str">
        <f t="shared" si="217"/>
        <v/>
      </c>
      <c r="L1513" s="20">
        <f>IF(Close[[#This Row],[CreatedBy]]="MARINER\SilverAdm",1,0)</f>
        <v>1</v>
      </c>
      <c r="M1513" t="str">
        <f>IF(NOT(ISBLANK(A1513)),VLOOKUP(A1513,'Close - PriceSaver'!A:J,6,0),"")</f>
        <v/>
      </c>
    </row>
    <row r="1514" spans="2:13" x14ac:dyDescent="0.35">
      <c r="B1514" t="str">
        <f>IF(NOT(ISBLANK(A1514)),VLOOKUP(A1514,'BBT3'!A:F,2,0),"")</f>
        <v/>
      </c>
      <c r="C1514" t="str">
        <f>IF(NOT(ISBLANK(A1514)),VLOOKUP(A1514,'BBT3'!A:F,3,0),"")</f>
        <v/>
      </c>
      <c r="D1514" s="5" t="str">
        <f>IF(NOT(ISBLANK(A1514)),VLOOKUP(A1514,'BBT3'!A:F,4,1),"")</f>
        <v/>
      </c>
      <c r="E1514" t="str">
        <f>IF(NOT(ISBLANK(A1514)),VLOOKUP(A1514,'BBT3'!A:F,5,0),"")</f>
        <v/>
      </c>
      <c r="F1514" t="str">
        <f>IF(NOT(ISBLANK(A1514)),VLOOKUP(A1514,'BBT3'!A:F,6,0),"")</f>
        <v/>
      </c>
      <c r="G1514" t="str">
        <f t="shared" si="216"/>
        <v/>
      </c>
      <c r="H1514" t="str">
        <f>IF(NOT(ISBLANK(A1514)),VLOOKUP(A1514,'Close - PriceSaver'!A:J,5,0),"")</f>
        <v/>
      </c>
      <c r="I1514" s="4" t="str" cm="1">
        <f t="array" ref="I1514">IF(NOT(ISBLANK(A1514)),((_xlfn.XLOOKUP(1,(_bbt3[[#All],[ID]]=A1514)*(_bbt3[[#All],[METRIC_NAME]]="YLD_YTM_ASK"),_bbt3[[#All],[METRIC_VALUE]])*0.5)+(_xlfn.XLOOKUP(1,(_bbt3[[#All],[ID]]=A1514)*(_bbt3[[#All],[METRIC_NAME]]="YLD_YTM_BID"),_bbt3[[#All],[METRIC_VALUE]])*0.5))/100,"")</f>
        <v/>
      </c>
      <c r="J1514">
        <f>IF(ISNA(VLOOKUP(A1514,'CloseDL - PriceSaverBBT3'!A:E,5,0)),0,VLOOKUP(A1514,'CloseDL - PriceSaverBBT3'!A:E,5,0))</f>
        <v>0</v>
      </c>
      <c r="K1514" s="7" t="str">
        <f t="shared" si="217"/>
        <v/>
      </c>
      <c r="L1514" s="20">
        <f>IF(Close[[#This Row],[CreatedBy]]="MARINER\SilverAdm",1,0)</f>
        <v>1</v>
      </c>
      <c r="M1514" t="str">
        <f>IF(NOT(ISBLANK(A1514)),VLOOKUP(A1514,'Close - PriceSaver'!A:J,6,0),"")</f>
        <v/>
      </c>
    </row>
    <row r="1515" spans="2:13" x14ac:dyDescent="0.35">
      <c r="B1515" t="str">
        <f>IF(NOT(ISBLANK(A1515)),VLOOKUP(A1515,'BBT3'!A:F,2,0),"")</f>
        <v/>
      </c>
      <c r="C1515" t="str">
        <f>IF(NOT(ISBLANK(A1515)),VLOOKUP(A1515,'BBT3'!A:F,3,0),"")</f>
        <v/>
      </c>
      <c r="D1515" s="5" t="str">
        <f>IF(NOT(ISBLANK(A1515)),VLOOKUP(A1515,'BBT3'!A:F,4,1),"")</f>
        <v/>
      </c>
      <c r="E1515" t="str">
        <f>IF(NOT(ISBLANK(A1515)),VLOOKUP(A1515,'BBT3'!A:F,5,0),"")</f>
        <v/>
      </c>
      <c r="F1515" t="str">
        <f>IF(NOT(ISBLANK(A1515)),VLOOKUP(A1515,'BBT3'!A:F,6,0),"")</f>
        <v/>
      </c>
      <c r="G1515" t="str">
        <f t="shared" si="216"/>
        <v/>
      </c>
      <c r="H1515" t="str">
        <f>IF(NOT(ISBLANK(A1515)),VLOOKUP(A1515,'Close - PriceSaver'!A:J,5,0),"")</f>
        <v/>
      </c>
      <c r="I1515" s="4" t="str" cm="1">
        <f t="array" ref="I1515">IF(NOT(ISBLANK(A1515)),((_xlfn.XLOOKUP(1,(_bbt3[[#All],[ID]]=A1515)*(_bbt3[[#All],[METRIC_NAME]]="YLD_YTM_ASK"),_bbt3[[#All],[METRIC_VALUE]])*0.5)+(_xlfn.XLOOKUP(1,(_bbt3[[#All],[ID]]=A1515)*(_bbt3[[#All],[METRIC_NAME]]="YLD_YTM_BID"),_bbt3[[#All],[METRIC_VALUE]])*0.5))/100,"")</f>
        <v/>
      </c>
      <c r="J1515">
        <f>IF(ISNA(VLOOKUP(A1515,'CloseDL - PriceSaverBBT3'!A:E,5,0)),0,VLOOKUP(A1515,'CloseDL - PriceSaverBBT3'!A:E,5,0))</f>
        <v>0</v>
      </c>
      <c r="K1515" s="7" t="str">
        <f t="shared" si="217"/>
        <v/>
      </c>
      <c r="L1515" s="20">
        <f>IF(Close[[#This Row],[CreatedBy]]="MARINER\SilverAdm",1,0)</f>
        <v>1</v>
      </c>
      <c r="M1515" t="str">
        <f>IF(NOT(ISBLANK(A1515)),VLOOKUP(A1515,'Close - PriceSaver'!A:J,6,0),"")</f>
        <v/>
      </c>
    </row>
    <row r="1516" spans="2:13" x14ac:dyDescent="0.35">
      <c r="B1516" t="str">
        <f>IF(NOT(ISBLANK(A1516)),VLOOKUP(A1516,'BBT3'!A:F,2,0),"")</f>
        <v/>
      </c>
      <c r="C1516" t="str">
        <f>IF(NOT(ISBLANK(A1516)),VLOOKUP(A1516,'BBT3'!A:F,3,0),"")</f>
        <v/>
      </c>
      <c r="D1516" s="5" t="str">
        <f>IF(NOT(ISBLANK(A1516)),VLOOKUP(A1516,'BBT3'!A:F,4,1),"")</f>
        <v/>
      </c>
      <c r="E1516" t="str">
        <f>IF(NOT(ISBLANK(A1516)),VLOOKUP(A1516,'BBT3'!A:F,5,0),"")</f>
        <v/>
      </c>
      <c r="F1516" t="str">
        <f>IF(NOT(ISBLANK(A1516)),VLOOKUP(A1516,'BBT3'!A:F,6,0),"")</f>
        <v/>
      </c>
      <c r="G1516" t="str">
        <f t="shared" si="216"/>
        <v/>
      </c>
      <c r="H1516" t="str">
        <f>IF(NOT(ISBLANK(A1516)),VLOOKUP(A1516,'Close - PriceSaver'!A:J,5,0),"")</f>
        <v/>
      </c>
      <c r="I1516" s="4" t="str" cm="1">
        <f t="array" ref="I1516">IF(NOT(ISBLANK(A1516)),((_xlfn.XLOOKUP(1,(_bbt3[[#All],[ID]]=A1516)*(_bbt3[[#All],[METRIC_NAME]]="YLD_YTM_ASK"),_bbt3[[#All],[METRIC_VALUE]])*0.5)+(_xlfn.XLOOKUP(1,(_bbt3[[#All],[ID]]=A1516)*(_bbt3[[#All],[METRIC_NAME]]="YLD_YTM_BID"),_bbt3[[#All],[METRIC_VALUE]])*0.5))/100,"")</f>
        <v/>
      </c>
      <c r="J1516">
        <f>IF(ISNA(VLOOKUP(A1516,'CloseDL - PriceSaverBBT3'!A:E,5,0)),0,VLOOKUP(A1516,'CloseDL - PriceSaverBBT3'!A:E,5,0))</f>
        <v>0</v>
      </c>
      <c r="K1516" s="7" t="str">
        <f t="shared" si="217"/>
        <v/>
      </c>
      <c r="L1516" s="20">
        <f>IF(Close[[#This Row],[CreatedBy]]="MARINER\SilverAdm",1,0)</f>
        <v>1</v>
      </c>
      <c r="M1516" t="str">
        <f>IF(NOT(ISBLANK(A1516)),VLOOKUP(A1516,'Close - PriceSaver'!A:J,6,0),"")</f>
        <v/>
      </c>
    </row>
    <row r="1517" spans="2:13" x14ac:dyDescent="0.35">
      <c r="B1517" t="str">
        <f>IF(NOT(ISBLANK(A1517)),VLOOKUP(A1517,'BBT3'!A:F,2,0),"")</f>
        <v/>
      </c>
      <c r="C1517" t="str">
        <f>IF(NOT(ISBLANK(A1517)),VLOOKUP(A1517,'BBT3'!A:F,3,0),"")</f>
        <v/>
      </c>
      <c r="D1517" s="5" t="str">
        <f>IF(NOT(ISBLANK(A1517)),VLOOKUP(A1517,'BBT3'!A:F,4,1),"")</f>
        <v/>
      </c>
      <c r="E1517" t="str">
        <f>IF(NOT(ISBLANK(A1517)),VLOOKUP(A1517,'BBT3'!A:F,5,0),"")</f>
        <v/>
      </c>
      <c r="F1517" t="str">
        <f>IF(NOT(ISBLANK(A1517)),VLOOKUP(A1517,'BBT3'!A:F,6,0),"")</f>
        <v/>
      </c>
      <c r="G1517" t="str">
        <f t="shared" si="216"/>
        <v/>
      </c>
      <c r="H1517" t="str">
        <f>IF(NOT(ISBLANK(A1517)),VLOOKUP(A1517,'Close - PriceSaver'!A:J,5,0),"")</f>
        <v/>
      </c>
      <c r="I1517" s="4" t="str" cm="1">
        <f t="array" ref="I1517">IF(NOT(ISBLANK(A1517)),((_xlfn.XLOOKUP(1,(_bbt3[[#All],[ID]]=A1517)*(_bbt3[[#All],[METRIC_NAME]]="YLD_YTM_ASK"),_bbt3[[#All],[METRIC_VALUE]])*0.5)+(_xlfn.XLOOKUP(1,(_bbt3[[#All],[ID]]=A1517)*(_bbt3[[#All],[METRIC_NAME]]="YLD_YTM_BID"),_bbt3[[#All],[METRIC_VALUE]])*0.5))/100,"")</f>
        <v/>
      </c>
      <c r="J1517">
        <f>IF(ISNA(VLOOKUP(A1517,'CloseDL - PriceSaverBBT3'!A:E,5,0)),0,VLOOKUP(A1517,'CloseDL - PriceSaverBBT3'!A:E,5,0))</f>
        <v>0</v>
      </c>
      <c r="K1517" s="7" t="str">
        <f t="shared" si="217"/>
        <v/>
      </c>
      <c r="L1517" s="20">
        <f>IF(Close[[#This Row],[CreatedBy]]="MARINER\SilverAdm",1,0)</f>
        <v>1</v>
      </c>
      <c r="M1517" t="str">
        <f>IF(NOT(ISBLANK(A1517)),VLOOKUP(A1517,'Close - PriceSaver'!A:J,6,0),"")</f>
        <v/>
      </c>
    </row>
    <row r="1518" spans="2:13" x14ac:dyDescent="0.35">
      <c r="B1518" t="str">
        <f>IF(NOT(ISBLANK(A1518)),VLOOKUP(A1518,'BBT3'!A:F,2,0),"")</f>
        <v/>
      </c>
      <c r="C1518" t="str">
        <f>IF(NOT(ISBLANK(A1518)),VLOOKUP(A1518,'BBT3'!A:F,3,0),"")</f>
        <v/>
      </c>
      <c r="D1518" s="5" t="str">
        <f>IF(NOT(ISBLANK(A1518)),VLOOKUP(A1518,'BBT3'!A:F,4,1),"")</f>
        <v/>
      </c>
      <c r="E1518" t="str">
        <f>IF(NOT(ISBLANK(A1518)),VLOOKUP(A1518,'BBT3'!A:F,5,0),"")</f>
        <v/>
      </c>
      <c r="F1518" t="str">
        <f>IF(NOT(ISBLANK(A1518)),VLOOKUP(A1518,'BBT3'!A:F,6,0),"")</f>
        <v/>
      </c>
      <c r="G1518" t="str">
        <f t="shared" si="216"/>
        <v/>
      </c>
      <c r="H1518" t="str">
        <f>IF(NOT(ISBLANK(A1518)),VLOOKUP(A1518,'Close - PriceSaver'!A:J,5,0),"")</f>
        <v/>
      </c>
      <c r="I1518" s="4" t="str" cm="1">
        <f t="array" ref="I1518">IF(NOT(ISBLANK(A1518)),((_xlfn.XLOOKUP(1,(_bbt3[[#All],[ID]]=A1518)*(_bbt3[[#All],[METRIC_NAME]]="YLD_YTM_ASK"),_bbt3[[#All],[METRIC_VALUE]])*0.5)+(_xlfn.XLOOKUP(1,(_bbt3[[#All],[ID]]=A1518)*(_bbt3[[#All],[METRIC_NAME]]="YLD_YTM_BID"),_bbt3[[#All],[METRIC_VALUE]])*0.5))/100,"")</f>
        <v/>
      </c>
      <c r="J1518">
        <f>IF(ISNA(VLOOKUP(A1518,'CloseDL - PriceSaverBBT3'!A:E,5,0)),0,VLOOKUP(A1518,'CloseDL - PriceSaverBBT3'!A:E,5,0))</f>
        <v>0</v>
      </c>
      <c r="K1518" s="7" t="str">
        <f t="shared" si="217"/>
        <v/>
      </c>
      <c r="L1518" s="20">
        <f>IF(Close[[#This Row],[CreatedBy]]="MARINER\SilverAdm",1,0)</f>
        <v>1</v>
      </c>
      <c r="M1518" t="str">
        <f>IF(NOT(ISBLANK(A1518)),VLOOKUP(A1518,'Close - PriceSaver'!A:J,6,0),"")</f>
        <v/>
      </c>
    </row>
    <row r="1519" spans="2:13" x14ac:dyDescent="0.35">
      <c r="B1519" t="str">
        <f>IF(NOT(ISBLANK(A1519)),VLOOKUP(A1519,'BBT3'!A:F,2,0),"")</f>
        <v/>
      </c>
      <c r="C1519" t="str">
        <f>IF(NOT(ISBLANK(A1519)),VLOOKUP(A1519,'BBT3'!A:F,3,0),"")</f>
        <v/>
      </c>
      <c r="D1519" s="5" t="str">
        <f>IF(NOT(ISBLANK(A1519)),VLOOKUP(A1519,'BBT3'!A:F,4,1),"")</f>
        <v/>
      </c>
      <c r="E1519" t="str">
        <f>IF(NOT(ISBLANK(A1519)),VLOOKUP(A1519,'BBT3'!A:F,5,0),"")</f>
        <v/>
      </c>
      <c r="F1519" t="str">
        <f>IF(NOT(ISBLANK(A1519)),VLOOKUP(A1519,'BBT3'!A:F,6,0),"")</f>
        <v/>
      </c>
      <c r="G1519" t="str">
        <f t="shared" si="216"/>
        <v/>
      </c>
      <c r="H1519" t="str">
        <f>IF(NOT(ISBLANK(A1519)),VLOOKUP(A1519,'Close - PriceSaver'!A:J,5,0),"")</f>
        <v/>
      </c>
      <c r="I1519" s="4" t="str" cm="1">
        <f t="array" ref="I1519">IF(NOT(ISBLANK(A1519)),((_xlfn.XLOOKUP(1,(_bbt3[[#All],[ID]]=A1519)*(_bbt3[[#All],[METRIC_NAME]]="YLD_YTM_ASK"),_bbt3[[#All],[METRIC_VALUE]])*0.5)+(_xlfn.XLOOKUP(1,(_bbt3[[#All],[ID]]=A1519)*(_bbt3[[#All],[METRIC_NAME]]="YLD_YTM_BID"),_bbt3[[#All],[METRIC_VALUE]])*0.5))/100,"")</f>
        <v/>
      </c>
      <c r="J1519">
        <f>IF(ISNA(VLOOKUP(A1519,'CloseDL - PriceSaverBBT3'!A:E,5,0)),0,VLOOKUP(A1519,'CloseDL - PriceSaverBBT3'!A:E,5,0))</f>
        <v>0</v>
      </c>
      <c r="K1519" s="7" t="str">
        <f t="shared" si="217"/>
        <v/>
      </c>
      <c r="L1519" s="20">
        <f>IF(Close[[#This Row],[CreatedBy]]="MARINER\SilverAdm",1,0)</f>
        <v>1</v>
      </c>
      <c r="M1519" t="str">
        <f>IF(NOT(ISBLANK(A1519)),VLOOKUP(A1519,'Close - PriceSaver'!A:J,6,0),"")</f>
        <v/>
      </c>
    </row>
    <row r="1520" spans="2:13" x14ac:dyDescent="0.35">
      <c r="B1520" t="str">
        <f>IF(NOT(ISBLANK(A1520)),VLOOKUP(A1520,'BBT3'!A:F,2,0),"")</f>
        <v/>
      </c>
      <c r="C1520" t="str">
        <f>IF(NOT(ISBLANK(A1520)),VLOOKUP(A1520,'BBT3'!A:F,3,0),"")</f>
        <v/>
      </c>
      <c r="D1520" s="5" t="str">
        <f>IF(NOT(ISBLANK(A1520)),VLOOKUP(A1520,'BBT3'!A:F,4,1),"")</f>
        <v/>
      </c>
      <c r="E1520" t="str">
        <f>IF(NOT(ISBLANK(A1520)),VLOOKUP(A1520,'BBT3'!A:F,5,0),"")</f>
        <v/>
      </c>
      <c r="F1520" t="str">
        <f>IF(NOT(ISBLANK(A1520)),VLOOKUP(A1520,'BBT3'!A:F,6,0),"")</f>
        <v/>
      </c>
      <c r="G1520" t="str">
        <f t="shared" si="216"/>
        <v/>
      </c>
      <c r="H1520" t="str">
        <f>IF(NOT(ISBLANK(A1520)),VLOOKUP(A1520,'Close - PriceSaver'!A:J,5,0),"")</f>
        <v/>
      </c>
      <c r="I1520" s="4" t="str" cm="1">
        <f t="array" ref="I1520">IF(NOT(ISBLANK(A1520)),((_xlfn.XLOOKUP(1,(_bbt3[[#All],[ID]]=A1520)*(_bbt3[[#All],[METRIC_NAME]]="YLD_YTM_ASK"),_bbt3[[#All],[METRIC_VALUE]])*0.5)+(_xlfn.XLOOKUP(1,(_bbt3[[#All],[ID]]=A1520)*(_bbt3[[#All],[METRIC_NAME]]="YLD_YTM_BID"),_bbt3[[#All],[METRIC_VALUE]])*0.5))/100,"")</f>
        <v/>
      </c>
      <c r="J1520">
        <f>IF(ISNA(VLOOKUP(A1520,'CloseDL - PriceSaverBBT3'!A:E,5,0)),0,VLOOKUP(A1520,'CloseDL - PriceSaverBBT3'!A:E,5,0))</f>
        <v>0</v>
      </c>
      <c r="K1520" s="7" t="str">
        <f t="shared" si="217"/>
        <v/>
      </c>
      <c r="L1520" s="20">
        <f>IF(Close[[#This Row],[CreatedBy]]="MARINER\SilverAdm",1,0)</f>
        <v>1</v>
      </c>
      <c r="M1520" t="str">
        <f>IF(NOT(ISBLANK(A1520)),VLOOKUP(A1520,'Close - PriceSaver'!A:J,6,0),"")</f>
        <v/>
      </c>
    </row>
    <row r="1521" spans="2:13" x14ac:dyDescent="0.35">
      <c r="B1521" t="str">
        <f>IF(NOT(ISBLANK(A1521)),VLOOKUP(A1521,'BBT3'!A:F,2,0),"")</f>
        <v/>
      </c>
      <c r="C1521" t="str">
        <f>IF(NOT(ISBLANK(A1521)),VLOOKUP(A1521,'BBT3'!A:F,3,0),"")</f>
        <v/>
      </c>
      <c r="D1521" s="5" t="str">
        <f>IF(NOT(ISBLANK(A1521)),VLOOKUP(A1521,'BBT3'!A:F,4,1),"")</f>
        <v/>
      </c>
      <c r="E1521" t="str">
        <f>IF(NOT(ISBLANK(A1521)),VLOOKUP(A1521,'BBT3'!A:F,5,0),"")</f>
        <v/>
      </c>
      <c r="F1521" t="str">
        <f>IF(NOT(ISBLANK(A1521)),VLOOKUP(A1521,'BBT3'!A:F,6,0),"")</f>
        <v/>
      </c>
      <c r="G1521" t="str">
        <f t="shared" si="216"/>
        <v/>
      </c>
      <c r="H1521" t="str">
        <f>IF(NOT(ISBLANK(A1521)),VLOOKUP(A1521,'Close - PriceSaver'!A:J,5,0),"")</f>
        <v/>
      </c>
      <c r="I1521" s="4" t="str" cm="1">
        <f t="array" ref="I1521">IF(NOT(ISBLANK(A1521)),((_xlfn.XLOOKUP(1,(_bbt3[[#All],[ID]]=A1521)*(_bbt3[[#All],[METRIC_NAME]]="YLD_YTM_ASK"),_bbt3[[#All],[METRIC_VALUE]])*0.5)+(_xlfn.XLOOKUP(1,(_bbt3[[#All],[ID]]=A1521)*(_bbt3[[#All],[METRIC_NAME]]="YLD_YTM_BID"),_bbt3[[#All],[METRIC_VALUE]])*0.5))/100,"")</f>
        <v/>
      </c>
      <c r="J1521">
        <f>IF(ISNA(VLOOKUP(A1521,'CloseDL - PriceSaverBBT3'!A:E,5,0)),0,VLOOKUP(A1521,'CloseDL - PriceSaverBBT3'!A:E,5,0))</f>
        <v>0</v>
      </c>
      <c r="K1521" s="7" t="str">
        <f t="shared" si="217"/>
        <v/>
      </c>
      <c r="L1521" s="20">
        <f>IF(Close[[#This Row],[CreatedBy]]="MARINER\SilverAdm",1,0)</f>
        <v>1</v>
      </c>
      <c r="M1521" t="str">
        <f>IF(NOT(ISBLANK(A1521)),VLOOKUP(A1521,'Close - PriceSaver'!A:J,6,0),"")</f>
        <v/>
      </c>
    </row>
    <row r="1522" spans="2:13" x14ac:dyDescent="0.35">
      <c r="B1522" t="str">
        <f>IF(NOT(ISBLANK(A1522)),VLOOKUP(A1522,'BBT3'!A:F,2,0),"")</f>
        <v/>
      </c>
      <c r="C1522" t="str">
        <f>IF(NOT(ISBLANK(A1522)),VLOOKUP(A1522,'BBT3'!A:F,3,0),"")</f>
        <v/>
      </c>
      <c r="D1522" s="5" t="str">
        <f>IF(NOT(ISBLANK(A1522)),VLOOKUP(A1522,'BBT3'!A:F,4,1),"")</f>
        <v/>
      </c>
      <c r="E1522" t="str">
        <f>IF(NOT(ISBLANK(A1522)),VLOOKUP(A1522,'BBT3'!A:F,5,0),"")</f>
        <v/>
      </c>
      <c r="F1522" t="str">
        <f>IF(NOT(ISBLANK(A1522)),VLOOKUP(A1522,'BBT3'!A:F,6,0),"")</f>
        <v/>
      </c>
      <c r="G1522" t="str">
        <f t="shared" si="216"/>
        <v/>
      </c>
      <c r="H1522" t="str">
        <f>IF(NOT(ISBLANK(A1522)),VLOOKUP(A1522,'Close - PriceSaver'!A:J,5,0),"")</f>
        <v/>
      </c>
      <c r="I1522" s="4" t="str" cm="1">
        <f t="array" ref="I1522">IF(NOT(ISBLANK(A1522)),((_xlfn.XLOOKUP(1,(_bbt3[[#All],[ID]]=A1522)*(_bbt3[[#All],[METRIC_NAME]]="YLD_YTM_ASK"),_bbt3[[#All],[METRIC_VALUE]])*0.5)+(_xlfn.XLOOKUP(1,(_bbt3[[#All],[ID]]=A1522)*(_bbt3[[#All],[METRIC_NAME]]="YLD_YTM_BID"),_bbt3[[#All],[METRIC_VALUE]])*0.5))/100,"")</f>
        <v/>
      </c>
      <c r="J1522">
        <f>IF(ISNA(VLOOKUP(A1522,'CloseDL - PriceSaverBBT3'!A:E,5,0)),0,VLOOKUP(A1522,'CloseDL - PriceSaverBBT3'!A:E,5,0))</f>
        <v>0</v>
      </c>
      <c r="K1522" s="7" t="str">
        <f t="shared" si="217"/>
        <v/>
      </c>
      <c r="L1522" s="20">
        <f>IF(Close[[#This Row],[CreatedBy]]="MARINER\SilverAdm",1,0)</f>
        <v>1</v>
      </c>
      <c r="M1522" t="str">
        <f>IF(NOT(ISBLANK(A1522)),VLOOKUP(A1522,'Close - PriceSaver'!A:J,6,0),"")</f>
        <v/>
      </c>
    </row>
    <row r="1523" spans="2:13" x14ac:dyDescent="0.35">
      <c r="B1523" t="str">
        <f>IF(NOT(ISBLANK(A1523)),VLOOKUP(A1523,'BBT3'!A:F,2,0),"")</f>
        <v/>
      </c>
      <c r="C1523" t="str">
        <f>IF(NOT(ISBLANK(A1523)),VLOOKUP(A1523,'BBT3'!A:F,3,0),"")</f>
        <v/>
      </c>
      <c r="D1523" s="5" t="str">
        <f>IF(NOT(ISBLANK(A1523)),VLOOKUP(A1523,'BBT3'!A:F,4,1),"")</f>
        <v/>
      </c>
      <c r="E1523" t="str">
        <f>IF(NOT(ISBLANK(A1523)),VLOOKUP(A1523,'BBT3'!A:F,5,0),"")</f>
        <v/>
      </c>
      <c r="F1523" t="str">
        <f>IF(NOT(ISBLANK(A1523)),VLOOKUP(A1523,'BBT3'!A:F,6,0),"")</f>
        <v/>
      </c>
      <c r="G1523" t="str">
        <f t="shared" si="216"/>
        <v/>
      </c>
      <c r="H1523" t="str">
        <f>IF(NOT(ISBLANK(A1523)),VLOOKUP(A1523,'Close - PriceSaver'!A:J,5,0),"")</f>
        <v/>
      </c>
      <c r="I1523" s="4" t="str" cm="1">
        <f t="array" ref="I1523">IF(NOT(ISBLANK(A1523)),((_xlfn.XLOOKUP(1,(_bbt3[[#All],[ID]]=A1523)*(_bbt3[[#All],[METRIC_NAME]]="YLD_YTM_ASK"),_bbt3[[#All],[METRIC_VALUE]])*0.5)+(_xlfn.XLOOKUP(1,(_bbt3[[#All],[ID]]=A1523)*(_bbt3[[#All],[METRIC_NAME]]="YLD_YTM_BID"),_bbt3[[#All],[METRIC_VALUE]])*0.5))/100,"")</f>
        <v/>
      </c>
      <c r="J1523">
        <f>IF(ISNA(VLOOKUP(A1523,'CloseDL - PriceSaverBBT3'!A:E,5,0)),0,VLOOKUP(A1523,'CloseDL - PriceSaverBBT3'!A:E,5,0))</f>
        <v>0</v>
      </c>
      <c r="K1523" s="7" t="str">
        <f t="shared" si="217"/>
        <v/>
      </c>
      <c r="L1523" s="20">
        <f>IF(Close[[#This Row],[CreatedBy]]="MARINER\SilverAdm",1,0)</f>
        <v>1</v>
      </c>
      <c r="M1523" t="str">
        <f>IF(NOT(ISBLANK(A1523)),VLOOKUP(A1523,'Close - PriceSaver'!A:J,6,0),"")</f>
        <v/>
      </c>
    </row>
    <row r="1524" spans="2:13" x14ac:dyDescent="0.35">
      <c r="B1524" t="str">
        <f>IF(NOT(ISBLANK(A1524)),VLOOKUP(A1524,'BBT3'!A:F,2,0),"")</f>
        <v/>
      </c>
      <c r="C1524" t="str">
        <f>IF(NOT(ISBLANK(A1524)),VLOOKUP(A1524,'BBT3'!A:F,3,0),"")</f>
        <v/>
      </c>
      <c r="D1524" s="5" t="str">
        <f>IF(NOT(ISBLANK(A1524)),VLOOKUP(A1524,'BBT3'!A:F,4,1),"")</f>
        <v/>
      </c>
      <c r="E1524" t="str">
        <f>IF(NOT(ISBLANK(A1524)),VLOOKUP(A1524,'BBT3'!A:F,5,0),"")</f>
        <v/>
      </c>
      <c r="F1524" t="str">
        <f>IF(NOT(ISBLANK(A1524)),VLOOKUP(A1524,'BBT3'!A:F,6,0),"")</f>
        <v/>
      </c>
      <c r="G1524" t="str">
        <f t="shared" si="216"/>
        <v/>
      </c>
      <c r="H1524" t="str">
        <f>IF(NOT(ISBLANK(A1524)),VLOOKUP(A1524,'Close - PriceSaver'!A:J,5,0),"")</f>
        <v/>
      </c>
      <c r="I1524" s="4" t="str" cm="1">
        <f t="array" ref="I1524">IF(NOT(ISBLANK(A1524)),((_xlfn.XLOOKUP(1,(_bbt3[[#All],[ID]]=A1524)*(_bbt3[[#All],[METRIC_NAME]]="YLD_YTM_ASK"),_bbt3[[#All],[METRIC_VALUE]])*0.5)+(_xlfn.XLOOKUP(1,(_bbt3[[#All],[ID]]=A1524)*(_bbt3[[#All],[METRIC_NAME]]="YLD_YTM_BID"),_bbt3[[#All],[METRIC_VALUE]])*0.5))/100,"")</f>
        <v/>
      </c>
      <c r="J1524">
        <f>IF(ISNA(VLOOKUP(A1524,'CloseDL - PriceSaverBBT3'!A:E,5,0)),0,VLOOKUP(A1524,'CloseDL - PriceSaverBBT3'!A:E,5,0))</f>
        <v>0</v>
      </c>
      <c r="K1524" s="7" t="str">
        <f t="shared" si="217"/>
        <v/>
      </c>
      <c r="L1524" s="20">
        <f>IF(Close[[#This Row],[CreatedBy]]="MARINER\SilverAdm",1,0)</f>
        <v>1</v>
      </c>
      <c r="M1524" t="str">
        <f>IF(NOT(ISBLANK(A1524)),VLOOKUP(A1524,'Close - PriceSaver'!A:J,6,0),"")</f>
        <v/>
      </c>
    </row>
    <row r="1525" spans="2:13" x14ac:dyDescent="0.35">
      <c r="B1525" t="str">
        <f>IF(NOT(ISBLANK(A1525)),VLOOKUP(A1525,'BBT3'!A:F,2,0),"")</f>
        <v/>
      </c>
      <c r="C1525" t="str">
        <f>IF(NOT(ISBLANK(A1525)),VLOOKUP(A1525,'BBT3'!A:F,3,0),"")</f>
        <v/>
      </c>
      <c r="D1525" s="5" t="str">
        <f>IF(NOT(ISBLANK(A1525)),VLOOKUP(A1525,'BBT3'!A:F,4,1),"")</f>
        <v/>
      </c>
      <c r="E1525" t="str">
        <f>IF(NOT(ISBLANK(A1525)),VLOOKUP(A1525,'BBT3'!A:F,5,0),"")</f>
        <v/>
      </c>
      <c r="F1525" t="str">
        <f>IF(NOT(ISBLANK(A1525)),VLOOKUP(A1525,'BBT3'!A:F,6,0),"")</f>
        <v/>
      </c>
      <c r="G1525" t="str">
        <f t="shared" si="216"/>
        <v/>
      </c>
      <c r="H1525" t="str">
        <f>IF(NOT(ISBLANK(A1525)),VLOOKUP(A1525,'Close - PriceSaver'!A:J,5,0),"")</f>
        <v/>
      </c>
      <c r="I1525" s="4" t="str" cm="1">
        <f t="array" ref="I1525">IF(NOT(ISBLANK(A1525)),((_xlfn.XLOOKUP(1,(_bbt3[[#All],[ID]]=A1525)*(_bbt3[[#All],[METRIC_NAME]]="YLD_YTM_ASK"),_bbt3[[#All],[METRIC_VALUE]])*0.5)+(_xlfn.XLOOKUP(1,(_bbt3[[#All],[ID]]=A1525)*(_bbt3[[#All],[METRIC_NAME]]="YLD_YTM_BID"),_bbt3[[#All],[METRIC_VALUE]])*0.5))/100,"")</f>
        <v/>
      </c>
      <c r="J1525">
        <f>IF(ISNA(VLOOKUP(A1525,'CloseDL - PriceSaverBBT3'!A:E,5,0)),0,VLOOKUP(A1525,'CloseDL - PriceSaverBBT3'!A:E,5,0))</f>
        <v>0</v>
      </c>
      <c r="K1525" s="7" t="str">
        <f t="shared" si="217"/>
        <v/>
      </c>
      <c r="L1525" s="20">
        <f>IF(Close[[#This Row],[CreatedBy]]="MARINER\SilverAdm",1,0)</f>
        <v>1</v>
      </c>
      <c r="M1525" t="str">
        <f>IF(NOT(ISBLANK(A1525)),VLOOKUP(A1525,'Close - PriceSaver'!A:J,6,0),"")</f>
        <v/>
      </c>
    </row>
    <row r="1526" spans="2:13" x14ac:dyDescent="0.35">
      <c r="B1526" t="str">
        <f>IF(NOT(ISBLANK(A1526)),VLOOKUP(A1526,'BBT3'!A:F,2,0),"")</f>
        <v/>
      </c>
      <c r="C1526" t="str">
        <f>IF(NOT(ISBLANK(A1526)),VLOOKUP(A1526,'BBT3'!A:F,3,0),"")</f>
        <v/>
      </c>
      <c r="D1526" s="5" t="str">
        <f>IF(NOT(ISBLANK(A1526)),VLOOKUP(A1526,'BBT3'!A:F,4,1),"")</f>
        <v/>
      </c>
      <c r="E1526" t="str">
        <f>IF(NOT(ISBLANK(A1526)),VLOOKUP(A1526,'BBT3'!A:F,5,0),"")</f>
        <v/>
      </c>
      <c r="F1526" t="str">
        <f>IF(NOT(ISBLANK(A1526)),VLOOKUP(A1526,'BBT3'!A:F,6,0),"")</f>
        <v/>
      </c>
      <c r="G1526" t="str">
        <f t="shared" si="216"/>
        <v/>
      </c>
      <c r="H1526" t="str">
        <f>IF(NOT(ISBLANK(A1526)),VLOOKUP(A1526,'Close - PriceSaver'!A:J,5,0),"")</f>
        <v/>
      </c>
      <c r="I1526" s="4" t="str" cm="1">
        <f t="array" ref="I1526">IF(NOT(ISBLANK(A1526)),((_xlfn.XLOOKUP(1,(_bbt3[[#All],[ID]]=A1526)*(_bbt3[[#All],[METRIC_NAME]]="YLD_YTM_ASK"),_bbt3[[#All],[METRIC_VALUE]])*0.5)+(_xlfn.XLOOKUP(1,(_bbt3[[#All],[ID]]=A1526)*(_bbt3[[#All],[METRIC_NAME]]="YLD_YTM_BID"),_bbt3[[#All],[METRIC_VALUE]])*0.5))/100,"")</f>
        <v/>
      </c>
      <c r="J1526">
        <f>IF(ISNA(VLOOKUP(A1526,'CloseDL - PriceSaverBBT3'!A:E,5,0)),0,VLOOKUP(A1526,'CloseDL - PriceSaverBBT3'!A:E,5,0))</f>
        <v>0</v>
      </c>
      <c r="K1526" s="7" t="str">
        <f t="shared" si="217"/>
        <v/>
      </c>
      <c r="L1526" s="20">
        <f>IF(Close[[#This Row],[CreatedBy]]="MARINER\SilverAdm",1,0)</f>
        <v>1</v>
      </c>
      <c r="M1526" t="str">
        <f>IF(NOT(ISBLANK(A1526)),VLOOKUP(A1526,'Close - PriceSaver'!A:J,6,0),"")</f>
        <v/>
      </c>
    </row>
    <row r="1527" spans="2:13" x14ac:dyDescent="0.35">
      <c r="B1527" t="str">
        <f>IF(NOT(ISBLANK(A1527)),VLOOKUP(A1527,'BBT3'!A:F,2,0),"")</f>
        <v/>
      </c>
      <c r="C1527" t="str">
        <f>IF(NOT(ISBLANK(A1527)),VLOOKUP(A1527,'BBT3'!A:F,3,0),"")</f>
        <v/>
      </c>
      <c r="D1527" s="5" t="str">
        <f>IF(NOT(ISBLANK(A1527)),VLOOKUP(A1527,'BBT3'!A:F,4,1),"")</f>
        <v/>
      </c>
      <c r="E1527" t="str">
        <f>IF(NOT(ISBLANK(A1527)),VLOOKUP(A1527,'BBT3'!A:F,5,0),"")</f>
        <v/>
      </c>
      <c r="F1527" t="str">
        <f>IF(NOT(ISBLANK(A1527)),VLOOKUP(A1527,'BBT3'!A:F,6,0),"")</f>
        <v/>
      </c>
      <c r="G1527" t="str">
        <f t="shared" si="216"/>
        <v/>
      </c>
      <c r="H1527" t="str">
        <f>IF(NOT(ISBLANK(A1527)),VLOOKUP(A1527,'Close - PriceSaver'!A:J,5,0),"")</f>
        <v/>
      </c>
      <c r="I1527" s="4" t="str" cm="1">
        <f t="array" ref="I1527">IF(NOT(ISBLANK(A1527)),((_xlfn.XLOOKUP(1,(_bbt3[[#All],[ID]]=A1527)*(_bbt3[[#All],[METRIC_NAME]]="YLD_YTM_ASK"),_bbt3[[#All],[METRIC_VALUE]])*0.5)+(_xlfn.XLOOKUP(1,(_bbt3[[#All],[ID]]=A1527)*(_bbt3[[#All],[METRIC_NAME]]="YLD_YTM_BID"),_bbt3[[#All],[METRIC_VALUE]])*0.5))/100,"")</f>
        <v/>
      </c>
      <c r="J1527">
        <f>IF(ISNA(VLOOKUP(A1527,'CloseDL - PriceSaverBBT3'!A:E,5,0)),0,VLOOKUP(A1527,'CloseDL - PriceSaverBBT3'!A:E,5,0))</f>
        <v>0</v>
      </c>
      <c r="K1527" s="7" t="str">
        <f t="shared" si="217"/>
        <v/>
      </c>
      <c r="L1527" s="20">
        <f>IF(Close[[#This Row],[CreatedBy]]="MARINER\SilverAdm",1,0)</f>
        <v>1</v>
      </c>
      <c r="M1527" t="str">
        <f>IF(NOT(ISBLANK(A1527)),VLOOKUP(A1527,'Close - PriceSaver'!A:J,6,0),"")</f>
        <v/>
      </c>
    </row>
    <row r="1528" spans="2:13" x14ac:dyDescent="0.35">
      <c r="B1528" t="str">
        <f>IF(NOT(ISBLANK(A1528)),VLOOKUP(A1528,'BBT3'!A:F,2,0),"")</f>
        <v/>
      </c>
      <c r="C1528" t="str">
        <f>IF(NOT(ISBLANK(A1528)),VLOOKUP(A1528,'BBT3'!A:F,3,0),"")</f>
        <v/>
      </c>
      <c r="D1528" s="5" t="str">
        <f>IF(NOT(ISBLANK(A1528)),VLOOKUP(A1528,'BBT3'!A:F,4,1),"")</f>
        <v/>
      </c>
      <c r="E1528" t="str">
        <f>IF(NOT(ISBLANK(A1528)),VLOOKUP(A1528,'BBT3'!A:F,5,0),"")</f>
        <v/>
      </c>
      <c r="F1528" t="str">
        <f>IF(NOT(ISBLANK(A1528)),VLOOKUP(A1528,'BBT3'!A:F,6,0),"")</f>
        <v/>
      </c>
      <c r="G1528" t="str">
        <f t="shared" si="216"/>
        <v/>
      </c>
      <c r="H1528" t="str">
        <f>IF(NOT(ISBLANK(A1528)),VLOOKUP(A1528,'Close - PriceSaver'!A:J,5,0),"")</f>
        <v/>
      </c>
      <c r="I1528" s="4" t="str" cm="1">
        <f t="array" ref="I1528">IF(NOT(ISBLANK(A1528)),((_xlfn.XLOOKUP(1,(_bbt3[[#All],[ID]]=A1528)*(_bbt3[[#All],[METRIC_NAME]]="YLD_YTM_ASK"),_bbt3[[#All],[METRIC_VALUE]])*0.5)+(_xlfn.XLOOKUP(1,(_bbt3[[#All],[ID]]=A1528)*(_bbt3[[#All],[METRIC_NAME]]="YLD_YTM_BID"),_bbt3[[#All],[METRIC_VALUE]])*0.5))/100,"")</f>
        <v/>
      </c>
      <c r="J1528">
        <f>IF(ISNA(VLOOKUP(A1528,'CloseDL - PriceSaverBBT3'!A:E,5,0)),0,VLOOKUP(A1528,'CloseDL - PriceSaverBBT3'!A:E,5,0))</f>
        <v>0</v>
      </c>
      <c r="K1528" s="7" t="str">
        <f t="shared" si="217"/>
        <v/>
      </c>
      <c r="L1528" s="20">
        <f>IF(Close[[#This Row],[CreatedBy]]="MARINER\SilverAdm",1,0)</f>
        <v>1</v>
      </c>
      <c r="M1528" t="str">
        <f>IF(NOT(ISBLANK(A1528)),VLOOKUP(A1528,'Close - PriceSaver'!A:J,6,0),"")</f>
        <v/>
      </c>
    </row>
    <row r="1529" spans="2:13" x14ac:dyDescent="0.35">
      <c r="B1529" t="str">
        <f>IF(NOT(ISBLANK(A1529)),VLOOKUP(A1529,'BBT3'!A:F,2,0),"")</f>
        <v/>
      </c>
      <c r="C1529" t="str">
        <f>IF(NOT(ISBLANK(A1529)),VLOOKUP(A1529,'BBT3'!A:F,3,0),"")</f>
        <v/>
      </c>
      <c r="D1529" s="5" t="str">
        <f>IF(NOT(ISBLANK(A1529)),VLOOKUP(A1529,'BBT3'!A:F,4,1),"")</f>
        <v/>
      </c>
      <c r="E1529" t="str">
        <f>IF(NOT(ISBLANK(A1529)),VLOOKUP(A1529,'BBT3'!A:F,5,0),"")</f>
        <v/>
      </c>
      <c r="F1529" t="str">
        <f>IF(NOT(ISBLANK(A1529)),VLOOKUP(A1529,'BBT3'!A:F,6,0),"")</f>
        <v/>
      </c>
      <c r="G1529" t="str">
        <f t="shared" si="216"/>
        <v/>
      </c>
      <c r="H1529" t="str">
        <f>IF(NOT(ISBLANK(A1529)),VLOOKUP(A1529,'Close - PriceSaver'!A:J,5,0),"")</f>
        <v/>
      </c>
      <c r="I1529" s="4" t="str" cm="1">
        <f t="array" ref="I1529">IF(NOT(ISBLANK(A1529)),((_xlfn.XLOOKUP(1,(_bbt3[[#All],[ID]]=A1529)*(_bbt3[[#All],[METRIC_NAME]]="YLD_YTM_ASK"),_bbt3[[#All],[METRIC_VALUE]])*0.5)+(_xlfn.XLOOKUP(1,(_bbt3[[#All],[ID]]=A1529)*(_bbt3[[#All],[METRIC_NAME]]="YLD_YTM_BID"),_bbt3[[#All],[METRIC_VALUE]])*0.5))/100,"")</f>
        <v/>
      </c>
      <c r="J1529">
        <f>IF(ISNA(VLOOKUP(A1529,'CloseDL - PriceSaverBBT3'!A:E,5,0)),0,VLOOKUP(A1529,'CloseDL - PriceSaverBBT3'!A:E,5,0))</f>
        <v>0</v>
      </c>
      <c r="K1529" s="7" t="str">
        <f t="shared" si="217"/>
        <v/>
      </c>
      <c r="L1529" s="20">
        <f>IF(Close[[#This Row],[CreatedBy]]="MARINER\SilverAdm",1,0)</f>
        <v>1</v>
      </c>
      <c r="M1529" t="str">
        <f>IF(NOT(ISBLANK(A1529)),VLOOKUP(A1529,'Close - PriceSaver'!A:J,6,0),"")</f>
        <v/>
      </c>
    </row>
    <row r="1530" spans="2:13" x14ac:dyDescent="0.35">
      <c r="B1530" t="str">
        <f>IF(NOT(ISBLANK(A1530)),VLOOKUP(A1530,'BBT3'!A:F,2,0),"")</f>
        <v/>
      </c>
      <c r="C1530" t="str">
        <f>IF(NOT(ISBLANK(A1530)),VLOOKUP(A1530,'BBT3'!A:F,3,0),"")</f>
        <v/>
      </c>
      <c r="D1530" s="5" t="str">
        <f>IF(NOT(ISBLANK(A1530)),VLOOKUP(A1530,'BBT3'!A:F,4,1),"")</f>
        <v/>
      </c>
      <c r="E1530" t="str">
        <f>IF(NOT(ISBLANK(A1530)),VLOOKUP(A1530,'BBT3'!A:F,5,0),"")</f>
        <v/>
      </c>
      <c r="F1530" t="str">
        <f>IF(NOT(ISBLANK(A1530)),VLOOKUP(A1530,'BBT3'!A:F,6,0),"")</f>
        <v/>
      </c>
      <c r="G1530" t="str">
        <f t="shared" si="216"/>
        <v/>
      </c>
      <c r="H1530" t="str">
        <f>IF(NOT(ISBLANK(A1530)),VLOOKUP(A1530,'Close - PriceSaver'!A:J,5,0),"")</f>
        <v/>
      </c>
      <c r="I1530" s="4" t="str" cm="1">
        <f t="array" ref="I1530">IF(NOT(ISBLANK(A1530)),((_xlfn.XLOOKUP(1,(_bbt3[[#All],[ID]]=A1530)*(_bbt3[[#All],[METRIC_NAME]]="YLD_YTM_ASK"),_bbt3[[#All],[METRIC_VALUE]])*0.5)+(_xlfn.XLOOKUP(1,(_bbt3[[#All],[ID]]=A1530)*(_bbt3[[#All],[METRIC_NAME]]="YLD_YTM_BID"),_bbt3[[#All],[METRIC_VALUE]])*0.5))/100,"")</f>
        <v/>
      </c>
      <c r="J1530">
        <f>IF(ISNA(VLOOKUP(A1530,'CloseDL - PriceSaverBBT3'!A:E,5,0)),0,VLOOKUP(A1530,'CloseDL - PriceSaverBBT3'!A:E,5,0))</f>
        <v>0</v>
      </c>
      <c r="K1530" s="7" t="str">
        <f t="shared" si="217"/>
        <v/>
      </c>
      <c r="L1530" s="20">
        <f>IF(Close[[#This Row],[CreatedBy]]="MARINER\SilverAdm",1,0)</f>
        <v>1</v>
      </c>
      <c r="M1530" t="str">
        <f>IF(NOT(ISBLANK(A1530)),VLOOKUP(A1530,'Close - PriceSaver'!A:J,6,0),"")</f>
        <v/>
      </c>
    </row>
    <row r="1531" spans="2:13" x14ac:dyDescent="0.35">
      <c r="B1531" t="str">
        <f>IF(NOT(ISBLANK(A1531)),VLOOKUP(A1531,'BBT3'!A:F,2,0),"")</f>
        <v/>
      </c>
      <c r="C1531" t="str">
        <f>IF(NOT(ISBLANK(A1531)),VLOOKUP(A1531,'BBT3'!A:F,3,0),"")</f>
        <v/>
      </c>
      <c r="D1531" s="5" t="str">
        <f>IF(NOT(ISBLANK(A1531)),VLOOKUP(A1531,'BBT3'!A:F,4,1),"")</f>
        <v/>
      </c>
      <c r="E1531" t="str">
        <f>IF(NOT(ISBLANK(A1531)),VLOOKUP(A1531,'BBT3'!A:F,5,0),"")</f>
        <v/>
      </c>
      <c r="F1531" t="str">
        <f>IF(NOT(ISBLANK(A1531)),VLOOKUP(A1531,'BBT3'!A:F,6,0),"")</f>
        <v/>
      </c>
      <c r="G1531" t="str">
        <f t="shared" si="216"/>
        <v/>
      </c>
      <c r="H1531" t="str">
        <f>IF(NOT(ISBLANK(A1531)),VLOOKUP(A1531,'Close - PriceSaver'!A:J,5,0),"")</f>
        <v/>
      </c>
      <c r="I1531" s="4" t="str" cm="1">
        <f t="array" ref="I1531">IF(NOT(ISBLANK(A1531)),((_xlfn.XLOOKUP(1,(_bbt3[[#All],[ID]]=A1531)*(_bbt3[[#All],[METRIC_NAME]]="YLD_YTM_ASK"),_bbt3[[#All],[METRIC_VALUE]])*0.5)+(_xlfn.XLOOKUP(1,(_bbt3[[#All],[ID]]=A1531)*(_bbt3[[#All],[METRIC_NAME]]="YLD_YTM_BID"),_bbt3[[#All],[METRIC_VALUE]])*0.5))/100,"")</f>
        <v/>
      </c>
      <c r="J1531">
        <f>IF(ISNA(VLOOKUP(A1531,'CloseDL - PriceSaverBBT3'!A:E,5,0)),0,VLOOKUP(A1531,'CloseDL - PriceSaverBBT3'!A:E,5,0))</f>
        <v>0</v>
      </c>
      <c r="K1531" s="7" t="str">
        <f t="shared" si="217"/>
        <v/>
      </c>
      <c r="L1531" s="20">
        <f>IF(Close[[#This Row],[CreatedBy]]="MARINER\SilverAdm",1,0)</f>
        <v>1</v>
      </c>
      <c r="M1531" t="str">
        <f>IF(NOT(ISBLANK(A1531)),VLOOKUP(A1531,'Close - PriceSaver'!A:J,6,0),"")</f>
        <v/>
      </c>
    </row>
    <row r="1532" spans="2:13" x14ac:dyDescent="0.35">
      <c r="B1532" t="str">
        <f>IF(NOT(ISBLANK(A1532)),VLOOKUP(A1532,'BBT3'!A:F,2,0),"")</f>
        <v/>
      </c>
      <c r="C1532" t="str">
        <f>IF(NOT(ISBLANK(A1532)),VLOOKUP(A1532,'BBT3'!A:F,3,0),"")</f>
        <v/>
      </c>
      <c r="D1532" s="5" t="str">
        <f>IF(NOT(ISBLANK(A1532)),VLOOKUP(A1532,'BBT3'!A:F,4,1),"")</f>
        <v/>
      </c>
      <c r="E1532" t="str">
        <f>IF(NOT(ISBLANK(A1532)),VLOOKUP(A1532,'BBT3'!A:F,5,0),"")</f>
        <v/>
      </c>
      <c r="F1532" t="str">
        <f>IF(NOT(ISBLANK(A1532)),VLOOKUP(A1532,'BBT3'!A:F,6,0),"")</f>
        <v/>
      </c>
      <c r="G1532" t="str">
        <f t="shared" si="216"/>
        <v/>
      </c>
      <c r="H1532" t="str">
        <f>IF(NOT(ISBLANK(A1532)),VLOOKUP(A1532,'Close - PriceSaver'!A:J,5,0),"")</f>
        <v/>
      </c>
      <c r="I1532" s="4" t="str" cm="1">
        <f t="array" ref="I1532">IF(NOT(ISBLANK(A1532)),((_xlfn.XLOOKUP(1,(_bbt3[[#All],[ID]]=A1532)*(_bbt3[[#All],[METRIC_NAME]]="YLD_YTM_ASK"),_bbt3[[#All],[METRIC_VALUE]])*0.5)+(_xlfn.XLOOKUP(1,(_bbt3[[#All],[ID]]=A1532)*(_bbt3[[#All],[METRIC_NAME]]="YLD_YTM_BID"),_bbt3[[#All],[METRIC_VALUE]])*0.5))/100,"")</f>
        <v/>
      </c>
      <c r="J1532">
        <f>IF(ISNA(VLOOKUP(A1532,'CloseDL - PriceSaverBBT3'!A:E,5,0)),0,VLOOKUP(A1532,'CloseDL - PriceSaverBBT3'!A:E,5,0))</f>
        <v>0</v>
      </c>
      <c r="K1532" s="7" t="str">
        <f t="shared" si="217"/>
        <v/>
      </c>
      <c r="L1532" s="20">
        <f>IF(Close[[#This Row],[CreatedBy]]="MARINER\SilverAdm",1,0)</f>
        <v>1</v>
      </c>
      <c r="M1532" t="str">
        <f>IF(NOT(ISBLANK(A1532)),VLOOKUP(A1532,'Close - PriceSaver'!A:J,6,0),"")</f>
        <v/>
      </c>
    </row>
    <row r="1533" spans="2:13" x14ac:dyDescent="0.35">
      <c r="B1533" t="str">
        <f>IF(NOT(ISBLANK(A1533)),VLOOKUP(A1533,'BBT3'!A:F,2,0),"")</f>
        <v/>
      </c>
      <c r="C1533" t="str">
        <f>IF(NOT(ISBLANK(A1533)),VLOOKUP(A1533,'BBT3'!A:F,3,0),"")</f>
        <v/>
      </c>
      <c r="D1533" s="5" t="str">
        <f>IF(NOT(ISBLANK(A1533)),VLOOKUP(A1533,'BBT3'!A:F,4,1),"")</f>
        <v/>
      </c>
      <c r="E1533" t="str">
        <f>IF(NOT(ISBLANK(A1533)),VLOOKUP(A1533,'BBT3'!A:F,5,0),"")</f>
        <v/>
      </c>
      <c r="F1533" t="str">
        <f>IF(NOT(ISBLANK(A1533)),VLOOKUP(A1533,'BBT3'!A:F,6,0),"")</f>
        <v/>
      </c>
      <c r="G1533" t="str">
        <f t="shared" si="216"/>
        <v/>
      </c>
      <c r="H1533" t="str">
        <f>IF(NOT(ISBLANK(A1533)),VLOOKUP(A1533,'Close - PriceSaver'!A:J,5,0),"")</f>
        <v/>
      </c>
      <c r="I1533" s="4" t="str" cm="1">
        <f t="array" ref="I1533">IF(NOT(ISBLANK(A1533)),((_xlfn.XLOOKUP(1,(_bbt3[[#All],[ID]]=A1533)*(_bbt3[[#All],[METRIC_NAME]]="YLD_YTM_ASK"),_bbt3[[#All],[METRIC_VALUE]])*0.5)+(_xlfn.XLOOKUP(1,(_bbt3[[#All],[ID]]=A1533)*(_bbt3[[#All],[METRIC_NAME]]="YLD_YTM_BID"),_bbt3[[#All],[METRIC_VALUE]])*0.5))/100,"")</f>
        <v/>
      </c>
      <c r="J1533">
        <f>IF(ISNA(VLOOKUP(A1533,'CloseDL - PriceSaverBBT3'!A:E,5,0)),0,VLOOKUP(A1533,'CloseDL - PriceSaverBBT3'!A:E,5,0))</f>
        <v>0</v>
      </c>
      <c r="K1533" s="7" t="str">
        <f t="shared" si="217"/>
        <v/>
      </c>
      <c r="L1533" s="20">
        <f>IF(Close[[#This Row],[CreatedBy]]="MARINER\SilverAdm",1,0)</f>
        <v>1</v>
      </c>
      <c r="M1533" t="str">
        <f>IF(NOT(ISBLANK(A1533)),VLOOKUP(A1533,'Close - PriceSaver'!A:J,6,0),"")</f>
        <v/>
      </c>
    </row>
    <row r="1534" spans="2:13" x14ac:dyDescent="0.35">
      <c r="B1534" t="str">
        <f>IF(NOT(ISBLANK(A1534)),VLOOKUP(A1534,'BBT3'!A:F,2,0),"")</f>
        <v/>
      </c>
      <c r="C1534" t="str">
        <f>IF(NOT(ISBLANK(A1534)),VLOOKUP(A1534,'BBT3'!A:F,3,0),"")</f>
        <v/>
      </c>
      <c r="D1534" s="5" t="str">
        <f>IF(NOT(ISBLANK(A1534)),VLOOKUP(A1534,'BBT3'!A:F,4,1),"")</f>
        <v/>
      </c>
      <c r="E1534" t="str">
        <f>IF(NOT(ISBLANK(A1534)),VLOOKUP(A1534,'BBT3'!A:F,5,0),"")</f>
        <v/>
      </c>
      <c r="F1534" t="str">
        <f>IF(NOT(ISBLANK(A1534)),VLOOKUP(A1534,'BBT3'!A:F,6,0),"")</f>
        <v/>
      </c>
      <c r="G1534" t="str">
        <f t="shared" si="216"/>
        <v/>
      </c>
      <c r="H1534" t="str">
        <f>IF(NOT(ISBLANK(A1534)),VLOOKUP(A1534,'Close - PriceSaver'!A:J,5,0),"")</f>
        <v/>
      </c>
      <c r="I1534" s="4" t="str" cm="1">
        <f t="array" ref="I1534">IF(NOT(ISBLANK(A1534)),((_xlfn.XLOOKUP(1,(_bbt3[[#All],[ID]]=A1534)*(_bbt3[[#All],[METRIC_NAME]]="YLD_YTM_ASK"),_bbt3[[#All],[METRIC_VALUE]])*0.5)+(_xlfn.XLOOKUP(1,(_bbt3[[#All],[ID]]=A1534)*(_bbt3[[#All],[METRIC_NAME]]="YLD_YTM_BID"),_bbt3[[#All],[METRIC_VALUE]])*0.5))/100,"")</f>
        <v/>
      </c>
      <c r="J1534">
        <f>IF(ISNA(VLOOKUP(A1534,'CloseDL - PriceSaverBBT3'!A:E,5,0)),0,VLOOKUP(A1534,'CloseDL - PriceSaverBBT3'!A:E,5,0))</f>
        <v>0</v>
      </c>
      <c r="K1534" s="7" t="str">
        <f t="shared" si="217"/>
        <v/>
      </c>
      <c r="L1534" s="20">
        <f>IF(Close[[#This Row],[CreatedBy]]="MARINER\SilverAdm",1,0)</f>
        <v>1</v>
      </c>
      <c r="M1534" t="str">
        <f>IF(NOT(ISBLANK(A1534)),VLOOKUP(A1534,'Close - PriceSaver'!A:J,6,0),"")</f>
        <v/>
      </c>
    </row>
    <row r="1535" spans="2:13" x14ac:dyDescent="0.35">
      <c r="B1535" t="str">
        <f>IF(NOT(ISBLANK(A1535)),VLOOKUP(A1535,'BBT3'!A:F,2,0),"")</f>
        <v/>
      </c>
      <c r="C1535" t="str">
        <f>IF(NOT(ISBLANK(A1535)),VLOOKUP(A1535,'BBT3'!A:F,3,0),"")</f>
        <v/>
      </c>
      <c r="D1535" s="5" t="str">
        <f>IF(NOT(ISBLANK(A1535)),VLOOKUP(A1535,'BBT3'!A:F,4,1),"")</f>
        <v/>
      </c>
      <c r="E1535" t="str">
        <f>IF(NOT(ISBLANK(A1535)),VLOOKUP(A1535,'BBT3'!A:F,5,0),"")</f>
        <v/>
      </c>
      <c r="F1535" t="str">
        <f>IF(NOT(ISBLANK(A1535)),VLOOKUP(A1535,'BBT3'!A:F,6,0),"")</f>
        <v/>
      </c>
      <c r="G1535" t="str">
        <f t="shared" si="216"/>
        <v/>
      </c>
      <c r="H1535" t="str">
        <f>IF(NOT(ISBLANK(A1535)),VLOOKUP(A1535,'Close - PriceSaver'!A:J,5,0),"")</f>
        <v/>
      </c>
      <c r="I1535" s="4" t="str" cm="1">
        <f t="array" ref="I1535">IF(NOT(ISBLANK(A1535)),((_xlfn.XLOOKUP(1,(_bbt3[[#All],[ID]]=A1535)*(_bbt3[[#All],[METRIC_NAME]]="YLD_YTM_ASK"),_bbt3[[#All],[METRIC_VALUE]])*0.5)+(_xlfn.XLOOKUP(1,(_bbt3[[#All],[ID]]=A1535)*(_bbt3[[#All],[METRIC_NAME]]="YLD_YTM_BID"),_bbt3[[#All],[METRIC_VALUE]])*0.5))/100,"")</f>
        <v/>
      </c>
      <c r="J1535">
        <f>IF(ISNA(VLOOKUP(A1535,'CloseDL - PriceSaverBBT3'!A:E,5,0)),0,VLOOKUP(A1535,'CloseDL - PriceSaverBBT3'!A:E,5,0))</f>
        <v>0</v>
      </c>
      <c r="K1535" s="7" t="str">
        <f t="shared" si="217"/>
        <v/>
      </c>
      <c r="L1535" s="20">
        <f>IF(Close[[#This Row],[CreatedBy]]="MARINER\SilverAdm",1,0)</f>
        <v>1</v>
      </c>
      <c r="M1535" t="str">
        <f>IF(NOT(ISBLANK(A1535)),VLOOKUP(A1535,'Close - PriceSaver'!A:J,6,0),"")</f>
        <v/>
      </c>
    </row>
    <row r="1536" spans="2:13" x14ac:dyDescent="0.35">
      <c r="B1536" t="str">
        <f>IF(NOT(ISBLANK(A1536)),VLOOKUP(A1536,'BBT3'!A:F,2,0),"")</f>
        <v/>
      </c>
      <c r="C1536" t="str">
        <f>IF(NOT(ISBLANK(A1536)),VLOOKUP(A1536,'BBT3'!A:F,3,0),"")</f>
        <v/>
      </c>
      <c r="D1536" s="5" t="str">
        <f>IF(NOT(ISBLANK(A1536)),VLOOKUP(A1536,'BBT3'!A:F,4,1),"")</f>
        <v/>
      </c>
      <c r="E1536" t="str">
        <f>IF(NOT(ISBLANK(A1536)),VLOOKUP(A1536,'BBT3'!A:F,5,0),"")</f>
        <v/>
      </c>
      <c r="F1536" t="str">
        <f>IF(NOT(ISBLANK(A1536)),VLOOKUP(A1536,'BBT3'!A:F,6,0),"")</f>
        <v/>
      </c>
      <c r="G1536" t="str">
        <f t="shared" si="216"/>
        <v/>
      </c>
      <c r="H1536" t="str">
        <f>IF(NOT(ISBLANK(A1536)),VLOOKUP(A1536,'Close - PriceSaver'!A:J,5,0),"")</f>
        <v/>
      </c>
      <c r="I1536" s="4" t="str" cm="1">
        <f t="array" ref="I1536">IF(NOT(ISBLANK(A1536)),((_xlfn.XLOOKUP(1,(_bbt3[[#All],[ID]]=A1536)*(_bbt3[[#All],[METRIC_NAME]]="YLD_YTM_ASK"),_bbt3[[#All],[METRIC_VALUE]])*0.5)+(_xlfn.XLOOKUP(1,(_bbt3[[#All],[ID]]=A1536)*(_bbt3[[#All],[METRIC_NAME]]="YLD_YTM_BID"),_bbt3[[#All],[METRIC_VALUE]])*0.5))/100,"")</f>
        <v/>
      </c>
      <c r="J1536">
        <f>IF(ISNA(VLOOKUP(A1536,'CloseDL - PriceSaverBBT3'!A:E,5,0)),0,VLOOKUP(A1536,'CloseDL - PriceSaverBBT3'!A:E,5,0))</f>
        <v>0</v>
      </c>
      <c r="K1536" s="7" t="str">
        <f t="shared" si="217"/>
        <v/>
      </c>
      <c r="L1536" s="20">
        <f>IF(Close[[#This Row],[CreatedBy]]="MARINER\SilverAdm",1,0)</f>
        <v>1</v>
      </c>
      <c r="M1536" t="str">
        <f>IF(NOT(ISBLANK(A1536)),VLOOKUP(A1536,'Close - PriceSaver'!A:J,6,0),"")</f>
        <v/>
      </c>
    </row>
    <row r="1537" spans="2:13" x14ac:dyDescent="0.35">
      <c r="B1537" t="str">
        <f>IF(NOT(ISBLANK(A1537)),VLOOKUP(A1537,'BBT3'!A:F,2,0),"")</f>
        <v/>
      </c>
      <c r="C1537" t="str">
        <f>IF(NOT(ISBLANK(A1537)),VLOOKUP(A1537,'BBT3'!A:F,3,0),"")</f>
        <v/>
      </c>
      <c r="D1537" s="5" t="str">
        <f>IF(NOT(ISBLANK(A1537)),VLOOKUP(A1537,'BBT3'!A:F,4,1),"")</f>
        <v/>
      </c>
      <c r="E1537" t="str">
        <f>IF(NOT(ISBLANK(A1537)),VLOOKUP(A1537,'BBT3'!A:F,5,0),"")</f>
        <v/>
      </c>
      <c r="F1537" t="str">
        <f>IF(NOT(ISBLANK(A1537)),VLOOKUP(A1537,'BBT3'!A:F,6,0),"")</f>
        <v/>
      </c>
      <c r="G1537" t="str">
        <f t="shared" si="216"/>
        <v/>
      </c>
      <c r="H1537" t="str">
        <f>IF(NOT(ISBLANK(A1537)),VLOOKUP(A1537,'Close - PriceSaver'!A:J,5,0),"")</f>
        <v/>
      </c>
      <c r="I1537" s="4" t="str" cm="1">
        <f t="array" ref="I1537">IF(NOT(ISBLANK(A1537)),((_xlfn.XLOOKUP(1,(_bbt3[[#All],[ID]]=A1537)*(_bbt3[[#All],[METRIC_NAME]]="YLD_YTM_ASK"),_bbt3[[#All],[METRIC_VALUE]])*0.5)+(_xlfn.XLOOKUP(1,(_bbt3[[#All],[ID]]=A1537)*(_bbt3[[#All],[METRIC_NAME]]="YLD_YTM_BID"),_bbt3[[#All],[METRIC_VALUE]])*0.5))/100,"")</f>
        <v/>
      </c>
      <c r="J1537">
        <f>IF(ISNA(VLOOKUP(A1537,'CloseDL - PriceSaverBBT3'!A:E,5,0)),0,VLOOKUP(A1537,'CloseDL - PriceSaverBBT3'!A:E,5,0))</f>
        <v>0</v>
      </c>
      <c r="K1537" s="7" t="str">
        <f t="shared" si="217"/>
        <v/>
      </c>
      <c r="L1537" s="20">
        <f>IF(Close[[#This Row],[CreatedBy]]="MARINER\SilverAdm",1,0)</f>
        <v>1</v>
      </c>
      <c r="M1537" t="str">
        <f>IF(NOT(ISBLANK(A1537)),VLOOKUP(A1537,'Close - PriceSaver'!A:J,6,0),"")</f>
        <v/>
      </c>
    </row>
    <row r="1538" spans="2:13" x14ac:dyDescent="0.35">
      <c r="B1538" t="str">
        <f>IF(NOT(ISBLANK(A1538)),VLOOKUP(A1538,'BBT3'!A:F,2,0),"")</f>
        <v/>
      </c>
      <c r="C1538" t="str">
        <f>IF(NOT(ISBLANK(A1538)),VLOOKUP(A1538,'BBT3'!A:F,3,0),"")</f>
        <v/>
      </c>
      <c r="D1538" s="5" t="str">
        <f>IF(NOT(ISBLANK(A1538)),VLOOKUP(A1538,'BBT3'!A:F,4,1),"")</f>
        <v/>
      </c>
      <c r="E1538" t="str">
        <f>IF(NOT(ISBLANK(A1538)),VLOOKUP(A1538,'BBT3'!A:F,5,0),"")</f>
        <v/>
      </c>
      <c r="F1538" t="str">
        <f>IF(NOT(ISBLANK(A1538)),VLOOKUP(A1538,'BBT3'!A:F,6,0),"")</f>
        <v/>
      </c>
      <c r="G1538" t="str">
        <f t="shared" si="216"/>
        <v/>
      </c>
      <c r="H1538" t="str">
        <f>IF(NOT(ISBLANK(A1538)),VLOOKUP(A1538,'Close - PriceSaver'!A:J,5,0),"")</f>
        <v/>
      </c>
      <c r="I1538" s="4" t="str" cm="1">
        <f t="array" ref="I1538">IF(NOT(ISBLANK(A1538)),((_xlfn.XLOOKUP(1,(_bbt3[[#All],[ID]]=A1538)*(_bbt3[[#All],[METRIC_NAME]]="YLD_YTM_ASK"),_bbt3[[#All],[METRIC_VALUE]])*0.5)+(_xlfn.XLOOKUP(1,(_bbt3[[#All],[ID]]=A1538)*(_bbt3[[#All],[METRIC_NAME]]="YLD_YTM_BID"),_bbt3[[#All],[METRIC_VALUE]])*0.5))/100,"")</f>
        <v/>
      </c>
      <c r="J1538">
        <f>IF(ISNA(VLOOKUP(A1538,'CloseDL - PriceSaverBBT3'!A:E,5,0)),0,VLOOKUP(A1538,'CloseDL - PriceSaverBBT3'!A:E,5,0))</f>
        <v>0</v>
      </c>
      <c r="K1538" s="7" t="str">
        <f t="shared" si="217"/>
        <v/>
      </c>
      <c r="L1538" s="20">
        <f>IF(Close[[#This Row],[CreatedBy]]="MARINER\SilverAdm",1,0)</f>
        <v>1</v>
      </c>
      <c r="M1538" t="str">
        <f>IF(NOT(ISBLANK(A1538)),VLOOKUP(A1538,'Close - PriceSaver'!A:J,6,0),"")</f>
        <v/>
      </c>
    </row>
    <row r="1539" spans="2:13" x14ac:dyDescent="0.35">
      <c r="B1539" t="str">
        <f>IF(NOT(ISBLANK(A1539)),VLOOKUP(A1539,'BBT3'!A:F,2,0),"")</f>
        <v/>
      </c>
      <c r="C1539" t="str">
        <f>IF(NOT(ISBLANK(A1539)),VLOOKUP(A1539,'BBT3'!A:F,3,0),"")</f>
        <v/>
      </c>
      <c r="D1539" s="5" t="str">
        <f>IF(NOT(ISBLANK(A1539)),VLOOKUP(A1539,'BBT3'!A:F,4,1),"")</f>
        <v/>
      </c>
      <c r="E1539" t="str">
        <f>IF(NOT(ISBLANK(A1539)),VLOOKUP(A1539,'BBT3'!A:F,5,0),"")</f>
        <v/>
      </c>
      <c r="F1539" t="str">
        <f>IF(NOT(ISBLANK(A1539)),VLOOKUP(A1539,'BBT3'!A:F,6,0),"")</f>
        <v/>
      </c>
      <c r="G1539" t="str">
        <f t="shared" ref="G1539:G1602" si="218">IF(NOT(ISBLANK(A1539)),IF(D1539=0,"Y","N"),"")</f>
        <v/>
      </c>
      <c r="H1539" t="str">
        <f>IF(NOT(ISBLANK(A1539)),VLOOKUP(A1539,'Close - PriceSaver'!A:J,5,0),"")</f>
        <v/>
      </c>
      <c r="I1539" s="4" t="str" cm="1">
        <f t="array" ref="I1539">IF(NOT(ISBLANK(A1539)),((_xlfn.XLOOKUP(1,(_bbt3[[#All],[ID]]=A1539)*(_bbt3[[#All],[METRIC_NAME]]="YLD_YTM_ASK"),_bbt3[[#All],[METRIC_VALUE]])*0.5)+(_xlfn.XLOOKUP(1,(_bbt3[[#All],[ID]]=A1539)*(_bbt3[[#All],[METRIC_NAME]]="YLD_YTM_BID"),_bbt3[[#All],[METRIC_VALUE]])*0.5))/100,"")</f>
        <v/>
      </c>
      <c r="J1539">
        <f>IF(ISNA(VLOOKUP(A1539,'CloseDL - PriceSaverBBT3'!A:E,5,0)),0,VLOOKUP(A1539,'CloseDL - PriceSaverBBT3'!A:E,5,0))</f>
        <v>0</v>
      </c>
      <c r="K1539" s="7" t="str">
        <f t="shared" ref="K1539:K1602" si="219">IF(ISNA(IF(NOT(ISBLANK(A1539)),ABS(H1539-J1539),"")),0,(IF(NOT(ISBLANK(A1539)),ABS(H1539-J1539)*10000,"")))</f>
        <v/>
      </c>
      <c r="L1539" s="20">
        <f>IF(Close[[#This Row],[CreatedBy]]="MARINER\SilverAdm",1,0)</f>
        <v>1</v>
      </c>
      <c r="M1539" t="str">
        <f>IF(NOT(ISBLANK(A1539)),VLOOKUP(A1539,'Close - PriceSaver'!A:J,6,0),"")</f>
        <v/>
      </c>
    </row>
    <row r="1540" spans="2:13" x14ac:dyDescent="0.35">
      <c r="B1540" t="str">
        <f>IF(NOT(ISBLANK(A1540)),VLOOKUP(A1540,'BBT3'!A:F,2,0),"")</f>
        <v/>
      </c>
      <c r="C1540" t="str">
        <f>IF(NOT(ISBLANK(A1540)),VLOOKUP(A1540,'BBT3'!A:F,3,0),"")</f>
        <v/>
      </c>
      <c r="D1540" s="5" t="str">
        <f>IF(NOT(ISBLANK(A1540)),VLOOKUP(A1540,'BBT3'!A:F,4,1),"")</f>
        <v/>
      </c>
      <c r="E1540" t="str">
        <f>IF(NOT(ISBLANK(A1540)),VLOOKUP(A1540,'BBT3'!A:F,5,0),"")</f>
        <v/>
      </c>
      <c r="F1540" t="str">
        <f>IF(NOT(ISBLANK(A1540)),VLOOKUP(A1540,'BBT3'!A:F,6,0),"")</f>
        <v/>
      </c>
      <c r="G1540" t="str">
        <f t="shared" si="218"/>
        <v/>
      </c>
      <c r="H1540" t="str">
        <f>IF(NOT(ISBLANK(A1540)),VLOOKUP(A1540,'Close - PriceSaver'!A:J,5,0),"")</f>
        <v/>
      </c>
      <c r="I1540" s="4" t="str" cm="1">
        <f t="array" ref="I1540">IF(NOT(ISBLANK(A1540)),((_xlfn.XLOOKUP(1,(_bbt3[[#All],[ID]]=A1540)*(_bbt3[[#All],[METRIC_NAME]]="YLD_YTM_ASK"),_bbt3[[#All],[METRIC_VALUE]])*0.5)+(_xlfn.XLOOKUP(1,(_bbt3[[#All],[ID]]=A1540)*(_bbt3[[#All],[METRIC_NAME]]="YLD_YTM_BID"),_bbt3[[#All],[METRIC_VALUE]])*0.5))/100,"")</f>
        <v/>
      </c>
      <c r="J1540">
        <f>IF(ISNA(VLOOKUP(A1540,'CloseDL - PriceSaverBBT3'!A:E,5,0)),0,VLOOKUP(A1540,'CloseDL - PriceSaverBBT3'!A:E,5,0))</f>
        <v>0</v>
      </c>
      <c r="K1540" s="7" t="str">
        <f t="shared" si="219"/>
        <v/>
      </c>
      <c r="L1540" s="20">
        <f>IF(Close[[#This Row],[CreatedBy]]="MARINER\SilverAdm",1,0)</f>
        <v>1</v>
      </c>
      <c r="M1540" t="str">
        <f>IF(NOT(ISBLANK(A1540)),VLOOKUP(A1540,'Close - PriceSaver'!A:J,6,0),"")</f>
        <v/>
      </c>
    </row>
    <row r="1541" spans="2:13" x14ac:dyDescent="0.35">
      <c r="B1541" t="str">
        <f>IF(NOT(ISBLANK(A1541)),VLOOKUP(A1541,'BBT3'!A:F,2,0),"")</f>
        <v/>
      </c>
      <c r="C1541" t="str">
        <f>IF(NOT(ISBLANK(A1541)),VLOOKUP(A1541,'BBT3'!A:F,3,0),"")</f>
        <v/>
      </c>
      <c r="D1541" s="5" t="str">
        <f>IF(NOT(ISBLANK(A1541)),VLOOKUP(A1541,'BBT3'!A:F,4,1),"")</f>
        <v/>
      </c>
      <c r="E1541" t="str">
        <f>IF(NOT(ISBLANK(A1541)),VLOOKUP(A1541,'BBT3'!A:F,5,0),"")</f>
        <v/>
      </c>
      <c r="F1541" t="str">
        <f>IF(NOT(ISBLANK(A1541)),VLOOKUP(A1541,'BBT3'!A:F,6,0),"")</f>
        <v/>
      </c>
      <c r="G1541" t="str">
        <f t="shared" si="218"/>
        <v/>
      </c>
      <c r="H1541" t="str">
        <f>IF(NOT(ISBLANK(A1541)),VLOOKUP(A1541,'Close - PriceSaver'!A:J,5,0),"")</f>
        <v/>
      </c>
      <c r="I1541" s="4" t="str" cm="1">
        <f t="array" ref="I1541">IF(NOT(ISBLANK(A1541)),((_xlfn.XLOOKUP(1,(_bbt3[[#All],[ID]]=A1541)*(_bbt3[[#All],[METRIC_NAME]]="YLD_YTM_ASK"),_bbt3[[#All],[METRIC_VALUE]])*0.5)+(_xlfn.XLOOKUP(1,(_bbt3[[#All],[ID]]=A1541)*(_bbt3[[#All],[METRIC_NAME]]="YLD_YTM_BID"),_bbt3[[#All],[METRIC_VALUE]])*0.5))/100,"")</f>
        <v/>
      </c>
      <c r="J1541">
        <f>IF(ISNA(VLOOKUP(A1541,'CloseDL - PriceSaverBBT3'!A:E,5,0)),0,VLOOKUP(A1541,'CloseDL - PriceSaverBBT3'!A:E,5,0))</f>
        <v>0</v>
      </c>
      <c r="K1541" s="7" t="str">
        <f t="shared" si="219"/>
        <v/>
      </c>
      <c r="L1541" s="20">
        <f>IF(Close[[#This Row],[CreatedBy]]="MARINER\SilverAdm",1,0)</f>
        <v>1</v>
      </c>
      <c r="M1541" t="str">
        <f>IF(NOT(ISBLANK(A1541)),VLOOKUP(A1541,'Close - PriceSaver'!A:J,6,0),"")</f>
        <v/>
      </c>
    </row>
    <row r="1542" spans="2:13" x14ac:dyDescent="0.35">
      <c r="B1542" t="str">
        <f>IF(NOT(ISBLANK(A1542)),VLOOKUP(A1542,'BBT3'!A:F,2,0),"")</f>
        <v/>
      </c>
      <c r="C1542" t="str">
        <f>IF(NOT(ISBLANK(A1542)),VLOOKUP(A1542,'BBT3'!A:F,3,0),"")</f>
        <v/>
      </c>
      <c r="D1542" s="5" t="str">
        <f>IF(NOT(ISBLANK(A1542)),VLOOKUP(A1542,'BBT3'!A:F,4,1),"")</f>
        <v/>
      </c>
      <c r="E1542" t="str">
        <f>IF(NOT(ISBLANK(A1542)),VLOOKUP(A1542,'BBT3'!A:F,5,0),"")</f>
        <v/>
      </c>
      <c r="F1542" t="str">
        <f>IF(NOT(ISBLANK(A1542)),VLOOKUP(A1542,'BBT3'!A:F,6,0),"")</f>
        <v/>
      </c>
      <c r="G1542" t="str">
        <f t="shared" si="218"/>
        <v/>
      </c>
      <c r="H1542" t="str">
        <f>IF(NOT(ISBLANK(A1542)),VLOOKUP(A1542,'Close - PriceSaver'!A:J,5,0),"")</f>
        <v/>
      </c>
      <c r="I1542" s="4" t="str" cm="1">
        <f t="array" ref="I1542">IF(NOT(ISBLANK(A1542)),((_xlfn.XLOOKUP(1,(_bbt3[[#All],[ID]]=A1542)*(_bbt3[[#All],[METRIC_NAME]]="YLD_YTM_ASK"),_bbt3[[#All],[METRIC_VALUE]])*0.5)+(_xlfn.XLOOKUP(1,(_bbt3[[#All],[ID]]=A1542)*(_bbt3[[#All],[METRIC_NAME]]="YLD_YTM_BID"),_bbt3[[#All],[METRIC_VALUE]])*0.5))/100,"")</f>
        <v/>
      </c>
      <c r="J1542">
        <f>IF(ISNA(VLOOKUP(A1542,'CloseDL - PriceSaverBBT3'!A:E,5,0)),0,VLOOKUP(A1542,'CloseDL - PriceSaverBBT3'!A:E,5,0))</f>
        <v>0</v>
      </c>
      <c r="K1542" s="7" t="str">
        <f t="shared" si="219"/>
        <v/>
      </c>
      <c r="L1542" s="20">
        <f>IF(Close[[#This Row],[CreatedBy]]="MARINER\SilverAdm",1,0)</f>
        <v>1</v>
      </c>
      <c r="M1542" t="str">
        <f>IF(NOT(ISBLANK(A1542)),VLOOKUP(A1542,'Close - PriceSaver'!A:J,6,0),"")</f>
        <v/>
      </c>
    </row>
    <row r="1543" spans="2:13" x14ac:dyDescent="0.35">
      <c r="B1543" t="str">
        <f>IF(NOT(ISBLANK(A1543)),VLOOKUP(A1543,'BBT3'!A:F,2,0),"")</f>
        <v/>
      </c>
      <c r="C1543" t="str">
        <f>IF(NOT(ISBLANK(A1543)),VLOOKUP(A1543,'BBT3'!A:F,3,0),"")</f>
        <v/>
      </c>
      <c r="D1543" s="5" t="str">
        <f>IF(NOT(ISBLANK(A1543)),VLOOKUP(A1543,'BBT3'!A:F,4,1),"")</f>
        <v/>
      </c>
      <c r="E1543" t="str">
        <f>IF(NOT(ISBLANK(A1543)),VLOOKUP(A1543,'BBT3'!A:F,5,0),"")</f>
        <v/>
      </c>
      <c r="F1543" t="str">
        <f>IF(NOT(ISBLANK(A1543)),VLOOKUP(A1543,'BBT3'!A:F,6,0),"")</f>
        <v/>
      </c>
      <c r="G1543" t="str">
        <f t="shared" si="218"/>
        <v/>
      </c>
      <c r="H1543" t="str">
        <f>IF(NOT(ISBLANK(A1543)),VLOOKUP(A1543,'Close - PriceSaver'!A:J,5,0),"")</f>
        <v/>
      </c>
      <c r="I1543" s="4" t="str" cm="1">
        <f t="array" ref="I1543">IF(NOT(ISBLANK(A1543)),((_xlfn.XLOOKUP(1,(_bbt3[[#All],[ID]]=A1543)*(_bbt3[[#All],[METRIC_NAME]]="YLD_YTM_ASK"),_bbt3[[#All],[METRIC_VALUE]])*0.5)+(_xlfn.XLOOKUP(1,(_bbt3[[#All],[ID]]=A1543)*(_bbt3[[#All],[METRIC_NAME]]="YLD_YTM_BID"),_bbt3[[#All],[METRIC_VALUE]])*0.5))/100,"")</f>
        <v/>
      </c>
      <c r="J1543">
        <f>IF(ISNA(VLOOKUP(A1543,'CloseDL - PriceSaverBBT3'!A:E,5,0)),0,VLOOKUP(A1543,'CloseDL - PriceSaverBBT3'!A:E,5,0))</f>
        <v>0</v>
      </c>
      <c r="K1543" s="7" t="str">
        <f t="shared" si="219"/>
        <v/>
      </c>
      <c r="L1543" s="20">
        <f>IF(Close[[#This Row],[CreatedBy]]="MARINER\SilverAdm",1,0)</f>
        <v>1</v>
      </c>
      <c r="M1543" t="str">
        <f>IF(NOT(ISBLANK(A1543)),VLOOKUP(A1543,'Close - PriceSaver'!A:J,6,0),"")</f>
        <v/>
      </c>
    </row>
    <row r="1544" spans="2:13" x14ac:dyDescent="0.35">
      <c r="B1544" t="str">
        <f>IF(NOT(ISBLANK(A1544)),VLOOKUP(A1544,'BBT3'!A:F,2,0),"")</f>
        <v/>
      </c>
      <c r="C1544" t="str">
        <f>IF(NOT(ISBLANK(A1544)),VLOOKUP(A1544,'BBT3'!A:F,3,0),"")</f>
        <v/>
      </c>
      <c r="D1544" s="5" t="str">
        <f>IF(NOT(ISBLANK(A1544)),VLOOKUP(A1544,'BBT3'!A:F,4,1),"")</f>
        <v/>
      </c>
      <c r="E1544" t="str">
        <f>IF(NOT(ISBLANK(A1544)),VLOOKUP(A1544,'BBT3'!A:F,5,0),"")</f>
        <v/>
      </c>
      <c r="F1544" t="str">
        <f>IF(NOT(ISBLANK(A1544)),VLOOKUP(A1544,'BBT3'!A:F,6,0),"")</f>
        <v/>
      </c>
      <c r="G1544" t="str">
        <f t="shared" si="218"/>
        <v/>
      </c>
      <c r="H1544" t="str">
        <f>IF(NOT(ISBLANK(A1544)),VLOOKUP(A1544,'Close - PriceSaver'!A:J,5,0),"")</f>
        <v/>
      </c>
      <c r="I1544" s="4" t="str" cm="1">
        <f t="array" ref="I1544">IF(NOT(ISBLANK(A1544)),((_xlfn.XLOOKUP(1,(_bbt3[[#All],[ID]]=A1544)*(_bbt3[[#All],[METRIC_NAME]]="YLD_YTM_ASK"),_bbt3[[#All],[METRIC_VALUE]])*0.5)+(_xlfn.XLOOKUP(1,(_bbt3[[#All],[ID]]=A1544)*(_bbt3[[#All],[METRIC_NAME]]="YLD_YTM_BID"),_bbt3[[#All],[METRIC_VALUE]])*0.5))/100,"")</f>
        <v/>
      </c>
      <c r="J1544">
        <f>IF(ISNA(VLOOKUP(A1544,'CloseDL - PriceSaverBBT3'!A:E,5,0)),0,VLOOKUP(A1544,'CloseDL - PriceSaverBBT3'!A:E,5,0))</f>
        <v>0</v>
      </c>
      <c r="K1544" s="7" t="str">
        <f t="shared" si="219"/>
        <v/>
      </c>
      <c r="L1544" s="20">
        <f>IF(Close[[#This Row],[CreatedBy]]="MARINER\SilverAdm",1,0)</f>
        <v>1</v>
      </c>
      <c r="M1544" t="str">
        <f>IF(NOT(ISBLANK(A1544)),VLOOKUP(A1544,'Close - PriceSaver'!A:J,6,0),"")</f>
        <v/>
      </c>
    </row>
    <row r="1545" spans="2:13" x14ac:dyDescent="0.35">
      <c r="B1545" t="str">
        <f>IF(NOT(ISBLANK(A1545)),VLOOKUP(A1545,'BBT3'!A:F,2,0),"")</f>
        <v/>
      </c>
      <c r="C1545" t="str">
        <f>IF(NOT(ISBLANK(A1545)),VLOOKUP(A1545,'BBT3'!A:F,3,0),"")</f>
        <v/>
      </c>
      <c r="D1545" s="5" t="str">
        <f>IF(NOT(ISBLANK(A1545)),VLOOKUP(A1545,'BBT3'!A:F,4,1),"")</f>
        <v/>
      </c>
      <c r="E1545" t="str">
        <f>IF(NOT(ISBLANK(A1545)),VLOOKUP(A1545,'BBT3'!A:F,5,0),"")</f>
        <v/>
      </c>
      <c r="F1545" t="str">
        <f>IF(NOT(ISBLANK(A1545)),VLOOKUP(A1545,'BBT3'!A:F,6,0),"")</f>
        <v/>
      </c>
      <c r="G1545" t="str">
        <f t="shared" si="218"/>
        <v/>
      </c>
      <c r="H1545" t="str">
        <f>IF(NOT(ISBLANK(A1545)),VLOOKUP(A1545,'Close - PriceSaver'!A:J,5,0),"")</f>
        <v/>
      </c>
      <c r="I1545" s="4" t="str" cm="1">
        <f t="array" ref="I1545">IF(NOT(ISBLANK(A1545)),((_xlfn.XLOOKUP(1,(_bbt3[[#All],[ID]]=A1545)*(_bbt3[[#All],[METRIC_NAME]]="YLD_YTM_ASK"),_bbt3[[#All],[METRIC_VALUE]])*0.5)+(_xlfn.XLOOKUP(1,(_bbt3[[#All],[ID]]=A1545)*(_bbt3[[#All],[METRIC_NAME]]="YLD_YTM_BID"),_bbt3[[#All],[METRIC_VALUE]])*0.5))/100,"")</f>
        <v/>
      </c>
      <c r="J1545">
        <f>IF(ISNA(VLOOKUP(A1545,'CloseDL - PriceSaverBBT3'!A:E,5,0)),0,VLOOKUP(A1545,'CloseDL - PriceSaverBBT3'!A:E,5,0))</f>
        <v>0</v>
      </c>
      <c r="K1545" s="7" t="str">
        <f t="shared" si="219"/>
        <v/>
      </c>
      <c r="L1545" s="20">
        <f>IF(Close[[#This Row],[CreatedBy]]="MARINER\SilverAdm",1,0)</f>
        <v>1</v>
      </c>
      <c r="M1545" t="str">
        <f>IF(NOT(ISBLANK(A1545)),VLOOKUP(A1545,'Close - PriceSaver'!A:J,6,0),"")</f>
        <v/>
      </c>
    </row>
    <row r="1546" spans="2:13" x14ac:dyDescent="0.35">
      <c r="B1546" t="str">
        <f>IF(NOT(ISBLANK(A1546)),VLOOKUP(A1546,'BBT3'!A:F,2,0),"")</f>
        <v/>
      </c>
      <c r="C1546" t="str">
        <f>IF(NOT(ISBLANK(A1546)),VLOOKUP(A1546,'BBT3'!A:F,3,0),"")</f>
        <v/>
      </c>
      <c r="D1546" s="5" t="str">
        <f>IF(NOT(ISBLANK(A1546)),VLOOKUP(A1546,'BBT3'!A:F,4,1),"")</f>
        <v/>
      </c>
      <c r="E1546" t="str">
        <f>IF(NOT(ISBLANK(A1546)),VLOOKUP(A1546,'BBT3'!A:F,5,0),"")</f>
        <v/>
      </c>
      <c r="F1546" t="str">
        <f>IF(NOT(ISBLANK(A1546)),VLOOKUP(A1546,'BBT3'!A:F,6,0),"")</f>
        <v/>
      </c>
      <c r="G1546" t="str">
        <f t="shared" si="218"/>
        <v/>
      </c>
      <c r="H1546" t="str">
        <f>IF(NOT(ISBLANK(A1546)),VLOOKUP(A1546,'Close - PriceSaver'!A:J,5,0),"")</f>
        <v/>
      </c>
      <c r="I1546" s="4" t="str" cm="1">
        <f t="array" ref="I1546">IF(NOT(ISBLANK(A1546)),((_xlfn.XLOOKUP(1,(_bbt3[[#All],[ID]]=A1546)*(_bbt3[[#All],[METRIC_NAME]]="YLD_YTM_ASK"),_bbt3[[#All],[METRIC_VALUE]])*0.5)+(_xlfn.XLOOKUP(1,(_bbt3[[#All],[ID]]=A1546)*(_bbt3[[#All],[METRIC_NAME]]="YLD_YTM_BID"),_bbt3[[#All],[METRIC_VALUE]])*0.5))/100,"")</f>
        <v/>
      </c>
      <c r="J1546">
        <f>IF(ISNA(VLOOKUP(A1546,'CloseDL - PriceSaverBBT3'!A:E,5,0)),0,VLOOKUP(A1546,'CloseDL - PriceSaverBBT3'!A:E,5,0))</f>
        <v>0</v>
      </c>
      <c r="K1546" s="7" t="str">
        <f t="shared" si="219"/>
        <v/>
      </c>
      <c r="L1546" s="20">
        <f>IF(Close[[#This Row],[CreatedBy]]="MARINER\SilverAdm",1,0)</f>
        <v>1</v>
      </c>
      <c r="M1546" t="str">
        <f>IF(NOT(ISBLANK(A1546)),VLOOKUP(A1546,'Close - PriceSaver'!A:J,6,0),"")</f>
        <v/>
      </c>
    </row>
    <row r="1547" spans="2:13" x14ac:dyDescent="0.35">
      <c r="B1547" t="str">
        <f>IF(NOT(ISBLANK(A1547)),VLOOKUP(A1547,'BBT3'!A:F,2,0),"")</f>
        <v/>
      </c>
      <c r="C1547" t="str">
        <f>IF(NOT(ISBLANK(A1547)),VLOOKUP(A1547,'BBT3'!A:F,3,0),"")</f>
        <v/>
      </c>
      <c r="D1547" s="5" t="str">
        <f>IF(NOT(ISBLANK(A1547)),VLOOKUP(A1547,'BBT3'!A:F,4,1),"")</f>
        <v/>
      </c>
      <c r="E1547" t="str">
        <f>IF(NOT(ISBLANK(A1547)),VLOOKUP(A1547,'BBT3'!A:F,5,0),"")</f>
        <v/>
      </c>
      <c r="F1547" t="str">
        <f>IF(NOT(ISBLANK(A1547)),VLOOKUP(A1547,'BBT3'!A:F,6,0),"")</f>
        <v/>
      </c>
      <c r="G1547" t="str">
        <f t="shared" si="218"/>
        <v/>
      </c>
      <c r="H1547" t="str">
        <f>IF(NOT(ISBLANK(A1547)),VLOOKUP(A1547,'Close - PriceSaver'!A:J,5,0),"")</f>
        <v/>
      </c>
      <c r="I1547" s="4" t="str" cm="1">
        <f t="array" ref="I1547">IF(NOT(ISBLANK(A1547)),((_xlfn.XLOOKUP(1,(_bbt3[[#All],[ID]]=A1547)*(_bbt3[[#All],[METRIC_NAME]]="YLD_YTM_ASK"),_bbt3[[#All],[METRIC_VALUE]])*0.5)+(_xlfn.XLOOKUP(1,(_bbt3[[#All],[ID]]=A1547)*(_bbt3[[#All],[METRIC_NAME]]="YLD_YTM_BID"),_bbt3[[#All],[METRIC_VALUE]])*0.5))/100,"")</f>
        <v/>
      </c>
      <c r="J1547">
        <f>IF(ISNA(VLOOKUP(A1547,'CloseDL - PriceSaverBBT3'!A:E,5,0)),0,VLOOKUP(A1547,'CloseDL - PriceSaverBBT3'!A:E,5,0))</f>
        <v>0</v>
      </c>
      <c r="K1547" s="7" t="str">
        <f t="shared" si="219"/>
        <v/>
      </c>
      <c r="L1547" s="20">
        <f>IF(Close[[#This Row],[CreatedBy]]="MARINER\SilverAdm",1,0)</f>
        <v>1</v>
      </c>
      <c r="M1547" t="str">
        <f>IF(NOT(ISBLANK(A1547)),VLOOKUP(A1547,'Close - PriceSaver'!A:J,6,0),"")</f>
        <v/>
      </c>
    </row>
    <row r="1548" spans="2:13" x14ac:dyDescent="0.35">
      <c r="B1548" t="str">
        <f>IF(NOT(ISBLANK(A1548)),VLOOKUP(A1548,'BBT3'!A:F,2,0),"")</f>
        <v/>
      </c>
      <c r="C1548" t="str">
        <f>IF(NOT(ISBLANK(A1548)),VLOOKUP(A1548,'BBT3'!A:F,3,0),"")</f>
        <v/>
      </c>
      <c r="D1548" s="5" t="str">
        <f>IF(NOT(ISBLANK(A1548)),VLOOKUP(A1548,'BBT3'!A:F,4,1),"")</f>
        <v/>
      </c>
      <c r="E1548" t="str">
        <f>IF(NOT(ISBLANK(A1548)),VLOOKUP(A1548,'BBT3'!A:F,5,0),"")</f>
        <v/>
      </c>
      <c r="F1548" t="str">
        <f>IF(NOT(ISBLANK(A1548)),VLOOKUP(A1548,'BBT3'!A:F,6,0),"")</f>
        <v/>
      </c>
      <c r="G1548" t="str">
        <f t="shared" si="218"/>
        <v/>
      </c>
      <c r="H1548" t="str">
        <f>IF(NOT(ISBLANK(A1548)),VLOOKUP(A1548,'Close - PriceSaver'!A:J,5,0),"")</f>
        <v/>
      </c>
      <c r="I1548" s="4" t="str" cm="1">
        <f t="array" ref="I1548">IF(NOT(ISBLANK(A1548)),((_xlfn.XLOOKUP(1,(_bbt3[[#All],[ID]]=A1548)*(_bbt3[[#All],[METRIC_NAME]]="YLD_YTM_ASK"),_bbt3[[#All],[METRIC_VALUE]])*0.5)+(_xlfn.XLOOKUP(1,(_bbt3[[#All],[ID]]=A1548)*(_bbt3[[#All],[METRIC_NAME]]="YLD_YTM_BID"),_bbt3[[#All],[METRIC_VALUE]])*0.5))/100,"")</f>
        <v/>
      </c>
      <c r="J1548">
        <f>IF(ISNA(VLOOKUP(A1548,'CloseDL - PriceSaverBBT3'!A:E,5,0)),0,VLOOKUP(A1548,'CloseDL - PriceSaverBBT3'!A:E,5,0))</f>
        <v>0</v>
      </c>
      <c r="K1548" s="7" t="str">
        <f t="shared" si="219"/>
        <v/>
      </c>
      <c r="L1548" s="20">
        <f>IF(Close[[#This Row],[CreatedBy]]="MARINER\SilverAdm",1,0)</f>
        <v>1</v>
      </c>
      <c r="M1548" t="str">
        <f>IF(NOT(ISBLANK(A1548)),VLOOKUP(A1548,'Close - PriceSaver'!A:J,6,0),"")</f>
        <v/>
      </c>
    </row>
    <row r="1549" spans="2:13" x14ac:dyDescent="0.35">
      <c r="B1549" t="str">
        <f>IF(NOT(ISBLANK(A1549)),VLOOKUP(A1549,'BBT3'!A:F,2,0),"")</f>
        <v/>
      </c>
      <c r="C1549" t="str">
        <f>IF(NOT(ISBLANK(A1549)),VLOOKUP(A1549,'BBT3'!A:F,3,0),"")</f>
        <v/>
      </c>
      <c r="D1549" s="5" t="str">
        <f>IF(NOT(ISBLANK(A1549)),VLOOKUP(A1549,'BBT3'!A:F,4,1),"")</f>
        <v/>
      </c>
      <c r="E1549" t="str">
        <f>IF(NOT(ISBLANK(A1549)),VLOOKUP(A1549,'BBT3'!A:F,5,0),"")</f>
        <v/>
      </c>
      <c r="F1549" t="str">
        <f>IF(NOT(ISBLANK(A1549)),VLOOKUP(A1549,'BBT3'!A:F,6,0),"")</f>
        <v/>
      </c>
      <c r="G1549" t="str">
        <f t="shared" si="218"/>
        <v/>
      </c>
      <c r="H1549" t="str">
        <f>IF(NOT(ISBLANK(A1549)),VLOOKUP(A1549,'Close - PriceSaver'!A:J,5,0),"")</f>
        <v/>
      </c>
      <c r="I1549" s="4" t="str" cm="1">
        <f t="array" ref="I1549">IF(NOT(ISBLANK(A1549)),((_xlfn.XLOOKUP(1,(_bbt3[[#All],[ID]]=A1549)*(_bbt3[[#All],[METRIC_NAME]]="YLD_YTM_ASK"),_bbt3[[#All],[METRIC_VALUE]])*0.5)+(_xlfn.XLOOKUP(1,(_bbt3[[#All],[ID]]=A1549)*(_bbt3[[#All],[METRIC_NAME]]="YLD_YTM_BID"),_bbt3[[#All],[METRIC_VALUE]])*0.5))/100,"")</f>
        <v/>
      </c>
      <c r="J1549">
        <f>IF(ISNA(VLOOKUP(A1549,'CloseDL - PriceSaverBBT3'!A:E,5,0)),0,VLOOKUP(A1549,'CloseDL - PriceSaverBBT3'!A:E,5,0))</f>
        <v>0</v>
      </c>
      <c r="K1549" s="7" t="str">
        <f t="shared" si="219"/>
        <v/>
      </c>
      <c r="L1549" s="20">
        <f>IF(Close[[#This Row],[CreatedBy]]="MARINER\SilverAdm",1,0)</f>
        <v>1</v>
      </c>
      <c r="M1549" t="str">
        <f>IF(NOT(ISBLANK(A1549)),VLOOKUP(A1549,'Close - PriceSaver'!A:J,6,0),"")</f>
        <v/>
      </c>
    </row>
    <row r="1550" spans="2:13" x14ac:dyDescent="0.35">
      <c r="B1550" t="str">
        <f>IF(NOT(ISBLANK(A1550)),VLOOKUP(A1550,'BBT3'!A:F,2,0),"")</f>
        <v/>
      </c>
      <c r="C1550" t="str">
        <f>IF(NOT(ISBLANK(A1550)),VLOOKUP(A1550,'BBT3'!A:F,3,0),"")</f>
        <v/>
      </c>
      <c r="D1550" s="5" t="str">
        <f>IF(NOT(ISBLANK(A1550)),VLOOKUP(A1550,'BBT3'!A:F,4,1),"")</f>
        <v/>
      </c>
      <c r="E1550" t="str">
        <f>IF(NOT(ISBLANK(A1550)),VLOOKUP(A1550,'BBT3'!A:F,5,0),"")</f>
        <v/>
      </c>
      <c r="F1550" t="str">
        <f>IF(NOT(ISBLANK(A1550)),VLOOKUP(A1550,'BBT3'!A:F,6,0),"")</f>
        <v/>
      </c>
      <c r="G1550" t="str">
        <f t="shared" si="218"/>
        <v/>
      </c>
      <c r="H1550" t="str">
        <f>IF(NOT(ISBLANK(A1550)),VLOOKUP(A1550,'Close - PriceSaver'!A:J,5,0),"")</f>
        <v/>
      </c>
      <c r="I1550" s="4" t="str" cm="1">
        <f t="array" ref="I1550">IF(NOT(ISBLANK(A1550)),((_xlfn.XLOOKUP(1,(_bbt3[[#All],[ID]]=A1550)*(_bbt3[[#All],[METRIC_NAME]]="YLD_YTM_ASK"),_bbt3[[#All],[METRIC_VALUE]])*0.5)+(_xlfn.XLOOKUP(1,(_bbt3[[#All],[ID]]=A1550)*(_bbt3[[#All],[METRIC_NAME]]="YLD_YTM_BID"),_bbt3[[#All],[METRIC_VALUE]])*0.5))/100,"")</f>
        <v/>
      </c>
      <c r="J1550">
        <f>IF(ISNA(VLOOKUP(A1550,'CloseDL - PriceSaverBBT3'!A:E,5,0)),0,VLOOKUP(A1550,'CloseDL - PriceSaverBBT3'!A:E,5,0))</f>
        <v>0</v>
      </c>
      <c r="K1550" s="7" t="str">
        <f t="shared" si="219"/>
        <v/>
      </c>
      <c r="L1550" s="20">
        <f>IF(Close[[#This Row],[CreatedBy]]="MARINER\SilverAdm",1,0)</f>
        <v>1</v>
      </c>
      <c r="M1550" t="str">
        <f>IF(NOT(ISBLANK(A1550)),VLOOKUP(A1550,'Close - PriceSaver'!A:J,6,0),"")</f>
        <v/>
      </c>
    </row>
    <row r="1551" spans="2:13" x14ac:dyDescent="0.35">
      <c r="B1551" t="str">
        <f>IF(NOT(ISBLANK(A1551)),VLOOKUP(A1551,'BBT3'!A:F,2,0),"")</f>
        <v/>
      </c>
      <c r="C1551" t="str">
        <f>IF(NOT(ISBLANK(A1551)),VLOOKUP(A1551,'BBT3'!A:F,3,0),"")</f>
        <v/>
      </c>
      <c r="D1551" s="5" t="str">
        <f>IF(NOT(ISBLANK(A1551)),VLOOKUP(A1551,'BBT3'!A:F,4,1),"")</f>
        <v/>
      </c>
      <c r="E1551" t="str">
        <f>IF(NOT(ISBLANK(A1551)),VLOOKUP(A1551,'BBT3'!A:F,5,0),"")</f>
        <v/>
      </c>
      <c r="F1551" t="str">
        <f>IF(NOT(ISBLANK(A1551)),VLOOKUP(A1551,'BBT3'!A:F,6,0),"")</f>
        <v/>
      </c>
      <c r="G1551" t="str">
        <f t="shared" si="218"/>
        <v/>
      </c>
      <c r="H1551" t="str">
        <f>IF(NOT(ISBLANK(A1551)),VLOOKUP(A1551,'Close - PriceSaver'!A:J,5,0),"")</f>
        <v/>
      </c>
      <c r="I1551" s="4" t="str" cm="1">
        <f t="array" ref="I1551">IF(NOT(ISBLANK(A1551)),((_xlfn.XLOOKUP(1,(_bbt3[[#All],[ID]]=A1551)*(_bbt3[[#All],[METRIC_NAME]]="YLD_YTM_ASK"),_bbt3[[#All],[METRIC_VALUE]])*0.5)+(_xlfn.XLOOKUP(1,(_bbt3[[#All],[ID]]=A1551)*(_bbt3[[#All],[METRIC_NAME]]="YLD_YTM_BID"),_bbt3[[#All],[METRIC_VALUE]])*0.5))/100,"")</f>
        <v/>
      </c>
      <c r="J1551">
        <f>IF(ISNA(VLOOKUP(A1551,'CloseDL - PriceSaverBBT3'!A:E,5,0)),0,VLOOKUP(A1551,'CloseDL - PriceSaverBBT3'!A:E,5,0))</f>
        <v>0</v>
      </c>
      <c r="K1551" s="7" t="str">
        <f t="shared" si="219"/>
        <v/>
      </c>
      <c r="L1551" s="20">
        <f>IF(Close[[#This Row],[CreatedBy]]="MARINER\SilverAdm",1,0)</f>
        <v>1</v>
      </c>
      <c r="M1551" t="str">
        <f>IF(NOT(ISBLANK(A1551)),VLOOKUP(A1551,'Close - PriceSaver'!A:J,6,0),"")</f>
        <v/>
      </c>
    </row>
    <row r="1552" spans="2:13" x14ac:dyDescent="0.35">
      <c r="B1552" t="str">
        <f>IF(NOT(ISBLANK(A1552)),VLOOKUP(A1552,'BBT3'!A:F,2,0),"")</f>
        <v/>
      </c>
      <c r="C1552" t="str">
        <f>IF(NOT(ISBLANK(A1552)),VLOOKUP(A1552,'BBT3'!A:F,3,0),"")</f>
        <v/>
      </c>
      <c r="D1552" s="5" t="str">
        <f>IF(NOT(ISBLANK(A1552)),VLOOKUP(A1552,'BBT3'!A:F,4,1),"")</f>
        <v/>
      </c>
      <c r="E1552" t="str">
        <f>IF(NOT(ISBLANK(A1552)),VLOOKUP(A1552,'BBT3'!A:F,5,0),"")</f>
        <v/>
      </c>
      <c r="F1552" t="str">
        <f>IF(NOT(ISBLANK(A1552)),VLOOKUP(A1552,'BBT3'!A:F,6,0),"")</f>
        <v/>
      </c>
      <c r="G1552" t="str">
        <f t="shared" si="218"/>
        <v/>
      </c>
      <c r="H1552" t="str">
        <f>IF(NOT(ISBLANK(A1552)),VLOOKUP(A1552,'Close - PriceSaver'!A:J,5,0),"")</f>
        <v/>
      </c>
      <c r="I1552" s="4" t="str" cm="1">
        <f t="array" ref="I1552">IF(NOT(ISBLANK(A1552)),((_xlfn.XLOOKUP(1,(_bbt3[[#All],[ID]]=A1552)*(_bbt3[[#All],[METRIC_NAME]]="YLD_YTM_ASK"),_bbt3[[#All],[METRIC_VALUE]])*0.5)+(_xlfn.XLOOKUP(1,(_bbt3[[#All],[ID]]=A1552)*(_bbt3[[#All],[METRIC_NAME]]="YLD_YTM_BID"),_bbt3[[#All],[METRIC_VALUE]])*0.5))/100,"")</f>
        <v/>
      </c>
      <c r="J1552">
        <f>IF(ISNA(VLOOKUP(A1552,'CloseDL - PriceSaverBBT3'!A:E,5,0)),0,VLOOKUP(A1552,'CloseDL - PriceSaverBBT3'!A:E,5,0))</f>
        <v>0</v>
      </c>
      <c r="K1552" s="7" t="str">
        <f t="shared" si="219"/>
        <v/>
      </c>
      <c r="L1552" s="20">
        <f>IF(Close[[#This Row],[CreatedBy]]="MARINER\SilverAdm",1,0)</f>
        <v>1</v>
      </c>
      <c r="M1552" t="str">
        <f>IF(NOT(ISBLANK(A1552)),VLOOKUP(A1552,'Close - PriceSaver'!A:J,6,0),"")</f>
        <v/>
      </c>
    </row>
    <row r="1553" spans="2:13" x14ac:dyDescent="0.35">
      <c r="B1553" t="str">
        <f>IF(NOT(ISBLANK(A1553)),VLOOKUP(A1553,'BBT3'!A:F,2,0),"")</f>
        <v/>
      </c>
      <c r="C1553" t="str">
        <f>IF(NOT(ISBLANK(A1553)),VLOOKUP(A1553,'BBT3'!A:F,3,0),"")</f>
        <v/>
      </c>
      <c r="D1553" s="5" t="str">
        <f>IF(NOT(ISBLANK(A1553)),VLOOKUP(A1553,'BBT3'!A:F,4,1),"")</f>
        <v/>
      </c>
      <c r="E1553" t="str">
        <f>IF(NOT(ISBLANK(A1553)),VLOOKUP(A1553,'BBT3'!A:F,5,0),"")</f>
        <v/>
      </c>
      <c r="F1553" t="str">
        <f>IF(NOT(ISBLANK(A1553)),VLOOKUP(A1553,'BBT3'!A:F,6,0),"")</f>
        <v/>
      </c>
      <c r="G1553" t="str">
        <f t="shared" si="218"/>
        <v/>
      </c>
      <c r="H1553" t="str">
        <f>IF(NOT(ISBLANK(A1553)),VLOOKUP(A1553,'Close - PriceSaver'!A:J,5,0),"")</f>
        <v/>
      </c>
      <c r="I1553" s="4" t="str" cm="1">
        <f t="array" ref="I1553">IF(NOT(ISBLANK(A1553)),((_xlfn.XLOOKUP(1,(_bbt3[[#All],[ID]]=A1553)*(_bbt3[[#All],[METRIC_NAME]]="YLD_YTM_ASK"),_bbt3[[#All],[METRIC_VALUE]])*0.5)+(_xlfn.XLOOKUP(1,(_bbt3[[#All],[ID]]=A1553)*(_bbt3[[#All],[METRIC_NAME]]="YLD_YTM_BID"),_bbt3[[#All],[METRIC_VALUE]])*0.5))/100,"")</f>
        <v/>
      </c>
      <c r="J1553">
        <f>IF(ISNA(VLOOKUP(A1553,'CloseDL - PriceSaverBBT3'!A:E,5,0)),0,VLOOKUP(A1553,'CloseDL - PriceSaverBBT3'!A:E,5,0))</f>
        <v>0</v>
      </c>
      <c r="K1553" s="7" t="str">
        <f t="shared" si="219"/>
        <v/>
      </c>
      <c r="L1553" s="20">
        <f>IF(Close[[#This Row],[CreatedBy]]="MARINER\SilverAdm",1,0)</f>
        <v>1</v>
      </c>
      <c r="M1553" t="str">
        <f>IF(NOT(ISBLANK(A1553)),VLOOKUP(A1553,'Close - PriceSaver'!A:J,6,0),"")</f>
        <v/>
      </c>
    </row>
    <row r="1554" spans="2:13" x14ac:dyDescent="0.35">
      <c r="B1554" t="str">
        <f>IF(NOT(ISBLANK(A1554)),VLOOKUP(A1554,'BBT3'!A:F,2,0),"")</f>
        <v/>
      </c>
      <c r="C1554" t="str">
        <f>IF(NOT(ISBLANK(A1554)),VLOOKUP(A1554,'BBT3'!A:F,3,0),"")</f>
        <v/>
      </c>
      <c r="D1554" s="5" t="str">
        <f>IF(NOT(ISBLANK(A1554)),VLOOKUP(A1554,'BBT3'!A:F,4,1),"")</f>
        <v/>
      </c>
      <c r="E1554" t="str">
        <f>IF(NOT(ISBLANK(A1554)),VLOOKUP(A1554,'BBT3'!A:F,5,0),"")</f>
        <v/>
      </c>
      <c r="F1554" t="str">
        <f>IF(NOT(ISBLANK(A1554)),VLOOKUP(A1554,'BBT3'!A:F,6,0),"")</f>
        <v/>
      </c>
      <c r="G1554" t="str">
        <f t="shared" si="218"/>
        <v/>
      </c>
      <c r="H1554" t="str">
        <f>IF(NOT(ISBLANK(A1554)),VLOOKUP(A1554,'Close - PriceSaver'!A:J,5,0),"")</f>
        <v/>
      </c>
      <c r="I1554" s="4" t="str" cm="1">
        <f t="array" ref="I1554">IF(NOT(ISBLANK(A1554)),((_xlfn.XLOOKUP(1,(_bbt3[[#All],[ID]]=A1554)*(_bbt3[[#All],[METRIC_NAME]]="YLD_YTM_ASK"),_bbt3[[#All],[METRIC_VALUE]])*0.5)+(_xlfn.XLOOKUP(1,(_bbt3[[#All],[ID]]=A1554)*(_bbt3[[#All],[METRIC_NAME]]="YLD_YTM_BID"),_bbt3[[#All],[METRIC_VALUE]])*0.5))/100,"")</f>
        <v/>
      </c>
      <c r="J1554">
        <f>IF(ISNA(VLOOKUP(A1554,'CloseDL - PriceSaverBBT3'!A:E,5,0)),0,VLOOKUP(A1554,'CloseDL - PriceSaverBBT3'!A:E,5,0))</f>
        <v>0</v>
      </c>
      <c r="K1554" s="7" t="str">
        <f t="shared" si="219"/>
        <v/>
      </c>
      <c r="L1554" s="20">
        <f>IF(Close[[#This Row],[CreatedBy]]="MARINER\SilverAdm",1,0)</f>
        <v>1</v>
      </c>
      <c r="M1554" t="str">
        <f>IF(NOT(ISBLANK(A1554)),VLOOKUP(A1554,'Close - PriceSaver'!A:J,6,0),"")</f>
        <v/>
      </c>
    </row>
    <row r="1555" spans="2:13" x14ac:dyDescent="0.35">
      <c r="B1555" t="str">
        <f>IF(NOT(ISBLANK(A1555)),VLOOKUP(A1555,'BBT3'!A:F,2,0),"")</f>
        <v/>
      </c>
      <c r="C1555" t="str">
        <f>IF(NOT(ISBLANK(A1555)),VLOOKUP(A1555,'BBT3'!A:F,3,0),"")</f>
        <v/>
      </c>
      <c r="D1555" s="5" t="str">
        <f>IF(NOT(ISBLANK(A1555)),VLOOKUP(A1555,'BBT3'!A:F,4,1),"")</f>
        <v/>
      </c>
      <c r="E1555" t="str">
        <f>IF(NOT(ISBLANK(A1555)),VLOOKUP(A1555,'BBT3'!A:F,5,0),"")</f>
        <v/>
      </c>
      <c r="F1555" t="str">
        <f>IF(NOT(ISBLANK(A1555)),VLOOKUP(A1555,'BBT3'!A:F,6,0),"")</f>
        <v/>
      </c>
      <c r="G1555" t="str">
        <f t="shared" si="218"/>
        <v/>
      </c>
      <c r="H1555" t="str">
        <f>IF(NOT(ISBLANK(A1555)),VLOOKUP(A1555,'Close - PriceSaver'!A:J,5,0),"")</f>
        <v/>
      </c>
      <c r="I1555" s="4" t="str" cm="1">
        <f t="array" ref="I1555">IF(NOT(ISBLANK(A1555)),((_xlfn.XLOOKUP(1,(_bbt3[[#All],[ID]]=A1555)*(_bbt3[[#All],[METRIC_NAME]]="YLD_YTM_ASK"),_bbt3[[#All],[METRIC_VALUE]])*0.5)+(_xlfn.XLOOKUP(1,(_bbt3[[#All],[ID]]=A1555)*(_bbt3[[#All],[METRIC_NAME]]="YLD_YTM_BID"),_bbt3[[#All],[METRIC_VALUE]])*0.5))/100,"")</f>
        <v/>
      </c>
      <c r="J1555">
        <f>IF(ISNA(VLOOKUP(A1555,'CloseDL - PriceSaverBBT3'!A:E,5,0)),0,VLOOKUP(A1555,'CloseDL - PriceSaverBBT3'!A:E,5,0))</f>
        <v>0</v>
      </c>
      <c r="K1555" s="7" t="str">
        <f t="shared" si="219"/>
        <v/>
      </c>
      <c r="L1555" s="20">
        <f>IF(Close[[#This Row],[CreatedBy]]="MARINER\SilverAdm",1,0)</f>
        <v>1</v>
      </c>
      <c r="M1555" t="str">
        <f>IF(NOT(ISBLANK(A1555)),VLOOKUP(A1555,'Close - PriceSaver'!A:J,6,0),"")</f>
        <v/>
      </c>
    </row>
    <row r="1556" spans="2:13" x14ac:dyDescent="0.35">
      <c r="B1556" t="str">
        <f>IF(NOT(ISBLANK(A1556)),VLOOKUP(A1556,'BBT3'!A:F,2,0),"")</f>
        <v/>
      </c>
      <c r="C1556" t="str">
        <f>IF(NOT(ISBLANK(A1556)),VLOOKUP(A1556,'BBT3'!A:F,3,0),"")</f>
        <v/>
      </c>
      <c r="D1556" s="5" t="str">
        <f>IF(NOT(ISBLANK(A1556)),VLOOKUP(A1556,'BBT3'!A:F,4,1),"")</f>
        <v/>
      </c>
      <c r="E1556" t="str">
        <f>IF(NOT(ISBLANK(A1556)),VLOOKUP(A1556,'BBT3'!A:F,5,0),"")</f>
        <v/>
      </c>
      <c r="F1556" t="str">
        <f>IF(NOT(ISBLANK(A1556)),VLOOKUP(A1556,'BBT3'!A:F,6,0),"")</f>
        <v/>
      </c>
      <c r="G1556" t="str">
        <f t="shared" si="218"/>
        <v/>
      </c>
      <c r="H1556" t="str">
        <f>IF(NOT(ISBLANK(A1556)),VLOOKUP(A1556,'Close - PriceSaver'!A:J,5,0),"")</f>
        <v/>
      </c>
      <c r="I1556" s="4" t="str" cm="1">
        <f t="array" ref="I1556">IF(NOT(ISBLANK(A1556)),((_xlfn.XLOOKUP(1,(_bbt3[[#All],[ID]]=A1556)*(_bbt3[[#All],[METRIC_NAME]]="YLD_YTM_ASK"),_bbt3[[#All],[METRIC_VALUE]])*0.5)+(_xlfn.XLOOKUP(1,(_bbt3[[#All],[ID]]=A1556)*(_bbt3[[#All],[METRIC_NAME]]="YLD_YTM_BID"),_bbt3[[#All],[METRIC_VALUE]])*0.5))/100,"")</f>
        <v/>
      </c>
      <c r="J1556">
        <f>IF(ISNA(VLOOKUP(A1556,'CloseDL - PriceSaverBBT3'!A:E,5,0)),0,VLOOKUP(A1556,'CloseDL - PriceSaverBBT3'!A:E,5,0))</f>
        <v>0</v>
      </c>
      <c r="K1556" s="7" t="str">
        <f t="shared" si="219"/>
        <v/>
      </c>
      <c r="L1556" s="20">
        <f>IF(Close[[#This Row],[CreatedBy]]="MARINER\SilverAdm",1,0)</f>
        <v>1</v>
      </c>
      <c r="M1556" t="str">
        <f>IF(NOT(ISBLANK(A1556)),VLOOKUP(A1556,'Close - PriceSaver'!A:J,6,0),"")</f>
        <v/>
      </c>
    </row>
    <row r="1557" spans="2:13" x14ac:dyDescent="0.35">
      <c r="B1557" t="str">
        <f>IF(NOT(ISBLANK(A1557)),VLOOKUP(A1557,'BBT3'!A:F,2,0),"")</f>
        <v/>
      </c>
      <c r="C1557" t="str">
        <f>IF(NOT(ISBLANK(A1557)),VLOOKUP(A1557,'BBT3'!A:F,3,0),"")</f>
        <v/>
      </c>
      <c r="D1557" s="5" t="str">
        <f>IF(NOT(ISBLANK(A1557)),VLOOKUP(A1557,'BBT3'!A:F,4,1),"")</f>
        <v/>
      </c>
      <c r="E1557" t="str">
        <f>IF(NOT(ISBLANK(A1557)),VLOOKUP(A1557,'BBT3'!A:F,5,0),"")</f>
        <v/>
      </c>
      <c r="F1557" t="str">
        <f>IF(NOT(ISBLANK(A1557)),VLOOKUP(A1557,'BBT3'!A:F,6,0),"")</f>
        <v/>
      </c>
      <c r="G1557" t="str">
        <f t="shared" si="218"/>
        <v/>
      </c>
      <c r="H1557" t="str">
        <f>IF(NOT(ISBLANK(A1557)),VLOOKUP(A1557,'Close - PriceSaver'!A:J,5,0),"")</f>
        <v/>
      </c>
      <c r="I1557" s="4" t="str" cm="1">
        <f t="array" ref="I1557">IF(NOT(ISBLANK(A1557)),((_xlfn.XLOOKUP(1,(_bbt3[[#All],[ID]]=A1557)*(_bbt3[[#All],[METRIC_NAME]]="YLD_YTM_ASK"),_bbt3[[#All],[METRIC_VALUE]])*0.5)+(_xlfn.XLOOKUP(1,(_bbt3[[#All],[ID]]=A1557)*(_bbt3[[#All],[METRIC_NAME]]="YLD_YTM_BID"),_bbt3[[#All],[METRIC_VALUE]])*0.5))/100,"")</f>
        <v/>
      </c>
      <c r="J1557">
        <f>IF(ISNA(VLOOKUP(A1557,'CloseDL - PriceSaverBBT3'!A:E,5,0)),0,VLOOKUP(A1557,'CloseDL - PriceSaverBBT3'!A:E,5,0))</f>
        <v>0</v>
      </c>
      <c r="K1557" s="7" t="str">
        <f t="shared" si="219"/>
        <v/>
      </c>
      <c r="L1557" s="20">
        <f>IF(Close[[#This Row],[CreatedBy]]="MARINER\SilverAdm",1,0)</f>
        <v>1</v>
      </c>
      <c r="M1557" t="str">
        <f>IF(NOT(ISBLANK(A1557)),VLOOKUP(A1557,'Close - PriceSaver'!A:J,6,0),"")</f>
        <v/>
      </c>
    </row>
    <row r="1558" spans="2:13" x14ac:dyDescent="0.35">
      <c r="B1558" t="str">
        <f>IF(NOT(ISBLANK(A1558)),VLOOKUP(A1558,'BBT3'!A:F,2,0),"")</f>
        <v/>
      </c>
      <c r="C1558" t="str">
        <f>IF(NOT(ISBLANK(A1558)),VLOOKUP(A1558,'BBT3'!A:F,3,0),"")</f>
        <v/>
      </c>
      <c r="D1558" s="5" t="str">
        <f>IF(NOT(ISBLANK(A1558)),VLOOKUP(A1558,'BBT3'!A:F,4,1),"")</f>
        <v/>
      </c>
      <c r="E1558" t="str">
        <f>IF(NOT(ISBLANK(A1558)),VLOOKUP(A1558,'BBT3'!A:F,5,0),"")</f>
        <v/>
      </c>
      <c r="F1558" t="str">
        <f>IF(NOT(ISBLANK(A1558)),VLOOKUP(A1558,'BBT3'!A:F,6,0),"")</f>
        <v/>
      </c>
      <c r="G1558" t="str">
        <f t="shared" si="218"/>
        <v/>
      </c>
      <c r="H1558" t="str">
        <f>IF(NOT(ISBLANK(A1558)),VLOOKUP(A1558,'Close - PriceSaver'!A:J,5,0),"")</f>
        <v/>
      </c>
      <c r="I1558" s="4" t="str" cm="1">
        <f t="array" ref="I1558">IF(NOT(ISBLANK(A1558)),((_xlfn.XLOOKUP(1,(_bbt3[[#All],[ID]]=A1558)*(_bbt3[[#All],[METRIC_NAME]]="YLD_YTM_ASK"),_bbt3[[#All],[METRIC_VALUE]])*0.5)+(_xlfn.XLOOKUP(1,(_bbt3[[#All],[ID]]=A1558)*(_bbt3[[#All],[METRIC_NAME]]="YLD_YTM_BID"),_bbt3[[#All],[METRIC_VALUE]])*0.5))/100,"")</f>
        <v/>
      </c>
      <c r="J1558">
        <f>IF(ISNA(VLOOKUP(A1558,'CloseDL - PriceSaverBBT3'!A:E,5,0)),0,VLOOKUP(A1558,'CloseDL - PriceSaverBBT3'!A:E,5,0))</f>
        <v>0</v>
      </c>
      <c r="K1558" s="7" t="str">
        <f t="shared" si="219"/>
        <v/>
      </c>
      <c r="L1558" s="20">
        <f>IF(Close[[#This Row],[CreatedBy]]="MARINER\SilverAdm",1,0)</f>
        <v>1</v>
      </c>
      <c r="M1558" t="str">
        <f>IF(NOT(ISBLANK(A1558)),VLOOKUP(A1558,'Close - PriceSaver'!A:J,6,0),"")</f>
        <v/>
      </c>
    </row>
    <row r="1559" spans="2:13" x14ac:dyDescent="0.35">
      <c r="B1559" t="str">
        <f>IF(NOT(ISBLANK(A1559)),VLOOKUP(A1559,'BBT3'!A:F,2,0),"")</f>
        <v/>
      </c>
      <c r="C1559" t="str">
        <f>IF(NOT(ISBLANK(A1559)),VLOOKUP(A1559,'BBT3'!A:F,3,0),"")</f>
        <v/>
      </c>
      <c r="D1559" s="5" t="str">
        <f>IF(NOT(ISBLANK(A1559)),VLOOKUP(A1559,'BBT3'!A:F,4,1),"")</f>
        <v/>
      </c>
      <c r="E1559" t="str">
        <f>IF(NOT(ISBLANK(A1559)),VLOOKUP(A1559,'BBT3'!A:F,5,0),"")</f>
        <v/>
      </c>
      <c r="F1559" t="str">
        <f>IF(NOT(ISBLANK(A1559)),VLOOKUP(A1559,'BBT3'!A:F,6,0),"")</f>
        <v/>
      </c>
      <c r="G1559" t="str">
        <f t="shared" si="218"/>
        <v/>
      </c>
      <c r="H1559" t="str">
        <f>IF(NOT(ISBLANK(A1559)),VLOOKUP(A1559,'Close - PriceSaver'!A:J,5,0),"")</f>
        <v/>
      </c>
      <c r="I1559" s="4" t="str" cm="1">
        <f t="array" ref="I1559">IF(NOT(ISBLANK(A1559)),((_xlfn.XLOOKUP(1,(_bbt3[[#All],[ID]]=A1559)*(_bbt3[[#All],[METRIC_NAME]]="YLD_YTM_ASK"),_bbt3[[#All],[METRIC_VALUE]])*0.5)+(_xlfn.XLOOKUP(1,(_bbt3[[#All],[ID]]=A1559)*(_bbt3[[#All],[METRIC_NAME]]="YLD_YTM_BID"),_bbt3[[#All],[METRIC_VALUE]])*0.5))/100,"")</f>
        <v/>
      </c>
      <c r="J1559">
        <f>IF(ISNA(VLOOKUP(A1559,'CloseDL - PriceSaverBBT3'!A:E,5,0)),0,VLOOKUP(A1559,'CloseDL - PriceSaverBBT3'!A:E,5,0))</f>
        <v>0</v>
      </c>
      <c r="K1559" s="7" t="str">
        <f t="shared" si="219"/>
        <v/>
      </c>
      <c r="L1559" s="20">
        <f>IF(Close[[#This Row],[CreatedBy]]="MARINER\SilverAdm",1,0)</f>
        <v>1</v>
      </c>
      <c r="M1559" t="str">
        <f>IF(NOT(ISBLANK(A1559)),VLOOKUP(A1559,'Close - PriceSaver'!A:J,6,0),"")</f>
        <v/>
      </c>
    </row>
    <row r="1560" spans="2:13" x14ac:dyDescent="0.35">
      <c r="B1560" t="str">
        <f>IF(NOT(ISBLANK(A1560)),VLOOKUP(A1560,'BBT3'!A:F,2,0),"")</f>
        <v/>
      </c>
      <c r="C1560" t="str">
        <f>IF(NOT(ISBLANK(A1560)),VLOOKUP(A1560,'BBT3'!A:F,3,0),"")</f>
        <v/>
      </c>
      <c r="D1560" s="5" t="str">
        <f>IF(NOT(ISBLANK(A1560)),VLOOKUP(A1560,'BBT3'!A:F,4,1),"")</f>
        <v/>
      </c>
      <c r="E1560" t="str">
        <f>IF(NOT(ISBLANK(A1560)),VLOOKUP(A1560,'BBT3'!A:F,5,0),"")</f>
        <v/>
      </c>
      <c r="F1560" t="str">
        <f>IF(NOT(ISBLANK(A1560)),VLOOKUP(A1560,'BBT3'!A:F,6,0),"")</f>
        <v/>
      </c>
      <c r="G1560" t="str">
        <f t="shared" si="218"/>
        <v/>
      </c>
      <c r="H1560" t="str">
        <f>IF(NOT(ISBLANK(A1560)),VLOOKUP(A1560,'Close - PriceSaver'!A:J,5,0),"")</f>
        <v/>
      </c>
      <c r="I1560" s="4" t="str" cm="1">
        <f t="array" ref="I1560">IF(NOT(ISBLANK(A1560)),((_xlfn.XLOOKUP(1,(_bbt3[[#All],[ID]]=A1560)*(_bbt3[[#All],[METRIC_NAME]]="YLD_YTM_ASK"),_bbt3[[#All],[METRIC_VALUE]])*0.5)+(_xlfn.XLOOKUP(1,(_bbt3[[#All],[ID]]=A1560)*(_bbt3[[#All],[METRIC_NAME]]="YLD_YTM_BID"),_bbt3[[#All],[METRIC_VALUE]])*0.5))/100,"")</f>
        <v/>
      </c>
      <c r="J1560">
        <f>IF(ISNA(VLOOKUP(A1560,'CloseDL - PriceSaverBBT3'!A:E,5,0)),0,VLOOKUP(A1560,'CloseDL - PriceSaverBBT3'!A:E,5,0))</f>
        <v>0</v>
      </c>
      <c r="K1560" s="7" t="str">
        <f t="shared" si="219"/>
        <v/>
      </c>
      <c r="L1560" s="20">
        <f>IF(Close[[#This Row],[CreatedBy]]="MARINER\SilverAdm",1,0)</f>
        <v>1</v>
      </c>
      <c r="M1560" t="str">
        <f>IF(NOT(ISBLANK(A1560)),VLOOKUP(A1560,'Close - PriceSaver'!A:J,6,0),"")</f>
        <v/>
      </c>
    </row>
    <row r="1561" spans="2:13" x14ac:dyDescent="0.35">
      <c r="B1561" t="str">
        <f>IF(NOT(ISBLANK(A1561)),VLOOKUP(A1561,'BBT3'!A:F,2,0),"")</f>
        <v/>
      </c>
      <c r="C1561" t="str">
        <f>IF(NOT(ISBLANK(A1561)),VLOOKUP(A1561,'BBT3'!A:F,3,0),"")</f>
        <v/>
      </c>
      <c r="D1561" s="5" t="str">
        <f>IF(NOT(ISBLANK(A1561)),VLOOKUP(A1561,'BBT3'!A:F,4,1),"")</f>
        <v/>
      </c>
      <c r="E1561" t="str">
        <f>IF(NOT(ISBLANK(A1561)),VLOOKUP(A1561,'BBT3'!A:F,5,0),"")</f>
        <v/>
      </c>
      <c r="F1561" t="str">
        <f>IF(NOT(ISBLANK(A1561)),VLOOKUP(A1561,'BBT3'!A:F,6,0),"")</f>
        <v/>
      </c>
      <c r="G1561" t="str">
        <f t="shared" si="218"/>
        <v/>
      </c>
      <c r="H1561" t="str">
        <f>IF(NOT(ISBLANK(A1561)),VLOOKUP(A1561,'Close - PriceSaver'!A:J,5,0),"")</f>
        <v/>
      </c>
      <c r="I1561" s="4" t="str" cm="1">
        <f t="array" ref="I1561">IF(NOT(ISBLANK(A1561)),((_xlfn.XLOOKUP(1,(_bbt3[[#All],[ID]]=A1561)*(_bbt3[[#All],[METRIC_NAME]]="YLD_YTM_ASK"),_bbt3[[#All],[METRIC_VALUE]])*0.5)+(_xlfn.XLOOKUP(1,(_bbt3[[#All],[ID]]=A1561)*(_bbt3[[#All],[METRIC_NAME]]="YLD_YTM_BID"),_bbt3[[#All],[METRIC_VALUE]])*0.5))/100,"")</f>
        <v/>
      </c>
      <c r="J1561">
        <f>IF(ISNA(VLOOKUP(A1561,'CloseDL - PriceSaverBBT3'!A:E,5,0)),0,VLOOKUP(A1561,'CloseDL - PriceSaverBBT3'!A:E,5,0))</f>
        <v>0</v>
      </c>
      <c r="K1561" s="7" t="str">
        <f t="shared" si="219"/>
        <v/>
      </c>
      <c r="L1561" s="20">
        <f>IF(Close[[#This Row],[CreatedBy]]="MARINER\SilverAdm",1,0)</f>
        <v>1</v>
      </c>
      <c r="M1561" t="str">
        <f>IF(NOT(ISBLANK(A1561)),VLOOKUP(A1561,'Close - PriceSaver'!A:J,6,0),"")</f>
        <v/>
      </c>
    </row>
    <row r="1562" spans="2:13" x14ac:dyDescent="0.35">
      <c r="B1562" t="str">
        <f>IF(NOT(ISBLANK(A1562)),VLOOKUP(A1562,'BBT3'!A:F,2,0),"")</f>
        <v/>
      </c>
      <c r="C1562" t="str">
        <f>IF(NOT(ISBLANK(A1562)),VLOOKUP(A1562,'BBT3'!A:F,3,0),"")</f>
        <v/>
      </c>
      <c r="D1562" s="5" t="str">
        <f>IF(NOT(ISBLANK(A1562)),VLOOKUP(A1562,'BBT3'!A:F,4,1),"")</f>
        <v/>
      </c>
      <c r="E1562" t="str">
        <f>IF(NOT(ISBLANK(A1562)),VLOOKUP(A1562,'BBT3'!A:F,5,0),"")</f>
        <v/>
      </c>
      <c r="F1562" t="str">
        <f>IF(NOT(ISBLANK(A1562)),VLOOKUP(A1562,'BBT3'!A:F,6,0),"")</f>
        <v/>
      </c>
      <c r="G1562" t="str">
        <f t="shared" si="218"/>
        <v/>
      </c>
      <c r="H1562" t="str">
        <f>IF(NOT(ISBLANK(A1562)),VLOOKUP(A1562,'Close - PriceSaver'!A:J,5,0),"")</f>
        <v/>
      </c>
      <c r="I1562" s="4" t="str" cm="1">
        <f t="array" ref="I1562">IF(NOT(ISBLANK(A1562)),((_xlfn.XLOOKUP(1,(_bbt3[[#All],[ID]]=A1562)*(_bbt3[[#All],[METRIC_NAME]]="YLD_YTM_ASK"),_bbt3[[#All],[METRIC_VALUE]])*0.5)+(_xlfn.XLOOKUP(1,(_bbt3[[#All],[ID]]=A1562)*(_bbt3[[#All],[METRIC_NAME]]="YLD_YTM_BID"),_bbt3[[#All],[METRIC_VALUE]])*0.5))/100,"")</f>
        <v/>
      </c>
      <c r="J1562">
        <f>IF(ISNA(VLOOKUP(A1562,'CloseDL - PriceSaverBBT3'!A:E,5,0)),0,VLOOKUP(A1562,'CloseDL - PriceSaverBBT3'!A:E,5,0))</f>
        <v>0</v>
      </c>
      <c r="K1562" s="7" t="str">
        <f t="shared" si="219"/>
        <v/>
      </c>
      <c r="L1562" s="20">
        <f>IF(Close[[#This Row],[CreatedBy]]="MARINER\SilverAdm",1,0)</f>
        <v>1</v>
      </c>
      <c r="M1562" t="str">
        <f>IF(NOT(ISBLANK(A1562)),VLOOKUP(A1562,'Close - PriceSaver'!A:J,6,0),"")</f>
        <v/>
      </c>
    </row>
    <row r="1563" spans="2:13" x14ac:dyDescent="0.35">
      <c r="B1563" t="str">
        <f>IF(NOT(ISBLANK(A1563)),VLOOKUP(A1563,'BBT3'!A:F,2,0),"")</f>
        <v/>
      </c>
      <c r="C1563" t="str">
        <f>IF(NOT(ISBLANK(A1563)),VLOOKUP(A1563,'BBT3'!A:F,3,0),"")</f>
        <v/>
      </c>
      <c r="D1563" s="5" t="str">
        <f>IF(NOT(ISBLANK(A1563)),VLOOKUP(A1563,'BBT3'!A:F,4,1),"")</f>
        <v/>
      </c>
      <c r="E1563" t="str">
        <f>IF(NOT(ISBLANK(A1563)),VLOOKUP(A1563,'BBT3'!A:F,5,0),"")</f>
        <v/>
      </c>
      <c r="F1563" t="str">
        <f>IF(NOT(ISBLANK(A1563)),VLOOKUP(A1563,'BBT3'!A:F,6,0),"")</f>
        <v/>
      </c>
      <c r="G1563" t="str">
        <f t="shared" si="218"/>
        <v/>
      </c>
      <c r="H1563" t="str">
        <f>IF(NOT(ISBLANK(A1563)),VLOOKUP(A1563,'Close - PriceSaver'!A:J,5,0),"")</f>
        <v/>
      </c>
      <c r="I1563" s="4" t="str" cm="1">
        <f t="array" ref="I1563">IF(NOT(ISBLANK(A1563)),((_xlfn.XLOOKUP(1,(_bbt3[[#All],[ID]]=A1563)*(_bbt3[[#All],[METRIC_NAME]]="YLD_YTM_ASK"),_bbt3[[#All],[METRIC_VALUE]])*0.5)+(_xlfn.XLOOKUP(1,(_bbt3[[#All],[ID]]=A1563)*(_bbt3[[#All],[METRIC_NAME]]="YLD_YTM_BID"),_bbt3[[#All],[METRIC_VALUE]])*0.5))/100,"")</f>
        <v/>
      </c>
      <c r="J1563">
        <f>IF(ISNA(VLOOKUP(A1563,'CloseDL - PriceSaverBBT3'!A:E,5,0)),0,VLOOKUP(A1563,'CloseDL - PriceSaverBBT3'!A:E,5,0))</f>
        <v>0</v>
      </c>
      <c r="K1563" s="7" t="str">
        <f t="shared" si="219"/>
        <v/>
      </c>
      <c r="L1563" s="20">
        <f>IF(Close[[#This Row],[CreatedBy]]="MARINER\SilverAdm",1,0)</f>
        <v>1</v>
      </c>
      <c r="M1563" t="str">
        <f>IF(NOT(ISBLANK(A1563)),VLOOKUP(A1563,'Close - PriceSaver'!A:J,6,0),"")</f>
        <v/>
      </c>
    </row>
    <row r="1564" spans="2:13" x14ac:dyDescent="0.35">
      <c r="B1564" t="str">
        <f>IF(NOT(ISBLANK(A1564)),VLOOKUP(A1564,'BBT3'!A:F,2,0),"")</f>
        <v/>
      </c>
      <c r="C1564" t="str">
        <f>IF(NOT(ISBLANK(A1564)),VLOOKUP(A1564,'BBT3'!A:F,3,0),"")</f>
        <v/>
      </c>
      <c r="D1564" s="5" t="str">
        <f>IF(NOT(ISBLANK(A1564)),VLOOKUP(A1564,'BBT3'!A:F,4,1),"")</f>
        <v/>
      </c>
      <c r="E1564" t="str">
        <f>IF(NOT(ISBLANK(A1564)),VLOOKUP(A1564,'BBT3'!A:F,5,0),"")</f>
        <v/>
      </c>
      <c r="F1564" t="str">
        <f>IF(NOT(ISBLANK(A1564)),VLOOKUP(A1564,'BBT3'!A:F,6,0),"")</f>
        <v/>
      </c>
      <c r="G1564" t="str">
        <f t="shared" si="218"/>
        <v/>
      </c>
      <c r="H1564" t="str">
        <f>IF(NOT(ISBLANK(A1564)),VLOOKUP(A1564,'Close - PriceSaver'!A:J,5,0),"")</f>
        <v/>
      </c>
      <c r="I1564" s="4" t="str" cm="1">
        <f t="array" ref="I1564">IF(NOT(ISBLANK(A1564)),((_xlfn.XLOOKUP(1,(_bbt3[[#All],[ID]]=A1564)*(_bbt3[[#All],[METRIC_NAME]]="YLD_YTM_ASK"),_bbt3[[#All],[METRIC_VALUE]])*0.5)+(_xlfn.XLOOKUP(1,(_bbt3[[#All],[ID]]=A1564)*(_bbt3[[#All],[METRIC_NAME]]="YLD_YTM_BID"),_bbt3[[#All],[METRIC_VALUE]])*0.5))/100,"")</f>
        <v/>
      </c>
      <c r="J1564">
        <f>IF(ISNA(VLOOKUP(A1564,'CloseDL - PriceSaverBBT3'!A:E,5,0)),0,VLOOKUP(A1564,'CloseDL - PriceSaverBBT3'!A:E,5,0))</f>
        <v>0</v>
      </c>
      <c r="K1564" s="7" t="str">
        <f t="shared" si="219"/>
        <v/>
      </c>
      <c r="L1564" s="20">
        <f>IF(Close[[#This Row],[CreatedBy]]="MARINER\SilverAdm",1,0)</f>
        <v>1</v>
      </c>
      <c r="M1564" t="str">
        <f>IF(NOT(ISBLANK(A1564)),VLOOKUP(A1564,'Close - PriceSaver'!A:J,6,0),"")</f>
        <v/>
      </c>
    </row>
    <row r="1565" spans="2:13" x14ac:dyDescent="0.35">
      <c r="B1565" t="str">
        <f>IF(NOT(ISBLANK(A1565)),VLOOKUP(A1565,'BBT3'!A:F,2,0),"")</f>
        <v/>
      </c>
      <c r="C1565" t="str">
        <f>IF(NOT(ISBLANK(A1565)),VLOOKUP(A1565,'BBT3'!A:F,3,0),"")</f>
        <v/>
      </c>
      <c r="D1565" s="5" t="str">
        <f>IF(NOT(ISBLANK(A1565)),VLOOKUP(A1565,'BBT3'!A:F,4,1),"")</f>
        <v/>
      </c>
      <c r="E1565" t="str">
        <f>IF(NOT(ISBLANK(A1565)),VLOOKUP(A1565,'BBT3'!A:F,5,0),"")</f>
        <v/>
      </c>
      <c r="F1565" t="str">
        <f>IF(NOT(ISBLANK(A1565)),VLOOKUP(A1565,'BBT3'!A:F,6,0),"")</f>
        <v/>
      </c>
      <c r="G1565" t="str">
        <f t="shared" si="218"/>
        <v/>
      </c>
      <c r="H1565" t="str">
        <f>IF(NOT(ISBLANK(A1565)),VLOOKUP(A1565,'Close - PriceSaver'!A:J,5,0),"")</f>
        <v/>
      </c>
      <c r="I1565" s="4" t="str" cm="1">
        <f t="array" ref="I1565">IF(NOT(ISBLANK(A1565)),((_xlfn.XLOOKUP(1,(_bbt3[[#All],[ID]]=A1565)*(_bbt3[[#All],[METRIC_NAME]]="YLD_YTM_ASK"),_bbt3[[#All],[METRIC_VALUE]])*0.5)+(_xlfn.XLOOKUP(1,(_bbt3[[#All],[ID]]=A1565)*(_bbt3[[#All],[METRIC_NAME]]="YLD_YTM_BID"),_bbt3[[#All],[METRIC_VALUE]])*0.5))/100,"")</f>
        <v/>
      </c>
      <c r="J1565">
        <f>IF(ISNA(VLOOKUP(A1565,'CloseDL - PriceSaverBBT3'!A:E,5,0)),0,VLOOKUP(A1565,'CloseDL - PriceSaverBBT3'!A:E,5,0))</f>
        <v>0</v>
      </c>
      <c r="K1565" s="7" t="str">
        <f t="shared" si="219"/>
        <v/>
      </c>
      <c r="L1565" s="20">
        <f>IF(Close[[#This Row],[CreatedBy]]="MARINER\SilverAdm",1,0)</f>
        <v>1</v>
      </c>
      <c r="M1565" t="str">
        <f>IF(NOT(ISBLANK(A1565)),VLOOKUP(A1565,'Close - PriceSaver'!A:J,6,0),"")</f>
        <v/>
      </c>
    </row>
    <row r="1566" spans="2:13" x14ac:dyDescent="0.35">
      <c r="B1566" t="str">
        <f>IF(NOT(ISBLANK(A1566)),VLOOKUP(A1566,'BBT3'!A:F,2,0),"")</f>
        <v/>
      </c>
      <c r="C1566" t="str">
        <f>IF(NOT(ISBLANK(A1566)),VLOOKUP(A1566,'BBT3'!A:F,3,0),"")</f>
        <v/>
      </c>
      <c r="D1566" s="5" t="str">
        <f>IF(NOT(ISBLANK(A1566)),VLOOKUP(A1566,'BBT3'!A:F,4,1),"")</f>
        <v/>
      </c>
      <c r="E1566" t="str">
        <f>IF(NOT(ISBLANK(A1566)),VLOOKUP(A1566,'BBT3'!A:F,5,0),"")</f>
        <v/>
      </c>
      <c r="F1566" t="str">
        <f>IF(NOT(ISBLANK(A1566)),VLOOKUP(A1566,'BBT3'!A:F,6,0),"")</f>
        <v/>
      </c>
      <c r="G1566" t="str">
        <f t="shared" si="218"/>
        <v/>
      </c>
      <c r="H1566" t="str">
        <f>IF(NOT(ISBLANK(A1566)),VLOOKUP(A1566,'Close - PriceSaver'!A:J,5,0),"")</f>
        <v/>
      </c>
      <c r="I1566" s="4" t="str" cm="1">
        <f t="array" ref="I1566">IF(NOT(ISBLANK(A1566)),((_xlfn.XLOOKUP(1,(_bbt3[[#All],[ID]]=A1566)*(_bbt3[[#All],[METRIC_NAME]]="YLD_YTM_ASK"),_bbt3[[#All],[METRIC_VALUE]])*0.5)+(_xlfn.XLOOKUP(1,(_bbt3[[#All],[ID]]=A1566)*(_bbt3[[#All],[METRIC_NAME]]="YLD_YTM_BID"),_bbt3[[#All],[METRIC_VALUE]])*0.5))/100,"")</f>
        <v/>
      </c>
      <c r="J1566">
        <f>IF(ISNA(VLOOKUP(A1566,'CloseDL - PriceSaverBBT3'!A:E,5,0)),0,VLOOKUP(A1566,'CloseDL - PriceSaverBBT3'!A:E,5,0))</f>
        <v>0</v>
      </c>
      <c r="K1566" s="7" t="str">
        <f t="shared" si="219"/>
        <v/>
      </c>
      <c r="L1566" s="20">
        <f>IF(Close[[#This Row],[CreatedBy]]="MARINER\SilverAdm",1,0)</f>
        <v>1</v>
      </c>
      <c r="M1566" t="str">
        <f>IF(NOT(ISBLANK(A1566)),VLOOKUP(A1566,'Close - PriceSaver'!A:J,6,0),"")</f>
        <v/>
      </c>
    </row>
    <row r="1567" spans="2:13" x14ac:dyDescent="0.35">
      <c r="B1567" t="str">
        <f>IF(NOT(ISBLANK(A1567)),VLOOKUP(A1567,'BBT3'!A:F,2,0),"")</f>
        <v/>
      </c>
      <c r="C1567" t="str">
        <f>IF(NOT(ISBLANK(A1567)),VLOOKUP(A1567,'BBT3'!A:F,3,0),"")</f>
        <v/>
      </c>
      <c r="D1567" s="5" t="str">
        <f>IF(NOT(ISBLANK(A1567)),VLOOKUP(A1567,'BBT3'!A:F,4,1),"")</f>
        <v/>
      </c>
      <c r="E1567" t="str">
        <f>IF(NOT(ISBLANK(A1567)),VLOOKUP(A1567,'BBT3'!A:F,5,0),"")</f>
        <v/>
      </c>
      <c r="F1567" t="str">
        <f>IF(NOT(ISBLANK(A1567)),VLOOKUP(A1567,'BBT3'!A:F,6,0),"")</f>
        <v/>
      </c>
      <c r="G1567" t="str">
        <f t="shared" si="218"/>
        <v/>
      </c>
      <c r="H1567" t="str">
        <f>IF(NOT(ISBLANK(A1567)),VLOOKUP(A1567,'Close - PriceSaver'!A:J,5,0),"")</f>
        <v/>
      </c>
      <c r="I1567" s="4" t="str" cm="1">
        <f t="array" ref="I1567">IF(NOT(ISBLANK(A1567)),((_xlfn.XLOOKUP(1,(_bbt3[[#All],[ID]]=A1567)*(_bbt3[[#All],[METRIC_NAME]]="YLD_YTM_ASK"),_bbt3[[#All],[METRIC_VALUE]])*0.5)+(_xlfn.XLOOKUP(1,(_bbt3[[#All],[ID]]=A1567)*(_bbt3[[#All],[METRIC_NAME]]="YLD_YTM_BID"),_bbt3[[#All],[METRIC_VALUE]])*0.5))/100,"")</f>
        <v/>
      </c>
      <c r="J1567">
        <f>IF(ISNA(VLOOKUP(A1567,'CloseDL - PriceSaverBBT3'!A:E,5,0)),0,VLOOKUP(A1567,'CloseDL - PriceSaverBBT3'!A:E,5,0))</f>
        <v>0</v>
      </c>
      <c r="K1567" s="7" t="str">
        <f t="shared" si="219"/>
        <v/>
      </c>
      <c r="L1567" s="20">
        <f>IF(Close[[#This Row],[CreatedBy]]="MARINER\SilverAdm",1,0)</f>
        <v>1</v>
      </c>
      <c r="M1567" t="str">
        <f>IF(NOT(ISBLANK(A1567)),VLOOKUP(A1567,'Close - PriceSaver'!A:J,6,0),"")</f>
        <v/>
      </c>
    </row>
    <row r="1568" spans="2:13" x14ac:dyDescent="0.35">
      <c r="B1568" t="str">
        <f>IF(NOT(ISBLANK(A1568)),VLOOKUP(A1568,'BBT3'!A:F,2,0),"")</f>
        <v/>
      </c>
      <c r="C1568" t="str">
        <f>IF(NOT(ISBLANK(A1568)),VLOOKUP(A1568,'BBT3'!A:F,3,0),"")</f>
        <v/>
      </c>
      <c r="D1568" s="5" t="str">
        <f>IF(NOT(ISBLANK(A1568)),VLOOKUP(A1568,'BBT3'!A:F,4,1),"")</f>
        <v/>
      </c>
      <c r="E1568" t="str">
        <f>IF(NOT(ISBLANK(A1568)),VLOOKUP(A1568,'BBT3'!A:F,5,0),"")</f>
        <v/>
      </c>
      <c r="F1568" t="str">
        <f>IF(NOT(ISBLANK(A1568)),VLOOKUP(A1568,'BBT3'!A:F,6,0),"")</f>
        <v/>
      </c>
      <c r="G1568" t="str">
        <f t="shared" si="218"/>
        <v/>
      </c>
      <c r="H1568" t="str">
        <f>IF(NOT(ISBLANK(A1568)),VLOOKUP(A1568,'Close - PriceSaver'!A:J,5,0),"")</f>
        <v/>
      </c>
      <c r="I1568" s="4" t="str" cm="1">
        <f t="array" ref="I1568">IF(NOT(ISBLANK(A1568)),((_xlfn.XLOOKUP(1,(_bbt3[[#All],[ID]]=A1568)*(_bbt3[[#All],[METRIC_NAME]]="YLD_YTM_ASK"),_bbt3[[#All],[METRIC_VALUE]])*0.5)+(_xlfn.XLOOKUP(1,(_bbt3[[#All],[ID]]=A1568)*(_bbt3[[#All],[METRIC_NAME]]="YLD_YTM_BID"),_bbt3[[#All],[METRIC_VALUE]])*0.5))/100,"")</f>
        <v/>
      </c>
      <c r="J1568">
        <f>IF(ISNA(VLOOKUP(A1568,'CloseDL - PriceSaverBBT3'!A:E,5,0)),0,VLOOKUP(A1568,'CloseDL - PriceSaverBBT3'!A:E,5,0))</f>
        <v>0</v>
      </c>
      <c r="K1568" s="7" t="str">
        <f t="shared" si="219"/>
        <v/>
      </c>
      <c r="L1568" s="20">
        <f>IF(Close[[#This Row],[CreatedBy]]="MARINER\SilverAdm",1,0)</f>
        <v>1</v>
      </c>
      <c r="M1568" t="str">
        <f>IF(NOT(ISBLANK(A1568)),VLOOKUP(A1568,'Close - PriceSaver'!A:J,6,0),"")</f>
        <v/>
      </c>
    </row>
    <row r="1569" spans="2:13" x14ac:dyDescent="0.35">
      <c r="B1569" t="str">
        <f>IF(NOT(ISBLANK(A1569)),VLOOKUP(A1569,'BBT3'!A:F,2,0),"")</f>
        <v/>
      </c>
      <c r="C1569" t="str">
        <f>IF(NOT(ISBLANK(A1569)),VLOOKUP(A1569,'BBT3'!A:F,3,0),"")</f>
        <v/>
      </c>
      <c r="D1569" s="5" t="str">
        <f>IF(NOT(ISBLANK(A1569)),VLOOKUP(A1569,'BBT3'!A:F,4,1),"")</f>
        <v/>
      </c>
      <c r="E1569" t="str">
        <f>IF(NOT(ISBLANK(A1569)),VLOOKUP(A1569,'BBT3'!A:F,5,0),"")</f>
        <v/>
      </c>
      <c r="F1569" t="str">
        <f>IF(NOT(ISBLANK(A1569)),VLOOKUP(A1569,'BBT3'!A:F,6,0),"")</f>
        <v/>
      </c>
      <c r="G1569" t="str">
        <f t="shared" si="218"/>
        <v/>
      </c>
      <c r="H1569" t="str">
        <f>IF(NOT(ISBLANK(A1569)),VLOOKUP(A1569,'Close - PriceSaver'!A:J,5,0),"")</f>
        <v/>
      </c>
      <c r="I1569" s="4" t="str" cm="1">
        <f t="array" ref="I1569">IF(NOT(ISBLANK(A1569)),((_xlfn.XLOOKUP(1,(_bbt3[[#All],[ID]]=A1569)*(_bbt3[[#All],[METRIC_NAME]]="YLD_YTM_ASK"),_bbt3[[#All],[METRIC_VALUE]])*0.5)+(_xlfn.XLOOKUP(1,(_bbt3[[#All],[ID]]=A1569)*(_bbt3[[#All],[METRIC_NAME]]="YLD_YTM_BID"),_bbt3[[#All],[METRIC_VALUE]])*0.5))/100,"")</f>
        <v/>
      </c>
      <c r="J1569">
        <f>IF(ISNA(VLOOKUP(A1569,'CloseDL - PriceSaverBBT3'!A:E,5,0)),0,VLOOKUP(A1569,'CloseDL - PriceSaverBBT3'!A:E,5,0))</f>
        <v>0</v>
      </c>
      <c r="K1569" s="7" t="str">
        <f t="shared" si="219"/>
        <v/>
      </c>
      <c r="L1569" s="20">
        <f>IF(Close[[#This Row],[CreatedBy]]="MARINER\SilverAdm",1,0)</f>
        <v>1</v>
      </c>
      <c r="M1569" t="str">
        <f>IF(NOT(ISBLANK(A1569)),VLOOKUP(A1569,'Close - PriceSaver'!A:J,6,0),"")</f>
        <v/>
      </c>
    </row>
    <row r="1570" spans="2:13" x14ac:dyDescent="0.35">
      <c r="B1570" t="str">
        <f>IF(NOT(ISBLANK(A1570)),VLOOKUP(A1570,'BBT3'!A:F,2,0),"")</f>
        <v/>
      </c>
      <c r="C1570" t="str">
        <f>IF(NOT(ISBLANK(A1570)),VLOOKUP(A1570,'BBT3'!A:F,3,0),"")</f>
        <v/>
      </c>
      <c r="D1570" s="5" t="str">
        <f>IF(NOT(ISBLANK(A1570)),VLOOKUP(A1570,'BBT3'!A:F,4,1),"")</f>
        <v/>
      </c>
      <c r="E1570" t="str">
        <f>IF(NOT(ISBLANK(A1570)),VLOOKUP(A1570,'BBT3'!A:F,5,0),"")</f>
        <v/>
      </c>
      <c r="F1570" t="str">
        <f>IF(NOT(ISBLANK(A1570)),VLOOKUP(A1570,'BBT3'!A:F,6,0),"")</f>
        <v/>
      </c>
      <c r="G1570" t="str">
        <f t="shared" si="218"/>
        <v/>
      </c>
      <c r="H1570" t="str">
        <f>IF(NOT(ISBLANK(A1570)),VLOOKUP(A1570,'Close - PriceSaver'!A:J,5,0),"")</f>
        <v/>
      </c>
      <c r="I1570" s="4" t="str" cm="1">
        <f t="array" ref="I1570">IF(NOT(ISBLANK(A1570)),((_xlfn.XLOOKUP(1,(_bbt3[[#All],[ID]]=A1570)*(_bbt3[[#All],[METRIC_NAME]]="YLD_YTM_ASK"),_bbt3[[#All],[METRIC_VALUE]])*0.5)+(_xlfn.XLOOKUP(1,(_bbt3[[#All],[ID]]=A1570)*(_bbt3[[#All],[METRIC_NAME]]="YLD_YTM_BID"),_bbt3[[#All],[METRIC_VALUE]])*0.5))/100,"")</f>
        <v/>
      </c>
      <c r="J1570">
        <f>IF(ISNA(VLOOKUP(A1570,'CloseDL - PriceSaverBBT3'!A:E,5,0)),0,VLOOKUP(A1570,'CloseDL - PriceSaverBBT3'!A:E,5,0))</f>
        <v>0</v>
      </c>
      <c r="K1570" s="7" t="str">
        <f t="shared" si="219"/>
        <v/>
      </c>
      <c r="L1570" s="20">
        <f>IF(Close[[#This Row],[CreatedBy]]="MARINER\SilverAdm",1,0)</f>
        <v>1</v>
      </c>
      <c r="M1570" t="str">
        <f>IF(NOT(ISBLANK(A1570)),VLOOKUP(A1570,'Close - PriceSaver'!A:J,6,0),"")</f>
        <v/>
      </c>
    </row>
    <row r="1571" spans="2:13" x14ac:dyDescent="0.35">
      <c r="B1571" t="str">
        <f>IF(NOT(ISBLANK(A1571)),VLOOKUP(A1571,'BBT3'!A:F,2,0),"")</f>
        <v/>
      </c>
      <c r="C1571" t="str">
        <f>IF(NOT(ISBLANK(A1571)),VLOOKUP(A1571,'BBT3'!A:F,3,0),"")</f>
        <v/>
      </c>
      <c r="D1571" s="5" t="str">
        <f>IF(NOT(ISBLANK(A1571)),VLOOKUP(A1571,'BBT3'!A:F,4,1),"")</f>
        <v/>
      </c>
      <c r="E1571" t="str">
        <f>IF(NOT(ISBLANK(A1571)),VLOOKUP(A1571,'BBT3'!A:F,5,0),"")</f>
        <v/>
      </c>
      <c r="F1571" t="str">
        <f>IF(NOT(ISBLANK(A1571)),VLOOKUP(A1571,'BBT3'!A:F,6,0),"")</f>
        <v/>
      </c>
      <c r="G1571" t="str">
        <f t="shared" si="218"/>
        <v/>
      </c>
      <c r="H1571" t="str">
        <f>IF(NOT(ISBLANK(A1571)),VLOOKUP(A1571,'Close - PriceSaver'!A:J,5,0),"")</f>
        <v/>
      </c>
      <c r="I1571" s="4" t="str" cm="1">
        <f t="array" ref="I1571">IF(NOT(ISBLANK(A1571)),((_xlfn.XLOOKUP(1,(_bbt3[[#All],[ID]]=A1571)*(_bbt3[[#All],[METRIC_NAME]]="YLD_YTM_ASK"),_bbt3[[#All],[METRIC_VALUE]])*0.5)+(_xlfn.XLOOKUP(1,(_bbt3[[#All],[ID]]=A1571)*(_bbt3[[#All],[METRIC_NAME]]="YLD_YTM_BID"),_bbt3[[#All],[METRIC_VALUE]])*0.5))/100,"")</f>
        <v/>
      </c>
      <c r="J1571">
        <f>IF(ISNA(VLOOKUP(A1571,'CloseDL - PriceSaverBBT3'!A:E,5,0)),0,VLOOKUP(A1571,'CloseDL - PriceSaverBBT3'!A:E,5,0))</f>
        <v>0</v>
      </c>
      <c r="K1571" s="7" t="str">
        <f t="shared" si="219"/>
        <v/>
      </c>
      <c r="L1571" s="20">
        <f>IF(Close[[#This Row],[CreatedBy]]="MARINER\SilverAdm",1,0)</f>
        <v>1</v>
      </c>
      <c r="M1571" t="str">
        <f>IF(NOT(ISBLANK(A1571)),VLOOKUP(A1571,'Close - PriceSaver'!A:J,6,0),"")</f>
        <v/>
      </c>
    </row>
    <row r="1572" spans="2:13" x14ac:dyDescent="0.35">
      <c r="B1572" t="str">
        <f>IF(NOT(ISBLANK(A1572)),VLOOKUP(A1572,'BBT3'!A:F,2,0),"")</f>
        <v/>
      </c>
      <c r="C1572" t="str">
        <f>IF(NOT(ISBLANK(A1572)),VLOOKUP(A1572,'BBT3'!A:F,3,0),"")</f>
        <v/>
      </c>
      <c r="D1572" s="5" t="str">
        <f>IF(NOT(ISBLANK(A1572)),VLOOKUP(A1572,'BBT3'!A:F,4,1),"")</f>
        <v/>
      </c>
      <c r="E1572" t="str">
        <f>IF(NOT(ISBLANK(A1572)),VLOOKUP(A1572,'BBT3'!A:F,5,0),"")</f>
        <v/>
      </c>
      <c r="F1572" t="str">
        <f>IF(NOT(ISBLANK(A1572)),VLOOKUP(A1572,'BBT3'!A:F,6,0),"")</f>
        <v/>
      </c>
      <c r="G1572" t="str">
        <f t="shared" si="218"/>
        <v/>
      </c>
      <c r="H1572" t="str">
        <f>IF(NOT(ISBLANK(A1572)),VLOOKUP(A1572,'Close - PriceSaver'!A:J,5,0),"")</f>
        <v/>
      </c>
      <c r="I1572" s="4" t="str" cm="1">
        <f t="array" ref="I1572">IF(NOT(ISBLANK(A1572)),((_xlfn.XLOOKUP(1,(_bbt3[[#All],[ID]]=A1572)*(_bbt3[[#All],[METRIC_NAME]]="YLD_YTM_ASK"),_bbt3[[#All],[METRIC_VALUE]])*0.5)+(_xlfn.XLOOKUP(1,(_bbt3[[#All],[ID]]=A1572)*(_bbt3[[#All],[METRIC_NAME]]="YLD_YTM_BID"),_bbt3[[#All],[METRIC_VALUE]])*0.5))/100,"")</f>
        <v/>
      </c>
      <c r="J1572">
        <f>IF(ISNA(VLOOKUP(A1572,'CloseDL - PriceSaverBBT3'!A:E,5,0)),0,VLOOKUP(A1572,'CloseDL - PriceSaverBBT3'!A:E,5,0))</f>
        <v>0</v>
      </c>
      <c r="K1572" s="7" t="str">
        <f t="shared" si="219"/>
        <v/>
      </c>
      <c r="L1572" s="20">
        <f>IF(Close[[#This Row],[CreatedBy]]="MARINER\SilverAdm",1,0)</f>
        <v>1</v>
      </c>
      <c r="M1572" t="str">
        <f>IF(NOT(ISBLANK(A1572)),VLOOKUP(A1572,'Close - PriceSaver'!A:J,6,0),"")</f>
        <v/>
      </c>
    </row>
    <row r="1573" spans="2:13" x14ac:dyDescent="0.35">
      <c r="B1573" t="str">
        <f>IF(NOT(ISBLANK(A1573)),VLOOKUP(A1573,'BBT3'!A:F,2,0),"")</f>
        <v/>
      </c>
      <c r="C1573" t="str">
        <f>IF(NOT(ISBLANK(A1573)),VLOOKUP(A1573,'BBT3'!A:F,3,0),"")</f>
        <v/>
      </c>
      <c r="D1573" s="5" t="str">
        <f>IF(NOT(ISBLANK(A1573)),VLOOKUP(A1573,'BBT3'!A:F,4,1),"")</f>
        <v/>
      </c>
      <c r="E1573" t="str">
        <f>IF(NOT(ISBLANK(A1573)),VLOOKUP(A1573,'BBT3'!A:F,5,0),"")</f>
        <v/>
      </c>
      <c r="F1573" t="str">
        <f>IF(NOT(ISBLANK(A1573)),VLOOKUP(A1573,'BBT3'!A:F,6,0),"")</f>
        <v/>
      </c>
      <c r="G1573" t="str">
        <f t="shared" si="218"/>
        <v/>
      </c>
      <c r="H1573" t="str">
        <f>IF(NOT(ISBLANK(A1573)),VLOOKUP(A1573,'Close - PriceSaver'!A:J,5,0),"")</f>
        <v/>
      </c>
      <c r="I1573" s="4" t="str" cm="1">
        <f t="array" ref="I1573">IF(NOT(ISBLANK(A1573)),((_xlfn.XLOOKUP(1,(_bbt3[[#All],[ID]]=A1573)*(_bbt3[[#All],[METRIC_NAME]]="YLD_YTM_ASK"),_bbt3[[#All],[METRIC_VALUE]])*0.5)+(_xlfn.XLOOKUP(1,(_bbt3[[#All],[ID]]=A1573)*(_bbt3[[#All],[METRIC_NAME]]="YLD_YTM_BID"),_bbt3[[#All],[METRIC_VALUE]])*0.5))/100,"")</f>
        <v/>
      </c>
      <c r="J1573">
        <f>IF(ISNA(VLOOKUP(A1573,'CloseDL - PriceSaverBBT3'!A:E,5,0)),0,VLOOKUP(A1573,'CloseDL - PriceSaverBBT3'!A:E,5,0))</f>
        <v>0</v>
      </c>
      <c r="K1573" s="7" t="str">
        <f t="shared" si="219"/>
        <v/>
      </c>
      <c r="L1573" s="20">
        <f>IF(Close[[#This Row],[CreatedBy]]="MARINER\SilverAdm",1,0)</f>
        <v>1</v>
      </c>
      <c r="M1573" t="str">
        <f>IF(NOT(ISBLANK(A1573)),VLOOKUP(A1573,'Close - PriceSaver'!A:J,6,0),"")</f>
        <v/>
      </c>
    </row>
    <row r="1574" spans="2:13" x14ac:dyDescent="0.35">
      <c r="B1574" t="str">
        <f>IF(NOT(ISBLANK(A1574)),VLOOKUP(A1574,'BBT3'!A:F,2,0),"")</f>
        <v/>
      </c>
      <c r="C1574" t="str">
        <f>IF(NOT(ISBLANK(A1574)),VLOOKUP(A1574,'BBT3'!A:F,3,0),"")</f>
        <v/>
      </c>
      <c r="D1574" s="5" t="str">
        <f>IF(NOT(ISBLANK(A1574)),VLOOKUP(A1574,'BBT3'!A:F,4,1),"")</f>
        <v/>
      </c>
      <c r="E1574" t="str">
        <f>IF(NOT(ISBLANK(A1574)),VLOOKUP(A1574,'BBT3'!A:F,5,0),"")</f>
        <v/>
      </c>
      <c r="F1574" t="str">
        <f>IF(NOT(ISBLANK(A1574)),VLOOKUP(A1574,'BBT3'!A:F,6,0),"")</f>
        <v/>
      </c>
      <c r="G1574" t="str">
        <f t="shared" si="218"/>
        <v/>
      </c>
      <c r="H1574" t="str">
        <f>IF(NOT(ISBLANK(A1574)),VLOOKUP(A1574,'Close - PriceSaver'!A:J,5,0),"")</f>
        <v/>
      </c>
      <c r="I1574" s="4" t="str" cm="1">
        <f t="array" ref="I1574">IF(NOT(ISBLANK(A1574)),((_xlfn.XLOOKUP(1,(_bbt3[[#All],[ID]]=A1574)*(_bbt3[[#All],[METRIC_NAME]]="YLD_YTM_ASK"),_bbt3[[#All],[METRIC_VALUE]])*0.5)+(_xlfn.XLOOKUP(1,(_bbt3[[#All],[ID]]=A1574)*(_bbt3[[#All],[METRIC_NAME]]="YLD_YTM_BID"),_bbt3[[#All],[METRIC_VALUE]])*0.5))/100,"")</f>
        <v/>
      </c>
      <c r="J1574">
        <f>IF(ISNA(VLOOKUP(A1574,'CloseDL - PriceSaverBBT3'!A:E,5,0)),0,VLOOKUP(A1574,'CloseDL - PriceSaverBBT3'!A:E,5,0))</f>
        <v>0</v>
      </c>
      <c r="K1574" s="7" t="str">
        <f t="shared" si="219"/>
        <v/>
      </c>
      <c r="L1574" s="20">
        <f>IF(Close[[#This Row],[CreatedBy]]="MARINER\SilverAdm",1,0)</f>
        <v>1</v>
      </c>
      <c r="M1574" t="str">
        <f>IF(NOT(ISBLANK(A1574)),VLOOKUP(A1574,'Close - PriceSaver'!A:J,6,0),"")</f>
        <v/>
      </c>
    </row>
    <row r="1575" spans="2:13" x14ac:dyDescent="0.35">
      <c r="B1575" t="str">
        <f>IF(NOT(ISBLANK(A1575)),VLOOKUP(A1575,'BBT3'!A:F,2,0),"")</f>
        <v/>
      </c>
      <c r="C1575" t="str">
        <f>IF(NOT(ISBLANK(A1575)),VLOOKUP(A1575,'BBT3'!A:F,3,0),"")</f>
        <v/>
      </c>
      <c r="D1575" s="5" t="str">
        <f>IF(NOT(ISBLANK(A1575)),VLOOKUP(A1575,'BBT3'!A:F,4,1),"")</f>
        <v/>
      </c>
      <c r="E1575" t="str">
        <f>IF(NOT(ISBLANK(A1575)),VLOOKUP(A1575,'BBT3'!A:F,5,0),"")</f>
        <v/>
      </c>
      <c r="F1575" t="str">
        <f>IF(NOT(ISBLANK(A1575)),VLOOKUP(A1575,'BBT3'!A:F,6,0),"")</f>
        <v/>
      </c>
      <c r="G1575" t="str">
        <f t="shared" si="218"/>
        <v/>
      </c>
      <c r="H1575" t="str">
        <f>IF(NOT(ISBLANK(A1575)),VLOOKUP(A1575,'Close - PriceSaver'!A:J,5,0),"")</f>
        <v/>
      </c>
      <c r="I1575" s="4" t="str" cm="1">
        <f t="array" ref="I1575">IF(NOT(ISBLANK(A1575)),((_xlfn.XLOOKUP(1,(_bbt3[[#All],[ID]]=A1575)*(_bbt3[[#All],[METRIC_NAME]]="YLD_YTM_ASK"),_bbt3[[#All],[METRIC_VALUE]])*0.5)+(_xlfn.XLOOKUP(1,(_bbt3[[#All],[ID]]=A1575)*(_bbt3[[#All],[METRIC_NAME]]="YLD_YTM_BID"),_bbt3[[#All],[METRIC_VALUE]])*0.5))/100,"")</f>
        <v/>
      </c>
      <c r="J1575">
        <f>IF(ISNA(VLOOKUP(A1575,'CloseDL - PriceSaverBBT3'!A:E,5,0)),0,VLOOKUP(A1575,'CloseDL - PriceSaverBBT3'!A:E,5,0))</f>
        <v>0</v>
      </c>
      <c r="K1575" s="7" t="str">
        <f t="shared" si="219"/>
        <v/>
      </c>
      <c r="L1575" s="20">
        <f>IF(Close[[#This Row],[CreatedBy]]="MARINER\SilverAdm",1,0)</f>
        <v>1</v>
      </c>
      <c r="M1575" t="str">
        <f>IF(NOT(ISBLANK(A1575)),VLOOKUP(A1575,'Close - PriceSaver'!A:J,6,0),"")</f>
        <v/>
      </c>
    </row>
    <row r="1576" spans="2:13" x14ac:dyDescent="0.35">
      <c r="B1576" t="str">
        <f>IF(NOT(ISBLANK(A1576)),VLOOKUP(A1576,'BBT3'!A:F,2,0),"")</f>
        <v/>
      </c>
      <c r="C1576" t="str">
        <f>IF(NOT(ISBLANK(A1576)),VLOOKUP(A1576,'BBT3'!A:F,3,0),"")</f>
        <v/>
      </c>
      <c r="D1576" s="5" t="str">
        <f>IF(NOT(ISBLANK(A1576)),VLOOKUP(A1576,'BBT3'!A:F,4,1),"")</f>
        <v/>
      </c>
      <c r="E1576" t="str">
        <f>IF(NOT(ISBLANK(A1576)),VLOOKUP(A1576,'BBT3'!A:F,5,0),"")</f>
        <v/>
      </c>
      <c r="F1576" t="str">
        <f>IF(NOT(ISBLANK(A1576)),VLOOKUP(A1576,'BBT3'!A:F,6,0),"")</f>
        <v/>
      </c>
      <c r="G1576" t="str">
        <f t="shared" si="218"/>
        <v/>
      </c>
      <c r="H1576" t="str">
        <f>IF(NOT(ISBLANK(A1576)),VLOOKUP(A1576,'Close - PriceSaver'!A:J,5,0),"")</f>
        <v/>
      </c>
      <c r="I1576" s="4" t="str" cm="1">
        <f t="array" ref="I1576">IF(NOT(ISBLANK(A1576)),((_xlfn.XLOOKUP(1,(_bbt3[[#All],[ID]]=A1576)*(_bbt3[[#All],[METRIC_NAME]]="YLD_YTM_ASK"),_bbt3[[#All],[METRIC_VALUE]])*0.5)+(_xlfn.XLOOKUP(1,(_bbt3[[#All],[ID]]=A1576)*(_bbt3[[#All],[METRIC_NAME]]="YLD_YTM_BID"),_bbt3[[#All],[METRIC_VALUE]])*0.5))/100,"")</f>
        <v/>
      </c>
      <c r="J1576">
        <f>IF(ISNA(VLOOKUP(A1576,'CloseDL - PriceSaverBBT3'!A:E,5,0)),0,VLOOKUP(A1576,'CloseDL - PriceSaverBBT3'!A:E,5,0))</f>
        <v>0</v>
      </c>
      <c r="K1576" s="7" t="str">
        <f t="shared" si="219"/>
        <v/>
      </c>
      <c r="L1576" s="20">
        <f>IF(Close[[#This Row],[CreatedBy]]="MARINER\SilverAdm",1,0)</f>
        <v>1</v>
      </c>
      <c r="M1576" t="str">
        <f>IF(NOT(ISBLANK(A1576)),VLOOKUP(A1576,'Close - PriceSaver'!A:J,6,0),"")</f>
        <v/>
      </c>
    </row>
    <row r="1577" spans="2:13" x14ac:dyDescent="0.35">
      <c r="B1577" t="str">
        <f>IF(NOT(ISBLANK(A1577)),VLOOKUP(A1577,'BBT3'!A:F,2,0),"")</f>
        <v/>
      </c>
      <c r="C1577" t="str">
        <f>IF(NOT(ISBLANK(A1577)),VLOOKUP(A1577,'BBT3'!A:F,3,0),"")</f>
        <v/>
      </c>
      <c r="D1577" s="5" t="str">
        <f>IF(NOT(ISBLANK(A1577)),VLOOKUP(A1577,'BBT3'!A:F,4,1),"")</f>
        <v/>
      </c>
      <c r="E1577" t="str">
        <f>IF(NOT(ISBLANK(A1577)),VLOOKUP(A1577,'BBT3'!A:F,5,0),"")</f>
        <v/>
      </c>
      <c r="F1577" t="str">
        <f>IF(NOT(ISBLANK(A1577)),VLOOKUP(A1577,'BBT3'!A:F,6,0),"")</f>
        <v/>
      </c>
      <c r="G1577" t="str">
        <f t="shared" si="218"/>
        <v/>
      </c>
      <c r="H1577" t="str">
        <f>IF(NOT(ISBLANK(A1577)),VLOOKUP(A1577,'Close - PriceSaver'!A:J,5,0),"")</f>
        <v/>
      </c>
      <c r="I1577" s="4" t="str" cm="1">
        <f t="array" ref="I1577">IF(NOT(ISBLANK(A1577)),((_xlfn.XLOOKUP(1,(_bbt3[[#All],[ID]]=A1577)*(_bbt3[[#All],[METRIC_NAME]]="YLD_YTM_ASK"),_bbt3[[#All],[METRIC_VALUE]])*0.5)+(_xlfn.XLOOKUP(1,(_bbt3[[#All],[ID]]=A1577)*(_bbt3[[#All],[METRIC_NAME]]="YLD_YTM_BID"),_bbt3[[#All],[METRIC_VALUE]])*0.5))/100,"")</f>
        <v/>
      </c>
      <c r="J1577">
        <f>IF(ISNA(VLOOKUP(A1577,'CloseDL - PriceSaverBBT3'!A:E,5,0)),0,VLOOKUP(A1577,'CloseDL - PriceSaverBBT3'!A:E,5,0))</f>
        <v>0</v>
      </c>
      <c r="K1577" s="7" t="str">
        <f t="shared" si="219"/>
        <v/>
      </c>
      <c r="L1577" s="20">
        <f>IF(Close[[#This Row],[CreatedBy]]="MARINER\SilverAdm",1,0)</f>
        <v>1</v>
      </c>
      <c r="M1577" t="str">
        <f>IF(NOT(ISBLANK(A1577)),VLOOKUP(A1577,'Close - PriceSaver'!A:J,6,0),"")</f>
        <v/>
      </c>
    </row>
    <row r="1578" spans="2:13" x14ac:dyDescent="0.35">
      <c r="B1578" t="str">
        <f>IF(NOT(ISBLANK(A1578)),VLOOKUP(A1578,'BBT3'!A:F,2,0),"")</f>
        <v/>
      </c>
      <c r="C1578" t="str">
        <f>IF(NOT(ISBLANK(A1578)),VLOOKUP(A1578,'BBT3'!A:F,3,0),"")</f>
        <v/>
      </c>
      <c r="D1578" s="5" t="str">
        <f>IF(NOT(ISBLANK(A1578)),VLOOKUP(A1578,'BBT3'!A:F,4,1),"")</f>
        <v/>
      </c>
      <c r="E1578" t="str">
        <f>IF(NOT(ISBLANK(A1578)),VLOOKUP(A1578,'BBT3'!A:F,5,0),"")</f>
        <v/>
      </c>
      <c r="F1578" t="str">
        <f>IF(NOT(ISBLANK(A1578)),VLOOKUP(A1578,'BBT3'!A:F,6,0),"")</f>
        <v/>
      </c>
      <c r="G1578" t="str">
        <f t="shared" si="218"/>
        <v/>
      </c>
      <c r="H1578" t="str">
        <f>IF(NOT(ISBLANK(A1578)),VLOOKUP(A1578,'Close - PriceSaver'!A:J,5,0),"")</f>
        <v/>
      </c>
      <c r="I1578" s="4" t="str" cm="1">
        <f t="array" ref="I1578">IF(NOT(ISBLANK(A1578)),((_xlfn.XLOOKUP(1,(_bbt3[[#All],[ID]]=A1578)*(_bbt3[[#All],[METRIC_NAME]]="YLD_YTM_ASK"),_bbt3[[#All],[METRIC_VALUE]])*0.5)+(_xlfn.XLOOKUP(1,(_bbt3[[#All],[ID]]=A1578)*(_bbt3[[#All],[METRIC_NAME]]="YLD_YTM_BID"),_bbt3[[#All],[METRIC_VALUE]])*0.5))/100,"")</f>
        <v/>
      </c>
      <c r="J1578">
        <f>IF(ISNA(VLOOKUP(A1578,'CloseDL - PriceSaverBBT3'!A:E,5,0)),0,VLOOKUP(A1578,'CloseDL - PriceSaverBBT3'!A:E,5,0))</f>
        <v>0</v>
      </c>
      <c r="K1578" s="7" t="str">
        <f t="shared" si="219"/>
        <v/>
      </c>
      <c r="L1578" s="20">
        <f>IF(Close[[#This Row],[CreatedBy]]="MARINER\SilverAdm",1,0)</f>
        <v>1</v>
      </c>
      <c r="M1578" t="str">
        <f>IF(NOT(ISBLANK(A1578)),VLOOKUP(A1578,'Close - PriceSaver'!A:J,6,0),"")</f>
        <v/>
      </c>
    </row>
    <row r="1579" spans="2:13" x14ac:dyDescent="0.35">
      <c r="B1579" t="str">
        <f>IF(NOT(ISBLANK(A1579)),VLOOKUP(A1579,'BBT3'!A:F,2,0),"")</f>
        <v/>
      </c>
      <c r="C1579" t="str">
        <f>IF(NOT(ISBLANK(A1579)),VLOOKUP(A1579,'BBT3'!A:F,3,0),"")</f>
        <v/>
      </c>
      <c r="D1579" s="5" t="str">
        <f>IF(NOT(ISBLANK(A1579)),VLOOKUP(A1579,'BBT3'!A:F,4,1),"")</f>
        <v/>
      </c>
      <c r="E1579" t="str">
        <f>IF(NOT(ISBLANK(A1579)),VLOOKUP(A1579,'BBT3'!A:F,5,0),"")</f>
        <v/>
      </c>
      <c r="F1579" t="str">
        <f>IF(NOT(ISBLANK(A1579)),VLOOKUP(A1579,'BBT3'!A:F,6,0),"")</f>
        <v/>
      </c>
      <c r="G1579" t="str">
        <f t="shared" si="218"/>
        <v/>
      </c>
      <c r="H1579" t="str">
        <f>IF(NOT(ISBLANK(A1579)),VLOOKUP(A1579,'Close - PriceSaver'!A:J,5,0),"")</f>
        <v/>
      </c>
      <c r="I1579" s="4" t="str" cm="1">
        <f t="array" ref="I1579">IF(NOT(ISBLANK(A1579)),((_xlfn.XLOOKUP(1,(_bbt3[[#All],[ID]]=A1579)*(_bbt3[[#All],[METRIC_NAME]]="YLD_YTM_ASK"),_bbt3[[#All],[METRIC_VALUE]])*0.5)+(_xlfn.XLOOKUP(1,(_bbt3[[#All],[ID]]=A1579)*(_bbt3[[#All],[METRIC_NAME]]="YLD_YTM_BID"),_bbt3[[#All],[METRIC_VALUE]])*0.5))/100,"")</f>
        <v/>
      </c>
      <c r="J1579">
        <f>IF(ISNA(VLOOKUP(A1579,'CloseDL - PriceSaverBBT3'!A:E,5,0)),0,VLOOKUP(A1579,'CloseDL - PriceSaverBBT3'!A:E,5,0))</f>
        <v>0</v>
      </c>
      <c r="K1579" s="7" t="str">
        <f t="shared" si="219"/>
        <v/>
      </c>
      <c r="L1579" s="20">
        <f>IF(Close[[#This Row],[CreatedBy]]="MARINER\SilverAdm",1,0)</f>
        <v>1</v>
      </c>
      <c r="M1579" t="str">
        <f>IF(NOT(ISBLANK(A1579)),VLOOKUP(A1579,'Close - PriceSaver'!A:J,6,0),"")</f>
        <v/>
      </c>
    </row>
    <row r="1580" spans="2:13" x14ac:dyDescent="0.35">
      <c r="B1580" t="str">
        <f>IF(NOT(ISBLANK(A1580)),VLOOKUP(A1580,'BBT3'!A:F,2,0),"")</f>
        <v/>
      </c>
      <c r="C1580" t="str">
        <f>IF(NOT(ISBLANK(A1580)),VLOOKUP(A1580,'BBT3'!A:F,3,0),"")</f>
        <v/>
      </c>
      <c r="D1580" s="5" t="str">
        <f>IF(NOT(ISBLANK(A1580)),VLOOKUP(A1580,'BBT3'!A:F,4,1),"")</f>
        <v/>
      </c>
      <c r="E1580" t="str">
        <f>IF(NOT(ISBLANK(A1580)),VLOOKUP(A1580,'BBT3'!A:F,5,0),"")</f>
        <v/>
      </c>
      <c r="F1580" t="str">
        <f>IF(NOT(ISBLANK(A1580)),VLOOKUP(A1580,'BBT3'!A:F,6,0),"")</f>
        <v/>
      </c>
      <c r="G1580" t="str">
        <f t="shared" si="218"/>
        <v/>
      </c>
      <c r="H1580" t="str">
        <f>IF(NOT(ISBLANK(A1580)),VLOOKUP(A1580,'Close - PriceSaver'!A:J,5,0),"")</f>
        <v/>
      </c>
      <c r="I1580" s="4" t="str" cm="1">
        <f t="array" ref="I1580">IF(NOT(ISBLANK(A1580)),((_xlfn.XLOOKUP(1,(_bbt3[[#All],[ID]]=A1580)*(_bbt3[[#All],[METRIC_NAME]]="YLD_YTM_ASK"),_bbt3[[#All],[METRIC_VALUE]])*0.5)+(_xlfn.XLOOKUP(1,(_bbt3[[#All],[ID]]=A1580)*(_bbt3[[#All],[METRIC_NAME]]="YLD_YTM_BID"),_bbt3[[#All],[METRIC_VALUE]])*0.5))/100,"")</f>
        <v/>
      </c>
      <c r="J1580">
        <f>IF(ISNA(VLOOKUP(A1580,'CloseDL - PriceSaverBBT3'!A:E,5,0)),0,VLOOKUP(A1580,'CloseDL - PriceSaverBBT3'!A:E,5,0))</f>
        <v>0</v>
      </c>
      <c r="K1580" s="7" t="str">
        <f t="shared" si="219"/>
        <v/>
      </c>
      <c r="L1580" s="20">
        <f>IF(Close[[#This Row],[CreatedBy]]="MARINER\SilverAdm",1,0)</f>
        <v>1</v>
      </c>
      <c r="M1580" t="str">
        <f>IF(NOT(ISBLANK(A1580)),VLOOKUP(A1580,'Close - PriceSaver'!A:J,6,0),"")</f>
        <v/>
      </c>
    </row>
    <row r="1581" spans="2:13" x14ac:dyDescent="0.35">
      <c r="B1581" t="str">
        <f>IF(NOT(ISBLANK(A1581)),VLOOKUP(A1581,'BBT3'!A:F,2,0),"")</f>
        <v/>
      </c>
      <c r="C1581" t="str">
        <f>IF(NOT(ISBLANK(A1581)),VLOOKUP(A1581,'BBT3'!A:F,3,0),"")</f>
        <v/>
      </c>
      <c r="D1581" s="5" t="str">
        <f>IF(NOT(ISBLANK(A1581)),VLOOKUP(A1581,'BBT3'!A:F,4,1),"")</f>
        <v/>
      </c>
      <c r="E1581" t="str">
        <f>IF(NOT(ISBLANK(A1581)),VLOOKUP(A1581,'BBT3'!A:F,5,0),"")</f>
        <v/>
      </c>
      <c r="F1581" t="str">
        <f>IF(NOT(ISBLANK(A1581)),VLOOKUP(A1581,'BBT3'!A:F,6,0),"")</f>
        <v/>
      </c>
      <c r="G1581" t="str">
        <f t="shared" si="218"/>
        <v/>
      </c>
      <c r="H1581" t="str">
        <f>IF(NOT(ISBLANK(A1581)),VLOOKUP(A1581,'Close - PriceSaver'!A:J,5,0),"")</f>
        <v/>
      </c>
      <c r="I1581" s="4" t="str" cm="1">
        <f t="array" ref="I1581">IF(NOT(ISBLANK(A1581)),((_xlfn.XLOOKUP(1,(_bbt3[[#All],[ID]]=A1581)*(_bbt3[[#All],[METRIC_NAME]]="YLD_YTM_ASK"),_bbt3[[#All],[METRIC_VALUE]])*0.5)+(_xlfn.XLOOKUP(1,(_bbt3[[#All],[ID]]=A1581)*(_bbt3[[#All],[METRIC_NAME]]="YLD_YTM_BID"),_bbt3[[#All],[METRIC_VALUE]])*0.5))/100,"")</f>
        <v/>
      </c>
      <c r="J1581">
        <f>IF(ISNA(VLOOKUP(A1581,'CloseDL - PriceSaverBBT3'!A:E,5,0)),0,VLOOKUP(A1581,'CloseDL - PriceSaverBBT3'!A:E,5,0))</f>
        <v>0</v>
      </c>
      <c r="K1581" s="7" t="str">
        <f t="shared" si="219"/>
        <v/>
      </c>
      <c r="L1581" s="20">
        <f>IF(Close[[#This Row],[CreatedBy]]="MARINER\SilverAdm",1,0)</f>
        <v>1</v>
      </c>
      <c r="M1581" t="str">
        <f>IF(NOT(ISBLANK(A1581)),VLOOKUP(A1581,'Close - PriceSaver'!A:J,6,0),"")</f>
        <v/>
      </c>
    </row>
    <row r="1582" spans="2:13" x14ac:dyDescent="0.35">
      <c r="B1582" t="str">
        <f>IF(NOT(ISBLANK(A1582)),VLOOKUP(A1582,'BBT3'!A:F,2,0),"")</f>
        <v/>
      </c>
      <c r="C1582" t="str">
        <f>IF(NOT(ISBLANK(A1582)),VLOOKUP(A1582,'BBT3'!A:F,3,0),"")</f>
        <v/>
      </c>
      <c r="D1582" s="5" t="str">
        <f>IF(NOT(ISBLANK(A1582)),VLOOKUP(A1582,'BBT3'!A:F,4,1),"")</f>
        <v/>
      </c>
      <c r="E1582" t="str">
        <f>IF(NOT(ISBLANK(A1582)),VLOOKUP(A1582,'BBT3'!A:F,5,0),"")</f>
        <v/>
      </c>
      <c r="F1582" t="str">
        <f>IF(NOT(ISBLANK(A1582)),VLOOKUP(A1582,'BBT3'!A:F,6,0),"")</f>
        <v/>
      </c>
      <c r="G1582" t="str">
        <f t="shared" si="218"/>
        <v/>
      </c>
      <c r="H1582" t="str">
        <f>IF(NOT(ISBLANK(A1582)),VLOOKUP(A1582,'Close - PriceSaver'!A:J,5,0),"")</f>
        <v/>
      </c>
      <c r="I1582" s="4" t="str" cm="1">
        <f t="array" ref="I1582">IF(NOT(ISBLANK(A1582)),((_xlfn.XLOOKUP(1,(_bbt3[[#All],[ID]]=A1582)*(_bbt3[[#All],[METRIC_NAME]]="YLD_YTM_ASK"),_bbt3[[#All],[METRIC_VALUE]])*0.5)+(_xlfn.XLOOKUP(1,(_bbt3[[#All],[ID]]=A1582)*(_bbt3[[#All],[METRIC_NAME]]="YLD_YTM_BID"),_bbt3[[#All],[METRIC_VALUE]])*0.5))/100,"")</f>
        <v/>
      </c>
      <c r="J1582">
        <f>IF(ISNA(VLOOKUP(A1582,'CloseDL - PriceSaverBBT3'!A:E,5,0)),0,VLOOKUP(A1582,'CloseDL - PriceSaverBBT3'!A:E,5,0))</f>
        <v>0</v>
      </c>
      <c r="K1582" s="7" t="str">
        <f t="shared" si="219"/>
        <v/>
      </c>
      <c r="L1582" s="20">
        <f>IF(Close[[#This Row],[CreatedBy]]="MARINER\SilverAdm",1,0)</f>
        <v>1</v>
      </c>
      <c r="M1582" t="str">
        <f>IF(NOT(ISBLANK(A1582)),VLOOKUP(A1582,'Close - PriceSaver'!A:J,6,0),"")</f>
        <v/>
      </c>
    </row>
    <row r="1583" spans="2:13" x14ac:dyDescent="0.35">
      <c r="B1583" t="str">
        <f>IF(NOT(ISBLANK(A1583)),VLOOKUP(A1583,'BBT3'!A:F,2,0),"")</f>
        <v/>
      </c>
      <c r="C1583" t="str">
        <f>IF(NOT(ISBLANK(A1583)),VLOOKUP(A1583,'BBT3'!A:F,3,0),"")</f>
        <v/>
      </c>
      <c r="D1583" s="5" t="str">
        <f>IF(NOT(ISBLANK(A1583)),VLOOKUP(A1583,'BBT3'!A:F,4,1),"")</f>
        <v/>
      </c>
      <c r="E1583" t="str">
        <f>IF(NOT(ISBLANK(A1583)),VLOOKUP(A1583,'BBT3'!A:F,5,0),"")</f>
        <v/>
      </c>
      <c r="F1583" t="str">
        <f>IF(NOT(ISBLANK(A1583)),VLOOKUP(A1583,'BBT3'!A:F,6,0),"")</f>
        <v/>
      </c>
      <c r="G1583" t="str">
        <f t="shared" si="218"/>
        <v/>
      </c>
      <c r="H1583" t="str">
        <f>IF(NOT(ISBLANK(A1583)),VLOOKUP(A1583,'Close - PriceSaver'!A:J,5,0),"")</f>
        <v/>
      </c>
      <c r="I1583" s="4" t="str" cm="1">
        <f t="array" ref="I1583">IF(NOT(ISBLANK(A1583)),((_xlfn.XLOOKUP(1,(_bbt3[[#All],[ID]]=A1583)*(_bbt3[[#All],[METRIC_NAME]]="YLD_YTM_ASK"),_bbt3[[#All],[METRIC_VALUE]])*0.5)+(_xlfn.XLOOKUP(1,(_bbt3[[#All],[ID]]=A1583)*(_bbt3[[#All],[METRIC_NAME]]="YLD_YTM_BID"),_bbt3[[#All],[METRIC_VALUE]])*0.5))/100,"")</f>
        <v/>
      </c>
      <c r="J1583">
        <f>IF(ISNA(VLOOKUP(A1583,'CloseDL - PriceSaverBBT3'!A:E,5,0)),0,VLOOKUP(A1583,'CloseDL - PriceSaverBBT3'!A:E,5,0))</f>
        <v>0</v>
      </c>
      <c r="K1583" s="7" t="str">
        <f t="shared" si="219"/>
        <v/>
      </c>
      <c r="L1583" s="20">
        <f>IF(Close[[#This Row],[CreatedBy]]="MARINER\SilverAdm",1,0)</f>
        <v>1</v>
      </c>
      <c r="M1583" t="str">
        <f>IF(NOT(ISBLANK(A1583)),VLOOKUP(A1583,'Close - PriceSaver'!A:J,6,0),"")</f>
        <v/>
      </c>
    </row>
    <row r="1584" spans="2:13" x14ac:dyDescent="0.35">
      <c r="B1584" t="str">
        <f>IF(NOT(ISBLANK(A1584)),VLOOKUP(A1584,'BBT3'!A:F,2,0),"")</f>
        <v/>
      </c>
      <c r="C1584" t="str">
        <f>IF(NOT(ISBLANK(A1584)),VLOOKUP(A1584,'BBT3'!A:F,3,0),"")</f>
        <v/>
      </c>
      <c r="D1584" s="5" t="str">
        <f>IF(NOT(ISBLANK(A1584)),VLOOKUP(A1584,'BBT3'!A:F,4,1),"")</f>
        <v/>
      </c>
      <c r="E1584" t="str">
        <f>IF(NOT(ISBLANK(A1584)),VLOOKUP(A1584,'BBT3'!A:F,5,0),"")</f>
        <v/>
      </c>
      <c r="F1584" t="str">
        <f>IF(NOT(ISBLANK(A1584)),VLOOKUP(A1584,'BBT3'!A:F,6,0),"")</f>
        <v/>
      </c>
      <c r="G1584" t="str">
        <f t="shared" si="218"/>
        <v/>
      </c>
      <c r="H1584" t="str">
        <f>IF(NOT(ISBLANK(A1584)),VLOOKUP(A1584,'Close - PriceSaver'!A:J,5,0),"")</f>
        <v/>
      </c>
      <c r="I1584" s="4" t="str" cm="1">
        <f t="array" ref="I1584">IF(NOT(ISBLANK(A1584)),((_xlfn.XLOOKUP(1,(_bbt3[[#All],[ID]]=A1584)*(_bbt3[[#All],[METRIC_NAME]]="YLD_YTM_ASK"),_bbt3[[#All],[METRIC_VALUE]])*0.5)+(_xlfn.XLOOKUP(1,(_bbt3[[#All],[ID]]=A1584)*(_bbt3[[#All],[METRIC_NAME]]="YLD_YTM_BID"),_bbt3[[#All],[METRIC_VALUE]])*0.5))/100,"")</f>
        <v/>
      </c>
      <c r="J1584">
        <f>IF(ISNA(VLOOKUP(A1584,'CloseDL - PriceSaverBBT3'!A:E,5,0)),0,VLOOKUP(A1584,'CloseDL - PriceSaverBBT3'!A:E,5,0))</f>
        <v>0</v>
      </c>
      <c r="K1584" s="7" t="str">
        <f t="shared" si="219"/>
        <v/>
      </c>
      <c r="L1584" s="20">
        <f>IF(Close[[#This Row],[CreatedBy]]="MARINER\SilverAdm",1,0)</f>
        <v>1</v>
      </c>
      <c r="M1584" t="str">
        <f>IF(NOT(ISBLANK(A1584)),VLOOKUP(A1584,'Close - PriceSaver'!A:J,6,0),"")</f>
        <v/>
      </c>
    </row>
    <row r="1585" spans="2:13" x14ac:dyDescent="0.35">
      <c r="B1585" t="str">
        <f>IF(NOT(ISBLANK(A1585)),VLOOKUP(A1585,'BBT3'!A:F,2,0),"")</f>
        <v/>
      </c>
      <c r="C1585" t="str">
        <f>IF(NOT(ISBLANK(A1585)),VLOOKUP(A1585,'BBT3'!A:F,3,0),"")</f>
        <v/>
      </c>
      <c r="D1585" s="5" t="str">
        <f>IF(NOT(ISBLANK(A1585)),VLOOKUP(A1585,'BBT3'!A:F,4,1),"")</f>
        <v/>
      </c>
      <c r="E1585" t="str">
        <f>IF(NOT(ISBLANK(A1585)),VLOOKUP(A1585,'BBT3'!A:F,5,0),"")</f>
        <v/>
      </c>
      <c r="F1585" t="str">
        <f>IF(NOT(ISBLANK(A1585)),VLOOKUP(A1585,'BBT3'!A:F,6,0),"")</f>
        <v/>
      </c>
      <c r="G1585" t="str">
        <f t="shared" si="218"/>
        <v/>
      </c>
      <c r="H1585" t="str">
        <f>IF(NOT(ISBLANK(A1585)),VLOOKUP(A1585,'Close - PriceSaver'!A:J,5,0),"")</f>
        <v/>
      </c>
      <c r="I1585" s="4" t="str" cm="1">
        <f t="array" ref="I1585">IF(NOT(ISBLANK(A1585)),((_xlfn.XLOOKUP(1,(_bbt3[[#All],[ID]]=A1585)*(_bbt3[[#All],[METRIC_NAME]]="YLD_YTM_ASK"),_bbt3[[#All],[METRIC_VALUE]])*0.5)+(_xlfn.XLOOKUP(1,(_bbt3[[#All],[ID]]=A1585)*(_bbt3[[#All],[METRIC_NAME]]="YLD_YTM_BID"),_bbt3[[#All],[METRIC_VALUE]])*0.5))/100,"")</f>
        <v/>
      </c>
      <c r="J1585">
        <f>IF(ISNA(VLOOKUP(A1585,'CloseDL - PriceSaverBBT3'!A:E,5,0)),0,VLOOKUP(A1585,'CloseDL - PriceSaverBBT3'!A:E,5,0))</f>
        <v>0</v>
      </c>
      <c r="K1585" s="7" t="str">
        <f t="shared" si="219"/>
        <v/>
      </c>
      <c r="L1585" s="20">
        <f>IF(Close[[#This Row],[CreatedBy]]="MARINER\SilverAdm",1,0)</f>
        <v>1</v>
      </c>
      <c r="M1585" t="str">
        <f>IF(NOT(ISBLANK(A1585)),VLOOKUP(A1585,'Close - PriceSaver'!A:J,6,0),"")</f>
        <v/>
      </c>
    </row>
    <row r="1586" spans="2:13" x14ac:dyDescent="0.35">
      <c r="B1586" t="str">
        <f>IF(NOT(ISBLANK(A1586)),VLOOKUP(A1586,'BBT3'!A:F,2,0),"")</f>
        <v/>
      </c>
      <c r="C1586" t="str">
        <f>IF(NOT(ISBLANK(A1586)),VLOOKUP(A1586,'BBT3'!A:F,3,0),"")</f>
        <v/>
      </c>
      <c r="D1586" s="5" t="str">
        <f>IF(NOT(ISBLANK(A1586)),VLOOKUP(A1586,'BBT3'!A:F,4,1),"")</f>
        <v/>
      </c>
      <c r="E1586" t="str">
        <f>IF(NOT(ISBLANK(A1586)),VLOOKUP(A1586,'BBT3'!A:F,5,0),"")</f>
        <v/>
      </c>
      <c r="F1586" t="str">
        <f>IF(NOT(ISBLANK(A1586)),VLOOKUP(A1586,'BBT3'!A:F,6,0),"")</f>
        <v/>
      </c>
      <c r="G1586" t="str">
        <f t="shared" si="218"/>
        <v/>
      </c>
      <c r="H1586" t="str">
        <f>IF(NOT(ISBLANK(A1586)),VLOOKUP(A1586,'Close - PriceSaver'!A:J,5,0),"")</f>
        <v/>
      </c>
      <c r="I1586" s="4" t="str" cm="1">
        <f t="array" ref="I1586">IF(NOT(ISBLANK(A1586)),((_xlfn.XLOOKUP(1,(_bbt3[[#All],[ID]]=A1586)*(_bbt3[[#All],[METRIC_NAME]]="YLD_YTM_ASK"),_bbt3[[#All],[METRIC_VALUE]])*0.5)+(_xlfn.XLOOKUP(1,(_bbt3[[#All],[ID]]=A1586)*(_bbt3[[#All],[METRIC_NAME]]="YLD_YTM_BID"),_bbt3[[#All],[METRIC_VALUE]])*0.5))/100,"")</f>
        <v/>
      </c>
      <c r="J1586">
        <f>IF(ISNA(VLOOKUP(A1586,'CloseDL - PriceSaverBBT3'!A:E,5,0)),0,VLOOKUP(A1586,'CloseDL - PriceSaverBBT3'!A:E,5,0))</f>
        <v>0</v>
      </c>
      <c r="K1586" s="7" t="str">
        <f t="shared" si="219"/>
        <v/>
      </c>
      <c r="L1586" s="20">
        <f>IF(Close[[#This Row],[CreatedBy]]="MARINER\SilverAdm",1,0)</f>
        <v>1</v>
      </c>
      <c r="M1586" t="str">
        <f>IF(NOT(ISBLANK(A1586)),VLOOKUP(A1586,'Close - PriceSaver'!A:J,6,0),"")</f>
        <v/>
      </c>
    </row>
    <row r="1587" spans="2:13" x14ac:dyDescent="0.35">
      <c r="B1587" t="str">
        <f>IF(NOT(ISBLANK(A1587)),VLOOKUP(A1587,'BBT3'!A:F,2,0),"")</f>
        <v/>
      </c>
      <c r="C1587" t="str">
        <f>IF(NOT(ISBLANK(A1587)),VLOOKUP(A1587,'BBT3'!A:F,3,0),"")</f>
        <v/>
      </c>
      <c r="D1587" s="5" t="str">
        <f>IF(NOT(ISBLANK(A1587)),VLOOKUP(A1587,'BBT3'!A:F,4,1),"")</f>
        <v/>
      </c>
      <c r="E1587" t="str">
        <f>IF(NOT(ISBLANK(A1587)),VLOOKUP(A1587,'BBT3'!A:F,5,0),"")</f>
        <v/>
      </c>
      <c r="F1587" t="str">
        <f>IF(NOT(ISBLANK(A1587)),VLOOKUP(A1587,'BBT3'!A:F,6,0),"")</f>
        <v/>
      </c>
      <c r="G1587" t="str">
        <f t="shared" si="218"/>
        <v/>
      </c>
      <c r="H1587" t="str">
        <f>IF(NOT(ISBLANK(A1587)),VLOOKUP(A1587,'Close - PriceSaver'!A:J,5,0),"")</f>
        <v/>
      </c>
      <c r="I1587" s="4" t="str" cm="1">
        <f t="array" ref="I1587">IF(NOT(ISBLANK(A1587)),((_xlfn.XLOOKUP(1,(_bbt3[[#All],[ID]]=A1587)*(_bbt3[[#All],[METRIC_NAME]]="YLD_YTM_ASK"),_bbt3[[#All],[METRIC_VALUE]])*0.5)+(_xlfn.XLOOKUP(1,(_bbt3[[#All],[ID]]=A1587)*(_bbt3[[#All],[METRIC_NAME]]="YLD_YTM_BID"),_bbt3[[#All],[METRIC_VALUE]])*0.5))/100,"")</f>
        <v/>
      </c>
      <c r="J1587">
        <f>IF(ISNA(VLOOKUP(A1587,'CloseDL - PriceSaverBBT3'!A:E,5,0)),0,VLOOKUP(A1587,'CloseDL - PriceSaverBBT3'!A:E,5,0))</f>
        <v>0</v>
      </c>
      <c r="K1587" s="7" t="str">
        <f t="shared" si="219"/>
        <v/>
      </c>
      <c r="L1587" s="20">
        <f>IF(Close[[#This Row],[CreatedBy]]="MARINER\SilverAdm",1,0)</f>
        <v>1</v>
      </c>
      <c r="M1587" t="str">
        <f>IF(NOT(ISBLANK(A1587)),VLOOKUP(A1587,'Close - PriceSaver'!A:J,6,0),"")</f>
        <v/>
      </c>
    </row>
    <row r="1588" spans="2:13" x14ac:dyDescent="0.35">
      <c r="B1588" t="str">
        <f>IF(NOT(ISBLANK(A1588)),VLOOKUP(A1588,'BBT3'!A:F,2,0),"")</f>
        <v/>
      </c>
      <c r="C1588" t="str">
        <f>IF(NOT(ISBLANK(A1588)),VLOOKUP(A1588,'BBT3'!A:F,3,0),"")</f>
        <v/>
      </c>
      <c r="D1588" s="5" t="str">
        <f>IF(NOT(ISBLANK(A1588)),VLOOKUP(A1588,'BBT3'!A:F,4,1),"")</f>
        <v/>
      </c>
      <c r="E1588" t="str">
        <f>IF(NOT(ISBLANK(A1588)),VLOOKUP(A1588,'BBT3'!A:F,5,0),"")</f>
        <v/>
      </c>
      <c r="F1588" t="str">
        <f>IF(NOT(ISBLANK(A1588)),VLOOKUP(A1588,'BBT3'!A:F,6,0),"")</f>
        <v/>
      </c>
      <c r="G1588" t="str">
        <f t="shared" si="218"/>
        <v/>
      </c>
      <c r="H1588" t="str">
        <f>IF(NOT(ISBLANK(A1588)),VLOOKUP(A1588,'Close - PriceSaver'!A:J,5,0),"")</f>
        <v/>
      </c>
      <c r="I1588" s="4" t="str" cm="1">
        <f t="array" ref="I1588">IF(NOT(ISBLANK(A1588)),((_xlfn.XLOOKUP(1,(_bbt3[[#All],[ID]]=A1588)*(_bbt3[[#All],[METRIC_NAME]]="YLD_YTM_ASK"),_bbt3[[#All],[METRIC_VALUE]])*0.5)+(_xlfn.XLOOKUP(1,(_bbt3[[#All],[ID]]=A1588)*(_bbt3[[#All],[METRIC_NAME]]="YLD_YTM_BID"),_bbt3[[#All],[METRIC_VALUE]])*0.5))/100,"")</f>
        <v/>
      </c>
      <c r="J1588">
        <f>IF(ISNA(VLOOKUP(A1588,'CloseDL - PriceSaverBBT3'!A:E,5,0)),0,VLOOKUP(A1588,'CloseDL - PriceSaverBBT3'!A:E,5,0))</f>
        <v>0</v>
      </c>
      <c r="K1588" s="7" t="str">
        <f t="shared" si="219"/>
        <v/>
      </c>
      <c r="L1588" s="20">
        <f>IF(Close[[#This Row],[CreatedBy]]="MARINER\SilverAdm",1,0)</f>
        <v>1</v>
      </c>
      <c r="M1588" t="str">
        <f>IF(NOT(ISBLANK(A1588)),VLOOKUP(A1588,'Close - PriceSaver'!A:J,6,0),"")</f>
        <v/>
      </c>
    </row>
    <row r="1589" spans="2:13" x14ac:dyDescent="0.35">
      <c r="B1589" t="str">
        <f>IF(NOT(ISBLANK(A1589)),VLOOKUP(A1589,'BBT3'!A:F,2,0),"")</f>
        <v/>
      </c>
      <c r="C1589" t="str">
        <f>IF(NOT(ISBLANK(A1589)),VLOOKUP(A1589,'BBT3'!A:F,3,0),"")</f>
        <v/>
      </c>
      <c r="D1589" s="5" t="str">
        <f>IF(NOT(ISBLANK(A1589)),VLOOKUP(A1589,'BBT3'!A:F,4,1),"")</f>
        <v/>
      </c>
      <c r="E1589" t="str">
        <f>IF(NOT(ISBLANK(A1589)),VLOOKUP(A1589,'BBT3'!A:F,5,0),"")</f>
        <v/>
      </c>
      <c r="F1589" t="str">
        <f>IF(NOT(ISBLANK(A1589)),VLOOKUP(A1589,'BBT3'!A:F,6,0),"")</f>
        <v/>
      </c>
      <c r="G1589" t="str">
        <f t="shared" si="218"/>
        <v/>
      </c>
      <c r="H1589" t="str">
        <f>IF(NOT(ISBLANK(A1589)),VLOOKUP(A1589,'Close - PriceSaver'!A:J,5,0),"")</f>
        <v/>
      </c>
      <c r="I1589" s="4" t="str" cm="1">
        <f t="array" ref="I1589">IF(NOT(ISBLANK(A1589)),((_xlfn.XLOOKUP(1,(_bbt3[[#All],[ID]]=A1589)*(_bbt3[[#All],[METRIC_NAME]]="YLD_YTM_ASK"),_bbt3[[#All],[METRIC_VALUE]])*0.5)+(_xlfn.XLOOKUP(1,(_bbt3[[#All],[ID]]=A1589)*(_bbt3[[#All],[METRIC_NAME]]="YLD_YTM_BID"),_bbt3[[#All],[METRIC_VALUE]])*0.5))/100,"")</f>
        <v/>
      </c>
      <c r="J1589">
        <f>IF(ISNA(VLOOKUP(A1589,'CloseDL - PriceSaverBBT3'!A:E,5,0)),0,VLOOKUP(A1589,'CloseDL - PriceSaverBBT3'!A:E,5,0))</f>
        <v>0</v>
      </c>
      <c r="K1589" s="7" t="str">
        <f t="shared" si="219"/>
        <v/>
      </c>
      <c r="L1589" s="20">
        <f>IF(Close[[#This Row],[CreatedBy]]="MARINER\SilverAdm",1,0)</f>
        <v>1</v>
      </c>
      <c r="M1589" t="str">
        <f>IF(NOT(ISBLANK(A1589)),VLOOKUP(A1589,'Close - PriceSaver'!A:J,6,0),"")</f>
        <v/>
      </c>
    </row>
    <row r="1590" spans="2:13" x14ac:dyDescent="0.35">
      <c r="B1590" t="str">
        <f>IF(NOT(ISBLANK(A1590)),VLOOKUP(A1590,'BBT3'!A:F,2,0),"")</f>
        <v/>
      </c>
      <c r="C1590" t="str">
        <f>IF(NOT(ISBLANK(A1590)),VLOOKUP(A1590,'BBT3'!A:F,3,0),"")</f>
        <v/>
      </c>
      <c r="D1590" s="5" t="str">
        <f>IF(NOT(ISBLANK(A1590)),VLOOKUP(A1590,'BBT3'!A:F,4,1),"")</f>
        <v/>
      </c>
      <c r="E1590" t="str">
        <f>IF(NOT(ISBLANK(A1590)),VLOOKUP(A1590,'BBT3'!A:F,5,0),"")</f>
        <v/>
      </c>
      <c r="F1590" t="str">
        <f>IF(NOT(ISBLANK(A1590)),VLOOKUP(A1590,'BBT3'!A:F,6,0),"")</f>
        <v/>
      </c>
      <c r="G1590" t="str">
        <f t="shared" si="218"/>
        <v/>
      </c>
      <c r="H1590" t="str">
        <f>IF(NOT(ISBLANK(A1590)),VLOOKUP(A1590,'Close - PriceSaver'!A:J,5,0),"")</f>
        <v/>
      </c>
      <c r="I1590" s="4" t="str" cm="1">
        <f t="array" ref="I1590">IF(NOT(ISBLANK(A1590)),((_xlfn.XLOOKUP(1,(_bbt3[[#All],[ID]]=A1590)*(_bbt3[[#All],[METRIC_NAME]]="YLD_YTM_ASK"),_bbt3[[#All],[METRIC_VALUE]])*0.5)+(_xlfn.XLOOKUP(1,(_bbt3[[#All],[ID]]=A1590)*(_bbt3[[#All],[METRIC_NAME]]="YLD_YTM_BID"),_bbt3[[#All],[METRIC_VALUE]])*0.5))/100,"")</f>
        <v/>
      </c>
      <c r="J1590">
        <f>IF(ISNA(VLOOKUP(A1590,'CloseDL - PriceSaverBBT3'!A:E,5,0)),0,VLOOKUP(A1590,'CloseDL - PriceSaverBBT3'!A:E,5,0))</f>
        <v>0</v>
      </c>
      <c r="K1590" s="7" t="str">
        <f t="shared" si="219"/>
        <v/>
      </c>
      <c r="L1590" s="20">
        <f>IF(Close[[#This Row],[CreatedBy]]="MARINER\SilverAdm",1,0)</f>
        <v>1</v>
      </c>
      <c r="M1590" t="str">
        <f>IF(NOT(ISBLANK(A1590)),VLOOKUP(A1590,'Close - PriceSaver'!A:J,6,0),"")</f>
        <v/>
      </c>
    </row>
    <row r="1591" spans="2:13" x14ac:dyDescent="0.35">
      <c r="B1591" t="str">
        <f>IF(NOT(ISBLANK(A1591)),VLOOKUP(A1591,'BBT3'!A:F,2,0),"")</f>
        <v/>
      </c>
      <c r="C1591" t="str">
        <f>IF(NOT(ISBLANK(A1591)),VLOOKUP(A1591,'BBT3'!A:F,3,0),"")</f>
        <v/>
      </c>
      <c r="D1591" s="5" t="str">
        <f>IF(NOT(ISBLANK(A1591)),VLOOKUP(A1591,'BBT3'!A:F,4,1),"")</f>
        <v/>
      </c>
      <c r="E1591" t="str">
        <f>IF(NOT(ISBLANK(A1591)),VLOOKUP(A1591,'BBT3'!A:F,5,0),"")</f>
        <v/>
      </c>
      <c r="F1591" t="str">
        <f>IF(NOT(ISBLANK(A1591)),VLOOKUP(A1591,'BBT3'!A:F,6,0),"")</f>
        <v/>
      </c>
      <c r="G1591" t="str">
        <f t="shared" si="218"/>
        <v/>
      </c>
      <c r="H1591" t="str">
        <f>IF(NOT(ISBLANK(A1591)),VLOOKUP(A1591,'Close - PriceSaver'!A:J,5,0),"")</f>
        <v/>
      </c>
      <c r="I1591" s="4" t="str" cm="1">
        <f t="array" ref="I1591">IF(NOT(ISBLANK(A1591)),((_xlfn.XLOOKUP(1,(_bbt3[[#All],[ID]]=A1591)*(_bbt3[[#All],[METRIC_NAME]]="YLD_YTM_ASK"),_bbt3[[#All],[METRIC_VALUE]])*0.5)+(_xlfn.XLOOKUP(1,(_bbt3[[#All],[ID]]=A1591)*(_bbt3[[#All],[METRIC_NAME]]="YLD_YTM_BID"),_bbt3[[#All],[METRIC_VALUE]])*0.5))/100,"")</f>
        <v/>
      </c>
      <c r="J1591">
        <f>IF(ISNA(VLOOKUP(A1591,'CloseDL - PriceSaverBBT3'!A:E,5,0)),0,VLOOKUP(A1591,'CloseDL - PriceSaverBBT3'!A:E,5,0))</f>
        <v>0</v>
      </c>
      <c r="K1591" s="7" t="str">
        <f t="shared" si="219"/>
        <v/>
      </c>
      <c r="L1591" s="20">
        <f>IF(Close[[#This Row],[CreatedBy]]="MARINER\SilverAdm",1,0)</f>
        <v>1</v>
      </c>
      <c r="M1591" t="str">
        <f>IF(NOT(ISBLANK(A1591)),VLOOKUP(A1591,'Close - PriceSaver'!A:J,6,0),"")</f>
        <v/>
      </c>
    </row>
    <row r="1592" spans="2:13" x14ac:dyDescent="0.35">
      <c r="B1592" t="str">
        <f>IF(NOT(ISBLANK(A1592)),VLOOKUP(A1592,'BBT3'!A:F,2,0),"")</f>
        <v/>
      </c>
      <c r="C1592" t="str">
        <f>IF(NOT(ISBLANK(A1592)),VLOOKUP(A1592,'BBT3'!A:F,3,0),"")</f>
        <v/>
      </c>
      <c r="D1592" s="5" t="str">
        <f>IF(NOT(ISBLANK(A1592)),VLOOKUP(A1592,'BBT3'!A:F,4,1),"")</f>
        <v/>
      </c>
      <c r="E1592" t="str">
        <f>IF(NOT(ISBLANK(A1592)),VLOOKUP(A1592,'BBT3'!A:F,5,0),"")</f>
        <v/>
      </c>
      <c r="F1592" t="str">
        <f>IF(NOT(ISBLANK(A1592)),VLOOKUP(A1592,'BBT3'!A:F,6,0),"")</f>
        <v/>
      </c>
      <c r="G1592" t="str">
        <f t="shared" si="218"/>
        <v/>
      </c>
      <c r="H1592" t="str">
        <f>IF(NOT(ISBLANK(A1592)),VLOOKUP(A1592,'Close - PriceSaver'!A:J,5,0),"")</f>
        <v/>
      </c>
      <c r="I1592" s="4" t="str" cm="1">
        <f t="array" ref="I1592">IF(NOT(ISBLANK(A1592)),((_xlfn.XLOOKUP(1,(_bbt3[[#All],[ID]]=A1592)*(_bbt3[[#All],[METRIC_NAME]]="YLD_YTM_ASK"),_bbt3[[#All],[METRIC_VALUE]])*0.5)+(_xlfn.XLOOKUP(1,(_bbt3[[#All],[ID]]=A1592)*(_bbt3[[#All],[METRIC_NAME]]="YLD_YTM_BID"),_bbt3[[#All],[METRIC_VALUE]])*0.5))/100,"")</f>
        <v/>
      </c>
      <c r="J1592">
        <f>IF(ISNA(VLOOKUP(A1592,'CloseDL - PriceSaverBBT3'!A:E,5,0)),0,VLOOKUP(A1592,'CloseDL - PriceSaverBBT3'!A:E,5,0))</f>
        <v>0</v>
      </c>
      <c r="K1592" s="7" t="str">
        <f t="shared" si="219"/>
        <v/>
      </c>
      <c r="L1592" s="20">
        <f>IF(Close[[#This Row],[CreatedBy]]="MARINER\SilverAdm",1,0)</f>
        <v>1</v>
      </c>
      <c r="M1592" t="str">
        <f>IF(NOT(ISBLANK(A1592)),VLOOKUP(A1592,'Close - PriceSaver'!A:J,6,0),"")</f>
        <v/>
      </c>
    </row>
    <row r="1593" spans="2:13" x14ac:dyDescent="0.35">
      <c r="B1593" t="str">
        <f>IF(NOT(ISBLANK(A1593)),VLOOKUP(A1593,'BBT3'!A:F,2,0),"")</f>
        <v/>
      </c>
      <c r="C1593" t="str">
        <f>IF(NOT(ISBLANK(A1593)),VLOOKUP(A1593,'BBT3'!A:F,3,0),"")</f>
        <v/>
      </c>
      <c r="D1593" s="5" t="str">
        <f>IF(NOT(ISBLANK(A1593)),VLOOKUP(A1593,'BBT3'!A:F,4,1),"")</f>
        <v/>
      </c>
      <c r="E1593" t="str">
        <f>IF(NOT(ISBLANK(A1593)),VLOOKUP(A1593,'BBT3'!A:F,5,0),"")</f>
        <v/>
      </c>
      <c r="F1593" t="str">
        <f>IF(NOT(ISBLANK(A1593)),VLOOKUP(A1593,'BBT3'!A:F,6,0),"")</f>
        <v/>
      </c>
      <c r="G1593" t="str">
        <f t="shared" si="218"/>
        <v/>
      </c>
      <c r="H1593" t="str">
        <f>IF(NOT(ISBLANK(A1593)),VLOOKUP(A1593,'Close - PriceSaver'!A:J,5,0),"")</f>
        <v/>
      </c>
      <c r="I1593" s="4" t="str" cm="1">
        <f t="array" ref="I1593">IF(NOT(ISBLANK(A1593)),((_xlfn.XLOOKUP(1,(_bbt3[[#All],[ID]]=A1593)*(_bbt3[[#All],[METRIC_NAME]]="YLD_YTM_ASK"),_bbt3[[#All],[METRIC_VALUE]])*0.5)+(_xlfn.XLOOKUP(1,(_bbt3[[#All],[ID]]=A1593)*(_bbt3[[#All],[METRIC_NAME]]="YLD_YTM_BID"),_bbt3[[#All],[METRIC_VALUE]])*0.5))/100,"")</f>
        <v/>
      </c>
      <c r="J1593">
        <f>IF(ISNA(VLOOKUP(A1593,'CloseDL - PriceSaverBBT3'!A:E,5,0)),0,VLOOKUP(A1593,'CloseDL - PriceSaverBBT3'!A:E,5,0))</f>
        <v>0</v>
      </c>
      <c r="K1593" s="7" t="str">
        <f t="shared" si="219"/>
        <v/>
      </c>
      <c r="L1593" s="20">
        <f>IF(Close[[#This Row],[CreatedBy]]="MARINER\SilverAdm",1,0)</f>
        <v>1</v>
      </c>
      <c r="M1593" t="str">
        <f>IF(NOT(ISBLANK(A1593)),VLOOKUP(A1593,'Close - PriceSaver'!A:J,6,0),"")</f>
        <v/>
      </c>
    </row>
    <row r="1594" spans="2:13" x14ac:dyDescent="0.35">
      <c r="B1594" t="str">
        <f>IF(NOT(ISBLANK(A1594)),VLOOKUP(A1594,'BBT3'!A:F,2,0),"")</f>
        <v/>
      </c>
      <c r="C1594" t="str">
        <f>IF(NOT(ISBLANK(A1594)),VLOOKUP(A1594,'BBT3'!A:F,3,0),"")</f>
        <v/>
      </c>
      <c r="D1594" s="5" t="str">
        <f>IF(NOT(ISBLANK(A1594)),VLOOKUP(A1594,'BBT3'!A:F,4,1),"")</f>
        <v/>
      </c>
      <c r="E1594" t="str">
        <f>IF(NOT(ISBLANK(A1594)),VLOOKUP(A1594,'BBT3'!A:F,5,0),"")</f>
        <v/>
      </c>
      <c r="F1594" t="str">
        <f>IF(NOT(ISBLANK(A1594)),VLOOKUP(A1594,'BBT3'!A:F,6,0),"")</f>
        <v/>
      </c>
      <c r="G1594" t="str">
        <f t="shared" si="218"/>
        <v/>
      </c>
      <c r="H1594" t="str">
        <f>IF(NOT(ISBLANK(A1594)),VLOOKUP(A1594,'Close - PriceSaver'!A:J,5,0),"")</f>
        <v/>
      </c>
      <c r="I1594" s="4" t="str" cm="1">
        <f t="array" ref="I1594">IF(NOT(ISBLANK(A1594)),((_xlfn.XLOOKUP(1,(_bbt3[[#All],[ID]]=A1594)*(_bbt3[[#All],[METRIC_NAME]]="YLD_YTM_ASK"),_bbt3[[#All],[METRIC_VALUE]])*0.5)+(_xlfn.XLOOKUP(1,(_bbt3[[#All],[ID]]=A1594)*(_bbt3[[#All],[METRIC_NAME]]="YLD_YTM_BID"),_bbt3[[#All],[METRIC_VALUE]])*0.5))/100,"")</f>
        <v/>
      </c>
      <c r="J1594">
        <f>IF(ISNA(VLOOKUP(A1594,'CloseDL - PriceSaverBBT3'!A:E,5,0)),0,VLOOKUP(A1594,'CloseDL - PriceSaverBBT3'!A:E,5,0))</f>
        <v>0</v>
      </c>
      <c r="K1594" s="7" t="str">
        <f t="shared" si="219"/>
        <v/>
      </c>
      <c r="L1594" s="20">
        <f>IF(Close[[#This Row],[CreatedBy]]="MARINER\SilverAdm",1,0)</f>
        <v>1</v>
      </c>
      <c r="M1594" t="str">
        <f>IF(NOT(ISBLANK(A1594)),VLOOKUP(A1594,'Close - PriceSaver'!A:J,6,0),"")</f>
        <v/>
      </c>
    </row>
    <row r="1595" spans="2:13" x14ac:dyDescent="0.35">
      <c r="B1595" t="str">
        <f>IF(NOT(ISBLANK(A1595)),VLOOKUP(A1595,'BBT3'!A:F,2,0),"")</f>
        <v/>
      </c>
      <c r="C1595" t="str">
        <f>IF(NOT(ISBLANK(A1595)),VLOOKUP(A1595,'BBT3'!A:F,3,0),"")</f>
        <v/>
      </c>
      <c r="D1595" s="5" t="str">
        <f>IF(NOT(ISBLANK(A1595)),VLOOKUP(A1595,'BBT3'!A:F,4,1),"")</f>
        <v/>
      </c>
      <c r="E1595" t="str">
        <f>IF(NOT(ISBLANK(A1595)),VLOOKUP(A1595,'BBT3'!A:F,5,0),"")</f>
        <v/>
      </c>
      <c r="F1595" t="str">
        <f>IF(NOT(ISBLANK(A1595)),VLOOKUP(A1595,'BBT3'!A:F,6,0),"")</f>
        <v/>
      </c>
      <c r="G1595" t="str">
        <f t="shared" si="218"/>
        <v/>
      </c>
      <c r="H1595" t="str">
        <f>IF(NOT(ISBLANK(A1595)),VLOOKUP(A1595,'Close - PriceSaver'!A:J,5,0),"")</f>
        <v/>
      </c>
      <c r="I1595" s="4" t="str" cm="1">
        <f t="array" ref="I1595">IF(NOT(ISBLANK(A1595)),((_xlfn.XLOOKUP(1,(_bbt3[[#All],[ID]]=A1595)*(_bbt3[[#All],[METRIC_NAME]]="YLD_YTM_ASK"),_bbt3[[#All],[METRIC_VALUE]])*0.5)+(_xlfn.XLOOKUP(1,(_bbt3[[#All],[ID]]=A1595)*(_bbt3[[#All],[METRIC_NAME]]="YLD_YTM_BID"),_bbt3[[#All],[METRIC_VALUE]])*0.5))/100,"")</f>
        <v/>
      </c>
      <c r="J1595">
        <f>IF(ISNA(VLOOKUP(A1595,'CloseDL - PriceSaverBBT3'!A:E,5,0)),0,VLOOKUP(A1595,'CloseDL - PriceSaverBBT3'!A:E,5,0))</f>
        <v>0</v>
      </c>
      <c r="K1595" s="7" t="str">
        <f t="shared" si="219"/>
        <v/>
      </c>
      <c r="L1595" s="20">
        <f>IF(Close[[#This Row],[CreatedBy]]="MARINER\SilverAdm",1,0)</f>
        <v>1</v>
      </c>
      <c r="M1595" t="str">
        <f>IF(NOT(ISBLANK(A1595)),VLOOKUP(A1595,'Close - PriceSaver'!A:J,6,0),"")</f>
        <v/>
      </c>
    </row>
    <row r="1596" spans="2:13" x14ac:dyDescent="0.35">
      <c r="B1596" t="str">
        <f>IF(NOT(ISBLANK(A1596)),VLOOKUP(A1596,'BBT3'!A:F,2,0),"")</f>
        <v/>
      </c>
      <c r="C1596" t="str">
        <f>IF(NOT(ISBLANK(A1596)),VLOOKUP(A1596,'BBT3'!A:F,3,0),"")</f>
        <v/>
      </c>
      <c r="D1596" s="5" t="str">
        <f>IF(NOT(ISBLANK(A1596)),VLOOKUP(A1596,'BBT3'!A:F,4,1),"")</f>
        <v/>
      </c>
      <c r="E1596" t="str">
        <f>IF(NOT(ISBLANK(A1596)),VLOOKUP(A1596,'BBT3'!A:F,5,0),"")</f>
        <v/>
      </c>
      <c r="F1596" t="str">
        <f>IF(NOT(ISBLANK(A1596)),VLOOKUP(A1596,'BBT3'!A:F,6,0),"")</f>
        <v/>
      </c>
      <c r="G1596" t="str">
        <f t="shared" si="218"/>
        <v/>
      </c>
      <c r="H1596" t="str">
        <f>IF(NOT(ISBLANK(A1596)),VLOOKUP(A1596,'Close - PriceSaver'!A:J,5,0),"")</f>
        <v/>
      </c>
      <c r="I1596" s="4" t="str" cm="1">
        <f t="array" ref="I1596">IF(NOT(ISBLANK(A1596)),((_xlfn.XLOOKUP(1,(_bbt3[[#All],[ID]]=A1596)*(_bbt3[[#All],[METRIC_NAME]]="YLD_YTM_ASK"),_bbt3[[#All],[METRIC_VALUE]])*0.5)+(_xlfn.XLOOKUP(1,(_bbt3[[#All],[ID]]=A1596)*(_bbt3[[#All],[METRIC_NAME]]="YLD_YTM_BID"),_bbt3[[#All],[METRIC_VALUE]])*0.5))/100,"")</f>
        <v/>
      </c>
      <c r="J1596">
        <f>IF(ISNA(VLOOKUP(A1596,'CloseDL - PriceSaverBBT3'!A:E,5,0)),0,VLOOKUP(A1596,'CloseDL - PriceSaverBBT3'!A:E,5,0))</f>
        <v>0</v>
      </c>
      <c r="K1596" s="7" t="str">
        <f t="shared" si="219"/>
        <v/>
      </c>
      <c r="L1596" s="20">
        <f>IF(Close[[#This Row],[CreatedBy]]="MARINER\SilverAdm",1,0)</f>
        <v>1</v>
      </c>
      <c r="M1596" t="str">
        <f>IF(NOT(ISBLANK(A1596)),VLOOKUP(A1596,'Close - PriceSaver'!A:J,6,0),"")</f>
        <v/>
      </c>
    </row>
    <row r="1597" spans="2:13" x14ac:dyDescent="0.35">
      <c r="B1597" t="str">
        <f>IF(NOT(ISBLANK(A1597)),VLOOKUP(A1597,'BBT3'!A:F,2,0),"")</f>
        <v/>
      </c>
      <c r="C1597" t="str">
        <f>IF(NOT(ISBLANK(A1597)),VLOOKUP(A1597,'BBT3'!A:F,3,0),"")</f>
        <v/>
      </c>
      <c r="D1597" s="5" t="str">
        <f>IF(NOT(ISBLANK(A1597)),VLOOKUP(A1597,'BBT3'!A:F,4,1),"")</f>
        <v/>
      </c>
      <c r="E1597" t="str">
        <f>IF(NOT(ISBLANK(A1597)),VLOOKUP(A1597,'BBT3'!A:F,5,0),"")</f>
        <v/>
      </c>
      <c r="F1597" t="str">
        <f>IF(NOT(ISBLANK(A1597)),VLOOKUP(A1597,'BBT3'!A:F,6,0),"")</f>
        <v/>
      </c>
      <c r="G1597" t="str">
        <f t="shared" si="218"/>
        <v/>
      </c>
      <c r="H1597" t="str">
        <f>IF(NOT(ISBLANK(A1597)),VLOOKUP(A1597,'Close - PriceSaver'!A:J,5,0),"")</f>
        <v/>
      </c>
      <c r="I1597" s="4" t="str" cm="1">
        <f t="array" ref="I1597">IF(NOT(ISBLANK(A1597)),((_xlfn.XLOOKUP(1,(_bbt3[[#All],[ID]]=A1597)*(_bbt3[[#All],[METRIC_NAME]]="YLD_YTM_ASK"),_bbt3[[#All],[METRIC_VALUE]])*0.5)+(_xlfn.XLOOKUP(1,(_bbt3[[#All],[ID]]=A1597)*(_bbt3[[#All],[METRIC_NAME]]="YLD_YTM_BID"),_bbt3[[#All],[METRIC_VALUE]])*0.5))/100,"")</f>
        <v/>
      </c>
      <c r="J1597">
        <f>IF(ISNA(VLOOKUP(A1597,'CloseDL - PriceSaverBBT3'!A:E,5,0)),0,VLOOKUP(A1597,'CloseDL - PriceSaverBBT3'!A:E,5,0))</f>
        <v>0</v>
      </c>
      <c r="K1597" s="7" t="str">
        <f t="shared" si="219"/>
        <v/>
      </c>
      <c r="L1597" s="20">
        <f>IF(Close[[#This Row],[CreatedBy]]="MARINER\SilverAdm",1,0)</f>
        <v>1</v>
      </c>
      <c r="M1597" t="str">
        <f>IF(NOT(ISBLANK(A1597)),VLOOKUP(A1597,'Close - PriceSaver'!A:J,6,0),"")</f>
        <v/>
      </c>
    </row>
    <row r="1598" spans="2:13" x14ac:dyDescent="0.35">
      <c r="B1598" t="str">
        <f>IF(NOT(ISBLANK(A1598)),VLOOKUP(A1598,'BBT3'!A:F,2,0),"")</f>
        <v/>
      </c>
      <c r="C1598" t="str">
        <f>IF(NOT(ISBLANK(A1598)),VLOOKUP(A1598,'BBT3'!A:F,3,0),"")</f>
        <v/>
      </c>
      <c r="D1598" s="5" t="str">
        <f>IF(NOT(ISBLANK(A1598)),VLOOKUP(A1598,'BBT3'!A:F,4,1),"")</f>
        <v/>
      </c>
      <c r="E1598" t="str">
        <f>IF(NOT(ISBLANK(A1598)),VLOOKUP(A1598,'BBT3'!A:F,5,0),"")</f>
        <v/>
      </c>
      <c r="F1598" t="str">
        <f>IF(NOT(ISBLANK(A1598)),VLOOKUP(A1598,'BBT3'!A:F,6,0),"")</f>
        <v/>
      </c>
      <c r="G1598" t="str">
        <f t="shared" si="218"/>
        <v/>
      </c>
      <c r="H1598" t="str">
        <f>IF(NOT(ISBLANK(A1598)),VLOOKUP(A1598,'Close - PriceSaver'!A:J,5,0),"")</f>
        <v/>
      </c>
      <c r="I1598" s="4" t="str" cm="1">
        <f t="array" ref="I1598">IF(NOT(ISBLANK(A1598)),((_xlfn.XLOOKUP(1,(_bbt3[[#All],[ID]]=A1598)*(_bbt3[[#All],[METRIC_NAME]]="YLD_YTM_ASK"),_bbt3[[#All],[METRIC_VALUE]])*0.5)+(_xlfn.XLOOKUP(1,(_bbt3[[#All],[ID]]=A1598)*(_bbt3[[#All],[METRIC_NAME]]="YLD_YTM_BID"),_bbt3[[#All],[METRIC_VALUE]])*0.5))/100,"")</f>
        <v/>
      </c>
      <c r="J1598">
        <f>IF(ISNA(VLOOKUP(A1598,'CloseDL - PriceSaverBBT3'!A:E,5,0)),0,VLOOKUP(A1598,'CloseDL - PriceSaverBBT3'!A:E,5,0))</f>
        <v>0</v>
      </c>
      <c r="K1598" s="7" t="str">
        <f t="shared" si="219"/>
        <v/>
      </c>
      <c r="L1598" s="20">
        <f>IF(Close[[#This Row],[CreatedBy]]="MARINER\SilverAdm",1,0)</f>
        <v>1</v>
      </c>
      <c r="M1598" t="str">
        <f>IF(NOT(ISBLANK(A1598)),VLOOKUP(A1598,'Close - PriceSaver'!A:J,6,0),"")</f>
        <v/>
      </c>
    </row>
    <row r="1599" spans="2:13" x14ac:dyDescent="0.35">
      <c r="B1599" t="str">
        <f>IF(NOT(ISBLANK(A1599)),VLOOKUP(A1599,'BBT3'!A:F,2,0),"")</f>
        <v/>
      </c>
      <c r="C1599" t="str">
        <f>IF(NOT(ISBLANK(A1599)),VLOOKUP(A1599,'BBT3'!A:F,3,0),"")</f>
        <v/>
      </c>
      <c r="D1599" s="5" t="str">
        <f>IF(NOT(ISBLANK(A1599)),VLOOKUP(A1599,'BBT3'!A:F,4,1),"")</f>
        <v/>
      </c>
      <c r="E1599" t="str">
        <f>IF(NOT(ISBLANK(A1599)),VLOOKUP(A1599,'BBT3'!A:F,5,0),"")</f>
        <v/>
      </c>
      <c r="F1599" t="str">
        <f>IF(NOT(ISBLANK(A1599)),VLOOKUP(A1599,'BBT3'!A:F,6,0),"")</f>
        <v/>
      </c>
      <c r="G1599" t="str">
        <f t="shared" si="218"/>
        <v/>
      </c>
      <c r="H1599" t="str">
        <f>IF(NOT(ISBLANK(A1599)),VLOOKUP(A1599,'Close - PriceSaver'!A:J,5,0),"")</f>
        <v/>
      </c>
      <c r="I1599" s="4" t="str" cm="1">
        <f t="array" ref="I1599">IF(NOT(ISBLANK(A1599)),((_xlfn.XLOOKUP(1,(_bbt3[[#All],[ID]]=A1599)*(_bbt3[[#All],[METRIC_NAME]]="YLD_YTM_ASK"),_bbt3[[#All],[METRIC_VALUE]])*0.5)+(_xlfn.XLOOKUP(1,(_bbt3[[#All],[ID]]=A1599)*(_bbt3[[#All],[METRIC_NAME]]="YLD_YTM_BID"),_bbt3[[#All],[METRIC_VALUE]])*0.5))/100,"")</f>
        <v/>
      </c>
      <c r="J1599">
        <f>IF(ISNA(VLOOKUP(A1599,'CloseDL - PriceSaverBBT3'!A:E,5,0)),0,VLOOKUP(A1599,'CloseDL - PriceSaverBBT3'!A:E,5,0))</f>
        <v>0</v>
      </c>
      <c r="K1599" s="7" t="str">
        <f t="shared" si="219"/>
        <v/>
      </c>
      <c r="L1599" s="20">
        <f>IF(Close[[#This Row],[CreatedBy]]="MARINER\SilverAdm",1,0)</f>
        <v>1</v>
      </c>
      <c r="M1599" t="str">
        <f>IF(NOT(ISBLANK(A1599)),VLOOKUP(A1599,'Close - PriceSaver'!A:J,6,0),"")</f>
        <v/>
      </c>
    </row>
    <row r="1600" spans="2:13" x14ac:dyDescent="0.35">
      <c r="B1600" t="str">
        <f>IF(NOT(ISBLANK(A1600)),VLOOKUP(A1600,'BBT3'!A:F,2,0),"")</f>
        <v/>
      </c>
      <c r="C1600" t="str">
        <f>IF(NOT(ISBLANK(A1600)),VLOOKUP(A1600,'BBT3'!A:F,3,0),"")</f>
        <v/>
      </c>
      <c r="D1600" s="5" t="str">
        <f>IF(NOT(ISBLANK(A1600)),VLOOKUP(A1600,'BBT3'!A:F,4,1),"")</f>
        <v/>
      </c>
      <c r="E1600" t="str">
        <f>IF(NOT(ISBLANK(A1600)),VLOOKUP(A1600,'BBT3'!A:F,5,0),"")</f>
        <v/>
      </c>
      <c r="F1600" t="str">
        <f>IF(NOT(ISBLANK(A1600)),VLOOKUP(A1600,'BBT3'!A:F,6,0),"")</f>
        <v/>
      </c>
      <c r="G1600" t="str">
        <f t="shared" si="218"/>
        <v/>
      </c>
      <c r="H1600" t="str">
        <f>IF(NOT(ISBLANK(A1600)),VLOOKUP(A1600,'Close - PriceSaver'!A:J,5,0),"")</f>
        <v/>
      </c>
      <c r="I1600" s="4" t="str" cm="1">
        <f t="array" ref="I1600">IF(NOT(ISBLANK(A1600)),((_xlfn.XLOOKUP(1,(_bbt3[[#All],[ID]]=A1600)*(_bbt3[[#All],[METRIC_NAME]]="YLD_YTM_ASK"),_bbt3[[#All],[METRIC_VALUE]])*0.5)+(_xlfn.XLOOKUP(1,(_bbt3[[#All],[ID]]=A1600)*(_bbt3[[#All],[METRIC_NAME]]="YLD_YTM_BID"),_bbt3[[#All],[METRIC_VALUE]])*0.5))/100,"")</f>
        <v/>
      </c>
      <c r="J1600">
        <f>IF(ISNA(VLOOKUP(A1600,'CloseDL - PriceSaverBBT3'!A:E,5,0)),0,VLOOKUP(A1600,'CloseDL - PriceSaverBBT3'!A:E,5,0))</f>
        <v>0</v>
      </c>
      <c r="K1600" s="7" t="str">
        <f t="shared" si="219"/>
        <v/>
      </c>
      <c r="L1600" s="20">
        <f>IF(Close[[#This Row],[CreatedBy]]="MARINER\SilverAdm",1,0)</f>
        <v>1</v>
      </c>
      <c r="M1600" t="str">
        <f>IF(NOT(ISBLANK(A1600)),VLOOKUP(A1600,'Close - PriceSaver'!A:J,6,0),"")</f>
        <v/>
      </c>
    </row>
    <row r="1601" spans="2:13" x14ac:dyDescent="0.35">
      <c r="B1601" t="str">
        <f>IF(NOT(ISBLANK(A1601)),VLOOKUP(A1601,'BBT3'!A:F,2,0),"")</f>
        <v/>
      </c>
      <c r="C1601" t="str">
        <f>IF(NOT(ISBLANK(A1601)),VLOOKUP(A1601,'BBT3'!A:F,3,0),"")</f>
        <v/>
      </c>
      <c r="D1601" s="5" t="str">
        <f>IF(NOT(ISBLANK(A1601)),VLOOKUP(A1601,'BBT3'!A:F,4,1),"")</f>
        <v/>
      </c>
      <c r="E1601" t="str">
        <f>IF(NOT(ISBLANK(A1601)),VLOOKUP(A1601,'BBT3'!A:F,5,0),"")</f>
        <v/>
      </c>
      <c r="F1601" t="str">
        <f>IF(NOT(ISBLANK(A1601)),VLOOKUP(A1601,'BBT3'!A:F,6,0),"")</f>
        <v/>
      </c>
      <c r="G1601" t="str">
        <f t="shared" si="218"/>
        <v/>
      </c>
      <c r="H1601" t="str">
        <f>IF(NOT(ISBLANK(A1601)),VLOOKUP(A1601,'Close - PriceSaver'!A:J,5,0),"")</f>
        <v/>
      </c>
      <c r="I1601" s="4" t="str" cm="1">
        <f t="array" ref="I1601">IF(NOT(ISBLANK(A1601)),((_xlfn.XLOOKUP(1,(_bbt3[[#All],[ID]]=A1601)*(_bbt3[[#All],[METRIC_NAME]]="YLD_YTM_ASK"),_bbt3[[#All],[METRIC_VALUE]])*0.5)+(_xlfn.XLOOKUP(1,(_bbt3[[#All],[ID]]=A1601)*(_bbt3[[#All],[METRIC_NAME]]="YLD_YTM_BID"),_bbt3[[#All],[METRIC_VALUE]])*0.5))/100,"")</f>
        <v/>
      </c>
      <c r="J1601">
        <f>IF(ISNA(VLOOKUP(A1601,'CloseDL - PriceSaverBBT3'!A:E,5,0)),0,VLOOKUP(A1601,'CloseDL - PriceSaverBBT3'!A:E,5,0))</f>
        <v>0</v>
      </c>
      <c r="K1601" s="7" t="str">
        <f t="shared" si="219"/>
        <v/>
      </c>
      <c r="L1601" s="20">
        <f>IF(Close[[#This Row],[CreatedBy]]="MARINER\SilverAdm",1,0)</f>
        <v>1</v>
      </c>
      <c r="M1601" t="str">
        <f>IF(NOT(ISBLANK(A1601)),VLOOKUP(A1601,'Close - PriceSaver'!A:J,6,0),"")</f>
        <v/>
      </c>
    </row>
    <row r="1602" spans="2:13" x14ac:dyDescent="0.35">
      <c r="B1602" t="str">
        <f>IF(NOT(ISBLANK(A1602)),VLOOKUP(A1602,'BBT3'!A:F,2,0),"")</f>
        <v/>
      </c>
      <c r="C1602" t="str">
        <f>IF(NOT(ISBLANK(A1602)),VLOOKUP(A1602,'BBT3'!A:F,3,0),"")</f>
        <v/>
      </c>
      <c r="D1602" s="5" t="str">
        <f>IF(NOT(ISBLANK(A1602)),VLOOKUP(A1602,'BBT3'!A:F,4,1),"")</f>
        <v/>
      </c>
      <c r="E1602" t="str">
        <f>IF(NOT(ISBLANK(A1602)),VLOOKUP(A1602,'BBT3'!A:F,5,0),"")</f>
        <v/>
      </c>
      <c r="F1602" t="str">
        <f>IF(NOT(ISBLANK(A1602)),VLOOKUP(A1602,'BBT3'!A:F,6,0),"")</f>
        <v/>
      </c>
      <c r="G1602" t="str">
        <f t="shared" si="218"/>
        <v/>
      </c>
      <c r="H1602" t="str">
        <f>IF(NOT(ISBLANK(A1602)),VLOOKUP(A1602,'Close - PriceSaver'!A:J,5,0),"")</f>
        <v/>
      </c>
      <c r="I1602" s="4" t="str" cm="1">
        <f t="array" ref="I1602">IF(NOT(ISBLANK(A1602)),((_xlfn.XLOOKUP(1,(_bbt3[[#All],[ID]]=A1602)*(_bbt3[[#All],[METRIC_NAME]]="YLD_YTM_ASK"),_bbt3[[#All],[METRIC_VALUE]])*0.5)+(_xlfn.XLOOKUP(1,(_bbt3[[#All],[ID]]=A1602)*(_bbt3[[#All],[METRIC_NAME]]="YLD_YTM_BID"),_bbt3[[#All],[METRIC_VALUE]])*0.5))/100,"")</f>
        <v/>
      </c>
      <c r="J1602">
        <f>IF(ISNA(VLOOKUP(A1602,'CloseDL - PriceSaverBBT3'!A:E,5,0)),0,VLOOKUP(A1602,'CloseDL - PriceSaverBBT3'!A:E,5,0))</f>
        <v>0</v>
      </c>
      <c r="K1602" s="7" t="str">
        <f t="shared" si="219"/>
        <v/>
      </c>
      <c r="L1602" s="20">
        <f>IF(Close[[#This Row],[CreatedBy]]="MARINER\SilverAdm",1,0)</f>
        <v>1</v>
      </c>
      <c r="M1602" t="str">
        <f>IF(NOT(ISBLANK(A1602)),VLOOKUP(A1602,'Close - PriceSaver'!A:J,6,0),"")</f>
        <v/>
      </c>
    </row>
    <row r="1603" spans="2:13" x14ac:dyDescent="0.35">
      <c r="B1603" t="str">
        <f>IF(NOT(ISBLANK(A1603)),VLOOKUP(A1603,'BBT3'!A:F,2,0),"")</f>
        <v/>
      </c>
      <c r="C1603" t="str">
        <f>IF(NOT(ISBLANK(A1603)),VLOOKUP(A1603,'BBT3'!A:F,3,0),"")</f>
        <v/>
      </c>
      <c r="D1603" s="5" t="str">
        <f>IF(NOT(ISBLANK(A1603)),VLOOKUP(A1603,'BBT3'!A:F,4,1),"")</f>
        <v/>
      </c>
      <c r="E1603" t="str">
        <f>IF(NOT(ISBLANK(A1603)),VLOOKUP(A1603,'BBT3'!A:F,5,0),"")</f>
        <v/>
      </c>
      <c r="F1603" t="str">
        <f>IF(NOT(ISBLANK(A1603)),VLOOKUP(A1603,'BBT3'!A:F,6,0),"")</f>
        <v/>
      </c>
      <c r="G1603" t="str">
        <f t="shared" ref="G1603:G1666" si="220">IF(NOT(ISBLANK(A1603)),IF(D1603=0,"Y","N"),"")</f>
        <v/>
      </c>
      <c r="H1603" t="str">
        <f>IF(NOT(ISBLANK(A1603)),VLOOKUP(A1603,'Close - PriceSaver'!A:J,5,0),"")</f>
        <v/>
      </c>
      <c r="I1603" s="4" t="str" cm="1">
        <f t="array" ref="I1603">IF(NOT(ISBLANK(A1603)),((_xlfn.XLOOKUP(1,(_bbt3[[#All],[ID]]=A1603)*(_bbt3[[#All],[METRIC_NAME]]="YLD_YTM_ASK"),_bbt3[[#All],[METRIC_VALUE]])*0.5)+(_xlfn.XLOOKUP(1,(_bbt3[[#All],[ID]]=A1603)*(_bbt3[[#All],[METRIC_NAME]]="YLD_YTM_BID"),_bbt3[[#All],[METRIC_VALUE]])*0.5))/100,"")</f>
        <v/>
      </c>
      <c r="J1603">
        <f>IF(ISNA(VLOOKUP(A1603,'CloseDL - PriceSaverBBT3'!A:E,5,0)),0,VLOOKUP(A1603,'CloseDL - PriceSaverBBT3'!A:E,5,0))</f>
        <v>0</v>
      </c>
      <c r="K1603" s="7" t="str">
        <f t="shared" ref="K1603:K1666" si="221">IF(ISNA(IF(NOT(ISBLANK(A1603)),ABS(H1603-J1603),"")),0,(IF(NOT(ISBLANK(A1603)),ABS(H1603-J1603)*10000,"")))</f>
        <v/>
      </c>
      <c r="L1603" s="20">
        <f>IF(Close[[#This Row],[CreatedBy]]="MARINER\SilverAdm",1,0)</f>
        <v>1</v>
      </c>
      <c r="M1603" t="str">
        <f>IF(NOT(ISBLANK(A1603)),VLOOKUP(A1603,'Close - PriceSaver'!A:J,6,0),"")</f>
        <v/>
      </c>
    </row>
    <row r="1604" spans="2:13" x14ac:dyDescent="0.35">
      <c r="B1604" t="str">
        <f>IF(NOT(ISBLANK(A1604)),VLOOKUP(A1604,'BBT3'!A:F,2,0),"")</f>
        <v/>
      </c>
      <c r="C1604" t="str">
        <f>IF(NOT(ISBLANK(A1604)),VLOOKUP(A1604,'BBT3'!A:F,3,0),"")</f>
        <v/>
      </c>
      <c r="D1604" s="5" t="str">
        <f>IF(NOT(ISBLANK(A1604)),VLOOKUP(A1604,'BBT3'!A:F,4,1),"")</f>
        <v/>
      </c>
      <c r="E1604" t="str">
        <f>IF(NOT(ISBLANK(A1604)),VLOOKUP(A1604,'BBT3'!A:F,5,0),"")</f>
        <v/>
      </c>
      <c r="F1604" t="str">
        <f>IF(NOT(ISBLANK(A1604)),VLOOKUP(A1604,'BBT3'!A:F,6,0),"")</f>
        <v/>
      </c>
      <c r="G1604" t="str">
        <f t="shared" si="220"/>
        <v/>
      </c>
      <c r="H1604" t="str">
        <f>IF(NOT(ISBLANK(A1604)),VLOOKUP(A1604,'Close - PriceSaver'!A:J,5,0),"")</f>
        <v/>
      </c>
      <c r="I1604" s="4" t="str" cm="1">
        <f t="array" ref="I1604">IF(NOT(ISBLANK(A1604)),((_xlfn.XLOOKUP(1,(_bbt3[[#All],[ID]]=A1604)*(_bbt3[[#All],[METRIC_NAME]]="YLD_YTM_ASK"),_bbt3[[#All],[METRIC_VALUE]])*0.5)+(_xlfn.XLOOKUP(1,(_bbt3[[#All],[ID]]=A1604)*(_bbt3[[#All],[METRIC_NAME]]="YLD_YTM_BID"),_bbt3[[#All],[METRIC_VALUE]])*0.5))/100,"")</f>
        <v/>
      </c>
      <c r="J1604">
        <f>IF(ISNA(VLOOKUP(A1604,'CloseDL - PriceSaverBBT3'!A:E,5,0)),0,VLOOKUP(A1604,'CloseDL - PriceSaverBBT3'!A:E,5,0))</f>
        <v>0</v>
      </c>
      <c r="K1604" s="7" t="str">
        <f t="shared" si="221"/>
        <v/>
      </c>
      <c r="L1604" s="20">
        <f>IF(Close[[#This Row],[CreatedBy]]="MARINER\SilverAdm",1,0)</f>
        <v>1</v>
      </c>
      <c r="M1604" t="str">
        <f>IF(NOT(ISBLANK(A1604)),VLOOKUP(A1604,'Close - PriceSaver'!A:J,6,0),"")</f>
        <v/>
      </c>
    </row>
    <row r="1605" spans="2:13" x14ac:dyDescent="0.35">
      <c r="B1605" t="str">
        <f>IF(NOT(ISBLANK(A1605)),VLOOKUP(A1605,'BBT3'!A:F,2,0),"")</f>
        <v/>
      </c>
      <c r="C1605" t="str">
        <f>IF(NOT(ISBLANK(A1605)),VLOOKUP(A1605,'BBT3'!A:F,3,0),"")</f>
        <v/>
      </c>
      <c r="D1605" s="5" t="str">
        <f>IF(NOT(ISBLANK(A1605)),VLOOKUP(A1605,'BBT3'!A:F,4,1),"")</f>
        <v/>
      </c>
      <c r="E1605" t="str">
        <f>IF(NOT(ISBLANK(A1605)),VLOOKUP(A1605,'BBT3'!A:F,5,0),"")</f>
        <v/>
      </c>
      <c r="F1605" t="str">
        <f>IF(NOT(ISBLANK(A1605)),VLOOKUP(A1605,'BBT3'!A:F,6,0),"")</f>
        <v/>
      </c>
      <c r="G1605" t="str">
        <f t="shared" si="220"/>
        <v/>
      </c>
      <c r="H1605" t="str">
        <f>IF(NOT(ISBLANK(A1605)),VLOOKUP(A1605,'Close - PriceSaver'!A:J,5,0),"")</f>
        <v/>
      </c>
      <c r="I1605" s="4" t="str" cm="1">
        <f t="array" ref="I1605">IF(NOT(ISBLANK(A1605)),((_xlfn.XLOOKUP(1,(_bbt3[[#All],[ID]]=A1605)*(_bbt3[[#All],[METRIC_NAME]]="YLD_YTM_ASK"),_bbt3[[#All],[METRIC_VALUE]])*0.5)+(_xlfn.XLOOKUP(1,(_bbt3[[#All],[ID]]=A1605)*(_bbt3[[#All],[METRIC_NAME]]="YLD_YTM_BID"),_bbt3[[#All],[METRIC_VALUE]])*0.5))/100,"")</f>
        <v/>
      </c>
      <c r="J1605">
        <f>IF(ISNA(VLOOKUP(A1605,'CloseDL - PriceSaverBBT3'!A:E,5,0)),0,VLOOKUP(A1605,'CloseDL - PriceSaverBBT3'!A:E,5,0))</f>
        <v>0</v>
      </c>
      <c r="K1605" s="7" t="str">
        <f t="shared" si="221"/>
        <v/>
      </c>
      <c r="L1605" s="20">
        <f>IF(Close[[#This Row],[CreatedBy]]="MARINER\SilverAdm",1,0)</f>
        <v>1</v>
      </c>
      <c r="M1605" t="str">
        <f>IF(NOT(ISBLANK(A1605)),VLOOKUP(A1605,'Close - PriceSaver'!A:J,6,0),"")</f>
        <v/>
      </c>
    </row>
    <row r="1606" spans="2:13" x14ac:dyDescent="0.35">
      <c r="B1606" t="str">
        <f>IF(NOT(ISBLANK(A1606)),VLOOKUP(A1606,'BBT3'!A:F,2,0),"")</f>
        <v/>
      </c>
      <c r="C1606" t="str">
        <f>IF(NOT(ISBLANK(A1606)),VLOOKUP(A1606,'BBT3'!A:F,3,0),"")</f>
        <v/>
      </c>
      <c r="D1606" s="5" t="str">
        <f>IF(NOT(ISBLANK(A1606)),VLOOKUP(A1606,'BBT3'!A:F,4,1),"")</f>
        <v/>
      </c>
      <c r="E1606" t="str">
        <f>IF(NOT(ISBLANK(A1606)),VLOOKUP(A1606,'BBT3'!A:F,5,0),"")</f>
        <v/>
      </c>
      <c r="F1606" t="str">
        <f>IF(NOT(ISBLANK(A1606)),VLOOKUP(A1606,'BBT3'!A:F,6,0),"")</f>
        <v/>
      </c>
      <c r="G1606" t="str">
        <f t="shared" si="220"/>
        <v/>
      </c>
      <c r="H1606" t="str">
        <f>IF(NOT(ISBLANK(A1606)),VLOOKUP(A1606,'Close - PriceSaver'!A:J,5,0),"")</f>
        <v/>
      </c>
      <c r="I1606" s="4" t="str" cm="1">
        <f t="array" ref="I1606">IF(NOT(ISBLANK(A1606)),((_xlfn.XLOOKUP(1,(_bbt3[[#All],[ID]]=A1606)*(_bbt3[[#All],[METRIC_NAME]]="YLD_YTM_ASK"),_bbt3[[#All],[METRIC_VALUE]])*0.5)+(_xlfn.XLOOKUP(1,(_bbt3[[#All],[ID]]=A1606)*(_bbt3[[#All],[METRIC_NAME]]="YLD_YTM_BID"),_bbt3[[#All],[METRIC_VALUE]])*0.5))/100,"")</f>
        <v/>
      </c>
      <c r="J1606">
        <f>IF(ISNA(VLOOKUP(A1606,'CloseDL - PriceSaverBBT3'!A:E,5,0)),0,VLOOKUP(A1606,'CloseDL - PriceSaverBBT3'!A:E,5,0))</f>
        <v>0</v>
      </c>
      <c r="K1606" s="7" t="str">
        <f t="shared" si="221"/>
        <v/>
      </c>
      <c r="L1606" s="20">
        <f>IF(Close[[#This Row],[CreatedBy]]="MARINER\SilverAdm",1,0)</f>
        <v>1</v>
      </c>
      <c r="M1606" t="str">
        <f>IF(NOT(ISBLANK(A1606)),VLOOKUP(A1606,'Close - PriceSaver'!A:J,6,0),"")</f>
        <v/>
      </c>
    </row>
    <row r="1607" spans="2:13" x14ac:dyDescent="0.35">
      <c r="B1607" t="str">
        <f>IF(NOT(ISBLANK(A1607)),VLOOKUP(A1607,'BBT3'!A:F,2,0),"")</f>
        <v/>
      </c>
      <c r="C1607" t="str">
        <f>IF(NOT(ISBLANK(A1607)),VLOOKUP(A1607,'BBT3'!A:F,3,0),"")</f>
        <v/>
      </c>
      <c r="D1607" s="5" t="str">
        <f>IF(NOT(ISBLANK(A1607)),VLOOKUP(A1607,'BBT3'!A:F,4,1),"")</f>
        <v/>
      </c>
      <c r="E1607" t="str">
        <f>IF(NOT(ISBLANK(A1607)),VLOOKUP(A1607,'BBT3'!A:F,5,0),"")</f>
        <v/>
      </c>
      <c r="F1607" t="str">
        <f>IF(NOT(ISBLANK(A1607)),VLOOKUP(A1607,'BBT3'!A:F,6,0),"")</f>
        <v/>
      </c>
      <c r="G1607" t="str">
        <f t="shared" si="220"/>
        <v/>
      </c>
      <c r="H1607" t="str">
        <f>IF(NOT(ISBLANK(A1607)),VLOOKUP(A1607,'Close - PriceSaver'!A:J,5,0),"")</f>
        <v/>
      </c>
      <c r="I1607" s="4" t="str" cm="1">
        <f t="array" ref="I1607">IF(NOT(ISBLANK(A1607)),((_xlfn.XLOOKUP(1,(_bbt3[[#All],[ID]]=A1607)*(_bbt3[[#All],[METRIC_NAME]]="YLD_YTM_ASK"),_bbt3[[#All],[METRIC_VALUE]])*0.5)+(_xlfn.XLOOKUP(1,(_bbt3[[#All],[ID]]=A1607)*(_bbt3[[#All],[METRIC_NAME]]="YLD_YTM_BID"),_bbt3[[#All],[METRIC_VALUE]])*0.5))/100,"")</f>
        <v/>
      </c>
      <c r="J1607">
        <f>IF(ISNA(VLOOKUP(A1607,'CloseDL - PriceSaverBBT3'!A:E,5,0)),0,VLOOKUP(A1607,'CloseDL - PriceSaverBBT3'!A:E,5,0))</f>
        <v>0</v>
      </c>
      <c r="K1607" s="7" t="str">
        <f t="shared" si="221"/>
        <v/>
      </c>
      <c r="L1607" s="20">
        <f>IF(Close[[#This Row],[CreatedBy]]="MARINER\SilverAdm",1,0)</f>
        <v>1</v>
      </c>
      <c r="M1607" t="str">
        <f>IF(NOT(ISBLANK(A1607)),VLOOKUP(A1607,'Close - PriceSaver'!A:J,6,0),"")</f>
        <v/>
      </c>
    </row>
    <row r="1608" spans="2:13" x14ac:dyDescent="0.35">
      <c r="B1608" t="str">
        <f>IF(NOT(ISBLANK(A1608)),VLOOKUP(A1608,'BBT3'!A:F,2,0),"")</f>
        <v/>
      </c>
      <c r="C1608" t="str">
        <f>IF(NOT(ISBLANK(A1608)),VLOOKUP(A1608,'BBT3'!A:F,3,0),"")</f>
        <v/>
      </c>
      <c r="D1608" s="5" t="str">
        <f>IF(NOT(ISBLANK(A1608)),VLOOKUP(A1608,'BBT3'!A:F,4,1),"")</f>
        <v/>
      </c>
      <c r="E1608" t="str">
        <f>IF(NOT(ISBLANK(A1608)),VLOOKUP(A1608,'BBT3'!A:F,5,0),"")</f>
        <v/>
      </c>
      <c r="F1608" t="str">
        <f>IF(NOT(ISBLANK(A1608)),VLOOKUP(A1608,'BBT3'!A:F,6,0),"")</f>
        <v/>
      </c>
      <c r="G1608" t="str">
        <f t="shared" si="220"/>
        <v/>
      </c>
      <c r="H1608" t="str">
        <f>IF(NOT(ISBLANK(A1608)),VLOOKUP(A1608,'Close - PriceSaver'!A:J,5,0),"")</f>
        <v/>
      </c>
      <c r="I1608" s="4" t="str" cm="1">
        <f t="array" ref="I1608">IF(NOT(ISBLANK(A1608)),((_xlfn.XLOOKUP(1,(_bbt3[[#All],[ID]]=A1608)*(_bbt3[[#All],[METRIC_NAME]]="YLD_YTM_ASK"),_bbt3[[#All],[METRIC_VALUE]])*0.5)+(_xlfn.XLOOKUP(1,(_bbt3[[#All],[ID]]=A1608)*(_bbt3[[#All],[METRIC_NAME]]="YLD_YTM_BID"),_bbt3[[#All],[METRIC_VALUE]])*0.5))/100,"")</f>
        <v/>
      </c>
      <c r="J1608">
        <f>IF(ISNA(VLOOKUP(A1608,'CloseDL - PriceSaverBBT3'!A:E,5,0)),0,VLOOKUP(A1608,'CloseDL - PriceSaverBBT3'!A:E,5,0))</f>
        <v>0</v>
      </c>
      <c r="K1608" s="7" t="str">
        <f t="shared" si="221"/>
        <v/>
      </c>
      <c r="L1608" s="20">
        <f>IF(Close[[#This Row],[CreatedBy]]="MARINER\SilverAdm",1,0)</f>
        <v>1</v>
      </c>
      <c r="M1608" t="str">
        <f>IF(NOT(ISBLANK(A1608)),VLOOKUP(A1608,'Close - PriceSaver'!A:J,6,0),"")</f>
        <v/>
      </c>
    </row>
    <row r="1609" spans="2:13" x14ac:dyDescent="0.35">
      <c r="B1609" t="str">
        <f>IF(NOT(ISBLANK(A1609)),VLOOKUP(A1609,'BBT3'!A:F,2,0),"")</f>
        <v/>
      </c>
      <c r="C1609" t="str">
        <f>IF(NOT(ISBLANK(A1609)),VLOOKUP(A1609,'BBT3'!A:F,3,0),"")</f>
        <v/>
      </c>
      <c r="D1609" s="5" t="str">
        <f>IF(NOT(ISBLANK(A1609)),VLOOKUP(A1609,'BBT3'!A:F,4,1),"")</f>
        <v/>
      </c>
      <c r="E1609" t="str">
        <f>IF(NOT(ISBLANK(A1609)),VLOOKUP(A1609,'BBT3'!A:F,5,0),"")</f>
        <v/>
      </c>
      <c r="F1609" t="str">
        <f>IF(NOT(ISBLANK(A1609)),VLOOKUP(A1609,'BBT3'!A:F,6,0),"")</f>
        <v/>
      </c>
      <c r="G1609" t="str">
        <f t="shared" si="220"/>
        <v/>
      </c>
      <c r="H1609" t="str">
        <f>IF(NOT(ISBLANK(A1609)),VLOOKUP(A1609,'Close - PriceSaver'!A:J,5,0),"")</f>
        <v/>
      </c>
      <c r="I1609" s="4" t="str" cm="1">
        <f t="array" ref="I1609">IF(NOT(ISBLANK(A1609)),((_xlfn.XLOOKUP(1,(_bbt3[[#All],[ID]]=A1609)*(_bbt3[[#All],[METRIC_NAME]]="YLD_YTM_ASK"),_bbt3[[#All],[METRIC_VALUE]])*0.5)+(_xlfn.XLOOKUP(1,(_bbt3[[#All],[ID]]=A1609)*(_bbt3[[#All],[METRIC_NAME]]="YLD_YTM_BID"),_bbt3[[#All],[METRIC_VALUE]])*0.5))/100,"")</f>
        <v/>
      </c>
      <c r="J1609">
        <f>IF(ISNA(VLOOKUP(A1609,'CloseDL - PriceSaverBBT3'!A:E,5,0)),0,VLOOKUP(A1609,'CloseDL - PriceSaverBBT3'!A:E,5,0))</f>
        <v>0</v>
      </c>
      <c r="K1609" s="7" t="str">
        <f t="shared" si="221"/>
        <v/>
      </c>
      <c r="L1609" s="20">
        <f>IF(Close[[#This Row],[CreatedBy]]="MARINER\SilverAdm",1,0)</f>
        <v>1</v>
      </c>
      <c r="M1609" t="str">
        <f>IF(NOT(ISBLANK(A1609)),VLOOKUP(A1609,'Close - PriceSaver'!A:J,6,0),"")</f>
        <v/>
      </c>
    </row>
    <row r="1610" spans="2:13" x14ac:dyDescent="0.35">
      <c r="B1610" t="str">
        <f>IF(NOT(ISBLANK(A1610)),VLOOKUP(A1610,'BBT3'!A:F,2,0),"")</f>
        <v/>
      </c>
      <c r="C1610" t="str">
        <f>IF(NOT(ISBLANK(A1610)),VLOOKUP(A1610,'BBT3'!A:F,3,0),"")</f>
        <v/>
      </c>
      <c r="D1610" s="5" t="str">
        <f>IF(NOT(ISBLANK(A1610)),VLOOKUP(A1610,'BBT3'!A:F,4,1),"")</f>
        <v/>
      </c>
      <c r="E1610" t="str">
        <f>IF(NOT(ISBLANK(A1610)),VLOOKUP(A1610,'BBT3'!A:F,5,0),"")</f>
        <v/>
      </c>
      <c r="F1610" t="str">
        <f>IF(NOT(ISBLANK(A1610)),VLOOKUP(A1610,'BBT3'!A:F,6,0),"")</f>
        <v/>
      </c>
      <c r="G1610" t="str">
        <f t="shared" si="220"/>
        <v/>
      </c>
      <c r="H1610" t="str">
        <f>IF(NOT(ISBLANK(A1610)),VLOOKUP(A1610,'Close - PriceSaver'!A:J,5,0),"")</f>
        <v/>
      </c>
      <c r="I1610" s="4" t="str" cm="1">
        <f t="array" ref="I1610">IF(NOT(ISBLANK(A1610)),((_xlfn.XLOOKUP(1,(_bbt3[[#All],[ID]]=A1610)*(_bbt3[[#All],[METRIC_NAME]]="YLD_YTM_ASK"),_bbt3[[#All],[METRIC_VALUE]])*0.5)+(_xlfn.XLOOKUP(1,(_bbt3[[#All],[ID]]=A1610)*(_bbt3[[#All],[METRIC_NAME]]="YLD_YTM_BID"),_bbt3[[#All],[METRIC_VALUE]])*0.5))/100,"")</f>
        <v/>
      </c>
      <c r="J1610">
        <f>IF(ISNA(VLOOKUP(A1610,'CloseDL - PriceSaverBBT3'!A:E,5,0)),0,VLOOKUP(A1610,'CloseDL - PriceSaverBBT3'!A:E,5,0))</f>
        <v>0</v>
      </c>
      <c r="K1610" s="7" t="str">
        <f t="shared" si="221"/>
        <v/>
      </c>
      <c r="L1610" s="20">
        <f>IF(Close[[#This Row],[CreatedBy]]="MARINER\SilverAdm",1,0)</f>
        <v>1</v>
      </c>
      <c r="M1610" t="str">
        <f>IF(NOT(ISBLANK(A1610)),VLOOKUP(A1610,'Close - PriceSaver'!A:J,6,0),"")</f>
        <v/>
      </c>
    </row>
    <row r="1611" spans="2:13" x14ac:dyDescent="0.35">
      <c r="B1611" t="str">
        <f>IF(NOT(ISBLANK(A1611)),VLOOKUP(A1611,'BBT3'!A:F,2,0),"")</f>
        <v/>
      </c>
      <c r="C1611" t="str">
        <f>IF(NOT(ISBLANK(A1611)),VLOOKUP(A1611,'BBT3'!A:F,3,0),"")</f>
        <v/>
      </c>
      <c r="D1611" s="5" t="str">
        <f>IF(NOT(ISBLANK(A1611)),VLOOKUP(A1611,'BBT3'!A:F,4,1),"")</f>
        <v/>
      </c>
      <c r="E1611" t="str">
        <f>IF(NOT(ISBLANK(A1611)),VLOOKUP(A1611,'BBT3'!A:F,5,0),"")</f>
        <v/>
      </c>
      <c r="F1611" t="str">
        <f>IF(NOT(ISBLANK(A1611)),VLOOKUP(A1611,'BBT3'!A:F,6,0),"")</f>
        <v/>
      </c>
      <c r="G1611" t="str">
        <f t="shared" si="220"/>
        <v/>
      </c>
      <c r="H1611" t="str">
        <f>IF(NOT(ISBLANK(A1611)),VLOOKUP(A1611,'Close - PriceSaver'!A:J,5,0),"")</f>
        <v/>
      </c>
      <c r="I1611" s="4" t="str" cm="1">
        <f t="array" ref="I1611">IF(NOT(ISBLANK(A1611)),((_xlfn.XLOOKUP(1,(_bbt3[[#All],[ID]]=A1611)*(_bbt3[[#All],[METRIC_NAME]]="YLD_YTM_ASK"),_bbt3[[#All],[METRIC_VALUE]])*0.5)+(_xlfn.XLOOKUP(1,(_bbt3[[#All],[ID]]=A1611)*(_bbt3[[#All],[METRIC_NAME]]="YLD_YTM_BID"),_bbt3[[#All],[METRIC_VALUE]])*0.5))/100,"")</f>
        <v/>
      </c>
      <c r="J1611">
        <f>IF(ISNA(VLOOKUP(A1611,'CloseDL - PriceSaverBBT3'!A:E,5,0)),0,VLOOKUP(A1611,'CloseDL - PriceSaverBBT3'!A:E,5,0))</f>
        <v>0</v>
      </c>
      <c r="K1611" s="7" t="str">
        <f t="shared" si="221"/>
        <v/>
      </c>
      <c r="L1611" s="20">
        <f>IF(Close[[#This Row],[CreatedBy]]="MARINER\SilverAdm",1,0)</f>
        <v>1</v>
      </c>
      <c r="M1611" t="str">
        <f>IF(NOT(ISBLANK(A1611)),VLOOKUP(A1611,'Close - PriceSaver'!A:J,6,0),"")</f>
        <v/>
      </c>
    </row>
    <row r="1612" spans="2:13" x14ac:dyDescent="0.35">
      <c r="B1612" t="str">
        <f>IF(NOT(ISBLANK(A1612)),VLOOKUP(A1612,'BBT3'!A:F,2,0),"")</f>
        <v/>
      </c>
      <c r="C1612" t="str">
        <f>IF(NOT(ISBLANK(A1612)),VLOOKUP(A1612,'BBT3'!A:F,3,0),"")</f>
        <v/>
      </c>
      <c r="D1612" s="5" t="str">
        <f>IF(NOT(ISBLANK(A1612)),VLOOKUP(A1612,'BBT3'!A:F,4,1),"")</f>
        <v/>
      </c>
      <c r="E1612" t="str">
        <f>IF(NOT(ISBLANK(A1612)),VLOOKUP(A1612,'BBT3'!A:F,5,0),"")</f>
        <v/>
      </c>
      <c r="F1612" t="str">
        <f>IF(NOT(ISBLANK(A1612)),VLOOKUP(A1612,'BBT3'!A:F,6,0),"")</f>
        <v/>
      </c>
      <c r="G1612" t="str">
        <f t="shared" si="220"/>
        <v/>
      </c>
      <c r="H1612" t="str">
        <f>IF(NOT(ISBLANK(A1612)),VLOOKUP(A1612,'Close - PriceSaver'!A:J,5,0),"")</f>
        <v/>
      </c>
      <c r="I1612" s="4" t="str" cm="1">
        <f t="array" ref="I1612">IF(NOT(ISBLANK(A1612)),((_xlfn.XLOOKUP(1,(_bbt3[[#All],[ID]]=A1612)*(_bbt3[[#All],[METRIC_NAME]]="YLD_YTM_ASK"),_bbt3[[#All],[METRIC_VALUE]])*0.5)+(_xlfn.XLOOKUP(1,(_bbt3[[#All],[ID]]=A1612)*(_bbt3[[#All],[METRIC_NAME]]="YLD_YTM_BID"),_bbt3[[#All],[METRIC_VALUE]])*0.5))/100,"")</f>
        <v/>
      </c>
      <c r="J1612">
        <f>IF(ISNA(VLOOKUP(A1612,'CloseDL - PriceSaverBBT3'!A:E,5,0)),0,VLOOKUP(A1612,'CloseDL - PriceSaverBBT3'!A:E,5,0))</f>
        <v>0</v>
      </c>
      <c r="K1612" s="7" t="str">
        <f t="shared" si="221"/>
        <v/>
      </c>
      <c r="L1612" s="20">
        <f>IF(Close[[#This Row],[CreatedBy]]="MARINER\SilverAdm",1,0)</f>
        <v>1</v>
      </c>
      <c r="M1612" t="str">
        <f>IF(NOT(ISBLANK(A1612)),VLOOKUP(A1612,'Close - PriceSaver'!A:J,6,0),"")</f>
        <v/>
      </c>
    </row>
    <row r="1613" spans="2:13" x14ac:dyDescent="0.35">
      <c r="B1613" t="str">
        <f>IF(NOT(ISBLANK(A1613)),VLOOKUP(A1613,'BBT3'!A:F,2,0),"")</f>
        <v/>
      </c>
      <c r="C1613" t="str">
        <f>IF(NOT(ISBLANK(A1613)),VLOOKUP(A1613,'BBT3'!A:F,3,0),"")</f>
        <v/>
      </c>
      <c r="D1613" s="5" t="str">
        <f>IF(NOT(ISBLANK(A1613)),VLOOKUP(A1613,'BBT3'!A:F,4,1),"")</f>
        <v/>
      </c>
      <c r="E1613" t="str">
        <f>IF(NOT(ISBLANK(A1613)),VLOOKUP(A1613,'BBT3'!A:F,5,0),"")</f>
        <v/>
      </c>
      <c r="F1613" t="str">
        <f>IF(NOT(ISBLANK(A1613)),VLOOKUP(A1613,'BBT3'!A:F,6,0),"")</f>
        <v/>
      </c>
      <c r="G1613" t="str">
        <f t="shared" si="220"/>
        <v/>
      </c>
      <c r="H1613" t="str">
        <f>IF(NOT(ISBLANK(A1613)),VLOOKUP(A1613,'Close - PriceSaver'!A:J,5,0),"")</f>
        <v/>
      </c>
      <c r="I1613" s="4" t="str" cm="1">
        <f t="array" ref="I1613">IF(NOT(ISBLANK(A1613)),((_xlfn.XLOOKUP(1,(_bbt3[[#All],[ID]]=A1613)*(_bbt3[[#All],[METRIC_NAME]]="YLD_YTM_ASK"),_bbt3[[#All],[METRIC_VALUE]])*0.5)+(_xlfn.XLOOKUP(1,(_bbt3[[#All],[ID]]=A1613)*(_bbt3[[#All],[METRIC_NAME]]="YLD_YTM_BID"),_bbt3[[#All],[METRIC_VALUE]])*0.5))/100,"")</f>
        <v/>
      </c>
      <c r="J1613">
        <f>IF(ISNA(VLOOKUP(A1613,'CloseDL - PriceSaverBBT3'!A:E,5,0)),0,VLOOKUP(A1613,'CloseDL - PriceSaverBBT3'!A:E,5,0))</f>
        <v>0</v>
      </c>
      <c r="K1613" s="7" t="str">
        <f t="shared" si="221"/>
        <v/>
      </c>
      <c r="L1613" s="20">
        <f>IF(Close[[#This Row],[CreatedBy]]="MARINER\SilverAdm",1,0)</f>
        <v>1</v>
      </c>
      <c r="M1613" t="str">
        <f>IF(NOT(ISBLANK(A1613)),VLOOKUP(A1613,'Close - PriceSaver'!A:J,6,0),"")</f>
        <v/>
      </c>
    </row>
    <row r="1614" spans="2:13" x14ac:dyDescent="0.35">
      <c r="B1614" t="str">
        <f>IF(NOT(ISBLANK(A1614)),VLOOKUP(A1614,'BBT3'!A:F,2,0),"")</f>
        <v/>
      </c>
      <c r="C1614" t="str">
        <f>IF(NOT(ISBLANK(A1614)),VLOOKUP(A1614,'BBT3'!A:F,3,0),"")</f>
        <v/>
      </c>
      <c r="D1614" s="5" t="str">
        <f>IF(NOT(ISBLANK(A1614)),VLOOKUP(A1614,'BBT3'!A:F,4,1),"")</f>
        <v/>
      </c>
      <c r="E1614" t="str">
        <f>IF(NOT(ISBLANK(A1614)),VLOOKUP(A1614,'BBT3'!A:F,5,0),"")</f>
        <v/>
      </c>
      <c r="F1614" t="str">
        <f>IF(NOT(ISBLANK(A1614)),VLOOKUP(A1614,'BBT3'!A:F,6,0),"")</f>
        <v/>
      </c>
      <c r="G1614" t="str">
        <f t="shared" si="220"/>
        <v/>
      </c>
      <c r="H1614" t="str">
        <f>IF(NOT(ISBLANK(A1614)),VLOOKUP(A1614,'Close - PriceSaver'!A:J,5,0),"")</f>
        <v/>
      </c>
      <c r="I1614" s="4" t="str" cm="1">
        <f t="array" ref="I1614">IF(NOT(ISBLANK(A1614)),((_xlfn.XLOOKUP(1,(_bbt3[[#All],[ID]]=A1614)*(_bbt3[[#All],[METRIC_NAME]]="YLD_YTM_ASK"),_bbt3[[#All],[METRIC_VALUE]])*0.5)+(_xlfn.XLOOKUP(1,(_bbt3[[#All],[ID]]=A1614)*(_bbt3[[#All],[METRIC_NAME]]="YLD_YTM_BID"),_bbt3[[#All],[METRIC_VALUE]])*0.5))/100,"")</f>
        <v/>
      </c>
      <c r="J1614">
        <f>IF(ISNA(VLOOKUP(A1614,'CloseDL - PriceSaverBBT3'!A:E,5,0)),0,VLOOKUP(A1614,'CloseDL - PriceSaverBBT3'!A:E,5,0))</f>
        <v>0</v>
      </c>
      <c r="K1614" s="7" t="str">
        <f t="shared" si="221"/>
        <v/>
      </c>
      <c r="L1614" s="20">
        <f>IF(Close[[#This Row],[CreatedBy]]="MARINER\SilverAdm",1,0)</f>
        <v>1</v>
      </c>
      <c r="M1614" t="str">
        <f>IF(NOT(ISBLANK(A1614)),VLOOKUP(A1614,'Close - PriceSaver'!A:J,6,0),"")</f>
        <v/>
      </c>
    </row>
    <row r="1615" spans="2:13" x14ac:dyDescent="0.35">
      <c r="B1615" t="str">
        <f>IF(NOT(ISBLANK(A1615)),VLOOKUP(A1615,'BBT3'!A:F,2,0),"")</f>
        <v/>
      </c>
      <c r="C1615" t="str">
        <f>IF(NOT(ISBLANK(A1615)),VLOOKUP(A1615,'BBT3'!A:F,3,0),"")</f>
        <v/>
      </c>
      <c r="D1615" s="5" t="str">
        <f>IF(NOT(ISBLANK(A1615)),VLOOKUP(A1615,'BBT3'!A:F,4,1),"")</f>
        <v/>
      </c>
      <c r="E1615" t="str">
        <f>IF(NOT(ISBLANK(A1615)),VLOOKUP(A1615,'BBT3'!A:F,5,0),"")</f>
        <v/>
      </c>
      <c r="F1615" t="str">
        <f>IF(NOT(ISBLANK(A1615)),VLOOKUP(A1615,'BBT3'!A:F,6,0),"")</f>
        <v/>
      </c>
      <c r="G1615" t="str">
        <f t="shared" si="220"/>
        <v/>
      </c>
      <c r="H1615" t="str">
        <f>IF(NOT(ISBLANK(A1615)),VLOOKUP(A1615,'Close - PriceSaver'!A:J,5,0),"")</f>
        <v/>
      </c>
      <c r="I1615" s="4" t="str" cm="1">
        <f t="array" ref="I1615">IF(NOT(ISBLANK(A1615)),((_xlfn.XLOOKUP(1,(_bbt3[[#All],[ID]]=A1615)*(_bbt3[[#All],[METRIC_NAME]]="YLD_YTM_ASK"),_bbt3[[#All],[METRIC_VALUE]])*0.5)+(_xlfn.XLOOKUP(1,(_bbt3[[#All],[ID]]=A1615)*(_bbt3[[#All],[METRIC_NAME]]="YLD_YTM_BID"),_bbt3[[#All],[METRIC_VALUE]])*0.5))/100,"")</f>
        <v/>
      </c>
      <c r="J1615">
        <f>IF(ISNA(VLOOKUP(A1615,'CloseDL - PriceSaverBBT3'!A:E,5,0)),0,VLOOKUP(A1615,'CloseDL - PriceSaverBBT3'!A:E,5,0))</f>
        <v>0</v>
      </c>
      <c r="K1615" s="7" t="str">
        <f t="shared" si="221"/>
        <v/>
      </c>
      <c r="L1615" s="20">
        <f>IF(Close[[#This Row],[CreatedBy]]="MARINER\SilverAdm",1,0)</f>
        <v>1</v>
      </c>
      <c r="M1615" t="str">
        <f>IF(NOT(ISBLANK(A1615)),VLOOKUP(A1615,'Close - PriceSaver'!A:J,6,0),"")</f>
        <v/>
      </c>
    </row>
    <row r="1616" spans="2:13" x14ac:dyDescent="0.35">
      <c r="B1616" t="str">
        <f>IF(NOT(ISBLANK(A1616)),VLOOKUP(A1616,'BBT3'!A:F,2,0),"")</f>
        <v/>
      </c>
      <c r="C1616" t="str">
        <f>IF(NOT(ISBLANK(A1616)),VLOOKUP(A1616,'BBT3'!A:F,3,0),"")</f>
        <v/>
      </c>
      <c r="D1616" s="5" t="str">
        <f>IF(NOT(ISBLANK(A1616)),VLOOKUP(A1616,'BBT3'!A:F,4,1),"")</f>
        <v/>
      </c>
      <c r="E1616" t="str">
        <f>IF(NOT(ISBLANK(A1616)),VLOOKUP(A1616,'BBT3'!A:F,5,0),"")</f>
        <v/>
      </c>
      <c r="F1616" t="str">
        <f>IF(NOT(ISBLANK(A1616)),VLOOKUP(A1616,'BBT3'!A:F,6,0),"")</f>
        <v/>
      </c>
      <c r="G1616" t="str">
        <f t="shared" si="220"/>
        <v/>
      </c>
      <c r="H1616" t="str">
        <f>IF(NOT(ISBLANK(A1616)),VLOOKUP(A1616,'Close - PriceSaver'!A:J,5,0),"")</f>
        <v/>
      </c>
      <c r="I1616" s="4" t="str" cm="1">
        <f t="array" ref="I1616">IF(NOT(ISBLANK(A1616)),((_xlfn.XLOOKUP(1,(_bbt3[[#All],[ID]]=A1616)*(_bbt3[[#All],[METRIC_NAME]]="YLD_YTM_ASK"),_bbt3[[#All],[METRIC_VALUE]])*0.5)+(_xlfn.XLOOKUP(1,(_bbt3[[#All],[ID]]=A1616)*(_bbt3[[#All],[METRIC_NAME]]="YLD_YTM_BID"),_bbt3[[#All],[METRIC_VALUE]])*0.5))/100,"")</f>
        <v/>
      </c>
      <c r="J1616">
        <f>IF(ISNA(VLOOKUP(A1616,'CloseDL - PriceSaverBBT3'!A:E,5,0)),0,VLOOKUP(A1616,'CloseDL - PriceSaverBBT3'!A:E,5,0))</f>
        <v>0</v>
      </c>
      <c r="K1616" s="7" t="str">
        <f t="shared" si="221"/>
        <v/>
      </c>
      <c r="L1616" s="20">
        <f>IF(Close[[#This Row],[CreatedBy]]="MARINER\SilverAdm",1,0)</f>
        <v>1</v>
      </c>
      <c r="M1616" t="str">
        <f>IF(NOT(ISBLANK(A1616)),VLOOKUP(A1616,'Close - PriceSaver'!A:J,6,0),"")</f>
        <v/>
      </c>
    </row>
    <row r="1617" spans="2:13" x14ac:dyDescent="0.35">
      <c r="B1617" t="str">
        <f>IF(NOT(ISBLANK(A1617)),VLOOKUP(A1617,'BBT3'!A:F,2,0),"")</f>
        <v/>
      </c>
      <c r="C1617" t="str">
        <f>IF(NOT(ISBLANK(A1617)),VLOOKUP(A1617,'BBT3'!A:F,3,0),"")</f>
        <v/>
      </c>
      <c r="D1617" s="5" t="str">
        <f>IF(NOT(ISBLANK(A1617)),VLOOKUP(A1617,'BBT3'!A:F,4,1),"")</f>
        <v/>
      </c>
      <c r="E1617" t="str">
        <f>IF(NOT(ISBLANK(A1617)),VLOOKUP(A1617,'BBT3'!A:F,5,0),"")</f>
        <v/>
      </c>
      <c r="F1617" t="str">
        <f>IF(NOT(ISBLANK(A1617)),VLOOKUP(A1617,'BBT3'!A:F,6,0),"")</f>
        <v/>
      </c>
      <c r="G1617" t="str">
        <f t="shared" si="220"/>
        <v/>
      </c>
      <c r="H1617" t="str">
        <f>IF(NOT(ISBLANK(A1617)),VLOOKUP(A1617,'Close - PriceSaver'!A:J,5,0),"")</f>
        <v/>
      </c>
      <c r="I1617" s="4" t="str" cm="1">
        <f t="array" ref="I1617">IF(NOT(ISBLANK(A1617)),((_xlfn.XLOOKUP(1,(_bbt3[[#All],[ID]]=A1617)*(_bbt3[[#All],[METRIC_NAME]]="YLD_YTM_ASK"),_bbt3[[#All],[METRIC_VALUE]])*0.5)+(_xlfn.XLOOKUP(1,(_bbt3[[#All],[ID]]=A1617)*(_bbt3[[#All],[METRIC_NAME]]="YLD_YTM_BID"),_bbt3[[#All],[METRIC_VALUE]])*0.5))/100,"")</f>
        <v/>
      </c>
      <c r="J1617">
        <f>IF(ISNA(VLOOKUP(A1617,'CloseDL - PriceSaverBBT3'!A:E,5,0)),0,VLOOKUP(A1617,'CloseDL - PriceSaverBBT3'!A:E,5,0))</f>
        <v>0</v>
      </c>
      <c r="K1617" s="7" t="str">
        <f t="shared" si="221"/>
        <v/>
      </c>
      <c r="L1617" s="20">
        <f>IF(Close[[#This Row],[CreatedBy]]="MARINER\SilverAdm",1,0)</f>
        <v>1</v>
      </c>
      <c r="M1617" t="str">
        <f>IF(NOT(ISBLANK(A1617)),VLOOKUP(A1617,'Close - PriceSaver'!A:J,6,0),"")</f>
        <v/>
      </c>
    </row>
    <row r="1618" spans="2:13" x14ac:dyDescent="0.35">
      <c r="B1618" t="str">
        <f>IF(NOT(ISBLANK(A1618)),VLOOKUP(A1618,'BBT3'!A:F,2,0),"")</f>
        <v/>
      </c>
      <c r="C1618" t="str">
        <f>IF(NOT(ISBLANK(A1618)),VLOOKUP(A1618,'BBT3'!A:F,3,0),"")</f>
        <v/>
      </c>
      <c r="D1618" s="5" t="str">
        <f>IF(NOT(ISBLANK(A1618)),VLOOKUP(A1618,'BBT3'!A:F,4,1),"")</f>
        <v/>
      </c>
      <c r="E1618" t="str">
        <f>IF(NOT(ISBLANK(A1618)),VLOOKUP(A1618,'BBT3'!A:F,5,0),"")</f>
        <v/>
      </c>
      <c r="F1618" t="str">
        <f>IF(NOT(ISBLANK(A1618)),VLOOKUP(A1618,'BBT3'!A:F,6,0),"")</f>
        <v/>
      </c>
      <c r="G1618" t="str">
        <f t="shared" si="220"/>
        <v/>
      </c>
      <c r="H1618" t="str">
        <f>IF(NOT(ISBLANK(A1618)),VLOOKUP(A1618,'Close - PriceSaver'!A:J,5,0),"")</f>
        <v/>
      </c>
      <c r="I1618" s="4" t="str" cm="1">
        <f t="array" ref="I1618">IF(NOT(ISBLANK(A1618)),((_xlfn.XLOOKUP(1,(_bbt3[[#All],[ID]]=A1618)*(_bbt3[[#All],[METRIC_NAME]]="YLD_YTM_ASK"),_bbt3[[#All],[METRIC_VALUE]])*0.5)+(_xlfn.XLOOKUP(1,(_bbt3[[#All],[ID]]=A1618)*(_bbt3[[#All],[METRIC_NAME]]="YLD_YTM_BID"),_bbt3[[#All],[METRIC_VALUE]])*0.5))/100,"")</f>
        <v/>
      </c>
      <c r="J1618">
        <f>IF(ISNA(VLOOKUP(A1618,'CloseDL - PriceSaverBBT3'!A:E,5,0)),0,VLOOKUP(A1618,'CloseDL - PriceSaverBBT3'!A:E,5,0))</f>
        <v>0</v>
      </c>
      <c r="K1618" s="7" t="str">
        <f t="shared" si="221"/>
        <v/>
      </c>
      <c r="L1618" s="20">
        <f>IF(Close[[#This Row],[CreatedBy]]="MARINER\SilverAdm",1,0)</f>
        <v>1</v>
      </c>
      <c r="M1618" t="str">
        <f>IF(NOT(ISBLANK(A1618)),VLOOKUP(A1618,'Close - PriceSaver'!A:J,6,0),"")</f>
        <v/>
      </c>
    </row>
    <row r="1619" spans="2:13" x14ac:dyDescent="0.35">
      <c r="B1619" t="str">
        <f>IF(NOT(ISBLANK(A1619)),VLOOKUP(A1619,'BBT3'!A:F,2,0),"")</f>
        <v/>
      </c>
      <c r="C1619" t="str">
        <f>IF(NOT(ISBLANK(A1619)),VLOOKUP(A1619,'BBT3'!A:F,3,0),"")</f>
        <v/>
      </c>
      <c r="D1619" s="5" t="str">
        <f>IF(NOT(ISBLANK(A1619)),VLOOKUP(A1619,'BBT3'!A:F,4,1),"")</f>
        <v/>
      </c>
      <c r="E1619" t="str">
        <f>IF(NOT(ISBLANK(A1619)),VLOOKUP(A1619,'BBT3'!A:F,5,0),"")</f>
        <v/>
      </c>
      <c r="F1619" t="str">
        <f>IF(NOT(ISBLANK(A1619)),VLOOKUP(A1619,'BBT3'!A:F,6,0),"")</f>
        <v/>
      </c>
      <c r="G1619" t="str">
        <f t="shared" si="220"/>
        <v/>
      </c>
      <c r="H1619" t="str">
        <f>IF(NOT(ISBLANK(A1619)),VLOOKUP(A1619,'Close - PriceSaver'!A:J,5,0),"")</f>
        <v/>
      </c>
      <c r="I1619" s="4" t="str" cm="1">
        <f t="array" ref="I1619">IF(NOT(ISBLANK(A1619)),((_xlfn.XLOOKUP(1,(_bbt3[[#All],[ID]]=A1619)*(_bbt3[[#All],[METRIC_NAME]]="YLD_YTM_ASK"),_bbt3[[#All],[METRIC_VALUE]])*0.5)+(_xlfn.XLOOKUP(1,(_bbt3[[#All],[ID]]=A1619)*(_bbt3[[#All],[METRIC_NAME]]="YLD_YTM_BID"),_bbt3[[#All],[METRIC_VALUE]])*0.5))/100,"")</f>
        <v/>
      </c>
      <c r="J1619">
        <f>IF(ISNA(VLOOKUP(A1619,'CloseDL - PriceSaverBBT3'!A:E,5,0)),0,VLOOKUP(A1619,'CloseDL - PriceSaverBBT3'!A:E,5,0))</f>
        <v>0</v>
      </c>
      <c r="K1619" s="7" t="str">
        <f t="shared" si="221"/>
        <v/>
      </c>
      <c r="L1619" s="20">
        <f>IF(Close[[#This Row],[CreatedBy]]="MARINER\SilverAdm",1,0)</f>
        <v>1</v>
      </c>
      <c r="M1619" t="str">
        <f>IF(NOT(ISBLANK(A1619)),VLOOKUP(A1619,'Close - PriceSaver'!A:J,6,0),"")</f>
        <v/>
      </c>
    </row>
    <row r="1620" spans="2:13" x14ac:dyDescent="0.35">
      <c r="B1620" t="str">
        <f>IF(NOT(ISBLANK(A1620)),VLOOKUP(A1620,'BBT3'!A:F,2,0),"")</f>
        <v/>
      </c>
      <c r="C1620" t="str">
        <f>IF(NOT(ISBLANK(A1620)),VLOOKUP(A1620,'BBT3'!A:F,3,0),"")</f>
        <v/>
      </c>
      <c r="D1620" s="5" t="str">
        <f>IF(NOT(ISBLANK(A1620)),VLOOKUP(A1620,'BBT3'!A:F,4,1),"")</f>
        <v/>
      </c>
      <c r="E1620" t="str">
        <f>IF(NOT(ISBLANK(A1620)),VLOOKUP(A1620,'BBT3'!A:F,5,0),"")</f>
        <v/>
      </c>
      <c r="F1620" t="str">
        <f>IF(NOT(ISBLANK(A1620)),VLOOKUP(A1620,'BBT3'!A:F,6,0),"")</f>
        <v/>
      </c>
      <c r="G1620" t="str">
        <f t="shared" si="220"/>
        <v/>
      </c>
      <c r="H1620" t="str">
        <f>IF(NOT(ISBLANK(A1620)),VLOOKUP(A1620,'Close - PriceSaver'!A:J,5,0),"")</f>
        <v/>
      </c>
      <c r="I1620" s="4" t="str" cm="1">
        <f t="array" ref="I1620">IF(NOT(ISBLANK(A1620)),((_xlfn.XLOOKUP(1,(_bbt3[[#All],[ID]]=A1620)*(_bbt3[[#All],[METRIC_NAME]]="YLD_YTM_ASK"),_bbt3[[#All],[METRIC_VALUE]])*0.5)+(_xlfn.XLOOKUP(1,(_bbt3[[#All],[ID]]=A1620)*(_bbt3[[#All],[METRIC_NAME]]="YLD_YTM_BID"),_bbt3[[#All],[METRIC_VALUE]])*0.5))/100,"")</f>
        <v/>
      </c>
      <c r="J1620">
        <f>IF(ISNA(VLOOKUP(A1620,'CloseDL - PriceSaverBBT3'!A:E,5,0)),0,VLOOKUP(A1620,'CloseDL - PriceSaverBBT3'!A:E,5,0))</f>
        <v>0</v>
      </c>
      <c r="K1620" s="7" t="str">
        <f t="shared" si="221"/>
        <v/>
      </c>
      <c r="L1620" s="20">
        <f>IF(Close[[#This Row],[CreatedBy]]="MARINER\SilverAdm",1,0)</f>
        <v>1</v>
      </c>
      <c r="M1620" t="str">
        <f>IF(NOT(ISBLANK(A1620)),VLOOKUP(A1620,'Close - PriceSaver'!A:J,6,0),"")</f>
        <v/>
      </c>
    </row>
    <row r="1621" spans="2:13" x14ac:dyDescent="0.35">
      <c r="B1621" t="str">
        <f>IF(NOT(ISBLANK(A1621)),VLOOKUP(A1621,'BBT3'!A:F,2,0),"")</f>
        <v/>
      </c>
      <c r="C1621" t="str">
        <f>IF(NOT(ISBLANK(A1621)),VLOOKUP(A1621,'BBT3'!A:F,3,0),"")</f>
        <v/>
      </c>
      <c r="D1621" s="5" t="str">
        <f>IF(NOT(ISBLANK(A1621)),VLOOKUP(A1621,'BBT3'!A:F,4,1),"")</f>
        <v/>
      </c>
      <c r="E1621" t="str">
        <f>IF(NOT(ISBLANK(A1621)),VLOOKUP(A1621,'BBT3'!A:F,5,0),"")</f>
        <v/>
      </c>
      <c r="F1621" t="str">
        <f>IF(NOT(ISBLANK(A1621)),VLOOKUP(A1621,'BBT3'!A:F,6,0),"")</f>
        <v/>
      </c>
      <c r="G1621" t="str">
        <f t="shared" si="220"/>
        <v/>
      </c>
      <c r="H1621" t="str">
        <f>IF(NOT(ISBLANK(A1621)),VLOOKUP(A1621,'Close - PriceSaver'!A:J,5,0),"")</f>
        <v/>
      </c>
      <c r="I1621" s="4" t="str" cm="1">
        <f t="array" ref="I1621">IF(NOT(ISBLANK(A1621)),((_xlfn.XLOOKUP(1,(_bbt3[[#All],[ID]]=A1621)*(_bbt3[[#All],[METRIC_NAME]]="YLD_YTM_ASK"),_bbt3[[#All],[METRIC_VALUE]])*0.5)+(_xlfn.XLOOKUP(1,(_bbt3[[#All],[ID]]=A1621)*(_bbt3[[#All],[METRIC_NAME]]="YLD_YTM_BID"),_bbt3[[#All],[METRIC_VALUE]])*0.5))/100,"")</f>
        <v/>
      </c>
      <c r="J1621">
        <f>IF(ISNA(VLOOKUP(A1621,'CloseDL - PriceSaverBBT3'!A:E,5,0)),0,VLOOKUP(A1621,'CloseDL - PriceSaverBBT3'!A:E,5,0))</f>
        <v>0</v>
      </c>
      <c r="K1621" s="7" t="str">
        <f t="shared" si="221"/>
        <v/>
      </c>
      <c r="L1621" s="20">
        <f>IF(Close[[#This Row],[CreatedBy]]="MARINER\SilverAdm",1,0)</f>
        <v>1</v>
      </c>
      <c r="M1621" t="str">
        <f>IF(NOT(ISBLANK(A1621)),VLOOKUP(A1621,'Close - PriceSaver'!A:J,6,0),"")</f>
        <v/>
      </c>
    </row>
    <row r="1622" spans="2:13" x14ac:dyDescent="0.35">
      <c r="B1622" t="str">
        <f>IF(NOT(ISBLANK(A1622)),VLOOKUP(A1622,'BBT3'!A:F,2,0),"")</f>
        <v/>
      </c>
      <c r="C1622" t="str">
        <f>IF(NOT(ISBLANK(A1622)),VLOOKUP(A1622,'BBT3'!A:F,3,0),"")</f>
        <v/>
      </c>
      <c r="D1622" s="5" t="str">
        <f>IF(NOT(ISBLANK(A1622)),VLOOKUP(A1622,'BBT3'!A:F,4,1),"")</f>
        <v/>
      </c>
      <c r="E1622" t="str">
        <f>IF(NOT(ISBLANK(A1622)),VLOOKUP(A1622,'BBT3'!A:F,5,0),"")</f>
        <v/>
      </c>
      <c r="F1622" t="str">
        <f>IF(NOT(ISBLANK(A1622)),VLOOKUP(A1622,'BBT3'!A:F,6,0),"")</f>
        <v/>
      </c>
      <c r="G1622" t="str">
        <f t="shared" si="220"/>
        <v/>
      </c>
      <c r="H1622" t="str">
        <f>IF(NOT(ISBLANK(A1622)),VLOOKUP(A1622,'Close - PriceSaver'!A:J,5,0),"")</f>
        <v/>
      </c>
      <c r="I1622" s="4" t="str" cm="1">
        <f t="array" ref="I1622">IF(NOT(ISBLANK(A1622)),((_xlfn.XLOOKUP(1,(_bbt3[[#All],[ID]]=A1622)*(_bbt3[[#All],[METRIC_NAME]]="YLD_YTM_ASK"),_bbt3[[#All],[METRIC_VALUE]])*0.5)+(_xlfn.XLOOKUP(1,(_bbt3[[#All],[ID]]=A1622)*(_bbt3[[#All],[METRIC_NAME]]="YLD_YTM_BID"),_bbt3[[#All],[METRIC_VALUE]])*0.5))/100,"")</f>
        <v/>
      </c>
      <c r="J1622">
        <f>IF(ISNA(VLOOKUP(A1622,'CloseDL - PriceSaverBBT3'!A:E,5,0)),0,VLOOKUP(A1622,'CloseDL - PriceSaverBBT3'!A:E,5,0))</f>
        <v>0</v>
      </c>
      <c r="K1622" s="7" t="str">
        <f t="shared" si="221"/>
        <v/>
      </c>
      <c r="L1622" s="20">
        <f>IF(Close[[#This Row],[CreatedBy]]="MARINER\SilverAdm",1,0)</f>
        <v>1</v>
      </c>
      <c r="M1622" t="str">
        <f>IF(NOT(ISBLANK(A1622)),VLOOKUP(A1622,'Close - PriceSaver'!A:J,6,0),"")</f>
        <v/>
      </c>
    </row>
    <row r="1623" spans="2:13" x14ac:dyDescent="0.35">
      <c r="B1623" t="str">
        <f>IF(NOT(ISBLANK(A1623)),VLOOKUP(A1623,'BBT3'!A:F,2,0),"")</f>
        <v/>
      </c>
      <c r="C1623" t="str">
        <f>IF(NOT(ISBLANK(A1623)),VLOOKUP(A1623,'BBT3'!A:F,3,0),"")</f>
        <v/>
      </c>
      <c r="D1623" s="5" t="str">
        <f>IF(NOT(ISBLANK(A1623)),VLOOKUP(A1623,'BBT3'!A:F,4,1),"")</f>
        <v/>
      </c>
      <c r="E1623" t="str">
        <f>IF(NOT(ISBLANK(A1623)),VLOOKUP(A1623,'BBT3'!A:F,5,0),"")</f>
        <v/>
      </c>
      <c r="F1623" t="str">
        <f>IF(NOT(ISBLANK(A1623)),VLOOKUP(A1623,'BBT3'!A:F,6,0),"")</f>
        <v/>
      </c>
      <c r="G1623" t="str">
        <f t="shared" si="220"/>
        <v/>
      </c>
      <c r="H1623" t="str">
        <f>IF(NOT(ISBLANK(A1623)),VLOOKUP(A1623,'Close - PriceSaver'!A:J,5,0),"")</f>
        <v/>
      </c>
      <c r="I1623" s="4" t="str" cm="1">
        <f t="array" ref="I1623">IF(NOT(ISBLANK(A1623)),((_xlfn.XLOOKUP(1,(_bbt3[[#All],[ID]]=A1623)*(_bbt3[[#All],[METRIC_NAME]]="YLD_YTM_ASK"),_bbt3[[#All],[METRIC_VALUE]])*0.5)+(_xlfn.XLOOKUP(1,(_bbt3[[#All],[ID]]=A1623)*(_bbt3[[#All],[METRIC_NAME]]="YLD_YTM_BID"),_bbt3[[#All],[METRIC_VALUE]])*0.5))/100,"")</f>
        <v/>
      </c>
      <c r="J1623">
        <f>IF(ISNA(VLOOKUP(A1623,'CloseDL - PriceSaverBBT3'!A:E,5,0)),0,VLOOKUP(A1623,'CloseDL - PriceSaverBBT3'!A:E,5,0))</f>
        <v>0</v>
      </c>
      <c r="K1623" s="7" t="str">
        <f t="shared" si="221"/>
        <v/>
      </c>
      <c r="L1623" s="20">
        <f>IF(Close[[#This Row],[CreatedBy]]="MARINER\SilverAdm",1,0)</f>
        <v>1</v>
      </c>
      <c r="M1623" t="str">
        <f>IF(NOT(ISBLANK(A1623)),VLOOKUP(A1623,'Close - PriceSaver'!A:J,6,0),"")</f>
        <v/>
      </c>
    </row>
    <row r="1624" spans="2:13" x14ac:dyDescent="0.35">
      <c r="B1624" t="str">
        <f>IF(NOT(ISBLANK(A1624)),VLOOKUP(A1624,'BBT3'!A:F,2,0),"")</f>
        <v/>
      </c>
      <c r="C1624" t="str">
        <f>IF(NOT(ISBLANK(A1624)),VLOOKUP(A1624,'BBT3'!A:F,3,0),"")</f>
        <v/>
      </c>
      <c r="D1624" s="5" t="str">
        <f>IF(NOT(ISBLANK(A1624)),VLOOKUP(A1624,'BBT3'!A:F,4,1),"")</f>
        <v/>
      </c>
      <c r="E1624" t="str">
        <f>IF(NOT(ISBLANK(A1624)),VLOOKUP(A1624,'BBT3'!A:F,5,0),"")</f>
        <v/>
      </c>
      <c r="F1624" t="str">
        <f>IF(NOT(ISBLANK(A1624)),VLOOKUP(A1624,'BBT3'!A:F,6,0),"")</f>
        <v/>
      </c>
      <c r="G1624" t="str">
        <f t="shared" si="220"/>
        <v/>
      </c>
      <c r="H1624" t="str">
        <f>IF(NOT(ISBLANK(A1624)),VLOOKUP(A1624,'Close - PriceSaver'!A:J,5,0),"")</f>
        <v/>
      </c>
      <c r="I1624" s="4" t="str" cm="1">
        <f t="array" ref="I1624">IF(NOT(ISBLANK(A1624)),((_xlfn.XLOOKUP(1,(_bbt3[[#All],[ID]]=A1624)*(_bbt3[[#All],[METRIC_NAME]]="YLD_YTM_ASK"),_bbt3[[#All],[METRIC_VALUE]])*0.5)+(_xlfn.XLOOKUP(1,(_bbt3[[#All],[ID]]=A1624)*(_bbt3[[#All],[METRIC_NAME]]="YLD_YTM_BID"),_bbt3[[#All],[METRIC_VALUE]])*0.5))/100,"")</f>
        <v/>
      </c>
      <c r="J1624">
        <f>IF(ISNA(VLOOKUP(A1624,'CloseDL - PriceSaverBBT3'!A:E,5,0)),0,VLOOKUP(A1624,'CloseDL - PriceSaverBBT3'!A:E,5,0))</f>
        <v>0</v>
      </c>
      <c r="K1624" s="7" t="str">
        <f t="shared" si="221"/>
        <v/>
      </c>
      <c r="L1624" s="20">
        <f>IF(Close[[#This Row],[CreatedBy]]="MARINER\SilverAdm",1,0)</f>
        <v>1</v>
      </c>
      <c r="M1624" t="str">
        <f>IF(NOT(ISBLANK(A1624)),VLOOKUP(A1624,'Close - PriceSaver'!A:J,6,0),"")</f>
        <v/>
      </c>
    </row>
    <row r="1625" spans="2:13" x14ac:dyDescent="0.35">
      <c r="B1625" t="str">
        <f>IF(NOT(ISBLANK(A1625)),VLOOKUP(A1625,'BBT3'!A:F,2,0),"")</f>
        <v/>
      </c>
      <c r="C1625" t="str">
        <f>IF(NOT(ISBLANK(A1625)),VLOOKUP(A1625,'BBT3'!A:F,3,0),"")</f>
        <v/>
      </c>
      <c r="D1625" s="5" t="str">
        <f>IF(NOT(ISBLANK(A1625)),VLOOKUP(A1625,'BBT3'!A:F,4,1),"")</f>
        <v/>
      </c>
      <c r="E1625" t="str">
        <f>IF(NOT(ISBLANK(A1625)),VLOOKUP(A1625,'BBT3'!A:F,5,0),"")</f>
        <v/>
      </c>
      <c r="F1625" t="str">
        <f>IF(NOT(ISBLANK(A1625)),VLOOKUP(A1625,'BBT3'!A:F,6,0),"")</f>
        <v/>
      </c>
      <c r="G1625" t="str">
        <f t="shared" si="220"/>
        <v/>
      </c>
      <c r="H1625" t="str">
        <f>IF(NOT(ISBLANK(A1625)),VLOOKUP(A1625,'Close - PriceSaver'!A:J,5,0),"")</f>
        <v/>
      </c>
      <c r="I1625" s="4" t="str" cm="1">
        <f t="array" ref="I1625">IF(NOT(ISBLANK(A1625)),((_xlfn.XLOOKUP(1,(_bbt3[[#All],[ID]]=A1625)*(_bbt3[[#All],[METRIC_NAME]]="YLD_YTM_ASK"),_bbt3[[#All],[METRIC_VALUE]])*0.5)+(_xlfn.XLOOKUP(1,(_bbt3[[#All],[ID]]=A1625)*(_bbt3[[#All],[METRIC_NAME]]="YLD_YTM_BID"),_bbt3[[#All],[METRIC_VALUE]])*0.5))/100,"")</f>
        <v/>
      </c>
      <c r="J1625">
        <f>IF(ISNA(VLOOKUP(A1625,'CloseDL - PriceSaverBBT3'!A:E,5,0)),0,VLOOKUP(A1625,'CloseDL - PriceSaverBBT3'!A:E,5,0))</f>
        <v>0</v>
      </c>
      <c r="K1625" s="7" t="str">
        <f t="shared" si="221"/>
        <v/>
      </c>
      <c r="L1625" s="20">
        <f>IF(Close[[#This Row],[CreatedBy]]="MARINER\SilverAdm",1,0)</f>
        <v>1</v>
      </c>
      <c r="M1625" t="str">
        <f>IF(NOT(ISBLANK(A1625)),VLOOKUP(A1625,'Close - PriceSaver'!A:J,6,0),"")</f>
        <v/>
      </c>
    </row>
    <row r="1626" spans="2:13" x14ac:dyDescent="0.35">
      <c r="B1626" t="str">
        <f>IF(NOT(ISBLANK(A1626)),VLOOKUP(A1626,'BBT3'!A:F,2,0),"")</f>
        <v/>
      </c>
      <c r="C1626" t="str">
        <f>IF(NOT(ISBLANK(A1626)),VLOOKUP(A1626,'BBT3'!A:F,3,0),"")</f>
        <v/>
      </c>
      <c r="D1626" s="5" t="str">
        <f>IF(NOT(ISBLANK(A1626)),VLOOKUP(A1626,'BBT3'!A:F,4,1),"")</f>
        <v/>
      </c>
      <c r="E1626" t="str">
        <f>IF(NOT(ISBLANK(A1626)),VLOOKUP(A1626,'BBT3'!A:F,5,0),"")</f>
        <v/>
      </c>
      <c r="F1626" t="str">
        <f>IF(NOT(ISBLANK(A1626)),VLOOKUP(A1626,'BBT3'!A:F,6,0),"")</f>
        <v/>
      </c>
      <c r="G1626" t="str">
        <f t="shared" si="220"/>
        <v/>
      </c>
      <c r="H1626" t="str">
        <f>IF(NOT(ISBLANK(A1626)),VLOOKUP(A1626,'Close - PriceSaver'!A:J,5,0),"")</f>
        <v/>
      </c>
      <c r="I1626" s="4" t="str" cm="1">
        <f t="array" ref="I1626">IF(NOT(ISBLANK(A1626)),((_xlfn.XLOOKUP(1,(_bbt3[[#All],[ID]]=A1626)*(_bbt3[[#All],[METRIC_NAME]]="YLD_YTM_ASK"),_bbt3[[#All],[METRIC_VALUE]])*0.5)+(_xlfn.XLOOKUP(1,(_bbt3[[#All],[ID]]=A1626)*(_bbt3[[#All],[METRIC_NAME]]="YLD_YTM_BID"),_bbt3[[#All],[METRIC_VALUE]])*0.5))/100,"")</f>
        <v/>
      </c>
      <c r="J1626">
        <f>IF(ISNA(VLOOKUP(A1626,'CloseDL - PriceSaverBBT3'!A:E,5,0)),0,VLOOKUP(A1626,'CloseDL - PriceSaverBBT3'!A:E,5,0))</f>
        <v>0</v>
      </c>
      <c r="K1626" s="7" t="str">
        <f t="shared" si="221"/>
        <v/>
      </c>
      <c r="L1626" s="20">
        <f>IF(Close[[#This Row],[CreatedBy]]="MARINER\SilverAdm",1,0)</f>
        <v>1</v>
      </c>
      <c r="M1626" t="str">
        <f>IF(NOT(ISBLANK(A1626)),VLOOKUP(A1626,'Close - PriceSaver'!A:J,6,0),"")</f>
        <v/>
      </c>
    </row>
    <row r="1627" spans="2:13" x14ac:dyDescent="0.35">
      <c r="B1627" t="str">
        <f>IF(NOT(ISBLANK(A1627)),VLOOKUP(A1627,'BBT3'!A:F,2,0),"")</f>
        <v/>
      </c>
      <c r="C1627" t="str">
        <f>IF(NOT(ISBLANK(A1627)),VLOOKUP(A1627,'BBT3'!A:F,3,0),"")</f>
        <v/>
      </c>
      <c r="D1627" s="5" t="str">
        <f>IF(NOT(ISBLANK(A1627)),VLOOKUP(A1627,'BBT3'!A:F,4,1),"")</f>
        <v/>
      </c>
      <c r="E1627" t="str">
        <f>IF(NOT(ISBLANK(A1627)),VLOOKUP(A1627,'BBT3'!A:F,5,0),"")</f>
        <v/>
      </c>
      <c r="F1627" t="str">
        <f>IF(NOT(ISBLANK(A1627)),VLOOKUP(A1627,'BBT3'!A:F,6,0),"")</f>
        <v/>
      </c>
      <c r="G1627" t="str">
        <f t="shared" si="220"/>
        <v/>
      </c>
      <c r="H1627" t="str">
        <f>IF(NOT(ISBLANK(A1627)),VLOOKUP(A1627,'Close - PriceSaver'!A:J,5,0),"")</f>
        <v/>
      </c>
      <c r="I1627" s="4" t="str" cm="1">
        <f t="array" ref="I1627">IF(NOT(ISBLANK(A1627)),((_xlfn.XLOOKUP(1,(_bbt3[[#All],[ID]]=A1627)*(_bbt3[[#All],[METRIC_NAME]]="YLD_YTM_ASK"),_bbt3[[#All],[METRIC_VALUE]])*0.5)+(_xlfn.XLOOKUP(1,(_bbt3[[#All],[ID]]=A1627)*(_bbt3[[#All],[METRIC_NAME]]="YLD_YTM_BID"),_bbt3[[#All],[METRIC_VALUE]])*0.5))/100,"")</f>
        <v/>
      </c>
      <c r="J1627">
        <f>IF(ISNA(VLOOKUP(A1627,'CloseDL - PriceSaverBBT3'!A:E,5,0)),0,VLOOKUP(A1627,'CloseDL - PriceSaverBBT3'!A:E,5,0))</f>
        <v>0</v>
      </c>
      <c r="K1627" s="7" t="str">
        <f t="shared" si="221"/>
        <v/>
      </c>
      <c r="L1627" s="20">
        <f>IF(Close[[#This Row],[CreatedBy]]="MARINER\SilverAdm",1,0)</f>
        <v>1</v>
      </c>
      <c r="M1627" t="str">
        <f>IF(NOT(ISBLANK(A1627)),VLOOKUP(A1627,'Close - PriceSaver'!A:J,6,0),"")</f>
        <v/>
      </c>
    </row>
    <row r="1628" spans="2:13" x14ac:dyDescent="0.35">
      <c r="B1628" t="str">
        <f>IF(NOT(ISBLANK(A1628)),VLOOKUP(A1628,'BBT3'!A:F,2,0),"")</f>
        <v/>
      </c>
      <c r="C1628" t="str">
        <f>IF(NOT(ISBLANK(A1628)),VLOOKUP(A1628,'BBT3'!A:F,3,0),"")</f>
        <v/>
      </c>
      <c r="D1628" s="5" t="str">
        <f>IF(NOT(ISBLANK(A1628)),VLOOKUP(A1628,'BBT3'!A:F,4,1),"")</f>
        <v/>
      </c>
      <c r="E1628" t="str">
        <f>IF(NOT(ISBLANK(A1628)),VLOOKUP(A1628,'BBT3'!A:F,5,0),"")</f>
        <v/>
      </c>
      <c r="F1628" t="str">
        <f>IF(NOT(ISBLANK(A1628)),VLOOKUP(A1628,'BBT3'!A:F,6,0),"")</f>
        <v/>
      </c>
      <c r="G1628" t="str">
        <f t="shared" si="220"/>
        <v/>
      </c>
      <c r="H1628" t="str">
        <f>IF(NOT(ISBLANK(A1628)),VLOOKUP(A1628,'Close - PriceSaver'!A:J,5,0),"")</f>
        <v/>
      </c>
      <c r="I1628" s="4" t="str" cm="1">
        <f t="array" ref="I1628">IF(NOT(ISBLANK(A1628)),((_xlfn.XLOOKUP(1,(_bbt3[[#All],[ID]]=A1628)*(_bbt3[[#All],[METRIC_NAME]]="YLD_YTM_ASK"),_bbt3[[#All],[METRIC_VALUE]])*0.5)+(_xlfn.XLOOKUP(1,(_bbt3[[#All],[ID]]=A1628)*(_bbt3[[#All],[METRIC_NAME]]="YLD_YTM_BID"),_bbt3[[#All],[METRIC_VALUE]])*0.5))/100,"")</f>
        <v/>
      </c>
      <c r="J1628">
        <f>IF(ISNA(VLOOKUP(A1628,'CloseDL - PriceSaverBBT3'!A:E,5,0)),0,VLOOKUP(A1628,'CloseDL - PriceSaverBBT3'!A:E,5,0))</f>
        <v>0</v>
      </c>
      <c r="K1628" s="7" t="str">
        <f t="shared" si="221"/>
        <v/>
      </c>
      <c r="L1628" s="20">
        <f>IF(Close[[#This Row],[CreatedBy]]="MARINER\SilverAdm",1,0)</f>
        <v>1</v>
      </c>
      <c r="M1628" t="str">
        <f>IF(NOT(ISBLANK(A1628)),VLOOKUP(A1628,'Close - PriceSaver'!A:J,6,0),"")</f>
        <v/>
      </c>
    </row>
    <row r="1629" spans="2:13" x14ac:dyDescent="0.35">
      <c r="B1629" t="str">
        <f>IF(NOT(ISBLANK(A1629)),VLOOKUP(A1629,'BBT3'!A:F,2,0),"")</f>
        <v/>
      </c>
      <c r="C1629" t="str">
        <f>IF(NOT(ISBLANK(A1629)),VLOOKUP(A1629,'BBT3'!A:F,3,0),"")</f>
        <v/>
      </c>
      <c r="D1629" s="5" t="str">
        <f>IF(NOT(ISBLANK(A1629)),VLOOKUP(A1629,'BBT3'!A:F,4,1),"")</f>
        <v/>
      </c>
      <c r="E1629" t="str">
        <f>IF(NOT(ISBLANK(A1629)),VLOOKUP(A1629,'BBT3'!A:F,5,0),"")</f>
        <v/>
      </c>
      <c r="F1629" t="str">
        <f>IF(NOT(ISBLANK(A1629)),VLOOKUP(A1629,'BBT3'!A:F,6,0),"")</f>
        <v/>
      </c>
      <c r="G1629" t="str">
        <f t="shared" si="220"/>
        <v/>
      </c>
      <c r="H1629" t="str">
        <f>IF(NOT(ISBLANK(A1629)),VLOOKUP(A1629,'Close - PriceSaver'!A:J,5,0),"")</f>
        <v/>
      </c>
      <c r="I1629" s="4" t="str" cm="1">
        <f t="array" ref="I1629">IF(NOT(ISBLANK(A1629)),((_xlfn.XLOOKUP(1,(_bbt3[[#All],[ID]]=A1629)*(_bbt3[[#All],[METRIC_NAME]]="YLD_YTM_ASK"),_bbt3[[#All],[METRIC_VALUE]])*0.5)+(_xlfn.XLOOKUP(1,(_bbt3[[#All],[ID]]=A1629)*(_bbt3[[#All],[METRIC_NAME]]="YLD_YTM_BID"),_bbt3[[#All],[METRIC_VALUE]])*0.5))/100,"")</f>
        <v/>
      </c>
      <c r="J1629">
        <f>IF(ISNA(VLOOKUP(A1629,'CloseDL - PriceSaverBBT3'!A:E,5,0)),0,VLOOKUP(A1629,'CloseDL - PriceSaverBBT3'!A:E,5,0))</f>
        <v>0</v>
      </c>
      <c r="K1629" s="7" t="str">
        <f t="shared" si="221"/>
        <v/>
      </c>
      <c r="L1629" s="20">
        <f>IF(Close[[#This Row],[CreatedBy]]="MARINER\SilverAdm",1,0)</f>
        <v>1</v>
      </c>
      <c r="M1629" t="str">
        <f>IF(NOT(ISBLANK(A1629)),VLOOKUP(A1629,'Close - PriceSaver'!A:J,6,0),"")</f>
        <v/>
      </c>
    </row>
    <row r="1630" spans="2:13" x14ac:dyDescent="0.35">
      <c r="B1630" t="str">
        <f>IF(NOT(ISBLANK(A1630)),VLOOKUP(A1630,'BBT3'!A:F,2,0),"")</f>
        <v/>
      </c>
      <c r="C1630" t="str">
        <f>IF(NOT(ISBLANK(A1630)),VLOOKUP(A1630,'BBT3'!A:F,3,0),"")</f>
        <v/>
      </c>
      <c r="D1630" s="5" t="str">
        <f>IF(NOT(ISBLANK(A1630)),VLOOKUP(A1630,'BBT3'!A:F,4,1),"")</f>
        <v/>
      </c>
      <c r="E1630" t="str">
        <f>IF(NOT(ISBLANK(A1630)),VLOOKUP(A1630,'BBT3'!A:F,5,0),"")</f>
        <v/>
      </c>
      <c r="F1630" t="str">
        <f>IF(NOT(ISBLANK(A1630)),VLOOKUP(A1630,'BBT3'!A:F,6,0),"")</f>
        <v/>
      </c>
      <c r="G1630" t="str">
        <f t="shared" si="220"/>
        <v/>
      </c>
      <c r="H1630" t="str">
        <f>IF(NOT(ISBLANK(A1630)),VLOOKUP(A1630,'Close - PriceSaver'!A:J,5,0),"")</f>
        <v/>
      </c>
      <c r="I1630" s="4" t="str" cm="1">
        <f t="array" ref="I1630">IF(NOT(ISBLANK(A1630)),((_xlfn.XLOOKUP(1,(_bbt3[[#All],[ID]]=A1630)*(_bbt3[[#All],[METRIC_NAME]]="YLD_YTM_ASK"),_bbt3[[#All],[METRIC_VALUE]])*0.5)+(_xlfn.XLOOKUP(1,(_bbt3[[#All],[ID]]=A1630)*(_bbt3[[#All],[METRIC_NAME]]="YLD_YTM_BID"),_bbt3[[#All],[METRIC_VALUE]])*0.5))/100,"")</f>
        <v/>
      </c>
      <c r="J1630">
        <f>IF(ISNA(VLOOKUP(A1630,'CloseDL - PriceSaverBBT3'!A:E,5,0)),0,VLOOKUP(A1630,'CloseDL - PriceSaverBBT3'!A:E,5,0))</f>
        <v>0</v>
      </c>
      <c r="K1630" s="7" t="str">
        <f t="shared" si="221"/>
        <v/>
      </c>
      <c r="L1630" s="20">
        <f>IF(Close[[#This Row],[CreatedBy]]="MARINER\SilverAdm",1,0)</f>
        <v>1</v>
      </c>
      <c r="M1630" t="str">
        <f>IF(NOT(ISBLANK(A1630)),VLOOKUP(A1630,'Close - PriceSaver'!A:J,6,0),"")</f>
        <v/>
      </c>
    </row>
    <row r="1631" spans="2:13" x14ac:dyDescent="0.35">
      <c r="B1631" t="str">
        <f>IF(NOT(ISBLANK(A1631)),VLOOKUP(A1631,'BBT3'!A:F,2,0),"")</f>
        <v/>
      </c>
      <c r="C1631" t="str">
        <f>IF(NOT(ISBLANK(A1631)),VLOOKUP(A1631,'BBT3'!A:F,3,0),"")</f>
        <v/>
      </c>
      <c r="D1631" s="5" t="str">
        <f>IF(NOT(ISBLANK(A1631)),VLOOKUP(A1631,'BBT3'!A:F,4,1),"")</f>
        <v/>
      </c>
      <c r="E1631" t="str">
        <f>IF(NOT(ISBLANK(A1631)),VLOOKUP(A1631,'BBT3'!A:F,5,0),"")</f>
        <v/>
      </c>
      <c r="F1631" t="str">
        <f>IF(NOT(ISBLANK(A1631)),VLOOKUP(A1631,'BBT3'!A:F,6,0),"")</f>
        <v/>
      </c>
      <c r="G1631" t="str">
        <f t="shared" si="220"/>
        <v/>
      </c>
      <c r="H1631" t="str">
        <f>IF(NOT(ISBLANK(A1631)),VLOOKUP(A1631,'Close - PriceSaver'!A:J,5,0),"")</f>
        <v/>
      </c>
      <c r="I1631" s="4" t="str" cm="1">
        <f t="array" ref="I1631">IF(NOT(ISBLANK(A1631)),((_xlfn.XLOOKUP(1,(_bbt3[[#All],[ID]]=A1631)*(_bbt3[[#All],[METRIC_NAME]]="YLD_YTM_ASK"),_bbt3[[#All],[METRIC_VALUE]])*0.5)+(_xlfn.XLOOKUP(1,(_bbt3[[#All],[ID]]=A1631)*(_bbt3[[#All],[METRIC_NAME]]="YLD_YTM_BID"),_bbt3[[#All],[METRIC_VALUE]])*0.5))/100,"")</f>
        <v/>
      </c>
      <c r="J1631">
        <f>IF(ISNA(VLOOKUP(A1631,'CloseDL - PriceSaverBBT3'!A:E,5,0)),0,VLOOKUP(A1631,'CloseDL - PriceSaverBBT3'!A:E,5,0))</f>
        <v>0</v>
      </c>
      <c r="K1631" s="7" t="str">
        <f t="shared" si="221"/>
        <v/>
      </c>
      <c r="L1631" s="20">
        <f>IF(Close[[#This Row],[CreatedBy]]="MARINER\SilverAdm",1,0)</f>
        <v>1</v>
      </c>
      <c r="M1631" t="str">
        <f>IF(NOT(ISBLANK(A1631)),VLOOKUP(A1631,'Close - PriceSaver'!A:J,6,0),"")</f>
        <v/>
      </c>
    </row>
    <row r="1632" spans="2:13" x14ac:dyDescent="0.35">
      <c r="B1632" t="str">
        <f>IF(NOT(ISBLANK(A1632)),VLOOKUP(A1632,'BBT3'!A:F,2,0),"")</f>
        <v/>
      </c>
      <c r="C1632" t="str">
        <f>IF(NOT(ISBLANK(A1632)),VLOOKUP(A1632,'BBT3'!A:F,3,0),"")</f>
        <v/>
      </c>
      <c r="D1632" s="5" t="str">
        <f>IF(NOT(ISBLANK(A1632)),VLOOKUP(A1632,'BBT3'!A:F,4,1),"")</f>
        <v/>
      </c>
      <c r="E1632" t="str">
        <f>IF(NOT(ISBLANK(A1632)),VLOOKUP(A1632,'BBT3'!A:F,5,0),"")</f>
        <v/>
      </c>
      <c r="F1632" t="str">
        <f>IF(NOT(ISBLANK(A1632)),VLOOKUP(A1632,'BBT3'!A:F,6,0),"")</f>
        <v/>
      </c>
      <c r="G1632" t="str">
        <f t="shared" si="220"/>
        <v/>
      </c>
      <c r="H1632" t="str">
        <f>IF(NOT(ISBLANK(A1632)),VLOOKUP(A1632,'Close - PriceSaver'!A:J,5,0),"")</f>
        <v/>
      </c>
      <c r="I1632" s="4" t="str" cm="1">
        <f t="array" ref="I1632">IF(NOT(ISBLANK(A1632)),((_xlfn.XLOOKUP(1,(_bbt3[[#All],[ID]]=A1632)*(_bbt3[[#All],[METRIC_NAME]]="YLD_YTM_ASK"),_bbt3[[#All],[METRIC_VALUE]])*0.5)+(_xlfn.XLOOKUP(1,(_bbt3[[#All],[ID]]=A1632)*(_bbt3[[#All],[METRIC_NAME]]="YLD_YTM_BID"),_bbt3[[#All],[METRIC_VALUE]])*0.5))/100,"")</f>
        <v/>
      </c>
      <c r="J1632">
        <f>IF(ISNA(VLOOKUP(A1632,'CloseDL - PriceSaverBBT3'!A:E,5,0)),0,VLOOKUP(A1632,'CloseDL - PriceSaverBBT3'!A:E,5,0))</f>
        <v>0</v>
      </c>
      <c r="K1632" s="7" t="str">
        <f t="shared" si="221"/>
        <v/>
      </c>
      <c r="L1632" s="20">
        <f>IF(Close[[#This Row],[CreatedBy]]="MARINER\SilverAdm",1,0)</f>
        <v>1</v>
      </c>
      <c r="M1632" t="str">
        <f>IF(NOT(ISBLANK(A1632)),VLOOKUP(A1632,'Close - PriceSaver'!A:J,6,0),"")</f>
        <v/>
      </c>
    </row>
    <row r="1633" spans="2:13" x14ac:dyDescent="0.35">
      <c r="B1633" t="str">
        <f>IF(NOT(ISBLANK(A1633)),VLOOKUP(A1633,'BBT3'!A:F,2,0),"")</f>
        <v/>
      </c>
      <c r="C1633" t="str">
        <f>IF(NOT(ISBLANK(A1633)),VLOOKUP(A1633,'BBT3'!A:F,3,0),"")</f>
        <v/>
      </c>
      <c r="D1633" s="5" t="str">
        <f>IF(NOT(ISBLANK(A1633)),VLOOKUP(A1633,'BBT3'!A:F,4,1),"")</f>
        <v/>
      </c>
      <c r="E1633" t="str">
        <f>IF(NOT(ISBLANK(A1633)),VLOOKUP(A1633,'BBT3'!A:F,5,0),"")</f>
        <v/>
      </c>
      <c r="F1633" t="str">
        <f>IF(NOT(ISBLANK(A1633)),VLOOKUP(A1633,'BBT3'!A:F,6,0),"")</f>
        <v/>
      </c>
      <c r="G1633" t="str">
        <f t="shared" si="220"/>
        <v/>
      </c>
      <c r="H1633" t="str">
        <f>IF(NOT(ISBLANK(A1633)),VLOOKUP(A1633,'Close - PriceSaver'!A:J,5,0),"")</f>
        <v/>
      </c>
      <c r="I1633" s="4" t="str" cm="1">
        <f t="array" ref="I1633">IF(NOT(ISBLANK(A1633)),((_xlfn.XLOOKUP(1,(_bbt3[[#All],[ID]]=A1633)*(_bbt3[[#All],[METRIC_NAME]]="YLD_YTM_ASK"),_bbt3[[#All],[METRIC_VALUE]])*0.5)+(_xlfn.XLOOKUP(1,(_bbt3[[#All],[ID]]=A1633)*(_bbt3[[#All],[METRIC_NAME]]="YLD_YTM_BID"),_bbt3[[#All],[METRIC_VALUE]])*0.5))/100,"")</f>
        <v/>
      </c>
      <c r="J1633">
        <f>IF(ISNA(VLOOKUP(A1633,'CloseDL - PriceSaverBBT3'!A:E,5,0)),0,VLOOKUP(A1633,'CloseDL - PriceSaverBBT3'!A:E,5,0))</f>
        <v>0</v>
      </c>
      <c r="K1633" s="7" t="str">
        <f t="shared" si="221"/>
        <v/>
      </c>
      <c r="L1633" s="20">
        <f>IF(Close[[#This Row],[CreatedBy]]="MARINER\SilverAdm",1,0)</f>
        <v>1</v>
      </c>
      <c r="M1633" t="str">
        <f>IF(NOT(ISBLANK(A1633)),VLOOKUP(A1633,'Close - PriceSaver'!A:J,6,0),"")</f>
        <v/>
      </c>
    </row>
    <row r="1634" spans="2:13" x14ac:dyDescent="0.35">
      <c r="B1634" t="str">
        <f>IF(NOT(ISBLANK(A1634)),VLOOKUP(A1634,'BBT3'!A:F,2,0),"")</f>
        <v/>
      </c>
      <c r="C1634" t="str">
        <f>IF(NOT(ISBLANK(A1634)),VLOOKUP(A1634,'BBT3'!A:F,3,0),"")</f>
        <v/>
      </c>
      <c r="D1634" s="5" t="str">
        <f>IF(NOT(ISBLANK(A1634)),VLOOKUP(A1634,'BBT3'!A:F,4,1),"")</f>
        <v/>
      </c>
      <c r="E1634" t="str">
        <f>IF(NOT(ISBLANK(A1634)),VLOOKUP(A1634,'BBT3'!A:F,5,0),"")</f>
        <v/>
      </c>
      <c r="F1634" t="str">
        <f>IF(NOT(ISBLANK(A1634)),VLOOKUP(A1634,'BBT3'!A:F,6,0),"")</f>
        <v/>
      </c>
      <c r="G1634" t="str">
        <f t="shared" si="220"/>
        <v/>
      </c>
      <c r="H1634" t="str">
        <f>IF(NOT(ISBLANK(A1634)),VLOOKUP(A1634,'Close - PriceSaver'!A:J,5,0),"")</f>
        <v/>
      </c>
      <c r="I1634" s="4" t="str" cm="1">
        <f t="array" ref="I1634">IF(NOT(ISBLANK(A1634)),((_xlfn.XLOOKUP(1,(_bbt3[[#All],[ID]]=A1634)*(_bbt3[[#All],[METRIC_NAME]]="YLD_YTM_ASK"),_bbt3[[#All],[METRIC_VALUE]])*0.5)+(_xlfn.XLOOKUP(1,(_bbt3[[#All],[ID]]=A1634)*(_bbt3[[#All],[METRIC_NAME]]="YLD_YTM_BID"),_bbt3[[#All],[METRIC_VALUE]])*0.5))/100,"")</f>
        <v/>
      </c>
      <c r="J1634">
        <f>IF(ISNA(VLOOKUP(A1634,'CloseDL - PriceSaverBBT3'!A:E,5,0)),0,VLOOKUP(A1634,'CloseDL - PriceSaverBBT3'!A:E,5,0))</f>
        <v>0</v>
      </c>
      <c r="K1634" s="7" t="str">
        <f t="shared" si="221"/>
        <v/>
      </c>
      <c r="L1634" s="20">
        <f>IF(Close[[#This Row],[CreatedBy]]="MARINER\SilverAdm",1,0)</f>
        <v>1</v>
      </c>
      <c r="M1634" t="str">
        <f>IF(NOT(ISBLANK(A1634)),VLOOKUP(A1634,'Close - PriceSaver'!A:J,6,0),"")</f>
        <v/>
      </c>
    </row>
    <row r="1635" spans="2:13" x14ac:dyDescent="0.35">
      <c r="B1635" t="str">
        <f>IF(NOT(ISBLANK(A1635)),VLOOKUP(A1635,'BBT3'!A:F,2,0),"")</f>
        <v/>
      </c>
      <c r="C1635" t="str">
        <f>IF(NOT(ISBLANK(A1635)),VLOOKUP(A1635,'BBT3'!A:F,3,0),"")</f>
        <v/>
      </c>
      <c r="D1635" s="5" t="str">
        <f>IF(NOT(ISBLANK(A1635)),VLOOKUP(A1635,'BBT3'!A:F,4,1),"")</f>
        <v/>
      </c>
      <c r="E1635" t="str">
        <f>IF(NOT(ISBLANK(A1635)),VLOOKUP(A1635,'BBT3'!A:F,5,0),"")</f>
        <v/>
      </c>
      <c r="F1635" t="str">
        <f>IF(NOT(ISBLANK(A1635)),VLOOKUP(A1635,'BBT3'!A:F,6,0),"")</f>
        <v/>
      </c>
      <c r="G1635" t="str">
        <f t="shared" si="220"/>
        <v/>
      </c>
      <c r="H1635" t="str">
        <f>IF(NOT(ISBLANK(A1635)),VLOOKUP(A1635,'Close - PriceSaver'!A:J,5,0),"")</f>
        <v/>
      </c>
      <c r="I1635" s="4" t="str" cm="1">
        <f t="array" ref="I1635">IF(NOT(ISBLANK(A1635)),((_xlfn.XLOOKUP(1,(_bbt3[[#All],[ID]]=A1635)*(_bbt3[[#All],[METRIC_NAME]]="YLD_YTM_ASK"),_bbt3[[#All],[METRIC_VALUE]])*0.5)+(_xlfn.XLOOKUP(1,(_bbt3[[#All],[ID]]=A1635)*(_bbt3[[#All],[METRIC_NAME]]="YLD_YTM_BID"),_bbt3[[#All],[METRIC_VALUE]])*0.5))/100,"")</f>
        <v/>
      </c>
      <c r="J1635">
        <f>IF(ISNA(VLOOKUP(A1635,'CloseDL - PriceSaverBBT3'!A:E,5,0)),0,VLOOKUP(A1635,'CloseDL - PriceSaverBBT3'!A:E,5,0))</f>
        <v>0</v>
      </c>
      <c r="K1635" s="7" t="str">
        <f t="shared" si="221"/>
        <v/>
      </c>
      <c r="L1635" s="20">
        <f>IF(Close[[#This Row],[CreatedBy]]="MARINER\SilverAdm",1,0)</f>
        <v>1</v>
      </c>
      <c r="M1635" t="str">
        <f>IF(NOT(ISBLANK(A1635)),VLOOKUP(A1635,'Close - PriceSaver'!A:J,6,0),"")</f>
        <v/>
      </c>
    </row>
    <row r="1636" spans="2:13" x14ac:dyDescent="0.35">
      <c r="B1636" t="str">
        <f>IF(NOT(ISBLANK(A1636)),VLOOKUP(A1636,'BBT3'!A:F,2,0),"")</f>
        <v/>
      </c>
      <c r="C1636" t="str">
        <f>IF(NOT(ISBLANK(A1636)),VLOOKUP(A1636,'BBT3'!A:F,3,0),"")</f>
        <v/>
      </c>
      <c r="D1636" s="5" t="str">
        <f>IF(NOT(ISBLANK(A1636)),VLOOKUP(A1636,'BBT3'!A:F,4,1),"")</f>
        <v/>
      </c>
      <c r="E1636" t="str">
        <f>IF(NOT(ISBLANK(A1636)),VLOOKUP(A1636,'BBT3'!A:F,5,0),"")</f>
        <v/>
      </c>
      <c r="F1636" t="str">
        <f>IF(NOT(ISBLANK(A1636)),VLOOKUP(A1636,'BBT3'!A:F,6,0),"")</f>
        <v/>
      </c>
      <c r="G1636" t="str">
        <f t="shared" si="220"/>
        <v/>
      </c>
      <c r="H1636" t="str">
        <f>IF(NOT(ISBLANK(A1636)),VLOOKUP(A1636,'Close - PriceSaver'!A:J,5,0),"")</f>
        <v/>
      </c>
      <c r="I1636" s="4" t="str" cm="1">
        <f t="array" ref="I1636">IF(NOT(ISBLANK(A1636)),((_xlfn.XLOOKUP(1,(_bbt3[[#All],[ID]]=A1636)*(_bbt3[[#All],[METRIC_NAME]]="YLD_YTM_ASK"),_bbt3[[#All],[METRIC_VALUE]])*0.5)+(_xlfn.XLOOKUP(1,(_bbt3[[#All],[ID]]=A1636)*(_bbt3[[#All],[METRIC_NAME]]="YLD_YTM_BID"),_bbt3[[#All],[METRIC_VALUE]])*0.5))/100,"")</f>
        <v/>
      </c>
      <c r="J1636">
        <f>IF(ISNA(VLOOKUP(A1636,'CloseDL - PriceSaverBBT3'!A:E,5,0)),0,VLOOKUP(A1636,'CloseDL - PriceSaverBBT3'!A:E,5,0))</f>
        <v>0</v>
      </c>
      <c r="K1636" s="7" t="str">
        <f t="shared" si="221"/>
        <v/>
      </c>
      <c r="L1636" s="20">
        <f>IF(Close[[#This Row],[CreatedBy]]="MARINER\SilverAdm",1,0)</f>
        <v>1</v>
      </c>
      <c r="M1636" t="str">
        <f>IF(NOT(ISBLANK(A1636)),VLOOKUP(A1636,'Close - PriceSaver'!A:J,6,0),"")</f>
        <v/>
      </c>
    </row>
    <row r="1637" spans="2:13" x14ac:dyDescent="0.35">
      <c r="B1637" t="str">
        <f>IF(NOT(ISBLANK(A1637)),VLOOKUP(A1637,'BBT3'!A:F,2,0),"")</f>
        <v/>
      </c>
      <c r="C1637" t="str">
        <f>IF(NOT(ISBLANK(A1637)),VLOOKUP(A1637,'BBT3'!A:F,3,0),"")</f>
        <v/>
      </c>
      <c r="D1637" s="5" t="str">
        <f>IF(NOT(ISBLANK(A1637)),VLOOKUP(A1637,'BBT3'!A:F,4,1),"")</f>
        <v/>
      </c>
      <c r="E1637" t="str">
        <f>IF(NOT(ISBLANK(A1637)),VLOOKUP(A1637,'BBT3'!A:F,5,0),"")</f>
        <v/>
      </c>
      <c r="F1637" t="str">
        <f>IF(NOT(ISBLANK(A1637)),VLOOKUP(A1637,'BBT3'!A:F,6,0),"")</f>
        <v/>
      </c>
      <c r="G1637" t="str">
        <f t="shared" si="220"/>
        <v/>
      </c>
      <c r="H1637" t="str">
        <f>IF(NOT(ISBLANK(A1637)),VLOOKUP(A1637,'Close - PriceSaver'!A:J,5,0),"")</f>
        <v/>
      </c>
      <c r="I1637" s="4" t="str" cm="1">
        <f t="array" ref="I1637">IF(NOT(ISBLANK(A1637)),((_xlfn.XLOOKUP(1,(_bbt3[[#All],[ID]]=A1637)*(_bbt3[[#All],[METRIC_NAME]]="YLD_YTM_ASK"),_bbt3[[#All],[METRIC_VALUE]])*0.5)+(_xlfn.XLOOKUP(1,(_bbt3[[#All],[ID]]=A1637)*(_bbt3[[#All],[METRIC_NAME]]="YLD_YTM_BID"),_bbt3[[#All],[METRIC_VALUE]])*0.5))/100,"")</f>
        <v/>
      </c>
      <c r="J1637">
        <f>IF(ISNA(VLOOKUP(A1637,'CloseDL - PriceSaverBBT3'!A:E,5,0)),0,VLOOKUP(A1637,'CloseDL - PriceSaverBBT3'!A:E,5,0))</f>
        <v>0</v>
      </c>
      <c r="K1637" s="7" t="str">
        <f t="shared" si="221"/>
        <v/>
      </c>
      <c r="L1637" s="20">
        <f>IF(Close[[#This Row],[CreatedBy]]="MARINER\SilverAdm",1,0)</f>
        <v>1</v>
      </c>
      <c r="M1637" t="str">
        <f>IF(NOT(ISBLANK(A1637)),VLOOKUP(A1637,'Close - PriceSaver'!A:J,6,0),"")</f>
        <v/>
      </c>
    </row>
    <row r="1638" spans="2:13" x14ac:dyDescent="0.35">
      <c r="B1638" t="str">
        <f>IF(NOT(ISBLANK(A1638)),VLOOKUP(A1638,'BBT3'!A:F,2,0),"")</f>
        <v/>
      </c>
      <c r="C1638" t="str">
        <f>IF(NOT(ISBLANK(A1638)),VLOOKUP(A1638,'BBT3'!A:F,3,0),"")</f>
        <v/>
      </c>
      <c r="D1638" s="5" t="str">
        <f>IF(NOT(ISBLANK(A1638)),VLOOKUP(A1638,'BBT3'!A:F,4,1),"")</f>
        <v/>
      </c>
      <c r="E1638" t="str">
        <f>IF(NOT(ISBLANK(A1638)),VLOOKUP(A1638,'BBT3'!A:F,5,0),"")</f>
        <v/>
      </c>
      <c r="F1638" t="str">
        <f>IF(NOT(ISBLANK(A1638)),VLOOKUP(A1638,'BBT3'!A:F,6,0),"")</f>
        <v/>
      </c>
      <c r="G1638" t="str">
        <f t="shared" si="220"/>
        <v/>
      </c>
      <c r="H1638" t="str">
        <f>IF(NOT(ISBLANK(A1638)),VLOOKUP(A1638,'Close - PriceSaver'!A:J,5,0),"")</f>
        <v/>
      </c>
      <c r="I1638" s="4" t="str" cm="1">
        <f t="array" ref="I1638">IF(NOT(ISBLANK(A1638)),((_xlfn.XLOOKUP(1,(_bbt3[[#All],[ID]]=A1638)*(_bbt3[[#All],[METRIC_NAME]]="YLD_YTM_ASK"),_bbt3[[#All],[METRIC_VALUE]])*0.5)+(_xlfn.XLOOKUP(1,(_bbt3[[#All],[ID]]=A1638)*(_bbt3[[#All],[METRIC_NAME]]="YLD_YTM_BID"),_bbt3[[#All],[METRIC_VALUE]])*0.5))/100,"")</f>
        <v/>
      </c>
      <c r="J1638">
        <f>IF(ISNA(VLOOKUP(A1638,'CloseDL - PriceSaverBBT3'!A:E,5,0)),0,VLOOKUP(A1638,'CloseDL - PriceSaverBBT3'!A:E,5,0))</f>
        <v>0</v>
      </c>
      <c r="K1638" s="7" t="str">
        <f t="shared" si="221"/>
        <v/>
      </c>
      <c r="L1638" s="20">
        <f>IF(Close[[#This Row],[CreatedBy]]="MARINER\SilverAdm",1,0)</f>
        <v>1</v>
      </c>
      <c r="M1638" t="str">
        <f>IF(NOT(ISBLANK(A1638)),VLOOKUP(A1638,'Close - PriceSaver'!A:J,6,0),"")</f>
        <v/>
      </c>
    </row>
    <row r="1639" spans="2:13" x14ac:dyDescent="0.35">
      <c r="B1639" t="str">
        <f>IF(NOT(ISBLANK(A1639)),VLOOKUP(A1639,'BBT3'!A:F,2,0),"")</f>
        <v/>
      </c>
      <c r="C1639" t="str">
        <f>IF(NOT(ISBLANK(A1639)),VLOOKUP(A1639,'BBT3'!A:F,3,0),"")</f>
        <v/>
      </c>
      <c r="D1639" s="5" t="str">
        <f>IF(NOT(ISBLANK(A1639)),VLOOKUP(A1639,'BBT3'!A:F,4,1),"")</f>
        <v/>
      </c>
      <c r="E1639" t="str">
        <f>IF(NOT(ISBLANK(A1639)),VLOOKUP(A1639,'BBT3'!A:F,5,0),"")</f>
        <v/>
      </c>
      <c r="F1639" t="str">
        <f>IF(NOT(ISBLANK(A1639)),VLOOKUP(A1639,'BBT3'!A:F,6,0),"")</f>
        <v/>
      </c>
      <c r="G1639" t="str">
        <f t="shared" si="220"/>
        <v/>
      </c>
      <c r="H1639" t="str">
        <f>IF(NOT(ISBLANK(A1639)),VLOOKUP(A1639,'Close - PriceSaver'!A:J,5,0),"")</f>
        <v/>
      </c>
      <c r="I1639" s="4" t="str" cm="1">
        <f t="array" ref="I1639">IF(NOT(ISBLANK(A1639)),((_xlfn.XLOOKUP(1,(_bbt3[[#All],[ID]]=A1639)*(_bbt3[[#All],[METRIC_NAME]]="YLD_YTM_ASK"),_bbt3[[#All],[METRIC_VALUE]])*0.5)+(_xlfn.XLOOKUP(1,(_bbt3[[#All],[ID]]=A1639)*(_bbt3[[#All],[METRIC_NAME]]="YLD_YTM_BID"),_bbt3[[#All],[METRIC_VALUE]])*0.5))/100,"")</f>
        <v/>
      </c>
      <c r="J1639">
        <f>IF(ISNA(VLOOKUP(A1639,'CloseDL - PriceSaverBBT3'!A:E,5,0)),0,VLOOKUP(A1639,'CloseDL - PriceSaverBBT3'!A:E,5,0))</f>
        <v>0</v>
      </c>
      <c r="K1639" s="7" t="str">
        <f t="shared" si="221"/>
        <v/>
      </c>
      <c r="L1639" s="20">
        <f>IF(Close[[#This Row],[CreatedBy]]="MARINER\SilverAdm",1,0)</f>
        <v>1</v>
      </c>
      <c r="M1639" t="str">
        <f>IF(NOT(ISBLANK(A1639)),VLOOKUP(A1639,'Close - PriceSaver'!A:J,6,0),"")</f>
        <v/>
      </c>
    </row>
    <row r="1640" spans="2:13" x14ac:dyDescent="0.35">
      <c r="B1640" t="str">
        <f>IF(NOT(ISBLANK(A1640)),VLOOKUP(A1640,'BBT3'!A:F,2,0),"")</f>
        <v/>
      </c>
      <c r="C1640" t="str">
        <f>IF(NOT(ISBLANK(A1640)),VLOOKUP(A1640,'BBT3'!A:F,3,0),"")</f>
        <v/>
      </c>
      <c r="D1640" s="5" t="str">
        <f>IF(NOT(ISBLANK(A1640)),VLOOKUP(A1640,'BBT3'!A:F,4,1),"")</f>
        <v/>
      </c>
      <c r="E1640" t="str">
        <f>IF(NOT(ISBLANK(A1640)),VLOOKUP(A1640,'BBT3'!A:F,5,0),"")</f>
        <v/>
      </c>
      <c r="F1640" t="str">
        <f>IF(NOT(ISBLANK(A1640)),VLOOKUP(A1640,'BBT3'!A:F,6,0),"")</f>
        <v/>
      </c>
      <c r="G1640" t="str">
        <f t="shared" si="220"/>
        <v/>
      </c>
      <c r="H1640" t="str">
        <f>IF(NOT(ISBLANK(A1640)),VLOOKUP(A1640,'Close - PriceSaver'!A:J,5,0),"")</f>
        <v/>
      </c>
      <c r="I1640" s="4" t="str" cm="1">
        <f t="array" ref="I1640">IF(NOT(ISBLANK(A1640)),((_xlfn.XLOOKUP(1,(_bbt3[[#All],[ID]]=A1640)*(_bbt3[[#All],[METRIC_NAME]]="YLD_YTM_ASK"),_bbt3[[#All],[METRIC_VALUE]])*0.5)+(_xlfn.XLOOKUP(1,(_bbt3[[#All],[ID]]=A1640)*(_bbt3[[#All],[METRIC_NAME]]="YLD_YTM_BID"),_bbt3[[#All],[METRIC_VALUE]])*0.5))/100,"")</f>
        <v/>
      </c>
      <c r="J1640">
        <f>IF(ISNA(VLOOKUP(A1640,'CloseDL - PriceSaverBBT3'!A:E,5,0)),0,VLOOKUP(A1640,'CloseDL - PriceSaverBBT3'!A:E,5,0))</f>
        <v>0</v>
      </c>
      <c r="K1640" s="7" t="str">
        <f t="shared" si="221"/>
        <v/>
      </c>
      <c r="L1640" s="20">
        <f>IF(Close[[#This Row],[CreatedBy]]="MARINER\SilverAdm",1,0)</f>
        <v>1</v>
      </c>
      <c r="M1640" t="str">
        <f>IF(NOT(ISBLANK(A1640)),VLOOKUP(A1640,'Close - PriceSaver'!A:J,6,0),"")</f>
        <v/>
      </c>
    </row>
    <row r="1641" spans="2:13" x14ac:dyDescent="0.35">
      <c r="B1641" t="str">
        <f>IF(NOT(ISBLANK(A1641)),VLOOKUP(A1641,'BBT3'!A:F,2,0),"")</f>
        <v/>
      </c>
      <c r="C1641" t="str">
        <f>IF(NOT(ISBLANK(A1641)),VLOOKUP(A1641,'BBT3'!A:F,3,0),"")</f>
        <v/>
      </c>
      <c r="D1641" s="5" t="str">
        <f>IF(NOT(ISBLANK(A1641)),VLOOKUP(A1641,'BBT3'!A:F,4,1),"")</f>
        <v/>
      </c>
      <c r="E1641" t="str">
        <f>IF(NOT(ISBLANK(A1641)),VLOOKUP(A1641,'BBT3'!A:F,5,0),"")</f>
        <v/>
      </c>
      <c r="F1641" t="str">
        <f>IF(NOT(ISBLANK(A1641)),VLOOKUP(A1641,'BBT3'!A:F,6,0),"")</f>
        <v/>
      </c>
      <c r="G1641" t="str">
        <f t="shared" si="220"/>
        <v/>
      </c>
      <c r="H1641" t="str">
        <f>IF(NOT(ISBLANK(A1641)),VLOOKUP(A1641,'Close - PriceSaver'!A:J,5,0),"")</f>
        <v/>
      </c>
      <c r="I1641" s="4" t="str" cm="1">
        <f t="array" ref="I1641">IF(NOT(ISBLANK(A1641)),((_xlfn.XLOOKUP(1,(_bbt3[[#All],[ID]]=A1641)*(_bbt3[[#All],[METRIC_NAME]]="YLD_YTM_ASK"),_bbt3[[#All],[METRIC_VALUE]])*0.5)+(_xlfn.XLOOKUP(1,(_bbt3[[#All],[ID]]=A1641)*(_bbt3[[#All],[METRIC_NAME]]="YLD_YTM_BID"),_bbt3[[#All],[METRIC_VALUE]])*0.5))/100,"")</f>
        <v/>
      </c>
      <c r="J1641">
        <f>IF(ISNA(VLOOKUP(A1641,'CloseDL - PriceSaverBBT3'!A:E,5,0)),0,VLOOKUP(A1641,'CloseDL - PriceSaverBBT3'!A:E,5,0))</f>
        <v>0</v>
      </c>
      <c r="K1641" s="7" t="str">
        <f t="shared" si="221"/>
        <v/>
      </c>
      <c r="L1641" s="20">
        <f>IF(Close[[#This Row],[CreatedBy]]="MARINER\SilverAdm",1,0)</f>
        <v>1</v>
      </c>
      <c r="M1641" t="str">
        <f>IF(NOT(ISBLANK(A1641)),VLOOKUP(A1641,'Close - PriceSaver'!A:J,6,0),"")</f>
        <v/>
      </c>
    </row>
    <row r="1642" spans="2:13" x14ac:dyDescent="0.35">
      <c r="B1642" t="str">
        <f>IF(NOT(ISBLANK(A1642)),VLOOKUP(A1642,'BBT3'!A:F,2,0),"")</f>
        <v/>
      </c>
      <c r="C1642" t="str">
        <f>IF(NOT(ISBLANK(A1642)),VLOOKUP(A1642,'BBT3'!A:F,3,0),"")</f>
        <v/>
      </c>
      <c r="D1642" s="5" t="str">
        <f>IF(NOT(ISBLANK(A1642)),VLOOKUP(A1642,'BBT3'!A:F,4,1),"")</f>
        <v/>
      </c>
      <c r="E1642" t="str">
        <f>IF(NOT(ISBLANK(A1642)),VLOOKUP(A1642,'BBT3'!A:F,5,0),"")</f>
        <v/>
      </c>
      <c r="F1642" t="str">
        <f>IF(NOT(ISBLANK(A1642)),VLOOKUP(A1642,'BBT3'!A:F,6,0),"")</f>
        <v/>
      </c>
      <c r="G1642" t="str">
        <f t="shared" si="220"/>
        <v/>
      </c>
      <c r="H1642" t="str">
        <f>IF(NOT(ISBLANK(A1642)),VLOOKUP(A1642,'Close - PriceSaver'!A:J,5,0),"")</f>
        <v/>
      </c>
      <c r="I1642" s="4" t="str" cm="1">
        <f t="array" ref="I1642">IF(NOT(ISBLANK(A1642)),((_xlfn.XLOOKUP(1,(_bbt3[[#All],[ID]]=A1642)*(_bbt3[[#All],[METRIC_NAME]]="YLD_YTM_ASK"),_bbt3[[#All],[METRIC_VALUE]])*0.5)+(_xlfn.XLOOKUP(1,(_bbt3[[#All],[ID]]=A1642)*(_bbt3[[#All],[METRIC_NAME]]="YLD_YTM_BID"),_bbt3[[#All],[METRIC_VALUE]])*0.5))/100,"")</f>
        <v/>
      </c>
      <c r="J1642">
        <f>IF(ISNA(VLOOKUP(A1642,'CloseDL - PriceSaverBBT3'!A:E,5,0)),0,VLOOKUP(A1642,'CloseDL - PriceSaverBBT3'!A:E,5,0))</f>
        <v>0</v>
      </c>
      <c r="K1642" s="7" t="str">
        <f t="shared" si="221"/>
        <v/>
      </c>
      <c r="L1642" s="20">
        <f>IF(Close[[#This Row],[CreatedBy]]="MARINER\SilverAdm",1,0)</f>
        <v>1</v>
      </c>
      <c r="M1642" t="str">
        <f>IF(NOT(ISBLANK(A1642)),VLOOKUP(A1642,'Close - PriceSaver'!A:J,6,0),"")</f>
        <v/>
      </c>
    </row>
    <row r="1643" spans="2:13" x14ac:dyDescent="0.35">
      <c r="B1643" t="str">
        <f>IF(NOT(ISBLANK(A1643)),VLOOKUP(A1643,'BBT3'!A:F,2,0),"")</f>
        <v/>
      </c>
      <c r="C1643" t="str">
        <f>IF(NOT(ISBLANK(A1643)),VLOOKUP(A1643,'BBT3'!A:F,3,0),"")</f>
        <v/>
      </c>
      <c r="D1643" s="5" t="str">
        <f>IF(NOT(ISBLANK(A1643)),VLOOKUP(A1643,'BBT3'!A:F,4,1),"")</f>
        <v/>
      </c>
      <c r="E1643" t="str">
        <f>IF(NOT(ISBLANK(A1643)),VLOOKUP(A1643,'BBT3'!A:F,5,0),"")</f>
        <v/>
      </c>
      <c r="F1643" t="str">
        <f>IF(NOT(ISBLANK(A1643)),VLOOKUP(A1643,'BBT3'!A:F,6,0),"")</f>
        <v/>
      </c>
      <c r="G1643" t="str">
        <f t="shared" si="220"/>
        <v/>
      </c>
      <c r="H1643" t="str">
        <f>IF(NOT(ISBLANK(A1643)),VLOOKUP(A1643,'Close - PriceSaver'!A:J,5,0),"")</f>
        <v/>
      </c>
      <c r="I1643" s="4" t="str" cm="1">
        <f t="array" ref="I1643">IF(NOT(ISBLANK(A1643)),((_xlfn.XLOOKUP(1,(_bbt3[[#All],[ID]]=A1643)*(_bbt3[[#All],[METRIC_NAME]]="YLD_YTM_ASK"),_bbt3[[#All],[METRIC_VALUE]])*0.5)+(_xlfn.XLOOKUP(1,(_bbt3[[#All],[ID]]=A1643)*(_bbt3[[#All],[METRIC_NAME]]="YLD_YTM_BID"),_bbt3[[#All],[METRIC_VALUE]])*0.5))/100,"")</f>
        <v/>
      </c>
      <c r="J1643">
        <f>IF(ISNA(VLOOKUP(A1643,'CloseDL - PriceSaverBBT3'!A:E,5,0)),0,VLOOKUP(A1643,'CloseDL - PriceSaverBBT3'!A:E,5,0))</f>
        <v>0</v>
      </c>
      <c r="K1643" s="7" t="str">
        <f t="shared" si="221"/>
        <v/>
      </c>
      <c r="L1643" s="20">
        <f>IF(Close[[#This Row],[CreatedBy]]="MARINER\SilverAdm",1,0)</f>
        <v>1</v>
      </c>
      <c r="M1643" t="str">
        <f>IF(NOT(ISBLANK(A1643)),VLOOKUP(A1643,'Close - PriceSaver'!A:J,6,0),"")</f>
        <v/>
      </c>
    </row>
    <row r="1644" spans="2:13" x14ac:dyDescent="0.35">
      <c r="B1644" t="str">
        <f>IF(NOT(ISBLANK(A1644)),VLOOKUP(A1644,'BBT3'!A:F,2,0),"")</f>
        <v/>
      </c>
      <c r="C1644" t="str">
        <f>IF(NOT(ISBLANK(A1644)),VLOOKUP(A1644,'BBT3'!A:F,3,0),"")</f>
        <v/>
      </c>
      <c r="D1644" s="5" t="str">
        <f>IF(NOT(ISBLANK(A1644)),VLOOKUP(A1644,'BBT3'!A:F,4,1),"")</f>
        <v/>
      </c>
      <c r="E1644" t="str">
        <f>IF(NOT(ISBLANK(A1644)),VLOOKUP(A1644,'BBT3'!A:F,5,0),"")</f>
        <v/>
      </c>
      <c r="F1644" t="str">
        <f>IF(NOT(ISBLANK(A1644)),VLOOKUP(A1644,'BBT3'!A:F,6,0),"")</f>
        <v/>
      </c>
      <c r="G1644" t="str">
        <f t="shared" si="220"/>
        <v/>
      </c>
      <c r="H1644" t="str">
        <f>IF(NOT(ISBLANK(A1644)),VLOOKUP(A1644,'Close - PriceSaver'!A:J,5,0),"")</f>
        <v/>
      </c>
      <c r="I1644" s="4" t="str" cm="1">
        <f t="array" ref="I1644">IF(NOT(ISBLANK(A1644)),((_xlfn.XLOOKUP(1,(_bbt3[[#All],[ID]]=A1644)*(_bbt3[[#All],[METRIC_NAME]]="YLD_YTM_ASK"),_bbt3[[#All],[METRIC_VALUE]])*0.5)+(_xlfn.XLOOKUP(1,(_bbt3[[#All],[ID]]=A1644)*(_bbt3[[#All],[METRIC_NAME]]="YLD_YTM_BID"),_bbt3[[#All],[METRIC_VALUE]])*0.5))/100,"")</f>
        <v/>
      </c>
      <c r="J1644">
        <f>IF(ISNA(VLOOKUP(A1644,'CloseDL - PriceSaverBBT3'!A:E,5,0)),0,VLOOKUP(A1644,'CloseDL - PriceSaverBBT3'!A:E,5,0))</f>
        <v>0</v>
      </c>
      <c r="K1644" s="7" t="str">
        <f t="shared" si="221"/>
        <v/>
      </c>
      <c r="L1644" s="20">
        <f>IF(Close[[#This Row],[CreatedBy]]="MARINER\SilverAdm",1,0)</f>
        <v>1</v>
      </c>
      <c r="M1644" t="str">
        <f>IF(NOT(ISBLANK(A1644)),VLOOKUP(A1644,'Close - PriceSaver'!A:J,6,0),"")</f>
        <v/>
      </c>
    </row>
    <row r="1645" spans="2:13" x14ac:dyDescent="0.35">
      <c r="B1645" t="str">
        <f>IF(NOT(ISBLANK(A1645)),VLOOKUP(A1645,'BBT3'!A:F,2,0),"")</f>
        <v/>
      </c>
      <c r="C1645" t="str">
        <f>IF(NOT(ISBLANK(A1645)),VLOOKUP(A1645,'BBT3'!A:F,3,0),"")</f>
        <v/>
      </c>
      <c r="D1645" s="5" t="str">
        <f>IF(NOT(ISBLANK(A1645)),VLOOKUP(A1645,'BBT3'!A:F,4,1),"")</f>
        <v/>
      </c>
      <c r="E1645" t="str">
        <f>IF(NOT(ISBLANK(A1645)),VLOOKUP(A1645,'BBT3'!A:F,5,0),"")</f>
        <v/>
      </c>
      <c r="F1645" t="str">
        <f>IF(NOT(ISBLANK(A1645)),VLOOKUP(A1645,'BBT3'!A:F,6,0),"")</f>
        <v/>
      </c>
      <c r="G1645" t="str">
        <f t="shared" si="220"/>
        <v/>
      </c>
      <c r="H1645" t="str">
        <f>IF(NOT(ISBLANK(A1645)),VLOOKUP(A1645,'Close - PriceSaver'!A:J,5,0),"")</f>
        <v/>
      </c>
      <c r="I1645" s="4" t="str" cm="1">
        <f t="array" ref="I1645">IF(NOT(ISBLANK(A1645)),((_xlfn.XLOOKUP(1,(_bbt3[[#All],[ID]]=A1645)*(_bbt3[[#All],[METRIC_NAME]]="YLD_YTM_ASK"),_bbt3[[#All],[METRIC_VALUE]])*0.5)+(_xlfn.XLOOKUP(1,(_bbt3[[#All],[ID]]=A1645)*(_bbt3[[#All],[METRIC_NAME]]="YLD_YTM_BID"),_bbt3[[#All],[METRIC_VALUE]])*0.5))/100,"")</f>
        <v/>
      </c>
      <c r="J1645">
        <f>IF(ISNA(VLOOKUP(A1645,'CloseDL - PriceSaverBBT3'!A:E,5,0)),0,VLOOKUP(A1645,'CloseDL - PriceSaverBBT3'!A:E,5,0))</f>
        <v>0</v>
      </c>
      <c r="K1645" s="7" t="str">
        <f t="shared" si="221"/>
        <v/>
      </c>
      <c r="L1645" s="20">
        <f>IF(Close[[#This Row],[CreatedBy]]="MARINER\SilverAdm",1,0)</f>
        <v>1</v>
      </c>
      <c r="M1645" t="str">
        <f>IF(NOT(ISBLANK(A1645)),VLOOKUP(A1645,'Close - PriceSaver'!A:J,6,0),"")</f>
        <v/>
      </c>
    </row>
    <row r="1646" spans="2:13" x14ac:dyDescent="0.35">
      <c r="B1646" t="str">
        <f>IF(NOT(ISBLANK(A1646)),VLOOKUP(A1646,'BBT3'!A:F,2,0),"")</f>
        <v/>
      </c>
      <c r="C1646" t="str">
        <f>IF(NOT(ISBLANK(A1646)),VLOOKUP(A1646,'BBT3'!A:F,3,0),"")</f>
        <v/>
      </c>
      <c r="D1646" s="5" t="str">
        <f>IF(NOT(ISBLANK(A1646)),VLOOKUP(A1646,'BBT3'!A:F,4,1),"")</f>
        <v/>
      </c>
      <c r="E1646" t="str">
        <f>IF(NOT(ISBLANK(A1646)),VLOOKUP(A1646,'BBT3'!A:F,5,0),"")</f>
        <v/>
      </c>
      <c r="F1646" t="str">
        <f>IF(NOT(ISBLANK(A1646)),VLOOKUP(A1646,'BBT3'!A:F,6,0),"")</f>
        <v/>
      </c>
      <c r="G1646" t="str">
        <f t="shared" si="220"/>
        <v/>
      </c>
      <c r="H1646" t="str">
        <f>IF(NOT(ISBLANK(A1646)),VLOOKUP(A1646,'Close - PriceSaver'!A:J,5,0),"")</f>
        <v/>
      </c>
      <c r="I1646" s="4" t="str" cm="1">
        <f t="array" ref="I1646">IF(NOT(ISBLANK(A1646)),((_xlfn.XLOOKUP(1,(_bbt3[[#All],[ID]]=A1646)*(_bbt3[[#All],[METRIC_NAME]]="YLD_YTM_ASK"),_bbt3[[#All],[METRIC_VALUE]])*0.5)+(_xlfn.XLOOKUP(1,(_bbt3[[#All],[ID]]=A1646)*(_bbt3[[#All],[METRIC_NAME]]="YLD_YTM_BID"),_bbt3[[#All],[METRIC_VALUE]])*0.5))/100,"")</f>
        <v/>
      </c>
      <c r="J1646">
        <f>IF(ISNA(VLOOKUP(A1646,'CloseDL - PriceSaverBBT3'!A:E,5,0)),0,VLOOKUP(A1646,'CloseDL - PriceSaverBBT3'!A:E,5,0))</f>
        <v>0</v>
      </c>
      <c r="K1646" s="7" t="str">
        <f t="shared" si="221"/>
        <v/>
      </c>
      <c r="L1646" s="20">
        <f>IF(Close[[#This Row],[CreatedBy]]="MARINER\SilverAdm",1,0)</f>
        <v>1</v>
      </c>
      <c r="M1646" t="str">
        <f>IF(NOT(ISBLANK(A1646)),VLOOKUP(A1646,'Close - PriceSaver'!A:J,6,0),"")</f>
        <v/>
      </c>
    </row>
    <row r="1647" spans="2:13" x14ac:dyDescent="0.35">
      <c r="B1647" t="str">
        <f>IF(NOT(ISBLANK(A1647)),VLOOKUP(A1647,'BBT3'!A:F,2,0),"")</f>
        <v/>
      </c>
      <c r="C1647" t="str">
        <f>IF(NOT(ISBLANK(A1647)),VLOOKUP(A1647,'BBT3'!A:F,3,0),"")</f>
        <v/>
      </c>
      <c r="D1647" s="5" t="str">
        <f>IF(NOT(ISBLANK(A1647)),VLOOKUP(A1647,'BBT3'!A:F,4,1),"")</f>
        <v/>
      </c>
      <c r="E1647" t="str">
        <f>IF(NOT(ISBLANK(A1647)),VLOOKUP(A1647,'BBT3'!A:F,5,0),"")</f>
        <v/>
      </c>
      <c r="F1647" t="str">
        <f>IF(NOT(ISBLANK(A1647)),VLOOKUP(A1647,'BBT3'!A:F,6,0),"")</f>
        <v/>
      </c>
      <c r="G1647" t="str">
        <f t="shared" si="220"/>
        <v/>
      </c>
      <c r="H1647" t="str">
        <f>IF(NOT(ISBLANK(A1647)),VLOOKUP(A1647,'Close - PriceSaver'!A:J,5,0),"")</f>
        <v/>
      </c>
      <c r="I1647" s="4" t="str" cm="1">
        <f t="array" ref="I1647">IF(NOT(ISBLANK(A1647)),((_xlfn.XLOOKUP(1,(_bbt3[[#All],[ID]]=A1647)*(_bbt3[[#All],[METRIC_NAME]]="YLD_YTM_ASK"),_bbt3[[#All],[METRIC_VALUE]])*0.5)+(_xlfn.XLOOKUP(1,(_bbt3[[#All],[ID]]=A1647)*(_bbt3[[#All],[METRIC_NAME]]="YLD_YTM_BID"),_bbt3[[#All],[METRIC_VALUE]])*0.5))/100,"")</f>
        <v/>
      </c>
      <c r="J1647">
        <f>IF(ISNA(VLOOKUP(A1647,'CloseDL - PriceSaverBBT3'!A:E,5,0)),0,VLOOKUP(A1647,'CloseDL - PriceSaverBBT3'!A:E,5,0))</f>
        <v>0</v>
      </c>
      <c r="K1647" s="7" t="str">
        <f t="shared" si="221"/>
        <v/>
      </c>
      <c r="L1647" s="20">
        <f>IF(Close[[#This Row],[CreatedBy]]="MARINER\SilverAdm",1,0)</f>
        <v>1</v>
      </c>
      <c r="M1647" t="str">
        <f>IF(NOT(ISBLANK(A1647)),VLOOKUP(A1647,'Close - PriceSaver'!A:J,6,0),"")</f>
        <v/>
      </c>
    </row>
    <row r="1648" spans="2:13" x14ac:dyDescent="0.35">
      <c r="B1648" t="str">
        <f>IF(NOT(ISBLANK(A1648)),VLOOKUP(A1648,'BBT3'!A:F,2,0),"")</f>
        <v/>
      </c>
      <c r="C1648" t="str">
        <f>IF(NOT(ISBLANK(A1648)),VLOOKUP(A1648,'BBT3'!A:F,3,0),"")</f>
        <v/>
      </c>
      <c r="D1648" s="5" t="str">
        <f>IF(NOT(ISBLANK(A1648)),VLOOKUP(A1648,'BBT3'!A:F,4,1),"")</f>
        <v/>
      </c>
      <c r="E1648" t="str">
        <f>IF(NOT(ISBLANK(A1648)),VLOOKUP(A1648,'BBT3'!A:F,5,0),"")</f>
        <v/>
      </c>
      <c r="F1648" t="str">
        <f>IF(NOT(ISBLANK(A1648)),VLOOKUP(A1648,'BBT3'!A:F,6,0),"")</f>
        <v/>
      </c>
      <c r="G1648" t="str">
        <f t="shared" si="220"/>
        <v/>
      </c>
      <c r="H1648" t="str">
        <f>IF(NOT(ISBLANK(A1648)),VLOOKUP(A1648,'Close - PriceSaver'!A:J,5,0),"")</f>
        <v/>
      </c>
      <c r="I1648" s="4" t="str" cm="1">
        <f t="array" ref="I1648">IF(NOT(ISBLANK(A1648)),((_xlfn.XLOOKUP(1,(_bbt3[[#All],[ID]]=A1648)*(_bbt3[[#All],[METRIC_NAME]]="YLD_YTM_ASK"),_bbt3[[#All],[METRIC_VALUE]])*0.5)+(_xlfn.XLOOKUP(1,(_bbt3[[#All],[ID]]=A1648)*(_bbt3[[#All],[METRIC_NAME]]="YLD_YTM_BID"),_bbt3[[#All],[METRIC_VALUE]])*0.5))/100,"")</f>
        <v/>
      </c>
      <c r="J1648">
        <f>IF(ISNA(VLOOKUP(A1648,'CloseDL - PriceSaverBBT3'!A:E,5,0)),0,VLOOKUP(A1648,'CloseDL - PriceSaverBBT3'!A:E,5,0))</f>
        <v>0</v>
      </c>
      <c r="K1648" s="7" t="str">
        <f t="shared" si="221"/>
        <v/>
      </c>
      <c r="L1648" s="20">
        <f>IF(Close[[#This Row],[CreatedBy]]="MARINER\SilverAdm",1,0)</f>
        <v>1</v>
      </c>
      <c r="M1648" t="str">
        <f>IF(NOT(ISBLANK(A1648)),VLOOKUP(A1648,'Close - PriceSaver'!A:J,6,0),"")</f>
        <v/>
      </c>
    </row>
    <row r="1649" spans="2:13" x14ac:dyDescent="0.35">
      <c r="B1649" t="str">
        <f>IF(NOT(ISBLANK(A1649)),VLOOKUP(A1649,'BBT3'!A:F,2,0),"")</f>
        <v/>
      </c>
      <c r="C1649" t="str">
        <f>IF(NOT(ISBLANK(A1649)),VLOOKUP(A1649,'BBT3'!A:F,3,0),"")</f>
        <v/>
      </c>
      <c r="D1649" s="5" t="str">
        <f>IF(NOT(ISBLANK(A1649)),VLOOKUP(A1649,'BBT3'!A:F,4,1),"")</f>
        <v/>
      </c>
      <c r="E1649" t="str">
        <f>IF(NOT(ISBLANK(A1649)),VLOOKUP(A1649,'BBT3'!A:F,5,0),"")</f>
        <v/>
      </c>
      <c r="F1649" t="str">
        <f>IF(NOT(ISBLANK(A1649)),VLOOKUP(A1649,'BBT3'!A:F,6,0),"")</f>
        <v/>
      </c>
      <c r="G1649" t="str">
        <f t="shared" si="220"/>
        <v/>
      </c>
      <c r="H1649" t="str">
        <f>IF(NOT(ISBLANK(A1649)),VLOOKUP(A1649,'Close - PriceSaver'!A:J,5,0),"")</f>
        <v/>
      </c>
      <c r="I1649" s="4" t="str" cm="1">
        <f t="array" ref="I1649">IF(NOT(ISBLANK(A1649)),((_xlfn.XLOOKUP(1,(_bbt3[[#All],[ID]]=A1649)*(_bbt3[[#All],[METRIC_NAME]]="YLD_YTM_ASK"),_bbt3[[#All],[METRIC_VALUE]])*0.5)+(_xlfn.XLOOKUP(1,(_bbt3[[#All],[ID]]=A1649)*(_bbt3[[#All],[METRIC_NAME]]="YLD_YTM_BID"),_bbt3[[#All],[METRIC_VALUE]])*0.5))/100,"")</f>
        <v/>
      </c>
      <c r="J1649">
        <f>IF(ISNA(VLOOKUP(A1649,'CloseDL - PriceSaverBBT3'!A:E,5,0)),0,VLOOKUP(A1649,'CloseDL - PriceSaverBBT3'!A:E,5,0))</f>
        <v>0</v>
      </c>
      <c r="K1649" s="7" t="str">
        <f t="shared" si="221"/>
        <v/>
      </c>
      <c r="L1649" s="20">
        <f>IF(Close[[#This Row],[CreatedBy]]="MARINER\SilverAdm",1,0)</f>
        <v>1</v>
      </c>
      <c r="M1649" t="str">
        <f>IF(NOT(ISBLANK(A1649)),VLOOKUP(A1649,'Close - PriceSaver'!A:J,6,0),"")</f>
        <v/>
      </c>
    </row>
    <row r="1650" spans="2:13" x14ac:dyDescent="0.35">
      <c r="B1650" t="str">
        <f>IF(NOT(ISBLANK(A1650)),VLOOKUP(A1650,'BBT3'!A:F,2,0),"")</f>
        <v/>
      </c>
      <c r="C1650" t="str">
        <f>IF(NOT(ISBLANK(A1650)),VLOOKUP(A1650,'BBT3'!A:F,3,0),"")</f>
        <v/>
      </c>
      <c r="D1650" s="5" t="str">
        <f>IF(NOT(ISBLANK(A1650)),VLOOKUP(A1650,'BBT3'!A:F,4,1),"")</f>
        <v/>
      </c>
      <c r="E1650" t="str">
        <f>IF(NOT(ISBLANK(A1650)),VLOOKUP(A1650,'BBT3'!A:F,5,0),"")</f>
        <v/>
      </c>
      <c r="F1650" t="str">
        <f>IF(NOT(ISBLANK(A1650)),VLOOKUP(A1650,'BBT3'!A:F,6,0),"")</f>
        <v/>
      </c>
      <c r="G1650" t="str">
        <f t="shared" si="220"/>
        <v/>
      </c>
      <c r="H1650" t="str">
        <f>IF(NOT(ISBLANK(A1650)),VLOOKUP(A1650,'Close - PriceSaver'!A:J,5,0),"")</f>
        <v/>
      </c>
      <c r="I1650" s="4" t="str" cm="1">
        <f t="array" ref="I1650">IF(NOT(ISBLANK(A1650)),((_xlfn.XLOOKUP(1,(_bbt3[[#All],[ID]]=A1650)*(_bbt3[[#All],[METRIC_NAME]]="YLD_YTM_ASK"),_bbt3[[#All],[METRIC_VALUE]])*0.5)+(_xlfn.XLOOKUP(1,(_bbt3[[#All],[ID]]=A1650)*(_bbt3[[#All],[METRIC_NAME]]="YLD_YTM_BID"),_bbt3[[#All],[METRIC_VALUE]])*0.5))/100,"")</f>
        <v/>
      </c>
      <c r="J1650">
        <f>IF(ISNA(VLOOKUP(A1650,'CloseDL - PriceSaverBBT3'!A:E,5,0)),0,VLOOKUP(A1650,'CloseDL - PriceSaverBBT3'!A:E,5,0))</f>
        <v>0</v>
      </c>
      <c r="K1650" s="7" t="str">
        <f t="shared" si="221"/>
        <v/>
      </c>
      <c r="L1650" s="20">
        <f>IF(Close[[#This Row],[CreatedBy]]="MARINER\SilverAdm",1,0)</f>
        <v>1</v>
      </c>
      <c r="M1650" t="str">
        <f>IF(NOT(ISBLANK(A1650)),VLOOKUP(A1650,'Close - PriceSaver'!A:J,6,0),"")</f>
        <v/>
      </c>
    </row>
    <row r="1651" spans="2:13" x14ac:dyDescent="0.35">
      <c r="B1651" t="str">
        <f>IF(NOT(ISBLANK(A1651)),VLOOKUP(A1651,'BBT3'!A:F,2,0),"")</f>
        <v/>
      </c>
      <c r="C1651" t="str">
        <f>IF(NOT(ISBLANK(A1651)),VLOOKUP(A1651,'BBT3'!A:F,3,0),"")</f>
        <v/>
      </c>
      <c r="D1651" s="5" t="str">
        <f>IF(NOT(ISBLANK(A1651)),VLOOKUP(A1651,'BBT3'!A:F,4,1),"")</f>
        <v/>
      </c>
      <c r="E1651" t="str">
        <f>IF(NOT(ISBLANK(A1651)),VLOOKUP(A1651,'BBT3'!A:F,5,0),"")</f>
        <v/>
      </c>
      <c r="F1651" t="str">
        <f>IF(NOT(ISBLANK(A1651)),VLOOKUP(A1651,'BBT3'!A:F,6,0),"")</f>
        <v/>
      </c>
      <c r="G1651" t="str">
        <f t="shared" si="220"/>
        <v/>
      </c>
      <c r="H1651" t="str">
        <f>IF(NOT(ISBLANK(A1651)),VLOOKUP(A1651,'Close - PriceSaver'!A:J,5,0),"")</f>
        <v/>
      </c>
      <c r="I1651" s="4" t="str" cm="1">
        <f t="array" ref="I1651">IF(NOT(ISBLANK(A1651)),((_xlfn.XLOOKUP(1,(_bbt3[[#All],[ID]]=A1651)*(_bbt3[[#All],[METRIC_NAME]]="YLD_YTM_ASK"),_bbt3[[#All],[METRIC_VALUE]])*0.5)+(_xlfn.XLOOKUP(1,(_bbt3[[#All],[ID]]=A1651)*(_bbt3[[#All],[METRIC_NAME]]="YLD_YTM_BID"),_bbt3[[#All],[METRIC_VALUE]])*0.5))/100,"")</f>
        <v/>
      </c>
      <c r="J1651">
        <f>IF(ISNA(VLOOKUP(A1651,'CloseDL - PriceSaverBBT3'!A:E,5,0)),0,VLOOKUP(A1651,'CloseDL - PriceSaverBBT3'!A:E,5,0))</f>
        <v>0</v>
      </c>
      <c r="K1651" s="7" t="str">
        <f t="shared" si="221"/>
        <v/>
      </c>
      <c r="L1651" s="20">
        <f>IF(Close[[#This Row],[CreatedBy]]="MARINER\SilverAdm",1,0)</f>
        <v>1</v>
      </c>
      <c r="M1651" t="str">
        <f>IF(NOT(ISBLANK(A1651)),VLOOKUP(A1651,'Close - PriceSaver'!A:J,6,0),"")</f>
        <v/>
      </c>
    </row>
    <row r="1652" spans="2:13" x14ac:dyDescent="0.35">
      <c r="B1652" t="str">
        <f>IF(NOT(ISBLANK(A1652)),VLOOKUP(A1652,'BBT3'!A:F,2,0),"")</f>
        <v/>
      </c>
      <c r="C1652" t="str">
        <f>IF(NOT(ISBLANK(A1652)),VLOOKUP(A1652,'BBT3'!A:F,3,0),"")</f>
        <v/>
      </c>
      <c r="D1652" s="5" t="str">
        <f>IF(NOT(ISBLANK(A1652)),VLOOKUP(A1652,'BBT3'!A:F,4,1),"")</f>
        <v/>
      </c>
      <c r="E1652" t="str">
        <f>IF(NOT(ISBLANK(A1652)),VLOOKUP(A1652,'BBT3'!A:F,5,0),"")</f>
        <v/>
      </c>
      <c r="F1652" t="str">
        <f>IF(NOT(ISBLANK(A1652)),VLOOKUP(A1652,'BBT3'!A:F,6,0),"")</f>
        <v/>
      </c>
      <c r="G1652" t="str">
        <f t="shared" si="220"/>
        <v/>
      </c>
      <c r="H1652" t="str">
        <f>IF(NOT(ISBLANK(A1652)),VLOOKUP(A1652,'Close - PriceSaver'!A:J,5,0),"")</f>
        <v/>
      </c>
      <c r="I1652" s="4" t="str" cm="1">
        <f t="array" ref="I1652">IF(NOT(ISBLANK(A1652)),((_xlfn.XLOOKUP(1,(_bbt3[[#All],[ID]]=A1652)*(_bbt3[[#All],[METRIC_NAME]]="YLD_YTM_ASK"),_bbt3[[#All],[METRIC_VALUE]])*0.5)+(_xlfn.XLOOKUP(1,(_bbt3[[#All],[ID]]=A1652)*(_bbt3[[#All],[METRIC_NAME]]="YLD_YTM_BID"),_bbt3[[#All],[METRIC_VALUE]])*0.5))/100,"")</f>
        <v/>
      </c>
      <c r="J1652">
        <f>IF(ISNA(VLOOKUP(A1652,'CloseDL - PriceSaverBBT3'!A:E,5,0)),0,VLOOKUP(A1652,'CloseDL - PriceSaverBBT3'!A:E,5,0))</f>
        <v>0</v>
      </c>
      <c r="K1652" s="7" t="str">
        <f t="shared" si="221"/>
        <v/>
      </c>
      <c r="L1652" s="20">
        <f>IF(Close[[#This Row],[CreatedBy]]="MARINER\SilverAdm",1,0)</f>
        <v>1</v>
      </c>
      <c r="M1652" t="str">
        <f>IF(NOT(ISBLANK(A1652)),VLOOKUP(A1652,'Close - PriceSaver'!A:J,6,0),"")</f>
        <v/>
      </c>
    </row>
    <row r="1653" spans="2:13" x14ac:dyDescent="0.35">
      <c r="B1653" t="str">
        <f>IF(NOT(ISBLANK(A1653)),VLOOKUP(A1653,'BBT3'!A:F,2,0),"")</f>
        <v/>
      </c>
      <c r="C1653" t="str">
        <f>IF(NOT(ISBLANK(A1653)),VLOOKUP(A1653,'BBT3'!A:F,3,0),"")</f>
        <v/>
      </c>
      <c r="D1653" s="5" t="str">
        <f>IF(NOT(ISBLANK(A1653)),VLOOKUP(A1653,'BBT3'!A:F,4,1),"")</f>
        <v/>
      </c>
      <c r="E1653" t="str">
        <f>IF(NOT(ISBLANK(A1653)),VLOOKUP(A1653,'BBT3'!A:F,5,0),"")</f>
        <v/>
      </c>
      <c r="F1653" t="str">
        <f>IF(NOT(ISBLANK(A1653)),VLOOKUP(A1653,'BBT3'!A:F,6,0),"")</f>
        <v/>
      </c>
      <c r="G1653" t="str">
        <f t="shared" si="220"/>
        <v/>
      </c>
      <c r="H1653" t="str">
        <f>IF(NOT(ISBLANK(A1653)),VLOOKUP(A1653,'Close - PriceSaver'!A:J,5,0),"")</f>
        <v/>
      </c>
      <c r="I1653" s="4" t="str" cm="1">
        <f t="array" ref="I1653">IF(NOT(ISBLANK(A1653)),((_xlfn.XLOOKUP(1,(_bbt3[[#All],[ID]]=A1653)*(_bbt3[[#All],[METRIC_NAME]]="YLD_YTM_ASK"),_bbt3[[#All],[METRIC_VALUE]])*0.5)+(_xlfn.XLOOKUP(1,(_bbt3[[#All],[ID]]=A1653)*(_bbt3[[#All],[METRIC_NAME]]="YLD_YTM_BID"),_bbt3[[#All],[METRIC_VALUE]])*0.5))/100,"")</f>
        <v/>
      </c>
      <c r="J1653">
        <f>IF(ISNA(VLOOKUP(A1653,'CloseDL - PriceSaverBBT3'!A:E,5,0)),0,VLOOKUP(A1653,'CloseDL - PriceSaverBBT3'!A:E,5,0))</f>
        <v>0</v>
      </c>
      <c r="K1653" s="7" t="str">
        <f t="shared" si="221"/>
        <v/>
      </c>
      <c r="L1653" s="20">
        <f>IF(Close[[#This Row],[CreatedBy]]="MARINER\SilverAdm",1,0)</f>
        <v>1</v>
      </c>
      <c r="M1653" t="str">
        <f>IF(NOT(ISBLANK(A1653)),VLOOKUP(A1653,'Close - PriceSaver'!A:J,6,0),"")</f>
        <v/>
      </c>
    </row>
    <row r="1654" spans="2:13" x14ac:dyDescent="0.35">
      <c r="B1654" t="str">
        <f>IF(NOT(ISBLANK(A1654)),VLOOKUP(A1654,'BBT3'!A:F,2,0),"")</f>
        <v/>
      </c>
      <c r="C1654" t="str">
        <f>IF(NOT(ISBLANK(A1654)),VLOOKUP(A1654,'BBT3'!A:F,3,0),"")</f>
        <v/>
      </c>
      <c r="D1654" s="5" t="str">
        <f>IF(NOT(ISBLANK(A1654)),VLOOKUP(A1654,'BBT3'!A:F,4,1),"")</f>
        <v/>
      </c>
      <c r="E1654" t="str">
        <f>IF(NOT(ISBLANK(A1654)),VLOOKUP(A1654,'BBT3'!A:F,5,0),"")</f>
        <v/>
      </c>
      <c r="F1654" t="str">
        <f>IF(NOT(ISBLANK(A1654)),VLOOKUP(A1654,'BBT3'!A:F,6,0),"")</f>
        <v/>
      </c>
      <c r="G1654" t="str">
        <f t="shared" si="220"/>
        <v/>
      </c>
      <c r="H1654" t="str">
        <f>IF(NOT(ISBLANK(A1654)),VLOOKUP(A1654,'Close - PriceSaver'!A:J,5,0),"")</f>
        <v/>
      </c>
      <c r="I1654" s="4" t="str" cm="1">
        <f t="array" ref="I1654">IF(NOT(ISBLANK(A1654)),((_xlfn.XLOOKUP(1,(_bbt3[[#All],[ID]]=A1654)*(_bbt3[[#All],[METRIC_NAME]]="YLD_YTM_ASK"),_bbt3[[#All],[METRIC_VALUE]])*0.5)+(_xlfn.XLOOKUP(1,(_bbt3[[#All],[ID]]=A1654)*(_bbt3[[#All],[METRIC_NAME]]="YLD_YTM_BID"),_bbt3[[#All],[METRIC_VALUE]])*0.5))/100,"")</f>
        <v/>
      </c>
      <c r="J1654">
        <f>IF(ISNA(VLOOKUP(A1654,'CloseDL - PriceSaverBBT3'!A:E,5,0)),0,VLOOKUP(A1654,'CloseDL - PriceSaverBBT3'!A:E,5,0))</f>
        <v>0</v>
      </c>
      <c r="K1654" s="7" t="str">
        <f t="shared" si="221"/>
        <v/>
      </c>
      <c r="L1654" s="20">
        <f>IF(Close[[#This Row],[CreatedBy]]="MARINER\SilverAdm",1,0)</f>
        <v>1</v>
      </c>
      <c r="M1654" t="str">
        <f>IF(NOT(ISBLANK(A1654)),VLOOKUP(A1654,'Close - PriceSaver'!A:J,6,0),"")</f>
        <v/>
      </c>
    </row>
    <row r="1655" spans="2:13" x14ac:dyDescent="0.35">
      <c r="B1655" t="str">
        <f>IF(NOT(ISBLANK(A1655)),VLOOKUP(A1655,'BBT3'!A:F,2,0),"")</f>
        <v/>
      </c>
      <c r="C1655" t="str">
        <f>IF(NOT(ISBLANK(A1655)),VLOOKUP(A1655,'BBT3'!A:F,3,0),"")</f>
        <v/>
      </c>
      <c r="D1655" s="5" t="str">
        <f>IF(NOT(ISBLANK(A1655)),VLOOKUP(A1655,'BBT3'!A:F,4,1),"")</f>
        <v/>
      </c>
      <c r="E1655" t="str">
        <f>IF(NOT(ISBLANK(A1655)),VLOOKUP(A1655,'BBT3'!A:F,5,0),"")</f>
        <v/>
      </c>
      <c r="F1655" t="str">
        <f>IF(NOT(ISBLANK(A1655)),VLOOKUP(A1655,'BBT3'!A:F,6,0),"")</f>
        <v/>
      </c>
      <c r="G1655" t="str">
        <f t="shared" si="220"/>
        <v/>
      </c>
      <c r="H1655" t="str">
        <f>IF(NOT(ISBLANK(A1655)),VLOOKUP(A1655,'Close - PriceSaver'!A:J,5,0),"")</f>
        <v/>
      </c>
      <c r="I1655" s="4" t="str" cm="1">
        <f t="array" ref="I1655">IF(NOT(ISBLANK(A1655)),((_xlfn.XLOOKUP(1,(_bbt3[[#All],[ID]]=A1655)*(_bbt3[[#All],[METRIC_NAME]]="YLD_YTM_ASK"),_bbt3[[#All],[METRIC_VALUE]])*0.5)+(_xlfn.XLOOKUP(1,(_bbt3[[#All],[ID]]=A1655)*(_bbt3[[#All],[METRIC_NAME]]="YLD_YTM_BID"),_bbt3[[#All],[METRIC_VALUE]])*0.5))/100,"")</f>
        <v/>
      </c>
      <c r="J1655">
        <f>IF(ISNA(VLOOKUP(A1655,'CloseDL - PriceSaverBBT3'!A:E,5,0)),0,VLOOKUP(A1655,'CloseDL - PriceSaverBBT3'!A:E,5,0))</f>
        <v>0</v>
      </c>
      <c r="K1655" s="7" t="str">
        <f t="shared" si="221"/>
        <v/>
      </c>
      <c r="L1655" s="20">
        <f>IF(Close[[#This Row],[CreatedBy]]="MARINER\SilverAdm",1,0)</f>
        <v>1</v>
      </c>
      <c r="M1655" t="str">
        <f>IF(NOT(ISBLANK(A1655)),VLOOKUP(A1655,'Close - PriceSaver'!A:J,6,0),"")</f>
        <v/>
      </c>
    </row>
    <row r="1656" spans="2:13" x14ac:dyDescent="0.35">
      <c r="B1656" t="str">
        <f>IF(NOT(ISBLANK(A1656)),VLOOKUP(A1656,'BBT3'!A:F,2,0),"")</f>
        <v/>
      </c>
      <c r="C1656" t="str">
        <f>IF(NOT(ISBLANK(A1656)),VLOOKUP(A1656,'BBT3'!A:F,3,0),"")</f>
        <v/>
      </c>
      <c r="D1656" s="5" t="str">
        <f>IF(NOT(ISBLANK(A1656)),VLOOKUP(A1656,'BBT3'!A:F,4,1),"")</f>
        <v/>
      </c>
      <c r="E1656" t="str">
        <f>IF(NOT(ISBLANK(A1656)),VLOOKUP(A1656,'BBT3'!A:F,5,0),"")</f>
        <v/>
      </c>
      <c r="F1656" t="str">
        <f>IF(NOT(ISBLANK(A1656)),VLOOKUP(A1656,'BBT3'!A:F,6,0),"")</f>
        <v/>
      </c>
      <c r="G1656" t="str">
        <f t="shared" si="220"/>
        <v/>
      </c>
      <c r="H1656" t="str">
        <f>IF(NOT(ISBLANK(A1656)),VLOOKUP(A1656,'Close - PriceSaver'!A:J,5,0),"")</f>
        <v/>
      </c>
      <c r="I1656" s="4" t="str" cm="1">
        <f t="array" ref="I1656">IF(NOT(ISBLANK(A1656)),((_xlfn.XLOOKUP(1,(_bbt3[[#All],[ID]]=A1656)*(_bbt3[[#All],[METRIC_NAME]]="YLD_YTM_ASK"),_bbt3[[#All],[METRIC_VALUE]])*0.5)+(_xlfn.XLOOKUP(1,(_bbt3[[#All],[ID]]=A1656)*(_bbt3[[#All],[METRIC_NAME]]="YLD_YTM_BID"),_bbt3[[#All],[METRIC_VALUE]])*0.5))/100,"")</f>
        <v/>
      </c>
      <c r="J1656">
        <f>IF(ISNA(VLOOKUP(A1656,'CloseDL - PriceSaverBBT3'!A:E,5,0)),0,VLOOKUP(A1656,'CloseDL - PriceSaverBBT3'!A:E,5,0))</f>
        <v>0</v>
      </c>
      <c r="K1656" s="7" t="str">
        <f t="shared" si="221"/>
        <v/>
      </c>
      <c r="L1656" s="20">
        <f>IF(Close[[#This Row],[CreatedBy]]="MARINER\SilverAdm",1,0)</f>
        <v>1</v>
      </c>
      <c r="M1656" t="str">
        <f>IF(NOT(ISBLANK(A1656)),VLOOKUP(A1656,'Close - PriceSaver'!A:J,6,0),"")</f>
        <v/>
      </c>
    </row>
    <row r="1657" spans="2:13" x14ac:dyDescent="0.35">
      <c r="B1657" t="str">
        <f>IF(NOT(ISBLANK(A1657)),VLOOKUP(A1657,'BBT3'!A:F,2,0),"")</f>
        <v/>
      </c>
      <c r="C1657" t="str">
        <f>IF(NOT(ISBLANK(A1657)),VLOOKUP(A1657,'BBT3'!A:F,3,0),"")</f>
        <v/>
      </c>
      <c r="D1657" s="5" t="str">
        <f>IF(NOT(ISBLANK(A1657)),VLOOKUP(A1657,'BBT3'!A:F,4,1),"")</f>
        <v/>
      </c>
      <c r="E1657" t="str">
        <f>IF(NOT(ISBLANK(A1657)),VLOOKUP(A1657,'BBT3'!A:F,5,0),"")</f>
        <v/>
      </c>
      <c r="F1657" t="str">
        <f>IF(NOT(ISBLANK(A1657)),VLOOKUP(A1657,'BBT3'!A:F,6,0),"")</f>
        <v/>
      </c>
      <c r="G1657" t="str">
        <f t="shared" si="220"/>
        <v/>
      </c>
      <c r="H1657" t="str">
        <f>IF(NOT(ISBLANK(A1657)),VLOOKUP(A1657,'Close - PriceSaver'!A:J,5,0),"")</f>
        <v/>
      </c>
      <c r="I1657" s="4" t="str" cm="1">
        <f t="array" ref="I1657">IF(NOT(ISBLANK(A1657)),((_xlfn.XLOOKUP(1,(_bbt3[[#All],[ID]]=A1657)*(_bbt3[[#All],[METRIC_NAME]]="YLD_YTM_ASK"),_bbt3[[#All],[METRIC_VALUE]])*0.5)+(_xlfn.XLOOKUP(1,(_bbt3[[#All],[ID]]=A1657)*(_bbt3[[#All],[METRIC_NAME]]="YLD_YTM_BID"),_bbt3[[#All],[METRIC_VALUE]])*0.5))/100,"")</f>
        <v/>
      </c>
      <c r="J1657">
        <f>IF(ISNA(VLOOKUP(A1657,'CloseDL - PriceSaverBBT3'!A:E,5,0)),0,VLOOKUP(A1657,'CloseDL - PriceSaverBBT3'!A:E,5,0))</f>
        <v>0</v>
      </c>
      <c r="K1657" s="7" t="str">
        <f t="shared" si="221"/>
        <v/>
      </c>
      <c r="L1657" s="20">
        <f>IF(Close[[#This Row],[CreatedBy]]="MARINER\SilverAdm",1,0)</f>
        <v>1</v>
      </c>
      <c r="M1657" t="str">
        <f>IF(NOT(ISBLANK(A1657)),VLOOKUP(A1657,'Close - PriceSaver'!A:J,6,0),"")</f>
        <v/>
      </c>
    </row>
    <row r="1658" spans="2:13" x14ac:dyDescent="0.35">
      <c r="B1658" t="str">
        <f>IF(NOT(ISBLANK(A1658)),VLOOKUP(A1658,'BBT3'!A:F,2,0),"")</f>
        <v/>
      </c>
      <c r="C1658" t="str">
        <f>IF(NOT(ISBLANK(A1658)),VLOOKUP(A1658,'BBT3'!A:F,3,0),"")</f>
        <v/>
      </c>
      <c r="D1658" s="5" t="str">
        <f>IF(NOT(ISBLANK(A1658)),VLOOKUP(A1658,'BBT3'!A:F,4,1),"")</f>
        <v/>
      </c>
      <c r="E1658" t="str">
        <f>IF(NOT(ISBLANK(A1658)),VLOOKUP(A1658,'BBT3'!A:F,5,0),"")</f>
        <v/>
      </c>
      <c r="F1658" t="str">
        <f>IF(NOT(ISBLANK(A1658)),VLOOKUP(A1658,'BBT3'!A:F,6,0),"")</f>
        <v/>
      </c>
      <c r="G1658" t="str">
        <f t="shared" si="220"/>
        <v/>
      </c>
      <c r="H1658" t="str">
        <f>IF(NOT(ISBLANK(A1658)),VLOOKUP(A1658,'Close - PriceSaver'!A:J,5,0),"")</f>
        <v/>
      </c>
      <c r="I1658" s="4" t="str" cm="1">
        <f t="array" ref="I1658">IF(NOT(ISBLANK(A1658)),((_xlfn.XLOOKUP(1,(_bbt3[[#All],[ID]]=A1658)*(_bbt3[[#All],[METRIC_NAME]]="YLD_YTM_ASK"),_bbt3[[#All],[METRIC_VALUE]])*0.5)+(_xlfn.XLOOKUP(1,(_bbt3[[#All],[ID]]=A1658)*(_bbt3[[#All],[METRIC_NAME]]="YLD_YTM_BID"),_bbt3[[#All],[METRIC_VALUE]])*0.5))/100,"")</f>
        <v/>
      </c>
      <c r="J1658">
        <f>IF(ISNA(VLOOKUP(A1658,'CloseDL - PriceSaverBBT3'!A:E,5,0)),0,VLOOKUP(A1658,'CloseDL - PriceSaverBBT3'!A:E,5,0))</f>
        <v>0</v>
      </c>
      <c r="K1658" s="7" t="str">
        <f t="shared" si="221"/>
        <v/>
      </c>
      <c r="L1658" s="20">
        <f>IF(Close[[#This Row],[CreatedBy]]="MARINER\SilverAdm",1,0)</f>
        <v>1</v>
      </c>
      <c r="M1658" t="str">
        <f>IF(NOT(ISBLANK(A1658)),VLOOKUP(A1658,'Close - PriceSaver'!A:J,6,0),"")</f>
        <v/>
      </c>
    </row>
    <row r="1659" spans="2:13" x14ac:dyDescent="0.35">
      <c r="B1659" t="str">
        <f>IF(NOT(ISBLANK(A1659)),VLOOKUP(A1659,'BBT3'!A:F,2,0),"")</f>
        <v/>
      </c>
      <c r="C1659" t="str">
        <f>IF(NOT(ISBLANK(A1659)),VLOOKUP(A1659,'BBT3'!A:F,3,0),"")</f>
        <v/>
      </c>
      <c r="D1659" s="5" t="str">
        <f>IF(NOT(ISBLANK(A1659)),VLOOKUP(A1659,'BBT3'!A:F,4,1),"")</f>
        <v/>
      </c>
      <c r="E1659" t="str">
        <f>IF(NOT(ISBLANK(A1659)),VLOOKUP(A1659,'BBT3'!A:F,5,0),"")</f>
        <v/>
      </c>
      <c r="F1659" t="str">
        <f>IF(NOT(ISBLANK(A1659)),VLOOKUP(A1659,'BBT3'!A:F,6,0),"")</f>
        <v/>
      </c>
      <c r="G1659" t="str">
        <f t="shared" si="220"/>
        <v/>
      </c>
      <c r="H1659" t="str">
        <f>IF(NOT(ISBLANK(A1659)),VLOOKUP(A1659,'Close - PriceSaver'!A:J,5,0),"")</f>
        <v/>
      </c>
      <c r="I1659" s="4" t="str" cm="1">
        <f t="array" ref="I1659">IF(NOT(ISBLANK(A1659)),((_xlfn.XLOOKUP(1,(_bbt3[[#All],[ID]]=A1659)*(_bbt3[[#All],[METRIC_NAME]]="YLD_YTM_ASK"),_bbt3[[#All],[METRIC_VALUE]])*0.5)+(_xlfn.XLOOKUP(1,(_bbt3[[#All],[ID]]=A1659)*(_bbt3[[#All],[METRIC_NAME]]="YLD_YTM_BID"),_bbt3[[#All],[METRIC_VALUE]])*0.5))/100,"")</f>
        <v/>
      </c>
      <c r="J1659">
        <f>IF(ISNA(VLOOKUP(A1659,'CloseDL - PriceSaverBBT3'!A:E,5,0)),0,VLOOKUP(A1659,'CloseDL - PriceSaverBBT3'!A:E,5,0))</f>
        <v>0</v>
      </c>
      <c r="K1659" s="7" t="str">
        <f t="shared" si="221"/>
        <v/>
      </c>
      <c r="L1659" s="20">
        <f>IF(Close[[#This Row],[CreatedBy]]="MARINER\SilverAdm",1,0)</f>
        <v>1</v>
      </c>
      <c r="M1659" t="str">
        <f>IF(NOT(ISBLANK(A1659)),VLOOKUP(A1659,'Close - PriceSaver'!A:J,6,0),"")</f>
        <v/>
      </c>
    </row>
    <row r="1660" spans="2:13" x14ac:dyDescent="0.35">
      <c r="B1660" t="str">
        <f>IF(NOT(ISBLANK(A1660)),VLOOKUP(A1660,'BBT3'!A:F,2,0),"")</f>
        <v/>
      </c>
      <c r="C1660" t="str">
        <f>IF(NOT(ISBLANK(A1660)),VLOOKUP(A1660,'BBT3'!A:F,3,0),"")</f>
        <v/>
      </c>
      <c r="D1660" s="5" t="str">
        <f>IF(NOT(ISBLANK(A1660)),VLOOKUP(A1660,'BBT3'!A:F,4,1),"")</f>
        <v/>
      </c>
      <c r="E1660" t="str">
        <f>IF(NOT(ISBLANK(A1660)),VLOOKUP(A1660,'BBT3'!A:F,5,0),"")</f>
        <v/>
      </c>
      <c r="F1660" t="str">
        <f>IF(NOT(ISBLANK(A1660)),VLOOKUP(A1660,'BBT3'!A:F,6,0),"")</f>
        <v/>
      </c>
      <c r="G1660" t="str">
        <f t="shared" si="220"/>
        <v/>
      </c>
      <c r="H1660" t="str">
        <f>IF(NOT(ISBLANK(A1660)),VLOOKUP(A1660,'Close - PriceSaver'!A:J,5,0),"")</f>
        <v/>
      </c>
      <c r="I1660" s="4" t="str" cm="1">
        <f t="array" ref="I1660">IF(NOT(ISBLANK(A1660)),((_xlfn.XLOOKUP(1,(_bbt3[[#All],[ID]]=A1660)*(_bbt3[[#All],[METRIC_NAME]]="YLD_YTM_ASK"),_bbt3[[#All],[METRIC_VALUE]])*0.5)+(_xlfn.XLOOKUP(1,(_bbt3[[#All],[ID]]=A1660)*(_bbt3[[#All],[METRIC_NAME]]="YLD_YTM_BID"),_bbt3[[#All],[METRIC_VALUE]])*0.5))/100,"")</f>
        <v/>
      </c>
      <c r="J1660">
        <f>IF(ISNA(VLOOKUP(A1660,'CloseDL - PriceSaverBBT3'!A:E,5,0)),0,VLOOKUP(A1660,'CloseDL - PriceSaverBBT3'!A:E,5,0))</f>
        <v>0</v>
      </c>
      <c r="K1660" s="7" t="str">
        <f t="shared" si="221"/>
        <v/>
      </c>
      <c r="L1660" s="20">
        <f>IF(Close[[#This Row],[CreatedBy]]="MARINER\SilverAdm",1,0)</f>
        <v>1</v>
      </c>
      <c r="M1660" t="str">
        <f>IF(NOT(ISBLANK(A1660)),VLOOKUP(A1660,'Close - PriceSaver'!A:J,6,0),"")</f>
        <v/>
      </c>
    </row>
    <row r="1661" spans="2:13" x14ac:dyDescent="0.35">
      <c r="B1661" t="str">
        <f>IF(NOT(ISBLANK(A1661)),VLOOKUP(A1661,'BBT3'!A:F,2,0),"")</f>
        <v/>
      </c>
      <c r="C1661" t="str">
        <f>IF(NOT(ISBLANK(A1661)),VLOOKUP(A1661,'BBT3'!A:F,3,0),"")</f>
        <v/>
      </c>
      <c r="D1661" s="5" t="str">
        <f>IF(NOT(ISBLANK(A1661)),VLOOKUP(A1661,'BBT3'!A:F,4,1),"")</f>
        <v/>
      </c>
      <c r="E1661" t="str">
        <f>IF(NOT(ISBLANK(A1661)),VLOOKUP(A1661,'BBT3'!A:F,5,0),"")</f>
        <v/>
      </c>
      <c r="F1661" t="str">
        <f>IF(NOT(ISBLANK(A1661)),VLOOKUP(A1661,'BBT3'!A:F,6,0),"")</f>
        <v/>
      </c>
      <c r="G1661" t="str">
        <f t="shared" si="220"/>
        <v/>
      </c>
      <c r="H1661" t="str">
        <f>IF(NOT(ISBLANK(A1661)),VLOOKUP(A1661,'Close - PriceSaver'!A:J,5,0),"")</f>
        <v/>
      </c>
      <c r="I1661" s="4" t="str" cm="1">
        <f t="array" ref="I1661">IF(NOT(ISBLANK(A1661)),((_xlfn.XLOOKUP(1,(_bbt3[[#All],[ID]]=A1661)*(_bbt3[[#All],[METRIC_NAME]]="YLD_YTM_ASK"),_bbt3[[#All],[METRIC_VALUE]])*0.5)+(_xlfn.XLOOKUP(1,(_bbt3[[#All],[ID]]=A1661)*(_bbt3[[#All],[METRIC_NAME]]="YLD_YTM_BID"),_bbt3[[#All],[METRIC_VALUE]])*0.5))/100,"")</f>
        <v/>
      </c>
      <c r="J1661">
        <f>IF(ISNA(VLOOKUP(A1661,'CloseDL - PriceSaverBBT3'!A:E,5,0)),0,VLOOKUP(A1661,'CloseDL - PriceSaverBBT3'!A:E,5,0))</f>
        <v>0</v>
      </c>
      <c r="K1661" s="7" t="str">
        <f t="shared" si="221"/>
        <v/>
      </c>
      <c r="L1661" s="20">
        <f>IF(Close[[#This Row],[CreatedBy]]="MARINER\SilverAdm",1,0)</f>
        <v>1</v>
      </c>
      <c r="M1661" t="str">
        <f>IF(NOT(ISBLANK(A1661)),VLOOKUP(A1661,'Close - PriceSaver'!A:J,6,0),"")</f>
        <v/>
      </c>
    </row>
    <row r="1662" spans="2:13" x14ac:dyDescent="0.35">
      <c r="B1662" t="str">
        <f>IF(NOT(ISBLANK(A1662)),VLOOKUP(A1662,'BBT3'!A:F,2,0),"")</f>
        <v/>
      </c>
      <c r="C1662" t="str">
        <f>IF(NOT(ISBLANK(A1662)),VLOOKUP(A1662,'BBT3'!A:F,3,0),"")</f>
        <v/>
      </c>
      <c r="D1662" s="5" t="str">
        <f>IF(NOT(ISBLANK(A1662)),VLOOKUP(A1662,'BBT3'!A:F,4,1),"")</f>
        <v/>
      </c>
      <c r="E1662" t="str">
        <f>IF(NOT(ISBLANK(A1662)),VLOOKUP(A1662,'BBT3'!A:F,5,0),"")</f>
        <v/>
      </c>
      <c r="F1662" t="str">
        <f>IF(NOT(ISBLANK(A1662)),VLOOKUP(A1662,'BBT3'!A:F,6,0),"")</f>
        <v/>
      </c>
      <c r="G1662" t="str">
        <f t="shared" si="220"/>
        <v/>
      </c>
      <c r="H1662" t="str">
        <f>IF(NOT(ISBLANK(A1662)),VLOOKUP(A1662,'Close - PriceSaver'!A:J,5,0),"")</f>
        <v/>
      </c>
      <c r="I1662" s="4" t="str" cm="1">
        <f t="array" ref="I1662">IF(NOT(ISBLANK(A1662)),((_xlfn.XLOOKUP(1,(_bbt3[[#All],[ID]]=A1662)*(_bbt3[[#All],[METRIC_NAME]]="YLD_YTM_ASK"),_bbt3[[#All],[METRIC_VALUE]])*0.5)+(_xlfn.XLOOKUP(1,(_bbt3[[#All],[ID]]=A1662)*(_bbt3[[#All],[METRIC_NAME]]="YLD_YTM_BID"),_bbt3[[#All],[METRIC_VALUE]])*0.5))/100,"")</f>
        <v/>
      </c>
      <c r="J1662">
        <f>IF(ISNA(VLOOKUP(A1662,'CloseDL - PriceSaverBBT3'!A:E,5,0)),0,VLOOKUP(A1662,'CloseDL - PriceSaverBBT3'!A:E,5,0))</f>
        <v>0</v>
      </c>
      <c r="K1662" s="7" t="str">
        <f t="shared" si="221"/>
        <v/>
      </c>
      <c r="L1662" s="20">
        <f>IF(Close[[#This Row],[CreatedBy]]="MARINER\SilverAdm",1,0)</f>
        <v>1</v>
      </c>
      <c r="M1662" t="str">
        <f>IF(NOT(ISBLANK(A1662)),VLOOKUP(A1662,'Close - PriceSaver'!A:J,6,0),"")</f>
        <v/>
      </c>
    </row>
    <row r="1663" spans="2:13" x14ac:dyDescent="0.35">
      <c r="B1663" t="str">
        <f>IF(NOT(ISBLANK(A1663)),VLOOKUP(A1663,'BBT3'!A:F,2,0),"")</f>
        <v/>
      </c>
      <c r="C1663" t="str">
        <f>IF(NOT(ISBLANK(A1663)),VLOOKUP(A1663,'BBT3'!A:F,3,0),"")</f>
        <v/>
      </c>
      <c r="D1663" s="5" t="str">
        <f>IF(NOT(ISBLANK(A1663)),VLOOKUP(A1663,'BBT3'!A:F,4,1),"")</f>
        <v/>
      </c>
      <c r="E1663" t="str">
        <f>IF(NOT(ISBLANK(A1663)),VLOOKUP(A1663,'BBT3'!A:F,5,0),"")</f>
        <v/>
      </c>
      <c r="F1663" t="str">
        <f>IF(NOT(ISBLANK(A1663)),VLOOKUP(A1663,'BBT3'!A:F,6,0),"")</f>
        <v/>
      </c>
      <c r="G1663" t="str">
        <f t="shared" si="220"/>
        <v/>
      </c>
      <c r="H1663" t="str">
        <f>IF(NOT(ISBLANK(A1663)),VLOOKUP(A1663,'Close - PriceSaver'!A:J,5,0),"")</f>
        <v/>
      </c>
      <c r="I1663" s="4" t="str" cm="1">
        <f t="array" ref="I1663">IF(NOT(ISBLANK(A1663)),((_xlfn.XLOOKUP(1,(_bbt3[[#All],[ID]]=A1663)*(_bbt3[[#All],[METRIC_NAME]]="YLD_YTM_ASK"),_bbt3[[#All],[METRIC_VALUE]])*0.5)+(_xlfn.XLOOKUP(1,(_bbt3[[#All],[ID]]=A1663)*(_bbt3[[#All],[METRIC_NAME]]="YLD_YTM_BID"),_bbt3[[#All],[METRIC_VALUE]])*0.5))/100,"")</f>
        <v/>
      </c>
      <c r="J1663">
        <f>IF(ISNA(VLOOKUP(A1663,'CloseDL - PriceSaverBBT3'!A:E,5,0)),0,VLOOKUP(A1663,'CloseDL - PriceSaverBBT3'!A:E,5,0))</f>
        <v>0</v>
      </c>
      <c r="K1663" s="7" t="str">
        <f t="shared" si="221"/>
        <v/>
      </c>
      <c r="L1663" s="20">
        <f>IF(Close[[#This Row],[CreatedBy]]="MARINER\SilverAdm",1,0)</f>
        <v>1</v>
      </c>
      <c r="M1663" t="str">
        <f>IF(NOT(ISBLANK(A1663)),VLOOKUP(A1663,'Close - PriceSaver'!A:J,6,0),"")</f>
        <v/>
      </c>
    </row>
    <row r="1664" spans="2:13" x14ac:dyDescent="0.35">
      <c r="B1664" t="str">
        <f>IF(NOT(ISBLANK(A1664)),VLOOKUP(A1664,'BBT3'!A:F,2,0),"")</f>
        <v/>
      </c>
      <c r="C1664" t="str">
        <f>IF(NOT(ISBLANK(A1664)),VLOOKUP(A1664,'BBT3'!A:F,3,0),"")</f>
        <v/>
      </c>
      <c r="D1664" s="5" t="str">
        <f>IF(NOT(ISBLANK(A1664)),VLOOKUP(A1664,'BBT3'!A:F,4,1),"")</f>
        <v/>
      </c>
      <c r="E1664" t="str">
        <f>IF(NOT(ISBLANK(A1664)),VLOOKUP(A1664,'BBT3'!A:F,5,0),"")</f>
        <v/>
      </c>
      <c r="F1664" t="str">
        <f>IF(NOT(ISBLANK(A1664)),VLOOKUP(A1664,'BBT3'!A:F,6,0),"")</f>
        <v/>
      </c>
      <c r="G1664" t="str">
        <f t="shared" si="220"/>
        <v/>
      </c>
      <c r="H1664" t="str">
        <f>IF(NOT(ISBLANK(A1664)),VLOOKUP(A1664,'Close - PriceSaver'!A:J,5,0),"")</f>
        <v/>
      </c>
      <c r="I1664" s="4" t="str" cm="1">
        <f t="array" ref="I1664">IF(NOT(ISBLANK(A1664)),((_xlfn.XLOOKUP(1,(_bbt3[[#All],[ID]]=A1664)*(_bbt3[[#All],[METRIC_NAME]]="YLD_YTM_ASK"),_bbt3[[#All],[METRIC_VALUE]])*0.5)+(_xlfn.XLOOKUP(1,(_bbt3[[#All],[ID]]=A1664)*(_bbt3[[#All],[METRIC_NAME]]="YLD_YTM_BID"),_bbt3[[#All],[METRIC_VALUE]])*0.5))/100,"")</f>
        <v/>
      </c>
      <c r="J1664">
        <f>IF(ISNA(VLOOKUP(A1664,'CloseDL - PriceSaverBBT3'!A:E,5,0)),0,VLOOKUP(A1664,'CloseDL - PriceSaverBBT3'!A:E,5,0))</f>
        <v>0</v>
      </c>
      <c r="K1664" s="7" t="str">
        <f t="shared" si="221"/>
        <v/>
      </c>
      <c r="L1664" s="20">
        <f>IF(Close[[#This Row],[CreatedBy]]="MARINER\SilverAdm",1,0)</f>
        <v>1</v>
      </c>
      <c r="M1664" t="str">
        <f>IF(NOT(ISBLANK(A1664)),VLOOKUP(A1664,'Close - PriceSaver'!A:J,6,0),"")</f>
        <v/>
      </c>
    </row>
    <row r="1665" spans="2:13" x14ac:dyDescent="0.35">
      <c r="B1665" t="str">
        <f>IF(NOT(ISBLANK(A1665)),VLOOKUP(A1665,'BBT3'!A:F,2,0),"")</f>
        <v/>
      </c>
      <c r="C1665" t="str">
        <f>IF(NOT(ISBLANK(A1665)),VLOOKUP(A1665,'BBT3'!A:F,3,0),"")</f>
        <v/>
      </c>
      <c r="D1665" s="5" t="str">
        <f>IF(NOT(ISBLANK(A1665)),VLOOKUP(A1665,'BBT3'!A:F,4,1),"")</f>
        <v/>
      </c>
      <c r="E1665" t="str">
        <f>IF(NOT(ISBLANK(A1665)),VLOOKUP(A1665,'BBT3'!A:F,5,0),"")</f>
        <v/>
      </c>
      <c r="F1665" t="str">
        <f>IF(NOT(ISBLANK(A1665)),VLOOKUP(A1665,'BBT3'!A:F,6,0),"")</f>
        <v/>
      </c>
      <c r="G1665" t="str">
        <f t="shared" si="220"/>
        <v/>
      </c>
      <c r="H1665" t="str">
        <f>IF(NOT(ISBLANK(A1665)),VLOOKUP(A1665,'Close - PriceSaver'!A:J,5,0),"")</f>
        <v/>
      </c>
      <c r="I1665" s="4" t="str" cm="1">
        <f t="array" ref="I1665">IF(NOT(ISBLANK(A1665)),((_xlfn.XLOOKUP(1,(_bbt3[[#All],[ID]]=A1665)*(_bbt3[[#All],[METRIC_NAME]]="YLD_YTM_ASK"),_bbt3[[#All],[METRIC_VALUE]])*0.5)+(_xlfn.XLOOKUP(1,(_bbt3[[#All],[ID]]=A1665)*(_bbt3[[#All],[METRIC_NAME]]="YLD_YTM_BID"),_bbt3[[#All],[METRIC_VALUE]])*0.5))/100,"")</f>
        <v/>
      </c>
      <c r="J1665">
        <f>IF(ISNA(VLOOKUP(A1665,'CloseDL - PriceSaverBBT3'!A:E,5,0)),0,VLOOKUP(A1665,'CloseDL - PriceSaverBBT3'!A:E,5,0))</f>
        <v>0</v>
      </c>
      <c r="K1665" s="7" t="str">
        <f t="shared" si="221"/>
        <v/>
      </c>
      <c r="L1665" s="20">
        <f>IF(Close[[#This Row],[CreatedBy]]="MARINER\SilverAdm",1,0)</f>
        <v>1</v>
      </c>
      <c r="M1665" t="str">
        <f>IF(NOT(ISBLANK(A1665)),VLOOKUP(A1665,'Close - PriceSaver'!A:J,6,0),"")</f>
        <v/>
      </c>
    </row>
    <row r="1666" spans="2:13" x14ac:dyDescent="0.35">
      <c r="B1666" t="str">
        <f>IF(NOT(ISBLANK(A1666)),VLOOKUP(A1666,'BBT3'!A:F,2,0),"")</f>
        <v/>
      </c>
      <c r="C1666" t="str">
        <f>IF(NOT(ISBLANK(A1666)),VLOOKUP(A1666,'BBT3'!A:F,3,0),"")</f>
        <v/>
      </c>
      <c r="D1666" s="5" t="str">
        <f>IF(NOT(ISBLANK(A1666)),VLOOKUP(A1666,'BBT3'!A:F,4,1),"")</f>
        <v/>
      </c>
      <c r="E1666" t="str">
        <f>IF(NOT(ISBLANK(A1666)),VLOOKUP(A1666,'BBT3'!A:F,5,0),"")</f>
        <v/>
      </c>
      <c r="F1666" t="str">
        <f>IF(NOT(ISBLANK(A1666)),VLOOKUP(A1666,'BBT3'!A:F,6,0),"")</f>
        <v/>
      </c>
      <c r="G1666" t="str">
        <f t="shared" si="220"/>
        <v/>
      </c>
      <c r="H1666" t="str">
        <f>IF(NOT(ISBLANK(A1666)),VLOOKUP(A1666,'Close - PriceSaver'!A:J,5,0),"")</f>
        <v/>
      </c>
      <c r="I1666" s="4" t="str" cm="1">
        <f t="array" ref="I1666">IF(NOT(ISBLANK(A1666)),((_xlfn.XLOOKUP(1,(_bbt3[[#All],[ID]]=A1666)*(_bbt3[[#All],[METRIC_NAME]]="YLD_YTM_ASK"),_bbt3[[#All],[METRIC_VALUE]])*0.5)+(_xlfn.XLOOKUP(1,(_bbt3[[#All],[ID]]=A1666)*(_bbt3[[#All],[METRIC_NAME]]="YLD_YTM_BID"),_bbt3[[#All],[METRIC_VALUE]])*0.5))/100,"")</f>
        <v/>
      </c>
      <c r="J1666">
        <f>IF(ISNA(VLOOKUP(A1666,'CloseDL - PriceSaverBBT3'!A:E,5,0)),0,VLOOKUP(A1666,'CloseDL - PriceSaverBBT3'!A:E,5,0))</f>
        <v>0</v>
      </c>
      <c r="K1666" s="7" t="str">
        <f t="shared" si="221"/>
        <v/>
      </c>
      <c r="L1666" s="20">
        <f>IF(Close[[#This Row],[CreatedBy]]="MARINER\SilverAdm",1,0)</f>
        <v>1</v>
      </c>
      <c r="M1666" t="str">
        <f>IF(NOT(ISBLANK(A1666)),VLOOKUP(A1666,'Close - PriceSaver'!A:J,6,0),"")</f>
        <v/>
      </c>
    </row>
    <row r="1667" spans="2:13" x14ac:dyDescent="0.35">
      <c r="B1667" t="str">
        <f>IF(NOT(ISBLANK(A1667)),VLOOKUP(A1667,'BBT3'!A:F,2,0),"")</f>
        <v/>
      </c>
      <c r="C1667" t="str">
        <f>IF(NOT(ISBLANK(A1667)),VLOOKUP(A1667,'BBT3'!A:F,3,0),"")</f>
        <v/>
      </c>
      <c r="D1667" s="5" t="str">
        <f>IF(NOT(ISBLANK(A1667)),VLOOKUP(A1667,'BBT3'!A:F,4,1),"")</f>
        <v/>
      </c>
      <c r="E1667" t="str">
        <f>IF(NOT(ISBLANK(A1667)),VLOOKUP(A1667,'BBT3'!A:F,5,0),"")</f>
        <v/>
      </c>
      <c r="F1667" t="str">
        <f>IF(NOT(ISBLANK(A1667)),VLOOKUP(A1667,'BBT3'!A:F,6,0),"")</f>
        <v/>
      </c>
      <c r="G1667" t="str">
        <f t="shared" ref="G1667:G1730" si="222">IF(NOT(ISBLANK(A1667)),IF(D1667=0,"Y","N"),"")</f>
        <v/>
      </c>
      <c r="H1667" t="str">
        <f>IF(NOT(ISBLANK(A1667)),VLOOKUP(A1667,'Close - PriceSaver'!A:J,5,0),"")</f>
        <v/>
      </c>
      <c r="I1667" s="4" t="str" cm="1">
        <f t="array" ref="I1667">IF(NOT(ISBLANK(A1667)),((_xlfn.XLOOKUP(1,(_bbt3[[#All],[ID]]=A1667)*(_bbt3[[#All],[METRIC_NAME]]="YLD_YTM_ASK"),_bbt3[[#All],[METRIC_VALUE]])*0.5)+(_xlfn.XLOOKUP(1,(_bbt3[[#All],[ID]]=A1667)*(_bbt3[[#All],[METRIC_NAME]]="YLD_YTM_BID"),_bbt3[[#All],[METRIC_VALUE]])*0.5))/100,"")</f>
        <v/>
      </c>
      <c r="J1667">
        <f>IF(ISNA(VLOOKUP(A1667,'CloseDL - PriceSaverBBT3'!A:E,5,0)),0,VLOOKUP(A1667,'CloseDL - PriceSaverBBT3'!A:E,5,0))</f>
        <v>0</v>
      </c>
      <c r="K1667" s="7" t="str">
        <f t="shared" ref="K1667:K1730" si="223">IF(ISNA(IF(NOT(ISBLANK(A1667)),ABS(H1667-J1667),"")),0,(IF(NOT(ISBLANK(A1667)),ABS(H1667-J1667)*10000,"")))</f>
        <v/>
      </c>
      <c r="L1667" s="20">
        <f>IF(Close[[#This Row],[CreatedBy]]="MARINER\SilverAdm",1,0)</f>
        <v>1</v>
      </c>
      <c r="M1667" t="str">
        <f>IF(NOT(ISBLANK(A1667)),VLOOKUP(A1667,'Close - PriceSaver'!A:J,6,0),"")</f>
        <v/>
      </c>
    </row>
    <row r="1668" spans="2:13" x14ac:dyDescent="0.35">
      <c r="B1668" t="str">
        <f>IF(NOT(ISBLANK(A1668)),VLOOKUP(A1668,'BBT3'!A:F,2,0),"")</f>
        <v/>
      </c>
      <c r="C1668" t="str">
        <f>IF(NOT(ISBLANK(A1668)),VLOOKUP(A1668,'BBT3'!A:F,3,0),"")</f>
        <v/>
      </c>
      <c r="D1668" s="5" t="str">
        <f>IF(NOT(ISBLANK(A1668)),VLOOKUP(A1668,'BBT3'!A:F,4,1),"")</f>
        <v/>
      </c>
      <c r="E1668" t="str">
        <f>IF(NOT(ISBLANK(A1668)),VLOOKUP(A1668,'BBT3'!A:F,5,0),"")</f>
        <v/>
      </c>
      <c r="F1668" t="str">
        <f>IF(NOT(ISBLANK(A1668)),VLOOKUP(A1668,'BBT3'!A:F,6,0),"")</f>
        <v/>
      </c>
      <c r="G1668" t="str">
        <f t="shared" si="222"/>
        <v/>
      </c>
      <c r="H1668" t="str">
        <f>IF(NOT(ISBLANK(A1668)),VLOOKUP(A1668,'Close - PriceSaver'!A:J,5,0),"")</f>
        <v/>
      </c>
      <c r="I1668" s="4" t="str" cm="1">
        <f t="array" ref="I1668">IF(NOT(ISBLANK(A1668)),((_xlfn.XLOOKUP(1,(_bbt3[[#All],[ID]]=A1668)*(_bbt3[[#All],[METRIC_NAME]]="YLD_YTM_ASK"),_bbt3[[#All],[METRIC_VALUE]])*0.5)+(_xlfn.XLOOKUP(1,(_bbt3[[#All],[ID]]=A1668)*(_bbt3[[#All],[METRIC_NAME]]="YLD_YTM_BID"),_bbt3[[#All],[METRIC_VALUE]])*0.5))/100,"")</f>
        <v/>
      </c>
      <c r="J1668">
        <f>IF(ISNA(VLOOKUP(A1668,'CloseDL - PriceSaverBBT3'!A:E,5,0)),0,VLOOKUP(A1668,'CloseDL - PriceSaverBBT3'!A:E,5,0))</f>
        <v>0</v>
      </c>
      <c r="K1668" s="7" t="str">
        <f t="shared" si="223"/>
        <v/>
      </c>
      <c r="L1668" s="20">
        <f>IF(Close[[#This Row],[CreatedBy]]="MARINER\SilverAdm",1,0)</f>
        <v>1</v>
      </c>
      <c r="M1668" t="str">
        <f>IF(NOT(ISBLANK(A1668)),VLOOKUP(A1668,'Close - PriceSaver'!A:J,6,0),"")</f>
        <v/>
      </c>
    </row>
    <row r="1669" spans="2:13" x14ac:dyDescent="0.35">
      <c r="B1669" t="str">
        <f>IF(NOT(ISBLANK(A1669)),VLOOKUP(A1669,'BBT3'!A:F,2,0),"")</f>
        <v/>
      </c>
      <c r="C1669" t="str">
        <f>IF(NOT(ISBLANK(A1669)),VLOOKUP(A1669,'BBT3'!A:F,3,0),"")</f>
        <v/>
      </c>
      <c r="D1669" s="5" t="str">
        <f>IF(NOT(ISBLANK(A1669)),VLOOKUP(A1669,'BBT3'!A:F,4,1),"")</f>
        <v/>
      </c>
      <c r="E1669" t="str">
        <f>IF(NOT(ISBLANK(A1669)),VLOOKUP(A1669,'BBT3'!A:F,5,0),"")</f>
        <v/>
      </c>
      <c r="F1669" t="str">
        <f>IF(NOT(ISBLANK(A1669)),VLOOKUP(A1669,'BBT3'!A:F,6,0),"")</f>
        <v/>
      </c>
      <c r="G1669" t="str">
        <f t="shared" si="222"/>
        <v/>
      </c>
      <c r="H1669" t="str">
        <f>IF(NOT(ISBLANK(A1669)),VLOOKUP(A1669,'Close - PriceSaver'!A:J,5,0),"")</f>
        <v/>
      </c>
      <c r="I1669" s="4" t="str" cm="1">
        <f t="array" ref="I1669">IF(NOT(ISBLANK(A1669)),((_xlfn.XLOOKUP(1,(_bbt3[[#All],[ID]]=A1669)*(_bbt3[[#All],[METRIC_NAME]]="YLD_YTM_ASK"),_bbt3[[#All],[METRIC_VALUE]])*0.5)+(_xlfn.XLOOKUP(1,(_bbt3[[#All],[ID]]=A1669)*(_bbt3[[#All],[METRIC_NAME]]="YLD_YTM_BID"),_bbt3[[#All],[METRIC_VALUE]])*0.5))/100,"")</f>
        <v/>
      </c>
      <c r="J1669">
        <f>IF(ISNA(VLOOKUP(A1669,'CloseDL - PriceSaverBBT3'!A:E,5,0)),0,VLOOKUP(A1669,'CloseDL - PriceSaverBBT3'!A:E,5,0))</f>
        <v>0</v>
      </c>
      <c r="K1669" s="7" t="str">
        <f t="shared" si="223"/>
        <v/>
      </c>
      <c r="L1669" s="20">
        <f>IF(Close[[#This Row],[CreatedBy]]="MARINER\SilverAdm",1,0)</f>
        <v>1</v>
      </c>
      <c r="M1669" t="str">
        <f>IF(NOT(ISBLANK(A1669)),VLOOKUP(A1669,'Close - PriceSaver'!A:J,6,0),"")</f>
        <v/>
      </c>
    </row>
    <row r="1670" spans="2:13" x14ac:dyDescent="0.35">
      <c r="B1670" t="str">
        <f>IF(NOT(ISBLANK(A1670)),VLOOKUP(A1670,'BBT3'!A:F,2,0),"")</f>
        <v/>
      </c>
      <c r="C1670" t="str">
        <f>IF(NOT(ISBLANK(A1670)),VLOOKUP(A1670,'BBT3'!A:F,3,0),"")</f>
        <v/>
      </c>
      <c r="D1670" s="5" t="str">
        <f>IF(NOT(ISBLANK(A1670)),VLOOKUP(A1670,'BBT3'!A:F,4,1),"")</f>
        <v/>
      </c>
      <c r="E1670" t="str">
        <f>IF(NOT(ISBLANK(A1670)),VLOOKUP(A1670,'BBT3'!A:F,5,0),"")</f>
        <v/>
      </c>
      <c r="F1670" t="str">
        <f>IF(NOT(ISBLANK(A1670)),VLOOKUP(A1670,'BBT3'!A:F,6,0),"")</f>
        <v/>
      </c>
      <c r="G1670" t="str">
        <f t="shared" si="222"/>
        <v/>
      </c>
      <c r="H1670" t="str">
        <f>IF(NOT(ISBLANK(A1670)),VLOOKUP(A1670,'Close - PriceSaver'!A:J,5,0),"")</f>
        <v/>
      </c>
      <c r="I1670" s="4" t="str" cm="1">
        <f t="array" ref="I1670">IF(NOT(ISBLANK(A1670)),((_xlfn.XLOOKUP(1,(_bbt3[[#All],[ID]]=A1670)*(_bbt3[[#All],[METRIC_NAME]]="YLD_YTM_ASK"),_bbt3[[#All],[METRIC_VALUE]])*0.5)+(_xlfn.XLOOKUP(1,(_bbt3[[#All],[ID]]=A1670)*(_bbt3[[#All],[METRIC_NAME]]="YLD_YTM_BID"),_bbt3[[#All],[METRIC_VALUE]])*0.5))/100,"")</f>
        <v/>
      </c>
      <c r="J1670">
        <f>IF(ISNA(VLOOKUP(A1670,'CloseDL - PriceSaverBBT3'!A:E,5,0)),0,VLOOKUP(A1670,'CloseDL - PriceSaverBBT3'!A:E,5,0))</f>
        <v>0</v>
      </c>
      <c r="K1670" s="7" t="str">
        <f t="shared" si="223"/>
        <v/>
      </c>
      <c r="L1670" s="20">
        <f>IF(Close[[#This Row],[CreatedBy]]="MARINER\SilverAdm",1,0)</f>
        <v>1</v>
      </c>
      <c r="M1670" t="str">
        <f>IF(NOT(ISBLANK(A1670)),VLOOKUP(A1670,'Close - PriceSaver'!A:J,6,0),"")</f>
        <v/>
      </c>
    </row>
    <row r="1671" spans="2:13" x14ac:dyDescent="0.35">
      <c r="B1671" t="str">
        <f>IF(NOT(ISBLANK(A1671)),VLOOKUP(A1671,'BBT3'!A:F,2,0),"")</f>
        <v/>
      </c>
      <c r="C1671" t="str">
        <f>IF(NOT(ISBLANK(A1671)),VLOOKUP(A1671,'BBT3'!A:F,3,0),"")</f>
        <v/>
      </c>
      <c r="D1671" s="5" t="str">
        <f>IF(NOT(ISBLANK(A1671)),VLOOKUP(A1671,'BBT3'!A:F,4,1),"")</f>
        <v/>
      </c>
      <c r="E1671" t="str">
        <f>IF(NOT(ISBLANK(A1671)),VLOOKUP(A1671,'BBT3'!A:F,5,0),"")</f>
        <v/>
      </c>
      <c r="F1671" t="str">
        <f>IF(NOT(ISBLANK(A1671)),VLOOKUP(A1671,'BBT3'!A:F,6,0),"")</f>
        <v/>
      </c>
      <c r="G1671" t="str">
        <f t="shared" si="222"/>
        <v/>
      </c>
      <c r="H1671" t="str">
        <f>IF(NOT(ISBLANK(A1671)),VLOOKUP(A1671,'Close - PriceSaver'!A:J,5,0),"")</f>
        <v/>
      </c>
      <c r="I1671" s="4" t="str" cm="1">
        <f t="array" ref="I1671">IF(NOT(ISBLANK(A1671)),((_xlfn.XLOOKUP(1,(_bbt3[[#All],[ID]]=A1671)*(_bbt3[[#All],[METRIC_NAME]]="YLD_YTM_ASK"),_bbt3[[#All],[METRIC_VALUE]])*0.5)+(_xlfn.XLOOKUP(1,(_bbt3[[#All],[ID]]=A1671)*(_bbt3[[#All],[METRIC_NAME]]="YLD_YTM_BID"),_bbt3[[#All],[METRIC_VALUE]])*0.5))/100,"")</f>
        <v/>
      </c>
      <c r="J1671">
        <f>IF(ISNA(VLOOKUP(A1671,'CloseDL - PriceSaverBBT3'!A:E,5,0)),0,VLOOKUP(A1671,'CloseDL - PriceSaverBBT3'!A:E,5,0))</f>
        <v>0</v>
      </c>
      <c r="K1671" s="7" t="str">
        <f t="shared" si="223"/>
        <v/>
      </c>
      <c r="L1671" s="20">
        <f>IF(Close[[#This Row],[CreatedBy]]="MARINER\SilverAdm",1,0)</f>
        <v>1</v>
      </c>
      <c r="M1671" t="str">
        <f>IF(NOT(ISBLANK(A1671)),VLOOKUP(A1671,'Close - PriceSaver'!A:J,6,0),"")</f>
        <v/>
      </c>
    </row>
    <row r="1672" spans="2:13" x14ac:dyDescent="0.35">
      <c r="B1672" t="str">
        <f>IF(NOT(ISBLANK(A1672)),VLOOKUP(A1672,'BBT3'!A:F,2,0),"")</f>
        <v/>
      </c>
      <c r="C1672" t="str">
        <f>IF(NOT(ISBLANK(A1672)),VLOOKUP(A1672,'BBT3'!A:F,3,0),"")</f>
        <v/>
      </c>
      <c r="D1672" s="5" t="str">
        <f>IF(NOT(ISBLANK(A1672)),VLOOKUP(A1672,'BBT3'!A:F,4,1),"")</f>
        <v/>
      </c>
      <c r="E1672" t="str">
        <f>IF(NOT(ISBLANK(A1672)),VLOOKUP(A1672,'BBT3'!A:F,5,0),"")</f>
        <v/>
      </c>
      <c r="F1672" t="str">
        <f>IF(NOT(ISBLANK(A1672)),VLOOKUP(A1672,'BBT3'!A:F,6,0),"")</f>
        <v/>
      </c>
      <c r="G1672" t="str">
        <f t="shared" si="222"/>
        <v/>
      </c>
      <c r="H1672" t="str">
        <f>IF(NOT(ISBLANK(A1672)),VLOOKUP(A1672,'Close - PriceSaver'!A:J,5,0),"")</f>
        <v/>
      </c>
      <c r="I1672" s="4" t="str" cm="1">
        <f t="array" ref="I1672">IF(NOT(ISBLANK(A1672)),((_xlfn.XLOOKUP(1,(_bbt3[[#All],[ID]]=A1672)*(_bbt3[[#All],[METRIC_NAME]]="YLD_YTM_ASK"),_bbt3[[#All],[METRIC_VALUE]])*0.5)+(_xlfn.XLOOKUP(1,(_bbt3[[#All],[ID]]=A1672)*(_bbt3[[#All],[METRIC_NAME]]="YLD_YTM_BID"),_bbt3[[#All],[METRIC_VALUE]])*0.5))/100,"")</f>
        <v/>
      </c>
      <c r="J1672">
        <f>IF(ISNA(VLOOKUP(A1672,'CloseDL - PriceSaverBBT3'!A:E,5,0)),0,VLOOKUP(A1672,'CloseDL - PriceSaverBBT3'!A:E,5,0))</f>
        <v>0</v>
      </c>
      <c r="K1672" s="7" t="str">
        <f t="shared" si="223"/>
        <v/>
      </c>
      <c r="L1672" s="20">
        <f>IF(Close[[#This Row],[CreatedBy]]="MARINER\SilverAdm",1,0)</f>
        <v>1</v>
      </c>
      <c r="M1672" t="str">
        <f>IF(NOT(ISBLANK(A1672)),VLOOKUP(A1672,'Close - PriceSaver'!A:J,6,0),"")</f>
        <v/>
      </c>
    </row>
    <row r="1673" spans="2:13" x14ac:dyDescent="0.35">
      <c r="B1673" t="str">
        <f>IF(NOT(ISBLANK(A1673)),VLOOKUP(A1673,'BBT3'!A:F,2,0),"")</f>
        <v/>
      </c>
      <c r="C1673" t="str">
        <f>IF(NOT(ISBLANK(A1673)),VLOOKUP(A1673,'BBT3'!A:F,3,0),"")</f>
        <v/>
      </c>
      <c r="D1673" s="5" t="str">
        <f>IF(NOT(ISBLANK(A1673)),VLOOKUP(A1673,'BBT3'!A:F,4,1),"")</f>
        <v/>
      </c>
      <c r="E1673" t="str">
        <f>IF(NOT(ISBLANK(A1673)),VLOOKUP(A1673,'BBT3'!A:F,5,0),"")</f>
        <v/>
      </c>
      <c r="F1673" t="str">
        <f>IF(NOT(ISBLANK(A1673)),VLOOKUP(A1673,'BBT3'!A:F,6,0),"")</f>
        <v/>
      </c>
      <c r="G1673" t="str">
        <f t="shared" si="222"/>
        <v/>
      </c>
      <c r="H1673" t="str">
        <f>IF(NOT(ISBLANK(A1673)),VLOOKUP(A1673,'Close - PriceSaver'!A:J,5,0),"")</f>
        <v/>
      </c>
      <c r="I1673" s="4" t="str" cm="1">
        <f t="array" ref="I1673">IF(NOT(ISBLANK(A1673)),((_xlfn.XLOOKUP(1,(_bbt3[[#All],[ID]]=A1673)*(_bbt3[[#All],[METRIC_NAME]]="YLD_YTM_ASK"),_bbt3[[#All],[METRIC_VALUE]])*0.5)+(_xlfn.XLOOKUP(1,(_bbt3[[#All],[ID]]=A1673)*(_bbt3[[#All],[METRIC_NAME]]="YLD_YTM_BID"),_bbt3[[#All],[METRIC_VALUE]])*0.5))/100,"")</f>
        <v/>
      </c>
      <c r="J1673">
        <f>IF(ISNA(VLOOKUP(A1673,'CloseDL - PriceSaverBBT3'!A:E,5,0)),0,VLOOKUP(A1673,'CloseDL - PriceSaverBBT3'!A:E,5,0))</f>
        <v>0</v>
      </c>
      <c r="K1673" s="7" t="str">
        <f t="shared" si="223"/>
        <v/>
      </c>
      <c r="L1673" s="20">
        <f>IF(Close[[#This Row],[CreatedBy]]="MARINER\SilverAdm",1,0)</f>
        <v>1</v>
      </c>
      <c r="M1673" t="str">
        <f>IF(NOT(ISBLANK(A1673)),VLOOKUP(A1673,'Close - PriceSaver'!A:J,6,0),"")</f>
        <v/>
      </c>
    </row>
    <row r="1674" spans="2:13" x14ac:dyDescent="0.35">
      <c r="B1674" t="str">
        <f>IF(NOT(ISBLANK(A1674)),VLOOKUP(A1674,'BBT3'!A:F,2,0),"")</f>
        <v/>
      </c>
      <c r="C1674" t="str">
        <f>IF(NOT(ISBLANK(A1674)),VLOOKUP(A1674,'BBT3'!A:F,3,0),"")</f>
        <v/>
      </c>
      <c r="D1674" s="5" t="str">
        <f>IF(NOT(ISBLANK(A1674)),VLOOKUP(A1674,'BBT3'!A:F,4,1),"")</f>
        <v/>
      </c>
      <c r="E1674" t="str">
        <f>IF(NOT(ISBLANK(A1674)),VLOOKUP(A1674,'BBT3'!A:F,5,0),"")</f>
        <v/>
      </c>
      <c r="F1674" t="str">
        <f>IF(NOT(ISBLANK(A1674)),VLOOKUP(A1674,'BBT3'!A:F,6,0),"")</f>
        <v/>
      </c>
      <c r="G1674" t="str">
        <f t="shared" si="222"/>
        <v/>
      </c>
      <c r="H1674" t="str">
        <f>IF(NOT(ISBLANK(A1674)),VLOOKUP(A1674,'Close - PriceSaver'!A:J,5,0),"")</f>
        <v/>
      </c>
      <c r="I1674" s="4" t="str" cm="1">
        <f t="array" ref="I1674">IF(NOT(ISBLANK(A1674)),((_xlfn.XLOOKUP(1,(_bbt3[[#All],[ID]]=A1674)*(_bbt3[[#All],[METRIC_NAME]]="YLD_YTM_ASK"),_bbt3[[#All],[METRIC_VALUE]])*0.5)+(_xlfn.XLOOKUP(1,(_bbt3[[#All],[ID]]=A1674)*(_bbt3[[#All],[METRIC_NAME]]="YLD_YTM_BID"),_bbt3[[#All],[METRIC_VALUE]])*0.5))/100,"")</f>
        <v/>
      </c>
      <c r="J1674">
        <f>IF(ISNA(VLOOKUP(A1674,'CloseDL - PriceSaverBBT3'!A:E,5,0)),0,VLOOKUP(A1674,'CloseDL - PriceSaverBBT3'!A:E,5,0))</f>
        <v>0</v>
      </c>
      <c r="K1674" s="7" t="str">
        <f t="shared" si="223"/>
        <v/>
      </c>
      <c r="L1674" s="20">
        <f>IF(Close[[#This Row],[CreatedBy]]="MARINER\SilverAdm",1,0)</f>
        <v>1</v>
      </c>
      <c r="M1674" t="str">
        <f>IF(NOT(ISBLANK(A1674)),VLOOKUP(A1674,'Close - PriceSaver'!A:J,6,0),"")</f>
        <v/>
      </c>
    </row>
    <row r="1675" spans="2:13" x14ac:dyDescent="0.35">
      <c r="B1675" t="str">
        <f>IF(NOT(ISBLANK(A1675)),VLOOKUP(A1675,'BBT3'!A:F,2,0),"")</f>
        <v/>
      </c>
      <c r="C1675" t="str">
        <f>IF(NOT(ISBLANK(A1675)),VLOOKUP(A1675,'BBT3'!A:F,3,0),"")</f>
        <v/>
      </c>
      <c r="D1675" s="5" t="str">
        <f>IF(NOT(ISBLANK(A1675)),VLOOKUP(A1675,'BBT3'!A:F,4,1),"")</f>
        <v/>
      </c>
      <c r="E1675" t="str">
        <f>IF(NOT(ISBLANK(A1675)),VLOOKUP(A1675,'BBT3'!A:F,5,0),"")</f>
        <v/>
      </c>
      <c r="F1675" t="str">
        <f>IF(NOT(ISBLANK(A1675)),VLOOKUP(A1675,'BBT3'!A:F,6,0),"")</f>
        <v/>
      </c>
      <c r="G1675" t="str">
        <f t="shared" si="222"/>
        <v/>
      </c>
      <c r="H1675" t="str">
        <f>IF(NOT(ISBLANK(A1675)),VLOOKUP(A1675,'Close - PriceSaver'!A:J,5,0),"")</f>
        <v/>
      </c>
      <c r="I1675" s="4" t="str" cm="1">
        <f t="array" ref="I1675">IF(NOT(ISBLANK(A1675)),((_xlfn.XLOOKUP(1,(_bbt3[[#All],[ID]]=A1675)*(_bbt3[[#All],[METRIC_NAME]]="YLD_YTM_ASK"),_bbt3[[#All],[METRIC_VALUE]])*0.5)+(_xlfn.XLOOKUP(1,(_bbt3[[#All],[ID]]=A1675)*(_bbt3[[#All],[METRIC_NAME]]="YLD_YTM_BID"),_bbt3[[#All],[METRIC_VALUE]])*0.5))/100,"")</f>
        <v/>
      </c>
      <c r="J1675">
        <f>IF(ISNA(VLOOKUP(A1675,'CloseDL - PriceSaverBBT3'!A:E,5,0)),0,VLOOKUP(A1675,'CloseDL - PriceSaverBBT3'!A:E,5,0))</f>
        <v>0</v>
      </c>
      <c r="K1675" s="7" t="str">
        <f t="shared" si="223"/>
        <v/>
      </c>
      <c r="L1675" s="20">
        <f>IF(Close[[#This Row],[CreatedBy]]="MARINER\SilverAdm",1,0)</f>
        <v>1</v>
      </c>
      <c r="M1675" t="str">
        <f>IF(NOT(ISBLANK(A1675)),VLOOKUP(A1675,'Close - PriceSaver'!A:J,6,0),"")</f>
        <v/>
      </c>
    </row>
    <row r="1676" spans="2:13" x14ac:dyDescent="0.35">
      <c r="B1676" t="str">
        <f>IF(NOT(ISBLANK(A1676)),VLOOKUP(A1676,'BBT3'!A:F,2,0),"")</f>
        <v/>
      </c>
      <c r="C1676" t="str">
        <f>IF(NOT(ISBLANK(A1676)),VLOOKUP(A1676,'BBT3'!A:F,3,0),"")</f>
        <v/>
      </c>
      <c r="D1676" s="5" t="str">
        <f>IF(NOT(ISBLANK(A1676)),VLOOKUP(A1676,'BBT3'!A:F,4,1),"")</f>
        <v/>
      </c>
      <c r="E1676" t="str">
        <f>IF(NOT(ISBLANK(A1676)),VLOOKUP(A1676,'BBT3'!A:F,5,0),"")</f>
        <v/>
      </c>
      <c r="F1676" t="str">
        <f>IF(NOT(ISBLANK(A1676)),VLOOKUP(A1676,'BBT3'!A:F,6,0),"")</f>
        <v/>
      </c>
      <c r="G1676" t="str">
        <f t="shared" si="222"/>
        <v/>
      </c>
      <c r="H1676" t="str">
        <f>IF(NOT(ISBLANK(A1676)),VLOOKUP(A1676,'Close - PriceSaver'!A:J,5,0),"")</f>
        <v/>
      </c>
      <c r="I1676" s="4" t="str" cm="1">
        <f t="array" ref="I1676">IF(NOT(ISBLANK(A1676)),((_xlfn.XLOOKUP(1,(_bbt3[[#All],[ID]]=A1676)*(_bbt3[[#All],[METRIC_NAME]]="YLD_YTM_ASK"),_bbt3[[#All],[METRIC_VALUE]])*0.5)+(_xlfn.XLOOKUP(1,(_bbt3[[#All],[ID]]=A1676)*(_bbt3[[#All],[METRIC_NAME]]="YLD_YTM_BID"),_bbt3[[#All],[METRIC_VALUE]])*0.5))/100,"")</f>
        <v/>
      </c>
      <c r="J1676">
        <f>IF(ISNA(VLOOKUP(A1676,'CloseDL - PriceSaverBBT3'!A:E,5,0)),0,VLOOKUP(A1676,'CloseDL - PriceSaverBBT3'!A:E,5,0))</f>
        <v>0</v>
      </c>
      <c r="K1676" s="7" t="str">
        <f t="shared" si="223"/>
        <v/>
      </c>
      <c r="L1676" s="20">
        <f>IF(Close[[#This Row],[CreatedBy]]="MARINER\SilverAdm",1,0)</f>
        <v>1</v>
      </c>
      <c r="M1676" t="str">
        <f>IF(NOT(ISBLANK(A1676)),VLOOKUP(A1676,'Close - PriceSaver'!A:J,6,0),"")</f>
        <v/>
      </c>
    </row>
    <row r="1677" spans="2:13" x14ac:dyDescent="0.35">
      <c r="B1677" t="str">
        <f>IF(NOT(ISBLANK(A1677)),VLOOKUP(A1677,'BBT3'!A:F,2,0),"")</f>
        <v/>
      </c>
      <c r="C1677" t="str">
        <f>IF(NOT(ISBLANK(A1677)),VLOOKUP(A1677,'BBT3'!A:F,3,0),"")</f>
        <v/>
      </c>
      <c r="D1677" s="5" t="str">
        <f>IF(NOT(ISBLANK(A1677)),VLOOKUP(A1677,'BBT3'!A:F,4,1),"")</f>
        <v/>
      </c>
      <c r="E1677" t="str">
        <f>IF(NOT(ISBLANK(A1677)),VLOOKUP(A1677,'BBT3'!A:F,5,0),"")</f>
        <v/>
      </c>
      <c r="F1677" t="str">
        <f>IF(NOT(ISBLANK(A1677)),VLOOKUP(A1677,'BBT3'!A:F,6,0),"")</f>
        <v/>
      </c>
      <c r="G1677" t="str">
        <f t="shared" si="222"/>
        <v/>
      </c>
      <c r="H1677" t="str">
        <f>IF(NOT(ISBLANK(A1677)),VLOOKUP(A1677,'Close - PriceSaver'!A:J,5,0),"")</f>
        <v/>
      </c>
      <c r="I1677" s="4" t="str" cm="1">
        <f t="array" ref="I1677">IF(NOT(ISBLANK(A1677)),((_xlfn.XLOOKUP(1,(_bbt3[[#All],[ID]]=A1677)*(_bbt3[[#All],[METRIC_NAME]]="YLD_YTM_ASK"),_bbt3[[#All],[METRIC_VALUE]])*0.5)+(_xlfn.XLOOKUP(1,(_bbt3[[#All],[ID]]=A1677)*(_bbt3[[#All],[METRIC_NAME]]="YLD_YTM_BID"),_bbt3[[#All],[METRIC_VALUE]])*0.5))/100,"")</f>
        <v/>
      </c>
      <c r="J1677">
        <f>IF(ISNA(VLOOKUP(A1677,'CloseDL - PriceSaverBBT3'!A:E,5,0)),0,VLOOKUP(A1677,'CloseDL - PriceSaverBBT3'!A:E,5,0))</f>
        <v>0</v>
      </c>
      <c r="K1677" s="7" t="str">
        <f t="shared" si="223"/>
        <v/>
      </c>
      <c r="L1677" s="20">
        <f>IF(Close[[#This Row],[CreatedBy]]="MARINER\SilverAdm",1,0)</f>
        <v>1</v>
      </c>
      <c r="M1677" t="str">
        <f>IF(NOT(ISBLANK(A1677)),VLOOKUP(A1677,'Close - PriceSaver'!A:J,6,0),"")</f>
        <v/>
      </c>
    </row>
    <row r="1678" spans="2:13" x14ac:dyDescent="0.35">
      <c r="B1678" t="str">
        <f>IF(NOT(ISBLANK(A1678)),VLOOKUP(A1678,'BBT3'!A:F,2,0),"")</f>
        <v/>
      </c>
      <c r="C1678" t="str">
        <f>IF(NOT(ISBLANK(A1678)),VLOOKUP(A1678,'BBT3'!A:F,3,0),"")</f>
        <v/>
      </c>
      <c r="D1678" s="5" t="str">
        <f>IF(NOT(ISBLANK(A1678)),VLOOKUP(A1678,'BBT3'!A:F,4,1),"")</f>
        <v/>
      </c>
      <c r="E1678" t="str">
        <f>IF(NOT(ISBLANK(A1678)),VLOOKUP(A1678,'BBT3'!A:F,5,0),"")</f>
        <v/>
      </c>
      <c r="F1678" t="str">
        <f>IF(NOT(ISBLANK(A1678)),VLOOKUP(A1678,'BBT3'!A:F,6,0),"")</f>
        <v/>
      </c>
      <c r="G1678" t="str">
        <f t="shared" si="222"/>
        <v/>
      </c>
      <c r="H1678" t="str">
        <f>IF(NOT(ISBLANK(A1678)),VLOOKUP(A1678,'Close - PriceSaver'!A:J,5,0),"")</f>
        <v/>
      </c>
      <c r="I1678" s="4" t="str" cm="1">
        <f t="array" ref="I1678">IF(NOT(ISBLANK(A1678)),((_xlfn.XLOOKUP(1,(_bbt3[[#All],[ID]]=A1678)*(_bbt3[[#All],[METRIC_NAME]]="YLD_YTM_ASK"),_bbt3[[#All],[METRIC_VALUE]])*0.5)+(_xlfn.XLOOKUP(1,(_bbt3[[#All],[ID]]=A1678)*(_bbt3[[#All],[METRIC_NAME]]="YLD_YTM_BID"),_bbt3[[#All],[METRIC_VALUE]])*0.5))/100,"")</f>
        <v/>
      </c>
      <c r="J1678">
        <f>IF(ISNA(VLOOKUP(A1678,'CloseDL - PriceSaverBBT3'!A:E,5,0)),0,VLOOKUP(A1678,'CloseDL - PriceSaverBBT3'!A:E,5,0))</f>
        <v>0</v>
      </c>
      <c r="K1678" s="7" t="str">
        <f t="shared" si="223"/>
        <v/>
      </c>
      <c r="L1678" s="20">
        <f>IF(Close[[#This Row],[CreatedBy]]="MARINER\SilverAdm",1,0)</f>
        <v>1</v>
      </c>
      <c r="M1678" t="str">
        <f>IF(NOT(ISBLANK(A1678)),VLOOKUP(A1678,'Close - PriceSaver'!A:J,6,0),"")</f>
        <v/>
      </c>
    </row>
    <row r="1679" spans="2:13" x14ac:dyDescent="0.35">
      <c r="B1679" t="str">
        <f>IF(NOT(ISBLANK(A1679)),VLOOKUP(A1679,'BBT3'!A:F,2,0),"")</f>
        <v/>
      </c>
      <c r="C1679" t="str">
        <f>IF(NOT(ISBLANK(A1679)),VLOOKUP(A1679,'BBT3'!A:F,3,0),"")</f>
        <v/>
      </c>
      <c r="D1679" s="5" t="str">
        <f>IF(NOT(ISBLANK(A1679)),VLOOKUP(A1679,'BBT3'!A:F,4,1),"")</f>
        <v/>
      </c>
      <c r="E1679" t="str">
        <f>IF(NOT(ISBLANK(A1679)),VLOOKUP(A1679,'BBT3'!A:F,5,0),"")</f>
        <v/>
      </c>
      <c r="F1679" t="str">
        <f>IF(NOT(ISBLANK(A1679)),VLOOKUP(A1679,'BBT3'!A:F,6,0),"")</f>
        <v/>
      </c>
      <c r="G1679" t="str">
        <f t="shared" si="222"/>
        <v/>
      </c>
      <c r="H1679" t="str">
        <f>IF(NOT(ISBLANK(A1679)),VLOOKUP(A1679,'Close - PriceSaver'!A:J,5,0),"")</f>
        <v/>
      </c>
      <c r="I1679" s="4" t="str" cm="1">
        <f t="array" ref="I1679">IF(NOT(ISBLANK(A1679)),((_xlfn.XLOOKUP(1,(_bbt3[[#All],[ID]]=A1679)*(_bbt3[[#All],[METRIC_NAME]]="YLD_YTM_ASK"),_bbt3[[#All],[METRIC_VALUE]])*0.5)+(_xlfn.XLOOKUP(1,(_bbt3[[#All],[ID]]=A1679)*(_bbt3[[#All],[METRIC_NAME]]="YLD_YTM_BID"),_bbt3[[#All],[METRIC_VALUE]])*0.5))/100,"")</f>
        <v/>
      </c>
      <c r="J1679">
        <f>IF(ISNA(VLOOKUP(A1679,'CloseDL - PriceSaverBBT3'!A:E,5,0)),0,VLOOKUP(A1679,'CloseDL - PriceSaverBBT3'!A:E,5,0))</f>
        <v>0</v>
      </c>
      <c r="K1679" s="7" t="str">
        <f t="shared" si="223"/>
        <v/>
      </c>
      <c r="L1679" s="20">
        <f>IF(Close[[#This Row],[CreatedBy]]="MARINER\SilverAdm",1,0)</f>
        <v>1</v>
      </c>
      <c r="M1679" t="str">
        <f>IF(NOT(ISBLANK(A1679)),VLOOKUP(A1679,'Close - PriceSaver'!A:J,6,0),"")</f>
        <v/>
      </c>
    </row>
    <row r="1680" spans="2:13" x14ac:dyDescent="0.35">
      <c r="B1680" t="str">
        <f>IF(NOT(ISBLANK(A1680)),VLOOKUP(A1680,'BBT3'!A:F,2,0),"")</f>
        <v/>
      </c>
      <c r="C1680" t="str">
        <f>IF(NOT(ISBLANK(A1680)),VLOOKUP(A1680,'BBT3'!A:F,3,0),"")</f>
        <v/>
      </c>
      <c r="D1680" s="5" t="str">
        <f>IF(NOT(ISBLANK(A1680)),VLOOKUP(A1680,'BBT3'!A:F,4,1),"")</f>
        <v/>
      </c>
      <c r="E1680" t="str">
        <f>IF(NOT(ISBLANK(A1680)),VLOOKUP(A1680,'BBT3'!A:F,5,0),"")</f>
        <v/>
      </c>
      <c r="F1680" t="str">
        <f>IF(NOT(ISBLANK(A1680)),VLOOKUP(A1680,'BBT3'!A:F,6,0),"")</f>
        <v/>
      </c>
      <c r="G1680" t="str">
        <f t="shared" si="222"/>
        <v/>
      </c>
      <c r="H1680" t="str">
        <f>IF(NOT(ISBLANK(A1680)),VLOOKUP(A1680,'Close - PriceSaver'!A:J,5,0),"")</f>
        <v/>
      </c>
      <c r="I1680" s="4" t="str" cm="1">
        <f t="array" ref="I1680">IF(NOT(ISBLANK(A1680)),((_xlfn.XLOOKUP(1,(_bbt3[[#All],[ID]]=A1680)*(_bbt3[[#All],[METRIC_NAME]]="YLD_YTM_ASK"),_bbt3[[#All],[METRIC_VALUE]])*0.5)+(_xlfn.XLOOKUP(1,(_bbt3[[#All],[ID]]=A1680)*(_bbt3[[#All],[METRIC_NAME]]="YLD_YTM_BID"),_bbt3[[#All],[METRIC_VALUE]])*0.5))/100,"")</f>
        <v/>
      </c>
      <c r="J1680">
        <f>IF(ISNA(VLOOKUP(A1680,'CloseDL - PriceSaverBBT3'!A:E,5,0)),0,VLOOKUP(A1680,'CloseDL - PriceSaverBBT3'!A:E,5,0))</f>
        <v>0</v>
      </c>
      <c r="K1680" s="7" t="str">
        <f t="shared" si="223"/>
        <v/>
      </c>
      <c r="L1680" s="20">
        <f>IF(Close[[#This Row],[CreatedBy]]="MARINER\SilverAdm",1,0)</f>
        <v>1</v>
      </c>
      <c r="M1680" t="str">
        <f>IF(NOT(ISBLANK(A1680)),VLOOKUP(A1680,'Close - PriceSaver'!A:J,6,0),"")</f>
        <v/>
      </c>
    </row>
    <row r="1681" spans="2:13" x14ac:dyDescent="0.35">
      <c r="B1681" t="str">
        <f>IF(NOT(ISBLANK(A1681)),VLOOKUP(A1681,'BBT3'!A:F,2,0),"")</f>
        <v/>
      </c>
      <c r="C1681" t="str">
        <f>IF(NOT(ISBLANK(A1681)),VLOOKUP(A1681,'BBT3'!A:F,3,0),"")</f>
        <v/>
      </c>
      <c r="D1681" s="5" t="str">
        <f>IF(NOT(ISBLANK(A1681)),VLOOKUP(A1681,'BBT3'!A:F,4,1),"")</f>
        <v/>
      </c>
      <c r="E1681" t="str">
        <f>IF(NOT(ISBLANK(A1681)),VLOOKUP(A1681,'BBT3'!A:F,5,0),"")</f>
        <v/>
      </c>
      <c r="F1681" t="str">
        <f>IF(NOT(ISBLANK(A1681)),VLOOKUP(A1681,'BBT3'!A:F,6,0),"")</f>
        <v/>
      </c>
      <c r="G1681" t="str">
        <f t="shared" si="222"/>
        <v/>
      </c>
      <c r="H1681" t="str">
        <f>IF(NOT(ISBLANK(A1681)),VLOOKUP(A1681,'Close - PriceSaver'!A:J,5,0),"")</f>
        <v/>
      </c>
      <c r="I1681" s="4" t="str" cm="1">
        <f t="array" ref="I1681">IF(NOT(ISBLANK(A1681)),((_xlfn.XLOOKUP(1,(_bbt3[[#All],[ID]]=A1681)*(_bbt3[[#All],[METRIC_NAME]]="YLD_YTM_ASK"),_bbt3[[#All],[METRIC_VALUE]])*0.5)+(_xlfn.XLOOKUP(1,(_bbt3[[#All],[ID]]=A1681)*(_bbt3[[#All],[METRIC_NAME]]="YLD_YTM_BID"),_bbt3[[#All],[METRIC_VALUE]])*0.5))/100,"")</f>
        <v/>
      </c>
      <c r="J1681">
        <f>IF(ISNA(VLOOKUP(A1681,'CloseDL - PriceSaverBBT3'!A:E,5,0)),0,VLOOKUP(A1681,'CloseDL - PriceSaverBBT3'!A:E,5,0))</f>
        <v>0</v>
      </c>
      <c r="K1681" s="7" t="str">
        <f t="shared" si="223"/>
        <v/>
      </c>
      <c r="L1681" s="20">
        <f>IF(Close[[#This Row],[CreatedBy]]="MARINER\SilverAdm",1,0)</f>
        <v>1</v>
      </c>
      <c r="M1681" t="str">
        <f>IF(NOT(ISBLANK(A1681)),VLOOKUP(A1681,'Close - PriceSaver'!A:J,6,0),"")</f>
        <v/>
      </c>
    </row>
    <row r="1682" spans="2:13" x14ac:dyDescent="0.35">
      <c r="B1682" t="str">
        <f>IF(NOT(ISBLANK(A1682)),VLOOKUP(A1682,'BBT3'!A:F,2,0),"")</f>
        <v/>
      </c>
      <c r="C1682" t="str">
        <f>IF(NOT(ISBLANK(A1682)),VLOOKUP(A1682,'BBT3'!A:F,3,0),"")</f>
        <v/>
      </c>
      <c r="D1682" s="5" t="str">
        <f>IF(NOT(ISBLANK(A1682)),VLOOKUP(A1682,'BBT3'!A:F,4,1),"")</f>
        <v/>
      </c>
      <c r="E1682" t="str">
        <f>IF(NOT(ISBLANK(A1682)),VLOOKUP(A1682,'BBT3'!A:F,5,0),"")</f>
        <v/>
      </c>
      <c r="F1682" t="str">
        <f>IF(NOT(ISBLANK(A1682)),VLOOKUP(A1682,'BBT3'!A:F,6,0),"")</f>
        <v/>
      </c>
      <c r="G1682" t="str">
        <f t="shared" si="222"/>
        <v/>
      </c>
      <c r="H1682" t="str">
        <f>IF(NOT(ISBLANK(A1682)),VLOOKUP(A1682,'Close - PriceSaver'!A:J,5,0),"")</f>
        <v/>
      </c>
      <c r="I1682" s="4" t="str" cm="1">
        <f t="array" ref="I1682">IF(NOT(ISBLANK(A1682)),((_xlfn.XLOOKUP(1,(_bbt3[[#All],[ID]]=A1682)*(_bbt3[[#All],[METRIC_NAME]]="YLD_YTM_ASK"),_bbt3[[#All],[METRIC_VALUE]])*0.5)+(_xlfn.XLOOKUP(1,(_bbt3[[#All],[ID]]=A1682)*(_bbt3[[#All],[METRIC_NAME]]="YLD_YTM_BID"),_bbt3[[#All],[METRIC_VALUE]])*0.5))/100,"")</f>
        <v/>
      </c>
      <c r="J1682">
        <f>IF(ISNA(VLOOKUP(A1682,'CloseDL - PriceSaverBBT3'!A:E,5,0)),0,VLOOKUP(A1682,'CloseDL - PriceSaverBBT3'!A:E,5,0))</f>
        <v>0</v>
      </c>
      <c r="K1682" s="7" t="str">
        <f t="shared" si="223"/>
        <v/>
      </c>
      <c r="L1682" s="20">
        <f>IF(Close[[#This Row],[CreatedBy]]="MARINER\SilverAdm",1,0)</f>
        <v>1</v>
      </c>
      <c r="M1682" t="str">
        <f>IF(NOT(ISBLANK(A1682)),VLOOKUP(A1682,'Close - PriceSaver'!A:J,6,0),"")</f>
        <v/>
      </c>
    </row>
    <row r="1683" spans="2:13" x14ac:dyDescent="0.35">
      <c r="B1683" t="str">
        <f>IF(NOT(ISBLANK(A1683)),VLOOKUP(A1683,'BBT3'!A:F,2,0),"")</f>
        <v/>
      </c>
      <c r="C1683" t="str">
        <f>IF(NOT(ISBLANK(A1683)),VLOOKUP(A1683,'BBT3'!A:F,3,0),"")</f>
        <v/>
      </c>
      <c r="D1683" s="5" t="str">
        <f>IF(NOT(ISBLANK(A1683)),VLOOKUP(A1683,'BBT3'!A:F,4,1),"")</f>
        <v/>
      </c>
      <c r="E1683" t="str">
        <f>IF(NOT(ISBLANK(A1683)),VLOOKUP(A1683,'BBT3'!A:F,5,0),"")</f>
        <v/>
      </c>
      <c r="F1683" t="str">
        <f>IF(NOT(ISBLANK(A1683)),VLOOKUP(A1683,'BBT3'!A:F,6,0),"")</f>
        <v/>
      </c>
      <c r="G1683" t="str">
        <f t="shared" si="222"/>
        <v/>
      </c>
      <c r="H1683" t="str">
        <f>IF(NOT(ISBLANK(A1683)),VLOOKUP(A1683,'Close - PriceSaver'!A:J,5,0),"")</f>
        <v/>
      </c>
      <c r="I1683" s="4" t="str" cm="1">
        <f t="array" ref="I1683">IF(NOT(ISBLANK(A1683)),((_xlfn.XLOOKUP(1,(_bbt3[[#All],[ID]]=A1683)*(_bbt3[[#All],[METRIC_NAME]]="YLD_YTM_ASK"),_bbt3[[#All],[METRIC_VALUE]])*0.5)+(_xlfn.XLOOKUP(1,(_bbt3[[#All],[ID]]=A1683)*(_bbt3[[#All],[METRIC_NAME]]="YLD_YTM_BID"),_bbt3[[#All],[METRIC_VALUE]])*0.5))/100,"")</f>
        <v/>
      </c>
      <c r="J1683">
        <f>IF(ISNA(VLOOKUP(A1683,'CloseDL - PriceSaverBBT3'!A:E,5,0)),0,VLOOKUP(A1683,'CloseDL - PriceSaverBBT3'!A:E,5,0))</f>
        <v>0</v>
      </c>
      <c r="K1683" s="7" t="str">
        <f t="shared" si="223"/>
        <v/>
      </c>
      <c r="L1683" s="20">
        <f>IF(Close[[#This Row],[CreatedBy]]="MARINER\SilverAdm",1,0)</f>
        <v>1</v>
      </c>
      <c r="M1683" t="str">
        <f>IF(NOT(ISBLANK(A1683)),VLOOKUP(A1683,'Close - PriceSaver'!A:J,6,0),"")</f>
        <v/>
      </c>
    </row>
    <row r="1684" spans="2:13" x14ac:dyDescent="0.35">
      <c r="B1684" t="str">
        <f>IF(NOT(ISBLANK(A1684)),VLOOKUP(A1684,'BBT3'!A:F,2,0),"")</f>
        <v/>
      </c>
      <c r="C1684" t="str">
        <f>IF(NOT(ISBLANK(A1684)),VLOOKUP(A1684,'BBT3'!A:F,3,0),"")</f>
        <v/>
      </c>
      <c r="D1684" s="5" t="str">
        <f>IF(NOT(ISBLANK(A1684)),VLOOKUP(A1684,'BBT3'!A:F,4,1),"")</f>
        <v/>
      </c>
      <c r="E1684" t="str">
        <f>IF(NOT(ISBLANK(A1684)),VLOOKUP(A1684,'BBT3'!A:F,5,0),"")</f>
        <v/>
      </c>
      <c r="F1684" t="str">
        <f>IF(NOT(ISBLANK(A1684)),VLOOKUP(A1684,'BBT3'!A:F,6,0),"")</f>
        <v/>
      </c>
      <c r="G1684" t="str">
        <f t="shared" si="222"/>
        <v/>
      </c>
      <c r="H1684" t="str">
        <f>IF(NOT(ISBLANK(A1684)),VLOOKUP(A1684,'Close - PriceSaver'!A:J,5,0),"")</f>
        <v/>
      </c>
      <c r="I1684" s="4" t="str" cm="1">
        <f t="array" ref="I1684">IF(NOT(ISBLANK(A1684)),((_xlfn.XLOOKUP(1,(_bbt3[[#All],[ID]]=A1684)*(_bbt3[[#All],[METRIC_NAME]]="YLD_YTM_ASK"),_bbt3[[#All],[METRIC_VALUE]])*0.5)+(_xlfn.XLOOKUP(1,(_bbt3[[#All],[ID]]=A1684)*(_bbt3[[#All],[METRIC_NAME]]="YLD_YTM_BID"),_bbt3[[#All],[METRIC_VALUE]])*0.5))/100,"")</f>
        <v/>
      </c>
      <c r="J1684">
        <f>IF(ISNA(VLOOKUP(A1684,'CloseDL - PriceSaverBBT3'!A:E,5,0)),0,VLOOKUP(A1684,'CloseDL - PriceSaverBBT3'!A:E,5,0))</f>
        <v>0</v>
      </c>
      <c r="K1684" s="7" t="str">
        <f t="shared" si="223"/>
        <v/>
      </c>
      <c r="L1684" s="20">
        <f>IF(Close[[#This Row],[CreatedBy]]="MARINER\SilverAdm",1,0)</f>
        <v>0</v>
      </c>
      <c r="M1684" t="str">
        <f>IF(NOT(ISBLANK(A1684)),VLOOKUP(A1684,'Close - PriceSaver'!A:J,6,0),"")</f>
        <v/>
      </c>
    </row>
    <row r="1685" spans="2:13" x14ac:dyDescent="0.35">
      <c r="B1685" t="str">
        <f>IF(NOT(ISBLANK(A1685)),VLOOKUP(A1685,'BBT3'!A:F,2,0),"")</f>
        <v/>
      </c>
      <c r="C1685" t="str">
        <f>IF(NOT(ISBLANK(A1685)),VLOOKUP(A1685,'BBT3'!A:F,3,0),"")</f>
        <v/>
      </c>
      <c r="D1685" s="5" t="str">
        <f>IF(NOT(ISBLANK(A1685)),VLOOKUP(A1685,'BBT3'!A:F,4,1),"")</f>
        <v/>
      </c>
      <c r="E1685" t="str">
        <f>IF(NOT(ISBLANK(A1685)),VLOOKUP(A1685,'BBT3'!A:F,5,0),"")</f>
        <v/>
      </c>
      <c r="F1685" t="str">
        <f>IF(NOT(ISBLANK(A1685)),VLOOKUP(A1685,'BBT3'!A:F,6,0),"")</f>
        <v/>
      </c>
      <c r="G1685" t="str">
        <f t="shared" si="222"/>
        <v/>
      </c>
      <c r="H1685" t="str">
        <f>IF(NOT(ISBLANK(A1685)),VLOOKUP(A1685,'Close - PriceSaver'!A:J,5,0),"")</f>
        <v/>
      </c>
      <c r="I1685" s="4" t="str" cm="1">
        <f t="array" ref="I1685">IF(NOT(ISBLANK(A1685)),((_xlfn.XLOOKUP(1,(_bbt3[[#All],[ID]]=A1685)*(_bbt3[[#All],[METRIC_NAME]]="YLD_YTM_ASK"),_bbt3[[#All],[METRIC_VALUE]])*0.5)+(_xlfn.XLOOKUP(1,(_bbt3[[#All],[ID]]=A1685)*(_bbt3[[#All],[METRIC_NAME]]="YLD_YTM_BID"),_bbt3[[#All],[METRIC_VALUE]])*0.5))/100,"")</f>
        <v/>
      </c>
      <c r="J1685">
        <f>IF(ISNA(VLOOKUP(A1685,'CloseDL - PriceSaverBBT3'!A:E,5,0)),0,VLOOKUP(A1685,'CloseDL - PriceSaverBBT3'!A:E,5,0))</f>
        <v>0</v>
      </c>
      <c r="K1685" s="7" t="str">
        <f t="shared" si="223"/>
        <v/>
      </c>
      <c r="L1685" s="20">
        <f>IF(Close[[#This Row],[CreatedBy]]="MARINER\SilverAdm",1,0)</f>
        <v>0</v>
      </c>
      <c r="M1685" t="str">
        <f>IF(NOT(ISBLANK(A1685)),VLOOKUP(A1685,'Close - PriceSaver'!A:J,6,0),"")</f>
        <v/>
      </c>
    </row>
    <row r="1686" spans="2:13" x14ac:dyDescent="0.35">
      <c r="B1686" t="str">
        <f>IF(NOT(ISBLANK(A1686)),VLOOKUP(A1686,'BBT3'!A:F,2,0),"")</f>
        <v/>
      </c>
      <c r="C1686" t="str">
        <f>IF(NOT(ISBLANK(A1686)),VLOOKUP(A1686,'BBT3'!A:F,3,0),"")</f>
        <v/>
      </c>
      <c r="D1686" s="5" t="str">
        <f>IF(NOT(ISBLANK(A1686)),VLOOKUP(A1686,'BBT3'!A:F,4,1),"")</f>
        <v/>
      </c>
      <c r="E1686" t="str">
        <f>IF(NOT(ISBLANK(A1686)),VLOOKUP(A1686,'BBT3'!A:F,5,0),"")</f>
        <v/>
      </c>
      <c r="F1686" t="str">
        <f>IF(NOT(ISBLANK(A1686)),VLOOKUP(A1686,'BBT3'!A:F,6,0),"")</f>
        <v/>
      </c>
      <c r="G1686" t="str">
        <f t="shared" si="222"/>
        <v/>
      </c>
      <c r="H1686" t="str">
        <f>IF(NOT(ISBLANK(A1686)),VLOOKUP(A1686,'Close - PriceSaver'!A:J,5,0),"")</f>
        <v/>
      </c>
      <c r="I1686" s="4" t="str" cm="1">
        <f t="array" ref="I1686">IF(NOT(ISBLANK(A1686)),((_xlfn.XLOOKUP(1,(_bbt3[[#All],[ID]]=A1686)*(_bbt3[[#All],[METRIC_NAME]]="YLD_YTM_ASK"),_bbt3[[#All],[METRIC_VALUE]])*0.5)+(_xlfn.XLOOKUP(1,(_bbt3[[#All],[ID]]=A1686)*(_bbt3[[#All],[METRIC_NAME]]="YLD_YTM_BID"),_bbt3[[#All],[METRIC_VALUE]])*0.5))/100,"")</f>
        <v/>
      </c>
      <c r="J1686">
        <f>IF(ISNA(VLOOKUP(A1686,'CloseDL - PriceSaverBBT3'!A:E,5,0)),0,VLOOKUP(A1686,'CloseDL - PriceSaverBBT3'!A:E,5,0))</f>
        <v>0</v>
      </c>
      <c r="K1686" s="7" t="str">
        <f t="shared" si="223"/>
        <v/>
      </c>
      <c r="L1686" s="20">
        <f>IF(Close[[#This Row],[CreatedBy]]="MARINER\SilverAdm",1,0)</f>
        <v>0</v>
      </c>
      <c r="M1686" t="str">
        <f>IF(NOT(ISBLANK(A1686)),VLOOKUP(A1686,'Close - PriceSaver'!A:J,6,0),"")</f>
        <v/>
      </c>
    </row>
    <row r="1687" spans="2:13" x14ac:dyDescent="0.35">
      <c r="B1687" t="str">
        <f>IF(NOT(ISBLANK(A1687)),VLOOKUP(A1687,'BBT3'!A:F,2,0),"")</f>
        <v/>
      </c>
      <c r="C1687" t="str">
        <f>IF(NOT(ISBLANK(A1687)),VLOOKUP(A1687,'BBT3'!A:F,3,0),"")</f>
        <v/>
      </c>
      <c r="D1687" s="5" t="str">
        <f>IF(NOT(ISBLANK(A1687)),VLOOKUP(A1687,'BBT3'!A:F,4,1),"")</f>
        <v/>
      </c>
      <c r="E1687" t="str">
        <f>IF(NOT(ISBLANK(A1687)),VLOOKUP(A1687,'BBT3'!A:F,5,0),"")</f>
        <v/>
      </c>
      <c r="F1687" t="str">
        <f>IF(NOT(ISBLANK(A1687)),VLOOKUP(A1687,'BBT3'!A:F,6,0),"")</f>
        <v/>
      </c>
      <c r="G1687" t="str">
        <f t="shared" si="222"/>
        <v/>
      </c>
      <c r="H1687" t="str">
        <f>IF(NOT(ISBLANK(A1687)),VLOOKUP(A1687,'Close - PriceSaver'!A:J,5,0),"")</f>
        <v/>
      </c>
      <c r="I1687" s="4" t="str" cm="1">
        <f t="array" ref="I1687">IF(NOT(ISBLANK(A1687)),((_xlfn.XLOOKUP(1,(_bbt3[[#All],[ID]]=A1687)*(_bbt3[[#All],[METRIC_NAME]]="YLD_YTM_ASK"),_bbt3[[#All],[METRIC_VALUE]])*0.5)+(_xlfn.XLOOKUP(1,(_bbt3[[#All],[ID]]=A1687)*(_bbt3[[#All],[METRIC_NAME]]="YLD_YTM_BID"),_bbt3[[#All],[METRIC_VALUE]])*0.5))/100,"")</f>
        <v/>
      </c>
      <c r="J1687">
        <f>IF(ISNA(VLOOKUP(A1687,'CloseDL - PriceSaverBBT3'!A:E,5,0)),0,VLOOKUP(A1687,'CloseDL - PriceSaverBBT3'!A:E,5,0))</f>
        <v>0</v>
      </c>
      <c r="K1687" s="7" t="str">
        <f t="shared" si="223"/>
        <v/>
      </c>
      <c r="L1687" s="20">
        <f>IF(Close[[#This Row],[CreatedBy]]="MARINER\SilverAdm",1,0)</f>
        <v>0</v>
      </c>
      <c r="M1687" t="str">
        <f>IF(NOT(ISBLANK(A1687)),VLOOKUP(A1687,'Close - PriceSaver'!A:J,6,0),"")</f>
        <v/>
      </c>
    </row>
    <row r="1688" spans="2:13" x14ac:dyDescent="0.35">
      <c r="B1688" t="str">
        <f>IF(NOT(ISBLANK(A1688)),VLOOKUP(A1688,'BBT3'!A:F,2,0),"")</f>
        <v/>
      </c>
      <c r="C1688" t="str">
        <f>IF(NOT(ISBLANK(A1688)),VLOOKUP(A1688,'BBT3'!A:F,3,0),"")</f>
        <v/>
      </c>
      <c r="D1688" s="5" t="str">
        <f>IF(NOT(ISBLANK(A1688)),VLOOKUP(A1688,'BBT3'!A:F,4,1),"")</f>
        <v/>
      </c>
      <c r="E1688" t="str">
        <f>IF(NOT(ISBLANK(A1688)),VLOOKUP(A1688,'BBT3'!A:F,5,0),"")</f>
        <v/>
      </c>
      <c r="F1688" t="str">
        <f>IF(NOT(ISBLANK(A1688)),VLOOKUP(A1688,'BBT3'!A:F,6,0),"")</f>
        <v/>
      </c>
      <c r="G1688" t="str">
        <f t="shared" si="222"/>
        <v/>
      </c>
      <c r="H1688" t="str">
        <f>IF(NOT(ISBLANK(A1688)),VLOOKUP(A1688,'Close - PriceSaver'!A:J,5,0),"")</f>
        <v/>
      </c>
      <c r="I1688" s="4" t="str" cm="1">
        <f t="array" ref="I1688">IF(NOT(ISBLANK(A1688)),((_xlfn.XLOOKUP(1,(_bbt3[[#All],[ID]]=A1688)*(_bbt3[[#All],[METRIC_NAME]]="YLD_YTM_ASK"),_bbt3[[#All],[METRIC_VALUE]])*0.5)+(_xlfn.XLOOKUP(1,(_bbt3[[#All],[ID]]=A1688)*(_bbt3[[#All],[METRIC_NAME]]="YLD_YTM_BID"),_bbt3[[#All],[METRIC_VALUE]])*0.5))/100,"")</f>
        <v/>
      </c>
      <c r="J1688">
        <f>IF(ISNA(VLOOKUP(A1688,'CloseDL - PriceSaverBBT3'!A:E,5,0)),0,VLOOKUP(A1688,'CloseDL - PriceSaverBBT3'!A:E,5,0))</f>
        <v>0</v>
      </c>
      <c r="K1688" s="7" t="str">
        <f t="shared" si="223"/>
        <v/>
      </c>
      <c r="L1688" s="20">
        <f>IF(Close[[#This Row],[CreatedBy]]="MARINER\SilverAdm",1,0)</f>
        <v>0</v>
      </c>
      <c r="M1688" t="str">
        <f>IF(NOT(ISBLANK(A1688)),VLOOKUP(A1688,'Close - PriceSaver'!A:J,6,0),"")</f>
        <v/>
      </c>
    </row>
    <row r="1689" spans="2:13" x14ac:dyDescent="0.35">
      <c r="B1689" t="str">
        <f>IF(NOT(ISBLANK(A1689)),VLOOKUP(A1689,'BBT3'!A:F,2,0),"")</f>
        <v/>
      </c>
      <c r="C1689" t="str">
        <f>IF(NOT(ISBLANK(A1689)),VLOOKUP(A1689,'BBT3'!A:F,3,0),"")</f>
        <v/>
      </c>
      <c r="D1689" s="5" t="str">
        <f>IF(NOT(ISBLANK(A1689)),VLOOKUP(A1689,'BBT3'!A:F,4,1),"")</f>
        <v/>
      </c>
      <c r="E1689" t="str">
        <f>IF(NOT(ISBLANK(A1689)),VLOOKUP(A1689,'BBT3'!A:F,5,0),"")</f>
        <v/>
      </c>
      <c r="F1689" t="str">
        <f>IF(NOT(ISBLANK(A1689)),VLOOKUP(A1689,'BBT3'!A:F,6,0),"")</f>
        <v/>
      </c>
      <c r="G1689" t="str">
        <f t="shared" si="222"/>
        <v/>
      </c>
      <c r="H1689" t="str">
        <f>IF(NOT(ISBLANK(A1689)),VLOOKUP(A1689,'Close - PriceSaver'!A:J,5,0),"")</f>
        <v/>
      </c>
      <c r="I1689" s="4" t="str" cm="1">
        <f t="array" ref="I1689">IF(NOT(ISBLANK(A1689)),((_xlfn.XLOOKUP(1,(_bbt3[[#All],[ID]]=A1689)*(_bbt3[[#All],[METRIC_NAME]]="YLD_YTM_ASK"),_bbt3[[#All],[METRIC_VALUE]])*0.5)+(_xlfn.XLOOKUP(1,(_bbt3[[#All],[ID]]=A1689)*(_bbt3[[#All],[METRIC_NAME]]="YLD_YTM_BID"),_bbt3[[#All],[METRIC_VALUE]])*0.5))/100,"")</f>
        <v/>
      </c>
      <c r="J1689">
        <f>IF(ISNA(VLOOKUP(A1689,'CloseDL - PriceSaverBBT3'!A:E,5,0)),0,VLOOKUP(A1689,'CloseDL - PriceSaverBBT3'!A:E,5,0))</f>
        <v>0</v>
      </c>
      <c r="K1689" s="7" t="str">
        <f t="shared" si="223"/>
        <v/>
      </c>
      <c r="L1689" s="20">
        <f>IF(Close[[#This Row],[CreatedBy]]="MARINER\SilverAdm",1,0)</f>
        <v>0</v>
      </c>
      <c r="M1689" t="str">
        <f>IF(NOT(ISBLANK(A1689)),VLOOKUP(A1689,'Close - PriceSaver'!A:J,6,0),"")</f>
        <v/>
      </c>
    </row>
    <row r="1690" spans="2:13" x14ac:dyDescent="0.35">
      <c r="B1690" t="str">
        <f>IF(NOT(ISBLANK(A1690)),VLOOKUP(A1690,'BBT3'!A:F,2,0),"")</f>
        <v/>
      </c>
      <c r="C1690" t="str">
        <f>IF(NOT(ISBLANK(A1690)),VLOOKUP(A1690,'BBT3'!A:F,3,0),"")</f>
        <v/>
      </c>
      <c r="D1690" s="5" t="str">
        <f>IF(NOT(ISBLANK(A1690)),VLOOKUP(A1690,'BBT3'!A:F,4,1),"")</f>
        <v/>
      </c>
      <c r="E1690" t="str">
        <f>IF(NOT(ISBLANK(A1690)),VLOOKUP(A1690,'BBT3'!A:F,5,0),"")</f>
        <v/>
      </c>
      <c r="F1690" t="str">
        <f>IF(NOT(ISBLANK(A1690)),VLOOKUP(A1690,'BBT3'!A:F,6,0),"")</f>
        <v/>
      </c>
      <c r="G1690" t="str">
        <f t="shared" si="222"/>
        <v/>
      </c>
      <c r="H1690" t="str">
        <f>IF(NOT(ISBLANK(A1690)),VLOOKUP(A1690,'Close - PriceSaver'!A:J,5,0),"")</f>
        <v/>
      </c>
      <c r="I1690" s="4" t="str" cm="1">
        <f t="array" ref="I1690">IF(NOT(ISBLANK(A1690)),((_xlfn.XLOOKUP(1,(_bbt3[[#All],[ID]]=A1690)*(_bbt3[[#All],[METRIC_NAME]]="YLD_YTM_ASK"),_bbt3[[#All],[METRIC_VALUE]])*0.5)+(_xlfn.XLOOKUP(1,(_bbt3[[#All],[ID]]=A1690)*(_bbt3[[#All],[METRIC_NAME]]="YLD_YTM_BID"),_bbt3[[#All],[METRIC_VALUE]])*0.5))/100,"")</f>
        <v/>
      </c>
      <c r="J1690">
        <f>IF(ISNA(VLOOKUP(A1690,'CloseDL - PriceSaverBBT3'!A:E,5,0)),0,VLOOKUP(A1690,'CloseDL - PriceSaverBBT3'!A:E,5,0))</f>
        <v>0</v>
      </c>
      <c r="K1690" s="7" t="str">
        <f t="shared" si="223"/>
        <v/>
      </c>
      <c r="L1690" s="20">
        <f>IF(Close[[#This Row],[CreatedBy]]="MARINER\SilverAdm",1,0)</f>
        <v>0</v>
      </c>
      <c r="M1690" t="str">
        <f>IF(NOT(ISBLANK(A1690)),VLOOKUP(A1690,'Close - PriceSaver'!A:J,6,0),"")</f>
        <v/>
      </c>
    </row>
    <row r="1691" spans="2:13" x14ac:dyDescent="0.35">
      <c r="B1691" t="str">
        <f>IF(NOT(ISBLANK(A1691)),VLOOKUP(A1691,'BBT3'!A:F,2,0),"")</f>
        <v/>
      </c>
      <c r="C1691" t="str">
        <f>IF(NOT(ISBLANK(A1691)),VLOOKUP(A1691,'BBT3'!A:F,3,0),"")</f>
        <v/>
      </c>
      <c r="D1691" s="5" t="str">
        <f>IF(NOT(ISBLANK(A1691)),VLOOKUP(A1691,'BBT3'!A:F,4,1),"")</f>
        <v/>
      </c>
      <c r="E1691" t="str">
        <f>IF(NOT(ISBLANK(A1691)),VLOOKUP(A1691,'BBT3'!A:F,5,0),"")</f>
        <v/>
      </c>
      <c r="F1691" t="str">
        <f>IF(NOT(ISBLANK(A1691)),VLOOKUP(A1691,'BBT3'!A:F,6,0),"")</f>
        <v/>
      </c>
      <c r="G1691" t="str">
        <f t="shared" si="222"/>
        <v/>
      </c>
      <c r="H1691" t="str">
        <f>IF(NOT(ISBLANK(A1691)),VLOOKUP(A1691,'Close - PriceSaver'!A:J,5,0),"")</f>
        <v/>
      </c>
      <c r="I1691" s="4" t="str" cm="1">
        <f t="array" ref="I1691">IF(NOT(ISBLANK(A1691)),((_xlfn.XLOOKUP(1,(_bbt3[[#All],[ID]]=A1691)*(_bbt3[[#All],[METRIC_NAME]]="YLD_YTM_ASK"),_bbt3[[#All],[METRIC_VALUE]])*0.5)+(_xlfn.XLOOKUP(1,(_bbt3[[#All],[ID]]=A1691)*(_bbt3[[#All],[METRIC_NAME]]="YLD_YTM_BID"),_bbt3[[#All],[METRIC_VALUE]])*0.5))/100,"")</f>
        <v/>
      </c>
      <c r="J1691">
        <f>IF(ISNA(VLOOKUP(A1691,'CloseDL - PriceSaverBBT3'!A:E,5,0)),0,VLOOKUP(A1691,'CloseDL - PriceSaverBBT3'!A:E,5,0))</f>
        <v>0</v>
      </c>
      <c r="K1691" s="7" t="str">
        <f t="shared" si="223"/>
        <v/>
      </c>
      <c r="L1691" s="20">
        <f>IF(Close[[#This Row],[CreatedBy]]="MARINER\SilverAdm",1,0)</f>
        <v>0</v>
      </c>
      <c r="M1691" t="str">
        <f>IF(NOT(ISBLANK(A1691)),VLOOKUP(A1691,'Close - PriceSaver'!A:J,6,0),"")</f>
        <v/>
      </c>
    </row>
    <row r="1692" spans="2:13" x14ac:dyDescent="0.35">
      <c r="B1692" t="str">
        <f>IF(NOT(ISBLANK(A1692)),VLOOKUP(A1692,'BBT3'!A:F,2,0),"")</f>
        <v/>
      </c>
      <c r="C1692" t="str">
        <f>IF(NOT(ISBLANK(A1692)),VLOOKUP(A1692,'BBT3'!A:F,3,0),"")</f>
        <v/>
      </c>
      <c r="D1692" s="5" t="str">
        <f>IF(NOT(ISBLANK(A1692)),VLOOKUP(A1692,'BBT3'!A:F,4,1),"")</f>
        <v/>
      </c>
      <c r="E1692" t="str">
        <f>IF(NOT(ISBLANK(A1692)),VLOOKUP(A1692,'BBT3'!A:F,5,0),"")</f>
        <v/>
      </c>
      <c r="F1692" t="str">
        <f>IF(NOT(ISBLANK(A1692)),VLOOKUP(A1692,'BBT3'!A:F,6,0),"")</f>
        <v/>
      </c>
      <c r="G1692" t="str">
        <f t="shared" si="222"/>
        <v/>
      </c>
      <c r="H1692" t="str">
        <f>IF(NOT(ISBLANK(A1692)),VLOOKUP(A1692,'Close - PriceSaver'!A:J,5,0),"")</f>
        <v/>
      </c>
      <c r="I1692" s="4" t="str" cm="1">
        <f t="array" ref="I1692">IF(NOT(ISBLANK(A1692)),((_xlfn.XLOOKUP(1,(_bbt3[[#All],[ID]]=A1692)*(_bbt3[[#All],[METRIC_NAME]]="YLD_YTM_ASK"),_bbt3[[#All],[METRIC_VALUE]])*0.5)+(_xlfn.XLOOKUP(1,(_bbt3[[#All],[ID]]=A1692)*(_bbt3[[#All],[METRIC_NAME]]="YLD_YTM_BID"),_bbt3[[#All],[METRIC_VALUE]])*0.5))/100,"")</f>
        <v/>
      </c>
      <c r="J1692">
        <f>IF(ISNA(VLOOKUP(A1692,'CloseDL - PriceSaverBBT3'!A:E,5,0)),0,VLOOKUP(A1692,'CloseDL - PriceSaverBBT3'!A:E,5,0))</f>
        <v>0</v>
      </c>
      <c r="K1692" s="7" t="str">
        <f t="shared" si="223"/>
        <v/>
      </c>
      <c r="L1692" s="20">
        <f>IF(Close[[#This Row],[CreatedBy]]="MARINER\SilverAdm",1,0)</f>
        <v>0</v>
      </c>
      <c r="M1692" t="str">
        <f>IF(NOT(ISBLANK(A1692)),VLOOKUP(A1692,'Close - PriceSaver'!A:J,6,0),"")</f>
        <v/>
      </c>
    </row>
    <row r="1693" spans="2:13" x14ac:dyDescent="0.35">
      <c r="B1693" t="str">
        <f>IF(NOT(ISBLANK(A1693)),VLOOKUP(A1693,'BBT3'!A:F,2,0),"")</f>
        <v/>
      </c>
      <c r="C1693" t="str">
        <f>IF(NOT(ISBLANK(A1693)),VLOOKUP(A1693,'BBT3'!A:F,3,0),"")</f>
        <v/>
      </c>
      <c r="D1693" s="5" t="str">
        <f>IF(NOT(ISBLANK(A1693)),VLOOKUP(A1693,'BBT3'!A:F,4,1),"")</f>
        <v/>
      </c>
      <c r="E1693" t="str">
        <f>IF(NOT(ISBLANK(A1693)),VLOOKUP(A1693,'BBT3'!A:F,5,0),"")</f>
        <v/>
      </c>
      <c r="F1693" t="str">
        <f>IF(NOT(ISBLANK(A1693)),VLOOKUP(A1693,'BBT3'!A:F,6,0),"")</f>
        <v/>
      </c>
      <c r="G1693" t="str">
        <f t="shared" si="222"/>
        <v/>
      </c>
      <c r="H1693" t="str">
        <f>IF(NOT(ISBLANK(A1693)),VLOOKUP(A1693,'Close - PriceSaver'!A:J,5,0),"")</f>
        <v/>
      </c>
      <c r="I1693" s="4" t="str" cm="1">
        <f t="array" ref="I1693">IF(NOT(ISBLANK(A1693)),((_xlfn.XLOOKUP(1,(_bbt3[[#All],[ID]]=A1693)*(_bbt3[[#All],[METRIC_NAME]]="YLD_YTM_ASK"),_bbt3[[#All],[METRIC_VALUE]])*0.5)+(_xlfn.XLOOKUP(1,(_bbt3[[#All],[ID]]=A1693)*(_bbt3[[#All],[METRIC_NAME]]="YLD_YTM_BID"),_bbt3[[#All],[METRIC_VALUE]])*0.5))/100,"")</f>
        <v/>
      </c>
      <c r="J1693">
        <f>IF(ISNA(VLOOKUP(A1693,'CloseDL - PriceSaverBBT3'!A:E,5,0)),0,VLOOKUP(A1693,'CloseDL - PriceSaverBBT3'!A:E,5,0))</f>
        <v>0</v>
      </c>
      <c r="K1693" s="7" t="str">
        <f t="shared" si="223"/>
        <v/>
      </c>
      <c r="L1693" s="20">
        <f>IF(Close[[#This Row],[CreatedBy]]="MARINER\SilverAdm",1,0)</f>
        <v>0</v>
      </c>
      <c r="M1693" t="str">
        <f>IF(NOT(ISBLANK(A1693)),VLOOKUP(A1693,'Close - PriceSaver'!A:J,6,0),"")</f>
        <v/>
      </c>
    </row>
    <row r="1694" spans="2:13" x14ac:dyDescent="0.35">
      <c r="B1694" t="str">
        <f>IF(NOT(ISBLANK(A1694)),VLOOKUP(A1694,'BBT3'!A:F,2,0),"")</f>
        <v/>
      </c>
      <c r="C1694" t="str">
        <f>IF(NOT(ISBLANK(A1694)),VLOOKUP(A1694,'BBT3'!A:F,3,0),"")</f>
        <v/>
      </c>
      <c r="D1694" s="5" t="str">
        <f>IF(NOT(ISBLANK(A1694)),VLOOKUP(A1694,'BBT3'!A:F,4,1),"")</f>
        <v/>
      </c>
      <c r="E1694" t="str">
        <f>IF(NOT(ISBLANK(A1694)),VLOOKUP(A1694,'BBT3'!A:F,5,0),"")</f>
        <v/>
      </c>
      <c r="F1694" t="str">
        <f>IF(NOT(ISBLANK(A1694)),VLOOKUP(A1694,'BBT3'!A:F,6,0),"")</f>
        <v/>
      </c>
      <c r="G1694" t="str">
        <f t="shared" si="222"/>
        <v/>
      </c>
      <c r="H1694" t="str">
        <f>IF(NOT(ISBLANK(A1694)),VLOOKUP(A1694,'Close - PriceSaver'!A:J,5,0),"")</f>
        <v/>
      </c>
      <c r="I1694" s="4" t="str" cm="1">
        <f t="array" ref="I1694">IF(NOT(ISBLANK(A1694)),((_xlfn.XLOOKUP(1,(_bbt3[[#All],[ID]]=A1694)*(_bbt3[[#All],[METRIC_NAME]]="YLD_YTM_ASK"),_bbt3[[#All],[METRIC_VALUE]])*0.5)+(_xlfn.XLOOKUP(1,(_bbt3[[#All],[ID]]=A1694)*(_bbt3[[#All],[METRIC_NAME]]="YLD_YTM_BID"),_bbt3[[#All],[METRIC_VALUE]])*0.5))/100,"")</f>
        <v/>
      </c>
      <c r="J1694">
        <f>IF(ISNA(VLOOKUP(A1694,'CloseDL - PriceSaverBBT3'!A:E,5,0)),0,VLOOKUP(A1694,'CloseDL - PriceSaverBBT3'!A:E,5,0))</f>
        <v>0</v>
      </c>
      <c r="K1694" s="7" t="str">
        <f t="shared" si="223"/>
        <v/>
      </c>
      <c r="L1694" s="20">
        <f>IF(Close[[#This Row],[CreatedBy]]="MARINER\SilverAdm",1,0)</f>
        <v>0</v>
      </c>
      <c r="M1694" t="str">
        <f>IF(NOT(ISBLANK(A1694)),VLOOKUP(A1694,'Close - PriceSaver'!A:J,6,0),"")</f>
        <v/>
      </c>
    </row>
    <row r="1695" spans="2:13" x14ac:dyDescent="0.35">
      <c r="B1695" t="str">
        <f>IF(NOT(ISBLANK(A1695)),VLOOKUP(A1695,'BBT3'!A:F,2,0),"")</f>
        <v/>
      </c>
      <c r="C1695" t="str">
        <f>IF(NOT(ISBLANK(A1695)),VLOOKUP(A1695,'BBT3'!A:F,3,0),"")</f>
        <v/>
      </c>
      <c r="D1695" s="5" t="str">
        <f>IF(NOT(ISBLANK(A1695)),VLOOKUP(A1695,'BBT3'!A:F,4,1),"")</f>
        <v/>
      </c>
      <c r="E1695" t="str">
        <f>IF(NOT(ISBLANK(A1695)),VLOOKUP(A1695,'BBT3'!A:F,5,0),"")</f>
        <v/>
      </c>
      <c r="F1695" t="str">
        <f>IF(NOT(ISBLANK(A1695)),VLOOKUP(A1695,'BBT3'!A:F,6,0),"")</f>
        <v/>
      </c>
      <c r="G1695" t="str">
        <f t="shared" si="222"/>
        <v/>
      </c>
      <c r="H1695" t="str">
        <f>IF(NOT(ISBLANK(A1695)),VLOOKUP(A1695,'Close - PriceSaver'!A:J,5,0),"")</f>
        <v/>
      </c>
      <c r="I1695" s="4" t="str" cm="1">
        <f t="array" ref="I1695">IF(NOT(ISBLANK(A1695)),((_xlfn.XLOOKUP(1,(_bbt3[[#All],[ID]]=A1695)*(_bbt3[[#All],[METRIC_NAME]]="YLD_YTM_ASK"),_bbt3[[#All],[METRIC_VALUE]])*0.5)+(_xlfn.XLOOKUP(1,(_bbt3[[#All],[ID]]=A1695)*(_bbt3[[#All],[METRIC_NAME]]="YLD_YTM_BID"),_bbt3[[#All],[METRIC_VALUE]])*0.5))/100,"")</f>
        <v/>
      </c>
      <c r="J1695">
        <f>IF(ISNA(VLOOKUP(A1695,'CloseDL - PriceSaverBBT3'!A:E,5,0)),0,VLOOKUP(A1695,'CloseDL - PriceSaverBBT3'!A:E,5,0))</f>
        <v>0</v>
      </c>
      <c r="K1695" s="7" t="str">
        <f t="shared" si="223"/>
        <v/>
      </c>
      <c r="L1695" s="20">
        <f>IF(Close[[#This Row],[CreatedBy]]="MARINER\SilverAdm",1,0)</f>
        <v>0</v>
      </c>
      <c r="M1695" t="str">
        <f>IF(NOT(ISBLANK(A1695)),VLOOKUP(A1695,'Close - PriceSaver'!A:J,6,0),"")</f>
        <v/>
      </c>
    </row>
    <row r="1696" spans="2:13" x14ac:dyDescent="0.35">
      <c r="B1696" t="str">
        <f>IF(NOT(ISBLANK(A1696)),VLOOKUP(A1696,'BBT3'!A:F,2,0),"")</f>
        <v/>
      </c>
      <c r="C1696" t="str">
        <f>IF(NOT(ISBLANK(A1696)),VLOOKUP(A1696,'BBT3'!A:F,3,0),"")</f>
        <v/>
      </c>
      <c r="D1696" s="5" t="str">
        <f>IF(NOT(ISBLANK(A1696)),VLOOKUP(A1696,'BBT3'!A:F,4,1),"")</f>
        <v/>
      </c>
      <c r="E1696" t="str">
        <f>IF(NOT(ISBLANK(A1696)),VLOOKUP(A1696,'BBT3'!A:F,5,0),"")</f>
        <v/>
      </c>
      <c r="F1696" t="str">
        <f>IF(NOT(ISBLANK(A1696)),VLOOKUP(A1696,'BBT3'!A:F,6,0),"")</f>
        <v/>
      </c>
      <c r="G1696" t="str">
        <f t="shared" si="222"/>
        <v/>
      </c>
      <c r="H1696" t="str">
        <f>IF(NOT(ISBLANK(A1696)),VLOOKUP(A1696,'Close - PriceSaver'!A:J,5,0),"")</f>
        <v/>
      </c>
      <c r="I1696" s="4" t="str" cm="1">
        <f t="array" ref="I1696">IF(NOT(ISBLANK(A1696)),((_xlfn.XLOOKUP(1,(_bbt3[[#All],[ID]]=A1696)*(_bbt3[[#All],[METRIC_NAME]]="YLD_YTM_ASK"),_bbt3[[#All],[METRIC_VALUE]])*0.5)+(_xlfn.XLOOKUP(1,(_bbt3[[#All],[ID]]=A1696)*(_bbt3[[#All],[METRIC_NAME]]="YLD_YTM_BID"),_bbt3[[#All],[METRIC_VALUE]])*0.5))/100,"")</f>
        <v/>
      </c>
      <c r="J1696">
        <f>IF(ISNA(VLOOKUP(A1696,'CloseDL - PriceSaverBBT3'!A:E,5,0)),0,VLOOKUP(A1696,'CloseDL - PriceSaverBBT3'!A:E,5,0))</f>
        <v>0</v>
      </c>
      <c r="K1696" s="7" t="str">
        <f t="shared" si="223"/>
        <v/>
      </c>
      <c r="L1696" s="20">
        <f>IF(Close[[#This Row],[CreatedBy]]="MARINER\SilverAdm",1,0)</f>
        <v>0</v>
      </c>
      <c r="M1696" t="str">
        <f>IF(NOT(ISBLANK(A1696)),VLOOKUP(A1696,'Close - PriceSaver'!A:J,6,0),"")</f>
        <v/>
      </c>
    </row>
    <row r="1697" spans="2:13" x14ac:dyDescent="0.35">
      <c r="B1697" t="str">
        <f>IF(NOT(ISBLANK(A1697)),VLOOKUP(A1697,'BBT3'!A:F,2,0),"")</f>
        <v/>
      </c>
      <c r="C1697" t="str">
        <f>IF(NOT(ISBLANK(A1697)),VLOOKUP(A1697,'BBT3'!A:F,3,0),"")</f>
        <v/>
      </c>
      <c r="D1697" s="5" t="str">
        <f>IF(NOT(ISBLANK(A1697)),VLOOKUP(A1697,'BBT3'!A:F,4,1),"")</f>
        <v/>
      </c>
      <c r="E1697" t="str">
        <f>IF(NOT(ISBLANK(A1697)),VLOOKUP(A1697,'BBT3'!A:F,5,0),"")</f>
        <v/>
      </c>
      <c r="F1697" t="str">
        <f>IF(NOT(ISBLANK(A1697)),VLOOKUP(A1697,'BBT3'!A:F,6,0),"")</f>
        <v/>
      </c>
      <c r="G1697" t="str">
        <f t="shared" si="222"/>
        <v/>
      </c>
      <c r="H1697" t="str">
        <f>IF(NOT(ISBLANK(A1697)),VLOOKUP(A1697,'Close - PriceSaver'!A:J,5,0),"")</f>
        <v/>
      </c>
      <c r="I1697" s="4" t="str" cm="1">
        <f t="array" ref="I1697">IF(NOT(ISBLANK(A1697)),((_xlfn.XLOOKUP(1,(_bbt3[[#All],[ID]]=A1697)*(_bbt3[[#All],[METRIC_NAME]]="YLD_YTM_ASK"),_bbt3[[#All],[METRIC_VALUE]])*0.5)+(_xlfn.XLOOKUP(1,(_bbt3[[#All],[ID]]=A1697)*(_bbt3[[#All],[METRIC_NAME]]="YLD_YTM_BID"),_bbt3[[#All],[METRIC_VALUE]])*0.5))/100,"")</f>
        <v/>
      </c>
      <c r="J1697">
        <f>IF(ISNA(VLOOKUP(A1697,'CloseDL - PriceSaverBBT3'!A:E,5,0)),0,VLOOKUP(A1697,'CloseDL - PriceSaverBBT3'!A:E,5,0))</f>
        <v>0</v>
      </c>
      <c r="K1697" s="7" t="str">
        <f t="shared" si="223"/>
        <v/>
      </c>
      <c r="L1697" s="20">
        <f>IF(Close[[#This Row],[CreatedBy]]="MARINER\SilverAdm",1,0)</f>
        <v>0</v>
      </c>
      <c r="M1697" t="str">
        <f>IF(NOT(ISBLANK(A1697)),VLOOKUP(A1697,'Close - PriceSaver'!A:J,6,0),"")</f>
        <v/>
      </c>
    </row>
    <row r="1698" spans="2:13" x14ac:dyDescent="0.35">
      <c r="B1698" t="str">
        <f>IF(NOT(ISBLANK(A1698)),VLOOKUP(A1698,'BBT3'!A:F,2,0),"")</f>
        <v/>
      </c>
      <c r="C1698" t="str">
        <f>IF(NOT(ISBLANK(A1698)),VLOOKUP(A1698,'BBT3'!A:F,3,0),"")</f>
        <v/>
      </c>
      <c r="D1698" s="5" t="str">
        <f>IF(NOT(ISBLANK(A1698)),VLOOKUP(A1698,'BBT3'!A:F,4,1),"")</f>
        <v/>
      </c>
      <c r="E1698" t="str">
        <f>IF(NOT(ISBLANK(A1698)),VLOOKUP(A1698,'BBT3'!A:F,5,0),"")</f>
        <v/>
      </c>
      <c r="F1698" t="str">
        <f>IF(NOT(ISBLANK(A1698)),VLOOKUP(A1698,'BBT3'!A:F,6,0),"")</f>
        <v/>
      </c>
      <c r="G1698" t="str">
        <f t="shared" si="222"/>
        <v/>
      </c>
      <c r="H1698" t="str">
        <f>IF(NOT(ISBLANK(A1698)),VLOOKUP(A1698,'Close - PriceSaver'!A:J,5,0),"")</f>
        <v/>
      </c>
      <c r="I1698" s="4" t="str" cm="1">
        <f t="array" ref="I1698">IF(NOT(ISBLANK(A1698)),((_xlfn.XLOOKUP(1,(_bbt3[[#All],[ID]]=A1698)*(_bbt3[[#All],[METRIC_NAME]]="YLD_YTM_ASK"),_bbt3[[#All],[METRIC_VALUE]])*0.5)+(_xlfn.XLOOKUP(1,(_bbt3[[#All],[ID]]=A1698)*(_bbt3[[#All],[METRIC_NAME]]="YLD_YTM_BID"),_bbt3[[#All],[METRIC_VALUE]])*0.5))/100,"")</f>
        <v/>
      </c>
      <c r="J1698">
        <f>IF(ISNA(VLOOKUP(A1698,'CloseDL - PriceSaverBBT3'!A:E,5,0)),0,VLOOKUP(A1698,'CloseDL - PriceSaverBBT3'!A:E,5,0))</f>
        <v>0</v>
      </c>
      <c r="K1698" s="7" t="str">
        <f t="shared" si="223"/>
        <v/>
      </c>
      <c r="L1698" s="20">
        <f>IF(Close[[#This Row],[CreatedBy]]="MARINER\SilverAdm",1,0)</f>
        <v>0</v>
      </c>
      <c r="M1698" t="str">
        <f>IF(NOT(ISBLANK(A1698)),VLOOKUP(A1698,'Close - PriceSaver'!A:J,6,0),"")</f>
        <v/>
      </c>
    </row>
    <row r="1699" spans="2:13" x14ac:dyDescent="0.35">
      <c r="B1699" t="str">
        <f>IF(NOT(ISBLANK(A1699)),VLOOKUP(A1699,'BBT3'!A:F,2,0),"")</f>
        <v/>
      </c>
      <c r="C1699" t="str">
        <f>IF(NOT(ISBLANK(A1699)),VLOOKUP(A1699,'BBT3'!A:F,3,0),"")</f>
        <v/>
      </c>
      <c r="D1699" s="5" t="str">
        <f>IF(NOT(ISBLANK(A1699)),VLOOKUP(A1699,'BBT3'!A:F,4,1),"")</f>
        <v/>
      </c>
      <c r="E1699" t="str">
        <f>IF(NOT(ISBLANK(A1699)),VLOOKUP(A1699,'BBT3'!A:F,5,0),"")</f>
        <v/>
      </c>
      <c r="F1699" t="str">
        <f>IF(NOT(ISBLANK(A1699)),VLOOKUP(A1699,'BBT3'!A:F,6,0),"")</f>
        <v/>
      </c>
      <c r="G1699" t="str">
        <f t="shared" si="222"/>
        <v/>
      </c>
      <c r="H1699" t="str">
        <f>IF(NOT(ISBLANK(A1699)),VLOOKUP(A1699,'Close - PriceSaver'!A:J,5,0),"")</f>
        <v/>
      </c>
      <c r="I1699" s="4" t="str" cm="1">
        <f t="array" ref="I1699">IF(NOT(ISBLANK(A1699)),((_xlfn.XLOOKUP(1,(_bbt3[[#All],[ID]]=A1699)*(_bbt3[[#All],[METRIC_NAME]]="YLD_YTM_ASK"),_bbt3[[#All],[METRIC_VALUE]])*0.5)+(_xlfn.XLOOKUP(1,(_bbt3[[#All],[ID]]=A1699)*(_bbt3[[#All],[METRIC_NAME]]="YLD_YTM_BID"),_bbt3[[#All],[METRIC_VALUE]])*0.5))/100,"")</f>
        <v/>
      </c>
      <c r="J1699">
        <f>IF(ISNA(VLOOKUP(A1699,'CloseDL - PriceSaverBBT3'!A:E,5,0)),0,VLOOKUP(A1699,'CloseDL - PriceSaverBBT3'!A:E,5,0))</f>
        <v>0</v>
      </c>
      <c r="K1699" s="7" t="str">
        <f t="shared" si="223"/>
        <v/>
      </c>
      <c r="L1699" s="20">
        <f>IF(Close[[#This Row],[CreatedBy]]="MARINER\SilverAdm",1,0)</f>
        <v>0</v>
      </c>
      <c r="M1699" t="str">
        <f>IF(NOT(ISBLANK(A1699)),VLOOKUP(A1699,'Close - PriceSaver'!A:J,6,0),"")</f>
        <v/>
      </c>
    </row>
    <row r="1700" spans="2:13" x14ac:dyDescent="0.35">
      <c r="B1700" t="str">
        <f>IF(NOT(ISBLANK(A1700)),VLOOKUP(A1700,'BBT3'!A:F,2,0),"")</f>
        <v/>
      </c>
      <c r="C1700" t="str">
        <f>IF(NOT(ISBLANK(A1700)),VLOOKUP(A1700,'BBT3'!A:F,3,0),"")</f>
        <v/>
      </c>
      <c r="D1700" s="5" t="str">
        <f>IF(NOT(ISBLANK(A1700)),VLOOKUP(A1700,'BBT3'!A:F,4,1),"")</f>
        <v/>
      </c>
      <c r="E1700" t="str">
        <f>IF(NOT(ISBLANK(A1700)),VLOOKUP(A1700,'BBT3'!A:F,5,0),"")</f>
        <v/>
      </c>
      <c r="F1700" t="str">
        <f>IF(NOT(ISBLANK(A1700)),VLOOKUP(A1700,'BBT3'!A:F,6,0),"")</f>
        <v/>
      </c>
      <c r="G1700" t="str">
        <f t="shared" si="222"/>
        <v/>
      </c>
      <c r="H1700" t="str">
        <f>IF(NOT(ISBLANK(A1700)),VLOOKUP(A1700,'Close - PriceSaver'!A:J,5,0),"")</f>
        <v/>
      </c>
      <c r="I1700" s="4" t="str" cm="1">
        <f t="array" ref="I1700">IF(NOT(ISBLANK(A1700)),((_xlfn.XLOOKUP(1,(_bbt3[[#All],[ID]]=A1700)*(_bbt3[[#All],[METRIC_NAME]]="YLD_YTM_ASK"),_bbt3[[#All],[METRIC_VALUE]])*0.5)+(_xlfn.XLOOKUP(1,(_bbt3[[#All],[ID]]=A1700)*(_bbt3[[#All],[METRIC_NAME]]="YLD_YTM_BID"),_bbt3[[#All],[METRIC_VALUE]])*0.5))/100,"")</f>
        <v/>
      </c>
      <c r="J1700">
        <f>IF(ISNA(VLOOKUP(A1700,'CloseDL - PriceSaverBBT3'!A:E,5,0)),0,VLOOKUP(A1700,'CloseDL - PriceSaverBBT3'!A:E,5,0))</f>
        <v>0</v>
      </c>
      <c r="K1700" s="7" t="str">
        <f t="shared" si="223"/>
        <v/>
      </c>
      <c r="L1700" s="20">
        <f>IF(Close[[#This Row],[CreatedBy]]="MARINER\SilverAdm",1,0)</f>
        <v>0</v>
      </c>
      <c r="M1700" t="str">
        <f>IF(NOT(ISBLANK(A1700)),VLOOKUP(A1700,'Close - PriceSaver'!A:J,6,0),"")</f>
        <v/>
      </c>
    </row>
    <row r="1701" spans="2:13" x14ac:dyDescent="0.35">
      <c r="B1701" t="str">
        <f>IF(NOT(ISBLANK(A1701)),VLOOKUP(A1701,'BBT3'!A:F,2,0),"")</f>
        <v/>
      </c>
      <c r="C1701" t="str">
        <f>IF(NOT(ISBLANK(A1701)),VLOOKUP(A1701,'BBT3'!A:F,3,0),"")</f>
        <v/>
      </c>
      <c r="D1701" s="5" t="str">
        <f>IF(NOT(ISBLANK(A1701)),VLOOKUP(A1701,'BBT3'!A:F,4,1),"")</f>
        <v/>
      </c>
      <c r="E1701" t="str">
        <f>IF(NOT(ISBLANK(A1701)),VLOOKUP(A1701,'BBT3'!A:F,5,0),"")</f>
        <v/>
      </c>
      <c r="F1701" t="str">
        <f>IF(NOT(ISBLANK(A1701)),VLOOKUP(A1701,'BBT3'!A:F,6,0),"")</f>
        <v/>
      </c>
      <c r="G1701" t="str">
        <f t="shared" si="222"/>
        <v/>
      </c>
      <c r="H1701" t="str">
        <f>IF(NOT(ISBLANK(A1701)),VLOOKUP(A1701,'Close - PriceSaver'!A:J,5,0),"")</f>
        <v/>
      </c>
      <c r="I1701" s="4" t="str" cm="1">
        <f t="array" ref="I1701">IF(NOT(ISBLANK(A1701)),((_xlfn.XLOOKUP(1,(_bbt3[[#All],[ID]]=A1701)*(_bbt3[[#All],[METRIC_NAME]]="YLD_YTM_ASK"),_bbt3[[#All],[METRIC_VALUE]])*0.5)+(_xlfn.XLOOKUP(1,(_bbt3[[#All],[ID]]=A1701)*(_bbt3[[#All],[METRIC_NAME]]="YLD_YTM_BID"),_bbt3[[#All],[METRIC_VALUE]])*0.5))/100,"")</f>
        <v/>
      </c>
      <c r="J1701">
        <f>IF(ISNA(VLOOKUP(A1701,'CloseDL - PriceSaverBBT3'!A:E,5,0)),0,VLOOKUP(A1701,'CloseDL - PriceSaverBBT3'!A:E,5,0))</f>
        <v>0</v>
      </c>
      <c r="K1701" s="7" t="str">
        <f t="shared" si="223"/>
        <v/>
      </c>
      <c r="L1701" s="20">
        <f>IF(Close[[#This Row],[CreatedBy]]="MARINER\SilverAdm",1,0)</f>
        <v>0</v>
      </c>
      <c r="M1701" t="str">
        <f>IF(NOT(ISBLANK(A1701)),VLOOKUP(A1701,'Close - PriceSaver'!A:J,6,0),"")</f>
        <v/>
      </c>
    </row>
    <row r="1702" spans="2:13" x14ac:dyDescent="0.35">
      <c r="B1702" t="str">
        <f>IF(NOT(ISBLANK(A1702)),VLOOKUP(A1702,'BBT3'!A:F,2,0),"")</f>
        <v/>
      </c>
      <c r="C1702" t="str">
        <f>IF(NOT(ISBLANK(A1702)),VLOOKUP(A1702,'BBT3'!A:F,3,0),"")</f>
        <v/>
      </c>
      <c r="D1702" s="5" t="str">
        <f>IF(NOT(ISBLANK(A1702)),VLOOKUP(A1702,'BBT3'!A:F,4,1),"")</f>
        <v/>
      </c>
      <c r="E1702" t="str">
        <f>IF(NOT(ISBLANK(A1702)),VLOOKUP(A1702,'BBT3'!A:F,5,0),"")</f>
        <v/>
      </c>
      <c r="F1702" t="str">
        <f>IF(NOT(ISBLANK(A1702)),VLOOKUP(A1702,'BBT3'!A:F,6,0),"")</f>
        <v/>
      </c>
      <c r="G1702" t="str">
        <f t="shared" si="222"/>
        <v/>
      </c>
      <c r="H1702" t="str">
        <f>IF(NOT(ISBLANK(A1702)),VLOOKUP(A1702,'Close - PriceSaver'!A:J,5,0),"")</f>
        <v/>
      </c>
      <c r="I1702" s="4" t="str" cm="1">
        <f t="array" ref="I1702">IF(NOT(ISBLANK(A1702)),((_xlfn.XLOOKUP(1,(_bbt3[[#All],[ID]]=A1702)*(_bbt3[[#All],[METRIC_NAME]]="YLD_YTM_ASK"),_bbt3[[#All],[METRIC_VALUE]])*0.5)+(_xlfn.XLOOKUP(1,(_bbt3[[#All],[ID]]=A1702)*(_bbt3[[#All],[METRIC_NAME]]="YLD_YTM_BID"),_bbt3[[#All],[METRIC_VALUE]])*0.5))/100,"")</f>
        <v/>
      </c>
      <c r="J1702">
        <f>IF(ISNA(VLOOKUP(A1702,'CloseDL - PriceSaverBBT3'!A:E,5,0)),0,VLOOKUP(A1702,'CloseDL - PriceSaverBBT3'!A:E,5,0))</f>
        <v>0</v>
      </c>
      <c r="K1702" s="7" t="str">
        <f t="shared" si="223"/>
        <v/>
      </c>
      <c r="L1702" s="20">
        <f>IF(Close[[#This Row],[CreatedBy]]="MARINER\SilverAdm",1,0)</f>
        <v>0</v>
      </c>
      <c r="M1702" t="str">
        <f>IF(NOT(ISBLANK(A1702)),VLOOKUP(A1702,'Close - PriceSaver'!A:J,6,0),"")</f>
        <v/>
      </c>
    </row>
    <row r="1703" spans="2:13" x14ac:dyDescent="0.35">
      <c r="B1703" t="str">
        <f>IF(NOT(ISBLANK(A1703)),VLOOKUP(A1703,'BBT3'!A:F,2,0),"")</f>
        <v/>
      </c>
      <c r="C1703" t="str">
        <f>IF(NOT(ISBLANK(A1703)),VLOOKUP(A1703,'BBT3'!A:F,3,0),"")</f>
        <v/>
      </c>
      <c r="D1703" s="5" t="str">
        <f>IF(NOT(ISBLANK(A1703)),VLOOKUP(A1703,'BBT3'!A:F,4,1),"")</f>
        <v/>
      </c>
      <c r="E1703" t="str">
        <f>IF(NOT(ISBLANK(A1703)),VLOOKUP(A1703,'BBT3'!A:F,5,0),"")</f>
        <v/>
      </c>
      <c r="F1703" t="str">
        <f>IF(NOT(ISBLANK(A1703)),VLOOKUP(A1703,'BBT3'!A:F,6,0),"")</f>
        <v/>
      </c>
      <c r="G1703" t="str">
        <f t="shared" si="222"/>
        <v/>
      </c>
      <c r="H1703" t="str">
        <f>IF(NOT(ISBLANK(A1703)),VLOOKUP(A1703,'Close - PriceSaver'!A:J,5,0),"")</f>
        <v/>
      </c>
      <c r="I1703" s="4" t="str" cm="1">
        <f t="array" ref="I1703">IF(NOT(ISBLANK(A1703)),((_xlfn.XLOOKUP(1,(_bbt3[[#All],[ID]]=A1703)*(_bbt3[[#All],[METRIC_NAME]]="YLD_YTM_ASK"),_bbt3[[#All],[METRIC_VALUE]])*0.5)+(_xlfn.XLOOKUP(1,(_bbt3[[#All],[ID]]=A1703)*(_bbt3[[#All],[METRIC_NAME]]="YLD_YTM_BID"),_bbt3[[#All],[METRIC_VALUE]])*0.5))/100,"")</f>
        <v/>
      </c>
      <c r="J1703">
        <f>IF(ISNA(VLOOKUP(A1703,'CloseDL - PriceSaverBBT3'!A:E,5,0)),0,VLOOKUP(A1703,'CloseDL - PriceSaverBBT3'!A:E,5,0))</f>
        <v>0</v>
      </c>
      <c r="K1703" s="7" t="str">
        <f t="shared" si="223"/>
        <v/>
      </c>
      <c r="L1703" s="20">
        <f>IF(Close[[#This Row],[CreatedBy]]="MARINER\SilverAdm",1,0)</f>
        <v>0</v>
      </c>
      <c r="M1703" t="str">
        <f>IF(NOT(ISBLANK(A1703)),VLOOKUP(A1703,'Close - PriceSaver'!A:J,6,0),"")</f>
        <v/>
      </c>
    </row>
    <row r="1704" spans="2:13" x14ac:dyDescent="0.35">
      <c r="B1704" t="str">
        <f>IF(NOT(ISBLANK(A1704)),VLOOKUP(A1704,'BBT3'!A:F,2,0),"")</f>
        <v/>
      </c>
      <c r="C1704" t="str">
        <f>IF(NOT(ISBLANK(A1704)),VLOOKUP(A1704,'BBT3'!A:F,3,0),"")</f>
        <v/>
      </c>
      <c r="D1704" s="5" t="str">
        <f>IF(NOT(ISBLANK(A1704)),VLOOKUP(A1704,'BBT3'!A:F,4,1),"")</f>
        <v/>
      </c>
      <c r="E1704" t="str">
        <f>IF(NOT(ISBLANK(A1704)),VLOOKUP(A1704,'BBT3'!A:F,5,0),"")</f>
        <v/>
      </c>
      <c r="F1704" t="str">
        <f>IF(NOT(ISBLANK(A1704)),VLOOKUP(A1704,'BBT3'!A:F,6,0),"")</f>
        <v/>
      </c>
      <c r="G1704" t="str">
        <f t="shared" si="222"/>
        <v/>
      </c>
      <c r="H1704" t="str">
        <f>IF(NOT(ISBLANK(A1704)),VLOOKUP(A1704,'Close - PriceSaver'!A:J,5,0),"")</f>
        <v/>
      </c>
      <c r="I1704" s="4" t="str" cm="1">
        <f t="array" ref="I1704">IF(NOT(ISBLANK(A1704)),((_xlfn.XLOOKUP(1,(_bbt3[[#All],[ID]]=A1704)*(_bbt3[[#All],[METRIC_NAME]]="YLD_YTM_ASK"),_bbt3[[#All],[METRIC_VALUE]])*0.5)+(_xlfn.XLOOKUP(1,(_bbt3[[#All],[ID]]=A1704)*(_bbt3[[#All],[METRIC_NAME]]="YLD_YTM_BID"),_bbt3[[#All],[METRIC_VALUE]])*0.5))/100,"")</f>
        <v/>
      </c>
      <c r="J1704">
        <f>IF(ISNA(VLOOKUP(A1704,'CloseDL - PriceSaverBBT3'!A:E,5,0)),0,VLOOKUP(A1704,'CloseDL - PriceSaverBBT3'!A:E,5,0))</f>
        <v>0</v>
      </c>
      <c r="K1704" s="7" t="str">
        <f t="shared" si="223"/>
        <v/>
      </c>
      <c r="L1704" s="20">
        <f>IF(Close[[#This Row],[CreatedBy]]="MARINER\SilverAdm",1,0)</f>
        <v>0</v>
      </c>
      <c r="M1704" t="str">
        <f>IF(NOT(ISBLANK(A1704)),VLOOKUP(A1704,'Close - PriceSaver'!A:J,6,0),"")</f>
        <v/>
      </c>
    </row>
    <row r="1705" spans="2:13" x14ac:dyDescent="0.35">
      <c r="B1705" t="str">
        <f>IF(NOT(ISBLANK(A1705)),VLOOKUP(A1705,'BBT3'!A:F,2,0),"")</f>
        <v/>
      </c>
      <c r="C1705" t="str">
        <f>IF(NOT(ISBLANK(A1705)),VLOOKUP(A1705,'BBT3'!A:F,3,0),"")</f>
        <v/>
      </c>
      <c r="D1705" s="5" t="str">
        <f>IF(NOT(ISBLANK(A1705)),VLOOKUP(A1705,'BBT3'!A:F,4,1),"")</f>
        <v/>
      </c>
      <c r="E1705" t="str">
        <f>IF(NOT(ISBLANK(A1705)),VLOOKUP(A1705,'BBT3'!A:F,5,0),"")</f>
        <v/>
      </c>
      <c r="F1705" t="str">
        <f>IF(NOT(ISBLANK(A1705)),VLOOKUP(A1705,'BBT3'!A:F,6,0),"")</f>
        <v/>
      </c>
      <c r="G1705" t="str">
        <f t="shared" si="222"/>
        <v/>
      </c>
      <c r="H1705" t="str">
        <f>IF(NOT(ISBLANK(A1705)),VLOOKUP(A1705,'Close - PriceSaver'!A:J,5,0),"")</f>
        <v/>
      </c>
      <c r="I1705" s="4" t="str" cm="1">
        <f t="array" ref="I1705">IF(NOT(ISBLANK(A1705)),((_xlfn.XLOOKUP(1,(_bbt3[[#All],[ID]]=A1705)*(_bbt3[[#All],[METRIC_NAME]]="YLD_YTM_ASK"),_bbt3[[#All],[METRIC_VALUE]])*0.5)+(_xlfn.XLOOKUP(1,(_bbt3[[#All],[ID]]=A1705)*(_bbt3[[#All],[METRIC_NAME]]="YLD_YTM_BID"),_bbt3[[#All],[METRIC_VALUE]])*0.5))/100,"")</f>
        <v/>
      </c>
      <c r="J1705">
        <f>IF(ISNA(VLOOKUP(A1705,'CloseDL - PriceSaverBBT3'!A:E,5,0)),0,VLOOKUP(A1705,'CloseDL - PriceSaverBBT3'!A:E,5,0))</f>
        <v>0</v>
      </c>
      <c r="K1705" s="7" t="str">
        <f t="shared" si="223"/>
        <v/>
      </c>
      <c r="L1705" s="20">
        <f>IF(Close[[#This Row],[CreatedBy]]="MARINER\SilverAdm",1,0)</f>
        <v>0</v>
      </c>
      <c r="M1705" t="str">
        <f>IF(NOT(ISBLANK(A1705)),VLOOKUP(A1705,'Close - PriceSaver'!A:J,6,0),"")</f>
        <v/>
      </c>
    </row>
    <row r="1706" spans="2:13" x14ac:dyDescent="0.35">
      <c r="B1706" t="str">
        <f>IF(NOT(ISBLANK(A1706)),VLOOKUP(A1706,'BBT3'!A:F,2,0),"")</f>
        <v/>
      </c>
      <c r="C1706" t="str">
        <f>IF(NOT(ISBLANK(A1706)),VLOOKUP(A1706,'BBT3'!A:F,3,0),"")</f>
        <v/>
      </c>
      <c r="D1706" s="5" t="str">
        <f>IF(NOT(ISBLANK(A1706)),VLOOKUP(A1706,'BBT3'!A:F,4,1),"")</f>
        <v/>
      </c>
      <c r="E1706" t="str">
        <f>IF(NOT(ISBLANK(A1706)),VLOOKUP(A1706,'BBT3'!A:F,5,0),"")</f>
        <v/>
      </c>
      <c r="F1706" t="str">
        <f>IF(NOT(ISBLANK(A1706)),VLOOKUP(A1706,'BBT3'!A:F,6,0),"")</f>
        <v/>
      </c>
      <c r="G1706" t="str">
        <f t="shared" si="222"/>
        <v/>
      </c>
      <c r="H1706" t="str">
        <f>IF(NOT(ISBLANK(A1706)),VLOOKUP(A1706,'Close - PriceSaver'!A:J,5,0),"")</f>
        <v/>
      </c>
      <c r="I1706" s="4" t="str" cm="1">
        <f t="array" ref="I1706">IF(NOT(ISBLANK(A1706)),((_xlfn.XLOOKUP(1,(_bbt3[[#All],[ID]]=A1706)*(_bbt3[[#All],[METRIC_NAME]]="YLD_YTM_ASK"),_bbt3[[#All],[METRIC_VALUE]])*0.5)+(_xlfn.XLOOKUP(1,(_bbt3[[#All],[ID]]=A1706)*(_bbt3[[#All],[METRIC_NAME]]="YLD_YTM_BID"),_bbt3[[#All],[METRIC_VALUE]])*0.5))/100,"")</f>
        <v/>
      </c>
      <c r="J1706">
        <f>IF(ISNA(VLOOKUP(A1706,'CloseDL - PriceSaverBBT3'!A:E,5,0)),0,VLOOKUP(A1706,'CloseDL - PriceSaverBBT3'!A:E,5,0))</f>
        <v>0</v>
      </c>
      <c r="K1706" s="7" t="str">
        <f t="shared" si="223"/>
        <v/>
      </c>
      <c r="L1706" s="20">
        <f>IF(Close[[#This Row],[CreatedBy]]="MARINER\SilverAdm",1,0)</f>
        <v>0</v>
      </c>
      <c r="M1706" t="str">
        <f>IF(NOT(ISBLANK(A1706)),VLOOKUP(A1706,'Close - PriceSaver'!A:J,6,0),"")</f>
        <v/>
      </c>
    </row>
    <row r="1707" spans="2:13" x14ac:dyDescent="0.35">
      <c r="B1707" t="str">
        <f>IF(NOT(ISBLANK(A1707)),VLOOKUP(A1707,'BBT3'!A:F,2,0),"")</f>
        <v/>
      </c>
      <c r="C1707" t="str">
        <f>IF(NOT(ISBLANK(A1707)),VLOOKUP(A1707,'BBT3'!A:F,3,0),"")</f>
        <v/>
      </c>
      <c r="D1707" s="5" t="str">
        <f>IF(NOT(ISBLANK(A1707)),VLOOKUP(A1707,'BBT3'!A:F,4,1),"")</f>
        <v/>
      </c>
      <c r="E1707" t="str">
        <f>IF(NOT(ISBLANK(A1707)),VLOOKUP(A1707,'BBT3'!A:F,5,0),"")</f>
        <v/>
      </c>
      <c r="F1707" t="str">
        <f>IF(NOT(ISBLANK(A1707)),VLOOKUP(A1707,'BBT3'!A:F,6,0),"")</f>
        <v/>
      </c>
      <c r="G1707" t="str">
        <f t="shared" si="222"/>
        <v/>
      </c>
      <c r="H1707" t="str">
        <f>IF(NOT(ISBLANK(A1707)),VLOOKUP(A1707,'Close - PriceSaver'!A:J,5,0),"")</f>
        <v/>
      </c>
      <c r="I1707" s="4" t="str" cm="1">
        <f t="array" ref="I1707">IF(NOT(ISBLANK(A1707)),((_xlfn.XLOOKUP(1,(_bbt3[[#All],[ID]]=A1707)*(_bbt3[[#All],[METRIC_NAME]]="YLD_YTM_ASK"),_bbt3[[#All],[METRIC_VALUE]])*0.5)+(_xlfn.XLOOKUP(1,(_bbt3[[#All],[ID]]=A1707)*(_bbt3[[#All],[METRIC_NAME]]="YLD_YTM_BID"),_bbt3[[#All],[METRIC_VALUE]])*0.5))/100,"")</f>
        <v/>
      </c>
      <c r="J1707">
        <f>IF(ISNA(VLOOKUP(A1707,'CloseDL - PriceSaverBBT3'!A:E,5,0)),0,VLOOKUP(A1707,'CloseDL - PriceSaverBBT3'!A:E,5,0))</f>
        <v>0</v>
      </c>
      <c r="K1707" s="7" t="str">
        <f t="shared" si="223"/>
        <v/>
      </c>
      <c r="L1707" s="20">
        <f>IF(Close[[#This Row],[CreatedBy]]="MARINER\SilverAdm",1,0)</f>
        <v>1</v>
      </c>
      <c r="M1707" t="str">
        <f>IF(NOT(ISBLANK(A1707)),VLOOKUP(A1707,'Close - PriceSaver'!A:J,6,0),"")</f>
        <v/>
      </c>
    </row>
    <row r="1708" spans="2:13" x14ac:dyDescent="0.35">
      <c r="B1708" t="str">
        <f>IF(NOT(ISBLANK(A1708)),VLOOKUP(A1708,'BBT3'!A:F,2,0),"")</f>
        <v/>
      </c>
      <c r="C1708" t="str">
        <f>IF(NOT(ISBLANK(A1708)),VLOOKUP(A1708,'BBT3'!A:F,3,0),"")</f>
        <v/>
      </c>
      <c r="D1708" s="5" t="str">
        <f>IF(NOT(ISBLANK(A1708)),VLOOKUP(A1708,'BBT3'!A:F,4,1),"")</f>
        <v/>
      </c>
      <c r="E1708" t="str">
        <f>IF(NOT(ISBLANK(A1708)),VLOOKUP(A1708,'BBT3'!A:F,5,0),"")</f>
        <v/>
      </c>
      <c r="F1708" t="str">
        <f>IF(NOT(ISBLANK(A1708)),VLOOKUP(A1708,'BBT3'!A:F,6,0),"")</f>
        <v/>
      </c>
      <c r="G1708" t="str">
        <f t="shared" si="222"/>
        <v/>
      </c>
      <c r="H1708" t="str">
        <f>IF(NOT(ISBLANK(A1708)),VLOOKUP(A1708,'Close - PriceSaver'!A:J,5,0),"")</f>
        <v/>
      </c>
      <c r="I1708" s="4" t="str" cm="1">
        <f t="array" ref="I1708">IF(NOT(ISBLANK(A1708)),((_xlfn.XLOOKUP(1,(_bbt3[[#All],[ID]]=A1708)*(_bbt3[[#All],[METRIC_NAME]]="YLD_YTM_ASK"),_bbt3[[#All],[METRIC_VALUE]])*0.5)+(_xlfn.XLOOKUP(1,(_bbt3[[#All],[ID]]=A1708)*(_bbt3[[#All],[METRIC_NAME]]="YLD_YTM_BID"),_bbt3[[#All],[METRIC_VALUE]])*0.5))/100,"")</f>
        <v/>
      </c>
      <c r="J1708">
        <f>IF(ISNA(VLOOKUP(A1708,'CloseDL - PriceSaverBBT3'!A:E,5,0)),0,VLOOKUP(A1708,'CloseDL - PriceSaverBBT3'!A:E,5,0))</f>
        <v>0</v>
      </c>
      <c r="K1708" s="7" t="str">
        <f t="shared" si="223"/>
        <v/>
      </c>
      <c r="L1708" s="20">
        <f>IF(Close[[#This Row],[CreatedBy]]="MARINER\SilverAdm",1,0)</f>
        <v>1</v>
      </c>
      <c r="M1708" t="str">
        <f>IF(NOT(ISBLANK(A1708)),VLOOKUP(A1708,'Close - PriceSaver'!A:J,6,0),"")</f>
        <v/>
      </c>
    </row>
    <row r="1709" spans="2:13" x14ac:dyDescent="0.35">
      <c r="B1709" t="str">
        <f>IF(NOT(ISBLANK(A1709)),VLOOKUP(A1709,'BBT3'!A:F,2,0),"")</f>
        <v/>
      </c>
      <c r="C1709" t="str">
        <f>IF(NOT(ISBLANK(A1709)),VLOOKUP(A1709,'BBT3'!A:F,3,0),"")</f>
        <v/>
      </c>
      <c r="D1709" s="5" t="str">
        <f>IF(NOT(ISBLANK(A1709)),VLOOKUP(A1709,'BBT3'!A:F,4,1),"")</f>
        <v/>
      </c>
      <c r="E1709" t="str">
        <f>IF(NOT(ISBLANK(A1709)),VLOOKUP(A1709,'BBT3'!A:F,5,0),"")</f>
        <v/>
      </c>
      <c r="F1709" t="str">
        <f>IF(NOT(ISBLANK(A1709)),VLOOKUP(A1709,'BBT3'!A:F,6,0),"")</f>
        <v/>
      </c>
      <c r="G1709" t="str">
        <f t="shared" si="222"/>
        <v/>
      </c>
      <c r="H1709" t="str">
        <f>IF(NOT(ISBLANK(A1709)),VLOOKUP(A1709,'Close - PriceSaver'!A:J,5,0),"")</f>
        <v/>
      </c>
      <c r="I1709" s="4" t="str" cm="1">
        <f t="array" ref="I1709">IF(NOT(ISBLANK(A1709)),((_xlfn.XLOOKUP(1,(_bbt3[[#All],[ID]]=A1709)*(_bbt3[[#All],[METRIC_NAME]]="YLD_YTM_ASK"),_bbt3[[#All],[METRIC_VALUE]])*0.5)+(_xlfn.XLOOKUP(1,(_bbt3[[#All],[ID]]=A1709)*(_bbt3[[#All],[METRIC_NAME]]="YLD_YTM_BID"),_bbt3[[#All],[METRIC_VALUE]])*0.5))/100,"")</f>
        <v/>
      </c>
      <c r="J1709">
        <f>IF(ISNA(VLOOKUP(A1709,'CloseDL - PriceSaverBBT3'!A:E,5,0)),0,VLOOKUP(A1709,'CloseDL - PriceSaverBBT3'!A:E,5,0))</f>
        <v>0</v>
      </c>
      <c r="K1709" s="7" t="str">
        <f t="shared" si="223"/>
        <v/>
      </c>
      <c r="L1709" s="20">
        <f>IF(Close[[#This Row],[CreatedBy]]="MARINER\SilverAdm",1,0)</f>
        <v>1</v>
      </c>
      <c r="M1709" t="str">
        <f>IF(NOT(ISBLANK(A1709)),VLOOKUP(A1709,'Close - PriceSaver'!A:J,6,0),"")</f>
        <v/>
      </c>
    </row>
    <row r="1710" spans="2:13" x14ac:dyDescent="0.35">
      <c r="B1710" t="str">
        <f>IF(NOT(ISBLANK(A1710)),VLOOKUP(A1710,'BBT3'!A:F,2,0),"")</f>
        <v/>
      </c>
      <c r="C1710" t="str">
        <f>IF(NOT(ISBLANK(A1710)),VLOOKUP(A1710,'BBT3'!A:F,3,0),"")</f>
        <v/>
      </c>
      <c r="D1710" s="5" t="str">
        <f>IF(NOT(ISBLANK(A1710)),VLOOKUP(A1710,'BBT3'!A:F,4,1),"")</f>
        <v/>
      </c>
      <c r="E1710" t="str">
        <f>IF(NOT(ISBLANK(A1710)),VLOOKUP(A1710,'BBT3'!A:F,5,0),"")</f>
        <v/>
      </c>
      <c r="F1710" t="str">
        <f>IF(NOT(ISBLANK(A1710)),VLOOKUP(A1710,'BBT3'!A:F,6,0),"")</f>
        <v/>
      </c>
      <c r="G1710" t="str">
        <f t="shared" si="222"/>
        <v/>
      </c>
      <c r="H1710" t="str">
        <f>IF(NOT(ISBLANK(A1710)),VLOOKUP(A1710,'Close - PriceSaver'!A:J,5,0),"")</f>
        <v/>
      </c>
      <c r="I1710" s="4" t="str" cm="1">
        <f t="array" ref="I1710">IF(NOT(ISBLANK(A1710)),((_xlfn.XLOOKUP(1,(_bbt3[[#All],[ID]]=A1710)*(_bbt3[[#All],[METRIC_NAME]]="YLD_YTM_ASK"),_bbt3[[#All],[METRIC_VALUE]])*0.5)+(_xlfn.XLOOKUP(1,(_bbt3[[#All],[ID]]=A1710)*(_bbt3[[#All],[METRIC_NAME]]="YLD_YTM_BID"),_bbt3[[#All],[METRIC_VALUE]])*0.5))/100,"")</f>
        <v/>
      </c>
      <c r="J1710">
        <f>IF(ISNA(VLOOKUP(A1710,'CloseDL - PriceSaverBBT3'!A:E,5,0)),0,VLOOKUP(A1710,'CloseDL - PriceSaverBBT3'!A:E,5,0))</f>
        <v>0</v>
      </c>
      <c r="K1710" s="7" t="str">
        <f t="shared" si="223"/>
        <v/>
      </c>
      <c r="L1710" s="20">
        <f>IF(Close[[#This Row],[CreatedBy]]="MARINER\SilverAdm",1,0)</f>
        <v>1</v>
      </c>
      <c r="M1710" t="str">
        <f>IF(NOT(ISBLANK(A1710)),VLOOKUP(A1710,'Close - PriceSaver'!A:J,6,0),"")</f>
        <v/>
      </c>
    </row>
    <row r="1711" spans="2:13" x14ac:dyDescent="0.35">
      <c r="B1711" t="str">
        <f>IF(NOT(ISBLANK(A1711)),VLOOKUP(A1711,'BBT3'!A:F,2,0),"")</f>
        <v/>
      </c>
      <c r="C1711" t="str">
        <f>IF(NOT(ISBLANK(A1711)),VLOOKUP(A1711,'BBT3'!A:F,3,0),"")</f>
        <v/>
      </c>
      <c r="D1711" s="5" t="str">
        <f>IF(NOT(ISBLANK(A1711)),VLOOKUP(A1711,'BBT3'!A:F,4,1),"")</f>
        <v/>
      </c>
      <c r="E1711" t="str">
        <f>IF(NOT(ISBLANK(A1711)),VLOOKUP(A1711,'BBT3'!A:F,5,0),"")</f>
        <v/>
      </c>
      <c r="F1711" t="str">
        <f>IF(NOT(ISBLANK(A1711)),VLOOKUP(A1711,'BBT3'!A:F,6,0),"")</f>
        <v/>
      </c>
      <c r="G1711" t="str">
        <f t="shared" si="222"/>
        <v/>
      </c>
      <c r="H1711" t="str">
        <f>IF(NOT(ISBLANK(A1711)),VLOOKUP(A1711,'Close - PriceSaver'!A:J,5,0),"")</f>
        <v/>
      </c>
      <c r="I1711" s="4" t="str" cm="1">
        <f t="array" ref="I1711">IF(NOT(ISBLANK(A1711)),((_xlfn.XLOOKUP(1,(_bbt3[[#All],[ID]]=A1711)*(_bbt3[[#All],[METRIC_NAME]]="YLD_YTM_ASK"),_bbt3[[#All],[METRIC_VALUE]])*0.5)+(_xlfn.XLOOKUP(1,(_bbt3[[#All],[ID]]=A1711)*(_bbt3[[#All],[METRIC_NAME]]="YLD_YTM_BID"),_bbt3[[#All],[METRIC_VALUE]])*0.5))/100,"")</f>
        <v/>
      </c>
      <c r="J1711">
        <f>IF(ISNA(VLOOKUP(A1711,'CloseDL - PriceSaverBBT3'!A:E,5,0)),0,VLOOKUP(A1711,'CloseDL - PriceSaverBBT3'!A:E,5,0))</f>
        <v>0</v>
      </c>
      <c r="K1711" s="7" t="str">
        <f t="shared" si="223"/>
        <v/>
      </c>
      <c r="L1711" s="20">
        <f>IF(Close[[#This Row],[CreatedBy]]="MARINER\SilverAdm",1,0)</f>
        <v>1</v>
      </c>
      <c r="M1711" t="str">
        <f>IF(NOT(ISBLANK(A1711)),VLOOKUP(A1711,'Close - PriceSaver'!A:J,6,0),"")</f>
        <v/>
      </c>
    </row>
    <row r="1712" spans="2:13" x14ac:dyDescent="0.35">
      <c r="B1712" t="str">
        <f>IF(NOT(ISBLANK(A1712)),VLOOKUP(A1712,'BBT3'!A:F,2,0),"")</f>
        <v/>
      </c>
      <c r="C1712" t="str">
        <f>IF(NOT(ISBLANK(A1712)),VLOOKUP(A1712,'BBT3'!A:F,3,0),"")</f>
        <v/>
      </c>
      <c r="D1712" s="5" t="str">
        <f>IF(NOT(ISBLANK(A1712)),VLOOKUP(A1712,'BBT3'!A:F,4,1),"")</f>
        <v/>
      </c>
      <c r="E1712" t="str">
        <f>IF(NOT(ISBLANK(A1712)),VLOOKUP(A1712,'BBT3'!A:F,5,0),"")</f>
        <v/>
      </c>
      <c r="F1712" t="str">
        <f>IF(NOT(ISBLANK(A1712)),VLOOKUP(A1712,'BBT3'!A:F,6,0),"")</f>
        <v/>
      </c>
      <c r="G1712" t="str">
        <f t="shared" si="222"/>
        <v/>
      </c>
      <c r="H1712" t="str">
        <f>IF(NOT(ISBLANK(A1712)),VLOOKUP(A1712,'Close - PriceSaver'!A:J,5,0),"")</f>
        <v/>
      </c>
      <c r="I1712" s="4" t="str" cm="1">
        <f t="array" ref="I1712">IF(NOT(ISBLANK(A1712)),((_xlfn.XLOOKUP(1,(_bbt3[[#All],[ID]]=A1712)*(_bbt3[[#All],[METRIC_NAME]]="YLD_YTM_ASK"),_bbt3[[#All],[METRIC_VALUE]])*0.5)+(_xlfn.XLOOKUP(1,(_bbt3[[#All],[ID]]=A1712)*(_bbt3[[#All],[METRIC_NAME]]="YLD_YTM_BID"),_bbt3[[#All],[METRIC_VALUE]])*0.5))/100,"")</f>
        <v/>
      </c>
      <c r="J1712">
        <f>IF(ISNA(VLOOKUP(A1712,'CloseDL - PriceSaverBBT3'!A:E,5,0)),0,VLOOKUP(A1712,'CloseDL - PriceSaverBBT3'!A:E,5,0))</f>
        <v>0</v>
      </c>
      <c r="K1712" s="7" t="str">
        <f t="shared" si="223"/>
        <v/>
      </c>
      <c r="L1712" s="20">
        <f>IF(Close[[#This Row],[CreatedBy]]="MARINER\SilverAdm",1,0)</f>
        <v>1</v>
      </c>
      <c r="M1712" t="str">
        <f>IF(NOT(ISBLANK(A1712)),VLOOKUP(A1712,'Close - PriceSaver'!A:J,6,0),"")</f>
        <v/>
      </c>
    </row>
    <row r="1713" spans="2:13" x14ac:dyDescent="0.35">
      <c r="B1713" t="str">
        <f>IF(NOT(ISBLANK(A1713)),VLOOKUP(A1713,'BBT3'!A:F,2,0),"")</f>
        <v/>
      </c>
      <c r="C1713" t="str">
        <f>IF(NOT(ISBLANK(A1713)),VLOOKUP(A1713,'BBT3'!A:F,3,0),"")</f>
        <v/>
      </c>
      <c r="D1713" s="5" t="str">
        <f>IF(NOT(ISBLANK(A1713)),VLOOKUP(A1713,'BBT3'!A:F,4,1),"")</f>
        <v/>
      </c>
      <c r="E1713" t="str">
        <f>IF(NOT(ISBLANK(A1713)),VLOOKUP(A1713,'BBT3'!A:F,5,0),"")</f>
        <v/>
      </c>
      <c r="F1713" t="str">
        <f>IF(NOT(ISBLANK(A1713)),VLOOKUP(A1713,'BBT3'!A:F,6,0),"")</f>
        <v/>
      </c>
      <c r="G1713" t="str">
        <f t="shared" si="222"/>
        <v/>
      </c>
      <c r="H1713" t="str">
        <f>IF(NOT(ISBLANK(A1713)),VLOOKUP(A1713,'Close - PriceSaver'!A:J,5,0),"")</f>
        <v/>
      </c>
      <c r="I1713" s="4" t="str" cm="1">
        <f t="array" ref="I1713">IF(NOT(ISBLANK(A1713)),((_xlfn.XLOOKUP(1,(_bbt3[[#All],[ID]]=A1713)*(_bbt3[[#All],[METRIC_NAME]]="YLD_YTM_ASK"),_bbt3[[#All],[METRIC_VALUE]])*0.5)+(_xlfn.XLOOKUP(1,(_bbt3[[#All],[ID]]=A1713)*(_bbt3[[#All],[METRIC_NAME]]="YLD_YTM_BID"),_bbt3[[#All],[METRIC_VALUE]])*0.5))/100,"")</f>
        <v/>
      </c>
      <c r="J1713">
        <f>IF(ISNA(VLOOKUP(A1713,'CloseDL - PriceSaverBBT3'!A:E,5,0)),0,VLOOKUP(A1713,'CloseDL - PriceSaverBBT3'!A:E,5,0))</f>
        <v>0</v>
      </c>
      <c r="K1713" s="7" t="str">
        <f t="shared" si="223"/>
        <v/>
      </c>
      <c r="L1713" s="20">
        <f>IF(Close[[#This Row],[CreatedBy]]="MARINER\SilverAdm",1,0)</f>
        <v>1</v>
      </c>
      <c r="M1713" t="str">
        <f>IF(NOT(ISBLANK(A1713)),VLOOKUP(A1713,'Close - PriceSaver'!A:J,6,0),"")</f>
        <v/>
      </c>
    </row>
    <row r="1714" spans="2:13" x14ac:dyDescent="0.35">
      <c r="B1714" t="str">
        <f>IF(NOT(ISBLANK(A1714)),VLOOKUP(A1714,'BBT3'!A:F,2,0),"")</f>
        <v/>
      </c>
      <c r="C1714" t="str">
        <f>IF(NOT(ISBLANK(A1714)),VLOOKUP(A1714,'BBT3'!A:F,3,0),"")</f>
        <v/>
      </c>
      <c r="D1714" s="5" t="str">
        <f>IF(NOT(ISBLANK(A1714)),VLOOKUP(A1714,'BBT3'!A:F,4,1),"")</f>
        <v/>
      </c>
      <c r="E1714" t="str">
        <f>IF(NOT(ISBLANK(A1714)),VLOOKUP(A1714,'BBT3'!A:F,5,0),"")</f>
        <v/>
      </c>
      <c r="F1714" t="str">
        <f>IF(NOT(ISBLANK(A1714)),VLOOKUP(A1714,'BBT3'!A:F,6,0),"")</f>
        <v/>
      </c>
      <c r="G1714" t="str">
        <f t="shared" si="222"/>
        <v/>
      </c>
      <c r="H1714" t="str">
        <f>IF(NOT(ISBLANK(A1714)),VLOOKUP(A1714,'Close - PriceSaver'!A:J,5,0),"")</f>
        <v/>
      </c>
      <c r="I1714" s="4" t="str" cm="1">
        <f t="array" ref="I1714">IF(NOT(ISBLANK(A1714)),((_xlfn.XLOOKUP(1,(_bbt3[[#All],[ID]]=A1714)*(_bbt3[[#All],[METRIC_NAME]]="YLD_YTM_ASK"),_bbt3[[#All],[METRIC_VALUE]])*0.5)+(_xlfn.XLOOKUP(1,(_bbt3[[#All],[ID]]=A1714)*(_bbt3[[#All],[METRIC_NAME]]="YLD_YTM_BID"),_bbt3[[#All],[METRIC_VALUE]])*0.5))/100,"")</f>
        <v/>
      </c>
      <c r="J1714">
        <f>IF(ISNA(VLOOKUP(A1714,'CloseDL - PriceSaverBBT3'!A:E,5,0)),0,VLOOKUP(A1714,'CloseDL - PriceSaverBBT3'!A:E,5,0))</f>
        <v>0</v>
      </c>
      <c r="K1714" s="7" t="str">
        <f t="shared" si="223"/>
        <v/>
      </c>
      <c r="L1714" s="20">
        <f>IF(Close[[#This Row],[CreatedBy]]="MARINER\SilverAdm",1,0)</f>
        <v>1</v>
      </c>
      <c r="M1714" t="str">
        <f>IF(NOT(ISBLANK(A1714)),VLOOKUP(A1714,'Close - PriceSaver'!A:J,6,0),"")</f>
        <v/>
      </c>
    </row>
    <row r="1715" spans="2:13" x14ac:dyDescent="0.35">
      <c r="B1715" t="str">
        <f>IF(NOT(ISBLANK(A1715)),VLOOKUP(A1715,'BBT3'!A:F,2,0),"")</f>
        <v/>
      </c>
      <c r="C1715" t="str">
        <f>IF(NOT(ISBLANK(A1715)),VLOOKUP(A1715,'BBT3'!A:F,3,0),"")</f>
        <v/>
      </c>
      <c r="D1715" s="5" t="str">
        <f>IF(NOT(ISBLANK(A1715)),VLOOKUP(A1715,'BBT3'!A:F,4,1),"")</f>
        <v/>
      </c>
      <c r="E1715" t="str">
        <f>IF(NOT(ISBLANK(A1715)),VLOOKUP(A1715,'BBT3'!A:F,5,0),"")</f>
        <v/>
      </c>
      <c r="F1715" t="str">
        <f>IF(NOT(ISBLANK(A1715)),VLOOKUP(A1715,'BBT3'!A:F,6,0),"")</f>
        <v/>
      </c>
      <c r="G1715" t="str">
        <f t="shared" si="222"/>
        <v/>
      </c>
      <c r="H1715" t="str">
        <f>IF(NOT(ISBLANK(A1715)),VLOOKUP(A1715,'Close - PriceSaver'!A:J,5,0),"")</f>
        <v/>
      </c>
      <c r="I1715" s="4" t="str" cm="1">
        <f t="array" ref="I1715">IF(NOT(ISBLANK(A1715)),((_xlfn.XLOOKUP(1,(_bbt3[[#All],[ID]]=A1715)*(_bbt3[[#All],[METRIC_NAME]]="YLD_YTM_ASK"),_bbt3[[#All],[METRIC_VALUE]])*0.5)+(_xlfn.XLOOKUP(1,(_bbt3[[#All],[ID]]=A1715)*(_bbt3[[#All],[METRIC_NAME]]="YLD_YTM_BID"),_bbt3[[#All],[METRIC_VALUE]])*0.5))/100,"")</f>
        <v/>
      </c>
      <c r="J1715">
        <f>IF(ISNA(VLOOKUP(A1715,'CloseDL - PriceSaverBBT3'!A:E,5,0)),0,VLOOKUP(A1715,'CloseDL - PriceSaverBBT3'!A:E,5,0))</f>
        <v>0</v>
      </c>
      <c r="K1715" s="7" t="str">
        <f t="shared" si="223"/>
        <v/>
      </c>
      <c r="L1715" s="20">
        <f>IF(Close[[#This Row],[CreatedBy]]="MARINER\SilverAdm",1,0)</f>
        <v>1</v>
      </c>
      <c r="M1715" t="str">
        <f>IF(NOT(ISBLANK(A1715)),VLOOKUP(A1715,'Close - PriceSaver'!A:J,6,0),"")</f>
        <v/>
      </c>
    </row>
    <row r="1716" spans="2:13" x14ac:dyDescent="0.35">
      <c r="B1716" t="str">
        <f>IF(NOT(ISBLANK(A1716)),VLOOKUP(A1716,'BBT3'!A:F,2,0),"")</f>
        <v/>
      </c>
      <c r="C1716" t="str">
        <f>IF(NOT(ISBLANK(A1716)),VLOOKUP(A1716,'BBT3'!A:F,3,0),"")</f>
        <v/>
      </c>
      <c r="D1716" s="5" t="str">
        <f>IF(NOT(ISBLANK(A1716)),VLOOKUP(A1716,'BBT3'!A:F,4,1),"")</f>
        <v/>
      </c>
      <c r="E1716" t="str">
        <f>IF(NOT(ISBLANK(A1716)),VLOOKUP(A1716,'BBT3'!A:F,5,0),"")</f>
        <v/>
      </c>
      <c r="F1716" t="str">
        <f>IF(NOT(ISBLANK(A1716)),VLOOKUP(A1716,'BBT3'!A:F,6,0),"")</f>
        <v/>
      </c>
      <c r="G1716" t="str">
        <f t="shared" si="222"/>
        <v/>
      </c>
      <c r="H1716" t="str">
        <f>IF(NOT(ISBLANK(A1716)),VLOOKUP(A1716,'Close - PriceSaver'!A:J,5,0),"")</f>
        <v/>
      </c>
      <c r="I1716" s="4" t="str" cm="1">
        <f t="array" ref="I1716">IF(NOT(ISBLANK(A1716)),((_xlfn.XLOOKUP(1,(_bbt3[[#All],[ID]]=A1716)*(_bbt3[[#All],[METRIC_NAME]]="YLD_YTM_ASK"),_bbt3[[#All],[METRIC_VALUE]])*0.5)+(_xlfn.XLOOKUP(1,(_bbt3[[#All],[ID]]=A1716)*(_bbt3[[#All],[METRIC_NAME]]="YLD_YTM_BID"),_bbt3[[#All],[METRIC_VALUE]])*0.5))/100,"")</f>
        <v/>
      </c>
      <c r="J1716">
        <f>IF(ISNA(VLOOKUP(A1716,'CloseDL - PriceSaverBBT3'!A:E,5,0)),0,VLOOKUP(A1716,'CloseDL - PriceSaverBBT3'!A:E,5,0))</f>
        <v>0</v>
      </c>
      <c r="K1716" s="7" t="str">
        <f t="shared" si="223"/>
        <v/>
      </c>
      <c r="L1716" s="20">
        <f>IF(Close[[#This Row],[CreatedBy]]="MARINER\SilverAdm",1,0)</f>
        <v>1</v>
      </c>
      <c r="M1716" t="str">
        <f>IF(NOT(ISBLANK(A1716)),VLOOKUP(A1716,'Close - PriceSaver'!A:J,6,0),"")</f>
        <v/>
      </c>
    </row>
    <row r="1717" spans="2:13" x14ac:dyDescent="0.35">
      <c r="B1717" t="str">
        <f>IF(NOT(ISBLANK(A1717)),VLOOKUP(A1717,'BBT3'!A:F,2,0),"")</f>
        <v/>
      </c>
      <c r="C1717" t="str">
        <f>IF(NOT(ISBLANK(A1717)),VLOOKUP(A1717,'BBT3'!A:F,3,0),"")</f>
        <v/>
      </c>
      <c r="D1717" s="5" t="str">
        <f>IF(NOT(ISBLANK(A1717)),VLOOKUP(A1717,'BBT3'!A:F,4,1),"")</f>
        <v/>
      </c>
      <c r="E1717" t="str">
        <f>IF(NOT(ISBLANK(A1717)),VLOOKUP(A1717,'BBT3'!A:F,5,0),"")</f>
        <v/>
      </c>
      <c r="F1717" t="str">
        <f>IF(NOT(ISBLANK(A1717)),VLOOKUP(A1717,'BBT3'!A:F,6,0),"")</f>
        <v/>
      </c>
      <c r="G1717" t="str">
        <f t="shared" si="222"/>
        <v/>
      </c>
      <c r="H1717" t="str">
        <f>IF(NOT(ISBLANK(A1717)),VLOOKUP(A1717,'Close - PriceSaver'!A:J,5,0),"")</f>
        <v/>
      </c>
      <c r="I1717" s="4" t="str" cm="1">
        <f t="array" ref="I1717">IF(NOT(ISBLANK(A1717)),((_xlfn.XLOOKUP(1,(_bbt3[[#All],[ID]]=A1717)*(_bbt3[[#All],[METRIC_NAME]]="YLD_YTM_ASK"),_bbt3[[#All],[METRIC_VALUE]])*0.5)+(_xlfn.XLOOKUP(1,(_bbt3[[#All],[ID]]=A1717)*(_bbt3[[#All],[METRIC_NAME]]="YLD_YTM_BID"),_bbt3[[#All],[METRIC_VALUE]])*0.5))/100,"")</f>
        <v/>
      </c>
      <c r="J1717">
        <f>IF(ISNA(VLOOKUP(A1717,'CloseDL - PriceSaverBBT3'!A:E,5,0)),0,VLOOKUP(A1717,'CloseDL - PriceSaverBBT3'!A:E,5,0))</f>
        <v>0</v>
      </c>
      <c r="K1717" s="7" t="str">
        <f t="shared" si="223"/>
        <v/>
      </c>
      <c r="L1717" s="20">
        <f>IF(Close[[#This Row],[CreatedBy]]="MARINER\SilverAdm",1,0)</f>
        <v>1</v>
      </c>
      <c r="M1717" t="str">
        <f>IF(NOT(ISBLANK(A1717)),VLOOKUP(A1717,'Close - PriceSaver'!A:J,6,0),"")</f>
        <v/>
      </c>
    </row>
    <row r="1718" spans="2:13" x14ac:dyDescent="0.35">
      <c r="B1718" t="str">
        <f>IF(NOT(ISBLANK(A1718)),VLOOKUP(A1718,'BBT3'!A:F,2,0),"")</f>
        <v/>
      </c>
      <c r="C1718" t="str">
        <f>IF(NOT(ISBLANK(A1718)),VLOOKUP(A1718,'BBT3'!A:F,3,0),"")</f>
        <v/>
      </c>
      <c r="D1718" s="5" t="str">
        <f>IF(NOT(ISBLANK(A1718)),VLOOKUP(A1718,'BBT3'!A:F,4,1),"")</f>
        <v/>
      </c>
      <c r="E1718" t="str">
        <f>IF(NOT(ISBLANK(A1718)),VLOOKUP(A1718,'BBT3'!A:F,5,0),"")</f>
        <v/>
      </c>
      <c r="F1718" t="str">
        <f>IF(NOT(ISBLANK(A1718)),VLOOKUP(A1718,'BBT3'!A:F,6,0),"")</f>
        <v/>
      </c>
      <c r="G1718" t="str">
        <f t="shared" si="222"/>
        <v/>
      </c>
      <c r="H1718" t="str">
        <f>IF(NOT(ISBLANK(A1718)),VLOOKUP(A1718,'Close - PriceSaver'!A:J,5,0),"")</f>
        <v/>
      </c>
      <c r="I1718" s="4" t="str" cm="1">
        <f t="array" ref="I1718">IF(NOT(ISBLANK(A1718)),((_xlfn.XLOOKUP(1,(_bbt3[[#All],[ID]]=A1718)*(_bbt3[[#All],[METRIC_NAME]]="YLD_YTM_ASK"),_bbt3[[#All],[METRIC_VALUE]])*0.5)+(_xlfn.XLOOKUP(1,(_bbt3[[#All],[ID]]=A1718)*(_bbt3[[#All],[METRIC_NAME]]="YLD_YTM_BID"),_bbt3[[#All],[METRIC_VALUE]])*0.5))/100,"")</f>
        <v/>
      </c>
      <c r="J1718">
        <f>IF(ISNA(VLOOKUP(A1718,'CloseDL - PriceSaverBBT3'!A:E,5,0)),0,VLOOKUP(A1718,'CloseDL - PriceSaverBBT3'!A:E,5,0))</f>
        <v>0</v>
      </c>
      <c r="K1718" s="7" t="str">
        <f t="shared" si="223"/>
        <v/>
      </c>
      <c r="L1718" s="20">
        <f>IF(Close[[#This Row],[CreatedBy]]="MARINER\SilverAdm",1,0)</f>
        <v>1</v>
      </c>
      <c r="M1718" t="str">
        <f>IF(NOT(ISBLANK(A1718)),VLOOKUP(A1718,'Close - PriceSaver'!A:J,6,0),"")</f>
        <v/>
      </c>
    </row>
    <row r="1719" spans="2:13" x14ac:dyDescent="0.35">
      <c r="B1719" t="str">
        <f>IF(NOT(ISBLANK(A1719)),VLOOKUP(A1719,'BBT3'!A:F,2,0),"")</f>
        <v/>
      </c>
      <c r="C1719" t="str">
        <f>IF(NOT(ISBLANK(A1719)),VLOOKUP(A1719,'BBT3'!A:F,3,0),"")</f>
        <v/>
      </c>
      <c r="D1719" s="5" t="str">
        <f>IF(NOT(ISBLANK(A1719)),VLOOKUP(A1719,'BBT3'!A:F,4,1),"")</f>
        <v/>
      </c>
      <c r="E1719" t="str">
        <f>IF(NOT(ISBLANK(A1719)),VLOOKUP(A1719,'BBT3'!A:F,5,0),"")</f>
        <v/>
      </c>
      <c r="F1719" t="str">
        <f>IF(NOT(ISBLANK(A1719)),VLOOKUP(A1719,'BBT3'!A:F,6,0),"")</f>
        <v/>
      </c>
      <c r="G1719" t="str">
        <f t="shared" si="222"/>
        <v/>
      </c>
      <c r="H1719" t="str">
        <f>IF(NOT(ISBLANK(A1719)),VLOOKUP(A1719,'Close - PriceSaver'!A:J,5,0),"")</f>
        <v/>
      </c>
      <c r="I1719" s="4" t="str" cm="1">
        <f t="array" ref="I1719">IF(NOT(ISBLANK(A1719)),((_xlfn.XLOOKUP(1,(_bbt3[[#All],[ID]]=A1719)*(_bbt3[[#All],[METRIC_NAME]]="YLD_YTM_ASK"),_bbt3[[#All],[METRIC_VALUE]])*0.5)+(_xlfn.XLOOKUP(1,(_bbt3[[#All],[ID]]=A1719)*(_bbt3[[#All],[METRIC_NAME]]="YLD_YTM_BID"),_bbt3[[#All],[METRIC_VALUE]])*0.5))/100,"")</f>
        <v/>
      </c>
      <c r="J1719">
        <f>IF(ISNA(VLOOKUP(A1719,'CloseDL - PriceSaverBBT3'!A:E,5,0)),0,VLOOKUP(A1719,'CloseDL - PriceSaverBBT3'!A:E,5,0))</f>
        <v>0</v>
      </c>
      <c r="K1719" s="7" t="str">
        <f t="shared" si="223"/>
        <v/>
      </c>
      <c r="L1719" s="20">
        <f>IF(Close[[#This Row],[CreatedBy]]="MARINER\SilverAdm",1,0)</f>
        <v>1</v>
      </c>
      <c r="M1719" t="str">
        <f>IF(NOT(ISBLANK(A1719)),VLOOKUP(A1719,'Close - PriceSaver'!A:J,6,0),"")</f>
        <v/>
      </c>
    </row>
    <row r="1720" spans="2:13" x14ac:dyDescent="0.35">
      <c r="B1720" t="str">
        <f>IF(NOT(ISBLANK(A1720)),VLOOKUP(A1720,'BBT3'!A:F,2,0),"")</f>
        <v/>
      </c>
      <c r="C1720" t="str">
        <f>IF(NOT(ISBLANK(A1720)),VLOOKUP(A1720,'BBT3'!A:F,3,0),"")</f>
        <v/>
      </c>
      <c r="D1720" s="5" t="str">
        <f>IF(NOT(ISBLANK(A1720)),VLOOKUP(A1720,'BBT3'!A:F,4,1),"")</f>
        <v/>
      </c>
      <c r="E1720" t="str">
        <f>IF(NOT(ISBLANK(A1720)),VLOOKUP(A1720,'BBT3'!A:F,5,0),"")</f>
        <v/>
      </c>
      <c r="F1720" t="str">
        <f>IF(NOT(ISBLANK(A1720)),VLOOKUP(A1720,'BBT3'!A:F,6,0),"")</f>
        <v/>
      </c>
      <c r="G1720" t="str">
        <f t="shared" si="222"/>
        <v/>
      </c>
      <c r="H1720" t="str">
        <f>IF(NOT(ISBLANK(A1720)),VLOOKUP(A1720,'Close - PriceSaver'!A:J,5,0),"")</f>
        <v/>
      </c>
      <c r="I1720" s="4" t="str" cm="1">
        <f t="array" ref="I1720">IF(NOT(ISBLANK(A1720)),((_xlfn.XLOOKUP(1,(_bbt3[[#All],[ID]]=A1720)*(_bbt3[[#All],[METRIC_NAME]]="YLD_YTM_ASK"),_bbt3[[#All],[METRIC_VALUE]])*0.5)+(_xlfn.XLOOKUP(1,(_bbt3[[#All],[ID]]=A1720)*(_bbt3[[#All],[METRIC_NAME]]="YLD_YTM_BID"),_bbt3[[#All],[METRIC_VALUE]])*0.5))/100,"")</f>
        <v/>
      </c>
      <c r="J1720">
        <f>IF(ISNA(VLOOKUP(A1720,'CloseDL - PriceSaverBBT3'!A:E,5,0)),0,VLOOKUP(A1720,'CloseDL - PriceSaverBBT3'!A:E,5,0))</f>
        <v>0</v>
      </c>
      <c r="K1720" s="7" t="str">
        <f t="shared" si="223"/>
        <v/>
      </c>
      <c r="L1720" s="20">
        <f>IF(Close[[#This Row],[CreatedBy]]="MARINER\SilverAdm",1,0)</f>
        <v>1</v>
      </c>
      <c r="M1720" t="str">
        <f>IF(NOT(ISBLANK(A1720)),VLOOKUP(A1720,'Close - PriceSaver'!A:J,6,0),"")</f>
        <v/>
      </c>
    </row>
    <row r="1721" spans="2:13" x14ac:dyDescent="0.35">
      <c r="B1721" t="str">
        <f>IF(NOT(ISBLANK(A1721)),VLOOKUP(A1721,'BBT3'!A:F,2,0),"")</f>
        <v/>
      </c>
      <c r="C1721" t="str">
        <f>IF(NOT(ISBLANK(A1721)),VLOOKUP(A1721,'BBT3'!A:F,3,0),"")</f>
        <v/>
      </c>
      <c r="D1721" s="5" t="str">
        <f>IF(NOT(ISBLANK(A1721)),VLOOKUP(A1721,'BBT3'!A:F,4,1),"")</f>
        <v/>
      </c>
      <c r="E1721" t="str">
        <f>IF(NOT(ISBLANK(A1721)),VLOOKUP(A1721,'BBT3'!A:F,5,0),"")</f>
        <v/>
      </c>
      <c r="F1721" t="str">
        <f>IF(NOT(ISBLANK(A1721)),VLOOKUP(A1721,'BBT3'!A:F,6,0),"")</f>
        <v/>
      </c>
      <c r="G1721" t="str">
        <f t="shared" si="222"/>
        <v/>
      </c>
      <c r="H1721" t="str">
        <f>IF(NOT(ISBLANK(A1721)),VLOOKUP(A1721,'Close - PriceSaver'!A:J,5,0),"")</f>
        <v/>
      </c>
      <c r="I1721" s="4" t="str" cm="1">
        <f t="array" ref="I1721">IF(NOT(ISBLANK(A1721)),((_xlfn.XLOOKUP(1,(_bbt3[[#All],[ID]]=A1721)*(_bbt3[[#All],[METRIC_NAME]]="YLD_YTM_ASK"),_bbt3[[#All],[METRIC_VALUE]])*0.5)+(_xlfn.XLOOKUP(1,(_bbt3[[#All],[ID]]=A1721)*(_bbt3[[#All],[METRIC_NAME]]="YLD_YTM_BID"),_bbt3[[#All],[METRIC_VALUE]])*0.5))/100,"")</f>
        <v/>
      </c>
      <c r="J1721">
        <f>IF(ISNA(VLOOKUP(A1721,'CloseDL - PriceSaverBBT3'!A:E,5,0)),0,VLOOKUP(A1721,'CloseDL - PriceSaverBBT3'!A:E,5,0))</f>
        <v>0</v>
      </c>
      <c r="K1721" s="7" t="str">
        <f t="shared" si="223"/>
        <v/>
      </c>
      <c r="L1721" s="20">
        <f>IF(Close[[#This Row],[CreatedBy]]="MARINER\SilverAdm",1,0)</f>
        <v>1</v>
      </c>
      <c r="M1721" t="str">
        <f>IF(NOT(ISBLANK(A1721)),VLOOKUP(A1721,'Close - PriceSaver'!A:J,6,0),"")</f>
        <v/>
      </c>
    </row>
    <row r="1722" spans="2:13" x14ac:dyDescent="0.35">
      <c r="B1722" t="str">
        <f>IF(NOT(ISBLANK(A1722)),VLOOKUP(A1722,'BBT3'!A:F,2,0),"")</f>
        <v/>
      </c>
      <c r="C1722" t="str">
        <f>IF(NOT(ISBLANK(A1722)),VLOOKUP(A1722,'BBT3'!A:F,3,0),"")</f>
        <v/>
      </c>
      <c r="D1722" s="5" t="str">
        <f>IF(NOT(ISBLANK(A1722)),VLOOKUP(A1722,'BBT3'!A:F,4,1),"")</f>
        <v/>
      </c>
      <c r="E1722" t="str">
        <f>IF(NOT(ISBLANK(A1722)),VLOOKUP(A1722,'BBT3'!A:F,5,0),"")</f>
        <v/>
      </c>
      <c r="F1722" t="str">
        <f>IF(NOT(ISBLANK(A1722)),VLOOKUP(A1722,'BBT3'!A:F,6,0),"")</f>
        <v/>
      </c>
      <c r="G1722" t="str">
        <f t="shared" si="222"/>
        <v/>
      </c>
      <c r="H1722" t="str">
        <f>IF(NOT(ISBLANK(A1722)),VLOOKUP(A1722,'Close - PriceSaver'!A:J,5,0),"")</f>
        <v/>
      </c>
      <c r="I1722" s="4" t="str" cm="1">
        <f t="array" ref="I1722">IF(NOT(ISBLANK(A1722)),((_xlfn.XLOOKUP(1,(_bbt3[[#All],[ID]]=A1722)*(_bbt3[[#All],[METRIC_NAME]]="YLD_YTM_ASK"),_bbt3[[#All],[METRIC_VALUE]])*0.5)+(_xlfn.XLOOKUP(1,(_bbt3[[#All],[ID]]=A1722)*(_bbt3[[#All],[METRIC_NAME]]="YLD_YTM_BID"),_bbt3[[#All],[METRIC_VALUE]])*0.5))/100,"")</f>
        <v/>
      </c>
      <c r="J1722">
        <f>IF(ISNA(VLOOKUP(A1722,'CloseDL - PriceSaverBBT3'!A:E,5,0)),0,VLOOKUP(A1722,'CloseDL - PriceSaverBBT3'!A:E,5,0))</f>
        <v>0</v>
      </c>
      <c r="K1722" s="7" t="str">
        <f t="shared" si="223"/>
        <v/>
      </c>
      <c r="L1722" s="20">
        <f>IF(Close[[#This Row],[CreatedBy]]="MARINER\SilverAdm",1,0)</f>
        <v>1</v>
      </c>
      <c r="M1722" t="str">
        <f>IF(NOT(ISBLANK(A1722)),VLOOKUP(A1722,'Close - PriceSaver'!A:J,6,0),"")</f>
        <v/>
      </c>
    </row>
    <row r="1723" spans="2:13" x14ac:dyDescent="0.35">
      <c r="B1723" t="str">
        <f>IF(NOT(ISBLANK(A1723)),VLOOKUP(A1723,'BBT3'!A:F,2,0),"")</f>
        <v/>
      </c>
      <c r="C1723" t="str">
        <f>IF(NOT(ISBLANK(A1723)),VLOOKUP(A1723,'BBT3'!A:F,3,0),"")</f>
        <v/>
      </c>
      <c r="D1723" s="5" t="str">
        <f>IF(NOT(ISBLANK(A1723)),VLOOKUP(A1723,'BBT3'!A:F,4,1),"")</f>
        <v/>
      </c>
      <c r="E1723" t="str">
        <f>IF(NOT(ISBLANK(A1723)),VLOOKUP(A1723,'BBT3'!A:F,5,0),"")</f>
        <v/>
      </c>
      <c r="F1723" t="str">
        <f>IF(NOT(ISBLANK(A1723)),VLOOKUP(A1723,'BBT3'!A:F,6,0),"")</f>
        <v/>
      </c>
      <c r="G1723" t="str">
        <f t="shared" si="222"/>
        <v/>
      </c>
      <c r="H1723" t="str">
        <f>IF(NOT(ISBLANK(A1723)),VLOOKUP(A1723,'Close - PriceSaver'!A:J,5,0),"")</f>
        <v/>
      </c>
      <c r="I1723" s="4" t="str" cm="1">
        <f t="array" ref="I1723">IF(NOT(ISBLANK(A1723)),((_xlfn.XLOOKUP(1,(_bbt3[[#All],[ID]]=A1723)*(_bbt3[[#All],[METRIC_NAME]]="YLD_YTM_ASK"),_bbt3[[#All],[METRIC_VALUE]])*0.5)+(_xlfn.XLOOKUP(1,(_bbt3[[#All],[ID]]=A1723)*(_bbt3[[#All],[METRIC_NAME]]="YLD_YTM_BID"),_bbt3[[#All],[METRIC_VALUE]])*0.5))/100,"")</f>
        <v/>
      </c>
      <c r="J1723">
        <f>IF(ISNA(VLOOKUP(A1723,'CloseDL - PriceSaverBBT3'!A:E,5,0)),0,VLOOKUP(A1723,'CloseDL - PriceSaverBBT3'!A:E,5,0))</f>
        <v>0</v>
      </c>
      <c r="K1723" s="7" t="str">
        <f t="shared" si="223"/>
        <v/>
      </c>
      <c r="L1723" s="20">
        <f>IF(Close[[#This Row],[CreatedBy]]="MARINER\SilverAdm",1,0)</f>
        <v>1</v>
      </c>
      <c r="M1723" t="str">
        <f>IF(NOT(ISBLANK(A1723)),VLOOKUP(A1723,'Close - PriceSaver'!A:J,6,0),"")</f>
        <v/>
      </c>
    </row>
    <row r="1724" spans="2:13" x14ac:dyDescent="0.35">
      <c r="B1724" t="str">
        <f>IF(NOT(ISBLANK(A1724)),VLOOKUP(A1724,'BBT3'!A:F,2,0),"")</f>
        <v/>
      </c>
      <c r="C1724" t="str">
        <f>IF(NOT(ISBLANK(A1724)),VLOOKUP(A1724,'BBT3'!A:F,3,0),"")</f>
        <v/>
      </c>
      <c r="D1724" s="5" t="str">
        <f>IF(NOT(ISBLANK(A1724)),VLOOKUP(A1724,'BBT3'!A:F,4,1),"")</f>
        <v/>
      </c>
      <c r="E1724" t="str">
        <f>IF(NOT(ISBLANK(A1724)),VLOOKUP(A1724,'BBT3'!A:F,5,0),"")</f>
        <v/>
      </c>
      <c r="F1724" t="str">
        <f>IF(NOT(ISBLANK(A1724)),VLOOKUP(A1724,'BBT3'!A:F,6,0),"")</f>
        <v/>
      </c>
      <c r="G1724" t="str">
        <f t="shared" si="222"/>
        <v/>
      </c>
      <c r="H1724" t="str">
        <f>IF(NOT(ISBLANK(A1724)),VLOOKUP(A1724,'Close - PriceSaver'!A:J,5,0),"")</f>
        <v/>
      </c>
      <c r="I1724" s="4" t="str" cm="1">
        <f t="array" ref="I1724">IF(NOT(ISBLANK(A1724)),((_xlfn.XLOOKUP(1,(_bbt3[[#All],[ID]]=A1724)*(_bbt3[[#All],[METRIC_NAME]]="YLD_YTM_ASK"),_bbt3[[#All],[METRIC_VALUE]])*0.5)+(_xlfn.XLOOKUP(1,(_bbt3[[#All],[ID]]=A1724)*(_bbt3[[#All],[METRIC_NAME]]="YLD_YTM_BID"),_bbt3[[#All],[METRIC_VALUE]])*0.5))/100,"")</f>
        <v/>
      </c>
      <c r="J1724">
        <f>IF(ISNA(VLOOKUP(A1724,'CloseDL - PriceSaverBBT3'!A:E,5,0)),0,VLOOKUP(A1724,'CloseDL - PriceSaverBBT3'!A:E,5,0))</f>
        <v>0</v>
      </c>
      <c r="K1724" s="7" t="str">
        <f t="shared" si="223"/>
        <v/>
      </c>
      <c r="L1724" s="20">
        <f>IF(Close[[#This Row],[CreatedBy]]="MARINER\SilverAdm",1,0)</f>
        <v>0</v>
      </c>
      <c r="M1724" t="str">
        <f>IF(NOT(ISBLANK(A1724)),VLOOKUP(A1724,'Close - PriceSaver'!A:J,6,0),"")</f>
        <v/>
      </c>
    </row>
    <row r="1725" spans="2:13" x14ac:dyDescent="0.35">
      <c r="B1725" t="str">
        <f>IF(NOT(ISBLANK(A1725)),VLOOKUP(A1725,'BBT3'!A:F,2,0),"")</f>
        <v/>
      </c>
      <c r="C1725" t="str">
        <f>IF(NOT(ISBLANK(A1725)),VLOOKUP(A1725,'BBT3'!A:F,3,0),"")</f>
        <v/>
      </c>
      <c r="D1725" s="5" t="str">
        <f>IF(NOT(ISBLANK(A1725)),VLOOKUP(A1725,'BBT3'!A:F,4,1),"")</f>
        <v/>
      </c>
      <c r="E1725" t="str">
        <f>IF(NOT(ISBLANK(A1725)),VLOOKUP(A1725,'BBT3'!A:F,5,0),"")</f>
        <v/>
      </c>
      <c r="F1725" t="str">
        <f>IF(NOT(ISBLANK(A1725)),VLOOKUP(A1725,'BBT3'!A:F,6,0),"")</f>
        <v/>
      </c>
      <c r="G1725" t="str">
        <f t="shared" si="222"/>
        <v/>
      </c>
      <c r="H1725" t="str">
        <f>IF(NOT(ISBLANK(A1725)),VLOOKUP(A1725,'Close - PriceSaver'!A:J,5,0),"")</f>
        <v/>
      </c>
      <c r="I1725" s="4" t="str" cm="1">
        <f t="array" ref="I1725">IF(NOT(ISBLANK(A1725)),((_xlfn.XLOOKUP(1,(_bbt3[[#All],[ID]]=A1725)*(_bbt3[[#All],[METRIC_NAME]]="YLD_YTM_ASK"),_bbt3[[#All],[METRIC_VALUE]])*0.5)+(_xlfn.XLOOKUP(1,(_bbt3[[#All],[ID]]=A1725)*(_bbt3[[#All],[METRIC_NAME]]="YLD_YTM_BID"),_bbt3[[#All],[METRIC_VALUE]])*0.5))/100,"")</f>
        <v/>
      </c>
      <c r="J1725">
        <f>IF(ISNA(VLOOKUP(A1725,'CloseDL - PriceSaverBBT3'!A:E,5,0)),0,VLOOKUP(A1725,'CloseDL - PriceSaverBBT3'!A:E,5,0))</f>
        <v>0</v>
      </c>
      <c r="K1725" s="7" t="str">
        <f t="shared" si="223"/>
        <v/>
      </c>
      <c r="L1725" s="20">
        <f>IF(Close[[#This Row],[CreatedBy]]="MARINER\SilverAdm",1,0)</f>
        <v>0</v>
      </c>
      <c r="M1725" t="str">
        <f>IF(NOT(ISBLANK(A1725)),VLOOKUP(A1725,'Close - PriceSaver'!A:J,6,0),"")</f>
        <v/>
      </c>
    </row>
    <row r="1726" spans="2:13" x14ac:dyDescent="0.35">
      <c r="B1726" t="str">
        <f>IF(NOT(ISBLANK(A1726)),VLOOKUP(A1726,'BBT3'!A:F,2,0),"")</f>
        <v/>
      </c>
      <c r="C1726" t="str">
        <f>IF(NOT(ISBLANK(A1726)),VLOOKUP(A1726,'BBT3'!A:F,3,0),"")</f>
        <v/>
      </c>
      <c r="D1726" s="5" t="str">
        <f>IF(NOT(ISBLANK(A1726)),VLOOKUP(A1726,'BBT3'!A:F,4,1),"")</f>
        <v/>
      </c>
      <c r="E1726" t="str">
        <f>IF(NOT(ISBLANK(A1726)),VLOOKUP(A1726,'BBT3'!A:F,5,0),"")</f>
        <v/>
      </c>
      <c r="F1726" t="str">
        <f>IF(NOT(ISBLANK(A1726)),VLOOKUP(A1726,'BBT3'!A:F,6,0),"")</f>
        <v/>
      </c>
      <c r="G1726" t="str">
        <f t="shared" si="222"/>
        <v/>
      </c>
      <c r="H1726" t="str">
        <f>IF(NOT(ISBLANK(A1726)),VLOOKUP(A1726,'Close - PriceSaver'!A:J,5,0),"")</f>
        <v/>
      </c>
      <c r="I1726" s="4" t="str" cm="1">
        <f t="array" ref="I1726">IF(NOT(ISBLANK(A1726)),((_xlfn.XLOOKUP(1,(_bbt3[[#All],[ID]]=A1726)*(_bbt3[[#All],[METRIC_NAME]]="YLD_YTM_ASK"),_bbt3[[#All],[METRIC_VALUE]])*0.5)+(_xlfn.XLOOKUP(1,(_bbt3[[#All],[ID]]=A1726)*(_bbt3[[#All],[METRIC_NAME]]="YLD_YTM_BID"),_bbt3[[#All],[METRIC_VALUE]])*0.5))/100,"")</f>
        <v/>
      </c>
      <c r="J1726">
        <f>IF(ISNA(VLOOKUP(A1726,'CloseDL - PriceSaverBBT3'!A:E,5,0)),0,VLOOKUP(A1726,'CloseDL - PriceSaverBBT3'!A:E,5,0))</f>
        <v>0</v>
      </c>
      <c r="K1726" s="7" t="str">
        <f t="shared" si="223"/>
        <v/>
      </c>
      <c r="L1726" s="20">
        <f>IF(Close[[#This Row],[CreatedBy]]="MARINER\SilverAdm",1,0)</f>
        <v>0</v>
      </c>
      <c r="M1726" t="str">
        <f>IF(NOT(ISBLANK(A1726)),VLOOKUP(A1726,'Close - PriceSaver'!A:J,6,0),"")</f>
        <v/>
      </c>
    </row>
    <row r="1727" spans="2:13" x14ac:dyDescent="0.35">
      <c r="B1727" t="str">
        <f>IF(NOT(ISBLANK(A1727)),VLOOKUP(A1727,'BBT3'!A:F,2,0),"")</f>
        <v/>
      </c>
      <c r="C1727" t="str">
        <f>IF(NOT(ISBLANK(A1727)),VLOOKUP(A1727,'BBT3'!A:F,3,0),"")</f>
        <v/>
      </c>
      <c r="D1727" s="5" t="str">
        <f>IF(NOT(ISBLANK(A1727)),VLOOKUP(A1727,'BBT3'!A:F,4,1),"")</f>
        <v/>
      </c>
      <c r="E1727" t="str">
        <f>IF(NOT(ISBLANK(A1727)),VLOOKUP(A1727,'BBT3'!A:F,5,0),"")</f>
        <v/>
      </c>
      <c r="F1727" t="str">
        <f>IF(NOT(ISBLANK(A1727)),VLOOKUP(A1727,'BBT3'!A:F,6,0),"")</f>
        <v/>
      </c>
      <c r="G1727" t="str">
        <f t="shared" si="222"/>
        <v/>
      </c>
      <c r="H1727" t="str">
        <f>IF(NOT(ISBLANK(A1727)),VLOOKUP(A1727,'Close - PriceSaver'!A:J,5,0),"")</f>
        <v/>
      </c>
      <c r="I1727" s="4" t="str" cm="1">
        <f t="array" ref="I1727">IF(NOT(ISBLANK(A1727)),((_xlfn.XLOOKUP(1,(_bbt3[[#All],[ID]]=A1727)*(_bbt3[[#All],[METRIC_NAME]]="YLD_YTM_ASK"),_bbt3[[#All],[METRIC_VALUE]])*0.5)+(_xlfn.XLOOKUP(1,(_bbt3[[#All],[ID]]=A1727)*(_bbt3[[#All],[METRIC_NAME]]="YLD_YTM_BID"),_bbt3[[#All],[METRIC_VALUE]])*0.5))/100,"")</f>
        <v/>
      </c>
      <c r="J1727">
        <f>IF(ISNA(VLOOKUP(A1727,'CloseDL - PriceSaverBBT3'!A:E,5,0)),0,VLOOKUP(A1727,'CloseDL - PriceSaverBBT3'!A:E,5,0))</f>
        <v>0</v>
      </c>
      <c r="K1727" s="7" t="str">
        <f t="shared" si="223"/>
        <v/>
      </c>
      <c r="L1727" s="20">
        <f>IF(Close[[#This Row],[CreatedBy]]="MARINER\SilverAdm",1,0)</f>
        <v>0</v>
      </c>
      <c r="M1727" t="str">
        <f>IF(NOT(ISBLANK(A1727)),VLOOKUP(A1727,'Close - PriceSaver'!A:J,6,0),"")</f>
        <v/>
      </c>
    </row>
    <row r="1728" spans="2:13" x14ac:dyDescent="0.35">
      <c r="B1728" t="str">
        <f>IF(NOT(ISBLANK(A1728)),VLOOKUP(A1728,'BBT3'!A:F,2,0),"")</f>
        <v/>
      </c>
      <c r="C1728" t="str">
        <f>IF(NOT(ISBLANK(A1728)),VLOOKUP(A1728,'BBT3'!A:F,3,0),"")</f>
        <v/>
      </c>
      <c r="D1728" s="5" t="str">
        <f>IF(NOT(ISBLANK(A1728)),VLOOKUP(A1728,'BBT3'!A:F,4,1),"")</f>
        <v/>
      </c>
      <c r="E1728" t="str">
        <f>IF(NOT(ISBLANK(A1728)),VLOOKUP(A1728,'BBT3'!A:F,5,0),"")</f>
        <v/>
      </c>
      <c r="F1728" t="str">
        <f>IF(NOT(ISBLANK(A1728)),VLOOKUP(A1728,'BBT3'!A:F,6,0),"")</f>
        <v/>
      </c>
      <c r="G1728" t="str">
        <f t="shared" si="222"/>
        <v/>
      </c>
      <c r="H1728" t="str">
        <f>IF(NOT(ISBLANK(A1728)),VLOOKUP(A1728,'Close - PriceSaver'!A:J,5,0),"")</f>
        <v/>
      </c>
      <c r="I1728" s="4" t="str" cm="1">
        <f t="array" ref="I1728">IF(NOT(ISBLANK(A1728)),((_xlfn.XLOOKUP(1,(_bbt3[[#All],[ID]]=A1728)*(_bbt3[[#All],[METRIC_NAME]]="YLD_YTM_ASK"),_bbt3[[#All],[METRIC_VALUE]])*0.5)+(_xlfn.XLOOKUP(1,(_bbt3[[#All],[ID]]=A1728)*(_bbt3[[#All],[METRIC_NAME]]="YLD_YTM_BID"),_bbt3[[#All],[METRIC_VALUE]])*0.5))/100,"")</f>
        <v/>
      </c>
      <c r="J1728">
        <f>IF(ISNA(VLOOKUP(A1728,'CloseDL - PriceSaverBBT3'!A:E,5,0)),0,VLOOKUP(A1728,'CloseDL - PriceSaverBBT3'!A:E,5,0))</f>
        <v>0</v>
      </c>
      <c r="K1728" s="7" t="str">
        <f t="shared" si="223"/>
        <v/>
      </c>
      <c r="L1728" s="20">
        <f>IF(Close[[#This Row],[CreatedBy]]="MARINER\SilverAdm",1,0)</f>
        <v>0</v>
      </c>
      <c r="M1728" t="str">
        <f>IF(NOT(ISBLANK(A1728)),VLOOKUP(A1728,'Close - PriceSaver'!A:J,6,0),"")</f>
        <v/>
      </c>
    </row>
    <row r="1729" spans="2:13" x14ac:dyDescent="0.35">
      <c r="B1729" t="str">
        <f>IF(NOT(ISBLANK(A1729)),VLOOKUP(A1729,'BBT3'!A:F,2,0),"")</f>
        <v/>
      </c>
      <c r="C1729" t="str">
        <f>IF(NOT(ISBLANK(A1729)),VLOOKUP(A1729,'BBT3'!A:F,3,0),"")</f>
        <v/>
      </c>
      <c r="D1729" s="5" t="str">
        <f>IF(NOT(ISBLANK(A1729)),VLOOKUP(A1729,'BBT3'!A:F,4,1),"")</f>
        <v/>
      </c>
      <c r="E1729" t="str">
        <f>IF(NOT(ISBLANK(A1729)),VLOOKUP(A1729,'BBT3'!A:F,5,0),"")</f>
        <v/>
      </c>
      <c r="F1729" t="str">
        <f>IF(NOT(ISBLANK(A1729)),VLOOKUP(A1729,'BBT3'!A:F,6,0),"")</f>
        <v/>
      </c>
      <c r="G1729" t="str">
        <f t="shared" si="222"/>
        <v/>
      </c>
      <c r="H1729" t="str">
        <f>IF(NOT(ISBLANK(A1729)),VLOOKUP(A1729,'Close - PriceSaver'!A:J,5,0),"")</f>
        <v/>
      </c>
      <c r="I1729" s="4" t="str" cm="1">
        <f t="array" ref="I1729">IF(NOT(ISBLANK(A1729)),((_xlfn.XLOOKUP(1,(_bbt3[[#All],[ID]]=A1729)*(_bbt3[[#All],[METRIC_NAME]]="YLD_YTM_ASK"),_bbt3[[#All],[METRIC_VALUE]])*0.5)+(_xlfn.XLOOKUP(1,(_bbt3[[#All],[ID]]=A1729)*(_bbt3[[#All],[METRIC_NAME]]="YLD_YTM_BID"),_bbt3[[#All],[METRIC_VALUE]])*0.5))/100,"")</f>
        <v/>
      </c>
      <c r="J1729">
        <f>IF(ISNA(VLOOKUP(A1729,'CloseDL - PriceSaverBBT3'!A:E,5,0)),0,VLOOKUP(A1729,'CloseDL - PriceSaverBBT3'!A:E,5,0))</f>
        <v>0</v>
      </c>
      <c r="K1729" s="7" t="str">
        <f t="shared" si="223"/>
        <v/>
      </c>
      <c r="L1729" s="20">
        <f>IF(Close[[#This Row],[CreatedBy]]="MARINER\SilverAdm",1,0)</f>
        <v>0</v>
      </c>
      <c r="M1729" t="str">
        <f>IF(NOT(ISBLANK(A1729)),VLOOKUP(A1729,'Close - PriceSaver'!A:J,6,0),"")</f>
        <v/>
      </c>
    </row>
    <row r="1730" spans="2:13" x14ac:dyDescent="0.35">
      <c r="B1730" t="str">
        <f>IF(NOT(ISBLANK(A1730)),VLOOKUP(A1730,'BBT3'!A:F,2,0),"")</f>
        <v/>
      </c>
      <c r="C1730" t="str">
        <f>IF(NOT(ISBLANK(A1730)),VLOOKUP(A1730,'BBT3'!A:F,3,0),"")</f>
        <v/>
      </c>
      <c r="D1730" s="5" t="str">
        <f>IF(NOT(ISBLANK(A1730)),VLOOKUP(A1730,'BBT3'!A:F,4,1),"")</f>
        <v/>
      </c>
      <c r="E1730" t="str">
        <f>IF(NOT(ISBLANK(A1730)),VLOOKUP(A1730,'BBT3'!A:F,5,0),"")</f>
        <v/>
      </c>
      <c r="F1730" t="str">
        <f>IF(NOT(ISBLANK(A1730)),VLOOKUP(A1730,'BBT3'!A:F,6,0),"")</f>
        <v/>
      </c>
      <c r="G1730" t="str">
        <f t="shared" si="222"/>
        <v/>
      </c>
      <c r="H1730" t="str">
        <f>IF(NOT(ISBLANK(A1730)),VLOOKUP(A1730,'Close - PriceSaver'!A:J,5,0),"")</f>
        <v/>
      </c>
      <c r="I1730" s="4" t="str" cm="1">
        <f t="array" ref="I1730">IF(NOT(ISBLANK(A1730)),((_xlfn.XLOOKUP(1,(_bbt3[[#All],[ID]]=A1730)*(_bbt3[[#All],[METRIC_NAME]]="YLD_YTM_ASK"),_bbt3[[#All],[METRIC_VALUE]])*0.5)+(_xlfn.XLOOKUP(1,(_bbt3[[#All],[ID]]=A1730)*(_bbt3[[#All],[METRIC_NAME]]="YLD_YTM_BID"),_bbt3[[#All],[METRIC_VALUE]])*0.5))/100,"")</f>
        <v/>
      </c>
      <c r="J1730">
        <f>IF(ISNA(VLOOKUP(A1730,'CloseDL - PriceSaverBBT3'!A:E,5,0)),0,VLOOKUP(A1730,'CloseDL - PriceSaverBBT3'!A:E,5,0))</f>
        <v>0</v>
      </c>
      <c r="K1730" s="7" t="str">
        <f t="shared" si="223"/>
        <v/>
      </c>
      <c r="L1730" s="20">
        <f>IF(Close[[#This Row],[CreatedBy]]="MARINER\SilverAdm",1,0)</f>
        <v>0</v>
      </c>
      <c r="M1730" t="str">
        <f>IF(NOT(ISBLANK(A1730)),VLOOKUP(A1730,'Close - PriceSaver'!A:J,6,0),"")</f>
        <v/>
      </c>
    </row>
    <row r="1731" spans="2:13" x14ac:dyDescent="0.35">
      <c r="B1731" t="str">
        <f>IF(NOT(ISBLANK(A1731)),VLOOKUP(A1731,'BBT3'!A:F,2,0),"")</f>
        <v/>
      </c>
      <c r="C1731" t="str">
        <f>IF(NOT(ISBLANK(A1731)),VLOOKUP(A1731,'BBT3'!A:F,3,0),"")</f>
        <v/>
      </c>
      <c r="D1731" s="5" t="str">
        <f>IF(NOT(ISBLANK(A1731)),VLOOKUP(A1731,'BBT3'!A:F,4,1),"")</f>
        <v/>
      </c>
      <c r="E1731" t="str">
        <f>IF(NOT(ISBLANK(A1731)),VLOOKUP(A1731,'BBT3'!A:F,5,0),"")</f>
        <v/>
      </c>
      <c r="F1731" t="str">
        <f>IF(NOT(ISBLANK(A1731)),VLOOKUP(A1731,'BBT3'!A:F,6,0),"")</f>
        <v/>
      </c>
      <c r="G1731" t="str">
        <f t="shared" ref="G1731:G1794" si="224">IF(NOT(ISBLANK(A1731)),IF(D1731=0,"Y","N"),"")</f>
        <v/>
      </c>
      <c r="H1731" t="str">
        <f>IF(NOT(ISBLANK(A1731)),VLOOKUP(A1731,'Close - PriceSaver'!A:J,5,0),"")</f>
        <v/>
      </c>
      <c r="I1731" s="4" t="str" cm="1">
        <f t="array" ref="I1731">IF(NOT(ISBLANK(A1731)),((_xlfn.XLOOKUP(1,(_bbt3[[#All],[ID]]=A1731)*(_bbt3[[#All],[METRIC_NAME]]="YLD_YTM_ASK"),_bbt3[[#All],[METRIC_VALUE]])*0.5)+(_xlfn.XLOOKUP(1,(_bbt3[[#All],[ID]]=A1731)*(_bbt3[[#All],[METRIC_NAME]]="YLD_YTM_BID"),_bbt3[[#All],[METRIC_VALUE]])*0.5))/100,"")</f>
        <v/>
      </c>
      <c r="J1731">
        <f>IF(ISNA(VLOOKUP(A1731,'CloseDL - PriceSaverBBT3'!A:E,5,0)),0,VLOOKUP(A1731,'CloseDL - PriceSaverBBT3'!A:E,5,0))</f>
        <v>0</v>
      </c>
      <c r="K1731" s="7" t="str">
        <f t="shared" ref="K1731:K1794" si="225">IF(ISNA(IF(NOT(ISBLANK(A1731)),ABS(H1731-J1731),"")),0,(IF(NOT(ISBLANK(A1731)),ABS(H1731-J1731)*10000,"")))</f>
        <v/>
      </c>
      <c r="L1731" s="20">
        <f>IF(Close[[#This Row],[CreatedBy]]="MARINER\SilverAdm",1,0)</f>
        <v>0</v>
      </c>
      <c r="M1731" t="str">
        <f>IF(NOT(ISBLANK(A1731)),VLOOKUP(A1731,'Close - PriceSaver'!A:J,6,0),"")</f>
        <v/>
      </c>
    </row>
    <row r="1732" spans="2:13" x14ac:dyDescent="0.35">
      <c r="B1732" t="str">
        <f>IF(NOT(ISBLANK(A1732)),VLOOKUP(A1732,'BBT3'!A:F,2,0),"")</f>
        <v/>
      </c>
      <c r="C1732" t="str">
        <f>IF(NOT(ISBLANK(A1732)),VLOOKUP(A1732,'BBT3'!A:F,3,0),"")</f>
        <v/>
      </c>
      <c r="D1732" s="5" t="str">
        <f>IF(NOT(ISBLANK(A1732)),VLOOKUP(A1732,'BBT3'!A:F,4,1),"")</f>
        <v/>
      </c>
      <c r="E1732" t="str">
        <f>IF(NOT(ISBLANK(A1732)),VLOOKUP(A1732,'BBT3'!A:F,5,0),"")</f>
        <v/>
      </c>
      <c r="F1732" t="str">
        <f>IF(NOT(ISBLANK(A1732)),VLOOKUP(A1732,'BBT3'!A:F,6,0),"")</f>
        <v/>
      </c>
      <c r="G1732" t="str">
        <f t="shared" si="224"/>
        <v/>
      </c>
      <c r="H1732" t="str">
        <f>IF(NOT(ISBLANK(A1732)),VLOOKUP(A1732,'Close - PriceSaver'!A:J,5,0),"")</f>
        <v/>
      </c>
      <c r="I1732" s="4" t="str" cm="1">
        <f t="array" ref="I1732">IF(NOT(ISBLANK(A1732)),((_xlfn.XLOOKUP(1,(_bbt3[[#All],[ID]]=A1732)*(_bbt3[[#All],[METRIC_NAME]]="YLD_YTM_ASK"),_bbt3[[#All],[METRIC_VALUE]])*0.5)+(_xlfn.XLOOKUP(1,(_bbt3[[#All],[ID]]=A1732)*(_bbt3[[#All],[METRIC_NAME]]="YLD_YTM_BID"),_bbt3[[#All],[METRIC_VALUE]])*0.5))/100,"")</f>
        <v/>
      </c>
      <c r="J1732">
        <f>IF(ISNA(VLOOKUP(A1732,'CloseDL - PriceSaverBBT3'!A:E,5,0)),0,VLOOKUP(A1732,'CloseDL - PriceSaverBBT3'!A:E,5,0))</f>
        <v>0</v>
      </c>
      <c r="K1732" s="7" t="str">
        <f t="shared" si="225"/>
        <v/>
      </c>
      <c r="L1732" s="20">
        <f>IF(Close[[#This Row],[CreatedBy]]="MARINER\SilverAdm",1,0)</f>
        <v>0</v>
      </c>
      <c r="M1732" t="str">
        <f>IF(NOT(ISBLANK(A1732)),VLOOKUP(A1732,'Close - PriceSaver'!A:J,6,0),"")</f>
        <v/>
      </c>
    </row>
    <row r="1733" spans="2:13" x14ac:dyDescent="0.35">
      <c r="B1733" t="str">
        <f>IF(NOT(ISBLANK(A1733)),VLOOKUP(A1733,'BBT3'!A:F,2,0),"")</f>
        <v/>
      </c>
      <c r="C1733" t="str">
        <f>IF(NOT(ISBLANK(A1733)),VLOOKUP(A1733,'BBT3'!A:F,3,0),"")</f>
        <v/>
      </c>
      <c r="D1733" s="5" t="str">
        <f>IF(NOT(ISBLANK(A1733)),VLOOKUP(A1733,'BBT3'!A:F,4,1),"")</f>
        <v/>
      </c>
      <c r="E1733" t="str">
        <f>IF(NOT(ISBLANK(A1733)),VLOOKUP(A1733,'BBT3'!A:F,5,0),"")</f>
        <v/>
      </c>
      <c r="F1733" t="str">
        <f>IF(NOT(ISBLANK(A1733)),VLOOKUP(A1733,'BBT3'!A:F,6,0),"")</f>
        <v/>
      </c>
      <c r="G1733" t="str">
        <f t="shared" si="224"/>
        <v/>
      </c>
      <c r="H1733" t="str">
        <f>IF(NOT(ISBLANK(A1733)),VLOOKUP(A1733,'Close - PriceSaver'!A:J,5,0),"")</f>
        <v/>
      </c>
      <c r="I1733" s="4" t="str" cm="1">
        <f t="array" ref="I1733">IF(NOT(ISBLANK(A1733)),((_xlfn.XLOOKUP(1,(_bbt3[[#All],[ID]]=A1733)*(_bbt3[[#All],[METRIC_NAME]]="YLD_YTM_ASK"),_bbt3[[#All],[METRIC_VALUE]])*0.5)+(_xlfn.XLOOKUP(1,(_bbt3[[#All],[ID]]=A1733)*(_bbt3[[#All],[METRIC_NAME]]="YLD_YTM_BID"),_bbt3[[#All],[METRIC_VALUE]])*0.5))/100,"")</f>
        <v/>
      </c>
      <c r="J1733">
        <f>IF(ISNA(VLOOKUP(A1733,'CloseDL - PriceSaverBBT3'!A:E,5,0)),0,VLOOKUP(A1733,'CloseDL - PriceSaverBBT3'!A:E,5,0))</f>
        <v>0</v>
      </c>
      <c r="K1733" s="7" t="str">
        <f t="shared" si="225"/>
        <v/>
      </c>
      <c r="L1733" s="20">
        <f>IF(Close[[#This Row],[CreatedBy]]="MARINER\SilverAdm",1,0)</f>
        <v>1</v>
      </c>
      <c r="M1733" t="str">
        <f>IF(NOT(ISBLANK(A1733)),VLOOKUP(A1733,'Close - PriceSaver'!A:J,6,0),"")</f>
        <v/>
      </c>
    </row>
    <row r="1734" spans="2:13" x14ac:dyDescent="0.35">
      <c r="B1734" t="str">
        <f>IF(NOT(ISBLANK(A1734)),VLOOKUP(A1734,'BBT3'!A:F,2,0),"")</f>
        <v/>
      </c>
      <c r="C1734" t="str">
        <f>IF(NOT(ISBLANK(A1734)),VLOOKUP(A1734,'BBT3'!A:F,3,0),"")</f>
        <v/>
      </c>
      <c r="D1734" s="5" t="str">
        <f>IF(NOT(ISBLANK(A1734)),VLOOKUP(A1734,'BBT3'!A:F,4,1),"")</f>
        <v/>
      </c>
      <c r="E1734" t="str">
        <f>IF(NOT(ISBLANK(A1734)),VLOOKUP(A1734,'BBT3'!A:F,5,0),"")</f>
        <v/>
      </c>
      <c r="F1734" t="str">
        <f>IF(NOT(ISBLANK(A1734)),VLOOKUP(A1734,'BBT3'!A:F,6,0),"")</f>
        <v/>
      </c>
      <c r="G1734" t="str">
        <f t="shared" si="224"/>
        <v/>
      </c>
      <c r="H1734" t="str">
        <f>IF(NOT(ISBLANK(A1734)),VLOOKUP(A1734,'Close - PriceSaver'!A:J,5,0),"")</f>
        <v/>
      </c>
      <c r="I1734" s="4" t="str" cm="1">
        <f t="array" ref="I1734">IF(NOT(ISBLANK(A1734)),((_xlfn.XLOOKUP(1,(_bbt3[[#All],[ID]]=A1734)*(_bbt3[[#All],[METRIC_NAME]]="YLD_YTM_ASK"),_bbt3[[#All],[METRIC_VALUE]])*0.5)+(_xlfn.XLOOKUP(1,(_bbt3[[#All],[ID]]=A1734)*(_bbt3[[#All],[METRIC_NAME]]="YLD_YTM_BID"),_bbt3[[#All],[METRIC_VALUE]])*0.5))/100,"")</f>
        <v/>
      </c>
      <c r="J1734">
        <f>IF(ISNA(VLOOKUP(A1734,'CloseDL - PriceSaverBBT3'!A:E,5,0)),0,VLOOKUP(A1734,'CloseDL - PriceSaverBBT3'!A:E,5,0))</f>
        <v>0</v>
      </c>
      <c r="K1734" s="7" t="str">
        <f t="shared" si="225"/>
        <v/>
      </c>
      <c r="L1734" s="20">
        <f>IF(Close[[#This Row],[CreatedBy]]="MARINER\SilverAdm",1,0)</f>
        <v>0</v>
      </c>
      <c r="M1734" t="str">
        <f>IF(NOT(ISBLANK(A1734)),VLOOKUP(A1734,'Close - PriceSaver'!A:J,6,0),"")</f>
        <v/>
      </c>
    </row>
    <row r="1735" spans="2:13" x14ac:dyDescent="0.35">
      <c r="B1735" t="str">
        <f>IF(NOT(ISBLANK(A1735)),VLOOKUP(A1735,'BBT3'!A:F,2,0),"")</f>
        <v/>
      </c>
      <c r="C1735" t="str">
        <f>IF(NOT(ISBLANK(A1735)),VLOOKUP(A1735,'BBT3'!A:F,3,0),"")</f>
        <v/>
      </c>
      <c r="D1735" s="5" t="str">
        <f>IF(NOT(ISBLANK(A1735)),VLOOKUP(A1735,'BBT3'!A:F,4,1),"")</f>
        <v/>
      </c>
      <c r="E1735" t="str">
        <f>IF(NOT(ISBLANK(A1735)),VLOOKUP(A1735,'BBT3'!A:F,5,0),"")</f>
        <v/>
      </c>
      <c r="F1735" t="str">
        <f>IF(NOT(ISBLANK(A1735)),VLOOKUP(A1735,'BBT3'!A:F,6,0),"")</f>
        <v/>
      </c>
      <c r="G1735" t="str">
        <f t="shared" si="224"/>
        <v/>
      </c>
      <c r="H1735" t="str">
        <f>IF(NOT(ISBLANK(A1735)),VLOOKUP(A1735,'Close - PriceSaver'!A:J,5,0),"")</f>
        <v/>
      </c>
      <c r="I1735" s="4" t="str" cm="1">
        <f t="array" ref="I1735">IF(NOT(ISBLANK(A1735)),((_xlfn.XLOOKUP(1,(_bbt3[[#All],[ID]]=A1735)*(_bbt3[[#All],[METRIC_NAME]]="YLD_YTM_ASK"),_bbt3[[#All],[METRIC_VALUE]])*0.5)+(_xlfn.XLOOKUP(1,(_bbt3[[#All],[ID]]=A1735)*(_bbt3[[#All],[METRIC_NAME]]="YLD_YTM_BID"),_bbt3[[#All],[METRIC_VALUE]])*0.5))/100,"")</f>
        <v/>
      </c>
      <c r="J1735">
        <f>IF(ISNA(VLOOKUP(A1735,'CloseDL - PriceSaverBBT3'!A:E,5,0)),0,VLOOKUP(A1735,'CloseDL - PriceSaverBBT3'!A:E,5,0))</f>
        <v>0</v>
      </c>
      <c r="K1735" s="7" t="str">
        <f t="shared" si="225"/>
        <v/>
      </c>
      <c r="L1735" s="20">
        <f>IF(Close[[#This Row],[CreatedBy]]="MARINER\SilverAdm",1,0)</f>
        <v>1</v>
      </c>
      <c r="M1735" t="str">
        <f>IF(NOT(ISBLANK(A1735)),VLOOKUP(A1735,'Close - PriceSaver'!A:J,6,0),"")</f>
        <v/>
      </c>
    </row>
    <row r="1736" spans="2:13" x14ac:dyDescent="0.35">
      <c r="B1736" t="str">
        <f>IF(NOT(ISBLANK(A1736)),VLOOKUP(A1736,'BBT3'!A:F,2,0),"")</f>
        <v/>
      </c>
      <c r="C1736" t="str">
        <f>IF(NOT(ISBLANK(A1736)),VLOOKUP(A1736,'BBT3'!A:F,3,0),"")</f>
        <v/>
      </c>
      <c r="D1736" s="5" t="str">
        <f>IF(NOT(ISBLANK(A1736)),VLOOKUP(A1736,'BBT3'!A:F,4,1),"")</f>
        <v/>
      </c>
      <c r="E1736" t="str">
        <f>IF(NOT(ISBLANK(A1736)),VLOOKUP(A1736,'BBT3'!A:F,5,0),"")</f>
        <v/>
      </c>
      <c r="F1736" t="str">
        <f>IF(NOT(ISBLANK(A1736)),VLOOKUP(A1736,'BBT3'!A:F,6,0),"")</f>
        <v/>
      </c>
      <c r="G1736" t="str">
        <f t="shared" si="224"/>
        <v/>
      </c>
      <c r="H1736" t="str">
        <f>IF(NOT(ISBLANK(A1736)),VLOOKUP(A1736,'Close - PriceSaver'!A:J,5,0),"")</f>
        <v/>
      </c>
      <c r="I1736" s="4" t="str" cm="1">
        <f t="array" ref="I1736">IF(NOT(ISBLANK(A1736)),((_xlfn.XLOOKUP(1,(_bbt3[[#All],[ID]]=A1736)*(_bbt3[[#All],[METRIC_NAME]]="YLD_YTM_ASK"),_bbt3[[#All],[METRIC_VALUE]])*0.5)+(_xlfn.XLOOKUP(1,(_bbt3[[#All],[ID]]=A1736)*(_bbt3[[#All],[METRIC_NAME]]="YLD_YTM_BID"),_bbt3[[#All],[METRIC_VALUE]])*0.5))/100,"")</f>
        <v/>
      </c>
      <c r="J1736">
        <f>IF(ISNA(VLOOKUP(A1736,'CloseDL - PriceSaverBBT3'!A:E,5,0)),0,VLOOKUP(A1736,'CloseDL - PriceSaverBBT3'!A:E,5,0))</f>
        <v>0</v>
      </c>
      <c r="K1736" s="7" t="str">
        <f t="shared" si="225"/>
        <v/>
      </c>
      <c r="L1736" s="20">
        <f>IF(Close[[#This Row],[CreatedBy]]="MARINER\SilverAdm",1,0)</f>
        <v>1</v>
      </c>
      <c r="M1736" t="str">
        <f>IF(NOT(ISBLANK(A1736)),VLOOKUP(A1736,'Close - PriceSaver'!A:J,6,0),"")</f>
        <v/>
      </c>
    </row>
    <row r="1737" spans="2:13" x14ac:dyDescent="0.35">
      <c r="B1737" t="str">
        <f>IF(NOT(ISBLANK(A1737)),VLOOKUP(A1737,'BBT3'!A:F,2,0),"")</f>
        <v/>
      </c>
      <c r="C1737" t="str">
        <f>IF(NOT(ISBLANK(A1737)),VLOOKUP(A1737,'BBT3'!A:F,3,0),"")</f>
        <v/>
      </c>
      <c r="D1737" s="5" t="str">
        <f>IF(NOT(ISBLANK(A1737)),VLOOKUP(A1737,'BBT3'!A:F,4,1),"")</f>
        <v/>
      </c>
      <c r="E1737" t="str">
        <f>IF(NOT(ISBLANK(A1737)),VLOOKUP(A1737,'BBT3'!A:F,5,0),"")</f>
        <v/>
      </c>
      <c r="F1737" t="str">
        <f>IF(NOT(ISBLANK(A1737)),VLOOKUP(A1737,'BBT3'!A:F,6,0),"")</f>
        <v/>
      </c>
      <c r="G1737" t="str">
        <f t="shared" si="224"/>
        <v/>
      </c>
      <c r="H1737" t="str">
        <f>IF(NOT(ISBLANK(A1737)),VLOOKUP(A1737,'Close - PriceSaver'!A:J,5,0),"")</f>
        <v/>
      </c>
      <c r="I1737" s="4" t="str" cm="1">
        <f t="array" ref="I1737">IF(NOT(ISBLANK(A1737)),((_xlfn.XLOOKUP(1,(_bbt3[[#All],[ID]]=A1737)*(_bbt3[[#All],[METRIC_NAME]]="YLD_YTM_ASK"),_bbt3[[#All],[METRIC_VALUE]])*0.5)+(_xlfn.XLOOKUP(1,(_bbt3[[#All],[ID]]=A1737)*(_bbt3[[#All],[METRIC_NAME]]="YLD_YTM_BID"),_bbt3[[#All],[METRIC_VALUE]])*0.5))/100,"")</f>
        <v/>
      </c>
      <c r="J1737">
        <f>IF(ISNA(VLOOKUP(A1737,'CloseDL - PriceSaverBBT3'!A:E,5,0)),0,VLOOKUP(A1737,'CloseDL - PriceSaverBBT3'!A:E,5,0))</f>
        <v>0</v>
      </c>
      <c r="K1737" s="7" t="str">
        <f t="shared" si="225"/>
        <v/>
      </c>
      <c r="L1737" s="20">
        <f>IF(Close[[#This Row],[CreatedBy]]="MARINER\SilverAdm",1,0)</f>
        <v>0</v>
      </c>
      <c r="M1737" t="str">
        <f>IF(NOT(ISBLANK(A1737)),VLOOKUP(A1737,'Close - PriceSaver'!A:J,6,0),"")</f>
        <v/>
      </c>
    </row>
    <row r="1738" spans="2:13" x14ac:dyDescent="0.35">
      <c r="B1738" t="str">
        <f>IF(NOT(ISBLANK(A1738)),VLOOKUP(A1738,'BBT3'!A:F,2,0),"")</f>
        <v/>
      </c>
      <c r="C1738" t="str">
        <f>IF(NOT(ISBLANK(A1738)),VLOOKUP(A1738,'BBT3'!A:F,3,0),"")</f>
        <v/>
      </c>
      <c r="D1738" s="5" t="str">
        <f>IF(NOT(ISBLANK(A1738)),VLOOKUP(A1738,'BBT3'!A:F,4,1),"")</f>
        <v/>
      </c>
      <c r="E1738" t="str">
        <f>IF(NOT(ISBLANK(A1738)),VLOOKUP(A1738,'BBT3'!A:F,5,0),"")</f>
        <v/>
      </c>
      <c r="F1738" t="str">
        <f>IF(NOT(ISBLANK(A1738)),VLOOKUP(A1738,'BBT3'!A:F,6,0),"")</f>
        <v/>
      </c>
      <c r="G1738" t="str">
        <f t="shared" si="224"/>
        <v/>
      </c>
      <c r="H1738" t="str">
        <f>IF(NOT(ISBLANK(A1738)),VLOOKUP(A1738,'Close - PriceSaver'!A:J,5,0),"")</f>
        <v/>
      </c>
      <c r="I1738" s="4" t="str" cm="1">
        <f t="array" ref="I1738">IF(NOT(ISBLANK(A1738)),((_xlfn.XLOOKUP(1,(_bbt3[[#All],[ID]]=A1738)*(_bbt3[[#All],[METRIC_NAME]]="YLD_YTM_ASK"),_bbt3[[#All],[METRIC_VALUE]])*0.5)+(_xlfn.XLOOKUP(1,(_bbt3[[#All],[ID]]=A1738)*(_bbt3[[#All],[METRIC_NAME]]="YLD_YTM_BID"),_bbt3[[#All],[METRIC_VALUE]])*0.5))/100,"")</f>
        <v/>
      </c>
      <c r="J1738">
        <f>IF(ISNA(VLOOKUP(A1738,'CloseDL - PriceSaverBBT3'!A:E,5,0)),0,VLOOKUP(A1738,'CloseDL - PriceSaverBBT3'!A:E,5,0))</f>
        <v>0</v>
      </c>
      <c r="K1738" s="7" t="str">
        <f t="shared" si="225"/>
        <v/>
      </c>
      <c r="L1738" s="20">
        <f>IF(Close[[#This Row],[CreatedBy]]="MARINER\SilverAdm",1,0)</f>
        <v>0</v>
      </c>
      <c r="M1738" t="str">
        <f>IF(NOT(ISBLANK(A1738)),VLOOKUP(A1738,'Close - PriceSaver'!A:J,6,0),"")</f>
        <v/>
      </c>
    </row>
    <row r="1739" spans="2:13" x14ac:dyDescent="0.35">
      <c r="B1739" t="str">
        <f>IF(NOT(ISBLANK(A1739)),VLOOKUP(A1739,'BBT3'!A:F,2,0),"")</f>
        <v/>
      </c>
      <c r="C1739" t="str">
        <f>IF(NOT(ISBLANK(A1739)),VLOOKUP(A1739,'BBT3'!A:F,3,0),"")</f>
        <v/>
      </c>
      <c r="D1739" s="5" t="str">
        <f>IF(NOT(ISBLANK(A1739)),VLOOKUP(A1739,'BBT3'!A:F,4,1),"")</f>
        <v/>
      </c>
      <c r="E1739" t="str">
        <f>IF(NOT(ISBLANK(A1739)),VLOOKUP(A1739,'BBT3'!A:F,5,0),"")</f>
        <v/>
      </c>
      <c r="F1739" t="str">
        <f>IF(NOT(ISBLANK(A1739)),VLOOKUP(A1739,'BBT3'!A:F,6,0),"")</f>
        <v/>
      </c>
      <c r="G1739" t="str">
        <f t="shared" si="224"/>
        <v/>
      </c>
      <c r="H1739" t="str">
        <f>IF(NOT(ISBLANK(A1739)),VLOOKUP(A1739,'Close - PriceSaver'!A:J,5,0),"")</f>
        <v/>
      </c>
      <c r="I1739" s="4" t="str" cm="1">
        <f t="array" ref="I1739">IF(NOT(ISBLANK(A1739)),((_xlfn.XLOOKUP(1,(_bbt3[[#All],[ID]]=A1739)*(_bbt3[[#All],[METRIC_NAME]]="YLD_YTM_ASK"),_bbt3[[#All],[METRIC_VALUE]])*0.5)+(_xlfn.XLOOKUP(1,(_bbt3[[#All],[ID]]=A1739)*(_bbt3[[#All],[METRIC_NAME]]="YLD_YTM_BID"),_bbt3[[#All],[METRIC_VALUE]])*0.5))/100,"")</f>
        <v/>
      </c>
      <c r="J1739">
        <f>IF(ISNA(VLOOKUP(A1739,'CloseDL - PriceSaverBBT3'!A:E,5,0)),0,VLOOKUP(A1739,'CloseDL - PriceSaverBBT3'!A:E,5,0))</f>
        <v>0</v>
      </c>
      <c r="K1739" s="7" t="str">
        <f t="shared" si="225"/>
        <v/>
      </c>
      <c r="L1739" s="20">
        <f>IF(Close[[#This Row],[CreatedBy]]="MARINER\SilverAdm",1,0)</f>
        <v>0</v>
      </c>
      <c r="M1739" t="str">
        <f>IF(NOT(ISBLANK(A1739)),VLOOKUP(A1739,'Close - PriceSaver'!A:J,6,0),"")</f>
        <v/>
      </c>
    </row>
    <row r="1740" spans="2:13" x14ac:dyDescent="0.35">
      <c r="B1740" t="str">
        <f>IF(NOT(ISBLANK(A1740)),VLOOKUP(A1740,'BBT3'!A:F,2,0),"")</f>
        <v/>
      </c>
      <c r="C1740" t="str">
        <f>IF(NOT(ISBLANK(A1740)),VLOOKUP(A1740,'BBT3'!A:F,3,0),"")</f>
        <v/>
      </c>
      <c r="D1740" s="5" t="str">
        <f>IF(NOT(ISBLANK(A1740)),VLOOKUP(A1740,'BBT3'!A:F,4,1),"")</f>
        <v/>
      </c>
      <c r="E1740" t="str">
        <f>IF(NOT(ISBLANK(A1740)),VLOOKUP(A1740,'BBT3'!A:F,5,0),"")</f>
        <v/>
      </c>
      <c r="F1740" t="str">
        <f>IF(NOT(ISBLANK(A1740)),VLOOKUP(A1740,'BBT3'!A:F,6,0),"")</f>
        <v/>
      </c>
      <c r="G1740" t="str">
        <f t="shared" si="224"/>
        <v/>
      </c>
      <c r="H1740" t="str">
        <f>IF(NOT(ISBLANK(A1740)),VLOOKUP(A1740,'Close - PriceSaver'!A:J,5,0),"")</f>
        <v/>
      </c>
      <c r="I1740" s="4" t="str" cm="1">
        <f t="array" ref="I1740">IF(NOT(ISBLANK(A1740)),((_xlfn.XLOOKUP(1,(_bbt3[[#All],[ID]]=A1740)*(_bbt3[[#All],[METRIC_NAME]]="YLD_YTM_ASK"),_bbt3[[#All],[METRIC_VALUE]])*0.5)+(_xlfn.XLOOKUP(1,(_bbt3[[#All],[ID]]=A1740)*(_bbt3[[#All],[METRIC_NAME]]="YLD_YTM_BID"),_bbt3[[#All],[METRIC_VALUE]])*0.5))/100,"")</f>
        <v/>
      </c>
      <c r="J1740">
        <f>IF(ISNA(VLOOKUP(A1740,'CloseDL - PriceSaverBBT3'!A:E,5,0)),0,VLOOKUP(A1740,'CloseDL - PriceSaverBBT3'!A:E,5,0))</f>
        <v>0</v>
      </c>
      <c r="K1740" s="7" t="str">
        <f t="shared" si="225"/>
        <v/>
      </c>
      <c r="L1740" s="20">
        <f>IF(Close[[#This Row],[CreatedBy]]="MARINER\SilverAdm",1,0)</f>
        <v>0</v>
      </c>
      <c r="M1740" t="str">
        <f>IF(NOT(ISBLANK(A1740)),VLOOKUP(A1740,'Close - PriceSaver'!A:J,6,0),"")</f>
        <v/>
      </c>
    </row>
    <row r="1741" spans="2:13" x14ac:dyDescent="0.35">
      <c r="B1741" t="str">
        <f>IF(NOT(ISBLANK(A1741)),VLOOKUP(A1741,'BBT3'!A:F,2,0),"")</f>
        <v/>
      </c>
      <c r="C1741" t="str">
        <f>IF(NOT(ISBLANK(A1741)),VLOOKUP(A1741,'BBT3'!A:F,3,0),"")</f>
        <v/>
      </c>
      <c r="D1741" s="5" t="str">
        <f>IF(NOT(ISBLANK(A1741)),VLOOKUP(A1741,'BBT3'!A:F,4,1),"")</f>
        <v/>
      </c>
      <c r="E1741" t="str">
        <f>IF(NOT(ISBLANK(A1741)),VLOOKUP(A1741,'BBT3'!A:F,5,0),"")</f>
        <v/>
      </c>
      <c r="F1741" t="str">
        <f>IF(NOT(ISBLANK(A1741)),VLOOKUP(A1741,'BBT3'!A:F,6,0),"")</f>
        <v/>
      </c>
      <c r="G1741" t="str">
        <f t="shared" si="224"/>
        <v/>
      </c>
      <c r="H1741" t="str">
        <f>IF(NOT(ISBLANK(A1741)),VLOOKUP(A1741,'Close - PriceSaver'!A:J,5,0),"")</f>
        <v/>
      </c>
      <c r="I1741" s="4" t="str" cm="1">
        <f t="array" ref="I1741">IF(NOT(ISBLANK(A1741)),((_xlfn.XLOOKUP(1,(_bbt3[[#All],[ID]]=A1741)*(_bbt3[[#All],[METRIC_NAME]]="YLD_YTM_ASK"),_bbt3[[#All],[METRIC_VALUE]])*0.5)+(_xlfn.XLOOKUP(1,(_bbt3[[#All],[ID]]=A1741)*(_bbt3[[#All],[METRIC_NAME]]="YLD_YTM_BID"),_bbt3[[#All],[METRIC_VALUE]])*0.5))/100,"")</f>
        <v/>
      </c>
      <c r="J1741">
        <f>IF(ISNA(VLOOKUP(A1741,'CloseDL - PriceSaverBBT3'!A:E,5,0)),0,VLOOKUP(A1741,'CloseDL - PriceSaverBBT3'!A:E,5,0))</f>
        <v>0</v>
      </c>
      <c r="K1741" s="7" t="str">
        <f t="shared" si="225"/>
        <v/>
      </c>
      <c r="L1741" s="20">
        <f>IF(Close[[#This Row],[CreatedBy]]="MARINER\SilverAdm",1,0)</f>
        <v>0</v>
      </c>
      <c r="M1741" t="str">
        <f>IF(NOT(ISBLANK(A1741)),VLOOKUP(A1741,'Close - PriceSaver'!A:J,6,0),"")</f>
        <v/>
      </c>
    </row>
    <row r="1742" spans="2:13" x14ac:dyDescent="0.35">
      <c r="B1742" t="str">
        <f>IF(NOT(ISBLANK(A1742)),VLOOKUP(A1742,'BBT3'!A:F,2,0),"")</f>
        <v/>
      </c>
      <c r="C1742" t="str">
        <f>IF(NOT(ISBLANK(A1742)),VLOOKUP(A1742,'BBT3'!A:F,3,0),"")</f>
        <v/>
      </c>
      <c r="D1742" s="5" t="str">
        <f>IF(NOT(ISBLANK(A1742)),VLOOKUP(A1742,'BBT3'!A:F,4,1),"")</f>
        <v/>
      </c>
      <c r="E1742" t="str">
        <f>IF(NOT(ISBLANK(A1742)),VLOOKUP(A1742,'BBT3'!A:F,5,0),"")</f>
        <v/>
      </c>
      <c r="F1742" t="str">
        <f>IF(NOT(ISBLANK(A1742)),VLOOKUP(A1742,'BBT3'!A:F,6,0),"")</f>
        <v/>
      </c>
      <c r="G1742" t="str">
        <f t="shared" si="224"/>
        <v/>
      </c>
      <c r="H1742" t="str">
        <f>IF(NOT(ISBLANK(A1742)),VLOOKUP(A1742,'Close - PriceSaver'!A:J,5,0),"")</f>
        <v/>
      </c>
      <c r="I1742" s="4" t="str" cm="1">
        <f t="array" ref="I1742">IF(NOT(ISBLANK(A1742)),((_xlfn.XLOOKUP(1,(_bbt3[[#All],[ID]]=A1742)*(_bbt3[[#All],[METRIC_NAME]]="YLD_YTM_ASK"),_bbt3[[#All],[METRIC_VALUE]])*0.5)+(_xlfn.XLOOKUP(1,(_bbt3[[#All],[ID]]=A1742)*(_bbt3[[#All],[METRIC_NAME]]="YLD_YTM_BID"),_bbt3[[#All],[METRIC_VALUE]])*0.5))/100,"")</f>
        <v/>
      </c>
      <c r="J1742">
        <f>IF(ISNA(VLOOKUP(A1742,'CloseDL - PriceSaverBBT3'!A:E,5,0)),0,VLOOKUP(A1742,'CloseDL - PriceSaverBBT3'!A:E,5,0))</f>
        <v>0</v>
      </c>
      <c r="K1742" s="7" t="str">
        <f t="shared" si="225"/>
        <v/>
      </c>
      <c r="L1742" s="20">
        <f>IF(Close[[#This Row],[CreatedBy]]="MARINER\SilverAdm",1,0)</f>
        <v>0</v>
      </c>
      <c r="M1742" t="str">
        <f>IF(NOT(ISBLANK(A1742)),VLOOKUP(A1742,'Close - PriceSaver'!A:J,6,0),"")</f>
        <v/>
      </c>
    </row>
    <row r="1743" spans="2:13" x14ac:dyDescent="0.35">
      <c r="B1743" t="str">
        <f>IF(NOT(ISBLANK(A1743)),VLOOKUP(A1743,'BBT3'!A:F,2,0),"")</f>
        <v/>
      </c>
      <c r="C1743" t="str">
        <f>IF(NOT(ISBLANK(A1743)),VLOOKUP(A1743,'BBT3'!A:F,3,0),"")</f>
        <v/>
      </c>
      <c r="D1743" s="5" t="str">
        <f>IF(NOT(ISBLANK(A1743)),VLOOKUP(A1743,'BBT3'!A:F,4,1),"")</f>
        <v/>
      </c>
      <c r="E1743" t="str">
        <f>IF(NOT(ISBLANK(A1743)),VLOOKUP(A1743,'BBT3'!A:F,5,0),"")</f>
        <v/>
      </c>
      <c r="F1743" t="str">
        <f>IF(NOT(ISBLANK(A1743)),VLOOKUP(A1743,'BBT3'!A:F,6,0),"")</f>
        <v/>
      </c>
      <c r="G1743" t="str">
        <f t="shared" si="224"/>
        <v/>
      </c>
      <c r="H1743" t="str">
        <f>IF(NOT(ISBLANK(A1743)),VLOOKUP(A1743,'Close - PriceSaver'!A:J,5,0),"")</f>
        <v/>
      </c>
      <c r="I1743" s="4" t="str" cm="1">
        <f t="array" ref="I1743">IF(NOT(ISBLANK(A1743)),((_xlfn.XLOOKUP(1,(_bbt3[[#All],[ID]]=A1743)*(_bbt3[[#All],[METRIC_NAME]]="YLD_YTM_ASK"),_bbt3[[#All],[METRIC_VALUE]])*0.5)+(_xlfn.XLOOKUP(1,(_bbt3[[#All],[ID]]=A1743)*(_bbt3[[#All],[METRIC_NAME]]="YLD_YTM_BID"),_bbt3[[#All],[METRIC_VALUE]])*0.5))/100,"")</f>
        <v/>
      </c>
      <c r="J1743">
        <f>IF(ISNA(VLOOKUP(A1743,'CloseDL - PriceSaverBBT3'!A:E,5,0)),0,VLOOKUP(A1743,'CloseDL - PriceSaverBBT3'!A:E,5,0))</f>
        <v>0</v>
      </c>
      <c r="K1743" s="7" t="str">
        <f t="shared" si="225"/>
        <v/>
      </c>
      <c r="L1743" s="20">
        <f>IF(Close[[#This Row],[CreatedBy]]="MARINER\SilverAdm",1,0)</f>
        <v>0</v>
      </c>
      <c r="M1743" t="str">
        <f>IF(NOT(ISBLANK(A1743)),VLOOKUP(A1743,'Close - PriceSaver'!A:J,6,0),"")</f>
        <v/>
      </c>
    </row>
    <row r="1744" spans="2:13" x14ac:dyDescent="0.35">
      <c r="B1744" t="str">
        <f>IF(NOT(ISBLANK(A1744)),VLOOKUP(A1744,'BBT3'!A:F,2,0),"")</f>
        <v/>
      </c>
      <c r="C1744" t="str">
        <f>IF(NOT(ISBLANK(A1744)),VLOOKUP(A1744,'BBT3'!A:F,3,0),"")</f>
        <v/>
      </c>
      <c r="D1744" s="5" t="str">
        <f>IF(NOT(ISBLANK(A1744)),VLOOKUP(A1744,'BBT3'!A:F,4,1),"")</f>
        <v/>
      </c>
      <c r="E1744" t="str">
        <f>IF(NOT(ISBLANK(A1744)),VLOOKUP(A1744,'BBT3'!A:F,5,0),"")</f>
        <v/>
      </c>
      <c r="F1744" t="str">
        <f>IF(NOT(ISBLANK(A1744)),VLOOKUP(A1744,'BBT3'!A:F,6,0),"")</f>
        <v/>
      </c>
      <c r="G1744" t="str">
        <f t="shared" si="224"/>
        <v/>
      </c>
      <c r="H1744" t="str">
        <f>IF(NOT(ISBLANK(A1744)),VLOOKUP(A1744,'Close - PriceSaver'!A:J,5,0),"")</f>
        <v/>
      </c>
      <c r="I1744" s="4" t="str" cm="1">
        <f t="array" ref="I1744">IF(NOT(ISBLANK(A1744)),((_xlfn.XLOOKUP(1,(_bbt3[[#All],[ID]]=A1744)*(_bbt3[[#All],[METRIC_NAME]]="YLD_YTM_ASK"),_bbt3[[#All],[METRIC_VALUE]])*0.5)+(_xlfn.XLOOKUP(1,(_bbt3[[#All],[ID]]=A1744)*(_bbt3[[#All],[METRIC_NAME]]="YLD_YTM_BID"),_bbt3[[#All],[METRIC_VALUE]])*0.5))/100,"")</f>
        <v/>
      </c>
      <c r="J1744">
        <f>IF(ISNA(VLOOKUP(A1744,'CloseDL - PriceSaverBBT3'!A:E,5,0)),0,VLOOKUP(A1744,'CloseDL - PriceSaverBBT3'!A:E,5,0))</f>
        <v>0</v>
      </c>
      <c r="K1744" s="7" t="str">
        <f t="shared" si="225"/>
        <v/>
      </c>
      <c r="L1744" s="20">
        <f>IF(Close[[#This Row],[CreatedBy]]="MARINER\SilverAdm",1,0)</f>
        <v>0</v>
      </c>
      <c r="M1744" t="str">
        <f>IF(NOT(ISBLANK(A1744)),VLOOKUP(A1744,'Close - PriceSaver'!A:J,6,0),"")</f>
        <v/>
      </c>
    </row>
    <row r="1745" spans="2:13" x14ac:dyDescent="0.35">
      <c r="B1745" t="str">
        <f>IF(NOT(ISBLANK(A1745)),VLOOKUP(A1745,'BBT3'!A:F,2,0),"")</f>
        <v/>
      </c>
      <c r="C1745" t="str">
        <f>IF(NOT(ISBLANK(A1745)),VLOOKUP(A1745,'BBT3'!A:F,3,0),"")</f>
        <v/>
      </c>
      <c r="D1745" s="5" t="str">
        <f>IF(NOT(ISBLANK(A1745)),VLOOKUP(A1745,'BBT3'!A:F,4,1),"")</f>
        <v/>
      </c>
      <c r="E1745" t="str">
        <f>IF(NOT(ISBLANK(A1745)),VLOOKUP(A1745,'BBT3'!A:F,5,0),"")</f>
        <v/>
      </c>
      <c r="F1745" t="str">
        <f>IF(NOT(ISBLANK(A1745)),VLOOKUP(A1745,'BBT3'!A:F,6,0),"")</f>
        <v/>
      </c>
      <c r="G1745" t="str">
        <f t="shared" si="224"/>
        <v/>
      </c>
      <c r="H1745" t="str">
        <f>IF(NOT(ISBLANK(A1745)),VLOOKUP(A1745,'Close - PriceSaver'!A:J,5,0),"")</f>
        <v/>
      </c>
      <c r="I1745" s="4" t="str" cm="1">
        <f t="array" ref="I1745">IF(NOT(ISBLANK(A1745)),((_xlfn.XLOOKUP(1,(_bbt3[[#All],[ID]]=A1745)*(_bbt3[[#All],[METRIC_NAME]]="YLD_YTM_ASK"),_bbt3[[#All],[METRIC_VALUE]])*0.5)+(_xlfn.XLOOKUP(1,(_bbt3[[#All],[ID]]=A1745)*(_bbt3[[#All],[METRIC_NAME]]="YLD_YTM_BID"),_bbt3[[#All],[METRIC_VALUE]])*0.5))/100,"")</f>
        <v/>
      </c>
      <c r="J1745">
        <f>IF(ISNA(VLOOKUP(A1745,'CloseDL - PriceSaverBBT3'!A:E,5,0)),0,VLOOKUP(A1745,'CloseDL - PriceSaverBBT3'!A:E,5,0))</f>
        <v>0</v>
      </c>
      <c r="K1745" s="7" t="str">
        <f t="shared" si="225"/>
        <v/>
      </c>
      <c r="L1745" s="20">
        <f>IF(Close[[#This Row],[CreatedBy]]="MARINER\SilverAdm",1,0)</f>
        <v>0</v>
      </c>
      <c r="M1745" t="str">
        <f>IF(NOT(ISBLANK(A1745)),VLOOKUP(A1745,'Close - PriceSaver'!A:J,6,0),"")</f>
        <v/>
      </c>
    </row>
    <row r="1746" spans="2:13" x14ac:dyDescent="0.35">
      <c r="B1746" t="str">
        <f>IF(NOT(ISBLANK(A1746)),VLOOKUP(A1746,'BBT3'!A:F,2,0),"")</f>
        <v/>
      </c>
      <c r="C1746" t="str">
        <f>IF(NOT(ISBLANK(A1746)),VLOOKUP(A1746,'BBT3'!A:F,3,0),"")</f>
        <v/>
      </c>
      <c r="D1746" s="5" t="str">
        <f>IF(NOT(ISBLANK(A1746)),VLOOKUP(A1746,'BBT3'!A:F,4,1),"")</f>
        <v/>
      </c>
      <c r="E1746" t="str">
        <f>IF(NOT(ISBLANK(A1746)),VLOOKUP(A1746,'BBT3'!A:F,5,0),"")</f>
        <v/>
      </c>
      <c r="F1746" t="str">
        <f>IF(NOT(ISBLANK(A1746)),VLOOKUP(A1746,'BBT3'!A:F,6,0),"")</f>
        <v/>
      </c>
      <c r="G1746" t="str">
        <f t="shared" si="224"/>
        <v/>
      </c>
      <c r="H1746" t="str">
        <f>IF(NOT(ISBLANK(A1746)),VLOOKUP(A1746,'Close - PriceSaver'!A:J,5,0),"")</f>
        <v/>
      </c>
      <c r="I1746" s="4" t="str" cm="1">
        <f t="array" ref="I1746">IF(NOT(ISBLANK(A1746)),((_xlfn.XLOOKUP(1,(_bbt3[[#All],[ID]]=A1746)*(_bbt3[[#All],[METRIC_NAME]]="YLD_YTM_ASK"),_bbt3[[#All],[METRIC_VALUE]])*0.5)+(_xlfn.XLOOKUP(1,(_bbt3[[#All],[ID]]=A1746)*(_bbt3[[#All],[METRIC_NAME]]="YLD_YTM_BID"),_bbt3[[#All],[METRIC_VALUE]])*0.5))/100,"")</f>
        <v/>
      </c>
      <c r="J1746">
        <f>IF(ISNA(VLOOKUP(A1746,'CloseDL - PriceSaverBBT3'!A:E,5,0)),0,VLOOKUP(A1746,'CloseDL - PriceSaverBBT3'!A:E,5,0))</f>
        <v>0</v>
      </c>
      <c r="K1746" s="7" t="str">
        <f t="shared" si="225"/>
        <v/>
      </c>
      <c r="L1746" s="20">
        <f>IF(Close[[#This Row],[CreatedBy]]="MARINER\SilverAdm",1,0)</f>
        <v>0</v>
      </c>
      <c r="M1746" t="str">
        <f>IF(NOT(ISBLANK(A1746)),VLOOKUP(A1746,'Close - PriceSaver'!A:J,6,0),"")</f>
        <v/>
      </c>
    </row>
    <row r="1747" spans="2:13" x14ac:dyDescent="0.35">
      <c r="B1747" t="str">
        <f>IF(NOT(ISBLANK(A1747)),VLOOKUP(A1747,'BBT3'!A:F,2,0),"")</f>
        <v/>
      </c>
      <c r="C1747" t="str">
        <f>IF(NOT(ISBLANK(A1747)),VLOOKUP(A1747,'BBT3'!A:F,3,0),"")</f>
        <v/>
      </c>
      <c r="D1747" s="5" t="str">
        <f>IF(NOT(ISBLANK(A1747)),VLOOKUP(A1747,'BBT3'!A:F,4,1),"")</f>
        <v/>
      </c>
      <c r="E1747" t="str">
        <f>IF(NOT(ISBLANK(A1747)),VLOOKUP(A1747,'BBT3'!A:F,5,0),"")</f>
        <v/>
      </c>
      <c r="F1747" t="str">
        <f>IF(NOT(ISBLANK(A1747)),VLOOKUP(A1747,'BBT3'!A:F,6,0),"")</f>
        <v/>
      </c>
      <c r="G1747" t="str">
        <f t="shared" si="224"/>
        <v/>
      </c>
      <c r="H1747" t="str">
        <f>IF(NOT(ISBLANK(A1747)),VLOOKUP(A1747,'Close - PriceSaver'!A:J,5,0),"")</f>
        <v/>
      </c>
      <c r="I1747" s="4" t="str" cm="1">
        <f t="array" ref="I1747">IF(NOT(ISBLANK(A1747)),((_xlfn.XLOOKUP(1,(_bbt3[[#All],[ID]]=A1747)*(_bbt3[[#All],[METRIC_NAME]]="YLD_YTM_ASK"),_bbt3[[#All],[METRIC_VALUE]])*0.5)+(_xlfn.XLOOKUP(1,(_bbt3[[#All],[ID]]=A1747)*(_bbt3[[#All],[METRIC_NAME]]="YLD_YTM_BID"),_bbt3[[#All],[METRIC_VALUE]])*0.5))/100,"")</f>
        <v/>
      </c>
      <c r="J1747">
        <f>IF(ISNA(VLOOKUP(A1747,'CloseDL - PriceSaverBBT3'!A:E,5,0)),0,VLOOKUP(A1747,'CloseDL - PriceSaverBBT3'!A:E,5,0))</f>
        <v>0</v>
      </c>
      <c r="K1747" s="7" t="str">
        <f t="shared" si="225"/>
        <v/>
      </c>
      <c r="L1747" s="20">
        <f>IF(Close[[#This Row],[CreatedBy]]="MARINER\SilverAdm",1,0)</f>
        <v>0</v>
      </c>
      <c r="M1747" t="str">
        <f>IF(NOT(ISBLANK(A1747)),VLOOKUP(A1747,'Close - PriceSaver'!A:J,6,0),"")</f>
        <v/>
      </c>
    </row>
    <row r="1748" spans="2:13" x14ac:dyDescent="0.35">
      <c r="B1748" t="str">
        <f>IF(NOT(ISBLANK(A1748)),VLOOKUP(A1748,'BBT3'!A:F,2,0),"")</f>
        <v/>
      </c>
      <c r="C1748" t="str">
        <f>IF(NOT(ISBLANK(A1748)),VLOOKUP(A1748,'BBT3'!A:F,3,0),"")</f>
        <v/>
      </c>
      <c r="D1748" s="5" t="str">
        <f>IF(NOT(ISBLANK(A1748)),VLOOKUP(A1748,'BBT3'!A:F,4,1),"")</f>
        <v/>
      </c>
      <c r="E1748" t="str">
        <f>IF(NOT(ISBLANK(A1748)),VLOOKUP(A1748,'BBT3'!A:F,5,0),"")</f>
        <v/>
      </c>
      <c r="F1748" t="str">
        <f>IF(NOT(ISBLANK(A1748)),VLOOKUP(A1748,'BBT3'!A:F,6,0),"")</f>
        <v/>
      </c>
      <c r="G1748" t="str">
        <f t="shared" si="224"/>
        <v/>
      </c>
      <c r="H1748" t="str">
        <f>IF(NOT(ISBLANK(A1748)),VLOOKUP(A1748,'Close - PriceSaver'!A:J,5,0),"")</f>
        <v/>
      </c>
      <c r="I1748" s="4" t="str" cm="1">
        <f t="array" ref="I1748">IF(NOT(ISBLANK(A1748)),((_xlfn.XLOOKUP(1,(_bbt3[[#All],[ID]]=A1748)*(_bbt3[[#All],[METRIC_NAME]]="YLD_YTM_ASK"),_bbt3[[#All],[METRIC_VALUE]])*0.5)+(_xlfn.XLOOKUP(1,(_bbt3[[#All],[ID]]=A1748)*(_bbt3[[#All],[METRIC_NAME]]="YLD_YTM_BID"),_bbt3[[#All],[METRIC_VALUE]])*0.5))/100,"")</f>
        <v/>
      </c>
      <c r="J1748">
        <f>IF(ISNA(VLOOKUP(A1748,'CloseDL - PriceSaverBBT3'!A:E,5,0)),0,VLOOKUP(A1748,'CloseDL - PriceSaverBBT3'!A:E,5,0))</f>
        <v>0</v>
      </c>
      <c r="K1748" s="7" t="str">
        <f t="shared" si="225"/>
        <v/>
      </c>
      <c r="L1748" s="20">
        <f>IF(Close[[#This Row],[CreatedBy]]="MARINER\SilverAdm",1,0)</f>
        <v>0</v>
      </c>
      <c r="M1748" t="str">
        <f>IF(NOT(ISBLANK(A1748)),VLOOKUP(A1748,'Close - PriceSaver'!A:J,6,0),"")</f>
        <v/>
      </c>
    </row>
    <row r="1749" spans="2:13" x14ac:dyDescent="0.35">
      <c r="B1749" t="str">
        <f>IF(NOT(ISBLANK(A1749)),VLOOKUP(A1749,'BBT3'!A:F,2,0),"")</f>
        <v/>
      </c>
      <c r="C1749" t="str">
        <f>IF(NOT(ISBLANK(A1749)),VLOOKUP(A1749,'BBT3'!A:F,3,0),"")</f>
        <v/>
      </c>
      <c r="D1749" s="5" t="str">
        <f>IF(NOT(ISBLANK(A1749)),VLOOKUP(A1749,'BBT3'!A:F,4,1),"")</f>
        <v/>
      </c>
      <c r="E1749" t="str">
        <f>IF(NOT(ISBLANK(A1749)),VLOOKUP(A1749,'BBT3'!A:F,5,0),"")</f>
        <v/>
      </c>
      <c r="F1749" t="str">
        <f>IF(NOT(ISBLANK(A1749)),VLOOKUP(A1749,'BBT3'!A:F,6,0),"")</f>
        <v/>
      </c>
      <c r="G1749" t="str">
        <f t="shared" si="224"/>
        <v/>
      </c>
      <c r="H1749" t="str">
        <f>IF(NOT(ISBLANK(A1749)),VLOOKUP(A1749,'Close - PriceSaver'!A:J,5,0),"")</f>
        <v/>
      </c>
      <c r="I1749" s="4" t="str" cm="1">
        <f t="array" ref="I1749">IF(NOT(ISBLANK(A1749)),((_xlfn.XLOOKUP(1,(_bbt3[[#All],[ID]]=A1749)*(_bbt3[[#All],[METRIC_NAME]]="YLD_YTM_ASK"),_bbt3[[#All],[METRIC_VALUE]])*0.5)+(_xlfn.XLOOKUP(1,(_bbt3[[#All],[ID]]=A1749)*(_bbt3[[#All],[METRIC_NAME]]="YLD_YTM_BID"),_bbt3[[#All],[METRIC_VALUE]])*0.5))/100,"")</f>
        <v/>
      </c>
      <c r="J1749">
        <f>IF(ISNA(VLOOKUP(A1749,'CloseDL - PriceSaverBBT3'!A:E,5,0)),0,VLOOKUP(A1749,'CloseDL - PriceSaverBBT3'!A:E,5,0))</f>
        <v>0</v>
      </c>
      <c r="K1749" s="7" t="str">
        <f t="shared" si="225"/>
        <v/>
      </c>
      <c r="L1749" s="20">
        <f>IF(Close[[#This Row],[CreatedBy]]="MARINER\SilverAdm",1,0)</f>
        <v>0</v>
      </c>
      <c r="M1749" t="str">
        <f>IF(NOT(ISBLANK(A1749)),VLOOKUP(A1749,'Close - PriceSaver'!A:J,6,0),"")</f>
        <v/>
      </c>
    </row>
    <row r="1750" spans="2:13" x14ac:dyDescent="0.35">
      <c r="B1750" t="str">
        <f>IF(NOT(ISBLANK(A1750)),VLOOKUP(A1750,'BBT3'!A:F,2,0),"")</f>
        <v/>
      </c>
      <c r="C1750" t="str">
        <f>IF(NOT(ISBLANK(A1750)),VLOOKUP(A1750,'BBT3'!A:F,3,0),"")</f>
        <v/>
      </c>
      <c r="D1750" s="5" t="str">
        <f>IF(NOT(ISBLANK(A1750)),VLOOKUP(A1750,'BBT3'!A:F,4,1),"")</f>
        <v/>
      </c>
      <c r="E1750" t="str">
        <f>IF(NOT(ISBLANK(A1750)),VLOOKUP(A1750,'BBT3'!A:F,5,0),"")</f>
        <v/>
      </c>
      <c r="F1750" t="str">
        <f>IF(NOT(ISBLANK(A1750)),VLOOKUP(A1750,'BBT3'!A:F,6,0),"")</f>
        <v/>
      </c>
      <c r="G1750" t="str">
        <f t="shared" si="224"/>
        <v/>
      </c>
      <c r="H1750" t="str">
        <f>IF(NOT(ISBLANK(A1750)),VLOOKUP(A1750,'Close - PriceSaver'!A:J,5,0),"")</f>
        <v/>
      </c>
      <c r="I1750" s="4" t="str" cm="1">
        <f t="array" ref="I1750">IF(NOT(ISBLANK(A1750)),((_xlfn.XLOOKUP(1,(_bbt3[[#All],[ID]]=A1750)*(_bbt3[[#All],[METRIC_NAME]]="YLD_YTM_ASK"),_bbt3[[#All],[METRIC_VALUE]])*0.5)+(_xlfn.XLOOKUP(1,(_bbt3[[#All],[ID]]=A1750)*(_bbt3[[#All],[METRIC_NAME]]="YLD_YTM_BID"),_bbt3[[#All],[METRIC_VALUE]])*0.5))/100,"")</f>
        <v/>
      </c>
      <c r="J1750">
        <f>IF(ISNA(VLOOKUP(A1750,'CloseDL - PriceSaverBBT3'!A:E,5,0)),0,VLOOKUP(A1750,'CloseDL - PriceSaverBBT3'!A:E,5,0))</f>
        <v>0</v>
      </c>
      <c r="K1750" s="7" t="str">
        <f t="shared" si="225"/>
        <v/>
      </c>
      <c r="L1750" s="20">
        <f>IF(Close[[#This Row],[CreatedBy]]="MARINER\SilverAdm",1,0)</f>
        <v>0</v>
      </c>
      <c r="M1750" t="str">
        <f>IF(NOT(ISBLANK(A1750)),VLOOKUP(A1750,'Close - PriceSaver'!A:J,6,0),"")</f>
        <v/>
      </c>
    </row>
    <row r="1751" spans="2:13" x14ac:dyDescent="0.35">
      <c r="B1751" t="str">
        <f>IF(NOT(ISBLANK(A1751)),VLOOKUP(A1751,'BBT3'!A:F,2,0),"")</f>
        <v/>
      </c>
      <c r="C1751" t="str">
        <f>IF(NOT(ISBLANK(A1751)),VLOOKUP(A1751,'BBT3'!A:F,3,0),"")</f>
        <v/>
      </c>
      <c r="D1751" s="5" t="str">
        <f>IF(NOT(ISBLANK(A1751)),VLOOKUP(A1751,'BBT3'!A:F,4,1),"")</f>
        <v/>
      </c>
      <c r="E1751" t="str">
        <f>IF(NOT(ISBLANK(A1751)),VLOOKUP(A1751,'BBT3'!A:F,5,0),"")</f>
        <v/>
      </c>
      <c r="F1751" t="str">
        <f>IF(NOT(ISBLANK(A1751)),VLOOKUP(A1751,'BBT3'!A:F,6,0),"")</f>
        <v/>
      </c>
      <c r="G1751" t="str">
        <f t="shared" si="224"/>
        <v/>
      </c>
      <c r="H1751" t="str">
        <f>IF(NOT(ISBLANK(A1751)),VLOOKUP(A1751,'Close - PriceSaver'!A:J,5,0),"")</f>
        <v/>
      </c>
      <c r="I1751" s="4" t="str" cm="1">
        <f t="array" ref="I1751">IF(NOT(ISBLANK(A1751)),((_xlfn.XLOOKUP(1,(_bbt3[[#All],[ID]]=A1751)*(_bbt3[[#All],[METRIC_NAME]]="YLD_YTM_ASK"),_bbt3[[#All],[METRIC_VALUE]])*0.5)+(_xlfn.XLOOKUP(1,(_bbt3[[#All],[ID]]=A1751)*(_bbt3[[#All],[METRIC_NAME]]="YLD_YTM_BID"),_bbt3[[#All],[METRIC_VALUE]])*0.5))/100,"")</f>
        <v/>
      </c>
      <c r="J1751">
        <f>IF(ISNA(VLOOKUP(A1751,'CloseDL - PriceSaverBBT3'!A:E,5,0)),0,VLOOKUP(A1751,'CloseDL - PriceSaverBBT3'!A:E,5,0))</f>
        <v>0</v>
      </c>
      <c r="K1751" s="7" t="str">
        <f t="shared" si="225"/>
        <v/>
      </c>
      <c r="L1751" s="20">
        <f>IF(Close[[#This Row],[CreatedBy]]="MARINER\SilverAdm",1,0)</f>
        <v>1</v>
      </c>
      <c r="M1751" t="str">
        <f>IF(NOT(ISBLANK(A1751)),VLOOKUP(A1751,'Close - PriceSaver'!A:J,6,0),"")</f>
        <v/>
      </c>
    </row>
    <row r="1752" spans="2:13" x14ac:dyDescent="0.35">
      <c r="B1752" t="str">
        <f>IF(NOT(ISBLANK(A1752)),VLOOKUP(A1752,'BBT3'!A:F,2,0),"")</f>
        <v/>
      </c>
      <c r="C1752" t="str">
        <f>IF(NOT(ISBLANK(A1752)),VLOOKUP(A1752,'BBT3'!A:F,3,0),"")</f>
        <v/>
      </c>
      <c r="D1752" s="5" t="str">
        <f>IF(NOT(ISBLANK(A1752)),VLOOKUP(A1752,'BBT3'!A:F,4,1),"")</f>
        <v/>
      </c>
      <c r="E1752" t="str">
        <f>IF(NOT(ISBLANK(A1752)),VLOOKUP(A1752,'BBT3'!A:F,5,0),"")</f>
        <v/>
      </c>
      <c r="F1752" t="str">
        <f>IF(NOT(ISBLANK(A1752)),VLOOKUP(A1752,'BBT3'!A:F,6,0),"")</f>
        <v/>
      </c>
      <c r="G1752" t="str">
        <f t="shared" si="224"/>
        <v/>
      </c>
      <c r="H1752" t="str">
        <f>IF(NOT(ISBLANK(A1752)),VLOOKUP(A1752,'Close - PriceSaver'!A:J,5,0),"")</f>
        <v/>
      </c>
      <c r="I1752" s="4" t="str" cm="1">
        <f t="array" ref="I1752">IF(NOT(ISBLANK(A1752)),((_xlfn.XLOOKUP(1,(_bbt3[[#All],[ID]]=A1752)*(_bbt3[[#All],[METRIC_NAME]]="YLD_YTM_ASK"),_bbt3[[#All],[METRIC_VALUE]])*0.5)+(_xlfn.XLOOKUP(1,(_bbt3[[#All],[ID]]=A1752)*(_bbt3[[#All],[METRIC_NAME]]="YLD_YTM_BID"),_bbt3[[#All],[METRIC_VALUE]])*0.5))/100,"")</f>
        <v/>
      </c>
      <c r="J1752">
        <f>IF(ISNA(VLOOKUP(A1752,'CloseDL - PriceSaverBBT3'!A:E,5,0)),0,VLOOKUP(A1752,'CloseDL - PriceSaverBBT3'!A:E,5,0))</f>
        <v>0</v>
      </c>
      <c r="K1752" s="7" t="str">
        <f t="shared" si="225"/>
        <v/>
      </c>
      <c r="L1752" s="20">
        <f>IF(Close[[#This Row],[CreatedBy]]="MARINER\SilverAdm",1,0)</f>
        <v>1</v>
      </c>
      <c r="M1752" t="str">
        <f>IF(NOT(ISBLANK(A1752)),VLOOKUP(A1752,'Close - PriceSaver'!A:J,6,0),"")</f>
        <v/>
      </c>
    </row>
    <row r="1753" spans="2:13" x14ac:dyDescent="0.35">
      <c r="B1753" t="str">
        <f>IF(NOT(ISBLANK(A1753)),VLOOKUP(A1753,'BBT3'!A:F,2,0),"")</f>
        <v/>
      </c>
      <c r="C1753" t="str">
        <f>IF(NOT(ISBLANK(A1753)),VLOOKUP(A1753,'BBT3'!A:F,3,0),"")</f>
        <v/>
      </c>
      <c r="D1753" s="5" t="str">
        <f>IF(NOT(ISBLANK(A1753)),VLOOKUP(A1753,'BBT3'!A:F,4,1),"")</f>
        <v/>
      </c>
      <c r="E1753" t="str">
        <f>IF(NOT(ISBLANK(A1753)),VLOOKUP(A1753,'BBT3'!A:F,5,0),"")</f>
        <v/>
      </c>
      <c r="F1753" t="str">
        <f>IF(NOT(ISBLANK(A1753)),VLOOKUP(A1753,'BBT3'!A:F,6,0),"")</f>
        <v/>
      </c>
      <c r="G1753" t="str">
        <f t="shared" si="224"/>
        <v/>
      </c>
      <c r="H1753" t="str">
        <f>IF(NOT(ISBLANK(A1753)),VLOOKUP(A1753,'Close - PriceSaver'!A:J,5,0),"")</f>
        <v/>
      </c>
      <c r="I1753" s="4" t="str" cm="1">
        <f t="array" ref="I1753">IF(NOT(ISBLANK(A1753)),((_xlfn.XLOOKUP(1,(_bbt3[[#All],[ID]]=A1753)*(_bbt3[[#All],[METRIC_NAME]]="YLD_YTM_ASK"),_bbt3[[#All],[METRIC_VALUE]])*0.5)+(_xlfn.XLOOKUP(1,(_bbt3[[#All],[ID]]=A1753)*(_bbt3[[#All],[METRIC_NAME]]="YLD_YTM_BID"),_bbt3[[#All],[METRIC_VALUE]])*0.5))/100,"")</f>
        <v/>
      </c>
      <c r="J1753">
        <f>IF(ISNA(VLOOKUP(A1753,'CloseDL - PriceSaverBBT3'!A:E,5,0)),0,VLOOKUP(A1753,'CloseDL - PriceSaverBBT3'!A:E,5,0))</f>
        <v>0</v>
      </c>
      <c r="K1753" s="7" t="str">
        <f t="shared" si="225"/>
        <v/>
      </c>
      <c r="L1753" s="20">
        <f>IF(Close[[#This Row],[CreatedBy]]="MARINER\SilverAdm",1,0)</f>
        <v>1</v>
      </c>
      <c r="M1753" t="str">
        <f>IF(NOT(ISBLANK(A1753)),VLOOKUP(A1753,'Close - PriceSaver'!A:J,6,0),"")</f>
        <v/>
      </c>
    </row>
    <row r="1754" spans="2:13" x14ac:dyDescent="0.35">
      <c r="B1754" t="str">
        <f>IF(NOT(ISBLANK(A1754)),VLOOKUP(A1754,'BBT3'!A:F,2,0),"")</f>
        <v/>
      </c>
      <c r="C1754" t="str">
        <f>IF(NOT(ISBLANK(A1754)),VLOOKUP(A1754,'BBT3'!A:F,3,0),"")</f>
        <v/>
      </c>
      <c r="D1754" s="5" t="str">
        <f>IF(NOT(ISBLANK(A1754)),VLOOKUP(A1754,'BBT3'!A:F,4,1),"")</f>
        <v/>
      </c>
      <c r="E1754" t="str">
        <f>IF(NOT(ISBLANK(A1754)),VLOOKUP(A1754,'BBT3'!A:F,5,0),"")</f>
        <v/>
      </c>
      <c r="F1754" t="str">
        <f>IF(NOT(ISBLANK(A1754)),VLOOKUP(A1754,'BBT3'!A:F,6,0),"")</f>
        <v/>
      </c>
      <c r="G1754" t="str">
        <f t="shared" si="224"/>
        <v/>
      </c>
      <c r="H1754" t="str">
        <f>IF(NOT(ISBLANK(A1754)),VLOOKUP(A1754,'Close - PriceSaver'!A:J,5,0),"")</f>
        <v/>
      </c>
      <c r="I1754" s="4" t="str" cm="1">
        <f t="array" ref="I1754">IF(NOT(ISBLANK(A1754)),((_xlfn.XLOOKUP(1,(_bbt3[[#All],[ID]]=A1754)*(_bbt3[[#All],[METRIC_NAME]]="YLD_YTM_ASK"),_bbt3[[#All],[METRIC_VALUE]])*0.5)+(_xlfn.XLOOKUP(1,(_bbt3[[#All],[ID]]=A1754)*(_bbt3[[#All],[METRIC_NAME]]="YLD_YTM_BID"),_bbt3[[#All],[METRIC_VALUE]])*0.5))/100,"")</f>
        <v/>
      </c>
      <c r="J1754">
        <f>IF(ISNA(VLOOKUP(A1754,'CloseDL - PriceSaverBBT3'!A:E,5,0)),0,VLOOKUP(A1754,'CloseDL - PriceSaverBBT3'!A:E,5,0))</f>
        <v>0</v>
      </c>
      <c r="K1754" s="7" t="str">
        <f t="shared" si="225"/>
        <v/>
      </c>
      <c r="L1754" s="20">
        <f>IF(Close[[#This Row],[CreatedBy]]="MARINER\SilverAdm",1,0)</f>
        <v>1</v>
      </c>
      <c r="M1754" t="str">
        <f>IF(NOT(ISBLANK(A1754)),VLOOKUP(A1754,'Close - PriceSaver'!A:J,6,0),"")</f>
        <v/>
      </c>
    </row>
    <row r="1755" spans="2:13" x14ac:dyDescent="0.35">
      <c r="B1755" t="str">
        <f>IF(NOT(ISBLANK(A1755)),VLOOKUP(A1755,'BBT3'!A:F,2,0),"")</f>
        <v/>
      </c>
      <c r="C1755" t="str">
        <f>IF(NOT(ISBLANK(A1755)),VLOOKUP(A1755,'BBT3'!A:F,3,0),"")</f>
        <v/>
      </c>
      <c r="D1755" s="5" t="str">
        <f>IF(NOT(ISBLANK(A1755)),VLOOKUP(A1755,'BBT3'!A:F,4,1),"")</f>
        <v/>
      </c>
      <c r="E1755" t="str">
        <f>IF(NOT(ISBLANK(A1755)),VLOOKUP(A1755,'BBT3'!A:F,5,0),"")</f>
        <v/>
      </c>
      <c r="F1755" t="str">
        <f>IF(NOT(ISBLANK(A1755)),VLOOKUP(A1755,'BBT3'!A:F,6,0),"")</f>
        <v/>
      </c>
      <c r="G1755" t="str">
        <f t="shared" si="224"/>
        <v/>
      </c>
      <c r="H1755" t="str">
        <f>IF(NOT(ISBLANK(A1755)),VLOOKUP(A1755,'Close - PriceSaver'!A:J,5,0),"")</f>
        <v/>
      </c>
      <c r="I1755" s="4" t="str" cm="1">
        <f t="array" ref="I1755">IF(NOT(ISBLANK(A1755)),((_xlfn.XLOOKUP(1,(_bbt3[[#All],[ID]]=A1755)*(_bbt3[[#All],[METRIC_NAME]]="YLD_YTM_ASK"),_bbt3[[#All],[METRIC_VALUE]])*0.5)+(_xlfn.XLOOKUP(1,(_bbt3[[#All],[ID]]=A1755)*(_bbt3[[#All],[METRIC_NAME]]="YLD_YTM_BID"),_bbt3[[#All],[METRIC_VALUE]])*0.5))/100,"")</f>
        <v/>
      </c>
      <c r="J1755">
        <f>IF(ISNA(VLOOKUP(A1755,'CloseDL - PriceSaverBBT3'!A:E,5,0)),0,VLOOKUP(A1755,'CloseDL - PriceSaverBBT3'!A:E,5,0))</f>
        <v>0</v>
      </c>
      <c r="K1755" s="7" t="str">
        <f t="shared" si="225"/>
        <v/>
      </c>
      <c r="L1755" s="20">
        <f>IF(Close[[#This Row],[CreatedBy]]="MARINER\SilverAdm",1,0)</f>
        <v>1</v>
      </c>
      <c r="M1755" t="str">
        <f>IF(NOT(ISBLANK(A1755)),VLOOKUP(A1755,'Close - PriceSaver'!A:J,6,0),"")</f>
        <v/>
      </c>
    </row>
    <row r="1756" spans="2:13" x14ac:dyDescent="0.35">
      <c r="B1756" t="str">
        <f>IF(NOT(ISBLANK(A1756)),VLOOKUP(A1756,'BBT3'!A:F,2,0),"")</f>
        <v/>
      </c>
      <c r="C1756" t="str">
        <f>IF(NOT(ISBLANK(A1756)),VLOOKUP(A1756,'BBT3'!A:F,3,0),"")</f>
        <v/>
      </c>
      <c r="D1756" s="5" t="str">
        <f>IF(NOT(ISBLANK(A1756)),VLOOKUP(A1756,'BBT3'!A:F,4,1),"")</f>
        <v/>
      </c>
      <c r="E1756" t="str">
        <f>IF(NOT(ISBLANK(A1756)),VLOOKUP(A1756,'BBT3'!A:F,5,0),"")</f>
        <v/>
      </c>
      <c r="F1756" t="str">
        <f>IF(NOT(ISBLANK(A1756)),VLOOKUP(A1756,'BBT3'!A:F,6,0),"")</f>
        <v/>
      </c>
      <c r="G1756" t="str">
        <f t="shared" si="224"/>
        <v/>
      </c>
      <c r="H1756" t="str">
        <f>IF(NOT(ISBLANK(A1756)),VLOOKUP(A1756,'Close - PriceSaver'!A:J,5,0),"")</f>
        <v/>
      </c>
      <c r="I1756" s="4" t="str" cm="1">
        <f t="array" ref="I1756">IF(NOT(ISBLANK(A1756)),((_xlfn.XLOOKUP(1,(_bbt3[[#All],[ID]]=A1756)*(_bbt3[[#All],[METRIC_NAME]]="YLD_YTM_ASK"),_bbt3[[#All],[METRIC_VALUE]])*0.5)+(_xlfn.XLOOKUP(1,(_bbt3[[#All],[ID]]=A1756)*(_bbt3[[#All],[METRIC_NAME]]="YLD_YTM_BID"),_bbt3[[#All],[METRIC_VALUE]])*0.5))/100,"")</f>
        <v/>
      </c>
      <c r="J1756">
        <f>IF(ISNA(VLOOKUP(A1756,'CloseDL - PriceSaverBBT3'!A:E,5,0)),0,VLOOKUP(A1756,'CloseDL - PriceSaverBBT3'!A:E,5,0))</f>
        <v>0</v>
      </c>
      <c r="K1756" s="7" t="str">
        <f t="shared" si="225"/>
        <v/>
      </c>
      <c r="L1756" s="20">
        <f>IF(Close[[#This Row],[CreatedBy]]="MARINER\SilverAdm",1,0)</f>
        <v>1</v>
      </c>
      <c r="M1756" t="str">
        <f>IF(NOT(ISBLANK(A1756)),VLOOKUP(A1756,'Close - PriceSaver'!A:J,6,0),"")</f>
        <v/>
      </c>
    </row>
    <row r="1757" spans="2:13" x14ac:dyDescent="0.35">
      <c r="B1757" t="str">
        <f>IF(NOT(ISBLANK(A1757)),VLOOKUP(A1757,'BBT3'!A:F,2,0),"")</f>
        <v/>
      </c>
      <c r="C1757" t="str">
        <f>IF(NOT(ISBLANK(A1757)),VLOOKUP(A1757,'BBT3'!A:F,3,0),"")</f>
        <v/>
      </c>
      <c r="D1757" s="5" t="str">
        <f>IF(NOT(ISBLANK(A1757)),VLOOKUP(A1757,'BBT3'!A:F,4,1),"")</f>
        <v/>
      </c>
      <c r="E1757" t="str">
        <f>IF(NOT(ISBLANK(A1757)),VLOOKUP(A1757,'BBT3'!A:F,5,0),"")</f>
        <v/>
      </c>
      <c r="F1757" t="str">
        <f>IF(NOT(ISBLANK(A1757)),VLOOKUP(A1757,'BBT3'!A:F,6,0),"")</f>
        <v/>
      </c>
      <c r="G1757" t="str">
        <f t="shared" si="224"/>
        <v/>
      </c>
      <c r="H1757" t="str">
        <f>IF(NOT(ISBLANK(A1757)),VLOOKUP(A1757,'Close - PriceSaver'!A:J,5,0),"")</f>
        <v/>
      </c>
      <c r="I1757" s="4" t="str" cm="1">
        <f t="array" ref="I1757">IF(NOT(ISBLANK(A1757)),((_xlfn.XLOOKUP(1,(_bbt3[[#All],[ID]]=A1757)*(_bbt3[[#All],[METRIC_NAME]]="YLD_YTM_ASK"),_bbt3[[#All],[METRIC_VALUE]])*0.5)+(_xlfn.XLOOKUP(1,(_bbt3[[#All],[ID]]=A1757)*(_bbt3[[#All],[METRIC_NAME]]="YLD_YTM_BID"),_bbt3[[#All],[METRIC_VALUE]])*0.5))/100,"")</f>
        <v/>
      </c>
      <c r="J1757">
        <f>IF(ISNA(VLOOKUP(A1757,'CloseDL - PriceSaverBBT3'!A:E,5,0)),0,VLOOKUP(A1757,'CloseDL - PriceSaverBBT3'!A:E,5,0))</f>
        <v>0</v>
      </c>
      <c r="K1757" s="7" t="str">
        <f t="shared" si="225"/>
        <v/>
      </c>
      <c r="L1757" s="20">
        <f>IF(Close[[#This Row],[CreatedBy]]="MARINER\SilverAdm",1,0)</f>
        <v>1</v>
      </c>
      <c r="M1757" t="str">
        <f>IF(NOT(ISBLANK(A1757)),VLOOKUP(A1757,'Close - PriceSaver'!A:J,6,0),"")</f>
        <v/>
      </c>
    </row>
    <row r="1758" spans="2:13" x14ac:dyDescent="0.35">
      <c r="B1758" t="str">
        <f>IF(NOT(ISBLANK(A1758)),VLOOKUP(A1758,'BBT3'!A:F,2,0),"")</f>
        <v/>
      </c>
      <c r="C1758" t="str">
        <f>IF(NOT(ISBLANK(A1758)),VLOOKUP(A1758,'BBT3'!A:F,3,0),"")</f>
        <v/>
      </c>
      <c r="D1758" s="5" t="str">
        <f>IF(NOT(ISBLANK(A1758)),VLOOKUP(A1758,'BBT3'!A:F,4,1),"")</f>
        <v/>
      </c>
      <c r="E1758" t="str">
        <f>IF(NOT(ISBLANK(A1758)),VLOOKUP(A1758,'BBT3'!A:F,5,0),"")</f>
        <v/>
      </c>
      <c r="F1758" t="str">
        <f>IF(NOT(ISBLANK(A1758)),VLOOKUP(A1758,'BBT3'!A:F,6,0),"")</f>
        <v/>
      </c>
      <c r="G1758" t="str">
        <f t="shared" si="224"/>
        <v/>
      </c>
      <c r="H1758" t="str">
        <f>IF(NOT(ISBLANK(A1758)),VLOOKUP(A1758,'Close - PriceSaver'!A:J,5,0),"")</f>
        <v/>
      </c>
      <c r="I1758" s="4" t="str" cm="1">
        <f t="array" ref="I1758">IF(NOT(ISBLANK(A1758)),((_xlfn.XLOOKUP(1,(_bbt3[[#All],[ID]]=A1758)*(_bbt3[[#All],[METRIC_NAME]]="YLD_YTM_ASK"),_bbt3[[#All],[METRIC_VALUE]])*0.5)+(_xlfn.XLOOKUP(1,(_bbt3[[#All],[ID]]=A1758)*(_bbt3[[#All],[METRIC_NAME]]="YLD_YTM_BID"),_bbt3[[#All],[METRIC_VALUE]])*0.5))/100,"")</f>
        <v/>
      </c>
      <c r="J1758">
        <f>IF(ISNA(VLOOKUP(A1758,'CloseDL - PriceSaverBBT3'!A:E,5,0)),0,VLOOKUP(A1758,'CloseDL - PriceSaverBBT3'!A:E,5,0))</f>
        <v>0</v>
      </c>
      <c r="K1758" s="7" t="str">
        <f t="shared" si="225"/>
        <v/>
      </c>
      <c r="L1758" s="20">
        <f>IF(Close[[#This Row],[CreatedBy]]="MARINER\SilverAdm",1,0)</f>
        <v>1</v>
      </c>
      <c r="M1758" t="str">
        <f>IF(NOT(ISBLANK(A1758)),VLOOKUP(A1758,'Close - PriceSaver'!A:J,6,0),"")</f>
        <v/>
      </c>
    </row>
    <row r="1759" spans="2:13" x14ac:dyDescent="0.35">
      <c r="B1759" t="str">
        <f>IF(NOT(ISBLANK(A1759)),VLOOKUP(A1759,'BBT3'!A:F,2,0),"")</f>
        <v/>
      </c>
      <c r="C1759" t="str">
        <f>IF(NOT(ISBLANK(A1759)),VLOOKUP(A1759,'BBT3'!A:F,3,0),"")</f>
        <v/>
      </c>
      <c r="D1759" s="5" t="str">
        <f>IF(NOT(ISBLANK(A1759)),VLOOKUP(A1759,'BBT3'!A:F,4,1),"")</f>
        <v/>
      </c>
      <c r="E1759" t="str">
        <f>IF(NOT(ISBLANK(A1759)),VLOOKUP(A1759,'BBT3'!A:F,5,0),"")</f>
        <v/>
      </c>
      <c r="F1759" t="str">
        <f>IF(NOT(ISBLANK(A1759)),VLOOKUP(A1759,'BBT3'!A:F,6,0),"")</f>
        <v/>
      </c>
      <c r="G1759" t="str">
        <f t="shared" si="224"/>
        <v/>
      </c>
      <c r="H1759" t="str">
        <f>IF(NOT(ISBLANK(A1759)),VLOOKUP(A1759,'Close - PriceSaver'!A:J,5,0),"")</f>
        <v/>
      </c>
      <c r="I1759" s="4" t="str" cm="1">
        <f t="array" ref="I1759">IF(NOT(ISBLANK(A1759)),((_xlfn.XLOOKUP(1,(_bbt3[[#All],[ID]]=A1759)*(_bbt3[[#All],[METRIC_NAME]]="YLD_YTM_ASK"),_bbt3[[#All],[METRIC_VALUE]])*0.5)+(_xlfn.XLOOKUP(1,(_bbt3[[#All],[ID]]=A1759)*(_bbt3[[#All],[METRIC_NAME]]="YLD_YTM_BID"),_bbt3[[#All],[METRIC_VALUE]])*0.5))/100,"")</f>
        <v/>
      </c>
      <c r="J1759">
        <f>IF(ISNA(VLOOKUP(A1759,'CloseDL - PriceSaverBBT3'!A:E,5,0)),0,VLOOKUP(A1759,'CloseDL - PriceSaverBBT3'!A:E,5,0))</f>
        <v>0</v>
      </c>
      <c r="K1759" s="7" t="str">
        <f t="shared" si="225"/>
        <v/>
      </c>
      <c r="L1759" s="20">
        <f>IF(Close[[#This Row],[CreatedBy]]="MARINER\SilverAdm",1,0)</f>
        <v>1</v>
      </c>
      <c r="M1759" t="str">
        <f>IF(NOT(ISBLANK(A1759)),VLOOKUP(A1759,'Close - PriceSaver'!A:J,6,0),"")</f>
        <v/>
      </c>
    </row>
    <row r="1760" spans="2:13" x14ac:dyDescent="0.35">
      <c r="B1760" t="str">
        <f>IF(NOT(ISBLANK(A1760)),VLOOKUP(A1760,'BBT3'!A:F,2,0),"")</f>
        <v/>
      </c>
      <c r="C1760" t="str">
        <f>IF(NOT(ISBLANK(A1760)),VLOOKUP(A1760,'BBT3'!A:F,3,0),"")</f>
        <v/>
      </c>
      <c r="D1760" s="5" t="str">
        <f>IF(NOT(ISBLANK(A1760)),VLOOKUP(A1760,'BBT3'!A:F,4,1),"")</f>
        <v/>
      </c>
      <c r="E1760" t="str">
        <f>IF(NOT(ISBLANK(A1760)),VLOOKUP(A1760,'BBT3'!A:F,5,0),"")</f>
        <v/>
      </c>
      <c r="F1760" t="str">
        <f>IF(NOT(ISBLANK(A1760)),VLOOKUP(A1760,'BBT3'!A:F,6,0),"")</f>
        <v/>
      </c>
      <c r="G1760" t="str">
        <f t="shared" si="224"/>
        <v/>
      </c>
      <c r="H1760" t="str">
        <f>IF(NOT(ISBLANK(A1760)),VLOOKUP(A1760,'Close - PriceSaver'!A:J,5,0),"")</f>
        <v/>
      </c>
      <c r="I1760" s="4" t="str" cm="1">
        <f t="array" ref="I1760">IF(NOT(ISBLANK(A1760)),((_xlfn.XLOOKUP(1,(_bbt3[[#All],[ID]]=A1760)*(_bbt3[[#All],[METRIC_NAME]]="YLD_YTM_ASK"),_bbt3[[#All],[METRIC_VALUE]])*0.5)+(_xlfn.XLOOKUP(1,(_bbt3[[#All],[ID]]=A1760)*(_bbt3[[#All],[METRIC_NAME]]="YLD_YTM_BID"),_bbt3[[#All],[METRIC_VALUE]])*0.5))/100,"")</f>
        <v/>
      </c>
      <c r="J1760">
        <f>IF(ISNA(VLOOKUP(A1760,'CloseDL - PriceSaverBBT3'!A:E,5,0)),0,VLOOKUP(A1760,'CloseDL - PriceSaverBBT3'!A:E,5,0))</f>
        <v>0</v>
      </c>
      <c r="K1760" s="7" t="str">
        <f t="shared" si="225"/>
        <v/>
      </c>
      <c r="L1760" s="20" t="e">
        <f>IF(Close[[#This Row],[CreatedBy]]="MARINER\SilverAdm",1,0)</f>
        <v>#VALUE!</v>
      </c>
      <c r="M1760" t="str">
        <f>IF(NOT(ISBLANK(A1760)),VLOOKUP(A1760,'Close - PriceSaver'!A:J,6,0),"")</f>
        <v/>
      </c>
    </row>
    <row r="1761" spans="2:13" x14ac:dyDescent="0.35">
      <c r="B1761" t="str">
        <f>IF(NOT(ISBLANK(A1761)),VLOOKUP(A1761,'BBT3'!A:F,2,0),"")</f>
        <v/>
      </c>
      <c r="C1761" t="str">
        <f>IF(NOT(ISBLANK(A1761)),VLOOKUP(A1761,'BBT3'!A:F,3,0),"")</f>
        <v/>
      </c>
      <c r="D1761" s="5" t="str">
        <f>IF(NOT(ISBLANK(A1761)),VLOOKUP(A1761,'BBT3'!A:F,4,1),"")</f>
        <v/>
      </c>
      <c r="E1761" t="str">
        <f>IF(NOT(ISBLANK(A1761)),VLOOKUP(A1761,'BBT3'!A:F,5,0),"")</f>
        <v/>
      </c>
      <c r="F1761" t="str">
        <f>IF(NOT(ISBLANK(A1761)),VLOOKUP(A1761,'BBT3'!A:F,6,0),"")</f>
        <v/>
      </c>
      <c r="G1761" t="str">
        <f t="shared" si="224"/>
        <v/>
      </c>
      <c r="H1761" t="str">
        <f>IF(NOT(ISBLANK(A1761)),VLOOKUP(A1761,'Close - PriceSaver'!A:J,5,0),"")</f>
        <v/>
      </c>
      <c r="I1761" s="4" t="str" cm="1">
        <f t="array" ref="I1761">IF(NOT(ISBLANK(A1761)),((_xlfn.XLOOKUP(1,(_bbt3[[#All],[ID]]=A1761)*(_bbt3[[#All],[METRIC_NAME]]="YLD_YTM_ASK"),_bbt3[[#All],[METRIC_VALUE]])*0.5)+(_xlfn.XLOOKUP(1,(_bbt3[[#All],[ID]]=A1761)*(_bbt3[[#All],[METRIC_NAME]]="YLD_YTM_BID"),_bbt3[[#All],[METRIC_VALUE]])*0.5))/100,"")</f>
        <v/>
      </c>
      <c r="J1761">
        <f>IF(ISNA(VLOOKUP(A1761,'CloseDL - PriceSaverBBT3'!A:E,5,0)),0,VLOOKUP(A1761,'CloseDL - PriceSaverBBT3'!A:E,5,0))</f>
        <v>0</v>
      </c>
      <c r="K1761" s="7" t="str">
        <f t="shared" si="225"/>
        <v/>
      </c>
      <c r="L1761" s="20" t="e">
        <f>IF(Close[[#This Row],[CreatedBy]]="MARINER\SilverAdm",1,0)</f>
        <v>#VALUE!</v>
      </c>
      <c r="M1761" t="str">
        <f>IF(NOT(ISBLANK(A1761)),VLOOKUP(A1761,'Close - PriceSaver'!A:J,6,0),"")</f>
        <v/>
      </c>
    </row>
    <row r="1762" spans="2:13" x14ac:dyDescent="0.35">
      <c r="B1762" t="str">
        <f>IF(NOT(ISBLANK(A1762)),VLOOKUP(A1762,'BBT3'!A:F,2,0),"")</f>
        <v/>
      </c>
      <c r="C1762" t="str">
        <f>IF(NOT(ISBLANK(A1762)),VLOOKUP(A1762,'BBT3'!A:F,3,0),"")</f>
        <v/>
      </c>
      <c r="D1762" s="5" t="str">
        <f>IF(NOT(ISBLANK(A1762)),VLOOKUP(A1762,'BBT3'!A:F,4,1),"")</f>
        <v/>
      </c>
      <c r="E1762" t="str">
        <f>IF(NOT(ISBLANK(A1762)),VLOOKUP(A1762,'BBT3'!A:F,5,0),"")</f>
        <v/>
      </c>
      <c r="F1762" t="str">
        <f>IF(NOT(ISBLANK(A1762)),VLOOKUP(A1762,'BBT3'!A:F,6,0),"")</f>
        <v/>
      </c>
      <c r="G1762" t="str">
        <f t="shared" si="224"/>
        <v/>
      </c>
      <c r="H1762" t="str">
        <f>IF(NOT(ISBLANK(A1762)),VLOOKUP(A1762,'Close - PriceSaver'!A:J,5,0),"")</f>
        <v/>
      </c>
      <c r="I1762" s="4" t="str" cm="1">
        <f t="array" ref="I1762">IF(NOT(ISBLANK(A1762)),((_xlfn.XLOOKUP(1,(_bbt3[[#All],[ID]]=A1762)*(_bbt3[[#All],[METRIC_NAME]]="YLD_YTM_ASK"),_bbt3[[#All],[METRIC_VALUE]])*0.5)+(_xlfn.XLOOKUP(1,(_bbt3[[#All],[ID]]=A1762)*(_bbt3[[#All],[METRIC_NAME]]="YLD_YTM_BID"),_bbt3[[#All],[METRIC_VALUE]])*0.5))/100,"")</f>
        <v/>
      </c>
      <c r="J1762">
        <f>IF(ISNA(VLOOKUP(A1762,'CloseDL - PriceSaverBBT3'!A:E,5,0)),0,VLOOKUP(A1762,'CloseDL - PriceSaverBBT3'!A:E,5,0))</f>
        <v>0</v>
      </c>
      <c r="K1762" s="7" t="str">
        <f t="shared" si="225"/>
        <v/>
      </c>
      <c r="L1762" s="20" t="e">
        <f>IF(Close[[#This Row],[CreatedBy]]="MARINER\SilverAdm",1,0)</f>
        <v>#VALUE!</v>
      </c>
      <c r="M1762" t="str">
        <f>IF(NOT(ISBLANK(A1762)),VLOOKUP(A1762,'Close - PriceSaver'!A:J,6,0),"")</f>
        <v/>
      </c>
    </row>
    <row r="1763" spans="2:13" x14ac:dyDescent="0.35">
      <c r="B1763" t="str">
        <f>IF(NOT(ISBLANK(A1763)),VLOOKUP(A1763,'BBT3'!A:F,2,0),"")</f>
        <v/>
      </c>
      <c r="C1763" t="str">
        <f>IF(NOT(ISBLANK(A1763)),VLOOKUP(A1763,'BBT3'!A:F,3,0),"")</f>
        <v/>
      </c>
      <c r="D1763" s="5" t="str">
        <f>IF(NOT(ISBLANK(A1763)),VLOOKUP(A1763,'BBT3'!A:F,4,1),"")</f>
        <v/>
      </c>
      <c r="E1763" t="str">
        <f>IF(NOT(ISBLANK(A1763)),VLOOKUP(A1763,'BBT3'!A:F,5,0),"")</f>
        <v/>
      </c>
      <c r="F1763" t="str">
        <f>IF(NOT(ISBLANK(A1763)),VLOOKUP(A1763,'BBT3'!A:F,6,0),"")</f>
        <v/>
      </c>
      <c r="G1763" t="str">
        <f t="shared" si="224"/>
        <v/>
      </c>
      <c r="H1763" t="str">
        <f>IF(NOT(ISBLANK(A1763)),VLOOKUP(A1763,'Close - PriceSaver'!A:J,5,0),"")</f>
        <v/>
      </c>
      <c r="I1763" s="4" t="str" cm="1">
        <f t="array" ref="I1763">IF(NOT(ISBLANK(A1763)),((_xlfn.XLOOKUP(1,(_bbt3[[#All],[ID]]=A1763)*(_bbt3[[#All],[METRIC_NAME]]="YLD_YTM_ASK"),_bbt3[[#All],[METRIC_VALUE]])*0.5)+(_xlfn.XLOOKUP(1,(_bbt3[[#All],[ID]]=A1763)*(_bbt3[[#All],[METRIC_NAME]]="YLD_YTM_BID"),_bbt3[[#All],[METRIC_VALUE]])*0.5))/100,"")</f>
        <v/>
      </c>
      <c r="J1763">
        <f>IF(ISNA(VLOOKUP(A1763,'CloseDL - PriceSaverBBT3'!A:E,5,0)),0,VLOOKUP(A1763,'CloseDL - PriceSaverBBT3'!A:E,5,0))</f>
        <v>0</v>
      </c>
      <c r="K1763" s="7" t="str">
        <f t="shared" si="225"/>
        <v/>
      </c>
      <c r="L1763" s="20" t="e">
        <f>IF(Close[[#This Row],[CreatedBy]]="MARINER\SilverAdm",1,0)</f>
        <v>#VALUE!</v>
      </c>
      <c r="M1763" t="str">
        <f>IF(NOT(ISBLANK(A1763)),VLOOKUP(A1763,'Close - PriceSaver'!A:J,6,0),"")</f>
        <v/>
      </c>
    </row>
    <row r="1764" spans="2:13" x14ac:dyDescent="0.35">
      <c r="B1764" t="str">
        <f>IF(NOT(ISBLANK(A1764)),VLOOKUP(A1764,'BBT3'!A:F,2,0),"")</f>
        <v/>
      </c>
      <c r="C1764" t="str">
        <f>IF(NOT(ISBLANK(A1764)),VLOOKUP(A1764,'BBT3'!A:F,3,0),"")</f>
        <v/>
      </c>
      <c r="D1764" s="5" t="str">
        <f>IF(NOT(ISBLANK(A1764)),VLOOKUP(A1764,'BBT3'!A:F,4,1),"")</f>
        <v/>
      </c>
      <c r="E1764" t="str">
        <f>IF(NOT(ISBLANK(A1764)),VLOOKUP(A1764,'BBT3'!A:F,5,0),"")</f>
        <v/>
      </c>
      <c r="F1764" t="str">
        <f>IF(NOT(ISBLANK(A1764)),VLOOKUP(A1764,'BBT3'!A:F,6,0),"")</f>
        <v/>
      </c>
      <c r="G1764" t="str">
        <f t="shared" si="224"/>
        <v/>
      </c>
      <c r="H1764" t="str">
        <f>IF(NOT(ISBLANK(A1764)),VLOOKUP(A1764,'Close - PriceSaver'!A:J,5,0),"")</f>
        <v/>
      </c>
      <c r="I1764" s="4" t="str" cm="1">
        <f t="array" ref="I1764">IF(NOT(ISBLANK(A1764)),((_xlfn.XLOOKUP(1,(_bbt3[[#All],[ID]]=A1764)*(_bbt3[[#All],[METRIC_NAME]]="YLD_YTM_ASK"),_bbt3[[#All],[METRIC_VALUE]])*0.5)+(_xlfn.XLOOKUP(1,(_bbt3[[#All],[ID]]=A1764)*(_bbt3[[#All],[METRIC_NAME]]="YLD_YTM_BID"),_bbt3[[#All],[METRIC_VALUE]])*0.5))/100,"")</f>
        <v/>
      </c>
      <c r="J1764">
        <f>IF(ISNA(VLOOKUP(A1764,'CloseDL - PriceSaverBBT3'!A:E,5,0)),0,VLOOKUP(A1764,'CloseDL - PriceSaverBBT3'!A:E,5,0))</f>
        <v>0</v>
      </c>
      <c r="K1764" s="7" t="str">
        <f t="shared" si="225"/>
        <v/>
      </c>
      <c r="L1764" s="20" t="e">
        <f>IF(Close[[#This Row],[CreatedBy]]="MARINER\SilverAdm",1,0)</f>
        <v>#VALUE!</v>
      </c>
      <c r="M1764" t="str">
        <f>IF(NOT(ISBLANK(A1764)),VLOOKUP(A1764,'Close - PriceSaver'!A:J,6,0),"")</f>
        <v/>
      </c>
    </row>
    <row r="1765" spans="2:13" x14ac:dyDescent="0.35">
      <c r="B1765" t="str">
        <f>IF(NOT(ISBLANK(A1765)),VLOOKUP(A1765,'BBT3'!A:F,2,0),"")</f>
        <v/>
      </c>
      <c r="C1765" t="str">
        <f>IF(NOT(ISBLANK(A1765)),VLOOKUP(A1765,'BBT3'!A:F,3,0),"")</f>
        <v/>
      </c>
      <c r="D1765" s="5" t="str">
        <f>IF(NOT(ISBLANK(A1765)),VLOOKUP(A1765,'BBT3'!A:F,4,1),"")</f>
        <v/>
      </c>
      <c r="E1765" t="str">
        <f>IF(NOT(ISBLANK(A1765)),VLOOKUP(A1765,'BBT3'!A:F,5,0),"")</f>
        <v/>
      </c>
      <c r="F1765" t="str">
        <f>IF(NOT(ISBLANK(A1765)),VLOOKUP(A1765,'BBT3'!A:F,6,0),"")</f>
        <v/>
      </c>
      <c r="G1765" t="str">
        <f t="shared" si="224"/>
        <v/>
      </c>
      <c r="H1765" t="str">
        <f>IF(NOT(ISBLANK(A1765)),VLOOKUP(A1765,'Close - PriceSaver'!A:J,5,0),"")</f>
        <v/>
      </c>
      <c r="I1765" s="4" t="str" cm="1">
        <f t="array" ref="I1765">IF(NOT(ISBLANK(A1765)),((_xlfn.XLOOKUP(1,(_bbt3[[#All],[ID]]=A1765)*(_bbt3[[#All],[METRIC_NAME]]="YLD_YTM_ASK"),_bbt3[[#All],[METRIC_VALUE]])*0.5)+(_xlfn.XLOOKUP(1,(_bbt3[[#All],[ID]]=A1765)*(_bbt3[[#All],[METRIC_NAME]]="YLD_YTM_BID"),_bbt3[[#All],[METRIC_VALUE]])*0.5))/100,"")</f>
        <v/>
      </c>
      <c r="J1765">
        <f>IF(ISNA(VLOOKUP(A1765,'CloseDL - PriceSaverBBT3'!A:E,5,0)),0,VLOOKUP(A1765,'CloseDL - PriceSaverBBT3'!A:E,5,0))</f>
        <v>0</v>
      </c>
      <c r="K1765" s="7" t="str">
        <f t="shared" si="225"/>
        <v/>
      </c>
      <c r="L1765" s="20" t="e">
        <f>IF(Close[[#This Row],[CreatedBy]]="MARINER\SilverAdm",1,0)</f>
        <v>#VALUE!</v>
      </c>
      <c r="M1765" t="str">
        <f>IF(NOT(ISBLANK(A1765)),VLOOKUP(A1765,'Close - PriceSaver'!A:J,6,0),"")</f>
        <v/>
      </c>
    </row>
    <row r="1766" spans="2:13" x14ac:dyDescent="0.35">
      <c r="B1766" t="str">
        <f>IF(NOT(ISBLANK(A1766)),VLOOKUP(A1766,'BBT3'!A:F,2,0),"")</f>
        <v/>
      </c>
      <c r="C1766" t="str">
        <f>IF(NOT(ISBLANK(A1766)),VLOOKUP(A1766,'BBT3'!A:F,3,0),"")</f>
        <v/>
      </c>
      <c r="D1766" s="5" t="str">
        <f>IF(NOT(ISBLANK(A1766)),VLOOKUP(A1766,'BBT3'!A:F,4,1),"")</f>
        <v/>
      </c>
      <c r="E1766" t="str">
        <f>IF(NOT(ISBLANK(A1766)),VLOOKUP(A1766,'BBT3'!A:F,5,0),"")</f>
        <v/>
      </c>
      <c r="F1766" t="str">
        <f>IF(NOT(ISBLANK(A1766)),VLOOKUP(A1766,'BBT3'!A:F,6,0),"")</f>
        <v/>
      </c>
      <c r="G1766" t="str">
        <f t="shared" si="224"/>
        <v/>
      </c>
      <c r="H1766" t="str">
        <f>IF(NOT(ISBLANK(A1766)),VLOOKUP(A1766,'Close - PriceSaver'!A:J,5,0),"")</f>
        <v/>
      </c>
      <c r="I1766" s="4" t="str" cm="1">
        <f t="array" ref="I1766">IF(NOT(ISBLANK(A1766)),((_xlfn.XLOOKUP(1,(_bbt3[[#All],[ID]]=A1766)*(_bbt3[[#All],[METRIC_NAME]]="YLD_YTM_ASK"),_bbt3[[#All],[METRIC_VALUE]])*0.5)+(_xlfn.XLOOKUP(1,(_bbt3[[#All],[ID]]=A1766)*(_bbt3[[#All],[METRIC_NAME]]="YLD_YTM_BID"),_bbt3[[#All],[METRIC_VALUE]])*0.5))/100,"")</f>
        <v/>
      </c>
      <c r="J1766">
        <f>IF(ISNA(VLOOKUP(A1766,'CloseDL - PriceSaverBBT3'!A:E,5,0)),0,VLOOKUP(A1766,'CloseDL - PriceSaverBBT3'!A:E,5,0))</f>
        <v>0</v>
      </c>
      <c r="K1766" s="7" t="str">
        <f t="shared" si="225"/>
        <v/>
      </c>
      <c r="L1766" s="20" t="e">
        <f>IF(Close[[#This Row],[CreatedBy]]="MARINER\SilverAdm",1,0)</f>
        <v>#VALUE!</v>
      </c>
      <c r="M1766" t="str">
        <f>IF(NOT(ISBLANK(A1766)),VLOOKUP(A1766,'Close - PriceSaver'!A:J,6,0),"")</f>
        <v/>
      </c>
    </row>
    <row r="1767" spans="2:13" x14ac:dyDescent="0.35">
      <c r="B1767" t="str">
        <f>IF(NOT(ISBLANK(A1767)),VLOOKUP(A1767,'BBT3'!A:F,2,0),"")</f>
        <v/>
      </c>
      <c r="C1767" t="str">
        <f>IF(NOT(ISBLANK(A1767)),VLOOKUP(A1767,'BBT3'!A:F,3,0),"")</f>
        <v/>
      </c>
      <c r="D1767" s="5" t="str">
        <f>IF(NOT(ISBLANK(A1767)),VLOOKUP(A1767,'BBT3'!A:F,4,1),"")</f>
        <v/>
      </c>
      <c r="E1767" t="str">
        <f>IF(NOT(ISBLANK(A1767)),VLOOKUP(A1767,'BBT3'!A:F,5,0),"")</f>
        <v/>
      </c>
      <c r="F1767" t="str">
        <f>IF(NOT(ISBLANK(A1767)),VLOOKUP(A1767,'BBT3'!A:F,6,0),"")</f>
        <v/>
      </c>
      <c r="G1767" t="str">
        <f t="shared" si="224"/>
        <v/>
      </c>
      <c r="H1767" t="str">
        <f>IF(NOT(ISBLANK(A1767)),VLOOKUP(A1767,'Close - PriceSaver'!A:J,5,0),"")</f>
        <v/>
      </c>
      <c r="I1767" s="4" t="str" cm="1">
        <f t="array" ref="I1767">IF(NOT(ISBLANK(A1767)),((_xlfn.XLOOKUP(1,(_bbt3[[#All],[ID]]=A1767)*(_bbt3[[#All],[METRIC_NAME]]="YLD_YTM_ASK"),_bbt3[[#All],[METRIC_VALUE]])*0.5)+(_xlfn.XLOOKUP(1,(_bbt3[[#All],[ID]]=A1767)*(_bbt3[[#All],[METRIC_NAME]]="YLD_YTM_BID"),_bbt3[[#All],[METRIC_VALUE]])*0.5))/100,"")</f>
        <v/>
      </c>
      <c r="J1767">
        <f>IF(ISNA(VLOOKUP(A1767,'CloseDL - PriceSaverBBT3'!A:E,5,0)),0,VLOOKUP(A1767,'CloseDL - PriceSaverBBT3'!A:E,5,0))</f>
        <v>0</v>
      </c>
      <c r="K1767" s="7" t="str">
        <f t="shared" si="225"/>
        <v/>
      </c>
      <c r="L1767" s="20" t="e">
        <f>IF(Close[[#This Row],[CreatedBy]]="MARINER\SilverAdm",1,0)</f>
        <v>#VALUE!</v>
      </c>
      <c r="M1767" t="str">
        <f>IF(NOT(ISBLANK(A1767)),VLOOKUP(A1767,'Close - PriceSaver'!A:J,6,0),"")</f>
        <v/>
      </c>
    </row>
    <row r="1768" spans="2:13" x14ac:dyDescent="0.35">
      <c r="B1768" t="str">
        <f>IF(NOT(ISBLANK(A1768)),VLOOKUP(A1768,'BBT3'!A:F,2,0),"")</f>
        <v/>
      </c>
      <c r="C1768" t="str">
        <f>IF(NOT(ISBLANK(A1768)),VLOOKUP(A1768,'BBT3'!A:F,3,0),"")</f>
        <v/>
      </c>
      <c r="D1768" s="5" t="str">
        <f>IF(NOT(ISBLANK(A1768)),VLOOKUP(A1768,'BBT3'!A:F,4,1),"")</f>
        <v/>
      </c>
      <c r="E1768" t="str">
        <f>IF(NOT(ISBLANK(A1768)),VLOOKUP(A1768,'BBT3'!A:F,5,0),"")</f>
        <v/>
      </c>
      <c r="F1768" t="str">
        <f>IF(NOT(ISBLANK(A1768)),VLOOKUP(A1768,'BBT3'!A:F,6,0),"")</f>
        <v/>
      </c>
      <c r="G1768" t="str">
        <f t="shared" si="224"/>
        <v/>
      </c>
      <c r="H1768" t="str">
        <f>IF(NOT(ISBLANK(A1768)),VLOOKUP(A1768,'Close - PriceSaver'!A:J,5,0),"")</f>
        <v/>
      </c>
      <c r="I1768" s="4" t="str" cm="1">
        <f t="array" ref="I1768">IF(NOT(ISBLANK(A1768)),((_xlfn.XLOOKUP(1,(_bbt3[[#All],[ID]]=A1768)*(_bbt3[[#All],[METRIC_NAME]]="YLD_YTM_ASK"),_bbt3[[#All],[METRIC_VALUE]])*0.5)+(_xlfn.XLOOKUP(1,(_bbt3[[#All],[ID]]=A1768)*(_bbt3[[#All],[METRIC_NAME]]="YLD_YTM_BID"),_bbt3[[#All],[METRIC_VALUE]])*0.5))/100,"")</f>
        <v/>
      </c>
      <c r="J1768">
        <f>IF(ISNA(VLOOKUP(A1768,'CloseDL - PriceSaverBBT3'!A:E,5,0)),0,VLOOKUP(A1768,'CloseDL - PriceSaverBBT3'!A:E,5,0))</f>
        <v>0</v>
      </c>
      <c r="K1768" s="7" t="str">
        <f t="shared" si="225"/>
        <v/>
      </c>
      <c r="L1768" s="20" t="e">
        <f>IF(Close[[#This Row],[CreatedBy]]="MARINER\SilverAdm",1,0)</f>
        <v>#VALUE!</v>
      </c>
      <c r="M1768" t="str">
        <f>IF(NOT(ISBLANK(A1768)),VLOOKUP(A1768,'Close - PriceSaver'!A:J,6,0),"")</f>
        <v/>
      </c>
    </row>
    <row r="1769" spans="2:13" x14ac:dyDescent="0.35">
      <c r="B1769" t="str">
        <f>IF(NOT(ISBLANK(A1769)),VLOOKUP(A1769,'BBT3'!A:F,2,0),"")</f>
        <v/>
      </c>
      <c r="C1769" t="str">
        <f>IF(NOT(ISBLANK(A1769)),VLOOKUP(A1769,'BBT3'!A:F,3,0),"")</f>
        <v/>
      </c>
      <c r="D1769" s="5" t="str">
        <f>IF(NOT(ISBLANK(A1769)),VLOOKUP(A1769,'BBT3'!A:F,4,1),"")</f>
        <v/>
      </c>
      <c r="E1769" t="str">
        <f>IF(NOT(ISBLANK(A1769)),VLOOKUP(A1769,'BBT3'!A:F,5,0),"")</f>
        <v/>
      </c>
      <c r="F1769" t="str">
        <f>IF(NOT(ISBLANK(A1769)),VLOOKUP(A1769,'BBT3'!A:F,6,0),"")</f>
        <v/>
      </c>
      <c r="G1769" t="str">
        <f t="shared" si="224"/>
        <v/>
      </c>
      <c r="H1769" t="str">
        <f>IF(NOT(ISBLANK(A1769)),VLOOKUP(A1769,'Close - PriceSaver'!A:J,5,0),"")</f>
        <v/>
      </c>
      <c r="I1769" s="4" t="str" cm="1">
        <f t="array" ref="I1769">IF(NOT(ISBLANK(A1769)),((_xlfn.XLOOKUP(1,(_bbt3[[#All],[ID]]=A1769)*(_bbt3[[#All],[METRIC_NAME]]="YLD_YTM_ASK"),_bbt3[[#All],[METRIC_VALUE]])*0.5)+(_xlfn.XLOOKUP(1,(_bbt3[[#All],[ID]]=A1769)*(_bbt3[[#All],[METRIC_NAME]]="YLD_YTM_BID"),_bbt3[[#All],[METRIC_VALUE]])*0.5))/100,"")</f>
        <v/>
      </c>
      <c r="J1769">
        <f>IF(ISNA(VLOOKUP(A1769,'CloseDL - PriceSaverBBT3'!A:E,5,0)),0,VLOOKUP(A1769,'CloseDL - PriceSaverBBT3'!A:E,5,0))</f>
        <v>0</v>
      </c>
      <c r="K1769" s="7" t="str">
        <f t="shared" si="225"/>
        <v/>
      </c>
      <c r="L1769" s="20" t="e">
        <f>IF(Close[[#This Row],[CreatedBy]]="MARINER\SilverAdm",1,0)</f>
        <v>#VALUE!</v>
      </c>
      <c r="M1769" t="str">
        <f>IF(NOT(ISBLANK(A1769)),VLOOKUP(A1769,'Close - PriceSaver'!A:J,6,0),"")</f>
        <v/>
      </c>
    </row>
    <row r="1770" spans="2:13" x14ac:dyDescent="0.35">
      <c r="B1770" t="str">
        <f>IF(NOT(ISBLANK(A1770)),VLOOKUP(A1770,'BBT3'!A:F,2,0),"")</f>
        <v/>
      </c>
      <c r="C1770" t="str">
        <f>IF(NOT(ISBLANK(A1770)),VLOOKUP(A1770,'BBT3'!A:F,3,0),"")</f>
        <v/>
      </c>
      <c r="D1770" s="5" t="str">
        <f>IF(NOT(ISBLANK(A1770)),VLOOKUP(A1770,'BBT3'!A:F,4,1),"")</f>
        <v/>
      </c>
      <c r="E1770" t="str">
        <f>IF(NOT(ISBLANK(A1770)),VLOOKUP(A1770,'BBT3'!A:F,5,0),"")</f>
        <v/>
      </c>
      <c r="F1770" t="str">
        <f>IF(NOT(ISBLANK(A1770)),VLOOKUP(A1770,'BBT3'!A:F,6,0),"")</f>
        <v/>
      </c>
      <c r="G1770" t="str">
        <f t="shared" si="224"/>
        <v/>
      </c>
      <c r="H1770" t="str">
        <f>IF(NOT(ISBLANK(A1770)),VLOOKUP(A1770,'Close - PriceSaver'!A:J,5,0),"")</f>
        <v/>
      </c>
      <c r="I1770" s="4" t="str" cm="1">
        <f t="array" ref="I1770">IF(NOT(ISBLANK(A1770)),((_xlfn.XLOOKUP(1,(_bbt3[[#All],[ID]]=A1770)*(_bbt3[[#All],[METRIC_NAME]]="YLD_YTM_ASK"),_bbt3[[#All],[METRIC_VALUE]])*0.5)+(_xlfn.XLOOKUP(1,(_bbt3[[#All],[ID]]=A1770)*(_bbt3[[#All],[METRIC_NAME]]="YLD_YTM_BID"),_bbt3[[#All],[METRIC_VALUE]])*0.5))/100,"")</f>
        <v/>
      </c>
      <c r="J1770">
        <f>IF(ISNA(VLOOKUP(A1770,'CloseDL - PriceSaverBBT3'!A:E,5,0)),0,VLOOKUP(A1770,'CloseDL - PriceSaverBBT3'!A:E,5,0))</f>
        <v>0</v>
      </c>
      <c r="K1770" s="7" t="str">
        <f t="shared" si="225"/>
        <v/>
      </c>
      <c r="L1770" s="20" t="e">
        <f>IF(Close[[#This Row],[CreatedBy]]="MARINER\SilverAdm",1,0)</f>
        <v>#VALUE!</v>
      </c>
      <c r="M1770" t="str">
        <f>IF(NOT(ISBLANK(A1770)),VLOOKUP(A1770,'Close - PriceSaver'!A:J,6,0),"")</f>
        <v/>
      </c>
    </row>
    <row r="1771" spans="2:13" x14ac:dyDescent="0.35">
      <c r="B1771" t="str">
        <f>IF(NOT(ISBLANK(A1771)),VLOOKUP(A1771,'BBT3'!A:F,2,0),"")</f>
        <v/>
      </c>
      <c r="C1771" t="str">
        <f>IF(NOT(ISBLANK(A1771)),VLOOKUP(A1771,'BBT3'!A:F,3,0),"")</f>
        <v/>
      </c>
      <c r="D1771" s="5" t="str">
        <f>IF(NOT(ISBLANK(A1771)),VLOOKUP(A1771,'BBT3'!A:F,4,1),"")</f>
        <v/>
      </c>
      <c r="E1771" t="str">
        <f>IF(NOT(ISBLANK(A1771)),VLOOKUP(A1771,'BBT3'!A:F,5,0),"")</f>
        <v/>
      </c>
      <c r="F1771" t="str">
        <f>IF(NOT(ISBLANK(A1771)),VLOOKUP(A1771,'BBT3'!A:F,6,0),"")</f>
        <v/>
      </c>
      <c r="G1771" t="str">
        <f t="shared" si="224"/>
        <v/>
      </c>
      <c r="H1771" t="str">
        <f>IF(NOT(ISBLANK(A1771)),VLOOKUP(A1771,'Close - PriceSaver'!A:J,5,0),"")</f>
        <v/>
      </c>
      <c r="I1771" s="4" t="str" cm="1">
        <f t="array" ref="I1771">IF(NOT(ISBLANK(A1771)),((_xlfn.XLOOKUP(1,(_bbt3[[#All],[ID]]=A1771)*(_bbt3[[#All],[METRIC_NAME]]="YLD_YTM_ASK"),_bbt3[[#All],[METRIC_VALUE]])*0.5)+(_xlfn.XLOOKUP(1,(_bbt3[[#All],[ID]]=A1771)*(_bbt3[[#All],[METRIC_NAME]]="YLD_YTM_BID"),_bbt3[[#All],[METRIC_VALUE]])*0.5))/100,"")</f>
        <v/>
      </c>
      <c r="J1771">
        <f>IF(ISNA(VLOOKUP(A1771,'CloseDL - PriceSaverBBT3'!A:E,5,0)),0,VLOOKUP(A1771,'CloseDL - PriceSaverBBT3'!A:E,5,0))</f>
        <v>0</v>
      </c>
      <c r="K1771" s="7" t="str">
        <f t="shared" si="225"/>
        <v/>
      </c>
      <c r="L1771" s="20" t="e">
        <f>IF(Close[[#This Row],[CreatedBy]]="MARINER\SilverAdm",1,0)</f>
        <v>#VALUE!</v>
      </c>
      <c r="M1771" t="str">
        <f>IF(NOT(ISBLANK(A1771)),VLOOKUP(A1771,'Close - PriceSaver'!A:J,6,0),"")</f>
        <v/>
      </c>
    </row>
    <row r="1772" spans="2:13" x14ac:dyDescent="0.35">
      <c r="B1772" t="str">
        <f>IF(NOT(ISBLANK(A1772)),VLOOKUP(A1772,'BBT3'!A:F,2,0),"")</f>
        <v/>
      </c>
      <c r="C1772" t="str">
        <f>IF(NOT(ISBLANK(A1772)),VLOOKUP(A1772,'BBT3'!A:F,3,0),"")</f>
        <v/>
      </c>
      <c r="D1772" s="5" t="str">
        <f>IF(NOT(ISBLANK(A1772)),VLOOKUP(A1772,'BBT3'!A:F,4,1),"")</f>
        <v/>
      </c>
      <c r="E1772" t="str">
        <f>IF(NOT(ISBLANK(A1772)),VLOOKUP(A1772,'BBT3'!A:F,5,0),"")</f>
        <v/>
      </c>
      <c r="F1772" t="str">
        <f>IF(NOT(ISBLANK(A1772)),VLOOKUP(A1772,'BBT3'!A:F,6,0),"")</f>
        <v/>
      </c>
      <c r="G1772" t="str">
        <f t="shared" si="224"/>
        <v/>
      </c>
      <c r="H1772" t="str">
        <f>IF(NOT(ISBLANK(A1772)),VLOOKUP(A1772,'Close - PriceSaver'!A:J,5,0),"")</f>
        <v/>
      </c>
      <c r="I1772" s="4" t="str" cm="1">
        <f t="array" ref="I1772">IF(NOT(ISBLANK(A1772)),((_xlfn.XLOOKUP(1,(_bbt3[[#All],[ID]]=A1772)*(_bbt3[[#All],[METRIC_NAME]]="YLD_YTM_ASK"),_bbt3[[#All],[METRIC_VALUE]])*0.5)+(_xlfn.XLOOKUP(1,(_bbt3[[#All],[ID]]=A1772)*(_bbt3[[#All],[METRIC_NAME]]="YLD_YTM_BID"),_bbt3[[#All],[METRIC_VALUE]])*0.5))/100,"")</f>
        <v/>
      </c>
      <c r="J1772">
        <f>IF(ISNA(VLOOKUP(A1772,'CloseDL - PriceSaverBBT3'!A:E,5,0)),0,VLOOKUP(A1772,'CloseDL - PriceSaverBBT3'!A:E,5,0))</f>
        <v>0</v>
      </c>
      <c r="K1772" s="7" t="str">
        <f t="shared" si="225"/>
        <v/>
      </c>
      <c r="L1772" s="20" t="e">
        <f>IF(Close[[#This Row],[CreatedBy]]="MARINER\SilverAdm",1,0)</f>
        <v>#VALUE!</v>
      </c>
      <c r="M1772" t="str">
        <f>IF(NOT(ISBLANK(A1772)),VLOOKUP(A1772,'Close - PriceSaver'!A:J,6,0),"")</f>
        <v/>
      </c>
    </row>
    <row r="1773" spans="2:13" x14ac:dyDescent="0.35">
      <c r="B1773" t="str">
        <f>IF(NOT(ISBLANK(A1773)),VLOOKUP(A1773,'BBT3'!A:F,2,0),"")</f>
        <v/>
      </c>
      <c r="C1773" t="str">
        <f>IF(NOT(ISBLANK(A1773)),VLOOKUP(A1773,'BBT3'!A:F,3,0),"")</f>
        <v/>
      </c>
      <c r="D1773" s="5" t="str">
        <f>IF(NOT(ISBLANK(A1773)),VLOOKUP(A1773,'BBT3'!A:F,4,1),"")</f>
        <v/>
      </c>
      <c r="E1773" t="str">
        <f>IF(NOT(ISBLANK(A1773)),VLOOKUP(A1773,'BBT3'!A:F,5,0),"")</f>
        <v/>
      </c>
      <c r="F1773" t="str">
        <f>IF(NOT(ISBLANK(A1773)),VLOOKUP(A1773,'BBT3'!A:F,6,0),"")</f>
        <v/>
      </c>
      <c r="G1773" t="str">
        <f t="shared" si="224"/>
        <v/>
      </c>
      <c r="H1773" t="str">
        <f>IF(NOT(ISBLANK(A1773)),VLOOKUP(A1773,'Close - PriceSaver'!A:J,5,0),"")</f>
        <v/>
      </c>
      <c r="I1773" s="4" t="str" cm="1">
        <f t="array" ref="I1773">IF(NOT(ISBLANK(A1773)),((_xlfn.XLOOKUP(1,(_bbt3[[#All],[ID]]=A1773)*(_bbt3[[#All],[METRIC_NAME]]="YLD_YTM_ASK"),_bbt3[[#All],[METRIC_VALUE]])*0.5)+(_xlfn.XLOOKUP(1,(_bbt3[[#All],[ID]]=A1773)*(_bbt3[[#All],[METRIC_NAME]]="YLD_YTM_BID"),_bbt3[[#All],[METRIC_VALUE]])*0.5))/100,"")</f>
        <v/>
      </c>
      <c r="J1773">
        <f>IF(ISNA(VLOOKUP(A1773,'CloseDL - PriceSaverBBT3'!A:E,5,0)),0,VLOOKUP(A1773,'CloseDL - PriceSaverBBT3'!A:E,5,0))</f>
        <v>0</v>
      </c>
      <c r="K1773" s="7" t="str">
        <f t="shared" si="225"/>
        <v/>
      </c>
      <c r="L1773" s="20" t="e">
        <f>IF(Close[[#This Row],[CreatedBy]]="MARINER\SilverAdm",1,0)</f>
        <v>#VALUE!</v>
      </c>
      <c r="M1773" t="str">
        <f>IF(NOT(ISBLANK(A1773)),VLOOKUP(A1773,'Close - PriceSaver'!A:J,6,0),"")</f>
        <v/>
      </c>
    </row>
    <row r="1774" spans="2:13" x14ac:dyDescent="0.35">
      <c r="B1774" t="str">
        <f>IF(NOT(ISBLANK(A1774)),VLOOKUP(A1774,'BBT3'!A:F,2,0),"")</f>
        <v/>
      </c>
      <c r="C1774" t="str">
        <f>IF(NOT(ISBLANK(A1774)),VLOOKUP(A1774,'BBT3'!A:F,3,0),"")</f>
        <v/>
      </c>
      <c r="D1774" s="5" t="str">
        <f>IF(NOT(ISBLANK(A1774)),VLOOKUP(A1774,'BBT3'!A:F,4,1),"")</f>
        <v/>
      </c>
      <c r="E1774" t="str">
        <f>IF(NOT(ISBLANK(A1774)),VLOOKUP(A1774,'BBT3'!A:F,5,0),"")</f>
        <v/>
      </c>
      <c r="F1774" t="str">
        <f>IF(NOT(ISBLANK(A1774)),VLOOKUP(A1774,'BBT3'!A:F,6,0),"")</f>
        <v/>
      </c>
      <c r="G1774" t="str">
        <f t="shared" si="224"/>
        <v/>
      </c>
      <c r="H1774" t="str">
        <f>IF(NOT(ISBLANK(A1774)),VLOOKUP(A1774,'Close - PriceSaver'!A:J,5,0),"")</f>
        <v/>
      </c>
      <c r="I1774" s="4" t="str" cm="1">
        <f t="array" ref="I1774">IF(NOT(ISBLANK(A1774)),((_xlfn.XLOOKUP(1,(_bbt3[[#All],[ID]]=A1774)*(_bbt3[[#All],[METRIC_NAME]]="YLD_YTM_ASK"),_bbt3[[#All],[METRIC_VALUE]])*0.5)+(_xlfn.XLOOKUP(1,(_bbt3[[#All],[ID]]=A1774)*(_bbt3[[#All],[METRIC_NAME]]="YLD_YTM_BID"),_bbt3[[#All],[METRIC_VALUE]])*0.5))/100,"")</f>
        <v/>
      </c>
      <c r="J1774">
        <f>IF(ISNA(VLOOKUP(A1774,'CloseDL - PriceSaverBBT3'!A:E,5,0)),0,VLOOKUP(A1774,'CloseDL - PriceSaverBBT3'!A:E,5,0))</f>
        <v>0</v>
      </c>
      <c r="K1774" s="7" t="str">
        <f t="shared" si="225"/>
        <v/>
      </c>
      <c r="L1774" s="20" t="e">
        <f>IF(Close[[#This Row],[CreatedBy]]="MARINER\SilverAdm",1,0)</f>
        <v>#VALUE!</v>
      </c>
      <c r="M1774" t="str">
        <f>IF(NOT(ISBLANK(A1774)),VLOOKUP(A1774,'Close - PriceSaver'!A:J,6,0),"")</f>
        <v/>
      </c>
    </row>
    <row r="1775" spans="2:13" x14ac:dyDescent="0.35">
      <c r="B1775" t="str">
        <f>IF(NOT(ISBLANK(A1775)),VLOOKUP(A1775,'BBT3'!A:F,2,0),"")</f>
        <v/>
      </c>
      <c r="C1775" t="str">
        <f>IF(NOT(ISBLANK(A1775)),VLOOKUP(A1775,'BBT3'!A:F,3,0),"")</f>
        <v/>
      </c>
      <c r="D1775" s="5" t="str">
        <f>IF(NOT(ISBLANK(A1775)),VLOOKUP(A1775,'BBT3'!A:F,4,1),"")</f>
        <v/>
      </c>
      <c r="E1775" t="str">
        <f>IF(NOT(ISBLANK(A1775)),VLOOKUP(A1775,'BBT3'!A:F,5,0),"")</f>
        <v/>
      </c>
      <c r="F1775" t="str">
        <f>IF(NOT(ISBLANK(A1775)),VLOOKUP(A1775,'BBT3'!A:F,6,0),"")</f>
        <v/>
      </c>
      <c r="G1775" t="str">
        <f t="shared" si="224"/>
        <v/>
      </c>
      <c r="H1775" t="str">
        <f>IF(NOT(ISBLANK(A1775)),VLOOKUP(A1775,'Close - PriceSaver'!A:J,5,0),"")</f>
        <v/>
      </c>
      <c r="I1775" s="4" t="str" cm="1">
        <f t="array" ref="I1775">IF(NOT(ISBLANK(A1775)),((_xlfn.XLOOKUP(1,(_bbt3[[#All],[ID]]=A1775)*(_bbt3[[#All],[METRIC_NAME]]="YLD_YTM_ASK"),_bbt3[[#All],[METRIC_VALUE]])*0.5)+(_xlfn.XLOOKUP(1,(_bbt3[[#All],[ID]]=A1775)*(_bbt3[[#All],[METRIC_NAME]]="YLD_YTM_BID"),_bbt3[[#All],[METRIC_VALUE]])*0.5))/100,"")</f>
        <v/>
      </c>
      <c r="J1775">
        <f>IF(ISNA(VLOOKUP(A1775,'CloseDL - PriceSaverBBT3'!A:E,5,0)),0,VLOOKUP(A1775,'CloseDL - PriceSaverBBT3'!A:E,5,0))</f>
        <v>0</v>
      </c>
      <c r="K1775" s="7" t="str">
        <f t="shared" si="225"/>
        <v/>
      </c>
      <c r="L1775" s="20" t="e">
        <f>IF(Close[[#This Row],[CreatedBy]]="MARINER\SilverAdm",1,0)</f>
        <v>#VALUE!</v>
      </c>
      <c r="M1775" t="str">
        <f>IF(NOT(ISBLANK(A1775)),VLOOKUP(A1775,'Close - PriceSaver'!A:J,6,0),"")</f>
        <v/>
      </c>
    </row>
    <row r="1776" spans="2:13" x14ac:dyDescent="0.35">
      <c r="B1776" t="str">
        <f>IF(NOT(ISBLANK(A1776)),VLOOKUP(A1776,'BBT3'!A:F,2,0),"")</f>
        <v/>
      </c>
      <c r="C1776" t="str">
        <f>IF(NOT(ISBLANK(A1776)),VLOOKUP(A1776,'BBT3'!A:F,3,0),"")</f>
        <v/>
      </c>
      <c r="D1776" s="5" t="str">
        <f>IF(NOT(ISBLANK(A1776)),VLOOKUP(A1776,'BBT3'!A:F,4,1),"")</f>
        <v/>
      </c>
      <c r="E1776" t="str">
        <f>IF(NOT(ISBLANK(A1776)),VLOOKUP(A1776,'BBT3'!A:F,5,0),"")</f>
        <v/>
      </c>
      <c r="F1776" t="str">
        <f>IF(NOT(ISBLANK(A1776)),VLOOKUP(A1776,'BBT3'!A:F,6,0),"")</f>
        <v/>
      </c>
      <c r="G1776" t="str">
        <f t="shared" si="224"/>
        <v/>
      </c>
      <c r="H1776" t="str">
        <f>IF(NOT(ISBLANK(A1776)),VLOOKUP(A1776,'Close - PriceSaver'!A:J,5,0),"")</f>
        <v/>
      </c>
      <c r="I1776" s="4" t="str" cm="1">
        <f t="array" ref="I1776">IF(NOT(ISBLANK(A1776)),((_xlfn.XLOOKUP(1,(_bbt3[[#All],[ID]]=A1776)*(_bbt3[[#All],[METRIC_NAME]]="YLD_YTM_ASK"),_bbt3[[#All],[METRIC_VALUE]])*0.5)+(_xlfn.XLOOKUP(1,(_bbt3[[#All],[ID]]=A1776)*(_bbt3[[#All],[METRIC_NAME]]="YLD_YTM_BID"),_bbt3[[#All],[METRIC_VALUE]])*0.5))/100,"")</f>
        <v/>
      </c>
      <c r="J1776">
        <f>IF(ISNA(VLOOKUP(A1776,'CloseDL - PriceSaverBBT3'!A:E,5,0)),0,VLOOKUP(A1776,'CloseDL - PriceSaverBBT3'!A:E,5,0))</f>
        <v>0</v>
      </c>
      <c r="K1776" s="7" t="str">
        <f t="shared" si="225"/>
        <v/>
      </c>
      <c r="L1776" s="20" t="e">
        <f>IF(Close[[#This Row],[CreatedBy]]="MARINER\SilverAdm",1,0)</f>
        <v>#VALUE!</v>
      </c>
      <c r="M1776" t="str">
        <f>IF(NOT(ISBLANK(A1776)),VLOOKUP(A1776,'Close - PriceSaver'!A:J,6,0),"")</f>
        <v/>
      </c>
    </row>
    <row r="1777" spans="2:13" x14ac:dyDescent="0.35">
      <c r="B1777" t="str">
        <f>IF(NOT(ISBLANK(A1777)),VLOOKUP(A1777,'BBT3'!A:F,2,0),"")</f>
        <v/>
      </c>
      <c r="C1777" t="str">
        <f>IF(NOT(ISBLANK(A1777)),VLOOKUP(A1777,'BBT3'!A:F,3,0),"")</f>
        <v/>
      </c>
      <c r="D1777" s="5" t="str">
        <f>IF(NOT(ISBLANK(A1777)),VLOOKUP(A1777,'BBT3'!A:F,4,1),"")</f>
        <v/>
      </c>
      <c r="E1777" t="str">
        <f>IF(NOT(ISBLANK(A1777)),VLOOKUP(A1777,'BBT3'!A:F,5,0),"")</f>
        <v/>
      </c>
      <c r="F1777" t="str">
        <f>IF(NOT(ISBLANK(A1777)),VLOOKUP(A1777,'BBT3'!A:F,6,0),"")</f>
        <v/>
      </c>
      <c r="G1777" t="str">
        <f t="shared" si="224"/>
        <v/>
      </c>
      <c r="H1777" t="str">
        <f>IF(NOT(ISBLANK(A1777)),VLOOKUP(A1777,'Close - PriceSaver'!A:J,5,0),"")</f>
        <v/>
      </c>
      <c r="I1777" s="4" t="str" cm="1">
        <f t="array" ref="I1777">IF(NOT(ISBLANK(A1777)),((_xlfn.XLOOKUP(1,(_bbt3[[#All],[ID]]=A1777)*(_bbt3[[#All],[METRIC_NAME]]="YLD_YTM_ASK"),_bbt3[[#All],[METRIC_VALUE]])*0.5)+(_xlfn.XLOOKUP(1,(_bbt3[[#All],[ID]]=A1777)*(_bbt3[[#All],[METRIC_NAME]]="YLD_YTM_BID"),_bbt3[[#All],[METRIC_VALUE]])*0.5))/100,"")</f>
        <v/>
      </c>
      <c r="J1777">
        <f>IF(ISNA(VLOOKUP(A1777,'CloseDL - PriceSaverBBT3'!A:E,5,0)),0,VLOOKUP(A1777,'CloseDL - PriceSaverBBT3'!A:E,5,0))</f>
        <v>0</v>
      </c>
      <c r="K1777" s="7" t="str">
        <f t="shared" si="225"/>
        <v/>
      </c>
      <c r="L1777" s="20" t="e">
        <f>IF(Close[[#This Row],[CreatedBy]]="MARINER\SilverAdm",1,0)</f>
        <v>#VALUE!</v>
      </c>
      <c r="M1777" t="str">
        <f>IF(NOT(ISBLANK(A1777)),VLOOKUP(A1777,'Close - PriceSaver'!A:J,6,0),"")</f>
        <v/>
      </c>
    </row>
    <row r="1778" spans="2:13" x14ac:dyDescent="0.35">
      <c r="B1778" t="str">
        <f>IF(NOT(ISBLANK(A1778)),VLOOKUP(A1778,'BBT3'!A:F,2,0),"")</f>
        <v/>
      </c>
      <c r="C1778" t="str">
        <f>IF(NOT(ISBLANK(A1778)),VLOOKUP(A1778,'BBT3'!A:F,3,0),"")</f>
        <v/>
      </c>
      <c r="D1778" s="5" t="str">
        <f>IF(NOT(ISBLANK(A1778)),VLOOKUP(A1778,'BBT3'!A:F,4,1),"")</f>
        <v/>
      </c>
      <c r="E1778" t="str">
        <f>IF(NOT(ISBLANK(A1778)),VLOOKUP(A1778,'BBT3'!A:F,5,0),"")</f>
        <v/>
      </c>
      <c r="F1778" t="str">
        <f>IF(NOT(ISBLANK(A1778)),VLOOKUP(A1778,'BBT3'!A:F,6,0),"")</f>
        <v/>
      </c>
      <c r="G1778" t="str">
        <f t="shared" si="224"/>
        <v/>
      </c>
      <c r="H1778" t="str">
        <f>IF(NOT(ISBLANK(A1778)),VLOOKUP(A1778,'Close - PriceSaver'!A:J,5,0),"")</f>
        <v/>
      </c>
      <c r="I1778" s="4" t="str" cm="1">
        <f t="array" ref="I1778">IF(NOT(ISBLANK(A1778)),((_xlfn.XLOOKUP(1,(_bbt3[[#All],[ID]]=A1778)*(_bbt3[[#All],[METRIC_NAME]]="YLD_YTM_ASK"),_bbt3[[#All],[METRIC_VALUE]])*0.5)+(_xlfn.XLOOKUP(1,(_bbt3[[#All],[ID]]=A1778)*(_bbt3[[#All],[METRIC_NAME]]="YLD_YTM_BID"),_bbt3[[#All],[METRIC_VALUE]])*0.5))/100,"")</f>
        <v/>
      </c>
      <c r="J1778">
        <f>IF(ISNA(VLOOKUP(A1778,'CloseDL - PriceSaverBBT3'!A:E,5,0)),0,VLOOKUP(A1778,'CloseDL - PriceSaverBBT3'!A:E,5,0))</f>
        <v>0</v>
      </c>
      <c r="K1778" s="7" t="str">
        <f t="shared" si="225"/>
        <v/>
      </c>
      <c r="L1778" s="20" t="e">
        <f>IF(Close[[#This Row],[CreatedBy]]="MARINER\SilverAdm",1,0)</f>
        <v>#VALUE!</v>
      </c>
      <c r="M1778" t="str">
        <f>IF(NOT(ISBLANK(A1778)),VLOOKUP(A1778,'Close - PriceSaver'!A:J,6,0),"")</f>
        <v/>
      </c>
    </row>
    <row r="1779" spans="2:13" x14ac:dyDescent="0.35">
      <c r="B1779" t="str">
        <f>IF(NOT(ISBLANK(A1779)),VLOOKUP(A1779,'BBT3'!A:F,2,0),"")</f>
        <v/>
      </c>
      <c r="C1779" t="str">
        <f>IF(NOT(ISBLANK(A1779)),VLOOKUP(A1779,'BBT3'!A:F,3,0),"")</f>
        <v/>
      </c>
      <c r="D1779" s="5" t="str">
        <f>IF(NOT(ISBLANK(A1779)),VLOOKUP(A1779,'BBT3'!A:F,4,1),"")</f>
        <v/>
      </c>
      <c r="E1779" t="str">
        <f>IF(NOT(ISBLANK(A1779)),VLOOKUP(A1779,'BBT3'!A:F,5,0),"")</f>
        <v/>
      </c>
      <c r="F1779" t="str">
        <f>IF(NOT(ISBLANK(A1779)),VLOOKUP(A1779,'BBT3'!A:F,6,0),"")</f>
        <v/>
      </c>
      <c r="G1779" t="str">
        <f t="shared" si="224"/>
        <v/>
      </c>
      <c r="H1779" t="str">
        <f>IF(NOT(ISBLANK(A1779)),VLOOKUP(A1779,'Close - PriceSaver'!A:J,5,0),"")</f>
        <v/>
      </c>
      <c r="I1779" s="4" t="str" cm="1">
        <f t="array" ref="I1779">IF(NOT(ISBLANK(A1779)),((_xlfn.XLOOKUP(1,(_bbt3[[#All],[ID]]=A1779)*(_bbt3[[#All],[METRIC_NAME]]="YLD_YTM_ASK"),_bbt3[[#All],[METRIC_VALUE]])*0.5)+(_xlfn.XLOOKUP(1,(_bbt3[[#All],[ID]]=A1779)*(_bbt3[[#All],[METRIC_NAME]]="YLD_YTM_BID"),_bbt3[[#All],[METRIC_VALUE]])*0.5))/100,"")</f>
        <v/>
      </c>
      <c r="J1779">
        <f>IF(ISNA(VLOOKUP(A1779,'CloseDL - PriceSaverBBT3'!A:E,5,0)),0,VLOOKUP(A1779,'CloseDL - PriceSaverBBT3'!A:E,5,0))</f>
        <v>0</v>
      </c>
      <c r="K1779" s="7" t="str">
        <f t="shared" si="225"/>
        <v/>
      </c>
      <c r="L1779" s="20" t="e">
        <f>IF(Close[[#This Row],[CreatedBy]]="MARINER\SilverAdm",1,0)</f>
        <v>#VALUE!</v>
      </c>
      <c r="M1779" t="str">
        <f>IF(NOT(ISBLANK(A1779)),VLOOKUP(A1779,'Close - PriceSaver'!A:J,6,0),"")</f>
        <v/>
      </c>
    </row>
    <row r="1780" spans="2:13" x14ac:dyDescent="0.35">
      <c r="B1780" t="str">
        <f>IF(NOT(ISBLANK(A1780)),VLOOKUP(A1780,'BBT3'!A:F,2,0),"")</f>
        <v/>
      </c>
      <c r="C1780" t="str">
        <f>IF(NOT(ISBLANK(A1780)),VLOOKUP(A1780,'BBT3'!A:F,3,0),"")</f>
        <v/>
      </c>
      <c r="D1780" s="5" t="str">
        <f>IF(NOT(ISBLANK(A1780)),VLOOKUP(A1780,'BBT3'!A:F,4,1),"")</f>
        <v/>
      </c>
      <c r="E1780" t="str">
        <f>IF(NOT(ISBLANK(A1780)),VLOOKUP(A1780,'BBT3'!A:F,5,0),"")</f>
        <v/>
      </c>
      <c r="F1780" t="str">
        <f>IF(NOT(ISBLANK(A1780)),VLOOKUP(A1780,'BBT3'!A:F,6,0),"")</f>
        <v/>
      </c>
      <c r="G1780" t="str">
        <f t="shared" si="224"/>
        <v/>
      </c>
      <c r="H1780" t="str">
        <f>IF(NOT(ISBLANK(A1780)),VLOOKUP(A1780,'Close - PriceSaver'!A:J,5,0),"")</f>
        <v/>
      </c>
      <c r="I1780" s="4" t="str" cm="1">
        <f t="array" ref="I1780">IF(NOT(ISBLANK(A1780)),((_xlfn.XLOOKUP(1,(_bbt3[[#All],[ID]]=A1780)*(_bbt3[[#All],[METRIC_NAME]]="YLD_YTM_ASK"),_bbt3[[#All],[METRIC_VALUE]])*0.5)+(_xlfn.XLOOKUP(1,(_bbt3[[#All],[ID]]=A1780)*(_bbt3[[#All],[METRIC_NAME]]="YLD_YTM_BID"),_bbt3[[#All],[METRIC_VALUE]])*0.5))/100,"")</f>
        <v/>
      </c>
      <c r="J1780">
        <f>IF(ISNA(VLOOKUP(A1780,'CloseDL - PriceSaverBBT3'!A:E,5,0)),0,VLOOKUP(A1780,'CloseDL - PriceSaverBBT3'!A:E,5,0))</f>
        <v>0</v>
      </c>
      <c r="K1780" s="7" t="str">
        <f t="shared" si="225"/>
        <v/>
      </c>
      <c r="L1780" s="20" t="e">
        <f>IF(Close[[#This Row],[CreatedBy]]="MARINER\SilverAdm",1,0)</f>
        <v>#VALUE!</v>
      </c>
      <c r="M1780" t="str">
        <f>IF(NOT(ISBLANK(A1780)),VLOOKUP(A1780,'Close - PriceSaver'!A:J,6,0),"")</f>
        <v/>
      </c>
    </row>
    <row r="1781" spans="2:13" x14ac:dyDescent="0.35">
      <c r="B1781" t="str">
        <f>IF(NOT(ISBLANK(A1781)),VLOOKUP(A1781,'BBT3'!A:F,2,0),"")</f>
        <v/>
      </c>
      <c r="C1781" t="str">
        <f>IF(NOT(ISBLANK(A1781)),VLOOKUP(A1781,'BBT3'!A:F,3,0),"")</f>
        <v/>
      </c>
      <c r="D1781" s="5" t="str">
        <f>IF(NOT(ISBLANK(A1781)),VLOOKUP(A1781,'BBT3'!A:F,4,1),"")</f>
        <v/>
      </c>
      <c r="E1781" t="str">
        <f>IF(NOT(ISBLANK(A1781)),VLOOKUP(A1781,'BBT3'!A:F,5,0),"")</f>
        <v/>
      </c>
      <c r="F1781" t="str">
        <f>IF(NOT(ISBLANK(A1781)),VLOOKUP(A1781,'BBT3'!A:F,6,0),"")</f>
        <v/>
      </c>
      <c r="G1781" t="str">
        <f t="shared" si="224"/>
        <v/>
      </c>
      <c r="H1781" t="str">
        <f>IF(NOT(ISBLANK(A1781)),VLOOKUP(A1781,'Close - PriceSaver'!A:J,5,0),"")</f>
        <v/>
      </c>
      <c r="I1781" s="4" t="str" cm="1">
        <f t="array" ref="I1781">IF(NOT(ISBLANK(A1781)),((_xlfn.XLOOKUP(1,(_bbt3[[#All],[ID]]=A1781)*(_bbt3[[#All],[METRIC_NAME]]="YLD_YTM_ASK"),_bbt3[[#All],[METRIC_VALUE]])*0.5)+(_xlfn.XLOOKUP(1,(_bbt3[[#All],[ID]]=A1781)*(_bbt3[[#All],[METRIC_NAME]]="YLD_YTM_BID"),_bbt3[[#All],[METRIC_VALUE]])*0.5))/100,"")</f>
        <v/>
      </c>
      <c r="J1781">
        <f>IF(ISNA(VLOOKUP(A1781,'CloseDL - PriceSaverBBT3'!A:E,5,0)),0,VLOOKUP(A1781,'CloseDL - PriceSaverBBT3'!A:E,5,0))</f>
        <v>0</v>
      </c>
      <c r="K1781" s="7" t="str">
        <f t="shared" si="225"/>
        <v/>
      </c>
      <c r="L1781" s="20" t="e">
        <f>IF(Close[[#This Row],[CreatedBy]]="MARINER\SilverAdm",1,0)</f>
        <v>#VALUE!</v>
      </c>
      <c r="M1781" t="str">
        <f>IF(NOT(ISBLANK(A1781)),VLOOKUP(A1781,'Close - PriceSaver'!A:J,6,0),"")</f>
        <v/>
      </c>
    </row>
    <row r="1782" spans="2:13" x14ac:dyDescent="0.35">
      <c r="B1782" t="str">
        <f>IF(NOT(ISBLANK(A1782)),VLOOKUP(A1782,'BBT3'!A:F,2,0),"")</f>
        <v/>
      </c>
      <c r="C1782" t="str">
        <f>IF(NOT(ISBLANK(A1782)),VLOOKUP(A1782,'BBT3'!A:F,3,0),"")</f>
        <v/>
      </c>
      <c r="D1782" s="5" t="str">
        <f>IF(NOT(ISBLANK(A1782)),VLOOKUP(A1782,'BBT3'!A:F,4,1),"")</f>
        <v/>
      </c>
      <c r="E1782" t="str">
        <f>IF(NOT(ISBLANK(A1782)),VLOOKUP(A1782,'BBT3'!A:F,5,0),"")</f>
        <v/>
      </c>
      <c r="F1782" t="str">
        <f>IF(NOT(ISBLANK(A1782)),VLOOKUP(A1782,'BBT3'!A:F,6,0),"")</f>
        <v/>
      </c>
      <c r="G1782" t="str">
        <f t="shared" si="224"/>
        <v/>
      </c>
      <c r="H1782" t="str">
        <f>IF(NOT(ISBLANK(A1782)),VLOOKUP(A1782,'Close - PriceSaver'!A:J,5,0),"")</f>
        <v/>
      </c>
      <c r="I1782" s="4" t="str" cm="1">
        <f t="array" ref="I1782">IF(NOT(ISBLANK(A1782)),((_xlfn.XLOOKUP(1,(_bbt3[[#All],[ID]]=A1782)*(_bbt3[[#All],[METRIC_NAME]]="YLD_YTM_ASK"),_bbt3[[#All],[METRIC_VALUE]])*0.5)+(_xlfn.XLOOKUP(1,(_bbt3[[#All],[ID]]=A1782)*(_bbt3[[#All],[METRIC_NAME]]="YLD_YTM_BID"),_bbt3[[#All],[METRIC_VALUE]])*0.5))/100,"")</f>
        <v/>
      </c>
      <c r="J1782">
        <f>IF(ISNA(VLOOKUP(A1782,'CloseDL - PriceSaverBBT3'!A:E,5,0)),0,VLOOKUP(A1782,'CloseDL - PriceSaverBBT3'!A:E,5,0))</f>
        <v>0</v>
      </c>
      <c r="K1782" s="7" t="str">
        <f t="shared" si="225"/>
        <v/>
      </c>
      <c r="L1782" s="20" t="e">
        <f>IF(Close[[#This Row],[CreatedBy]]="MARINER\SilverAdm",1,0)</f>
        <v>#VALUE!</v>
      </c>
      <c r="M1782" t="str">
        <f>IF(NOT(ISBLANK(A1782)),VLOOKUP(A1782,'Close - PriceSaver'!A:J,6,0),"")</f>
        <v/>
      </c>
    </row>
    <row r="1783" spans="2:13" x14ac:dyDescent="0.35">
      <c r="B1783" t="str">
        <f>IF(NOT(ISBLANK(A1783)),VLOOKUP(A1783,'BBT3'!A:F,2,0),"")</f>
        <v/>
      </c>
      <c r="C1783" t="str">
        <f>IF(NOT(ISBLANK(A1783)),VLOOKUP(A1783,'BBT3'!A:F,3,0),"")</f>
        <v/>
      </c>
      <c r="D1783" s="5" t="str">
        <f>IF(NOT(ISBLANK(A1783)),VLOOKUP(A1783,'BBT3'!A:F,4,1),"")</f>
        <v/>
      </c>
      <c r="E1783" t="str">
        <f>IF(NOT(ISBLANK(A1783)),VLOOKUP(A1783,'BBT3'!A:F,5,0),"")</f>
        <v/>
      </c>
      <c r="F1783" t="str">
        <f>IF(NOT(ISBLANK(A1783)),VLOOKUP(A1783,'BBT3'!A:F,6,0),"")</f>
        <v/>
      </c>
      <c r="G1783" t="str">
        <f t="shared" si="224"/>
        <v/>
      </c>
      <c r="H1783" t="str">
        <f>IF(NOT(ISBLANK(A1783)),VLOOKUP(A1783,'Close - PriceSaver'!A:J,5,0),"")</f>
        <v/>
      </c>
      <c r="I1783" s="4" t="str" cm="1">
        <f t="array" ref="I1783">IF(NOT(ISBLANK(A1783)),((_xlfn.XLOOKUP(1,(_bbt3[[#All],[ID]]=A1783)*(_bbt3[[#All],[METRIC_NAME]]="YLD_YTM_ASK"),_bbt3[[#All],[METRIC_VALUE]])*0.5)+(_xlfn.XLOOKUP(1,(_bbt3[[#All],[ID]]=A1783)*(_bbt3[[#All],[METRIC_NAME]]="YLD_YTM_BID"),_bbt3[[#All],[METRIC_VALUE]])*0.5))/100,"")</f>
        <v/>
      </c>
      <c r="J1783">
        <f>IF(ISNA(VLOOKUP(A1783,'CloseDL - PriceSaverBBT3'!A:E,5,0)),0,VLOOKUP(A1783,'CloseDL - PriceSaverBBT3'!A:E,5,0))</f>
        <v>0</v>
      </c>
      <c r="K1783" s="7" t="str">
        <f t="shared" si="225"/>
        <v/>
      </c>
      <c r="L1783" s="20" t="e">
        <f>IF(Close[[#This Row],[CreatedBy]]="MARINER\SilverAdm",1,0)</f>
        <v>#VALUE!</v>
      </c>
      <c r="M1783" t="str">
        <f>IF(NOT(ISBLANK(A1783)),VLOOKUP(A1783,'Close - PriceSaver'!A:J,6,0),"")</f>
        <v/>
      </c>
    </row>
    <row r="1784" spans="2:13" x14ac:dyDescent="0.35">
      <c r="B1784" t="str">
        <f>IF(NOT(ISBLANK(A1784)),VLOOKUP(A1784,'BBT3'!A:F,2,0),"")</f>
        <v/>
      </c>
      <c r="C1784" t="str">
        <f>IF(NOT(ISBLANK(A1784)),VLOOKUP(A1784,'BBT3'!A:F,3,0),"")</f>
        <v/>
      </c>
      <c r="D1784" s="5" t="str">
        <f>IF(NOT(ISBLANK(A1784)),VLOOKUP(A1784,'BBT3'!A:F,4,1),"")</f>
        <v/>
      </c>
      <c r="E1784" t="str">
        <f>IF(NOT(ISBLANK(A1784)),VLOOKUP(A1784,'BBT3'!A:F,5,0),"")</f>
        <v/>
      </c>
      <c r="F1784" t="str">
        <f>IF(NOT(ISBLANK(A1784)),VLOOKUP(A1784,'BBT3'!A:F,6,0),"")</f>
        <v/>
      </c>
      <c r="G1784" t="str">
        <f t="shared" si="224"/>
        <v/>
      </c>
      <c r="H1784" t="str">
        <f>IF(NOT(ISBLANK(A1784)),VLOOKUP(A1784,'Close - PriceSaver'!A:J,5,0),"")</f>
        <v/>
      </c>
      <c r="I1784" s="4" t="str" cm="1">
        <f t="array" ref="I1784">IF(NOT(ISBLANK(A1784)),((_xlfn.XLOOKUP(1,(_bbt3[[#All],[ID]]=A1784)*(_bbt3[[#All],[METRIC_NAME]]="YLD_YTM_ASK"),_bbt3[[#All],[METRIC_VALUE]])*0.5)+(_xlfn.XLOOKUP(1,(_bbt3[[#All],[ID]]=A1784)*(_bbt3[[#All],[METRIC_NAME]]="YLD_YTM_BID"),_bbt3[[#All],[METRIC_VALUE]])*0.5))/100,"")</f>
        <v/>
      </c>
      <c r="J1784">
        <f>IF(ISNA(VLOOKUP(A1784,'CloseDL - PriceSaverBBT3'!A:E,5,0)),0,VLOOKUP(A1784,'CloseDL - PriceSaverBBT3'!A:E,5,0))</f>
        <v>0</v>
      </c>
      <c r="K1784" s="7" t="str">
        <f t="shared" si="225"/>
        <v/>
      </c>
      <c r="L1784" s="20" t="e">
        <f>IF(Close[[#This Row],[CreatedBy]]="MARINER\SilverAdm",1,0)</f>
        <v>#VALUE!</v>
      </c>
      <c r="M1784" t="str">
        <f>IF(NOT(ISBLANK(A1784)),VLOOKUP(A1784,'Close - PriceSaver'!A:J,6,0),"")</f>
        <v/>
      </c>
    </row>
    <row r="1785" spans="2:13" x14ac:dyDescent="0.35">
      <c r="B1785" t="str">
        <f>IF(NOT(ISBLANK(A1785)),VLOOKUP(A1785,'BBT3'!A:F,2,0),"")</f>
        <v/>
      </c>
      <c r="C1785" t="str">
        <f>IF(NOT(ISBLANK(A1785)),VLOOKUP(A1785,'BBT3'!A:F,3,0),"")</f>
        <v/>
      </c>
      <c r="D1785" s="5" t="str">
        <f>IF(NOT(ISBLANK(A1785)),VLOOKUP(A1785,'BBT3'!A:F,4,1),"")</f>
        <v/>
      </c>
      <c r="E1785" t="str">
        <f>IF(NOT(ISBLANK(A1785)),VLOOKUP(A1785,'BBT3'!A:F,5,0),"")</f>
        <v/>
      </c>
      <c r="F1785" t="str">
        <f>IF(NOT(ISBLANK(A1785)),VLOOKUP(A1785,'BBT3'!A:F,6,0),"")</f>
        <v/>
      </c>
      <c r="G1785" t="str">
        <f t="shared" si="224"/>
        <v/>
      </c>
      <c r="H1785" t="str">
        <f>IF(NOT(ISBLANK(A1785)),VLOOKUP(A1785,'Close - PriceSaver'!A:J,5,0),"")</f>
        <v/>
      </c>
      <c r="I1785" s="4" t="str" cm="1">
        <f t="array" ref="I1785">IF(NOT(ISBLANK(A1785)),((_xlfn.XLOOKUP(1,(_bbt3[[#All],[ID]]=A1785)*(_bbt3[[#All],[METRIC_NAME]]="YLD_YTM_ASK"),_bbt3[[#All],[METRIC_VALUE]])*0.5)+(_xlfn.XLOOKUP(1,(_bbt3[[#All],[ID]]=A1785)*(_bbt3[[#All],[METRIC_NAME]]="YLD_YTM_BID"),_bbt3[[#All],[METRIC_VALUE]])*0.5))/100,"")</f>
        <v/>
      </c>
      <c r="J1785">
        <f>IF(ISNA(VLOOKUP(A1785,'CloseDL - PriceSaverBBT3'!A:E,5,0)),0,VLOOKUP(A1785,'CloseDL - PriceSaverBBT3'!A:E,5,0))</f>
        <v>0</v>
      </c>
      <c r="K1785" s="7" t="str">
        <f t="shared" si="225"/>
        <v/>
      </c>
      <c r="L1785" s="20" t="e">
        <f>IF(Close[[#This Row],[CreatedBy]]="MARINER\SilverAdm",1,0)</f>
        <v>#VALUE!</v>
      </c>
      <c r="M1785" t="str">
        <f>IF(NOT(ISBLANK(A1785)),VLOOKUP(A1785,'Close - PriceSaver'!A:J,6,0),"")</f>
        <v/>
      </c>
    </row>
    <row r="1786" spans="2:13" x14ac:dyDescent="0.35">
      <c r="B1786" t="str">
        <f>IF(NOT(ISBLANK(A1786)),VLOOKUP(A1786,'BBT3'!A:F,2,0),"")</f>
        <v/>
      </c>
      <c r="C1786" t="str">
        <f>IF(NOT(ISBLANK(A1786)),VLOOKUP(A1786,'BBT3'!A:F,3,0),"")</f>
        <v/>
      </c>
      <c r="D1786" s="5" t="str">
        <f>IF(NOT(ISBLANK(A1786)),VLOOKUP(A1786,'BBT3'!A:F,4,1),"")</f>
        <v/>
      </c>
      <c r="E1786" t="str">
        <f>IF(NOT(ISBLANK(A1786)),VLOOKUP(A1786,'BBT3'!A:F,5,0),"")</f>
        <v/>
      </c>
      <c r="F1786" t="str">
        <f>IF(NOT(ISBLANK(A1786)),VLOOKUP(A1786,'BBT3'!A:F,6,0),"")</f>
        <v/>
      </c>
      <c r="G1786" t="str">
        <f t="shared" si="224"/>
        <v/>
      </c>
      <c r="H1786" t="str">
        <f>IF(NOT(ISBLANK(A1786)),VLOOKUP(A1786,'Close - PriceSaver'!A:J,5,0),"")</f>
        <v/>
      </c>
      <c r="I1786" s="4" t="str" cm="1">
        <f t="array" ref="I1786">IF(NOT(ISBLANK(A1786)),((_xlfn.XLOOKUP(1,(_bbt3[[#All],[ID]]=A1786)*(_bbt3[[#All],[METRIC_NAME]]="YLD_YTM_ASK"),_bbt3[[#All],[METRIC_VALUE]])*0.5)+(_xlfn.XLOOKUP(1,(_bbt3[[#All],[ID]]=A1786)*(_bbt3[[#All],[METRIC_NAME]]="YLD_YTM_BID"),_bbt3[[#All],[METRIC_VALUE]])*0.5))/100,"")</f>
        <v/>
      </c>
      <c r="J1786">
        <f>IF(ISNA(VLOOKUP(A1786,'CloseDL - PriceSaverBBT3'!A:E,5,0)),0,VLOOKUP(A1786,'CloseDL - PriceSaverBBT3'!A:E,5,0))</f>
        <v>0</v>
      </c>
      <c r="K1786" s="7" t="str">
        <f t="shared" si="225"/>
        <v/>
      </c>
      <c r="L1786" s="20" t="e">
        <f>IF(Close[[#This Row],[CreatedBy]]="MARINER\SilverAdm",1,0)</f>
        <v>#VALUE!</v>
      </c>
      <c r="M1786" t="str">
        <f>IF(NOT(ISBLANK(A1786)),VLOOKUP(A1786,'Close - PriceSaver'!A:J,6,0),"")</f>
        <v/>
      </c>
    </row>
    <row r="1787" spans="2:13" x14ac:dyDescent="0.35">
      <c r="B1787" t="str">
        <f>IF(NOT(ISBLANK(A1787)),VLOOKUP(A1787,'BBT3'!A:F,2,0),"")</f>
        <v/>
      </c>
      <c r="C1787" t="str">
        <f>IF(NOT(ISBLANK(A1787)),VLOOKUP(A1787,'BBT3'!A:F,3,0),"")</f>
        <v/>
      </c>
      <c r="D1787" s="5" t="str">
        <f>IF(NOT(ISBLANK(A1787)),VLOOKUP(A1787,'BBT3'!A:F,4,1),"")</f>
        <v/>
      </c>
      <c r="E1787" t="str">
        <f>IF(NOT(ISBLANK(A1787)),VLOOKUP(A1787,'BBT3'!A:F,5,0),"")</f>
        <v/>
      </c>
      <c r="F1787" t="str">
        <f>IF(NOT(ISBLANK(A1787)),VLOOKUP(A1787,'BBT3'!A:F,6,0),"")</f>
        <v/>
      </c>
      <c r="G1787" t="str">
        <f t="shared" si="224"/>
        <v/>
      </c>
      <c r="H1787" t="str">
        <f>IF(NOT(ISBLANK(A1787)),VLOOKUP(A1787,'Close - PriceSaver'!A:J,5,0),"")</f>
        <v/>
      </c>
      <c r="I1787" s="4" t="str" cm="1">
        <f t="array" ref="I1787">IF(NOT(ISBLANK(A1787)),((_xlfn.XLOOKUP(1,(_bbt3[[#All],[ID]]=A1787)*(_bbt3[[#All],[METRIC_NAME]]="YLD_YTM_ASK"),_bbt3[[#All],[METRIC_VALUE]])*0.5)+(_xlfn.XLOOKUP(1,(_bbt3[[#All],[ID]]=A1787)*(_bbt3[[#All],[METRIC_NAME]]="YLD_YTM_BID"),_bbt3[[#All],[METRIC_VALUE]])*0.5))/100,"")</f>
        <v/>
      </c>
      <c r="J1787">
        <f>IF(ISNA(VLOOKUP(A1787,'CloseDL - PriceSaverBBT3'!A:E,5,0)),0,VLOOKUP(A1787,'CloseDL - PriceSaverBBT3'!A:E,5,0))</f>
        <v>0</v>
      </c>
      <c r="K1787" s="7" t="str">
        <f t="shared" si="225"/>
        <v/>
      </c>
      <c r="L1787" s="20" t="e">
        <f>IF(Close[[#This Row],[CreatedBy]]="MARINER\SilverAdm",1,0)</f>
        <v>#VALUE!</v>
      </c>
      <c r="M1787" t="str">
        <f>IF(NOT(ISBLANK(A1787)),VLOOKUP(A1787,'Close - PriceSaver'!A:J,6,0),"")</f>
        <v/>
      </c>
    </row>
    <row r="1788" spans="2:13" x14ac:dyDescent="0.35">
      <c r="B1788" t="str">
        <f>IF(NOT(ISBLANK(A1788)),VLOOKUP(A1788,'BBT3'!A:F,2,0),"")</f>
        <v/>
      </c>
      <c r="C1788" t="str">
        <f>IF(NOT(ISBLANK(A1788)),VLOOKUP(A1788,'BBT3'!A:F,3,0),"")</f>
        <v/>
      </c>
      <c r="D1788" s="5" t="str">
        <f>IF(NOT(ISBLANK(A1788)),VLOOKUP(A1788,'BBT3'!A:F,4,1),"")</f>
        <v/>
      </c>
      <c r="E1788" t="str">
        <f>IF(NOT(ISBLANK(A1788)),VLOOKUP(A1788,'BBT3'!A:F,5,0),"")</f>
        <v/>
      </c>
      <c r="F1788" t="str">
        <f>IF(NOT(ISBLANK(A1788)),VLOOKUP(A1788,'BBT3'!A:F,6,0),"")</f>
        <v/>
      </c>
      <c r="G1788" t="str">
        <f t="shared" si="224"/>
        <v/>
      </c>
      <c r="H1788" t="str">
        <f>IF(NOT(ISBLANK(A1788)),VLOOKUP(A1788,'Close - PriceSaver'!A:J,5,0),"")</f>
        <v/>
      </c>
      <c r="I1788" s="4" t="str" cm="1">
        <f t="array" ref="I1788">IF(NOT(ISBLANK(A1788)),((_xlfn.XLOOKUP(1,(_bbt3[[#All],[ID]]=A1788)*(_bbt3[[#All],[METRIC_NAME]]="YLD_YTM_ASK"),_bbt3[[#All],[METRIC_VALUE]])*0.5)+(_xlfn.XLOOKUP(1,(_bbt3[[#All],[ID]]=A1788)*(_bbt3[[#All],[METRIC_NAME]]="YLD_YTM_BID"),_bbt3[[#All],[METRIC_VALUE]])*0.5))/100,"")</f>
        <v/>
      </c>
      <c r="J1788">
        <f>IF(ISNA(VLOOKUP(A1788,'CloseDL - PriceSaverBBT3'!A:E,5,0)),0,VLOOKUP(A1788,'CloseDL - PriceSaverBBT3'!A:E,5,0))</f>
        <v>0</v>
      </c>
      <c r="K1788" s="7" t="str">
        <f t="shared" si="225"/>
        <v/>
      </c>
      <c r="L1788" s="20" t="e">
        <f>IF(Close[[#This Row],[CreatedBy]]="MARINER\SilverAdm",1,0)</f>
        <v>#VALUE!</v>
      </c>
      <c r="M1788" t="str">
        <f>IF(NOT(ISBLANK(A1788)),VLOOKUP(A1788,'Close - PriceSaver'!A:J,6,0),"")</f>
        <v/>
      </c>
    </row>
    <row r="1789" spans="2:13" x14ac:dyDescent="0.35">
      <c r="B1789" t="str">
        <f>IF(NOT(ISBLANK(A1789)),VLOOKUP(A1789,'BBT3'!A:F,2,0),"")</f>
        <v/>
      </c>
      <c r="C1789" t="str">
        <f>IF(NOT(ISBLANK(A1789)),VLOOKUP(A1789,'BBT3'!A:F,3,0),"")</f>
        <v/>
      </c>
      <c r="D1789" s="5" t="str">
        <f>IF(NOT(ISBLANK(A1789)),VLOOKUP(A1789,'BBT3'!A:F,4,1),"")</f>
        <v/>
      </c>
      <c r="E1789" t="str">
        <f>IF(NOT(ISBLANK(A1789)),VLOOKUP(A1789,'BBT3'!A:F,5,0),"")</f>
        <v/>
      </c>
      <c r="F1789" t="str">
        <f>IF(NOT(ISBLANK(A1789)),VLOOKUP(A1789,'BBT3'!A:F,6,0),"")</f>
        <v/>
      </c>
      <c r="G1789" t="str">
        <f t="shared" si="224"/>
        <v/>
      </c>
      <c r="H1789" t="str">
        <f>IF(NOT(ISBLANK(A1789)),VLOOKUP(A1789,'Close - PriceSaver'!A:J,5,0),"")</f>
        <v/>
      </c>
      <c r="I1789" s="4" t="str" cm="1">
        <f t="array" ref="I1789">IF(NOT(ISBLANK(A1789)),((_xlfn.XLOOKUP(1,(_bbt3[[#All],[ID]]=A1789)*(_bbt3[[#All],[METRIC_NAME]]="YLD_YTM_ASK"),_bbt3[[#All],[METRIC_VALUE]])*0.5)+(_xlfn.XLOOKUP(1,(_bbt3[[#All],[ID]]=A1789)*(_bbt3[[#All],[METRIC_NAME]]="YLD_YTM_BID"),_bbt3[[#All],[METRIC_VALUE]])*0.5))/100,"")</f>
        <v/>
      </c>
      <c r="J1789">
        <f>IF(ISNA(VLOOKUP(A1789,'CloseDL - PriceSaverBBT3'!A:E,5,0)),0,VLOOKUP(A1789,'CloseDL - PriceSaverBBT3'!A:E,5,0))</f>
        <v>0</v>
      </c>
      <c r="K1789" s="7" t="str">
        <f t="shared" si="225"/>
        <v/>
      </c>
      <c r="L1789" s="20" t="e">
        <f>IF(Close[[#This Row],[CreatedBy]]="MARINER\SilverAdm",1,0)</f>
        <v>#VALUE!</v>
      </c>
      <c r="M1789" t="str">
        <f>IF(NOT(ISBLANK(A1789)),VLOOKUP(A1789,'Close - PriceSaver'!A:J,6,0),"")</f>
        <v/>
      </c>
    </row>
    <row r="1790" spans="2:13" x14ac:dyDescent="0.35">
      <c r="B1790" t="str">
        <f>IF(NOT(ISBLANK(A1790)),VLOOKUP(A1790,'BBT3'!A:F,2,0),"")</f>
        <v/>
      </c>
      <c r="C1790" t="str">
        <f>IF(NOT(ISBLANK(A1790)),VLOOKUP(A1790,'BBT3'!A:F,3,0),"")</f>
        <v/>
      </c>
      <c r="D1790" s="5" t="str">
        <f>IF(NOT(ISBLANK(A1790)),VLOOKUP(A1790,'BBT3'!A:F,4,1),"")</f>
        <v/>
      </c>
      <c r="E1790" t="str">
        <f>IF(NOT(ISBLANK(A1790)),VLOOKUP(A1790,'BBT3'!A:F,5,0),"")</f>
        <v/>
      </c>
      <c r="F1790" t="str">
        <f>IF(NOT(ISBLANK(A1790)),VLOOKUP(A1790,'BBT3'!A:F,6,0),"")</f>
        <v/>
      </c>
      <c r="G1790" t="str">
        <f t="shared" si="224"/>
        <v/>
      </c>
      <c r="H1790" t="str">
        <f>IF(NOT(ISBLANK(A1790)),VLOOKUP(A1790,'Close - PriceSaver'!A:J,5,0),"")</f>
        <v/>
      </c>
      <c r="I1790" s="4" t="str" cm="1">
        <f t="array" ref="I1790">IF(NOT(ISBLANK(A1790)),((_xlfn.XLOOKUP(1,(_bbt3[[#All],[ID]]=A1790)*(_bbt3[[#All],[METRIC_NAME]]="YLD_YTM_ASK"),_bbt3[[#All],[METRIC_VALUE]])*0.5)+(_xlfn.XLOOKUP(1,(_bbt3[[#All],[ID]]=A1790)*(_bbt3[[#All],[METRIC_NAME]]="YLD_YTM_BID"),_bbt3[[#All],[METRIC_VALUE]])*0.5))/100,"")</f>
        <v/>
      </c>
      <c r="J1790">
        <f>IF(ISNA(VLOOKUP(A1790,'CloseDL - PriceSaverBBT3'!A:E,5,0)),0,VLOOKUP(A1790,'CloseDL - PriceSaverBBT3'!A:E,5,0))</f>
        <v>0</v>
      </c>
      <c r="K1790" s="7" t="str">
        <f t="shared" si="225"/>
        <v/>
      </c>
      <c r="L1790" s="20" t="e">
        <f>IF(Close[[#This Row],[CreatedBy]]="MARINER\SilverAdm",1,0)</f>
        <v>#VALUE!</v>
      </c>
      <c r="M1790" t="str">
        <f>IF(NOT(ISBLANK(A1790)),VLOOKUP(A1790,'Close - PriceSaver'!A:J,6,0),"")</f>
        <v/>
      </c>
    </row>
    <row r="1791" spans="2:13" x14ac:dyDescent="0.35">
      <c r="B1791" t="str">
        <f>IF(NOT(ISBLANK(A1791)),VLOOKUP(A1791,'BBT3'!A:F,2,0),"")</f>
        <v/>
      </c>
      <c r="C1791" t="str">
        <f>IF(NOT(ISBLANK(A1791)),VLOOKUP(A1791,'BBT3'!A:F,3,0),"")</f>
        <v/>
      </c>
      <c r="D1791" s="5" t="str">
        <f>IF(NOT(ISBLANK(A1791)),VLOOKUP(A1791,'BBT3'!A:F,4,1),"")</f>
        <v/>
      </c>
      <c r="E1791" t="str">
        <f>IF(NOT(ISBLANK(A1791)),VLOOKUP(A1791,'BBT3'!A:F,5,0),"")</f>
        <v/>
      </c>
      <c r="F1791" t="str">
        <f>IF(NOT(ISBLANK(A1791)),VLOOKUP(A1791,'BBT3'!A:F,6,0),"")</f>
        <v/>
      </c>
      <c r="G1791" t="str">
        <f t="shared" si="224"/>
        <v/>
      </c>
      <c r="H1791" t="str">
        <f>IF(NOT(ISBLANK(A1791)),VLOOKUP(A1791,'Close - PriceSaver'!A:J,5,0),"")</f>
        <v/>
      </c>
      <c r="I1791" s="4" t="str" cm="1">
        <f t="array" ref="I1791">IF(NOT(ISBLANK(A1791)),((_xlfn.XLOOKUP(1,(_bbt3[[#All],[ID]]=A1791)*(_bbt3[[#All],[METRIC_NAME]]="YLD_YTM_ASK"),_bbt3[[#All],[METRIC_VALUE]])*0.5)+(_xlfn.XLOOKUP(1,(_bbt3[[#All],[ID]]=A1791)*(_bbt3[[#All],[METRIC_NAME]]="YLD_YTM_BID"),_bbt3[[#All],[METRIC_VALUE]])*0.5))/100,"")</f>
        <v/>
      </c>
      <c r="J1791">
        <f>IF(ISNA(VLOOKUP(A1791,'CloseDL - PriceSaverBBT3'!A:E,5,0)),0,VLOOKUP(A1791,'CloseDL - PriceSaverBBT3'!A:E,5,0))</f>
        <v>0</v>
      </c>
      <c r="K1791" s="7" t="str">
        <f t="shared" si="225"/>
        <v/>
      </c>
      <c r="L1791" s="20" t="e">
        <f>IF(Close[[#This Row],[CreatedBy]]="MARINER\SilverAdm",1,0)</f>
        <v>#VALUE!</v>
      </c>
      <c r="M1791" t="str">
        <f>IF(NOT(ISBLANK(A1791)),VLOOKUP(A1791,'Close - PriceSaver'!A:J,6,0),"")</f>
        <v/>
      </c>
    </row>
    <row r="1792" spans="2:13" x14ac:dyDescent="0.35">
      <c r="B1792" t="str">
        <f>IF(NOT(ISBLANK(A1792)),VLOOKUP(A1792,'BBT3'!A:F,2,0),"")</f>
        <v/>
      </c>
      <c r="C1792" t="str">
        <f>IF(NOT(ISBLANK(A1792)),VLOOKUP(A1792,'BBT3'!A:F,3,0),"")</f>
        <v/>
      </c>
      <c r="D1792" s="5" t="str">
        <f>IF(NOT(ISBLANK(A1792)),VLOOKUP(A1792,'BBT3'!A:F,4,1),"")</f>
        <v/>
      </c>
      <c r="E1792" t="str">
        <f>IF(NOT(ISBLANK(A1792)),VLOOKUP(A1792,'BBT3'!A:F,5,0),"")</f>
        <v/>
      </c>
      <c r="F1792" t="str">
        <f>IF(NOT(ISBLANK(A1792)),VLOOKUP(A1792,'BBT3'!A:F,6,0),"")</f>
        <v/>
      </c>
      <c r="G1792" t="str">
        <f t="shared" si="224"/>
        <v/>
      </c>
      <c r="H1792" t="str">
        <f>IF(NOT(ISBLANK(A1792)),VLOOKUP(A1792,'Close - PriceSaver'!A:J,5,0),"")</f>
        <v/>
      </c>
      <c r="I1792" s="4" t="str" cm="1">
        <f t="array" ref="I1792">IF(NOT(ISBLANK(A1792)),((_xlfn.XLOOKUP(1,(_bbt3[[#All],[ID]]=A1792)*(_bbt3[[#All],[METRIC_NAME]]="YLD_YTM_ASK"),_bbt3[[#All],[METRIC_VALUE]])*0.5)+(_xlfn.XLOOKUP(1,(_bbt3[[#All],[ID]]=A1792)*(_bbt3[[#All],[METRIC_NAME]]="YLD_YTM_BID"),_bbt3[[#All],[METRIC_VALUE]])*0.5))/100,"")</f>
        <v/>
      </c>
      <c r="J1792">
        <f>IF(ISNA(VLOOKUP(A1792,'CloseDL - PriceSaverBBT3'!A:E,5,0)),0,VLOOKUP(A1792,'CloseDL - PriceSaverBBT3'!A:E,5,0))</f>
        <v>0</v>
      </c>
      <c r="K1792" s="7" t="str">
        <f t="shared" si="225"/>
        <v/>
      </c>
      <c r="L1792" s="20" t="e">
        <f>IF(Close[[#This Row],[CreatedBy]]="MARINER\SilverAdm",1,0)</f>
        <v>#VALUE!</v>
      </c>
      <c r="M1792" t="str">
        <f>IF(NOT(ISBLANK(A1792)),VLOOKUP(A1792,'Close - PriceSaver'!A:J,6,0),"")</f>
        <v/>
      </c>
    </row>
    <row r="1793" spans="2:13" x14ac:dyDescent="0.35">
      <c r="B1793" t="str">
        <f>IF(NOT(ISBLANK(A1793)),VLOOKUP(A1793,'BBT3'!A:F,2,0),"")</f>
        <v/>
      </c>
      <c r="C1793" t="str">
        <f>IF(NOT(ISBLANK(A1793)),VLOOKUP(A1793,'BBT3'!A:F,3,0),"")</f>
        <v/>
      </c>
      <c r="D1793" s="5" t="str">
        <f>IF(NOT(ISBLANK(A1793)),VLOOKUP(A1793,'BBT3'!A:F,4,1),"")</f>
        <v/>
      </c>
      <c r="E1793" t="str">
        <f>IF(NOT(ISBLANK(A1793)),VLOOKUP(A1793,'BBT3'!A:F,5,0),"")</f>
        <v/>
      </c>
      <c r="F1793" t="str">
        <f>IF(NOT(ISBLANK(A1793)),VLOOKUP(A1793,'BBT3'!A:F,6,0),"")</f>
        <v/>
      </c>
      <c r="G1793" t="str">
        <f t="shared" si="224"/>
        <v/>
      </c>
      <c r="H1793" t="str">
        <f>IF(NOT(ISBLANK(A1793)),VLOOKUP(A1793,'Close - PriceSaver'!A:J,5,0),"")</f>
        <v/>
      </c>
      <c r="I1793" s="4" t="str" cm="1">
        <f t="array" ref="I1793">IF(NOT(ISBLANK(A1793)),((_xlfn.XLOOKUP(1,(_bbt3[[#All],[ID]]=A1793)*(_bbt3[[#All],[METRIC_NAME]]="YLD_YTM_ASK"),_bbt3[[#All],[METRIC_VALUE]])*0.5)+(_xlfn.XLOOKUP(1,(_bbt3[[#All],[ID]]=A1793)*(_bbt3[[#All],[METRIC_NAME]]="YLD_YTM_BID"),_bbt3[[#All],[METRIC_VALUE]])*0.5))/100,"")</f>
        <v/>
      </c>
      <c r="J1793">
        <f>IF(ISNA(VLOOKUP(A1793,'CloseDL - PriceSaverBBT3'!A:E,5,0)),0,VLOOKUP(A1793,'CloseDL - PriceSaverBBT3'!A:E,5,0))</f>
        <v>0</v>
      </c>
      <c r="K1793" s="7" t="str">
        <f t="shared" si="225"/>
        <v/>
      </c>
      <c r="L1793" s="20" t="e">
        <f>IF(Close[[#This Row],[CreatedBy]]="MARINER\SilverAdm",1,0)</f>
        <v>#VALUE!</v>
      </c>
      <c r="M1793" t="str">
        <f>IF(NOT(ISBLANK(A1793)),VLOOKUP(A1793,'Close - PriceSaver'!A:J,6,0),"")</f>
        <v/>
      </c>
    </row>
    <row r="1794" spans="2:13" x14ac:dyDescent="0.35">
      <c r="B1794" t="str">
        <f>IF(NOT(ISBLANK(A1794)),VLOOKUP(A1794,'BBT3'!A:F,2,0),"")</f>
        <v/>
      </c>
      <c r="C1794" t="str">
        <f>IF(NOT(ISBLANK(A1794)),VLOOKUP(A1794,'BBT3'!A:F,3,0),"")</f>
        <v/>
      </c>
      <c r="D1794" s="5" t="str">
        <f>IF(NOT(ISBLANK(A1794)),VLOOKUP(A1794,'BBT3'!A:F,4,1),"")</f>
        <v/>
      </c>
      <c r="E1794" t="str">
        <f>IF(NOT(ISBLANK(A1794)),VLOOKUP(A1794,'BBT3'!A:F,5,0),"")</f>
        <v/>
      </c>
      <c r="F1794" t="str">
        <f>IF(NOT(ISBLANK(A1794)),VLOOKUP(A1794,'BBT3'!A:F,6,0),"")</f>
        <v/>
      </c>
      <c r="G1794" t="str">
        <f t="shared" si="224"/>
        <v/>
      </c>
      <c r="H1794" t="str">
        <f>IF(NOT(ISBLANK(A1794)),VLOOKUP(A1794,'Close - PriceSaver'!A:J,5,0),"")</f>
        <v/>
      </c>
      <c r="I1794" s="4" t="str" cm="1">
        <f t="array" ref="I1794">IF(NOT(ISBLANK(A1794)),((_xlfn.XLOOKUP(1,(_bbt3[[#All],[ID]]=A1794)*(_bbt3[[#All],[METRIC_NAME]]="YLD_YTM_ASK"),_bbt3[[#All],[METRIC_VALUE]])*0.5)+(_xlfn.XLOOKUP(1,(_bbt3[[#All],[ID]]=A1794)*(_bbt3[[#All],[METRIC_NAME]]="YLD_YTM_BID"),_bbt3[[#All],[METRIC_VALUE]])*0.5))/100,"")</f>
        <v/>
      </c>
      <c r="J1794">
        <f>IF(ISNA(VLOOKUP(A1794,'CloseDL - PriceSaverBBT3'!A:E,5,0)),0,VLOOKUP(A1794,'CloseDL - PriceSaverBBT3'!A:E,5,0))</f>
        <v>0</v>
      </c>
      <c r="K1794" s="7" t="str">
        <f t="shared" si="225"/>
        <v/>
      </c>
      <c r="L1794" s="20" t="e">
        <f>IF(Close[[#This Row],[CreatedBy]]="MARINER\SilverAdm",1,0)</f>
        <v>#VALUE!</v>
      </c>
      <c r="M1794" t="str">
        <f>IF(NOT(ISBLANK(A1794)),VLOOKUP(A1794,'Close - PriceSaver'!A:J,6,0),"")</f>
        <v/>
      </c>
    </row>
    <row r="1795" spans="2:13" x14ac:dyDescent="0.35">
      <c r="B1795" t="str">
        <f>IF(NOT(ISBLANK(A1795)),VLOOKUP(A1795,'BBT3'!A:F,2,0),"")</f>
        <v/>
      </c>
      <c r="C1795" t="str">
        <f>IF(NOT(ISBLANK(A1795)),VLOOKUP(A1795,'BBT3'!A:F,3,0),"")</f>
        <v/>
      </c>
      <c r="D1795" s="5" t="str">
        <f>IF(NOT(ISBLANK(A1795)),VLOOKUP(A1795,'BBT3'!A:F,4,1),"")</f>
        <v/>
      </c>
      <c r="E1795" t="str">
        <f>IF(NOT(ISBLANK(A1795)),VLOOKUP(A1795,'BBT3'!A:F,5,0),"")</f>
        <v/>
      </c>
      <c r="F1795" t="str">
        <f>IF(NOT(ISBLANK(A1795)),VLOOKUP(A1795,'BBT3'!A:F,6,0),"")</f>
        <v/>
      </c>
      <c r="G1795" t="str">
        <f t="shared" ref="G1795:G1858" si="226">IF(NOT(ISBLANK(A1795)),IF(D1795=0,"Y","N"),"")</f>
        <v/>
      </c>
      <c r="H1795" t="str">
        <f>IF(NOT(ISBLANK(A1795)),VLOOKUP(A1795,'Close - PriceSaver'!A:J,5,0),"")</f>
        <v/>
      </c>
      <c r="I1795" s="4" t="str" cm="1">
        <f t="array" ref="I1795">IF(NOT(ISBLANK(A1795)),((_xlfn.XLOOKUP(1,(_bbt3[[#All],[ID]]=A1795)*(_bbt3[[#All],[METRIC_NAME]]="YLD_YTM_ASK"),_bbt3[[#All],[METRIC_VALUE]])*0.5)+(_xlfn.XLOOKUP(1,(_bbt3[[#All],[ID]]=A1795)*(_bbt3[[#All],[METRIC_NAME]]="YLD_YTM_BID"),_bbt3[[#All],[METRIC_VALUE]])*0.5))/100,"")</f>
        <v/>
      </c>
      <c r="J1795">
        <f>IF(ISNA(VLOOKUP(A1795,'CloseDL - PriceSaverBBT3'!A:E,5,0)),0,VLOOKUP(A1795,'CloseDL - PriceSaverBBT3'!A:E,5,0))</f>
        <v>0</v>
      </c>
      <c r="K1795" s="7" t="str">
        <f t="shared" ref="K1795:K1858" si="227">IF(ISNA(IF(NOT(ISBLANK(A1795)),ABS(H1795-J1795),"")),0,(IF(NOT(ISBLANK(A1795)),ABS(H1795-J1795)*10000,"")))</f>
        <v/>
      </c>
      <c r="L1795" s="20" t="e">
        <f>IF(Close[[#This Row],[CreatedBy]]="MARINER\SilverAdm",1,0)</f>
        <v>#VALUE!</v>
      </c>
      <c r="M1795" t="str">
        <f>IF(NOT(ISBLANK(A1795)),VLOOKUP(A1795,'Close - PriceSaver'!A:J,6,0),"")</f>
        <v/>
      </c>
    </row>
    <row r="1796" spans="2:13" x14ac:dyDescent="0.35">
      <c r="B1796" t="str">
        <f>IF(NOT(ISBLANK(A1796)),VLOOKUP(A1796,'BBT3'!A:F,2,0),"")</f>
        <v/>
      </c>
      <c r="C1796" t="str">
        <f>IF(NOT(ISBLANK(A1796)),VLOOKUP(A1796,'BBT3'!A:F,3,0),"")</f>
        <v/>
      </c>
      <c r="D1796" s="5" t="str">
        <f>IF(NOT(ISBLANK(A1796)),VLOOKUP(A1796,'BBT3'!A:F,4,1),"")</f>
        <v/>
      </c>
      <c r="E1796" t="str">
        <f>IF(NOT(ISBLANK(A1796)),VLOOKUP(A1796,'BBT3'!A:F,5,0),"")</f>
        <v/>
      </c>
      <c r="F1796" t="str">
        <f>IF(NOT(ISBLANK(A1796)),VLOOKUP(A1796,'BBT3'!A:F,6,0),"")</f>
        <v/>
      </c>
      <c r="G1796" t="str">
        <f t="shared" si="226"/>
        <v/>
      </c>
      <c r="H1796" t="str">
        <f>IF(NOT(ISBLANK(A1796)),VLOOKUP(A1796,'Close - PriceSaver'!A:J,5,0),"")</f>
        <v/>
      </c>
      <c r="I1796" s="4" t="str" cm="1">
        <f t="array" ref="I1796">IF(NOT(ISBLANK(A1796)),((_xlfn.XLOOKUP(1,(_bbt3[[#All],[ID]]=A1796)*(_bbt3[[#All],[METRIC_NAME]]="YLD_YTM_ASK"),_bbt3[[#All],[METRIC_VALUE]])*0.5)+(_xlfn.XLOOKUP(1,(_bbt3[[#All],[ID]]=A1796)*(_bbt3[[#All],[METRIC_NAME]]="YLD_YTM_BID"),_bbt3[[#All],[METRIC_VALUE]])*0.5))/100,"")</f>
        <v/>
      </c>
      <c r="J1796">
        <f>IF(ISNA(VLOOKUP(A1796,'CloseDL - PriceSaverBBT3'!A:E,5,0)),0,VLOOKUP(A1796,'CloseDL - PriceSaverBBT3'!A:E,5,0))</f>
        <v>0</v>
      </c>
      <c r="K1796" s="7" t="str">
        <f t="shared" si="227"/>
        <v/>
      </c>
      <c r="L1796" s="20" t="e">
        <f>IF(Close[[#This Row],[CreatedBy]]="MARINER\SilverAdm",1,0)</f>
        <v>#VALUE!</v>
      </c>
      <c r="M1796" t="str">
        <f>IF(NOT(ISBLANK(A1796)),VLOOKUP(A1796,'Close - PriceSaver'!A:J,6,0),"")</f>
        <v/>
      </c>
    </row>
    <row r="1797" spans="2:13" x14ac:dyDescent="0.35">
      <c r="B1797" t="str">
        <f>IF(NOT(ISBLANK(A1797)),VLOOKUP(A1797,'BBT3'!A:F,2,0),"")</f>
        <v/>
      </c>
      <c r="C1797" t="str">
        <f>IF(NOT(ISBLANK(A1797)),VLOOKUP(A1797,'BBT3'!A:F,3,0),"")</f>
        <v/>
      </c>
      <c r="D1797" s="5" t="str">
        <f>IF(NOT(ISBLANK(A1797)),VLOOKUP(A1797,'BBT3'!A:F,4,1),"")</f>
        <v/>
      </c>
      <c r="E1797" t="str">
        <f>IF(NOT(ISBLANK(A1797)),VLOOKUP(A1797,'BBT3'!A:F,5,0),"")</f>
        <v/>
      </c>
      <c r="F1797" t="str">
        <f>IF(NOT(ISBLANK(A1797)),VLOOKUP(A1797,'BBT3'!A:F,6,0),"")</f>
        <v/>
      </c>
      <c r="G1797" t="str">
        <f t="shared" si="226"/>
        <v/>
      </c>
      <c r="H1797" t="str">
        <f>IF(NOT(ISBLANK(A1797)),VLOOKUP(A1797,'Close - PriceSaver'!A:J,5,0),"")</f>
        <v/>
      </c>
      <c r="I1797" s="4" t="str" cm="1">
        <f t="array" ref="I1797">IF(NOT(ISBLANK(A1797)),((_xlfn.XLOOKUP(1,(_bbt3[[#All],[ID]]=A1797)*(_bbt3[[#All],[METRIC_NAME]]="YLD_YTM_ASK"),_bbt3[[#All],[METRIC_VALUE]])*0.5)+(_xlfn.XLOOKUP(1,(_bbt3[[#All],[ID]]=A1797)*(_bbt3[[#All],[METRIC_NAME]]="YLD_YTM_BID"),_bbt3[[#All],[METRIC_VALUE]])*0.5))/100,"")</f>
        <v/>
      </c>
      <c r="J1797">
        <f>IF(ISNA(VLOOKUP(A1797,'CloseDL - PriceSaverBBT3'!A:E,5,0)),0,VLOOKUP(A1797,'CloseDL - PriceSaverBBT3'!A:E,5,0))</f>
        <v>0</v>
      </c>
      <c r="K1797" s="7" t="str">
        <f t="shared" si="227"/>
        <v/>
      </c>
      <c r="L1797" s="20" t="e">
        <f>IF(Close[[#This Row],[CreatedBy]]="MARINER\SilverAdm",1,0)</f>
        <v>#VALUE!</v>
      </c>
      <c r="M1797" t="str">
        <f>IF(NOT(ISBLANK(A1797)),VLOOKUP(A1797,'Close - PriceSaver'!A:J,6,0),"")</f>
        <v/>
      </c>
    </row>
    <row r="1798" spans="2:13" x14ac:dyDescent="0.35">
      <c r="B1798" t="str">
        <f>IF(NOT(ISBLANK(A1798)),VLOOKUP(A1798,'BBT3'!A:F,2,0),"")</f>
        <v/>
      </c>
      <c r="C1798" t="str">
        <f>IF(NOT(ISBLANK(A1798)),VLOOKUP(A1798,'BBT3'!A:F,3,0),"")</f>
        <v/>
      </c>
      <c r="D1798" s="5" t="str">
        <f>IF(NOT(ISBLANK(A1798)),VLOOKUP(A1798,'BBT3'!A:F,4,1),"")</f>
        <v/>
      </c>
      <c r="E1798" t="str">
        <f>IF(NOT(ISBLANK(A1798)),VLOOKUP(A1798,'BBT3'!A:F,5,0),"")</f>
        <v/>
      </c>
      <c r="F1798" t="str">
        <f>IF(NOT(ISBLANK(A1798)),VLOOKUP(A1798,'BBT3'!A:F,6,0),"")</f>
        <v/>
      </c>
      <c r="G1798" t="str">
        <f t="shared" si="226"/>
        <v/>
      </c>
      <c r="H1798" t="str">
        <f>IF(NOT(ISBLANK(A1798)),VLOOKUP(A1798,'Close - PriceSaver'!A:J,5,0),"")</f>
        <v/>
      </c>
      <c r="I1798" s="4" t="str" cm="1">
        <f t="array" ref="I1798">IF(NOT(ISBLANK(A1798)),((_xlfn.XLOOKUP(1,(_bbt3[[#All],[ID]]=A1798)*(_bbt3[[#All],[METRIC_NAME]]="YLD_YTM_ASK"),_bbt3[[#All],[METRIC_VALUE]])*0.5)+(_xlfn.XLOOKUP(1,(_bbt3[[#All],[ID]]=A1798)*(_bbt3[[#All],[METRIC_NAME]]="YLD_YTM_BID"),_bbt3[[#All],[METRIC_VALUE]])*0.5))/100,"")</f>
        <v/>
      </c>
      <c r="J1798">
        <f>IF(ISNA(VLOOKUP(A1798,'CloseDL - PriceSaverBBT3'!A:E,5,0)),0,VLOOKUP(A1798,'CloseDL - PriceSaverBBT3'!A:E,5,0))</f>
        <v>0</v>
      </c>
      <c r="K1798" s="7" t="str">
        <f t="shared" si="227"/>
        <v/>
      </c>
      <c r="L1798" s="20" t="e">
        <f>IF(Close[[#This Row],[CreatedBy]]="MARINER\SilverAdm",1,0)</f>
        <v>#VALUE!</v>
      </c>
      <c r="M1798" t="str">
        <f>IF(NOT(ISBLANK(A1798)),VLOOKUP(A1798,'Close - PriceSaver'!A:J,6,0),"")</f>
        <v/>
      </c>
    </row>
    <row r="1799" spans="2:13" x14ac:dyDescent="0.35">
      <c r="B1799" t="str">
        <f>IF(NOT(ISBLANK(A1799)),VLOOKUP(A1799,'BBT3'!A:F,2,0),"")</f>
        <v/>
      </c>
      <c r="C1799" t="str">
        <f>IF(NOT(ISBLANK(A1799)),VLOOKUP(A1799,'BBT3'!A:F,3,0),"")</f>
        <v/>
      </c>
      <c r="D1799" s="5" t="str">
        <f>IF(NOT(ISBLANK(A1799)),VLOOKUP(A1799,'BBT3'!A:F,4,1),"")</f>
        <v/>
      </c>
      <c r="E1799" t="str">
        <f>IF(NOT(ISBLANK(A1799)),VLOOKUP(A1799,'BBT3'!A:F,5,0),"")</f>
        <v/>
      </c>
      <c r="F1799" t="str">
        <f>IF(NOT(ISBLANK(A1799)),VLOOKUP(A1799,'BBT3'!A:F,6,0),"")</f>
        <v/>
      </c>
      <c r="G1799" t="str">
        <f t="shared" si="226"/>
        <v/>
      </c>
      <c r="H1799" t="str">
        <f>IF(NOT(ISBLANK(A1799)),VLOOKUP(A1799,'Close - PriceSaver'!A:J,5,0),"")</f>
        <v/>
      </c>
      <c r="I1799" s="4" t="str" cm="1">
        <f t="array" ref="I1799">IF(NOT(ISBLANK(A1799)),((_xlfn.XLOOKUP(1,(_bbt3[[#All],[ID]]=A1799)*(_bbt3[[#All],[METRIC_NAME]]="YLD_YTM_ASK"),_bbt3[[#All],[METRIC_VALUE]])*0.5)+(_xlfn.XLOOKUP(1,(_bbt3[[#All],[ID]]=A1799)*(_bbt3[[#All],[METRIC_NAME]]="YLD_YTM_BID"),_bbt3[[#All],[METRIC_VALUE]])*0.5))/100,"")</f>
        <v/>
      </c>
      <c r="J1799">
        <f>IF(ISNA(VLOOKUP(A1799,'CloseDL - PriceSaverBBT3'!A:E,5,0)),0,VLOOKUP(A1799,'CloseDL - PriceSaverBBT3'!A:E,5,0))</f>
        <v>0</v>
      </c>
      <c r="K1799" s="7" t="str">
        <f t="shared" si="227"/>
        <v/>
      </c>
      <c r="L1799" s="20" t="e">
        <f>IF(Close[[#This Row],[CreatedBy]]="MARINER\SilverAdm",1,0)</f>
        <v>#VALUE!</v>
      </c>
      <c r="M1799" t="str">
        <f>IF(NOT(ISBLANK(A1799)),VLOOKUP(A1799,'Close - PriceSaver'!A:J,6,0),"")</f>
        <v/>
      </c>
    </row>
    <row r="1800" spans="2:13" x14ac:dyDescent="0.35">
      <c r="B1800" t="str">
        <f>IF(NOT(ISBLANK(A1800)),VLOOKUP(A1800,'BBT3'!A:F,2,0),"")</f>
        <v/>
      </c>
      <c r="C1800" t="str">
        <f>IF(NOT(ISBLANK(A1800)),VLOOKUP(A1800,'BBT3'!A:F,3,0),"")</f>
        <v/>
      </c>
      <c r="D1800" s="5" t="str">
        <f>IF(NOT(ISBLANK(A1800)),VLOOKUP(A1800,'BBT3'!A:F,4,1),"")</f>
        <v/>
      </c>
      <c r="E1800" t="str">
        <f>IF(NOT(ISBLANK(A1800)),VLOOKUP(A1800,'BBT3'!A:F,5,0),"")</f>
        <v/>
      </c>
      <c r="F1800" t="str">
        <f>IF(NOT(ISBLANK(A1800)),VLOOKUP(A1800,'BBT3'!A:F,6,0),"")</f>
        <v/>
      </c>
      <c r="G1800" t="str">
        <f t="shared" si="226"/>
        <v/>
      </c>
      <c r="H1800" t="str">
        <f>IF(NOT(ISBLANK(A1800)),VLOOKUP(A1800,'Close - PriceSaver'!A:J,5,0),"")</f>
        <v/>
      </c>
      <c r="I1800" s="4" t="str" cm="1">
        <f t="array" ref="I1800">IF(NOT(ISBLANK(A1800)),((_xlfn.XLOOKUP(1,(_bbt3[[#All],[ID]]=A1800)*(_bbt3[[#All],[METRIC_NAME]]="YLD_YTM_ASK"),_bbt3[[#All],[METRIC_VALUE]])*0.5)+(_xlfn.XLOOKUP(1,(_bbt3[[#All],[ID]]=A1800)*(_bbt3[[#All],[METRIC_NAME]]="YLD_YTM_BID"),_bbt3[[#All],[METRIC_VALUE]])*0.5))/100,"")</f>
        <v/>
      </c>
      <c r="J1800">
        <f>IF(ISNA(VLOOKUP(A1800,'CloseDL - PriceSaverBBT3'!A:E,5,0)),0,VLOOKUP(A1800,'CloseDL - PriceSaverBBT3'!A:E,5,0))</f>
        <v>0</v>
      </c>
      <c r="K1800" s="7" t="str">
        <f t="shared" si="227"/>
        <v/>
      </c>
      <c r="L1800" s="20" t="e">
        <f>IF(Close[[#This Row],[CreatedBy]]="MARINER\SilverAdm",1,0)</f>
        <v>#VALUE!</v>
      </c>
      <c r="M1800" t="str">
        <f>IF(NOT(ISBLANK(A1800)),VLOOKUP(A1800,'Close - PriceSaver'!A:J,6,0),"")</f>
        <v/>
      </c>
    </row>
    <row r="1801" spans="2:13" x14ac:dyDescent="0.35">
      <c r="B1801" t="str">
        <f>IF(NOT(ISBLANK(A1801)),VLOOKUP(A1801,'BBT3'!A:F,2,0),"")</f>
        <v/>
      </c>
      <c r="C1801" t="str">
        <f>IF(NOT(ISBLANK(A1801)),VLOOKUP(A1801,'BBT3'!A:F,3,0),"")</f>
        <v/>
      </c>
      <c r="D1801" s="5" t="str">
        <f>IF(NOT(ISBLANK(A1801)),VLOOKUP(A1801,'BBT3'!A:F,4,1),"")</f>
        <v/>
      </c>
      <c r="E1801" t="str">
        <f>IF(NOT(ISBLANK(A1801)),VLOOKUP(A1801,'BBT3'!A:F,5,0),"")</f>
        <v/>
      </c>
      <c r="F1801" t="str">
        <f>IF(NOT(ISBLANK(A1801)),VLOOKUP(A1801,'BBT3'!A:F,6,0),"")</f>
        <v/>
      </c>
      <c r="G1801" t="str">
        <f t="shared" si="226"/>
        <v/>
      </c>
      <c r="H1801" t="str">
        <f>IF(NOT(ISBLANK(A1801)),VLOOKUP(A1801,'Close - PriceSaver'!A:J,5,0),"")</f>
        <v/>
      </c>
      <c r="I1801" s="4" t="str" cm="1">
        <f t="array" ref="I1801">IF(NOT(ISBLANK(A1801)),((_xlfn.XLOOKUP(1,(_bbt3[[#All],[ID]]=A1801)*(_bbt3[[#All],[METRIC_NAME]]="YLD_YTM_ASK"),_bbt3[[#All],[METRIC_VALUE]])*0.5)+(_xlfn.XLOOKUP(1,(_bbt3[[#All],[ID]]=A1801)*(_bbt3[[#All],[METRIC_NAME]]="YLD_YTM_BID"),_bbt3[[#All],[METRIC_VALUE]])*0.5))/100,"")</f>
        <v/>
      </c>
      <c r="J1801">
        <f>IF(ISNA(VLOOKUP(A1801,'CloseDL - PriceSaverBBT3'!A:E,5,0)),0,VLOOKUP(A1801,'CloseDL - PriceSaverBBT3'!A:E,5,0))</f>
        <v>0</v>
      </c>
      <c r="K1801" s="7" t="str">
        <f t="shared" si="227"/>
        <v/>
      </c>
      <c r="L1801" s="20" t="e">
        <f>IF(Close[[#This Row],[CreatedBy]]="MARINER\SilverAdm",1,0)</f>
        <v>#VALUE!</v>
      </c>
      <c r="M1801" t="str">
        <f>IF(NOT(ISBLANK(A1801)),VLOOKUP(A1801,'Close - PriceSaver'!A:J,6,0),"")</f>
        <v/>
      </c>
    </row>
    <row r="1802" spans="2:13" x14ac:dyDescent="0.35">
      <c r="B1802" t="str">
        <f>IF(NOT(ISBLANK(A1802)),VLOOKUP(A1802,'BBT3'!A:F,2,0),"")</f>
        <v/>
      </c>
      <c r="C1802" t="str">
        <f>IF(NOT(ISBLANK(A1802)),VLOOKUP(A1802,'BBT3'!A:F,3,0),"")</f>
        <v/>
      </c>
      <c r="D1802" s="5" t="str">
        <f>IF(NOT(ISBLANK(A1802)),VLOOKUP(A1802,'BBT3'!A:F,4,1),"")</f>
        <v/>
      </c>
      <c r="E1802" t="str">
        <f>IF(NOT(ISBLANK(A1802)),VLOOKUP(A1802,'BBT3'!A:F,5,0),"")</f>
        <v/>
      </c>
      <c r="F1802" t="str">
        <f>IF(NOT(ISBLANK(A1802)),VLOOKUP(A1802,'BBT3'!A:F,6,0),"")</f>
        <v/>
      </c>
      <c r="G1802" t="str">
        <f t="shared" si="226"/>
        <v/>
      </c>
      <c r="H1802" t="str">
        <f>IF(NOT(ISBLANK(A1802)),VLOOKUP(A1802,'Close - PriceSaver'!A:J,5,0),"")</f>
        <v/>
      </c>
      <c r="I1802" s="4" t="str" cm="1">
        <f t="array" ref="I1802">IF(NOT(ISBLANK(A1802)),((_xlfn.XLOOKUP(1,(_bbt3[[#All],[ID]]=A1802)*(_bbt3[[#All],[METRIC_NAME]]="YLD_YTM_ASK"),_bbt3[[#All],[METRIC_VALUE]])*0.5)+(_xlfn.XLOOKUP(1,(_bbt3[[#All],[ID]]=A1802)*(_bbt3[[#All],[METRIC_NAME]]="YLD_YTM_BID"),_bbt3[[#All],[METRIC_VALUE]])*0.5))/100,"")</f>
        <v/>
      </c>
      <c r="J1802">
        <f>IF(ISNA(VLOOKUP(A1802,'CloseDL - PriceSaverBBT3'!A:E,5,0)),0,VLOOKUP(A1802,'CloseDL - PriceSaverBBT3'!A:E,5,0))</f>
        <v>0</v>
      </c>
      <c r="K1802" s="7" t="str">
        <f t="shared" si="227"/>
        <v/>
      </c>
      <c r="L1802" s="20" t="e">
        <f>IF(Close[[#This Row],[CreatedBy]]="MARINER\SilverAdm",1,0)</f>
        <v>#VALUE!</v>
      </c>
      <c r="M1802" t="str">
        <f>IF(NOT(ISBLANK(A1802)),VLOOKUP(A1802,'Close - PriceSaver'!A:J,6,0),"")</f>
        <v/>
      </c>
    </row>
    <row r="1803" spans="2:13" x14ac:dyDescent="0.35">
      <c r="B1803" t="str">
        <f>IF(NOT(ISBLANK(A1803)),VLOOKUP(A1803,'BBT3'!A:F,2,0),"")</f>
        <v/>
      </c>
      <c r="C1803" t="str">
        <f>IF(NOT(ISBLANK(A1803)),VLOOKUP(A1803,'BBT3'!A:F,3,0),"")</f>
        <v/>
      </c>
      <c r="D1803" s="5" t="str">
        <f>IF(NOT(ISBLANK(A1803)),VLOOKUP(A1803,'BBT3'!A:F,4,1),"")</f>
        <v/>
      </c>
      <c r="E1803" t="str">
        <f>IF(NOT(ISBLANK(A1803)),VLOOKUP(A1803,'BBT3'!A:F,5,0),"")</f>
        <v/>
      </c>
      <c r="F1803" t="str">
        <f>IF(NOT(ISBLANK(A1803)),VLOOKUP(A1803,'BBT3'!A:F,6,0),"")</f>
        <v/>
      </c>
      <c r="G1803" t="str">
        <f t="shared" si="226"/>
        <v/>
      </c>
      <c r="H1803" t="str">
        <f>IF(NOT(ISBLANK(A1803)),VLOOKUP(A1803,'Close - PriceSaver'!A:J,5,0),"")</f>
        <v/>
      </c>
      <c r="I1803" s="4" t="str" cm="1">
        <f t="array" ref="I1803">IF(NOT(ISBLANK(A1803)),((_xlfn.XLOOKUP(1,(_bbt3[[#All],[ID]]=A1803)*(_bbt3[[#All],[METRIC_NAME]]="YLD_YTM_ASK"),_bbt3[[#All],[METRIC_VALUE]])*0.5)+(_xlfn.XLOOKUP(1,(_bbt3[[#All],[ID]]=A1803)*(_bbt3[[#All],[METRIC_NAME]]="YLD_YTM_BID"),_bbt3[[#All],[METRIC_VALUE]])*0.5))/100,"")</f>
        <v/>
      </c>
      <c r="J1803">
        <f>IF(ISNA(VLOOKUP(A1803,'CloseDL - PriceSaverBBT3'!A:E,5,0)),0,VLOOKUP(A1803,'CloseDL - PriceSaverBBT3'!A:E,5,0))</f>
        <v>0</v>
      </c>
      <c r="K1803" s="7" t="str">
        <f t="shared" si="227"/>
        <v/>
      </c>
      <c r="L1803" s="20" t="e">
        <f>IF(Close[[#This Row],[CreatedBy]]="MARINER\SilverAdm",1,0)</f>
        <v>#VALUE!</v>
      </c>
      <c r="M1803" t="str">
        <f>IF(NOT(ISBLANK(A1803)),VLOOKUP(A1803,'Close - PriceSaver'!A:J,6,0),"")</f>
        <v/>
      </c>
    </row>
    <row r="1804" spans="2:13" x14ac:dyDescent="0.35">
      <c r="B1804" t="str">
        <f>IF(NOT(ISBLANK(A1804)),VLOOKUP(A1804,'BBT3'!A:F,2,0),"")</f>
        <v/>
      </c>
      <c r="C1804" t="str">
        <f>IF(NOT(ISBLANK(A1804)),VLOOKUP(A1804,'BBT3'!A:F,3,0),"")</f>
        <v/>
      </c>
      <c r="D1804" s="5" t="str">
        <f>IF(NOT(ISBLANK(A1804)),VLOOKUP(A1804,'BBT3'!A:F,4,1),"")</f>
        <v/>
      </c>
      <c r="E1804" t="str">
        <f>IF(NOT(ISBLANK(A1804)),VLOOKUP(A1804,'BBT3'!A:F,5,0),"")</f>
        <v/>
      </c>
      <c r="F1804" t="str">
        <f>IF(NOT(ISBLANK(A1804)),VLOOKUP(A1804,'BBT3'!A:F,6,0),"")</f>
        <v/>
      </c>
      <c r="G1804" t="str">
        <f t="shared" si="226"/>
        <v/>
      </c>
      <c r="H1804" t="str">
        <f>IF(NOT(ISBLANK(A1804)),VLOOKUP(A1804,'Close - PriceSaver'!A:J,5,0),"")</f>
        <v/>
      </c>
      <c r="I1804" s="4" t="str" cm="1">
        <f t="array" ref="I1804">IF(NOT(ISBLANK(A1804)),((_xlfn.XLOOKUP(1,(_bbt3[[#All],[ID]]=A1804)*(_bbt3[[#All],[METRIC_NAME]]="YLD_YTM_ASK"),_bbt3[[#All],[METRIC_VALUE]])*0.5)+(_xlfn.XLOOKUP(1,(_bbt3[[#All],[ID]]=A1804)*(_bbt3[[#All],[METRIC_NAME]]="YLD_YTM_BID"),_bbt3[[#All],[METRIC_VALUE]])*0.5))/100,"")</f>
        <v/>
      </c>
      <c r="J1804">
        <f>IF(ISNA(VLOOKUP(A1804,'CloseDL - PriceSaverBBT3'!A:E,5,0)),0,VLOOKUP(A1804,'CloseDL - PriceSaverBBT3'!A:E,5,0))</f>
        <v>0</v>
      </c>
      <c r="K1804" s="7" t="str">
        <f t="shared" si="227"/>
        <v/>
      </c>
      <c r="L1804" s="20" t="e">
        <f>IF(Close[[#This Row],[CreatedBy]]="MARINER\SilverAdm",1,0)</f>
        <v>#VALUE!</v>
      </c>
      <c r="M1804" t="str">
        <f>IF(NOT(ISBLANK(A1804)),VLOOKUP(A1804,'Close - PriceSaver'!A:J,6,0),"")</f>
        <v/>
      </c>
    </row>
    <row r="1805" spans="2:13" x14ac:dyDescent="0.35">
      <c r="B1805" t="str">
        <f>IF(NOT(ISBLANK(A1805)),VLOOKUP(A1805,'BBT3'!A:F,2,0),"")</f>
        <v/>
      </c>
      <c r="C1805" t="str">
        <f>IF(NOT(ISBLANK(A1805)),VLOOKUP(A1805,'BBT3'!A:F,3,0),"")</f>
        <v/>
      </c>
      <c r="D1805" s="5" t="str">
        <f>IF(NOT(ISBLANK(A1805)),VLOOKUP(A1805,'BBT3'!A:F,4,1),"")</f>
        <v/>
      </c>
      <c r="E1805" t="str">
        <f>IF(NOT(ISBLANK(A1805)),VLOOKUP(A1805,'BBT3'!A:F,5,0),"")</f>
        <v/>
      </c>
      <c r="F1805" t="str">
        <f>IF(NOT(ISBLANK(A1805)),VLOOKUP(A1805,'BBT3'!A:F,6,0),"")</f>
        <v/>
      </c>
      <c r="G1805" t="str">
        <f t="shared" si="226"/>
        <v/>
      </c>
      <c r="H1805" t="str">
        <f>IF(NOT(ISBLANK(A1805)),VLOOKUP(A1805,'Close - PriceSaver'!A:J,5,0),"")</f>
        <v/>
      </c>
      <c r="I1805" s="4" t="str" cm="1">
        <f t="array" ref="I1805">IF(NOT(ISBLANK(A1805)),((_xlfn.XLOOKUP(1,(_bbt3[[#All],[ID]]=A1805)*(_bbt3[[#All],[METRIC_NAME]]="YLD_YTM_ASK"),_bbt3[[#All],[METRIC_VALUE]])*0.5)+(_xlfn.XLOOKUP(1,(_bbt3[[#All],[ID]]=A1805)*(_bbt3[[#All],[METRIC_NAME]]="YLD_YTM_BID"),_bbt3[[#All],[METRIC_VALUE]])*0.5))/100,"")</f>
        <v/>
      </c>
      <c r="J1805">
        <f>IF(ISNA(VLOOKUP(A1805,'CloseDL - PriceSaverBBT3'!A:E,5,0)),0,VLOOKUP(A1805,'CloseDL - PriceSaverBBT3'!A:E,5,0))</f>
        <v>0</v>
      </c>
      <c r="K1805" s="7" t="str">
        <f t="shared" si="227"/>
        <v/>
      </c>
      <c r="L1805" s="20" t="e">
        <f>IF(Close[[#This Row],[CreatedBy]]="MARINER\SilverAdm",1,0)</f>
        <v>#VALUE!</v>
      </c>
      <c r="M1805" t="str">
        <f>IF(NOT(ISBLANK(A1805)),VLOOKUP(A1805,'Close - PriceSaver'!A:J,6,0),"")</f>
        <v/>
      </c>
    </row>
    <row r="1806" spans="2:13" x14ac:dyDescent="0.35">
      <c r="B1806" t="str">
        <f>IF(NOT(ISBLANK(A1806)),VLOOKUP(A1806,'BBT3'!A:F,2,0),"")</f>
        <v/>
      </c>
      <c r="C1806" t="str">
        <f>IF(NOT(ISBLANK(A1806)),VLOOKUP(A1806,'BBT3'!A:F,3,0),"")</f>
        <v/>
      </c>
      <c r="D1806" s="5" t="str">
        <f>IF(NOT(ISBLANK(A1806)),VLOOKUP(A1806,'BBT3'!A:F,4,1),"")</f>
        <v/>
      </c>
      <c r="E1806" t="str">
        <f>IF(NOT(ISBLANK(A1806)),VLOOKUP(A1806,'BBT3'!A:F,5,0),"")</f>
        <v/>
      </c>
      <c r="F1806" t="str">
        <f>IF(NOT(ISBLANK(A1806)),VLOOKUP(A1806,'BBT3'!A:F,6,0),"")</f>
        <v/>
      </c>
      <c r="G1806" t="str">
        <f t="shared" si="226"/>
        <v/>
      </c>
      <c r="H1806" t="str">
        <f>IF(NOT(ISBLANK(A1806)),VLOOKUP(A1806,'Close - PriceSaver'!A:J,5,0),"")</f>
        <v/>
      </c>
      <c r="I1806" s="4" t="str" cm="1">
        <f t="array" ref="I1806">IF(NOT(ISBLANK(A1806)),((_xlfn.XLOOKUP(1,(_bbt3[[#All],[ID]]=A1806)*(_bbt3[[#All],[METRIC_NAME]]="YLD_YTM_ASK"),_bbt3[[#All],[METRIC_VALUE]])*0.5)+(_xlfn.XLOOKUP(1,(_bbt3[[#All],[ID]]=A1806)*(_bbt3[[#All],[METRIC_NAME]]="YLD_YTM_BID"),_bbt3[[#All],[METRIC_VALUE]])*0.5))/100,"")</f>
        <v/>
      </c>
      <c r="J1806">
        <f>IF(ISNA(VLOOKUP(A1806,'CloseDL - PriceSaverBBT3'!A:E,5,0)),0,VLOOKUP(A1806,'CloseDL - PriceSaverBBT3'!A:E,5,0))</f>
        <v>0</v>
      </c>
      <c r="K1806" s="7" t="str">
        <f t="shared" si="227"/>
        <v/>
      </c>
      <c r="L1806" s="20" t="e">
        <f>IF(Close[[#This Row],[CreatedBy]]="MARINER\SilverAdm",1,0)</f>
        <v>#VALUE!</v>
      </c>
      <c r="M1806" t="str">
        <f>IF(NOT(ISBLANK(A1806)),VLOOKUP(A1806,'Close - PriceSaver'!A:J,6,0),"")</f>
        <v/>
      </c>
    </row>
    <row r="1807" spans="2:13" x14ac:dyDescent="0.35">
      <c r="B1807" t="str">
        <f>IF(NOT(ISBLANK(A1807)),VLOOKUP(A1807,'BBT3'!A:F,2,0),"")</f>
        <v/>
      </c>
      <c r="C1807" t="str">
        <f>IF(NOT(ISBLANK(A1807)),VLOOKUP(A1807,'BBT3'!A:F,3,0),"")</f>
        <v/>
      </c>
      <c r="D1807" s="5" t="str">
        <f>IF(NOT(ISBLANK(A1807)),VLOOKUP(A1807,'BBT3'!A:F,4,1),"")</f>
        <v/>
      </c>
      <c r="E1807" t="str">
        <f>IF(NOT(ISBLANK(A1807)),VLOOKUP(A1807,'BBT3'!A:F,5,0),"")</f>
        <v/>
      </c>
      <c r="F1807" t="str">
        <f>IF(NOT(ISBLANK(A1807)),VLOOKUP(A1807,'BBT3'!A:F,6,0),"")</f>
        <v/>
      </c>
      <c r="G1807" t="str">
        <f t="shared" si="226"/>
        <v/>
      </c>
      <c r="H1807" t="str">
        <f>IF(NOT(ISBLANK(A1807)),VLOOKUP(A1807,'Close - PriceSaver'!A:J,5,0),"")</f>
        <v/>
      </c>
      <c r="I1807" s="4" t="str" cm="1">
        <f t="array" ref="I1807">IF(NOT(ISBLANK(A1807)),((_xlfn.XLOOKUP(1,(_bbt3[[#All],[ID]]=A1807)*(_bbt3[[#All],[METRIC_NAME]]="YLD_YTM_ASK"),_bbt3[[#All],[METRIC_VALUE]])*0.5)+(_xlfn.XLOOKUP(1,(_bbt3[[#All],[ID]]=A1807)*(_bbt3[[#All],[METRIC_NAME]]="YLD_YTM_BID"),_bbt3[[#All],[METRIC_VALUE]])*0.5))/100,"")</f>
        <v/>
      </c>
      <c r="J1807">
        <f>IF(ISNA(VLOOKUP(A1807,'CloseDL - PriceSaverBBT3'!A:E,5,0)),0,VLOOKUP(A1807,'CloseDL - PriceSaverBBT3'!A:E,5,0))</f>
        <v>0</v>
      </c>
      <c r="K1807" s="7" t="str">
        <f t="shared" si="227"/>
        <v/>
      </c>
      <c r="L1807" s="20" t="e">
        <f>IF(Close[[#This Row],[CreatedBy]]="MARINER\SilverAdm",1,0)</f>
        <v>#VALUE!</v>
      </c>
      <c r="M1807" t="str">
        <f>IF(NOT(ISBLANK(A1807)),VLOOKUP(A1807,'Close - PriceSaver'!A:J,6,0),"")</f>
        <v/>
      </c>
    </row>
    <row r="1808" spans="2:13" x14ac:dyDescent="0.35">
      <c r="B1808" t="str">
        <f>IF(NOT(ISBLANK(A1808)),VLOOKUP(A1808,'BBT3'!A:F,2,0),"")</f>
        <v/>
      </c>
      <c r="C1808" t="str">
        <f>IF(NOT(ISBLANK(A1808)),VLOOKUP(A1808,'BBT3'!A:F,3,0),"")</f>
        <v/>
      </c>
      <c r="D1808" s="5" t="str">
        <f>IF(NOT(ISBLANK(A1808)),VLOOKUP(A1808,'BBT3'!A:F,4,1),"")</f>
        <v/>
      </c>
      <c r="E1808" t="str">
        <f>IF(NOT(ISBLANK(A1808)),VLOOKUP(A1808,'BBT3'!A:F,5,0),"")</f>
        <v/>
      </c>
      <c r="F1808" t="str">
        <f>IF(NOT(ISBLANK(A1808)),VLOOKUP(A1808,'BBT3'!A:F,6,0),"")</f>
        <v/>
      </c>
      <c r="G1808" t="str">
        <f t="shared" si="226"/>
        <v/>
      </c>
      <c r="H1808" t="str">
        <f>IF(NOT(ISBLANK(A1808)),VLOOKUP(A1808,'Close - PriceSaver'!A:J,5,0),"")</f>
        <v/>
      </c>
      <c r="I1808" s="4" t="str" cm="1">
        <f t="array" ref="I1808">IF(NOT(ISBLANK(A1808)),((_xlfn.XLOOKUP(1,(_bbt3[[#All],[ID]]=A1808)*(_bbt3[[#All],[METRIC_NAME]]="YLD_YTM_ASK"),_bbt3[[#All],[METRIC_VALUE]])*0.5)+(_xlfn.XLOOKUP(1,(_bbt3[[#All],[ID]]=A1808)*(_bbt3[[#All],[METRIC_NAME]]="YLD_YTM_BID"),_bbt3[[#All],[METRIC_VALUE]])*0.5))/100,"")</f>
        <v/>
      </c>
      <c r="J1808">
        <f>IF(ISNA(VLOOKUP(A1808,'CloseDL - PriceSaverBBT3'!A:E,5,0)),0,VLOOKUP(A1808,'CloseDL - PriceSaverBBT3'!A:E,5,0))</f>
        <v>0</v>
      </c>
      <c r="K1808" s="7" t="str">
        <f t="shared" si="227"/>
        <v/>
      </c>
      <c r="L1808" s="20" t="e">
        <f>IF(Close[[#This Row],[CreatedBy]]="MARINER\SilverAdm",1,0)</f>
        <v>#VALUE!</v>
      </c>
      <c r="M1808" t="str">
        <f>IF(NOT(ISBLANK(A1808)),VLOOKUP(A1808,'Close - PriceSaver'!A:J,6,0),"")</f>
        <v/>
      </c>
    </row>
    <row r="1809" spans="2:13" x14ac:dyDescent="0.35">
      <c r="B1809" t="str">
        <f>IF(NOT(ISBLANK(A1809)),VLOOKUP(A1809,'BBT3'!A:F,2,0),"")</f>
        <v/>
      </c>
      <c r="C1809" t="str">
        <f>IF(NOT(ISBLANK(A1809)),VLOOKUP(A1809,'BBT3'!A:F,3,0),"")</f>
        <v/>
      </c>
      <c r="D1809" s="5" t="str">
        <f>IF(NOT(ISBLANK(A1809)),VLOOKUP(A1809,'BBT3'!A:F,4,1),"")</f>
        <v/>
      </c>
      <c r="E1809" t="str">
        <f>IF(NOT(ISBLANK(A1809)),VLOOKUP(A1809,'BBT3'!A:F,5,0),"")</f>
        <v/>
      </c>
      <c r="F1809" t="str">
        <f>IF(NOT(ISBLANK(A1809)),VLOOKUP(A1809,'BBT3'!A:F,6,0),"")</f>
        <v/>
      </c>
      <c r="G1809" t="str">
        <f t="shared" si="226"/>
        <v/>
      </c>
      <c r="H1809" t="str">
        <f>IF(NOT(ISBLANK(A1809)),VLOOKUP(A1809,'Close - PriceSaver'!A:J,5,0),"")</f>
        <v/>
      </c>
      <c r="I1809" s="4" t="str" cm="1">
        <f t="array" ref="I1809">IF(NOT(ISBLANK(A1809)),((_xlfn.XLOOKUP(1,(_bbt3[[#All],[ID]]=A1809)*(_bbt3[[#All],[METRIC_NAME]]="YLD_YTM_ASK"),_bbt3[[#All],[METRIC_VALUE]])*0.5)+(_xlfn.XLOOKUP(1,(_bbt3[[#All],[ID]]=A1809)*(_bbt3[[#All],[METRIC_NAME]]="YLD_YTM_BID"),_bbt3[[#All],[METRIC_VALUE]])*0.5))/100,"")</f>
        <v/>
      </c>
      <c r="J1809">
        <f>IF(ISNA(VLOOKUP(A1809,'CloseDL - PriceSaverBBT3'!A:E,5,0)),0,VLOOKUP(A1809,'CloseDL - PriceSaverBBT3'!A:E,5,0))</f>
        <v>0</v>
      </c>
      <c r="K1809" s="7" t="str">
        <f t="shared" si="227"/>
        <v/>
      </c>
      <c r="L1809" s="20" t="e">
        <f>IF(Close[[#This Row],[CreatedBy]]="MARINER\SilverAdm",1,0)</f>
        <v>#VALUE!</v>
      </c>
      <c r="M1809" t="str">
        <f>IF(NOT(ISBLANK(A1809)),VLOOKUP(A1809,'Close - PriceSaver'!A:J,6,0),"")</f>
        <v/>
      </c>
    </row>
    <row r="1810" spans="2:13" x14ac:dyDescent="0.35">
      <c r="B1810" t="str">
        <f>IF(NOT(ISBLANK(A1810)),VLOOKUP(A1810,'BBT3'!A:F,2,0),"")</f>
        <v/>
      </c>
      <c r="C1810" t="str">
        <f>IF(NOT(ISBLANK(A1810)),VLOOKUP(A1810,'BBT3'!A:F,3,0),"")</f>
        <v/>
      </c>
      <c r="D1810" s="5" t="str">
        <f>IF(NOT(ISBLANK(A1810)),VLOOKUP(A1810,'BBT3'!A:F,4,1),"")</f>
        <v/>
      </c>
      <c r="E1810" t="str">
        <f>IF(NOT(ISBLANK(A1810)),VLOOKUP(A1810,'BBT3'!A:F,5,0),"")</f>
        <v/>
      </c>
      <c r="F1810" t="str">
        <f>IF(NOT(ISBLANK(A1810)),VLOOKUP(A1810,'BBT3'!A:F,6,0),"")</f>
        <v/>
      </c>
      <c r="G1810" t="str">
        <f t="shared" si="226"/>
        <v/>
      </c>
      <c r="H1810" t="str">
        <f>IF(NOT(ISBLANK(A1810)),VLOOKUP(A1810,'Close - PriceSaver'!A:J,5,0),"")</f>
        <v/>
      </c>
      <c r="I1810" s="4" t="str" cm="1">
        <f t="array" ref="I1810">IF(NOT(ISBLANK(A1810)),((_xlfn.XLOOKUP(1,(_bbt3[[#All],[ID]]=A1810)*(_bbt3[[#All],[METRIC_NAME]]="YLD_YTM_ASK"),_bbt3[[#All],[METRIC_VALUE]])*0.5)+(_xlfn.XLOOKUP(1,(_bbt3[[#All],[ID]]=A1810)*(_bbt3[[#All],[METRIC_NAME]]="YLD_YTM_BID"),_bbt3[[#All],[METRIC_VALUE]])*0.5))/100,"")</f>
        <v/>
      </c>
      <c r="J1810">
        <f>IF(ISNA(VLOOKUP(A1810,'CloseDL - PriceSaverBBT3'!A:E,5,0)),0,VLOOKUP(A1810,'CloseDL - PriceSaverBBT3'!A:E,5,0))</f>
        <v>0</v>
      </c>
      <c r="K1810" s="7" t="str">
        <f t="shared" si="227"/>
        <v/>
      </c>
      <c r="L1810" s="20" t="e">
        <f>IF(Close[[#This Row],[CreatedBy]]="MARINER\SilverAdm",1,0)</f>
        <v>#VALUE!</v>
      </c>
      <c r="M1810" t="str">
        <f>IF(NOT(ISBLANK(A1810)),VLOOKUP(A1810,'Close - PriceSaver'!A:J,6,0),"")</f>
        <v/>
      </c>
    </row>
    <row r="1811" spans="2:13" x14ac:dyDescent="0.35">
      <c r="B1811" t="str">
        <f>IF(NOT(ISBLANK(A1811)),VLOOKUP(A1811,'BBT3'!A:F,2,0),"")</f>
        <v/>
      </c>
      <c r="C1811" t="str">
        <f>IF(NOT(ISBLANK(A1811)),VLOOKUP(A1811,'BBT3'!A:F,3,0),"")</f>
        <v/>
      </c>
      <c r="D1811" s="5" t="str">
        <f>IF(NOT(ISBLANK(A1811)),VLOOKUP(A1811,'BBT3'!A:F,4,1),"")</f>
        <v/>
      </c>
      <c r="E1811" t="str">
        <f>IF(NOT(ISBLANK(A1811)),VLOOKUP(A1811,'BBT3'!A:F,5,0),"")</f>
        <v/>
      </c>
      <c r="F1811" t="str">
        <f>IF(NOT(ISBLANK(A1811)),VLOOKUP(A1811,'BBT3'!A:F,6,0),"")</f>
        <v/>
      </c>
      <c r="G1811" t="str">
        <f t="shared" si="226"/>
        <v/>
      </c>
      <c r="H1811" t="str">
        <f>IF(NOT(ISBLANK(A1811)),VLOOKUP(A1811,'Close - PriceSaver'!A:J,5,0),"")</f>
        <v/>
      </c>
      <c r="I1811" s="4" t="str" cm="1">
        <f t="array" ref="I1811">IF(NOT(ISBLANK(A1811)),((_xlfn.XLOOKUP(1,(_bbt3[[#All],[ID]]=A1811)*(_bbt3[[#All],[METRIC_NAME]]="YLD_YTM_ASK"),_bbt3[[#All],[METRIC_VALUE]])*0.5)+(_xlfn.XLOOKUP(1,(_bbt3[[#All],[ID]]=A1811)*(_bbt3[[#All],[METRIC_NAME]]="YLD_YTM_BID"),_bbt3[[#All],[METRIC_VALUE]])*0.5))/100,"")</f>
        <v/>
      </c>
      <c r="J1811">
        <f>IF(ISNA(VLOOKUP(A1811,'CloseDL - PriceSaverBBT3'!A:E,5,0)),0,VLOOKUP(A1811,'CloseDL - PriceSaverBBT3'!A:E,5,0))</f>
        <v>0</v>
      </c>
      <c r="K1811" s="7" t="str">
        <f t="shared" si="227"/>
        <v/>
      </c>
      <c r="L1811" s="20" t="e">
        <f>IF(Close[[#This Row],[CreatedBy]]="MARINER\SilverAdm",1,0)</f>
        <v>#VALUE!</v>
      </c>
      <c r="M1811" t="str">
        <f>IF(NOT(ISBLANK(A1811)),VLOOKUP(A1811,'Close - PriceSaver'!A:J,6,0),"")</f>
        <v/>
      </c>
    </row>
    <row r="1812" spans="2:13" x14ac:dyDescent="0.35">
      <c r="B1812" t="str">
        <f>IF(NOT(ISBLANK(A1812)),VLOOKUP(A1812,'BBT3'!A:F,2,0),"")</f>
        <v/>
      </c>
      <c r="C1812" t="str">
        <f>IF(NOT(ISBLANK(A1812)),VLOOKUP(A1812,'BBT3'!A:F,3,0),"")</f>
        <v/>
      </c>
      <c r="D1812" s="5" t="str">
        <f>IF(NOT(ISBLANK(A1812)),VLOOKUP(A1812,'BBT3'!A:F,4,1),"")</f>
        <v/>
      </c>
      <c r="E1812" t="str">
        <f>IF(NOT(ISBLANK(A1812)),VLOOKUP(A1812,'BBT3'!A:F,5,0),"")</f>
        <v/>
      </c>
      <c r="F1812" t="str">
        <f>IF(NOT(ISBLANK(A1812)),VLOOKUP(A1812,'BBT3'!A:F,6,0),"")</f>
        <v/>
      </c>
      <c r="G1812" t="str">
        <f t="shared" si="226"/>
        <v/>
      </c>
      <c r="H1812" t="str">
        <f>IF(NOT(ISBLANK(A1812)),VLOOKUP(A1812,'Close - PriceSaver'!A:J,5,0),"")</f>
        <v/>
      </c>
      <c r="I1812" s="4" t="str" cm="1">
        <f t="array" ref="I1812">IF(NOT(ISBLANK(A1812)),((_xlfn.XLOOKUP(1,(_bbt3[[#All],[ID]]=A1812)*(_bbt3[[#All],[METRIC_NAME]]="YLD_YTM_ASK"),_bbt3[[#All],[METRIC_VALUE]])*0.5)+(_xlfn.XLOOKUP(1,(_bbt3[[#All],[ID]]=A1812)*(_bbt3[[#All],[METRIC_NAME]]="YLD_YTM_BID"),_bbt3[[#All],[METRIC_VALUE]])*0.5))/100,"")</f>
        <v/>
      </c>
      <c r="J1812">
        <f>IF(ISNA(VLOOKUP(A1812,'CloseDL - PriceSaverBBT3'!A:E,5,0)),0,VLOOKUP(A1812,'CloseDL - PriceSaverBBT3'!A:E,5,0))</f>
        <v>0</v>
      </c>
      <c r="K1812" s="7" t="str">
        <f t="shared" si="227"/>
        <v/>
      </c>
      <c r="L1812" s="20" t="e">
        <f>IF(Close[[#This Row],[CreatedBy]]="MARINER\SilverAdm",1,0)</f>
        <v>#VALUE!</v>
      </c>
      <c r="M1812" t="str">
        <f>IF(NOT(ISBLANK(A1812)),VLOOKUP(A1812,'Close - PriceSaver'!A:J,6,0),"")</f>
        <v/>
      </c>
    </row>
    <row r="1813" spans="2:13" x14ac:dyDescent="0.35">
      <c r="B1813" t="str">
        <f>IF(NOT(ISBLANK(A1813)),VLOOKUP(A1813,'BBT3'!A:F,2,0),"")</f>
        <v/>
      </c>
      <c r="C1813" t="str">
        <f>IF(NOT(ISBLANK(A1813)),VLOOKUP(A1813,'BBT3'!A:F,3,0),"")</f>
        <v/>
      </c>
      <c r="D1813" s="5" t="str">
        <f>IF(NOT(ISBLANK(A1813)),VLOOKUP(A1813,'BBT3'!A:F,4,1),"")</f>
        <v/>
      </c>
      <c r="E1813" t="str">
        <f>IF(NOT(ISBLANK(A1813)),VLOOKUP(A1813,'BBT3'!A:F,5,0),"")</f>
        <v/>
      </c>
      <c r="F1813" t="str">
        <f>IF(NOT(ISBLANK(A1813)),VLOOKUP(A1813,'BBT3'!A:F,6,0),"")</f>
        <v/>
      </c>
      <c r="G1813" t="str">
        <f t="shared" si="226"/>
        <v/>
      </c>
      <c r="H1813" t="str">
        <f>IF(NOT(ISBLANK(A1813)),VLOOKUP(A1813,'Close - PriceSaver'!A:J,5,0),"")</f>
        <v/>
      </c>
      <c r="I1813" s="4" t="str" cm="1">
        <f t="array" ref="I1813">IF(NOT(ISBLANK(A1813)),((_xlfn.XLOOKUP(1,(_bbt3[[#All],[ID]]=A1813)*(_bbt3[[#All],[METRIC_NAME]]="YLD_YTM_ASK"),_bbt3[[#All],[METRIC_VALUE]])*0.5)+(_xlfn.XLOOKUP(1,(_bbt3[[#All],[ID]]=A1813)*(_bbt3[[#All],[METRIC_NAME]]="YLD_YTM_BID"),_bbt3[[#All],[METRIC_VALUE]])*0.5))/100,"")</f>
        <v/>
      </c>
      <c r="J1813">
        <f>IF(ISNA(VLOOKUP(A1813,'CloseDL - PriceSaverBBT3'!A:E,5,0)),0,VLOOKUP(A1813,'CloseDL - PriceSaverBBT3'!A:E,5,0))</f>
        <v>0</v>
      </c>
      <c r="K1813" s="7" t="str">
        <f t="shared" si="227"/>
        <v/>
      </c>
      <c r="L1813" s="20" t="e">
        <f>IF(Close[[#This Row],[CreatedBy]]="MARINER\SilverAdm",1,0)</f>
        <v>#VALUE!</v>
      </c>
      <c r="M1813" t="str">
        <f>IF(NOT(ISBLANK(A1813)),VLOOKUP(A1813,'Close - PriceSaver'!A:J,6,0),"")</f>
        <v/>
      </c>
    </row>
    <row r="1814" spans="2:13" x14ac:dyDescent="0.35">
      <c r="B1814" t="str">
        <f>IF(NOT(ISBLANK(A1814)),VLOOKUP(A1814,'BBT3'!A:F,2,0),"")</f>
        <v/>
      </c>
      <c r="C1814" t="str">
        <f>IF(NOT(ISBLANK(A1814)),VLOOKUP(A1814,'BBT3'!A:F,3,0),"")</f>
        <v/>
      </c>
      <c r="D1814" s="5" t="str">
        <f>IF(NOT(ISBLANK(A1814)),VLOOKUP(A1814,'BBT3'!A:F,4,1),"")</f>
        <v/>
      </c>
      <c r="E1814" t="str">
        <f>IF(NOT(ISBLANK(A1814)),VLOOKUP(A1814,'BBT3'!A:F,5,0),"")</f>
        <v/>
      </c>
      <c r="F1814" t="str">
        <f>IF(NOT(ISBLANK(A1814)),VLOOKUP(A1814,'BBT3'!A:F,6,0),"")</f>
        <v/>
      </c>
      <c r="G1814" t="str">
        <f t="shared" si="226"/>
        <v/>
      </c>
      <c r="H1814" t="str">
        <f>IF(NOT(ISBLANK(A1814)),VLOOKUP(A1814,'Close - PriceSaver'!A:J,5,0),"")</f>
        <v/>
      </c>
      <c r="I1814" s="4" t="str" cm="1">
        <f t="array" ref="I1814">IF(NOT(ISBLANK(A1814)),((_xlfn.XLOOKUP(1,(_bbt3[[#All],[ID]]=A1814)*(_bbt3[[#All],[METRIC_NAME]]="YLD_YTM_ASK"),_bbt3[[#All],[METRIC_VALUE]])*0.5)+(_xlfn.XLOOKUP(1,(_bbt3[[#All],[ID]]=A1814)*(_bbt3[[#All],[METRIC_NAME]]="YLD_YTM_BID"),_bbt3[[#All],[METRIC_VALUE]])*0.5))/100,"")</f>
        <v/>
      </c>
      <c r="J1814">
        <f>IF(ISNA(VLOOKUP(A1814,'CloseDL - PriceSaverBBT3'!A:E,5,0)),0,VLOOKUP(A1814,'CloseDL - PriceSaverBBT3'!A:E,5,0))</f>
        <v>0</v>
      </c>
      <c r="K1814" s="7" t="str">
        <f t="shared" si="227"/>
        <v/>
      </c>
      <c r="L1814" s="20" t="e">
        <f>IF(Close[[#This Row],[CreatedBy]]="MARINER\SilverAdm",1,0)</f>
        <v>#VALUE!</v>
      </c>
      <c r="M1814" t="str">
        <f>IF(NOT(ISBLANK(A1814)),VLOOKUP(A1814,'Close - PriceSaver'!A:J,6,0),"")</f>
        <v/>
      </c>
    </row>
    <row r="1815" spans="2:13" x14ac:dyDescent="0.35">
      <c r="B1815" t="str">
        <f>IF(NOT(ISBLANK(A1815)),VLOOKUP(A1815,'BBT3'!A:F,2,0),"")</f>
        <v/>
      </c>
      <c r="C1815" t="str">
        <f>IF(NOT(ISBLANK(A1815)),VLOOKUP(A1815,'BBT3'!A:F,3,0),"")</f>
        <v/>
      </c>
      <c r="D1815" s="5" t="str">
        <f>IF(NOT(ISBLANK(A1815)),VLOOKUP(A1815,'BBT3'!A:F,4,1),"")</f>
        <v/>
      </c>
      <c r="E1815" t="str">
        <f>IF(NOT(ISBLANK(A1815)),VLOOKUP(A1815,'BBT3'!A:F,5,0),"")</f>
        <v/>
      </c>
      <c r="F1815" t="str">
        <f>IF(NOT(ISBLANK(A1815)),VLOOKUP(A1815,'BBT3'!A:F,6,0),"")</f>
        <v/>
      </c>
      <c r="G1815" t="str">
        <f t="shared" si="226"/>
        <v/>
      </c>
      <c r="H1815" t="str">
        <f>IF(NOT(ISBLANK(A1815)),VLOOKUP(A1815,'Close - PriceSaver'!A:J,5,0),"")</f>
        <v/>
      </c>
      <c r="I1815" s="4" t="str" cm="1">
        <f t="array" ref="I1815">IF(NOT(ISBLANK(A1815)),((_xlfn.XLOOKUP(1,(_bbt3[[#All],[ID]]=A1815)*(_bbt3[[#All],[METRIC_NAME]]="YLD_YTM_ASK"),_bbt3[[#All],[METRIC_VALUE]])*0.5)+(_xlfn.XLOOKUP(1,(_bbt3[[#All],[ID]]=A1815)*(_bbt3[[#All],[METRIC_NAME]]="YLD_YTM_BID"),_bbt3[[#All],[METRIC_VALUE]])*0.5))/100,"")</f>
        <v/>
      </c>
      <c r="J1815">
        <f>IF(ISNA(VLOOKUP(A1815,'CloseDL - PriceSaverBBT3'!A:E,5,0)),0,VLOOKUP(A1815,'CloseDL - PriceSaverBBT3'!A:E,5,0))</f>
        <v>0</v>
      </c>
      <c r="K1815" s="7" t="str">
        <f t="shared" si="227"/>
        <v/>
      </c>
      <c r="L1815" s="20" t="e">
        <f>IF(Close[[#This Row],[CreatedBy]]="MARINER\SilverAdm",1,0)</f>
        <v>#VALUE!</v>
      </c>
      <c r="M1815" t="str">
        <f>IF(NOT(ISBLANK(A1815)),VLOOKUP(A1815,'Close - PriceSaver'!A:J,6,0),"")</f>
        <v/>
      </c>
    </row>
    <row r="1816" spans="2:13" x14ac:dyDescent="0.35">
      <c r="B1816" t="str">
        <f>IF(NOT(ISBLANK(A1816)),VLOOKUP(A1816,'BBT3'!A:F,2,0),"")</f>
        <v/>
      </c>
      <c r="C1816" t="str">
        <f>IF(NOT(ISBLANK(A1816)),VLOOKUP(A1816,'BBT3'!A:F,3,0),"")</f>
        <v/>
      </c>
      <c r="D1816" s="5" t="str">
        <f>IF(NOT(ISBLANK(A1816)),VLOOKUP(A1816,'BBT3'!A:F,4,1),"")</f>
        <v/>
      </c>
      <c r="E1816" t="str">
        <f>IF(NOT(ISBLANK(A1816)),VLOOKUP(A1816,'BBT3'!A:F,5,0),"")</f>
        <v/>
      </c>
      <c r="F1816" t="str">
        <f>IF(NOT(ISBLANK(A1816)),VLOOKUP(A1816,'BBT3'!A:F,6,0),"")</f>
        <v/>
      </c>
      <c r="G1816" t="str">
        <f t="shared" si="226"/>
        <v/>
      </c>
      <c r="H1816" t="str">
        <f>IF(NOT(ISBLANK(A1816)),VLOOKUP(A1816,'Close - PriceSaver'!A:J,5,0),"")</f>
        <v/>
      </c>
      <c r="I1816" s="4" t="str" cm="1">
        <f t="array" ref="I1816">IF(NOT(ISBLANK(A1816)),((_xlfn.XLOOKUP(1,(_bbt3[[#All],[ID]]=A1816)*(_bbt3[[#All],[METRIC_NAME]]="YLD_YTM_ASK"),_bbt3[[#All],[METRIC_VALUE]])*0.5)+(_xlfn.XLOOKUP(1,(_bbt3[[#All],[ID]]=A1816)*(_bbt3[[#All],[METRIC_NAME]]="YLD_YTM_BID"),_bbt3[[#All],[METRIC_VALUE]])*0.5))/100,"")</f>
        <v/>
      </c>
      <c r="J1816">
        <f>IF(ISNA(VLOOKUP(A1816,'CloseDL - PriceSaverBBT3'!A:E,5,0)),0,VLOOKUP(A1816,'CloseDL - PriceSaverBBT3'!A:E,5,0))</f>
        <v>0</v>
      </c>
      <c r="K1816" s="7" t="str">
        <f t="shared" si="227"/>
        <v/>
      </c>
      <c r="L1816" s="20" t="e">
        <f>IF(Close[[#This Row],[CreatedBy]]="MARINER\SilverAdm",1,0)</f>
        <v>#VALUE!</v>
      </c>
      <c r="M1816" t="str">
        <f>IF(NOT(ISBLANK(A1816)),VLOOKUP(A1816,'Close - PriceSaver'!A:J,6,0),"")</f>
        <v/>
      </c>
    </row>
    <row r="1817" spans="2:13" x14ac:dyDescent="0.35">
      <c r="B1817" t="str">
        <f>IF(NOT(ISBLANK(A1817)),VLOOKUP(A1817,'BBT3'!A:F,2,0),"")</f>
        <v/>
      </c>
      <c r="C1817" t="str">
        <f>IF(NOT(ISBLANK(A1817)),VLOOKUP(A1817,'BBT3'!A:F,3,0),"")</f>
        <v/>
      </c>
      <c r="D1817" s="5" t="str">
        <f>IF(NOT(ISBLANK(A1817)),VLOOKUP(A1817,'BBT3'!A:F,4,1),"")</f>
        <v/>
      </c>
      <c r="E1817" t="str">
        <f>IF(NOT(ISBLANK(A1817)),VLOOKUP(A1817,'BBT3'!A:F,5,0),"")</f>
        <v/>
      </c>
      <c r="F1817" t="str">
        <f>IF(NOT(ISBLANK(A1817)),VLOOKUP(A1817,'BBT3'!A:F,6,0),"")</f>
        <v/>
      </c>
      <c r="G1817" t="str">
        <f t="shared" si="226"/>
        <v/>
      </c>
      <c r="H1817" t="str">
        <f>IF(NOT(ISBLANK(A1817)),VLOOKUP(A1817,'Close - PriceSaver'!A:J,5,0),"")</f>
        <v/>
      </c>
      <c r="I1817" s="4" t="str" cm="1">
        <f t="array" ref="I1817">IF(NOT(ISBLANK(A1817)),((_xlfn.XLOOKUP(1,(_bbt3[[#All],[ID]]=A1817)*(_bbt3[[#All],[METRIC_NAME]]="YLD_YTM_ASK"),_bbt3[[#All],[METRIC_VALUE]])*0.5)+(_xlfn.XLOOKUP(1,(_bbt3[[#All],[ID]]=A1817)*(_bbt3[[#All],[METRIC_NAME]]="YLD_YTM_BID"),_bbt3[[#All],[METRIC_VALUE]])*0.5))/100,"")</f>
        <v/>
      </c>
      <c r="J1817">
        <f>IF(ISNA(VLOOKUP(A1817,'CloseDL - PriceSaverBBT3'!A:E,5,0)),0,VLOOKUP(A1817,'CloseDL - PriceSaverBBT3'!A:E,5,0))</f>
        <v>0</v>
      </c>
      <c r="K1817" s="7" t="str">
        <f t="shared" si="227"/>
        <v/>
      </c>
      <c r="L1817" s="20" t="e">
        <f>IF(Close[[#This Row],[CreatedBy]]="MARINER\SilverAdm",1,0)</f>
        <v>#VALUE!</v>
      </c>
      <c r="M1817" t="str">
        <f>IF(NOT(ISBLANK(A1817)),VLOOKUP(A1817,'Close - PriceSaver'!A:J,6,0),"")</f>
        <v/>
      </c>
    </row>
    <row r="1818" spans="2:13" x14ac:dyDescent="0.35">
      <c r="B1818" t="str">
        <f>IF(NOT(ISBLANK(A1818)),VLOOKUP(A1818,'BBT3'!A:F,2,0),"")</f>
        <v/>
      </c>
      <c r="C1818" t="str">
        <f>IF(NOT(ISBLANK(A1818)),VLOOKUP(A1818,'BBT3'!A:F,3,0),"")</f>
        <v/>
      </c>
      <c r="D1818" s="5" t="str">
        <f>IF(NOT(ISBLANK(A1818)),VLOOKUP(A1818,'BBT3'!A:F,4,1),"")</f>
        <v/>
      </c>
      <c r="E1818" t="str">
        <f>IF(NOT(ISBLANK(A1818)),VLOOKUP(A1818,'BBT3'!A:F,5,0),"")</f>
        <v/>
      </c>
      <c r="F1818" t="str">
        <f>IF(NOT(ISBLANK(A1818)),VLOOKUP(A1818,'BBT3'!A:F,6,0),"")</f>
        <v/>
      </c>
      <c r="G1818" t="str">
        <f t="shared" si="226"/>
        <v/>
      </c>
      <c r="H1818" t="str">
        <f>IF(NOT(ISBLANK(A1818)),VLOOKUP(A1818,'Close - PriceSaver'!A:J,5,0),"")</f>
        <v/>
      </c>
      <c r="I1818" s="4" t="str" cm="1">
        <f t="array" ref="I1818">IF(NOT(ISBLANK(A1818)),((_xlfn.XLOOKUP(1,(_bbt3[[#All],[ID]]=A1818)*(_bbt3[[#All],[METRIC_NAME]]="YLD_YTM_ASK"),_bbt3[[#All],[METRIC_VALUE]])*0.5)+(_xlfn.XLOOKUP(1,(_bbt3[[#All],[ID]]=A1818)*(_bbt3[[#All],[METRIC_NAME]]="YLD_YTM_BID"),_bbt3[[#All],[METRIC_VALUE]])*0.5))/100,"")</f>
        <v/>
      </c>
      <c r="J1818">
        <f>IF(ISNA(VLOOKUP(A1818,'CloseDL - PriceSaverBBT3'!A:E,5,0)),0,VLOOKUP(A1818,'CloseDL - PriceSaverBBT3'!A:E,5,0))</f>
        <v>0</v>
      </c>
      <c r="K1818" s="7" t="str">
        <f t="shared" si="227"/>
        <v/>
      </c>
      <c r="L1818" s="20" t="e">
        <f>IF(Close[[#This Row],[CreatedBy]]="MARINER\SilverAdm",1,0)</f>
        <v>#VALUE!</v>
      </c>
      <c r="M1818" t="str">
        <f>IF(NOT(ISBLANK(A1818)),VLOOKUP(A1818,'Close - PriceSaver'!A:J,6,0),"")</f>
        <v/>
      </c>
    </row>
    <row r="1819" spans="2:13" x14ac:dyDescent="0.35">
      <c r="B1819" t="str">
        <f>IF(NOT(ISBLANK(A1819)),VLOOKUP(A1819,'BBT3'!A:F,2,0),"")</f>
        <v/>
      </c>
      <c r="C1819" t="str">
        <f>IF(NOT(ISBLANK(A1819)),VLOOKUP(A1819,'BBT3'!A:F,3,0),"")</f>
        <v/>
      </c>
      <c r="D1819" s="5" t="str">
        <f>IF(NOT(ISBLANK(A1819)),VLOOKUP(A1819,'BBT3'!A:F,4,1),"")</f>
        <v/>
      </c>
      <c r="E1819" t="str">
        <f>IF(NOT(ISBLANK(A1819)),VLOOKUP(A1819,'BBT3'!A:F,5,0),"")</f>
        <v/>
      </c>
      <c r="F1819" t="str">
        <f>IF(NOT(ISBLANK(A1819)),VLOOKUP(A1819,'BBT3'!A:F,6,0),"")</f>
        <v/>
      </c>
      <c r="G1819" t="str">
        <f t="shared" si="226"/>
        <v/>
      </c>
      <c r="H1819" t="str">
        <f>IF(NOT(ISBLANK(A1819)),VLOOKUP(A1819,'Close - PriceSaver'!A:J,5,0),"")</f>
        <v/>
      </c>
      <c r="I1819" s="4" t="str" cm="1">
        <f t="array" ref="I1819">IF(NOT(ISBLANK(A1819)),((_xlfn.XLOOKUP(1,(_bbt3[[#All],[ID]]=A1819)*(_bbt3[[#All],[METRIC_NAME]]="YLD_YTM_ASK"),_bbt3[[#All],[METRIC_VALUE]])*0.5)+(_xlfn.XLOOKUP(1,(_bbt3[[#All],[ID]]=A1819)*(_bbt3[[#All],[METRIC_NAME]]="YLD_YTM_BID"),_bbt3[[#All],[METRIC_VALUE]])*0.5))/100,"")</f>
        <v/>
      </c>
      <c r="J1819">
        <f>IF(ISNA(VLOOKUP(A1819,'CloseDL - PriceSaverBBT3'!A:E,5,0)),0,VLOOKUP(A1819,'CloseDL - PriceSaverBBT3'!A:E,5,0))</f>
        <v>0</v>
      </c>
      <c r="K1819" s="7" t="str">
        <f t="shared" si="227"/>
        <v/>
      </c>
      <c r="L1819" s="20" t="e">
        <f>IF(Close[[#This Row],[CreatedBy]]="MARINER\SilverAdm",1,0)</f>
        <v>#VALUE!</v>
      </c>
      <c r="M1819" t="str">
        <f>IF(NOT(ISBLANK(A1819)),VLOOKUP(A1819,'Close - PriceSaver'!A:J,6,0),"")</f>
        <v/>
      </c>
    </row>
    <row r="1820" spans="2:13" x14ac:dyDescent="0.35">
      <c r="B1820" t="str">
        <f>IF(NOT(ISBLANK(A1820)),VLOOKUP(A1820,'BBT3'!A:F,2,0),"")</f>
        <v/>
      </c>
      <c r="C1820" t="str">
        <f>IF(NOT(ISBLANK(A1820)),VLOOKUP(A1820,'BBT3'!A:F,3,0),"")</f>
        <v/>
      </c>
      <c r="D1820" s="5" t="str">
        <f>IF(NOT(ISBLANK(A1820)),VLOOKUP(A1820,'BBT3'!A:F,4,1),"")</f>
        <v/>
      </c>
      <c r="E1820" t="str">
        <f>IF(NOT(ISBLANK(A1820)),VLOOKUP(A1820,'BBT3'!A:F,5,0),"")</f>
        <v/>
      </c>
      <c r="F1820" t="str">
        <f>IF(NOT(ISBLANK(A1820)),VLOOKUP(A1820,'BBT3'!A:F,6,0),"")</f>
        <v/>
      </c>
      <c r="G1820" t="str">
        <f t="shared" si="226"/>
        <v/>
      </c>
      <c r="H1820" t="str">
        <f>IF(NOT(ISBLANK(A1820)),VLOOKUP(A1820,'Close - PriceSaver'!A:J,5,0),"")</f>
        <v/>
      </c>
      <c r="I1820" s="4" t="str" cm="1">
        <f t="array" ref="I1820">IF(NOT(ISBLANK(A1820)),((_xlfn.XLOOKUP(1,(_bbt3[[#All],[ID]]=A1820)*(_bbt3[[#All],[METRIC_NAME]]="YLD_YTM_ASK"),_bbt3[[#All],[METRIC_VALUE]])*0.5)+(_xlfn.XLOOKUP(1,(_bbt3[[#All],[ID]]=A1820)*(_bbt3[[#All],[METRIC_NAME]]="YLD_YTM_BID"),_bbt3[[#All],[METRIC_VALUE]])*0.5))/100,"")</f>
        <v/>
      </c>
      <c r="J1820">
        <f>IF(ISNA(VLOOKUP(A1820,'CloseDL - PriceSaverBBT3'!A:E,5,0)),0,VLOOKUP(A1820,'CloseDL - PriceSaverBBT3'!A:E,5,0))</f>
        <v>0</v>
      </c>
      <c r="K1820" s="7" t="str">
        <f t="shared" si="227"/>
        <v/>
      </c>
      <c r="L1820" s="20" t="e">
        <f>IF(Close[[#This Row],[CreatedBy]]="MARINER\SilverAdm",1,0)</f>
        <v>#VALUE!</v>
      </c>
      <c r="M1820" t="str">
        <f>IF(NOT(ISBLANK(A1820)),VLOOKUP(A1820,'Close - PriceSaver'!A:J,6,0),"")</f>
        <v/>
      </c>
    </row>
    <row r="1821" spans="2:13" x14ac:dyDescent="0.35">
      <c r="B1821" t="str">
        <f>IF(NOT(ISBLANK(A1821)),VLOOKUP(A1821,'BBT3'!A:F,2,0),"")</f>
        <v/>
      </c>
      <c r="C1821" t="str">
        <f>IF(NOT(ISBLANK(A1821)),VLOOKUP(A1821,'BBT3'!A:F,3,0),"")</f>
        <v/>
      </c>
      <c r="D1821" s="5" t="str">
        <f>IF(NOT(ISBLANK(A1821)),VLOOKUP(A1821,'BBT3'!A:F,4,1),"")</f>
        <v/>
      </c>
      <c r="E1821" t="str">
        <f>IF(NOT(ISBLANK(A1821)),VLOOKUP(A1821,'BBT3'!A:F,5,0),"")</f>
        <v/>
      </c>
      <c r="F1821" t="str">
        <f>IF(NOT(ISBLANK(A1821)),VLOOKUP(A1821,'BBT3'!A:F,6,0),"")</f>
        <v/>
      </c>
      <c r="G1821" t="str">
        <f t="shared" si="226"/>
        <v/>
      </c>
      <c r="H1821" t="str">
        <f>IF(NOT(ISBLANK(A1821)),VLOOKUP(A1821,'Close - PriceSaver'!A:J,5,0),"")</f>
        <v/>
      </c>
      <c r="I1821" s="4" t="str" cm="1">
        <f t="array" ref="I1821">IF(NOT(ISBLANK(A1821)),((_xlfn.XLOOKUP(1,(_bbt3[[#All],[ID]]=A1821)*(_bbt3[[#All],[METRIC_NAME]]="YLD_YTM_ASK"),_bbt3[[#All],[METRIC_VALUE]])*0.5)+(_xlfn.XLOOKUP(1,(_bbt3[[#All],[ID]]=A1821)*(_bbt3[[#All],[METRIC_NAME]]="YLD_YTM_BID"),_bbt3[[#All],[METRIC_VALUE]])*0.5))/100,"")</f>
        <v/>
      </c>
      <c r="J1821">
        <f>IF(ISNA(VLOOKUP(A1821,'CloseDL - PriceSaverBBT3'!A:E,5,0)),0,VLOOKUP(A1821,'CloseDL - PriceSaverBBT3'!A:E,5,0))</f>
        <v>0</v>
      </c>
      <c r="K1821" s="7" t="str">
        <f t="shared" si="227"/>
        <v/>
      </c>
      <c r="L1821" s="20" t="e">
        <f>IF(Close[[#This Row],[CreatedBy]]="MARINER\SilverAdm",1,0)</f>
        <v>#VALUE!</v>
      </c>
      <c r="M1821" t="str">
        <f>IF(NOT(ISBLANK(A1821)),VLOOKUP(A1821,'Close - PriceSaver'!A:J,6,0),"")</f>
        <v/>
      </c>
    </row>
    <row r="1822" spans="2:13" x14ac:dyDescent="0.35">
      <c r="B1822" t="str">
        <f>IF(NOT(ISBLANK(A1822)),VLOOKUP(A1822,'BBT3'!A:F,2,0),"")</f>
        <v/>
      </c>
      <c r="C1822" t="str">
        <f>IF(NOT(ISBLANK(A1822)),VLOOKUP(A1822,'BBT3'!A:F,3,0),"")</f>
        <v/>
      </c>
      <c r="D1822" s="5" t="str">
        <f>IF(NOT(ISBLANK(A1822)),VLOOKUP(A1822,'BBT3'!A:F,4,1),"")</f>
        <v/>
      </c>
      <c r="E1822" t="str">
        <f>IF(NOT(ISBLANK(A1822)),VLOOKUP(A1822,'BBT3'!A:F,5,0),"")</f>
        <v/>
      </c>
      <c r="F1822" t="str">
        <f>IF(NOT(ISBLANK(A1822)),VLOOKUP(A1822,'BBT3'!A:F,6,0),"")</f>
        <v/>
      </c>
      <c r="G1822" t="str">
        <f t="shared" si="226"/>
        <v/>
      </c>
      <c r="H1822" t="str">
        <f>IF(NOT(ISBLANK(A1822)),VLOOKUP(A1822,'Close - PriceSaver'!A:J,5,0),"")</f>
        <v/>
      </c>
      <c r="I1822" s="4" t="str" cm="1">
        <f t="array" ref="I1822">IF(NOT(ISBLANK(A1822)),((_xlfn.XLOOKUP(1,(_bbt3[[#All],[ID]]=A1822)*(_bbt3[[#All],[METRIC_NAME]]="YLD_YTM_ASK"),_bbt3[[#All],[METRIC_VALUE]])*0.5)+(_xlfn.XLOOKUP(1,(_bbt3[[#All],[ID]]=A1822)*(_bbt3[[#All],[METRIC_NAME]]="YLD_YTM_BID"),_bbt3[[#All],[METRIC_VALUE]])*0.5))/100,"")</f>
        <v/>
      </c>
      <c r="J1822">
        <f>IF(ISNA(VLOOKUP(A1822,'CloseDL - PriceSaverBBT3'!A:E,5,0)),0,VLOOKUP(A1822,'CloseDL - PriceSaverBBT3'!A:E,5,0))</f>
        <v>0</v>
      </c>
      <c r="K1822" s="7" t="str">
        <f t="shared" si="227"/>
        <v/>
      </c>
      <c r="L1822" s="20" t="e">
        <f>IF(Close[[#This Row],[CreatedBy]]="MARINER\SilverAdm",1,0)</f>
        <v>#VALUE!</v>
      </c>
      <c r="M1822" t="str">
        <f>IF(NOT(ISBLANK(A1822)),VLOOKUP(A1822,'Close - PriceSaver'!A:J,6,0),"")</f>
        <v/>
      </c>
    </row>
    <row r="1823" spans="2:13" x14ac:dyDescent="0.35">
      <c r="B1823" t="str">
        <f>IF(NOT(ISBLANK(A1823)),VLOOKUP(A1823,'BBT3'!A:F,2,0),"")</f>
        <v/>
      </c>
      <c r="C1823" t="str">
        <f>IF(NOT(ISBLANK(A1823)),VLOOKUP(A1823,'BBT3'!A:F,3,0),"")</f>
        <v/>
      </c>
      <c r="D1823" s="5" t="str">
        <f>IF(NOT(ISBLANK(A1823)),VLOOKUP(A1823,'BBT3'!A:F,4,1),"")</f>
        <v/>
      </c>
      <c r="E1823" t="str">
        <f>IF(NOT(ISBLANK(A1823)),VLOOKUP(A1823,'BBT3'!A:F,5,0),"")</f>
        <v/>
      </c>
      <c r="F1823" t="str">
        <f>IF(NOT(ISBLANK(A1823)),VLOOKUP(A1823,'BBT3'!A:F,6,0),"")</f>
        <v/>
      </c>
      <c r="G1823" t="str">
        <f t="shared" si="226"/>
        <v/>
      </c>
      <c r="H1823" t="str">
        <f>IF(NOT(ISBLANK(A1823)),VLOOKUP(A1823,'Close - PriceSaver'!A:J,5,0),"")</f>
        <v/>
      </c>
      <c r="I1823" s="4" t="str" cm="1">
        <f t="array" ref="I1823">IF(NOT(ISBLANK(A1823)),((_xlfn.XLOOKUP(1,(_bbt3[[#All],[ID]]=A1823)*(_bbt3[[#All],[METRIC_NAME]]="YLD_YTM_ASK"),_bbt3[[#All],[METRIC_VALUE]])*0.5)+(_xlfn.XLOOKUP(1,(_bbt3[[#All],[ID]]=A1823)*(_bbt3[[#All],[METRIC_NAME]]="YLD_YTM_BID"),_bbt3[[#All],[METRIC_VALUE]])*0.5))/100,"")</f>
        <v/>
      </c>
      <c r="J1823">
        <f>IF(ISNA(VLOOKUP(A1823,'CloseDL - PriceSaverBBT3'!A:E,5,0)),0,VLOOKUP(A1823,'CloseDL - PriceSaverBBT3'!A:E,5,0))</f>
        <v>0</v>
      </c>
      <c r="K1823" s="7" t="str">
        <f t="shared" si="227"/>
        <v/>
      </c>
      <c r="L1823" s="20" t="e">
        <f>IF(Close[[#This Row],[CreatedBy]]="MARINER\SilverAdm",1,0)</f>
        <v>#VALUE!</v>
      </c>
      <c r="M1823" t="str">
        <f>IF(NOT(ISBLANK(A1823)),VLOOKUP(A1823,'Close - PriceSaver'!A:J,6,0),"")</f>
        <v/>
      </c>
    </row>
    <row r="1824" spans="2:13" x14ac:dyDescent="0.35">
      <c r="B1824" t="str">
        <f>IF(NOT(ISBLANK(A1824)),VLOOKUP(A1824,'BBT3'!A:F,2,0),"")</f>
        <v/>
      </c>
      <c r="C1824" t="str">
        <f>IF(NOT(ISBLANK(A1824)),VLOOKUP(A1824,'BBT3'!A:F,3,0),"")</f>
        <v/>
      </c>
      <c r="D1824" s="5" t="str">
        <f>IF(NOT(ISBLANK(A1824)),VLOOKUP(A1824,'BBT3'!A:F,4,1),"")</f>
        <v/>
      </c>
      <c r="E1824" t="str">
        <f>IF(NOT(ISBLANK(A1824)),VLOOKUP(A1824,'BBT3'!A:F,5,0),"")</f>
        <v/>
      </c>
      <c r="F1824" t="str">
        <f>IF(NOT(ISBLANK(A1824)),VLOOKUP(A1824,'BBT3'!A:F,6,0),"")</f>
        <v/>
      </c>
      <c r="G1824" t="str">
        <f t="shared" si="226"/>
        <v/>
      </c>
      <c r="H1824" t="str">
        <f>IF(NOT(ISBLANK(A1824)),VLOOKUP(A1824,'Close - PriceSaver'!A:J,5,0),"")</f>
        <v/>
      </c>
      <c r="I1824" s="4" t="str" cm="1">
        <f t="array" ref="I1824">IF(NOT(ISBLANK(A1824)),((_xlfn.XLOOKUP(1,(_bbt3[[#All],[ID]]=A1824)*(_bbt3[[#All],[METRIC_NAME]]="YLD_YTM_ASK"),_bbt3[[#All],[METRIC_VALUE]])*0.5)+(_xlfn.XLOOKUP(1,(_bbt3[[#All],[ID]]=A1824)*(_bbt3[[#All],[METRIC_NAME]]="YLD_YTM_BID"),_bbt3[[#All],[METRIC_VALUE]])*0.5))/100,"")</f>
        <v/>
      </c>
      <c r="J1824">
        <f>IF(ISNA(VLOOKUP(A1824,'CloseDL - PriceSaverBBT3'!A:E,5,0)),0,VLOOKUP(A1824,'CloseDL - PriceSaverBBT3'!A:E,5,0))</f>
        <v>0</v>
      </c>
      <c r="K1824" s="7" t="str">
        <f t="shared" si="227"/>
        <v/>
      </c>
      <c r="L1824" s="20" t="e">
        <f>IF(Close[[#This Row],[CreatedBy]]="MARINER\SilverAdm",1,0)</f>
        <v>#VALUE!</v>
      </c>
      <c r="M1824" t="str">
        <f>IF(NOT(ISBLANK(A1824)),VLOOKUP(A1824,'Close - PriceSaver'!A:J,6,0),"")</f>
        <v/>
      </c>
    </row>
    <row r="1825" spans="2:13" x14ac:dyDescent="0.35">
      <c r="B1825" t="str">
        <f>IF(NOT(ISBLANK(A1825)),VLOOKUP(A1825,'BBT3'!A:F,2,0),"")</f>
        <v/>
      </c>
      <c r="C1825" t="str">
        <f>IF(NOT(ISBLANK(A1825)),VLOOKUP(A1825,'BBT3'!A:F,3,0),"")</f>
        <v/>
      </c>
      <c r="D1825" s="5" t="str">
        <f>IF(NOT(ISBLANK(A1825)),VLOOKUP(A1825,'BBT3'!A:F,4,1),"")</f>
        <v/>
      </c>
      <c r="E1825" t="str">
        <f>IF(NOT(ISBLANK(A1825)),VLOOKUP(A1825,'BBT3'!A:F,5,0),"")</f>
        <v/>
      </c>
      <c r="F1825" t="str">
        <f>IF(NOT(ISBLANK(A1825)),VLOOKUP(A1825,'BBT3'!A:F,6,0),"")</f>
        <v/>
      </c>
      <c r="G1825" t="str">
        <f t="shared" si="226"/>
        <v/>
      </c>
      <c r="H1825" t="str">
        <f>IF(NOT(ISBLANK(A1825)),VLOOKUP(A1825,'Close - PriceSaver'!A:J,5,0),"")</f>
        <v/>
      </c>
      <c r="I1825" s="4" t="str" cm="1">
        <f t="array" ref="I1825">IF(NOT(ISBLANK(A1825)),((_xlfn.XLOOKUP(1,(_bbt3[[#All],[ID]]=A1825)*(_bbt3[[#All],[METRIC_NAME]]="YLD_YTM_ASK"),_bbt3[[#All],[METRIC_VALUE]])*0.5)+(_xlfn.XLOOKUP(1,(_bbt3[[#All],[ID]]=A1825)*(_bbt3[[#All],[METRIC_NAME]]="YLD_YTM_BID"),_bbt3[[#All],[METRIC_VALUE]])*0.5))/100,"")</f>
        <v/>
      </c>
      <c r="J1825">
        <f>IF(ISNA(VLOOKUP(A1825,'CloseDL - PriceSaverBBT3'!A:E,5,0)),0,VLOOKUP(A1825,'CloseDL - PriceSaverBBT3'!A:E,5,0))</f>
        <v>0</v>
      </c>
      <c r="K1825" s="7" t="str">
        <f t="shared" si="227"/>
        <v/>
      </c>
      <c r="L1825" s="20" t="e">
        <f>IF(Close[[#This Row],[CreatedBy]]="MARINER\SilverAdm",1,0)</f>
        <v>#VALUE!</v>
      </c>
      <c r="M1825" t="str">
        <f>IF(NOT(ISBLANK(A1825)),VLOOKUP(A1825,'Close - PriceSaver'!A:J,6,0),"")</f>
        <v/>
      </c>
    </row>
    <row r="1826" spans="2:13" x14ac:dyDescent="0.35">
      <c r="B1826" t="str">
        <f>IF(NOT(ISBLANK(A1826)),VLOOKUP(A1826,'BBT3'!A:F,2,0),"")</f>
        <v/>
      </c>
      <c r="C1826" t="str">
        <f>IF(NOT(ISBLANK(A1826)),VLOOKUP(A1826,'BBT3'!A:F,3,0),"")</f>
        <v/>
      </c>
      <c r="D1826" s="5" t="str">
        <f>IF(NOT(ISBLANK(A1826)),VLOOKUP(A1826,'BBT3'!A:F,4,1),"")</f>
        <v/>
      </c>
      <c r="E1826" t="str">
        <f>IF(NOT(ISBLANK(A1826)),VLOOKUP(A1826,'BBT3'!A:F,5,0),"")</f>
        <v/>
      </c>
      <c r="F1826" t="str">
        <f>IF(NOT(ISBLANK(A1826)),VLOOKUP(A1826,'BBT3'!A:F,6,0),"")</f>
        <v/>
      </c>
      <c r="G1826" t="str">
        <f t="shared" si="226"/>
        <v/>
      </c>
      <c r="H1826" t="str">
        <f>IF(NOT(ISBLANK(A1826)),VLOOKUP(A1826,'Close - PriceSaver'!A:J,5,0),"")</f>
        <v/>
      </c>
      <c r="I1826" s="4" t="str" cm="1">
        <f t="array" ref="I1826">IF(NOT(ISBLANK(A1826)),((_xlfn.XLOOKUP(1,(_bbt3[[#All],[ID]]=A1826)*(_bbt3[[#All],[METRIC_NAME]]="YLD_YTM_ASK"),_bbt3[[#All],[METRIC_VALUE]])*0.5)+(_xlfn.XLOOKUP(1,(_bbt3[[#All],[ID]]=A1826)*(_bbt3[[#All],[METRIC_NAME]]="YLD_YTM_BID"),_bbt3[[#All],[METRIC_VALUE]])*0.5))/100,"")</f>
        <v/>
      </c>
      <c r="J1826">
        <f>IF(ISNA(VLOOKUP(A1826,'CloseDL - PriceSaverBBT3'!A:E,5,0)),0,VLOOKUP(A1826,'CloseDL - PriceSaverBBT3'!A:E,5,0))</f>
        <v>0</v>
      </c>
      <c r="K1826" s="7" t="str">
        <f t="shared" si="227"/>
        <v/>
      </c>
      <c r="L1826" s="20" t="e">
        <f>IF(Close[[#This Row],[CreatedBy]]="MARINER\SilverAdm",1,0)</f>
        <v>#VALUE!</v>
      </c>
      <c r="M1826" t="str">
        <f>IF(NOT(ISBLANK(A1826)),VLOOKUP(A1826,'Close - PriceSaver'!A:J,6,0),"")</f>
        <v/>
      </c>
    </row>
    <row r="1827" spans="2:13" x14ac:dyDescent="0.35">
      <c r="B1827" t="str">
        <f>IF(NOT(ISBLANK(A1827)),VLOOKUP(A1827,'BBT3'!A:F,2,0),"")</f>
        <v/>
      </c>
      <c r="C1827" t="str">
        <f>IF(NOT(ISBLANK(A1827)),VLOOKUP(A1827,'BBT3'!A:F,3,0),"")</f>
        <v/>
      </c>
      <c r="D1827" s="5" t="str">
        <f>IF(NOT(ISBLANK(A1827)),VLOOKUP(A1827,'BBT3'!A:F,4,1),"")</f>
        <v/>
      </c>
      <c r="E1827" t="str">
        <f>IF(NOT(ISBLANK(A1827)),VLOOKUP(A1827,'BBT3'!A:F,5,0),"")</f>
        <v/>
      </c>
      <c r="F1827" t="str">
        <f>IF(NOT(ISBLANK(A1827)),VLOOKUP(A1827,'BBT3'!A:F,6,0),"")</f>
        <v/>
      </c>
      <c r="G1827" t="str">
        <f t="shared" si="226"/>
        <v/>
      </c>
      <c r="H1827" t="str">
        <f>IF(NOT(ISBLANK(A1827)),VLOOKUP(A1827,'Close - PriceSaver'!A:J,5,0),"")</f>
        <v/>
      </c>
      <c r="I1827" s="4" t="str" cm="1">
        <f t="array" ref="I1827">IF(NOT(ISBLANK(A1827)),((_xlfn.XLOOKUP(1,(_bbt3[[#All],[ID]]=A1827)*(_bbt3[[#All],[METRIC_NAME]]="YLD_YTM_ASK"),_bbt3[[#All],[METRIC_VALUE]])*0.5)+(_xlfn.XLOOKUP(1,(_bbt3[[#All],[ID]]=A1827)*(_bbt3[[#All],[METRIC_NAME]]="YLD_YTM_BID"),_bbt3[[#All],[METRIC_VALUE]])*0.5))/100,"")</f>
        <v/>
      </c>
      <c r="J1827">
        <f>IF(ISNA(VLOOKUP(A1827,'CloseDL - PriceSaverBBT3'!A:E,5,0)),0,VLOOKUP(A1827,'CloseDL - PriceSaverBBT3'!A:E,5,0))</f>
        <v>0</v>
      </c>
      <c r="K1827" s="7" t="str">
        <f t="shared" si="227"/>
        <v/>
      </c>
      <c r="L1827" s="20" t="e">
        <f>IF(Close[[#This Row],[CreatedBy]]="MARINER\SilverAdm",1,0)</f>
        <v>#VALUE!</v>
      </c>
      <c r="M1827" t="str">
        <f>IF(NOT(ISBLANK(A1827)),VLOOKUP(A1827,'Close - PriceSaver'!A:J,6,0),"")</f>
        <v/>
      </c>
    </row>
    <row r="1828" spans="2:13" x14ac:dyDescent="0.35">
      <c r="B1828" t="str">
        <f>IF(NOT(ISBLANK(A1828)),VLOOKUP(A1828,'BBT3'!A:F,2,0),"")</f>
        <v/>
      </c>
      <c r="C1828" t="str">
        <f>IF(NOT(ISBLANK(A1828)),VLOOKUP(A1828,'BBT3'!A:F,3,0),"")</f>
        <v/>
      </c>
      <c r="D1828" s="5" t="str">
        <f>IF(NOT(ISBLANK(A1828)),VLOOKUP(A1828,'BBT3'!A:F,4,1),"")</f>
        <v/>
      </c>
      <c r="E1828" t="str">
        <f>IF(NOT(ISBLANK(A1828)),VLOOKUP(A1828,'BBT3'!A:F,5,0),"")</f>
        <v/>
      </c>
      <c r="F1828" t="str">
        <f>IF(NOT(ISBLANK(A1828)),VLOOKUP(A1828,'BBT3'!A:F,6,0),"")</f>
        <v/>
      </c>
      <c r="G1828" t="str">
        <f t="shared" si="226"/>
        <v/>
      </c>
      <c r="H1828" t="str">
        <f>IF(NOT(ISBLANK(A1828)),VLOOKUP(A1828,'Close - PriceSaver'!A:J,5,0),"")</f>
        <v/>
      </c>
      <c r="I1828" s="4" t="str" cm="1">
        <f t="array" ref="I1828">IF(NOT(ISBLANK(A1828)),((_xlfn.XLOOKUP(1,(_bbt3[[#All],[ID]]=A1828)*(_bbt3[[#All],[METRIC_NAME]]="YLD_YTM_ASK"),_bbt3[[#All],[METRIC_VALUE]])*0.5)+(_xlfn.XLOOKUP(1,(_bbt3[[#All],[ID]]=A1828)*(_bbt3[[#All],[METRIC_NAME]]="YLD_YTM_BID"),_bbt3[[#All],[METRIC_VALUE]])*0.5))/100,"")</f>
        <v/>
      </c>
      <c r="J1828">
        <f>IF(ISNA(VLOOKUP(A1828,'CloseDL - PriceSaverBBT3'!A:E,5,0)),0,VLOOKUP(A1828,'CloseDL - PriceSaverBBT3'!A:E,5,0))</f>
        <v>0</v>
      </c>
      <c r="K1828" s="7" t="str">
        <f t="shared" si="227"/>
        <v/>
      </c>
      <c r="L1828" s="20" t="e">
        <f>IF(Close[[#This Row],[CreatedBy]]="MARINER\SilverAdm",1,0)</f>
        <v>#VALUE!</v>
      </c>
      <c r="M1828" t="str">
        <f>IF(NOT(ISBLANK(A1828)),VLOOKUP(A1828,'Close - PriceSaver'!A:J,6,0),"")</f>
        <v/>
      </c>
    </row>
    <row r="1829" spans="2:13" x14ac:dyDescent="0.35">
      <c r="B1829" t="str">
        <f>IF(NOT(ISBLANK(A1829)),VLOOKUP(A1829,'BBT3'!A:F,2,0),"")</f>
        <v/>
      </c>
      <c r="C1829" t="str">
        <f>IF(NOT(ISBLANK(A1829)),VLOOKUP(A1829,'BBT3'!A:F,3,0),"")</f>
        <v/>
      </c>
      <c r="D1829" s="5" t="str">
        <f>IF(NOT(ISBLANK(A1829)),VLOOKUP(A1829,'BBT3'!A:F,4,1),"")</f>
        <v/>
      </c>
      <c r="E1829" t="str">
        <f>IF(NOT(ISBLANK(A1829)),VLOOKUP(A1829,'BBT3'!A:F,5,0),"")</f>
        <v/>
      </c>
      <c r="F1829" t="str">
        <f>IF(NOT(ISBLANK(A1829)),VLOOKUP(A1829,'BBT3'!A:F,6,0),"")</f>
        <v/>
      </c>
      <c r="G1829" t="str">
        <f t="shared" si="226"/>
        <v/>
      </c>
      <c r="H1829" t="str">
        <f>IF(NOT(ISBLANK(A1829)),VLOOKUP(A1829,'Close - PriceSaver'!A:J,5,0),"")</f>
        <v/>
      </c>
      <c r="I1829" s="4" t="str" cm="1">
        <f t="array" ref="I1829">IF(NOT(ISBLANK(A1829)),((_xlfn.XLOOKUP(1,(_bbt3[[#All],[ID]]=A1829)*(_bbt3[[#All],[METRIC_NAME]]="YLD_YTM_ASK"),_bbt3[[#All],[METRIC_VALUE]])*0.5)+(_xlfn.XLOOKUP(1,(_bbt3[[#All],[ID]]=A1829)*(_bbt3[[#All],[METRIC_NAME]]="YLD_YTM_BID"),_bbt3[[#All],[METRIC_VALUE]])*0.5))/100,"")</f>
        <v/>
      </c>
      <c r="J1829">
        <f>IF(ISNA(VLOOKUP(A1829,'CloseDL - PriceSaverBBT3'!A:E,5,0)),0,VLOOKUP(A1829,'CloseDL - PriceSaverBBT3'!A:E,5,0))</f>
        <v>0</v>
      </c>
      <c r="K1829" s="7" t="str">
        <f t="shared" si="227"/>
        <v/>
      </c>
      <c r="L1829" s="20" t="e">
        <f>IF(Close[[#This Row],[CreatedBy]]="MARINER\SilverAdm",1,0)</f>
        <v>#VALUE!</v>
      </c>
      <c r="M1829" t="str">
        <f>IF(NOT(ISBLANK(A1829)),VLOOKUP(A1829,'Close - PriceSaver'!A:J,6,0),"")</f>
        <v/>
      </c>
    </row>
    <row r="1830" spans="2:13" x14ac:dyDescent="0.35">
      <c r="B1830" t="str">
        <f>IF(NOT(ISBLANK(A1830)),VLOOKUP(A1830,'BBT3'!A:F,2,0),"")</f>
        <v/>
      </c>
      <c r="C1830" t="str">
        <f>IF(NOT(ISBLANK(A1830)),VLOOKUP(A1830,'BBT3'!A:F,3,0),"")</f>
        <v/>
      </c>
      <c r="D1830" s="5" t="str">
        <f>IF(NOT(ISBLANK(A1830)),VLOOKUP(A1830,'BBT3'!A:F,4,1),"")</f>
        <v/>
      </c>
      <c r="E1830" t="str">
        <f>IF(NOT(ISBLANK(A1830)),VLOOKUP(A1830,'BBT3'!A:F,5,0),"")</f>
        <v/>
      </c>
      <c r="F1830" t="str">
        <f>IF(NOT(ISBLANK(A1830)),VLOOKUP(A1830,'BBT3'!A:F,6,0),"")</f>
        <v/>
      </c>
      <c r="G1830" t="str">
        <f t="shared" si="226"/>
        <v/>
      </c>
      <c r="H1830" t="str">
        <f>IF(NOT(ISBLANK(A1830)),VLOOKUP(A1830,'Close - PriceSaver'!A:J,5,0),"")</f>
        <v/>
      </c>
      <c r="I1830" s="4" t="str" cm="1">
        <f t="array" ref="I1830">IF(NOT(ISBLANK(A1830)),((_xlfn.XLOOKUP(1,(_bbt3[[#All],[ID]]=A1830)*(_bbt3[[#All],[METRIC_NAME]]="YLD_YTM_ASK"),_bbt3[[#All],[METRIC_VALUE]])*0.5)+(_xlfn.XLOOKUP(1,(_bbt3[[#All],[ID]]=A1830)*(_bbt3[[#All],[METRIC_NAME]]="YLD_YTM_BID"),_bbt3[[#All],[METRIC_VALUE]])*0.5))/100,"")</f>
        <v/>
      </c>
      <c r="J1830">
        <f>IF(ISNA(VLOOKUP(A1830,'CloseDL - PriceSaverBBT3'!A:E,5,0)),0,VLOOKUP(A1830,'CloseDL - PriceSaverBBT3'!A:E,5,0))</f>
        <v>0</v>
      </c>
      <c r="K1830" s="7" t="str">
        <f t="shared" si="227"/>
        <v/>
      </c>
      <c r="L1830" s="20" t="e">
        <f>IF(Close[[#This Row],[CreatedBy]]="MARINER\SilverAdm",1,0)</f>
        <v>#VALUE!</v>
      </c>
      <c r="M1830" t="str">
        <f>IF(NOT(ISBLANK(A1830)),VLOOKUP(A1830,'Close - PriceSaver'!A:J,6,0),"")</f>
        <v/>
      </c>
    </row>
    <row r="1831" spans="2:13" x14ac:dyDescent="0.35">
      <c r="B1831" t="str">
        <f>IF(NOT(ISBLANK(A1831)),VLOOKUP(A1831,'BBT3'!A:F,2,0),"")</f>
        <v/>
      </c>
      <c r="C1831" t="str">
        <f>IF(NOT(ISBLANK(A1831)),VLOOKUP(A1831,'BBT3'!A:F,3,0),"")</f>
        <v/>
      </c>
      <c r="D1831" s="5" t="str">
        <f>IF(NOT(ISBLANK(A1831)),VLOOKUP(A1831,'BBT3'!A:F,4,1),"")</f>
        <v/>
      </c>
      <c r="E1831" t="str">
        <f>IF(NOT(ISBLANK(A1831)),VLOOKUP(A1831,'BBT3'!A:F,5,0),"")</f>
        <v/>
      </c>
      <c r="F1831" t="str">
        <f>IF(NOT(ISBLANK(A1831)),VLOOKUP(A1831,'BBT3'!A:F,6,0),"")</f>
        <v/>
      </c>
      <c r="G1831" t="str">
        <f t="shared" si="226"/>
        <v/>
      </c>
      <c r="H1831" t="str">
        <f>IF(NOT(ISBLANK(A1831)),VLOOKUP(A1831,'Close - PriceSaver'!A:J,5,0),"")</f>
        <v/>
      </c>
      <c r="I1831" s="4" t="str" cm="1">
        <f t="array" ref="I1831">IF(NOT(ISBLANK(A1831)),((_xlfn.XLOOKUP(1,(_bbt3[[#All],[ID]]=A1831)*(_bbt3[[#All],[METRIC_NAME]]="YLD_YTM_ASK"),_bbt3[[#All],[METRIC_VALUE]])*0.5)+(_xlfn.XLOOKUP(1,(_bbt3[[#All],[ID]]=A1831)*(_bbt3[[#All],[METRIC_NAME]]="YLD_YTM_BID"),_bbt3[[#All],[METRIC_VALUE]])*0.5))/100,"")</f>
        <v/>
      </c>
      <c r="J1831">
        <f>IF(ISNA(VLOOKUP(A1831,'CloseDL - PriceSaverBBT3'!A:E,5,0)),0,VLOOKUP(A1831,'CloseDL - PriceSaverBBT3'!A:E,5,0))</f>
        <v>0</v>
      </c>
      <c r="K1831" s="7" t="str">
        <f t="shared" si="227"/>
        <v/>
      </c>
      <c r="L1831" s="20" t="e">
        <f>IF(Close[[#This Row],[CreatedBy]]="MARINER\SilverAdm",1,0)</f>
        <v>#VALUE!</v>
      </c>
      <c r="M1831" t="str">
        <f>IF(NOT(ISBLANK(A1831)),VLOOKUP(A1831,'Close - PriceSaver'!A:J,6,0),"")</f>
        <v/>
      </c>
    </row>
    <row r="1832" spans="2:13" x14ac:dyDescent="0.35">
      <c r="B1832" t="str">
        <f>IF(NOT(ISBLANK(A1832)),VLOOKUP(A1832,'BBT3'!A:F,2,0),"")</f>
        <v/>
      </c>
      <c r="C1832" t="str">
        <f>IF(NOT(ISBLANK(A1832)),VLOOKUP(A1832,'BBT3'!A:F,3,0),"")</f>
        <v/>
      </c>
      <c r="D1832" s="5" t="str">
        <f>IF(NOT(ISBLANK(A1832)),VLOOKUP(A1832,'BBT3'!A:F,4,1),"")</f>
        <v/>
      </c>
      <c r="E1832" t="str">
        <f>IF(NOT(ISBLANK(A1832)),VLOOKUP(A1832,'BBT3'!A:F,5,0),"")</f>
        <v/>
      </c>
      <c r="F1832" t="str">
        <f>IF(NOT(ISBLANK(A1832)),VLOOKUP(A1832,'BBT3'!A:F,6,0),"")</f>
        <v/>
      </c>
      <c r="G1832" t="str">
        <f t="shared" si="226"/>
        <v/>
      </c>
      <c r="H1832" t="str">
        <f>IF(NOT(ISBLANK(A1832)),VLOOKUP(A1832,'Close - PriceSaver'!A:J,5,0),"")</f>
        <v/>
      </c>
      <c r="I1832" s="4" t="str" cm="1">
        <f t="array" ref="I1832">IF(NOT(ISBLANK(A1832)),((_xlfn.XLOOKUP(1,(_bbt3[[#All],[ID]]=A1832)*(_bbt3[[#All],[METRIC_NAME]]="YLD_YTM_ASK"),_bbt3[[#All],[METRIC_VALUE]])*0.5)+(_xlfn.XLOOKUP(1,(_bbt3[[#All],[ID]]=A1832)*(_bbt3[[#All],[METRIC_NAME]]="YLD_YTM_BID"),_bbt3[[#All],[METRIC_VALUE]])*0.5))/100,"")</f>
        <v/>
      </c>
      <c r="J1832">
        <f>IF(ISNA(VLOOKUP(A1832,'CloseDL - PriceSaverBBT3'!A:E,5,0)),0,VLOOKUP(A1832,'CloseDL - PriceSaverBBT3'!A:E,5,0))</f>
        <v>0</v>
      </c>
      <c r="K1832" s="7" t="str">
        <f t="shared" si="227"/>
        <v/>
      </c>
      <c r="L1832" s="20" t="e">
        <f>IF(Close[[#This Row],[CreatedBy]]="MARINER\SilverAdm",1,0)</f>
        <v>#VALUE!</v>
      </c>
      <c r="M1832" t="str">
        <f>IF(NOT(ISBLANK(A1832)),VLOOKUP(A1832,'Close - PriceSaver'!A:J,6,0),"")</f>
        <v/>
      </c>
    </row>
    <row r="1833" spans="2:13" x14ac:dyDescent="0.35">
      <c r="B1833" t="str">
        <f>IF(NOT(ISBLANK(A1833)),VLOOKUP(A1833,'BBT3'!A:F,2,0),"")</f>
        <v/>
      </c>
      <c r="C1833" t="str">
        <f>IF(NOT(ISBLANK(A1833)),VLOOKUP(A1833,'BBT3'!A:F,3,0),"")</f>
        <v/>
      </c>
      <c r="D1833" s="5" t="str">
        <f>IF(NOT(ISBLANK(A1833)),VLOOKUP(A1833,'BBT3'!A:F,4,1),"")</f>
        <v/>
      </c>
      <c r="E1833" t="str">
        <f>IF(NOT(ISBLANK(A1833)),VLOOKUP(A1833,'BBT3'!A:F,5,0),"")</f>
        <v/>
      </c>
      <c r="F1833" t="str">
        <f>IF(NOT(ISBLANK(A1833)),VLOOKUP(A1833,'BBT3'!A:F,6,0),"")</f>
        <v/>
      </c>
      <c r="G1833" t="str">
        <f t="shared" si="226"/>
        <v/>
      </c>
      <c r="H1833" t="str">
        <f>IF(NOT(ISBLANK(A1833)),VLOOKUP(A1833,'Close - PriceSaver'!A:J,5,0),"")</f>
        <v/>
      </c>
      <c r="I1833" s="4" t="str" cm="1">
        <f t="array" ref="I1833">IF(NOT(ISBLANK(A1833)),((_xlfn.XLOOKUP(1,(_bbt3[[#All],[ID]]=A1833)*(_bbt3[[#All],[METRIC_NAME]]="YLD_YTM_ASK"),_bbt3[[#All],[METRIC_VALUE]])*0.5)+(_xlfn.XLOOKUP(1,(_bbt3[[#All],[ID]]=A1833)*(_bbt3[[#All],[METRIC_NAME]]="YLD_YTM_BID"),_bbt3[[#All],[METRIC_VALUE]])*0.5))/100,"")</f>
        <v/>
      </c>
      <c r="J1833">
        <f>IF(ISNA(VLOOKUP(A1833,'CloseDL - PriceSaverBBT3'!A:E,5,0)),0,VLOOKUP(A1833,'CloseDL - PriceSaverBBT3'!A:E,5,0))</f>
        <v>0</v>
      </c>
      <c r="K1833" s="7" t="str">
        <f t="shared" si="227"/>
        <v/>
      </c>
      <c r="L1833" s="20" t="e">
        <f>IF(Close[[#This Row],[CreatedBy]]="MARINER\SilverAdm",1,0)</f>
        <v>#VALUE!</v>
      </c>
      <c r="M1833" t="str">
        <f>IF(NOT(ISBLANK(A1833)),VLOOKUP(A1833,'Close - PriceSaver'!A:J,6,0),"")</f>
        <v/>
      </c>
    </row>
    <row r="1834" spans="2:13" x14ac:dyDescent="0.35">
      <c r="B1834" t="str">
        <f>IF(NOT(ISBLANK(A1834)),VLOOKUP(A1834,'BBT3'!A:F,2,0),"")</f>
        <v/>
      </c>
      <c r="C1834" t="str">
        <f>IF(NOT(ISBLANK(A1834)),VLOOKUP(A1834,'BBT3'!A:F,3,0),"")</f>
        <v/>
      </c>
      <c r="D1834" s="5" t="str">
        <f>IF(NOT(ISBLANK(A1834)),VLOOKUP(A1834,'BBT3'!A:F,4,1),"")</f>
        <v/>
      </c>
      <c r="E1834" t="str">
        <f>IF(NOT(ISBLANK(A1834)),VLOOKUP(A1834,'BBT3'!A:F,5,0),"")</f>
        <v/>
      </c>
      <c r="F1834" t="str">
        <f>IF(NOT(ISBLANK(A1834)),VLOOKUP(A1834,'BBT3'!A:F,6,0),"")</f>
        <v/>
      </c>
      <c r="G1834" t="str">
        <f t="shared" si="226"/>
        <v/>
      </c>
      <c r="H1834" t="str">
        <f>IF(NOT(ISBLANK(A1834)),VLOOKUP(A1834,'Close - PriceSaver'!A:J,5,0),"")</f>
        <v/>
      </c>
      <c r="I1834" s="4" t="str" cm="1">
        <f t="array" ref="I1834">IF(NOT(ISBLANK(A1834)),((_xlfn.XLOOKUP(1,(_bbt3[[#All],[ID]]=A1834)*(_bbt3[[#All],[METRIC_NAME]]="YLD_YTM_ASK"),_bbt3[[#All],[METRIC_VALUE]])*0.5)+(_xlfn.XLOOKUP(1,(_bbt3[[#All],[ID]]=A1834)*(_bbt3[[#All],[METRIC_NAME]]="YLD_YTM_BID"),_bbt3[[#All],[METRIC_VALUE]])*0.5))/100,"")</f>
        <v/>
      </c>
      <c r="J1834">
        <f>IF(ISNA(VLOOKUP(A1834,'CloseDL - PriceSaverBBT3'!A:E,5,0)),0,VLOOKUP(A1834,'CloseDL - PriceSaverBBT3'!A:E,5,0))</f>
        <v>0</v>
      </c>
      <c r="K1834" s="7" t="str">
        <f t="shared" si="227"/>
        <v/>
      </c>
      <c r="L1834" s="20" t="e">
        <f>IF(Close[[#This Row],[CreatedBy]]="MARINER\SilverAdm",1,0)</f>
        <v>#VALUE!</v>
      </c>
      <c r="M1834" t="str">
        <f>IF(NOT(ISBLANK(A1834)),VLOOKUP(A1834,'Close - PriceSaver'!A:J,6,0),"")</f>
        <v/>
      </c>
    </row>
    <row r="1835" spans="2:13" x14ac:dyDescent="0.35">
      <c r="B1835" t="str">
        <f>IF(NOT(ISBLANK(A1835)),VLOOKUP(A1835,'BBT3'!A:F,2,0),"")</f>
        <v/>
      </c>
      <c r="C1835" t="str">
        <f>IF(NOT(ISBLANK(A1835)),VLOOKUP(A1835,'BBT3'!A:F,3,0),"")</f>
        <v/>
      </c>
      <c r="D1835" s="5" t="str">
        <f>IF(NOT(ISBLANK(A1835)),VLOOKUP(A1835,'BBT3'!A:F,4,1),"")</f>
        <v/>
      </c>
      <c r="E1835" t="str">
        <f>IF(NOT(ISBLANK(A1835)),VLOOKUP(A1835,'BBT3'!A:F,5,0),"")</f>
        <v/>
      </c>
      <c r="F1835" t="str">
        <f>IF(NOT(ISBLANK(A1835)),VLOOKUP(A1835,'BBT3'!A:F,6,0),"")</f>
        <v/>
      </c>
      <c r="G1835" t="str">
        <f t="shared" si="226"/>
        <v/>
      </c>
      <c r="H1835" t="str">
        <f>IF(NOT(ISBLANK(A1835)),VLOOKUP(A1835,'Close - PriceSaver'!A:J,5,0),"")</f>
        <v/>
      </c>
      <c r="I1835" s="4" t="str" cm="1">
        <f t="array" ref="I1835">IF(NOT(ISBLANK(A1835)),((_xlfn.XLOOKUP(1,(_bbt3[[#All],[ID]]=A1835)*(_bbt3[[#All],[METRIC_NAME]]="YLD_YTM_ASK"),_bbt3[[#All],[METRIC_VALUE]])*0.5)+(_xlfn.XLOOKUP(1,(_bbt3[[#All],[ID]]=A1835)*(_bbt3[[#All],[METRIC_NAME]]="YLD_YTM_BID"),_bbt3[[#All],[METRIC_VALUE]])*0.5))/100,"")</f>
        <v/>
      </c>
      <c r="J1835">
        <f>IF(ISNA(VLOOKUP(A1835,'CloseDL - PriceSaverBBT3'!A:E,5,0)),0,VLOOKUP(A1835,'CloseDL - PriceSaverBBT3'!A:E,5,0))</f>
        <v>0</v>
      </c>
      <c r="K1835" s="7" t="str">
        <f t="shared" si="227"/>
        <v/>
      </c>
      <c r="L1835" s="20" t="e">
        <f>IF(Close[[#This Row],[CreatedBy]]="MARINER\SilverAdm",1,0)</f>
        <v>#VALUE!</v>
      </c>
      <c r="M1835" t="str">
        <f>IF(NOT(ISBLANK(A1835)),VLOOKUP(A1835,'Close - PriceSaver'!A:J,6,0),"")</f>
        <v/>
      </c>
    </row>
    <row r="1836" spans="2:13" x14ac:dyDescent="0.35">
      <c r="B1836" t="str">
        <f>IF(NOT(ISBLANK(A1836)),VLOOKUP(A1836,'BBT3'!A:F,2,0),"")</f>
        <v/>
      </c>
      <c r="C1836" t="str">
        <f>IF(NOT(ISBLANK(A1836)),VLOOKUP(A1836,'BBT3'!A:F,3,0),"")</f>
        <v/>
      </c>
      <c r="D1836" s="5" t="str">
        <f>IF(NOT(ISBLANK(A1836)),VLOOKUP(A1836,'BBT3'!A:F,4,1),"")</f>
        <v/>
      </c>
      <c r="E1836" t="str">
        <f>IF(NOT(ISBLANK(A1836)),VLOOKUP(A1836,'BBT3'!A:F,5,0),"")</f>
        <v/>
      </c>
      <c r="F1836" t="str">
        <f>IF(NOT(ISBLANK(A1836)),VLOOKUP(A1836,'BBT3'!A:F,6,0),"")</f>
        <v/>
      </c>
      <c r="G1836" t="str">
        <f t="shared" si="226"/>
        <v/>
      </c>
      <c r="H1836" t="str">
        <f>IF(NOT(ISBLANK(A1836)),VLOOKUP(A1836,'Close - PriceSaver'!A:J,5,0),"")</f>
        <v/>
      </c>
      <c r="I1836" s="4" t="str" cm="1">
        <f t="array" ref="I1836">IF(NOT(ISBLANK(A1836)),((_xlfn.XLOOKUP(1,(_bbt3[[#All],[ID]]=A1836)*(_bbt3[[#All],[METRIC_NAME]]="YLD_YTM_ASK"),_bbt3[[#All],[METRIC_VALUE]])*0.5)+(_xlfn.XLOOKUP(1,(_bbt3[[#All],[ID]]=A1836)*(_bbt3[[#All],[METRIC_NAME]]="YLD_YTM_BID"),_bbt3[[#All],[METRIC_VALUE]])*0.5))/100,"")</f>
        <v/>
      </c>
      <c r="J1836">
        <f>IF(ISNA(VLOOKUP(A1836,'CloseDL - PriceSaverBBT3'!A:E,5,0)),0,VLOOKUP(A1836,'CloseDL - PriceSaverBBT3'!A:E,5,0))</f>
        <v>0</v>
      </c>
      <c r="K1836" s="7" t="str">
        <f t="shared" si="227"/>
        <v/>
      </c>
      <c r="L1836" s="20" t="e">
        <f>IF(Close[[#This Row],[CreatedBy]]="MARINER\SilverAdm",1,0)</f>
        <v>#VALUE!</v>
      </c>
      <c r="M1836" t="str">
        <f>IF(NOT(ISBLANK(A1836)),VLOOKUP(A1836,'Close - PriceSaver'!A:J,6,0),"")</f>
        <v/>
      </c>
    </row>
    <row r="1837" spans="2:13" x14ac:dyDescent="0.35">
      <c r="B1837" t="str">
        <f>IF(NOT(ISBLANK(A1837)),VLOOKUP(A1837,'BBT3'!A:F,2,0),"")</f>
        <v/>
      </c>
      <c r="C1837" t="str">
        <f>IF(NOT(ISBLANK(A1837)),VLOOKUP(A1837,'BBT3'!A:F,3,0),"")</f>
        <v/>
      </c>
      <c r="D1837" s="5" t="str">
        <f>IF(NOT(ISBLANK(A1837)),VLOOKUP(A1837,'BBT3'!A:F,4,1),"")</f>
        <v/>
      </c>
      <c r="E1837" t="str">
        <f>IF(NOT(ISBLANK(A1837)),VLOOKUP(A1837,'BBT3'!A:F,5,0),"")</f>
        <v/>
      </c>
      <c r="F1837" t="str">
        <f>IF(NOT(ISBLANK(A1837)),VLOOKUP(A1837,'BBT3'!A:F,6,0),"")</f>
        <v/>
      </c>
      <c r="G1837" t="str">
        <f t="shared" si="226"/>
        <v/>
      </c>
      <c r="H1837" t="str">
        <f>IF(NOT(ISBLANK(A1837)),VLOOKUP(A1837,'Close - PriceSaver'!A:J,5,0),"")</f>
        <v/>
      </c>
      <c r="I1837" s="4" t="str" cm="1">
        <f t="array" ref="I1837">IF(NOT(ISBLANK(A1837)),((_xlfn.XLOOKUP(1,(_bbt3[[#All],[ID]]=A1837)*(_bbt3[[#All],[METRIC_NAME]]="YLD_YTM_ASK"),_bbt3[[#All],[METRIC_VALUE]])*0.5)+(_xlfn.XLOOKUP(1,(_bbt3[[#All],[ID]]=A1837)*(_bbt3[[#All],[METRIC_NAME]]="YLD_YTM_BID"),_bbt3[[#All],[METRIC_VALUE]])*0.5))/100,"")</f>
        <v/>
      </c>
      <c r="J1837">
        <f>IF(ISNA(VLOOKUP(A1837,'CloseDL - PriceSaverBBT3'!A:E,5,0)),0,VLOOKUP(A1837,'CloseDL - PriceSaverBBT3'!A:E,5,0))</f>
        <v>0</v>
      </c>
      <c r="K1837" s="7" t="str">
        <f t="shared" si="227"/>
        <v/>
      </c>
      <c r="L1837" s="20" t="e">
        <f>IF(Close[[#This Row],[CreatedBy]]="MARINER\SilverAdm",1,0)</f>
        <v>#VALUE!</v>
      </c>
      <c r="M1837" t="str">
        <f>IF(NOT(ISBLANK(A1837)),VLOOKUP(A1837,'Close - PriceSaver'!A:J,6,0),"")</f>
        <v/>
      </c>
    </row>
    <row r="1838" spans="2:13" x14ac:dyDescent="0.35">
      <c r="B1838" t="str">
        <f>IF(NOT(ISBLANK(A1838)),VLOOKUP(A1838,'BBT3'!A:F,2,0),"")</f>
        <v/>
      </c>
      <c r="C1838" t="str">
        <f>IF(NOT(ISBLANK(A1838)),VLOOKUP(A1838,'BBT3'!A:F,3,0),"")</f>
        <v/>
      </c>
      <c r="D1838" s="5" t="str">
        <f>IF(NOT(ISBLANK(A1838)),VLOOKUP(A1838,'BBT3'!A:F,4,1),"")</f>
        <v/>
      </c>
      <c r="E1838" t="str">
        <f>IF(NOT(ISBLANK(A1838)),VLOOKUP(A1838,'BBT3'!A:F,5,0),"")</f>
        <v/>
      </c>
      <c r="F1838" t="str">
        <f>IF(NOT(ISBLANK(A1838)),VLOOKUP(A1838,'BBT3'!A:F,6,0),"")</f>
        <v/>
      </c>
      <c r="G1838" t="str">
        <f t="shared" si="226"/>
        <v/>
      </c>
      <c r="H1838" t="str">
        <f>IF(NOT(ISBLANK(A1838)),VLOOKUP(A1838,'Close - PriceSaver'!A:J,5,0),"")</f>
        <v/>
      </c>
      <c r="I1838" s="4" t="str" cm="1">
        <f t="array" ref="I1838">IF(NOT(ISBLANK(A1838)),((_xlfn.XLOOKUP(1,(_bbt3[[#All],[ID]]=A1838)*(_bbt3[[#All],[METRIC_NAME]]="YLD_YTM_ASK"),_bbt3[[#All],[METRIC_VALUE]])*0.5)+(_xlfn.XLOOKUP(1,(_bbt3[[#All],[ID]]=A1838)*(_bbt3[[#All],[METRIC_NAME]]="YLD_YTM_BID"),_bbt3[[#All],[METRIC_VALUE]])*0.5))/100,"")</f>
        <v/>
      </c>
      <c r="J1838">
        <f>IF(ISNA(VLOOKUP(A1838,'CloseDL - PriceSaverBBT3'!A:E,5,0)),0,VLOOKUP(A1838,'CloseDL - PriceSaverBBT3'!A:E,5,0))</f>
        <v>0</v>
      </c>
      <c r="K1838" s="7" t="str">
        <f t="shared" si="227"/>
        <v/>
      </c>
      <c r="L1838" s="20" t="e">
        <f>IF(Close[[#This Row],[CreatedBy]]="MARINER\SilverAdm",1,0)</f>
        <v>#VALUE!</v>
      </c>
      <c r="M1838" t="str">
        <f>IF(NOT(ISBLANK(A1838)),VLOOKUP(A1838,'Close - PriceSaver'!A:J,6,0),"")</f>
        <v/>
      </c>
    </row>
    <row r="1839" spans="2:13" x14ac:dyDescent="0.35">
      <c r="B1839" t="str">
        <f>IF(NOT(ISBLANK(A1839)),VLOOKUP(A1839,'BBT3'!A:F,2,0),"")</f>
        <v/>
      </c>
      <c r="C1839" t="str">
        <f>IF(NOT(ISBLANK(A1839)),VLOOKUP(A1839,'BBT3'!A:F,3,0),"")</f>
        <v/>
      </c>
      <c r="D1839" s="5" t="str">
        <f>IF(NOT(ISBLANK(A1839)),VLOOKUP(A1839,'BBT3'!A:F,4,1),"")</f>
        <v/>
      </c>
      <c r="E1839" t="str">
        <f>IF(NOT(ISBLANK(A1839)),VLOOKUP(A1839,'BBT3'!A:F,5,0),"")</f>
        <v/>
      </c>
      <c r="F1839" t="str">
        <f>IF(NOT(ISBLANK(A1839)),VLOOKUP(A1839,'BBT3'!A:F,6,0),"")</f>
        <v/>
      </c>
      <c r="G1839" t="str">
        <f t="shared" si="226"/>
        <v/>
      </c>
      <c r="H1839" t="str">
        <f>IF(NOT(ISBLANK(A1839)),VLOOKUP(A1839,'Close - PriceSaver'!A:J,5,0),"")</f>
        <v/>
      </c>
      <c r="I1839" s="4" t="str" cm="1">
        <f t="array" ref="I1839">IF(NOT(ISBLANK(A1839)),((_xlfn.XLOOKUP(1,(_bbt3[[#All],[ID]]=A1839)*(_bbt3[[#All],[METRIC_NAME]]="YLD_YTM_ASK"),_bbt3[[#All],[METRIC_VALUE]])*0.5)+(_xlfn.XLOOKUP(1,(_bbt3[[#All],[ID]]=A1839)*(_bbt3[[#All],[METRIC_NAME]]="YLD_YTM_BID"),_bbt3[[#All],[METRIC_VALUE]])*0.5))/100,"")</f>
        <v/>
      </c>
      <c r="J1839">
        <f>IF(ISNA(VLOOKUP(A1839,'CloseDL - PriceSaverBBT3'!A:E,5,0)),0,VLOOKUP(A1839,'CloseDL - PriceSaverBBT3'!A:E,5,0))</f>
        <v>0</v>
      </c>
      <c r="K1839" s="7" t="str">
        <f t="shared" si="227"/>
        <v/>
      </c>
      <c r="L1839" s="20" t="e">
        <f>IF(Close[[#This Row],[CreatedBy]]="MARINER\SilverAdm",1,0)</f>
        <v>#VALUE!</v>
      </c>
      <c r="M1839" t="str">
        <f>IF(NOT(ISBLANK(A1839)),VLOOKUP(A1839,'Close - PriceSaver'!A:J,6,0),"")</f>
        <v/>
      </c>
    </row>
    <row r="1840" spans="2:13" x14ac:dyDescent="0.35">
      <c r="B1840" t="str">
        <f>IF(NOT(ISBLANK(A1840)),VLOOKUP(A1840,'BBT3'!A:F,2,0),"")</f>
        <v/>
      </c>
      <c r="C1840" t="str">
        <f>IF(NOT(ISBLANK(A1840)),VLOOKUP(A1840,'BBT3'!A:F,3,0),"")</f>
        <v/>
      </c>
      <c r="D1840" s="5" t="str">
        <f>IF(NOT(ISBLANK(A1840)),VLOOKUP(A1840,'BBT3'!A:F,4,1),"")</f>
        <v/>
      </c>
      <c r="E1840" t="str">
        <f>IF(NOT(ISBLANK(A1840)),VLOOKUP(A1840,'BBT3'!A:F,5,0),"")</f>
        <v/>
      </c>
      <c r="F1840" t="str">
        <f>IF(NOT(ISBLANK(A1840)),VLOOKUP(A1840,'BBT3'!A:F,6,0),"")</f>
        <v/>
      </c>
      <c r="G1840" t="str">
        <f t="shared" si="226"/>
        <v/>
      </c>
      <c r="H1840" t="str">
        <f>IF(NOT(ISBLANK(A1840)),VLOOKUP(A1840,'Close - PriceSaver'!A:J,5,0),"")</f>
        <v/>
      </c>
      <c r="I1840" s="4" t="str" cm="1">
        <f t="array" ref="I1840">IF(NOT(ISBLANK(A1840)),((_xlfn.XLOOKUP(1,(_bbt3[[#All],[ID]]=A1840)*(_bbt3[[#All],[METRIC_NAME]]="YLD_YTM_ASK"),_bbt3[[#All],[METRIC_VALUE]])*0.5)+(_xlfn.XLOOKUP(1,(_bbt3[[#All],[ID]]=A1840)*(_bbt3[[#All],[METRIC_NAME]]="YLD_YTM_BID"),_bbt3[[#All],[METRIC_VALUE]])*0.5))/100,"")</f>
        <v/>
      </c>
      <c r="J1840">
        <f>IF(ISNA(VLOOKUP(A1840,'CloseDL - PriceSaverBBT3'!A:E,5,0)),0,VLOOKUP(A1840,'CloseDL - PriceSaverBBT3'!A:E,5,0))</f>
        <v>0</v>
      </c>
      <c r="K1840" s="7" t="str">
        <f t="shared" si="227"/>
        <v/>
      </c>
      <c r="L1840" s="20" t="e">
        <f>IF(Close[[#This Row],[CreatedBy]]="MARINER\SilverAdm",1,0)</f>
        <v>#VALUE!</v>
      </c>
      <c r="M1840" t="str">
        <f>IF(NOT(ISBLANK(A1840)),VLOOKUP(A1840,'Close - PriceSaver'!A:J,6,0),"")</f>
        <v/>
      </c>
    </row>
    <row r="1841" spans="2:13" x14ac:dyDescent="0.35">
      <c r="B1841" t="str">
        <f>IF(NOT(ISBLANK(A1841)),VLOOKUP(A1841,'BBT3'!A:F,2,0),"")</f>
        <v/>
      </c>
      <c r="C1841" t="str">
        <f>IF(NOT(ISBLANK(A1841)),VLOOKUP(A1841,'BBT3'!A:F,3,0),"")</f>
        <v/>
      </c>
      <c r="D1841" s="5" t="str">
        <f>IF(NOT(ISBLANK(A1841)),VLOOKUP(A1841,'BBT3'!A:F,4,1),"")</f>
        <v/>
      </c>
      <c r="E1841" t="str">
        <f>IF(NOT(ISBLANK(A1841)),VLOOKUP(A1841,'BBT3'!A:F,5,0),"")</f>
        <v/>
      </c>
      <c r="F1841" t="str">
        <f>IF(NOT(ISBLANK(A1841)),VLOOKUP(A1841,'BBT3'!A:F,6,0),"")</f>
        <v/>
      </c>
      <c r="G1841" t="str">
        <f t="shared" si="226"/>
        <v/>
      </c>
      <c r="H1841" t="str">
        <f>IF(NOT(ISBLANK(A1841)),VLOOKUP(A1841,'Close - PriceSaver'!A:J,5,0),"")</f>
        <v/>
      </c>
      <c r="I1841" s="4" t="str" cm="1">
        <f t="array" ref="I1841">IF(NOT(ISBLANK(A1841)),((_xlfn.XLOOKUP(1,(_bbt3[[#All],[ID]]=A1841)*(_bbt3[[#All],[METRIC_NAME]]="YLD_YTM_ASK"),_bbt3[[#All],[METRIC_VALUE]])*0.5)+(_xlfn.XLOOKUP(1,(_bbt3[[#All],[ID]]=A1841)*(_bbt3[[#All],[METRIC_NAME]]="YLD_YTM_BID"),_bbt3[[#All],[METRIC_VALUE]])*0.5))/100,"")</f>
        <v/>
      </c>
      <c r="J1841">
        <f>IF(ISNA(VLOOKUP(A1841,'CloseDL - PriceSaverBBT3'!A:E,5,0)),0,VLOOKUP(A1841,'CloseDL - PriceSaverBBT3'!A:E,5,0))</f>
        <v>0</v>
      </c>
      <c r="K1841" s="7" t="str">
        <f t="shared" si="227"/>
        <v/>
      </c>
      <c r="L1841" s="20" t="e">
        <f>IF(Close[[#This Row],[CreatedBy]]="MARINER\SilverAdm",1,0)</f>
        <v>#VALUE!</v>
      </c>
      <c r="M1841" t="str">
        <f>IF(NOT(ISBLANK(A1841)),VLOOKUP(A1841,'Close - PriceSaver'!A:J,6,0),"")</f>
        <v/>
      </c>
    </row>
    <row r="1842" spans="2:13" x14ac:dyDescent="0.35">
      <c r="B1842" t="str">
        <f>IF(NOT(ISBLANK(A1842)),VLOOKUP(A1842,'BBT3'!A:F,2,0),"")</f>
        <v/>
      </c>
      <c r="C1842" t="str">
        <f>IF(NOT(ISBLANK(A1842)),VLOOKUP(A1842,'BBT3'!A:F,3,0),"")</f>
        <v/>
      </c>
      <c r="D1842" s="5" t="str">
        <f>IF(NOT(ISBLANK(A1842)),VLOOKUP(A1842,'BBT3'!A:F,4,1),"")</f>
        <v/>
      </c>
      <c r="E1842" t="str">
        <f>IF(NOT(ISBLANK(A1842)),VLOOKUP(A1842,'BBT3'!A:F,5,0),"")</f>
        <v/>
      </c>
      <c r="F1842" t="str">
        <f>IF(NOT(ISBLANK(A1842)),VLOOKUP(A1842,'BBT3'!A:F,6,0),"")</f>
        <v/>
      </c>
      <c r="G1842" t="str">
        <f t="shared" si="226"/>
        <v/>
      </c>
      <c r="H1842" t="str">
        <f>IF(NOT(ISBLANK(A1842)),VLOOKUP(A1842,'Close - PriceSaver'!A:J,5,0),"")</f>
        <v/>
      </c>
      <c r="I1842" s="4" t="str" cm="1">
        <f t="array" ref="I1842">IF(NOT(ISBLANK(A1842)),((_xlfn.XLOOKUP(1,(_bbt3[[#All],[ID]]=A1842)*(_bbt3[[#All],[METRIC_NAME]]="YLD_YTM_ASK"),_bbt3[[#All],[METRIC_VALUE]])*0.5)+(_xlfn.XLOOKUP(1,(_bbt3[[#All],[ID]]=A1842)*(_bbt3[[#All],[METRIC_NAME]]="YLD_YTM_BID"),_bbt3[[#All],[METRIC_VALUE]])*0.5))/100,"")</f>
        <v/>
      </c>
      <c r="J1842">
        <f>IF(ISNA(VLOOKUP(A1842,'CloseDL - PriceSaverBBT3'!A:E,5,0)),0,VLOOKUP(A1842,'CloseDL - PriceSaverBBT3'!A:E,5,0))</f>
        <v>0</v>
      </c>
      <c r="K1842" s="7" t="str">
        <f t="shared" si="227"/>
        <v/>
      </c>
      <c r="L1842" s="20" t="e">
        <f>IF(Close[[#This Row],[CreatedBy]]="MARINER\SilverAdm",1,0)</f>
        <v>#VALUE!</v>
      </c>
      <c r="M1842" t="str">
        <f>IF(NOT(ISBLANK(A1842)),VLOOKUP(A1842,'Close - PriceSaver'!A:J,6,0),"")</f>
        <v/>
      </c>
    </row>
    <row r="1843" spans="2:13" x14ac:dyDescent="0.35">
      <c r="B1843" t="str">
        <f>IF(NOT(ISBLANK(A1843)),VLOOKUP(A1843,'BBT3'!A:F,2,0),"")</f>
        <v/>
      </c>
      <c r="C1843" t="str">
        <f>IF(NOT(ISBLANK(A1843)),VLOOKUP(A1843,'BBT3'!A:F,3,0),"")</f>
        <v/>
      </c>
      <c r="D1843" s="5" t="str">
        <f>IF(NOT(ISBLANK(A1843)),VLOOKUP(A1843,'BBT3'!A:F,4,1),"")</f>
        <v/>
      </c>
      <c r="E1843" t="str">
        <f>IF(NOT(ISBLANK(A1843)),VLOOKUP(A1843,'BBT3'!A:F,5,0),"")</f>
        <v/>
      </c>
      <c r="F1843" t="str">
        <f>IF(NOT(ISBLANK(A1843)),VLOOKUP(A1843,'BBT3'!A:F,6,0),"")</f>
        <v/>
      </c>
      <c r="G1843" t="str">
        <f t="shared" si="226"/>
        <v/>
      </c>
      <c r="H1843" t="str">
        <f>IF(NOT(ISBLANK(A1843)),VLOOKUP(A1843,'Close - PriceSaver'!A:J,5,0),"")</f>
        <v/>
      </c>
      <c r="I1843" s="4" t="str" cm="1">
        <f t="array" ref="I1843">IF(NOT(ISBLANK(A1843)),((_xlfn.XLOOKUP(1,(_bbt3[[#All],[ID]]=A1843)*(_bbt3[[#All],[METRIC_NAME]]="YLD_YTM_ASK"),_bbt3[[#All],[METRIC_VALUE]])*0.5)+(_xlfn.XLOOKUP(1,(_bbt3[[#All],[ID]]=A1843)*(_bbt3[[#All],[METRIC_NAME]]="YLD_YTM_BID"),_bbt3[[#All],[METRIC_VALUE]])*0.5))/100,"")</f>
        <v/>
      </c>
      <c r="J1843">
        <f>IF(ISNA(VLOOKUP(A1843,'CloseDL - PriceSaverBBT3'!A:E,5,0)),0,VLOOKUP(A1843,'CloseDL - PriceSaverBBT3'!A:E,5,0))</f>
        <v>0</v>
      </c>
      <c r="K1843" s="7" t="str">
        <f t="shared" si="227"/>
        <v/>
      </c>
      <c r="L1843" s="20" t="e">
        <f>IF(Close[[#This Row],[CreatedBy]]="MARINER\SilverAdm",1,0)</f>
        <v>#VALUE!</v>
      </c>
      <c r="M1843" t="str">
        <f>IF(NOT(ISBLANK(A1843)),VLOOKUP(A1843,'Close - PriceSaver'!A:J,6,0),"")</f>
        <v/>
      </c>
    </row>
    <row r="1844" spans="2:13" x14ac:dyDescent="0.35">
      <c r="B1844" t="str">
        <f>IF(NOT(ISBLANK(A1844)),VLOOKUP(A1844,'BBT3'!A:F,2,0),"")</f>
        <v/>
      </c>
      <c r="C1844" t="str">
        <f>IF(NOT(ISBLANK(A1844)),VLOOKUP(A1844,'BBT3'!A:F,3,0),"")</f>
        <v/>
      </c>
      <c r="D1844" s="5" t="str">
        <f>IF(NOT(ISBLANK(A1844)),VLOOKUP(A1844,'BBT3'!A:F,4,1),"")</f>
        <v/>
      </c>
      <c r="E1844" t="str">
        <f>IF(NOT(ISBLANK(A1844)),VLOOKUP(A1844,'BBT3'!A:F,5,0),"")</f>
        <v/>
      </c>
      <c r="F1844" t="str">
        <f>IF(NOT(ISBLANK(A1844)),VLOOKUP(A1844,'BBT3'!A:F,6,0),"")</f>
        <v/>
      </c>
      <c r="G1844" t="str">
        <f t="shared" si="226"/>
        <v/>
      </c>
      <c r="H1844" t="str">
        <f>IF(NOT(ISBLANK(A1844)),VLOOKUP(A1844,'Close - PriceSaver'!A:J,5,0),"")</f>
        <v/>
      </c>
      <c r="I1844" s="4" t="str" cm="1">
        <f t="array" ref="I1844">IF(NOT(ISBLANK(A1844)),((_xlfn.XLOOKUP(1,(_bbt3[[#All],[ID]]=A1844)*(_bbt3[[#All],[METRIC_NAME]]="YLD_YTM_ASK"),_bbt3[[#All],[METRIC_VALUE]])*0.5)+(_xlfn.XLOOKUP(1,(_bbt3[[#All],[ID]]=A1844)*(_bbt3[[#All],[METRIC_NAME]]="YLD_YTM_BID"),_bbt3[[#All],[METRIC_VALUE]])*0.5))/100,"")</f>
        <v/>
      </c>
      <c r="J1844">
        <f>IF(ISNA(VLOOKUP(A1844,'CloseDL - PriceSaverBBT3'!A:E,5,0)),0,VLOOKUP(A1844,'CloseDL - PriceSaverBBT3'!A:E,5,0))</f>
        <v>0</v>
      </c>
      <c r="K1844" s="7" t="str">
        <f t="shared" si="227"/>
        <v/>
      </c>
      <c r="L1844" s="20" t="e">
        <f>IF(Close[[#This Row],[CreatedBy]]="MARINER\SilverAdm",1,0)</f>
        <v>#VALUE!</v>
      </c>
      <c r="M1844" t="str">
        <f>IF(NOT(ISBLANK(A1844)),VLOOKUP(A1844,'Close - PriceSaver'!A:J,6,0),"")</f>
        <v/>
      </c>
    </row>
    <row r="1845" spans="2:13" x14ac:dyDescent="0.35">
      <c r="B1845" t="str">
        <f>IF(NOT(ISBLANK(A1845)),VLOOKUP(A1845,'BBT3'!A:F,2,0),"")</f>
        <v/>
      </c>
      <c r="C1845" t="str">
        <f>IF(NOT(ISBLANK(A1845)),VLOOKUP(A1845,'BBT3'!A:F,3,0),"")</f>
        <v/>
      </c>
      <c r="D1845" s="5" t="str">
        <f>IF(NOT(ISBLANK(A1845)),VLOOKUP(A1845,'BBT3'!A:F,4,1),"")</f>
        <v/>
      </c>
      <c r="E1845" t="str">
        <f>IF(NOT(ISBLANK(A1845)),VLOOKUP(A1845,'BBT3'!A:F,5,0),"")</f>
        <v/>
      </c>
      <c r="F1845" t="str">
        <f>IF(NOT(ISBLANK(A1845)),VLOOKUP(A1845,'BBT3'!A:F,6,0),"")</f>
        <v/>
      </c>
      <c r="G1845" t="str">
        <f t="shared" si="226"/>
        <v/>
      </c>
      <c r="H1845" t="str">
        <f>IF(NOT(ISBLANK(A1845)),VLOOKUP(A1845,'Close - PriceSaver'!A:J,5,0),"")</f>
        <v/>
      </c>
      <c r="I1845" s="4" t="str" cm="1">
        <f t="array" ref="I1845">IF(NOT(ISBLANK(A1845)),((_xlfn.XLOOKUP(1,(_bbt3[[#All],[ID]]=A1845)*(_bbt3[[#All],[METRIC_NAME]]="YLD_YTM_ASK"),_bbt3[[#All],[METRIC_VALUE]])*0.5)+(_xlfn.XLOOKUP(1,(_bbt3[[#All],[ID]]=A1845)*(_bbt3[[#All],[METRIC_NAME]]="YLD_YTM_BID"),_bbt3[[#All],[METRIC_VALUE]])*0.5))/100,"")</f>
        <v/>
      </c>
      <c r="J1845">
        <f>IF(ISNA(VLOOKUP(A1845,'CloseDL - PriceSaverBBT3'!A:E,5,0)),0,VLOOKUP(A1845,'CloseDL - PriceSaverBBT3'!A:E,5,0))</f>
        <v>0</v>
      </c>
      <c r="K1845" s="7" t="str">
        <f t="shared" si="227"/>
        <v/>
      </c>
      <c r="L1845" s="20" t="e">
        <f>IF(Close[[#This Row],[CreatedBy]]="MARINER\SilverAdm",1,0)</f>
        <v>#VALUE!</v>
      </c>
      <c r="M1845" t="str">
        <f>IF(NOT(ISBLANK(A1845)),VLOOKUP(A1845,'Close - PriceSaver'!A:J,6,0),"")</f>
        <v/>
      </c>
    </row>
    <row r="1846" spans="2:13" x14ac:dyDescent="0.35">
      <c r="B1846" t="str">
        <f>IF(NOT(ISBLANK(A1846)),VLOOKUP(A1846,'BBT3'!A:F,2,0),"")</f>
        <v/>
      </c>
      <c r="C1846" t="str">
        <f>IF(NOT(ISBLANK(A1846)),VLOOKUP(A1846,'BBT3'!A:F,3,0),"")</f>
        <v/>
      </c>
      <c r="D1846" s="5" t="str">
        <f>IF(NOT(ISBLANK(A1846)),VLOOKUP(A1846,'BBT3'!A:F,4,1),"")</f>
        <v/>
      </c>
      <c r="E1846" t="str">
        <f>IF(NOT(ISBLANK(A1846)),VLOOKUP(A1846,'BBT3'!A:F,5,0),"")</f>
        <v/>
      </c>
      <c r="F1846" t="str">
        <f>IF(NOT(ISBLANK(A1846)),VLOOKUP(A1846,'BBT3'!A:F,6,0),"")</f>
        <v/>
      </c>
      <c r="G1846" t="str">
        <f t="shared" si="226"/>
        <v/>
      </c>
      <c r="H1846" t="str">
        <f>IF(NOT(ISBLANK(A1846)),VLOOKUP(A1846,'Close - PriceSaver'!A:J,5,0),"")</f>
        <v/>
      </c>
      <c r="I1846" s="4" t="str" cm="1">
        <f t="array" ref="I1846">IF(NOT(ISBLANK(A1846)),((_xlfn.XLOOKUP(1,(_bbt3[[#All],[ID]]=A1846)*(_bbt3[[#All],[METRIC_NAME]]="YLD_YTM_ASK"),_bbt3[[#All],[METRIC_VALUE]])*0.5)+(_xlfn.XLOOKUP(1,(_bbt3[[#All],[ID]]=A1846)*(_bbt3[[#All],[METRIC_NAME]]="YLD_YTM_BID"),_bbt3[[#All],[METRIC_VALUE]])*0.5))/100,"")</f>
        <v/>
      </c>
      <c r="J1846">
        <f>IF(ISNA(VLOOKUP(A1846,'CloseDL - PriceSaverBBT3'!A:E,5,0)),0,VLOOKUP(A1846,'CloseDL - PriceSaverBBT3'!A:E,5,0))</f>
        <v>0</v>
      </c>
      <c r="K1846" s="7" t="str">
        <f t="shared" si="227"/>
        <v/>
      </c>
      <c r="L1846" s="20" t="e">
        <f>IF(Close[[#This Row],[CreatedBy]]="MARINER\SilverAdm",1,0)</f>
        <v>#VALUE!</v>
      </c>
      <c r="M1846" t="str">
        <f>IF(NOT(ISBLANK(A1846)),VLOOKUP(A1846,'Close - PriceSaver'!A:J,6,0),"")</f>
        <v/>
      </c>
    </row>
    <row r="1847" spans="2:13" x14ac:dyDescent="0.35">
      <c r="B1847" t="str">
        <f>IF(NOT(ISBLANK(A1847)),VLOOKUP(A1847,'BBT3'!A:F,2,0),"")</f>
        <v/>
      </c>
      <c r="C1847" t="str">
        <f>IF(NOT(ISBLANK(A1847)),VLOOKUP(A1847,'BBT3'!A:F,3,0),"")</f>
        <v/>
      </c>
      <c r="D1847" s="5" t="str">
        <f>IF(NOT(ISBLANK(A1847)),VLOOKUP(A1847,'BBT3'!A:F,4,1),"")</f>
        <v/>
      </c>
      <c r="E1847" t="str">
        <f>IF(NOT(ISBLANK(A1847)),VLOOKUP(A1847,'BBT3'!A:F,5,0),"")</f>
        <v/>
      </c>
      <c r="F1847" t="str">
        <f>IF(NOT(ISBLANK(A1847)),VLOOKUP(A1847,'BBT3'!A:F,6,0),"")</f>
        <v/>
      </c>
      <c r="G1847" t="str">
        <f t="shared" si="226"/>
        <v/>
      </c>
      <c r="H1847" t="str">
        <f>IF(NOT(ISBLANK(A1847)),VLOOKUP(A1847,'Close - PriceSaver'!A:J,5,0),"")</f>
        <v/>
      </c>
      <c r="I1847" s="4" t="str" cm="1">
        <f t="array" ref="I1847">IF(NOT(ISBLANK(A1847)),((_xlfn.XLOOKUP(1,(_bbt3[[#All],[ID]]=A1847)*(_bbt3[[#All],[METRIC_NAME]]="YLD_YTM_ASK"),_bbt3[[#All],[METRIC_VALUE]])*0.5)+(_xlfn.XLOOKUP(1,(_bbt3[[#All],[ID]]=A1847)*(_bbt3[[#All],[METRIC_NAME]]="YLD_YTM_BID"),_bbt3[[#All],[METRIC_VALUE]])*0.5))/100,"")</f>
        <v/>
      </c>
      <c r="J1847">
        <f>IF(ISNA(VLOOKUP(A1847,'CloseDL - PriceSaverBBT3'!A:E,5,0)),0,VLOOKUP(A1847,'CloseDL - PriceSaverBBT3'!A:E,5,0))</f>
        <v>0</v>
      </c>
      <c r="K1847" s="7" t="str">
        <f t="shared" si="227"/>
        <v/>
      </c>
      <c r="L1847" s="20" t="e">
        <f>IF(Close[[#This Row],[CreatedBy]]="MARINER\SilverAdm",1,0)</f>
        <v>#VALUE!</v>
      </c>
      <c r="M1847" t="str">
        <f>IF(NOT(ISBLANK(A1847)),VLOOKUP(A1847,'Close - PriceSaver'!A:J,6,0),"")</f>
        <v/>
      </c>
    </row>
    <row r="1848" spans="2:13" x14ac:dyDescent="0.35">
      <c r="B1848" t="str">
        <f>IF(NOT(ISBLANK(A1848)),VLOOKUP(A1848,'BBT3'!A:F,2,0),"")</f>
        <v/>
      </c>
      <c r="C1848" t="str">
        <f>IF(NOT(ISBLANK(A1848)),VLOOKUP(A1848,'BBT3'!A:F,3,0),"")</f>
        <v/>
      </c>
      <c r="D1848" s="5" t="str">
        <f>IF(NOT(ISBLANK(A1848)),VLOOKUP(A1848,'BBT3'!A:F,4,1),"")</f>
        <v/>
      </c>
      <c r="E1848" t="str">
        <f>IF(NOT(ISBLANK(A1848)),VLOOKUP(A1848,'BBT3'!A:F,5,0),"")</f>
        <v/>
      </c>
      <c r="F1848" t="str">
        <f>IF(NOT(ISBLANK(A1848)),VLOOKUP(A1848,'BBT3'!A:F,6,0),"")</f>
        <v/>
      </c>
      <c r="G1848" t="str">
        <f t="shared" si="226"/>
        <v/>
      </c>
      <c r="H1848" t="str">
        <f>IF(NOT(ISBLANK(A1848)),VLOOKUP(A1848,'Close - PriceSaver'!A:J,5,0),"")</f>
        <v/>
      </c>
      <c r="I1848" s="4" t="str" cm="1">
        <f t="array" ref="I1848">IF(NOT(ISBLANK(A1848)),((_xlfn.XLOOKUP(1,(_bbt3[[#All],[ID]]=A1848)*(_bbt3[[#All],[METRIC_NAME]]="YLD_YTM_ASK"),_bbt3[[#All],[METRIC_VALUE]])*0.5)+(_xlfn.XLOOKUP(1,(_bbt3[[#All],[ID]]=A1848)*(_bbt3[[#All],[METRIC_NAME]]="YLD_YTM_BID"),_bbt3[[#All],[METRIC_VALUE]])*0.5))/100,"")</f>
        <v/>
      </c>
      <c r="J1848">
        <f>IF(ISNA(VLOOKUP(A1848,'CloseDL - PriceSaverBBT3'!A:E,5,0)),0,VLOOKUP(A1848,'CloseDL - PriceSaverBBT3'!A:E,5,0))</f>
        <v>0</v>
      </c>
      <c r="K1848" s="7" t="str">
        <f t="shared" si="227"/>
        <v/>
      </c>
      <c r="L1848" s="20" t="e">
        <f>IF(Close[[#This Row],[CreatedBy]]="MARINER\SilverAdm",1,0)</f>
        <v>#VALUE!</v>
      </c>
      <c r="M1848" t="str">
        <f>IF(NOT(ISBLANK(A1848)),VLOOKUP(A1848,'Close - PriceSaver'!A:J,6,0),"")</f>
        <v/>
      </c>
    </row>
    <row r="1849" spans="2:13" x14ac:dyDescent="0.35">
      <c r="B1849" t="str">
        <f>IF(NOT(ISBLANK(A1849)),VLOOKUP(A1849,'BBT3'!A:F,2,0),"")</f>
        <v/>
      </c>
      <c r="C1849" t="str">
        <f>IF(NOT(ISBLANK(A1849)),VLOOKUP(A1849,'BBT3'!A:F,3,0),"")</f>
        <v/>
      </c>
      <c r="D1849" s="5" t="str">
        <f>IF(NOT(ISBLANK(A1849)),VLOOKUP(A1849,'BBT3'!A:F,4,1),"")</f>
        <v/>
      </c>
      <c r="E1849" t="str">
        <f>IF(NOT(ISBLANK(A1849)),VLOOKUP(A1849,'BBT3'!A:F,5,0),"")</f>
        <v/>
      </c>
      <c r="F1849" t="str">
        <f>IF(NOT(ISBLANK(A1849)),VLOOKUP(A1849,'BBT3'!A:F,6,0),"")</f>
        <v/>
      </c>
      <c r="G1849" t="str">
        <f t="shared" si="226"/>
        <v/>
      </c>
      <c r="H1849" t="str">
        <f>IF(NOT(ISBLANK(A1849)),VLOOKUP(A1849,'Close - PriceSaver'!A:J,5,0),"")</f>
        <v/>
      </c>
      <c r="I1849" s="4" t="str" cm="1">
        <f t="array" ref="I1849">IF(NOT(ISBLANK(A1849)),((_xlfn.XLOOKUP(1,(_bbt3[[#All],[ID]]=A1849)*(_bbt3[[#All],[METRIC_NAME]]="YLD_YTM_ASK"),_bbt3[[#All],[METRIC_VALUE]])*0.5)+(_xlfn.XLOOKUP(1,(_bbt3[[#All],[ID]]=A1849)*(_bbt3[[#All],[METRIC_NAME]]="YLD_YTM_BID"),_bbt3[[#All],[METRIC_VALUE]])*0.5))/100,"")</f>
        <v/>
      </c>
      <c r="J1849">
        <f>IF(ISNA(VLOOKUP(A1849,'CloseDL - PriceSaverBBT3'!A:E,5,0)),0,VLOOKUP(A1849,'CloseDL - PriceSaverBBT3'!A:E,5,0))</f>
        <v>0</v>
      </c>
      <c r="K1849" s="7" t="str">
        <f t="shared" si="227"/>
        <v/>
      </c>
      <c r="L1849" s="20" t="e">
        <f>IF(Close[[#This Row],[CreatedBy]]="MARINER\SilverAdm",1,0)</f>
        <v>#VALUE!</v>
      </c>
      <c r="M1849" t="str">
        <f>IF(NOT(ISBLANK(A1849)),VLOOKUP(A1849,'Close - PriceSaver'!A:J,6,0),"")</f>
        <v/>
      </c>
    </row>
    <row r="1850" spans="2:13" x14ac:dyDescent="0.35">
      <c r="B1850" t="str">
        <f>IF(NOT(ISBLANK(A1850)),VLOOKUP(A1850,'BBT3'!A:F,2,0),"")</f>
        <v/>
      </c>
      <c r="C1850" t="str">
        <f>IF(NOT(ISBLANK(A1850)),VLOOKUP(A1850,'BBT3'!A:F,3,0),"")</f>
        <v/>
      </c>
      <c r="D1850" s="5" t="str">
        <f>IF(NOT(ISBLANK(A1850)),VLOOKUP(A1850,'BBT3'!A:F,4,1),"")</f>
        <v/>
      </c>
      <c r="E1850" t="str">
        <f>IF(NOT(ISBLANK(A1850)),VLOOKUP(A1850,'BBT3'!A:F,5,0),"")</f>
        <v/>
      </c>
      <c r="F1850" t="str">
        <f>IF(NOT(ISBLANK(A1850)),VLOOKUP(A1850,'BBT3'!A:F,6,0),"")</f>
        <v/>
      </c>
      <c r="G1850" t="str">
        <f t="shared" si="226"/>
        <v/>
      </c>
      <c r="H1850" t="str">
        <f>IF(NOT(ISBLANK(A1850)),VLOOKUP(A1850,'Close - PriceSaver'!A:J,5,0),"")</f>
        <v/>
      </c>
      <c r="I1850" s="4" t="str" cm="1">
        <f t="array" ref="I1850">IF(NOT(ISBLANK(A1850)),((_xlfn.XLOOKUP(1,(_bbt3[[#All],[ID]]=A1850)*(_bbt3[[#All],[METRIC_NAME]]="YLD_YTM_ASK"),_bbt3[[#All],[METRIC_VALUE]])*0.5)+(_xlfn.XLOOKUP(1,(_bbt3[[#All],[ID]]=A1850)*(_bbt3[[#All],[METRIC_NAME]]="YLD_YTM_BID"),_bbt3[[#All],[METRIC_VALUE]])*0.5))/100,"")</f>
        <v/>
      </c>
      <c r="J1850">
        <f>IF(ISNA(VLOOKUP(A1850,'CloseDL - PriceSaverBBT3'!A:E,5,0)),0,VLOOKUP(A1850,'CloseDL - PriceSaverBBT3'!A:E,5,0))</f>
        <v>0</v>
      </c>
      <c r="K1850" s="7" t="str">
        <f t="shared" si="227"/>
        <v/>
      </c>
      <c r="L1850" s="20" t="e">
        <f>IF(Close[[#This Row],[CreatedBy]]="MARINER\SilverAdm",1,0)</f>
        <v>#VALUE!</v>
      </c>
      <c r="M1850" t="str">
        <f>IF(NOT(ISBLANK(A1850)),VLOOKUP(A1850,'Close - PriceSaver'!A:J,6,0),"")</f>
        <v/>
      </c>
    </row>
    <row r="1851" spans="2:13" x14ac:dyDescent="0.35">
      <c r="B1851" t="str">
        <f>IF(NOT(ISBLANK(A1851)),VLOOKUP(A1851,'BBT3'!A:F,2,0),"")</f>
        <v/>
      </c>
      <c r="C1851" t="str">
        <f>IF(NOT(ISBLANK(A1851)),VLOOKUP(A1851,'BBT3'!A:F,3,0),"")</f>
        <v/>
      </c>
      <c r="D1851" s="5" t="str">
        <f>IF(NOT(ISBLANK(A1851)),VLOOKUP(A1851,'BBT3'!A:F,4,1),"")</f>
        <v/>
      </c>
      <c r="E1851" t="str">
        <f>IF(NOT(ISBLANK(A1851)),VLOOKUP(A1851,'BBT3'!A:F,5,0),"")</f>
        <v/>
      </c>
      <c r="F1851" t="str">
        <f>IF(NOT(ISBLANK(A1851)),VLOOKUP(A1851,'BBT3'!A:F,6,0),"")</f>
        <v/>
      </c>
      <c r="G1851" t="str">
        <f t="shared" si="226"/>
        <v/>
      </c>
      <c r="H1851" t="str">
        <f>IF(NOT(ISBLANK(A1851)),VLOOKUP(A1851,'Close - PriceSaver'!A:J,5,0),"")</f>
        <v/>
      </c>
      <c r="I1851" s="4" t="str" cm="1">
        <f t="array" ref="I1851">IF(NOT(ISBLANK(A1851)),((_xlfn.XLOOKUP(1,(_bbt3[[#All],[ID]]=A1851)*(_bbt3[[#All],[METRIC_NAME]]="YLD_YTM_ASK"),_bbt3[[#All],[METRIC_VALUE]])*0.5)+(_xlfn.XLOOKUP(1,(_bbt3[[#All],[ID]]=A1851)*(_bbt3[[#All],[METRIC_NAME]]="YLD_YTM_BID"),_bbt3[[#All],[METRIC_VALUE]])*0.5))/100,"")</f>
        <v/>
      </c>
      <c r="J1851">
        <f>IF(ISNA(VLOOKUP(A1851,'CloseDL - PriceSaverBBT3'!A:E,5,0)),0,VLOOKUP(A1851,'CloseDL - PriceSaverBBT3'!A:E,5,0))</f>
        <v>0</v>
      </c>
      <c r="K1851" s="7" t="str">
        <f t="shared" si="227"/>
        <v/>
      </c>
      <c r="L1851" s="20" t="e">
        <f>IF(Close[[#This Row],[CreatedBy]]="MARINER\SilverAdm",1,0)</f>
        <v>#VALUE!</v>
      </c>
      <c r="M1851" t="str">
        <f>IF(NOT(ISBLANK(A1851)),VLOOKUP(A1851,'Close - PriceSaver'!A:J,6,0),"")</f>
        <v/>
      </c>
    </row>
    <row r="1852" spans="2:13" x14ac:dyDescent="0.35">
      <c r="B1852" t="str">
        <f>IF(NOT(ISBLANK(A1852)),VLOOKUP(A1852,'BBT3'!A:F,2,0),"")</f>
        <v/>
      </c>
      <c r="C1852" t="str">
        <f>IF(NOT(ISBLANK(A1852)),VLOOKUP(A1852,'BBT3'!A:F,3,0),"")</f>
        <v/>
      </c>
      <c r="D1852" s="5" t="str">
        <f>IF(NOT(ISBLANK(A1852)),VLOOKUP(A1852,'BBT3'!A:F,4,1),"")</f>
        <v/>
      </c>
      <c r="E1852" t="str">
        <f>IF(NOT(ISBLANK(A1852)),VLOOKUP(A1852,'BBT3'!A:F,5,0),"")</f>
        <v/>
      </c>
      <c r="F1852" t="str">
        <f>IF(NOT(ISBLANK(A1852)),VLOOKUP(A1852,'BBT3'!A:F,6,0),"")</f>
        <v/>
      </c>
      <c r="G1852" t="str">
        <f t="shared" si="226"/>
        <v/>
      </c>
      <c r="H1852" t="str">
        <f>IF(NOT(ISBLANK(A1852)),VLOOKUP(A1852,'Close - PriceSaver'!A:J,5,0),"")</f>
        <v/>
      </c>
      <c r="I1852" s="4" t="str" cm="1">
        <f t="array" ref="I1852">IF(NOT(ISBLANK(A1852)),((_xlfn.XLOOKUP(1,(_bbt3[[#All],[ID]]=A1852)*(_bbt3[[#All],[METRIC_NAME]]="YLD_YTM_ASK"),_bbt3[[#All],[METRIC_VALUE]])*0.5)+(_xlfn.XLOOKUP(1,(_bbt3[[#All],[ID]]=A1852)*(_bbt3[[#All],[METRIC_NAME]]="YLD_YTM_BID"),_bbt3[[#All],[METRIC_VALUE]])*0.5))/100,"")</f>
        <v/>
      </c>
      <c r="J1852">
        <f>IF(ISNA(VLOOKUP(A1852,'CloseDL - PriceSaverBBT3'!A:E,5,0)),0,VLOOKUP(A1852,'CloseDL - PriceSaverBBT3'!A:E,5,0))</f>
        <v>0</v>
      </c>
      <c r="K1852" s="7" t="str">
        <f t="shared" si="227"/>
        <v/>
      </c>
      <c r="L1852" s="20" t="e">
        <f>IF(Close[[#This Row],[CreatedBy]]="MARINER\SilverAdm",1,0)</f>
        <v>#VALUE!</v>
      </c>
      <c r="M1852" t="str">
        <f>IF(NOT(ISBLANK(A1852)),VLOOKUP(A1852,'Close - PriceSaver'!A:J,6,0),"")</f>
        <v/>
      </c>
    </row>
    <row r="1853" spans="2:13" x14ac:dyDescent="0.35">
      <c r="B1853" t="str">
        <f>IF(NOT(ISBLANK(A1853)),VLOOKUP(A1853,'BBT3'!A:F,2,0),"")</f>
        <v/>
      </c>
      <c r="C1853" t="str">
        <f>IF(NOT(ISBLANK(A1853)),VLOOKUP(A1853,'BBT3'!A:F,3,0),"")</f>
        <v/>
      </c>
      <c r="D1853" s="5" t="str">
        <f>IF(NOT(ISBLANK(A1853)),VLOOKUP(A1853,'BBT3'!A:F,4,1),"")</f>
        <v/>
      </c>
      <c r="E1853" t="str">
        <f>IF(NOT(ISBLANK(A1853)),VLOOKUP(A1853,'BBT3'!A:F,5,0),"")</f>
        <v/>
      </c>
      <c r="F1853" t="str">
        <f>IF(NOT(ISBLANK(A1853)),VLOOKUP(A1853,'BBT3'!A:F,6,0),"")</f>
        <v/>
      </c>
      <c r="G1853" t="str">
        <f t="shared" si="226"/>
        <v/>
      </c>
      <c r="H1853" t="str">
        <f>IF(NOT(ISBLANK(A1853)),VLOOKUP(A1853,'Close - PriceSaver'!A:J,5,0),"")</f>
        <v/>
      </c>
      <c r="I1853" s="4" t="str" cm="1">
        <f t="array" ref="I1853">IF(NOT(ISBLANK(A1853)),((_xlfn.XLOOKUP(1,(_bbt3[[#All],[ID]]=A1853)*(_bbt3[[#All],[METRIC_NAME]]="YLD_YTM_ASK"),_bbt3[[#All],[METRIC_VALUE]])*0.5)+(_xlfn.XLOOKUP(1,(_bbt3[[#All],[ID]]=A1853)*(_bbt3[[#All],[METRIC_NAME]]="YLD_YTM_BID"),_bbt3[[#All],[METRIC_VALUE]])*0.5))/100,"")</f>
        <v/>
      </c>
      <c r="J1853">
        <f>IF(ISNA(VLOOKUP(A1853,'CloseDL - PriceSaverBBT3'!A:E,5,0)),0,VLOOKUP(A1853,'CloseDL - PriceSaverBBT3'!A:E,5,0))</f>
        <v>0</v>
      </c>
      <c r="K1853" s="7" t="str">
        <f t="shared" si="227"/>
        <v/>
      </c>
      <c r="L1853" s="20" t="e">
        <f>IF(Close[[#This Row],[CreatedBy]]="MARINER\SilverAdm",1,0)</f>
        <v>#VALUE!</v>
      </c>
      <c r="M1853" t="str">
        <f>IF(NOT(ISBLANK(A1853)),VLOOKUP(A1853,'Close - PriceSaver'!A:J,6,0),"")</f>
        <v/>
      </c>
    </row>
    <row r="1854" spans="2:13" x14ac:dyDescent="0.35">
      <c r="B1854" t="str">
        <f>IF(NOT(ISBLANK(A1854)),VLOOKUP(A1854,'BBT3'!A:F,2,0),"")</f>
        <v/>
      </c>
      <c r="C1854" t="str">
        <f>IF(NOT(ISBLANK(A1854)),VLOOKUP(A1854,'BBT3'!A:F,3,0),"")</f>
        <v/>
      </c>
      <c r="D1854" s="5" t="str">
        <f>IF(NOT(ISBLANK(A1854)),VLOOKUP(A1854,'BBT3'!A:F,4,1),"")</f>
        <v/>
      </c>
      <c r="E1854" t="str">
        <f>IF(NOT(ISBLANK(A1854)),VLOOKUP(A1854,'BBT3'!A:F,5,0),"")</f>
        <v/>
      </c>
      <c r="F1854" t="str">
        <f>IF(NOT(ISBLANK(A1854)),VLOOKUP(A1854,'BBT3'!A:F,6,0),"")</f>
        <v/>
      </c>
      <c r="G1854" t="str">
        <f t="shared" si="226"/>
        <v/>
      </c>
      <c r="H1854" t="str">
        <f>IF(NOT(ISBLANK(A1854)),VLOOKUP(A1854,'Close - PriceSaver'!A:J,5,0),"")</f>
        <v/>
      </c>
      <c r="I1854" s="4" t="str" cm="1">
        <f t="array" ref="I1854">IF(NOT(ISBLANK(A1854)),((_xlfn.XLOOKUP(1,(_bbt3[[#All],[ID]]=A1854)*(_bbt3[[#All],[METRIC_NAME]]="YLD_YTM_ASK"),_bbt3[[#All],[METRIC_VALUE]])*0.5)+(_xlfn.XLOOKUP(1,(_bbt3[[#All],[ID]]=A1854)*(_bbt3[[#All],[METRIC_NAME]]="YLD_YTM_BID"),_bbt3[[#All],[METRIC_VALUE]])*0.5))/100,"")</f>
        <v/>
      </c>
      <c r="J1854">
        <f>IF(ISNA(VLOOKUP(A1854,'CloseDL - PriceSaverBBT3'!A:E,5,0)),0,VLOOKUP(A1854,'CloseDL - PriceSaverBBT3'!A:E,5,0))</f>
        <v>0</v>
      </c>
      <c r="K1854" s="7" t="str">
        <f t="shared" si="227"/>
        <v/>
      </c>
      <c r="L1854" s="20" t="e">
        <f>IF(Close[[#This Row],[CreatedBy]]="MARINER\SilverAdm",1,0)</f>
        <v>#VALUE!</v>
      </c>
      <c r="M1854" t="str">
        <f>IF(NOT(ISBLANK(A1854)),VLOOKUP(A1854,'Close - PriceSaver'!A:J,6,0),"")</f>
        <v/>
      </c>
    </row>
    <row r="1855" spans="2:13" x14ac:dyDescent="0.35">
      <c r="B1855" t="str">
        <f>IF(NOT(ISBLANK(A1855)),VLOOKUP(A1855,'BBT3'!A:F,2,0),"")</f>
        <v/>
      </c>
      <c r="C1855" t="str">
        <f>IF(NOT(ISBLANK(A1855)),VLOOKUP(A1855,'BBT3'!A:F,3,0),"")</f>
        <v/>
      </c>
      <c r="D1855" s="5" t="str">
        <f>IF(NOT(ISBLANK(A1855)),VLOOKUP(A1855,'BBT3'!A:F,4,1),"")</f>
        <v/>
      </c>
      <c r="E1855" t="str">
        <f>IF(NOT(ISBLANK(A1855)),VLOOKUP(A1855,'BBT3'!A:F,5,0),"")</f>
        <v/>
      </c>
      <c r="F1855" t="str">
        <f>IF(NOT(ISBLANK(A1855)),VLOOKUP(A1855,'BBT3'!A:F,6,0),"")</f>
        <v/>
      </c>
      <c r="G1855" t="str">
        <f t="shared" si="226"/>
        <v/>
      </c>
      <c r="H1855" t="str">
        <f>IF(NOT(ISBLANK(A1855)),VLOOKUP(A1855,'Close - PriceSaver'!A:J,5,0),"")</f>
        <v/>
      </c>
      <c r="I1855" s="4" t="str" cm="1">
        <f t="array" ref="I1855">IF(NOT(ISBLANK(A1855)),((_xlfn.XLOOKUP(1,(_bbt3[[#All],[ID]]=A1855)*(_bbt3[[#All],[METRIC_NAME]]="YLD_YTM_ASK"),_bbt3[[#All],[METRIC_VALUE]])*0.5)+(_xlfn.XLOOKUP(1,(_bbt3[[#All],[ID]]=A1855)*(_bbt3[[#All],[METRIC_NAME]]="YLD_YTM_BID"),_bbt3[[#All],[METRIC_VALUE]])*0.5))/100,"")</f>
        <v/>
      </c>
      <c r="J1855">
        <f>IF(ISNA(VLOOKUP(A1855,'CloseDL - PriceSaverBBT3'!A:E,5,0)),0,VLOOKUP(A1855,'CloseDL - PriceSaverBBT3'!A:E,5,0))</f>
        <v>0</v>
      </c>
      <c r="K1855" s="7" t="str">
        <f t="shared" si="227"/>
        <v/>
      </c>
      <c r="L1855" s="20" t="e">
        <f>IF(Close[[#This Row],[CreatedBy]]="MARINER\SilverAdm",1,0)</f>
        <v>#VALUE!</v>
      </c>
      <c r="M1855" t="str">
        <f>IF(NOT(ISBLANK(A1855)),VLOOKUP(A1855,'Close - PriceSaver'!A:J,6,0),"")</f>
        <v/>
      </c>
    </row>
    <row r="1856" spans="2:13" x14ac:dyDescent="0.35">
      <c r="B1856" t="str">
        <f>IF(NOT(ISBLANK(A1856)),VLOOKUP(A1856,'BBT3'!A:F,2,0),"")</f>
        <v/>
      </c>
      <c r="C1856" t="str">
        <f>IF(NOT(ISBLANK(A1856)),VLOOKUP(A1856,'BBT3'!A:F,3,0),"")</f>
        <v/>
      </c>
      <c r="D1856" s="5" t="str">
        <f>IF(NOT(ISBLANK(A1856)),VLOOKUP(A1856,'BBT3'!A:F,4,1),"")</f>
        <v/>
      </c>
      <c r="E1856" t="str">
        <f>IF(NOT(ISBLANK(A1856)),VLOOKUP(A1856,'BBT3'!A:F,5,0),"")</f>
        <v/>
      </c>
      <c r="F1856" t="str">
        <f>IF(NOT(ISBLANK(A1856)),VLOOKUP(A1856,'BBT3'!A:F,6,0),"")</f>
        <v/>
      </c>
      <c r="G1856" t="str">
        <f t="shared" si="226"/>
        <v/>
      </c>
      <c r="H1856" t="str">
        <f>IF(NOT(ISBLANK(A1856)),VLOOKUP(A1856,'Close - PriceSaver'!A:J,5,0),"")</f>
        <v/>
      </c>
      <c r="I1856" s="4" t="str" cm="1">
        <f t="array" ref="I1856">IF(NOT(ISBLANK(A1856)),((_xlfn.XLOOKUP(1,(_bbt3[[#All],[ID]]=A1856)*(_bbt3[[#All],[METRIC_NAME]]="YLD_YTM_ASK"),_bbt3[[#All],[METRIC_VALUE]])*0.5)+(_xlfn.XLOOKUP(1,(_bbt3[[#All],[ID]]=A1856)*(_bbt3[[#All],[METRIC_NAME]]="YLD_YTM_BID"),_bbt3[[#All],[METRIC_VALUE]])*0.5))/100,"")</f>
        <v/>
      </c>
      <c r="J1856">
        <f>IF(ISNA(VLOOKUP(A1856,'CloseDL - PriceSaverBBT3'!A:E,5,0)),0,VLOOKUP(A1856,'CloseDL - PriceSaverBBT3'!A:E,5,0))</f>
        <v>0</v>
      </c>
      <c r="K1856" s="7" t="str">
        <f t="shared" si="227"/>
        <v/>
      </c>
      <c r="L1856" s="20" t="e">
        <f>IF(Close[[#This Row],[CreatedBy]]="MARINER\SilverAdm",1,0)</f>
        <v>#VALUE!</v>
      </c>
      <c r="M1856" t="str">
        <f>IF(NOT(ISBLANK(A1856)),VLOOKUP(A1856,'Close - PriceSaver'!A:J,6,0),"")</f>
        <v/>
      </c>
    </row>
    <row r="1857" spans="2:13" x14ac:dyDescent="0.35">
      <c r="B1857" t="str">
        <f>IF(NOT(ISBLANK(A1857)),VLOOKUP(A1857,'BBT3'!A:F,2,0),"")</f>
        <v/>
      </c>
      <c r="C1857" t="str">
        <f>IF(NOT(ISBLANK(A1857)),VLOOKUP(A1857,'BBT3'!A:F,3,0),"")</f>
        <v/>
      </c>
      <c r="D1857" s="5" t="str">
        <f>IF(NOT(ISBLANK(A1857)),VLOOKUP(A1857,'BBT3'!A:F,4,1),"")</f>
        <v/>
      </c>
      <c r="E1857" t="str">
        <f>IF(NOT(ISBLANK(A1857)),VLOOKUP(A1857,'BBT3'!A:F,5,0),"")</f>
        <v/>
      </c>
      <c r="F1857" t="str">
        <f>IF(NOT(ISBLANK(A1857)),VLOOKUP(A1857,'BBT3'!A:F,6,0),"")</f>
        <v/>
      </c>
      <c r="G1857" t="str">
        <f t="shared" si="226"/>
        <v/>
      </c>
      <c r="H1857" t="str">
        <f>IF(NOT(ISBLANK(A1857)),VLOOKUP(A1857,'Close - PriceSaver'!A:J,5,0),"")</f>
        <v/>
      </c>
      <c r="I1857" s="4" t="str" cm="1">
        <f t="array" ref="I1857">IF(NOT(ISBLANK(A1857)),((_xlfn.XLOOKUP(1,(_bbt3[[#All],[ID]]=A1857)*(_bbt3[[#All],[METRIC_NAME]]="YLD_YTM_ASK"),_bbt3[[#All],[METRIC_VALUE]])*0.5)+(_xlfn.XLOOKUP(1,(_bbt3[[#All],[ID]]=A1857)*(_bbt3[[#All],[METRIC_NAME]]="YLD_YTM_BID"),_bbt3[[#All],[METRIC_VALUE]])*0.5))/100,"")</f>
        <v/>
      </c>
      <c r="J1857">
        <f>IF(ISNA(VLOOKUP(A1857,'CloseDL - PriceSaverBBT3'!A:E,5,0)),0,VLOOKUP(A1857,'CloseDL - PriceSaverBBT3'!A:E,5,0))</f>
        <v>0</v>
      </c>
      <c r="K1857" s="7" t="str">
        <f t="shared" si="227"/>
        <v/>
      </c>
      <c r="L1857" s="20" t="e">
        <f>IF(Close[[#This Row],[CreatedBy]]="MARINER\SilverAdm",1,0)</f>
        <v>#VALUE!</v>
      </c>
      <c r="M1857" t="str">
        <f>IF(NOT(ISBLANK(A1857)),VLOOKUP(A1857,'Close - PriceSaver'!A:J,6,0),"")</f>
        <v/>
      </c>
    </row>
    <row r="1858" spans="2:13" x14ac:dyDescent="0.35">
      <c r="B1858" t="str">
        <f>IF(NOT(ISBLANK(A1858)),VLOOKUP(A1858,'BBT3'!A:F,2,0),"")</f>
        <v/>
      </c>
      <c r="C1858" t="str">
        <f>IF(NOT(ISBLANK(A1858)),VLOOKUP(A1858,'BBT3'!A:F,3,0),"")</f>
        <v/>
      </c>
      <c r="D1858" s="5" t="str">
        <f>IF(NOT(ISBLANK(A1858)),VLOOKUP(A1858,'BBT3'!A:F,4,1),"")</f>
        <v/>
      </c>
      <c r="E1858" t="str">
        <f>IF(NOT(ISBLANK(A1858)),VLOOKUP(A1858,'BBT3'!A:F,5,0),"")</f>
        <v/>
      </c>
      <c r="F1858" t="str">
        <f>IF(NOT(ISBLANK(A1858)),VLOOKUP(A1858,'BBT3'!A:F,6,0),"")</f>
        <v/>
      </c>
      <c r="G1858" t="str">
        <f t="shared" si="226"/>
        <v/>
      </c>
      <c r="H1858" t="str">
        <f>IF(NOT(ISBLANK(A1858)),VLOOKUP(A1858,'Close - PriceSaver'!A:J,5,0),"")</f>
        <v/>
      </c>
      <c r="I1858" s="4" t="str" cm="1">
        <f t="array" ref="I1858">IF(NOT(ISBLANK(A1858)),((_xlfn.XLOOKUP(1,(_bbt3[[#All],[ID]]=A1858)*(_bbt3[[#All],[METRIC_NAME]]="YLD_YTM_ASK"),_bbt3[[#All],[METRIC_VALUE]])*0.5)+(_xlfn.XLOOKUP(1,(_bbt3[[#All],[ID]]=A1858)*(_bbt3[[#All],[METRIC_NAME]]="YLD_YTM_BID"),_bbt3[[#All],[METRIC_VALUE]])*0.5))/100,"")</f>
        <v/>
      </c>
      <c r="J1858">
        <f>IF(ISNA(VLOOKUP(A1858,'CloseDL - PriceSaverBBT3'!A:E,5,0)),0,VLOOKUP(A1858,'CloseDL - PriceSaverBBT3'!A:E,5,0))</f>
        <v>0</v>
      </c>
      <c r="K1858" s="7" t="str">
        <f t="shared" si="227"/>
        <v/>
      </c>
      <c r="L1858" s="20" t="e">
        <f>IF(Close[[#This Row],[CreatedBy]]="MARINER\SilverAdm",1,0)</f>
        <v>#VALUE!</v>
      </c>
      <c r="M1858" t="str">
        <f>IF(NOT(ISBLANK(A1858)),VLOOKUP(A1858,'Close - PriceSaver'!A:J,6,0),"")</f>
        <v/>
      </c>
    </row>
    <row r="1859" spans="2:13" x14ac:dyDescent="0.35">
      <c r="B1859" t="str">
        <f>IF(NOT(ISBLANK(A1859)),VLOOKUP(A1859,'BBT3'!A:F,2,0),"")</f>
        <v/>
      </c>
      <c r="C1859" t="str">
        <f>IF(NOT(ISBLANK(A1859)),VLOOKUP(A1859,'BBT3'!A:F,3,0),"")</f>
        <v/>
      </c>
      <c r="D1859" s="5" t="str">
        <f>IF(NOT(ISBLANK(A1859)),VLOOKUP(A1859,'BBT3'!A:F,4,1),"")</f>
        <v/>
      </c>
      <c r="E1859" t="str">
        <f>IF(NOT(ISBLANK(A1859)),VLOOKUP(A1859,'BBT3'!A:F,5,0),"")</f>
        <v/>
      </c>
      <c r="F1859" t="str">
        <f>IF(NOT(ISBLANK(A1859)),VLOOKUP(A1859,'BBT3'!A:F,6,0),"")</f>
        <v/>
      </c>
      <c r="G1859" t="str">
        <f t="shared" ref="G1859:G1922" si="228">IF(NOT(ISBLANK(A1859)),IF(D1859=0,"Y","N"),"")</f>
        <v/>
      </c>
      <c r="H1859" t="str">
        <f>IF(NOT(ISBLANK(A1859)),VLOOKUP(A1859,'Close - PriceSaver'!A:J,5,0),"")</f>
        <v/>
      </c>
      <c r="I1859" s="4" t="str" cm="1">
        <f t="array" ref="I1859">IF(NOT(ISBLANK(A1859)),((_xlfn.XLOOKUP(1,(_bbt3[[#All],[ID]]=A1859)*(_bbt3[[#All],[METRIC_NAME]]="YLD_YTM_ASK"),_bbt3[[#All],[METRIC_VALUE]])*0.5)+(_xlfn.XLOOKUP(1,(_bbt3[[#All],[ID]]=A1859)*(_bbt3[[#All],[METRIC_NAME]]="YLD_YTM_BID"),_bbt3[[#All],[METRIC_VALUE]])*0.5))/100,"")</f>
        <v/>
      </c>
      <c r="J1859">
        <f>IF(ISNA(VLOOKUP(A1859,'CloseDL - PriceSaverBBT3'!A:E,5,0)),0,VLOOKUP(A1859,'CloseDL - PriceSaverBBT3'!A:E,5,0))</f>
        <v>0</v>
      </c>
      <c r="K1859" s="7" t="str">
        <f t="shared" ref="K1859:K1922" si="229">IF(ISNA(IF(NOT(ISBLANK(A1859)),ABS(H1859-J1859),"")),0,(IF(NOT(ISBLANK(A1859)),ABS(H1859-J1859)*10000,"")))</f>
        <v/>
      </c>
      <c r="L1859" s="20" t="e">
        <f>IF(Close[[#This Row],[CreatedBy]]="MARINER\SilverAdm",1,0)</f>
        <v>#VALUE!</v>
      </c>
      <c r="M1859" t="str">
        <f>IF(NOT(ISBLANK(A1859)),VLOOKUP(A1859,'Close - PriceSaver'!A:J,6,0),"")</f>
        <v/>
      </c>
    </row>
    <row r="1860" spans="2:13" x14ac:dyDescent="0.35">
      <c r="B1860" t="str">
        <f>IF(NOT(ISBLANK(A1860)),VLOOKUP(A1860,'BBT3'!A:F,2,0),"")</f>
        <v/>
      </c>
      <c r="C1860" t="str">
        <f>IF(NOT(ISBLANK(A1860)),VLOOKUP(A1860,'BBT3'!A:F,3,0),"")</f>
        <v/>
      </c>
      <c r="D1860" s="5" t="str">
        <f>IF(NOT(ISBLANK(A1860)),VLOOKUP(A1860,'BBT3'!A:F,4,1),"")</f>
        <v/>
      </c>
      <c r="E1860" t="str">
        <f>IF(NOT(ISBLANK(A1860)),VLOOKUP(A1860,'BBT3'!A:F,5,0),"")</f>
        <v/>
      </c>
      <c r="F1860" t="str">
        <f>IF(NOT(ISBLANK(A1860)),VLOOKUP(A1860,'BBT3'!A:F,6,0),"")</f>
        <v/>
      </c>
      <c r="G1860" t="str">
        <f t="shared" si="228"/>
        <v/>
      </c>
      <c r="H1860" t="str">
        <f>IF(NOT(ISBLANK(A1860)),VLOOKUP(A1860,'Close - PriceSaver'!A:J,5,0),"")</f>
        <v/>
      </c>
      <c r="I1860" s="4" t="str" cm="1">
        <f t="array" ref="I1860">IF(NOT(ISBLANK(A1860)),((_xlfn.XLOOKUP(1,(_bbt3[[#All],[ID]]=A1860)*(_bbt3[[#All],[METRIC_NAME]]="YLD_YTM_ASK"),_bbt3[[#All],[METRIC_VALUE]])*0.5)+(_xlfn.XLOOKUP(1,(_bbt3[[#All],[ID]]=A1860)*(_bbt3[[#All],[METRIC_NAME]]="YLD_YTM_BID"),_bbt3[[#All],[METRIC_VALUE]])*0.5))/100,"")</f>
        <v/>
      </c>
      <c r="J1860">
        <f>IF(ISNA(VLOOKUP(A1860,'CloseDL - PriceSaverBBT3'!A:E,5,0)),0,VLOOKUP(A1860,'CloseDL - PriceSaverBBT3'!A:E,5,0))</f>
        <v>0</v>
      </c>
      <c r="K1860" s="7" t="str">
        <f t="shared" si="229"/>
        <v/>
      </c>
      <c r="L1860" s="20" t="e">
        <f>IF(Close[[#This Row],[CreatedBy]]="MARINER\SilverAdm",1,0)</f>
        <v>#VALUE!</v>
      </c>
      <c r="M1860" t="str">
        <f>IF(NOT(ISBLANK(A1860)),VLOOKUP(A1860,'Close - PriceSaver'!A:J,6,0),"")</f>
        <v/>
      </c>
    </row>
    <row r="1861" spans="2:13" x14ac:dyDescent="0.35">
      <c r="B1861" t="str">
        <f>IF(NOT(ISBLANK(A1861)),VLOOKUP(A1861,'BBT3'!A:F,2,0),"")</f>
        <v/>
      </c>
      <c r="C1861" t="str">
        <f>IF(NOT(ISBLANK(A1861)),VLOOKUP(A1861,'BBT3'!A:F,3,0),"")</f>
        <v/>
      </c>
      <c r="D1861" s="5" t="str">
        <f>IF(NOT(ISBLANK(A1861)),VLOOKUP(A1861,'BBT3'!A:F,4,1),"")</f>
        <v/>
      </c>
      <c r="E1861" t="str">
        <f>IF(NOT(ISBLANK(A1861)),VLOOKUP(A1861,'BBT3'!A:F,5,0),"")</f>
        <v/>
      </c>
      <c r="F1861" t="str">
        <f>IF(NOT(ISBLANK(A1861)),VLOOKUP(A1861,'BBT3'!A:F,6,0),"")</f>
        <v/>
      </c>
      <c r="G1861" t="str">
        <f t="shared" si="228"/>
        <v/>
      </c>
      <c r="H1861" t="str">
        <f>IF(NOT(ISBLANK(A1861)),VLOOKUP(A1861,'Close - PriceSaver'!A:J,5,0),"")</f>
        <v/>
      </c>
      <c r="I1861" s="4" t="str" cm="1">
        <f t="array" ref="I1861">IF(NOT(ISBLANK(A1861)),((_xlfn.XLOOKUP(1,(_bbt3[[#All],[ID]]=A1861)*(_bbt3[[#All],[METRIC_NAME]]="YLD_YTM_ASK"),_bbt3[[#All],[METRIC_VALUE]])*0.5)+(_xlfn.XLOOKUP(1,(_bbt3[[#All],[ID]]=A1861)*(_bbt3[[#All],[METRIC_NAME]]="YLD_YTM_BID"),_bbt3[[#All],[METRIC_VALUE]])*0.5))/100,"")</f>
        <v/>
      </c>
      <c r="J1861">
        <f>IF(ISNA(VLOOKUP(A1861,'CloseDL - PriceSaverBBT3'!A:E,5,0)),0,VLOOKUP(A1861,'CloseDL - PriceSaverBBT3'!A:E,5,0))</f>
        <v>0</v>
      </c>
      <c r="K1861" s="7" t="str">
        <f t="shared" si="229"/>
        <v/>
      </c>
      <c r="L1861" s="20" t="e">
        <f>IF(Close[[#This Row],[CreatedBy]]="MARINER\SilverAdm",1,0)</f>
        <v>#VALUE!</v>
      </c>
      <c r="M1861" t="str">
        <f>IF(NOT(ISBLANK(A1861)),VLOOKUP(A1861,'Close - PriceSaver'!A:J,6,0),"")</f>
        <v/>
      </c>
    </row>
    <row r="1862" spans="2:13" x14ac:dyDescent="0.35">
      <c r="B1862" t="str">
        <f>IF(NOT(ISBLANK(A1862)),VLOOKUP(A1862,'BBT3'!A:F,2,0),"")</f>
        <v/>
      </c>
      <c r="C1862" t="str">
        <f>IF(NOT(ISBLANK(A1862)),VLOOKUP(A1862,'BBT3'!A:F,3,0),"")</f>
        <v/>
      </c>
      <c r="D1862" s="5" t="str">
        <f>IF(NOT(ISBLANK(A1862)),VLOOKUP(A1862,'BBT3'!A:F,4,1),"")</f>
        <v/>
      </c>
      <c r="E1862" t="str">
        <f>IF(NOT(ISBLANK(A1862)),VLOOKUP(A1862,'BBT3'!A:F,5,0),"")</f>
        <v/>
      </c>
      <c r="F1862" t="str">
        <f>IF(NOT(ISBLANK(A1862)),VLOOKUP(A1862,'BBT3'!A:F,6,0),"")</f>
        <v/>
      </c>
      <c r="G1862" t="str">
        <f t="shared" si="228"/>
        <v/>
      </c>
      <c r="H1862" t="str">
        <f>IF(NOT(ISBLANK(A1862)),VLOOKUP(A1862,'Close - PriceSaver'!A:J,5,0),"")</f>
        <v/>
      </c>
      <c r="I1862" s="4" t="str" cm="1">
        <f t="array" ref="I1862">IF(NOT(ISBLANK(A1862)),((_xlfn.XLOOKUP(1,(_bbt3[[#All],[ID]]=A1862)*(_bbt3[[#All],[METRIC_NAME]]="YLD_YTM_ASK"),_bbt3[[#All],[METRIC_VALUE]])*0.5)+(_xlfn.XLOOKUP(1,(_bbt3[[#All],[ID]]=A1862)*(_bbt3[[#All],[METRIC_NAME]]="YLD_YTM_BID"),_bbt3[[#All],[METRIC_VALUE]])*0.5))/100,"")</f>
        <v/>
      </c>
      <c r="J1862">
        <f>IF(ISNA(VLOOKUP(A1862,'CloseDL - PriceSaverBBT3'!A:E,5,0)),0,VLOOKUP(A1862,'CloseDL - PriceSaverBBT3'!A:E,5,0))</f>
        <v>0</v>
      </c>
      <c r="K1862" s="7" t="str">
        <f t="shared" si="229"/>
        <v/>
      </c>
      <c r="L1862" s="20" t="e">
        <f>IF(Close[[#This Row],[CreatedBy]]="MARINER\SilverAdm",1,0)</f>
        <v>#VALUE!</v>
      </c>
      <c r="M1862" t="str">
        <f>IF(NOT(ISBLANK(A1862)),VLOOKUP(A1862,'Close - PriceSaver'!A:J,6,0),"")</f>
        <v/>
      </c>
    </row>
    <row r="1863" spans="2:13" x14ac:dyDescent="0.35">
      <c r="B1863" t="str">
        <f>IF(NOT(ISBLANK(A1863)),VLOOKUP(A1863,'BBT3'!A:F,2,0),"")</f>
        <v/>
      </c>
      <c r="C1863" t="str">
        <f>IF(NOT(ISBLANK(A1863)),VLOOKUP(A1863,'BBT3'!A:F,3,0),"")</f>
        <v/>
      </c>
      <c r="D1863" s="5" t="str">
        <f>IF(NOT(ISBLANK(A1863)),VLOOKUP(A1863,'BBT3'!A:F,4,1),"")</f>
        <v/>
      </c>
      <c r="E1863" t="str">
        <f>IF(NOT(ISBLANK(A1863)),VLOOKUP(A1863,'BBT3'!A:F,5,0),"")</f>
        <v/>
      </c>
      <c r="F1863" t="str">
        <f>IF(NOT(ISBLANK(A1863)),VLOOKUP(A1863,'BBT3'!A:F,6,0),"")</f>
        <v/>
      </c>
      <c r="G1863" t="str">
        <f t="shared" si="228"/>
        <v/>
      </c>
      <c r="H1863" t="str">
        <f>IF(NOT(ISBLANK(A1863)),VLOOKUP(A1863,'Close - PriceSaver'!A:J,5,0),"")</f>
        <v/>
      </c>
      <c r="I1863" s="4" t="str" cm="1">
        <f t="array" ref="I1863">IF(NOT(ISBLANK(A1863)),((_xlfn.XLOOKUP(1,(_bbt3[[#All],[ID]]=A1863)*(_bbt3[[#All],[METRIC_NAME]]="YLD_YTM_ASK"),_bbt3[[#All],[METRIC_VALUE]])*0.5)+(_xlfn.XLOOKUP(1,(_bbt3[[#All],[ID]]=A1863)*(_bbt3[[#All],[METRIC_NAME]]="YLD_YTM_BID"),_bbt3[[#All],[METRIC_VALUE]])*0.5))/100,"")</f>
        <v/>
      </c>
      <c r="J1863">
        <f>IF(ISNA(VLOOKUP(A1863,'CloseDL - PriceSaverBBT3'!A:E,5,0)),0,VLOOKUP(A1863,'CloseDL - PriceSaverBBT3'!A:E,5,0))</f>
        <v>0</v>
      </c>
      <c r="K1863" s="7" t="str">
        <f t="shared" si="229"/>
        <v/>
      </c>
      <c r="L1863" s="20" t="e">
        <f>IF(Close[[#This Row],[CreatedBy]]="MARINER\SilverAdm",1,0)</f>
        <v>#VALUE!</v>
      </c>
      <c r="M1863" t="str">
        <f>IF(NOT(ISBLANK(A1863)),VLOOKUP(A1863,'Close - PriceSaver'!A:J,6,0),"")</f>
        <v/>
      </c>
    </row>
    <row r="1864" spans="2:13" x14ac:dyDescent="0.35">
      <c r="B1864" t="str">
        <f>IF(NOT(ISBLANK(A1864)),VLOOKUP(A1864,'BBT3'!A:F,2,0),"")</f>
        <v/>
      </c>
      <c r="C1864" t="str">
        <f>IF(NOT(ISBLANK(A1864)),VLOOKUP(A1864,'BBT3'!A:F,3,0),"")</f>
        <v/>
      </c>
      <c r="D1864" s="5" t="str">
        <f>IF(NOT(ISBLANK(A1864)),VLOOKUP(A1864,'BBT3'!A:F,4,1),"")</f>
        <v/>
      </c>
      <c r="E1864" t="str">
        <f>IF(NOT(ISBLANK(A1864)),VLOOKUP(A1864,'BBT3'!A:F,5,0),"")</f>
        <v/>
      </c>
      <c r="F1864" t="str">
        <f>IF(NOT(ISBLANK(A1864)),VLOOKUP(A1864,'BBT3'!A:F,6,0),"")</f>
        <v/>
      </c>
      <c r="G1864" t="str">
        <f t="shared" si="228"/>
        <v/>
      </c>
      <c r="H1864" t="str">
        <f>IF(NOT(ISBLANK(A1864)),VLOOKUP(A1864,'Close - PriceSaver'!A:J,5,0),"")</f>
        <v/>
      </c>
      <c r="I1864" s="4" t="str" cm="1">
        <f t="array" ref="I1864">IF(NOT(ISBLANK(A1864)),((_xlfn.XLOOKUP(1,(_bbt3[[#All],[ID]]=A1864)*(_bbt3[[#All],[METRIC_NAME]]="YLD_YTM_ASK"),_bbt3[[#All],[METRIC_VALUE]])*0.5)+(_xlfn.XLOOKUP(1,(_bbt3[[#All],[ID]]=A1864)*(_bbt3[[#All],[METRIC_NAME]]="YLD_YTM_BID"),_bbt3[[#All],[METRIC_VALUE]])*0.5))/100,"")</f>
        <v/>
      </c>
      <c r="J1864">
        <f>IF(ISNA(VLOOKUP(A1864,'CloseDL - PriceSaverBBT3'!A:E,5,0)),0,VLOOKUP(A1864,'CloseDL - PriceSaverBBT3'!A:E,5,0))</f>
        <v>0</v>
      </c>
      <c r="K1864" s="7" t="str">
        <f t="shared" si="229"/>
        <v/>
      </c>
      <c r="L1864" s="20" t="e">
        <f>IF(Close[[#This Row],[CreatedBy]]="MARINER\SilverAdm",1,0)</f>
        <v>#VALUE!</v>
      </c>
      <c r="M1864" t="str">
        <f>IF(NOT(ISBLANK(A1864)),VLOOKUP(A1864,'Close - PriceSaver'!A:J,6,0),"")</f>
        <v/>
      </c>
    </row>
    <row r="1865" spans="2:13" x14ac:dyDescent="0.35">
      <c r="B1865" t="str">
        <f>IF(NOT(ISBLANK(A1865)),VLOOKUP(A1865,'BBT3'!A:F,2,0),"")</f>
        <v/>
      </c>
      <c r="C1865" t="str">
        <f>IF(NOT(ISBLANK(A1865)),VLOOKUP(A1865,'BBT3'!A:F,3,0),"")</f>
        <v/>
      </c>
      <c r="D1865" s="5" t="str">
        <f>IF(NOT(ISBLANK(A1865)),VLOOKUP(A1865,'BBT3'!A:F,4,1),"")</f>
        <v/>
      </c>
      <c r="E1865" t="str">
        <f>IF(NOT(ISBLANK(A1865)),VLOOKUP(A1865,'BBT3'!A:F,5,0),"")</f>
        <v/>
      </c>
      <c r="F1865" t="str">
        <f>IF(NOT(ISBLANK(A1865)),VLOOKUP(A1865,'BBT3'!A:F,6,0),"")</f>
        <v/>
      </c>
      <c r="G1865" t="str">
        <f t="shared" si="228"/>
        <v/>
      </c>
      <c r="H1865" t="str">
        <f>IF(NOT(ISBLANK(A1865)),VLOOKUP(A1865,'Close - PriceSaver'!A:J,5,0),"")</f>
        <v/>
      </c>
      <c r="I1865" s="4" t="str" cm="1">
        <f t="array" ref="I1865">IF(NOT(ISBLANK(A1865)),((_xlfn.XLOOKUP(1,(_bbt3[[#All],[ID]]=A1865)*(_bbt3[[#All],[METRIC_NAME]]="YLD_YTM_ASK"),_bbt3[[#All],[METRIC_VALUE]])*0.5)+(_xlfn.XLOOKUP(1,(_bbt3[[#All],[ID]]=A1865)*(_bbt3[[#All],[METRIC_NAME]]="YLD_YTM_BID"),_bbt3[[#All],[METRIC_VALUE]])*0.5))/100,"")</f>
        <v/>
      </c>
      <c r="J1865">
        <f>IF(ISNA(VLOOKUP(A1865,'CloseDL - PriceSaverBBT3'!A:E,5,0)),0,VLOOKUP(A1865,'CloseDL - PriceSaverBBT3'!A:E,5,0))</f>
        <v>0</v>
      </c>
      <c r="K1865" s="7" t="str">
        <f t="shared" si="229"/>
        <v/>
      </c>
      <c r="L1865" s="20" t="e">
        <f>IF(Close[[#This Row],[CreatedBy]]="MARINER\SilverAdm",1,0)</f>
        <v>#VALUE!</v>
      </c>
      <c r="M1865" t="str">
        <f>IF(NOT(ISBLANK(A1865)),VLOOKUP(A1865,'Close - PriceSaver'!A:J,6,0),"")</f>
        <v/>
      </c>
    </row>
    <row r="1866" spans="2:13" x14ac:dyDescent="0.35">
      <c r="B1866" t="str">
        <f>IF(NOT(ISBLANK(A1866)),VLOOKUP(A1866,'BBT3'!A:F,2,0),"")</f>
        <v/>
      </c>
      <c r="C1866" t="str">
        <f>IF(NOT(ISBLANK(A1866)),VLOOKUP(A1866,'BBT3'!A:F,3,0),"")</f>
        <v/>
      </c>
      <c r="D1866" s="5" t="str">
        <f>IF(NOT(ISBLANK(A1866)),VLOOKUP(A1866,'BBT3'!A:F,4,1),"")</f>
        <v/>
      </c>
      <c r="E1866" t="str">
        <f>IF(NOT(ISBLANK(A1866)),VLOOKUP(A1866,'BBT3'!A:F,5,0),"")</f>
        <v/>
      </c>
      <c r="F1866" t="str">
        <f>IF(NOT(ISBLANK(A1866)),VLOOKUP(A1866,'BBT3'!A:F,6,0),"")</f>
        <v/>
      </c>
      <c r="G1866" t="str">
        <f t="shared" si="228"/>
        <v/>
      </c>
      <c r="H1866" t="str">
        <f>IF(NOT(ISBLANK(A1866)),VLOOKUP(A1866,'Close - PriceSaver'!A:J,5,0),"")</f>
        <v/>
      </c>
      <c r="I1866" s="4" t="str" cm="1">
        <f t="array" ref="I1866">IF(NOT(ISBLANK(A1866)),((_xlfn.XLOOKUP(1,(_bbt3[[#All],[ID]]=A1866)*(_bbt3[[#All],[METRIC_NAME]]="YLD_YTM_ASK"),_bbt3[[#All],[METRIC_VALUE]])*0.5)+(_xlfn.XLOOKUP(1,(_bbt3[[#All],[ID]]=A1866)*(_bbt3[[#All],[METRIC_NAME]]="YLD_YTM_BID"),_bbt3[[#All],[METRIC_VALUE]])*0.5))/100,"")</f>
        <v/>
      </c>
      <c r="J1866">
        <f>IF(ISNA(VLOOKUP(A1866,'CloseDL - PriceSaverBBT3'!A:E,5,0)),0,VLOOKUP(A1866,'CloseDL - PriceSaverBBT3'!A:E,5,0))</f>
        <v>0</v>
      </c>
      <c r="K1866" s="7" t="str">
        <f t="shared" si="229"/>
        <v/>
      </c>
      <c r="L1866" s="20" t="e">
        <f>IF(Close[[#This Row],[CreatedBy]]="MARINER\SilverAdm",1,0)</f>
        <v>#VALUE!</v>
      </c>
      <c r="M1866" t="str">
        <f>IF(NOT(ISBLANK(A1866)),VLOOKUP(A1866,'Close - PriceSaver'!A:J,6,0),"")</f>
        <v/>
      </c>
    </row>
    <row r="1867" spans="2:13" x14ac:dyDescent="0.35">
      <c r="B1867" t="str">
        <f>IF(NOT(ISBLANK(A1867)),VLOOKUP(A1867,'BBT3'!A:F,2,0),"")</f>
        <v/>
      </c>
      <c r="C1867" t="str">
        <f>IF(NOT(ISBLANK(A1867)),VLOOKUP(A1867,'BBT3'!A:F,3,0),"")</f>
        <v/>
      </c>
      <c r="D1867" s="5" t="str">
        <f>IF(NOT(ISBLANK(A1867)),VLOOKUP(A1867,'BBT3'!A:F,4,1),"")</f>
        <v/>
      </c>
      <c r="E1867" t="str">
        <f>IF(NOT(ISBLANK(A1867)),VLOOKUP(A1867,'BBT3'!A:F,5,0),"")</f>
        <v/>
      </c>
      <c r="F1867" t="str">
        <f>IF(NOT(ISBLANK(A1867)),VLOOKUP(A1867,'BBT3'!A:F,6,0),"")</f>
        <v/>
      </c>
      <c r="G1867" t="str">
        <f t="shared" si="228"/>
        <v/>
      </c>
      <c r="H1867" t="str">
        <f>IF(NOT(ISBLANK(A1867)),VLOOKUP(A1867,'Close - PriceSaver'!A:J,5,0),"")</f>
        <v/>
      </c>
      <c r="I1867" s="4" t="str" cm="1">
        <f t="array" ref="I1867">IF(NOT(ISBLANK(A1867)),((_xlfn.XLOOKUP(1,(_bbt3[[#All],[ID]]=A1867)*(_bbt3[[#All],[METRIC_NAME]]="YLD_YTM_ASK"),_bbt3[[#All],[METRIC_VALUE]])*0.5)+(_xlfn.XLOOKUP(1,(_bbt3[[#All],[ID]]=A1867)*(_bbt3[[#All],[METRIC_NAME]]="YLD_YTM_BID"),_bbt3[[#All],[METRIC_VALUE]])*0.5))/100,"")</f>
        <v/>
      </c>
      <c r="J1867">
        <f>IF(ISNA(VLOOKUP(A1867,'CloseDL - PriceSaverBBT3'!A:E,5,0)),0,VLOOKUP(A1867,'CloseDL - PriceSaverBBT3'!A:E,5,0))</f>
        <v>0</v>
      </c>
      <c r="K1867" s="7" t="str">
        <f t="shared" si="229"/>
        <v/>
      </c>
      <c r="L1867" s="20" t="e">
        <f>IF(Close[[#This Row],[CreatedBy]]="MARINER\SilverAdm",1,0)</f>
        <v>#VALUE!</v>
      </c>
      <c r="M1867" t="str">
        <f>IF(NOT(ISBLANK(A1867)),VLOOKUP(A1867,'Close - PriceSaver'!A:J,6,0),"")</f>
        <v/>
      </c>
    </row>
    <row r="1868" spans="2:13" x14ac:dyDescent="0.35">
      <c r="B1868" t="str">
        <f>IF(NOT(ISBLANK(A1868)),VLOOKUP(A1868,'BBT3'!A:F,2,0),"")</f>
        <v/>
      </c>
      <c r="C1868" t="str">
        <f>IF(NOT(ISBLANK(A1868)),VLOOKUP(A1868,'BBT3'!A:F,3,0),"")</f>
        <v/>
      </c>
      <c r="D1868" s="5" t="str">
        <f>IF(NOT(ISBLANK(A1868)),VLOOKUP(A1868,'BBT3'!A:F,4,1),"")</f>
        <v/>
      </c>
      <c r="E1868" t="str">
        <f>IF(NOT(ISBLANK(A1868)),VLOOKUP(A1868,'BBT3'!A:F,5,0),"")</f>
        <v/>
      </c>
      <c r="F1868" t="str">
        <f>IF(NOT(ISBLANK(A1868)),VLOOKUP(A1868,'BBT3'!A:F,6,0),"")</f>
        <v/>
      </c>
      <c r="G1868" t="str">
        <f t="shared" si="228"/>
        <v/>
      </c>
      <c r="H1868" t="str">
        <f>IF(NOT(ISBLANK(A1868)),VLOOKUP(A1868,'Close - PriceSaver'!A:J,5,0),"")</f>
        <v/>
      </c>
      <c r="I1868" s="4" t="str" cm="1">
        <f t="array" ref="I1868">IF(NOT(ISBLANK(A1868)),((_xlfn.XLOOKUP(1,(_bbt3[[#All],[ID]]=A1868)*(_bbt3[[#All],[METRIC_NAME]]="YLD_YTM_ASK"),_bbt3[[#All],[METRIC_VALUE]])*0.5)+(_xlfn.XLOOKUP(1,(_bbt3[[#All],[ID]]=A1868)*(_bbt3[[#All],[METRIC_NAME]]="YLD_YTM_BID"),_bbt3[[#All],[METRIC_VALUE]])*0.5))/100,"")</f>
        <v/>
      </c>
      <c r="J1868">
        <f>IF(ISNA(VLOOKUP(A1868,'CloseDL - PriceSaverBBT3'!A:E,5,0)),0,VLOOKUP(A1868,'CloseDL - PriceSaverBBT3'!A:E,5,0))</f>
        <v>0</v>
      </c>
      <c r="K1868" s="7" t="str">
        <f t="shared" si="229"/>
        <v/>
      </c>
      <c r="L1868" s="20" t="e">
        <f>IF(Close[[#This Row],[CreatedBy]]="MARINER\SilverAdm",1,0)</f>
        <v>#VALUE!</v>
      </c>
      <c r="M1868" t="str">
        <f>IF(NOT(ISBLANK(A1868)),VLOOKUP(A1868,'Close - PriceSaver'!A:J,6,0),"")</f>
        <v/>
      </c>
    </row>
    <row r="1869" spans="2:13" x14ac:dyDescent="0.35">
      <c r="B1869" t="str">
        <f>IF(NOT(ISBLANK(A1869)),VLOOKUP(A1869,'BBT3'!A:F,2,0),"")</f>
        <v/>
      </c>
      <c r="C1869" t="str">
        <f>IF(NOT(ISBLANK(A1869)),VLOOKUP(A1869,'BBT3'!A:F,3,0),"")</f>
        <v/>
      </c>
      <c r="D1869" s="5" t="str">
        <f>IF(NOT(ISBLANK(A1869)),VLOOKUP(A1869,'BBT3'!A:F,4,1),"")</f>
        <v/>
      </c>
      <c r="E1869" t="str">
        <f>IF(NOT(ISBLANK(A1869)),VLOOKUP(A1869,'BBT3'!A:F,5,0),"")</f>
        <v/>
      </c>
      <c r="F1869" t="str">
        <f>IF(NOT(ISBLANK(A1869)),VLOOKUP(A1869,'BBT3'!A:F,6,0),"")</f>
        <v/>
      </c>
      <c r="G1869" t="str">
        <f t="shared" si="228"/>
        <v/>
      </c>
      <c r="H1869" t="str">
        <f>IF(NOT(ISBLANK(A1869)),VLOOKUP(A1869,'Close - PriceSaver'!A:J,5,0),"")</f>
        <v/>
      </c>
      <c r="I1869" s="4" t="str" cm="1">
        <f t="array" ref="I1869">IF(NOT(ISBLANK(A1869)),((_xlfn.XLOOKUP(1,(_bbt3[[#All],[ID]]=A1869)*(_bbt3[[#All],[METRIC_NAME]]="YLD_YTM_ASK"),_bbt3[[#All],[METRIC_VALUE]])*0.5)+(_xlfn.XLOOKUP(1,(_bbt3[[#All],[ID]]=A1869)*(_bbt3[[#All],[METRIC_NAME]]="YLD_YTM_BID"),_bbt3[[#All],[METRIC_VALUE]])*0.5))/100,"")</f>
        <v/>
      </c>
      <c r="J1869">
        <f>IF(ISNA(VLOOKUP(A1869,'CloseDL - PriceSaverBBT3'!A:E,5,0)),0,VLOOKUP(A1869,'CloseDL - PriceSaverBBT3'!A:E,5,0))</f>
        <v>0</v>
      </c>
      <c r="K1869" s="7" t="str">
        <f t="shared" si="229"/>
        <v/>
      </c>
      <c r="L1869" s="20" t="e">
        <f>IF(Close[[#This Row],[CreatedBy]]="MARINER\SilverAdm",1,0)</f>
        <v>#VALUE!</v>
      </c>
      <c r="M1869" t="str">
        <f>IF(NOT(ISBLANK(A1869)),VLOOKUP(A1869,'Close - PriceSaver'!A:J,6,0),"")</f>
        <v/>
      </c>
    </row>
    <row r="1870" spans="2:13" x14ac:dyDescent="0.35">
      <c r="B1870" t="str">
        <f>IF(NOT(ISBLANK(A1870)),VLOOKUP(A1870,'BBT3'!A:F,2,0),"")</f>
        <v/>
      </c>
      <c r="C1870" t="str">
        <f>IF(NOT(ISBLANK(A1870)),VLOOKUP(A1870,'BBT3'!A:F,3,0),"")</f>
        <v/>
      </c>
      <c r="D1870" s="5" t="str">
        <f>IF(NOT(ISBLANK(A1870)),VLOOKUP(A1870,'BBT3'!A:F,4,1),"")</f>
        <v/>
      </c>
      <c r="E1870" t="str">
        <f>IF(NOT(ISBLANK(A1870)),VLOOKUP(A1870,'BBT3'!A:F,5,0),"")</f>
        <v/>
      </c>
      <c r="F1870" t="str">
        <f>IF(NOT(ISBLANK(A1870)),VLOOKUP(A1870,'BBT3'!A:F,6,0),"")</f>
        <v/>
      </c>
      <c r="G1870" t="str">
        <f t="shared" si="228"/>
        <v/>
      </c>
      <c r="H1870" t="str">
        <f>IF(NOT(ISBLANK(A1870)),VLOOKUP(A1870,'Close - PriceSaver'!A:J,5,0),"")</f>
        <v/>
      </c>
      <c r="I1870" s="4" t="str" cm="1">
        <f t="array" ref="I1870">IF(NOT(ISBLANK(A1870)),((_xlfn.XLOOKUP(1,(_bbt3[[#All],[ID]]=A1870)*(_bbt3[[#All],[METRIC_NAME]]="YLD_YTM_ASK"),_bbt3[[#All],[METRIC_VALUE]])*0.5)+(_xlfn.XLOOKUP(1,(_bbt3[[#All],[ID]]=A1870)*(_bbt3[[#All],[METRIC_NAME]]="YLD_YTM_BID"),_bbt3[[#All],[METRIC_VALUE]])*0.5))/100,"")</f>
        <v/>
      </c>
      <c r="J1870">
        <f>IF(ISNA(VLOOKUP(A1870,'CloseDL - PriceSaverBBT3'!A:E,5,0)),0,VLOOKUP(A1870,'CloseDL - PriceSaverBBT3'!A:E,5,0))</f>
        <v>0</v>
      </c>
      <c r="K1870" s="7" t="str">
        <f t="shared" si="229"/>
        <v/>
      </c>
      <c r="L1870" s="20" t="e">
        <f>IF(Close[[#This Row],[CreatedBy]]="MARINER\SilverAdm",1,0)</f>
        <v>#VALUE!</v>
      </c>
      <c r="M1870" t="str">
        <f>IF(NOT(ISBLANK(A1870)),VLOOKUP(A1870,'Close - PriceSaver'!A:J,6,0),"")</f>
        <v/>
      </c>
    </row>
    <row r="1871" spans="2:13" x14ac:dyDescent="0.35">
      <c r="B1871" t="str">
        <f>IF(NOT(ISBLANK(A1871)),VLOOKUP(A1871,'BBT3'!A:F,2,0),"")</f>
        <v/>
      </c>
      <c r="C1871" t="str">
        <f>IF(NOT(ISBLANK(A1871)),VLOOKUP(A1871,'BBT3'!A:F,3,0),"")</f>
        <v/>
      </c>
      <c r="D1871" s="5" t="str">
        <f>IF(NOT(ISBLANK(A1871)),VLOOKUP(A1871,'BBT3'!A:F,4,1),"")</f>
        <v/>
      </c>
      <c r="E1871" t="str">
        <f>IF(NOT(ISBLANK(A1871)),VLOOKUP(A1871,'BBT3'!A:F,5,0),"")</f>
        <v/>
      </c>
      <c r="F1871" t="str">
        <f>IF(NOT(ISBLANK(A1871)),VLOOKUP(A1871,'BBT3'!A:F,6,0),"")</f>
        <v/>
      </c>
      <c r="G1871" t="str">
        <f t="shared" si="228"/>
        <v/>
      </c>
      <c r="H1871" t="str">
        <f>IF(NOT(ISBLANK(A1871)),VLOOKUP(A1871,'Close - PriceSaver'!A:J,5,0),"")</f>
        <v/>
      </c>
      <c r="I1871" s="4" t="str" cm="1">
        <f t="array" ref="I1871">IF(NOT(ISBLANK(A1871)),((_xlfn.XLOOKUP(1,(_bbt3[[#All],[ID]]=A1871)*(_bbt3[[#All],[METRIC_NAME]]="YLD_YTM_ASK"),_bbt3[[#All],[METRIC_VALUE]])*0.5)+(_xlfn.XLOOKUP(1,(_bbt3[[#All],[ID]]=A1871)*(_bbt3[[#All],[METRIC_NAME]]="YLD_YTM_BID"),_bbt3[[#All],[METRIC_VALUE]])*0.5))/100,"")</f>
        <v/>
      </c>
      <c r="J1871">
        <f>IF(ISNA(VLOOKUP(A1871,'CloseDL - PriceSaverBBT3'!A:E,5,0)),0,VLOOKUP(A1871,'CloseDL - PriceSaverBBT3'!A:E,5,0))</f>
        <v>0</v>
      </c>
      <c r="K1871" s="7" t="str">
        <f t="shared" si="229"/>
        <v/>
      </c>
      <c r="L1871" s="20" t="e">
        <f>IF(Close[[#This Row],[CreatedBy]]="MARINER\SilverAdm",1,0)</f>
        <v>#VALUE!</v>
      </c>
      <c r="M1871" t="str">
        <f>IF(NOT(ISBLANK(A1871)),VLOOKUP(A1871,'Close - PriceSaver'!A:J,6,0),"")</f>
        <v/>
      </c>
    </row>
    <row r="1872" spans="2:13" x14ac:dyDescent="0.35">
      <c r="B1872" t="str">
        <f>IF(NOT(ISBLANK(A1872)),VLOOKUP(A1872,'BBT3'!A:F,2,0),"")</f>
        <v/>
      </c>
      <c r="C1872" t="str">
        <f>IF(NOT(ISBLANK(A1872)),VLOOKUP(A1872,'BBT3'!A:F,3,0),"")</f>
        <v/>
      </c>
      <c r="D1872" s="5" t="str">
        <f>IF(NOT(ISBLANK(A1872)),VLOOKUP(A1872,'BBT3'!A:F,4,1),"")</f>
        <v/>
      </c>
      <c r="E1872" t="str">
        <f>IF(NOT(ISBLANK(A1872)),VLOOKUP(A1872,'BBT3'!A:F,5,0),"")</f>
        <v/>
      </c>
      <c r="F1872" t="str">
        <f>IF(NOT(ISBLANK(A1872)),VLOOKUP(A1872,'BBT3'!A:F,6,0),"")</f>
        <v/>
      </c>
      <c r="G1872" t="str">
        <f t="shared" si="228"/>
        <v/>
      </c>
      <c r="H1872" t="str">
        <f>IF(NOT(ISBLANK(A1872)),VLOOKUP(A1872,'Close - PriceSaver'!A:J,5,0),"")</f>
        <v/>
      </c>
      <c r="I1872" s="4" t="str" cm="1">
        <f t="array" ref="I1872">IF(NOT(ISBLANK(A1872)),((_xlfn.XLOOKUP(1,(_bbt3[[#All],[ID]]=A1872)*(_bbt3[[#All],[METRIC_NAME]]="YLD_YTM_ASK"),_bbt3[[#All],[METRIC_VALUE]])*0.5)+(_xlfn.XLOOKUP(1,(_bbt3[[#All],[ID]]=A1872)*(_bbt3[[#All],[METRIC_NAME]]="YLD_YTM_BID"),_bbt3[[#All],[METRIC_VALUE]])*0.5))/100,"")</f>
        <v/>
      </c>
      <c r="J1872">
        <f>IF(ISNA(VLOOKUP(A1872,'CloseDL - PriceSaverBBT3'!A:E,5,0)),0,VLOOKUP(A1872,'CloseDL - PriceSaverBBT3'!A:E,5,0))</f>
        <v>0</v>
      </c>
      <c r="K1872" s="7" t="str">
        <f t="shared" si="229"/>
        <v/>
      </c>
      <c r="L1872" s="20" t="e">
        <f>IF(Close[[#This Row],[CreatedBy]]="MARINER\SilverAdm",1,0)</f>
        <v>#VALUE!</v>
      </c>
      <c r="M1872" t="str">
        <f>IF(NOT(ISBLANK(A1872)),VLOOKUP(A1872,'Close - PriceSaver'!A:J,6,0),"")</f>
        <v/>
      </c>
    </row>
    <row r="1873" spans="2:13" x14ac:dyDescent="0.35">
      <c r="B1873" t="str">
        <f>IF(NOT(ISBLANK(A1873)),VLOOKUP(A1873,'BBT3'!A:F,2,0),"")</f>
        <v/>
      </c>
      <c r="C1873" t="str">
        <f>IF(NOT(ISBLANK(A1873)),VLOOKUP(A1873,'BBT3'!A:F,3,0),"")</f>
        <v/>
      </c>
      <c r="D1873" s="5" t="str">
        <f>IF(NOT(ISBLANK(A1873)),VLOOKUP(A1873,'BBT3'!A:F,4,1),"")</f>
        <v/>
      </c>
      <c r="E1873" t="str">
        <f>IF(NOT(ISBLANK(A1873)),VLOOKUP(A1873,'BBT3'!A:F,5,0),"")</f>
        <v/>
      </c>
      <c r="F1873" t="str">
        <f>IF(NOT(ISBLANK(A1873)),VLOOKUP(A1873,'BBT3'!A:F,6,0),"")</f>
        <v/>
      </c>
      <c r="G1873" t="str">
        <f t="shared" si="228"/>
        <v/>
      </c>
      <c r="H1873" t="str">
        <f>IF(NOT(ISBLANK(A1873)),VLOOKUP(A1873,'Close - PriceSaver'!A:J,5,0),"")</f>
        <v/>
      </c>
      <c r="I1873" s="4" t="str" cm="1">
        <f t="array" ref="I1873">IF(NOT(ISBLANK(A1873)),((_xlfn.XLOOKUP(1,(_bbt3[[#All],[ID]]=A1873)*(_bbt3[[#All],[METRIC_NAME]]="YLD_YTM_ASK"),_bbt3[[#All],[METRIC_VALUE]])*0.5)+(_xlfn.XLOOKUP(1,(_bbt3[[#All],[ID]]=A1873)*(_bbt3[[#All],[METRIC_NAME]]="YLD_YTM_BID"),_bbt3[[#All],[METRIC_VALUE]])*0.5))/100,"")</f>
        <v/>
      </c>
      <c r="J1873">
        <f>IF(ISNA(VLOOKUP(A1873,'CloseDL - PriceSaverBBT3'!A:E,5,0)),0,VLOOKUP(A1873,'CloseDL - PriceSaverBBT3'!A:E,5,0))</f>
        <v>0</v>
      </c>
      <c r="K1873" s="7" t="str">
        <f t="shared" si="229"/>
        <v/>
      </c>
      <c r="L1873" s="20" t="e">
        <f>IF(Close[[#This Row],[CreatedBy]]="MARINER\SilverAdm",1,0)</f>
        <v>#VALUE!</v>
      </c>
      <c r="M1873" t="str">
        <f>IF(NOT(ISBLANK(A1873)),VLOOKUP(A1873,'Close - PriceSaver'!A:J,6,0),"")</f>
        <v/>
      </c>
    </row>
    <row r="1874" spans="2:13" x14ac:dyDescent="0.35">
      <c r="B1874" t="str">
        <f>IF(NOT(ISBLANK(A1874)),VLOOKUP(A1874,'BBT3'!A:F,2,0),"")</f>
        <v/>
      </c>
      <c r="C1874" t="str">
        <f>IF(NOT(ISBLANK(A1874)),VLOOKUP(A1874,'BBT3'!A:F,3,0),"")</f>
        <v/>
      </c>
      <c r="D1874" s="5" t="str">
        <f>IF(NOT(ISBLANK(A1874)),VLOOKUP(A1874,'BBT3'!A:F,4,1),"")</f>
        <v/>
      </c>
      <c r="E1874" t="str">
        <f>IF(NOT(ISBLANK(A1874)),VLOOKUP(A1874,'BBT3'!A:F,5,0),"")</f>
        <v/>
      </c>
      <c r="F1874" t="str">
        <f>IF(NOT(ISBLANK(A1874)),VLOOKUP(A1874,'BBT3'!A:F,6,0),"")</f>
        <v/>
      </c>
      <c r="G1874" t="str">
        <f t="shared" si="228"/>
        <v/>
      </c>
      <c r="H1874" t="str">
        <f>IF(NOT(ISBLANK(A1874)),VLOOKUP(A1874,'Close - PriceSaver'!A:J,5,0),"")</f>
        <v/>
      </c>
      <c r="I1874" s="4" t="str" cm="1">
        <f t="array" ref="I1874">IF(NOT(ISBLANK(A1874)),((_xlfn.XLOOKUP(1,(_bbt3[[#All],[ID]]=A1874)*(_bbt3[[#All],[METRIC_NAME]]="YLD_YTM_ASK"),_bbt3[[#All],[METRIC_VALUE]])*0.5)+(_xlfn.XLOOKUP(1,(_bbt3[[#All],[ID]]=A1874)*(_bbt3[[#All],[METRIC_NAME]]="YLD_YTM_BID"),_bbt3[[#All],[METRIC_VALUE]])*0.5))/100,"")</f>
        <v/>
      </c>
      <c r="J1874">
        <f>IF(ISNA(VLOOKUP(A1874,'CloseDL - PriceSaverBBT3'!A:E,5,0)),0,VLOOKUP(A1874,'CloseDL - PriceSaverBBT3'!A:E,5,0))</f>
        <v>0</v>
      </c>
      <c r="K1874" s="7" t="str">
        <f t="shared" si="229"/>
        <v/>
      </c>
      <c r="L1874" s="20" t="e">
        <f>IF(Close[[#This Row],[CreatedBy]]="MARINER\SilverAdm",1,0)</f>
        <v>#VALUE!</v>
      </c>
      <c r="M1874" t="str">
        <f>IF(NOT(ISBLANK(A1874)),VLOOKUP(A1874,'Close - PriceSaver'!A:J,6,0),"")</f>
        <v/>
      </c>
    </row>
    <row r="1875" spans="2:13" x14ac:dyDescent="0.35">
      <c r="B1875" t="str">
        <f>IF(NOT(ISBLANK(A1875)),VLOOKUP(A1875,'BBT3'!A:F,2,0),"")</f>
        <v/>
      </c>
      <c r="C1875" t="str">
        <f>IF(NOT(ISBLANK(A1875)),VLOOKUP(A1875,'BBT3'!A:F,3,0),"")</f>
        <v/>
      </c>
      <c r="D1875" s="5" t="str">
        <f>IF(NOT(ISBLANK(A1875)),VLOOKUP(A1875,'BBT3'!A:F,4,1),"")</f>
        <v/>
      </c>
      <c r="E1875" t="str">
        <f>IF(NOT(ISBLANK(A1875)),VLOOKUP(A1875,'BBT3'!A:F,5,0),"")</f>
        <v/>
      </c>
      <c r="F1875" t="str">
        <f>IF(NOT(ISBLANK(A1875)),VLOOKUP(A1875,'BBT3'!A:F,6,0),"")</f>
        <v/>
      </c>
      <c r="G1875" t="str">
        <f t="shared" si="228"/>
        <v/>
      </c>
      <c r="H1875" t="str">
        <f>IF(NOT(ISBLANK(A1875)),VLOOKUP(A1875,'Close - PriceSaver'!A:J,5,0),"")</f>
        <v/>
      </c>
      <c r="I1875" s="4" t="str" cm="1">
        <f t="array" ref="I1875">IF(NOT(ISBLANK(A1875)),((_xlfn.XLOOKUP(1,(_bbt3[[#All],[ID]]=A1875)*(_bbt3[[#All],[METRIC_NAME]]="YLD_YTM_ASK"),_bbt3[[#All],[METRIC_VALUE]])*0.5)+(_xlfn.XLOOKUP(1,(_bbt3[[#All],[ID]]=A1875)*(_bbt3[[#All],[METRIC_NAME]]="YLD_YTM_BID"),_bbt3[[#All],[METRIC_VALUE]])*0.5))/100,"")</f>
        <v/>
      </c>
      <c r="J1875">
        <f>IF(ISNA(VLOOKUP(A1875,'CloseDL - PriceSaverBBT3'!A:E,5,0)),0,VLOOKUP(A1875,'CloseDL - PriceSaverBBT3'!A:E,5,0))</f>
        <v>0</v>
      </c>
      <c r="K1875" s="7" t="str">
        <f t="shared" si="229"/>
        <v/>
      </c>
      <c r="L1875" s="20" t="e">
        <f>IF(Close[[#This Row],[CreatedBy]]="MARINER\SilverAdm",1,0)</f>
        <v>#VALUE!</v>
      </c>
      <c r="M1875" t="str">
        <f>IF(NOT(ISBLANK(A1875)),VLOOKUP(A1875,'Close - PriceSaver'!A:J,6,0),"")</f>
        <v/>
      </c>
    </row>
    <row r="1876" spans="2:13" x14ac:dyDescent="0.35">
      <c r="B1876" t="str">
        <f>IF(NOT(ISBLANK(A1876)),VLOOKUP(A1876,'BBT3'!A:F,2,0),"")</f>
        <v/>
      </c>
      <c r="C1876" t="str">
        <f>IF(NOT(ISBLANK(A1876)),VLOOKUP(A1876,'BBT3'!A:F,3,0),"")</f>
        <v/>
      </c>
      <c r="D1876" s="5" t="str">
        <f>IF(NOT(ISBLANK(A1876)),VLOOKUP(A1876,'BBT3'!A:F,4,1),"")</f>
        <v/>
      </c>
      <c r="E1876" t="str">
        <f>IF(NOT(ISBLANK(A1876)),VLOOKUP(A1876,'BBT3'!A:F,5,0),"")</f>
        <v/>
      </c>
      <c r="F1876" t="str">
        <f>IF(NOT(ISBLANK(A1876)),VLOOKUP(A1876,'BBT3'!A:F,6,0),"")</f>
        <v/>
      </c>
      <c r="G1876" t="str">
        <f t="shared" si="228"/>
        <v/>
      </c>
      <c r="H1876" t="str">
        <f>IF(NOT(ISBLANK(A1876)),VLOOKUP(A1876,'Close - PriceSaver'!A:J,5,0),"")</f>
        <v/>
      </c>
      <c r="I1876" s="4" t="str" cm="1">
        <f t="array" ref="I1876">IF(NOT(ISBLANK(A1876)),((_xlfn.XLOOKUP(1,(_bbt3[[#All],[ID]]=A1876)*(_bbt3[[#All],[METRIC_NAME]]="YLD_YTM_ASK"),_bbt3[[#All],[METRIC_VALUE]])*0.5)+(_xlfn.XLOOKUP(1,(_bbt3[[#All],[ID]]=A1876)*(_bbt3[[#All],[METRIC_NAME]]="YLD_YTM_BID"),_bbt3[[#All],[METRIC_VALUE]])*0.5))/100,"")</f>
        <v/>
      </c>
      <c r="J1876">
        <f>IF(ISNA(VLOOKUP(A1876,'CloseDL - PriceSaverBBT3'!A:E,5,0)),0,VLOOKUP(A1876,'CloseDL - PriceSaverBBT3'!A:E,5,0))</f>
        <v>0</v>
      </c>
      <c r="K1876" s="7" t="str">
        <f t="shared" si="229"/>
        <v/>
      </c>
      <c r="L1876" s="20" t="e">
        <f>IF(Close[[#This Row],[CreatedBy]]="MARINER\SilverAdm",1,0)</f>
        <v>#VALUE!</v>
      </c>
      <c r="M1876" t="str">
        <f>IF(NOT(ISBLANK(A1876)),VLOOKUP(A1876,'Close - PriceSaver'!A:J,6,0),"")</f>
        <v/>
      </c>
    </row>
    <row r="1877" spans="2:13" x14ac:dyDescent="0.35">
      <c r="B1877" t="str">
        <f>IF(NOT(ISBLANK(A1877)),VLOOKUP(A1877,'BBT3'!A:F,2,0),"")</f>
        <v/>
      </c>
      <c r="C1877" t="str">
        <f>IF(NOT(ISBLANK(A1877)),VLOOKUP(A1877,'BBT3'!A:F,3,0),"")</f>
        <v/>
      </c>
      <c r="D1877" s="5" t="str">
        <f>IF(NOT(ISBLANK(A1877)),VLOOKUP(A1877,'BBT3'!A:F,4,1),"")</f>
        <v/>
      </c>
      <c r="E1877" t="str">
        <f>IF(NOT(ISBLANK(A1877)),VLOOKUP(A1877,'BBT3'!A:F,5,0),"")</f>
        <v/>
      </c>
      <c r="F1877" t="str">
        <f>IF(NOT(ISBLANK(A1877)),VLOOKUP(A1877,'BBT3'!A:F,6,0),"")</f>
        <v/>
      </c>
      <c r="G1877" t="str">
        <f t="shared" si="228"/>
        <v/>
      </c>
      <c r="H1877" t="str">
        <f>IF(NOT(ISBLANK(A1877)),VLOOKUP(A1877,'Close - PriceSaver'!A:J,5,0),"")</f>
        <v/>
      </c>
      <c r="I1877" s="4" t="str" cm="1">
        <f t="array" ref="I1877">IF(NOT(ISBLANK(A1877)),((_xlfn.XLOOKUP(1,(_bbt3[[#All],[ID]]=A1877)*(_bbt3[[#All],[METRIC_NAME]]="YLD_YTM_ASK"),_bbt3[[#All],[METRIC_VALUE]])*0.5)+(_xlfn.XLOOKUP(1,(_bbt3[[#All],[ID]]=A1877)*(_bbt3[[#All],[METRIC_NAME]]="YLD_YTM_BID"),_bbt3[[#All],[METRIC_VALUE]])*0.5))/100,"")</f>
        <v/>
      </c>
      <c r="J1877">
        <f>IF(ISNA(VLOOKUP(A1877,'CloseDL - PriceSaverBBT3'!A:E,5,0)),0,VLOOKUP(A1877,'CloseDL - PriceSaverBBT3'!A:E,5,0))</f>
        <v>0</v>
      </c>
      <c r="K1877" s="7" t="str">
        <f t="shared" si="229"/>
        <v/>
      </c>
      <c r="L1877" s="20" t="e">
        <f>IF(Close[[#This Row],[CreatedBy]]="MARINER\SilverAdm",1,0)</f>
        <v>#VALUE!</v>
      </c>
      <c r="M1877" t="str">
        <f>IF(NOT(ISBLANK(A1877)),VLOOKUP(A1877,'Close - PriceSaver'!A:J,6,0),"")</f>
        <v/>
      </c>
    </row>
    <row r="1878" spans="2:13" x14ac:dyDescent="0.35">
      <c r="B1878" t="str">
        <f>IF(NOT(ISBLANK(A1878)),VLOOKUP(A1878,'BBT3'!A:F,2,0),"")</f>
        <v/>
      </c>
      <c r="C1878" t="str">
        <f>IF(NOT(ISBLANK(A1878)),VLOOKUP(A1878,'BBT3'!A:F,3,0),"")</f>
        <v/>
      </c>
      <c r="D1878" s="5" t="str">
        <f>IF(NOT(ISBLANK(A1878)),VLOOKUP(A1878,'BBT3'!A:F,4,1),"")</f>
        <v/>
      </c>
      <c r="E1878" t="str">
        <f>IF(NOT(ISBLANK(A1878)),VLOOKUP(A1878,'BBT3'!A:F,5,0),"")</f>
        <v/>
      </c>
      <c r="F1878" t="str">
        <f>IF(NOT(ISBLANK(A1878)),VLOOKUP(A1878,'BBT3'!A:F,6,0),"")</f>
        <v/>
      </c>
      <c r="G1878" t="str">
        <f t="shared" si="228"/>
        <v/>
      </c>
      <c r="H1878" t="str">
        <f>IF(NOT(ISBLANK(A1878)),VLOOKUP(A1878,'Close - PriceSaver'!A:J,5,0),"")</f>
        <v/>
      </c>
      <c r="I1878" s="4" t="str" cm="1">
        <f t="array" ref="I1878">IF(NOT(ISBLANK(A1878)),((_xlfn.XLOOKUP(1,(_bbt3[[#All],[ID]]=A1878)*(_bbt3[[#All],[METRIC_NAME]]="YLD_YTM_ASK"),_bbt3[[#All],[METRIC_VALUE]])*0.5)+(_xlfn.XLOOKUP(1,(_bbt3[[#All],[ID]]=A1878)*(_bbt3[[#All],[METRIC_NAME]]="YLD_YTM_BID"),_bbt3[[#All],[METRIC_VALUE]])*0.5))/100,"")</f>
        <v/>
      </c>
      <c r="J1878">
        <f>IF(ISNA(VLOOKUP(A1878,'CloseDL - PriceSaverBBT3'!A:E,5,0)),0,VLOOKUP(A1878,'CloseDL - PriceSaverBBT3'!A:E,5,0))</f>
        <v>0</v>
      </c>
      <c r="K1878" s="7" t="str">
        <f t="shared" si="229"/>
        <v/>
      </c>
      <c r="L1878" s="20" t="e">
        <f>IF(Close[[#This Row],[CreatedBy]]="MARINER\SilverAdm",1,0)</f>
        <v>#VALUE!</v>
      </c>
      <c r="M1878" t="str">
        <f>IF(NOT(ISBLANK(A1878)),VLOOKUP(A1878,'Close - PriceSaver'!A:J,6,0),"")</f>
        <v/>
      </c>
    </row>
    <row r="1879" spans="2:13" x14ac:dyDescent="0.35">
      <c r="B1879" t="str">
        <f>IF(NOT(ISBLANK(A1879)),VLOOKUP(A1879,'BBT3'!A:F,2,0),"")</f>
        <v/>
      </c>
      <c r="C1879" t="str">
        <f>IF(NOT(ISBLANK(A1879)),VLOOKUP(A1879,'BBT3'!A:F,3,0),"")</f>
        <v/>
      </c>
      <c r="D1879" s="5" t="str">
        <f>IF(NOT(ISBLANK(A1879)),VLOOKUP(A1879,'BBT3'!A:F,4,1),"")</f>
        <v/>
      </c>
      <c r="E1879" t="str">
        <f>IF(NOT(ISBLANK(A1879)),VLOOKUP(A1879,'BBT3'!A:F,5,0),"")</f>
        <v/>
      </c>
      <c r="F1879" t="str">
        <f>IF(NOT(ISBLANK(A1879)),VLOOKUP(A1879,'BBT3'!A:F,6,0),"")</f>
        <v/>
      </c>
      <c r="G1879" t="str">
        <f t="shared" si="228"/>
        <v/>
      </c>
      <c r="H1879" t="str">
        <f>IF(NOT(ISBLANK(A1879)),VLOOKUP(A1879,'Close - PriceSaver'!A:J,5,0),"")</f>
        <v/>
      </c>
      <c r="I1879" s="4" t="str" cm="1">
        <f t="array" ref="I1879">IF(NOT(ISBLANK(A1879)),((_xlfn.XLOOKUP(1,(_bbt3[[#All],[ID]]=A1879)*(_bbt3[[#All],[METRIC_NAME]]="YLD_YTM_ASK"),_bbt3[[#All],[METRIC_VALUE]])*0.5)+(_xlfn.XLOOKUP(1,(_bbt3[[#All],[ID]]=A1879)*(_bbt3[[#All],[METRIC_NAME]]="YLD_YTM_BID"),_bbt3[[#All],[METRIC_VALUE]])*0.5))/100,"")</f>
        <v/>
      </c>
      <c r="J1879">
        <f>IF(ISNA(VLOOKUP(A1879,'CloseDL - PriceSaverBBT3'!A:E,5,0)),0,VLOOKUP(A1879,'CloseDL - PriceSaverBBT3'!A:E,5,0))</f>
        <v>0</v>
      </c>
      <c r="K1879" s="7" t="str">
        <f t="shared" si="229"/>
        <v/>
      </c>
      <c r="L1879" s="20" t="e">
        <f>IF(Close[[#This Row],[CreatedBy]]="MARINER\SilverAdm",1,0)</f>
        <v>#VALUE!</v>
      </c>
      <c r="M1879" t="str">
        <f>IF(NOT(ISBLANK(A1879)),VLOOKUP(A1879,'Close - PriceSaver'!A:J,6,0),"")</f>
        <v/>
      </c>
    </row>
    <row r="1880" spans="2:13" x14ac:dyDescent="0.35">
      <c r="B1880" t="str">
        <f>IF(NOT(ISBLANK(A1880)),VLOOKUP(A1880,'BBT3'!A:F,2,0),"")</f>
        <v/>
      </c>
      <c r="C1880" t="str">
        <f>IF(NOT(ISBLANK(A1880)),VLOOKUP(A1880,'BBT3'!A:F,3,0),"")</f>
        <v/>
      </c>
      <c r="D1880" s="5" t="str">
        <f>IF(NOT(ISBLANK(A1880)),VLOOKUP(A1880,'BBT3'!A:F,4,1),"")</f>
        <v/>
      </c>
      <c r="E1880" t="str">
        <f>IF(NOT(ISBLANK(A1880)),VLOOKUP(A1880,'BBT3'!A:F,5,0),"")</f>
        <v/>
      </c>
      <c r="F1880" t="str">
        <f>IF(NOT(ISBLANK(A1880)),VLOOKUP(A1880,'BBT3'!A:F,6,0),"")</f>
        <v/>
      </c>
      <c r="G1880" t="str">
        <f t="shared" si="228"/>
        <v/>
      </c>
      <c r="H1880" t="str">
        <f>IF(NOT(ISBLANK(A1880)),VLOOKUP(A1880,'Close - PriceSaver'!A:J,5,0),"")</f>
        <v/>
      </c>
      <c r="I1880" s="4" t="str" cm="1">
        <f t="array" ref="I1880">IF(NOT(ISBLANK(A1880)),((_xlfn.XLOOKUP(1,(_bbt3[[#All],[ID]]=A1880)*(_bbt3[[#All],[METRIC_NAME]]="YLD_YTM_ASK"),_bbt3[[#All],[METRIC_VALUE]])*0.5)+(_xlfn.XLOOKUP(1,(_bbt3[[#All],[ID]]=A1880)*(_bbt3[[#All],[METRIC_NAME]]="YLD_YTM_BID"),_bbt3[[#All],[METRIC_VALUE]])*0.5))/100,"")</f>
        <v/>
      </c>
      <c r="J1880">
        <f>IF(ISNA(VLOOKUP(A1880,'CloseDL - PriceSaverBBT3'!A:E,5,0)),0,VLOOKUP(A1880,'CloseDL - PriceSaverBBT3'!A:E,5,0))</f>
        <v>0</v>
      </c>
      <c r="K1880" s="7" t="str">
        <f t="shared" si="229"/>
        <v/>
      </c>
      <c r="L1880" s="20" t="e">
        <f>IF(Close[[#This Row],[CreatedBy]]="MARINER\SilverAdm",1,0)</f>
        <v>#VALUE!</v>
      </c>
      <c r="M1880" t="str">
        <f>IF(NOT(ISBLANK(A1880)),VLOOKUP(A1880,'Close - PriceSaver'!A:J,6,0),"")</f>
        <v/>
      </c>
    </row>
    <row r="1881" spans="2:13" x14ac:dyDescent="0.35">
      <c r="B1881" t="str">
        <f>IF(NOT(ISBLANK(A1881)),VLOOKUP(A1881,'BBT3'!A:F,2,0),"")</f>
        <v/>
      </c>
      <c r="C1881" t="str">
        <f>IF(NOT(ISBLANK(A1881)),VLOOKUP(A1881,'BBT3'!A:F,3,0),"")</f>
        <v/>
      </c>
      <c r="D1881" s="5" t="str">
        <f>IF(NOT(ISBLANK(A1881)),VLOOKUP(A1881,'BBT3'!A:F,4,1),"")</f>
        <v/>
      </c>
      <c r="E1881" t="str">
        <f>IF(NOT(ISBLANK(A1881)),VLOOKUP(A1881,'BBT3'!A:F,5,0),"")</f>
        <v/>
      </c>
      <c r="F1881" t="str">
        <f>IF(NOT(ISBLANK(A1881)),VLOOKUP(A1881,'BBT3'!A:F,6,0),"")</f>
        <v/>
      </c>
      <c r="G1881" t="str">
        <f t="shared" si="228"/>
        <v/>
      </c>
      <c r="H1881" t="str">
        <f>IF(NOT(ISBLANK(A1881)),VLOOKUP(A1881,'Close - PriceSaver'!A:J,5,0),"")</f>
        <v/>
      </c>
      <c r="I1881" s="4" t="str" cm="1">
        <f t="array" ref="I1881">IF(NOT(ISBLANK(A1881)),((_xlfn.XLOOKUP(1,(_bbt3[[#All],[ID]]=A1881)*(_bbt3[[#All],[METRIC_NAME]]="YLD_YTM_ASK"),_bbt3[[#All],[METRIC_VALUE]])*0.5)+(_xlfn.XLOOKUP(1,(_bbt3[[#All],[ID]]=A1881)*(_bbt3[[#All],[METRIC_NAME]]="YLD_YTM_BID"),_bbt3[[#All],[METRIC_VALUE]])*0.5))/100,"")</f>
        <v/>
      </c>
      <c r="J1881">
        <f>IF(ISNA(VLOOKUP(A1881,'CloseDL - PriceSaverBBT3'!A:E,5,0)),0,VLOOKUP(A1881,'CloseDL - PriceSaverBBT3'!A:E,5,0))</f>
        <v>0</v>
      </c>
      <c r="K1881" s="7" t="str">
        <f t="shared" si="229"/>
        <v/>
      </c>
      <c r="L1881" s="20" t="e">
        <f>IF(Close[[#This Row],[CreatedBy]]="MARINER\SilverAdm",1,0)</f>
        <v>#VALUE!</v>
      </c>
      <c r="M1881" t="str">
        <f>IF(NOT(ISBLANK(A1881)),VLOOKUP(A1881,'Close - PriceSaver'!A:J,6,0),"")</f>
        <v/>
      </c>
    </row>
    <row r="1882" spans="2:13" x14ac:dyDescent="0.35">
      <c r="B1882" t="str">
        <f>IF(NOT(ISBLANK(A1882)),VLOOKUP(A1882,'BBT3'!A:F,2,0),"")</f>
        <v/>
      </c>
      <c r="C1882" t="str">
        <f>IF(NOT(ISBLANK(A1882)),VLOOKUP(A1882,'BBT3'!A:F,3,0),"")</f>
        <v/>
      </c>
      <c r="D1882" s="5" t="str">
        <f>IF(NOT(ISBLANK(A1882)),VLOOKUP(A1882,'BBT3'!A:F,4,1),"")</f>
        <v/>
      </c>
      <c r="E1882" t="str">
        <f>IF(NOT(ISBLANK(A1882)),VLOOKUP(A1882,'BBT3'!A:F,5,0),"")</f>
        <v/>
      </c>
      <c r="F1882" t="str">
        <f>IF(NOT(ISBLANK(A1882)),VLOOKUP(A1882,'BBT3'!A:F,6,0),"")</f>
        <v/>
      </c>
      <c r="G1882" t="str">
        <f t="shared" si="228"/>
        <v/>
      </c>
      <c r="H1882" t="str">
        <f>IF(NOT(ISBLANK(A1882)),VLOOKUP(A1882,'Close - PriceSaver'!A:J,5,0),"")</f>
        <v/>
      </c>
      <c r="I1882" s="4" t="str" cm="1">
        <f t="array" ref="I1882">IF(NOT(ISBLANK(A1882)),((_xlfn.XLOOKUP(1,(_bbt3[[#All],[ID]]=A1882)*(_bbt3[[#All],[METRIC_NAME]]="YLD_YTM_ASK"),_bbt3[[#All],[METRIC_VALUE]])*0.5)+(_xlfn.XLOOKUP(1,(_bbt3[[#All],[ID]]=A1882)*(_bbt3[[#All],[METRIC_NAME]]="YLD_YTM_BID"),_bbt3[[#All],[METRIC_VALUE]])*0.5))/100,"")</f>
        <v/>
      </c>
      <c r="J1882">
        <f>IF(ISNA(VLOOKUP(A1882,'CloseDL - PriceSaverBBT3'!A:E,5,0)),0,VLOOKUP(A1882,'CloseDL - PriceSaverBBT3'!A:E,5,0))</f>
        <v>0</v>
      </c>
      <c r="K1882" s="7" t="str">
        <f t="shared" si="229"/>
        <v/>
      </c>
      <c r="L1882" s="20" t="e">
        <f>IF(Close[[#This Row],[CreatedBy]]="MARINER\SilverAdm",1,0)</f>
        <v>#VALUE!</v>
      </c>
      <c r="M1882" t="str">
        <f>IF(NOT(ISBLANK(A1882)),VLOOKUP(A1882,'Close - PriceSaver'!A:J,6,0),"")</f>
        <v/>
      </c>
    </row>
    <row r="1883" spans="2:13" x14ac:dyDescent="0.35">
      <c r="B1883" t="str">
        <f>IF(NOT(ISBLANK(A1883)),VLOOKUP(A1883,'BBT3'!A:F,2,0),"")</f>
        <v/>
      </c>
      <c r="C1883" t="str">
        <f>IF(NOT(ISBLANK(A1883)),VLOOKUP(A1883,'BBT3'!A:F,3,0),"")</f>
        <v/>
      </c>
      <c r="D1883" s="5" t="str">
        <f>IF(NOT(ISBLANK(A1883)),VLOOKUP(A1883,'BBT3'!A:F,4,1),"")</f>
        <v/>
      </c>
      <c r="E1883" t="str">
        <f>IF(NOT(ISBLANK(A1883)),VLOOKUP(A1883,'BBT3'!A:F,5,0),"")</f>
        <v/>
      </c>
      <c r="F1883" t="str">
        <f>IF(NOT(ISBLANK(A1883)),VLOOKUP(A1883,'BBT3'!A:F,6,0),"")</f>
        <v/>
      </c>
      <c r="G1883" t="str">
        <f t="shared" si="228"/>
        <v/>
      </c>
      <c r="H1883" t="str">
        <f>IF(NOT(ISBLANK(A1883)),VLOOKUP(A1883,'Close - PriceSaver'!A:J,5,0),"")</f>
        <v/>
      </c>
      <c r="I1883" s="4" t="str" cm="1">
        <f t="array" ref="I1883">IF(NOT(ISBLANK(A1883)),((_xlfn.XLOOKUP(1,(_bbt3[[#All],[ID]]=A1883)*(_bbt3[[#All],[METRIC_NAME]]="YLD_YTM_ASK"),_bbt3[[#All],[METRIC_VALUE]])*0.5)+(_xlfn.XLOOKUP(1,(_bbt3[[#All],[ID]]=A1883)*(_bbt3[[#All],[METRIC_NAME]]="YLD_YTM_BID"),_bbt3[[#All],[METRIC_VALUE]])*0.5))/100,"")</f>
        <v/>
      </c>
      <c r="J1883">
        <f>IF(ISNA(VLOOKUP(A1883,'CloseDL - PriceSaverBBT3'!A:E,5,0)),0,VLOOKUP(A1883,'CloseDL - PriceSaverBBT3'!A:E,5,0))</f>
        <v>0</v>
      </c>
      <c r="K1883" s="7" t="str">
        <f t="shared" si="229"/>
        <v/>
      </c>
      <c r="L1883" s="20" t="e">
        <f>IF(Close[[#This Row],[CreatedBy]]="MARINER\SilverAdm",1,0)</f>
        <v>#VALUE!</v>
      </c>
      <c r="M1883" t="str">
        <f>IF(NOT(ISBLANK(A1883)),VLOOKUP(A1883,'Close - PriceSaver'!A:J,6,0),"")</f>
        <v/>
      </c>
    </row>
    <row r="1884" spans="2:13" x14ac:dyDescent="0.35">
      <c r="B1884" t="str">
        <f>IF(NOT(ISBLANK(A1884)),VLOOKUP(A1884,'BBT3'!A:F,2,0),"")</f>
        <v/>
      </c>
      <c r="C1884" t="str">
        <f>IF(NOT(ISBLANK(A1884)),VLOOKUP(A1884,'BBT3'!A:F,3,0),"")</f>
        <v/>
      </c>
      <c r="D1884" s="5" t="str">
        <f>IF(NOT(ISBLANK(A1884)),VLOOKUP(A1884,'BBT3'!A:F,4,1),"")</f>
        <v/>
      </c>
      <c r="E1884" t="str">
        <f>IF(NOT(ISBLANK(A1884)),VLOOKUP(A1884,'BBT3'!A:F,5,0),"")</f>
        <v/>
      </c>
      <c r="F1884" t="str">
        <f>IF(NOT(ISBLANK(A1884)),VLOOKUP(A1884,'BBT3'!A:F,6,0),"")</f>
        <v/>
      </c>
      <c r="G1884" t="str">
        <f t="shared" si="228"/>
        <v/>
      </c>
      <c r="H1884" t="str">
        <f>IF(NOT(ISBLANK(A1884)),VLOOKUP(A1884,'Close - PriceSaver'!A:J,5,0),"")</f>
        <v/>
      </c>
      <c r="I1884" s="4" t="str" cm="1">
        <f t="array" ref="I1884">IF(NOT(ISBLANK(A1884)),((_xlfn.XLOOKUP(1,(_bbt3[[#All],[ID]]=A1884)*(_bbt3[[#All],[METRIC_NAME]]="YLD_YTM_ASK"),_bbt3[[#All],[METRIC_VALUE]])*0.5)+(_xlfn.XLOOKUP(1,(_bbt3[[#All],[ID]]=A1884)*(_bbt3[[#All],[METRIC_NAME]]="YLD_YTM_BID"),_bbt3[[#All],[METRIC_VALUE]])*0.5))/100,"")</f>
        <v/>
      </c>
      <c r="J1884">
        <f>IF(ISNA(VLOOKUP(A1884,'CloseDL - PriceSaverBBT3'!A:E,5,0)),0,VLOOKUP(A1884,'CloseDL - PriceSaverBBT3'!A:E,5,0))</f>
        <v>0</v>
      </c>
      <c r="K1884" s="7" t="str">
        <f t="shared" si="229"/>
        <v/>
      </c>
      <c r="L1884" s="20" t="e">
        <f>IF(Close[[#This Row],[CreatedBy]]="MARINER\SilverAdm",1,0)</f>
        <v>#VALUE!</v>
      </c>
      <c r="M1884" t="str">
        <f>IF(NOT(ISBLANK(A1884)),VLOOKUP(A1884,'Close - PriceSaver'!A:J,6,0),"")</f>
        <v/>
      </c>
    </row>
    <row r="1885" spans="2:13" x14ac:dyDescent="0.35">
      <c r="B1885" t="str">
        <f>IF(NOT(ISBLANK(A1885)),VLOOKUP(A1885,'BBT3'!A:F,2,0),"")</f>
        <v/>
      </c>
      <c r="C1885" t="str">
        <f>IF(NOT(ISBLANK(A1885)),VLOOKUP(A1885,'BBT3'!A:F,3,0),"")</f>
        <v/>
      </c>
      <c r="D1885" s="5" t="str">
        <f>IF(NOT(ISBLANK(A1885)),VLOOKUP(A1885,'BBT3'!A:F,4,1),"")</f>
        <v/>
      </c>
      <c r="E1885" t="str">
        <f>IF(NOT(ISBLANK(A1885)),VLOOKUP(A1885,'BBT3'!A:F,5,0),"")</f>
        <v/>
      </c>
      <c r="F1885" t="str">
        <f>IF(NOT(ISBLANK(A1885)),VLOOKUP(A1885,'BBT3'!A:F,6,0),"")</f>
        <v/>
      </c>
      <c r="G1885" t="str">
        <f t="shared" si="228"/>
        <v/>
      </c>
      <c r="H1885" t="str">
        <f>IF(NOT(ISBLANK(A1885)),VLOOKUP(A1885,'Close - PriceSaver'!A:J,5,0),"")</f>
        <v/>
      </c>
      <c r="I1885" s="4" t="str" cm="1">
        <f t="array" ref="I1885">IF(NOT(ISBLANK(A1885)),((_xlfn.XLOOKUP(1,(_bbt3[[#All],[ID]]=A1885)*(_bbt3[[#All],[METRIC_NAME]]="YLD_YTM_ASK"),_bbt3[[#All],[METRIC_VALUE]])*0.5)+(_xlfn.XLOOKUP(1,(_bbt3[[#All],[ID]]=A1885)*(_bbt3[[#All],[METRIC_NAME]]="YLD_YTM_BID"),_bbt3[[#All],[METRIC_VALUE]])*0.5))/100,"")</f>
        <v/>
      </c>
      <c r="J1885">
        <f>IF(ISNA(VLOOKUP(A1885,'CloseDL - PriceSaverBBT3'!A:E,5,0)),0,VLOOKUP(A1885,'CloseDL - PriceSaverBBT3'!A:E,5,0))</f>
        <v>0</v>
      </c>
      <c r="K1885" s="7" t="str">
        <f t="shared" si="229"/>
        <v/>
      </c>
      <c r="L1885" s="20" t="e">
        <f>IF(Close[[#This Row],[CreatedBy]]="MARINER\SilverAdm",1,0)</f>
        <v>#VALUE!</v>
      </c>
      <c r="M1885" t="str">
        <f>IF(NOT(ISBLANK(A1885)),VLOOKUP(A1885,'Close - PriceSaver'!A:J,6,0),"")</f>
        <v/>
      </c>
    </row>
    <row r="1886" spans="2:13" x14ac:dyDescent="0.35">
      <c r="B1886" t="str">
        <f>IF(NOT(ISBLANK(A1886)),VLOOKUP(A1886,'BBT3'!A:F,2,0),"")</f>
        <v/>
      </c>
      <c r="C1886" t="str">
        <f>IF(NOT(ISBLANK(A1886)),VLOOKUP(A1886,'BBT3'!A:F,3,0),"")</f>
        <v/>
      </c>
      <c r="D1886" s="5" t="str">
        <f>IF(NOT(ISBLANK(A1886)),VLOOKUP(A1886,'BBT3'!A:F,4,1),"")</f>
        <v/>
      </c>
      <c r="E1886" t="str">
        <f>IF(NOT(ISBLANK(A1886)),VLOOKUP(A1886,'BBT3'!A:F,5,0),"")</f>
        <v/>
      </c>
      <c r="F1886" t="str">
        <f>IF(NOT(ISBLANK(A1886)),VLOOKUP(A1886,'BBT3'!A:F,6,0),"")</f>
        <v/>
      </c>
      <c r="G1886" t="str">
        <f t="shared" si="228"/>
        <v/>
      </c>
      <c r="H1886" t="str">
        <f>IF(NOT(ISBLANK(A1886)),VLOOKUP(A1886,'Close - PriceSaver'!A:J,5,0),"")</f>
        <v/>
      </c>
      <c r="I1886" s="4" t="str" cm="1">
        <f t="array" ref="I1886">IF(NOT(ISBLANK(A1886)),((_xlfn.XLOOKUP(1,(_bbt3[[#All],[ID]]=A1886)*(_bbt3[[#All],[METRIC_NAME]]="YLD_YTM_ASK"),_bbt3[[#All],[METRIC_VALUE]])*0.5)+(_xlfn.XLOOKUP(1,(_bbt3[[#All],[ID]]=A1886)*(_bbt3[[#All],[METRIC_NAME]]="YLD_YTM_BID"),_bbt3[[#All],[METRIC_VALUE]])*0.5))/100,"")</f>
        <v/>
      </c>
      <c r="J1886">
        <f>IF(ISNA(VLOOKUP(A1886,'CloseDL - PriceSaverBBT3'!A:E,5,0)),0,VLOOKUP(A1886,'CloseDL - PriceSaverBBT3'!A:E,5,0))</f>
        <v>0</v>
      </c>
      <c r="K1886" s="7" t="str">
        <f t="shared" si="229"/>
        <v/>
      </c>
      <c r="L1886" s="20" t="e">
        <f>IF(Close[[#This Row],[CreatedBy]]="MARINER\SilverAdm",1,0)</f>
        <v>#VALUE!</v>
      </c>
      <c r="M1886" t="str">
        <f>IF(NOT(ISBLANK(A1886)),VLOOKUP(A1886,'Close - PriceSaver'!A:J,6,0),"")</f>
        <v/>
      </c>
    </row>
    <row r="1887" spans="2:13" x14ac:dyDescent="0.35">
      <c r="B1887" t="str">
        <f>IF(NOT(ISBLANK(A1887)),VLOOKUP(A1887,'BBT3'!A:F,2,0),"")</f>
        <v/>
      </c>
      <c r="C1887" t="str">
        <f>IF(NOT(ISBLANK(A1887)),VLOOKUP(A1887,'BBT3'!A:F,3,0),"")</f>
        <v/>
      </c>
      <c r="D1887" s="5" t="str">
        <f>IF(NOT(ISBLANK(A1887)),VLOOKUP(A1887,'BBT3'!A:F,4,1),"")</f>
        <v/>
      </c>
      <c r="E1887" t="str">
        <f>IF(NOT(ISBLANK(A1887)),VLOOKUP(A1887,'BBT3'!A:F,5,0),"")</f>
        <v/>
      </c>
      <c r="F1887" t="str">
        <f>IF(NOT(ISBLANK(A1887)),VLOOKUP(A1887,'BBT3'!A:F,6,0),"")</f>
        <v/>
      </c>
      <c r="G1887" t="str">
        <f t="shared" si="228"/>
        <v/>
      </c>
      <c r="H1887" t="str">
        <f>IF(NOT(ISBLANK(A1887)),VLOOKUP(A1887,'Close - PriceSaver'!A:J,5,0),"")</f>
        <v/>
      </c>
      <c r="I1887" s="4" t="str" cm="1">
        <f t="array" ref="I1887">IF(NOT(ISBLANK(A1887)),((_xlfn.XLOOKUP(1,(_bbt3[[#All],[ID]]=A1887)*(_bbt3[[#All],[METRIC_NAME]]="YLD_YTM_ASK"),_bbt3[[#All],[METRIC_VALUE]])*0.5)+(_xlfn.XLOOKUP(1,(_bbt3[[#All],[ID]]=A1887)*(_bbt3[[#All],[METRIC_NAME]]="YLD_YTM_BID"),_bbt3[[#All],[METRIC_VALUE]])*0.5))/100,"")</f>
        <v/>
      </c>
      <c r="J1887">
        <f>IF(ISNA(VLOOKUP(A1887,'CloseDL - PriceSaverBBT3'!A:E,5,0)),0,VLOOKUP(A1887,'CloseDL - PriceSaverBBT3'!A:E,5,0))</f>
        <v>0</v>
      </c>
      <c r="K1887" s="7" t="str">
        <f t="shared" si="229"/>
        <v/>
      </c>
      <c r="L1887" s="20" t="e">
        <f>IF(Close[[#This Row],[CreatedBy]]="MARINER\SilverAdm",1,0)</f>
        <v>#VALUE!</v>
      </c>
      <c r="M1887" t="str">
        <f>IF(NOT(ISBLANK(A1887)),VLOOKUP(A1887,'Close - PriceSaver'!A:J,6,0),"")</f>
        <v/>
      </c>
    </row>
    <row r="1888" spans="2:13" x14ac:dyDescent="0.35">
      <c r="B1888" t="str">
        <f>IF(NOT(ISBLANK(A1888)),VLOOKUP(A1888,'BBT3'!A:F,2,0),"")</f>
        <v/>
      </c>
      <c r="C1888" t="str">
        <f>IF(NOT(ISBLANK(A1888)),VLOOKUP(A1888,'BBT3'!A:F,3,0),"")</f>
        <v/>
      </c>
      <c r="D1888" s="5" t="str">
        <f>IF(NOT(ISBLANK(A1888)),VLOOKUP(A1888,'BBT3'!A:F,4,1),"")</f>
        <v/>
      </c>
      <c r="E1888" t="str">
        <f>IF(NOT(ISBLANK(A1888)),VLOOKUP(A1888,'BBT3'!A:F,5,0),"")</f>
        <v/>
      </c>
      <c r="F1888" t="str">
        <f>IF(NOT(ISBLANK(A1888)),VLOOKUP(A1888,'BBT3'!A:F,6,0),"")</f>
        <v/>
      </c>
      <c r="G1888" t="str">
        <f t="shared" si="228"/>
        <v/>
      </c>
      <c r="H1888" t="str">
        <f>IF(NOT(ISBLANK(A1888)),VLOOKUP(A1888,'Close - PriceSaver'!A:J,5,0),"")</f>
        <v/>
      </c>
      <c r="I1888" s="4" t="str" cm="1">
        <f t="array" ref="I1888">IF(NOT(ISBLANK(A1888)),((_xlfn.XLOOKUP(1,(_bbt3[[#All],[ID]]=A1888)*(_bbt3[[#All],[METRIC_NAME]]="YLD_YTM_ASK"),_bbt3[[#All],[METRIC_VALUE]])*0.5)+(_xlfn.XLOOKUP(1,(_bbt3[[#All],[ID]]=A1888)*(_bbt3[[#All],[METRIC_NAME]]="YLD_YTM_BID"),_bbt3[[#All],[METRIC_VALUE]])*0.5))/100,"")</f>
        <v/>
      </c>
      <c r="J1888">
        <f>IF(ISNA(VLOOKUP(A1888,'CloseDL - PriceSaverBBT3'!A:E,5,0)),0,VLOOKUP(A1888,'CloseDL - PriceSaverBBT3'!A:E,5,0))</f>
        <v>0</v>
      </c>
      <c r="K1888" s="7" t="str">
        <f t="shared" si="229"/>
        <v/>
      </c>
      <c r="L1888" s="20" t="e">
        <f>IF(Close[[#This Row],[CreatedBy]]="MARINER\SilverAdm",1,0)</f>
        <v>#VALUE!</v>
      </c>
      <c r="M1888" t="str">
        <f>IF(NOT(ISBLANK(A1888)),VLOOKUP(A1888,'Close - PriceSaver'!A:J,6,0),"")</f>
        <v/>
      </c>
    </row>
    <row r="1889" spans="2:13" x14ac:dyDescent="0.35">
      <c r="B1889" t="str">
        <f>IF(NOT(ISBLANK(A1889)),VLOOKUP(A1889,'BBT3'!A:F,2,0),"")</f>
        <v/>
      </c>
      <c r="C1889" t="str">
        <f>IF(NOT(ISBLANK(A1889)),VLOOKUP(A1889,'BBT3'!A:F,3,0),"")</f>
        <v/>
      </c>
      <c r="D1889" s="5" t="str">
        <f>IF(NOT(ISBLANK(A1889)),VLOOKUP(A1889,'BBT3'!A:F,4,1),"")</f>
        <v/>
      </c>
      <c r="E1889" t="str">
        <f>IF(NOT(ISBLANK(A1889)),VLOOKUP(A1889,'BBT3'!A:F,5,0),"")</f>
        <v/>
      </c>
      <c r="F1889" t="str">
        <f>IF(NOT(ISBLANK(A1889)),VLOOKUP(A1889,'BBT3'!A:F,6,0),"")</f>
        <v/>
      </c>
      <c r="G1889" t="str">
        <f t="shared" si="228"/>
        <v/>
      </c>
      <c r="H1889" t="str">
        <f>IF(NOT(ISBLANK(A1889)),VLOOKUP(A1889,'Close - PriceSaver'!A:J,5,0),"")</f>
        <v/>
      </c>
      <c r="I1889" s="4" t="str" cm="1">
        <f t="array" ref="I1889">IF(NOT(ISBLANK(A1889)),((_xlfn.XLOOKUP(1,(_bbt3[[#All],[ID]]=A1889)*(_bbt3[[#All],[METRIC_NAME]]="YLD_YTM_ASK"),_bbt3[[#All],[METRIC_VALUE]])*0.5)+(_xlfn.XLOOKUP(1,(_bbt3[[#All],[ID]]=A1889)*(_bbt3[[#All],[METRIC_NAME]]="YLD_YTM_BID"),_bbt3[[#All],[METRIC_VALUE]])*0.5))/100,"")</f>
        <v/>
      </c>
      <c r="J1889">
        <f>IF(ISNA(VLOOKUP(A1889,'CloseDL - PriceSaverBBT3'!A:E,5,0)),0,VLOOKUP(A1889,'CloseDL - PriceSaverBBT3'!A:E,5,0))</f>
        <v>0</v>
      </c>
      <c r="K1889" s="7" t="str">
        <f t="shared" si="229"/>
        <v/>
      </c>
      <c r="L1889" s="20" t="e">
        <f>IF(Close[[#This Row],[CreatedBy]]="MARINER\SilverAdm",1,0)</f>
        <v>#VALUE!</v>
      </c>
      <c r="M1889" t="str">
        <f>IF(NOT(ISBLANK(A1889)),VLOOKUP(A1889,'Close - PriceSaver'!A:J,6,0),"")</f>
        <v/>
      </c>
    </row>
    <row r="1890" spans="2:13" x14ac:dyDescent="0.35">
      <c r="B1890" t="str">
        <f>IF(NOT(ISBLANK(A1890)),VLOOKUP(A1890,'BBT3'!A:F,2,0),"")</f>
        <v/>
      </c>
      <c r="C1890" t="str">
        <f>IF(NOT(ISBLANK(A1890)),VLOOKUP(A1890,'BBT3'!A:F,3,0),"")</f>
        <v/>
      </c>
      <c r="D1890" s="5" t="str">
        <f>IF(NOT(ISBLANK(A1890)),VLOOKUP(A1890,'BBT3'!A:F,4,1),"")</f>
        <v/>
      </c>
      <c r="E1890" t="str">
        <f>IF(NOT(ISBLANK(A1890)),VLOOKUP(A1890,'BBT3'!A:F,5,0),"")</f>
        <v/>
      </c>
      <c r="F1890" t="str">
        <f>IF(NOT(ISBLANK(A1890)),VLOOKUP(A1890,'BBT3'!A:F,6,0),"")</f>
        <v/>
      </c>
      <c r="G1890" t="str">
        <f t="shared" si="228"/>
        <v/>
      </c>
      <c r="H1890" t="str">
        <f>IF(NOT(ISBLANK(A1890)),VLOOKUP(A1890,'Close - PriceSaver'!A:J,5,0),"")</f>
        <v/>
      </c>
      <c r="I1890" s="4" t="str" cm="1">
        <f t="array" ref="I1890">IF(NOT(ISBLANK(A1890)),((_xlfn.XLOOKUP(1,(_bbt3[[#All],[ID]]=A1890)*(_bbt3[[#All],[METRIC_NAME]]="YLD_YTM_ASK"),_bbt3[[#All],[METRIC_VALUE]])*0.5)+(_xlfn.XLOOKUP(1,(_bbt3[[#All],[ID]]=A1890)*(_bbt3[[#All],[METRIC_NAME]]="YLD_YTM_BID"),_bbt3[[#All],[METRIC_VALUE]])*0.5))/100,"")</f>
        <v/>
      </c>
      <c r="J1890">
        <f>IF(ISNA(VLOOKUP(A1890,'CloseDL - PriceSaverBBT3'!A:E,5,0)),0,VLOOKUP(A1890,'CloseDL - PriceSaverBBT3'!A:E,5,0))</f>
        <v>0</v>
      </c>
      <c r="K1890" s="7" t="str">
        <f t="shared" si="229"/>
        <v/>
      </c>
      <c r="L1890" s="20" t="e">
        <f>IF(Close[[#This Row],[CreatedBy]]="MARINER\SilverAdm",1,0)</f>
        <v>#VALUE!</v>
      </c>
      <c r="M1890" t="str">
        <f>IF(NOT(ISBLANK(A1890)),VLOOKUP(A1890,'Close - PriceSaver'!A:J,6,0),"")</f>
        <v/>
      </c>
    </row>
    <row r="1891" spans="2:13" x14ac:dyDescent="0.35">
      <c r="B1891" t="str">
        <f>IF(NOT(ISBLANK(A1891)),VLOOKUP(A1891,'BBT3'!A:F,2,0),"")</f>
        <v/>
      </c>
      <c r="C1891" t="str">
        <f>IF(NOT(ISBLANK(A1891)),VLOOKUP(A1891,'BBT3'!A:F,3,0),"")</f>
        <v/>
      </c>
      <c r="D1891" s="5" t="str">
        <f>IF(NOT(ISBLANK(A1891)),VLOOKUP(A1891,'BBT3'!A:F,4,1),"")</f>
        <v/>
      </c>
      <c r="E1891" t="str">
        <f>IF(NOT(ISBLANK(A1891)),VLOOKUP(A1891,'BBT3'!A:F,5,0),"")</f>
        <v/>
      </c>
      <c r="F1891" t="str">
        <f>IF(NOT(ISBLANK(A1891)),VLOOKUP(A1891,'BBT3'!A:F,6,0),"")</f>
        <v/>
      </c>
      <c r="G1891" t="str">
        <f t="shared" si="228"/>
        <v/>
      </c>
      <c r="H1891" t="str">
        <f>IF(NOT(ISBLANK(A1891)),VLOOKUP(A1891,'Close - PriceSaver'!A:J,5,0),"")</f>
        <v/>
      </c>
      <c r="I1891" s="4" t="str" cm="1">
        <f t="array" ref="I1891">IF(NOT(ISBLANK(A1891)),((_xlfn.XLOOKUP(1,(_bbt3[[#All],[ID]]=A1891)*(_bbt3[[#All],[METRIC_NAME]]="YLD_YTM_ASK"),_bbt3[[#All],[METRIC_VALUE]])*0.5)+(_xlfn.XLOOKUP(1,(_bbt3[[#All],[ID]]=A1891)*(_bbt3[[#All],[METRIC_NAME]]="YLD_YTM_BID"),_bbt3[[#All],[METRIC_VALUE]])*0.5))/100,"")</f>
        <v/>
      </c>
      <c r="J1891">
        <f>IF(ISNA(VLOOKUP(A1891,'CloseDL - PriceSaverBBT3'!A:E,5,0)),0,VLOOKUP(A1891,'CloseDL - PriceSaverBBT3'!A:E,5,0))</f>
        <v>0</v>
      </c>
      <c r="K1891" s="7" t="str">
        <f t="shared" si="229"/>
        <v/>
      </c>
      <c r="L1891" s="20" t="e">
        <f>IF(Close[[#This Row],[CreatedBy]]="MARINER\SilverAdm",1,0)</f>
        <v>#VALUE!</v>
      </c>
      <c r="M1891" t="str">
        <f>IF(NOT(ISBLANK(A1891)),VLOOKUP(A1891,'Close - PriceSaver'!A:J,6,0),"")</f>
        <v/>
      </c>
    </row>
    <row r="1892" spans="2:13" x14ac:dyDescent="0.35">
      <c r="B1892" t="str">
        <f>IF(NOT(ISBLANK(A1892)),VLOOKUP(A1892,'BBT3'!A:F,2,0),"")</f>
        <v/>
      </c>
      <c r="C1892" t="str">
        <f>IF(NOT(ISBLANK(A1892)),VLOOKUP(A1892,'BBT3'!A:F,3,0),"")</f>
        <v/>
      </c>
      <c r="D1892" s="5" t="str">
        <f>IF(NOT(ISBLANK(A1892)),VLOOKUP(A1892,'BBT3'!A:F,4,1),"")</f>
        <v/>
      </c>
      <c r="E1892" t="str">
        <f>IF(NOT(ISBLANK(A1892)),VLOOKUP(A1892,'BBT3'!A:F,5,0),"")</f>
        <v/>
      </c>
      <c r="F1892" t="str">
        <f>IF(NOT(ISBLANK(A1892)),VLOOKUP(A1892,'BBT3'!A:F,6,0),"")</f>
        <v/>
      </c>
      <c r="G1892" t="str">
        <f t="shared" si="228"/>
        <v/>
      </c>
      <c r="H1892" t="str">
        <f>IF(NOT(ISBLANK(A1892)),VLOOKUP(A1892,'Close - PriceSaver'!A:J,5,0),"")</f>
        <v/>
      </c>
      <c r="I1892" s="4" t="str" cm="1">
        <f t="array" ref="I1892">IF(NOT(ISBLANK(A1892)),((_xlfn.XLOOKUP(1,(_bbt3[[#All],[ID]]=A1892)*(_bbt3[[#All],[METRIC_NAME]]="YLD_YTM_ASK"),_bbt3[[#All],[METRIC_VALUE]])*0.5)+(_xlfn.XLOOKUP(1,(_bbt3[[#All],[ID]]=A1892)*(_bbt3[[#All],[METRIC_NAME]]="YLD_YTM_BID"),_bbt3[[#All],[METRIC_VALUE]])*0.5))/100,"")</f>
        <v/>
      </c>
      <c r="J1892">
        <f>IF(ISNA(VLOOKUP(A1892,'CloseDL - PriceSaverBBT3'!A:E,5,0)),0,VLOOKUP(A1892,'CloseDL - PriceSaverBBT3'!A:E,5,0))</f>
        <v>0</v>
      </c>
      <c r="K1892" s="7" t="str">
        <f t="shared" si="229"/>
        <v/>
      </c>
      <c r="L1892" s="20" t="e">
        <f>IF(Close[[#This Row],[CreatedBy]]="MARINER\SilverAdm",1,0)</f>
        <v>#VALUE!</v>
      </c>
      <c r="M1892" t="str">
        <f>IF(NOT(ISBLANK(A1892)),VLOOKUP(A1892,'Close - PriceSaver'!A:J,6,0),"")</f>
        <v/>
      </c>
    </row>
    <row r="1893" spans="2:13" x14ac:dyDescent="0.35">
      <c r="B1893" t="str">
        <f>IF(NOT(ISBLANK(A1893)),VLOOKUP(A1893,'BBT3'!A:F,2,0),"")</f>
        <v/>
      </c>
      <c r="C1893" t="str">
        <f>IF(NOT(ISBLANK(A1893)),VLOOKUP(A1893,'BBT3'!A:F,3,0),"")</f>
        <v/>
      </c>
      <c r="D1893" s="5" t="str">
        <f>IF(NOT(ISBLANK(A1893)),VLOOKUP(A1893,'BBT3'!A:F,4,1),"")</f>
        <v/>
      </c>
      <c r="E1893" t="str">
        <f>IF(NOT(ISBLANK(A1893)),VLOOKUP(A1893,'BBT3'!A:F,5,0),"")</f>
        <v/>
      </c>
      <c r="F1893" t="str">
        <f>IF(NOT(ISBLANK(A1893)),VLOOKUP(A1893,'BBT3'!A:F,6,0),"")</f>
        <v/>
      </c>
      <c r="G1893" t="str">
        <f t="shared" si="228"/>
        <v/>
      </c>
      <c r="H1893" t="str">
        <f>IF(NOT(ISBLANK(A1893)),VLOOKUP(A1893,'Close - PriceSaver'!A:J,5,0),"")</f>
        <v/>
      </c>
      <c r="I1893" s="4" t="str" cm="1">
        <f t="array" ref="I1893">IF(NOT(ISBLANK(A1893)),((_xlfn.XLOOKUP(1,(_bbt3[[#All],[ID]]=A1893)*(_bbt3[[#All],[METRIC_NAME]]="YLD_YTM_ASK"),_bbt3[[#All],[METRIC_VALUE]])*0.5)+(_xlfn.XLOOKUP(1,(_bbt3[[#All],[ID]]=A1893)*(_bbt3[[#All],[METRIC_NAME]]="YLD_YTM_BID"),_bbt3[[#All],[METRIC_VALUE]])*0.5))/100,"")</f>
        <v/>
      </c>
      <c r="J1893">
        <f>IF(ISNA(VLOOKUP(A1893,'CloseDL - PriceSaverBBT3'!A:E,5,0)),0,VLOOKUP(A1893,'CloseDL - PriceSaverBBT3'!A:E,5,0))</f>
        <v>0</v>
      </c>
      <c r="K1893" s="7" t="str">
        <f t="shared" si="229"/>
        <v/>
      </c>
      <c r="L1893" s="20" t="e">
        <f>IF(Close[[#This Row],[CreatedBy]]="MARINER\SilverAdm",1,0)</f>
        <v>#VALUE!</v>
      </c>
      <c r="M1893" t="str">
        <f>IF(NOT(ISBLANK(A1893)),VLOOKUP(A1893,'Close - PriceSaver'!A:J,6,0),"")</f>
        <v/>
      </c>
    </row>
    <row r="1894" spans="2:13" x14ac:dyDescent="0.35">
      <c r="B1894" t="str">
        <f>IF(NOT(ISBLANK(A1894)),VLOOKUP(A1894,'BBT3'!A:F,2,0),"")</f>
        <v/>
      </c>
      <c r="C1894" t="str">
        <f>IF(NOT(ISBLANK(A1894)),VLOOKUP(A1894,'BBT3'!A:F,3,0),"")</f>
        <v/>
      </c>
      <c r="D1894" s="5" t="str">
        <f>IF(NOT(ISBLANK(A1894)),VLOOKUP(A1894,'BBT3'!A:F,4,1),"")</f>
        <v/>
      </c>
      <c r="E1894" t="str">
        <f>IF(NOT(ISBLANK(A1894)),VLOOKUP(A1894,'BBT3'!A:F,5,0),"")</f>
        <v/>
      </c>
      <c r="F1894" t="str">
        <f>IF(NOT(ISBLANK(A1894)),VLOOKUP(A1894,'BBT3'!A:F,6,0),"")</f>
        <v/>
      </c>
      <c r="G1894" t="str">
        <f t="shared" si="228"/>
        <v/>
      </c>
      <c r="H1894" t="str">
        <f>IF(NOT(ISBLANK(A1894)),VLOOKUP(A1894,'Close - PriceSaver'!A:J,5,0),"")</f>
        <v/>
      </c>
      <c r="I1894" s="4" t="str" cm="1">
        <f t="array" ref="I1894">IF(NOT(ISBLANK(A1894)),((_xlfn.XLOOKUP(1,(_bbt3[[#All],[ID]]=A1894)*(_bbt3[[#All],[METRIC_NAME]]="YLD_YTM_ASK"),_bbt3[[#All],[METRIC_VALUE]])*0.5)+(_xlfn.XLOOKUP(1,(_bbt3[[#All],[ID]]=A1894)*(_bbt3[[#All],[METRIC_NAME]]="YLD_YTM_BID"),_bbt3[[#All],[METRIC_VALUE]])*0.5))/100,"")</f>
        <v/>
      </c>
      <c r="J1894">
        <f>IF(ISNA(VLOOKUP(A1894,'CloseDL - PriceSaverBBT3'!A:E,5,0)),0,VLOOKUP(A1894,'CloseDL - PriceSaverBBT3'!A:E,5,0))</f>
        <v>0</v>
      </c>
      <c r="K1894" s="7" t="str">
        <f t="shared" si="229"/>
        <v/>
      </c>
      <c r="L1894" s="20" t="e">
        <f>IF(Close[[#This Row],[CreatedBy]]="MARINER\SilverAdm",1,0)</f>
        <v>#VALUE!</v>
      </c>
      <c r="M1894" t="str">
        <f>IF(NOT(ISBLANK(A1894)),VLOOKUP(A1894,'Close - PriceSaver'!A:J,6,0),"")</f>
        <v/>
      </c>
    </row>
    <row r="1895" spans="2:13" x14ac:dyDescent="0.35">
      <c r="B1895" t="str">
        <f>IF(NOT(ISBLANK(A1895)),VLOOKUP(A1895,'BBT3'!A:F,2,0),"")</f>
        <v/>
      </c>
      <c r="C1895" t="str">
        <f>IF(NOT(ISBLANK(A1895)),VLOOKUP(A1895,'BBT3'!A:F,3,0),"")</f>
        <v/>
      </c>
      <c r="D1895" s="5" t="str">
        <f>IF(NOT(ISBLANK(A1895)),VLOOKUP(A1895,'BBT3'!A:F,4,1),"")</f>
        <v/>
      </c>
      <c r="E1895" t="str">
        <f>IF(NOT(ISBLANK(A1895)),VLOOKUP(A1895,'BBT3'!A:F,5,0),"")</f>
        <v/>
      </c>
      <c r="F1895" t="str">
        <f>IF(NOT(ISBLANK(A1895)),VLOOKUP(A1895,'BBT3'!A:F,6,0),"")</f>
        <v/>
      </c>
      <c r="G1895" t="str">
        <f t="shared" si="228"/>
        <v/>
      </c>
      <c r="H1895" t="str">
        <f>IF(NOT(ISBLANK(A1895)),VLOOKUP(A1895,'Close - PriceSaver'!A:J,5,0),"")</f>
        <v/>
      </c>
      <c r="I1895" s="4" t="str" cm="1">
        <f t="array" ref="I1895">IF(NOT(ISBLANK(A1895)),((_xlfn.XLOOKUP(1,(_bbt3[[#All],[ID]]=A1895)*(_bbt3[[#All],[METRIC_NAME]]="YLD_YTM_ASK"),_bbt3[[#All],[METRIC_VALUE]])*0.5)+(_xlfn.XLOOKUP(1,(_bbt3[[#All],[ID]]=A1895)*(_bbt3[[#All],[METRIC_NAME]]="YLD_YTM_BID"),_bbt3[[#All],[METRIC_VALUE]])*0.5))/100,"")</f>
        <v/>
      </c>
      <c r="J1895">
        <f>IF(ISNA(VLOOKUP(A1895,'CloseDL - PriceSaverBBT3'!A:E,5,0)),0,VLOOKUP(A1895,'CloseDL - PriceSaverBBT3'!A:E,5,0))</f>
        <v>0</v>
      </c>
      <c r="K1895" s="7" t="str">
        <f t="shared" si="229"/>
        <v/>
      </c>
      <c r="L1895" s="20" t="e">
        <f>IF(Close[[#This Row],[CreatedBy]]="MARINER\SilverAdm",1,0)</f>
        <v>#VALUE!</v>
      </c>
      <c r="M1895" t="str">
        <f>IF(NOT(ISBLANK(A1895)),VLOOKUP(A1895,'Close - PriceSaver'!A:J,6,0),"")</f>
        <v/>
      </c>
    </row>
    <row r="1896" spans="2:13" x14ac:dyDescent="0.35">
      <c r="B1896" t="str">
        <f>IF(NOT(ISBLANK(A1896)),VLOOKUP(A1896,'BBT3'!A:F,2,0),"")</f>
        <v/>
      </c>
      <c r="C1896" t="str">
        <f>IF(NOT(ISBLANK(A1896)),VLOOKUP(A1896,'BBT3'!A:F,3,0),"")</f>
        <v/>
      </c>
      <c r="D1896" s="5" t="str">
        <f>IF(NOT(ISBLANK(A1896)),VLOOKUP(A1896,'BBT3'!A:F,4,1),"")</f>
        <v/>
      </c>
      <c r="E1896" t="str">
        <f>IF(NOT(ISBLANK(A1896)),VLOOKUP(A1896,'BBT3'!A:F,5,0),"")</f>
        <v/>
      </c>
      <c r="F1896" t="str">
        <f>IF(NOT(ISBLANK(A1896)),VLOOKUP(A1896,'BBT3'!A:F,6,0),"")</f>
        <v/>
      </c>
      <c r="G1896" t="str">
        <f t="shared" si="228"/>
        <v/>
      </c>
      <c r="H1896" t="str">
        <f>IF(NOT(ISBLANK(A1896)),VLOOKUP(A1896,'Close - PriceSaver'!A:J,5,0),"")</f>
        <v/>
      </c>
      <c r="I1896" s="4" t="str" cm="1">
        <f t="array" ref="I1896">IF(NOT(ISBLANK(A1896)),((_xlfn.XLOOKUP(1,(_bbt3[[#All],[ID]]=A1896)*(_bbt3[[#All],[METRIC_NAME]]="YLD_YTM_ASK"),_bbt3[[#All],[METRIC_VALUE]])*0.5)+(_xlfn.XLOOKUP(1,(_bbt3[[#All],[ID]]=A1896)*(_bbt3[[#All],[METRIC_NAME]]="YLD_YTM_BID"),_bbt3[[#All],[METRIC_VALUE]])*0.5))/100,"")</f>
        <v/>
      </c>
      <c r="J1896">
        <f>IF(ISNA(VLOOKUP(A1896,'CloseDL - PriceSaverBBT3'!A:E,5,0)),0,VLOOKUP(A1896,'CloseDL - PriceSaverBBT3'!A:E,5,0))</f>
        <v>0</v>
      </c>
      <c r="K1896" s="7" t="str">
        <f t="shared" si="229"/>
        <v/>
      </c>
      <c r="L1896" s="20" t="e">
        <f>IF(Close[[#This Row],[CreatedBy]]="MARINER\SilverAdm",1,0)</f>
        <v>#VALUE!</v>
      </c>
      <c r="M1896" t="str">
        <f>IF(NOT(ISBLANK(A1896)),VLOOKUP(A1896,'Close - PriceSaver'!A:J,6,0),"")</f>
        <v/>
      </c>
    </row>
    <row r="1897" spans="2:13" x14ac:dyDescent="0.35">
      <c r="B1897" t="str">
        <f>IF(NOT(ISBLANK(A1897)),VLOOKUP(A1897,'BBT3'!A:F,2,0),"")</f>
        <v/>
      </c>
      <c r="C1897" t="str">
        <f>IF(NOT(ISBLANK(A1897)),VLOOKUP(A1897,'BBT3'!A:F,3,0),"")</f>
        <v/>
      </c>
      <c r="D1897" s="5" t="str">
        <f>IF(NOT(ISBLANK(A1897)),VLOOKUP(A1897,'BBT3'!A:F,4,1),"")</f>
        <v/>
      </c>
      <c r="E1897" t="str">
        <f>IF(NOT(ISBLANK(A1897)),VLOOKUP(A1897,'BBT3'!A:F,5,0),"")</f>
        <v/>
      </c>
      <c r="F1897" t="str">
        <f>IF(NOT(ISBLANK(A1897)),VLOOKUP(A1897,'BBT3'!A:F,6,0),"")</f>
        <v/>
      </c>
      <c r="G1897" t="str">
        <f t="shared" si="228"/>
        <v/>
      </c>
      <c r="H1897" t="str">
        <f>IF(NOT(ISBLANK(A1897)),VLOOKUP(A1897,'Close - PriceSaver'!A:J,5,0),"")</f>
        <v/>
      </c>
      <c r="I1897" s="4" t="str" cm="1">
        <f t="array" ref="I1897">IF(NOT(ISBLANK(A1897)),((_xlfn.XLOOKUP(1,(_bbt3[[#All],[ID]]=A1897)*(_bbt3[[#All],[METRIC_NAME]]="YLD_YTM_ASK"),_bbt3[[#All],[METRIC_VALUE]])*0.5)+(_xlfn.XLOOKUP(1,(_bbt3[[#All],[ID]]=A1897)*(_bbt3[[#All],[METRIC_NAME]]="YLD_YTM_BID"),_bbt3[[#All],[METRIC_VALUE]])*0.5))/100,"")</f>
        <v/>
      </c>
      <c r="J1897">
        <f>IF(ISNA(VLOOKUP(A1897,'CloseDL - PriceSaverBBT3'!A:E,5,0)),0,VLOOKUP(A1897,'CloseDL - PriceSaverBBT3'!A:E,5,0))</f>
        <v>0</v>
      </c>
      <c r="K1897" s="7" t="str">
        <f t="shared" si="229"/>
        <v/>
      </c>
      <c r="L1897" s="20" t="e">
        <f>IF(Close[[#This Row],[CreatedBy]]="MARINER\SilverAdm",1,0)</f>
        <v>#VALUE!</v>
      </c>
      <c r="M1897" t="str">
        <f>IF(NOT(ISBLANK(A1897)),VLOOKUP(A1897,'Close - PriceSaver'!A:J,6,0),"")</f>
        <v/>
      </c>
    </row>
    <row r="1898" spans="2:13" x14ac:dyDescent="0.35">
      <c r="B1898" t="str">
        <f>IF(NOT(ISBLANK(A1898)),VLOOKUP(A1898,'BBT3'!A:F,2,0),"")</f>
        <v/>
      </c>
      <c r="C1898" t="str">
        <f>IF(NOT(ISBLANK(A1898)),VLOOKUP(A1898,'BBT3'!A:F,3,0),"")</f>
        <v/>
      </c>
      <c r="D1898" s="5" t="str">
        <f>IF(NOT(ISBLANK(A1898)),VLOOKUP(A1898,'BBT3'!A:F,4,1),"")</f>
        <v/>
      </c>
      <c r="E1898" t="str">
        <f>IF(NOT(ISBLANK(A1898)),VLOOKUP(A1898,'BBT3'!A:F,5,0),"")</f>
        <v/>
      </c>
      <c r="F1898" t="str">
        <f>IF(NOT(ISBLANK(A1898)),VLOOKUP(A1898,'BBT3'!A:F,6,0),"")</f>
        <v/>
      </c>
      <c r="G1898" t="str">
        <f t="shared" si="228"/>
        <v/>
      </c>
      <c r="H1898" t="str">
        <f>IF(NOT(ISBLANK(A1898)),VLOOKUP(A1898,'Close - PriceSaver'!A:J,5,0),"")</f>
        <v/>
      </c>
      <c r="I1898" s="4" t="str" cm="1">
        <f t="array" ref="I1898">IF(NOT(ISBLANK(A1898)),((_xlfn.XLOOKUP(1,(_bbt3[[#All],[ID]]=A1898)*(_bbt3[[#All],[METRIC_NAME]]="YLD_YTM_ASK"),_bbt3[[#All],[METRIC_VALUE]])*0.5)+(_xlfn.XLOOKUP(1,(_bbt3[[#All],[ID]]=A1898)*(_bbt3[[#All],[METRIC_NAME]]="YLD_YTM_BID"),_bbt3[[#All],[METRIC_VALUE]])*0.5))/100,"")</f>
        <v/>
      </c>
      <c r="J1898">
        <f>IF(ISNA(VLOOKUP(A1898,'CloseDL - PriceSaverBBT3'!A:E,5,0)),0,VLOOKUP(A1898,'CloseDL - PriceSaverBBT3'!A:E,5,0))</f>
        <v>0</v>
      </c>
      <c r="K1898" s="7" t="str">
        <f t="shared" si="229"/>
        <v/>
      </c>
      <c r="L1898" s="20" t="e">
        <f>IF(Close[[#This Row],[CreatedBy]]="MARINER\SilverAdm",1,0)</f>
        <v>#VALUE!</v>
      </c>
      <c r="M1898" t="str">
        <f>IF(NOT(ISBLANK(A1898)),VLOOKUP(A1898,'Close - PriceSaver'!A:J,6,0),"")</f>
        <v/>
      </c>
    </row>
    <row r="1899" spans="2:13" x14ac:dyDescent="0.35">
      <c r="B1899" t="str">
        <f>IF(NOT(ISBLANK(A1899)),VLOOKUP(A1899,'BBT3'!A:F,2,0),"")</f>
        <v/>
      </c>
      <c r="C1899" t="str">
        <f>IF(NOT(ISBLANK(A1899)),VLOOKUP(A1899,'BBT3'!A:F,3,0),"")</f>
        <v/>
      </c>
      <c r="D1899" s="5" t="str">
        <f>IF(NOT(ISBLANK(A1899)),VLOOKUP(A1899,'BBT3'!A:F,4,1),"")</f>
        <v/>
      </c>
      <c r="E1899" t="str">
        <f>IF(NOT(ISBLANK(A1899)),VLOOKUP(A1899,'BBT3'!A:F,5,0),"")</f>
        <v/>
      </c>
      <c r="F1899" t="str">
        <f>IF(NOT(ISBLANK(A1899)),VLOOKUP(A1899,'BBT3'!A:F,6,0),"")</f>
        <v/>
      </c>
      <c r="G1899" t="str">
        <f t="shared" si="228"/>
        <v/>
      </c>
      <c r="H1899" t="str">
        <f>IF(NOT(ISBLANK(A1899)),VLOOKUP(A1899,'Close - PriceSaver'!A:J,5,0),"")</f>
        <v/>
      </c>
      <c r="I1899" s="4" t="str" cm="1">
        <f t="array" ref="I1899">IF(NOT(ISBLANK(A1899)),((_xlfn.XLOOKUP(1,(_bbt3[[#All],[ID]]=A1899)*(_bbt3[[#All],[METRIC_NAME]]="YLD_YTM_ASK"),_bbt3[[#All],[METRIC_VALUE]])*0.5)+(_xlfn.XLOOKUP(1,(_bbt3[[#All],[ID]]=A1899)*(_bbt3[[#All],[METRIC_NAME]]="YLD_YTM_BID"),_bbt3[[#All],[METRIC_VALUE]])*0.5))/100,"")</f>
        <v/>
      </c>
      <c r="J1899">
        <f>IF(ISNA(VLOOKUP(A1899,'CloseDL - PriceSaverBBT3'!A:E,5,0)),0,VLOOKUP(A1899,'CloseDL - PriceSaverBBT3'!A:E,5,0))</f>
        <v>0</v>
      </c>
      <c r="K1899" s="7" t="str">
        <f t="shared" si="229"/>
        <v/>
      </c>
      <c r="L1899" s="20" t="e">
        <f>IF(Close[[#This Row],[CreatedBy]]="MARINER\SilverAdm",1,0)</f>
        <v>#VALUE!</v>
      </c>
      <c r="M1899" t="str">
        <f>IF(NOT(ISBLANK(A1899)),VLOOKUP(A1899,'Close - PriceSaver'!A:J,6,0),"")</f>
        <v/>
      </c>
    </row>
    <row r="1900" spans="2:13" x14ac:dyDescent="0.35">
      <c r="B1900" t="str">
        <f>IF(NOT(ISBLANK(A1900)),VLOOKUP(A1900,'BBT3'!A:F,2,0),"")</f>
        <v/>
      </c>
      <c r="C1900" t="str">
        <f>IF(NOT(ISBLANK(A1900)),VLOOKUP(A1900,'BBT3'!A:F,3,0),"")</f>
        <v/>
      </c>
      <c r="D1900" s="5" t="str">
        <f>IF(NOT(ISBLANK(A1900)),VLOOKUP(A1900,'BBT3'!A:F,4,1),"")</f>
        <v/>
      </c>
      <c r="E1900" t="str">
        <f>IF(NOT(ISBLANK(A1900)),VLOOKUP(A1900,'BBT3'!A:F,5,0),"")</f>
        <v/>
      </c>
      <c r="F1900" t="str">
        <f>IF(NOT(ISBLANK(A1900)),VLOOKUP(A1900,'BBT3'!A:F,6,0),"")</f>
        <v/>
      </c>
      <c r="G1900" t="str">
        <f t="shared" si="228"/>
        <v/>
      </c>
      <c r="H1900" t="str">
        <f>IF(NOT(ISBLANK(A1900)),VLOOKUP(A1900,'Close - PriceSaver'!A:J,5,0),"")</f>
        <v/>
      </c>
      <c r="I1900" s="4" t="str" cm="1">
        <f t="array" ref="I1900">IF(NOT(ISBLANK(A1900)),((_xlfn.XLOOKUP(1,(_bbt3[[#All],[ID]]=A1900)*(_bbt3[[#All],[METRIC_NAME]]="YLD_YTM_ASK"),_bbt3[[#All],[METRIC_VALUE]])*0.5)+(_xlfn.XLOOKUP(1,(_bbt3[[#All],[ID]]=A1900)*(_bbt3[[#All],[METRIC_NAME]]="YLD_YTM_BID"),_bbt3[[#All],[METRIC_VALUE]])*0.5))/100,"")</f>
        <v/>
      </c>
      <c r="J1900">
        <f>IF(ISNA(VLOOKUP(A1900,'CloseDL - PriceSaverBBT3'!A:E,5,0)),0,VLOOKUP(A1900,'CloseDL - PriceSaverBBT3'!A:E,5,0))</f>
        <v>0</v>
      </c>
      <c r="K1900" s="7" t="str">
        <f t="shared" si="229"/>
        <v/>
      </c>
      <c r="L1900" s="20" t="e">
        <f>IF(Close[[#This Row],[CreatedBy]]="MARINER\SilverAdm",1,0)</f>
        <v>#VALUE!</v>
      </c>
      <c r="M1900" t="str">
        <f>IF(NOT(ISBLANK(A1900)),VLOOKUP(A1900,'Close - PriceSaver'!A:J,6,0),"")</f>
        <v/>
      </c>
    </row>
    <row r="1901" spans="2:13" x14ac:dyDescent="0.35">
      <c r="B1901" t="str">
        <f>IF(NOT(ISBLANK(A1901)),VLOOKUP(A1901,'BBT3'!A:F,2,0),"")</f>
        <v/>
      </c>
      <c r="C1901" t="str">
        <f>IF(NOT(ISBLANK(A1901)),VLOOKUP(A1901,'BBT3'!A:F,3,0),"")</f>
        <v/>
      </c>
      <c r="D1901" s="5" t="str">
        <f>IF(NOT(ISBLANK(A1901)),VLOOKUP(A1901,'BBT3'!A:F,4,1),"")</f>
        <v/>
      </c>
      <c r="E1901" t="str">
        <f>IF(NOT(ISBLANK(A1901)),VLOOKUP(A1901,'BBT3'!A:F,5,0),"")</f>
        <v/>
      </c>
      <c r="F1901" t="str">
        <f>IF(NOT(ISBLANK(A1901)),VLOOKUP(A1901,'BBT3'!A:F,6,0),"")</f>
        <v/>
      </c>
      <c r="G1901" t="str">
        <f t="shared" si="228"/>
        <v/>
      </c>
      <c r="H1901" t="str">
        <f>IF(NOT(ISBLANK(A1901)),VLOOKUP(A1901,'Close - PriceSaver'!A:J,5,0),"")</f>
        <v/>
      </c>
      <c r="I1901" s="4" t="str" cm="1">
        <f t="array" ref="I1901">IF(NOT(ISBLANK(A1901)),((_xlfn.XLOOKUP(1,(_bbt3[[#All],[ID]]=A1901)*(_bbt3[[#All],[METRIC_NAME]]="YLD_YTM_ASK"),_bbt3[[#All],[METRIC_VALUE]])*0.5)+(_xlfn.XLOOKUP(1,(_bbt3[[#All],[ID]]=A1901)*(_bbt3[[#All],[METRIC_NAME]]="YLD_YTM_BID"),_bbt3[[#All],[METRIC_VALUE]])*0.5))/100,"")</f>
        <v/>
      </c>
      <c r="J1901">
        <f>IF(ISNA(VLOOKUP(A1901,'CloseDL - PriceSaverBBT3'!A:E,5,0)),0,VLOOKUP(A1901,'CloseDL - PriceSaverBBT3'!A:E,5,0))</f>
        <v>0</v>
      </c>
      <c r="K1901" s="7" t="str">
        <f t="shared" si="229"/>
        <v/>
      </c>
      <c r="L1901" s="20" t="e">
        <f>IF(Close[[#This Row],[CreatedBy]]="MARINER\SilverAdm",1,0)</f>
        <v>#VALUE!</v>
      </c>
      <c r="M1901" t="str">
        <f>IF(NOT(ISBLANK(A1901)),VLOOKUP(A1901,'Close - PriceSaver'!A:J,6,0),"")</f>
        <v/>
      </c>
    </row>
    <row r="1902" spans="2:13" x14ac:dyDescent="0.35">
      <c r="B1902" t="str">
        <f>IF(NOT(ISBLANK(A1902)),VLOOKUP(A1902,'BBT3'!A:F,2,0),"")</f>
        <v/>
      </c>
      <c r="C1902" t="str">
        <f>IF(NOT(ISBLANK(A1902)),VLOOKUP(A1902,'BBT3'!A:F,3,0),"")</f>
        <v/>
      </c>
      <c r="D1902" s="5" t="str">
        <f>IF(NOT(ISBLANK(A1902)),VLOOKUP(A1902,'BBT3'!A:F,4,1),"")</f>
        <v/>
      </c>
      <c r="E1902" t="str">
        <f>IF(NOT(ISBLANK(A1902)),VLOOKUP(A1902,'BBT3'!A:F,5,0),"")</f>
        <v/>
      </c>
      <c r="F1902" t="str">
        <f>IF(NOT(ISBLANK(A1902)),VLOOKUP(A1902,'BBT3'!A:F,6,0),"")</f>
        <v/>
      </c>
      <c r="G1902" t="str">
        <f t="shared" si="228"/>
        <v/>
      </c>
      <c r="H1902" t="str">
        <f>IF(NOT(ISBLANK(A1902)),VLOOKUP(A1902,'Close - PriceSaver'!A:J,5,0),"")</f>
        <v/>
      </c>
      <c r="I1902" s="4" t="str" cm="1">
        <f t="array" ref="I1902">IF(NOT(ISBLANK(A1902)),((_xlfn.XLOOKUP(1,(_bbt3[[#All],[ID]]=A1902)*(_bbt3[[#All],[METRIC_NAME]]="YLD_YTM_ASK"),_bbt3[[#All],[METRIC_VALUE]])*0.5)+(_xlfn.XLOOKUP(1,(_bbt3[[#All],[ID]]=A1902)*(_bbt3[[#All],[METRIC_NAME]]="YLD_YTM_BID"),_bbt3[[#All],[METRIC_VALUE]])*0.5))/100,"")</f>
        <v/>
      </c>
      <c r="J1902">
        <f>IF(ISNA(VLOOKUP(A1902,'CloseDL - PriceSaverBBT3'!A:E,5,0)),0,VLOOKUP(A1902,'CloseDL - PriceSaverBBT3'!A:E,5,0))</f>
        <v>0</v>
      </c>
      <c r="K1902" s="7" t="str">
        <f t="shared" si="229"/>
        <v/>
      </c>
      <c r="L1902" s="20" t="e">
        <f>IF(Close[[#This Row],[CreatedBy]]="MARINER\SilverAdm",1,0)</f>
        <v>#VALUE!</v>
      </c>
      <c r="M1902" t="str">
        <f>IF(NOT(ISBLANK(A1902)),VLOOKUP(A1902,'Close - PriceSaver'!A:J,6,0),"")</f>
        <v/>
      </c>
    </row>
    <row r="1903" spans="2:13" x14ac:dyDescent="0.35">
      <c r="B1903" t="str">
        <f>IF(NOT(ISBLANK(A1903)),VLOOKUP(A1903,'BBT3'!A:F,2,0),"")</f>
        <v/>
      </c>
      <c r="C1903" t="str">
        <f>IF(NOT(ISBLANK(A1903)),VLOOKUP(A1903,'BBT3'!A:F,3,0),"")</f>
        <v/>
      </c>
      <c r="D1903" s="5" t="str">
        <f>IF(NOT(ISBLANK(A1903)),VLOOKUP(A1903,'BBT3'!A:F,4,1),"")</f>
        <v/>
      </c>
      <c r="E1903" t="str">
        <f>IF(NOT(ISBLANK(A1903)),VLOOKUP(A1903,'BBT3'!A:F,5,0),"")</f>
        <v/>
      </c>
      <c r="F1903" t="str">
        <f>IF(NOT(ISBLANK(A1903)),VLOOKUP(A1903,'BBT3'!A:F,6,0),"")</f>
        <v/>
      </c>
      <c r="G1903" t="str">
        <f t="shared" si="228"/>
        <v/>
      </c>
      <c r="H1903" t="str">
        <f>IF(NOT(ISBLANK(A1903)),VLOOKUP(A1903,'Close - PriceSaver'!A:J,5,0),"")</f>
        <v/>
      </c>
      <c r="I1903" s="4" t="str" cm="1">
        <f t="array" ref="I1903">IF(NOT(ISBLANK(A1903)),((_xlfn.XLOOKUP(1,(_bbt3[[#All],[ID]]=A1903)*(_bbt3[[#All],[METRIC_NAME]]="YLD_YTM_ASK"),_bbt3[[#All],[METRIC_VALUE]])*0.5)+(_xlfn.XLOOKUP(1,(_bbt3[[#All],[ID]]=A1903)*(_bbt3[[#All],[METRIC_NAME]]="YLD_YTM_BID"),_bbt3[[#All],[METRIC_VALUE]])*0.5))/100,"")</f>
        <v/>
      </c>
      <c r="J1903">
        <f>IF(ISNA(VLOOKUP(A1903,'CloseDL - PriceSaverBBT3'!A:E,5,0)),0,VLOOKUP(A1903,'CloseDL - PriceSaverBBT3'!A:E,5,0))</f>
        <v>0</v>
      </c>
      <c r="K1903" s="7" t="str">
        <f t="shared" si="229"/>
        <v/>
      </c>
      <c r="L1903" s="20" t="e">
        <f>IF(Close[[#This Row],[CreatedBy]]="MARINER\SilverAdm",1,0)</f>
        <v>#VALUE!</v>
      </c>
      <c r="M1903" t="str">
        <f>IF(NOT(ISBLANK(A1903)),VLOOKUP(A1903,'Close - PriceSaver'!A:J,6,0),"")</f>
        <v/>
      </c>
    </row>
    <row r="1904" spans="2:13" x14ac:dyDescent="0.35">
      <c r="B1904" t="str">
        <f>IF(NOT(ISBLANK(A1904)),VLOOKUP(A1904,'BBT3'!A:F,2,0),"")</f>
        <v/>
      </c>
      <c r="C1904" t="str">
        <f>IF(NOT(ISBLANK(A1904)),VLOOKUP(A1904,'BBT3'!A:F,3,0),"")</f>
        <v/>
      </c>
      <c r="D1904" s="5" t="str">
        <f>IF(NOT(ISBLANK(A1904)),VLOOKUP(A1904,'BBT3'!A:F,4,1),"")</f>
        <v/>
      </c>
      <c r="E1904" t="str">
        <f>IF(NOT(ISBLANK(A1904)),VLOOKUP(A1904,'BBT3'!A:F,5,0),"")</f>
        <v/>
      </c>
      <c r="F1904" t="str">
        <f>IF(NOT(ISBLANK(A1904)),VLOOKUP(A1904,'BBT3'!A:F,6,0),"")</f>
        <v/>
      </c>
      <c r="G1904" t="str">
        <f t="shared" si="228"/>
        <v/>
      </c>
      <c r="H1904" t="str">
        <f>IF(NOT(ISBLANK(A1904)),VLOOKUP(A1904,'Close - PriceSaver'!A:J,5,0),"")</f>
        <v/>
      </c>
      <c r="I1904" s="4" t="str" cm="1">
        <f t="array" ref="I1904">IF(NOT(ISBLANK(A1904)),((_xlfn.XLOOKUP(1,(_bbt3[[#All],[ID]]=A1904)*(_bbt3[[#All],[METRIC_NAME]]="YLD_YTM_ASK"),_bbt3[[#All],[METRIC_VALUE]])*0.5)+(_xlfn.XLOOKUP(1,(_bbt3[[#All],[ID]]=A1904)*(_bbt3[[#All],[METRIC_NAME]]="YLD_YTM_BID"),_bbt3[[#All],[METRIC_VALUE]])*0.5))/100,"")</f>
        <v/>
      </c>
      <c r="J1904">
        <f>IF(ISNA(VLOOKUP(A1904,'CloseDL - PriceSaverBBT3'!A:E,5,0)),0,VLOOKUP(A1904,'CloseDL - PriceSaverBBT3'!A:E,5,0))</f>
        <v>0</v>
      </c>
      <c r="K1904" s="7" t="str">
        <f t="shared" si="229"/>
        <v/>
      </c>
      <c r="L1904" s="20" t="e">
        <f>IF(Close[[#This Row],[CreatedBy]]="MARINER\SilverAdm",1,0)</f>
        <v>#VALUE!</v>
      </c>
      <c r="M1904" t="str">
        <f>IF(NOT(ISBLANK(A1904)),VLOOKUP(A1904,'Close - PriceSaver'!A:J,6,0),"")</f>
        <v/>
      </c>
    </row>
    <row r="1905" spans="2:13" x14ac:dyDescent="0.35">
      <c r="B1905" t="str">
        <f>IF(NOT(ISBLANK(A1905)),VLOOKUP(A1905,'BBT3'!A:F,2,0),"")</f>
        <v/>
      </c>
      <c r="C1905" t="str">
        <f>IF(NOT(ISBLANK(A1905)),VLOOKUP(A1905,'BBT3'!A:F,3,0),"")</f>
        <v/>
      </c>
      <c r="D1905" s="5" t="str">
        <f>IF(NOT(ISBLANK(A1905)),VLOOKUP(A1905,'BBT3'!A:F,4,1),"")</f>
        <v/>
      </c>
      <c r="E1905" t="str">
        <f>IF(NOT(ISBLANK(A1905)),VLOOKUP(A1905,'BBT3'!A:F,5,0),"")</f>
        <v/>
      </c>
      <c r="F1905" t="str">
        <f>IF(NOT(ISBLANK(A1905)),VLOOKUP(A1905,'BBT3'!A:F,6,0),"")</f>
        <v/>
      </c>
      <c r="G1905" t="str">
        <f t="shared" si="228"/>
        <v/>
      </c>
      <c r="H1905" t="str">
        <f>IF(NOT(ISBLANK(A1905)),VLOOKUP(A1905,'Close - PriceSaver'!A:J,5,0),"")</f>
        <v/>
      </c>
      <c r="I1905" s="4" t="str" cm="1">
        <f t="array" ref="I1905">IF(NOT(ISBLANK(A1905)),((_xlfn.XLOOKUP(1,(_bbt3[[#All],[ID]]=A1905)*(_bbt3[[#All],[METRIC_NAME]]="YLD_YTM_ASK"),_bbt3[[#All],[METRIC_VALUE]])*0.5)+(_xlfn.XLOOKUP(1,(_bbt3[[#All],[ID]]=A1905)*(_bbt3[[#All],[METRIC_NAME]]="YLD_YTM_BID"),_bbt3[[#All],[METRIC_VALUE]])*0.5))/100,"")</f>
        <v/>
      </c>
      <c r="J1905">
        <f>IF(ISNA(VLOOKUP(A1905,'CloseDL - PriceSaverBBT3'!A:E,5,0)),0,VLOOKUP(A1905,'CloseDL - PriceSaverBBT3'!A:E,5,0))</f>
        <v>0</v>
      </c>
      <c r="K1905" s="7" t="str">
        <f t="shared" si="229"/>
        <v/>
      </c>
      <c r="L1905" s="20" t="e">
        <f>IF(Close[[#This Row],[CreatedBy]]="MARINER\SilverAdm",1,0)</f>
        <v>#VALUE!</v>
      </c>
      <c r="M1905" t="str">
        <f>IF(NOT(ISBLANK(A1905)),VLOOKUP(A1905,'Close - PriceSaver'!A:J,6,0),"")</f>
        <v/>
      </c>
    </row>
    <row r="1906" spans="2:13" x14ac:dyDescent="0.35">
      <c r="B1906" t="str">
        <f>IF(NOT(ISBLANK(A1906)),VLOOKUP(A1906,'BBT3'!A:F,2,0),"")</f>
        <v/>
      </c>
      <c r="C1906" t="str">
        <f>IF(NOT(ISBLANK(A1906)),VLOOKUP(A1906,'BBT3'!A:F,3,0),"")</f>
        <v/>
      </c>
      <c r="D1906" s="5" t="str">
        <f>IF(NOT(ISBLANK(A1906)),VLOOKUP(A1906,'BBT3'!A:F,4,1),"")</f>
        <v/>
      </c>
      <c r="E1906" t="str">
        <f>IF(NOT(ISBLANK(A1906)),VLOOKUP(A1906,'BBT3'!A:F,5,0),"")</f>
        <v/>
      </c>
      <c r="F1906" t="str">
        <f>IF(NOT(ISBLANK(A1906)),VLOOKUP(A1906,'BBT3'!A:F,6,0),"")</f>
        <v/>
      </c>
      <c r="G1906" t="str">
        <f t="shared" si="228"/>
        <v/>
      </c>
      <c r="H1906" t="str">
        <f>IF(NOT(ISBLANK(A1906)),VLOOKUP(A1906,'Close - PriceSaver'!A:J,5,0),"")</f>
        <v/>
      </c>
      <c r="I1906" s="4" t="str" cm="1">
        <f t="array" ref="I1906">IF(NOT(ISBLANK(A1906)),((_xlfn.XLOOKUP(1,(_bbt3[[#All],[ID]]=A1906)*(_bbt3[[#All],[METRIC_NAME]]="YLD_YTM_ASK"),_bbt3[[#All],[METRIC_VALUE]])*0.5)+(_xlfn.XLOOKUP(1,(_bbt3[[#All],[ID]]=A1906)*(_bbt3[[#All],[METRIC_NAME]]="YLD_YTM_BID"),_bbt3[[#All],[METRIC_VALUE]])*0.5))/100,"")</f>
        <v/>
      </c>
      <c r="J1906">
        <f>IF(ISNA(VLOOKUP(A1906,'CloseDL - PriceSaverBBT3'!A:E,5,0)),0,VLOOKUP(A1906,'CloseDL - PriceSaverBBT3'!A:E,5,0))</f>
        <v>0</v>
      </c>
      <c r="K1906" s="7" t="str">
        <f t="shared" si="229"/>
        <v/>
      </c>
      <c r="L1906" s="20" t="e">
        <f>IF(Close[[#This Row],[CreatedBy]]="MARINER\SilverAdm",1,0)</f>
        <v>#VALUE!</v>
      </c>
      <c r="M1906" t="str">
        <f>IF(NOT(ISBLANK(A1906)),VLOOKUP(A1906,'Close - PriceSaver'!A:J,6,0),"")</f>
        <v/>
      </c>
    </row>
    <row r="1907" spans="2:13" x14ac:dyDescent="0.35">
      <c r="B1907" t="str">
        <f>IF(NOT(ISBLANK(A1907)),VLOOKUP(A1907,'BBT3'!A:F,2,0),"")</f>
        <v/>
      </c>
      <c r="C1907" t="str">
        <f>IF(NOT(ISBLANK(A1907)),VLOOKUP(A1907,'BBT3'!A:F,3,0),"")</f>
        <v/>
      </c>
      <c r="D1907" s="5" t="str">
        <f>IF(NOT(ISBLANK(A1907)),VLOOKUP(A1907,'BBT3'!A:F,4,1),"")</f>
        <v/>
      </c>
      <c r="E1907" t="str">
        <f>IF(NOT(ISBLANK(A1907)),VLOOKUP(A1907,'BBT3'!A:F,5,0),"")</f>
        <v/>
      </c>
      <c r="F1907" t="str">
        <f>IF(NOT(ISBLANK(A1907)),VLOOKUP(A1907,'BBT3'!A:F,6,0),"")</f>
        <v/>
      </c>
      <c r="G1907" t="str">
        <f t="shared" si="228"/>
        <v/>
      </c>
      <c r="H1907" t="str">
        <f>IF(NOT(ISBLANK(A1907)),VLOOKUP(A1907,'Close - PriceSaver'!A:J,5,0),"")</f>
        <v/>
      </c>
      <c r="I1907" s="4" t="str" cm="1">
        <f t="array" ref="I1907">IF(NOT(ISBLANK(A1907)),((_xlfn.XLOOKUP(1,(_bbt3[[#All],[ID]]=A1907)*(_bbt3[[#All],[METRIC_NAME]]="YLD_YTM_ASK"),_bbt3[[#All],[METRIC_VALUE]])*0.5)+(_xlfn.XLOOKUP(1,(_bbt3[[#All],[ID]]=A1907)*(_bbt3[[#All],[METRIC_NAME]]="YLD_YTM_BID"),_bbt3[[#All],[METRIC_VALUE]])*0.5))/100,"")</f>
        <v/>
      </c>
      <c r="J1907">
        <f>IF(ISNA(VLOOKUP(A1907,'CloseDL - PriceSaverBBT3'!A:E,5,0)),0,VLOOKUP(A1907,'CloseDL - PriceSaverBBT3'!A:E,5,0))</f>
        <v>0</v>
      </c>
      <c r="K1907" s="7" t="str">
        <f t="shared" si="229"/>
        <v/>
      </c>
      <c r="L1907" s="20" t="e">
        <f>IF(Close[[#This Row],[CreatedBy]]="MARINER\SilverAdm",1,0)</f>
        <v>#VALUE!</v>
      </c>
      <c r="M1907" t="str">
        <f>IF(NOT(ISBLANK(A1907)),VLOOKUP(A1907,'Close - PriceSaver'!A:J,6,0),"")</f>
        <v/>
      </c>
    </row>
    <row r="1908" spans="2:13" x14ac:dyDescent="0.35">
      <c r="B1908" t="str">
        <f>IF(NOT(ISBLANK(A1908)),VLOOKUP(A1908,'BBT3'!A:F,2,0),"")</f>
        <v/>
      </c>
      <c r="C1908" t="str">
        <f>IF(NOT(ISBLANK(A1908)),VLOOKUP(A1908,'BBT3'!A:F,3,0),"")</f>
        <v/>
      </c>
      <c r="D1908" s="5" t="str">
        <f>IF(NOT(ISBLANK(A1908)),VLOOKUP(A1908,'BBT3'!A:F,4,1),"")</f>
        <v/>
      </c>
      <c r="E1908" t="str">
        <f>IF(NOT(ISBLANK(A1908)),VLOOKUP(A1908,'BBT3'!A:F,5,0),"")</f>
        <v/>
      </c>
      <c r="F1908" t="str">
        <f>IF(NOT(ISBLANK(A1908)),VLOOKUP(A1908,'BBT3'!A:F,6,0),"")</f>
        <v/>
      </c>
      <c r="G1908" t="str">
        <f t="shared" si="228"/>
        <v/>
      </c>
      <c r="H1908" t="str">
        <f>IF(NOT(ISBLANK(A1908)),VLOOKUP(A1908,'Close - PriceSaver'!A:J,5,0),"")</f>
        <v/>
      </c>
      <c r="I1908" s="4" t="str" cm="1">
        <f t="array" ref="I1908">IF(NOT(ISBLANK(A1908)),((_xlfn.XLOOKUP(1,(_bbt3[[#All],[ID]]=A1908)*(_bbt3[[#All],[METRIC_NAME]]="YLD_YTM_ASK"),_bbt3[[#All],[METRIC_VALUE]])*0.5)+(_xlfn.XLOOKUP(1,(_bbt3[[#All],[ID]]=A1908)*(_bbt3[[#All],[METRIC_NAME]]="YLD_YTM_BID"),_bbt3[[#All],[METRIC_VALUE]])*0.5))/100,"")</f>
        <v/>
      </c>
      <c r="J1908">
        <f>IF(ISNA(VLOOKUP(A1908,'CloseDL - PriceSaverBBT3'!A:E,5,0)),0,VLOOKUP(A1908,'CloseDL - PriceSaverBBT3'!A:E,5,0))</f>
        <v>0</v>
      </c>
      <c r="K1908" s="7" t="str">
        <f t="shared" si="229"/>
        <v/>
      </c>
      <c r="L1908" s="20" t="e">
        <f>IF(Close[[#This Row],[CreatedBy]]="MARINER\SilverAdm",1,0)</f>
        <v>#VALUE!</v>
      </c>
      <c r="M1908" t="str">
        <f>IF(NOT(ISBLANK(A1908)),VLOOKUP(A1908,'Close - PriceSaver'!A:J,6,0),"")</f>
        <v/>
      </c>
    </row>
    <row r="1909" spans="2:13" x14ac:dyDescent="0.35">
      <c r="B1909" t="str">
        <f>IF(NOT(ISBLANK(A1909)),VLOOKUP(A1909,'BBT3'!A:F,2,0),"")</f>
        <v/>
      </c>
      <c r="C1909" t="str">
        <f>IF(NOT(ISBLANK(A1909)),VLOOKUP(A1909,'BBT3'!A:F,3,0),"")</f>
        <v/>
      </c>
      <c r="D1909" s="5" t="str">
        <f>IF(NOT(ISBLANK(A1909)),VLOOKUP(A1909,'BBT3'!A:F,4,1),"")</f>
        <v/>
      </c>
      <c r="E1909" t="str">
        <f>IF(NOT(ISBLANK(A1909)),VLOOKUP(A1909,'BBT3'!A:F,5,0),"")</f>
        <v/>
      </c>
      <c r="F1909" t="str">
        <f>IF(NOT(ISBLANK(A1909)),VLOOKUP(A1909,'BBT3'!A:F,6,0),"")</f>
        <v/>
      </c>
      <c r="G1909" t="str">
        <f t="shared" si="228"/>
        <v/>
      </c>
      <c r="H1909" t="str">
        <f>IF(NOT(ISBLANK(A1909)),VLOOKUP(A1909,'Close - PriceSaver'!A:J,5,0),"")</f>
        <v/>
      </c>
      <c r="I1909" s="4" t="str" cm="1">
        <f t="array" ref="I1909">IF(NOT(ISBLANK(A1909)),((_xlfn.XLOOKUP(1,(_bbt3[[#All],[ID]]=A1909)*(_bbt3[[#All],[METRIC_NAME]]="YLD_YTM_ASK"),_bbt3[[#All],[METRIC_VALUE]])*0.5)+(_xlfn.XLOOKUP(1,(_bbt3[[#All],[ID]]=A1909)*(_bbt3[[#All],[METRIC_NAME]]="YLD_YTM_BID"),_bbt3[[#All],[METRIC_VALUE]])*0.5))/100,"")</f>
        <v/>
      </c>
      <c r="J1909">
        <f>IF(ISNA(VLOOKUP(A1909,'CloseDL - PriceSaverBBT3'!A:E,5,0)),0,VLOOKUP(A1909,'CloseDL - PriceSaverBBT3'!A:E,5,0))</f>
        <v>0</v>
      </c>
      <c r="K1909" s="7" t="str">
        <f t="shared" si="229"/>
        <v/>
      </c>
      <c r="L1909" s="20" t="e">
        <f>IF(Close[[#This Row],[CreatedBy]]="MARINER\SilverAdm",1,0)</f>
        <v>#VALUE!</v>
      </c>
      <c r="M1909" t="str">
        <f>IF(NOT(ISBLANK(A1909)),VLOOKUP(A1909,'Close - PriceSaver'!A:J,6,0),"")</f>
        <v/>
      </c>
    </row>
    <row r="1910" spans="2:13" x14ac:dyDescent="0.35">
      <c r="B1910" t="str">
        <f>IF(NOT(ISBLANK(A1910)),VLOOKUP(A1910,'BBT3'!A:F,2,0),"")</f>
        <v/>
      </c>
      <c r="C1910" t="str">
        <f>IF(NOT(ISBLANK(A1910)),VLOOKUP(A1910,'BBT3'!A:F,3,0),"")</f>
        <v/>
      </c>
      <c r="D1910" s="5" t="str">
        <f>IF(NOT(ISBLANK(A1910)),VLOOKUP(A1910,'BBT3'!A:F,4,1),"")</f>
        <v/>
      </c>
      <c r="E1910" t="str">
        <f>IF(NOT(ISBLANK(A1910)),VLOOKUP(A1910,'BBT3'!A:F,5,0),"")</f>
        <v/>
      </c>
      <c r="F1910" t="str">
        <f>IF(NOT(ISBLANK(A1910)),VLOOKUP(A1910,'BBT3'!A:F,6,0),"")</f>
        <v/>
      </c>
      <c r="G1910" t="str">
        <f t="shared" si="228"/>
        <v/>
      </c>
      <c r="H1910" t="str">
        <f>IF(NOT(ISBLANK(A1910)),VLOOKUP(A1910,'Close - PriceSaver'!A:J,5,0),"")</f>
        <v/>
      </c>
      <c r="I1910" s="4" t="str" cm="1">
        <f t="array" ref="I1910">IF(NOT(ISBLANK(A1910)),((_xlfn.XLOOKUP(1,(_bbt3[[#All],[ID]]=A1910)*(_bbt3[[#All],[METRIC_NAME]]="YLD_YTM_ASK"),_bbt3[[#All],[METRIC_VALUE]])*0.5)+(_xlfn.XLOOKUP(1,(_bbt3[[#All],[ID]]=A1910)*(_bbt3[[#All],[METRIC_NAME]]="YLD_YTM_BID"),_bbt3[[#All],[METRIC_VALUE]])*0.5))/100,"")</f>
        <v/>
      </c>
      <c r="J1910">
        <f>IF(ISNA(VLOOKUP(A1910,'CloseDL - PriceSaverBBT3'!A:E,5,0)),0,VLOOKUP(A1910,'CloseDL - PriceSaverBBT3'!A:E,5,0))</f>
        <v>0</v>
      </c>
      <c r="K1910" s="7" t="str">
        <f t="shared" si="229"/>
        <v/>
      </c>
      <c r="L1910" s="20" t="e">
        <f>IF(Close[[#This Row],[CreatedBy]]="MARINER\SilverAdm",1,0)</f>
        <v>#VALUE!</v>
      </c>
      <c r="M1910" t="str">
        <f>IF(NOT(ISBLANK(A1910)),VLOOKUP(A1910,'Close - PriceSaver'!A:J,6,0),"")</f>
        <v/>
      </c>
    </row>
    <row r="1911" spans="2:13" x14ac:dyDescent="0.35">
      <c r="B1911" t="str">
        <f>IF(NOT(ISBLANK(A1911)),VLOOKUP(A1911,'BBT3'!A:F,2,0),"")</f>
        <v/>
      </c>
      <c r="C1911" t="str">
        <f>IF(NOT(ISBLANK(A1911)),VLOOKUP(A1911,'BBT3'!A:F,3,0),"")</f>
        <v/>
      </c>
      <c r="D1911" s="5" t="str">
        <f>IF(NOT(ISBLANK(A1911)),VLOOKUP(A1911,'BBT3'!A:F,4,1),"")</f>
        <v/>
      </c>
      <c r="E1911" t="str">
        <f>IF(NOT(ISBLANK(A1911)),VLOOKUP(A1911,'BBT3'!A:F,5,0),"")</f>
        <v/>
      </c>
      <c r="F1911" t="str">
        <f>IF(NOT(ISBLANK(A1911)),VLOOKUP(A1911,'BBT3'!A:F,6,0),"")</f>
        <v/>
      </c>
      <c r="G1911" t="str">
        <f t="shared" si="228"/>
        <v/>
      </c>
      <c r="H1911" t="str">
        <f>IF(NOT(ISBLANK(A1911)),VLOOKUP(A1911,'Close - PriceSaver'!A:J,5,0),"")</f>
        <v/>
      </c>
      <c r="I1911" s="4" t="str" cm="1">
        <f t="array" ref="I1911">IF(NOT(ISBLANK(A1911)),((_xlfn.XLOOKUP(1,(_bbt3[[#All],[ID]]=A1911)*(_bbt3[[#All],[METRIC_NAME]]="YLD_YTM_ASK"),_bbt3[[#All],[METRIC_VALUE]])*0.5)+(_xlfn.XLOOKUP(1,(_bbt3[[#All],[ID]]=A1911)*(_bbt3[[#All],[METRIC_NAME]]="YLD_YTM_BID"),_bbt3[[#All],[METRIC_VALUE]])*0.5))/100,"")</f>
        <v/>
      </c>
      <c r="J1911">
        <f>IF(ISNA(VLOOKUP(A1911,'CloseDL - PriceSaverBBT3'!A:E,5,0)),0,VLOOKUP(A1911,'CloseDL - PriceSaverBBT3'!A:E,5,0))</f>
        <v>0</v>
      </c>
      <c r="K1911" s="7" t="str">
        <f t="shared" si="229"/>
        <v/>
      </c>
      <c r="L1911" s="20" t="e">
        <f>IF(Close[[#This Row],[CreatedBy]]="MARINER\SilverAdm",1,0)</f>
        <v>#VALUE!</v>
      </c>
      <c r="M1911" t="str">
        <f>IF(NOT(ISBLANK(A1911)),VLOOKUP(A1911,'Close - PriceSaver'!A:J,6,0),"")</f>
        <v/>
      </c>
    </row>
    <row r="1912" spans="2:13" x14ac:dyDescent="0.35">
      <c r="B1912" t="str">
        <f>IF(NOT(ISBLANK(A1912)),VLOOKUP(A1912,'BBT3'!A:F,2,0),"")</f>
        <v/>
      </c>
      <c r="C1912" t="str">
        <f>IF(NOT(ISBLANK(A1912)),VLOOKUP(A1912,'BBT3'!A:F,3,0),"")</f>
        <v/>
      </c>
      <c r="D1912" s="5" t="str">
        <f>IF(NOT(ISBLANK(A1912)),VLOOKUP(A1912,'BBT3'!A:F,4,1),"")</f>
        <v/>
      </c>
      <c r="E1912" t="str">
        <f>IF(NOT(ISBLANK(A1912)),VLOOKUP(A1912,'BBT3'!A:F,5,0),"")</f>
        <v/>
      </c>
      <c r="F1912" t="str">
        <f>IF(NOT(ISBLANK(A1912)),VLOOKUP(A1912,'BBT3'!A:F,6,0),"")</f>
        <v/>
      </c>
      <c r="G1912" t="str">
        <f t="shared" si="228"/>
        <v/>
      </c>
      <c r="H1912" t="str">
        <f>IF(NOT(ISBLANK(A1912)),VLOOKUP(A1912,'Close - PriceSaver'!A:J,5,0),"")</f>
        <v/>
      </c>
      <c r="I1912" s="4" t="str" cm="1">
        <f t="array" ref="I1912">IF(NOT(ISBLANK(A1912)),((_xlfn.XLOOKUP(1,(_bbt3[[#All],[ID]]=A1912)*(_bbt3[[#All],[METRIC_NAME]]="YLD_YTM_ASK"),_bbt3[[#All],[METRIC_VALUE]])*0.5)+(_xlfn.XLOOKUP(1,(_bbt3[[#All],[ID]]=A1912)*(_bbt3[[#All],[METRIC_NAME]]="YLD_YTM_BID"),_bbt3[[#All],[METRIC_VALUE]])*0.5))/100,"")</f>
        <v/>
      </c>
      <c r="J1912">
        <f>IF(ISNA(VLOOKUP(A1912,'CloseDL - PriceSaverBBT3'!A:E,5,0)),0,VLOOKUP(A1912,'CloseDL - PriceSaverBBT3'!A:E,5,0))</f>
        <v>0</v>
      </c>
      <c r="K1912" s="7" t="str">
        <f t="shared" si="229"/>
        <v/>
      </c>
      <c r="L1912" s="20" t="e">
        <f>IF(Close[[#This Row],[CreatedBy]]="MARINER\SilverAdm",1,0)</f>
        <v>#VALUE!</v>
      </c>
      <c r="M1912" t="str">
        <f>IF(NOT(ISBLANK(A1912)),VLOOKUP(A1912,'Close - PriceSaver'!A:J,6,0),"")</f>
        <v/>
      </c>
    </row>
    <row r="1913" spans="2:13" x14ac:dyDescent="0.35">
      <c r="B1913" t="str">
        <f>IF(NOT(ISBLANK(A1913)),VLOOKUP(A1913,'BBT3'!A:F,2,0),"")</f>
        <v/>
      </c>
      <c r="C1913" t="str">
        <f>IF(NOT(ISBLANK(A1913)),VLOOKUP(A1913,'BBT3'!A:F,3,0),"")</f>
        <v/>
      </c>
      <c r="D1913" s="5" t="str">
        <f>IF(NOT(ISBLANK(A1913)),VLOOKUP(A1913,'BBT3'!A:F,4,1),"")</f>
        <v/>
      </c>
      <c r="E1913" t="str">
        <f>IF(NOT(ISBLANK(A1913)),VLOOKUP(A1913,'BBT3'!A:F,5,0),"")</f>
        <v/>
      </c>
      <c r="F1913" t="str">
        <f>IF(NOT(ISBLANK(A1913)),VLOOKUP(A1913,'BBT3'!A:F,6,0),"")</f>
        <v/>
      </c>
      <c r="G1913" t="str">
        <f t="shared" si="228"/>
        <v/>
      </c>
      <c r="H1913" t="str">
        <f>IF(NOT(ISBLANK(A1913)),VLOOKUP(A1913,'Close - PriceSaver'!A:J,5,0),"")</f>
        <v/>
      </c>
      <c r="I1913" s="4" t="str" cm="1">
        <f t="array" ref="I1913">IF(NOT(ISBLANK(A1913)),((_xlfn.XLOOKUP(1,(_bbt3[[#All],[ID]]=A1913)*(_bbt3[[#All],[METRIC_NAME]]="YLD_YTM_ASK"),_bbt3[[#All],[METRIC_VALUE]])*0.5)+(_xlfn.XLOOKUP(1,(_bbt3[[#All],[ID]]=A1913)*(_bbt3[[#All],[METRIC_NAME]]="YLD_YTM_BID"),_bbt3[[#All],[METRIC_VALUE]])*0.5))/100,"")</f>
        <v/>
      </c>
      <c r="J1913">
        <f>IF(ISNA(VLOOKUP(A1913,'CloseDL - PriceSaverBBT3'!A:E,5,0)),0,VLOOKUP(A1913,'CloseDL - PriceSaverBBT3'!A:E,5,0))</f>
        <v>0</v>
      </c>
      <c r="K1913" s="7" t="str">
        <f t="shared" si="229"/>
        <v/>
      </c>
      <c r="L1913" s="20" t="e">
        <f>IF(Close[[#This Row],[CreatedBy]]="MARINER\SilverAdm",1,0)</f>
        <v>#VALUE!</v>
      </c>
      <c r="M1913" t="str">
        <f>IF(NOT(ISBLANK(A1913)),VLOOKUP(A1913,'Close - PriceSaver'!A:J,6,0),"")</f>
        <v/>
      </c>
    </row>
    <row r="1914" spans="2:13" x14ac:dyDescent="0.35">
      <c r="B1914" t="str">
        <f>IF(NOT(ISBLANK(A1914)),VLOOKUP(A1914,'BBT3'!A:F,2,0),"")</f>
        <v/>
      </c>
      <c r="C1914" t="str">
        <f>IF(NOT(ISBLANK(A1914)),VLOOKUP(A1914,'BBT3'!A:F,3,0),"")</f>
        <v/>
      </c>
      <c r="D1914" s="5" t="str">
        <f>IF(NOT(ISBLANK(A1914)),VLOOKUP(A1914,'BBT3'!A:F,4,1),"")</f>
        <v/>
      </c>
      <c r="E1914" t="str">
        <f>IF(NOT(ISBLANK(A1914)),VLOOKUP(A1914,'BBT3'!A:F,5,0),"")</f>
        <v/>
      </c>
      <c r="F1914" t="str">
        <f>IF(NOT(ISBLANK(A1914)),VLOOKUP(A1914,'BBT3'!A:F,6,0),"")</f>
        <v/>
      </c>
      <c r="G1914" t="str">
        <f t="shared" si="228"/>
        <v/>
      </c>
      <c r="H1914" t="str">
        <f>IF(NOT(ISBLANK(A1914)),VLOOKUP(A1914,'Close - PriceSaver'!A:J,5,0),"")</f>
        <v/>
      </c>
      <c r="I1914" s="4" t="str" cm="1">
        <f t="array" ref="I1914">IF(NOT(ISBLANK(A1914)),((_xlfn.XLOOKUP(1,(_bbt3[[#All],[ID]]=A1914)*(_bbt3[[#All],[METRIC_NAME]]="YLD_YTM_ASK"),_bbt3[[#All],[METRIC_VALUE]])*0.5)+(_xlfn.XLOOKUP(1,(_bbt3[[#All],[ID]]=A1914)*(_bbt3[[#All],[METRIC_NAME]]="YLD_YTM_BID"),_bbt3[[#All],[METRIC_VALUE]])*0.5))/100,"")</f>
        <v/>
      </c>
      <c r="J1914">
        <f>IF(ISNA(VLOOKUP(A1914,'CloseDL - PriceSaverBBT3'!A:E,5,0)),0,VLOOKUP(A1914,'CloseDL - PriceSaverBBT3'!A:E,5,0))</f>
        <v>0</v>
      </c>
      <c r="K1914" s="7" t="str">
        <f t="shared" si="229"/>
        <v/>
      </c>
      <c r="L1914" s="20" t="e">
        <f>IF(Close[[#This Row],[CreatedBy]]="MARINER\SilverAdm",1,0)</f>
        <v>#VALUE!</v>
      </c>
      <c r="M1914" t="str">
        <f>IF(NOT(ISBLANK(A1914)),VLOOKUP(A1914,'Close - PriceSaver'!A:J,6,0),"")</f>
        <v/>
      </c>
    </row>
    <row r="1915" spans="2:13" x14ac:dyDescent="0.35">
      <c r="B1915" t="str">
        <f>IF(NOT(ISBLANK(A1915)),VLOOKUP(A1915,'BBT3'!A:F,2,0),"")</f>
        <v/>
      </c>
      <c r="C1915" t="str">
        <f>IF(NOT(ISBLANK(A1915)),VLOOKUP(A1915,'BBT3'!A:F,3,0),"")</f>
        <v/>
      </c>
      <c r="D1915" s="5" t="str">
        <f>IF(NOT(ISBLANK(A1915)),VLOOKUP(A1915,'BBT3'!A:F,4,1),"")</f>
        <v/>
      </c>
      <c r="E1915" t="str">
        <f>IF(NOT(ISBLANK(A1915)),VLOOKUP(A1915,'BBT3'!A:F,5,0),"")</f>
        <v/>
      </c>
      <c r="F1915" t="str">
        <f>IF(NOT(ISBLANK(A1915)),VLOOKUP(A1915,'BBT3'!A:F,6,0),"")</f>
        <v/>
      </c>
      <c r="G1915" t="str">
        <f t="shared" si="228"/>
        <v/>
      </c>
      <c r="H1915" t="str">
        <f>IF(NOT(ISBLANK(A1915)),VLOOKUP(A1915,'Close - PriceSaver'!A:J,5,0),"")</f>
        <v/>
      </c>
      <c r="I1915" s="4" t="str" cm="1">
        <f t="array" ref="I1915">IF(NOT(ISBLANK(A1915)),((_xlfn.XLOOKUP(1,(_bbt3[[#All],[ID]]=A1915)*(_bbt3[[#All],[METRIC_NAME]]="YLD_YTM_ASK"),_bbt3[[#All],[METRIC_VALUE]])*0.5)+(_xlfn.XLOOKUP(1,(_bbt3[[#All],[ID]]=A1915)*(_bbt3[[#All],[METRIC_NAME]]="YLD_YTM_BID"),_bbt3[[#All],[METRIC_VALUE]])*0.5))/100,"")</f>
        <v/>
      </c>
      <c r="J1915">
        <f>IF(ISNA(VLOOKUP(A1915,'CloseDL - PriceSaverBBT3'!A:E,5,0)),0,VLOOKUP(A1915,'CloseDL - PriceSaverBBT3'!A:E,5,0))</f>
        <v>0</v>
      </c>
      <c r="K1915" s="7" t="str">
        <f t="shared" si="229"/>
        <v/>
      </c>
      <c r="L1915" s="20" t="e">
        <f>IF(Close[[#This Row],[CreatedBy]]="MARINER\SilverAdm",1,0)</f>
        <v>#VALUE!</v>
      </c>
      <c r="M1915" t="str">
        <f>IF(NOT(ISBLANK(A1915)),VLOOKUP(A1915,'Close - PriceSaver'!A:J,6,0),"")</f>
        <v/>
      </c>
    </row>
    <row r="1916" spans="2:13" x14ac:dyDescent="0.35">
      <c r="B1916" t="str">
        <f>IF(NOT(ISBLANK(A1916)),VLOOKUP(A1916,'BBT3'!A:F,2,0),"")</f>
        <v/>
      </c>
      <c r="C1916" t="str">
        <f>IF(NOT(ISBLANK(A1916)),VLOOKUP(A1916,'BBT3'!A:F,3,0),"")</f>
        <v/>
      </c>
      <c r="D1916" s="5" t="str">
        <f>IF(NOT(ISBLANK(A1916)),VLOOKUP(A1916,'BBT3'!A:F,4,1),"")</f>
        <v/>
      </c>
      <c r="E1916" t="str">
        <f>IF(NOT(ISBLANK(A1916)),VLOOKUP(A1916,'BBT3'!A:F,5,0),"")</f>
        <v/>
      </c>
      <c r="F1916" t="str">
        <f>IF(NOT(ISBLANK(A1916)),VLOOKUP(A1916,'BBT3'!A:F,6,0),"")</f>
        <v/>
      </c>
      <c r="G1916" t="str">
        <f t="shared" si="228"/>
        <v/>
      </c>
      <c r="H1916" t="str">
        <f>IF(NOT(ISBLANK(A1916)),VLOOKUP(A1916,'Close - PriceSaver'!A:J,5,0),"")</f>
        <v/>
      </c>
      <c r="I1916" s="4" t="str" cm="1">
        <f t="array" ref="I1916">IF(NOT(ISBLANK(A1916)),((_xlfn.XLOOKUP(1,(_bbt3[[#All],[ID]]=A1916)*(_bbt3[[#All],[METRIC_NAME]]="YLD_YTM_ASK"),_bbt3[[#All],[METRIC_VALUE]])*0.5)+(_xlfn.XLOOKUP(1,(_bbt3[[#All],[ID]]=A1916)*(_bbt3[[#All],[METRIC_NAME]]="YLD_YTM_BID"),_bbt3[[#All],[METRIC_VALUE]])*0.5))/100,"")</f>
        <v/>
      </c>
      <c r="J1916">
        <f>IF(ISNA(VLOOKUP(A1916,'CloseDL - PriceSaverBBT3'!A:E,5,0)),0,VLOOKUP(A1916,'CloseDL - PriceSaverBBT3'!A:E,5,0))</f>
        <v>0</v>
      </c>
      <c r="K1916" s="7" t="str">
        <f t="shared" si="229"/>
        <v/>
      </c>
      <c r="L1916" s="20" t="e">
        <f>IF(Close[[#This Row],[CreatedBy]]="MARINER\SilverAdm",1,0)</f>
        <v>#VALUE!</v>
      </c>
      <c r="M1916" t="str">
        <f>IF(NOT(ISBLANK(A1916)),VLOOKUP(A1916,'Close - PriceSaver'!A:J,6,0),"")</f>
        <v/>
      </c>
    </row>
    <row r="1917" spans="2:13" x14ac:dyDescent="0.35">
      <c r="B1917" t="str">
        <f>IF(NOT(ISBLANK(A1917)),VLOOKUP(A1917,'BBT3'!A:F,2,0),"")</f>
        <v/>
      </c>
      <c r="C1917" t="str">
        <f>IF(NOT(ISBLANK(A1917)),VLOOKUP(A1917,'BBT3'!A:F,3,0),"")</f>
        <v/>
      </c>
      <c r="D1917" s="5" t="str">
        <f>IF(NOT(ISBLANK(A1917)),VLOOKUP(A1917,'BBT3'!A:F,4,1),"")</f>
        <v/>
      </c>
      <c r="E1917" t="str">
        <f>IF(NOT(ISBLANK(A1917)),VLOOKUP(A1917,'BBT3'!A:F,5,0),"")</f>
        <v/>
      </c>
      <c r="F1917" t="str">
        <f>IF(NOT(ISBLANK(A1917)),VLOOKUP(A1917,'BBT3'!A:F,6,0),"")</f>
        <v/>
      </c>
      <c r="G1917" t="str">
        <f t="shared" si="228"/>
        <v/>
      </c>
      <c r="H1917" t="str">
        <f>IF(NOT(ISBLANK(A1917)),VLOOKUP(A1917,'Close - PriceSaver'!A:J,5,0),"")</f>
        <v/>
      </c>
      <c r="I1917" s="4" t="str" cm="1">
        <f t="array" ref="I1917">IF(NOT(ISBLANK(A1917)),((_xlfn.XLOOKUP(1,(_bbt3[[#All],[ID]]=A1917)*(_bbt3[[#All],[METRIC_NAME]]="YLD_YTM_ASK"),_bbt3[[#All],[METRIC_VALUE]])*0.5)+(_xlfn.XLOOKUP(1,(_bbt3[[#All],[ID]]=A1917)*(_bbt3[[#All],[METRIC_NAME]]="YLD_YTM_BID"),_bbt3[[#All],[METRIC_VALUE]])*0.5))/100,"")</f>
        <v/>
      </c>
      <c r="J1917">
        <f>IF(ISNA(VLOOKUP(A1917,'CloseDL - PriceSaverBBT3'!A:E,5,0)),0,VLOOKUP(A1917,'CloseDL - PriceSaverBBT3'!A:E,5,0))</f>
        <v>0</v>
      </c>
      <c r="K1917" s="7" t="str">
        <f t="shared" si="229"/>
        <v/>
      </c>
      <c r="L1917" s="20" t="e">
        <f>IF(Close[[#This Row],[CreatedBy]]="MARINER\SilverAdm",1,0)</f>
        <v>#VALUE!</v>
      </c>
      <c r="M1917" t="str">
        <f>IF(NOT(ISBLANK(A1917)),VLOOKUP(A1917,'Close - PriceSaver'!A:J,6,0),"")</f>
        <v/>
      </c>
    </row>
    <row r="1918" spans="2:13" x14ac:dyDescent="0.35">
      <c r="B1918" t="str">
        <f>IF(NOT(ISBLANK(A1918)),VLOOKUP(A1918,'BBT3'!A:F,2,0),"")</f>
        <v/>
      </c>
      <c r="C1918" t="str">
        <f>IF(NOT(ISBLANK(A1918)),VLOOKUP(A1918,'BBT3'!A:F,3,0),"")</f>
        <v/>
      </c>
      <c r="D1918" s="5" t="str">
        <f>IF(NOT(ISBLANK(A1918)),VLOOKUP(A1918,'BBT3'!A:F,4,1),"")</f>
        <v/>
      </c>
      <c r="E1918" t="str">
        <f>IF(NOT(ISBLANK(A1918)),VLOOKUP(A1918,'BBT3'!A:F,5,0),"")</f>
        <v/>
      </c>
      <c r="F1918" t="str">
        <f>IF(NOT(ISBLANK(A1918)),VLOOKUP(A1918,'BBT3'!A:F,6,0),"")</f>
        <v/>
      </c>
      <c r="G1918" t="str">
        <f t="shared" si="228"/>
        <v/>
      </c>
      <c r="H1918" t="str">
        <f>IF(NOT(ISBLANK(A1918)),VLOOKUP(A1918,'Close - PriceSaver'!A:J,5,0),"")</f>
        <v/>
      </c>
      <c r="I1918" s="4" t="str" cm="1">
        <f t="array" ref="I1918">IF(NOT(ISBLANK(A1918)),((_xlfn.XLOOKUP(1,(_bbt3[[#All],[ID]]=A1918)*(_bbt3[[#All],[METRIC_NAME]]="YLD_YTM_ASK"),_bbt3[[#All],[METRIC_VALUE]])*0.5)+(_xlfn.XLOOKUP(1,(_bbt3[[#All],[ID]]=A1918)*(_bbt3[[#All],[METRIC_NAME]]="YLD_YTM_BID"),_bbt3[[#All],[METRIC_VALUE]])*0.5))/100,"")</f>
        <v/>
      </c>
      <c r="J1918">
        <f>IF(ISNA(VLOOKUP(A1918,'CloseDL - PriceSaverBBT3'!A:E,5,0)),0,VLOOKUP(A1918,'CloseDL - PriceSaverBBT3'!A:E,5,0))</f>
        <v>0</v>
      </c>
      <c r="K1918" s="7" t="str">
        <f t="shared" si="229"/>
        <v/>
      </c>
      <c r="L1918" s="20" t="e">
        <f>IF(Close[[#This Row],[CreatedBy]]="MARINER\SilverAdm",1,0)</f>
        <v>#VALUE!</v>
      </c>
      <c r="M1918" t="str">
        <f>IF(NOT(ISBLANK(A1918)),VLOOKUP(A1918,'Close - PriceSaver'!A:J,6,0),"")</f>
        <v/>
      </c>
    </row>
    <row r="1919" spans="2:13" x14ac:dyDescent="0.35">
      <c r="B1919" t="str">
        <f>IF(NOT(ISBLANK(A1919)),VLOOKUP(A1919,'BBT3'!A:F,2,0),"")</f>
        <v/>
      </c>
      <c r="C1919" t="str">
        <f>IF(NOT(ISBLANK(A1919)),VLOOKUP(A1919,'BBT3'!A:F,3,0),"")</f>
        <v/>
      </c>
      <c r="D1919" s="5" t="str">
        <f>IF(NOT(ISBLANK(A1919)),VLOOKUP(A1919,'BBT3'!A:F,4,1),"")</f>
        <v/>
      </c>
      <c r="E1919" t="str">
        <f>IF(NOT(ISBLANK(A1919)),VLOOKUP(A1919,'BBT3'!A:F,5,0),"")</f>
        <v/>
      </c>
      <c r="F1919" t="str">
        <f>IF(NOT(ISBLANK(A1919)),VLOOKUP(A1919,'BBT3'!A:F,6,0),"")</f>
        <v/>
      </c>
      <c r="G1919" t="str">
        <f t="shared" si="228"/>
        <v/>
      </c>
      <c r="H1919" t="str">
        <f>IF(NOT(ISBLANK(A1919)),VLOOKUP(A1919,'Close - PriceSaver'!A:J,5,0),"")</f>
        <v/>
      </c>
      <c r="I1919" s="4" t="str" cm="1">
        <f t="array" ref="I1919">IF(NOT(ISBLANK(A1919)),((_xlfn.XLOOKUP(1,(_bbt3[[#All],[ID]]=A1919)*(_bbt3[[#All],[METRIC_NAME]]="YLD_YTM_ASK"),_bbt3[[#All],[METRIC_VALUE]])*0.5)+(_xlfn.XLOOKUP(1,(_bbt3[[#All],[ID]]=A1919)*(_bbt3[[#All],[METRIC_NAME]]="YLD_YTM_BID"),_bbt3[[#All],[METRIC_VALUE]])*0.5))/100,"")</f>
        <v/>
      </c>
      <c r="J1919">
        <f>IF(ISNA(VLOOKUP(A1919,'CloseDL - PriceSaverBBT3'!A:E,5,0)),0,VLOOKUP(A1919,'CloseDL - PriceSaverBBT3'!A:E,5,0))</f>
        <v>0</v>
      </c>
      <c r="K1919" s="7" t="str">
        <f t="shared" si="229"/>
        <v/>
      </c>
      <c r="L1919" s="20" t="e">
        <f>IF(Close[[#This Row],[CreatedBy]]="MARINER\SilverAdm",1,0)</f>
        <v>#VALUE!</v>
      </c>
      <c r="M1919" t="str">
        <f>IF(NOT(ISBLANK(A1919)),VLOOKUP(A1919,'Close - PriceSaver'!A:J,6,0),"")</f>
        <v/>
      </c>
    </row>
    <row r="1920" spans="2:13" x14ac:dyDescent="0.35">
      <c r="B1920" t="str">
        <f>IF(NOT(ISBLANK(A1920)),VLOOKUP(A1920,'BBT3'!A:F,2,0),"")</f>
        <v/>
      </c>
      <c r="C1920" t="str">
        <f>IF(NOT(ISBLANK(A1920)),VLOOKUP(A1920,'BBT3'!A:F,3,0),"")</f>
        <v/>
      </c>
      <c r="D1920" s="5" t="str">
        <f>IF(NOT(ISBLANK(A1920)),VLOOKUP(A1920,'BBT3'!A:F,4,1),"")</f>
        <v/>
      </c>
      <c r="E1920" t="str">
        <f>IF(NOT(ISBLANK(A1920)),VLOOKUP(A1920,'BBT3'!A:F,5,0),"")</f>
        <v/>
      </c>
      <c r="F1920" t="str">
        <f>IF(NOT(ISBLANK(A1920)),VLOOKUP(A1920,'BBT3'!A:F,6,0),"")</f>
        <v/>
      </c>
      <c r="G1920" t="str">
        <f t="shared" si="228"/>
        <v/>
      </c>
      <c r="H1920" t="str">
        <f>IF(NOT(ISBLANK(A1920)),VLOOKUP(A1920,'Close - PriceSaver'!A:J,5,0),"")</f>
        <v/>
      </c>
      <c r="I1920" s="4" t="str" cm="1">
        <f t="array" ref="I1920">IF(NOT(ISBLANK(A1920)),((_xlfn.XLOOKUP(1,(_bbt3[[#All],[ID]]=A1920)*(_bbt3[[#All],[METRIC_NAME]]="YLD_YTM_ASK"),_bbt3[[#All],[METRIC_VALUE]])*0.5)+(_xlfn.XLOOKUP(1,(_bbt3[[#All],[ID]]=A1920)*(_bbt3[[#All],[METRIC_NAME]]="YLD_YTM_BID"),_bbt3[[#All],[METRIC_VALUE]])*0.5))/100,"")</f>
        <v/>
      </c>
      <c r="J1920">
        <f>IF(ISNA(VLOOKUP(A1920,'CloseDL - PriceSaverBBT3'!A:E,5,0)),0,VLOOKUP(A1920,'CloseDL - PriceSaverBBT3'!A:E,5,0))</f>
        <v>0</v>
      </c>
      <c r="K1920" s="7" t="str">
        <f t="shared" si="229"/>
        <v/>
      </c>
      <c r="L1920" s="20" t="e">
        <f>IF(Close[[#This Row],[CreatedBy]]="MARINER\SilverAdm",1,0)</f>
        <v>#VALUE!</v>
      </c>
      <c r="M1920" t="str">
        <f>IF(NOT(ISBLANK(A1920)),VLOOKUP(A1920,'Close - PriceSaver'!A:J,6,0),"")</f>
        <v/>
      </c>
    </row>
    <row r="1921" spans="2:13" x14ac:dyDescent="0.35">
      <c r="B1921" t="str">
        <f>IF(NOT(ISBLANK(A1921)),VLOOKUP(A1921,'BBT3'!A:F,2,0),"")</f>
        <v/>
      </c>
      <c r="C1921" t="str">
        <f>IF(NOT(ISBLANK(A1921)),VLOOKUP(A1921,'BBT3'!A:F,3,0),"")</f>
        <v/>
      </c>
      <c r="D1921" s="5" t="str">
        <f>IF(NOT(ISBLANK(A1921)),VLOOKUP(A1921,'BBT3'!A:F,4,1),"")</f>
        <v/>
      </c>
      <c r="E1921" t="str">
        <f>IF(NOT(ISBLANK(A1921)),VLOOKUP(A1921,'BBT3'!A:F,5,0),"")</f>
        <v/>
      </c>
      <c r="F1921" t="str">
        <f>IF(NOT(ISBLANK(A1921)),VLOOKUP(A1921,'BBT3'!A:F,6,0),"")</f>
        <v/>
      </c>
      <c r="G1921" t="str">
        <f t="shared" si="228"/>
        <v/>
      </c>
      <c r="H1921" t="str">
        <f>IF(NOT(ISBLANK(A1921)),VLOOKUP(A1921,'Close - PriceSaver'!A:J,5,0),"")</f>
        <v/>
      </c>
      <c r="I1921" s="4" t="str" cm="1">
        <f t="array" ref="I1921">IF(NOT(ISBLANK(A1921)),((_xlfn.XLOOKUP(1,(_bbt3[[#All],[ID]]=A1921)*(_bbt3[[#All],[METRIC_NAME]]="YLD_YTM_ASK"),_bbt3[[#All],[METRIC_VALUE]])*0.5)+(_xlfn.XLOOKUP(1,(_bbt3[[#All],[ID]]=A1921)*(_bbt3[[#All],[METRIC_NAME]]="YLD_YTM_BID"),_bbt3[[#All],[METRIC_VALUE]])*0.5))/100,"")</f>
        <v/>
      </c>
      <c r="J1921">
        <f>IF(ISNA(VLOOKUP(A1921,'CloseDL - PriceSaverBBT3'!A:E,5,0)),0,VLOOKUP(A1921,'CloseDL - PriceSaverBBT3'!A:E,5,0))</f>
        <v>0</v>
      </c>
      <c r="K1921" s="7" t="str">
        <f t="shared" si="229"/>
        <v/>
      </c>
      <c r="L1921" s="20" t="e">
        <f>IF(Close[[#This Row],[CreatedBy]]="MARINER\SilverAdm",1,0)</f>
        <v>#VALUE!</v>
      </c>
      <c r="M1921" t="str">
        <f>IF(NOT(ISBLANK(A1921)),VLOOKUP(A1921,'Close - PriceSaver'!A:J,6,0),"")</f>
        <v/>
      </c>
    </row>
    <row r="1922" spans="2:13" x14ac:dyDescent="0.35">
      <c r="B1922" t="str">
        <f>IF(NOT(ISBLANK(A1922)),VLOOKUP(A1922,'BBT3'!A:F,2,0),"")</f>
        <v/>
      </c>
      <c r="C1922" t="str">
        <f>IF(NOT(ISBLANK(A1922)),VLOOKUP(A1922,'BBT3'!A:F,3,0),"")</f>
        <v/>
      </c>
      <c r="D1922" s="5" t="str">
        <f>IF(NOT(ISBLANK(A1922)),VLOOKUP(A1922,'BBT3'!A:F,4,1),"")</f>
        <v/>
      </c>
      <c r="E1922" t="str">
        <f>IF(NOT(ISBLANK(A1922)),VLOOKUP(A1922,'BBT3'!A:F,5,0),"")</f>
        <v/>
      </c>
      <c r="F1922" t="str">
        <f>IF(NOT(ISBLANK(A1922)),VLOOKUP(A1922,'BBT3'!A:F,6,0),"")</f>
        <v/>
      </c>
      <c r="G1922" t="str">
        <f t="shared" si="228"/>
        <v/>
      </c>
      <c r="H1922" t="str">
        <f>IF(NOT(ISBLANK(A1922)),VLOOKUP(A1922,'Close - PriceSaver'!A:J,5,0),"")</f>
        <v/>
      </c>
      <c r="I1922" s="4" t="str" cm="1">
        <f t="array" ref="I1922">IF(NOT(ISBLANK(A1922)),((_xlfn.XLOOKUP(1,(_bbt3[[#All],[ID]]=A1922)*(_bbt3[[#All],[METRIC_NAME]]="YLD_YTM_ASK"),_bbt3[[#All],[METRIC_VALUE]])*0.5)+(_xlfn.XLOOKUP(1,(_bbt3[[#All],[ID]]=A1922)*(_bbt3[[#All],[METRIC_NAME]]="YLD_YTM_BID"),_bbt3[[#All],[METRIC_VALUE]])*0.5))/100,"")</f>
        <v/>
      </c>
      <c r="J1922">
        <f>IF(ISNA(VLOOKUP(A1922,'CloseDL - PriceSaverBBT3'!A:E,5,0)),0,VLOOKUP(A1922,'CloseDL - PriceSaverBBT3'!A:E,5,0))</f>
        <v>0</v>
      </c>
      <c r="K1922" s="7" t="str">
        <f t="shared" si="229"/>
        <v/>
      </c>
      <c r="L1922" s="20" t="e">
        <f>IF(Close[[#This Row],[CreatedBy]]="MARINER\SilverAdm",1,0)</f>
        <v>#VALUE!</v>
      </c>
      <c r="M1922" t="str">
        <f>IF(NOT(ISBLANK(A1922)),VLOOKUP(A1922,'Close - PriceSaver'!A:J,6,0),"")</f>
        <v/>
      </c>
    </row>
    <row r="1923" spans="2:13" x14ac:dyDescent="0.35">
      <c r="B1923" t="str">
        <f>IF(NOT(ISBLANK(A1923)),VLOOKUP(A1923,'BBT3'!A:F,2,0),"")</f>
        <v/>
      </c>
      <c r="C1923" t="str">
        <f>IF(NOT(ISBLANK(A1923)),VLOOKUP(A1923,'BBT3'!A:F,3,0),"")</f>
        <v/>
      </c>
      <c r="D1923" s="5" t="str">
        <f>IF(NOT(ISBLANK(A1923)),VLOOKUP(A1923,'BBT3'!A:F,4,1),"")</f>
        <v/>
      </c>
      <c r="E1923" t="str">
        <f>IF(NOT(ISBLANK(A1923)),VLOOKUP(A1923,'BBT3'!A:F,5,0),"")</f>
        <v/>
      </c>
      <c r="F1923" t="str">
        <f>IF(NOT(ISBLANK(A1923)),VLOOKUP(A1923,'BBT3'!A:F,6,0),"")</f>
        <v/>
      </c>
      <c r="G1923" t="str">
        <f t="shared" ref="G1923:G1986" si="230">IF(NOT(ISBLANK(A1923)),IF(D1923=0,"Y","N"),"")</f>
        <v/>
      </c>
      <c r="H1923" t="str">
        <f>IF(NOT(ISBLANK(A1923)),VLOOKUP(A1923,'Close - PriceSaver'!A:J,5,0),"")</f>
        <v/>
      </c>
      <c r="I1923" s="4" t="str" cm="1">
        <f t="array" ref="I1923">IF(NOT(ISBLANK(A1923)),((_xlfn.XLOOKUP(1,(_bbt3[[#All],[ID]]=A1923)*(_bbt3[[#All],[METRIC_NAME]]="YLD_YTM_ASK"),_bbt3[[#All],[METRIC_VALUE]])*0.5)+(_xlfn.XLOOKUP(1,(_bbt3[[#All],[ID]]=A1923)*(_bbt3[[#All],[METRIC_NAME]]="YLD_YTM_BID"),_bbt3[[#All],[METRIC_VALUE]])*0.5))/100,"")</f>
        <v/>
      </c>
      <c r="J1923">
        <f>IF(ISNA(VLOOKUP(A1923,'CloseDL - PriceSaverBBT3'!A:E,5,0)),0,VLOOKUP(A1923,'CloseDL - PriceSaverBBT3'!A:E,5,0))</f>
        <v>0</v>
      </c>
      <c r="K1923" s="7" t="str">
        <f t="shared" ref="K1923:K1986" si="231">IF(ISNA(IF(NOT(ISBLANK(A1923)),ABS(H1923-J1923),"")),0,(IF(NOT(ISBLANK(A1923)),ABS(H1923-J1923)*10000,"")))</f>
        <v/>
      </c>
      <c r="L1923" s="20" t="e">
        <f>IF(Close[[#This Row],[CreatedBy]]="MARINER\SilverAdm",1,0)</f>
        <v>#VALUE!</v>
      </c>
      <c r="M1923" t="str">
        <f>IF(NOT(ISBLANK(A1923)),VLOOKUP(A1923,'Close - PriceSaver'!A:J,6,0),"")</f>
        <v/>
      </c>
    </row>
    <row r="1924" spans="2:13" x14ac:dyDescent="0.35">
      <c r="B1924" t="str">
        <f>IF(NOT(ISBLANK(A1924)),VLOOKUP(A1924,'BBT3'!A:F,2,0),"")</f>
        <v/>
      </c>
      <c r="C1924" t="str">
        <f>IF(NOT(ISBLANK(A1924)),VLOOKUP(A1924,'BBT3'!A:F,3,0),"")</f>
        <v/>
      </c>
      <c r="D1924" s="5" t="str">
        <f>IF(NOT(ISBLANK(A1924)),VLOOKUP(A1924,'BBT3'!A:F,4,1),"")</f>
        <v/>
      </c>
      <c r="E1924" t="str">
        <f>IF(NOT(ISBLANK(A1924)),VLOOKUP(A1924,'BBT3'!A:F,5,0),"")</f>
        <v/>
      </c>
      <c r="F1924" t="str">
        <f>IF(NOT(ISBLANK(A1924)),VLOOKUP(A1924,'BBT3'!A:F,6,0),"")</f>
        <v/>
      </c>
      <c r="G1924" t="str">
        <f t="shared" si="230"/>
        <v/>
      </c>
      <c r="H1924" t="str">
        <f>IF(NOT(ISBLANK(A1924)),VLOOKUP(A1924,'Close - PriceSaver'!A:J,5,0),"")</f>
        <v/>
      </c>
      <c r="I1924" s="4" t="str" cm="1">
        <f t="array" ref="I1924">IF(NOT(ISBLANK(A1924)),((_xlfn.XLOOKUP(1,(_bbt3[[#All],[ID]]=A1924)*(_bbt3[[#All],[METRIC_NAME]]="YLD_YTM_ASK"),_bbt3[[#All],[METRIC_VALUE]])*0.5)+(_xlfn.XLOOKUP(1,(_bbt3[[#All],[ID]]=A1924)*(_bbt3[[#All],[METRIC_NAME]]="YLD_YTM_BID"),_bbt3[[#All],[METRIC_VALUE]])*0.5))/100,"")</f>
        <v/>
      </c>
      <c r="J1924">
        <f>IF(ISNA(VLOOKUP(A1924,'CloseDL - PriceSaverBBT3'!A:E,5,0)),0,VLOOKUP(A1924,'CloseDL - PriceSaverBBT3'!A:E,5,0))</f>
        <v>0</v>
      </c>
      <c r="K1924" s="7" t="str">
        <f t="shared" si="231"/>
        <v/>
      </c>
      <c r="L1924" s="20" t="e">
        <f>IF(Close[[#This Row],[CreatedBy]]="MARINER\SilverAdm",1,0)</f>
        <v>#VALUE!</v>
      </c>
      <c r="M1924" t="str">
        <f>IF(NOT(ISBLANK(A1924)),VLOOKUP(A1924,'Close - PriceSaver'!A:J,6,0),"")</f>
        <v/>
      </c>
    </row>
    <row r="1925" spans="2:13" x14ac:dyDescent="0.35">
      <c r="B1925" t="str">
        <f>IF(NOT(ISBLANK(A1925)),VLOOKUP(A1925,'BBT3'!A:F,2,0),"")</f>
        <v/>
      </c>
      <c r="C1925" t="str">
        <f>IF(NOT(ISBLANK(A1925)),VLOOKUP(A1925,'BBT3'!A:F,3,0),"")</f>
        <v/>
      </c>
      <c r="D1925" s="5" t="str">
        <f>IF(NOT(ISBLANK(A1925)),VLOOKUP(A1925,'BBT3'!A:F,4,1),"")</f>
        <v/>
      </c>
      <c r="E1925" t="str">
        <f>IF(NOT(ISBLANK(A1925)),VLOOKUP(A1925,'BBT3'!A:F,5,0),"")</f>
        <v/>
      </c>
      <c r="F1925" t="str">
        <f>IF(NOT(ISBLANK(A1925)),VLOOKUP(A1925,'BBT3'!A:F,6,0),"")</f>
        <v/>
      </c>
      <c r="G1925" t="str">
        <f t="shared" si="230"/>
        <v/>
      </c>
      <c r="H1925" t="str">
        <f>IF(NOT(ISBLANK(A1925)),VLOOKUP(A1925,'Close - PriceSaver'!A:J,5,0),"")</f>
        <v/>
      </c>
      <c r="I1925" s="4" t="str" cm="1">
        <f t="array" ref="I1925">IF(NOT(ISBLANK(A1925)),((_xlfn.XLOOKUP(1,(_bbt3[[#All],[ID]]=A1925)*(_bbt3[[#All],[METRIC_NAME]]="YLD_YTM_ASK"),_bbt3[[#All],[METRIC_VALUE]])*0.5)+(_xlfn.XLOOKUP(1,(_bbt3[[#All],[ID]]=A1925)*(_bbt3[[#All],[METRIC_NAME]]="YLD_YTM_BID"),_bbt3[[#All],[METRIC_VALUE]])*0.5))/100,"")</f>
        <v/>
      </c>
      <c r="J1925">
        <f>IF(ISNA(VLOOKUP(A1925,'CloseDL - PriceSaverBBT3'!A:E,5,0)),0,VLOOKUP(A1925,'CloseDL - PriceSaverBBT3'!A:E,5,0))</f>
        <v>0</v>
      </c>
      <c r="K1925" s="7" t="str">
        <f t="shared" si="231"/>
        <v/>
      </c>
      <c r="L1925" s="20" t="e">
        <f>IF(Close[[#This Row],[CreatedBy]]="MARINER\SilverAdm",1,0)</f>
        <v>#VALUE!</v>
      </c>
      <c r="M1925" t="str">
        <f>IF(NOT(ISBLANK(A1925)),VLOOKUP(A1925,'Close - PriceSaver'!A:J,6,0),"")</f>
        <v/>
      </c>
    </row>
    <row r="1926" spans="2:13" x14ac:dyDescent="0.35">
      <c r="B1926" t="str">
        <f>IF(NOT(ISBLANK(A1926)),VLOOKUP(A1926,'BBT3'!A:F,2,0),"")</f>
        <v/>
      </c>
      <c r="C1926" t="str">
        <f>IF(NOT(ISBLANK(A1926)),VLOOKUP(A1926,'BBT3'!A:F,3,0),"")</f>
        <v/>
      </c>
      <c r="D1926" s="5" t="str">
        <f>IF(NOT(ISBLANK(A1926)),VLOOKUP(A1926,'BBT3'!A:F,4,1),"")</f>
        <v/>
      </c>
      <c r="E1926" t="str">
        <f>IF(NOT(ISBLANK(A1926)),VLOOKUP(A1926,'BBT3'!A:F,5,0),"")</f>
        <v/>
      </c>
      <c r="F1926" t="str">
        <f>IF(NOT(ISBLANK(A1926)),VLOOKUP(A1926,'BBT3'!A:F,6,0),"")</f>
        <v/>
      </c>
      <c r="G1926" t="str">
        <f t="shared" si="230"/>
        <v/>
      </c>
      <c r="H1926" t="str">
        <f>IF(NOT(ISBLANK(A1926)),VLOOKUP(A1926,'Close - PriceSaver'!A:J,5,0),"")</f>
        <v/>
      </c>
      <c r="I1926" s="4" t="str" cm="1">
        <f t="array" ref="I1926">IF(NOT(ISBLANK(A1926)),((_xlfn.XLOOKUP(1,(_bbt3[[#All],[ID]]=A1926)*(_bbt3[[#All],[METRIC_NAME]]="YLD_YTM_ASK"),_bbt3[[#All],[METRIC_VALUE]])*0.5)+(_xlfn.XLOOKUP(1,(_bbt3[[#All],[ID]]=A1926)*(_bbt3[[#All],[METRIC_NAME]]="YLD_YTM_BID"),_bbt3[[#All],[METRIC_VALUE]])*0.5))/100,"")</f>
        <v/>
      </c>
      <c r="J1926">
        <f>IF(ISNA(VLOOKUP(A1926,'CloseDL - PriceSaverBBT3'!A:E,5,0)),0,VLOOKUP(A1926,'CloseDL - PriceSaverBBT3'!A:E,5,0))</f>
        <v>0</v>
      </c>
      <c r="K1926" s="7" t="str">
        <f t="shared" si="231"/>
        <v/>
      </c>
      <c r="L1926" s="20" t="e">
        <f>IF(Close[[#This Row],[CreatedBy]]="MARINER\SilverAdm",1,0)</f>
        <v>#VALUE!</v>
      </c>
      <c r="M1926" t="str">
        <f>IF(NOT(ISBLANK(A1926)),VLOOKUP(A1926,'Close - PriceSaver'!A:J,6,0),"")</f>
        <v/>
      </c>
    </row>
    <row r="1927" spans="2:13" x14ac:dyDescent="0.35">
      <c r="B1927" t="str">
        <f>IF(NOT(ISBLANK(A1927)),VLOOKUP(A1927,'BBT3'!A:F,2,0),"")</f>
        <v/>
      </c>
      <c r="C1927" t="str">
        <f>IF(NOT(ISBLANK(A1927)),VLOOKUP(A1927,'BBT3'!A:F,3,0),"")</f>
        <v/>
      </c>
      <c r="D1927" s="5" t="str">
        <f>IF(NOT(ISBLANK(A1927)),VLOOKUP(A1927,'BBT3'!A:F,4,1),"")</f>
        <v/>
      </c>
      <c r="E1927" t="str">
        <f>IF(NOT(ISBLANK(A1927)),VLOOKUP(A1927,'BBT3'!A:F,5,0),"")</f>
        <v/>
      </c>
      <c r="F1927" t="str">
        <f>IF(NOT(ISBLANK(A1927)),VLOOKUP(A1927,'BBT3'!A:F,6,0),"")</f>
        <v/>
      </c>
      <c r="G1927" t="str">
        <f t="shared" si="230"/>
        <v/>
      </c>
      <c r="H1927" t="str">
        <f>IF(NOT(ISBLANK(A1927)),VLOOKUP(A1927,'Close - PriceSaver'!A:J,5,0),"")</f>
        <v/>
      </c>
      <c r="I1927" s="4" t="str" cm="1">
        <f t="array" ref="I1927">IF(NOT(ISBLANK(A1927)),((_xlfn.XLOOKUP(1,(_bbt3[[#All],[ID]]=A1927)*(_bbt3[[#All],[METRIC_NAME]]="YLD_YTM_ASK"),_bbt3[[#All],[METRIC_VALUE]])*0.5)+(_xlfn.XLOOKUP(1,(_bbt3[[#All],[ID]]=A1927)*(_bbt3[[#All],[METRIC_NAME]]="YLD_YTM_BID"),_bbt3[[#All],[METRIC_VALUE]])*0.5))/100,"")</f>
        <v/>
      </c>
      <c r="J1927">
        <f>IF(ISNA(VLOOKUP(A1927,'CloseDL - PriceSaverBBT3'!A:E,5,0)),0,VLOOKUP(A1927,'CloseDL - PriceSaverBBT3'!A:E,5,0))</f>
        <v>0</v>
      </c>
      <c r="K1927" s="7" t="str">
        <f t="shared" si="231"/>
        <v/>
      </c>
      <c r="L1927" s="20" t="e">
        <f>IF(Close[[#This Row],[CreatedBy]]="MARINER\SilverAdm",1,0)</f>
        <v>#VALUE!</v>
      </c>
      <c r="M1927" t="str">
        <f>IF(NOT(ISBLANK(A1927)),VLOOKUP(A1927,'Close - PriceSaver'!A:J,6,0),"")</f>
        <v/>
      </c>
    </row>
    <row r="1928" spans="2:13" x14ac:dyDescent="0.35">
      <c r="B1928" t="str">
        <f>IF(NOT(ISBLANK(A1928)),VLOOKUP(A1928,'BBT3'!A:F,2,0),"")</f>
        <v/>
      </c>
      <c r="C1928" t="str">
        <f>IF(NOT(ISBLANK(A1928)),VLOOKUP(A1928,'BBT3'!A:F,3,0),"")</f>
        <v/>
      </c>
      <c r="D1928" s="5" t="str">
        <f>IF(NOT(ISBLANK(A1928)),VLOOKUP(A1928,'BBT3'!A:F,4,1),"")</f>
        <v/>
      </c>
      <c r="E1928" t="str">
        <f>IF(NOT(ISBLANK(A1928)),VLOOKUP(A1928,'BBT3'!A:F,5,0),"")</f>
        <v/>
      </c>
      <c r="F1928" t="str">
        <f>IF(NOT(ISBLANK(A1928)),VLOOKUP(A1928,'BBT3'!A:F,6,0),"")</f>
        <v/>
      </c>
      <c r="G1928" t="str">
        <f t="shared" si="230"/>
        <v/>
      </c>
      <c r="H1928" t="str">
        <f>IF(NOT(ISBLANK(A1928)),VLOOKUP(A1928,'Close - PriceSaver'!A:J,5,0),"")</f>
        <v/>
      </c>
      <c r="I1928" s="4" t="str" cm="1">
        <f t="array" ref="I1928">IF(NOT(ISBLANK(A1928)),((_xlfn.XLOOKUP(1,(_bbt3[[#All],[ID]]=A1928)*(_bbt3[[#All],[METRIC_NAME]]="YLD_YTM_ASK"),_bbt3[[#All],[METRIC_VALUE]])*0.5)+(_xlfn.XLOOKUP(1,(_bbt3[[#All],[ID]]=A1928)*(_bbt3[[#All],[METRIC_NAME]]="YLD_YTM_BID"),_bbt3[[#All],[METRIC_VALUE]])*0.5))/100,"")</f>
        <v/>
      </c>
      <c r="J1928">
        <f>IF(ISNA(VLOOKUP(A1928,'CloseDL - PriceSaverBBT3'!A:E,5,0)),0,VLOOKUP(A1928,'CloseDL - PriceSaverBBT3'!A:E,5,0))</f>
        <v>0</v>
      </c>
      <c r="K1928" s="7" t="str">
        <f t="shared" si="231"/>
        <v/>
      </c>
      <c r="L1928" s="20" t="e">
        <f>IF(Close[[#This Row],[CreatedBy]]="MARINER\SilverAdm",1,0)</f>
        <v>#VALUE!</v>
      </c>
      <c r="M1928" t="str">
        <f>IF(NOT(ISBLANK(A1928)),VLOOKUP(A1928,'Close - PriceSaver'!A:J,6,0),"")</f>
        <v/>
      </c>
    </row>
    <row r="1929" spans="2:13" x14ac:dyDescent="0.35">
      <c r="B1929" t="str">
        <f>IF(NOT(ISBLANK(A1929)),VLOOKUP(A1929,'BBT3'!A:F,2,0),"")</f>
        <v/>
      </c>
      <c r="C1929" t="str">
        <f>IF(NOT(ISBLANK(A1929)),VLOOKUP(A1929,'BBT3'!A:F,3,0),"")</f>
        <v/>
      </c>
      <c r="D1929" s="5" t="str">
        <f>IF(NOT(ISBLANK(A1929)),VLOOKUP(A1929,'BBT3'!A:F,4,1),"")</f>
        <v/>
      </c>
      <c r="E1929" t="str">
        <f>IF(NOT(ISBLANK(A1929)),VLOOKUP(A1929,'BBT3'!A:F,5,0),"")</f>
        <v/>
      </c>
      <c r="F1929" t="str">
        <f>IF(NOT(ISBLANK(A1929)),VLOOKUP(A1929,'BBT3'!A:F,6,0),"")</f>
        <v/>
      </c>
      <c r="G1929" t="str">
        <f t="shared" si="230"/>
        <v/>
      </c>
      <c r="H1929" t="str">
        <f>IF(NOT(ISBLANK(A1929)),VLOOKUP(A1929,'Close - PriceSaver'!A:J,5,0),"")</f>
        <v/>
      </c>
      <c r="I1929" s="4" t="str" cm="1">
        <f t="array" ref="I1929">IF(NOT(ISBLANK(A1929)),((_xlfn.XLOOKUP(1,(_bbt3[[#All],[ID]]=A1929)*(_bbt3[[#All],[METRIC_NAME]]="YLD_YTM_ASK"),_bbt3[[#All],[METRIC_VALUE]])*0.5)+(_xlfn.XLOOKUP(1,(_bbt3[[#All],[ID]]=A1929)*(_bbt3[[#All],[METRIC_NAME]]="YLD_YTM_BID"),_bbt3[[#All],[METRIC_VALUE]])*0.5))/100,"")</f>
        <v/>
      </c>
      <c r="J1929">
        <f>IF(ISNA(VLOOKUP(A1929,'CloseDL - PriceSaverBBT3'!A:E,5,0)),0,VLOOKUP(A1929,'CloseDL - PriceSaverBBT3'!A:E,5,0))</f>
        <v>0</v>
      </c>
      <c r="K1929" s="7" t="str">
        <f t="shared" si="231"/>
        <v/>
      </c>
      <c r="L1929" s="20" t="e">
        <f>IF(Close[[#This Row],[CreatedBy]]="MARINER\SilverAdm",1,0)</f>
        <v>#VALUE!</v>
      </c>
      <c r="M1929" t="str">
        <f>IF(NOT(ISBLANK(A1929)),VLOOKUP(A1929,'Close - PriceSaver'!A:J,6,0),"")</f>
        <v/>
      </c>
    </row>
    <row r="1930" spans="2:13" x14ac:dyDescent="0.35">
      <c r="B1930" t="str">
        <f>IF(NOT(ISBLANK(A1930)),VLOOKUP(A1930,'BBT3'!A:F,2,0),"")</f>
        <v/>
      </c>
      <c r="C1930" t="str">
        <f>IF(NOT(ISBLANK(A1930)),VLOOKUP(A1930,'BBT3'!A:F,3,0),"")</f>
        <v/>
      </c>
      <c r="D1930" s="5" t="str">
        <f>IF(NOT(ISBLANK(A1930)),VLOOKUP(A1930,'BBT3'!A:F,4,1),"")</f>
        <v/>
      </c>
      <c r="E1930" t="str">
        <f>IF(NOT(ISBLANK(A1930)),VLOOKUP(A1930,'BBT3'!A:F,5,0),"")</f>
        <v/>
      </c>
      <c r="F1930" t="str">
        <f>IF(NOT(ISBLANK(A1930)),VLOOKUP(A1930,'BBT3'!A:F,6,0),"")</f>
        <v/>
      </c>
      <c r="G1930" t="str">
        <f t="shared" si="230"/>
        <v/>
      </c>
      <c r="H1930" t="str">
        <f>IF(NOT(ISBLANK(A1930)),VLOOKUP(A1930,'Close - PriceSaver'!A:J,5,0),"")</f>
        <v/>
      </c>
      <c r="I1930" s="4" t="str" cm="1">
        <f t="array" ref="I1930">IF(NOT(ISBLANK(A1930)),((_xlfn.XLOOKUP(1,(_bbt3[[#All],[ID]]=A1930)*(_bbt3[[#All],[METRIC_NAME]]="YLD_YTM_ASK"),_bbt3[[#All],[METRIC_VALUE]])*0.5)+(_xlfn.XLOOKUP(1,(_bbt3[[#All],[ID]]=A1930)*(_bbt3[[#All],[METRIC_NAME]]="YLD_YTM_BID"),_bbt3[[#All],[METRIC_VALUE]])*0.5))/100,"")</f>
        <v/>
      </c>
      <c r="J1930">
        <f>IF(ISNA(VLOOKUP(A1930,'CloseDL - PriceSaverBBT3'!A:E,5,0)),0,VLOOKUP(A1930,'CloseDL - PriceSaverBBT3'!A:E,5,0))</f>
        <v>0</v>
      </c>
      <c r="K1930" s="7" t="str">
        <f t="shared" si="231"/>
        <v/>
      </c>
      <c r="L1930" s="20" t="e">
        <f>IF(Close[[#This Row],[CreatedBy]]="MARINER\SilverAdm",1,0)</f>
        <v>#VALUE!</v>
      </c>
      <c r="M1930" t="str">
        <f>IF(NOT(ISBLANK(A1930)),VLOOKUP(A1930,'Close - PriceSaver'!A:J,6,0),"")</f>
        <v/>
      </c>
    </row>
    <row r="1931" spans="2:13" x14ac:dyDescent="0.35">
      <c r="B1931" t="str">
        <f>IF(NOT(ISBLANK(A1931)),VLOOKUP(A1931,'BBT3'!A:F,2,0),"")</f>
        <v/>
      </c>
      <c r="C1931" t="str">
        <f>IF(NOT(ISBLANK(A1931)),VLOOKUP(A1931,'BBT3'!A:F,3,0),"")</f>
        <v/>
      </c>
      <c r="D1931" s="5" t="str">
        <f>IF(NOT(ISBLANK(A1931)),VLOOKUP(A1931,'BBT3'!A:F,4,1),"")</f>
        <v/>
      </c>
      <c r="E1931" t="str">
        <f>IF(NOT(ISBLANK(A1931)),VLOOKUP(A1931,'BBT3'!A:F,5,0),"")</f>
        <v/>
      </c>
      <c r="F1931" t="str">
        <f>IF(NOT(ISBLANK(A1931)),VLOOKUP(A1931,'BBT3'!A:F,6,0),"")</f>
        <v/>
      </c>
      <c r="G1931" t="str">
        <f t="shared" si="230"/>
        <v/>
      </c>
      <c r="H1931" t="str">
        <f>IF(NOT(ISBLANK(A1931)),VLOOKUP(A1931,'Close - PriceSaver'!A:J,5,0),"")</f>
        <v/>
      </c>
      <c r="I1931" s="4" t="str" cm="1">
        <f t="array" ref="I1931">IF(NOT(ISBLANK(A1931)),((_xlfn.XLOOKUP(1,(_bbt3[[#All],[ID]]=A1931)*(_bbt3[[#All],[METRIC_NAME]]="YLD_YTM_ASK"),_bbt3[[#All],[METRIC_VALUE]])*0.5)+(_xlfn.XLOOKUP(1,(_bbt3[[#All],[ID]]=A1931)*(_bbt3[[#All],[METRIC_NAME]]="YLD_YTM_BID"),_bbt3[[#All],[METRIC_VALUE]])*0.5))/100,"")</f>
        <v/>
      </c>
      <c r="J1931">
        <f>IF(ISNA(VLOOKUP(A1931,'CloseDL - PriceSaverBBT3'!A:E,5,0)),0,VLOOKUP(A1931,'CloseDL - PriceSaverBBT3'!A:E,5,0))</f>
        <v>0</v>
      </c>
      <c r="K1931" s="7" t="str">
        <f t="shared" si="231"/>
        <v/>
      </c>
      <c r="L1931" s="20" t="e">
        <f>IF(Close[[#This Row],[CreatedBy]]="MARINER\SilverAdm",1,0)</f>
        <v>#VALUE!</v>
      </c>
      <c r="M1931" t="str">
        <f>IF(NOT(ISBLANK(A1931)),VLOOKUP(A1931,'Close - PriceSaver'!A:J,6,0),"")</f>
        <v/>
      </c>
    </row>
    <row r="1932" spans="2:13" x14ac:dyDescent="0.35">
      <c r="B1932" t="str">
        <f>IF(NOT(ISBLANK(A1932)),VLOOKUP(A1932,'BBT3'!A:F,2,0),"")</f>
        <v/>
      </c>
      <c r="C1932" t="str">
        <f>IF(NOT(ISBLANK(A1932)),VLOOKUP(A1932,'BBT3'!A:F,3,0),"")</f>
        <v/>
      </c>
      <c r="D1932" s="5" t="str">
        <f>IF(NOT(ISBLANK(A1932)),VLOOKUP(A1932,'BBT3'!A:F,4,1),"")</f>
        <v/>
      </c>
      <c r="E1932" t="str">
        <f>IF(NOT(ISBLANK(A1932)),VLOOKUP(A1932,'BBT3'!A:F,5,0),"")</f>
        <v/>
      </c>
      <c r="F1932" t="str">
        <f>IF(NOT(ISBLANK(A1932)),VLOOKUP(A1932,'BBT3'!A:F,6,0),"")</f>
        <v/>
      </c>
      <c r="G1932" t="str">
        <f t="shared" si="230"/>
        <v/>
      </c>
      <c r="H1932" t="str">
        <f>IF(NOT(ISBLANK(A1932)),VLOOKUP(A1932,'Close - PriceSaver'!A:J,5,0),"")</f>
        <v/>
      </c>
      <c r="I1932" s="4" t="str" cm="1">
        <f t="array" ref="I1932">IF(NOT(ISBLANK(A1932)),((_xlfn.XLOOKUP(1,(_bbt3[[#All],[ID]]=A1932)*(_bbt3[[#All],[METRIC_NAME]]="YLD_YTM_ASK"),_bbt3[[#All],[METRIC_VALUE]])*0.5)+(_xlfn.XLOOKUP(1,(_bbt3[[#All],[ID]]=A1932)*(_bbt3[[#All],[METRIC_NAME]]="YLD_YTM_BID"),_bbt3[[#All],[METRIC_VALUE]])*0.5))/100,"")</f>
        <v/>
      </c>
      <c r="J1932">
        <f>IF(ISNA(VLOOKUP(A1932,'CloseDL - PriceSaverBBT3'!A:E,5,0)),0,VLOOKUP(A1932,'CloseDL - PriceSaverBBT3'!A:E,5,0))</f>
        <v>0</v>
      </c>
      <c r="K1932" s="7" t="str">
        <f t="shared" si="231"/>
        <v/>
      </c>
      <c r="L1932" s="20" t="e">
        <f>IF(Close[[#This Row],[CreatedBy]]="MARINER\SilverAdm",1,0)</f>
        <v>#VALUE!</v>
      </c>
      <c r="M1932" t="str">
        <f>IF(NOT(ISBLANK(A1932)),VLOOKUP(A1932,'Close - PriceSaver'!A:J,6,0),"")</f>
        <v/>
      </c>
    </row>
    <row r="1933" spans="2:13" x14ac:dyDescent="0.35">
      <c r="B1933" t="str">
        <f>IF(NOT(ISBLANK(A1933)),VLOOKUP(A1933,'BBT3'!A:F,2,0),"")</f>
        <v/>
      </c>
      <c r="C1933" t="str">
        <f>IF(NOT(ISBLANK(A1933)),VLOOKUP(A1933,'BBT3'!A:F,3,0),"")</f>
        <v/>
      </c>
      <c r="D1933" s="5" t="str">
        <f>IF(NOT(ISBLANK(A1933)),VLOOKUP(A1933,'BBT3'!A:F,4,1),"")</f>
        <v/>
      </c>
      <c r="E1933" t="str">
        <f>IF(NOT(ISBLANK(A1933)),VLOOKUP(A1933,'BBT3'!A:F,5,0),"")</f>
        <v/>
      </c>
      <c r="F1933" t="str">
        <f>IF(NOT(ISBLANK(A1933)),VLOOKUP(A1933,'BBT3'!A:F,6,0),"")</f>
        <v/>
      </c>
      <c r="G1933" t="str">
        <f t="shared" si="230"/>
        <v/>
      </c>
      <c r="H1933" t="str">
        <f>IF(NOT(ISBLANK(A1933)),VLOOKUP(A1933,'Close - PriceSaver'!A:J,5,0),"")</f>
        <v/>
      </c>
      <c r="I1933" s="4" t="str" cm="1">
        <f t="array" ref="I1933">IF(NOT(ISBLANK(A1933)),((_xlfn.XLOOKUP(1,(_bbt3[[#All],[ID]]=A1933)*(_bbt3[[#All],[METRIC_NAME]]="YLD_YTM_ASK"),_bbt3[[#All],[METRIC_VALUE]])*0.5)+(_xlfn.XLOOKUP(1,(_bbt3[[#All],[ID]]=A1933)*(_bbt3[[#All],[METRIC_NAME]]="YLD_YTM_BID"),_bbt3[[#All],[METRIC_VALUE]])*0.5))/100,"")</f>
        <v/>
      </c>
      <c r="J1933">
        <f>IF(ISNA(VLOOKUP(A1933,'CloseDL - PriceSaverBBT3'!A:E,5,0)),0,VLOOKUP(A1933,'CloseDL - PriceSaverBBT3'!A:E,5,0))</f>
        <v>0</v>
      </c>
      <c r="K1933" s="7" t="str">
        <f t="shared" si="231"/>
        <v/>
      </c>
      <c r="L1933" s="20" t="e">
        <f>IF(Close[[#This Row],[CreatedBy]]="MARINER\SilverAdm",1,0)</f>
        <v>#VALUE!</v>
      </c>
      <c r="M1933" t="str">
        <f>IF(NOT(ISBLANK(A1933)),VLOOKUP(A1933,'Close - PriceSaver'!A:J,6,0),"")</f>
        <v/>
      </c>
    </row>
    <row r="1934" spans="2:13" x14ac:dyDescent="0.35">
      <c r="B1934" t="str">
        <f>IF(NOT(ISBLANK(A1934)),VLOOKUP(A1934,'BBT3'!A:F,2,0),"")</f>
        <v/>
      </c>
      <c r="C1934" t="str">
        <f>IF(NOT(ISBLANK(A1934)),VLOOKUP(A1934,'BBT3'!A:F,3,0),"")</f>
        <v/>
      </c>
      <c r="D1934" s="5" t="str">
        <f>IF(NOT(ISBLANK(A1934)),VLOOKUP(A1934,'BBT3'!A:F,4,1),"")</f>
        <v/>
      </c>
      <c r="E1934" t="str">
        <f>IF(NOT(ISBLANK(A1934)),VLOOKUP(A1934,'BBT3'!A:F,5,0),"")</f>
        <v/>
      </c>
      <c r="F1934" t="str">
        <f>IF(NOT(ISBLANK(A1934)),VLOOKUP(A1934,'BBT3'!A:F,6,0),"")</f>
        <v/>
      </c>
      <c r="G1934" t="str">
        <f t="shared" si="230"/>
        <v/>
      </c>
      <c r="H1934" t="str">
        <f>IF(NOT(ISBLANK(A1934)),VLOOKUP(A1934,'Close - PriceSaver'!A:J,5,0),"")</f>
        <v/>
      </c>
      <c r="I1934" s="4" t="str" cm="1">
        <f t="array" ref="I1934">IF(NOT(ISBLANK(A1934)),((_xlfn.XLOOKUP(1,(_bbt3[[#All],[ID]]=A1934)*(_bbt3[[#All],[METRIC_NAME]]="YLD_YTM_ASK"),_bbt3[[#All],[METRIC_VALUE]])*0.5)+(_xlfn.XLOOKUP(1,(_bbt3[[#All],[ID]]=A1934)*(_bbt3[[#All],[METRIC_NAME]]="YLD_YTM_BID"),_bbt3[[#All],[METRIC_VALUE]])*0.5))/100,"")</f>
        <v/>
      </c>
      <c r="J1934">
        <f>IF(ISNA(VLOOKUP(A1934,'CloseDL - PriceSaverBBT3'!A:E,5,0)),0,VLOOKUP(A1934,'CloseDL - PriceSaverBBT3'!A:E,5,0))</f>
        <v>0</v>
      </c>
      <c r="K1934" s="7" t="str">
        <f t="shared" si="231"/>
        <v/>
      </c>
      <c r="L1934" s="20" t="e">
        <f>IF(Close[[#This Row],[CreatedBy]]="MARINER\SilverAdm",1,0)</f>
        <v>#VALUE!</v>
      </c>
      <c r="M1934" t="str">
        <f>IF(NOT(ISBLANK(A1934)),VLOOKUP(A1934,'Close - PriceSaver'!A:J,6,0),"")</f>
        <v/>
      </c>
    </row>
    <row r="1935" spans="2:13" x14ac:dyDescent="0.35">
      <c r="B1935" t="str">
        <f>IF(NOT(ISBLANK(A1935)),VLOOKUP(A1935,'BBT3'!A:F,2,0),"")</f>
        <v/>
      </c>
      <c r="C1935" t="str">
        <f>IF(NOT(ISBLANK(A1935)),VLOOKUP(A1935,'BBT3'!A:F,3,0),"")</f>
        <v/>
      </c>
      <c r="D1935" s="5" t="str">
        <f>IF(NOT(ISBLANK(A1935)),VLOOKUP(A1935,'BBT3'!A:F,4,1),"")</f>
        <v/>
      </c>
      <c r="E1935" t="str">
        <f>IF(NOT(ISBLANK(A1935)),VLOOKUP(A1935,'BBT3'!A:F,5,0),"")</f>
        <v/>
      </c>
      <c r="F1935" t="str">
        <f>IF(NOT(ISBLANK(A1935)),VLOOKUP(A1935,'BBT3'!A:F,6,0),"")</f>
        <v/>
      </c>
      <c r="G1935" t="str">
        <f t="shared" si="230"/>
        <v/>
      </c>
      <c r="H1935" t="str">
        <f>IF(NOT(ISBLANK(A1935)),VLOOKUP(A1935,'Close - PriceSaver'!A:J,5,0),"")</f>
        <v/>
      </c>
      <c r="I1935" s="4" t="str" cm="1">
        <f t="array" ref="I1935">IF(NOT(ISBLANK(A1935)),((_xlfn.XLOOKUP(1,(_bbt3[[#All],[ID]]=A1935)*(_bbt3[[#All],[METRIC_NAME]]="YLD_YTM_ASK"),_bbt3[[#All],[METRIC_VALUE]])*0.5)+(_xlfn.XLOOKUP(1,(_bbt3[[#All],[ID]]=A1935)*(_bbt3[[#All],[METRIC_NAME]]="YLD_YTM_BID"),_bbt3[[#All],[METRIC_VALUE]])*0.5))/100,"")</f>
        <v/>
      </c>
      <c r="J1935">
        <f>IF(ISNA(VLOOKUP(A1935,'CloseDL - PriceSaverBBT3'!A:E,5,0)),0,VLOOKUP(A1935,'CloseDL - PriceSaverBBT3'!A:E,5,0))</f>
        <v>0</v>
      </c>
      <c r="K1935" s="7" t="str">
        <f t="shared" si="231"/>
        <v/>
      </c>
      <c r="L1935" s="20" t="e">
        <f>IF(Close[[#This Row],[CreatedBy]]="MARINER\SilverAdm",1,0)</f>
        <v>#VALUE!</v>
      </c>
      <c r="M1935" t="str">
        <f>IF(NOT(ISBLANK(A1935)),VLOOKUP(A1935,'Close - PriceSaver'!A:J,6,0),"")</f>
        <v/>
      </c>
    </row>
    <row r="1936" spans="2:13" x14ac:dyDescent="0.35">
      <c r="B1936" t="str">
        <f>IF(NOT(ISBLANK(A1936)),VLOOKUP(A1936,'BBT3'!A:F,2,0),"")</f>
        <v/>
      </c>
      <c r="C1936" t="str">
        <f>IF(NOT(ISBLANK(A1936)),VLOOKUP(A1936,'BBT3'!A:F,3,0),"")</f>
        <v/>
      </c>
      <c r="D1936" s="5" t="str">
        <f>IF(NOT(ISBLANK(A1936)),VLOOKUP(A1936,'BBT3'!A:F,4,1),"")</f>
        <v/>
      </c>
      <c r="E1936" t="str">
        <f>IF(NOT(ISBLANK(A1936)),VLOOKUP(A1936,'BBT3'!A:F,5,0),"")</f>
        <v/>
      </c>
      <c r="F1936" t="str">
        <f>IF(NOT(ISBLANK(A1936)),VLOOKUP(A1936,'BBT3'!A:F,6,0),"")</f>
        <v/>
      </c>
      <c r="G1936" t="str">
        <f t="shared" si="230"/>
        <v/>
      </c>
      <c r="H1936" t="str">
        <f>IF(NOT(ISBLANK(A1936)),VLOOKUP(A1936,'Close - PriceSaver'!A:J,5,0),"")</f>
        <v/>
      </c>
      <c r="I1936" s="4" t="str" cm="1">
        <f t="array" ref="I1936">IF(NOT(ISBLANK(A1936)),((_xlfn.XLOOKUP(1,(_bbt3[[#All],[ID]]=A1936)*(_bbt3[[#All],[METRIC_NAME]]="YLD_YTM_ASK"),_bbt3[[#All],[METRIC_VALUE]])*0.5)+(_xlfn.XLOOKUP(1,(_bbt3[[#All],[ID]]=A1936)*(_bbt3[[#All],[METRIC_NAME]]="YLD_YTM_BID"),_bbt3[[#All],[METRIC_VALUE]])*0.5))/100,"")</f>
        <v/>
      </c>
      <c r="J1936">
        <f>IF(ISNA(VLOOKUP(A1936,'CloseDL - PriceSaverBBT3'!A:E,5,0)),0,VLOOKUP(A1936,'CloseDL - PriceSaverBBT3'!A:E,5,0))</f>
        <v>0</v>
      </c>
      <c r="K1936" s="7" t="str">
        <f t="shared" si="231"/>
        <v/>
      </c>
      <c r="L1936" s="20" t="e">
        <f>IF(Close[[#This Row],[CreatedBy]]="MARINER\SilverAdm",1,0)</f>
        <v>#VALUE!</v>
      </c>
      <c r="M1936" t="str">
        <f>IF(NOT(ISBLANK(A1936)),VLOOKUP(A1936,'Close - PriceSaver'!A:J,6,0),"")</f>
        <v/>
      </c>
    </row>
    <row r="1937" spans="2:13" x14ac:dyDescent="0.35">
      <c r="B1937" t="str">
        <f>IF(NOT(ISBLANK(A1937)),VLOOKUP(A1937,'BBT3'!A:F,2,0),"")</f>
        <v/>
      </c>
      <c r="C1937" t="str">
        <f>IF(NOT(ISBLANK(A1937)),VLOOKUP(A1937,'BBT3'!A:F,3,0),"")</f>
        <v/>
      </c>
      <c r="D1937" s="5" t="str">
        <f>IF(NOT(ISBLANK(A1937)),VLOOKUP(A1937,'BBT3'!A:F,4,1),"")</f>
        <v/>
      </c>
      <c r="E1937" t="str">
        <f>IF(NOT(ISBLANK(A1937)),VLOOKUP(A1937,'BBT3'!A:F,5,0),"")</f>
        <v/>
      </c>
      <c r="F1937" t="str">
        <f>IF(NOT(ISBLANK(A1937)),VLOOKUP(A1937,'BBT3'!A:F,6,0),"")</f>
        <v/>
      </c>
      <c r="G1937" t="str">
        <f t="shared" si="230"/>
        <v/>
      </c>
      <c r="H1937" t="str">
        <f>IF(NOT(ISBLANK(A1937)),VLOOKUP(A1937,'Close - PriceSaver'!A:J,5,0),"")</f>
        <v/>
      </c>
      <c r="I1937" s="4" t="str" cm="1">
        <f t="array" ref="I1937">IF(NOT(ISBLANK(A1937)),((_xlfn.XLOOKUP(1,(_bbt3[[#All],[ID]]=A1937)*(_bbt3[[#All],[METRIC_NAME]]="YLD_YTM_ASK"),_bbt3[[#All],[METRIC_VALUE]])*0.5)+(_xlfn.XLOOKUP(1,(_bbt3[[#All],[ID]]=A1937)*(_bbt3[[#All],[METRIC_NAME]]="YLD_YTM_BID"),_bbt3[[#All],[METRIC_VALUE]])*0.5))/100,"")</f>
        <v/>
      </c>
      <c r="J1937">
        <f>IF(ISNA(VLOOKUP(A1937,'CloseDL - PriceSaverBBT3'!A:E,5,0)),0,VLOOKUP(A1937,'CloseDL - PriceSaverBBT3'!A:E,5,0))</f>
        <v>0</v>
      </c>
      <c r="K1937" s="7" t="str">
        <f t="shared" si="231"/>
        <v/>
      </c>
      <c r="L1937" s="20" t="e">
        <f>IF(Close[[#This Row],[CreatedBy]]="MARINER\SilverAdm",1,0)</f>
        <v>#VALUE!</v>
      </c>
      <c r="M1937" t="str">
        <f>IF(NOT(ISBLANK(A1937)),VLOOKUP(A1937,'Close - PriceSaver'!A:J,6,0),"")</f>
        <v/>
      </c>
    </row>
    <row r="1938" spans="2:13" x14ac:dyDescent="0.35">
      <c r="B1938" t="str">
        <f>IF(NOT(ISBLANK(A1938)),VLOOKUP(A1938,'BBT3'!A:F,2,0),"")</f>
        <v/>
      </c>
      <c r="C1938" t="str">
        <f>IF(NOT(ISBLANK(A1938)),VLOOKUP(A1938,'BBT3'!A:F,3,0),"")</f>
        <v/>
      </c>
      <c r="D1938" s="5" t="str">
        <f>IF(NOT(ISBLANK(A1938)),VLOOKUP(A1938,'BBT3'!A:F,4,1),"")</f>
        <v/>
      </c>
      <c r="E1938" t="str">
        <f>IF(NOT(ISBLANK(A1938)),VLOOKUP(A1938,'BBT3'!A:F,5,0),"")</f>
        <v/>
      </c>
      <c r="F1938" t="str">
        <f>IF(NOT(ISBLANK(A1938)),VLOOKUP(A1938,'BBT3'!A:F,6,0),"")</f>
        <v/>
      </c>
      <c r="G1938" t="str">
        <f t="shared" si="230"/>
        <v/>
      </c>
      <c r="H1938" t="str">
        <f>IF(NOT(ISBLANK(A1938)),VLOOKUP(A1938,'Close - PriceSaver'!A:J,5,0),"")</f>
        <v/>
      </c>
      <c r="I1938" s="4" t="str" cm="1">
        <f t="array" ref="I1938">IF(NOT(ISBLANK(A1938)),((_xlfn.XLOOKUP(1,(_bbt3[[#All],[ID]]=A1938)*(_bbt3[[#All],[METRIC_NAME]]="YLD_YTM_ASK"),_bbt3[[#All],[METRIC_VALUE]])*0.5)+(_xlfn.XLOOKUP(1,(_bbt3[[#All],[ID]]=A1938)*(_bbt3[[#All],[METRIC_NAME]]="YLD_YTM_BID"),_bbt3[[#All],[METRIC_VALUE]])*0.5))/100,"")</f>
        <v/>
      </c>
      <c r="J1938">
        <f>IF(ISNA(VLOOKUP(A1938,'CloseDL - PriceSaverBBT3'!A:E,5,0)),0,VLOOKUP(A1938,'CloseDL - PriceSaverBBT3'!A:E,5,0))</f>
        <v>0</v>
      </c>
      <c r="K1938" s="7" t="str">
        <f t="shared" si="231"/>
        <v/>
      </c>
      <c r="L1938" s="20" t="e">
        <f>IF(Close[[#This Row],[CreatedBy]]="MARINER\SilverAdm",1,0)</f>
        <v>#VALUE!</v>
      </c>
      <c r="M1938" t="str">
        <f>IF(NOT(ISBLANK(A1938)),VLOOKUP(A1938,'Close - PriceSaver'!A:J,6,0),"")</f>
        <v/>
      </c>
    </row>
    <row r="1939" spans="2:13" x14ac:dyDescent="0.35">
      <c r="B1939" t="str">
        <f>IF(NOT(ISBLANK(A1939)),VLOOKUP(A1939,'BBT3'!A:F,2,0),"")</f>
        <v/>
      </c>
      <c r="C1939" t="str">
        <f>IF(NOT(ISBLANK(A1939)),VLOOKUP(A1939,'BBT3'!A:F,3,0),"")</f>
        <v/>
      </c>
      <c r="D1939" s="5" t="str">
        <f>IF(NOT(ISBLANK(A1939)),VLOOKUP(A1939,'BBT3'!A:F,4,1),"")</f>
        <v/>
      </c>
      <c r="E1939" t="str">
        <f>IF(NOT(ISBLANK(A1939)),VLOOKUP(A1939,'BBT3'!A:F,5,0),"")</f>
        <v/>
      </c>
      <c r="F1939" t="str">
        <f>IF(NOT(ISBLANK(A1939)),VLOOKUP(A1939,'BBT3'!A:F,6,0),"")</f>
        <v/>
      </c>
      <c r="G1939" t="str">
        <f t="shared" si="230"/>
        <v/>
      </c>
      <c r="H1939" t="str">
        <f>IF(NOT(ISBLANK(A1939)),VLOOKUP(A1939,'Close - PriceSaver'!A:J,5,0),"")</f>
        <v/>
      </c>
      <c r="I1939" s="4" t="str" cm="1">
        <f t="array" ref="I1939">IF(NOT(ISBLANK(A1939)),((_xlfn.XLOOKUP(1,(_bbt3[[#All],[ID]]=A1939)*(_bbt3[[#All],[METRIC_NAME]]="YLD_YTM_ASK"),_bbt3[[#All],[METRIC_VALUE]])*0.5)+(_xlfn.XLOOKUP(1,(_bbt3[[#All],[ID]]=A1939)*(_bbt3[[#All],[METRIC_NAME]]="YLD_YTM_BID"),_bbt3[[#All],[METRIC_VALUE]])*0.5))/100,"")</f>
        <v/>
      </c>
      <c r="J1939">
        <f>IF(ISNA(VLOOKUP(A1939,'CloseDL - PriceSaverBBT3'!A:E,5,0)),0,VLOOKUP(A1939,'CloseDL - PriceSaverBBT3'!A:E,5,0))</f>
        <v>0</v>
      </c>
      <c r="K1939" s="7" t="str">
        <f t="shared" si="231"/>
        <v/>
      </c>
      <c r="L1939" s="20" t="e">
        <f>IF(Close[[#This Row],[CreatedBy]]="MARINER\SilverAdm",1,0)</f>
        <v>#VALUE!</v>
      </c>
      <c r="M1939" t="str">
        <f>IF(NOT(ISBLANK(A1939)),VLOOKUP(A1939,'Close - PriceSaver'!A:J,6,0),"")</f>
        <v/>
      </c>
    </row>
    <row r="1940" spans="2:13" x14ac:dyDescent="0.35">
      <c r="B1940" t="str">
        <f>IF(NOT(ISBLANK(A1940)),VLOOKUP(A1940,'BBT3'!A:F,2,0),"")</f>
        <v/>
      </c>
      <c r="C1940" t="str">
        <f>IF(NOT(ISBLANK(A1940)),VLOOKUP(A1940,'BBT3'!A:F,3,0),"")</f>
        <v/>
      </c>
      <c r="D1940" s="5" t="str">
        <f>IF(NOT(ISBLANK(A1940)),VLOOKUP(A1940,'BBT3'!A:F,4,1),"")</f>
        <v/>
      </c>
      <c r="E1940" t="str">
        <f>IF(NOT(ISBLANK(A1940)),VLOOKUP(A1940,'BBT3'!A:F,5,0),"")</f>
        <v/>
      </c>
      <c r="F1940" t="str">
        <f>IF(NOT(ISBLANK(A1940)),VLOOKUP(A1940,'BBT3'!A:F,6,0),"")</f>
        <v/>
      </c>
      <c r="G1940" t="str">
        <f t="shared" si="230"/>
        <v/>
      </c>
      <c r="H1940" t="str">
        <f>IF(NOT(ISBLANK(A1940)),VLOOKUP(A1940,'Close - PriceSaver'!A:J,5,0),"")</f>
        <v/>
      </c>
      <c r="I1940" s="4" t="str" cm="1">
        <f t="array" ref="I1940">IF(NOT(ISBLANK(A1940)),((_xlfn.XLOOKUP(1,(_bbt3[[#All],[ID]]=A1940)*(_bbt3[[#All],[METRIC_NAME]]="YLD_YTM_ASK"),_bbt3[[#All],[METRIC_VALUE]])*0.5)+(_xlfn.XLOOKUP(1,(_bbt3[[#All],[ID]]=A1940)*(_bbt3[[#All],[METRIC_NAME]]="YLD_YTM_BID"),_bbt3[[#All],[METRIC_VALUE]])*0.5))/100,"")</f>
        <v/>
      </c>
      <c r="J1940">
        <f>IF(ISNA(VLOOKUP(A1940,'CloseDL - PriceSaverBBT3'!A:E,5,0)),0,VLOOKUP(A1940,'CloseDL - PriceSaverBBT3'!A:E,5,0))</f>
        <v>0</v>
      </c>
      <c r="K1940" s="7" t="str">
        <f t="shared" si="231"/>
        <v/>
      </c>
      <c r="L1940" s="20" t="e">
        <f>IF(Close[[#This Row],[CreatedBy]]="MARINER\SilverAdm",1,0)</f>
        <v>#VALUE!</v>
      </c>
      <c r="M1940" t="str">
        <f>IF(NOT(ISBLANK(A1940)),VLOOKUP(A1940,'Close - PriceSaver'!A:J,6,0),"")</f>
        <v/>
      </c>
    </row>
    <row r="1941" spans="2:13" x14ac:dyDescent="0.35">
      <c r="B1941" t="str">
        <f>IF(NOT(ISBLANK(A1941)),VLOOKUP(A1941,'BBT3'!A:F,2,0),"")</f>
        <v/>
      </c>
      <c r="C1941" t="str">
        <f>IF(NOT(ISBLANK(A1941)),VLOOKUP(A1941,'BBT3'!A:F,3,0),"")</f>
        <v/>
      </c>
      <c r="D1941" s="5" t="str">
        <f>IF(NOT(ISBLANK(A1941)),VLOOKUP(A1941,'BBT3'!A:F,4,1),"")</f>
        <v/>
      </c>
      <c r="E1941" t="str">
        <f>IF(NOT(ISBLANK(A1941)),VLOOKUP(A1941,'BBT3'!A:F,5,0),"")</f>
        <v/>
      </c>
      <c r="F1941" t="str">
        <f>IF(NOT(ISBLANK(A1941)),VLOOKUP(A1941,'BBT3'!A:F,6,0),"")</f>
        <v/>
      </c>
      <c r="G1941" t="str">
        <f t="shared" si="230"/>
        <v/>
      </c>
      <c r="H1941" t="str">
        <f>IF(NOT(ISBLANK(A1941)),VLOOKUP(A1941,'Close - PriceSaver'!A:J,5,0),"")</f>
        <v/>
      </c>
      <c r="I1941" s="4" t="str" cm="1">
        <f t="array" ref="I1941">IF(NOT(ISBLANK(A1941)),((_xlfn.XLOOKUP(1,(_bbt3[[#All],[ID]]=A1941)*(_bbt3[[#All],[METRIC_NAME]]="YLD_YTM_ASK"),_bbt3[[#All],[METRIC_VALUE]])*0.5)+(_xlfn.XLOOKUP(1,(_bbt3[[#All],[ID]]=A1941)*(_bbt3[[#All],[METRIC_NAME]]="YLD_YTM_BID"),_bbt3[[#All],[METRIC_VALUE]])*0.5))/100,"")</f>
        <v/>
      </c>
      <c r="J1941">
        <f>IF(ISNA(VLOOKUP(A1941,'CloseDL - PriceSaverBBT3'!A:E,5,0)),0,VLOOKUP(A1941,'CloseDL - PriceSaverBBT3'!A:E,5,0))</f>
        <v>0</v>
      </c>
      <c r="K1941" s="7" t="str">
        <f t="shared" si="231"/>
        <v/>
      </c>
      <c r="L1941" s="20" t="e">
        <f>IF(Close[[#This Row],[CreatedBy]]="MARINER\SilverAdm",1,0)</f>
        <v>#VALUE!</v>
      </c>
      <c r="M1941" t="str">
        <f>IF(NOT(ISBLANK(A1941)),VLOOKUP(A1941,'Close - PriceSaver'!A:J,6,0),"")</f>
        <v/>
      </c>
    </row>
    <row r="1942" spans="2:13" x14ac:dyDescent="0.35">
      <c r="B1942" t="str">
        <f>IF(NOT(ISBLANK(A1942)),VLOOKUP(A1942,'BBT3'!A:F,2,0),"")</f>
        <v/>
      </c>
      <c r="C1942" t="str">
        <f>IF(NOT(ISBLANK(A1942)),VLOOKUP(A1942,'BBT3'!A:F,3,0),"")</f>
        <v/>
      </c>
      <c r="D1942" s="5" t="str">
        <f>IF(NOT(ISBLANK(A1942)),VLOOKUP(A1942,'BBT3'!A:F,4,1),"")</f>
        <v/>
      </c>
      <c r="E1942" t="str">
        <f>IF(NOT(ISBLANK(A1942)),VLOOKUP(A1942,'BBT3'!A:F,5,0),"")</f>
        <v/>
      </c>
      <c r="F1942" t="str">
        <f>IF(NOT(ISBLANK(A1942)),VLOOKUP(A1942,'BBT3'!A:F,6,0),"")</f>
        <v/>
      </c>
      <c r="G1942" t="str">
        <f t="shared" si="230"/>
        <v/>
      </c>
      <c r="H1942" t="str">
        <f>IF(NOT(ISBLANK(A1942)),VLOOKUP(A1942,'Close - PriceSaver'!A:J,5,0),"")</f>
        <v/>
      </c>
      <c r="I1942" s="4" t="str" cm="1">
        <f t="array" ref="I1942">IF(NOT(ISBLANK(A1942)),((_xlfn.XLOOKUP(1,(_bbt3[[#All],[ID]]=A1942)*(_bbt3[[#All],[METRIC_NAME]]="YLD_YTM_ASK"),_bbt3[[#All],[METRIC_VALUE]])*0.5)+(_xlfn.XLOOKUP(1,(_bbt3[[#All],[ID]]=A1942)*(_bbt3[[#All],[METRIC_NAME]]="YLD_YTM_BID"),_bbt3[[#All],[METRIC_VALUE]])*0.5))/100,"")</f>
        <v/>
      </c>
      <c r="J1942">
        <f>IF(ISNA(VLOOKUP(A1942,'CloseDL - PriceSaverBBT3'!A:E,5,0)),0,VLOOKUP(A1942,'CloseDL - PriceSaverBBT3'!A:E,5,0))</f>
        <v>0</v>
      </c>
      <c r="K1942" s="7" t="str">
        <f t="shared" si="231"/>
        <v/>
      </c>
      <c r="L1942" s="20" t="e">
        <f>IF(Close[[#This Row],[CreatedBy]]="MARINER\SilverAdm",1,0)</f>
        <v>#VALUE!</v>
      </c>
      <c r="M1942" t="str">
        <f>IF(NOT(ISBLANK(A1942)),VLOOKUP(A1942,'Close - PriceSaver'!A:J,6,0),"")</f>
        <v/>
      </c>
    </row>
    <row r="1943" spans="2:13" x14ac:dyDescent="0.35">
      <c r="B1943" t="str">
        <f>IF(NOT(ISBLANK(A1943)),VLOOKUP(A1943,'BBT3'!A:F,2,0),"")</f>
        <v/>
      </c>
      <c r="C1943" t="str">
        <f>IF(NOT(ISBLANK(A1943)),VLOOKUP(A1943,'BBT3'!A:F,3,0),"")</f>
        <v/>
      </c>
      <c r="D1943" s="5" t="str">
        <f>IF(NOT(ISBLANK(A1943)),VLOOKUP(A1943,'BBT3'!A:F,4,1),"")</f>
        <v/>
      </c>
      <c r="E1943" t="str">
        <f>IF(NOT(ISBLANK(A1943)),VLOOKUP(A1943,'BBT3'!A:F,5,0),"")</f>
        <v/>
      </c>
      <c r="F1943" t="str">
        <f>IF(NOT(ISBLANK(A1943)),VLOOKUP(A1943,'BBT3'!A:F,6,0),"")</f>
        <v/>
      </c>
      <c r="G1943" t="str">
        <f t="shared" si="230"/>
        <v/>
      </c>
      <c r="H1943" t="str">
        <f>IF(NOT(ISBLANK(A1943)),VLOOKUP(A1943,'Close - PriceSaver'!A:J,5,0),"")</f>
        <v/>
      </c>
      <c r="I1943" s="4" t="str" cm="1">
        <f t="array" ref="I1943">IF(NOT(ISBLANK(A1943)),((_xlfn.XLOOKUP(1,(_bbt3[[#All],[ID]]=A1943)*(_bbt3[[#All],[METRIC_NAME]]="YLD_YTM_ASK"),_bbt3[[#All],[METRIC_VALUE]])*0.5)+(_xlfn.XLOOKUP(1,(_bbt3[[#All],[ID]]=A1943)*(_bbt3[[#All],[METRIC_NAME]]="YLD_YTM_BID"),_bbt3[[#All],[METRIC_VALUE]])*0.5))/100,"")</f>
        <v/>
      </c>
      <c r="J1943">
        <f>IF(ISNA(VLOOKUP(A1943,'CloseDL - PriceSaverBBT3'!A:E,5,0)),0,VLOOKUP(A1943,'CloseDL - PriceSaverBBT3'!A:E,5,0))</f>
        <v>0</v>
      </c>
      <c r="K1943" s="7" t="str">
        <f t="shared" si="231"/>
        <v/>
      </c>
      <c r="L1943" s="20" t="e">
        <f>IF(Close[[#This Row],[CreatedBy]]="MARINER\SilverAdm",1,0)</f>
        <v>#VALUE!</v>
      </c>
      <c r="M1943" t="str">
        <f>IF(NOT(ISBLANK(A1943)),VLOOKUP(A1943,'Close - PriceSaver'!A:J,6,0),"")</f>
        <v/>
      </c>
    </row>
    <row r="1944" spans="2:13" x14ac:dyDescent="0.35">
      <c r="B1944" t="str">
        <f>IF(NOT(ISBLANK(A1944)),VLOOKUP(A1944,'BBT3'!A:F,2,0),"")</f>
        <v/>
      </c>
      <c r="C1944" t="str">
        <f>IF(NOT(ISBLANK(A1944)),VLOOKUP(A1944,'BBT3'!A:F,3,0),"")</f>
        <v/>
      </c>
      <c r="D1944" s="5" t="str">
        <f>IF(NOT(ISBLANK(A1944)),VLOOKUP(A1944,'BBT3'!A:F,4,1),"")</f>
        <v/>
      </c>
      <c r="E1944" t="str">
        <f>IF(NOT(ISBLANK(A1944)),VLOOKUP(A1944,'BBT3'!A:F,5,0),"")</f>
        <v/>
      </c>
      <c r="F1944" t="str">
        <f>IF(NOT(ISBLANK(A1944)),VLOOKUP(A1944,'BBT3'!A:F,6,0),"")</f>
        <v/>
      </c>
      <c r="G1944" t="str">
        <f t="shared" si="230"/>
        <v/>
      </c>
      <c r="H1944" t="str">
        <f>IF(NOT(ISBLANK(A1944)),VLOOKUP(A1944,'Close - PriceSaver'!A:J,5,0),"")</f>
        <v/>
      </c>
      <c r="I1944" s="4" t="str" cm="1">
        <f t="array" ref="I1944">IF(NOT(ISBLANK(A1944)),((_xlfn.XLOOKUP(1,(_bbt3[[#All],[ID]]=A1944)*(_bbt3[[#All],[METRIC_NAME]]="YLD_YTM_ASK"),_bbt3[[#All],[METRIC_VALUE]])*0.5)+(_xlfn.XLOOKUP(1,(_bbt3[[#All],[ID]]=A1944)*(_bbt3[[#All],[METRIC_NAME]]="YLD_YTM_BID"),_bbt3[[#All],[METRIC_VALUE]])*0.5))/100,"")</f>
        <v/>
      </c>
      <c r="J1944">
        <f>IF(ISNA(VLOOKUP(A1944,'CloseDL - PriceSaverBBT3'!A:E,5,0)),0,VLOOKUP(A1944,'CloseDL - PriceSaverBBT3'!A:E,5,0))</f>
        <v>0</v>
      </c>
      <c r="K1944" s="7" t="str">
        <f t="shared" si="231"/>
        <v/>
      </c>
      <c r="L1944" s="20" t="e">
        <f>IF(Close[[#This Row],[CreatedBy]]="MARINER\SilverAdm",1,0)</f>
        <v>#VALUE!</v>
      </c>
      <c r="M1944" t="str">
        <f>IF(NOT(ISBLANK(A1944)),VLOOKUP(A1944,'Close - PriceSaver'!A:J,6,0),"")</f>
        <v/>
      </c>
    </row>
    <row r="1945" spans="2:13" x14ac:dyDescent="0.35">
      <c r="B1945" t="str">
        <f>IF(NOT(ISBLANK(A1945)),VLOOKUP(A1945,'BBT3'!A:F,2,0),"")</f>
        <v/>
      </c>
      <c r="C1945" t="str">
        <f>IF(NOT(ISBLANK(A1945)),VLOOKUP(A1945,'BBT3'!A:F,3,0),"")</f>
        <v/>
      </c>
      <c r="D1945" s="5" t="str">
        <f>IF(NOT(ISBLANK(A1945)),VLOOKUP(A1945,'BBT3'!A:F,4,1),"")</f>
        <v/>
      </c>
      <c r="E1945" t="str">
        <f>IF(NOT(ISBLANK(A1945)),VLOOKUP(A1945,'BBT3'!A:F,5,0),"")</f>
        <v/>
      </c>
      <c r="F1945" t="str">
        <f>IF(NOT(ISBLANK(A1945)),VLOOKUP(A1945,'BBT3'!A:F,6,0),"")</f>
        <v/>
      </c>
      <c r="G1945" t="str">
        <f t="shared" si="230"/>
        <v/>
      </c>
      <c r="H1945" t="str">
        <f>IF(NOT(ISBLANK(A1945)),VLOOKUP(A1945,'Close - PriceSaver'!A:J,5,0),"")</f>
        <v/>
      </c>
      <c r="I1945" s="4" t="str" cm="1">
        <f t="array" ref="I1945">IF(NOT(ISBLANK(A1945)),((_xlfn.XLOOKUP(1,(_bbt3[[#All],[ID]]=A1945)*(_bbt3[[#All],[METRIC_NAME]]="YLD_YTM_ASK"),_bbt3[[#All],[METRIC_VALUE]])*0.5)+(_xlfn.XLOOKUP(1,(_bbt3[[#All],[ID]]=A1945)*(_bbt3[[#All],[METRIC_NAME]]="YLD_YTM_BID"),_bbt3[[#All],[METRIC_VALUE]])*0.5))/100,"")</f>
        <v/>
      </c>
      <c r="J1945">
        <f>IF(ISNA(VLOOKUP(A1945,'CloseDL - PriceSaverBBT3'!A:E,5,0)),0,VLOOKUP(A1945,'CloseDL - PriceSaverBBT3'!A:E,5,0))</f>
        <v>0</v>
      </c>
      <c r="K1945" s="7" t="str">
        <f t="shared" si="231"/>
        <v/>
      </c>
      <c r="L1945" s="20" t="e">
        <f>IF(Close[[#This Row],[CreatedBy]]="MARINER\SilverAdm",1,0)</f>
        <v>#VALUE!</v>
      </c>
      <c r="M1945" t="str">
        <f>IF(NOT(ISBLANK(A1945)),VLOOKUP(A1945,'Close - PriceSaver'!A:J,6,0),"")</f>
        <v/>
      </c>
    </row>
    <row r="1946" spans="2:13" x14ac:dyDescent="0.35">
      <c r="B1946" t="str">
        <f>IF(NOT(ISBLANK(A1946)),VLOOKUP(A1946,'BBT3'!A:F,2,0),"")</f>
        <v/>
      </c>
      <c r="C1946" t="str">
        <f>IF(NOT(ISBLANK(A1946)),VLOOKUP(A1946,'BBT3'!A:F,3,0),"")</f>
        <v/>
      </c>
      <c r="D1946" s="5" t="str">
        <f>IF(NOT(ISBLANK(A1946)),VLOOKUP(A1946,'BBT3'!A:F,4,1),"")</f>
        <v/>
      </c>
      <c r="E1946" t="str">
        <f>IF(NOT(ISBLANK(A1946)),VLOOKUP(A1946,'BBT3'!A:F,5,0),"")</f>
        <v/>
      </c>
      <c r="F1946" t="str">
        <f>IF(NOT(ISBLANK(A1946)),VLOOKUP(A1946,'BBT3'!A:F,6,0),"")</f>
        <v/>
      </c>
      <c r="G1946" t="str">
        <f t="shared" si="230"/>
        <v/>
      </c>
      <c r="H1946" t="str">
        <f>IF(NOT(ISBLANK(A1946)),VLOOKUP(A1946,'Close - PriceSaver'!A:J,5,0),"")</f>
        <v/>
      </c>
      <c r="I1946" s="4" t="str" cm="1">
        <f t="array" ref="I1946">IF(NOT(ISBLANK(A1946)),((_xlfn.XLOOKUP(1,(_bbt3[[#All],[ID]]=A1946)*(_bbt3[[#All],[METRIC_NAME]]="YLD_YTM_ASK"),_bbt3[[#All],[METRIC_VALUE]])*0.5)+(_xlfn.XLOOKUP(1,(_bbt3[[#All],[ID]]=A1946)*(_bbt3[[#All],[METRIC_NAME]]="YLD_YTM_BID"),_bbt3[[#All],[METRIC_VALUE]])*0.5))/100,"")</f>
        <v/>
      </c>
      <c r="J1946">
        <f>IF(ISNA(VLOOKUP(A1946,'CloseDL - PriceSaverBBT3'!A:E,5,0)),0,VLOOKUP(A1946,'CloseDL - PriceSaverBBT3'!A:E,5,0))</f>
        <v>0</v>
      </c>
      <c r="K1946" s="7" t="str">
        <f t="shared" si="231"/>
        <v/>
      </c>
      <c r="L1946" s="20" t="e">
        <f>IF(Close[[#This Row],[CreatedBy]]="MARINER\SilverAdm",1,0)</f>
        <v>#VALUE!</v>
      </c>
      <c r="M1946" t="str">
        <f>IF(NOT(ISBLANK(A1946)),VLOOKUP(A1946,'Close - PriceSaver'!A:J,6,0),"")</f>
        <v/>
      </c>
    </row>
    <row r="1947" spans="2:13" x14ac:dyDescent="0.35">
      <c r="B1947" t="str">
        <f>IF(NOT(ISBLANK(A1947)),VLOOKUP(A1947,'BBT3'!A:F,2,0),"")</f>
        <v/>
      </c>
      <c r="C1947" t="str">
        <f>IF(NOT(ISBLANK(A1947)),VLOOKUP(A1947,'BBT3'!A:F,3,0),"")</f>
        <v/>
      </c>
      <c r="D1947" s="5" t="str">
        <f>IF(NOT(ISBLANK(A1947)),VLOOKUP(A1947,'BBT3'!A:F,4,1),"")</f>
        <v/>
      </c>
      <c r="E1947" t="str">
        <f>IF(NOT(ISBLANK(A1947)),VLOOKUP(A1947,'BBT3'!A:F,5,0),"")</f>
        <v/>
      </c>
      <c r="F1947" t="str">
        <f>IF(NOT(ISBLANK(A1947)),VLOOKUP(A1947,'BBT3'!A:F,6,0),"")</f>
        <v/>
      </c>
      <c r="G1947" t="str">
        <f t="shared" si="230"/>
        <v/>
      </c>
      <c r="H1947" t="str">
        <f>IF(NOT(ISBLANK(A1947)),VLOOKUP(A1947,'Close - PriceSaver'!A:J,5,0),"")</f>
        <v/>
      </c>
      <c r="I1947" s="4" t="str" cm="1">
        <f t="array" ref="I1947">IF(NOT(ISBLANK(A1947)),((_xlfn.XLOOKUP(1,(_bbt3[[#All],[ID]]=A1947)*(_bbt3[[#All],[METRIC_NAME]]="YLD_YTM_ASK"),_bbt3[[#All],[METRIC_VALUE]])*0.5)+(_xlfn.XLOOKUP(1,(_bbt3[[#All],[ID]]=A1947)*(_bbt3[[#All],[METRIC_NAME]]="YLD_YTM_BID"),_bbt3[[#All],[METRIC_VALUE]])*0.5))/100,"")</f>
        <v/>
      </c>
      <c r="J1947">
        <f>IF(ISNA(VLOOKUP(A1947,'CloseDL - PriceSaverBBT3'!A:E,5,0)),0,VLOOKUP(A1947,'CloseDL - PriceSaverBBT3'!A:E,5,0))</f>
        <v>0</v>
      </c>
      <c r="K1947" s="7" t="str">
        <f t="shared" si="231"/>
        <v/>
      </c>
      <c r="L1947" s="20" t="e">
        <f>IF(Close[[#This Row],[CreatedBy]]="MARINER\SilverAdm",1,0)</f>
        <v>#VALUE!</v>
      </c>
      <c r="M1947" t="str">
        <f>IF(NOT(ISBLANK(A1947)),VLOOKUP(A1947,'Close - PriceSaver'!A:J,6,0),"")</f>
        <v/>
      </c>
    </row>
    <row r="1948" spans="2:13" x14ac:dyDescent="0.35">
      <c r="B1948" t="str">
        <f>IF(NOT(ISBLANK(A1948)),VLOOKUP(A1948,'BBT3'!A:F,2,0),"")</f>
        <v/>
      </c>
      <c r="C1948" t="str">
        <f>IF(NOT(ISBLANK(A1948)),VLOOKUP(A1948,'BBT3'!A:F,3,0),"")</f>
        <v/>
      </c>
      <c r="D1948" s="5" t="str">
        <f>IF(NOT(ISBLANK(A1948)),VLOOKUP(A1948,'BBT3'!A:F,4,1),"")</f>
        <v/>
      </c>
      <c r="E1948" t="str">
        <f>IF(NOT(ISBLANK(A1948)),VLOOKUP(A1948,'BBT3'!A:F,5,0),"")</f>
        <v/>
      </c>
      <c r="F1948" t="str">
        <f>IF(NOT(ISBLANK(A1948)),VLOOKUP(A1948,'BBT3'!A:F,6,0),"")</f>
        <v/>
      </c>
      <c r="G1948" t="str">
        <f t="shared" si="230"/>
        <v/>
      </c>
      <c r="H1948" t="str">
        <f>IF(NOT(ISBLANK(A1948)),VLOOKUP(A1948,'Close - PriceSaver'!A:J,5,0),"")</f>
        <v/>
      </c>
      <c r="I1948" s="4" t="str" cm="1">
        <f t="array" ref="I1948">IF(NOT(ISBLANK(A1948)),((_xlfn.XLOOKUP(1,(_bbt3[[#All],[ID]]=A1948)*(_bbt3[[#All],[METRIC_NAME]]="YLD_YTM_ASK"),_bbt3[[#All],[METRIC_VALUE]])*0.5)+(_xlfn.XLOOKUP(1,(_bbt3[[#All],[ID]]=A1948)*(_bbt3[[#All],[METRIC_NAME]]="YLD_YTM_BID"),_bbt3[[#All],[METRIC_VALUE]])*0.5))/100,"")</f>
        <v/>
      </c>
      <c r="J1948">
        <f>IF(ISNA(VLOOKUP(A1948,'CloseDL - PriceSaverBBT3'!A:E,5,0)),0,VLOOKUP(A1948,'CloseDL - PriceSaverBBT3'!A:E,5,0))</f>
        <v>0</v>
      </c>
      <c r="K1948" s="7" t="str">
        <f t="shared" si="231"/>
        <v/>
      </c>
      <c r="L1948" s="20" t="e">
        <f>IF(Close[[#This Row],[CreatedBy]]="MARINER\SilverAdm",1,0)</f>
        <v>#VALUE!</v>
      </c>
      <c r="M1948" t="str">
        <f>IF(NOT(ISBLANK(A1948)),VLOOKUP(A1948,'Close - PriceSaver'!A:J,6,0),"")</f>
        <v/>
      </c>
    </row>
    <row r="1949" spans="2:13" x14ac:dyDescent="0.35">
      <c r="B1949" t="str">
        <f>IF(NOT(ISBLANK(A1949)),VLOOKUP(A1949,'BBT3'!A:F,2,0),"")</f>
        <v/>
      </c>
      <c r="C1949" t="str">
        <f>IF(NOT(ISBLANK(A1949)),VLOOKUP(A1949,'BBT3'!A:F,3,0),"")</f>
        <v/>
      </c>
      <c r="D1949" s="5" t="str">
        <f>IF(NOT(ISBLANK(A1949)),VLOOKUP(A1949,'BBT3'!A:F,4,1),"")</f>
        <v/>
      </c>
      <c r="E1949" t="str">
        <f>IF(NOT(ISBLANK(A1949)),VLOOKUP(A1949,'BBT3'!A:F,5,0),"")</f>
        <v/>
      </c>
      <c r="F1949" t="str">
        <f>IF(NOT(ISBLANK(A1949)),VLOOKUP(A1949,'BBT3'!A:F,6,0),"")</f>
        <v/>
      </c>
      <c r="G1949" t="str">
        <f t="shared" si="230"/>
        <v/>
      </c>
      <c r="H1949" t="str">
        <f>IF(NOT(ISBLANK(A1949)),VLOOKUP(A1949,'Close - PriceSaver'!A:J,5,0),"")</f>
        <v/>
      </c>
      <c r="I1949" s="4" t="str" cm="1">
        <f t="array" ref="I1949">IF(NOT(ISBLANK(A1949)),((_xlfn.XLOOKUP(1,(_bbt3[[#All],[ID]]=A1949)*(_bbt3[[#All],[METRIC_NAME]]="YLD_YTM_ASK"),_bbt3[[#All],[METRIC_VALUE]])*0.5)+(_xlfn.XLOOKUP(1,(_bbt3[[#All],[ID]]=A1949)*(_bbt3[[#All],[METRIC_NAME]]="YLD_YTM_BID"),_bbt3[[#All],[METRIC_VALUE]])*0.5))/100,"")</f>
        <v/>
      </c>
      <c r="J1949">
        <f>IF(ISNA(VLOOKUP(A1949,'CloseDL - PriceSaverBBT3'!A:E,5,0)),0,VLOOKUP(A1949,'CloseDL - PriceSaverBBT3'!A:E,5,0))</f>
        <v>0</v>
      </c>
      <c r="K1949" s="7" t="str">
        <f t="shared" si="231"/>
        <v/>
      </c>
      <c r="L1949" s="20" t="e">
        <f>IF(Close[[#This Row],[CreatedBy]]="MARINER\SilverAdm",1,0)</f>
        <v>#VALUE!</v>
      </c>
      <c r="M1949" t="str">
        <f>IF(NOT(ISBLANK(A1949)),VLOOKUP(A1949,'Close - PriceSaver'!A:J,6,0),"")</f>
        <v/>
      </c>
    </row>
    <row r="1950" spans="2:13" x14ac:dyDescent="0.35">
      <c r="B1950" t="str">
        <f>IF(NOT(ISBLANK(A1950)),VLOOKUP(A1950,'BBT3'!A:F,2,0),"")</f>
        <v/>
      </c>
      <c r="C1950" t="str">
        <f>IF(NOT(ISBLANK(A1950)),VLOOKUP(A1950,'BBT3'!A:F,3,0),"")</f>
        <v/>
      </c>
      <c r="D1950" s="5" t="str">
        <f>IF(NOT(ISBLANK(A1950)),VLOOKUP(A1950,'BBT3'!A:F,4,1),"")</f>
        <v/>
      </c>
      <c r="E1950" t="str">
        <f>IF(NOT(ISBLANK(A1950)),VLOOKUP(A1950,'BBT3'!A:F,5,0),"")</f>
        <v/>
      </c>
      <c r="F1950" t="str">
        <f>IF(NOT(ISBLANK(A1950)),VLOOKUP(A1950,'BBT3'!A:F,6,0),"")</f>
        <v/>
      </c>
      <c r="G1950" t="str">
        <f t="shared" si="230"/>
        <v/>
      </c>
      <c r="H1950" t="str">
        <f>IF(NOT(ISBLANK(A1950)),VLOOKUP(A1950,'Close - PriceSaver'!A:J,5,0),"")</f>
        <v/>
      </c>
      <c r="I1950" s="4" t="str" cm="1">
        <f t="array" ref="I1950">IF(NOT(ISBLANK(A1950)),((_xlfn.XLOOKUP(1,(_bbt3[[#All],[ID]]=A1950)*(_bbt3[[#All],[METRIC_NAME]]="YLD_YTM_ASK"),_bbt3[[#All],[METRIC_VALUE]])*0.5)+(_xlfn.XLOOKUP(1,(_bbt3[[#All],[ID]]=A1950)*(_bbt3[[#All],[METRIC_NAME]]="YLD_YTM_BID"),_bbt3[[#All],[METRIC_VALUE]])*0.5))/100,"")</f>
        <v/>
      </c>
      <c r="J1950">
        <f>IF(ISNA(VLOOKUP(A1950,'CloseDL - PriceSaverBBT3'!A:E,5,0)),0,VLOOKUP(A1950,'CloseDL - PriceSaverBBT3'!A:E,5,0))</f>
        <v>0</v>
      </c>
      <c r="K1950" s="7" t="str">
        <f t="shared" si="231"/>
        <v/>
      </c>
      <c r="L1950" s="20" t="e">
        <f>IF(Close[[#This Row],[CreatedBy]]="MARINER\SilverAdm",1,0)</f>
        <v>#VALUE!</v>
      </c>
      <c r="M1950" t="str">
        <f>IF(NOT(ISBLANK(A1950)),VLOOKUP(A1950,'Close - PriceSaver'!A:J,6,0),"")</f>
        <v/>
      </c>
    </row>
    <row r="1951" spans="2:13" x14ac:dyDescent="0.35">
      <c r="B1951" t="str">
        <f>IF(NOT(ISBLANK(A1951)),VLOOKUP(A1951,'BBT3'!A:F,2,0),"")</f>
        <v/>
      </c>
      <c r="C1951" t="str">
        <f>IF(NOT(ISBLANK(A1951)),VLOOKUP(A1951,'BBT3'!A:F,3,0),"")</f>
        <v/>
      </c>
      <c r="D1951" s="5" t="str">
        <f>IF(NOT(ISBLANK(A1951)),VLOOKUP(A1951,'BBT3'!A:F,4,1),"")</f>
        <v/>
      </c>
      <c r="E1951" t="str">
        <f>IF(NOT(ISBLANK(A1951)),VLOOKUP(A1951,'BBT3'!A:F,5,0),"")</f>
        <v/>
      </c>
      <c r="F1951" t="str">
        <f>IF(NOT(ISBLANK(A1951)),VLOOKUP(A1951,'BBT3'!A:F,6,0),"")</f>
        <v/>
      </c>
      <c r="G1951" t="str">
        <f t="shared" si="230"/>
        <v/>
      </c>
      <c r="H1951" t="str">
        <f>IF(NOT(ISBLANK(A1951)),VLOOKUP(A1951,'Close - PriceSaver'!A:J,5,0),"")</f>
        <v/>
      </c>
      <c r="I1951" s="4" t="str" cm="1">
        <f t="array" ref="I1951">IF(NOT(ISBLANK(A1951)),((_xlfn.XLOOKUP(1,(_bbt3[[#All],[ID]]=A1951)*(_bbt3[[#All],[METRIC_NAME]]="YLD_YTM_ASK"),_bbt3[[#All],[METRIC_VALUE]])*0.5)+(_xlfn.XLOOKUP(1,(_bbt3[[#All],[ID]]=A1951)*(_bbt3[[#All],[METRIC_NAME]]="YLD_YTM_BID"),_bbt3[[#All],[METRIC_VALUE]])*0.5))/100,"")</f>
        <v/>
      </c>
      <c r="J1951">
        <f>IF(ISNA(VLOOKUP(A1951,'CloseDL - PriceSaverBBT3'!A:E,5,0)),0,VLOOKUP(A1951,'CloseDL - PriceSaverBBT3'!A:E,5,0))</f>
        <v>0</v>
      </c>
      <c r="K1951" s="7" t="str">
        <f t="shared" si="231"/>
        <v/>
      </c>
      <c r="L1951" s="20" t="e">
        <f>IF(Close[[#This Row],[CreatedBy]]="MARINER\SilverAdm",1,0)</f>
        <v>#VALUE!</v>
      </c>
      <c r="M1951" t="str">
        <f>IF(NOT(ISBLANK(A1951)),VLOOKUP(A1951,'Close - PriceSaver'!A:J,6,0),"")</f>
        <v/>
      </c>
    </row>
    <row r="1952" spans="2:13" x14ac:dyDescent="0.35">
      <c r="B1952" t="str">
        <f>IF(NOT(ISBLANK(A1952)),VLOOKUP(A1952,'BBT3'!A:F,2,0),"")</f>
        <v/>
      </c>
      <c r="C1952" t="str">
        <f>IF(NOT(ISBLANK(A1952)),VLOOKUP(A1952,'BBT3'!A:F,3,0),"")</f>
        <v/>
      </c>
      <c r="D1952" s="5" t="str">
        <f>IF(NOT(ISBLANK(A1952)),VLOOKUP(A1952,'BBT3'!A:F,4,1),"")</f>
        <v/>
      </c>
      <c r="E1952" t="str">
        <f>IF(NOT(ISBLANK(A1952)),VLOOKUP(A1952,'BBT3'!A:F,5,0),"")</f>
        <v/>
      </c>
      <c r="F1952" t="str">
        <f>IF(NOT(ISBLANK(A1952)),VLOOKUP(A1952,'BBT3'!A:F,6,0),"")</f>
        <v/>
      </c>
      <c r="G1952" t="str">
        <f t="shared" si="230"/>
        <v/>
      </c>
      <c r="H1952" t="str">
        <f>IF(NOT(ISBLANK(A1952)),VLOOKUP(A1952,'Close - PriceSaver'!A:J,5,0),"")</f>
        <v/>
      </c>
      <c r="I1952" s="4" t="str" cm="1">
        <f t="array" ref="I1952">IF(NOT(ISBLANK(A1952)),((_xlfn.XLOOKUP(1,(_bbt3[[#All],[ID]]=A1952)*(_bbt3[[#All],[METRIC_NAME]]="YLD_YTM_ASK"),_bbt3[[#All],[METRIC_VALUE]])*0.5)+(_xlfn.XLOOKUP(1,(_bbt3[[#All],[ID]]=A1952)*(_bbt3[[#All],[METRIC_NAME]]="YLD_YTM_BID"),_bbt3[[#All],[METRIC_VALUE]])*0.5))/100,"")</f>
        <v/>
      </c>
      <c r="J1952">
        <f>IF(ISNA(VLOOKUP(A1952,'CloseDL - PriceSaverBBT3'!A:E,5,0)),0,VLOOKUP(A1952,'CloseDL - PriceSaverBBT3'!A:E,5,0))</f>
        <v>0</v>
      </c>
      <c r="K1952" s="7" t="str">
        <f t="shared" si="231"/>
        <v/>
      </c>
      <c r="L1952" s="20" t="e">
        <f>IF(Close[[#This Row],[CreatedBy]]="MARINER\SilverAdm",1,0)</f>
        <v>#VALUE!</v>
      </c>
      <c r="M1952" t="str">
        <f>IF(NOT(ISBLANK(A1952)),VLOOKUP(A1952,'Close - PriceSaver'!A:J,6,0),"")</f>
        <v/>
      </c>
    </row>
    <row r="1953" spans="2:13" x14ac:dyDescent="0.35">
      <c r="B1953" t="str">
        <f>IF(NOT(ISBLANK(A1953)),VLOOKUP(A1953,'BBT3'!A:F,2,0),"")</f>
        <v/>
      </c>
      <c r="C1953" t="str">
        <f>IF(NOT(ISBLANK(A1953)),VLOOKUP(A1953,'BBT3'!A:F,3,0),"")</f>
        <v/>
      </c>
      <c r="D1953" s="5" t="str">
        <f>IF(NOT(ISBLANK(A1953)),VLOOKUP(A1953,'BBT3'!A:F,4,1),"")</f>
        <v/>
      </c>
      <c r="E1953" t="str">
        <f>IF(NOT(ISBLANK(A1953)),VLOOKUP(A1953,'BBT3'!A:F,5,0),"")</f>
        <v/>
      </c>
      <c r="F1953" t="str">
        <f>IF(NOT(ISBLANK(A1953)),VLOOKUP(A1953,'BBT3'!A:F,6,0),"")</f>
        <v/>
      </c>
      <c r="G1953" t="str">
        <f t="shared" si="230"/>
        <v/>
      </c>
      <c r="H1953" t="str">
        <f>IF(NOT(ISBLANK(A1953)),VLOOKUP(A1953,'Close - PriceSaver'!A:J,5,0),"")</f>
        <v/>
      </c>
      <c r="I1953" s="4" t="str" cm="1">
        <f t="array" ref="I1953">IF(NOT(ISBLANK(A1953)),((_xlfn.XLOOKUP(1,(_bbt3[[#All],[ID]]=A1953)*(_bbt3[[#All],[METRIC_NAME]]="YLD_YTM_ASK"),_bbt3[[#All],[METRIC_VALUE]])*0.5)+(_xlfn.XLOOKUP(1,(_bbt3[[#All],[ID]]=A1953)*(_bbt3[[#All],[METRIC_NAME]]="YLD_YTM_BID"),_bbt3[[#All],[METRIC_VALUE]])*0.5))/100,"")</f>
        <v/>
      </c>
      <c r="J1953">
        <f>IF(ISNA(VLOOKUP(A1953,'CloseDL - PriceSaverBBT3'!A:E,5,0)),0,VLOOKUP(A1953,'CloseDL - PriceSaverBBT3'!A:E,5,0))</f>
        <v>0</v>
      </c>
      <c r="K1953" s="7" t="str">
        <f t="shared" si="231"/>
        <v/>
      </c>
      <c r="L1953" s="20" t="e">
        <f>IF(Close[[#This Row],[CreatedBy]]="MARINER\SilverAdm",1,0)</f>
        <v>#VALUE!</v>
      </c>
      <c r="M1953" t="str">
        <f>IF(NOT(ISBLANK(A1953)),VLOOKUP(A1953,'Close - PriceSaver'!A:J,6,0),"")</f>
        <v/>
      </c>
    </row>
    <row r="1954" spans="2:13" x14ac:dyDescent="0.35">
      <c r="B1954" t="str">
        <f>IF(NOT(ISBLANK(A1954)),VLOOKUP(A1954,'BBT3'!A:F,2,0),"")</f>
        <v/>
      </c>
      <c r="C1954" t="str">
        <f>IF(NOT(ISBLANK(A1954)),VLOOKUP(A1954,'BBT3'!A:F,3,0),"")</f>
        <v/>
      </c>
      <c r="D1954" s="5" t="str">
        <f>IF(NOT(ISBLANK(A1954)),VLOOKUP(A1954,'BBT3'!A:F,4,1),"")</f>
        <v/>
      </c>
      <c r="E1954" t="str">
        <f>IF(NOT(ISBLANK(A1954)),VLOOKUP(A1954,'BBT3'!A:F,5,0),"")</f>
        <v/>
      </c>
      <c r="F1954" t="str">
        <f>IF(NOT(ISBLANK(A1954)),VLOOKUP(A1954,'BBT3'!A:F,6,0),"")</f>
        <v/>
      </c>
      <c r="G1954" t="str">
        <f t="shared" si="230"/>
        <v/>
      </c>
      <c r="H1954" t="str">
        <f>IF(NOT(ISBLANK(A1954)),VLOOKUP(A1954,'Close - PriceSaver'!A:J,5,0),"")</f>
        <v/>
      </c>
      <c r="I1954" s="4" t="str" cm="1">
        <f t="array" ref="I1954">IF(NOT(ISBLANK(A1954)),((_xlfn.XLOOKUP(1,(_bbt3[[#All],[ID]]=A1954)*(_bbt3[[#All],[METRIC_NAME]]="YLD_YTM_ASK"),_bbt3[[#All],[METRIC_VALUE]])*0.5)+(_xlfn.XLOOKUP(1,(_bbt3[[#All],[ID]]=A1954)*(_bbt3[[#All],[METRIC_NAME]]="YLD_YTM_BID"),_bbt3[[#All],[METRIC_VALUE]])*0.5))/100,"")</f>
        <v/>
      </c>
      <c r="J1954">
        <f>IF(ISNA(VLOOKUP(A1954,'CloseDL - PriceSaverBBT3'!A:E,5,0)),0,VLOOKUP(A1954,'CloseDL - PriceSaverBBT3'!A:E,5,0))</f>
        <v>0</v>
      </c>
      <c r="K1954" s="7" t="str">
        <f t="shared" si="231"/>
        <v/>
      </c>
      <c r="L1954" s="20" t="e">
        <f>IF(Close[[#This Row],[CreatedBy]]="MARINER\SilverAdm",1,0)</f>
        <v>#VALUE!</v>
      </c>
      <c r="M1954" t="str">
        <f>IF(NOT(ISBLANK(A1954)),VLOOKUP(A1954,'Close - PriceSaver'!A:J,6,0),"")</f>
        <v/>
      </c>
    </row>
    <row r="1955" spans="2:13" x14ac:dyDescent="0.35">
      <c r="B1955" t="str">
        <f>IF(NOT(ISBLANK(A1955)),VLOOKUP(A1955,'BBT3'!A:F,2,0),"")</f>
        <v/>
      </c>
      <c r="C1955" t="str">
        <f>IF(NOT(ISBLANK(A1955)),VLOOKUP(A1955,'BBT3'!A:F,3,0),"")</f>
        <v/>
      </c>
      <c r="D1955" s="5" t="str">
        <f>IF(NOT(ISBLANK(A1955)),VLOOKUP(A1955,'BBT3'!A:F,4,1),"")</f>
        <v/>
      </c>
      <c r="E1955" t="str">
        <f>IF(NOT(ISBLANK(A1955)),VLOOKUP(A1955,'BBT3'!A:F,5,0),"")</f>
        <v/>
      </c>
      <c r="F1955" t="str">
        <f>IF(NOT(ISBLANK(A1955)),VLOOKUP(A1955,'BBT3'!A:F,6,0),"")</f>
        <v/>
      </c>
      <c r="G1955" t="str">
        <f t="shared" si="230"/>
        <v/>
      </c>
      <c r="H1955" t="str">
        <f>IF(NOT(ISBLANK(A1955)),VLOOKUP(A1955,'Close - PriceSaver'!A:J,5,0),"")</f>
        <v/>
      </c>
      <c r="I1955" s="4" t="str" cm="1">
        <f t="array" ref="I1955">IF(NOT(ISBLANK(A1955)),((_xlfn.XLOOKUP(1,(_bbt3[[#All],[ID]]=A1955)*(_bbt3[[#All],[METRIC_NAME]]="YLD_YTM_ASK"),_bbt3[[#All],[METRIC_VALUE]])*0.5)+(_xlfn.XLOOKUP(1,(_bbt3[[#All],[ID]]=A1955)*(_bbt3[[#All],[METRIC_NAME]]="YLD_YTM_BID"),_bbt3[[#All],[METRIC_VALUE]])*0.5))/100,"")</f>
        <v/>
      </c>
      <c r="J1955">
        <f>IF(ISNA(VLOOKUP(A1955,'CloseDL - PriceSaverBBT3'!A:E,5,0)),0,VLOOKUP(A1955,'CloseDL - PriceSaverBBT3'!A:E,5,0))</f>
        <v>0</v>
      </c>
      <c r="K1955" s="7" t="str">
        <f t="shared" si="231"/>
        <v/>
      </c>
      <c r="L1955" s="20" t="e">
        <f>IF(Close[[#This Row],[CreatedBy]]="MARINER\SilverAdm",1,0)</f>
        <v>#VALUE!</v>
      </c>
      <c r="M1955" t="str">
        <f>IF(NOT(ISBLANK(A1955)),VLOOKUP(A1955,'Close - PriceSaver'!A:J,6,0),"")</f>
        <v/>
      </c>
    </row>
    <row r="1956" spans="2:13" x14ac:dyDescent="0.35">
      <c r="B1956" t="str">
        <f>IF(NOT(ISBLANK(A1956)),VLOOKUP(A1956,'BBT3'!A:F,2,0),"")</f>
        <v/>
      </c>
      <c r="C1956" t="str">
        <f>IF(NOT(ISBLANK(A1956)),VLOOKUP(A1956,'BBT3'!A:F,3,0),"")</f>
        <v/>
      </c>
      <c r="D1956" s="5" t="str">
        <f>IF(NOT(ISBLANK(A1956)),VLOOKUP(A1956,'BBT3'!A:F,4,1),"")</f>
        <v/>
      </c>
      <c r="E1956" t="str">
        <f>IF(NOT(ISBLANK(A1956)),VLOOKUP(A1956,'BBT3'!A:F,5,0),"")</f>
        <v/>
      </c>
      <c r="F1956" t="str">
        <f>IF(NOT(ISBLANK(A1956)),VLOOKUP(A1956,'BBT3'!A:F,6,0),"")</f>
        <v/>
      </c>
      <c r="G1956" t="str">
        <f t="shared" si="230"/>
        <v/>
      </c>
      <c r="H1956" t="str">
        <f>IF(NOT(ISBLANK(A1956)),VLOOKUP(A1956,'Close - PriceSaver'!A:J,5,0),"")</f>
        <v/>
      </c>
      <c r="I1956" s="4" t="str" cm="1">
        <f t="array" ref="I1956">IF(NOT(ISBLANK(A1956)),((_xlfn.XLOOKUP(1,(_bbt3[[#All],[ID]]=A1956)*(_bbt3[[#All],[METRIC_NAME]]="YLD_YTM_ASK"),_bbt3[[#All],[METRIC_VALUE]])*0.5)+(_xlfn.XLOOKUP(1,(_bbt3[[#All],[ID]]=A1956)*(_bbt3[[#All],[METRIC_NAME]]="YLD_YTM_BID"),_bbt3[[#All],[METRIC_VALUE]])*0.5))/100,"")</f>
        <v/>
      </c>
      <c r="J1956">
        <f>IF(ISNA(VLOOKUP(A1956,'CloseDL - PriceSaverBBT3'!A:E,5,0)),0,VLOOKUP(A1956,'CloseDL - PriceSaverBBT3'!A:E,5,0))</f>
        <v>0</v>
      </c>
      <c r="K1956" s="7" t="str">
        <f t="shared" si="231"/>
        <v/>
      </c>
      <c r="L1956" s="20" t="e">
        <f>IF(Close[[#This Row],[CreatedBy]]="MARINER\SilverAdm",1,0)</f>
        <v>#VALUE!</v>
      </c>
      <c r="M1956" t="str">
        <f>IF(NOT(ISBLANK(A1956)),VLOOKUP(A1956,'Close - PriceSaver'!A:J,6,0),"")</f>
        <v/>
      </c>
    </row>
    <row r="1957" spans="2:13" x14ac:dyDescent="0.35">
      <c r="B1957" t="str">
        <f>IF(NOT(ISBLANK(A1957)),VLOOKUP(A1957,'BBT3'!A:F,2,0),"")</f>
        <v/>
      </c>
      <c r="C1957" t="str">
        <f>IF(NOT(ISBLANK(A1957)),VLOOKUP(A1957,'BBT3'!A:F,3,0),"")</f>
        <v/>
      </c>
      <c r="D1957" s="5" t="str">
        <f>IF(NOT(ISBLANK(A1957)),VLOOKUP(A1957,'BBT3'!A:F,4,1),"")</f>
        <v/>
      </c>
      <c r="E1957" t="str">
        <f>IF(NOT(ISBLANK(A1957)),VLOOKUP(A1957,'BBT3'!A:F,5,0),"")</f>
        <v/>
      </c>
      <c r="F1957" t="str">
        <f>IF(NOT(ISBLANK(A1957)),VLOOKUP(A1957,'BBT3'!A:F,6,0),"")</f>
        <v/>
      </c>
      <c r="G1957" t="str">
        <f t="shared" si="230"/>
        <v/>
      </c>
      <c r="H1957" t="str">
        <f>IF(NOT(ISBLANK(A1957)),VLOOKUP(A1957,'Close - PriceSaver'!A:J,5,0),"")</f>
        <v/>
      </c>
      <c r="I1957" s="4" t="str" cm="1">
        <f t="array" ref="I1957">IF(NOT(ISBLANK(A1957)),((_xlfn.XLOOKUP(1,(_bbt3[[#All],[ID]]=A1957)*(_bbt3[[#All],[METRIC_NAME]]="YLD_YTM_ASK"),_bbt3[[#All],[METRIC_VALUE]])*0.5)+(_xlfn.XLOOKUP(1,(_bbt3[[#All],[ID]]=A1957)*(_bbt3[[#All],[METRIC_NAME]]="YLD_YTM_BID"),_bbt3[[#All],[METRIC_VALUE]])*0.5))/100,"")</f>
        <v/>
      </c>
      <c r="J1957">
        <f>IF(ISNA(VLOOKUP(A1957,'CloseDL - PriceSaverBBT3'!A:E,5,0)),0,VLOOKUP(A1957,'CloseDL - PriceSaverBBT3'!A:E,5,0))</f>
        <v>0</v>
      </c>
      <c r="K1957" s="7" t="str">
        <f t="shared" si="231"/>
        <v/>
      </c>
      <c r="L1957" s="20" t="e">
        <f>IF(Close[[#This Row],[CreatedBy]]="MARINER\SilverAdm",1,0)</f>
        <v>#VALUE!</v>
      </c>
      <c r="M1957" t="str">
        <f>IF(NOT(ISBLANK(A1957)),VLOOKUP(A1957,'Close - PriceSaver'!A:J,6,0),"")</f>
        <v/>
      </c>
    </row>
    <row r="1958" spans="2:13" x14ac:dyDescent="0.35">
      <c r="B1958" t="str">
        <f>IF(NOT(ISBLANK(A1958)),VLOOKUP(A1958,'BBT3'!A:F,2,0),"")</f>
        <v/>
      </c>
      <c r="C1958" t="str">
        <f>IF(NOT(ISBLANK(A1958)),VLOOKUP(A1958,'BBT3'!A:F,3,0),"")</f>
        <v/>
      </c>
      <c r="D1958" s="5" t="str">
        <f>IF(NOT(ISBLANK(A1958)),VLOOKUP(A1958,'BBT3'!A:F,4,1),"")</f>
        <v/>
      </c>
      <c r="E1958" t="str">
        <f>IF(NOT(ISBLANK(A1958)),VLOOKUP(A1958,'BBT3'!A:F,5,0),"")</f>
        <v/>
      </c>
      <c r="F1958" t="str">
        <f>IF(NOT(ISBLANK(A1958)),VLOOKUP(A1958,'BBT3'!A:F,6,0),"")</f>
        <v/>
      </c>
      <c r="G1958" t="str">
        <f t="shared" si="230"/>
        <v/>
      </c>
      <c r="H1958" t="str">
        <f>IF(NOT(ISBLANK(A1958)),VLOOKUP(A1958,'Close - PriceSaver'!A:J,5,0),"")</f>
        <v/>
      </c>
      <c r="I1958" s="4" t="str" cm="1">
        <f t="array" ref="I1958">IF(NOT(ISBLANK(A1958)),((_xlfn.XLOOKUP(1,(_bbt3[[#All],[ID]]=A1958)*(_bbt3[[#All],[METRIC_NAME]]="YLD_YTM_ASK"),_bbt3[[#All],[METRIC_VALUE]])*0.5)+(_xlfn.XLOOKUP(1,(_bbt3[[#All],[ID]]=A1958)*(_bbt3[[#All],[METRIC_NAME]]="YLD_YTM_BID"),_bbt3[[#All],[METRIC_VALUE]])*0.5))/100,"")</f>
        <v/>
      </c>
      <c r="J1958">
        <f>IF(ISNA(VLOOKUP(A1958,'CloseDL - PriceSaverBBT3'!A:E,5,0)),0,VLOOKUP(A1958,'CloseDL - PriceSaverBBT3'!A:E,5,0))</f>
        <v>0</v>
      </c>
      <c r="K1958" s="7" t="str">
        <f t="shared" si="231"/>
        <v/>
      </c>
      <c r="L1958" s="20" t="e">
        <f>IF(Close[[#This Row],[CreatedBy]]="MARINER\SilverAdm",1,0)</f>
        <v>#VALUE!</v>
      </c>
      <c r="M1958" t="str">
        <f>IF(NOT(ISBLANK(A1958)),VLOOKUP(A1958,'Close - PriceSaver'!A:J,6,0),"")</f>
        <v/>
      </c>
    </row>
    <row r="1959" spans="2:13" x14ac:dyDescent="0.35">
      <c r="B1959" t="str">
        <f>IF(NOT(ISBLANK(A1959)),VLOOKUP(A1959,'BBT3'!A:F,2,0),"")</f>
        <v/>
      </c>
      <c r="C1959" t="str">
        <f>IF(NOT(ISBLANK(A1959)),VLOOKUP(A1959,'BBT3'!A:F,3,0),"")</f>
        <v/>
      </c>
      <c r="D1959" s="5" t="str">
        <f>IF(NOT(ISBLANK(A1959)),VLOOKUP(A1959,'BBT3'!A:F,4,1),"")</f>
        <v/>
      </c>
      <c r="E1959" t="str">
        <f>IF(NOT(ISBLANK(A1959)),VLOOKUP(A1959,'BBT3'!A:F,5,0),"")</f>
        <v/>
      </c>
      <c r="F1959" t="str">
        <f>IF(NOT(ISBLANK(A1959)),VLOOKUP(A1959,'BBT3'!A:F,6,0),"")</f>
        <v/>
      </c>
      <c r="G1959" t="str">
        <f t="shared" si="230"/>
        <v/>
      </c>
      <c r="H1959" t="str">
        <f>IF(NOT(ISBLANK(A1959)),VLOOKUP(A1959,'Close - PriceSaver'!A:J,5,0),"")</f>
        <v/>
      </c>
      <c r="I1959" s="4" t="str" cm="1">
        <f t="array" ref="I1959">IF(NOT(ISBLANK(A1959)),((_xlfn.XLOOKUP(1,(_bbt3[[#All],[ID]]=A1959)*(_bbt3[[#All],[METRIC_NAME]]="YLD_YTM_ASK"),_bbt3[[#All],[METRIC_VALUE]])*0.5)+(_xlfn.XLOOKUP(1,(_bbt3[[#All],[ID]]=A1959)*(_bbt3[[#All],[METRIC_NAME]]="YLD_YTM_BID"),_bbt3[[#All],[METRIC_VALUE]])*0.5))/100,"")</f>
        <v/>
      </c>
      <c r="J1959">
        <f>IF(ISNA(VLOOKUP(A1959,'CloseDL - PriceSaverBBT3'!A:E,5,0)),0,VLOOKUP(A1959,'CloseDL - PriceSaverBBT3'!A:E,5,0))</f>
        <v>0</v>
      </c>
      <c r="K1959" s="7" t="str">
        <f t="shared" si="231"/>
        <v/>
      </c>
      <c r="L1959" s="20" t="e">
        <f>IF(Close[[#This Row],[CreatedBy]]="MARINER\SilverAdm",1,0)</f>
        <v>#VALUE!</v>
      </c>
      <c r="M1959" t="str">
        <f>IF(NOT(ISBLANK(A1959)),VLOOKUP(A1959,'Close - PriceSaver'!A:J,6,0),"")</f>
        <v/>
      </c>
    </row>
    <row r="1960" spans="2:13" x14ac:dyDescent="0.35">
      <c r="B1960" t="str">
        <f>IF(NOT(ISBLANK(A1960)),VLOOKUP(A1960,'BBT3'!A:F,2,0),"")</f>
        <v/>
      </c>
      <c r="C1960" t="str">
        <f>IF(NOT(ISBLANK(A1960)),VLOOKUP(A1960,'BBT3'!A:F,3,0),"")</f>
        <v/>
      </c>
      <c r="D1960" s="5" t="str">
        <f>IF(NOT(ISBLANK(A1960)),VLOOKUP(A1960,'BBT3'!A:F,4,1),"")</f>
        <v/>
      </c>
      <c r="E1960" t="str">
        <f>IF(NOT(ISBLANK(A1960)),VLOOKUP(A1960,'BBT3'!A:F,5,0),"")</f>
        <v/>
      </c>
      <c r="F1960" t="str">
        <f>IF(NOT(ISBLANK(A1960)),VLOOKUP(A1960,'BBT3'!A:F,6,0),"")</f>
        <v/>
      </c>
      <c r="G1960" t="str">
        <f t="shared" si="230"/>
        <v/>
      </c>
      <c r="H1960" t="str">
        <f>IF(NOT(ISBLANK(A1960)),VLOOKUP(A1960,'Close - PriceSaver'!A:J,5,0),"")</f>
        <v/>
      </c>
      <c r="I1960" s="4" t="str" cm="1">
        <f t="array" ref="I1960">IF(NOT(ISBLANK(A1960)),((_xlfn.XLOOKUP(1,(_bbt3[[#All],[ID]]=A1960)*(_bbt3[[#All],[METRIC_NAME]]="YLD_YTM_ASK"),_bbt3[[#All],[METRIC_VALUE]])*0.5)+(_xlfn.XLOOKUP(1,(_bbt3[[#All],[ID]]=A1960)*(_bbt3[[#All],[METRIC_NAME]]="YLD_YTM_BID"),_bbt3[[#All],[METRIC_VALUE]])*0.5))/100,"")</f>
        <v/>
      </c>
      <c r="J1960">
        <f>IF(ISNA(VLOOKUP(A1960,'CloseDL - PriceSaverBBT3'!A:E,5,0)),0,VLOOKUP(A1960,'CloseDL - PriceSaverBBT3'!A:E,5,0))</f>
        <v>0</v>
      </c>
      <c r="K1960" s="7" t="str">
        <f t="shared" si="231"/>
        <v/>
      </c>
      <c r="L1960" s="20" t="e">
        <f>IF(Close[[#This Row],[CreatedBy]]="MARINER\SilverAdm",1,0)</f>
        <v>#VALUE!</v>
      </c>
      <c r="M1960" t="str">
        <f>IF(NOT(ISBLANK(A1960)),VLOOKUP(A1960,'Close - PriceSaver'!A:J,6,0),"")</f>
        <v/>
      </c>
    </row>
    <row r="1961" spans="2:13" x14ac:dyDescent="0.35">
      <c r="B1961" t="str">
        <f>IF(NOT(ISBLANK(A1961)),VLOOKUP(A1961,'BBT3'!A:F,2,0),"")</f>
        <v/>
      </c>
      <c r="C1961" t="str">
        <f>IF(NOT(ISBLANK(A1961)),VLOOKUP(A1961,'BBT3'!A:F,3,0),"")</f>
        <v/>
      </c>
      <c r="D1961" s="5" t="str">
        <f>IF(NOT(ISBLANK(A1961)),VLOOKUP(A1961,'BBT3'!A:F,4,1),"")</f>
        <v/>
      </c>
      <c r="E1961" t="str">
        <f>IF(NOT(ISBLANK(A1961)),VLOOKUP(A1961,'BBT3'!A:F,5,0),"")</f>
        <v/>
      </c>
      <c r="F1961" t="str">
        <f>IF(NOT(ISBLANK(A1961)),VLOOKUP(A1961,'BBT3'!A:F,6,0),"")</f>
        <v/>
      </c>
      <c r="G1961" t="str">
        <f t="shared" si="230"/>
        <v/>
      </c>
      <c r="H1961" t="str">
        <f>IF(NOT(ISBLANK(A1961)),VLOOKUP(A1961,'Close - PriceSaver'!A:J,5,0),"")</f>
        <v/>
      </c>
      <c r="I1961" s="4" t="str" cm="1">
        <f t="array" ref="I1961">IF(NOT(ISBLANK(A1961)),((_xlfn.XLOOKUP(1,(_bbt3[[#All],[ID]]=A1961)*(_bbt3[[#All],[METRIC_NAME]]="YLD_YTM_ASK"),_bbt3[[#All],[METRIC_VALUE]])*0.5)+(_xlfn.XLOOKUP(1,(_bbt3[[#All],[ID]]=A1961)*(_bbt3[[#All],[METRIC_NAME]]="YLD_YTM_BID"),_bbt3[[#All],[METRIC_VALUE]])*0.5))/100,"")</f>
        <v/>
      </c>
      <c r="J1961">
        <f>IF(ISNA(VLOOKUP(A1961,'CloseDL - PriceSaverBBT3'!A:E,5,0)),0,VLOOKUP(A1961,'CloseDL - PriceSaverBBT3'!A:E,5,0))</f>
        <v>0</v>
      </c>
      <c r="K1961" s="7" t="str">
        <f t="shared" si="231"/>
        <v/>
      </c>
      <c r="L1961" s="20" t="e">
        <f>IF(Close[[#This Row],[CreatedBy]]="MARINER\SilverAdm",1,0)</f>
        <v>#VALUE!</v>
      </c>
      <c r="M1961" t="str">
        <f>IF(NOT(ISBLANK(A1961)),VLOOKUP(A1961,'Close - PriceSaver'!A:J,6,0),"")</f>
        <v/>
      </c>
    </row>
    <row r="1962" spans="2:13" x14ac:dyDescent="0.35">
      <c r="B1962" t="str">
        <f>IF(NOT(ISBLANK(A1962)),VLOOKUP(A1962,'BBT3'!A:F,2,0),"")</f>
        <v/>
      </c>
      <c r="C1962" t="str">
        <f>IF(NOT(ISBLANK(A1962)),VLOOKUP(A1962,'BBT3'!A:F,3,0),"")</f>
        <v/>
      </c>
      <c r="D1962" s="5" t="str">
        <f>IF(NOT(ISBLANK(A1962)),VLOOKUP(A1962,'BBT3'!A:F,4,1),"")</f>
        <v/>
      </c>
      <c r="E1962" t="str">
        <f>IF(NOT(ISBLANK(A1962)),VLOOKUP(A1962,'BBT3'!A:F,5,0),"")</f>
        <v/>
      </c>
      <c r="F1962" t="str">
        <f>IF(NOT(ISBLANK(A1962)),VLOOKUP(A1962,'BBT3'!A:F,6,0),"")</f>
        <v/>
      </c>
      <c r="G1962" t="str">
        <f t="shared" si="230"/>
        <v/>
      </c>
      <c r="H1962" t="str">
        <f>IF(NOT(ISBLANK(A1962)),VLOOKUP(A1962,'Close - PriceSaver'!A:J,5,0),"")</f>
        <v/>
      </c>
      <c r="I1962" s="4" t="str" cm="1">
        <f t="array" ref="I1962">IF(NOT(ISBLANK(A1962)),((_xlfn.XLOOKUP(1,(_bbt3[[#All],[ID]]=A1962)*(_bbt3[[#All],[METRIC_NAME]]="YLD_YTM_ASK"),_bbt3[[#All],[METRIC_VALUE]])*0.5)+(_xlfn.XLOOKUP(1,(_bbt3[[#All],[ID]]=A1962)*(_bbt3[[#All],[METRIC_NAME]]="YLD_YTM_BID"),_bbt3[[#All],[METRIC_VALUE]])*0.5))/100,"")</f>
        <v/>
      </c>
      <c r="J1962">
        <f>IF(ISNA(VLOOKUP(A1962,'CloseDL - PriceSaverBBT3'!A:E,5,0)),0,VLOOKUP(A1962,'CloseDL - PriceSaverBBT3'!A:E,5,0))</f>
        <v>0</v>
      </c>
      <c r="K1962" s="7" t="str">
        <f t="shared" si="231"/>
        <v/>
      </c>
      <c r="L1962" s="20" t="e">
        <f>IF(Close[[#This Row],[CreatedBy]]="MARINER\SilverAdm",1,0)</f>
        <v>#VALUE!</v>
      </c>
      <c r="M1962" t="str">
        <f>IF(NOT(ISBLANK(A1962)),VLOOKUP(A1962,'Close - PriceSaver'!A:J,6,0),"")</f>
        <v/>
      </c>
    </row>
    <row r="1963" spans="2:13" x14ac:dyDescent="0.35">
      <c r="B1963" t="str">
        <f>IF(NOT(ISBLANK(A1963)),VLOOKUP(A1963,'BBT3'!A:F,2,0),"")</f>
        <v/>
      </c>
      <c r="C1963" t="str">
        <f>IF(NOT(ISBLANK(A1963)),VLOOKUP(A1963,'BBT3'!A:F,3,0),"")</f>
        <v/>
      </c>
      <c r="D1963" s="5" t="str">
        <f>IF(NOT(ISBLANK(A1963)),VLOOKUP(A1963,'BBT3'!A:F,4,1),"")</f>
        <v/>
      </c>
      <c r="E1963" t="str">
        <f>IF(NOT(ISBLANK(A1963)),VLOOKUP(A1963,'BBT3'!A:F,5,0),"")</f>
        <v/>
      </c>
      <c r="F1963" t="str">
        <f>IF(NOT(ISBLANK(A1963)),VLOOKUP(A1963,'BBT3'!A:F,6,0),"")</f>
        <v/>
      </c>
      <c r="G1963" t="str">
        <f t="shared" si="230"/>
        <v/>
      </c>
      <c r="H1963" t="str">
        <f>IF(NOT(ISBLANK(A1963)),VLOOKUP(A1963,'Close - PriceSaver'!A:J,5,0),"")</f>
        <v/>
      </c>
      <c r="I1963" s="4" t="str" cm="1">
        <f t="array" ref="I1963">IF(NOT(ISBLANK(A1963)),((_xlfn.XLOOKUP(1,(_bbt3[[#All],[ID]]=A1963)*(_bbt3[[#All],[METRIC_NAME]]="YLD_YTM_ASK"),_bbt3[[#All],[METRIC_VALUE]])*0.5)+(_xlfn.XLOOKUP(1,(_bbt3[[#All],[ID]]=A1963)*(_bbt3[[#All],[METRIC_NAME]]="YLD_YTM_BID"),_bbt3[[#All],[METRIC_VALUE]])*0.5))/100,"")</f>
        <v/>
      </c>
      <c r="J1963">
        <f>IF(ISNA(VLOOKUP(A1963,'CloseDL - PriceSaverBBT3'!A:E,5,0)),0,VLOOKUP(A1963,'CloseDL - PriceSaverBBT3'!A:E,5,0))</f>
        <v>0</v>
      </c>
      <c r="K1963" s="7" t="str">
        <f t="shared" si="231"/>
        <v/>
      </c>
      <c r="L1963" s="20" t="e">
        <f>IF(Close[[#This Row],[CreatedBy]]="MARINER\SilverAdm",1,0)</f>
        <v>#VALUE!</v>
      </c>
      <c r="M1963" t="str">
        <f>IF(NOT(ISBLANK(A1963)),VLOOKUP(A1963,'Close - PriceSaver'!A:J,6,0),"")</f>
        <v/>
      </c>
    </row>
    <row r="1964" spans="2:13" x14ac:dyDescent="0.35">
      <c r="B1964" t="str">
        <f>IF(NOT(ISBLANK(A1964)),VLOOKUP(A1964,'BBT3'!A:F,2,0),"")</f>
        <v/>
      </c>
      <c r="C1964" t="str">
        <f>IF(NOT(ISBLANK(A1964)),VLOOKUP(A1964,'BBT3'!A:F,3,0),"")</f>
        <v/>
      </c>
      <c r="D1964" s="5" t="str">
        <f>IF(NOT(ISBLANK(A1964)),VLOOKUP(A1964,'BBT3'!A:F,4,1),"")</f>
        <v/>
      </c>
      <c r="E1964" t="str">
        <f>IF(NOT(ISBLANK(A1964)),VLOOKUP(A1964,'BBT3'!A:F,5,0),"")</f>
        <v/>
      </c>
      <c r="F1964" t="str">
        <f>IF(NOT(ISBLANK(A1964)),VLOOKUP(A1964,'BBT3'!A:F,6,0),"")</f>
        <v/>
      </c>
      <c r="G1964" t="str">
        <f t="shared" si="230"/>
        <v/>
      </c>
      <c r="H1964" t="str">
        <f>IF(NOT(ISBLANK(A1964)),VLOOKUP(A1964,'Close - PriceSaver'!A:J,5,0),"")</f>
        <v/>
      </c>
      <c r="I1964" s="4" t="str" cm="1">
        <f t="array" ref="I1964">IF(NOT(ISBLANK(A1964)),((_xlfn.XLOOKUP(1,(_bbt3[[#All],[ID]]=A1964)*(_bbt3[[#All],[METRIC_NAME]]="YLD_YTM_ASK"),_bbt3[[#All],[METRIC_VALUE]])*0.5)+(_xlfn.XLOOKUP(1,(_bbt3[[#All],[ID]]=A1964)*(_bbt3[[#All],[METRIC_NAME]]="YLD_YTM_BID"),_bbt3[[#All],[METRIC_VALUE]])*0.5))/100,"")</f>
        <v/>
      </c>
      <c r="J1964">
        <f>IF(ISNA(VLOOKUP(A1964,'CloseDL - PriceSaverBBT3'!A:E,5,0)),0,VLOOKUP(A1964,'CloseDL - PriceSaverBBT3'!A:E,5,0))</f>
        <v>0</v>
      </c>
      <c r="K1964" s="7" t="str">
        <f t="shared" si="231"/>
        <v/>
      </c>
      <c r="L1964" s="20" t="e">
        <f>IF(Close[[#This Row],[CreatedBy]]="MARINER\SilverAdm",1,0)</f>
        <v>#VALUE!</v>
      </c>
      <c r="M1964" t="str">
        <f>IF(NOT(ISBLANK(A1964)),VLOOKUP(A1964,'Close - PriceSaver'!A:J,6,0),"")</f>
        <v/>
      </c>
    </row>
    <row r="1965" spans="2:13" x14ac:dyDescent="0.35">
      <c r="B1965" t="str">
        <f>IF(NOT(ISBLANK(A1965)),VLOOKUP(A1965,'BBT3'!A:F,2,0),"")</f>
        <v/>
      </c>
      <c r="C1965" t="str">
        <f>IF(NOT(ISBLANK(A1965)),VLOOKUP(A1965,'BBT3'!A:F,3,0),"")</f>
        <v/>
      </c>
      <c r="D1965" s="5" t="str">
        <f>IF(NOT(ISBLANK(A1965)),VLOOKUP(A1965,'BBT3'!A:F,4,1),"")</f>
        <v/>
      </c>
      <c r="E1965" t="str">
        <f>IF(NOT(ISBLANK(A1965)),VLOOKUP(A1965,'BBT3'!A:F,5,0),"")</f>
        <v/>
      </c>
      <c r="F1965" t="str">
        <f>IF(NOT(ISBLANK(A1965)),VLOOKUP(A1965,'BBT3'!A:F,6,0),"")</f>
        <v/>
      </c>
      <c r="G1965" t="str">
        <f t="shared" si="230"/>
        <v/>
      </c>
      <c r="H1965" t="str">
        <f>IF(NOT(ISBLANK(A1965)),VLOOKUP(A1965,'Close - PriceSaver'!A:J,5,0),"")</f>
        <v/>
      </c>
      <c r="I1965" s="4" t="str" cm="1">
        <f t="array" ref="I1965">IF(NOT(ISBLANK(A1965)),((_xlfn.XLOOKUP(1,(_bbt3[[#All],[ID]]=A1965)*(_bbt3[[#All],[METRIC_NAME]]="YLD_YTM_ASK"),_bbt3[[#All],[METRIC_VALUE]])*0.5)+(_xlfn.XLOOKUP(1,(_bbt3[[#All],[ID]]=A1965)*(_bbt3[[#All],[METRIC_NAME]]="YLD_YTM_BID"),_bbt3[[#All],[METRIC_VALUE]])*0.5))/100,"")</f>
        <v/>
      </c>
      <c r="J1965">
        <f>IF(ISNA(VLOOKUP(A1965,'CloseDL - PriceSaverBBT3'!A:E,5,0)),0,VLOOKUP(A1965,'CloseDL - PriceSaverBBT3'!A:E,5,0))</f>
        <v>0</v>
      </c>
      <c r="K1965" s="7" t="str">
        <f t="shared" si="231"/>
        <v/>
      </c>
      <c r="L1965" s="20" t="e">
        <f>IF(Close[[#This Row],[CreatedBy]]="MARINER\SilverAdm",1,0)</f>
        <v>#VALUE!</v>
      </c>
      <c r="M1965" t="str">
        <f>IF(NOT(ISBLANK(A1965)),VLOOKUP(A1965,'Close - PriceSaver'!A:J,6,0),"")</f>
        <v/>
      </c>
    </row>
    <row r="1966" spans="2:13" x14ac:dyDescent="0.35">
      <c r="B1966" t="str">
        <f>IF(NOT(ISBLANK(A1966)),VLOOKUP(A1966,'BBT3'!A:F,2,0),"")</f>
        <v/>
      </c>
      <c r="C1966" t="str">
        <f>IF(NOT(ISBLANK(A1966)),VLOOKUP(A1966,'BBT3'!A:F,3,0),"")</f>
        <v/>
      </c>
      <c r="D1966" s="5" t="str">
        <f>IF(NOT(ISBLANK(A1966)),VLOOKUP(A1966,'BBT3'!A:F,4,1),"")</f>
        <v/>
      </c>
      <c r="E1966" t="str">
        <f>IF(NOT(ISBLANK(A1966)),VLOOKUP(A1966,'BBT3'!A:F,5,0),"")</f>
        <v/>
      </c>
      <c r="F1966" t="str">
        <f>IF(NOT(ISBLANK(A1966)),VLOOKUP(A1966,'BBT3'!A:F,6,0),"")</f>
        <v/>
      </c>
      <c r="G1966" t="str">
        <f t="shared" si="230"/>
        <v/>
      </c>
      <c r="H1966" t="str">
        <f>IF(NOT(ISBLANK(A1966)),VLOOKUP(A1966,'Close - PriceSaver'!A:J,5,0),"")</f>
        <v/>
      </c>
      <c r="I1966" s="4" t="str" cm="1">
        <f t="array" ref="I1966">IF(NOT(ISBLANK(A1966)),((_xlfn.XLOOKUP(1,(_bbt3[[#All],[ID]]=A1966)*(_bbt3[[#All],[METRIC_NAME]]="YLD_YTM_ASK"),_bbt3[[#All],[METRIC_VALUE]])*0.5)+(_xlfn.XLOOKUP(1,(_bbt3[[#All],[ID]]=A1966)*(_bbt3[[#All],[METRIC_NAME]]="YLD_YTM_BID"),_bbt3[[#All],[METRIC_VALUE]])*0.5))/100,"")</f>
        <v/>
      </c>
      <c r="J1966">
        <f>IF(ISNA(VLOOKUP(A1966,'CloseDL - PriceSaverBBT3'!A:E,5,0)),0,VLOOKUP(A1966,'CloseDL - PriceSaverBBT3'!A:E,5,0))</f>
        <v>0</v>
      </c>
      <c r="K1966" s="7" t="str">
        <f t="shared" si="231"/>
        <v/>
      </c>
      <c r="L1966" s="20" t="e">
        <f>IF(Close[[#This Row],[CreatedBy]]="MARINER\SilverAdm",1,0)</f>
        <v>#VALUE!</v>
      </c>
      <c r="M1966" t="str">
        <f>IF(NOT(ISBLANK(A1966)),VLOOKUP(A1966,'Close - PriceSaver'!A:J,6,0),"")</f>
        <v/>
      </c>
    </row>
    <row r="1967" spans="2:13" x14ac:dyDescent="0.35">
      <c r="B1967" t="str">
        <f>IF(NOT(ISBLANK(A1967)),VLOOKUP(A1967,'BBT3'!A:F,2,0),"")</f>
        <v/>
      </c>
      <c r="C1967" t="str">
        <f>IF(NOT(ISBLANK(A1967)),VLOOKUP(A1967,'BBT3'!A:F,3,0),"")</f>
        <v/>
      </c>
      <c r="D1967" s="5" t="str">
        <f>IF(NOT(ISBLANK(A1967)),VLOOKUP(A1967,'BBT3'!A:F,4,1),"")</f>
        <v/>
      </c>
      <c r="E1967" t="str">
        <f>IF(NOT(ISBLANK(A1967)),VLOOKUP(A1967,'BBT3'!A:F,5,0),"")</f>
        <v/>
      </c>
      <c r="F1967" t="str">
        <f>IF(NOT(ISBLANK(A1967)),VLOOKUP(A1967,'BBT3'!A:F,6,0),"")</f>
        <v/>
      </c>
      <c r="G1967" t="str">
        <f t="shared" si="230"/>
        <v/>
      </c>
      <c r="H1967" t="str">
        <f>IF(NOT(ISBLANK(A1967)),VLOOKUP(A1967,'Close - PriceSaver'!A:J,5,0),"")</f>
        <v/>
      </c>
      <c r="I1967" s="4" t="str" cm="1">
        <f t="array" ref="I1967">IF(NOT(ISBLANK(A1967)),((_xlfn.XLOOKUP(1,(_bbt3[[#All],[ID]]=A1967)*(_bbt3[[#All],[METRIC_NAME]]="YLD_YTM_ASK"),_bbt3[[#All],[METRIC_VALUE]])*0.5)+(_xlfn.XLOOKUP(1,(_bbt3[[#All],[ID]]=A1967)*(_bbt3[[#All],[METRIC_NAME]]="YLD_YTM_BID"),_bbt3[[#All],[METRIC_VALUE]])*0.5))/100,"")</f>
        <v/>
      </c>
      <c r="J1967">
        <f>IF(ISNA(VLOOKUP(A1967,'CloseDL - PriceSaverBBT3'!A:E,5,0)),0,VLOOKUP(A1967,'CloseDL - PriceSaverBBT3'!A:E,5,0))</f>
        <v>0</v>
      </c>
      <c r="K1967" s="7" t="str">
        <f t="shared" si="231"/>
        <v/>
      </c>
      <c r="L1967" s="20" t="e">
        <f>IF(Close[[#This Row],[CreatedBy]]="MARINER\SilverAdm",1,0)</f>
        <v>#VALUE!</v>
      </c>
      <c r="M1967" t="str">
        <f>IF(NOT(ISBLANK(A1967)),VLOOKUP(A1967,'Close - PriceSaver'!A:J,6,0),"")</f>
        <v/>
      </c>
    </row>
    <row r="1968" spans="2:13" x14ac:dyDescent="0.35">
      <c r="B1968" t="str">
        <f>IF(NOT(ISBLANK(A1968)),VLOOKUP(A1968,'BBT3'!A:F,2,0),"")</f>
        <v/>
      </c>
      <c r="C1968" t="str">
        <f>IF(NOT(ISBLANK(A1968)),VLOOKUP(A1968,'BBT3'!A:F,3,0),"")</f>
        <v/>
      </c>
      <c r="D1968" s="5" t="str">
        <f>IF(NOT(ISBLANK(A1968)),VLOOKUP(A1968,'BBT3'!A:F,4,1),"")</f>
        <v/>
      </c>
      <c r="E1968" t="str">
        <f>IF(NOT(ISBLANK(A1968)),VLOOKUP(A1968,'BBT3'!A:F,5,0),"")</f>
        <v/>
      </c>
      <c r="F1968" t="str">
        <f>IF(NOT(ISBLANK(A1968)),VLOOKUP(A1968,'BBT3'!A:F,6,0),"")</f>
        <v/>
      </c>
      <c r="G1968" t="str">
        <f t="shared" si="230"/>
        <v/>
      </c>
      <c r="H1968" t="str">
        <f>IF(NOT(ISBLANK(A1968)),VLOOKUP(A1968,'Close - PriceSaver'!A:J,5,0),"")</f>
        <v/>
      </c>
      <c r="I1968" s="4" t="str" cm="1">
        <f t="array" ref="I1968">IF(NOT(ISBLANK(A1968)),((_xlfn.XLOOKUP(1,(_bbt3[[#All],[ID]]=A1968)*(_bbt3[[#All],[METRIC_NAME]]="YLD_YTM_ASK"),_bbt3[[#All],[METRIC_VALUE]])*0.5)+(_xlfn.XLOOKUP(1,(_bbt3[[#All],[ID]]=A1968)*(_bbt3[[#All],[METRIC_NAME]]="YLD_YTM_BID"),_bbt3[[#All],[METRIC_VALUE]])*0.5))/100,"")</f>
        <v/>
      </c>
      <c r="J1968">
        <f>IF(ISNA(VLOOKUP(A1968,'CloseDL - PriceSaverBBT3'!A:E,5,0)),0,VLOOKUP(A1968,'CloseDL - PriceSaverBBT3'!A:E,5,0))</f>
        <v>0</v>
      </c>
      <c r="K1968" s="7" t="str">
        <f t="shared" si="231"/>
        <v/>
      </c>
      <c r="L1968" s="20" t="e">
        <f>IF(Close[[#This Row],[CreatedBy]]="MARINER\SilverAdm",1,0)</f>
        <v>#VALUE!</v>
      </c>
      <c r="M1968" t="str">
        <f>IF(NOT(ISBLANK(A1968)),VLOOKUP(A1968,'Close - PriceSaver'!A:J,6,0),"")</f>
        <v/>
      </c>
    </row>
    <row r="1969" spans="2:13" x14ac:dyDescent="0.35">
      <c r="B1969" t="str">
        <f>IF(NOT(ISBLANK(A1969)),VLOOKUP(A1969,'BBT3'!A:F,2,0),"")</f>
        <v/>
      </c>
      <c r="C1969" t="str">
        <f>IF(NOT(ISBLANK(A1969)),VLOOKUP(A1969,'BBT3'!A:F,3,0),"")</f>
        <v/>
      </c>
      <c r="D1969" s="5" t="str">
        <f>IF(NOT(ISBLANK(A1969)),VLOOKUP(A1969,'BBT3'!A:F,4,1),"")</f>
        <v/>
      </c>
      <c r="E1969" t="str">
        <f>IF(NOT(ISBLANK(A1969)),VLOOKUP(A1969,'BBT3'!A:F,5,0),"")</f>
        <v/>
      </c>
      <c r="F1969" t="str">
        <f>IF(NOT(ISBLANK(A1969)),VLOOKUP(A1969,'BBT3'!A:F,6,0),"")</f>
        <v/>
      </c>
      <c r="G1969" t="str">
        <f t="shared" si="230"/>
        <v/>
      </c>
      <c r="H1969" t="str">
        <f>IF(NOT(ISBLANK(A1969)),VLOOKUP(A1969,'Close - PriceSaver'!A:J,5,0),"")</f>
        <v/>
      </c>
      <c r="I1969" s="4" t="str" cm="1">
        <f t="array" ref="I1969">IF(NOT(ISBLANK(A1969)),((_xlfn.XLOOKUP(1,(_bbt3[[#All],[ID]]=A1969)*(_bbt3[[#All],[METRIC_NAME]]="YLD_YTM_ASK"),_bbt3[[#All],[METRIC_VALUE]])*0.5)+(_xlfn.XLOOKUP(1,(_bbt3[[#All],[ID]]=A1969)*(_bbt3[[#All],[METRIC_NAME]]="YLD_YTM_BID"),_bbt3[[#All],[METRIC_VALUE]])*0.5))/100,"")</f>
        <v/>
      </c>
      <c r="J1969">
        <f>IF(ISNA(VLOOKUP(A1969,'CloseDL - PriceSaverBBT3'!A:E,5,0)),0,VLOOKUP(A1969,'CloseDL - PriceSaverBBT3'!A:E,5,0))</f>
        <v>0</v>
      </c>
      <c r="K1969" s="7" t="str">
        <f t="shared" si="231"/>
        <v/>
      </c>
      <c r="L1969" s="20" t="e">
        <f>IF(Close[[#This Row],[CreatedBy]]="MARINER\SilverAdm",1,0)</f>
        <v>#VALUE!</v>
      </c>
      <c r="M1969" t="str">
        <f>IF(NOT(ISBLANK(A1969)),VLOOKUP(A1969,'Close - PriceSaver'!A:J,6,0),"")</f>
        <v/>
      </c>
    </row>
    <row r="1970" spans="2:13" x14ac:dyDescent="0.35">
      <c r="B1970" t="str">
        <f>IF(NOT(ISBLANK(A1970)),VLOOKUP(A1970,'BBT3'!A:F,2,0),"")</f>
        <v/>
      </c>
      <c r="C1970" t="str">
        <f>IF(NOT(ISBLANK(A1970)),VLOOKUP(A1970,'BBT3'!A:F,3,0),"")</f>
        <v/>
      </c>
      <c r="D1970" s="5" t="str">
        <f>IF(NOT(ISBLANK(A1970)),VLOOKUP(A1970,'BBT3'!A:F,4,1),"")</f>
        <v/>
      </c>
      <c r="E1970" t="str">
        <f>IF(NOT(ISBLANK(A1970)),VLOOKUP(A1970,'BBT3'!A:F,5,0),"")</f>
        <v/>
      </c>
      <c r="F1970" t="str">
        <f>IF(NOT(ISBLANK(A1970)),VLOOKUP(A1970,'BBT3'!A:F,6,0),"")</f>
        <v/>
      </c>
      <c r="G1970" t="str">
        <f t="shared" si="230"/>
        <v/>
      </c>
      <c r="H1970" t="str">
        <f>IF(NOT(ISBLANK(A1970)),VLOOKUP(A1970,'Close - PriceSaver'!A:J,5,0),"")</f>
        <v/>
      </c>
      <c r="I1970" s="4" t="str" cm="1">
        <f t="array" ref="I1970">IF(NOT(ISBLANK(A1970)),((_xlfn.XLOOKUP(1,(_bbt3[[#All],[ID]]=A1970)*(_bbt3[[#All],[METRIC_NAME]]="YLD_YTM_ASK"),_bbt3[[#All],[METRIC_VALUE]])*0.5)+(_xlfn.XLOOKUP(1,(_bbt3[[#All],[ID]]=A1970)*(_bbt3[[#All],[METRIC_NAME]]="YLD_YTM_BID"),_bbt3[[#All],[METRIC_VALUE]])*0.5))/100,"")</f>
        <v/>
      </c>
      <c r="J1970">
        <f>IF(ISNA(VLOOKUP(A1970,'CloseDL - PriceSaverBBT3'!A:E,5,0)),0,VLOOKUP(A1970,'CloseDL - PriceSaverBBT3'!A:E,5,0))</f>
        <v>0</v>
      </c>
      <c r="K1970" s="7" t="str">
        <f t="shared" si="231"/>
        <v/>
      </c>
      <c r="L1970" s="20" t="e">
        <f>IF(Close[[#This Row],[CreatedBy]]="MARINER\SilverAdm",1,0)</f>
        <v>#VALUE!</v>
      </c>
      <c r="M1970" t="str">
        <f>IF(NOT(ISBLANK(A1970)),VLOOKUP(A1970,'Close - PriceSaver'!A:J,6,0),"")</f>
        <v/>
      </c>
    </row>
    <row r="1971" spans="2:13" x14ac:dyDescent="0.35">
      <c r="B1971" t="str">
        <f>IF(NOT(ISBLANK(A1971)),VLOOKUP(A1971,'BBT3'!A:F,2,0),"")</f>
        <v/>
      </c>
      <c r="C1971" t="str">
        <f>IF(NOT(ISBLANK(A1971)),VLOOKUP(A1971,'BBT3'!A:F,3,0),"")</f>
        <v/>
      </c>
      <c r="D1971" s="5" t="str">
        <f>IF(NOT(ISBLANK(A1971)),VLOOKUP(A1971,'BBT3'!A:F,4,1),"")</f>
        <v/>
      </c>
      <c r="E1971" t="str">
        <f>IF(NOT(ISBLANK(A1971)),VLOOKUP(A1971,'BBT3'!A:F,5,0),"")</f>
        <v/>
      </c>
      <c r="F1971" t="str">
        <f>IF(NOT(ISBLANK(A1971)),VLOOKUP(A1971,'BBT3'!A:F,6,0),"")</f>
        <v/>
      </c>
      <c r="G1971" t="str">
        <f t="shared" si="230"/>
        <v/>
      </c>
      <c r="H1971" t="str">
        <f>IF(NOT(ISBLANK(A1971)),VLOOKUP(A1971,'Close - PriceSaver'!A:J,5,0),"")</f>
        <v/>
      </c>
      <c r="I1971" s="4" t="str" cm="1">
        <f t="array" ref="I1971">IF(NOT(ISBLANK(A1971)),((_xlfn.XLOOKUP(1,(_bbt3[[#All],[ID]]=A1971)*(_bbt3[[#All],[METRIC_NAME]]="YLD_YTM_ASK"),_bbt3[[#All],[METRIC_VALUE]])*0.5)+(_xlfn.XLOOKUP(1,(_bbt3[[#All],[ID]]=A1971)*(_bbt3[[#All],[METRIC_NAME]]="YLD_YTM_BID"),_bbt3[[#All],[METRIC_VALUE]])*0.5))/100,"")</f>
        <v/>
      </c>
      <c r="J1971">
        <f>IF(ISNA(VLOOKUP(A1971,'CloseDL - PriceSaverBBT3'!A:E,5,0)),0,VLOOKUP(A1971,'CloseDL - PriceSaverBBT3'!A:E,5,0))</f>
        <v>0</v>
      </c>
      <c r="K1971" s="7" t="str">
        <f t="shared" si="231"/>
        <v/>
      </c>
      <c r="L1971" s="20" t="e">
        <f>IF(Close[[#This Row],[CreatedBy]]="MARINER\SilverAdm",1,0)</f>
        <v>#VALUE!</v>
      </c>
      <c r="M1971" t="str">
        <f>IF(NOT(ISBLANK(A1971)),VLOOKUP(A1971,'Close - PriceSaver'!A:J,6,0),"")</f>
        <v/>
      </c>
    </row>
    <row r="1972" spans="2:13" x14ac:dyDescent="0.35">
      <c r="B1972" t="str">
        <f>IF(NOT(ISBLANK(A1972)),VLOOKUP(A1972,'BBT3'!A:F,2,0),"")</f>
        <v/>
      </c>
      <c r="C1972" t="str">
        <f>IF(NOT(ISBLANK(A1972)),VLOOKUP(A1972,'BBT3'!A:F,3,0),"")</f>
        <v/>
      </c>
      <c r="D1972" s="5" t="str">
        <f>IF(NOT(ISBLANK(A1972)),VLOOKUP(A1972,'BBT3'!A:F,4,1),"")</f>
        <v/>
      </c>
      <c r="E1972" t="str">
        <f>IF(NOT(ISBLANK(A1972)),VLOOKUP(A1972,'BBT3'!A:F,5,0),"")</f>
        <v/>
      </c>
      <c r="F1972" t="str">
        <f>IF(NOT(ISBLANK(A1972)),VLOOKUP(A1972,'BBT3'!A:F,6,0),"")</f>
        <v/>
      </c>
      <c r="G1972" t="str">
        <f t="shared" si="230"/>
        <v/>
      </c>
      <c r="H1972" t="str">
        <f>IF(NOT(ISBLANK(A1972)),VLOOKUP(A1972,'Close - PriceSaver'!A:J,5,0),"")</f>
        <v/>
      </c>
      <c r="I1972" s="4" t="str" cm="1">
        <f t="array" ref="I1972">IF(NOT(ISBLANK(A1972)),((_xlfn.XLOOKUP(1,(_bbt3[[#All],[ID]]=A1972)*(_bbt3[[#All],[METRIC_NAME]]="YLD_YTM_ASK"),_bbt3[[#All],[METRIC_VALUE]])*0.5)+(_xlfn.XLOOKUP(1,(_bbt3[[#All],[ID]]=A1972)*(_bbt3[[#All],[METRIC_NAME]]="YLD_YTM_BID"),_bbt3[[#All],[METRIC_VALUE]])*0.5))/100,"")</f>
        <v/>
      </c>
      <c r="J1972">
        <f>IF(ISNA(VLOOKUP(A1972,'CloseDL - PriceSaverBBT3'!A:E,5,0)),0,VLOOKUP(A1972,'CloseDL - PriceSaverBBT3'!A:E,5,0))</f>
        <v>0</v>
      </c>
      <c r="K1972" s="7" t="str">
        <f t="shared" si="231"/>
        <v/>
      </c>
      <c r="L1972" s="20" t="e">
        <f>IF(Close[[#This Row],[CreatedBy]]="MARINER\SilverAdm",1,0)</f>
        <v>#VALUE!</v>
      </c>
      <c r="M1972" t="str">
        <f>IF(NOT(ISBLANK(A1972)),VLOOKUP(A1972,'Close - PriceSaver'!A:J,6,0),"")</f>
        <v/>
      </c>
    </row>
    <row r="1973" spans="2:13" x14ac:dyDescent="0.35">
      <c r="B1973" t="str">
        <f>IF(NOT(ISBLANK(A1973)),VLOOKUP(A1973,'BBT3'!A:F,2,0),"")</f>
        <v/>
      </c>
      <c r="C1973" t="str">
        <f>IF(NOT(ISBLANK(A1973)),VLOOKUP(A1973,'BBT3'!A:F,3,0),"")</f>
        <v/>
      </c>
      <c r="D1973" s="5" t="str">
        <f>IF(NOT(ISBLANK(A1973)),VLOOKUP(A1973,'BBT3'!A:F,4,1),"")</f>
        <v/>
      </c>
      <c r="E1973" t="str">
        <f>IF(NOT(ISBLANK(A1973)),VLOOKUP(A1973,'BBT3'!A:F,5,0),"")</f>
        <v/>
      </c>
      <c r="F1973" t="str">
        <f>IF(NOT(ISBLANK(A1973)),VLOOKUP(A1973,'BBT3'!A:F,6,0),"")</f>
        <v/>
      </c>
      <c r="G1973" t="str">
        <f t="shared" si="230"/>
        <v/>
      </c>
      <c r="H1973" t="str">
        <f>IF(NOT(ISBLANK(A1973)),VLOOKUP(A1973,'Close - PriceSaver'!A:J,5,0),"")</f>
        <v/>
      </c>
      <c r="I1973" s="4" t="str" cm="1">
        <f t="array" ref="I1973">IF(NOT(ISBLANK(A1973)),((_xlfn.XLOOKUP(1,(_bbt3[[#All],[ID]]=A1973)*(_bbt3[[#All],[METRIC_NAME]]="YLD_YTM_ASK"),_bbt3[[#All],[METRIC_VALUE]])*0.5)+(_xlfn.XLOOKUP(1,(_bbt3[[#All],[ID]]=A1973)*(_bbt3[[#All],[METRIC_NAME]]="YLD_YTM_BID"),_bbt3[[#All],[METRIC_VALUE]])*0.5))/100,"")</f>
        <v/>
      </c>
      <c r="J1973">
        <f>IF(ISNA(VLOOKUP(A1973,'CloseDL - PriceSaverBBT3'!A:E,5,0)),0,VLOOKUP(A1973,'CloseDL - PriceSaverBBT3'!A:E,5,0))</f>
        <v>0</v>
      </c>
      <c r="K1973" s="7" t="str">
        <f t="shared" si="231"/>
        <v/>
      </c>
      <c r="L1973" s="20" t="e">
        <f>IF(Close[[#This Row],[CreatedBy]]="MARINER\SilverAdm",1,0)</f>
        <v>#VALUE!</v>
      </c>
      <c r="M1973" t="str">
        <f>IF(NOT(ISBLANK(A1973)),VLOOKUP(A1973,'Close - PriceSaver'!A:J,6,0),"")</f>
        <v/>
      </c>
    </row>
    <row r="1974" spans="2:13" x14ac:dyDescent="0.35">
      <c r="B1974" t="str">
        <f>IF(NOT(ISBLANK(A1974)),VLOOKUP(A1974,'BBT3'!A:F,2,0),"")</f>
        <v/>
      </c>
      <c r="C1974" t="str">
        <f>IF(NOT(ISBLANK(A1974)),VLOOKUP(A1974,'BBT3'!A:F,3,0),"")</f>
        <v/>
      </c>
      <c r="D1974" s="5" t="str">
        <f>IF(NOT(ISBLANK(A1974)),VLOOKUP(A1974,'BBT3'!A:F,4,1),"")</f>
        <v/>
      </c>
      <c r="E1974" t="str">
        <f>IF(NOT(ISBLANK(A1974)),VLOOKUP(A1974,'BBT3'!A:F,5,0),"")</f>
        <v/>
      </c>
      <c r="F1974" t="str">
        <f>IF(NOT(ISBLANK(A1974)),VLOOKUP(A1974,'BBT3'!A:F,6,0),"")</f>
        <v/>
      </c>
      <c r="G1974" t="str">
        <f t="shared" si="230"/>
        <v/>
      </c>
      <c r="H1974" t="str">
        <f>IF(NOT(ISBLANK(A1974)),VLOOKUP(A1974,'Close - PriceSaver'!A:J,5,0),"")</f>
        <v/>
      </c>
      <c r="I1974" s="4" t="str" cm="1">
        <f t="array" ref="I1974">IF(NOT(ISBLANK(A1974)),((_xlfn.XLOOKUP(1,(_bbt3[[#All],[ID]]=A1974)*(_bbt3[[#All],[METRIC_NAME]]="YLD_YTM_ASK"),_bbt3[[#All],[METRIC_VALUE]])*0.5)+(_xlfn.XLOOKUP(1,(_bbt3[[#All],[ID]]=A1974)*(_bbt3[[#All],[METRIC_NAME]]="YLD_YTM_BID"),_bbt3[[#All],[METRIC_VALUE]])*0.5))/100,"")</f>
        <v/>
      </c>
      <c r="J1974">
        <f>IF(ISNA(VLOOKUP(A1974,'CloseDL - PriceSaverBBT3'!A:E,5,0)),0,VLOOKUP(A1974,'CloseDL - PriceSaverBBT3'!A:E,5,0))</f>
        <v>0</v>
      </c>
      <c r="K1974" s="7" t="str">
        <f t="shared" si="231"/>
        <v/>
      </c>
      <c r="L1974" s="20" t="e">
        <f>IF(Close[[#This Row],[CreatedBy]]="MARINER\SilverAdm",1,0)</f>
        <v>#VALUE!</v>
      </c>
      <c r="M1974" t="str">
        <f>IF(NOT(ISBLANK(A1974)),VLOOKUP(A1974,'Close - PriceSaver'!A:J,6,0),"")</f>
        <v/>
      </c>
    </row>
    <row r="1975" spans="2:13" x14ac:dyDescent="0.35">
      <c r="B1975" t="str">
        <f>IF(NOT(ISBLANK(A1975)),VLOOKUP(A1975,'BBT3'!A:F,2,0),"")</f>
        <v/>
      </c>
      <c r="C1975" t="str">
        <f>IF(NOT(ISBLANK(A1975)),VLOOKUP(A1975,'BBT3'!A:F,3,0),"")</f>
        <v/>
      </c>
      <c r="D1975" s="5" t="str">
        <f>IF(NOT(ISBLANK(A1975)),VLOOKUP(A1975,'BBT3'!A:F,4,1),"")</f>
        <v/>
      </c>
      <c r="E1975" t="str">
        <f>IF(NOT(ISBLANK(A1975)),VLOOKUP(A1975,'BBT3'!A:F,5,0),"")</f>
        <v/>
      </c>
      <c r="F1975" t="str">
        <f>IF(NOT(ISBLANK(A1975)),VLOOKUP(A1975,'BBT3'!A:F,6,0),"")</f>
        <v/>
      </c>
      <c r="G1975" t="str">
        <f t="shared" si="230"/>
        <v/>
      </c>
      <c r="H1975" t="str">
        <f>IF(NOT(ISBLANK(A1975)),VLOOKUP(A1975,'Close - PriceSaver'!A:J,5,0),"")</f>
        <v/>
      </c>
      <c r="I1975" s="4" t="str" cm="1">
        <f t="array" ref="I1975">IF(NOT(ISBLANK(A1975)),((_xlfn.XLOOKUP(1,(_bbt3[[#All],[ID]]=A1975)*(_bbt3[[#All],[METRIC_NAME]]="YLD_YTM_ASK"),_bbt3[[#All],[METRIC_VALUE]])*0.5)+(_xlfn.XLOOKUP(1,(_bbt3[[#All],[ID]]=A1975)*(_bbt3[[#All],[METRIC_NAME]]="YLD_YTM_BID"),_bbt3[[#All],[METRIC_VALUE]])*0.5))/100,"")</f>
        <v/>
      </c>
      <c r="J1975">
        <f>IF(ISNA(VLOOKUP(A1975,'CloseDL - PriceSaverBBT3'!A:E,5,0)),0,VLOOKUP(A1975,'CloseDL - PriceSaverBBT3'!A:E,5,0))</f>
        <v>0</v>
      </c>
      <c r="K1975" s="7" t="str">
        <f t="shared" si="231"/>
        <v/>
      </c>
      <c r="L1975" s="20" t="e">
        <f>IF(Close[[#This Row],[CreatedBy]]="MARINER\SilverAdm",1,0)</f>
        <v>#VALUE!</v>
      </c>
      <c r="M1975" t="str">
        <f>IF(NOT(ISBLANK(A1975)),VLOOKUP(A1975,'Close - PriceSaver'!A:J,6,0),"")</f>
        <v/>
      </c>
    </row>
    <row r="1976" spans="2:13" x14ac:dyDescent="0.35">
      <c r="B1976" t="str">
        <f>IF(NOT(ISBLANK(A1976)),VLOOKUP(A1976,'BBT3'!A:F,2,0),"")</f>
        <v/>
      </c>
      <c r="C1976" t="str">
        <f>IF(NOT(ISBLANK(A1976)),VLOOKUP(A1976,'BBT3'!A:F,3,0),"")</f>
        <v/>
      </c>
      <c r="D1976" s="5" t="str">
        <f>IF(NOT(ISBLANK(A1976)),VLOOKUP(A1976,'BBT3'!A:F,4,1),"")</f>
        <v/>
      </c>
      <c r="E1976" t="str">
        <f>IF(NOT(ISBLANK(A1976)),VLOOKUP(A1976,'BBT3'!A:F,5,0),"")</f>
        <v/>
      </c>
      <c r="F1976" t="str">
        <f>IF(NOT(ISBLANK(A1976)),VLOOKUP(A1976,'BBT3'!A:F,6,0),"")</f>
        <v/>
      </c>
      <c r="G1976" t="str">
        <f t="shared" si="230"/>
        <v/>
      </c>
      <c r="H1976" t="str">
        <f>IF(NOT(ISBLANK(A1976)),VLOOKUP(A1976,'Close - PriceSaver'!A:J,5,0),"")</f>
        <v/>
      </c>
      <c r="I1976" s="4" t="str" cm="1">
        <f t="array" ref="I1976">IF(NOT(ISBLANK(A1976)),((_xlfn.XLOOKUP(1,(_bbt3[[#All],[ID]]=A1976)*(_bbt3[[#All],[METRIC_NAME]]="YLD_YTM_ASK"),_bbt3[[#All],[METRIC_VALUE]])*0.5)+(_xlfn.XLOOKUP(1,(_bbt3[[#All],[ID]]=A1976)*(_bbt3[[#All],[METRIC_NAME]]="YLD_YTM_BID"),_bbt3[[#All],[METRIC_VALUE]])*0.5))/100,"")</f>
        <v/>
      </c>
      <c r="J1976">
        <f>IF(ISNA(VLOOKUP(A1976,'CloseDL - PriceSaverBBT3'!A:E,5,0)),0,VLOOKUP(A1976,'CloseDL - PriceSaverBBT3'!A:E,5,0))</f>
        <v>0</v>
      </c>
      <c r="K1976" s="7" t="str">
        <f t="shared" si="231"/>
        <v/>
      </c>
      <c r="L1976" s="20" t="e">
        <f>IF(Close[[#This Row],[CreatedBy]]="MARINER\SilverAdm",1,0)</f>
        <v>#VALUE!</v>
      </c>
      <c r="M1976" t="str">
        <f>IF(NOT(ISBLANK(A1976)),VLOOKUP(A1976,'Close - PriceSaver'!A:J,6,0),"")</f>
        <v/>
      </c>
    </row>
    <row r="1977" spans="2:13" x14ac:dyDescent="0.35">
      <c r="B1977" t="str">
        <f>IF(NOT(ISBLANK(A1977)),VLOOKUP(A1977,'BBT3'!A:F,2,0),"")</f>
        <v/>
      </c>
      <c r="C1977" t="str">
        <f>IF(NOT(ISBLANK(A1977)),VLOOKUP(A1977,'BBT3'!A:F,3,0),"")</f>
        <v/>
      </c>
      <c r="D1977" s="5" t="str">
        <f>IF(NOT(ISBLANK(A1977)),VLOOKUP(A1977,'BBT3'!A:F,4,1),"")</f>
        <v/>
      </c>
      <c r="E1977" t="str">
        <f>IF(NOT(ISBLANK(A1977)),VLOOKUP(A1977,'BBT3'!A:F,5,0),"")</f>
        <v/>
      </c>
      <c r="F1977" t="str">
        <f>IF(NOT(ISBLANK(A1977)),VLOOKUP(A1977,'BBT3'!A:F,6,0),"")</f>
        <v/>
      </c>
      <c r="G1977" t="str">
        <f t="shared" si="230"/>
        <v/>
      </c>
      <c r="H1977" t="str">
        <f>IF(NOT(ISBLANK(A1977)),VLOOKUP(A1977,'Close - PriceSaver'!A:J,5,0),"")</f>
        <v/>
      </c>
      <c r="I1977" s="4" t="str" cm="1">
        <f t="array" ref="I1977">IF(NOT(ISBLANK(A1977)),((_xlfn.XLOOKUP(1,(_bbt3[[#All],[ID]]=A1977)*(_bbt3[[#All],[METRIC_NAME]]="YLD_YTM_ASK"),_bbt3[[#All],[METRIC_VALUE]])*0.5)+(_xlfn.XLOOKUP(1,(_bbt3[[#All],[ID]]=A1977)*(_bbt3[[#All],[METRIC_NAME]]="YLD_YTM_BID"),_bbt3[[#All],[METRIC_VALUE]])*0.5))/100,"")</f>
        <v/>
      </c>
      <c r="J1977">
        <f>IF(ISNA(VLOOKUP(A1977,'CloseDL - PriceSaverBBT3'!A:E,5,0)),0,VLOOKUP(A1977,'CloseDL - PriceSaverBBT3'!A:E,5,0))</f>
        <v>0</v>
      </c>
      <c r="K1977" s="7" t="str">
        <f t="shared" si="231"/>
        <v/>
      </c>
      <c r="L1977" s="20" t="e">
        <f>IF(Close[[#This Row],[CreatedBy]]="MARINER\SilverAdm",1,0)</f>
        <v>#VALUE!</v>
      </c>
      <c r="M1977" t="str">
        <f>IF(NOT(ISBLANK(A1977)),VLOOKUP(A1977,'Close - PriceSaver'!A:J,6,0),"")</f>
        <v/>
      </c>
    </row>
    <row r="1978" spans="2:13" x14ac:dyDescent="0.35">
      <c r="B1978" t="str">
        <f>IF(NOT(ISBLANK(A1978)),VLOOKUP(A1978,'BBT3'!A:F,2,0),"")</f>
        <v/>
      </c>
      <c r="C1978" t="str">
        <f>IF(NOT(ISBLANK(A1978)),VLOOKUP(A1978,'BBT3'!A:F,3,0),"")</f>
        <v/>
      </c>
      <c r="D1978" s="5" t="str">
        <f>IF(NOT(ISBLANK(A1978)),VLOOKUP(A1978,'BBT3'!A:F,4,1),"")</f>
        <v/>
      </c>
      <c r="E1978" t="str">
        <f>IF(NOT(ISBLANK(A1978)),VLOOKUP(A1978,'BBT3'!A:F,5,0),"")</f>
        <v/>
      </c>
      <c r="F1978" t="str">
        <f>IF(NOT(ISBLANK(A1978)),VLOOKUP(A1978,'BBT3'!A:F,6,0),"")</f>
        <v/>
      </c>
      <c r="G1978" t="str">
        <f t="shared" si="230"/>
        <v/>
      </c>
      <c r="H1978" t="str">
        <f>IF(NOT(ISBLANK(A1978)),VLOOKUP(A1978,'Close - PriceSaver'!A:J,5,0),"")</f>
        <v/>
      </c>
      <c r="I1978" s="4" t="str" cm="1">
        <f t="array" ref="I1978">IF(NOT(ISBLANK(A1978)),((_xlfn.XLOOKUP(1,(_bbt3[[#All],[ID]]=A1978)*(_bbt3[[#All],[METRIC_NAME]]="YLD_YTM_ASK"),_bbt3[[#All],[METRIC_VALUE]])*0.5)+(_xlfn.XLOOKUP(1,(_bbt3[[#All],[ID]]=A1978)*(_bbt3[[#All],[METRIC_NAME]]="YLD_YTM_BID"),_bbt3[[#All],[METRIC_VALUE]])*0.5))/100,"")</f>
        <v/>
      </c>
      <c r="J1978">
        <f>IF(ISNA(VLOOKUP(A1978,'CloseDL - PriceSaverBBT3'!A:E,5,0)),0,VLOOKUP(A1978,'CloseDL - PriceSaverBBT3'!A:E,5,0))</f>
        <v>0</v>
      </c>
      <c r="K1978" s="7" t="str">
        <f t="shared" si="231"/>
        <v/>
      </c>
      <c r="L1978" s="20" t="e">
        <f>IF(Close[[#This Row],[CreatedBy]]="MARINER\SilverAdm",1,0)</f>
        <v>#VALUE!</v>
      </c>
      <c r="M1978" t="str">
        <f>IF(NOT(ISBLANK(A1978)),VLOOKUP(A1978,'Close - PriceSaver'!A:J,6,0),"")</f>
        <v/>
      </c>
    </row>
    <row r="1979" spans="2:13" x14ac:dyDescent="0.35">
      <c r="B1979" t="str">
        <f>IF(NOT(ISBLANK(A1979)),VLOOKUP(A1979,'BBT3'!A:F,2,0),"")</f>
        <v/>
      </c>
      <c r="C1979" t="str">
        <f>IF(NOT(ISBLANK(A1979)),VLOOKUP(A1979,'BBT3'!A:F,3,0),"")</f>
        <v/>
      </c>
      <c r="D1979" s="5" t="str">
        <f>IF(NOT(ISBLANK(A1979)),VLOOKUP(A1979,'BBT3'!A:F,4,1),"")</f>
        <v/>
      </c>
      <c r="E1979" t="str">
        <f>IF(NOT(ISBLANK(A1979)),VLOOKUP(A1979,'BBT3'!A:F,5,0),"")</f>
        <v/>
      </c>
      <c r="F1979" t="str">
        <f>IF(NOT(ISBLANK(A1979)),VLOOKUP(A1979,'BBT3'!A:F,6,0),"")</f>
        <v/>
      </c>
      <c r="G1979" t="str">
        <f t="shared" si="230"/>
        <v/>
      </c>
      <c r="H1979" t="str">
        <f>IF(NOT(ISBLANK(A1979)),VLOOKUP(A1979,'Close - PriceSaver'!A:J,5,0),"")</f>
        <v/>
      </c>
      <c r="I1979" s="4" t="str" cm="1">
        <f t="array" ref="I1979">IF(NOT(ISBLANK(A1979)),((_xlfn.XLOOKUP(1,(_bbt3[[#All],[ID]]=A1979)*(_bbt3[[#All],[METRIC_NAME]]="YLD_YTM_ASK"),_bbt3[[#All],[METRIC_VALUE]])*0.5)+(_xlfn.XLOOKUP(1,(_bbt3[[#All],[ID]]=A1979)*(_bbt3[[#All],[METRIC_NAME]]="YLD_YTM_BID"),_bbt3[[#All],[METRIC_VALUE]])*0.5))/100,"")</f>
        <v/>
      </c>
      <c r="J1979">
        <f>IF(ISNA(VLOOKUP(A1979,'CloseDL - PriceSaverBBT3'!A:E,5,0)),0,VLOOKUP(A1979,'CloseDL - PriceSaverBBT3'!A:E,5,0))</f>
        <v>0</v>
      </c>
      <c r="K1979" s="7" t="str">
        <f t="shared" si="231"/>
        <v/>
      </c>
      <c r="L1979" s="20" t="e">
        <f>IF(Close[[#This Row],[CreatedBy]]="MARINER\SilverAdm",1,0)</f>
        <v>#VALUE!</v>
      </c>
      <c r="M1979" t="str">
        <f>IF(NOT(ISBLANK(A1979)),VLOOKUP(A1979,'Close - PriceSaver'!A:J,6,0),"")</f>
        <v/>
      </c>
    </row>
    <row r="1980" spans="2:13" x14ac:dyDescent="0.35">
      <c r="B1980" t="str">
        <f>IF(NOT(ISBLANK(A1980)),VLOOKUP(A1980,'BBT3'!A:F,2,0),"")</f>
        <v/>
      </c>
      <c r="C1980" t="str">
        <f>IF(NOT(ISBLANK(A1980)),VLOOKUP(A1980,'BBT3'!A:F,3,0),"")</f>
        <v/>
      </c>
      <c r="D1980" s="5" t="str">
        <f>IF(NOT(ISBLANK(A1980)),VLOOKUP(A1980,'BBT3'!A:F,4,1),"")</f>
        <v/>
      </c>
      <c r="E1980" t="str">
        <f>IF(NOT(ISBLANK(A1980)),VLOOKUP(A1980,'BBT3'!A:F,5,0),"")</f>
        <v/>
      </c>
      <c r="F1980" t="str">
        <f>IF(NOT(ISBLANK(A1980)),VLOOKUP(A1980,'BBT3'!A:F,6,0),"")</f>
        <v/>
      </c>
      <c r="G1980" t="str">
        <f t="shared" si="230"/>
        <v/>
      </c>
      <c r="H1980" t="str">
        <f>IF(NOT(ISBLANK(A1980)),VLOOKUP(A1980,'Close - PriceSaver'!A:J,5,0),"")</f>
        <v/>
      </c>
      <c r="I1980" s="4" t="str" cm="1">
        <f t="array" ref="I1980">IF(NOT(ISBLANK(A1980)),((_xlfn.XLOOKUP(1,(_bbt3[[#All],[ID]]=A1980)*(_bbt3[[#All],[METRIC_NAME]]="YLD_YTM_ASK"),_bbt3[[#All],[METRIC_VALUE]])*0.5)+(_xlfn.XLOOKUP(1,(_bbt3[[#All],[ID]]=A1980)*(_bbt3[[#All],[METRIC_NAME]]="YLD_YTM_BID"),_bbt3[[#All],[METRIC_VALUE]])*0.5))/100,"")</f>
        <v/>
      </c>
      <c r="J1980">
        <f>IF(ISNA(VLOOKUP(A1980,'CloseDL - PriceSaverBBT3'!A:E,5,0)),0,VLOOKUP(A1980,'CloseDL - PriceSaverBBT3'!A:E,5,0))</f>
        <v>0</v>
      </c>
      <c r="K1980" s="7" t="str">
        <f t="shared" si="231"/>
        <v/>
      </c>
      <c r="L1980" s="20" t="e">
        <f>IF(Close[[#This Row],[CreatedBy]]="MARINER\SilverAdm",1,0)</f>
        <v>#VALUE!</v>
      </c>
      <c r="M1980" t="str">
        <f>IF(NOT(ISBLANK(A1980)),VLOOKUP(A1980,'Close - PriceSaver'!A:J,6,0),"")</f>
        <v/>
      </c>
    </row>
    <row r="1981" spans="2:13" x14ac:dyDescent="0.35">
      <c r="B1981" t="str">
        <f>IF(NOT(ISBLANK(A1981)),VLOOKUP(A1981,'BBT3'!A:F,2,0),"")</f>
        <v/>
      </c>
      <c r="C1981" t="str">
        <f>IF(NOT(ISBLANK(A1981)),VLOOKUP(A1981,'BBT3'!A:F,3,0),"")</f>
        <v/>
      </c>
      <c r="D1981" s="5" t="str">
        <f>IF(NOT(ISBLANK(A1981)),VLOOKUP(A1981,'BBT3'!A:F,4,1),"")</f>
        <v/>
      </c>
      <c r="E1981" t="str">
        <f>IF(NOT(ISBLANK(A1981)),VLOOKUP(A1981,'BBT3'!A:F,5,0),"")</f>
        <v/>
      </c>
      <c r="F1981" t="str">
        <f>IF(NOT(ISBLANK(A1981)),VLOOKUP(A1981,'BBT3'!A:F,6,0),"")</f>
        <v/>
      </c>
      <c r="G1981" t="str">
        <f t="shared" si="230"/>
        <v/>
      </c>
      <c r="H1981" t="str">
        <f>IF(NOT(ISBLANK(A1981)),VLOOKUP(A1981,'Close - PriceSaver'!A:J,5,0),"")</f>
        <v/>
      </c>
      <c r="I1981" s="4" t="str" cm="1">
        <f t="array" ref="I1981">IF(NOT(ISBLANK(A1981)),((_xlfn.XLOOKUP(1,(_bbt3[[#All],[ID]]=A1981)*(_bbt3[[#All],[METRIC_NAME]]="YLD_YTM_ASK"),_bbt3[[#All],[METRIC_VALUE]])*0.5)+(_xlfn.XLOOKUP(1,(_bbt3[[#All],[ID]]=A1981)*(_bbt3[[#All],[METRIC_NAME]]="YLD_YTM_BID"),_bbt3[[#All],[METRIC_VALUE]])*0.5))/100,"")</f>
        <v/>
      </c>
      <c r="J1981">
        <f>IF(ISNA(VLOOKUP(A1981,'CloseDL - PriceSaverBBT3'!A:E,5,0)),0,VLOOKUP(A1981,'CloseDL - PriceSaverBBT3'!A:E,5,0))</f>
        <v>0</v>
      </c>
      <c r="K1981" s="7" t="str">
        <f t="shared" si="231"/>
        <v/>
      </c>
      <c r="L1981" s="20" t="e">
        <f>IF(Close[[#This Row],[CreatedBy]]="MARINER\SilverAdm",1,0)</f>
        <v>#VALUE!</v>
      </c>
      <c r="M1981" t="str">
        <f>IF(NOT(ISBLANK(A1981)),VLOOKUP(A1981,'Close - PriceSaver'!A:J,6,0),"")</f>
        <v/>
      </c>
    </row>
    <row r="1982" spans="2:13" x14ac:dyDescent="0.35">
      <c r="B1982" t="str">
        <f>IF(NOT(ISBLANK(A1982)),VLOOKUP(A1982,'BBT3'!A:F,2,0),"")</f>
        <v/>
      </c>
      <c r="C1982" t="str">
        <f>IF(NOT(ISBLANK(A1982)),VLOOKUP(A1982,'BBT3'!A:F,3,0),"")</f>
        <v/>
      </c>
      <c r="D1982" s="5" t="str">
        <f>IF(NOT(ISBLANK(A1982)),VLOOKUP(A1982,'BBT3'!A:F,4,1),"")</f>
        <v/>
      </c>
      <c r="E1982" t="str">
        <f>IF(NOT(ISBLANK(A1982)),VLOOKUP(A1982,'BBT3'!A:F,5,0),"")</f>
        <v/>
      </c>
      <c r="F1982" t="str">
        <f>IF(NOT(ISBLANK(A1982)),VLOOKUP(A1982,'BBT3'!A:F,6,0),"")</f>
        <v/>
      </c>
      <c r="G1982" t="str">
        <f t="shared" si="230"/>
        <v/>
      </c>
      <c r="H1982" t="str">
        <f>IF(NOT(ISBLANK(A1982)),VLOOKUP(A1982,'Close - PriceSaver'!A:J,5,0),"")</f>
        <v/>
      </c>
      <c r="I1982" s="4" t="str" cm="1">
        <f t="array" ref="I1982">IF(NOT(ISBLANK(A1982)),((_xlfn.XLOOKUP(1,(_bbt3[[#All],[ID]]=A1982)*(_bbt3[[#All],[METRIC_NAME]]="YLD_YTM_ASK"),_bbt3[[#All],[METRIC_VALUE]])*0.5)+(_xlfn.XLOOKUP(1,(_bbt3[[#All],[ID]]=A1982)*(_bbt3[[#All],[METRIC_NAME]]="YLD_YTM_BID"),_bbt3[[#All],[METRIC_VALUE]])*0.5))/100,"")</f>
        <v/>
      </c>
      <c r="J1982">
        <f>IF(ISNA(VLOOKUP(A1982,'CloseDL - PriceSaverBBT3'!A:E,5,0)),0,VLOOKUP(A1982,'CloseDL - PriceSaverBBT3'!A:E,5,0))</f>
        <v>0</v>
      </c>
      <c r="K1982" s="7" t="str">
        <f t="shared" si="231"/>
        <v/>
      </c>
      <c r="L1982" s="20" t="e">
        <f>IF(Close[[#This Row],[CreatedBy]]="MARINER\SilverAdm",1,0)</f>
        <v>#VALUE!</v>
      </c>
      <c r="M1982" t="str">
        <f>IF(NOT(ISBLANK(A1982)),VLOOKUP(A1982,'Close - PriceSaver'!A:J,6,0),"")</f>
        <v/>
      </c>
    </row>
    <row r="1983" spans="2:13" x14ac:dyDescent="0.35">
      <c r="B1983" t="str">
        <f>IF(NOT(ISBLANK(A1983)),VLOOKUP(A1983,'BBT3'!A:F,2,0),"")</f>
        <v/>
      </c>
      <c r="C1983" t="str">
        <f>IF(NOT(ISBLANK(A1983)),VLOOKUP(A1983,'BBT3'!A:F,3,0),"")</f>
        <v/>
      </c>
      <c r="D1983" s="5" t="str">
        <f>IF(NOT(ISBLANK(A1983)),VLOOKUP(A1983,'BBT3'!A:F,4,1),"")</f>
        <v/>
      </c>
      <c r="E1983" t="str">
        <f>IF(NOT(ISBLANK(A1983)),VLOOKUP(A1983,'BBT3'!A:F,5,0),"")</f>
        <v/>
      </c>
      <c r="F1983" t="str">
        <f>IF(NOT(ISBLANK(A1983)),VLOOKUP(A1983,'BBT3'!A:F,6,0),"")</f>
        <v/>
      </c>
      <c r="G1983" t="str">
        <f t="shared" si="230"/>
        <v/>
      </c>
      <c r="H1983" t="str">
        <f>IF(NOT(ISBLANK(A1983)),VLOOKUP(A1983,'Close - PriceSaver'!A:J,5,0),"")</f>
        <v/>
      </c>
      <c r="I1983" s="4" t="str" cm="1">
        <f t="array" ref="I1983">IF(NOT(ISBLANK(A1983)),((_xlfn.XLOOKUP(1,(_bbt3[[#All],[ID]]=A1983)*(_bbt3[[#All],[METRIC_NAME]]="YLD_YTM_ASK"),_bbt3[[#All],[METRIC_VALUE]])*0.5)+(_xlfn.XLOOKUP(1,(_bbt3[[#All],[ID]]=A1983)*(_bbt3[[#All],[METRIC_NAME]]="YLD_YTM_BID"),_bbt3[[#All],[METRIC_VALUE]])*0.5))/100,"")</f>
        <v/>
      </c>
      <c r="J1983">
        <f>IF(ISNA(VLOOKUP(A1983,'CloseDL - PriceSaverBBT3'!A:E,5,0)),0,VLOOKUP(A1983,'CloseDL - PriceSaverBBT3'!A:E,5,0))</f>
        <v>0</v>
      </c>
      <c r="K1983" s="7" t="str">
        <f t="shared" si="231"/>
        <v/>
      </c>
      <c r="L1983" s="20" t="e">
        <f>IF(Close[[#This Row],[CreatedBy]]="MARINER\SilverAdm",1,0)</f>
        <v>#VALUE!</v>
      </c>
      <c r="M1983" t="str">
        <f>IF(NOT(ISBLANK(A1983)),VLOOKUP(A1983,'Close - PriceSaver'!A:J,6,0),"")</f>
        <v/>
      </c>
    </row>
    <row r="1984" spans="2:13" x14ac:dyDescent="0.35">
      <c r="B1984" t="str">
        <f>IF(NOT(ISBLANK(A1984)),VLOOKUP(A1984,'BBT3'!A:F,2,0),"")</f>
        <v/>
      </c>
      <c r="C1984" t="str">
        <f>IF(NOT(ISBLANK(A1984)),VLOOKUP(A1984,'BBT3'!A:F,3,0),"")</f>
        <v/>
      </c>
      <c r="D1984" s="5" t="str">
        <f>IF(NOT(ISBLANK(A1984)),VLOOKUP(A1984,'BBT3'!A:F,4,1),"")</f>
        <v/>
      </c>
      <c r="E1984" t="str">
        <f>IF(NOT(ISBLANK(A1984)),VLOOKUP(A1984,'BBT3'!A:F,5,0),"")</f>
        <v/>
      </c>
      <c r="F1984" t="str">
        <f>IF(NOT(ISBLANK(A1984)),VLOOKUP(A1984,'BBT3'!A:F,6,0),"")</f>
        <v/>
      </c>
      <c r="G1984" t="str">
        <f t="shared" si="230"/>
        <v/>
      </c>
      <c r="H1984" t="str">
        <f>IF(NOT(ISBLANK(A1984)),VLOOKUP(A1984,'Close - PriceSaver'!A:J,5,0),"")</f>
        <v/>
      </c>
      <c r="I1984" s="4" t="str" cm="1">
        <f t="array" ref="I1984">IF(NOT(ISBLANK(A1984)),((_xlfn.XLOOKUP(1,(_bbt3[[#All],[ID]]=A1984)*(_bbt3[[#All],[METRIC_NAME]]="YLD_YTM_ASK"),_bbt3[[#All],[METRIC_VALUE]])*0.5)+(_xlfn.XLOOKUP(1,(_bbt3[[#All],[ID]]=A1984)*(_bbt3[[#All],[METRIC_NAME]]="YLD_YTM_BID"),_bbt3[[#All],[METRIC_VALUE]])*0.5))/100,"")</f>
        <v/>
      </c>
      <c r="J1984">
        <f>IF(ISNA(VLOOKUP(A1984,'CloseDL - PriceSaverBBT3'!A:E,5,0)),0,VLOOKUP(A1984,'CloseDL - PriceSaverBBT3'!A:E,5,0))</f>
        <v>0</v>
      </c>
      <c r="K1984" s="7" t="str">
        <f t="shared" si="231"/>
        <v/>
      </c>
      <c r="L1984" s="20" t="e">
        <f>IF(Close[[#This Row],[CreatedBy]]="MARINER\SilverAdm",1,0)</f>
        <v>#VALUE!</v>
      </c>
      <c r="M1984" t="str">
        <f>IF(NOT(ISBLANK(A1984)),VLOOKUP(A1984,'Close - PriceSaver'!A:J,6,0),"")</f>
        <v/>
      </c>
    </row>
    <row r="1985" spans="2:13" x14ac:dyDescent="0.35">
      <c r="B1985" t="str">
        <f>IF(NOT(ISBLANK(A1985)),VLOOKUP(A1985,'BBT3'!A:F,2,0),"")</f>
        <v/>
      </c>
      <c r="C1985" t="str">
        <f>IF(NOT(ISBLANK(A1985)),VLOOKUP(A1985,'BBT3'!A:F,3,0),"")</f>
        <v/>
      </c>
      <c r="D1985" s="5" t="str">
        <f>IF(NOT(ISBLANK(A1985)),VLOOKUP(A1985,'BBT3'!A:F,4,1),"")</f>
        <v/>
      </c>
      <c r="E1985" t="str">
        <f>IF(NOT(ISBLANK(A1985)),VLOOKUP(A1985,'BBT3'!A:F,5,0),"")</f>
        <v/>
      </c>
      <c r="F1985" t="str">
        <f>IF(NOT(ISBLANK(A1985)),VLOOKUP(A1985,'BBT3'!A:F,6,0),"")</f>
        <v/>
      </c>
      <c r="G1985" t="str">
        <f t="shared" si="230"/>
        <v/>
      </c>
      <c r="H1985" t="str">
        <f>IF(NOT(ISBLANK(A1985)),VLOOKUP(A1985,'Close - PriceSaver'!A:J,5,0),"")</f>
        <v/>
      </c>
      <c r="I1985" s="4" t="str" cm="1">
        <f t="array" ref="I1985">IF(NOT(ISBLANK(A1985)),((_xlfn.XLOOKUP(1,(_bbt3[[#All],[ID]]=A1985)*(_bbt3[[#All],[METRIC_NAME]]="YLD_YTM_ASK"),_bbt3[[#All],[METRIC_VALUE]])*0.5)+(_xlfn.XLOOKUP(1,(_bbt3[[#All],[ID]]=A1985)*(_bbt3[[#All],[METRIC_NAME]]="YLD_YTM_BID"),_bbt3[[#All],[METRIC_VALUE]])*0.5))/100,"")</f>
        <v/>
      </c>
      <c r="J1985">
        <f>IF(ISNA(VLOOKUP(A1985,'CloseDL - PriceSaverBBT3'!A:E,5,0)),0,VLOOKUP(A1985,'CloseDL - PriceSaverBBT3'!A:E,5,0))</f>
        <v>0</v>
      </c>
      <c r="K1985" s="7" t="str">
        <f t="shared" si="231"/>
        <v/>
      </c>
      <c r="L1985" s="20" t="e">
        <f>IF(Close[[#This Row],[CreatedBy]]="MARINER\SilverAdm",1,0)</f>
        <v>#VALUE!</v>
      </c>
      <c r="M1985" t="str">
        <f>IF(NOT(ISBLANK(A1985)),VLOOKUP(A1985,'Close - PriceSaver'!A:J,6,0),"")</f>
        <v/>
      </c>
    </row>
    <row r="1986" spans="2:13" x14ac:dyDescent="0.35">
      <c r="B1986" t="str">
        <f>IF(NOT(ISBLANK(A1986)),VLOOKUP(A1986,'BBT3'!A:F,2,0),"")</f>
        <v/>
      </c>
      <c r="C1986" t="str">
        <f>IF(NOT(ISBLANK(A1986)),VLOOKUP(A1986,'BBT3'!A:F,3,0),"")</f>
        <v/>
      </c>
      <c r="D1986" s="5" t="str">
        <f>IF(NOT(ISBLANK(A1986)),VLOOKUP(A1986,'BBT3'!A:F,4,1),"")</f>
        <v/>
      </c>
      <c r="E1986" t="str">
        <f>IF(NOT(ISBLANK(A1986)),VLOOKUP(A1986,'BBT3'!A:F,5,0),"")</f>
        <v/>
      </c>
      <c r="F1986" t="str">
        <f>IF(NOT(ISBLANK(A1986)),VLOOKUP(A1986,'BBT3'!A:F,6,0),"")</f>
        <v/>
      </c>
      <c r="G1986" t="str">
        <f t="shared" si="230"/>
        <v/>
      </c>
      <c r="H1986" t="str">
        <f>IF(NOT(ISBLANK(A1986)),VLOOKUP(A1986,'Close - PriceSaver'!A:J,5,0),"")</f>
        <v/>
      </c>
      <c r="I1986" s="4" t="str" cm="1">
        <f t="array" ref="I1986">IF(NOT(ISBLANK(A1986)),((_xlfn.XLOOKUP(1,(_bbt3[[#All],[ID]]=A1986)*(_bbt3[[#All],[METRIC_NAME]]="YLD_YTM_ASK"),_bbt3[[#All],[METRIC_VALUE]])*0.5)+(_xlfn.XLOOKUP(1,(_bbt3[[#All],[ID]]=A1986)*(_bbt3[[#All],[METRIC_NAME]]="YLD_YTM_BID"),_bbt3[[#All],[METRIC_VALUE]])*0.5))/100,"")</f>
        <v/>
      </c>
      <c r="J1986">
        <f>IF(ISNA(VLOOKUP(A1986,'CloseDL - PriceSaverBBT3'!A:E,5,0)),0,VLOOKUP(A1986,'CloseDL - PriceSaverBBT3'!A:E,5,0))</f>
        <v>0</v>
      </c>
      <c r="K1986" s="7" t="str">
        <f t="shared" si="231"/>
        <v/>
      </c>
      <c r="L1986" s="20" t="e">
        <f>IF(Close[[#This Row],[CreatedBy]]="MARINER\SilverAdm",1,0)</f>
        <v>#VALUE!</v>
      </c>
      <c r="M1986" t="str">
        <f>IF(NOT(ISBLANK(A1986)),VLOOKUP(A1986,'Close - PriceSaver'!A:J,6,0),"")</f>
        <v/>
      </c>
    </row>
    <row r="1987" spans="2:13" x14ac:dyDescent="0.35">
      <c r="B1987" t="str">
        <f>IF(NOT(ISBLANK(A1987)),VLOOKUP(A1987,'BBT3'!A:F,2,0),"")</f>
        <v/>
      </c>
      <c r="C1987" t="str">
        <f>IF(NOT(ISBLANK(A1987)),VLOOKUP(A1987,'BBT3'!A:F,3,0),"")</f>
        <v/>
      </c>
      <c r="D1987" s="5" t="str">
        <f>IF(NOT(ISBLANK(A1987)),VLOOKUP(A1987,'BBT3'!A:F,4,1),"")</f>
        <v/>
      </c>
      <c r="E1987" t="str">
        <f>IF(NOT(ISBLANK(A1987)),VLOOKUP(A1987,'BBT3'!A:F,5,0),"")</f>
        <v/>
      </c>
      <c r="F1987" t="str">
        <f>IF(NOT(ISBLANK(A1987)),VLOOKUP(A1987,'BBT3'!A:F,6,0),"")</f>
        <v/>
      </c>
      <c r="G1987" t="str">
        <f t="shared" ref="G1987:G2035" si="232">IF(NOT(ISBLANK(A1987)),IF(D1987=0,"Y","N"),"")</f>
        <v/>
      </c>
      <c r="H1987" t="str">
        <f>IF(NOT(ISBLANK(A1987)),VLOOKUP(A1987,'Close - PriceSaver'!A:J,5,0),"")</f>
        <v/>
      </c>
      <c r="I1987" s="4" t="str" cm="1">
        <f t="array" ref="I1987">IF(NOT(ISBLANK(A1987)),((_xlfn.XLOOKUP(1,(_bbt3[[#All],[ID]]=A1987)*(_bbt3[[#All],[METRIC_NAME]]="YLD_YTM_ASK"),_bbt3[[#All],[METRIC_VALUE]])*0.5)+(_xlfn.XLOOKUP(1,(_bbt3[[#All],[ID]]=A1987)*(_bbt3[[#All],[METRIC_NAME]]="YLD_YTM_BID"),_bbt3[[#All],[METRIC_VALUE]])*0.5))/100,"")</f>
        <v/>
      </c>
      <c r="J1987">
        <f>IF(ISNA(VLOOKUP(A1987,'CloseDL - PriceSaverBBT3'!A:E,5,0)),0,VLOOKUP(A1987,'CloseDL - PriceSaverBBT3'!A:E,5,0))</f>
        <v>0</v>
      </c>
      <c r="K1987" s="7" t="str">
        <f t="shared" ref="K1987:K2035" si="233">IF(ISNA(IF(NOT(ISBLANK(A1987)),ABS(H1987-J1987),"")),0,(IF(NOT(ISBLANK(A1987)),ABS(H1987-J1987)*10000,"")))</f>
        <v/>
      </c>
      <c r="L1987" s="20" t="e">
        <f>IF(Close[[#This Row],[CreatedBy]]="MARINER\SilverAdm",1,0)</f>
        <v>#VALUE!</v>
      </c>
      <c r="M1987" t="str">
        <f>IF(NOT(ISBLANK(A1987)),VLOOKUP(A1987,'Close - PriceSaver'!A:J,6,0),"")</f>
        <v/>
      </c>
    </row>
    <row r="1988" spans="2:13" x14ac:dyDescent="0.35">
      <c r="B1988" t="str">
        <f>IF(NOT(ISBLANK(A1988)),VLOOKUP(A1988,'BBT3'!A:F,2,0),"")</f>
        <v/>
      </c>
      <c r="C1988" t="str">
        <f>IF(NOT(ISBLANK(A1988)),VLOOKUP(A1988,'BBT3'!A:F,3,0),"")</f>
        <v/>
      </c>
      <c r="D1988" s="5" t="str">
        <f>IF(NOT(ISBLANK(A1988)),VLOOKUP(A1988,'BBT3'!A:F,4,1),"")</f>
        <v/>
      </c>
      <c r="E1988" t="str">
        <f>IF(NOT(ISBLANK(A1988)),VLOOKUP(A1988,'BBT3'!A:F,5,0),"")</f>
        <v/>
      </c>
      <c r="F1988" t="str">
        <f>IF(NOT(ISBLANK(A1988)),VLOOKUP(A1988,'BBT3'!A:F,6,0),"")</f>
        <v/>
      </c>
      <c r="G1988" t="str">
        <f t="shared" si="232"/>
        <v/>
      </c>
      <c r="H1988" t="str">
        <f>IF(NOT(ISBLANK(A1988)),VLOOKUP(A1988,'Close - PriceSaver'!A:J,5,0),"")</f>
        <v/>
      </c>
      <c r="I1988" s="4" t="str" cm="1">
        <f t="array" ref="I1988">IF(NOT(ISBLANK(A1988)),((_xlfn.XLOOKUP(1,(_bbt3[[#All],[ID]]=A1988)*(_bbt3[[#All],[METRIC_NAME]]="YLD_YTM_ASK"),_bbt3[[#All],[METRIC_VALUE]])*0.5)+(_xlfn.XLOOKUP(1,(_bbt3[[#All],[ID]]=A1988)*(_bbt3[[#All],[METRIC_NAME]]="YLD_YTM_BID"),_bbt3[[#All],[METRIC_VALUE]])*0.5))/100,"")</f>
        <v/>
      </c>
      <c r="J1988">
        <f>IF(ISNA(VLOOKUP(A1988,'CloseDL - PriceSaverBBT3'!A:E,5,0)),0,VLOOKUP(A1988,'CloseDL - PriceSaverBBT3'!A:E,5,0))</f>
        <v>0</v>
      </c>
      <c r="K1988" s="7" t="str">
        <f t="shared" si="233"/>
        <v/>
      </c>
      <c r="L1988" s="20" t="e">
        <f>IF(Close[[#This Row],[CreatedBy]]="MARINER\SilverAdm",1,0)</f>
        <v>#VALUE!</v>
      </c>
      <c r="M1988" t="str">
        <f>IF(NOT(ISBLANK(A1988)),VLOOKUP(A1988,'Close - PriceSaver'!A:J,6,0),"")</f>
        <v/>
      </c>
    </row>
    <row r="1989" spans="2:13" x14ac:dyDescent="0.35">
      <c r="B1989" t="str">
        <f>IF(NOT(ISBLANK(A1989)),VLOOKUP(A1989,'BBT3'!A:F,2,0),"")</f>
        <v/>
      </c>
      <c r="C1989" t="str">
        <f>IF(NOT(ISBLANK(A1989)),VLOOKUP(A1989,'BBT3'!A:F,3,0),"")</f>
        <v/>
      </c>
      <c r="D1989" s="5" t="str">
        <f>IF(NOT(ISBLANK(A1989)),VLOOKUP(A1989,'BBT3'!A:F,4,1),"")</f>
        <v/>
      </c>
      <c r="E1989" t="str">
        <f>IF(NOT(ISBLANK(A1989)),VLOOKUP(A1989,'BBT3'!A:F,5,0),"")</f>
        <v/>
      </c>
      <c r="F1989" t="str">
        <f>IF(NOT(ISBLANK(A1989)),VLOOKUP(A1989,'BBT3'!A:F,6,0),"")</f>
        <v/>
      </c>
      <c r="G1989" t="str">
        <f t="shared" si="232"/>
        <v/>
      </c>
      <c r="H1989" t="str">
        <f>IF(NOT(ISBLANK(A1989)),VLOOKUP(A1989,'Close - PriceSaver'!A:J,5,0),"")</f>
        <v/>
      </c>
      <c r="I1989" s="4" t="str" cm="1">
        <f t="array" ref="I1989">IF(NOT(ISBLANK(A1989)),((_xlfn.XLOOKUP(1,(_bbt3[[#All],[ID]]=A1989)*(_bbt3[[#All],[METRIC_NAME]]="YLD_YTM_ASK"),_bbt3[[#All],[METRIC_VALUE]])*0.5)+(_xlfn.XLOOKUP(1,(_bbt3[[#All],[ID]]=A1989)*(_bbt3[[#All],[METRIC_NAME]]="YLD_YTM_BID"),_bbt3[[#All],[METRIC_VALUE]])*0.5))/100,"")</f>
        <v/>
      </c>
      <c r="J1989">
        <f>IF(ISNA(VLOOKUP(A1989,'CloseDL - PriceSaverBBT3'!A:E,5,0)),0,VLOOKUP(A1989,'CloseDL - PriceSaverBBT3'!A:E,5,0))</f>
        <v>0</v>
      </c>
      <c r="K1989" s="7" t="str">
        <f t="shared" si="233"/>
        <v/>
      </c>
      <c r="L1989" s="20" t="e">
        <f>IF(Close[[#This Row],[CreatedBy]]="MARINER\SilverAdm",1,0)</f>
        <v>#VALUE!</v>
      </c>
      <c r="M1989" t="str">
        <f>IF(NOT(ISBLANK(A1989)),VLOOKUP(A1989,'Close - PriceSaver'!A:J,6,0),"")</f>
        <v/>
      </c>
    </row>
    <row r="1990" spans="2:13" x14ac:dyDescent="0.35">
      <c r="B1990" t="str">
        <f>IF(NOT(ISBLANK(A1990)),VLOOKUP(A1990,'BBT3'!A:F,2,0),"")</f>
        <v/>
      </c>
      <c r="C1990" t="str">
        <f>IF(NOT(ISBLANK(A1990)),VLOOKUP(A1990,'BBT3'!A:F,3,0),"")</f>
        <v/>
      </c>
      <c r="D1990" s="5" t="str">
        <f>IF(NOT(ISBLANK(A1990)),VLOOKUP(A1990,'BBT3'!A:F,4,1),"")</f>
        <v/>
      </c>
      <c r="E1990" t="str">
        <f>IF(NOT(ISBLANK(A1990)),VLOOKUP(A1990,'BBT3'!A:F,5,0),"")</f>
        <v/>
      </c>
      <c r="F1990" t="str">
        <f>IF(NOT(ISBLANK(A1990)),VLOOKUP(A1990,'BBT3'!A:F,6,0),"")</f>
        <v/>
      </c>
      <c r="G1990" t="str">
        <f t="shared" si="232"/>
        <v/>
      </c>
      <c r="H1990" t="str">
        <f>IF(NOT(ISBLANK(A1990)),VLOOKUP(A1990,'Close - PriceSaver'!A:J,5,0),"")</f>
        <v/>
      </c>
      <c r="I1990" s="4" t="str" cm="1">
        <f t="array" ref="I1990">IF(NOT(ISBLANK(A1990)),((_xlfn.XLOOKUP(1,(_bbt3[[#All],[ID]]=A1990)*(_bbt3[[#All],[METRIC_NAME]]="YLD_YTM_ASK"),_bbt3[[#All],[METRIC_VALUE]])*0.5)+(_xlfn.XLOOKUP(1,(_bbt3[[#All],[ID]]=A1990)*(_bbt3[[#All],[METRIC_NAME]]="YLD_YTM_BID"),_bbt3[[#All],[METRIC_VALUE]])*0.5))/100,"")</f>
        <v/>
      </c>
      <c r="J1990">
        <f>IF(ISNA(VLOOKUP(A1990,'CloseDL - PriceSaverBBT3'!A:E,5,0)),0,VLOOKUP(A1990,'CloseDL - PriceSaverBBT3'!A:E,5,0))</f>
        <v>0</v>
      </c>
      <c r="K1990" s="7" t="str">
        <f t="shared" si="233"/>
        <v/>
      </c>
      <c r="L1990" s="20" t="e">
        <f>IF(Close[[#This Row],[CreatedBy]]="MARINER\SilverAdm",1,0)</f>
        <v>#VALUE!</v>
      </c>
      <c r="M1990" t="str">
        <f>IF(NOT(ISBLANK(A1990)),VLOOKUP(A1990,'Close - PriceSaver'!A:J,6,0),"")</f>
        <v/>
      </c>
    </row>
    <row r="1991" spans="2:13" x14ac:dyDescent="0.35">
      <c r="B1991" t="str">
        <f>IF(NOT(ISBLANK(A1991)),VLOOKUP(A1991,'BBT3'!A:F,2,0),"")</f>
        <v/>
      </c>
      <c r="C1991" t="str">
        <f>IF(NOT(ISBLANK(A1991)),VLOOKUP(A1991,'BBT3'!A:F,3,0),"")</f>
        <v/>
      </c>
      <c r="D1991" s="5" t="str">
        <f>IF(NOT(ISBLANK(A1991)),VLOOKUP(A1991,'BBT3'!A:F,4,1),"")</f>
        <v/>
      </c>
      <c r="E1991" t="str">
        <f>IF(NOT(ISBLANK(A1991)),VLOOKUP(A1991,'BBT3'!A:F,5,0),"")</f>
        <v/>
      </c>
      <c r="F1991" t="str">
        <f>IF(NOT(ISBLANK(A1991)),VLOOKUP(A1991,'BBT3'!A:F,6,0),"")</f>
        <v/>
      </c>
      <c r="G1991" t="str">
        <f t="shared" si="232"/>
        <v/>
      </c>
      <c r="H1991" t="str">
        <f>IF(NOT(ISBLANK(A1991)),VLOOKUP(A1991,'Close - PriceSaver'!A:J,5,0),"")</f>
        <v/>
      </c>
      <c r="I1991" s="4" t="str" cm="1">
        <f t="array" ref="I1991">IF(NOT(ISBLANK(A1991)),((_xlfn.XLOOKUP(1,(_bbt3[[#All],[ID]]=A1991)*(_bbt3[[#All],[METRIC_NAME]]="YLD_YTM_ASK"),_bbt3[[#All],[METRIC_VALUE]])*0.5)+(_xlfn.XLOOKUP(1,(_bbt3[[#All],[ID]]=A1991)*(_bbt3[[#All],[METRIC_NAME]]="YLD_YTM_BID"),_bbt3[[#All],[METRIC_VALUE]])*0.5))/100,"")</f>
        <v/>
      </c>
      <c r="J1991">
        <f>IF(ISNA(VLOOKUP(A1991,'CloseDL - PriceSaverBBT3'!A:E,5,0)),0,VLOOKUP(A1991,'CloseDL - PriceSaverBBT3'!A:E,5,0))</f>
        <v>0</v>
      </c>
      <c r="K1991" s="7" t="str">
        <f t="shared" si="233"/>
        <v/>
      </c>
      <c r="L1991" s="20" t="e">
        <f>IF(Close[[#This Row],[CreatedBy]]="MARINER\SilverAdm",1,0)</f>
        <v>#VALUE!</v>
      </c>
      <c r="M1991" t="str">
        <f>IF(NOT(ISBLANK(A1991)),VLOOKUP(A1991,'Close - PriceSaver'!A:J,6,0),"")</f>
        <v/>
      </c>
    </row>
    <row r="1992" spans="2:13" x14ac:dyDescent="0.35">
      <c r="B1992" t="str">
        <f>IF(NOT(ISBLANK(A1992)),VLOOKUP(A1992,'BBT3'!A:F,2,0),"")</f>
        <v/>
      </c>
      <c r="C1992" t="str">
        <f>IF(NOT(ISBLANK(A1992)),VLOOKUP(A1992,'BBT3'!A:F,3,0),"")</f>
        <v/>
      </c>
      <c r="D1992" s="5" t="str">
        <f>IF(NOT(ISBLANK(A1992)),VLOOKUP(A1992,'BBT3'!A:F,4,1),"")</f>
        <v/>
      </c>
      <c r="E1992" t="str">
        <f>IF(NOT(ISBLANK(A1992)),VLOOKUP(A1992,'BBT3'!A:F,5,0),"")</f>
        <v/>
      </c>
      <c r="F1992" t="str">
        <f>IF(NOT(ISBLANK(A1992)),VLOOKUP(A1992,'BBT3'!A:F,6,0),"")</f>
        <v/>
      </c>
      <c r="G1992" t="str">
        <f t="shared" si="232"/>
        <v/>
      </c>
      <c r="H1992" t="str">
        <f>IF(NOT(ISBLANK(A1992)),VLOOKUP(A1992,'Close - PriceSaver'!A:J,5,0),"")</f>
        <v/>
      </c>
      <c r="I1992" s="4" t="str" cm="1">
        <f t="array" ref="I1992">IF(NOT(ISBLANK(A1992)),((_xlfn.XLOOKUP(1,(_bbt3[[#All],[ID]]=A1992)*(_bbt3[[#All],[METRIC_NAME]]="YLD_YTM_ASK"),_bbt3[[#All],[METRIC_VALUE]])*0.5)+(_xlfn.XLOOKUP(1,(_bbt3[[#All],[ID]]=A1992)*(_bbt3[[#All],[METRIC_NAME]]="YLD_YTM_BID"),_bbt3[[#All],[METRIC_VALUE]])*0.5))/100,"")</f>
        <v/>
      </c>
      <c r="J1992">
        <f>IF(ISNA(VLOOKUP(A1992,'CloseDL - PriceSaverBBT3'!A:E,5,0)),0,VLOOKUP(A1992,'CloseDL - PriceSaverBBT3'!A:E,5,0))</f>
        <v>0</v>
      </c>
      <c r="K1992" s="7" t="str">
        <f t="shared" si="233"/>
        <v/>
      </c>
      <c r="L1992" s="20" t="e">
        <f>IF(Close[[#This Row],[CreatedBy]]="MARINER\SilverAdm",1,0)</f>
        <v>#VALUE!</v>
      </c>
      <c r="M1992" t="str">
        <f>IF(NOT(ISBLANK(A1992)),VLOOKUP(A1992,'Close - PriceSaver'!A:J,6,0),"")</f>
        <v/>
      </c>
    </row>
    <row r="1993" spans="2:13" x14ac:dyDescent="0.35">
      <c r="B1993" t="str">
        <f>IF(NOT(ISBLANK(A1993)),VLOOKUP(A1993,'BBT3'!A:F,2,0),"")</f>
        <v/>
      </c>
      <c r="C1993" t="str">
        <f>IF(NOT(ISBLANK(A1993)),VLOOKUP(A1993,'BBT3'!A:F,3,0),"")</f>
        <v/>
      </c>
      <c r="D1993" s="5" t="str">
        <f>IF(NOT(ISBLANK(A1993)),VLOOKUP(A1993,'BBT3'!A:F,4,1),"")</f>
        <v/>
      </c>
      <c r="E1993" t="str">
        <f>IF(NOT(ISBLANK(A1993)),VLOOKUP(A1993,'BBT3'!A:F,5,0),"")</f>
        <v/>
      </c>
      <c r="F1993" t="str">
        <f>IF(NOT(ISBLANK(A1993)),VLOOKUP(A1993,'BBT3'!A:F,6,0),"")</f>
        <v/>
      </c>
      <c r="G1993" t="str">
        <f t="shared" si="232"/>
        <v/>
      </c>
      <c r="H1993" t="str">
        <f>IF(NOT(ISBLANK(A1993)),VLOOKUP(A1993,'Close - PriceSaver'!A:J,5,0),"")</f>
        <v/>
      </c>
      <c r="I1993" s="4" t="str" cm="1">
        <f t="array" ref="I1993">IF(NOT(ISBLANK(A1993)),((_xlfn.XLOOKUP(1,(_bbt3[[#All],[ID]]=A1993)*(_bbt3[[#All],[METRIC_NAME]]="YLD_YTM_ASK"),_bbt3[[#All],[METRIC_VALUE]])*0.5)+(_xlfn.XLOOKUP(1,(_bbt3[[#All],[ID]]=A1993)*(_bbt3[[#All],[METRIC_NAME]]="YLD_YTM_BID"),_bbt3[[#All],[METRIC_VALUE]])*0.5))/100,"")</f>
        <v/>
      </c>
      <c r="J1993">
        <f>IF(ISNA(VLOOKUP(A1993,'CloseDL - PriceSaverBBT3'!A:E,5,0)),0,VLOOKUP(A1993,'CloseDL - PriceSaverBBT3'!A:E,5,0))</f>
        <v>0</v>
      </c>
      <c r="K1993" s="7" t="str">
        <f t="shared" si="233"/>
        <v/>
      </c>
      <c r="L1993" s="20" t="e">
        <f>IF(Close[[#This Row],[CreatedBy]]="MARINER\SilverAdm",1,0)</f>
        <v>#VALUE!</v>
      </c>
      <c r="M1993" t="str">
        <f>IF(NOT(ISBLANK(A1993)),VLOOKUP(A1993,'Close - PriceSaver'!A:J,6,0),"")</f>
        <v/>
      </c>
    </row>
    <row r="1994" spans="2:13" x14ac:dyDescent="0.35">
      <c r="B1994" t="str">
        <f>IF(NOT(ISBLANK(A1994)),VLOOKUP(A1994,'BBT3'!A:F,2,0),"")</f>
        <v/>
      </c>
      <c r="C1994" t="str">
        <f>IF(NOT(ISBLANK(A1994)),VLOOKUP(A1994,'BBT3'!A:F,3,0),"")</f>
        <v/>
      </c>
      <c r="D1994" s="5" t="str">
        <f>IF(NOT(ISBLANK(A1994)),VLOOKUP(A1994,'BBT3'!A:F,4,1),"")</f>
        <v/>
      </c>
      <c r="E1994" t="str">
        <f>IF(NOT(ISBLANK(A1994)),VLOOKUP(A1994,'BBT3'!A:F,5,0),"")</f>
        <v/>
      </c>
      <c r="F1994" t="str">
        <f>IF(NOT(ISBLANK(A1994)),VLOOKUP(A1994,'BBT3'!A:F,6,0),"")</f>
        <v/>
      </c>
      <c r="G1994" t="str">
        <f t="shared" si="232"/>
        <v/>
      </c>
      <c r="H1994" t="str">
        <f>IF(NOT(ISBLANK(A1994)),VLOOKUP(A1994,'Close - PriceSaver'!A:J,5,0),"")</f>
        <v/>
      </c>
      <c r="I1994" s="4" t="str" cm="1">
        <f t="array" ref="I1994">IF(NOT(ISBLANK(A1994)),((_xlfn.XLOOKUP(1,(_bbt3[[#All],[ID]]=A1994)*(_bbt3[[#All],[METRIC_NAME]]="YLD_YTM_ASK"),_bbt3[[#All],[METRIC_VALUE]])*0.5)+(_xlfn.XLOOKUP(1,(_bbt3[[#All],[ID]]=A1994)*(_bbt3[[#All],[METRIC_NAME]]="YLD_YTM_BID"),_bbt3[[#All],[METRIC_VALUE]])*0.5))/100,"")</f>
        <v/>
      </c>
      <c r="J1994">
        <f>IF(ISNA(VLOOKUP(A1994,'CloseDL - PriceSaverBBT3'!A:E,5,0)),0,VLOOKUP(A1994,'CloseDL - PriceSaverBBT3'!A:E,5,0))</f>
        <v>0</v>
      </c>
      <c r="K1994" s="7" t="str">
        <f t="shared" si="233"/>
        <v/>
      </c>
      <c r="L1994" s="20" t="e">
        <f>IF(Close[[#This Row],[CreatedBy]]="MARINER\SilverAdm",1,0)</f>
        <v>#VALUE!</v>
      </c>
      <c r="M1994" t="str">
        <f>IF(NOT(ISBLANK(A1994)),VLOOKUP(A1994,'Close - PriceSaver'!A:J,6,0),"")</f>
        <v/>
      </c>
    </row>
    <row r="1995" spans="2:13" x14ac:dyDescent="0.35">
      <c r="B1995" t="str">
        <f>IF(NOT(ISBLANK(A1995)),VLOOKUP(A1995,'BBT3'!A:F,2,0),"")</f>
        <v/>
      </c>
      <c r="C1995" t="str">
        <f>IF(NOT(ISBLANK(A1995)),VLOOKUP(A1995,'BBT3'!A:F,3,0),"")</f>
        <v/>
      </c>
      <c r="D1995" s="5" t="str">
        <f>IF(NOT(ISBLANK(A1995)),VLOOKUP(A1995,'BBT3'!A:F,4,1),"")</f>
        <v/>
      </c>
      <c r="E1995" t="str">
        <f>IF(NOT(ISBLANK(A1995)),VLOOKUP(A1995,'BBT3'!A:F,5,0),"")</f>
        <v/>
      </c>
      <c r="F1995" t="str">
        <f>IF(NOT(ISBLANK(A1995)),VLOOKUP(A1995,'BBT3'!A:F,6,0),"")</f>
        <v/>
      </c>
      <c r="G1995" t="str">
        <f t="shared" si="232"/>
        <v/>
      </c>
      <c r="H1995" t="str">
        <f>IF(NOT(ISBLANK(A1995)),VLOOKUP(A1995,'Close - PriceSaver'!A:J,5,0),"")</f>
        <v/>
      </c>
      <c r="I1995" s="4" t="str" cm="1">
        <f t="array" ref="I1995">IF(NOT(ISBLANK(A1995)),((_xlfn.XLOOKUP(1,(_bbt3[[#All],[ID]]=A1995)*(_bbt3[[#All],[METRIC_NAME]]="YLD_YTM_ASK"),_bbt3[[#All],[METRIC_VALUE]])*0.5)+(_xlfn.XLOOKUP(1,(_bbt3[[#All],[ID]]=A1995)*(_bbt3[[#All],[METRIC_NAME]]="YLD_YTM_BID"),_bbt3[[#All],[METRIC_VALUE]])*0.5))/100,"")</f>
        <v/>
      </c>
      <c r="J1995">
        <f>IF(ISNA(VLOOKUP(A1995,'CloseDL - PriceSaverBBT3'!A:E,5,0)),0,VLOOKUP(A1995,'CloseDL - PriceSaverBBT3'!A:E,5,0))</f>
        <v>0</v>
      </c>
      <c r="K1995" s="7" t="str">
        <f t="shared" si="233"/>
        <v/>
      </c>
      <c r="L1995" s="20" t="e">
        <f>IF(Close[[#This Row],[CreatedBy]]="MARINER\SilverAdm",1,0)</f>
        <v>#VALUE!</v>
      </c>
      <c r="M1995" t="str">
        <f>IF(NOT(ISBLANK(A1995)),VLOOKUP(A1995,'Close - PriceSaver'!A:J,6,0),"")</f>
        <v/>
      </c>
    </row>
    <row r="1996" spans="2:13" x14ac:dyDescent="0.35">
      <c r="B1996" t="str">
        <f>IF(NOT(ISBLANK(A1996)),VLOOKUP(A1996,'BBT3'!A:F,2,0),"")</f>
        <v/>
      </c>
      <c r="C1996" t="str">
        <f>IF(NOT(ISBLANK(A1996)),VLOOKUP(A1996,'BBT3'!A:F,3,0),"")</f>
        <v/>
      </c>
      <c r="D1996" s="5" t="str">
        <f>IF(NOT(ISBLANK(A1996)),VLOOKUP(A1996,'BBT3'!A:F,4,1),"")</f>
        <v/>
      </c>
      <c r="E1996" t="str">
        <f>IF(NOT(ISBLANK(A1996)),VLOOKUP(A1996,'BBT3'!A:F,5,0),"")</f>
        <v/>
      </c>
      <c r="F1996" t="str">
        <f>IF(NOT(ISBLANK(A1996)),VLOOKUP(A1996,'BBT3'!A:F,6,0),"")</f>
        <v/>
      </c>
      <c r="G1996" t="str">
        <f t="shared" si="232"/>
        <v/>
      </c>
      <c r="H1996" t="str">
        <f>IF(NOT(ISBLANK(A1996)),VLOOKUP(A1996,'Close - PriceSaver'!A:J,5,0),"")</f>
        <v/>
      </c>
      <c r="I1996" s="4" t="str" cm="1">
        <f t="array" ref="I1996">IF(NOT(ISBLANK(A1996)),((_xlfn.XLOOKUP(1,(_bbt3[[#All],[ID]]=A1996)*(_bbt3[[#All],[METRIC_NAME]]="YLD_YTM_ASK"),_bbt3[[#All],[METRIC_VALUE]])*0.5)+(_xlfn.XLOOKUP(1,(_bbt3[[#All],[ID]]=A1996)*(_bbt3[[#All],[METRIC_NAME]]="YLD_YTM_BID"),_bbt3[[#All],[METRIC_VALUE]])*0.5))/100,"")</f>
        <v/>
      </c>
      <c r="J1996">
        <f>IF(ISNA(VLOOKUP(A1996,'CloseDL - PriceSaverBBT3'!A:E,5,0)),0,VLOOKUP(A1996,'CloseDL - PriceSaverBBT3'!A:E,5,0))</f>
        <v>0</v>
      </c>
      <c r="K1996" s="7" t="str">
        <f t="shared" si="233"/>
        <v/>
      </c>
      <c r="L1996" s="20" t="e">
        <f>IF(Close[[#This Row],[CreatedBy]]="MARINER\SilverAdm",1,0)</f>
        <v>#VALUE!</v>
      </c>
      <c r="M1996" t="str">
        <f>IF(NOT(ISBLANK(A1996)),VLOOKUP(A1996,'Close - PriceSaver'!A:J,6,0),"")</f>
        <v/>
      </c>
    </row>
    <row r="1997" spans="2:13" x14ac:dyDescent="0.35">
      <c r="B1997" t="str">
        <f>IF(NOT(ISBLANK(A1997)),VLOOKUP(A1997,'BBT3'!A:F,2,0),"")</f>
        <v/>
      </c>
      <c r="C1997" t="str">
        <f>IF(NOT(ISBLANK(A1997)),VLOOKUP(A1997,'BBT3'!A:F,3,0),"")</f>
        <v/>
      </c>
      <c r="D1997" s="5" t="str">
        <f>IF(NOT(ISBLANK(A1997)),VLOOKUP(A1997,'BBT3'!A:F,4,1),"")</f>
        <v/>
      </c>
      <c r="E1997" t="str">
        <f>IF(NOT(ISBLANK(A1997)),VLOOKUP(A1997,'BBT3'!A:F,5,0),"")</f>
        <v/>
      </c>
      <c r="F1997" t="str">
        <f>IF(NOT(ISBLANK(A1997)),VLOOKUP(A1997,'BBT3'!A:F,6,0),"")</f>
        <v/>
      </c>
      <c r="G1997" t="str">
        <f t="shared" si="232"/>
        <v/>
      </c>
      <c r="H1997" t="str">
        <f>IF(NOT(ISBLANK(A1997)),VLOOKUP(A1997,'Close - PriceSaver'!A:J,5,0),"")</f>
        <v/>
      </c>
      <c r="I1997" s="4" t="str" cm="1">
        <f t="array" ref="I1997">IF(NOT(ISBLANK(A1997)),((_xlfn.XLOOKUP(1,(_bbt3[[#All],[ID]]=A1997)*(_bbt3[[#All],[METRIC_NAME]]="YLD_YTM_ASK"),_bbt3[[#All],[METRIC_VALUE]])*0.5)+(_xlfn.XLOOKUP(1,(_bbt3[[#All],[ID]]=A1997)*(_bbt3[[#All],[METRIC_NAME]]="YLD_YTM_BID"),_bbt3[[#All],[METRIC_VALUE]])*0.5))/100,"")</f>
        <v/>
      </c>
      <c r="J1997">
        <f>IF(ISNA(VLOOKUP(A1997,'CloseDL - PriceSaverBBT3'!A:E,5,0)),0,VLOOKUP(A1997,'CloseDL - PriceSaverBBT3'!A:E,5,0))</f>
        <v>0</v>
      </c>
      <c r="K1997" s="7" t="str">
        <f t="shared" si="233"/>
        <v/>
      </c>
      <c r="L1997" s="20" t="e">
        <f>IF(Close[[#This Row],[CreatedBy]]="MARINER\SilverAdm",1,0)</f>
        <v>#VALUE!</v>
      </c>
      <c r="M1997" t="str">
        <f>IF(NOT(ISBLANK(A1997)),VLOOKUP(A1997,'Close - PriceSaver'!A:J,6,0),"")</f>
        <v/>
      </c>
    </row>
    <row r="1998" spans="2:13" x14ac:dyDescent="0.35">
      <c r="B1998" t="str">
        <f>IF(NOT(ISBLANK(A1998)),VLOOKUP(A1998,'BBT3'!A:F,2,0),"")</f>
        <v/>
      </c>
      <c r="C1998" t="str">
        <f>IF(NOT(ISBLANK(A1998)),VLOOKUP(A1998,'BBT3'!A:F,3,0),"")</f>
        <v/>
      </c>
      <c r="D1998" s="5" t="str">
        <f>IF(NOT(ISBLANK(A1998)),VLOOKUP(A1998,'BBT3'!A:F,4,1),"")</f>
        <v/>
      </c>
      <c r="E1998" t="str">
        <f>IF(NOT(ISBLANK(A1998)),VLOOKUP(A1998,'BBT3'!A:F,5,0),"")</f>
        <v/>
      </c>
      <c r="F1998" t="str">
        <f>IF(NOT(ISBLANK(A1998)),VLOOKUP(A1998,'BBT3'!A:F,6,0),"")</f>
        <v/>
      </c>
      <c r="G1998" t="str">
        <f t="shared" si="232"/>
        <v/>
      </c>
      <c r="H1998" t="str">
        <f>IF(NOT(ISBLANK(A1998)),VLOOKUP(A1998,'Close - PriceSaver'!A:J,5,0),"")</f>
        <v/>
      </c>
      <c r="I1998" s="4" t="str" cm="1">
        <f t="array" ref="I1998">IF(NOT(ISBLANK(A1998)),((_xlfn.XLOOKUP(1,(_bbt3[[#All],[ID]]=A1998)*(_bbt3[[#All],[METRIC_NAME]]="YLD_YTM_ASK"),_bbt3[[#All],[METRIC_VALUE]])*0.5)+(_xlfn.XLOOKUP(1,(_bbt3[[#All],[ID]]=A1998)*(_bbt3[[#All],[METRIC_NAME]]="YLD_YTM_BID"),_bbt3[[#All],[METRIC_VALUE]])*0.5))/100,"")</f>
        <v/>
      </c>
      <c r="J1998">
        <f>IF(ISNA(VLOOKUP(A1998,'CloseDL - PriceSaverBBT3'!A:E,5,0)),0,VLOOKUP(A1998,'CloseDL - PriceSaverBBT3'!A:E,5,0))</f>
        <v>0</v>
      </c>
      <c r="K1998" s="7" t="str">
        <f t="shared" si="233"/>
        <v/>
      </c>
      <c r="L1998" s="20" t="e">
        <f>IF(Close[[#This Row],[CreatedBy]]="MARINER\SilverAdm",1,0)</f>
        <v>#VALUE!</v>
      </c>
      <c r="M1998" t="str">
        <f>IF(NOT(ISBLANK(A1998)),VLOOKUP(A1998,'Close - PriceSaver'!A:J,6,0),"")</f>
        <v/>
      </c>
    </row>
    <row r="1999" spans="2:13" x14ac:dyDescent="0.35">
      <c r="B1999" t="str">
        <f>IF(NOT(ISBLANK(A1999)),VLOOKUP(A1999,'BBT3'!A:F,2,0),"")</f>
        <v/>
      </c>
      <c r="C1999" t="str">
        <f>IF(NOT(ISBLANK(A1999)),VLOOKUP(A1999,'BBT3'!A:F,3,0),"")</f>
        <v/>
      </c>
      <c r="D1999" s="5" t="str">
        <f>IF(NOT(ISBLANK(A1999)),VLOOKUP(A1999,'BBT3'!A:F,4,1),"")</f>
        <v/>
      </c>
      <c r="E1999" t="str">
        <f>IF(NOT(ISBLANK(A1999)),VLOOKUP(A1999,'BBT3'!A:F,5,0),"")</f>
        <v/>
      </c>
      <c r="F1999" t="str">
        <f>IF(NOT(ISBLANK(A1999)),VLOOKUP(A1999,'BBT3'!A:F,6,0),"")</f>
        <v/>
      </c>
      <c r="G1999" t="str">
        <f t="shared" si="232"/>
        <v/>
      </c>
      <c r="H1999" t="str">
        <f>IF(NOT(ISBLANK(A1999)),VLOOKUP(A1999,'Close - PriceSaver'!A:J,5,0),"")</f>
        <v/>
      </c>
      <c r="I1999" s="4" t="str" cm="1">
        <f t="array" ref="I1999">IF(NOT(ISBLANK(A1999)),((_xlfn.XLOOKUP(1,(_bbt3[[#All],[ID]]=A1999)*(_bbt3[[#All],[METRIC_NAME]]="YLD_YTM_ASK"),_bbt3[[#All],[METRIC_VALUE]])*0.5)+(_xlfn.XLOOKUP(1,(_bbt3[[#All],[ID]]=A1999)*(_bbt3[[#All],[METRIC_NAME]]="YLD_YTM_BID"),_bbt3[[#All],[METRIC_VALUE]])*0.5))/100,"")</f>
        <v/>
      </c>
      <c r="J1999">
        <f>IF(ISNA(VLOOKUP(A1999,'CloseDL - PriceSaverBBT3'!A:E,5,0)),0,VLOOKUP(A1999,'CloseDL - PriceSaverBBT3'!A:E,5,0))</f>
        <v>0</v>
      </c>
      <c r="K1999" s="7" t="str">
        <f t="shared" si="233"/>
        <v/>
      </c>
      <c r="L1999" s="20" t="e">
        <f>IF(Close[[#This Row],[CreatedBy]]="MARINER\SilverAdm",1,0)</f>
        <v>#VALUE!</v>
      </c>
      <c r="M1999" t="str">
        <f>IF(NOT(ISBLANK(A1999)),VLOOKUP(A1999,'Close - PriceSaver'!A:J,6,0),"")</f>
        <v/>
      </c>
    </row>
    <row r="2000" spans="2:13" x14ac:dyDescent="0.35">
      <c r="B2000" t="str">
        <f>IF(NOT(ISBLANK(A2000)),VLOOKUP(A2000,'BBT3'!A:F,2,0),"")</f>
        <v/>
      </c>
      <c r="C2000" t="str">
        <f>IF(NOT(ISBLANK(A2000)),VLOOKUP(A2000,'BBT3'!A:F,3,0),"")</f>
        <v/>
      </c>
      <c r="D2000" s="5" t="str">
        <f>IF(NOT(ISBLANK(A2000)),VLOOKUP(A2000,'BBT3'!A:F,4,1),"")</f>
        <v/>
      </c>
      <c r="E2000" t="str">
        <f>IF(NOT(ISBLANK(A2000)),VLOOKUP(A2000,'BBT3'!A:F,5,0),"")</f>
        <v/>
      </c>
      <c r="F2000" t="str">
        <f>IF(NOT(ISBLANK(A2000)),VLOOKUP(A2000,'BBT3'!A:F,6,0),"")</f>
        <v/>
      </c>
      <c r="G2000" t="str">
        <f t="shared" si="232"/>
        <v/>
      </c>
      <c r="H2000" t="str">
        <f>IF(NOT(ISBLANK(A2000)),VLOOKUP(A2000,'Close - PriceSaver'!A:J,5,0),"")</f>
        <v/>
      </c>
      <c r="I2000" s="4" t="str" cm="1">
        <f t="array" ref="I2000">IF(NOT(ISBLANK(A2000)),((_xlfn.XLOOKUP(1,(_bbt3[[#All],[ID]]=A2000)*(_bbt3[[#All],[METRIC_NAME]]="YLD_YTM_ASK"),_bbt3[[#All],[METRIC_VALUE]])*0.5)+(_xlfn.XLOOKUP(1,(_bbt3[[#All],[ID]]=A2000)*(_bbt3[[#All],[METRIC_NAME]]="YLD_YTM_BID"),_bbt3[[#All],[METRIC_VALUE]])*0.5))/100,"")</f>
        <v/>
      </c>
      <c r="J2000">
        <f>IF(ISNA(VLOOKUP(A2000,'CloseDL - PriceSaverBBT3'!A:E,5,0)),0,VLOOKUP(A2000,'CloseDL - PriceSaverBBT3'!A:E,5,0))</f>
        <v>0</v>
      </c>
      <c r="K2000" s="7" t="str">
        <f t="shared" si="233"/>
        <v/>
      </c>
      <c r="L2000" s="20" t="e">
        <f>IF(Close[[#This Row],[CreatedBy]]="MARINER\SilverAdm",1,0)</f>
        <v>#VALUE!</v>
      </c>
      <c r="M2000" t="str">
        <f>IF(NOT(ISBLANK(A2000)),VLOOKUP(A2000,'Close - PriceSaver'!A:J,6,0),"")</f>
        <v/>
      </c>
    </row>
    <row r="2001" spans="2:13" x14ac:dyDescent="0.35">
      <c r="B2001" t="str">
        <f>IF(NOT(ISBLANK(A2001)),VLOOKUP(A2001,'BBT3'!A:F,2,0),"")</f>
        <v/>
      </c>
      <c r="C2001" t="str">
        <f>IF(NOT(ISBLANK(A2001)),VLOOKUP(A2001,'BBT3'!A:F,3,0),"")</f>
        <v/>
      </c>
      <c r="D2001" s="5" t="str">
        <f>IF(NOT(ISBLANK(A2001)),VLOOKUP(A2001,'BBT3'!A:F,4,1),"")</f>
        <v/>
      </c>
      <c r="E2001" t="str">
        <f>IF(NOT(ISBLANK(A2001)),VLOOKUP(A2001,'BBT3'!A:F,5,0),"")</f>
        <v/>
      </c>
      <c r="F2001" t="str">
        <f>IF(NOT(ISBLANK(A2001)),VLOOKUP(A2001,'BBT3'!A:F,6,0),"")</f>
        <v/>
      </c>
      <c r="G2001" t="str">
        <f t="shared" si="232"/>
        <v/>
      </c>
      <c r="H2001" t="str">
        <f>IF(NOT(ISBLANK(A2001)),VLOOKUP(A2001,'Close - PriceSaver'!A:J,5,0),"")</f>
        <v/>
      </c>
      <c r="I2001" s="4" t="str" cm="1">
        <f t="array" ref="I2001">IF(NOT(ISBLANK(A2001)),((_xlfn.XLOOKUP(1,(_bbt3[[#All],[ID]]=A2001)*(_bbt3[[#All],[METRIC_NAME]]="YLD_YTM_ASK"),_bbt3[[#All],[METRIC_VALUE]])*0.5)+(_xlfn.XLOOKUP(1,(_bbt3[[#All],[ID]]=A2001)*(_bbt3[[#All],[METRIC_NAME]]="YLD_YTM_BID"),_bbt3[[#All],[METRIC_VALUE]])*0.5))/100,"")</f>
        <v/>
      </c>
      <c r="J2001">
        <f>IF(ISNA(VLOOKUP(A2001,'CloseDL - PriceSaverBBT3'!A:E,5,0)),0,VLOOKUP(A2001,'CloseDL - PriceSaverBBT3'!A:E,5,0))</f>
        <v>0</v>
      </c>
      <c r="K2001" s="7" t="str">
        <f t="shared" si="233"/>
        <v/>
      </c>
      <c r="L2001" s="20" t="e">
        <f>IF(Close[[#This Row],[CreatedBy]]="MARINER\SilverAdm",1,0)</f>
        <v>#VALUE!</v>
      </c>
      <c r="M2001" t="str">
        <f>IF(NOT(ISBLANK(A2001)),VLOOKUP(A2001,'Close - PriceSaver'!A:J,6,0),"")</f>
        <v/>
      </c>
    </row>
    <row r="2002" spans="2:13" x14ac:dyDescent="0.35">
      <c r="B2002" t="str">
        <f>IF(NOT(ISBLANK(A2002)),VLOOKUP(A2002,'BBT3'!A:F,2,0),"")</f>
        <v/>
      </c>
      <c r="C2002" t="str">
        <f>IF(NOT(ISBLANK(A2002)),VLOOKUP(A2002,'BBT3'!A:F,3,0),"")</f>
        <v/>
      </c>
      <c r="D2002" s="5" t="str">
        <f>IF(NOT(ISBLANK(A2002)),VLOOKUP(A2002,'BBT3'!A:F,4,1),"")</f>
        <v/>
      </c>
      <c r="E2002" t="str">
        <f>IF(NOT(ISBLANK(A2002)),VLOOKUP(A2002,'BBT3'!A:F,5,0),"")</f>
        <v/>
      </c>
      <c r="F2002" t="str">
        <f>IF(NOT(ISBLANK(A2002)),VLOOKUP(A2002,'BBT3'!A:F,6,0),"")</f>
        <v/>
      </c>
      <c r="G2002" t="str">
        <f t="shared" si="232"/>
        <v/>
      </c>
      <c r="H2002" t="str">
        <f>IF(NOT(ISBLANK(A2002)),VLOOKUP(A2002,'Close - PriceSaver'!A:J,5,0),"")</f>
        <v/>
      </c>
      <c r="I2002" s="4" t="str" cm="1">
        <f t="array" ref="I2002">IF(NOT(ISBLANK(A2002)),((_xlfn.XLOOKUP(1,(_bbt3[[#All],[ID]]=A2002)*(_bbt3[[#All],[METRIC_NAME]]="YLD_YTM_ASK"),_bbt3[[#All],[METRIC_VALUE]])*0.5)+(_xlfn.XLOOKUP(1,(_bbt3[[#All],[ID]]=A2002)*(_bbt3[[#All],[METRIC_NAME]]="YLD_YTM_BID"),_bbt3[[#All],[METRIC_VALUE]])*0.5))/100,"")</f>
        <v/>
      </c>
      <c r="J2002">
        <f>IF(ISNA(VLOOKUP(A2002,'CloseDL - PriceSaverBBT3'!A:E,5,0)),0,VLOOKUP(A2002,'CloseDL - PriceSaverBBT3'!A:E,5,0))</f>
        <v>0</v>
      </c>
      <c r="K2002" s="7" t="str">
        <f t="shared" si="233"/>
        <v/>
      </c>
      <c r="L2002" s="20" t="e">
        <f>IF(Close[[#This Row],[CreatedBy]]="MARINER\SilverAdm",1,0)</f>
        <v>#VALUE!</v>
      </c>
      <c r="M2002" t="str">
        <f>IF(NOT(ISBLANK(A2002)),VLOOKUP(A2002,'Close - PriceSaver'!A:J,6,0),"")</f>
        <v/>
      </c>
    </row>
    <row r="2003" spans="2:13" x14ac:dyDescent="0.35">
      <c r="B2003" t="str">
        <f>IF(NOT(ISBLANK(A2003)),VLOOKUP(A2003,'BBT3'!A:F,2,0),"")</f>
        <v/>
      </c>
      <c r="C2003" t="str">
        <f>IF(NOT(ISBLANK(A2003)),VLOOKUP(A2003,'BBT3'!A:F,3,0),"")</f>
        <v/>
      </c>
      <c r="D2003" s="5" t="str">
        <f>IF(NOT(ISBLANK(A2003)),VLOOKUP(A2003,'BBT3'!A:F,4,1),"")</f>
        <v/>
      </c>
      <c r="E2003" t="str">
        <f>IF(NOT(ISBLANK(A2003)),VLOOKUP(A2003,'BBT3'!A:F,5,0),"")</f>
        <v/>
      </c>
      <c r="F2003" t="str">
        <f>IF(NOT(ISBLANK(A2003)),VLOOKUP(A2003,'BBT3'!A:F,6,0),"")</f>
        <v/>
      </c>
      <c r="G2003" t="str">
        <f t="shared" si="232"/>
        <v/>
      </c>
      <c r="H2003" t="str">
        <f>IF(NOT(ISBLANK(A2003)),VLOOKUP(A2003,'Close - PriceSaver'!A:J,5,0),"")</f>
        <v/>
      </c>
      <c r="I2003" s="4" t="str" cm="1">
        <f t="array" ref="I2003">IF(NOT(ISBLANK(A2003)),((_xlfn.XLOOKUP(1,(_bbt3[[#All],[ID]]=A2003)*(_bbt3[[#All],[METRIC_NAME]]="YLD_YTM_ASK"),_bbt3[[#All],[METRIC_VALUE]])*0.5)+(_xlfn.XLOOKUP(1,(_bbt3[[#All],[ID]]=A2003)*(_bbt3[[#All],[METRIC_NAME]]="YLD_YTM_BID"),_bbt3[[#All],[METRIC_VALUE]])*0.5))/100,"")</f>
        <v/>
      </c>
      <c r="J2003">
        <f>IF(ISNA(VLOOKUP(A2003,'CloseDL - PriceSaverBBT3'!A:E,5,0)),0,VLOOKUP(A2003,'CloseDL - PriceSaverBBT3'!A:E,5,0))</f>
        <v>0</v>
      </c>
      <c r="K2003" s="7" t="str">
        <f t="shared" si="233"/>
        <v/>
      </c>
      <c r="L2003" s="20" t="e">
        <f>IF(Close[[#This Row],[CreatedBy]]="MARINER\SilverAdm",1,0)</f>
        <v>#VALUE!</v>
      </c>
      <c r="M2003" t="str">
        <f>IF(NOT(ISBLANK(A2003)),VLOOKUP(A2003,'Close - PriceSaver'!A:J,6,0),"")</f>
        <v/>
      </c>
    </row>
    <row r="2004" spans="2:13" x14ac:dyDescent="0.35">
      <c r="B2004" t="str">
        <f>IF(NOT(ISBLANK(A2004)),VLOOKUP(A2004,'BBT3'!A:F,2,0),"")</f>
        <v/>
      </c>
      <c r="C2004" t="str">
        <f>IF(NOT(ISBLANK(A2004)),VLOOKUP(A2004,'BBT3'!A:F,3,0),"")</f>
        <v/>
      </c>
      <c r="D2004" s="5" t="str">
        <f>IF(NOT(ISBLANK(A2004)),VLOOKUP(A2004,'BBT3'!A:F,4,1),"")</f>
        <v/>
      </c>
      <c r="E2004" t="str">
        <f>IF(NOT(ISBLANK(A2004)),VLOOKUP(A2004,'BBT3'!A:F,5,0),"")</f>
        <v/>
      </c>
      <c r="F2004" t="str">
        <f>IF(NOT(ISBLANK(A2004)),VLOOKUP(A2004,'BBT3'!A:F,6,0),"")</f>
        <v/>
      </c>
      <c r="G2004" t="str">
        <f t="shared" si="232"/>
        <v/>
      </c>
      <c r="H2004" t="str">
        <f>IF(NOT(ISBLANK(A2004)),VLOOKUP(A2004,'Close - PriceSaver'!A:J,5,0),"")</f>
        <v/>
      </c>
      <c r="I2004" s="4" t="str" cm="1">
        <f t="array" ref="I2004">IF(NOT(ISBLANK(A2004)),((_xlfn.XLOOKUP(1,(_bbt3[[#All],[ID]]=A2004)*(_bbt3[[#All],[METRIC_NAME]]="YLD_YTM_ASK"),_bbt3[[#All],[METRIC_VALUE]])*0.5)+(_xlfn.XLOOKUP(1,(_bbt3[[#All],[ID]]=A2004)*(_bbt3[[#All],[METRIC_NAME]]="YLD_YTM_BID"),_bbt3[[#All],[METRIC_VALUE]])*0.5))/100,"")</f>
        <v/>
      </c>
      <c r="J2004">
        <f>IF(ISNA(VLOOKUP(A2004,'CloseDL - PriceSaverBBT3'!A:E,5,0)),0,VLOOKUP(A2004,'CloseDL - PriceSaverBBT3'!A:E,5,0))</f>
        <v>0</v>
      </c>
      <c r="K2004" s="7" t="str">
        <f t="shared" si="233"/>
        <v/>
      </c>
      <c r="L2004" s="20" t="e">
        <f>IF(Close[[#This Row],[CreatedBy]]="MARINER\SilverAdm",1,0)</f>
        <v>#VALUE!</v>
      </c>
      <c r="M2004" t="str">
        <f>IF(NOT(ISBLANK(A2004)),VLOOKUP(A2004,'Close - PriceSaver'!A:J,6,0),"")</f>
        <v/>
      </c>
    </row>
    <row r="2005" spans="2:13" x14ac:dyDescent="0.35">
      <c r="B2005" t="str">
        <f>IF(NOT(ISBLANK(A2005)),VLOOKUP(A2005,'BBT3'!A:F,2,0),"")</f>
        <v/>
      </c>
      <c r="C2005" t="str">
        <f>IF(NOT(ISBLANK(A2005)),VLOOKUP(A2005,'BBT3'!A:F,3,0),"")</f>
        <v/>
      </c>
      <c r="D2005" s="5" t="str">
        <f>IF(NOT(ISBLANK(A2005)),VLOOKUP(A2005,'BBT3'!A:F,4,1),"")</f>
        <v/>
      </c>
      <c r="E2005" t="str">
        <f>IF(NOT(ISBLANK(A2005)),VLOOKUP(A2005,'BBT3'!A:F,5,0),"")</f>
        <v/>
      </c>
      <c r="F2005" t="str">
        <f>IF(NOT(ISBLANK(A2005)),VLOOKUP(A2005,'BBT3'!A:F,6,0),"")</f>
        <v/>
      </c>
      <c r="G2005" t="str">
        <f t="shared" si="232"/>
        <v/>
      </c>
      <c r="H2005" t="str">
        <f>IF(NOT(ISBLANK(A2005)),VLOOKUP(A2005,'Close - PriceSaver'!A:J,5,0),"")</f>
        <v/>
      </c>
      <c r="I2005" s="4" t="str" cm="1">
        <f t="array" ref="I2005">IF(NOT(ISBLANK(A2005)),((_xlfn.XLOOKUP(1,(_bbt3[[#All],[ID]]=A2005)*(_bbt3[[#All],[METRIC_NAME]]="YLD_YTM_ASK"),_bbt3[[#All],[METRIC_VALUE]])*0.5)+(_xlfn.XLOOKUP(1,(_bbt3[[#All],[ID]]=A2005)*(_bbt3[[#All],[METRIC_NAME]]="YLD_YTM_BID"),_bbt3[[#All],[METRIC_VALUE]])*0.5))/100,"")</f>
        <v/>
      </c>
      <c r="J2005">
        <f>IF(ISNA(VLOOKUP(A2005,'CloseDL - PriceSaverBBT3'!A:E,5,0)),0,VLOOKUP(A2005,'CloseDL - PriceSaverBBT3'!A:E,5,0))</f>
        <v>0</v>
      </c>
      <c r="K2005" s="7" t="str">
        <f t="shared" si="233"/>
        <v/>
      </c>
      <c r="L2005" s="20" t="e">
        <f>IF(Close[[#This Row],[CreatedBy]]="MARINER\SilverAdm",1,0)</f>
        <v>#VALUE!</v>
      </c>
      <c r="M2005" t="str">
        <f>IF(NOT(ISBLANK(A2005)),VLOOKUP(A2005,'Close - PriceSaver'!A:J,6,0),"")</f>
        <v/>
      </c>
    </row>
    <row r="2006" spans="2:13" x14ac:dyDescent="0.35">
      <c r="B2006" t="str">
        <f>IF(NOT(ISBLANK(A2006)),VLOOKUP(A2006,'BBT3'!A:F,2,0),"")</f>
        <v/>
      </c>
      <c r="C2006" t="str">
        <f>IF(NOT(ISBLANK(A2006)),VLOOKUP(A2006,'BBT3'!A:F,3,0),"")</f>
        <v/>
      </c>
      <c r="D2006" s="5" t="str">
        <f>IF(NOT(ISBLANK(A2006)),VLOOKUP(A2006,'BBT3'!A:F,4,1),"")</f>
        <v/>
      </c>
      <c r="E2006" t="str">
        <f>IF(NOT(ISBLANK(A2006)),VLOOKUP(A2006,'BBT3'!A:F,5,0),"")</f>
        <v/>
      </c>
      <c r="F2006" t="str">
        <f>IF(NOT(ISBLANK(A2006)),VLOOKUP(A2006,'BBT3'!A:F,6,0),"")</f>
        <v/>
      </c>
      <c r="G2006" t="str">
        <f t="shared" si="232"/>
        <v/>
      </c>
      <c r="H2006" t="str">
        <f>IF(NOT(ISBLANK(A2006)),VLOOKUP(A2006,'Close - PriceSaver'!A:J,5,0),"")</f>
        <v/>
      </c>
      <c r="I2006" s="4" t="str" cm="1">
        <f t="array" ref="I2006">IF(NOT(ISBLANK(A2006)),((_xlfn.XLOOKUP(1,(_bbt3[[#All],[ID]]=A2006)*(_bbt3[[#All],[METRIC_NAME]]="YLD_YTM_ASK"),_bbt3[[#All],[METRIC_VALUE]])*0.5)+(_xlfn.XLOOKUP(1,(_bbt3[[#All],[ID]]=A2006)*(_bbt3[[#All],[METRIC_NAME]]="YLD_YTM_BID"),_bbt3[[#All],[METRIC_VALUE]])*0.5))/100,"")</f>
        <v/>
      </c>
      <c r="J2006">
        <f>IF(ISNA(VLOOKUP(A2006,'CloseDL - PriceSaverBBT3'!A:E,5,0)),0,VLOOKUP(A2006,'CloseDL - PriceSaverBBT3'!A:E,5,0))</f>
        <v>0</v>
      </c>
      <c r="K2006" s="7" t="str">
        <f t="shared" si="233"/>
        <v/>
      </c>
      <c r="L2006" s="20" t="e">
        <f>IF(Close[[#This Row],[CreatedBy]]="MARINER\SilverAdm",1,0)</f>
        <v>#VALUE!</v>
      </c>
      <c r="M2006" t="str">
        <f>IF(NOT(ISBLANK(A2006)),VLOOKUP(A2006,'Close - PriceSaver'!A:J,6,0),"")</f>
        <v/>
      </c>
    </row>
    <row r="2007" spans="2:13" x14ac:dyDescent="0.35">
      <c r="B2007" t="str">
        <f>IF(NOT(ISBLANK(A2007)),VLOOKUP(A2007,'BBT3'!A:F,2,0),"")</f>
        <v/>
      </c>
      <c r="C2007" t="str">
        <f>IF(NOT(ISBLANK(A2007)),VLOOKUP(A2007,'BBT3'!A:F,3,0),"")</f>
        <v/>
      </c>
      <c r="D2007" s="5" t="str">
        <f>IF(NOT(ISBLANK(A2007)),VLOOKUP(A2007,'BBT3'!A:F,4,1),"")</f>
        <v/>
      </c>
      <c r="E2007" t="str">
        <f>IF(NOT(ISBLANK(A2007)),VLOOKUP(A2007,'BBT3'!A:F,5,0),"")</f>
        <v/>
      </c>
      <c r="F2007" t="str">
        <f>IF(NOT(ISBLANK(A2007)),VLOOKUP(A2007,'BBT3'!A:F,6,0),"")</f>
        <v/>
      </c>
      <c r="G2007" t="str">
        <f t="shared" si="232"/>
        <v/>
      </c>
      <c r="H2007" t="str">
        <f>IF(NOT(ISBLANK(A2007)),VLOOKUP(A2007,'Close - PriceSaver'!A:J,5,0),"")</f>
        <v/>
      </c>
      <c r="I2007" s="4" t="str" cm="1">
        <f t="array" ref="I2007">IF(NOT(ISBLANK(A2007)),((_xlfn.XLOOKUP(1,(_bbt3[[#All],[ID]]=A2007)*(_bbt3[[#All],[METRIC_NAME]]="YLD_YTM_ASK"),_bbt3[[#All],[METRIC_VALUE]])*0.5)+(_xlfn.XLOOKUP(1,(_bbt3[[#All],[ID]]=A2007)*(_bbt3[[#All],[METRIC_NAME]]="YLD_YTM_BID"),_bbt3[[#All],[METRIC_VALUE]])*0.5))/100,"")</f>
        <v/>
      </c>
      <c r="J2007">
        <f>IF(ISNA(VLOOKUP(A2007,'CloseDL - PriceSaverBBT3'!A:E,5,0)),0,VLOOKUP(A2007,'CloseDL - PriceSaverBBT3'!A:E,5,0))</f>
        <v>0</v>
      </c>
      <c r="K2007" s="7" t="str">
        <f t="shared" si="233"/>
        <v/>
      </c>
      <c r="L2007" s="20" t="e">
        <f>IF(Close[[#This Row],[CreatedBy]]="MARINER\SilverAdm",1,0)</f>
        <v>#VALUE!</v>
      </c>
      <c r="M2007" t="str">
        <f>IF(NOT(ISBLANK(A2007)),VLOOKUP(A2007,'Close - PriceSaver'!A:J,6,0),"")</f>
        <v/>
      </c>
    </row>
    <row r="2008" spans="2:13" x14ac:dyDescent="0.35">
      <c r="B2008" t="str">
        <f>IF(NOT(ISBLANK(A2008)),VLOOKUP(A2008,'BBT3'!A:F,2,0),"")</f>
        <v/>
      </c>
      <c r="C2008" t="str">
        <f>IF(NOT(ISBLANK(A2008)),VLOOKUP(A2008,'BBT3'!A:F,3,0),"")</f>
        <v/>
      </c>
      <c r="D2008" s="5" t="str">
        <f>IF(NOT(ISBLANK(A2008)),VLOOKUP(A2008,'BBT3'!A:F,4,1),"")</f>
        <v/>
      </c>
      <c r="E2008" t="str">
        <f>IF(NOT(ISBLANK(A2008)),VLOOKUP(A2008,'BBT3'!A:F,5,0),"")</f>
        <v/>
      </c>
      <c r="F2008" t="str">
        <f>IF(NOT(ISBLANK(A2008)),VLOOKUP(A2008,'BBT3'!A:F,6,0),"")</f>
        <v/>
      </c>
      <c r="G2008" t="str">
        <f t="shared" si="232"/>
        <v/>
      </c>
      <c r="H2008" t="str">
        <f>IF(NOT(ISBLANK(A2008)),VLOOKUP(A2008,'Close - PriceSaver'!A:J,5,0),"")</f>
        <v/>
      </c>
      <c r="I2008" s="4" t="str" cm="1">
        <f t="array" ref="I2008">IF(NOT(ISBLANK(A2008)),((_xlfn.XLOOKUP(1,(_bbt3[[#All],[ID]]=A2008)*(_bbt3[[#All],[METRIC_NAME]]="YLD_YTM_ASK"),_bbt3[[#All],[METRIC_VALUE]])*0.5)+(_xlfn.XLOOKUP(1,(_bbt3[[#All],[ID]]=A2008)*(_bbt3[[#All],[METRIC_NAME]]="YLD_YTM_BID"),_bbt3[[#All],[METRIC_VALUE]])*0.5))/100,"")</f>
        <v/>
      </c>
      <c r="J2008">
        <f>IF(ISNA(VLOOKUP(A2008,'CloseDL - PriceSaverBBT3'!A:E,5,0)),0,VLOOKUP(A2008,'CloseDL - PriceSaverBBT3'!A:E,5,0))</f>
        <v>0</v>
      </c>
      <c r="K2008" s="7" t="str">
        <f t="shared" si="233"/>
        <v/>
      </c>
      <c r="L2008" s="20" t="e">
        <f>IF(Close[[#This Row],[CreatedBy]]="MARINER\SilverAdm",1,0)</f>
        <v>#VALUE!</v>
      </c>
      <c r="M2008" t="str">
        <f>IF(NOT(ISBLANK(A2008)),VLOOKUP(A2008,'Close - PriceSaver'!A:J,6,0),"")</f>
        <v/>
      </c>
    </row>
    <row r="2009" spans="2:13" x14ac:dyDescent="0.35">
      <c r="B2009" t="str">
        <f>IF(NOT(ISBLANK(A2009)),VLOOKUP(A2009,'BBT3'!A:F,2,0),"")</f>
        <v/>
      </c>
      <c r="C2009" t="str">
        <f>IF(NOT(ISBLANK(A2009)),VLOOKUP(A2009,'BBT3'!A:F,3,0),"")</f>
        <v/>
      </c>
      <c r="D2009" s="5" t="str">
        <f>IF(NOT(ISBLANK(A2009)),VLOOKUP(A2009,'BBT3'!A:F,4,1),"")</f>
        <v/>
      </c>
      <c r="E2009" t="str">
        <f>IF(NOT(ISBLANK(A2009)),VLOOKUP(A2009,'BBT3'!A:F,5,0),"")</f>
        <v/>
      </c>
      <c r="F2009" t="str">
        <f>IF(NOT(ISBLANK(A2009)),VLOOKUP(A2009,'BBT3'!A:F,6,0),"")</f>
        <v/>
      </c>
      <c r="G2009" t="str">
        <f t="shared" si="232"/>
        <v/>
      </c>
      <c r="H2009" t="str">
        <f>IF(NOT(ISBLANK(A2009)),VLOOKUP(A2009,'Close - PriceSaver'!A:J,5,0),"")</f>
        <v/>
      </c>
      <c r="I2009" s="4" t="str" cm="1">
        <f t="array" ref="I2009">IF(NOT(ISBLANK(A2009)),((_xlfn.XLOOKUP(1,(_bbt3[[#All],[ID]]=A2009)*(_bbt3[[#All],[METRIC_NAME]]="YLD_YTM_ASK"),_bbt3[[#All],[METRIC_VALUE]])*0.5)+(_xlfn.XLOOKUP(1,(_bbt3[[#All],[ID]]=A2009)*(_bbt3[[#All],[METRIC_NAME]]="YLD_YTM_BID"),_bbt3[[#All],[METRIC_VALUE]])*0.5))/100,"")</f>
        <v/>
      </c>
      <c r="J2009">
        <f>IF(ISNA(VLOOKUP(A2009,'CloseDL - PriceSaverBBT3'!A:E,5,0)),0,VLOOKUP(A2009,'CloseDL - PriceSaverBBT3'!A:E,5,0))</f>
        <v>0</v>
      </c>
      <c r="K2009" s="7" t="str">
        <f t="shared" si="233"/>
        <v/>
      </c>
      <c r="L2009" s="20" t="e">
        <f>IF(Close[[#This Row],[CreatedBy]]="MARINER\SilverAdm",1,0)</f>
        <v>#VALUE!</v>
      </c>
      <c r="M2009" t="str">
        <f>IF(NOT(ISBLANK(A2009)),VLOOKUP(A2009,'Close - PriceSaver'!A:J,6,0),"")</f>
        <v/>
      </c>
    </row>
    <row r="2010" spans="2:13" x14ac:dyDescent="0.35">
      <c r="B2010" t="str">
        <f>IF(NOT(ISBLANK(A2010)),VLOOKUP(A2010,'BBT3'!A:F,2,0),"")</f>
        <v/>
      </c>
      <c r="C2010" t="str">
        <f>IF(NOT(ISBLANK(A2010)),VLOOKUP(A2010,'BBT3'!A:F,3,0),"")</f>
        <v/>
      </c>
      <c r="D2010" s="5" t="str">
        <f>IF(NOT(ISBLANK(A2010)),VLOOKUP(A2010,'BBT3'!A:F,4,1),"")</f>
        <v/>
      </c>
      <c r="E2010" t="str">
        <f>IF(NOT(ISBLANK(A2010)),VLOOKUP(A2010,'BBT3'!A:F,5,0),"")</f>
        <v/>
      </c>
      <c r="F2010" t="str">
        <f>IF(NOT(ISBLANK(A2010)),VLOOKUP(A2010,'BBT3'!A:F,6,0),"")</f>
        <v/>
      </c>
      <c r="G2010" t="str">
        <f t="shared" si="232"/>
        <v/>
      </c>
      <c r="H2010" t="str">
        <f>IF(NOT(ISBLANK(A2010)),VLOOKUP(A2010,'Close - PriceSaver'!A:J,5,0),"")</f>
        <v/>
      </c>
      <c r="I2010" s="4" t="str" cm="1">
        <f t="array" ref="I2010">IF(NOT(ISBLANK(A2010)),((_xlfn.XLOOKUP(1,(_bbt3[[#All],[ID]]=A2010)*(_bbt3[[#All],[METRIC_NAME]]="YLD_YTM_ASK"),_bbt3[[#All],[METRIC_VALUE]])*0.5)+(_xlfn.XLOOKUP(1,(_bbt3[[#All],[ID]]=A2010)*(_bbt3[[#All],[METRIC_NAME]]="YLD_YTM_BID"),_bbt3[[#All],[METRIC_VALUE]])*0.5))/100,"")</f>
        <v/>
      </c>
      <c r="J2010">
        <f>IF(ISNA(VLOOKUP(A2010,'CloseDL - PriceSaverBBT3'!A:E,5,0)),0,VLOOKUP(A2010,'CloseDL - PriceSaverBBT3'!A:E,5,0))</f>
        <v>0</v>
      </c>
      <c r="K2010" s="7" t="str">
        <f t="shared" si="233"/>
        <v/>
      </c>
      <c r="L2010" s="20" t="e">
        <f>IF(Close[[#This Row],[CreatedBy]]="MARINER\SilverAdm",1,0)</f>
        <v>#VALUE!</v>
      </c>
      <c r="M2010" t="str">
        <f>IF(NOT(ISBLANK(A2010)),VLOOKUP(A2010,'Close - PriceSaver'!A:J,6,0),"")</f>
        <v/>
      </c>
    </row>
    <row r="2011" spans="2:13" x14ac:dyDescent="0.35">
      <c r="B2011" t="str">
        <f>IF(NOT(ISBLANK(A2011)),VLOOKUP(A2011,'BBT3'!A:F,2,0),"")</f>
        <v/>
      </c>
      <c r="C2011" t="str">
        <f>IF(NOT(ISBLANK(A2011)),VLOOKUP(A2011,'BBT3'!A:F,3,0),"")</f>
        <v/>
      </c>
      <c r="D2011" s="5" t="str">
        <f>IF(NOT(ISBLANK(A2011)),VLOOKUP(A2011,'BBT3'!A:F,4,1),"")</f>
        <v/>
      </c>
      <c r="E2011" t="str">
        <f>IF(NOT(ISBLANK(A2011)),VLOOKUP(A2011,'BBT3'!A:F,5,0),"")</f>
        <v/>
      </c>
      <c r="F2011" t="str">
        <f>IF(NOT(ISBLANK(A2011)),VLOOKUP(A2011,'BBT3'!A:F,6,0),"")</f>
        <v/>
      </c>
      <c r="G2011" t="str">
        <f t="shared" si="232"/>
        <v/>
      </c>
      <c r="H2011" t="str">
        <f>IF(NOT(ISBLANK(A2011)),VLOOKUP(A2011,'Close - PriceSaver'!A:J,5,0),"")</f>
        <v/>
      </c>
      <c r="I2011" s="4" t="str" cm="1">
        <f t="array" ref="I2011">IF(NOT(ISBLANK(A2011)),((_xlfn.XLOOKUP(1,(_bbt3[[#All],[ID]]=A2011)*(_bbt3[[#All],[METRIC_NAME]]="YLD_YTM_ASK"),_bbt3[[#All],[METRIC_VALUE]])*0.5)+(_xlfn.XLOOKUP(1,(_bbt3[[#All],[ID]]=A2011)*(_bbt3[[#All],[METRIC_NAME]]="YLD_YTM_BID"),_bbt3[[#All],[METRIC_VALUE]])*0.5))/100,"")</f>
        <v/>
      </c>
      <c r="J2011">
        <f>IF(ISNA(VLOOKUP(A2011,'CloseDL - PriceSaverBBT3'!A:E,5,0)),0,VLOOKUP(A2011,'CloseDL - PriceSaverBBT3'!A:E,5,0))</f>
        <v>0</v>
      </c>
      <c r="K2011" s="7" t="str">
        <f t="shared" si="233"/>
        <v/>
      </c>
      <c r="L2011" s="20" t="e">
        <f>IF(Close[[#This Row],[CreatedBy]]="MARINER\SilverAdm",1,0)</f>
        <v>#VALUE!</v>
      </c>
      <c r="M2011" t="str">
        <f>IF(NOT(ISBLANK(A2011)),VLOOKUP(A2011,'Close - PriceSaver'!A:J,6,0),"")</f>
        <v/>
      </c>
    </row>
    <row r="2012" spans="2:13" x14ac:dyDescent="0.35">
      <c r="B2012" t="str">
        <f>IF(NOT(ISBLANK(A2012)),VLOOKUP(A2012,'BBT3'!A:F,2,0),"")</f>
        <v/>
      </c>
      <c r="C2012" t="str">
        <f>IF(NOT(ISBLANK(A2012)),VLOOKUP(A2012,'BBT3'!A:F,3,0),"")</f>
        <v/>
      </c>
      <c r="D2012" s="5" t="str">
        <f>IF(NOT(ISBLANK(A2012)),VLOOKUP(A2012,'BBT3'!A:F,4,1),"")</f>
        <v/>
      </c>
      <c r="E2012" t="str">
        <f>IF(NOT(ISBLANK(A2012)),VLOOKUP(A2012,'BBT3'!A:F,5,0),"")</f>
        <v/>
      </c>
      <c r="F2012" t="str">
        <f>IF(NOT(ISBLANK(A2012)),VLOOKUP(A2012,'BBT3'!A:F,6,0),"")</f>
        <v/>
      </c>
      <c r="G2012" t="str">
        <f t="shared" si="232"/>
        <v/>
      </c>
      <c r="H2012" t="str">
        <f>IF(NOT(ISBLANK(A2012)),VLOOKUP(A2012,'Close - PriceSaver'!A:J,5,0),"")</f>
        <v/>
      </c>
      <c r="I2012" s="4" t="str" cm="1">
        <f t="array" ref="I2012">IF(NOT(ISBLANK(A2012)),((_xlfn.XLOOKUP(1,(_bbt3[[#All],[ID]]=A2012)*(_bbt3[[#All],[METRIC_NAME]]="YLD_YTM_ASK"),_bbt3[[#All],[METRIC_VALUE]])*0.5)+(_xlfn.XLOOKUP(1,(_bbt3[[#All],[ID]]=A2012)*(_bbt3[[#All],[METRIC_NAME]]="YLD_YTM_BID"),_bbt3[[#All],[METRIC_VALUE]])*0.5))/100,"")</f>
        <v/>
      </c>
      <c r="J2012">
        <f>IF(ISNA(VLOOKUP(A2012,'CloseDL - PriceSaverBBT3'!A:E,5,0)),0,VLOOKUP(A2012,'CloseDL - PriceSaverBBT3'!A:E,5,0))</f>
        <v>0</v>
      </c>
      <c r="K2012" s="7" t="str">
        <f t="shared" si="233"/>
        <v/>
      </c>
      <c r="L2012" s="20" t="e">
        <f>IF(Close[[#This Row],[CreatedBy]]="MARINER\SilverAdm",1,0)</f>
        <v>#VALUE!</v>
      </c>
      <c r="M2012" t="str">
        <f>IF(NOT(ISBLANK(A2012)),VLOOKUP(A2012,'Close - PriceSaver'!A:J,6,0),"")</f>
        <v/>
      </c>
    </row>
    <row r="2013" spans="2:13" x14ac:dyDescent="0.35">
      <c r="B2013" t="str">
        <f>IF(NOT(ISBLANK(A2013)),VLOOKUP(A2013,'BBT3'!A:F,2,0),"")</f>
        <v/>
      </c>
      <c r="C2013" t="str">
        <f>IF(NOT(ISBLANK(A2013)),VLOOKUP(A2013,'BBT3'!A:F,3,0),"")</f>
        <v/>
      </c>
      <c r="D2013" s="5" t="str">
        <f>IF(NOT(ISBLANK(A2013)),VLOOKUP(A2013,'BBT3'!A:F,4,1),"")</f>
        <v/>
      </c>
      <c r="E2013" t="str">
        <f>IF(NOT(ISBLANK(A2013)),VLOOKUP(A2013,'BBT3'!A:F,5,0),"")</f>
        <v/>
      </c>
      <c r="F2013" t="str">
        <f>IF(NOT(ISBLANK(A2013)),VLOOKUP(A2013,'BBT3'!A:F,6,0),"")</f>
        <v/>
      </c>
      <c r="G2013" t="str">
        <f t="shared" si="232"/>
        <v/>
      </c>
      <c r="H2013" t="str">
        <f>IF(NOT(ISBLANK(A2013)),VLOOKUP(A2013,'Close - PriceSaver'!A:J,5,0),"")</f>
        <v/>
      </c>
      <c r="I2013" s="4" t="str" cm="1">
        <f t="array" ref="I2013">IF(NOT(ISBLANK(A2013)),((_xlfn.XLOOKUP(1,(_bbt3[[#All],[ID]]=A2013)*(_bbt3[[#All],[METRIC_NAME]]="YLD_YTM_ASK"),_bbt3[[#All],[METRIC_VALUE]])*0.5)+(_xlfn.XLOOKUP(1,(_bbt3[[#All],[ID]]=A2013)*(_bbt3[[#All],[METRIC_NAME]]="YLD_YTM_BID"),_bbt3[[#All],[METRIC_VALUE]])*0.5))/100,"")</f>
        <v/>
      </c>
      <c r="J2013">
        <f>IF(ISNA(VLOOKUP(A2013,'CloseDL - PriceSaverBBT3'!A:E,5,0)),0,VLOOKUP(A2013,'CloseDL - PriceSaverBBT3'!A:E,5,0))</f>
        <v>0</v>
      </c>
      <c r="K2013" s="7" t="str">
        <f t="shared" si="233"/>
        <v/>
      </c>
      <c r="L2013" s="20" t="e">
        <f>IF(Close[[#This Row],[CreatedBy]]="MARINER\SilverAdm",1,0)</f>
        <v>#VALUE!</v>
      </c>
      <c r="M2013" t="str">
        <f>IF(NOT(ISBLANK(A2013)),VLOOKUP(A2013,'Close - PriceSaver'!A:J,6,0),"")</f>
        <v/>
      </c>
    </row>
    <row r="2014" spans="2:13" x14ac:dyDescent="0.35">
      <c r="B2014" t="str">
        <f>IF(NOT(ISBLANK(A2014)),VLOOKUP(A2014,'BBT3'!A:F,2,0),"")</f>
        <v/>
      </c>
      <c r="C2014" t="str">
        <f>IF(NOT(ISBLANK(A2014)),VLOOKUP(A2014,'BBT3'!A:F,3,0),"")</f>
        <v/>
      </c>
      <c r="D2014" s="5" t="str">
        <f>IF(NOT(ISBLANK(A2014)),VLOOKUP(A2014,'BBT3'!A:F,4,1),"")</f>
        <v/>
      </c>
      <c r="E2014" t="str">
        <f>IF(NOT(ISBLANK(A2014)),VLOOKUP(A2014,'BBT3'!A:F,5,0),"")</f>
        <v/>
      </c>
      <c r="F2014" t="str">
        <f>IF(NOT(ISBLANK(A2014)),VLOOKUP(A2014,'BBT3'!A:F,6,0),"")</f>
        <v/>
      </c>
      <c r="G2014" t="str">
        <f t="shared" si="232"/>
        <v/>
      </c>
      <c r="H2014" t="str">
        <f>IF(NOT(ISBLANK(A2014)),VLOOKUP(A2014,'Close - PriceSaver'!A:J,5,0),"")</f>
        <v/>
      </c>
      <c r="I2014" s="4" t="str" cm="1">
        <f t="array" ref="I2014">IF(NOT(ISBLANK(A2014)),((_xlfn.XLOOKUP(1,(_bbt3[[#All],[ID]]=A2014)*(_bbt3[[#All],[METRIC_NAME]]="YLD_YTM_ASK"),_bbt3[[#All],[METRIC_VALUE]])*0.5)+(_xlfn.XLOOKUP(1,(_bbt3[[#All],[ID]]=A2014)*(_bbt3[[#All],[METRIC_NAME]]="YLD_YTM_BID"),_bbt3[[#All],[METRIC_VALUE]])*0.5))/100,"")</f>
        <v/>
      </c>
      <c r="J2014">
        <f>IF(ISNA(VLOOKUP(A2014,'CloseDL - PriceSaverBBT3'!A:E,5,0)),0,VLOOKUP(A2014,'CloseDL - PriceSaverBBT3'!A:E,5,0))</f>
        <v>0</v>
      </c>
      <c r="K2014" s="7" t="str">
        <f t="shared" si="233"/>
        <v/>
      </c>
      <c r="L2014" s="20" t="e">
        <f>IF(Close[[#This Row],[CreatedBy]]="MARINER\SilverAdm",1,0)</f>
        <v>#VALUE!</v>
      </c>
      <c r="M2014" t="str">
        <f>IF(NOT(ISBLANK(A2014)),VLOOKUP(A2014,'Close - PriceSaver'!A:J,6,0),"")</f>
        <v/>
      </c>
    </row>
    <row r="2015" spans="2:13" x14ac:dyDescent="0.35">
      <c r="B2015" t="str">
        <f>IF(NOT(ISBLANK(A2015)),VLOOKUP(A2015,'BBT3'!A:F,2,0),"")</f>
        <v/>
      </c>
      <c r="C2015" t="str">
        <f>IF(NOT(ISBLANK(A2015)),VLOOKUP(A2015,'BBT3'!A:F,3,0),"")</f>
        <v/>
      </c>
      <c r="D2015" s="5" t="str">
        <f>IF(NOT(ISBLANK(A2015)),VLOOKUP(A2015,'BBT3'!A:F,4,1),"")</f>
        <v/>
      </c>
      <c r="E2015" t="str">
        <f>IF(NOT(ISBLANK(A2015)),VLOOKUP(A2015,'BBT3'!A:F,5,0),"")</f>
        <v/>
      </c>
      <c r="F2015" t="str">
        <f>IF(NOT(ISBLANK(A2015)),VLOOKUP(A2015,'BBT3'!A:F,6,0),"")</f>
        <v/>
      </c>
      <c r="G2015" t="str">
        <f t="shared" si="232"/>
        <v/>
      </c>
      <c r="H2015" t="str">
        <f>IF(NOT(ISBLANK(A2015)),VLOOKUP(A2015,'Close - PriceSaver'!A:J,5,0),"")</f>
        <v/>
      </c>
      <c r="I2015" s="4" t="str" cm="1">
        <f t="array" ref="I2015">IF(NOT(ISBLANK(A2015)),((_xlfn.XLOOKUP(1,(_bbt3[[#All],[ID]]=A2015)*(_bbt3[[#All],[METRIC_NAME]]="YLD_YTM_ASK"),_bbt3[[#All],[METRIC_VALUE]])*0.5)+(_xlfn.XLOOKUP(1,(_bbt3[[#All],[ID]]=A2015)*(_bbt3[[#All],[METRIC_NAME]]="YLD_YTM_BID"),_bbt3[[#All],[METRIC_VALUE]])*0.5))/100,"")</f>
        <v/>
      </c>
      <c r="J2015">
        <f>IF(ISNA(VLOOKUP(A2015,'CloseDL - PriceSaverBBT3'!A:E,5,0)),0,VLOOKUP(A2015,'CloseDL - PriceSaverBBT3'!A:E,5,0))</f>
        <v>0</v>
      </c>
      <c r="K2015" s="7" t="str">
        <f t="shared" si="233"/>
        <v/>
      </c>
      <c r="L2015" s="20" t="e">
        <f>IF(Close[[#This Row],[CreatedBy]]="MARINER\SilverAdm",1,0)</f>
        <v>#VALUE!</v>
      </c>
      <c r="M2015" t="str">
        <f>IF(NOT(ISBLANK(A2015)),VLOOKUP(A2015,'Close - PriceSaver'!A:J,6,0),"")</f>
        <v/>
      </c>
    </row>
    <row r="2016" spans="2:13" x14ac:dyDescent="0.35">
      <c r="B2016" t="str">
        <f>IF(NOT(ISBLANK(A2016)),VLOOKUP(A2016,'BBT3'!A:F,2,0),"")</f>
        <v/>
      </c>
      <c r="C2016" t="str">
        <f>IF(NOT(ISBLANK(A2016)),VLOOKUP(A2016,'BBT3'!A:F,3,0),"")</f>
        <v/>
      </c>
      <c r="D2016" s="5" t="str">
        <f>IF(NOT(ISBLANK(A2016)),VLOOKUP(A2016,'BBT3'!A:F,4,1),"")</f>
        <v/>
      </c>
      <c r="E2016" t="str">
        <f>IF(NOT(ISBLANK(A2016)),VLOOKUP(A2016,'BBT3'!A:F,5,0),"")</f>
        <v/>
      </c>
      <c r="F2016" t="str">
        <f>IF(NOT(ISBLANK(A2016)),VLOOKUP(A2016,'BBT3'!A:F,6,0),"")</f>
        <v/>
      </c>
      <c r="G2016" t="str">
        <f t="shared" si="232"/>
        <v/>
      </c>
      <c r="H2016" t="str">
        <f>IF(NOT(ISBLANK(A2016)),VLOOKUP(A2016,'Close - PriceSaver'!A:J,5,0),"")</f>
        <v/>
      </c>
      <c r="I2016" s="4" t="str" cm="1">
        <f t="array" ref="I2016">IF(NOT(ISBLANK(A2016)),((_xlfn.XLOOKUP(1,(_bbt3[[#All],[ID]]=A2016)*(_bbt3[[#All],[METRIC_NAME]]="YLD_YTM_ASK"),_bbt3[[#All],[METRIC_VALUE]])*0.5)+(_xlfn.XLOOKUP(1,(_bbt3[[#All],[ID]]=A2016)*(_bbt3[[#All],[METRIC_NAME]]="YLD_YTM_BID"),_bbt3[[#All],[METRIC_VALUE]])*0.5))/100,"")</f>
        <v/>
      </c>
      <c r="J2016">
        <f>IF(ISNA(VLOOKUP(A2016,'CloseDL - PriceSaverBBT3'!A:E,5,0)),0,VLOOKUP(A2016,'CloseDL - PriceSaverBBT3'!A:E,5,0))</f>
        <v>0</v>
      </c>
      <c r="K2016" s="7" t="str">
        <f t="shared" si="233"/>
        <v/>
      </c>
      <c r="L2016" s="20" t="e">
        <f>IF(Close[[#This Row],[CreatedBy]]="MARINER\SilverAdm",1,0)</f>
        <v>#VALUE!</v>
      </c>
      <c r="M2016" t="str">
        <f>IF(NOT(ISBLANK(A2016)),VLOOKUP(A2016,'Close - PriceSaver'!A:J,6,0),"")</f>
        <v/>
      </c>
    </row>
    <row r="2017" spans="2:13" x14ac:dyDescent="0.35">
      <c r="B2017" t="str">
        <f>IF(NOT(ISBLANK(A2017)),VLOOKUP(A2017,'BBT3'!A:F,2,0),"")</f>
        <v/>
      </c>
      <c r="C2017" t="str">
        <f>IF(NOT(ISBLANK(A2017)),VLOOKUP(A2017,'BBT3'!A:F,3,0),"")</f>
        <v/>
      </c>
      <c r="D2017" s="5" t="str">
        <f>IF(NOT(ISBLANK(A2017)),VLOOKUP(A2017,'BBT3'!A:F,4,1),"")</f>
        <v/>
      </c>
      <c r="E2017" t="str">
        <f>IF(NOT(ISBLANK(A2017)),VLOOKUP(A2017,'BBT3'!A:F,5,0),"")</f>
        <v/>
      </c>
      <c r="F2017" t="str">
        <f>IF(NOT(ISBLANK(A2017)),VLOOKUP(A2017,'BBT3'!A:F,6,0),"")</f>
        <v/>
      </c>
      <c r="G2017" t="str">
        <f t="shared" si="232"/>
        <v/>
      </c>
      <c r="H2017" t="str">
        <f>IF(NOT(ISBLANK(A2017)),VLOOKUP(A2017,'Close - PriceSaver'!A:J,5,0),"")</f>
        <v/>
      </c>
      <c r="I2017" s="4" t="str" cm="1">
        <f t="array" ref="I2017">IF(NOT(ISBLANK(A2017)),((_xlfn.XLOOKUP(1,(_bbt3[[#All],[ID]]=A2017)*(_bbt3[[#All],[METRIC_NAME]]="YLD_YTM_ASK"),_bbt3[[#All],[METRIC_VALUE]])*0.5)+(_xlfn.XLOOKUP(1,(_bbt3[[#All],[ID]]=A2017)*(_bbt3[[#All],[METRIC_NAME]]="YLD_YTM_BID"),_bbt3[[#All],[METRIC_VALUE]])*0.5))/100,"")</f>
        <v/>
      </c>
      <c r="J2017">
        <f>IF(ISNA(VLOOKUP(A2017,'CloseDL - PriceSaverBBT3'!A:E,5,0)),0,VLOOKUP(A2017,'CloseDL - PriceSaverBBT3'!A:E,5,0))</f>
        <v>0</v>
      </c>
      <c r="K2017" s="7" t="str">
        <f t="shared" si="233"/>
        <v/>
      </c>
      <c r="L2017" s="20" t="e">
        <f>IF(Close[[#This Row],[CreatedBy]]="MARINER\SilverAdm",1,0)</f>
        <v>#VALUE!</v>
      </c>
      <c r="M2017" t="str">
        <f>IF(NOT(ISBLANK(A2017)),VLOOKUP(A2017,'Close - PriceSaver'!A:J,6,0),"")</f>
        <v/>
      </c>
    </row>
    <row r="2018" spans="2:13" x14ac:dyDescent="0.35">
      <c r="B2018" t="str">
        <f>IF(NOT(ISBLANK(A2018)),VLOOKUP(A2018,'BBT3'!A:F,2,0),"")</f>
        <v/>
      </c>
      <c r="C2018" t="str">
        <f>IF(NOT(ISBLANK(A2018)),VLOOKUP(A2018,'BBT3'!A:F,3,0),"")</f>
        <v/>
      </c>
      <c r="D2018" s="5" t="str">
        <f>IF(NOT(ISBLANK(A2018)),VLOOKUP(A2018,'BBT3'!A:F,4,1),"")</f>
        <v/>
      </c>
      <c r="E2018" t="str">
        <f>IF(NOT(ISBLANK(A2018)),VLOOKUP(A2018,'BBT3'!A:F,5,0),"")</f>
        <v/>
      </c>
      <c r="F2018" t="str">
        <f>IF(NOT(ISBLANK(A2018)),VLOOKUP(A2018,'BBT3'!A:F,6,0),"")</f>
        <v/>
      </c>
      <c r="G2018" t="str">
        <f t="shared" si="232"/>
        <v/>
      </c>
      <c r="H2018" t="str">
        <f>IF(NOT(ISBLANK(A2018)),VLOOKUP(A2018,'Close - PriceSaver'!A:J,5,0),"")</f>
        <v/>
      </c>
      <c r="I2018" s="4" t="str" cm="1">
        <f t="array" ref="I2018">IF(NOT(ISBLANK(A2018)),((_xlfn.XLOOKUP(1,(_bbt3[[#All],[ID]]=A2018)*(_bbt3[[#All],[METRIC_NAME]]="YLD_YTM_ASK"),_bbt3[[#All],[METRIC_VALUE]])*0.5)+(_xlfn.XLOOKUP(1,(_bbt3[[#All],[ID]]=A2018)*(_bbt3[[#All],[METRIC_NAME]]="YLD_YTM_BID"),_bbt3[[#All],[METRIC_VALUE]])*0.5))/100,"")</f>
        <v/>
      </c>
      <c r="J2018">
        <f>IF(ISNA(VLOOKUP(A2018,'CloseDL - PriceSaverBBT3'!A:E,5,0)),0,VLOOKUP(A2018,'CloseDL - PriceSaverBBT3'!A:E,5,0))</f>
        <v>0</v>
      </c>
      <c r="K2018" s="7" t="str">
        <f t="shared" si="233"/>
        <v/>
      </c>
      <c r="L2018" s="20" t="e">
        <f>IF(Close[[#This Row],[CreatedBy]]="MARINER\SilverAdm",1,0)</f>
        <v>#VALUE!</v>
      </c>
      <c r="M2018" t="str">
        <f>IF(NOT(ISBLANK(A2018)),VLOOKUP(A2018,'Close - PriceSaver'!A:J,6,0),"")</f>
        <v/>
      </c>
    </row>
    <row r="2019" spans="2:13" x14ac:dyDescent="0.35">
      <c r="B2019" t="str">
        <f>IF(NOT(ISBLANK(A2019)),VLOOKUP(A2019,'BBT3'!A:F,2,0),"")</f>
        <v/>
      </c>
      <c r="C2019" t="str">
        <f>IF(NOT(ISBLANK(A2019)),VLOOKUP(A2019,'BBT3'!A:F,3,0),"")</f>
        <v/>
      </c>
      <c r="D2019" s="5" t="str">
        <f>IF(NOT(ISBLANK(A2019)),VLOOKUP(A2019,'BBT3'!A:F,4,1),"")</f>
        <v/>
      </c>
      <c r="E2019" t="str">
        <f>IF(NOT(ISBLANK(A2019)),VLOOKUP(A2019,'BBT3'!A:F,5,0),"")</f>
        <v/>
      </c>
      <c r="F2019" t="str">
        <f>IF(NOT(ISBLANK(A2019)),VLOOKUP(A2019,'BBT3'!A:F,6,0),"")</f>
        <v/>
      </c>
      <c r="G2019" t="str">
        <f t="shared" si="232"/>
        <v/>
      </c>
      <c r="H2019" t="str">
        <f>IF(NOT(ISBLANK(A2019)),VLOOKUP(A2019,'Close - PriceSaver'!A:J,5,0),"")</f>
        <v/>
      </c>
      <c r="I2019" s="4" t="str" cm="1">
        <f t="array" ref="I2019">IF(NOT(ISBLANK(A2019)),((_xlfn.XLOOKUP(1,(_bbt3[[#All],[ID]]=A2019)*(_bbt3[[#All],[METRIC_NAME]]="YLD_YTM_ASK"),_bbt3[[#All],[METRIC_VALUE]])*0.5)+(_xlfn.XLOOKUP(1,(_bbt3[[#All],[ID]]=A2019)*(_bbt3[[#All],[METRIC_NAME]]="YLD_YTM_BID"),_bbt3[[#All],[METRIC_VALUE]])*0.5))/100,"")</f>
        <v/>
      </c>
      <c r="J2019">
        <f>IF(ISNA(VLOOKUP(A2019,'CloseDL - PriceSaverBBT3'!A:E,5,0)),0,VLOOKUP(A2019,'CloseDL - PriceSaverBBT3'!A:E,5,0))</f>
        <v>0</v>
      </c>
      <c r="K2019" s="7" t="str">
        <f t="shared" si="233"/>
        <v/>
      </c>
      <c r="L2019" s="20" t="e">
        <f>IF(Close[[#This Row],[CreatedBy]]="MARINER\SilverAdm",1,0)</f>
        <v>#VALUE!</v>
      </c>
      <c r="M2019" t="str">
        <f>IF(NOT(ISBLANK(A2019)),VLOOKUP(A2019,'Close - PriceSaver'!A:J,6,0),"")</f>
        <v/>
      </c>
    </row>
    <row r="2020" spans="2:13" x14ac:dyDescent="0.35">
      <c r="B2020" t="str">
        <f>IF(NOT(ISBLANK(A2020)),VLOOKUP(A2020,'BBT3'!A:F,2,0),"")</f>
        <v/>
      </c>
      <c r="C2020" t="str">
        <f>IF(NOT(ISBLANK(A2020)),VLOOKUP(A2020,'BBT3'!A:F,3,0),"")</f>
        <v/>
      </c>
      <c r="D2020" s="5" t="str">
        <f>IF(NOT(ISBLANK(A2020)),VLOOKUP(A2020,'BBT3'!A:F,4,1),"")</f>
        <v/>
      </c>
      <c r="E2020" t="str">
        <f>IF(NOT(ISBLANK(A2020)),VLOOKUP(A2020,'BBT3'!A:F,5,0),"")</f>
        <v/>
      </c>
      <c r="F2020" t="str">
        <f>IF(NOT(ISBLANK(A2020)),VLOOKUP(A2020,'BBT3'!A:F,6,0),"")</f>
        <v/>
      </c>
      <c r="G2020" t="str">
        <f t="shared" si="232"/>
        <v/>
      </c>
      <c r="H2020" t="str">
        <f>IF(NOT(ISBLANK(A2020)),VLOOKUP(A2020,'Close - PriceSaver'!A:J,5,0),"")</f>
        <v/>
      </c>
      <c r="I2020" s="4" t="str" cm="1">
        <f t="array" ref="I2020">IF(NOT(ISBLANK(A2020)),((_xlfn.XLOOKUP(1,(_bbt3[[#All],[ID]]=A2020)*(_bbt3[[#All],[METRIC_NAME]]="YLD_YTM_ASK"),_bbt3[[#All],[METRIC_VALUE]])*0.5)+(_xlfn.XLOOKUP(1,(_bbt3[[#All],[ID]]=A2020)*(_bbt3[[#All],[METRIC_NAME]]="YLD_YTM_BID"),_bbt3[[#All],[METRIC_VALUE]])*0.5))/100,"")</f>
        <v/>
      </c>
      <c r="J2020">
        <f>IF(ISNA(VLOOKUP(A2020,'CloseDL - PriceSaverBBT3'!A:E,5,0)),0,VLOOKUP(A2020,'CloseDL - PriceSaverBBT3'!A:E,5,0))</f>
        <v>0</v>
      </c>
      <c r="K2020" s="7" t="str">
        <f t="shared" si="233"/>
        <v/>
      </c>
      <c r="L2020" s="20" t="e">
        <f>IF(Close[[#This Row],[CreatedBy]]="MARINER\SilverAdm",1,0)</f>
        <v>#VALUE!</v>
      </c>
      <c r="M2020" t="str">
        <f>IF(NOT(ISBLANK(A2020)),VLOOKUP(A2020,'Close - PriceSaver'!A:J,6,0),"")</f>
        <v/>
      </c>
    </row>
    <row r="2021" spans="2:13" x14ac:dyDescent="0.35">
      <c r="B2021" t="str">
        <f>IF(NOT(ISBLANK(A2021)),VLOOKUP(A2021,'BBT3'!A:F,2,0),"")</f>
        <v/>
      </c>
      <c r="C2021" t="str">
        <f>IF(NOT(ISBLANK(A2021)),VLOOKUP(A2021,'BBT3'!A:F,3,0),"")</f>
        <v/>
      </c>
      <c r="D2021" s="5" t="str">
        <f>IF(NOT(ISBLANK(A2021)),VLOOKUP(A2021,'BBT3'!A:F,4,1),"")</f>
        <v/>
      </c>
      <c r="E2021" t="str">
        <f>IF(NOT(ISBLANK(A2021)),VLOOKUP(A2021,'BBT3'!A:F,5,0),"")</f>
        <v/>
      </c>
      <c r="F2021" t="str">
        <f>IF(NOT(ISBLANK(A2021)),VLOOKUP(A2021,'BBT3'!A:F,6,0),"")</f>
        <v/>
      </c>
      <c r="G2021" t="str">
        <f t="shared" si="232"/>
        <v/>
      </c>
      <c r="H2021" t="str">
        <f>IF(NOT(ISBLANK(A2021)),VLOOKUP(A2021,'Close - PriceSaver'!A:J,5,0),"")</f>
        <v/>
      </c>
      <c r="I2021" s="4" t="str" cm="1">
        <f t="array" ref="I2021">IF(NOT(ISBLANK(A2021)),((_xlfn.XLOOKUP(1,(_bbt3[[#All],[ID]]=A2021)*(_bbt3[[#All],[METRIC_NAME]]="YLD_YTM_ASK"),_bbt3[[#All],[METRIC_VALUE]])*0.5)+(_xlfn.XLOOKUP(1,(_bbt3[[#All],[ID]]=A2021)*(_bbt3[[#All],[METRIC_NAME]]="YLD_YTM_BID"),_bbt3[[#All],[METRIC_VALUE]])*0.5))/100,"")</f>
        <v/>
      </c>
      <c r="J2021">
        <f>IF(ISNA(VLOOKUP(A2021,'CloseDL - PriceSaverBBT3'!A:E,5,0)),0,VLOOKUP(A2021,'CloseDL - PriceSaverBBT3'!A:E,5,0))</f>
        <v>0</v>
      </c>
      <c r="K2021" s="7" t="str">
        <f t="shared" si="233"/>
        <v/>
      </c>
      <c r="L2021" s="20" t="e">
        <f>IF(Close[[#This Row],[CreatedBy]]="MARINER\SilverAdm",1,0)</f>
        <v>#VALUE!</v>
      </c>
      <c r="M2021" t="str">
        <f>IF(NOT(ISBLANK(A2021)),VLOOKUP(A2021,'Close - PriceSaver'!A:J,6,0),"")</f>
        <v/>
      </c>
    </row>
    <row r="2022" spans="2:13" x14ac:dyDescent="0.35">
      <c r="B2022" t="str">
        <f>IF(NOT(ISBLANK(A2022)),VLOOKUP(A2022,'BBT3'!A:F,2,0),"")</f>
        <v/>
      </c>
      <c r="C2022" t="str">
        <f>IF(NOT(ISBLANK(A2022)),VLOOKUP(A2022,'BBT3'!A:F,3,0),"")</f>
        <v/>
      </c>
      <c r="D2022" s="5" t="str">
        <f>IF(NOT(ISBLANK(A2022)),VLOOKUP(A2022,'BBT3'!A:F,4,1),"")</f>
        <v/>
      </c>
      <c r="E2022" t="str">
        <f>IF(NOT(ISBLANK(A2022)),VLOOKUP(A2022,'BBT3'!A:F,5,0),"")</f>
        <v/>
      </c>
      <c r="F2022" t="str">
        <f>IF(NOT(ISBLANK(A2022)),VLOOKUP(A2022,'BBT3'!A:F,6,0),"")</f>
        <v/>
      </c>
      <c r="G2022" t="str">
        <f t="shared" si="232"/>
        <v/>
      </c>
      <c r="H2022" t="str">
        <f>IF(NOT(ISBLANK(A2022)),VLOOKUP(A2022,'Close - PriceSaver'!A:J,5,0),"")</f>
        <v/>
      </c>
      <c r="I2022" s="4" t="str" cm="1">
        <f t="array" ref="I2022">IF(NOT(ISBLANK(A2022)),((_xlfn.XLOOKUP(1,(_bbt3[[#All],[ID]]=A2022)*(_bbt3[[#All],[METRIC_NAME]]="YLD_YTM_ASK"),_bbt3[[#All],[METRIC_VALUE]])*0.5)+(_xlfn.XLOOKUP(1,(_bbt3[[#All],[ID]]=A2022)*(_bbt3[[#All],[METRIC_NAME]]="YLD_YTM_BID"),_bbt3[[#All],[METRIC_VALUE]])*0.5))/100,"")</f>
        <v/>
      </c>
      <c r="J2022">
        <f>IF(ISNA(VLOOKUP(A2022,'CloseDL - PriceSaverBBT3'!A:E,5,0)),0,VLOOKUP(A2022,'CloseDL - PriceSaverBBT3'!A:E,5,0))</f>
        <v>0</v>
      </c>
      <c r="K2022" s="7" t="str">
        <f t="shared" si="233"/>
        <v/>
      </c>
      <c r="L2022" s="20" t="e">
        <f>IF(Close[[#This Row],[CreatedBy]]="MARINER\SilverAdm",1,0)</f>
        <v>#VALUE!</v>
      </c>
      <c r="M2022" t="str">
        <f>IF(NOT(ISBLANK(A2022)),VLOOKUP(A2022,'Close - PriceSaver'!A:J,6,0),"")</f>
        <v/>
      </c>
    </row>
    <row r="2023" spans="2:13" x14ac:dyDescent="0.35">
      <c r="B2023" t="str">
        <f>IF(NOT(ISBLANK(A2023)),VLOOKUP(A2023,'BBT3'!A:F,2,0),"")</f>
        <v/>
      </c>
      <c r="C2023" t="str">
        <f>IF(NOT(ISBLANK(A2023)),VLOOKUP(A2023,'BBT3'!A:F,3,0),"")</f>
        <v/>
      </c>
      <c r="D2023" s="5" t="str">
        <f>IF(NOT(ISBLANK(A2023)),VLOOKUP(A2023,'BBT3'!A:F,4,1),"")</f>
        <v/>
      </c>
      <c r="E2023" t="str">
        <f>IF(NOT(ISBLANK(A2023)),VLOOKUP(A2023,'BBT3'!A:F,5,0),"")</f>
        <v/>
      </c>
      <c r="F2023" t="str">
        <f>IF(NOT(ISBLANK(A2023)),VLOOKUP(A2023,'BBT3'!A:F,6,0),"")</f>
        <v/>
      </c>
      <c r="G2023" t="str">
        <f t="shared" si="232"/>
        <v/>
      </c>
      <c r="H2023" t="str">
        <f>IF(NOT(ISBLANK(A2023)),VLOOKUP(A2023,'Close - PriceSaver'!A:J,5,0),"")</f>
        <v/>
      </c>
      <c r="I2023" s="4" t="str" cm="1">
        <f t="array" ref="I2023">IF(NOT(ISBLANK(A2023)),((_xlfn.XLOOKUP(1,(_bbt3[[#All],[ID]]=A2023)*(_bbt3[[#All],[METRIC_NAME]]="YLD_YTM_ASK"),_bbt3[[#All],[METRIC_VALUE]])*0.5)+(_xlfn.XLOOKUP(1,(_bbt3[[#All],[ID]]=A2023)*(_bbt3[[#All],[METRIC_NAME]]="YLD_YTM_BID"),_bbt3[[#All],[METRIC_VALUE]])*0.5))/100,"")</f>
        <v/>
      </c>
      <c r="J2023">
        <f>IF(ISNA(VLOOKUP(A2023,'CloseDL - PriceSaverBBT3'!A:E,5,0)),0,VLOOKUP(A2023,'CloseDL - PriceSaverBBT3'!A:E,5,0))</f>
        <v>0</v>
      </c>
      <c r="K2023" s="7" t="str">
        <f t="shared" si="233"/>
        <v/>
      </c>
      <c r="L2023" s="20" t="e">
        <f>IF(Close[[#This Row],[CreatedBy]]="MARINER\SilverAdm",1,0)</f>
        <v>#VALUE!</v>
      </c>
      <c r="M2023" t="str">
        <f>IF(NOT(ISBLANK(A2023)),VLOOKUP(A2023,'Close - PriceSaver'!A:J,6,0),"")</f>
        <v/>
      </c>
    </row>
    <row r="2024" spans="2:13" x14ac:dyDescent="0.35">
      <c r="B2024" t="str">
        <f>IF(NOT(ISBLANK(A2024)),VLOOKUP(A2024,'BBT3'!A:F,2,0),"")</f>
        <v/>
      </c>
      <c r="C2024" t="str">
        <f>IF(NOT(ISBLANK(A2024)),VLOOKUP(A2024,'BBT3'!A:F,3,0),"")</f>
        <v/>
      </c>
      <c r="D2024" s="5" t="str">
        <f>IF(NOT(ISBLANK(A2024)),VLOOKUP(A2024,'BBT3'!A:F,4,1),"")</f>
        <v/>
      </c>
      <c r="E2024" t="str">
        <f>IF(NOT(ISBLANK(A2024)),VLOOKUP(A2024,'BBT3'!A:F,5,0),"")</f>
        <v/>
      </c>
      <c r="F2024" t="str">
        <f>IF(NOT(ISBLANK(A2024)),VLOOKUP(A2024,'BBT3'!A:F,6,0),"")</f>
        <v/>
      </c>
      <c r="G2024" t="str">
        <f t="shared" si="232"/>
        <v/>
      </c>
      <c r="H2024" t="str">
        <f>IF(NOT(ISBLANK(A2024)),VLOOKUP(A2024,'Close - PriceSaver'!A:J,5,0),"")</f>
        <v/>
      </c>
      <c r="I2024" s="4" t="str" cm="1">
        <f t="array" ref="I2024">IF(NOT(ISBLANK(A2024)),((_xlfn.XLOOKUP(1,(_bbt3[[#All],[ID]]=A2024)*(_bbt3[[#All],[METRIC_NAME]]="YLD_YTM_ASK"),_bbt3[[#All],[METRIC_VALUE]])*0.5)+(_xlfn.XLOOKUP(1,(_bbt3[[#All],[ID]]=A2024)*(_bbt3[[#All],[METRIC_NAME]]="YLD_YTM_BID"),_bbt3[[#All],[METRIC_VALUE]])*0.5))/100,"")</f>
        <v/>
      </c>
      <c r="J2024">
        <f>IF(ISNA(VLOOKUP(A2024,'CloseDL - PriceSaverBBT3'!A:E,5,0)),0,VLOOKUP(A2024,'CloseDL - PriceSaverBBT3'!A:E,5,0))</f>
        <v>0</v>
      </c>
      <c r="K2024" s="7" t="str">
        <f t="shared" si="233"/>
        <v/>
      </c>
      <c r="L2024" s="20" t="e">
        <f>IF(Close[[#This Row],[CreatedBy]]="MARINER\SilverAdm",1,0)</f>
        <v>#VALUE!</v>
      </c>
      <c r="M2024" t="str">
        <f>IF(NOT(ISBLANK(A2024)),VLOOKUP(A2024,'Close - PriceSaver'!A:J,6,0),"")</f>
        <v/>
      </c>
    </row>
    <row r="2025" spans="2:13" x14ac:dyDescent="0.35">
      <c r="B2025" t="str">
        <f>IF(NOT(ISBLANK(A2025)),VLOOKUP(A2025,'BBT3'!A:F,2,0),"")</f>
        <v/>
      </c>
      <c r="C2025" t="str">
        <f>IF(NOT(ISBLANK(A2025)),VLOOKUP(A2025,'BBT3'!A:F,3,0),"")</f>
        <v/>
      </c>
      <c r="D2025" s="5" t="str">
        <f>IF(NOT(ISBLANK(A2025)),VLOOKUP(A2025,'BBT3'!A:F,4,1),"")</f>
        <v/>
      </c>
      <c r="E2025" t="str">
        <f>IF(NOT(ISBLANK(A2025)),VLOOKUP(A2025,'BBT3'!A:F,5,0),"")</f>
        <v/>
      </c>
      <c r="F2025" t="str">
        <f>IF(NOT(ISBLANK(A2025)),VLOOKUP(A2025,'BBT3'!A:F,6,0),"")</f>
        <v/>
      </c>
      <c r="G2025" t="str">
        <f t="shared" si="232"/>
        <v/>
      </c>
      <c r="H2025" t="str">
        <f>IF(NOT(ISBLANK(A2025)),VLOOKUP(A2025,'Close - PriceSaver'!A:J,5,0),"")</f>
        <v/>
      </c>
      <c r="I2025" s="4" t="str" cm="1">
        <f t="array" ref="I2025">IF(NOT(ISBLANK(A2025)),((_xlfn.XLOOKUP(1,(_bbt3[[#All],[ID]]=A2025)*(_bbt3[[#All],[METRIC_NAME]]="YLD_YTM_ASK"),_bbt3[[#All],[METRIC_VALUE]])*0.5)+(_xlfn.XLOOKUP(1,(_bbt3[[#All],[ID]]=A2025)*(_bbt3[[#All],[METRIC_NAME]]="YLD_YTM_BID"),_bbt3[[#All],[METRIC_VALUE]])*0.5))/100,"")</f>
        <v/>
      </c>
      <c r="J2025">
        <f>IF(ISNA(VLOOKUP(A2025,'CloseDL - PriceSaverBBT3'!A:E,5,0)),0,VLOOKUP(A2025,'CloseDL - PriceSaverBBT3'!A:E,5,0))</f>
        <v>0</v>
      </c>
      <c r="K2025" s="7" t="str">
        <f t="shared" si="233"/>
        <v/>
      </c>
      <c r="L2025" s="20" t="e">
        <f>IF(Close[[#This Row],[CreatedBy]]="MARINER\SilverAdm",1,0)</f>
        <v>#VALUE!</v>
      </c>
      <c r="M2025" t="str">
        <f>IF(NOT(ISBLANK(A2025)),VLOOKUP(A2025,'Close - PriceSaver'!A:J,6,0),"")</f>
        <v/>
      </c>
    </row>
    <row r="2026" spans="2:13" x14ac:dyDescent="0.35">
      <c r="B2026" t="str">
        <f>IF(NOT(ISBLANK(A2026)),VLOOKUP(A2026,'BBT3'!A:F,2,0),"")</f>
        <v/>
      </c>
      <c r="C2026" t="str">
        <f>IF(NOT(ISBLANK(A2026)),VLOOKUP(A2026,'BBT3'!A:F,3,0),"")</f>
        <v/>
      </c>
      <c r="D2026" s="5" t="str">
        <f>IF(NOT(ISBLANK(A2026)),VLOOKUP(A2026,'BBT3'!A:F,4,1),"")</f>
        <v/>
      </c>
      <c r="E2026" t="str">
        <f>IF(NOT(ISBLANK(A2026)),VLOOKUP(A2026,'BBT3'!A:F,5,0),"")</f>
        <v/>
      </c>
      <c r="F2026" t="str">
        <f>IF(NOT(ISBLANK(A2026)),VLOOKUP(A2026,'BBT3'!A:F,6,0),"")</f>
        <v/>
      </c>
      <c r="G2026" t="str">
        <f t="shared" si="232"/>
        <v/>
      </c>
      <c r="H2026" t="str">
        <f>IF(NOT(ISBLANK(A2026)),VLOOKUP(A2026,'Close - PriceSaver'!A:J,5,0),"")</f>
        <v/>
      </c>
      <c r="I2026" s="4" t="str" cm="1">
        <f t="array" ref="I2026">IF(NOT(ISBLANK(A2026)),((_xlfn.XLOOKUP(1,(_bbt3[[#All],[ID]]=A2026)*(_bbt3[[#All],[METRIC_NAME]]="YLD_YTM_ASK"),_bbt3[[#All],[METRIC_VALUE]])*0.5)+(_xlfn.XLOOKUP(1,(_bbt3[[#All],[ID]]=A2026)*(_bbt3[[#All],[METRIC_NAME]]="YLD_YTM_BID"),_bbt3[[#All],[METRIC_VALUE]])*0.5))/100,"")</f>
        <v/>
      </c>
      <c r="J2026">
        <f>IF(ISNA(VLOOKUP(A2026,'CloseDL - PriceSaverBBT3'!A:E,5,0)),0,VLOOKUP(A2026,'CloseDL - PriceSaverBBT3'!A:E,5,0))</f>
        <v>0</v>
      </c>
      <c r="K2026" s="7" t="str">
        <f t="shared" si="233"/>
        <v/>
      </c>
      <c r="L2026" s="20" t="e">
        <f>IF(Close[[#This Row],[CreatedBy]]="MARINER\SilverAdm",1,0)</f>
        <v>#VALUE!</v>
      </c>
      <c r="M2026" t="str">
        <f>IF(NOT(ISBLANK(A2026)),VLOOKUP(A2026,'Close - PriceSaver'!A:J,6,0),"")</f>
        <v/>
      </c>
    </row>
    <row r="2027" spans="2:13" x14ac:dyDescent="0.35">
      <c r="B2027" t="str">
        <f>IF(NOT(ISBLANK(A2027)),VLOOKUP(A2027,'BBT3'!A:F,2,0),"")</f>
        <v/>
      </c>
      <c r="C2027" t="str">
        <f>IF(NOT(ISBLANK(A2027)),VLOOKUP(A2027,'BBT3'!A:F,3,0),"")</f>
        <v/>
      </c>
      <c r="D2027" s="5" t="str">
        <f>IF(NOT(ISBLANK(A2027)),VLOOKUP(A2027,'BBT3'!A:F,4,1),"")</f>
        <v/>
      </c>
      <c r="E2027" t="str">
        <f>IF(NOT(ISBLANK(A2027)),VLOOKUP(A2027,'BBT3'!A:F,5,0),"")</f>
        <v/>
      </c>
      <c r="F2027" t="str">
        <f>IF(NOT(ISBLANK(A2027)),VLOOKUP(A2027,'BBT3'!A:F,6,0),"")</f>
        <v/>
      </c>
      <c r="G2027" t="str">
        <f t="shared" si="232"/>
        <v/>
      </c>
      <c r="H2027" t="str">
        <f>IF(NOT(ISBLANK(A2027)),VLOOKUP(A2027,'Close - PriceSaver'!A:J,5,0),"")</f>
        <v/>
      </c>
      <c r="I2027" s="4" t="str" cm="1">
        <f t="array" ref="I2027">IF(NOT(ISBLANK(A2027)),((_xlfn.XLOOKUP(1,(_bbt3[[#All],[ID]]=A2027)*(_bbt3[[#All],[METRIC_NAME]]="YLD_YTM_ASK"),_bbt3[[#All],[METRIC_VALUE]])*0.5)+(_xlfn.XLOOKUP(1,(_bbt3[[#All],[ID]]=A2027)*(_bbt3[[#All],[METRIC_NAME]]="YLD_YTM_BID"),_bbt3[[#All],[METRIC_VALUE]])*0.5))/100,"")</f>
        <v/>
      </c>
      <c r="J2027">
        <f>IF(ISNA(VLOOKUP(A2027,'CloseDL - PriceSaverBBT3'!A:E,5,0)),0,VLOOKUP(A2027,'CloseDL - PriceSaverBBT3'!A:E,5,0))</f>
        <v>0</v>
      </c>
      <c r="K2027" s="7" t="str">
        <f t="shared" si="233"/>
        <v/>
      </c>
      <c r="L2027" s="20" t="e">
        <f>IF(Close[[#This Row],[CreatedBy]]="MARINER\SilverAdm",1,0)</f>
        <v>#VALUE!</v>
      </c>
      <c r="M2027" t="str">
        <f>IF(NOT(ISBLANK(A2027)),VLOOKUP(A2027,'Close - PriceSaver'!A:J,6,0),"")</f>
        <v/>
      </c>
    </row>
    <row r="2028" spans="2:13" x14ac:dyDescent="0.35">
      <c r="B2028" t="str">
        <f>IF(NOT(ISBLANK(A2028)),VLOOKUP(A2028,'BBT3'!A:F,2,0),"")</f>
        <v/>
      </c>
      <c r="C2028" t="str">
        <f>IF(NOT(ISBLANK(A2028)),VLOOKUP(A2028,'BBT3'!A:F,3,0),"")</f>
        <v/>
      </c>
      <c r="D2028" s="5" t="str">
        <f>IF(NOT(ISBLANK(A2028)),VLOOKUP(A2028,'BBT3'!A:F,4,1),"")</f>
        <v/>
      </c>
      <c r="E2028" t="str">
        <f>IF(NOT(ISBLANK(A2028)),VLOOKUP(A2028,'BBT3'!A:F,5,0),"")</f>
        <v/>
      </c>
      <c r="F2028" t="str">
        <f>IF(NOT(ISBLANK(A2028)),VLOOKUP(A2028,'BBT3'!A:F,6,0),"")</f>
        <v/>
      </c>
      <c r="G2028" t="str">
        <f t="shared" si="232"/>
        <v/>
      </c>
      <c r="H2028" t="str">
        <f>IF(NOT(ISBLANK(A2028)),VLOOKUP(A2028,'Close - PriceSaver'!A:J,5,0),"")</f>
        <v/>
      </c>
      <c r="I2028" s="4" t="str" cm="1">
        <f t="array" ref="I2028">IF(NOT(ISBLANK(A2028)),((_xlfn.XLOOKUP(1,(_bbt3[[#All],[ID]]=A2028)*(_bbt3[[#All],[METRIC_NAME]]="YLD_YTM_ASK"),_bbt3[[#All],[METRIC_VALUE]])*0.5)+(_xlfn.XLOOKUP(1,(_bbt3[[#All],[ID]]=A2028)*(_bbt3[[#All],[METRIC_NAME]]="YLD_YTM_BID"),_bbt3[[#All],[METRIC_VALUE]])*0.5))/100,"")</f>
        <v/>
      </c>
      <c r="J2028">
        <f>IF(ISNA(VLOOKUP(A2028,'CloseDL - PriceSaverBBT3'!A:E,5,0)),0,VLOOKUP(A2028,'CloseDL - PriceSaverBBT3'!A:E,5,0))</f>
        <v>0</v>
      </c>
      <c r="K2028" s="7" t="str">
        <f t="shared" si="233"/>
        <v/>
      </c>
      <c r="L2028" s="20" t="e">
        <f>IF(Close[[#This Row],[CreatedBy]]="MARINER\SilverAdm",1,0)</f>
        <v>#VALUE!</v>
      </c>
      <c r="M2028" t="str">
        <f>IF(NOT(ISBLANK(A2028)),VLOOKUP(A2028,'Close - PriceSaver'!A:J,6,0),"")</f>
        <v/>
      </c>
    </row>
    <row r="2029" spans="2:13" x14ac:dyDescent="0.35">
      <c r="B2029" t="str">
        <f>IF(NOT(ISBLANK(A2029)),VLOOKUP(A2029,'BBT3'!A:F,2,0),"")</f>
        <v/>
      </c>
      <c r="C2029" t="str">
        <f>IF(NOT(ISBLANK(A2029)),VLOOKUP(A2029,'BBT3'!A:F,3,0),"")</f>
        <v/>
      </c>
      <c r="D2029" s="5" t="str">
        <f>IF(NOT(ISBLANK(A2029)),VLOOKUP(A2029,'BBT3'!A:F,4,1),"")</f>
        <v/>
      </c>
      <c r="E2029" t="str">
        <f>IF(NOT(ISBLANK(A2029)),VLOOKUP(A2029,'BBT3'!A:F,5,0),"")</f>
        <v/>
      </c>
      <c r="F2029" t="str">
        <f>IF(NOT(ISBLANK(A2029)),VLOOKUP(A2029,'BBT3'!A:F,6,0),"")</f>
        <v/>
      </c>
      <c r="G2029" t="str">
        <f t="shared" si="232"/>
        <v/>
      </c>
      <c r="H2029" t="str">
        <f>IF(NOT(ISBLANK(A2029)),VLOOKUP(A2029,'Close - PriceSaver'!A:J,5,0),"")</f>
        <v/>
      </c>
      <c r="I2029" s="4" t="str" cm="1">
        <f t="array" ref="I2029">IF(NOT(ISBLANK(A2029)),((_xlfn.XLOOKUP(1,(_bbt3[[#All],[ID]]=A2029)*(_bbt3[[#All],[METRIC_NAME]]="YLD_YTM_ASK"),_bbt3[[#All],[METRIC_VALUE]])*0.5)+(_xlfn.XLOOKUP(1,(_bbt3[[#All],[ID]]=A2029)*(_bbt3[[#All],[METRIC_NAME]]="YLD_YTM_BID"),_bbt3[[#All],[METRIC_VALUE]])*0.5))/100,"")</f>
        <v/>
      </c>
      <c r="J2029">
        <f>IF(ISNA(VLOOKUP(A2029,'CloseDL - PriceSaverBBT3'!A:E,5,0)),0,VLOOKUP(A2029,'CloseDL - PriceSaverBBT3'!A:E,5,0))</f>
        <v>0</v>
      </c>
      <c r="K2029" s="7" t="str">
        <f t="shared" si="233"/>
        <v/>
      </c>
      <c r="L2029" s="20" t="e">
        <f>IF(Close[[#This Row],[CreatedBy]]="MARINER\SilverAdm",1,0)</f>
        <v>#VALUE!</v>
      </c>
      <c r="M2029" t="str">
        <f>IF(NOT(ISBLANK(A2029)),VLOOKUP(A2029,'Close - PriceSaver'!A:J,6,0),"")</f>
        <v/>
      </c>
    </row>
    <row r="2030" spans="2:13" x14ac:dyDescent="0.35">
      <c r="B2030" t="str">
        <f>IF(NOT(ISBLANK(A2030)),VLOOKUP(A2030,'BBT3'!A:F,2,0),"")</f>
        <v/>
      </c>
      <c r="C2030" t="str">
        <f>IF(NOT(ISBLANK(A2030)),VLOOKUP(A2030,'BBT3'!A:F,3,0),"")</f>
        <v/>
      </c>
      <c r="D2030" s="5" t="str">
        <f>IF(NOT(ISBLANK(A2030)),VLOOKUP(A2030,'BBT3'!A:F,4,1),"")</f>
        <v/>
      </c>
      <c r="E2030" t="str">
        <f>IF(NOT(ISBLANK(A2030)),VLOOKUP(A2030,'BBT3'!A:F,5,0),"")</f>
        <v/>
      </c>
      <c r="F2030" t="str">
        <f>IF(NOT(ISBLANK(A2030)),VLOOKUP(A2030,'BBT3'!A:F,6,0),"")</f>
        <v/>
      </c>
      <c r="G2030" t="str">
        <f t="shared" si="232"/>
        <v/>
      </c>
      <c r="H2030" t="str">
        <f>IF(NOT(ISBLANK(A2030)),VLOOKUP(A2030,'Close - PriceSaver'!A:J,5,0),"")</f>
        <v/>
      </c>
      <c r="I2030" s="4" t="str" cm="1">
        <f t="array" ref="I2030">IF(NOT(ISBLANK(A2030)),((_xlfn.XLOOKUP(1,(_bbt3[[#All],[ID]]=A2030)*(_bbt3[[#All],[METRIC_NAME]]="YLD_YTM_ASK"),_bbt3[[#All],[METRIC_VALUE]])*0.5)+(_xlfn.XLOOKUP(1,(_bbt3[[#All],[ID]]=A2030)*(_bbt3[[#All],[METRIC_NAME]]="YLD_YTM_BID"),_bbt3[[#All],[METRIC_VALUE]])*0.5))/100,"")</f>
        <v/>
      </c>
      <c r="J2030">
        <f>IF(ISNA(VLOOKUP(A2030,'CloseDL - PriceSaverBBT3'!A:E,5,0)),0,VLOOKUP(A2030,'CloseDL - PriceSaverBBT3'!A:E,5,0))</f>
        <v>0</v>
      </c>
      <c r="K2030" s="7" t="str">
        <f t="shared" si="233"/>
        <v/>
      </c>
      <c r="L2030" s="20" t="e">
        <f>IF(Close[[#This Row],[CreatedBy]]="MARINER\SilverAdm",1,0)</f>
        <v>#VALUE!</v>
      </c>
      <c r="M2030" t="str">
        <f>IF(NOT(ISBLANK(A2030)),VLOOKUP(A2030,'Close - PriceSaver'!A:J,6,0),"")</f>
        <v/>
      </c>
    </row>
    <row r="2031" spans="2:13" x14ac:dyDescent="0.35">
      <c r="B2031" t="str">
        <f>IF(NOT(ISBLANK(A2031)),VLOOKUP(A2031,'BBT3'!A:F,2,0),"")</f>
        <v/>
      </c>
      <c r="C2031" t="str">
        <f>IF(NOT(ISBLANK(A2031)),VLOOKUP(A2031,'BBT3'!A:F,3,0),"")</f>
        <v/>
      </c>
      <c r="D2031" s="5" t="str">
        <f>IF(NOT(ISBLANK(A2031)),VLOOKUP(A2031,'BBT3'!A:F,4,1),"")</f>
        <v/>
      </c>
      <c r="E2031" t="str">
        <f>IF(NOT(ISBLANK(A2031)),VLOOKUP(A2031,'BBT3'!A:F,5,0),"")</f>
        <v/>
      </c>
      <c r="F2031" t="str">
        <f>IF(NOT(ISBLANK(A2031)),VLOOKUP(A2031,'BBT3'!A:F,6,0),"")</f>
        <v/>
      </c>
      <c r="G2031" t="str">
        <f t="shared" si="232"/>
        <v/>
      </c>
      <c r="H2031" t="str">
        <f>IF(NOT(ISBLANK(A2031)),VLOOKUP(A2031,'Close - PriceSaver'!A:J,5,0),"")</f>
        <v/>
      </c>
      <c r="I2031" s="4" t="str" cm="1">
        <f t="array" ref="I2031">IF(NOT(ISBLANK(A2031)),((_xlfn.XLOOKUP(1,(_bbt3[[#All],[ID]]=A2031)*(_bbt3[[#All],[METRIC_NAME]]="YLD_YTM_ASK"),_bbt3[[#All],[METRIC_VALUE]])*0.5)+(_xlfn.XLOOKUP(1,(_bbt3[[#All],[ID]]=A2031)*(_bbt3[[#All],[METRIC_NAME]]="YLD_YTM_BID"),_bbt3[[#All],[METRIC_VALUE]])*0.5))/100,"")</f>
        <v/>
      </c>
      <c r="J2031">
        <f>IF(ISNA(VLOOKUP(A2031,'CloseDL - PriceSaverBBT3'!A:E,5,0)),0,VLOOKUP(A2031,'CloseDL - PriceSaverBBT3'!A:E,5,0))</f>
        <v>0</v>
      </c>
      <c r="K2031" s="7" t="str">
        <f t="shared" si="233"/>
        <v/>
      </c>
      <c r="L2031" s="20" t="e">
        <f>IF(Close[[#This Row],[CreatedBy]]="MARINER\SilverAdm",1,0)</f>
        <v>#VALUE!</v>
      </c>
      <c r="M2031" t="str">
        <f>IF(NOT(ISBLANK(A2031)),VLOOKUP(A2031,'Close - PriceSaver'!A:J,6,0),"")</f>
        <v/>
      </c>
    </row>
    <row r="2032" spans="2:13" x14ac:dyDescent="0.35">
      <c r="B2032" t="str">
        <f>IF(NOT(ISBLANK(A2032)),VLOOKUP(A2032,'BBT3'!A:F,2,0),"")</f>
        <v/>
      </c>
      <c r="C2032" t="str">
        <f>IF(NOT(ISBLANK(A2032)),VLOOKUP(A2032,'BBT3'!A:F,3,0),"")</f>
        <v/>
      </c>
      <c r="D2032" s="5" t="str">
        <f>IF(NOT(ISBLANK(A2032)),VLOOKUP(A2032,'BBT3'!A:F,4,1),"")</f>
        <v/>
      </c>
      <c r="E2032" t="str">
        <f>IF(NOT(ISBLANK(A2032)),VLOOKUP(A2032,'BBT3'!A:F,5,0),"")</f>
        <v/>
      </c>
      <c r="F2032" t="str">
        <f>IF(NOT(ISBLANK(A2032)),VLOOKUP(A2032,'BBT3'!A:F,6,0),"")</f>
        <v/>
      </c>
      <c r="G2032" t="str">
        <f t="shared" si="232"/>
        <v/>
      </c>
      <c r="H2032" t="str">
        <f>IF(NOT(ISBLANK(A2032)),VLOOKUP(A2032,'Close - PriceSaver'!A:J,5,0),"")</f>
        <v/>
      </c>
      <c r="I2032" s="4" t="str" cm="1">
        <f t="array" ref="I2032">IF(NOT(ISBLANK(A2032)),((_xlfn.XLOOKUP(1,(_bbt3[[#All],[ID]]=A2032)*(_bbt3[[#All],[METRIC_NAME]]="YLD_YTM_ASK"),_bbt3[[#All],[METRIC_VALUE]])*0.5)+(_xlfn.XLOOKUP(1,(_bbt3[[#All],[ID]]=A2032)*(_bbt3[[#All],[METRIC_NAME]]="YLD_YTM_BID"),_bbt3[[#All],[METRIC_VALUE]])*0.5))/100,"")</f>
        <v/>
      </c>
      <c r="J2032">
        <f>IF(ISNA(VLOOKUP(A2032,'CloseDL - PriceSaverBBT3'!A:E,5,0)),0,VLOOKUP(A2032,'CloseDL - PriceSaverBBT3'!A:E,5,0))</f>
        <v>0</v>
      </c>
      <c r="K2032" s="7" t="str">
        <f t="shared" si="233"/>
        <v/>
      </c>
      <c r="L2032" s="20" t="e">
        <f>IF(Close[[#This Row],[CreatedBy]]="MARINER\SilverAdm",1,0)</f>
        <v>#VALUE!</v>
      </c>
      <c r="M2032" t="str">
        <f>IF(NOT(ISBLANK(A2032)),VLOOKUP(A2032,'Close - PriceSaver'!A:J,6,0),"")</f>
        <v/>
      </c>
    </row>
    <row r="2033" spans="2:13" x14ac:dyDescent="0.35">
      <c r="B2033" t="str">
        <f>IF(NOT(ISBLANK(A2033)),VLOOKUP(A2033,'BBT3'!A:F,2,0),"")</f>
        <v/>
      </c>
      <c r="C2033" t="str">
        <f>IF(NOT(ISBLANK(A2033)),VLOOKUP(A2033,'BBT3'!A:F,3,0),"")</f>
        <v/>
      </c>
      <c r="D2033" s="5" t="str">
        <f>IF(NOT(ISBLANK(A2033)),VLOOKUP(A2033,'BBT3'!A:F,4,1),"")</f>
        <v/>
      </c>
      <c r="E2033" t="str">
        <f>IF(NOT(ISBLANK(A2033)),VLOOKUP(A2033,'BBT3'!A:F,5,0),"")</f>
        <v/>
      </c>
      <c r="F2033" t="str">
        <f>IF(NOT(ISBLANK(A2033)),VLOOKUP(A2033,'BBT3'!A:F,6,0),"")</f>
        <v/>
      </c>
      <c r="G2033" t="str">
        <f t="shared" si="232"/>
        <v/>
      </c>
      <c r="H2033" t="str">
        <f>IF(NOT(ISBLANK(A2033)),VLOOKUP(A2033,'Close - PriceSaver'!A:J,5,0),"")</f>
        <v/>
      </c>
      <c r="I2033" s="4" t="str" cm="1">
        <f t="array" ref="I2033">IF(NOT(ISBLANK(A2033)),((_xlfn.XLOOKUP(1,(_bbt3[[#All],[ID]]=A2033)*(_bbt3[[#All],[METRIC_NAME]]="YLD_YTM_ASK"),_bbt3[[#All],[METRIC_VALUE]])*0.5)+(_xlfn.XLOOKUP(1,(_bbt3[[#All],[ID]]=A2033)*(_bbt3[[#All],[METRIC_NAME]]="YLD_YTM_BID"),_bbt3[[#All],[METRIC_VALUE]])*0.5))/100,"")</f>
        <v/>
      </c>
      <c r="J2033">
        <f>IF(ISNA(VLOOKUP(A2033,'CloseDL - PriceSaverBBT3'!A:E,5,0)),0,VLOOKUP(A2033,'CloseDL - PriceSaverBBT3'!A:E,5,0))</f>
        <v>0</v>
      </c>
      <c r="K2033" s="7" t="str">
        <f t="shared" si="233"/>
        <v/>
      </c>
      <c r="L2033" s="20" t="e">
        <f>IF(Close[[#This Row],[CreatedBy]]="MARINER\SilverAdm",1,0)</f>
        <v>#VALUE!</v>
      </c>
      <c r="M2033" t="str">
        <f>IF(NOT(ISBLANK(A2033)),VLOOKUP(A2033,'Close - PriceSaver'!A:J,6,0),"")</f>
        <v/>
      </c>
    </row>
    <row r="2034" spans="2:13" x14ac:dyDescent="0.35">
      <c r="B2034" t="str">
        <f>IF(NOT(ISBLANK(A2034)),VLOOKUP(A2034,'BBT3'!A:F,2,0),"")</f>
        <v/>
      </c>
      <c r="C2034" t="str">
        <f>IF(NOT(ISBLANK(A2034)),VLOOKUP(A2034,'BBT3'!A:F,3,0),"")</f>
        <v/>
      </c>
      <c r="D2034" s="5" t="str">
        <f>IF(NOT(ISBLANK(A2034)),VLOOKUP(A2034,'BBT3'!A:F,4,1),"")</f>
        <v/>
      </c>
      <c r="E2034" t="str">
        <f>IF(NOT(ISBLANK(A2034)),VLOOKUP(A2034,'BBT3'!A:F,5,0),"")</f>
        <v/>
      </c>
      <c r="F2034" t="str">
        <f>IF(NOT(ISBLANK(A2034)),VLOOKUP(A2034,'BBT3'!A:F,6,0),"")</f>
        <v/>
      </c>
      <c r="G2034" t="str">
        <f t="shared" si="232"/>
        <v/>
      </c>
      <c r="H2034" t="str">
        <f>IF(NOT(ISBLANK(A2034)),VLOOKUP(A2034,'Close - PriceSaver'!A:J,5,0),"")</f>
        <v/>
      </c>
      <c r="I2034" s="4" t="str" cm="1">
        <f t="array" ref="I2034">IF(NOT(ISBLANK(A2034)),((_xlfn.XLOOKUP(1,(_bbt3[[#All],[ID]]=A2034)*(_bbt3[[#All],[METRIC_NAME]]="YLD_YTM_ASK"),_bbt3[[#All],[METRIC_VALUE]])*0.5)+(_xlfn.XLOOKUP(1,(_bbt3[[#All],[ID]]=A2034)*(_bbt3[[#All],[METRIC_NAME]]="YLD_YTM_BID"),_bbt3[[#All],[METRIC_VALUE]])*0.5))/100,"")</f>
        <v/>
      </c>
      <c r="J2034">
        <f>IF(ISNA(VLOOKUP(A2034,'CloseDL - PriceSaverBBT3'!A:E,5,0)),0,VLOOKUP(A2034,'CloseDL - PriceSaverBBT3'!A:E,5,0))</f>
        <v>0</v>
      </c>
      <c r="K2034" s="7" t="str">
        <f t="shared" si="233"/>
        <v/>
      </c>
      <c r="L2034" s="20" t="e">
        <f>IF(Close[[#This Row],[CreatedBy]]="MARINER\SilverAdm",1,0)</f>
        <v>#VALUE!</v>
      </c>
      <c r="M2034" t="str">
        <f>IF(NOT(ISBLANK(A2034)),VLOOKUP(A2034,'Close - PriceSaver'!A:J,6,0),"")</f>
        <v/>
      </c>
    </row>
    <row r="2035" spans="2:13" x14ac:dyDescent="0.35">
      <c r="B2035" t="str">
        <f>IF(NOT(ISBLANK(A2035)),VLOOKUP(A2035,'BBT3'!A:F,2,0),"")</f>
        <v/>
      </c>
      <c r="G2035" t="str">
        <f t="shared" si="232"/>
        <v/>
      </c>
      <c r="J2035">
        <f>IF(ISNA(VLOOKUP(A2035,'CloseDL - PriceSaverBBT3'!A:E,5,0)),0,VLOOKUP(A2035,'CloseDL - PriceSaverBBT3'!A:E,5,0))</f>
        <v>0</v>
      </c>
      <c r="K2035" s="7" t="str">
        <f t="shared" si="233"/>
        <v/>
      </c>
      <c r="L2035" s="20" t="e">
        <f>IF(Close[[#This Row],[CreatedBy]]="MARINER\SilverAdm",1,0)</f>
        <v>#VALUE!</v>
      </c>
      <c r="M2035" t="str">
        <f>IF(NOT(ISBLANK(A2035)),VLOOKUP(A2035,'Close - PriceSaver'!A:J,6,0),"")</f>
        <v/>
      </c>
    </row>
  </sheetData>
  <autoFilter ref="A1:M2035" xr:uid="{9D16CCF6-4802-4B90-B4FF-A44830E76192}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59640-0CFD-4BE7-B2FC-E54349FB3821}">
  <dimension ref="H9:H10"/>
  <sheetViews>
    <sheetView workbookViewId="0">
      <selection activeCell="C6" sqref="C6"/>
    </sheetView>
  </sheetViews>
  <sheetFormatPr defaultRowHeight="14.5" x14ac:dyDescent="0.35"/>
  <cols>
    <col min="8" max="8" width="9.1796875" bestFit="1" customWidth="1"/>
  </cols>
  <sheetData>
    <row r="9" spans="8:8" x14ac:dyDescent="0.35">
      <c r="H9" t="str" cm="1">
        <f t="array" ref="H9">_xll.BDH("SP 06/30/26 Govt", "PX_BID, PX_ASK", "6/24/2026", "6/24/2026", "Period", "D")</f>
        <v>#N/A N/A</v>
      </c>
    </row>
    <row r="10" spans="8:8" x14ac:dyDescent="0.35">
      <c r="H10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D9A25-D364-4667-9C33-AF0CC0539907}">
  <dimension ref="A1:D39"/>
  <sheetViews>
    <sheetView workbookViewId="0">
      <selection activeCell="D4" sqref="D4"/>
    </sheetView>
  </sheetViews>
  <sheetFormatPr defaultRowHeight="14.5" x14ac:dyDescent="0.35"/>
  <cols>
    <col min="1" max="1" width="6.81640625" bestFit="1" customWidth="1"/>
    <col min="2" max="4" width="11.453125" bestFit="1" customWidth="1"/>
  </cols>
  <sheetData>
    <row r="1" spans="1:4" x14ac:dyDescent="0.35">
      <c r="A1" t="s">
        <v>1</v>
      </c>
      <c r="B1" t="s">
        <v>0</v>
      </c>
      <c r="C1" t="s">
        <v>1707</v>
      </c>
      <c r="D1" t="s">
        <v>1708</v>
      </c>
    </row>
    <row r="2" spans="1:4" x14ac:dyDescent="0.35">
      <c r="A2" t="s">
        <v>1962</v>
      </c>
      <c r="B2">
        <f>VLOOKUP(ToSaveListBondFuture[[#This Row],[ID]],'Close - PriceSaver'!A:E,5,0)</f>
        <v>104.238281</v>
      </c>
      <c r="C2">
        <f>VLOOKUP(ToSaveListBondFuture[[#This Row],[ID]],CloseDL[[ID]:[Value]],5,0)</f>
        <v>104.238281</v>
      </c>
      <c r="D2">
        <f>ToSaveListBondFuture[[#This Row],[Column2]]-ToSaveListBondFuture[[#This Row],[Column1]]</f>
        <v>0</v>
      </c>
    </row>
    <row r="3" spans="1:4" x14ac:dyDescent="0.35">
      <c r="A3" t="s">
        <v>601</v>
      </c>
      <c r="B3">
        <f>VLOOKUP(ToSaveListBondFuture[[#This Row],[ID]],'Close - PriceSaver'!A:E,5,0)</f>
        <v>104.332031</v>
      </c>
      <c r="C3">
        <f>VLOOKUP(ToSaveListBondFuture[[#This Row],[ID]],CloseDL[[ID]:[Value]],5,0)</f>
        <v>104.332031</v>
      </c>
      <c r="D3">
        <f>ToSaveListBondFuture[[#This Row],[Column2]]-ToSaveListBondFuture[[#This Row],[Column1]]</f>
        <v>0</v>
      </c>
    </row>
    <row r="4" spans="1:4" x14ac:dyDescent="0.35">
      <c r="A4" t="s">
        <v>602</v>
      </c>
      <c r="B4">
        <f>VLOOKUP(ToSaveListBondFuture[[#This Row],[ID]],'Close - PriceSaver'!A:E,5,0)</f>
        <v>104.285156</v>
      </c>
      <c r="C4">
        <f>VLOOKUP(ToSaveListBondFuture[[#This Row],[ID]],CloseDL[[ID]:[Value]],5,0)</f>
        <v>104.285156</v>
      </c>
      <c r="D4">
        <f>ToSaveListBondFuture[[#This Row],[Column2]]-ToSaveListBondFuture[[#This Row],[Column1]]</f>
        <v>0</v>
      </c>
    </row>
    <row r="5" spans="1:4" x14ac:dyDescent="0.35">
      <c r="A5" t="s">
        <v>704</v>
      </c>
      <c r="B5">
        <f>VLOOKUP(ToSaveListBondFuture[[#This Row],[ID]],'Close - PriceSaver'!A:E,5,0)</f>
        <v>106.33499999999999</v>
      </c>
      <c r="C5">
        <f>VLOOKUP(ToSaveListBondFuture[[#This Row],[ID]],CloseDL[[ID]:[Value]],5,0)</f>
        <v>106.33499999999999</v>
      </c>
      <c r="D5">
        <f>ToSaveListBondFuture[[#This Row],[Column2]]-ToSaveListBondFuture[[#This Row],[Column1]]</f>
        <v>0</v>
      </c>
    </row>
    <row r="6" spans="1:4" x14ac:dyDescent="0.35">
      <c r="A6" t="s">
        <v>705</v>
      </c>
      <c r="B6">
        <f>VLOOKUP(ToSaveListBondFuture[[#This Row],[ID]],'Close - PriceSaver'!A:E,5,0)</f>
        <v>105.77</v>
      </c>
      <c r="C6">
        <f>VLOOKUP(ToSaveListBondFuture[[#This Row],[ID]],CloseDL[[ID]:[Value]],5,0)</f>
        <v>105.77</v>
      </c>
      <c r="D6">
        <f>ToSaveListBondFuture[[#This Row],[Column2]]-ToSaveListBondFuture[[#This Row],[Column1]]</f>
        <v>0</v>
      </c>
    </row>
    <row r="7" spans="1:4" x14ac:dyDescent="0.35">
      <c r="A7" t="s">
        <v>1666</v>
      </c>
      <c r="B7">
        <f>VLOOKUP(ToSaveListBondFuture[[#This Row],[ID]],'Close - PriceSaver'!A:E,5,0)</f>
        <v>119.62</v>
      </c>
      <c r="C7">
        <f>VLOOKUP(ToSaveListBondFuture[[#This Row],[ID]],CloseDL[[ID]:[Value]],5,0)</f>
        <v>119.62</v>
      </c>
      <c r="D7">
        <f>ToSaveListBondFuture[[#This Row],[Column2]]-ToSaveListBondFuture[[#This Row],[Column1]]</f>
        <v>0</v>
      </c>
    </row>
    <row r="8" spans="1:4" x14ac:dyDescent="0.35">
      <c r="A8" t="s">
        <v>846</v>
      </c>
      <c r="B8">
        <f>VLOOKUP(ToSaveListBondFuture[[#This Row],[ID]],'Close - PriceSaver'!A:E,5,0)</f>
        <v>105.185</v>
      </c>
      <c r="C8">
        <f>VLOOKUP(ToSaveListBondFuture[[#This Row],[ID]],CloseDL[[ID]:[Value]],5,0)</f>
        <v>105.185</v>
      </c>
      <c r="D8">
        <f>ToSaveListBondFuture[[#This Row],[Column2]]-ToSaveListBondFuture[[#This Row],[Column1]]</f>
        <v>0</v>
      </c>
    </row>
    <row r="9" spans="1:4" x14ac:dyDescent="0.35">
      <c r="A9" t="s">
        <v>923</v>
      </c>
      <c r="B9">
        <f>VLOOKUP(ToSaveListBondFuture[[#This Row],[ID]],'Close - PriceSaver'!A:E,5,0)</f>
        <v>105.455</v>
      </c>
      <c r="C9">
        <f>VLOOKUP(ToSaveListBondFuture[[#This Row],[ID]],CloseDL[[ID]:[Value]],5,0)</f>
        <v>105.455</v>
      </c>
      <c r="D9">
        <f>ToSaveListBondFuture[[#This Row],[Column2]]-ToSaveListBondFuture[[#This Row],[Column1]]</f>
        <v>0</v>
      </c>
    </row>
    <row r="10" spans="1:4" x14ac:dyDescent="0.35">
      <c r="A10" t="s">
        <v>924</v>
      </c>
      <c r="B10">
        <f>VLOOKUP(ToSaveListBondFuture[[#This Row],[ID]],'Close - PriceSaver'!A:E,5,0)</f>
        <v>105.46</v>
      </c>
      <c r="C10">
        <f>VLOOKUP(ToSaveListBondFuture[[#This Row],[ID]],CloseDL[[ID]:[Value]],5,0)</f>
        <v>105.46</v>
      </c>
      <c r="D10">
        <f>ToSaveListBondFuture[[#This Row],[Column2]]-ToSaveListBondFuture[[#This Row],[Column1]]</f>
        <v>0</v>
      </c>
    </row>
    <row r="11" spans="1:4" x14ac:dyDescent="0.35">
      <c r="A11" t="s">
        <v>1963</v>
      </c>
      <c r="B11">
        <f>VLOOKUP(ToSaveListBondFuture[[#This Row],[ID]],'Close - PriceSaver'!A:E,5,0)</f>
        <v>106.210938</v>
      </c>
      <c r="C11">
        <f>VLOOKUP(ToSaveListBondFuture[[#This Row],[ID]],CloseDL[[ID]:[Value]],5,0)</f>
        <v>106.210938</v>
      </c>
      <c r="D11">
        <f>ToSaveListBondFuture[[#This Row],[Column2]]-ToSaveListBondFuture[[#This Row],[Column1]]</f>
        <v>0</v>
      </c>
    </row>
    <row r="12" spans="1:4" x14ac:dyDescent="0.35">
      <c r="A12" t="s">
        <v>1158</v>
      </c>
      <c r="B12">
        <f>VLOOKUP(ToSaveListBondFuture[[#This Row],[ID]],'Close - PriceSaver'!A:E,5,0)</f>
        <v>106.3125</v>
      </c>
      <c r="C12">
        <f>VLOOKUP(ToSaveListBondFuture[[#This Row],[ID]],CloseDL[[ID]:[Value]],5,0)</f>
        <v>106.3125</v>
      </c>
      <c r="D12">
        <f>ToSaveListBondFuture[[#This Row],[Column2]]-ToSaveListBondFuture[[#This Row],[Column1]]</f>
        <v>0</v>
      </c>
    </row>
    <row r="13" spans="1:4" x14ac:dyDescent="0.35">
      <c r="A13" t="s">
        <v>1159</v>
      </c>
      <c r="B13">
        <f>VLOOKUP(ToSaveListBondFuture[[#This Row],[ID]],'Close - PriceSaver'!A:E,5,0)</f>
        <v>106.234375</v>
      </c>
      <c r="C13">
        <f>VLOOKUP(ToSaveListBondFuture[[#This Row],[ID]],CloseDL[[ID]:[Value]],5,0)</f>
        <v>106.234375</v>
      </c>
      <c r="D13">
        <f>ToSaveListBondFuture[[#This Row],[Column2]]-ToSaveListBondFuture[[#This Row],[Column1]]</f>
        <v>0</v>
      </c>
    </row>
    <row r="14" spans="1:4" x14ac:dyDescent="0.35">
      <c r="A14" t="s">
        <v>1160</v>
      </c>
      <c r="B14">
        <f>VLOOKUP(ToSaveListBondFuture[[#This Row],[ID]],'Close - PriceSaver'!A:E,5,0)</f>
        <v>86.56</v>
      </c>
      <c r="C14">
        <f>VLOOKUP(ToSaveListBondFuture[[#This Row],[ID]],CloseDL[[ID]:[Value]],5,0)</f>
        <v>86.56</v>
      </c>
      <c r="D14">
        <f>ToSaveListBondFuture[[#This Row],[Column2]]-ToSaveListBondFuture[[#This Row],[Column1]]</f>
        <v>0</v>
      </c>
    </row>
    <row r="15" spans="1:4" x14ac:dyDescent="0.35">
      <c r="A15" t="s">
        <v>1161</v>
      </c>
      <c r="B15">
        <f>VLOOKUP(ToSaveListBondFuture[[#This Row],[ID]],'Close - PriceSaver'!A:E,5,0)</f>
        <v>86.55</v>
      </c>
      <c r="C15">
        <f>VLOOKUP(ToSaveListBondFuture[[#This Row],[ID]],CloseDL[[ID]:[Value]],5,0)</f>
        <v>86.55</v>
      </c>
      <c r="D15">
        <f>ToSaveListBondFuture[[#This Row],[Column2]]-ToSaveListBondFuture[[#This Row],[Column1]]</f>
        <v>0</v>
      </c>
    </row>
    <row r="16" spans="1:4" x14ac:dyDescent="0.35">
      <c r="A16" t="s">
        <v>1263</v>
      </c>
      <c r="B16">
        <f>VLOOKUP(ToSaveListBondFuture[[#This Row],[ID]],'Close - PriceSaver'!A:E,5,0)</f>
        <v>116.31</v>
      </c>
      <c r="C16">
        <f>VLOOKUP(ToSaveListBondFuture[[#This Row],[ID]],CloseDL[[ID]:[Value]],5,0)</f>
        <v>116.31</v>
      </c>
      <c r="D16">
        <f>ToSaveListBondFuture[[#This Row],[Column2]]-ToSaveListBondFuture[[#This Row],[Column1]]</f>
        <v>0</v>
      </c>
    </row>
    <row r="17" spans="1:4" x14ac:dyDescent="0.35">
      <c r="A17" t="s">
        <v>1668</v>
      </c>
      <c r="B17">
        <f>VLOOKUP(ToSaveListBondFuture[[#This Row],[ID]],'Close - PriceSaver'!A:E,5,0)</f>
        <v>117.26</v>
      </c>
      <c r="C17">
        <f>VLOOKUP(ToSaveListBondFuture[[#This Row],[ID]],CloseDL[[ID]:[Value]],5,0)</f>
        <v>117.26</v>
      </c>
      <c r="D17">
        <f>ToSaveListBondFuture[[#This Row],[Column2]]-ToSaveListBondFuture[[#This Row],[Column1]]</f>
        <v>0</v>
      </c>
    </row>
    <row r="18" spans="1:4" x14ac:dyDescent="0.35">
      <c r="A18" t="s">
        <v>5583</v>
      </c>
      <c r="B18">
        <f>VLOOKUP(ToSaveListBondFuture[[#This Row],[ID]],'Close - PriceSaver'!A:E,5,0)</f>
        <v>116.72</v>
      </c>
      <c r="C18">
        <f>VLOOKUP(ToSaveListBondFuture[[#This Row],[ID]],CloseDL[[ID]:[Value]],5,0)</f>
        <v>116.72</v>
      </c>
      <c r="D18">
        <f>ToSaveListBondFuture[[#This Row],[Column2]]-ToSaveListBondFuture[[#This Row],[Column1]]</f>
        <v>0</v>
      </c>
    </row>
    <row r="19" spans="1:4" x14ac:dyDescent="0.35">
      <c r="A19" t="s">
        <v>1577</v>
      </c>
      <c r="B19">
        <f>VLOOKUP(ToSaveListBondFuture[[#This Row],[ID]],'Close - PriceSaver'!A:E,5,0)</f>
        <v>113.9</v>
      </c>
      <c r="C19">
        <f>VLOOKUP(ToSaveListBondFuture[[#This Row],[ID]],CloseDL[[ID]:[Value]],5,0)</f>
        <v>113.9</v>
      </c>
      <c r="D19">
        <f>ToSaveListBondFuture[[#This Row],[Column2]]-ToSaveListBondFuture[[#This Row],[Column1]]</f>
        <v>0</v>
      </c>
    </row>
    <row r="20" spans="1:4" x14ac:dyDescent="0.35">
      <c r="A20" t="s">
        <v>1578</v>
      </c>
      <c r="B20">
        <f>VLOOKUP(ToSaveListBondFuture[[#This Row],[ID]],'Close - PriceSaver'!A:E,5,0)</f>
        <v>114.29</v>
      </c>
      <c r="C20">
        <f>VLOOKUP(ToSaveListBondFuture[[#This Row],[ID]],CloseDL[[ID]:[Value]],5,0)</f>
        <v>114.29</v>
      </c>
      <c r="D20">
        <f>ToSaveListBondFuture[[#This Row],[Column2]]-ToSaveListBondFuture[[#This Row],[Column1]]</f>
        <v>0</v>
      </c>
    </row>
    <row r="21" spans="1:4" x14ac:dyDescent="0.35">
      <c r="A21" t="s">
        <v>1583</v>
      </c>
      <c r="B21">
        <f>VLOOKUP(ToSaveListBondFuture[[#This Row],[ID]],'Close - PriceSaver'!A:E,5,0)</f>
        <v>124.6</v>
      </c>
      <c r="C21">
        <f>VLOOKUP(ToSaveListBondFuture[[#This Row],[ID]],CloseDL[[ID]:[Value]],5,0)</f>
        <v>124.6</v>
      </c>
      <c r="D21">
        <f>ToSaveListBondFuture[[#This Row],[Column2]]-ToSaveListBondFuture[[#This Row],[Column1]]</f>
        <v>0</v>
      </c>
    </row>
    <row r="22" spans="1:4" x14ac:dyDescent="0.35">
      <c r="A22" t="s">
        <v>1584</v>
      </c>
      <c r="B22">
        <f>VLOOKUP(ToSaveListBondFuture[[#This Row],[ID]],'Close - PriceSaver'!A:E,5,0)</f>
        <v>123.76</v>
      </c>
      <c r="C22">
        <f>VLOOKUP(ToSaveListBondFuture[[#This Row],[ID]],CloseDL[[ID]:[Value]],5,0)</f>
        <v>123.76</v>
      </c>
      <c r="D22">
        <f>ToSaveListBondFuture[[#This Row],[Column2]]-ToSaveListBondFuture[[#This Row],[Column1]]</f>
        <v>0</v>
      </c>
    </row>
    <row r="23" spans="1:4" x14ac:dyDescent="0.35">
      <c r="A23" t="s">
        <v>1964</v>
      </c>
      <c r="B23">
        <f>VLOOKUP(ToSaveListBondFuture[[#This Row],[ID]],'Close - PriceSaver'!A:E,5,0)</f>
        <v>102.738281</v>
      </c>
      <c r="C23">
        <f>VLOOKUP(ToSaveListBondFuture[[#This Row],[ID]],CloseDL[[ID]:[Value]],5,0)</f>
        <v>102.738281</v>
      </c>
      <c r="D23">
        <f>ToSaveListBondFuture[[#This Row],[Column2]]-ToSaveListBondFuture[[#This Row],[Column1]]</f>
        <v>0</v>
      </c>
    </row>
    <row r="24" spans="1:4" x14ac:dyDescent="0.35">
      <c r="A24" t="s">
        <v>1613</v>
      </c>
      <c r="B24">
        <f>VLOOKUP(ToSaveListBondFuture[[#This Row],[ID]],'Close - PriceSaver'!A:E,5,0)</f>
        <v>102.859375</v>
      </c>
      <c r="C24">
        <f>VLOOKUP(ToSaveListBondFuture[[#This Row],[ID]],CloseDL[[ID]:[Value]],5,0)</f>
        <v>102.859375</v>
      </c>
      <c r="D24">
        <f>ToSaveListBondFuture[[#This Row],[Column2]]-ToSaveListBondFuture[[#This Row],[Column1]]</f>
        <v>0</v>
      </c>
    </row>
    <row r="25" spans="1:4" x14ac:dyDescent="0.35">
      <c r="A25" t="s">
        <v>1614</v>
      </c>
      <c r="B25">
        <f>VLOOKUP(ToSaveListBondFuture[[#This Row],[ID]],'Close - PriceSaver'!A:E,5,0)</f>
        <v>102.773438</v>
      </c>
      <c r="C25">
        <f>VLOOKUP(ToSaveListBondFuture[[#This Row],[ID]],CloseDL[[ID]:[Value]],5,0)</f>
        <v>102.773438</v>
      </c>
      <c r="D25">
        <f>ToSaveListBondFuture[[#This Row],[Column2]]-ToSaveListBondFuture[[#This Row],[Column1]]</f>
        <v>0</v>
      </c>
    </row>
    <row r="26" spans="1:4" x14ac:dyDescent="0.35">
      <c r="A26" t="s">
        <v>1772</v>
      </c>
      <c r="B26">
        <f>VLOOKUP(ToSaveListBondFuture[[#This Row],[ID]],'Close - PriceSaver'!A:E,5,0)</f>
        <v>108.328125</v>
      </c>
      <c r="C26">
        <f>VLOOKUP(ToSaveListBondFuture[[#This Row],[ID]],CloseDL[[ID]:[Value]],5,0)</f>
        <v>108.328125</v>
      </c>
      <c r="D26">
        <f>ToSaveListBondFuture[[#This Row],[Column2]]-ToSaveListBondFuture[[#This Row],[Column1]]</f>
        <v>0</v>
      </c>
    </row>
    <row r="27" spans="1:4" x14ac:dyDescent="0.35">
      <c r="A27" t="s">
        <v>1615</v>
      </c>
      <c r="B27">
        <f>VLOOKUP(ToSaveListBondFuture[[#This Row],[ID]],'Close - PriceSaver'!A:E,5,0)</f>
        <v>108.640625</v>
      </c>
      <c r="C27">
        <f>VLOOKUP(ToSaveListBondFuture[[#This Row],[ID]],CloseDL[[ID]:[Value]],5,0)</f>
        <v>108.640625</v>
      </c>
      <c r="D27">
        <f>ToSaveListBondFuture[[#This Row],[Column2]]-ToSaveListBondFuture[[#This Row],[Column1]]</f>
        <v>0</v>
      </c>
    </row>
    <row r="28" spans="1:4" x14ac:dyDescent="0.35">
      <c r="A28" t="s">
        <v>1616</v>
      </c>
      <c r="B28">
        <f>VLOOKUP(ToSaveListBondFuture[[#This Row],[ID]],'Close - PriceSaver'!A:E,5,0)</f>
        <v>108.421875</v>
      </c>
      <c r="C28">
        <f>VLOOKUP(ToSaveListBondFuture[[#This Row],[ID]],CloseDL[[ID]:[Value]],5,0)</f>
        <v>108.421875</v>
      </c>
      <c r="D28">
        <f>ToSaveListBondFuture[[#This Row],[Column2]]-ToSaveListBondFuture[[#This Row],[Column1]]</f>
        <v>0</v>
      </c>
    </row>
    <row r="29" spans="1:4" x14ac:dyDescent="0.35">
      <c r="A29" t="s">
        <v>1617</v>
      </c>
      <c r="B29">
        <f>VLOOKUP(ToSaveListBondFuture[[#This Row],[ID]],'Close - PriceSaver'!A:E,5,0)</f>
        <v>106.24</v>
      </c>
      <c r="C29">
        <f>VLOOKUP(ToSaveListBondFuture[[#This Row],[ID]],CloseDL[[ID]:[Value]],5,0)</f>
        <v>106.24</v>
      </c>
      <c r="D29">
        <f>ToSaveListBondFuture[[#This Row],[Column2]]-ToSaveListBondFuture[[#This Row],[Column1]]</f>
        <v>0</v>
      </c>
    </row>
    <row r="30" spans="1:4" x14ac:dyDescent="0.35">
      <c r="A30" t="s">
        <v>1618</v>
      </c>
      <c r="B30">
        <f>VLOOKUP(ToSaveListBondFuture[[#This Row],[ID]],'Close - PriceSaver'!A:E,5,0)</f>
        <v>105.72</v>
      </c>
      <c r="C30">
        <f>VLOOKUP(ToSaveListBondFuture[[#This Row],[ID]],CloseDL[[ID]:[Value]],5,0)</f>
        <v>105.72</v>
      </c>
      <c r="D30">
        <f>ToSaveListBondFuture[[#This Row],[Column2]]-ToSaveListBondFuture[[#This Row],[Column1]]</f>
        <v>0</v>
      </c>
    </row>
    <row r="31" spans="1:4" x14ac:dyDescent="0.35">
      <c r="A31" t="s">
        <v>1773</v>
      </c>
      <c r="B31">
        <f>VLOOKUP(ToSaveListBondFuture[[#This Row],[ID]],'Close - PriceSaver'!A:E,5,0)</f>
        <v>109.5625</v>
      </c>
      <c r="C31">
        <f>VLOOKUP(ToSaveListBondFuture[[#This Row],[ID]],CloseDL[[ID]:[Value]],5,0)</f>
        <v>109.5625</v>
      </c>
      <c r="D31">
        <f>ToSaveListBondFuture[[#This Row],[Column2]]-ToSaveListBondFuture[[#This Row],[Column1]]</f>
        <v>0</v>
      </c>
    </row>
    <row r="32" spans="1:4" x14ac:dyDescent="0.35">
      <c r="A32" t="s">
        <v>1646</v>
      </c>
      <c r="B32">
        <f>VLOOKUP(ToSaveListBondFuture[[#This Row],[ID]],'Close - PriceSaver'!A:E,5,0)</f>
        <v>110.375</v>
      </c>
      <c r="C32">
        <f>VLOOKUP(ToSaveListBondFuture[[#This Row],[ID]],CloseDL[[ID]:[Value]],5,0)</f>
        <v>110.375</v>
      </c>
      <c r="D32">
        <f>ToSaveListBondFuture[[#This Row],[Column2]]-ToSaveListBondFuture[[#This Row],[Column1]]</f>
        <v>0</v>
      </c>
    </row>
    <row r="33" spans="1:4" x14ac:dyDescent="0.35">
      <c r="A33" t="s">
        <v>1647</v>
      </c>
      <c r="B33">
        <f>VLOOKUP(ToSaveListBondFuture[[#This Row],[ID]],'Close - PriceSaver'!A:E,5,0)</f>
        <v>109.96875</v>
      </c>
      <c r="C33">
        <f>VLOOKUP(ToSaveListBondFuture[[#This Row],[ID]],CloseDL[[ID]:[Value]],5,0)</f>
        <v>109.96875</v>
      </c>
      <c r="D33">
        <f>ToSaveListBondFuture[[#This Row],[Column2]]-ToSaveListBondFuture[[#This Row],[Column1]]</f>
        <v>0</v>
      </c>
    </row>
    <row r="34" spans="1:4" x14ac:dyDescent="0.35">
      <c r="A34" t="s">
        <v>1648</v>
      </c>
      <c r="B34">
        <f>VLOOKUP(ToSaveListBondFuture[[#This Row],[ID]],'Close - PriceSaver'!A:E,5,0)</f>
        <v>110.6875</v>
      </c>
      <c r="C34">
        <f>VLOOKUP(ToSaveListBondFuture[[#This Row],[ID]],CloseDL[[ID]:[Value]],5,0)</f>
        <v>110.6875</v>
      </c>
      <c r="D34">
        <f>ToSaveListBondFuture[[#This Row],[Column2]]-ToSaveListBondFuture[[#This Row],[Column1]]</f>
        <v>0</v>
      </c>
    </row>
    <row r="35" spans="1:4" x14ac:dyDescent="0.35">
      <c r="A35" t="s">
        <v>1669</v>
      </c>
      <c r="B35">
        <f>VLOOKUP(ToSaveListBondFuture[[#This Row],[ID]],'Close - PriceSaver'!A:E,5,0)</f>
        <v>110.453125</v>
      </c>
      <c r="C35">
        <f>VLOOKUP(ToSaveListBondFuture[[#This Row],[ID]],CloseDL[[ID]:[Value]],5,0)</f>
        <v>110.453125</v>
      </c>
      <c r="D35">
        <f>ToSaveListBondFuture[[#This Row],[Column2]]-ToSaveListBondFuture[[#This Row],[Column1]]</f>
        <v>0</v>
      </c>
    </row>
    <row r="36" spans="1:4" x14ac:dyDescent="0.35">
      <c r="A36" t="s">
        <v>1774</v>
      </c>
      <c r="B36">
        <f>VLOOKUP(ToSaveListBondFuture[[#This Row],[ID]],'Close - PriceSaver'!A:E,5,0)</f>
        <v>111.75</v>
      </c>
      <c r="C36">
        <f>VLOOKUP(ToSaveListBondFuture[[#This Row],[ID]],CloseDL[[ID]:[Value]],5,0)</f>
        <v>111.75</v>
      </c>
      <c r="D36">
        <f>ToSaveListBondFuture[[#This Row],[Column2]]-ToSaveListBondFuture[[#This Row],[Column1]]</f>
        <v>0</v>
      </c>
    </row>
    <row r="37" spans="1:4" x14ac:dyDescent="0.35">
      <c r="A37" t="s">
        <v>1649</v>
      </c>
      <c r="B37">
        <f>VLOOKUP(ToSaveListBondFuture[[#This Row],[ID]],'Close - PriceSaver'!A:E,5,0)</f>
        <v>112.15625</v>
      </c>
      <c r="C37">
        <f>VLOOKUP(ToSaveListBondFuture[[#This Row],[ID]],CloseDL[[ID]:[Value]],5,0)</f>
        <v>112.15625</v>
      </c>
      <c r="D37">
        <f>ToSaveListBondFuture[[#This Row],[Column2]]-ToSaveListBondFuture[[#This Row],[Column1]]</f>
        <v>0</v>
      </c>
    </row>
    <row r="38" spans="1:4" x14ac:dyDescent="0.35">
      <c r="A38" t="s">
        <v>1650</v>
      </c>
      <c r="B38">
        <f>VLOOKUP(ToSaveListBondFuture[[#This Row],[ID]],'Close - PriceSaver'!A:E,5,0)</f>
        <v>111.875</v>
      </c>
      <c r="C38">
        <f>VLOOKUP(ToSaveListBondFuture[[#This Row],[ID]],CloseDL[[ID]:[Value]],5,0)</f>
        <v>111.875</v>
      </c>
      <c r="D38">
        <f>ToSaveListBondFuture[[#This Row],[Column2]]-ToSaveListBondFuture[[#This Row],[Column1]]</f>
        <v>0</v>
      </c>
    </row>
    <row r="39" spans="1:4" x14ac:dyDescent="0.35">
      <c r="A39" t="s">
        <v>1670</v>
      </c>
      <c r="B39">
        <f>VLOOKUP(ToSaveListBondFuture[[#This Row],[ID]],'Close - PriceSaver'!A:E,5,0)</f>
        <v>112.41</v>
      </c>
      <c r="C39">
        <f>VLOOKUP(ToSaveListBondFuture[[#This Row],[ID]],CloseDL[[ID]:[Value]],5,0)</f>
        <v>112.41</v>
      </c>
      <c r="D39">
        <f>ToSaveListBondFuture[[#This Row],[Column2]]-ToSaveListBondFuture[[#This Row],[Column1]]</f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F84FE7-6E6C-4B5B-BE4D-C9CC35981B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Batch</vt:lpstr>
      <vt:lpstr>BBT3</vt:lpstr>
      <vt:lpstr>CloseDL - PriceSaverBBT3</vt:lpstr>
      <vt:lpstr>Close - PriceSaver</vt:lpstr>
      <vt:lpstr>Bond Comparaison</vt:lpstr>
      <vt:lpstr>Sheet1</vt:lpstr>
      <vt:lpstr>BondFuture</vt:lpstr>
      <vt:lpstr>TheDate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Gazzano, Pierre</dc:creator>
  <cp:lastModifiedBy>Gazzano, Pierre</cp:lastModifiedBy>
  <dcterms:created xsi:type="dcterms:W3CDTF">2026-06-04T17:29:16Z</dcterms:created>
  <dcterms:modified xsi:type="dcterms:W3CDTF">2026-08-05T13:57:28Z</dcterms:modified>
</cp:coreProperties>
</file>